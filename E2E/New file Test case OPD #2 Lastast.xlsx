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namedSheetViews/namedSheetView6.xml" ContentType="application/vnd.ms-excel.namedsheetviews+xml"/>
  <Override PartName="/xl/namedSheetViews/namedSheetView7.xml" ContentType="application/vnd.ms-excel.namedsheetview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hlabconsulting365-my.sharepoint.com/personal/suchat_cha_hlabconsulting_com/Documents/Desktop/Cortex Automate/E2E/"/>
    </mc:Choice>
  </mc:AlternateContent>
  <xr:revisionPtr revIDLastSave="1068" documentId="8_{743EDF85-97DE-4C85-AD57-4FEA08D986DF}" xr6:coauthVersionLast="47" xr6:coauthVersionMax="47" xr10:uidLastSave="{65DBD4F4-222E-41FB-ACCF-ADEF2ADDF300}"/>
  <bookViews>
    <workbookView xWindow="-108" yWindow="-108" windowWidth="23256" windowHeight="13896" firstSheet="11" activeTab="12" xr2:uid="{4B99A79C-4376-DD4D-9483-038B81D53A52}"/>
  </bookViews>
  <sheets>
    <sheet name="Scenario-OPD-Doctor" sheetId="1" r:id="rId1"/>
    <sheet name="Scenario-OPD-Nurse" sheetId="2" r:id="rId2"/>
    <sheet name="Scenario-Inventory" sheetId="20" r:id="rId3"/>
    <sheet name="Mock-Data Inventory" sheetId="9" r:id="rId4"/>
    <sheet name="Scenario- ER" sheetId="24" r:id="rId5"/>
    <sheet name="ER Issue" sheetId="26" r:id="rId6"/>
    <sheet name="Mock-Data ER" sheetId="25" r:id="rId7"/>
    <sheet name="List Flow E2E For BizSim" sheetId="22" r:id="rId8"/>
    <sheet name="Scenario-OPD BizSim" sheetId="21" r:id="rId9"/>
    <sheet name="List Flow E2E For BizSim(New)" sheetId="28" r:id="rId10"/>
    <sheet name="Scenario-OPD BizSim(New)" sheetId="30" r:id="rId11"/>
    <sheet name="Station-OPD BizSim(New)" sheetId="29" r:id="rId12"/>
    <sheet name="สรุปผล Station-OPD" sheetId="31" r:id="rId13"/>
    <sheet name="Bug list (OPDBIzSim)" sheetId="23" r:id="rId14"/>
    <sheet name="Bizsim Cut-off" sheetId="27" r:id="rId15"/>
    <sheet name="Bug list &amp; รายการติดตาม(เก่า)" sheetId="5" r:id="rId16"/>
    <sheet name="CDSS only" sheetId="3" r:id="rId17"/>
    <sheet name="Sheet2" sheetId="8" r:id="rId18"/>
    <sheet name="Sheet1" sheetId="7" r:id="rId19"/>
    <sheet name="List Mock up data" sheetId="4" r:id="rId20"/>
    <sheet name="Document" sheetId="6" r:id="rId21"/>
    <sheet name="feedback" sheetId="10" r:id="rId22"/>
    <sheet name="Lean Feedback" sheetId="12" r:id="rId23"/>
    <sheet name="Aidanote" sheetId="14" r:id="rId24"/>
    <sheet name="Remap Lean Feedback " sheetId="18" r:id="rId25"/>
    <sheet name="Aidanote (2)" sheetId="19" state="hidden" r:id="rId26"/>
  </sheets>
  <definedNames>
    <definedName name="_xlnm._FilterDatabase" localSheetId="23" hidden="1">Aidanote!$A$1:$P$1</definedName>
    <definedName name="_xlnm._FilterDatabase" localSheetId="25" hidden="1">'Aidanote (2)'!$A$1:$P$1</definedName>
    <definedName name="_xlnm._FilterDatabase" localSheetId="14" hidden="1">'Bizsim Cut-off'!$A$1:$I$1</definedName>
    <definedName name="_xlnm._FilterDatabase" localSheetId="13" hidden="1">'Bug list (OPDBIzSim)'!$A$1:$K$114</definedName>
    <definedName name="_xlnm._FilterDatabase" localSheetId="21" hidden="1">feedback!$A$1:$L$1</definedName>
    <definedName name="_xlnm._FilterDatabase" localSheetId="22" hidden="1">'Lean Feedback'!$A$1:$T$1</definedName>
    <definedName name="_xlnm._FilterDatabase" localSheetId="24" hidden="1">'Remap Lean Feedback '!$A$1:$Y$143</definedName>
    <definedName name="_xlnm._FilterDatabase" localSheetId="4" hidden="1">'Scenario- ER'!$A$1:$J$135</definedName>
    <definedName name="_xlnm._FilterDatabase" localSheetId="2" hidden="1">'Scenario-Inventory'!$A$1:$I$1</definedName>
    <definedName name="_xlnm._FilterDatabase" localSheetId="8" hidden="1">'Scenario-OPD BizSim'!$A$1:$I$1</definedName>
    <definedName name="_xlnm._FilterDatabase" localSheetId="0" hidden="1">'Scenario-OPD-Doctor'!$A$1:$H$1</definedName>
    <definedName name="_xlnm._FilterDatabase" localSheetId="1" hidden="1">'Scenario-OPD-Nurse'!$A$1:$H$1</definedName>
    <definedName name="_xlnm.Print_Area" localSheetId="4">'Scenario- ER'!$A$1:$I$40</definedName>
    <definedName name="_xlnm.Print_Area" localSheetId="2">'Scenario-Inventory'!$A$1:$I$42</definedName>
    <definedName name="_xlnm.Print_Area" localSheetId="8">'Scenario-OPD BizSim'!$A$1:$I$43</definedName>
    <definedName name="_xlnm.Print_Area" localSheetId="0">'Scenario-OPD-Doctor'!$A$1:$H$73</definedName>
    <definedName name="_xlnm.Print_Area" localSheetId="1">'Scenario-OPD-Nurse'!$A$1:$H$53</definedName>
    <definedName name="_xlnm.Print_Titles" localSheetId="4">'Scenario- ER'!$1:$2</definedName>
    <definedName name="_xlnm.Print_Titles" localSheetId="2">'Scenario-Inventory'!$1:$2</definedName>
    <definedName name="_xlnm.Print_Titles" localSheetId="8">'Scenario-OPD BizSim'!$1:$2</definedName>
    <definedName name="_xlnm.Print_Titles" localSheetId="0">'Scenario-OPD-Doctor'!$1:$2</definedName>
    <definedName name="_xlnm.Print_Titles" localSheetId="1">'Scenario-OPD-Nurse'!$1:$2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4" i="31" l="1"/>
  <c r="F34" i="31"/>
  <c r="E34" i="31"/>
  <c r="D34" i="31"/>
  <c r="C34" i="31"/>
  <c r="G33" i="31"/>
  <c r="F33" i="31"/>
  <c r="E33" i="31"/>
  <c r="D33" i="31"/>
  <c r="C33" i="31"/>
  <c r="G32" i="31"/>
  <c r="F32" i="31"/>
  <c r="E32" i="31"/>
  <c r="D32" i="31"/>
  <c r="C32" i="31"/>
  <c r="G31" i="31"/>
  <c r="F31" i="31"/>
  <c r="E31" i="31"/>
  <c r="D31" i="31"/>
  <c r="C31" i="31"/>
  <c r="G30" i="31"/>
  <c r="F30" i="31"/>
  <c r="E30" i="31"/>
  <c r="D30" i="31"/>
  <c r="C30" i="31"/>
  <c r="G29" i="31"/>
  <c r="F29" i="31"/>
  <c r="E29" i="31"/>
  <c r="D29" i="31"/>
  <c r="C29" i="31"/>
  <c r="G28" i="31"/>
  <c r="F28" i="31"/>
  <c r="E28" i="31"/>
  <c r="D28" i="31"/>
  <c r="C28" i="31"/>
  <c r="G27" i="31"/>
  <c r="F27" i="31"/>
  <c r="E27" i="31"/>
  <c r="D27" i="31"/>
  <c r="C27" i="31"/>
  <c r="G26" i="31"/>
  <c r="F26" i="31"/>
  <c r="E26" i="31"/>
  <c r="D26" i="31"/>
  <c r="C26" i="31"/>
  <c r="G25" i="31"/>
  <c r="F25" i="31"/>
  <c r="E25" i="31"/>
  <c r="D25" i="31"/>
  <c r="C25" i="31"/>
  <c r="F24" i="31"/>
  <c r="E24" i="31"/>
  <c r="D24" i="31"/>
  <c r="C24" i="31"/>
  <c r="H24" i="31" s="1"/>
  <c r="I24" i="31" s="1"/>
  <c r="G23" i="31"/>
  <c r="F23" i="31"/>
  <c r="E23" i="31"/>
  <c r="D23" i="31"/>
  <c r="C23" i="31"/>
  <c r="G22" i="31"/>
  <c r="F22" i="31"/>
  <c r="E22" i="31"/>
  <c r="D22" i="31"/>
  <c r="C22" i="31"/>
  <c r="G21" i="31"/>
  <c r="F21" i="31"/>
  <c r="E21" i="31"/>
  <c r="D21" i="31"/>
  <c r="C21" i="31"/>
  <c r="C10" i="31"/>
  <c r="C8" i="31"/>
  <c r="C15" i="31" s="1"/>
  <c r="C7" i="31"/>
  <c r="C14" i="31" s="1"/>
  <c r="C6" i="31"/>
  <c r="C5" i="31"/>
  <c r="C13" i="31" s="1"/>
  <c r="H28" i="31" l="1"/>
  <c r="I28" i="31" s="1"/>
  <c r="G35" i="31"/>
  <c r="F35" i="31"/>
  <c r="E35" i="31"/>
  <c r="D35" i="31"/>
  <c r="H34" i="31"/>
  <c r="I34" i="31" s="1"/>
  <c r="H33" i="31"/>
  <c r="I33" i="31" s="1"/>
  <c r="H32" i="31"/>
  <c r="I32" i="31" s="1"/>
  <c r="H31" i="31"/>
  <c r="I31" i="31" s="1"/>
  <c r="H30" i="31"/>
  <c r="I30" i="31" s="1"/>
  <c r="H29" i="31"/>
  <c r="I29" i="31" s="1"/>
  <c r="H27" i="31"/>
  <c r="I27" i="31" s="1"/>
  <c r="H26" i="31"/>
  <c r="I26" i="31"/>
  <c r="H25" i="31"/>
  <c r="I25" i="31"/>
  <c r="H23" i="31"/>
  <c r="I23" i="31" s="1"/>
  <c r="H22" i="31"/>
  <c r="I22" i="31" s="1"/>
  <c r="C35" i="31"/>
  <c r="H21" i="31"/>
  <c r="I21" i="31" s="1"/>
  <c r="C9" i="31"/>
  <c r="D15" i="31"/>
  <c r="D14" i="31"/>
  <c r="D13" i="31"/>
  <c r="D5" i="31"/>
  <c r="D10" i="31"/>
  <c r="D8" i="31"/>
  <c r="D7" i="31"/>
  <c r="D6" i="31"/>
  <c r="C16" i="31" l="1"/>
  <c r="D16" i="31" s="1"/>
  <c r="D9" i="31"/>
  <c r="C17" i="31"/>
  <c r="D17" i="31" s="1"/>
  <c r="H35" i="31"/>
  <c r="I35" i="3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tc={EE6D3A94-B110-41F8-A495-01ECC1B120EE}</author>
  </authors>
  <commentList>
    <comment ref="H2" authorId="0" shapeId="0" xr:uid="{EE6D3A94-B110-41F8-A495-01ECC1B120EE}">
      <text>
        <t>[Threaded comment]
Your version of Excel allows you to read this threaded comment; however, any edits to it will get removed if the file is opened in a newer version of Excel. Learn more: https://go.microsoft.com/fwlink/?linkid=870924
Comment:
    Feature OK แต่ต้องปรับ Confic</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<sst xmlns="http://schemas.openxmlformats.org/spreadsheetml/2006/main" count="15306" uniqueCount="4420">
  <si>
    <t>Case_id</t>
  </si>
  <si>
    <t>Use case Scenario</t>
  </si>
  <si>
    <t xml:space="preserve">Test case ID </t>
  </si>
  <si>
    <t>Test Step</t>
  </si>
  <si>
    <t xml:space="preserve">Status test </t>
  </si>
  <si>
    <t>NOTE</t>
  </si>
  <si>
    <t>Pass</t>
  </si>
  <si>
    <t>Fail</t>
  </si>
  <si>
    <t>N/A</t>
  </si>
  <si>
    <t>PHY-OPD-001</t>
  </si>
  <si>
    <t>การให้บริการคนไข้ก่อนพบแพทย์</t>
  </si>
  <si>
    <t>OPD/EMR</t>
  </si>
  <si>
    <t>ดูข้อมูลผล IMG</t>
  </si>
  <si>
    <t>ตรวจสอบข้อมูลผล IMG</t>
  </si>
  <si>
    <t>1. เลือกดูเมนู Imaging result ที่ Side bar ทางซ้ายมือ
2. ระบบจะแสดงข้อมูลขึ้นมา
3. สามารถใช้ Fillter เพื่อทำการกรองข้อมูล</t>
  </si>
  <si>
    <t>ดูข้อมูลผล LAB</t>
  </si>
  <si>
    <t>ตรวจสอบข้อมูลผล LAB</t>
  </si>
  <si>
    <t>1. เลือกดูเมนู Lab Result ที่ Side bar ทางซ้ายมือ
2. ระบบจะแสดงข้อมูลขึ้นมา
3. สามารถใช้ Fillter เพื่อทำการกรองข้อมูล</t>
  </si>
  <si>
    <t>เปรียบเทียบผล LAB</t>
  </si>
  <si>
    <t>1. เลือกดูเมนู Lab Result หรือ ประวัติ Patho ที่ Side bar ทางซ้ายมือ
2. ระบบจะแสดงข้อมูลขึ้นมา
3. กดปุ่ม แบบเปรียบเทียบ เพื่อทำการเปรียบเทียบผล LAB กับผลครั้งก่อนๆ
4. ระบบแสดงผล LAB เปรียบเทียบกัน</t>
  </si>
  <si>
    <t>ตรวจสอบข้อมูลผล LAB (Patho)</t>
  </si>
  <si>
    <t>1. เลือกดูเมนู ประวัติ Patho ที่ Side bar ทางซ้ายมือ
2. ระบบจะแสดงข้อมูลขึ้นมา
3. สามารถเลือกดูชุดข้อมูลต้องการได้</t>
  </si>
  <si>
    <t>ดูข้อมูลการคัดกรองของพยาบาล</t>
  </si>
  <si>
    <t>1. เลือกดูเมนู ฟอร์มคัดกรอง ที่ Side bar ทางซ้ายมือ
2. ระบบจะแสดงข้อมูลของ ฟอร์มคัดกรองขึ้นมา</t>
  </si>
  <si>
    <t>ดูข้อมูลประวัติการรักษาของคนไข้</t>
  </si>
  <si>
    <t>ตรวจสอบข้อมูล ประวัติการรักษา</t>
  </si>
  <si>
    <t>1. เลือกดูเมนู ประวัติการรักษา ที่ Side bar ทางซ้ายมือ
2. ระบบจะแสดงข้อมูลของ ประวัติการรักษา ขึ้นมาสามารถตรวจสอบข้อมูลได้ตามราย Visit</t>
  </si>
  <si>
    <t>ตรวจสอบข้อมูลประจำตัวของคนไข้ (Patient Banner)</t>
  </si>
  <si>
    <t>1. ข้อมูลประจำตัวของคนไข้ จะแสดงอยู่บน Banner ด้านบนสุดโดยจะประกอบไปด้วยข้อมูลดังนี้
1.1. ข้อมูลผู้ป่วย
1.2. ข้อมูลการแพ้
1.3. ข้อมูล U/D
1.4. ข้อมูล เชื้อดื้อยา
1.5. ข้อมูล Vital sign
1.6. ข้อมูล น้ำหนัก ส่วนสูง</t>
  </si>
  <si>
    <t>การดูข้อมูล Med reconcile</t>
  </si>
  <si>
    <t>ตรวจสอบข้อมูลประวัติยาเดิมของคนไข้</t>
  </si>
  <si>
    <t>1. เลือกดูเมนู Reconclie med ที่ Side bar ทางขวามือ
2. ระบบจะแสดงหน้าข้อมูลของ Reconclie med ขึ้นมา</t>
  </si>
  <si>
    <t>mock ข้อมูล</t>
  </si>
  <si>
    <t>จัดการข้อควรระวัง (Flag Manament)</t>
  </si>
  <si>
    <t>ตรวจสอบรายการข้อควรระวัง</t>
  </si>
  <si>
    <t>1. เลือกดูเมนู ข้อพึงระวัง ที่ Side bar ทางซ้ายมือ
2. ระบบจะแสดงหน้ากรอกข้อมูลของ ข้อควรระวัง
5. ระบบแสดงข้อมูลข้อควรระวัง</t>
  </si>
  <si>
    <t>เพิ่ิ่มรายการข้อควรระวัง</t>
  </si>
  <si>
    <t>1. เลือกดูเมนู ข้อพึงระวัง ที่ Side bar ทางซ้ายมือ
2. ระบบจะแสดงหน้ากรอกข้อมูลของ ข้อควรระวัง
3. คลิก "เพิ่มFlag"
4. กรอกข้อมูลที่ต้องการลงไป
5. กดบันทึก
5. ระบบจะแสดงข้อมูลข้อพึงระวังของคนไข้บน Patient banner</t>
  </si>
  <si>
    <t>แก้ไข/ลบข้อควรระวัง</t>
  </si>
  <si>
    <t>1. เลือกดูเมนู ข้อพึงระวัง ที่ Side bar ทางซ้ายมือ
2. ระบบจะแสดงหน้ากรอกข้อมูลของ ข้อควรระวัง
3.. แก้ไข หรือ ลบ Flag
4. กดบันทึก
5. ระบบจะแก้ไขข้อมูลข้อพึงระวัง หรือลบออกจาก Patient banner</t>
  </si>
  <si>
    <t>PHY-OPD-002</t>
  </si>
  <si>
    <t>การให้บริการคนไข้ขณะพบแพทย์</t>
  </si>
  <si>
    <t>การลง OPD Note</t>
  </si>
  <si>
    <t>การลงข้อมูลการรักษา</t>
  </si>
  <si>
    <t>1. กดเลือกคนไข้ที่พร้อมตัวจากหน้า รายการผู้ป่วยนอก ที่สถานะพร้อมตรวจ
2. ระบบจะแสดง OPD Note ขึ้นมา
3. ลงข้อมูลการรักษา
4. ลง diagnosis
5. บันทึกข้อมูล
6. ระบบแสดงข้อมูล OPD Note ที่บันทึก</t>
  </si>
  <si>
    <t>OPD/CPOE</t>
  </si>
  <si>
    <t>การ Order, View, Edit, Delete, (ยา/เวชภัณฑ์)</t>
  </si>
  <si>
    <t>สั่งยา</t>
  </si>
  <si>
    <t>1. กดเลือกคนไข้ที่พร้อมตัวจากหน้า รายการผู้ป่วยนอก ที่สถานะพร้อมตรวจ
2. ระบบจะแสดง Section ในส่วนของการ Order ขึ้นมา
3. ทำการสั่งยา
4. เลือกสั่งยา Home med หรือ In hospital
5. ระบุวิธีการใช้ยา / จำนวนยาที่จ่าย / หมายเหตุอื่นๆ
6. กดปุ่ม เพิ่ม order</t>
  </si>
  <si>
    <t>สั่งยาพร้อมนัดหมาย</t>
  </si>
  <si>
    <t>1. กดเลือกคนไข้ที่พร้อมตัวจากหน้า รายการผู้ป่วยนอก ที่สถานะพร้อมตรวจ
2. ระบบจะแสดง Section ในส่วนของการ Order ขึ้นมา
3. คลิกค้นหาวันนัด
4. เลือกวันที่และSlotเวลา
5. ค้นหารายการยา
6. จำนวนวันที่ใช้จะแสดงสอดคล้องกับจำนวนวันที่นัด</t>
  </si>
  <si>
    <t>สั่งยา Stat</t>
  </si>
  <si>
    <t>1. เลือกสั่งยาเป็น order stat
2. ระบุวิธีการใช้ยา / จำนวนยาที่จ่าย / หมายเหตุอื่นๆ
3. กดปุ่ม เพิ่ม order
4. ระบบจะแสดงรายการยาที่สั่ง พร้อม สถานะ Stat</t>
  </si>
  <si>
    <t>สั่งยา นอกบัญชียาหลัก หรือยาประเภทอื่นๆ (A-F)</t>
  </si>
  <si>
    <t xml:space="preserve">1. ระบบสามารถแสดงบัญชียาของรายการยาที่สั่งได้
2. เมื่อทำการสั่งยา ระบบนำราคาไปคำนวณได้ถูกต้องสัมพันธ์กับสิทธิ์การรักษาของคนไข้
</t>
  </si>
  <si>
    <t>สั่งยา ที่ต้องมีเอกสารประกอบการสั่งยา</t>
  </si>
  <si>
    <r>
      <t xml:space="preserve">1. ระบบสามารถทำการตั้งค่ายาที่ต้องมีเอกสารประกอบได้จากหน้าการจัดการการสั่งยา
   </t>
    </r>
    <r>
      <rPr>
        <sz val="12"/>
        <color rgb="FFFF0000"/>
        <rFont val="TH SarabunPSK"/>
        <family val="2"/>
      </rPr>
      <t xml:space="preserve"> 1.1 DUE
    1.2 PA
</t>
    </r>
    <r>
      <rPr>
        <sz val="12"/>
        <color theme="1"/>
        <rFont val="TH SarabunPSK"/>
        <family val="2"/>
      </rPr>
      <t>2. เมื่อสั่งยาที่ตั้งค่าเป็นยาที่ต้องการเอกสาร ระบบสามารถ alert แจ้งเตือนว่ามีเอกสารที่เกี่ยวข้อง
3. สามารถ Link / เรียกดูเอกสารที่เกี่ยวข้องกับยานั้นได้
4. สามารถ print/บันทึกข้อมูลลงไปในระบบได้
5. สามารถเรียกดู order เก่าที่มีการบันทึกเอกสารไว้ได้</t>
    </r>
  </si>
  <si>
    <t>เช็คเอกสาร ว่ามันคือ เอกสารตัวไหน</t>
  </si>
  <si>
    <t>การแจ้งเตือนการสั่งยาที่คนไข้แพ้ตามประวัติ</t>
  </si>
  <si>
    <t>1. เมื่อสั่งยาที่คนไข้แพ้ ระบบสามารถแสดง alert ได้
2. test ยาที่ related / VTM group ใกล้เคียง
3. เมื่อยืนยันการสั่งยาจะสามารถสั่งได้ โดยจะต้องระบุเหตุผลก่อนเท่านั้น</t>
  </si>
  <si>
    <t>การแจ้งเตือนการสั่งยาซ้ำ</t>
  </si>
  <si>
    <t>1. เมื่อสั่งยาซ้ำ ระบบสามารถแสดง alert ได้
2. test ยาที่ related / VTM group ใกล้เคียง
3. เมื่อยืนยันการสั่ง ยาจะสามารถสั่งได้ โดยจะต้องระบุเหตุผลก่อนเท่านั้น</t>
  </si>
  <si>
    <t>การแจ้งเตือนการสั่งยา Interaction</t>
  </si>
  <si>
    <t>1. สั่งยา Med0000003
2. สั่งยา Med0000007
3. ระบบจะ alert แจ้งเตือน การใช้ยาคู่ปฏิกิริยา
4. หากต้องการสั่งจะต้องกรอกเหตุผลการสั่งลงไป</t>
  </si>
  <si>
    <t>Remed</t>
  </si>
  <si>
    <t>1. กดเลือกคนไข้ที่พร้อมตัวจากหน้า รายการผู้ป่วยนอก ที่สถานะพร้อมตรวจ
2. ระบบจะแสดง Section ในส่วนของการ Order ขึ้นมา
3. คลิกปุ่มRemed
4. เลือกVisit และยาที่ต้องการRemed
5. ตกลง ยาที่เลือกจะแสดงในOrder Basket</t>
  </si>
  <si>
    <t>การ Order, View, Edit, Delete, (LAB)</t>
  </si>
  <si>
    <t>สั่ง LAB ต้องการทราบผลภายในวันที่สั่ง</t>
  </si>
  <si>
    <t>1. ค้นหารายการ lab ที่ต้องการสั่งใน order seach
2. ระบบจะแสดงรายการที่กำหนดไว้
3. เลือก Priority และ วันที่ต้องการทราบผลเป็นวันนี้
4. ระบบจะแสดงข้อมูลตามที่ได้เลือกไว้ ในส่วนของ วันที่ต้องการทราบหากเลือกเป็นวันนี้ ระบบจะไม่ให้เลือกวันที่
5. กดปุ่มเพิ่ม order ระบบจะเพิ่มการสั่งลงในระบบ
6. กดปุ่ม Sign เพื่อทำการส่งการสั่งไปยังห้องปฏิบัติการ</t>
  </si>
  <si>
    <t>สั่ง LAB ต้องการทราบผลภายในวันที่ต้องการ</t>
  </si>
  <si>
    <t>1. ค้นหารายการ lab ที่ต้องการสั่งใน order seach
2. ระบบจะแสดงรายการที่กำหนดไว้
3. เลือก Priority และ วันที่ต้องการทราบผลเป็นวันอื่น และเลือกวันที่ต้องการ
4. ระบบจะแสดงข้อมูลตามที่ได้เลือกไว้
5. กดปุ่มเพิ่ม order ระบบจะเพิ่มการสั่งลงในระบบ
6. กดปุ่ม Sign เพื่อทำการส่งการสั่งไปยังห้องปฏิบัติการ</t>
  </si>
  <si>
    <t>Order Check list</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</si>
  <si>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เลือกรายการLab
5. ตกลง รายการที่เลือกจะแสดงในOrder Basket</t>
  </si>
  <si>
    <t>การ Order, View, Edit, Delete, (IMG)</t>
  </si>
  <si>
    <t>สั่ง IMG ต้องการทราบผลภายในวันที่สั่ง</t>
  </si>
  <si>
    <t>1. ค้นหารายการ Img ที่ต้องการสั่งใน order seach
2. ระบบจะแสดงรายการที่กำหนดไว้
3. เลือก Priority และ วันที่ต้องการทราบผลเป็นวันนี้
4. ระบบจะแสดงข้อมูลตามที่ได้เลือกไว้ ในส่วนของ วันที่ต้องการทราบหากเลือกเป็นวันนี้ ระบบจะไม่ให้เลือกวันที่
5. กดปุ่มเพิ่ม order ระบบจะเพิ่มการสั่งลงในระบบ
6. กดปุ่ม Sign เพื่อทำการส่งการสั่งไปยังห้องปฏิบัติการ</t>
  </si>
  <si>
    <t>สั่ง IMG ต้องการทราบผลภายในวันที่ต้องการ</t>
  </si>
  <si>
    <t>1. ค้นหารายการ Img ที่ต้องการสั่งใน order seach
2. ระบบจะแสดงรายการที่กำหนดไว้
3. เลือก Priority และ วันที่ต้องการทราบผลเป็นวันอื่น และเลือกวันที่ต้องการ
4. ระบบจะแสดงข้อมูลตามที่ได้เลือกไว้
5. กดปุ่มเพิ่ม order ระบบจะเพิ่มการสั่งลงในระบบ
6. กดปุ่ม Sign เพื่อทำการส่งการสั่งไปยังห้องปฏิบัติการ</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</si>
  <si>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 Imaging
5. ตกลง รายการที่เลือกจะแสดงในOrder Basket</t>
  </si>
  <si>
    <t>การ Order, View, Edit, Delete, (หัตถการ)</t>
  </si>
  <si>
    <t>การสั่งหัตถการ</t>
  </si>
  <si>
    <t>1. กดเลือกคนไข้ที่พร้อมตัวจากหน้า รายการผู้ป่วยนอก ที่สถานะพร้อมตรวจ
2. ระบบจะแสดง Section ในส่วนของการ Order ขึ้นมา
3. ทำการสั่ง หัตถการ ที่ต้องการ
4. เลือก Priority และ วันที่ต้องการให้ทำหัตถการ และจำนวนครั้ง
5. กดปุ่มบันทึก
6. ระบบจะแสดงข้อมูล หัตถการที่สั่ง จำนวน ราคา พร้อม ICD9 (เฉพาะ หัตถการหมวด 11 เท่านั้น)</t>
  </si>
  <si>
    <t>หมวดที่ 11 เท่านั้นที่ผูกกับ ICD9 เพราะหมวดที่ต้องส่งเบิกมีแค่หมวด 11</t>
  </si>
  <si>
    <t>การเพิ่มค่า Doctor Fee</t>
  </si>
  <si>
    <t>เพิ่มค่าบริการแพทย์</t>
  </si>
  <si>
    <t>1. เลือกดูเมนู ค่าตรวจแพทย์ ที่ Side bar ทางขวามือ
2. ระบบจะแสดงหน้ากรอกข้อมูลขึ้นมา
3. เลือกเก็บค่าตรวจแพทย์
4. ใส่จำนวน
5. บันทึกข้อมูล ระบบจะนำข้อมูลส่วนนี้ไปใช้คำนวณค่าใช้จ่ายและเรียกเก็บกับคนไข้ในลำดับถัดไป</t>
  </si>
  <si>
    <t>การดูประวัติการสั่งยา</t>
  </si>
  <si>
    <t>ตรวจสอบประวัติการสั่งยา</t>
  </si>
  <si>
    <t>1. เลือกดูเมนู ประวัติใบยา ที่ Side bar ทางซ้ายมือ
2. ระบบจะแสดงข้อมูลขึ้นมา
3. สามารถเลือกดูข้อมูลตามราย Visit ได้
4. ระบบแสดงข้อมูลประวัติใบยาตามราย Visit</t>
  </si>
  <si>
    <t>เอกสารร่วมจ่าย (Co-pay)</t>
  </si>
  <si>
    <t>1. เลือกดูเมนู สร้างฟอร์ม ที่ Side bar ทางขวามือ
2. ระบบจะแสดงหน้ากรอกข้อมูลของ สร้างฟอร์ม ขึ้นมา
3. เลือกประเภทของฟอร์มที่ต้องการ
4. ระบบจะแสดงข้อมูลใบรับรองประเภทนั้นๆขึ้นมา
5. กรอกข้อมูลลงในฟอร์ม
6. บันทึกข้อมูล</t>
  </si>
  <si>
    <t>Admit request</t>
  </si>
  <si>
    <t>สร้าง Admit request กรณีที่คนไข้ต้องนอนโรงพยาบาล</t>
  </si>
  <si>
    <t xml:space="preserve">1. เลือกดูเมนู สร้าง admit order ที่ Side bar ทางขวามือ
2. ระบบจะแสดง ฟอร์ม ขึ้นมา
3. ลงข้อมูล Pre-diagnosis และ Chief complaint
4. กรอกข้อมูล Admit Request form
5. กดปุ่ม เครื่องหมายถูก เพื่อบันทึกข้อมูล
</t>
  </si>
  <si>
    <t>Refer*******</t>
  </si>
  <si>
    <t>รอเช็คว่ามีมั้ย</t>
  </si>
  <si>
    <t>Consult</t>
  </si>
  <si>
    <t>สร้าง Consult request เพื่อทำการปรึกษาแพทย์ท่านอื่น</t>
  </si>
  <si>
    <t>1. เลือกดูเมนู Consult ที่ Side bar ทางขวามือ
2. ระบบจะแสดงหน้ากรอกข้อมูลของ Consutl ขึ้นมา
3. กรอกข้อมูลที่ต้องการลงไป
4. กดบันทึกเพื่อทำการส่งแบบฟอร์ม
5. ระบบจะแสดงสถานะ รอตอบกลับ</t>
  </si>
  <si>
    <t>การตอบกับการ Consult ที่ได้รับ</t>
  </si>
  <si>
    <t>1. กดปุ่มเมนู มุมบนขวา 
2. เลือกเมนู ผู้ป่วยนอก
3. เลือกรายการปรึกษาแพทย์
4. ระบบจะแสดงข้อมูล Consult โดยแบ่งประเภทเป็น รับ Consult และ ส่ง Consult
5. เลือกรับ Consult ระบบจะแสดงรายการที่มี Request เอาไว้
6. เลือกรายการที่ต้องการตอบกลับ
7.ระบบจะแสดงรายละเอียดการ Consult ขึ้น
8. กรอกข้อมูลที่ต้องการตอบกลับและกดปุ่มบันทึก
9.สถานะของรายการ Consult นั้นจะเปลี่ยนเป็นตอบแล้ว</t>
  </si>
  <si>
    <t>ดูข้อมูล Consult ที่ตอบกลับมา</t>
  </si>
  <si>
    <t>1. กดปุ่มเมนู มุมบนซ้าย
2. เลือกเมนู ผู้ป่วยนอก
3. เลือกรายการปรึกษาแพทย์
4. ระบบจะแสดงข้อมูล Consult โดยแบ่งประเภทเป็น รับ Consult และ ส่ง Consult
5. เลือก ส่ง Consult ระบบจะแสดงรายการที่ส่ง Request เอาไว้
6. เลือกรายการที่มีต้องการโดย รายการที่มีการตอบกลับแล้วจะมีสถานะเป็น ตอบแล้ว
7.ระบบจะแสดงรายละเอียดการ Consult ที่แพทย์อีกท่านตอบกลับมา
8. และสามารถดูข้อมูลการตอบกลับได้ที่เมนู Consult ให้หน้า Patient profile</t>
  </si>
  <si>
    <t>ข้อมูลนัดหมายคนไข้</t>
  </si>
  <si>
    <t>ตรวจสอบข้อมูลนัดหมายคนไข้</t>
  </si>
  <si>
    <t>1. เลือกดูเมนู ประวัติการนัดหมาย ที่ Side bar ทางซ้ายมือ
2. ระบบจะแสดงข้อมูลนัดหมายทั้งหมดของคนไข้ขึ้นมา</t>
  </si>
  <si>
    <t>สร้างนัดหมายคนไข้</t>
  </si>
  <si>
    <t>1. เลือกดูเมนู สร้างนัดหมาย ที่ Side bar ทางขวามือ
2. ระบบจะแสดงข้อมูลหน้าสร้างนัดหมายขึ้นมา
3. เลือก คลินิก แพทย์ ประเภทการนัดหมาย แล้ว Slot ที่ต้องการ
4. กดบันทึก
5. ระบบจะบันทึกนัดหมายของคนไข้</t>
  </si>
  <si>
    <t>การลงข้อมูลการแพ้ของคนไข้</t>
  </si>
  <si>
    <t>การลงข้อมูลการแพ้ยาของคนไข้</t>
  </si>
  <si>
    <t>1. เลือกดูเมนู การแพ้ยา ที่ Side bar ทางขวามือ
2. ระบบจะแสดงหน้ากรอกข้อมูลของ การแพ้ยา ขึ้นมา
3. กรอกข้อมูลที่ต้องการลงไป
4. กดบันทึก
5. ระบบจะแสดงข้อมูลการแพ้ของคนไข้บน Patient banner</t>
  </si>
  <si>
    <t>การลงข้อมูลการแพ้อื่นๆของคนไข้</t>
  </si>
  <si>
    <t>1. เลือกดูเมนู การแพ้อื่นๆ ที่ Side bar ทางขวามือ
2. ระบบจะแสดงหน้ากรอกข้อมูลของ การแพ้อื่นๆ ขึ้นมา
3. กรอกข้อมูลที่ต้องการลงไป
4. กดบันทึก
5. ระบบจะแสดงข้อมูลการแพ้ของคนไข้บน Patient banner</t>
  </si>
  <si>
    <t>สร้างใบรับรองแพทย์</t>
  </si>
  <si>
    <t>ตรวจสอบสร้างใบรับรองแพทย์จากหน้า ใบรับรองแพทย์</t>
  </si>
  <si>
    <t>1. เลือกดูเมนู ใบรับรองแพทย์ ที่Side bar ทางขวามือ
2. ระบบจะแสดงหน้ากรอกข้อมูลของ การแพ้ยา ขึ้นมา
3. กรอกข้อมูลที่ต้องการลงไป
4. กดบันทึก</t>
  </si>
  <si>
    <t>ตรวจสอบสร้างใบรับรองแพทย์จากหน้า Document</t>
  </si>
  <si>
    <t>1. เลือกดูเมนู เอกสาร ที่Side bar ทางซ้ายมือ
2. ระบบจะแสดงหน้ารายการเอกสาร
3. คลิกสร้างเอกสาร
4. ระบบจะแสดงหน้าสร้างเอกสาร
5. ผู้ใช้เลือกประเภทเอกสาร "ใบรับรองแพทย์" และเลือกประเภทใบรับรองแพทย์
6. กรอกข้อมูลที่ต้องการลงไป
7. กดบันทึก</t>
  </si>
  <si>
    <t>พิมพ์ใบรับรองแพทย์จากหน้า</t>
  </si>
  <si>
    <t>1. เลือกดูเมนู เอกสาร ที่Side bar ทางซ้ายมือ
2. ระบบจะแสดงหน้ารายการเอกสาร
3. คลิิกพิมพ์เอกสาร</t>
  </si>
  <si>
    <t>เพิ่มประวัติการฉีดวัคซีน</t>
  </si>
  <si>
    <t>ตรวจสอบข้อมูลการให้วัคซีน</t>
  </si>
  <si>
    <t>1. เลือกดูเมนู ประวัติวัคซีน ที่Side bar ทางซ้าย
2. ระบบจะแสดงหน้าประวัติการให้วัคซีน</t>
  </si>
  <si>
    <t>เพิ่มข้อมูลการให้วัคซีน</t>
  </si>
  <si>
    <t>1. เลือกดูเมนู ประวัติวัคซีน ที่Side bar ทางซ้าย
2. ระบบจะแสดงหน้าประวัติการให้วัคซีน
3. กรอกข้อมูลยาวัคซีน
4. กดบันทึก
5. แสดงรายการประวัติการให้วัคซีน</t>
  </si>
  <si>
    <t>PHY-OPD-003</t>
  </si>
  <si>
    <t>ตรวจสอบข้อมูลต่างๆ</t>
  </si>
  <si>
    <t>ตรวจสอบข้อมูลคำสั่ง รคส.</t>
  </si>
  <si>
    <t>1. เปิดเมนูผู้ใช้งาน มุมขวาบน
2. เลือกคำสั่งรอยืนยัน
3. ตรวจสอบรายการ คำสั่งรคส.
4. กดApprove</t>
  </si>
  <si>
    <t>ตรวจสอบข้อมูลตารางตรวจ</t>
  </si>
  <si>
    <t>1. กดปุ่มเมนู มุมบนซ้าย
2. เลือกเมนู ผู้ป่วยนอก
3. เลือก ตารางแพทย์ และ ดูตารางออกตรวจแพทย์
4. ระบบจะแสดง ข้อมูลตารางตรวจทั้งหมดของแพทย์ขึ้นมา</t>
  </si>
  <si>
    <t>ตรวจสอบข้อมูลวันลาแพทย์</t>
  </si>
  <si>
    <t>1. กดปุ่มเมนู มุมบนซ้าย
2. เลือกเมนู ผู้ป่วยนอก
3. เลือก วันหยุดแพทย์
4. ระบบจะแสดง ข้อมูลวันหยุดแพทย์ ทั้งหมดขึ้นมา</t>
  </si>
  <si>
    <t xml:space="preserve">Case_id </t>
  </si>
  <si>
    <t>N-OPD-001</t>
  </si>
  <si>
    <t>การให้บริการคนไข้ก่อนพบแพทย์ (การจัดการคนไข้ Walk in)</t>
  </si>
  <si>
    <t>OPD</t>
  </si>
  <si>
    <t>การจัดการผู้ป่วย Walk-in</t>
  </si>
  <si>
    <t>1. กดปุ่มเมนูมุมบนขวา เลือกผู้ป่วยนอก และ รายการผู้ป่วย Walk-in request
2. ระบบจะแสดงรายการคนไข้ที่มีการ Walk-in เข้ามาในระบบ
3. ทำการ assign แพทย์ที่คนไข้จะได้เข้ารับการตรวจในวันนี้</t>
  </si>
  <si>
    <t>สร้างนัดหมายคนไข้ (กรณีคนไข้ไม่ได้เข้ารับการตรวจในวันนั้นๆ)</t>
  </si>
  <si>
    <t>N-OPD-002</t>
  </si>
  <si>
    <t>การคัดกรองของพยาบาล</t>
  </si>
  <si>
    <t>เพิ่มการคัดกรองของพยาบาล</t>
  </si>
  <si>
    <t>1. เลือกดูเมนู ฟอร์มคัดกรอง ที่ Side bar ทางขวามือ
2. ระบบจะแสดง ฟอร์มคัดกรองขึ้นมา
3. กรอกข้อมูลการคัดกรองลงไป
4. บันทึกข้อมูล
5. ระบบแสดงข้อมูลที่ได้ทำการบันทึกลงไป
6. สามารถ add attach file/outside document ได้</t>
  </si>
  <si>
    <t>การทำ med reconcile</t>
  </si>
  <si>
    <t>1. เลือกดูเมนู reconcile med ที่ Side bar ทางขวามือ
2. ระบบจะแสดง ฟอร์ม reconcile med ขึ้นมา
3. กรอกข้อมูลรายการยาลงไป
    -3.1 ยาที่มีในระบบ
     3.2 ยาที่ไม่มีในระบบ (free text)
4. บันทึกข้อมูล
      รายการยา/วิธีใช้/จำนวนคงเหลือ/หน่วย
5. สามารถเรียกดูข้อมูลที่ได้ทำการบันทึกลงไป</t>
  </si>
  <si>
    <t>ดูข้อมูลประวัติการแพ้</t>
  </si>
  <si>
    <t>ตรวจสอบข้อมูล ประวัติการแพ้</t>
  </si>
  <si>
    <t>1. เลือกดูเมนู ประวัติการแพ้ ที่ Side bar ทางซ้ายมือ
2. ระบบจะแสดงข้อมูลของ ประวัติการแพ้ของคนไข้
3. โดยเรียงลำดับจากการแพ้ที่ Active และตามด้วย Serverity</t>
  </si>
  <si>
    <t>N-OPD-003</t>
  </si>
  <si>
    <t>การให้บริการคนไข้ระหว่างพบแพทย์</t>
  </si>
  <si>
    <t>Order รคส.</t>
  </si>
  <si>
    <t>1. กดเลือกคนไข้ที่พร้อมตัวจากหน้า รายการผู้ป่วยนอก ที่สถานะพร้อมตรวจ
2. ระบบจะแสดง Section ในส่วนของการ Order ขึ้นมา
3. ระบุแพทย์ผู้สั่ง
4. ทำการสั่งยา</t>
  </si>
  <si>
    <t>สั่งยากลับบ้าน</t>
  </si>
  <si>
    <t>1. กดเลือกคนไข้ที่พร้อมตัวจากหน้า รายการผู้ป่วยนอก ที่สถานะพร้อมตรวจ
2. ระบบจะแสดง Section ในส่วนของการ Order ขึ้นมา
3. ทำการสั่งยา</t>
  </si>
  <si>
    <t>สั่งยาที่ต้องมีเอกสารประกอบการสั่งยา</t>
  </si>
  <si>
    <t>1. ระบบสามารถทำการตั้งค่ายาที่ต้องมีเอกสารประกอบได้จากหน้าการจัดการการสั่งยา
    1.1 DUE
    1.2 PA
2. เมื่อสั่งยาที่ตั้งค่าเป็นยาที่ต้องการเอกสาร ระบบสามารถ alert แจ้งเตือนว่ามีเอกสารที่เกี่ยวข้อง
3. สามารถ Link / เรียกดูเอกสารที่เกี่ยวข้องกับยานั้นได้
4. สามารถ print/บันทึกข้อมูลลงไปในระบบได้
5. สามารถเรียกดู order เก่าที่มีการบันทึกเอกสารไว้ได้</t>
  </si>
  <si>
    <t>1. เมื่อสั่งยาที่คนไข้แพ้ ระบบสามารถแสดง alert ได้
2. test ยาที่ related / ATC group ใกล้เคียง
3. เมื่อยืนยันการสั่ง ยาจะสามารถสั่งได้ โดยจะต้องระบุเหตุผลก่อนเท่านั้น</t>
  </si>
  <si>
    <t>การแจ้งเตือนการสั่งยาซ้ำ (Duplication alert)</t>
  </si>
  <si>
    <t>1. เมื่อสั่งยาซ้ำ ระบบสามารถแสดง alert ได้
2. test ยาที่ related / ATC group ใกล้เคียง
3. เมื่อยืนยันการสั่ง ยาจะสามารถสั่งได้ โดยจะต้องระบุเหตุผลก่อนเท่านั้น</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</si>
  <si>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เลือกรายการLab/Imaging
5. ตกลง รายการที่เลือกจะแสดงในOrder Basket</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</si>
  <si>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เลือกรายการImaging
5. ตกลง รายการที่เลือกจะแสดงในOrder Basket</t>
  </si>
  <si>
    <t xml:space="preserve">1. กดเลือกคนไข้ที่พร้อมตัวจากหน้า รายการผู้ป่วยนอก ที่สถานะพร้อมตรวจ
2. ระบบจะแสดง Section ในส่วนของการ Order ขึ้นมา
3. ทำการสั่ง หัตถการ ที่ต้องการ
4. เลือก Priority และ วันที่ต้องการให้ทำหัตถการ และจำนวนครั้ง
5. กดปุ่มบันทึก
6. ระบบจะแสดงข้อมูล หัตถการที่สั่ง จำนวน ราคา พร้อม ICD9 </t>
  </si>
  <si>
    <t>N-OPD-004</t>
  </si>
  <si>
    <t>การให้บริการคนไข้หลังพบแพทย์ (คนไข้กลับบ้าน)</t>
  </si>
  <si>
    <t>Discharge summary</t>
  </si>
  <si>
    <t>1. กดเลือกคนไข้ที่พร้อมตัวจากหน้า รายการผู้ป่วยนอก ที่สถานะ ตรวจเสร็จ
2. ระบบจะแสดงข้อมูลการรักษา / Order / คิวการเงินห้องยา
3. เลือกประเภทการ Discharge
4. หากเลือก ประเภทเป็น Dead ระบบจะแสดงแบบ form ให้กรอกข้อมูล</t>
  </si>
  <si>
    <t>ปริ้นท์เอกสารต่างๆ</t>
  </si>
  <si>
    <t xml:space="preserve">1. ปริ้นท์เอกสารบัตรนัดที่เมนู ประวัตินัดหมาย ที่ side bar ซ้ายมือ
2. ปริ้นท์บัตรคิว การเงิน / ห้องยา ที่หน้า Discharge summary
3. ปริ้นท์เอกสารอื่นๆ ที่เมนู เอกสาร ที่ side bar ซ้ายมือ </t>
  </si>
  <si>
    <t>N-OPD-005</t>
  </si>
  <si>
    <t>การให้บริการคนไข้หลังพบแพทย์ (คนไข้ Admit)</t>
  </si>
  <si>
    <t>ดูข้อมูล Admit request</t>
  </si>
  <si>
    <t xml:space="preserve">1. เลือกดูเมนู สร้าง admit order ที่ Side bar ทางขวามือ
2. ระบบจะแสดง ฟอร์ม ขึ้นมา โดยมีสถานะ แสดงอยู่
</t>
  </si>
  <si>
    <t>N-OPD-006</t>
  </si>
  <si>
    <t>พยาบาลตั้งค่าระบบก่อนใช้งานระบบ</t>
  </si>
  <si>
    <t>ตั้งค่าตารางตรวจ</t>
  </si>
  <si>
    <t>1. เข้าแอพผู้ป่วยนอก
2. คลิกที่หัวข้อ "ผู้ป่วยนอก" ที่แถบเมนูด้านซ้ายมือ
3. เลือกดูเมนู ตารางออกตรวจแพทย์ เพื่อเปิดหน้าต่างจัดการตารางเวลาของแพทย์ขึ้นมา
4. เมื่อคลิกแล้ว หน้าจอจะแสดงช่องสำหรับเลือก"คลินิก" และ "แพทย์
5. ระบุชื่อคลินิก ชื่อแพทย์ ค้นหา
6. กรอกรายละเอียดวันที่ออกตรวจ และจำนวนผู้ป่วยที่รับในแต่ละSlotเวลา</t>
  </si>
  <si>
    <t>ตั้งค่าวันหยุด</t>
  </si>
  <si>
    <t>1. กดปุ่มเมนู มุมบนซ้าย
2. เลือกเมนู ผู้ป่วยนอก
3. เลือก วันหยุดแพทย์
4. ระบบจะแสดง ข้อมูลวันหยุดแพทย์ ทั้งหมดขึ้นมา
5. กดปุ่ม เพิ่มวันลา มุมบนขวา
6. ลงข้อมูลวันที่ต้องการลา ระบุแพทย์และเหตุผลในการลา และกดบันทึก
7. ระบบจะแสดงข้อมูลวันหยุดขึ้นมา</t>
  </si>
  <si>
    <t>TOR_ID</t>
  </si>
  <si>
    <t>Result Test Version 1.12.13</t>
  </si>
  <si>
    <t>Note</t>
  </si>
  <si>
    <t>PHA-INV-001</t>
  </si>
  <si>
    <t>4.9.21.1 / 4.9.21.6</t>
  </si>
  <si>
    <t>สร้างใบยาในระบบ และ ระบบคลังทำการตัด Stock รายการยานั้นๆ</t>
  </si>
  <si>
    <t>สร้้าง Order ยา</t>
  </si>
  <si>
    <t>สั่่งยา</t>
  </si>
  <si>
    <t>1. เลือกเมนู OPD Note
2. ระบบจะแสดงหน้าต่าง OPD ขึ้นมา
3. เลื่อนลงไป Section: Order
4. กรอกชื่อยาในช่อง Order Search
5. กรอกข้อมูลการใช้ยา
6. เพิ่มยาลงตะกร้า
7. กดปุ่มส่งคำสั่ง</t>
  </si>
  <si>
    <t>สร้างใบยาในระบบ และ ระบบคลังทำการตัด Stock รายการยานั้นๆ.mp4</t>
  </si>
  <si>
    <t>OPD/PHA</t>
  </si>
  <si>
    <t>สร้างใบยาตัด Stock</t>
  </si>
  <si>
    <t>สร้างใบยา</t>
  </si>
  <si>
    <t>1. ไปที่เมนูห้องยา
2. เลือกห้องยาชั้น 1
3. เลือกคนไข้ที่จะสร้างใบยา
4. เลือกรายการยาที่จะสร้างใบยา
5. กดปุ่มสร้างใบยา</t>
  </si>
  <si>
    <t>จัดยา</t>
  </si>
  <si>
    <t>1. เลือกรายการยาที่จะสร้างใบยา
2. กดปุ่มสร้างใบยา
3. กดปุ่มจัดยาแล้ว</t>
  </si>
  <si>
    <t>จ่ายยา</t>
  </si>
  <si>
    <t>1. กดปุ่มยืนยันรอจ่าย
2. เลือก 3จุด ด้านหลังรายการยา
3. เลือก ยืนยันจ่ายยา</t>
  </si>
  <si>
    <t>PHA-INV-002</t>
  </si>
  <si>
    <t>4.9.21.2</t>
  </si>
  <si>
    <t>เบิกของจากคลังใหญ่ไปคลังย่อย</t>
  </si>
  <si>
    <t>PHA/INV</t>
  </si>
  <si>
    <t>สร้างใบขอเบิกจากคลังต้นทาง</t>
  </si>
  <si>
    <t>สร้างใบขอเบิกไปยังคลังย่อย</t>
  </si>
  <si>
    <t>1. เข้าเมนู เบิกโอน &gt;&gt; ขอเบิก (ต้นทาง)
2. กดปุ่ม สร้างใบขอเบิก
3. เลือกคลังต้นทาง (คลังใหญ่) &gt;&gt; กดปุ่ม OK
4. กดปุ่ม เพิ่มสินค้า
4. ค้นหาและเลือกรายการสินค้า พร้อมระบุจำนวนที่ขอเบิก
5. กดปุ่ม บันทึกออกใบขอเบิก
6. ระบบแสดงใบขอเบิกพร้อมเลขที่เอกสาร และสถานะ ขอเบิก</t>
  </si>
  <si>
    <t>สร้างใบขอเบิกไปยังคลังย่อย.mp4</t>
  </si>
  <si>
    <t>ดึงรายการที่ถึงจุดสั่งซื้อเข้าใบขอเบิกอัตโนมัติ</t>
  </si>
  <si>
    <t>1. เข้าเมนู เบิกโอน &gt;&gt; ขอเบิก (ต้นทาง)
2. กดปุ่ม สร้างใบขอเบิก
3. เลือกคลังต้นทาง (คลังใหญ่) &gt;&gt; กดปุ่ม OK
4. กดปุ่ม แสดงรายการที่ถึงจุดสั่งชื้อ
4. ค้นหาและเลือกรายการสินค้า พร้อมระบุจำนวนที่ขอเบิก
5. กดปุ่ม บันทึกออกใบขอเบิก
6. ระบบแสดงใบขอเบิกพร้อมเลขที่เอกสาร และสถานะ ขอเบิก</t>
  </si>
  <si>
    <t>Mock Data ให้ขึ้นสีเหลืองไว้</t>
  </si>
  <si>
    <t>ดึงรายการที่ถึงจุดสั่งซื้อเข้าใบขอเบิกอัตโนมัติ.mp4</t>
  </si>
  <si>
    <t>พิมพ์ใบขอเบิกจากคลัง</t>
  </si>
  <si>
    <t>1. เปิดใบขอเบิกที่สร้างไว้
2. กดปุ่ม พิมพ์ใบขอเบิก
3. ระบบแสดงใบขอเบิกจากคลัง พร้อมเลขที่เอกสาร หน่วยขอเบิก-หน่วยจ่าย และรายการสินค้า</t>
  </si>
  <si>
    <t>พิมพ์ใบขอเบิกจากคลัง.mp4</t>
  </si>
  <si>
    <t>โอนสินค้าระหว่างคลัง</t>
  </si>
  <si>
    <t>โอนสินค้าจากคลังใหญ่ไปคลังย่อย</t>
  </si>
  <si>
    <t>1. เข้าเมนู เบิกโอน &gt;&gt; โอนระหว่างคลัง (ต้นทาง)
2. กดปุ่ม สร้างใบโอน
3. เลือกคลังต้นทาง (คลังใหญ่) &gt;&gt; กดปุ่ม OK
4. กดปุ่ม เพิ่มสินค้า
4. ค้นหาและเลือกรายการสินค้า พร้อมระบุจำนวนที่โอนในแต่ล่ะ Lot
5. กดปุ่ม บันทึกโอนออกจากคลัง
6. ระบบแสดงใบโอนพร้อมเลขที่เอกสาร และสถานะ โอนระหว่างคลัง</t>
  </si>
  <si>
    <t>โอนสินค้าจากคลังใหญ่ไปคลังย่อย.mp4</t>
  </si>
  <si>
    <t>ตรวจสอบยอดคงเหลือคลังต้นทางหลังโอน</t>
  </si>
  <si>
    <t>1. เข้าเมนู ภาพรวม
2. ค้นหาสินค้าที่โอนออกไป
3. ตรวจสอบยอดคงเหลือลดลงตรงตามจำนวนที่โอน
4. เปิด Stock Card ของสินค้า
5. ระบบแสดง movement ประเภทโอนออก พร้อมเลขที่ใบโอน</t>
  </si>
  <si>
    <t>ตรวจสอบยอดคงเหลือคลังต้นทางหลังโอน.mp4</t>
  </si>
  <si>
    <t>Bug ไม่สามารถพิมพ์ใบ Stock Card ได้</t>
  </si>
  <si>
    <t>ตรวจสอบยอดคงเหลือคลังต้นทางหลังโอน Fix.mp4</t>
  </si>
  <si>
    <t>รับเข้าที่คลังปลายทาง</t>
  </si>
  <si>
    <t>คลังย่อยรับเข้าสินค้าที่โอนมา</t>
  </si>
  <si>
    <t>1. เข้าเมนู รับเข้า &gt;&gt; รับเข้าระหว่างคลัง (โอนเข้า)
2. เลือกรายการที่รอรับเข้า
3. ตรวจสอบจำนวนและ Lot แล้วกดปุ่ม รับเข้าจากเบิก/โอน
4. ยอดคงเหลือของคลังย่อยเพิ่มขึ้นตามจำนวนที่รับ</t>
  </si>
  <si>
    <t>คลังย่อยรับเข้าสินค้าที่โอนมา.mp4</t>
  </si>
  <si>
    <t>PHA-INV-003</t>
  </si>
  <si>
    <t>4.9.21.3</t>
  </si>
  <si>
    <t>อนุมัติหรือปฏิเสธคำขอการเบิกสินค้า</t>
  </si>
  <si>
    <t>ตรวจสอบใบขอเบิกที่รอจ่าย</t>
  </si>
  <si>
    <t>ตรวจสอบรายการใบขอเบิกที่รออนุมัติ</t>
  </si>
  <si>
    <t>1. เข้าเมนู จ่ายออก &gt;&gt; จ่ายตามใบขอเบิก
2. กดปุ่ม ค้นหา
3. ระบบแสดง ใบขอเบิกพร้อมสถานะ ขอเบิก
4. เลือกรายการ ขอเบิกเพื่อดูรายการสินค้า จำนวนที่ขอ และยอดคงคลัง</t>
  </si>
  <si>
    <t>ตรวจสอบรายการใบขอเบิกที่รออนุมัติ.mp4</t>
  </si>
  <si>
    <t>อนุมัติคำขอเบิก</t>
  </si>
  <si>
    <t>อนุมัติและจ่ายเต็มจำนวน</t>
  </si>
  <si>
    <t>1. เข้าเมนู จ่ายออก &gt;&gt; จ่ายตามใบขอเบิก
2. กดปุ่ม ค้นหา
3. ระบบแสดง ใบขอเบิกพร้อมสถานะ ขอเบิก
4. เลือกรายการ ขอเบิกเพื่อดูรายการสินค้า จำนวนที่ขอ และยอดคงคลัง
5. ระบุจำนวนที่จ่าย (จ่ายเต็มจำนวน)
6. กดปุ่ม บันทึกจ่ายออกจากคลัง</t>
  </si>
  <si>
    <t>อนุมัติและจ่ายเต็มจำนวน.mp4</t>
  </si>
  <si>
    <t>อนุมัติแบบจ่ายบางส่วน (ค้างจ่าย)</t>
  </si>
  <si>
    <t>1. เข้าเมนู จ่ายออก &gt;&gt; จ่ายตามใบขอเบิก
2. กดปุ่ม ค้นหา
3. ระบบแสดง ใบขอเบิกพร้อมสถานะ ขอเบิก
4. เลือกรายการ ขอเบิกเพื่อดูรายการสินค้า จำนวนที่ขอ และยอดคงคลัง
5. ระบุจำนวนที่จ่าย (ระบุไม่ครบตามจำนวนที่ขอเบิก)
6. กดปุ่ม บันทึกจ่ายออกจากคลัง</t>
  </si>
  <si>
    <t>**ต้องกด จ่ายบางส่วน**</t>
  </si>
  <si>
    <t>อนุมัติแบบจ่ายบางส่วน (ค้างจ่าย).mp4</t>
  </si>
  <si>
    <t>กรณียอดคงคลังไม่พอ</t>
  </si>
  <si>
    <t>กรณียอดคงคลังไม่พอ.mp4</t>
  </si>
  <si>
    <t>ปฏิเสธคำขอเบิก</t>
  </si>
  <si>
    <t>ปฏิเสธ / ยกเลิกใบขอเบิก</t>
  </si>
  <si>
    <t>ปฏิเสธ รับของระหว่างคลัง
1. เข้าเมนู รับเข้า &gt;&gt; รับเข้าระหว่างคลัง(โอนเข้า)
1. เปิดใบขอเบิกที่มีสถานะ จ่ายออกจากการเบิก
2. กดปุ่ม ปฏิเสธรับเข้าจากเบิก/โอน
3. กดปุ่ม YES
5. สถานะเปลี่ยนเป็น ปฏิเสธรับเข้าจากเบิก และยอดคงเหลือไม่ถูกตัด</t>
  </si>
  <si>
    <t>ปฏิเสธ ยกเลิกใบขอเบิก.mp4</t>
  </si>
  <si>
    <t>PHA-INV-004</t>
  </si>
  <si>
    <t>4.9.21.4 / 4.9.21.5</t>
  </si>
  <si>
    <t>รับของเข้าคลังตามรายที่เบิก (มีทั้งหมด 3 วิธี)</t>
  </si>
  <si>
    <t>วิธีที่ 1 รับเข้าจากใบสั่งซื้อ (PO)</t>
  </si>
  <si>
    <t xml:space="preserve">สร้างเอกสาร PR และ อนุมัติเอกสาร PR </t>
  </si>
  <si>
    <t>1. เข้าเมนู จัดชื้อ &gt;&gt; ขอซื้อ (PR)
2. กดปุ่ม สร้างใบสั่งชื้อ
3. ระบุผู้จำหน่าย
3. กดปุ่ม เพิ่มสินค้า
4. เลือกรายการสินค้า &gt;&gt; กดปุ่ม เลือก
5. ระบุจำนวนขอชื้อ, ของแถม, Vat, ราคาทุน/หน่วยชื้อ, ผู้ผลิต, เหตุผลในการขอชื้อ, หมายเหตุ 
6. กดบันทึกออกใบขอชื้อ
7. เลือกเอกสาร PR
8. กดปุ่ม อนุมัติใบขอชื้อ</t>
  </si>
  <si>
    <t>สร้างเอกสาร PR และ อนุมัติเอกสาร PR.mp4</t>
  </si>
  <si>
    <t>สร้างเอกสาร PO</t>
  </si>
  <si>
    <t>1. เข้าเมนู จัดชื้อ &gt;&gt; สั่งซื้อ (PO)
2. กดปุ่ม สร้างใบสั่งชื้อ
3. กดปุ่ม รายการใบขอสั่งชื้อ
4. กดปุ่ม ค้นหา
5. เลือกรายการเอกสาร PR (ที่อนุมัติแล้ว) &gt;&gt; เลือก
6. กดปุ่ม บันทึกออกใบสั่งชื้อ
7. กดปุ่ม Yes</t>
  </si>
  <si>
    <t>สร้างเอกสาร PO.mp4</t>
  </si>
  <si>
    <t>รับเข้าตาม PO เต็มจำนวน</t>
  </si>
  <si>
    <t>1. เข้าเมนู รับเข้า &gt;&gt; รับเข้าจากการสั่งชื้อ(PO)
2. เลือกรายการเอกสาร PO
3. กดติ๊กหน้ารายการที่จะรับเข้า
4. ระบุ Lot No., รับเข้า, รับเข้าของแถม(ถ้ามี) (กรอกรับเต็มจำนวน)
5. บันทึกรับเข้าคลัง
7. รายการจะแสดงสถานะเปลี่ยนจาก สั่งชื้อ เป็น รับเข้า</t>
  </si>
  <si>
    <t>รับเข้าตาม PO เต็มจำนวน.mp4</t>
  </si>
  <si>
    <t>รับเข้าตาม PO บางส่วน (ค้างรับ)</t>
  </si>
  <si>
    <t xml:space="preserve">1. เข้าเมนู รับเข้า &gt;&gt; รับเข้าจากการสั่งชื้อ(PO)
2. เลือกรายการเอกสาร PO
3. กดติ๊กหน้ารายการที่จะรับเข้า
4. ระบุ Lot No., รับเข้า, รับเข้าของแถม(ถ้ามี) (กรอกรับไม่เต็มจำนวน)
5. บันทึกรับเข้าคลัง
7. รายการจะยังคงแสดงสถานะเป็น สั่งชื้อ </t>
  </si>
  <si>
    <t>รับเข้าตาม PO บางส่วน (ค้างรับ).mp4</t>
  </si>
  <si>
    <t>พิมพ์ใบรับเข้าสินค้า</t>
  </si>
  <si>
    <t>1. เข้าเมนู รับเข้า &gt;&gt; รับเข้าจากการสั่งชื้อ(PO)
2. เลือกรายการเอกสาร PO
3. กดปุ่ม พิมพ์ใบรับเข้าสินค้า</t>
  </si>
  <si>
    <t>พิมพ์ใบรับเข้าสินค้า.mp4</t>
  </si>
  <si>
    <t>วิธีที่ 2 รับเข้าจากการโอนระหว่างคลัง</t>
  </si>
  <si>
    <t>รับเข้าสินค้าที่คลังอื่นโอนมา</t>
  </si>
  <si>
    <t>1. เข้าเมนู รับเข้า &gt;&gt; รับเข้าระหว่างคลัง (โอนเข้า)
2. ระบบแสดงรายการทั้งหมด
3. เลือกรายการที่จะรับเข้า
4. ตรวจสอบจำนวนและ Lot &gt;&gt; กดปุ่ม รับเข้าจากเบิก/โอน
5. สถานะเปลี่ยนเป็น รับจากการโอนระหว่างคลัง และยอดคงเหลือเพิ่มขึ้น</t>
  </si>
  <si>
    <t>รับเข้าสินค้าที่คลังอื่นโอนมา.mp4</t>
  </si>
  <si>
    <t>พิมพ์ใบรับโอน</t>
  </si>
  <si>
    <t>1. เข้าเมนู รับเข้า &gt;&gt; รับเข้าระหว่างคลัง (โอนเข้า)
2. ระบบแสดงรายการทั้งหมด
3. เลือกรายการที่ รับจากการโอนระหว่างคลัง
4. กดปุ่ม พิมพ์ใบรับเข้าจากการเบิก/โอน</t>
  </si>
  <si>
    <t>พิมพ์ใบรับโอน.mp4</t>
  </si>
  <si>
    <t>วิธีที่ 3 รับเข้าจากช่องทางอื่น (บริจาค / เร่งด่วน / อื่นๆ)</t>
  </si>
  <si>
    <t>สร้างใบรับเข้าแบบบริจาค</t>
  </si>
  <si>
    <t>1. เข้าเมนู รับเข้า &gt;&gt; รับเข้าวิธีอื่นๆ (บริจาค/เร่งด่วน/อื่นๆ)
2. ระบบแสดงรายการทั้งหมด
3. กดปุ่ม สร้างใบสั่งชื้อด้วยวิธีอื่นๆ
4. ระบุ ประเภทการรับเข้า (ระบุ รับเข้าจากยาบริจาค)
5. กดปุ่ม เพิ่มสินค้า
6. เลือกรายการสินค้า &gt;&gt; กดปุ่ม เลือก
7. ระบุ Lot, จำนวนรับเข้า
8. กดปุ่ม บันทึกรอรับเข้า</t>
  </si>
  <si>
    <t>สร้างใบรับเข้าแบบบริจาค.mp4</t>
  </si>
  <si>
    <t>บันทึกใบรับเข้าเป็นสถานะ รอรับ</t>
  </si>
  <si>
    <t>1. เข้าเมนู รับเข้า &gt;&gt; รับเข้าวิธีอื่นๆ (บริจาค/เร่งด่วน/อื่นๆ)
2. ระบบแสดงรายการทั้งหมด
3. เลือกรายการที่จะรับเข้า
4. ตรวจสอบจำนวน &gt;&gt; กดปุ่ม บันทึกรับเข้าคลัง
5. สถานะเปลี่ยนเป็น รับเข้า และยอดคงเหลือเพิ่มขึ้น</t>
  </si>
  <si>
    <t>บันทึกใบรับเข้าเป็นสถานะ รอรับ.mp4</t>
  </si>
  <si>
    <t>ตรวจสอบประวัติการรับเข้า</t>
  </si>
  <si>
    <t>1. เข้าเมนู รับเข้า &gt;&gt; รับเข้าวิธีอื่นๆ (บริจาค/เร่งด่วน/อื่นๆ)
2. ระบบแสดงรายการทั้งหมด
3. เลือกรายการที่ รับเข้า
4. กดปุ่ม พิมพ์ใบรับเข้าสินค้า</t>
  </si>
  <si>
    <t>ตรวจสอบประวัติการรับเข้า.mp4</t>
  </si>
  <si>
    <t>Bug ไม่สามารถพิมพ์เอกสารรับเข้าได้</t>
  </si>
  <si>
    <t>ตรวจสอบประวัติการรับเข้า Fix.mp4</t>
  </si>
  <si>
    <t>สถานะยา</t>
  </si>
  <si>
    <t>ชื่อสถานะ</t>
  </si>
  <si>
    <t>Code</t>
  </si>
  <si>
    <t>Drug Name</t>
  </si>
  <si>
    <t>สีเขียว</t>
  </si>
  <si>
    <t>เกินจุดสูงสุด</t>
  </si>
  <si>
    <t>med0000028</t>
  </si>
  <si>
    <t>ACTEMRA (tocilizumab 80 mg/4 mL) concentrate for solution for infusion</t>
  </si>
  <si>
    <t>สีเหลือง</t>
  </si>
  <si>
    <t>ถึงจุดสั่งชื้อ</t>
  </si>
  <si>
    <t>med0000006</t>
  </si>
  <si>
    <t>UTO LINCOMYCIN (lincomycin 3 g/10 mL) solution for injection</t>
  </si>
  <si>
    <t>สีส้ม</t>
  </si>
  <si>
    <t>ต่ำกว่าจุดวิกฤต</t>
  </si>
  <si>
    <t>med0000015</t>
  </si>
  <si>
    <t>THENOX (enoxaparin sodium 60 mg/0.6 mL) solution for injection</t>
  </si>
  <si>
    <t>สีแดง</t>
  </si>
  <si>
    <t>หมดคลัง</t>
  </si>
  <si>
    <t>MED0000247</t>
  </si>
  <si>
    <t>liposomal AMPHOTERICIN B 50 MG (UC)</t>
  </si>
  <si>
    <t>สีฟ้า</t>
  </si>
  <si>
    <t>รอรับเข้า</t>
  </si>
  <si>
    <t>med0000033</t>
  </si>
  <si>
    <t>ARCONA (60 MG) (etoricoxib 60 mg) film-coated tablet</t>
  </si>
  <si>
    <t>สีม่วง</t>
  </si>
  <si>
    <t>ใกล้หมดอายุ</t>
  </si>
  <si>
    <t>med0000027</t>
  </si>
  <si>
    <t>ACTEMRA (tocilizumab 400 mg/20 mL) concentrate for solution for infusion</t>
  </si>
  <si>
    <t>สีขาว</t>
  </si>
  <si>
    <t>มีพอใช้งาน</t>
  </si>
  <si>
    <t>med0000004</t>
  </si>
  <si>
    <t>FELDENE (piroxicam 500 mg/100 g) gel</t>
  </si>
  <si>
    <t>User</t>
  </si>
  <si>
    <t>HN</t>
  </si>
  <si>
    <t>FName</t>
  </si>
  <si>
    <t>LName</t>
  </si>
  <si>
    <t>Test</t>
  </si>
  <si>
    <t>Inventory01</t>
  </si>
  <si>
    <t>Inventory02</t>
  </si>
  <si>
    <t>ยาสำหรับใช้ทดสอบ</t>
  </si>
  <si>
    <t>MED0000323</t>
  </si>
  <si>
    <t>VINCRISTINE SULFATE 2 MG/2 ML INJECTION</t>
  </si>
  <si>
    <t>MED0000278</t>
  </si>
  <si>
    <t>SOFOSBUVIR 400 MG +LEDIPASVIR 90 MG TABLET (UC/SS)</t>
  </si>
  <si>
    <t>COVID-19 VACCINE, 5 ML INJECTION (AZ) - ต่างชาติ</t>
  </si>
  <si>
    <t>Pass/Fail</t>
  </si>
  <si>
    <t>UAT-ER-01</t>
  </si>
  <si>
    <t>4.9.8.1.1
4.9.8.1.2
4.9.8.1.3
4.9.8.2.1
4.9.8.2 (1.9.2.4)
4.9.8.4.2
4.9.8.5 (1.9.5.1)
4.9.8.7.2
4.9.8.8.3
4.9.8.9.1</t>
  </si>
  <si>
    <t>ผู้ป่วยมี HN เดิม ตรวจแล้วจำหน่าย แยกตามประเภท Disposition</t>
  </si>
  <si>
    <t>1. ต้องเพื่ม MOPH Refer เพิ่มแล้ว
2. ประวัติแพ้ยา เพื่มแล้ว</t>
  </si>
  <si>
    <t>ER/REG</t>
  </si>
  <si>
    <t>เปิด Visit ER สิทธิ์  UC</t>
  </si>
  <si>
    <t> </t>
  </si>
  <si>
    <t>ค้นหาผู้ป่วยด้วย HN / ชื่อ / เลขบัตร</t>
  </si>
  <si>
    <t>1. เข้าแอป ห้องฉุกเฉิน &gt;&gt; แดชบอร์ด  &gt;&gt; กด "+ คัดกรอง" &gt;&gt; เลือก "ผู้ป่วยมี HN" แล้วค้นหาผู้ป่วยรายเดียวกันทีละวิธี: HN · ชื่อ-สกุล · เลขบัตรประชาชน
2. ผลที่ควรเห็น: ทุกวิธีพบผู้ป่วยรายเดียวกัน</t>
  </si>
  <si>
    <t>ผู้ทำ: เวชระเบียน</t>
  </si>
  <si>
    <t>1. การเงินไม่สามารถปิด Visit ได้ ต้องให้แก้ก่อน
2. Lab Result ไม่สามารถส่งกลับมาได้</t>
  </si>
  <si>
    <t>ตรวจข้อมูลผู้ป่วยก่อนเปิด Visit</t>
  </si>
  <si>
    <t>1. เลือกผู้ป่วย แล้วดูข้อมูลเบื้องต้นก่อนเปิด Visit
2. ผลที่ควรเห็น: เห็นชื่อ-สกุล รูปถ่าย</t>
  </si>
  <si>
    <t>เปิด Visit ER</t>
  </si>
  <si>
    <t>1. ในหน้าต่าง "เปิด Visit ER" เลือกสิทธิการรักษา แล้วกด "ยืนยันเปิด visit"
2. ผลที่ควรเห็น: ขึ้นข้อความ "สร้าง Visit สำเร็จ" และหัวจอผู้ป่วยแสดงเลข EN ของการมาครั้งนี้</t>
  </si>
  <si>
    <t>ER/TRIAGE</t>
  </si>
  <si>
    <t>คัดกรอง (Triage)</t>
  </si>
  <si>
    <t>กรอกฟอร์มคัดกรองให้ครบ</t>
  </si>
  <si>
    <t>1. ในขั้น "1 Triage" กรอกฟอร์มคัดกรองให้ครบ: วิธีนำส่ง (วิธีการมาถึง) · รูปแบบเข้ารับบริการ · สัญญาณชีพ · Pain Score · อาการนำ · แพ้ยา .GCS .MEWS
2. ผลที่ควรเห็น: กรอกได้ครบทุกหัวข้อ และระบบคำนวณ MEWS จากสัญญาณชีพให้อัตโนมัติ</t>
  </si>
  <si>
    <t>ผู้ทำ: พยาบาลคัดกรอง</t>
  </si>
  <si>
    <t>เลือกระดับความเร่งด่วน (ESI)</t>
  </si>
  <si>
    <t>1. ดูระดับความเร่งด่วน (ESI) ที่ระบบแนะนำ แล้วเลือกระดับที่เหมาะสม
2. ผลที่ควรเห็น: ระบบแสดงระดับที่แนะนำ ผู้ใช้เลือกเองได้ และระบบเลือกโซนที่แนะนำตามระดับให้ (แก้ได้)</t>
  </si>
  <si>
    <t>เลือกโซนและบันทึกคัดกรอง</t>
  </si>
  <si>
    <t>1. ตรวจโซน แล้วกด "บันทึก"
2. ผลที่ควรเห็น: หน้าเปลี่ยนเป็น Overview แสดงระดับความเร่งด่วนและโซน · ผู้ป่วยขึ้นในคอลัมน์โซนนั้นบน ER Dashboard</t>
  </si>
  <si>
    <t>ER/EMR</t>
  </si>
  <si>
    <t>ตรวจรักษา</t>
  </si>
  <si>
    <t>เปิดผู้ป่วยจาก ER Dashboard</t>
  </si>
  <si>
    <t>1. เปิด ER Dashboard แล้วคลิกผู้ป่วยจากรายการบนบอร์ด (Whiteboard)
2. ผลที่ควรเห็น: เข้าหน้าข้อมูลการรับบริการและการรักษาของผู้ป่วยรายนั้นได้</t>
  </si>
  <si>
    <t>ผู้ทำ: แพทย์ ER</t>
  </si>
  <si>
    <t>บันทึก ER Physician Note</t>
  </si>
  <si>
    <t>1. เปิดหน้าผู้ป่วย &gt;&gt; ER Physician Note (จากแท็บด้านขวา) บันทึกผลการตรวจ แล้วบันทึก
2. ผลที่ควรเห็น: บันทึกสำเร็จ เปิดดูซ้ำแล้วข้อมูลยังอยู่</t>
  </si>
  <si>
    <t>บันทึกประวัติแพ้ยา</t>
  </si>
  <si>
    <t>1. แท็บด้านขวา &gt;&gt; บันทึกการแพ้ &gt;&gt; กรอกข้อมูลการแพ้ยา &gt;&gt; กด "บันทึก"
2. ผลที่ควรเห็น: ระบบแสดงรายการแพ้ยาที่ Banner ของผู้ป่วย</t>
  </si>
  <si>
    <t>ขอ Consult แพทย์เฉพาะทาง</t>
  </si>
  <si>
    <t>1. ขอ Consult แพทย์เฉพาะทาง: ใน Section Consult ของฟอร์มฝั่ง ER เลือก "ขอปรึกษาไปยังคลินิก" กรอกรายละเอียด แล้วบันทึก
2. ผลที่ควรเห็น: คำขอ Consult ถูกส่ง และแสดงในรายการ Consult ว่ามาจาก ER</t>
  </si>
  <si>
    <t>ตอบ Consult</t>
  </si>
  <si>
    <t>1. เปิดคำขอ Consult ที่มาจาก ER แล้วตอบคำปรึกษาในช่อง "คำตอบ"
2. ผลที่ควรเห็น: บันทึกคำตอบได้</t>
  </si>
  <si>
    <t>ผู้ทำ: แพทย์เฉพาะทาง</t>
  </si>
  <si>
    <t>ดูคำตอบ Consult</t>
  </si>
  <si>
    <t>1. กลับมาดูที่หน้าผู้ป่วย ER
2. ผลที่ควรเห็น: เห็นคำตอบจากแพทย์เฉพาะทาง</t>
  </si>
  <si>
    <t xml:space="preserve">สั่ง Order </t>
  </si>
  <si>
    <t>1. ไปที่แท๊บขวา &gt;&gt; เลือก "One Day Order" &gt;&gt; เพิ่มรายการยา/LAB/IMAGING/Activity
2. เพิ่มลงตะกร้า &gt;&gt; กดปุ่ม "ส่งคำสั่ง"
3. ผลที่ควรเห็น: แสดงรายการที่หน้า Order Summary</t>
  </si>
  <si>
    <t>กรณี 1.1</t>
  </si>
  <si>
    <t>กรณี 1.1 กลับบ้านปกติ (Disposition) — ผู้ป่วยรายที่ 1</t>
  </si>
  <si>
    <t>เริ่ม Disposition และกรอกข้อมูลในเอกสาร</t>
  </si>
  <si>
    <t>1. Patient Card &gt;&gt; แท็บด้านขวา &gt;&gt; Disposition &gt;&gt; เริ่มจำหน่าย &gt;&gt; เลือก With Approval
2. กรอกข้อมูลที่เป็น Required Field ทั้งหมด
3. ผลที่ควรเห็น: สถานะ Disposition เป็น DRAFT</t>
  </si>
  <si>
    <t>ลงนามเอกสาร Disposition</t>
  </si>
  <si>
    <t>1. กดปุ่ม "ลงนาม" (Sign) เอกสาร Disposition
2. ผลที่ควรเห็น: เอกสารแสดงสถานะลงนามแล้ว</t>
  </si>
  <si>
    <t>ออกใบรับรองแพทย์</t>
  </si>
  <si>
    <t>1. ออกใบรับรองแพทย์ได้ 
2. ผลที่ควรเห็น: สามารถออกเอกสารใบรับรองแพทย์ได้</t>
  </si>
  <si>
    <t>กรณี 1.2</t>
  </si>
  <si>
    <t>กรณี 1.2 ปฏิเสธการรักษา — ผู้ป่วยรายที่ 2</t>
  </si>
  <si>
    <t>เริ่ม Disposition แบบ ปฏิเสธการรักษา</t>
  </si>
  <si>
    <t>1. ผู้ป่วยขอกลับ: Patient Card &gt;&gt; แท็บด้านขวา &gt;&gt; Disposition &gt;&gt; เริ่มจำหน่าย &gt;&gt; เลือก Against Advice
2. กรอกข้อมูลที่เป็น Required Field ทั้งหมด
3. ผลที่ควรเห็น: สถานะ Disposition เป็น DRAFT</t>
  </si>
  <si>
    <t>กรณี 1.3</t>
  </si>
  <si>
    <t>กรณี 1.3 ลงนาม แล้วพบข้อมูลผิด (Reopen) — ใช้ผู้ป่วยจากกรณี 1.1 ต่อได้</t>
  </si>
  <si>
    <t>Reopen Disposition ที่ ลงนาม แล้ว</t>
  </si>
  <si>
    <t>1. เปิด Disposition ของผู้ป่วยกรณี 1.1 ที่ ลงนาม แล้ว พบว่าข้อมูลผิด กดปุ่ม "Reopen"
2. ผลที่ควรเห็น: สามารถดำเนินการแก้ไขข้อมูลที่ต้องการได้</t>
  </si>
  <si>
    <t>แก้ข้อมูลและ ลงนาม ใหม่</t>
  </si>
  <si>
    <t>1. แก้ข้อมูลให้ถูกต้อง แล้ว ลงนาม ใหม่
2. ผลที่ควรเห็น: ลงนาม สำเร็จ ข้อมูลเป็นค่าที่แก้แล้ว</t>
  </si>
  <si>
    <t>ตรวจผู้ทำและเวลาการ Disposition</t>
  </si>
  <si>
    <t>1. ดูข้อมูลการ Disposition
2. ผลที่ควรเห็น: ระบบเก็บชื่อผู้ทำและเวลาของการ Disposition</t>
  </si>
  <si>
    <t>UAT-ER-02</t>
  </si>
  <si>
    <t>4.9.8.1.3</t>
  </si>
  <si>
    <t>ผู้ป่วยใหม่ไม่มี HN มา ER ครั้งแรก</t>
  </si>
  <si>
    <t>ลงทะเบียนผู้ป่วยใหม่ (สร้าง HN)</t>
  </si>
  <si>
    <t>1. ห้องฉุกเฉิน &gt;&gt; แดชบอร์ด &gt;&gt; กด "+ คัดกรอง" &gt;&gt; เลือก "ผู้ป่วยใหม่" กรอกเลขบัตรประชาชน · ชื่อ · นามสกุล · เพศ · วันเกิด . บันทึกรูปภาพด้วย แล้วกด "ลงทะเบียนผู้ป่วย" 
2. ผลที่ควรเห็น: ลงทะเบียนสำเร็จ ได้ HN ใหม่ (ไม่ต้องกรอกที่อยู่ก็ลงทะเบียนได้)</t>
  </si>
  <si>
    <t>1. เปิด Visit ER: เลือกสิทธิการรักษา แล้วกด "ยืนยันเปิด visit"
2. ผลที่ควรเห็น: ขึ้นข้อความ "สร้าง Visit สำเร็จ" และได้เลข EN</t>
  </si>
  <si>
    <t xml:space="preserve">  </t>
  </si>
  <si>
    <t>คัดกรองและเลือกโซน</t>
  </si>
  <si>
    <t>1. กรอกฟอร์มคัดกรอง (สัญญาณชีพ · GCS · อาการสำคัญ ฯลฯ) เลือกระดับความเร่งด่วนและโซน แล้วกด "บันทึก"
2. ผลที่ควรเห็น: ผู้ป่วยขึ้นในคอลัมน์โซนที่เลือกบน ER Dashboard และแสดงระดับความเร่งด่วน</t>
  </si>
  <si>
    <t>พิมพ์ป้ายปลายเตียง</t>
  </si>
  <si>
    <t>1. หน้า Overview &gt;&gt; แท็บด้านขวา &gt;&gt; พิมพ์ป้ายปลายเตียง
2. ผลที่ควรเห็น: ได้ป้ายปลายเตียงที่มีชื่อผู้ป่วย เลข EN และวันเวลา</t>
  </si>
  <si>
    <t>1. เปิดหน้าผู้ป่วย &gt;&gt; ER Physician Note (จากแท็บด้านขวา) บันทึกผลการตรวจ แล้วบันทึก 
2. ผลที่ควรเห็น: บันทึกสำเร็จ เปิดดูซ้ำแล้วข้อมูลยังอยู่</t>
  </si>
  <si>
    <t>ER/DISP</t>
  </si>
  <si>
    <t>จำหน่าย (Disposition)</t>
  </si>
  <si>
    <t>ยืนยันการกรอกที่อยู่ผู้ป่วย (ในกรณีคนไข้ไม่ได้ถูกระบุที่อยู่)</t>
  </si>
  <si>
    <t>1. กรณีไม่มีที่อยู่ &gt;&gt; "ลงนามต่อ"
2. ผลที่ควรเห็น: ลงนาม สำเร็จ สถานะเป็น ลงนาม</t>
  </si>
  <si>
    <t>UAT-ER-03</t>
  </si>
  <si>
    <t>4.9.8.1.3
4.9.8.1.4
4.9.8.2.1
4.9.8.4.2</t>
  </si>
  <si>
    <t>ผู้ป่วยไม่ทราบตัวตน หมดสติ ต้องกู้ชีพ</t>
  </si>
  <si>
    <t>ลงทะเบียนผู้ป่วยระบุตัวตนไม่ได้</t>
  </si>
  <si>
    <t>1. ห้องฉุกเฉิน &gt;&gt; กด "+ คัดกรอง" &gt;&gt; เลือก "ผู้ป่วยระบุตัวตนไม่ได้" กรอกชื่อสมมติ เพศ บันทึกรูปภาพ และอายุโดยประมาณ แล้วลงทะเบียน
2. ผลที่ควรเห็น: ได้ HN ชั่วคราว (Dummy) และชื่อสมมติแสดงบนหัวจอ</t>
  </si>
  <si>
    <t>1. เปิด Visit ER ให้ผู้ป่วยรายนี้
2. ผลที่ควรเห็น: ได้เลข EN และระบบเปิดฟอร์มคัดกรองต่อทันที</t>
  </si>
  <si>
    <t>คัดกรอง ESI 1 พร้อม GCS</t>
  </si>
  <si>
    <t>1. กรอกฟอร์มคัดกรอง: สัญญาณชีพ และ GCS (E / V / M) แล้วเลือกระดับความเร่งด่วน 1 (กู้ชีพ)
2. ผลที่ควรเห็น: ระบบคำนวณ MEWS ให้อัตโนมัติ และเลือกโซนแดงให้</t>
  </si>
  <si>
    <t>ตรวจโซนแดงและบันทึก</t>
  </si>
  <si>
    <t>1. ตรวจว่าโซนเป็นโซนแดง แล้วกด "บันทึก"
2. ผลที่ควรเห็น: ผู้ป่วยขึ้นในคอลัมน์โซนแดง ER บน ER Dashboard</t>
  </si>
  <si>
    <t>บันทึก CPR Progression</t>
  </si>
  <si>
    <t>1. หน้าผู้ป่วย &gt;&gt; แท็บด้านขวา &gt;&gt; CPR Progression บันทึกการกู้ชีพ: วันเวลา · Rhythm · CPR Mark (เริ่ม CPR / หยุด CPR)
2. ผลที่ควรเห็น: บันทึกได้ และย้อนดูรายการที่บันทึกไว้ได้เรียงตามเวลา</t>
  </si>
  <si>
    <t>ผู้ทำ: พยาบาล ER</t>
  </si>
  <si>
    <t>บันทึก Doctor Progress Note</t>
  </si>
  <si>
    <t>1. เลือกผู้ป่วย &gt;&gt; แท็บด้านขวา &gt;&gt; สร้างฟอร์ม &gt;&gt; Doctor Progress Note กรอก S O A P แล้วบันทึก
2. ผลที่ควรเห็น: บันทึกสำเร็จ แสดงในรายการพร้อมวันเวลาและชื่อผู้บันทึก</t>
  </si>
  <si>
    <t>Disposition แบบ Admission และลงนาม</t>
  </si>
  <si>
    <t>1. Patient Card &gt;&gt; แท็บด้านขวา &gt;&gt; Disposition เลือก "Admission" &gt;&gt; ลงนาม (Sign) เอกสาร Disposition
2. ผลที่ควรเห็น: ลงนามได้ · ถ้าขึ้นหน้าต่าง "ผู้ป่วยยังไม่มีข้อมูลที่อยู่" กด "ลงนามต่อ" ได้</t>
  </si>
  <si>
    <t>UAT-ER-04</t>
  </si>
  <si>
    <t>4.9.8.4.1
1.9.5.1
4.9.8.7.2</t>
  </si>
  <si>
    <t>ผู้ป่วย ER ต้องนอนโรงพยาบาล (รอเตียง)</t>
  </si>
  <si>
    <t xml:space="preserve">จำหน่าย (Disposition) - Admit Request </t>
  </si>
  <si>
    <t>Disposition แบบ Admission และ ลงนาม</t>
  </si>
  <si>
    <t>1. Patient Card &gt;&gt; แท็บด้านขวา &gt;&gt; Disposition &gt;&gt; เลือก "Admission" &gt;&gt; ลงนาม (Sign) เอกสาร Disposition
2. ผลที่ควรเห็น: ลงนาม สำเร็จ สถานะเป็น ลงนาม</t>
  </si>
  <si>
    <t>ER/ADMIT</t>
  </si>
  <si>
    <t>หลังจำหน่าย: Admit</t>
  </si>
  <si>
    <t>สร้าง Admit Request</t>
  </si>
  <si>
    <t>1. สร้าง Admit Request ส่งไปศูนย์จัดการเตียง
2. ผลที่ควรเห็น: ศูนย์จัดการเตียงเห็นคำขอ Admit ของผู้ป่วยรายนี้</t>
  </si>
  <si>
    <t>ย้ายคนไข้ไปโซน คนไข้รอเตียง</t>
  </si>
  <si>
    <t>1. เปิดหน้า Dashboard หรือ หน้ารายการ (แท็บ ผู้ป่วยรอเตียง)
2. ผลที่ควรเห็น: เห็นคนไข้ที่สร้างคำขอ Admit แสดงอยู่ในแท๊บ ผู้ป่วยรอเตียง</t>
  </si>
  <si>
    <t>สร้าง AN (Convert EN เป็น AN)</t>
  </si>
  <si>
    <t>1. รับเป็นผู้ป่วยใน: สร้าง AN (Convert จาก EN เป็น AN)
2. ผลที่ควรเห็น: ผู้ป่วยได้เลข AN</t>
  </si>
  <si>
    <t>ผู้ทำ: ศูนย์จัดการเตียง</t>
  </si>
  <si>
    <t>ดูข้อมูลการรักษาคนไข้</t>
  </si>
  <si>
    <t>ดู Treatment Timeline</t>
  </si>
  <si>
    <t>1. เมนูด้านซ้าย "ประวัติการรักษา" &gt;&gt; แท็บ Timeline
2. ผลที่ควรเห็น: ติดตามกิจกรรมย้อนหลังได้ครบ ตั้งแต่เปิด Visit ถึง Disposition เรียงตามเวลา พร้อมชื่อผู้บันทึก</t>
  </si>
  <si>
    <t>ติดตามสถานะ Lab / IMG</t>
  </si>
  <si>
    <t>1. เปิดรายการผู้ป่วย ER (มุมมอง "รายการ") ดูคอลัมน์สถานะ Lab และ IMG ไปจนผลออก
2. ผลที่ควรเห็น: คอลัมน์ขึ้นสถานะรอผลเองหลังแพทย์สั่ง และเปลี่ยนเมื่อผลออกครบ</t>
  </si>
  <si>
    <t>UAT-ER-05</t>
  </si>
  <si>
    <t>4.9.8.2.1
1.9.2.2
1.9.2.3
1.9.5.1
4.9.8.7.3
4.9.8.9.1
4.9.8.9.3</t>
  </si>
  <si>
    <t>คัดกรองแรกรับ (ESI 5) และคัดกรองซ้ำประเมินอาการ</t>
  </si>
  <si>
    <t>กรณี 5.1</t>
  </si>
  <si>
    <t>กรณี 5.1 ผู้ป่วยไม่ฉุกเฉิน ESI 5 ส่งต่อ OPD</t>
  </si>
  <si>
    <t>คัดกรอง ESI 5</t>
  </si>
  <si>
    <t>1. กรอกฟอร์มคัดกรอง แล้วเลือกระดับความเร่งด่วน 5 (ไม่เร่งด่วน)
2. ผลที่ควรเห็น: ระบบเสนอโซนเขียว (Green Zone)</t>
  </si>
  <si>
    <t>ส่งต่อผู้ป่วยไป OPD</t>
  </si>
  <si>
    <t>1. ส่งต่อผู้ป่วยไปตรวจที่ OPD
2. ผลที่ควรเห็น: ผู้ป่วยในหน้า ER Dashboard</t>
  </si>
  <si>
    <t>กรณี 5.2</t>
  </si>
  <si>
    <t>กรณี 5.2 ผู้ป่วยอาการทรุดระหว่างรอตรวจ → ต้องคัดกรองซ้ำ</t>
  </si>
  <si>
    <t>คัดกรองรอบแรกและประเมินอาการ</t>
  </si>
  <si>
    <t>1. ที่หน้าคัดกรอง บันทึกสัญญาณชีพรอบแรก (MEWS อยู่ในระดับสูง ESI 2)
2. ผลที่ควรเห็น: แสดงข้อมูลคัดกรองรอบแรก</t>
  </si>
  <si>
    <t>ดูแจ้งเตือน MEWS</t>
  </si>
  <si>
    <t>1. ดูการแจ้งเตือนที่หน้า EMR ของผู้ป่วย และที่หน้า Patient list
2. ผลที่ควรเห็น: มีแจ้งเตือน MEWS</t>
  </si>
  <si>
    <t>Acknowledge แจ้งเตือน MEWS</t>
  </si>
  <si>
    <t>1. ที่หน้าคัดกรอง กด Acknowledge การแจ้งเตือน MEWS โดยพิมพ์ข้อความประกอบก่อนกด
2. ผลที่ควรเห็น: สถานะเปลี่ยนจาก "รอการรับทราบ" เป็น "รับทราบแล้ว" พร้อมชื่อผู้กดและเวลา · ถ้ายังไม่พิมพ์ข้อความจะกด Acknowledge ไม่ได้</t>
  </si>
  <si>
    <t>คัดกรองซ้ำ (Re-triage)</t>
  </si>
  <si>
    <t>1. กดปุ่ม "คัดกรองซ้ำ" กรอกการคัดกรองครั้งใหม่ เลือกระดับความเร่งด่วนที่สูงขึ้น (เช่น ESI 1) แล้วบันทึก
2. ผลที่ควรเห็น: หน้าจอแสดงระดับความเร่งด่วนใหม่ และผู้ป่วยย้ายไปโซนตามระดับใหม่</t>
  </si>
  <si>
    <t>ดูประวัติการคัดกรอง</t>
  </si>
  <si>
    <t>1. ดู "ประวัติการคัดกรอง" ที่หน้า Overview
2. ผลที่ควรเห็น: มีการคัดกรองครบทุกรอบ แต่ละรอบมีเวลาและชื่อผู้คัดกรอง (เป็นชื่อคน ไม่ใช่รหัส) รอบล่าสุดมีป้าย "ปัจจุบัน"</t>
  </si>
  <si>
    <t>ตรวจลำดับเร่งด่วนบน ER Dashboard</t>
  </si>
  <si>
    <t>1. เปิด ER Dashboard ดูลำดับความเร่งด่วน
2. ผลที่ควรเห็น: ลำดับของผู้ป่วยรายนี้เปลี่ยนตามความรุนแรงใหม่</t>
  </si>
  <si>
    <t>กรณี 5.3</t>
  </si>
  <si>
    <t>กรณี 5.3 Suspect Fast Track &amp; Trauma</t>
  </si>
  <si>
    <t>คัดกรองแบบ Suspect Fast Track &amp; Trauma</t>
  </si>
  <si>
    <t>1. กรอกฟอร์มคัดกรอง ที่หัวข้อ Suspect Fast Track เปลี่ยนจาก "Not Suspect Fast Track" เป็น Suspect Fast Track : Sepsis
2. เลือก Trauma Classification เป็น "Trauma" และกรอก GCS (E / V / M) ให้ครบ เลือกระดับความเร่งด่วนและโซน แล้วกดบันทึก 
3. ผลที่ควรเห็น: บันทึกข้อมูล Suspect Fast Track, Trauma และ GCS ได้ ผู้ป่วยขึ้นในโซนบน ER Dashboard</t>
  </si>
  <si>
    <t>ดู Suspect Fast Track &amp; Trauma บน Dashboard</t>
  </si>
  <si>
    <t>1. เปิด ER Dashboard ดูการ์ดผู้ป่วยรายนี้
2. ผลที่ควรเห็น: เห็นว่าผู้ป่วยเป็น Suspect Fast Track และ Trauma บน Dashboard</t>
  </si>
  <si>
    <t>ดู Section Suspect ใน ER Physician Note</t>
  </si>
  <si>
    <t>1. เปิดหน้าผู้ป่วย &gt;&gt; ER Physician Note ดู Section Suspect Fast track 
2. ผลที่ควรเห็น: มี Section Suspect พร้อมปุ่ม Acknowledge และ Reject</t>
  </si>
  <si>
    <t>Acknowledge / Reject Suspect Fast Track</t>
  </si>
  <si>
    <t>1. กด Acknowledge (หรือ Reject ถ้าไม่เห็นด้วย)
2. ผลที่ควรเห็น: ระบบแสดงข้อความยืนยันใน Section · ถ้ากด Reject ค่าที่เลือกไว้ถูกล้าง</t>
  </si>
  <si>
    <t>UAT-ER-06</t>
  </si>
  <si>
    <t>4.9.8.4.1
4.9.8.4.2</t>
  </si>
  <si>
    <t>แพทย์บันทึกการรักษาต่อเนื่องหลายรอบ</t>
  </si>
  <si>
    <t>1. เลือกผู้ป่วย &gt;&gt; แท็บด้านขวา &gt;&gt; สร้างฟอร์ม &gt;&gt; Doctor Progress Note กรอก Perform time และ S O A P แล้วบันทึก
2. ผลที่ควรเห็น: บันทึกสำเร็จ แสดงครบทั้ง S O A P (ช่อง P ไม่ขึ้นเป็น none) หัวรายการแสดงวันเวลาและชื่อผู้บันทึก (ไม่ใช่รหัส)</t>
  </si>
  <si>
    <t>บันทึก Progress Note เพิ่มหลายรอบ</t>
  </si>
  <si>
    <t>1. บันทึก Progress Note เพิ่มอีกอย่างน้อย 2 รอบ คนละเวลา
2. ผลที่ควรเห็น: มี Progress Note ครบทุกรอบ</t>
  </si>
  <si>
    <t>ดูประวัติ Custom Form</t>
  </si>
  <si>
    <t>1. เปิด "ประวัติ Custom Form"
2. ผลที่ควรเห็น: เห็นทุก Progress note เรียงตามเวลาครบ</t>
  </si>
  <si>
    <t>UAT-ER-07</t>
  </si>
  <si>
    <t>4.9.8.3.1
4.9.8.6.3
4.9.8.8.1
4.9.8.8.2</t>
  </si>
  <si>
    <t>อุบัติเหตุหมู่ ผู้ป่วยมาพร้อมกันหลายราย</t>
  </si>
  <si>
    <t>สร้างเหตุการณ์</t>
  </si>
  <si>
    <t>1. ห้องฉุกเฉิน &gt;&gt; กด "+ คัดกรอง" &gt;&gt; แท็บ "ผู้ป่วยหลายคน"
2. กดปุ่ม "สร้างเหตุการณ์"
3. กรอก ชื่อเหตุการณ์ / สถานที่เกิดเหตุ / อาการสำคัญร่วม
4. กดปุ่ม "สร้าง"
5. ผลที่ควรเห็น: เข้าสู่หน้าสร้างผู้ป่วยหลายคน</t>
  </si>
  <si>
    <t>ผู้ทำ: พยาบาลคััดกรอง</t>
  </si>
  <si>
    <t>เพิ่มผู้ป่วยหลายคนในเหตุการณ์เดียว</t>
  </si>
  <si>
    <t>1. เพิ่มผู้ป่วยในเหตุการณ์เดียวกันอย่างน้อย 2 ราย
2. ผลที่ควรเห็น: ผู้ป่วยทุกรายอยู่ในรายการ เรียงตามลำดับที่เพิ่ม</t>
  </si>
  <si>
    <t>ตรวจสอบ อาการสำคัญร่วม (Chief Complaint)</t>
  </si>
  <si>
    <t>1. เลือกรายการผู้ป่วย &gt;&gt; ไปที่ Section Chief Complaint
2. ผลที่ควรเห็น: Chief Complaint ตรงกับ อาการสำคัญร่วม</t>
  </si>
  <si>
    <t>ระบุระดับความเร่งด่วนและโซนรายคน</t>
  </si>
  <si>
    <t>1. ระบุระดับความเร่งด่วนและโซนแยกรายคน (ให้ต่างกันอย่างน้อย 2 ระดับ)
2. ผลที่ควรเห็น: คนไข้ 2 คนถูกระบุตามโซนที่เลือกไว้</t>
  </si>
  <si>
    <t>ส่ง Triage ทั้งเหตุการณ์</t>
  </si>
  <si>
    <t>1. กด "พร้อมส่งและไปคนถัดไป" ทีละคนจนครบ แล้วกด "ส่ง Triage ทั้งเหตุการณ์"
2. ผลที่ควรเห็น: ปุ่มส่งทั้งเหตุการณ์กดได้เมื่อทุกคนพร้อมส่ง · ผู้ป่วยทุกรายเข้าโซนตามที่ระบุ</t>
  </si>
  <si>
    <t>ตรวจการเรียงลำดับบน ER Dashboard</t>
  </si>
  <si>
    <t>1. เปิด ER Dashboard
2. ผลที่ควรเห็น: ผู้ป่วยเรียงตามความรุนแรงอัตโนมัติในแต่ละโซน</t>
  </si>
  <si>
    <t>ผู้ทำ: แพทย์ / พยาบาล</t>
  </si>
  <si>
    <t>พิมพ์ป้ายปลายเตียงทุกราย</t>
  </si>
  <si>
    <t>1. พิมพ์ป้ายปลายเตียงของผู้ป่วยทุกราย (หน้า Overview &gt;&gt; แท็บด้านขวา &gt;&gt; พิมพ์ป้ายปลายเตียง)
2. ผลที่ควรเห็น: ได้ป้ายของทุกราย ชื่อและเลข EN ตรงกับผู้ป่วยแต่ละคน</t>
  </si>
  <si>
    <t>UAT-ER-08</t>
  </si>
  <si>
    <t>4.9.8.3.1
4.9.8.3.2
4.9.8.3.4
4.9.8.8.1
4.9.8.8.2
4.9.8.11.1</t>
  </si>
  <si>
    <t>แพทย์ / พยาบาลติดตามคิวและเวลารอคอย</t>
  </si>
  <si>
    <t>ER/SETUP</t>
  </si>
  <si>
    <t>ก่อนเริ่ม: ตั้งค่า</t>
  </si>
  <si>
    <t>ตั้งค่าเวลารอตรวจ</t>
  </si>
  <si>
    <t>1. เปิดหน้า "ตั้งค่าเวลารอตรวจ" ตั้งเวลาเป้าหมายของแต่ละระดับความเร่งด่วน แล้วบันทึก
2. ผลที่ควรเห็น: บันทึกได้ และเปิดดูซ้ำแล้วค่าที่ตั้งถูกต้อง</t>
  </si>
  <si>
    <t>ดูข้อมูลระยะเวลาบน ER Dashboard</t>
  </si>
  <si>
    <t>ดูข้อมูลบนการ์ดผู้ป่วย</t>
  </si>
  <si>
    <t>1. ดูการ์ดผู้ป่วยบน ER Dashboard
2. ผลที่ควรเห็น: เห็นข้อมูลตัวตน สัญญาณชีพ อาการ ความรุนแรง และระยะเวลาที่อยู่ใน ER (LOS)</t>
  </si>
  <si>
    <t>ตรวจแจ้งเตือนรอเกินเป้าหมาย</t>
  </si>
  <si>
    <t>1. รอจนเวลาเกินเป้าหมายที่ตั้งไว้
2. ผลที่ควรเห็น: แสดงระยะเวลารอคอยเป้าหมายเป็นสีแดง</t>
  </si>
  <si>
    <t>UAT-ER-09</t>
  </si>
  <si>
    <t>4.9.8.6.1
4.9.8.6.2
4.9.8.6.3
1.9.5.1</t>
  </si>
  <si>
    <t>พยาบาลรับเวรและจัดการงาน</t>
  </si>
  <si>
    <t>มอบหมายหน้าที่ (หน้า Over View)</t>
  </si>
  <si>
    <t>Assign พยาบาล</t>
  </si>
  <si>
    <t>1. แบ่งทีมพยาบาล: ที่หน้า Overview ของผู้ป่วยแต่ละราย ระบุพยาบาลผู้ดูแลในช่อง "พยาบาล"
2. ผลที่ควรเห็น: ชื่อพยาบาลแสดงในช่องพยาบาลของผู้ป่วยแต่ละราย</t>
  </si>
  <si>
    <t>มอบหมายหน้าที่ (หน้า รายการงานพยาบาล)</t>
  </si>
  <si>
    <t>เปิดรายการงานพยาบาล</t>
  </si>
  <si>
    <t>1. ห้องฉุกเฉิน &gt;&gt; แท๊บซ้าย "รายการงานพยาบาล"
2. ผลที่ควรเห็น: แสดงรายการผู้ป่วยทั้งหมดที่มีรายการงานพยาบาล</t>
  </si>
  <si>
    <t>อัปเดตสถานะงานพยาบาล</t>
  </si>
  <si>
    <t>1. อัปเดตสถานะงานจาก "รอรับงาน" ไปจนถึง "เสร็จสิ้น"
2. ผลที่ควรเห็น: สถานะเปลี่ยนตามที่กด และงานที่เสร็จสิ้นแล้วแก้ไขไม่ได้</t>
  </si>
  <si>
    <t>ยกเลิกงานพยาบาล</t>
  </si>
  <si>
    <t>1. อัปเดตสถานะงานจาก "กำลังทำ" ไปจนถึง "ยกเลิก"
2. ผลที่ควรเห็น: สถานะเปลี่ยนตามที่กด และงานที่ยกเลิกแล้วแก้ไขไม่ได้</t>
  </si>
  <si>
    <t>UAT-ER-10</t>
  </si>
  <si>
    <t>4.9.8.1.6</t>
  </si>
  <si>
    <t>ลงทะเบียนผิดคน แล้วยกเลิก Encounter</t>
  </si>
  <si>
    <t>เปิด Visit ผิดคน</t>
  </si>
  <si>
    <t>1. เปิด Visit ER ให้ผู้ป่วยผิดราย
2. ผลที่ควรเห็น: ได้ EN ของผู้ป่วยผิดราย</t>
  </si>
  <si>
    <t>ยกเลิก Visit (Cancel Encounter)</t>
  </si>
  <si>
    <t>1. เข้าหน้า Overview ของคนไข้ &gt;&gt; เลือกสถานะ (ขวาบน)
2. ยกเลิก Visit (Cancel Encounter) ของผู้ป่วยผิดราย
3. ผลที่ควรเห็น: ยกเลิกสำเร็จ</t>
  </si>
  <si>
    <t>ตรวจรายการผู้ป่วยหลังยกเลิก</t>
  </si>
  <si>
    <t>1. เปิดรายการผู้ป่วย ER (มุมมอง "รายการ")
2. ผลที่ควรเห็น: ผู้ป่วยผิดรายไม่อยู่ในรายการผู้ป่วยปัจจุบันแล้ว และไปอยู่แท็บ "ยกเลิก"</t>
  </si>
  <si>
    <t>UAT-ER-11</t>
  </si>
  <si>
    <t>4.9.8.3.3
4.9.8.3.5
4.9.8.3.6</t>
  </si>
  <si>
    <t>คิวสำหรับผู้ป่วย</t>
  </si>
  <si>
    <t>ER/QUEUE</t>
  </si>
  <si>
    <t>พิมพ์บัตรคิว</t>
  </si>
  <si>
    <t>1. คัดกรองผู้ป่วยแต่ละราย กด "Print บัตรคิว" ในฟอร์มคัดกรอง
2. ผลที่ควรเห็น: ได้บัตรคิวของแต่ละราย เลขคิวเรียงตามลำดับการเปิด Visit และระดับความเร่งด่วนบนบัตรตรงกับที่เลือก</t>
  </si>
  <si>
    <t>UAT-ER-12</t>
  </si>
  <si>
    <t>4.9.8.10.1
4.9.8.10.2
4.9.8.10.3
4.9.8.10.4
4.9.8.10.5</t>
  </si>
  <si>
    <t>แพทย์ / พยาบาลดึงรายงาน ER</t>
  </si>
  <si>
    <t>ER/REPORT</t>
  </si>
  <si>
    <t>รายงาน</t>
  </si>
  <si>
    <t>ดึงรายงานรายเวร / รายวัน / รายเดือน</t>
  </si>
  <si>
    <t>1. เมนู "รายงานทางสถิติ" ดึงรายงานรายเวร รายวัน และรายเดือน
2. ผลที่ควรเห็น: ได้รายงานสถิติตามระดับความรุนแรง วิธีมา ER และประเภทการจำหน่าย</t>
  </si>
  <si>
    <t>ดึงรายงานคุณภาพ</t>
  </si>
  <si>
    <t>1. ดึงรายงานคุณภาพ: Door-to-doc · Door-to-disposition · รอเกินกำหนด · กลับมารักษาซ้ำใน 72 ชม.
2. ผลที่ควรเห็น: ได้รายงานสถิติคุณภาพ</t>
  </si>
  <si>
    <t>ดึงรายงาน Trauma / Non-trauma / Bed block</t>
  </si>
  <si>
    <t>1. ดึงรายงานผู้ป่วย Trauma / Non-trauma และ ER bed block
2. ผลที่ควรเห็น: ได้รายงานสถิติ Trauma / Non-trauma / Bed block</t>
  </si>
  <si>
    <t>UAT-ER-13</t>
  </si>
  <si>
    <t>4.9.8.1.7</t>
  </si>
  <si>
    <t>ผู้ป่วยถูกส่งตัวมาจากแผนกอื่นในโรงพยาบาล</t>
  </si>
  <si>
    <t>ส่งตัวผู้ป่วยจากแผนกอื่นมา ER</t>
  </si>
  <si>
    <t>1. เลือกคนไข้ที่จะเปิด Visit มาที่ ER
2. ประวััติการรับบริการ &gt;&gt; เลือก EN ปััจจุบัน
3. กรอกคลินิค "ER - ห้องตรวจนอกเวลาราชการ" &gt;&gt; กดปุ่ม "บันทึก"
2. ผลที่ควรเห็น: บันทึกข้อมูลสำเร็จ</t>
  </si>
  <si>
    <t>รับผู้ป่วยที่ถูกส่งมาที่ ER</t>
  </si>
  <si>
    <t>1. ที่ห้องฉุกเฉิน รับผู้ป่วยที่ถูกส่งมา
2. ผลที่ควรเห็น: ผู้ป่วยขึ้นที่ห้องฉุกเฉิน และเห็นข้อมูลหน้า Dashboard</t>
  </si>
  <si>
    <t>1. กรอกฟอร์มคัดกรอง (สัญญาณชีพ · GCS · อาการสำคัญ ฯลฯ) เลือกระดับความเร่งด่วนและโซน แล้วกด "บันทึก"
2. ผลที่ควรเห็น: ผู้ป่วยขึ้นในคอลัมน์โซนที่เลือกบน ER Dashboard และหัวจอแสดงระดับความเร่งด่วน</t>
  </si>
  <si>
    <t>UAT-ER-14</t>
  </si>
  <si>
    <t>ผู้ป่วยถูกส่งตัวมาจากโรงพยาบาลอื่นผ่าน MOPH Refer</t>
  </si>
  <si>
    <t>ER/REFER</t>
  </si>
  <si>
    <t>รับ Refer เข้า (MOPH Refer)</t>
  </si>
  <si>
    <t>ดูรายการผู้ป่วยที่ถูกส่งต่อมา</t>
  </si>
  <si>
    <t>1. เปิดหน้า "รับ Refer เข้า"
2. ผลที่ควรเห็น: เห็นรายการผู้ป่วยที่ถูกส่งต่อมา ข้อมูลในแถวตรงกับที่โรงพยาบาลต้นทางส่ง (ชื่อ-สกุล · เลขบัตรประชาชน · สิทธิ · โรงพยาบาลต้นทาง · วันที่ส่งต่อ)</t>
  </si>
  <si>
    <t>ดูรายละเอียดการส่งต่อ</t>
  </si>
  <si>
    <t>1. กด "ดูรายละเอียด" ของผู้ป่วยที่ต้องการ
2. ผลที่ควรเห็น: หน้าต่าง "รายละเอียดการส่งต่อ" แสดงข้อมูลผู้ป่วย · ข้อมูลการส่งต่อ · ข้อมูลทางคลินิก · สัญญาณชีพจาก รพ. ต้นทาง · ประวัติแพ้ยาจาก รพ. ต้นทาง และกด "เปิดเอกสารใบส่งตัว" ได้</t>
  </si>
  <si>
    <t>รับผู้ป่วยเข้า ER และเปิด Visit</t>
  </si>
  <si>
    <t>1. กด "รับผู้ป่วยเข้า ER" แล้วเปิด Visit ER
2. ผลที่ควรเห็น: ได้เลข EN · วิธีการมาถึงเป็น "รับ Refer" และมีชื่อโรงพยาบาลต้นทาง</t>
  </si>
  <si>
    <t xml:space="preserve">Found date </t>
  </si>
  <si>
    <t xml:space="preserve">Issue </t>
  </si>
  <si>
    <t xml:space="preserve">Module </t>
  </si>
  <si>
    <t>Solution</t>
  </si>
  <si>
    <t xml:space="preserve">Card </t>
  </si>
  <si>
    <t xml:space="preserve">Status </t>
  </si>
  <si>
    <t>ENV.</t>
  </si>
  <si>
    <t>Dev Status</t>
  </si>
  <si>
    <t>QA Status</t>
  </si>
  <si>
    <t>การเงินไม่สามารถปิด Visit ได้ ต้องให้แก้ก่อน</t>
  </si>
  <si>
    <t>Cashier</t>
  </si>
  <si>
    <t xml:space="preserve"> ให้เฟรมแก้ให้เพื่อ UAT ก่อน</t>
  </si>
  <si>
    <t xml:space="preserve">Done </t>
  </si>
  <si>
    <t xml:space="preserve">บัตร Queue ปริ้นเปนภาษาอังกฤษ </t>
  </si>
  <si>
    <t xml:space="preserve">ER </t>
  </si>
  <si>
    <t xml:space="preserve"> ภาษาหลักคนไข้เป็นภาษาอังกฤษ</t>
  </si>
  <si>
    <t>PRD</t>
  </si>
  <si>
    <t xml:space="preserve">ยังออก ผล Lab ไม่ได้ </t>
  </si>
  <si>
    <t>Lab</t>
  </si>
  <si>
    <t>ชื่อผู้บันทึก Discharge เป็นภาษาต่างด้าว</t>
  </si>
  <si>
    <t xml:space="preserve"> รอดิวเอาขึ้น</t>
  </si>
  <si>
    <t xml:space="preserve">CPR Progression : ติด Text  แดง + Save ไม่ได้ </t>
  </si>
  <si>
    <t xml:space="preserve"> - [SBH-2390: \[Bug \] \[ CPR Progression \] SPH Prod](https://linear.app/cortexcloud/issue/SBH-2390/bug-cpr-progression-sph-prod)</t>
  </si>
  <si>
    <t>บันทึกแพ้ยาไม่ได้ &gt; ค้นหาชื่อยาไม่เจอ</t>
  </si>
  <si>
    <t>Med</t>
  </si>
  <si>
    <t>แก้แล้ว</t>
  </si>
  <si>
    <t xml:space="preserve">บันทึก Med Reconcile ไม่ได้ </t>
  </si>
  <si>
    <t xml:space="preserve">คนไข้ไป OPD </t>
  </si>
  <si>
    <t xml:space="preserve">รอ Build </t>
  </si>
  <si>
    <t>Nurse Task list รับงาน &gt; Activity ไม่ได้</t>
  </si>
  <si>
    <t>รอแก้</t>
  </si>
  <si>
    <t>Deploy ขึ้น SBH แล้ว</t>
  </si>
  <si>
    <t xml:space="preserve">บัตร คิว แสดง ความรุนแรง แทน ESI </t>
  </si>
  <si>
    <t xml:space="preserve">Consult แสดงชื่อ แผนกต้นทางผิด </t>
  </si>
  <si>
    <t xml:space="preserve">Consult </t>
  </si>
  <si>
    <t>แก้ Data base</t>
  </si>
  <si>
    <t>Treatment Timeline</t>
  </si>
  <si>
    <t xml:space="preserve">CPR ต้อง เปิด View ได้ </t>
  </si>
  <si>
    <t>[SBH-2442: \[ER \] \[ Treatment Timeline \] CPR progression](https://linear.app/cortexcloud/issue/SBH-2442/er-treatment-timeline-cpr-progression)</t>
  </si>
  <si>
    <t>Dev-X</t>
  </si>
  <si>
    <t>Modern ดูให้อยู่</t>
  </si>
  <si>
    <t xml:space="preserve">GCS </t>
  </si>
  <si>
    <t>เพิ่ม Menu บน Disposition</t>
  </si>
  <si>
    <t xml:space="preserve">เพิ่ม Menu </t>
  </si>
  <si>
    <t xml:space="preserve">Re-Open visit to ER </t>
  </si>
  <si>
    <t xml:space="preserve">Order set ER 1 </t>
  </si>
  <si>
    <t>เพิ่ม Order Set</t>
  </si>
  <si>
    <t>pending</t>
  </si>
  <si>
    <t>Order set CPR 1</t>
  </si>
  <si>
    <t xml:space="preserve">บัตร ปชช </t>
  </si>
  <si>
    <t xml:space="preserve">อ่านบัตร ประชาชน </t>
  </si>
  <si>
    <t>Dev-x</t>
  </si>
  <si>
    <t xml:space="preserve">Save รูปภาพ </t>
  </si>
  <si>
    <t>Save รูปภาพ ผู้ป่วยใหม่</t>
  </si>
  <si>
    <t>โรงพยาบาล ต้นทาง ถูก แต่ SBH PRD ไม่มี Code</t>
  </si>
  <si>
    <t>Work around - เลือก รพ ที่มี Code ตอนเปิด Visit  ER</t>
  </si>
  <si>
    <t>ผู้ป่วยรับ Refer มา ยังไม่ไป Discharge</t>
  </si>
  <si>
    <t xml:space="preserve"> หลุดเงื่อนไข </t>
  </si>
  <si>
    <t>MOPH Refer -&gt; ติดประกันสังคม</t>
  </si>
  <si>
    <t>ทำได้แล้ว</t>
  </si>
  <si>
    <t>Disposition -&gt; สามารถเปิด ประวัติ History ได้</t>
  </si>
  <si>
    <t xml:space="preserve">  </t>
  </si>
  <si>
    <t>SBH-2462: [ER] [ Disposition ] แสดง Disposition From ย้อนหลัง​</t>
  </si>
  <si>
    <t>SBH-2462 [ER] [ Disposition ] แสดง Disposition From ย้อนหลัง</t>
  </si>
  <si>
    <t>เพิ่มความรุนแรง ของการ</t>
  </si>
  <si>
    <t>SBH-2482: [ER ] [ Treatment Timeline ] แสดงความรุนแรงของ ESI Level​</t>
  </si>
  <si>
    <t>SBH-2482 [ER ] [ Treatment Timeline ] แสดงความรุนแรงของ ESI Level</t>
  </si>
  <si>
    <t xml:space="preserve">ป้ายปลายเตียง </t>
  </si>
  <si>
    <t xml:space="preserve">HN , DOB </t>
  </si>
  <si>
    <t>SBH-2471 [ER][Triage] Add patient age and HN to bedside name badge</t>
  </si>
  <si>
    <t xml:space="preserve">CPR Progression :  </t>
  </si>
  <si>
    <t>Feedback</t>
  </si>
  <si>
    <t>Note Nurse คล้ายๆ กับ Progress Note แต่เป็น AIE form แล้วขอเมนูด้านขวา 1 อันถ้าเป็นไปได้</t>
  </si>
  <si>
    <t>มีของบน Dev-X แต่บัค</t>
  </si>
  <si>
    <t>แก้ก่อน UAT</t>
  </si>
  <si>
    <t>[SBH-2441: \[ER \] Nursing Record](https://linear.app/cortexcloud/issue/SBH-2441/er-nursing-record)</t>
  </si>
  <si>
    <t>ขอเพิ่มรูปบาดแผล</t>
  </si>
  <si>
    <t>Done</t>
  </si>
  <si>
    <t>ปุ่มบันทึก ฝั่งพยาบาลอยากให้ลอยแบบหมอ</t>
  </si>
  <si>
    <t>Done: Control C ได้ที่ PE</t>
  </si>
  <si>
    <t>Done on Dev-X</t>
  </si>
  <si>
    <t>อยากเก็บประวัติของแต่ล่ะโซนคนไข้</t>
  </si>
  <si>
    <t>พี่เจไม่เคลีย_พี่มดจะเพิ่ม ESI Score บน Treament Time line ไว้ตรงคัดกรองครั้งแรกกับ Retriage</t>
  </si>
  <si>
    <t>รอ Assign</t>
  </si>
  <si>
    <t>คนไข้มี 3 สถานะ 1. ก่อนรักษา 2. กำลังรักษา 3. รักษาแล้ว</t>
  </si>
  <si>
    <t>Comment จากพี่เบียร์</t>
  </si>
  <si>
    <t>หมอไม่กรอก Disposition แต่ขอย้ายคนไข้มาที่โซนรอจำหน่ายเลยได้ไหม แล้วค่อย</t>
  </si>
  <si>
    <t>บริเวณโซน อยากให้แก้จากคำว่า "ใช้" เป็นอื่น</t>
  </si>
  <si>
    <t>Panding</t>
  </si>
  <si>
    <t>แก้ไขเป็น In use</t>
  </si>
  <si>
    <t>รอ</t>
  </si>
  <si>
    <t>[SBH-2443: \[ER\] triage - Revise wording in select zone](https://linear.app/cortexcloud/issue/SBH-2443/er-triage-revise-wording-in-select-zone)</t>
  </si>
  <si>
    <t>Vital Sign Overview ควรซ่อนได้</t>
  </si>
  <si>
    <t>ตัดทิ้ง</t>
  </si>
  <si>
    <t>Vital Sign แก้ไขเวลาเกินค่ามาตราฐาน</t>
  </si>
  <si>
    <t>แก้ไข</t>
  </si>
  <si>
    <t>[SBH-2456: \[ER \] \[ V/S \] Form - Section Vital Sign](https://linear.app/cortexcloud/issue/SBH-2456/er-vs-form-section-vital-sign)</t>
  </si>
  <si>
    <t>Vital Sign อยากให้แสดงรอบล่าสุด</t>
  </si>
  <si>
    <t>ปุ่ระวัติแพ้ยา</t>
  </si>
  <si>
    <t>บันทึกคัดกรองแล้วไม่แสดงสถานะ</t>
  </si>
  <si>
    <t>สามารถบันทึกได้ปกติแต่ไม่มี แจ้งเตือน</t>
  </si>
  <si>
    <t>Pain Score ซ้ำ ฝั่ง ER Physician</t>
  </si>
  <si>
    <t>แก้ไข ตัดทิ้ง</t>
  </si>
  <si>
    <t>[SBH-2444: \[ ER \] ER Physician note](https://linear.app/cortexcloud/issue/SBH-2444/er-er-physician-note)</t>
  </si>
  <si>
    <t>Form EDOU (ขัด Flow การทำงาน)</t>
  </si>
  <si>
    <t>New</t>
  </si>
  <si>
    <t>Form IS</t>
  </si>
  <si>
    <t>Form Pher</t>
  </si>
  <si>
    <t>TRISS Score_ใช้สำหรับประเมินคะแนน Truma</t>
  </si>
  <si>
    <t>ไม่มีใน TOR</t>
  </si>
  <si>
    <t xml:space="preserve">เพิ่ิ่ม Label ผู้ป่วย Burn </t>
  </si>
  <si>
    <t>Type</t>
  </si>
  <si>
    <t>พยาบาลที่จะเข้าร่วมทั้งหมด</t>
  </si>
  <si>
    <t>หมอยังไม่ระบุจำนวน</t>
  </si>
  <si>
    <t>ข้อ</t>
  </si>
  <si>
    <t>สถานะและเงื่อนไข</t>
  </si>
  <si>
    <t>ACT0005007</t>
  </si>
  <si>
    <t>ค่าห้อง</t>
  </si>
  <si>
    <t>7ตค68 (8-12น.)</t>
  </si>
  <si>
    <t>ยังไม่มี Visit ER, สิทธิ UC. รายแรกต้องมีรูปถ่ายและประวัติแพ้ยาเดิม (กรณี 1.3 Reopen ใช้รายเดียวกับ 1.1)</t>
  </si>
  <si>
    <t>MED0000260</t>
  </si>
  <si>
    <t>ยา</t>
  </si>
  <si>
    <t>1.นางกรองแก้ว วัชรินทร์รัตน์</t>
  </si>
  <si>
    <t>ข้อมูลผู้ป่วยใหม่ 1 ชุด เลขบัตรประชาชนไม่ซ้ำ และมีรูป</t>
  </si>
  <si>
    <t>MED0000619</t>
  </si>
  <si>
    <t>2.นส.แพรวพรรณ รอดศรี</t>
  </si>
  <si>
    <t>สร้างเป็นผู้ป่วยระบุตัวตนไม่ได้ตอนเล่น</t>
  </si>
  <si>
    <t>MSP0000331</t>
  </si>
  <si>
    <t>เวชภัณฑ์</t>
  </si>
  <si>
    <t>3.นายปรีชา ทิศลี</t>
  </si>
  <si>
    <t>อยู่ใน ER แล้ว คัดกรองและตรวจแล้ว มี Order Lab / IMG รอผล เพราะข้อนี้เริ่มที่ Disposition แบบ Admission</t>
  </si>
  <si>
    <t>MSP0002576</t>
  </si>
  <si>
    <t>เปิด Visit ER แล้ว ยังไม่คัดกรอง กรณีย่อยละ 1 ราย</t>
  </si>
  <si>
    <t>LAB0000931</t>
  </si>
  <si>
    <t>blood</t>
  </si>
  <si>
    <t>7ตค69(13-16น.)</t>
  </si>
  <si>
    <t>คัดกรองแล้ว อยู่ในโซน</t>
  </si>
  <si>
    <t>LAB0000001</t>
  </si>
  <si>
    <t>lab</t>
  </si>
  <si>
    <t>1.นส.ทัศณีย์ ประสงค์</t>
  </si>
  <si>
    <t>ข้อมูลผู้ป่วย 2 ชุดไว้เพิ่มในเหตุการณ์</t>
  </si>
  <si>
    <t>LAB0000077</t>
  </si>
  <si>
    <t>2.นส.ปทุมทิพย์ เกตุบุญมี</t>
  </si>
  <si>
    <t>คัดกรองแล้ว รอตรวจในโซน ต้องเตรียมล่วงหน้านานพอให้เวลารอเกินเป้าหมาย</t>
  </si>
  <si>
    <t>LAB0000092</t>
  </si>
  <si>
    <t>3.นส.นนทลี เปรี่ยมสูงเนิน</t>
  </si>
  <si>
    <t>มี Order จากแพทย์จนเกิดงานพยาบาล อย่างน้อย 1 งานสถานะ "รอรับงาน" และ 1 งานสถานะ "กำลังทำ"</t>
  </si>
  <si>
    <t>IMG0000194</t>
  </si>
  <si>
    <t>img</t>
  </si>
  <si>
    <t>ยังไม่มี Visit ER (ใช้เป็นคนที่เปิดผิด)</t>
  </si>
  <si>
    <t>IMG0000420</t>
  </si>
  <si>
    <t>8ตค69(8-12น.)</t>
  </si>
  <si>
    <t>เปิด Visit ER แล้ว ยังไม่คัดกรอง</t>
  </si>
  <si>
    <t>ACT0005224</t>
  </si>
  <si>
    <t>activity</t>
  </si>
  <si>
    <t>1.นส.จุฬารัตน์ เอี่ยมสอาด</t>
  </si>
  <si>
    <t>รายงาน ใช้ข้อมูลจากข้ออื่น</t>
  </si>
  <si>
    <t>ACT0005570</t>
  </si>
  <si>
    <t>2.นส.สุภาพร ฉายาวาศ</t>
  </si>
  <si>
    <t>มี Visit เปิดอยู่ที่ OPD ในวันนั้น</t>
  </si>
  <si>
    <t>ACT0005702</t>
  </si>
  <si>
    <t>3.นส.สุพิชชาพร ปิ่นน้อย</t>
  </si>
  <si>
    <t>รายการ Refer ในระบบ MOPH Refer ที่ส่งมา รพ.สระบุรี 1 รายการ</t>
  </si>
  <si>
    <t>ACT0004968</t>
  </si>
  <si>
    <t>ACT0000062</t>
  </si>
  <si>
    <t>8ตค69(13-16น.)</t>
  </si>
  <si>
    <t>ACT0004961</t>
  </si>
  <si>
    <t>1.นางณัฐนันท์ มาลา</t>
  </si>
  <si>
    <t>7 เช้า</t>
  </si>
  <si>
    <t>ACT0004939</t>
  </si>
  <si>
    <t>2.นส.โชติกา ธนาภัคนรกุล</t>
  </si>
  <si>
    <t>ACT0004950</t>
  </si>
  <si>
    <t>3.นส.อภิญญาใจคง</t>
  </si>
  <si>
    <t>ACT0004729</t>
  </si>
  <si>
    <t>ACT0005733</t>
  </si>
  <si>
    <t>ACT0006013</t>
  </si>
  <si>
    <t>ACT0005729</t>
  </si>
  <si>
    <t>Case_Id</t>
  </si>
  <si>
    <t>Senario</t>
  </si>
  <si>
    <t>Appointment</t>
  </si>
  <si>
    <t>กลุ่ม Appointment - คนไข้มีนัดหมายล่วงหน้า (10 UC)</t>
  </si>
  <si>
    <t>APM-OPD-001</t>
  </si>
  <si>
    <t>คนไข้มีนัดเข้ารับบริการปกติ (พบแพทย์ &gt; ทำนัด FU &gt; การเงิน &gt; รับยา &gt; กลับบ้าน)</t>
  </si>
  <si>
    <t>1. Paint Scroe ตกขอบ
2. บันทึกแล้วไม่ Save ให้ หรือ ช้า
3. หน้านัดหมายไม่ควรสั่งยาได้ (พยาบาลสั่งได้)
4. เช็คอีกทีว่าแก้ไข สั่งยา แต่ขึ้นเป็นหมวด Procedure (ใบนัดหมาย)
5. ไม่สามารถปริ้นบัตรคิวได้
{"error":{"class":"NotFound","message":"print template not found"}}
6. ไม่สามารถ Discharge ได้
- "message": "ErrSomeProductIsNotFound",
7. ขาดรวมปุ่ม ปริ้นเอกสารต่างๆ 
8. ไม่สามารถชำระได้เนื่องจากไม่มี Queue การเงิน
9. ห้องการเงินไม่มีรายการคนไข้ขึ้น (ต่อเนื่องจากข้อ 8)</t>
  </si>
  <si>
    <t>APM-OPD-002</t>
  </si>
  <si>
    <t>คนไข้มีนัดเข้ารับบริการปกติ มีตรวจ LAB / IMG ก่อนพบแพทย์</t>
  </si>
  <si>
    <t>1. ไม่สามารถสร้าง Order Imaging วันอื่นๆ ได้
2. ในกรณีมีนัดหมายทำ Lab และ รังสี ยังไม่มีใบนำทาง
3. Lab มีกรายการนัดหมายแต่ไม่สามารถทำอะไรต่อได่
4. X-Ray ไม่มีรายการขึ้นในกรณีที่เพิ่ม Order ผ่าน Appointment</t>
  </si>
  <si>
    <t>APM-OPD-003</t>
  </si>
  <si>
    <t>คนไข้มีนัด เข้าพบแพทย์ แล้วแพทย์สั่งตรวจ LAB / IMG อ่านผลภายในวัน</t>
  </si>
  <si>
    <t>1. Lab ไม่สามารถส่งผลกลับมาได้</t>
  </si>
  <si>
    <t>APM-OPD-004</t>
  </si>
  <si>
    <t>คนไข้มีนัด แพทย์สั่งตรวจ LAB / IMG อ่านผลภายในวัน (ฝากแพทย์ท่านอื่นอ่านผล)</t>
  </si>
  <si>
    <t>1. ไม่สามารถพิมพ์ใบคำสั่ง Imaging ได้
"class": "ServiceUnavailable",
- "message": "imaging order document template is unavailable: record not found"
Lab:
2. ไม่สามารถพิมพ์ป้ายติด Speciment ได้
{"error":{"class":"NotFound","message":"print template not found"}}
3. ไม่สามารถส่งผล Lab กลับมาได้
Imaging
4. ไม่สามารถพิมพ์ใบยิมยอมได้ไม่มี Template
5. แพทย์ ไม่สามารถพิมพ์ สรุป ได้
"class": "IllegalArgumentException",
        "message": "Template not found: tmh_opd_summary",
        "detail": "INVALID_REQUEST"
6. ไม่สามารถพิิมพ์ใบสรุปใบให้คำปรึกษาได้ (ไม่มี Template)
7. ไม่สามารถพิมพ์ฟอร์มตอบกลับการให้คำปรึกษา (ไม่มี Template)
8. ไม่สามารถพิมพ์ OPD Slip (ไม่มี Template) - น่าจะหาย
9. ต้อง Mapping คำศัพท์เพิ่มเติม 
10. ยังไม่สามารถพิมพ์ฉลากยาได้
11. ยังไม่มีฉลากยา ภาษาอังกฤษ + พิมพ์ใบส่งไปรษณีย์</t>
  </si>
  <si>
    <t>Note!! ยังต้องคุยเรื่อง Queue ทั้ง Lab / X-ray ต้องมีใบคิวยังไงออกที่ไหน</t>
  </si>
  <si>
    <t>APM-OPD-005</t>
  </si>
  <si>
    <t>คนไข้มีนัด ไม่มียากลับบ้าน</t>
  </si>
  <si>
    <t>Note!! ถ้าไม่สั่งยาคิวการเงินต้องออกยังไง</t>
  </si>
  <si>
    <t>APM-OPD-006</t>
  </si>
  <si>
    <t>คนไข้มีนัด มียา co-pay / ยาที่ต้องมีเอกสารประกอบการสั่ง (DUE, PA) / CDSS แจ้งเตือน &gt; จ่ายเงิน &gt; รับยา</t>
  </si>
  <si>
    <t>APM-OPD-007</t>
  </si>
  <si>
    <t>คนไข้มีนัด หมอสั่งยา Stat &gt; จ่ายค่ายา &gt; ฉีดยา &gt; จ่ายเงิน &gt; รับยากลับบ้าน</t>
  </si>
  <si>
    <t>APM-OPD-008</t>
  </si>
  <si>
    <t>คนไข้มีนัด พบแพทย์ ทำหัตถการ (ภายในวัน / สั่งล่วงหน้า) &gt; การเงิน &gt; ห้องยา</t>
  </si>
  <si>
    <t>APM-OPD-009</t>
  </si>
  <si>
    <t>คนไข้มีนัด พบแพทย์ หมอสั่ง Refill ยา</t>
  </si>
  <si>
    <t>1. ยังอยู่ในช่วง Inprogress</t>
  </si>
  <si>
    <t>APM-OPD-010</t>
  </si>
  <si>
    <t>คนไข้ขอใบรับรองแพทย์ชนิดต่างๆ</t>
  </si>
  <si>
    <t>Walk in</t>
  </si>
  <si>
    <t>กลุ่ม Walk in - คนไข้ไม่มีนัด หรือมาไม่ตรงนัด (5 UC)</t>
  </si>
  <si>
    <t>WLK-OPD-001</t>
  </si>
  <si>
    <t>คนไข้ Walk in พบแพทย์</t>
  </si>
  <si>
    <t>WLK-OPD-002</t>
  </si>
  <si>
    <t>คนไข้ Walk in ไม่ได้พบแพทย์ ทำนัดหมายแทน</t>
  </si>
  <si>
    <t>WLK-OPD-003</t>
  </si>
  <si>
    <t>คนไข้มีนัด แต่มาไม่ตรงนัด</t>
  </si>
  <si>
    <t>WLK-OPD-004</t>
  </si>
  <si>
    <t>คนไข้มาเจาะเลือดล่วงหน้า (ก่อนวันนัดพบแพทย์)</t>
  </si>
  <si>
    <t>1. ยังไม่สามารถพิมพ์ใบนำทางได้
2. ยังไม่สามารถส่งผลเล็ปกลับได้</t>
  </si>
  <si>
    <t>WLK-OPD-005</t>
  </si>
  <si>
    <t>คนไข้มาตรวจ IMG ล่วงหน้า (ก่อนวันนัดพบแพทย์)</t>
  </si>
  <si>
    <t>1. ไม่สามารถทำ Imaging ล่วงหน้าได้ ไม่มีรายการให้เปิด Visit ล่วงหน้าเหมือน Lab</t>
  </si>
  <si>
    <t>Refill</t>
  </si>
  <si>
    <t>กลุ่ม Refill ยา - คนไข้มารับยาตามแผน Refill (2 UC)</t>
  </si>
  <si>
    <t>RFL-OPD-001</t>
  </si>
  <si>
    <t>คนไข้มารับยา Refill ตรงวัน</t>
  </si>
  <si>
    <t>RFL-OPD-002</t>
  </si>
  <si>
    <t>คนไข้มารับยา Refill ไม่ตรงวัน (มาก่อน / เลยกำหนด)</t>
  </si>
  <si>
    <t>Injection</t>
  </si>
  <si>
    <t>กลุ่มมีนัดฉีดยา / ทำแผล ไม่พบแพทย์ (1 UC)</t>
  </si>
  <si>
    <t>INJ-OPD-001</t>
  </si>
  <si>
    <t>คนไข้มีนัดฉีดยา / ทำแผล ไม่พบแพทย์</t>
  </si>
  <si>
    <t>1. ยังติดปัญหาไม่สามารถเปิด Visit คนไข้ไปห้องหัตการโดยไม่พบแพทย์ได้</t>
  </si>
  <si>
    <t>Admit</t>
  </si>
  <si>
    <t>กลุ่ม Admit - คนไข้ OPD ต้องนอนโรงพยาบาล (3 UC)</t>
  </si>
  <si>
    <t>ADM-OPD-001</t>
  </si>
  <si>
    <t>คนไข้ Admit</t>
  </si>
  <si>
    <t>ADM-OPD-002</t>
  </si>
  <si>
    <t>คนไข้ Admit สั่งตรวจก่อนขึ้น ward</t>
  </si>
  <si>
    <t>ADM-OPD-003</t>
  </si>
  <si>
    <t>คนไข้ Admit ย้ายค่าใช้จ่ายจาก OPD ไป IPD</t>
  </si>
  <si>
    <t>ODS</t>
  </si>
  <si>
    <t>กลุ่ม ODS - หัตถการ One Day Surgery (2 UC)</t>
  </si>
  <si>
    <t>ODS-OPD-001</t>
  </si>
  <si>
    <t>คนไข้มาตรวจ หมอสั่ง ODS ภายในวัน</t>
  </si>
  <si>
    <t>ODS-OPD-002</t>
  </si>
  <si>
    <t>หมอนัดมาทำ ODS วันอื่น</t>
  </si>
  <si>
    <t>1. ไม่สามารถ Check-in ห้อง OR (ไม่มี Queue Type)</t>
  </si>
  <si>
    <t>Inventory</t>
  </si>
  <si>
    <t>กลุ่มคลังยา - scenario เดิมของ sheet Scenario-OPD E2E (1 UC)</t>
  </si>
  <si>
    <t>กลุ่ม Appointment - คนไข้มีนัดหมายล่วงหน้า</t>
  </si>
  <si>
    <t>OPD/REG</t>
  </si>
  <si>
    <t>เปิด Visit ตามนัดหมาย</t>
  </si>
  <si>
    <t>1. เข้าแอพ เวชระเบียน &gt; ค้นหาผู้ป่วย
2. กรอก HN แล้วกด Enter
3. กดปุ่ม + Visit ใหม่ มุมขวาบน
4. ตรวจสอบข้อมูลนัดหมายของวันนี้ที่ระบบแสดง
5. ยืนยันสิทธิการรักษา
6. กดปุ่ม สร้าง
7. ตรวจสอบว่าได้เลข VN พิมพ์ใบนำทาง และได้เลขคิวห้องตรวจ</t>
  </si>
  <si>
    <t>พยาบาลคัดกรองก่อนพบแพทย์</t>
  </si>
  <si>
    <t>1. เปิดผู้ป่วยจากหน้า รายการผู้ป่วยนอก
2. บันทึกสัญญาณชีพ (V/S)
3. เลือกดูเมนู ฟอร์มคัดกรอง ที่ Side bar ทางขวามือ
4. กรอกข้อมูลการคัดกรองและบันทึก
5. ตรวจสอบว่าค่า Vital sign แสดงบน Patient Banner</t>
  </si>
  <si>
    <t>Note 
1. Paint Scroe ตกขอบ</t>
  </si>
  <si>
    <t>แพทย์เรียกคิวและลง OPD Note</t>
  </si>
  <si>
    <t>1. กดเลือกคนไข้จากหน้า รายการผู้ป่วยนอก ที่สถานะพร้อมตรวจ
2. ระบบจะแสดง OPD Note ขึ้นมา
3. ลงข้อมูลการรักษา
4. ลง diagnosis
5. บันทึกข้อมูล</t>
  </si>
  <si>
    <t>No Pass</t>
  </si>
  <si>
    <r>
      <rPr>
        <b/>
        <sz val="11"/>
        <color rgb="FF4EA72E"/>
        <rFont val="TH SarabunPSK"/>
      </rPr>
      <t xml:space="preserve">1. ภาพ Body Chart ไม่มาแสดง (แสดงแล้ว)
</t>
    </r>
    <r>
      <rPr>
        <b/>
        <sz val="11"/>
        <color rgb="FFFF0000"/>
        <rFont val="TH SarabunPSK"/>
      </rPr>
      <t>2. บันทึกแล้วไม่ Save ให้ หรือ ช้า</t>
    </r>
  </si>
  <si>
    <t>แพทย์สั่งยากลับบ้าน (Home med)</t>
  </si>
  <si>
    <t>1. ระบบจะแสดง Section ในส่วนของการ Order ขึ้นมา
2. ทำการสั่งยา เลือก Home med
3. ระบุวิธีการใช้ยา / จำนวนยาที่จ่าย / หมายเหตุอื่นๆ
4. กดปุ่ม เพิ่ม order
5. กดปุ่ม Sign เพื่อส่งคำสั่งไปห้องยา</t>
  </si>
  <si>
    <t>แพทย์ทำนัดหมาย FU และกดตรวจเสร็จ</t>
  </si>
  <si>
    <t>1. เลือกดูเมนู สร้างนัดหมาย ที่ Side bar ทางขวามือ
2. เลือก คลินิก แพทย์ ประเภทการนัดหมาย แล้ว Slot ที่ต้องการ
3. กดบันทึก
4. ตรวจสอบนัดหมายที่เมนู ประวัติการนัดหมาย
5. กดปุ่มตรวจเสร็จ</t>
  </si>
  <si>
    <t>หน้านัดหมายไม่ควรสั่งยาได้ (พยาบาลสามารถสั่งยาได้)
**เช็คอีกทีว่าแก้ไข สั่งยา แต่ขึ้นเป็นหมวด Procedure</t>
  </si>
  <si>
    <t>พยาบาล Discharge และปริ้นบัตรคิว</t>
  </si>
  <si>
    <t>1. กดเลือกคนไข้จากหน้า รายการผู้ป่วยนอก ที่สถานะ ตรวจเสร็จ
2. เลือกประเภทการ Discharge เป็น กลับบ้าน
3. ปริ้นท์บัตรคิว การเงิน / ห้องยา ที่หน้า Discharge summary
4. ปริ้นท์บัตรนัดที่เมนู ประวัตินัดหมาย ที่ side bar ซ้ายมือ</t>
  </si>
  <si>
    <t>1. ไม่สามารถปริ้นบัตรคิวได้
{"error":{"class":"NotFound","message":"print template not found"}}
2. ไม่สามารถ Discharge ได้
- "message": "ErrSomeProductIsNotFound",
3. ขาดรวมปุ่ม ปริ้นเอกสารต่างๆ 
4. ไม่สามารถชำระได้เนื่องจากไม่มี Queue การเงิน</t>
  </si>
  <si>
    <t>ห้องยาสร้างใบยาก่อนชำระเงิน</t>
  </si>
  <si>
    <t>1. ไปที่เมนูห้องยา &gt; เลือกห้องยาชั้น 1
2. เลือกคนไข้และรายการยา แล้วกดปุ่มสร้างใบยา</t>
  </si>
  <si>
    <t>OPD/CASH</t>
  </si>
  <si>
    <t>คนไข้ชำระเงินที่การเงิน</t>
  </si>
  <si>
    <t>1. เข้าหน้าการเงิน (Cashier) แล้วเปิดรายการของผู้ป่วยจากคิวการเงิน
2. ตรวจสอบ / แก้ไข Chart item สิทธิการรักษา และส่วนลด
3. สร้าง invoice
4. รับชำระเงินและออกใบเสร็จ
5. ปิดสิทธิ์ผ่าน EDC / End point</t>
  </si>
  <si>
    <t>1. ไม่สามารถชำระได้เนื่องจากไม่มี Queue การเงิน</t>
  </si>
  <si>
    <t>ห้องยาจัดยา เรียกคิว และจ่ายยา</t>
  </si>
  <si>
    <t>1. ไปที่เมนูห้องยา &gt; เลือกห้องยาชั้น 1
2. เลือกคนไข้และรายการยา
3. กดปุ่มจัดยาแล้ว
4. กดปุ่มยืนยันรอจ่าย
5. เรียกคิวคนไข้ที่ห้องยา
6. เลือก 3จุด ด้านหลังรายการยา แล้วเลือก ยืนยันจ่ายยา</t>
  </si>
  <si>
    <t>เปิด Visit ตามนัด และ Check-in ห้อง Lab / Img</t>
  </si>
  <si>
    <t>1. เปิด Visit ตามนัดหมาย จนได้เลข VN
2. พิมพ์ใบนำทาง
3. กด Check-in ห้อง Lab / Img
4. ตรวจสอบเลขคิว Lab/X-ray ที่ระบบออกให้
5. ตรวจสอบว่ารายการเข้าสู่ Worklist ของห้อง Lab/X-ray/Img</t>
  </si>
  <si>
    <t>OPD/LAB</t>
  </si>
  <si>
    <t>ห้อง Lab / Img รับรายการและออกผล</t>
  </si>
  <si>
    <t>1. เข้า Cortex Worklist ของห้อง Lab/X-ray/Img
2. เลือกรายการผู้ป่วยแล้วกด Check-in
3. เก็บ Specimen และพิมพ์ Sticker (LN) ติด Tube (เฉพาะ Lab)
4. กด Run Lab / IMG ส่งไปยัง LIS / RIS
5. รับผลกลับเข้าระบบ
6. ให้แพทย์ Authorize ผล จนสถานะเป็นเสร็จสิ้น</t>
  </si>
  <si>
    <t>Block</t>
  </si>
  <si>
    <t>พยาบาลคัดกรองและเช็คสถานะผล Lab / Img</t>
  </si>
  <si>
    <t>1. บันทึกสัญญาณชีพ (V/S) และฟอร์มคัดกรอง
2. เลือกดูเมนู Lab Result / Imaging result ที่ Side bar ทางซ้ายมือ
3. ตรวจสอบว่าสถานะผลตรงกับสถานะจริงในห้อง Lab
4. ส่งผู้ป่วยเข้าคิวห้องตรวจ</t>
  </si>
  <si>
    <t>แพทย์ดูผล Lab / IMG แล้วตรวจ</t>
  </si>
  <si>
    <t>1. เรียกคิวผู้ป่วยเข้าห้องตรวจ
2. เลือกดูเมนู Lab Result และ Imaging result ที่ Side bar ทางซ้ายมือ
3. ตรวจสอบว่าผลตรงกับที่ห้อง Lab ส่งมา
4. ลง OPD Note และ diagnosis</t>
  </si>
  <si>
    <t>แพทย์สั่งยากลับบ้านและทำนัด FU</t>
  </si>
  <si>
    <t>1. สั่งยา Home med และกด Sign
2. สร้างนัดหมาย FU
3. กดปุ่มตรวจเสร็จ</t>
  </si>
  <si>
    <t>1. เลือกประเภทการ Discharge เป็น กลับบ้าน
2. ปริ้นท์บัตรคิว การเงิน / ห้องยา ที่หน้า Discharge summary
3. ปริ้นท์บัตรนัด</t>
  </si>
  <si>
    <t>คนไข้ชำระเงิน (รวมค่า Lab / IMG)</t>
  </si>
  <si>
    <t>1. เปิดรายการของผู้ป่วยจากคิวการเงิน
2. ตรวจสอบว่าค่า Lab / IMG ถูกรวมใน Chart item
3. สร้าง invoice และรับชำระเงิน
4. ปิดสิทธิ์ผ่าน EDC / End point</t>
  </si>
  <si>
    <t>ห้องยาจัดยาและจ่ายยา</t>
  </si>
  <si>
    <t>1. สร้างใบยา &gt; จัดยา &gt; ยืนยันรอจ่าย
2. เรียกคิวคนไข้
3. ยืนยันจ่ายยา</t>
  </si>
  <si>
    <t>1. ค้นหาผู้ป่วยด้วย HN
2. กดปุ่ม + Visit ใหม่ และตรวจสอบนัดหมายของวันนี้
3. ยืนยันสิทธิการรักษา แล้วกดปุ่ม สร้าง
4. พิมพ์ใบนำทางและเลขคิวห้องตรวจ</t>
  </si>
  <si>
    <t>พยาบาลคัดกรองและแพทย์ตรวจ</t>
  </si>
  <si>
    <t>1. บันทึก V/S และฟอร์มคัดกรอง
2. แพทย์เรียกคิวผู้ป่วยเข้าห้องตรวจ
3. ลงข้อมูลการรักษาและ diagnosis ใน OPD Note</t>
  </si>
  <si>
    <t>แพทย์สั่ง LAB ต้องการทราบผลภายในวันที่สั่ง</t>
  </si>
  <si>
    <t>1. ค้นหารายการ lab ที่ต้องการสั่งใน order search
2. ระบบจะแสดงรายการที่กำหนดไว้
3. เลือก Priority และ วันที่ต้องการทราบผลเป็นวันนี้
4. ระบบจะไม่ให้เลือกวันที่เมื่อเลือกเป็นวันนี้
5. กดปุ่มเพิ่ม order
6. กดปุ่ม Sign เพื่อส่งการสั่งไปยังห้องปฏิบัติการ</t>
  </si>
  <si>
    <t>แพทย์สั่ง IMG ต้องการทราบผลภายในวันที่สั่ง</t>
  </si>
  <si>
    <t>1. ค้นหารายการ Img ที่ต้องการสั่งใน order search
2. เลือก Priority และ วันที่ต้องการทราบผลเป็นวันนี้
3. กดปุ่มเพิ่ม order
4. กดปุ่ม Sign เพื่อส่งการสั่งไปยังห้องปฏิบัติการ</t>
  </si>
  <si>
    <t>ห้อง Lab / Img ทำรายการและส่งผลกลับ</t>
  </si>
  <si>
    <t>1. Check-in ผู้ป่วยที่ Cortex Worklist
2. เก็บ Specimen และพิมพ์ Sticker (เฉพาะ Lab) / ฉายรังสี (IMG)
3. กด Run Lab / IMG ส่งไปยัง LIS / RIS
4. รับผลกลับเข้าระบบ
5. แพทย์ Authorize ผล</t>
  </si>
  <si>
    <t>แพทย์อ่านผลและสรุปการรักษาภายในวัน</t>
  </si>
  <si>
    <t>1. เรียกคนไข้กลับเข้าห้องตรวจ
2. เปิดดูผล Lab / IMG ที่ส่งกลับมา
3. ลง diagnosis เพิ่มเติมใน OPD Note
4. สั่งยากลับบ้าน
5. ทำนัดหมาย FU
6. กดปุ่มตรวจเสร็จ</t>
  </si>
  <si>
    <t>1. Discharge เป็น กลับบ้าน
2. ปริ้นท์บัตรคิว การเงิน / ห้องยา
3. ปริ้นท์บัตรนัด</t>
  </si>
  <si>
    <t>คนไข้ชำระเงิน</t>
  </si>
  <si>
    <t>1. ตรวจสอบว่าค่า Lab / IMG ที่สั่งภายในวันถูกรวมใน Chart item
2. สร้าง invoice และรับชำระเงิน
3. ปิดสิทธิ์ผ่าน EDC / End point</t>
  </si>
  <si>
    <t>1. ค้นหาผู้ป่วยและกดปุ่ม + Visit ใหม่
2. ตรวจสอบนัดหมายของวันนี้ ยืนยันสิทธิ แล้วกดปุ่ม สร้าง
3. พิมพ์ใบนำทางและเลขคิวห้องตรวจ</t>
  </si>
  <si>
    <t>พยาบาลคัดกรองและแพทย์เจ้าของไข้ตรวจ</t>
  </si>
  <si>
    <t>1. บันทึก V/S และฟอร์มคัดกรอง
2. แพทย์เรียกคิวและลง OPD Note</t>
  </si>
  <si>
    <t>แพทย์เจ้าของไข้สั่ง LAB / IMG อ่านผลภายในวัน</t>
  </si>
  <si>
    <t>1. ค้นหารายการ lab / img ใน order search
2. เลือก Priority และวันที่ต้องการทราบผลเป็นวันนี้
3. กดปุ่มเพิ่ม order แล้วกดปุ่ม Sign</t>
  </si>
  <si>
    <t>1. ไม่สามารถพิมพ์ใบคำสั่ง Imaging ได้
"class": "ServiceUnavailable",
- "message": "imaging order document template is unavailable: record not found"</t>
  </si>
  <si>
    <t>1. Check-in ผู้ป่วยที่ Cortex Worklist
2. เก็บ Specimen / ฉายรังสี
3. Run Lab / IMG ไปยัง LIS / RIS
4. รับผลกลับเข้าระบบ</t>
  </si>
  <si>
    <t>Lab:
1. ไม่สามารถปริ้นป้ายติด Speciment ได้
{"error":{"class":"NotFound","message":"print template not found"}}
2. ไม่สามารถส่งผล Lab กลับมาได้
Imaging
1. ไม่สามารถพิมพ์ใบยิมยอมได้ไม่มี Template</t>
  </si>
  <si>
    <t>แพทย์เจ้าของไข้ส่ง Consult ให้แพทย์ท่านอื่นอ่านผล</t>
  </si>
  <si>
    <t>1. เลือกดูเมนู Consult ที่ Side bar ทางขวามือ
2. ระบบจะแสดงหน้ากรอกข้อมูลของ Consult ขึ้นมา
3. กรอกข้อมูลที่ต้องการลงไป
4. กดบันทึกเพื่อทำการส่งแบบฟอร์ม
5. ระบบจะแสดงสถานะ รอตอบกลับ</t>
  </si>
  <si>
    <t>แพทย์ท่านอื่นรับ Consult อ่านผล และตอบกลับ</t>
  </si>
  <si>
    <t>1. กดปุ่มเมนู มุมบนขวา &gt; เลือกเมนู ผู้ป่วยนอก &gt; เลือกรายการปรึกษาแพทย์
2. เลือกรับ Consult ระบบจะแสดงรายการที่มี Request เอาไว้
3. เลือกรายการที่ต้องการตอบกลับ
4. เปิดดูผล Lab / IMG ของผู้ป่วย
5. กรอกข้อมูลที่ต้องการตอบกลับและกดปุ่มบันทึก
6. สถานะของรายการ Consult เปลี่ยนเป็นตอบแล้ว</t>
  </si>
  <si>
    <t>1. แพทย์ ไม่สามารถพิมพ์ สรุป ได้
"class": "IllegalArgumentException",
        "message": "Template not found: tmh_opd_summary",
        "detail": "INVALID_REQUEST"</t>
  </si>
  <si>
    <t>แพทย์เจ้าของไข้ดูผลที่ตอบกลับและสรุปการรักษา</t>
  </si>
  <si>
    <t>1. เลือก ส่ง Consult แล้วเลือกรายการที่สถานะ ตอบแล้ว
2. ระบบจะแสดงรายละเอียดการ Consult ที่แพทย์อีกท่านตอบกลับมา
3. ลง diagnosis เพิ่มเติม สั่งยากลับบ้าน และทำนัด FU
4. กดปุ่มตรวจเสร็จ</t>
  </si>
  <si>
    <t>1. ไม่สามารถพิิมพ์ใบสรุปใบให้คำปรึกษาได้ (ไม่มี Template)
2. ไม่สามารถพิมพ์ฟอร์มตอบกลับการให้คำปรึกษา (ไม่มี Template)
3. ไม่สามารถพิมพ์ OPD Slip (ไม่มี Template) - น่าจะหาย</t>
  </si>
  <si>
    <t>1. Discharge เป็น กลับบ้าน
2. ปริ้นท์บัตรคิว การเงิน / ห้องยา และบัตรนัด</t>
  </si>
  <si>
    <t>1. สร้าง invoice และรับชำระเงิน
2. ปิดสิทธิ์ผ่าน EDC / End point</t>
  </si>
  <si>
    <t xml:space="preserve">1. ต้อง Mapping คำศัพท์เพิ่มเติม </t>
  </si>
  <si>
    <t>1. สร้างใบยา &gt; จัดยา &gt; ยืนยันรอจ่าย
2. เรียกคิวคนไข้ และยืนยันจ่ายยา</t>
  </si>
  <si>
    <t>1. ยังไม่สามารถพิมพ์ฉลากยาได้
2. ยังไม่มีฉลากยา ภาษาอังกฤษ + พิมพ์ใบส่งไปรษณีย์</t>
  </si>
  <si>
    <t>พยาบาลคัดกรองและแพทย์ตรวจ (ไม่สั่งยา)</t>
  </si>
  <si>
    <t>1. บันทึก V/S และฟอร์มคัดกรอง
2. แพทย์เรียกคิวและลง OPD Note + diagnosis
3. ไม่สั่ง Order ยา</t>
  </si>
  <si>
    <t>แพทย์ทำนัด FU และกดตรวจเสร็จ</t>
  </si>
  <si>
    <t>1. สร้างนัดหมาย FU
2. กดปุ่มตรวจเสร็จ</t>
  </si>
  <si>
    <t>1. Discharge เป็น กลับบ้าน
2. ปริ้นท์บัตรคิวการเงินและบัตรนัด
3. ตรวจสอบว่าระบบไม่ออกบัตรคิวห้องยา</t>
  </si>
  <si>
    <t>1. ยังไม่มีคิวการเงิน</t>
  </si>
  <si>
    <t>คนไข้ชำระเงินเฉพาะค่าบริการ</t>
  </si>
  <si>
    <t>1. ตรวจสอบว่าผู้ป่วยขึ้นคิวการเงินได้แม้ไม่มีใบยา
2. ตรวจสอบว่า Chart item มีเฉพาะค่าบริการ ไม่มีค่ายา
3. สร้าง invoice และรับชำระเงิน
4. ปิดสิทธิ์ผ่าน EDC / End point</t>
  </si>
  <si>
    <t>ตรวจสอบว่าไม่มีรายการที่ห้องยา</t>
  </si>
  <si>
    <t>1. เข้าเมนูห้องยา
2. ค้นหาผู้ป่วยรายนี้
3. ตรวจสอบว่าไม่มี Order / ใบยา ของ Visit นี้</t>
  </si>
  <si>
    <t>คนไข้มีนัด มียา co-pay / ยาที่ต้องมีเอกสารประกอบการสั่ง / CDSS แจ้งเตือน &gt; จ่ายเงิน &gt; รับยา</t>
  </si>
  <si>
    <t>1. ค้นหาผู้ป่วยและกดปุ่ม + Visit ใหม่
2. ตรวจสอบนัดหมายของวันนี้ ยืนยันสิทธิ แล้วกดปุ่ม สร้าง</t>
  </si>
  <si>
    <t>1. บันทึก V/S และฟอร์มคัดกรอง
2. แพทย์เรียกคิวและลง OPD Note + diagnosis</t>
  </si>
  <si>
    <t>สั่งยานอกบัญชียาหลัก หรือยาประเภทอื่นๆ (A-F)</t>
  </si>
  <si>
    <t>1. ระบบสามารถแสดงบัญชียาของรายการยาที่สั่งได้
2. เมื่อทำการสั่งยา ระบบนำราคาไปคำนวณได้ถูกต้องสัมพันธ์กับสิทธิ์การรักษาของคนไข้</t>
  </si>
  <si>
    <t>สั่งยาที่ต้องมีเอกสารประกอบการสั่งยา (DUE / PA)</t>
  </si>
  <si>
    <t>1. ตั้งค่ายาที่ต้องมีเอกสารประกอบจากหน้าการจัดการการสั่งยา (DUE / PA)
2. เมื่อสั่งยาที่ตั้งค่าไว้ ระบบ alert แจ้งเตือนว่ามีเอกสารที่เกี่ยวข้อง
3. Link / เรียกดูเอกสารที่เกี่ยวข้องกับยานั้น
4. print / บันทึกข้อมูลลงไปในระบบ
5. เรียกดู order เก่าที่มีการบันทึกเอกสารไว้</t>
  </si>
  <si>
    <t>ขอข้ามก่อนเนื่องจากไม่มีข้อมูล</t>
  </si>
  <si>
    <t>ตรวจสอบ CDSS แจ้งเตือน (แพ้ยา / ยาซ้ำ / Interaction)</t>
  </si>
  <si>
    <t>1. สั่งยาที่คนไข้แพ้ตามประวัติ &gt; ระบบต้องแสดง alert
2. สั่งยาซ้ำ &gt; ระบบต้องแสดง Duplication alert
3. สั่งยาคู่ปฏิกิริยา &gt; ระบบต้องแสดง Interaction alert
4. เมื่อยืนยันการสั่ง ต้องระบุเหตุผลก่อนจึงจะสั่งได้</t>
  </si>
  <si>
    <t>ออกเอกสารร่วมจ่าย (Co-pay)</t>
  </si>
  <si>
    <t>1. เลือกดูเมนู สร้างฟอร์ม ที่ Side bar ทางขวามือ
2. เลือกประเภทของฟอร์มที่ต้องการ
3. ระบบจะแสดงข้อมูลใบรับรองประเภทนั้นๆขึ้นมา
4. กรอกข้อมูลลงในฟอร์ม
5. บันทึกข้อมูล</t>
  </si>
  <si>
    <t>1. Discharge เป็น กลับบ้าน
2. ปริ้นท์บัตรคิว การเงิน / ห้องยา</t>
  </si>
  <si>
    <t>คนไข้ชำระเงิน (ตรวจสอบส่วนร่วมจ่าย)</t>
  </si>
  <si>
    <t>1. ตรวจสอบว่าราคายานอกบัญชี / ยา co-pay คำนวณตามสิทธิถูกต้อง
2. ตรวจสอบว่าเหตุผลการสั่งยานอกบัญชีแสดงที่หน้าการเงิน
3. สร้าง invoice และรับชำระเงิน
4. ปิดสิทธิ์ผ่าน EDC / End point</t>
  </si>
  <si>
    <t>ขอข้้ามก่อนเนื่องจากยังไม่สามารถสร้างยาที่มี Copay ได้</t>
  </si>
  <si>
    <t>แพทย์สั่งยา Stat</t>
  </si>
  <si>
    <t>1. เลือกสั่งยาเป็น order stat
2. ระบุวิธีการใช้ยา / จำนวนยาที่จ่าย / หมายเหตุอื่นๆ
3. กดปุ่ม เพิ่ม order
4. ระบบจะแสดงรายการยาที่สั่ง พร้อม สถานะ Stat
5. กดปุ่ม Sign</t>
  </si>
  <si>
    <t>คนไข้ชำระค่ายา Stat ก่อนรับบริการ</t>
  </si>
  <si>
    <t>1. เปิดรายการของผู้ป่วยที่หน้าการเงิน
2. ตรวจสอบว่าค่ายา Stat แสดงใน Chart item
3. สร้าง invoice และรับชำระเงินเฉพาะส่วนค่ายา Stat</t>
  </si>
  <si>
    <t>ห้องยาจ่ายยา Stat</t>
  </si>
  <si>
    <t>1. สร้างใบยาของ order Stat
2. จัดยาและยืนยันรอจ่าย
3. จ่ายยา Stat ให้หน่วยบริการ / คนไข้</t>
  </si>
  <si>
    <t>1. ในกรณีที่ใบยาแรกเป็น Stat พบว่าเมื่อมีการสร้างใบยามากกว่า 1 ใบ รายการที่ 2 จะไม่แสดงเลขคิว</t>
  </si>
  <si>
    <t>พยาบาลฉีดยาและบันทึกการให้ยา</t>
  </si>
  <si>
    <t>1. รับยา Stat จากห้องยา
2. ฉีดยาให้ผู้ป่วย
3. บันทึกการให้ยาในระบบ
4. ตรวจสอบว่าประวัติการให้ยาแสดงใน Visit นี้</t>
  </si>
  <si>
    <t>1. สั่งยา Home med
2. ระบุวิธีการใช้ยา / จำนวนยาที่จ่าย
3. กดปุ่ม เพิ่ม order แล้วกดปุ่ม Sign
4. กดปุ่มตรวจเสร็จ</t>
  </si>
  <si>
    <t>คนไข้ชำระเงินส่วนที่เหลือ</t>
  </si>
  <si>
    <t>1. ตรวจสอบว่าค่ายา Stat ที่ชำระไปแล้วไม่ถูกเรียกเก็บซ้ำ
2. สร้าง invoice ส่วนที่เหลือและรับชำระเงิน
3. ปิดสิทธิ์ผ่าน EDC / End point</t>
  </si>
  <si>
    <t>คนไข้รับยากลับบ้าน</t>
  </si>
  <si>
    <t>1. เรียกคิวคนไข้ที่ห้องยา
2. ยืนยันจ่ายยา Home med</t>
  </si>
  <si>
    <t>คนไข้มีนัด พบแพทย์ ทำหัตถการ (ภายในวัน / สั่งล่วงหน้า) &gt; การเงิน</t>
  </si>
  <si>
    <t>แพทย์สั่งหัตถการภายในวัน</t>
  </si>
  <si>
    <t>1. ระบบจะแสดง Section ในส่วนของการ Order ขึ้นมา
2. ทำการสั่ง หัตถการ ที่ต้องการ
3. เลือก Priority และ วันที่ต้องการให้ทำหัตถการเป็นวันนี้ และจำนวนครั้ง
4. กดปุ่มบันทึก
5. ระบบจะแสดงข้อมูล หัตถการที่สั่ง จำนวน ราคา พร้อม ICD9</t>
  </si>
  <si>
    <t>1. หัตการไม่สามารถพิมพ์ใบคำสั่งได้</t>
  </si>
  <si>
    <t>บันทึกการทำหัตถการหลังทำเสร็จ</t>
  </si>
  <si>
    <t>1. เปิดรายการหัตถการที่สั่งไว้
2. บันทึกผลการทำหัตถการ
3. ตรวจสอบว่าสถานะหัตถการเปลี่ยนเป็นทำแล้ว</t>
  </si>
  <si>
    <t>แพทย์สั่งหัตถการล่วงหน้า (วันอื่น)</t>
  </si>
  <si>
    <t>1. สั่งหัตถการที่ต้องการ
2. เลือก วันที่ต้องการให้ทำหัตถการเป็นวันอื่น และเลือกวันที่
3. กดปุ่มบันทึก
4. ตรวจสอบว่ารายการรอทำแสดงในวันนัดที่กำหนด</t>
  </si>
  <si>
    <t>1. ยังไม่สามารถเลือกวันอื่นๆ ได้ (ติดในส่วนเลือกตารางหัตถการ)</t>
  </si>
  <si>
    <t>คนไข้ชำระเงิน (ค่าหัตถการ)</t>
  </si>
  <si>
    <t>1. ตรวจสอบว่าค่าหัตถการที่ทำภายในวันแสดงใน Chart item
2. ตรวจสอบว่าหัตถการที่สั่งล่วงหน้ายังไม่ถูกเรียกเก็บในวันนี้
3. สร้าง invoice และรับชำระเงิน
4. ปิดสิทธิ์ผ่าน EDC / End point</t>
  </si>
  <si>
    <t>1. ยััง Inprogress</t>
  </si>
  <si>
    <t>แพทย์สั่งยาแบบ Refill</t>
  </si>
  <si>
    <t>1. เข้า Section ในส่วนของการ Order
2. ค้นหารายการยาและระบุวิธีใช้
3. กำหนด Refill Number (จำนวนงวดที่ให้มารับ)
4. ตรวจสอบว่าค่าที่กำหนดแสดงในรายการยาใน Order Basket
5. กดปุ่ม เพิ่ม order แล้วกดปุ่ม Sign</t>
  </si>
  <si>
    <t>ห้องยาจ่ายยางวดแรก</t>
  </si>
  <si>
    <t>1. สร้างใบยาของงวดแรก
2. จัดยาและยืนยันรอจ่าย
3. ตรวจสอบจำนวนที่เบิกได้ / จำนวนจ่าย / คงเหลือ ของแต่ละงวด
4. เรียกคิวคนไข้ และยืนยันจ่ายยา</t>
  </si>
  <si>
    <t>1. Discharge เป็น กลับบ้าน
2. ปริ้นท์บัตรคิว การเงิน / ห้องยา และบัตรนัดมารับยางวดถัดไป</t>
  </si>
  <si>
    <t>1. ตรวจสอบว่าเรียกเก็บเฉพาะค่ายางวดที่จ่ายจริง ไม่ใช่ทั้งแผน
2. สร้าง invoice และรับชำระเงิน
3. ปิดสิทธิ์ผ่าน EDC / End point</t>
  </si>
  <si>
    <t>เปิด Visit สำหรับขอใบรับรองแพทย์</t>
  </si>
  <si>
    <t>1. ค้นหาผู้ป่วยและกดปุ่ม + Visit ใหม่
2. เลือกคลินิก หรือ หน่วยงานที่คนไข้ต้องไป
3. ยืนยันสิทธิการรักษา แล้วกดปุ่ม สร้าง</t>
  </si>
  <si>
    <t>แพทย์ตรวจและลง OPD Note</t>
  </si>
  <si>
    <t>1. แพทย์เรียกคิวผู้ป่วยเข้าห้องตรวจ
2. ลงข้อมูลการรักษาและ diagnosis</t>
  </si>
  <si>
    <t>สร้างใบรับรองแพทย์จากหน้า ใบรับรองแพทย์</t>
  </si>
  <si>
    <t>1. เลือกดูเมนู ใบรับรองแพทย์ ที่ Side bar ทางขวามือ
2. ระบบจะแสดงหน้ากรอกข้อมูลขึ้นมา
3. กรอกข้อมูลที่ต้องการลงไป
4. กดบันทึก</t>
  </si>
  <si>
    <t>สร้างใบรับรองแพทย์จากหน้า Document (เลือกชนิดเอกสาร)</t>
  </si>
  <si>
    <t>1. เลือกดูเมนู เอกสาร ที่ Side bar ทางซ้ายมือ
2. ระบบจะแสดงหน้ารายการเอกสาร
3. คลิกสร้างเอกสาร
4. เลือกประเภทเอกสาร ใบรับรองแพทย์ และเลือกประเภทใบรับรองแพทย์
5. กรอกข้อมูลที่ต้องการลงไป
6. กดบันทึก</t>
  </si>
  <si>
    <t>พิมพ์ใบรับรองแพทย์</t>
  </si>
  <si>
    <t>1. เลือกดูเมนู เอกสาร ที่ Side bar ทางซ้ายมือ
2. ระบบจะแสดงหน้ารายการเอกสาร
3. คลิกพิมพ์เอกสาร
4. ตรวจสอบข้อมูลบนเอกสารว่าตรงกับ Visit</t>
  </si>
  <si>
    <t>1. เมื่อกด Preview Print แล้วหน้าขาว</t>
  </si>
  <si>
    <t>ออกใบรับรองแพทย์ย้อนหลัง</t>
  </si>
  <si>
    <t>1. ค้นหาผู้ป่วย
2. ระบบแสดงข้อมูลผู้ป่วย
3. เลือก เอกสาร ที่ side bar ซ้ายมือ
4. เลือกเอกสารที่ต้องการ
5. Print เอกสาร</t>
  </si>
  <si>
    <t>คนไข้ชำระค่าธรรมเนียม</t>
  </si>
  <si>
    <t>1. ตรวจสอบว่าค่าธรรมเนียมใบรับรองแพทย์แสดงใน Chart item
2. สร้าง invoice และรับชำระเงิน</t>
  </si>
  <si>
    <t>กลุ่ม Walk in - คนไข้ไม่มีนัด หรือมาไม่ตรงนัด</t>
  </si>
  <si>
    <t>เปิด Visit แบบ Walk in</t>
  </si>
  <si>
    <t>1. เข้าแอพ เวชระเบียน &gt; ค้นหาผู้ป่วย
2. กดปุ่ม + Visit ใหม่
3. เลือก คลินิก หรือ หน่วยงานที่คนไข้ต้องไป
4. จัดการสิทธิการรักษา
5. กดปุ่ม สร้าง
6. ออกใบนำทางและเลขคิวห้องตรวจ</t>
  </si>
  <si>
    <t>พยาบาลจัดการผู้ป่วย Walk in และ assign แพทย์</t>
  </si>
  <si>
    <t>1. บันทึกสัญญาณชีพ (V/S)
2. เลือกดูเมนู ฟอร์มคัดกรอง ที่ Side bar ทางขวามือ
3. กรอกข้อมูลการคัดกรองและบันทึก</t>
  </si>
  <si>
    <t>1. กดเลือกคนไข้จากหน้า รายการผู้ป่วยนอก ที่สถานะพร้อมตรวจ
2. ลงข้อมูลการรักษาและ diagnosis
3. บันทึกข้อมูล</t>
  </si>
  <si>
    <t>แพทย์สั่งยากลับบ้านและกดตรวจเสร็จ</t>
  </si>
  <si>
    <t>1. สั่งยา Home med และกดปุ่ม Sign
2. สร้างนัดหมาย FU (ถ้ามี)
3. กดปุ่มตรวจเสร็จ</t>
  </si>
  <si>
    <t>1. ไม่่สามารถสั่งยาได้ (แก้ไขแล้วโดย ยิง Template Order เข้าระบบ Cortex)</t>
  </si>
  <si>
    <t>1. คิวการเงินแสดงชื่อไม่ถูกต้อง</t>
  </si>
  <si>
    <t>ยังไม่สามารถพิมฑ์ฉลากได้</t>
  </si>
  <si>
    <t>1. ค้นหาผู้ป่วย และกดปุ่ม + Visit ใหม่
2. เลือกคลินิก หรือ หน่วยงานที่คนไข้ต้องไป
3. กดปุ่ม สร้าง และออกใบนำทาง</t>
  </si>
  <si>
    <t>พยาบาลจัดการผู้ป่วย Walk in</t>
  </si>
  <si>
    <t>1. กดปุ่มเมนูมุมบนขวา เลือกผู้ป่วยนอก และ รายการผู้ป่วย Walk-in request
2. ระบบจะแสดงรายการคนไข้ที่ Walk-in เข้ามา
3. ตรวจสอบว่าไม่มี slot แพทย์ว่างในวันนี้</t>
  </si>
  <si>
    <t>สร้างนัดหมายให้คนไข้แทนการตรวจในวันนี้</t>
  </si>
  <si>
    <t>1. เลือกดูเมนู สร้างนัดหมาย ที่ Side bar ทางขวามือ
2. ระบบจะแสดงข้อมูลหน้าสร้างนัดหมายขึ้นมา
3. เลือก คลินิก แพทย์ ประเภทการนัดหมาย แล้ว Slot ที่ต้องการ
4. กดบันทึก
5. ปริ้นท์บัตรนัดให้คนไข้</t>
  </si>
  <si>
    <t>Note นัดหมายขาดสถานทีให้บริการ</t>
  </si>
  <si>
    <t>ปิด Visit ของวันนี้โดยไม่พบแพทย์</t>
  </si>
  <si>
    <t>1. ปิด Visit ของวันนี้
2. ตรวจสอบสถานะ EN / Visit หลังปิด</t>
  </si>
  <si>
    <t>Note ปิดได้ 2 วิธี
1. รอ 4 ทุ่มแล้วให้ Auto Close Visit
2. ให้ห้องการเงินปิด Visit ให้</t>
  </si>
  <si>
    <t>ตรวจสอบค่าใช้จ่ายที่การเงิน</t>
  </si>
  <si>
    <t>1. เข้าหน้าการเงินและค้นหา Visit นี้
2. ตรวจสอบว่าไม่มีค่าใช้จ่ายค้าง หรือมีเฉพาะค่าธรรมเนียมที่เกิดขึ้นจริง</t>
  </si>
  <si>
    <t>ค้นหาผู้ป่วยและตรวจสอบนัดหมาย</t>
  </si>
  <si>
    <t>1. ค้นหาผู้ป่วยด้วย HN
2. กดปุ่ม + Visit ใหม่
3. ตรวจสอบว่าระบบแสดงนัดหมายเป็นวันอื่น ไม่ใช่วันนี้</t>
  </si>
  <si>
    <t>เปิด Visit ให้คนไข้ที่มาไม่ตรงนัด</t>
  </si>
  <si>
    <t>1. เลือกคลินิก หรือ หน่วยงานที่คนไข้ต้องไป (แบบ Walk in)
2. จัดการสิทธิการรักษา
3. กดปุ่ม สร้าง และออกใบนำทาง</t>
  </si>
  <si>
    <t>ขาดใบนำทาง</t>
  </si>
  <si>
    <t>ตรวจสอบสถานะนัดหมายเดิมหลังเปิด Visit</t>
  </si>
  <si>
    <t>1. เลือกดูเมนู ประวัติการนัดหมาย ที่ Side bar ทางซ้ายมือ
2. ตรวจสอบว่านัดหมายเดิมยังอยู่ / ถูกใช้ไป / ถูก mark ว่าไม่มาตามนัด</t>
  </si>
  <si>
    <t>ระบบจะแสดงนัดหมายคงเดิม</t>
  </si>
  <si>
    <t>1. บันทึก V/S และฟอร์มคัดกรอง
2. แพทย์เรียกคิวและลง OPD Note + diagnosis
3. สั่งยาและทำนัดหมายใหม่ (ถ้ามี)
4. กดปุ่มตรวจเสร็จ</t>
  </si>
  <si>
    <t>ขาดปริ้นเอกสาร คิวต่างๆ 
ชื่อคิวการเงินยังเป็น NUH</t>
  </si>
  <si>
    <t>ยังต้อง Map คำศัพท์เพิ่มเติม
ในกรณีกดจ่ายเงินแล้วระบบค้างอยู่หน้า กำลังพิมพ์</t>
  </si>
  <si>
    <t>เปิด Visit สำหรับมาเจาะเลือดล่วงหน้า</t>
  </si>
  <si>
    <t>1. ค้นหาผู้ป่วย และกดปุ่ม + Visit ใหม่
2. ใช้ช่อง หรือรับบริการ สำหรับกรณีไม่พบแพทย์
3. เลือกหน่วยงานปลายทางเป็นห้อง Lab
4. กดปุ่ม สร้าง และออกใบนำทาง / เลขคิว Lab</t>
  </si>
  <si>
    <t>ยังต้ิดไม่สามารถพิมพ์ใบนำทางได้</t>
  </si>
  <si>
    <t>ห้อง Lab รับรายการและเจาะเลือด</t>
  </si>
  <si>
    <t>1. เข้า Cortex Worklist ของห้อง Lab
2. เลือกรายการผู้ป่วยแล้วกด Check-in
3. เก็บ Specimen และพิมพ์ Sticker (LN) ติด Tube
4. กด Run Lab ส่งไปยัง LIS</t>
  </si>
  <si>
    <t>รับผลกลับเข้าระบบและ Authorize</t>
  </si>
  <si>
    <t>1. รับผลจาก LIS กลับเข้าระบบ
2. ให้แพทย์ Authorize ผล
3. ตรวจสอบว่าผลพร้อมให้แพทย์เรียกดูในวันนัดจริง</t>
  </si>
  <si>
    <t>ยังไม่่สามารถส่งผลเล็ปกลับได้</t>
  </si>
  <si>
    <t>คนไข้ชำระค่าตรวจ Lab</t>
  </si>
  <si>
    <t>1. เปิดรายการของ Visit นี้ที่หน้าการเงิน
2. ตรวจสอบว่าค่าตรวจ Lab แสดงใน Chart item
3. สร้าง invoice และรับชำระเงิน</t>
  </si>
  <si>
    <t>ปิด Visit ของวันที่มาเจาะเลือด</t>
  </si>
  <si>
    <t>1. ปิด Visit ของวันนี้
2. ตรวจสอบว่านัดหมายพบแพทย์ในวันถัดไปยังอยู่ครบ</t>
  </si>
  <si>
    <t>คนไข้มาตรวจ Lab/IMG ล่วงหน้า (ก่อนวันนัดพบแพทย์)</t>
  </si>
  <si>
    <t>เปิด Visit สำหรับมาตรวจ IMG ล่วงหน้า</t>
  </si>
  <si>
    <t>1. ค้นหาผู้ป่วย และกดปุ่ม + Visit ใหม่
2. ใช้ช่อง หรือรับบริการ สำหรับกรณีไม่พบแพทย์
3. เลือกหน่วยงานปลายทางเป็นห้อง X-ray / Lab
4. กดปุ่ม สร้าง และออกใบนำทาง / เลขคิว X-ray</t>
  </si>
  <si>
    <t>OPD/IMG</t>
  </si>
  <si>
    <t>ห้อง Lab / X-ray / Img รับรายการและถ่ายภาพ</t>
  </si>
  <si>
    <t>1. เข้า Cortex Worklist ของห้อง X-ray/Lab
2. เลือกรายการผู้ป่วยแล้วกด Check-in
3. ฉายรังสี / ถ่ายภาพ
4. กด Run IMG ส่งไปยัง RIS</t>
  </si>
  <si>
    <t>1. รับผลจาก RIS กลับเข้าระบบ
2. ให้แพทย์ Authorize ผล
3. ตรวจสอบว่าผลพร้อมให้แพทย์เรียกดูในวันนัดจริง</t>
  </si>
  <si>
    <t>คนไข้ชำระค่าตรวจ IMG</t>
  </si>
  <si>
    <t>1. ตรวจสอบว่าค่าตรวจ IMG แสดงใน Chart item
2. สร้าง invoice และรับชำระเงิน</t>
  </si>
  <si>
    <t>ปิด Visit ของวันที่มาตรวจ IMG</t>
  </si>
  <si>
    <t>กลุ่ม Refill ยา - คนไข้มารับยาตามแผน Refill</t>
  </si>
  <si>
    <t>เปิด Visit สำหรับมารับยา Refill</t>
  </si>
  <si>
    <t>1. ค้นหาผู้ป่วย และกดปุ่ม + Visit ใหม่
2. ใช้ช่อง หรือรับบริการ (รับยาแบบไม่พบแพทย์)
3. กดปุ่ม สร้าง และออกใบนำทาง / บัตรคิวห้องยา</t>
  </si>
  <si>
    <t>ห้องยาตรวจสอบงวด Refill ที่ถึงกำหนด</t>
  </si>
  <si>
    <t>1. เข้าเมนูห้องยา
2. ค้นหาใบยา Refill ของผู้ป่วย
3. ตรวจสอบว่างวดที่ถึงกำหนดตรงกับวันที่คนไข้มารับ
4. ตรวจสอบจำนวนที่เบิกได้ / จำนวนจ่าย / คงเหลือ ของแต่ละงวด</t>
  </si>
  <si>
    <t>สร้างใบยาและจัดยางวดนั้น</t>
  </si>
  <si>
    <t>1. เลือกรายการยาของงวดที่ถึงกำหนด แล้วกดปุ่มสร้างใบยา
2. กดปุ่มจัดยาแล้ว
3. กดปุ่มยืนยันรอจ่าย</t>
  </si>
  <si>
    <t>คนไข้ชำระค่ายา</t>
  </si>
  <si>
    <t>1. เปิดรายการของผู้ป่วยจากคิวการเงิน
2. ตรวจสอบว่าเรียกเก็บเฉพาะค่ายางวดนี้
3. สร้าง invoice และรับชำระเงิน</t>
  </si>
  <si>
    <t>เรียกคิวและจ่ายยา</t>
  </si>
  <si>
    <t>1. เรียกคิวคนไข้ที่ห้องยา
2. เลือก 3จุด ด้านหลังรายการยา แล้วเลือก ยืนยันจ่ายยา
3. ตรวจสอบว่างวดถัดไปยังคงเหลืออยู่ในแผน Refill</t>
  </si>
  <si>
    <t>ห้องยาตรวจสอบงวด Refill ที่ยังไม่ถึง / เลยกำหนด</t>
  </si>
  <si>
    <t>1. ค้นหาใบยา Refill ของผู้ป่วย
2. ตรวจสอบว่าวันที่มารับไม่ตรงกับงวดที่กำหนด
3. ตรวจสอบว่าระบบแจ้งเตือน หรืออนุญาตให้จ่ายก่อน / หลังกำหนดหรือไม่</t>
  </si>
  <si>
    <t>จ่ายยาตามเงื่อนไขที่ระบบอนุญาต</t>
  </si>
  <si>
    <t>1. ดำเนินการตามผลของขั้นตอนก่อนหน้า (จ่ายได้ / ต้องขออนุมัติ / จ่ายไม่ได้)
2. ถ้าจ่ายได้ ให้สร้างใบยา &gt; จัดยา &gt; ยืนยันรอจ่าย &gt; จ่ายยา
3. ตรวจสอบว่าจำนวนคงเหลือของแผน Refill ถูกปรับถูกต้อง</t>
  </si>
  <si>
    <t>1. ตรวจสอบว่าเรียกเก็บเฉพาะงวดที่จ่ายจริง
2. สร้าง invoice และรับชำระเงิน</t>
  </si>
  <si>
    <t>กลุ่มมีนัดฉีดยา / ทำแผล ไม่พบแพทย์</t>
  </si>
  <si>
    <t>เปิด Visit ตามนัดฉีดยา / ทำแผล</t>
  </si>
  <si>
    <t>1. ค้นหาผู้ป่วย และกดปุ่ม + Visit ใหม่
2. ตรวจสอบนัดหมายประเภทฉีดยา / ทำแผล ของวันนี้
3. ใช้ช่อง หรือรับบริการ (ไม่พบแพทย์)
4. กดปุ่ม สร้าง และออกใบนำทาง</t>
  </si>
  <si>
    <t>1. ยััง ติดปัญหาไม่สามารถเปิด Visit คนไข้ไปห้องหัตการโดยไม่พบแพทย์ได้</t>
  </si>
  <si>
    <t>พยาบาลบันทึกการฉีดยา / ทำแผล</t>
  </si>
  <si>
    <t>1. เปิดผู้ป่วยจากหน้า รายการผู้ป่วยนอก
2. บันทึกสัญญาณชีพ (ถ้ามี)
3. บันทึกการให้ยา / การทำแผล ตามคำสั่งเดิมของแพทย์
4. ตรวจสอบว่าประวัติแสดงใน Visit นี้</t>
  </si>
  <si>
    <t>ห้องยาจ่ายยาที่ใช้ฉีด (ถ้ามี)</t>
  </si>
  <si>
    <t>1. ตรวจสอบว่ามี Order ยาฉีดของ Visit นี้ที่ห้องยา
2. สร้างใบยา &gt; จัดยา &gt; ยืนยันรอจ่าย &gt; จ่ายยา</t>
  </si>
  <si>
    <t>1. Discharge เป็น กลับบ้าน
2. ปริ้นท์บัตรคิวการเงิน
3. ปริ้นท์บัตรนัดครั้งถัดไป (ถ้ามี)</t>
  </si>
  <si>
    <t>คนไข้ชำระค่าบริการ</t>
  </si>
  <si>
    <t>1. ตรวจสอบว่าค่าหัตถการฉีดยา / ทำแผล และค่ายา แสดงใน Chart item
2. สร้าง invoice และรับชำระเงิน
3. ปิดสิทธิ์ผ่าน EDC / End point</t>
  </si>
  <si>
    <t>กลุ่ม Admit - คนไข้ OPD ต้องนอนโรงพยาบาล</t>
  </si>
  <si>
    <t>แพทย์สร้าง Admit request</t>
  </si>
  <si>
    <t>1. เลือกดูเมนู สร้าง admit order ที่ Side bar ทางขวามือ
2. ระบบจะแสดง ฟอร์ม ขึ้นมา
3. ลงข้อมูล Pre-diagnosis และ Chief complaint
4. กรอกข้อมูล Admit Request form
5. กดปุ่ม เครื่องหมายถูก เพื่อบันทึกข้อมูล</t>
  </si>
  <si>
    <t>พยาบาลตรวจสอบ Admit request</t>
  </si>
  <si>
    <t>1. เลือกดูเมนู สร้าง admit order ที่ Side bar ทางขวามือ
2. ระบบจะแสดง ฟอร์ม ขึ้นมา โดยมีสถานะแสดงอยู่
3. ตรวจสอบว่าสถานะ Admit request ถูกต้อง</t>
  </si>
  <si>
    <t>ตรวจสอบค่าใช้จ่ายส่วน OPD</t>
  </si>
  <si>
    <t>1. เปิดรายการของ Visit OPD ที่หน้าการเงิน
2. ตรวจสอบ Chart item ที่เกิดขึ้นก่อน Admit</t>
  </si>
  <si>
    <t>ส่งผู้ป่วยไป Admission Center</t>
  </si>
  <si>
    <t>1. ตรวจสอบว่า Admit request ส่งต่อไปยัง Admission Center
2. ตรวจสอบสถานะ EN / Visit ของฝั่ง OPD หลังส่งต่อ</t>
  </si>
  <si>
    <t>แพทย์ตรวจและสั่ง Admit</t>
  </si>
  <si>
    <t>1. ลง OPD Note และ diagnosis
2. สร้าง Admit request จากเมนู สร้าง admit order</t>
  </si>
  <si>
    <t>แพทย์สั่งตรวจ LAB / IMG ก่อนขึ้น ward</t>
  </si>
  <si>
    <t>1. Check-in ผู้ป่วยที่ Cortex Worklist
2. เก็บ Specimen / ฉายรังสี
3. Run Lab / IMG ไปยัง LIS / RIS
4. รับผลกลับเข้าระบบและ Authorize</t>
  </si>
  <si>
    <t xml:space="preserve">1.ไม่สามารถส่งผล Lab กลับมาได้ / 2. ขาดเอกสารยินยอม X-Ray &gt;&gt;&gt; ยกมาจาก Dev-x </t>
  </si>
  <si>
    <t>แพทย์ตรวจสอบผลก่อนส่งขึ้น ward</t>
  </si>
  <si>
    <t>1. เปิดดูผล Lab / IMG ที่ส่งกลับมา
2. ยืนยันการ Admit</t>
  </si>
  <si>
    <t>ส่งผู้ป่วยขึ้น ward พร้อมผลตรวจ</t>
  </si>
  <si>
    <t>1. ส่ง Admit request ไปยัง Admission Center
2. ตรวจสอบว่าผล Lab / IMG ที่ทำที่ OPD เรียกดูได้จากฝั่ง IPD</t>
  </si>
  <si>
    <t>1. Invalid key: Expected "admissionTypeId" but received undefined
2. Invalid key: Expected "admitSourceId" but received undefined</t>
  </si>
  <si>
    <t>แพทย์สั่ง Admit และระบบสร้าง AN</t>
  </si>
  <si>
    <t>1. สร้าง Admit request
2. ให้ Admission Center สร้าง AN ให้ผู้ป่วย
3. ตรวจสอบว่าได้เลข AN</t>
  </si>
  <si>
    <t>ตรวจสอบรายการค่าใช้จ่ายฝั่ง OPD</t>
  </si>
  <si>
    <t>1. เข้าหน้าการเงินและเปิดรายการของ Visit OPD
2. ตรวจสอบ Chart item ที่เกิดขึ้นก่อน Admit (ค่าตรวจ / Lab / IMG / ยา)</t>
  </si>
  <si>
    <t>ย้ายค่าใช้จ่ายจาก OPD ไป IPD</t>
  </si>
  <si>
    <t>1. เลือกรายการค่าใช้จ่ายที่ต้องย้าย
2. ทำรายการย้ายค่าใช้จ่ายไปยัง AN
3. ตรวจสอบว่ารายการหายจากฝั่ง OPD และไปปรากฏที่ฝั่ง IPD</t>
  </si>
  <si>
    <t>ตรวจสอบยอดคงเหลือฝั่ง OPD หลังย้าย</t>
  </si>
  <si>
    <t>1. ตรวจสอบยอดค้างชำระของ Visit OPD หลังย้ายรายการ
2. ตรวจสอบว่าไม่มีการเรียกเก็บซ้ำทั้งฝั่ง OPD และ IPD</t>
  </si>
  <si>
    <t xml:space="preserve">กลุ่ม ODS - หัตถการ One Day Surgery &gt;&gt; 22/09/69 ติดเรื่อง QUEUE  : Check Config </t>
  </si>
  <si>
    <t xml:space="preserve">คนไข้มาตรวจ หมอสั่ง ODS ภายในวัน </t>
  </si>
  <si>
    <t>แพทย์สั่งหัตถการ ODS ภายในวัน</t>
  </si>
  <si>
    <t>1. ระบบจะแสดง Section ในส่วนของการ Order ขึ้นมา
2. สั่งหัตถการประเภท ODS
3. เลือก Priority และ วันที่ต้องการให้ทำหัตถการเป็นวันนี้
4. กดปุ่มบันทึก</t>
  </si>
  <si>
    <t>OPD/OR</t>
  </si>
  <si>
    <t>Set OR / ห้องหัตถการ และ Check-in</t>
  </si>
  <si>
    <t>1. Set OR จากคำสั่งของแพทย์
2. Check-in ผู้ป่วยเข้าห้องหัตถการ</t>
  </si>
  <si>
    <t>1. ติดไม่สามารถเช็คอิน เนิ่องจากไม่มี Queue Type ของห้อง OR</t>
  </si>
  <si>
    <t>บันทึกขั้นตอน Pre-Op / Op / Post-Op / Recovery</t>
  </si>
  <si>
    <t>1. บันทึก Pre-Op
2. บันทึก Op
3. บันทึก Post-Op
4. บันทึก Recovery
5. Discharge ออกจากห้องหัตถการ</t>
  </si>
  <si>
    <t>1. Pre-OP ไม่สามารถบันทึกได้
2. Post-OP ยังไม่สามารถใช้งานได้</t>
  </si>
  <si>
    <t>บันทึกหัตถการ ODS หลังทำเสร็จ</t>
  </si>
  <si>
    <t>1. เปิดรายการหัตถการ ODS ที่สั่งไว้
2. บันทึกผลการทำหัตถการ
3. ตรวจสอบว่าสถานะหัตถการเปลี่ยนเป็นทำแล้ว</t>
  </si>
  <si>
    <t>1. ยััังไม่สามารถทดสอบต่อได้ เนื่องจากติด Block check-in</t>
  </si>
  <si>
    <t>คนไข้ชำระเงิน (ค่าหัตถการ ODS)</t>
  </si>
  <si>
    <t>1. ตรวจสอบว่าค่าหัตถการ ODS แสดงใน Chart item
2. สร้าง invoice และรับชำระเงิน
3. ปิดสิทธิ์ผ่าน EDC / End point</t>
  </si>
  <si>
    <t>วันตรวจ - แพทย์สั่ง ODS ล่วงหน้าและทำนัด</t>
  </si>
  <si>
    <t>1. สั่งหัตถการประเภท ODS
2. เลือก วันที่ต้องการให้ทำหัตถการเป็นวันอื่น และเลือกวันที่
3. กดปุ่มบันทึก
4. สร้างนัดหมายวันมาทำ ODS
5. ปริ้นท์บัตรนัดให้คนไข้</t>
  </si>
  <si>
    <t>วันนัด - เปิด Visit ตามนัด ODS</t>
  </si>
  <si>
    <t>1. ค้นหาผู้ป่วย และกดปุ่ม + Visit ใหม่
2. ตรวจสอบว่าระบบแสดงนัดหมาย ODS ของวันนี้
3. ยืนยันสิทธิการรักษา แล้วกดปุ่ม สร้าง
4. ออกใบนำทาง</t>
  </si>
  <si>
    <t>1. ตรวจสอบว่า Order ODS ที่สั่งล่วงหน้าแสดงในวันนัด
2. Set OR จากคำสั่งของแพทย์
3. Check-in ผู้ป่วยเข้าห้องหัตถการ</t>
  </si>
  <si>
    <t>1. ตรวจสอบว่าค่าหัตถการ ODS ถูกเรียกเก็บในวันที่ทำจริง ไม่ใช่วันที่สั่ง
2. สร้าง invoice และรับชำระเงิน
3. ปิดสิทธิ์ผ่าน EDC / End point</t>
  </si>
  <si>
    <t>กลุ่มคลังยา - scenario เดิมของ sheet นี้</t>
  </si>
  <si>
    <t>ตรวจสอบการตัด Stock ของระบบคลัง</t>
  </si>
  <si>
    <t>1. เปิดระบบคลัง (Inventory) ของห้องยาที่จ่าย
2. ตรวจสอบยอดคงเหลือของรายการยาก่อนและหลังสร้างใบยา
3. ตรวจสอบว่าระบบตัด Stock ตามจำนวนที่จ่ายจริง</t>
  </si>
  <si>
    <t>Scenario</t>
  </si>
  <si>
    <t>กลุ่ม Appointment - คนไข้มีนัดหมายล่วงหน้า (12 UC)</t>
  </si>
  <si>
    <t>คนไข้มีนัด แพทย์สั่งตรวจ LAB / IMG อ่านผลภายในวัน (แพทย์อ่านผลเอง / ฝากแพทย์ท่านอื่นอ่านผล)</t>
  </si>
  <si>
    <t>APM-OPD-011</t>
  </si>
  <si>
    <t>คนไข้ขอเลื่อนนัดหมาย</t>
  </si>
  <si>
    <t>APM-OPD-012</t>
  </si>
  <si>
    <t>คนไข้ขอยกเลิกนัดหมาย</t>
  </si>
  <si>
    <t>APM-OPD-013</t>
  </si>
  <si>
    <t>คนไข้ไม่มาตามนัด (No-show)</t>
  </si>
  <si>
    <t>คนไข้ Walk in พบแพทย์ (พยาบาลทำ Pre-assessment จากหน้าคำขอ Walk-in · SBH-2699)</t>
  </si>
  <si>
    <t>คนไข้มาตรวจ Lab / IMG ล่วงหน้า (ก่อนวันนัดพบแพทย์)</t>
  </si>
  <si>
    <t>WLK-OPD-006</t>
  </si>
  <si>
    <t>คนไข้ใหม่ (ยังไม่มี HN) ลงทะเบียนและเปิด Visit ครั้งแรก</t>
  </si>
  <si>
    <t>กลุ่มมีนัดฉีดยา / ฉีดวัคซีน / ทำแผล ไม่พบแพทย์ (1 UC)</t>
  </si>
  <si>
    <t>คนไข้มีนัดฉีดยา / ฉีดวัคซีน / ทำแผล ไม่พบแพทย์</t>
  </si>
  <si>
    <t>กลุ่ม Admit - คนไข้ OPD ต้องนอนโรงพยาบาล (2 UC)</t>
  </si>
  <si>
    <t>คนไข้ Admit (ย้ายค่าใช้จ่ายจาก OPD ไป IPD)</t>
  </si>
  <si>
    <t>Order</t>
  </si>
  <si>
    <t>กลุ่มคำสั่งการรักษา - Order Set / ยา Compound / รคส. / Remed / ค่าตรวจแพทย์ (5 UC)</t>
  </si>
  <si>
    <t>ORD-OPD-001</t>
  </si>
  <si>
    <t>แพทย์สั่งการรักษาผ่าน Order Set (ยา + Lab + หัตถการ) &gt; การเงิน &gt; รับยา</t>
  </si>
  <si>
    <t>ORD-OPD-002</t>
  </si>
  <si>
    <t>แพทย์สั่งยา Compound (ยาผสม) &gt; ห้องยา &gt; การเงิน &gt; รับยา</t>
  </si>
  <si>
    <t>ORD-OPD-003</t>
  </si>
  <si>
    <t>พยาบาลสั่ง Order แทนแพทย์ (รคส.) &gt; แพทย์ยืนยันคำสั่ง &gt; ห้องยา &gt; การเงิน</t>
  </si>
  <si>
    <t>ORD-OPD-004</t>
  </si>
  <si>
    <t>พยาบาลทำ Med reconcile &gt; แพทย์ Remed ยาเดิม &gt; ห้องยา &gt; การเงิน</t>
  </si>
  <si>
    <t>ORD-OPD-005</t>
  </si>
  <si>
    <t>แพทย์เพิ่มค่าตรวจแพทย์ (Doctor Fee) &gt; ตรวจสอบที่การเงิน</t>
  </si>
  <si>
    <t>Drug Label</t>
  </si>
  <si>
    <t>กลุ่มฉลากยา - ฉลากยาภาษาไทย / ภาษาอังกฤษ (2 UC)</t>
  </si>
  <si>
    <t>LBL-OPD-001</t>
  </si>
  <si>
    <t>ห้องยาพิมพ์ฉลากยาภาษาไทย (ยาหลายรูปแบบ)</t>
  </si>
  <si>
    <t>LBL-OPD-002</t>
  </si>
  <si>
    <t>คนไข้ต่างชาติ: ฉลากยาภาษาอังกฤษ + ใบส่งไปรษณีย์</t>
  </si>
  <si>
    <t>Cancel</t>
  </si>
  <si>
    <t>กลุ่มยกเลิก / ย้อนกลับ - ยกเลิก Visit / Order / ใบยา / ใบเสร็จ / คืนยา (3 UC)</t>
  </si>
  <si>
    <t>CXL-OPD-001</t>
  </si>
  <si>
    <t>ยกเลิก Visit (เปิดผิดคลินิก / คนไข้ไม่รอตรวจ)</t>
  </si>
  <si>
    <t>CXL-OPD-002</t>
  </si>
  <si>
    <t>แพทย์แก้ไข / ยกเลิก Order ก่อนและหลังห้องยาสร้างใบยา (เภสัชย้อนกลับใบยา · SBH-1717)</t>
  </si>
  <si>
    <t>CXL-OPD-003</t>
  </si>
  <si>
    <t>ยกเลิกใบเสร็จ / คืนยา / คืนเงิน หลังชำระเงินแล้ว</t>
  </si>
  <si>
    <t>Transfer / Refer</t>
  </si>
  <si>
    <t>กลุ่มส่งต่อ - พบแพทย์หลายคลินิก / Refer ออก / รับ Refer เข้า (3 UC)</t>
  </si>
  <si>
    <t>TRF-OPD-001</t>
  </si>
  <si>
    <t>คนไข้พบแพทย์หลายคลินิกในวันเดียว (ส่งต่อคลินิกอื่น)</t>
  </si>
  <si>
    <t>REF-OPD-001</t>
  </si>
  <si>
    <t>แพทย์ส่งตัวคนไข้ไปโรงพยาบาลอื่น (Refer out)</t>
  </si>
  <si>
    <t>REF-OPD-002</t>
  </si>
  <si>
    <t>รับคนไข้ Refer เข้าจากโรงพยาบาลอื่น</t>
  </si>
  <si>
    <t>กรณีแพทย์อ่านผลเอง: แพทย์อ่านผลและสรุปการรักษาภายในวัน</t>
  </si>
  <si>
    <t>กรณีฝากแพทย์ท่านอื่นอ่านผล: แพทย์เจ้าของไข้ส่ง Consult ให้แพทย์ท่านอื่นอ่านผล</t>
  </si>
  <si>
    <t>กรณีฝากแพทย์ท่านอื่นอ่านผล: แพทย์ท่านอื่นรับ Consult อ่านผล และตอบกลับ</t>
  </si>
  <si>
    <t>กรณีฝากแพทย์ท่านอื่นอ่านผล: แพทย์เจ้าของไข้ดูผลที่ตอบกลับและสรุปการรักษา</t>
  </si>
  <si>
    <t>ค้นหานัดหมายเดิมของคนไข้</t>
  </si>
  <si>
    <t>1. เปิดผู้ป่วยจากหน้า รายการผู้ป่วยนอก (แท็บ นัดหมาย / ลงทะเบียน) หรือค้นหาด้วย HN
2. เลือกดูเมนู ประวัติการนัดหมาย ที่ Side bar ทางซ้ายมือ
3. ตรวจสอบนัดหมายเดิม (วันที่ / เวลา / คลินิก / แพทย์)</t>
  </si>
  <si>
    <t>เลื่อนนัดหมายไปวันใหม่</t>
  </si>
  <si>
    <t>1. กดปุ่มแก้ไข / เลื่อนนัด ที่แถวนัดหมายเดิม
2. เลือกวันที่และช่วงเวลาใหม่ที่ยังว่าง
3. ระบุเหตุผลการเลื่อนนัด (ถ้ามี) แล้วกดบันทึก
4. ตรวจสอบว่าประวัติการนัดหมายแสดงวันนัดใหม่ และนัดเดิมไม่แสดงเป็นนัดที่ใช้งานอยู่</t>
  </si>
  <si>
    <t>ปริ้นบัตรนัดใหม่</t>
  </si>
  <si>
    <t>1. กดปุ่มพิมพ์ที่แถวนัดหมายใหม่ &gt; พิมพ์ใบนัด (TH)
2. ตรวจสอบวันที่ / เวลา / สถานที่ให้บริการ / คำแนะนำ บนบัตรนัดตรงกับนัดใหม่</t>
  </si>
  <si>
    <t>วันนัดใหม่ - เปิด Visit ตามนัด</t>
  </si>
  <si>
    <t>1. ค้นหาผู้ป่วยด้วย HN แล้วกดปุ่ม + Visit ใหม่
2. ตรวจสอบว่าระบบแสดงข้อมูลนัดหมายใหม่ (ไม่ใช่นัดเดิม)
3. ยืนยันสิทธิการรักษา แล้วกดปุ่ม สร้าง</t>
  </si>
  <si>
    <t>ยกเลิกนัดหมาย</t>
  </si>
  <si>
    <t>1. เลือกดูเมนู ประวัติการนัดหมาย ที่ Side bar ทางซ้ายมือ
2. กดปุ่มลบ / ยกเลิก ที่แถวนัดหมายที่ต้องการ
3. ระบุเหตุผลการยกเลิก แล้วกดยืนยัน
4. ตรวจสอบว่าสถานะนัดหมายเป็น ยกเลิก</t>
  </si>
  <si>
    <t>ตรวจสอบรายการนัดหลังยกเลิก</t>
  </si>
  <si>
    <t>1. เข้าหน้า รายการผู้ป่วยนอก &gt; แท็บ นัดหมาย / ลงทะเบียน แล้วเลือกวันที่นัด
2. ตรวจสอบว่าคนไข้ไม่แสดงในรายการนัดของวันนั้น
3. ตรวจสอบว่าช่วงเวลา (Slot) ที่ยกเลิกกลับมาว่างให้นัดคนอื่นได้</t>
  </si>
  <si>
    <t>ตรวจสอบตอนเปิด Visit</t>
  </si>
  <si>
    <t>1. ค้นหาผู้ป่วยด้วย HN แล้วกดปุ่ม + Visit ใหม่
2. ตรวจสอบว่าระบบไม่ดึงนัดหมายที่ยกเลิกแล้วมาแสดง
3. กรณีนัดมี Order ล่วงหน้า (Lab / IMG / หัตถการ) ตรวจสอบสถานะ Order นั้นหลังยกเลิกนัด</t>
  </si>
  <si>
    <t>ตรวจสอบรายการนัดที่คนไข้ไม่มา</t>
  </si>
  <si>
    <t>1. เข้าหน้า รายการผู้ป่วยนอก &gt; แท็บ นัดหมาย / ลงทะเบียน
2. เลือกวันที่นัดที่ผ่านมาแล้ว
3. ตรวจสอบว่าคนไข้ที่ไม่มาแสดงสถานะ ไม่มาตามนัด / ยังไม่เช็คอิน</t>
  </si>
  <si>
    <t>ทำนัดหมายใหม่ให้คนไข้</t>
  </si>
  <si>
    <t>1. เปิดผู้ป่วย &gt; เลือกดูเมนู สร้างนัดหมาย ที่ Side bar ทางขวามือ
2. เลือก คลินิก แพทย์ ประเภทการนัดหมาย และ Slot ใหม่
3. กดบันทึก
4. ตรวจสอบว่าประวัติการนัดหมายมีทั้งนัดเดิม (ไม่มาตามนัด) และนัดใหม่</t>
  </si>
  <si>
    <t>ตรวจสอบว่าไม่มีค่าใช้จ่ายค้าง</t>
  </si>
  <si>
    <t>1. ค้นหาผู้ป่วยที่หน้าการเงิน
2. ตรวจสอบว่าไม่มี Visit / ค่าใช้จ่ายของวันที่ไม่มาตามนัด</t>
  </si>
  <si>
    <t>พยาบาลเปิด Pre-assessment form จากหน้าคำขอ Walk-in (SBH-2699)</t>
  </si>
  <si>
    <t>1. เข้าหน้า รายการผู้ป่วยนอก &gt; แท็บ คำขอ Walk-in
2. กดที่คอลัมน์ คัดกรอง ของคนไข้
3. ตรวจสอบว่าระบบพาไปหน้า Pre-assessment form ของ Visit นี้
4. บันทึก V/S และข้อมูลคัดกรอง แล้วกดบันทึก
5. ตรวจสอบว่าสถานะคัดกรองในแท็บ คำขอ Walk-in เปลี่ยนเป็นคัดกรองแล้ว
6. ตรวจสอบว่าแพทย์เห็นข้อมูลคัดกรองใน OPD Note / Patient Banner</t>
  </si>
  <si>
    <t>ลงทะเบียนคนไข้ใหม่</t>
  </si>
  <si>
    <t>1. เข้าแอพ เวชระเบียน &gt; ค้นหาผู้ป่วยด้วยเลขบัตรประชาชน / ชื่อ และตรวจสอบว่าไม่มีประวัติเดิม
2. กดลงทะเบียนผู้ป่วยใหม่
3. กรอกข้อมูลส่วนตัว ที่อยู่ ผู้ติดต่อ (หรืออ่านข้อมูลจากบัตรประชาชน)
4. กดบันทึก
5. ตรวจสอบว่าได้เลข HN ใหม่</t>
  </si>
  <si>
    <t>เปิด Visit ครั้งแรก</t>
  </si>
  <si>
    <t>1. กดปุ่ม + Visit ใหม่
2. เลือกคลินิกที่คนไข้ต้องไป
3. เพิ่ม / ยืนยันสิทธิการรักษา
4. กดปุ่ม สร้าง และตรวจสอบว่าได้เลข VN
5. พิมพ์ใบนำทางและเลขคิวห้องตรวจ</t>
  </si>
  <si>
    <t>พยาบาลคัดกรองและซักประวัติแพ้ยา</t>
  </si>
  <si>
    <t>1. บันทึก V/S และฟอร์มคัดกรอง
2. บันทึกประวัติการแพ้ยา (หรือระบุว่าไม่มีประวัติแพ้ยา)
3. ตรวจสอบว่าข้อมูลแพ้ยาแสดงบน Patient Banner</t>
  </si>
  <si>
    <t>แพทย์ตรวจและสั่งยา</t>
  </si>
  <si>
    <t>1. แพทย์เรียกคิวและลง OPD Note + diagnosis
2. สั่งยา Home med และกดปุ่ม Sign
3. กดปุ่มตรวจเสร็จ</t>
  </si>
  <si>
    <t>1. Discharge เป็น กลับบ้าน
2. ปริ้นท์บัตรคิว การเงิน / ห้องยา และบัตรนัด (ถ้ามี)</t>
  </si>
  <si>
    <t>1. เปิดรายการของผู้ป่วยจากคิวการเงิน
2. ตรวจสอบ Chart item ครบตามที่สั่ง
3. สร้าง invoice และรับชำระเงิน
4. ปิดสิทธิ์ผ่าน EDC / End point</t>
  </si>
  <si>
    <t>กลุ่มมีนัดฉีดยา / ฉีดวัคซีน / ทำแผล ไม่พบแพทย์</t>
  </si>
  <si>
    <t>กรณีฉีดวัคซีน: บันทึกประวัติวัคซีน</t>
  </si>
  <si>
    <t>1. เลือกดูเมนู ประวัติวัคซีน ที่ Side bar ทางซ้ายมือ
2. กรอกข้อมูลวัคซีน (ชื่อวัคซีน / Lot / วันหมดอายุ / เข็มที่ / ตำแหน่งที่ฉีด)
3. กดบันทึก
4. ตรวจสอบว่ารายการแสดงในประวัติวัคซีน</t>
  </si>
  <si>
    <t>กรณีฉีดวัคซีน: นัดฉีดเข็มถัดไป</t>
  </si>
  <si>
    <t>1. เลือกดูเมนู สร้างนัดหมาย ที่ Side bar ทางขวามือ
2. เลือกวันนัดเข็มถัดไป แล้วกดบันทึก
3. ปริ้นท์บัตรนัดให้คนไข้</t>
  </si>
  <si>
    <t>กลุ่ม ODS - หัตถการ One Day Surgery</t>
  </si>
  <si>
    <t>กลุ่มคำสั่งการรักษา - Order Set / ยา Compound / รคส. / Remed / ค่าตรวจแพทย์</t>
  </si>
  <si>
    <t>แพทย์สั่งการรักษาผ่าน Order Set (ยา + Lab + หัตถการ) &gt; การเงิน &gt; รับยา (SBH-2529)</t>
  </si>
  <si>
    <t>1. ค้นหาผู้ป่วยด้วย HN แล้วกดปุ่ม + Visit ใหม่
2. ตรวจสอบนัดหมายของวันนี้ ยืนยันสิทธิการรักษา แล้วกดปุ่ม สร้าง
3. พิมพ์ใบนำทางและเลขคิวห้องตรวจ</t>
  </si>
  <si>
    <t>แพทย์เลือก Order Set</t>
  </si>
  <si>
    <t>1. ที่ส่วนคำสั่งการรักษา เลือก Order Set ที่ต้องการ
2. ตรวจสอบว่าระบบแสดงรายการใน Order Set ครบ (ยา / Lab / IMG / หัตถการ)
3. เลือก / ตัดรายการที่ไม่ต้องการออก และแก้ไขขนาดยา / จำนวน
4. กดปุ่มเพิ่ม order แล้วกดปุ่ม Sign</t>
  </si>
  <si>
    <t>ตรวจสอบรายการที่สั่งจาก Order Set</t>
  </si>
  <si>
    <t>1. ตรวจสอบว่าแต่ละรายการถูกส่งไปหน่วยงานถูกต้อง (ยา &gt; ห้องยา · Lab &gt; ห้อง Lab · หัตถการ &gt; ห้องหัตถการ)
2. ตรวจสอบราคารวมในส่วน รวมค่าใช้จ่าย (วันนี้)
3. กดปุ่มตรวจเสร็จ</t>
  </si>
  <si>
    <t>คนไข้ชำระเงิน (ตรวจสอบรายการจาก Order Set)</t>
  </si>
  <si>
    <t>1. เปิดรายการของผู้ป่วยจากคิวการเงิน
2. ตรวจสอบว่า Chart item ครบทุกรายการที่สั่งจาก Order Set
3. สร้าง invoice และรับชำระเงิน
4. ปิดสิทธิ์ผ่าน EDC / End point</t>
  </si>
  <si>
    <t>แพทย์สั่งยา Compound</t>
  </si>
  <si>
    <t>1. เลือกสั่งยาแบบ Compound
2. เลือกตัวยาที่ใช้ผสม และระบุปริมาณของแต่ละตัว
3. ระบุรูปแบบยา / วิธีใช้ / จำนวนที่จ่าย
4. กดปุ่มเพิ่ม order แล้วกดปุ่ม Sign
5. ตรวจสอบชื่อยา Compound และราคาที่แสดงใน CPOE</t>
  </si>
  <si>
    <t>ห้องยาสร้างใบยา Compound และปริ้นฉลาก</t>
  </si>
  <si>
    <t>1. สร้างใบยา
2. ตรวจสอบว่ารายการตัวยาในใบยาครบตามที่แพทย์สั่ง
3. พิมพ์ฉลากยา Compound
4. ตรวจสอบชื่อยา / ส่วนประกอบ / วิธีใช้ บนฉลาก</t>
  </si>
  <si>
    <t>คนไข้ชำระเงิน (ค่ายา Compound)</t>
  </si>
  <si>
    <t>1. เปิดรายการของผู้ป่วยจากคิวการเงิน
2. ตรวจสอบว่าราคายา Compound ใน Chart item ถูกต้อง
3. สร้าง invoice และรับชำระเงิน
4. ปิดสิทธิ์ผ่าน EDC / End point</t>
  </si>
  <si>
    <t>1. จัดยา &gt; ยืนยันรอจ่าย
2. เรียกคิวคนไข้ และยืนยันจ่ายยา</t>
  </si>
  <si>
    <t>1. บันทึก V/S และฟอร์มคัดกรอง</t>
  </si>
  <si>
    <t>พยาบาลสั่ง Order ตามคำสั่งแพทย์ (รคส.)</t>
  </si>
  <si>
    <t>1. พยาบาลเปิดผู้ป่วย &gt; ส่วนคำสั่งการรักษา
2. สั่งยา / Lab ตามคำสั่งแพทย์ และระบุแพทย์ผู้สั่ง
3. กดปุ่มเพิ่ม order แล้วกดปุ่ม Sign
4. ตรวจสอบว่า Order แสดงสถานะรอแพทย์ยืนยัน</t>
  </si>
  <si>
    <t>แพทย์ยืนยันคำสั่ง รคส.</t>
  </si>
  <si>
    <t>1. แพทย์เปิดเมนูผู้ใช้งาน มุมขวาบน &gt; คำสั่งรอยืนยัน
2. ตรวจสอบรายการคำสั่ง รคส. ของคนไข้
3. กดปุ่ม Approve
4. ตรวจสอบว่าสถานะ Order เปลี่ยนเป็นยืนยันแล้ว</t>
  </si>
  <si>
    <t>แพทย์ตรวจและกดตรวจเสร็จ</t>
  </si>
  <si>
    <t>1. แพทย์เรียกคิวและลง OPD Note + diagnosis
2. กดปุ่มตรวจเสร็จ</t>
  </si>
  <si>
    <t>พยาบาลทำ Med reconcile</t>
  </si>
  <si>
    <t>1. เลือกดูเมนู Reconcile med ที่ Side bar ทางขวามือ
2. บันทึกยาเดิมที่คนไข้ใช้อยู่ (ยาจากโรงพยาบาล / ยาจากที่อื่น)
3. กดบันทึก</t>
  </si>
  <si>
    <t>แพทย์ตรวจสอบยาเดิม</t>
  </si>
  <si>
    <t>1. แพทย์เรียกคิวและลง OPD Note + diagnosis
2. เปิดเมนู Reconcile med และตรวจสอบรายการยาเดิม
3. ระบุยาที่ให้ใช้ต่อ / หยุดใช้</t>
  </si>
  <si>
    <t>แพทย์ Remed ยาเดิม</t>
  </si>
  <si>
    <t>1. ที่ส่วนคำสั่งการรักษา เลือก Remed (คนไข้ต้องมีประวัติสั่งยาจาก Visit ก่อนหน้า)
2. เลือกยาจาก Visit ก่อนหน้า
3. ตรวจสอบว่าขนาด / วิธีใช้ / จำนวน ที่ดึงมาถูกต้อง และแก้ไขได้
4. กดปุ่มเพิ่ม order แล้วกดปุ่ม Sign
5. กดปุ่มตรวจเสร็จ</t>
  </si>
  <si>
    <t>แพทย์เพิ่มค่าตรวจแพทย์ (Doctor Fee)</t>
  </si>
  <si>
    <t>1. เลือกดูเมนู ค่าตรวจแพทย์ ที่ Side bar ทางขวามือ
2. เลือกรายการค่าบริการแพทย์และจำนวน
3. กดบันทึก
4. ตรวจสอบว่ารายการแสดงในส่วน รวมค่าใช้จ่าย (วันนี้)
5. กดปุ่มตรวจเสร็จ</t>
  </si>
  <si>
    <t>ตรวจสอบค่าตรวจแพทย์ที่การเงิน</t>
  </si>
  <si>
    <t>1. เปิดรายการของผู้ป่วยจากคิวการเงิน
2. ตรวจสอบว่า Chart item มีค่าตรวจแพทย์ตามที่บันทึก (รายการ / ราคา / ชื่อแพทย์)
3. สร้าง invoice และรับชำระเงิน
4. ปิดสิทธิ์ผ่าน EDC / End point</t>
  </si>
  <si>
    <t>กลุ่มฉลากยา - ฉลากยาภาษาไทย / ภาษาอังกฤษ</t>
  </si>
  <si>
    <t>ห้องยาพิมพ์ฉลากยาภาษาไทย (ยาหลายรูปแบบ) (SBH-2374)</t>
  </si>
  <si>
    <t>แพทย์สั่งยาหลายรูปแบบ</t>
  </si>
  <si>
    <t>1. สั่งยาเม็ด / ยาน้ำ / ยาใช้ภายนอก / ยาฉีด อย่างละ 1 รายการ พร้อมวิธีใช้
2. กดปุ่มเพิ่ม order แล้วกดปุ่ม Sign
3. กดปุ่มตรวจเสร็จ</t>
  </si>
  <si>
    <t>ห้องยาสร้างใบยาและปริ้นฉลากยาภาษาไทย</t>
  </si>
  <si>
    <t>1. สร้างใบยา
2. พิมพ์ฉลากยา (Sticker) ภาษาไทย
3. ตรวจสอบข้อมูลบนฉลาก: ชื่อ-สกุล / HN / ชื่อยา / ความแรง / จำนวน / วิธีใช้ / คำเตือน / วันที่จ่าย
4. ตรวจสอบว่าฉลากของยาแต่ละรูปแบบแสดงวิธีใช้ถูกต้อง</t>
  </si>
  <si>
    <t>ปริ้นฉลากยาซ้ำ</t>
  </si>
  <si>
    <t>1. สั่งพิมพ์ฉลากซ้ำจากใบยาเดิม
2. ตรวจสอบว่าข้อมูลตรงกับฉลากครั้งแรก</t>
  </si>
  <si>
    <t>คนไข้ต่างชาติ: ฉลากยาภาษาอังกฤษ + ใบส่งไปรษณีย์ (SBH-1309)</t>
  </si>
  <si>
    <t>เปิด Visit ให้คนไข้ต่างชาติ</t>
  </si>
  <si>
    <t>1. ค้นหาคนไข้ต่างชาติด้วย HN (สัญชาติไม่ใช่ไทย / ภาษาที่ใช้เป็นอังกฤษ)
2. กดปุ่ม + Visit ใหม่ ยืนยันสิทธิการรักษา แล้วกดปุ่ม สร้าง
3. พิมพ์ใบนำทางและเลขคิวห้องตรวจ</t>
  </si>
  <si>
    <t>1. สั่งยา Home med พร้อมวิธีใช้
2. กดปุ่มเพิ่ม order แล้วกดปุ่ม Sign
3. กดปุ่มตรวจเสร็จ</t>
  </si>
  <si>
    <t>ห้องยาสร้างใบยาและปริ้นฉลากยาภาษาอังกฤษ</t>
  </si>
  <si>
    <t>1. สร้างใบยา
2. เลือกพิมพ์ฉลากยาภาษาอังกฤษ
3. ตรวจสอบชื่อยา / วิธีใช้ / คำเตือน แปลเป็นภาษาอังกฤษครบ ไม่มีข้อความภาษาไทยหลงเหลือ</t>
  </si>
  <si>
    <t>ปริ้นใบส่งไปรษณีย์ (กรณีส่งยาทางไปรษณีย์)</t>
  </si>
  <si>
    <t>1. เลือกการรับยาเป็น ส่งทางไปรษณีย์
2. ตรวจสอบที่อยู่จัดส่ง
3. พิมพ์ใบส่งไปรษณีย์ และตรวจสอบชื่อ / ที่อยู่ / เบอร์โทร
4. ยืนยันจ่ายยา</t>
  </si>
  <si>
    <t>กลุ่มยกเลิก / ย้อนกลับ - ยกเลิก Visit / Order / ใบยา / ใบเสร็จ / คืนยา</t>
  </si>
  <si>
    <t>เปิด Visit</t>
  </si>
  <si>
    <t>1. ค้นหาผู้ป่วยด้วย HN แล้วกดปุ่ม + Visit ใหม่
2. เลือกคลินิก ยืนยันสิทธิ แล้วกดปุ่ม สร้าง</t>
  </si>
  <si>
    <t>ยกเลิก Visit</t>
  </si>
  <si>
    <t>1. ค้นหาผู้ป่วยด้วย HN แล้วเปิดแผงแก้ไข Visit
2. กดยกเลิก Visit และระบุเหตุผล
3. กดยืนยัน
4. ตรวจสอบว่าสถานะ Visit เป็น ยกเลิก</t>
  </si>
  <si>
    <t>ตรวจสอบรายการผู้ป่วยนอกหลังยกเลิก</t>
  </si>
  <si>
    <t>1. เข้าหน้า รายการผู้ป่วยนอก ของคลินิกเดิม
2. ตรวจสอบว่าคนไข้ไม่แสดงในรายการ / คิวห้องตรวจ</t>
  </si>
  <si>
    <t>ตรวจสอบการเงินหลังยกเลิก Visit</t>
  </si>
  <si>
    <t>1. ค้นหาผู้ป่วยที่หน้าการเงิน
2. ตรวจสอบว่า Visit ที่ยกเลิกไม่อยู่ในคิวการเงิน และไม่มีค่าใช้จ่ายค้าง</t>
  </si>
  <si>
    <t>เปิด Visit ใหม่ที่คลินิกถูกต้อง</t>
  </si>
  <si>
    <t>1. กดปุ่ม + Visit ใหม่
2. เลือกคลินิกที่ถูกต้อง แล้วกดปุ่ม สร้าง
3. ตรวจสอบว่าได้เลข VN ใหม่ และคนไข้แสดงในรายการของคลินิกใหม่</t>
  </si>
  <si>
    <t>แพทย์สั่งยาและ Lab</t>
  </si>
  <si>
    <t>1. สั่งยา Home med 2 รายการ และ Lab 1 รายการ
2. กดปุ่มเพิ่ม order แล้วกดปุ่ม Sign</t>
  </si>
  <si>
    <t>ก่อนสร้างใบยา: แพทย์แก้ไข Order ยา</t>
  </si>
  <si>
    <t>1. กดแก้ไขยารายการที่ 1
2. แก้ขนาดยา / จำนวน แล้วกดบันทึก
3. ตรวจสอบว่าห้องยาเห็นข้อมูลที่แก้ไขแล้ว</t>
  </si>
  <si>
    <t>ก่อนสร้างใบยา: แพทย์ยกเลิก Order</t>
  </si>
  <si>
    <t>1. กดปุ่ม ยกเลิก ที่แถวยารายการที่ 2 และ Lab แล้วกดยืนยัน
2. ตรวจสอบว่าสถานะรายการเป็น ยกเลิก
3. ตรวจสอบว่ารายการหายจากห้องยา / Worklist ห้อง Lab
4. ตรวจสอบว่ายอดในส่วน รวมค่าใช้จ่าย (วันนี้) ลดลงตามรายการที่ยกเลิก</t>
  </si>
  <si>
    <t>ห้องยาสร้างใบยา</t>
  </si>
  <si>
    <t>1. ไปที่เมนูห้องยา &gt; เลือกห้องยา
2. เลือกคนไข้และรายการยา แล้วกดปุ่มสร้างใบยา</t>
  </si>
  <si>
    <t>หลังสร้างใบยา: ตรวจสอบว่าแก้ไข / ลบ Order ไม่ได้</t>
  </si>
  <si>
    <t>1. แพทย์เปิด Order ยาที่ห้องยาสร้างใบยาแล้ว
2. ลองแก้ไข และลองลบรายการยา
3. ตรวจสอบว่าระบบไม่ให้บันทึกการแก้ไขหรือลบ</t>
  </si>
  <si>
    <t>เภสัชย้อนกลับใบยาไปแก้ไข</t>
  </si>
  <si>
    <t>1. เปิดใบยา &gt; กดปุ่ม ย้อนกลับ &gt; เลือก ย้อนกลับ ไปแก้ไข
2. กดยืนยัน
3. ตรวจสอบสถานะใบยาหลังย้อนกลับ</t>
  </si>
  <si>
    <t>แพทย์แก้ไข Order หลังเภสัชย้อนกลับ</t>
  </si>
  <si>
    <t>1. แพทย์เปิด Order ยาเดิม
2. แก้ไขขนาดยา / จำนวน แล้วกดบันทึกและ Sign
3. ตรวจสอบว่าบันทึกได้
4. กดปุ่มตรวจเสร็จ</t>
  </si>
  <si>
    <t>ห้องยาสร้างใบยาใหม่ตาม Order ที่แก้ไข</t>
  </si>
  <si>
    <t>1. สร้างใบยาใหม่
2. ตรวจสอบว่ารายการยาตรงกับ Order ที่แพทย์แก้ไข
3. ตรวจสอบว่าใบยาเดิมไม่ถูกนำมาจ่ายซ้ำ</t>
  </si>
  <si>
    <t>คนไข้ชำระเงิน (ไม่มีรายการที่ยกเลิก)</t>
  </si>
  <si>
    <t>1. เปิดรายการของผู้ป่วยจากคิวการเงิน
2. ตรวจสอบว่า Chart item ไม่มีรายการที่ยกเลิก และยาที่แก้ไขใช้ราคาตามจำนวนล่าสุด
3. สร้าง invoice และรับชำระเงิน
4. ปิดสิทธิ์ผ่าน EDC / End point</t>
  </si>
  <si>
    <t>คนไข้ชำระเงิน ได้ใบเสร็จ และรับยากลับบ้าน</t>
  </si>
  <si>
    <t>1. ใช้คนไข้ที่ตรวจเสร็จและ Discharge แล้ว
2. เปิดรายการของผู้ป่วยจากคิวการเงิน
3. สร้าง invoice รับชำระเงินและออกใบเสร็จ
4. ห้องยาจ่ายยาให้คนไข้</t>
  </si>
  <si>
    <t>ยกเลิกใบเสร็จ</t>
  </si>
  <si>
    <t>1. ค้นหาใบเสร็จที่ต้องการยกเลิก
2. กดยกเลิกใบเสร็จ และระบุเหตุผล
3. กดยืนยัน
4. ตรวจสอบว่าสถานะใบเสร็จเป็น ยกเลิก และยอดค้างชำระกลับมา</t>
  </si>
  <si>
    <t>แก้ไข Chart item / ส่วนลด แล้วออกใบเสร็จใหม่</t>
  </si>
  <si>
    <t>1. แก้ไข Chart item หรือส่วนลดที่ผิด
2. สร้าง invoice ใหม่และรับชำระเงิน
3. ตรวจสอบว่าออกใบเสร็จเลขที่ใหม่ และยอดถูกต้อง</t>
  </si>
  <si>
    <t>ห้องยารับคืนยา</t>
  </si>
  <si>
    <t>1. เปิดใบยาที่จ่ายแล้ว
2. เลือกรายการยาและจำนวนที่คืน
3. ระบุเหตุผลการคืนยา แล้วกดบันทึก
4. ตรวจสอบสถานะรายการยาหลังรับคืน</t>
  </si>
  <si>
    <t>คืนเงินคนไข้ (Refund)</t>
  </si>
  <si>
    <t>1. ทำรายการคืนเงินค่ายาที่คืน และส่วนที่เก็บเกิน (ถ้ามี)
2. ตรวจสอบว่ายอดคืนเงินตรงกับรายการที่คืน
3. เลือกช่องทางการคืนเงิน และพิมพ์เอกสารคืนเงิน
4. ตรวจสอบยอดสรุปของรอบการเงิน (จัดการรอบ) ถูกต้อง</t>
  </si>
  <si>
    <t>กลุ่มส่งต่อ - พบแพทย์หลายคลินิก / Refer ออก / รับ Refer เข้า</t>
  </si>
  <si>
    <t>เปิด Visit ตามนัดคลินิกแรก</t>
  </si>
  <si>
    <t>1. ค้นหาผู้ป่วยด้วย HN แล้วกดปุ่ม + Visit ใหม่
2. ตรวจสอบนัดหมายของวันนี้ ยืนยันสิทธิ แล้วกดปุ่ม สร้าง
3. พิมพ์ใบนำทางและเลขคิวห้องตรวจ</t>
  </si>
  <si>
    <t>คลินิกแรก: คัดกรอง ตรวจ และสั่งยา</t>
  </si>
  <si>
    <t>1. บันทึก V/S และฟอร์มคัดกรอง
2. แพทย์ลง OPD Note + diagnosis
3. สั่งยา Home med และกดปุ่ม Sign
4. กดปุ่มตรวจเสร็จ</t>
  </si>
  <si>
    <t>ส่งต่อไปคลินิกที่ 2</t>
  </si>
  <si>
    <t>1. ส่งต่อคนไข้ไปคลินิกที่ 2 ในวันเดียวกัน
2. พิมพ์ใบนำทางไปคลินิกที่ 2
3. ตรวจสอบว่าคนไข้แสดงในรายการผู้ป่วยนอกของคลินิกที่ 2</t>
  </si>
  <si>
    <t>คลินิกที่ 2: แพทย์ตรวจและสั่งยา</t>
  </si>
  <si>
    <t>1. แพทย์เรียกคิวและลง OPD Note + diagnosis
2. ตรวจสอบว่าเห็นข้อมูลและยาที่คลินิกแรกสั่ง
3. สั่งยาเพิ่ม และตรวจสอบการแจ้งเตือนยาซ้ำข้ามคลินิก (ถ้ามี)
4. กดปุ่มตรวจเสร็จ</t>
  </si>
  <si>
    <t>1. Discharge เป็น กลับบ้าน
2. ปริ้นท์บัตรคิว การเงิน / ห้องยา
3. ตรวจสอบว่าคิวการเงิน / ห้องยา รวมรายการจากทั้ง 2 คลินิก</t>
  </si>
  <si>
    <t>คนไข้ชำระเงิน (รวม 2 คลินิก)</t>
  </si>
  <si>
    <t>1. เปิดรายการของผู้ป่วยจากคิวการเงิน
2. ตรวจสอบว่า Chart item รวมค่าใช้จ่ายจากทั้ง 2 คลินิก
3. สร้าง invoice และรับชำระเงิน
4. ปิดสิทธิ์ผ่าน EDC / End point</t>
  </si>
  <si>
    <t>ห้องยาจัดยาและจ่ายยา (รวม 2 คลินิก)</t>
  </si>
  <si>
    <t>1. ตรวจสอบว่ารายการยาจากทั้ง 2 คลินิกแสดงที่ห้องยา
2. สร้างใบยา &gt; จัดยา &gt; ยืนยันรอจ่าย
3. เรียกคิวคนไข้ และยืนยันจ่ายยา</t>
  </si>
  <si>
    <t>แพทย์ออกเอกสาร Refer Out</t>
  </si>
  <si>
    <t>1. เลือกเมนูสร้างเอกสาร Refer Out
2. กรอกสถานพยาบาลปลายทาง เหตุผลการส่งต่อ และสรุปการรักษา
3. กดบันทึก และพิมพ์ใบส่งตัว
4. กดปุ่มตรวจเสร็จ</t>
  </si>
  <si>
    <t>พยาบาล Discharge แบบ By Transfer</t>
  </si>
  <si>
    <t>1. กดปุ่ม จำหน่าย ในรายการผู้ป่วยนอก (ใช้บัญชีพยาบาล)
2. เลือก จำหน่ายรูปแบบอื่น = By Transfer
3. ระบุสถานพยาบาลปลายทาง แล้วกดบันทึก
4. ตรวจสอบว่าสถานะ Visit เป็น จำหน่าย</t>
  </si>
  <si>
    <t>ห้องยาจัดยาและจ่ายยา (ถ้ามี)</t>
  </si>
  <si>
    <t>รับ Refer เข้า</t>
  </si>
  <si>
    <t>1. เปิดรายการ Refer เข้า (MOPH Refer)
2. เลือกรายการ และตรวจสอบข้อมูลใบส่งตัว
3. รับ Refer และผูกกับ HN ของคนไข้ (คนไข้เดิม / ลงทะเบียนใหม่)</t>
  </si>
  <si>
    <t>เปิด Visit จาก Refer</t>
  </si>
  <si>
    <t>1. กดปุ่ม + Visit ใหม่ และระบุว่ามาโดย Refer
2. ตรวจสอบสิทธิการรักษาตามใบส่งตัว แล้วกดปุ่ม สร้าง
3. พิมพ์ใบนำทางและเลขคิวห้องตรวจ</t>
  </si>
  <si>
    <t>แพทย์ดูข้อมูลใบส่งตัวและตรวจ</t>
  </si>
  <si>
    <t>1. บันทึก V/S และฟอร์มคัดกรอง
2. แพทย์เปิดดูข้อมูลใบส่งตัว / แถบ MOPH Refer
3. ลง OPD Note + diagnosis และสั่งการรักษา
4. กดปุ่มตรวจเสร็จ</t>
  </si>
  <si>
    <t>TC ID</t>
  </si>
  <si>
    <t>ข้อทดสอบ (Test Case)</t>
  </si>
  <si>
    <t>ขั้นตอนทดสอบ (Test Step)</t>
  </si>
  <si>
    <t>ใช้ใน Scenario</t>
  </si>
  <si>
    <t>Status test</t>
  </si>
  <si>
    <t>Issue E2E Pic</t>
  </si>
  <si>
    <t>Skip</t>
  </si>
  <si>
    <t>With Condition</t>
  </si>
  <si>
    <t>REG</t>
  </si>
  <si>
    <t>เวชระเบียน (ลงทะเบียน / เปิด Visit) (8 ข้อ)</t>
  </si>
  <si>
    <t>REG-001</t>
  </si>
  <si>
    <t>ลงทะเบียนคนไข้ใหม่ (ยังไม่มี HN)</t>
  </si>
  <si>
    <t> Pass</t>
  </si>
  <si>
    <r>
      <rPr>
        <sz val="16"/>
        <color rgb="FF000000"/>
        <rFont val="TH SarabunPSK"/>
      </rPr>
      <t>กรอกที่อยู่ตาม ๔๓ แฟ้ม ตัวที่อยู่ปัจจุบัน ยังมี</t>
    </r>
    <r>
      <rPr>
        <sz val="16"/>
        <color rgb="FFFF0000"/>
        <rFont val="TH SarabunPSK"/>
      </rPr>
      <t>แดงไปงั้น</t>
    </r>
    <r>
      <rPr>
        <sz val="16"/>
        <color rgb="FF000000"/>
        <rFont val="TH SarabunPSK"/>
      </rPr>
      <t>บางช่อง แต่บันทึกได้</t>
    </r>
  </si>
  <si>
    <t>REG-002</t>
  </si>
  <si>
    <t>1. เข้าแอพ เวชระเบียน &gt; ค้นหาผู้ป่วยด้วย HN
2. กดปุ่ม + Visit ใหม่
3. ตรวจสอบว่าระบบแสดงข้อมูลนัดหมายของวันนี้ถูกต้อง (คลินิก / แพทย์ / เวลา / ประเภทบริการ · กรณีเลื่อนนัดต้องเป็นนัดใหม่)
4. ยืนยันสิทธิการรักษา แล้วกดปุ่ม สร้าง
5. ตรวจสอบว่าได้เลข VN พิมพ์ใบนำทาง และได้เลขคิวห้องตรวจ</t>
  </si>
  <si>
    <t>APM-OPD-001, APM-OPD-003, APM-OPD-005, APM-OPD-006, APM-OPD-007, APM-OPD-008, APM-OPD-009, APM-OPD-011, ADM-OPD-001, ADM-OPD-002, ODS-OPD-001, ODS-OPD-002, ORD-OPD-001, ORD-OPD-002, ORD-OPD-003, ORD-OPD-004, ORD-OPD-005, LBL-OPD-001, CXL-OPD-002, TRF-OPD-001, REF-OPD-001</t>
  </si>
  <si>
    <t>Pass With Condition</t>
  </si>
  <si>
    <t>set data เรื่อง เงินสดเบิกได้ และ การปุ่มปิดสิทธิ์
ปริ๊นใบนำทาง และ บัตรคิว ได้เอกสารเดียวกัน https://hlabconsulting365-my.sharepoint.com/:i:/g/personal/suchat_cha_hlabconsulting_com/IQBFMs4EtO27QJYrK3844ewdAdSHGy2MTh8CYAwpOwygM2w?e=lH9DDc
1. พิมพ์ใบนำทางไม่ได้ (Format ไม่ตรง)</t>
  </si>
  <si>
    <t>แก้ data เงินสดเบิกได้.png</t>
  </si>
  <si>
    <t>REG-003</t>
  </si>
  <si>
    <t>เปิด Visit แบบไม่มีนัด (Walk in / ขอเอกสาร / คนไข้ต่างชาติ)</t>
  </si>
  <si>
    <t>1. ค้นหาผู้ป่วยด้วย HN แล้วกดปุ่ม + Visit ใหม่
2. เลือกคลินิก หรือหน่วยงานที่คนไข้ต้องไป
3. จัดการ / ยืนยันสิทธิการรักษา แล้วกดปุ่ม สร้าง
4. ตรวจสอบว่าได้เลข VN พิมพ์ใบนำทาง และได้เลขคิวห้องตรวจ
5. กรณี Walk in ตรวจสอบว่าคนไข้แสดงในแท็บ คำขอ Walk-in</t>
  </si>
  <si>
    <t>APM-OPD-010, WLK-OPD-001, WLK-OPD-002, WLK-OPD-006, LBL-OPD-002, CXL-OPD-001</t>
  </si>
  <si>
    <t> 1. ไม่สามารถพิมพ์บัตรคิวหรือใบนัดหมายที่หน้า แก้ไข Visit ได้</t>
  </si>
  <si>
    <t>ไม่สามารถพิมพ์บัตรคิวหรือใบนำทางได้.png</t>
  </si>
  <si>
    <t>REG-004</t>
  </si>
  <si>
    <t>1. ค้นหาผู้ป่วยด้วย HN แล้วกดปุ่ม + Visit ใหม่
2. ตรวจสอบว่าระบบแสดงนัดหมายเป็นวันอื่น ไม่ใช่วันนี้
3. เลือกคลินิกแบบ Walk in และจัดการสิทธิการรักษา
4. กดปุ่ม สร้าง และออกใบนำทาง</t>
  </si>
  <si>
    <t>REG-005</t>
  </si>
  <si>
    <t>เปิด Visit ตามนัด และ Check-in ห้อง Lab / Img ก่อนพบแพทย์</t>
  </si>
  <si>
    <t>1. เปิด Visit ตามนัดหมาย จนได้เลข VN
2. พิมพ์ใบนำทาง
3. กด Check-in ห้อง Lab / Img
4. ตรวจสอบเลขคิว Lab / X-ray ที่ระบบออกให้
5. ตรวจสอบว่ารายการเข้าสู่ Worklist ของห้อง Lab / X-ray / Img</t>
  </si>
  <si>
    <t>เมื่อ key Order ที่ผูกกับนัดหมาย เมื่อทำทำนัดในอนาคต LAB ขึ้น X-ray ยังไม่ขึ้น // คิวต้องไปสร้างเองที่จุดบริการปลายทาง ไม่ใช่ สร้างเลยเมื่อมีนัด (ภาพประกอบ 2 ทำการ์ดเพิ่ม) // 
ลอง Test order ทั้ง LAB / IMG ระบบ Gen คิวมาเลยซึ่งไม่ถูก // task ไม่ถูกสร้าง ที่ LAB แต่ IMG มี Task ขึ้น</t>
  </si>
  <si>
    <t>สั่ง Order ล่วงหน้าที่หน้านัดหมายแล้วไม่มีรายการขึ้นในนัดหมาย.png</t>
  </si>
  <si>
    <t>คิวห้อง LAB,Imaging ต้องไม่ออกคิวตอนเปิด Visit ต้องไปสร้างตอนเช็คอิน.png</t>
  </si>
  <si>
    <t>สั่ง X-ray วันอื่นแต่หน้า CPOE ขึ้นวันนี้.png</t>
  </si>
  <si>
    <t>REG-006</t>
  </si>
  <si>
    <t>เปิด Visit แบบไม่พบแพทย์ (หรือรับบริการ): เจาะเลือด / IMG ล่วงหน้า / รับยา Refill / ฉีดยา-ทำแผล</t>
  </si>
  <si>
    <t>1. ค้นหาผู้ป่วยด้วย HN แล้วกดปุ่ม + Visit ใหม่
2. ตรวจสอบนัดหมายของวันนี้ (ถ้ามี)
3. ใช้ช่อง หรือรับบริการ สำหรับกรณีไม่พบแพทย์
4. เลือกหน่วยงานปลายทาง (ห้อง Lab / X-ray / ห้องยา / ห้องหัตถการ)
5. กดปุ่ม สร้าง และออกใบนำทาง / เลขคิวของหน่วยงานนั้น</t>
  </si>
  <si>
    <t>WLK-OPD-004, RFL-OPD-001, RFL-OPD-002, INJ-OPD-001</t>
  </si>
  <si>
    <t> IMG ในรายการที่สิ่งวันอื่น แต่ เลือกวันที่เป็นวันนี้ คำอธิบาย จะกลายเป็นวันนี้ไปด้วย แต่กับ LAB ยา หัตถการ ไม่เป็น // ต้องเปิด Visit ให้เรียบร้อยก่อน แล้วค่อยมายืนยันนัดหมาย ไม่งั้นไม่สามารถ Process ต่อได้ในหน้าทำงานห้อง รังสี // หัตถการ Key แล้วยังไม่เจอห้องหัตถการ (กำลังจะไปใช้ Universal Tasklist)</t>
  </si>
  <si>
    <t>REG-007</t>
  </si>
  <si>
    <t>รับ Refer เข้า และเปิด Visit จาก Refer</t>
  </si>
  <si>
    <t>1. เปิดรายการ Refer เข้า (MOPH Refer)
2. เลือกรายการ และตรวจสอบข้อมูลใบส่งตัว
3. รับ Refer และผูกกับ HN ของคนไข้ (คนไข้เดิม / ลงทะเบียนใหม่)
4. กดปุ่ม + Visit ใหม่ และระบุว่ามาโดย Refer
5. ตรวจสอบสิทธิการรักษาตามใบส่งตัว แล้วกดปุ่ม สร้าง และพิมพ์ใบนำทาง</t>
  </si>
  <si>
    <t>1. ไม่สามารถพิมพ์นำทางที่หน้า แก้ไข Visit ได้
ใบนำทางจาก Clinic ไปจุดบริการเช่น Lab x-ray มีแล้ว
แต่ จาก Regis ไปคลินิกยังไม่มี</t>
  </si>
  <si>
    <t>REG-008</t>
  </si>
  <si>
    <t>ยกเลิก Visit แล้วเปิด Visit ใหม่ที่คลินิกถูกต้อง</t>
  </si>
  <si>
    <t>1. ค้นหาผู้ป่วยด้วย HN แล้วเปิดแผงแก้ไข Visit
2. กดยกเลิก Visit ระบุเหตุผล แล้วกดยืนยัน
3. ตรวจสอบว่าสถานะ Visit เป็น ยกเลิก และคนไข้ไม่แสดงในรายการผู้ป่วยนอก / คิวห้องตรวจของคลินิกเดิม
4. กดปุ่ม + Visit ใหม่ เลือกคลินิกที่ถูกต้อง แล้วกดปุ่ม สร้าง
5. ตรวจสอบว่าได้เลข VN ใหม่ และคนไข้แสดงในรายการของคลินิกใหม่</t>
  </si>
  <si>
    <t>APT</t>
  </si>
  <si>
    <t>นัดหมาย (5 ข้อ)</t>
  </si>
  <si>
    <t>APT-001</t>
  </si>
  <si>
    <t>สร้างนัดหมาย (นัด FU / นัดหมายตรวจวันนี้ / นัดเข็มถัดไป / นัดมาทำ ODS) และพิมพ์บัตรนัด</t>
  </si>
  <si>
    <t>1. เลือกดูเมนู สร้างนัดหมาย ที่ Side bar ทางขวามือ
2. เลือก คลินิก แพทย์ ประเภทการนัดหมาย และ Slot ที่ต้องการ
3. กดบันทึก
4. ตรวจสอบนัดหมายที่เมนู ประวัติการนัดหมาย
5. พิมพ์บัตรนัด และตรวจสอบวันที่ / เวลา / สถานที่ให้บริการ / คำแนะนำ</t>
  </si>
  <si>
    <t>APM-OPD-001, APM-OPD-002, APM-OPD-005, WLK-OPD-002, INJ-OPD-001, ODS-OPD-002</t>
  </si>
  <si>
    <t> Fail</t>
  </si>
  <si>
    <t> 1. ไม่่สามารถพิมพิ์ใบนัดหมายได้</t>
  </si>
  <si>
    <t>พิมพ์ใบนัดหมายไม่ได้.png</t>
  </si>
  <si>
    <t>ทุกครั้งที่คนไข้มาถึงคลินิคให้มาติดต่อพยาบาลก่อนเสมอ
ต้องคิดต่อว่า คนไข้ที่มาถึงแล้วมีอะไรที่เป็นตัวระบุ คิดเอาไว้ว่าเป็น การผ่านการคัดกรอง แต่ ระบบเราก้ยังไม่มีคิวของการคัดกรองนะ มีแต่คิวเข้าห้องตรวจ</t>
  </si>
  <si>
    <t>APT-002</t>
  </si>
  <si>
    <t>ดูประวัติการนัดหมาย และสถานะนัดเดิม</t>
  </si>
  <si>
    <t>1. เลือกดูเมนู ประวัติการนัดหมาย ที่ Side bar ทางซ้ายมือ
2. ตรวจสอบนัดหมายเดิม (วันที่ / เวลา / คลินิก / แพทย์)
3. กรณีมาไม่ตรงนัด ตรวจสอบว่านัดหมายเดิมยังอยู่ / ถูกใช้ไป / ถูก mark ว่าไม่มาตามนัด</t>
  </si>
  <si>
    <t>APM-OPD-011, WLK-OPD-003</t>
  </si>
  <si>
    <t>APT-003</t>
  </si>
  <si>
    <t>เลื่อนนัดหมาย และพิมพ์บัตรนัดใหม่</t>
  </si>
  <si>
    <t>1. กดปุ่มแก้ไข / เลื่อนนัด ที่แถวนัดหมายเดิม
2. เลือกวันที่และช่วงเวลาใหม่ที่ยังว่าง
3. ระบุเหตุผลการเลื่อนนัด (ถ้ามี) แล้วกดบันทึก
4. ตรวจสอบว่าประวัติการนัดหมายแสดงวันนัดใหม่ และนัดเดิมไม่แสดงเป็นนัดที่ใช้งานอยู่
5. พิมพ์ใบนัด (TH) และตรวจสอบข้อมูลตรงกับนัดใหม่</t>
  </si>
  <si>
    <t> 1. ไม่่สามารถพิมพิ์ใบนัดหมายได้ (ซ้ำ APT-001)</t>
  </si>
  <si>
    <t>ไม่ enable ปุ่มนัดหมายที่เสร็จสิ้นแล้ว.png</t>
  </si>
  <si>
    <t>APT-004</t>
  </si>
  <si>
    <t>1. เลือกดูเมนู ประวัติการนัดหมาย &gt; กดปุ่มลบ / ยกเลิก ที่แถวนัดหมาย
2. ระบุเหตุผลการยกเลิก แล้วกดยืนยัน
3. ตรวจสอบว่าสถานะนัดหมายเป็น ยกเลิก และคนไข้ไม่แสดงในแท็บ นัดหมาย / ลงทะเบียน ของวันนั้น
4. ตรวจสอบว่า Slot ที่ยกเลิกกลับมาว่างให้นัดคนอื่นได้
5. ตอนเปิด Visit ตรวจสอบว่าระบบไม่ดึงนัดที่ยกเลิกมาแสดง และตรวจสอบสถานะ Order ล่วงหน้าที่ผูกกับนัด</t>
  </si>
  <si>
    <t>ยกเลิกนัดหมายแล้วแต่รายการ Task Lab ไม่ถูกยกเลิกตาม.png</t>
  </si>
  <si>
    <t>APT-005</t>
  </si>
  <si>
    <t>คนไข้ไม่มาตามนัด (No-show) และทำนัดใหม่</t>
  </si>
  <si>
    <t>1. เข้าหน้า รายการผู้ป่วยนอก &gt; แท็บ นัดหมาย / ลงทะเบียน แล้วเลือกวันที่นัดที่ผ่านมาแล้ว
2. ตรวจสอบว่าคนไข้ที่ไม่มาแสดงสถานะ ไม่มาตามนัด / ยังไม่เช็คอิน
3. สร้างนัดหมายใหม่ให้คนไข้
4. ตรวจสอบว่าประวัติการนัดหมายมีทั้งนัดเดิม (ไม่มาตามนัด) และนัดใหม่</t>
  </si>
  <si>
    <t>NUR</t>
  </si>
  <si>
    <t>พยาบาลคัดกรอง / Walk-in (6 ข้อ)</t>
  </si>
  <si>
    <t>NUR-001</t>
  </si>
  <si>
    <t>คัดกรองก่อนพบแพทย์ (V/S + ฟอร์มคัดกรอง)</t>
  </si>
  <si>
    <t>APM-OPD-001, APM-OPD-002, APM-OPD-003, APM-OPD-005, APM-OPD-006, APM-OPD-007, APM-OPD-008, APM-OPD-009, WLK-OPD-001, WLK-OPD-003, WLK-OPD-006, ADM-OPD-001, ODS-OPD-001, ORD-OPD-001, ORD-OPD-002, ORD-OPD-003, ORD-OPD-005, LBL-OPD-001, LBL-OPD-002, CXL-OPD-002, TRF-OPD-001, REF-OPD-001, REF-OPD-002</t>
  </si>
  <si>
    <t> Note อาจจะพน. หรือรอบหน้า</t>
  </si>
  <si>
    <t>NUR-002</t>
  </si>
  <si>
    <t>เปิด Pre-assessment form จากหน้าคำขอ Walk-in (SBH-2699)</t>
  </si>
  <si>
    <t>NUR-003</t>
  </si>
  <si>
    <t>จัดการคำขอ Walk-in และ assign แพทย์</t>
  </si>
  <si>
    <t>1. กดปุ่มเมนูมุมบนขวา &gt; ผู้ป่วยนอก &gt; รายการผู้ป่วย Walk-in request
2. ตรวจสอบว่าระบบแสดงรายการคนไข้ที่ Walk-in เข้ามา
3. assign แพทย์ที่คนไข้จะเข้ารับการตรวจในวันนี้
4. กรณีไม่มี Slot แพทย์ว่าง ให้ทำนัดหมายแทน (ดู APT-001)</t>
  </si>
  <si>
    <t>WLK-OPD-001, WLK-OPD-002</t>
  </si>
  <si>
    <t>NUR-004</t>
  </si>
  <si>
    <t>บันทึกประวัติการแพ้ยา</t>
  </si>
  <si>
    <t>1. บันทึกประวัติการแพ้ยา (หรือระบุว่าไม่มีประวัติแพ้ยา)
2. ตรวจสอบว่าข้อมูลแพ้ยาแสดงบน Patient Banner</t>
  </si>
  <si>
    <t>NUR-005</t>
  </si>
  <si>
    <t>เช็คสถานะผล Lab / IMG ก่อนส่งเข้าห้องตรวจ</t>
  </si>
  <si>
    <t>1. เลือกดูเมนู Lab Result / Imaging result ที่ Side bar ทางซ้ายมือ
2. ตรวจสอบว่าสถานะผลตรงกับสถานะจริงในห้อง Lab
3. ส่งผู้ป่วยเข้าคิวห้องตรวจ</t>
  </si>
  <si>
    <t>NUR-006</t>
  </si>
  <si>
    <t>ทำ Med reconcile (บันทึกยาเดิม)</t>
  </si>
  <si>
    <t>DX</t>
  </si>
  <si>
    <t>แพทย์ตรวจ / กรอกข้อมูล Diagnosis (10 ข้อ)</t>
  </si>
  <si>
    <t>DX-001</t>
  </si>
  <si>
    <t>เรียกคิว ลง OPD Note + Diagnosis และกดตรวจเสร็จ</t>
  </si>
  <si>
    <t>1. กดเลือกคนไข้จากหน้า รายการผู้ป่วยนอก ที่สถานะพร้อมตรวจ
2. ระบบแสดง OPD Note
3. ลงข้อมูลการรักษา และ diagnosis (ICD-10)
4. บันทึกข้อมูล และตรวจสอบว่าบันทึกสำเร็จ
5. กดปุ่มตรวจเสร็จ</t>
  </si>
  <si>
    <t>APM-OPD-001, APM-OPD-003, APM-OPD-005, APM-OPD-006, APM-OPD-007, APM-OPD-008, APM-OPD-009, APM-OPD-010, WLK-OPD-001, WLK-OPD-003, WLK-OPD-006, ADM-OPD-001, ADM-OPD-002, ODS-OPD-001, ORD-OPD-001, ORD-OPD-002, ORD-OPD-003, ORD-OPD-004, ORD-OPD-005, LBL-OPD-001, LBL-OPD-002, CXL-OPD-002, TRF-OPD-001, REF-OPD-001, REF-OPD-002</t>
  </si>
  <si>
    <t>DX-002</t>
  </si>
  <si>
    <t>ดูผล Lab / IMG แล้วสรุปการรักษา</t>
  </si>
  <si>
    <t>1. เรียกคนไข้เข้าห้องตรวจ
2. เลือกดูเมนู Lab Result และ Imaging result ที่ Side bar ทางซ้ายมือ
3. ตรวจสอบว่าผลตรงกับที่ห้อง Lab / X-ray ส่งมา
4. ลง diagnosis เพิ่มเติมใน OPD Note
5. สั่งยา / ทำนัด FU / ยืนยันการ Admit ตามกรณี แล้วกดปุ่มตรวจเสร็จ</t>
  </si>
  <si>
    <t>APM-OPD-002, APM-OPD-003, ADM-OPD-002</t>
  </si>
  <si>
    <t xml:space="preserve">1. Icon สถานะ Icon แสดงไม่ถูกต้อง
2. สั่ง Lab แล้วแต่ไม่แสดง Task ที่ห้อง Lab (ต้องดูรายการ Item ที่ Key) น่าจะเกิดจากการ Restructure lab อะไรบางอย่าง
3. X-ray ผลภาพยังไม่ทราบว่าช่องไหน ที่กำหนด Result by กับ Prelim by
</t>
  </si>
  <si>
    <t>Icon สถานะแสดงผลไม่ถูกต้อง.png</t>
  </si>
  <si>
    <t>สั่ง Order Lab แล้วไม่เกิด Task ที่ฝั่ง Lab.png</t>
  </si>
  <si>
    <t>DX-003</t>
  </si>
  <si>
    <t>ส่ง Consult ให้แพทย์ท่านอื่น</t>
  </si>
  <si>
    <t>1. เลือกดูเมนู Consult ที่ Side bar ทางขวามือ
2. กรอกข้อมูลที่ต้องการปรึกษา
3. กดบันทึกเพื่อส่งแบบฟอร์ม
4. ตรวจสอบว่าสถานะเป็น รอตอบกลับ</t>
  </si>
  <si>
    <t>ส่งไป แต่ขารับไม่สามารถมองเห็นรายการปรึกษา</t>
  </si>
  <si>
    <t>DX-004</t>
  </si>
  <si>
    <t>รับ Consult และตอบกลับ</t>
  </si>
  <si>
    <t>1. กดปุ่มเมนู มุมบนขวา &gt; ผู้ป่วยนอก &gt; รายการปรึกษาแพทย์
2. เลือกรับ Consult และเลือกรายการที่ต้องการตอบกลับ
3. เปิดดูผล Lab / IMG ของผู้ป่วย
4. กรอกข้อมูลตอบกลับและกดบันทึก
5. ตรวจสอบว่าสถานะ Consult เปลี่ยนเป็นตอบแล้ว</t>
  </si>
  <si>
    <t>ส่งไป แต่ขารับไม่สามารถมองเห็นรายการปรึกษา (ฺฺBlock by DX-003)</t>
  </si>
  <si>
    <t>DX-005</t>
  </si>
  <si>
    <t>ดูผล Consult ที่ตอบกลับ และสรุปการรักษา</t>
  </si>
  <si>
    <t>1. เลือก ส่ง Consult แล้วเลือกรายการที่สถานะ ตอบแล้ว
2. ตรวจสอบรายละเอียดที่แพทย์อีกท่านตอบกลับมา
3. ลง diagnosis เพิ่มเติม สั่งยากลับบ้าน และทำนัด FU
4. กดปุ่มตรวจเสร็จ</t>
  </si>
  <si>
    <t>DX-006</t>
  </si>
  <si>
    <t>ตรวจคนไข้ที่คลินิกที่ 2 (เห็นข้อมูลจากคลินิกแรก)</t>
  </si>
  <si>
    <t>1. แพทย์คลินิกที่ 2 เรียกคิวและลง OPD Note + diagnosis
2. ตรวจสอบว่าเห็นข้อมูลและยาที่คลินิกแรกสั่ง
3. สั่งยาเพิ่ม และตรวจสอบการแจ้งเตือนยาซ้ำข้ามคลินิก (ถ้ามี)
4. กดปุ่มตรวจเสร็จ</t>
  </si>
  <si>
    <t>DX-007</t>
  </si>
  <si>
    <t>ดูข้อมูลใบส่งตัว (Refer เข้า)</t>
  </si>
  <si>
    <t>1. แพทย์เปิดดูข้อมูลใบส่งตัว / แถบ MOPH Refer
2. ตรวจสอบว่าข้อมูลการรักษาจากโรงพยาบาลต้นทางครบถ้วน</t>
  </si>
  <si>
    <t>DX-008</t>
  </si>
  <si>
    <t>ตรวจสอบยาเดิม (Med reconcile) และระบุยาที่ใช้ต่อ / หยุด</t>
  </si>
  <si>
    <t>1. เปิดเมนู Reconcile med และตรวจสอบรายการยาเดิมที่พยาบาลบันทึก
2. ระบุยาที่ให้ใช้ต่อ / หยุดใช้ แล้วกดบันทึก</t>
  </si>
  <si>
    <t> Skip</t>
  </si>
  <si>
    <t>DUP</t>
  </si>
  <si>
    <t>DX-009</t>
  </si>
  <si>
    <t>เพิ่มค่าตรวจแพทย์ (Doctor Fee)</t>
  </si>
  <si>
    <t>1. เลือกดูเมนู ค่าตรวจแพทย์ ที่ Side bar ทางขวามือ
2. เลือกรายการค่าบริการแพทย์และจำนวน
3. กดบันทึก
4. ตรวจสอบว่ารายการแสดงในส่วน รวมค่าใช้จ่าย (วันนี้)</t>
  </si>
  <si>
    <t>DX-010</t>
  </si>
  <si>
    <t>ยืนยันคำสั่ง รคส. ที่พยาบาลสั่งแทน</t>
  </si>
  <si>
    <t>ORD</t>
  </si>
  <si>
    <t>สั่ง Order (CPOE) (18 ข้อ)</t>
  </si>
  <si>
    <t>ORD-001</t>
  </si>
  <si>
    <t>สั่งยากลับบ้าน (Home med)</t>
  </si>
  <si>
    <t>1. ที่ส่วนคำสั่งการรักษา ค้นหายาใน Order Search แล้วเลือก Home med
2. ระบุวิธีการใช้ยา / จำนวนยาที่จ่าย / หมายเหตุอื่นๆ
3. กดปุ่ม เพิ่ม order
4. กดปุ่ม Sign เพื่อส่งคำสั่งไปห้องยา
5. ตรวจสอบรายการและราคาในส่วน รวมค่าใช้จ่าย (วันนี้)</t>
  </si>
  <si>
    <t>APM-OPD-001, APM-OPD-002, APM-OPD-007, WLK-OPD-001, WLK-OPD-006, LBL-OPD-002, CXL-OPD-002, TRF-OPD-001</t>
  </si>
  <si>
    <t>ORD-002</t>
  </si>
  <si>
    <t>สั่งยาหลายรูปแบบ (ยาเม็ด / ยาน้ำ / ยาใช้ภายนอก / ยาฉีด)</t>
  </si>
  <si>
    <t>1. สั่งยาเม็ด / ยาน้ำ / ยาใช้ภายนอก / ยาฉีด อย่างละ 1 รายการ พร้อมวิธีใช้
2. กดปุ่มเพิ่ม order แล้วกดปุ่ม Sign</t>
  </si>
  <si>
    <t>ORD-003</t>
  </si>
  <si>
    <t>1. เลือกสั่งยาเป็น order stat
2. ระบุวิธีการใช้ยา / จำนวนยาที่จ่าย / หมายเหตุอื่นๆ
3. กดปุ่ม เพิ่ม order
4. ตรวจสอบว่ารายการยาแสดงสถานะ Stat
5. กดปุ่ม Sign</t>
  </si>
  <si>
    <t>ORD-004</t>
  </si>
  <si>
    <t>สั่งยาแบบ Refill</t>
  </si>
  <si>
    <t>1. ค้นหารายการยาและระบุวิธีใช้
2. กำหนด Refill Number (จำนวนงวดที่ให้มารับ)
3. ตรวจสอบว่าค่าที่กำหนดแสดงในรายการยาใน Order Basket
4. กดปุ่ม เพิ่ม order แล้วกดปุ่ม Sign</t>
  </si>
  <si>
    <t>Pass with condition</t>
  </si>
  <si>
    <t>ต้องแก้บัค และ มีวิธีใช้/เงื่อนไข ให้ชัดเจนให้ User ใช้งานได้ถูกต้อง</t>
  </si>
  <si>
    <t>ORD-005</t>
  </si>
  <si>
    <t>สั่งยา Compound (ยาผสม)</t>
  </si>
  <si>
    <t> รอไปทดสอบหลัง Master Data เสร็จ</t>
  </si>
  <si>
    <t>ORD-006</t>
  </si>
  <si>
    <t>1. สั่งยานอกบัญชียาหลัก และเลือกเหตุผล A-F
2. ตรวจสอบว่าระบบแสดงบัญชียาของรายการยาที่สั่ง
3. ตรวจสอบว่าราคา / เครดิต / ต้องชำระ คำนวณถูกต้องตามสิทธิการรักษาของคนไข้</t>
  </si>
  <si>
    <t>ใบยานอกบัญชีแสดงไม่ถูกต้อง.png</t>
  </si>
  <si>
    <t>ORD-007</t>
  </si>
  <si>
    <t>1. ตั้งค่ายาที่ต้องมีเอกสารประกอบจากหน้าการจัดการการสั่งยา (DUE / PA)
2. สั่งยาที่ตั้งค่าไว้ และตรวจสอบว่าระบบแจ้งเตือนว่ามีเอกสารที่เกี่ยวข้อง
3. เรียกดูเอกสารที่เกี่ยวข้องกับยานั้น
4. พิมพ์ / บันทึกข้อมูลลงในระบบ
5. เรียกดู Order เก่าที่มีการบันทึกเอกสารไว้</t>
  </si>
  <si>
    <t> 1. ไม่สามารถสร้างเอกสาร DUE/PA ได้</t>
  </si>
  <si>
    <t>ORD-008</t>
  </si>
  <si>
    <t>CDSS แจ้งเตือน (แพ้ยา / ยาซ้ำ / Interaction)</t>
  </si>
  <si>
    <t>1. สั่งยาที่คนไข้แพ้ตามประวัติ &gt; ระบบต้องแสดง Allergy alert
2. สั่งยาซ้ำ &gt; ระบบต้องแสดง Duplication alert
3. สั่งยาคู่ปฏิกิริยา &gt; ระบบต้องแสดง Interaction alert
4. เมื่อยืนยันการสั่ง ต้องระบุเหตุผลก่อนจึงจะสั่งได้</t>
  </si>
  <si>
    <t xml:space="preserve"> 1. รอป้อแก้ไข CDSS </t>
  </si>
  <si>
    <t>ORD-009</t>
  </si>
  <si>
    <t>Remed ยาเดิมจาก Visit ก่อนหน้า</t>
  </si>
  <si>
    <t>1. ที่ส่วนคำสั่งการรักษา เลือก Remed (คนไข้ต้องมีประวัติสั่งยาจาก Visit ก่อนหน้า)
2. เลือกยาจาก Visit ก่อนหน้า
3. ตรวจสอบว่าขนาด / วิธีใช้ / จำนวน ที่ดึงมาถูกต้อง และแก้ไขได้
4. กดปุ่มเพิ่ม order แล้วกดปุ่ม Sign</t>
  </si>
  <si>
    <t>ORD-010</t>
  </si>
  <si>
    <t>สั่งการรักษาผ่าน Order Set (SBH-2529)</t>
  </si>
  <si>
    <t>1. ที่ส่วนคำสั่งการรักษา เลือก Order Set ที่ต้องการ
2. ตรวจสอบว่าระบบแสดงรายการใน Order Set ครบ (ยา / Lab / IMG / หัตถการ)
3. เลือก / ตัดรายการที่ไม่ต้องการออก และแก้ไขขนาดยา / จำนวน
4. กดปุ่มเพิ่ม order แล้วกดปุ่ม Sign
5. ตรวจสอบว่าแต่ละรายการถูกส่งไปหน่วยงานถูกต้อง (ยา &gt; ห้องยา · Lab &gt; ห้อง Lab · หัตถการ &gt; ห้องหัตถการ) และราคารวมถูกต้อง</t>
  </si>
  <si>
    <t>ORD-011</t>
  </si>
  <si>
    <t>สั่ง Lab ต้องการทราบผลภายในวัน</t>
  </si>
  <si>
    <t>1. ค้นหารายการ Lab ใน Order Search
2. เลือก Priority และวันที่ต้องการทราบผลเป็นวันนี้ (ระบบไม่ให้เลือกวันที่เมื่อเลือกเป็นวันนี้)
3. กดปุ่มเพิ่ม order แล้วกดปุ่ม Sign เพื่อส่งไปห้อง Lab
4. พิมพ์ใบคำสั่ง Lab (ถ้ามี)</t>
  </si>
  <si>
    <t>APM-OPD-003, ADM-OPD-002, CXL-OPD-002</t>
  </si>
  <si>
    <t>1. สั่ง Lab แล้วแต่ไม่แสดง Task ที่ห้อง Lab (ต้องดูรายการ Item ที่ Key) น่าจะเกิดจากการ Restructure lab อะไรบางอย่าง</t>
  </si>
  <si>
    <t>ORD-012</t>
  </si>
  <si>
    <t>สั่ง IMG ต้องการทราบผลภายในวัน</t>
  </si>
  <si>
    <t>1. ค้นหารายการ IMG ใน Order Search
2. เลือก Priority และวันที่ต้องการทราบผลเป็นวันนี้
3. กดปุ่มเพิ่ม order แล้วกดปุ่ม Sign เพื่อส่งไปห้อง X-ray
4. พิมพ์ใบคำสั่ง Imaging</t>
  </si>
  <si>
    <t>APM-OPD-003, ADM-OPD-002</t>
  </si>
  <si>
    <t> 1. หน้า Result ยังไม่สามารถพิมพ์เอกสารต่างๆ ได้รอนัดคุยกับทาง มน. อีกที</t>
  </si>
  <si>
    <t>ORD-013</t>
  </si>
  <si>
    <t>สั่งหัตถการภายในวัน (รวม ODS)</t>
  </si>
  <si>
    <t>1. ที่ส่วนคำสั่งการรักษา สั่งหัตถการที่ต้องการ (หัตถการทั่วไป / ODS)
2. เลือก Priority วันที่ทำหัตถการเป็นวันนี้ และจำนวนครั้ง
3. กดปุ่มบันทึก
4. ตรวจสอบว่าระบบแสดงหัตถการที่สั่ง จำนวน ราคา พร้อม ICD9
5. พิมพ์ใบคำสั่งหัตถการ</t>
  </si>
  <si>
    <t>APM-OPD-008, ODS-OPD-001</t>
  </si>
  <si>
    <t> 1. ไม่่มีคิว</t>
  </si>
  <si>
    <t>ORD-014</t>
  </si>
  <si>
    <t>สั่งหัตถการล่วงหน้า (วันอื่น รวม ODS)</t>
  </si>
  <si>
    <t>1. สั่งหัตถการที่ต้องการ (หัตถการทั่วไป / ODS)
2. เลือกวันที่ทำหัตถการเป็นวันอื่น และเลือกวันที่
3. กดปุ่มบันทึก
4. ตรวจสอบว่ารายการรอทำแสดงในวันนัดที่กำหนด</t>
  </si>
  <si>
    <t>APM-OPD-008, ODS-OPD-002</t>
  </si>
  <si>
    <t> 1. Flow ยังเคลีย รอคุยกับพี่เบสเพิ่มเติม</t>
  </si>
  <si>
    <t>ORD-015</t>
  </si>
  <si>
    <t>พยาบาลสั่ง Order แทนแพทย์ (รคส.)</t>
  </si>
  <si>
    <t> Dup</t>
  </si>
  <si>
    <t>ORD-016</t>
  </si>
  <si>
    <t>แก้ไข / ยกเลิก Order ก่อนห้องยาสร้างใบยา</t>
  </si>
  <si>
    <t>1. กดแก้ไขรายการยา &gt; แก้ขนาดยา / จำนวน แล้วกดบันทึก
2. ตรวจสอบว่าห้องยาเห็นข้อมูลที่แก้ไขแล้ว
3. กดปุ่ม ยกเลิก ที่แถวยา / Lab แล้วกดยืนยัน
4. ตรวจสอบว่าสถานะรายการเป็น ยกเลิก และหายจากห้องยา / Worklist ห้อง Lab
5. ตรวจสอบว่ายอดในส่วน รวมค่าใช้จ่าย (วันนี้) ลดลงตามรายการที่ยกเลิก</t>
  </si>
  <si>
    <t>ORD-017</t>
  </si>
  <si>
    <t>Order ล็อกหลังห้องยาสร้างใบยา (แก้ไข / ลบไม่ได้)</t>
  </si>
  <si>
    <t>ORD-018</t>
  </si>
  <si>
    <t>แก้ไข Order หลังเภสัชย้อนกลับใบยา</t>
  </si>
  <si>
    <t>1. แพทย์เปิด Order ยาเดิม (หลังเภสัชย้อนกลับใบยา)
2. แก้ไขขนาดยา / จำนวน แล้วกดบันทึกและ Sign
3. ตรวจสอบว่าบันทึกได้</t>
  </si>
  <si>
    <t>1. พบ Error นี้ตอนที่กำลังสร้างใบยา (สามารถสร้างใบยาได้แต่ไม่เปลี่ยนหน้าให้)
 {
    "error": {
        "class": "InternalServerError",
        "message": "Failed to create OPD prescription: prepare prescription for pharmacy location 2: validate preconditions for issuing prescription: medication request b5030ed7-5124-47b3-9111-68c7859d2bf3 is not in authorised careflow step"
    }
}</t>
  </si>
  <si>
    <t>สร้างใบยาแล้วติด Error (สามารถสร้างได้แต่ไม่เปลี่ยนหน้าให้)</t>
  </si>
  <si>
    <t>LAB</t>
  </si>
  <si>
    <t>ห้อง Lab (7 ข้อ)</t>
  </si>
  <si>
    <t>LAB-001</t>
  </si>
  <si>
    <t>รับรายการ Check-in เก็บ Specimen พิมพ์ Sticker และส่ง LIS</t>
  </si>
  <si>
    <t>APM-OPD-002, APM-OPD-003, WLK-OPD-004, ADM-OPD-002</t>
  </si>
  <si>
    <t>LAB-002</t>
  </si>
  <si>
    <t>รับผล Lab กลับเข้าระบบ และ Authorize</t>
  </si>
  <si>
    <t>1. รับผลจาก LIS กลับเข้าระบบ
2. ให้แพทย์ Authorize ผล จนสถานะเป็นเสร็จสิ้น
3. ตรวจสอบว่าผลพร้อมให้แพทย์เรียกดู (ในวันเดียวกัน / ในวันนัดจริง)</t>
  </si>
  <si>
    <t>LAB-003</t>
  </si>
  <si>
    <t>นัดหมาย Lab ล่วงหน้า (เลือก Lab Room + วัน / ช่วงเวลา)</t>
  </si>
  <si>
    <t>1. สั่ง Lab แล้วกดช่อง วันที่ต้องการผล &gt; หน้าต่าง นัดหมาย LAB
2. เลือก Lab Room วันที่ และช่วงเวลา แล้วกดยืนยัน
3. ตรวจสอบรายการที่เมนูซ้าย รายการ Order ล่วงหน้า (สถานะ ผูกแล้ว / ลงนาม)
4. นัดวันเดียวกันซ้ำ ระบบต้องแจ้ง พบการนัดหมายซ้ำ และให้ยืนยันก่อน
5. วันนัด: ตรวจสอบว่ารายการขึ้นที่ Worklist ห้อง Lab</t>
  </si>
  <si>
    <t>ทดสอบเฉพาะ Station</t>
  </si>
  <si>
    <t>LAB-004</t>
  </si>
  <si>
    <t>Lab หลายรายการต่างห้อง: ใบนำทางแยกจุดบริการ</t>
  </si>
  <si>
    <t>1. สั่ง Lab หลายรายการที่ต้องทำต่างห้อง (เช่น ห้องเจาะเลือด ชั้น 1 / ห้องปฏิบัติการ ชั้น 6)
2. พิมพ์ใบนำทาง
3. ตรวจสอบว่าใบนำทางแยกจุดบริการถูกต้องตามห้องของแต่ละรายการ
4. ตรวจสอบว่ารายการเข้า Worklist ของแต่ละห้องถูกต้อง</t>
  </si>
  <si>
    <t>LAB-005</t>
  </si>
  <si>
    <t>พิมพ์ป้ายติด Specimen ซ้ำ</t>
  </si>
  <si>
    <t>1. เปิดรายการผู้ป่วยที่ Worklist ห้อง Lab ที่ Check-in แล้ว
2. สั่งพิมพ์ป้ายติด Specimen (Sticker LN) ซ้ำ
3. ตรวจสอบว่าข้อมูลบนป้ายตรงกับครั้งแรก (ชื่อ / HN / LN / รายการ Lab)</t>
  </si>
  <si>
    <t>LAB-006</t>
  </si>
  <si>
    <t>ดู / เปรียบเทียบผล Lab ย้อนหลัง</t>
  </si>
  <si>
    <t>1. เลือกดูเมนู Lab Result ที่ Side bar ทางซ้ายมือ
2. ใช้ Filter เลือกช่วงวันที่ / รายการ Lab
3. กดเปรียบเทียบผล และตรวจสอบว่าค่าแต่ละครั้งแสดงถูกต้องตามลำดับวันที่</t>
  </si>
  <si>
    <t>LAB-007</t>
  </si>
  <si>
    <t>ดูผล Lab พยาธิวิทยา (Patho)</t>
  </si>
  <si>
    <t>1. เลือกดูเมนู ประวัติ Patho ที่ Side bar ทางซ้ายมือ
2. เลือกดูชุดข้อมูลที่ต้องการ
3. ตรวจสอบว่าผล Patho แสดงครบและตรงกับห้อง Lab</t>
  </si>
  <si>
    <t>IMG</t>
  </si>
  <si>
    <t>รังสี (X-ray / US) (8 ข้อ)</t>
  </si>
  <si>
    <t>IMG-001</t>
  </si>
  <si>
    <t>รับรายการ Check-in ถ่ายภาพ และส่ง RIS</t>
  </si>
  <si>
    <t>1. เข้า Cortex Worklist ของห้อง X-ray / Img
2. เลือกรายการผู้ป่วยแล้วกด Check-in
3. พิมพ์ใบยินยอม (ถ้ามี) แล้วฉายรังสี / ถ่ายภาพ
4. กด Run IMG ส่งไปยัง RIS</t>
  </si>
  <si>
    <t>IMG-002</t>
  </si>
  <si>
    <t>รับผล IMG กลับเข้าระบบ และ Authorize</t>
  </si>
  <si>
    <t>1. รับผลจาก RIS กลับเข้าระบบ
2. ให้แพทย์ Authorize ผล
3. ตรวจสอบว่าผลพร้อมให้แพทย์เรียกดู (ในวันเดียวกัน / ในวันนัดจริง)</t>
  </si>
  <si>
    <t>IMG-003</t>
  </si>
  <si>
    <t>กรอกแบบฟอร์ม Imaging - X-Ray ตอนส่งคำสั่ง</t>
  </si>
  <si>
    <t>1. สั่งรายการรังสีที่ผูกแบบฟอร์ม แล้วกดส่งคำสั่ง
2. ตรวจสอบว่าระบบแสดงหน้าต่าง แบบฟอร์ม Imaging - X-Ray
3. กรอกข้อมูลแล้วกดบันทึก (ขึ้นข้อความ บันทึกแบบฟอร์ม Imaging สำเร็จ)
4. กดส่งคำสั่งอีกครั้ง และตรวจสอบว่าคำสั่งไปถึงห้องรังสี</t>
  </si>
  <si>
    <t>IMG-004</t>
  </si>
  <si>
    <t>นัดหมายห้องตรวจรังสี</t>
  </si>
  <si>
    <t>1. ตอนสั่ง IMG กดปุ่มปฏิทินช่อง ห้องตรวจ &gt; เลือกห้อง Imaging (ต้องเลือกวันก่อน)
2. ที่ห้องรังสี เปิดแท็บ คำขอนัดหมาย
3. กดปุ่ม นัดหมายห้องตรวจ &gt; ยืนยันนัดหมาย
4. ตรวจสอบว่ารายการย้ายไปแท็บ รอ Check-in ตามวันนัด</t>
  </si>
  <si>
    <t>IMG-005</t>
  </si>
  <si>
    <t>เช็คอินคิวรังสี</t>
  </si>
  <si>
    <t>1. ที่ห้องรังสี (X-ray / US) แท็บ รอ Check-in เลือกผู้ป่วย
2. กดปุ่ม เช็คอิน แล้วเลือกประเภทคิว รังสี
3. ตรวจสอบว่าได้เลขคิวรังสี (I00n) และรายการย้ายไปขั้นถัดไป</t>
  </si>
  <si>
    <t>IMG-006</t>
  </si>
  <si>
    <t>พิมพ์ใบยินยอมก่อนถ่ายภาพ</t>
  </si>
  <si>
    <t>1. เปิดรายการผู้ป่วยที่เช็คอินแล้ว
2. พิมพ์ใบยินยอมการตรวจทางรังสี
3. ตรวจสอบว่าเอกสารพิมพ์ได้ และข้อมูลผู้ป่วย / รายการตรวจถูกต้อง</t>
  </si>
  <si>
    <t>IMG-007</t>
  </si>
  <si>
    <t>ถ่ายภาพ: เริ่มถ่ายภาพ &gt; ถ่ายภาพแล้ว &gt; รออ่านผล</t>
  </si>
  <si>
    <t>1. กดปุ่ม เริ่มถ่ายภาพ
2. กดปุ่ม ถ่ายภาพแล้ว
3. ตรวจสอบว่าสถานะเปลี่ยนเป็น รออ่านผล และรายการไปอยู่แท็บที่ถูกต้อง</t>
  </si>
  <si>
    <t>IMG-008</t>
  </si>
  <si>
    <t>รังสีแพทย์บันทึกผลอ่าน (Findings + Impression)</t>
  </si>
  <si>
    <t>1. คลิกชื่อรายการเพื่อเปิดรายละเอียดรังสี
2. กรอก Findings และ Impression
3. กดบันทึก และตรวจสอบว่าบันทึกสำเร็จ
4. ตรวจสอบว่าแพทย์เจ้าของไข้เห็นผลที่เมนู Imaging result</t>
  </si>
  <si>
    <t>ACT</t>
  </si>
  <si>
    <t>Activity / หัตถการ (6 ข้อ)</t>
  </si>
  <si>
    <t>ACT-001</t>
  </si>
  <si>
    <t>พยาบาลฉีดยา Stat และบันทึกการให้ยา</t>
  </si>
  <si>
    <t>ACT-002</t>
  </si>
  <si>
    <t>บันทึกการฉีดยา / ทำแผล ตามนัด (ไม่พบแพทย์)</t>
  </si>
  <si>
    <t>บันทึกประวัติการฉีดวัคซีน</t>
  </si>
  <si>
    <t>ACT-004</t>
  </si>
  <si>
    <t>บันทึกการทำหัตถการหลังทำเสร็จ (รวม ODS)</t>
  </si>
  <si>
    <t>ACT-005</t>
  </si>
  <si>
    <t>Set OR / ห้องหัตถการ และ Check-in (ODS)</t>
  </si>
  <si>
    <t>1. ตรวจสอบว่า Order ODS แสดงในวันที่ทำ (กรณีสั่งล่วงหน้า)
2. Set OR จากคำสั่งของแพทย์
3. Check-in ผู้ป่วยเข้าห้องหัตถการ</t>
  </si>
  <si>
    <t>ODS-OPD-001, ODS-OPD-002</t>
  </si>
  <si>
    <t>ACT-006</t>
  </si>
  <si>
    <t>บันทึก Pre-Op / Op / Post-Op / Recovery (ODS)</t>
  </si>
  <si>
    <t>DOC</t>
  </si>
  <si>
    <t>เอกสารทางการแพทย์ (6 ข้อ)</t>
  </si>
  <si>
    <t>DOC-001</t>
  </si>
  <si>
    <t>1. เลือกดูเมนู ใบรับรองแพทย์ ที่ Side bar ทางขวามือ
2. กรอกข้อมูลที่ต้องการ
3. กดบันทึก</t>
  </si>
  <si>
    <t>DOC-002</t>
  </si>
  <si>
    <t>1. เลือกดูเมนู เอกสาร ที่ Side bar ทางซ้ายมือ
2. คลิกสร้างเอกสาร
3. เลือกประเภทเอกสาร ใบรับรองแพทย์ และเลือกประเภทใบรับรองแพทย์
4. กรอกข้อมูล แล้วกดบันทึก</t>
  </si>
  <si>
    <t>DOC-003</t>
  </si>
  <si>
    <t>1. เลือกดูเมนู เอกสาร ที่ Side bar ทางซ้ายมือ
2. คลิกพิมพ์เอกสาร (Preview Print)
3. ตรวจสอบข้อมูลบนเอกสารว่าตรงกับ Visit</t>
  </si>
  <si>
    <t>DOC-004</t>
  </si>
  <si>
    <t>ออกใบรับรองแพทย์ย้อนหลัง (เวชระเบียน)</t>
  </si>
  <si>
    <t>1. ค้นหาผู้ป่วยที่แอพ เวชระเบียน
2. เลือก เอกสาร ที่ Side bar ซ้ายมือ
3. เลือกเอกสารที่ต้องการ
4. พิมพ์เอกสาร</t>
  </si>
  <si>
    <t>DOC-005</t>
  </si>
  <si>
    <t>1. เลือกดูเมนู สร้างฟอร์ม ที่ Side bar ทางขวามือ (หรือปุ่ม พิมพ์ Co-pay)
2. เลือกประเภทฟอร์มที่ต้องการ
3. กรอกข้อมูลลงในฟอร์ม แล้วบันทึก
4. ตรวจสอบว่าเอกสารมีเฉพาะยาที่ต้องชำระเอง</t>
  </si>
  <si>
    <t>DOC-006</t>
  </si>
  <si>
    <t>ออกเอกสาร Refer Out (ใบส่งตัว)</t>
  </si>
  <si>
    <t>1. เลือกเมนูสร้างเอกสาร Refer Out
2. กรอกสถานพยาบาลปลายทาง เหตุผลการส่งต่อ และสรุปการรักษา
3. กดบันทึก และพิมพ์ใบส่งตัว</t>
  </si>
  <si>
    <t>DC</t>
  </si>
  <si>
    <t>Discharge / ส่งต่อ (พยาบาล) (4 ข้อ)</t>
  </si>
  <si>
    <t>DC-001</t>
  </si>
  <si>
    <t>Discharge กลับบ้าน และพิมพ์บัตรคิว การเงิน / ห้องยา / บัตรนัด</t>
  </si>
  <si>
    <t>1. กดเลือกคนไข้จากหน้า รายการผู้ป่วยนอก ที่สถานะ ตรวจเสร็จ
2. เลือกประเภทการ Discharge เป็น กลับบ้าน
3. พิมพ์บัตรคิว การเงิน / ห้องยา ที่หน้า Discharge summary (ตรวจสอบชื่อคิวถูกต้อง)
4. พิมพ์บัตรนัดที่เมนู ประวัตินัดหมาย (ถ้ามี)
5. กรณีไม่มียา ระบบต้องไม่ออกบัตรคิวห้องยา · กรณีพบหลายคลินิก คิวการเงิน / ห้องยา ต้องรวมทุกคลินิก</t>
  </si>
  <si>
    <t>APM-OPD-001, APM-OPD-002, APM-OPD-003, APM-OPD-005, APM-OPD-006, APM-OPD-007, APM-OPD-008, APM-OPD-009, WLK-OPD-001, WLK-OPD-003, WLK-OPD-006, INJ-OPD-001, ODS-OPD-001, ODS-OPD-002, ORD-OPD-001, ORD-OPD-002, ORD-OPD-003, ORD-OPD-004, ORD-OPD-005, LBL-OPD-001, LBL-OPD-002, CXL-OPD-002, TRF-OPD-001, REF-OPD-002</t>
  </si>
  <si>
    <t>DC-002</t>
  </si>
  <si>
    <t>Discharge แบบ By Transfer (Refer out)</t>
  </si>
  <si>
    <t>DC-003</t>
  </si>
  <si>
    <t>ส่งต่อคนไข้ไปคลินิกอื่นในวันเดียวกัน</t>
  </si>
  <si>
    <t>1. ส่งต่อคนไข้ไปคลินิกที่ 2
2. พิมพ์ใบนำทางไปคลินิกที่ 2
3. ตรวจสอบว่าคนไข้แสดงในรายการผู้ป่วยนอกของคลินิกที่ 2</t>
  </si>
  <si>
    <t>DC-004</t>
  </si>
  <si>
    <t>ปิด Visit ที่ไม่ได้พบแพทย์ (Walk in ไม่ได้ตรวจ / มาเจาะเลือด / มาตรวจ IMG)</t>
  </si>
  <si>
    <t>1. ปิด Visit ของวันนี้ (ห้องการเงินปิดให้ หรือรอระบบปิดอัตโนมัติ)
2. ตรวจสอบสถานะ EN / Visit หลังปิด
3. ตรวจสอบว่านัดหมายพบแพทย์ในวันถัดไปยังอยู่ครบ</t>
  </si>
  <si>
    <t>WLK-OPD-002, WLK-OPD-004</t>
  </si>
  <si>
    <t>ADM</t>
  </si>
  <si>
    <t>Admit (4 ข้อ)</t>
  </si>
  <si>
    <t>ADM-001</t>
  </si>
  <si>
    <t>1. เลือกดูเมนู สร้าง admit order ที่ Side bar ทางขวามือ
2. ลงข้อมูล Pre-diagnosis และ Chief complaint
3. กรอกข้อมูล Admit Request form
4. กดปุ่ม เครื่องหมายถูก เพื่อบันทึกข้อมูล</t>
  </si>
  <si>
    <t>ADM-OPD-001, ADM-OPD-002</t>
  </si>
  <si>
    <t>ADM-002</t>
  </si>
  <si>
    <t>1. เลือกดูเมนู สร้าง admit order ที่ Side bar ทางขวามือ
2. ตรวจสอบว่าสถานะ Admit request ถูกต้อง</t>
  </si>
  <si>
    <t>ADM-003</t>
  </si>
  <si>
    <t>ส่งผู้ป่วยไป Admission Center / ขึ้น ward พร้อมผลตรวจ</t>
  </si>
  <si>
    <t>1. ส่ง Admit request ไปยัง Admission Center
2. ตรวจสอบสถานะ EN / Visit ของฝั่ง OPD หลังส่งต่อ
3. ตรวจสอบว่าผล Lab / IMG ที่ทำที่ OPD เรียกดูได้จากฝั่ง IPD</t>
  </si>
  <si>
    <t>ADM-004</t>
  </si>
  <si>
    <t>Admission Center สร้าง AN</t>
  </si>
  <si>
    <t>1. Admission Center สร้าง AN ให้ผู้ป่วยจาก Admit request
2. ตรวจสอบว่าได้เลข AN</t>
  </si>
  <si>
    <t>PHA</t>
  </si>
  <si>
    <t>ห้องยา (รับยา) (17 ข้อ)</t>
  </si>
  <si>
    <t>PHA-001</t>
  </si>
  <si>
    <t>1. ไปที่เมนูห้องยา &gt; เลือกห้องยา
2. เลือกคนไข้และรายการยา
3. กดปุ่มสร้างใบยา
4. ตรวจสอบว่าใบยามีรายการครบตาม Order</t>
  </si>
  <si>
    <t>APM-OPD-001, APM-OPD-002, APM-OPD-003, APM-OPD-006, WLK-OPD-001, WLK-OPD-003, WLK-OPD-006, ODS-OPD-001, ODS-OPD-002, ORD-OPD-001, ORD-OPD-002, ORD-OPD-003, ORD-OPD-004, LBL-OPD-001, CXL-OPD-002, REF-OPD-001, REF-OPD-002</t>
  </si>
  <si>
    <t>PHA-002</t>
  </si>
  <si>
    <t>จัดยา เรียกคิว และจ่ายยา</t>
  </si>
  <si>
    <t>1. กดปุ่มจัดยาแล้ว
2. กดปุ่มยืนยันรอจ่าย
3. เรียกคิวคนไข้ที่ห้องยา
4. เลือก 3 จุด ด้านหลังรายการยา แล้วเลือก ยืนยันจ่ายยา
5. ตรวจสอบสถานะใบยาเป็นจ่ายแล้ว</t>
  </si>
  <si>
    <t>APM-OPD-001, APM-OPD-002, APM-OPD-003, APM-OPD-006, APM-OPD-007, WLK-OPD-001, WLK-OPD-003, WLK-OPD-006, ODS-OPD-001, ODS-OPD-002, ORD-OPD-001, ORD-OPD-002, ORD-OPD-003, ORD-OPD-004, LBL-OPD-001, CXL-OPD-002, REF-OPD-001, REF-OPD-002</t>
  </si>
  <si>
    <t>PHA-003</t>
  </si>
  <si>
    <t>จ่ายยา Stat ให้หน่วยบริการ</t>
  </si>
  <si>
    <t>1. สร้างใบยาของ Order Stat
2. จัดยาและยืนยันรอจ่าย
3. จ่ายยา Stat ให้หน่วยบริการ / คนไข้
4. กรณีมีใบยามากกว่า 1 ใบ ตรวจสอบว่าทุกใบมีเลขคิว</t>
  </si>
  <si>
    <t>PHA-004</t>
  </si>
  <si>
    <t>จ่ายยาที่ใช้ฉีดตามนัด (ไม่พบแพทย์)</t>
  </si>
  <si>
    <t>1. ตรวจสอบว่ามี Order ยาฉีด / วัคซีน ของ Visit นี้ที่ห้องยา
2. สร้างใบยา &gt; จัดยา &gt; ยืนยันรอจ่าย &gt; จ่ายยาให้หน่วยบริการ</t>
  </si>
  <si>
    <t>PHA-005</t>
  </si>
  <si>
    <t>Refill: จ่ายยางวดแรก</t>
  </si>
  <si>
    <t>PHA-006</t>
  </si>
  <si>
    <t>Refill: จ่ายยางวดที่ถึงกำหนด (มาตรงวัน)</t>
  </si>
  <si>
    <t>1. ค้นหาใบยา Refill ของผู้ป่วย
2. ตรวจสอบว่างวดที่ถึงกำหนดตรงกับวันที่คนไข้มารับ และจำนวนเบิกได้ / จ่าย / คงเหลือ ถูกต้อง
3. สร้างใบยา &gt; จัดยา &gt; ยืนยันรอจ่าย
4. เรียกคิวและยืนยันจ่ายยา
5. ตรวจสอบว่างวดถัดไปยังคงเหลืออยู่ในแผน Refill</t>
  </si>
  <si>
    <t>PHA-007</t>
  </si>
  <si>
    <t>Refill: คนไข้มาก่อน / เลยกำหนด</t>
  </si>
  <si>
    <t>1. ค้นหาใบยา Refill ของผู้ป่วย
2. ตรวจสอบว่าวันที่มารับไม่ตรงกับงวดที่กำหนด
3. ตรวจสอบว่าระบบแจ้งเตือน หรืออนุญาตให้จ่ายก่อน / หลังกำหนดหรือไม่
4. ถ้าจ่ายได้ ให้สร้างใบยา &gt; จัดยา &gt; ยืนยันรอจ่าย &gt; จ่ายยา
5. ตรวจสอบว่าจำนวนคงเหลือของแผน Refill ถูกปรับถูกต้อง</t>
  </si>
  <si>
    <t>PHA-008</t>
  </si>
  <si>
    <t>พิมพ์ฉลากยาภาษาไทย (SBH-2374)</t>
  </si>
  <si>
    <t>1. สร้างใบยาที่มียาหลายรูปแบบ
2. พิมพ์ฉลากยา (Sticker) ภาษาไทย
3. ตรวจสอบข้อมูลบนฉลาก: ชื่อ-สกุล / HN / ชื่อยา / ความแรง / จำนวน / วิธีใช้ / คำเตือน / วันที่จ่าย
4. ตรวจสอบว่าฉลากของยาแต่ละรูปแบบแสดงวิธีใช้ถูกต้อง</t>
  </si>
  <si>
    <t>PHA-009</t>
  </si>
  <si>
    <t>พิมพ์ฉลากยาซ้ำ</t>
  </si>
  <si>
    <t>PHA-010</t>
  </si>
  <si>
    <t>พิมพ์ฉลากยาภาษาอังกฤษ (SBH-1309)</t>
  </si>
  <si>
    <t>1. สร้างใบยาของคนไข้ต่างชาติ
2. เลือกพิมพ์ฉลากยาภาษาอังกฤษ
3. ตรวจสอบชื่อยา / วิธีใช้ / คำเตือน แปลเป็นภาษาอังกฤษครบ ไม่มีข้อความภาษาไทยหลงเหลือ</t>
  </si>
  <si>
    <t>PHA-011</t>
  </si>
  <si>
    <t>พิมพ์ใบส่งไปรษณีย์ (ส่งยาทางไปรษณีย์)</t>
  </si>
  <si>
    <t>PHA-012</t>
  </si>
  <si>
    <t>สร้างใบยา Compound และพิมพ์ฉลาก Compound</t>
  </si>
  <si>
    <t>PHA-013</t>
  </si>
  <si>
    <t>เภสัชย้อนกลับใบยาไปแก้ไข (SBH-1717)</t>
  </si>
  <si>
    <t>1. เปิดใบยา &gt; กดปุ่ม ย้อนกลับ &gt; เลือก ย้อนกลับ ไปแก้ไข
2. กดยืนยัน
3. ตรวจสอบสถานะใบยาหลังย้อนกลับ และแพทย์แก้ไข Order ได้</t>
  </si>
  <si>
    <t>PHA-014</t>
  </si>
  <si>
    <t>สร้างใบยาใหม่ตาม Order ที่แพทย์แก้ไข</t>
  </si>
  <si>
    <t>PHA-015</t>
  </si>
  <si>
    <t>รับคืนยา</t>
  </si>
  <si>
    <t>PHA-016</t>
  </si>
  <si>
    <t>จ่ายยาที่สั่งจากหลายคลินิกในวันเดียว</t>
  </si>
  <si>
    <t>1. ตรวจสอบว่ารายการยาจากทุกคลินิกแสดงที่ห้องยา
2. สร้างใบยา &gt; จัดยา &gt; ยืนยันรอจ่าย
3. เรียกคิวคนไข้ และยืนยันจ่ายยา</t>
  </si>
  <si>
    <t>PHA-017</t>
  </si>
  <si>
    <t>คนไข้ไม่มียา ต้องไม่มีรายการที่ห้องยา</t>
  </si>
  <si>
    <t>CSH</t>
  </si>
  <si>
    <t>การเงิน (12 ข้อ)</t>
  </si>
  <si>
    <t>CSH-001</t>
  </si>
  <si>
    <t>รับชำระเงินปกติ (ตรวจ Chart item &gt; invoice &gt; ใบเสร็จ &gt; ปิดสิทธิ์)</t>
  </si>
  <si>
    <t>1. เข้าหน้าการเงิน (Cashier) แล้วเปิดรายการของผู้ป่วยจากคิวการเงิน
2. ตรวจสอบว่า Chart item ครบตามที่สั่ง (ค่าบริการ / ยา / Lab / IMG / หัตถการ / ค่าตรวจแพทย์ / ค่าธรรมเนียมเอกสาร) ราคาถูกต้อง
3. ตรวจสอบ / แก้ไขสิทธิการรักษา และส่วนลด
4. สร้าง invoice รับชำระเงินและออกใบเสร็จ
5. ปิดสิทธิ์ผ่าน EDC / End point</t>
  </si>
  <si>
    <t>APM-OPD-001, APM-OPD-002, APM-OPD-003, APM-OPD-009, APM-OPD-010, WLK-OPD-001, WLK-OPD-003, WLK-OPD-004, WLK-OPD-006, INJ-OPD-001, ODS-OPD-001, ODS-OPD-002, ORD-OPD-001, ORD-OPD-002, ORD-OPD-003, ORD-OPD-004, ORD-OPD-005, LBL-OPD-001, LBL-OPD-002, CXL-OPD-003, REF-OPD-001, REF-OPD-002</t>
  </si>
  <si>
    <t>CSH-002</t>
  </si>
  <si>
    <t>ชำระเฉพาะค่าบริการ (ไม่มียา)</t>
  </si>
  <si>
    <t>CSH-003</t>
  </si>
  <si>
    <t>ชำระค่ายา Stat ก่อนรับบริการ และชำระส่วนที่เหลือไม่เก็บซ้ำ</t>
  </si>
  <si>
    <t>1. เปิดรายการของผู้ป่วยที่หน้าการเงิน
2. ตรวจสอบว่าค่ายา Stat แสดงใน Chart item แล้วรับชำระเฉพาะค่ายา Stat
3. หลังพบแพทย์ ตรวจสอบว่าค่ายา Stat ที่ชำระแล้วไม่ถูกเรียกเก็บซ้ำ
4. สร้าง invoice ส่วนที่เหลือและรับชำระเงิน
5. ปิดสิทธิ์ผ่าน EDC / End point</t>
  </si>
  <si>
    <t>CSH-004</t>
  </si>
  <si>
    <t>ส่วนร่วมจ่าย / ยานอกบัญชี (Co-pay)</t>
  </si>
  <si>
    <t>1. ตรวจสอบว่าราคายานอกบัญชี / ยา Co-pay คำนวณตามสิทธิถูกต้อง
2. ตรวจสอบว่าเหตุผลการสั่งยานอกบัญชีแสดงที่หน้าการเงิน
3. สร้าง invoice และรับชำระเงิน
4. ปิดสิทธิ์ผ่าน EDC / End point</t>
  </si>
  <si>
    <t>CSH-005</t>
  </si>
  <si>
    <t>ค่ายา Refill: เก็บเฉพาะงวดที่จ่ายจริง</t>
  </si>
  <si>
    <t>1. เปิดรายการของผู้ป่วยจากคิวการเงิน
2. ตรวจสอบว่าเรียกเก็บเฉพาะค่ายางวดที่จ่ายจริง ไม่ใช่ทั้งแผน
3. สร้าง invoice และรับชำระเงิน</t>
  </si>
  <si>
    <t>APM-OPD-009, RFL-OPD-001, RFL-OPD-002</t>
  </si>
  <si>
    <t>CSH-006</t>
  </si>
  <si>
    <t>ค่าหัตถการ: เก็บเฉพาะที่ทำในวันนั้น</t>
  </si>
  <si>
    <t>1. ตรวจสอบว่าค่าหัตถการที่ทำภายในวันแสดงใน Chart item
2. ตรวจสอบว่าหัตถการที่สั่งล่วงหน้ายังไม่ถูกเรียกเก็บในวันที่สั่ง และถูกเก็บในวันที่ทำจริง
3. สร้าง invoice และรับชำระเงิน
4. ปิดสิทธิ์ผ่าน EDC / End point</t>
  </si>
  <si>
    <t>CSH-007</t>
  </si>
  <si>
    <t>รวมค่าใช้จ่ายจากหลายคลินิกในวันเดียว</t>
  </si>
  <si>
    <t>1. เปิดรายการของผู้ป่วยจากคิวการเงิน
2. ตรวจสอบว่า Chart item รวมค่าใช้จ่ายจากทุกคลินิก
3. สร้าง invoice และรับชำระเงิน
4. ปิดสิทธิ์ผ่าน EDC / End point</t>
  </si>
  <si>
    <t>CSH-008</t>
  </si>
  <si>
    <t>Order ที่ยกเลิกต้องไม่ถูกเรียกเก็บ</t>
  </si>
  <si>
    <t>1. เปิดรายการของผู้ป่วยจากคิวการเงิน
2. ตรวจสอบว่า Chart item ไม่มีรายการที่ยกเลิก และยาที่แก้ไขใช้ราคาตามจำนวนล่าสุด
3. สร้าง invoice และรับชำระเงิน</t>
  </si>
  <si>
    <t>CSH-009</t>
  </si>
  <si>
    <t>ไม่มีค่าใช้จ่ายค้าง (ยกเลิก Visit / ไม่มาตามนัด / Walk in ไม่ได้ตรวจ)</t>
  </si>
  <si>
    <t>1. ค้นหาผู้ป่วยที่หน้าการเงิน
2. ตรวจสอบว่า Visit ที่ยกเลิก / วันที่ไม่มาตามนัด ไม่อยู่ในคิวการเงิน
3. ตรวจสอบว่าไม่มีค่าใช้จ่ายค้าง หรือมีเฉพาะค่าธรรมเนียมที่เกิดขึ้นจริง</t>
  </si>
  <si>
    <t>APM-OPD-013, WLK-OPD-002, CXL-OPD-001</t>
  </si>
  <si>
    <t>CSH-010</t>
  </si>
  <si>
    <t>ยกเลิกใบเสร็จ และออกใบเสร็จใหม่</t>
  </si>
  <si>
    <t>1. ค้นหาใบเสร็จที่ต้องการยกเลิก
2. กดยกเลิกใบเสร็จ ระบุเหตุผล แล้วกดยืนยัน
3. ตรวจสอบว่าสถานะใบเสร็จเป็น ยกเลิก และยอดค้างชำระกลับมา
4. แก้ไข Chart item / ส่วนลด แล้วสร้าง invoice ใหม่และรับชำระเงิน
5. ตรวจสอบว่าออกใบเสร็จเลขที่ใหม่ และยอดถูกต้อง</t>
  </si>
  <si>
    <t>CSH-011</t>
  </si>
  <si>
    <t>CSH-012</t>
  </si>
  <si>
    <t>ย้ายค่าใช้จ่ายจาก OPD ไป IPD (Admit)</t>
  </si>
  <si>
    <t>1. เปิดรายการของ Visit OPD และตรวจสอบ Chart item ที่เกิดขึ้นก่อน Admit
2. เลือกรายการที่ต้องย้าย แล้วทำรายการย้ายไปยัง AN
3. ตรวจสอบว่ารายการหายจากฝั่ง OPD และไปปรากฏที่ฝั่ง IPD
4. ตรวจสอบยอดค้างชำระฝั่ง OPD หลังย้าย และไม่มีการเรียกเก็บซ้ำทั้ง 2 ฝั่ง</t>
  </si>
  <si>
    <t>CLM</t>
  </si>
  <si>
    <t>เบิกจ่ายตามสิทธิ (Claim) (10 ข้อ)</t>
  </si>
  <si>
    <t>CLM-001</t>
  </si>
  <si>
    <t>ปิดสิทธิ UC ผ่าน End Point / EDC ที่การเงิน</t>
  </si>
  <si>
    <t>1. เปิดรายการของผู้ป่วยสิทธิ UC ที่หน้าการเงิน
2. กดปุ่ม ปิดสิทธิ ที่แถวสิทธิ UC
3. กรอก Terminal ID / Trace / End Point แล้วกดยืนยัน
4. ตรวจสอบว่าสิทธิแสดงสถานะปิดแล้ว (ปุ่มเปลี่ยนเป็น เปิดสิทธิ)
5. กรณียอดเบิกได้ 0 ตรวจสอบว่ายังปิดสิทธิได้</t>
  </si>
  <si>
    <t>APM-OPD-001, APM-OPD-002, APM-OPD-003, APM-OPD-005, APM-OPD-006, APM-OPD-007, APM-OPD-008, APM-OPD-009, WLK-OPD-001, WLK-OPD-003, WLK-OPD-006, INJ-OPD-001, ODS-OPD-001, ODS-OPD-002, ORD-OPD-001, ORD-OPD-002, ORD-OPD-003, ORD-OPD-004, ORD-OPD-005, LBL-OPD-001, LBL-OPD-002, CXL-OPD-002, TRF-OPD-001, REF-OPD-001, REF-OPD-002</t>
  </si>
  <si>
    <t>CLM-002</t>
  </si>
  <si>
    <t>ปิด Visit ได้เมื่อปิดสิทธิครบทุกแถว</t>
  </si>
  <si>
    <t>1. ลองปิด Visit ขณะยังมีสิทธิที่เปิดอยู่
2. ตรวจสอบว่าระบบไม่ให้ปิด และแจ้งให้ปิดสิทธิก่อน
3. ปิดสิทธิให้ครบทุกแถว (เช่น H03 UC + H02 เงินสด)
4. ปิด Visit อีกครั้ง และตรวจสอบว่าปิดได้</t>
  </si>
  <si>
    <t>CLM-003</t>
  </si>
  <si>
    <t>ยอดเบิกได้ / เบิกไม่ได้ ตามสิทธิและหมวดรายการ</t>
  </si>
  <si>
    <t>1. เปิดรายการของผู้ป่วยที่หน้าการเงิน
2. ตรวจสอบคอลัมน์ เครดิต (เบิกได้) / ต้องชำระ ของแต่ละรายการตามสิทธิ
3. ตรวจสอบยานอกบัญชีเหตุผล F ต้องเบิกไม่ได้ (เครดิต 0)
4. ตรวจสอบว่ายอดรวมเบิกได้ตรงกับที่ส่งเข้ารายการเบิก</t>
  </si>
  <si>
    <t>CLM-004</t>
  </si>
  <si>
    <t>รายการเบิกเกิดหลังปิด Visit (E-Claim OPD / FDH OPD)</t>
  </si>
  <si>
    <t>1. ปิด Visit ที่หน้าการเงิน
2. เข้าหน้ารายการเบิกตามประเภทสิทธิ (E-Claim OPD / FDH OPD)
3. ค้นหาด้วย VN
4. ตรวจสอบว่ามีรายการของ Visit นี้ และ Total Credit ตรงกับยอดเบิกได้ที่การเงิน</t>
  </si>
  <si>
    <t>CLM-005</t>
  </si>
  <si>
    <t>สิทธิข้าราชการ: เบิกจ่ายตรง [ร่าง – รอยืนยันหน้าจอ]</t>
  </si>
  <si>
    <t>1. เปิด Visit ด้วยสิทธิข้าราชการ (เบิกจ่ายตรง) และยืนยันสิทธิ
2. ที่การเงิน ตรวจสอบยอดเบิกได้ / ต้องชำระ ตามสิทธิ
3. ขอเลขอนุมัติ / ปิดสิทธิเบิกจ่ายตรง
4. ปิด Visit แล้วตรวจสอบว่ารายการไปอยู่หน้ารายการเบิกจ่ายตรง</t>
  </si>
  <si>
    <t>CLM-006</t>
  </si>
  <si>
    <t>สิทธิประกันสังคม [ร่าง – รอยืนยันหน้าจอ]</t>
  </si>
  <si>
    <t>1. เปิด Visit ด้วยสิทธิประกันสังคม และตรวจสอบโรงพยาบาลตามสิทธิ
2. ที่การเงิน ตรวจสอบยอดเบิกได้ / ต้องชำระ ตามสิทธิ
3. ปิดสิทธิ และปิด Visit
4. ตรวจสอบรายการเบิกของสิทธิประกันสังคม</t>
  </si>
  <si>
    <t>CLM-007</t>
  </si>
  <si>
    <t>ประกันเอกชน / บริษัทคู่สัญญา [ร่าง – รอยืนยันหน้าจอ]</t>
  </si>
  <si>
    <t>1. เปิด Visit ด้วยสิทธิบริษัทคู่สัญญา / ประกันเอกชน
2. ที่การเงิน ตรวจสอบยอดที่บริษัทรับผิดชอบ และส่วนเกินที่คนไข้ต้องชำระ
3. รับชำระส่วนเกิน และปิด Visit
4. ตรวจสอบการออกใบแจ้งหนี้ / วางบิลให้บริษัท</t>
  </si>
  <si>
    <t>CLM-008</t>
  </si>
  <si>
    <t>ตรวจ / แก้ไขรายการเบิกก่อนส่ง [ร่าง – รอยืนยันหน้าจอ]</t>
  </si>
  <si>
    <t>1. เปิดรายการเบิกของ Visit ที่ต้องการ
2. ตรวจสอบ Diagnosis / หัตถการ / รหัสรายการ / ยอดเงิน
3. แก้ไขข้อมูลที่ไม่ถูกต้อง แล้วบันทึก
4. ตรวจสอบว่ายอดและข้อมูลที่แก้ไขแสดงถูกต้อง</t>
  </si>
  <si>
    <t>CLM-009</t>
  </si>
  <si>
    <t>ส่งเบิก / Export ไฟล์ (FDH / E-Claim) [ร่าง – รอยืนยันหน้าจอ]</t>
  </si>
  <si>
    <t>1. เลือกรายการเบิกที่พร้อมส่ง
2. ส่งเบิก หรือ Export ไฟล์ตามรูปแบบของสิทธิ
3. ตรวจสอบว่าสถานะรายการเปลี่ยนเป็นส่งแล้ว
4. ตรวจสอบข้อมูลในไฟล์ / ปลายทางตรงกับรายการในระบบ</t>
  </si>
  <si>
    <t>CLM-010</t>
  </si>
  <si>
    <t>รับผลตอบกลับ และแก้รายการที่ติดแล้วส่งซ้ำ [ร่าง – รอยืนยันหน้าจอ]</t>
  </si>
  <si>
    <t>1. รับผลตอบกลับ (Statement / REP) เข้าระบบ
2. ตรวจสอบรายการที่ผ่าน / ไม่ผ่าน (ติด C)
3. แก้ไขรายการที่ไม่ผ่าน แล้วส่งเบิกซ้ำ
4. ตรวจสอบสถานะรายการหลังส่งซ้ำ</t>
  </si>
  <si>
    <t xml:space="preserve">No. </t>
  </si>
  <si>
    <t>Title Bug</t>
  </si>
  <si>
    <t>Module/Page</t>
  </si>
  <si>
    <t>Type Issue</t>
  </si>
  <si>
    <t>Priority</t>
  </si>
  <si>
    <t>Status</t>
  </si>
  <si>
    <t>Card</t>
  </si>
  <si>
    <t>DEV Status</t>
  </si>
  <si>
    <t>Assign</t>
  </si>
  <si>
    <t>หมายเหตุ</t>
  </si>
  <si>
    <t>(Pre-Assessment) Paint Scroe ตกขอบ</t>
  </si>
  <si>
    <t>OPD/Pre-Assessment</t>
  </si>
  <si>
    <t>Bug</t>
  </si>
  <si>
    <t>Low</t>
  </si>
  <si>
    <t>Test EMR - ไม่ใช้ของเก่า - ภูทำเสร็จน่าจะหาย</t>
  </si>
  <si>
    <t>(OPD Note) บันทึกแล้วไม่ Save ให้ หรือ ช้า</t>
  </si>
  <si>
    <t>OPD Note</t>
  </si>
  <si>
    <t>High</t>
  </si>
  <si>
    <t xml:space="preserve">Test EMR - ไม่ใช้ของเก่า / Set default view </t>
  </si>
  <si>
    <t>สั่งยา แต่ขึ้นเป็นหมวด Procedure ในเอกสารนัดหมาย</t>
  </si>
  <si>
    <t>Appointment/เอกสารนัดหมาย</t>
  </si>
  <si>
    <t>SBH-1547 [Bug] [EMR] ใบนัดภาษาไทยดึงข้อมูลไม่ครบ / ผิดประเภท</t>
  </si>
  <si>
    <t>wait recheck ตอนขึ้น sync main</t>
  </si>
  <si>
    <t>ไม่สามารถปริ้นบัตรคิวห้องยาได้ {"error":{"class":"NotFound","message":"print template not found"}}</t>
  </si>
  <si>
    <t>Section Discharge/ OPD Note</t>
  </si>
  <si>
    <t>Config</t>
  </si>
  <si>
    <t>Kim</t>
  </si>
  <si>
    <t>ไม่สามารถ Discharge ได้ "message": "ErrSomeProductIsNotFound",</t>
  </si>
  <si>
    <t>สร้างสามารถ Discharge ได้แล้ว</t>
  </si>
  <si>
    <t>ขาดรวมปุ่ม ปริ้นเอกสารต่างๆ (เอกสารผูกกับ Visit)</t>
  </si>
  <si>
    <t>Improvement</t>
  </si>
  <si>
    <t>SBH-1732 [OPD][Pharmacy] เพิ่มปุ่ม/จุด Print ใบ Refill ยา (ปัจจุบันและย้อนหลัง)</t>
  </si>
  <si>
    <t xml:space="preserve">Pooh </t>
  </si>
  <si>
    <t xml:space="preserve">ทำรวมกับการ์ดเอกสาร Refill เพราะเป็น หนึ่งในเอกสารที่พยาบาลควรกินได้จากการ DC คนไข้ // เอกสารที่ inscope มี template หมดยัง </t>
  </si>
  <si>
    <t>ไม่สามารถชำระได้เนื่องจากไม่มี Queue การเงิน (ไม่มีให้ปริ้นคิวที่ Discharge และไม่มีรายการคนไข้ชำระเงินที่ห้องการงาน)</t>
  </si>
  <si>
    <t>Discharge, รายการคิว</t>
  </si>
  <si>
    <t>มีคิวแล้วแต่ชื่อคิวเป็น NUH ต้องแก้ไขเพิ่ม</t>
  </si>
  <si>
    <t>ไม่สามารถสร้าง Order Imaging วันอื่นๆ ได้</t>
  </si>
  <si>
    <t>CPOE/ Imaging</t>
  </si>
  <si>
    <t>Retest แล้วสามารถใช้งานได้ทั้งบน Prod และ Dev-X</t>
  </si>
  <si>
    <t>ยังไม่มีใบนำทาง</t>
  </si>
  <si>
    <t>Register / จัดการ Visit</t>
  </si>
  <si>
    <t>https://linear.app/cortexcloud/issue/SBH-2360/registration-opd-ใบนำทาง-form-for-sbh-and-improvement</t>
  </si>
  <si>
    <t>Dev-X มีแต่บน Prod ไม่มี (ปุ่มบน Prod เป็นพิมพ์คิวทั้งหมด)</t>
  </si>
  <si>
    <t>Lab มีรายการนัดหมายแต่ไม่สามารถทำอะไรต่อได้</t>
  </si>
  <si>
    <t>Lab / นัดหมาย</t>
  </si>
  <si>
    <t>[Lab] Re-Structure ตอนรับออเดอร์ (นัดหมายล่วงหน้า)](https://linear.app/cortexcloud/issue/NUH-2435/lab-re-structure-ตอนรบออเดอร-นดหมายลวงหนา)</t>
  </si>
  <si>
    <t>** Retest ** // Nita ตั้ง Meet Discuss 1/10/26 // น่าจะเสร็จ 16/10 แอคชั่น+ธาดา</t>
  </si>
  <si>
    <t>X-Ray ไม่มีรายการขึ้นที่ห้องปฏิบัติการ ในกรณีที่เพิ่ม Order ผ่าน Appointment</t>
  </si>
  <si>
    <t>รังสี / นัดหมาย</t>
  </si>
  <si>
    <t>depend on [Lab] Re-Structure ตอนรับออเดอร์ (นัดหมายล่วงหน้า)](https://linear.app/cortexcloud/issue/NUH-2435/lab-re-structure-ตอนรบออเดอร-นดหมายลวงหนา)
ที่ต้องแก้ในลักษณะเดียวกัน</t>
  </si>
  <si>
    <t>** Retest ** // follow up จารย์ค้อป</t>
  </si>
  <si>
    <t>Lab ไม่สามารถส่งผลกลับมาได้ (Save Result แล้วขึ้น Error) 
"class": "InternalServerError",
"message": "failed to process lab task result"</t>
  </si>
  <si>
    <t>Lab / รายละเอียด Lab Task</t>
  </si>
  <si>
    <t>Urgent</t>
  </si>
  <si>
    <t>Dev-x สาารถทำได้แต่ Prod ยังไม่สามารถทำได้</t>
  </si>
  <si>
    <t>ไม่สามารถพิมพ์ใบคำสั่ง Imaging/ Activity ได้
"class": "ServiceUnavailable",
- "message": "imaging order document template is unavailable: record not found"</t>
  </si>
  <si>
    <t>CPOE / Order</t>
  </si>
  <si>
    <t xml:space="preserve">ไม่มี Template &gt;&gt; Dev - X มีไหม </t>
  </si>
  <si>
    <t>ไม่สามารถปริ้นป้ายติด Speciment ได้
{"error":{"class":"NotFound","message":"print template not found"}}</t>
  </si>
  <si>
    <t>Lab / รอเก็บ</t>
  </si>
  <si>
    <t>ไม่มี Template</t>
  </si>
  <si>
    <t>ไม่สามารถพิมพ์ใบยิมยอมได้ไม่มี Template</t>
  </si>
  <si>
    <t>Imaging / รายละเอียดรังสี</t>
  </si>
  <si>
    <t>แพทย์ ไม่สามารถพิมพ์ สรุป ได้ (หน้า OPD Summary)
"class": "IllegalArgumentException",
        "message": "Template not found: tmh_opd_summary",
        "detail": "INVALID_REQUEST"</t>
  </si>
  <si>
    <t>ประวัติการรักษา / OPD Summary</t>
  </si>
  <si>
    <t>Retest แล้ว Dev-X มีแต่บน Prod มีแล้วแต่ Format ยังไม่ถูกต้อง // Retest อีกครั้งแล้วคุยกับเตชิน</t>
  </si>
  <si>
    <t>ไม่สามารถพิมพ์ใบสรุปใบให้คำปรึกษาได้ (ไม่มี Template)</t>
  </si>
  <si>
    <t>Consult / รับ/ส่ง</t>
  </si>
  <si>
    <r>
      <rPr>
        <strike/>
        <sz val="11"/>
        <color rgb="FF000000"/>
        <rFont val="Aptos Narrow"/>
        <scheme val="minor"/>
      </rPr>
      <t xml:space="preserve">มี Template บน Prod แล้ว  </t>
    </r>
    <r>
      <rPr>
        <sz val="11"/>
        <color rgb="FF000000"/>
        <rFont val="Aptos Narrow"/>
        <scheme val="minor"/>
      </rPr>
      <t xml:space="preserve"> Retest</t>
    </r>
  </si>
  <si>
    <t>ไม่สามารถพิมพ์ฟอร์มตอบกลับการให้คำปรึกษา (ไม่มี Template)</t>
  </si>
  <si>
    <t>มี Template บน Prod แล้ว</t>
  </si>
  <si>
    <t>ไม่สามารถพิมพ์ OPD Slip (ไม่มี Template) - น่าจะหาย</t>
  </si>
  <si>
    <t xml:space="preserve">ต้อง Mapping คำศัพท์เพิ่มเติม </t>
  </si>
  <si>
    <t>Data Config</t>
  </si>
  <si>
    <t>ยังไม่สามารถพิมพ์ฉลากยาได้</t>
  </si>
  <si>
    <t>ห้องยา / Prescription</t>
  </si>
  <si>
    <t>[SBH-2374: [Bug] [ Pharmacy ] Sticker ยาภาษาไทย]</t>
  </si>
  <si>
    <t>Retest แล้ว Prod มียังไม่มี Template</t>
  </si>
  <si>
    <t>ยังไม่สามารถพิมพ์ฉลากยาได้ ที่กำหนดจำนวนเป็น "0" ได้</t>
  </si>
  <si>
    <t>Medium</t>
  </si>
  <si>
    <t>SBH-2372 [Pharmacy] ยังไม่สามารถพิมพ์ฉลากยา/ใบยาได้ ที่กำหนดจำนวนเป็น "0" ได้</t>
  </si>
  <si>
    <t>Pending</t>
  </si>
  <si>
    <t>เสร็จแล้วรอ Test</t>
  </si>
  <si>
    <t>ยังไม่มีฉลากยา ภาษาอังกฤษ</t>
  </si>
  <si>
    <t>รอเปิดการ์ด</t>
  </si>
  <si>
    <t>Retest แล้ว Prod ไม่มียังไม่มี Template</t>
  </si>
  <si>
    <t>ยังไม่มีใบส่งไปรษณีย์ ภาษาอังกฤษ</t>
  </si>
  <si>
    <t>Retest แล้ว Prod ไม่มียังไม่มี Template // เท่าที่ทราบมี Table แต่ไม่ Complete</t>
  </si>
  <si>
    <t>ในกรณีที่ใบยาแรกเป็น Stat พบว่าเมื่อมีการสร้างใบยามากกว่า 1 ใบ รายการที่ 2 จะไม่แสดงเลขคิว</t>
  </si>
  <si>
    <t>Retest แล้วหายแล้ว</t>
  </si>
  <si>
    <t>หัตถการไม่สามารถสั่ง วันอื่นๆ ได้ (ติดในส่วนเลือกตารางหัตถการ)</t>
  </si>
  <si>
    <t>ห้้องยา / ใบยารอจัด</t>
  </si>
  <si>
    <t>เอกสารเมื่อกด Preview แล้วจะปริ้นพบว่า หน้า Print ขาว (เคยแก้ไขแล้ว)</t>
  </si>
  <si>
    <t>เอกสาร / Preview Print</t>
  </si>
  <si>
    <t>workaround → save locally and print</t>
  </si>
  <si>
    <t>ในกรณีที่ลบรายการหัตถการออกจากหน้า Order พบว่า ICD9 ไม่หายไปและ Section ICD9 ไม่หายไป</t>
  </si>
  <si>
    <t>SBH-2534 [Bug][CPOE][Order] - Section ICD9 ไม่หายไปเมื่อมีการยกเลิกรายการ Activity</t>
  </si>
  <si>
    <t>ปรับ Route การเข้า Pre-assessment form จากหน้า คำขอ Walk-in</t>
  </si>
  <si>
    <t>รายการผู้ป่วยนอก/ Walk-in</t>
  </si>
  <si>
    <t>SBH-2699 [EMR] [Pre-assessment] ปรับ Route การเข้า Pre-assessment form จากหน้า คำขอ Walk-in</t>
  </si>
  <si>
    <t>หายแล้ว / retest on prod. by Best // *** ต้องไปแก้ UI EMR อยู่ดี</t>
  </si>
  <si>
    <t xml:space="preserve">Check in OR ไม่ได้  &gt;&gt; ติด QUEUE  </t>
  </si>
  <si>
    <t xml:space="preserve"> ** ติด Config  หรือเปล่า Dev-X ไม่เปน </t>
  </si>
  <si>
    <t xml:space="preserve">Pre-OP / Post-OP ติด Default ชื่อแพทย์ พยาบาล </t>
  </si>
  <si>
    <t xml:space="preserve"> ** เชค Dev-X ** </t>
  </si>
  <si>
    <t>เอกสาร นัดหมายขาดสถานทีให้บริการ (เคสคนไข้ไม่พบแพทย์แต่ทำนัดหมายแทน)</t>
  </si>
  <si>
    <t>ติดปัญหาไม่สามารถเปิด Visit คนไข้ไปห้องหัตการโดยไม่พบแพทย์ได้</t>
  </si>
  <si>
    <t>เช็คต่อที่ Dev-X // workaround - แอดแพทย์ = ไม่ระบุแพทย์ / หมออื่นถ้าอนุญาต</t>
  </si>
  <si>
    <t>Imaging ที่มาจากนัดหมายไม่ไปแสดงที่รอเช็คอิน</t>
  </si>
  <si>
    <t>Retest แล้วบน Dev-X สามารถใช้งานได้แต่บน Prod ไม่สามารถใช้งานได้ // Owner น่าจะจารย์ค้อป</t>
  </si>
  <si>
    <t>ไม่สามารถบันทึกหัตถการได้</t>
  </si>
  <si>
    <t>Retest แล้วติดบัค เป็นทั้ง Dev-X และ Prod</t>
  </si>
  <si>
    <t xml:space="preserve">QUEUE </t>
  </si>
  <si>
    <t>SBH-2233:[OPD] [Queue] Queue Improvement</t>
  </si>
  <si>
    <t xml:space="preserve"> Frame </t>
  </si>
  <si>
    <t xml:space="preserve"> 5 MD  -&gt; BA = P'mod , Bess  </t>
  </si>
  <si>
    <t xml:space="preserve">Task + Bug ด้านบนเพื่อ E2E </t>
  </si>
  <si>
    <t xml:space="preserve">Migration ต่อ จาก Integration </t>
  </si>
  <si>
    <t>Frame/Mod</t>
  </si>
  <si>
    <t xml:space="preserve">Intergation </t>
  </si>
  <si>
    <t xml:space="preserve">  -RAX +/-  ขึ้น E2E ทันไหม </t>
  </si>
  <si>
    <t xml:space="preserve">Frame </t>
  </si>
  <si>
    <t xml:space="preserve">  - GEM Lap Micro  / - </t>
  </si>
  <si>
    <t xml:space="preserve"> Vap บอกน่า จะเสร็จ ปลายเดือนหน้า </t>
  </si>
  <si>
    <t xml:space="preserve">   -Blood Bank  + มี Timeline </t>
  </si>
  <si>
    <t xml:space="preserve">  -Hivent </t>
  </si>
  <si>
    <t xml:space="preserve">SBH-1153: \[Inventory\]\[Integration With SSB\] implement api สำหรับ integrate กับระบบ SSB ] </t>
  </si>
  <si>
    <t>Frame/Tada</t>
  </si>
  <si>
    <t xml:space="preserve"> -JF  X-Ray </t>
  </si>
  <si>
    <t xml:space="preserve">Drug Refill </t>
  </si>
  <si>
    <t xml:space="preserve">Ver 2.80   เสร็จวันอังคาร </t>
  </si>
  <si>
    <t xml:space="preserve">Compound </t>
  </si>
  <si>
    <t>Por</t>
  </si>
  <si>
    <r>
      <rPr>
        <sz val="11"/>
        <color rgb="FF000000"/>
        <rFont val="Aptos Narrow"/>
        <scheme val="minor"/>
      </rPr>
      <t>Ver 2.90 ,</t>
    </r>
    <r>
      <rPr>
        <sz val="11"/>
        <color rgb="FF747474"/>
        <rFont val="Aptos Narrow"/>
        <scheme val="minor"/>
      </rPr>
      <t xml:space="preserve"> kick off form BA team 29 Sep</t>
    </r>
  </si>
  <si>
    <t xml:space="preserve">Masterdata </t>
  </si>
  <si>
    <t>SBH Team</t>
  </si>
  <si>
    <t xml:space="preserve">19-22/10/2569  &gt;&gt; ที่ ENV. UAT  </t>
  </si>
  <si>
    <t>CDSS</t>
  </si>
  <si>
    <t>เตชินไม่มี / แอคชั่นจะส่งทีเดียวตอน Golive / ของเราทำ 3 อันหลัก</t>
  </si>
  <si>
    <t>Syntax</t>
  </si>
  <si>
    <t>แอคชั่นส่งที่เดียวตอน Golive และไม่ใช้ Syntax // Plan Dev ซักคนทำ - เฟรมดึง data</t>
  </si>
  <si>
    <t>Order Set</t>
  </si>
  <si>
    <t>SBH-2529 [OPD][order set] - Refactor Order set</t>
  </si>
  <si>
    <t>Frame/Techin</t>
  </si>
  <si>
    <t>พิมพ์ใบนำทางไม่ได้ (Format ไม่ตรง)</t>
  </si>
  <si>
    <t>Feature group/Module</t>
  </si>
  <si>
    <t>in-scope</t>
  </si>
  <si>
    <t>push to before go live</t>
  </si>
  <si>
    <t>Start (Dev)</t>
  </si>
  <si>
    <t>End (Dev)</t>
  </si>
  <si>
    <t>planned test date</t>
  </si>
  <si>
    <t>Detail</t>
  </si>
  <si>
    <t>Owner/Assignee</t>
  </si>
  <si>
    <t>Status (Dev)</t>
  </si>
  <si>
    <t>Status (Test)</t>
  </si>
  <si>
    <t>as planned</t>
  </si>
  <si>
    <t>Team</t>
  </si>
  <si>
    <t>In progress</t>
  </si>
  <si>
    <t>Drug allergy</t>
  </si>
  <si>
    <t>other CDSS</t>
  </si>
  <si>
    <t>Mod + Por</t>
  </si>
  <si>
    <t>Drug duplication</t>
  </si>
  <si>
    <t>Drug interaction</t>
  </si>
  <si>
    <t>Best + Frame</t>
  </si>
  <si>
    <t>Pooh</t>
  </si>
  <si>
    <t>ฉลากยาภาษาไทย</t>
  </si>
  <si>
    <t xml:space="preserve">Full </t>
  </si>
  <si>
    <t>ฉลากยาภาษาอังกฤษ</t>
  </si>
  <si>
    <t>Partial พบระบบการแปล และ มีคำแปลภาษาอังกฤษใน Table</t>
  </si>
  <si>
    <t>กฎการแปลอาจยังไม่มีคำแปล สวยงาม/สมบูรณ์</t>
  </si>
  <si>
    <t>Queue</t>
  </si>
  <si>
    <t>ระบบของคิวไปยังจุดบริการต่างๆ และ ใบนำทาง</t>
  </si>
  <si>
    <t>Fame</t>
  </si>
  <si>
    <t>Compound</t>
  </si>
  <si>
    <t>3 แกนหลัก</t>
  </si>
  <si>
    <t>Render ชื่อยา/Label Compound</t>
  </si>
  <si>
    <t xml:space="preserve">EMR form </t>
  </si>
  <si>
    <t>OPD note and Pre-as via EMR</t>
  </si>
  <si>
    <t>Activity</t>
  </si>
  <si>
    <t>การบันทึกข้อมูล</t>
  </si>
  <si>
    <t>แนะนำหน้างานใช้ Queue กระดาษไปก่อน</t>
  </si>
  <si>
    <t>Dev</t>
  </si>
  <si>
    <t>Sync การบันทึกจาก App หัตถการ กับ Left Panel</t>
  </si>
  <si>
    <t>Location (Master data)</t>
  </si>
  <si>
    <t>Bug E2E</t>
  </si>
  <si>
    <t>TH  SBH-2374 [Bug] [ Pharmacy ] Sticker ยาภาษาไทยหายไปจาก SBH PRD</t>
  </si>
  <si>
    <t>EN  SBH-1309 [Pharmacy] ฉลากยาภาษาอังกฤษ</t>
  </si>
  <si>
    <t>Order set SBH-2529 [ Bug ][OPD][order set] - Refactor Order set</t>
  </si>
  <si>
    <t>SBH-2758 [EMR] จุด Print เอกสารรวม ณ จุด Discharge ผู้ป่วยโดยพยาบาล</t>
  </si>
  <si>
    <t>ไล่ Template</t>
  </si>
  <si>
    <t>Main ER feature testing by QA</t>
  </si>
  <si>
    <t>Jame + Ne</t>
  </si>
  <si>
    <t>Main OPD feature testing by QA</t>
  </si>
  <si>
    <t>Run E2E</t>
  </si>
  <si>
    <t>Bug List</t>
  </si>
  <si>
    <t>Result</t>
  </si>
  <si>
    <t>เปิด pre assesment ไม่ได้</t>
  </si>
  <si>
    <t>บันทึก pre assesment ไม่ได้</t>
  </si>
  <si>
    <t>ยังไม่มี Retrive OPD Note</t>
  </si>
  <si>
    <t>order img ไม่ได้</t>
  </si>
  <si>
    <t>order lab ไม่ได้</t>
  </si>
  <si>
    <t>สั่งหัตถการ ไม่ได้อาจจะเกิดจาก master</t>
  </si>
  <si>
    <t>ค่า DF 0บาท จะเป็นบัค</t>
  </si>
  <si>
    <t>ส่ง order เป็น 0 ไม่ได้</t>
  </si>
  <si>
    <t>ปุ่มลบรายการที่ 2 แต่รายการที่ 1 ไม่มี</t>
  </si>
  <si>
    <t>admit request ใช้ไม่ได้ ให้ใช้  admite order แทนนน</t>
  </si>
  <si>
    <t>เมื่อเลือก section ใหม่แล้วควรจะ defult แสดงที่ section นั้นๆ เช่น ต้องการเพิ่ม consult tab ตรงกลางควรแสดง section consult เลย</t>
  </si>
  <si>
    <t>เปิดการ์ดเพิ่ม</t>
  </si>
  <si>
    <t>หน้า walk-in request ตรงช่องลงตารางควรแบ่งแยกเป็น วันนี้ กับ นัดหมายครั้งถัดไป -- ปัจจุบันสามารถสามารถเลือกได้แค่วันนั้นที่คนไข้มารับบริการเท่านั้น ถ้าคนไข้ไม่ได้ตรวจในวันควรมีหน้าทำนัดครั้งต่อไปได้เลย</t>
  </si>
  <si>
    <t xml:space="preserve">discharge summary </t>
  </si>
  <si>
    <t>รอติดตามวันจันทร์ แต่เขียน test case เท่าที่มีไปก่อน</t>
  </si>
  <si>
    <t xml:space="preserve">แก้ diag
เพิ่มปริ้นท์  นัดหมาย คิว เอกสาร </t>
  </si>
  <si>
    <t>Details</t>
  </si>
  <si>
    <t>OPD-00X</t>
  </si>
  <si>
    <t>CPOE</t>
  </si>
  <si>
    <t>CDSS testing</t>
  </si>
  <si>
    <t>https://docs.google.com/document/d/1CAEvKbEtSDWCjELiigJ7vS2jZ2z2rX35/edit</t>
  </si>
  <si>
    <t>การตั้งครรภ์ Pregnancy</t>
  </si>
  <si>
    <t>will test with 
1. Simvastatin x Pregnancy : for Cat.X
2. Tramadol x Pregnancy : for Cat.C</t>
  </si>
  <si>
    <t>การให้นมบุตร Lactation</t>
  </si>
  <si>
    <t>will test with isotretinoin x lacatation</t>
  </si>
  <si>
    <t>ปรับขนาดยาตามค่าไต Renal</t>
  </si>
  <si>
    <t>will test with amoxicillin x kidney patient</t>
  </si>
  <si>
    <t>ปรับขนาดยาตามค่าตับ Hepatic</t>
  </si>
  <si>
    <t>will test with methotrexate</t>
  </si>
  <si>
    <t>ความเสี่ยงต่อการหกล้ม Fall Risk</t>
  </si>
  <si>
    <t>will test with Alprazolam</t>
  </si>
  <si>
    <t>ขนาดยาเด็ก Prediatric</t>
  </si>
  <si>
    <t xml:space="preserve">      MKdose</t>
  </si>
  <si>
    <t>will test with paracetamol/ibuprofen syrup</t>
  </si>
  <si>
    <t xml:space="preserve">      MKday</t>
  </si>
  <si>
    <t>will test with Cefixime/Clindamycin</t>
  </si>
  <si>
    <t>ยาที่มีความเสี่ยงสูง High Alert Drug</t>
  </si>
  <si>
    <t>ยาเสพติด Additive Drug</t>
  </si>
  <si>
    <t>will test with Morphine tablet</t>
  </si>
  <si>
    <t>ยาวัตุออกฤทธิ์ต่อจิตประสาท Psychotrotic Substance</t>
  </si>
  <si>
    <t>เภสัชพันธุ์ศาสตร์ Pharmacogenomics</t>
  </si>
  <si>
    <t>will test with Carbamazepine x HLA-B*15:02 positive</t>
  </si>
  <si>
    <t>ขนาดยาสูงสุด/ต่ำสุด Dose Range</t>
  </si>
  <si>
    <t>will test with paracetamol</t>
  </si>
  <si>
    <t>Warfarin (ยาในกลุ่มต้านการแข็งตัวของเลือด)</t>
  </si>
  <si>
    <t>what's needed to show?</t>
  </si>
  <si>
    <t xml:space="preserve">Interactions with underlying desease </t>
  </si>
  <si>
    <t>will test with Asthma x Bisopolol</t>
  </si>
  <si>
    <t>Interactions with gender</t>
  </si>
  <si>
    <t>will test with finasteride x female // OCPs in males</t>
  </si>
  <si>
    <t xml:space="preserve">Interactions with age </t>
  </si>
  <si>
    <t>will test with FQs in patients &lt; 18 yo</t>
  </si>
  <si>
    <t>Drug Duplicate</t>
  </si>
  <si>
    <t xml:space="preserve">will test with paracetamol x norgesic
ibuprofen x diclofenac
</t>
  </si>
  <si>
    <t>Drug Interaction</t>
  </si>
  <si>
    <t>will test with Fluconazole and simvastatin</t>
  </si>
  <si>
    <t>Medication related data records</t>
  </si>
  <si>
    <t>Naranjo</t>
  </si>
  <si>
    <t>test record validity</t>
  </si>
  <si>
    <t>Drug Allergy/Side effect</t>
  </si>
  <si>
    <t>Med reconcile</t>
  </si>
  <si>
    <t>Order types</t>
  </si>
  <si>
    <t>Monthly_calendar</t>
  </si>
  <si>
    <t>vitamin D</t>
  </si>
  <si>
    <t>titration/interval order</t>
  </si>
  <si>
    <t>under development</t>
  </si>
  <si>
    <t>variable dose over frequency</t>
  </si>
  <si>
    <t>No.</t>
  </si>
  <si>
    <t>Case Mock up</t>
  </si>
  <si>
    <t>Feature</t>
  </si>
  <si>
    <t>role_permission_name</t>
  </si>
  <si>
    <t xml:space="preserve">mock up imagin </t>
  </si>
  <si>
    <t>menu ประวัติการรักษา</t>
  </si>
  <si>
    <t>menu:patient:medical-record-history</t>
  </si>
  <si>
    <t>mock up Lab</t>
  </si>
  <si>
    <t>menu document</t>
  </si>
  <si>
    <t xml:space="preserve">ข้อมูลคัดกรองรพ. </t>
  </si>
  <si>
    <t>ทั้งตัวที่เป็นสีฟ้าและตัวที่เป็นสีเขียว (ตอนนี้บันทึกตัวคัดกรองไม่ได้)</t>
  </si>
  <si>
    <t>allergy</t>
  </si>
  <si>
    <t>Mock การ visit ต่างๆ</t>
  </si>
  <si>
    <t>ให้หลากหลายจะได้เห็นหลายๆ case</t>
  </si>
  <si>
    <t>Mock คนไข้</t>
  </si>
  <si>
    <t>ตั้งแต่เริ่มจนจบ ให้มีการสั่งยาด้วย เพราะต้องใช้ remed</t>
  </si>
  <si>
    <t>Mock case แพ้ยา</t>
  </si>
  <si>
    <t>mock การแพ้ยา (แดง ส้ม เทา) -&gt; ถ้าติ๊กปฏิเสธแพ้ยาแล้วไม่รีเฟรชหน้าต่างจะไม่ขึ้นให้</t>
  </si>
  <si>
    <t>Mock case U/D</t>
  </si>
  <si>
    <t>mock U/D</t>
  </si>
  <si>
    <t>Mock form OPD Note Med</t>
  </si>
  <si>
    <t xml:space="preserve">List มาว่าฟอร์มอะไรบ้าง </t>
  </si>
  <si>
    <t>Mock up 1 userแพทย์ ต่อคนไข้ 1-2 คน</t>
  </si>
  <si>
    <t xml:space="preserve">เอกสารรายการยาที่สามารถสั่งได้ในระบบ </t>
  </si>
  <si>
    <t>จัดเตรียมเป็นเอกสาร print แนบ test case</t>
  </si>
  <si>
    <t>mock up dr fee</t>
  </si>
  <si>
    <t>mock up ประวัติการสั่งยา</t>
  </si>
  <si>
    <t>mock up ใบรับรองแพทย์</t>
  </si>
  <si>
    <t xml:space="preserve">รายละเอียดการ mock up ประวัติการรักษา
โรคของคนไข้
shift complain diagnostic 
ยาที่สอดคล้องกับโรค
**หมายเหตุ ขอไม่เกิน 5 โรคต่อ 1 HN  
 </t>
  </si>
  <si>
    <t>Doc</t>
  </si>
  <si>
    <t>Test case</t>
  </si>
  <si>
    <t>Data for test</t>
  </si>
  <si>
    <t>รายชื่อ</t>
  </si>
  <si>
    <t>no.</t>
  </si>
  <si>
    <t>วันที่</t>
  </si>
  <si>
    <t>ชื่อ</t>
  </si>
  <si>
    <t>ตำแหน่ง</t>
  </si>
  <si>
    <t>คลินิก</t>
  </si>
  <si>
    <t>Module</t>
  </si>
  <si>
    <t>Feature group</t>
  </si>
  <si>
    <t>รายละเอียด feedback</t>
  </si>
  <si>
    <t>prority</t>
  </si>
  <si>
    <t>พี่จิม พี่ยุ้ย</t>
  </si>
  <si>
    <t>IT</t>
  </si>
  <si>
    <t>ตัว SBH ปัจจุบันสามารถทำ Link ตัวรูป X-ray  ตัว cortex จะมีเมื่อไหร่?</t>
  </si>
  <si>
    <t>มีีปุ่มรองรับแล้ว ขาดการเชื่อมกับ PACS
- ของสระบุรีกรุณาต่อไปที่ Intranet เนื่องจากเขารวมไว้หลายเครื่อง</t>
  </si>
  <si>
    <t>case: HN6903210 ส่วนของ Imaging result ผล x-ray บางส่วนขาดตัว sumary กับ detail ไม่มาด้วย</t>
  </si>
  <si>
    <t>โต๊ะบอกว่าหน้า Result ต้องมีการ Improve อยู่แล้ว แต่จะเป็นท่าส่งผลมาเป็น HTML ล้วน หรือเป็น Fill ยังไม่สรุป</t>
  </si>
  <si>
    <t>ส่วนการดูข้อมูลผล Lab result: ตัวหนังสือมีตัดตกทำให้คำอ่านขาด เช่น หมายเหตุ เป็น หมา-(เป็นบรรทุด1) ยเหตุ(เป็นบรรทัด2)</t>
  </si>
  <si>
    <t>Mock up data ใหม่ ให้ข้อมูลคมกว่านี้</t>
  </si>
  <si>
    <t>หน้า Lab result ในส่วนช่อง search ตัวประเภท Lab เคยที่ส่งตรวจ อนาคตอยากให้กรองได้ตามประเภทของ Lab (ตัว search ปัจจุบันเหมือนจะให้ search เป็นรหัสทำ Lab เลยไม่แน่ใจ Logic ว่า search โดยใช้อะไร)</t>
  </si>
  <si>
    <t>Order ID ต้องตรงกับ Result ID ถึงจะ fillter ได้</t>
  </si>
  <si>
    <t>V/S</t>
  </si>
  <si>
    <t>กรณี V/S หากคนไข้ใช้เครื่อง เครื่องจะสามารถเชื่อมต่อผลกับตัวโปรแกรมได้ไหม (ต่อเอาไว้รึยัง พี่จิมแจ้งว่าเอิร์ธเคยคุยเรื่องต่อเอาไว้แล้ว)</t>
  </si>
  <si>
    <t>ต่อแล้ว labotron</t>
  </si>
  <si>
    <t>Pre assessment</t>
  </si>
  <si>
    <t>กรณีกดฟอร์มคัดกรองซ้ายมือ ถ้ามีไว้ดูอย่างเดียวแล้วไม่ได้แก้ไขทำไมถึงมีปุ่มเซฟขวาบนกันนะ แล้วแบบนั้นจะแตกต่างจากทางขวามือยังไง</t>
  </si>
  <si>
    <t>แยก view กับ input</t>
  </si>
  <si>
    <t>ส่วน GCS (เช่น ลืมตาไม่ลืมตา) ควรจะไม่เลือกได้ แต่ปัจจุบันกดเลือกคือต้องเลือกอันใดอันหนึ่ง ไม่เลือกไม่ได้</t>
  </si>
  <si>
    <t>BUG</t>
  </si>
  <si>
    <t>ต้องสามารถยกเลิก ตัวเลือกที่เลือกไว้ได้</t>
  </si>
  <si>
    <t xml:space="preserve">กดหน้าประวัติการรักษา แล้วหน้าฟอร์มคัดกรองหายไป </t>
  </si>
  <si>
    <t>แท็บฟอร์มคัดกรองหายไป เมื่อกดแท็บOPD Note</t>
  </si>
  <si>
    <t>ประวัติการรักษา</t>
  </si>
  <si>
    <t>ในส่วนหน้าประวัติการรักษา ปรกติจะมีเรียงกันเป็น คลินิก ชื่อแพทย์ EN แต่ถ้ากดซ้ำๆ จะเหลือแค่ VN (อาจจะบัคเรื่องการยิงข้อมูลไหมนะ)</t>
  </si>
  <si>
    <t>ลองสร้างVisitและAssigne walkin ผ่านAPIและผ่านFE เพื่อเช็คความแตกต่าง ว่าpractitionerจะขึ้นไหม</t>
  </si>
  <si>
    <t xml:space="preserve">ส่วนของการสั่ง Lab มีดักไว้ไหมว่าห้ามสั่งซ้ำภายใน xx นาที </t>
  </si>
  <si>
    <t>ไม่มี</t>
  </si>
  <si>
    <t>Order Med</t>
  </si>
  <si>
    <t>ส่วนของการสั่งยา ถ้ามีนัดทำนัดเรียบร้อย ตอนสั่งยาแล้วใส่วิธีการใช้แล้วพอกดที่จำนวนเม็ดสำหรับยาบางตัวระบบยังไม่คำนวณจำนวนเม็ดที่จะต้องสั่งให้</t>
  </si>
  <si>
    <t>อาจเกิดจากDataที่ไม่setให้Auto cal</t>
  </si>
  <si>
    <t>ส่วน แบบฟอร์มอนุมัติใช้ยานอกบัญชียาหลักแห่งชาติ ส่วนติ๊กสิทธิ Bug ติ๊กแล้วติ๊กเลยเอาออกไม่ได้
ในส่วนนี้ถ้าแพทย์ยังไม่ได้กรอกเด้งเตือนได้ไหม เพราะตอนนี้ต่อให้ไม่กรอกส่วนนี้ก็สั่งยาได้เลย
ในเอกสารที่กรอกตัวสิทธิควรดึงสิทธิหลักในระบบมาเลย ปัจจุบันยังต้องกรอกเอง</t>
  </si>
  <si>
    <t xml:space="preserve"> ติ๊กแล้วยกเลิกไม่ได้
- redirec ไปยัง session ที่มีปัญหา
- prefill ข้อมูลใน form</t>
  </si>
  <si>
    <t>กรณีแจ้งเตือนสั่งยาซ้ำ และสั่งยาคู่ปฏิกิริยา ถ้าใส่ยาซ้ำไปสองรอบ(โดยใส่เหตุผลและยืนยันสั่ง) หลังจากนั้นถ้าสั่งยาคู่ปฏิกิริยา ในหน้าเตือน Alert จะขึ้นสัญลักษณ์แค่ตัวเดียว (ยาที่ซ้ำอีกตัวจะไม่ขึ้นเตือนยาคู่ปฏิกิริยา(I) แล้วถึงลบยาที่ซ้ำตัวแรกไปยาที่เหลือก็ไม่ขึ้นเตือนยาคู่ปฏิกิริยาอยู่ดี)</t>
  </si>
  <si>
    <t>bug</t>
  </si>
  <si>
    <t>อ.ชานนท์</t>
  </si>
  <si>
    <t>หน้าผลแล็บแบบรายการขอเป็นชื่อกลุ่มแล็บ (เสิรชเป็นตัวแต่มีฟิลเตอร์เป็นกลุ่ม)</t>
  </si>
  <si>
    <t>ขอผล Lab แบบเป็นกราฟ</t>
  </si>
  <si>
    <t>CBC เป็น Hemato</t>
  </si>
  <si>
    <t>Masterdata</t>
  </si>
  <si>
    <t>ผล Lab นอก เป็นห้อง Lab เป็นคนใส่ ซึ่งจะใส่ในหน้า Lab task list 
อ.ชานนท์แนะนำว่า ให้หมอแนบเอกสารทิ้งไว้แล้วให้ห้อง LAB คีย์กรอกผลเอาเอง</t>
  </si>
  <si>
    <t>Allergy</t>
  </si>
  <si>
    <t>Userแพทย์และพยาบาล ลงแพ้ยาบัก ไม่ได้ (Error FORBIDE)</t>
  </si>
  <si>
    <t>https://linear.app/cortexcloud/issue/SBH-353/bugopd-patient-info-เพมขอมลผปวยไมได-ud-maternal-status</t>
  </si>
  <si>
    <t>นัดหมาย</t>
  </si>
  <si>
    <t>นัดหมายในหน้าคนไข้บัก submit ไม่ได้ แต่ในหน้าตารางแพทย์สามารถทำได้</t>
  </si>
  <si>
    <t>Order Lab</t>
  </si>
  <si>
    <t>Item ใน Lab Result ต้องสอดคล้อง กับ Order ซึ่งเข้าใจได้ว่า LIS ต้องส่งข้อมูลกลับมา ทั้งนี้เขาต้องส่งรหัส order กลัยมาด้วยเพื่อใช้ในการ Search LAB</t>
  </si>
  <si>
    <t xml:space="preserve">จำนวนนัดถูกเลื่อนไม่ตรงกับที่ pop up แจ้ง </t>
  </si>
  <si>
    <t xml:space="preserve">ขอ Time Stamped Virtal Sign </t>
  </si>
  <si>
    <t>Virtal Sign ที่ระบุไปแล้วใส่บอกว่าอันนี้มาจากเครื่อง หรือ Manual กรอก</t>
  </si>
  <si>
    <t>Pain Score ถือเป็น Virtal Sign ตัวที่ 5 เพิ่มทุกครั้งที่เพิ่ม Virtal Sign</t>
  </si>
  <si>
    <t>แนวโน้ม BP และ น้ำหนักเป็นกราฟ ในระยะเวลา 1 ปี และผูกเป็น Visit ในการดูประวัติการรักษา</t>
  </si>
  <si>
    <t>บันทึกของแต่ละ section ควรอยู่ด้านล่าง</t>
  </si>
  <si>
    <t>เห็นด้วยอย่างมาก +1</t>
  </si>
  <si>
    <t>ช่อง CC ทำไมขยายไม่ได้แล้ว</t>
  </si>
  <si>
    <t>DX มีอย่างน้อย 3 ตัวเป็น Default</t>
  </si>
  <si>
    <t>ถ้ากด Retrieve ประวัติ จะเอา CC, Present Illness, PE, Dx,</t>
  </si>
  <si>
    <t>Dx ใส่เลขแล้วควร Enter ได้เลย</t>
  </si>
  <si>
    <t>อ.คเชนทร์</t>
  </si>
  <si>
    <t>แพทย์</t>
  </si>
  <si>
    <t>ทำแบบ JF (IMG)</t>
  </si>
  <si>
    <t>แยก Pre lim กับ ผล (IMG)</t>
  </si>
  <si>
    <t>ควรแยก CBC Hemato (LAB)</t>
  </si>
  <si>
    <t>เชคคอมเม้น ผล lab ว่า คอมเม้น ตรงไหน ที่ผล lab หรือ ด้านล่าง (LAB)</t>
  </si>
  <si>
    <t>mock up data ยังไม่ดีพอ (LAB)</t>
  </si>
  <si>
    <t>เพิ่ม เวลา report time (LAB)</t>
  </si>
  <si>
    <t>ทำเป็่น thread ได้มั้ย เพราะ บางท่านอยากได้แบบนั้น กดเป็นตัวๆไป (LAB)</t>
  </si>
  <si>
    <t>ไม่มี filter  ถ้ามีจะดูง่ายขึ้น (LAB)</t>
  </si>
  <si>
    <t>กรณี record แล้ว ข้อมูลเยอะมาก จะต้องทำยังไง ระบบจะช้ามั้ย 
แสดงผลออกมาแบบไหน จะ สกอยาวๆ หรือว่ามีเป็นเพจ
เพราะมันคือการดูเปรียบเทียบ (LAB)</t>
  </si>
  <si>
    <t>UI ฝั่ง list ถ้าดึงขยายได้ จะดูได้ง่ายขึ้นเพราะชื่อมันยาว(LAB)</t>
  </si>
  <si>
    <t>ฝากคุย patho จากคุยเรื่อง ชิ้นเนื้อเดิม ผลจะแสดงอย่างไง (LAB)</t>
  </si>
  <si>
    <t xml:space="preserve">รายการใน lab group checklist ข้อมูลมีเยอะเกินไป </t>
  </si>
  <si>
    <t>ฝาก revise รายการและการจัดประเภท/จารน่าจะมีดูอยู่กับพี่เตย</t>
  </si>
  <si>
    <t>จารย์บอก การ search ง่ายดี</t>
  </si>
  <si>
    <t>*** แต่จารย์ใช้ ctrl + F ของ browser</t>
  </si>
  <si>
    <t>activity ต้อง freetext ได้ เพราะกรอกได้ทั้งหมอ+พยาบาล</t>
  </si>
  <si>
    <t>A-F อยากได้ freetext</t>
  </si>
  <si>
    <t>Order Activity</t>
  </si>
  <si>
    <t>Activity ลบOrderไม่ได้</t>
  </si>
  <si>
    <t>เอาDesign Order check list ของHostxp</t>
  </si>
  <si>
    <t>Diagnosis ต้องกด+ทุกครั้ง (ปรับให้default มา1ช่องกรอก)</t>
  </si>
  <si>
    <t>Discharge</t>
  </si>
  <si>
    <t>Discharge dropdown เลือกอันล่างสุดไม่ได้บางครั้ง (FE)</t>
  </si>
  <si>
    <t>[OPD Note] เพิ่มเติมของform PE ไม่มา</t>
  </si>
  <si>
    <t>[OPD Note] body charge กดปิดExplandไม่ได้</t>
  </si>
  <si>
    <t>[OPD Note] body charge วาดแล้วลบไม่ได้</t>
  </si>
  <si>
    <t>ใบรับรองแพทย์ เมื่อติ๊กนอนพักรักษาควรเลือกได้ตั้งแต่วันไหนถึงวันไหน</t>
  </si>
  <si>
    <t>กรณีห้ามสั่งยาคู่ปฏิกิริยาซ้ำ ตอนนี้ใน SBH มีข้อมูลเตือนมากกว่านี้ สามารถดึงข้อมุลจากอันเก่าไปใช้ได้ไหม</t>
  </si>
  <si>
    <t xml:space="preserve">ควรเอาตัวส่งกำสั่ง(ที่หมอต้อง sign) เอามาไว้ข้างล่าง เพราะหมอกด discharge ไม่ได้ </t>
  </si>
  <si>
    <t>ส่วน admit ควรเลือกแผนกที่แอดมิด แต่ไม่เลือกหอ + ควรมีใบออเดอร์ด้วย (อ.เสนอว่าสร้างให้ส่วนนี้แพทย์จบงานได้)</t>
  </si>
  <si>
    <t xml:space="preserve">คลินิก consult ควรเพิ่มที่ตั้งเพิ่มเติม  </t>
  </si>
  <si>
    <t>consult</t>
  </si>
  <si>
    <t>diagnosis ใช้เป็น free text ได้ไหม เพราะไม่ได้เอาไปทำอะไรเลยข้อมูลส่วนนี้ ไม่ต้องเอาไปผูก</t>
  </si>
  <si>
    <t>การขอ Consult คือไม่รู้ว่าเขาเป็นอะไรถึงขอ จึงควรเป็น Free text</t>
  </si>
  <si>
    <t>เอกสาร Fillter</t>
  </si>
  <si>
    <t xml:space="preserve">หมวดหมู่ของเอกสารใบรับรองแพทย์มีอย่างอื่นโผล่มาด้วย </t>
  </si>
  <si>
    <t>custom form</t>
  </si>
  <si>
    <t>ใบตายหลังลงข้อมูลเสร็จแล้วไม่รู้ว่าข้อมูลไปอยู่ที่ไหน (ตายแล้วไปอยู่ไหนน้า)</t>
  </si>
  <si>
    <t xml:space="preserve">สิ่งที่อยากดูในตารางที่ออกตรวจ ชื่อตัวเอง วันที่ออกตรวจ  </t>
  </si>
  <si>
    <t>concept คลิกน้อยที่สุด scroll นิ้วน้อยที่สุด เห็นในทีเดียว ควร copy ของเดิมมาได้เลยแล้วค่อยให้แก้เอา</t>
  </si>
  <si>
    <t>รูป body chart ไม่ควรใหญ่เกินไป?</t>
  </si>
  <si>
    <t>ในกรณีที่แพ้ยา เวลาตอนพิมพ์สั่งยา ควรแจ้งเตือนมาเลย ไม่ต้องมาเสียเวลา กดตอนกดเพิ่มออเดอร์</t>
  </si>
  <si>
    <t>ยาใกล้เคียง กับยา ที่แจ้งว่าแพ้ยา ไม่ควรอนุญาติให้สั่ง ระบบควรแจ้งเตือนแพ้กลุ่มยาเดียวกัน</t>
  </si>
  <si>
    <t>ประวัติตรวจร่างกาย diagnosis ยา treatment สามารถก็อปปี้มาได้ ถ้าเลือก visit ไหนก็จะขึ้นมาให้เลย และสามารถเติมข้อมูลได้</t>
  </si>
  <si>
    <t>Retrive</t>
  </si>
  <si>
    <t>ข้อมูลควร Alert  ของยา ควร มี level ของมันเอง ว่ามีความรุนแรงขนาดไหน เช่น  drug minor/ drug interaction</t>
  </si>
  <si>
    <t>คุยเรื่อง Policy ดีๆ</t>
  </si>
  <si>
    <t>การสร้างประวัติการแพ้ยาคนไข้ ส่วนใหญ่แพทย์ไม่ค่อยได้ลงเอง จะเภสัชเป็นคนลงข้อมูล แต่ถ้าแพทย์อยากใส่ก็สามารถใส่ได้แล้วให้เภสัช หรือแพทย์ที่เกี่ยวข้องเป็นคนคอนเฟิร์ม</t>
  </si>
  <si>
    <t>พี่นาตยา</t>
  </si>
  <si>
    <t>Physiotherapist</t>
  </si>
  <si>
    <t>display/layout</t>
  </si>
  <si>
    <t>layout ดี อาจจะตัวเล็กมองยากหน่อย</t>
  </si>
  <si>
    <t>แจ้งแล้วว่าซูมเข้าออกได้ตาม Browser</t>
  </si>
  <si>
    <t>form</t>
  </si>
  <si>
    <t>custom form เฉพาะของกายภาพ</t>
  </si>
  <si>
    <t>มีแล้ว จะถูกเพิ่มเข้าไปในระบบ</t>
  </si>
  <si>
    <t>UI</t>
  </si>
  <si>
    <t>ปุ่มบันทึกในหน้า OPD note / order section อยากให้ fix อยู่ตรง order section</t>
  </si>
  <si>
    <t>วจมนต์</t>
  </si>
  <si>
    <t>แพทย์์</t>
  </si>
  <si>
    <t>การลงข้อมูลการรักษา ในส่วนของ Phisical Examination ในส่วนของ Body Chart วาดแล้วลบไม่ได้</t>
  </si>
  <si>
    <t>การสั่งยา Syntag ยัง งงๆ ในยาตา ยังสั่งยาตาลำบาก</t>
  </si>
  <si>
    <t>สั่งยาพร้อมนัดหมาย ยังไม่ link จำนวนตามเวลานัด</t>
  </si>
  <si>
    <t>การสั่งหัตถการ โดยเฉพาะพวกพวกตา หาลงค่อนข้างยาก ต้องพิมพ์ให้ถูก</t>
  </si>
  <si>
    <t>อ.เปิ้ล</t>
  </si>
  <si>
    <t xml:space="preserve">ประวัติการรักษาต้องดูจาก OPD Note ก่อน ไม่ใช่ order ช่วยทำให้เลื่อนน้อย ๆ  อยากดูเป็น summary ไว้ในหน้าเดียว </t>
  </si>
  <si>
    <t>Visit Sum มี Design อยู่แล้ว</t>
  </si>
  <si>
    <t>body chart ควรย่อได้ ไม่ควรขึ้นมาเป็น default ถ้าจะใช้ค่อยกดขยาย</t>
  </si>
  <si>
    <t>รูปใหญ่มากเกิน</t>
  </si>
  <si>
    <t>สั่ง activity ไม่ได้ขึ้น error ขวาบน</t>
  </si>
  <si>
    <t>ย้ายModal alert ให้มาแสดงตั้งแต่เลือกยา</t>
  </si>
  <si>
    <t>ซ้ำข้อข้างบนไปตามหาอีกที</t>
  </si>
  <si>
    <t xml:space="preserve">แจ้งเตือนแพ้เป็นกลุ่มยาไม่ได้ </t>
  </si>
  <si>
    <t>ประวัติการรักษาควรดูได้ในรูปแบบเดิม ปัจจุบันเลื่อรเยอะ</t>
  </si>
  <si>
    <t>order การระบุ dx ควรใช้ในการสั่งยาจ2</t>
  </si>
  <si>
    <t>ถ้า order ยา จ2 ต้อง Require Dx (ตุลย์บอกว่า ICD เป็น Freetext ได้เถอะ)</t>
  </si>
  <si>
    <t>med interaction ไม่ครบ</t>
  </si>
  <si>
    <t>activity ไม่ครบ</t>
  </si>
  <si>
    <t>Feature copy ประวัติ OPD note , รายการ Order ครั้งก่อนมาในครั้งเดียว</t>
  </si>
  <si>
    <t>New feature</t>
  </si>
  <si>
    <t>อ.ศรัณย์</t>
  </si>
  <si>
    <t>เพิ่ม Palative care: Leaving will ในหน้าลงประวัติติดตัวผู้ป่วย</t>
  </si>
  <si>
    <t>Order ให้ไปประเมิณบางอย่างเพิ่ม คืออะไร เช่นให้ไปประเมิณเพิ่ม หรือ ตรวจความดันตา ตรวจVA ปกติตอนนี้เขียนใน OPD card เอา</t>
  </si>
  <si>
    <t>??</t>
  </si>
  <si>
    <t xml:space="preserve">ที่ลงผล Kit test </t>
  </si>
  <si>
    <t>เปิดหน้าจอประวัติ 2 visit พร้อมกัน 2 อัน</t>
  </si>
  <si>
    <t>อ.อภิชัย</t>
  </si>
  <si>
    <t>Order med</t>
  </si>
  <si>
    <t>ในส่วนการสั่งยา ยาบางอย่าง dose จะ common อยู่แล้ว อยากจะให้ดึงข้อมูลตรงนี้เอาไว้ให้ได้ไหม ตอนที่หมอสั่งหมอจะได้กดแค่ ok ไม่ต้องกรอกเพิ่ม</t>
  </si>
  <si>
    <t>DF</t>
  </si>
  <si>
    <t xml:space="preserve">dr.fee จะสามารถเบิกได้ตามสิทธิ อยากให้ผูกให้เลย ไม่อยากให้คุณหมอไปยุ่งในส่วนของค่าตรวจ </t>
  </si>
  <si>
    <t>ต้อนนี้ระบบทำได้ตามนี้ แต่ต้องทำพิ่ม ในกรณีที่ Min-Max เท่ากัน ขึ้นเลขมาเลย</t>
  </si>
  <si>
    <t>อยากให้เน้นสีสันหน่อย เช่นสร้าง order admit ตรงแถบที่จะสร้างทางขวาเป็นสีเขียว หลังกดแล้วตรงหน้าต่างก็อยากให้เป็นสีเขียว เพราะตอนนี้เป็นสีเดียวกัน</t>
  </si>
  <si>
    <t>ในส่่วนของหน้าต่างการแพ้ยา อยากให้ตัวหนังสือหรือแถบเป็นสีแดงไปเลย เพราะสีปัจจุบันดูเรียบๆ ทำให้ดูออกยากว่าคือแพ้ยา</t>
  </si>
  <si>
    <t>https://linear.app/cortexcloud/issue/SBH-266/custom-cpoe-สตวอกษร-banner-แพยาขอพนหลงสแดงออน</t>
  </si>
  <si>
    <t>คุณกิ๊บ</t>
  </si>
  <si>
    <t>นักวิชาการสาธารณสุขชำนาญการ คุณกิ๊บ คุณน้ำ</t>
  </si>
  <si>
    <t>ในส่วนของฟอร์มคัดกรองเบื้องต้น อยากให้แทรกรูปได้ เพราะบางทีคนไข้ก็มีกราฟ หรือไฟล์ภาพที่เกี่ยวข้องกับการรักษามาด้วย ก็อยากแนบใส่ในส่วนนั้นไปเลย</t>
  </si>
  <si>
    <t>อยากให้ mockup data ข้อมูลการตรวจในอดีตมาให้เยอะกว่านี้ ตอนนี้บางส่วนไม่มีเลยทำให้เห็นภาพไม่ชัดว่าข้อมูลในอนาคตจะแสดงยังไง</t>
  </si>
  <si>
    <t>Patient Banner</t>
  </si>
  <si>
    <t>ในส่วนแสดงข้อมูลเชื้อดื้อยาด้านบน บาง HN ไม่แสดง</t>
  </si>
  <si>
    <t>ยังไม่รู้ว่าต้องใส่ตรงไหน</t>
  </si>
  <si>
    <t>ใบนัดหมาย(ที่ปริ้นให้คนไข้) ในอนาคตจะเป็นแบบปัจจุบันของ SBH ที่รวมนัดLAB นัดหมอ พร้อมรายละเอียดที่ต้องเตรียมล่วงหน้าเช่นจะเจาะเลือดก็ให้งดน้ำงดอาหารก่อน ข้อมูลเหล่านี้จะปรากฎในใบนัดที่จะให้คนไข้ไปด้วยไหม</t>
  </si>
  <si>
    <t>ระบบสามารถที่จะแจ้งเตือนในกรณีเหล่านี้ได้ไหม
  คนไข้เด็กต้องฉีดวัคซีนต่อเนื่อง ถ้าคนไข้มาเกินนัดแล้วลืมว่าตัวเองมีนัดฉีดวัคซีน อยากให้ alert เลยว่าคนไข้คนนี้ยังไม่ได้ฉีด
  คนไข้ที่มีสิทธิติดตัวในเชิงรุก เช่น การฉีดวัคซีน การตรวจคัดกรองมะเร็งเต้านม ฯลฯ อยากให้ alert สิทธิขึ้นมาว่าคนไข้คนนี้มีสิทธินะ (และหากเป็นไปได้ก็อยากให้แสดงเฉพาะคนไข้ที่ยังไม่ได้ใช้สิทธินั้นๆ คนไข้ที่ใช้สิทธิแล้วก็ไม่แสดง)</t>
  </si>
  <si>
    <t>PP</t>
  </si>
  <si>
    <t xml:space="preserve">เพิ่มข้อมูลเบอร์โทรที่อยู่ปัจจุบันคนไข้เอาไว้บนแบนเนอร์ได้ไหม หรือไม่ก็เอาไว้ในส่วนประวัติผู้ป่วยได้ไหม </t>
  </si>
  <si>
    <t>เห็นด้วย banner ควรมี icon บ้าน เอาเมาส์ไป hold และแสดงข้อมูลฃ</t>
  </si>
  <si>
    <t>อยากให้สิทธิ user nurse สามารถแก้ไขที่อยู่ปัจจุบันได้</t>
  </si>
  <si>
    <t xml:space="preserve">policy </t>
  </si>
  <si>
    <t>ใน่วนประวัติคัดกรอง โรคประจำตัว ประวัติสุขภาพครอบครัว การสูบบุหรี่ต่างๆ สามารถบันทึกเอาไว้ในส่วนหน้า ประวัติผุ้ป่วยได้ไหม (แต่อยากให้วงเล็บวันที่เอาไว้ให้ด้วย เพื่อจะได้ทราบว่าคนไข้ให้ข้อมูลเมื่อไหร่)</t>
  </si>
  <si>
    <t>feature/setting</t>
  </si>
  <si>
    <t>default CC เช่น ปวดขา อยากให้เซ็ตตาม clinic ได้</t>
  </si>
  <si>
    <t>high</t>
  </si>
  <si>
    <t>มีแพลนอยู่แล้ว</t>
  </si>
  <si>
    <t>add out side document ฟอร์มคัดกรอง</t>
  </si>
  <si>
    <t>รอตกลงว่าสรุป logic add document จะเป็นยังไง อยู่หน้าไหน</t>
  </si>
  <si>
    <t>ปุุ่มบันทึก ฟอร์มคัดกรอง ควรมีปุ่มย่อย หรือ fix position</t>
  </si>
  <si>
    <t>อยากให้หน้า print (แบบเปรียบเทียบ) lab ตั้งค่าได้ว่าเอาของวันไหนได้/scope วันที่ได้</t>
  </si>
  <si>
    <t>low</t>
  </si>
  <si>
    <t>ต้องพิจารณาด้าน limit</t>
  </si>
  <si>
    <t>ฟอร์มคัดกรอง/opd note อยากให้เพิ่มรูปลง body ได้เลย หรือ แคปจอลงได้เลยในบาง section</t>
  </si>
  <si>
    <t>รอฟลุ๊คทำ</t>
  </si>
  <si>
    <t>ฟอร์มคัดกรอง ซ่อน section ที่ไม่เกี่ยว by default e.g. ตั้งครรภ์/ให้นม/รอบเดือน</t>
  </si>
  <si>
    <t>ต้องเข้าถึง เรียกดู หรือ อัพเดตข้อมูล demograpgic คนไข้ได้ด้วย เช่น ที่อยู่ เยอร์โทร</t>
  </si>
  <si>
    <t>การสั่งยา syntax ใช้ไม่สะดวก</t>
  </si>
  <si>
    <t>feature</t>
  </si>
  <si>
    <t>Vaccine History</t>
  </si>
  <si>
    <t>ยา vaccine ที่สั่งจาก รพ ควรเข้าไปบันทึกที่ ประวัติ vaccine ได้เลย</t>
  </si>
  <si>
    <t>ข้อมูลประวัติผู้ป่วยอยากให้ใส่ willing พาเลียทีป</t>
  </si>
  <si>
    <t>lay out อยากให้ 1 เมนูเปิดได้หลาย lab กรณีดูเทียบ 3 visit</t>
  </si>
  <si>
    <t>ทำ icon เปิด new tab</t>
  </si>
  <si>
    <t xml:space="preserve">รับรองแพทย์แปลdx ให้ </t>
  </si>
  <si>
    <t>ที่ถูกต้องต้องตาม HA คือ require free text แต่ ICD not require</t>
  </si>
  <si>
    <t>วิธีการใช้ยา prn ต้อง 2 วรรค</t>
  </si>
  <si>
    <t>วัคซีนไม่ขอกรอก lot และวันหมดอายุ หรือมีได้แต่ไม่ต้อง require</t>
  </si>
  <si>
    <t>lab ควรมีช่องใส่เพิ่ม lab นอกรพ เพื่อความสะดวกต่อการค้นหา</t>
  </si>
  <si>
    <t>เพิ่ม tag</t>
  </si>
  <si>
    <t>รายการยาควรมีชื่อย่อและมีข้อมูลยาขึ้น</t>
  </si>
  <si>
    <t>เช็ค column synonime และทำ feature search Synonime ด้วย</t>
  </si>
  <si>
    <t>lab แก้ไขไม่ได้ แต่อย่างอื่นแก้ได้หมด</t>
  </si>
  <si>
    <t>รายการราคาหัตถการต้องรวมทุก order</t>
  </si>
  <si>
    <t>ไม่มีเชื้อดื้อยา</t>
  </si>
  <si>
    <t>ซ้ำข้อข้างบน</t>
  </si>
  <si>
    <t>รคส อยากให้ default ชื่อแพทย์อัตตโนมัติแต่สามารถแก้ไขได้</t>
  </si>
  <si>
    <t>no</t>
  </si>
  <si>
    <t>สั่งยาคนไข้แพ้ ระบุเหตุผลก็ย้งสั่งไม่ได้</t>
  </si>
  <si>
    <t>ต้องมีการคัดกรองก่อน assign แพทย์</t>
  </si>
  <si>
    <t>med rec ไม่ควรต้องกรอกเองควรดึงมาให้ auto เลย</t>
  </si>
  <si>
    <t>เอกสารประกอบสั่งยาไม่มีแสดง</t>
  </si>
  <si>
    <t>ควรมี lab เป็นกลุ่มให้เลือก</t>
  </si>
  <si>
    <t>อ.บัว</t>
  </si>
  <si>
    <t>ประวัติการรักษา V/S ช่องใหญ่เกิน</t>
  </si>
  <si>
    <t>ยานอกบัญชีควรมีราคา default และรวมราคา</t>
  </si>
  <si>
    <t>เรื่องเดียวกับ ราคา order basket</t>
  </si>
  <si>
    <t>ปุุ่มบันทึกควรอยู่ล่างขวา</t>
  </si>
  <si>
    <t>เอกสาร PA ยังไม่มี</t>
  </si>
  <si>
    <t>DF ควรคิดรวมในรายการ order กันพลาดเวลาคิดเงิน</t>
  </si>
  <si>
    <t>consult ต้อง noti แพทย์</t>
  </si>
  <si>
    <t xml:space="preserve">no notification </t>
  </si>
  <si>
    <t>เอกสารใบรับรองแพทย์น้อยไป</t>
  </si>
  <si>
    <t>อ.วิกันดา</t>
  </si>
  <si>
    <t>ดูผล lab ครมี filter อันที่ผลออกแล้ว</t>
  </si>
  <si>
    <t>นัดหมายแบบไม่ระบุแพทย์ไม่ได้</t>
  </si>
  <si>
    <t>สั่งยาระบบไม่คำนวนจำนวนเม็ดตามนัด</t>
  </si>
  <si>
    <t>ใบรับรองแพทย์ไม่มีระบุวันหยุด (หยุดถึงวันที่)</t>
  </si>
  <si>
    <t>คัดกรองพยาบาลควรสรุปสั้น ๆ ใน 1 หน้า</t>
  </si>
  <si>
    <t>เดี๋ยวไปย่อ view ให้เล็กลงเป็น 1 หน้า</t>
  </si>
  <si>
    <t>OPD note ควร auto fill มาจากพยาบาล</t>
  </si>
  <si>
    <t>auto fill ได้แค่บางอย่าง อันนี้ form + policy</t>
  </si>
  <si>
    <t>สั่งยาตัวพิมพ์ใหญ่พิมเล้กมีผล</t>
  </si>
  <si>
    <t>body chart ควรมี freetext</t>
  </si>
  <si>
    <t>Improve multimedia tools</t>
  </si>
  <si>
    <t>order ขาดการสื่อสารกับพยาบาลเช่น งดน้ำอาหาร</t>
  </si>
  <si>
    <t xml:space="preserve">Note to nurse after </t>
  </si>
  <si>
    <t>ต้องการพิมพ lab ลงไปเลยเช่น cbc,cr,eutet</t>
  </si>
  <si>
    <t>อ.รอง</t>
  </si>
  <si>
    <t>ฟอร์มคัดกรองไม่ควรมี PE กับ Triarge</t>
  </si>
  <si>
    <t>Consult กดส่งแล้วไม่ขึ้นอะไรต่อเลย</t>
  </si>
  <si>
    <t>รคส. ถ้าให้ approve แปลว่าจะต้องมี action ต่อ หรือถ้าจะเป็น Log บอกอย่างเดียว ก็ไม่ควรมีออกแบบให้ Approve แต่ควรใส่หมายเหตุได้</t>
  </si>
  <si>
    <t>ไม่่มีประวัติปกปิด</t>
  </si>
  <si>
    <t xml:space="preserve">ไม่มีีฟอร์มของคลินิกสุขภาพใจ </t>
  </si>
  <si>
    <t>นักวิชาการสาธารณสุขชำนาญการ</t>
  </si>
  <si>
    <t>ช่อง virtual sign น้ำหนัก  ส่วนสูงควรมีเพียงแค่ บรรทัดเดียว</t>
  </si>
  <si>
    <t>ก็ควร</t>
  </si>
  <si>
    <t>สร้างนัดหมาย Clinic  สามารถสร้าง Note &amp; Remark เป็นแบบแพทเทิน ให้เลือก ว่างดน้ำ งดอาหาร แล้ว popup ก็เด้งและสามารถทำ free text ได้</t>
  </si>
  <si>
    <t>มันคือ Template แนะนำในช่อง Free text มะ</t>
  </si>
  <si>
    <t xml:space="preserve">การฟิลเตอร์เปรียบเทียบไม่รู้คำศัพท์ผลแล็ป ในช่อง search </t>
  </si>
  <si>
    <t>Lab result</t>
  </si>
  <si>
    <t>ผล Patho มุมมองกว้างไป (UI)</t>
  </si>
  <si>
    <t>ตอนนี้ช่อง HTML มันไม่ล็อคขนาด ในอนาคตจะมาปัญหานะ</t>
  </si>
  <si>
    <t>หน้า virtual sign อยากให้มีภาษาไทยในหน้าคัดกรองด้วย</t>
  </si>
  <si>
    <t>ประวัติโรคในครอบครัวกรอกข้อมูลในครั้งแรก ถ้าหากผู้ป่วยมาในครั้งถัดไปควร default ให้ได้หรือไม่?</t>
  </si>
  <si>
    <t xml:space="preserve">Static history must be kept in patient demographic </t>
  </si>
  <si>
    <t>Vaccine screen ควรดึงข้อมูลมาแสดงเวลาแพทย์สั่ง</t>
  </si>
  <si>
    <t>หน้าฟอร์มคัดกรอง Vaccine screen อยากให้มีปุ่ม link ไปยังหน้าประวัติการฉีดยา</t>
  </si>
  <si>
    <t>ปุ่ม save หน้าคัดกรองควรอยู่ข้างล่าง?</t>
  </si>
  <si>
    <t>UX</t>
  </si>
  <si>
    <t>med reconcile เวลาบันทึกแล้วจะไปแสดงตรงไหน?</t>
  </si>
  <si>
    <t>ราคาไม่น่าจะแก้ราคาได้ (หัตถการ)</t>
  </si>
  <si>
    <t>ประวัติ pop up ขึ้นมา สมมุติว่าอายุ 35 ปี ควรฉีดวัคคซีนอะไร หรือตรวจโรคอะไร</t>
  </si>
  <si>
    <t>ไม่มีใบนัดหมายการตรวจ LAB print ออกมาเมื่อมีการนัดให้ผู้ป่วยให้มาตรวจ LAB ในครั้งต่อไป</t>
  </si>
  <si>
    <t>กฤตยชญ์</t>
  </si>
  <si>
    <t>หน้าดูผลข้อมูล Lab filter search ยังไม่สามารถ search แล้วขึ้นหน้าข้อมูลที่ต้องการได้</t>
  </si>
  <si>
    <t>Result ยังเป็น Free text แต่ช่อง Search เป็น Order</t>
  </si>
  <si>
    <t>พี่อ้วน</t>
  </si>
  <si>
    <t>พยาบาล</t>
  </si>
  <si>
    <t>กรณีห้องหัตถการ (มีหน้าที่ฉีดยา ทำแผล ให้เลือด) ไม่มีแพทย์ประจำห้อง แต่หัตถการที่ทำออเดอร์หลังตรวจมา พยาบาลส่วนนี้จะต้อง take note สิ่งที่เกิดขึ้นกับคนไข้ (อาจจะเป็นหลังจากที่ทำหัตถการไปแล้ว) หรือกรณีที่ไม่มีเลือดจ่าย ก็จะต้องนัดภายหลังได้ , ต้อง print ใบ lab ได้</t>
  </si>
  <si>
    <t>เช็ค Req กับ Activity อีกที</t>
  </si>
  <si>
    <t>พี่ปุณยาพร พี่กานติศา</t>
  </si>
  <si>
    <t xml:space="preserve">พยาบาล </t>
  </si>
  <si>
    <t>แผนกตา,ประกันสังคม</t>
  </si>
  <si>
    <t xml:space="preserve">ในส่วนแพ้ยา พี่พยาบาลต้องสามารถที่จะลงประวัติการแพ้ยาได้ตั้งแต่การซักประวัติ </t>
  </si>
  <si>
    <t>ฟอร์มคัดกรองทำไมไม่มีลงแพ้ซักที พูดจนปากจะฉีก</t>
  </si>
  <si>
    <t>ตัวยา ยส (ยาเสพติด) หมอจะเขียนเอกสารที่ชื่อว่าใบยส. ยาเสพติดควบคุมเฉพาะราย แล้วส่งแนบไปพร้อมกับส่งข้อความไประบบด้วย (ถ้าต้องการเอกสารเพิ่มเติมอันนี้ลองขอที่ศัลยกรรม)</t>
  </si>
  <si>
    <t>เพิ่ม form - mark addictive true</t>
  </si>
  <si>
    <t>พี่มด</t>
  </si>
  <si>
    <t>ออโธ</t>
  </si>
  <si>
    <t>อยากได้ช่องที่รวมยอดทุกยอดไว้ว่าจำนวนค่าใช้จ่ายเท่าไหร่ (เนื่องจากคนไข้เงินสดมักถามยอดรวมก่อน)</t>
  </si>
  <si>
    <t>มี Design แล้ว ใครทำ</t>
  </si>
  <si>
    <t>ชนกสุดา ช่างทองคำ</t>
  </si>
  <si>
    <t>เวชกรรมสังคม</t>
  </si>
  <si>
    <t>กรณีลงชุมชน อยากเห็นภาพตั้งแต่คนไข้ walk-in มาจนถึงเลือกแพทย์ได้</t>
  </si>
  <si>
    <t>permission nurse for reception</t>
  </si>
  <si>
    <t>อยากให้มีการ set form ไม่ต้องพิมพ์ note หลายๆ ครั้ง</t>
  </si>
  <si>
    <t>ต้องที Template มั้ยล่ะ</t>
  </si>
  <si>
    <t>หน้าดูผล IMG รายละเอียดผลตรวจดูเยอะเกินไป</t>
  </si>
  <si>
    <t>หน้าดูข้อมูลผล Lab ส่วนสามารถใช้ filter เพื่อทำการกรองข้อมูล ส่วนนี้ทำเป็น dropdown หรือทำปุ่มค้นหา search lab ได้ไหม</t>
  </si>
  <si>
    <t xml:space="preserve">หน้าดูข้อมูลผล lab ส่วนตรวจสอบข้อมูล Lab patho การแสดงผลแล็บดูแคบ อยากปรับให้กว้างขึ้น </t>
  </si>
  <si>
    <t>หน้าดูผล lab ส่วนตรวจสอบข้อมูลผล lab patho การแสดงผล lab ดูแคบอยากให้ปรับกว้างขึ้นเพื่อการ copy ลงประวัติ</t>
  </si>
  <si>
    <t xml:space="preserve">หน้าคัดกรองพยาบาล ส่วนการคัดกรองของพยาบาล ต้องกรอกข้อมูลทุกครั้งที่มารพ.ไหม การเซ็ตให้ข้อมูลบางอย่างให้ขึ้นมาอยู่ตลอด และมีวันที่คัดกรองล่าสุดเช่นประวัติคนในครอบครัว </t>
  </si>
  <si>
    <t>หน้าดูประวัติการรักษาของคนไข้ ส่วนตรวจสอบข้อมูลประวัติการรักษา อยากเห็นภาพหน้าสรุปที่้ข้อมูลสีเทาสั้นกว่านี้</t>
  </si>
  <si>
    <t>ซ้ำ</t>
  </si>
  <si>
    <t>หน้าการ Order,view,edit,delete หัตถการ ส่วนการเพิ่มประวัติการฉีดวัคซีน อยากให้ช่วยเพิ่ม link จากการส่งฉีดวัคซีนที่รพ.</t>
  </si>
  <si>
    <t>ประวัติวัคซีนมีในระบบแล้วไม่ต้องขึ้น intranet</t>
  </si>
  <si>
    <t>หน้าการให้บริการคนไข้หลังพบแพทย์(คนไข้กลับบ้าน) ส่วนปริ้นท์เอกสารต่างๆ อยากให้เพิ่มปุ่ม download เป็น pdf ได้</t>
  </si>
  <si>
    <t>OPD Noteหายไป เช่นตอนเปิดประวัติการรักษาคู่กับOPD</t>
  </si>
  <si>
    <t>อ.อารัก</t>
  </si>
  <si>
    <t>ใบรับรองแพทย์</t>
  </si>
  <si>
    <t>ใบรับรองแพทย์ ทำเป็นradio button เพื่อลดการคลิก หรือ Dropdown Defaultเป็นประเภทใบรับรองแพทย์สำหรับหยุดงาน เนื่องจากคนมาขอเยอะ</t>
  </si>
  <si>
    <t>ประวัติผลLab  ปัจจุบันเขาดูย้อนหลัง5ปี</t>
  </si>
  <si>
    <t>Order กดเลือกรายการแล้วกดEnterเลยได้ไหม ไม่ต้อเอาเมาส์ไปกดเอง (ตอนนี้ถ้ากดEnter ยังอยู่ช่องsearch)</t>
  </si>
  <si>
    <t>ux</t>
  </si>
  <si>
    <t>หัตถการพัมพ์เป็นFree text ส่วนเรื่องItem ให้ห้องหัตถการเป็นคนKeyเอง</t>
  </si>
  <si>
    <t>รคส.</t>
  </si>
  <si>
    <t>หน้ายืนยันรคส. ควรมีส่วนระบุว่าคนไข้เป็นไรมาถึงสั่งยารคส.นี้ หรือ</t>
  </si>
  <si>
    <t>Verify รคส</t>
  </si>
  <si>
    <t>หน้าจอควร default ส่วนตัวตามแพทย์ได้</t>
  </si>
  <si>
    <t>อยาก set widget เอง</t>
  </si>
  <si>
    <t>OPD note dx ให้เขียนเพิ่มได้เลยไม่ต้องกด +</t>
  </si>
  <si>
    <t>copy ประวัติเก่า สำคัญมาก</t>
  </si>
  <si>
    <t>ไม่สามารถทำหัตถการได้ เช่น ID ควรใส่ free text ได้ เพราะมีความหลากหลายมาก</t>
  </si>
  <si>
    <t>นัดหมายควร default clinic ตัวเองก่อน</t>
  </si>
  <si>
    <t>นัดหมายช่องที่มีดอกจันทร์ควร default เลย</t>
  </si>
  <si>
    <t>รคส ควรมี Link กดเข้าไปดูประวัติผู้ป่วยด้วย</t>
  </si>
  <si>
    <t>อ.สิทธินันท์</t>
  </si>
  <si>
    <t>หน้า OPD note ข้อมูลโหลดนาน</t>
  </si>
  <si>
    <t>ควรมี Perfomance test นะ</t>
  </si>
  <si>
    <t>หน้า OPD Note ส่วนการลงข้อมูลการรักษา มี V/S ไม่ครบก็กลายเป็นสีเขียว</t>
  </si>
  <si>
    <t>น่าจะไม่ได้ทำมา</t>
  </si>
  <si>
    <t>หน้า OPD Note ไม่มีกราฟ V/S</t>
  </si>
  <si>
    <t>ไปสำคัญใน IPD</t>
  </si>
  <si>
    <t>หน้า OPD Note การดูประวัติเดิมมี error และ bug</t>
  </si>
  <si>
    <t>หน้า OPD 100/90 ขึ้นแดงเพราะ?</t>
  </si>
  <si>
    <t>config</t>
  </si>
  <si>
    <t>การเปลี่ยน V/S ไม่ Real time</t>
  </si>
  <si>
    <t>ข้อมูล BP 57/41 ลงไม่ได้ ถ้า shock จะบันทึกอย่างไร หรือรู้อย่างไร</t>
  </si>
  <si>
    <t xml:space="preserve">ส่วน consult ส่วนการตอบกับการ consult ที่ได้รับ การแสดงผลที่มีงานค้างควรมีการแสดง , การเบิกใบตอบ consult </t>
  </si>
  <si>
    <t>หน้าตรวจสอบข้อมูลคำสั่ง รคส. ควรปฏิเสธได้ หมายเหตุได้ รคสจากภายนอกได้</t>
  </si>
  <si>
    <t>อ.กิ๊บ</t>
  </si>
  <si>
    <t>หน้าดูข้อมูลผล IMG กรองข้อมูลไม่ได้</t>
  </si>
  <si>
    <t>หน้าดูข้อมูลผล Lab แยก lab ออกจากกันด้วย</t>
  </si>
  <si>
    <t>หน้าเปรียบเทียบผล lab ดูยาก</t>
  </si>
  <si>
    <t>เอา v/s bmi ใน OPD Note ออก เพราะมีที่มุมบนแล้ว แต่เก็บ Body chart ไว้</t>
  </si>
  <si>
    <t xml:space="preserve">ข้อมูลคัดกรองพยาบาลที่เปิดจาก side bar ซ้ายมือ ควรดูได้อย่างเดียวแต่ห้ามแก้ไข </t>
  </si>
  <si>
    <t>view</t>
  </si>
  <si>
    <t>ทุกอย่างควร defult ใส่ข้อมูลครั้งล่าสุดที่คนไข้มาเติมเอาไว้ แล้วก็ควรมียาเดิมไว้ พยายามให้เติมให้น้อยที่สุด scroll ให้น้อยที่สุด</t>
  </si>
  <si>
    <t>too ha®d</t>
  </si>
  <si>
    <t>ข้อมูลเชื้อดื้อยา ขึ้น</t>
  </si>
  <si>
    <t>หน้า patient banner ต้องรันหน้า OPD Note เป็นหลัก scroll ให้น้อยที่สุด</t>
  </si>
  <si>
    <t>การ order สั่งยาก ซ้ำซ้อน ปุ่มห่างกันเกินไป เลื่อนมือเยอะตอนสั่ง + ควร Auto คำนวณจำนวณจ่ายตามวันนัด</t>
  </si>
  <si>
    <t>อ.ออโถ ข้างประตูหลัง(บ่าย)</t>
  </si>
  <si>
    <t>ประวัติการรักษา ส่วนของOPD Note หรือ ฟอร์มคัดกรอง อยากให้แสดงเฉพาะข้อมูลที่กรอก อันไหมไม่กรอกไม่ต้องเอามาแสดง (หน้าหมอดูฟอร์มคัดกรองด้วย)</t>
  </si>
  <si>
    <t>อ.วนิชชา</t>
  </si>
  <si>
    <t>หน้าดูผล Lab ส่วนเปรียบเทียบผล lab มีจำนวนครั้งลิมิตไหม การแสดงผลเปรียบเทียบย้อนหลังได้กี่ปี 5 ปี?</t>
  </si>
  <si>
    <t>รอ test ระบบ custom ให้เหมาะกับแต่ละคลินิก</t>
  </si>
  <si>
    <t>อยากให้พยาบาลลง med-reconcile ได้แล้วโชว์ที่หน้าแพทย์ OPD ให้หมอ</t>
  </si>
  <si>
    <t>เฉพาะ OPD สูติ รอ test</t>
  </si>
  <si>
    <t>วิธีการใช้ยาอยากให้ขึ้น standard อัตโนมัติว่าใช้ยังไงโดยไม่ต้องกรอก แต่แก้ไขได้</t>
  </si>
  <si>
    <t>อยากให้ล็อคสั่งยาไม่ได้ถ้ายังไม่เช็คข้อมูล</t>
  </si>
  <si>
    <t>เพิ่มปุ่มทำ lab มากับวันนัด</t>
  </si>
  <si>
    <t>ดึง chief complaint มาจากที่ลงประวัติ ส่วน admit request พยาบาลเป็นคนกรอก</t>
  </si>
  <si>
    <t>อยากให้พอคลิก consult แล้วขึ้นเป็นหน้า consult เลย ตอนนี้ไม่ใช่</t>
  </si>
  <si>
    <t>ดึง Dx มาลงเลยไม่ต้องกรอกใหม่</t>
  </si>
  <si>
    <t>to recheck</t>
  </si>
  <si>
    <t>กัลยาณ์</t>
  </si>
  <si>
    <t>ดูผล IMG filter ไม่ได้ ข้อมูลมาทุก modality</t>
  </si>
  <si>
    <t>ข้อมูล lab วันที่ใน column + วันที่ lab ไม่ตรงกัน</t>
  </si>
  <si>
    <t xml:space="preserve">ไม่มีชุดคำสั่ง order </t>
  </si>
  <si>
    <t>order set</t>
  </si>
  <si>
    <t>Refill Med</t>
  </si>
  <si>
    <t>สร้างนัดหมายคนไข้ fefill ได้แต่ต้องใส่จำนวนทุกครั้งที่ refill ไม่คำนวนอัตโนมัติ</t>
  </si>
  <si>
    <t>ไม่มีนัดหมาย refill</t>
  </si>
  <si>
    <t>ไม่ใช่Bug ไม่มีอยู่แล้ว</t>
  </si>
  <si>
    <t>ประวัติผู้ป่วย</t>
  </si>
  <si>
    <t>เพิ่ม U/D ไม่ได้</t>
  </si>
  <si>
    <t>แจ้งเตือนคนไข้แพ้ตามประวัติผลการประเมินควรแบ่งเป็น posible, probable, certain</t>
  </si>
  <si>
    <t>ux wording</t>
  </si>
  <si>
    <t>refer auto fill ขอมูล</t>
  </si>
  <si>
    <t>อ.กฤตยชญ์</t>
  </si>
  <si>
    <t>ตรวจสอบข้อมูลผล LAB Filter Search พิมพ์ชื่อ LAB แล้วไม่แสดงข้อมูล</t>
  </si>
  <si>
    <t>อยากให้ Auto Clear Text หลังจาก search แล้ว Click ชื่อที่ต้องการแล้ว เพราะ Text ที่พิมพ์ไม่หายไปเอง (LAB)</t>
  </si>
  <si>
    <t>การลงข้อมูลการรักษา ระบบ พิมพ์คำ Default ผิด "Extremities"</t>
  </si>
  <si>
    <t>อ.รวิพล</t>
  </si>
  <si>
    <t>ในการสั่งยาต้องควรทำให้พิมพ์แบบอื่นได้เช่น 1 tab per tid po และ 1x3 po pc</t>
  </si>
  <si>
    <t>sign คือ ส่งคำสั่งใช่หรือไม่?</t>
  </si>
  <si>
    <t>yes</t>
  </si>
  <si>
    <t>การสร้าง consult request เพื่อทำการปรึกษาแพทย์ท่านอื่น ถ้า ER จะไม่ได้ Consult คลีนิก จะเป็นแพทย์เวร แพทย์ที่ได้รับมอบหมายจะแก้ไขอย่างไร</t>
  </si>
  <si>
    <t>no ER now</t>
  </si>
  <si>
    <t>ใบรับรองแพทย์ ควรให้เลือกวันที่ลา + จำนวนวันที่ลา</t>
  </si>
  <si>
    <t>ข้อมูลการให้วัคซีนระบบน่าจะเชื่อถึงการดึง record vaccine ใน OPD Chart</t>
  </si>
  <si>
    <t>ต่อจาก MOPH ด้วยซ้ำ</t>
  </si>
  <si>
    <t>การทำ med reconcile ไม่ได้ใช้</t>
  </si>
  <si>
    <t>ข้อมูลประวัติการรักษา ควร Default เป็นสีเทา ไม่ควรให้แก้ไข</t>
  </si>
  <si>
    <t>สั่งยากลับบ้าน Nurse ไม่ได้ใช้</t>
  </si>
  <si>
    <t>สั่งยา Stat Nurse ไม่ได้ใช้</t>
  </si>
  <si>
    <t>สั่งยานอกบัญชี หรือยาประเภทอื่นๆ (A-F) Nurse ไม่ได้ใช้</t>
  </si>
  <si>
    <t>ในหน้า Discharge Summary ต้องการทราบ รายจ่ายรวมทั้งหมดเป็นหน้าเดียว จะได้แจ้ง คชจ.ผู้ป่วยได้</t>
  </si>
  <si>
    <t>dup</t>
  </si>
  <si>
    <t>การตั้งค่าตารางตรวจแพทยพ์ (ปชส.ทำ)</t>
  </si>
  <si>
    <t>Policy ระบุ หัวหน้าแผนกทำ (Permission)</t>
  </si>
  <si>
    <t>ตั้งค่าวันหยุดแพทย์ (ศูนย์คอม ทำ)</t>
  </si>
  <si>
    <t>กรณีข้อมูล ต่ำกว่าเกณฑ์ ต้องลงได้ (V/S)</t>
  </si>
  <si>
    <t>ค่า V/S ครวจะเช็ค ข้อมูลครบไม่ครบด้วย ไม่ใช่แค่ค่าใดค่านึง</t>
  </si>
  <si>
    <t>เพิ่มกราฟ ในการดู V/S</t>
  </si>
  <si>
    <t>ไม่ควรสร้างนัดหมายหลังจาก ที่คนไข้มา เช็คอิน ตามเวลานัดหมายของตัวเองแล้ว (นัดหมาย)</t>
  </si>
  <si>
    <t>serious</t>
  </si>
  <si>
    <t>เลือก อื่นๆ ควร กรอกข้อมูลได้ด้วย (นัดหมาย)</t>
  </si>
  <si>
    <t>improvement</t>
  </si>
  <si>
    <t>ต้อง custom ตามคลีนิคได้ (Opd note)</t>
  </si>
  <si>
    <t>เพิ่มดูเปรียบเทียบ ในรายการนั้นๆที่ต้องการดู (LAB)</t>
  </si>
  <si>
    <t>Noti ว่ามีรายการ ปรึกษา ที่ถูกส่งมา หรือ มีการตอบกลับมา (Consult)</t>
  </si>
  <si>
    <t>เพิ่มการทำนัดหมายในหน้า ตอบกลับ (Consult)</t>
  </si>
  <si>
    <t>กดเพิ่ม แล้ว เปิดแท็ปใหม่ (Consult)</t>
  </si>
  <si>
    <t>ต้องสามารถลงหมายเหตุได้ ตอนกด approve (รคส)</t>
  </si>
  <si>
    <t>Order Checklist</t>
  </si>
  <si>
    <t>Img/lab check list เลือกวันอื่นไม่ได้</t>
  </si>
  <si>
    <t>ควร free text ได้refer ต้องมี หมายเลข1 (หัตถการ)</t>
  </si>
  <si>
    <t>need to get req more</t>
  </si>
  <si>
    <t>refer ต้องมี เอกสารหมายเลข1</t>
  </si>
  <si>
    <t>อมรรัตน์</t>
  </si>
  <si>
    <t>ใบบันทึกข้อความ ควรอยู่ในเอกสาร + ใบ Referป</t>
  </si>
  <si>
    <t>ใบ Refer ขอ Drop down ดึงข้อมูลที่อยู่</t>
  </si>
  <si>
    <t>recheck</t>
  </si>
  <si>
    <t>การแก้ไข แพ้ยาควรใส่ผลประเมิน + Serverity + เภสัช Confirm + จนถึงการแพ้ยาอื่นๆ</t>
  </si>
  <si>
    <t>Verify allergy</t>
  </si>
  <si>
    <t>ประวัติ Cardio สำคัญ</t>
  </si>
  <si>
    <t>มีเมนูแล้ว ข้างในมียัง</t>
  </si>
  <si>
    <t>พี่อ้อยสั่ง รคส. โดยไม่ Approve</t>
  </si>
  <si>
    <t>Permission for inw nurse</t>
  </si>
  <si>
    <t>คนไข้ CT ค่าไตเกิน --&gt; เซ็นต์ยาที่จ่ายเอง</t>
  </si>
  <si>
    <t>copay paper</t>
  </si>
  <si>
    <t>ศรัณย์</t>
  </si>
  <si>
    <t xml:space="preserve">ประวัติผู้ป่วย อยากให้เพิ่ม Palliation status + ไฟล์เอกสาร living will </t>
  </si>
  <si>
    <t>U/D ยังติด bug ลงข้อมูลแล้วไม่ขึ้นข้อมูลด้านบน</t>
  </si>
  <si>
    <t>ประวัติการรักษา อยากให้เปรียบเทียบประวัติแต่ละครั้งได้</t>
  </si>
  <si>
    <t xml:space="preserve">order แบบประเมิน, ตรวจอื่นๆ เช่น VA,TUBT การตรวจคัดกรองเช่น HBN,HCV,SY ลงผลตรงไหน </t>
  </si>
  <si>
    <t>V/S ควรบันทึกเวลาได้ แบบตอน form graphic sheet IPD</t>
  </si>
  <si>
    <t>CT image ไม่รู้จะได้ห้องวันไหน การจองห้อง OR</t>
  </si>
  <si>
    <t>อ.แอ้</t>
  </si>
  <si>
    <t xml:space="preserve">เปรียบเทียบ lab อยากได้เป็นกราฟ </t>
  </si>
  <si>
    <t>พาโถอยากให้ขึ้นวันที่ collective date ตรงหน้า list ให้</t>
  </si>
  <si>
    <t>ฟอร์มคัดกรองให้สรุปมาไว้บน OPD Note</t>
  </si>
  <si>
    <t>"การตรวจของฉัน" ในประวัติการรักษาหายไป</t>
  </si>
  <si>
    <t>BMI ถ้าเกิดก็ควรขึ้น</t>
  </si>
  <si>
    <t>แต่ละหัวข้อไม่มี bullet เช่น นัดหมาย สั่งยา เลยมองไม่เห็นชัด</t>
  </si>
  <si>
    <t xml:space="preserve">เอกสารประกอบการสั่งยาต้องเด้ง pop up เลย </t>
  </si>
  <si>
    <t xml:space="preserve">ยาซ้ำถ้าซ้ำตะกร้าไม่ต้องมีเหตุผลให้ใส่ ให้ยกเลิกออเด้อ </t>
  </si>
  <si>
    <t>cross check ยาซ้ำข้ามคลินิก</t>
  </si>
  <si>
    <t>order ตอนแสดง list รายการให้เลือก เมาส์มักจะเลื่อนอยู่ล่างสุด ควรจะเป็นต้น lsit</t>
  </si>
  <si>
    <t>สั่งคำสั่งถ้าสั่งไปแล้ว icon ควรเปลี่ยนสีว่าสั่งแล้ว ไม่งั้นสั่งซ้ำได้ และมี pop up แจ้งเตืนอว่าสั่งไปแล้วหรือโดน lock ไปแล้ว</t>
  </si>
  <si>
    <t>สั่งฉีดยา activity ควรมี dafault ยาที่ใช้ในการฉีดไปด้วย</t>
  </si>
  <si>
    <t>คำนำหน้าควรเป็นนายแพทย์ แพทย์หญิง</t>
  </si>
  <si>
    <t>consult ต้องเป็นส่งเข้าห้องพยาบาล เพราะ consult ที่ต้องเจอคนไข้ lsit consult จะต้องไปอยู่พี่พยาบาลเพื่อจัดการจัดเข้าห้องหมอ &gt; บัตรนัด consult</t>
  </si>
  <si>
    <t xml:space="preserve">ใบรับรองแพทย์ขอให้เลือกภาษาได้ </t>
  </si>
  <si>
    <t>แก้ไขใบรับรองแพทย์ควรแก้ไขได้ในหน้าฝั่งขวาตั้งแต่กดบันทึก ไม่ต้องไปกดดูที่หน้าเอกสาร</t>
  </si>
  <si>
    <t>ข้อมูลเอกสารเก่าๆไม่ควรแก้ไขได้</t>
  </si>
  <si>
    <t>วัคซีนควรสแกน bar code ได้</t>
  </si>
  <si>
    <t>รคส ต้องการทราบว่าใครมาใช้ชื่อเรา</t>
  </si>
  <si>
    <t>อ.บุ๋ม</t>
  </si>
  <si>
    <t xml:space="preserve">อนาคตอยากเพิ่มเติมอาการที่ตรวจบ่อยๆ เข้าไปใน suggestion  </t>
  </si>
  <si>
    <t xml:space="preserve">หากแพทย์สั่งยาตัวเดียวกันแต่คนละวันต้องมีปรากฎเตือนว่าสั่งไปแล้ว </t>
  </si>
  <si>
    <t>หาก re-med แล้วยาซ้ำกับแพทย์ท่านอื่นก่อนหน้านี้จะต้องแจ้งเตือนด้วยแต่หากแพทย์ต้องการแก้ไขวิธีการใช้ยา เช่น คนไข้เป็นโรคหัวใจเแพทย์ทำการเปลี่ยนจากยา ลาซิก40 กับ ลาซิก 500 จะมีการสื่อสารกับแพทย์อีกท่านอย่างไรว่ายาถูกปรับขนาดแล้ว</t>
  </si>
  <si>
    <t>ขอเพิ่ม order set ด้วยตนเอง เช่น พัทธนันท์1 พัทธนันท์2 เป็นต้น</t>
  </si>
  <si>
    <t>master data ลงข้อมูลให้เรียบร้อย</t>
  </si>
  <si>
    <t>ปัจจุบันพี่หัตถการไตเทียมเป็นคนคีย์ให้ด้วย treatment code ทั้งหมดเลย</t>
  </si>
  <si>
    <t xml:space="preserve">master data ไม่ครบ </t>
  </si>
  <si>
    <t>กรณีทำหัตการแล้วต้องสั่ง Lab ด้วย เช่น เจาะก้อนที่คอ แล้วจะต้องมีสั่ง Lab cyto ด้วย ปรกติพยาบาลหลังตรวจเป็นคนกด Lab ให้ แต่จะต้องมีใบสั่ง Lab cyto ด้วย -&gt; กรณีนี้ใครจะเป็นคนสั่ง</t>
  </si>
  <si>
    <t>request diagnosis เป็น free text</t>
  </si>
  <si>
    <t>สรุปประเด็น (Consolidated)</t>
  </si>
  <si>
    <t>รายละเอียด</t>
  </si>
  <si>
    <t>แก้ไขเสร็จใน</t>
  </si>
  <si>
    <t>Update</t>
  </si>
  <si>
    <t>คำแนะนำเพิ่มเติม</t>
  </si>
  <si>
    <t>จำนวนที่แจ้ง</t>
  </si>
  <si>
    <t>อ้างอิง no. เดิม</t>
  </si>
  <si>
    <t>SBH</t>
  </si>
  <si>
    <t xml:space="preserve">Internal </t>
  </si>
  <si>
    <t xml:space="preserve">External </t>
  </si>
  <si>
    <t>Core team</t>
  </si>
  <si>
    <t>comment from md team 27/5 &amp; 6/6</t>
  </si>
  <si>
    <t>Plan</t>
  </si>
  <si>
    <t>assign to design team</t>
  </si>
  <si>
    <t>Filter &amp; Search ผล Lab ใช้งานไม่ได้ / ค้นหาแล้วไม่ขึ้นข้อมูล</t>
  </si>
  <si>
    <t>หน้า Lab result ในส่วนช่อง search ตัวประเภท Lab เคยที่ส่งตรวจ อนาคตอยากให้กรองได้ตามประเภทของ Lab</t>
  </si>
  <si>
    <t>Before Go-live</t>
  </si>
  <si>
    <t>To-do</t>
  </si>
  <si>
    <t>กำลังอยู่ระหว่างการดำเนินการเพิ่มเติมตามข้อเสนอแนะ</t>
  </si>
  <si>
    <t>กำลังอยู่ระหว่างการดำเนินการ</t>
  </si>
  <si>
    <t>ต้องแก้ที่ root cause: ทำให้ Result ID ผูกกับ Order ID / LIS ต้องส่งรหัส order กลับมาด้วย. ระยะสั้น: ทำ filter แบบ dropdown ตามกลุ่ม Lab. เพิ่ม Auto-clear text หลังเลือกผลแล้ว.</t>
  </si>
  <si>
    <t>https://linear.app/cortexcloud/issue/SBH-642/emrlab-result-filter-and-search-ผล-lab-ใชงานไมได-คนหาแลวไมขนขอมล</t>
  </si>
  <si>
    <t>4, 14, 161, 173, 181, 238</t>
  </si>
  <si>
    <r>
      <rPr>
        <sz val="11"/>
        <color rgb="FF000000"/>
        <rFont val="Aptos Narrow"/>
        <scheme val="minor"/>
      </rPr>
      <t xml:space="preserve">filter lab เชื่อมกับ order อยู่ แต่ยังไม่เชื่อม LIS
แก้ด้วยการ sync กับ Order ID 
</t>
    </r>
    <r>
      <rPr>
        <sz val="11"/>
        <color rgb="FFFF0000"/>
        <rFont val="Aptos Narrow"/>
        <scheme val="minor"/>
      </rPr>
      <t xml:space="preserve">migration ผล labเก่า  ยังไม่มี 
</t>
    </r>
    <r>
      <rPr>
        <sz val="11"/>
        <color rgb="FF000000"/>
        <rFont val="Aptos Narrow"/>
        <scheme val="minor"/>
      </rPr>
      <t xml:space="preserve">ผูก master data แล้ว แต่ยังดึงผ่านการ search ไม่ได้ 
</t>
    </r>
    <r>
      <rPr>
        <sz val="11"/>
        <color rgb="FFFF0000"/>
        <rFont val="Aptos Narrow"/>
        <scheme val="minor"/>
      </rPr>
      <t>ต้องมีให้ test before go live</t>
    </r>
  </si>
  <si>
    <t>to complete</t>
  </si>
  <si>
    <t>ไม่มี filter ในหน้าผล Lab / filter เฉพาะรายการที่ผลออกแล้ว</t>
  </si>
  <si>
    <t>หน้าผล Lab ไม่มี filter ถ้ามีจะดูง่ายขึ้น; อยากให้ filter เฉพาะรายการที่ผลออกแล้วได้.</t>
  </si>
  <si>
    <t>Completed</t>
  </si>
  <si>
    <t>เพิ่ม filter ในหน้าผล Lab รวมถึงตัวกรองสถานะ 'ผลออกแล้ว'.</t>
  </si>
  <si>
    <t>38, 142</t>
  </si>
  <si>
    <r>
      <rPr>
        <sz val="11"/>
        <color rgb="FF000000"/>
        <rFont val="Aptos Narrow"/>
        <scheme val="minor"/>
      </rPr>
      <t xml:space="preserve">filter ตาม lab type/group 
</t>
    </r>
    <r>
      <rPr>
        <sz val="11"/>
        <color rgb="FFFF0000"/>
        <rFont val="Aptos Narrow"/>
        <scheme val="minor"/>
      </rPr>
      <t>ตาม status ไม่เอาแล้ว</t>
    </r>
  </si>
  <si>
    <t>to complete
update to card</t>
  </si>
  <si>
    <t>report time / timestamp ของผล Lab</t>
  </si>
  <si>
    <t>อยากให้เพิ่มเวลา report time ในผล Lab.</t>
  </si>
  <si>
    <t>กำลังอยู่ระหว่างการดำเนินการ เพิ่ิ่ม report time ตาม feedback</t>
  </si>
  <si>
    <t>เพิ่มฟิลด์เวลาออกผลในการแสดงผล Lab.</t>
  </si>
  <si>
    <t>https://linear.app/cortexcloud/issue/SBH-643/emrlab-result-report-time-timestamp-ของผล-lab</t>
  </si>
  <si>
    <t xml:space="preserve"> -</t>
  </si>
  <si>
    <t>ตัวหนังสือผล Lab ตัดตก / mockup data ไม่คมชัด-ไม่พอ</t>
  </si>
  <si>
    <t>ตัวหนังสือในผล Lab ตัดตกทำให้คำอ่านขาด (เช่น 'หมายเหตุ' กลายเป็น 'หมา'+'ยเหตุ'). mockup data ยังไม่ดีพอ ทำให้ประเมินการแสดงผลจริงไม่ได้.</t>
  </si>
  <si>
    <t>กำลังอยู่ระหว่างการดำเนินการ set up text display</t>
  </si>
  <si>
    <t>เตรียม mockup data ชุดใหม่ที่สมจริง/ครบกว่าเดิม และแก้ CSS ของช่องผลให้ไม่ตัดข้อความ.</t>
  </si>
  <si>
    <t>https://linear.app/cortexcloud/issue/SBH-644/emrlab-result-lab-patho</t>
  </si>
  <si>
    <t>3, 35, 102</t>
  </si>
  <si>
    <t xml:space="preserve"> - </t>
  </si>
  <si>
    <t>UI หน้าผล Lab / Patho ขยายไม่ได้</t>
  </si>
  <si>
    <t>ฝั่ง list ผล Lab/Patho ขยายความกว้างไม่ได้ ทั้งที่ชื่อยาว, การแสดงผล Patho อยากให้ปรับเพื่อสะดวกต่อการอ่านและ copy ลงประวัติ</t>
  </si>
  <si>
    <t>กำลังอยู่ระหว่างการดำเนินการ set up test box size/display</t>
  </si>
  <si>
    <t>ช่อง HTML ของผล Patho ยังไม่ล็อกขนาด – ต้อง fix layout ให้ resize ได้ ป้องกันปัญหาในอนาคต.</t>
  </si>
  <si>
    <t>40, 163, 182, 183</t>
  </si>
  <si>
    <t>list ทางซ้ายชื่อแลปโชว์ไม่เต็ม ขอ lab no. (LN-1dajdajwfxx) อยู่ตามหลังหรืออยู่ใน report 
เอา LN ไปอยู่ตรง report พอ ช่อง list ทางซ้าย ขอเป็น ชื่อแลป+วันที่ดีกว่า
ขอปุ่ม print จากหน้านี้ด้วยได้มั้ย (ขอ ทุก Lab ที่มี report e.g. lab, patho, x-ray)
required design layout template??
due date เอาเป็น before go live** หรืออยากดูก่อนนะ อยากได้แบบตาม card
SBH 644</t>
  </si>
  <si>
    <t>update to card/ need design</t>
  </si>
  <si>
    <t>ผล Patho / ชิ้นเนื้อ – การแสดงผล</t>
  </si>
  <si>
    <t>ฝากทีมคุยกับ Patho เรื่องการแสดงผลชิ้นเนื้อเดิมว่าจะแสดงรูปแบบใด</t>
  </si>
  <si>
    <t>ได้รับตัวอย่างแล้ว กำลังอยู่ระหว่างการดำเนินการเพิ่มเติมตามข้อเสนอแนะ</t>
  </si>
  <si>
    <t>ได้รับตัวอย่างแล้ว กำลังอยู่ระหว่างการดำเนินการ</t>
  </si>
  <si>
    <t>ตั้งวงคุยกับทีม Patho เพื่อสรุป format การแสดงผล.</t>
  </si>
  <si>
    <t>แสดงผล Lab เป็นกราฟ / แนวโน้มย้อนหลัง</t>
  </si>
  <si>
    <t>อยากดูผล Lab แบบกราฟ และดูแนวโน้มย้อนหลังได้ (อ้างอิง SBH ดูย้อนหลังได้ 5 ปี)</t>
  </si>
  <si>
    <t>มีความเห็นจากทีม Design ว่าการทำ Lab แบบกราฟจะทำให้ Bias และไม่เป็นที่นิยม ในส่วนนี้อยากขอความคิดเห็นจากที่ประชุมเพิ่มเติม</t>
  </si>
  <si>
    <t>Discussion</t>
  </si>
  <si>
    <t>ทำ trend view ของ Lab; กำหนด scope ปีย้อนหลัง พิจารณาด้าน performance/limit.</t>
  </si>
  <si>
    <t>https://linear.app/cortexcloud/issue/SBH-645/emrlab-result-แสดงผล-lab-เปนกราฟ-แนวโนมยอนหลง</t>
  </si>
  <si>
    <t>15, 190</t>
  </si>
  <si>
    <t>trend graph ยังอยากได้ ยืนยัน!!
อันที่พี่ ขต concern bias</t>
  </si>
  <si>
    <t>หน้าเปรียบเทียบผล Lab – จำกัดจำนวน/ดูยาก/ปรับช่วงวันที่</t>
  </si>
  <si>
    <t>หน้าเปรียบเทียบผล Lab ดูยาก, ไม่ทราบ limit จำนวนครั้ง, อยากตั้งค่าได้ว่าเอาผลของวันไหน (scope วันที่) และเปิดดูหลาย Lab ในเมนูเดียวกรณีเทียบหลาย visit.</t>
  </si>
  <si>
    <t>ออกแบบ UI เปรียบเทียบใหม่ + ให้ผู้ใช้เลือก scope วันที่. กรณีข้อมูลเยอะต้องพิจารณา paging vs scroll และ performance. ทำ icon เปิด new tab สำหรับเทียบหลาย visit.</t>
  </si>
  <si>
    <t>https://linear.app/cortexcloud/issue/SBH-646/emrlab-result-หนาเปรยบเทยบผล-lab</t>
  </si>
  <si>
    <t>112, 119, 212, 220, 260</t>
  </si>
  <si>
    <t>need search with multi select 
set default as preference
รอช่อง search ใช้ได้ (ข้อ 2 - SBH-642)</t>
  </si>
  <si>
    <t>update to card/ need design
ส่วนอื่นๆ ใน feedback น่าจะต้อง work around/ ยังต้องคุยกับโต๊ะ</t>
  </si>
  <si>
    <t>การแสดงผล Lab – เลือกดูทีละรายการ / เช็คตำแหน่งคอมเมนต์</t>
  </si>
  <si>
    <t>อยากเลือกดูผล Lab ทีละตัว (เป็น item) ได้, และต้องการความชัดเจนว่าคอมเมนต์ผล Lab แสดงตรงไหน (ที่ตัวผลหรือด้านล่าง)</t>
  </si>
  <si>
    <t>ระบุตำแหน่ง comment ให้ชัดในดีไซน์ และเพิ่มโหมดเลือกดูทีละรายการ.</t>
  </si>
  <si>
    <t>https://linear.app/cortexcloud/issue/SBH-649/emrlab-result-comment-ผล-lab</t>
  </si>
  <si>
    <t>34, 37</t>
  </si>
  <si>
    <r>
      <rPr>
        <sz val="11"/>
        <color rgb="FF000000"/>
        <rFont val="Aptos Narrow"/>
        <scheme val="minor"/>
      </rPr>
      <t xml:space="preserve">Thought Bubble ที่อยู่ตามค่า lab ย่อยๆ ไม่เอาแล้ว
แบบไม่เปรียบเทียบ
    </t>
    </r>
    <r>
      <rPr>
        <sz val="11"/>
        <color rgb="FFFF0000"/>
        <rFont val="Aptos Narrow"/>
        <scheme val="minor"/>
      </rPr>
      <t xml:space="preserve">comment ควรอยู่ใน"ใบ lab" 
    comment  เป็น specimen Not รายตัว
</t>
    </r>
    <r>
      <rPr>
        <sz val="11"/>
        <color rgb="FF000000"/>
        <rFont val="Aptos Narrow"/>
        <scheme val="minor"/>
      </rPr>
      <t xml:space="preserve">แบบเปรียบเทียบ
</t>
    </r>
    <r>
      <rPr>
        <sz val="11"/>
        <color rgb="FFFF0000"/>
        <rFont val="Aptos Narrow"/>
        <scheme val="minor"/>
      </rPr>
      <t xml:space="preserve">    comment  เป็น specimen Not รายตัว
</t>
    </r>
  </si>
  <si>
    <t>to complete
card updated/ need designer to check and remove thought bubble</t>
  </si>
  <si>
    <t>แยกผล Lab / แยก Pre-lim ออกจากผลจริง</t>
  </si>
  <si>
    <t>อยากให้แยกผล Lab ออกจากกันให้ชัด และแยก Preliminary report ออกจากผลจริง.</t>
  </si>
  <si>
    <t>None</t>
  </si>
  <si>
    <t>-</t>
  </si>
  <si>
    <t>Won't do</t>
  </si>
  <si>
    <t>ผล Lab มี status เป็น Prelim ให้ตามการส่งมาของ LIS ซึ่งทีมมีความคิดเห็นว่าควรเรียงกันตามเวลารับ Specimen เพื่อให้เห็นภาพรวม ไม่ตกหล่นผลตัวไหน ในส่วนนี้อยากขอความคิดเห็นจากที่ประชุมเพิ่มเติม</t>
  </si>
  <si>
    <t>ผล LAB จะ sort ตามเวลาเก็บ Specimen</t>
  </si>
  <si>
    <t>32, 211</t>
  </si>
  <si>
    <t>อิงจาก feed back ข้อ 2 เอา status แต่ไม่ต้อง filter status</t>
  </si>
  <si>
    <t>Auto-clear text หลังเลือกผล Lab จาก search</t>
  </si>
  <si>
    <t>ไม่แนะนำให้เคลียร์หลังจากเลือก เนื่องจากต้องแสดงไว้ให้เห็นว่าเลือกอะไร ซึ่งมีผลในด้านการทำงานของระบบ
เป็นข้อจำกัดของระบบการ search</t>
  </si>
  <si>
    <t>เคลียร์ข้อความในช่อง search อัตโนมัติหลังเลือกผลแล้ว (เกี่ยวข้องกับงาน filter/search Lab).</t>
  </si>
  <si>
    <t>ควรค้าง search ไว้เพื่อให้เปลี่ยนหน้าแล้วยังเก็บสิ่งที่ค้นหาไว้</t>
  </si>
  <si>
    <t>เมื่อ select แล้ว clear text ที่พิมพ์ค้างไว้ด้วย
แก้ตามข้อ 1 (SBH-642)</t>
  </si>
  <si>
    <t>Masterdata Lab – CBC แยกเป็น Hemato / แก้ผังหมวด Lab</t>
  </si>
  <si>
    <t>ควรแยก CBC ออกเป็นกลุ่ม Hemato (CBC เป็น Hemato)</t>
  </si>
  <si>
    <t>ปรับ masterdata จัดหมวด Lab ให้ CBC อยู่กลุ่ม Hematology.</t>
  </si>
  <si>
    <t>https://linear.app/cortexcloud/issue/SBH-654/lab-result-lab-result-hemoto</t>
  </si>
  <si>
    <t>16, 33</t>
  </si>
  <si>
    <t>master data</t>
  </si>
  <si>
    <t>ป้องกันสั่ง Lab ซ้ำในช่วงเวลาสั้น ๆ</t>
  </si>
  <si>
    <t>ต้องการให้ระบบดักไม่ให้สั่ง Lab ซ้ำภายใน xx นาที (ปัจจุบันไม่มีการดัก).</t>
  </si>
  <si>
    <t>เพิ่ม validation เตือนเมื่อสั่ง Lab รายการเดิมซ้ำภายในช่วงเวลาที่กำหนด (config ได้).</t>
  </si>
  <si>
    <t>https://linear.app/cortexcloud/issue/SBH-655/lab-result-lab-order-dup-lab</t>
  </si>
  <si>
    <t>เตือนด้วย แต่ไม่ต้องห้าม</t>
  </si>
  <si>
    <t>to complete/ ใช้ design ของ alert อื่นๆของระบบได้หรือไม่</t>
  </si>
  <si>
    <t>รองรับการบันทึก Lab นอกโรงพยาบาล</t>
  </si>
  <si>
    <t>ผล Out Lab ให้ห้อง Lab เป็นคนคีย์ผลเอง (หมอแนบเอกสารไว้), และอยากมีช่องเพิ่ม Lab นอก รพ. เพื่อสะดวกต่อการค้นหา.</t>
  </si>
  <si>
    <t>เพิ่ม flow: หมอแนบเอกสาร -&gt; ห้อง Lab คีย์ผล. เพิ่ม tag สำหรับ Lab นอก รพ.</t>
  </si>
  <si>
    <t>NUH จะทำ LAB นอก วีคหน้า</t>
  </si>
  <si>
    <t>17, 123</t>
  </si>
  <si>
    <t>- กรณีแลปคนไข้เอามาเอง รพ ไม่ได้สั่ง ถ้าทำ ทำ outside แลปแยก อ.คเชนทร์ ไม่แนะนำ ไม่ผ่านมาตราฐาน LA ให้เก็บเป็น scan document / outside document
- outlab คือแพทย์เราสั่งจริง แต่ไม่มีเครื่องมือ</t>
  </si>
  <si>
    <t>recheck ว่าตามที่ใคร</t>
  </si>
  <si>
    <t>รอติดตาม NUH</t>
  </si>
  <si>
    <t>Lab group / ชุด Lab ให้เลือก + revise รายการ checklist</t>
  </si>
  <si>
    <t>อยากมี Lab เป็นกลุ่มให้เลือก. รายการใน Lab group checklist มีข้อมูลเยอะเกินไป ควร revise การจัดประเภท</t>
  </si>
  <si>
    <t>ฝาก revise รายการและจัดประเภท Lab group (ประสานพี่เตย). ทำชุด Lab สำหรับเลือกเร็ว.</t>
  </si>
  <si>
    <t>Order set</t>
  </si>
  <si>
    <t>42, 134</t>
  </si>
  <si>
    <t>ตอนนี้หมอยังจัดกลุ่มเองไม่ได้</t>
  </si>
  <si>
    <t>พิมพ์ชื่อ Lab ลงไปได้เลย (cbc, cr ฯลฯ) / เพิ่มปุ่มทำ Lab ตามวันนัด</t>
  </si>
  <si>
    <t>อยากพิมพ์ชื่อ Lab ลงไปได้เลย เช่น cbc, cr; และเพิ่มปุ่มสั่งทำ Lab พร้อมวันนัด.</t>
  </si>
  <si>
    <t>ปัจจุบันทำได้อยู่แล้ว ในส่วนนี้อยากขอความคิดเห็นจากที่ประชุมเพิ่มเติม ว่ามีความเห็นต้องปรับส่วนการ order LAB หรือไม่</t>
  </si>
  <si>
    <t>152, 226</t>
  </si>
  <si>
    <t>ทีมอยากได้ : ต้องการ multi select เป็นชุด
ที่เรามีจะมี solution เป็น
- lab checklist
- order set</t>
  </si>
  <si>
    <t>แก้ไขรายการ Lab ที่สั่งไม่ได้</t>
  </si>
  <si>
    <t>รายการ Lab แก้ไขไม่ได้ ทั้งที่รายการอื่นแก้ได้หมด</t>
  </si>
  <si>
    <t>แก้้ไขเรียบร้อยแล้ว</t>
  </si>
  <si>
    <t>ตรวจสอบสิทธิ/สถานะของ order Lab ที่ทำให้แก้ไม่ได้.</t>
  </si>
  <si>
    <t>https://linear.app/cortexcloud/issue/SBH-656/buglab-orderแกไขรายการ-lab-ทสงไมได</t>
  </si>
  <si>
    <t>แก้ไข้เรียบร้อยแล้ว</t>
  </si>
  <si>
    <t>เชื่อมรูป X-ray กับ PACS</t>
  </si>
  <si>
    <t>ปัจจุบันมีปุ่มรองรับ link รูป X-ray แล้ว แต่ยังขาดการเชื่อมต่อกับ PACS (SBH ปัจจุบันทำได้ผ่าน Intranet)</t>
  </si>
  <si>
    <t>พัฒนาการเชื่อมต่อ PACS; ของสระบุรีให้ต่อผ่าน Intranet เนื่องจากรวมหลายเครื่อง.</t>
  </si>
  <si>
    <t>https://linear.app/cortexcloud/issue/SBH-409/emr-integration-emr</t>
  </si>
  <si>
    <t>ผล Imaging ขาด summary/detail – ปรับปรุงหน้า Result</t>
  </si>
  <si>
    <t>case HN6903210: ผล x-ray บางส่วนขาด summary และ detail. หน้า Result ต้อง improve.</t>
  </si>
  <si>
    <t>ทีมยืนยันต้อง improve หน้า Result – ยังไม่สรุปว่าจะส่งผลเป็น HTML ล้วนหรือเป็น field.</t>
  </si>
  <si>
    <t>Check X-ray Result (อาจจะต้องคุยกับ PACs เพิ่มเติม)</t>
  </si>
  <si>
    <t>ปรับ format</t>
  </si>
  <si>
    <t>ผล IMG ชื่อรายการเยอะเกินไป / ทำแบบ JF</t>
  </si>
  <si>
    <t>หน้าผล IMG ชื่อรายการเยอะเกินไป; เสนอให้ทำรูปแบบคล้าย JF</t>
  </si>
  <si>
    <t>ออกแบบหน้าผล IMG ให้กระชับ; อ้างอิงรูปแบบ JF.</t>
  </si>
  <si>
    <t>https://linear.app/cortexcloud/issue/SBH-658/bugimaging-imgผล-img-รายละเอยดเยอะเกนไป-ทำแบบ-jf</t>
  </si>
  <si>
    <t>31, 180</t>
  </si>
  <si>
    <t xml:space="preserve">Filter ผล IMG ไม่ได้ </t>
  </si>
  <si>
    <t>หน้าดูผล IMG กรองข้อมูลไม่ได้ ข้อมูลแสดงมาทุก modality.</t>
  </si>
  <si>
    <t>เพิ่ม filter ตาม modality; ตรวจสอบ masterdata modality.</t>
  </si>
  <si>
    <t>210, 230</t>
  </si>
  <si>
    <t>Img/Lab check list – เลือกวันอื่นไม่ได้</t>
  </si>
  <si>
    <t>Img/Lab check list เลือกวันอื่นไม่ได้.</t>
  </si>
  <si>
    <t>แก้ bug การเลือกวันที่ใน Img/Lab checklist.</t>
  </si>
  <si>
    <t>https://linear.app/cortexcloud/issue/CTXN-2452/opd-order-checklist-ไมสามารถorder-checklist-ของรายการimaging</t>
  </si>
  <si>
    <r>
      <rPr>
        <sz val="11"/>
        <color rgb="FF000000"/>
        <rFont val="Aptos Narrow"/>
        <scheme val="minor"/>
      </rPr>
      <t xml:space="preserve">รอแก้
</t>
    </r>
    <r>
      <rPr>
        <sz val="11"/>
        <color rgb="FFFF0000"/>
        <rFont val="Aptos Narrow"/>
        <scheme val="minor"/>
      </rPr>
      <t>- comment : สั่งแล้วอยากเห็น waiting list/ดูคิว/ตอบรับ ปฏิเสธ
- comment : e.g. x-ray ไม่ควร on paper  แล้ว แต่เขาต้องรู้งานรู้คิว หมออาจจะไม่ต้องดูได้ก้ได้นะ
- workaround : ??? ทำคล้ายระบบ consult ได้มั้ย // อยากให้ reply มาด้วย</t>
    </r>
  </si>
  <si>
    <t xml:space="preserve">CT image – การจองห้อง </t>
  </si>
  <si>
    <t>CT image ไม่รู้จะได้ห้องวันไหน – ต้องการระบบจองห้อง CT / OR.</t>
  </si>
  <si>
    <t>พิจารณาฟีเจอร์จองห้อง CT/OR และแสดงวันที่นัด.</t>
  </si>
  <si>
    <t>NUH บอกว่าจะทำจองห้อง CT</t>
  </si>
  <si>
    <t>โอเคแล้ว</t>
  </si>
  <si>
    <t>Timestamp ของ V/S – บันทึก/แสดงเวลาได้</t>
  </si>
  <si>
    <t>ขอ time stamped Vital Sign และให้บันทึกเวลาได้แบบ form graphic sheet ของ IPD.</t>
  </si>
  <si>
    <t>ปัจจุบันหน้าสรุปมี แต่หน้ากรอกยังไม่มี จึงต้องแก้ Widget 
กำลังอยู่ระหว่างการดำเนินการ</t>
  </si>
  <si>
    <t>เพิ่มการบันทึก timestamp ต่อค่า V/S และแสดงผลตามเวลา.</t>
  </si>
  <si>
    <t>https://linear.app/cortexcloud/issue/SBH-659/หารปมาใส-vital-signs-vs-timestamp-ของ-vs-บนทกแสดงเวลาได</t>
  </si>
  <si>
    <t>22, 278</t>
  </si>
  <si>
    <r>
      <rPr>
        <sz val="11"/>
        <color rgb="FF000000"/>
        <rFont val="Aptos Narrow"/>
        <scheme val="minor"/>
      </rPr>
      <t xml:space="preserve">ต้องการ audit ด้วย (ต้องดูได้ว่าใครแก้เวลา)
</t>
    </r>
    <r>
      <rPr>
        <sz val="11"/>
        <color rgb="FFFF0000"/>
        <rFont val="Aptos Narrow"/>
        <scheme val="minor"/>
      </rPr>
      <t>comment: แก้ได้ แต่ จบเคสแล้วห้ามแก้
ฝากไปคิด: ลงผิดลบได้มั้ย</t>
    </r>
  </si>
  <si>
    <t>ตามกับเฟรม</t>
  </si>
  <si>
    <t>เชื่อมต่อเครื่องวัด V/S เข้าระบบ + ระบุที่มาของค่า</t>
  </si>
  <si>
    <t>เครื่องวัด V/S เชื่อมผลเข้าโปรแกรมได้ (ต่อแล้วกับ Labotron) อยากให้ระบุได้ว่าค่า V/S มาจากเครื่องหรือกรอก manual</t>
  </si>
  <si>
    <t>การเชื่อมต่อทำแล้ว (Labotron). เพิ่ม flag แสดงที่มาของค่า (device/manual).</t>
  </si>
  <si>
    <t>ติดต่อขอเครื่องมาเทสต์แล้วส่งตอนส่งมอบ</t>
  </si>
  <si>
    <t>5, 23</t>
  </si>
  <si>
    <t>กราฟแนวโน้ม V/S (BP / น้ำหนัก)</t>
  </si>
  <si>
    <t>อยากได้กราฟแนวโน้ม BP และน้ำหนักย้อนหลัง 1 ปี ผูกกับ Visit ในประวัติการรักษา.</t>
  </si>
  <si>
    <t>ทีม Data กำลังศึกษาเพิ่มเติมการใช้งานใน OPD  จึงอยากขอความคิดเห็นจากที่ประชุมเพิ่มเติม</t>
  </si>
  <si>
    <t>ทำกราฟ trend V/S (สำคัญกับ IPD มากกว่า – จัดลำดับตามนั้น).</t>
  </si>
  <si>
    <t>https://linear.app/cortexcloud/issue/SBH-660/vital-signs-vs%E0%B8%81ราฟแนวโนม-vs-bp-นำหนก</t>
  </si>
  <si>
    <t>25, 256</t>
  </si>
  <si>
    <r>
      <rPr>
        <sz val="11"/>
        <color rgb="FF000000"/>
        <rFont val="Aptos Narrow"/>
        <scheme val="minor"/>
      </rPr>
      <t xml:space="preserve">กราฟ BW // SBP DBP
SBP DBP plot คู่กัน
</t>
    </r>
    <r>
      <rPr>
        <sz val="11"/>
        <color rgb="FFFF0000"/>
        <rFont val="Aptos Narrow"/>
        <scheme val="minor"/>
      </rPr>
      <t>ปัจจุบัน SBH มี ต้องไปขอดู</t>
    </r>
  </si>
  <si>
    <t>โจอี้ดูให้ รอติดตาม</t>
  </si>
  <si>
    <t>Pain Score เป็น V/S ตัวที่ 5</t>
  </si>
  <si>
    <t>ให้ถือ Pain Score เป็น Vital Sign ตัวที่ 5 และเพิ่มทุกครั้งที่บันทึก V/S.</t>
  </si>
  <si>
    <t xml:space="preserve">ทีม Data กำลังศึกษาเพิ่มเติมการใช้งานใน OPD </t>
  </si>
  <si>
    <t>เพิ่ม Pain Score เข้าชุด V/S มาตรฐาน.</t>
  </si>
  <si>
    <t>https://linear.app/cortexcloud/issue/SBH-661/vital-signs-vspain-score-เปน-vs-ตวท-5</t>
  </si>
  <si>
    <t xml:space="preserve"> - ใน status รายการผู้ป่วยนอก pain score ไม่ต้อง include 
 - ส่วนบน banner บังคับแค่ BP
 (น่าจะหมายถึงว่าค่าต้องปกติ)
 - Pain score ไปอยู่พวก pre-assessment / OPD note พอ</t>
  </si>
  <si>
    <t>ช่อง V/S (น้ำหนัก/ส่วนสูง) ใหญ่เกิน – ปรับขนาด</t>
  </si>
  <si>
    <t>ช่อง V/S เช่นน้ำหนัก ส่วนสูง ควรมีเพียงบรรทัดเดียว และช่องดูประวัติ V/S ใหญ่เกินไป.</t>
  </si>
  <si>
    <t>ปรับ layout ช่อง V/S ให้กระชับ บรรทัดเดียว.</t>
  </si>
  <si>
    <t>https://linear.app/cortexcloud/issue/SBH-662/หารปมาใส-vital-signs-vs-ชอง-vs-นำหนกสวนสง-ใหญเกน-ปรบขนาด</t>
  </si>
  <si>
    <t>135, 158</t>
  </si>
  <si>
    <t>รอปรับแก้</t>
  </si>
  <si>
    <t xml:space="preserve"> V/S vอยากให้มีภาษาไทยในหน้าคัดกรอง</t>
  </si>
  <si>
    <t>อยากให้มีภาษาไทยในหน้าคัดกรอง V/S.</t>
  </si>
  <si>
    <t>ในส่วนนี้อยากขอความคิดเห็นจากที่ประชุมเพิ่มเติม</t>
  </si>
  <si>
    <t>ขอความเห็นจาก คณะกรรมการ UAT</t>
  </si>
  <si>
    <r>
      <rPr>
        <sz val="11"/>
        <color rgb="FF000000"/>
        <rFont val="Aptos Narrow"/>
        <scheme val="minor"/>
      </rPr>
      <t xml:space="preserve">อ.ชานนท์ เสนอถ้าอยากจะช่วย RN ก้ให้เป็น point over 
</t>
    </r>
    <r>
      <rPr>
        <sz val="11"/>
        <color rgb="FFFF0000"/>
        <rFont val="Aptos Narrow"/>
        <scheme val="minor"/>
      </rPr>
      <t xml:space="preserve">ทีมแพทย์บอกไม่ต้องทำ!! เป็น med term ที่ต้องรู้อยู่แล้ว ไม่รู้ก้ต้อง training </t>
    </r>
  </si>
  <si>
    <t>no action needed</t>
  </si>
  <si>
    <t>การตรวจสอบความครบถ้วนของ V/S ผิดพลาด</t>
  </si>
  <si>
    <t>V/S ไม่ครบแต่กลับขึ้นสีเขียว – ควรเช็คว่ากรอกครบทุกค่า ไม่ใช่เช็คแค่ค่าใดค่าหนึ่ง.</t>
  </si>
  <si>
    <t>แก้ logic ตรวจความครบถ้วนของ V/S ให้ครบทุกค่า.</t>
  </si>
  <si>
    <t>https://linear.app/cortexcloud/issue/SBH-663/vital-signs-vs%E0%B8%81ารตรวจสอบความครบถวนของ-vs-ผดพลาด</t>
  </si>
  <si>
    <t>202, 255</t>
  </si>
  <si>
    <t xml:space="preserve">ไม่เอา ไม่ต้องครบ
</t>
  </si>
  <si>
    <t>บันทึกค่า V/S ที่ต่ำ/วิกฤตไม่ได้ (เช่น BP 57/41)</t>
  </si>
  <si>
    <t>ค่า V/S ที่ต่ำกว่าเกณฑ์ (เช่น BP 57/41) บันทึกไม่ได้ – กรณีคนไข้ shock จะบันทึกอย่างไร.</t>
  </si>
  <si>
    <t>ในส่วนนี้อยากขอความคิดเห็นจากที่ประชุมเพิ่มเติม เกิดจากการตั้งค่าเพื่อไม่ให้ผู้ใช้งานกรอกค่าผิดเช่น ตก 1 ตัว หรือเกิน 1 ตัว จึงอยากสอบถามว่าน้อยสุดที่ใส่ได้ควรเท่าไหร่ มาสุดที่ใส่ได้คือเท่าไหร่</t>
  </si>
  <si>
    <t>ปลดล็อกให้บันทึกค่าต่ำกว่าเกณฑ์ได้ พร้อม alert แทนการบล็อก.</t>
  </si>
  <si>
    <t>ถ้าเป็นค่ามาจากเครื่องเราจะเซต min-max ไว้ไม่ได้นะ
https://linear.app/cortexcloud/issue/SBH-665/vital-signs-vs-บนทกคา-vs-ทตำวกฤตไมได-เชน-bp-5741</t>
  </si>
  <si>
    <t>207, 254</t>
  </si>
  <si>
    <r>
      <rPr>
        <sz val="11"/>
        <color rgb="FF000000"/>
        <rFont val="Aptos Narrow"/>
        <scheme val="minor"/>
      </rPr>
      <t xml:space="preserve">ลองหาทางใหม่ในการ prevent extreme data
</t>
    </r>
    <r>
      <rPr>
        <sz val="11"/>
        <color rgb="FFFF0000"/>
        <rFont val="Aptos Narrow"/>
        <scheme val="minor"/>
      </rPr>
      <t>จริงๆไม่ต้องก้ได้นะ 
แพทย์ไม่ซื้อ เลย ซัก ช่อง</t>
    </r>
  </si>
  <si>
    <t>เกณฑ์สีของ V/S / config ค่า normal</t>
  </si>
  <si>
    <t>หน้า OPD ค่า 100/90 ขึ้นแดง – ต้องตรวจสอบ config เกณฑ์ค่าปกติ.</t>
  </si>
  <si>
    <t>กำลังอยู่ระหว่างการดำเนินการ
revise ค่าปกติ และให้ครอบคลุมค่าที่ตรงความเป็นจริง</t>
  </si>
  <si>
    <t>ทบทวน config ช่วงค่าปกติของ V/S.</t>
  </si>
  <si>
    <t>https://linear.app/cortexcloud/issue/SBH-664/bugvital-signs-vsเกณฑสของ-vs-config-คา-normal</t>
  </si>
  <si>
    <t>เอา V/S/BMI ออกจาก OPD Note (ซ้ำกับมุมบน) แต่เก็บ Body chart</t>
  </si>
  <si>
    <t>เสนอเอา V/S และ BMI ใน OPD Note ออกเพราะมีที่มุมบนแล้ว แต่ยังเก็บ Body chart ไว้.</t>
  </si>
  <si>
    <t>Config SBH ให้เฟรมเอาออก</t>
  </si>
  <si>
    <t>https://linear.app/cortexcloud/issue/SBH-666/vital-signs-vsเอา-vsbmi-ออกจาก-opd-note-ซำกบมมบน-แตเกบ-body-chart</t>
  </si>
  <si>
    <t xml:space="preserve">ดึงมาจาก pre as ได้ /แก้ได้
ขอ default ให้หุบ ทั้ง VS/body chart /body metric ที่เหลือไม่หุบ
add clear all ในช่อง PE
อ.ชานน ต้องการช่อง free text ไว้บนสุด เพื่อวาง preset ตัวเอง
ขอยาวไม่อั้น (เอาแบบ present illness)
abdomen ไม่ต้องเติม S
แก้คำสะกด Exstremities นี่แก้ยัง ??
</t>
  </si>
  <si>
    <t>ฟอร์มคัดกรองหายเมื่อกดหน้าประวัติการรักษา / OPD Note</t>
  </si>
  <si>
    <t>กดหน้าประวัติการรักษาแล้วฟอร์มคัดกรองหายไป; OPD Note หายเมื่อเปิดคู่กับประวัติการรักษา.</t>
  </si>
  <si>
    <t>Bug การแสดงผล – แก้ไม่ให้ฟอร์มคัดกรอง/OPD Note หายเมื่อสลับหน้า.</t>
  </si>
  <si>
    <t>https://linear.app/cortexcloud/issue/CTXN-2451/opd-patient-profile-tabฟอรมคดกรองหายไป-เมอเปดtab-opd</t>
  </si>
  <si>
    <t>8, 188</t>
  </si>
  <si>
    <t>GCS – ต้องยกเลิกตัวเลือกได้</t>
  </si>
  <si>
    <t>ส่วน GCS (เช่น ลืมตา/ไม่ลืมตา) ปัจจุบันเลือกแล้วยกเลิกไม่ได้ ต้องเลือกอย่างใดอย่างหนึ่ง.</t>
  </si>
  <si>
    <t>ทำให้สามารถยกเลิก/ล้างตัวเลือกที่เลือกไว้ได้.</t>
  </si>
  <si>
    <t>https://linear.app/cortexcloud/issue/SBH-648/opd-pre-assessment-glasgow-coma-scale-gcs-เลอกแลวเอาออกไมได</t>
  </si>
  <si>
    <t>แทรกรูป/แนบไฟล์ในฟอร์มคัดกรอง &amp; OPD Note</t>
  </si>
  <si>
    <t>อยากให้แทรกรูป/แคปหน้าจอ/แนบไฟล์ภาพ (เช่นกราฟ ผลตรวจ) ลงในฟอร์มคัดกรองและบาง section ของ OPD Note ได้เลย.</t>
  </si>
  <si>
    <t>ไปเช็คที่ dev-x</t>
  </si>
  <si>
    <t>https://linear.app/cortexcloud/issue/SBH-399/emr-บนทกขอมล-multi-media</t>
  </si>
  <si>
    <t>101, 113</t>
  </si>
  <si>
    <r>
      <rPr>
        <sz val="11"/>
        <color rgb="FF000000"/>
        <rFont val="Aptos Narrow"/>
        <scheme val="minor"/>
      </rPr>
      <t xml:space="preserve">ทำ rich text
ทำได้แค่ไหน
- insert?
- copy paste?
- ลากแบบ google drive?
บางอันอยากให้อยู่แบบเอกสารแนบ มี thumbnail ให้เห็น
</t>
    </r>
    <r>
      <rPr>
        <sz val="11"/>
        <color rgb="FFFF0000"/>
        <rFont val="Aptos Narrow"/>
        <scheme val="minor"/>
      </rPr>
      <t>recheck ต้อง apply to ช่องไหนของ OPD note บ้าง?</t>
    </r>
  </si>
  <si>
    <t>รอเอา widget จากพี่ฟลุค/พี่ปัม มาใช้</t>
  </si>
  <si>
    <t>รอนำ widget ที่มีไป deploy</t>
  </si>
  <si>
    <t>ซ่อน section ที่ไม่เกี่ยวข้องโดย default</t>
  </si>
  <si>
    <t>ฟอร์มคัดกรองควรซ่อน section ที่ไม่เกี่ยว by default เช่น ตั้งครรภ์/ให้นม/รอบเดือน.</t>
  </si>
  <si>
    <t>มีแพลนอยู่แล้ว – ทำ conditional display ของ section.</t>
  </si>
  <si>
    <t>https://linear.app/cortexcloud/issue/SBH-647/opd-pre-assessment-ฟอรมคดกรองไมควรมสวน-pe-และ-triage</t>
  </si>
  <si>
    <t xml:space="preserve">รอปรับแก้
- UD ของ pre-as อยากได้ช่อง free text มากกว่า แบบติ๊กจริงๆ ไม่เอาก้ได้
และ ในการกลับกันอยากให้ดึง UD ที่ได้รับการยืนยันแล้วลงมาได้ด้วย
- EVM ขอ compact อีก / tab ได้/ เอาคำอธิบายออกมั้ย
</t>
  </si>
  <si>
    <t>to complete/ need design
BA comment: โรคประจำตัวที่ common ควรมีติ๊ก หรือ multiselect ได้ เพื่อเป็นการเก็บข้อมูลอย่างเป็นระบบ รองรับงานวิจัย</t>
  </si>
  <si>
    <t>ฟอร์มคัดกรองไม่ควรมี PE / Triage</t>
  </si>
  <si>
    <t>ฟอร์มคัดกรองไม่ควรมีส่วน PE และ Triage.</t>
  </si>
  <si>
    <t xml:space="preserve">ไม่มี PE แต่ต้องมี Triage </t>
  </si>
  <si>
    <t>PE ออก / triage เอาไว้</t>
  </si>
  <si>
    <t>to complete/card updated</t>
  </si>
  <si>
    <t>เพิ่ม out-side document ในฟอร์มคัดกรอง</t>
  </si>
  <si>
    <t>เพิ่มการแนบเอกสารภายนอก (out-side document) ในฟอร์มคัดกรอง.</t>
  </si>
  <si>
    <t>รอตกลง logic การ add document ว่าจะอยู่หน้าไหน / รูปแบบใด.</t>
  </si>
  <si>
    <t>https://linear.app/cortexcloud/issue/SBH-433/opd-pre-assesment-scanattach-เอกสาร</t>
  </si>
  <si>
    <t>to complete/ต้องการปรึกษาผู้เชี่ยวชาญด้านการจัดการเอกสารใน รพ</t>
  </si>
  <si>
    <t>default CC ตามคลินิก</t>
  </si>
  <si>
    <t>อยากให้ default Chief Complaint (เช่น ปวดขา) ตั้งค่าได้ตามคลินิก.</t>
  </si>
  <si>
    <t>มีแพลนอยู่แล้ว – ทำ default CC ตาม clinic config.</t>
  </si>
  <si>
    <t>มีแพลน– ทำ default CC ตาม clinic config
https://linear.app/cortexcloud/issue/SBH-667/ฟอรมคดกรอง-pre-assessment-default-cc-ตามคลนก</t>
  </si>
  <si>
    <r>
      <rPr>
        <sz val="10"/>
        <color rgb="FF000000"/>
        <rFont val="Tahoma"/>
        <family val="2"/>
      </rPr>
      <t xml:space="preserve">กำลังอยู่ระหว่างการดำเนินการ
</t>
    </r>
    <r>
      <rPr>
        <sz val="10"/>
        <color rgb="FFFF0000"/>
        <rFont val="Tahoma"/>
        <family val="2"/>
      </rPr>
      <t>แล้วใครทำ Data</t>
    </r>
  </si>
  <si>
    <t>ขาดฟอร์มเฉพาะคลินิก (กายภาพ / สุขภาพใจ)</t>
  </si>
  <si>
    <t>ต้องการ custom form เฉพาะกายภาพบำบัด และฟอร์มของคลินิกสุขภาพใจ.</t>
  </si>
  <si>
    <t>custom form กายภาพมีแล้ว จะถูกเพิ่มเข้าระบบ; ต้องเพิ่มฟอร์มคลินิกสุขภาพใจ.</t>
  </si>
  <si>
    <t>https://linear.app/cortexcloud/issue/SBH-668/ฟอรมคดกรอง-pre-assessment-ขาดฟอรมเฉพาะคลนก-กายภาพ-สขภาพใจ
มีแพลน– ทำ default Custom form ตาม clinic config</t>
  </si>
  <si>
    <t>75, 157</t>
  </si>
  <si>
    <t>ปุ่มบันทึกฟอร์มคัดกรอง – ตำแหน่ง/ปุ่มย่อย/fix position</t>
  </si>
  <si>
    <t>ปุ่มบันทึกฟอร์มคัดกรองควรอยู่ด้านล่าง หรือมีปุ่มย่อย / fix position. บันทึกแต่ละ section ควรอยู่ด้านล่าง.</t>
  </si>
  <si>
    <t>มีแพลนอยู่แล้ว – ทำปุ่มบันทึกแบบ fix position ด้านล่าง/ต่อ section (+1 ผู้ใช้เห็นด้วยมาก).</t>
  </si>
  <si>
    <t>https://linear.app/cortexcloud/issue/SBH-669/ฟอรมคดกรอง-pre-assessment-ปมบนทกฟอรมคดกรอง-ตำแหนงปมยอยfix-position</t>
  </si>
  <si>
    <t>26, 111, 168</t>
  </si>
  <si>
    <t>กำลังปรับแก้ เอา Fix position</t>
  </si>
  <si>
    <t>to complete/ need design</t>
  </si>
  <si>
    <t>แยกโหมด View / Input ของฟอร์มคัดกรอง + ปุ่ม Save</t>
  </si>
  <si>
    <t>ฟอร์มคัดกรองที่เปิดจาก sidebar ซ้าย ถ้าใช้ดูอย่างเดียวไม่ควรมีปุ่ม Save / ควรล็อกแก้ไข. ต้องแยกโหมด view กับ input ให้ชัด.</t>
  </si>
  <si>
    <t>แยก component เป็น View (read-only) และ Input ให้ชัดเจน.</t>
  </si>
  <si>
    <t>https://linear.app/cortexcloud/issue/SBH-670/ฟอรมคดกรอง-pre-assessment-แยกโหมด-view-input-ของฟอรมคดกรอง-ปม-save</t>
  </si>
  <si>
    <t>6, 214</t>
  </si>
  <si>
    <t>กำลังอยู่ระหว่างการดำเนินการ/ ต้องการ design</t>
  </si>
  <si>
    <t>คัดกรองพยาบาล – สรุปสั้นใน 1 หน้า</t>
  </si>
  <si>
    <t>หน้าคัดกรองพยาบาลควรสรุปสั้น ๆ ใน 1 หน้า.</t>
  </si>
  <si>
    <t>ย่อ view คัดกรองให้พอดี 1 หน้า. Design ควร Compact กว่านี้</t>
  </si>
  <si>
    <t>https://linear.app/cortexcloud/issue/SBH-671/ฟอรมคดกรอง-pre-assessment-คดกรองพยาบาล-สรปสนใน-1-หนา</t>
  </si>
  <si>
    <t>147, 184</t>
  </si>
  <si>
    <r>
      <rPr>
        <sz val="10"/>
        <color rgb="FF000000"/>
        <rFont val="Tahoma"/>
        <family val="2"/>
      </rPr>
      <t xml:space="preserve">กำลังอยู่ระหว่างการดำเนินการ/ </t>
    </r>
    <r>
      <rPr>
        <sz val="10"/>
        <color rgb="FFFF0000"/>
        <rFont val="Tahoma"/>
        <family val="2"/>
      </rPr>
      <t>ขอ 18/6/26</t>
    </r>
    <r>
      <rPr>
        <sz val="10"/>
        <color rgb="FF000000"/>
        <rFont val="Tahoma"/>
        <family val="2"/>
      </rPr>
      <t xml:space="preserve"> ต้องการ design</t>
    </r>
  </si>
  <si>
    <t>OPD Note auto-fill จากข้อมูลพยาบาล</t>
  </si>
  <si>
    <t>OPD Note ควร auto fill มาจากข้อมูลที่พยาบาลกรอก.</t>
  </si>
  <si>
    <t>เอา CC จากพยาบาล</t>
  </si>
  <si>
    <t>Check กับ User ว่า Prefill ส่วนไหนบ้าง</t>
  </si>
  <si>
    <t>เน้น CC ที่สุด // และเน้นย้ำ อยากได้ feature retrieve</t>
  </si>
  <si>
    <t>พยาบาลต้องลงประวัติแพ้ยาได้ตั้งแต่ซักประวัติ</t>
  </si>
  <si>
    <t>ฟอร์มคัดกรองไม่มีช่องลงแพ้ยา – พยาบาลต้องสามารถลงประวัติแพ้ยาได้ตั้งแต่ซักประวัติ.</t>
  </si>
  <si>
    <t>รอปรับให้สามารถลงได้โดยพยาบาล/ ระวัง conflict กับห้องยา เพราะอาจกลายเป็นว่าเภสัชต้องดูข้อมูลหลายๆที่ ในทุกๆครั้งที่ให้บริการ</t>
  </si>
  <si>
    <t>https://linear.app/cortexcloud/issue/SBH-672/allergy-แพยา-พยาบาลตองลงประวตแพยาไดตงแตซกประวต</t>
  </si>
  <si>
    <t>เฟิมว่าให้มีช่องที่พยาบาลกรอกได้ หมอดูได้ แต่ไม่เข้าไปที่ประวัติแพ้ยา (banner) เภสัชจะเป็นผู้ลง/ verify</t>
  </si>
  <si>
    <t>Workflow สร้าง/ยืนยันประวัติแพ้ยา (เภสัช confirm)</t>
  </si>
  <si>
    <t>ส่วนใหญ่เภสัชเป็นคนลงประวัติแพ้ยา แต่แพทย์ก็ควรลงได้แล้วให้เภสัช/แพทย์ที่เกี่ยวข้อง confirm. การแก้ไขแพ้ยาควรใส่ผลประเมิน + severity + เภสัช confirm + รองรับการแพ้อื่น ๆ.</t>
  </si>
  <si>
    <t>ออกแบบ workflow Verify allergy: ลงข้อมูล -&gt; รอ confirm โดยเภสัช/แพทย์.</t>
  </si>
  <si>
    <t>68, 270</t>
  </si>
  <si>
    <t>ตามข้อบน</t>
  </si>
  <si>
    <t>เพื่อให้ชัวร์คุยกับพี่บุคเรื่อง Policy ดีกว่า</t>
  </si>
  <si>
    <t>Alert ยาควรมี level ความรุนแรง (minor / interaction / ...)</t>
  </si>
  <si>
    <t>ข้อมูล Alert ของยาควรมี level ความรุนแรงของตัวเอง เช่น drug minor / drug interaction. การแจ้งเตือนผลการประเมินแพ้ควรแบ่งเป็น possible / probable / certain.</t>
  </si>
  <si>
    <t>ถาม Policy จาก เภสัช</t>
  </si>
  <si>
    <t>ต้องคุยเรื่อง policy ให้ดี + ปรับ wording/UX ของ severity level.
- ถาม Policy จาก เภสัช</t>
  </si>
  <si>
    <t>https://linear.app/cortexcloud/issue/SBH-673/order-ยา-med-alert-ยาควรม-level-ความรนแรง-minor-interaction</t>
  </si>
  <si>
    <t>67, 236</t>
  </si>
  <si>
    <t>กำลังอยู่ระหว่างการดำเนินการ
ต้องถามจากพี่บุค ตาม policy คณะกรรมการความปลอดภัยด้านยา
ทีมแพทย์ต้องการ Hard stop (LOCK)
ถ้ายืนยันสั่ง recheck  work flow</t>
  </si>
  <si>
    <t>แจ้งเตือนแพ้ยาทันทีตอนพิมพ์สั่งยา / ย้าย modal มาตั้งแต่เลือกยา</t>
  </si>
  <si>
    <t>กรณีแพ้ยา ควรแจ้งเตือนทันทีตอนพิมพ์สั่งยา ไม่ต้องรอกดเพิ่มออเดอร์. ย้าย Modal alert ให้แสดงตั้งแต่ตอนเลือกยา.</t>
  </si>
  <si>
    <t>ย้ายจุดแสดง alert แพ้ยามาที่ขั้นตอนเลือก/พิมพ์ยา.</t>
  </si>
  <si>
    <t>https://linear.app/cortexcloud/issue/SBH-674/order-ยา-med-แจงเตอนแพยาทนทตอนพมพสงยา-ยาย-modal-มาตงแตเลอกยา</t>
  </si>
  <si>
    <t>64, 86</t>
  </si>
  <si>
    <t xml:space="preserve"> - ปัจจุบันก้ต้อง complete order แล้วค่อยแจ้งเตือน
- ถ้ายากก้ไม่ต้องทำก้ได้
- กลับไปเน้นให้ทำ CPOE ให้ง่ายที
- default dose ขอ autofill "ทุกตัว"</t>
  </si>
  <si>
    <t>no action needed
สรุปคือกลับไปทำหน้า key ยาให้ง่ายก้พอ</t>
  </si>
  <si>
    <t>แจ้งเตือนแพ้ยากลุ่มเดียวกัน / ยาใกล้เคียง (CDSS)</t>
  </si>
  <si>
    <t>ยาใกล้เคียงกับยาที่แพ้ ไม่ควรอนุญาตให้สั่ง ระบบควรเตือนการแพ้กลุ่มยาเดียวกัน (ปัจจุบันแจ้งเตือนแพ้แบบกลุ่มไม่ได้).</t>
  </si>
  <si>
    <t>พัฒนา CDSS ตรวจการแพ้ระดับกลุ่มยา (drug class).</t>
  </si>
  <si>
    <t>Check CDSS รอบที่ 18</t>
  </si>
  <si>
    <t>65, 87</t>
  </si>
  <si>
    <t>เน้นสี banner / ข้อความแพ้ยาให้เห็นชัด</t>
  </si>
  <si>
    <t>หน้าต่างแพ้ยาสีปัจจุบันเรียบเกินไป ดูออกยาก – อยากให้ตัวหนังสือ/แถบเป็นสีแดง</t>
  </si>
  <si>
    <t>แก้ไขเรียบร้อยแล้ว</t>
  </si>
  <si>
    <t>อ้างอิง Linear SBH-266 (custom CPOE ตัวอักษร banner แพ้ยา พื้นหลังสีแดงอ่อน).</t>
  </si>
  <si>
    <t xml:space="preserve">ยืนยันว่าอยากเห็นชื่อยา ไม่ใช่แค่ trigger
ไม่อยากเอา dash ในกรณีไม่ได้ซักข้อมูล
</t>
  </si>
  <si>
    <t>med interaction / รายการเตือนไม่ครบ</t>
  </si>
  <si>
    <t>ข้อมูล medication interaction ไม่ครบ.</t>
  </si>
  <si>
    <t>เติมฐานข้อมูล drug interaction ให้ครบ.</t>
  </si>
  <si>
    <t>https://linear.app/cortexcloud/issue/SBH-675/allergy-แพยา-med-interaction-รายการเตอนไมครบ</t>
  </si>
  <si>
    <t>ดึงข้อมูลเตือนยาคู่ปฏิกิริยาจากระบบเดิม</t>
  </si>
  <si>
    <t>ระบบเตือนยาคู่ปฏิกิริยาของ SBH เดิมมีข้อมูลมากกว่า – ขอดึงข้อมูลเดิมมาใช้.</t>
  </si>
  <si>
    <t>พิจารณา migrate ฐานข้อมูล drug interaction จากระบบเดิม.</t>
  </si>
  <si>
    <t>ไม่คำนวณจำนวนเม็ดยาอัตโนมัติ / ตามวันนัด</t>
  </si>
  <si>
    <t>เมื่อใส่วิธีใช้ยาแล้ว ระบบไม่คำนวณจำนวนเม็ดสำหรับยาบางตัว; สั่งยาพร้อมนัดหมายก็ไม่ link จำนวนตามเวลานัด.</t>
  </si>
  <si>
    <t>อาจเกิดจาก data ที่ไม่ได้ set ให้ auto-calc – ตรวจสอบ masterdata และเปิด auto-calc จำนวนจ่ายตามวันนัด.</t>
  </si>
  <si>
    <t>https://linear.app/cortexcloud/issue/SBH-651/opdorder-meddata-เมอใสวธใชยาแลว-ระบบไมคำนวณจำนวนเมดสำหรบยาบางตว</t>
  </si>
  <si>
    <t>11, 80, 145</t>
  </si>
  <si>
    <t>รองรับ syntax การสั่งยาหลายรูปแบบ + ปรับ syntax ให้ใช้ง่าย</t>
  </si>
  <si>
    <t>การสั่งยา syntax ใช้ยาก/งง (โดยเฉพาะยาตา). ควรพิมพ์ได้หลายแบบ เช่น '1 tab per tid po' และ '1x3 po pc'.</t>
  </si>
  <si>
    <t>จะมีการ improvement อยู่ระหว่างการดำเนินการเพิ่มเติม</t>
  </si>
  <si>
    <t>ปรับปรุง parser การสั่งยาให้รองรับหลาย syntax และใช้งานง่ายขึ้น.</t>
  </si>
  <si>
    <t>https://linear.app/cortexcloud/issue/SBH-382/order-improve-dosage-form-suggestion-in-medication-suggestion-syntax</t>
  </si>
  <si>
    <t>79, 116, 241</t>
  </si>
  <si>
    <t xml:space="preserve">อยากได่ใกล้เคียงปัจจุบันที่สุด
เหมือนเดิม autofill double click to edit with syntax (simplified)
ต้องลองไปแกะ HOSxP
**ขอ 5 jun 13.00 เฉพาะการ key ยา
</t>
  </si>
  <si>
    <t>update to card</t>
  </si>
  <si>
    <t>Auto-fill dose มาตรฐานของยา (common dose)</t>
  </si>
  <si>
    <t>ยาบางตัว dose เป็น common อยู่แล้ว – อยากให้ดึงมาให้ หมอกดแค่ OK ไม่ต้องกรอกเพิ่ม. วิธีใช้ยาควรขึ้น standard อัตโนมัติ แต่แก้ไขได้.</t>
  </si>
  <si>
    <t>ทำ default dose/วิธีใช้จาก masterdata (แก้ไขได้). ข้อ 224 ทีมตอบ no เฉพาะส่วนหนึ่ง – ทบทวน.</t>
  </si>
  <si>
    <t>97, 224</t>
  </si>
  <si>
    <t xml:space="preserve">ขอภายใน ก่อน go live ได้
edit mode เอาเป็น Guided mode ดีกว่า syntax
แต่อาจารย์ถนัด syntax เค้าก้อยากได้ syntax </t>
  </si>
  <si>
    <t>รายการยา – ชื่อย่อ / synonym / ข้อมูลยา</t>
  </si>
  <si>
    <t>รายการยาควรมีชื่อย่อและแสดงข้อมูลยา; รองรับการ search ด้วยชื่อพ้อง (synonym).</t>
  </si>
  <si>
    <t>Check card ว่าเราไม่ได้ตั้งค่าหรือ feature มันบัค</t>
  </si>
  <si>
    <t>https://linear.app/cortexcloud/issue/CTX-4794/be-search-medication-order-item-by-synonyms</t>
  </si>
  <si>
    <t xml:space="preserve">admin ใส่ Synonym ได้ เพิ่มได้ ลบได้
อย่าเลือกใช้ตามใจฉัน ใช้ตัวย่อสากล อย่าออกมาตราฐาน เช่น MTX = methotrexate OK 
เอาที่ดูแลโดยแผนกเภสัช 
ที่ต้องระบุว่ายาอะไรมีตัวยา หรือ รายยการ อะไรที่ควรมี
</t>
  </si>
  <si>
    <t>ยา จ2 – require Dx</t>
  </si>
  <si>
    <t>การสั่งยา จ2 ควร require การระบุ Dx.</t>
  </si>
  <si>
    <t>ถ้า order ยา จ2 ต้อง require Dx (มีข้อเสนอให้ ICD เป็น free text ได้).</t>
  </si>
  <si>
    <t>https://linear.app/cortexcloud/issue/SBH-677/order-check-diagnosis-before-allowing-physician-to-order</t>
  </si>
  <si>
    <t>แก้ไข้อยู่ ยังมี Bug 
(card อื่น)
ขอ Clarify ว่าผูกจากชื่อแพทย์ หรือ specialty 
ซึ่งปัจจุบันก้ผูกตามแพทย์ตามคลินิก
แนะนำว่า ผูก specialty ก้เหมาะสม แพทย์จึงยืนยันขอว่าเอาให้ set ได้ทั้ง doctor and specialty</t>
  </si>
  <si>
    <t>การสั่งยาตัวพิมพ์ใหญ่/เล็กมีผล</t>
  </si>
  <si>
    <t>การสั่งยา ตัวพิมพ์ใหญ่-พิมพ์เล็กมีผลต่อการค้นหา/สั่ง.</t>
  </si>
  <si>
    <t>ทำการค้นหายาเป็น case-insensitive.</t>
  </si>
  <si>
    <t>เป็็นที่Data 
product.code MED0000003 != med0000003</t>
  </si>
  <si>
    <t>แก้ Bug ให้ cap ไม่มีผล รอแก้</t>
  </si>
  <si>
    <t>ฟอร์มอนุมัติยานอกบัญชียาหลัก – Bug ติ๊กสิทธิ + prefill + เตือน</t>
  </si>
  <si>
    <t>ฟอร์มอนุมัติใช้ยานอกบัญชียาหลักแห่งชาติ: ติ๊กสิทธิแล้วเอาออกไม่ได้; ถ้าแพทย์ยังไม่กรอกควรเด้งเตือน (ปัจจุบันไม่กรอกก็สั่งยาได้); ช่องสิทธิควร prefill จากสิทธิหลักในระบบ.</t>
  </si>
  <si>
    <t>แก้ให้ติ๊กแล้วยกเลิกได้, redirect ไป section ที่มีปัญหา, prefill ข้อมูลในฟอร์ม.</t>
  </si>
  <si>
    <t>https://linear.app/cortexcloud/issue/SBH-653/opd-form-ฟอรมอนมตใชยานอกบญชยาหลกแหงชาต-ตกสทธแลวเอาออกไมได
https://linear.app/cortexcloud/issue/SBH-657/opd-order-med-ระบบไมแจงเตอนกรณกรอกเอกสารประกอบการใชยาไมครบ</t>
  </si>
  <si>
    <r>
      <rPr>
        <sz val="11"/>
        <color rgb="FF000000"/>
        <rFont val="Aptos Narrow"/>
        <scheme val="minor"/>
      </rPr>
      <t xml:space="preserve">รอแก้ Bug  // แพทย์บอกว่า ไม่ต้องจิ้มแก้สิทธิข้างบน เอาออกได้เลย เพราะมันต้องขึ้น กับสิทธิที่เปิดมาจากห้องบัตร ใต้ banner ล่างขวาโชว์อยุ่แล้ว
A-E ใช้ในสิทธิข้าราชการเท่านั้น เบิกกรมบัญชีกลาง
นอกจากนี้ รพ เราไม่ได้จะได้ใช้เลย
แนะนำ จากโชว์อันเดียว +1 เปลี่ยนเป็น </t>
    </r>
    <r>
      <rPr>
        <sz val="11"/>
        <color rgb="FFFF0000"/>
        <rFont val="Aptos Narrow"/>
        <scheme val="minor"/>
      </rPr>
      <t xml:space="preserve">โชว์ได้สองสิทธิ </t>
    </r>
    <r>
      <rPr>
        <sz val="11"/>
        <color rgb="FF000000"/>
        <rFont val="Aptos Narrow"/>
        <scheme val="minor"/>
      </rPr>
      <t>แล้ว +... ถ้ามีมากกว่านั้น</t>
    </r>
  </si>
  <si>
    <t xml:space="preserve">ยานอกบัญชี </t>
  </si>
  <si>
    <t>เรื่องเดียวกับราคา order basket – เพิ่มราคา default + รวมราคา</t>
  </si>
  <si>
    <t>https://linear.app/cortexcloud/issue/SBH-417/cpoe-รวมคาใชจายผปวย</t>
  </si>
  <si>
    <t>136, 138</t>
  </si>
  <si>
    <t>เอกสาร PA</t>
  </si>
  <si>
    <t>จัดทำเอกสาร PA.</t>
  </si>
  <si>
    <t>https://linear.app/cortexcloud/issue/SBH-575/opdorder-ยาทตองมเอกสารประกอบ-padue</t>
  </si>
  <si>
    <t>ยังไม่มี module  เก็บ/scan เอกสาร PA</t>
  </si>
  <si>
    <t>ยาเสพติด (ยส.) – ฟอร์มใบ ยส. + mark addictive</t>
  </si>
  <si>
    <t>ยา ยส. หมอต้องเขียนใบ ยส. (ยาเสพติดควบคุมเฉพาะราย) แนบไปพร้อมส่งข้อความในระบบ.</t>
  </si>
  <si>
    <t>สอบถามความเห็นของคณะกรรมการเรื่องยส. ว่ามี Usecase เป็นแบบไหนบ้าง จำเป็นต้องแสกนเอกสารกลับเข้าระบบหรือไม่</t>
  </si>
  <si>
    <t>เพิ่มฟอร์มใบ ยส. + mark addictive = true (ขอ requirement เพิ่มที่ศัลยกรรม).</t>
  </si>
  <si>
    <t>คุย internal และ external ว่ายาเสพย์ติด ที่ต้องมีเอกสารควบคุม ต้องออกทุกครั้ง หรือแค่ใส่เอกสารรับรองหลังบ้านด้วยเลข ว.</t>
  </si>
  <si>
    <t xml:space="preserve">ฝากไว้ให้คิดในกรณี IPD ด้วย โดยเฉพาะกรณี PRN ที่อาจมีจำนวนการใช้ที่ไม่ตรงไปตรงมา
ส่วนของ OPD ยส ทำ Digital sign ได้จริงหรือไม่ ถ้าได้ก้อยากให้ Print ได้เมื่อจำเป็น
ขอเน้นว่า track ได้ / </t>
  </si>
  <si>
    <t xml:space="preserve">สั่งยา/หัตถการตา </t>
  </si>
  <si>
    <t>ยาตา/หัตถการตา ค้นหาและลงข้อมูลค่อนข้างยาก ต้องพิมพ์ให้ถูก.</t>
  </si>
  <si>
    <t>กำลังอยู่ระหว่างการดำเนินการ แก้ไข synonym ของหัตถการ</t>
  </si>
  <si>
    <t>ปรับปรุงการค้นหายา/หัตถการให้ยืดหยุ่นขึ้น (รับ keyword ไม่ตรงเป๊ะ).</t>
  </si>
  <si>
    <t>https://linear.app/cortexcloud/issue/SBH-680/order-ยา-med-หตถการ-activity-สงยาหตถการตา-คนหายาก</t>
  </si>
  <si>
    <t>หา ref ดู จากไหน hosxp
ต้องการการออกแบบ อย่าลืม free text (ปัจจุบันมีเป็นช่องหมายเหตุ)</t>
  </si>
  <si>
    <t>เอกสารประกอบการสั่งยาไม่แสดง</t>
  </si>
  <si>
    <t>เอกสารประกอบการสั่งยาไม่มีแสดง.</t>
  </si>
  <si>
    <t>คุย Designflow logic เอกสารประกอบการสั่งยา</t>
  </si>
  <si>
    <t>https://linear.app/cortexcloud/issue/SBH-422/cpoe-เอกสารประกอบการสงยา</t>
  </si>
  <si>
    <t>med reconcile – ดึงข้อมูลอัตโนมัติ / จุดแสดงผล / พยาบาลลงได้</t>
  </si>
  <si>
    <t>med reconcile ไม่ควรกรอกเอง ควรดึง auto; เมื่อบันทึกแล้วควรรู้ว่าไปแสดงตรงไหน; อยากให้พยาบาลลง med reconcile ได้แล้วโชว์หน้าแพทย์ OPD.</t>
  </si>
  <si>
    <t>Ohm is designing</t>
  </si>
  <si>
    <t>https://linear.app/cortexcloud/issue/SBH-396/emr-การแสดงขอมลของ-med-reconciliation</t>
  </si>
  <si>
    <t>132, 169, 222, 246</t>
  </si>
  <si>
    <t xml:space="preserve">notify dup ทีมเรา Design logic แล้ว แต่เรื่องนี้อยู่ใน หัวข้อ drug dup ไม่ใช่ med rec อ่าา...
</t>
  </si>
  <si>
    <t>ฟังก์ชันสั่งยาที่พยาบาลไม่ได้ใช้ (กลับบ้าน / Stat / A-F)</t>
  </si>
  <si>
    <t>สั่งยากลับบ้าน, สั่งยา Stat, สั่งยานอกบัญชีหรือยาประเภทอื่น (A-F) – พยาบาลไม่ได้ใช้.</t>
  </si>
  <si>
    <t xml:space="preserve">สอบถามความเห็นของคณะกรรมการ ทางพยาบาลแจ้งว่าไม่อยากให้พยาบาลสั่งยาได้ ซึ่งจริงๆเป็นระบบ รคส. ซึ่งสามารถปิดได้ตาม role แต่ไม่แนะนำให้ปิด </t>
  </si>
  <si>
    <t>คุุยเรื่อง Policy กับทางคณะกรรมการและ Coreteam</t>
  </si>
  <si>
    <t>248, 249, 250</t>
  </si>
  <si>
    <r>
      <rPr>
        <sz val="11"/>
        <color rgb="FF000000"/>
        <rFont val="Aptos Narrow"/>
        <scheme val="minor"/>
      </rPr>
      <t xml:space="preserve">ข้ามก่อน และน่าจะไม่ได้แก้เรื่องนี้
</t>
    </r>
    <r>
      <rPr>
        <sz val="11"/>
        <color rgb="FFFF0000"/>
        <rFont val="Aptos Narrow"/>
        <scheme val="minor"/>
      </rPr>
      <t>สรุปทีมแพทย์ก้บอกว่าให้เปิดไว้ก่อน</t>
    </r>
  </si>
  <si>
    <t>ล็อกไม่ให้สั่งยาถ้ายังไม่เช็คข้อมูล</t>
  </si>
  <si>
    <t>อยากให้ล็อกการสั่งยา ถ้ายังไม่ได้เช็คข้อมูลคนไข้.</t>
  </si>
  <si>
    <t>กำลังอยู่ระหว่างการดำเนินการ สอบถามความเห็นของคณะกรรมการ ว่าต้องการล็อคทั้งหมด หรือล็อตเฉพาะยา ตัวระบบเลือกล็อคเป็น Product type ไม่สามารถล็อคเป็นรายชิ้นได้</t>
  </si>
  <si>
    <r>
      <rPr>
        <sz val="11"/>
        <color rgb="FF000000"/>
        <rFont val="Aptos Narrow"/>
        <scheme val="minor"/>
      </rPr>
      <t xml:space="preserve">อะไรบ้างล่ะที่ต้องกรอกถึงจะสั่งยาได้...ดูมาให้เคลียร์
</t>
    </r>
    <r>
      <rPr>
        <sz val="11"/>
        <color rgb="FFFF0000"/>
        <rFont val="Aptos Narrow"/>
        <scheme val="minor"/>
      </rPr>
      <t xml:space="preserve">แพทย์ขอเอาแค่ diag + vital sign  </t>
    </r>
  </si>
  <si>
    <t>รายการราคาหัตถการต้องรวมทุก order.</t>
  </si>
  <si>
    <t>รวมราคาหัตถการเข้า order summary.</t>
  </si>
  <si>
    <t>Order ประเมิน/ตรวจเพิ่ม (VA, ความดันตา, คัดกรอง HBV/HCV ฯลฯ)</t>
  </si>
  <si>
    <t>อยากสั่ง order ให้ไปประเมิน/ตรวจเพิ่ม เช่น ตรวจความดันตา ตรวจ VA, การตรวจคัดกรอง HBV/HCV/SY (ปัจจุบันเขียนใน OPD card). ต้องมีที่ลงผล Kit test และ TUBT.</t>
  </si>
  <si>
    <t>After Go-live</t>
  </si>
  <si>
    <t>พัฒนา Product ในอนาคต</t>
  </si>
  <si>
    <t>เพิ่มประเภท order แบบประเมิน/ตรวจคัดกรอง พร้อมที่ลงผล (รวม Kit test).</t>
  </si>
  <si>
    <t>https://linear.app/cortexcloud/issue/SBH-681/order-ทวไป-new-feature-order-ประเมนตรวจเพม-va-ความดนตา-คดกรอง-hbvhcv</t>
  </si>
  <si>
    <t>94, 95, 277</t>
  </si>
  <si>
    <t>แพทย์ mention หัตถการ free text ระวังเบิกไม่ได้
เหมือนเคยคุยแล้ว ว่าพิมพ์ free text ได้ให้ RN edit ให้ตรง ICD9 (best recommmed)
เราจะเอา synonym มาช่วยให้ได้มากที่สุด // ต้องดูรหัส/ชื่อ ที่พยาบาลคุ้นอยู่เดิมด้วยมั้ย เรื่องพวกนี้มันแล้วแต่แผนกแหละ 
แล้วมัน MAP SNOMED ได้มั้ยล่า
จารย์ คเชนทร์ พูดถึง ICD11 
solution
1. ใส่อันใกล้เคียง ใส่หมายเหตุให้ RN edit
2. free text ให้ RN edit
ต้องถามจารย์กิ๊บ จารย์เปิ้นว่าเอาแบบไหน
surgical น่าจะยากสุด</t>
  </si>
  <si>
    <t>เน้นสีปุ่ม/หน้าต่าง Order ให้แยกแยะง่าย</t>
  </si>
  <si>
    <t>อยากให้เน้นสี เช่น order admit ที่แถบสร้างทางขวาเป็นสีเขียว และหน้าต่างที่เปิดก็เป็นสีเขียว (ปัจจุบันสีเดียวกันแยกยาก).</t>
  </si>
  <si>
    <t>เพิ่ม color coding แยกประเภท order.</t>
  </si>
  <si>
    <t>Designing Task</t>
  </si>
  <si>
    <t>not do</t>
  </si>
  <si>
    <t>Order – กดเลือกแล้ว Enter ได้เลย</t>
  </si>
  <si>
    <t>เมื่อกดเลือกรายการ order แล้วควรกด Enter ได้เลย ไม่ต้องเอาเมาส์ไปกด (ปัจจุบันกด Enter แล้ว cursor ยังอยู่ในช่อง search).</t>
  </si>
  <si>
    <t>ปรับ UX keyboard navigation ของ order list.</t>
  </si>
  <si>
    <t>https://linear.app/cortexcloud/issue/SBH-682/improve-ux-orderorder-ทวไป-order-กดเลอกแลว-enter-ไดเลย</t>
  </si>
  <si>
    <t>cursor hop</t>
  </si>
  <si>
    <t>ปุ่ม Order ห่าง/ซ้ำซ้อน – เลื่อนมือเยอะ</t>
  </si>
  <si>
    <t>การ order สั่งยาซ้ำซ้อน ปุ่มห่างกันเกินไป ต้องเลื่อนมือเยอะตอนสั่ง.</t>
  </si>
  <si>
    <t>ปรับ layout ปุ่ม order ให้กระชับ ลดระยะการเลื่อนเมาส์.</t>
  </si>
  <si>
    <t>ปรับ flow รวม ตามข้อ 55 56</t>
  </si>
  <si>
    <t>ปรับ Order check list / design ให้ใช้ง่าย</t>
  </si>
  <si>
    <t>นำ design Order checklist ของ HOSxP มาปรับใช้.</t>
  </si>
  <si>
    <t>กำลังอยู่ระหว่างการดำเนินการ สอบถามความเห็นของคณะกรรมการ อยากได้ตัวอย่างของการจัดกลุ่ม X-ray</t>
  </si>
  <si>
    <t>อ้างอิง design Order checklist ของ HOSxP.</t>
  </si>
  <si>
    <t>https://linear.app/cortexcloud/issue/SBH-683/bugorder-ทวไปปรบ-order-check-list-design-ใหใชงาย</t>
  </si>
  <si>
    <t>ได้ Hosxp มาแล้ว</t>
  </si>
  <si>
    <t>ชุดคำสั่ง Order (Order set)</t>
  </si>
  <si>
    <t>ไม่มีชุดคำสั่ง order – อยากให้มี order set.</t>
  </si>
  <si>
    <t>พัฒนาฟีเจอร์ Order set.</t>
  </si>
  <si>
    <t>สร้าง order set ไม่ต้องไปสร้างใน admin</t>
  </si>
  <si>
    <t>Order สื่อสารกับพยาบาล (Note to nurse)</t>
  </si>
  <si>
    <t>Order ขาดการสื่อสารกับพยาบาล เช่น งดน้ำงดอาหาร.</t>
  </si>
  <si>
    <t>เพิ่มฟิลด์ 'Note to nurse' ติดกับ order.</t>
  </si>
  <si>
    <t>ปกติสามารถใช้ OPD card ได้</t>
  </si>
  <si>
    <t>note to nurse ตามเดิม</t>
  </si>
  <si>
    <t xml:space="preserve">ห้องหัตถการ – take note หลังทำ + นัดภายหลัง </t>
  </si>
  <si>
    <t>ห้องหัตถการ (ฉีดยา ทำแผล ให้เลือด) ไม่มีแพทย์ประจำห้อง พยาบาลต้อง take note สิ่งที่เกิดกับคนไข้ หลังทำหัตถการ; กรณีไม่มีเลือดจ่ายต้องนัดภายหลังได้; ต้อง print ใบ Lab ได้.</t>
  </si>
  <si>
    <t>เช็ค requirement เทียบกับ Activity อีกครั้ง; ออกแบบ flow ห้องหัตถการ.</t>
  </si>
  <si>
    <t>รอดูปัมพรีเซนต์เรื่อง Activity task list</t>
  </si>
  <si>
    <t xml:space="preserve">ถ้ามา wound dressing อย่างเดียว เป็นไง
</t>
  </si>
  <si>
    <t>หัตถการ – รองรับ Free text</t>
  </si>
  <si>
    <t>การทำหัตถการ เช่น ID มีความหลากหลายมาก ควรใส่ free text ได้; เสนอให้หัตถการพิมพ์เป็น free text ส่วน item ให้ห้องหัตถการเป็นคนคีย์เอง.</t>
  </si>
  <si>
    <t>Order Freetext: ทำช่อง free text สำหรับหัตถการ; ขอ requirement เพิ่มเติม (refer ต้องมีหมายเลข 1).</t>
  </si>
  <si>
    <t>https://linear.app/cortexcloud/issue/SBH-685/หตถการ-procedure-order-free-text</t>
  </si>
  <si>
    <t>192, 197, 266</t>
  </si>
  <si>
    <t>ตามข้อ 70</t>
  </si>
  <si>
    <t>Activity – ลบ order ไม่ได้ / สั่งไม่ได้ขึ้น error</t>
  </si>
  <si>
    <t>Activity ลบ order ไม่ได้; สั่ง Activity แล้วขึ้น error มุมขวาบน.</t>
  </si>
  <si>
    <t>แก้ bug การลบและการสั่ง Activity.</t>
  </si>
  <si>
    <t>https://linear.app/cortexcloud/issue/CTXN-2460/opd-order-activity-รายการคำสงหตถการ-ไมมปมลบ-ในสวนของorder-basket</t>
  </si>
  <si>
    <t>46, 85</t>
  </si>
  <si>
    <t>รอแก้  BUG</t>
  </si>
  <si>
    <t>Activity – รายการไม่ครบ</t>
  </si>
  <si>
    <t>รายการ Activity ไม่ครบ.</t>
  </si>
  <si>
    <t>เติมรายการ Activity ให้ครบ.</t>
  </si>
  <si>
    <t>Copy / Retrieve ประวัติเดิม (CC, PI, PE, Dx, ยา, treatment)</t>
  </si>
  <si>
    <t>อยากให้ Copy ประวัติเดิมในครั้งเดียว: เลือก visit ไหนก็ดึง CC, Present Illness, PE, Dx, ยา, treatment, รายการ Order ครั้งก่อนมาให้ และแก้ไข/เติมข้อมูลได้. เป็นฟีเจอร์ที่สำคัญมาก.</t>
  </si>
  <si>
    <t>พัฒนา feature Retrieve/Copy ประวัติแบบเลือก visit – concept: คลิกน้อยที่สุด เลื่อนน้อยที่สุด เห็นในทีเดียว.</t>
  </si>
  <si>
    <t>https://linear.app/cortexcloud/issue/SBH-686/opd-card-retrieve-note</t>
  </si>
  <si>
    <t>29, 62, 66, 92, 196</t>
  </si>
  <si>
    <t>ประเด็นร้อน</t>
  </si>
  <si>
    <t xml:space="preserve">Diagnosis – default 1 ช่องกรอก </t>
  </si>
  <si>
    <t>Diagnosis ต้องกด + ทุกครั้ง – ปรับให้ default มา 1 ช่องกรอก; DX มีอย่างน้อย 3 ตัวเป็น default.</t>
  </si>
  <si>
    <t>ทำ default ช่องกรอก Dx (อย่างน้อย 1 ช่อง) และพิจารณา default 3 ตัว.</t>
  </si>
  <si>
    <t>https://linear.app/cortexcloud/issue/SBH-687/ประวตการรกษา-opd-note-diagnosis-default-1-ชองกรอก-ม-dx-default</t>
  </si>
  <si>
    <t>28, 48</t>
  </si>
  <si>
    <r>
      <rPr>
        <sz val="11"/>
        <color rgb="FFFF0000"/>
        <rFont val="Aptos Narrow"/>
        <scheme val="minor"/>
      </rPr>
      <t xml:space="preserve">ขอ default 2 ช่อง 
</t>
    </r>
    <r>
      <rPr>
        <sz val="11"/>
        <color rgb="FF000000"/>
        <rFont val="Aptos Narrow"/>
        <scheme val="minor"/>
      </rPr>
      <t xml:space="preserve">
principal 
comorbid
complacation
เพิ่ม external cause มั้ย เช่น pain from trauma/burn
อื่นๆ ตาม แฟ้ม 43</t>
    </r>
  </si>
  <si>
    <t>ช่อง CC ขยายไม่ได้</t>
  </si>
  <si>
    <t>ช่อง Chief Complaint ขยายไม่ได้.</t>
  </si>
  <si>
    <t>ทำให้ช่อง CC resize ได้.</t>
  </si>
  <si>
    <t>https://linear.app/cortexcloud/issue/SBH-688/ประวตการรกษา-opd-note-ชอง-cc-ขยายไมได</t>
  </si>
  <si>
    <t>หมายถึง patient illness 
CC เอาเตี้ยๆก่อนพอ แล้วค่อยขยาย</t>
  </si>
  <si>
    <t>OPD Note – PE / Dx การพิมพ์และ Enter</t>
  </si>
  <si>
    <t>[OPD Note] ส่วนเพิ่มเติมของฟอร์ม PE ไม่มาแสดง; Dx ใส่เลขแล้วควร Enter ได้เลย / ให้เขียนเพิ่มได้ไม่ต้องกด +.</t>
  </si>
  <si>
    <t>แก้ให้ข้อมูล PE แสดงครบ และ Dx รองรับการพิมพ์+Enter โดยไม่ต้องกดปุ่ม +.</t>
  </si>
  <si>
    <t>[OPD Note] ส่วนเพิ่มเติมของฟอร์ม PE ไม่มาแสดง : https://linear.app/cortexcloud/issue/SBH-721/visit-history-opd-note-สวนของphysical-examination-แสดงไมครบ
Dx ใส่เลขแล้วควร Enter ได้เลย : https://linear.app/cortexcloud/issue/SBH-715/opd-opd-note-diagnosis-ควรคลกenter-หรอ-ขนลงทคยบอรดเพอเลอกรายการได
ให้เขียนเพิ่มได้ไม่ต้องกด +. : https://linear.app/cortexcloud/issue/SBH-716/opd-opd-note-ปรบใหสวน-diagnosis-มdefault-1-รายการเสมอ-โดยไมตองกดปมเพม</t>
  </si>
  <si>
    <t>50, 30, 195</t>
  </si>
  <si>
    <t>suggestion ตาม master data upload อ่ะ
คือถ้าตามความใช้บ่อยคือโอเค
เรื่อง default ตามข้อ 82</t>
  </si>
  <si>
    <t>เปรียบเทียบประวัติการรักษาแต่ละ visit / เปิดหลาย visit พร้อมกัน</t>
  </si>
  <si>
    <t>อยากเปิดหน้าประวัติ 2 visit พร้อมกัน และเปรียบเทียบประวัติแต่ละครั้งได้.</t>
  </si>
  <si>
    <t>รองรับการเปิด/เทียบหลาย visit (ทำ icon เปิด new tab).</t>
  </si>
  <si>
    <t>รับไว้พิจารณาในการพัฒนา Product</t>
  </si>
  <si>
    <t>96, 276</t>
  </si>
  <si>
    <t>ทำได้ก้ดี</t>
  </si>
  <si>
    <t>หน้าสรุปประวัติการรักษาในหน้าเดียว (Visit Summary)</t>
  </si>
  <si>
    <t>ประวัติการรักษาควรดูจาก OPD Note ก่อน ไม่ใช่ order, ทำให้เลื่อนน้อย ๆ อยากดูเป็น summary ในหน้าเดียว และดูได้ในรูปแบบเดิมที่กระชับ.</t>
  </si>
  <si>
    <t>กำลังอยู่ระหว่างการดำเนินการปรับปรุงตาม Concept รวม: คลิกน้อยที่สุด เลื่อนน้อยที่สุด เห็นในทีเดียว น่าจะอาศัยการจัด Layout ให้ compact เป็นสัดส่วน ตัวอักษรที่เหมาะสม</t>
  </si>
  <si>
    <t>Visit Summary มี design อยู่แล้ว – เร่งพัฒนา; ย่อข้อมูลส่วนสรุปสีเทาให้สั้นลง.</t>
  </si>
  <si>
    <t>https://linear.app/cortexcloud/issue/SBH-689/ประวตการรกษา-opd-note-improvement-ux-visit-summary</t>
  </si>
  <si>
    <t>82, 88, 185</t>
  </si>
  <si>
    <t>on designing
มี detail ใน card แล้ว เด๋วเหลาอีกทีก้ได้</t>
  </si>
  <si>
    <t>ประวัติการรักษาเหลือแค่ VN เมื่อกดซ้ำ ๆ</t>
  </si>
  <si>
    <t>หน้าประวัติการรักษาปกติเรียง คลินิก-ชื่อแพทย์-EN แต่กดซ้ำ ๆ เหลือแค่ VN (สงสัยบัคการยิงข้อมูล)</t>
  </si>
  <si>
    <t>ทดสอบสร้าง Visit + assign walk-in ผ่าน API และ FE เพื่อเทียบว่า practitioner ขึ้นหรือไม่.</t>
  </si>
  <si>
    <t>API เส้นclinics?select โหลดนาน ทำให้มีจังหวะที่ไม่ขึ้นชื่อแพทย์</t>
  </si>
  <si>
    <t>ประวัติการรักษา – แสดงเฉพาะข้อมูลที่กรอก</t>
  </si>
  <si>
    <t>OPD Note / ฟอร์มคัดกรองในประวัติการรักษา อยากให้แสดงเฉพาะข้อมูลที่กรอก อันไหนไม่กรอกไม่ต้องแสดง (หน้าหมอดูฟอร์มคัดกรองด้วย)</t>
  </si>
  <si>
    <t>ซ่อนฟิลด์ว่างในมุมมองประวัติ.</t>
  </si>
  <si>
    <t>ตามข้อ 86</t>
  </si>
  <si>
    <t>ประวัติการรักษา default เป็นสีเทา / ห้ามแก้ไข</t>
  </si>
  <si>
    <t>ข้อมูลประวัติการรักษาควร default เป็นสีเทา ไม่ควรแก้ไข.</t>
  </si>
  <si>
    <t>ทำมุมมองประวัติเป็น read-only.</t>
  </si>
  <si>
    <t>https://linear.app/cortexcloud/issue/SBH-690/ประวตการรกษา-opd-note-ทำมมมองประวตเปน-read-only</t>
  </si>
  <si>
    <t xml:space="preserve">แก้ไข้เรียบร้อยแล้ว
</t>
  </si>
  <si>
    <t>OPD Note – custom ตามคลินิก</t>
  </si>
  <si>
    <t>OPD Note ต้อง custom ได้ตามคลินิก; รอ test ระบบ custom ให้เหมาะกับแต่ละคลินิก (เฉพาะ OPD สูติ รอ test).</t>
  </si>
  <si>
    <t>https://linear.app/cortexcloud/issue/SBH-691/ประวตการรกษา-opd-note-opd-note-custom-ตาม-clinic</t>
  </si>
  <si>
    <t>221, 223, 259</t>
  </si>
  <si>
    <t>ดึง CC / Dx จากที่ลงประวัติมาใส่อัตโนมัติ</t>
  </si>
  <si>
    <t>ดึง Chief Complaint มาจากที่ลงประวัติ (admit request พยาบาลกรอก); ดึง Dx มาลงเลยไม่ต้องกรอกใหม่.</t>
  </si>
  <si>
    <t>สอบถามความเห็นของคณะกรรมการ ทบทวนความเป็นไปได้ของการ auto-fill CC/Dx.</t>
  </si>
  <si>
    <t>227, 229</t>
  </si>
  <si>
    <t>Body Chart – รองรับ Free text</t>
  </si>
  <si>
    <t>Body Chart ควรพิมพ์ text ได้</t>
  </si>
  <si>
    <t>เพิ่ม free text – improve multimedia tools.</t>
  </si>
  <si>
    <t>https://linear.app/cortexcloud/issue/SBH-692/improvement-body-chart-multimedia-tool</t>
  </si>
  <si>
    <t>Body Chart – วาดแล้วลบไม่ได้ / ปิด Expand ไม่ได้</t>
  </si>
  <si>
    <t>Body Chart วาดแล้วลบไม่ได้, [OPD Note] body chart กดปิด Expand ไม่ได้.</t>
  </si>
  <si>
    <t>https://linear.app/cortexcloud/issue/SBH-714/opd-opd-note-body-chart-เพมการcollapsible-section</t>
  </si>
  <si>
    <t>52, 78, 51</t>
  </si>
  <si>
    <t>Body Chart – ขนาดใหญ่เกิน / ย่อได้ / ไม่ default เปิด</t>
  </si>
  <si>
    <t>รูป Body Chart ใหญ่เกินไป, ควรย่อได้ และไม่ควรเปิดเป็น default ถ้าจะใช้ค่อยกดขยาย.</t>
  </si>
  <si>
    <t>ปรับขนาด Body Chart และทำให้ย่อ/ไม่เปิดเป็น default.</t>
  </si>
  <si>
    <t>63, 83, 84</t>
  </si>
  <si>
    <t>นัดหมายแบบไม่ระบุแพทย์</t>
  </si>
  <si>
    <t>ต้องการสร้างนัดหมายแบบไม่ระบุแพทย์ได้ (ปัจจุบันทำไม่ได้).</t>
  </si>
  <si>
    <t>กำลังอยู่ระหว่างการดำเนินการ สอบถามความเห็นของคณะกรรมการเพิ่มเติม Usecase กรณีใดเป็นการสร้างนัดหมายโดยไม่ระบุแพทย์</t>
  </si>
  <si>
    <t>รองรับการนัดหมายแบบไม่เจาะจงแพทย์.</t>
  </si>
  <si>
    <t>https://linear.app/cortexcloud/issue/SBH-693/นดหมาย-appointment-นดหมายไมระบแพทย</t>
  </si>
  <si>
    <t>สร้างตามคลินิก detail ตาม card</t>
  </si>
  <si>
    <t>จำนวนนัดที่เลื่อนไม่ตรงกับ pop-up</t>
  </si>
  <si>
    <t>จำนวนนัดถูกเลื่อนไม่ตรงกับที่ pop-up แจ้ง.</t>
  </si>
  <si>
    <t>แก้ข้อมูลจำนวนนัดให้ตรงกับ pop-up.</t>
  </si>
  <si>
    <t>หน้าตรวจทานนัดหมาย เมื่อมีนัดแล้วแต่หมอลงวันหยุด</t>
  </si>
  <si>
    <t>รอแก้ Bug</t>
  </si>
  <si>
    <t>นัดหมาย Clinic – Note/Remark แบบ pattern + free text</t>
  </si>
  <si>
    <t>สร้างนัดหมาย Clinic ควรสร้าง Note &amp; Remark แบบ pattern ให้เลือก (เช่น งดน้ำ งดอาหาร) แล้ว pop-up เด้ง และทำ free text ได้.</t>
  </si>
  <si>
    <t>หา workaround
- ผูกกับ Lab 
- Template ของบัตรนัด</t>
  </si>
  <si>
    <t>https://linear.app/cortexcloud/issue/SBH-694/นดหมาย-appointment-นดหมาย-clinic-noteremark-แบบ-pattern-free-text-งดนำ</t>
  </si>
  <si>
    <r>
      <rPr>
        <sz val="11"/>
        <color rgb="FF000000"/>
        <rFont val="Aptos Narrow"/>
        <scheme val="minor"/>
      </rPr>
      <t xml:space="preserve">อยู่ใน Discharge / </t>
    </r>
    <r>
      <rPr>
        <sz val="11"/>
        <color rgb="FFFF0000"/>
        <rFont val="Aptos Narrow"/>
        <scheme val="minor"/>
      </rPr>
      <t xml:space="preserve">ทำเพิ่มครับ
</t>
    </r>
    <r>
      <rPr>
        <sz val="11"/>
        <color rgb="FF000000"/>
        <rFont val="Aptos Narrow"/>
        <scheme val="minor"/>
      </rPr>
      <t>เน้น NPO8 NPO12 / except plain water บลาๆ</t>
    </r>
  </si>
  <si>
    <t>Refill – ไม่มีนัด refill</t>
  </si>
  <si>
    <t>สร้างนัดหมายแบบ refill ไม่เชื่อมกับนัดหมาย refill.</t>
  </si>
  <si>
    <t>เพิ่มฟีเจอร์นัด refill
- น็อตดีไซน์ใบ refill ไว้แต่ยังไม่มีคนทำ</t>
  </si>
  <si>
    <t>https://linear.app/cortexcloud/issue/SBH-695/นดหมาย-appointment-เพม-feature-นดหมาย-refill</t>
  </si>
  <si>
    <t>233, 234</t>
  </si>
  <si>
    <t>ถ้า combine กับ delivery จะดี
เคสนี้จะ practical ในสิทธิ UC นอกเขต</t>
  </si>
  <si>
    <t>ไม่ควรสร้างนัดหมายซ้ำหลังคนไข้เช็คอินตามนัดแล้ว</t>
  </si>
  <si>
    <t>ระบบไม่ควรสร้างนัดหมายใหม่หลังจากคนไข้เช็คอินตามเวลานัดของตัวเองแล้ว.</t>
  </si>
  <si>
    <t>สอบถามความเห็นของคณะกรรมการเพิ่มเติม ในกรณีที่ผู้ป่วยมีนัดพบแพทย์ตอนช่วงบ่าย จะมีการนัดคนไข้ไปคลินิกอื่นก่อนแทนหรือไม่ (ทั้งนี้สามารถใช้เป็น walk-in request ได้)</t>
  </si>
  <si>
    <t>ค่อยคุย internal 
เตือน คนไข้ที่มีนัดในวันอยู่แล้ว</t>
  </si>
  <si>
    <t xml:space="preserve">นัดหมาย – default clinic/แพทย์ตัวเอง </t>
  </si>
  <si>
    <t>นัดหมายควร default clinic/แพทย์ของตัวเองก่อน, ช่องที่มีดอกจัน (บังคับ) ควร default ให้, เลือก 'อื่น ๆ' ควรกรอกข้อความได้.</t>
  </si>
  <si>
    <t>ปรับ default ค่านัดหมาย (ข้อ 198/199 ทีมเดิมตอบ no – ทบทวนรวมกับ 258).</t>
  </si>
  <si>
    <t>https://linear.app/cortexcloud/issue/CTXN-2487/opd-นดหมาย-คลนกไมdefaultคลนกปจจบนทคนไขเขารบบรการ-ในหนาสรางนดหมาย</t>
  </si>
  <si>
    <t>198, 199, 258</t>
  </si>
  <si>
    <t xml:space="preserve">ทำนัดหมายแล้ว คือให้ cursor มารอที่ "ระยะเวลาให้เลย" จะได้ไม่หลุด </t>
  </si>
  <si>
    <t>ใบนัดหมาย – รวมนัด Lab + นัดหมอ + รายละเอียดเตรียมตัว / print</t>
  </si>
  <si>
    <t>ใบนัดหมายที่ปริ้นให้คนไข้ ควรรวมนัด Lab นัดหมอ พร้อมรายละเอียดเตรียมตัวล่วงหน้า (เช่น งดน้ำงดอาหารก่อนเจาะเลือด); ต้องมีใบนัดหมายตรวจ Lab print ได้.</t>
  </si>
  <si>
    <t>104, 172</t>
  </si>
  <si>
    <t>แพทย์ก้ชอบความแบ่งครึ่งได้ของใบนัดปัจจุบัน
อยากเพิ่ม  location  และเบอร์ติดต่อที่ต้องไป เพราะใบนัดปัจจุบันมีการเพิ่มส่วนนี้เข้ามา</t>
  </si>
  <si>
    <t>Consult – diagnosis เป็น Free text</t>
  </si>
  <si>
    <t>diagnosis ในการ consult ควรใช้ free text ได้ เพราะการขอ consult คือยังไม่รู้ว่าคนไข้เป็นอะไร ไม่ต้องนำไปผูกกับอะไร.</t>
  </si>
  <si>
    <t>ทำช่อง diagnosis ของ consult เป็น free text.</t>
  </si>
  <si>
    <t>https://linear.app/cortexcloud/issue/SBH-696/consult-diagnosis-เปน-free-text-diagnosis-ในการ-consult-ควรใช-free</t>
  </si>
  <si>
    <r>
      <rPr>
        <sz val="11"/>
        <color rgb="FF000000"/>
        <rFont val="Aptos Narrow"/>
        <scheme val="minor"/>
      </rPr>
      <t xml:space="preserve">ทำตามแพลน
</t>
    </r>
    <r>
      <rPr>
        <sz val="11"/>
        <color rgb="FFFF0000"/>
        <rFont val="Aptos Narrow"/>
        <scheme val="minor"/>
      </rPr>
      <t xml:space="preserve">ย้อนกลับไปที่ Diag ใน OPD note  ดูตามมาตรฐาน HIAT 
การใช้จะเป็นยังไงต้องไปดูรายละเอียด
</t>
    </r>
  </si>
  <si>
    <t>Consult – กดส่งแล้วไม่มี action ต่อ</t>
  </si>
  <si>
    <t>Consult กดส่งแล้วไม่ขึ้นอะไรต่อเลย; อยากให้พอคลิก consult แล้วขึ้นหน้า consult เลย.</t>
  </si>
  <si>
    <t>แก้ flow หลังกดส่ง consult ให้ไปหน้า consult / มี feedback ชัดเจน.</t>
  </si>
  <si>
    <t>https://linear.app/cortexcloud/issue/SBH-697/bugconsult-consult-กดสงแลวไมม-action-ตอ</t>
  </si>
  <si>
    <t>154, 228</t>
  </si>
  <si>
    <t>รวมๆ ตามข้อ 102</t>
  </si>
  <si>
    <t>Consult – แจ้งเตือน (Noti) เมื่อมีรายการ/ตอบกลับ</t>
  </si>
  <si>
    <t>ควรมี notification แจ้งแพทย์เมื่อมีรายการ consult ส่งมา หรือมีการตอบกลับ.</t>
  </si>
  <si>
    <t>ปัจจุบันยังไม่มี notification – พิจารณาเพิ่มระบบแจ้งเตือน consult.</t>
  </si>
  <si>
    <t>https://linear.app/cortexcloud/issue/SBH-698/รอรปจากซา-consultimprovement-จดแดง-new-notification</t>
  </si>
  <si>
    <t>140, 261</t>
  </si>
  <si>
    <t>Consult – งานค้าง / การตอบ / เพิ่มนัดหมายในหน้าตอบกลับ / เบิกใบตอบ</t>
  </si>
  <si>
    <t>ส่วนการตอบ consult ควรแสดงงานที่ค้าง, รองรับการเบิกใบตอบ consult, และเพิ่มการทำนัดหมาย ในหน้าตอบกลับ.</t>
  </si>
  <si>
    <t>เพิ่มมุมมองงานค้าง + การนัดหมายในหน้าตอบ consult + เบิกใบตอบ.</t>
  </si>
  <si>
    <t>https://linear.app/cortexcloud/issue/CTXN-422/การนำ-consult-request-ไปสรางเปน-walk-in-request-typeconsult</t>
  </si>
  <si>
    <t>208, 262</t>
  </si>
  <si>
    <t xml:space="preserve">Consult – เพิ่มที่ตั้ง </t>
  </si>
  <si>
    <t>คลินิก consult ต้องเป็นสถานที่ กดเพิ่ม consult แล้วเปิดแท็บใหม่</t>
  </si>
  <si>
    <t>เพิ่มฟิลด์ที่ตั้ง + เปิดแท็บใหม่เมื่อกดเพิ่ม consult.</t>
  </si>
  <si>
    <t>https://linear.app/cortexcloud/issue/SBH-699/consultmasterdata-location-เพมทตง-กดเพมแลวเปดแทบใหม</t>
  </si>
  <si>
    <t>57, 263</t>
  </si>
  <si>
    <t>เพิ่มหน่วยบริการ (unit) เช่น ห้อง consult ห้องยา</t>
  </si>
  <si>
    <t>รคส. – ต้องระบุเหตุผล/อาการคนไข้ + ใส่หมายเหตุ</t>
  </si>
  <si>
    <t>หน้ายืนยัน รคส. ควรระบุว่าคนไข้เป็นอะไรถึงสั่งยา รคส.; ถ้า approve แปลว่าต้องมี action ต่อ ถ้าเป็น log อย่างเดียวก็ไม่ควรมีปุ่ม approve แต่ควรใส่หมายเหตุได้และปฏิเสธได้; รองรับ รคส.จากภายนอก.</t>
  </si>
  <si>
    <t>กำลังอยู่ระหว่างการดำเนินการ สอบถามความเห็นของคณะกรรมการเพิ่มเติม เนื่องด้วยระบบ set รคส.ตาม policy ตามคำสั่งแพทย์ ซึ่งถ้าต้องมีการ approve จะทำให้ flow ติดขัด ทีมจึงเสนอขอให้ระบบแก้ไขเป็น Log เพื่อแจ้งว่ามีพยาบาลใช้ รคส.ชื่อของท่านเท่านั้น ไม่จำเป็นต้อง approve หรือ declide</t>
  </si>
  <si>
    <t>https://linear.app/cortexcloud/issue/SBH-700/flow-รคส-ตองระบเหตผลอาการคนไข-ใสหมายเหต-ปฏเสธได</t>
  </si>
  <si>
    <t>155, 193, 209, 264</t>
  </si>
  <si>
    <t>เอาช่อง note มาก้พอ</t>
  </si>
  <si>
    <t>รคส. – Link ดูประวัติผู้ป่วย + default ชื่อแพทย์</t>
  </si>
  <si>
    <t>รคส. ควรมี link กดเข้าไปดูประวัติผู้ป่วยได้; default ชื่อแพทย์อัตโนมัติแต่แก้ไขได้.</t>
  </si>
  <si>
    <t>เพิ่ม link ประวัติผู้ป่วยในหน้า รคส. (default ชื่อแพทย์ – ทีมเดิมตอบ no, ทบทวน).</t>
  </si>
  <si>
    <t>129, 200</t>
  </si>
  <si>
    <t>ใบรับรองแพทย์ – ลดการคลิก (radio/dropdown default)</t>
  </si>
  <si>
    <t>ใบรับรองแพทย์ทำเป็น radio button หรือ dropdown ที่ default เป็นประเภทสำหรับหยุดงาน (เพราะคนมาขอเยอะ)</t>
  </si>
  <si>
    <t>https://linear.app/cortexcloud/issue/SBH-211/customemr-ใบรบรองแพทยทกประเภท-49144</t>
  </si>
  <si>
    <r>
      <rPr>
        <sz val="10"/>
        <color rgb="FF000000"/>
        <rFont val="Tahoma"/>
        <family val="2"/>
      </rPr>
      <t xml:space="preserve">กำลังอยู่ระหว่างการดำเนินการ 
มี design แล้ว
</t>
    </r>
    <r>
      <rPr>
        <sz val="10"/>
        <color rgb="FFFF0000"/>
        <rFont val="Tahoma"/>
        <family val="2"/>
      </rPr>
      <t>revise med cer variation form ตามแพทยสภา</t>
    </r>
  </si>
  <si>
    <t>ใบรับรองแพทย์ – ระบุช่วงวันหยุด/วันลา</t>
  </si>
  <si>
    <t>ใบรับรองแพทย์เมื่อติ๊กนอนพักรักษา ควรเลือกช่วงวันได้ (ตั้งแต่วันไหนถึงวันไหน) + จำนวนวันลา; ปัจจุบันไม่มีระบุวันหยุด.</t>
  </si>
  <si>
    <t>เพิ่มช่องเลือกช่วงวัน/จำนวนวันในใบรับรองแพทย์.</t>
  </si>
  <si>
    <t>53, 146, 244</t>
  </si>
  <si>
    <r>
      <rPr>
        <sz val="11"/>
        <color rgb="FF000000"/>
        <rFont val="Aptos Narrow"/>
        <scheme val="minor"/>
      </rPr>
      <t xml:space="preserve">กำลังอยู่ระหว่างการดำเนินการ ตามข้อ 109
</t>
    </r>
    <r>
      <rPr>
        <sz val="11"/>
        <color rgb="FFFF0000"/>
        <rFont val="Aptos Narrow"/>
        <scheme val="minor"/>
      </rPr>
      <t>date from + date to or duration with cross calculation
ดู autocalculation ให้ดีเป็นจุดทำคะแนน เพราะปัจจุบัน SSB จะเอ๋อถ้าออกวันหยุดย้อนหลัง</t>
    </r>
  </si>
  <si>
    <t>ใบรับรองแพทย์ – มีน้อยเกินไป / หมวดหมู่เอกสารปนกัน</t>
  </si>
  <si>
    <t>เอกสารใบรับรองแพทย์มีน้อยไป; หมวดหมู่ของใบรับรองแพทย์มีเอกสารอื่นปนมา</t>
  </si>
  <si>
    <t>59, 141</t>
  </si>
  <si>
    <r>
      <rPr>
        <sz val="11"/>
        <color rgb="FF000000"/>
        <rFont val="Aptos Narrow"/>
        <scheme val="minor"/>
      </rPr>
      <t xml:space="preserve">กำลังอยู่ระหว่างการดำเนินการ ตามข้อ 109
</t>
    </r>
    <r>
      <rPr>
        <sz val="11"/>
        <color rgb="FFFF0000"/>
        <rFont val="Aptos Narrow"/>
        <scheme val="minor"/>
      </rPr>
      <t>มัขั้นต่ำ 4 อย่าง ขอตัวอย่างมาดูทั้งหมด + view แบบ Printed layout
ลอง recheck SSB clinic อีกที</t>
    </r>
  </si>
  <si>
    <t>Custom form – ใบมรณบัตร ข้อมูลหายไปไหน</t>
  </si>
  <si>
    <t>ใบตาย (มรณบัตร) หลังลงข้อมูลเสร็จไม่ทราบว่าข้อมูลไปอยู่ที่ไหน</t>
  </si>
  <si>
    <t>กำลังอยู่ระหว่างการดำเนินการ จะมีการเพิ่มในเอกสารประจำตัวและแนบท้าย OPD card</t>
  </si>
  <si>
    <t>ตรวจสอบปลายทางการบันทึกข้อมูล custom form ใบมรณบัตร.</t>
  </si>
  <si>
    <t>ไปคุยเรื่องแนวทาง Refer กับ Death หลังจากนี้</t>
  </si>
  <si>
    <t>ใบบันทึกข้อความ / ใบ Refer – จัดหมวดเอกสาร + drop-down ที่อยู่ + auto-fill</t>
  </si>
  <si>
    <t>ใบบันทึกข้อความควรอยู่ในหมวดเอกสาร + ใบ Refer; ใบ Refer ขอ dropdown ดึงข้อมูลที่อยู่; refer ควร auto-fill ข้อมูล; refer ต้องมีเอกสารหมายเลข 1.</t>
  </si>
  <si>
    <t>จัดใบบันทึกข้อความเข้าหมวดเอกสาร; ทำ dropdown ที่อยู่ + auto-fill ในใบ Refer (recheck); เพิ่มเอกสารหมายเลข 1 ของ refer.</t>
  </si>
  <si>
    <t>237, 267, 268, 269</t>
  </si>
  <si>
    <t>Download เอกสารเป็น PDF</t>
  </si>
  <si>
    <t>หน้าปริ้นเอกสารต่าง ๆ อยากให้เพิ่มปุ่ม download เป็น PDF.</t>
  </si>
  <si>
    <t>ระบบสามารถเซฟ pdf ได้จากหน้า Print</t>
  </si>
  <si>
    <t>ขอความเห็นจาก คณะกรรมการ</t>
  </si>
  <si>
    <t>แก้ไข้เรียบร้อยแล้ว มีอยู่แล้ว 
ตามหน้าที่ preview ค่อย ปริ๊นได้</t>
  </si>
  <si>
    <t>Banner – เพิ่มเบอร์โทร/ที่อยู่ปัจจุบัน</t>
  </si>
  <si>
    <t>อยากให้เพิ่มเบอร์โทรและที่อยู่ปัจจุบันของคนไข้บน banner หรือในประวัติผู้ป่วย.</t>
  </si>
  <si>
    <t>มีี Design แล้ว</t>
  </si>
  <si>
    <t>https://linear.app/cortexcloud/issue/SBH-702/patient-banner-ขอมลผปวย-เพมเบอรโทรบน-banner</t>
  </si>
  <si>
    <t>ขอเลือกเป็นปุ่มที่ใช้กดเพื่อโชว์ ไม่ต้อง display บน banner //
icon ใต้วันเกิด</t>
  </si>
  <si>
    <t>ประวัติผู้ป่วย – Palliative care / Living will</t>
  </si>
  <si>
    <t>เพิ่ม Palliative care: Living will ในหน้าประวัติติดตัวผู้ป่วย; เพิ่ม Palliation status + ไฟล์เอกสาร living will.</t>
  </si>
  <si>
    <t>กำลังอยู่ระหว่างการดำเนินการ ส่วนมากจะอยู่ในผู้ป่วย IPD</t>
  </si>
  <si>
    <t>เพิ่มฟิลด์ Palliation status + แนบเอกสาร living will ในประวัติผู้ป่วย.</t>
  </si>
  <si>
    <t>https://linear.app/cortexcloud/issue/SBH-703/patient-banner-ขอมลผปวย-ประวตผปวย-palliative-care-living-will</t>
  </si>
  <si>
    <t>93, 118, 274</t>
  </si>
  <si>
    <t>paliative / living will อยากให้อยู่แบบข้างๆ สถานะตั้งครรภ์
เคสตัวอย่าง คนไข้ request no CPR แต่สำลัก มันก้ต้องรักษามั้ยย</t>
  </si>
  <si>
    <t>ประวัติปกปิด (Confidential history)</t>
  </si>
  <si>
    <t>ไม่มีฟีเจอร์ประวัติปกปิด.</t>
  </si>
  <si>
    <t>เพิ่มฟีเจอร์ประวัติปกปิดตามสิทธิการเข้าถึง.</t>
  </si>
  <si>
    <t>https://linear.app/cortexcloud/issue/SBH-704/patient-banner-ขอมลผปวย-ประวตปกปด-confidential-history</t>
  </si>
  <si>
    <t>เข้าถึง/แก้ไขข้อมูล Demographic (ที่อยู่ เบอร์โทร)</t>
  </si>
  <si>
    <t>ต้องเข้าถึง เรียกดู และอัปเดตข้อมูล demographic คนไข้ได้ เช่น ที่อยู่ เบอร์โทร; อยากให้สิทธิ user nurse แก้ไขที่อยู่ปัจจุบันได้.</t>
  </si>
  <si>
    <t>สอบถามความเห็นของคณะกรรมการเพิ่มเติม policy ของพยาบาลในการแก้ไขประวัติคนไข้</t>
  </si>
  <si>
    <t>เพิ่มความสามารถแก้ไข demographic – ขึ้นกับ policy สิทธิของพยาบาล.</t>
  </si>
  <si>
    <t>พยาบาลสามารถแก้ไขเวชระเบียนได้หรือไม่
https://linear.app/cortexcloud/issue/SBH-702/patient-banner-ขอมลผปวย-เพมเบอรโทรบน-banner</t>
  </si>
  <si>
    <t>107, 115</t>
  </si>
  <si>
    <t>U/D</t>
  </si>
  <si>
    <t>เพิ่ม U/D ไม่ได้ / ลงข้อมูล U/D แล้วไม่ขึ้นด้านบน.</t>
  </si>
  <si>
    <t xml:space="preserve"> แก้ bug การเพิ่ม/แสดง U/D.</t>
  </si>
  <si>
    <t>ประวัติ Cardio สำคัญ – ตรวจสอบว่ามีเมนูแล้วข้างในมีข้อมูลหรือยัง : คุยกับInternalก่อน
เพิ่ม U/D ไม่ได้ / ลงข้อมูล U/D แล้วไม่ขึ้นด้านบน. : https://linear.app/cortexcloud/issue/SBH-353/bugopd-patient-info-เพมขอมลผปวยไมได-ud-maternal-status</t>
  </si>
  <si>
    <t>271, 235, 275</t>
  </si>
  <si>
    <t>เคยมีคุยแล้ว ซ้ำกับซักข้อมั้ย</t>
  </si>
  <si>
    <t>Banner – ข้อมูลเชื้อดื้อยาไม่แสดงบาง HN</t>
  </si>
  <si>
    <t>ส่วนแสดงข้อมูลเชื้อดื้อยาด้านบน บาง HN ไม่แสดง / ข้อมูลเชื้อดื้อยาหายไป.</t>
  </si>
  <si>
    <t>ยังไม่ชัดว่าต้องดึง/แสดงเชื้อดื้อยาจากตรงไหน – ตรวจสอบแหล่งข้อมูลและการ map.</t>
  </si>
  <si>
    <t>https://linear.app/cortexcloud/issue/SBH-705/bugpatient-banner-ขอมลผปวย-เชอดอยาแสดงเปนบาง-hn</t>
  </si>
  <si>
    <t>103, 128, 216</t>
  </si>
  <si>
    <t>เป็นสิ่งที่ตามผล lab ถ้าไม่มีไม่แสดง
แพทย์ยืนยัน ถ้าไม่มี ไม่แสดง
รพ มี policy ดึงมาแล้ว มีอายุ 6 เดือน</t>
  </si>
  <si>
    <t>เชื้อดื้อยา</t>
  </si>
  <si>
    <t>Flow การแสดงผลเชื้อดื้อยา</t>
  </si>
  <si>
    <t>https://linear.app/cortexcloud/issue/CTXN-872/emr-แสดงผลเชอดอยา</t>
  </si>
  <si>
    <t>เด๋วไป groom อีกที</t>
  </si>
  <si>
    <t>บันทึกประวัติคัดกรอง/โรคประจำตัวลงประวัติผู้ป่วย (พร้อมวันที่)</t>
  </si>
  <si>
    <t>ประวัติคัดกรอง โรคประจำตัว ประวัติสุขภาพครอบครัว การสูบบุหรี่ ฯลฯ ควรบันทึกในหน้าประวัติผู้ป่วย พร้อมวงเล็บวันที่ที่ให้ข้อมูล</t>
  </si>
  <si>
    <t>Static history ต้องเก็บใน patient demographic – แสดงพร้อมวันที่ที่บันทึก.</t>
  </si>
  <si>
    <t>https://linear.app/cortexcloud/issue/SBH-706/patient-banner-ขอมลผปวยimprovementประวตโรคประจำตวตอง-stamp-time</t>
  </si>
  <si>
    <t>108, 165</t>
  </si>
  <si>
    <t>แจ้งเตือนวัคซีน/สิทธิเชิงรุก (PP)</t>
  </si>
  <si>
    <t>ระบบควรแจ้งเตือนกรณีคนไข้เด็กต้องฉีดวัคซีนต่อเนื่องแล้วมาเกินนัด; และ alert สิทธิเชิงรุก เช่น คัดกรองมะเร็งเต้านม (แสดงเฉพาะคนที่ยังไม่ใช้สิทธิ).</t>
  </si>
  <si>
    <t>พัฒนาระบบ alert งานส่งเสริมสุขภาพป้องกันโรค (PP) ตามสิทธิ/ช่วงอายุ.</t>
  </si>
  <si>
    <t>อดทน ทำในเว็บไปก่อนนะคะ</t>
  </si>
  <si>
    <t>105, 171</t>
  </si>
  <si>
    <t>ยา Vaccine ที่สั่ง – บันทึกเข้าประวัติ Vaccine อัตโนมัติ</t>
  </si>
  <si>
    <t>ยา vaccine ที่สั่งจาก รพ. ควรเข้าไปบันทึกในประวัติ vaccine ได้เลย; Vaccine screen ควรดึงข้อมูลมาแสดงเวลาแพทย์สั่ง.</t>
  </si>
  <si>
    <t>เชื่อม order vaccine -&gt; ประวัติ vaccine (ข้อ 166 ทีมเดิมตอบ no – ทบทวน).</t>
  </si>
  <si>
    <t>https://linear.app/cortexcloud/issue/SBH-707/vaccine-ยา-vaccine-ทสง-บนทกเขาประวต-vaccine-อตโนมต</t>
  </si>
  <si>
    <t>117, 166</t>
  </si>
  <si>
    <t>จะต่อกับ Moph vac ด้วยล่ะ</t>
  </si>
  <si>
    <t>Vaccine screen – link ไปหน้าประวัติการฉีด / record OPD chart</t>
  </si>
  <si>
    <t>ฟอร์มคัดกรอง Vaccine screen อยากมีปุ่ม link ไปหน้าประวัติการฉีดยา; ระบบควรเชื่อมการดึง record vaccine ใน OPD Chart.</t>
  </si>
  <si>
    <t xml:space="preserve">Check ประวัติวัคซีนที่เชื่อม MOPH. </t>
  </si>
  <si>
    <t>https://linear.app/cortexcloud/issue/CTXN-1139/openehr-template-vaccine-history</t>
  </si>
  <si>
    <t>167, 186, 245</t>
  </si>
  <si>
    <t>ต่อเนื่องจากข้อบน</t>
  </si>
  <si>
    <t>Vaccine – ไม่ต้อง require lot / วันหมดอายุ</t>
  </si>
  <si>
    <t>วัคซีนไม่ขอกรอก lot และวันหมดอายุ หรือมีได้แต่ไม่ต้อง require.</t>
  </si>
  <si>
    <t>กำลังอยู่ระหว่างการดำเนินการ ปรับแก้ Lot และ วันหมดอายุเป็น Not require</t>
  </si>
  <si>
    <t>ปรับฟิลด์ lot/วันหมดอายุของวัคซีนเป็น optional.</t>
  </si>
  <si>
    <t>https://linear.app/cortexcloud/issue/SBH-708/vaccine-vaccine-ไมตอง-require-lot-วนหมดอาย</t>
  </si>
  <si>
    <r>
      <rPr>
        <sz val="11"/>
        <color rgb="FFFF0000"/>
        <rFont val="Aptos Narrow"/>
        <scheme val="minor"/>
      </rPr>
      <t xml:space="preserve">lot และ EXP ให้เอาออกเลย
</t>
    </r>
    <r>
      <rPr>
        <sz val="11"/>
        <color rgb="FF000000"/>
        <rFont val="Aptos Narrow"/>
        <scheme val="minor"/>
      </rPr>
      <t>เดิมเคยให้เป็น not required</t>
    </r>
  </si>
  <si>
    <t>Discharge Summary – แสดงยอดค่าใช้จ่ายรวมในหน้าเดียว</t>
  </si>
  <si>
    <t>อยากมีช่องรวมยอดค่าใช้จ่ายทั้งหมดในหน้าเดียว (คนไข้เงินสดมักถามยอดรวมก่อน) เพื่อแจ้ง คชจ. ผู้ป่วยได้.</t>
  </si>
  <si>
    <t xml:space="preserve">กำลังอยู่ระหว่างการดำเนินการ เพิ่ม total charge ในหน้าแสดงราคา </t>
  </si>
  <si>
    <t>มี design แล้ว – ระบุผู้รับผิดชอบและพัฒนาหน้าสรุปค่าใช้จ่ายรวม.</t>
  </si>
  <si>
    <t>177, 251</t>
  </si>
  <si>
    <t>Discharge ควรเป็น Section แยก เพราะหมอกด Discharge ไม่ได้</t>
  </si>
  <si>
    <t>Discharge ควรเป็น Section แยก</t>
  </si>
  <si>
    <t>https://linear.app/cortexcloud/issue/SBH-709/discharge-สรปคาใชจาย-ทำ-discharge-เปน-section-แยก</t>
  </si>
  <si>
    <t>งั้นก้ให้ทำคล้ายๆปุ่ม Save ของ OPD note ของหมอ 
(ให้มี Fixed position)</t>
  </si>
  <si>
    <t>DF (ค่าธรรมเนียมแพทย์) – ผูกตามสิทธิอัตโนมัติ + รวมใน order</t>
  </si>
  <si>
    <t>DF เบิกได้ตามสิทธิ อยากให้ผูกให้เลย ไม่ให้หมอไปยุ่งกับค่าตรวจ; DF ควรคิดรวมในรายการ order กันพลาดเวลาคิดเงิน.</t>
  </si>
  <si>
    <t>DF สามารถตั้งค่าตาม Clinic ได้ และตามระบบจะเป็น Range รองรับคลินิกที่มีการใช้ค่า DF หลายค่า ทั้งนี้สามารถตั้งค่าเดียวได้</t>
  </si>
  <si>
    <t>ระบบทำได้บางส่วนแล้ว – เพิ่มกรณี Min-Max เท่ากันให้ขึ้นเลขเลย; รวม DF เข้า order summary.</t>
  </si>
  <si>
    <t>https://linear.app/cortexcloud/issue/SBH-710/discharge-สรปคาใชจายimprovement-คา-df</t>
  </si>
  <si>
    <t>98, 139</t>
  </si>
  <si>
    <t>UC 30 thb
CS 50 thb
ให้มีตามที่ design</t>
  </si>
  <si>
    <t>Admit – เลือกแผนกที่ admit + ใบ order</t>
  </si>
  <si>
    <t>ส่วน admit ควรเลือกแผนกที่จะ admit (ไม่เลือกหอ) และควรมีใบ order ด้วย เพื่อให้แพทย์จบงานในส่วนนี้ได้.</t>
  </si>
  <si>
    <t>Module IPD กำลังอยู่ระหว่างการดำเนินการเพิ่มเติมตามข้อเสนอแนะ</t>
  </si>
  <si>
    <t>ออกแบบ admit order ให้เลือกแผนก + แนบใบ order.</t>
  </si>
  <si>
    <t>https://linear.app/cortexcloud/issue/SBH-711/รอรปจากซา-discharge-สรปคาใชจาย-ใบ-order-admit</t>
  </si>
  <si>
    <t>รอมี IPD แล้วค่อยมาคุย
ให้เลือกหอผู้ป่วยทีหลัง</t>
  </si>
  <si>
    <t>คนไข้ค่าไตเกิน (CT) – เซ็นยาที่จ่ายเอง (co-pay)</t>
  </si>
  <si>
    <t>คนไข้ CT ค่าไตเกิน ต้องเซ็นยาที่จ่ายเอง.</t>
  </si>
  <si>
    <t>กำลังอยู่ระหว่างการดำเนินการ ขอปรึกษาคณะกรรมการในส่วนของ Usecase และ การทำงานปัจจุบัน</t>
  </si>
  <si>
    <t>เพิ่มเอกสาร co-pay สำหรับกรณีจ่ายเอง.</t>
  </si>
  <si>
    <t>ยาที่เซนจ่ายเองอันนี้อยู่ในกรณียาในบัญชี เหตุผล จ. หรือยาที่เซตราคา Copay ไหม หรือเรามีพัฒนาส่วนที่ติ๊กจ่ายเงินเองหรือยัง</t>
  </si>
  <si>
    <t>เหลือทำใบ copay ให้เรียบร้อย</t>
  </si>
  <si>
    <t>Layout ตัวเล็กมองยาก</t>
  </si>
  <si>
    <t>Layout โดยรวมดี แต่ตัวหนังสือเล็ก มองยาก.</t>
  </si>
  <si>
    <t>แจ้งผู้ใช้แล้วว่าซูมเข้า-ออกได้ตาม browser; พิจารณาปรับ default font size.</t>
  </si>
  <si>
    <t>https://linear.app/cortexcloud/issue/SBH-712/display-layout-ux-all-above-improvement-ux</t>
  </si>
  <si>
    <t xml:space="preserve">เคยมีคุยแล้ว ต้องไปปรับ design รวมๆ </t>
  </si>
  <si>
    <t>หน้าจอ default ส่วนตัวตามแพทย์ (widget)</t>
  </si>
  <si>
    <t>หน้าจอควร default ส่วนตัวตามแพทย์ได้; สิ่งที่อยากเห็นในตารางออกตรวจ เช่น ชื่อตัวเอง วันที่ออกตรวจ.</t>
  </si>
  <si>
    <t>รับไว้พิจรณาในการพัฒนา Product ในอนาคต</t>
  </si>
  <si>
    <t>พิจารณาให้ผู้ใช้ตั้งค่า widget/หน้าจอส่วนตัวเองได้.</t>
  </si>
  <si>
    <t>61, 194</t>
  </si>
  <si>
    <t>CF ว่าเอา after go live 
ไม่มีไม่เป็นไรๆ</t>
  </si>
  <si>
    <t>ลด scroll / เห็นข้อมูลในหน้าเดียว (concept หลัก)</t>
  </si>
  <si>
    <t>Concept รวม: คลิกน้อยที่สุด เลื่อนน้อยที่สุด เห็นในทีเดียว – ใช้กับทุกหน้าหลัก (patient banner ยึด OPD Note เป็นหลัก).</t>
  </si>
  <si>
    <t>ยึดเป็นหลักการออกแบบ UX รวม (บางส่วนทีมระบุ too hard – จัดลำดับความสำคัญ).</t>
  </si>
  <si>
    <t>215, 217</t>
  </si>
  <si>
    <t>จะพยายาม</t>
  </si>
  <si>
    <t>Discharge dropdown เลือกอันล่างสุดไม่ได้</t>
  </si>
  <si>
    <t>Discharge dropdown บางครั้งเลือกตัวเลือกล่างสุดไม่ได้.</t>
  </si>
  <si>
    <t>แก้ bug FE ของ dropdown (ตัวเลือกล่างสุดถูกบัง).</t>
  </si>
  <si>
    <t>ไม่เป็นแล้ว</t>
  </si>
  <si>
    <t>set form / template ลดการพิมพ์ note ซ้ำ</t>
  </si>
  <si>
    <t>อยากให้ set form ได้ ไม่ต้องพิมพ์ note หลายครั้ง.</t>
  </si>
  <si>
    <t>ทำ template note ที่ตั้งค่าล่วงหน้าได้.</t>
  </si>
  <si>
    <t>Check เรื่อง Template</t>
  </si>
  <si>
    <t>แพทย์บอก  Before go live ได้</t>
  </si>
  <si>
    <t>Performance – หน้า OPD Note โหลดนาน / ข้อมูลเยอะ</t>
  </si>
  <si>
    <t>หน้า OPD Note โหลดนาน; กรณี record ข้อมูลเยอะมากกังวลว่าระบบจะช้า และการแสดงผลเปรียบเทียบจะเป็น scroll ยาวหรือแบ่งหน้า.</t>
  </si>
  <si>
    <t>ควรมี performance test; ออกแบบการแสดงข้อมูลจำนวนมาก (paging) ให้รองรับ.</t>
  </si>
  <si>
    <t>จะมีการ performance ร่วมกับ IT Team</t>
  </si>
  <si>
    <t>39, 201</t>
  </si>
  <si>
    <t>อยู่ที่ API สู้ๆ เป็นข้อกังวล</t>
  </si>
  <si>
    <t>คัดกรองก่อน assign แพทย์ / flow walk-in</t>
  </si>
  <si>
    <t>ต้องมีการคัดกรองก่อน assign แพทย์; กรณีลงชุมชนอยากเห็น flow ตั้งแต่คนไข้ walk-in จนเลือกแพทย์ได้.</t>
  </si>
  <si>
    <r>
      <rPr>
        <sz val="10"/>
        <color rgb="FF000000"/>
        <rFont val="Tahoma"/>
        <family val="2"/>
      </rPr>
      <t xml:space="preserve"> - เพิ่มปุ่ม pre assessment ในหน้า walk in request
 - ปรับให้ สามารถกรอก pre assessment ได้โดยที่ยังไม่ assign แพทย์ (แบบไม่บังคับ)
</t>
    </r>
    <r>
      <rPr>
        <sz val="10"/>
        <color rgb="FFFFC000"/>
        <rFont val="Tahoma"/>
        <family val="2"/>
      </rPr>
      <t xml:space="preserve">คุยกับ Internal team (SOS)
</t>
    </r>
    <r>
      <rPr>
        <sz val="10"/>
        <color rgb="FF000000"/>
        <rFont val="Tahoma"/>
        <family val="2"/>
      </rPr>
      <t xml:space="preserve"> *** revise ด้วยว่ามี conflict กับคลินิกที่ต้องการ by pass การซักประวัติหรือเปล่า (SBH-488)
 *** clarify flow ชุมชนกับผู้ใช้หน้างาน</t>
    </r>
  </si>
  <si>
    <t>https://linear.app/cortexcloud/issue/SBH-713/คดกรองกอน-assign-แพทย-flow-walk-in-คดกรองกอน-assign-แพทย-flow-walk-in</t>
  </si>
  <si>
    <t>131, 178</t>
  </si>
  <si>
    <t>ทำตามแผน + คุยกับทีม</t>
  </si>
  <si>
    <t>ตารางตรวจแพทย์ / วันหยุดแพทย์ – การตั้งค่า &amp; permission</t>
  </si>
  <si>
    <t>การตั้งค่าตารางตรวจแพทย์ (ปชส. ทำ) และตั้งค่าวันหยุดแพทย์ (ศูนย์คอมทำ).</t>
  </si>
  <si>
    <t>สามารถทำงานได้ตาม Role ที่กำหนด</t>
  </si>
  <si>
    <t>Policy ระบุ: หัวหน้าแผนกตั้งตารางตรวจ (permission); ตั้งวันหยุดแพทย์ – ทีมเดิมตอบ no.</t>
  </si>
  <si>
    <t>252, 253</t>
  </si>
  <si>
    <t>เป็นเรื่องการตั้งค่าที่น่าจะทำโดย admin</t>
  </si>
  <si>
    <t>ER – consult/แพทย์เวร</t>
  </si>
  <si>
    <t>กรณี ER การสร้าง consult request จะไม่ได้ consult คลินิกแต่เป็นแพทย์เวร แพทย์ที่ได้รับมอบหมายจะแก้ไขอย่างไร.</t>
  </si>
  <si>
    <t>Module ER</t>
  </si>
  <si>
    <t>Module ER กำลังอยู่ระหว่างการดำเนินการเพิ่มเติมตามข้อเสนอแนะ</t>
  </si>
  <si>
    <t>ทีมตอบ no (ยังไม่มี ER ตอนนี้).</t>
  </si>
  <si>
    <t>ยังไม่มี ER ตอนนี้ / ER จะ consult ยังไง แต่ละแผนกรับยังไงต้องดูตามแผนก ดู policy ด้วย 
ประเด็น sensitive</t>
  </si>
  <si>
    <t>=countif(F2:F141, "Completed")</t>
  </si>
  <si>
    <t>=countif(F2:F141, "To-do")</t>
  </si>
  <si>
    <t>ลำดับ</t>
  </si>
  <si>
    <t>Wave / Phase</t>
  </si>
  <si>
    <t>การ์ด (Linear / Note)</t>
  </si>
  <si>
    <t>Due</t>
  </si>
  <si>
    <t>สรุปประเด็น</t>
  </si>
  <si>
    <t>Frontend</t>
  </si>
  <si>
    <t>Backend</t>
  </si>
  <si>
    <t>Designer (UX/UI)</t>
  </si>
  <si>
    <t>คำแนะนำ / Comment ทีม</t>
  </si>
  <si>
    <t>อ้างอิงเลขเดิม</t>
  </si>
  <si>
    <t>TOR</t>
  </si>
  <si>
    <t>tracking</t>
  </si>
  <si>
    <t>script</t>
  </si>
  <si>
    <t>🔴 Wave 1 — ก่อน 18 มิ.ย.</t>
  </si>
  <si>
    <t>CTXN-2451</t>
  </si>
  <si>
    <t>ฟอร์มคัดกรอง</t>
  </si>
  <si>
    <t>ฟอร์มคัดกรอง/OPD Note หายเมื่อสลับหน้า</t>
  </si>
  <si>
    <t>กดประวัติการรักษาแล้วฟอร์มคัดกรองหาย; OPD Note หายเมื่อเปิดคู่กับประวัติ</t>
  </si>
  <si>
    <t>แก้ bug การ render state ของฟอร์มคัดกรอง/OPD Note เมื่อ navigate</t>
  </si>
  <si>
    <t>ตรวจสอบ state management/route ของฟอร์ม</t>
  </si>
  <si>
    <t>Urgent bug</t>
  </si>
  <si>
    <t>#34</t>
  </si>
  <si>
    <t>complete on dev-X</t>
  </si>
  <si>
    <t>CTXN-2460</t>
  </si>
  <si>
    <t>Activity ลบ order ไม่ได้; สั่ง Activity แล้วขึ้น error มุมขวาบน</t>
  </si>
  <si>
    <t>แก้ bug การลบ + handle error การสั่ง Activity</t>
  </si>
  <si>
    <t>ตรวจสอบ permission/state ของ Activity</t>
  </si>
  <si>
    <t>#79</t>
  </si>
  <si>
    <t>SBH-643</t>
  </si>
  <si>
    <t>LAB Result</t>
  </si>
  <si>
    <t>Report time / timestamp ของผล Lab</t>
  </si>
  <si>
    <t>ให้เพิ่มเวลา report time ในการแสดงผล Lab</t>
  </si>
  <si>
    <t>เพิ่มฟิลด์เวลาออกผลใน UI แสดงผล Lab</t>
  </si>
  <si>
    <t>เก็บ/ส่ง field report time จาก LIS/ฐานข้อมูล</t>
  </si>
  <si>
    <t>Urgent – ทำเป็นข้อแรกของกลุ่ม Lab Result</t>
  </si>
  <si>
    <t>#3</t>
  </si>
  <si>
    <t>SBH-648</t>
  </si>
  <si>
    <t>ส่วน GCS (เช่น ลืมตา/ไม่ลืมตา) ปัจจุบันเลือกแล้วยกเลิกไม่ได้ ต้องเลือกอย่างใดอย่างหนึ่ง.
Widget มีปัญหา</t>
  </si>
  <si>
    <t>ทำ radio/checkbox ของ GCS ให้ยกเลิก/ล้างตัวเลือกได้</t>
  </si>
  <si>
    <t> Widget มีปัญหา</t>
  </si>
  <si>
    <t>#35</t>
  </si>
  <si>
    <t>completed</t>
  </si>
  <si>
    <t>SBH-695</t>
  </si>
  <si>
    <t>นัดหมาย (Appointment)</t>
  </si>
  <si>
    <t>Refill – ไม่คำนวณจำนวนอัตโนมัติ / ไม่มีนัด refill</t>
  </si>
  <si>
    <t>สร้างนัด refill ได้แต่ต้องใส่จำนวนทุกครั้ง ไม่คำนวณอัตโนมัติ; ไม่มีนัดหมาย refill</t>
  </si>
  <si>
    <t>UI สร้างนัด refill</t>
  </si>
  <si>
    <t>Logic auto-calc จำนวนตาม refill + nopposit type refill</t>
  </si>
  <si>
    <t>Urgent + Refill เป็น feature สำคัญ
Need SOS to iden process gap</t>
  </si>
  <si>
    <t>#98</t>
  </si>
  <si>
    <t>card updated// to do</t>
  </si>
  <si>
    <t>design done/ เสริม logic/ เพิ่มนัด refill</t>
  </si>
  <si>
    <t>CTXN-2452</t>
  </si>
  <si>
    <t>Imaging (IMG)</t>
  </si>
  <si>
    <t>On Going</t>
  </si>
  <si>
    <t>Bug: เลือกวันอื่นไม่ได้ + ทีมขอ feature waiting list/ดูคิว/ตอบรับ-ปฏิเสธ คล้าย consult</t>
  </si>
  <si>
    <t>แก้ bug การเลือกวันที่ใน Img/Lab checklist</t>
  </si>
  <si>
    <t>(workaround) ออกแบบ status คิว/ตอบรับ-ปฏิเสธคล้าย consult</t>
  </si>
  <si>
    <t>ออกแบบ flow waiting list ของ X-ray (reply mechanism)</t>
  </si>
  <si>
    <t>Comment ทีม: X-ray ไม่ควร on paper, ต้องรู้คิว, อาจทำคล้าย consult</t>
  </si>
  <si>
    <t>#22</t>
  </si>
  <si>
    <t>backlog</t>
  </si>
  <si>
    <t>waiting for fix bug</t>
  </si>
  <si>
    <t>Allergy / Order ยา</t>
  </si>
  <si>
    <t>18 มิ.ย. (ยกจาก Before Go-live)</t>
  </si>
  <si>
    <t>ปัจจุบันแจ้งเตือนแพ้แบบกลุ่มไม่ได้ – ต้องตรวจ drug class</t>
  </si>
  <si>
    <t>UI alert แสดงกลุ่มยาที่แพ้ + ยาใกล้เคียง</t>
  </si>
  <si>
    <t>CDSS engine ตรวจสอบ drug class / cross-reactivity</t>
  </si>
  <si>
    <t>ยกขึ้น W1 เพราะเกี่ยวเนื่องโดยตรงกับ #48 (severity level)</t>
  </si>
  <si>
    <t>#50</t>
  </si>
  <si>
    <t>on going // หาคนรับช่วงต่อ</t>
  </si>
  <si>
    <t>Check Prefill กับ User</t>
  </si>
  <si>
    <t>OPD Note auto-fill จากข้อมูลพยาบาล (เน้น CC)</t>
  </si>
  <si>
    <t>เน้น CC ที่สุด + เน้นย้ำ feature retrieve</t>
  </si>
  <si>
    <t>Auto-fill ช่อง CC ใน OPD Note จากข้อมูลพยาบาล + ปุ่ม retrieve ประวัติ</t>
  </si>
  <si>
    <t>API ดึง CC จากฟอร์มคัดกรอง; logic retrieve ประวัติ</t>
  </si>
  <si>
    <t>ระบุ field ใดบ้างที่ prefill ได้ (เช็คกับ user)</t>
  </si>
  <si>
    <t>ต้องเช็คกับ user ก่อน ว่า prefill ส่วนไหนบ้าง</t>
  </si>
  <si>
    <t>#45</t>
  </si>
  <si>
    <t>Data – product.code MED</t>
  </si>
  <si>
    <t>Order – ยา (Med)</t>
  </si>
  <si>
    <t>การสั่งยาตัวพิมพ์ใหญ่/เล็กมีผล (case-sensitive)</t>
  </si>
  <si>
    <t>การค้นหา/สั่งยา ตัวพิมพ์ใหญ่-พิมพ์เล็กมีผล</t>
  </si>
  <si>
    <t>Search ของ CPOE ทำ case-insensitive</t>
  </si>
  <si>
    <t>ตรวจสอบ data product.code MED ว่ามีปัญหา case หรือไม่; index แบบ case-insensitive</t>
  </si>
  <si>
    <t>Done ไม่ต้องแก้</t>
  </si>
  <si>
    <t>#59</t>
  </si>
  <si>
    <t>PACS – Check X-ray Result</t>
  </si>
  <si>
    <t>ผล Imaging ขาด summary/detail – ปรับ format</t>
  </si>
  <si>
    <t>HELP!!</t>
  </si>
  <si>
    <t>case HN6903210: ผล x-ray บางส่วนขาด summary และ detail</t>
  </si>
  <si>
    <t>ปรับ UI render ผล Imaging ตาม format ที่สรุป</t>
  </si>
  <si>
    <t>ทีมยังไม่สรุปว่าจะส่งผลเป็น HTML ล้วนหรือเป็น field – ต้องคุย PACS</t>
  </si>
  <si>
    <t>ตัดสินใจ format การส่งผล (HTML vs structured field)</t>
  </si>
  <si>
    <t>ต้องนัดคุย PACS เพื่อสรุป format ก่อน</t>
  </si>
  <si>
    <t>#19</t>
  </si>
  <si>
    <t xml:space="preserve">NEED HELP!! </t>
  </si>
  <si>
    <t>ต้องคุยอีกที ว่า PACS ส่งข้อมูลกลับยังไง น่าจะ Mock up โชว์ได้</t>
  </si>
  <si>
    <t>SBH-399</t>
  </si>
  <si>
    <t>Rich text + insert/copy paste/ลากแบบ google drive; บางอันให้แสดงเป็นเอกสารแนบมี thumbnail</t>
  </si>
  <si>
    <t>ฝัง rich text editor + upload/paste image; thumbnail attachment</t>
  </si>
  <si>
    <t>รอ widget จากพี่ฟลุค/พี่ปั๋ม; storage รูป/ไฟล์</t>
  </si>
  <si>
    <t>ระบุว่าแต่ละ section ของ OPD Note section ไหนรองรับ rich text</t>
  </si>
  <si>
    <t>Recheck กับ dev-x; รอ widget จาก พี่ฟลุค/พี่ปั๋ม</t>
  </si>
  <si>
    <t>#36</t>
  </si>
  <si>
    <t>on going</t>
  </si>
  <si>
    <t>done // wait  for retest multimedia tools</t>
  </si>
  <si>
    <t>SBH-409</t>
  </si>
  <si>
    <t>ของ SBH ปัจจุบันต่อผ่าน Intranet เนื่องจากรวมหลายเครื่อง</t>
  </si>
  <si>
    <t>เพิ่มปุ่ม/link เปิดรูปจาก PACS ในหน้าผล X-ray</t>
  </si>
  <si>
    <t>พัฒนาการเชื่อมต่อ PACS (web service / intranet link)</t>
  </si>
  <si>
    <t>ยกขึ้น W1 เพราะเป็นพื้นฐานของ Imaging ทั้งหมด</t>
  </si>
  <si>
    <t>#18</t>
  </si>
  <si>
    <t>NEED HELP!!</t>
  </si>
  <si>
    <t>ยกขึ้น W1 เพราะเป็นพื้นฐานของ Imaging ทั้งหมด // ยังคงรอ</t>
  </si>
  <si>
    <t>SBH-417</t>
  </si>
  <si>
    <t>Order – ทั่วไป</t>
  </si>
  <si>
    <t>รายการราคาหัตถการต้องรวมทุก order (Discharge Summary)</t>
  </si>
  <si>
    <t>Summary รวมราคาหัตถการในหน้า order</t>
  </si>
  <si>
    <t>Logic รวมราคาทุก order ใน Discharge</t>
  </si>
  <si>
    <t>Same card SBH-417 กับ #61 และ #127</t>
  </si>
  <si>
    <t>#69</t>
  </si>
  <si>
    <t>to do</t>
  </si>
  <si>
    <t>in progress</t>
  </si>
  <si>
    <t>Discharge / สรุปค่าใช้จ่าย</t>
  </si>
  <si>
    <t>ช่องรวมยอดค่าใช้จ่ายทั้งหมดในหน้าเดียว (คนไข้เงินสดถามยอดรวมก่อน)</t>
  </si>
  <si>
    <t>Discharge summary view แสดงยอดรวม</t>
  </si>
  <si>
    <t>Logic รวมค่าใช้จ่าย (med + procedure + Lab + IMG)</t>
  </si>
  <si>
    <t>Design มีอยู่แล้ว – ระบุผู้รับผิดชอบ</t>
  </si>
  <si>
    <t>Same card SBH-417 กับ #61, #69</t>
  </si>
  <si>
    <t>#127</t>
  </si>
  <si>
    <t>ใช้หน้า OPD ในการแสดงข้อมูลนี้</t>
  </si>
  <si>
    <t>ยานอกบัญชี – ราคา default และรวมราคา</t>
  </si>
  <si>
    <t>ยานอกบัญชีควรมีราคา default และรวมราคา (เกี่ยวกับ Discharge Summary)</t>
  </si>
  <si>
    <t>แสดงราคา default + รวมราคาใน order summary</t>
  </si>
  <si>
    <t>Masterdata ราคายา nonED + logic รวมราคา</t>
  </si>
  <si>
    <t>Same card SBH-417 กับ #69 (ราคาหัตถการ) และ #127 (Discharge Summary)</t>
  </si>
  <si>
    <t>#61</t>
  </si>
  <si>
    <t>SBH-642</t>
  </si>
  <si>
    <t>Filter &amp; Search ผล Lab ใช้งานไม่ได้</t>
  </si>
  <si>
    <t>ค้นแล้วไม่ขึ้นข้อมูล – Result ID ยังไม่ผูก Order ID; ผูก masterdata แล้วแต่ search ไม่ได้</t>
  </si>
  <si>
    <t>ทำ filter dropdown ตามกลุ่ม Lab / Auto-clear text หลังเลือกผล / ปรับ UI ช่อง search</t>
  </si>
  <si>
    <t>Sync Result ID ↔ Order ID; เชื่อม LIS ให้ส่งรหัส order กลับมา; migration ผล Lab เก่ายังไม่มี</t>
  </si>
  <si>
    <t>ทีมยืนยัน: ยกขึ้น W1 เพราะเป็น dependency ของ #2/#8/#11. ต้อง test ให้ครบก่อน Go-live</t>
  </si>
  <si>
    <t>#1</t>
  </si>
  <si>
    <t>search ใช้งานได้ แต่ยังไม่สามารถ Filter by group แต่เท่าที่ดูเป็น FB not TOR //
card ย่อย SBH-872 ยังหาคน fix bug // ด่วน!!</t>
  </si>
  <si>
    <t>ไม่มี filter ในหน้าผล Lab</t>
  </si>
  <si>
    <t>ขอ filter ตาม Lab type/group (ตัด filter ตาม status ออกตาม comment ทีม)</t>
  </si>
  <si>
    <t>เพิ่ม filter dropdown ตาม lab type/group ในหน้าผล Lab</t>
  </si>
  <si>
    <t>ดึง masterdata Lab type/group มาให้ FE</t>
  </si>
  <si>
    <t>ทีมยืนยัน: เอา filter status ออก ใช้แค่ type/group; update to card SBH-642</t>
  </si>
  <si>
    <t>#2</t>
  </si>
  <si>
    <t>SBH-647</t>
  </si>
  <si>
    <t>ซ่อน section ไม่เกี่ยวข้องโดย default + ปรับ UD/EVM</t>
  </si>
  <si>
    <t>ตั้งครรภ์/ให้นม/รอบเดือน ซ่อน default; UD ขอ free text แทน checkbox; ดึง UD ที่ confirm แล้วลงมา; EVM ขอ compact + tab</t>
  </si>
  <si>
    <t>Conditional display section; เพิ่ม free text UD + dropdown UD ที่ confirm; compact EVM + tab</t>
  </si>
  <si>
    <t>Logic ดึง UD confirmed; data model UD ที่รองรับ multiselect สำหรับงานวิจัย</t>
  </si>
  <si>
    <t>ออกแบบ EVM compact + tab; UD multiselect ที่เป็นระบบ</t>
  </si>
  <si>
    <t>BA comment: โรคประจำตัว common ควร multiselect รองรับงานวิจัย</t>
  </si>
  <si>
    <t>#37</t>
  </si>
  <si>
    <t>ฟอร์มคัดกรอง – ตัด PE ออก แต่เก็บ Triage</t>
  </si>
  <si>
    <t>PE ออก, Triage ยังเก็บ</t>
  </si>
  <si>
    <t>ตัด section PE ออกจากฟอร์มคัดกรอง; เก็บ Triage</t>
  </si>
  <si>
    <t>card updated</t>
  </si>
  <si>
    <t>#38</t>
  </si>
  <si>
    <t>SBH-659</t>
  </si>
  <si>
    <t>Vital Signs (V/S)</t>
  </si>
  <si>
    <t>Timestamp ของ V/S – บันทึก/แสดงเวลา + audit</t>
  </si>
  <si>
    <t>ต้องการ audit (ดูได้ว่าใครแก้เวลา); แก้ได้แต่จบเคสแล้วห้ามแก้; ลงผิดลบได้มั้ย</t>
  </si>
  <si>
    <t>UI แสดง timestamp + edit history; lock การแก้หลังจบเคส</t>
  </si>
  <si>
    <t>เก็บ audit log timestamp + ผู้แก้ไข; logic lock หลัง discharge</t>
  </si>
  <si>
    <t>ออกแบบ UI audit/edit V/S + policy การลบ</t>
  </si>
  <si>
    <t>need design – ต้องสรุปเรื่องการลบและ audit ก่อน</t>
  </si>
  <si>
    <t>#24</t>
  </si>
  <si>
    <t>inprogress</t>
  </si>
  <si>
    <t>SBH-665</t>
  </si>
  <si>
    <t>บันทึกค่า V/S วิกฤตไม่ได้ (เช่น BP 57/41)</t>
  </si>
  <si>
    <t>กรณี shock ต้องบันทึกได้ – ลองหาทางใหม่ในการ prevent extreme data; ทีมแพทย์ไม่ซื้อการล็อก</t>
  </si>
  <si>
    <t>ปลดล็อก validation ค่าต่ำ; แสดง alert/confirm แทนการบล็อก</t>
  </si>
  <si>
    <t>ปรับ logic validation ค่า V/S extreme (warn ไม่ block)</t>
  </si>
  <si>
    <t>แพทย์ไม่ซื้อการล็อก – ใช้ confirm dialog แทน</t>
  </si>
  <si>
    <t>#31</t>
  </si>
  <si>
    <t>น่าจะแก้ไปแล้ว ไม่ได้ปรับ status</t>
  </si>
  <si>
    <t>SBH-672</t>
  </si>
  <si>
    <t>พยาบาลลงประวัติแพ้ยาได้ตั้งแต่ซักประวัติ</t>
  </si>
  <si>
    <t>พยาบาลกรอกได้ หมอดูได้ แต่ไม่เข้า banner ประวัติแพ้ยา; เภสัชเป็นผู้ลง/verify เข้า banner</t>
  </si>
  <si>
    <t>เพิ่มช่องแพ้ยาในฟอร์มคัดกรอง (พยาบาล); แสดงในหน้าหมอแบบ pending verification</t>
  </si>
  <si>
    <t>Data model: pending allergy (จากพยาบาล) vs verified allergy (เภสัช)</t>
  </si>
  <si>
    <t>ออกแบบ flow pending vs verified แพ้ยา</t>
  </si>
  <si>
    <t>ยกขึ้น W1 เพราะเป็น foundation ของ #48 และ #50
Card update / due date shift up</t>
  </si>
  <si>
    <t>#46</t>
  </si>
  <si>
    <t>backlog for dev</t>
  </si>
  <si>
    <t>design done</t>
  </si>
  <si>
    <t>Workflow Verify allergy (เภสัช confirm + severity)</t>
  </si>
  <si>
    <t>ลงข้อมูล → รอ confirm โดยเภสัช/แพทย์; ใส่ผลประเมิน + severity + รองรับการแพ้อื่น ๆ</t>
  </si>
  <si>
    <t>UI สถานะ verified/pending + ฟอร์มประเมิน severity</t>
  </si>
  <si>
    <t>API confirm workflow + severity scoring; integration กับ banner</t>
  </si>
  <si>
    <t>ออกแบบ workflow verification + UI สำหรับเภสัช</t>
  </si>
  <si>
    <t>ต้องคุยพี่บุค policy ก่อน</t>
  </si>
  <si>
    <t>#47</t>
  </si>
  <si>
    <t>แตกการ์ดใหม่? //card updated</t>
  </si>
  <si>
    <t>SBH-673</t>
  </si>
  <si>
    <t>Alert ยา – level ความรุนแรง + Hard stop</t>
  </si>
  <si>
    <t>ทีมแพทย์ต้องการ Hard stop (LOCK); ถ้ายืนยันสั่ง recheck workflow; ต้องถามพี่บุค policy คณะกรรมการความปลอดภัยด้านยา</t>
  </si>
  <si>
    <t>UI severity level (minor/major), confirm dialog + hard stop flow</t>
  </si>
  <si>
    <t>CDSS severity classification; workflow override ที่ต้อง recheck</t>
  </si>
  <si>
    <t>ปรับ wording/UX ของ severity level; ออกแบบ Hard stop dialog</t>
  </si>
  <si>
    <t>ต้องคุย policy กับพี่บุคก่อน</t>
  </si>
  <si>
    <t>#48</t>
  </si>
  <si>
    <t>ไม่มี master data ที่สมบูรณ์</t>
  </si>
  <si>
    <t xml:space="preserve">ready for testing </t>
  </si>
  <si>
    <t>SBH-686</t>
  </si>
  <si>
    <t>ประวัติการรักษา / OPD Note</t>
  </si>
  <si>
    <t>เลือก visit ไหนก็ดึง CC/PI/PE/Dx/ยา/treatment/Order ครั้งก่อนมาให้ และแก้ไข/เติมข้อมูลได้</t>
  </si>
  <si>
    <t>Retrieve component: เลือก visit → ดึงข้อมูลทุก section</t>
  </si>
  <si>
    <t>API ดึงข้อมูล visit แบบรวมหลาย entity (CC, PI, PE, Dx, order)</t>
  </si>
  <si>
    <t>ออกแบบ Retrieve UX: คลิกน้อย เลื่อนน้อย เห็นในทีเดียว</t>
  </si>
  <si>
    <t>Feature สำคัญมาก ที่ user เน้นย้ำ</t>
  </si>
  <si>
    <t>#81</t>
  </si>
  <si>
    <t>ลองคีย์ + ขอตัว mock จากพี่ธีระกับโจอี้ // ตอนนี้น่าจะ on going</t>
  </si>
  <si>
    <t>SBH-786</t>
  </si>
  <si>
    <t>18 มิ.ย. (ยกจาก TBD)</t>
  </si>
  <si>
    <t>ดึง CC / Dx จากที่ลงประวัติมาใส่อัตโนมัติ จาก pre-assessment</t>
  </si>
  <si>
    <t>ดึง CC จากที่ลงประวัติ (admit request พยาบาลกรอก); ดึง Dx มาลงเลย</t>
  </si>
  <si>
    <t>Auto-fill CC/Dx ใน OPD Note</t>
  </si>
  <si>
    <t>API ดึง CC/Dx จากฟอร์มคัดกรอง/visit ก่อนหน้า</t>
  </si>
  <si>
    <t>Same card SBH-686 กับ #81 (W1) — ยกขึ้นทำพร้อมกัน</t>
  </si>
  <si>
    <t>#91</t>
  </si>
  <si>
    <t>SBH-696</t>
  </si>
  <si>
    <t>diagnosis ใน consult ควรใช้ free text ได้ – ขอ consult คือยังไม่รู้ว่าเป็นอะไร</t>
  </si>
  <si>
    <t>เปลี่ยน Dx ของ consult เป็น free text input</t>
  </si>
  <si>
    <t>Schema: Dx ของ consult ไม่ผูก masterdata</t>
  </si>
  <si>
    <t>#102</t>
  </si>
  <si>
    <t>SBH-697</t>
  </si>
  <si>
    <t>Consult กดส่งแล้วไม่ขึ้นอะไรต่อเลย; อยากให้คลิก consult แล้วขึ้นหน้า consult เลย</t>
  </si>
  <si>
    <t>หลังกดส่ง consult → redirect ไปหน้า consult / feedback ชัดเจน</t>
  </si>
  <si>
    <t>ยกขึ้น W1 — เกี่ยวเนื่อง #102 (W1) ในกลุ่ม Consult</t>
  </si>
  <si>
    <t>#103</t>
  </si>
  <si>
    <t>มี card SBH-757, SBH-698 // Won't do</t>
  </si>
  <si>
    <t>SBH-700</t>
  </si>
  <si>
    <t>รคส. – ต้องระบุเหตุผล/อาการคนไข้ + ใส่หมายเหตุ + ปฏิเสธได้</t>
  </si>
  <si>
    <t>ระบุคนไข้เป็นอะไรถึงสั่ง รคส.; ถ้า approve ต้องมี action; ใส่หมายเหตุได้และปฏิเสธได้; รองรับ รคส. ภายนอก</t>
  </si>
  <si>
    <t>ฟอร์ม Verify รคส.: เหตุผล + หมายเหตุ + ปุ่ม approve/reject</t>
  </si>
  <si>
    <t>Workflow Verify + log การปฏิเสธ + รองรับ รคส. ภายนอก</t>
  </si>
  <si>
    <t>ออกแบบ flow Verify รคส.</t>
  </si>
  <si>
    <t>#107</t>
  </si>
  <si>
    <t>SBH-801</t>
  </si>
  <si>
    <t xml:space="preserve">รคส. default ชื่อแพทย์ </t>
  </si>
  <si>
    <t>default ชื่อแพทย์อัตโนมัติแต่แก้ไขได้</t>
  </si>
  <si>
    <t>sub issue split from #108</t>
  </si>
  <si>
    <t>Done on dev-X</t>
  </si>
  <si>
    <t>SBH-709</t>
  </si>
  <si>
    <t>Discharge – ตำแหน่งปุ่มส่งคำสั่ง/บันทึก</t>
  </si>
  <si>
    <t>ตัวส่งคำสั่งที่หมอต้อง sign อยู่ด้านล่าง เพราะหมอกด discharge ไม่ได้</t>
  </si>
  <si>
    <t>ย้ายปุ่ม sign คำสั่งลงด้านล่างไม่บัง discharge</t>
  </si>
  <si>
    <t>ออกแบบ layout ปุ่ม discharge ใหม่</t>
  </si>
  <si>
    <t>#128</t>
  </si>
  <si>
    <t>SBH-692</t>
  </si>
  <si>
    <t>Body Chart</t>
  </si>
  <si>
    <t>Body Chart วาดแล้วลบไม่ได้; กดปิด Expand ไม่ได้</t>
  </si>
  <si>
    <t>แก้ tool ลบใน Body Chart + ปุ่ม collapse ทำงานถูกต้อง</t>
  </si>
  <si>
    <t>#93</t>
  </si>
  <si>
    <t>to do/ design done</t>
  </si>
  <si>
    <t>SBH-714</t>
  </si>
  <si>
    <t>รูป Body Chart ใหญ่เกิน; ควรย่อได้ และไม่ default เปิด</t>
  </si>
  <si>
    <t>ปรับ default ของ Body Chart = collapsed; รองรับ resize</t>
  </si>
  <si>
    <t>ออกแบบ default state ของ Body Chart</t>
  </si>
  <si>
    <t>Same card SBH-714 กับ #93</t>
  </si>
  <si>
    <t>#94</t>
  </si>
  <si>
    <t>SBH-716</t>
  </si>
  <si>
    <t>[OPD Note] ส่วนเพิ่มเติมของฟอร์ม PE ไม่มาแสดง; Dx ใส่เลขแล้วควร Enter ได้เลย / ให้เขียนเพิ่มได้ไม่ต้องกด +</t>
  </si>
  <si>
    <t>แก้แสดงข้อมูล PE ครบ + Dx รองรับ Enter โดยไม่ต้องกด +</t>
  </si>
  <si>
    <t>ตรวจสอบ binding ของ PE form</t>
  </si>
  <si>
    <t>#84</t>
  </si>
  <si>
    <t>card updated // รอดู behav part PE</t>
  </si>
  <si>
    <t>in review</t>
  </si>
  <si>
    <t>CTXN-2487</t>
  </si>
  <si>
    <t>นัดหมาย – default clinic/แพทย์ตัวเอง + ช่องบังคับ + ตัวเลือกอื่น ๆ</t>
  </si>
  <si>
    <t>นัดหมายควร default clinic/แพทย์ตัวเอง, ช่องดอกจัน default ให้, เลือก 'อื่น ๆ' กรอก text ได้</t>
  </si>
  <si>
    <t>Pre-fill clinic/แพทย์ตามผู้ใช้ + free text field สำหรับ 'อื่น ๆ'</t>
  </si>
  <si>
    <t>Logic default จาก user context</t>
  </si>
  <si>
    <t>#100</t>
  </si>
  <si>
    <t>CTXN-872</t>
  </si>
  <si>
    <t>Patient Banner / ข้อมูลผู้ป่วย</t>
  </si>
  <si>
    <t>เชื้อดื้อยา – การแสดงผล</t>
  </si>
  <si>
    <t>ตรวจสอบการแสดงเชื้อดื้อยา (เกี่ยวกับ #120)</t>
  </si>
  <si>
    <t>ปรับ UI การแสดงเชื้อดื้อยา</t>
  </si>
  <si>
    <t>ตรวจสอบ data source ของเชื้อดื้อยา</t>
  </si>
  <si>
    <t>เกี่ยวกับ #120 SBH-705</t>
  </si>
  <si>
    <t>#121</t>
  </si>
  <si>
    <t>check card track เรื่องว่ามีเรื่องหายไปใน 6 เดือนหรือไม่ (เป็น Before golive)</t>
  </si>
  <si>
    <t>Display / Layout / UX</t>
  </si>
  <si>
    <t>Set form / template ลดการพิมพ์ note ซ้ำ</t>
  </si>
  <si>
    <t>อยากให้ set form ได้ ไม่ต้องพิมพ์ note หลายครั้ง</t>
  </si>
  <si>
    <t>Template note พร้อม shortcut</t>
  </si>
  <si>
    <t>Template storage + binding</t>
  </si>
  <si>
    <t>ออกแบบ flow create/use template</t>
  </si>
  <si>
    <t>Check เรื่อง Template ก่อน</t>
  </si>
  <si>
    <t>#136</t>
  </si>
  <si>
    <t>เรื่องรวมๆ อีกแล้ว แพทย์บอกว่า Before go live ได้</t>
  </si>
  <si>
    <t>NUH/รพ. Out Lab</t>
  </si>
  <si>
    <t>LAB Order</t>
  </si>
  <si>
    <t>รองรับการบันทึก Lab นอก รพ. (Out Lab)</t>
  </si>
  <si>
    <t>Need Clearify</t>
  </si>
  <si>
    <t>Out Lab = แพทย์เราสั่งจริงแต่ไม่มีเครื่อง; กรณีคนไข้เอาผลมาเองให้เก็บเป็น scan/outside document</t>
  </si>
  <si>
    <t>เพิ่ม UI กรอกผล Out Lab + tag 'Out Lab'; flow แนบเอกสาร</t>
  </si>
  <si>
    <t>เพิ่ม data model + tag สำหรับ Lab นอก รพ.; แยก outside document</t>
  </si>
  <si>
    <t>ออกแบบ flow: หมอแนบเอกสาร → ห้อง Lab คีย์ผล</t>
  </si>
  <si>
    <t>Recheck ขอบเขต: อ.คเชนทร์ไม่แนะนำเก็บ outside lab แยก (LA), ให้เก็บเป็น scan doc</t>
  </si>
  <si>
    <t>#14</t>
  </si>
  <si>
    <t>แอบดู CTXN-2138 NUH ทำเสร็จแล้วมั้ย</t>
  </si>
  <si>
    <t>CTXN-2138 done ต้องไปถาม Art ว่าเอาเข้า SBH ยังไง</t>
  </si>
  <si>
    <t>SBH-211</t>
  </si>
  <si>
    <t>เอกสาร / ใบรับรองแพทย์</t>
  </si>
  <si>
    <t>ติ๊กนอนพักรักษา → เลือกช่วงวันได้ (ตั้งแต่-ถึง) + จำนวนวันลา</t>
  </si>
  <si>
    <t>Date range picker + auto-calc จำนวนวัน</t>
  </si>
  <si>
    <t>Same card SBH-211 กับ #109, #111</t>
  </si>
  <si>
    <t>#110</t>
  </si>
  <si>
    <t>ใบรับรองแพทย์มีน้อยไป; หมวดหมู่ของใบรับรองแพทย์มีเอกสารอื่นปนมา</t>
  </si>
  <si>
    <t>เพิ่มแบบใบรับรองแพทย์; filter หมวดหมู่</t>
  </si>
  <si>
    <t>Masterdata เอกสาร + tag หมวดหมู่</t>
  </si>
  <si>
    <t>Same card SBH-211</t>
  </si>
  <si>
    <t>#111</t>
  </si>
  <si>
    <t>ใบรับรองแพทย์ทำเป็น radio button หรือ dropdown default ประเภทสำหรับหยุดงาน</t>
  </si>
  <si>
    <t>UI radio/dropdown default = หยุดงาน</t>
  </si>
  <si>
    <t>#109</t>
  </si>
  <si>
    <t>SBH-353</t>
  </si>
  <si>
    <t>U/D – เพิ่มไม่ได้ / ลงข้อมูลแล้วไม่ขึ้นด้านบน</t>
  </si>
  <si>
    <t>เพิ่ม U/D ไม่ได้ / ลงข้อมูล U/D แล้วไม่ขึ้นด้านบน</t>
  </si>
  <si>
    <t>แก้ bug การเพิ่ม U/D + แสดงด้านบน banner</t>
  </si>
  <si>
    <t>ตรวจสอบ data binding ของ U/D</t>
  </si>
  <si>
    <t>#119</t>
  </si>
  <si>
    <t>ready for testing</t>
  </si>
  <si>
    <t>SBH-382</t>
  </si>
  <si>
    <t>18 มิ.ย. 2026 (ขอเฉพาะ 5 มิ.ย.)</t>
  </si>
  <si>
    <t>รองรับ syntax การสั่งยาหลายรูปแบบ</t>
  </si>
  <si>
    <t>อยากได้ใกล้เคียงปัจจุบันที่สุด – autofill double click to edit with syntax (simplified); ต้องลองไปแกะ HOSxP</t>
  </si>
  <si>
    <t>Input syntax: autofill + double click to edit (simplified)</t>
  </si>
  <si>
    <t>Parser รองรับหลาย syntax: '1 tab tid po', '1x3 po pc' ฯลฯ</t>
  </si>
  <si>
    <t>ศึกษา syntax HOSxP แล้วสรุป UX</t>
  </si>
  <si>
    <t>**User ขอ 5 มิ.ย. 13:00 เฉพาะการ key ยา**</t>
  </si>
  <si>
    <t>#55</t>
  </si>
  <si>
    <t>ถ้ายังไม่มี update ของ joey น่าจะต้องพัฒนา Prototype ไปก่อน (เบส)</t>
  </si>
  <si>
    <t>ติดตาม update ทีมหมออาม โจอี้</t>
  </si>
  <si>
    <t>ยาบางตัว dose เป็น common อยู่แล้ว – อยากให้ดึงมาให้ หมอกดแค่ OK ไม่ต้องกรอกเพิ่ม; วิธีใช้ยาควรขึ้น standard อัตโนมัติ แต่แก้ไขได้</t>
  </si>
  <si>
    <t>Auto-fill dose ใน CPOE + ปุ่ม OK; รองรับการแก้ไข dose เอง</t>
  </si>
  <si>
    <t>ทำ default dose/วิธีใช้จาก masterdata (แก้ไขได้)</t>
  </si>
  <si>
    <t>ยกขึ้น W1 — same card SBH-382 (#55) ที่ user ขอเฉพาะ 5 มิ.ย. เรื่อง key ยา</t>
  </si>
  <si>
    <t>#56</t>
  </si>
  <si>
    <t>master data เยอะมาก / ทำเป็น sample / ลอง reschedule</t>
  </si>
  <si>
    <t>SBH-422</t>
  </si>
  <si>
    <t>เอกสารประกอบการสั่งยาไม่มีแสดง</t>
  </si>
  <si>
    <t>แสดงเอกสารประกอบในหน้าสั่งยา</t>
  </si>
  <si>
    <t>API ดึงเอกสารประกอบยา</t>
  </si>
  <si>
    <t>#65</t>
  </si>
  <si>
    <t>testing</t>
  </si>
  <si>
    <t>เป็นติด bug (waiting for fixing bugs)</t>
  </si>
  <si>
    <t>SBH-575</t>
  </si>
  <si>
    <t>เอกสาร PA (Prior Authorization)</t>
  </si>
  <si>
    <t>ยานอกบัญชี เอกสาร PA ยังไม่มี</t>
  </si>
  <si>
    <t>ฟอร์มกรอก/พิมพ์เอกสาร PA</t>
  </si>
  <si>
    <t>Template PA + workflow approve</t>
  </si>
  <si>
    <t>ออกแบบฟอร์ม PA + flow approval</t>
  </si>
  <si>
    <t>#62</t>
  </si>
  <si>
    <t>ตาม Check เอกสารที่เราต้องมี</t>
  </si>
  <si>
    <t>SBH-644</t>
  </si>
  <si>
    <t>ตัวหนังสือผล Lab ตัดตก + mockup data</t>
  </si>
  <si>
    <t>CSS ตัดข้อความ + mockup data ไม่คมชัด/ไม่ครบ ทำให้ประเมินผลจริงไม่ได้</t>
  </si>
  <si>
    <t>แก้ CSS ช่องผล Lab ไม่ให้ตัดข้อความ (word-break / overflow)</t>
  </si>
  <si>
    <t>เตรียม mockup data ชุดใหม่ที่สมจริง/ครบกว่าเดิม</t>
  </si>
  <si>
    <t>#4</t>
  </si>
  <si>
    <t>need retest</t>
  </si>
  <si>
    <t>need retest เน้นตัวหนังสือตกอีกที</t>
  </si>
  <si>
    <t>SBH-906</t>
  </si>
  <si>
    <t>UI หน้าผล Lab/Patho – list ฝั่งซ้ายแสดงไม่เต็ม</t>
  </si>
  <si>
    <t>ขอชื่อ Lab + วันที่ในช่อง list ซ้าย ย้าย Lab No. ไป report; ขอปุ่ม print จากหน้านี้ครบทุก Lab</t>
  </si>
  <si>
    <t>ปรับ layout list ซ้าย: แสดง 'ชื่อแลป + วันที่'; เพิ่มปุ่ม Print ในหน้านี้</t>
  </si>
  <si>
    <t>API เพิ่ม endpoint print/export ของผล (Lab/Patho/X-ray)</t>
  </si>
  <si>
    <t>Design layout template ใหม่ของหน้าผล Lab/Patho (need design)</t>
  </si>
  <si>
    <t>ทีมระบุ need design – designer ต้องส่ง layout ให้ FE ก่อน 18/6</t>
  </si>
  <si>
    <t>#5</t>
  </si>
  <si>
    <t>to do / track final design</t>
  </si>
  <si>
    <t>ตั้งวงคุยกับทีม Patho เพื่อสรุป format การแสดงผลชิ้นเนื้อเดิม</t>
  </si>
  <si>
    <t>ปรับการ render ผล Patho ตาม format ที่สรุป</t>
  </si>
  <si>
    <t>นัดคุย Patho สรุป format การแสดงผล + ออกแบบ template</t>
  </si>
  <si>
    <t>Designer ต้องเข้า meeting Patho ก่อน</t>
  </si>
  <si>
    <t>#6</t>
  </si>
  <si>
    <t>SBH-654</t>
  </si>
  <si>
    <t>Masterdata Lab – CBC แยกเป็น Hemato</t>
  </si>
  <si>
    <t>แยก CBC ออกจาก masterdata รวม จัดเป็นกลุ่ม Hematology</t>
  </si>
  <si>
    <t>ปรับ masterdata หมวด Lab ให้ CBC อยู่กลุ่ม Hematology</t>
  </si>
  <si>
    <t>ยกขึ้น W1 เพราะเป็น dependency ของ filter ตาม group (#2). ต้อง fix masterdata ก่อน</t>
  </si>
  <si>
    <t>#12</t>
  </si>
  <si>
    <t>ยังต้องคุยกับโต๊ะมั้ย</t>
  </si>
  <si>
    <t>SBH-657</t>
  </si>
  <si>
    <t>ติ๊กสิทธิแล้วเอาออกไม่ได้;</t>
  </si>
  <si>
    <t>แก้ติ๊กยกเลิกได้; redirect ไป section ที่มีปัญหา; prefill ฟอร์ม</t>
  </si>
  <si>
    <t>API ดึงสิทธิหลักของคนไข้มา prefill</t>
  </si>
  <si>
    <t>#60</t>
  </si>
  <si>
    <t xml:space="preserve">need retest </t>
  </si>
  <si>
    <r>
      <rPr>
        <sz val="11"/>
        <color rgb="FF00B050"/>
        <rFont val="Aptos Narrow"/>
        <scheme val="minor"/>
      </rPr>
      <t xml:space="preserve">Done </t>
    </r>
    <r>
      <rPr>
        <sz val="11"/>
        <color rgb="FFFF0000"/>
        <rFont val="Aptos Narrow"/>
        <scheme val="minor"/>
      </rPr>
      <t>แต่ต้อง test ว่าเพิ่มเอกสารได้มั้ย รอ O ทำเอกสารเข้า master data</t>
    </r>
  </si>
  <si>
    <t>SBH-806</t>
  </si>
  <si>
    <t>SBH fillable form</t>
  </si>
  <si>
    <t>เอกสารประกอบการสั่่งยาทั้งหมด + ส่วนที่มีบังคับกรอก + Prefill + หลัง Prefill แล้วต้องแก้ไขได้ 
ถ้าแพทย์ยังไม่กรอกควรเด้งเตือน; ช่องสิทธิควร prefill จากสิทธิหลัก</t>
  </si>
  <si>
    <t>sub issue</t>
  </si>
  <si>
    <t>NEED HELP!!
แตกจาก Card - SBH-657</t>
  </si>
  <si>
    <t>SBH-664</t>
  </si>
  <si>
    <t xml:space="preserve">เกณฑ์สีของ V/S / config ค่า normal </t>
  </si>
  <si>
    <t>หน้า OPD ค่า 100/90 ขึ้นแดง – ทบทวน config</t>
  </si>
  <si>
    <t>ปรับการแสดงสีตาม config ใหม่</t>
  </si>
  <si>
    <t>ทบทวน config ช่วงค่าปกติของ V/S (BP, HR, Temp, RR)</t>
  </si>
  <si>
    <t>#32</t>
  </si>
  <si>
    <t>SBH-666</t>
  </si>
  <si>
    <t>เอา V/S/BMI ออกจาก OPD Note + ปรับ Body chart/PE</t>
  </si>
  <si>
    <t>Config SBH ให้เฟรมเอาออก; ขอ default หุบ V/S/body chart/body metric; อ.ชานนต้องการ free text บนสุดวาง preset; เพิ่ม clear all ใน PE; แก้คำสะกด Extremities; abdomen ไม่ต้องเติม S</t>
  </si>
  <si>
    <t>เอา V/S/BMI ออก; default collapse Body chart/metric; เพิ่ม free text บนสุด; clear all ใน PE; แก้ทุก typo</t>
  </si>
  <si>
    <t>Config SBH: hide V/S/BMI ใน OPD Note frame</t>
  </si>
  <si>
    <t>ออกแบบ layout ใหม่ของ PE + free text preset</t>
  </si>
  <si>
    <t>need design – หลาย requirement รวม</t>
  </si>
  <si>
    <t>#33</t>
  </si>
  <si>
    <t>SBH-669</t>
  </si>
  <si>
    <t>ปุ่มบันทึกฟอร์มคัดกรอง – fix position ด้านล่าง</t>
  </si>
  <si>
    <t>ขอ fix position + ปุ่มย่อยต่อ section</t>
  </si>
  <si>
    <t>ทำปุ่ม Save แบบ fixed position มุมล่างขวา + ปุ่ม Save ต่อ section</t>
  </si>
  <si>
    <t>ออกแบบตำแหน่งปุ่ม + visual ของ fix position bar</t>
  </si>
  <si>
    <t>need design – ยกขึ้น W1 เพราะเกี่ยวเนื่อง UX ของฟอร์มคัดกรอง</t>
  </si>
  <si>
    <t>#42</t>
  </si>
  <si>
    <t>SBH-670</t>
  </si>
  <si>
    <t>แยกโหมด View / Input ของฟอร์มคัดกรอง</t>
  </si>
  <si>
    <t>เปิดจาก sidebar ซ้ายถ้าใช้ดูอย่างเดียวไม่ควรมีปุ่ม Save / ควรล็อกแก้ไข</t>
  </si>
  <si>
    <t>แยก component View (read-only) กับ Input ให้ชัด; ซ่อน Save ในโหมด View</t>
  </si>
  <si>
    <t>Permission/state ของ form view vs input</t>
  </si>
  <si>
    <t>ออกแบบ visual difference ของ View vs Input mode</t>
  </si>
  <si>
    <t>need design</t>
  </si>
  <si>
    <t>#43</t>
  </si>
  <si>
    <t>เฟรมบอกว่ามีความเสี่ยงว่าจะทำไม่ทัน (ประเมินจาก man day เท่าที่มีคิดว่าไม่พอ)</t>
  </si>
  <si>
    <t>OPD Note / ฟอร์มคัดกรองในประวัติการรักษา แสดงเฉพาะข้อมูลที่กรอก</t>
  </si>
  <si>
    <t>ซ่อนฟิลด์ว่างในมุมมองประวัติ (conditional render)</t>
  </si>
  <si>
    <t>Same card SBH-670 กับ #43 (W1) — ยกขึ้นมาทำพร้อมกัน</t>
  </si>
  <si>
    <t>#88</t>
  </si>
  <si>
    <t>ตามข้อมูล ตอนนี้เหลือ Design part 2</t>
  </si>
  <si>
    <t>design done / backlog for dev</t>
  </si>
  <si>
    <t>SBH-688</t>
  </si>
  <si>
    <t>ช่อง Chief Complaint ขยายไม่ได้</t>
  </si>
  <si>
    <t>ทำให้ช่อง CC resize ได้ (textarea expand)</t>
  </si>
  <si>
    <t>#83</t>
  </si>
  <si>
    <t>SBH-689</t>
  </si>
  <si>
    <t>ดู summary ในหน้าเดียว ในรูปแบบเดิมที่กระชับ; ดูจาก OPD Note ก่อน ไม่ใช่ order</t>
  </si>
  <si>
    <t>Implement Visit Summary view (compact)</t>
  </si>
  <si>
    <t>API รวมข้อมูล visit summary</t>
  </si>
  <si>
    <t>Visit Summary design มีอยู่แล้ว – เร่งพัฒนา</t>
  </si>
  <si>
    <t>#86</t>
  </si>
  <si>
    <t>ready for grooming</t>
  </si>
  <si>
    <t>SBH-705</t>
  </si>
  <si>
    <t>บาง HN ข้อมูลเชื้อดื้อยาไม่แสดง / ข้อมูลเชื้อดื้อยาหายไป</t>
  </si>
  <si>
    <t>แสดงข้อมูลเชื้อดื้อยาบน banner</t>
  </si>
  <si>
    <t>ตรวจสอบแหล่งข้อมูลและการ map เชื้อดื้อยา</t>
  </si>
  <si>
    <t>#120</t>
  </si>
  <si>
    <t>SBH-706</t>
  </si>
  <si>
    <t>ประวัติคัดกรอง โรคประจำตัว ครอบครัว สูบบุหรี่ บันทึกในประวัติผู้ป่วยพร้อมวันที่; ประวัติโรคในครอบครัว default จากครั้งก่อน</t>
  </si>
  <si>
    <t>UI แสดงประวัติพร้อมวันที่ที่บันทึก</t>
  </si>
  <si>
    <t>Static history เก็บใน patient demographic</t>
  </si>
  <si>
    <t>ออกแบบ format การบันทึก + แสดงวันที่</t>
  </si>
  <si>
    <t>#122</t>
  </si>
  <si>
    <r>
      <rPr>
        <sz val="11"/>
        <color rgb="FF00B050"/>
        <rFont val="Aptos Narrow"/>
        <scheme val="minor"/>
      </rPr>
      <t>โรคประจำตัวมี stamp time แล้ว, ประวัติครอบครัว ประวัติการสูบบุหรี่ (ข้อมูลที่มาจากฟอร์มคัดกรอง)​</t>
    </r>
    <r>
      <rPr>
        <sz val="11"/>
        <color rgb="FF000000"/>
        <rFont val="Aptos Narrow"/>
        <scheme val="minor"/>
      </rPr>
      <t xml:space="preserve"> ไม่รู้ว่า Default ครั้งก่อนได้ไหม แต่เป็นข้อมูลที่ต้องถามทุกครั้ง</t>
    </r>
  </si>
  <si>
    <t>SBH-707</t>
  </si>
  <si>
    <t>Vaccine</t>
  </si>
  <si>
    <t>ยา vaccine ที่สั่งจาก รพ. ควรเข้าไปบันทึกในประวัติ vaccine ได้เลย</t>
  </si>
  <si>
    <t>Auto-sync order vaccine → ประวัติ vaccine</t>
  </si>
  <si>
    <t>Trigger/job เชื่อม order → history</t>
  </si>
  <si>
    <t>#124</t>
  </si>
  <si>
    <t>SBH-708</t>
  </si>
  <si>
    <t>วัคซีนไม่ขอกรอก lot และวันหมดอายุ หรือมีได้แต่ไม่ require</t>
  </si>
  <si>
    <t>ปรับ field lot/exp = optional</t>
  </si>
  <si>
    <t>#126</t>
  </si>
  <si>
    <t>SBH-710</t>
  </si>
  <si>
    <t>DF เบิกตามสิทธิ ผูกอัตโนมัติ; DF คิดรวมในรายการ order</t>
  </si>
  <si>
    <t>DF auto-fill + รวมใน order summary</t>
  </si>
  <si>
    <t>Logic ผูก DF ตามสิทธิ; กรณี Min-Max เท่ากันให้ขึ้นเลขเลย</t>
  </si>
  <si>
    <t>#129</t>
  </si>
  <si>
    <t>ฝั่งทีมแคชเชียร์กำลังทำ เช่น กรณีสิทธิ UC ตัว 30 บาท จะขึ้นฝั่งแคชเชียร์อยู่แล้ว แต่กรณีสิทธิเงินสดไม่แน่ใจ ต้องคุยกับทางทีมแคชเชียร์</t>
  </si>
  <si>
    <t>ยังคง ให้ not เอา Design มาแปะในการ์ดมั้ย</t>
  </si>
  <si>
    <t>SBH-701</t>
  </si>
  <si>
    <t>แสดงข้อมูลที่บันทึกใน custom form ใบมรณบัตร</t>
  </si>
  <si>
    <t>ตรวจสอบ data binding ของ custom form</t>
  </si>
  <si>
    <t>ออกแบบที่แสดงผลใบมรณบัตร</t>
  </si>
  <si>
    <t>#112</t>
  </si>
  <si>
    <t xml:space="preserve">คุยเรื่อง Refer กับ Death </t>
  </si>
  <si>
    <t>ใบบันทึกข้อความควรอยู่ในหมวดเอกสาร + ใบ Refer; ใบ Refer ขอ dropdown ที่อยู่ + auto-fill; refer ต้องมีเอกสารหมายเลข 1</t>
  </si>
  <si>
    <t>Dropdown ที่อยู่ + auto-fill + ใบหมายเลข 1</t>
  </si>
  <si>
    <t>API ดึง address registry; reorganize document categories</t>
  </si>
  <si>
    <t>#113</t>
  </si>
  <si>
    <t>หน้าตรวจทานนัดหมาย</t>
  </si>
  <si>
    <t>จำนวนนัดถูกเลื่อนไม่ตรงกับที่ pop-up แจ้ง</t>
  </si>
  <si>
    <t>แก้ pop-up แสดงจำนวนนัดให้ตรงข้อมูลจริง</t>
  </si>
  <si>
    <t>ตรวจสอบ counting logic ของนัดที่เลื่อน</t>
  </si>
  <si>
    <t>#96</t>
  </si>
  <si>
    <t>SBH-266</t>
  </si>
  <si>
    <t>เน้นสี banner / ข้อความแพ้ยา + แสดงชื่อยา</t>
  </si>
  <si>
    <t>อยากเห็นชื่อยาไม่ใช่แค่ trigger; ไม่อยากเอา dash กรณีไม่ได้ซักข้อมูล</t>
  </si>
  <si>
    <t>Banner สีแดงอ่อน + แสดงชื่อยาที่แพ้; ซ่อน '-' กรณีไม่ได้ซัก</t>
  </si>
  <si>
    <t>Linear SBH-266 มี design แล้ว</t>
  </si>
  <si>
    <t>#51</t>
  </si>
  <si>
    <t>SBH-872</t>
  </si>
  <si>
    <t>ค้าง search ไว้เมื่อเปลี่ยนหน้า / Auto-clear text</t>
  </si>
  <si>
    <t>เมื่อ select แล้ว clear text ที่พิมพ์ค้างไว้; เปลี่ยนหน้าแล้วเก็บค่า search ที่ค้น</t>
  </si>
  <si>
    <t>Persist search state ข้ามหน้า + auto-clear input หลัง select</t>
  </si>
  <si>
    <t>ยกขึ้นมาทำพร้อม #1-#2 เพราะเป็นส่วนเดียวกันของ SBH-642</t>
  </si>
  <si>
    <t>#11</t>
  </si>
  <si>
    <t>bug fix queue on 22/6</t>
  </si>
  <si>
    <t>SBH-671</t>
  </si>
  <si>
    <t>ย่อ view ให้พอดี 1 หน้า – Design ควร compact กว่านี้</t>
  </si>
  <si>
    <t>ปรับ view คัดกรองพยาบาลให้พอดี 1 หน้า (compact)</t>
  </si>
  <si>
    <t>ออกแบบ compact view ของหน้าคัดกรองพยาบาล</t>
  </si>
  <si>
    <t>ทีมระบุขอ 18/6/26 – ต้องการ design; ยกขึ้น W1</t>
  </si>
  <si>
    <t>#44</t>
  </si>
  <si>
    <t>TMH-941</t>
  </si>
  <si>
    <t>การสั่งยา จ2 ควร require การระบุ Dx (มีข้อเสนอให้ ICD เป็น free text ได้)</t>
  </si>
  <si>
    <t>Validation ฟอร์มสั่งยา จ2: ถ้าไม่มี Dx → block หรือ warn</t>
  </si>
  <si>
    <t>Logic ตรวจประเภทยา จ2 + bind กับ Dx</t>
  </si>
  <si>
    <t>Need decision: ICD free text ได้หรือไม่</t>
  </si>
  <si>
    <t>#58</t>
  </si>
  <si>
    <t>Card ไปไหน (เดิม SBH-677) ติดตาม TMH</t>
  </si>
  <si>
    <t xml:space="preserve">ready for testing  </t>
  </si>
  <si>
    <t>SBH-808</t>
  </si>
  <si>
    <t>อยากให้ล็อกการสั่งยา ถ้ายังไม่ได้เช็คข้อมูลคนไข้</t>
  </si>
  <si>
    <t>Block ปุ่มสั่งยาจนกว่าจะ click ข้อมูลคนไข้</t>
  </si>
  <si>
    <t>Logic ตรวจ session ของแพทย์ว่าเปิดข้อมูลคนไข้แล้ว</t>
  </si>
  <si>
    <t>ต้องคุย Policy ก่อน — คณะกรรมการอนุมัติแล้วค่อยทำ</t>
  </si>
  <si>
    <t>#68</t>
  </si>
  <si>
    <t>มี draft solution (Workaround) เสนอว่าให้สั่งยาได้ แต่ ให้ sign ไม่ได้ถ้าไม่ได้กรอก diagnosis และ/หรือ V/S
 (แล้วถ้าหมอสั่ง STAT ก่อนกรอก Diagnosis ได้หรือไม่)</t>
  </si>
  <si>
    <t>🔵 Wave 2 — Before Go-live</t>
  </si>
  <si>
    <t>SBH-800</t>
  </si>
  <si>
    <t>รคส. – Link ดูประวัติผู้ป่วย</t>
  </si>
  <si>
    <t>รคส. ควรมี link เข้าดูประวัติผู้ป่วยได้</t>
  </si>
  <si>
    <t>Link ประวัติผู้ป่วยจากหน้า รคส. + auto-fill ชื่อแพทย์</t>
  </si>
  <si>
    <t>Default แพทย์จาก user context</t>
  </si>
  <si>
    <t>Same card SBH-700 กับ #107 (W1)</t>
  </si>
  <si>
    <t>#108</t>
  </si>
  <si>
    <t>Performance ร่วม IT Team</t>
  </si>
  <si>
    <t>Performance</t>
  </si>
  <si>
    <t>หน้า OPD Note โหลดนาน; กังวลกรณี record เยอะมาก ระบบจะช้า</t>
  </si>
  <si>
    <t>Lazy load + paging UI</t>
  </si>
  <si>
    <t>Query optimization + paging API + caching</t>
  </si>
  <si>
    <t>#137</t>
  </si>
  <si>
    <t>SBH-683</t>
  </si>
  <si>
    <t>นำ design Order checklist ของ HOSxP มาปรับใช้</t>
  </si>
  <si>
    <t>Implement Order checklist UI ใหม่</t>
  </si>
  <si>
    <t>ศึกษา HOSxP + ออกแบบ Order checklist ใหม่</t>
  </si>
  <si>
    <t>#74</t>
  </si>
  <si>
    <t>สอบถามเตยกับมิ้นต์เพิ่มเติมเรื่อง design ที่เคยคุยกับอ.คเชนทร์ไว้</t>
  </si>
  <si>
    <t>SBH-704</t>
  </si>
  <si>
    <t>ไม่มีฟีเจอร์ประวัติปกปิด</t>
  </si>
  <si>
    <t>UI mark/hide ประวัติปกปิด ตามสิทธิ</t>
  </si>
  <si>
    <t>Permission system สำหรับ confidential records</t>
  </si>
  <si>
    <t>ออกแบบ flow การปกปิด/ปลดล็อก</t>
  </si>
  <si>
    <t>#117</t>
  </si>
  <si>
    <t>รอปั๋มพรีเซนต์ Activity task</t>
  </si>
  <si>
    <t>หัตถการ (Procedure)</t>
  </si>
  <si>
    <t>ห้องหัตถการ – take note หลังทำ + นัดภายหลัง + print ใบ Lab</t>
  </si>
  <si>
    <t>ห้องหัตถการ (ฉีดยา ทำแผล ให้เลือด) ไม่มีแพทย์ประจำ พยาบาลต้อง take note หลังทำ; กรณีไม่มีเลือดจ่ายต้องนัดภายหลัง; ต้อง print ใบ Lab</t>
  </si>
  <si>
    <t>UI take note + ปุ่มนัด + print ใบ Lab</t>
  </si>
  <si>
    <t>Data model post-procedure note + scheduling</t>
  </si>
  <si>
    <t>ออกแบบ flow ห้องหัตถการ — รอ พี่ปั๋ม present Activity task</t>
  </si>
  <si>
    <t>#77</t>
  </si>
  <si>
    <t>API clinics?select โหลดนาน</t>
  </si>
  <si>
    <t>หน้าประวัติเรียง คลินิก-ชื่อแพทย์-EN แต่กดซ้ำ ๆ เหลือแค่ VN</t>
  </si>
  <si>
    <t>แก้ bug การแสดงผล</t>
  </si>
  <si>
    <t>Optimize API clinics?select ที่โหลดนาน + ป้องกัน race condition</t>
  </si>
  <si>
    <t>#87</t>
  </si>
  <si>
    <t>CTX-4794</t>
  </si>
  <si>
    <t>รายการยาควรมีชื่อย่อและแสดงข้อมูลยา; รองรับการ search ด้วยชื่อพ้อง</t>
  </si>
  <si>
    <t>Search bar รองรับ synonym + tooltip แสดงข้อมูลยา</t>
  </si>
  <si>
    <t>เพิ่ม column synonym ใน masterdata + index search</t>
  </si>
  <si>
    <t>#57</t>
  </si>
  <si>
    <t>CTXN-422</t>
  </si>
  <si>
    <t>ส่วนการตอบ consult แสดงงานค้าง; รองรับเบิกใบตอบ; เพิ่มการนัดหมายในหน้าตอบกลับ</t>
  </si>
  <si>
    <t>Pending consult list + reply form + appointment widget</t>
  </si>
  <si>
    <t>API consult + reply + appointment binding</t>
  </si>
  <si>
    <t>ออกแบบ workflow ตอบ consult</t>
  </si>
  <si>
    <t>#105</t>
  </si>
  <si>
    <t>ไม่มีชุดคำสั่ง order – อยากให้มี order set</t>
  </si>
  <si>
    <t>UI สร้าง/เลือก order set</t>
  </si>
  <si>
    <t>Data model order set + permission สร้าง</t>
  </si>
  <si>
    <t>ออกแบบ workflow สร้าง/ใช้ order set</t>
  </si>
  <si>
    <t>#75</t>
  </si>
  <si>
    <t>SBH-396</t>
  </si>
  <si>
    <t>med reconcile ไม่ควรกรอกเอง ควรดึง auto; พยาบาลลง med reconcile ได้แล้วโชว์หน้าแพทย์ OPD</t>
  </si>
  <si>
    <t>UI med reconcile (พยาบาลกรอก, หมอดู)</t>
  </si>
  <si>
    <t>API auto-dropdown ยา + permission พยาบาล</t>
  </si>
  <si>
    <t>ออกแบบ flow med reconcile</t>
  </si>
  <si>
    <t>#66</t>
  </si>
  <si>
    <t xml:space="preserve">4.9.1.1.4.          ระบบสามารถแสดงประวัติข้อมูลการประสานรายการยาเดิมของผู้ป่วย (Medication Reconciliation) </t>
  </si>
  <si>
    <t>เขียน requirement เพิ่ม</t>
  </si>
  <si>
    <t>SBH-645</t>
  </si>
  <si>
    <t>Trend graph ยังอยากได้ ยืนยัน!! (พี่ ขต concern bias)</t>
  </si>
  <si>
    <t>ทำ chart component แสดง trend ผล Lab</t>
  </si>
  <si>
    <t>API ดึง trend data + กำหนด scope ย้อนหลัง (perf/limit)</t>
  </si>
  <si>
    <t>ออกแบบ chart layout + scope selector</t>
  </si>
  <si>
    <t>#7</t>
  </si>
  <si>
    <t>พี่หมอตั๋งกำลังทำ</t>
  </si>
  <si>
    <t>SBH-655</t>
  </si>
  <si>
    <t>ป้องกันสั่ง Lab ซ้ำในช่วงเวลาสั้น ๆ (เตือน ไม่ห้าม)</t>
  </si>
  <si>
    <t>Alert dialog เมื่อสั่งซ้ำในช่วงเวลา (ผู้ใช้กดยืนยันเพื่อสั่งต่อได้)</t>
  </si>
  <si>
    <t>Validation logic ตรวจ duplicate order ในช่วงเวลา config ได้</t>
  </si>
  <si>
    <t>ใช้ design alert อื่น ๆ ของระบบได้หรือไม่</t>
  </si>
  <si>
    <t>ใช้ design alert ที่มีอยู่ของระบบ</t>
  </si>
  <si>
    <t>#13</t>
  </si>
  <si>
    <t>SBH-668</t>
  </si>
  <si>
    <t>ฟอร์มเฉพาะคลินิก (กายภาพ / สุขภาพใจ)</t>
  </si>
  <si>
    <t>Custom form กายภาพมีแล้ว จะ deploy; ฟอร์มคลินิกสุขภาพใจรอเพิ่ม</t>
  </si>
  <si>
    <t>Mount custom form ตาม clinic</t>
  </si>
  <si>
    <t>Form engine + clinic mapping</t>
  </si>
  <si>
    <t>ออกแบบฟอร์มคลินิกสุขภาพใจ</t>
  </si>
  <si>
    <t>#41</t>
  </si>
  <si>
    <t>SBH-687</t>
  </si>
  <si>
    <t>Diagnosis – default 1 ช่องกรอก / มี Dx default</t>
  </si>
  <si>
    <t>Dx ต้องกด + ทุกครั้ง – ปรับให้ default มา 1 ช่องกรอก; DX มีอย่างน้อย 3 ตัวเป็น default</t>
  </si>
  <si>
    <t>Default 1 ช่อง Dx เปิดไว้ + รองรับ Dx default 3 ตัว</t>
  </si>
  <si>
    <t>#82</t>
  </si>
  <si>
    <t>SBH-690</t>
  </si>
  <si>
    <t>ข้อมูลประวัติการรักษาควร default สีเทา ไม่ควรแก้ไข</t>
  </si>
  <si>
    <t>Read-only view (สีเทา) ของประวัติการรักษา</t>
  </si>
  <si>
    <t>Permission: history view = read-only</t>
  </si>
  <si>
    <t>#89</t>
  </si>
  <si>
    <t>SBH-702</t>
  </si>
  <si>
    <t>เพิ่มเบอร์โทร/ที่อยู่ปัจจุบันบน banner หรือในประวัติผู้ป่วย</t>
  </si>
  <si>
    <t>Icon บ้านบน banner + hover แสดงที่อยู่/เบอร์</t>
  </si>
  <si>
    <t>API ดึง demographic data</t>
  </si>
  <si>
    <t>ออกแบบ tooltip/popover ของ banner</t>
  </si>
  <si>
    <t>#115</t>
  </si>
  <si>
    <t>เข้าถึง เรียกดู และอัปเดต demographic; พยาบาลแก้ไขที่อยู่ปัจจุบันได้</t>
  </si>
  <si>
    <t>ฟอร์มแก้ไข demographic + permission control</t>
  </si>
  <si>
    <t>API update demographic + audit</t>
  </si>
  <si>
    <t>ออกแบบ permission view/edit demographic</t>
  </si>
  <si>
    <t>Same card SBH-702 กับ #115</t>
  </si>
  <si>
    <t>#118</t>
  </si>
  <si>
    <t>SBH-713</t>
  </si>
  <si>
    <t>Workflow / Reception</t>
  </si>
  <si>
    <t>ต้องคัดกรองก่อน assign แพทย์; กรณีลงชุมชน flow ตั้งแต่ walk-in จนเลือกแพทย์</t>
  </si>
  <si>
    <t>UI flow: คัดกรอง → assign แพทย์ → walk-in flow</t>
  </si>
  <si>
    <t>Permission nurse for reception + assignment logic</t>
  </si>
  <si>
    <t>ออกแบบ flow คัดกรอง → assign</t>
  </si>
  <si>
    <t>#138</t>
  </si>
  <si>
    <t>4.9.6.1.3. ระบบสามารถบันทึกข้อมูลคัดกรองผู้ป่วย walk-in และส่งเลือกส่งต่อไปยังแผนกได้</t>
  </si>
  <si>
    <t>SBH-792</t>
  </si>
  <si>
    <t>Lab group / ชุด Lab ให้เลือก + revise checklist</t>
  </si>
  <si>
    <t>UI เลือกชุด Lab + admin UI จัดกลุ่ม (สำหรับหัวหน้าแผนก)</t>
  </si>
  <si>
    <t>Order set masterdata + permission จัดกลุ่ม</t>
  </si>
  <si>
    <t>Revise รายการ Lab group checklist + จัดประเภท (ประสานพี่เตย)</t>
  </si>
  <si>
    <t>#15</t>
  </si>
  <si>
    <t>ยาเซนจ่ายเอง (co-pay)</t>
  </si>
  <si>
    <t>คนไข้ CT ค่าไตเกิน ต้องเซ็นยาที่จ่ายเอง</t>
  </si>
  <si>
    <t>ฟอร์ม co-pay + signature</t>
  </si>
  <si>
    <t>Workflow co-pay + flag ยา</t>
  </si>
  <si>
    <t>#131</t>
  </si>
  <si>
    <t>CTXN-1139</t>
  </si>
  <si>
    <t>ฟอร์ม Vaccine screen ขอ link ไปหน้าประวัติการฉีดยา; เชื่อม record vaccine ใน OPD Chart</t>
  </si>
  <si>
    <t>ปุ่ม link ใน vaccine screen + แสดงใน OPD Chart</t>
  </si>
  <si>
    <t>API ดึงประวัติวัคซีน (ไม่ต้อง Intranet — มีในระบบแล้ว)</t>
  </si>
  <si>
    <t>#125</t>
  </si>
  <si>
    <t>รายการ Activity ไม่ครบ</t>
  </si>
  <si>
    <t>เติม masterdata Activity ให้ครบ</t>
  </si>
  <si>
    <t>#80</t>
  </si>
  <si>
    <t>SBH-433</t>
  </si>
  <si>
    <t>รอตกลง logic: อยู่หน้าไหน / รูปแบบใด</t>
  </si>
  <si>
    <t>UI upload + แสดง outside document</t>
  </si>
  <si>
    <t>Storage + tag outside document</t>
  </si>
  <si>
    <t>ออกแบบ logic การ add document</t>
  </si>
  <si>
    <t>ต้องการปรึกษาผู้เชี่ยวชาญด้านการจัดการเอกสารใน รพ.</t>
  </si>
  <si>
    <t>#39</t>
  </si>
  <si>
    <t>SBH-646</t>
  </si>
  <si>
    <t>หน้าเปรียบเทียบผล Lab – multi-select + new tab</t>
  </si>
  <si>
    <t>Need search with multi select + set default as preference; รอ #2 (SBH-642) ใช้ได้ก่อน</t>
  </si>
  <si>
    <t>Multi-select search + เปิด new tab สำหรับเทียบหลาย visit; default preference</t>
  </si>
  <si>
    <t>API รองรับ multi-select + scope วันที่; performance optimization</t>
  </si>
  <si>
    <t>ออกแบบ UI เปรียบเทียบใหม่ + paging</t>
  </si>
  <si>
    <t>Dependency: รอ #2 SBH-642 เสร็จก่อน</t>
  </si>
  <si>
    <t>#8</t>
  </si>
  <si>
    <t>SBH-649</t>
  </si>
  <si>
    <t>การแสดงผล Lab – ตำแหน่ง comment + ลบ thought bubble</t>
  </si>
  <si>
    <t>Thought bubble ตามค่า lab ย่อย ๆ ไม่เอาแล้ว; comment ควรอยู่ใน 'ใบ lab' เป็น specimen ไม่ใช่รายตัว</t>
  </si>
  <si>
    <t>ลบ thought bubble; ย้าย comment ไป section ใบ Lab/specimen</t>
  </si>
  <si>
    <t>ออกแบบตำแหน่ง comment ใหม่ (specimen level)</t>
  </si>
  <si>
    <t>card updated / need designer to remove thought bubble</t>
  </si>
  <si>
    <t>#9</t>
  </si>
  <si>
    <t>SBH-662</t>
  </si>
  <si>
    <t>ช่อง V/S (น้ำหนัก/ส่วนสูง) ใหญ่เกิน</t>
  </si>
  <si>
    <t>ขอบรรทัดเดียว + ช่องดูประวัติ V/S ใหญ่เกิน</t>
  </si>
  <si>
    <t>ปรับ layout ช่อง V/S ให้กระชับ บรรทัดเดียว</t>
  </si>
  <si>
    <t>ออกแบบ compact layout ของ V/S</t>
  </si>
  <si>
    <t>#28</t>
  </si>
  <si>
    <t>SBH-667</t>
  </si>
  <si>
    <t>Default CC ตามคลินิก</t>
  </si>
  <si>
    <t>Default CC (เช่น 'ปวดขา') ตั้งค่าได้ตามคลินิก</t>
  </si>
  <si>
    <t>Pre-fill CC ตาม clinic config</t>
  </si>
  <si>
    <t>Config table: clinic → default CC; ใครเป็นคน maintain data</t>
  </si>
  <si>
    <t>**คำถาม:** ใครเป็นคนทำ Data?</t>
  </si>
  <si>
    <t>#40</t>
  </si>
  <si>
    <t>SBH-675</t>
  </si>
  <si>
    <t>Med interaction / รายการเตือนไม่ครบ</t>
  </si>
  <si>
    <t>เติมฐานข้อมูล drug interaction ให้ครบ</t>
  </si>
  <si>
    <t>#52</t>
  </si>
  <si>
    <t>Migrate ฐานข้อมูล drug interaction จาก SBH เดิม</t>
  </si>
  <si>
    <t>ระบบเตือนยาคู่ปฏิกิริยา SBH เดิมมีข้อมูลมากกว่า</t>
  </si>
  <si>
    <t>Migrate drug interaction database จากระบบเดิม</t>
  </si>
  <si>
    <t>#53</t>
  </si>
  <si>
    <t>SBH-680</t>
  </si>
  <si>
    <t>สั่งยา/หัตถการตา – ค้นหายาก</t>
  </si>
  <si>
    <t>ยาตา/หัตถการตา ค้นหาและลงข้อมูลค่อนข้างยาก ต้องพิมพ์ให้ถูก</t>
  </si>
  <si>
    <t>Search ยา/หัตถการตา รองรับ fuzzy match</t>
  </si>
  <si>
    <t>ปรับ search engine + masterdata</t>
  </si>
  <si>
    <t>#64</t>
  </si>
  <si>
    <t>นัดคุยกับหมอตา</t>
  </si>
  <si>
    <t>SBH-682</t>
  </si>
  <si>
    <t>กดเลือก order แล้วควรกด Enter ได้เลย ไม่ต้องเอาเมาส์ไปกด</t>
  </si>
  <si>
    <t>UX keyboard navigation: รองรับ Enter หลังเลือก</t>
  </si>
  <si>
    <t>#72</t>
  </si>
  <si>
    <t>การ order สั่งยาซ้ำซ้อน ปุ่มห่างกันเกินไป</t>
  </si>
  <si>
    <t>ปรับ layout ปุ่ม order ให้กระชับ ลดระยะ</t>
  </si>
  <si>
    <t>ออกแบบ button group ของ order ใหม่</t>
  </si>
  <si>
    <t>Same card SBH-682 กับ #72</t>
  </si>
  <si>
    <t>#73</t>
  </si>
  <si>
    <t>รวมๆกับการปรับปรุงหน้า key ยา
SBH-382</t>
  </si>
  <si>
    <t>SBH-691</t>
  </si>
  <si>
    <t>OPD Note ต้อง custom ได้ตามคลินิก</t>
  </si>
  <si>
    <t>Mount OPD Note template ตาม clinic</t>
  </si>
  <si>
    <t>Config + form engine</t>
  </si>
  <si>
    <t>ออกแบบ template OPD Note ของแต่ละคลินิก</t>
  </si>
  <si>
    <t>#90</t>
  </si>
  <si>
    <t>Body Chart ควรมีช่อง free text</t>
  </si>
  <si>
    <t>เพิ่ม free text input + multimedia tools ใน Body Chart</t>
  </si>
  <si>
    <t>#92</t>
  </si>
  <si>
    <t>SBH-693</t>
  </si>
  <si>
    <t>ต้องการสร้างนัดหมายแบบไม่ระบุแพทย์ได้ (ปัจจุบันทำไม่ได้)</t>
  </si>
  <si>
    <t>ฟอร์มนัดหมาย: ทำให้ field แพทย์ optional</t>
  </si>
  <si>
    <t>Logic นัดหมายแบบ unassigned</t>
  </si>
  <si>
    <t>#95</t>
  </si>
  <si>
    <t>SBH-694</t>
  </si>
  <si>
    <t>สร้าง Note &amp; Remark แบบ pattern ให้เลือก (เช่น งดน้ำ งดอาหาร) แล้ว pop-up + free text</t>
  </si>
  <si>
    <t>Template note + free text input</t>
  </si>
  <si>
    <t>Masterdata template note</t>
  </si>
  <si>
    <t>ออกแบบ pattern templates</t>
  </si>
  <si>
    <t>#97</t>
  </si>
  <si>
    <t>SBH-698</t>
  </si>
  <si>
    <t>ปัจจุบันยังไม่มี notification – แจ้งแพทย์เมื่อมีรายการ consult ส่งมา/ตอบกลับ</t>
  </si>
  <si>
    <t>Notification component (badge/toast/email)</t>
  </si>
  <si>
    <t>Notification service + webhook</t>
  </si>
  <si>
    <t>#104</t>
  </si>
  <si>
    <t>SBH-699</t>
  </si>
  <si>
    <t>Consult – เพิ่มที่ตั้ง / กดเพิ่มแล้วเปิดแท็บใหม่</t>
  </si>
  <si>
    <t>คลินิก consult ควรเพิ่มข้อมูลที่ตั้ง; กดเพิ่ม consult แล้วเปิดแท็บใหม่</t>
  </si>
  <si>
    <t>เพิ่ม field ที่ตั้ง + open new tab on add consult</t>
  </si>
  <si>
    <t>#106</t>
  </si>
  <si>
    <t>master data for location</t>
  </si>
  <si>
    <t>SBH-703</t>
  </si>
  <si>
    <t>เพิ่ม Palliation status + ไฟล์เอกสาร living will</t>
  </si>
  <si>
    <t>UI Palliative care section + upload living will</t>
  </si>
  <si>
    <t>Data model Palliation + document attachment</t>
  </si>
  <si>
    <t>ออกแบบ section Palliative care</t>
  </si>
  <si>
    <t>#116</t>
  </si>
  <si>
    <t>SBH-711</t>
  </si>
  <si>
    <t>ส่วน admit เลือกแผนก (ไม่เลือกหอ) + ใบ order</t>
  </si>
  <si>
    <t>ฟอร์ม admit + ใบ order</t>
  </si>
  <si>
    <t>Data model admit order</t>
  </si>
  <si>
    <t>ออกแบบ admit workflow</t>
  </si>
  <si>
    <t>#130</t>
  </si>
  <si>
    <t>SBH-712</t>
  </si>
  <si>
    <t>Layout โดยรวมดี แต่ตัวหนังสือเล็ก มองยาก</t>
  </si>
  <si>
    <t>ปรับ default font size; พิจารณา zoom</t>
  </si>
  <si>
    <t>ทบทวน typography</t>
  </si>
  <si>
    <t>แจ้งผู้ใช้ว่าซูม browser ได้</t>
  </si>
  <si>
    <t>#132</t>
  </si>
  <si>
    <t>Concept: คลิกน้อย เลื่อนน้อย เห็นในทีเดียว</t>
  </si>
  <si>
    <t>ปรับ layout ทุกหน้าหลักให้กระชับ</t>
  </si>
  <si>
    <t>หลักการออกแบบ UX รวม</t>
  </si>
  <si>
    <t>Same card SBH-712</t>
  </si>
  <si>
    <t>#134</t>
  </si>
  <si>
    <t>ใช้ OPD card ได้</t>
  </si>
  <si>
    <t>Order ขาดการสื่อสารกับพยาบาล เช่น งดน้ำงดอาหาร</t>
  </si>
  <si>
    <t>ฟิลด์ 'Note to nurse' ติดกับ order</t>
  </si>
  <si>
    <t>Data model: note ผูกกับ order</t>
  </si>
  <si>
    <t>Workaround: ปกติใช้ OPD card ได้</t>
  </si>
  <si>
    <t>#76</t>
  </si>
  <si>
    <t>แก้คำเป็น Note/หมายเหตุ</t>
  </si>
  <si>
    <t>SBH-803</t>
  </si>
  <si>
    <t>ผลเชื้อดื้อยาจะแสดงเป็นระยะเวลา 6 เดือนจากนั้นผลต้องไม่แสดงใน Banner</t>
  </si>
  <si>
    <t xml:space="preserve">หลังได้ผล Lab เชื้อดื้อยา ผลต้องแสดงบน Banner และผลดังกล่าวบน Banner จะแสดงเป็นระยะเวลา 6 เดือน หากครบ 6 เดือนแล้วผลจะต้องหายไปจากบน Banner </t>
  </si>
  <si>
    <t>🟡 Wave 3 — After Go-live</t>
  </si>
  <si>
    <t>เช่น order admit สีเขียวที่แถบสร้างทางขวา; หน้าต่างที่เปิดสีเขียวเดียวกัน</t>
  </si>
  <si>
    <t>Color coding แยกประเภท order (admit/lab/img/med)</t>
  </si>
  <si>
    <t>ออกแบบ color scheme ของ order types</t>
  </si>
  <si>
    <t>#71</t>
  </si>
  <si>
    <t>SBH-681</t>
  </si>
  <si>
    <t>อยากสั่ง order ประเมิน/ตรวจเพิ่ม เช่น VA ความดันตา คัดกรอง HBV/HCV/SY; ต้องมีที่ลงผล Kit test และ TUBT</t>
  </si>
  <si>
    <t>UI สั่ง order ประเภทประเมิน + ช่องลงผล Kit test</t>
  </si>
  <si>
    <t>Data model order ประเภทประเมิน</t>
  </si>
  <si>
    <t>ออกแบบ flow order ประเมิน + รูปแบบลงผล</t>
  </si>
  <si>
    <t>After Go-live — ขยายฟีเจอร์หลังเริ่มใช้งาน</t>
  </si>
  <si>
    <t>#70</t>
  </si>
  <si>
    <t>หน้าจอ default ส่วนตัวตามแพทย์ (สิ่งที่อยากเห็นในตารางออกตรวจ)</t>
  </si>
  <si>
    <t>Personalized widget dashboard</t>
  </si>
  <si>
    <t>User preference storage</t>
  </si>
  <si>
    <t>ออกแบบ widget configurable</t>
  </si>
  <si>
    <t>#133</t>
  </si>
  <si>
    <t>อยากเปิดหน้าประวัติ 2 visit พร้อมกัน และเปรียบเทียบประวัติแต่ละครั้ง</t>
  </si>
  <si>
    <t>Multi-tab/multi-window สำหรับ visit</t>
  </si>
  <si>
    <t>API รองรับ multiple visit</t>
  </si>
  <si>
    <t>ออกแบบ compare visit UI</t>
  </si>
  <si>
    <t>#85</t>
  </si>
  <si>
    <t>อดทน ทำในเว็บไปก่อน</t>
  </si>
  <si>
    <t>ระบบควรแจ้งเตือนกรณีคนไข้เด็กต้องฉีดวัคซีนต่อเนื่องแล้วมาเกินนัด; alert สิทธิเชิงรุก เช่น คัดกรองมะเร็งเต้านม</t>
  </si>
  <si>
    <t>Alert/popup PP สำหรับวัคซีน/สิทธิ</t>
  </si>
  <si>
    <t>Engine PP: rule + age/eligibility</t>
  </si>
  <si>
    <t>ออกแบบ alert ที่ไม่รบกวน workflow</t>
  </si>
  <si>
    <t>Workaround: อดทน ทำในเว็บไปก่อน</t>
  </si>
  <si>
    <t>#123</t>
  </si>
  <si>
    <t>SBH-685</t>
  </si>
  <si>
    <t>—</t>
  </si>
  <si>
    <t>หัตถการ เช่น ID มีความหลากหลายมาก ควรใส่ free text ได้; หัตถการพิมพ์ free text ส่วน item ให้ห้องหัตถการคีย์เอง</t>
  </si>
  <si>
    <t>ช่อง free text สำหรับหัตถการ + workflow ห้องหัตถการคีย์ item</t>
  </si>
  <si>
    <t>Data model หัตถการที่มี free text + reconciliation</t>
  </si>
  <si>
    <t>ออกแบบ flow free text + ห้องหัตถการคีย์ item</t>
  </si>
  <si>
    <t>#78</t>
  </si>
  <si>
    <t>⚪ Wave 4 — Backlog</t>
  </si>
  <si>
    <t>คุย Policy คณะกรรมการ</t>
  </si>
  <si>
    <t>TBD</t>
  </si>
  <si>
    <t>ตารางตรวจแพทย์ (ปชส. ทำ) และวันหยุดแพทย์ (ศูนย์คอม)</t>
  </si>
  <si>
    <t>UI ตั้งค่าตารางตรวจ + วันหยุด</t>
  </si>
  <si>
    <t>Permission: หัวหน้าแผนกตั้งตาราง; ศูนย์คอมตั้งวันหยุด</t>
  </si>
  <si>
    <t>คุย Policy กับคณะกรรมการก่อน</t>
  </si>
  <si>
    <t>#139</t>
  </si>
  <si>
    <t>สั่งยากลับบ้าน/Stat/นอกบัญชี (A-F) – พยาบาลไม่ได้ใช้</t>
  </si>
  <si>
    <t>ตัด/ซ่อนตาม role permission ของพยาบาล</t>
  </si>
  <si>
    <t>ต้องคุย Policy กับคณะกรรมการก่อน</t>
  </si>
  <si>
    <t>#67</t>
  </si>
  <si>
    <t>ระบบไม่ควรสร้างนัดหมายใหม่หลังจากคนไข้เช็คอินตามเวลานัดของตัวเองแล้ว</t>
  </si>
  <si>
    <t>Logic ป้องกันสร้างนัดซ้ำหลัง check-in</t>
  </si>
  <si>
    <t>Problem serious แต่ no card – ต้อง raise card</t>
  </si>
  <si>
    <t>#99</t>
  </si>
  <si>
    <t>SBH-660</t>
  </si>
  <si>
    <t>กราฟ trend V/S (BW, SBP/DBP)</t>
  </si>
  <si>
    <t>SBP/DBP plot คู่กัน; ปัจจุบัน SBH มี ต้องไปขอดู</t>
  </si>
  <si>
    <t>Chart V/S trend</t>
  </si>
  <si>
    <t>API trend V/S</t>
  </si>
  <si>
    <t>ออกแบบ chart SBP/DBP คู่กัน (อ้างอิง SBH ของเดิม)</t>
  </si>
  <si>
    <t>#26</t>
  </si>
  <si>
    <t>SBH-661</t>
  </si>
  <si>
    <t>Pain Score – ย้ายไปอยู่ใน pre-assessment / OPD Note</t>
  </si>
  <si>
    <t>Status รายการผู้ป่วยนอกไม่ต้อง include pain score; banner บังคับแค่ BP; Pain score ไป pre-assessment / OPD note พอ</t>
  </si>
  <si>
    <t>ย้าย Pain Score component ไป pre-assessment/OPD Note; ไม่บังคับบน banner</t>
  </si>
  <si>
    <t>ออกแบบ Pain Score component ใน pre-assessment/OPD Note</t>
  </si>
  <si>
    <t>#27</t>
  </si>
  <si>
    <t>คุย internal/external เรื่อง ยส.</t>
  </si>
  <si>
    <t>หมอต้องเขียนใบ ยส. (ยาเสพติดควบคุมเฉพาะราย) แนบไปพร้อมส่งข้อความ</t>
  </si>
  <si>
    <t>ฟอร์มใบ ยส. + กลไกแนบเอกสาร</t>
  </si>
  <si>
    <t>Flag addictive=true; workflow approval</t>
  </si>
  <si>
    <t>ออกแบบฟอร์มใบ ยส.</t>
  </si>
  <si>
    <t>ขอ requirement เพิ่มจากศัลยกรรม; คุย internal+external</t>
  </si>
  <si>
    <t>#63</t>
  </si>
  <si>
    <t>Multi-select Lab</t>
  </si>
  <si>
    <t>Multi select Lab เป็นชุด (lab checklist / order set)</t>
  </si>
  <si>
    <t>ทีมอยากได้ multi select เป็นชุด – มี solution คือ lab checklist / order set</t>
  </si>
  <si>
    <t>UI multi-select / checklist</t>
  </si>
  <si>
    <t>Order set / checklist data model</t>
  </si>
  <si>
    <t>Recheck ว่าตรงตาม solution ใด</t>
  </si>
  <si>
    <t>#16</t>
  </si>
  <si>
    <t>Sort by Specimen</t>
  </si>
  <si>
    <t>ผล Lab sort ตามเวลาเก็บ Specimen + แยก Pre-lim</t>
  </si>
  <si>
    <t>อิงจาก feedback ข้อ 2 – เอา status แต่ไม่ filter status</t>
  </si>
  <si>
    <t>Sort logic ตาม specimen collection time</t>
  </si>
  <si>
    <t>#10</t>
  </si>
  <si>
    <t>ขอความเห็นจากคณะกรรมการ</t>
  </si>
  <si>
    <t>หน้าปริ้นเอกสารต่าง ๆ อยากให้เพิ่มปุ่ม download เป็น PDF</t>
  </si>
  <si>
    <t>ปุ่ม Download PDF</t>
  </si>
  <si>
    <t>PDF generation service</t>
  </si>
  <si>
    <t>#114</t>
  </si>
  <si>
    <t>✅ Wave 5 — Done</t>
  </si>
  <si>
    <t>ใบนัดหมายปริ้นให้คนไข้ ควรรวมนัด Lab+หมอ พร้อมรายละเอียดเตรียมตัว; ต้อง print ใบ Lab</t>
  </si>
  <si>
    <t>✅ ทีมแจ้งแก้ไขเรียบร้อยแล้ว</t>
  </si>
  <si>
    <t>#101</t>
  </si>
  <si>
    <t>SBH-651</t>
  </si>
  <si>
    <t>คำนวณจำนวนเม็ดยาอัตโนมัติ</t>
  </si>
  <si>
    <t>#54</t>
  </si>
  <si>
    <t>SBH-656</t>
  </si>
  <si>
    <t>#17</t>
  </si>
  <si>
    <t>เครื่องวัด V/S Labotron</t>
  </si>
  <si>
    <t>เชื่อมต่อเครื่องวัด V/S เข้าระบบ</t>
  </si>
  <si>
    <t>โอเคแล้ว – ต่อแล้วกับ Labotron, ติดต่อขอเครื่องมาเทสต์</t>
  </si>
  <si>
    <t>✅ ต่อแล้วกับ Labotron; ติดต่อขอเครื่องมาเทสต์</t>
  </si>
  <si>
    <t>#25</t>
  </si>
  <si>
    <t>NUH จองห้อง CT</t>
  </si>
  <si>
    <t>CT image – การจองห้อง</t>
  </si>
  <si>
    <t>โอเคแล้ว – NUH บอกว่าจะทำจองห้อง CT</t>
  </si>
  <si>
    <t>✅ NUH รับไปทำ</t>
  </si>
  <si>
    <t>#23</t>
  </si>
  <si>
    <t>SBH-658</t>
  </si>
  <si>
    <t>ผล IMG ชื่อรายการเยอะเกินไป (แบบ JF)</t>
  </si>
  <si>
    <t>#20</t>
  </si>
  <si>
    <t>Bug FE: dropdown ตัวเลือกล่างสุดเลือกไม่ได้</t>
  </si>
  <si>
    <t>✅ ทีมแจ้ง 'ไม่เป็นแล้ว' = แก้แล้ว</t>
  </si>
  <si>
    <t>#135</t>
  </si>
  <si>
    <t>Check X-ray Result</t>
  </si>
  <si>
    <t>Filter ผล IMG (modality)</t>
  </si>
  <si>
    <t>#21</t>
  </si>
  <si>
    <t>❌ Wave 5 — Won't do</t>
  </si>
  <si>
    <t>ตั้งคำถาม Allergy alert</t>
  </si>
  <si>
    <t>แจ้งเตือนแพ้ยาทันทีตอนพิมพ์สั่งยา</t>
  </si>
  <si>
    <t>ปัจจุบันก็ต้อง complete order แล้วค่อยแจ้งเตือน; ถ้ายากก็ไม่ต้องทำ; กลับไปเน้นทำ CPOE ให้ง่าย + default dose autofill 'ทุกตัว'</t>
  </si>
  <si>
    <t>❌ no action needed – สรุปคือกลับไปทำหน้า key ยาให้ง่ายก็พอ</t>
  </si>
  <si>
    <t>#49</t>
  </si>
  <si>
    <t>Won't do (Module ER)</t>
  </si>
  <si>
    <t>กรณี ER สร้าง consult request จะไม่ได้ consult คลินิกแต่เป็นแพทย์เวร</t>
  </si>
  <si>
    <t>❌ ยังไม่มี ER module ตอนนี้</t>
  </si>
  <si>
    <t>#140</t>
  </si>
  <si>
    <t>SBH-663</t>
  </si>
  <si>
    <t>การตรวจสอบความครบถ้วนของ V/S</t>
  </si>
  <si>
    <t>ไม่เอา – ไม่ต้องครบ</t>
  </si>
  <si>
    <t>❌ ทีมระบุไม่ต้องครบ</t>
  </si>
  <si>
    <t>#30</t>
  </si>
  <si>
    <t>ขอความเห็นจาก UAT</t>
  </si>
  <si>
    <t>ภาษาไทยในหน้าคัดกรอง V/S</t>
  </si>
  <si>
    <t>ทีมแพทย์: ไม่ต้องทำ – เป็น med term ที่ต้องรู้อยู่แล้ว ไม่รู้ก็ต้อง training</t>
  </si>
  <si>
    <t>❌ no action needed; อ.ชานนเสนอ tooltip ถ้าจะช่วย RN</t>
  </si>
  <si>
    <t>#29</t>
  </si>
  <si>
    <t>updates</t>
  </si>
  <si>
    <t>Result QA</t>
  </si>
  <si>
    <t>Mock data</t>
  </si>
  <si>
    <t>18/6/2026 &gt;&gt; Before go live</t>
  </si>
  <si>
    <t xml:space="preserve">search ได้แล้ว ขาด Lab group </t>
  </si>
  <si>
    <t>https://linear.app/cortexcloud/issue/SBH-642/emrlab-result-filter-and-search-ผล-lab-ใชงานไมได-คนหาแลวไมขนขอมล
https://linear.app/cortexcloud/issue/SBH-916/emrlab-result-search-by-item-ไดแลว-ตองการ-search-and-filter-by-group</t>
  </si>
  <si>
    <r>
      <rPr>
        <sz val="11"/>
        <color rgb="FF00B050"/>
        <rFont val="Aptos Narrow"/>
        <scheme val="minor"/>
      </rPr>
      <t xml:space="preserve"> - card ย่อย SBH-872 ยังหาคน fix bug น่าจะได้วันไม่เกินวันพุธ แก้แล้ว 
- search ใช้งานได้ (completed as SBH-642 )
</t>
    </r>
    <r>
      <rPr>
        <sz val="11"/>
        <color rgb="FFFF0000"/>
        <rFont val="Aptos Narrow"/>
        <scheme val="minor"/>
      </rPr>
      <t xml:space="preserve"> แต่ยังไม่สามารถ Filter by group แต่เท่าที่ดูเป็น FB not TOR ไปแก้ใน SBH-916 -- รอของเข้าวันที่ 26/6 -- update 29/6 ยัง search ได้เป็นตัวๆ
- ภูกำลังแก้ Bug เหลือ รอเทสแล้ว</t>
    </r>
  </si>
  <si>
    <t>lab result</t>
  </si>
  <si>
    <t>as note scope เวลา</t>
  </si>
  <si>
    <t xml:space="preserve">update 29/6 ยัง ขยายไม่ได้ ผลถ้าผลเข้าพร้อมกัน  scroll แนวนอน // แต่อันใหม่น่าจะแนวตั้ง </t>
  </si>
  <si>
    <t>https://linear.app/cortexcloud/issue/SBH-906/emrlab-result-lab-patho-ปรบ-text-display-ของ-left-panel</t>
  </si>
  <si>
    <t>รอเพิ่มวันที่ left panel เฟรมดู</t>
  </si>
  <si>
    <t>lab patho</t>
  </si>
  <si>
    <t>in review // หน้าตาใน Dev x เปลี่ยนไปอีกแล้ว</t>
  </si>
  <si>
    <t>need retest // หน้าตาใน Dev x เปลี่ยนไปอีกแล้ว</t>
  </si>
  <si>
    <r>
      <rPr>
        <strike/>
        <u/>
        <sz val="11"/>
        <color rgb="FF467886"/>
        <rFont val="Aptos Narrow"/>
        <scheme val="minor"/>
      </rPr>
      <t xml:space="preserve">https://linear.app/cortexcloud/issue/SBH-649/emrlab-result-comment-ผล-lab
</t>
    </r>
    <r>
      <rPr>
        <u/>
        <sz val="11"/>
        <color rgb="FF467886"/>
        <rFont val="Aptos Narrow"/>
        <scheme val="minor"/>
      </rPr>
      <t xml:space="preserve">
https://linear.app/cortexcloud/issue/SBH-1218/emrlab-result-lab-result-bundle</t>
    </r>
  </si>
  <si>
    <t>มีบัค search ไม่เจอ โต๊ะกำลังแก้ไข</t>
  </si>
  <si>
    <t>lab hemato + other เพื่อดูการแยกกลุ่ม</t>
  </si>
  <si>
    <t xml:space="preserve">complete on dev-X // ตั้งค่าได้ใน RLU </t>
  </si>
  <si>
    <t>Before go live</t>
  </si>
  <si>
    <t>SBH-953 [LAB] [Order] Lab รองรับ Out lab: in order checklist</t>
  </si>
  <si>
    <t>to complete / รอดูว่าต้องการ card ใหม่มั้ย</t>
  </si>
  <si>
    <r>
      <rPr>
        <sz val="11"/>
        <color rgb="FF000000"/>
        <rFont val="Aptos Narrow"/>
        <scheme val="minor"/>
      </rPr>
      <t xml:space="preserve">ส่วนของการ Order โอเคหมดแล้ว
</t>
    </r>
    <r>
      <rPr>
        <sz val="11"/>
        <color rgb="FFFF0000"/>
        <rFont val="Aptos Narrow"/>
        <scheme val="minor"/>
      </rPr>
      <t>เพิ่มปุ่มทำ Lab ตามวันนัด มี use case จริงหรือ ควรระบุวันทำ หรือ วันที่ต้องการผลเองมากกว่าหรือไม่</t>
    </r>
  </si>
  <si>
    <t>ยกขึ้น W1 เพราะเป็นพื้นฐานของ Imaging ทั้งหมด // งาน integration frame ดู will be done before go live</t>
  </si>
  <si>
    <t>ไม่ mock</t>
  </si>
  <si>
    <t>Mock up data</t>
  </si>
  <si>
    <r>
      <rPr>
        <sz val="11"/>
        <color rgb="FFFF0000"/>
        <rFont val="Aptos Narrow"/>
        <scheme val="minor"/>
      </rPr>
      <t xml:space="preserve">ต้องคุยอีกที ว่า PACS ส่งข้อมูลกลับยังไง น่าจะ Mock up โชว์ได้  // </t>
    </r>
    <r>
      <rPr>
        <sz val="11"/>
        <color rgb="FF00B050"/>
        <rFont val="Aptos Narrow"/>
        <scheme val="minor"/>
      </rPr>
      <t>กดได้ แต่ไม่มีข้อมูลจริงจาก PACS</t>
    </r>
  </si>
  <si>
    <t>mock text data</t>
  </si>
  <si>
    <t>กำลังอยู่ระหว่างการดำเนินการ(การ์ดชื่อน้องอั้ม)</t>
  </si>
  <si>
    <t>รอแก้ (for future lab module)
- comment : สั่งแล้วอยากเห็น waiting list/ดูคิว/ตอบรับ ปฏิเสธ ไม่ควร on paper  แล้ว แต่เขาต้องรู้งานรู้คิว หมออาจจะไม่ต้องดูได้ก้ได้นะ
-- workaround : ??? ทำคล้ายระบบ consult ได้มั้ย / อยากให้ reply มาด้วย</t>
  </si>
  <si>
    <t>https://linear.app/cortexcloud/issue/SBH-1219/emr-body-metrics-chart-เพมกราฟแนวโนมนำหนกสวนสง</t>
  </si>
  <si>
    <t>ไม่รู้ว่ารบกวนทีมที่ทำ กราฟแนวโน้ม V/S ช่วยดูต่อได้หรือไม่</t>
  </si>
  <si>
    <t>update to card/ need design // design done</t>
  </si>
  <si>
    <t>แก้แล้วถ้ายังใหญ่เกินไปอีกค่อยว่ากัน</t>
  </si>
  <si>
    <t>ย่อหน้าต่างเอาไว้ ไม่ได้เอาออก</t>
  </si>
  <si>
    <t>ฟอร์มคัดกรอง (Pre-assessment)</t>
  </si>
  <si>
    <t>ไปเช็คที่ dev-x แล้วปัจจุบันยังขึ้น upload ไม่สำเร็จ (สามารถอัพโหลดเป็น pdf ได้ แต่อัพโหลดเป็นไฟล์รูปไม่ได้)</t>
  </si>
  <si>
    <t>https://linear.app/cortexcloud/issue/SBH-917/opd-opd-note-opd-note-ไมสามารถ-upload-รปภาพได</t>
  </si>
  <si>
    <r>
      <rPr>
        <sz val="11"/>
        <color rgb="FFFF0000"/>
        <rFont val="Aptos Narrow"/>
        <scheme val="minor"/>
      </rPr>
      <t>ให้ Upload ใน OPD note ไม่รวม pre-assessment (ไม่ตรง use case)</t>
    </r>
    <r>
      <rPr>
        <sz val="11"/>
        <color rgb="FF000000"/>
        <rFont val="Aptos Narrow"/>
        <scheme val="minor"/>
      </rPr>
      <t xml:space="preserve">  
import tiptap tool  // </t>
    </r>
    <r>
      <rPr>
        <sz val="11"/>
        <color rgb="FFFF0000"/>
        <rFont val="Aptos Narrow"/>
        <scheme val="minor"/>
      </rPr>
      <t>Upload รูปภาพไม่สำเร็จ</t>
    </r>
    <r>
      <rPr>
        <sz val="11"/>
        <color rgb="FF000000"/>
        <rFont val="Aptos Narrow"/>
        <scheme val="minor"/>
      </rPr>
      <t xml:space="preserve"> / </t>
    </r>
    <r>
      <rPr>
        <sz val="11"/>
        <color rgb="FF00B050"/>
        <rFont val="Aptos Narrow"/>
        <scheme val="minor"/>
      </rPr>
      <t xml:space="preserve">Upload PDF ได้
</t>
    </r>
  </si>
  <si>
    <r>
      <rPr>
        <sz val="11"/>
        <color rgb="FF00B0F0"/>
        <rFont val="Aptos Narrow"/>
        <scheme val="minor"/>
      </rPr>
      <t xml:space="preserve">ready for testing </t>
    </r>
    <r>
      <rPr>
        <sz val="11"/>
        <color rgb="FF000000"/>
        <rFont val="Aptos Narrow"/>
        <scheme val="minor"/>
      </rPr>
      <t>น่าจะเป็นท่าที่เอาเข้าทาง เมนู เอกสาร</t>
    </r>
  </si>
  <si>
    <t>เอกสารเข้าได้แล้่ว รอทำ improvement ตาม QA</t>
  </si>
  <si>
    <t>https://linear.app/cortexcloud/issue/SBH-667/ฟอรมคดกรอง-pre-assessment-default-cc-ตามคลนก</t>
  </si>
  <si>
    <t xml:space="preserve">กำลังอยู่ระหว่างการดำเนินการ
</t>
  </si>
  <si>
    <r>
      <rPr>
        <sz val="11"/>
        <color rgb="FF000000"/>
        <rFont val="Aptos Narrow"/>
        <scheme val="minor"/>
      </rPr>
      <t xml:space="preserve">update to card // </t>
    </r>
    <r>
      <rPr>
        <sz val="11"/>
        <color rgb="FFFF0000"/>
        <rFont val="Aptos Narrow"/>
        <scheme val="minor"/>
      </rPr>
      <t>need master data</t>
    </r>
  </si>
  <si>
    <r>
      <rPr>
        <sz val="11"/>
        <color rgb="FF000000"/>
        <rFont val="Aptos Narrow"/>
        <scheme val="minor"/>
      </rPr>
      <t xml:space="preserve">update to card // </t>
    </r>
    <r>
      <rPr>
        <sz val="11"/>
        <color rgb="FFFF0000"/>
        <rFont val="Aptos Narrow"/>
        <scheme val="minor"/>
      </rPr>
      <t>need master data for clinics</t>
    </r>
  </si>
  <si>
    <t>https://linear.app/cortexcloud/issue/SBH-668/ฟอรมคดกรอง-pre-assessment-ขาดฟอรมเฉพาะคลนก-กายภาพ-สขภาพใจ</t>
  </si>
  <si>
    <r>
      <rPr>
        <sz val="11"/>
        <color rgb="FF000000"/>
        <rFont val="Aptos Narrow"/>
        <scheme val="minor"/>
      </rPr>
      <t xml:space="preserve">update to card  // </t>
    </r>
    <r>
      <rPr>
        <sz val="11"/>
        <color rgb="FFFF0000"/>
        <rFont val="Aptos Narrow"/>
        <scheme val="minor"/>
      </rPr>
      <t>หาแบบฟอร์มจากไหน ใช้อะไรอ้างอิง // AS IS มีนิดเดียว</t>
    </r>
  </si>
  <si>
    <r>
      <rPr>
        <sz val="11"/>
        <color rgb="FF000000"/>
        <rFont val="Aptos Narrow"/>
        <scheme val="minor"/>
      </rPr>
      <t xml:space="preserve">สุขภาพใจ - รอ map ผูก Clinic // </t>
    </r>
    <r>
      <rPr>
        <sz val="11"/>
        <color rgb="FFFF0000"/>
        <rFont val="Aptos Narrow"/>
        <scheme val="minor"/>
      </rPr>
      <t xml:space="preserve">need master data for clinics
</t>
    </r>
    <r>
      <rPr>
        <sz val="11"/>
        <color rgb="FF000000"/>
        <rFont val="Aptos Narrow"/>
        <scheme val="minor"/>
      </rPr>
      <t xml:space="preserve">กายภาพ - รอ clarify กับทีม
</t>
    </r>
  </si>
  <si>
    <t>กำลังดำเนินการเฟรมน่าจะให้อั้มทำ เสี่ยงจะไม่ทัน 25 มิ.ย.</t>
  </si>
  <si>
    <t>CF ไม่น่าจะทัน 25 จริงๆ // จะลองเร่งซ่อม</t>
  </si>
  <si>
    <t>mock</t>
  </si>
  <si>
    <t>กำลังดำเนินการ แต่ไม่น่าทัน 25 มิ.ย.</t>
  </si>
  <si>
    <t>หน้าสรุปสั้นลงแล้ว</t>
  </si>
  <si>
    <t xml:space="preserve">completed </t>
  </si>
  <si>
    <t>Allergy / แพ้ยา</t>
  </si>
  <si>
    <t>กำลังอยู่ระหว่างการดำเนินการ -
วิธีแก้ให้พยาบาลหรือเภสัชไปลงประวัติแพ้ยาแยกต่างหากในหน้าประวัติผู้ป่วยตรงแท็บการแพ้แทน</t>
  </si>
  <si>
    <t>ยังไม่สามารถ trigger การ verify โดยห้องยาได้</t>
  </si>
  <si>
    <t>ไม่ mock // clinic Diar</t>
  </si>
  <si>
    <t>แจ้งว่าการคีย์จะเป็นแบบใหม่ แต่การขึ้น alert จะเป็นแบบที่แสดงให้ดู</t>
  </si>
  <si>
    <t>เล่นคู่เดิม + ขอตัวอย่างอื่นจากโอมาซักชุด</t>
  </si>
  <si>
    <t>อยู่ระหว่างการปรับเปลี่ยนเป็นการ order ยารูปแบบใหม่</t>
  </si>
  <si>
    <t>SBH-462 [CPOE][Order Dup] เพิ่ม function drug dup ข้ามวัน</t>
  </si>
  <si>
    <t>เฟรมบอกว่าต้อง feed data // โอเอามาสเตอร์เข้าแล้ว // เหลือส่วนของ Logic ที่ทำมา</t>
  </si>
  <si>
    <r>
      <rPr>
        <sz val="11"/>
        <color rgb="FF000000"/>
        <rFont val="Aptos Narrow"/>
        <scheme val="minor"/>
      </rPr>
      <t xml:space="preserve">update to card // </t>
    </r>
    <r>
      <rPr>
        <sz val="11"/>
        <color rgb="FFFF0000"/>
        <rFont val="Aptos Narrow"/>
        <scheme val="minor"/>
      </rPr>
      <t>need master data for all interaction</t>
    </r>
  </si>
  <si>
    <t>ปรับเป็น Key ยาแบบใหม่</t>
  </si>
  <si>
    <t>master data เยอะมาก / ทำเป็น sample // ปรับเป็น Key ยาแบบใหม่</t>
  </si>
  <si>
    <t>update ระบบ การ key กับหมออามอีกที
รอตรวจสอบระบบ synonym ของทีมกลาง</t>
  </si>
  <si>
    <t>ถ้า order ยา จ2 ต้อง require Dx (มีข้อเสนอให้ ICD เป็น free text ได้).
ทีมแนะนำว่า ผูก specialty ก้เหมาะสม แพทย์จึงยืนยันขอว่าเอาให้ set ได้ทั้ง doctor and specialty</t>
  </si>
  <si>
    <t>https://linear.app/cortexcloud/issue/SBH-677/order-check-diagnosis-before-allowing-physician-to-order
https://linear.app/cortexcloud/issue/SBH-912/order-การสงยา-จ2-สงไดตาม-doctor-user-และ-specialty</t>
  </si>
  <si>
    <r>
      <rPr>
        <sz val="11"/>
        <color rgb="FF000000"/>
        <rFont val="Aptos Narrow"/>
        <scheme val="minor"/>
      </rPr>
      <t xml:space="preserve">ready for testing // จัดทำโดย TMH รอหยิบ ? // ขึ้นการ์ดใหม่ Before go live // </t>
    </r>
    <r>
      <rPr>
        <sz val="11"/>
        <color rgb="FFFF0000"/>
        <rFont val="Aptos Narrow"/>
        <scheme val="minor"/>
      </rPr>
      <t>ข้อมูลต้องครบ before golive</t>
    </r>
  </si>
  <si>
    <t>หาตัวเล่น // เอกสารโอ</t>
  </si>
  <si>
    <r>
      <rPr>
        <sz val="11"/>
        <color rgb="FF00B050"/>
        <rFont val="Aptos Narrow"/>
        <scheme val="minor"/>
      </rPr>
      <t xml:space="preserve">Done </t>
    </r>
    <r>
      <rPr>
        <sz val="11"/>
        <color rgb="FFFF0000"/>
        <rFont val="Aptos Narrow"/>
        <scheme val="minor"/>
      </rPr>
      <t>แต่ต้อง test ว่าเพิ่มเอกสารได้มั้ย</t>
    </r>
  </si>
  <si>
    <t>กำลังอยู่ระหว่างการดำเนินการ (ปัมทำอยู่)</t>
  </si>
  <si>
    <t>to test</t>
  </si>
  <si>
    <t>จะขึ้นได้เย็น 23/6</t>
  </si>
  <si>
    <t>ตาม Check เอกสารที่เราต้องมี // ต้อง clarify flow ที่ใช้เอกสาร PA</t>
  </si>
  <si>
    <t>https://linear.app/cortexcloud/issue/SBH-1240/cpoe-order-ฟอรมใบ-ยส-ยาเสพตด
คุย internal และ external ว่ายาเสพย์ติด ที่ต้องมีเอกสารควบคุม ต้องออกทุกครั้ง หรือแค่ใส่เอกสารรับรองหลังบ้านด้วยเลข ว.</t>
  </si>
  <si>
    <t>Plan กับทีม // 
1. flow IPD - คุยกับทีมอื่น design ไปก่อน
2. OPD ต้องมีใบแนบต่อ order
in scope - digital + printable</t>
  </si>
  <si>
    <t>update ระบบ การ key กับหมออามอีกที</t>
  </si>
  <si>
    <t>update ระบบ การ key กับหมออามอีกที // เอา syntax ที่ห้องตาใช้ ให้หมออามเรียบร้อย</t>
  </si>
  <si>
    <t xml:space="preserve">notify dup ทีมเรา Design logic แล้ว แต่เรื่องนี้อยู่ใน หัวข้อ drug dup ไม่ใช่ med rec 
</t>
  </si>
  <si>
    <t>Done on Dev-x ถ้า retest แล้วมีปัญหาให้สร้าง Card ใหม่ไปเลย</t>
  </si>
  <si>
    <t>หลังส่งมอบมีการคุยในทีมแล้วว่าใช้เท่าที่ cortex ทำได้ ณ ตอนนั้นไปก่อน</t>
  </si>
  <si>
    <t>--</t>
  </si>
  <si>
    <t>จะขึ้นได้เย็น 23/6 // ทำได้แล้ว</t>
  </si>
  <si>
    <t>Work around ด้วยช่อง Note to nurse ใน OPD note</t>
  </si>
  <si>
    <t>Dup</t>
  </si>
  <si>
    <t>SBH-945 [CPOE][Order Set] Order Set สำหรับ เวชภัณฑ์/หัตถการ (Activity)</t>
  </si>
  <si>
    <t>update ระบบ การ key กับหมออามอีกที // พัฒนาร่วมกับหมออาม</t>
  </si>
  <si>
    <r>
      <rPr>
        <sz val="11"/>
        <color rgb="FF00B050"/>
        <rFont val="Aptos Narrow"/>
        <scheme val="minor"/>
      </rPr>
      <t xml:space="preserve">ทำได้แล้ว = ยา, lab, img
</t>
    </r>
    <r>
      <rPr>
        <sz val="11"/>
        <color rgb="FFFF0000"/>
        <rFont val="Aptos Narrow"/>
        <scheme val="minor"/>
      </rPr>
      <t>ยังไม่ได้ = activity, เวชภัณฑ์</t>
    </r>
  </si>
  <si>
    <t>SBH-931 [Order] [OPD note] input/view เพิ่มช่องทางการสื่อสารจากแพทย์ถึงพยาบาล</t>
  </si>
  <si>
    <t>add note to nurse section in OPD note</t>
  </si>
  <si>
    <t>ไม่แนะนำ เนื่องจากอาจมีปัญหาในการ claim // support ด้วยการสร้าง synonym ร่วมกับการใช้ Note to nurse</t>
  </si>
  <si>
    <t>SBH-926 [Order] [Master data] รายการ Activity ไม่ครบ</t>
  </si>
  <si>
    <r>
      <rPr>
        <sz val="11"/>
        <color rgb="FF000000"/>
        <rFont val="Aptos Narrow"/>
        <scheme val="minor"/>
      </rPr>
      <t xml:space="preserve">update to card // </t>
    </r>
    <r>
      <rPr>
        <sz val="11"/>
        <color rgb="FFFF0000"/>
        <rFont val="Aptos Narrow"/>
        <scheme val="minor"/>
      </rPr>
      <t>need master data for Activity</t>
    </r>
  </si>
  <si>
    <t xml:space="preserve">ทำมาแล้วแต่อาจต้อง define limit เพิ่ม + ปรับ Design // ตอนนี้ใช้กับ CC PE PI ได้ ส่วนของยา ให้ใช้ Remed ส่วน order อื่นให้ key ใหม่ด้วยตนเอง
</t>
  </si>
  <si>
    <t>เปลี่ยน Requirement และแก้ไขแล้ว</t>
  </si>
  <si>
    <r>
      <rPr>
        <sz val="11"/>
        <color rgb="FF00B050"/>
        <rFont val="Aptos Narrow"/>
        <scheme val="minor"/>
      </rPr>
      <t xml:space="preserve">SBH-721 Done on dev-X
</t>
    </r>
    <r>
      <rPr>
        <sz val="11"/>
        <color rgb="FFD86DCD"/>
        <rFont val="Aptos Narrow"/>
        <scheme val="minor"/>
      </rPr>
      <t xml:space="preserve">SBH-715 Done on dev-X แต่ว่ามันต้อง Enter ช่องไกลเกิน รอแก้ด่วน
</t>
    </r>
    <r>
      <rPr>
        <sz val="11"/>
        <color rgb="FF00B0F0"/>
        <rFont val="Aptos Narrow"/>
        <scheme val="minor"/>
      </rPr>
      <t xml:space="preserve">SBH-716 ready for testing </t>
    </r>
  </si>
  <si>
    <t>SBH-1244 [OPD] Customization by clinic Bundle</t>
  </si>
  <si>
    <t>ทำเป็น bundle แยก custom CC/body chart/คำแนะนำ</t>
  </si>
  <si>
    <t>น่าจะพอส่งงานได้ แต่ tool อาจไม่ครบ ตามข้อจำกัดระบบ</t>
  </si>
  <si>
    <t>anon dr สร้าง anon clinic
- RN จะลงนัดให้แพทย์ anon ได้
- dev check หลังบ้าน ว่าแพทย์ทำนัดไปแพทย์คนอื่นไม่ได้ใช่หรือไม่</t>
  </si>
  <si>
    <t>set ใน DB แต่อาจจะต้องเก็บ Requirement ของแต่ละ คลินิกเพิ่มหรือไม่</t>
  </si>
  <si>
    <r>
      <rPr>
        <sz val="11"/>
        <color rgb="FF000000"/>
        <rFont val="Aptos Narrow"/>
        <scheme val="minor"/>
      </rPr>
      <t xml:space="preserve">design done/ เสริม logic/ เพิ่มนัด refill / ต้องอาศัย visit แบบไม่ระบุแพทย์  </t>
    </r>
    <r>
      <rPr>
        <sz val="11"/>
        <color rgb="FFFF0000"/>
        <rFont val="Aptos Narrow"/>
        <scheme val="minor"/>
      </rPr>
      <t>ขอหลัง 25/6 เลย</t>
    </r>
  </si>
  <si>
    <t>Ready for testing</t>
  </si>
  <si>
    <t>flow ตอนนี้พยาบาลกด discharge แล้วจะเป็นประเภท death ถ้าแพทย์ทำเอกสารรับรองการตายมา (fillable form in doc) // คุยออฟ discharge ยังไง</t>
  </si>
  <si>
    <t>ทำได้
ดู แล้ว ปริ๊น
ดาวน์โหลด แล้ว ปริ๊น</t>
  </si>
  <si>
    <r>
      <rPr>
        <sz val="11"/>
        <color rgb="FF00B050"/>
        <rFont val="Aptos Narrow"/>
        <scheme val="minor"/>
      </rPr>
      <t xml:space="preserve">Complete แสดงเชื้อดื้อยาได้ </t>
    </r>
    <r>
      <rPr>
        <sz val="11"/>
        <color rgb="FF000000"/>
        <rFont val="Aptos Narrow"/>
        <scheme val="minor"/>
      </rPr>
      <t xml:space="preserve">// check card track เรื่องว่ามีเรื่องหายไปใน 6 เดือนหรือไม่ (เป็น Before golive)
</t>
    </r>
    <r>
      <rPr>
        <sz val="11"/>
        <color rgb="FFFF0000"/>
        <rFont val="Aptos Narrow"/>
        <scheme val="minor"/>
      </rPr>
      <t>ต้อง mock data แยกตอนส่งงาน</t>
    </r>
  </si>
  <si>
    <t>CTXN-282 [Patient] [Patient History] - add Surgical history and Family history in to Patient history panel</t>
  </si>
  <si>
    <r>
      <rPr>
        <sz val="11"/>
        <color rgb="FF00B050"/>
        <rFont val="Aptos Narrow"/>
        <scheme val="minor"/>
      </rPr>
      <t xml:space="preserve">ตอนนี้ใช้งานได้ในส่วนของ U/D </t>
    </r>
    <r>
      <rPr>
        <sz val="11"/>
        <color rgb="FFFF0000"/>
        <rFont val="Aptos Narrow"/>
        <scheme val="minor"/>
      </rPr>
      <t>แต่ยังไม่รวมพวก ประวัติสุขภาพครอบครัว การสูบบุหรี่ ฯลฯ</t>
    </r>
  </si>
  <si>
    <t>คุยเรื่อง limitation กับพี่ปัมเบื้องต้นแล้ว แต่ยังไงก้ไม่ทัน wave 1.</t>
  </si>
  <si>
    <t>เด๋วเบสไปคุยกับ Not</t>
  </si>
  <si>
    <t>เรียบร้อยแล้ว</t>
  </si>
  <si>
    <t>ใช้หน้า OPD ในการแสดงข้อมูลนี้ พี่ปัมกำลังทำ ข้ออื่น การ์ดอื่น</t>
  </si>
  <si>
    <t>https://linear.app/cortexcloud/issue/SBH-710/discharge-สรปคาใชจายimprovement-คา-df
https://linear.app/cortexcloud/issue/SBH-441/adminclinic-เพมการตงคาเลอก-item-สำหรบ-doctor-fee</t>
  </si>
  <si>
    <t>mock สิทธิ UC / SS</t>
  </si>
  <si>
    <t>รอมี IPD แล้วค่อยมาคุย
ให้เลือกหอผู้ป่วยทีหลัง // meaning = discharge to admit</t>
  </si>
  <si>
    <t>ยาที่เซนจ่ายเองอันนี้อยู่ในกรณียาในบัญชี เหตุผล จ. หรือยาที่เซตราคา Copay ไหม หรือเรามีพัฒนาส่วนที่ติ๊กจ่ายเงินเองหรือยัง
https://linear.app/cortexcloud/issue/SBH-494/ordercopay-เอกสาร-co-pay</t>
  </si>
  <si>
    <t>move มา ส่งมอบ 15/7/26 // Modern</t>
  </si>
  <si>
    <t>ทำได้แล้ว รอ ทำตาม improvement ใหม่
https://linear.app/cortexcloud/issue/SBH-1181/cpoe-copay-ระบบสามารถแสดงชองบนทกเอกสาร-copay</t>
  </si>
  <si>
    <t>Design task</t>
  </si>
  <si>
    <t>https://linear.app/cortexcloud/issue/SBH-920/opd-emr-set-form-template</t>
  </si>
  <si>
    <r>
      <rPr>
        <sz val="11"/>
        <color rgb="FF00B050"/>
        <rFont val="Aptos Narrow"/>
        <scheme val="minor"/>
      </rPr>
      <t xml:space="preserve">(จริงๆอันนี้แพทย์ขอ Before go live ก้ได้นะ) ตอนนี้ทำได้ด้วย ปุ่ม / ในหน้า appointment สามารถใช้ที่อื่นก้ได้แต่ต้อง config // </t>
    </r>
    <r>
      <rPr>
        <sz val="11"/>
        <color rgb="FFFF0000"/>
        <rFont val="Aptos Narrow"/>
        <scheme val="minor"/>
      </rPr>
      <t>ต้องขอข้อมูลเพิ่มถ้าทำเพิ่ม เช่น เอาที่ไหน Wording อะไร ระวังแพทย์อยาก custom เองอีก</t>
    </r>
  </si>
  <si>
    <t>ควรมี performance test; ออกแบบการแสดงข้อมูลจำนวนมาก (paging) ให้รองรับ.
จะมีการ performance ร่วมกับ IT Team</t>
  </si>
  <si>
    <t>SBH-111: [Test] Performance &amp; Load Testing​</t>
  </si>
  <si>
    <t>move มา ส่งมอบ 15/7/26</t>
  </si>
  <si>
    <r>
      <rPr>
        <sz val="11"/>
        <color rgb="FF00B050"/>
        <rFont val="Aptos Narrow"/>
        <scheme val="minor"/>
      </rPr>
      <t>check card track เรื่องว่ามีเรื่อง</t>
    </r>
    <r>
      <rPr>
        <sz val="11"/>
        <color rgb="FFFF0000"/>
        <rFont val="Aptos Narrow"/>
        <scheme val="minor"/>
      </rPr>
      <t>หายไปใน 6 เดือนหรือไม่</t>
    </r>
    <r>
      <rPr>
        <sz val="11"/>
        <color rgb="FF00B050"/>
        <rFont val="Aptos Narrow"/>
        <scheme val="minor"/>
      </rPr>
      <t xml:space="preserve"> (เป็น Before golive)</t>
    </r>
  </si>
  <si>
    <t>โอน่าจะทำแล้ว</t>
  </si>
  <si>
    <t>available on dev-X</t>
  </si>
  <si>
    <t>sub issue split from 108</t>
  </si>
  <si>
    <t>สรุปผลการทดสอบ Station-OPD BizSim(New)</t>
  </si>
  <si>
    <t>ที่มา: ชีต Station-OPD BizSim(New) · สรุปเมื่อ 26 ต.ค. 2026 · ตัวเลขในตารางเป็นสูตร นับจากชีตต้นทางอัตโนมัติ (ตารางรายละเอียดบัคเป็นข้อความ ณ วันที่สรุป)</t>
  </si>
  <si>
    <t>สถานะ Test Case</t>
  </si>
  <si>
    <t>สถานะ</t>
  </si>
  <si>
    <t>จำนวน (ข้อ)</t>
  </si>
  <si>
    <t>% ของทั้งหมด</t>
  </si>
  <si>
    <t>Pass with Condition</t>
  </si>
  <si>
    <t>ยังไม่ทดสอบ (เหลือ)</t>
  </si>
  <si>
    <t>รวมทั้งหมด</t>
  </si>
  <si>
    <t>ภาพรวม: ผ่าน / ยังไม่ผ่าน / เหลือ</t>
  </si>
  <si>
    <t>ผ่าน (Pass + Pass with Condition)</t>
  </si>
  <si>
    <t>ยังไม่ผ่าน (Fail)</t>
  </si>
  <si>
    <t>ข้าม (Skip)</t>
  </si>
  <si>
    <t>เหลือ (ยังไม่ทดสอบ)</t>
  </si>
  <si>
    <t>ลงผลแล้ว (Pass + PwC + Fail + Skip)</t>
  </si>
  <si>
    <t>สรุปรายหมวด</t>
  </si>
  <si>
    <t>หมวด</t>
  </si>
  <si>
    <t>ชื่อหมวด</t>
  </si>
  <si>
    <t>ทั้งหมด</t>
  </si>
  <si>
    <t>Pass w/ Cond.</t>
  </si>
  <si>
    <t>เหลือ</t>
  </si>
  <si>
    <t>% ลงผลแล้ว</t>
  </si>
  <si>
    <t>เวชระเบียน (ลงทะเบียน / เปิด Visit)</t>
  </si>
  <si>
    <t>พยาบาลคัดกรอง / Walk-in</t>
  </si>
  <si>
    <t>แพทย์ตรวจ / กรอกข้อมูล Diagnosis</t>
  </si>
  <si>
    <t>สั่ง Order (CPOE)</t>
  </si>
  <si>
    <t>ห้อง Lab</t>
  </si>
  <si>
    <t>รังสี (X-ray / US)</t>
  </si>
  <si>
    <t>Activity / หัตถการ</t>
  </si>
  <si>
    <t>เอกสารทางการแพทย์</t>
  </si>
  <si>
    <t>Discharge / ส่งต่อ (พยาบาล)</t>
  </si>
  <si>
    <t>ห้องยา (รับยา)</t>
  </si>
  <si>
    <t>การเงิน</t>
  </si>
  <si>
    <t>เบิกจ่ายตามสิทธิ (Claim)</t>
  </si>
  <si>
    <t>รวม</t>
  </si>
  <si>
    <t>กลุ่มปัญหาหลักที่พบ</t>
  </si>
  <si>
    <t>พิมพ์เอกสารไม่ได้ — ใบนำทาง / บัตรคิว (หน้าแก้ไข Visit) และใบนัดหมาย · กระทบ REG-002, REG-003, REG-004, REG-007, APT-001 (และหมายเหตุใน APT-003, APT-005)</t>
  </si>
  <si>
    <t>Lab / IMG: สั่ง Lab แล้วไม่เกิด Task ที่ห้อง Lab · ระบบออกคิว Lab / IMG ตั้งแต่เปิด Visit (ควรออกตอน Check-in) · วันที่ของ IMG ที่สั่งล่วงหน้าเพี้ยน · ยกเลิกนัดแล้ว Task Lab ไม่ถูกยกเลิก · กระทบ REG-005, REG-006, APT-004, DX-002, ORD-011</t>
  </si>
  <si>
    <t>Consult: ส่งปรึกษาได้ แต่แพทย์ผู้รับมองไม่เห็นรายการ · DX-003 ทำให้ DX-004, DX-005 ทดสอบต่อไม่ได้ (Block)</t>
  </si>
  <si>
    <t>ยา: สร้างเอกสาร DUE / PA ไม่ได้ (ORD-007) · สร้างใบยาติด Error careflow step (ORD-018) · Refill ต้องแก้บัคและทำเงื่อนไขการใช้ให้ชัด (ORD-004)</t>
  </si>
  <si>
    <t>หัตถการ: สั่งหัตถการภายในวันแล้วไม่มีคิว (ORD-013) · หัตถการที่สั่งไม่พบในห้องหัตถการ (REG-006)</t>
  </si>
  <si>
    <t>รายละเอียดข้อที่ไม่ผ่าน (Fail) และ Pass with Condition</t>
  </si>
  <si>
    <t>ข้อทดสอบ</t>
  </si>
  <si>
    <t>ปัญหา / บัคที่พบ (สรุป)</t>
  </si>
  <si>
    <t>หลักฐาน (ชื่อรูปในชีตต้นทาง)</t>
  </si>
  <si>
    <t>1) พิมพ์ใบนำทางไม่ได้ (Format ไม่ตรง)
2) ใบนำทางกับบัตรคิวพิมพ์ออกมาเป็นเอกสารเดียวกัน
3) ต้อง set data สิทธิ "เงินสดเบิกได้" และปุ่มปิดสิทธิ์ก่อนใช้งาน</t>
  </si>
  <si>
    <t>พิมพ์บัตรคิว / ใบนำทางจากหน้าแก้ไข Visit ไม่ได้</t>
  </si>
  <si>
    <t>1) สั่ง Order ล่วงหน้าผูกกับนัดหมาย: Lab ขึ้นในนัด แต่ X-ray ไม่ขึ้น
2) ระบบออกคิว Lab / IMG ทันทีตอนเปิด Visit — ที่ถูกต้องคือสร้างคิวตอน Check-in ที่จุดบริการปลายทาง
3) สั่ง Lab แล้วไม่เกิด Task ที่ห้อง Lab (IMG มี Task)
4) สั่ง X-ray วันอื่น แต่หน้า CPOE แสดงเป็นวันนี้</t>
  </si>
  <si>
    <t>สั่ง Order ล่วงหน้าที่หน้านัดหมายแล้วไม่มีรายการขึ้นในนัดหมาย.png · คิวห้อง LAB,Imaging ต้องไม่ออกคิวตอนเปิด Visit ต้องไปสร้างตอนเช็คอิน.png · สั่ง X-ray วันอื่นแต่หน้า CPOE ขึ้นวันนี้.png</t>
  </si>
  <si>
    <t>เปิด Visit แบบไม่พบแพทย์ (หรือรับบริการ): เจาะเลือด / IMG ล่วงหน้า</t>
  </si>
  <si>
    <t>1) IMG ที่สั่งวันอื่น เมื่อเลือกวันที่เป็นวันนี้ คำอธิบายเปลี่ยนเป็นวันนี้ตาม (Lab / ยา / หัตถการไม่เป็น)
2) ต้องเปิด Visit ก่อนแล้วค่อยยืนยันนัด ไม่เช่นนั้นห้องรังสี Process ต่อไม่ได้
3) หัตถการที่สั่งไม่พบในห้องหัตถการ (รอ Universal Tasklist)</t>
  </si>
  <si>
    <t>1) พิมพ์ใบนำทางจากหน้าแก้ไข Visit ไม่ได้
2) ใบนำทางจาก Regis ไปคลินิกยังไม่มี (จากคลินิกไป Lab / X-ray มีแล้ว)</t>
  </si>
  <si>
    <t>สร้างนัดหมาย (นัด FU / นัดตรวจวันนี้ / นัดเข็มถัดไป ฯลฯ)</t>
  </si>
  <si>
    <t>1) พิมพ์ใบนัดหมายไม่ได้
2) ข้อสังเกต: ระบบยังไม่มีคิวคัดกรอง มีแต่คิวเข้าห้องตรวจ (คนไข้ที่มาถึงคลินิกต้องติดต่อพยาบาลก่อน)</t>
  </si>
  <si>
    <t>ยกเลิกนัดหมายแล้ว รายการ Task Lab ไม่ถูกยกเลิกตาม</t>
  </si>
  <si>
    <t>1) Icon สถานะแสดงไม่ถูกต้อง
2) สั่ง Lab แล้วไม่เกิด Task ที่ห้อง Lab (คาดว่ามาจากการ Restructure Lab)
3) X-ray: ยังไม่ชัดว่าช่อง Result by / Prelim by อยู่ตรงไหน</t>
  </si>
  <si>
    <t>Icon สถานะแสดงผลไม่ถูกต้อง.png · สั่ง Order Lab แล้วไม่เกิด Task ที่ฝั่ง Lab.png</t>
  </si>
  <si>
    <t>ส่ง Consult ได้ แต่แพทย์ผู้รับมองไม่เห็นรายการปรึกษา</t>
  </si>
  <si>
    <t>Block by DX-003 (ผู้รับมองไม่เห็นรายการปรึกษา)</t>
  </si>
  <si>
    <t>ต้องแก้บัค และทำวิธีใช้ / เงื่อนไขให้ชัดเจน เพื่อให้ User ใช้งานได้ถูกต้อง</t>
  </si>
  <si>
    <t>สร้างเอกสาร DUE / PA ไม่ได้</t>
  </si>
  <si>
    <t>สั่ง Lab แล้วไม่เกิด Task ที่ห้อง Lab (ปัญหาเดียวกับ DX-002)</t>
  </si>
  <si>
    <t>สั่งหัตถการแล้วไม่มีคิว</t>
  </si>
  <si>
    <t>ตอนสร้างใบยาเจอ Error 500: "Failed to create OPD prescription ... medication request is not in authorised careflow step" — ใบยาสร้างได้ แต่หน้าจอไม่เปลี่ยนให้</t>
  </si>
  <si>
    <t>ข้อที่ Pass แต่มีหมายเหตุ</t>
  </si>
  <si>
    <t>กรอกที่อยู่ปัจจุบันตาม 43 แฟ้ม บางช่องยังขึ้นสีแดง แต่บันทึกได้</t>
  </si>
  <si>
    <t>พิมพ์ใบนัดหมายไม่ได้ (ซ้ำ APT-001) · ปุ่มของนัดหมายที่เสร็จสิ้นแล้วไม่ enable</t>
  </si>
  <si>
    <t>พิมพ์ใบนัดหมายไม่ได้ (ซ้ำ APT-001)</t>
  </si>
  <si>
    <t>ข้อที่ Skip และเหตุผล</t>
  </si>
  <si>
    <t>ไม่ได้ระบุเหตุผล</t>
  </si>
  <si>
    <t>ซ้ำกับข้ออื่น (Dup)</t>
  </si>
  <si>
    <t>รอทดสอบหลัง Master Data เสร็จ</t>
  </si>
  <si>
    <t>รอแก้ไข CDSS</t>
  </si>
  <si>
    <t>หน้า Result ยังพิมพ์เอกสารไม่ได้ รอนัดคุยกับ มน.</t>
  </si>
  <si>
    <t>Flow ยังไม่เคลียร์ รอคุยกับพี่เบส</t>
  </si>
  <si>
    <t>ยังไม่ทดสอบ 75 ข้อ: DX-007 (ดูข้อมูลใบส่งตัว Refer เข้า) และทุกข้อในหมวด LAB, IMG, ACT, DOC, DC, ADM, PHA, CSH, CLM</t>
  </si>
  <si>
    <t>อาจให้ พน. ทดสอบ หรือทำรอบหน้า (รออัพเดท Form ใหม่)</t>
  </si>
  <si>
    <t>ซ้ำกับข้อ DX-002 ดูผล Lab / IMG แล้วสรุปการรักษา</t>
  </si>
  <si>
    <t>รอพูดคุยกับคนทำใบยานอกบัญชีเนื่องจากของเก่าดูครอบคุมมากกว่าอาจต้องหารือเพิ่มเติม (มีรูป: ใบยานอกบัญชีแสดงไม่ถูกต้อง)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</si>
</sst>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B1d\-mmm\-yy"/>
    <numFmt numFmtId="165" formatCode="0.0%"/>
    <numFmt numFmtId="166" formatCode="0;\-0;&quot;-&quot;"/>
  </numFmts>
  <fonts count="107" x14ac:knownFonts="1">
    <font>
      <sz val="11"/>
      <color theme="1"/>
      <name val="Aptos Narrow"/>
      <family val="2"/>
      <scheme val="minor"/>
    </font>
    <font>
      <b/>
      <sz val="16"/>
      <color theme="1"/>
      <name val="TH SarabunPSK"/>
      <family val="2"/>
    </font>
    <font>
      <sz val="11"/>
      <color theme="1"/>
      <name val="TH SarabunPSK"/>
      <family val="2"/>
    </font>
    <font>
      <u/>
      <sz val="11"/>
      <color theme="10"/>
      <name val="Aptos Narrow"/>
      <family val="2"/>
      <scheme val="minor"/>
    </font>
    <font>
      <u/>
      <sz val="11"/>
      <color theme="10"/>
      <name val="TH SarabunPSK"/>
      <family val="2"/>
    </font>
    <font>
      <sz val="16"/>
      <color theme="1"/>
      <name val="TH SarabunPSK"/>
      <family val="2"/>
    </font>
    <font>
      <sz val="12"/>
      <color theme="1"/>
      <name val="TH SarabunPSK"/>
      <family val="2"/>
    </font>
    <font>
      <b/>
      <sz val="16"/>
      <color rgb="FF000000"/>
      <name val="TH SarabunPSK"/>
      <family val="2"/>
    </font>
    <font>
      <sz val="16"/>
      <color rgb="FF000000"/>
      <name val="TH SarabunPSK"/>
      <family val="2"/>
    </font>
    <font>
      <sz val="11"/>
      <color rgb="FFFF0000"/>
      <name val="TH SarabunPSK"/>
      <family val="2"/>
    </font>
    <font>
      <sz val="11"/>
      <color rgb="FF000000"/>
      <name val="Aptos Narrow"/>
    </font>
    <font>
      <b/>
      <sz val="11"/>
      <color theme="1"/>
      <name val="Aptos Narrow"/>
      <family val="2"/>
      <scheme val="minor"/>
    </font>
    <font>
      <sz val="12"/>
      <color rgb="FFFF0000"/>
      <name val="TH SarabunPSK"/>
      <family val="2"/>
    </font>
    <font>
      <sz val="11"/>
      <color rgb="FF000000"/>
      <name val="Aptos Narrow"/>
      <scheme val="minor"/>
    </font>
    <font>
      <sz val="11"/>
      <color rgb="FF242424"/>
      <name val="Aptos Narrow"/>
    </font>
    <font>
      <sz val="11"/>
      <color rgb="FF000000"/>
      <name val="Tahoma"/>
      <family val="2"/>
    </font>
    <font>
      <strike/>
      <sz val="11"/>
      <color theme="1"/>
      <name val="Aptos Narrow"/>
      <family val="2"/>
      <scheme val="minor"/>
    </font>
    <font>
      <b/>
      <sz val="10"/>
      <color rgb="FFFFFFFF"/>
      <name val="Tahoma"/>
      <family val="2"/>
    </font>
    <font>
      <sz val="10"/>
      <name val="Tahoma"/>
      <family val="2"/>
    </font>
    <font>
      <b/>
      <sz val="10"/>
      <name val="Tahoma"/>
      <family val="2"/>
    </font>
    <font>
      <b/>
      <sz val="10"/>
      <color rgb="FFC00000"/>
      <name val="Tahoma"/>
      <family val="2"/>
    </font>
    <font>
      <b/>
      <sz val="10"/>
      <color rgb="FFE36C09"/>
      <name val="Tahoma"/>
      <family val="2"/>
    </font>
    <font>
      <sz val="10"/>
      <color rgb="FFBF8F00"/>
      <name val="Tahoma"/>
      <family val="2"/>
    </font>
    <font>
      <sz val="10"/>
      <color rgb="FF808080"/>
      <name val="Tahoma"/>
      <family val="2"/>
    </font>
    <font>
      <strike/>
      <sz val="11"/>
      <color rgb="FF000000"/>
      <name val="Aptos Narrow"/>
      <family val="2"/>
      <scheme val="minor"/>
    </font>
    <font>
      <sz val="10"/>
      <color theme="9" tint="-0.249977111117893"/>
      <name val="Tahoma"/>
      <family val="2"/>
    </font>
    <font>
      <sz val="10"/>
      <color rgb="FFFFC000"/>
      <name val="Tahoma"/>
      <family val="2"/>
    </font>
    <font>
      <sz val="10"/>
      <color rgb="FF000000"/>
      <name val="Tahoma"/>
      <family val="2"/>
    </font>
    <font>
      <sz val="10"/>
      <color rgb="FFFF0000"/>
      <name val="Tahoma"/>
      <family val="2"/>
    </font>
    <font>
      <sz val="10"/>
      <color theme="9"/>
      <name val="Tahoma"/>
      <family val="2"/>
    </font>
    <font>
      <sz val="11"/>
      <color rgb="FFFF0000"/>
      <name val="Aptos Narrow"/>
      <scheme val="minor"/>
    </font>
    <font>
      <sz val="11"/>
      <color theme="1"/>
      <name val="Aptos Narrow"/>
      <scheme val="minor"/>
    </font>
    <font>
      <sz val="11"/>
      <color rgb="FFFF0000"/>
      <name val="Aptos Narrow"/>
      <family val="2"/>
      <scheme val="minor"/>
    </font>
    <font>
      <sz val="11"/>
      <color rgb="FF00B050"/>
      <name val="Aptos Narrow"/>
      <family val="2"/>
      <scheme val="minor"/>
    </font>
    <font>
      <sz val="11"/>
      <color rgb="FF000000"/>
      <name val="Aptos Narrow"/>
      <family val="2"/>
      <scheme val="minor"/>
    </font>
    <font>
      <sz val="10"/>
      <color rgb="FFA6A6A6"/>
      <name val="Tahoma"/>
      <family val="2"/>
    </font>
    <font>
      <sz val="11"/>
      <color rgb="FF00B050"/>
      <name val="Aptos Narrow"/>
      <scheme val="minor"/>
    </font>
    <font>
      <sz val="9"/>
      <name val="Tahoma"/>
      <family val="2"/>
    </font>
    <font>
      <sz val="10"/>
      <color rgb="FFC00000"/>
      <name val="Tahoma"/>
      <family val="2"/>
    </font>
    <font>
      <sz val="10"/>
      <color rgb="FF996600"/>
      <name val="Tahoma"/>
      <family val="2"/>
    </font>
    <font>
      <sz val="10"/>
      <color rgb="FFE36C09"/>
      <name val="Tahoma"/>
      <family val="2"/>
    </font>
    <font>
      <sz val="10"/>
      <color rgb="FF2E7D32"/>
      <name val="Tahoma"/>
      <family val="2"/>
    </font>
    <font>
      <sz val="9"/>
      <color rgb="FF1F4E78"/>
      <name val="Tahoma"/>
      <family val="2"/>
    </font>
    <font>
      <b/>
      <sz val="9"/>
      <color rgb="FFFFFFFF"/>
      <name val="Tahoma"/>
      <family val="2"/>
    </font>
    <font>
      <u/>
      <sz val="9"/>
      <color theme="10"/>
      <name val="Tahoma"/>
      <family val="2"/>
    </font>
    <font>
      <sz val="9"/>
      <color theme="1"/>
      <name val="Tahoma"/>
      <family val="2"/>
    </font>
    <font>
      <sz val="11"/>
      <color rgb="FFFFC000"/>
      <name val="Aptos Narrow"/>
      <family val="2"/>
      <scheme val="minor"/>
    </font>
    <font>
      <u/>
      <sz val="10"/>
      <color theme="10"/>
      <name val="Aptos Narrow"/>
      <family val="2"/>
      <scheme val="minor"/>
    </font>
    <font>
      <sz val="11"/>
      <color rgb="FFFF0000"/>
      <name val="Aptos Narrow"/>
    </font>
    <font>
      <b/>
      <sz val="10"/>
      <color rgb="FFBF8F00"/>
      <name val="Tahoma"/>
      <family val="2"/>
    </font>
    <font>
      <b/>
      <sz val="10"/>
      <color rgb="FF808080"/>
      <name val="Tahoma"/>
      <family val="2"/>
    </font>
    <font>
      <b/>
      <sz val="10"/>
      <color rgb="FFA6A6A6"/>
      <name val="Tahoma"/>
      <family val="2"/>
    </font>
    <font>
      <sz val="11"/>
      <color rgb="FF00B0F0"/>
      <name val="Aptos Narrow"/>
      <family val="2"/>
      <scheme val="minor"/>
    </font>
    <font>
      <sz val="11"/>
      <color rgb="FFD86DCD"/>
      <name val="Aptos Narrow"/>
      <scheme val="minor"/>
    </font>
    <font>
      <sz val="10"/>
      <color rgb="FF00B050"/>
      <name val="Tahoma"/>
      <family val="2"/>
    </font>
    <font>
      <b/>
      <sz val="11"/>
      <color theme="1"/>
      <name val="Aptos Narrow"/>
      <scheme val="minor"/>
    </font>
    <font>
      <sz val="11"/>
      <color rgb="FF00B0F0"/>
      <name val="Aptos Narrow"/>
      <scheme val="minor"/>
    </font>
    <font>
      <strike/>
      <u/>
      <sz val="11"/>
      <color rgb="FF467886"/>
      <name val="Aptos Narrow"/>
      <scheme val="minor"/>
    </font>
    <font>
      <u/>
      <sz val="11"/>
      <color rgb="FF467886"/>
      <name val="Aptos Narrow"/>
      <scheme val="minor"/>
    </font>
    <font>
      <sz val="16"/>
      <color theme="1"/>
      <name val="TH SarabunPSK"/>
      <family val="2"/>
    </font>
    <font>
      <b/>
      <sz val="11"/>
      <color rgb="FFFF0000"/>
      <name val="TH SarabunPSK"/>
      <family val="2"/>
    </font>
    <font>
      <b/>
      <sz val="18"/>
      <color theme="1"/>
      <name val="TH SarabunPSK"/>
      <family val="2"/>
    </font>
    <font>
      <b/>
      <sz val="18"/>
      <color rgb="FFFF0000"/>
      <name val="TH SarabunPSK"/>
      <family val="2"/>
    </font>
    <font>
      <b/>
      <sz val="16"/>
      <color theme="1"/>
      <name val="TH SarabunPSK"/>
    </font>
    <font>
      <sz val="11"/>
      <color theme="1"/>
      <name val="TH SarabunPSK"/>
    </font>
    <font>
      <sz val="16"/>
      <color theme="1"/>
      <name val="TH SarabunPSK"/>
    </font>
    <font>
      <b/>
      <sz val="11"/>
      <color rgb="FFFF0000"/>
      <name val="TH SarabunPSK"/>
    </font>
    <font>
      <sz val="16"/>
      <color theme="1"/>
      <name val="TH SarabunPSK"/>
      <family val="2"/>
      <charset val="222"/>
    </font>
    <font>
      <sz val="11"/>
      <color theme="1"/>
      <name val="Aptos Narrow"/>
      <family val="2"/>
      <charset val="222"/>
      <scheme val="minor"/>
    </font>
    <font>
      <sz val="11"/>
      <color rgb="FFFF0000"/>
      <name val="Aptos Narrow"/>
      <family val="2"/>
      <charset val="222"/>
      <scheme val="minor"/>
    </font>
    <font>
      <b/>
      <sz val="11"/>
      <color rgb="FF4EA72E"/>
      <name val="TH SarabunPSK"/>
    </font>
    <font>
      <b/>
      <sz val="14"/>
      <color rgb="FFFF0000"/>
      <name val="TH SarabunPSK"/>
      <charset val="1"/>
    </font>
    <font>
      <b/>
      <sz val="11"/>
      <color rgb="FFFF0000"/>
      <name val="Aptos Narrow"/>
      <family val="2"/>
      <scheme val="minor"/>
    </font>
    <font>
      <b/>
      <sz val="14"/>
      <color rgb="FF00B050"/>
      <name val="TH SarabunPSK"/>
      <charset val="1"/>
    </font>
    <font>
      <sz val="11"/>
      <color rgb="FF747474"/>
      <name val="Aptos Narrow"/>
      <scheme val="minor"/>
    </font>
    <font>
      <strike/>
      <sz val="11"/>
      <color rgb="FF000000"/>
      <name val="Aptos Narrow"/>
      <scheme val="minor"/>
    </font>
    <font>
      <b/>
      <sz val="18"/>
      <color rgb="FF000000"/>
      <name val="TH SarabunPSK"/>
    </font>
    <font>
      <sz val="11"/>
      <color rgb="FF000000"/>
      <name val="TH SarabunPSK"/>
      <family val="2"/>
    </font>
    <font>
      <b/>
      <sz val="12"/>
      <color theme="1"/>
      <name val="Aptos Narrow"/>
      <family val="2"/>
      <scheme val="minor"/>
    </font>
    <font>
      <sz val="12"/>
      <color theme="1"/>
      <name val="Aptos Narrow"/>
      <family val="2"/>
      <scheme val="minor"/>
    </font>
    <font>
      <b/>
      <sz val="14"/>
      <color rgb="FFFFC000"/>
      <name val="TH SarabunPSK"/>
      <charset val="1"/>
    </font>
    <font>
      <b/>
      <sz val="11"/>
      <color theme="1"/>
      <name val="TH SarabunPSK"/>
    </font>
    <font>
      <b/>
      <sz val="11"/>
      <color rgb="FF00B050"/>
      <name val="Aptos Narrow"/>
      <family val="2"/>
      <scheme val="minor"/>
    </font>
    <font>
      <sz val="16"/>
      <color rgb="FF000000"/>
      <name val="TH SarabunPSK"/>
    </font>
    <font>
      <sz val="11"/>
      <color rgb="FF000000"/>
      <name val="TH SarabunPSK"/>
    </font>
    <font>
      <b/>
      <sz val="16"/>
      <color rgb="FF000000"/>
      <name val="TH SarabunPSK"/>
    </font>
    <font>
      <b/>
      <sz val="14"/>
      <color rgb="FF000000"/>
      <name val="TH SarabunPSK"/>
    </font>
    <font>
      <b/>
      <strike/>
      <sz val="11"/>
      <color rgb="FFFF0000"/>
      <name val="Aptos Narrow"/>
      <family val="2"/>
      <scheme val="minor"/>
    </font>
    <font>
      <sz val="11"/>
      <color rgb="FF000000"/>
      <name val="Aptos Narrow"/>
      <charset val="1"/>
    </font>
    <font>
      <sz val="11"/>
      <color rgb="FF000000"/>
      <name val="Aptos Narrow"/>
      <family val="2"/>
    </font>
    <font>
      <b/>
      <sz val="18"/>
      <color rgb="FF000000"/>
      <name val="TH SarabunPSK"/>
      <family val="2"/>
    </font>
    <font>
      <sz val="16"/>
      <color rgb="FF000000"/>
      <name val="TH SarabunPSK"/>
      <family val="2"/>
      <charset val="222"/>
    </font>
    <font>
      <sz val="11"/>
      <color rgb="FF000000"/>
      <name val="Aptos Narrow"/>
      <family val="2"/>
      <charset val="222"/>
    </font>
    <font>
      <sz val="11"/>
      <color rgb="FFFF0000"/>
      <name val="Aptos Narrow"/>
      <family val="2"/>
      <charset val="222"/>
    </font>
    <font>
      <u/>
      <sz val="11"/>
      <color rgb="FF467886"/>
      <name val="TH SarabunPSK"/>
      <family val="2"/>
    </font>
    <font>
      <u/>
      <sz val="11"/>
      <color rgb="FF467886"/>
      <name val="Aptos Narrow"/>
      <family val="2"/>
    </font>
    <font>
      <sz val="16"/>
      <color rgb="FFFF0000"/>
      <name val="TH SarabunPSK"/>
    </font>
    <font>
      <b/>
      <sz val="22"/>
      <color theme="1"/>
      <name val="TH SarabunPSK"/>
      <family val="2"/>
      <charset val="222"/>
    </font>
    <font>
      <i/>
      <sz val="16"/>
      <color rgb="FF595959"/>
      <name val="TH SarabunPSK"/>
      <family val="2"/>
      <charset val="222"/>
    </font>
    <font>
      <b/>
      <sz val="16"/>
      <color theme="1"/>
      <name val="TH SarabunPSK"/>
      <family val="2"/>
      <charset val="222"/>
    </font>
    <font>
      <b/>
      <sz val="18"/>
      <color rgb="FF1F4E78"/>
      <name val="TH SarabunPSK"/>
      <family val="2"/>
      <charset val="222"/>
    </font>
    <font>
      <b/>
      <sz val="16"/>
      <color rgb="FFFFFFFF"/>
      <name val="TH SarabunPSK"/>
      <family val="2"/>
      <charset val="222"/>
    </font>
    <font>
      <b/>
      <sz val="16"/>
      <color rgb="FF9C5700"/>
      <name val="TH SarabunPSK"/>
      <family val="2"/>
      <charset val="222"/>
    </font>
    <font>
      <b/>
      <sz val="16"/>
      <color rgb="FF9C0006"/>
      <name val="TH SarabunPSK"/>
      <family val="2"/>
      <charset val="222"/>
    </font>
    <font>
      <b/>
      <sz val="16"/>
      <color rgb="FF006100"/>
      <name val="TH SarabunPSK"/>
      <family val="2"/>
      <charset val="222"/>
    </font>
    <font>
      <b/>
      <sz val="16"/>
      <color rgb="FF404040"/>
      <name val="TH SarabunPSK"/>
      <family val="2"/>
      <charset val="222"/>
    </font>
    <font>
      <i/>
      <sz val="16"/>
      <color rgb="FF1F4E78"/>
      <name val="TH SarabunPSK"/>
      <family val="2"/>
      <charset val="222"/>
    </font>
  </fonts>
  <fills count="49">
    <fill>
      <patternFill patternType="none"/>
    </fill>
    <fill>
      <patternFill patternType="gray125"/>
    </fill>
    <fill>
      <patternFill patternType="solid">
        <fgColor theme="4"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DAF2D0"/>
        <bgColor rgb="FF000000"/>
      </patternFill>
    </fill>
    <fill>
      <patternFill patternType="solid">
        <fgColor rgb="FFFFC000"/>
        <bgColor indexed="64"/>
      </patternFill>
    </fill>
    <fill>
      <patternFill patternType="solid">
        <fgColor theme="8" tint="0.79998168889431442"/>
        <bgColor indexed="64"/>
      </patternFill>
    </fill>
    <fill>
      <patternFill patternType="solid">
        <fgColor rgb="FFFF0000"/>
        <bgColor indexed="64"/>
      </patternFill>
    </fill>
    <fill>
      <patternFill patternType="solid">
        <fgColor rgb="FF1F4E78"/>
        <bgColor rgb="FF000000"/>
      </patternFill>
    </fill>
    <fill>
      <patternFill patternType="solid">
        <fgColor rgb="FFDDEBF7"/>
        <bgColor rgb="FF000000"/>
      </patternFill>
    </fill>
    <fill>
      <patternFill patternType="solid">
        <fgColor rgb="FFFF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1F4E78"/>
        <bgColor rgb="FF003366"/>
      </patternFill>
    </fill>
    <fill>
      <patternFill patternType="solid">
        <fgColor rgb="FFF2F8FC"/>
        <bgColor rgb="FFF2F2F2"/>
      </patternFill>
    </fill>
    <fill>
      <patternFill patternType="solid">
        <fgColor rgb="FFDDEBF7"/>
        <bgColor rgb="FFEDEDED"/>
      </patternFill>
    </fill>
    <fill>
      <patternFill patternType="solid">
        <fgColor rgb="FFEDEDED"/>
        <bgColor rgb="FFF2F2F2"/>
      </patternFill>
    </fill>
    <fill>
      <patternFill patternType="solid">
        <fgColor rgb="FFE2EFDA"/>
        <bgColor rgb="FFEDEDED"/>
      </patternFill>
    </fill>
    <fill>
      <patternFill patternType="solid">
        <fgColor rgb="FFF2F2F2"/>
        <bgColor rgb="FFEDEDED"/>
      </patternFill>
    </fill>
    <fill>
      <patternFill patternType="solid">
        <fgColor rgb="FFFFD9D9"/>
        <bgColor rgb="FFFFE5CC"/>
      </patternFill>
    </fill>
    <fill>
      <patternFill patternType="solid">
        <fgColor rgb="FFFFFCE5"/>
        <bgColor rgb="FFFFFFFF"/>
      </patternFill>
    </fill>
    <fill>
      <patternFill patternType="solid">
        <fgColor rgb="FFFFE699"/>
        <bgColor rgb="FFFFEB9C"/>
      </patternFill>
    </fill>
    <fill>
      <patternFill patternType="solid">
        <fgColor theme="0"/>
        <bgColor indexed="64"/>
      </patternFill>
    </fill>
    <fill>
      <patternFill patternType="solid">
        <fgColor theme="4" tint="-0.249977111117893"/>
        <bgColor indexed="64"/>
      </patternFill>
    </fill>
    <fill>
      <patternFill patternType="solid">
        <fgColor rgb="FFFFBFBF"/>
        <bgColor indexed="64"/>
      </patternFill>
    </fill>
    <fill>
      <patternFill patternType="solid">
        <fgColor rgb="FFFFBFBF"/>
        <bgColor rgb="FF000000"/>
      </patternFill>
    </fill>
    <fill>
      <patternFill patternType="solid">
        <fgColor rgb="FFD9D9D9"/>
        <bgColor indexed="64"/>
      </patternFill>
    </fill>
    <fill>
      <patternFill patternType="solid">
        <fgColor rgb="FFFFF7C9"/>
        <bgColor indexed="64"/>
      </patternFill>
    </fill>
    <fill>
      <patternFill patternType="solid">
        <fgColor theme="2" tint="-0.499984740745262"/>
        <bgColor indexed="64"/>
      </patternFill>
    </fill>
    <fill>
      <patternFill patternType="solid">
        <fgColor rgb="FF82CAEC"/>
        <bgColor rgb="FF000000"/>
      </patternFill>
    </fill>
    <fill>
      <patternFill patternType="solid">
        <fgColor rgb="FFE49EDD"/>
        <bgColor rgb="FF000000"/>
      </patternFill>
    </fill>
    <fill>
      <patternFill patternType="solid">
        <fgColor rgb="FF92D050"/>
        <bgColor indexed="64"/>
      </patternFill>
    </fill>
    <fill>
      <patternFill patternType="solid">
        <fgColor rgb="FF00B050"/>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rgb="FFD9D9D9"/>
        <bgColor rgb="FF000000"/>
      </patternFill>
    </fill>
    <fill>
      <patternFill patternType="solid">
        <fgColor rgb="FFFFF7C9"/>
        <bgColor rgb="FF000000"/>
      </patternFill>
    </fill>
    <fill>
      <patternFill patternType="solid">
        <fgColor rgb="FF747474"/>
        <bgColor rgb="FF000000"/>
      </patternFill>
    </fill>
    <fill>
      <patternFill patternType="solid">
        <fgColor rgb="FF1F4E78"/>
        <bgColor indexed="64"/>
      </patternFill>
    </fill>
    <fill>
      <patternFill patternType="solid">
        <fgColor rgb="FF70AD47"/>
        <bgColor indexed="64"/>
      </patternFill>
    </fill>
    <fill>
      <patternFill patternType="solid">
        <fgColor rgb="FFE15759"/>
        <bgColor indexed="64"/>
      </patternFill>
    </fill>
    <fill>
      <patternFill patternType="solid">
        <fgColor rgb="FFA5A5A5"/>
        <bgColor indexed="64"/>
      </patternFill>
    </fill>
    <fill>
      <patternFill patternType="solid">
        <fgColor rgb="FF5B9BD5"/>
        <bgColor indexed="64"/>
      </patternFill>
    </fill>
    <fill>
      <patternFill patternType="solid">
        <fgColor rgb="FFF2F2F2"/>
        <bgColor indexed="64"/>
      </patternFill>
    </fill>
    <fill>
      <patternFill patternType="solid">
        <fgColor rgb="FFFFEB9C"/>
        <bgColor indexed="64"/>
      </patternFill>
    </fill>
    <fill>
      <patternFill patternType="solid">
        <fgColor rgb="FFFFC7CE"/>
        <bgColor indexed="64"/>
      </patternFill>
    </fill>
    <fill>
      <patternFill patternType="solid">
        <fgColor rgb="FFC6EFCE"/>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indexed="64"/>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medium">
        <color rgb="FFFF0000"/>
      </left>
      <right style="medium">
        <color rgb="FFFF0000"/>
      </right>
      <top style="medium">
        <color rgb="FFFF0000"/>
      </top>
      <bottom style="medium">
        <color rgb="FFFF0000"/>
      </bottom>
      <diagonal/>
    </border>
    <border>
      <left/>
      <right/>
      <top/>
      <bottom style="thin">
        <color rgb="FFBFBFBF"/>
      </bottom>
      <diagonal/>
    </border>
    <border>
      <left style="medium">
        <color rgb="FFFF0000"/>
      </left>
      <right style="medium">
        <color rgb="FFFF0000"/>
      </right>
      <top/>
      <bottom style="medium">
        <color rgb="FFFF0000"/>
      </bottom>
      <diagonal/>
    </border>
    <border>
      <left style="thin">
        <color rgb="FFBFBFBF"/>
      </left>
      <right style="thin">
        <color rgb="FFBFBFBF"/>
      </right>
      <top/>
      <bottom style="thick">
        <color rgb="FF000000"/>
      </bottom>
      <diagonal/>
    </border>
    <border>
      <left/>
      <right style="thin">
        <color rgb="FFBFBFBF"/>
      </right>
      <top/>
      <bottom style="thick">
        <color rgb="FF000000"/>
      </bottom>
      <diagonal/>
    </border>
    <border>
      <left/>
      <right/>
      <top/>
      <bottom style="thick">
        <color rgb="FF000000"/>
      </bottom>
      <diagonal/>
    </border>
    <border>
      <left/>
      <right style="thin">
        <color rgb="FFBFBFBF"/>
      </right>
      <top/>
      <bottom/>
      <diagonal/>
    </border>
    <border>
      <left/>
      <right/>
      <top style="thin">
        <color rgb="FF000000"/>
      </top>
      <bottom/>
      <diagonal/>
    </border>
    <border>
      <left/>
      <right style="thin">
        <color rgb="FF000000"/>
      </right>
      <top/>
      <bottom/>
      <diagonal/>
    </border>
    <border>
      <left/>
      <right style="thin">
        <color indexed="64"/>
      </right>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762">
    <xf numFmtId="0" fontId="0" fillId="0" borderId="0" xfId="0"/>
    <xf numFmtId="0" fontId="2" fillId="0" borderId="0" xfId="0" applyFont="1"/>
    <xf numFmtId="0" fontId="1" fillId="2" borderId="1" xfId="0" applyFont="1" applyFill="1" applyBorder="1" applyAlignment="1">
      <alignment horizontal="center" vertical="center"/>
    </xf>
    <xf numFmtId="0" fontId="4" fillId="0" borderId="0" xfId="1" applyFont="1" applyFill="1"/>
    <xf numFmtId="0" fontId="1" fillId="3" borderId="1" xfId="0" applyFont="1" applyFill="1" applyBorder="1" applyAlignment="1">
      <alignment vertical="top"/>
    </xf>
    <xf numFmtId="0" fontId="2" fillId="0" borderId="0" xfId="0" applyFont="1" applyAlignment="1">
      <alignment vertical="top"/>
    </xf>
    <xf numFmtId="0" fontId="1" fillId="4" borderId="1" xfId="0" applyFont="1" applyFill="1" applyBorder="1" applyAlignment="1">
      <alignment vertical="top"/>
    </xf>
    <xf numFmtId="0" fontId="1" fillId="0" borderId="1" xfId="0" applyFont="1" applyBorder="1" applyAlignment="1">
      <alignment vertical="top"/>
    </xf>
    <xf numFmtId="0" fontId="5" fillId="0" borderId="1" xfId="0" applyFont="1" applyBorder="1" applyAlignment="1">
      <alignment vertical="top" wrapText="1"/>
    </xf>
    <xf numFmtId="0" fontId="5" fillId="0" borderId="1" xfId="0" applyFont="1" applyBorder="1" applyAlignment="1">
      <alignment vertical="top"/>
    </xf>
    <xf numFmtId="0" fontId="6" fillId="0" borderId="1" xfId="0" applyFont="1" applyBorder="1" applyAlignment="1">
      <alignment horizontal="left" vertical="top" wrapText="1"/>
    </xf>
    <xf numFmtId="0" fontId="5" fillId="0" borderId="1" xfId="0" applyFont="1" applyBorder="1" applyAlignment="1">
      <alignment horizontal="left" vertical="top"/>
    </xf>
    <xf numFmtId="0" fontId="2" fillId="0" borderId="1" xfId="0" applyFont="1" applyBorder="1"/>
    <xf numFmtId="0" fontId="2" fillId="0" borderId="0" xfId="0" applyFont="1" applyAlignment="1">
      <alignment wrapText="1"/>
    </xf>
    <xf numFmtId="0" fontId="5" fillId="0" borderId="5" xfId="0" applyFont="1" applyBorder="1" applyAlignment="1">
      <alignment vertical="top" wrapText="1"/>
    </xf>
    <xf numFmtId="0" fontId="5" fillId="0" borderId="5" xfId="0" applyFont="1" applyBorder="1" applyAlignment="1">
      <alignment vertical="top"/>
    </xf>
    <xf numFmtId="0" fontId="6" fillId="0" borderId="5" xfId="0" applyFont="1" applyBorder="1" applyAlignment="1">
      <alignment horizontal="left" vertical="top" wrapText="1"/>
    </xf>
    <xf numFmtId="0" fontId="5" fillId="0" borderId="5" xfId="0" applyFont="1" applyBorder="1" applyAlignment="1">
      <alignment horizontal="left" vertical="top"/>
    </xf>
    <xf numFmtId="0" fontId="6" fillId="0" borderId="6" xfId="0" applyFont="1" applyBorder="1" applyAlignment="1">
      <alignment horizontal="left" vertical="top" wrapText="1"/>
    </xf>
    <xf numFmtId="0" fontId="1" fillId="0" borderId="6" xfId="0" applyFont="1" applyBorder="1" applyAlignment="1">
      <alignment vertical="top"/>
    </xf>
    <xf numFmtId="0" fontId="5" fillId="0" borderId="6" xfId="0" applyFont="1" applyBorder="1" applyAlignment="1">
      <alignment vertical="top" wrapText="1"/>
    </xf>
    <xf numFmtId="0" fontId="5" fillId="0" borderId="6" xfId="0" applyFont="1" applyBorder="1" applyAlignment="1">
      <alignment vertical="top"/>
    </xf>
    <xf numFmtId="0" fontId="5" fillId="0" borderId="6" xfId="0" applyFont="1" applyBorder="1" applyAlignment="1">
      <alignment horizontal="left" vertical="top"/>
    </xf>
    <xf numFmtId="0" fontId="2" fillId="0" borderId="0" xfId="0" applyFont="1" applyAlignment="1">
      <alignment vertical="top" wrapText="1"/>
    </xf>
    <xf numFmtId="0" fontId="4" fillId="0" borderId="0" xfId="1" applyFont="1" applyFill="1" applyAlignment="1">
      <alignment wrapText="1"/>
    </xf>
    <xf numFmtId="0" fontId="2" fillId="0" borderId="5" xfId="0" applyFont="1" applyBorder="1" applyAlignment="1">
      <alignment vertical="top"/>
    </xf>
    <xf numFmtId="0" fontId="6" fillId="0" borderId="2" xfId="0" applyFont="1" applyBorder="1" applyAlignment="1">
      <alignment horizontal="left" vertical="top" wrapText="1"/>
    </xf>
    <xf numFmtId="0" fontId="1" fillId="0" borderId="2" xfId="0" applyFont="1" applyBorder="1" applyAlignment="1">
      <alignment vertical="top"/>
    </xf>
    <xf numFmtId="0" fontId="5" fillId="6" borderId="1" xfId="0" applyFont="1" applyFill="1" applyBorder="1" applyAlignment="1">
      <alignment vertical="top" wrapText="1"/>
    </xf>
    <xf numFmtId="0" fontId="1" fillId="3" borderId="2" xfId="0" applyFont="1" applyFill="1" applyBorder="1" applyAlignment="1">
      <alignment vertical="top"/>
    </xf>
    <xf numFmtId="0" fontId="5" fillId="0" borderId="13" xfId="0" applyFont="1" applyBorder="1" applyAlignment="1">
      <alignment vertical="top" wrapText="1"/>
    </xf>
    <xf numFmtId="0" fontId="5" fillId="0" borderId="14" xfId="0" applyFont="1" applyBorder="1" applyAlignment="1">
      <alignment vertical="top" wrapText="1"/>
    </xf>
    <xf numFmtId="0" fontId="0" fillId="0" borderId="0" xfId="0" applyAlignment="1">
      <alignment wrapText="1"/>
    </xf>
    <xf numFmtId="0" fontId="1" fillId="3" borderId="1" xfId="0" applyFont="1" applyFill="1" applyBorder="1" applyAlignment="1">
      <alignment vertical="top" wrapText="1"/>
    </xf>
    <xf numFmtId="0" fontId="1" fillId="2" borderId="2" xfId="0" applyFont="1" applyFill="1" applyBorder="1" applyAlignment="1">
      <alignment vertical="center"/>
    </xf>
    <xf numFmtId="0" fontId="1" fillId="4" borderId="9" xfId="0" applyFont="1" applyFill="1" applyBorder="1" applyAlignment="1">
      <alignment vertical="top"/>
    </xf>
    <xf numFmtId="0" fontId="5" fillId="0" borderId="12" xfId="0" applyFont="1" applyBorder="1" applyAlignment="1">
      <alignment vertical="top" wrapText="1"/>
    </xf>
    <xf numFmtId="0" fontId="1" fillId="2" borderId="5" xfId="0" applyFont="1" applyFill="1" applyBorder="1" applyAlignment="1">
      <alignment vertical="center"/>
    </xf>
    <xf numFmtId="0" fontId="1" fillId="3" borderId="5" xfId="0" applyFont="1" applyFill="1" applyBorder="1" applyAlignment="1">
      <alignment vertical="top"/>
    </xf>
    <xf numFmtId="0" fontId="1" fillId="3" borderId="14" xfId="0" applyFont="1" applyFill="1" applyBorder="1" applyAlignment="1">
      <alignment vertical="top"/>
    </xf>
    <xf numFmtId="0" fontId="5" fillId="0" borderId="16" xfId="0" applyFont="1" applyBorder="1" applyAlignment="1">
      <alignment vertical="top" wrapText="1"/>
    </xf>
    <xf numFmtId="0" fontId="5" fillId="0" borderId="17" xfId="0" applyFont="1" applyBorder="1" applyAlignment="1">
      <alignment vertical="top" wrapText="1"/>
    </xf>
    <xf numFmtId="0" fontId="2" fillId="0" borderId="5" xfId="0" applyFont="1" applyBorder="1" applyAlignment="1">
      <alignment vertical="top" wrapText="1"/>
    </xf>
    <xf numFmtId="0" fontId="0" fillId="0" borderId="5" xfId="0" applyBorder="1" applyAlignment="1">
      <alignment wrapText="1"/>
    </xf>
    <xf numFmtId="0" fontId="1" fillId="4" borderId="11" xfId="0" applyFont="1" applyFill="1" applyBorder="1" applyAlignment="1">
      <alignment vertical="top" wrapText="1"/>
    </xf>
    <xf numFmtId="0" fontId="1" fillId="4" borderId="0" xfId="0" applyFont="1" applyFill="1" applyAlignment="1">
      <alignment vertical="top" wrapText="1"/>
    </xf>
    <xf numFmtId="0" fontId="1" fillId="4" borderId="14" xfId="0" applyFont="1" applyFill="1" applyBorder="1" applyAlignment="1">
      <alignment vertical="top"/>
    </xf>
    <xf numFmtId="0" fontId="1" fillId="4" borderId="18" xfId="0" applyFont="1" applyFill="1" applyBorder="1" applyAlignment="1">
      <alignment vertical="top"/>
    </xf>
    <xf numFmtId="0" fontId="1" fillId="2" borderId="14" xfId="0" applyFont="1" applyFill="1" applyBorder="1" applyAlignment="1">
      <alignment vertical="center"/>
    </xf>
    <xf numFmtId="0" fontId="1" fillId="2" borderId="12" xfId="0" applyFont="1" applyFill="1" applyBorder="1" applyAlignment="1">
      <alignment horizontal="center" vertical="center"/>
    </xf>
    <xf numFmtId="0" fontId="1" fillId="2" borderId="16" xfId="0" applyFont="1" applyFill="1" applyBorder="1" applyAlignment="1">
      <alignment horizontal="center" vertical="center"/>
    </xf>
    <xf numFmtId="0" fontId="0" fillId="0" borderId="13" xfId="0" applyBorder="1" applyAlignment="1">
      <alignment wrapText="1"/>
    </xf>
    <xf numFmtId="0" fontId="1" fillId="4" borderId="20" xfId="0" applyFont="1" applyFill="1" applyBorder="1" applyAlignment="1">
      <alignment vertical="top" wrapText="1"/>
    </xf>
    <xf numFmtId="0" fontId="1" fillId="4" borderId="22" xfId="0" applyFont="1" applyFill="1" applyBorder="1" applyAlignment="1">
      <alignment vertical="top" wrapText="1"/>
    </xf>
    <xf numFmtId="0" fontId="1" fillId="4" borderId="23" xfId="0" applyFont="1" applyFill="1" applyBorder="1" applyAlignment="1">
      <alignment vertical="top" wrapText="1"/>
    </xf>
    <xf numFmtId="0" fontId="8" fillId="0" borderId="0" xfId="0" applyFont="1"/>
    <xf numFmtId="0" fontId="1" fillId="4" borderId="21" xfId="0" applyFont="1" applyFill="1" applyBorder="1" applyAlignment="1">
      <alignment vertical="top"/>
    </xf>
    <xf numFmtId="0" fontId="3" fillId="0" borderId="0" xfId="0" applyFont="1"/>
    <xf numFmtId="0" fontId="3" fillId="4" borderId="19" xfId="0" applyFont="1" applyFill="1" applyBorder="1" applyAlignment="1">
      <alignment horizontal="left" vertical="top"/>
    </xf>
    <xf numFmtId="0" fontId="6" fillId="0" borderId="14" xfId="0" applyFont="1" applyBorder="1" applyAlignment="1">
      <alignment horizontal="left" vertical="top" wrapText="1"/>
    </xf>
    <xf numFmtId="0" fontId="9" fillId="0" borderId="0" xfId="0" applyFont="1" applyAlignment="1">
      <alignment vertical="top" wrapText="1"/>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10" fillId="0" borderId="0" xfId="0" applyFont="1" applyAlignment="1">
      <alignment wrapText="1"/>
    </xf>
    <xf numFmtId="0" fontId="11" fillId="4" borderId="0" xfId="0" applyFont="1" applyFill="1" applyAlignment="1">
      <alignment horizontal="center" vertical="top" wrapText="1"/>
    </xf>
    <xf numFmtId="0" fontId="11" fillId="0" borderId="0" xfId="0" applyFont="1" applyAlignment="1">
      <alignment vertical="top" wrapText="1"/>
    </xf>
    <xf numFmtId="0" fontId="11" fillId="0" borderId="0" xfId="0" applyFont="1" applyAlignment="1">
      <alignment horizontal="center" vertical="top"/>
    </xf>
    <xf numFmtId="0" fontId="11" fillId="7" borderId="0" xfId="0" applyFont="1" applyFill="1"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6" borderId="0" xfId="0" applyFill="1" applyAlignment="1">
      <alignment vertical="top"/>
    </xf>
    <xf numFmtId="0" fontId="7" fillId="5" borderId="24" xfId="0" applyFont="1" applyFill="1" applyBorder="1" applyAlignment="1">
      <alignment vertical="top" wrapText="1"/>
    </xf>
    <xf numFmtId="0" fontId="7" fillId="5" borderId="0" xfId="0" applyFont="1" applyFill="1" applyAlignment="1">
      <alignment vertical="top" wrapText="1"/>
    </xf>
    <xf numFmtId="0" fontId="1" fillId="3" borderId="0" xfId="0" applyFont="1" applyFill="1" applyAlignment="1">
      <alignment vertical="top" wrapText="1"/>
    </xf>
    <xf numFmtId="0" fontId="2" fillId="0" borderId="1" xfId="0" applyFont="1" applyBorder="1" applyAlignment="1">
      <alignment vertical="top"/>
    </xf>
    <xf numFmtId="0" fontId="1" fillId="4" borderId="1" xfId="0" applyFont="1" applyFill="1" applyBorder="1" applyAlignment="1">
      <alignment vertical="top" wrapText="1"/>
    </xf>
    <xf numFmtId="0" fontId="7" fillId="5" borderId="1" xfId="0" applyFont="1" applyFill="1" applyBorder="1" applyAlignment="1">
      <alignment vertical="top" wrapText="1"/>
    </xf>
    <xf numFmtId="0" fontId="2" fillId="0" borderId="1" xfId="0" applyFont="1" applyBorder="1" applyAlignment="1">
      <alignment vertical="top" wrapText="1"/>
    </xf>
    <xf numFmtId="0" fontId="1" fillId="8" borderId="1" xfId="0" applyFont="1" applyFill="1" applyBorder="1" applyAlignment="1">
      <alignment vertical="top"/>
    </xf>
    <xf numFmtId="0" fontId="5" fillId="8" borderId="1" xfId="0" applyFont="1" applyFill="1" applyBorder="1" applyAlignment="1">
      <alignment vertical="top" wrapText="1"/>
    </xf>
    <xf numFmtId="0" fontId="5" fillId="8" borderId="1" xfId="0" applyFont="1" applyFill="1" applyBorder="1" applyAlignment="1">
      <alignment vertical="top"/>
    </xf>
    <xf numFmtId="0" fontId="6" fillId="8" borderId="1" xfId="0" applyFont="1" applyFill="1" applyBorder="1" applyAlignment="1">
      <alignment horizontal="left" vertical="top" wrapText="1"/>
    </xf>
    <xf numFmtId="0" fontId="2" fillId="8" borderId="1" xfId="0" applyFont="1" applyFill="1" applyBorder="1" applyAlignment="1">
      <alignment vertical="top"/>
    </xf>
    <xf numFmtId="0" fontId="2" fillId="0" borderId="1" xfId="0" applyFont="1" applyBorder="1" applyAlignment="1">
      <alignment wrapText="1"/>
    </xf>
    <xf numFmtId="0" fontId="1" fillId="3" borderId="9" xfId="0" applyFont="1" applyFill="1" applyBorder="1" applyAlignment="1">
      <alignment vertical="top" wrapText="1"/>
    </xf>
    <xf numFmtId="0" fontId="1" fillId="3" borderId="8" xfId="0" applyFont="1" applyFill="1" applyBorder="1" applyAlignment="1">
      <alignment vertical="top" wrapText="1"/>
    </xf>
    <xf numFmtId="0" fontId="1" fillId="3" borderId="11" xfId="0" applyFont="1" applyFill="1" applyBorder="1" applyAlignment="1">
      <alignment vertical="top" wrapText="1"/>
    </xf>
    <xf numFmtId="0" fontId="7" fillId="5" borderId="11" xfId="0" applyFont="1" applyFill="1" applyBorder="1" applyAlignment="1">
      <alignment vertical="top" wrapText="1"/>
    </xf>
    <xf numFmtId="0" fontId="5" fillId="0" borderId="9" xfId="0" applyFont="1" applyBorder="1" applyAlignment="1">
      <alignment horizontal="left" vertical="top"/>
    </xf>
    <xf numFmtId="0" fontId="5" fillId="0" borderId="14" xfId="0" applyFont="1" applyBorder="1" applyAlignment="1">
      <alignment horizontal="left" vertical="top"/>
    </xf>
    <xf numFmtId="0" fontId="2" fillId="0" borderId="14" xfId="0" applyFont="1" applyBorder="1" applyAlignment="1">
      <alignment vertical="top"/>
    </xf>
    <xf numFmtId="0" fontId="2" fillId="0" borderId="13" xfId="0" applyFont="1" applyBorder="1" applyAlignment="1">
      <alignment vertical="top"/>
    </xf>
    <xf numFmtId="0" fontId="2" fillId="0" borderId="17" xfId="0" applyFont="1" applyBorder="1" applyAlignment="1">
      <alignment vertical="top"/>
    </xf>
    <xf numFmtId="0" fontId="1" fillId="3" borderId="10" xfId="0" applyFont="1" applyFill="1" applyBorder="1" applyAlignment="1">
      <alignment vertical="top" wrapText="1"/>
    </xf>
    <xf numFmtId="0" fontId="1" fillId="3" borderId="15" xfId="0" applyFont="1" applyFill="1" applyBorder="1" applyAlignment="1">
      <alignment vertical="top" wrapText="1"/>
    </xf>
    <xf numFmtId="0" fontId="1" fillId="4" borderId="15" xfId="0" applyFont="1" applyFill="1" applyBorder="1" applyAlignment="1">
      <alignment vertical="top" wrapText="1"/>
    </xf>
    <xf numFmtId="0" fontId="7" fillId="5" borderId="15" xfId="0" applyFont="1" applyFill="1" applyBorder="1" applyAlignment="1">
      <alignment vertical="top" wrapText="1"/>
    </xf>
    <xf numFmtId="0" fontId="2" fillId="0" borderId="15" xfId="0" applyFont="1" applyBorder="1"/>
    <xf numFmtId="0" fontId="1" fillId="0" borderId="25" xfId="0" applyFont="1" applyBorder="1" applyAlignment="1">
      <alignment vertical="top"/>
    </xf>
    <xf numFmtId="0" fontId="2" fillId="0" borderId="11" xfId="0" applyFont="1" applyBorder="1"/>
    <xf numFmtId="0" fontId="13" fillId="0" borderId="1" xfId="0" applyFont="1" applyBorder="1" applyAlignment="1">
      <alignment vertical="top" wrapText="1"/>
    </xf>
    <xf numFmtId="0" fontId="13" fillId="0" borderId="1" xfId="0" applyFont="1" applyBorder="1"/>
    <xf numFmtId="15" fontId="13" fillId="0" borderId="7" xfId="0" applyNumberFormat="1" applyFont="1" applyBorder="1"/>
    <xf numFmtId="0" fontId="13" fillId="0" borderId="7" xfId="0" applyFont="1" applyBorder="1" applyAlignment="1">
      <alignment vertical="top" wrapText="1"/>
    </xf>
    <xf numFmtId="0" fontId="0" fillId="4" borderId="5" xfId="0" applyFill="1" applyBorder="1" applyAlignment="1">
      <alignment horizontal="center" vertical="top"/>
    </xf>
    <xf numFmtId="0" fontId="0" fillId="4" borderId="5" xfId="0" applyFill="1" applyBorder="1" applyAlignment="1">
      <alignment horizontal="center" vertical="top" wrapText="1"/>
    </xf>
    <xf numFmtId="0" fontId="0" fillId="0" borderId="5" xfId="0" applyBorder="1" applyAlignment="1">
      <alignment horizontal="center" vertical="top"/>
    </xf>
    <xf numFmtId="164" fontId="0" fillId="0" borderId="5" xfId="0" applyNumberFormat="1" applyBorder="1" applyAlignment="1">
      <alignment vertical="top"/>
    </xf>
    <xf numFmtId="0" fontId="0" fillId="0" borderId="5" xfId="0" applyBorder="1" applyAlignment="1">
      <alignment vertical="top"/>
    </xf>
    <xf numFmtId="0" fontId="0" fillId="0" borderId="5" xfId="0" applyBorder="1" applyAlignment="1">
      <alignment vertical="top" wrapText="1"/>
    </xf>
    <xf numFmtId="0" fontId="13" fillId="0" borderId="1" xfId="0" applyFont="1" applyBorder="1" applyAlignment="1">
      <alignment wrapText="1"/>
    </xf>
    <xf numFmtId="0" fontId="13" fillId="0" borderId="6" xfId="0" applyFont="1" applyBorder="1"/>
    <xf numFmtId="0" fontId="13" fillId="0" borderId="6" xfId="0" applyFont="1" applyBorder="1" applyAlignment="1">
      <alignment vertical="top" wrapText="1"/>
    </xf>
    <xf numFmtId="0" fontId="0" fillId="0" borderId="13" xfId="0" applyBorder="1" applyAlignment="1">
      <alignment vertical="top"/>
    </xf>
    <xf numFmtId="0" fontId="0" fillId="0" borderId="12" xfId="0" applyBorder="1" applyAlignment="1">
      <alignment vertical="top"/>
    </xf>
    <xf numFmtId="0" fontId="0" fillId="0" borderId="12" xfId="0" applyBorder="1" applyAlignment="1">
      <alignment vertical="top" wrapText="1"/>
    </xf>
    <xf numFmtId="15" fontId="10" fillId="0" borderId="5" xfId="0" applyNumberFormat="1" applyFont="1" applyBorder="1" applyAlignment="1">
      <alignment vertical="top"/>
    </xf>
    <xf numFmtId="0" fontId="15" fillId="0" borderId="0" xfId="0" applyFont="1"/>
    <xf numFmtId="15" fontId="13" fillId="0" borderId="5" xfId="0" applyNumberFormat="1" applyFont="1" applyBorder="1" applyAlignment="1">
      <alignment vertical="top"/>
    </xf>
    <xf numFmtId="0" fontId="13" fillId="0" borderId="5" xfId="0" applyFont="1" applyBorder="1" applyAlignment="1">
      <alignment vertical="top"/>
    </xf>
    <xf numFmtId="0" fontId="13" fillId="0" borderId="5" xfId="0" applyFont="1" applyBorder="1" applyAlignment="1">
      <alignment vertical="top" wrapText="1"/>
    </xf>
    <xf numFmtId="0" fontId="13" fillId="0" borderId="13" xfId="0" applyFont="1" applyBorder="1" applyAlignment="1">
      <alignment vertical="top"/>
    </xf>
    <xf numFmtId="0" fontId="14" fillId="0" borderId="0" xfId="0" applyFont="1" applyAlignment="1">
      <alignment vertical="top"/>
    </xf>
    <xf numFmtId="0" fontId="13" fillId="0" borderId="7" xfId="0" applyFont="1" applyBorder="1" applyAlignment="1">
      <alignment wrapText="1"/>
    </xf>
    <xf numFmtId="1" fontId="13" fillId="0" borderId="6" xfId="0" applyNumberFormat="1" applyFont="1" applyBorder="1" applyAlignment="1">
      <alignment wrapText="1"/>
    </xf>
    <xf numFmtId="0" fontId="13" fillId="0" borderId="13" xfId="0" applyFont="1" applyBorder="1" applyAlignment="1">
      <alignment vertical="top" wrapText="1"/>
    </xf>
    <xf numFmtId="0" fontId="0" fillId="0" borderId="19" xfId="0" applyBorder="1" applyAlignment="1">
      <alignment vertical="top"/>
    </xf>
    <xf numFmtId="15" fontId="10" fillId="0" borderId="17" xfId="0" applyNumberFormat="1" applyFont="1" applyBorder="1" applyAlignment="1">
      <alignment vertical="top"/>
    </xf>
    <xf numFmtId="0" fontId="0" fillId="0" borderId="14" xfId="0" applyBorder="1" applyAlignment="1">
      <alignment vertical="top"/>
    </xf>
    <xf numFmtId="0" fontId="0" fillId="0" borderId="13" xfId="0" applyBorder="1" applyAlignment="1">
      <alignment vertical="top" wrapText="1"/>
    </xf>
    <xf numFmtId="0" fontId="0" fillId="0" borderId="14" xfId="0" applyBorder="1" applyAlignment="1">
      <alignment vertical="top" wrapText="1"/>
    </xf>
    <xf numFmtId="0" fontId="0" fillId="0" borderId="19" xfId="0" applyBorder="1" applyAlignment="1">
      <alignment vertical="top" wrapText="1"/>
    </xf>
    <xf numFmtId="0" fontId="10" fillId="0" borderId="13" xfId="0" applyFont="1" applyBorder="1" applyAlignment="1">
      <alignment vertical="top"/>
    </xf>
    <xf numFmtId="0" fontId="0" fillId="0" borderId="26" xfId="0" applyBorder="1" applyAlignment="1">
      <alignment vertical="top"/>
    </xf>
    <xf numFmtId="0" fontId="0" fillId="0" borderId="17" xfId="0" applyBorder="1" applyAlignment="1">
      <alignment vertical="top"/>
    </xf>
    <xf numFmtId="0" fontId="0" fillId="0" borderId="17" xfId="0" applyBorder="1" applyAlignment="1">
      <alignment vertical="top" wrapText="1"/>
    </xf>
    <xf numFmtId="0" fontId="0" fillId="6" borderId="5" xfId="0" applyFill="1" applyBorder="1" applyAlignment="1">
      <alignment vertical="top" wrapText="1"/>
    </xf>
    <xf numFmtId="0" fontId="3" fillId="0" borderId="5" xfId="1" applyBorder="1" applyAlignment="1">
      <alignment vertical="top" wrapText="1"/>
    </xf>
    <xf numFmtId="0" fontId="16" fillId="0" borderId="5" xfId="0" applyFont="1" applyBorder="1" applyAlignment="1">
      <alignment vertical="top" wrapText="1"/>
    </xf>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xf>
    <xf numFmtId="0" fontId="16" fillId="0" borderId="5" xfId="0" applyFont="1" applyBorder="1" applyAlignment="1">
      <alignment horizontal="center" vertical="top"/>
    </xf>
    <xf numFmtId="0" fontId="24" fillId="0" borderId="1" xfId="0" applyFont="1" applyBorder="1" applyAlignment="1">
      <alignment vertical="top" wrapText="1"/>
    </xf>
    <xf numFmtId="0" fontId="16" fillId="0" borderId="19" xfId="0" applyFont="1" applyBorder="1" applyAlignment="1">
      <alignment vertical="top" wrapText="1"/>
    </xf>
    <xf numFmtId="0" fontId="16" fillId="0" borderId="5" xfId="0" applyFont="1" applyBorder="1" applyAlignment="1">
      <alignment vertical="top"/>
    </xf>
    <xf numFmtId="0" fontId="24" fillId="0" borderId="1" xfId="0" applyFont="1" applyBorder="1" applyAlignment="1">
      <alignment wrapText="1"/>
    </xf>
    <xf numFmtId="0" fontId="16" fillId="0" borderId="0" xfId="0" applyFont="1" applyAlignment="1">
      <alignment vertical="top"/>
    </xf>
    <xf numFmtId="0" fontId="18" fillId="0" borderId="30" xfId="0" applyFont="1" applyBorder="1" applyAlignment="1">
      <alignment horizontal="left" vertical="top" wrapText="1"/>
    </xf>
    <xf numFmtId="0" fontId="3" fillId="0" borderId="30" xfId="1" applyBorder="1" applyAlignment="1">
      <alignment horizontal="left" vertical="top" wrapText="1"/>
    </xf>
    <xf numFmtId="0" fontId="0" fillId="11" borderId="5" xfId="0" applyFill="1" applyBorder="1" applyAlignment="1">
      <alignment horizontal="center" vertical="top"/>
    </xf>
    <xf numFmtId="0" fontId="0" fillId="11" borderId="5" xfId="0" applyFill="1" applyBorder="1" applyAlignment="1">
      <alignment vertical="top"/>
    </xf>
    <xf numFmtId="0" fontId="0" fillId="11" borderId="5" xfId="0" applyFill="1" applyBorder="1" applyAlignment="1">
      <alignment vertical="top" wrapText="1"/>
    </xf>
    <xf numFmtId="0" fontId="0" fillId="11" borderId="0" xfId="0" applyFill="1" applyAlignment="1">
      <alignment vertical="top"/>
    </xf>
    <xf numFmtId="0" fontId="17" fillId="9" borderId="28" xfId="0" applyFont="1" applyFill="1" applyBorder="1" applyAlignment="1">
      <alignment horizontal="center" vertical="top" wrapText="1"/>
    </xf>
    <xf numFmtId="0" fontId="18" fillId="0" borderId="29" xfId="0" applyFont="1" applyBorder="1" applyAlignment="1">
      <alignment vertical="top" wrapText="1"/>
    </xf>
    <xf numFmtId="0" fontId="19" fillId="10" borderId="30" xfId="0" applyFont="1" applyFill="1" applyBorder="1" applyAlignment="1">
      <alignment vertical="top" wrapText="1"/>
    </xf>
    <xf numFmtId="0" fontId="18" fillId="0" borderId="30" xfId="0" applyFont="1" applyBorder="1" applyAlignment="1">
      <alignment vertical="top" wrapText="1"/>
    </xf>
    <xf numFmtId="0" fontId="20" fillId="0" borderId="30" xfId="0" applyFont="1" applyBorder="1" applyAlignment="1">
      <alignment vertical="top" wrapText="1"/>
    </xf>
    <xf numFmtId="0" fontId="3" fillId="0" borderId="30" xfId="1" applyBorder="1" applyAlignment="1">
      <alignment vertical="top" wrapText="1"/>
    </xf>
    <xf numFmtId="0" fontId="18" fillId="0" borderId="30" xfId="0" applyFont="1" applyBorder="1" applyAlignment="1">
      <alignment horizontal="center" vertical="top" wrapText="1"/>
    </xf>
    <xf numFmtId="0" fontId="21" fillId="0" borderId="30" xfId="0" applyFont="1" applyBorder="1" applyAlignment="1">
      <alignment vertical="top" wrapText="1"/>
    </xf>
    <xf numFmtId="0" fontId="22" fillId="0" borderId="30" xfId="0" applyFont="1" applyBorder="1" applyAlignment="1">
      <alignment vertical="top" wrapText="1"/>
    </xf>
    <xf numFmtId="0" fontId="23" fillId="0" borderId="30" xfId="0" applyFont="1" applyBorder="1" applyAlignment="1">
      <alignment vertical="top" wrapText="1"/>
    </xf>
    <xf numFmtId="0" fontId="25" fillId="0" borderId="30" xfId="0" applyFont="1" applyBorder="1" applyAlignment="1">
      <alignment vertical="top" wrapText="1"/>
    </xf>
    <xf numFmtId="0" fontId="0" fillId="0" borderId="16" xfId="0" applyBorder="1" applyAlignment="1">
      <alignment vertical="top" wrapText="1"/>
    </xf>
    <xf numFmtId="0" fontId="18" fillId="0" borderId="0" xfId="0" applyFont="1"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3" fillId="0" borderId="0" xfId="1" applyAlignment="1">
      <alignment vertical="top" wrapText="1"/>
    </xf>
    <xf numFmtId="49" fontId="0" fillId="0" borderId="0" xfId="0" applyNumberFormat="1" applyAlignment="1">
      <alignment vertical="top"/>
    </xf>
    <xf numFmtId="49" fontId="28" fillId="0" borderId="30" xfId="0" applyNumberFormat="1" applyFont="1" applyBorder="1" applyAlignment="1">
      <alignment vertical="top" wrapText="1"/>
    </xf>
    <xf numFmtId="49" fontId="29" fillId="0" borderId="30" xfId="0" applyNumberFormat="1" applyFont="1" applyBorder="1" applyAlignment="1">
      <alignment vertical="top" wrapText="1"/>
    </xf>
    <xf numFmtId="0" fontId="31" fillId="0" borderId="0" xfId="0" applyFont="1" applyAlignment="1">
      <alignment vertical="top" wrapText="1"/>
    </xf>
    <xf numFmtId="0" fontId="30" fillId="0" borderId="0" xfId="0" applyFont="1" applyAlignment="1">
      <alignment vertical="top" wrapText="1"/>
    </xf>
    <xf numFmtId="0" fontId="32" fillId="0" borderId="0" xfId="0" applyFont="1" applyAlignment="1">
      <alignment vertical="top" wrapText="1"/>
    </xf>
    <xf numFmtId="0" fontId="33" fillId="0" borderId="0" xfId="0" applyFont="1" applyAlignment="1">
      <alignment vertical="top" wrapText="1"/>
    </xf>
    <xf numFmtId="0" fontId="13" fillId="0" borderId="0" xfId="0" applyFont="1" applyAlignment="1">
      <alignment vertical="top" wrapText="1"/>
    </xf>
    <xf numFmtId="0" fontId="0" fillId="7" borderId="0" xfId="0" applyFill="1" applyAlignment="1">
      <alignment vertical="top" wrapText="1"/>
    </xf>
    <xf numFmtId="0" fontId="0" fillId="12" borderId="0" xfId="0" applyFill="1" applyAlignment="1">
      <alignment vertical="top" wrapText="1"/>
    </xf>
    <xf numFmtId="0" fontId="0" fillId="13" borderId="0" xfId="0" applyFill="1" applyAlignment="1">
      <alignment vertical="top" wrapText="1"/>
    </xf>
    <xf numFmtId="0" fontId="0" fillId="0" borderId="31" xfId="0" applyBorder="1" applyAlignment="1">
      <alignment vertical="top" wrapText="1"/>
    </xf>
    <xf numFmtId="0" fontId="0" fillId="7" borderId="31" xfId="0" applyFill="1" applyBorder="1" applyAlignment="1">
      <alignment vertical="top" wrapText="1"/>
    </xf>
    <xf numFmtId="49" fontId="27" fillId="0" borderId="30" xfId="0" applyNumberFormat="1" applyFont="1" applyBorder="1" applyAlignment="1">
      <alignment vertical="top" wrapText="1"/>
    </xf>
    <xf numFmtId="0" fontId="34" fillId="0" borderId="0" xfId="0" applyFont="1" applyAlignment="1">
      <alignment vertical="top" wrapText="1"/>
    </xf>
    <xf numFmtId="0" fontId="0" fillId="7" borderId="33" xfId="0" applyFill="1" applyBorder="1" applyAlignment="1">
      <alignment vertical="top" wrapText="1"/>
    </xf>
    <xf numFmtId="0" fontId="0" fillId="14" borderId="0" xfId="0" applyFill="1" applyAlignment="1">
      <alignment vertical="top" wrapText="1"/>
    </xf>
    <xf numFmtId="0" fontId="0" fillId="14" borderId="31" xfId="0" applyFill="1" applyBorder="1" applyAlignment="1">
      <alignment vertical="top" wrapText="1"/>
    </xf>
    <xf numFmtId="0" fontId="0" fillId="0" borderId="0" xfId="0" applyAlignment="1">
      <alignment vertical="center" wrapText="1"/>
      <extLst>
        <ext xmlns:xfpb="http://schemas.microsoft.com/office/spreadsheetml/2022/featurepropertybag" uri="{C7286773-470A-42A8-94C5-96B5CB345126}">
          <xfpb:xfComplement i="0"/>
        </ext>
      </extLst>
    </xf>
    <xf numFmtId="0" fontId="17" fillId="9" borderId="28" xfId="0" applyFont="1" applyFill="1" applyBorder="1" applyAlignment="1">
      <alignment horizontal="center" vertical="center" wrapText="1"/>
    </xf>
    <xf numFmtId="0" fontId="0" fillId="0" borderId="0" xfId="0" applyAlignment="1">
      <alignment vertical="center" wrapText="1"/>
    </xf>
    <xf numFmtId="0" fontId="18" fillId="0" borderId="30" xfId="0" applyFont="1" applyBorder="1" applyAlignment="1">
      <alignment vertical="center" wrapText="1"/>
    </xf>
    <xf numFmtId="0" fontId="17" fillId="9" borderId="27" xfId="0" applyFont="1" applyFill="1" applyBorder="1" applyAlignment="1">
      <alignment horizontal="center" vertical="top" wrapText="1"/>
    </xf>
    <xf numFmtId="0" fontId="17" fillId="15" borderId="28" xfId="0" applyFont="1" applyFill="1" applyBorder="1" applyAlignment="1">
      <alignment horizontal="center" vertical="top" wrapText="1"/>
    </xf>
    <xf numFmtId="0" fontId="0" fillId="0" borderId="0" xfId="0" applyAlignment="1">
      <alignment horizontal="center"/>
    </xf>
    <xf numFmtId="0" fontId="36" fillId="0" borderId="0" xfId="0" applyFont="1" applyAlignment="1">
      <alignment vertical="top" wrapText="1"/>
    </xf>
    <xf numFmtId="0" fontId="31" fillId="11" borderId="0" xfId="0" applyFont="1" applyFill="1" applyAlignment="1">
      <alignment vertical="top" wrapText="1"/>
    </xf>
    <xf numFmtId="0" fontId="18" fillId="0" borderId="28" xfId="0" applyFont="1" applyBorder="1" applyAlignment="1">
      <alignment vertical="top" wrapText="1"/>
    </xf>
    <xf numFmtId="0" fontId="18" fillId="4" borderId="30" xfId="0" applyFont="1" applyFill="1" applyBorder="1" applyAlignment="1">
      <alignment vertical="top" wrapText="1"/>
    </xf>
    <xf numFmtId="0" fontId="42" fillId="16" borderId="30" xfId="0" applyFont="1" applyFill="1" applyBorder="1" applyAlignment="1">
      <alignment vertical="top" wrapText="1"/>
    </xf>
    <xf numFmtId="0" fontId="17" fillId="15" borderId="27" xfId="0" applyFont="1" applyFill="1" applyBorder="1" applyAlignment="1">
      <alignment horizontal="center" vertical="top" wrapText="1"/>
    </xf>
    <xf numFmtId="0" fontId="18" fillId="0" borderId="27" xfId="0" applyFont="1" applyBorder="1" applyAlignment="1">
      <alignment vertical="top" wrapText="1"/>
    </xf>
    <xf numFmtId="0" fontId="37" fillId="21" borderId="28" xfId="0" applyFont="1" applyFill="1" applyBorder="1" applyAlignment="1">
      <alignment vertical="top" wrapText="1"/>
    </xf>
    <xf numFmtId="0" fontId="38" fillId="0" borderId="28" xfId="0" applyFont="1" applyBorder="1" applyAlignment="1">
      <alignment vertical="top" wrapText="1"/>
    </xf>
    <xf numFmtId="15" fontId="38" fillId="0" borderId="28" xfId="0" applyNumberFormat="1" applyFont="1" applyBorder="1" applyAlignment="1">
      <alignment vertical="top" wrapText="1"/>
    </xf>
    <xf numFmtId="0" fontId="37" fillId="21" borderId="30" xfId="0" applyFont="1" applyFill="1" applyBorder="1" applyAlignment="1">
      <alignment vertical="top" wrapText="1"/>
    </xf>
    <xf numFmtId="0" fontId="38" fillId="0" borderId="30" xfId="0" applyFont="1" applyBorder="1" applyAlignment="1">
      <alignment vertical="top" wrapText="1"/>
    </xf>
    <xf numFmtId="15" fontId="38" fillId="0" borderId="30" xfId="0" applyNumberFormat="1" applyFont="1" applyBorder="1" applyAlignment="1">
      <alignment vertical="top" wrapText="1"/>
    </xf>
    <xf numFmtId="0" fontId="40" fillId="0" borderId="30" xfId="0" applyFont="1" applyBorder="1" applyAlignment="1">
      <alignment vertical="top" wrapText="1"/>
    </xf>
    <xf numFmtId="0" fontId="37" fillId="4" borderId="30" xfId="0" applyFont="1" applyFill="1" applyBorder="1" applyAlignment="1">
      <alignment vertical="top" wrapText="1"/>
    </xf>
    <xf numFmtId="0" fontId="40" fillId="4" borderId="30" xfId="0" applyFont="1" applyFill="1" applyBorder="1" applyAlignment="1">
      <alignment vertical="top" wrapText="1"/>
    </xf>
    <xf numFmtId="15" fontId="38" fillId="4" borderId="30" xfId="0" applyNumberFormat="1" applyFont="1" applyFill="1" applyBorder="1" applyAlignment="1">
      <alignment vertical="top" wrapText="1"/>
    </xf>
    <xf numFmtId="0" fontId="0" fillId="4" borderId="0" xfId="0" applyFill="1" applyAlignment="1">
      <alignment vertical="top"/>
    </xf>
    <xf numFmtId="0" fontId="37" fillId="17" borderId="28" xfId="0" applyFont="1" applyFill="1" applyBorder="1" applyAlignment="1">
      <alignment vertical="top" wrapText="1"/>
    </xf>
    <xf numFmtId="0" fontId="40" fillId="0" borderId="28" xfId="0" applyFont="1" applyBorder="1" applyAlignment="1">
      <alignment vertical="top" wrapText="1"/>
    </xf>
    <xf numFmtId="0" fontId="37" fillId="17" borderId="30" xfId="0" applyFont="1" applyFill="1" applyBorder="1" applyAlignment="1">
      <alignment vertical="top" wrapText="1"/>
    </xf>
    <xf numFmtId="0" fontId="37" fillId="23" borderId="28" xfId="0" applyFont="1" applyFill="1" applyBorder="1" applyAlignment="1">
      <alignment vertical="top" wrapText="1"/>
    </xf>
    <xf numFmtId="0" fontId="23" fillId="0" borderId="28" xfId="0" applyFont="1" applyBorder="1" applyAlignment="1">
      <alignment vertical="top" wrapText="1"/>
    </xf>
    <xf numFmtId="0" fontId="39" fillId="0" borderId="28" xfId="0" applyFont="1" applyBorder="1" applyAlignment="1">
      <alignment vertical="top" wrapText="1"/>
    </xf>
    <xf numFmtId="0" fontId="37" fillId="23" borderId="30" xfId="0" applyFont="1" applyFill="1" applyBorder="1" applyAlignment="1">
      <alignment vertical="top" wrapText="1"/>
    </xf>
    <xf numFmtId="0" fontId="39" fillId="0" borderId="30" xfId="0" applyFont="1" applyBorder="1" applyAlignment="1">
      <alignment vertical="top" wrapText="1"/>
    </xf>
    <xf numFmtId="0" fontId="35" fillId="0" borderId="30" xfId="0" applyFont="1" applyBorder="1" applyAlignment="1">
      <alignment vertical="top" wrapText="1"/>
    </xf>
    <xf numFmtId="0" fontId="37" fillId="18" borderId="28" xfId="0" applyFont="1" applyFill="1" applyBorder="1" applyAlignment="1">
      <alignment vertical="top" wrapText="1"/>
    </xf>
    <xf numFmtId="0" fontId="22" fillId="0" borderId="28" xfId="0" applyFont="1" applyBorder="1" applyAlignment="1">
      <alignment vertical="top" wrapText="1"/>
    </xf>
    <xf numFmtId="0" fontId="37" fillId="18" borderId="30" xfId="0" applyFont="1" applyFill="1" applyBorder="1" applyAlignment="1">
      <alignment vertical="top" wrapText="1"/>
    </xf>
    <xf numFmtId="0" fontId="37" fillId="19" borderId="28" xfId="0" applyFont="1" applyFill="1" applyBorder="1" applyAlignment="1">
      <alignment vertical="top" wrapText="1"/>
    </xf>
    <xf numFmtId="0" fontId="41" fillId="0" borderId="28" xfId="0" applyFont="1" applyBorder="1" applyAlignment="1">
      <alignment vertical="top" wrapText="1"/>
    </xf>
    <xf numFmtId="0" fontId="37" fillId="19" borderId="30" xfId="0" applyFont="1" applyFill="1" applyBorder="1" applyAlignment="1">
      <alignment vertical="top" wrapText="1"/>
    </xf>
    <xf numFmtId="0" fontId="41" fillId="0" borderId="30" xfId="0" applyFont="1" applyBorder="1" applyAlignment="1">
      <alignment vertical="top" wrapText="1"/>
    </xf>
    <xf numFmtId="0" fontId="37" fillId="20" borderId="28" xfId="0" applyFont="1" applyFill="1" applyBorder="1" applyAlignment="1">
      <alignment vertical="top" wrapText="1"/>
    </xf>
    <xf numFmtId="0" fontId="35" fillId="0" borderId="28" xfId="0" applyFont="1" applyBorder="1" applyAlignment="1">
      <alignment vertical="top" wrapText="1"/>
    </xf>
    <xf numFmtId="0" fontId="37" fillId="20" borderId="30" xfId="0" applyFont="1" applyFill="1" applyBorder="1" applyAlignment="1">
      <alignment vertical="top" wrapText="1"/>
    </xf>
    <xf numFmtId="0" fontId="0" fillId="24" borderId="0" xfId="0" applyFill="1" applyAlignment="1">
      <alignment vertical="top"/>
    </xf>
    <xf numFmtId="0" fontId="17" fillId="25" borderId="0" xfId="0" applyFont="1" applyFill="1" applyAlignment="1">
      <alignment horizontal="center" vertical="top" wrapText="1"/>
    </xf>
    <xf numFmtId="0" fontId="42" fillId="4" borderId="30" xfId="0" applyFont="1" applyFill="1" applyBorder="1" applyAlignment="1">
      <alignment vertical="top" wrapText="1"/>
    </xf>
    <xf numFmtId="0" fontId="42" fillId="16" borderId="28" xfId="0" applyFont="1" applyFill="1" applyBorder="1" applyAlignment="1">
      <alignment vertical="top" wrapText="1"/>
    </xf>
    <xf numFmtId="0" fontId="42" fillId="16" borderId="30" xfId="0" quotePrefix="1" applyFont="1" applyFill="1" applyBorder="1" applyAlignment="1">
      <alignment vertical="top" wrapText="1"/>
    </xf>
    <xf numFmtId="0" fontId="43" fillId="15" borderId="28" xfId="0" applyFont="1" applyFill="1" applyBorder="1" applyAlignment="1">
      <alignment horizontal="center" vertical="top" wrapText="1"/>
    </xf>
    <xf numFmtId="0" fontId="44" fillId="16" borderId="28" xfId="1" applyFont="1" applyFill="1" applyBorder="1" applyAlignment="1">
      <alignment vertical="top" wrapText="1"/>
    </xf>
    <xf numFmtId="0" fontId="44" fillId="16" borderId="30" xfId="1" applyFont="1" applyFill="1" applyBorder="1" applyAlignment="1">
      <alignment vertical="top" wrapText="1"/>
    </xf>
    <xf numFmtId="0" fontId="45" fillId="0" borderId="0" xfId="0" applyFont="1" applyAlignment="1">
      <alignment vertical="top"/>
    </xf>
    <xf numFmtId="0" fontId="3" fillId="16" borderId="30" xfId="1" applyFill="1" applyBorder="1" applyAlignment="1">
      <alignment vertical="top" wrapText="1"/>
    </xf>
    <xf numFmtId="0" fontId="18" fillId="0" borderId="34" xfId="0" applyFont="1" applyBorder="1" applyAlignment="1">
      <alignment vertical="top" wrapText="1"/>
    </xf>
    <xf numFmtId="0" fontId="37" fillId="21" borderId="35" xfId="0" applyFont="1" applyFill="1" applyBorder="1" applyAlignment="1">
      <alignment vertical="top" wrapText="1"/>
    </xf>
    <xf numFmtId="0" fontId="42" fillId="16" borderId="35" xfId="0" applyFont="1" applyFill="1" applyBorder="1" applyAlignment="1">
      <alignment vertical="top" wrapText="1"/>
    </xf>
    <xf numFmtId="0" fontId="18" fillId="0" borderId="35" xfId="0" applyFont="1" applyBorder="1" applyAlignment="1">
      <alignment vertical="top" wrapText="1"/>
    </xf>
    <xf numFmtId="0" fontId="23" fillId="0" borderId="35" xfId="0" applyFont="1" applyBorder="1" applyAlignment="1">
      <alignment vertical="top" wrapText="1"/>
    </xf>
    <xf numFmtId="15" fontId="38" fillId="0" borderId="35" xfId="0" applyNumberFormat="1" applyFont="1" applyBorder="1" applyAlignment="1">
      <alignment vertical="top" wrapText="1"/>
    </xf>
    <xf numFmtId="0" fontId="0" fillId="0" borderId="36" xfId="0" applyBorder="1" applyAlignment="1">
      <alignment vertical="top"/>
    </xf>
    <xf numFmtId="0" fontId="47" fillId="16" borderId="30" xfId="1" applyFont="1" applyFill="1" applyBorder="1" applyAlignment="1">
      <alignment vertical="top" wrapText="1"/>
    </xf>
    <xf numFmtId="0" fontId="32" fillId="0" borderId="36" xfId="0" applyFont="1" applyBorder="1" applyAlignment="1">
      <alignment vertical="top" wrapText="1"/>
    </xf>
    <xf numFmtId="0" fontId="34" fillId="0" borderId="36" xfId="0" applyFont="1" applyBorder="1" applyAlignment="1">
      <alignment vertical="top" wrapText="1"/>
    </xf>
    <xf numFmtId="0" fontId="11" fillId="0" borderId="0" xfId="0" applyFont="1" applyAlignment="1">
      <alignment horizontal="center" vertical="top" wrapText="1"/>
    </xf>
    <xf numFmtId="0" fontId="0" fillId="4" borderId="0" xfId="0" applyFill="1" applyAlignment="1">
      <alignment vertical="top" wrapText="1"/>
    </xf>
    <xf numFmtId="0" fontId="46" fillId="0" borderId="0" xfId="0" applyFont="1" applyAlignment="1">
      <alignment vertical="top" wrapText="1"/>
    </xf>
    <xf numFmtId="0" fontId="48" fillId="0" borderId="0" xfId="0" applyFont="1" applyAlignment="1">
      <alignment vertical="top"/>
    </xf>
    <xf numFmtId="0" fontId="0" fillId="0" borderId="36" xfId="0" applyBorder="1" applyAlignment="1">
      <alignment vertical="top" wrapText="1"/>
    </xf>
    <xf numFmtId="0" fontId="18" fillId="0" borderId="0" xfId="0" applyFont="1" applyAlignment="1">
      <alignment vertical="top" wrapText="1"/>
    </xf>
    <xf numFmtId="0" fontId="0" fillId="0" borderId="30" xfId="0" applyBorder="1" applyAlignment="1">
      <alignment vertical="top" wrapText="1"/>
    </xf>
    <xf numFmtId="0" fontId="37" fillId="17" borderId="35" xfId="0" applyFont="1" applyFill="1" applyBorder="1" applyAlignment="1">
      <alignment vertical="top" wrapText="1"/>
    </xf>
    <xf numFmtId="0" fontId="18" fillId="0" borderId="37" xfId="0" applyFont="1" applyBorder="1" applyAlignment="1">
      <alignment vertical="top" wrapText="1"/>
    </xf>
    <xf numFmtId="0" fontId="18" fillId="0" borderId="0" xfId="0" applyFont="1" applyAlignment="1">
      <alignment horizontal="center" vertical="top" wrapText="1"/>
    </xf>
    <xf numFmtId="0" fontId="21" fillId="0" borderId="28" xfId="0" applyFont="1" applyBorder="1" applyAlignment="1">
      <alignment vertical="top" wrapText="1"/>
    </xf>
    <xf numFmtId="0" fontId="49" fillId="0" borderId="30" xfId="0" applyFont="1" applyBorder="1" applyAlignment="1">
      <alignment vertical="top" wrapText="1"/>
    </xf>
    <xf numFmtId="0" fontId="50" fillId="0" borderId="30" xfId="0" applyFont="1" applyBorder="1" applyAlignment="1">
      <alignment vertical="top" wrapText="1"/>
    </xf>
    <xf numFmtId="0" fontId="51" fillId="0" borderId="30" xfId="0" applyFont="1" applyBorder="1" applyAlignment="1">
      <alignment vertical="top" wrapText="1"/>
    </xf>
    <xf numFmtId="0" fontId="49" fillId="0" borderId="28" xfId="0" applyFont="1" applyBorder="1" applyAlignment="1">
      <alignment vertical="top" wrapText="1"/>
    </xf>
    <xf numFmtId="0" fontId="11" fillId="0" borderId="0" xfId="0" applyFont="1" applyAlignment="1">
      <alignment vertical="top"/>
    </xf>
    <xf numFmtId="0" fontId="41" fillId="0" borderId="30" xfId="0" applyFont="1" applyBorder="1" applyAlignment="1">
      <alignment horizontal="center" vertical="top" wrapText="1"/>
    </xf>
    <xf numFmtId="0" fontId="35" fillId="0" borderId="30" xfId="0" applyFont="1" applyBorder="1" applyAlignment="1">
      <alignment horizontal="center" vertical="top" wrapText="1"/>
    </xf>
    <xf numFmtId="0" fontId="35" fillId="0" borderId="28" xfId="0" applyFont="1" applyBorder="1" applyAlignment="1">
      <alignment horizontal="center" vertical="top" wrapText="1"/>
    </xf>
    <xf numFmtId="0" fontId="18" fillId="0" borderId="28" xfId="0" applyFont="1" applyBorder="1" applyAlignment="1">
      <alignment horizontal="center" vertical="top" wrapText="1"/>
    </xf>
    <xf numFmtId="0" fontId="39" fillId="0" borderId="30" xfId="0" applyFont="1" applyBorder="1" applyAlignment="1">
      <alignment horizontal="center" vertical="top" wrapText="1"/>
    </xf>
    <xf numFmtId="0" fontId="50" fillId="0" borderId="0" xfId="0" applyFont="1" applyAlignment="1">
      <alignment vertical="top" wrapText="1"/>
    </xf>
    <xf numFmtId="0" fontId="18" fillId="0" borderId="32" xfId="0" applyFont="1" applyBorder="1" applyAlignment="1">
      <alignment vertical="top" wrapText="1"/>
    </xf>
    <xf numFmtId="0" fontId="50" fillId="0" borderId="37" xfId="0" applyFont="1" applyBorder="1" applyAlignment="1">
      <alignment vertical="top" wrapText="1"/>
    </xf>
    <xf numFmtId="0" fontId="39" fillId="0" borderId="37" xfId="0" applyFont="1" applyBorder="1" applyAlignment="1">
      <alignment horizontal="center" vertical="top" wrapText="1"/>
    </xf>
    <xf numFmtId="0" fontId="52" fillId="0" borderId="0" xfId="0" applyFont="1" applyAlignment="1">
      <alignment vertical="top" wrapText="1"/>
    </xf>
    <xf numFmtId="49" fontId="18" fillId="0" borderId="30" xfId="0" applyNumberFormat="1" applyFont="1" applyBorder="1" applyAlignment="1">
      <alignment vertical="top" wrapText="1"/>
    </xf>
    <xf numFmtId="0" fontId="28" fillId="0" borderId="30" xfId="0" applyFont="1" applyBorder="1" applyAlignment="1">
      <alignment vertical="top" wrapText="1"/>
    </xf>
    <xf numFmtId="49" fontId="54" fillId="0" borderId="30" xfId="0" applyNumberFormat="1" applyFont="1" applyBorder="1" applyAlignment="1">
      <alignment vertical="top" wrapText="1"/>
    </xf>
    <xf numFmtId="0" fontId="55" fillId="0" borderId="0" xfId="0" applyFont="1" applyAlignment="1">
      <alignment vertical="top" wrapText="1"/>
    </xf>
    <xf numFmtId="0" fontId="18" fillId="26" borderId="29" xfId="0" applyFont="1" applyFill="1" applyBorder="1" applyAlignment="1">
      <alignment vertical="top" wrapText="1"/>
    </xf>
    <xf numFmtId="0" fontId="19" fillId="27" borderId="30" xfId="0" applyFont="1" applyFill="1" applyBorder="1" applyAlignment="1">
      <alignment vertical="top" wrapText="1"/>
    </xf>
    <xf numFmtId="0" fontId="18" fillId="26" borderId="30" xfId="0" applyFont="1" applyFill="1" applyBorder="1" applyAlignment="1">
      <alignment vertical="top" wrapText="1"/>
    </xf>
    <xf numFmtId="0" fontId="49" fillId="26" borderId="28" xfId="0" applyFont="1" applyFill="1" applyBorder="1" applyAlignment="1">
      <alignment vertical="top" wrapText="1"/>
    </xf>
    <xf numFmtId="0" fontId="18" fillId="26" borderId="28" xfId="0" applyFont="1" applyFill="1" applyBorder="1" applyAlignment="1">
      <alignment vertical="top" wrapText="1"/>
    </xf>
    <xf numFmtId="0" fontId="18" fillId="26" borderId="30" xfId="0" applyFont="1" applyFill="1" applyBorder="1" applyAlignment="1">
      <alignment horizontal="center" vertical="top" wrapText="1"/>
    </xf>
    <xf numFmtId="0" fontId="18" fillId="26" borderId="30" xfId="0" applyFont="1" applyFill="1" applyBorder="1" applyAlignment="1">
      <alignment horizontal="left" vertical="top" wrapText="1"/>
    </xf>
    <xf numFmtId="0" fontId="0" fillId="26" borderId="0" xfId="0" applyFill="1" applyAlignment="1">
      <alignment vertical="center"/>
      <extLst>
        <ext xmlns:xfpb="http://schemas.microsoft.com/office/spreadsheetml/2022/featurepropertybag" uri="{C7286773-470A-42A8-94C5-96B5CB345126}">
          <xfpb:xfComplement i="0"/>
        </ext>
      </extLst>
    </xf>
    <xf numFmtId="0" fontId="0" fillId="26" borderId="0" xfId="0" applyFill="1" applyAlignment="1">
      <alignment vertical="top" wrapText="1"/>
    </xf>
    <xf numFmtId="0" fontId="33" fillId="26" borderId="0" xfId="0" applyFont="1" applyFill="1" applyAlignment="1">
      <alignment vertical="top" wrapText="1"/>
    </xf>
    <xf numFmtId="49" fontId="18" fillId="26" borderId="30" xfId="0" applyNumberFormat="1" applyFont="1" applyFill="1" applyBorder="1" applyAlignment="1">
      <alignment vertical="top" wrapText="1"/>
    </xf>
    <xf numFmtId="0" fontId="34" fillId="26" borderId="0" xfId="0" applyFont="1" applyFill="1" applyAlignment="1">
      <alignment vertical="top" wrapText="1"/>
    </xf>
    <xf numFmtId="0" fontId="18" fillId="0" borderId="29" xfId="0" applyFont="1" applyBorder="1" applyAlignment="1">
      <alignment horizontal="center" vertical="top" wrapText="1"/>
    </xf>
    <xf numFmtId="15" fontId="38" fillId="0" borderId="30" xfId="0" applyNumberFormat="1" applyFont="1" applyBorder="1" applyAlignment="1">
      <alignment horizontal="center" vertical="top" wrapText="1"/>
    </xf>
    <xf numFmtId="15" fontId="38" fillId="26" borderId="30" xfId="0" applyNumberFormat="1" applyFont="1" applyFill="1" applyBorder="1" applyAlignment="1">
      <alignment horizontal="center" vertical="top" wrapText="1"/>
    </xf>
    <xf numFmtId="0" fontId="38" fillId="0" borderId="28" xfId="0" applyFont="1" applyBorder="1" applyAlignment="1">
      <alignment horizontal="center" vertical="top" wrapText="1"/>
    </xf>
    <xf numFmtId="0" fontId="3" fillId="0" borderId="0" xfId="1" applyAlignment="1">
      <alignment vertical="top"/>
    </xf>
    <xf numFmtId="0" fontId="18" fillId="0" borderId="0" xfId="0" applyFont="1" applyAlignment="1">
      <alignment horizontal="center" vertical="top" wrapText="1"/>
      <extLst>
        <ext xmlns:xfpb="http://schemas.microsoft.com/office/spreadsheetml/2022/featurepropertybag" uri="{C7286773-470A-42A8-94C5-96B5CB345126}">
          <xfpb:xfComplement i="0"/>
        </ext>
      </extLst>
    </xf>
    <xf numFmtId="0" fontId="0" fillId="0" borderId="0" xfId="0" applyAlignment="1">
      <alignment vertical="top"/>
      <extLst>
        <ext xmlns:xfpb="http://schemas.microsoft.com/office/spreadsheetml/2022/featurepropertybag" uri="{C7286773-470A-42A8-94C5-96B5CB345126}">
          <xfpb:xfComplement i="0"/>
        </ext>
      </extLst>
    </xf>
    <xf numFmtId="0" fontId="0" fillId="0" borderId="0" xfId="0" applyAlignment="1">
      <alignment vertical="top" wrapText="1"/>
      <extLst>
        <ext xmlns:xfpb="http://schemas.microsoft.com/office/spreadsheetml/2022/featurepropertybag" uri="{C7286773-470A-42A8-94C5-96B5CB345126}">
          <xfpb:xfComplement i="0"/>
        </ext>
      </extLst>
    </xf>
    <xf numFmtId="0" fontId="0" fillId="26" borderId="0" xfId="0" applyFill="1" applyAlignment="1">
      <alignment horizontal="center" vertical="top"/>
    </xf>
    <xf numFmtId="0" fontId="0" fillId="26" borderId="0" xfId="0" applyFill="1" applyAlignment="1">
      <alignment vertical="top"/>
    </xf>
    <xf numFmtId="0" fontId="0" fillId="0" borderId="0" xfId="0" applyAlignment="1">
      <alignment horizontal="center" vertical="top"/>
      <extLst>
        <ext xmlns:xfpb="http://schemas.microsoft.com/office/spreadsheetml/2022/featurepropertybag" uri="{C7286773-470A-42A8-94C5-96B5CB345126}">
          <xfpb:xfComplement i="0"/>
        </ext>
      </extLst>
    </xf>
    <xf numFmtId="0" fontId="17" fillId="9" borderId="0" xfId="0" applyFont="1" applyFill="1" applyAlignment="1">
      <alignment horizontal="center" vertical="top" wrapText="1"/>
    </xf>
    <xf numFmtId="0" fontId="0" fillId="26" borderId="0" xfId="0" applyFill="1" applyAlignment="1">
      <alignment horizontal="left" vertical="top"/>
    </xf>
    <xf numFmtId="0" fontId="10" fillId="0" borderId="0" xfId="0" applyFont="1" applyAlignment="1">
      <alignment vertical="top" wrapText="1"/>
    </xf>
    <xf numFmtId="49" fontId="18" fillId="0" borderId="32" xfId="0" applyNumberFormat="1" applyFont="1" applyBorder="1" applyAlignment="1">
      <alignment vertical="top" wrapText="1"/>
    </xf>
    <xf numFmtId="49" fontId="18" fillId="11" borderId="30" xfId="0" applyNumberFormat="1" applyFont="1" applyFill="1" applyBorder="1" applyAlignment="1">
      <alignment vertical="top" wrapText="1"/>
    </xf>
    <xf numFmtId="0" fontId="18" fillId="24" borderId="0" xfId="0" applyFont="1" applyFill="1" applyAlignment="1">
      <alignment vertical="top" wrapText="1"/>
    </xf>
    <xf numFmtId="0" fontId="39" fillId="22" borderId="30" xfId="0" applyFont="1" applyFill="1" applyBorder="1" applyAlignment="1">
      <alignment vertical="top" wrapText="1"/>
    </xf>
    <xf numFmtId="0" fontId="39" fillId="24" borderId="0" xfId="0" applyFont="1" applyFill="1" applyAlignment="1">
      <alignment vertical="top" wrapText="1"/>
    </xf>
    <xf numFmtId="0" fontId="39" fillId="4" borderId="30" xfId="0" applyFont="1" applyFill="1" applyBorder="1" applyAlignment="1">
      <alignment vertical="top" wrapText="1"/>
    </xf>
    <xf numFmtId="0" fontId="39" fillId="22" borderId="35" xfId="0" applyFont="1" applyFill="1" applyBorder="1" applyAlignment="1">
      <alignment vertical="top" wrapText="1"/>
    </xf>
    <xf numFmtId="0" fontId="39" fillId="24" borderId="36" xfId="0" applyFont="1" applyFill="1" applyBorder="1" applyAlignment="1">
      <alignment vertical="top" wrapText="1"/>
    </xf>
    <xf numFmtId="0" fontId="39" fillId="22" borderId="28" xfId="0" applyFont="1" applyFill="1" applyBorder="1" applyAlignment="1">
      <alignment vertical="top" wrapText="1"/>
    </xf>
    <xf numFmtId="0" fontId="11" fillId="0" borderId="0" xfId="0" applyFont="1" applyAlignment="1">
      <alignment horizontal="center"/>
    </xf>
    <xf numFmtId="0" fontId="17" fillId="9" borderId="5" xfId="0" applyFont="1" applyFill="1" applyBorder="1" applyAlignment="1">
      <alignment horizontal="center" vertical="top" wrapText="1"/>
    </xf>
    <xf numFmtId="0" fontId="17" fillId="15" borderId="5" xfId="0" applyFont="1" applyFill="1" applyBorder="1" applyAlignment="1">
      <alignment horizontal="center" vertical="top" wrapText="1"/>
    </xf>
    <xf numFmtId="0" fontId="18" fillId="0" borderId="5" xfId="0" applyFont="1" applyBorder="1" applyAlignment="1">
      <alignment horizontal="center" vertical="top" wrapText="1"/>
    </xf>
    <xf numFmtId="0" fontId="18" fillId="0" borderId="5" xfId="0" applyFont="1" applyBorder="1" applyAlignment="1">
      <alignment vertical="top" wrapText="1"/>
    </xf>
    <xf numFmtId="0" fontId="50" fillId="0" borderId="5" xfId="0" applyFont="1" applyBorder="1" applyAlignment="1">
      <alignment horizontal="center" vertical="top" wrapText="1"/>
    </xf>
    <xf numFmtId="0" fontId="19" fillId="0" borderId="5" xfId="0" applyFont="1" applyBorder="1" applyAlignment="1">
      <alignment horizontal="center" vertical="top" wrapText="1"/>
    </xf>
    <xf numFmtId="49" fontId="18" fillId="0" borderId="5" xfId="0" applyNumberFormat="1" applyFont="1" applyBorder="1" applyAlignment="1">
      <alignment vertical="top" wrapText="1"/>
    </xf>
    <xf numFmtId="0" fontId="21" fillId="0" borderId="5" xfId="0" applyFont="1" applyBorder="1" applyAlignment="1">
      <alignment horizontal="center" vertical="top" wrapText="1"/>
    </xf>
    <xf numFmtId="0" fontId="20" fillId="0" borderId="5" xfId="0" applyFont="1" applyBorder="1" applyAlignment="1">
      <alignment horizontal="center" vertical="top" wrapText="1"/>
    </xf>
    <xf numFmtId="14" fontId="19" fillId="0" borderId="5" xfId="0" applyNumberFormat="1" applyFont="1" applyBorder="1" applyAlignment="1">
      <alignment horizontal="center" vertical="top" wrapText="1"/>
    </xf>
    <xf numFmtId="0" fontId="49" fillId="0" borderId="5" xfId="0" applyFont="1" applyBorder="1" applyAlignment="1">
      <alignment horizontal="center" vertical="top" wrapText="1"/>
    </xf>
    <xf numFmtId="0" fontId="19" fillId="0" borderId="5" xfId="0" applyFont="1" applyBorder="1" applyAlignment="1">
      <alignment vertical="top" wrapText="1"/>
    </xf>
    <xf numFmtId="49" fontId="29" fillId="0" borderId="5" xfId="0" applyNumberFormat="1" applyFont="1" applyBorder="1" applyAlignment="1">
      <alignment vertical="top" wrapText="1"/>
    </xf>
    <xf numFmtId="0" fontId="58" fillId="0" borderId="30" xfId="1" applyFont="1" applyBorder="1" applyAlignment="1">
      <alignment vertical="top" wrapText="1"/>
    </xf>
    <xf numFmtId="0" fontId="17" fillId="15" borderId="28" xfId="0" applyFont="1" applyFill="1" applyBorder="1" applyAlignment="1">
      <alignment horizontal="center" vertical="center" wrapText="1"/>
    </xf>
    <xf numFmtId="0" fontId="18" fillId="0" borderId="30" xfId="0" applyFont="1" applyBorder="1" applyAlignment="1">
      <alignment horizontal="center" vertical="center" wrapText="1"/>
    </xf>
    <xf numFmtId="0" fontId="59" fillId="0" borderId="1" xfId="0" applyFont="1" applyBorder="1" applyAlignment="1">
      <alignment vertical="top" wrapText="1"/>
    </xf>
    <xf numFmtId="0" fontId="4" fillId="0" borderId="0" xfId="1" applyFont="1" applyFill="1" applyBorder="1"/>
    <xf numFmtId="0" fontId="1" fillId="4" borderId="1" xfId="0" applyFont="1" applyFill="1" applyBorder="1" applyAlignment="1">
      <alignment horizontal="left" vertical="top" wrapText="1"/>
    </xf>
    <xf numFmtId="0" fontId="5" fillId="0" borderId="1" xfId="0" applyFont="1" applyBorder="1" applyAlignment="1">
      <alignment horizontal="center" vertical="center"/>
    </xf>
    <xf numFmtId="0" fontId="60" fillId="0" borderId="1" xfId="0" applyFont="1" applyBorder="1" applyAlignment="1">
      <alignmen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1" fillId="3" borderId="1" xfId="0" applyFont="1" applyFill="1" applyBorder="1" applyAlignment="1">
      <alignment horizontal="center" vertical="top"/>
    </xf>
    <xf numFmtId="0" fontId="1" fillId="4" borderId="1" xfId="0" applyFont="1" applyFill="1" applyBorder="1" applyAlignment="1">
      <alignment horizontal="center" vertical="top"/>
    </xf>
    <xf numFmtId="0" fontId="1" fillId="0" borderId="1" xfId="0" applyFont="1" applyBorder="1" applyAlignment="1">
      <alignment horizontal="center" vertical="top"/>
    </xf>
    <xf numFmtId="0" fontId="2" fillId="0" borderId="1" xfId="0" applyFont="1" applyBorder="1" applyAlignment="1">
      <alignment horizontal="center"/>
    </xf>
    <xf numFmtId="0" fontId="61" fillId="2" borderId="1" xfId="0" applyFont="1" applyFill="1" applyBorder="1" applyAlignment="1">
      <alignment horizontal="center" vertical="center"/>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5" fillId="0" borderId="0" xfId="0" applyFont="1" applyAlignment="1">
      <alignment vertical="top" wrapText="1"/>
    </xf>
    <xf numFmtId="0" fontId="5" fillId="0" borderId="4" xfId="0" applyFont="1" applyBorder="1" applyAlignment="1">
      <alignment vertical="top" wrapText="1"/>
    </xf>
    <xf numFmtId="0" fontId="3" fillId="0" borderId="0" xfId="1" applyFill="1" applyAlignment="1">
      <alignment vertical="center" wrapText="1"/>
    </xf>
    <xf numFmtId="0" fontId="3" fillId="4" borderId="0" xfId="1" applyFill="1" applyAlignment="1">
      <alignment horizontal="center" vertical="center" wrapText="1"/>
    </xf>
    <xf numFmtId="0" fontId="3" fillId="26" borderId="0" xfId="1" applyFill="1" applyAlignment="1">
      <alignment horizontal="center" vertical="center" wrapText="1"/>
    </xf>
    <xf numFmtId="0" fontId="62" fillId="0" borderId="0" xfId="0" applyFont="1" applyAlignment="1">
      <alignment horizontal="center" vertical="center" wrapText="1"/>
    </xf>
    <xf numFmtId="0" fontId="0" fillId="0" borderId="0" xfId="0" applyAlignment="1">
      <alignment horizontal="left"/>
    </xf>
    <xf numFmtId="0" fontId="63" fillId="4" borderId="1" xfId="0" applyFont="1" applyFill="1" applyBorder="1" applyAlignment="1">
      <alignment horizontal="center" vertical="top"/>
    </xf>
    <xf numFmtId="0" fontId="64" fillId="0" borderId="0" xfId="0" applyFont="1" applyAlignment="1">
      <alignment vertical="top"/>
    </xf>
    <xf numFmtId="0" fontId="63" fillId="3" borderId="1" xfId="0" applyFont="1" applyFill="1" applyBorder="1" applyAlignment="1">
      <alignment horizontal="center" vertical="top"/>
    </xf>
    <xf numFmtId="0" fontId="63" fillId="0" borderId="1" xfId="0" applyFont="1" applyBorder="1" applyAlignment="1">
      <alignment horizontal="center" vertical="top"/>
    </xf>
    <xf numFmtId="0" fontId="65" fillId="0" borderId="1" xfId="0" applyFont="1" applyBorder="1" applyAlignment="1">
      <alignment vertical="top" wrapText="1"/>
    </xf>
    <xf numFmtId="0" fontId="65" fillId="0" borderId="1" xfId="0" applyFont="1" applyBorder="1" applyAlignment="1">
      <alignment vertical="top"/>
    </xf>
    <xf numFmtId="0" fontId="65" fillId="0" borderId="1" xfId="0" applyFont="1" applyBorder="1" applyAlignment="1">
      <alignment horizontal="left" vertical="top" wrapText="1"/>
    </xf>
    <xf numFmtId="0" fontId="65" fillId="0" borderId="1" xfId="0" applyFont="1" applyBorder="1" applyAlignment="1">
      <alignment horizontal="center" vertical="center"/>
    </xf>
    <xf numFmtId="0" fontId="65" fillId="0" borderId="1" xfId="0" applyFont="1" applyBorder="1" applyAlignment="1">
      <alignment horizontal="left" vertical="top"/>
    </xf>
    <xf numFmtId="0" fontId="66" fillId="0" borderId="1" xfId="0" applyFont="1" applyBorder="1" applyAlignment="1">
      <alignment vertical="top"/>
    </xf>
    <xf numFmtId="0" fontId="61" fillId="2" borderId="6" xfId="0" applyFont="1" applyFill="1" applyBorder="1" applyAlignment="1">
      <alignment horizontal="center" vertical="center"/>
    </xf>
    <xf numFmtId="0" fontId="0" fillId="28" borderId="0" xfId="0" applyFill="1"/>
    <xf numFmtId="0" fontId="67" fillId="3" borderId="5" xfId="0" applyFont="1" applyFill="1" applyBorder="1" applyAlignment="1">
      <alignment horizontal="center" vertical="top" wrapText="1"/>
    </xf>
    <xf numFmtId="0" fontId="67" fillId="3" borderId="5" xfId="0" applyFont="1" applyFill="1" applyBorder="1" applyAlignment="1">
      <alignment horizontal="left" vertical="top" wrapText="1"/>
    </xf>
    <xf numFmtId="0" fontId="68" fillId="4" borderId="5" xfId="0" applyFont="1" applyFill="1" applyBorder="1" applyAlignment="1">
      <alignment vertical="top" wrapText="1"/>
    </xf>
    <xf numFmtId="0" fontId="68" fillId="26" borderId="5" xfId="0" applyFont="1" applyFill="1" applyBorder="1" applyAlignment="1">
      <alignment vertical="top" wrapText="1"/>
    </xf>
    <xf numFmtId="0" fontId="68" fillId="29" borderId="5" xfId="0" applyFont="1" applyFill="1" applyBorder="1" applyAlignment="1">
      <alignment vertical="top" wrapText="1"/>
    </xf>
    <xf numFmtId="0" fontId="68" fillId="0" borderId="5" xfId="0" applyFont="1" applyBorder="1" applyAlignment="1">
      <alignment vertical="top" wrapText="1"/>
    </xf>
    <xf numFmtId="0" fontId="63" fillId="30" borderId="1" xfId="0" applyFont="1" applyFill="1" applyBorder="1" applyAlignment="1">
      <alignment horizontal="center" vertical="top"/>
    </xf>
    <xf numFmtId="0" fontId="66" fillId="0" borderId="1" xfId="0" applyFont="1" applyBorder="1" applyAlignment="1">
      <alignment vertical="top" wrapText="1"/>
    </xf>
    <xf numFmtId="0" fontId="68" fillId="26" borderId="5" xfId="0" applyFont="1" applyFill="1" applyBorder="1" applyAlignment="1">
      <alignment horizontal="center" vertical="center" wrapText="1"/>
    </xf>
    <xf numFmtId="0" fontId="63" fillId="0" borderId="5" xfId="0" applyFont="1" applyBorder="1" applyAlignment="1">
      <alignment horizontal="center" vertical="top"/>
    </xf>
    <xf numFmtId="0" fontId="63" fillId="30" borderId="5" xfId="0" applyFont="1" applyFill="1" applyBorder="1" applyAlignment="1">
      <alignment horizontal="center" vertical="top"/>
    </xf>
    <xf numFmtId="0" fontId="65" fillId="0" borderId="5" xfId="0" applyFont="1" applyBorder="1" applyAlignment="1">
      <alignment vertical="top" wrapText="1"/>
    </xf>
    <xf numFmtId="0" fontId="65" fillId="0" borderId="5" xfId="0" applyFont="1" applyBorder="1" applyAlignment="1">
      <alignment vertical="top"/>
    </xf>
    <xf numFmtId="0" fontId="65" fillId="0" borderId="5" xfId="0" applyFont="1" applyBorder="1" applyAlignment="1">
      <alignment horizontal="center" vertical="center"/>
    </xf>
    <xf numFmtId="0" fontId="65" fillId="0" borderId="5" xfId="0" applyFont="1" applyBorder="1" applyAlignment="1">
      <alignment horizontal="left" vertical="top"/>
    </xf>
    <xf numFmtId="0" fontId="66" fillId="0" borderId="5" xfId="0" applyFont="1" applyBorder="1" applyAlignment="1">
      <alignment vertical="top"/>
    </xf>
    <xf numFmtId="0" fontId="63" fillId="0" borderId="6" xfId="0" applyFont="1" applyBorder="1" applyAlignment="1">
      <alignment horizontal="center" vertical="top"/>
    </xf>
    <xf numFmtId="0" fontId="63" fillId="30" borderId="6" xfId="0" applyFont="1" applyFill="1" applyBorder="1" applyAlignment="1">
      <alignment horizontal="center" vertical="top"/>
    </xf>
    <xf numFmtId="0" fontId="65" fillId="0" borderId="6" xfId="0" applyFont="1" applyBorder="1" applyAlignment="1">
      <alignment vertical="top" wrapText="1"/>
    </xf>
    <xf numFmtId="0" fontId="65" fillId="0" borderId="6" xfId="0" applyFont="1" applyBorder="1" applyAlignment="1">
      <alignment vertical="top"/>
    </xf>
    <xf numFmtId="0" fontId="65" fillId="0" borderId="6" xfId="0" applyFont="1" applyBorder="1" applyAlignment="1">
      <alignment horizontal="left" vertical="top" wrapText="1"/>
    </xf>
    <xf numFmtId="0" fontId="65" fillId="0" borderId="6" xfId="0" applyFont="1" applyBorder="1" applyAlignment="1">
      <alignment horizontal="center" vertical="center"/>
    </xf>
    <xf numFmtId="0" fontId="65" fillId="0" borderId="6" xfId="0" applyFont="1" applyBorder="1" applyAlignment="1">
      <alignment horizontal="left" vertical="top"/>
    </xf>
    <xf numFmtId="0" fontId="66" fillId="0" borderId="6" xfId="0" applyFont="1" applyBorder="1" applyAlignment="1">
      <alignment vertical="top"/>
    </xf>
    <xf numFmtId="0" fontId="63" fillId="0" borderId="7" xfId="0" applyFont="1" applyBorder="1" applyAlignment="1">
      <alignment horizontal="center" vertical="top"/>
    </xf>
    <xf numFmtId="0" fontId="63" fillId="30" borderId="7" xfId="0" applyFont="1" applyFill="1" applyBorder="1" applyAlignment="1">
      <alignment horizontal="center" vertical="top"/>
    </xf>
    <xf numFmtId="0" fontId="65" fillId="0" borderId="7" xfId="0" applyFont="1" applyBorder="1" applyAlignment="1">
      <alignment vertical="top" wrapText="1"/>
    </xf>
    <xf numFmtId="0" fontId="65" fillId="0" borderId="7" xfId="0" applyFont="1" applyBorder="1" applyAlignment="1">
      <alignment vertical="top"/>
    </xf>
    <xf numFmtId="0" fontId="65" fillId="0" borderId="7" xfId="0" applyFont="1" applyBorder="1" applyAlignment="1">
      <alignment horizontal="left" vertical="top" wrapText="1"/>
    </xf>
    <xf numFmtId="0" fontId="65" fillId="0" borderId="7" xfId="0" applyFont="1" applyBorder="1" applyAlignment="1">
      <alignment horizontal="center" vertical="center"/>
    </xf>
    <xf numFmtId="0" fontId="65" fillId="0" borderId="7" xfId="0" applyFont="1" applyBorder="1" applyAlignment="1">
      <alignment horizontal="left" vertical="top"/>
    </xf>
    <xf numFmtId="0" fontId="66" fillId="0" borderId="7" xfId="0" applyFont="1" applyBorder="1" applyAlignment="1">
      <alignment vertical="top"/>
    </xf>
    <xf numFmtId="0" fontId="65" fillId="0" borderId="14" xfId="0" applyFont="1" applyBorder="1" applyAlignment="1">
      <alignment horizontal="left" vertical="top" wrapText="1"/>
    </xf>
    <xf numFmtId="0" fontId="65" fillId="0" borderId="12" xfId="0" applyFont="1" applyBorder="1" applyAlignment="1">
      <alignment horizontal="left" vertical="top"/>
    </xf>
    <xf numFmtId="0" fontId="66" fillId="0" borderId="12" xfId="0" applyFont="1" applyBorder="1" applyAlignment="1">
      <alignment vertical="top"/>
    </xf>
    <xf numFmtId="0" fontId="65" fillId="0" borderId="23" xfId="0" applyFont="1" applyBorder="1" applyAlignment="1">
      <alignment horizontal="left" vertical="top"/>
    </xf>
    <xf numFmtId="0" fontId="65" fillId="0" borderId="13" xfId="0" applyFont="1" applyBorder="1" applyAlignment="1">
      <alignment horizontal="center" vertical="center"/>
    </xf>
    <xf numFmtId="0" fontId="30" fillId="0" borderId="5" xfId="0" applyFont="1" applyBorder="1" applyAlignment="1">
      <alignment vertical="top" wrapText="1"/>
    </xf>
    <xf numFmtId="0" fontId="69" fillId="0" borderId="5" xfId="0" applyFont="1" applyBorder="1" applyAlignment="1">
      <alignment vertical="top" wrapText="1"/>
    </xf>
    <xf numFmtId="0" fontId="11" fillId="7" borderId="5" xfId="0" applyFont="1" applyFill="1" applyBorder="1" applyAlignment="1">
      <alignment horizontal="center" vertical="top"/>
    </xf>
    <xf numFmtId="0" fontId="71" fillId="0" borderId="5" xfId="0" applyFont="1" applyBorder="1"/>
    <xf numFmtId="0" fontId="65" fillId="11" borderId="1" xfId="0" applyFont="1" applyFill="1" applyBorder="1" applyAlignment="1">
      <alignment horizontal="center" vertical="center"/>
    </xf>
    <xf numFmtId="0" fontId="65" fillId="11" borderId="1" xfId="0" applyFont="1" applyFill="1" applyBorder="1" applyAlignment="1">
      <alignment horizontal="left" vertical="top"/>
    </xf>
    <xf numFmtId="0" fontId="68" fillId="29" borderId="5" xfId="0" applyFont="1" applyFill="1" applyBorder="1" applyAlignment="1">
      <alignment horizontal="center" vertical="center" wrapText="1"/>
    </xf>
    <xf numFmtId="0" fontId="68" fillId="4" borderId="5" xfId="0" applyFont="1" applyFill="1" applyBorder="1" applyAlignment="1">
      <alignment horizontal="center" vertical="center" wrapText="1"/>
    </xf>
    <xf numFmtId="0" fontId="11" fillId="7" borderId="14" xfId="0" applyFont="1" applyFill="1" applyBorder="1" applyAlignment="1">
      <alignment horizontal="center" vertical="top"/>
    </xf>
    <xf numFmtId="0" fontId="71" fillId="0" borderId="5" xfId="0" applyFont="1" applyBorder="1" applyAlignment="1">
      <alignment horizontal="center" vertical="center"/>
    </xf>
    <xf numFmtId="0" fontId="71" fillId="0" borderId="13" xfId="0" applyFont="1" applyBorder="1" applyAlignment="1">
      <alignment horizontal="center" vertical="center"/>
    </xf>
    <xf numFmtId="0" fontId="72" fillId="0" borderId="5" xfId="0" applyFont="1" applyBorder="1" applyAlignment="1">
      <alignment vertical="top" wrapText="1"/>
    </xf>
    <xf numFmtId="0" fontId="71" fillId="0" borderId="13" xfId="0" applyFont="1" applyBorder="1" applyAlignment="1">
      <alignment wrapText="1"/>
    </xf>
    <xf numFmtId="0" fontId="72" fillId="0" borderId="19" xfId="0" applyFont="1" applyBorder="1" applyAlignment="1">
      <alignment vertical="top" wrapText="1"/>
    </xf>
    <xf numFmtId="0" fontId="72" fillId="0" borderId="18" xfId="0" applyFont="1" applyBorder="1" applyAlignment="1">
      <alignment vertical="top" wrapText="1"/>
    </xf>
    <xf numFmtId="0" fontId="72" fillId="0" borderId="5" xfId="0" applyFont="1" applyBorder="1" applyAlignment="1">
      <alignment vertical="top"/>
    </xf>
    <xf numFmtId="0" fontId="72" fillId="0" borderId="13" xfId="0" applyFont="1" applyBorder="1" applyAlignment="1">
      <alignment vertical="top"/>
    </xf>
    <xf numFmtId="0" fontId="0" fillId="0" borderId="5" xfId="0" applyBorder="1" applyAlignment="1">
      <alignment horizontal="center" vertical="center"/>
    </xf>
    <xf numFmtId="0" fontId="71" fillId="0" borderId="14" xfId="0" applyFont="1" applyBorder="1" applyAlignment="1">
      <alignment horizontal="center" vertical="center"/>
    </xf>
    <xf numFmtId="0" fontId="71" fillId="0" borderId="17" xfId="0" applyFont="1" applyBorder="1" applyAlignment="1">
      <alignment horizontal="center" vertical="center"/>
    </xf>
    <xf numFmtId="0" fontId="0" fillId="0" borderId="18" xfId="0" applyBorder="1" applyAlignment="1">
      <alignment vertical="top"/>
    </xf>
    <xf numFmtId="0" fontId="0" fillId="0" borderId="38" xfId="0" applyBorder="1" applyAlignment="1">
      <alignment vertical="top"/>
    </xf>
    <xf numFmtId="0" fontId="11" fillId="7" borderId="17" xfId="0" applyFont="1" applyFill="1" applyBorder="1" applyAlignment="1">
      <alignment horizontal="center" vertical="top"/>
    </xf>
    <xf numFmtId="0" fontId="71" fillId="0" borderId="5" xfId="0" applyFont="1" applyBorder="1" applyAlignment="1">
      <alignment horizontal="center" vertical="top"/>
    </xf>
    <xf numFmtId="0" fontId="63" fillId="11" borderId="1" xfId="0" applyFont="1" applyFill="1" applyBorder="1" applyAlignment="1">
      <alignment horizontal="center" vertical="top"/>
    </xf>
    <xf numFmtId="0" fontId="65" fillId="11" borderId="1" xfId="0" applyFont="1" applyFill="1" applyBorder="1" applyAlignment="1">
      <alignment vertical="top" wrapText="1"/>
    </xf>
    <xf numFmtId="0" fontId="65" fillId="11" borderId="1" xfId="0" applyFont="1" applyFill="1" applyBorder="1" applyAlignment="1">
      <alignment vertical="top"/>
    </xf>
    <xf numFmtId="0" fontId="65" fillId="11" borderId="1" xfId="0" applyFont="1" applyFill="1" applyBorder="1" applyAlignment="1">
      <alignment horizontal="left" vertical="top" wrapText="1"/>
    </xf>
    <xf numFmtId="0" fontId="66" fillId="11" borderId="1" xfId="0" applyFont="1" applyFill="1" applyBorder="1" applyAlignment="1">
      <alignment vertical="top"/>
    </xf>
    <xf numFmtId="0" fontId="0" fillId="4" borderId="5" xfId="0" applyFill="1" applyBorder="1" applyAlignment="1">
      <alignment horizontal="center" vertical="center" wrapText="1"/>
    </xf>
    <xf numFmtId="0" fontId="0" fillId="26" borderId="5" xfId="0" applyFill="1" applyBorder="1" applyAlignment="1">
      <alignment horizontal="center" vertical="center" wrapText="1"/>
    </xf>
    <xf numFmtId="0" fontId="72" fillId="0" borderId="5" xfId="0" applyFont="1" applyBorder="1" applyAlignment="1">
      <alignment horizontal="left" vertical="top"/>
    </xf>
    <xf numFmtId="0" fontId="11" fillId="0" borderId="5" xfId="0" applyFont="1" applyBorder="1" applyAlignment="1">
      <alignment vertical="top"/>
    </xf>
    <xf numFmtId="0" fontId="0" fillId="0" borderId="5" xfId="0" applyBorder="1" applyAlignment="1">
      <alignment horizontal="left" vertical="top"/>
    </xf>
    <xf numFmtId="0" fontId="71" fillId="0" borderId="13" xfId="0" applyFont="1" applyBorder="1" applyAlignment="1">
      <alignment horizontal="center" vertical="top"/>
    </xf>
    <xf numFmtId="0" fontId="0" fillId="0" borderId="13" xfId="0" applyBorder="1" applyAlignment="1">
      <alignment horizontal="center" vertical="top"/>
    </xf>
    <xf numFmtId="0" fontId="0" fillId="0" borderId="13" xfId="0" applyBorder="1" applyAlignment="1">
      <alignment horizontal="left" vertical="top"/>
    </xf>
    <xf numFmtId="0" fontId="0" fillId="0" borderId="23" xfId="0" applyBorder="1" applyAlignment="1">
      <alignment vertical="top" wrapText="1"/>
    </xf>
    <xf numFmtId="0" fontId="11" fillId="0" borderId="13" xfId="0" applyFont="1" applyBorder="1" applyAlignment="1">
      <alignment vertical="top"/>
    </xf>
    <xf numFmtId="0" fontId="0" fillId="0" borderId="14" xfId="0" applyBorder="1" applyAlignment="1">
      <alignment horizontal="center" vertical="center"/>
    </xf>
    <xf numFmtId="0" fontId="0" fillId="0" borderId="39" xfId="0" applyBorder="1" applyAlignment="1">
      <alignment vertical="top"/>
    </xf>
    <xf numFmtId="0" fontId="34" fillId="0" borderId="5" xfId="0" applyFont="1" applyBorder="1" applyAlignment="1">
      <alignment vertical="top"/>
    </xf>
    <xf numFmtId="0" fontId="71" fillId="0" borderId="5" xfId="0" applyFont="1" applyBorder="1" applyAlignment="1">
      <alignment horizontal="left" vertical="top"/>
    </xf>
    <xf numFmtId="0" fontId="31" fillId="0" borderId="5" xfId="0" applyFont="1" applyBorder="1" applyAlignment="1">
      <alignment vertical="top"/>
    </xf>
    <xf numFmtId="0" fontId="71" fillId="0" borderId="14" xfId="0" applyFont="1" applyBorder="1" applyAlignment="1">
      <alignment horizontal="center" vertical="top"/>
    </xf>
    <xf numFmtId="0" fontId="72" fillId="0" borderId="17" xfId="0" applyFont="1" applyBorder="1" applyAlignment="1">
      <alignment vertical="top"/>
    </xf>
    <xf numFmtId="0" fontId="72" fillId="0" borderId="14" xfId="0" applyFont="1" applyBorder="1" applyAlignment="1">
      <alignment vertical="top"/>
    </xf>
    <xf numFmtId="0" fontId="3" fillId="0" borderId="0" xfId="1" applyAlignment="1">
      <alignment vertical="center" wrapText="1"/>
    </xf>
    <xf numFmtId="0" fontId="0" fillId="0" borderId="5" xfId="0" applyBorder="1" applyAlignment="1">
      <alignment vertical="center" wrapText="1"/>
    </xf>
    <xf numFmtId="0" fontId="64" fillId="0" borderId="0" xfId="0" applyFont="1"/>
    <xf numFmtId="0" fontId="64" fillId="0" borderId="1" xfId="0" applyFont="1" applyBorder="1" applyAlignment="1">
      <alignment horizontal="center"/>
    </xf>
    <xf numFmtId="0" fontId="64" fillId="0" borderId="1" xfId="0" applyFont="1" applyBorder="1" applyAlignment="1">
      <alignment wrapText="1"/>
    </xf>
    <xf numFmtId="0" fontId="64" fillId="0" borderId="1" xfId="0" applyFont="1" applyBorder="1"/>
    <xf numFmtId="0" fontId="65" fillId="0" borderId="0" xfId="0" applyFont="1" applyAlignment="1">
      <alignment vertical="top" wrapText="1"/>
    </xf>
    <xf numFmtId="0" fontId="65" fillId="0" borderId="4" xfId="0" applyFont="1" applyBorder="1" applyAlignment="1">
      <alignment vertical="top" wrapText="1"/>
    </xf>
    <xf numFmtId="0" fontId="7" fillId="32" borderId="7" xfId="0" applyFont="1" applyFill="1" applyBorder="1"/>
    <xf numFmtId="0" fontId="7" fillId="32" borderId="40" xfId="0" applyFont="1" applyFill="1" applyBorder="1" applyAlignment="1">
      <alignment wrapText="1"/>
    </xf>
    <xf numFmtId="0" fontId="7" fillId="5" borderId="7" xfId="0" applyFont="1" applyFill="1" applyBorder="1"/>
    <xf numFmtId="0" fontId="7" fillId="5" borderId="40" xfId="0" applyFont="1" applyFill="1" applyBorder="1"/>
    <xf numFmtId="0" fontId="77" fillId="0" borderId="7" xfId="0" applyFont="1" applyBorder="1"/>
    <xf numFmtId="0" fontId="77" fillId="0" borderId="40" xfId="0" applyFont="1" applyBorder="1"/>
    <xf numFmtId="0" fontId="8" fillId="0" borderId="40" xfId="0" applyFont="1" applyBorder="1" applyAlignment="1">
      <alignment horizontal="left" vertical="top" wrapText="1"/>
    </xf>
    <xf numFmtId="0" fontId="8" fillId="0" borderId="40" xfId="0" applyFont="1" applyBorder="1" applyAlignment="1">
      <alignment horizontal="left" vertical="top"/>
    </xf>
    <xf numFmtId="0" fontId="77" fillId="0" borderId="40" xfId="0" applyFont="1" applyBorder="1" applyAlignment="1">
      <alignment horizontal="left" vertical="top"/>
    </xf>
    <xf numFmtId="0" fontId="77" fillId="0" borderId="40" xfId="0" applyFont="1" applyBorder="1" applyAlignment="1">
      <alignment horizontal="left" vertical="top" wrapText="1"/>
    </xf>
    <xf numFmtId="0" fontId="7" fillId="32" borderId="7" xfId="0" applyFont="1" applyFill="1" applyBorder="1" applyAlignment="1">
      <alignment vertical="top"/>
    </xf>
    <xf numFmtId="0" fontId="7" fillId="32" borderId="40" xfId="0" applyFont="1" applyFill="1" applyBorder="1" applyAlignment="1">
      <alignment vertical="top" wrapText="1"/>
    </xf>
    <xf numFmtId="0" fontId="7" fillId="32" borderId="7" xfId="0" applyFont="1" applyFill="1" applyBorder="1" applyAlignment="1">
      <alignment horizontal="left" vertical="top"/>
    </xf>
    <xf numFmtId="0" fontId="7" fillId="32" borderId="40" xfId="0" applyFont="1" applyFill="1" applyBorder="1" applyAlignment="1">
      <alignment horizontal="left" vertical="top" wrapText="1"/>
    </xf>
    <xf numFmtId="0" fontId="7" fillId="5" borderId="7" xfId="0" applyFont="1" applyFill="1" applyBorder="1" applyAlignment="1">
      <alignment horizontal="left" vertical="top"/>
    </xf>
    <xf numFmtId="0" fontId="7" fillId="5" borderId="40" xfId="0" applyFont="1" applyFill="1" applyBorder="1" applyAlignment="1">
      <alignment horizontal="left" vertical="top"/>
    </xf>
    <xf numFmtId="0" fontId="77" fillId="0" borderId="7" xfId="0" applyFont="1" applyBorder="1" applyAlignment="1">
      <alignment horizontal="left" vertical="top"/>
    </xf>
    <xf numFmtId="0" fontId="78" fillId="0" borderId="5" xfId="0" applyFont="1" applyBorder="1"/>
    <xf numFmtId="0" fontId="79" fillId="0" borderId="5" xfId="0" applyFont="1" applyBorder="1"/>
    <xf numFmtId="0" fontId="3" fillId="0" borderId="18" xfId="1" applyBorder="1" applyAlignment="1">
      <alignment horizontal="left" vertical="top" wrapText="1"/>
    </xf>
    <xf numFmtId="0" fontId="0" fillId="0" borderId="17" xfId="0" applyBorder="1" applyAlignment="1">
      <alignment horizontal="center" vertical="center"/>
    </xf>
    <xf numFmtId="0" fontId="0" fillId="0" borderId="14" xfId="0" applyBorder="1" applyAlignment="1">
      <alignment horizontal="center" vertical="top"/>
    </xf>
    <xf numFmtId="0" fontId="71" fillId="0" borderId="12" xfId="0" applyFont="1" applyBorder="1" applyAlignment="1">
      <alignment horizontal="center" vertical="top"/>
    </xf>
    <xf numFmtId="0" fontId="33" fillId="0" borderId="5" xfId="0" applyFont="1" applyBorder="1" applyAlignment="1">
      <alignment vertical="top"/>
    </xf>
    <xf numFmtId="0" fontId="46" fillId="0" borderId="5" xfId="0" applyFont="1" applyBorder="1" applyAlignment="1">
      <alignment vertical="top"/>
    </xf>
    <xf numFmtId="0" fontId="80" fillId="0" borderId="5" xfId="0" applyFont="1" applyBorder="1" applyAlignment="1">
      <alignment horizontal="left" vertical="top"/>
    </xf>
    <xf numFmtId="0" fontId="3" fillId="0" borderId="0" xfId="1"/>
    <xf numFmtId="0" fontId="76" fillId="31" borderId="40" xfId="0" applyFont="1" applyFill="1" applyBorder="1" applyAlignment="1">
      <alignment horizontal="center" vertical="center"/>
    </xf>
    <xf numFmtId="0" fontId="81" fillId="0" borderId="0" xfId="0" applyFont="1"/>
    <xf numFmtId="0" fontId="8" fillId="0" borderId="41" xfId="0" applyFont="1" applyBorder="1" applyAlignment="1">
      <alignment horizontal="left" vertical="top" wrapText="1"/>
    </xf>
    <xf numFmtId="0" fontId="77" fillId="0" borderId="5" xfId="0" applyFont="1" applyBorder="1" applyAlignment="1">
      <alignment horizontal="left" vertical="top" wrapText="1"/>
    </xf>
    <xf numFmtId="0" fontId="8" fillId="0" borderId="5" xfId="0" applyFont="1" applyBorder="1" applyAlignment="1">
      <alignment horizontal="left" vertical="top" wrapText="1"/>
    </xf>
    <xf numFmtId="0" fontId="77" fillId="0" borderId="41" xfId="0" applyFont="1" applyBorder="1"/>
    <xf numFmtId="0" fontId="64" fillId="33" borderId="0" xfId="0" applyFont="1" applyFill="1" applyAlignment="1">
      <alignment vertical="top"/>
    </xf>
    <xf numFmtId="0" fontId="64" fillId="33" borderId="0" xfId="0" applyFont="1" applyFill="1"/>
    <xf numFmtId="0" fontId="0" fillId="0" borderId="5" xfId="0" applyBorder="1"/>
    <xf numFmtId="14" fontId="0" fillId="0" borderId="5" xfId="0" applyNumberFormat="1" applyBorder="1" applyAlignment="1">
      <alignment horizontal="center" vertical="center"/>
    </xf>
    <xf numFmtId="0" fontId="0" fillId="0" borderId="14" xfId="0" applyBorder="1" applyAlignment="1">
      <alignment vertical="center"/>
    </xf>
    <xf numFmtId="0" fontId="0" fillId="0" borderId="14" xfId="0" applyBorder="1"/>
    <xf numFmtId="0" fontId="11" fillId="0" borderId="5" xfId="0" applyFont="1" applyBorder="1" applyAlignment="1">
      <alignment horizontal="center" vertical="center"/>
    </xf>
    <xf numFmtId="0" fontId="11" fillId="0" borderId="14" xfId="0" applyFont="1" applyBorder="1" applyAlignment="1">
      <alignment horizontal="center" vertical="center"/>
    </xf>
    <xf numFmtId="0" fontId="11" fillId="0" borderId="14" xfId="0" applyFont="1" applyBorder="1" applyAlignment="1">
      <alignment horizontal="center"/>
    </xf>
    <xf numFmtId="0" fontId="82" fillId="0" borderId="5" xfId="0" applyFont="1" applyBorder="1" applyAlignment="1">
      <alignment horizontal="center" vertical="center"/>
    </xf>
    <xf numFmtId="0" fontId="65" fillId="33" borderId="0" xfId="0" applyFont="1" applyFill="1" applyAlignment="1">
      <alignment vertical="top" wrapText="1"/>
    </xf>
    <xf numFmtId="0" fontId="77" fillId="24" borderId="7" xfId="0" applyFont="1" applyFill="1" applyBorder="1"/>
    <xf numFmtId="0" fontId="77" fillId="24" borderId="40" xfId="0" applyFont="1" applyFill="1" applyBorder="1"/>
    <xf numFmtId="0" fontId="8" fillId="24" borderId="40" xfId="0" applyFont="1" applyFill="1" applyBorder="1" applyAlignment="1">
      <alignment horizontal="left" vertical="top" wrapText="1"/>
    </xf>
    <xf numFmtId="0" fontId="8" fillId="24" borderId="40" xfId="0" applyFont="1" applyFill="1" applyBorder="1" applyAlignment="1">
      <alignment horizontal="left" vertical="top"/>
    </xf>
    <xf numFmtId="0" fontId="77" fillId="24" borderId="40" xfId="0" applyFont="1" applyFill="1" applyBorder="1" applyAlignment="1">
      <alignment horizontal="left" vertical="top"/>
    </xf>
    <xf numFmtId="0" fontId="77" fillId="24" borderId="40" xfId="0" applyFont="1" applyFill="1" applyBorder="1" applyAlignment="1">
      <alignment horizontal="left" vertical="top" wrapText="1"/>
    </xf>
    <xf numFmtId="0" fontId="77" fillId="24" borderId="5" xfId="0" applyFont="1" applyFill="1" applyBorder="1" applyAlignment="1">
      <alignment horizontal="left" vertical="top" wrapText="1"/>
    </xf>
    <xf numFmtId="0" fontId="77" fillId="24" borderId="41" xfId="0" applyFont="1" applyFill="1" applyBorder="1" applyAlignment="1">
      <alignment horizontal="left" vertical="top"/>
    </xf>
    <xf numFmtId="0" fontId="77" fillId="24" borderId="15" xfId="0" applyFont="1" applyFill="1" applyBorder="1" applyAlignment="1">
      <alignment horizontal="left" vertical="top" wrapText="1"/>
    </xf>
    <xf numFmtId="0" fontId="83" fillId="0" borderId="40" xfId="0" applyFont="1" applyBorder="1" applyAlignment="1">
      <alignment horizontal="left" vertical="top" wrapText="1"/>
    </xf>
    <xf numFmtId="0" fontId="84" fillId="0" borderId="40" xfId="0" applyFont="1" applyBorder="1" applyAlignment="1">
      <alignment horizontal="left" vertical="top" wrapText="1"/>
    </xf>
    <xf numFmtId="0" fontId="8" fillId="0" borderId="15" xfId="0" applyFont="1" applyBorder="1" applyAlignment="1">
      <alignment horizontal="left" vertical="top" wrapText="1"/>
    </xf>
    <xf numFmtId="0" fontId="8" fillId="0" borderId="15" xfId="0" applyFont="1" applyBorder="1" applyAlignment="1">
      <alignment horizontal="left" vertical="top"/>
    </xf>
    <xf numFmtId="0" fontId="77" fillId="0" borderId="15" xfId="0" applyFont="1" applyBorder="1" applyAlignment="1">
      <alignment horizontal="left" vertical="top"/>
    </xf>
    <xf numFmtId="0" fontId="77" fillId="0" borderId="15" xfId="0" applyFont="1" applyBorder="1" applyAlignment="1">
      <alignment horizontal="left" vertical="top" wrapText="1"/>
    </xf>
    <xf numFmtId="0" fontId="77" fillId="0" borderId="0" xfId="0" applyFont="1" applyAlignment="1">
      <alignment horizontal="left" vertical="top"/>
    </xf>
    <xf numFmtId="0" fontId="8" fillId="0" borderId="40" xfId="0" applyFont="1" applyBorder="1"/>
    <xf numFmtId="0" fontId="7" fillId="32" borderId="7" xfId="0" applyFont="1" applyFill="1" applyBorder="1" applyAlignment="1">
      <alignment vertical="center"/>
    </xf>
    <xf numFmtId="0" fontId="7" fillId="32" borderId="40" xfId="0" applyFont="1" applyFill="1" applyBorder="1" applyAlignment="1">
      <alignment vertical="center" wrapText="1"/>
    </xf>
    <xf numFmtId="0" fontId="7" fillId="5" borderId="5" xfId="0" applyFont="1" applyFill="1" applyBorder="1"/>
    <xf numFmtId="0" fontId="7" fillId="5" borderId="43" xfId="0" applyFont="1" applyFill="1" applyBorder="1"/>
    <xf numFmtId="0" fontId="77" fillId="0" borderId="0" xfId="0" applyFont="1"/>
    <xf numFmtId="0" fontId="8" fillId="0" borderId="13" xfId="0" applyFont="1" applyBorder="1" applyAlignment="1">
      <alignment horizontal="left" vertical="top" wrapText="1"/>
    </xf>
    <xf numFmtId="0" fontId="8" fillId="0" borderId="17" xfId="0" applyFont="1" applyBorder="1" applyAlignment="1">
      <alignment horizontal="left" vertical="top" wrapText="1"/>
    </xf>
    <xf numFmtId="0" fontId="8" fillId="0" borderId="13" xfId="0" applyFont="1" applyBorder="1" applyAlignment="1">
      <alignment horizontal="left" vertical="top"/>
    </xf>
    <xf numFmtId="0" fontId="77" fillId="0" borderId="13" xfId="0" applyFont="1" applyBorder="1" applyAlignment="1">
      <alignment horizontal="left" vertical="top"/>
    </xf>
    <xf numFmtId="0" fontId="77" fillId="0" borderId="17" xfId="0" applyFont="1" applyBorder="1" applyAlignment="1">
      <alignment horizontal="left" vertical="top"/>
    </xf>
    <xf numFmtId="0" fontId="77" fillId="0" borderId="13" xfId="0" applyFont="1" applyBorder="1" applyAlignment="1">
      <alignment horizontal="left" vertical="top" wrapText="1"/>
    </xf>
    <xf numFmtId="0" fontId="77" fillId="24" borderId="7" xfId="0" applyFont="1" applyFill="1" applyBorder="1" applyAlignment="1">
      <alignment horizontal="left" vertical="top"/>
    </xf>
    <xf numFmtId="0" fontId="85" fillId="5" borderId="40" xfId="0" applyFont="1" applyFill="1" applyBorder="1"/>
    <xf numFmtId="0" fontId="11" fillId="0" borderId="0" xfId="0" applyFont="1"/>
    <xf numFmtId="0" fontId="11" fillId="0" borderId="0" xfId="0" applyFont="1" applyAlignment="1">
      <alignment horizontal="center" vertical="center"/>
    </xf>
    <xf numFmtId="0" fontId="64" fillId="34" borderId="0" xfId="0" applyFont="1" applyFill="1"/>
    <xf numFmtId="0" fontId="64" fillId="34" borderId="0" xfId="0" applyFont="1" applyFill="1" applyAlignment="1">
      <alignment vertical="top"/>
    </xf>
    <xf numFmtId="0" fontId="65" fillId="34" borderId="0" xfId="0" applyFont="1" applyFill="1" applyAlignment="1">
      <alignment vertical="top" wrapText="1"/>
    </xf>
    <xf numFmtId="0" fontId="64" fillId="8" borderId="0" xfId="0" applyFont="1" applyFill="1"/>
    <xf numFmtId="0" fontId="16" fillId="0" borderId="0" xfId="0" applyFont="1"/>
    <xf numFmtId="14" fontId="0" fillId="29" borderId="5" xfId="0" applyNumberFormat="1" applyFill="1" applyBorder="1" applyAlignment="1">
      <alignment horizontal="center" vertical="center"/>
    </xf>
    <xf numFmtId="0" fontId="0" fillId="29" borderId="5" xfId="0" applyFill="1" applyBorder="1" applyAlignment="1">
      <alignment horizontal="center" vertical="center"/>
    </xf>
    <xf numFmtId="0" fontId="0" fillId="29" borderId="5" xfId="0" applyFill="1" applyBorder="1"/>
    <xf numFmtId="0" fontId="0" fillId="29" borderId="14" xfId="0" applyFill="1" applyBorder="1" applyAlignment="1">
      <alignment vertical="center"/>
    </xf>
    <xf numFmtId="0" fontId="0" fillId="29" borderId="14" xfId="0" applyFill="1" applyBorder="1"/>
    <xf numFmtId="0" fontId="0" fillId="29" borderId="0" xfId="0" applyFill="1" applyAlignment="1">
      <alignment horizontal="center" vertical="center"/>
    </xf>
    <xf numFmtId="0" fontId="0" fillId="29" borderId="0" xfId="0" applyFill="1"/>
    <xf numFmtId="0" fontId="0" fillId="24" borderId="5" xfId="0" applyFill="1" applyBorder="1" applyAlignment="1">
      <alignment horizontal="center" vertical="center"/>
    </xf>
    <xf numFmtId="0" fontId="0" fillId="24" borderId="5" xfId="0" applyFill="1" applyBorder="1"/>
    <xf numFmtId="0" fontId="0" fillId="29" borderId="0" xfId="0" applyFill="1" applyAlignment="1">
      <alignment vertical="center"/>
    </xf>
    <xf numFmtId="0" fontId="16" fillId="29" borderId="0" xfId="0" applyFont="1" applyFill="1"/>
    <xf numFmtId="14" fontId="0" fillId="24" borderId="5" xfId="0" applyNumberFormat="1" applyFill="1" applyBorder="1" applyAlignment="1">
      <alignment horizontal="center" vertical="center"/>
    </xf>
    <xf numFmtId="0" fontId="0" fillId="24" borderId="14" xfId="0" applyFill="1" applyBorder="1" applyAlignment="1">
      <alignment vertical="center"/>
    </xf>
    <xf numFmtId="0" fontId="0" fillId="24" borderId="14" xfId="0" applyFill="1" applyBorder="1"/>
    <xf numFmtId="0" fontId="82" fillId="24" borderId="5" xfId="0" applyFont="1" applyFill="1" applyBorder="1" applyAlignment="1">
      <alignment horizontal="center" vertical="center"/>
    </xf>
    <xf numFmtId="14" fontId="0" fillId="24" borderId="13" xfId="0" applyNumberFormat="1" applyFill="1" applyBorder="1" applyAlignment="1">
      <alignment horizontal="center" vertical="center"/>
    </xf>
    <xf numFmtId="0" fontId="0" fillId="24" borderId="13" xfId="0" applyFill="1" applyBorder="1"/>
    <xf numFmtId="0" fontId="0" fillId="24" borderId="17" xfId="0" applyFill="1" applyBorder="1" applyAlignment="1">
      <alignment vertical="center"/>
    </xf>
    <xf numFmtId="0" fontId="0" fillId="24" borderId="17" xfId="0" applyFill="1" applyBorder="1"/>
    <xf numFmtId="0" fontId="82" fillId="24" borderId="13" xfId="0" applyFont="1" applyFill="1" applyBorder="1" applyAlignment="1">
      <alignment horizontal="center" vertical="center"/>
    </xf>
    <xf numFmtId="14" fontId="0" fillId="29" borderId="13" xfId="0" applyNumberFormat="1" applyFill="1" applyBorder="1" applyAlignment="1">
      <alignment horizontal="center" vertical="center"/>
    </xf>
    <xf numFmtId="0" fontId="0" fillId="29" borderId="13" xfId="0" applyFill="1" applyBorder="1"/>
    <xf numFmtId="0" fontId="0" fillId="29" borderId="17" xfId="0" applyFill="1" applyBorder="1"/>
    <xf numFmtId="0" fontId="82" fillId="29" borderId="13" xfId="0" applyFont="1" applyFill="1" applyBorder="1" applyAlignment="1">
      <alignment horizontal="center" vertical="center"/>
    </xf>
    <xf numFmtId="0" fontId="0" fillId="29" borderId="26" xfId="0" applyFill="1" applyBorder="1" applyAlignment="1">
      <alignment vertical="center"/>
    </xf>
    <xf numFmtId="0" fontId="0" fillId="29" borderId="5" xfId="0" applyFill="1" applyBorder="1" applyAlignment="1">
      <alignment vertical="center"/>
    </xf>
    <xf numFmtId="0" fontId="82" fillId="29" borderId="5" xfId="0" applyFont="1" applyFill="1" applyBorder="1" applyAlignment="1">
      <alignment horizontal="center" vertical="center"/>
    </xf>
    <xf numFmtId="0" fontId="0" fillId="29" borderId="13" xfId="0" applyFill="1" applyBorder="1" applyAlignment="1">
      <alignment horizontal="center" vertical="center"/>
    </xf>
    <xf numFmtId="0" fontId="0" fillId="29" borderId="13" xfId="0" applyFill="1" applyBorder="1" applyAlignment="1">
      <alignment vertical="center"/>
    </xf>
    <xf numFmtId="0" fontId="0" fillId="0" borderId="18" xfId="0" applyBorder="1" applyAlignment="1">
      <alignment horizontal="left" vertical="center" wrapText="1"/>
    </xf>
    <xf numFmtId="0" fontId="71" fillId="35" borderId="5" xfId="0" applyFont="1" applyFill="1" applyBorder="1"/>
    <xf numFmtId="0" fontId="71" fillId="35" borderId="12" xfId="0" applyFont="1" applyFill="1" applyBorder="1"/>
    <xf numFmtId="0" fontId="73" fillId="0" borderId="13" xfId="0" applyFont="1" applyBorder="1" applyAlignment="1">
      <alignment vertical="center"/>
    </xf>
    <xf numFmtId="0" fontId="73" fillId="0" borderId="5" xfId="0" applyFont="1" applyBorder="1"/>
    <xf numFmtId="0" fontId="72" fillId="35" borderId="18" xfId="0" applyFont="1" applyFill="1" applyBorder="1" applyAlignment="1">
      <alignment vertical="top" wrapText="1"/>
    </xf>
    <xf numFmtId="0" fontId="82" fillId="0" borderId="18" xfId="0" applyFont="1" applyBorder="1" applyAlignment="1">
      <alignment vertical="top" wrapText="1"/>
    </xf>
    <xf numFmtId="0" fontId="72" fillId="11" borderId="18" xfId="0" applyFont="1" applyFill="1" applyBorder="1" applyAlignment="1">
      <alignment vertical="top" wrapText="1"/>
    </xf>
    <xf numFmtId="0" fontId="72" fillId="11" borderId="38" xfId="0" applyFont="1" applyFill="1" applyBorder="1" applyAlignment="1">
      <alignment vertical="top" wrapText="1"/>
    </xf>
    <xf numFmtId="0" fontId="82" fillId="0" borderId="5" xfId="0" applyFont="1" applyBorder="1" applyAlignment="1">
      <alignment vertical="top"/>
    </xf>
    <xf numFmtId="0" fontId="86" fillId="0" borderId="5" xfId="0" applyFont="1" applyBorder="1" applyAlignment="1">
      <alignment horizontal="left" vertical="top"/>
    </xf>
    <xf numFmtId="0" fontId="87" fillId="0" borderId="5" xfId="0" applyFont="1" applyBorder="1" applyAlignment="1">
      <alignment vertical="top"/>
    </xf>
    <xf numFmtId="0" fontId="33" fillId="0" borderId="5" xfId="0" applyFont="1" applyBorder="1" applyAlignment="1">
      <alignment horizontal="center" vertical="center"/>
    </xf>
    <xf numFmtId="0" fontId="82" fillId="35" borderId="13" xfId="0" applyFont="1" applyFill="1" applyBorder="1" applyAlignment="1">
      <alignment vertical="top"/>
    </xf>
    <xf numFmtId="0" fontId="0" fillId="36" borderId="0" xfId="0" applyFill="1" applyAlignment="1">
      <alignment vertical="top" wrapText="1"/>
    </xf>
    <xf numFmtId="0" fontId="0" fillId="36" borderId="0" xfId="0" applyFill="1" applyAlignment="1">
      <alignment vertical="top"/>
    </xf>
    <xf numFmtId="0" fontId="0" fillId="36" borderId="0" xfId="0" applyFill="1" applyAlignment="1">
      <alignment horizontal="center" vertical="top"/>
    </xf>
    <xf numFmtId="16" fontId="0" fillId="0" borderId="0" xfId="0" applyNumberFormat="1" applyAlignment="1">
      <alignment horizontal="center" vertical="top"/>
    </xf>
    <xf numFmtId="0" fontId="88" fillId="0" borderId="0" xfId="0" applyFont="1" applyAlignment="1">
      <alignment vertical="top" wrapText="1"/>
    </xf>
    <xf numFmtId="0" fontId="89" fillId="0" borderId="0" xfId="0" applyFont="1"/>
    <xf numFmtId="0" fontId="89" fillId="37" borderId="0" xfId="0" applyFont="1" applyFill="1"/>
    <xf numFmtId="0" fontId="91" fillId="32" borderId="19" xfId="0" applyFont="1" applyFill="1" applyBorder="1" applyAlignment="1">
      <alignment wrapText="1"/>
    </xf>
    <xf numFmtId="0" fontId="92" fillId="5" borderId="19" xfId="0" applyFont="1" applyFill="1" applyBorder="1" applyAlignment="1">
      <alignment wrapText="1"/>
    </xf>
    <xf numFmtId="0" fontId="92" fillId="27" borderId="19" xfId="0" applyFont="1" applyFill="1" applyBorder="1" applyAlignment="1">
      <alignment wrapText="1"/>
    </xf>
    <xf numFmtId="0" fontId="92" fillId="38" borderId="19" xfId="0" applyFont="1" applyFill="1" applyBorder="1" applyAlignment="1">
      <alignment wrapText="1"/>
    </xf>
    <xf numFmtId="0" fontId="93" fillId="0" borderId="19" xfId="0" applyFont="1" applyBorder="1" applyAlignment="1">
      <alignment wrapText="1"/>
    </xf>
    <xf numFmtId="0" fontId="91" fillId="32" borderId="23" xfId="0" applyFont="1" applyFill="1" applyBorder="1" applyAlignment="1">
      <alignment wrapText="1"/>
    </xf>
    <xf numFmtId="0" fontId="92" fillId="5" borderId="23" xfId="0" applyFont="1" applyFill="1" applyBorder="1" applyAlignment="1">
      <alignment wrapText="1"/>
    </xf>
    <xf numFmtId="0" fontId="92" fillId="27" borderId="23" xfId="0" applyFont="1" applyFill="1" applyBorder="1" applyAlignment="1">
      <alignment wrapText="1"/>
    </xf>
    <xf numFmtId="0" fontId="92" fillId="38" borderId="23" xfId="0" applyFont="1" applyFill="1" applyBorder="1" applyAlignment="1">
      <alignment wrapText="1"/>
    </xf>
    <xf numFmtId="0" fontId="48" fillId="0" borderId="23" xfId="0" applyFont="1" applyBorder="1" applyAlignment="1">
      <alignment wrapText="1"/>
    </xf>
    <xf numFmtId="0" fontId="93" fillId="0" borderId="23" xfId="0" applyFont="1" applyBorder="1" applyAlignment="1">
      <alignment wrapText="1"/>
    </xf>
    <xf numFmtId="0" fontId="92" fillId="0" borderId="23" xfId="0" applyFont="1" applyBorder="1" applyAlignment="1">
      <alignment wrapText="1"/>
    </xf>
    <xf numFmtId="0" fontId="92" fillId="0" borderId="19" xfId="0" applyFont="1" applyBorder="1" applyAlignment="1">
      <alignment wrapText="1"/>
    </xf>
    <xf numFmtId="0" fontId="89" fillId="27" borderId="23" xfId="0" applyFont="1" applyFill="1" applyBorder="1" applyAlignment="1">
      <alignment wrapText="1"/>
    </xf>
    <xf numFmtId="0" fontId="89" fillId="27" borderId="19" xfId="0" applyFont="1" applyFill="1" applyBorder="1" applyAlignment="1">
      <alignment wrapText="1"/>
    </xf>
    <xf numFmtId="0" fontId="90" fillId="31" borderId="15" xfId="0" applyFont="1" applyFill="1" applyBorder="1" applyAlignment="1">
      <alignment horizontal="center" vertical="center"/>
    </xf>
    <xf numFmtId="0" fontId="89" fillId="0" borderId="0" xfId="0" applyFont="1" applyAlignment="1">
      <alignment vertical="center"/>
    </xf>
    <xf numFmtId="0" fontId="89" fillId="37" borderId="0" xfId="0" applyFont="1" applyFill="1" applyAlignment="1">
      <alignment vertical="center"/>
    </xf>
    <xf numFmtId="0" fontId="91" fillId="32" borderId="5" xfId="0" applyFont="1" applyFill="1" applyBorder="1" applyAlignment="1">
      <alignment vertical="center" wrapText="1"/>
    </xf>
    <xf numFmtId="0" fontId="91" fillId="32" borderId="12" xfId="0" applyFont="1" applyFill="1" applyBorder="1" applyAlignment="1">
      <alignment vertical="center" wrapText="1"/>
    </xf>
    <xf numFmtId="0" fontId="85" fillId="5" borderId="7" xfId="0" applyFont="1" applyFill="1" applyBorder="1" applyAlignment="1">
      <alignment vertical="center"/>
    </xf>
    <xf numFmtId="0" fontId="90" fillId="31" borderId="40" xfId="0" applyFont="1" applyFill="1" applyBorder="1" applyAlignment="1">
      <alignment horizontal="center" vertical="center"/>
    </xf>
    <xf numFmtId="0" fontId="85" fillId="0" borderId="7" xfId="0" applyFont="1" applyBorder="1" applyAlignment="1">
      <alignment vertical="top"/>
    </xf>
    <xf numFmtId="0" fontId="83" fillId="0" borderId="40" xfId="0" applyFont="1" applyBorder="1" applyAlignment="1">
      <alignment vertical="top" wrapText="1"/>
    </xf>
    <xf numFmtId="0" fontId="83" fillId="0" borderId="40" xfId="0" applyFont="1" applyBorder="1" applyAlignment="1">
      <alignment vertical="top"/>
    </xf>
    <xf numFmtId="0" fontId="66" fillId="0" borderId="40" xfId="0" applyFont="1" applyBorder="1" applyAlignment="1">
      <alignment vertical="top"/>
    </xf>
    <xf numFmtId="0" fontId="85" fillId="5" borderId="7" xfId="0" applyFont="1" applyFill="1" applyBorder="1" applyAlignment="1">
      <alignment vertical="top"/>
    </xf>
    <xf numFmtId="0" fontId="94" fillId="0" borderId="0" xfId="0" applyFont="1"/>
    <xf numFmtId="0" fontId="84" fillId="0" borderId="0" xfId="0" applyFont="1"/>
    <xf numFmtId="0" fontId="95" fillId="0" borderId="0" xfId="0" applyFont="1" applyAlignment="1">
      <alignment wrapText="1"/>
    </xf>
    <xf numFmtId="0" fontId="8" fillId="0" borderId="0" xfId="0" applyFont="1" applyAlignment="1">
      <alignment wrapText="1"/>
    </xf>
    <xf numFmtId="0" fontId="8" fillId="0" borderId="4" xfId="0" applyFont="1" applyBorder="1" applyAlignment="1">
      <alignment wrapText="1"/>
    </xf>
    <xf numFmtId="0" fontId="84" fillId="0" borderId="7" xfId="0" applyFont="1" applyBorder="1"/>
    <xf numFmtId="0" fontId="84" fillId="0" borderId="40" xfId="0" applyFont="1" applyBorder="1"/>
    <xf numFmtId="0" fontId="85" fillId="5" borderId="7" xfId="0" applyFont="1" applyFill="1" applyBorder="1" applyAlignment="1">
      <alignment horizontal="left" vertical="top"/>
    </xf>
    <xf numFmtId="0" fontId="85" fillId="39" borderId="40" xfId="0" applyFont="1" applyFill="1" applyBorder="1" applyAlignment="1">
      <alignment horizontal="left" vertical="top"/>
    </xf>
    <xf numFmtId="0" fontId="85" fillId="32" borderId="7" xfId="0" applyFont="1" applyFill="1" applyBorder="1" applyAlignment="1">
      <alignment horizontal="left" vertical="top"/>
    </xf>
    <xf numFmtId="0" fontId="85" fillId="0" borderId="7" xfId="0" applyFont="1" applyBorder="1" applyAlignment="1">
      <alignment horizontal="left" vertical="top"/>
    </xf>
    <xf numFmtId="0" fontId="83" fillId="0" borderId="40" xfId="0" applyFont="1" applyBorder="1" applyAlignment="1">
      <alignment horizontal="left" vertical="top"/>
    </xf>
    <xf numFmtId="0" fontId="66" fillId="0" borderId="40" xfId="0" applyFont="1" applyBorder="1" applyAlignment="1">
      <alignment horizontal="left" vertical="top"/>
    </xf>
    <xf numFmtId="0" fontId="66" fillId="0" borderId="40" xfId="0" applyFont="1" applyBorder="1" applyAlignment="1">
      <alignment horizontal="left" vertical="top" wrapText="1"/>
    </xf>
    <xf numFmtId="0" fontId="85" fillId="0" borderId="20" xfId="0" applyFont="1" applyBorder="1" applyAlignment="1">
      <alignment horizontal="left" vertical="top"/>
    </xf>
    <xf numFmtId="0" fontId="85" fillId="39" borderId="15" xfId="0" applyFont="1" applyFill="1" applyBorder="1" applyAlignment="1">
      <alignment horizontal="left" vertical="top"/>
    </xf>
    <xf numFmtId="0" fontId="83" fillId="0" borderId="15" xfId="0" applyFont="1" applyBorder="1" applyAlignment="1">
      <alignment horizontal="left" vertical="top" wrapText="1"/>
    </xf>
    <xf numFmtId="0" fontId="83" fillId="0" borderId="15" xfId="0" applyFont="1" applyBorder="1" applyAlignment="1">
      <alignment horizontal="left" vertical="top"/>
    </xf>
    <xf numFmtId="0" fontId="66" fillId="0" borderId="15" xfId="0" applyFont="1" applyBorder="1" applyAlignment="1">
      <alignment horizontal="left" vertical="top"/>
    </xf>
    <xf numFmtId="0" fontId="85" fillId="0" borderId="5" xfId="0" applyFont="1" applyBorder="1" applyAlignment="1">
      <alignment horizontal="left" vertical="top"/>
    </xf>
    <xf numFmtId="0" fontId="85" fillId="39" borderId="19" xfId="0" applyFont="1" applyFill="1" applyBorder="1" applyAlignment="1">
      <alignment horizontal="left" vertical="top"/>
    </xf>
    <xf numFmtId="0" fontId="83" fillId="0" borderId="19" xfId="0" applyFont="1" applyBorder="1" applyAlignment="1">
      <alignment horizontal="left" vertical="top" wrapText="1"/>
    </xf>
    <xf numFmtId="0" fontId="83" fillId="0" borderId="19" xfId="0" applyFont="1" applyBorder="1" applyAlignment="1">
      <alignment horizontal="left" vertical="top"/>
    </xf>
    <xf numFmtId="0" fontId="83" fillId="0" borderId="18" xfId="0" applyFont="1" applyBorder="1" applyAlignment="1">
      <alignment horizontal="left" vertical="top" wrapText="1"/>
    </xf>
    <xf numFmtId="0" fontId="83" fillId="0" borderId="13" xfId="0" applyFont="1" applyBorder="1" applyAlignment="1">
      <alignment horizontal="left" vertical="top"/>
    </xf>
    <xf numFmtId="0" fontId="66" fillId="0" borderId="19" xfId="0" applyFont="1" applyBorder="1" applyAlignment="1">
      <alignment horizontal="left" vertical="top"/>
    </xf>
    <xf numFmtId="0" fontId="85" fillId="0" borderId="12" xfId="0" applyFont="1" applyBorder="1" applyAlignment="1">
      <alignment horizontal="left" vertical="top"/>
    </xf>
    <xf numFmtId="0" fontId="85" fillId="39" borderId="23" xfId="0" applyFont="1" applyFill="1" applyBorder="1" applyAlignment="1">
      <alignment horizontal="left" vertical="top"/>
    </xf>
    <xf numFmtId="0" fontId="83" fillId="0" borderId="23" xfId="0" applyFont="1" applyBorder="1" applyAlignment="1">
      <alignment horizontal="left" vertical="top" wrapText="1"/>
    </xf>
    <xf numFmtId="0" fontId="83" fillId="0" borderId="23" xfId="0" applyFont="1" applyBorder="1" applyAlignment="1">
      <alignment horizontal="left" vertical="top"/>
    </xf>
    <xf numFmtId="0" fontId="83" fillId="0" borderId="22" xfId="0" applyFont="1" applyBorder="1" applyAlignment="1">
      <alignment horizontal="left" vertical="top" wrapText="1"/>
    </xf>
    <xf numFmtId="0" fontId="83" fillId="0" borderId="5" xfId="0" applyFont="1" applyBorder="1" applyAlignment="1">
      <alignment horizontal="left" vertical="top"/>
    </xf>
    <xf numFmtId="0" fontId="66" fillId="0" borderId="23" xfId="0" applyFont="1" applyBorder="1" applyAlignment="1">
      <alignment horizontal="left" vertical="top"/>
    </xf>
    <xf numFmtId="0" fontId="0" fillId="6" borderId="5" xfId="0" applyFill="1" applyBorder="1" applyAlignment="1">
      <alignment horizontal="center" vertical="top"/>
    </xf>
    <xf numFmtId="0" fontId="0" fillId="6" borderId="5" xfId="0" applyFill="1" applyBorder="1" applyAlignment="1">
      <alignment vertical="top"/>
    </xf>
    <xf numFmtId="0" fontId="0" fillId="6" borderId="5" xfId="0" applyFill="1" applyBorder="1" applyAlignment="1">
      <alignment horizontal="left" vertical="top"/>
    </xf>
    <xf numFmtId="0" fontId="0" fillId="6" borderId="14" xfId="0" applyFill="1" applyBorder="1" applyAlignment="1">
      <alignment vertical="top"/>
    </xf>
    <xf numFmtId="0" fontId="90" fillId="31" borderId="12" xfId="0" applyFont="1" applyFill="1" applyBorder="1" applyAlignment="1">
      <alignment horizontal="center" vertical="center"/>
    </xf>
    <xf numFmtId="0" fontId="96" fillId="0" borderId="40" xfId="0" applyFont="1" applyBorder="1" applyAlignment="1">
      <alignment vertical="top" wrapText="1"/>
    </xf>
    <xf numFmtId="0" fontId="85" fillId="8" borderId="7" xfId="0" applyFont="1" applyFill="1" applyBorder="1" applyAlignment="1">
      <alignment vertical="top"/>
    </xf>
    <xf numFmtId="0" fontId="83" fillId="8" borderId="40" xfId="0" applyFont="1" applyFill="1" applyBorder="1" applyAlignment="1">
      <alignment vertical="top" wrapText="1"/>
    </xf>
    <xf numFmtId="0" fontId="83" fillId="8" borderId="40" xfId="0" applyFont="1" applyFill="1" applyBorder="1" applyAlignment="1">
      <alignment vertical="top"/>
    </xf>
    <xf numFmtId="0" fontId="96" fillId="8" borderId="40" xfId="0" applyFont="1" applyFill="1" applyBorder="1" applyAlignment="1">
      <alignment vertical="top" wrapText="1"/>
    </xf>
    <xf numFmtId="0" fontId="85" fillId="5" borderId="3" xfId="0" applyFont="1" applyFill="1" applyBorder="1" applyAlignment="1">
      <alignment vertical="top" wrapText="1"/>
    </xf>
    <xf numFmtId="0" fontId="85" fillId="5" borderId="42" xfId="0" applyFont="1" applyFill="1" applyBorder="1" applyAlignment="1">
      <alignment vertical="top" wrapText="1"/>
    </xf>
    <xf numFmtId="0" fontId="90" fillId="31" borderId="6" xfId="0" applyFont="1" applyFill="1" applyBorder="1" applyAlignment="1">
      <alignment horizontal="center" vertical="center"/>
    </xf>
    <xf numFmtId="0" fontId="90" fillId="31" borderId="7" xfId="0" applyFont="1" applyFill="1" applyBorder="1" applyAlignment="1">
      <alignment horizontal="center" vertical="center"/>
    </xf>
    <xf numFmtId="0" fontId="90" fillId="31" borderId="6" xfId="0" applyFont="1" applyFill="1" applyBorder="1" applyAlignment="1">
      <alignment horizontal="center" vertical="center" wrapText="1"/>
    </xf>
    <xf numFmtId="0" fontId="90" fillId="31" borderId="7" xfId="0" applyFont="1" applyFill="1" applyBorder="1" applyAlignment="1">
      <alignment horizontal="center" vertical="center" wrapText="1"/>
    </xf>
    <xf numFmtId="0" fontId="90" fillId="31" borderId="9" xfId="0" applyFont="1" applyFill="1" applyBorder="1" applyAlignment="1">
      <alignment horizontal="center" vertical="center"/>
    </xf>
    <xf numFmtId="0" fontId="90" fillId="31" borderId="43" xfId="0" applyFont="1" applyFill="1" applyBorder="1" applyAlignment="1">
      <alignment horizontal="center" vertical="center"/>
    </xf>
    <xf numFmtId="0" fontId="90" fillId="31" borderId="10" xfId="0" applyFont="1" applyFill="1" applyBorder="1" applyAlignment="1">
      <alignment horizontal="center" vertical="center" wrapText="1"/>
    </xf>
    <xf numFmtId="0" fontId="90" fillId="31" borderId="40" xfId="0" applyFont="1" applyFill="1" applyBorder="1" applyAlignment="1">
      <alignment horizontal="center" vertical="center" wrapText="1"/>
    </xf>
    <xf numFmtId="0" fontId="90" fillId="31" borderId="5" xfId="0" applyFont="1" applyFill="1" applyBorder="1" applyAlignment="1">
      <alignment horizontal="center" vertical="center"/>
    </xf>
    <xf numFmtId="0" fontId="85" fillId="5" borderId="3" xfId="0" applyFont="1" applyFill="1" applyBorder="1" applyAlignment="1">
      <alignment vertical="center" wrapText="1"/>
    </xf>
    <xf numFmtId="0" fontId="85" fillId="5" borderId="41" xfId="0" applyFont="1" applyFill="1" applyBorder="1" applyAlignment="1">
      <alignment vertical="center" wrapText="1"/>
    </xf>
    <xf numFmtId="0" fontId="85" fillId="5" borderId="42" xfId="0" applyFont="1" applyFill="1" applyBorder="1" applyAlignment="1">
      <alignment vertical="center" wrapText="1"/>
    </xf>
    <xf numFmtId="0" fontId="67" fillId="0" borderId="0" xfId="0" applyFont="1" applyAlignment="1">
      <alignment vertical="top"/>
    </xf>
    <xf numFmtId="0" fontId="97" fillId="0" borderId="0" xfId="0" applyFont="1" applyAlignment="1">
      <alignment vertical="top"/>
    </xf>
    <xf numFmtId="0" fontId="98" fillId="0" borderId="0" xfId="0" applyFont="1" applyAlignment="1">
      <alignment vertical="top"/>
    </xf>
    <xf numFmtId="0" fontId="100" fillId="0" borderId="0" xfId="0" applyFont="1" applyAlignment="1">
      <alignment vertical="top"/>
    </xf>
    <xf numFmtId="0" fontId="101" fillId="40" borderId="27" xfId="0" applyFont="1" applyFill="1" applyBorder="1" applyAlignment="1">
      <alignment horizontal="center" vertical="center" wrapText="1"/>
    </xf>
    <xf numFmtId="0" fontId="67" fillId="41" borderId="27" xfId="0" applyFont="1" applyFill="1" applyBorder="1" applyAlignment="1">
      <alignment vertical="top"/>
    </xf>
    <xf numFmtId="0" fontId="67" fillId="0" borderId="27" xfId="0" applyFont="1" applyBorder="1" applyAlignment="1">
      <alignment vertical="top"/>
    </xf>
    <xf numFmtId="0" fontId="67" fillId="0" borderId="27" xfId="0" applyFont="1" applyBorder="1" applyAlignment="1">
      <alignment horizontal="center" vertical="top"/>
    </xf>
    <xf numFmtId="165" fontId="67" fillId="0" borderId="27" xfId="0" applyNumberFormat="1" applyFont="1" applyBorder="1" applyAlignment="1">
      <alignment horizontal="center" vertical="top"/>
    </xf>
    <xf numFmtId="0" fontId="67" fillId="6" borderId="27" xfId="0" applyFont="1" applyFill="1" applyBorder="1" applyAlignment="1">
      <alignment vertical="top"/>
    </xf>
    <xf numFmtId="0" fontId="67" fillId="42" borderId="27" xfId="0" applyFont="1" applyFill="1" applyBorder="1" applyAlignment="1">
      <alignment vertical="top"/>
    </xf>
    <xf numFmtId="0" fontId="67" fillId="43" borderId="27" xfId="0" applyFont="1" applyFill="1" applyBorder="1" applyAlignment="1">
      <alignment vertical="top"/>
    </xf>
    <xf numFmtId="0" fontId="67" fillId="44" borderId="27" xfId="0" applyFont="1" applyFill="1" applyBorder="1" applyAlignment="1">
      <alignment vertical="top"/>
    </xf>
    <xf numFmtId="0" fontId="99" fillId="45" borderId="27" xfId="0" applyFont="1" applyFill="1" applyBorder="1" applyAlignment="1">
      <alignment vertical="top"/>
    </xf>
    <xf numFmtId="0" fontId="99" fillId="45" borderId="27" xfId="0" applyFont="1" applyFill="1" applyBorder="1" applyAlignment="1">
      <alignment horizontal="center" vertical="top"/>
    </xf>
    <xf numFmtId="165" fontId="99" fillId="45" borderId="27" xfId="0" applyNumberFormat="1" applyFont="1" applyFill="1" applyBorder="1" applyAlignment="1">
      <alignment horizontal="center" vertical="top"/>
    </xf>
    <xf numFmtId="166" fontId="67" fillId="0" borderId="27" xfId="0" applyNumberFormat="1" applyFont="1" applyBorder="1" applyAlignment="1">
      <alignment horizontal="center" vertical="top"/>
    </xf>
    <xf numFmtId="9" fontId="67" fillId="0" borderId="27" xfId="0" applyNumberFormat="1" applyFont="1" applyBorder="1" applyAlignment="1">
      <alignment horizontal="center" vertical="top"/>
    </xf>
    <xf numFmtId="166" fontId="99" fillId="45" borderId="27" xfId="0" applyNumberFormat="1" applyFont="1" applyFill="1" applyBorder="1" applyAlignment="1">
      <alignment horizontal="center" vertical="top"/>
    </xf>
    <xf numFmtId="9" fontId="99" fillId="45" borderId="27" xfId="0" applyNumberFormat="1" applyFont="1" applyFill="1" applyBorder="1" applyAlignment="1">
      <alignment horizontal="center" vertical="top"/>
    </xf>
    <xf numFmtId="0" fontId="99" fillId="0" borderId="27" xfId="0" applyFont="1" applyBorder="1" applyAlignment="1">
      <alignment horizontal="center" vertical="top"/>
    </xf>
    <xf numFmtId="0" fontId="67" fillId="0" borderId="27" xfId="0" applyFont="1" applyBorder="1" applyAlignment="1">
      <alignment vertical="top" wrapText="1"/>
    </xf>
    <xf numFmtId="0" fontId="102" fillId="46" borderId="27" xfId="0" applyFont="1" applyFill="1" applyBorder="1" applyAlignment="1">
      <alignment horizontal="center" vertical="top" wrapText="1"/>
    </xf>
    <xf numFmtId="0" fontId="103" fillId="47" borderId="27" xfId="0" applyFont="1" applyFill="1" applyBorder="1" applyAlignment="1">
      <alignment horizontal="center" vertical="top" wrapText="1"/>
    </xf>
    <xf numFmtId="0" fontId="104" fillId="48" borderId="27" xfId="0" applyFont="1" applyFill="1" applyBorder="1" applyAlignment="1">
      <alignment horizontal="center" vertical="top" wrapText="1"/>
    </xf>
    <xf numFmtId="0" fontId="105" fillId="28" borderId="27" xfId="0" applyFont="1" applyFill="1" applyBorder="1" applyAlignment="1">
      <alignment horizontal="center" vertical="top" wrapText="1"/>
    </xf>
    <xf numFmtId="0" fontId="106" fillId="0" borderId="0" xfId="0" applyFont="1" applyAlignment="1">
      <alignment vertical="top"/>
    </xf>
    <xf numFmtId="0" fontId="1" fillId="4" borderId="1" xfId="0" applyFont="1" applyFill="1" applyBorder="1" applyAlignment="1">
      <alignment horizontal="left" vertical="top" wrapText="1"/>
    </xf>
    <xf numFmtId="0" fontId="1" fillId="4" borderId="2"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left" vertical="top"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61" fillId="2" borderId="1" xfId="0" applyFont="1" applyFill="1" applyBorder="1" applyAlignment="1">
      <alignment horizontal="center" vertical="center" wrapText="1"/>
    </xf>
    <xf numFmtId="0" fontId="61" fillId="2" borderId="1" xfId="0" applyFont="1" applyFill="1" applyBorder="1" applyAlignment="1">
      <alignment horizontal="center" vertical="center"/>
    </xf>
    <xf numFmtId="0" fontId="61" fillId="2" borderId="6" xfId="0" applyFont="1" applyFill="1" applyBorder="1" applyAlignment="1">
      <alignment horizontal="center" vertical="center" wrapText="1"/>
    </xf>
    <xf numFmtId="0" fontId="61" fillId="2" borderId="7" xfId="0" applyFont="1" applyFill="1" applyBorder="1" applyAlignment="1">
      <alignment horizontal="center" vertical="center" wrapText="1"/>
    </xf>
    <xf numFmtId="0" fontId="1" fillId="4" borderId="1" xfId="0" applyFont="1" applyFill="1" applyBorder="1" applyAlignment="1">
      <alignment horizontal="left" vertical="center"/>
    </xf>
    <xf numFmtId="0" fontId="1" fillId="3" borderId="1" xfId="0" applyFont="1" applyFill="1" applyBorder="1" applyAlignment="1">
      <alignment horizontal="left" vertical="center"/>
    </xf>
    <xf numFmtId="0" fontId="3" fillId="4" borderId="0" xfId="1" applyFill="1" applyAlignment="1">
      <alignment horizontal="center" vertical="center" wrapText="1"/>
    </xf>
    <xf numFmtId="0" fontId="76" fillId="31" borderId="6" xfId="0" applyFont="1" applyFill="1" applyBorder="1" applyAlignment="1">
      <alignment horizontal="center" vertical="center" wrapText="1"/>
    </xf>
    <xf numFmtId="0" fontId="76" fillId="31" borderId="7" xfId="0" applyFont="1" applyFill="1" applyBorder="1" applyAlignment="1">
      <alignment horizontal="center" vertical="center" wrapText="1"/>
    </xf>
    <xf numFmtId="0" fontId="7" fillId="5" borderId="3" xfId="0" applyFont="1" applyFill="1" applyBorder="1" applyAlignment="1">
      <alignment horizontal="left" vertical="top" wrapText="1"/>
    </xf>
    <xf numFmtId="0" fontId="7" fillId="5" borderId="4" xfId="0" applyFont="1" applyFill="1" applyBorder="1" applyAlignment="1">
      <alignment horizontal="left" vertical="top" wrapText="1"/>
    </xf>
    <xf numFmtId="0" fontId="7" fillId="32" borderId="3" xfId="0" applyFont="1" applyFill="1" applyBorder="1" applyAlignment="1">
      <alignment vertical="center" wrapText="1"/>
    </xf>
    <xf numFmtId="0" fontId="7" fillId="32" borderId="42" xfId="0" applyFont="1" applyFill="1" applyBorder="1" applyAlignment="1">
      <alignment vertical="center" wrapText="1"/>
    </xf>
    <xf numFmtId="0" fontId="7" fillId="32" borderId="3" xfId="0" applyFont="1" applyFill="1" applyBorder="1" applyAlignment="1">
      <alignment horizontal="left" vertical="top" wrapText="1"/>
    </xf>
    <xf numFmtId="0" fontId="7" fillId="32" borderId="4" xfId="0" applyFont="1" applyFill="1" applyBorder="1" applyAlignment="1">
      <alignment horizontal="left" vertical="top" wrapText="1"/>
    </xf>
    <xf numFmtId="0" fontId="7" fillId="5" borderId="8" xfId="0" applyFont="1" applyFill="1" applyBorder="1" applyAlignment="1">
      <alignment horizontal="left" vertical="top" wrapText="1"/>
    </xf>
    <xf numFmtId="0" fontId="76" fillId="31" borderId="6" xfId="0" applyFont="1" applyFill="1" applyBorder="1" applyAlignment="1">
      <alignment horizontal="center" vertical="center"/>
    </xf>
    <xf numFmtId="0" fontId="76" fillId="31" borderId="7" xfId="0" applyFont="1" applyFill="1" applyBorder="1" applyAlignment="1">
      <alignment horizontal="center" vertical="center"/>
    </xf>
    <xf numFmtId="0" fontId="76" fillId="31" borderId="3" xfId="0" applyFont="1" applyFill="1" applyBorder="1" applyAlignment="1">
      <alignment horizontal="center" vertical="center"/>
    </xf>
    <xf numFmtId="0" fontId="76" fillId="31" borderId="4" xfId="0" applyFont="1" applyFill="1" applyBorder="1" applyAlignment="1">
      <alignment horizontal="center" vertical="center"/>
    </xf>
    <xf numFmtId="0" fontId="7" fillId="5" borderId="5" xfId="0" applyFont="1" applyFill="1" applyBorder="1" applyAlignment="1">
      <alignment horizontal="left" vertical="top" wrapText="1"/>
    </xf>
    <xf numFmtId="0" fontId="61" fillId="2" borderId="6" xfId="0" applyFont="1" applyFill="1" applyBorder="1" applyAlignment="1">
      <alignment horizontal="center" vertical="center"/>
    </xf>
    <xf numFmtId="0" fontId="61" fillId="2" borderId="20" xfId="0" applyFont="1" applyFill="1" applyBorder="1" applyAlignment="1">
      <alignment horizontal="center" vertical="center"/>
    </xf>
    <xf numFmtId="0" fontId="63" fillId="4" borderId="2" xfId="0" applyFont="1" applyFill="1" applyBorder="1" applyAlignment="1">
      <alignment horizontal="left" vertical="top" wrapText="1"/>
    </xf>
    <xf numFmtId="0" fontId="63" fillId="4" borderId="3" xfId="0" applyFont="1" applyFill="1" applyBorder="1" applyAlignment="1">
      <alignment horizontal="left" vertical="top" wrapText="1"/>
    </xf>
    <xf numFmtId="0" fontId="63" fillId="4" borderId="4" xfId="0" applyFont="1" applyFill="1" applyBorder="1" applyAlignment="1">
      <alignment horizontal="left" vertical="top" wrapText="1"/>
    </xf>
    <xf numFmtId="0" fontId="63" fillId="3" borderId="2" xfId="0" applyFont="1" applyFill="1" applyBorder="1" applyAlignment="1">
      <alignment horizontal="left" vertical="top" wrapText="1"/>
    </xf>
    <xf numFmtId="0" fontId="63" fillId="3" borderId="3" xfId="0" applyFont="1" applyFill="1" applyBorder="1" applyAlignment="1">
      <alignment horizontal="left" vertical="top" wrapText="1"/>
    </xf>
    <xf numFmtId="0" fontId="63" fillId="3" borderId="4" xfId="0" applyFont="1" applyFill="1" applyBorder="1" applyAlignment="1">
      <alignment horizontal="left" vertical="top" wrapText="1"/>
    </xf>
    <xf numFmtId="0" fontId="61" fillId="30" borderId="1" xfId="0" applyFont="1" applyFill="1" applyBorder="1" applyAlignment="1">
      <alignment horizontal="center" vertical="center"/>
    </xf>
    <xf numFmtId="0" fontId="90" fillId="31" borderId="6" xfId="0" applyFont="1" applyFill="1" applyBorder="1" applyAlignment="1">
      <alignment horizontal="center" vertical="center"/>
    </xf>
    <xf numFmtId="0" fontId="90" fillId="31" borderId="20" xfId="0" applyFont="1" applyFill="1" applyBorder="1" applyAlignment="1">
      <alignment horizontal="center" vertical="center"/>
    </xf>
    <xf numFmtId="0" fontId="90" fillId="31" borderId="3" xfId="0" applyFont="1" applyFill="1" applyBorder="1" applyAlignment="1">
      <alignment horizontal="center" vertical="center"/>
    </xf>
    <xf numFmtId="0" fontId="90" fillId="31" borderId="4" xfId="0" applyFont="1" applyFill="1" applyBorder="1" applyAlignment="1">
      <alignment horizontal="center" vertical="center"/>
    </xf>
    <xf numFmtId="0" fontId="90" fillId="31" borderId="7" xfId="0" applyFont="1" applyFill="1" applyBorder="1" applyAlignment="1">
      <alignment horizontal="center" vertical="center"/>
    </xf>
    <xf numFmtId="0" fontId="90" fillId="39" borderId="6" xfId="0" applyFont="1" applyFill="1" applyBorder="1" applyAlignment="1">
      <alignment horizontal="center" vertical="center"/>
    </xf>
    <xf numFmtId="0" fontId="90" fillId="39" borderId="7" xfId="0" applyFont="1" applyFill="1" applyBorder="1" applyAlignment="1">
      <alignment horizontal="center" vertical="center"/>
    </xf>
    <xf numFmtId="0" fontId="90" fillId="31" borderId="6" xfId="0" applyFont="1" applyFill="1" applyBorder="1" applyAlignment="1">
      <alignment horizontal="center" vertical="center" wrapText="1"/>
    </xf>
    <xf numFmtId="0" fontId="90" fillId="31" borderId="7" xfId="0" applyFont="1" applyFill="1" applyBorder="1" applyAlignment="1">
      <alignment horizontal="center" vertical="center" wrapText="1"/>
    </xf>
    <xf numFmtId="0" fontId="85" fillId="32" borderId="3" xfId="0" applyFont="1" applyFill="1" applyBorder="1" applyAlignment="1">
      <alignment horizontal="left" vertical="top" wrapText="1"/>
    </xf>
    <xf numFmtId="0" fontId="85" fillId="32" borderId="42" xfId="0" applyFont="1" applyFill="1" applyBorder="1" applyAlignment="1">
      <alignment horizontal="left" vertical="top" wrapText="1"/>
    </xf>
    <xf numFmtId="0" fontId="85" fillId="5" borderId="3" xfId="0" applyFont="1" applyFill="1" applyBorder="1" applyAlignment="1">
      <alignment horizontal="left" vertical="top" wrapText="1"/>
    </xf>
    <xf numFmtId="0" fontId="85" fillId="5" borderId="42" xfId="0" applyFont="1" applyFill="1" applyBorder="1" applyAlignment="1">
      <alignment horizontal="left" vertical="top" wrapText="1"/>
    </xf>
    <xf numFmtId="0" fontId="1" fillId="2" borderId="19" xfId="0" applyFont="1" applyFill="1" applyBorder="1" applyAlignment="1">
      <alignment horizontal="center" vertical="center"/>
    </xf>
    <xf numFmtId="0" fontId="1" fillId="2" borderId="5" xfId="0" applyFont="1" applyFill="1" applyBorder="1" applyAlignment="1">
      <alignment horizontal="center" vertical="center"/>
    </xf>
  </cellXfs>
  <cellStyles count="2">
    <cellStyle name="Hyperlink" xfId="1" builtinId="8"/>
    <cellStyle name="Normal" xfId="0" builtinId="0"/>
  </cellStyles>
  <dxfs count="232">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theme="1" tint="4.9989318521683403E-2"/>
      </font>
      <fill>
        <patternFill patternType="solid">
          <bgColor theme="0" tint="-0.14999847407452621"/>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rgb="FF006100"/>
      </font>
      <fill>
        <patternFill>
          <bgColor rgb="FFC6EFCE"/>
        </patternFill>
      </fill>
    </dxf>
    <dxf>
      <font>
        <color rgb="FF7030A0"/>
      </font>
      <fill>
        <patternFill patternType="solid">
          <bgColor theme="8" tint="0.79998168889431442"/>
        </patternFill>
      </fill>
    </dxf>
    <dxf>
      <font>
        <color rgb="FF006100"/>
      </font>
      <fill>
        <patternFill>
          <bgColor rgb="FFC6EFCE"/>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theme="1" tint="4.9989318521683403E-2"/>
      </font>
      <fill>
        <patternFill patternType="solid">
          <bgColor theme="0" tint="-0.14999847407452621"/>
        </patternFill>
      </fill>
    </dxf>
    <dxf>
      <font>
        <color rgb="FF006100"/>
      </font>
      <fill>
        <patternFill>
          <bgColor rgb="FFC6EFCE"/>
        </patternFill>
      </fill>
    </dxf>
    <dxf>
      <font>
        <color theme="1" tint="4.9989318521683403E-2"/>
      </font>
      <fill>
        <patternFill patternType="solid">
          <bgColor theme="0" tint="-0.14999847407452621"/>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rgb="FF7030A0"/>
      </font>
      <fill>
        <patternFill patternType="solid">
          <bgColor theme="8" tint="0.79998168889431442"/>
        </patternFill>
      </fill>
    </dxf>
    <dxf>
      <font>
        <color rgb="FF7030A0"/>
      </font>
      <fill>
        <patternFill patternType="solid">
          <bgColor theme="8" tint="0.79998168889431442"/>
        </patternFill>
      </fill>
    </dxf>
    <dxf>
      <font>
        <color theme="1" tint="4.9989318521683403E-2"/>
      </font>
      <fill>
        <patternFill patternType="solid">
          <bgColor theme="0" tint="-0.14999847407452621"/>
        </patternFill>
      </fill>
    </dxf>
    <dxf>
      <font>
        <color rgb="FF006100"/>
      </font>
      <fill>
        <patternFill>
          <bgColor rgb="FFC6EFCE"/>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rgb="FF9C0006"/>
      </font>
      <fill>
        <patternFill>
          <bgColor rgb="FFFFC7CE"/>
        </patternFill>
      </fill>
    </dxf>
    <dxf>
      <font>
        <color theme="1" tint="4.9989318521683403E-2"/>
      </font>
      <fill>
        <patternFill patternType="solid">
          <bgColor theme="0" tint="-0.14999847407452621"/>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rgb="FF006100"/>
      </font>
      <fill>
        <patternFill>
          <bgColor rgb="FFC6EFCE"/>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1" tint="4.9989318521683403E-2"/>
      </font>
      <fill>
        <patternFill patternType="solid">
          <bgColor theme="0" tint="-0.14999847407452621"/>
        </patternFill>
      </fill>
    </dxf>
    <dxf>
      <font>
        <color rgb="FF9C0006"/>
      </font>
      <fill>
        <patternFill>
          <bgColor rgb="FFFFC7CE"/>
        </patternFill>
      </fill>
    </dxf>
    <dxf>
      <font>
        <color theme="4" tint="-0.249977111117893"/>
      </font>
      <fill>
        <patternFill patternType="solid">
          <bgColor theme="4" tint="0.79998168889431442"/>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rgb="FF9C0006"/>
      </font>
      <fill>
        <patternFill>
          <bgColor rgb="FFFFC7CE"/>
        </patternFill>
      </fill>
    </dxf>
    <dxf>
      <font>
        <color theme="4" tint="-0.249977111117893"/>
      </font>
      <fill>
        <patternFill patternType="solid">
          <bgColor theme="4" tint="0.79998168889431442"/>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rgb="FF9C0006"/>
      </font>
      <fill>
        <patternFill>
          <bgColor rgb="FFFFC7CE"/>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rgb="FF006100"/>
      </font>
      <fill>
        <patternFill>
          <bgColor rgb="FFC6EFCE"/>
        </patternFill>
      </fill>
    </dxf>
    <dxf>
      <font>
        <color theme="1" tint="4.9989318521683403E-2"/>
      </font>
      <fill>
        <patternFill patternType="solid">
          <bgColor theme="0" tint="-0.14999847407452621"/>
        </patternFill>
      </fill>
    </dxf>
    <dxf>
      <font>
        <color theme="4" tint="-0.249977111117893"/>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7030A0"/>
      </font>
      <fill>
        <patternFill patternType="solid">
          <bgColor theme="8"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theme="1" tint="4.9989318521683403E-2"/>
      </font>
      <fill>
        <patternFill patternType="solid">
          <bgColor theme="0" tint="-0.14999847407452621"/>
        </patternFill>
      </fill>
    </dxf>
    <dxf>
      <font>
        <color rgb="FF006100"/>
      </font>
      <fill>
        <patternFill>
          <bgColor rgb="FFC6EFCE"/>
        </patternFill>
      </fill>
    </dxf>
    <dxf>
      <font>
        <color theme="1" tint="4.9989318521683403E-2"/>
      </font>
      <fill>
        <patternFill patternType="solid">
          <bgColor theme="0" tint="-0.14999847407452621"/>
        </patternFill>
      </fill>
    </dxf>
    <dxf>
      <font>
        <color rgb="FF9C5700"/>
      </font>
      <fill>
        <patternFill>
          <bgColor rgb="FFFFEB9C"/>
        </patternFill>
      </fill>
    </dxf>
    <dxf>
      <font>
        <color rgb="FF7030A0"/>
      </font>
      <fill>
        <patternFill patternType="solid">
          <bgColor theme="8" tint="0.79998168889431442"/>
        </patternFill>
      </fill>
    </dxf>
    <dxf>
      <font>
        <color rgb="FF9C0006"/>
      </font>
      <fill>
        <patternFill>
          <bgColor rgb="FFFFC7CE"/>
        </patternFill>
      </fill>
    </dxf>
    <dxf>
      <font>
        <color theme="4" tint="-0.249977111117893"/>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1" tint="4.9989318521683403E-2"/>
      </font>
      <fill>
        <patternFill patternType="solid">
          <bgColor theme="0" tint="-0.14999847407452621"/>
        </patternFill>
      </fill>
    </dxf>
    <dxf>
      <font>
        <color rgb="FF7030A0"/>
      </font>
      <fill>
        <patternFill patternType="solid">
          <bgColor theme="8" tint="0.79998168889431442"/>
        </patternFill>
      </fill>
    </dxf>
    <dxf>
      <font>
        <color theme="4" tint="-0.249977111117893"/>
      </font>
      <fill>
        <patternFill patternType="solid">
          <bgColor theme="4" tint="0.79998168889431442"/>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theme="4" tint="-0.249977111117893"/>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7030A0"/>
      </font>
      <fill>
        <patternFill patternType="solid">
          <bgColor theme="8" tint="0.79998168889431442"/>
        </patternFill>
      </fill>
    </dxf>
    <dxf>
      <font>
        <color theme="1" tint="4.9989318521683403E-2"/>
      </font>
      <fill>
        <patternFill patternType="solid">
          <bgColor theme="0" tint="-0.14999847407452621"/>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9C5700"/>
      </font>
      <fill>
        <patternFill>
          <bgColor rgb="FFFFEB9C"/>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theme="4" tint="-0.249977111117893"/>
      </font>
      <fill>
        <patternFill patternType="solid">
          <bgColor theme="4" tint="0.79998168889431442"/>
        </patternFill>
      </fill>
    </dxf>
    <dxf>
      <font>
        <color rgb="FF9C0006"/>
      </font>
      <fill>
        <patternFill>
          <bgColor rgb="FFFFC7CE"/>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rgb="FF9C5700"/>
      </font>
      <fill>
        <patternFill>
          <bgColor rgb="FFFFEB9C"/>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theme="4" tint="-0.249977111117893"/>
      </font>
      <fill>
        <patternFill patternType="solid">
          <bgColor theme="4" tint="0.79998168889431442"/>
        </patternFill>
      </fill>
    </dxf>
    <dxf>
      <font>
        <color rgb="FF9C5700"/>
      </font>
      <fill>
        <patternFill>
          <bgColor rgb="FFFFEB9C"/>
        </patternFill>
      </fill>
    </dxf>
    <dxf>
      <font>
        <color rgb="FF9C0006"/>
      </font>
      <fill>
        <patternFill>
          <bgColor rgb="FFFFC7CE"/>
        </patternFill>
      </fill>
    </dxf>
    <dxf>
      <font>
        <color rgb="FF7030A0"/>
      </font>
      <fill>
        <patternFill patternType="solid">
          <bgColor theme="8"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theme="4" tint="-0.249977111117893"/>
      </font>
      <fill>
        <patternFill patternType="solid">
          <bgColor theme="4" tint="0.79998168889431442"/>
        </patternFill>
      </fill>
    </dxf>
    <dxf>
      <font>
        <color rgb="FF006100"/>
      </font>
      <fill>
        <patternFill>
          <bgColor rgb="FFC6EFCE"/>
        </patternFill>
      </fill>
    </dxf>
    <dxf>
      <font>
        <color theme="1" tint="4.9989318521683403E-2"/>
      </font>
      <fill>
        <patternFill patternType="solid">
          <bgColor theme="0" tint="-0.14999847407452621"/>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rgb="FF9C5700"/>
      </font>
      <fill>
        <patternFill>
          <bgColor rgb="FFFFEB9C"/>
        </patternFill>
      </fill>
    </dxf>
    <dxf>
      <font>
        <color rgb="FF006100"/>
      </font>
      <fill>
        <patternFill>
          <bgColor rgb="FFC6EFCE"/>
        </patternFill>
      </fill>
    </dxf>
    <dxf>
      <font>
        <color rgb="FF7030A0"/>
      </font>
      <fill>
        <patternFill patternType="solid">
          <bgColor theme="8" tint="0.79998168889431442"/>
        </patternFill>
      </fill>
    </dxf>
    <dxf>
      <font>
        <color rgb="FF9C0006"/>
      </font>
      <fill>
        <patternFill>
          <bgColor rgb="FFFFC7CE"/>
        </patternFill>
      </fill>
    </dxf>
    <dxf>
      <font>
        <color theme="4" tint="-0.249977111117893"/>
      </font>
      <fill>
        <patternFill patternType="solid">
          <bgColor theme="4" tint="0.79998168889431442"/>
        </patternFill>
      </fill>
    </dxf>
    <dxf>
      <font>
        <color theme="1" tint="4.9989318521683403E-2"/>
      </font>
      <fill>
        <patternFill patternType="solid">
          <bgColor theme="0" tint="-0.14999847407452621"/>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4" tint="-0.249977111117893"/>
      </font>
      <fill>
        <patternFill patternType="solid">
          <bgColor theme="4" tint="0.79998168889431442"/>
        </patternFill>
      </fill>
    </dxf>
    <dxf>
      <font>
        <color rgb="FF9C5700"/>
      </font>
      <fill>
        <patternFill>
          <bgColor rgb="FFFFEB9C"/>
        </patternFill>
      </fill>
    </dxf>
    <dxf>
      <font>
        <color rgb="FF7030A0"/>
      </font>
      <fill>
        <patternFill patternType="solid">
          <bgColor theme="8" tint="0.79998168889431442"/>
        </patternFill>
      </fill>
    </dxf>
    <dxf>
      <font>
        <color theme="1" tint="4.9989318521683403E-2"/>
      </font>
      <fill>
        <patternFill patternType="solid">
          <bgColor theme="0" tint="-0.14999847407452621"/>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7030A0"/>
      </font>
      <fill>
        <patternFill patternType="solid">
          <bgColor theme="8" tint="0.79998168889431442"/>
        </patternFill>
      </fill>
    </dxf>
    <dxf>
      <font>
        <color theme="4" tint="-0.249977111117893"/>
      </font>
      <fill>
        <patternFill patternType="solid">
          <bgColor theme="4" tint="0.79998168889431442"/>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FFC000"/>
      </font>
      <fill>
        <patternFill patternType="solid">
          <bgColor rgb="FFFFFFFF"/>
        </patternFill>
      </fill>
    </dxf>
    <dxf>
      <font>
        <color theme="0" tint="-0.34998626667073579"/>
      </font>
      <fill>
        <patternFill patternType="solid">
          <bgColor theme="0"/>
        </patternFill>
      </fill>
    </dxf>
    <dxf>
      <font>
        <color rgb="FF9C0006"/>
      </font>
    </dxf>
    <dxf>
      <font>
        <color theme="2" tint="-9.9978637043366805E-2"/>
      </font>
      <fill>
        <patternFill patternType="solid">
          <bgColor theme="0"/>
        </patternFill>
      </fill>
    </dxf>
    <dxf>
      <font>
        <color theme="5"/>
      </font>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b/>
        <i val="0"/>
        <color rgb="FF1F4E78"/>
      </font>
      <fill>
        <patternFill>
          <bgColor rgb="FFDDEBF7"/>
        </patternFill>
      </fill>
    </dxf>
    <dxf>
      <font>
        <b/>
        <i val="0"/>
        <color rgb="FF404040"/>
      </font>
      <fill>
        <patternFill>
          <bgColor rgb="FFD9D9D9"/>
        </patternFill>
      </fill>
    </dxf>
    <dxf>
      <font>
        <b/>
        <i val="0"/>
        <color rgb="FF9C0006"/>
      </font>
      <fill>
        <patternFill>
          <bgColor rgb="FFFFC7CE"/>
        </patternFill>
      </fill>
    </dxf>
    <dxf>
      <font>
        <b/>
        <i val="0"/>
        <color rgb="FF9C5700"/>
      </font>
      <fill>
        <patternFill>
          <bgColor rgb="FFFFEB9C"/>
        </patternFill>
      </fill>
    </dxf>
    <dxf>
      <font>
        <b/>
        <i val="0"/>
        <color rgb="FF006100"/>
      </font>
      <fill>
        <patternFill>
          <bgColor rgb="FFC6EFCE"/>
        </patternFill>
      </fill>
    </dxf>
  </dxfs>
  <tableStyles count="0" defaultTableStyle="TableStyleMedium2" defaultPivotStyle="PivotStyleLight16"/>
  <colors>
    <mruColors>
      <color rgb="FFFFF7C9"/>
      <color rgb="FFF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 Target="richData/rdrichvalue.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a:pPr>
            <a:r>
              <a:rPr lang="th-TH"/>
              <a:t>สัดส่วนสถานะ </a:t>
            </a:r>
            <a:r>
              <a:rPr lang="en-US"/>
              <a:t>Test Case (</a:t>
            </a:r>
            <a:r>
              <a:rPr lang="th-TH"/>
              <a:t>ทั้งหมด 121 ข้อ)</a:t>
            </a:r>
          </a:p>
        </c:rich>
      </c:tx>
      <c:overlay val="0"/>
    </c:title>
    <c:autoTitleDeleted val="0"/>
    <c:plotArea>
      <c:layout/>
      <c:pieChart>
        <c:varyColors val="1"/>
        <c:ser>
          <c:idx val="0"/>
          <c:order val="0"/>
          <c:dPt>
            <c:idx val="0"/>
            <c:bubble3D val="0"/>
            <c:spPr>
              <a:solidFill>
                <a:srgbClr val="70AD47"/>
              </a:solidFill>
            </c:spPr>
            <c:extLst>
              <c:ext xmlns:c16="http://schemas.microsoft.com/office/drawing/2014/chart" uri="{C3380CC4-5D6E-409C-BE32-E72D297353CC}">
                <c16:uniqueId val="{00000003-792E-44D7-B7C2-EDBDF65FC597}"/>
              </c:ext>
            </c:extLst>
          </c:dPt>
          <c:dPt>
            <c:idx val="1"/>
            <c:bubble3D val="0"/>
            <c:spPr>
              <a:solidFill>
                <a:srgbClr val="FFC000"/>
              </a:solidFill>
            </c:spPr>
            <c:extLst>
              <c:ext xmlns:c16="http://schemas.microsoft.com/office/drawing/2014/chart" uri="{C3380CC4-5D6E-409C-BE32-E72D297353CC}">
                <c16:uniqueId val="{00000004-792E-44D7-B7C2-EDBDF65FC597}"/>
              </c:ext>
            </c:extLst>
          </c:dPt>
          <c:dPt>
            <c:idx val="2"/>
            <c:bubble3D val="0"/>
            <c:spPr>
              <a:solidFill>
                <a:srgbClr val="E15759"/>
              </a:solidFill>
            </c:spPr>
            <c:extLst>
              <c:ext xmlns:c16="http://schemas.microsoft.com/office/drawing/2014/chart" uri="{C3380CC4-5D6E-409C-BE32-E72D297353CC}">
                <c16:uniqueId val="{00000005-792E-44D7-B7C2-EDBDF65FC597}"/>
              </c:ext>
            </c:extLst>
          </c:dPt>
          <c:dPt>
            <c:idx val="3"/>
            <c:bubble3D val="0"/>
            <c:spPr>
              <a:solidFill>
                <a:srgbClr val="A5A5A5"/>
              </a:solidFill>
            </c:spPr>
            <c:extLst>
              <c:ext xmlns:c16="http://schemas.microsoft.com/office/drawing/2014/chart" uri="{C3380CC4-5D6E-409C-BE32-E72D297353CC}">
                <c16:uniqueId val="{00000006-792E-44D7-B7C2-EDBDF65FC597}"/>
              </c:ext>
            </c:extLst>
          </c:dPt>
          <c:dPt>
            <c:idx val="4"/>
            <c:bubble3D val="0"/>
            <c:spPr>
              <a:solidFill>
                <a:srgbClr val="5B9BD5"/>
              </a:solidFill>
            </c:spPr>
            <c:extLst>
              <c:ext xmlns:c16="http://schemas.microsoft.com/office/drawing/2014/chart" uri="{C3380CC4-5D6E-409C-BE32-E72D297353CC}">
                <c16:uniqueId val="{00000007-792E-44D7-B7C2-EDBDF65FC597}"/>
              </c:ext>
            </c:extLst>
          </c:dPt>
          <c:dLbls>
            <c:spPr>
              <a:noFill/>
              <a:ln>
                <a:noFill/>
              </a:ln>
              <a:effectLst/>
            </c:spPr>
            <c:showLegendKey val="0"/>
            <c:showVal val="1"/>
            <c:showCatName val="0"/>
            <c:showSerName val="0"/>
            <c:showPercent val="1"/>
            <c:showBubbleSize val="0"/>
            <c:separator> | </c:separator>
            <c:showLeaderLines val="0"/>
            <c:extLst>
              <c:ext xmlns:c15="http://schemas.microsoft.com/office/drawing/2012/chart" uri="{CE6537A1-D6FC-4f65-9D91-7224C49458BB}"/>
            </c:extLst>
          </c:dLbls>
          <c:cat>
            <c:strRef>
              <c:f>'สรุปผล Station-OPD'!$B$5:$B$9</c:f>
              <c:strCache>
                <c:ptCount val="5"/>
                <c:pt idx="0">
                  <c:v>Pass</c:v>
                </c:pt>
                <c:pt idx="1">
                  <c:v>Pass with Condition</c:v>
                </c:pt>
                <c:pt idx="2">
                  <c:v>Fail</c:v>
                </c:pt>
                <c:pt idx="3">
                  <c:v>Skip</c:v>
                </c:pt>
                <c:pt idx="4">
                  <c:v>ยังไม่ทดสอบ (เหลือ)</c:v>
                </c:pt>
              </c:strCache>
            </c:strRef>
          </c:cat>
          <c:val>
            <c:numRef>
              <c:f>'สรุปผล Station-OPD'!$C$5:$C$9</c:f>
              <c:numCache>
                <c:formatCode>General</c:formatCode>
                <c:ptCount val="5"/>
                <c:pt idx="0">
                  <c:v>16</c:v>
                </c:pt>
                <c:pt idx="1">
                  <c:v>6</c:v>
                </c:pt>
                <c:pt idx="2">
                  <c:v>11</c:v>
                </c:pt>
                <c:pt idx="3">
                  <c:v>13</c:v>
                </c:pt>
                <c:pt idx="4">
                  <c:v>75</c:v>
                </c:pt>
              </c:numCache>
            </c:numRef>
          </c:val>
          <c:extLst>
            <c:ext xmlns:c16="http://schemas.microsoft.com/office/drawing/2014/chart" uri="{C3380CC4-5D6E-409C-BE32-E72D297353CC}">
              <c16:uniqueId val="{00000002-792E-44D7-B7C2-EDBDF65FC597}"/>
            </c:ext>
          </c:extLst>
        </c:ser>
        <c:dLbls>
          <c:showLegendKey val="0"/>
          <c:showVal val="0"/>
          <c:showCatName val="0"/>
          <c:showSerName val="0"/>
          <c:showPercent val="0"/>
          <c:showBubbleSize val="0"/>
          <c:showLeaderLines val="0"/>
        </c:dLbls>
        <c:firstSliceAng val="0"/>
      </c:pieChart>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sz="1500">
          <a:latin typeface="TH SarabunPSK"/>
          <a:ea typeface="TH SarabunPSK"/>
          <a:cs typeface="TH SarabunPSK"/>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a:pPr>
            <a:r>
              <a:rPr lang="th-TH"/>
              <a:t>สถานะรายหมวด</a:t>
            </a:r>
          </a:p>
        </c:rich>
      </c:tx>
      <c:overlay val="0"/>
    </c:title>
    <c:autoTitleDeleted val="0"/>
    <c:plotArea>
      <c:layout/>
      <c:barChart>
        <c:barDir val="bar"/>
        <c:grouping val="stacked"/>
        <c:varyColors val="0"/>
        <c:ser>
          <c:idx val="0"/>
          <c:order val="0"/>
          <c:tx>
            <c:strRef>
              <c:f>'สรุปผล Station-OPD'!$D$20</c:f>
              <c:strCache>
                <c:ptCount val="1"/>
                <c:pt idx="0">
                  <c:v>Pass</c:v>
                </c:pt>
              </c:strCache>
            </c:strRef>
          </c:tx>
          <c:spPr>
            <a:solidFill>
              <a:srgbClr val="70AD47"/>
            </a:solidFill>
          </c:spPr>
          <c:invertIfNegative val="0"/>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'สรุปผล Station-OPD'!$A$21:$A$34</c:f>
              <c:strCache>
                <c:ptCount val="14"/>
                <c:pt idx="0">
                  <c:v>REG</c:v>
                </c:pt>
                <c:pt idx="1">
                  <c:v>APT</c:v>
                </c:pt>
                <c:pt idx="2">
                  <c:v>NUR</c:v>
                </c:pt>
                <c:pt idx="3">
                  <c:v>DX</c:v>
                </c:pt>
                <c:pt idx="4">
                  <c:v>ORD</c:v>
                </c:pt>
                <c:pt idx="5">
                  <c:v>LAB</c:v>
                </c:pt>
                <c:pt idx="6">
                  <c:v>IMG</c:v>
                </c:pt>
                <c:pt idx="7">
                  <c:v>ACT</c:v>
                </c:pt>
                <c:pt idx="8">
                  <c:v>DOC</c:v>
                </c:pt>
                <c:pt idx="9">
                  <c:v>DC</c:v>
                </c:pt>
                <c:pt idx="10">
                  <c:v>ADM</c:v>
                </c:pt>
                <c:pt idx="11">
                  <c:v>PHA</c:v>
                </c:pt>
                <c:pt idx="12">
                  <c:v>CSH</c:v>
                </c:pt>
                <c:pt idx="13">
                  <c:v>CLM</c:v>
                </c:pt>
              </c:strCache>
            </c:strRef>
          </c:cat>
          <c:val>
            <c:numRef>
              <c:f>'สรุปผล Station-OPD'!$D$21:$D$34</c:f>
              <c:numCache>
                <c:formatCode>0;\-0;"-"</c:formatCode>
                <c:ptCount val="14"/>
                <c:pt idx="0">
                  <c:v>2</c:v>
                </c:pt>
                <c:pt idx="1">
                  <c:v>3</c:v>
                </c:pt>
                <c:pt idx="2">
                  <c:v>2</c:v>
                </c:pt>
                <c:pt idx="3">
                  <c:v>3</c:v>
                </c:pt>
                <c:pt idx="4">
                  <c:v>6</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2-C35F-4FDC-AD1F-285DDE545E49}"/>
            </c:ext>
          </c:extLst>
        </c:ser>
        <c:ser>
          <c:idx val="1"/>
          <c:order val="1"/>
          <c:tx>
            <c:strRef>
              <c:f>'สรุปผล Station-OPD'!$E$20</c:f>
              <c:strCache>
                <c:ptCount val="1"/>
                <c:pt idx="0">
                  <c:v>Pass w/ Cond.</c:v>
                </c:pt>
              </c:strCache>
            </c:strRef>
          </c:tx>
          <c:spPr>
            <a:solidFill>
              <a:srgbClr val="FFC000"/>
            </a:solidFill>
          </c:spPr>
          <c:invertIfNegative val="0"/>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'สรุปผล Station-OPD'!$A$21:$A$34</c:f>
              <c:strCache>
                <c:ptCount val="14"/>
                <c:pt idx="0">
                  <c:v>REG</c:v>
                </c:pt>
                <c:pt idx="1">
                  <c:v>APT</c:v>
                </c:pt>
                <c:pt idx="2">
                  <c:v>NUR</c:v>
                </c:pt>
                <c:pt idx="3">
                  <c:v>DX</c:v>
                </c:pt>
                <c:pt idx="4">
                  <c:v>ORD</c:v>
                </c:pt>
                <c:pt idx="5">
                  <c:v>LAB</c:v>
                </c:pt>
                <c:pt idx="6">
                  <c:v>IMG</c:v>
                </c:pt>
                <c:pt idx="7">
                  <c:v>ACT</c:v>
                </c:pt>
                <c:pt idx="8">
                  <c:v>DOC</c:v>
                </c:pt>
                <c:pt idx="9">
                  <c:v>DC</c:v>
                </c:pt>
                <c:pt idx="10">
                  <c:v>ADM</c:v>
                </c:pt>
                <c:pt idx="11">
                  <c:v>PHA</c:v>
                </c:pt>
                <c:pt idx="12">
                  <c:v>CSH</c:v>
                </c:pt>
                <c:pt idx="13">
                  <c:v>CLM</c:v>
                </c:pt>
              </c:strCache>
            </c:strRef>
          </c:cat>
          <c:val>
            <c:numRef>
              <c:f>'สรุปผล Station-OPD'!$E$21:$E$34</c:f>
              <c:numCache>
                <c:formatCode>0;\-0;"-"</c:formatCode>
                <c:ptCount val="14"/>
                <c:pt idx="0">
                  <c:v>4</c:v>
                </c:pt>
                <c:pt idx="1">
                  <c:v>0</c:v>
                </c:pt>
                <c:pt idx="2">
                  <c:v>0</c:v>
                </c:pt>
                <c:pt idx="3">
                  <c:v>0</c:v>
                </c:pt>
                <c:pt idx="4">
                  <c:v>2</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3-C35F-4FDC-AD1F-285DDE545E49}"/>
            </c:ext>
          </c:extLst>
        </c:ser>
        <c:ser>
          <c:idx val="2"/>
          <c:order val="2"/>
          <c:tx>
            <c:strRef>
              <c:f>'สรุปผล Station-OPD'!$F$20</c:f>
              <c:strCache>
                <c:ptCount val="1"/>
                <c:pt idx="0">
                  <c:v>Fail</c:v>
                </c:pt>
              </c:strCache>
            </c:strRef>
          </c:tx>
          <c:spPr>
            <a:solidFill>
              <a:srgbClr val="E15759"/>
            </a:solidFill>
          </c:spPr>
          <c:invertIfNegative val="0"/>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'สรุปผล Station-OPD'!$A$21:$A$34</c:f>
              <c:strCache>
                <c:ptCount val="14"/>
                <c:pt idx="0">
                  <c:v>REG</c:v>
                </c:pt>
                <c:pt idx="1">
                  <c:v>APT</c:v>
                </c:pt>
                <c:pt idx="2">
                  <c:v>NUR</c:v>
                </c:pt>
                <c:pt idx="3">
                  <c:v>DX</c:v>
                </c:pt>
                <c:pt idx="4">
                  <c:v>ORD</c:v>
                </c:pt>
                <c:pt idx="5">
                  <c:v>LAB</c:v>
                </c:pt>
                <c:pt idx="6">
                  <c:v>IMG</c:v>
                </c:pt>
                <c:pt idx="7">
                  <c:v>ACT</c:v>
                </c:pt>
                <c:pt idx="8">
                  <c:v>DOC</c:v>
                </c:pt>
                <c:pt idx="9">
                  <c:v>DC</c:v>
                </c:pt>
                <c:pt idx="10">
                  <c:v>ADM</c:v>
                </c:pt>
                <c:pt idx="11">
                  <c:v>PHA</c:v>
                </c:pt>
                <c:pt idx="12">
                  <c:v>CSH</c:v>
                </c:pt>
                <c:pt idx="13">
                  <c:v>CLM</c:v>
                </c:pt>
              </c:strCache>
            </c:strRef>
          </c:cat>
          <c:val>
            <c:numRef>
              <c:f>'สรุปผล Station-OPD'!$F$21:$F$34</c:f>
              <c:numCache>
                <c:formatCode>0;\-0;"-"</c:formatCode>
                <c:ptCount val="14"/>
                <c:pt idx="0">
                  <c:v>2</c:v>
                </c:pt>
                <c:pt idx="1">
                  <c:v>2</c:v>
                </c:pt>
                <c:pt idx="2">
                  <c:v>0</c:v>
                </c:pt>
                <c:pt idx="3">
                  <c:v>4</c:v>
                </c:pt>
                <c:pt idx="4">
                  <c:v>3</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4-C35F-4FDC-AD1F-285DDE545E49}"/>
            </c:ext>
          </c:extLst>
        </c:ser>
        <c:ser>
          <c:idx val="3"/>
          <c:order val="3"/>
          <c:tx>
            <c:strRef>
              <c:f>'สรุปผล Station-OPD'!$G$20</c:f>
              <c:strCache>
                <c:ptCount val="1"/>
                <c:pt idx="0">
                  <c:v>Skip</c:v>
                </c:pt>
              </c:strCache>
            </c:strRef>
          </c:tx>
          <c:spPr>
            <a:solidFill>
              <a:srgbClr val="A5A5A5"/>
            </a:solidFill>
          </c:spPr>
          <c:invertIfNegative val="0"/>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'สรุปผล Station-OPD'!$A$21:$A$34</c:f>
              <c:strCache>
                <c:ptCount val="14"/>
                <c:pt idx="0">
                  <c:v>REG</c:v>
                </c:pt>
                <c:pt idx="1">
                  <c:v>APT</c:v>
                </c:pt>
                <c:pt idx="2">
                  <c:v>NUR</c:v>
                </c:pt>
                <c:pt idx="3">
                  <c:v>DX</c:v>
                </c:pt>
                <c:pt idx="4">
                  <c:v>ORD</c:v>
                </c:pt>
                <c:pt idx="5">
                  <c:v>LAB</c:v>
                </c:pt>
                <c:pt idx="6">
                  <c:v>IMG</c:v>
                </c:pt>
                <c:pt idx="7">
                  <c:v>ACT</c:v>
                </c:pt>
                <c:pt idx="8">
                  <c:v>DOC</c:v>
                </c:pt>
                <c:pt idx="9">
                  <c:v>DC</c:v>
                </c:pt>
                <c:pt idx="10">
                  <c:v>ADM</c:v>
                </c:pt>
                <c:pt idx="11">
                  <c:v>PHA</c:v>
                </c:pt>
                <c:pt idx="12">
                  <c:v>CSH</c:v>
                </c:pt>
                <c:pt idx="13">
                  <c:v>CLM</c:v>
                </c:pt>
              </c:strCache>
            </c:strRef>
          </c:cat>
          <c:val>
            <c:numRef>
              <c:f>'สรุปผล Station-OPD'!$G$21:$G$34</c:f>
              <c:numCache>
                <c:formatCode>0;\-0;"-"</c:formatCode>
                <c:ptCount val="14"/>
                <c:pt idx="0">
                  <c:v>0</c:v>
                </c:pt>
                <c:pt idx="1">
                  <c:v>0</c:v>
                </c:pt>
                <c:pt idx="2">
                  <c:v>4</c:v>
                </c:pt>
                <c:pt idx="3">
                  <c:v>3</c:v>
                </c:pt>
                <c:pt idx="4">
                  <c:v>7</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5-C35F-4FDC-AD1F-285DDE545E49}"/>
            </c:ext>
          </c:extLst>
        </c:ser>
        <c:ser>
          <c:idx val="4"/>
          <c:order val="4"/>
          <c:tx>
            <c:strRef>
              <c:f>'สรุปผล Station-OPD'!$H$20</c:f>
              <c:strCache>
                <c:ptCount val="1"/>
                <c:pt idx="0">
                  <c:v>เหลือ</c:v>
                </c:pt>
              </c:strCache>
            </c:strRef>
          </c:tx>
          <c:spPr>
            <a:solidFill>
              <a:srgbClr val="5B9BD5"/>
            </a:solidFill>
          </c:spPr>
          <c:invertIfNegative val="0"/>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'สรุปผล Station-OPD'!$A$21:$A$34</c:f>
              <c:strCache>
                <c:ptCount val="14"/>
                <c:pt idx="0">
                  <c:v>REG</c:v>
                </c:pt>
                <c:pt idx="1">
                  <c:v>APT</c:v>
                </c:pt>
                <c:pt idx="2">
                  <c:v>NUR</c:v>
                </c:pt>
                <c:pt idx="3">
                  <c:v>DX</c:v>
                </c:pt>
                <c:pt idx="4">
                  <c:v>ORD</c:v>
                </c:pt>
                <c:pt idx="5">
                  <c:v>LAB</c:v>
                </c:pt>
                <c:pt idx="6">
                  <c:v>IMG</c:v>
                </c:pt>
                <c:pt idx="7">
                  <c:v>ACT</c:v>
                </c:pt>
                <c:pt idx="8">
                  <c:v>DOC</c:v>
                </c:pt>
                <c:pt idx="9">
                  <c:v>DC</c:v>
                </c:pt>
                <c:pt idx="10">
                  <c:v>ADM</c:v>
                </c:pt>
                <c:pt idx="11">
                  <c:v>PHA</c:v>
                </c:pt>
                <c:pt idx="12">
                  <c:v>CSH</c:v>
                </c:pt>
                <c:pt idx="13">
                  <c:v>CLM</c:v>
                </c:pt>
              </c:strCache>
            </c:strRef>
          </c:cat>
          <c:val>
            <c:numRef>
              <c:f>'สรุปผล Station-OPD'!$H$21:$H$34</c:f>
              <c:numCache>
                <c:formatCode>0;\-0;"-"</c:formatCode>
                <c:ptCount val="14"/>
                <c:pt idx="0">
                  <c:v>0</c:v>
                </c:pt>
                <c:pt idx="1">
                  <c:v>0</c:v>
                </c:pt>
                <c:pt idx="2">
                  <c:v>1</c:v>
                </c:pt>
                <c:pt idx="3">
                  <c:v>0</c:v>
                </c:pt>
                <c:pt idx="4">
                  <c:v>0</c:v>
                </c:pt>
                <c:pt idx="5">
                  <c:v>7</c:v>
                </c:pt>
                <c:pt idx="6">
                  <c:v>8</c:v>
                </c:pt>
                <c:pt idx="7">
                  <c:v>5</c:v>
                </c:pt>
                <c:pt idx="8">
                  <c:v>6</c:v>
                </c:pt>
                <c:pt idx="9">
                  <c:v>4</c:v>
                </c:pt>
                <c:pt idx="10">
                  <c:v>4</c:v>
                </c:pt>
                <c:pt idx="11">
                  <c:v>17</c:v>
                </c:pt>
                <c:pt idx="12">
                  <c:v>12</c:v>
                </c:pt>
                <c:pt idx="13">
                  <c:v>10</c:v>
                </c:pt>
              </c:numCache>
            </c:numRef>
          </c:val>
          <c:extLst>
            <c:ext xmlns:c16="http://schemas.microsoft.com/office/drawing/2014/chart" uri="{C3380CC4-5D6E-409C-BE32-E72D297353CC}">
              <c16:uniqueId val="{00000006-C35F-4FDC-AD1F-285DDE545E49}"/>
            </c:ext>
          </c:extLst>
        </c:ser>
        <c:dLbls>
          <c:showLegendKey val="0"/>
          <c:showVal val="0"/>
          <c:showCatName val="0"/>
          <c:showSerName val="0"/>
          <c:showPercent val="0"/>
          <c:showBubbleSize val="0"/>
        </c:dLbls>
        <c:gapWidth val="60"/>
        <c:overlap val="100"/>
        <c:axId val="19817952"/>
        <c:axId val="1445896400"/>
      </c:barChart>
      <c:catAx>
        <c:axId val="19817952"/>
        <c:scaling>
          <c:orientation val="maxMin"/>
        </c:scaling>
        <c:delete val="0"/>
        <c:axPos val="l"/>
        <c:numFmt formatCode="General" sourceLinked="1"/>
        <c:majorTickMark val="out"/>
        <c:minorTickMark val="none"/>
        <c:tickLblPos val="nextTo"/>
        <c:crossAx val="1445896400"/>
        <c:crosses val="autoZero"/>
        <c:auto val="1"/>
        <c:lblAlgn val="ctr"/>
        <c:lblOffset val="100"/>
        <c:noMultiLvlLbl val="0"/>
      </c:catAx>
      <c:valAx>
        <c:axId val="1445896400"/>
        <c:scaling>
          <c:orientation val="minMax"/>
        </c:scaling>
        <c:delete val="0"/>
        <c:axPos val="t"/>
        <c:majorGridlines/>
        <c:numFmt formatCode="0;\-0;&quot;-&quot;" sourceLinked="1"/>
        <c:majorTickMark val="out"/>
        <c:minorTickMark val="none"/>
        <c:tickLblPos val="nextTo"/>
        <c:crossAx val="19817952"/>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sz="1500">
          <a:latin typeface="TH SarabunPSK"/>
          <a:ea typeface="TH SarabunPSK"/>
          <a:cs typeface="TH SarabunPSK"/>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a:pPr>
            <a:r>
              <a:rPr lang="th-TH"/>
              <a:t>สัดส่วนสถานะ </a:t>
            </a:r>
            <a:r>
              <a:rPr lang="en-US"/>
              <a:t>Test Case (</a:t>
            </a:r>
            <a:r>
              <a:rPr lang="th-TH"/>
              <a:t>ทั้งหมด 121 ข้อ)</a:t>
            </a:r>
          </a:p>
        </c:rich>
      </c:tx>
      <c:overlay val="0"/>
    </c:title>
    <c:autoTitleDeleted val="0"/>
    <c:plotArea>
      <c:layout/>
      <c:pieChart>
        <c:varyColors val="1"/>
        <c:ser>
          <c:idx val="0"/>
          <c:order val="0"/>
          <c:dPt>
            <c:idx val="0"/>
            <c:bubble3D val="0"/>
            <c:spPr>
              <a:solidFill>
                <a:srgbClr val="70AD47"/>
              </a:solidFill>
            </c:spPr>
            <c:extLst>
              <c:ext xmlns:c16="http://schemas.microsoft.com/office/drawing/2014/chart" uri="{C3380CC4-5D6E-409C-BE32-E72D297353CC}">
                <c16:uniqueId val="{00000001-155D-4EC6-8B31-821CE694D746}"/>
              </c:ext>
            </c:extLst>
          </c:dPt>
          <c:dPt>
            <c:idx val="1"/>
            <c:bubble3D val="0"/>
            <c:spPr>
              <a:solidFill>
                <a:srgbClr val="FFC000"/>
              </a:solidFill>
            </c:spPr>
            <c:extLst>
              <c:ext xmlns:c16="http://schemas.microsoft.com/office/drawing/2014/chart" uri="{C3380CC4-5D6E-409C-BE32-E72D297353CC}">
                <c16:uniqueId val="{00000003-155D-4EC6-8B31-821CE694D746}"/>
              </c:ext>
            </c:extLst>
          </c:dPt>
          <c:dPt>
            <c:idx val="2"/>
            <c:bubble3D val="0"/>
            <c:spPr>
              <a:solidFill>
                <a:srgbClr val="E15759"/>
              </a:solidFill>
            </c:spPr>
            <c:extLst>
              <c:ext xmlns:c16="http://schemas.microsoft.com/office/drawing/2014/chart" uri="{C3380CC4-5D6E-409C-BE32-E72D297353CC}">
                <c16:uniqueId val="{00000005-155D-4EC6-8B31-821CE694D746}"/>
              </c:ext>
            </c:extLst>
          </c:dPt>
          <c:dPt>
            <c:idx val="3"/>
            <c:bubble3D val="0"/>
            <c:spPr>
              <a:solidFill>
                <a:srgbClr val="A5A5A5"/>
              </a:solidFill>
            </c:spPr>
            <c:extLst>
              <c:ext xmlns:c16="http://schemas.microsoft.com/office/drawing/2014/chart" uri="{C3380CC4-5D6E-409C-BE32-E72D297353CC}">
                <c16:uniqueId val="{00000007-155D-4EC6-8B31-821CE694D746}"/>
              </c:ext>
            </c:extLst>
          </c:dPt>
          <c:dPt>
            <c:idx val="4"/>
            <c:bubble3D val="0"/>
            <c:spPr>
              <a:solidFill>
                <a:srgbClr val="5B9BD5"/>
              </a:solidFill>
            </c:spPr>
            <c:extLst>
              <c:ext xmlns:c16="http://schemas.microsoft.com/office/drawing/2014/chart" uri="{C3380CC4-5D6E-409C-BE32-E72D297353CC}">
                <c16:uniqueId val="{00000009-155D-4EC6-8B31-821CE694D746}"/>
              </c:ext>
            </c:extLst>
          </c:dPt>
          <c:dLbls>
            <c:spPr>
              <a:noFill/>
              <a:ln>
                <a:noFill/>
              </a:ln>
              <a:effectLst/>
            </c:spPr>
            <c:showLegendKey val="0"/>
            <c:showVal val="1"/>
            <c:showCatName val="0"/>
            <c:showSerName val="0"/>
            <c:showPercent val="1"/>
            <c:showBubbleSize val="0"/>
            <c:separator> | </c:separator>
            <c:showLeaderLines val="0"/>
            <c:extLst>
              <c:ext xmlns:c15="http://schemas.microsoft.com/office/drawing/2012/chart" uri="{CE6537A1-D6FC-4f65-9D91-7224C49458BB}"/>
            </c:extLst>
          </c:dLbls>
          <c:cat>
            <c:strRef>
              <c:f>'สรุปผล Station-OPD'!$B$5:$B$9</c:f>
              <c:strCache>
                <c:ptCount val="5"/>
                <c:pt idx="0">
                  <c:v>Pass</c:v>
                </c:pt>
                <c:pt idx="1">
                  <c:v>Pass with Condition</c:v>
                </c:pt>
                <c:pt idx="2">
                  <c:v>Fail</c:v>
                </c:pt>
                <c:pt idx="3">
                  <c:v>Skip</c:v>
                </c:pt>
                <c:pt idx="4">
                  <c:v>ยังไม่ทดสอบ (เหลือ)</c:v>
                </c:pt>
              </c:strCache>
            </c:strRef>
          </c:cat>
          <c:val>
            <c:numRef>
              <c:f>'สรุปผล Station-OPD'!$C$5:$C$9</c:f>
              <c:numCache>
                <c:formatCode>General</c:formatCode>
                <c:ptCount val="5"/>
                <c:pt idx="0">
                  <c:v>16</c:v>
                </c:pt>
                <c:pt idx="1">
                  <c:v>6</c:v>
                </c:pt>
                <c:pt idx="2">
                  <c:v>11</c:v>
                </c:pt>
                <c:pt idx="3">
                  <c:v>13</c:v>
                </c:pt>
                <c:pt idx="4">
                  <c:v>75</c:v>
                </c:pt>
              </c:numCache>
            </c:numRef>
          </c:val>
          <c:extLst>
            <c:ext xmlns:c16="http://schemas.microsoft.com/office/drawing/2014/chart" uri="{C3380CC4-5D6E-409C-BE32-E72D297353CC}">
              <c16:uniqueId val="{0000000A-155D-4EC6-8B31-821CE694D746}"/>
            </c:ext>
          </c:extLst>
        </c:ser>
        <c:dLbls>
          <c:showLegendKey val="0"/>
          <c:showVal val="0"/>
          <c:showCatName val="0"/>
          <c:showSerName val="0"/>
          <c:showPercent val="0"/>
          <c:showBubbleSize val="0"/>
          <c:showLeaderLines val="0"/>
        </c:dLbls>
        <c:firstSliceAng val="0"/>
      </c:pieChart>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sz="1500">
          <a:latin typeface="TH SarabunPSK"/>
          <a:ea typeface="TH SarabunPSK"/>
          <a:cs typeface="TH SarabunPSK"/>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a:pPr>
            <a:r>
              <a:rPr lang="th-TH"/>
              <a:t>สถานะรายหมวด</a:t>
            </a:r>
          </a:p>
        </c:rich>
      </c:tx>
      <c:overlay val="0"/>
    </c:title>
    <c:autoTitleDeleted val="0"/>
    <c:plotArea>
      <c:layout/>
      <c:barChart>
        <c:barDir val="bar"/>
        <c:grouping val="stacked"/>
        <c:varyColors val="0"/>
        <c:ser>
          <c:idx val="0"/>
          <c:order val="0"/>
          <c:tx>
            <c:strRef>
              <c:f>'สรุปผล Station-OPD'!$D$20</c:f>
              <c:strCache>
                <c:ptCount val="1"/>
                <c:pt idx="0">
                  <c:v>Pass</c:v>
                </c:pt>
              </c:strCache>
            </c:strRef>
          </c:tx>
          <c:spPr>
            <a:solidFill>
              <a:srgbClr val="70AD47"/>
            </a:solidFill>
          </c:spPr>
          <c:invertIfNegative val="0"/>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'สรุปผล Station-OPD'!$A$21:$A$34</c:f>
              <c:strCache>
                <c:ptCount val="14"/>
                <c:pt idx="0">
                  <c:v>REG</c:v>
                </c:pt>
                <c:pt idx="1">
                  <c:v>APT</c:v>
                </c:pt>
                <c:pt idx="2">
                  <c:v>NUR</c:v>
                </c:pt>
                <c:pt idx="3">
                  <c:v>DX</c:v>
                </c:pt>
                <c:pt idx="4">
                  <c:v>ORD</c:v>
                </c:pt>
                <c:pt idx="5">
                  <c:v>LAB</c:v>
                </c:pt>
                <c:pt idx="6">
                  <c:v>IMG</c:v>
                </c:pt>
                <c:pt idx="7">
                  <c:v>ACT</c:v>
                </c:pt>
                <c:pt idx="8">
                  <c:v>DOC</c:v>
                </c:pt>
                <c:pt idx="9">
                  <c:v>DC</c:v>
                </c:pt>
                <c:pt idx="10">
                  <c:v>ADM</c:v>
                </c:pt>
                <c:pt idx="11">
                  <c:v>PHA</c:v>
                </c:pt>
                <c:pt idx="12">
                  <c:v>CSH</c:v>
                </c:pt>
                <c:pt idx="13">
                  <c:v>CLM</c:v>
                </c:pt>
              </c:strCache>
            </c:strRef>
          </c:cat>
          <c:val>
            <c:numRef>
              <c:f>'สรุปผล Station-OPD'!$D$21:$D$34</c:f>
              <c:numCache>
                <c:formatCode>0;\-0;"-"</c:formatCode>
                <c:ptCount val="14"/>
                <c:pt idx="0">
                  <c:v>2</c:v>
                </c:pt>
                <c:pt idx="1">
                  <c:v>3</c:v>
                </c:pt>
                <c:pt idx="2">
                  <c:v>2</c:v>
                </c:pt>
                <c:pt idx="3">
                  <c:v>3</c:v>
                </c:pt>
                <c:pt idx="4">
                  <c:v>6</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0-EDA7-4BDA-8094-C8E3F987A8BF}"/>
            </c:ext>
          </c:extLst>
        </c:ser>
        <c:ser>
          <c:idx val="1"/>
          <c:order val="1"/>
          <c:tx>
            <c:strRef>
              <c:f>'สรุปผล Station-OPD'!$E$20</c:f>
              <c:strCache>
                <c:ptCount val="1"/>
                <c:pt idx="0">
                  <c:v>Pass w/ Cond.</c:v>
                </c:pt>
              </c:strCache>
            </c:strRef>
          </c:tx>
          <c:spPr>
            <a:solidFill>
              <a:srgbClr val="FFC000"/>
            </a:solidFill>
          </c:spPr>
          <c:invertIfNegative val="0"/>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'สรุปผล Station-OPD'!$A$21:$A$34</c:f>
              <c:strCache>
                <c:ptCount val="14"/>
                <c:pt idx="0">
                  <c:v>REG</c:v>
                </c:pt>
                <c:pt idx="1">
                  <c:v>APT</c:v>
                </c:pt>
                <c:pt idx="2">
                  <c:v>NUR</c:v>
                </c:pt>
                <c:pt idx="3">
                  <c:v>DX</c:v>
                </c:pt>
                <c:pt idx="4">
                  <c:v>ORD</c:v>
                </c:pt>
                <c:pt idx="5">
                  <c:v>LAB</c:v>
                </c:pt>
                <c:pt idx="6">
                  <c:v>IMG</c:v>
                </c:pt>
                <c:pt idx="7">
                  <c:v>ACT</c:v>
                </c:pt>
                <c:pt idx="8">
                  <c:v>DOC</c:v>
                </c:pt>
                <c:pt idx="9">
                  <c:v>DC</c:v>
                </c:pt>
                <c:pt idx="10">
                  <c:v>ADM</c:v>
                </c:pt>
                <c:pt idx="11">
                  <c:v>PHA</c:v>
                </c:pt>
                <c:pt idx="12">
                  <c:v>CSH</c:v>
                </c:pt>
                <c:pt idx="13">
                  <c:v>CLM</c:v>
                </c:pt>
              </c:strCache>
            </c:strRef>
          </c:cat>
          <c:val>
            <c:numRef>
              <c:f>'สรุปผล Station-OPD'!$E$21:$E$34</c:f>
              <c:numCache>
                <c:formatCode>0;\-0;"-"</c:formatCode>
                <c:ptCount val="14"/>
                <c:pt idx="0">
                  <c:v>4</c:v>
                </c:pt>
                <c:pt idx="1">
                  <c:v>0</c:v>
                </c:pt>
                <c:pt idx="2">
                  <c:v>0</c:v>
                </c:pt>
                <c:pt idx="3">
                  <c:v>0</c:v>
                </c:pt>
                <c:pt idx="4">
                  <c:v>2</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1-EDA7-4BDA-8094-C8E3F987A8BF}"/>
            </c:ext>
          </c:extLst>
        </c:ser>
        <c:ser>
          <c:idx val="2"/>
          <c:order val="2"/>
          <c:tx>
            <c:strRef>
              <c:f>'สรุปผล Station-OPD'!$F$20</c:f>
              <c:strCache>
                <c:ptCount val="1"/>
                <c:pt idx="0">
                  <c:v>Fail</c:v>
                </c:pt>
              </c:strCache>
            </c:strRef>
          </c:tx>
          <c:spPr>
            <a:solidFill>
              <a:srgbClr val="E15759"/>
            </a:solidFill>
          </c:spPr>
          <c:invertIfNegative val="0"/>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'สรุปผล Station-OPD'!$A$21:$A$34</c:f>
              <c:strCache>
                <c:ptCount val="14"/>
                <c:pt idx="0">
                  <c:v>REG</c:v>
                </c:pt>
                <c:pt idx="1">
                  <c:v>APT</c:v>
                </c:pt>
                <c:pt idx="2">
                  <c:v>NUR</c:v>
                </c:pt>
                <c:pt idx="3">
                  <c:v>DX</c:v>
                </c:pt>
                <c:pt idx="4">
                  <c:v>ORD</c:v>
                </c:pt>
                <c:pt idx="5">
                  <c:v>LAB</c:v>
                </c:pt>
                <c:pt idx="6">
                  <c:v>IMG</c:v>
                </c:pt>
                <c:pt idx="7">
                  <c:v>ACT</c:v>
                </c:pt>
                <c:pt idx="8">
                  <c:v>DOC</c:v>
                </c:pt>
                <c:pt idx="9">
                  <c:v>DC</c:v>
                </c:pt>
                <c:pt idx="10">
                  <c:v>ADM</c:v>
                </c:pt>
                <c:pt idx="11">
                  <c:v>PHA</c:v>
                </c:pt>
                <c:pt idx="12">
                  <c:v>CSH</c:v>
                </c:pt>
                <c:pt idx="13">
                  <c:v>CLM</c:v>
                </c:pt>
              </c:strCache>
            </c:strRef>
          </c:cat>
          <c:val>
            <c:numRef>
              <c:f>'สรุปผล Station-OPD'!$F$21:$F$34</c:f>
              <c:numCache>
                <c:formatCode>0;\-0;"-"</c:formatCode>
                <c:ptCount val="14"/>
                <c:pt idx="0">
                  <c:v>2</c:v>
                </c:pt>
                <c:pt idx="1">
                  <c:v>2</c:v>
                </c:pt>
                <c:pt idx="2">
                  <c:v>0</c:v>
                </c:pt>
                <c:pt idx="3">
                  <c:v>4</c:v>
                </c:pt>
                <c:pt idx="4">
                  <c:v>3</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2-EDA7-4BDA-8094-C8E3F987A8BF}"/>
            </c:ext>
          </c:extLst>
        </c:ser>
        <c:ser>
          <c:idx val="3"/>
          <c:order val="3"/>
          <c:tx>
            <c:strRef>
              <c:f>'สรุปผล Station-OPD'!$G$20</c:f>
              <c:strCache>
                <c:ptCount val="1"/>
                <c:pt idx="0">
                  <c:v>Skip</c:v>
                </c:pt>
              </c:strCache>
            </c:strRef>
          </c:tx>
          <c:spPr>
            <a:solidFill>
              <a:srgbClr val="A5A5A5"/>
            </a:solidFill>
          </c:spPr>
          <c:invertIfNegative val="0"/>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'สรุปผล Station-OPD'!$A$21:$A$34</c:f>
              <c:strCache>
                <c:ptCount val="14"/>
                <c:pt idx="0">
                  <c:v>REG</c:v>
                </c:pt>
                <c:pt idx="1">
                  <c:v>APT</c:v>
                </c:pt>
                <c:pt idx="2">
                  <c:v>NUR</c:v>
                </c:pt>
                <c:pt idx="3">
                  <c:v>DX</c:v>
                </c:pt>
                <c:pt idx="4">
                  <c:v>ORD</c:v>
                </c:pt>
                <c:pt idx="5">
                  <c:v>LAB</c:v>
                </c:pt>
                <c:pt idx="6">
                  <c:v>IMG</c:v>
                </c:pt>
                <c:pt idx="7">
                  <c:v>ACT</c:v>
                </c:pt>
                <c:pt idx="8">
                  <c:v>DOC</c:v>
                </c:pt>
                <c:pt idx="9">
                  <c:v>DC</c:v>
                </c:pt>
                <c:pt idx="10">
                  <c:v>ADM</c:v>
                </c:pt>
                <c:pt idx="11">
                  <c:v>PHA</c:v>
                </c:pt>
                <c:pt idx="12">
                  <c:v>CSH</c:v>
                </c:pt>
                <c:pt idx="13">
                  <c:v>CLM</c:v>
                </c:pt>
              </c:strCache>
            </c:strRef>
          </c:cat>
          <c:val>
            <c:numRef>
              <c:f>'สรุปผล Station-OPD'!$G$21:$G$34</c:f>
              <c:numCache>
                <c:formatCode>0;\-0;"-"</c:formatCode>
                <c:ptCount val="14"/>
                <c:pt idx="0">
                  <c:v>0</c:v>
                </c:pt>
                <c:pt idx="1">
                  <c:v>0</c:v>
                </c:pt>
                <c:pt idx="2">
                  <c:v>4</c:v>
                </c:pt>
                <c:pt idx="3">
                  <c:v>3</c:v>
                </c:pt>
                <c:pt idx="4">
                  <c:v>7</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3-EDA7-4BDA-8094-C8E3F987A8BF}"/>
            </c:ext>
          </c:extLst>
        </c:ser>
        <c:ser>
          <c:idx val="4"/>
          <c:order val="4"/>
          <c:tx>
            <c:strRef>
              <c:f>'สรุปผล Station-OPD'!$H$20</c:f>
              <c:strCache>
                <c:ptCount val="1"/>
                <c:pt idx="0">
                  <c:v>เหลือ</c:v>
                </c:pt>
              </c:strCache>
            </c:strRef>
          </c:tx>
          <c:spPr>
            <a:solidFill>
              <a:srgbClr val="5B9BD5"/>
            </a:solidFill>
          </c:spPr>
          <c:invertIfNegative val="0"/>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'สรุปผล Station-OPD'!$A$21:$A$34</c:f>
              <c:strCache>
                <c:ptCount val="14"/>
                <c:pt idx="0">
                  <c:v>REG</c:v>
                </c:pt>
                <c:pt idx="1">
                  <c:v>APT</c:v>
                </c:pt>
                <c:pt idx="2">
                  <c:v>NUR</c:v>
                </c:pt>
                <c:pt idx="3">
                  <c:v>DX</c:v>
                </c:pt>
                <c:pt idx="4">
                  <c:v>ORD</c:v>
                </c:pt>
                <c:pt idx="5">
                  <c:v>LAB</c:v>
                </c:pt>
                <c:pt idx="6">
                  <c:v>IMG</c:v>
                </c:pt>
                <c:pt idx="7">
                  <c:v>ACT</c:v>
                </c:pt>
                <c:pt idx="8">
                  <c:v>DOC</c:v>
                </c:pt>
                <c:pt idx="9">
                  <c:v>DC</c:v>
                </c:pt>
                <c:pt idx="10">
                  <c:v>ADM</c:v>
                </c:pt>
                <c:pt idx="11">
                  <c:v>PHA</c:v>
                </c:pt>
                <c:pt idx="12">
                  <c:v>CSH</c:v>
                </c:pt>
                <c:pt idx="13">
                  <c:v>CLM</c:v>
                </c:pt>
              </c:strCache>
            </c:strRef>
          </c:cat>
          <c:val>
            <c:numRef>
              <c:f>'สรุปผล Station-OPD'!$H$21:$H$34</c:f>
              <c:numCache>
                <c:formatCode>0;\-0;"-"</c:formatCode>
                <c:ptCount val="14"/>
                <c:pt idx="0">
                  <c:v>0</c:v>
                </c:pt>
                <c:pt idx="1">
                  <c:v>0</c:v>
                </c:pt>
                <c:pt idx="2">
                  <c:v>1</c:v>
                </c:pt>
                <c:pt idx="3">
                  <c:v>0</c:v>
                </c:pt>
                <c:pt idx="4">
                  <c:v>0</c:v>
                </c:pt>
                <c:pt idx="5">
                  <c:v>7</c:v>
                </c:pt>
                <c:pt idx="6">
                  <c:v>8</c:v>
                </c:pt>
                <c:pt idx="7">
                  <c:v>5</c:v>
                </c:pt>
                <c:pt idx="8">
                  <c:v>6</c:v>
                </c:pt>
                <c:pt idx="9">
                  <c:v>4</c:v>
                </c:pt>
                <c:pt idx="10">
                  <c:v>4</c:v>
                </c:pt>
                <c:pt idx="11">
                  <c:v>17</c:v>
                </c:pt>
                <c:pt idx="12">
                  <c:v>12</c:v>
                </c:pt>
                <c:pt idx="13">
                  <c:v>10</c:v>
                </c:pt>
              </c:numCache>
            </c:numRef>
          </c:val>
          <c:extLst>
            <c:ext xmlns:c16="http://schemas.microsoft.com/office/drawing/2014/chart" uri="{C3380CC4-5D6E-409C-BE32-E72D297353CC}">
              <c16:uniqueId val="{00000004-EDA7-4BDA-8094-C8E3F987A8BF}"/>
            </c:ext>
          </c:extLst>
        </c:ser>
        <c:dLbls>
          <c:showLegendKey val="0"/>
          <c:showVal val="0"/>
          <c:showCatName val="0"/>
          <c:showSerName val="0"/>
          <c:showPercent val="0"/>
          <c:showBubbleSize val="0"/>
        </c:dLbls>
        <c:gapWidth val="60"/>
        <c:overlap val="100"/>
        <c:axId val="19817952"/>
        <c:axId val="1445896400"/>
      </c:barChart>
      <c:catAx>
        <c:axId val="19817952"/>
        <c:scaling>
          <c:orientation val="maxMin"/>
        </c:scaling>
        <c:delete val="0"/>
        <c:axPos val="l"/>
        <c:numFmt formatCode="General" sourceLinked="1"/>
        <c:majorTickMark val="out"/>
        <c:minorTickMark val="none"/>
        <c:tickLblPos val="nextTo"/>
        <c:crossAx val="1445896400"/>
        <c:crosses val="autoZero"/>
        <c:auto val="1"/>
        <c:lblAlgn val="ctr"/>
        <c:lblOffset val="100"/>
        <c:noMultiLvlLbl val="0"/>
      </c:catAx>
      <c:valAx>
        <c:axId val="1445896400"/>
        <c:scaling>
          <c:orientation val="minMax"/>
        </c:scaling>
        <c:delete val="0"/>
        <c:axPos val="t"/>
        <c:majorGridlines/>
        <c:numFmt formatCode="0;\-0;&quot;-&quot;" sourceLinked="1"/>
        <c:majorTickMark val="out"/>
        <c:minorTickMark val="none"/>
        <c:tickLblPos val="nextTo"/>
        <c:crossAx val="19817952"/>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sz="1500">
          <a:latin typeface="TH SarabunPSK"/>
          <a:ea typeface="TH SarabunPSK"/>
          <a:cs typeface="TH SarabunPSK"/>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9</xdr:col>
      <xdr:colOff>2946400</xdr:colOff>
      <xdr:row>14</xdr:row>
      <xdr:rowOff>152400</xdr:rowOff>
    </xdr:to>
    <xdr:graphicFrame macro="">
      <xdr:nvGraphicFramePr>
        <xdr:cNvPr id="2" name="StatusPie">
          <a:extLst>
            <a:ext uri="{FF2B5EF4-FFF2-40B4-BE49-F238E27FC236}">
              <a16:creationId xmlns:a16="http://schemas.microsoft.com/office/drawing/2014/main" id="{426D9401-F985-F158-DC97-15DACD53A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18</xdr:row>
      <xdr:rowOff>0</xdr:rowOff>
    </xdr:from>
    <xdr:to>
      <xdr:col>22</xdr:col>
      <xdr:colOff>304800</xdr:colOff>
      <xdr:row>34</xdr:row>
      <xdr:rowOff>114300</xdr:rowOff>
    </xdr:to>
    <xdr:graphicFrame macro="">
      <xdr:nvGraphicFramePr>
        <xdr:cNvPr id="3" name="ModuleBar">
          <a:extLst>
            <a:ext uri="{FF2B5EF4-FFF2-40B4-BE49-F238E27FC236}">
              <a16:creationId xmlns:a16="http://schemas.microsoft.com/office/drawing/2014/main" id="{1F9DE5E7-F887-290A-1A51-E19800356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xdr:row>
      <xdr:rowOff>0</xdr:rowOff>
    </xdr:from>
    <xdr:to>
      <xdr:col>9</xdr:col>
      <xdr:colOff>2946400</xdr:colOff>
      <xdr:row>14</xdr:row>
      <xdr:rowOff>152400</xdr:rowOff>
    </xdr:to>
    <xdr:graphicFrame macro="">
      <xdr:nvGraphicFramePr>
        <xdr:cNvPr id="4" name="StatusPie">
          <a:extLst>
            <a:ext uri="{FF2B5EF4-FFF2-40B4-BE49-F238E27FC236}">
              <a16:creationId xmlns:a16="http://schemas.microsoft.com/office/drawing/2014/main" id="{C4CD24D3-AB3B-4855-9CBF-1A3917FC5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18</xdr:row>
      <xdr:rowOff>0</xdr:rowOff>
    </xdr:from>
    <xdr:to>
      <xdr:col>22</xdr:col>
      <xdr:colOff>304800</xdr:colOff>
      <xdr:row>34</xdr:row>
      <xdr:rowOff>114300</xdr:rowOff>
    </xdr:to>
    <xdr:graphicFrame macro="">
      <xdr:nvGraphicFramePr>
        <xdr:cNvPr id="5" name="ModuleBar">
          <a:extLst>
            <a:ext uri="{FF2B5EF4-FFF2-40B4-BE49-F238E27FC236}">
              <a16:creationId xmlns:a16="http://schemas.microsoft.com/office/drawing/2014/main" id="{C755B48B-E311-4F3E-B885-C0E50A109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EED115D7-3BED-234C-A667-9BDFB7B612BE}">
    <nsvFilter filterId="{0079C86A-D5C0-468D-9ED0-E28EAE251ABD}" ref="A1:H1"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E7FF45E8-0446-1B4B-8702-0453DEB359DF}">
    <nsvFilter filterId="{0079C86A-D5C0-468D-9ED0-E28EAE251ABD}" ref="A1:H1"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6FAE18EC-094D-42F9-A2C0-7EA75B85A306}">
    <nsvFilter filterId="{0079C86A-D5C0-468D-9ED0-E28EAE251ABD}" ref="A1:I1"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36D1D098-EFEE-44E1-BA8D-3C00D099543C}"/>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6D1C88D6-2B26-4F41-99A9-8BF66D6864E2}">
    <nsvFilter filterId="{0079C86A-D5C0-468D-9ED0-E28EAE251ABD}" ref="A1:I19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4108256F-6FF3-4FE3-87E3-02FC5490F6FD}">
    <nsvFilter filterId="{5CF32912-46D2-4EDE-A09F-422383969317}" ref="A1:T1"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0BCAF316-A798-47F1-9443-DD64E58ABBA7}"/>
</namedSheetViews>
</file>

<file path=xl/persons/person.xml><?xml version="1.0" encoding="utf-8"?>
<personList xmlns="http://schemas.microsoft.com/office/spreadsheetml/2018/threadedcomments" xmlns:x="http://schemas.openxmlformats.org/spreadsheetml/2006/main">
  <person displayName="Chalermrat Choompalee (Best)" id="{9C415454-2094-4834-9C65-8C70CFAEA15C}" userId="S::chalermrat.cho@hlabconsulting.com::b18579d3-5070-47a5-8ab2-c6134e56eeae" providerId="AD"/>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 dT="2026-10-26T06:45:53.94" personId="{9C415454-2094-4834-9C65-8C70CFAEA15C}" id="{EE6D3A94-B110-41F8-A495-01ECC1B120EE}">
    <text>Feature OK แต่ต้องปรับ Confic</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C8A6A04-D413-4D99-8945-3CADCD6EDAE0}">
  <we:reference id="WA200009404" version="1.0.0.8" store="th-th" storeType="omex"/>
  <we:alternateReferences>
    <we:reference id="WA200009404" version="1.0.0.8" store="th-th" storeType="omex"/>
  </we:alternateReferences>
  <we:properties>
    <we:property name="claude.fileId" value="&quot;81cc7869-9ffc-4d18-8a4c-ff7e21e4591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hlabconsulting365-my.sharepoint.com/:v:/g/personal/suchat_cha_hlabconsulting_com/IQAr8gSeWAg4Ta6d1vKg-6nIAQWnDTGJamw7DabZFSQ8fW0?nav=eyJyZWZlcnJhbEluZm8iOnsicmVmZXJyYWxBcHAiOiJPbmVEcml2ZUZvckJ1c2luZXNzIiwicmVmZXJyYWxBcHBQbGF0Zm9ybSI6IldlYiIsInJlZmVycmFsTW9kZSI6InZpZXciLCJyZWZlcnJhbFZpZXciOiJNeUZpbGVzTGlua0NvcHkifX0&amp;e=9Eizb1" TargetMode="External"/><Relationship Id="rId13" Type="http://schemas.openxmlformats.org/officeDocument/2006/relationships/hyperlink" Target="https://hlabconsulting365-my.sharepoint.com/:v:/g/personal/suchat_cha_hlabconsulting_com/IQBh6lEvaySvS7UFrQNpv5sUAX4vlKMgypqnOvsesH6gz58?nav=eyJyZWZlcnJhbEluZm8iOnsicmVmZXJyYWxBcHAiOiJPbmVEcml2ZUZvckJ1c2luZXNzIiwicmVmZXJyYWxBcHBQbGF0Zm9ybSI6IldlYiIsInJlZmVycmFsTW9kZSI6InZpZXciLCJyZWZlcnJhbFZpZXciOiJNeUZpbGVzTGlua0NvcHkifX0&amp;e=s1Lvtq" TargetMode="External"/><Relationship Id="rId18" Type="http://schemas.openxmlformats.org/officeDocument/2006/relationships/hyperlink" Target="https://hlabconsulting365-my.sharepoint.com/:v:/g/personal/suchat_cha_hlabconsulting_com/IQDSbRZAogLUR7MjBxLaFRRSATW9_T8iWmi08o3QQCiB8gs?nav=eyJyZWZlcnJhbEluZm8iOnsicmVmZXJyYWxBcHAiOiJPbmVEcml2ZUZvckJ1c2luZXNzIiwicmVmZXJyYWxBcHBQbGF0Zm9ybSI6IldlYiIsInJlZmVycmFsTW9kZSI6InZpZXciLCJyZWZlcnJhbFZpZXciOiJNeUZpbGVzTGlua0NvcHkifX0&amp;e=7J2pf8" TargetMode="External"/><Relationship Id="rId26" Type="http://schemas.microsoft.com/office/2019/04/relationships/namedSheetView" Target="../namedSheetViews/namedSheetView3.xml"/><Relationship Id="rId3" Type="http://schemas.openxmlformats.org/officeDocument/2006/relationships/hyperlink" Target="https://hlabconsulting365-my.sharepoint.com/:v:/g/personal/suchat_cha_hlabconsulting_com/IQBc5L0WdDjfSY_7FT95OZ68AYYTeMjBszi7-IlSj-3PjVg?nav=eyJyZWZlcnJhbEluZm8iOnsicmVmZXJyYWxBcHAiOiJPbmVEcml2ZUZvckJ1c2luZXNzIiwicmVmZXJyYWxBcHBQbGF0Zm9ybSI6IldlYiIsInJlZmVycmFsTW9kZSI6InZpZXciLCJyZWZlcnJhbFZpZXciOiJNeUZpbGVzTGlua0NvcHkifX0&amp;e=PFugnC" TargetMode="External"/><Relationship Id="rId21" Type="http://schemas.openxmlformats.org/officeDocument/2006/relationships/hyperlink" Target="https://hlabconsulting365-my.sharepoint.com/:v:/g/personal/suchat_cha_hlabconsulting_com/IQC6R4f6NeJBQoJrwgJ4Ag9EAXGex_oPSoZdZk6yD_74iJw?nav=eyJyZWZlcnJhbEluZm8iOnsicmVmZXJyYWxBcHAiOiJPbmVEcml2ZUZvckJ1c2luZXNzIiwicmVmZXJyYWxBcHBQbGF0Zm9ybSI6IldlYiIsInJlZmVycmFsTW9kZSI6InZpZXciLCJyZWZlcnJhbFZpZXciOiJNeUZpbGVzTGlua0NvcHkifX0&amp;e=3bkLD8" TargetMode="External"/><Relationship Id="rId7" Type="http://schemas.openxmlformats.org/officeDocument/2006/relationships/hyperlink" Target="https://hlabconsulting365-my.sharepoint.com/:v:/g/personal/suchat_cha_hlabconsulting_com/IQDbolCB4MDtS6zGKy4QOc8wAXtPk2g50WqxtRba5p4dsS8?nav=eyJyZWZlcnJhbEluZm8iOnsicmVmZXJyYWxBcHAiOiJPbmVEcml2ZUZvckJ1c2luZXNzIiwicmVmZXJyYWxBcHBQbGF0Zm9ybSI6IldlYiIsInJlZmVycmFsTW9kZSI6InZpZXciLCJyZWZlcnJhbFZpZXciOiJNeUZpbGVzTGlua0NvcHkifX0&amp;e=bewIeC" TargetMode="External"/><Relationship Id="rId12" Type="http://schemas.openxmlformats.org/officeDocument/2006/relationships/hyperlink" Target="https://hlabconsulting365-my.sharepoint.com/:v:/g/personal/suchat_cha_hlabconsulting_com/IQBM4jP-q0SjSq9lT8C5ZHq4AdMgjqLaRPIYAywOYoJvlo8?nav=eyJyZWZlcnJhbEluZm8iOnsicmVmZXJyYWxBcHAiOiJPbmVEcml2ZUZvckJ1c2luZXNzIiwicmVmZXJyYWxBcHBQbGF0Zm9ybSI6IldlYiIsInJlZmVycmFsTW9kZSI6InZpZXciLCJyZWZlcnJhbFZpZXciOiJNeUZpbGVzTGlua0NvcHkifX0&amp;e=v9dPXQ" TargetMode="External"/><Relationship Id="rId17" Type="http://schemas.openxmlformats.org/officeDocument/2006/relationships/hyperlink" Target="https://hlabconsulting365-my.sharepoint.com/:v:/g/personal/suchat_cha_hlabconsulting_com/IQDtrR9_vNi7TppJQ_bpcDT5AcIRd2kcO5jO3kII069DAZk?nav=eyJyZWZlcnJhbEluZm8iOnsicmVmZXJyYWxBcHAiOiJPbmVEcml2ZUZvckJ1c2luZXNzIiwicmVmZXJyYWxBcHBQbGF0Zm9ybSI6IldlYiIsInJlZmVycmFsTW9kZSI6InZpZXciLCJyZWZlcnJhbFZpZXciOiJNeUZpbGVzTGlua0NvcHkifX0&amp;e=apzMth" TargetMode="External"/><Relationship Id="rId25" Type="http://schemas.openxmlformats.org/officeDocument/2006/relationships/printerSettings" Target="../printerSettings/printerSettings3.bin"/><Relationship Id="rId2" Type="http://schemas.openxmlformats.org/officeDocument/2006/relationships/hyperlink" Target="https://hlabconsulting365-my.sharepoint.com/:v:/g/personal/suchat_cha_hlabconsulting_com/IQCG9UmAi0LiQadkbLLUBJDFAUnkM2Tw6FqSA9t6fHfZw18?nav=eyJyZWZlcnJhbEluZm8iOnsicmVmZXJyYWxBcHAiOiJPbmVEcml2ZUZvckJ1c2luZXNzIiwicmVmZXJyYWxBcHBQbGF0Zm9ybSI6IldlYiIsInJlZmVycmFsTW9kZSI6InZpZXciLCJyZWZlcnJhbFZpZXciOiJNeUZpbGVzTGlua0NvcHkifX0&amp;e=aDgUSC" TargetMode="External"/><Relationship Id="rId16" Type="http://schemas.openxmlformats.org/officeDocument/2006/relationships/hyperlink" Target="https://hlabconsulting365-my.sharepoint.com/:v:/g/personal/suchat_cha_hlabconsulting_com/IQA-HdQdVk1dQaKj3IhqS7_sAcbsfvwdhfgnWDXMctqLhYk?nav=eyJyZWZlcnJhbEluZm8iOnsicmVmZXJyYWxBcHAiOiJPbmVEcml2ZUZvckJ1c2luZXNzIiwicmVmZXJyYWxBcHBQbGF0Zm9ybSI6IldlYiIsInJlZmVycmFsTW9kZSI6InZpZXciLCJyZWZlcnJhbFZpZXciOiJNeUZpbGVzTGlua0NvcHkifX0&amp;e=EDT6AQ" TargetMode="External"/><Relationship Id="rId20" Type="http://schemas.openxmlformats.org/officeDocument/2006/relationships/hyperlink" Target="https://hlabconsulting365-my.sharepoint.com/:v:/g/personal/suchat_cha_hlabconsulting_com/IQC_McpMwK3uTaraCgIRAeGrAXNu4_v0QrvDtOCYE2srlng?nav=eyJyZWZlcnJhbEluZm8iOnsicmVmZXJyYWxBcHAiOiJPbmVEcml2ZUZvckJ1c2luZXNzIiwicmVmZXJyYWxBcHBQbGF0Zm9ybSI6IldlYiIsInJlZmVycmFsTW9kZSI6InZpZXciLCJyZWZlcnJhbFZpZXciOiJNeUZpbGVzTGlua0NvcHkifX0&amp;e=6gga4Y" TargetMode="External"/><Relationship Id="rId1" Type="http://schemas.openxmlformats.org/officeDocument/2006/relationships/hyperlink" Target="https://hlabconsulting365-my.sharepoint.com/:v:/g/personal/suchat_cha_hlabconsulting_com/IQDsQJcKNVPRQpPHTgsqtApXAbOjUgZ4VjtfBjILbfjveKs?nav=eyJyZWZlcnJhbEluZm8iOnsicmVmZXJyYWxBcHAiOiJPbmVEcml2ZUZvckJ1c2luZXNzIiwicmVmZXJyYWxBcHBQbGF0Zm9ybSI6IldlYiIsInJlZmVycmFsTW9kZSI6InZpZXciLCJyZWZlcnJhbFZpZXciOiJNeUZpbGVzTGlua0NvcHkifX0&amp;e=9vJVRT" TargetMode="External"/><Relationship Id="rId6" Type="http://schemas.openxmlformats.org/officeDocument/2006/relationships/hyperlink" Target="https://hlabconsulting365-my.sharepoint.com/:v:/g/personal/suchat_cha_hlabconsulting_com/IQD1Vl1wVYseR6mgsMlycNEgAbtJMFzfeIl-OOpkA8IRADw?nav=eyJyZWZlcnJhbEluZm8iOnsicmVmZXJyYWxBcHAiOiJPbmVEcml2ZUZvckJ1c2luZXNzIiwicmVmZXJyYWxBcHBQbGF0Zm9ybSI6IldlYiIsInJlZmVycmFsTW9kZSI6InZpZXciLCJyZWZlcnJhbFZpZXciOiJNeUZpbGVzTGlua0NvcHkifX0&amp;e=JwnZXT" TargetMode="External"/><Relationship Id="rId11" Type="http://schemas.openxmlformats.org/officeDocument/2006/relationships/hyperlink" Target="https://hlabconsulting365-my.sharepoint.com/:v:/g/personal/suchat_cha_hlabconsulting_com/IQBbH1aS2v8vR6pIQmfxMKRMAcEF-kI7kMAwJNctuTkuV8E?nav=eyJyZWZlcnJhbEluZm8iOnsicmVmZXJyYWxBcHAiOiJPbmVEcml2ZUZvckJ1c2luZXNzIiwicmVmZXJyYWxBcHBQbGF0Zm9ybSI6IldlYiIsInJlZmVycmFsTW9kZSI6InZpZXciLCJyZWZlcnJhbFZpZXciOiJNeUZpbGVzTGlua0NvcHkifX0&amp;e=K1lLtQ" TargetMode="External"/><Relationship Id="rId24" Type="http://schemas.openxmlformats.org/officeDocument/2006/relationships/hyperlink" Target="https://hlabconsulting365-my.sharepoint.com/:v:/g/personal/suchat_cha_hlabconsulting_com/IQBvVyNhx0o4RoB6dQdrlxhlAXgmALuvM0LmHOcrJ3Vebak?nav=eyJyZWZlcnJhbEluZm8iOnsicmVmZXJyYWxBcHAiOiJPbmVEcml2ZUZvckJ1c2luZXNzIiwicmVmZXJyYWxBcHBQbGF0Zm9ybSI6IldlYiIsInJlZmVycmFsTW9kZSI6InZpZXciLCJyZWZlcnJhbFZpZXciOiJNeUZpbGVzTGlua0NvcHkifX0&amp;e=Rc0JT9" TargetMode="External"/><Relationship Id="rId5" Type="http://schemas.openxmlformats.org/officeDocument/2006/relationships/hyperlink" Target="https://hlabconsulting365-my.sharepoint.com/:v:/g/personal/suchat_cha_hlabconsulting_com/IQD5ahfy2a2vSLKRewvZrPR3ARk6XuEMMcLkaghXz31OTCU?nav=eyJyZWZlcnJhbEluZm8iOnsicmVmZXJyYWxBcHAiOiJPbmVEcml2ZUZvckJ1c2luZXNzIiwicmVmZXJyYWxBcHBQbGF0Zm9ybSI6IldlYiIsInJlZmVycmFsTW9kZSI6InZpZXciLCJyZWZlcnJhbFZpZXciOiJNeUZpbGVzTGlua0NvcHkifX0&amp;e=gygqa1" TargetMode="External"/><Relationship Id="rId15" Type="http://schemas.openxmlformats.org/officeDocument/2006/relationships/hyperlink" Target="https://hlabconsulting365-my.sharepoint.com/:v:/g/personal/suchat_cha_hlabconsulting_com/IQBWx0eNgl0uQpKuSa2QH7tgAV9ZUNTzzswRJcDRAXuQ89o?nav=eyJyZWZlcnJhbEluZm8iOnsicmVmZXJyYWxBcHAiOiJPbmVEcml2ZUZvckJ1c2luZXNzIiwicmVmZXJyYWxBcHBQbGF0Zm9ybSI6IldlYiIsInJlZmVycmFsTW9kZSI6InZpZXciLCJyZWZlcnJhbFZpZXciOiJNeUZpbGVzTGlua0NvcHkifX0&amp;e=bPBwLn" TargetMode="External"/><Relationship Id="rId23" Type="http://schemas.openxmlformats.org/officeDocument/2006/relationships/hyperlink" Target="https://hlabconsulting365-my.sharepoint.com/:v:/g/personal/suchat_cha_hlabconsulting_com/IQAAi92UOtfPQaocFd2inFuVAXLL6VEsWlzMtdy0cQi54rE?nav=eyJyZWZlcnJhbEluZm8iOnsicmVmZXJyYWxBcHAiOiJPbmVEcml2ZUZvckJ1c2luZXNzIiwicmVmZXJyYWxBcHBQbGF0Zm9ybSI6IldlYiIsInJlZmVycmFsTW9kZSI6InZpZXciLCJyZWZlcnJhbFZpZXciOiJNeUZpbGVzTGlua0NvcHkifX0&amp;e=1EbXr3" TargetMode="External"/><Relationship Id="rId10" Type="http://schemas.openxmlformats.org/officeDocument/2006/relationships/hyperlink" Target="https://hlabconsulting365-my.sharepoint.com/:v:/g/personal/suchat_cha_hlabconsulting_com/IQDfUXPDQygyQqBUAccv_gZnAedfihipLS0fPRqKjEfk1t8?nav=eyJyZWZlcnJhbEluZm8iOnsicmVmZXJyYWxBcHAiOiJPbmVEcml2ZUZvckJ1c2luZXNzIiwicmVmZXJyYWxBcHBQbGF0Zm9ybSI6IldlYiIsInJlZmVycmFsTW9kZSI6InZpZXciLCJyZWZlcnJhbFZpZXciOiJNeUZpbGVzTGlua0NvcHkifX0&amp;e=vgfiAl" TargetMode="External"/><Relationship Id="rId19" Type="http://schemas.openxmlformats.org/officeDocument/2006/relationships/hyperlink" Target="https://hlabconsulting365-my.sharepoint.com/:v:/g/personal/suchat_cha_hlabconsulting_com/IQCjL32Y6tdcSI6STh3zIKXOAStoVHHO0R87Xf91xbOaUDs?nav=eyJyZWZlcnJhbEluZm8iOnsicmVmZXJyYWxBcHAiOiJPbmVEcml2ZUZvckJ1c2luZXNzIiwicmVmZXJyYWxBcHBQbGF0Zm9ybSI6IldlYiIsInJlZmVycmFsTW9kZSI6InZpZXciLCJyZWZlcnJhbFZpZXciOiJNeUZpbGVzTGlua0NvcHkifX0&amp;e=gPi9Le" TargetMode="External"/><Relationship Id="rId4" Type="http://schemas.openxmlformats.org/officeDocument/2006/relationships/hyperlink" Target="https://hlabconsulting365-my.sharepoint.com/:v:/g/personal/suchat_cha_hlabconsulting_com/IQBQwNxgcv6ZTIFSGEDDWe9zATSYPfGzq9JlL7GuZqeiGEw?nav=eyJyZWZlcnJhbEluZm8iOnsicmVmZXJyYWxBcHAiOiJPbmVEcml2ZUZvckJ1c2luZXNzIiwicmVmZXJyYWxBcHBQbGF0Zm9ybSI6IldlYiIsInJlZmVycmFsTW9kZSI6InZpZXciLCJyZWZlcnJhbFZpZXciOiJNeUZpbGVzTGlua0NvcHkifX0&amp;e=ulN9yF" TargetMode="External"/><Relationship Id="rId9" Type="http://schemas.openxmlformats.org/officeDocument/2006/relationships/hyperlink" Target="https://hlabconsulting365-my.sharepoint.com/:v:/g/personal/suchat_cha_hlabconsulting_com/IQCsGJHrTUm2TZ3R-0GIzr5wAe-PfTF6VgLpv9KKzQd7L80?nav=eyJyZWZlcnJhbEluZm8iOnsicmVmZXJyYWxBcHAiOiJPbmVEcml2ZUZvckJ1c2luZXNzIiwicmVmZXJyYWxBcHBQbGF0Zm9ybSI6IldlYiIsInJlZmVycmFsTW9kZSI6InZpZXciLCJyZWZlcnJhbFZpZXciOiJNeUZpbGVzTGlua0NvcHkifX0&amp;e=cphqmC" TargetMode="External"/><Relationship Id="rId14" Type="http://schemas.openxmlformats.org/officeDocument/2006/relationships/hyperlink" Target="https://hlabconsulting365-my.sharepoint.com/:v:/g/personal/suchat_cha_hlabconsulting_com/IQAtfI4FKa8xTqC2RY7oaI_qAew_4UYBUwii0yvrXka1BGo?nav=eyJyZWZlcnJhbEluZm8iOnsicmVmZXJyYWxBcHAiOiJPbmVEcml2ZUZvckJ1c2luZXNzIiwicmVmZXJyYWxBcHBQbGF0Zm9ybSI6IldlYiIsInJlZmVycmFsTW9kZSI6InZpZXciLCJyZWZlcnJhbFZpZXciOiJNeUZpbGVzTGlua0NvcHkifX0&amp;e=hhfjdh" TargetMode="External"/><Relationship Id="rId22" Type="http://schemas.openxmlformats.org/officeDocument/2006/relationships/hyperlink" Target="https://hlabconsulting365-my.sharepoint.com/:v:/g/personal/suchat_cha_hlabconsulting_com/IQDEyD7XYoZ0QrLPluWOYNucARM89DVHBL8SS3i2EOBJ5bw?nav=eyJyZWZlcnJhbEluZm8iOnsicmVmZXJyYWxBcHAiOiJPbmVEcml2ZUZvckJ1c2luZXNzIiwicmVmZXJyYWxBcHBQbGF0Zm9ybSI6IldlYiIsInJlZmVycmFsTW9kZSI6InZpZXciLCJyZWZlcnJhbFZpZXciOiJNeUZpbGVzTGlua0NvcHkifX0&amp;e=PmMpjc" TargetMode="External"/></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linear.app/cortexcloud/issue/SBH-2471/ertriage-add-patient-age-and-hn-to-bedside-name-badge" TargetMode="External"/><Relationship Id="rId2" Type="http://schemas.openxmlformats.org/officeDocument/2006/relationships/hyperlink" Target="https://linear.app/cortexcloud/issue/SBH-2462/er-disposition-%E0%B9%81%E0%B8%AA%E0%B8%94%E0%B8%87-disposition-from-%E0%B8%A2%E0%B8%AD%E0%B8%99%E0%B8%AB%E0%B8%A5%E0%B8%87" TargetMode="External"/><Relationship Id="rId1" Type="http://schemas.openxmlformats.org/officeDocument/2006/relationships/hyperlink" Target="https://linear.app/cortexcloud/issue/SBH-2482/er-treatment-timeline-%E0%B9%81%E0%B8%AA%E0%B8%94%E0%B8%87%E0%B8%84%E0%B8%A7%E0%B8%B2%E0%B8%A1%E0%B8%A3%E0%B8%99%E0%B9%81%E0%B8%A3%E0%B8%87%E0%B8%82%E0%B8%AD%E0%B8%87-esi-level" TargetMode="External"/><Relationship Id="rId6" Type="http://schemas.openxmlformats.org/officeDocument/2006/relationships/hyperlink" Target="https://linear.app/cortexcloud/issue/SBH-2471/ertriage-add-patient-age-and-hn-to-bedside-name-badge" TargetMode="External"/><Relationship Id="rId5" Type="http://schemas.openxmlformats.org/officeDocument/2006/relationships/hyperlink" Target="https://linear.app/cortexcloud/issue/SBH-2482/er-treatment-timeline-%E0%B9%81%E0%B8%AA%E0%B8%94%E0%B8%87%E0%B8%84%E0%B8%A7%E0%B8%B2%E0%B8%A1%E0%B8%A3%E0%B8%99%E0%B9%81%E0%B8%A3%E0%B8%87%E0%B8%82%E0%B8%AD%E0%B8%87-esi-level" TargetMode="External"/><Relationship Id="rId4" Type="http://schemas.openxmlformats.org/officeDocument/2006/relationships/hyperlink" Target="https://linear.app/cortexcloud/issue/SBH-2462/er-disposition-%E0%B9%81%E0%B8%AA%E0%B8%94%E0%B8%87-disposition-from-%E0%B8%A2%E0%B8%AD%E0%B8%99%E0%B8%AB%E0%B8%A5%E0%B8%87"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hlabconsulting365-my.sharepoint.com/:v:/g/personal/suchat_cha_hlabconsulting_com/IQBvVyNhx0o4RoB6dQdrlxhlAXgmALuvM0LmHOcrJ3Vebak?nav=eyJyZWZlcnJhbEluZm8iOnsicmVmZXJyYWxBcHAiOiJPbmVEcml2ZUZvckJ1c2luZXNzIiwicmVmZXJyYWxBcHBQbGF0Zm9ybSI6IldlYiIsInJlZmVycmFsTW9kZSI6InZpZXciLCJyZWZlcnJhbFZpZXciOiJNeUZpbGVzTGlua0NvcHkifX0&amp;e=Rc0JT9" TargetMode="External"/><Relationship Id="rId1" Type="http://schemas.openxmlformats.org/officeDocument/2006/relationships/hyperlink" Target="https://hlabconsulting365-my.sharepoint.com/:v:/g/personal/suchat_cha_hlabconsulting_com/IQAAi92UOtfPQaocFd2inFuVAXLL6VEsWlzMtdy0cQi54rE?nav=eyJyZWZlcnJhbEluZm8iOnsicmVmZXJyYWxBcHAiOiJPbmVEcml2ZUZvckJ1c2luZXNzIiwicmVmZXJyYWxBcHBQbGF0Zm9ybSI6IldlYiIsInJlZmVycmFsTW9kZSI6InZpZXciLCJyZWZlcnJhbFZpZXciOiJNeUZpbGVzTGlua0NvcHkifX0&amp;e=1EbXr3" TargetMode="External"/><Relationship Id="rId4" Type="http://schemas.microsoft.com/office/2019/04/relationships/namedSheetView" Target="../namedSheetViews/namedSheetView5.xml"/></Relationships>
</file>

<file path=xl/worksheets/_rels/sheet12.xml.rels><?xml version="1.0" encoding="UTF-8" standalone="yes"?>
<Relationships xmlns="http://schemas.openxmlformats.org/package/2006/relationships"><Relationship Id="rId8" Type="http://schemas.openxmlformats.org/officeDocument/2006/relationships/hyperlink" Target="../../../../../../:i:/g/personal/suchat_cha_hlabconsulting_com/IQAAFD_dDtD7T6wkIlfKY2s1AW4yKKAwtuFEmaWI-nrvJ94?e=LtrYwl" TargetMode="External"/><Relationship Id="rId13" Type="http://schemas.openxmlformats.org/officeDocument/2006/relationships/hyperlink" Target="../../../../../../:i:/g/personal/suchat_cha_hlabconsulting_com/IQAXyrpKgHs0TrwSQVhCaPLAARuAhgeB1C3j3yuqwp1JdUA?e=xKEHmq" TargetMode="External"/><Relationship Id="rId18" Type="http://schemas.microsoft.com/office/2017/10/relationships/threadedComment" Target="../threadedComments/threadedComment1.xml"/><Relationship Id="rId3" Type="http://schemas.openxmlformats.org/officeDocument/2006/relationships/hyperlink" Target="../../../../../../:i:/g/personal/suchat_cha_hlabconsulting_com/IQAAFD_dDtD7T6wkIlfKY2s1AW4yKKAwtuFEmaWI-nrvJ94?e=LtrYwl" TargetMode="External"/><Relationship Id="rId7" Type="http://schemas.openxmlformats.org/officeDocument/2006/relationships/hyperlink" Target="../../../../../../:i:/g/personal/suchat_cha_hlabconsulting_com/IQDW3SufG73-RpJxzq9wmYG7AYefcKgMfpsQA-n7wwUbDVc?e=s6YzrQ" TargetMode="External"/><Relationship Id="rId12" Type="http://schemas.openxmlformats.org/officeDocument/2006/relationships/hyperlink" Target="../../../../../../:i:/g/personal/suchat_cha_hlabconsulting_com/IQASrzZkXjiGQq44fvbp2bHaAbStHZUtCjUfZL-pAPIc0Lo?e=ek12On" TargetMode="External"/><Relationship Id="rId17" Type="http://schemas.openxmlformats.org/officeDocument/2006/relationships/comments" Target="../comments1.xml"/><Relationship Id="rId2" Type="http://schemas.openxmlformats.org/officeDocument/2006/relationships/hyperlink" Target="../../../../../../:i:/g/personal/suchat_cha_hlabconsulting_com/IQAAFD_dDtD7T6wkIlfKY2s1AW4yKKAwtuFEmaWI-nrvJ94?e=LtrYwl" TargetMode="External"/><Relationship Id="rId16" Type="http://schemas.openxmlformats.org/officeDocument/2006/relationships/vmlDrawing" Target="../drawings/vmlDrawing1.vml"/><Relationship Id="rId1" Type="http://schemas.openxmlformats.org/officeDocument/2006/relationships/hyperlink" Target="../../../../../../:f:/g/personal/suchat_cha_hlabconsulting_com/IgBF-aDD7N-wSIQzdIP8rLYjAYi9ElwwDgdwrFxD5YHkfxs?e=DAkzUc" TargetMode="External"/><Relationship Id="rId6" Type="http://schemas.openxmlformats.org/officeDocument/2006/relationships/hyperlink" Target="../../../../../../:i:/g/personal/suchat_cha_hlabconsulting_com/IQBLmJ6zso3XTqTlkn0L4htlAXZ1U4tZl-vvX1mXNcRzzu0?e=fwrXzH" TargetMode="External"/><Relationship Id="rId11" Type="http://schemas.openxmlformats.org/officeDocument/2006/relationships/hyperlink" Target="../../../../../../:i:/g/personal/suchat_cha_hlabconsulting_com/IQB0HPqriuhHT72Rk-t2ecr7Acoxmwj_x4vJ5U67pxQk0e8?e=b2Fs15" TargetMode="External"/><Relationship Id="rId5" Type="http://schemas.openxmlformats.org/officeDocument/2006/relationships/hyperlink" Target="../../../../../../:i:/g/personal/suchat_cha_hlabconsulting_com/IQBFMs4EtO27QJYrK3844ewdAdSHGy2MTh8CYAwpOwygM2w?e=jtxRoE" TargetMode="External"/><Relationship Id="rId15" Type="http://schemas.openxmlformats.org/officeDocument/2006/relationships/hyperlink" Target="../../../../../../:i:/g/personal/suchat_cha_hlabconsulting_com/IQCeoGsgjHK5TYFg9TpKMd8MAZOPPetVzcPl8tYt_OQe-tw?e=Yjot4t" TargetMode="External"/><Relationship Id="rId10" Type="http://schemas.openxmlformats.org/officeDocument/2006/relationships/hyperlink" Target="../../../../../../:i:/g/personal/suchat_cha_hlabconsulting_com/IQA8rY29eU2CQ6ON-ZKgv6y1AWxElajj7KT2xFbsOict0wA?e=uuzZbr" TargetMode="External"/><Relationship Id="rId4" Type="http://schemas.openxmlformats.org/officeDocument/2006/relationships/hyperlink" Target="../../../../../../:i:/g/personal/suchat_cha_hlabconsulting_com/IQAqx1yqEtOLQqpSnI7vVcJZAXc_zktiVsoi_Tr1tnK6Ygs?e=tyOab3" TargetMode="External"/><Relationship Id="rId9" Type="http://schemas.openxmlformats.org/officeDocument/2006/relationships/hyperlink" Target="../../../../../../:i:/g/personal/suchat_cha_hlabconsulting_com/IQDTV4ghf1iBTZ-xZ2yKQe2xAY52VBxZ4bjISG1NezwMxxA?e=eE8ZsN" TargetMode="External"/><Relationship Id="rId14" Type="http://schemas.openxmlformats.org/officeDocument/2006/relationships/hyperlink" Target="../../../../../../:i:/g/personal/suchat_cha_hlabconsulting_com/IQBjbPEhJFo9T5PAmoh-tyzjAbAkmTPAkFJwU1Eoe5JsNHQ?e=5c9Ar6"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8" Type="http://schemas.openxmlformats.org/officeDocument/2006/relationships/hyperlink" Target="https://linear.app/cortexcloud/issue/SBH-2529/opdorder-set-refactor-order-set" TargetMode="External"/><Relationship Id="rId3" Type="http://schemas.openxmlformats.org/officeDocument/2006/relationships/hyperlink" Target="https://linear.app/cortexcloud/issue/SBH-1732/opdpharmacy-%E0%B9%80%E0%B8%9E%E0%B8%A1%E0%B8%9B%E0%B8%A1%E0%B8%88%E0%B8%94-print-%E0%B9%83%E0%B8%9A-refill-%E0%B8%A2%E0%B8%B2-%E0%B8%9B%E0%B8%88%E0%B8%88%E0%B8%9A%E0%B8%99%E0%B9%81%E0%B8%A5%E0%B8%B0%E0%B8%A2%E0%B8%AD%E0%B8%99%E0%B8%AB%E0%B8%A5%E0%B8%87" TargetMode="External"/><Relationship Id="rId7" Type="http://schemas.openxmlformats.org/officeDocument/2006/relationships/hyperlink" Target="https://linear.app/cortexcloud/issue/SBH-1547/bug-emr-%E0%B9%83%E0%B8%9A%E0%B8%99%E0%B8%94%E0%B8%A0%E0%B8%B2%E0%B8%A9%E0%B8%B2%E0%B9%84%E0%B8%97%E0%B8%A2%E0%B8%94%E0%B8%87%E0%B8%82%E0%B8%AD%E0%B8%A1%E0%B8%A5%E0%B9%84%E0%B8%A1%E0%B8%84%E0%B8%A3%E0%B8%9A-%E0%B8%9C%E0%B8%94%E0%B8%9B%E0%B8%A3%E0%B8%B0%E0%B9%80%E0%B8%A0%E0%B8%97" TargetMode="External"/><Relationship Id="rId2" Type="http://schemas.openxmlformats.org/officeDocument/2006/relationships/hyperlink" Target="https://linear.app/cortexcloud/issue/SBH-2360/registration-opd-&#3651;&#3610;&#3609;&#3635;&#3607;&#3634;&#3591;-form-for-sbh-and-improvement" TargetMode="External"/><Relationship Id="rId1" Type="http://schemas.openxmlformats.org/officeDocument/2006/relationships/hyperlink" Target="https://linear.app/cortexcloud/issue/SBH-1732/opdpharmacy-%E0%B9%80%E0%B8%9E%E0%B8%A1%E0%B8%9B%E0%B8%A1%E0%B8%88%E0%B8%94-print-%E0%B9%83%E0%B8%9A-refill-%E0%B8%A2%E0%B8%B2-%E0%B8%9B%E0%B8%88%E0%B8%88%E0%B8%9A%E0%B8%99%E0%B9%81%E0%B8%A5%E0%B8%B0%E0%B8%A2%E0%B8%AD%E0%B8%99%E0%B8%AB%E0%B8%A5%E0%B8%87" TargetMode="External"/><Relationship Id="rId6" Type="http://schemas.openxmlformats.org/officeDocument/2006/relationships/hyperlink" Target="https://linear.app/cortexcloud/issue/SBH-2372/pharmacy-%E0%B8%A2%E0%B8%87%E0%B9%84%E0%B8%A1%E0%B8%AA%E0%B8%B2%E0%B8%A1%E0%B8%B2%E0%B8%A3%E0%B8%96%E0%B8%9E%E0%B8%A1%E0%B8%9E%E0%B8%89%E0%B8%A5%E0%B8%B2%E0%B8%81%E0%B8%A2%E0%B8%B2%E0%B9%83%E0%B8%9A%E0%B8%A2%E0%B8%B2%E0%B9%84%E0%B8%94-%E0%B8%97%E0%B8%81%E0%B8%B3%E0%B8%AB%E0%B8%99%E0%B8%94%E0%B8%88%E0%B8%B3%E0%B8%99%E0%B8%A7%E0%B8%99%E0%B9%80%E0%B8%9B%E0%B8%99-0-%E0%B9%84%E0%B8%94" TargetMode="External"/><Relationship Id="rId5" Type="http://schemas.openxmlformats.org/officeDocument/2006/relationships/hyperlink" Target="https://linear.app/cortexcloud/issue/SBH-1732/opdpharmacy-%E0%B9%80%E0%B8%9E%E0%B8%A1%E0%B8%9B%E0%B8%A1%E0%B8%88%E0%B8%94-print-%E0%B9%83%E0%B8%9A-refill-%E0%B8%A2%E0%B8%B2-%E0%B8%9B%E0%B8%88%E0%B8%88%E0%B8%9A%E0%B8%99%E0%B9%81%E0%B8%A5%E0%B8%B0%E0%B8%A2%E0%B8%AD%E0%B8%99%E0%B8%AB%E0%B8%A5%E0%B8%87" TargetMode="External"/><Relationship Id="rId10" Type="http://schemas.openxmlformats.org/officeDocument/2006/relationships/hyperlink" Target="https://linear.app/cortexcloud/issue/SBH-2534/bugcpoeorder-section-icd9-%E0%B9%84%E0%B8%A1%E0%B8%AB%E0%B8%B2%E0%B8%A2%E0%B9%84%E0%B8%9B%E0%B9%80%E0%B8%A1%E0%B8%AD%E0%B8%A1%E0%B8%81%E0%B8%B2%E0%B8%A3%E0%B8%A2%E0%B8%81%E0%B9%80%E0%B8%A5%E0%B8%81%E0%B8%A3%E0%B8%B2%E0%B8%A2%E0%B8%81%E0%B8%B2%E0%B8%A3-activity" TargetMode="External"/><Relationship Id="rId4" Type="http://schemas.openxmlformats.org/officeDocument/2006/relationships/hyperlink" Target="https://linear.app/cortexcloud/issue/NUH-2435/lab-re-structure-%E0%B8%95%E0%B8%AD%E0%B8%99%E0%B8%A3%E0%B8%9A%E0%B8%AD%E0%B8%AD%E0%B9%80%E0%B8%94%E0%B8%AD%E0%B8%A3-%E0%B8%99%E0%B8%94%E0%B8%AB%E0%25BNUH-2435:%20/%5bLab/%5d%20Re-Structure%20&#3605;&#3629;&#3609;&#3619;&#3633;&#3610;&#3629;&#3629;&#3648;&#3604;&#3629;&#3619;&#3660;%20(&#3609;&#3633;&#3604;&#3627;&#3617;&#3634;&#3618;&#3621;&#3656;&#3623;&#3591;&#3627;&#3609;&#3657;&#3634;)%5d(https:/linear.app/cortexcloud/issue/NUH-2435/lab-re-structure-&#3605;&#3629;&#3609;&#3619;&#3610;&#3629;&#3629;&#3648;&#3604;&#3629;&#3619;-&#3609;&#3604;&#3627;&#3617;&#3634;&#3618;&#3621;&#3623;&#3591;&#3627;&#3609;&#3634;)" TargetMode="External"/><Relationship Id="rId9" Type="http://schemas.openxmlformats.org/officeDocument/2006/relationships/hyperlink" Target="https://linear.app/cortexcloud/issue/SBH-2699/emr-pre-assessment-%E0%B8%9B%E0%B8%A3%E0%B8%9A-route-%E0%B8%81%E0%B8%B2%E0%B8%A3%E0%B9%80%E0%B8%82%E0%B8%B2-pre-assessment-form-%E0%B8%88%E0%B8%B2%E0%B8%81%E0%B8%AB%E0%B8%99%E0%B8%B2-%E0%B8%84%E0%B8%B3%E0%B8%82%E0%B8%AD"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linear.app/cortexcloud/issue/SBH-2529/bug-opdorder-set-refactor-order-set" TargetMode="External"/><Relationship Id="rId2" Type="http://schemas.openxmlformats.org/officeDocument/2006/relationships/hyperlink" Target="https://linear.app/cortexcloud/issue/SBH-1309/pharmacy-%E0%B8%89%E0%B8%A5%E0%B8%B2%E0%B8%81%E0%B8%A2%E0%B8%B2%E0%B8%A0%E0%B8%B2%E0%B8%A9%E0%B8%B2%E0%B8%AD%E0%B8%87%E0%B8%81%E0%B8%A4%E0%B8%A9" TargetMode="External"/><Relationship Id="rId1" Type="http://schemas.openxmlformats.org/officeDocument/2006/relationships/hyperlink" Target="https://linear.app/cortexcloud/issue/SBH-2374/bug-pharmacy-sticker-%E0%B8%A2%E0%B8%B2%E0%B8%A0%E0%B8%B2%E0%B8%A9%E0%B8%B2%E0%B9%84%E0%B8%97%E0%B8%A2%E0%B8%AB%E0%B8%B2%E0%B8%A2%E0%B9%84%E0%B8%9B%E0%B8%88%E0%B8%B2%E0%B8%81-sbh-prd" TargetMode="External"/><Relationship Id="rId6" Type="http://schemas.openxmlformats.org/officeDocument/2006/relationships/hyperlink" Target="https://linear.app/cortexcloud/issue/SBH-2534/bugcpoeorder-section-icd9-%E0%B9%84%E0%B8%A1%E0%B8%AB%E0%B8%B2%E0%B8%A2%E0%B9%84%E0%B8%9B%E0%B9%80%E0%B8%A1%E0%B8%AD%E0%B8%A1%E0%B8%81%E0%B8%B2%E0%B8%A3%E0%B8%A2%E0%B8%81%E0%B9%80%E0%B8%A5%E0%B8%81%E0%B8%A3%E0%B8%B2%E0%B8%A2%E0%B8%81%E0%B8%B2%E0%B8%A3-activity" TargetMode="External"/><Relationship Id="rId5" Type="http://schemas.openxmlformats.org/officeDocument/2006/relationships/hyperlink" Target="https://linear.app/cortexcloud/issue/SBH-2699/emr-pre-assessment-%E0%B8%9B%E0%B8%A3%E0%B8%9A-route-%E0%B8%81%E0%B8%B2%E0%B8%A3%E0%B9%80%E0%B8%82%E0%B8%B2-pre-assessment-form-%E0%B8%88%E0%B8%B2%E0%B8%81%E0%B8%AB%E0%B8%99%E0%B8%B2-%E0%B8%84%E0%B8%B3%E0%B8%82%E0%B8%AD" TargetMode="External"/><Relationship Id="rId4" Type="http://schemas.openxmlformats.org/officeDocument/2006/relationships/hyperlink" Target="https://linear.app/cortexcloud/issue/SBH-2758/emr-%E0%B8%88%E0%B8%94-print-%E0%B9%80%E0%B8%AD%E0%B8%81%E0%B8%AA%E0%B8%B2%E0%B8%A3%E0%B8%A3%E0%B8%A7%E0%B8%A1-%E0%B8%93-%E0%B8%88%E0%B8%94-discharge-%E0%B8%9C%E0%B8%9B%E0%B8%A7%E0%B8%A2%E0%B9%82%E0%B8%94%E0%B8%A2%E0%B8%9E%E0%B8%A2%E0%B8%B2%E0%B8%9A%E0%B8%B2%E0%B8%A5"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document/d/1CAEvKbEtSDWCjELiigJ7vS2jZ2z2rX35/edit"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linear.app/cortexcloud/issue/SBH-353/bugopd-patient-info-&#3648;&#3614;&#3617;&#3586;&#3629;&#3617;&#3621;&#3612;&#3611;&#3623;&#3618;&#3652;&#3617;&#3652;&#3604;-ud-maternal-status" TargetMode="External"/><Relationship Id="rId1" Type="http://schemas.openxmlformats.org/officeDocument/2006/relationships/hyperlink" Target="https://linear.app/cortexcloud/issue/SBH-266/custom-cpoe-&#3626;&#3605;&#3623;&#3629;&#3585;&#3625;&#3619;-banner-&#3649;&#3614;&#3618;&#3634;&#3586;&#3629;&#3614;&#3609;&#3627;&#3621;&#3591;&#3626;&#3649;&#3604;&#3591;&#3629;&#3629;&#3609;" TargetMode="External"/></Relationships>
</file>

<file path=xl/worksheets/_rels/sheet23.xml.rels><?xml version="1.0" encoding="UTF-8" standalone="yes"?>
<Relationships xmlns="http://schemas.openxmlformats.org/package/2006/relationships"><Relationship Id="rId26" Type="http://schemas.openxmlformats.org/officeDocument/2006/relationships/hyperlink" Target="https://linear.app/cortexcloud/issue/SBH-664/bugvital-signs-vs&#3648;&#3585;&#3603;&#3601;&#3626;&#3586;&#3629;&#3591;-vs-config-&#3588;&#3634;-normal" TargetMode="External"/><Relationship Id="rId21" Type="http://schemas.openxmlformats.org/officeDocument/2006/relationships/hyperlink" Target="https://linear.app/cortexcloud/issue/SBH-660/vital-signs-vs%E0%B8%81&#3619;&#3634;&#3615;&#3649;&#3609;&#3623;&#3650;&#3609;&#3617;-vs-bp-&#3609;&#3635;&#3627;&#3609;&#3585;" TargetMode="External"/><Relationship Id="rId42" Type="http://schemas.openxmlformats.org/officeDocument/2006/relationships/hyperlink" Target="https://linear.app/cortexcloud/issue/CTX-4794/be-search-medication-order-item-by-synonyms" TargetMode="External"/><Relationship Id="rId47" Type="http://schemas.openxmlformats.org/officeDocument/2006/relationships/hyperlink" Target="https://linear.app/cortexcloud/issue/SBH-680/order-&#3618;&#3634;-med-&#3627;&#3605;&#3606;&#3585;&#3634;&#3619;-activity-&#3626;&#3591;&#3618;&#3634;&#3627;&#3605;&#3606;&#3585;&#3634;&#3619;&#3605;&#3634;-&#3588;&#3609;&#3627;&#3634;&#3618;&#3634;&#3585;" TargetMode="External"/><Relationship Id="rId63" Type="http://schemas.openxmlformats.org/officeDocument/2006/relationships/hyperlink" Target="https://linear.app/cortexcloud/issue/SBH-686/opd-card-retrieve-note" TargetMode="External"/><Relationship Id="rId68" Type="http://schemas.openxmlformats.org/officeDocument/2006/relationships/hyperlink" Target="https://linear.app/cortexcloud/issue/SBH-696/consult-diagnosis-&#3648;&#3611;&#3609;-free-text-diagnosis-&#3651;&#3609;&#3585;&#3634;&#3619;-consult-&#3588;&#3623;&#3619;&#3651;&#3594;-free" TargetMode="External"/><Relationship Id="rId84" Type="http://schemas.openxmlformats.org/officeDocument/2006/relationships/hyperlink" Target="https://linear.app/cortexcloud/issue/SBH-707/vaccine-&#3618;&#3634;-vaccine-&#3607;&#3626;&#3591;-&#3610;&#3609;&#3607;&#3585;&#3648;&#3586;&#3634;&#3611;&#3619;&#3632;&#3623;&#3605;-vaccine-&#3629;&#3605;&#3650;&#3609;&#3617;&#3605;" TargetMode="External"/><Relationship Id="rId89" Type="http://schemas.openxmlformats.org/officeDocument/2006/relationships/hyperlink" Target="https://linear.app/cortexcloud/issue/SBH-710/discharge-&#3626;&#3619;&#3611;&#3588;&#3634;&#3651;&#3594;&#3592;&#3634;&#3618;improvement-&#3588;&#3634;-df" TargetMode="External"/><Relationship Id="rId16" Type="http://schemas.openxmlformats.org/officeDocument/2006/relationships/hyperlink" Target="https://linear.app/cortexcloud/issue/SBH-655/lab-result-lab-order-dup-lab" TargetMode="External"/><Relationship Id="rId11" Type="http://schemas.openxmlformats.org/officeDocument/2006/relationships/hyperlink" Target="https://linear.app/cortexcloud/issue/SBH-647/opd-pre-assessment-&#3615;&#3629;&#3619;&#3617;&#3588;&#3604;&#3585;&#3619;&#3629;&#3591;&#3652;&#3617;&#3588;&#3623;&#3619;&#3617;&#3626;&#3623;&#3609;-pe-&#3649;&#3621;&#3632;-triage" TargetMode="External"/><Relationship Id="rId32"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37" Type="http://schemas.openxmlformats.org/officeDocument/2006/relationships/hyperlink" Target="https://linear.app/cortexcloud/issue/SBH-674/order-&#3618;&#3634;-med-&#3649;&#3592;&#3591;&#3648;&#3605;&#3629;&#3609;&#3649;&#3614;&#3618;&#3634;&#3607;&#3609;&#3607;&#3605;&#3629;&#3609;&#3614;&#3617;&#3614;&#3626;&#3591;&#3618;&#3634;-&#3618;&#3634;&#3618;-modal-&#3617;&#3634;&#3605;&#3591;&#3649;&#3605;&#3648;&#3621;&#3629;&#3585;&#3618;&#3634;" TargetMode="External"/><Relationship Id="rId53" Type="http://schemas.openxmlformats.org/officeDocument/2006/relationships/hyperlink" Target="https://linear.app/cortexcloud/issue/SBH-683/bugorder-&#3607;&#3623;&#3652;&#3611;&#3611;&#3619;&#3610;-order-check-list-design-&#3651;&#3627;&#3651;&#3594;&#3591;&#3634;&#3618;" TargetMode="External"/><Relationship Id="rId58" Type="http://schemas.openxmlformats.org/officeDocument/2006/relationships/hyperlink" Target="https://linear.app/cortexcloud/issue/SBH-688/&#3611;&#3619;&#3632;&#3623;&#3605;&#3585;&#3634;&#3619;&#3619;&#3585;&#3625;&#3634;-opd-note-&#3594;&#3629;&#3591;-cc-&#3586;&#3618;&#3634;&#3618;&#3652;&#3617;&#3652;&#3604;" TargetMode="External"/><Relationship Id="rId74" Type="http://schemas.openxmlformats.org/officeDocument/2006/relationships/hyperlink" Target="https://linear.app/cortexcloud/issue/SBH-699/consultmasterdata-location-&#3648;&#3614;&#3617;&#3607;&#3605;&#3591;-&#3585;&#3604;&#3648;&#3614;&#3617;&#3649;&#3621;&#3623;&#3648;&#3611;&#3604;&#3649;&#3607;&#3610;&#3651;&#3627;&#3617;" TargetMode="External"/><Relationship Id="rId79" Type="http://schemas.openxmlformats.org/officeDocument/2006/relationships/hyperlink" Target="https://linear.app/cortexcloud/issue/SBH-703/patient-banner-&#3586;&#3629;&#3617;&#3621;&#3612;&#3611;&#3623;&#3618;-&#3611;&#3619;&#3632;&#3623;&#3605;&#3612;&#3611;&#3623;&#3618;-palliative-care-living-will" TargetMode="External"/><Relationship Id="rId5" Type="http://schemas.openxmlformats.org/officeDocument/2006/relationships/hyperlink" Target="https://linear.app/cortexcloud/issue/SBH-644/emrlab-result-lab-patho" TargetMode="External"/><Relationship Id="rId90" Type="http://schemas.openxmlformats.org/officeDocument/2006/relationships/hyperlink" Target="https://linear.app/cortexcloud/issue/SBH-711/&#3619;&#3629;&#3619;&#3611;&#3592;&#3634;&#3585;&#3595;&#3634;-discharge-&#3626;&#3619;&#3611;&#3588;&#3634;&#3651;&#3594;&#3592;&#3634;&#3618;-&#3651;&#3610;-order-admit" TargetMode="External"/><Relationship Id="rId95" Type="http://schemas.openxmlformats.org/officeDocument/2006/relationships/hyperlink" Target="https://linear.app/cortexcloud/issue/SBH-714/opd-opd-note-body-chart-&#3648;&#3614;&#3617;&#3585;&#3634;&#3619;collapsible-section" TargetMode="External"/><Relationship Id="rId22" Type="http://schemas.openxmlformats.org/officeDocument/2006/relationships/hyperlink" Target="https://linear.app/cortexcloud/issue/SBH-661/vital-signs-vspain-score-&#3648;&#3611;&#3609;-vs-&#3605;&#3623;&#3607;-5" TargetMode="External"/><Relationship Id="rId27" Type="http://schemas.openxmlformats.org/officeDocument/2006/relationships/hyperlink" Target="https://linear.app/cortexcloud/issue/SBH-666/vital-signs-vs&#3648;&#3629;&#3634;-vsbmi-&#3629;&#3629;&#3585;&#3592;&#3634;&#3585;-opd-note-&#3595;&#3635;&#3585;&#3610;&#3617;&#3617;&#3610;&#3609;-&#3649;&#3605;&#3648;&#3585;&#3610;-body-chart" TargetMode="External"/><Relationship Id="rId43" Type="http://schemas.openxmlformats.org/officeDocument/2006/relationships/hyperlink" Target="https://linear.app/cortexcloud/issue/SBH-677/order-check-diagnosis-before-allowing-physician-to-order" TargetMode="External"/><Relationship Id="rId48" Type="http://schemas.openxmlformats.org/officeDocument/2006/relationships/hyperlink" Target="https://linear.app/cortexcloud/issue/SBH-422/cpoe-&#3648;&#3629;&#3585;&#3626;&#3634;&#3619;&#3611;&#3619;&#3632;&#3585;&#3629;&#3610;&#3585;&#3634;&#3619;&#3626;&#3591;&#3618;&#3634;" TargetMode="External"/><Relationship Id="rId64" Type="http://schemas.openxmlformats.org/officeDocument/2006/relationships/hyperlink" Target="https://linear.app/cortexcloud/issue/SBH-692/improvement-body-chart-multimedia-tool" TargetMode="External"/><Relationship Id="rId69" Type="http://schemas.openxmlformats.org/officeDocument/2006/relationships/hyperlink" Target="https://linear.app/cortexcloud/issue/SBH-697/bugconsult-consult-&#3585;&#3604;&#3626;&#3591;&#3649;&#3621;&#3623;&#3652;&#3617;&#3617;-action-&#3605;&#3629;" TargetMode="External"/><Relationship Id="rId80" Type="http://schemas.openxmlformats.org/officeDocument/2006/relationships/hyperlink" Target="https://linear.app/cortexcloud/issue/SBH-704/patient-banner-&#3586;&#3629;&#3617;&#3621;&#3612;&#3611;&#3623;&#3618;-&#3611;&#3619;&#3632;&#3623;&#3605;&#3611;&#3585;&#3611;&#3604;-confidential-history" TargetMode="External"/><Relationship Id="rId85" Type="http://schemas.openxmlformats.org/officeDocument/2006/relationships/hyperlink" Target="https://linear.app/cortexcloud/issue/SBH-417/cpoe-&#3619;&#3623;&#3617;&#3588;&#3634;&#3651;&#3594;&#3592;&#3634;&#3618;&#3612;&#3611;&#3623;&#3618;" TargetMode="External"/><Relationship Id="rId3" Type="http://schemas.openxmlformats.org/officeDocument/2006/relationships/hyperlink" Target="https://linear.app/cortexcloud/issue/CTXN-2452/opd-order-checklist-&#3652;&#3617;&#3626;&#3634;&#3617;&#3634;&#3619;&#3606;order-checklist-&#3586;&#3629;&#3591;&#3619;&#3634;&#3618;&#3585;&#3634;&#3619;imaging" TargetMode="External"/><Relationship Id="rId12" Type="http://schemas.openxmlformats.org/officeDocument/2006/relationships/hyperlink" Target="https://linear.app/cortexcloud/issue/SBH-651/opdorder-meddata-&#3648;&#3617;&#3629;&#3651;&#3626;&#3623;&#3608;&#3651;&#3594;&#3618;&#3634;&#3649;&#3621;&#3623;-&#3619;&#3632;&#3610;&#3610;&#3652;&#3617;&#3588;&#3635;&#3609;&#3623;&#3603;&#3592;&#3635;&#3609;&#3623;&#3609;&#3648;&#3617;&#3604;&#3626;&#3635;&#3627;&#3619;&#3610;&#3618;&#3634;&#3610;&#3634;&#3591;&#3605;&#3623;" TargetMode="External"/><Relationship Id="rId17" Type="http://schemas.openxmlformats.org/officeDocument/2006/relationships/hyperlink" Target="https://linear.app/cortexcloud/issue/SBH-656/buglab-order&#3649;&#3585;&#3652;&#3586;&#3619;&#3634;&#3618;&#3585;&#3634;&#3619;-lab-&#3607;&#3626;&#3591;&#3652;&#3617;&#3652;&#3604;" TargetMode="External"/><Relationship Id="rId25" Type="http://schemas.openxmlformats.org/officeDocument/2006/relationships/hyperlink" Target="https://linear.app/cortexcloud/issue/CTXN-2460/opd-order-activity-&#3619;&#3634;&#3618;&#3585;&#3634;&#3619;&#3588;&#3635;&#3626;&#3591;&#3627;&#3605;&#3606;&#3585;&#3634;&#3619;-&#3652;&#3617;&#3617;&#3611;&#3617;&#3621;&#3610;-&#3651;&#3609;&#3626;&#3623;&#3609;&#3586;&#3629;&#3591;order-basket" TargetMode="External"/><Relationship Id="rId33"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38"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46" Type="http://schemas.openxmlformats.org/officeDocument/2006/relationships/hyperlink" Target="https://linear.app/cortexcloud/issue/SBH-575/opdorder-&#3618;&#3634;&#3607;&#3605;&#3629;&#3591;&#3617;&#3648;&#3629;&#3585;&#3626;&#3634;&#3619;&#3611;&#3619;&#3632;&#3585;&#3629;&#3610;-padue" TargetMode="External"/><Relationship Id="rId59" Type="http://schemas.openxmlformats.org/officeDocument/2006/relationships/hyperlink" Target="https://linear.app/cortexcloud/issue/SBH-689/&#3611;&#3619;&#3632;&#3623;&#3605;&#3585;&#3634;&#3619;&#3619;&#3585;&#3625;&#3634;-opd-note-improvement-ux-visit-summary" TargetMode="External"/><Relationship Id="rId67" Type="http://schemas.openxmlformats.org/officeDocument/2006/relationships/hyperlink" Target="https://linear.app/cortexcloud/issue/SBH-695/&#3609;&#3604;&#3627;&#3617;&#3634;&#3618;-appointment-&#3648;&#3614;&#3617;-feature-&#3609;&#3604;&#3627;&#3617;&#3634;&#3618;-refill" TargetMode="External"/><Relationship Id="rId20" Type="http://schemas.openxmlformats.org/officeDocument/2006/relationships/hyperlink" Target="https://linear.app/cortexcloud/issue/SBH-659/&#3627;&#3634;&#3619;&#3611;&#3617;&#3634;&#3651;&#3626;-vital-signs-vs-timestamp-&#3586;&#3629;&#3591;-vs-&#3610;&#3609;&#3607;&#3585;&#3649;&#3626;&#3604;&#3591;&#3648;&#3623;&#3621;&#3634;&#3652;&#3604;" TargetMode="External"/><Relationship Id="rId41" Type="http://schemas.openxmlformats.org/officeDocument/2006/relationships/hyperlink" Target="https://linear.app/cortexcloud/issue/SBH-382/order-improve-dosage-form-suggestion-in-medication-suggestion-syntax" TargetMode="External"/><Relationship Id="rId54" Type="http://schemas.openxmlformats.org/officeDocument/2006/relationships/hyperlink" Target="https://linear.app/cortexcloud/issue/SBH-682/improve-ux-orderorder-&#3607;&#3623;&#3652;&#3611;-order-&#3585;&#3604;&#3648;&#3621;&#3629;&#3585;&#3649;&#3621;&#3623;-enter-&#3652;&#3604;&#3648;&#3621;&#3618;" TargetMode="External"/><Relationship Id="rId62" Type="http://schemas.openxmlformats.org/officeDocument/2006/relationships/hyperlink" Target="https://linear.app/cortexcloud/issue/SBH-691/&#3611;&#3619;&#3632;&#3623;&#3605;&#3585;&#3634;&#3619;&#3619;&#3585;&#3625;&#3634;-opd-note-opd-note-custom-&#3605;&#3634;&#3617;-clinic" TargetMode="External"/><Relationship Id="rId70" Type="http://schemas.openxmlformats.org/officeDocument/2006/relationships/hyperlink" Target="https://linear.app/cortexcloud/issue/CTXN-422/&#3585;&#3634;&#3619;&#3609;&#3635;-consult-request-&#3652;&#3611;&#3626;&#3619;&#3634;&#3591;&#3648;&#3611;&#3609;-walk-in-request-typeconsult" TargetMode="External"/><Relationship Id="rId75" Type="http://schemas.openxmlformats.org/officeDocument/2006/relationships/hyperlink" Target="https://linear.app/cortexcloud/issue/SBH-211/customemr-&#3651;&#3610;&#3619;&#3610;&#3619;&#3629;&#3591;&#3649;&#3614;&#3607;&#3618;&#3607;&#3585;&#3611;&#3619;&#3632;&#3648;&#3616;&#3607;-49144" TargetMode="External"/><Relationship Id="rId83" Type="http://schemas.openxmlformats.org/officeDocument/2006/relationships/hyperlink" Target="https://linear.app/cortexcloud/issue/SBH-706/patient-banner-&#3586;&#3629;&#3617;&#3621;&#3612;&#3611;&#3623;&#3618;improvement&#3611;&#3619;&#3632;&#3623;&#3605;&#3650;&#3619;&#3588;&#3611;&#3619;&#3632;&#3592;&#3635;&#3605;&#3623;&#3605;&#3629;&#3591;-stamp-time" TargetMode="External"/><Relationship Id="rId88" Type="http://schemas.openxmlformats.org/officeDocument/2006/relationships/hyperlink" Target="https://linear.app/cortexcloud/issue/SBH-709/discharge-&#3626;&#3619;&#3611;&#3588;&#3634;&#3651;&#3594;&#3592;&#3634;&#3618;-&#3607;&#3635;-discharge-&#3648;&#3611;&#3609;-section-&#3649;&#3618;&#3585;" TargetMode="External"/><Relationship Id="rId91" Type="http://schemas.openxmlformats.org/officeDocument/2006/relationships/hyperlink" Target="https://linear.app/cortexcloud/issue/SBH-712/display-layout-ux-all-above-improvement-ux" TargetMode="External"/><Relationship Id="rId96" Type="http://schemas.openxmlformats.org/officeDocument/2006/relationships/hyperlink" Target="https://linear.app/cortexcloud/issue/CTXN-2487/opd-&#3609;&#3604;&#3627;&#3617;&#3634;&#3618;-&#3588;&#3621;&#3609;&#3585;&#3652;&#3617;default&#3588;&#3621;&#3609;&#3585;&#3611;&#3592;&#3592;&#3610;&#3609;&#3607;&#3588;&#3609;&#3652;&#3586;&#3648;&#3586;&#3634;&#3619;&#3610;&#3610;&#3619;&#3585;&#3634;&#3619;-&#3651;&#3609;&#3627;&#3609;&#3634;&#3626;&#3619;&#3634;&#3591;&#3609;&#3604;&#3627;&#3617;&#3634;&#3618;" TargetMode="External"/><Relationship Id="rId1"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6" Type="http://schemas.openxmlformats.org/officeDocument/2006/relationships/hyperlink" Target="https://linear.app/cortexcloud/issue/SBH-645/emrlab-result-&#3649;&#3626;&#3604;&#3591;&#3612;&#3621;-lab-&#3648;&#3611;&#3609;&#3585;&#3619;&#3634;&#3615;-&#3649;&#3609;&#3623;&#3650;&#3609;&#3617;&#3618;&#3629;&#3609;&#3627;&#3621;&#3591;" TargetMode="External"/><Relationship Id="rId15" Type="http://schemas.openxmlformats.org/officeDocument/2006/relationships/hyperlink" Target="https://linear.app/cortexcloud/issue/SBH-654/lab-result-lab-result-hemoto" TargetMode="External"/><Relationship Id="rId23" Type="http://schemas.openxmlformats.org/officeDocument/2006/relationships/hyperlink" Target="https://linear.app/cortexcloud/issue/SBH-662/&#3627;&#3634;&#3619;&#3611;&#3617;&#3634;&#3651;&#3626;-vital-signs-vs-&#3594;&#3629;&#3591;-vs-&#3609;&#3635;&#3627;&#3609;&#3585;&#3626;&#3623;&#3609;&#3626;&#3591;-&#3651;&#3627;&#3597;&#3648;&#3585;&#3609;-&#3611;&#3619;&#3610;&#3586;&#3609;&#3634;&#3604;" TargetMode="External"/><Relationship Id="rId28" Type="http://schemas.openxmlformats.org/officeDocument/2006/relationships/hyperlink" Target="https://linear.app/cortexcloud/issue/SBH-399/emr-&#3610;&#3609;&#3607;&#3585;&#3586;&#3629;&#3617;&#3621;-multi-media" TargetMode="External"/><Relationship Id="rId36" Type="http://schemas.openxmlformats.org/officeDocument/2006/relationships/hyperlink" Target="https://linear.app/cortexcloud/issue/SBH-266/custom-cpoe-&#3626;&#3605;&#3623;&#3629;&#3585;&#3625;&#3619;-banner-&#3649;&#3614;&#3618;&#3634;&#3586;&#3629;&#3614;&#3609;&#3627;&#3621;&#3591;&#3626;&#3649;&#3604;&#3591;&#3629;&#3629;&#3609;" TargetMode="External"/><Relationship Id="rId49" Type="http://schemas.openxmlformats.org/officeDocument/2006/relationships/hyperlink" Target="https://linear.app/cortexcloud/issue/SBH-396/emr-&#3585;&#3634;&#3619;&#3649;&#3626;&#3604;&#3591;&#3586;&#3629;&#3617;&#3621;&#3586;&#3629;&#3591;-med-reconciliation" TargetMode="External"/><Relationship Id="rId57" Type="http://schemas.openxmlformats.org/officeDocument/2006/relationships/hyperlink" Target="https://linear.app/cortexcloud/issue/SBH-687/&#3611;&#3619;&#3632;&#3623;&#3605;&#3585;&#3634;&#3619;&#3619;&#3585;&#3625;&#3634;-opd-note-diagnosis-default-1-&#3594;&#3629;&#3591;&#3585;&#3619;&#3629;&#3585;-&#3617;-dx-default" TargetMode="External"/><Relationship Id="rId10" Type="http://schemas.openxmlformats.org/officeDocument/2006/relationships/hyperlink" Target="https://linear.app/cortexcloud/issue/SBH-648/opd-pre-assessment-glasgow-coma-scale-gcs-&#3648;&#3621;&#3629;&#3585;&#3649;&#3621;&#3623;&#3648;&#3629;&#3634;&#3629;&#3629;&#3585;&#3652;&#3617;&#3652;&#3604;" TargetMode="External"/><Relationship Id="rId31" Type="http://schemas.openxmlformats.org/officeDocument/2006/relationships/hyperlink" Target="https://linear.app/cortexcloud/issue/SBH-669/&#3615;&#3629;&#3619;&#3617;&#3588;&#3604;&#3585;&#3619;&#3629;&#3591;-pre-assessment-&#3611;&#3617;&#3610;&#3609;&#3607;&#3585;&#3615;&#3629;&#3619;&#3617;&#3588;&#3604;&#3585;&#3619;&#3629;&#3591;-&#3605;&#3635;&#3649;&#3627;&#3609;&#3591;&#3611;&#3617;&#3618;&#3629;&#3618;fix-position" TargetMode="External"/><Relationship Id="rId44" Type="http://schemas.openxmlformats.org/officeDocument/2006/relationships/hyperlink" Target="https://linear.app/cortexcloud/issue/SBH-382/order-improve-dosage-form-suggestion-in-medication-suggestion-syntax" TargetMode="External"/><Relationship Id="rId52" Type="http://schemas.openxmlformats.org/officeDocument/2006/relationships/hyperlink" Target="https://linear.app/cortexcloud/issue/SBH-682/improve-ux-orderorder-&#3607;&#3623;&#3652;&#3611;-order-&#3585;&#3604;&#3648;&#3621;&#3629;&#3585;&#3649;&#3621;&#3623;-enter-&#3652;&#3604;&#3648;&#3621;&#3618;" TargetMode="External"/><Relationship Id="rId60"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65" Type="http://schemas.openxmlformats.org/officeDocument/2006/relationships/hyperlink" Target="https://linear.app/cortexcloud/issue/SBH-693/&#3609;&#3604;&#3627;&#3617;&#3634;&#3618;-appointment-&#3609;&#3604;&#3627;&#3617;&#3634;&#3618;&#3652;&#3617;&#3619;&#3632;&#3610;&#3649;&#3614;&#3607;&#3618;" TargetMode="External"/><Relationship Id="rId73"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78" Type="http://schemas.openxmlformats.org/officeDocument/2006/relationships/hyperlink" Target="https://linear.app/cortexcloud/issue/SBH-702/patient-banner-&#3586;&#3629;&#3617;&#3621;&#3612;&#3611;&#3623;&#3618;-&#3648;&#3614;&#3617;&#3648;&#3610;&#3629;&#3619;&#3650;&#3607;&#3619;&#3610;&#3609;-banner" TargetMode="External"/><Relationship Id="rId81" Type="http://schemas.openxmlformats.org/officeDocument/2006/relationships/hyperlink" Target="https://linear.app/cortexcloud/issue/CTXN-872/emr-&#3649;&#3626;&#3604;&#3591;&#3612;&#3621;&#3648;&#3594;&#3629;&#3604;&#3629;&#3618;&#3634;" TargetMode="External"/><Relationship Id="rId86" Type="http://schemas.openxmlformats.org/officeDocument/2006/relationships/hyperlink" Target="https://linear.app/cortexcloud/issue/CTXN-1139/openehr-template-vaccine-history" TargetMode="External"/><Relationship Id="rId94" Type="http://schemas.openxmlformats.org/officeDocument/2006/relationships/hyperlink" Target="https://linear.app/cortexcloud/issue/SBH-714/opd-opd-note-body-chart-&#3648;&#3614;&#3617;&#3585;&#3634;&#3619;collapsible-section" TargetMode="External"/><Relationship Id="rId4" Type="http://schemas.openxmlformats.org/officeDocument/2006/relationships/hyperlink" Target="https://linear.app/cortexcloud/issue/CTXN-2451/opd-patient-profile-tab&#3615;&#3629;&#3619;&#3617;&#3588;&#3604;&#3585;&#3619;&#3629;&#3591;&#3627;&#3634;&#3618;&#3652;&#3611;-&#3648;&#3617;&#3629;&#3648;&#3611;&#3604;tab-opd" TargetMode="External"/><Relationship Id="rId9" Type="http://schemas.openxmlformats.org/officeDocument/2006/relationships/hyperlink" Target="https://linear.app/cortexcloud/issue/SBH-649/emrlab-result-comment-&#3612;&#3621;-lab" TargetMode="External"/><Relationship Id="rId13"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18" Type="http://schemas.openxmlformats.org/officeDocument/2006/relationships/hyperlink" Target="https://linear.app/cortexcloud/issue/SBH-409/emr-integration-emr" TargetMode="External"/><Relationship Id="rId39" Type="http://schemas.openxmlformats.org/officeDocument/2006/relationships/hyperlink" Target="https://linear.app/cortexcloud/issue/SBH-675/allergy-&#3649;&#3614;&#3618;&#3634;-med-interaction-&#3619;&#3634;&#3618;&#3585;&#3634;&#3619;&#3648;&#3605;&#3629;&#3609;&#3652;&#3617;&#3588;&#3619;&#3610;" TargetMode="External"/><Relationship Id="rId34" Type="http://schemas.openxmlformats.org/officeDocument/2006/relationships/hyperlink" Target="https://linear.app/cortexcloud/issue/SBH-671/&#3615;&#3629;&#3619;&#3617;&#3588;&#3604;&#3585;&#3619;&#3629;&#3591;-pre-assessment-&#3588;&#3604;&#3585;&#3619;&#3629;&#3591;&#3614;&#3618;&#3634;&#3610;&#3634;&#3621;-&#3626;&#3619;&#3611;&#3626;&#3609;&#3651;&#3609;-1-&#3627;&#3609;&#3634;" TargetMode="External"/><Relationship Id="rId50" Type="http://schemas.openxmlformats.org/officeDocument/2006/relationships/hyperlink" Target="https://linear.app/cortexcloud/issue/SBH-417/cpoe-&#3619;&#3623;&#3617;&#3588;&#3634;&#3651;&#3594;&#3592;&#3634;&#3618;&#3612;&#3611;&#3623;&#3618;" TargetMode="External"/><Relationship Id="rId55" Type="http://schemas.openxmlformats.org/officeDocument/2006/relationships/hyperlink" Target="https://linear.app/cortexcloud/issue/SBH-685/&#3627;&#3605;&#3606;&#3585;&#3634;&#3619;-procedure-order-free-text" TargetMode="External"/><Relationship Id="rId76" Type="http://schemas.openxmlformats.org/officeDocument/2006/relationships/hyperlink" Target="https://linear.app/cortexcloud/issue/SBH-211/customemr-&#3651;&#3610;&#3619;&#3610;&#3619;&#3629;&#3591;&#3649;&#3614;&#3607;&#3618;&#3607;&#3585;&#3611;&#3619;&#3632;&#3648;&#3616;&#3607;-49144" TargetMode="External"/><Relationship Id="rId97" Type="http://schemas.openxmlformats.org/officeDocument/2006/relationships/hyperlink" Target="https://linear.app/cortexcloud/issue/SBH-644/emrlab-result-lab-patho" TargetMode="External"/><Relationship Id="rId7" Type="http://schemas.openxmlformats.org/officeDocument/2006/relationships/hyperlink" Target="https://linear.app/cortexcloud/issue/SBH-646/emrlab-result-&#3627;&#3609;&#3634;&#3648;&#3611;&#3619;&#3618;&#3610;&#3648;&#3607;&#3618;&#3610;&#3612;&#3621;-lab" TargetMode="External"/><Relationship Id="rId71" Type="http://schemas.openxmlformats.org/officeDocument/2006/relationships/hyperlink" Target="https://linear.app/cortexcloud/issue/SBH-698/&#3619;&#3629;&#3619;&#3611;&#3592;&#3634;&#3585;&#3595;&#3634;-consultimprovement-&#3592;&#3604;&#3649;&#3604;&#3591;-new-notification" TargetMode="External"/><Relationship Id="rId92" Type="http://schemas.openxmlformats.org/officeDocument/2006/relationships/hyperlink" Target="https://linear.app/cortexcloud/issue/SBH-712/display-layout-ux-all-above-improvement-ux" TargetMode="External"/><Relationship Id="rId2" Type="http://schemas.openxmlformats.org/officeDocument/2006/relationships/hyperlink" Target="https://linear.app/cortexcloud/issue/SBH-643/emrlab-result-report-time-timestamp-&#3586;&#3629;&#3591;&#3612;&#3621;-lab" TargetMode="External"/><Relationship Id="rId29" Type="http://schemas.openxmlformats.org/officeDocument/2006/relationships/hyperlink" Target="https://linear.app/cortexcloud/issue/SBH-647/opd-pre-assessment-&#3615;&#3629;&#3619;&#3617;&#3588;&#3604;&#3585;&#3619;&#3629;&#3591;&#3652;&#3617;&#3588;&#3623;&#3619;&#3617;&#3626;&#3623;&#3609;-pe-&#3649;&#3621;&#3632;-triage" TargetMode="External"/><Relationship Id="rId24" Type="http://schemas.openxmlformats.org/officeDocument/2006/relationships/hyperlink" Target="https://linear.app/cortexcloud/issue/SBH-663/vital-signs-vs%E0%B8%81&#3634;&#3619;&#3605;&#3619;&#3623;&#3592;&#3626;&#3629;&#3610;&#3588;&#3623;&#3634;&#3617;&#3588;&#3619;&#3610;&#3606;&#3623;&#3609;&#3586;&#3629;&#3591;-vs-&#3612;&#3604;&#3614;&#3621;&#3634;&#3604;" TargetMode="External"/><Relationship Id="rId40" Type="http://schemas.openxmlformats.org/officeDocument/2006/relationships/hyperlink" Target="https://linear.app/cortexcloud/issue/SBH-675/allergy-&#3649;&#3614;&#3618;&#3634;-med-interaction-&#3619;&#3634;&#3618;&#3585;&#3634;&#3619;&#3648;&#3605;&#3629;&#3609;&#3652;&#3617;&#3588;&#3619;&#3610;" TargetMode="External"/><Relationship Id="rId45" Type="http://schemas.openxmlformats.org/officeDocument/2006/relationships/hyperlink" Target="https://linear.app/cortexcloud/issue/SBH-417/cpoe-&#3619;&#3623;&#3617;&#3588;&#3634;&#3651;&#3594;&#3592;&#3634;&#3618;&#3612;&#3611;&#3623;&#3618;" TargetMode="External"/><Relationship Id="rId66" Type="http://schemas.openxmlformats.org/officeDocument/2006/relationships/hyperlink" Target="https://linear.app/cortexcloud/issue/SBH-694/&#3609;&#3604;&#3627;&#3617;&#3634;&#3618;-appointment-&#3609;&#3604;&#3627;&#3617;&#3634;&#3618;-clinic-noteremark-&#3649;&#3610;&#3610;-pattern-free-text-&#3591;&#3604;&#3609;&#3635;" TargetMode="External"/><Relationship Id="rId87" Type="http://schemas.openxmlformats.org/officeDocument/2006/relationships/hyperlink" Target="https://linear.app/cortexcloud/issue/SBH-708/vaccine-vaccine-&#3652;&#3617;&#3605;&#3629;&#3591;-require-lot-&#3623;&#3609;&#3627;&#3617;&#3604;&#3629;&#3634;&#3618;" TargetMode="External"/><Relationship Id="rId61" Type="http://schemas.openxmlformats.org/officeDocument/2006/relationships/hyperlink" Target="https://linear.app/cortexcloud/issue/SBH-690/&#3611;&#3619;&#3632;&#3623;&#3605;&#3585;&#3634;&#3619;&#3619;&#3585;&#3625;&#3634;-opd-note-&#3607;&#3635;&#3617;&#3617;&#3617;&#3629;&#3591;&#3611;&#3619;&#3632;&#3623;&#3605;&#3648;&#3611;&#3609;-read-only" TargetMode="External"/><Relationship Id="rId82" Type="http://schemas.openxmlformats.org/officeDocument/2006/relationships/hyperlink" Target="https://linear.app/cortexcloud/issue/SBH-705/bugpatient-banner-&#3586;&#3629;&#3617;&#3621;&#3612;&#3611;&#3623;&#3618;-&#3648;&#3594;&#3629;&#3604;&#3629;&#3618;&#3634;&#3649;&#3626;&#3604;&#3591;&#3648;&#3611;&#3609;&#3610;&#3634;&#3591;-hn" TargetMode="External"/><Relationship Id="rId19" Type="http://schemas.openxmlformats.org/officeDocument/2006/relationships/hyperlink" Target="https://linear.app/cortexcloud/issue/SBH-658/bugimaging-img&#3612;&#3621;-img-&#3619;&#3634;&#3618;&#3621;&#3632;&#3648;&#3629;&#3618;&#3604;&#3648;&#3618;&#3629;&#3632;&#3648;&#3585;&#3609;&#3652;&#3611;-&#3607;&#3635;&#3649;&#3610;&#3610;-jf" TargetMode="External"/><Relationship Id="rId14" Type="http://schemas.openxmlformats.org/officeDocument/2006/relationships/hyperlink" Target="https://linear.app/cortexcloud/issue/SBH-653/opd-form-&#3615;&#3629;&#3619;&#3617;&#3629;&#3609;&#3617;&#3605;&#3651;&#3594;&#3618;&#3634;&#3609;&#3629;&#3585;&#3610;&#3597;&#3594;&#3618;&#3634;&#3627;&#3621;&#3585;&#3649;&#3627;&#3591;&#3594;&#3634;&#3605;-&#3605;&#3585;&#3626;&#3607;&#3608;&#3649;&#3621;&#3623;&#3648;&#3629;&#3634;&#3629;&#3629;&#3585;&#3652;&#3617;&#3652;&#3604;" TargetMode="External"/><Relationship Id="rId30" Type="http://schemas.openxmlformats.org/officeDocument/2006/relationships/hyperlink" Target="https://linear.app/cortexcloud/issue/SBH-433/opd-pre-assesment-scanattach-&#3648;&#3629;&#3585;&#3626;&#3634;&#3619;" TargetMode="External"/><Relationship Id="rId35" Type="http://schemas.openxmlformats.org/officeDocument/2006/relationships/hyperlink" Target="https://linear.app/cortexcloud/issue/SBH-673/order-&#3618;&#3634;-med-alert-&#3618;&#3634;&#3588;&#3623;&#3619;&#3617;-level-&#3588;&#3623;&#3634;&#3617;&#3619;&#3609;&#3649;&#3619;&#3591;-minor-interaction" TargetMode="External"/><Relationship Id="rId56" Type="http://schemas.openxmlformats.org/officeDocument/2006/relationships/hyperlink" Target="https://linear.app/cortexcloud/issue/SBH-686/opd-card-retrieve-note" TargetMode="External"/><Relationship Id="rId77" Type="http://schemas.openxmlformats.org/officeDocument/2006/relationships/hyperlink" Target="https://linear.app/cortexcloud/issue/SBH-211/customemr-&#3651;&#3610;&#3619;&#3610;&#3619;&#3629;&#3591;&#3649;&#3614;&#3607;&#3618;&#3607;&#3585;&#3611;&#3619;&#3632;&#3648;&#3616;&#3607;-49144" TargetMode="External"/><Relationship Id="rId8" Type="http://schemas.openxmlformats.org/officeDocument/2006/relationships/hyperlink" Target="https://linear.app/cortexcloud/issue/SBH-644/emrlab-result-lab-patho" TargetMode="External"/><Relationship Id="rId51" Type="http://schemas.openxmlformats.org/officeDocument/2006/relationships/hyperlink" Target="https://linear.app/cortexcloud/issue/SBH-681/order-&#3607;&#3623;&#3652;&#3611;-new-feature-order-&#3611;&#3619;&#3632;&#3648;&#3617;&#3609;&#3605;&#3619;&#3623;&#3592;&#3648;&#3614;&#3617;-va-&#3588;&#3623;&#3634;&#3617;&#3604;&#3609;&#3605;&#3634;-&#3588;&#3604;&#3585;&#3619;&#3629;&#3591;-hbvhcv" TargetMode="External"/><Relationship Id="rId72"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93" Type="http://schemas.openxmlformats.org/officeDocument/2006/relationships/hyperlink" Target="https://linear.app/cortexcloud/issue/SBH-713/&#3588;&#3604;&#3585;&#3619;&#3629;&#3591;&#3585;&#3629;&#3609;-assign-&#3649;&#3614;&#3607;&#3618;-flow-walk-in-&#3588;&#3604;&#3585;&#3619;&#3629;&#3591;&#3585;&#3629;&#3609;-assign-&#3649;&#3614;&#3607;&#3618;-flow-walk-in" TargetMode="External"/><Relationship Id="rId98" Type="http://schemas.microsoft.com/office/2019/04/relationships/namedSheetView" Target="../namedSheetViews/namedSheetView6.xml"/></Relationships>
</file>

<file path=xl/worksheets/_rels/sheet24.xml.rels><?xml version="1.0" encoding="UTF-8" standalone="yes"?>
<Relationships xmlns="http://schemas.openxmlformats.org/package/2006/relationships"><Relationship Id="rId8" Type="http://schemas.openxmlformats.org/officeDocument/2006/relationships/hyperlink" Target="https://linear.app/cortexcloud/issue/SBH-417/cpoe-%E0%B8%A3%E0%B8%A7%E0%B8%A1%E0%B8%84%E0%B8%B2%E0%B9%83%E0%B8%8A%E0%B8%88%E0%B8%B2%E0%B8%A2%E0%B8%9C%E0%B8%9B%E0%B8%A7%E0%B8%A2" TargetMode="External"/><Relationship Id="rId13" Type="http://schemas.openxmlformats.org/officeDocument/2006/relationships/hyperlink" Target="%5bSBH-673:%20/%5bOrder/%5d/%5bMedication/%5d%20Alert%20&#3649;&#3614;&#3657;&#3618;&#3634;&#3588;&#3623;&#3619;&#3617;&#3637;%20level%20&#3588;&#3623;&#3634;&#3617;&#3619;&#3640;&#3609;&#3649;&#3619;&#3591;%20(minor%20/moderate/severe%20...)%5d(https:/linear.app/cortexcloud/issue/SBH-673/ordermedication-alert-&#3649;&#3614;&#3618;&#3634;&#3588;&#3623;&#3619;&#3617;-level-&#3588;&#3623;&#3634;&#3617;&#3619;&#3609;&#3649;&#3619;&#3591;-minor-moderatesevere)" TargetMode="External"/><Relationship Id="rId3" Type="http://schemas.openxmlformats.org/officeDocument/2006/relationships/hyperlink" Target="https://linear.app/cortexcloud/issue/SBH-716/opd-opd-note-%E0%B8%9B%E0%B8%A3%E0%B8%9A%E0%B9%83%E0%B8%AB%E0%B8%AA%E0%B8%A7%E0%B8%99-diagnosis-%E0%B8%A1-default-2-%E0%B8%A3%E0%B8%B2%E0%B8%A2%E0%B8%81%E0%B8%B2%E0%B8%A3%E0%B9%80%E0%B8%AA%E0%B8%A1%E0%B8%AD-%E0%B9%82%E0%B8%94%E0%B8%A2%E0%B9%84%E0%B8%A1%E0%B8%95%E0%B8%AD%E0%B8%87%E0%B8%81%E0%B8%94%E0%B8%9B%E0%B8%A1%E0%B9%80%E0%B8%9E%E0%B8%A1" TargetMode="External"/><Relationship Id="rId7" Type="http://schemas.openxmlformats.org/officeDocument/2006/relationships/hyperlink" Target="https://linear.app/cortexcloud/issue/SBH-417/cpoe-%E0%B8%A3%E0%B8%A7%E0%B8%A1%E0%B8%84%E0%B8%B2%E0%B9%83%E0%B8%8A%E0%B8%88%E0%B8%B2%E0%B8%A2%E0%B8%9C%E0%B8%9B%E0%B8%A7%E0%B8%A2" TargetMode="External"/><Relationship Id="rId12"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2" Type="http://schemas.openxmlformats.org/officeDocument/2006/relationships/hyperlink" Target="https://linear.app/cortexcloud/issue/SBH-686/opdopd-card-retrieve-note" TargetMode="External"/><Relationship Id="rId1" Type="http://schemas.openxmlformats.org/officeDocument/2006/relationships/hyperlink" Target="https://linear.app/cortexcloud/issue/SBH-695/opdappointment-%E0%B9%80%E0%B8%9E%E0%B8%A1-feature-%E0%B8%99%E0%B8%94%E0%B8%AB%E0%B8%A1%E0%B8%B2%E0%B8%A2-refill" TargetMode="External"/><Relationship Id="rId6" Type="http://schemas.openxmlformats.org/officeDocument/2006/relationships/hyperlink" Target="https://linear.app/cortexcloud/issue/CTXN-2451/opd-patient-profile-tab%E0%B8%9F%E0%B8%AD%E0%B8%A3%E0%B8%A1%E0%B8%84%E0%B8%94%E0%B8%81%E0%B8%A3%E0%B8%AD%E0%B8%87%E0%B8%AB%E0%B8%B2%E0%B8%A2%E0%B9%84%E0%B8%9B-%E0%B9%80%E0%B8%A1%E0%B8%AD%E0%B9%80%E0%B8%9B%E0%B8%94tab-opd" TargetMode="External"/><Relationship Id="rId11"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5" Type="http://schemas.openxmlformats.org/officeDocument/2006/relationships/hyperlink" Target="https://linear.app/cortexcloud/issue/SBH-657/opd-order-med-%E0%B8%A3%E0%B8%B0%E0%B8%9A%E0%B8%9A%E0%B9%84%E0%B8%A1%E0%B9%81%E0%B8%88%E0%B8%87%E0%B9%80%E0%B8%95%E0%B8%AD%E0%B8%99%E0%B8%81%E0%B8%A3%E0%B8%93%E0%B8%81%E0%B8%A3%E0%B8%AD%E0%B8%81%E0%B9%80%E0%B8%AD%E0%B8%81%E0%B8%AA%E0%B8%B2%E0%B8%A3%E0%B8%9B%E0%B8%A3%E0%B8%B0%E0%B8%81%E0%B8%AD%E0%B8%9A%E0%B8%81%E0%B8%B2%E0%B8%A3%E0%B9%83%E0%B8%8A%E0%B8%A2%E0%B8%B2%E0%B9%84%E0%B8%A1%E0%B8%84%E0%B8%A3%E0%B8%9A" TargetMode="External"/><Relationship Id="rId10" Type="http://schemas.openxmlformats.org/officeDocument/2006/relationships/hyperlink" Target="https://linear.app/cortexcloud/issue/SBH-659/opdvital-signs-vs-timestamp-%E0%B8%82%E0%B8%AD%E0%B8%87-vs-%E0%B8%9A%E0%B8%99%E0%B8%97%E0%B8%81%E0%B9%81%E0%B8%AA%E0%B8%94%E0%B8%87%E0%B9%80%E0%B8%A7%E0%B8%A5%E0%B8%B2%E0%B9%84%E0%B8%94" TargetMode="External"/><Relationship Id="rId4" Type="http://schemas.openxmlformats.org/officeDocument/2006/relationships/hyperlink" Target="https://linear.app/cortexcloud/issue/CTXN-872/emr-%E0%B9%81%E0%B8%AA%E0%B8%94%E0%B8%87%E0%B8%9C%E0%B8%A5%E0%B9%80%E0%B8%8A%E0%B8%AD%E0%B8%94%E0%B8%AD%E0%B8%A2%E0%B8%B2" TargetMode="External"/><Relationship Id="rId9" Type="http://schemas.openxmlformats.org/officeDocument/2006/relationships/hyperlink" Target="https://linear.app/cortexcloud/issue/SBH-417/cpoe-%E0%B8%A3%E0%B8%A7%E0%B8%A1%E0%B8%84%E0%B8%B2%E0%B9%83%E0%B8%8A%E0%B8%88%E0%B8%B2%E0%B8%A2%E0%B8%9C%E0%B8%9B%E0%B8%A7%E0%B8%A2" TargetMode="External"/><Relationship Id="rId14" Type="http://schemas.openxmlformats.org/officeDocument/2006/relationships/hyperlink" Target="https://linear.app/cortexcloud/issue/SBH-696/consult-diagnosis-%E0%B9%80%E0%B8%9B%E0%B8%99-free-text-diagnosis-%E0%B9%83%E0%B8%99%E0%B8%81%E0%B8%B2%E0%B8%A3-consult-%E0%B8%84%E0%B8%A7%E0%B8%A3%E0%B9%83%E0%B8%8A-free" TargetMode="External"/></Relationships>
</file>

<file path=xl/worksheets/_rels/sheet25.xml.rels><?xml version="1.0" encoding="UTF-8" standalone="yes"?>
<Relationships xmlns="http://schemas.openxmlformats.org/package/2006/relationships"><Relationship Id="rId26" Type="http://schemas.openxmlformats.org/officeDocument/2006/relationships/hyperlink" Target="https://linear.app/cortexcloud/issue/SBH-664/bugvital-signs-vs&#3648;&#3585;&#3603;&#3601;&#3626;&#3586;&#3629;&#3591;-vs-config-&#3588;&#3634;-normal" TargetMode="External"/><Relationship Id="rId21" Type="http://schemas.openxmlformats.org/officeDocument/2006/relationships/hyperlink" Target="https://linear.app/cortexcloud/issue/SBH-1219/emr-body-metrics-chart-&#3648;&#3614;&#3617;&#3585;&#3619;&#3634;&#3615;&#3649;&#3609;&#3623;&#3650;&#3609;&#3617;&#3609;&#3635;&#3627;&#3609;&#3585;&#3626;&#3623;&#3609;&#3626;&#3591;" TargetMode="External"/><Relationship Id="rId42" Type="http://schemas.openxmlformats.org/officeDocument/2006/relationships/hyperlink" Target="https://linear.app/cortexcloud/issue/CTX-4794/be-search-medication-order-item-by-synonyms" TargetMode="External"/><Relationship Id="rId47" Type="http://schemas.openxmlformats.org/officeDocument/2006/relationships/hyperlink" Target="https://linear.app/cortexcloud/issue/SBH-680/order-&#3618;&#3634;-med-&#3627;&#3605;&#3606;&#3585;&#3634;&#3619;-activity-&#3626;&#3591;&#3618;&#3634;&#3627;&#3605;&#3606;&#3585;&#3634;&#3619;&#3605;&#3634;-&#3588;&#3609;&#3627;&#3634;&#3618;&#3634;&#3585;" TargetMode="External"/><Relationship Id="rId63" Type="http://schemas.openxmlformats.org/officeDocument/2006/relationships/hyperlink" Target="https://linear.app/cortexcloud/issue/SBH-692/improvement-body-chart-multimedia-tool" TargetMode="External"/><Relationship Id="rId68" Type="http://schemas.openxmlformats.org/officeDocument/2006/relationships/hyperlink" Target="https://linear.app/cortexcloud/issue/SBH-697/bugconsult-consult-&#3585;&#3604;&#3626;&#3591;&#3649;&#3621;&#3623;&#3652;&#3617;&#3617;-action-&#3605;&#3629;" TargetMode="External"/><Relationship Id="rId84" Type="http://schemas.openxmlformats.org/officeDocument/2006/relationships/hyperlink" Target="https://linear.app/cortexcloud/issue/CTXN-1139/openehr-template-vaccine-history" TargetMode="External"/><Relationship Id="rId89" Type="http://schemas.openxmlformats.org/officeDocument/2006/relationships/hyperlink" Target="https://linear.app/cortexcloud/issue/SBH-712/display-layout-ux-all-above-improvement-ux" TargetMode="External"/><Relationship Id="rId16" Type="http://schemas.openxmlformats.org/officeDocument/2006/relationships/hyperlink" Target="https://linear.app/cortexcloud/issue/SBH-655/lab-result-lab-order-dup-lab" TargetMode="External"/><Relationship Id="rId107" Type="http://schemas.microsoft.com/office/2019/04/relationships/namedSheetView" Target="../namedSheetViews/namedSheetView7.xml"/><Relationship Id="rId11" Type="http://schemas.openxmlformats.org/officeDocument/2006/relationships/hyperlink" Target="https://linear.app/cortexcloud/issue/SBH-647/opd-pre-assessment-&#3615;&#3629;&#3619;&#3617;&#3588;&#3604;&#3585;&#3619;&#3629;&#3591;&#3652;&#3617;&#3588;&#3623;&#3619;&#3617;&#3626;&#3623;&#3609;-pe-&#3649;&#3621;&#3632;-triage" TargetMode="External"/><Relationship Id="rId32"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37" Type="http://schemas.openxmlformats.org/officeDocument/2006/relationships/hyperlink" Target="https://linear.app/cortexcloud/issue/SBH-674/order-&#3618;&#3634;-med-&#3649;&#3592;&#3591;&#3648;&#3605;&#3629;&#3609;&#3649;&#3614;&#3618;&#3634;&#3607;&#3609;&#3607;&#3605;&#3629;&#3609;&#3614;&#3617;&#3614;&#3626;&#3591;&#3618;&#3634;-&#3618;&#3634;&#3618;-modal-&#3617;&#3634;&#3605;&#3591;&#3649;&#3605;&#3648;&#3621;&#3629;&#3585;&#3618;&#3634;" TargetMode="External"/><Relationship Id="rId53" Type="http://schemas.openxmlformats.org/officeDocument/2006/relationships/hyperlink" Target="https://linear.app/cortexcloud/issue/SBH-683/bugorder-&#3607;&#3623;&#3652;&#3611;&#3611;&#3619;&#3610;-order-check-list-design-&#3651;&#3627;&#3651;&#3594;&#3591;&#3634;&#3618;" TargetMode="External"/><Relationship Id="rId58" Type="http://schemas.openxmlformats.org/officeDocument/2006/relationships/hyperlink" Target="https://linear.app/cortexcloud/issue/SBH-688/&#3611;&#3619;&#3632;&#3623;&#3605;&#3585;&#3634;&#3619;&#3619;&#3585;&#3625;&#3634;-opd-note-&#3594;&#3629;&#3591;-cc-&#3586;&#3618;&#3634;&#3618;&#3652;&#3617;&#3652;&#3604;" TargetMode="External"/><Relationship Id="rId74" Type="http://schemas.openxmlformats.org/officeDocument/2006/relationships/hyperlink" Target="https://linear.app/cortexcloud/issue/SBH-211/customemr-&#3651;&#3610;&#3619;&#3610;&#3619;&#3629;&#3591;&#3649;&#3614;&#3607;&#3618;&#3607;&#3585;&#3611;&#3619;&#3632;&#3648;&#3616;&#3607;-49144" TargetMode="External"/><Relationship Id="rId79" Type="http://schemas.openxmlformats.org/officeDocument/2006/relationships/hyperlink" Target="https://linear.app/cortexcloud/issue/SBH-704/patient-banner-&#3586;&#3629;&#3617;&#3621;&#3612;&#3611;&#3623;&#3618;-&#3611;&#3619;&#3632;&#3623;&#3605;&#3611;&#3585;&#3611;&#3604;-confidential-history" TargetMode="External"/><Relationship Id="rId102" Type="http://schemas.openxmlformats.org/officeDocument/2006/relationships/hyperlink" Target="https://linear.app/cortexcloud/issue/SBH-945/cpoeorder-set-order-set-%E0%B8%AA%E0%B8%B3%E0%B8%AB%E0%B8%A3%E0%B8%9A-%E0%B9%80%E0%B8%A7%E0%B8%8A%E0%B8%A0%E0%B8%93%E0%B8%91%E0%B8%AB%E0%B8%95%E0%B8%96%E0%B8%81%E0%B8%B2%E0%B8%A3-activity" TargetMode="External"/><Relationship Id="rId5" Type="http://schemas.openxmlformats.org/officeDocument/2006/relationships/hyperlink" Target="https://linear.app/cortexcloud/issue/SBH-644/emrlab-result-lab-patho" TargetMode="External"/><Relationship Id="rId90" Type="http://schemas.openxmlformats.org/officeDocument/2006/relationships/hyperlink" Target="https://linear.app/cortexcloud/issue/SBH-712/display-layout-ux-all-above-improvement-ux" TargetMode="External"/><Relationship Id="rId95" Type="http://schemas.openxmlformats.org/officeDocument/2006/relationships/hyperlink" Target="https://linear.app/cortexcloud/issue/SBH-906/emrlab-result-lab-patho-&#3611;&#3619;&#3610;-text-display-&#3586;&#3629;&#3591;-left-panel" TargetMode="External"/><Relationship Id="rId22" Type="http://schemas.openxmlformats.org/officeDocument/2006/relationships/hyperlink" Target="https://linear.app/cortexcloud/issue/SBH-661/vital-signs-vspain-score-&#3648;&#3611;&#3609;-vs-&#3605;&#3623;&#3607;-5" TargetMode="External"/><Relationship Id="rId27" Type="http://schemas.openxmlformats.org/officeDocument/2006/relationships/hyperlink" Target="https://linear.app/cortexcloud/issue/SBH-666/vital-signs-vs&#3648;&#3629;&#3634;-vsbmi-&#3629;&#3629;&#3585;&#3592;&#3634;&#3585;-opd-note-&#3595;&#3635;&#3585;&#3610;&#3617;&#3617;&#3610;&#3609;-&#3649;&#3605;&#3648;&#3585;&#3610;-body-chart" TargetMode="External"/><Relationship Id="rId43" Type="http://schemas.openxmlformats.org/officeDocument/2006/relationships/hyperlink" Target="https://linear.app/cortexcloud/issue/SBH-677/order-check-diagnosis-before-allowing-physician-to-order" TargetMode="External"/><Relationship Id="rId48" Type="http://schemas.openxmlformats.org/officeDocument/2006/relationships/hyperlink" Target="https://linear.app/cortexcloud/issue/SBH-422/cpoe-&#3648;&#3629;&#3585;&#3626;&#3634;&#3619;&#3611;&#3619;&#3632;&#3585;&#3629;&#3610;&#3585;&#3634;&#3619;&#3626;&#3591;&#3618;&#3634;" TargetMode="External"/><Relationship Id="rId64" Type="http://schemas.openxmlformats.org/officeDocument/2006/relationships/hyperlink" Target="https://linear.app/cortexcloud/issue/SBH-693/&#3609;&#3604;&#3627;&#3617;&#3634;&#3618;-appointment-&#3609;&#3604;&#3627;&#3617;&#3634;&#3618;&#3652;&#3617;&#3619;&#3632;&#3610;&#3649;&#3614;&#3607;&#3618;" TargetMode="External"/><Relationship Id="rId69" Type="http://schemas.openxmlformats.org/officeDocument/2006/relationships/hyperlink" Target="https://linear.app/cortexcloud/issue/CTXN-422/&#3585;&#3634;&#3619;&#3609;&#3635;-consult-request-&#3652;&#3611;&#3626;&#3619;&#3634;&#3591;&#3648;&#3611;&#3609;-walk-in-request-typeconsult" TargetMode="External"/><Relationship Id="rId80" Type="http://schemas.openxmlformats.org/officeDocument/2006/relationships/hyperlink" Target="https://linear.app/cortexcloud/issue/CTXN-872/emr-&#3649;&#3626;&#3604;&#3591;&#3612;&#3621;&#3648;&#3594;&#3629;&#3604;&#3629;&#3618;&#3634;" TargetMode="External"/><Relationship Id="rId85" Type="http://schemas.openxmlformats.org/officeDocument/2006/relationships/hyperlink" Target="https://linear.app/cortexcloud/issue/SBH-708/vaccine-vaccine-&#3652;&#3617;&#3605;&#3629;&#3591;-require-lot-&#3623;&#3609;&#3627;&#3617;&#3604;&#3629;&#3634;&#3618;" TargetMode="External"/><Relationship Id="rId12" Type="http://schemas.openxmlformats.org/officeDocument/2006/relationships/hyperlink" Target="https://linear.app/cortexcloud/issue/SBH-651/opdorder-meddata-&#3648;&#3617;&#3629;&#3651;&#3626;&#3623;&#3608;&#3651;&#3594;&#3618;&#3634;&#3649;&#3621;&#3623;-&#3619;&#3632;&#3610;&#3610;&#3652;&#3617;&#3588;&#3635;&#3609;&#3623;&#3603;&#3592;&#3635;&#3609;&#3623;&#3609;&#3648;&#3617;&#3604;&#3626;&#3635;&#3627;&#3619;&#3610;&#3618;&#3634;&#3610;&#3634;&#3591;&#3605;&#3623;" TargetMode="External"/><Relationship Id="rId17" Type="http://schemas.openxmlformats.org/officeDocument/2006/relationships/hyperlink" Target="https://linear.app/cortexcloud/issue/SBH-656/buglab-order&#3649;&#3585;&#3652;&#3586;&#3619;&#3634;&#3618;&#3585;&#3634;&#3619;-lab-&#3607;&#3626;&#3591;&#3652;&#3617;&#3652;&#3604;" TargetMode="External"/><Relationship Id="rId33"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38"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59" Type="http://schemas.openxmlformats.org/officeDocument/2006/relationships/hyperlink" Target="https://linear.app/cortexcloud/issue/SBH-689/&#3611;&#3619;&#3632;&#3623;&#3605;&#3585;&#3634;&#3619;&#3619;&#3585;&#3625;&#3634;-opd-note-improvement-ux-visit-summary" TargetMode="External"/><Relationship Id="rId103" Type="http://schemas.openxmlformats.org/officeDocument/2006/relationships/hyperlink" Target="https://linear.app/cortexcloud/issue/SBH-926/order-master-data-%E0%B8%A3%E0%B8%B2%E0%B8%A2%E0%B8%81%E0%B8%B2%E0%B8%A3-activity-%E0%B9%84%E0%B8%A1%E0%B8%84%E0%B8%A3%E0%B8%9A" TargetMode="External"/><Relationship Id="rId20" Type="http://schemas.openxmlformats.org/officeDocument/2006/relationships/hyperlink" Target="https://linear.app/cortexcloud/issue/SBH-659/&#3627;&#3634;&#3619;&#3611;&#3617;&#3634;&#3651;&#3626;-vital-signs-vs-timestamp-&#3586;&#3629;&#3591;-vs-&#3610;&#3609;&#3607;&#3585;&#3649;&#3626;&#3604;&#3591;&#3648;&#3623;&#3621;&#3634;&#3652;&#3604;" TargetMode="External"/><Relationship Id="rId41" Type="http://schemas.openxmlformats.org/officeDocument/2006/relationships/hyperlink" Target="https://linear.app/cortexcloud/issue/SBH-382/order-improve-dosage-form-suggestion-in-medication-suggestion-syntax" TargetMode="External"/><Relationship Id="rId54" Type="http://schemas.openxmlformats.org/officeDocument/2006/relationships/hyperlink" Target="https://linear.app/cortexcloud/issue/SBH-682/improve-ux-orderorder-&#3607;&#3623;&#3652;&#3611;-order-&#3585;&#3604;&#3648;&#3621;&#3629;&#3585;&#3649;&#3621;&#3623;-enter-&#3652;&#3604;&#3648;&#3621;&#3618;" TargetMode="External"/><Relationship Id="rId62" Type="http://schemas.openxmlformats.org/officeDocument/2006/relationships/hyperlink" Target="https://linear.app/cortexcloud/issue/SBH-686/opd-card-retrieve-note" TargetMode="External"/><Relationship Id="rId70" Type="http://schemas.openxmlformats.org/officeDocument/2006/relationships/hyperlink" Target="https://linear.app/cortexcloud/issue/SBH-698/&#3619;&#3629;&#3619;&#3611;&#3592;&#3634;&#3585;&#3595;&#3634;-consultimprovement-&#3592;&#3604;&#3649;&#3604;&#3591;-new-notification" TargetMode="External"/><Relationship Id="rId75" Type="http://schemas.openxmlformats.org/officeDocument/2006/relationships/hyperlink" Target="https://linear.app/cortexcloud/issue/SBH-211/customemr-&#3651;&#3610;&#3619;&#3610;&#3619;&#3629;&#3591;&#3649;&#3614;&#3607;&#3618;&#3607;&#3585;&#3611;&#3619;&#3632;&#3648;&#3616;&#3607;-49144" TargetMode="External"/><Relationship Id="rId83" Type="http://schemas.openxmlformats.org/officeDocument/2006/relationships/hyperlink" Target="https://linear.app/cortexcloud/issue/SBH-417/cpoe-&#3619;&#3623;&#3617;&#3588;&#3634;&#3651;&#3594;&#3592;&#3634;&#3618;&#3612;&#3611;&#3623;&#3618;" TargetMode="External"/><Relationship Id="rId88" Type="http://schemas.openxmlformats.org/officeDocument/2006/relationships/hyperlink" Target="https://linear.app/cortexcloud/issue/SBH-711/&#3619;&#3629;&#3619;&#3611;&#3592;&#3634;&#3585;&#3595;&#3634;-discharge-&#3626;&#3619;&#3611;&#3588;&#3634;&#3651;&#3594;&#3592;&#3634;&#3618;-&#3651;&#3610;-order-admit" TargetMode="External"/><Relationship Id="rId91" Type="http://schemas.openxmlformats.org/officeDocument/2006/relationships/hyperlink" Target="https://linear.app/cortexcloud/issue/SBH-713/&#3588;&#3604;&#3585;&#3619;&#3629;&#3591;&#3585;&#3629;&#3609;-assign-&#3649;&#3614;&#3607;&#3618;-flow-walk-in-&#3588;&#3604;&#3585;&#3619;&#3629;&#3591;&#3585;&#3629;&#3609;-assign-&#3649;&#3614;&#3607;&#3618;-flow-walk-in" TargetMode="External"/><Relationship Id="rId96" Type="http://schemas.openxmlformats.org/officeDocument/2006/relationships/hyperlink" Target="https://linear.app/cortexcloud/issue/SBH-920/opd-emr-set-form-template" TargetMode="External"/><Relationship Id="rId1"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6" Type="http://schemas.openxmlformats.org/officeDocument/2006/relationships/hyperlink" Target="https://linear.app/cortexcloud/issue/SBH-645/emrlab-result-&#3649;&#3626;&#3604;&#3591;&#3612;&#3621;-lab-&#3648;&#3611;&#3609;&#3585;&#3619;&#3634;&#3615;-&#3649;&#3609;&#3623;&#3650;&#3609;&#3617;&#3618;&#3629;&#3609;&#3627;&#3621;&#3591;" TargetMode="External"/><Relationship Id="rId15" Type="http://schemas.openxmlformats.org/officeDocument/2006/relationships/hyperlink" Target="https://linear.app/cortexcloud/issue/SBH-654/lab-result-lab-result-hemoto" TargetMode="External"/><Relationship Id="rId23" Type="http://schemas.openxmlformats.org/officeDocument/2006/relationships/hyperlink" Target="https://linear.app/cortexcloud/issue/SBH-662/&#3627;&#3634;&#3619;&#3611;&#3617;&#3634;&#3651;&#3626;-vital-signs-vs-&#3594;&#3629;&#3591;-vs-&#3609;&#3635;&#3627;&#3609;&#3585;&#3626;&#3623;&#3609;&#3626;&#3591;-&#3651;&#3627;&#3597;&#3648;&#3585;&#3609;-&#3611;&#3619;&#3610;&#3586;&#3609;&#3634;&#3604;" TargetMode="External"/><Relationship Id="rId28" Type="http://schemas.openxmlformats.org/officeDocument/2006/relationships/hyperlink" Target="https://linear.app/cortexcloud/issue/SBH-917/opd-opd-note-opd-note-&#3652;&#3617;&#3626;&#3634;&#3617;&#3634;&#3619;&#3606;-upload-&#3619;&#3611;&#3616;&#3634;&#3614;&#3652;&#3604;" TargetMode="External"/><Relationship Id="rId36" Type="http://schemas.openxmlformats.org/officeDocument/2006/relationships/hyperlink" Target="https://linear.app/cortexcloud/issue/SBH-266/custom-cpoe-&#3626;&#3605;&#3623;&#3629;&#3585;&#3625;&#3619;-banner-&#3649;&#3614;&#3618;&#3634;&#3586;&#3629;&#3614;&#3609;&#3627;&#3621;&#3591;&#3626;&#3649;&#3604;&#3591;&#3629;&#3629;&#3609;" TargetMode="External"/><Relationship Id="rId49" Type="http://schemas.openxmlformats.org/officeDocument/2006/relationships/hyperlink" Target="https://linear.app/cortexcloud/issue/SBH-396/emr-&#3585;&#3634;&#3619;&#3649;&#3626;&#3604;&#3591;&#3586;&#3629;&#3617;&#3621;&#3586;&#3629;&#3591;-med-reconciliation" TargetMode="External"/><Relationship Id="rId57" Type="http://schemas.openxmlformats.org/officeDocument/2006/relationships/hyperlink" Target="https://linear.app/cortexcloud/issue/SBH-687/&#3611;&#3619;&#3632;&#3623;&#3605;&#3585;&#3634;&#3619;&#3619;&#3585;&#3625;&#3634;-opd-note-diagnosis-default-1-&#3594;&#3629;&#3591;&#3585;&#3619;&#3629;&#3585;-&#3617;-dx-default" TargetMode="External"/><Relationship Id="rId106" Type="http://schemas.openxmlformats.org/officeDocument/2006/relationships/hyperlink" Target="https://linear.app/cortexcloud/issue/CTXN-282/patient-patient-history-add-surgical-history-and-family-history-in-to" TargetMode="External"/><Relationship Id="rId10" Type="http://schemas.openxmlformats.org/officeDocument/2006/relationships/hyperlink" Target="https://linear.app/cortexcloud/issue/SBH-648/opd-pre-assessment-glasgow-coma-scale-gcs-&#3648;&#3621;&#3629;&#3585;&#3649;&#3621;&#3623;&#3648;&#3629;&#3634;&#3629;&#3629;&#3585;&#3652;&#3617;&#3652;&#3604;" TargetMode="External"/><Relationship Id="rId31" Type="http://schemas.openxmlformats.org/officeDocument/2006/relationships/hyperlink" Target="https://linear.app/cortexcloud/issue/SBH-669/&#3615;&#3629;&#3619;&#3617;&#3588;&#3604;&#3585;&#3619;&#3629;&#3591;-pre-assessment-&#3611;&#3617;&#3610;&#3609;&#3607;&#3585;&#3615;&#3629;&#3619;&#3617;&#3588;&#3604;&#3585;&#3619;&#3629;&#3591;-&#3605;&#3635;&#3649;&#3627;&#3609;&#3591;&#3611;&#3617;&#3618;&#3629;&#3618;fix-position" TargetMode="External"/><Relationship Id="rId44" Type="http://schemas.openxmlformats.org/officeDocument/2006/relationships/hyperlink" Target="https://linear.app/cortexcloud/issue/SBH-382/order-improve-dosage-form-suggestion-in-medication-suggestion-syntax" TargetMode="External"/><Relationship Id="rId52" Type="http://schemas.openxmlformats.org/officeDocument/2006/relationships/hyperlink" Target="https://linear.app/cortexcloud/issue/SBH-682/improve-ux-orderorder-&#3607;&#3623;&#3652;&#3611;-order-&#3585;&#3604;&#3648;&#3621;&#3629;&#3585;&#3649;&#3621;&#3623;-enter-&#3652;&#3604;&#3648;&#3621;&#3618;" TargetMode="External"/><Relationship Id="rId60"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65" Type="http://schemas.openxmlformats.org/officeDocument/2006/relationships/hyperlink" Target="https://linear.app/cortexcloud/issue/SBH-694/&#3609;&#3604;&#3627;&#3617;&#3634;&#3618;-appointment-&#3609;&#3604;&#3627;&#3617;&#3634;&#3618;-clinic-noteremark-&#3649;&#3610;&#3610;-pattern-free-text-&#3591;&#3604;&#3609;&#3635;" TargetMode="External"/><Relationship Id="rId73" Type="http://schemas.openxmlformats.org/officeDocument/2006/relationships/hyperlink" Target="https://linear.app/cortexcloud/issue/SBH-699/consultmasterdata-location-&#3648;&#3614;&#3617;&#3607;&#3605;&#3591;-&#3585;&#3604;&#3648;&#3614;&#3617;&#3649;&#3621;&#3623;&#3648;&#3611;&#3604;&#3649;&#3607;&#3610;&#3651;&#3627;&#3617;" TargetMode="External"/><Relationship Id="rId78" Type="http://schemas.openxmlformats.org/officeDocument/2006/relationships/hyperlink" Target="https://linear.app/cortexcloud/issue/SBH-703/patient-banner-&#3586;&#3629;&#3617;&#3621;&#3612;&#3611;&#3623;&#3618;-&#3611;&#3619;&#3632;&#3623;&#3605;&#3612;&#3611;&#3623;&#3618;-palliative-care-living-will" TargetMode="External"/><Relationship Id="rId81" Type="http://schemas.openxmlformats.org/officeDocument/2006/relationships/hyperlink" Target="https://linear.app/cortexcloud/issue/SBH-705/bugpatient-banner-&#3586;&#3629;&#3617;&#3621;&#3612;&#3611;&#3623;&#3618;-&#3648;&#3594;&#3629;&#3604;&#3629;&#3618;&#3634;&#3649;&#3626;&#3604;&#3591;&#3648;&#3611;&#3609;&#3610;&#3634;&#3591;-hn" TargetMode="External"/><Relationship Id="rId86" Type="http://schemas.openxmlformats.org/officeDocument/2006/relationships/hyperlink" Target="https://linear.app/cortexcloud/issue/SBH-709/discharge-&#3626;&#3619;&#3611;&#3588;&#3634;&#3651;&#3594;&#3592;&#3634;&#3618;-&#3607;&#3635;-discharge-&#3648;&#3611;&#3609;-section-&#3649;&#3618;&#3585;" TargetMode="External"/><Relationship Id="rId94" Type="http://schemas.openxmlformats.org/officeDocument/2006/relationships/hyperlink" Target="https://linear.app/cortexcloud/issue/CTXN-2487/opd-&#3609;&#3604;&#3627;&#3617;&#3634;&#3618;-&#3588;&#3621;&#3609;&#3585;&#3652;&#3617;default&#3588;&#3621;&#3609;&#3585;&#3611;&#3592;&#3592;&#3610;&#3609;&#3607;&#3588;&#3609;&#3652;&#3586;&#3648;&#3586;&#3634;&#3619;&#3610;&#3610;&#3619;&#3585;&#3634;&#3619;-&#3651;&#3609;&#3627;&#3609;&#3634;&#3626;&#3619;&#3634;&#3591;&#3609;&#3604;&#3627;&#3617;&#3634;&#3618;" TargetMode="External"/><Relationship Id="rId99" Type="http://schemas.openxmlformats.org/officeDocument/2006/relationships/hyperlink" Target="https://linear.app/cortexcloud/issue/SBH-668/&#3615;&#3629;&#3619;&#3617;&#3588;&#3604;&#3585;&#3619;&#3629;&#3591;-pre-assessment-&#3586;&#3634;&#3604;&#3615;&#3629;&#3619;&#3617;&#3648;&#3593;&#3614;&#3634;&#3632;&#3588;&#3621;&#3609;&#3585;-&#3585;&#3634;&#3618;&#3616;&#3634;&#3614;-&#3626;&#3586;&#3616;&#3634;&#3614;&#3651;&#3592;" TargetMode="External"/><Relationship Id="rId101" Type="http://schemas.openxmlformats.org/officeDocument/2006/relationships/hyperlink" Target="https://linear.app/cortexcloud/issue/SBH-111/test-performance-and-load-testing" TargetMode="External"/><Relationship Id="rId4" Type="http://schemas.openxmlformats.org/officeDocument/2006/relationships/hyperlink" Target="https://linear.app/cortexcloud/issue/CTXN-2451/opd-patient-profile-tab&#3615;&#3629;&#3619;&#3617;&#3588;&#3604;&#3585;&#3619;&#3629;&#3591;&#3627;&#3634;&#3618;&#3652;&#3611;-&#3648;&#3617;&#3629;&#3648;&#3611;&#3604;tab-opd" TargetMode="External"/><Relationship Id="rId9" Type="http://schemas.openxmlformats.org/officeDocument/2006/relationships/hyperlink" Target="https://linear.app/cortexcloud/issue/SBH-649/emrlab-result-comment-&#3612;&#3621;-lab" TargetMode="External"/><Relationship Id="rId13"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18" Type="http://schemas.openxmlformats.org/officeDocument/2006/relationships/hyperlink" Target="https://linear.app/cortexcloud/issue/SBH-409/emr-integration-emr" TargetMode="External"/><Relationship Id="rId39" Type="http://schemas.openxmlformats.org/officeDocument/2006/relationships/hyperlink" Target="https://linear.app/cortexcloud/issue/SBH-675/allergy-&#3649;&#3614;&#3618;&#3634;-med-interaction-&#3619;&#3634;&#3618;&#3585;&#3634;&#3619;&#3648;&#3605;&#3629;&#3609;&#3652;&#3617;&#3588;&#3619;&#3610;" TargetMode="External"/><Relationship Id="rId34" Type="http://schemas.openxmlformats.org/officeDocument/2006/relationships/hyperlink" Target="https://linear.app/cortexcloud/issue/SBH-671/&#3615;&#3629;&#3619;&#3617;&#3588;&#3604;&#3585;&#3619;&#3629;&#3591;-pre-assessment-&#3588;&#3604;&#3585;&#3619;&#3629;&#3591;&#3614;&#3618;&#3634;&#3610;&#3634;&#3621;-&#3626;&#3619;&#3611;&#3626;&#3609;&#3651;&#3609;-1-&#3627;&#3609;&#3634;" TargetMode="External"/><Relationship Id="rId50" Type="http://schemas.openxmlformats.org/officeDocument/2006/relationships/hyperlink" Target="https://linear.app/cortexcloud/issue/SBH-417/cpoe-&#3619;&#3623;&#3617;&#3588;&#3634;&#3651;&#3594;&#3592;&#3634;&#3618;&#3612;&#3611;&#3623;&#3618;" TargetMode="External"/><Relationship Id="rId55" Type="http://schemas.openxmlformats.org/officeDocument/2006/relationships/hyperlink" Target="https://linear.app/cortexcloud/issue/SBH-685/&#3627;&#3605;&#3606;&#3585;&#3634;&#3619;-procedure-order-free-text" TargetMode="External"/><Relationship Id="rId76" Type="http://schemas.openxmlformats.org/officeDocument/2006/relationships/hyperlink" Target="https://linear.app/cortexcloud/issue/SBH-211/customemr-&#3651;&#3610;&#3619;&#3610;&#3619;&#3629;&#3591;&#3649;&#3614;&#3607;&#3618;&#3607;&#3585;&#3611;&#3619;&#3632;&#3648;&#3616;&#3607;-49144" TargetMode="External"/><Relationship Id="rId97" Type="http://schemas.openxmlformats.org/officeDocument/2006/relationships/hyperlink" Target="https://linear.app/cortexcloud/issue/SBH-931/order-opd-note-inputview-%E0%B9%80%E0%B8%9E%E0%B8%A1%E0%B8%8A%E0%B8%AD%E0%B8%87%E0%B8%97%E0%B8%B2%E0%B8%87%E0%B8%81%E0%B8%B2%E0%B8%A3%E0%B8%AA%E0%B8%AD%E0%B8%AA%E0%B8%B2%E0%B8%A3%E0%B8%88%E0%B8%B2%E0%B8%81%E0%B9%81%E0%B8%9E%E0%B8%97%E0%B8%A2%E0%B8%96%E0%B8%87%E0%B8%9E%E0%B8%A2%E0%B8%B2%E0%B8%9A%E0%B8%B2%E0%B8%A5" TargetMode="External"/><Relationship Id="rId104" Type="http://schemas.openxmlformats.org/officeDocument/2006/relationships/hyperlink" Target="https://linear.app/cortexcloud/issue/SBH-462/cpoeorder-dup-%E0%B9%80%E0%B8%9E%E0%B8%A1-function-drug-dup-%E0%B8%82%E0%B8%B2%E0%B8%A1%E0%B8%A7%E0%B8%99" TargetMode="External"/><Relationship Id="rId7" Type="http://schemas.openxmlformats.org/officeDocument/2006/relationships/hyperlink" Target="https://linear.app/cortexcloud/issue/SBH-646/emrlab-result-&#3627;&#3609;&#3634;&#3648;&#3611;&#3619;&#3618;&#3610;&#3648;&#3607;&#3618;&#3610;&#3612;&#3621;-lab" TargetMode="External"/><Relationship Id="rId71"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92" Type="http://schemas.openxmlformats.org/officeDocument/2006/relationships/hyperlink" Target="https://linear.app/cortexcloud/issue/SBH-714/opd-opd-note-body-chart-&#3648;&#3614;&#3617;&#3585;&#3634;&#3619;collapsible-section" TargetMode="External"/><Relationship Id="rId2" Type="http://schemas.openxmlformats.org/officeDocument/2006/relationships/hyperlink" Target="https://linear.app/cortexcloud/issue/SBH-643/emrlab-result-report-time-timestamp-&#3586;&#3629;&#3591;&#3612;&#3621;-lab" TargetMode="External"/><Relationship Id="rId29" Type="http://schemas.openxmlformats.org/officeDocument/2006/relationships/hyperlink" Target="https://linear.app/cortexcloud/issue/SBH-647/opd-pre-assessment-&#3615;&#3629;&#3619;&#3617;&#3588;&#3604;&#3585;&#3619;&#3629;&#3591;&#3652;&#3617;&#3588;&#3623;&#3619;&#3617;&#3626;&#3623;&#3609;-pe-&#3649;&#3621;&#3632;-triage" TargetMode="External"/><Relationship Id="rId24" Type="http://schemas.openxmlformats.org/officeDocument/2006/relationships/hyperlink" Target="https://linear.app/cortexcloud/issue/SBH-663/vital-signs-vs%E0%B8%81&#3634;&#3619;&#3605;&#3619;&#3623;&#3592;&#3626;&#3629;&#3610;&#3588;&#3623;&#3634;&#3617;&#3588;&#3619;&#3610;&#3606;&#3623;&#3609;&#3586;&#3629;&#3591;-vs-&#3612;&#3604;&#3614;&#3621;&#3634;&#3604;" TargetMode="External"/><Relationship Id="rId40" Type="http://schemas.openxmlformats.org/officeDocument/2006/relationships/hyperlink" Target="https://linear.app/cortexcloud/issue/SBH-675/allergy-&#3649;&#3614;&#3618;&#3634;-med-interaction-&#3619;&#3634;&#3618;&#3585;&#3634;&#3619;&#3648;&#3605;&#3629;&#3609;&#3652;&#3617;&#3588;&#3619;&#3610;" TargetMode="External"/><Relationship Id="rId45" Type="http://schemas.openxmlformats.org/officeDocument/2006/relationships/hyperlink" Target="https://linear.app/cortexcloud/issue/SBH-417/cpoe-&#3619;&#3623;&#3617;&#3588;&#3634;&#3651;&#3594;&#3592;&#3634;&#3618;&#3612;&#3611;&#3623;&#3618;" TargetMode="External"/><Relationship Id="rId66" Type="http://schemas.openxmlformats.org/officeDocument/2006/relationships/hyperlink" Target="https://linear.app/cortexcloud/issue/SBH-695/&#3609;&#3604;&#3627;&#3617;&#3634;&#3618;-appointment-&#3648;&#3614;&#3617;-feature-&#3609;&#3604;&#3627;&#3617;&#3634;&#3618;-refill" TargetMode="External"/><Relationship Id="rId87" Type="http://schemas.openxmlformats.org/officeDocument/2006/relationships/hyperlink" Target="https://linear.app/cortexcloud/issue/SBH-710/discharge-&#3626;&#3619;&#3611;&#3588;&#3634;&#3651;&#3594;&#3592;&#3634;&#3618;improvement-&#3588;&#3634;-df" TargetMode="External"/><Relationship Id="rId61" Type="http://schemas.openxmlformats.org/officeDocument/2006/relationships/hyperlink" Target="https://linear.app/cortexcloud/issue/SBH-690/&#3611;&#3619;&#3632;&#3623;&#3605;&#3585;&#3634;&#3619;&#3619;&#3585;&#3625;&#3634;-opd-note-&#3607;&#3635;&#3617;&#3617;&#3617;&#3629;&#3591;&#3611;&#3619;&#3632;&#3623;&#3605;&#3648;&#3611;&#3609;-read-only" TargetMode="External"/><Relationship Id="rId82" Type="http://schemas.openxmlformats.org/officeDocument/2006/relationships/hyperlink" Target="https://linear.app/cortexcloud/issue/SBH-707/vaccine-&#3618;&#3634;-vaccine-&#3607;&#3626;&#3591;-&#3610;&#3609;&#3607;&#3585;&#3648;&#3586;&#3634;&#3611;&#3619;&#3632;&#3623;&#3605;-vaccine-&#3629;&#3605;&#3650;&#3609;&#3617;&#3605;" TargetMode="External"/><Relationship Id="rId19" Type="http://schemas.openxmlformats.org/officeDocument/2006/relationships/hyperlink" Target="https://linear.app/cortexcloud/issue/SBH-658/bugimaging-img&#3612;&#3621;-img-&#3619;&#3634;&#3618;&#3621;&#3632;&#3648;&#3629;&#3618;&#3604;&#3648;&#3618;&#3629;&#3632;&#3648;&#3585;&#3609;&#3652;&#3611;-&#3607;&#3635;&#3649;&#3610;&#3610;-jf" TargetMode="External"/><Relationship Id="rId14" Type="http://schemas.openxmlformats.org/officeDocument/2006/relationships/hyperlink" Target="https://linear.app/cortexcloud/issue/SBH-653/opd-form-&#3615;&#3629;&#3619;&#3617;&#3629;&#3609;&#3617;&#3605;&#3651;&#3594;&#3618;&#3634;&#3609;&#3629;&#3585;&#3610;&#3597;&#3594;&#3618;&#3634;&#3627;&#3621;&#3585;&#3649;&#3627;&#3591;&#3594;&#3634;&#3605;-&#3605;&#3585;&#3626;&#3607;&#3608;&#3649;&#3621;&#3623;&#3648;&#3629;&#3634;&#3629;&#3629;&#3585;&#3652;&#3617;&#3652;&#3604;" TargetMode="External"/><Relationship Id="rId30" Type="http://schemas.openxmlformats.org/officeDocument/2006/relationships/hyperlink" Target="https://linear.app/cortexcloud/issue/SBH-433/opd-pre-assesment-scanattach-&#3648;&#3629;&#3585;&#3626;&#3634;&#3619;" TargetMode="External"/><Relationship Id="rId35" Type="http://schemas.openxmlformats.org/officeDocument/2006/relationships/hyperlink" Target="https://linear.app/cortexcloud/issue/SBH-673/order-&#3618;&#3634;-med-alert-&#3618;&#3634;&#3588;&#3623;&#3619;&#3617;-level-&#3588;&#3623;&#3634;&#3617;&#3619;&#3609;&#3649;&#3619;&#3591;-minor-interaction" TargetMode="External"/><Relationship Id="rId56" Type="http://schemas.openxmlformats.org/officeDocument/2006/relationships/hyperlink" Target="https://linear.app/cortexcloud/issue/SBH-686/opd-card-retrieve-note" TargetMode="External"/><Relationship Id="rId77" Type="http://schemas.openxmlformats.org/officeDocument/2006/relationships/hyperlink" Target="https://linear.app/cortexcloud/issue/SBH-702/patient-banner-&#3586;&#3629;&#3617;&#3621;&#3612;&#3611;&#3623;&#3618;-&#3648;&#3614;&#3617;&#3648;&#3610;&#3629;&#3619;&#3650;&#3607;&#3619;&#3610;&#3609;-banner" TargetMode="External"/><Relationship Id="rId100" Type="http://schemas.openxmlformats.org/officeDocument/2006/relationships/hyperlink" Target="https://linear.app/cortexcloud/issue/SBH-953/lab-order-lab-%E0%B8%A3%E0%B8%AD%E0%B8%87%E0%B8%A3%E0%B8%9A-out-lab-in-order-checklist" TargetMode="External"/><Relationship Id="rId105" Type="http://schemas.openxmlformats.org/officeDocument/2006/relationships/hyperlink" Target="https://linear.app/cortexcloud/issue/SBH-1244/opd-customization-by-clinic-bundle" TargetMode="External"/><Relationship Id="rId8" Type="http://schemas.openxmlformats.org/officeDocument/2006/relationships/hyperlink" Target="https://linear.app/cortexcloud/issue/SBH-644/emrlab-result-lab-patho" TargetMode="External"/><Relationship Id="rId51" Type="http://schemas.openxmlformats.org/officeDocument/2006/relationships/hyperlink" Target="https://linear.app/cortexcloud/issue/SBH-681/order-&#3607;&#3623;&#3652;&#3611;-new-feature-order-&#3611;&#3619;&#3632;&#3648;&#3617;&#3609;&#3605;&#3619;&#3623;&#3592;&#3648;&#3614;&#3617;-va-&#3588;&#3623;&#3634;&#3617;&#3604;&#3609;&#3605;&#3634;-&#3588;&#3604;&#3585;&#3619;&#3629;&#3591;-hbvhcv" TargetMode="External"/><Relationship Id="rId72"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93" Type="http://schemas.openxmlformats.org/officeDocument/2006/relationships/hyperlink" Target="https://linear.app/cortexcloud/issue/SBH-714/opd-opd-note-body-chart-&#3648;&#3614;&#3617;&#3585;&#3634;&#3619;collapsible-section" TargetMode="External"/><Relationship Id="rId98" Type="http://schemas.openxmlformats.org/officeDocument/2006/relationships/hyperlink" Target="https://linear.app/cortexcloud/issue/SBH-667/&#3615;&#3629;&#3619;&#3617;&#3588;&#3604;&#3585;&#3619;&#3629;&#3591;-pre-assessment-default-cc-&#3605;&#3634;&#3617;&#3588;&#3621;&#3609;&#3585;" TargetMode="External"/><Relationship Id="rId3" Type="http://schemas.openxmlformats.org/officeDocument/2006/relationships/hyperlink" Target="https://linear.app/cortexcloud/issue/CTXN-2452/opd-order-checklist-&#3652;&#3617;&#3626;&#3634;&#3617;&#3634;&#3619;&#3606;order-checklist-&#3586;&#3629;&#3591;&#3619;&#3634;&#3618;&#3585;&#3634;&#3619;imaging" TargetMode="External"/><Relationship Id="rId25" Type="http://schemas.openxmlformats.org/officeDocument/2006/relationships/hyperlink" Target="https://linear.app/cortexcloud/issue/CTXN-2460/opd-order-activity-&#3619;&#3634;&#3618;&#3585;&#3634;&#3619;&#3588;&#3635;&#3626;&#3591;&#3627;&#3605;&#3606;&#3585;&#3634;&#3619;-&#3652;&#3617;&#3617;&#3611;&#3617;&#3621;&#3610;-&#3651;&#3609;&#3626;&#3623;&#3609;&#3586;&#3629;&#3591;order-basket" TargetMode="External"/><Relationship Id="rId46" Type="http://schemas.openxmlformats.org/officeDocument/2006/relationships/hyperlink" Target="https://linear.app/cortexcloud/issue/SBH-575/opdorder-&#3618;&#3634;&#3607;&#3605;&#3629;&#3591;&#3617;&#3648;&#3629;&#3585;&#3626;&#3634;&#3619;&#3611;&#3619;&#3632;&#3585;&#3629;&#3610;-padue" TargetMode="External"/><Relationship Id="rId67" Type="http://schemas.openxmlformats.org/officeDocument/2006/relationships/hyperlink" Target="https://linear.app/cortexcloud/issue/SBH-696/consult-diagnosis-&#3648;&#3611;&#3609;-free-text-diagnosis-&#3651;&#3609;&#3585;&#3634;&#3619;-consult-&#3588;&#3623;&#3619;&#3651;&#3594;-free"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linear.app/cortexcloud/issue/SBH-417/cpoe-%E0%B8%A3%E0%B8%A7%E0%B8%A1%E0%B8%84%E0%B8%B2%E0%B9%83%E0%B8%8A%E0%B8%88%E0%B8%B2%E0%B8%A2%E0%B8%9C%E0%B8%9B%E0%B8%A7%E0%B8%A2" TargetMode="External"/><Relationship Id="rId13" Type="http://schemas.openxmlformats.org/officeDocument/2006/relationships/hyperlink" Target="https://linear.app/cortexcloud/issue/SBH-696/consult-diagnosis-%E0%B9%80%E0%B8%9B%E0%B8%99-free-text-diagnosis-%E0%B9%83%E0%B8%99%E0%B8%81%E0%B8%B2%E0%B8%A3-consult-%E0%B8%84%E0%B8%A7%E0%B8%A3%E0%B9%83%E0%B8%8A-free" TargetMode="External"/><Relationship Id="rId3" Type="http://schemas.openxmlformats.org/officeDocument/2006/relationships/hyperlink" Target="https://linear.app/cortexcloud/issue/SBH-716/opd-opd-note-%E0%B8%9B%E0%B8%A3%E0%B8%9A%E0%B9%83%E0%B8%AB%E0%B8%AA%E0%B8%A7%E0%B8%99-diagnosis-%E0%B8%A1-default-2-%E0%B8%A3%E0%B8%B2%E0%B8%A2%E0%B8%81%E0%B8%B2%E0%B8%A3%E0%B9%80%E0%B8%AA%E0%B8%A1%E0%B8%AD-%E0%B9%82%E0%B8%94%E0%B8%A2%E0%B9%84%E0%B8%A1%E0%B8%95%E0%B8%AD%E0%B8%87%E0%B8%81%E0%B8%94%E0%B8%9B%E0%B8%A1%E0%B9%80%E0%B8%9E%E0%B8%A1" TargetMode="External"/><Relationship Id="rId7" Type="http://schemas.openxmlformats.org/officeDocument/2006/relationships/hyperlink" Target="https://linear.app/cortexcloud/issue/SBH-417/cpoe-%E0%B8%A3%E0%B8%A7%E0%B8%A1%E0%B8%84%E0%B8%B2%E0%B9%83%E0%B8%8A%E0%B8%88%E0%B8%B2%E0%B8%A2%E0%B8%9C%E0%B8%9B%E0%B8%A7%E0%B8%A2" TargetMode="External"/><Relationship Id="rId12" Type="http://schemas.openxmlformats.org/officeDocument/2006/relationships/hyperlink" Target="%5bSBH-673:%20/%5bOrder/%5d/%5bMedication/%5d%20Alert%20&#3649;&#3614;&#3657;&#3618;&#3634;&#3588;&#3623;&#3619;&#3617;&#3637;%20level%20&#3588;&#3623;&#3634;&#3617;&#3619;&#3640;&#3609;&#3649;&#3619;&#3591;%20(minor%20/moderate/severe%20...)%5d(https:/linear.app/cortexcloud/issue/SBH-673/ordermedication-alert-&#3649;&#3614;&#3618;&#3634;&#3588;&#3623;&#3619;&#3617;-level-&#3588;&#3623;&#3634;&#3617;&#3619;&#3609;&#3649;&#3619;&#3591;-minor-moderatesevere)" TargetMode="External"/><Relationship Id="rId2" Type="http://schemas.openxmlformats.org/officeDocument/2006/relationships/hyperlink" Target="https://linear.app/cortexcloud/issue/SBH-686/opdopd-card-retrieve-note" TargetMode="External"/><Relationship Id="rId1" Type="http://schemas.openxmlformats.org/officeDocument/2006/relationships/hyperlink" Target="https://linear.app/cortexcloud/issue/SBH-695/opdappointment-%E0%B9%80%E0%B8%9E%E0%B8%A1-feature-%E0%B8%99%E0%B8%94%E0%B8%AB%E0%B8%A1%E0%B8%B2%E0%B8%A2-refill" TargetMode="External"/><Relationship Id="rId6" Type="http://schemas.openxmlformats.org/officeDocument/2006/relationships/hyperlink" Target="https://linear.app/cortexcloud/issue/SBH-417/cpoe-%E0%B8%A3%E0%B8%A7%E0%B8%A1%E0%B8%84%E0%B8%B2%E0%B9%83%E0%B8%8A%E0%B8%88%E0%B8%B2%E0%B8%A2%E0%B8%9C%E0%B8%9B%E0%B8%A7%E0%B8%A2" TargetMode="External"/><Relationship Id="rId11"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5" Type="http://schemas.openxmlformats.org/officeDocument/2006/relationships/hyperlink" Target="https://linear.app/cortexcloud/issue/CTXN-2451/opd-patient-profile-tab%E0%B8%9F%E0%B8%AD%E0%B8%A3%E0%B8%A1%E0%B8%84%E0%B8%94%E0%B8%81%E0%B8%A3%E0%B8%AD%E0%B8%87%E0%B8%AB%E0%B8%B2%E0%B8%A2%E0%B9%84%E0%B8%9B-%E0%B9%80%E0%B8%A1%E0%B8%AD%E0%B9%80%E0%B8%9B%E0%B8%94tab-opd" TargetMode="External"/><Relationship Id="rId10"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4" Type="http://schemas.openxmlformats.org/officeDocument/2006/relationships/hyperlink" Target="https://linear.app/cortexcloud/issue/SBH-657/opd-order-med-%E0%B8%A3%E0%B8%B0%E0%B8%9A%E0%B8%9A%E0%B9%84%E0%B8%A1%E0%B9%81%E0%B8%88%E0%B8%87%E0%B9%80%E0%B8%95%E0%B8%AD%E0%B8%99%E0%B8%81%E0%B8%A3%E0%B8%93%E0%B8%81%E0%B8%A3%E0%B8%AD%E0%B8%81%E0%B9%80%E0%B8%AD%E0%B8%81%E0%B8%AA%E0%B8%B2%E0%B8%A3%E0%B8%9B%E0%B8%A3%E0%B8%B0%E0%B8%81%E0%B8%AD%E0%B8%9A%E0%B8%81%E0%B8%B2%E0%B8%A3%E0%B9%83%E0%B8%8A%E0%B8%A2%E0%B8%B2%E0%B9%84%E0%B8%A1%E0%B8%84%E0%B8%A3%E0%B8%9A" TargetMode="External"/><Relationship Id="rId9" Type="http://schemas.openxmlformats.org/officeDocument/2006/relationships/hyperlink" Target="https://linear.app/cortexcloud/issue/SBH-659/opdvital-signs-vs-timestamp-%E0%B8%82%E0%B8%AD%E0%B8%87-vs-%E0%B8%9A%E0%B8%99%E0%B8%97%E0%B8%81%E0%B9%81%E0%B8%AA%E0%B8%94%E0%B8%87%E0%B9%80%E0%B8%A7%E0%B8%A5%E0%B8%B2%E0%B9%84%E0%B8%94" TargetMode="External"/><Relationship Id="rId14" Type="http://schemas.openxmlformats.org/officeDocument/2006/relationships/hyperlink" Target="https://linear.app/cortexcloud/issue/CTXN-872/emr-%E0%B9%81%E0%B8%AA%E0%B8%94%E0%B8%87%E0%B8%9C%E0%B8%A5%E0%B9%80%E0%B8%8A%E0%B8%AD%E0%B8%94%E0%B8%AD%E0%B8%A2%E0%B8%B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EE71-2E36-824C-92A1-5BF002E185B4}">
  <sheetPr>
    <pageSetUpPr fitToPage="1"/>
  </sheetPr>
  <dimension ref="A1:I73"/>
  <sheetViews>
    <sheetView view="pageBreakPreview" topLeftCell="A23" zoomScale="134" zoomScaleNormal="135" zoomScaleSheetLayoutView="134" workbookViewId="0">
      <selection activeCell="B6" sqref="B6:H6"/>
    </sheetView>
  </sheetViews>
  <sheetFormatPr defaultColWidth="7.88671875" defaultRowHeight="16.2" x14ac:dyDescent="0.45"/>
  <cols>
    <col min="1" max="1" width="12.6640625" style="12" customWidth="1"/>
    <col min="2" max="2" width="34" style="85" customWidth="1"/>
    <col min="3" max="3" width="12.109375" style="12" customWidth="1"/>
    <col min="4" max="4" width="39.33203125" style="85" customWidth="1"/>
    <col min="5" max="7" width="7.6640625" style="12" customWidth="1"/>
    <col min="8" max="8" width="23.33203125" style="12" customWidth="1"/>
    <col min="9" max="9" width="37.44140625" style="1" customWidth="1"/>
    <col min="10" max="10" width="9.33203125" style="1" customWidth="1"/>
    <col min="11" max="16384" width="7.88671875" style="1"/>
  </cols>
  <sheetData>
    <row r="1" spans="1:9" ht="24.9" customHeight="1" x14ac:dyDescent="0.45">
      <c r="A1" s="707" t="s">
        <v>0</v>
      </c>
      <c r="B1" s="709" t="s">
        <v>1</v>
      </c>
      <c r="C1" s="707" t="s">
        <v>2</v>
      </c>
      <c r="D1" s="709" t="s">
        <v>3</v>
      </c>
      <c r="E1" s="711" t="s">
        <v>4</v>
      </c>
      <c r="F1" s="711"/>
      <c r="G1" s="711"/>
      <c r="H1" s="712" t="s">
        <v>5</v>
      </c>
    </row>
    <row r="2" spans="1:9" ht="24.9" customHeight="1" x14ac:dyDescent="0.45">
      <c r="A2" s="708"/>
      <c r="B2" s="710"/>
      <c r="C2" s="708"/>
      <c r="D2" s="710"/>
      <c r="E2" s="2" t="s">
        <v>6</v>
      </c>
      <c r="F2" s="2" t="s">
        <v>7</v>
      </c>
      <c r="G2" s="2" t="s">
        <v>8</v>
      </c>
      <c r="H2" s="712"/>
      <c r="I2" s="3"/>
    </row>
    <row r="3" spans="1:9" s="5" customFormat="1" ht="24" customHeight="1" x14ac:dyDescent="0.3">
      <c r="A3" s="4" t="s">
        <v>9</v>
      </c>
      <c r="B3" s="713" t="s">
        <v>10</v>
      </c>
      <c r="C3" s="713"/>
      <c r="D3" s="713"/>
      <c r="E3" s="713"/>
      <c r="F3" s="713"/>
      <c r="G3" s="713"/>
      <c r="H3" s="713"/>
    </row>
    <row r="4" spans="1:9" s="5" customFormat="1" ht="24" customHeight="1" x14ac:dyDescent="0.3">
      <c r="A4" s="6" t="s">
        <v>11</v>
      </c>
      <c r="B4" s="704" t="s">
        <v>12</v>
      </c>
      <c r="C4" s="705"/>
      <c r="D4" s="705"/>
      <c r="E4" s="705"/>
      <c r="F4" s="705"/>
      <c r="G4" s="705"/>
      <c r="H4" s="706"/>
    </row>
    <row r="5" spans="1:9" s="5" customFormat="1" ht="84" customHeight="1" x14ac:dyDescent="0.3">
      <c r="A5" s="7"/>
      <c r="B5" s="8" t="s">
        <v>13</v>
      </c>
      <c r="C5" s="9"/>
      <c r="D5" s="10" t="s">
        <v>14</v>
      </c>
      <c r="E5" s="11"/>
      <c r="F5" s="11"/>
      <c r="G5" s="11"/>
      <c r="H5" s="76"/>
    </row>
    <row r="6" spans="1:9" ht="24" customHeight="1" x14ac:dyDescent="0.45">
      <c r="A6" s="6" t="s">
        <v>11</v>
      </c>
      <c r="B6" s="703" t="s">
        <v>15</v>
      </c>
      <c r="C6" s="703"/>
      <c r="D6" s="703"/>
      <c r="E6" s="703"/>
      <c r="F6" s="703"/>
      <c r="G6" s="703"/>
      <c r="H6" s="703"/>
    </row>
    <row r="7" spans="1:9" s="5" customFormat="1" ht="84.75" customHeight="1" x14ac:dyDescent="0.3">
      <c r="A7" s="7"/>
      <c r="B7" s="8" t="s">
        <v>16</v>
      </c>
      <c r="C7" s="9"/>
      <c r="D7" s="10" t="s">
        <v>17</v>
      </c>
      <c r="E7" s="11"/>
      <c r="F7" s="11"/>
      <c r="G7" s="11"/>
      <c r="H7" s="76"/>
    </row>
    <row r="8" spans="1:9" s="5" customFormat="1" ht="108" x14ac:dyDescent="0.3">
      <c r="A8" s="7"/>
      <c r="B8" s="8" t="s">
        <v>18</v>
      </c>
      <c r="C8" s="9"/>
      <c r="D8" s="10" t="s">
        <v>19</v>
      </c>
      <c r="E8" s="11"/>
      <c r="F8" s="11"/>
      <c r="G8" s="11"/>
      <c r="H8" s="76"/>
    </row>
    <row r="9" spans="1:9" s="5" customFormat="1" ht="87.75" customHeight="1" x14ac:dyDescent="0.3">
      <c r="A9" s="7"/>
      <c r="B9" s="8" t="s">
        <v>20</v>
      </c>
      <c r="C9" s="9"/>
      <c r="D9" s="10" t="s">
        <v>21</v>
      </c>
      <c r="E9" s="11"/>
      <c r="F9" s="11"/>
      <c r="G9" s="11"/>
      <c r="H9" s="76"/>
    </row>
    <row r="10" spans="1:9" ht="24" customHeight="1" x14ac:dyDescent="0.45">
      <c r="A10" s="6" t="s">
        <v>11</v>
      </c>
      <c r="B10" s="78" t="s">
        <v>22</v>
      </c>
      <c r="C10" s="78"/>
      <c r="D10" s="78"/>
      <c r="E10" s="78"/>
      <c r="F10" s="78"/>
      <c r="G10" s="78"/>
      <c r="H10" s="78"/>
    </row>
    <row r="11" spans="1:9" s="5" customFormat="1" ht="75.75" customHeight="1" x14ac:dyDescent="0.3">
      <c r="A11" s="7"/>
      <c r="B11" s="8" t="s">
        <v>22</v>
      </c>
      <c r="C11" s="9"/>
      <c r="D11" s="10" t="s">
        <v>23</v>
      </c>
      <c r="E11" s="11"/>
      <c r="F11" s="11"/>
      <c r="G11" s="11"/>
      <c r="H11" s="76"/>
    </row>
    <row r="12" spans="1:9" ht="24" customHeight="1" x14ac:dyDescent="0.45">
      <c r="A12" s="6" t="s">
        <v>11</v>
      </c>
      <c r="B12" s="78" t="s">
        <v>24</v>
      </c>
      <c r="C12" s="78"/>
      <c r="D12" s="78"/>
      <c r="E12" s="78"/>
      <c r="F12" s="78"/>
      <c r="G12" s="78"/>
      <c r="H12" s="78"/>
    </row>
    <row r="13" spans="1:9" s="5" customFormat="1" ht="93.75" customHeight="1" x14ac:dyDescent="0.3">
      <c r="A13" s="7"/>
      <c r="B13" s="8" t="s">
        <v>25</v>
      </c>
      <c r="C13" s="9"/>
      <c r="D13" s="10" t="s">
        <v>26</v>
      </c>
      <c r="E13" s="11"/>
      <c r="F13" s="11"/>
      <c r="G13" s="11"/>
      <c r="H13" s="76"/>
    </row>
    <row r="14" spans="1:9" s="5" customFormat="1" ht="154.5" customHeight="1" x14ac:dyDescent="0.3">
      <c r="A14" s="7"/>
      <c r="B14" s="8" t="s">
        <v>27</v>
      </c>
      <c r="C14" s="9"/>
      <c r="D14" s="10" t="s">
        <v>28</v>
      </c>
      <c r="E14" s="11"/>
      <c r="F14" s="11"/>
      <c r="G14" s="11"/>
      <c r="H14" s="76"/>
    </row>
    <row r="15" spans="1:9" s="5" customFormat="1" ht="24" customHeight="1" x14ac:dyDescent="0.3">
      <c r="A15" s="6" t="s">
        <v>11</v>
      </c>
      <c r="B15" s="77" t="s">
        <v>29</v>
      </c>
      <c r="C15" s="77"/>
      <c r="D15" s="77"/>
      <c r="E15" s="77"/>
      <c r="F15" s="77"/>
      <c r="G15" s="77"/>
      <c r="H15" s="77"/>
    </row>
    <row r="16" spans="1:9" s="5" customFormat="1" ht="76.5" customHeight="1" x14ac:dyDescent="0.3">
      <c r="A16" s="7"/>
      <c r="B16" s="8" t="s">
        <v>30</v>
      </c>
      <c r="C16" s="9"/>
      <c r="D16" s="10" t="s">
        <v>31</v>
      </c>
      <c r="E16" s="76"/>
      <c r="F16" s="76"/>
      <c r="G16" s="76"/>
      <c r="H16" s="76"/>
      <c r="I16" s="5" t="s">
        <v>32</v>
      </c>
    </row>
    <row r="17" spans="1:9" s="5" customFormat="1" ht="24" customHeight="1" x14ac:dyDescent="0.3">
      <c r="A17" s="6" t="s">
        <v>11</v>
      </c>
      <c r="B17" s="77" t="s">
        <v>33</v>
      </c>
      <c r="C17" s="77"/>
      <c r="D17" s="77"/>
      <c r="E17" s="77"/>
      <c r="F17" s="77"/>
      <c r="G17" s="77"/>
      <c r="H17" s="77"/>
    </row>
    <row r="18" spans="1:9" s="5" customFormat="1" ht="90" x14ac:dyDescent="0.3">
      <c r="A18" s="7"/>
      <c r="B18" s="8" t="s">
        <v>34</v>
      </c>
      <c r="C18" s="9"/>
      <c r="D18" s="10" t="s">
        <v>35</v>
      </c>
      <c r="E18" s="76"/>
      <c r="F18" s="76"/>
      <c r="G18" s="76"/>
      <c r="H18" s="76"/>
      <c r="I18" s="5" t="s">
        <v>32</v>
      </c>
    </row>
    <row r="19" spans="1:9" s="5" customFormat="1" ht="162" x14ac:dyDescent="0.3">
      <c r="A19" s="7"/>
      <c r="B19" s="8" t="s">
        <v>36</v>
      </c>
      <c r="C19" s="9"/>
      <c r="D19" s="10" t="s">
        <v>37</v>
      </c>
      <c r="E19" s="76"/>
      <c r="F19" s="76"/>
      <c r="G19" s="76"/>
      <c r="H19" s="76"/>
    </row>
    <row r="20" spans="1:9" s="5" customFormat="1" ht="142.5" customHeight="1" x14ac:dyDescent="0.3">
      <c r="A20" s="7"/>
      <c r="B20" s="8" t="s">
        <v>38</v>
      </c>
      <c r="C20" s="9"/>
      <c r="D20" s="10" t="s">
        <v>39</v>
      </c>
      <c r="E20" s="76"/>
      <c r="F20" s="76"/>
      <c r="G20" s="76"/>
      <c r="H20" s="76"/>
    </row>
    <row r="21" spans="1:9" s="5" customFormat="1" ht="24" customHeight="1" x14ac:dyDescent="0.3">
      <c r="A21" s="4" t="s">
        <v>40</v>
      </c>
      <c r="B21" s="33" t="s">
        <v>41</v>
      </c>
      <c r="C21" s="33"/>
      <c r="D21" s="33"/>
      <c r="E21" s="33"/>
      <c r="F21" s="33"/>
      <c r="G21" s="33"/>
      <c r="H21" s="33"/>
    </row>
    <row r="22" spans="1:9" s="5" customFormat="1" ht="24" customHeight="1" x14ac:dyDescent="0.3">
      <c r="A22" s="6" t="s">
        <v>11</v>
      </c>
      <c r="B22" s="77" t="s">
        <v>42</v>
      </c>
      <c r="C22" s="77"/>
      <c r="D22" s="77"/>
      <c r="E22" s="77"/>
      <c r="F22" s="77"/>
      <c r="G22" s="77"/>
      <c r="H22" s="77"/>
    </row>
    <row r="23" spans="1:9" s="5" customFormat="1" ht="126" x14ac:dyDescent="0.3">
      <c r="A23" s="7"/>
      <c r="B23" s="8" t="s">
        <v>43</v>
      </c>
      <c r="C23" s="9"/>
      <c r="D23" s="10" t="s">
        <v>44</v>
      </c>
      <c r="E23" s="76"/>
      <c r="F23" s="76"/>
      <c r="G23" s="76"/>
      <c r="H23" s="76"/>
    </row>
    <row r="24" spans="1:9" s="5" customFormat="1" ht="24" customHeight="1" x14ac:dyDescent="0.3">
      <c r="A24" s="6" t="s">
        <v>45</v>
      </c>
      <c r="B24" s="77" t="s">
        <v>46</v>
      </c>
      <c r="C24" s="77"/>
      <c r="D24" s="77"/>
      <c r="E24" s="77"/>
      <c r="F24" s="77"/>
      <c r="G24" s="77"/>
      <c r="H24" s="77"/>
    </row>
    <row r="25" spans="1:9" s="5" customFormat="1" ht="141.9" customHeight="1" x14ac:dyDescent="0.3">
      <c r="A25" s="7"/>
      <c r="B25" s="8" t="s">
        <v>47</v>
      </c>
      <c r="C25" s="9"/>
      <c r="D25" s="10" t="s">
        <v>48</v>
      </c>
      <c r="E25" s="76"/>
      <c r="F25" s="76"/>
      <c r="G25" s="76"/>
      <c r="H25" s="76"/>
    </row>
    <row r="26" spans="1:9" s="5" customFormat="1" ht="138.75" customHeight="1" x14ac:dyDescent="0.3">
      <c r="A26" s="7"/>
      <c r="B26" s="8" t="s">
        <v>49</v>
      </c>
      <c r="C26" s="9"/>
      <c r="D26" s="10" t="s">
        <v>50</v>
      </c>
      <c r="E26" s="76"/>
      <c r="F26" s="76"/>
      <c r="G26" s="76"/>
      <c r="H26" s="76"/>
    </row>
    <row r="27" spans="1:9" s="5" customFormat="1" ht="108" x14ac:dyDescent="0.3">
      <c r="A27" s="7"/>
      <c r="B27" s="8" t="s">
        <v>51</v>
      </c>
      <c r="C27" s="9"/>
      <c r="D27" s="10" t="s">
        <v>52</v>
      </c>
      <c r="E27" s="76"/>
      <c r="F27" s="76"/>
      <c r="G27" s="76"/>
      <c r="H27" s="76"/>
    </row>
    <row r="28" spans="1:9" s="5" customFormat="1" ht="108" x14ac:dyDescent="0.3">
      <c r="A28" s="7"/>
      <c r="B28" s="8" t="s">
        <v>53</v>
      </c>
      <c r="C28" s="9"/>
      <c r="D28" s="10" t="s">
        <v>54</v>
      </c>
      <c r="E28" s="76"/>
      <c r="F28" s="76"/>
      <c r="G28" s="76"/>
      <c r="H28" s="76"/>
    </row>
    <row r="29" spans="1:9" s="5" customFormat="1" ht="252" x14ac:dyDescent="0.3">
      <c r="A29" s="7"/>
      <c r="B29" s="8" t="s">
        <v>55</v>
      </c>
      <c r="C29" s="9"/>
      <c r="D29" s="10" t="s">
        <v>56</v>
      </c>
      <c r="E29" s="76"/>
      <c r="F29" s="76"/>
      <c r="G29" s="76"/>
      <c r="H29" s="76"/>
      <c r="I29" s="5" t="s">
        <v>57</v>
      </c>
    </row>
    <row r="30" spans="1:9" s="5" customFormat="1" ht="60.9" customHeight="1" x14ac:dyDescent="0.3">
      <c r="A30" s="7"/>
      <c r="B30" s="8" t="s">
        <v>58</v>
      </c>
      <c r="C30" s="9"/>
      <c r="D30" s="10" t="s">
        <v>59</v>
      </c>
      <c r="E30" s="76"/>
      <c r="F30" s="76"/>
      <c r="G30" s="76"/>
      <c r="H30" s="76"/>
    </row>
    <row r="31" spans="1:9" s="5" customFormat="1" ht="72" x14ac:dyDescent="0.3">
      <c r="A31" s="7"/>
      <c r="B31" s="8" t="s">
        <v>60</v>
      </c>
      <c r="C31" s="9"/>
      <c r="D31" s="10" t="s">
        <v>61</v>
      </c>
      <c r="E31" s="76"/>
      <c r="F31" s="76"/>
      <c r="G31" s="76"/>
      <c r="H31" s="76"/>
    </row>
    <row r="32" spans="1:9" s="5" customFormat="1" ht="108" x14ac:dyDescent="0.3">
      <c r="A32" s="7"/>
      <c r="B32" s="8" t="s">
        <v>62</v>
      </c>
      <c r="C32" s="9"/>
      <c r="D32" s="10" t="s">
        <v>63</v>
      </c>
      <c r="E32" s="76"/>
      <c r="F32" s="76"/>
      <c r="G32" s="76"/>
      <c r="H32" s="76"/>
      <c r="I32" s="23"/>
    </row>
    <row r="33" spans="1:9" s="5" customFormat="1" ht="102" customHeight="1" x14ac:dyDescent="0.3">
      <c r="A33" s="7"/>
      <c r="B33" s="8" t="s">
        <v>64</v>
      </c>
      <c r="C33" s="9"/>
      <c r="D33" s="10" t="s">
        <v>65</v>
      </c>
      <c r="E33" s="76"/>
      <c r="F33" s="76"/>
      <c r="G33" s="76"/>
      <c r="H33" s="76"/>
    </row>
    <row r="34" spans="1:9" s="5" customFormat="1" ht="24" customHeight="1" x14ac:dyDescent="0.3">
      <c r="A34" s="6" t="s">
        <v>45</v>
      </c>
      <c r="B34" s="77" t="s">
        <v>66</v>
      </c>
      <c r="C34" s="77"/>
      <c r="D34" s="77"/>
      <c r="E34" s="77"/>
      <c r="F34" s="77"/>
      <c r="G34" s="77"/>
      <c r="H34" s="77"/>
    </row>
    <row r="35" spans="1:9" s="5" customFormat="1" ht="216" x14ac:dyDescent="0.3">
      <c r="A35" s="7"/>
      <c r="B35" s="8" t="s">
        <v>67</v>
      </c>
      <c r="C35" s="9"/>
      <c r="D35" s="10" t="s">
        <v>68</v>
      </c>
      <c r="E35" s="76"/>
      <c r="F35" s="76"/>
      <c r="G35" s="76"/>
      <c r="H35" s="76"/>
    </row>
    <row r="36" spans="1:9" s="5" customFormat="1" ht="180" x14ac:dyDescent="0.3">
      <c r="A36" s="7"/>
      <c r="B36" s="8" t="s">
        <v>69</v>
      </c>
      <c r="C36" s="9"/>
      <c r="D36" s="10" t="s">
        <v>70</v>
      </c>
      <c r="E36" s="76"/>
      <c r="F36" s="76"/>
      <c r="G36" s="76"/>
      <c r="H36" s="76"/>
    </row>
    <row r="37" spans="1:9" s="5" customFormat="1" ht="101.1" customHeight="1" x14ac:dyDescent="0.3">
      <c r="A37" s="7"/>
      <c r="B37" s="8" t="s">
        <v>71</v>
      </c>
      <c r="C37" s="9"/>
      <c r="D37" s="10" t="s">
        <v>72</v>
      </c>
      <c r="E37" s="76"/>
      <c r="F37" s="76"/>
      <c r="G37" s="76"/>
      <c r="H37" s="76"/>
    </row>
    <row r="38" spans="1:9" s="5" customFormat="1" ht="24" customHeight="1" x14ac:dyDescent="0.3">
      <c r="A38" s="6" t="s">
        <v>45</v>
      </c>
      <c r="B38" s="77" t="s">
        <v>73</v>
      </c>
      <c r="C38" s="77"/>
      <c r="D38" s="77"/>
      <c r="E38" s="77"/>
      <c r="F38" s="77"/>
      <c r="G38" s="77"/>
      <c r="H38" s="77"/>
    </row>
    <row r="39" spans="1:9" s="5" customFormat="1" ht="150" customHeight="1" x14ac:dyDescent="0.3">
      <c r="A39" s="7"/>
      <c r="B39" s="8" t="s">
        <v>74</v>
      </c>
      <c r="C39" s="9"/>
      <c r="D39" s="10" t="s">
        <v>75</v>
      </c>
      <c r="E39" s="76"/>
      <c r="F39" s="76"/>
      <c r="G39" s="76"/>
      <c r="H39" s="76"/>
    </row>
    <row r="40" spans="1:9" s="5" customFormat="1" ht="141.9" customHeight="1" x14ac:dyDescent="0.3">
      <c r="A40" s="7"/>
      <c r="B40" s="8" t="s">
        <v>76</v>
      </c>
      <c r="C40" s="9"/>
      <c r="D40" s="10" t="s">
        <v>77</v>
      </c>
      <c r="E40" s="76"/>
      <c r="F40" s="76"/>
      <c r="G40" s="76"/>
      <c r="H40" s="76"/>
    </row>
    <row r="41" spans="1:9" s="5" customFormat="1" ht="102.9" customHeight="1" x14ac:dyDescent="0.3">
      <c r="A41" s="7"/>
      <c r="B41" s="8" t="s">
        <v>71</v>
      </c>
      <c r="C41" s="9"/>
      <c r="D41" s="10" t="s">
        <v>78</v>
      </c>
      <c r="E41" s="76"/>
      <c r="F41" s="76"/>
      <c r="G41" s="76"/>
      <c r="H41" s="76"/>
    </row>
    <row r="42" spans="1:9" s="5" customFormat="1" ht="24" customHeight="1" x14ac:dyDescent="0.3">
      <c r="A42" s="6" t="s">
        <v>45</v>
      </c>
      <c r="B42" s="77" t="s">
        <v>79</v>
      </c>
      <c r="C42" s="77"/>
      <c r="D42" s="77"/>
      <c r="E42" s="77"/>
      <c r="F42" s="77"/>
      <c r="G42" s="77"/>
      <c r="H42" s="77"/>
    </row>
    <row r="43" spans="1:9" s="5" customFormat="1" ht="146.1" customHeight="1" x14ac:dyDescent="0.3">
      <c r="A43" s="7"/>
      <c r="B43" s="8" t="s">
        <v>80</v>
      </c>
      <c r="C43" s="9"/>
      <c r="D43" s="10" t="s">
        <v>81</v>
      </c>
      <c r="E43" s="76"/>
      <c r="F43" s="76"/>
      <c r="G43" s="76"/>
      <c r="H43" s="76"/>
      <c r="I43" s="23" t="s">
        <v>82</v>
      </c>
    </row>
    <row r="44" spans="1:9" s="5" customFormat="1" ht="24" customHeight="1" x14ac:dyDescent="0.3">
      <c r="A44" s="6"/>
      <c r="B44" s="77" t="s">
        <v>83</v>
      </c>
      <c r="C44" s="77"/>
      <c r="D44" s="77"/>
      <c r="E44" s="77"/>
      <c r="F44" s="77"/>
      <c r="G44" s="77"/>
      <c r="H44" s="77"/>
    </row>
    <row r="45" spans="1:9" s="5" customFormat="1" ht="144" x14ac:dyDescent="0.3">
      <c r="A45" s="7"/>
      <c r="B45" s="8" t="s">
        <v>84</v>
      </c>
      <c r="C45" s="9"/>
      <c r="D45" s="10" t="s">
        <v>85</v>
      </c>
      <c r="E45" s="76"/>
      <c r="F45" s="76"/>
      <c r="G45" s="76"/>
      <c r="H45" s="76"/>
    </row>
    <row r="46" spans="1:9" s="5" customFormat="1" ht="24" customHeight="1" x14ac:dyDescent="0.3">
      <c r="A46" s="6" t="s">
        <v>11</v>
      </c>
      <c r="B46" s="77" t="s">
        <v>86</v>
      </c>
      <c r="C46" s="77"/>
      <c r="D46" s="77"/>
      <c r="E46" s="77"/>
      <c r="F46" s="77"/>
      <c r="G46" s="77"/>
      <c r="H46" s="77"/>
    </row>
    <row r="47" spans="1:9" s="5" customFormat="1" ht="94.5" customHeight="1" x14ac:dyDescent="0.3">
      <c r="A47" s="7"/>
      <c r="B47" s="8" t="s">
        <v>87</v>
      </c>
      <c r="C47" s="9"/>
      <c r="D47" s="10" t="s">
        <v>88</v>
      </c>
      <c r="E47" s="76"/>
      <c r="F47" s="76"/>
      <c r="G47" s="76"/>
      <c r="H47" s="76"/>
    </row>
    <row r="48" spans="1:9" s="5" customFormat="1" ht="163.5" hidden="1" customHeight="1" x14ac:dyDescent="0.3">
      <c r="A48" s="80"/>
      <c r="B48" s="81" t="s">
        <v>89</v>
      </c>
      <c r="C48" s="82"/>
      <c r="D48" s="83" t="s">
        <v>90</v>
      </c>
      <c r="E48" s="84"/>
      <c r="F48" s="84"/>
      <c r="G48" s="84"/>
      <c r="H48" s="76"/>
    </row>
    <row r="49" spans="1:8" s="5" customFormat="1" ht="24" customHeight="1" x14ac:dyDescent="0.3">
      <c r="A49" s="6" t="s">
        <v>11</v>
      </c>
      <c r="B49" s="77" t="s">
        <v>91</v>
      </c>
      <c r="C49" s="77"/>
      <c r="D49" s="77"/>
      <c r="E49" s="77"/>
      <c r="F49" s="77"/>
      <c r="G49" s="77"/>
      <c r="H49" s="77"/>
    </row>
    <row r="50" spans="1:8" s="5" customFormat="1" ht="126" x14ac:dyDescent="0.3">
      <c r="A50" s="7"/>
      <c r="B50" s="8" t="s">
        <v>92</v>
      </c>
      <c r="C50" s="9"/>
      <c r="D50" s="10" t="s">
        <v>93</v>
      </c>
      <c r="E50" s="76"/>
      <c r="F50" s="76"/>
      <c r="G50" s="76"/>
      <c r="H50" s="76"/>
    </row>
    <row r="51" spans="1:8" s="5" customFormat="1" ht="24" hidden="1" x14ac:dyDescent="0.3">
      <c r="A51" s="6"/>
      <c r="B51" s="703" t="s">
        <v>94</v>
      </c>
      <c r="C51" s="703"/>
      <c r="D51" s="703"/>
      <c r="E51" s="703"/>
      <c r="F51" s="703"/>
      <c r="G51" s="703"/>
      <c r="H51" s="76"/>
    </row>
    <row r="52" spans="1:8" s="5" customFormat="1" ht="24" hidden="1" x14ac:dyDescent="0.3">
      <c r="A52" s="7"/>
      <c r="B52" s="28"/>
      <c r="C52" s="9"/>
      <c r="D52" s="10" t="s">
        <v>95</v>
      </c>
      <c r="E52" s="76"/>
      <c r="F52" s="76"/>
      <c r="G52" s="76"/>
      <c r="H52" s="76"/>
    </row>
    <row r="53" spans="1:8" s="5" customFormat="1" ht="24" customHeight="1" x14ac:dyDescent="0.3">
      <c r="A53" s="6" t="s">
        <v>11</v>
      </c>
      <c r="B53" s="77" t="s">
        <v>96</v>
      </c>
      <c r="C53" s="77"/>
      <c r="D53" s="77"/>
      <c r="E53" s="77"/>
      <c r="F53" s="77"/>
      <c r="G53" s="77"/>
      <c r="H53" s="77"/>
    </row>
    <row r="54" spans="1:8" s="5" customFormat="1" ht="124.5" customHeight="1" x14ac:dyDescent="0.3">
      <c r="A54" s="7"/>
      <c r="B54" s="8" t="s">
        <v>97</v>
      </c>
      <c r="C54" s="9"/>
      <c r="D54" s="10" t="s">
        <v>98</v>
      </c>
      <c r="E54" s="76"/>
      <c r="F54" s="76"/>
      <c r="G54" s="76"/>
      <c r="H54" s="76"/>
    </row>
    <row r="55" spans="1:8" s="5" customFormat="1" ht="219" customHeight="1" x14ac:dyDescent="0.3">
      <c r="A55" s="7"/>
      <c r="B55" s="8" t="s">
        <v>99</v>
      </c>
      <c r="C55" s="9"/>
      <c r="D55" s="10" t="s">
        <v>100</v>
      </c>
      <c r="E55" s="76"/>
      <c r="F55" s="76"/>
      <c r="G55" s="76"/>
      <c r="H55" s="76"/>
    </row>
    <row r="56" spans="1:8" s="5" customFormat="1" ht="252" x14ac:dyDescent="0.3">
      <c r="A56" s="7"/>
      <c r="B56" s="8" t="s">
        <v>101</v>
      </c>
      <c r="C56" s="9"/>
      <c r="D56" s="10" t="s">
        <v>102</v>
      </c>
      <c r="E56" s="76"/>
      <c r="F56" s="76"/>
      <c r="G56" s="76"/>
      <c r="H56" s="76"/>
    </row>
    <row r="57" spans="1:8" s="5" customFormat="1" ht="24" customHeight="1" x14ac:dyDescent="0.3">
      <c r="A57" s="6" t="s">
        <v>11</v>
      </c>
      <c r="B57" s="77" t="s">
        <v>103</v>
      </c>
      <c r="C57" s="77"/>
      <c r="D57" s="77"/>
      <c r="E57" s="77"/>
      <c r="F57" s="77"/>
      <c r="G57" s="77"/>
      <c r="H57" s="77"/>
    </row>
    <row r="58" spans="1:8" s="5" customFormat="1" ht="48" customHeight="1" x14ac:dyDescent="0.3">
      <c r="A58" s="7"/>
      <c r="B58" s="8" t="s">
        <v>104</v>
      </c>
      <c r="C58" s="9"/>
      <c r="D58" s="10" t="s">
        <v>105</v>
      </c>
      <c r="E58" s="76"/>
      <c r="F58" s="76"/>
      <c r="G58" s="76"/>
      <c r="H58" s="76"/>
    </row>
    <row r="59" spans="1:8" s="5" customFormat="1" ht="144" x14ac:dyDescent="0.3">
      <c r="A59" s="7"/>
      <c r="B59" s="8" t="s">
        <v>106</v>
      </c>
      <c r="C59" s="9"/>
      <c r="D59" s="10" t="s">
        <v>107</v>
      </c>
      <c r="E59" s="76"/>
      <c r="F59" s="76"/>
      <c r="G59" s="76"/>
      <c r="H59" s="76"/>
    </row>
    <row r="60" spans="1:8" s="5" customFormat="1" ht="24" customHeight="1" x14ac:dyDescent="0.3">
      <c r="A60" s="6" t="s">
        <v>11</v>
      </c>
      <c r="B60" s="77" t="s">
        <v>108</v>
      </c>
      <c r="C60" s="77"/>
      <c r="D60" s="77"/>
      <c r="E60" s="77"/>
      <c r="F60" s="77"/>
      <c r="G60" s="77"/>
      <c r="H60" s="77"/>
    </row>
    <row r="61" spans="1:8" s="5" customFormat="1" ht="123" customHeight="1" x14ac:dyDescent="0.3">
      <c r="A61" s="7"/>
      <c r="B61" s="8" t="s">
        <v>109</v>
      </c>
      <c r="C61" s="9"/>
      <c r="D61" s="10" t="s">
        <v>110</v>
      </c>
      <c r="E61" s="76"/>
      <c r="F61" s="76"/>
      <c r="G61" s="76"/>
      <c r="H61" s="76"/>
    </row>
    <row r="62" spans="1:8" s="5" customFormat="1" ht="144" x14ac:dyDescent="0.3">
      <c r="A62" s="7"/>
      <c r="B62" s="8" t="s">
        <v>111</v>
      </c>
      <c r="C62" s="9"/>
      <c r="D62" s="10" t="s">
        <v>112</v>
      </c>
      <c r="E62" s="76"/>
      <c r="F62" s="76"/>
      <c r="G62" s="76"/>
      <c r="H62" s="76"/>
    </row>
    <row r="63" spans="1:8" s="5" customFormat="1" ht="24" customHeight="1" x14ac:dyDescent="0.3">
      <c r="A63" s="6" t="s">
        <v>11</v>
      </c>
      <c r="B63" s="77" t="s">
        <v>113</v>
      </c>
      <c r="C63" s="77"/>
      <c r="D63" s="77"/>
      <c r="E63" s="77"/>
      <c r="F63" s="77"/>
      <c r="G63" s="77"/>
      <c r="H63" s="77"/>
    </row>
    <row r="64" spans="1:8" s="5" customFormat="1" ht="108" x14ac:dyDescent="0.3">
      <c r="A64" s="7"/>
      <c r="B64" s="8" t="s">
        <v>114</v>
      </c>
      <c r="C64" s="9"/>
      <c r="D64" s="10" t="s">
        <v>115</v>
      </c>
      <c r="E64" s="76"/>
      <c r="F64" s="76"/>
      <c r="G64" s="76"/>
      <c r="H64" s="76"/>
    </row>
    <row r="65" spans="1:8" s="5" customFormat="1" ht="144" x14ac:dyDescent="0.3">
      <c r="A65" s="7"/>
      <c r="B65" s="8" t="s">
        <v>116</v>
      </c>
      <c r="C65" s="9"/>
      <c r="D65" s="10" t="s">
        <v>117</v>
      </c>
      <c r="E65" s="76"/>
      <c r="F65" s="76"/>
      <c r="G65" s="76"/>
      <c r="H65" s="76"/>
    </row>
    <row r="66" spans="1:8" s="5" customFormat="1" ht="54" x14ac:dyDescent="0.3">
      <c r="A66" s="7"/>
      <c r="B66" s="8" t="s">
        <v>118</v>
      </c>
      <c r="C66" s="9"/>
      <c r="D66" s="10" t="s">
        <v>119</v>
      </c>
      <c r="E66" s="76"/>
      <c r="F66" s="76"/>
      <c r="G66" s="76"/>
      <c r="H66" s="76"/>
    </row>
    <row r="67" spans="1:8" s="5" customFormat="1" ht="24" x14ac:dyDescent="0.3">
      <c r="A67" s="6" t="s">
        <v>11</v>
      </c>
      <c r="B67" s="77" t="s">
        <v>120</v>
      </c>
      <c r="C67" s="77"/>
      <c r="D67" s="77"/>
      <c r="E67" s="77"/>
      <c r="F67" s="77"/>
      <c r="G67" s="77"/>
      <c r="H67" s="77"/>
    </row>
    <row r="68" spans="1:8" s="5" customFormat="1" ht="54" x14ac:dyDescent="0.3">
      <c r="A68" s="7"/>
      <c r="B68" s="8" t="s">
        <v>121</v>
      </c>
      <c r="C68" s="9"/>
      <c r="D68" s="10" t="s">
        <v>122</v>
      </c>
      <c r="E68" s="76"/>
      <c r="F68" s="76"/>
      <c r="G68" s="76"/>
      <c r="H68" s="76"/>
    </row>
    <row r="69" spans="1:8" s="5" customFormat="1" ht="108" x14ac:dyDescent="0.3">
      <c r="A69" s="7"/>
      <c r="B69" s="8" t="s">
        <v>123</v>
      </c>
      <c r="C69" s="9"/>
      <c r="D69" s="10" t="s">
        <v>124</v>
      </c>
      <c r="E69" s="76"/>
      <c r="F69" s="76"/>
      <c r="G69" s="76"/>
      <c r="H69" s="76"/>
    </row>
    <row r="70" spans="1:8" ht="24" customHeight="1" x14ac:dyDescent="0.45">
      <c r="A70" s="4" t="s">
        <v>125</v>
      </c>
      <c r="B70" s="33" t="s">
        <v>126</v>
      </c>
      <c r="C70" s="33"/>
      <c r="D70" s="33"/>
      <c r="E70" s="33"/>
      <c r="F70" s="33"/>
      <c r="G70" s="33"/>
      <c r="H70" s="33"/>
    </row>
    <row r="71" spans="1:8" ht="72" x14ac:dyDescent="0.45">
      <c r="A71" s="7"/>
      <c r="B71" s="8" t="s">
        <v>127</v>
      </c>
      <c r="C71" s="9"/>
      <c r="D71" s="10" t="s">
        <v>128</v>
      </c>
      <c r="E71" s="76"/>
      <c r="F71" s="76"/>
      <c r="G71" s="76"/>
    </row>
    <row r="72" spans="1:8" ht="108" x14ac:dyDescent="0.45">
      <c r="A72" s="7"/>
      <c r="B72" s="8" t="s">
        <v>129</v>
      </c>
      <c r="C72" s="9"/>
      <c r="D72" s="10" t="s">
        <v>130</v>
      </c>
      <c r="E72" s="76"/>
      <c r="F72" s="76"/>
      <c r="G72" s="76"/>
    </row>
    <row r="73" spans="1:8" ht="90" x14ac:dyDescent="0.45">
      <c r="A73" s="7"/>
      <c r="B73" s="8" t="s">
        <v>131</v>
      </c>
      <c r="C73" s="9"/>
      <c r="D73" s="10" t="s">
        <v>132</v>
      </c>
      <c r="E73" s="76"/>
      <c r="F73" s="76"/>
      <c r="G73" s="76"/>
    </row>
  </sheetData>
  <autoFilter ref="A1:H1" xr:uid="{0079C86A-D5C0-468D-9ED0-E28EAE251ABD}"/>
  <mergeCells count="10">
    <mergeCell ref="B6:H6"/>
    <mergeCell ref="B51:G51"/>
    <mergeCell ref="B4:H4"/>
    <mergeCell ref="A1:A2"/>
    <mergeCell ref="B1:B2"/>
    <mergeCell ref="C1:C2"/>
    <mergeCell ref="D1:D2"/>
    <mergeCell ref="E1:G1"/>
    <mergeCell ref="H1:H2"/>
    <mergeCell ref="B3:H3"/>
  </mergeCells>
  <printOptions horizontalCentered="1" gridLines="1"/>
  <pageMargins left="0.25" right="0.25" top="0.75" bottom="0.75" header="0.3" footer="0.3"/>
  <pageSetup paperSize="9" scale="98" fitToHeight="0" orientation="landscape" copies="20" r:id="rId1"/>
  <rowBreaks count="12" manualBreakCount="12">
    <brk id="9" max="7" man="1"/>
    <brk id="20" max="7" man="1"/>
    <brk id="26" max="7" man="1"/>
    <brk id="29" max="7" man="1"/>
    <brk id="33" max="7" man="1"/>
    <brk id="37" max="7" man="1"/>
    <brk id="41" max="7" man="1"/>
    <brk id="45" max="7" man="1"/>
    <brk id="50" max="7" man="1"/>
    <brk id="56" max="7" man="1"/>
    <brk id="62" max="7" man="1"/>
    <brk id="69" max="7" man="1"/>
  </rowBreaks>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4BB45-B00F-4A40-9A61-C3B7C468137B}">
  <sheetPr>
    <pageSetUpPr fitToPage="1"/>
  </sheetPr>
  <dimension ref="A1:J53"/>
  <sheetViews>
    <sheetView view="pageBreakPreview" zoomScale="134" zoomScaleNormal="130" zoomScaleSheetLayoutView="134" workbookViewId="0">
      <selection activeCell="A54" sqref="A54"/>
    </sheetView>
  </sheetViews>
  <sheetFormatPr defaultColWidth="7.88671875" defaultRowHeight="16.2" x14ac:dyDescent="0.45"/>
  <cols>
    <col min="1" max="1" width="12.6640625" style="101" customWidth="1"/>
    <col min="2" max="2" width="37.88671875" style="13" customWidth="1"/>
    <col min="3" max="3" width="17" style="1" customWidth="1"/>
    <col min="4" max="4" width="39.33203125" style="13" customWidth="1"/>
    <col min="5" max="7" width="6.109375" style="1" customWidth="1"/>
    <col min="8" max="8" width="23.33203125" style="99" customWidth="1"/>
    <col min="9" max="9" width="33.109375" style="13" customWidth="1"/>
    <col min="10" max="10" width="31.44140625" style="1" customWidth="1"/>
    <col min="11" max="16384" width="7.88671875" style="1"/>
  </cols>
  <sheetData>
    <row r="1" spans="1:10" ht="24.9" customHeight="1" x14ac:dyDescent="0.45">
      <c r="A1" s="707" t="s">
        <v>133</v>
      </c>
      <c r="B1" s="709" t="s">
        <v>1</v>
      </c>
      <c r="C1" s="707" t="s">
        <v>2</v>
      </c>
      <c r="D1" s="709" t="s">
        <v>3</v>
      </c>
      <c r="E1" s="714" t="s">
        <v>4</v>
      </c>
      <c r="F1" s="715"/>
      <c r="G1" s="716"/>
      <c r="H1" s="712" t="s">
        <v>5</v>
      </c>
    </row>
    <row r="2" spans="1:10" ht="24.9" customHeight="1" x14ac:dyDescent="0.45">
      <c r="A2" s="708"/>
      <c r="B2" s="710"/>
      <c r="C2" s="708"/>
      <c r="D2" s="710"/>
      <c r="E2" s="2" t="s">
        <v>6</v>
      </c>
      <c r="F2" s="2" t="s">
        <v>7</v>
      </c>
      <c r="G2" s="2" t="s">
        <v>8</v>
      </c>
      <c r="H2" s="712"/>
      <c r="I2" s="24"/>
    </row>
    <row r="3" spans="1:10" s="5" customFormat="1" ht="24" customHeight="1" x14ac:dyDescent="0.3">
      <c r="A3" s="4" t="s">
        <v>134</v>
      </c>
      <c r="B3" s="86" t="s">
        <v>135</v>
      </c>
      <c r="C3" s="87"/>
      <c r="D3" s="87"/>
      <c r="E3" s="87"/>
      <c r="F3" s="87"/>
      <c r="G3" s="87"/>
      <c r="H3" s="95"/>
      <c r="I3" s="23"/>
    </row>
    <row r="4" spans="1:10" s="5" customFormat="1" ht="107.25" customHeight="1" x14ac:dyDescent="0.3">
      <c r="A4" s="7" t="s">
        <v>136</v>
      </c>
      <c r="B4" s="8" t="s">
        <v>137</v>
      </c>
      <c r="C4" s="9"/>
      <c r="D4" s="10" t="s">
        <v>138</v>
      </c>
      <c r="E4" s="11"/>
      <c r="F4" s="11"/>
      <c r="G4" s="11"/>
      <c r="H4" s="76"/>
      <c r="I4" s="23"/>
    </row>
    <row r="5" spans="1:10" s="5" customFormat="1" ht="144" x14ac:dyDescent="0.3">
      <c r="A5" s="7"/>
      <c r="B5" s="8" t="s">
        <v>139</v>
      </c>
      <c r="C5" s="9"/>
      <c r="D5" s="10" t="s">
        <v>107</v>
      </c>
      <c r="E5" s="11"/>
      <c r="F5" s="11"/>
      <c r="G5" s="11"/>
      <c r="H5" s="76"/>
      <c r="I5" s="23"/>
    </row>
    <row r="6" spans="1:10" s="5" customFormat="1" ht="24" customHeight="1" x14ac:dyDescent="0.3">
      <c r="A6" s="4" t="s">
        <v>140</v>
      </c>
      <c r="B6" s="88" t="s">
        <v>10</v>
      </c>
      <c r="C6" s="75"/>
      <c r="D6" s="75"/>
      <c r="E6" s="75"/>
      <c r="F6" s="75"/>
      <c r="G6" s="75"/>
      <c r="H6" s="96"/>
      <c r="I6" s="23"/>
    </row>
    <row r="7" spans="1:10" s="5" customFormat="1" ht="24" customHeight="1" x14ac:dyDescent="0.3">
      <c r="A7" s="6" t="s">
        <v>11</v>
      </c>
      <c r="B7" s="44" t="s">
        <v>12</v>
      </c>
      <c r="C7" s="45"/>
      <c r="D7" s="45"/>
      <c r="E7" s="45"/>
      <c r="F7" s="45"/>
      <c r="G7" s="45"/>
      <c r="H7" s="97"/>
      <c r="I7" s="23"/>
    </row>
    <row r="8" spans="1:10" s="5" customFormat="1" ht="92.25" customHeight="1" x14ac:dyDescent="0.3">
      <c r="A8" s="27"/>
      <c r="B8" s="14" t="s">
        <v>13</v>
      </c>
      <c r="C8" s="15"/>
      <c r="D8" s="16" t="s">
        <v>14</v>
      </c>
      <c r="E8" s="11"/>
      <c r="F8" s="11"/>
      <c r="G8" s="11"/>
      <c r="H8" s="76"/>
      <c r="I8" s="23"/>
    </row>
    <row r="9" spans="1:10" ht="24" customHeight="1" x14ac:dyDescent="0.45">
      <c r="A9" s="6" t="s">
        <v>11</v>
      </c>
      <c r="B9" s="44" t="s">
        <v>15</v>
      </c>
      <c r="C9" s="45"/>
      <c r="D9" s="45"/>
      <c r="E9" s="45"/>
      <c r="F9" s="45"/>
      <c r="G9" s="45"/>
      <c r="H9" s="97"/>
    </row>
    <row r="10" spans="1:10" s="5" customFormat="1" ht="54" x14ac:dyDescent="0.3">
      <c r="A10" s="27"/>
      <c r="B10" s="14" t="s">
        <v>16</v>
      </c>
      <c r="C10" s="15"/>
      <c r="D10" s="16" t="s">
        <v>17</v>
      </c>
      <c r="E10" s="11"/>
      <c r="F10" s="11"/>
      <c r="G10" s="11"/>
      <c r="H10" s="76"/>
      <c r="I10" s="23"/>
    </row>
    <row r="11" spans="1:10" s="5" customFormat="1" ht="108" x14ac:dyDescent="0.3">
      <c r="A11" s="27"/>
      <c r="B11" s="14" t="s">
        <v>18</v>
      </c>
      <c r="C11" s="15"/>
      <c r="D11" s="16" t="s">
        <v>19</v>
      </c>
      <c r="E11" s="11"/>
      <c r="F11" s="11"/>
      <c r="G11" s="11"/>
      <c r="H11" s="76"/>
      <c r="I11" s="23"/>
    </row>
    <row r="12" spans="1:10" s="5" customFormat="1" ht="72" x14ac:dyDescent="0.3">
      <c r="A12" s="27"/>
      <c r="B12" s="14" t="s">
        <v>20</v>
      </c>
      <c r="C12" s="15"/>
      <c r="D12" s="16" t="s">
        <v>21</v>
      </c>
      <c r="E12" s="11"/>
      <c r="F12" s="11"/>
      <c r="G12" s="11"/>
      <c r="H12" s="76"/>
      <c r="I12" s="23"/>
    </row>
    <row r="13" spans="1:10" ht="24" customHeight="1" x14ac:dyDescent="0.45">
      <c r="A13" s="6" t="s">
        <v>11</v>
      </c>
      <c r="B13" s="89" t="s">
        <v>141</v>
      </c>
      <c r="C13" s="74"/>
      <c r="D13" s="74"/>
      <c r="E13" s="74"/>
      <c r="F13" s="74"/>
      <c r="G13" s="74"/>
      <c r="H13" s="98"/>
    </row>
    <row r="14" spans="1:10" s="5" customFormat="1" ht="137.25" customHeight="1" x14ac:dyDescent="0.3">
      <c r="A14" s="19"/>
      <c r="B14" s="20" t="s">
        <v>142</v>
      </c>
      <c r="C14" s="21"/>
      <c r="D14" s="18" t="s">
        <v>143</v>
      </c>
      <c r="E14" s="22"/>
      <c r="F14" s="22"/>
      <c r="G14" s="90"/>
      <c r="H14" s="76"/>
      <c r="I14" s="23"/>
    </row>
    <row r="15" spans="1:10" s="5" customFormat="1" ht="198" x14ac:dyDescent="0.3">
      <c r="A15" s="100"/>
      <c r="B15" s="14" t="s">
        <v>144</v>
      </c>
      <c r="C15" s="15"/>
      <c r="D15" s="16" t="s">
        <v>145</v>
      </c>
      <c r="E15" s="17"/>
      <c r="F15" s="17"/>
      <c r="G15" s="91"/>
      <c r="H15" s="76"/>
      <c r="I15" s="23"/>
      <c r="J15" s="60"/>
    </row>
    <row r="16" spans="1:10" ht="24" customHeight="1" x14ac:dyDescent="0.45">
      <c r="A16" s="6" t="s">
        <v>11</v>
      </c>
      <c r="B16" s="89" t="s">
        <v>24</v>
      </c>
      <c r="C16" s="74"/>
      <c r="D16" s="74"/>
      <c r="E16" s="74"/>
      <c r="F16" s="74"/>
      <c r="G16" s="74"/>
      <c r="H16" s="98"/>
    </row>
    <row r="17" spans="1:9" s="5" customFormat="1" ht="90" x14ac:dyDescent="0.3">
      <c r="A17" s="7"/>
      <c r="B17" s="8" t="s">
        <v>25</v>
      </c>
      <c r="C17" s="9"/>
      <c r="D17" s="10" t="s">
        <v>26</v>
      </c>
      <c r="E17" s="11"/>
      <c r="F17" s="11"/>
      <c r="G17" s="11"/>
      <c r="H17" s="76"/>
      <c r="I17" s="23"/>
    </row>
    <row r="18" spans="1:9" s="5" customFormat="1" ht="162" x14ac:dyDescent="0.3">
      <c r="A18" s="7"/>
      <c r="B18" s="8" t="s">
        <v>27</v>
      </c>
      <c r="C18" s="9"/>
      <c r="D18" s="10" t="s">
        <v>28</v>
      </c>
      <c r="E18" s="11"/>
      <c r="F18" s="11"/>
      <c r="G18" s="11"/>
      <c r="H18" s="76"/>
      <c r="I18" s="23"/>
    </row>
    <row r="19" spans="1:9" s="5" customFormat="1" ht="24" customHeight="1" x14ac:dyDescent="0.3">
      <c r="A19" s="6" t="s">
        <v>11</v>
      </c>
      <c r="B19" s="73" t="s">
        <v>146</v>
      </c>
      <c r="C19" s="74"/>
      <c r="D19" s="74"/>
      <c r="E19" s="74"/>
      <c r="F19" s="74"/>
      <c r="G19" s="74"/>
      <c r="H19" s="98"/>
      <c r="I19" s="23"/>
    </row>
    <row r="20" spans="1:9" s="5" customFormat="1" ht="108" x14ac:dyDescent="0.3">
      <c r="A20" s="27"/>
      <c r="B20" s="14" t="s">
        <v>147</v>
      </c>
      <c r="C20" s="15"/>
      <c r="D20" s="16" t="s">
        <v>148</v>
      </c>
      <c r="E20" s="17"/>
      <c r="F20" s="17"/>
      <c r="G20" s="91"/>
      <c r="H20" s="76"/>
      <c r="I20" s="23"/>
    </row>
    <row r="21" spans="1:9" s="5" customFormat="1" ht="24" customHeight="1" x14ac:dyDescent="0.3">
      <c r="A21" s="4" t="s">
        <v>149</v>
      </c>
      <c r="B21" s="88" t="s">
        <v>150</v>
      </c>
      <c r="C21" s="75"/>
      <c r="D21" s="75"/>
      <c r="E21" s="75"/>
      <c r="F21" s="75"/>
      <c r="G21" s="75"/>
      <c r="H21" s="96"/>
      <c r="I21" s="23"/>
    </row>
    <row r="22" spans="1:9" s="5" customFormat="1" ht="24" customHeight="1" x14ac:dyDescent="0.3">
      <c r="A22" s="6" t="s">
        <v>45</v>
      </c>
      <c r="B22" s="44" t="s">
        <v>46</v>
      </c>
      <c r="C22" s="45"/>
      <c r="D22" s="45"/>
      <c r="E22" s="45"/>
      <c r="F22" s="45"/>
      <c r="G22" s="45"/>
      <c r="H22" s="97"/>
      <c r="I22" s="23"/>
    </row>
    <row r="23" spans="1:9" s="5" customFormat="1" ht="108" x14ac:dyDescent="0.3">
      <c r="A23" s="7"/>
      <c r="B23" s="8" t="s">
        <v>151</v>
      </c>
      <c r="C23" s="9"/>
      <c r="D23" s="10" t="s">
        <v>152</v>
      </c>
      <c r="E23" s="25"/>
      <c r="F23" s="25"/>
      <c r="G23" s="92"/>
      <c r="H23" s="76"/>
      <c r="I23" s="23"/>
    </row>
    <row r="24" spans="1:9" s="5" customFormat="1" ht="96.75" customHeight="1" x14ac:dyDescent="0.3">
      <c r="A24" s="7"/>
      <c r="B24" s="8" t="s">
        <v>153</v>
      </c>
      <c r="C24" s="9"/>
      <c r="D24" s="10" t="s">
        <v>154</v>
      </c>
      <c r="E24" s="25"/>
      <c r="F24" s="25"/>
      <c r="G24" s="92"/>
      <c r="H24" s="76"/>
      <c r="I24" s="23"/>
    </row>
    <row r="25" spans="1:9" s="5" customFormat="1" ht="96.75" customHeight="1" x14ac:dyDescent="0.3">
      <c r="A25" s="7"/>
      <c r="B25" s="8" t="s">
        <v>51</v>
      </c>
      <c r="C25" s="9"/>
      <c r="D25" s="10" t="s">
        <v>52</v>
      </c>
      <c r="E25" s="25"/>
      <c r="F25" s="25"/>
      <c r="G25" s="92"/>
      <c r="H25" s="76"/>
      <c r="I25" s="23"/>
    </row>
    <row r="26" spans="1:9" s="5" customFormat="1" ht="78.75" customHeight="1" x14ac:dyDescent="0.3">
      <c r="A26" s="7"/>
      <c r="B26" s="8" t="s">
        <v>53</v>
      </c>
      <c r="C26" s="9"/>
      <c r="D26" s="10" t="s">
        <v>54</v>
      </c>
      <c r="E26" s="25"/>
      <c r="F26" s="25"/>
      <c r="G26" s="92"/>
      <c r="H26" s="76"/>
      <c r="I26" s="23"/>
    </row>
    <row r="27" spans="1:9" s="5" customFormat="1" ht="201.75" customHeight="1" x14ac:dyDescent="0.3">
      <c r="A27" s="7"/>
      <c r="B27" s="8" t="s">
        <v>155</v>
      </c>
      <c r="C27" s="9"/>
      <c r="D27" s="10" t="s">
        <v>156</v>
      </c>
      <c r="E27" s="25"/>
      <c r="F27" s="25"/>
      <c r="G27" s="92"/>
      <c r="H27" s="79"/>
      <c r="I27" s="23"/>
    </row>
    <row r="28" spans="1:9" s="5" customFormat="1" ht="87.75" customHeight="1" x14ac:dyDescent="0.3">
      <c r="A28" s="7"/>
      <c r="B28" s="8" t="s">
        <v>58</v>
      </c>
      <c r="C28" s="9"/>
      <c r="D28" s="10" t="s">
        <v>157</v>
      </c>
      <c r="E28" s="25"/>
      <c r="F28" s="25"/>
      <c r="G28" s="92"/>
      <c r="H28" s="76"/>
      <c r="I28" s="23"/>
    </row>
    <row r="29" spans="1:9" s="5" customFormat="1" ht="72" x14ac:dyDescent="0.3">
      <c r="A29" s="7"/>
      <c r="B29" s="8" t="s">
        <v>158</v>
      </c>
      <c r="C29" s="9"/>
      <c r="D29" s="10" t="s">
        <v>159</v>
      </c>
      <c r="E29" s="25"/>
      <c r="F29" s="25"/>
      <c r="G29" s="92"/>
      <c r="H29" s="76"/>
      <c r="I29" s="23"/>
    </row>
    <row r="30" spans="1:9" s="5" customFormat="1" ht="108" x14ac:dyDescent="0.3">
      <c r="A30" s="7"/>
      <c r="B30" s="8" t="s">
        <v>62</v>
      </c>
      <c r="C30" s="9"/>
      <c r="D30" s="16" t="s">
        <v>63</v>
      </c>
      <c r="E30" s="93"/>
      <c r="F30" s="93"/>
      <c r="G30" s="94"/>
      <c r="H30" s="76"/>
      <c r="I30" s="23"/>
    </row>
    <row r="31" spans="1:9" s="5" customFormat="1" ht="126" x14ac:dyDescent="0.3">
      <c r="A31" s="7"/>
      <c r="B31" s="14" t="s">
        <v>64</v>
      </c>
      <c r="C31" s="15"/>
      <c r="D31" s="59" t="s">
        <v>65</v>
      </c>
      <c r="E31" s="76"/>
      <c r="F31" s="76"/>
      <c r="G31" s="76"/>
      <c r="H31" s="76"/>
      <c r="I31" s="23"/>
    </row>
    <row r="32" spans="1:9" s="5" customFormat="1" ht="24" customHeight="1" x14ac:dyDescent="0.3">
      <c r="A32" s="6" t="s">
        <v>45</v>
      </c>
      <c r="B32" s="44" t="s">
        <v>66</v>
      </c>
      <c r="C32" s="45"/>
      <c r="D32" s="45"/>
      <c r="E32" s="45"/>
      <c r="F32" s="45"/>
      <c r="G32" s="45"/>
      <c r="H32" s="97"/>
      <c r="I32" s="23"/>
    </row>
    <row r="33" spans="1:9" s="5" customFormat="1" ht="216" x14ac:dyDescent="0.3">
      <c r="A33" s="27"/>
      <c r="B33" s="14" t="s">
        <v>67</v>
      </c>
      <c r="C33" s="15"/>
      <c r="D33" s="16" t="s">
        <v>68</v>
      </c>
      <c r="E33" s="25"/>
      <c r="F33" s="25"/>
      <c r="G33" s="92"/>
      <c r="H33" s="76"/>
      <c r="I33" s="23"/>
    </row>
    <row r="34" spans="1:9" s="5" customFormat="1" ht="180" x14ac:dyDescent="0.3">
      <c r="A34" s="27"/>
      <c r="B34" s="14" t="s">
        <v>69</v>
      </c>
      <c r="C34" s="15"/>
      <c r="D34" s="16" t="s">
        <v>70</v>
      </c>
      <c r="E34" s="25"/>
      <c r="F34" s="25"/>
      <c r="G34" s="92"/>
      <c r="H34" s="76"/>
      <c r="I34" s="23"/>
    </row>
    <row r="35" spans="1:9" s="5" customFormat="1" ht="144" x14ac:dyDescent="0.3">
      <c r="A35" s="27"/>
      <c r="B35" s="14" t="s">
        <v>71</v>
      </c>
      <c r="C35" s="15"/>
      <c r="D35" s="16" t="s">
        <v>160</v>
      </c>
      <c r="E35" s="25"/>
      <c r="F35" s="25"/>
      <c r="G35" s="92"/>
      <c r="H35" s="76"/>
      <c r="I35" s="23"/>
    </row>
    <row r="36" spans="1:9" s="5" customFormat="1" ht="24" customHeight="1" x14ac:dyDescent="0.3">
      <c r="A36" s="6" t="s">
        <v>45</v>
      </c>
      <c r="B36" s="44" t="s">
        <v>73</v>
      </c>
      <c r="C36" s="45"/>
      <c r="D36" s="45"/>
      <c r="E36" s="45"/>
      <c r="F36" s="45"/>
      <c r="G36" s="45"/>
      <c r="H36" s="97"/>
      <c r="I36" s="23"/>
    </row>
    <row r="37" spans="1:9" s="5" customFormat="1" ht="216" x14ac:dyDescent="0.3">
      <c r="A37" s="7"/>
      <c r="B37" s="8" t="s">
        <v>74</v>
      </c>
      <c r="C37" s="9"/>
      <c r="D37" s="26" t="s">
        <v>75</v>
      </c>
      <c r="E37" s="76"/>
      <c r="F37" s="76"/>
      <c r="G37" s="76"/>
      <c r="H37" s="76"/>
      <c r="I37" s="23"/>
    </row>
    <row r="38" spans="1:9" s="5" customFormat="1" ht="180" x14ac:dyDescent="0.3">
      <c r="A38" s="7"/>
      <c r="B38" s="8" t="s">
        <v>76</v>
      </c>
      <c r="C38" s="9"/>
      <c r="D38" s="26" t="s">
        <v>77</v>
      </c>
      <c r="E38" s="76"/>
      <c r="F38" s="76"/>
      <c r="G38" s="76"/>
      <c r="H38" s="76"/>
      <c r="I38" s="23"/>
    </row>
    <row r="39" spans="1:9" s="5" customFormat="1" ht="144" x14ac:dyDescent="0.3">
      <c r="A39" s="27"/>
      <c r="B39" s="14" t="s">
        <v>71</v>
      </c>
      <c r="C39" s="15"/>
      <c r="D39" s="59" t="s">
        <v>161</v>
      </c>
      <c r="E39" s="76"/>
      <c r="F39" s="76"/>
      <c r="G39" s="76"/>
      <c r="H39" s="76"/>
      <c r="I39" s="23"/>
    </row>
    <row r="40" spans="1:9" s="5" customFormat="1" ht="24" customHeight="1" x14ac:dyDescent="0.3">
      <c r="A40" s="6" t="s">
        <v>45</v>
      </c>
      <c r="B40" s="44" t="s">
        <v>79</v>
      </c>
      <c r="C40" s="45"/>
      <c r="D40" s="45"/>
      <c r="E40" s="45"/>
      <c r="F40" s="45"/>
      <c r="G40" s="45"/>
      <c r="H40" s="97"/>
      <c r="I40" s="23"/>
    </row>
    <row r="41" spans="1:9" s="5" customFormat="1" ht="180" x14ac:dyDescent="0.3">
      <c r="A41" s="7"/>
      <c r="B41" s="14" t="s">
        <v>80</v>
      </c>
      <c r="C41" s="15"/>
      <c r="D41" s="59" t="s">
        <v>162</v>
      </c>
      <c r="E41" s="76"/>
      <c r="F41" s="76"/>
      <c r="G41" s="76"/>
      <c r="H41" s="76"/>
      <c r="I41" s="23"/>
    </row>
    <row r="42" spans="1:9" s="5" customFormat="1" ht="24" x14ac:dyDescent="0.3">
      <c r="A42" s="6" t="s">
        <v>11</v>
      </c>
      <c r="B42" s="77" t="s">
        <v>120</v>
      </c>
      <c r="C42" s="77"/>
      <c r="D42" s="77"/>
      <c r="E42" s="77"/>
      <c r="F42" s="77"/>
      <c r="G42" s="77"/>
      <c r="H42" s="77"/>
      <c r="I42" s="23"/>
    </row>
    <row r="43" spans="1:9" s="5" customFormat="1" ht="54" x14ac:dyDescent="0.3">
      <c r="A43" s="7"/>
      <c r="B43" s="8" t="s">
        <v>121</v>
      </c>
      <c r="C43" s="9"/>
      <c r="D43" s="10" t="s">
        <v>122</v>
      </c>
      <c r="E43" s="76"/>
      <c r="F43" s="76"/>
      <c r="G43" s="76"/>
      <c r="H43" s="76"/>
      <c r="I43" s="23"/>
    </row>
    <row r="44" spans="1:9" s="5" customFormat="1" ht="108" x14ac:dyDescent="0.3">
      <c r="A44" s="7"/>
      <c r="B44" s="8" t="s">
        <v>123</v>
      </c>
      <c r="C44" s="9"/>
      <c r="D44" s="10" t="s">
        <v>124</v>
      </c>
      <c r="E44" s="76"/>
      <c r="F44" s="76"/>
      <c r="G44" s="76"/>
      <c r="H44" s="76"/>
      <c r="I44" s="23"/>
    </row>
    <row r="45" spans="1:9" s="5" customFormat="1" ht="24" customHeight="1" x14ac:dyDescent="0.3">
      <c r="A45" s="4" t="s">
        <v>163</v>
      </c>
      <c r="B45" s="88" t="s">
        <v>164</v>
      </c>
      <c r="C45" s="75"/>
      <c r="D45" s="75"/>
      <c r="E45" s="75"/>
      <c r="F45" s="75"/>
      <c r="G45" s="75"/>
      <c r="H45" s="96"/>
      <c r="I45" s="23"/>
    </row>
    <row r="46" spans="1:9" ht="126" x14ac:dyDescent="0.45">
      <c r="A46" s="7" t="s">
        <v>136</v>
      </c>
      <c r="B46" s="8" t="s">
        <v>165</v>
      </c>
      <c r="C46" s="9"/>
      <c r="D46" s="10" t="s">
        <v>166</v>
      </c>
      <c r="E46" s="11"/>
      <c r="F46" s="11"/>
      <c r="G46" s="11"/>
      <c r="H46" s="12"/>
    </row>
    <row r="47" spans="1:9" ht="72" x14ac:dyDescent="0.45">
      <c r="A47" s="12"/>
      <c r="B47" s="8" t="s">
        <v>104</v>
      </c>
      <c r="C47" s="9"/>
      <c r="D47" s="10" t="s">
        <v>105</v>
      </c>
      <c r="E47" s="11"/>
      <c r="F47" s="11"/>
      <c r="G47" s="11"/>
      <c r="H47" s="12"/>
    </row>
    <row r="48" spans="1:9" ht="108" x14ac:dyDescent="0.45">
      <c r="A48" s="12"/>
      <c r="B48" s="8" t="s">
        <v>167</v>
      </c>
      <c r="C48" s="9"/>
      <c r="D48" s="10" t="s">
        <v>168</v>
      </c>
      <c r="E48" s="11"/>
      <c r="F48" s="11"/>
      <c r="G48" s="11"/>
      <c r="H48" s="12"/>
    </row>
    <row r="49" spans="1:9" ht="24" customHeight="1" x14ac:dyDescent="0.45">
      <c r="A49" s="4" t="s">
        <v>169</v>
      </c>
      <c r="B49" s="88" t="s">
        <v>170</v>
      </c>
      <c r="C49" s="75"/>
      <c r="D49" s="75"/>
      <c r="E49" s="75"/>
      <c r="F49" s="75"/>
      <c r="G49" s="75"/>
      <c r="H49" s="96"/>
    </row>
    <row r="50" spans="1:9" s="5" customFormat="1" ht="90" x14ac:dyDescent="0.45">
      <c r="A50" s="12" t="s">
        <v>11</v>
      </c>
      <c r="B50" s="8" t="s">
        <v>171</v>
      </c>
      <c r="C50" s="9"/>
      <c r="D50" s="10" t="s">
        <v>172</v>
      </c>
      <c r="E50" s="11"/>
      <c r="F50" s="11"/>
      <c r="G50" s="11"/>
      <c r="H50" s="76"/>
      <c r="I50" s="23"/>
    </row>
    <row r="51" spans="1:9" ht="24" customHeight="1" x14ac:dyDescent="0.45">
      <c r="A51" s="4" t="s">
        <v>173</v>
      </c>
      <c r="B51" s="88" t="s">
        <v>174</v>
      </c>
      <c r="C51" s="75"/>
      <c r="D51" s="75"/>
      <c r="E51" s="75"/>
      <c r="F51" s="75"/>
      <c r="G51" s="75"/>
      <c r="H51" s="96"/>
    </row>
    <row r="52" spans="1:9" ht="198" x14ac:dyDescent="0.45">
      <c r="A52" s="12" t="s">
        <v>136</v>
      </c>
      <c r="B52" s="8" t="s">
        <v>175</v>
      </c>
      <c r="C52" s="9"/>
      <c r="D52" s="10" t="s">
        <v>176</v>
      </c>
      <c r="E52" s="11"/>
      <c r="F52" s="11"/>
      <c r="G52" s="11"/>
      <c r="H52" s="12"/>
    </row>
    <row r="53" spans="1:9" s="5" customFormat="1" ht="162" x14ac:dyDescent="0.45">
      <c r="A53" s="12" t="s">
        <v>136</v>
      </c>
      <c r="B53" s="8" t="s">
        <v>177</v>
      </c>
      <c r="C53" s="9"/>
      <c r="D53" s="10" t="s">
        <v>178</v>
      </c>
      <c r="E53" s="11"/>
      <c r="F53" s="11"/>
      <c r="G53" s="11"/>
      <c r="H53" s="76"/>
      <c r="I53" s="23"/>
    </row>
  </sheetData>
  <autoFilter ref="A1:H1" xr:uid="{0079C86A-D5C0-468D-9ED0-E28EAE251ABD}"/>
  <mergeCells count="6">
    <mergeCell ref="H1:H2"/>
    <mergeCell ref="A1:A2"/>
    <mergeCell ref="E1:G1"/>
    <mergeCell ref="D1:D2"/>
    <mergeCell ref="B1:B2"/>
    <mergeCell ref="C1:C2"/>
  </mergeCells>
  <printOptions horizontalCentered="1" gridLines="1"/>
  <pageMargins left="0.25" right="0.25" top="0.75" bottom="0.75" header="0.3" footer="0.3"/>
  <pageSetup paperSize="9" scale="96" fitToHeight="0" orientation="landscape" copies="20" r:id="rId1"/>
  <rowBreaks count="9" manualBreakCount="9">
    <brk id="5" max="7" man="1"/>
    <brk id="12" max="7" man="1"/>
    <brk id="15" max="7" man="1"/>
    <brk id="20" max="7" man="1"/>
    <brk id="31" max="7" man="1"/>
    <brk id="35" max="7" man="1"/>
    <brk id="39" max="7" man="1"/>
    <brk id="44" max="7" man="1"/>
    <brk id="48" max="7" man="1"/>
  </rowBreaks>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7BE7E-8D54-4024-8421-F7AFEB1EDB92}">
  <sheetPr>
    <pageSetUpPr fitToPage="1"/>
  </sheetPr>
  <dimension ref="A1:AX42"/>
  <sheetViews>
    <sheetView view="pageBreakPreview" zoomScaleNormal="135" zoomScaleSheetLayoutView="134" workbookViewId="0">
      <selection activeCell="E5" sqref="E5"/>
    </sheetView>
  </sheetViews>
  <sheetFormatPr defaultColWidth="7.88671875" defaultRowHeight="16.2" x14ac:dyDescent="0.45"/>
  <cols>
    <col min="1" max="1" width="13.6640625" style="346" bestFit="1" customWidth="1"/>
    <col min="2" max="2" width="17.88671875" style="346" bestFit="1" customWidth="1"/>
    <col min="3" max="3" width="38" style="85" customWidth="1"/>
    <col min="4" max="4" width="12.109375" style="12" customWidth="1"/>
    <col min="5" max="5" width="44.6640625" style="85" customWidth="1"/>
    <col min="6" max="8" width="7.6640625" style="12" customWidth="1"/>
    <col min="9" max="9" width="23.33203125" style="12" customWidth="1"/>
    <col min="10" max="10" width="37.44140625" style="1" customWidth="1"/>
    <col min="11" max="11" width="30.33203125" style="1" bestFit="1" customWidth="1"/>
    <col min="12" max="12" width="25.109375" style="1" customWidth="1"/>
    <col min="13" max="13" width="31.33203125" style="1" customWidth="1"/>
    <col min="14" max="16384" width="7.88671875" style="1"/>
  </cols>
  <sheetData>
    <row r="1" spans="1:12" ht="24.9" customHeight="1" x14ac:dyDescent="0.45">
      <c r="A1" s="718" t="s">
        <v>133</v>
      </c>
      <c r="B1" s="718" t="s">
        <v>179</v>
      </c>
      <c r="C1" s="717" t="s">
        <v>1</v>
      </c>
      <c r="D1" s="718" t="s">
        <v>2</v>
      </c>
      <c r="E1" s="717" t="s">
        <v>3</v>
      </c>
      <c r="F1" s="718" t="s">
        <v>4</v>
      </c>
      <c r="G1" s="718"/>
      <c r="H1" s="718"/>
      <c r="I1" s="717" t="s">
        <v>5</v>
      </c>
      <c r="K1" s="719" t="s">
        <v>180</v>
      </c>
      <c r="L1" s="719" t="s">
        <v>181</v>
      </c>
    </row>
    <row r="2" spans="1:12" ht="24.9" customHeight="1" x14ac:dyDescent="0.45">
      <c r="A2" s="718"/>
      <c r="B2" s="718"/>
      <c r="C2" s="717"/>
      <c r="D2" s="718"/>
      <c r="E2" s="717"/>
      <c r="F2" s="347" t="s">
        <v>6</v>
      </c>
      <c r="G2" s="347" t="s">
        <v>7</v>
      </c>
      <c r="H2" s="347" t="s">
        <v>8</v>
      </c>
      <c r="I2" s="717"/>
      <c r="J2" s="337"/>
      <c r="K2" s="720"/>
      <c r="L2" s="720"/>
    </row>
    <row r="3" spans="1:12" s="5" customFormat="1" ht="24" customHeight="1" x14ac:dyDescent="0.3">
      <c r="A3" s="343" t="s">
        <v>182</v>
      </c>
      <c r="B3" s="343" t="s">
        <v>183</v>
      </c>
      <c r="C3" s="713" t="s">
        <v>184</v>
      </c>
      <c r="D3" s="713"/>
      <c r="E3" s="713"/>
      <c r="F3" s="713"/>
      <c r="G3" s="713"/>
      <c r="H3" s="713"/>
      <c r="I3" s="713"/>
    </row>
    <row r="4" spans="1:12" s="5" customFormat="1" ht="24" customHeight="1" x14ac:dyDescent="0.3">
      <c r="A4" s="344" t="s">
        <v>45</v>
      </c>
      <c r="B4" s="344"/>
      <c r="C4" s="703" t="s">
        <v>185</v>
      </c>
      <c r="D4" s="703"/>
      <c r="E4" s="703"/>
      <c r="F4" s="703"/>
      <c r="G4" s="703"/>
      <c r="H4" s="703"/>
      <c r="I4" s="703"/>
    </row>
    <row r="5" spans="1:12" s="5" customFormat="1" ht="168" x14ac:dyDescent="0.3">
      <c r="A5" s="345"/>
      <c r="B5" s="345"/>
      <c r="C5" s="8" t="s">
        <v>186</v>
      </c>
      <c r="D5" s="9"/>
      <c r="E5" s="348" t="s">
        <v>187</v>
      </c>
      <c r="F5" s="339"/>
      <c r="G5" s="11"/>
      <c r="H5" s="11"/>
      <c r="I5" s="340"/>
      <c r="K5" s="723" t="s">
        <v>188</v>
      </c>
    </row>
    <row r="6" spans="1:12" s="5" customFormat="1" ht="24" x14ac:dyDescent="0.3">
      <c r="A6" s="344" t="s">
        <v>189</v>
      </c>
      <c r="B6" s="344"/>
      <c r="C6" s="703" t="s">
        <v>190</v>
      </c>
      <c r="D6" s="703"/>
      <c r="E6" s="703"/>
      <c r="F6" s="703"/>
      <c r="G6" s="703"/>
      <c r="H6" s="703"/>
      <c r="I6" s="703"/>
      <c r="K6" s="723"/>
    </row>
    <row r="7" spans="1:12" s="5" customFormat="1" ht="125.1" customHeight="1" x14ac:dyDescent="0.3">
      <c r="A7" s="345"/>
      <c r="B7" s="345"/>
      <c r="C7" s="8" t="s">
        <v>191</v>
      </c>
      <c r="D7" s="9"/>
      <c r="E7" s="348" t="s">
        <v>192</v>
      </c>
      <c r="F7" s="339"/>
      <c r="G7" s="76"/>
      <c r="H7" s="76"/>
      <c r="I7" s="341"/>
      <c r="K7" s="723"/>
    </row>
    <row r="8" spans="1:12" s="5" customFormat="1" ht="75" customHeight="1" x14ac:dyDescent="0.3">
      <c r="A8" s="345"/>
      <c r="B8" s="345"/>
      <c r="C8" s="8" t="s">
        <v>193</v>
      </c>
      <c r="D8" s="9"/>
      <c r="E8" s="348" t="s">
        <v>194</v>
      </c>
      <c r="F8" s="339"/>
      <c r="G8" s="76"/>
      <c r="H8" s="76"/>
      <c r="I8" s="76"/>
      <c r="K8" s="723"/>
    </row>
    <row r="9" spans="1:12" ht="75" customHeight="1" x14ac:dyDescent="0.45">
      <c r="C9" s="8" t="s">
        <v>195</v>
      </c>
      <c r="E9" s="348" t="s">
        <v>196</v>
      </c>
      <c r="F9" s="339"/>
      <c r="K9" s="723"/>
    </row>
    <row r="10" spans="1:12" ht="24" customHeight="1" x14ac:dyDescent="0.45">
      <c r="A10" s="343" t="s">
        <v>197</v>
      </c>
      <c r="B10" s="343" t="s">
        <v>198</v>
      </c>
      <c r="C10" s="713" t="s">
        <v>199</v>
      </c>
      <c r="D10" s="713"/>
      <c r="E10" s="713"/>
      <c r="F10" s="713"/>
      <c r="G10" s="713"/>
      <c r="H10" s="713"/>
      <c r="I10" s="713"/>
    </row>
    <row r="11" spans="1:12" ht="24" x14ac:dyDescent="0.45">
      <c r="A11" s="344" t="s">
        <v>200</v>
      </c>
      <c r="B11" s="344"/>
      <c r="C11" s="338" t="s">
        <v>201</v>
      </c>
      <c r="D11" s="338"/>
      <c r="E11" s="338"/>
      <c r="F11" s="338"/>
      <c r="G11" s="338"/>
      <c r="H11" s="338"/>
      <c r="I11" s="338"/>
    </row>
    <row r="12" spans="1:12" ht="264" x14ac:dyDescent="0.45">
      <c r="C12" s="8" t="s">
        <v>202</v>
      </c>
      <c r="D12" s="8"/>
      <c r="E12" s="8" t="s">
        <v>203</v>
      </c>
      <c r="F12" s="339"/>
      <c r="K12" s="353" t="s">
        <v>204</v>
      </c>
    </row>
    <row r="13" spans="1:12" ht="264" x14ac:dyDescent="0.45">
      <c r="C13" s="8" t="s">
        <v>205</v>
      </c>
      <c r="D13" s="8"/>
      <c r="E13" s="8" t="s">
        <v>206</v>
      </c>
      <c r="F13" s="339"/>
      <c r="I13" s="341"/>
      <c r="J13" s="1" t="s">
        <v>207</v>
      </c>
      <c r="K13" s="353" t="s">
        <v>208</v>
      </c>
    </row>
    <row r="14" spans="1:12" ht="120" x14ac:dyDescent="0.45">
      <c r="C14" s="8" t="s">
        <v>209</v>
      </c>
      <c r="D14" s="8"/>
      <c r="E14" s="8" t="s">
        <v>210</v>
      </c>
      <c r="F14" s="339"/>
      <c r="I14" s="342"/>
      <c r="K14" s="353" t="s">
        <v>211</v>
      </c>
    </row>
    <row r="15" spans="1:12" ht="23.25" customHeight="1" x14ac:dyDescent="0.45">
      <c r="A15" s="344" t="s">
        <v>200</v>
      </c>
      <c r="B15" s="344"/>
      <c r="C15" s="721" t="s">
        <v>212</v>
      </c>
      <c r="D15" s="721"/>
      <c r="E15" s="721"/>
      <c r="F15" s="721"/>
      <c r="G15" s="721"/>
      <c r="H15" s="721"/>
      <c r="I15" s="721"/>
      <c r="K15" s="352"/>
    </row>
    <row r="16" spans="1:12" ht="288" x14ac:dyDescent="0.45">
      <c r="C16" s="8" t="s">
        <v>213</v>
      </c>
      <c r="D16" s="8"/>
      <c r="E16" s="8" t="s">
        <v>214</v>
      </c>
      <c r="F16" s="339"/>
      <c r="K16" s="353" t="s">
        <v>215</v>
      </c>
    </row>
    <row r="17" spans="1:50" ht="168" x14ac:dyDescent="0.45">
      <c r="C17" s="8" t="s">
        <v>216</v>
      </c>
      <c r="D17" s="8"/>
      <c r="E17" s="8" t="s">
        <v>217</v>
      </c>
      <c r="F17" s="339"/>
      <c r="K17" s="354" t="s">
        <v>218</v>
      </c>
      <c r="L17" s="355" t="s">
        <v>219</v>
      </c>
      <c r="M17" s="353" t="s">
        <v>220</v>
      </c>
    </row>
    <row r="18" spans="1:50" ht="24" x14ac:dyDescent="0.45">
      <c r="A18" s="344" t="s">
        <v>200</v>
      </c>
      <c r="B18" s="344"/>
      <c r="C18" s="721" t="s">
        <v>221</v>
      </c>
      <c r="D18" s="721"/>
      <c r="E18" s="721"/>
      <c r="F18" s="721"/>
      <c r="G18" s="721"/>
      <c r="H18" s="721"/>
      <c r="I18" s="721"/>
    </row>
    <row r="19" spans="1:50" ht="168" x14ac:dyDescent="0.45">
      <c r="A19" s="349"/>
      <c r="B19" s="349"/>
      <c r="C19" s="8" t="s">
        <v>222</v>
      </c>
      <c r="D19" s="8"/>
      <c r="E19" s="8" t="s">
        <v>223</v>
      </c>
      <c r="F19" s="339"/>
      <c r="G19" s="8"/>
      <c r="H19" s="8"/>
      <c r="I19" s="8"/>
      <c r="J19" s="350"/>
      <c r="K19" s="353" t="s">
        <v>224</v>
      </c>
    </row>
    <row r="20" spans="1:50" ht="24" x14ac:dyDescent="0.45">
      <c r="A20" s="343" t="s">
        <v>225</v>
      </c>
      <c r="B20" s="343" t="s">
        <v>226</v>
      </c>
      <c r="C20" s="722" t="s">
        <v>227</v>
      </c>
      <c r="D20" s="722"/>
      <c r="E20" s="722"/>
      <c r="F20" s="722"/>
      <c r="G20" s="722"/>
      <c r="H20" s="722"/>
      <c r="I20" s="722"/>
    </row>
    <row r="21" spans="1:50" ht="24" x14ac:dyDescent="0.45">
      <c r="A21" s="344" t="s">
        <v>200</v>
      </c>
      <c r="B21" s="344"/>
      <c r="C21" s="703" t="s">
        <v>228</v>
      </c>
      <c r="D21" s="703"/>
      <c r="E21" s="703"/>
      <c r="F21" s="703"/>
      <c r="G21" s="703"/>
      <c r="H21" s="703"/>
      <c r="I21" s="703"/>
    </row>
    <row r="22" spans="1:50" ht="192" x14ac:dyDescent="0.45">
      <c r="A22" s="349"/>
      <c r="B22" s="349"/>
      <c r="C22" s="8" t="s">
        <v>229</v>
      </c>
      <c r="D22" s="8"/>
      <c r="E22" s="8" t="s">
        <v>230</v>
      </c>
      <c r="F22" s="339"/>
      <c r="G22" s="8"/>
      <c r="H22" s="8"/>
      <c r="I22" s="8"/>
      <c r="J22" s="350"/>
      <c r="K22" s="353" t="s">
        <v>231</v>
      </c>
    </row>
    <row r="23" spans="1:50" ht="24" x14ac:dyDescent="0.45">
      <c r="A23" s="344" t="s">
        <v>200</v>
      </c>
      <c r="B23" s="344"/>
      <c r="C23" s="721" t="s">
        <v>232</v>
      </c>
      <c r="D23" s="721"/>
      <c r="E23" s="721"/>
      <c r="F23" s="721"/>
      <c r="G23" s="721"/>
      <c r="H23" s="721"/>
      <c r="I23" s="721"/>
    </row>
    <row r="24" spans="1:50" ht="240" x14ac:dyDescent="0.45">
      <c r="A24" s="349"/>
      <c r="B24" s="349"/>
      <c r="C24" s="8" t="s">
        <v>233</v>
      </c>
      <c r="D24" s="8"/>
      <c r="E24" s="8" t="s">
        <v>234</v>
      </c>
      <c r="F24" s="339"/>
      <c r="G24" s="8"/>
      <c r="H24" s="8"/>
      <c r="I24" s="8"/>
      <c r="J24" s="350"/>
      <c r="K24" s="353" t="s">
        <v>235</v>
      </c>
    </row>
    <row r="25" spans="1:50" ht="264" x14ac:dyDescent="0.45">
      <c r="A25" s="349"/>
      <c r="B25" s="349"/>
      <c r="C25" s="8" t="s">
        <v>236</v>
      </c>
      <c r="D25" s="8"/>
      <c r="E25" s="8" t="s">
        <v>237</v>
      </c>
      <c r="F25" s="339"/>
      <c r="G25" s="8"/>
      <c r="H25" s="8"/>
      <c r="I25" s="8"/>
      <c r="J25" s="350" t="s">
        <v>238</v>
      </c>
      <c r="K25" s="353" t="s">
        <v>239</v>
      </c>
    </row>
    <row r="26" spans="1:50" ht="264" x14ac:dyDescent="0.45">
      <c r="A26" s="349"/>
      <c r="B26" s="349"/>
      <c r="C26" s="8" t="s">
        <v>240</v>
      </c>
      <c r="D26" s="8"/>
      <c r="E26" s="8" t="s">
        <v>237</v>
      </c>
      <c r="F26" s="339"/>
      <c r="G26" s="8"/>
      <c r="H26" s="8"/>
      <c r="I26" s="8"/>
      <c r="J26" s="350" t="s">
        <v>238</v>
      </c>
      <c r="K26" s="353" t="s">
        <v>241</v>
      </c>
    </row>
    <row r="27" spans="1:50" ht="24" x14ac:dyDescent="0.45">
      <c r="A27" s="344" t="s">
        <v>200</v>
      </c>
      <c r="B27" s="344"/>
      <c r="C27" s="721" t="s">
        <v>242</v>
      </c>
      <c r="D27" s="721"/>
      <c r="E27" s="721"/>
      <c r="F27" s="721"/>
      <c r="G27" s="721"/>
      <c r="H27" s="721"/>
      <c r="I27" s="721"/>
    </row>
    <row r="28" spans="1:50" s="336" customFormat="1" ht="216" x14ac:dyDescent="0.3">
      <c r="A28" s="349"/>
      <c r="B28" s="349"/>
      <c r="C28" s="8" t="s">
        <v>243</v>
      </c>
      <c r="D28" s="8"/>
      <c r="E28" s="8" t="s">
        <v>244</v>
      </c>
      <c r="F28" s="339"/>
      <c r="G28" s="8"/>
      <c r="H28" s="8"/>
      <c r="I28" s="8"/>
      <c r="J28" s="350"/>
      <c r="K28" s="353" t="s">
        <v>245</v>
      </c>
      <c r="L28" s="350"/>
      <c r="M28" s="350"/>
      <c r="N28" s="350"/>
      <c r="O28" s="350"/>
      <c r="P28" s="350"/>
      <c r="Q28" s="350"/>
      <c r="R28" s="350"/>
      <c r="S28" s="350"/>
      <c r="T28" s="350"/>
      <c r="U28" s="350"/>
      <c r="V28" s="350"/>
      <c r="W28" s="350"/>
      <c r="X28" s="350"/>
      <c r="Y28" s="350"/>
      <c r="Z28" s="350"/>
      <c r="AA28" s="350"/>
      <c r="AB28" s="350"/>
      <c r="AC28" s="350"/>
      <c r="AD28" s="350"/>
      <c r="AE28" s="350"/>
      <c r="AF28" s="350"/>
      <c r="AG28" s="350"/>
      <c r="AH28" s="350"/>
      <c r="AI28" s="350"/>
      <c r="AJ28" s="350"/>
      <c r="AK28" s="350"/>
      <c r="AL28" s="350"/>
      <c r="AM28" s="350"/>
      <c r="AN28" s="350"/>
      <c r="AO28" s="350"/>
      <c r="AP28" s="350"/>
      <c r="AQ28" s="350"/>
      <c r="AR28" s="350"/>
      <c r="AS28" s="350"/>
      <c r="AT28" s="350"/>
      <c r="AU28" s="350"/>
      <c r="AV28" s="350"/>
      <c r="AW28" s="350"/>
      <c r="AX28" s="351"/>
    </row>
    <row r="29" spans="1:50" ht="24" x14ac:dyDescent="0.45">
      <c r="A29" s="343" t="s">
        <v>246</v>
      </c>
      <c r="B29" s="343" t="s">
        <v>247</v>
      </c>
      <c r="C29" s="722" t="s">
        <v>248</v>
      </c>
      <c r="D29" s="722"/>
      <c r="E29" s="722"/>
      <c r="F29" s="722"/>
      <c r="G29" s="722"/>
      <c r="H29" s="722"/>
      <c r="I29" s="722"/>
    </row>
    <row r="30" spans="1:50" ht="24" x14ac:dyDescent="0.45">
      <c r="A30" s="344" t="s">
        <v>200</v>
      </c>
      <c r="B30" s="344"/>
      <c r="C30" s="721" t="s">
        <v>249</v>
      </c>
      <c r="D30" s="721"/>
      <c r="E30" s="721"/>
      <c r="F30" s="721"/>
      <c r="G30" s="721"/>
      <c r="H30" s="721"/>
      <c r="I30" s="721"/>
    </row>
    <row r="31" spans="1:50" ht="288" x14ac:dyDescent="0.45">
      <c r="A31" s="349"/>
      <c r="B31" s="349"/>
      <c r="C31" s="8" t="s">
        <v>250</v>
      </c>
      <c r="D31" s="8"/>
      <c r="E31" s="8" t="s">
        <v>251</v>
      </c>
      <c r="F31" s="339"/>
      <c r="G31" s="8"/>
      <c r="H31" s="8"/>
      <c r="I31" s="8"/>
      <c r="J31" s="350"/>
      <c r="K31" s="353" t="s">
        <v>252</v>
      </c>
    </row>
    <row r="32" spans="1:50" ht="192" x14ac:dyDescent="0.45">
      <c r="A32" s="349"/>
      <c r="B32" s="349"/>
      <c r="C32" s="8" t="s">
        <v>253</v>
      </c>
      <c r="D32" s="8"/>
      <c r="E32" s="8" t="s">
        <v>254</v>
      </c>
      <c r="F32" s="339"/>
      <c r="G32" s="8"/>
      <c r="H32" s="8"/>
      <c r="I32" s="8"/>
      <c r="J32" s="350"/>
      <c r="K32" s="353" t="s">
        <v>255</v>
      </c>
    </row>
    <row r="33" spans="1:13" ht="216" x14ac:dyDescent="0.45">
      <c r="A33" s="349"/>
      <c r="B33" s="349"/>
      <c r="C33" s="8" t="s">
        <v>256</v>
      </c>
      <c r="D33" s="8"/>
      <c r="E33" s="8" t="s">
        <v>257</v>
      </c>
      <c r="F33" s="339"/>
      <c r="G33" s="8"/>
      <c r="H33" s="8"/>
      <c r="I33" s="8"/>
      <c r="J33" s="350"/>
      <c r="K33" s="353" t="s">
        <v>258</v>
      </c>
    </row>
    <row r="34" spans="1:13" ht="216" x14ac:dyDescent="0.45">
      <c r="A34" s="349"/>
      <c r="B34" s="349"/>
      <c r="C34" s="8" t="s">
        <v>259</v>
      </c>
      <c r="D34" s="8"/>
      <c r="E34" s="8" t="s">
        <v>260</v>
      </c>
      <c r="F34" s="339"/>
      <c r="G34" s="8"/>
      <c r="H34" s="8"/>
      <c r="I34" s="8"/>
      <c r="J34" s="350"/>
      <c r="K34" s="353" t="s">
        <v>261</v>
      </c>
    </row>
    <row r="35" spans="1:13" ht="96" x14ac:dyDescent="0.45">
      <c r="A35" s="349"/>
      <c r="B35" s="349"/>
      <c r="C35" s="8" t="s">
        <v>262</v>
      </c>
      <c r="D35" s="8"/>
      <c r="E35" s="8" t="s">
        <v>263</v>
      </c>
      <c r="F35" s="339"/>
      <c r="G35" s="8"/>
      <c r="H35" s="8"/>
      <c r="I35" s="8"/>
      <c r="J35" s="350"/>
      <c r="K35" s="353" t="s">
        <v>264</v>
      </c>
    </row>
    <row r="36" spans="1:13" ht="24" x14ac:dyDescent="0.45">
      <c r="A36" s="344" t="s">
        <v>200</v>
      </c>
      <c r="B36" s="344"/>
      <c r="C36" s="721" t="s">
        <v>265</v>
      </c>
      <c r="D36" s="721"/>
      <c r="E36" s="721"/>
      <c r="F36" s="721"/>
      <c r="G36" s="721"/>
      <c r="H36" s="721"/>
      <c r="I36" s="721"/>
    </row>
    <row r="37" spans="1:13" ht="216" x14ac:dyDescent="0.45">
      <c r="A37" s="349"/>
      <c r="B37" s="349"/>
      <c r="C37" s="8" t="s">
        <v>266</v>
      </c>
      <c r="D37" s="8"/>
      <c r="E37" s="8" t="s">
        <v>267</v>
      </c>
      <c r="F37" s="339"/>
      <c r="G37" s="8"/>
      <c r="H37" s="8"/>
      <c r="I37" s="8"/>
      <c r="J37" s="350"/>
      <c r="K37" s="353" t="s">
        <v>268</v>
      </c>
    </row>
    <row r="38" spans="1:13" ht="168" x14ac:dyDescent="0.45">
      <c r="A38" s="349"/>
      <c r="B38" s="349"/>
      <c r="C38" s="8" t="s">
        <v>269</v>
      </c>
      <c r="D38" s="8"/>
      <c r="E38" s="8" t="s">
        <v>270</v>
      </c>
      <c r="F38" s="339"/>
      <c r="G38" s="8"/>
      <c r="H38" s="8"/>
      <c r="I38" s="8"/>
      <c r="J38" s="350"/>
      <c r="K38" s="353" t="s">
        <v>271</v>
      </c>
    </row>
    <row r="39" spans="1:13" ht="24" x14ac:dyDescent="0.45">
      <c r="A39" s="344" t="s">
        <v>200</v>
      </c>
      <c r="B39" s="344"/>
      <c r="C39" s="721" t="s">
        <v>272</v>
      </c>
      <c r="D39" s="721"/>
      <c r="E39" s="721"/>
      <c r="F39" s="721"/>
      <c r="G39" s="721"/>
      <c r="H39" s="721"/>
      <c r="I39" s="721"/>
    </row>
    <row r="40" spans="1:13" ht="264" x14ac:dyDescent="0.45">
      <c r="A40" s="349"/>
      <c r="B40" s="349"/>
      <c r="C40" s="8" t="s">
        <v>273</v>
      </c>
      <c r="D40" s="8"/>
      <c r="E40" s="8" t="s">
        <v>274</v>
      </c>
      <c r="F40" s="339"/>
      <c r="G40" s="8"/>
      <c r="H40" s="8"/>
      <c r="I40" s="8"/>
      <c r="J40" s="350"/>
      <c r="K40" s="353" t="s">
        <v>275</v>
      </c>
    </row>
    <row r="41" spans="1:13" ht="192" x14ac:dyDescent="0.45">
      <c r="A41" s="349"/>
      <c r="B41" s="349"/>
      <c r="C41" s="8" t="s">
        <v>276</v>
      </c>
      <c r="D41" s="8"/>
      <c r="E41" s="8" t="s">
        <v>277</v>
      </c>
      <c r="F41" s="339"/>
      <c r="G41" s="8"/>
      <c r="H41" s="8"/>
      <c r="I41" s="8"/>
      <c r="J41" s="350"/>
      <c r="K41" s="353" t="s">
        <v>278</v>
      </c>
    </row>
    <row r="42" spans="1:13" ht="120" x14ac:dyDescent="0.45">
      <c r="A42" s="349"/>
      <c r="B42" s="349"/>
      <c r="C42" s="8" t="s">
        <v>279</v>
      </c>
      <c r="D42" s="8"/>
      <c r="E42" s="8" t="s">
        <v>280</v>
      </c>
      <c r="F42" s="339"/>
      <c r="G42" s="8"/>
      <c r="H42" s="8"/>
      <c r="I42" s="8"/>
      <c r="J42" s="350"/>
      <c r="K42" s="354" t="s">
        <v>281</v>
      </c>
      <c r="L42" s="355" t="s">
        <v>282</v>
      </c>
      <c r="M42" s="353" t="s">
        <v>283</v>
      </c>
    </row>
  </sheetData>
  <autoFilter ref="A1:I1" xr:uid="{0079C86A-D5C0-468D-9ED0-E28EAE251ABD}"/>
  <mergeCells count="24">
    <mergeCell ref="L1:L2"/>
    <mergeCell ref="C30:I30"/>
    <mergeCell ref="C36:I36"/>
    <mergeCell ref="C39:I39"/>
    <mergeCell ref="C18:I18"/>
    <mergeCell ref="C20:I20"/>
    <mergeCell ref="C21:I21"/>
    <mergeCell ref="C23:I23"/>
    <mergeCell ref="C27:I27"/>
    <mergeCell ref="C10:I10"/>
    <mergeCell ref="C15:I15"/>
    <mergeCell ref="C3:I3"/>
    <mergeCell ref="C4:I4"/>
    <mergeCell ref="C29:I29"/>
    <mergeCell ref="K5:K9"/>
    <mergeCell ref="K1:K2"/>
    <mergeCell ref="C6:I6"/>
    <mergeCell ref="I1:I2"/>
    <mergeCell ref="A1:A2"/>
    <mergeCell ref="C1:C2"/>
    <mergeCell ref="D1:D2"/>
    <mergeCell ref="E1:E2"/>
    <mergeCell ref="F1:H1"/>
    <mergeCell ref="B1:B2"/>
  </mergeCells>
  <hyperlinks>
    <hyperlink ref="K5" r:id="rId1" xr:uid="{B569B93A-43B4-4114-8FE1-DF736BAED474}"/>
    <hyperlink ref="K12" r:id="rId2" xr:uid="{3AE49E4F-8818-4000-AC10-8021CBC5685D}"/>
    <hyperlink ref="K13" r:id="rId3" xr:uid="{81BD0AB0-0536-4E69-BF84-4E532D627920}"/>
    <hyperlink ref="K14" r:id="rId4" xr:uid="{ABE5ABF4-4979-47B8-94E2-AB825375C1CA}"/>
    <hyperlink ref="K16" r:id="rId5" xr:uid="{943EB781-C33F-455F-8551-85FABCEE7742}"/>
    <hyperlink ref="K17" r:id="rId6" xr:uid="{077F53F0-1D52-4087-89C5-2BD9B62DD8A7}"/>
    <hyperlink ref="K19" r:id="rId7" xr:uid="{7FA774AF-0229-4FCE-96D1-0941ECB56B6C}"/>
    <hyperlink ref="K22" r:id="rId8" xr:uid="{3548EDB7-CF53-4629-AEF2-EEE0EB1A01CB}"/>
    <hyperlink ref="K24" r:id="rId9" xr:uid="{0D79F668-9F57-4E0F-AF8B-D87A5B4F7F40}"/>
    <hyperlink ref="K25" r:id="rId10" xr:uid="{58E5C56D-FE17-461C-8BFE-629274EF8AC0}"/>
    <hyperlink ref="K26" r:id="rId11" xr:uid="{57A30046-E349-43BA-B4E3-620C3B286A25}"/>
    <hyperlink ref="K28" r:id="rId12" xr:uid="{2D9A287E-6385-4AB1-A148-53636C4BC0D2}"/>
    <hyperlink ref="K31" r:id="rId13" xr:uid="{94897A61-F309-4683-BA1A-8866B4F57294}"/>
    <hyperlink ref="K32" r:id="rId14" xr:uid="{78A19178-D73C-4841-A0FF-E936E7BC4FC3}"/>
    <hyperlink ref="K33" r:id="rId15" xr:uid="{68C4809F-42DF-4E23-B881-B3E84FC2927C}"/>
    <hyperlink ref="K34" r:id="rId16" xr:uid="{2EEE6489-4B49-42E8-A0C3-AF773DFBF49B}"/>
    <hyperlink ref="K35" r:id="rId17" xr:uid="{6B8ADD1B-682D-4896-8C1A-0123E70FEDA5}"/>
    <hyperlink ref="K37" r:id="rId18" xr:uid="{64DBB982-9490-46CF-AC0A-A499A4484EBB}"/>
    <hyperlink ref="K38" r:id="rId19" xr:uid="{471BFDED-BC2F-4433-9496-EE69BD37693D}"/>
    <hyperlink ref="K40" r:id="rId20" xr:uid="{94CC29D7-D9EA-4F6C-8B3E-BBF7681B742A}"/>
    <hyperlink ref="K41" r:id="rId21" xr:uid="{2EBA426B-2B6B-47AC-BF76-55977C3F4EAA}"/>
    <hyperlink ref="K42" r:id="rId22" xr:uid="{83274878-C22A-4D5D-BA30-953F9D38D94A}"/>
    <hyperlink ref="M42" r:id="rId23" xr:uid="{6CE14C57-D040-491A-8BC8-A3AA7B493A9F}"/>
    <hyperlink ref="M17" r:id="rId24" xr:uid="{F547A475-D2E1-4FC6-8DF7-A9550F304674}"/>
  </hyperlinks>
  <printOptions horizontalCentered="1" gridLines="1"/>
  <pageMargins left="0.25" right="0.25" top="0.75" bottom="0.75" header="0.3" footer="0.3"/>
  <pageSetup paperSize="9" scale="82" fitToHeight="0" orientation="landscape" copies="20" r:id="rId25"/>
  <rowBreaks count="9" manualBreakCount="9">
    <brk id="9" max="8" man="1"/>
    <brk id="14" max="8" man="1"/>
    <brk id="19" max="8" man="1"/>
    <brk id="24" max="8" man="1"/>
    <brk id="26" max="8" man="1"/>
    <brk id="28" max="8" man="1"/>
    <brk id="32" max="8" man="1"/>
    <brk id="35" max="8" man="1"/>
    <brk id="38" max="8" man="1"/>
  </rowBreaks>
  <colBreaks count="1" manualBreakCount="1">
    <brk id="8"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9D45D-8890-444D-821A-515015D5BE25}">
  <dimension ref="A2:D22"/>
  <sheetViews>
    <sheetView workbookViewId="0">
      <selection activeCell="C13" sqref="C13"/>
    </sheetView>
  </sheetViews>
  <sheetFormatPr defaultColWidth="8.88671875" defaultRowHeight="14.4" x14ac:dyDescent="0.3"/>
  <cols>
    <col min="1" max="1" width="13" customWidth="1"/>
    <col min="2" max="2" width="13.6640625" bestFit="1" customWidth="1"/>
    <col min="3" max="3" width="12.5546875" bestFit="1" customWidth="1"/>
    <col min="4" max="4" width="11.109375" bestFit="1" customWidth="1"/>
  </cols>
  <sheetData>
    <row r="2" spans="1:4" x14ac:dyDescent="0.3">
      <c r="A2" t="s">
        <v>284</v>
      </c>
      <c r="B2" t="s">
        <v>285</v>
      </c>
      <c r="C2" t="s">
        <v>286</v>
      </c>
      <c r="D2" t="s">
        <v>287</v>
      </c>
    </row>
    <row r="3" spans="1:4" x14ac:dyDescent="0.3">
      <c r="A3" t="s">
        <v>288</v>
      </c>
      <c r="B3" t="s">
        <v>289</v>
      </c>
      <c r="C3" t="s">
        <v>290</v>
      </c>
      <c r="D3" t="s">
        <v>291</v>
      </c>
    </row>
    <row r="4" spans="1:4" x14ac:dyDescent="0.3">
      <c r="A4" t="s">
        <v>292</v>
      </c>
      <c r="B4" t="s">
        <v>293</v>
      </c>
      <c r="C4" t="s">
        <v>294</v>
      </c>
      <c r="D4" t="s">
        <v>295</v>
      </c>
    </row>
    <row r="5" spans="1:4" x14ac:dyDescent="0.3">
      <c r="A5" t="s">
        <v>296</v>
      </c>
      <c r="B5" t="s">
        <v>297</v>
      </c>
      <c r="C5" t="s">
        <v>298</v>
      </c>
      <c r="D5" t="s">
        <v>299</v>
      </c>
    </row>
    <row r="6" spans="1:4" x14ac:dyDescent="0.3">
      <c r="A6" t="s">
        <v>300</v>
      </c>
      <c r="B6" t="s">
        <v>301</v>
      </c>
      <c r="C6" t="s">
        <v>302</v>
      </c>
      <c r="D6" t="s">
        <v>303</v>
      </c>
    </row>
    <row r="7" spans="1:4" x14ac:dyDescent="0.3">
      <c r="A7" t="s">
        <v>304</v>
      </c>
      <c r="B7" t="s">
        <v>305</v>
      </c>
      <c r="C7" t="s">
        <v>306</v>
      </c>
      <c r="D7" t="s">
        <v>307</v>
      </c>
    </row>
    <row r="8" spans="1:4" x14ac:dyDescent="0.3">
      <c r="A8" t="s">
        <v>308</v>
      </c>
      <c r="B8" t="s">
        <v>309</v>
      </c>
      <c r="C8" t="s">
        <v>310</v>
      </c>
      <c r="D8" t="s">
        <v>311</v>
      </c>
    </row>
    <row r="9" spans="1:4" x14ac:dyDescent="0.3">
      <c r="A9" t="s">
        <v>312</v>
      </c>
      <c r="B9" t="s">
        <v>313</v>
      </c>
      <c r="C9" t="s">
        <v>314</v>
      </c>
      <c r="D9" t="s">
        <v>315</v>
      </c>
    </row>
    <row r="13" spans="1:4" x14ac:dyDescent="0.3">
      <c r="A13" t="s">
        <v>316</v>
      </c>
      <c r="B13" t="s">
        <v>317</v>
      </c>
      <c r="C13" t="s">
        <v>318</v>
      </c>
      <c r="D13" t="s">
        <v>319</v>
      </c>
    </row>
    <row r="14" spans="1:4" x14ac:dyDescent="0.3">
      <c r="A14" s="356">
        <v>1</v>
      </c>
      <c r="B14">
        <v>6903474</v>
      </c>
      <c r="C14" t="s">
        <v>320</v>
      </c>
      <c r="D14" t="s">
        <v>321</v>
      </c>
    </row>
    <row r="15" spans="1:4" x14ac:dyDescent="0.3">
      <c r="A15" s="356">
        <v>2</v>
      </c>
      <c r="B15">
        <v>6903475</v>
      </c>
      <c r="C15" t="s">
        <v>320</v>
      </c>
      <c r="D15" t="s">
        <v>322</v>
      </c>
    </row>
    <row r="16" spans="1:4" x14ac:dyDescent="0.3">
      <c r="A16" s="356"/>
    </row>
    <row r="18" spans="1:2" x14ac:dyDescent="0.3">
      <c r="A18" t="s">
        <v>323</v>
      </c>
    </row>
    <row r="19" spans="1:2" x14ac:dyDescent="0.3">
      <c r="A19" t="s">
        <v>286</v>
      </c>
      <c r="B19" t="s">
        <v>287</v>
      </c>
    </row>
    <row r="20" spans="1:2" x14ac:dyDescent="0.3">
      <c r="A20" t="s">
        <v>324</v>
      </c>
      <c r="B20" t="s">
        <v>325</v>
      </c>
    </row>
    <row r="21" spans="1:2" x14ac:dyDescent="0.3">
      <c r="A21" t="s">
        <v>326</v>
      </c>
      <c r="B21" t="s">
        <v>327</v>
      </c>
    </row>
    <row r="22" spans="1:2" x14ac:dyDescent="0.3">
      <c r="A22" s="356">
        <v>1153035</v>
      </c>
      <c r="B22" t="s">
        <v>328</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604A6-A5D6-495F-A83B-A5801290CAB5}">
  <sheetPr>
    <tabColor rgb="FFFF0000"/>
    <pageSetUpPr fitToPage="1"/>
  </sheetPr>
  <dimension ref="A1:AW135"/>
  <sheetViews>
    <sheetView view="pageBreakPreview" topLeftCell="A132" zoomScaleNormal="135" zoomScaleSheetLayoutView="134" workbookViewId="0">
      <selection activeCell="K129" sqref="K129"/>
    </sheetView>
  </sheetViews>
  <sheetFormatPr defaultColWidth="7.88671875" defaultRowHeight="16.2" x14ac:dyDescent="0.45"/>
  <cols>
    <col min="1" max="1" width="13.6640625" style="456" bestFit="1" customWidth="1"/>
    <col min="2" max="2" width="23.109375" style="456" customWidth="1"/>
    <col min="3" max="3" width="40.6640625" style="457" customWidth="1"/>
    <col min="4" max="4" width="12.109375" style="458" customWidth="1"/>
    <col min="5" max="5" width="78.5546875" style="457" customWidth="1"/>
    <col min="6" max="8" width="7.6640625" style="458" customWidth="1"/>
    <col min="9" max="9" width="23.33203125" style="458" customWidth="1"/>
    <col min="10" max="10" width="37.44140625" style="455" customWidth="1"/>
    <col min="11" max="16384" width="7.88671875" style="455"/>
  </cols>
  <sheetData>
    <row r="1" spans="1:49" ht="27" x14ac:dyDescent="0.45">
      <c r="A1" s="733" t="s">
        <v>133</v>
      </c>
      <c r="B1" s="733" t="s">
        <v>179</v>
      </c>
      <c r="C1" s="724" t="s">
        <v>1</v>
      </c>
      <c r="D1" s="733" t="s">
        <v>2</v>
      </c>
      <c r="E1" s="724" t="s">
        <v>3</v>
      </c>
      <c r="F1" s="735" t="s">
        <v>4</v>
      </c>
      <c r="G1" s="735"/>
      <c r="H1" s="736"/>
      <c r="I1" s="724" t="s">
        <v>5</v>
      </c>
      <c r="J1" s="724" t="s">
        <v>329</v>
      </c>
    </row>
    <row r="2" spans="1:49" ht="27" x14ac:dyDescent="0.45">
      <c r="A2" s="734"/>
      <c r="B2" s="734"/>
      <c r="C2" s="725"/>
      <c r="D2" s="734"/>
      <c r="E2" s="725"/>
      <c r="F2" s="488" t="s">
        <v>6</v>
      </c>
      <c r="G2" s="488" t="s">
        <v>7</v>
      </c>
      <c r="H2" s="488" t="s">
        <v>8</v>
      </c>
      <c r="I2" s="725"/>
      <c r="J2" s="725"/>
    </row>
    <row r="3" spans="1:49" s="358" customFormat="1" ht="236.1" customHeight="1" x14ac:dyDescent="0.3">
      <c r="A3" s="473" t="s">
        <v>330</v>
      </c>
      <c r="B3" s="474" t="s">
        <v>331</v>
      </c>
      <c r="C3" s="730" t="s">
        <v>332</v>
      </c>
      <c r="D3" s="730"/>
      <c r="E3" s="730"/>
      <c r="F3" s="730"/>
      <c r="G3" s="730"/>
      <c r="H3" s="730"/>
      <c r="I3" s="731"/>
      <c r="M3" s="358" t="s">
        <v>333</v>
      </c>
    </row>
    <row r="4" spans="1:49" s="358" customFormat="1" ht="24" x14ac:dyDescent="0.65">
      <c r="A4" s="463" t="s">
        <v>334</v>
      </c>
      <c r="B4" s="534"/>
      <c r="C4" s="726" t="s">
        <v>335</v>
      </c>
      <c r="D4" s="726"/>
      <c r="E4" s="726"/>
      <c r="F4" s="726"/>
      <c r="G4" s="726"/>
      <c r="H4" s="726"/>
      <c r="I4" s="727"/>
      <c r="J4" s="459"/>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row>
    <row r="5" spans="1:49" s="358" customFormat="1" ht="96" x14ac:dyDescent="0.45">
      <c r="A5" s="465" t="s">
        <v>336</v>
      </c>
      <c r="B5" s="466" t="s">
        <v>336</v>
      </c>
      <c r="C5" s="467" t="s">
        <v>337</v>
      </c>
      <c r="D5" s="467" t="s">
        <v>336</v>
      </c>
      <c r="E5" s="467" t="s">
        <v>338</v>
      </c>
      <c r="F5" s="468" t="s">
        <v>336</v>
      </c>
      <c r="G5" s="469" t="s">
        <v>336</v>
      </c>
      <c r="H5" s="469" t="s">
        <v>336</v>
      </c>
      <c r="I5" s="470" t="s">
        <v>339</v>
      </c>
      <c r="J5" s="494"/>
      <c r="K5" s="538"/>
      <c r="M5" s="358" t="s">
        <v>340</v>
      </c>
    </row>
    <row r="6" spans="1:49" s="358" customFormat="1" ht="48" x14ac:dyDescent="0.45">
      <c r="A6" s="465" t="s">
        <v>336</v>
      </c>
      <c r="B6" s="466" t="s">
        <v>336</v>
      </c>
      <c r="C6" s="467" t="s">
        <v>341</v>
      </c>
      <c r="D6" s="467" t="s">
        <v>336</v>
      </c>
      <c r="E6" s="467" t="s">
        <v>342</v>
      </c>
      <c r="F6" s="468" t="s">
        <v>336</v>
      </c>
      <c r="G6" s="469" t="s">
        <v>336</v>
      </c>
      <c r="H6" s="469" t="s">
        <v>336</v>
      </c>
      <c r="I6" s="470" t="s">
        <v>339</v>
      </c>
      <c r="J6" s="494"/>
      <c r="K6" s="538"/>
    </row>
    <row r="7" spans="1:49" s="358" customFormat="1" ht="96" x14ac:dyDescent="0.45">
      <c r="A7" s="465" t="s">
        <v>336</v>
      </c>
      <c r="B7" s="466" t="s">
        <v>336</v>
      </c>
      <c r="C7" s="467" t="s">
        <v>343</v>
      </c>
      <c r="D7" s="467" t="s">
        <v>336</v>
      </c>
      <c r="E7" s="467" t="s">
        <v>344</v>
      </c>
      <c r="F7" s="468" t="s">
        <v>336</v>
      </c>
      <c r="G7" s="469" t="s">
        <v>336</v>
      </c>
      <c r="H7" s="469" t="s">
        <v>336</v>
      </c>
      <c r="I7" s="470" t="s">
        <v>339</v>
      </c>
      <c r="J7" s="494"/>
      <c r="K7" s="538"/>
    </row>
    <row r="8" spans="1:49" s="358" customFormat="1" ht="24" x14ac:dyDescent="0.65">
      <c r="A8" s="463" t="s">
        <v>345</v>
      </c>
      <c r="B8" s="464"/>
      <c r="C8" s="726" t="s">
        <v>346</v>
      </c>
      <c r="D8" s="726"/>
      <c r="E8" s="726"/>
      <c r="F8" s="726"/>
      <c r="G8" s="726"/>
      <c r="H8" s="726"/>
      <c r="I8" s="727"/>
      <c r="K8" s="538"/>
    </row>
    <row r="9" spans="1:49" s="358" customFormat="1" ht="120" x14ac:dyDescent="0.45">
      <c r="A9" s="465" t="s">
        <v>336</v>
      </c>
      <c r="B9" s="466" t="s">
        <v>336</v>
      </c>
      <c r="C9" s="467" t="s">
        <v>347</v>
      </c>
      <c r="D9" s="467" t="s">
        <v>336</v>
      </c>
      <c r="E9" s="467" t="s">
        <v>348</v>
      </c>
      <c r="F9" s="468" t="s">
        <v>336</v>
      </c>
      <c r="G9" s="469" t="s">
        <v>336</v>
      </c>
      <c r="H9" s="469" t="s">
        <v>336</v>
      </c>
      <c r="I9" s="470" t="s">
        <v>349</v>
      </c>
      <c r="J9" s="494"/>
      <c r="K9" s="538"/>
    </row>
    <row r="10" spans="1:49" ht="96" x14ac:dyDescent="0.45">
      <c r="A10" s="465" t="s">
        <v>336</v>
      </c>
      <c r="B10" s="466" t="s">
        <v>336</v>
      </c>
      <c r="C10" s="467" t="s">
        <v>350</v>
      </c>
      <c r="D10" s="467" t="s">
        <v>336</v>
      </c>
      <c r="E10" s="467" t="s">
        <v>351</v>
      </c>
      <c r="F10" s="468" t="s">
        <v>336</v>
      </c>
      <c r="G10" s="469" t="s">
        <v>336</v>
      </c>
      <c r="H10" s="469" t="s">
        <v>336</v>
      </c>
      <c r="I10" s="470" t="s">
        <v>349</v>
      </c>
      <c r="J10" s="495"/>
      <c r="K10" s="537"/>
    </row>
    <row r="11" spans="1:49" ht="72" x14ac:dyDescent="0.45">
      <c r="A11" s="465" t="s">
        <v>336</v>
      </c>
      <c r="B11" s="466" t="s">
        <v>336</v>
      </c>
      <c r="C11" s="467" t="s">
        <v>352</v>
      </c>
      <c r="D11" s="467" t="s">
        <v>336</v>
      </c>
      <c r="E11" s="467" t="s">
        <v>353</v>
      </c>
      <c r="F11" s="468" t="s">
        <v>336</v>
      </c>
      <c r="G11" s="469" t="s">
        <v>336</v>
      </c>
      <c r="H11" s="469" t="s">
        <v>336</v>
      </c>
      <c r="I11" s="470" t="s">
        <v>349</v>
      </c>
      <c r="J11" s="495"/>
      <c r="K11" s="537"/>
    </row>
    <row r="12" spans="1:49" ht="24" x14ac:dyDescent="0.65">
      <c r="A12" s="463" t="s">
        <v>354</v>
      </c>
      <c r="B12" s="464"/>
      <c r="C12" s="726" t="s">
        <v>355</v>
      </c>
      <c r="D12" s="726"/>
      <c r="E12" s="726"/>
      <c r="F12" s="726"/>
      <c r="G12" s="726"/>
      <c r="H12" s="726"/>
      <c r="I12" s="727"/>
      <c r="K12" s="537"/>
    </row>
    <row r="13" spans="1:49" ht="65.25" customHeight="1" x14ac:dyDescent="0.45">
      <c r="A13" s="465" t="s">
        <v>336</v>
      </c>
      <c r="B13" s="466" t="s">
        <v>336</v>
      </c>
      <c r="C13" s="467" t="s">
        <v>356</v>
      </c>
      <c r="D13" s="467" t="s">
        <v>336</v>
      </c>
      <c r="E13" s="467" t="s">
        <v>357</v>
      </c>
      <c r="F13" s="468" t="s">
        <v>336</v>
      </c>
      <c r="G13" s="469" t="s">
        <v>336</v>
      </c>
      <c r="H13" s="469" t="s">
        <v>336</v>
      </c>
      <c r="I13" s="470" t="s">
        <v>358</v>
      </c>
      <c r="J13" s="495"/>
      <c r="K13" s="537"/>
    </row>
    <row r="14" spans="1:49" ht="72" x14ac:dyDescent="0.45">
      <c r="A14" s="465" t="s">
        <v>336</v>
      </c>
      <c r="B14" s="466" t="s">
        <v>336</v>
      </c>
      <c r="C14" s="467" t="s">
        <v>359</v>
      </c>
      <c r="D14" s="467" t="s">
        <v>336</v>
      </c>
      <c r="E14" s="467" t="s">
        <v>360</v>
      </c>
      <c r="F14" s="468" t="s">
        <v>336</v>
      </c>
      <c r="G14" s="469" t="s">
        <v>336</v>
      </c>
      <c r="H14" s="469" t="s">
        <v>336</v>
      </c>
      <c r="I14" s="470" t="s">
        <v>358</v>
      </c>
      <c r="J14" s="495"/>
      <c r="K14" s="537"/>
    </row>
    <row r="15" spans="1:49" ht="72" customHeight="1" x14ac:dyDescent="0.65">
      <c r="A15" s="465" t="s">
        <v>336</v>
      </c>
      <c r="B15" s="466" t="s">
        <v>336</v>
      </c>
      <c r="C15" s="467" t="s">
        <v>361</v>
      </c>
      <c r="D15" s="467" t="s">
        <v>336</v>
      </c>
      <c r="E15" s="467" t="s">
        <v>362</v>
      </c>
      <c r="F15" s="521" t="s">
        <v>336</v>
      </c>
      <c r="G15" s="466" t="s">
        <v>336</v>
      </c>
      <c r="H15" s="466" t="s">
        <v>336</v>
      </c>
      <c r="I15" s="470" t="s">
        <v>358</v>
      </c>
      <c r="J15" s="495"/>
      <c r="K15" s="537"/>
    </row>
    <row r="16" spans="1:49" ht="72" customHeight="1" x14ac:dyDescent="0.45">
      <c r="A16" s="465" t="s">
        <v>336</v>
      </c>
      <c r="B16" s="466" t="s">
        <v>336</v>
      </c>
      <c r="C16" s="467" t="s">
        <v>363</v>
      </c>
      <c r="D16" s="467" t="s">
        <v>336</v>
      </c>
      <c r="E16" s="467" t="s">
        <v>364</v>
      </c>
      <c r="F16" s="468" t="s">
        <v>336</v>
      </c>
      <c r="G16" s="469" t="s">
        <v>336</v>
      </c>
      <c r="H16" s="469" t="s">
        <v>336</v>
      </c>
      <c r="I16" s="470" t="s">
        <v>358</v>
      </c>
      <c r="J16" s="495"/>
      <c r="K16" s="537"/>
    </row>
    <row r="17" spans="1:47" ht="72" customHeight="1" x14ac:dyDescent="0.45">
      <c r="A17" s="465" t="s">
        <v>336</v>
      </c>
      <c r="B17" s="466" t="s">
        <v>336</v>
      </c>
      <c r="C17" s="467" t="s">
        <v>365</v>
      </c>
      <c r="D17" s="467" t="s">
        <v>336</v>
      </c>
      <c r="E17" s="467" t="s">
        <v>366</v>
      </c>
      <c r="F17" s="468" t="s">
        <v>336</v>
      </c>
      <c r="G17" s="469" t="s">
        <v>336</v>
      </c>
      <c r="H17" s="469" t="s">
        <v>336</v>
      </c>
      <c r="I17" s="470" t="s">
        <v>367</v>
      </c>
      <c r="J17" s="495"/>
      <c r="K17" s="537"/>
    </row>
    <row r="18" spans="1:47" ht="72" customHeight="1" x14ac:dyDescent="0.45">
      <c r="A18" s="465" t="s">
        <v>336</v>
      </c>
      <c r="B18" s="466" t="s">
        <v>336</v>
      </c>
      <c r="C18" s="467" t="s">
        <v>368</v>
      </c>
      <c r="D18" s="467" t="s">
        <v>336</v>
      </c>
      <c r="E18" s="467" t="s">
        <v>369</v>
      </c>
      <c r="F18" s="468" t="s">
        <v>336</v>
      </c>
      <c r="G18" s="469" t="s">
        <v>336</v>
      </c>
      <c r="H18" s="469" t="s">
        <v>336</v>
      </c>
      <c r="I18" s="470" t="s">
        <v>358</v>
      </c>
      <c r="J18" s="495"/>
      <c r="K18" s="537"/>
    </row>
    <row r="19" spans="1:47" ht="96" x14ac:dyDescent="0.45">
      <c r="A19" s="465" t="s">
        <v>336</v>
      </c>
      <c r="B19" s="466" t="s">
        <v>336</v>
      </c>
      <c r="C19" s="467" t="s">
        <v>370</v>
      </c>
      <c r="D19" s="467" t="s">
        <v>336</v>
      </c>
      <c r="E19" s="467" t="s">
        <v>371</v>
      </c>
      <c r="F19" s="468" t="s">
        <v>336</v>
      </c>
      <c r="G19" s="469" t="s">
        <v>336</v>
      </c>
      <c r="H19" s="469" t="s">
        <v>336</v>
      </c>
      <c r="I19" s="470" t="s">
        <v>358</v>
      </c>
      <c r="J19" s="495"/>
      <c r="K19" s="537"/>
    </row>
    <row r="20" spans="1:47" ht="24" x14ac:dyDescent="0.65">
      <c r="A20" s="463" t="s">
        <v>372</v>
      </c>
      <c r="B20" s="464" t="s">
        <v>336</v>
      </c>
      <c r="C20" s="726" t="s">
        <v>373</v>
      </c>
      <c r="D20" s="726"/>
      <c r="E20" s="726"/>
      <c r="F20" s="726"/>
      <c r="G20" s="726"/>
      <c r="H20" s="726"/>
      <c r="I20" s="727"/>
      <c r="K20" s="537"/>
    </row>
    <row r="21" spans="1:47" ht="96" x14ac:dyDescent="0.45">
      <c r="A21" s="465" t="s">
        <v>336</v>
      </c>
      <c r="B21" s="466" t="s">
        <v>336</v>
      </c>
      <c r="C21" s="516" t="s">
        <v>374</v>
      </c>
      <c r="D21" s="516" t="s">
        <v>336</v>
      </c>
      <c r="E21" s="516" t="s">
        <v>375</v>
      </c>
      <c r="F21" s="468" t="s">
        <v>336</v>
      </c>
      <c r="G21" s="469" t="s">
        <v>336</v>
      </c>
      <c r="H21" s="469" t="s">
        <v>336</v>
      </c>
      <c r="I21" s="519" t="s">
        <v>358</v>
      </c>
      <c r="J21" s="495"/>
      <c r="K21" s="537"/>
    </row>
    <row r="22" spans="1:47" ht="48" x14ac:dyDescent="0.45">
      <c r="A22" s="465" t="s">
        <v>336</v>
      </c>
      <c r="B22" s="493" t="s">
        <v>336</v>
      </c>
      <c r="C22" s="492" t="s">
        <v>376</v>
      </c>
      <c r="D22" s="492" t="s">
        <v>336</v>
      </c>
      <c r="E22" s="492" t="s">
        <v>377</v>
      </c>
      <c r="F22" s="517" t="s">
        <v>336</v>
      </c>
      <c r="G22" s="518" t="s">
        <v>336</v>
      </c>
      <c r="H22" s="520" t="s">
        <v>336</v>
      </c>
      <c r="I22" s="491" t="s">
        <v>358</v>
      </c>
      <c r="J22" s="495"/>
      <c r="K22" s="537"/>
    </row>
    <row r="23" spans="1:47" ht="48" x14ac:dyDescent="0.45">
      <c r="A23" s="465"/>
      <c r="B23" s="526"/>
      <c r="C23" s="527" t="s">
        <v>378</v>
      </c>
      <c r="D23" s="527"/>
      <c r="E23" s="528" t="s">
        <v>379</v>
      </c>
      <c r="F23" s="529"/>
      <c r="G23" s="530"/>
      <c r="H23" s="531"/>
      <c r="I23" s="532" t="s">
        <v>358</v>
      </c>
      <c r="J23" s="495"/>
      <c r="K23" s="537"/>
    </row>
    <row r="24" spans="1:47" ht="24" x14ac:dyDescent="0.65">
      <c r="A24" s="525" t="s">
        <v>380</v>
      </c>
      <c r="B24" s="524" t="s">
        <v>336</v>
      </c>
      <c r="C24" s="737" t="s">
        <v>381</v>
      </c>
      <c r="D24" s="737"/>
      <c r="E24" s="737"/>
      <c r="F24" s="737"/>
      <c r="G24" s="737"/>
      <c r="H24" s="737"/>
      <c r="I24" s="737"/>
      <c r="K24" s="537"/>
    </row>
    <row r="25" spans="1:47" ht="96" x14ac:dyDescent="0.45">
      <c r="A25" s="465" t="s">
        <v>336</v>
      </c>
      <c r="B25" s="466" t="s">
        <v>336</v>
      </c>
      <c r="C25" s="467" t="s">
        <v>382</v>
      </c>
      <c r="D25" s="467" t="s">
        <v>336</v>
      </c>
      <c r="E25" s="467" t="s">
        <v>383</v>
      </c>
      <c r="F25" s="468" t="s">
        <v>336</v>
      </c>
      <c r="G25" s="469" t="s">
        <v>336</v>
      </c>
      <c r="H25" s="469" t="s">
        <v>336</v>
      </c>
      <c r="I25" s="470" t="s">
        <v>358</v>
      </c>
      <c r="J25" s="495"/>
      <c r="K25" s="537"/>
    </row>
    <row r="26" spans="1:47" ht="48" x14ac:dyDescent="0.45">
      <c r="A26" s="465" t="s">
        <v>336</v>
      </c>
      <c r="B26" s="466" t="s">
        <v>336</v>
      </c>
      <c r="C26" s="467" t="s">
        <v>376</v>
      </c>
      <c r="D26" s="467" t="s">
        <v>336</v>
      </c>
      <c r="E26" s="492" t="s">
        <v>377</v>
      </c>
      <c r="F26" s="468" t="s">
        <v>336</v>
      </c>
      <c r="G26" s="469" t="s">
        <v>336</v>
      </c>
      <c r="H26" s="469" t="s">
        <v>336</v>
      </c>
      <c r="I26" s="470" t="s">
        <v>358</v>
      </c>
      <c r="J26" s="495"/>
      <c r="K26" s="537"/>
    </row>
    <row r="27" spans="1:47" ht="24" x14ac:dyDescent="0.65">
      <c r="A27" s="463" t="s">
        <v>384</v>
      </c>
      <c r="B27" s="464" t="s">
        <v>336</v>
      </c>
      <c r="C27" s="732" t="s">
        <v>385</v>
      </c>
      <c r="D27" s="726"/>
      <c r="E27" s="732"/>
      <c r="F27" s="726"/>
      <c r="G27" s="726"/>
      <c r="H27" s="726"/>
      <c r="I27" s="727"/>
      <c r="J27" s="459"/>
      <c r="K27" s="537"/>
    </row>
    <row r="28" spans="1:47" ht="72" x14ac:dyDescent="0.45">
      <c r="A28" s="465" t="s">
        <v>336</v>
      </c>
      <c r="B28" s="493" t="s">
        <v>336</v>
      </c>
      <c r="C28" s="492" t="s">
        <v>386</v>
      </c>
      <c r="D28" s="490" t="s">
        <v>336</v>
      </c>
      <c r="E28" s="492" t="s">
        <v>387</v>
      </c>
      <c r="F28" s="468" t="s">
        <v>336</v>
      </c>
      <c r="G28" s="469" t="s">
        <v>336</v>
      </c>
      <c r="H28" s="469" t="s">
        <v>336</v>
      </c>
      <c r="I28" s="470" t="s">
        <v>358</v>
      </c>
      <c r="J28" s="495"/>
      <c r="K28" s="537"/>
    </row>
    <row r="29" spans="1:47" s="361" customFormat="1" ht="48" x14ac:dyDescent="0.45">
      <c r="A29" s="465" t="s">
        <v>336</v>
      </c>
      <c r="B29" s="493" t="s">
        <v>336</v>
      </c>
      <c r="C29" s="492" t="s">
        <v>388</v>
      </c>
      <c r="D29" s="490" t="s">
        <v>336</v>
      </c>
      <c r="E29" s="492" t="s">
        <v>389</v>
      </c>
      <c r="F29" s="468" t="s">
        <v>336</v>
      </c>
      <c r="G29" s="469" t="s">
        <v>336</v>
      </c>
      <c r="H29" s="469" t="s">
        <v>336</v>
      </c>
      <c r="I29" s="470" t="s">
        <v>358</v>
      </c>
      <c r="J29" s="495"/>
      <c r="K29" s="539"/>
      <c r="L29" s="459"/>
      <c r="M29" s="459"/>
      <c r="N29" s="459"/>
      <c r="O29" s="459"/>
      <c r="P29" s="459"/>
      <c r="Q29" s="459"/>
      <c r="R29" s="459"/>
      <c r="S29" s="459"/>
      <c r="T29" s="459"/>
      <c r="U29" s="459"/>
      <c r="V29" s="459"/>
      <c r="W29" s="459"/>
      <c r="X29" s="459"/>
      <c r="Y29" s="459"/>
      <c r="Z29" s="459"/>
      <c r="AA29" s="459"/>
      <c r="AB29" s="459"/>
      <c r="AC29" s="459"/>
      <c r="AD29" s="459"/>
      <c r="AE29" s="459"/>
      <c r="AF29" s="459"/>
      <c r="AG29" s="459"/>
      <c r="AH29" s="459"/>
      <c r="AI29" s="459"/>
      <c r="AJ29" s="459"/>
      <c r="AK29" s="459"/>
      <c r="AL29" s="459"/>
      <c r="AM29" s="459"/>
      <c r="AN29" s="459"/>
      <c r="AO29" s="459"/>
      <c r="AP29" s="459"/>
      <c r="AQ29" s="459"/>
      <c r="AR29" s="459"/>
      <c r="AS29" s="459"/>
      <c r="AT29" s="459"/>
      <c r="AU29" s="460"/>
    </row>
    <row r="30" spans="1:47" ht="48" x14ac:dyDescent="0.45">
      <c r="A30" s="465" t="s">
        <v>336</v>
      </c>
      <c r="B30" s="466" t="s">
        <v>336</v>
      </c>
      <c r="C30" s="467" t="s">
        <v>390</v>
      </c>
      <c r="D30" s="467" t="s">
        <v>336</v>
      </c>
      <c r="E30" s="467" t="s">
        <v>391</v>
      </c>
      <c r="F30" s="468" t="s">
        <v>336</v>
      </c>
      <c r="G30" s="469" t="s">
        <v>336</v>
      </c>
      <c r="H30" s="469" t="s">
        <v>336</v>
      </c>
      <c r="I30" s="470" t="s">
        <v>358</v>
      </c>
      <c r="J30" s="495"/>
      <c r="K30" s="537"/>
    </row>
    <row r="31" spans="1:47" ht="24" x14ac:dyDescent="0.65">
      <c r="A31" s="461" t="s">
        <v>392</v>
      </c>
      <c r="B31" s="462" t="s">
        <v>393</v>
      </c>
      <c r="C31" s="730" t="s">
        <v>394</v>
      </c>
      <c r="D31" s="730"/>
      <c r="E31" s="730"/>
      <c r="F31" s="730"/>
      <c r="G31" s="730"/>
      <c r="H31" s="730"/>
      <c r="I31" s="731"/>
      <c r="J31" s="459"/>
    </row>
    <row r="32" spans="1:47" ht="24" x14ac:dyDescent="0.65">
      <c r="A32" s="463" t="s">
        <v>334</v>
      </c>
      <c r="B32" s="464" t="s">
        <v>336</v>
      </c>
      <c r="C32" s="726" t="s">
        <v>343</v>
      </c>
      <c r="D32" s="726"/>
      <c r="E32" s="726"/>
      <c r="F32" s="726"/>
      <c r="G32" s="726"/>
      <c r="H32" s="726"/>
      <c r="I32" s="727"/>
      <c r="J32" s="459"/>
    </row>
    <row r="33" spans="1:11" ht="120" x14ac:dyDescent="0.45">
      <c r="A33" s="465" t="s">
        <v>336</v>
      </c>
      <c r="B33" s="466" t="s">
        <v>336</v>
      </c>
      <c r="C33" s="467" t="s">
        <v>395</v>
      </c>
      <c r="D33" s="467" t="s">
        <v>336</v>
      </c>
      <c r="E33" s="467" t="s">
        <v>396</v>
      </c>
      <c r="F33" s="468" t="s">
        <v>336</v>
      </c>
      <c r="G33" s="469" t="s">
        <v>336</v>
      </c>
      <c r="H33" s="469" t="s">
        <v>336</v>
      </c>
      <c r="I33" s="470" t="s">
        <v>339</v>
      </c>
      <c r="J33" s="504"/>
      <c r="K33" s="537"/>
    </row>
    <row r="34" spans="1:11" ht="48" x14ac:dyDescent="0.45">
      <c r="A34" s="465" t="s">
        <v>336</v>
      </c>
      <c r="B34" s="466" t="s">
        <v>336</v>
      </c>
      <c r="C34" s="467" t="s">
        <v>343</v>
      </c>
      <c r="D34" s="467" t="s">
        <v>336</v>
      </c>
      <c r="E34" s="467" t="s">
        <v>397</v>
      </c>
      <c r="F34" s="468" t="s">
        <v>336</v>
      </c>
      <c r="G34" s="469" t="s">
        <v>336</v>
      </c>
      <c r="H34" s="469" t="s">
        <v>336</v>
      </c>
      <c r="I34" s="470" t="s">
        <v>339</v>
      </c>
      <c r="J34" s="495"/>
      <c r="K34" s="537"/>
    </row>
    <row r="35" spans="1:11" ht="24" x14ac:dyDescent="0.65">
      <c r="A35" s="463" t="s">
        <v>345</v>
      </c>
      <c r="B35" s="464" t="s">
        <v>398</v>
      </c>
      <c r="C35" s="726" t="s">
        <v>346</v>
      </c>
      <c r="D35" s="726"/>
      <c r="E35" s="726"/>
      <c r="F35" s="726"/>
      <c r="G35" s="726"/>
      <c r="H35" s="726"/>
      <c r="I35" s="727"/>
      <c r="J35" s="459"/>
      <c r="K35" s="537"/>
    </row>
    <row r="36" spans="1:11" ht="96" x14ac:dyDescent="0.45">
      <c r="A36" s="465" t="s">
        <v>336</v>
      </c>
      <c r="B36" s="466" t="s">
        <v>336</v>
      </c>
      <c r="C36" s="467" t="s">
        <v>399</v>
      </c>
      <c r="D36" s="467" t="s">
        <v>336</v>
      </c>
      <c r="E36" s="467" t="s">
        <v>400</v>
      </c>
      <c r="F36" s="468" t="s">
        <v>336</v>
      </c>
      <c r="G36" s="469" t="s">
        <v>336</v>
      </c>
      <c r="H36" s="469" t="s">
        <v>336</v>
      </c>
      <c r="I36" s="470" t="s">
        <v>349</v>
      </c>
      <c r="J36" s="504"/>
      <c r="K36" s="537"/>
    </row>
    <row r="37" spans="1:11" ht="72" x14ac:dyDescent="0.45">
      <c r="A37" s="465" t="s">
        <v>336</v>
      </c>
      <c r="B37" s="466" t="s">
        <v>336</v>
      </c>
      <c r="C37" s="467" t="s">
        <v>401</v>
      </c>
      <c r="D37" s="467" t="s">
        <v>336</v>
      </c>
      <c r="E37" s="467" t="s">
        <v>402</v>
      </c>
      <c r="F37" s="468" t="s">
        <v>336</v>
      </c>
      <c r="G37" s="469" t="s">
        <v>336</v>
      </c>
      <c r="H37" s="469" t="s">
        <v>336</v>
      </c>
      <c r="I37" s="470" t="s">
        <v>349</v>
      </c>
      <c r="J37" s="495"/>
      <c r="K37" s="537"/>
    </row>
    <row r="38" spans="1:11" ht="24" x14ac:dyDescent="0.65">
      <c r="A38" s="463" t="s">
        <v>354</v>
      </c>
      <c r="B38" s="464" t="s">
        <v>398</v>
      </c>
      <c r="C38" s="726" t="s">
        <v>355</v>
      </c>
      <c r="D38" s="726"/>
      <c r="E38" s="726"/>
      <c r="F38" s="726"/>
      <c r="G38" s="726"/>
      <c r="H38" s="726"/>
      <c r="I38" s="727"/>
      <c r="J38" s="459"/>
      <c r="K38" s="537"/>
    </row>
    <row r="39" spans="1:11" ht="72" x14ac:dyDescent="0.45">
      <c r="A39" s="465" t="s">
        <v>336</v>
      </c>
      <c r="B39" s="466" t="s">
        <v>336</v>
      </c>
      <c r="C39" s="467" t="s">
        <v>359</v>
      </c>
      <c r="D39" s="467" t="s">
        <v>336</v>
      </c>
      <c r="E39" s="467" t="s">
        <v>403</v>
      </c>
      <c r="F39" s="468" t="s">
        <v>336</v>
      </c>
      <c r="G39" s="469" t="s">
        <v>336</v>
      </c>
      <c r="H39" s="469" t="s">
        <v>336</v>
      </c>
      <c r="I39" s="470" t="s">
        <v>358</v>
      </c>
      <c r="J39" s="504"/>
      <c r="K39" s="537"/>
    </row>
    <row r="40" spans="1:11" ht="24" x14ac:dyDescent="0.65">
      <c r="A40" s="463" t="s">
        <v>404</v>
      </c>
      <c r="B40" s="464" t="s">
        <v>398</v>
      </c>
      <c r="C40" s="726" t="s">
        <v>405</v>
      </c>
      <c r="D40" s="726"/>
      <c r="E40" s="726"/>
      <c r="F40" s="726"/>
      <c r="G40" s="726"/>
      <c r="H40" s="726"/>
      <c r="I40" s="727"/>
      <c r="J40" s="459"/>
      <c r="K40" s="537"/>
    </row>
    <row r="41" spans="1:11" ht="96" x14ac:dyDescent="0.45">
      <c r="A41" s="465" t="s">
        <v>336</v>
      </c>
      <c r="B41" s="466" t="s">
        <v>336</v>
      </c>
      <c r="C41" s="516" t="s">
        <v>374</v>
      </c>
      <c r="D41" s="516" t="s">
        <v>336</v>
      </c>
      <c r="E41" s="516" t="s">
        <v>375</v>
      </c>
      <c r="F41" s="468" t="s">
        <v>336</v>
      </c>
      <c r="G41" s="469" t="s">
        <v>336</v>
      </c>
      <c r="H41" s="469" t="s">
        <v>336</v>
      </c>
      <c r="I41" s="470" t="s">
        <v>358</v>
      </c>
      <c r="J41" s="504"/>
      <c r="K41" s="537"/>
    </row>
    <row r="42" spans="1:11" ht="48" x14ac:dyDescent="0.45">
      <c r="A42" s="465" t="s">
        <v>336</v>
      </c>
      <c r="B42" s="466" t="s">
        <v>336</v>
      </c>
      <c r="C42" s="492" t="s">
        <v>376</v>
      </c>
      <c r="D42" s="492" t="s">
        <v>336</v>
      </c>
      <c r="E42" s="492" t="s">
        <v>377</v>
      </c>
      <c r="F42" s="468" t="s">
        <v>336</v>
      </c>
      <c r="G42" s="469" t="s">
        <v>336</v>
      </c>
      <c r="H42" s="469" t="s">
        <v>336</v>
      </c>
      <c r="I42" s="470" t="s">
        <v>358</v>
      </c>
      <c r="J42" s="504"/>
      <c r="K42" s="537"/>
    </row>
    <row r="43" spans="1:11" ht="48" x14ac:dyDescent="0.45">
      <c r="A43" s="465"/>
      <c r="B43" s="466"/>
      <c r="C43" s="467" t="s">
        <v>406</v>
      </c>
      <c r="D43" s="467"/>
      <c r="E43" s="467" t="s">
        <v>407</v>
      </c>
      <c r="F43" s="468"/>
      <c r="G43" s="469"/>
      <c r="H43" s="469"/>
      <c r="I43" s="470" t="s">
        <v>358</v>
      </c>
      <c r="J43" s="504"/>
      <c r="K43" s="537"/>
    </row>
    <row r="44" spans="1:11" ht="96" x14ac:dyDescent="0.45">
      <c r="A44" s="473" t="s">
        <v>408</v>
      </c>
      <c r="B44" s="474" t="s">
        <v>409</v>
      </c>
      <c r="C44" s="730" t="s">
        <v>410</v>
      </c>
      <c r="D44" s="730"/>
      <c r="E44" s="730"/>
      <c r="F44" s="730"/>
      <c r="G44" s="730"/>
      <c r="H44" s="730"/>
      <c r="I44" s="731"/>
    </row>
    <row r="45" spans="1:11" ht="24" x14ac:dyDescent="0.65">
      <c r="A45" s="463" t="s">
        <v>334</v>
      </c>
      <c r="B45" s="464" t="s">
        <v>336</v>
      </c>
      <c r="C45" s="726" t="s">
        <v>343</v>
      </c>
      <c r="D45" s="726"/>
      <c r="E45" s="726"/>
      <c r="F45" s="726"/>
      <c r="G45" s="726"/>
      <c r="H45" s="726"/>
      <c r="I45" s="727"/>
      <c r="K45" s="537"/>
    </row>
    <row r="46" spans="1:11" ht="120" x14ac:dyDescent="0.45">
      <c r="A46" s="465" t="s">
        <v>336</v>
      </c>
      <c r="B46" s="466" t="s">
        <v>336</v>
      </c>
      <c r="C46" s="467" t="s">
        <v>411</v>
      </c>
      <c r="D46" s="467" t="s">
        <v>336</v>
      </c>
      <c r="E46" s="467" t="s">
        <v>412</v>
      </c>
      <c r="F46" s="468" t="s">
        <v>336</v>
      </c>
      <c r="G46" s="469" t="s">
        <v>336</v>
      </c>
      <c r="H46" s="469" t="s">
        <v>336</v>
      </c>
      <c r="I46" s="470" t="s">
        <v>349</v>
      </c>
      <c r="J46" s="495"/>
      <c r="K46" s="537"/>
    </row>
    <row r="47" spans="1:11" ht="48" x14ac:dyDescent="0.45">
      <c r="A47" s="465" t="s">
        <v>336</v>
      </c>
      <c r="B47" s="466" t="s">
        <v>336</v>
      </c>
      <c r="C47" s="467" t="s">
        <v>343</v>
      </c>
      <c r="D47" s="467" t="s">
        <v>336</v>
      </c>
      <c r="E47" s="467" t="s">
        <v>413</v>
      </c>
      <c r="F47" s="468" t="s">
        <v>336</v>
      </c>
      <c r="G47" s="469" t="s">
        <v>336</v>
      </c>
      <c r="H47" s="469" t="s">
        <v>336</v>
      </c>
      <c r="I47" s="470" t="s">
        <v>349</v>
      </c>
      <c r="J47" s="495"/>
      <c r="K47" s="537"/>
    </row>
    <row r="48" spans="1:11" ht="24" x14ac:dyDescent="0.65">
      <c r="A48" s="463" t="s">
        <v>345</v>
      </c>
      <c r="B48" s="464" t="s">
        <v>336</v>
      </c>
      <c r="C48" s="726" t="s">
        <v>346</v>
      </c>
      <c r="D48" s="726"/>
      <c r="E48" s="726"/>
      <c r="F48" s="726"/>
      <c r="G48" s="726"/>
      <c r="H48" s="726"/>
      <c r="I48" s="727"/>
      <c r="K48" s="537"/>
    </row>
    <row r="49" spans="1:11" ht="96" x14ac:dyDescent="0.45">
      <c r="A49" s="465" t="s">
        <v>336</v>
      </c>
      <c r="B49" s="466" t="s">
        <v>336</v>
      </c>
      <c r="C49" s="467" t="s">
        <v>414</v>
      </c>
      <c r="D49" s="467" t="s">
        <v>336</v>
      </c>
      <c r="E49" s="467" t="s">
        <v>415</v>
      </c>
      <c r="F49" s="468" t="s">
        <v>336</v>
      </c>
      <c r="G49" s="469" t="s">
        <v>336</v>
      </c>
      <c r="H49" s="469" t="s">
        <v>336</v>
      </c>
      <c r="I49" s="470" t="s">
        <v>349</v>
      </c>
      <c r="J49" s="495"/>
      <c r="K49" s="537"/>
    </row>
    <row r="50" spans="1:11" ht="48" x14ac:dyDescent="0.45">
      <c r="A50" s="465" t="s">
        <v>336</v>
      </c>
      <c r="B50" s="466" t="s">
        <v>336</v>
      </c>
      <c r="C50" s="467" t="s">
        <v>416</v>
      </c>
      <c r="D50" s="467" t="s">
        <v>336</v>
      </c>
      <c r="E50" s="467" t="s">
        <v>417</v>
      </c>
      <c r="F50" s="468" t="s">
        <v>336</v>
      </c>
      <c r="G50" s="469" t="s">
        <v>336</v>
      </c>
      <c r="H50" s="469" t="s">
        <v>336</v>
      </c>
      <c r="I50" s="470" t="s">
        <v>349</v>
      </c>
      <c r="J50" s="495"/>
      <c r="K50" s="537"/>
    </row>
    <row r="51" spans="1:11" ht="24" x14ac:dyDescent="0.65">
      <c r="A51" s="463" t="s">
        <v>354</v>
      </c>
      <c r="B51" s="464" t="s">
        <v>336</v>
      </c>
      <c r="C51" s="726" t="s">
        <v>355</v>
      </c>
      <c r="D51" s="726"/>
      <c r="E51" s="726"/>
      <c r="F51" s="726"/>
      <c r="G51" s="726"/>
      <c r="H51" s="726"/>
      <c r="I51" s="727"/>
      <c r="K51" s="537"/>
    </row>
    <row r="52" spans="1:11" ht="96" x14ac:dyDescent="0.45">
      <c r="A52" s="465" t="s">
        <v>336</v>
      </c>
      <c r="B52" s="466" t="s">
        <v>336</v>
      </c>
      <c r="C52" s="467" t="s">
        <v>418</v>
      </c>
      <c r="D52" s="467" t="s">
        <v>336</v>
      </c>
      <c r="E52" s="467" t="s">
        <v>419</v>
      </c>
      <c r="F52" s="468" t="s">
        <v>336</v>
      </c>
      <c r="G52" s="469" t="s">
        <v>336</v>
      </c>
      <c r="H52" s="469" t="s">
        <v>336</v>
      </c>
      <c r="I52" s="470" t="s">
        <v>420</v>
      </c>
      <c r="J52" s="495"/>
      <c r="K52" s="537"/>
    </row>
    <row r="53" spans="1:11" ht="96" x14ac:dyDescent="0.45">
      <c r="A53" s="465" t="s">
        <v>336</v>
      </c>
      <c r="B53" s="466" t="s">
        <v>336</v>
      </c>
      <c r="C53" s="467" t="s">
        <v>421</v>
      </c>
      <c r="D53" s="467" t="s">
        <v>336</v>
      </c>
      <c r="E53" s="467" t="s">
        <v>422</v>
      </c>
      <c r="F53" s="468" t="s">
        <v>336</v>
      </c>
      <c r="G53" s="469" t="s">
        <v>336</v>
      </c>
      <c r="H53" s="469" t="s">
        <v>336</v>
      </c>
      <c r="I53" s="470" t="s">
        <v>358</v>
      </c>
      <c r="J53" s="495"/>
      <c r="K53" s="537"/>
    </row>
    <row r="54" spans="1:11" ht="24" x14ac:dyDescent="0.65">
      <c r="A54" s="463" t="s">
        <v>404</v>
      </c>
      <c r="B54" s="464" t="s">
        <v>336</v>
      </c>
      <c r="C54" s="726" t="s">
        <v>405</v>
      </c>
      <c r="D54" s="726"/>
      <c r="E54" s="726"/>
      <c r="F54" s="726"/>
      <c r="G54" s="726"/>
      <c r="H54" s="726"/>
      <c r="I54" s="727"/>
      <c r="K54" s="537"/>
    </row>
    <row r="55" spans="1:11" ht="96" x14ac:dyDescent="0.45">
      <c r="A55" s="465" t="s">
        <v>336</v>
      </c>
      <c r="B55" s="466" t="s">
        <v>336</v>
      </c>
      <c r="C55" s="467" t="s">
        <v>423</v>
      </c>
      <c r="D55" s="467" t="s">
        <v>336</v>
      </c>
      <c r="E55" s="467" t="s">
        <v>424</v>
      </c>
      <c r="F55" s="468" t="s">
        <v>336</v>
      </c>
      <c r="G55" s="469" t="s">
        <v>336</v>
      </c>
      <c r="H55" s="469" t="s">
        <v>336</v>
      </c>
      <c r="I55" s="470" t="s">
        <v>358</v>
      </c>
      <c r="J55" s="495"/>
      <c r="K55" s="537"/>
    </row>
    <row r="56" spans="1:11" ht="72" x14ac:dyDescent="0.45">
      <c r="A56" s="473" t="s">
        <v>425</v>
      </c>
      <c r="B56" s="474" t="s">
        <v>426</v>
      </c>
      <c r="C56" s="730" t="s">
        <v>427</v>
      </c>
      <c r="D56" s="730"/>
      <c r="E56" s="730"/>
      <c r="F56" s="730"/>
      <c r="G56" s="730"/>
      <c r="H56" s="730"/>
      <c r="I56" s="731"/>
      <c r="K56" s="537"/>
    </row>
    <row r="57" spans="1:11" ht="24" x14ac:dyDescent="0.65">
      <c r="A57" s="463" t="s">
        <v>404</v>
      </c>
      <c r="B57" s="464" t="s">
        <v>336</v>
      </c>
      <c r="C57" s="726" t="s">
        <v>428</v>
      </c>
      <c r="D57" s="726"/>
      <c r="E57" s="726"/>
      <c r="F57" s="726"/>
      <c r="G57" s="726"/>
      <c r="H57" s="726"/>
      <c r="I57" s="727"/>
      <c r="K57" s="537"/>
    </row>
    <row r="58" spans="1:11" ht="72" x14ac:dyDescent="0.45">
      <c r="A58" s="465" t="s">
        <v>336</v>
      </c>
      <c r="B58" s="466" t="s">
        <v>336</v>
      </c>
      <c r="C58" s="467" t="s">
        <v>429</v>
      </c>
      <c r="D58" s="467" t="s">
        <v>336</v>
      </c>
      <c r="E58" s="467" t="s">
        <v>430</v>
      </c>
      <c r="F58" s="468" t="s">
        <v>336</v>
      </c>
      <c r="G58" s="469" t="s">
        <v>336</v>
      </c>
      <c r="H58" s="469" t="s">
        <v>336</v>
      </c>
      <c r="I58" s="470" t="s">
        <v>358</v>
      </c>
      <c r="J58" s="495"/>
      <c r="K58" s="537"/>
    </row>
    <row r="59" spans="1:11" ht="24" x14ac:dyDescent="0.65">
      <c r="A59" s="463" t="s">
        <v>431</v>
      </c>
      <c r="B59" s="464" t="s">
        <v>336</v>
      </c>
      <c r="C59" s="726" t="s">
        <v>432</v>
      </c>
      <c r="D59" s="726"/>
      <c r="E59" s="726"/>
      <c r="F59" s="726"/>
      <c r="G59" s="726"/>
      <c r="H59" s="726"/>
      <c r="I59" s="727"/>
      <c r="K59" s="537"/>
    </row>
    <row r="60" spans="1:11" ht="72" x14ac:dyDescent="0.45">
      <c r="A60" s="465" t="s">
        <v>336</v>
      </c>
      <c r="B60" s="466" t="s">
        <v>336</v>
      </c>
      <c r="C60" s="467" t="s">
        <v>433</v>
      </c>
      <c r="D60" s="467" t="s">
        <v>336</v>
      </c>
      <c r="E60" s="467" t="s">
        <v>434</v>
      </c>
      <c r="F60" s="468" t="s">
        <v>336</v>
      </c>
      <c r="G60" s="469" t="s">
        <v>336</v>
      </c>
      <c r="H60" s="469" t="s">
        <v>336</v>
      </c>
      <c r="I60" s="470" t="s">
        <v>358</v>
      </c>
      <c r="J60" s="495"/>
      <c r="K60" s="537"/>
    </row>
    <row r="61" spans="1:11" ht="72" x14ac:dyDescent="0.45">
      <c r="A61" s="465" t="s">
        <v>336</v>
      </c>
      <c r="B61" s="466" t="s">
        <v>336</v>
      </c>
      <c r="C61" s="467" t="s">
        <v>435</v>
      </c>
      <c r="D61" s="467" t="s">
        <v>336</v>
      </c>
      <c r="E61" s="467" t="s">
        <v>436</v>
      </c>
      <c r="F61" s="468" t="s">
        <v>336</v>
      </c>
      <c r="G61" s="469" t="s">
        <v>336</v>
      </c>
      <c r="H61" s="469" t="s">
        <v>336</v>
      </c>
      <c r="I61" s="470" t="s">
        <v>420</v>
      </c>
      <c r="J61" s="495"/>
      <c r="K61" s="537"/>
    </row>
    <row r="62" spans="1:11" ht="48" x14ac:dyDescent="0.45">
      <c r="A62" s="465" t="s">
        <v>336</v>
      </c>
      <c r="B62" s="466" t="s">
        <v>336</v>
      </c>
      <c r="C62" s="467" t="s">
        <v>437</v>
      </c>
      <c r="D62" s="467" t="s">
        <v>336</v>
      </c>
      <c r="E62" s="467" t="s">
        <v>438</v>
      </c>
      <c r="F62" s="468" t="s">
        <v>336</v>
      </c>
      <c r="G62" s="469" t="s">
        <v>336</v>
      </c>
      <c r="H62" s="469" t="s">
        <v>336</v>
      </c>
      <c r="I62" s="470" t="s">
        <v>439</v>
      </c>
      <c r="J62" s="495"/>
      <c r="K62" s="537"/>
    </row>
    <row r="63" spans="1:11" ht="24" x14ac:dyDescent="0.65">
      <c r="A63" s="463" t="s">
        <v>431</v>
      </c>
      <c r="B63" s="464" t="s">
        <v>336</v>
      </c>
      <c r="C63" s="726" t="s">
        <v>440</v>
      </c>
      <c r="D63" s="726"/>
      <c r="E63" s="726"/>
      <c r="F63" s="726"/>
      <c r="G63" s="726"/>
      <c r="H63" s="726"/>
      <c r="I63" s="727"/>
      <c r="K63" s="537"/>
    </row>
    <row r="64" spans="1:11" ht="72" x14ac:dyDescent="0.45">
      <c r="A64" s="465" t="s">
        <v>336</v>
      </c>
      <c r="B64" s="466" t="s">
        <v>336</v>
      </c>
      <c r="C64" s="467" t="s">
        <v>441</v>
      </c>
      <c r="D64" s="467" t="s">
        <v>336</v>
      </c>
      <c r="E64" s="467" t="s">
        <v>442</v>
      </c>
      <c r="F64" s="468" t="s">
        <v>336</v>
      </c>
      <c r="G64" s="469" t="s">
        <v>336</v>
      </c>
      <c r="H64" s="469" t="s">
        <v>336</v>
      </c>
      <c r="I64" s="470" t="s">
        <v>358</v>
      </c>
      <c r="J64" s="495"/>
      <c r="K64" s="537"/>
    </row>
    <row r="65" spans="1:11" ht="96" x14ac:dyDescent="0.45">
      <c r="A65" s="465" t="s">
        <v>336</v>
      </c>
      <c r="B65" s="466" t="s">
        <v>336</v>
      </c>
      <c r="C65" s="467" t="s">
        <v>443</v>
      </c>
      <c r="D65" s="467" t="s">
        <v>336</v>
      </c>
      <c r="E65" s="467" t="s">
        <v>444</v>
      </c>
      <c r="F65" s="468" t="s">
        <v>336</v>
      </c>
      <c r="G65" s="469" t="s">
        <v>336</v>
      </c>
      <c r="H65" s="469" t="s">
        <v>336</v>
      </c>
      <c r="I65" s="470" t="s">
        <v>420</v>
      </c>
      <c r="J65" s="495"/>
      <c r="K65" s="537"/>
    </row>
    <row r="66" spans="1:11" ht="147.75" customHeight="1" x14ac:dyDescent="0.45">
      <c r="A66" s="473" t="s">
        <v>445</v>
      </c>
      <c r="B66" s="474" t="s">
        <v>446</v>
      </c>
      <c r="C66" s="730" t="s">
        <v>447</v>
      </c>
      <c r="D66" s="730"/>
      <c r="E66" s="730"/>
      <c r="F66" s="730"/>
      <c r="G66" s="730"/>
      <c r="H66" s="730"/>
      <c r="I66" s="731"/>
    </row>
    <row r="67" spans="1:11" ht="24" x14ac:dyDescent="0.65">
      <c r="A67" s="463" t="s">
        <v>448</v>
      </c>
      <c r="B67" s="464" t="s">
        <v>398</v>
      </c>
      <c r="C67" s="726" t="s">
        <v>449</v>
      </c>
      <c r="D67" s="726"/>
      <c r="E67" s="726"/>
      <c r="F67" s="726"/>
      <c r="G67" s="726"/>
      <c r="H67" s="726"/>
      <c r="I67" s="727"/>
    </row>
    <row r="68" spans="1:11" ht="72" x14ac:dyDescent="0.45">
      <c r="A68" s="465" t="s">
        <v>336</v>
      </c>
      <c r="B68" s="466" t="s">
        <v>336</v>
      </c>
      <c r="C68" s="467" t="s">
        <v>450</v>
      </c>
      <c r="D68" s="467" t="s">
        <v>336</v>
      </c>
      <c r="E68" s="467" t="s">
        <v>451</v>
      </c>
      <c r="F68" s="468" t="s">
        <v>336</v>
      </c>
      <c r="G68" s="469" t="s">
        <v>336</v>
      </c>
      <c r="H68" s="469" t="s">
        <v>336</v>
      </c>
      <c r="I68" s="470" t="s">
        <v>349</v>
      </c>
      <c r="J68" s="495"/>
      <c r="K68" s="537"/>
    </row>
    <row r="69" spans="1:11" ht="48" x14ac:dyDescent="0.45">
      <c r="A69" s="465" t="s">
        <v>336</v>
      </c>
      <c r="B69" s="466" t="s">
        <v>336</v>
      </c>
      <c r="C69" s="467" t="s">
        <v>452</v>
      </c>
      <c r="D69" s="467" t="s">
        <v>336</v>
      </c>
      <c r="E69" s="467" t="s">
        <v>453</v>
      </c>
      <c r="F69" s="468" t="s">
        <v>336</v>
      </c>
      <c r="G69" s="469" t="s">
        <v>336</v>
      </c>
      <c r="H69" s="469" t="s">
        <v>336</v>
      </c>
      <c r="I69" s="470" t="s">
        <v>349</v>
      </c>
      <c r="J69" s="495"/>
      <c r="K69" s="537"/>
    </row>
    <row r="70" spans="1:11" ht="24" x14ac:dyDescent="0.65">
      <c r="A70" s="463" t="s">
        <v>454</v>
      </c>
      <c r="B70" s="464" t="s">
        <v>336</v>
      </c>
      <c r="C70" s="726" t="s">
        <v>455</v>
      </c>
      <c r="D70" s="726"/>
      <c r="E70" s="726"/>
      <c r="F70" s="726"/>
      <c r="G70" s="726"/>
      <c r="H70" s="726"/>
      <c r="I70" s="727"/>
      <c r="K70" s="537"/>
    </row>
    <row r="71" spans="1:11" ht="72" x14ac:dyDescent="0.45">
      <c r="A71" s="465" t="s">
        <v>336</v>
      </c>
      <c r="B71" s="466" t="s">
        <v>336</v>
      </c>
      <c r="C71" s="467" t="s">
        <v>456</v>
      </c>
      <c r="D71" s="467" t="s">
        <v>336</v>
      </c>
      <c r="E71" s="467" t="s">
        <v>457</v>
      </c>
      <c r="F71" s="468" t="s">
        <v>336</v>
      </c>
      <c r="G71" s="469" t="s">
        <v>336</v>
      </c>
      <c r="H71" s="469" t="s">
        <v>336</v>
      </c>
      <c r="I71" s="470" t="s">
        <v>420</v>
      </c>
      <c r="J71" s="495"/>
      <c r="K71" s="537"/>
    </row>
    <row r="72" spans="1:11" ht="48" x14ac:dyDescent="0.45">
      <c r="A72" s="465" t="s">
        <v>336</v>
      </c>
      <c r="B72" s="466" t="s">
        <v>336</v>
      </c>
      <c r="C72" s="467" t="s">
        <v>458</v>
      </c>
      <c r="D72" s="467" t="s">
        <v>336</v>
      </c>
      <c r="E72" s="467" t="s">
        <v>459</v>
      </c>
      <c r="F72" s="468" t="s">
        <v>336</v>
      </c>
      <c r="G72" s="469" t="s">
        <v>336</v>
      </c>
      <c r="H72" s="469" t="s">
        <v>336</v>
      </c>
      <c r="I72" s="470" t="s">
        <v>420</v>
      </c>
      <c r="J72" s="495"/>
      <c r="K72" s="537"/>
    </row>
    <row r="73" spans="1:11" ht="120" x14ac:dyDescent="0.45">
      <c r="A73" s="465" t="s">
        <v>336</v>
      </c>
      <c r="B73" s="466" t="s">
        <v>336</v>
      </c>
      <c r="C73" s="467" t="s">
        <v>460</v>
      </c>
      <c r="D73" s="467" t="s">
        <v>336</v>
      </c>
      <c r="E73" s="467" t="s">
        <v>461</v>
      </c>
      <c r="F73" s="468" t="s">
        <v>336</v>
      </c>
      <c r="G73" s="469" t="s">
        <v>336</v>
      </c>
      <c r="H73" s="469" t="s">
        <v>336</v>
      </c>
      <c r="I73" s="470" t="s">
        <v>358</v>
      </c>
      <c r="J73" s="495"/>
      <c r="K73" s="537"/>
    </row>
    <row r="74" spans="1:11" ht="96" x14ac:dyDescent="0.45">
      <c r="A74" s="465" t="s">
        <v>336</v>
      </c>
      <c r="B74" s="466" t="s">
        <v>336</v>
      </c>
      <c r="C74" s="467" t="s">
        <v>462</v>
      </c>
      <c r="D74" s="467" t="s">
        <v>336</v>
      </c>
      <c r="E74" s="467" t="s">
        <v>463</v>
      </c>
      <c r="F74" s="468" t="s">
        <v>336</v>
      </c>
      <c r="G74" s="469" t="s">
        <v>336</v>
      </c>
      <c r="H74" s="469" t="s">
        <v>336</v>
      </c>
      <c r="I74" s="470" t="s">
        <v>420</v>
      </c>
      <c r="J74" s="495"/>
      <c r="K74" s="537"/>
    </row>
    <row r="75" spans="1:11" ht="96" x14ac:dyDescent="0.45">
      <c r="A75" s="465" t="s">
        <v>336</v>
      </c>
      <c r="B75" s="466" t="s">
        <v>336</v>
      </c>
      <c r="C75" s="467" t="s">
        <v>464</v>
      </c>
      <c r="D75" s="467" t="s">
        <v>336</v>
      </c>
      <c r="E75" s="467" t="s">
        <v>465</v>
      </c>
      <c r="F75" s="468" t="s">
        <v>336</v>
      </c>
      <c r="G75" s="469" t="s">
        <v>336</v>
      </c>
      <c r="H75" s="469" t="s">
        <v>336</v>
      </c>
      <c r="I75" s="470" t="s">
        <v>420</v>
      </c>
      <c r="J75" s="495"/>
      <c r="K75" s="537"/>
    </row>
    <row r="76" spans="1:11" ht="72" x14ac:dyDescent="0.45">
      <c r="A76" s="465" t="s">
        <v>336</v>
      </c>
      <c r="B76" s="466" t="s">
        <v>336</v>
      </c>
      <c r="C76" s="467" t="s">
        <v>466</v>
      </c>
      <c r="D76" s="467" t="s">
        <v>336</v>
      </c>
      <c r="E76" s="467" t="s">
        <v>467</v>
      </c>
      <c r="F76" s="468" t="s">
        <v>336</v>
      </c>
      <c r="G76" s="469" t="s">
        <v>336</v>
      </c>
      <c r="H76" s="469" t="s">
        <v>336</v>
      </c>
      <c r="I76" s="470" t="s">
        <v>420</v>
      </c>
      <c r="J76" s="495"/>
      <c r="K76" s="537"/>
    </row>
    <row r="77" spans="1:11" ht="24" customHeight="1" x14ac:dyDescent="0.65">
      <c r="A77" s="463" t="s">
        <v>468</v>
      </c>
      <c r="B77" s="464" t="s">
        <v>336</v>
      </c>
      <c r="C77" s="726" t="s">
        <v>469</v>
      </c>
      <c r="D77" s="726"/>
      <c r="E77" s="726"/>
      <c r="F77" s="726"/>
      <c r="G77" s="726"/>
      <c r="H77" s="726"/>
      <c r="I77" s="727"/>
      <c r="J77" s="489"/>
      <c r="K77" s="537"/>
    </row>
    <row r="78" spans="1:11" ht="144" x14ac:dyDescent="0.45">
      <c r="A78" s="505" t="s">
        <v>336</v>
      </c>
      <c r="B78" s="506" t="s">
        <v>336</v>
      </c>
      <c r="C78" s="507" t="s">
        <v>470</v>
      </c>
      <c r="D78" s="507" t="s">
        <v>336</v>
      </c>
      <c r="E78" s="507" t="s">
        <v>471</v>
      </c>
      <c r="F78" s="508" t="s">
        <v>336</v>
      </c>
      <c r="G78" s="509" t="s">
        <v>336</v>
      </c>
      <c r="H78" s="509" t="s">
        <v>336</v>
      </c>
      <c r="I78" s="513" t="s">
        <v>349</v>
      </c>
      <c r="J78" s="495"/>
      <c r="K78" s="537"/>
    </row>
    <row r="79" spans="1:11" ht="72" x14ac:dyDescent="0.45">
      <c r="A79" s="505" t="s">
        <v>336</v>
      </c>
      <c r="B79" s="506" t="s">
        <v>336</v>
      </c>
      <c r="C79" s="507" t="s">
        <v>472</v>
      </c>
      <c r="D79" s="507" t="s">
        <v>336</v>
      </c>
      <c r="E79" s="507" t="s">
        <v>473</v>
      </c>
      <c r="F79" s="508" t="s">
        <v>336</v>
      </c>
      <c r="G79" s="509" t="s">
        <v>336</v>
      </c>
      <c r="H79" s="512" t="s">
        <v>336</v>
      </c>
      <c r="I79" s="511" t="s">
        <v>349</v>
      </c>
      <c r="J79" s="495"/>
      <c r="K79" s="537"/>
    </row>
    <row r="80" spans="1:11" ht="48" x14ac:dyDescent="0.45">
      <c r="A80" s="505" t="s">
        <v>336</v>
      </c>
      <c r="B80" s="506" t="s">
        <v>336</v>
      </c>
      <c r="C80" s="507" t="s">
        <v>474</v>
      </c>
      <c r="D80" s="507" t="s">
        <v>336</v>
      </c>
      <c r="E80" s="507" t="s">
        <v>475</v>
      </c>
      <c r="F80" s="508" t="s">
        <v>336</v>
      </c>
      <c r="G80" s="509" t="s">
        <v>336</v>
      </c>
      <c r="H80" s="512" t="s">
        <v>336</v>
      </c>
      <c r="I80" s="511" t="s">
        <v>358</v>
      </c>
      <c r="J80" s="495"/>
      <c r="K80" s="537"/>
    </row>
    <row r="81" spans="1:11" ht="72" x14ac:dyDescent="0.45">
      <c r="A81" s="505" t="s">
        <v>336</v>
      </c>
      <c r="B81" s="506" t="s">
        <v>336</v>
      </c>
      <c r="C81" s="507" t="s">
        <v>476</v>
      </c>
      <c r="D81" s="507" t="s">
        <v>336</v>
      </c>
      <c r="E81" s="507" t="s">
        <v>477</v>
      </c>
      <c r="F81" s="508" t="s">
        <v>336</v>
      </c>
      <c r="G81" s="509" t="s">
        <v>336</v>
      </c>
      <c r="H81" s="509" t="s">
        <v>336</v>
      </c>
      <c r="I81" s="510" t="s">
        <v>358</v>
      </c>
      <c r="J81" s="495"/>
      <c r="K81" s="537"/>
    </row>
    <row r="82" spans="1:11" ht="48" x14ac:dyDescent="0.45">
      <c r="A82" s="473" t="s">
        <v>478</v>
      </c>
      <c r="B82" s="474" t="s">
        <v>479</v>
      </c>
      <c r="C82" s="730" t="s">
        <v>480</v>
      </c>
      <c r="D82" s="730"/>
      <c r="E82" s="730"/>
      <c r="F82" s="730"/>
      <c r="G82" s="730"/>
      <c r="H82" s="730"/>
      <c r="I82" s="731"/>
    </row>
    <row r="83" spans="1:11" ht="24" x14ac:dyDescent="0.65">
      <c r="A83" s="463" t="s">
        <v>354</v>
      </c>
      <c r="B83" s="464" t="s">
        <v>336</v>
      </c>
      <c r="C83" s="726" t="s">
        <v>355</v>
      </c>
      <c r="D83" s="726"/>
      <c r="E83" s="732"/>
      <c r="F83" s="726"/>
      <c r="G83" s="726"/>
      <c r="H83" s="726"/>
      <c r="I83" s="727"/>
    </row>
    <row r="84" spans="1:11" ht="96" x14ac:dyDescent="0.45">
      <c r="A84" s="465" t="s">
        <v>336</v>
      </c>
      <c r="B84" s="466" t="s">
        <v>336</v>
      </c>
      <c r="C84" s="467" t="s">
        <v>421</v>
      </c>
      <c r="D84" s="490" t="s">
        <v>336</v>
      </c>
      <c r="E84" s="492" t="s">
        <v>481</v>
      </c>
      <c r="F84" s="468" t="s">
        <v>336</v>
      </c>
      <c r="G84" s="469" t="s">
        <v>336</v>
      </c>
      <c r="H84" s="469" t="s">
        <v>336</v>
      </c>
      <c r="I84" s="470" t="s">
        <v>358</v>
      </c>
      <c r="J84" s="495"/>
      <c r="K84" s="537"/>
    </row>
    <row r="85" spans="1:11" ht="48" x14ac:dyDescent="0.45">
      <c r="A85" s="465" t="s">
        <v>336</v>
      </c>
      <c r="B85" s="466" t="s">
        <v>336</v>
      </c>
      <c r="C85" s="467" t="s">
        <v>482</v>
      </c>
      <c r="D85" s="490" t="s">
        <v>336</v>
      </c>
      <c r="E85" s="492" t="s">
        <v>483</v>
      </c>
      <c r="F85" s="468" t="s">
        <v>336</v>
      </c>
      <c r="G85" s="469" t="s">
        <v>336</v>
      </c>
      <c r="H85" s="469" t="s">
        <v>336</v>
      </c>
      <c r="I85" s="470" t="s">
        <v>358</v>
      </c>
      <c r="J85" s="495"/>
      <c r="K85" s="537"/>
    </row>
    <row r="86" spans="1:11" ht="48" x14ac:dyDescent="0.45">
      <c r="A86" s="465" t="s">
        <v>336</v>
      </c>
      <c r="B86" s="466" t="s">
        <v>336</v>
      </c>
      <c r="C86" s="467" t="s">
        <v>484</v>
      </c>
      <c r="D86" s="467" t="s">
        <v>336</v>
      </c>
      <c r="E86" s="467" t="s">
        <v>485</v>
      </c>
      <c r="F86" s="468" t="s">
        <v>336</v>
      </c>
      <c r="G86" s="469" t="s">
        <v>336</v>
      </c>
      <c r="H86" s="469" t="s">
        <v>336</v>
      </c>
      <c r="I86" s="470" t="s">
        <v>358</v>
      </c>
      <c r="J86" s="495"/>
      <c r="K86" s="537"/>
    </row>
    <row r="87" spans="1:11" ht="96" x14ac:dyDescent="0.45">
      <c r="A87" s="473" t="s">
        <v>486</v>
      </c>
      <c r="B87" s="474" t="s">
        <v>487</v>
      </c>
      <c r="C87" s="730" t="s">
        <v>488</v>
      </c>
      <c r="D87" s="730"/>
      <c r="E87" s="730"/>
      <c r="F87" s="730"/>
      <c r="G87" s="730"/>
      <c r="H87" s="730"/>
      <c r="I87" s="731"/>
    </row>
    <row r="88" spans="1:11" ht="24" x14ac:dyDescent="0.65">
      <c r="A88" s="463" t="s">
        <v>334</v>
      </c>
      <c r="B88" s="464"/>
      <c r="C88" s="726" t="s">
        <v>343</v>
      </c>
      <c r="D88" s="726"/>
      <c r="E88" s="726"/>
      <c r="F88" s="726"/>
      <c r="G88" s="726"/>
      <c r="H88" s="726"/>
      <c r="I88" s="727"/>
    </row>
    <row r="89" spans="1:11" ht="120" x14ac:dyDescent="0.45">
      <c r="A89" s="465" t="s">
        <v>336</v>
      </c>
      <c r="B89" s="466" t="s">
        <v>336</v>
      </c>
      <c r="C89" s="467" t="s">
        <v>489</v>
      </c>
      <c r="D89" s="467" t="s">
        <v>336</v>
      </c>
      <c r="E89" s="467" t="s">
        <v>490</v>
      </c>
      <c r="F89" s="468" t="s">
        <v>336</v>
      </c>
      <c r="G89" s="469" t="s">
        <v>336</v>
      </c>
      <c r="H89" s="469" t="s">
        <v>336</v>
      </c>
      <c r="I89" s="470" t="s">
        <v>491</v>
      </c>
      <c r="J89" s="495"/>
      <c r="K89" s="537"/>
    </row>
    <row r="90" spans="1:11" ht="48" x14ac:dyDescent="0.45">
      <c r="A90" s="465" t="s">
        <v>336</v>
      </c>
      <c r="B90" s="466" t="s">
        <v>336</v>
      </c>
      <c r="C90" s="467" t="s">
        <v>492</v>
      </c>
      <c r="D90" s="467" t="s">
        <v>336</v>
      </c>
      <c r="E90" s="467" t="s">
        <v>493</v>
      </c>
      <c r="F90" s="468" t="s">
        <v>336</v>
      </c>
      <c r="G90" s="469" t="s">
        <v>336</v>
      </c>
      <c r="H90" s="469" t="s">
        <v>336</v>
      </c>
      <c r="I90" s="470" t="s">
        <v>349</v>
      </c>
      <c r="J90" s="495"/>
      <c r="K90" s="537"/>
    </row>
    <row r="91" spans="1:11" ht="24" x14ac:dyDescent="0.65">
      <c r="A91" s="463" t="s">
        <v>345</v>
      </c>
      <c r="B91" s="464" t="s">
        <v>336</v>
      </c>
      <c r="C91" s="726" t="s">
        <v>346</v>
      </c>
      <c r="D91" s="726"/>
      <c r="E91" s="726"/>
      <c r="F91" s="726"/>
      <c r="G91" s="726"/>
      <c r="H91" s="726"/>
      <c r="I91" s="727"/>
      <c r="K91" s="537"/>
    </row>
    <row r="92" spans="1:11" ht="48" x14ac:dyDescent="0.45">
      <c r="A92" s="465"/>
      <c r="B92" s="465"/>
      <c r="C92" s="514" t="s">
        <v>494</v>
      </c>
      <c r="D92" s="514"/>
      <c r="E92" s="514" t="s">
        <v>495</v>
      </c>
      <c r="F92" s="514"/>
      <c r="G92" s="514"/>
      <c r="H92" s="514"/>
      <c r="I92" s="515" t="s">
        <v>349</v>
      </c>
      <c r="K92" s="537"/>
    </row>
    <row r="93" spans="1:11" ht="72" x14ac:dyDescent="0.45">
      <c r="A93" s="465" t="s">
        <v>336</v>
      </c>
      <c r="B93" s="466" t="s">
        <v>336</v>
      </c>
      <c r="C93" s="467" t="s">
        <v>496</v>
      </c>
      <c r="D93" s="467" t="s">
        <v>336</v>
      </c>
      <c r="E93" s="467" t="s">
        <v>497</v>
      </c>
      <c r="F93" s="468" t="s">
        <v>336</v>
      </c>
      <c r="G93" s="469" t="s">
        <v>336</v>
      </c>
      <c r="H93" s="469" t="s">
        <v>336</v>
      </c>
      <c r="I93" s="470" t="s">
        <v>349</v>
      </c>
      <c r="J93" s="495"/>
      <c r="K93" s="537"/>
    </row>
    <row r="94" spans="1:11" ht="96" x14ac:dyDescent="0.45">
      <c r="A94" s="465" t="s">
        <v>336</v>
      </c>
      <c r="B94" s="466" t="s">
        <v>336</v>
      </c>
      <c r="C94" s="467" t="s">
        <v>498</v>
      </c>
      <c r="D94" s="467" t="s">
        <v>336</v>
      </c>
      <c r="E94" s="467" t="s">
        <v>499</v>
      </c>
      <c r="F94" s="468" t="s">
        <v>336</v>
      </c>
      <c r="G94" s="469" t="s">
        <v>336</v>
      </c>
      <c r="H94" s="469" t="s">
        <v>336</v>
      </c>
      <c r="I94" s="470" t="s">
        <v>349</v>
      </c>
      <c r="J94" s="495"/>
      <c r="K94" s="537"/>
    </row>
    <row r="95" spans="1:11" ht="24" x14ac:dyDescent="0.65">
      <c r="A95" s="463" t="s">
        <v>354</v>
      </c>
      <c r="B95" s="464" t="s">
        <v>336</v>
      </c>
      <c r="C95" s="726" t="s">
        <v>355</v>
      </c>
      <c r="D95" s="726"/>
      <c r="E95" s="726"/>
      <c r="F95" s="726"/>
      <c r="G95" s="726"/>
      <c r="H95" s="726"/>
      <c r="I95" s="727"/>
    </row>
    <row r="96" spans="1:11" ht="72" x14ac:dyDescent="0.45">
      <c r="A96" s="465" t="s">
        <v>336</v>
      </c>
      <c r="B96" s="466" t="s">
        <v>336</v>
      </c>
      <c r="C96" s="467" t="s">
        <v>500</v>
      </c>
      <c r="D96" s="467" t="s">
        <v>336</v>
      </c>
      <c r="E96" s="467" t="s">
        <v>501</v>
      </c>
      <c r="F96" s="468" t="s">
        <v>336</v>
      </c>
      <c r="G96" s="469" t="s">
        <v>336</v>
      </c>
      <c r="H96" s="469" t="s">
        <v>336</v>
      </c>
      <c r="I96" s="470" t="s">
        <v>502</v>
      </c>
      <c r="J96" s="495"/>
      <c r="K96" s="537"/>
    </row>
    <row r="97" spans="1:11" ht="96" x14ac:dyDescent="0.45">
      <c r="A97" s="465" t="s">
        <v>336</v>
      </c>
      <c r="B97" s="466" t="s">
        <v>336</v>
      </c>
      <c r="C97" s="467" t="s">
        <v>503</v>
      </c>
      <c r="D97" s="467" t="s">
        <v>336</v>
      </c>
      <c r="E97" s="467" t="s">
        <v>504</v>
      </c>
      <c r="F97" s="468" t="s">
        <v>336</v>
      </c>
      <c r="G97" s="469" t="s">
        <v>336</v>
      </c>
      <c r="H97" s="469" t="s">
        <v>336</v>
      </c>
      <c r="I97" s="470" t="s">
        <v>349</v>
      </c>
      <c r="J97" s="495"/>
      <c r="K97" s="537"/>
    </row>
    <row r="98" spans="1:11" ht="144" x14ac:dyDescent="0.45">
      <c r="A98" s="471" t="s">
        <v>505</v>
      </c>
      <c r="B98" s="472" t="s">
        <v>506</v>
      </c>
      <c r="C98" s="730" t="s">
        <v>507</v>
      </c>
      <c r="D98" s="730"/>
      <c r="E98" s="730"/>
      <c r="F98" s="730"/>
      <c r="G98" s="730"/>
      <c r="H98" s="730"/>
      <c r="I98" s="731"/>
    </row>
    <row r="99" spans="1:11" ht="24" x14ac:dyDescent="0.65">
      <c r="A99" s="463" t="s">
        <v>508</v>
      </c>
      <c r="B99" s="464" t="s">
        <v>336</v>
      </c>
      <c r="C99" s="726" t="s">
        <v>509</v>
      </c>
      <c r="D99" s="726"/>
      <c r="E99" s="726"/>
      <c r="F99" s="726"/>
      <c r="G99" s="726"/>
      <c r="H99" s="726"/>
      <c r="I99" s="727"/>
    </row>
    <row r="100" spans="1:11" ht="72" x14ac:dyDescent="0.45">
      <c r="A100" s="465" t="s">
        <v>336</v>
      </c>
      <c r="B100" s="466" t="s">
        <v>336</v>
      </c>
      <c r="C100" s="467" t="s">
        <v>510</v>
      </c>
      <c r="D100" s="467" t="s">
        <v>336</v>
      </c>
      <c r="E100" s="467" t="s">
        <v>511</v>
      </c>
      <c r="F100" s="468" t="s">
        <v>336</v>
      </c>
      <c r="G100" s="469" t="s">
        <v>336</v>
      </c>
      <c r="H100" s="469" t="s">
        <v>336</v>
      </c>
      <c r="I100" s="470" t="s">
        <v>502</v>
      </c>
      <c r="J100" s="495"/>
      <c r="K100" s="537"/>
    </row>
    <row r="101" spans="1:11" ht="24" x14ac:dyDescent="0.65">
      <c r="A101" s="463" t="s">
        <v>354</v>
      </c>
      <c r="B101" s="464" t="s">
        <v>336</v>
      </c>
      <c r="C101" s="726" t="s">
        <v>512</v>
      </c>
      <c r="D101" s="726"/>
      <c r="E101" s="726"/>
      <c r="F101" s="726"/>
      <c r="G101" s="726"/>
      <c r="H101" s="726"/>
      <c r="I101" s="727"/>
      <c r="K101" s="537"/>
    </row>
    <row r="102" spans="1:11" ht="72" x14ac:dyDescent="0.45">
      <c r="A102" s="465" t="s">
        <v>336</v>
      </c>
      <c r="B102" s="466" t="s">
        <v>336</v>
      </c>
      <c r="C102" s="467" t="s">
        <v>513</v>
      </c>
      <c r="D102" s="467" t="s">
        <v>336</v>
      </c>
      <c r="E102" s="467" t="s">
        <v>514</v>
      </c>
      <c r="F102" s="468" t="s">
        <v>336</v>
      </c>
      <c r="G102" s="469" t="s">
        <v>336</v>
      </c>
      <c r="H102" s="469" t="s">
        <v>336</v>
      </c>
      <c r="I102" s="470" t="s">
        <v>502</v>
      </c>
      <c r="J102" s="495"/>
      <c r="K102" s="537"/>
    </row>
    <row r="103" spans="1:11" ht="48" x14ac:dyDescent="0.45">
      <c r="A103" s="465" t="s">
        <v>336</v>
      </c>
      <c r="B103" s="466" t="s">
        <v>336</v>
      </c>
      <c r="C103" s="467" t="s">
        <v>515</v>
      </c>
      <c r="D103" s="467" t="s">
        <v>336</v>
      </c>
      <c r="E103" s="467" t="s">
        <v>516</v>
      </c>
      <c r="F103" s="468" t="s">
        <v>336</v>
      </c>
      <c r="G103" s="469" t="s">
        <v>336</v>
      </c>
      <c r="H103" s="469" t="s">
        <v>336</v>
      </c>
      <c r="I103" s="470" t="s">
        <v>502</v>
      </c>
      <c r="J103" s="495"/>
      <c r="K103" s="537"/>
    </row>
    <row r="104" spans="1:11" ht="96" x14ac:dyDescent="0.45">
      <c r="A104" s="471" t="s">
        <v>517</v>
      </c>
      <c r="B104" s="472" t="s">
        <v>518</v>
      </c>
      <c r="C104" s="730" t="s">
        <v>519</v>
      </c>
      <c r="D104" s="730"/>
      <c r="E104" s="730"/>
      <c r="F104" s="730"/>
      <c r="G104" s="730"/>
      <c r="H104" s="730"/>
      <c r="I104" s="731"/>
    </row>
    <row r="105" spans="1:11" ht="24" x14ac:dyDescent="0.65">
      <c r="A105" s="463" t="s">
        <v>354</v>
      </c>
      <c r="B105" s="464" t="s">
        <v>336</v>
      </c>
      <c r="C105" s="726" t="s">
        <v>520</v>
      </c>
      <c r="D105" s="726"/>
      <c r="E105" s="726"/>
      <c r="F105" s="726"/>
      <c r="G105" s="726"/>
      <c r="H105" s="726"/>
      <c r="I105" s="727"/>
    </row>
    <row r="106" spans="1:11" ht="96" x14ac:dyDescent="0.45">
      <c r="A106" s="465" t="s">
        <v>336</v>
      </c>
      <c r="B106" s="466" t="s">
        <v>336</v>
      </c>
      <c r="C106" s="467" t="s">
        <v>521</v>
      </c>
      <c r="D106" s="467" t="s">
        <v>336</v>
      </c>
      <c r="E106" s="467" t="s">
        <v>522</v>
      </c>
      <c r="F106" s="468" t="s">
        <v>336</v>
      </c>
      <c r="G106" s="469" t="s">
        <v>336</v>
      </c>
      <c r="H106" s="469" t="s">
        <v>336</v>
      </c>
      <c r="I106" s="470" t="s">
        <v>420</v>
      </c>
      <c r="J106" s="540"/>
    </row>
    <row r="107" spans="1:11" ht="24" x14ac:dyDescent="0.65">
      <c r="A107" s="463" t="s">
        <v>354</v>
      </c>
      <c r="B107" s="464" t="s">
        <v>336</v>
      </c>
      <c r="C107" s="726" t="s">
        <v>523</v>
      </c>
      <c r="D107" s="726"/>
      <c r="E107" s="726"/>
      <c r="F107" s="726"/>
      <c r="G107" s="726"/>
      <c r="H107" s="726"/>
      <c r="I107" s="727"/>
      <c r="J107" s="540"/>
    </row>
    <row r="108" spans="1:11" ht="72" x14ac:dyDescent="0.45">
      <c r="A108" s="465" t="s">
        <v>336</v>
      </c>
      <c r="B108" s="466" t="s">
        <v>336</v>
      </c>
      <c r="C108" s="467" t="s">
        <v>524</v>
      </c>
      <c r="D108" s="467" t="s">
        <v>336</v>
      </c>
      <c r="E108" s="467" t="s">
        <v>525</v>
      </c>
      <c r="F108" s="468" t="s">
        <v>336</v>
      </c>
      <c r="G108" s="469" t="s">
        <v>336</v>
      </c>
      <c r="H108" s="469" t="s">
        <v>336</v>
      </c>
      <c r="I108" s="470" t="s">
        <v>420</v>
      </c>
      <c r="J108" s="540"/>
    </row>
    <row r="109" spans="1:11" ht="72" x14ac:dyDescent="0.45">
      <c r="A109" s="465" t="s">
        <v>336</v>
      </c>
      <c r="B109" s="466" t="s">
        <v>336</v>
      </c>
      <c r="C109" s="467" t="s">
        <v>526</v>
      </c>
      <c r="D109" s="467" t="s">
        <v>336</v>
      </c>
      <c r="E109" s="467" t="s">
        <v>527</v>
      </c>
      <c r="F109" s="468" t="s">
        <v>336</v>
      </c>
      <c r="G109" s="469" t="s">
        <v>336</v>
      </c>
      <c r="H109" s="469" t="s">
        <v>336</v>
      </c>
      <c r="I109" s="470" t="s">
        <v>420</v>
      </c>
      <c r="J109" s="540"/>
    </row>
    <row r="110" spans="1:11" ht="72" x14ac:dyDescent="0.45">
      <c r="A110" s="465" t="s">
        <v>336</v>
      </c>
      <c r="B110" s="466" t="s">
        <v>336</v>
      </c>
      <c r="C110" s="467" t="s">
        <v>528</v>
      </c>
      <c r="D110" s="467" t="s">
        <v>336</v>
      </c>
      <c r="E110" s="467" t="s">
        <v>529</v>
      </c>
      <c r="F110" s="468" t="s">
        <v>336</v>
      </c>
      <c r="G110" s="469" t="s">
        <v>336</v>
      </c>
      <c r="H110" s="469" t="s">
        <v>336</v>
      </c>
      <c r="I110" s="470" t="s">
        <v>420</v>
      </c>
      <c r="J110" s="540"/>
    </row>
    <row r="111" spans="1:11" ht="24" x14ac:dyDescent="0.45">
      <c r="A111" s="473" t="s">
        <v>530</v>
      </c>
      <c r="B111" s="474" t="s">
        <v>531</v>
      </c>
      <c r="C111" s="730" t="s">
        <v>532</v>
      </c>
      <c r="D111" s="730"/>
      <c r="E111" s="730"/>
      <c r="F111" s="730"/>
      <c r="G111" s="730"/>
      <c r="H111" s="730"/>
      <c r="I111" s="731"/>
    </row>
    <row r="112" spans="1:11" ht="24" x14ac:dyDescent="0.45">
      <c r="A112" s="475" t="s">
        <v>334</v>
      </c>
      <c r="B112" s="476"/>
      <c r="C112" s="726" t="s">
        <v>343</v>
      </c>
      <c r="D112" s="726"/>
      <c r="E112" s="726"/>
      <c r="F112" s="726"/>
      <c r="G112" s="726"/>
      <c r="H112" s="726"/>
      <c r="I112" s="727"/>
    </row>
    <row r="113" spans="1:11" ht="48" x14ac:dyDescent="0.45">
      <c r="A113" s="477" t="s">
        <v>336</v>
      </c>
      <c r="B113" s="469" t="s">
        <v>336</v>
      </c>
      <c r="C113" s="467" t="s">
        <v>533</v>
      </c>
      <c r="D113" s="467" t="s">
        <v>336</v>
      </c>
      <c r="E113" s="467" t="s">
        <v>534</v>
      </c>
      <c r="F113" s="468" t="s">
        <v>336</v>
      </c>
      <c r="G113" s="469" t="s">
        <v>336</v>
      </c>
      <c r="H113" s="469" t="s">
        <v>336</v>
      </c>
      <c r="I113" s="470" t="s">
        <v>339</v>
      </c>
      <c r="J113" s="495"/>
      <c r="K113" s="537"/>
    </row>
    <row r="114" spans="1:11" ht="72" x14ac:dyDescent="0.45">
      <c r="A114" s="477" t="s">
        <v>336</v>
      </c>
      <c r="B114" s="469" t="s">
        <v>336</v>
      </c>
      <c r="C114" s="467" t="s">
        <v>535</v>
      </c>
      <c r="D114" s="467" t="s">
        <v>336</v>
      </c>
      <c r="E114" s="467" t="s">
        <v>536</v>
      </c>
      <c r="F114" s="468" t="s">
        <v>336</v>
      </c>
      <c r="G114" s="469" t="s">
        <v>336</v>
      </c>
      <c r="H114" s="469" t="s">
        <v>336</v>
      </c>
      <c r="I114" s="470" t="s">
        <v>339</v>
      </c>
      <c r="J114" s="495"/>
      <c r="K114" s="537"/>
    </row>
    <row r="115" spans="1:11" ht="72" x14ac:dyDescent="0.45">
      <c r="A115" s="477" t="s">
        <v>336</v>
      </c>
      <c r="B115" s="469" t="s">
        <v>336</v>
      </c>
      <c r="C115" s="467" t="s">
        <v>537</v>
      </c>
      <c r="D115" s="467" t="s">
        <v>336</v>
      </c>
      <c r="E115" s="467" t="s">
        <v>538</v>
      </c>
      <c r="F115" s="468" t="s">
        <v>336</v>
      </c>
      <c r="G115" s="469" t="s">
        <v>336</v>
      </c>
      <c r="H115" s="469" t="s">
        <v>336</v>
      </c>
      <c r="I115" s="470" t="s">
        <v>339</v>
      </c>
      <c r="J115" s="495"/>
      <c r="K115" s="537"/>
    </row>
    <row r="116" spans="1:11" ht="72" x14ac:dyDescent="0.45">
      <c r="A116" s="473" t="s">
        <v>539</v>
      </c>
      <c r="B116" s="474" t="s">
        <v>540</v>
      </c>
      <c r="C116" s="730" t="s">
        <v>541</v>
      </c>
      <c r="D116" s="730"/>
      <c r="E116" s="730"/>
      <c r="F116" s="730"/>
      <c r="G116" s="730"/>
      <c r="H116" s="730"/>
      <c r="I116" s="731"/>
    </row>
    <row r="117" spans="1:11" ht="24" x14ac:dyDescent="0.45">
      <c r="A117" s="475" t="s">
        <v>542</v>
      </c>
      <c r="B117" s="476" t="s">
        <v>336</v>
      </c>
      <c r="C117" s="726" t="s">
        <v>543</v>
      </c>
      <c r="D117" s="726"/>
      <c r="E117" s="726"/>
      <c r="F117" s="726"/>
      <c r="G117" s="726"/>
      <c r="H117" s="726"/>
      <c r="I117" s="727"/>
    </row>
    <row r="118" spans="1:11" ht="72" x14ac:dyDescent="0.45">
      <c r="A118" s="477" t="s">
        <v>336</v>
      </c>
      <c r="B118" s="469" t="s">
        <v>336</v>
      </c>
      <c r="C118" s="467" t="s">
        <v>543</v>
      </c>
      <c r="D118" s="467" t="s">
        <v>336</v>
      </c>
      <c r="E118" s="467" t="s">
        <v>544</v>
      </c>
      <c r="F118" s="468" t="s">
        <v>336</v>
      </c>
      <c r="G118" s="469" t="s">
        <v>336</v>
      </c>
      <c r="H118" s="469" t="s">
        <v>336</v>
      </c>
      <c r="I118" s="470" t="s">
        <v>349</v>
      </c>
      <c r="J118" s="495"/>
      <c r="K118" s="537"/>
    </row>
    <row r="119" spans="1:11" ht="120" x14ac:dyDescent="0.45">
      <c r="A119" s="473" t="s">
        <v>545</v>
      </c>
      <c r="B119" s="474" t="s">
        <v>546</v>
      </c>
      <c r="C119" s="730" t="s">
        <v>547</v>
      </c>
      <c r="D119" s="730"/>
      <c r="E119" s="730"/>
      <c r="F119" s="730"/>
      <c r="G119" s="730"/>
      <c r="H119" s="730"/>
      <c r="I119" s="731"/>
    </row>
    <row r="120" spans="1:11" ht="24" x14ac:dyDescent="0.45">
      <c r="A120" s="475" t="s">
        <v>548</v>
      </c>
      <c r="B120" s="476" t="s">
        <v>336</v>
      </c>
      <c r="C120" s="726" t="s">
        <v>549</v>
      </c>
      <c r="D120" s="726"/>
      <c r="E120" s="726"/>
      <c r="F120" s="726"/>
      <c r="G120" s="726"/>
      <c r="H120" s="726"/>
      <c r="I120" s="727"/>
    </row>
    <row r="121" spans="1:11" ht="96" x14ac:dyDescent="0.45">
      <c r="A121" s="477" t="s">
        <v>336</v>
      </c>
      <c r="B121" s="469" t="s">
        <v>336</v>
      </c>
      <c r="C121" s="467" t="s">
        <v>550</v>
      </c>
      <c r="D121" s="467" t="s">
        <v>336</v>
      </c>
      <c r="E121" s="467" t="s">
        <v>551</v>
      </c>
      <c r="F121" s="468" t="s">
        <v>336</v>
      </c>
      <c r="G121" s="469" t="s">
        <v>336</v>
      </c>
      <c r="H121" s="469" t="s">
        <v>336</v>
      </c>
      <c r="I121" s="470" t="s">
        <v>502</v>
      </c>
      <c r="J121" s="495"/>
      <c r="K121" s="537"/>
    </row>
    <row r="122" spans="1:11" ht="72" x14ac:dyDescent="0.45">
      <c r="A122" s="477" t="s">
        <v>336</v>
      </c>
      <c r="B122" s="469" t="s">
        <v>336</v>
      </c>
      <c r="C122" s="467" t="s">
        <v>552</v>
      </c>
      <c r="D122" s="467" t="s">
        <v>336</v>
      </c>
      <c r="E122" s="467" t="s">
        <v>553</v>
      </c>
      <c r="F122" s="468" t="s">
        <v>336</v>
      </c>
      <c r="G122" s="469" t="s">
        <v>336</v>
      </c>
      <c r="H122" s="469" t="s">
        <v>336</v>
      </c>
      <c r="I122" s="470" t="s">
        <v>502</v>
      </c>
      <c r="J122" s="495"/>
      <c r="K122" s="537"/>
    </row>
    <row r="123" spans="1:11" ht="48" x14ac:dyDescent="0.45">
      <c r="A123" s="477" t="s">
        <v>336</v>
      </c>
      <c r="B123" s="469" t="s">
        <v>336</v>
      </c>
      <c r="C123" s="467" t="s">
        <v>554</v>
      </c>
      <c r="D123" s="467" t="s">
        <v>336</v>
      </c>
      <c r="E123" s="467" t="s">
        <v>555</v>
      </c>
      <c r="F123" s="468" t="s">
        <v>336</v>
      </c>
      <c r="G123" s="469" t="s">
        <v>336</v>
      </c>
      <c r="H123" s="469" t="s">
        <v>336</v>
      </c>
      <c r="I123" s="470" t="s">
        <v>502</v>
      </c>
      <c r="J123" s="495"/>
      <c r="K123" s="537"/>
    </row>
    <row r="124" spans="1:11" ht="24" x14ac:dyDescent="0.45">
      <c r="A124" s="473" t="s">
        <v>556</v>
      </c>
      <c r="B124" s="474" t="s">
        <v>557</v>
      </c>
      <c r="C124" s="730" t="s">
        <v>558</v>
      </c>
      <c r="D124" s="730"/>
      <c r="E124" s="730"/>
      <c r="F124" s="730"/>
      <c r="G124" s="730"/>
      <c r="H124" s="730"/>
      <c r="I124" s="731"/>
    </row>
    <row r="125" spans="1:11" ht="24" x14ac:dyDescent="0.45">
      <c r="A125" s="475" t="s">
        <v>334</v>
      </c>
      <c r="B125" s="476" t="s">
        <v>336</v>
      </c>
      <c r="C125" s="726" t="s">
        <v>343</v>
      </c>
      <c r="D125" s="726"/>
      <c r="E125" s="726"/>
      <c r="F125" s="726"/>
      <c r="G125" s="726"/>
      <c r="H125" s="726"/>
      <c r="I125" s="727"/>
    </row>
    <row r="126" spans="1:11" ht="96" x14ac:dyDescent="0.45">
      <c r="A126" s="533" t="s">
        <v>336</v>
      </c>
      <c r="B126" s="509" t="s">
        <v>336</v>
      </c>
      <c r="C126" s="507" t="s">
        <v>559</v>
      </c>
      <c r="D126" s="507" t="s">
        <v>336</v>
      </c>
      <c r="E126" s="507" t="s">
        <v>560</v>
      </c>
      <c r="F126" s="508" t="s">
        <v>336</v>
      </c>
      <c r="G126" s="509" t="s">
        <v>336</v>
      </c>
      <c r="H126" s="509" t="s">
        <v>336</v>
      </c>
      <c r="I126" s="510" t="s">
        <v>339</v>
      </c>
      <c r="J126" s="495"/>
      <c r="K126" s="537"/>
    </row>
    <row r="127" spans="1:11" ht="58.5" customHeight="1" x14ac:dyDescent="0.45">
      <c r="A127" s="533" t="s">
        <v>336</v>
      </c>
      <c r="B127" s="509" t="s">
        <v>336</v>
      </c>
      <c r="C127" s="507" t="s">
        <v>561</v>
      </c>
      <c r="D127" s="507" t="s">
        <v>336</v>
      </c>
      <c r="E127" s="507" t="s">
        <v>562</v>
      </c>
      <c r="F127" s="508" t="s">
        <v>336</v>
      </c>
      <c r="G127" s="509" t="s">
        <v>336</v>
      </c>
      <c r="H127" s="509" t="s">
        <v>336</v>
      </c>
      <c r="I127" s="510" t="s">
        <v>349</v>
      </c>
      <c r="J127" s="495"/>
      <c r="K127" s="537"/>
    </row>
    <row r="128" spans="1:11" ht="24" x14ac:dyDescent="0.45">
      <c r="A128" s="475" t="s">
        <v>345</v>
      </c>
      <c r="B128" s="476" t="s">
        <v>336</v>
      </c>
      <c r="C128" s="726" t="s">
        <v>346</v>
      </c>
      <c r="D128" s="726"/>
      <c r="E128" s="726"/>
      <c r="F128" s="726"/>
      <c r="G128" s="726"/>
      <c r="H128" s="726"/>
      <c r="I128" s="727"/>
    </row>
    <row r="129" spans="1:11" ht="96" x14ac:dyDescent="0.45">
      <c r="A129" s="477" t="s">
        <v>336</v>
      </c>
      <c r="B129" s="469" t="s">
        <v>336</v>
      </c>
      <c r="C129" s="467" t="s">
        <v>399</v>
      </c>
      <c r="D129" s="467" t="s">
        <v>336</v>
      </c>
      <c r="E129" s="467" t="s">
        <v>563</v>
      </c>
      <c r="F129" s="468" t="s">
        <v>336</v>
      </c>
      <c r="G129" s="469" t="s">
        <v>336</v>
      </c>
      <c r="H129" s="469" t="s">
        <v>336</v>
      </c>
      <c r="I129" s="470" t="s">
        <v>349</v>
      </c>
      <c r="J129" s="495"/>
      <c r="K129" s="537"/>
    </row>
    <row r="130" spans="1:11" ht="24" x14ac:dyDescent="0.45">
      <c r="A130" s="522" t="s">
        <v>564</v>
      </c>
      <c r="B130" s="523" t="s">
        <v>336</v>
      </c>
      <c r="C130" s="728" t="s">
        <v>565</v>
      </c>
      <c r="D130" s="728"/>
      <c r="E130" s="728"/>
      <c r="F130" s="728"/>
      <c r="G130" s="728"/>
      <c r="H130" s="728"/>
      <c r="I130" s="729"/>
    </row>
    <row r="131" spans="1:11" ht="24" x14ac:dyDescent="0.45">
      <c r="A131" s="475" t="s">
        <v>566</v>
      </c>
      <c r="B131" s="476" t="s">
        <v>336</v>
      </c>
      <c r="C131" s="726" t="s">
        <v>567</v>
      </c>
      <c r="D131" s="726"/>
      <c r="E131" s="726"/>
      <c r="F131" s="726"/>
      <c r="G131" s="726"/>
      <c r="H131" s="726"/>
      <c r="I131" s="727"/>
    </row>
    <row r="132" spans="1:11" ht="96" x14ac:dyDescent="0.45">
      <c r="A132" s="465" t="s">
        <v>336</v>
      </c>
      <c r="B132" s="466" t="s">
        <v>336</v>
      </c>
      <c r="C132" s="467" t="s">
        <v>568</v>
      </c>
      <c r="D132" s="467" t="s">
        <v>336</v>
      </c>
      <c r="E132" s="467" t="s">
        <v>569</v>
      </c>
      <c r="F132" s="467" t="s">
        <v>336</v>
      </c>
      <c r="G132" s="467" t="s">
        <v>336</v>
      </c>
      <c r="H132" s="467" t="s">
        <v>336</v>
      </c>
      <c r="I132" s="467" t="s">
        <v>349</v>
      </c>
      <c r="J132" s="495"/>
      <c r="K132" s="537"/>
    </row>
    <row r="133" spans="1:11" ht="120" x14ac:dyDescent="0.45">
      <c r="A133" s="465" t="s">
        <v>336</v>
      </c>
      <c r="B133" s="466" t="s">
        <v>336</v>
      </c>
      <c r="C133" s="467" t="s">
        <v>570</v>
      </c>
      <c r="D133" s="467" t="s">
        <v>336</v>
      </c>
      <c r="E133" s="467" t="s">
        <v>571</v>
      </c>
      <c r="F133" s="467" t="s">
        <v>336</v>
      </c>
      <c r="G133" s="467" t="s">
        <v>336</v>
      </c>
      <c r="H133" s="467" t="s">
        <v>336</v>
      </c>
      <c r="I133" s="467" t="s">
        <v>349</v>
      </c>
      <c r="J133" s="495"/>
      <c r="K133" s="537"/>
    </row>
    <row r="134" spans="1:11" ht="24" x14ac:dyDescent="0.45">
      <c r="A134" s="475" t="s">
        <v>334</v>
      </c>
      <c r="B134" s="476" t="s">
        <v>336</v>
      </c>
      <c r="C134" s="726" t="s">
        <v>343</v>
      </c>
      <c r="D134" s="726"/>
      <c r="E134" s="726"/>
      <c r="F134" s="726"/>
      <c r="G134" s="726"/>
      <c r="H134" s="726"/>
      <c r="I134" s="727"/>
      <c r="K134" s="537"/>
    </row>
    <row r="135" spans="1:11" ht="72" x14ac:dyDescent="0.45">
      <c r="A135" s="465" t="s">
        <v>336</v>
      </c>
      <c r="B135" s="466" t="s">
        <v>336</v>
      </c>
      <c r="C135" s="467" t="s">
        <v>572</v>
      </c>
      <c r="D135" s="467" t="s">
        <v>336</v>
      </c>
      <c r="E135" s="467" t="s">
        <v>573</v>
      </c>
      <c r="F135" s="467" t="s">
        <v>336</v>
      </c>
      <c r="G135" s="467" t="s">
        <v>336</v>
      </c>
      <c r="H135" s="467" t="s">
        <v>336</v>
      </c>
      <c r="I135" s="467" t="s">
        <v>349</v>
      </c>
      <c r="J135" s="495"/>
      <c r="K135" s="537"/>
    </row>
  </sheetData>
  <autoFilter ref="A1:J135" xr:uid="{CC9604A6-A5D6-495F-A83B-A5801290CAB5}">
    <filterColumn colId="5" showButton="0"/>
    <filterColumn colId="6" showButton="0"/>
  </autoFilter>
  <mergeCells count="57">
    <mergeCell ref="I1:I2"/>
    <mergeCell ref="C3:I3"/>
    <mergeCell ref="C4:I4"/>
    <mergeCell ref="F1:H1"/>
    <mergeCell ref="C35:I35"/>
    <mergeCell ref="C24:I24"/>
    <mergeCell ref="C20:I20"/>
    <mergeCell ref="C27:I27"/>
    <mergeCell ref="C31:I31"/>
    <mergeCell ref="C32:I32"/>
    <mergeCell ref="C8:I8"/>
    <mergeCell ref="C12:I12"/>
    <mergeCell ref="A1:A2"/>
    <mergeCell ref="B1:B2"/>
    <mergeCell ref="C1:C2"/>
    <mergeCell ref="D1:D2"/>
    <mergeCell ref="E1:E2"/>
    <mergeCell ref="C38:I38"/>
    <mergeCell ref="C40:I40"/>
    <mergeCell ref="C88:I88"/>
    <mergeCell ref="C91:I91"/>
    <mergeCell ref="C44:I44"/>
    <mergeCell ref="C45:I45"/>
    <mergeCell ref="C48:I48"/>
    <mergeCell ref="C54:I54"/>
    <mergeCell ref="C56:I56"/>
    <mergeCell ref="C51:I51"/>
    <mergeCell ref="C95:I95"/>
    <mergeCell ref="C111:I111"/>
    <mergeCell ref="C107:I107"/>
    <mergeCell ref="C98:I98"/>
    <mergeCell ref="C57:I57"/>
    <mergeCell ref="C70:I70"/>
    <mergeCell ref="C77:I77"/>
    <mergeCell ref="C82:I82"/>
    <mergeCell ref="C83:I83"/>
    <mergeCell ref="C87:I87"/>
    <mergeCell ref="C59:I59"/>
    <mergeCell ref="C66:I66"/>
    <mergeCell ref="C67:I67"/>
    <mergeCell ref="C63:I63"/>
    <mergeCell ref="J1:J2"/>
    <mergeCell ref="C131:I131"/>
    <mergeCell ref="C134:I134"/>
    <mergeCell ref="C130:I130"/>
    <mergeCell ref="C124:I124"/>
    <mergeCell ref="C125:I125"/>
    <mergeCell ref="C128:I128"/>
    <mergeCell ref="C119:I119"/>
    <mergeCell ref="C120:I120"/>
    <mergeCell ref="C99:I99"/>
    <mergeCell ref="C116:I116"/>
    <mergeCell ref="C117:I117"/>
    <mergeCell ref="C112:I112"/>
    <mergeCell ref="C101:I101"/>
    <mergeCell ref="C104:I104"/>
    <mergeCell ref="C105:I105"/>
  </mergeCells>
  <printOptions horizontalCentered="1" gridLines="1"/>
  <pageMargins left="0.25" right="0.25" top="0.75" bottom="0.75" header="0.3" footer="0.3"/>
  <pageSetup paperSize="9" scale="66" fitToHeight="0" orientation="landscape" copies="20" r:id="rId1"/>
  <rowBreaks count="8" manualBreakCount="8">
    <brk id="10" max="8" man="1"/>
    <brk id="20" max="8" man="1"/>
    <brk id="25" max="8" man="1"/>
    <brk id="27" max="8" man="1"/>
    <brk id="29" max="8" man="1"/>
    <brk id="30" max="8" man="1"/>
    <brk id="33" max="8" man="1"/>
    <brk id="36" max="8" man="1"/>
  </rowBreaks>
  <colBreaks count="1" manualBreakCount="1">
    <brk id="8"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CE190-1F40-4A2E-9D20-622417200BBA}">
  <dimension ref="A1:K49"/>
  <sheetViews>
    <sheetView topLeftCell="A13" workbookViewId="0">
      <selection activeCell="G28" sqref="G28"/>
    </sheetView>
  </sheetViews>
  <sheetFormatPr defaultRowHeight="14.4" x14ac:dyDescent="0.3"/>
  <cols>
    <col min="1" max="1" width="20.44140625" style="143" customWidth="1"/>
    <col min="2" max="2" width="4.88671875" style="143" customWidth="1"/>
    <col min="3" max="3" width="38.5546875" bestFit="1" customWidth="1"/>
    <col min="4" max="4" width="10.44140625" style="141" bestFit="1" customWidth="1"/>
    <col min="5" max="6" width="44.6640625" customWidth="1"/>
    <col min="7" max="7" width="14" style="143" customWidth="1"/>
    <col min="8" max="8" width="13.88671875" bestFit="1" customWidth="1"/>
    <col min="9" max="9" width="18" bestFit="1" customWidth="1"/>
    <col min="10" max="10" width="9.5546875" bestFit="1" customWidth="1"/>
  </cols>
  <sheetData>
    <row r="1" spans="1:10" x14ac:dyDescent="0.3">
      <c r="A1" s="500" t="s">
        <v>574</v>
      </c>
      <c r="B1" s="500"/>
      <c r="C1" s="500" t="s">
        <v>575</v>
      </c>
      <c r="D1" s="501" t="s">
        <v>576</v>
      </c>
      <c r="E1" s="502" t="s">
        <v>577</v>
      </c>
      <c r="F1" s="502" t="s">
        <v>578</v>
      </c>
      <c r="G1" s="500" t="s">
        <v>579</v>
      </c>
      <c r="H1" s="496" t="s">
        <v>580</v>
      </c>
      <c r="I1" t="s">
        <v>581</v>
      </c>
      <c r="J1" t="s">
        <v>582</v>
      </c>
    </row>
    <row r="2" spans="1:10" x14ac:dyDescent="0.3">
      <c r="A2" s="497">
        <v>244623</v>
      </c>
      <c r="B2" s="423">
        <v>1</v>
      </c>
      <c r="C2" s="496" t="s">
        <v>583</v>
      </c>
      <c r="D2" s="498" t="s">
        <v>584</v>
      </c>
      <c r="E2" s="499" t="s">
        <v>585</v>
      </c>
      <c r="F2" s="499"/>
      <c r="G2" s="503" t="s">
        <v>586</v>
      </c>
      <c r="H2" s="496"/>
    </row>
    <row r="3" spans="1:10" x14ac:dyDescent="0.3">
      <c r="A3" s="497">
        <v>244623</v>
      </c>
      <c r="B3" s="423">
        <v>2</v>
      </c>
      <c r="C3" s="496" t="s">
        <v>587</v>
      </c>
      <c r="D3" s="498" t="s">
        <v>588</v>
      </c>
      <c r="E3" s="499" t="s">
        <v>589</v>
      </c>
      <c r="F3" s="499"/>
      <c r="G3" s="503" t="s">
        <v>586</v>
      </c>
      <c r="H3" s="496" t="s">
        <v>590</v>
      </c>
    </row>
    <row r="4" spans="1:10" x14ac:dyDescent="0.3">
      <c r="A4" s="497">
        <v>244623</v>
      </c>
      <c r="B4" s="423">
        <v>3</v>
      </c>
      <c r="C4" s="496" t="s">
        <v>591</v>
      </c>
      <c r="D4" s="498" t="s">
        <v>592</v>
      </c>
      <c r="E4" s="499" t="s">
        <v>585</v>
      </c>
      <c r="F4" s="499"/>
      <c r="G4" s="503" t="s">
        <v>586</v>
      </c>
      <c r="H4" s="496" t="s">
        <v>590</v>
      </c>
    </row>
    <row r="5" spans="1:10" x14ac:dyDescent="0.3">
      <c r="A5" s="497">
        <v>244623</v>
      </c>
      <c r="B5" s="423">
        <v>4</v>
      </c>
      <c r="C5" s="496" t="s">
        <v>593</v>
      </c>
      <c r="D5" s="498" t="s">
        <v>588</v>
      </c>
      <c r="E5" s="499" t="s">
        <v>594</v>
      </c>
      <c r="F5" s="499"/>
      <c r="G5" s="503" t="s">
        <v>586</v>
      </c>
      <c r="H5" s="496" t="s">
        <v>590</v>
      </c>
    </row>
    <row r="6" spans="1:10" x14ac:dyDescent="0.3">
      <c r="A6" s="497">
        <v>244623</v>
      </c>
      <c r="B6" s="423">
        <v>5</v>
      </c>
      <c r="C6" s="496" t="s">
        <v>595</v>
      </c>
      <c r="D6" s="498" t="s">
        <v>588</v>
      </c>
      <c r="E6" s="499" t="s">
        <v>596</v>
      </c>
      <c r="F6" s="499"/>
      <c r="G6" s="503" t="s">
        <v>586</v>
      </c>
      <c r="H6" s="496" t="s">
        <v>590</v>
      </c>
    </row>
    <row r="7" spans="1:10" x14ac:dyDescent="0.3">
      <c r="A7" s="497">
        <v>244623</v>
      </c>
      <c r="B7" s="423">
        <v>6</v>
      </c>
      <c r="C7" s="496" t="s">
        <v>597</v>
      </c>
      <c r="D7" s="498" t="s">
        <v>598</v>
      </c>
      <c r="E7" s="499" t="s">
        <v>599</v>
      </c>
      <c r="F7" s="499"/>
      <c r="G7" s="503" t="s">
        <v>586</v>
      </c>
      <c r="H7" s="496" t="s">
        <v>590</v>
      </c>
    </row>
    <row r="8" spans="1:10" x14ac:dyDescent="0.3">
      <c r="A8" s="497">
        <v>244623</v>
      </c>
      <c r="B8" s="423">
        <v>7</v>
      </c>
      <c r="C8" s="496" t="s">
        <v>600</v>
      </c>
      <c r="D8" s="498" t="s">
        <v>598</v>
      </c>
      <c r="E8" s="499" t="s">
        <v>599</v>
      </c>
      <c r="F8" s="499"/>
      <c r="G8" s="503" t="s">
        <v>586</v>
      </c>
      <c r="H8" s="496" t="s">
        <v>590</v>
      </c>
    </row>
    <row r="9" spans="1:10" x14ac:dyDescent="0.3">
      <c r="A9" s="497">
        <v>244624</v>
      </c>
      <c r="B9" s="423">
        <v>8</v>
      </c>
      <c r="C9" s="496" t="s">
        <v>601</v>
      </c>
      <c r="D9" s="498" t="s">
        <v>588</v>
      </c>
      <c r="E9" s="499" t="s">
        <v>602</v>
      </c>
      <c r="F9" s="499"/>
      <c r="G9" s="503" t="s">
        <v>586</v>
      </c>
      <c r="H9" s="496" t="s">
        <v>590</v>
      </c>
    </row>
    <row r="10" spans="1:10" x14ac:dyDescent="0.3">
      <c r="A10" s="542">
        <v>244624</v>
      </c>
      <c r="B10" s="543">
        <v>9</v>
      </c>
      <c r="C10" s="544" t="s">
        <v>603</v>
      </c>
      <c r="D10" s="545" t="s">
        <v>588</v>
      </c>
      <c r="E10" s="546" t="s">
        <v>604</v>
      </c>
      <c r="F10" s="546"/>
      <c r="G10" s="503" t="s">
        <v>586</v>
      </c>
      <c r="H10" s="544"/>
      <c r="I10" t="s">
        <v>605</v>
      </c>
    </row>
    <row r="11" spans="1:10" x14ac:dyDescent="0.3">
      <c r="A11" s="497">
        <v>244624</v>
      </c>
      <c r="B11" s="423">
        <v>10</v>
      </c>
      <c r="C11" s="496" t="s">
        <v>606</v>
      </c>
      <c r="D11" s="498" t="s">
        <v>588</v>
      </c>
      <c r="E11" s="499" t="s">
        <v>599</v>
      </c>
      <c r="F11" s="499"/>
      <c r="G11" s="503" t="s">
        <v>586</v>
      </c>
      <c r="H11" s="496" t="s">
        <v>590</v>
      </c>
    </row>
    <row r="12" spans="1:10" x14ac:dyDescent="0.3">
      <c r="A12" s="497">
        <v>244624</v>
      </c>
      <c r="B12" s="423">
        <v>11</v>
      </c>
      <c r="C12" s="496" t="s">
        <v>607</v>
      </c>
      <c r="D12" s="498" t="s">
        <v>608</v>
      </c>
      <c r="E12" s="499" t="s">
        <v>609</v>
      </c>
      <c r="F12" s="499"/>
      <c r="G12" s="503" t="s">
        <v>586</v>
      </c>
      <c r="H12" s="496" t="s">
        <v>590</v>
      </c>
    </row>
    <row r="13" spans="1:10" x14ac:dyDescent="0.3">
      <c r="A13" s="542">
        <v>244627</v>
      </c>
      <c r="B13" s="543">
        <v>12</v>
      </c>
      <c r="C13" s="544" t="s">
        <v>610</v>
      </c>
      <c r="D13" s="545" t="s">
        <v>588</v>
      </c>
      <c r="E13" s="546" t="s">
        <v>611</v>
      </c>
      <c r="F13" s="546" t="s">
        <v>612</v>
      </c>
      <c r="G13" s="503" t="s">
        <v>586</v>
      </c>
      <c r="H13" s="544" t="s">
        <v>613</v>
      </c>
      <c r="I13" t="s">
        <v>614</v>
      </c>
    </row>
    <row r="14" spans="1:10" x14ac:dyDescent="0.3">
      <c r="A14" s="497">
        <v>244627</v>
      </c>
      <c r="B14" s="423">
        <v>13</v>
      </c>
      <c r="C14" s="496" t="s">
        <v>615</v>
      </c>
      <c r="D14" s="498" t="s">
        <v>588</v>
      </c>
      <c r="E14" s="499"/>
      <c r="F14" s="499"/>
      <c r="G14" s="503" t="s">
        <v>586</v>
      </c>
      <c r="H14" s="496" t="s">
        <v>590</v>
      </c>
    </row>
    <row r="15" spans="1:10" x14ac:dyDescent="0.3">
      <c r="A15" s="497">
        <v>244627</v>
      </c>
      <c r="B15" s="423">
        <v>14</v>
      </c>
      <c r="C15" s="496" t="s">
        <v>616</v>
      </c>
      <c r="D15" s="498" t="s">
        <v>588</v>
      </c>
      <c r="E15" s="499" t="s">
        <v>617</v>
      </c>
      <c r="F15" s="499"/>
      <c r="G15" s="503" t="s">
        <v>586</v>
      </c>
      <c r="H15" s="496" t="s">
        <v>613</v>
      </c>
    </row>
    <row r="16" spans="1:10" x14ac:dyDescent="0.3">
      <c r="A16" s="497">
        <v>244627</v>
      </c>
      <c r="B16" s="423">
        <v>15</v>
      </c>
      <c r="C16" s="496" t="s">
        <v>618</v>
      </c>
      <c r="D16" s="498" t="s">
        <v>588</v>
      </c>
      <c r="E16" s="499"/>
      <c r="F16" s="499"/>
      <c r="G16" s="503" t="s">
        <v>586</v>
      </c>
      <c r="H16" s="496" t="s">
        <v>613</v>
      </c>
    </row>
    <row r="17" spans="1:11" x14ac:dyDescent="0.3">
      <c r="A17" s="497">
        <v>244627</v>
      </c>
      <c r="B17" s="423">
        <v>16</v>
      </c>
      <c r="C17" s="496" t="s">
        <v>619</v>
      </c>
      <c r="D17" s="498" t="s">
        <v>588</v>
      </c>
      <c r="E17" s="499" t="s">
        <v>620</v>
      </c>
      <c r="F17" s="499"/>
      <c r="G17" s="503" t="s">
        <v>621</v>
      </c>
      <c r="H17" s="496" t="s">
        <v>590</v>
      </c>
    </row>
    <row r="18" spans="1:11" x14ac:dyDescent="0.3">
      <c r="A18" s="497">
        <v>244627</v>
      </c>
      <c r="B18" s="423">
        <v>17</v>
      </c>
      <c r="C18" s="496" t="s">
        <v>622</v>
      </c>
      <c r="D18" s="498" t="s">
        <v>588</v>
      </c>
      <c r="E18" s="499" t="s">
        <v>620</v>
      </c>
      <c r="F18" s="499"/>
      <c r="G18" s="503" t="s">
        <v>621</v>
      </c>
      <c r="H18" s="496" t="s">
        <v>590</v>
      </c>
    </row>
    <row r="19" spans="1:11" x14ac:dyDescent="0.3">
      <c r="A19" s="497">
        <v>244627</v>
      </c>
      <c r="B19" s="423">
        <v>18</v>
      </c>
      <c r="C19" s="496" t="s">
        <v>623</v>
      </c>
      <c r="D19" s="498" t="s">
        <v>588</v>
      </c>
      <c r="E19" s="499" t="s">
        <v>624</v>
      </c>
      <c r="F19" s="499"/>
      <c r="G19" s="503" t="s">
        <v>586</v>
      </c>
      <c r="H19" s="496" t="s">
        <v>625</v>
      </c>
    </row>
    <row r="20" spans="1:11" x14ac:dyDescent="0.3">
      <c r="A20" s="497">
        <v>244627</v>
      </c>
      <c r="B20" s="423">
        <v>19</v>
      </c>
      <c r="C20" s="496" t="s">
        <v>626</v>
      </c>
      <c r="D20" s="498" t="s">
        <v>588</v>
      </c>
      <c r="E20" s="499" t="s">
        <v>627</v>
      </c>
      <c r="F20" s="499"/>
      <c r="G20" s="503" t="s">
        <v>586</v>
      </c>
      <c r="H20" s="496" t="s">
        <v>625</v>
      </c>
    </row>
    <row r="21" spans="1:11" x14ac:dyDescent="0.3">
      <c r="A21" s="497">
        <v>244627</v>
      </c>
      <c r="B21" s="423">
        <v>20</v>
      </c>
      <c r="C21" s="496" t="s">
        <v>628</v>
      </c>
      <c r="D21" s="498" t="s">
        <v>588</v>
      </c>
      <c r="E21" s="499" t="s">
        <v>629</v>
      </c>
      <c r="F21" s="499"/>
      <c r="G21" s="503" t="s">
        <v>586</v>
      </c>
      <c r="H21" s="496" t="s">
        <v>590</v>
      </c>
    </row>
    <row r="22" spans="1:11" x14ac:dyDescent="0.3">
      <c r="A22" s="553">
        <v>244627</v>
      </c>
      <c r="B22" s="549">
        <v>21</v>
      </c>
      <c r="C22" s="550" t="s">
        <v>630</v>
      </c>
      <c r="D22" s="554" t="s">
        <v>588</v>
      </c>
      <c r="E22" s="555" t="s">
        <v>631</v>
      </c>
      <c r="F22" s="555"/>
      <c r="G22" s="556" t="s">
        <v>621</v>
      </c>
      <c r="H22" s="550" t="s">
        <v>590</v>
      </c>
    </row>
    <row r="23" spans="1:11" x14ac:dyDescent="0.3">
      <c r="A23" s="497">
        <v>244627</v>
      </c>
      <c r="B23" s="423">
        <v>22</v>
      </c>
      <c r="C23" s="496" t="s">
        <v>632</v>
      </c>
      <c r="D23" s="498" t="s">
        <v>588</v>
      </c>
      <c r="E23" s="499" t="s">
        <v>633</v>
      </c>
      <c r="F23" s="499"/>
      <c r="G23" s="503" t="s">
        <v>586</v>
      </c>
      <c r="H23" s="496" t="s">
        <v>590</v>
      </c>
    </row>
    <row r="24" spans="1:11" x14ac:dyDescent="0.3">
      <c r="A24" s="553">
        <v>244627</v>
      </c>
      <c r="B24" s="549">
        <v>23</v>
      </c>
      <c r="C24" s="550" t="s">
        <v>630</v>
      </c>
      <c r="D24" s="554" t="s">
        <v>588</v>
      </c>
      <c r="E24" s="555" t="s">
        <v>631</v>
      </c>
      <c r="F24" s="555"/>
      <c r="G24" s="556" t="s">
        <v>621</v>
      </c>
      <c r="H24" s="550" t="s">
        <v>590</v>
      </c>
    </row>
    <row r="25" spans="1:11" x14ac:dyDescent="0.3">
      <c r="A25" s="557">
        <v>244627</v>
      </c>
      <c r="B25" s="549">
        <v>24</v>
      </c>
      <c r="C25" s="558" t="s">
        <v>632</v>
      </c>
      <c r="D25" s="559" t="s">
        <v>588</v>
      </c>
      <c r="E25" s="560" t="s">
        <v>633</v>
      </c>
      <c r="F25" s="560"/>
      <c r="G25" s="561" t="s">
        <v>586</v>
      </c>
      <c r="H25" s="558" t="s">
        <v>590</v>
      </c>
    </row>
    <row r="26" spans="1:11" x14ac:dyDescent="0.3">
      <c r="A26" s="542">
        <v>244630</v>
      </c>
      <c r="B26" s="543">
        <v>25</v>
      </c>
      <c r="C26" s="544" t="s">
        <v>634</v>
      </c>
      <c r="D26" s="566" t="s">
        <v>588</v>
      </c>
      <c r="E26" s="563" t="s">
        <v>635</v>
      </c>
      <c r="F26" s="487" t="s">
        <v>636</v>
      </c>
      <c r="G26" s="565" t="s">
        <v>621</v>
      </c>
      <c r="H26" s="544"/>
      <c r="K26" s="487" t="s">
        <v>637</v>
      </c>
    </row>
    <row r="27" spans="1:11" x14ac:dyDescent="0.3">
      <c r="A27" s="562">
        <v>244627</v>
      </c>
      <c r="B27" s="569">
        <v>26</v>
      </c>
      <c r="C27" s="564" t="s">
        <v>610</v>
      </c>
      <c r="D27" s="570" t="s">
        <v>588</v>
      </c>
      <c r="E27" s="563" t="s">
        <v>638</v>
      </c>
      <c r="F27" s="487" t="s">
        <v>639</v>
      </c>
      <c r="G27" s="565" t="s">
        <v>621</v>
      </c>
      <c r="H27" s="563" t="s">
        <v>590</v>
      </c>
      <c r="K27" s="487" t="s">
        <v>640</v>
      </c>
    </row>
    <row r="28" spans="1:11" x14ac:dyDescent="0.3">
      <c r="A28" s="542">
        <v>244630</v>
      </c>
      <c r="B28" s="543">
        <v>27</v>
      </c>
      <c r="C28" s="544" t="s">
        <v>641</v>
      </c>
      <c r="D28" s="567" t="s">
        <v>588</v>
      </c>
      <c r="E28" s="544" t="s">
        <v>642</v>
      </c>
      <c r="F28" s="487" t="s">
        <v>643</v>
      </c>
      <c r="G28" s="568" t="s">
        <v>586</v>
      </c>
      <c r="H28" s="544"/>
      <c r="K28" s="487" t="s">
        <v>643</v>
      </c>
    </row>
    <row r="29" spans="1:11" x14ac:dyDescent="0.3">
      <c r="A29" s="542">
        <v>244630</v>
      </c>
      <c r="B29" s="543">
        <v>28</v>
      </c>
      <c r="C29" s="544" t="s">
        <v>644</v>
      </c>
      <c r="D29" s="567" t="s">
        <v>588</v>
      </c>
      <c r="E29" s="544"/>
      <c r="F29" s="544"/>
      <c r="G29" s="568" t="s">
        <v>621</v>
      </c>
      <c r="H29" s="544"/>
    </row>
    <row r="31" spans="1:11" x14ac:dyDescent="0.3">
      <c r="A31" s="143" t="s">
        <v>645</v>
      </c>
      <c r="H31" t="s">
        <v>581</v>
      </c>
      <c r="I31" t="s">
        <v>582</v>
      </c>
    </row>
    <row r="32" spans="1:11" x14ac:dyDescent="0.3">
      <c r="A32" s="547">
        <v>1</v>
      </c>
      <c r="B32" s="547"/>
      <c r="C32" s="548" t="s">
        <v>646</v>
      </c>
      <c r="D32" s="551"/>
      <c r="E32" s="548" t="s">
        <v>647</v>
      </c>
      <c r="F32" s="548"/>
      <c r="G32" s="547" t="s">
        <v>648</v>
      </c>
      <c r="H32" s="503" t="s">
        <v>586</v>
      </c>
      <c r="J32" t="s">
        <v>649</v>
      </c>
    </row>
    <row r="33" spans="1:10" x14ac:dyDescent="0.3">
      <c r="A33" s="143">
        <v>2</v>
      </c>
      <c r="C33" t="s">
        <v>650</v>
      </c>
      <c r="E33" t="s">
        <v>651</v>
      </c>
      <c r="G33" s="143" t="s">
        <v>586</v>
      </c>
    </row>
    <row r="34" spans="1:10" x14ac:dyDescent="0.3">
      <c r="A34" s="547">
        <v>3</v>
      </c>
      <c r="B34" s="547"/>
      <c r="C34" s="548" t="s">
        <v>652</v>
      </c>
      <c r="D34" s="551"/>
      <c r="E34" s="548" t="s">
        <v>653</v>
      </c>
      <c r="F34" s="548"/>
      <c r="G34" s="547" t="s">
        <v>648</v>
      </c>
      <c r="H34" s="503" t="s">
        <v>586</v>
      </c>
      <c r="I34" t="s">
        <v>654</v>
      </c>
    </row>
    <row r="35" spans="1:10" x14ac:dyDescent="0.3">
      <c r="A35" s="547">
        <v>4</v>
      </c>
      <c r="B35" s="547"/>
      <c r="C35" s="552" t="s">
        <v>655</v>
      </c>
      <c r="D35" s="551"/>
      <c r="E35" s="548" t="s">
        <v>656</v>
      </c>
      <c r="F35" s="548"/>
      <c r="G35" s="547" t="s">
        <v>648</v>
      </c>
      <c r="H35" t="s">
        <v>657</v>
      </c>
    </row>
    <row r="36" spans="1:10" x14ac:dyDescent="0.3">
      <c r="A36" s="143">
        <v>5</v>
      </c>
      <c r="C36" s="541" t="s">
        <v>658</v>
      </c>
      <c r="E36" t="s">
        <v>659</v>
      </c>
      <c r="G36" s="143" t="s">
        <v>586</v>
      </c>
    </row>
    <row r="37" spans="1:10" x14ac:dyDescent="0.3">
      <c r="A37" s="143">
        <v>6</v>
      </c>
      <c r="C37" s="541" t="s">
        <v>660</v>
      </c>
      <c r="E37" t="s">
        <v>659</v>
      </c>
      <c r="G37" s="143" t="s">
        <v>586</v>
      </c>
    </row>
    <row r="38" spans="1:10" x14ac:dyDescent="0.3">
      <c r="A38" s="143">
        <v>7</v>
      </c>
      <c r="C38" t="s">
        <v>661</v>
      </c>
      <c r="D38" s="141" t="s">
        <v>662</v>
      </c>
      <c r="E38" t="s">
        <v>663</v>
      </c>
      <c r="G38" s="143" t="s">
        <v>664</v>
      </c>
      <c r="J38" t="s">
        <v>665</v>
      </c>
    </row>
    <row r="39" spans="1:10" x14ac:dyDescent="0.3">
      <c r="A39" s="547">
        <v>8</v>
      </c>
      <c r="B39" s="547"/>
      <c r="C39" s="548" t="s">
        <v>666</v>
      </c>
      <c r="D39" s="551"/>
      <c r="E39" s="548" t="s">
        <v>667</v>
      </c>
      <c r="F39" s="548"/>
      <c r="G39" s="547" t="s">
        <v>648</v>
      </c>
      <c r="H39" s="503" t="s">
        <v>586</v>
      </c>
      <c r="I39" t="s">
        <v>654</v>
      </c>
    </row>
    <row r="40" spans="1:10" x14ac:dyDescent="0.3">
      <c r="A40" s="547">
        <v>9</v>
      </c>
      <c r="B40" s="547"/>
      <c r="C40" s="548" t="s">
        <v>668</v>
      </c>
      <c r="D40" s="551"/>
      <c r="E40" s="548" t="s">
        <v>669</v>
      </c>
      <c r="F40" s="548"/>
      <c r="G40" s="547" t="s">
        <v>648</v>
      </c>
      <c r="H40" s="503" t="s">
        <v>586</v>
      </c>
      <c r="J40" t="s">
        <v>670</v>
      </c>
    </row>
    <row r="41" spans="1:10" x14ac:dyDescent="0.3">
      <c r="A41" s="143">
        <v>10</v>
      </c>
      <c r="C41" s="541" t="s">
        <v>671</v>
      </c>
      <c r="E41" t="s">
        <v>659</v>
      </c>
      <c r="G41" s="143" t="s">
        <v>586</v>
      </c>
    </row>
    <row r="42" spans="1:10" x14ac:dyDescent="0.3">
      <c r="A42" s="143">
        <v>11</v>
      </c>
      <c r="C42" s="541" t="s">
        <v>672</v>
      </c>
      <c r="E42" t="s">
        <v>659</v>
      </c>
      <c r="G42" s="143" t="s">
        <v>586</v>
      </c>
    </row>
    <row r="43" spans="1:10" x14ac:dyDescent="0.3">
      <c r="A43" s="143">
        <v>12</v>
      </c>
      <c r="C43" t="s">
        <v>673</v>
      </c>
      <c r="E43" t="s">
        <v>674</v>
      </c>
      <c r="G43" s="143" t="s">
        <v>586</v>
      </c>
    </row>
    <row r="44" spans="1:10" x14ac:dyDescent="0.3">
      <c r="A44" s="547">
        <v>13</v>
      </c>
      <c r="B44" s="547"/>
      <c r="C44" s="548" t="s">
        <v>675</v>
      </c>
      <c r="D44" s="551"/>
      <c r="E44" s="548" t="s">
        <v>676</v>
      </c>
      <c r="F44" s="548"/>
      <c r="G44" s="547" t="s">
        <v>648</v>
      </c>
      <c r="H44" t="s">
        <v>657</v>
      </c>
      <c r="J44" t="s">
        <v>677</v>
      </c>
    </row>
    <row r="45" spans="1:10" x14ac:dyDescent="0.3">
      <c r="A45" s="549">
        <v>14</v>
      </c>
      <c r="B45" s="549"/>
      <c r="C45" s="550" t="s">
        <v>678</v>
      </c>
      <c r="G45" s="143" t="s">
        <v>679</v>
      </c>
    </row>
    <row r="46" spans="1:10" x14ac:dyDescent="0.3">
      <c r="A46" s="549">
        <v>15</v>
      </c>
      <c r="B46" s="549"/>
      <c r="C46" s="550" t="s">
        <v>680</v>
      </c>
      <c r="G46" s="143" t="s">
        <v>679</v>
      </c>
    </row>
    <row r="47" spans="1:10" x14ac:dyDescent="0.3">
      <c r="A47" s="549">
        <v>16</v>
      </c>
      <c r="B47" s="549"/>
      <c r="C47" s="550" t="s">
        <v>681</v>
      </c>
      <c r="G47" s="143" t="s">
        <v>679</v>
      </c>
    </row>
    <row r="48" spans="1:10" x14ac:dyDescent="0.3">
      <c r="A48" s="549">
        <v>17</v>
      </c>
      <c r="B48" s="549"/>
      <c r="C48" s="550" t="s">
        <v>682</v>
      </c>
      <c r="D48" s="141" t="s">
        <v>683</v>
      </c>
      <c r="G48" s="143" t="s">
        <v>679</v>
      </c>
    </row>
    <row r="49" spans="1:7" x14ac:dyDescent="0.3">
      <c r="A49" s="549">
        <v>18</v>
      </c>
      <c r="B49" s="549"/>
      <c r="C49" s="550" t="s">
        <v>684</v>
      </c>
      <c r="G49" s="143" t="s">
        <v>679</v>
      </c>
    </row>
  </sheetData>
  <hyperlinks>
    <hyperlink ref="F27" r:id="rId1" xr:uid="{7E3239C7-885C-4233-B9CE-81B740B03062}"/>
    <hyperlink ref="F26" r:id="rId2" xr:uid="{9148E736-F8E5-4FAA-BF07-398B76F52D78}"/>
    <hyperlink ref="K28" r:id="rId3" xr:uid="{6F303062-74CD-4C20-AE30-5D2885B58A7B}"/>
    <hyperlink ref="K26" r:id="rId4" xr:uid="{61D9C8E6-F7BE-4422-9D2C-A54B914F50B3}"/>
    <hyperlink ref="K27" r:id="rId5" xr:uid="{8CEE1214-475C-478E-B64E-F5BFB0B241A2}"/>
    <hyperlink ref="F28" r:id="rId6" xr:uid="{1DFEF6FA-D97F-49DA-99E8-D8A712A2F9E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04035-235A-4B98-AD7B-38AA32DC6372}">
  <dimension ref="A2:L25"/>
  <sheetViews>
    <sheetView workbookViewId="0">
      <selection activeCell="G13" sqref="G13"/>
    </sheetView>
  </sheetViews>
  <sheetFormatPr defaultColWidth="8.88671875" defaultRowHeight="14.4" x14ac:dyDescent="0.3"/>
  <cols>
    <col min="1" max="1" width="18.109375" customWidth="1"/>
    <col min="2" max="2" width="16.6640625" customWidth="1"/>
    <col min="3" max="3" width="12.5546875" bestFit="1" customWidth="1"/>
    <col min="4" max="4" width="11.109375" bestFit="1" customWidth="1"/>
    <col min="12" max="12" width="80.88671875" bestFit="1" customWidth="1"/>
  </cols>
  <sheetData>
    <row r="2" spans="1:12" ht="15.6" x14ac:dyDescent="0.3">
      <c r="A2" s="478" t="s">
        <v>286</v>
      </c>
      <c r="B2" s="478" t="s">
        <v>685</v>
      </c>
      <c r="D2" t="s">
        <v>686</v>
      </c>
      <c r="G2" t="s">
        <v>687</v>
      </c>
      <c r="J2" s="535" t="s">
        <v>688</v>
      </c>
      <c r="K2" s="535" t="s">
        <v>317</v>
      </c>
      <c r="L2" s="535" t="s">
        <v>689</v>
      </c>
    </row>
    <row r="3" spans="1:12" ht="15.6" x14ac:dyDescent="0.3">
      <c r="A3" s="479" t="s">
        <v>690</v>
      </c>
      <c r="B3" s="479" t="s">
        <v>691</v>
      </c>
      <c r="D3" t="s">
        <v>692</v>
      </c>
      <c r="J3">
        <v>1</v>
      </c>
      <c r="K3">
        <v>0</v>
      </c>
      <c r="L3" t="s">
        <v>693</v>
      </c>
    </row>
    <row r="4" spans="1:12" ht="15.6" x14ac:dyDescent="0.3">
      <c r="A4" s="479" t="s">
        <v>694</v>
      </c>
      <c r="B4" s="479" t="s">
        <v>695</v>
      </c>
      <c r="D4" t="s">
        <v>696</v>
      </c>
      <c r="J4">
        <v>2</v>
      </c>
      <c r="K4">
        <v>0</v>
      </c>
      <c r="L4" t="s">
        <v>697</v>
      </c>
    </row>
    <row r="5" spans="1:12" ht="15.6" x14ac:dyDescent="0.3">
      <c r="A5" s="479" t="s">
        <v>698</v>
      </c>
      <c r="B5" s="479" t="s">
        <v>695</v>
      </c>
      <c r="D5" t="s">
        <v>699</v>
      </c>
      <c r="J5">
        <v>3</v>
      </c>
      <c r="K5">
        <v>0</v>
      </c>
      <c r="L5" t="s">
        <v>700</v>
      </c>
    </row>
    <row r="6" spans="1:12" ht="15.6" x14ac:dyDescent="0.3">
      <c r="A6" s="479" t="s">
        <v>701</v>
      </c>
      <c r="B6" s="479" t="s">
        <v>702</v>
      </c>
      <c r="D6" t="s">
        <v>703</v>
      </c>
      <c r="J6">
        <v>4</v>
      </c>
      <c r="K6">
        <v>1</v>
      </c>
      <c r="L6" t="s">
        <v>704</v>
      </c>
    </row>
    <row r="7" spans="1:12" ht="15.6" x14ac:dyDescent="0.3">
      <c r="A7" s="479" t="s">
        <v>705</v>
      </c>
      <c r="B7" s="479" t="s">
        <v>702</v>
      </c>
      <c r="J7">
        <v>5</v>
      </c>
      <c r="K7">
        <v>1</v>
      </c>
      <c r="L7" t="s">
        <v>706</v>
      </c>
    </row>
    <row r="8" spans="1:12" ht="15.6" x14ac:dyDescent="0.3">
      <c r="A8" s="479" t="s">
        <v>707</v>
      </c>
      <c r="B8" s="479" t="s">
        <v>708</v>
      </c>
      <c r="D8" t="s">
        <v>709</v>
      </c>
      <c r="J8">
        <v>6</v>
      </c>
      <c r="K8">
        <v>0</v>
      </c>
      <c r="L8" t="s">
        <v>710</v>
      </c>
    </row>
    <row r="9" spans="1:12" ht="15.6" x14ac:dyDescent="0.3">
      <c r="A9" s="479" t="s">
        <v>711</v>
      </c>
      <c r="B9" s="479" t="s">
        <v>712</v>
      </c>
      <c r="D9" t="s">
        <v>713</v>
      </c>
      <c r="J9">
        <v>7</v>
      </c>
      <c r="K9">
        <v>0</v>
      </c>
      <c r="L9" t="s">
        <v>714</v>
      </c>
    </row>
    <row r="10" spans="1:12" ht="15.6" x14ac:dyDescent="0.3">
      <c r="A10" s="479" t="s">
        <v>715</v>
      </c>
      <c r="B10" s="479" t="s">
        <v>712</v>
      </c>
      <c r="D10" t="s">
        <v>716</v>
      </c>
      <c r="J10">
        <v>8</v>
      </c>
      <c r="K10">
        <v>0</v>
      </c>
      <c r="L10" t="s">
        <v>717</v>
      </c>
    </row>
    <row r="11" spans="1:12" ht="15.6" x14ac:dyDescent="0.3">
      <c r="A11" s="479" t="s">
        <v>718</v>
      </c>
      <c r="B11" s="479" t="s">
        <v>712</v>
      </c>
      <c r="D11" t="s">
        <v>719</v>
      </c>
      <c r="J11">
        <v>9</v>
      </c>
      <c r="K11">
        <v>0</v>
      </c>
      <c r="L11" t="s">
        <v>720</v>
      </c>
    </row>
    <row r="12" spans="1:12" ht="15.6" x14ac:dyDescent="0.3">
      <c r="A12" s="479" t="s">
        <v>721</v>
      </c>
      <c r="B12" s="479" t="s">
        <v>722</v>
      </c>
      <c r="J12">
        <v>10</v>
      </c>
      <c r="K12">
        <v>1</v>
      </c>
      <c r="L12" t="s">
        <v>723</v>
      </c>
    </row>
    <row r="13" spans="1:12" ht="15.6" x14ac:dyDescent="0.3">
      <c r="A13" s="479" t="s">
        <v>724</v>
      </c>
      <c r="B13" s="479" t="s">
        <v>722</v>
      </c>
      <c r="D13" t="s">
        <v>725</v>
      </c>
      <c r="J13">
        <v>11</v>
      </c>
      <c r="K13">
        <v>0</v>
      </c>
      <c r="L13" t="s">
        <v>726</v>
      </c>
    </row>
    <row r="14" spans="1:12" ht="15.6" x14ac:dyDescent="0.3">
      <c r="A14" s="479" t="s">
        <v>727</v>
      </c>
      <c r="B14" s="479" t="s">
        <v>728</v>
      </c>
      <c r="D14" t="s">
        <v>729</v>
      </c>
      <c r="J14">
        <v>12</v>
      </c>
      <c r="K14">
        <v>0</v>
      </c>
      <c r="L14" t="s">
        <v>730</v>
      </c>
    </row>
    <row r="15" spans="1:12" ht="15.6" x14ac:dyDescent="0.3">
      <c r="A15" s="479" t="s">
        <v>731</v>
      </c>
      <c r="B15" s="479" t="s">
        <v>728</v>
      </c>
      <c r="D15" t="s">
        <v>732</v>
      </c>
      <c r="J15">
        <v>13</v>
      </c>
      <c r="K15">
        <v>1</v>
      </c>
      <c r="L15" t="s">
        <v>733</v>
      </c>
    </row>
    <row r="16" spans="1:12" ht="15.6" x14ac:dyDescent="0.3">
      <c r="A16" s="479" t="s">
        <v>734</v>
      </c>
      <c r="B16" s="479" t="s">
        <v>728</v>
      </c>
      <c r="D16" t="s">
        <v>735</v>
      </c>
      <c r="J16">
        <v>14</v>
      </c>
      <c r="K16">
        <v>1</v>
      </c>
      <c r="L16" t="s">
        <v>736</v>
      </c>
    </row>
    <row r="17" spans="1:12" ht="15.6" x14ac:dyDescent="0.3">
      <c r="A17" s="479" t="s">
        <v>737</v>
      </c>
      <c r="B17" s="479" t="s">
        <v>728</v>
      </c>
      <c r="J17" s="143"/>
      <c r="K17" s="143"/>
      <c r="L17" s="70"/>
    </row>
    <row r="18" spans="1:12" ht="15.6" x14ac:dyDescent="0.3">
      <c r="A18" s="479" t="s">
        <v>738</v>
      </c>
      <c r="B18" s="479" t="s">
        <v>728</v>
      </c>
      <c r="D18" t="s">
        <v>739</v>
      </c>
      <c r="J18" s="536"/>
      <c r="K18" s="536"/>
    </row>
    <row r="19" spans="1:12" ht="15.6" x14ac:dyDescent="0.3">
      <c r="A19" s="479" t="s">
        <v>740</v>
      </c>
      <c r="B19" s="479" t="s">
        <v>728</v>
      </c>
      <c r="D19" t="s">
        <v>741</v>
      </c>
      <c r="J19" t="s">
        <v>742</v>
      </c>
      <c r="K19">
        <v>5</v>
      </c>
    </row>
    <row r="20" spans="1:12" ht="15.6" x14ac:dyDescent="0.3">
      <c r="A20" s="479" t="s">
        <v>743</v>
      </c>
      <c r="B20" s="479" t="s">
        <v>728</v>
      </c>
      <c r="D20" t="s">
        <v>744</v>
      </c>
    </row>
    <row r="21" spans="1:12" ht="15.6" x14ac:dyDescent="0.3">
      <c r="A21" s="479" t="s">
        <v>745</v>
      </c>
      <c r="B21" s="479" t="s">
        <v>728</v>
      </c>
      <c r="D21" t="s">
        <v>746</v>
      </c>
    </row>
    <row r="22" spans="1:12" ht="15.6" x14ac:dyDescent="0.3">
      <c r="A22" s="479" t="s">
        <v>747</v>
      </c>
      <c r="B22" s="479" t="s">
        <v>728</v>
      </c>
    </row>
    <row r="23" spans="1:12" ht="15.6" x14ac:dyDescent="0.3">
      <c r="A23" s="479" t="s">
        <v>748</v>
      </c>
      <c r="B23" s="479" t="s">
        <v>728</v>
      </c>
    </row>
    <row r="24" spans="1:12" ht="15.6" x14ac:dyDescent="0.3">
      <c r="A24" s="479" t="s">
        <v>749</v>
      </c>
      <c r="B24" s="479" t="s">
        <v>728</v>
      </c>
    </row>
    <row r="25" spans="1:12" ht="15.6" x14ac:dyDescent="0.3">
      <c r="A25" s="479" t="s">
        <v>750</v>
      </c>
      <c r="B25" s="479" t="s">
        <v>728</v>
      </c>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D2DB-D153-458D-9200-C64426203102}">
  <dimension ref="A2:G35"/>
  <sheetViews>
    <sheetView topLeftCell="A12" workbookViewId="0">
      <selection activeCell="G35" sqref="G35"/>
    </sheetView>
  </sheetViews>
  <sheetFormatPr defaultRowHeight="14.4" x14ac:dyDescent="0.3"/>
  <cols>
    <col min="1" max="1" width="17" bestFit="1" customWidth="1"/>
    <col min="2" max="2" width="54.109375" bestFit="1" customWidth="1"/>
    <col min="3" max="5" width="16" customWidth="1"/>
    <col min="6" max="6" width="27.5546875" customWidth="1"/>
  </cols>
  <sheetData>
    <row r="2" spans="1:7" x14ac:dyDescent="0.3">
      <c r="A2" t="s">
        <v>1</v>
      </c>
    </row>
    <row r="3" spans="1:7" ht="27" x14ac:dyDescent="0.3">
      <c r="A3" s="738" t="s">
        <v>751</v>
      </c>
      <c r="B3" s="738" t="s">
        <v>752</v>
      </c>
      <c r="C3" s="718" t="s">
        <v>4</v>
      </c>
      <c r="D3" s="718"/>
      <c r="E3" s="718"/>
      <c r="F3" s="738" t="s">
        <v>5</v>
      </c>
    </row>
    <row r="4" spans="1:7" ht="27" x14ac:dyDescent="0.3">
      <c r="A4" s="739"/>
      <c r="B4" s="739"/>
      <c r="C4" s="367" t="s">
        <v>6</v>
      </c>
      <c r="D4" s="367" t="s">
        <v>7</v>
      </c>
      <c r="E4" s="367" t="s">
        <v>8</v>
      </c>
      <c r="F4" s="739"/>
    </row>
    <row r="5" spans="1:7" x14ac:dyDescent="0.3">
      <c r="A5" s="368" t="s">
        <v>753</v>
      </c>
      <c r="B5" s="368" t="s">
        <v>754</v>
      </c>
      <c r="C5" s="368"/>
      <c r="D5" s="368"/>
      <c r="E5" s="368"/>
      <c r="F5" s="368"/>
    </row>
    <row r="6" spans="1:7" ht="352.8" x14ac:dyDescent="0.3">
      <c r="A6" s="369" t="s">
        <v>755</v>
      </c>
      <c r="B6" s="370" t="s">
        <v>756</v>
      </c>
      <c r="C6" s="371"/>
      <c r="D6" s="377" t="s">
        <v>7</v>
      </c>
      <c r="E6" s="373"/>
      <c r="F6" s="407" t="s">
        <v>757</v>
      </c>
    </row>
    <row r="7" spans="1:7" ht="115.2" x14ac:dyDescent="0.3">
      <c r="A7" s="369" t="s">
        <v>758</v>
      </c>
      <c r="B7" s="370" t="s">
        <v>759</v>
      </c>
      <c r="C7" s="371"/>
      <c r="D7" s="377" t="s">
        <v>7</v>
      </c>
      <c r="E7" s="373"/>
      <c r="F7" s="406" t="s">
        <v>760</v>
      </c>
    </row>
    <row r="8" spans="1:7" ht="48" x14ac:dyDescent="0.3">
      <c r="A8" s="369" t="s">
        <v>761</v>
      </c>
      <c r="B8" s="370" t="s">
        <v>762</v>
      </c>
      <c r="C8" s="371"/>
      <c r="D8" s="377" t="s">
        <v>7</v>
      </c>
      <c r="E8" s="373"/>
      <c r="F8" s="407" t="s">
        <v>763</v>
      </c>
    </row>
    <row r="9" spans="1:7" ht="409.6" x14ac:dyDescent="0.3">
      <c r="A9" s="369" t="s">
        <v>764</v>
      </c>
      <c r="B9" s="370" t="s">
        <v>765</v>
      </c>
      <c r="C9" s="371"/>
      <c r="D9" s="377" t="s">
        <v>7</v>
      </c>
      <c r="E9" s="373"/>
      <c r="F9" s="407" t="s">
        <v>766</v>
      </c>
      <c r="G9" t="s">
        <v>767</v>
      </c>
    </row>
    <row r="10" spans="1:7" ht="24" x14ac:dyDescent="0.3">
      <c r="A10" s="369" t="s">
        <v>768</v>
      </c>
      <c r="B10" s="370" t="s">
        <v>769</v>
      </c>
      <c r="C10" s="371"/>
      <c r="D10" s="377" t="s">
        <v>7</v>
      </c>
      <c r="E10" s="373"/>
      <c r="F10" s="374"/>
      <c r="G10" t="s">
        <v>770</v>
      </c>
    </row>
    <row r="11" spans="1:7" ht="72" x14ac:dyDescent="0.3">
      <c r="A11" s="369" t="s">
        <v>771</v>
      </c>
      <c r="B11" s="370" t="s">
        <v>772</v>
      </c>
      <c r="C11" s="371"/>
      <c r="D11" s="377" t="s">
        <v>7</v>
      </c>
      <c r="E11" s="373"/>
      <c r="F11" s="374"/>
    </row>
    <row r="12" spans="1:7" ht="48" x14ac:dyDescent="0.3">
      <c r="A12" s="369" t="s">
        <v>773</v>
      </c>
      <c r="B12" s="370" t="s">
        <v>774</v>
      </c>
      <c r="C12" s="371"/>
      <c r="D12" s="377" t="s">
        <v>7</v>
      </c>
      <c r="E12" s="412"/>
      <c r="F12" s="374"/>
    </row>
    <row r="13" spans="1:7" ht="48" x14ac:dyDescent="0.3">
      <c r="A13" s="369" t="s">
        <v>775</v>
      </c>
      <c r="B13" s="370" t="s">
        <v>776</v>
      </c>
      <c r="C13" s="371"/>
      <c r="D13" s="377" t="s">
        <v>7</v>
      </c>
      <c r="E13" s="412"/>
      <c r="F13" s="374"/>
    </row>
    <row r="14" spans="1:7" ht="24" x14ac:dyDescent="0.3">
      <c r="A14" s="369" t="s">
        <v>777</v>
      </c>
      <c r="B14" s="370" t="s">
        <v>778</v>
      </c>
      <c r="C14" s="371"/>
      <c r="D14" s="372"/>
      <c r="E14" s="412" t="s">
        <v>8</v>
      </c>
      <c r="F14" s="374" t="s">
        <v>779</v>
      </c>
    </row>
    <row r="15" spans="1:7" ht="24" x14ac:dyDescent="0.3">
      <c r="A15" s="369" t="s">
        <v>780</v>
      </c>
      <c r="B15" s="370" t="s">
        <v>781</v>
      </c>
      <c r="C15" s="413" t="s">
        <v>6</v>
      </c>
      <c r="D15" s="372"/>
      <c r="E15" s="373"/>
      <c r="F15" s="374"/>
    </row>
    <row r="16" spans="1:7" x14ac:dyDescent="0.3">
      <c r="A16" s="368" t="s">
        <v>782</v>
      </c>
      <c r="B16" s="368" t="s">
        <v>783</v>
      </c>
      <c r="C16" s="368"/>
      <c r="D16" s="368"/>
      <c r="E16" s="368"/>
      <c r="F16" s="368"/>
    </row>
    <row r="17" spans="1:6" ht="24" x14ac:dyDescent="0.3">
      <c r="A17" s="369" t="s">
        <v>784</v>
      </c>
      <c r="B17" s="370" t="s">
        <v>785</v>
      </c>
      <c r="C17" s="413"/>
      <c r="D17" s="377" t="s">
        <v>7</v>
      </c>
      <c r="E17" s="373"/>
      <c r="F17" s="374"/>
    </row>
    <row r="18" spans="1:6" ht="48" x14ac:dyDescent="0.3">
      <c r="A18" s="369" t="s">
        <v>786</v>
      </c>
      <c r="B18" s="370" t="s">
        <v>787</v>
      </c>
      <c r="C18" s="413" t="s">
        <v>6</v>
      </c>
      <c r="D18" s="377"/>
      <c r="E18" s="373"/>
      <c r="F18" s="374"/>
    </row>
    <row r="19" spans="1:6" ht="24" x14ac:dyDescent="0.3">
      <c r="A19" s="369" t="s">
        <v>788</v>
      </c>
      <c r="B19" s="370" t="s">
        <v>789</v>
      </c>
      <c r="C19" s="371"/>
      <c r="D19" s="377" t="s">
        <v>7</v>
      </c>
      <c r="E19" s="373"/>
      <c r="F19" s="374"/>
    </row>
    <row r="20" spans="1:6" ht="48" x14ac:dyDescent="0.3">
      <c r="A20" s="369" t="s">
        <v>790</v>
      </c>
      <c r="B20" s="370" t="s">
        <v>791</v>
      </c>
      <c r="C20" s="371"/>
      <c r="D20" s="377" t="s">
        <v>7</v>
      </c>
      <c r="E20" s="412"/>
      <c r="F20" s="374" t="s">
        <v>792</v>
      </c>
    </row>
    <row r="21" spans="1:6" ht="50.4" x14ac:dyDescent="0.3">
      <c r="A21" s="369" t="s">
        <v>793</v>
      </c>
      <c r="B21" s="370" t="s">
        <v>794</v>
      </c>
      <c r="C21" s="371"/>
      <c r="D21" s="377" t="s">
        <v>7</v>
      </c>
      <c r="E21" s="412"/>
      <c r="F21" s="374" t="s">
        <v>795</v>
      </c>
    </row>
    <row r="22" spans="1:6" x14ac:dyDescent="0.3">
      <c r="A22" s="368" t="s">
        <v>796</v>
      </c>
      <c r="B22" s="368" t="s">
        <v>797</v>
      </c>
      <c r="C22" s="368"/>
      <c r="D22" s="368"/>
      <c r="E22" s="368"/>
      <c r="F22" s="368"/>
    </row>
    <row r="23" spans="1:6" ht="24" x14ac:dyDescent="0.3">
      <c r="A23" s="369" t="s">
        <v>798</v>
      </c>
      <c r="B23" s="370" t="s">
        <v>799</v>
      </c>
      <c r="C23" s="371"/>
      <c r="D23" s="372"/>
      <c r="E23" s="412" t="s">
        <v>8</v>
      </c>
      <c r="F23" s="374" t="s">
        <v>779</v>
      </c>
    </row>
    <row r="24" spans="1:6" ht="48" x14ac:dyDescent="0.3">
      <c r="A24" s="369" t="s">
        <v>800</v>
      </c>
      <c r="B24" s="370" t="s">
        <v>801</v>
      </c>
      <c r="C24" s="371"/>
      <c r="D24" s="372"/>
      <c r="E24" s="412" t="s">
        <v>8</v>
      </c>
      <c r="F24" s="374" t="s">
        <v>779</v>
      </c>
    </row>
    <row r="25" spans="1:6" x14ac:dyDescent="0.3">
      <c r="A25" s="368" t="s">
        <v>802</v>
      </c>
      <c r="B25" s="368" t="s">
        <v>803</v>
      </c>
      <c r="C25" s="368"/>
      <c r="D25" s="368"/>
      <c r="E25" s="368"/>
      <c r="F25" s="368"/>
    </row>
    <row r="26" spans="1:6" ht="50.4" x14ac:dyDescent="0.3">
      <c r="A26" s="369" t="s">
        <v>804</v>
      </c>
      <c r="B26" s="370" t="s">
        <v>805</v>
      </c>
      <c r="C26" s="371"/>
      <c r="D26" s="377" t="s">
        <v>7</v>
      </c>
      <c r="E26" s="412"/>
      <c r="F26" s="374" t="s">
        <v>806</v>
      </c>
    </row>
    <row r="27" spans="1:6" x14ac:dyDescent="0.3">
      <c r="A27" s="368" t="s">
        <v>807</v>
      </c>
      <c r="B27" s="368" t="s">
        <v>808</v>
      </c>
      <c r="C27" s="368"/>
      <c r="D27" s="368"/>
      <c r="E27" s="368"/>
      <c r="F27" s="368"/>
    </row>
    <row r="28" spans="1:6" ht="24" x14ac:dyDescent="0.3">
      <c r="A28" s="369" t="s">
        <v>809</v>
      </c>
      <c r="B28" s="370" t="s">
        <v>810</v>
      </c>
      <c r="C28" s="413" t="s">
        <v>6</v>
      </c>
      <c r="D28" s="372"/>
      <c r="E28" s="373"/>
      <c r="F28" s="374"/>
    </row>
    <row r="29" spans="1:6" ht="24" x14ac:dyDescent="0.3">
      <c r="A29" s="369" t="s">
        <v>811</v>
      </c>
      <c r="B29" s="370" t="s">
        <v>812</v>
      </c>
      <c r="C29" s="413"/>
      <c r="D29" s="436" t="s">
        <v>7</v>
      </c>
      <c r="E29" s="373"/>
      <c r="F29" s="374"/>
    </row>
    <row r="30" spans="1:6" ht="24" x14ac:dyDescent="0.3">
      <c r="A30" s="369" t="s">
        <v>813</v>
      </c>
      <c r="B30" s="370" t="s">
        <v>814</v>
      </c>
      <c r="C30" s="435" t="s">
        <v>6</v>
      </c>
      <c r="D30" s="372"/>
      <c r="E30" s="373"/>
      <c r="F30" s="374"/>
    </row>
    <row r="31" spans="1:6" x14ac:dyDescent="0.3">
      <c r="A31" s="368" t="s">
        <v>815</v>
      </c>
      <c r="B31" s="368" t="s">
        <v>816</v>
      </c>
      <c r="C31" s="368"/>
      <c r="D31" s="368"/>
      <c r="E31" s="368"/>
      <c r="F31" s="368"/>
    </row>
    <row r="32" spans="1:6" ht="24" x14ac:dyDescent="0.3">
      <c r="A32" s="369" t="s">
        <v>817</v>
      </c>
      <c r="B32" s="370" t="s">
        <v>818</v>
      </c>
      <c r="C32" s="371"/>
      <c r="D32" s="436" t="s">
        <v>7</v>
      </c>
      <c r="E32" s="373"/>
      <c r="F32" s="374"/>
    </row>
    <row r="33" spans="1:6" ht="33.6" x14ac:dyDescent="0.3">
      <c r="A33" s="369" t="s">
        <v>819</v>
      </c>
      <c r="B33" s="370" t="s">
        <v>820</v>
      </c>
      <c r="C33" s="371"/>
      <c r="D33" s="436"/>
      <c r="E33" s="412" t="s">
        <v>8</v>
      </c>
      <c r="F33" s="374" t="s">
        <v>821</v>
      </c>
    </row>
    <row r="34" spans="1:6" x14ac:dyDescent="0.3">
      <c r="A34" s="368" t="s">
        <v>822</v>
      </c>
      <c r="B34" s="368" t="s">
        <v>823</v>
      </c>
      <c r="C34" s="368"/>
      <c r="D34" s="368"/>
      <c r="E34" s="368"/>
      <c r="F34" s="368"/>
    </row>
    <row r="35" spans="1:6" ht="48" x14ac:dyDescent="0.3">
      <c r="A35" s="369" t="s">
        <v>182</v>
      </c>
      <c r="B35" s="370" t="s">
        <v>184</v>
      </c>
      <c r="C35" s="435" t="s">
        <v>6</v>
      </c>
      <c r="D35" s="372"/>
      <c r="E35" s="373"/>
      <c r="F35" s="374"/>
    </row>
  </sheetData>
  <mergeCells count="4">
    <mergeCell ref="A3:A4"/>
    <mergeCell ref="B3:B4"/>
    <mergeCell ref="C3:E3"/>
    <mergeCell ref="F3:F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08A0-8870-42C8-A85A-07081E14C73F}">
  <sheetPr>
    <pageSetUpPr fitToPage="1"/>
  </sheetPr>
  <dimension ref="A1:AX195"/>
  <sheetViews>
    <sheetView view="pageBreakPreview" zoomScaleNormal="135" zoomScaleSheetLayoutView="134" workbookViewId="0">
      <selection activeCell="C5" sqref="C5"/>
    </sheetView>
  </sheetViews>
  <sheetFormatPr defaultColWidth="7.88671875" defaultRowHeight="16.2" x14ac:dyDescent="0.45"/>
  <cols>
    <col min="1" max="1" width="17.88671875" style="346" customWidth="1"/>
    <col min="2" max="2" width="14.44140625" style="346" customWidth="1"/>
    <col min="3" max="3" width="38" style="85" customWidth="1"/>
    <col min="4" max="4" width="12.109375" style="12" customWidth="1"/>
    <col min="5" max="5" width="44.6640625" style="85" customWidth="1"/>
    <col min="6" max="6" width="7.6640625" style="12" customWidth="1"/>
    <col min="7" max="7" width="8.109375" style="12" bestFit="1" customWidth="1"/>
    <col min="8" max="8" width="7.6640625" style="12" customWidth="1"/>
    <col min="9" max="9" width="23.33203125" style="12" customWidth="1"/>
    <col min="10" max="10" width="37.44140625" style="1" customWidth="1"/>
    <col min="11" max="11" width="30.33203125" style="1" bestFit="1" customWidth="1"/>
    <col min="12" max="12" width="25.109375" style="1" customWidth="1"/>
    <col min="13" max="13" width="31.33203125" style="1" customWidth="1"/>
    <col min="14" max="16384" width="7.88671875" style="1"/>
  </cols>
  <sheetData>
    <row r="1" spans="1:12" ht="24.9" customHeight="1" x14ac:dyDescent="0.45">
      <c r="A1" s="718" t="s">
        <v>133</v>
      </c>
      <c r="B1" s="746" t="s">
        <v>179</v>
      </c>
      <c r="C1" s="717" t="s">
        <v>1</v>
      </c>
      <c r="D1" s="718" t="s">
        <v>2</v>
      </c>
      <c r="E1" s="717" t="s">
        <v>3</v>
      </c>
      <c r="F1" s="718" t="s">
        <v>4</v>
      </c>
      <c r="G1" s="718"/>
      <c r="H1" s="718"/>
      <c r="I1" s="717" t="s">
        <v>5</v>
      </c>
    </row>
    <row r="2" spans="1:12" ht="24.9" customHeight="1" x14ac:dyDescent="0.45">
      <c r="A2" s="718"/>
      <c r="B2" s="746"/>
      <c r="C2" s="717"/>
      <c r="D2" s="718"/>
      <c r="E2" s="717"/>
      <c r="F2" s="347" t="s">
        <v>6</v>
      </c>
      <c r="G2" s="347" t="s">
        <v>7</v>
      </c>
      <c r="H2" s="347" t="s">
        <v>8</v>
      </c>
      <c r="I2" s="717"/>
      <c r="J2" s="337"/>
    </row>
    <row r="3" spans="1:12" s="5" customFormat="1" ht="24" customHeight="1" x14ac:dyDescent="0.3">
      <c r="A3" s="357" t="s">
        <v>753</v>
      </c>
      <c r="B3" s="375"/>
      <c r="C3" s="740" t="s">
        <v>824</v>
      </c>
      <c r="D3" s="741"/>
      <c r="E3" s="741"/>
      <c r="F3" s="741"/>
      <c r="G3" s="741"/>
      <c r="H3" s="741"/>
      <c r="I3" s="742"/>
      <c r="J3" s="358"/>
      <c r="K3" s="358"/>
      <c r="L3" s="358"/>
    </row>
    <row r="4" spans="1:12" s="5" customFormat="1" ht="24" customHeight="1" x14ac:dyDescent="0.3">
      <c r="A4" s="359" t="s">
        <v>755</v>
      </c>
      <c r="B4" s="375"/>
      <c r="C4" s="743" t="s">
        <v>756</v>
      </c>
      <c r="D4" s="744"/>
      <c r="E4" s="744"/>
      <c r="F4" s="744"/>
      <c r="G4" s="744"/>
      <c r="H4" s="744"/>
      <c r="I4" s="745"/>
      <c r="J4" s="358"/>
      <c r="K4" s="358"/>
      <c r="L4" s="358"/>
    </row>
    <row r="5" spans="1:12" s="5" customFormat="1" ht="240" x14ac:dyDescent="0.3">
      <c r="A5" s="360" t="s">
        <v>825</v>
      </c>
      <c r="B5" s="375"/>
      <c r="C5" s="361" t="s">
        <v>826</v>
      </c>
      <c r="D5" s="362"/>
      <c r="E5" s="363" t="s">
        <v>827</v>
      </c>
      <c r="F5" s="364" t="s">
        <v>6</v>
      </c>
      <c r="G5" s="365"/>
      <c r="H5" s="365"/>
      <c r="I5" s="366"/>
      <c r="J5" s="358"/>
      <c r="K5" s="358"/>
      <c r="L5" s="358"/>
    </row>
    <row r="6" spans="1:12" s="5" customFormat="1" ht="216" x14ac:dyDescent="0.3">
      <c r="A6" s="360" t="s">
        <v>11</v>
      </c>
      <c r="B6" s="375"/>
      <c r="C6" s="361" t="s">
        <v>828</v>
      </c>
      <c r="D6" s="362"/>
      <c r="E6" s="363" t="s">
        <v>829</v>
      </c>
      <c r="F6" s="364" t="s">
        <v>6</v>
      </c>
      <c r="G6" s="365"/>
      <c r="H6" s="365"/>
      <c r="I6" s="376" t="s">
        <v>830</v>
      </c>
      <c r="J6" s="358"/>
      <c r="K6" s="358"/>
      <c r="L6" s="358"/>
    </row>
    <row r="7" spans="1:12" s="5" customFormat="1" ht="125.1" customHeight="1" x14ac:dyDescent="0.3">
      <c r="A7" s="360" t="s">
        <v>11</v>
      </c>
      <c r="B7" s="375"/>
      <c r="C7" s="361" t="s">
        <v>831</v>
      </c>
      <c r="D7" s="362"/>
      <c r="E7" s="363" t="s">
        <v>832</v>
      </c>
      <c r="F7" s="364"/>
      <c r="G7" s="365" t="s">
        <v>833</v>
      </c>
      <c r="H7" s="365"/>
      <c r="I7" s="376" t="s">
        <v>834</v>
      </c>
      <c r="J7" s="358"/>
      <c r="K7" s="358"/>
      <c r="L7" s="358"/>
    </row>
    <row r="8" spans="1:12" s="5" customFormat="1" ht="147.75" customHeight="1" x14ac:dyDescent="0.3">
      <c r="A8" s="360" t="s">
        <v>45</v>
      </c>
      <c r="B8" s="375"/>
      <c r="C8" s="361" t="s">
        <v>835</v>
      </c>
      <c r="D8" s="362"/>
      <c r="E8" s="363" t="s">
        <v>836</v>
      </c>
      <c r="F8" s="364" t="s">
        <v>6</v>
      </c>
      <c r="G8" s="365"/>
      <c r="H8" s="365"/>
      <c r="I8" s="366"/>
      <c r="J8" s="358"/>
      <c r="K8" s="358"/>
      <c r="L8" s="358"/>
    </row>
    <row r="9" spans="1:12" ht="192" x14ac:dyDescent="0.45">
      <c r="A9" s="360" t="s">
        <v>11</v>
      </c>
      <c r="B9" s="375"/>
      <c r="C9" s="361" t="s">
        <v>837</v>
      </c>
      <c r="D9" s="362"/>
      <c r="E9" s="363" t="s">
        <v>838</v>
      </c>
      <c r="F9" s="364" t="s">
        <v>6</v>
      </c>
      <c r="G9" s="365"/>
      <c r="H9" s="365"/>
      <c r="I9" s="376" t="s">
        <v>839</v>
      </c>
      <c r="J9" s="358"/>
      <c r="K9" s="358"/>
      <c r="L9" s="358"/>
    </row>
    <row r="10" spans="1:12" ht="192" x14ac:dyDescent="0.45">
      <c r="A10" s="360" t="s">
        <v>136</v>
      </c>
      <c r="B10" s="375"/>
      <c r="C10" s="361" t="s">
        <v>840</v>
      </c>
      <c r="D10" s="362"/>
      <c r="E10" s="363" t="s">
        <v>841</v>
      </c>
      <c r="F10" s="364"/>
      <c r="G10" s="365" t="s">
        <v>833</v>
      </c>
      <c r="H10" s="365"/>
      <c r="I10" s="376" t="s">
        <v>842</v>
      </c>
      <c r="J10" s="358"/>
      <c r="K10" s="358"/>
      <c r="L10" s="358"/>
    </row>
    <row r="11" spans="1:12" ht="96" x14ac:dyDescent="0.45">
      <c r="A11" s="360" t="s">
        <v>189</v>
      </c>
      <c r="B11" s="375"/>
      <c r="C11" s="361" t="s">
        <v>843</v>
      </c>
      <c r="D11" s="362"/>
      <c r="E11" s="363" t="s">
        <v>844</v>
      </c>
      <c r="F11" s="364" t="s">
        <v>6</v>
      </c>
      <c r="G11" s="365"/>
      <c r="H11" s="365"/>
      <c r="I11" s="376"/>
      <c r="J11" s="358"/>
      <c r="K11" s="358"/>
      <c r="L11" s="358"/>
    </row>
    <row r="12" spans="1:12" ht="168" x14ac:dyDescent="0.45">
      <c r="A12" s="360" t="s">
        <v>845</v>
      </c>
      <c r="B12" s="375"/>
      <c r="C12" s="361" t="s">
        <v>846</v>
      </c>
      <c r="D12" s="362"/>
      <c r="E12" s="363" t="s">
        <v>847</v>
      </c>
      <c r="F12" s="364"/>
      <c r="G12" s="365" t="s">
        <v>833</v>
      </c>
      <c r="H12" s="365"/>
      <c r="I12" s="376" t="s">
        <v>848</v>
      </c>
      <c r="J12" s="358"/>
      <c r="K12" s="358"/>
      <c r="L12" s="358"/>
    </row>
    <row r="13" spans="1:12" ht="192" x14ac:dyDescent="0.45">
      <c r="A13" s="360" t="s">
        <v>189</v>
      </c>
      <c r="B13" s="375"/>
      <c r="C13" s="361" t="s">
        <v>849</v>
      </c>
      <c r="D13" s="362"/>
      <c r="E13" s="363" t="s">
        <v>850</v>
      </c>
      <c r="F13" s="364" t="s">
        <v>6</v>
      </c>
      <c r="G13" s="365"/>
      <c r="H13" s="365"/>
      <c r="I13" s="366"/>
      <c r="J13" s="358"/>
      <c r="K13" s="358"/>
      <c r="L13" s="358"/>
    </row>
    <row r="14" spans="1:12" ht="24" x14ac:dyDescent="0.45">
      <c r="A14" s="359" t="s">
        <v>758</v>
      </c>
      <c r="B14" s="375"/>
      <c r="C14" s="743" t="s">
        <v>759</v>
      </c>
      <c r="D14" s="744"/>
      <c r="E14" s="744"/>
      <c r="F14" s="744"/>
      <c r="G14" s="744"/>
      <c r="H14" s="744"/>
      <c r="I14" s="745"/>
      <c r="J14" s="358"/>
      <c r="K14" s="358"/>
      <c r="L14" s="358"/>
    </row>
    <row r="15" spans="1:12" ht="118.5" customHeight="1" x14ac:dyDescent="0.45">
      <c r="A15" s="360" t="s">
        <v>825</v>
      </c>
      <c r="B15" s="375"/>
      <c r="C15" s="361" t="s">
        <v>851</v>
      </c>
      <c r="D15" s="362"/>
      <c r="E15" s="363" t="s">
        <v>852</v>
      </c>
      <c r="F15" s="364"/>
      <c r="G15" s="365" t="s">
        <v>833</v>
      </c>
      <c r="H15" s="365"/>
      <c r="I15" s="376" t="s">
        <v>760</v>
      </c>
      <c r="J15" s="358"/>
      <c r="K15" s="358"/>
      <c r="L15" s="358"/>
    </row>
    <row r="16" spans="1:12" ht="23.25" customHeight="1" x14ac:dyDescent="0.45">
      <c r="A16" s="360" t="s">
        <v>853</v>
      </c>
      <c r="B16" s="375"/>
      <c r="C16" s="361" t="s">
        <v>854</v>
      </c>
      <c r="D16" s="362"/>
      <c r="E16" s="363" t="s">
        <v>855</v>
      </c>
      <c r="F16" s="364"/>
      <c r="G16" s="365" t="s">
        <v>856</v>
      </c>
      <c r="H16" s="365"/>
      <c r="I16" s="366"/>
      <c r="J16" s="358"/>
      <c r="K16" s="358"/>
      <c r="L16" s="358"/>
    </row>
    <row r="17" spans="1:50" ht="168" x14ac:dyDescent="0.45">
      <c r="A17" s="360" t="s">
        <v>11</v>
      </c>
      <c r="B17" s="375"/>
      <c r="C17" s="361" t="s">
        <v>857</v>
      </c>
      <c r="D17" s="362"/>
      <c r="E17" s="363" t="s">
        <v>858</v>
      </c>
      <c r="F17" s="364"/>
      <c r="G17" s="365" t="s">
        <v>856</v>
      </c>
      <c r="H17" s="365"/>
      <c r="I17" s="366"/>
      <c r="J17" s="358"/>
      <c r="K17" s="358"/>
      <c r="L17" s="358"/>
    </row>
    <row r="18" spans="1:50" ht="144" x14ac:dyDescent="0.45">
      <c r="A18" s="360" t="s">
        <v>11</v>
      </c>
      <c r="B18" s="375"/>
      <c r="C18" s="361" t="s">
        <v>859</v>
      </c>
      <c r="D18" s="362"/>
      <c r="E18" s="363" t="s">
        <v>860</v>
      </c>
      <c r="F18" s="364"/>
      <c r="G18" s="365" t="s">
        <v>856</v>
      </c>
      <c r="H18" s="365"/>
      <c r="I18" s="366"/>
      <c r="J18" s="358"/>
      <c r="K18" s="358"/>
      <c r="L18" s="358"/>
      <c r="M18" s="353" t="s">
        <v>220</v>
      </c>
    </row>
    <row r="19" spans="1:50" ht="72" x14ac:dyDescent="0.45">
      <c r="A19" s="360" t="s">
        <v>45</v>
      </c>
      <c r="B19" s="375"/>
      <c r="C19" s="361" t="s">
        <v>861</v>
      </c>
      <c r="D19" s="362"/>
      <c r="E19" s="363" t="s">
        <v>862</v>
      </c>
      <c r="F19" s="364"/>
      <c r="G19" s="365" t="s">
        <v>856</v>
      </c>
      <c r="H19" s="365"/>
      <c r="I19" s="366"/>
      <c r="J19" s="358"/>
      <c r="K19" s="358"/>
      <c r="L19" s="358"/>
    </row>
    <row r="20" spans="1:50" ht="165.75" customHeight="1" x14ac:dyDescent="0.45">
      <c r="A20" s="360" t="s">
        <v>136</v>
      </c>
      <c r="B20" s="375"/>
      <c r="C20" s="361" t="s">
        <v>840</v>
      </c>
      <c r="D20" s="362"/>
      <c r="E20" s="363" t="s">
        <v>863</v>
      </c>
      <c r="F20" s="364"/>
      <c r="G20" s="365" t="s">
        <v>856</v>
      </c>
      <c r="H20" s="365"/>
      <c r="I20" s="366"/>
      <c r="J20" s="358"/>
      <c r="K20" s="358"/>
      <c r="L20" s="358"/>
    </row>
    <row r="21" spans="1:50" ht="144" x14ac:dyDescent="0.45">
      <c r="A21" s="360" t="s">
        <v>845</v>
      </c>
      <c r="B21" s="375"/>
      <c r="C21" s="361" t="s">
        <v>864</v>
      </c>
      <c r="D21" s="362"/>
      <c r="E21" s="363" t="s">
        <v>865</v>
      </c>
      <c r="F21" s="364"/>
      <c r="G21" s="365" t="s">
        <v>856</v>
      </c>
      <c r="H21" s="365"/>
      <c r="I21" s="366"/>
      <c r="J21" s="358"/>
      <c r="K21" s="358"/>
      <c r="L21" s="358"/>
    </row>
    <row r="22" spans="1:50" ht="72" x14ac:dyDescent="0.45">
      <c r="A22" s="360" t="s">
        <v>189</v>
      </c>
      <c r="B22" s="375"/>
      <c r="C22" s="361" t="s">
        <v>866</v>
      </c>
      <c r="D22" s="362"/>
      <c r="E22" s="363" t="s">
        <v>867</v>
      </c>
      <c r="F22" s="364"/>
      <c r="G22" s="365" t="s">
        <v>856</v>
      </c>
      <c r="H22" s="365"/>
      <c r="I22" s="366"/>
      <c r="J22" s="358"/>
      <c r="K22" s="358"/>
      <c r="L22" s="358"/>
    </row>
    <row r="23" spans="1:50" ht="24" x14ac:dyDescent="0.45">
      <c r="A23" s="359" t="s">
        <v>761</v>
      </c>
      <c r="B23" s="375"/>
      <c r="C23" s="743" t="s">
        <v>762</v>
      </c>
      <c r="D23" s="744"/>
      <c r="E23" s="744"/>
      <c r="F23" s="744"/>
      <c r="G23" s="744"/>
      <c r="H23" s="744"/>
      <c r="I23" s="745"/>
      <c r="J23" s="358"/>
      <c r="K23" s="358"/>
      <c r="L23" s="358"/>
    </row>
    <row r="24" spans="1:50" ht="168" x14ac:dyDescent="0.45">
      <c r="A24" s="360" t="s">
        <v>825</v>
      </c>
      <c r="B24" s="375"/>
      <c r="C24" s="361" t="s">
        <v>826</v>
      </c>
      <c r="D24" s="362"/>
      <c r="E24" s="363" t="s">
        <v>868</v>
      </c>
      <c r="F24" s="364" t="s">
        <v>6</v>
      </c>
      <c r="G24" s="365"/>
      <c r="H24" s="365"/>
      <c r="I24" s="366"/>
      <c r="J24" s="358"/>
      <c r="K24" s="358"/>
      <c r="L24" s="358"/>
    </row>
    <row r="25" spans="1:50" ht="96" x14ac:dyDescent="0.45">
      <c r="A25" s="360" t="s">
        <v>11</v>
      </c>
      <c r="B25" s="375"/>
      <c r="C25" s="361" t="s">
        <v>869</v>
      </c>
      <c r="D25" s="362"/>
      <c r="E25" s="363" t="s">
        <v>870</v>
      </c>
      <c r="F25" s="364" t="s">
        <v>6</v>
      </c>
      <c r="G25" s="365"/>
      <c r="H25" s="365"/>
      <c r="I25" s="366"/>
      <c r="J25" s="358"/>
      <c r="K25" s="358"/>
      <c r="L25" s="358"/>
    </row>
    <row r="26" spans="1:50" ht="188.25" customHeight="1" x14ac:dyDescent="0.45">
      <c r="A26" s="360" t="s">
        <v>45</v>
      </c>
      <c r="B26" s="375"/>
      <c r="C26" s="361" t="s">
        <v>871</v>
      </c>
      <c r="D26" s="362"/>
      <c r="E26" s="363" t="s">
        <v>872</v>
      </c>
      <c r="F26" s="364" t="s">
        <v>6</v>
      </c>
      <c r="G26" s="365"/>
      <c r="H26" s="365"/>
      <c r="I26" s="366"/>
      <c r="J26" s="358"/>
      <c r="K26" s="358"/>
      <c r="L26" s="358"/>
    </row>
    <row r="27" spans="1:50" ht="188.25" customHeight="1" x14ac:dyDescent="0.45">
      <c r="A27" s="385" t="s">
        <v>45</v>
      </c>
      <c r="B27" s="386"/>
      <c r="C27" s="387" t="s">
        <v>873</v>
      </c>
      <c r="D27" s="388"/>
      <c r="E27" s="389" t="s">
        <v>874</v>
      </c>
      <c r="F27" s="390" t="s">
        <v>6</v>
      </c>
      <c r="G27" s="391"/>
      <c r="H27" s="391"/>
      <c r="I27" s="392"/>
      <c r="J27" s="358"/>
      <c r="K27" s="358"/>
      <c r="L27" s="358"/>
    </row>
    <row r="28" spans="1:50" ht="144" x14ac:dyDescent="0.45">
      <c r="A28" s="378" t="s">
        <v>853</v>
      </c>
      <c r="B28" s="379"/>
      <c r="C28" s="380" t="s">
        <v>875</v>
      </c>
      <c r="D28" s="381"/>
      <c r="E28" s="401" t="s">
        <v>876</v>
      </c>
      <c r="F28" s="405"/>
      <c r="G28" s="383" t="s">
        <v>833</v>
      </c>
      <c r="H28" s="383"/>
      <c r="I28" s="384" t="s">
        <v>763</v>
      </c>
      <c r="J28" s="358"/>
      <c r="K28" s="358"/>
      <c r="L28" s="358"/>
    </row>
    <row r="29" spans="1:50" s="336" customFormat="1" ht="144" x14ac:dyDescent="0.3">
      <c r="A29" s="378" t="s">
        <v>11</v>
      </c>
      <c r="B29" s="379"/>
      <c r="C29" s="380" t="s">
        <v>877</v>
      </c>
      <c r="D29" s="381"/>
      <c r="E29" s="401" t="s">
        <v>878</v>
      </c>
      <c r="F29" s="382" t="s">
        <v>6</v>
      </c>
      <c r="G29" s="404"/>
      <c r="H29" s="402"/>
      <c r="I29" s="403"/>
      <c r="J29" s="358"/>
      <c r="K29" s="358"/>
      <c r="L29" s="358"/>
      <c r="M29" s="350"/>
      <c r="N29" s="350"/>
      <c r="O29" s="350"/>
      <c r="P29" s="350"/>
      <c r="Q29" s="350"/>
      <c r="R29" s="350"/>
      <c r="S29" s="350"/>
      <c r="T29" s="350"/>
      <c r="U29" s="350"/>
      <c r="V29" s="350"/>
      <c r="W29" s="350"/>
      <c r="X29" s="350"/>
      <c r="Y29" s="350"/>
      <c r="Z29" s="350"/>
      <c r="AA29" s="350"/>
      <c r="AB29" s="350"/>
      <c r="AC29" s="350"/>
      <c r="AD29" s="350"/>
      <c r="AE29" s="350"/>
      <c r="AF29" s="350"/>
      <c r="AG29" s="350"/>
      <c r="AH29" s="350"/>
      <c r="AI29" s="350"/>
      <c r="AJ29" s="350"/>
      <c r="AK29" s="350"/>
      <c r="AL29" s="350"/>
      <c r="AM29" s="350"/>
      <c r="AN29" s="350"/>
      <c r="AO29" s="350"/>
      <c r="AP29" s="350"/>
      <c r="AQ29" s="350"/>
      <c r="AR29" s="350"/>
      <c r="AS29" s="350"/>
      <c r="AT29" s="350"/>
      <c r="AU29" s="350"/>
      <c r="AV29" s="350"/>
      <c r="AW29" s="350"/>
      <c r="AX29" s="351"/>
    </row>
    <row r="30" spans="1:50" ht="72" x14ac:dyDescent="0.45">
      <c r="A30" s="393" t="s">
        <v>136</v>
      </c>
      <c r="B30" s="394"/>
      <c r="C30" s="395" t="s">
        <v>840</v>
      </c>
      <c r="D30" s="396"/>
      <c r="E30" s="397" t="s">
        <v>879</v>
      </c>
      <c r="F30" s="398"/>
      <c r="G30" s="365" t="s">
        <v>833</v>
      </c>
      <c r="H30" s="399"/>
      <c r="I30" s="400"/>
      <c r="J30" s="358"/>
      <c r="K30" s="358"/>
      <c r="L30" s="358"/>
    </row>
    <row r="31" spans="1:50" ht="96" x14ac:dyDescent="0.45">
      <c r="A31" s="360" t="s">
        <v>845</v>
      </c>
      <c r="B31" s="375"/>
      <c r="C31" s="361" t="s">
        <v>880</v>
      </c>
      <c r="D31" s="362"/>
      <c r="E31" s="363" t="s">
        <v>881</v>
      </c>
      <c r="F31" s="364" t="s">
        <v>6</v>
      </c>
      <c r="G31" s="365"/>
      <c r="H31" s="365"/>
      <c r="I31" s="366"/>
      <c r="J31" s="358"/>
      <c r="K31" s="358"/>
      <c r="L31" s="358"/>
    </row>
    <row r="32" spans="1:50" ht="72" x14ac:dyDescent="0.45">
      <c r="A32" s="360" t="s">
        <v>189</v>
      </c>
      <c r="B32" s="375"/>
      <c r="C32" s="361" t="s">
        <v>866</v>
      </c>
      <c r="D32" s="362"/>
      <c r="E32" s="363" t="s">
        <v>867</v>
      </c>
      <c r="F32" s="364"/>
      <c r="G32" s="365" t="s">
        <v>833</v>
      </c>
      <c r="H32" s="365"/>
      <c r="I32" s="366"/>
      <c r="J32" s="358"/>
      <c r="K32" s="358"/>
      <c r="L32" s="358"/>
    </row>
    <row r="33" spans="1:13" ht="24" customHeight="1" x14ac:dyDescent="0.45">
      <c r="A33" s="359" t="s">
        <v>764</v>
      </c>
      <c r="B33" s="375"/>
      <c r="C33" s="743" t="s">
        <v>765</v>
      </c>
      <c r="D33" s="744"/>
      <c r="E33" s="744"/>
      <c r="F33" s="744"/>
      <c r="G33" s="744"/>
      <c r="H33" s="744"/>
      <c r="I33" s="745"/>
      <c r="J33" s="358"/>
      <c r="K33" s="358"/>
      <c r="L33" s="358"/>
    </row>
    <row r="34" spans="1:13" ht="188.25" customHeight="1" x14ac:dyDescent="0.45">
      <c r="A34" s="360" t="s">
        <v>825</v>
      </c>
      <c r="B34" s="375"/>
      <c r="C34" s="361" t="s">
        <v>826</v>
      </c>
      <c r="D34" s="362"/>
      <c r="E34" s="363" t="s">
        <v>882</v>
      </c>
      <c r="F34" s="364" t="s">
        <v>6</v>
      </c>
      <c r="G34" s="365"/>
      <c r="H34" s="365"/>
      <c r="I34" s="366"/>
      <c r="J34" s="358"/>
      <c r="K34" s="358"/>
      <c r="L34" s="358"/>
    </row>
    <row r="35" spans="1:13" ht="48" x14ac:dyDescent="0.45">
      <c r="A35" s="360" t="s">
        <v>11</v>
      </c>
      <c r="B35" s="375"/>
      <c r="C35" s="361" t="s">
        <v>883</v>
      </c>
      <c r="D35" s="362"/>
      <c r="E35" s="363" t="s">
        <v>884</v>
      </c>
      <c r="F35" s="364" t="s">
        <v>6</v>
      </c>
      <c r="G35" s="365"/>
      <c r="H35" s="365"/>
      <c r="I35" s="366"/>
      <c r="J35" s="358"/>
      <c r="K35" s="358"/>
      <c r="L35" s="358"/>
    </row>
    <row r="36" spans="1:13" ht="120" x14ac:dyDescent="0.45">
      <c r="A36" s="360" t="s">
        <v>45</v>
      </c>
      <c r="B36" s="375"/>
      <c r="C36" s="361" t="s">
        <v>885</v>
      </c>
      <c r="D36" s="362"/>
      <c r="E36" s="363" t="s">
        <v>886</v>
      </c>
      <c r="F36" s="364"/>
      <c r="G36" s="365" t="s">
        <v>833</v>
      </c>
      <c r="H36" s="365"/>
      <c r="I36" s="376" t="s">
        <v>887</v>
      </c>
      <c r="J36" s="358"/>
      <c r="K36" s="358"/>
      <c r="L36" s="358"/>
    </row>
    <row r="37" spans="1:13" ht="162" x14ac:dyDescent="0.45">
      <c r="A37" s="360" t="s">
        <v>853</v>
      </c>
      <c r="B37" s="375"/>
      <c r="C37" s="361" t="s">
        <v>875</v>
      </c>
      <c r="D37" s="362"/>
      <c r="E37" s="363" t="s">
        <v>888</v>
      </c>
      <c r="F37" s="364"/>
      <c r="G37" s="365" t="s">
        <v>833</v>
      </c>
      <c r="H37" s="365"/>
      <c r="I37" s="376" t="s">
        <v>889</v>
      </c>
      <c r="J37" s="358"/>
      <c r="K37" s="358"/>
      <c r="L37" s="358"/>
    </row>
    <row r="38" spans="1:13" ht="188.25" customHeight="1" x14ac:dyDescent="0.45">
      <c r="A38" s="360" t="s">
        <v>11</v>
      </c>
      <c r="B38" s="375"/>
      <c r="C38" s="361" t="s">
        <v>890</v>
      </c>
      <c r="D38" s="362"/>
      <c r="E38" s="363" t="s">
        <v>891</v>
      </c>
      <c r="F38" s="364" t="s">
        <v>6</v>
      </c>
      <c r="G38" s="365"/>
      <c r="H38" s="365"/>
      <c r="I38" s="376"/>
      <c r="J38" s="358"/>
      <c r="K38" s="358"/>
      <c r="L38" s="358"/>
    </row>
    <row r="39" spans="1:13" ht="118.5" customHeight="1" x14ac:dyDescent="0.45">
      <c r="A39" s="360" t="s">
        <v>11</v>
      </c>
      <c r="B39" s="375"/>
      <c r="C39" s="361" t="s">
        <v>892</v>
      </c>
      <c r="D39" s="362"/>
      <c r="E39" s="363" t="s">
        <v>893</v>
      </c>
      <c r="F39" s="364" t="s">
        <v>6</v>
      </c>
      <c r="G39" s="365"/>
      <c r="H39" s="365"/>
      <c r="I39" s="376" t="s">
        <v>894</v>
      </c>
      <c r="J39" s="358"/>
      <c r="K39" s="358"/>
      <c r="L39" s="358"/>
    </row>
    <row r="40" spans="1:13" ht="168" x14ac:dyDescent="0.45">
      <c r="A40" s="360" t="s">
        <v>11</v>
      </c>
      <c r="B40" s="375"/>
      <c r="C40" s="361" t="s">
        <v>895</v>
      </c>
      <c r="D40" s="362"/>
      <c r="E40" s="363" t="s">
        <v>896</v>
      </c>
      <c r="F40" s="364" t="s">
        <v>6</v>
      </c>
      <c r="G40" s="365"/>
      <c r="H40" s="365"/>
      <c r="I40" s="376" t="s">
        <v>897</v>
      </c>
      <c r="J40" s="358"/>
      <c r="K40" s="358"/>
      <c r="L40" s="358"/>
    </row>
    <row r="41" spans="1:13" ht="235.5" customHeight="1" x14ac:dyDescent="0.45">
      <c r="A41" s="360" t="s">
        <v>136</v>
      </c>
      <c r="B41" s="375"/>
      <c r="C41" s="361" t="s">
        <v>840</v>
      </c>
      <c r="D41" s="362"/>
      <c r="E41" s="363" t="s">
        <v>898</v>
      </c>
      <c r="F41" s="364"/>
      <c r="G41" s="365" t="s">
        <v>833</v>
      </c>
      <c r="H41" s="365"/>
      <c r="I41" s="366"/>
      <c r="J41" s="358"/>
      <c r="K41" s="358"/>
      <c r="L41" s="358"/>
    </row>
    <row r="42" spans="1:13" ht="165.75" customHeight="1" x14ac:dyDescent="0.45">
      <c r="A42" s="360" t="s">
        <v>845</v>
      </c>
      <c r="B42" s="375"/>
      <c r="C42" s="361" t="s">
        <v>880</v>
      </c>
      <c r="D42" s="362"/>
      <c r="E42" s="363" t="s">
        <v>899</v>
      </c>
      <c r="F42" s="364" t="s">
        <v>6</v>
      </c>
      <c r="G42" s="365"/>
      <c r="H42" s="365"/>
      <c r="I42" s="366" t="s">
        <v>900</v>
      </c>
      <c r="J42" s="358"/>
      <c r="K42" s="358"/>
      <c r="L42" s="358"/>
    </row>
    <row r="43" spans="1:13" ht="48.6" x14ac:dyDescent="0.45">
      <c r="A43" s="360" t="s">
        <v>189</v>
      </c>
      <c r="B43" s="375"/>
      <c r="C43" s="361" t="s">
        <v>866</v>
      </c>
      <c r="D43" s="362"/>
      <c r="E43" s="363" t="s">
        <v>901</v>
      </c>
      <c r="F43" s="364"/>
      <c r="G43" s="365" t="s">
        <v>833</v>
      </c>
      <c r="H43" s="365"/>
      <c r="I43" s="376" t="s">
        <v>902</v>
      </c>
      <c r="J43" s="358"/>
      <c r="K43" s="358"/>
      <c r="L43" s="358"/>
      <c r="M43" s="353" t="s">
        <v>283</v>
      </c>
    </row>
    <row r="44" spans="1:13" ht="24" x14ac:dyDescent="0.45">
      <c r="A44" s="359" t="s">
        <v>768</v>
      </c>
      <c r="B44" s="375"/>
      <c r="C44" s="743" t="s">
        <v>769</v>
      </c>
      <c r="D44" s="744"/>
      <c r="E44" s="744"/>
      <c r="F44" s="744"/>
      <c r="G44" s="744"/>
      <c r="H44" s="744"/>
      <c r="I44" s="745"/>
      <c r="J44" s="358"/>
      <c r="K44" s="358"/>
      <c r="L44" s="358"/>
    </row>
    <row r="45" spans="1:13" ht="120" x14ac:dyDescent="0.45">
      <c r="A45" s="360" t="s">
        <v>825</v>
      </c>
      <c r="B45" s="375"/>
      <c r="C45" s="361" t="s">
        <v>826</v>
      </c>
      <c r="D45" s="362"/>
      <c r="E45" s="363" t="s">
        <v>882</v>
      </c>
      <c r="F45" s="364" t="s">
        <v>6</v>
      </c>
      <c r="G45" s="365"/>
      <c r="H45" s="365"/>
      <c r="I45" s="366"/>
      <c r="J45" s="358"/>
      <c r="K45" s="358"/>
      <c r="L45" s="358"/>
    </row>
    <row r="46" spans="1:13" ht="96" x14ac:dyDescent="0.45">
      <c r="A46" s="360" t="s">
        <v>11</v>
      </c>
      <c r="B46" s="375"/>
      <c r="C46" s="361" t="s">
        <v>903</v>
      </c>
      <c r="D46" s="362"/>
      <c r="E46" s="363" t="s">
        <v>904</v>
      </c>
      <c r="F46" s="364" t="s">
        <v>6</v>
      </c>
      <c r="G46" s="365"/>
      <c r="H46" s="365"/>
      <c r="I46" s="366"/>
      <c r="J46" s="358"/>
      <c r="K46" s="358"/>
      <c r="L46" s="358"/>
    </row>
    <row r="47" spans="1:13" ht="48" x14ac:dyDescent="0.45">
      <c r="A47" s="360" t="s">
        <v>11</v>
      </c>
      <c r="B47" s="375"/>
      <c r="C47" s="361" t="s">
        <v>905</v>
      </c>
      <c r="D47" s="362"/>
      <c r="E47" s="363" t="s">
        <v>906</v>
      </c>
      <c r="F47" s="364" t="s">
        <v>6</v>
      </c>
      <c r="G47" s="365"/>
      <c r="H47" s="365"/>
      <c r="I47" s="366"/>
      <c r="J47" s="358"/>
      <c r="K47" s="358"/>
      <c r="L47" s="358"/>
    </row>
    <row r="48" spans="1:13" ht="96" x14ac:dyDescent="0.45">
      <c r="A48" s="360" t="s">
        <v>136</v>
      </c>
      <c r="B48" s="375"/>
      <c r="C48" s="361" t="s">
        <v>840</v>
      </c>
      <c r="D48" s="362"/>
      <c r="E48" s="363" t="s">
        <v>907</v>
      </c>
      <c r="F48" s="364"/>
      <c r="G48" s="365" t="s">
        <v>833</v>
      </c>
      <c r="H48" s="365"/>
      <c r="I48" s="366" t="s">
        <v>908</v>
      </c>
      <c r="J48" s="358"/>
      <c r="K48" s="358"/>
      <c r="L48" s="358"/>
    </row>
    <row r="49" spans="1:12" ht="144" x14ac:dyDescent="0.45">
      <c r="A49" s="360" t="s">
        <v>845</v>
      </c>
      <c r="B49" s="375"/>
      <c r="C49" s="361" t="s">
        <v>909</v>
      </c>
      <c r="D49" s="362"/>
      <c r="E49" s="363" t="s">
        <v>910</v>
      </c>
      <c r="F49" s="410"/>
      <c r="G49" s="411"/>
      <c r="H49" s="411"/>
      <c r="I49" s="366"/>
      <c r="J49" s="358"/>
      <c r="K49" s="358"/>
      <c r="L49" s="358"/>
    </row>
    <row r="50" spans="1:12" ht="96" x14ac:dyDescent="0.45">
      <c r="A50" s="360" t="s">
        <v>189</v>
      </c>
      <c r="B50" s="375"/>
      <c r="C50" s="361" t="s">
        <v>911</v>
      </c>
      <c r="D50" s="362"/>
      <c r="E50" s="363" t="s">
        <v>912</v>
      </c>
      <c r="F50" s="364" t="s">
        <v>6</v>
      </c>
      <c r="G50" s="365"/>
      <c r="H50" s="365"/>
      <c r="I50" s="366"/>
      <c r="J50" s="358"/>
      <c r="K50" s="358"/>
      <c r="L50" s="358"/>
    </row>
    <row r="51" spans="1:12" ht="24" x14ac:dyDescent="0.45">
      <c r="A51" s="359" t="s">
        <v>771</v>
      </c>
      <c r="B51" s="375"/>
      <c r="C51" s="743" t="s">
        <v>913</v>
      </c>
      <c r="D51" s="744"/>
      <c r="E51" s="744"/>
      <c r="F51" s="744"/>
      <c r="G51" s="744"/>
      <c r="H51" s="744"/>
      <c r="I51" s="745"/>
      <c r="J51" s="358"/>
      <c r="K51" s="358"/>
      <c r="L51" s="358"/>
    </row>
    <row r="52" spans="1:12" ht="72" x14ac:dyDescent="0.45">
      <c r="A52" s="360" t="s">
        <v>825</v>
      </c>
      <c r="B52" s="375"/>
      <c r="C52" s="361" t="s">
        <v>826</v>
      </c>
      <c r="D52" s="362"/>
      <c r="E52" s="363" t="s">
        <v>914</v>
      </c>
      <c r="F52" s="364" t="s">
        <v>6</v>
      </c>
      <c r="G52" s="365"/>
      <c r="H52" s="365"/>
      <c r="I52" s="366"/>
      <c r="J52" s="358"/>
      <c r="K52" s="358"/>
      <c r="L52" s="358"/>
    </row>
    <row r="53" spans="1:12" ht="72" x14ac:dyDescent="0.45">
      <c r="A53" s="360" t="s">
        <v>11</v>
      </c>
      <c r="B53" s="375"/>
      <c r="C53" s="361" t="s">
        <v>869</v>
      </c>
      <c r="D53" s="362"/>
      <c r="E53" s="363" t="s">
        <v>915</v>
      </c>
      <c r="F53" s="364" t="s">
        <v>6</v>
      </c>
      <c r="G53" s="365"/>
      <c r="H53" s="365"/>
      <c r="I53" s="366"/>
      <c r="J53" s="358"/>
      <c r="K53" s="358"/>
      <c r="L53" s="358"/>
    </row>
    <row r="54" spans="1:12" ht="120" x14ac:dyDescent="0.45">
      <c r="A54" s="360" t="s">
        <v>45</v>
      </c>
      <c r="B54" s="375"/>
      <c r="C54" s="361" t="s">
        <v>916</v>
      </c>
      <c r="D54" s="362"/>
      <c r="E54" s="363" t="s">
        <v>917</v>
      </c>
      <c r="F54" s="364" t="s">
        <v>6</v>
      </c>
      <c r="G54" s="365"/>
      <c r="H54" s="365"/>
      <c r="I54" s="366"/>
      <c r="J54" s="358"/>
      <c r="K54" s="358"/>
      <c r="L54" s="358"/>
    </row>
    <row r="55" spans="1:12" ht="240" x14ac:dyDescent="0.45">
      <c r="A55" s="360" t="s">
        <v>45</v>
      </c>
      <c r="B55" s="375"/>
      <c r="C55" s="361" t="s">
        <v>918</v>
      </c>
      <c r="D55" s="362"/>
      <c r="E55" s="363" t="s">
        <v>919</v>
      </c>
      <c r="F55" s="364"/>
      <c r="G55" s="365"/>
      <c r="H55" s="365" t="s">
        <v>8</v>
      </c>
      <c r="I55" s="366" t="s">
        <v>920</v>
      </c>
      <c r="J55" s="358"/>
      <c r="K55" s="358"/>
      <c r="L55" s="358"/>
    </row>
    <row r="56" spans="1:12" ht="192" x14ac:dyDescent="0.45">
      <c r="A56" s="360" t="s">
        <v>45</v>
      </c>
      <c r="B56" s="375"/>
      <c r="C56" s="361" t="s">
        <v>921</v>
      </c>
      <c r="D56" s="362"/>
      <c r="E56" s="363" t="s">
        <v>922</v>
      </c>
      <c r="F56" s="364"/>
      <c r="G56" s="365"/>
      <c r="H56" s="365" t="s">
        <v>8</v>
      </c>
      <c r="I56" s="366" t="s">
        <v>920</v>
      </c>
      <c r="J56" s="358"/>
      <c r="K56" s="358"/>
      <c r="L56" s="358"/>
    </row>
    <row r="57" spans="1:12" ht="168" x14ac:dyDescent="0.45">
      <c r="A57" s="360" t="s">
        <v>11</v>
      </c>
      <c r="B57" s="375"/>
      <c r="C57" s="361" t="s">
        <v>923</v>
      </c>
      <c r="D57" s="362"/>
      <c r="E57" s="363" t="s">
        <v>924</v>
      </c>
      <c r="F57" s="364" t="s">
        <v>6</v>
      </c>
      <c r="G57" s="365"/>
      <c r="H57" s="365"/>
      <c r="I57" s="366"/>
      <c r="J57" s="358"/>
      <c r="K57" s="358"/>
      <c r="L57" s="358"/>
    </row>
    <row r="58" spans="1:12" ht="48" x14ac:dyDescent="0.45">
      <c r="A58" s="360" t="s">
        <v>136</v>
      </c>
      <c r="B58" s="375"/>
      <c r="C58" s="361" t="s">
        <v>840</v>
      </c>
      <c r="D58" s="362"/>
      <c r="E58" s="363" t="s">
        <v>925</v>
      </c>
      <c r="F58" s="364"/>
      <c r="G58" s="365" t="s">
        <v>833</v>
      </c>
      <c r="H58" s="365"/>
      <c r="I58" s="366"/>
      <c r="J58" s="358"/>
      <c r="K58" s="358"/>
      <c r="L58" s="358"/>
    </row>
    <row r="59" spans="1:12" ht="144" x14ac:dyDescent="0.45">
      <c r="A59" s="360" t="s">
        <v>845</v>
      </c>
      <c r="B59" s="375"/>
      <c r="C59" s="361" t="s">
        <v>926</v>
      </c>
      <c r="D59" s="362"/>
      <c r="E59" s="363" t="s">
        <v>927</v>
      </c>
      <c r="F59" s="364"/>
      <c r="G59" s="365"/>
      <c r="H59" s="365" t="s">
        <v>8</v>
      </c>
      <c r="I59" s="366" t="s">
        <v>928</v>
      </c>
      <c r="J59" s="358"/>
      <c r="K59" s="358"/>
      <c r="L59" s="358"/>
    </row>
    <row r="60" spans="1:12" ht="48" x14ac:dyDescent="0.45">
      <c r="A60" s="360" t="s">
        <v>189</v>
      </c>
      <c r="B60" s="375"/>
      <c r="C60" s="361" t="s">
        <v>866</v>
      </c>
      <c r="D60" s="362"/>
      <c r="E60" s="363" t="s">
        <v>901</v>
      </c>
      <c r="F60" s="364"/>
      <c r="G60" s="365" t="s">
        <v>833</v>
      </c>
      <c r="H60" s="365"/>
      <c r="I60" s="366"/>
      <c r="J60" s="358"/>
      <c r="K60" s="358"/>
      <c r="L60" s="358"/>
    </row>
    <row r="61" spans="1:12" ht="24" x14ac:dyDescent="0.45">
      <c r="A61" s="359" t="s">
        <v>773</v>
      </c>
      <c r="B61" s="375"/>
      <c r="C61" s="743" t="s">
        <v>774</v>
      </c>
      <c r="D61" s="744"/>
      <c r="E61" s="744"/>
      <c r="F61" s="744"/>
      <c r="G61" s="744"/>
      <c r="H61" s="744"/>
      <c r="I61" s="745"/>
      <c r="J61" s="358"/>
      <c r="K61" s="358"/>
      <c r="L61" s="358"/>
    </row>
    <row r="62" spans="1:12" ht="72" x14ac:dyDescent="0.45">
      <c r="A62" s="360" t="s">
        <v>825</v>
      </c>
      <c r="B62" s="375"/>
      <c r="C62" s="361" t="s">
        <v>826</v>
      </c>
      <c r="D62" s="362"/>
      <c r="E62" s="363" t="s">
        <v>914</v>
      </c>
      <c r="F62" s="364" t="s">
        <v>6</v>
      </c>
      <c r="G62" s="365"/>
      <c r="H62" s="365"/>
      <c r="I62" s="366"/>
      <c r="J62" s="358"/>
      <c r="K62" s="358"/>
      <c r="L62" s="358"/>
    </row>
    <row r="63" spans="1:12" ht="72" x14ac:dyDescent="0.45">
      <c r="A63" s="360" t="s">
        <v>11</v>
      </c>
      <c r="B63" s="375"/>
      <c r="C63" s="361" t="s">
        <v>869</v>
      </c>
      <c r="D63" s="362"/>
      <c r="E63" s="363" t="s">
        <v>915</v>
      </c>
      <c r="F63" s="364" t="s">
        <v>6</v>
      </c>
      <c r="G63" s="365"/>
      <c r="H63" s="365"/>
      <c r="I63" s="366"/>
      <c r="J63" s="358"/>
      <c r="K63" s="358"/>
      <c r="L63" s="358"/>
    </row>
    <row r="64" spans="1:12" ht="168" x14ac:dyDescent="0.45">
      <c r="A64" s="360" t="s">
        <v>45</v>
      </c>
      <c r="B64" s="375"/>
      <c r="C64" s="361" t="s">
        <v>929</v>
      </c>
      <c r="D64" s="362"/>
      <c r="E64" s="363" t="s">
        <v>930</v>
      </c>
      <c r="F64" s="364" t="s">
        <v>6</v>
      </c>
      <c r="G64" s="365"/>
      <c r="H64" s="365"/>
      <c r="I64" s="366"/>
      <c r="J64" s="358"/>
      <c r="K64" s="358"/>
      <c r="L64" s="358"/>
    </row>
    <row r="65" spans="1:12" ht="144" x14ac:dyDescent="0.45">
      <c r="A65" s="360" t="s">
        <v>845</v>
      </c>
      <c r="B65" s="375"/>
      <c r="C65" s="361" t="s">
        <v>931</v>
      </c>
      <c r="D65" s="362"/>
      <c r="E65" s="363" t="s">
        <v>932</v>
      </c>
      <c r="F65" s="364" t="s">
        <v>6</v>
      </c>
      <c r="G65" s="365"/>
      <c r="H65" s="365"/>
      <c r="I65" s="366"/>
      <c r="J65" s="358"/>
      <c r="K65" s="358"/>
      <c r="L65" s="358"/>
    </row>
    <row r="66" spans="1:12" ht="96" x14ac:dyDescent="0.45">
      <c r="A66" s="360" t="s">
        <v>189</v>
      </c>
      <c r="B66" s="375"/>
      <c r="C66" s="361" t="s">
        <v>933</v>
      </c>
      <c r="D66" s="362"/>
      <c r="E66" s="363" t="s">
        <v>934</v>
      </c>
      <c r="F66" s="364" t="s">
        <v>6</v>
      </c>
      <c r="G66" s="365"/>
      <c r="H66" s="365"/>
      <c r="I66" s="366" t="s">
        <v>935</v>
      </c>
      <c r="J66" s="358"/>
      <c r="K66" s="358"/>
      <c r="L66" s="358"/>
    </row>
    <row r="67" spans="1:12" ht="120" x14ac:dyDescent="0.45">
      <c r="A67" s="360" t="s">
        <v>11</v>
      </c>
      <c r="B67" s="375"/>
      <c r="C67" s="361" t="s">
        <v>936</v>
      </c>
      <c r="D67" s="362"/>
      <c r="E67" s="363" t="s">
        <v>937</v>
      </c>
      <c r="F67" s="364" t="s">
        <v>6</v>
      </c>
      <c r="G67" s="365"/>
      <c r="H67" s="365"/>
      <c r="I67" s="366"/>
      <c r="J67" s="358"/>
      <c r="K67" s="358"/>
      <c r="L67" s="358"/>
    </row>
    <row r="68" spans="1:12" ht="96" x14ac:dyDescent="0.45">
      <c r="A68" s="360" t="s">
        <v>45</v>
      </c>
      <c r="B68" s="375"/>
      <c r="C68" s="361" t="s">
        <v>835</v>
      </c>
      <c r="D68" s="362"/>
      <c r="E68" s="363" t="s">
        <v>938</v>
      </c>
      <c r="F68" s="364" t="s">
        <v>6</v>
      </c>
      <c r="G68" s="365"/>
      <c r="H68" s="365"/>
      <c r="I68" s="366"/>
      <c r="J68" s="358"/>
      <c r="K68" s="358"/>
      <c r="L68" s="358"/>
    </row>
    <row r="69" spans="1:12" ht="48" x14ac:dyDescent="0.45">
      <c r="A69" s="360" t="s">
        <v>136</v>
      </c>
      <c r="B69" s="375"/>
      <c r="C69" s="361" t="s">
        <v>840</v>
      </c>
      <c r="D69" s="362"/>
      <c r="E69" s="363" t="s">
        <v>925</v>
      </c>
      <c r="F69" s="364"/>
      <c r="G69" s="365" t="s">
        <v>833</v>
      </c>
      <c r="H69" s="365"/>
      <c r="I69" s="366"/>
      <c r="J69" s="358"/>
      <c r="K69" s="358"/>
      <c r="L69" s="358"/>
    </row>
    <row r="70" spans="1:12" ht="120" x14ac:dyDescent="0.45">
      <c r="A70" s="360" t="s">
        <v>845</v>
      </c>
      <c r="B70" s="375"/>
      <c r="C70" s="361" t="s">
        <v>939</v>
      </c>
      <c r="D70" s="362"/>
      <c r="E70" s="363" t="s">
        <v>940</v>
      </c>
      <c r="F70" s="364" t="s">
        <v>6</v>
      </c>
      <c r="G70" s="365"/>
      <c r="H70" s="365"/>
      <c r="I70" s="366"/>
      <c r="J70" s="358"/>
      <c r="K70" s="358"/>
      <c r="L70" s="358"/>
    </row>
    <row r="71" spans="1:12" ht="48" x14ac:dyDescent="0.45">
      <c r="A71" s="360" t="s">
        <v>189</v>
      </c>
      <c r="B71" s="375"/>
      <c r="C71" s="361" t="s">
        <v>941</v>
      </c>
      <c r="D71" s="362"/>
      <c r="E71" s="363" t="s">
        <v>942</v>
      </c>
      <c r="F71" s="364" t="s">
        <v>6</v>
      </c>
      <c r="G71" s="365"/>
      <c r="H71" s="365"/>
      <c r="I71" s="366"/>
      <c r="J71" s="358"/>
      <c r="K71" s="358"/>
      <c r="L71" s="358"/>
    </row>
    <row r="72" spans="1:12" ht="24" x14ac:dyDescent="0.45">
      <c r="A72" s="359" t="s">
        <v>775</v>
      </c>
      <c r="B72" s="375"/>
      <c r="C72" s="743" t="s">
        <v>943</v>
      </c>
      <c r="D72" s="744"/>
      <c r="E72" s="744"/>
      <c r="F72" s="744"/>
      <c r="G72" s="744"/>
      <c r="H72" s="744"/>
      <c r="I72" s="745"/>
      <c r="J72" s="358"/>
      <c r="K72" s="358"/>
      <c r="L72" s="358"/>
    </row>
    <row r="73" spans="1:12" ht="72" x14ac:dyDescent="0.45">
      <c r="A73" s="360" t="s">
        <v>825</v>
      </c>
      <c r="B73" s="375"/>
      <c r="C73" s="361" t="s">
        <v>826</v>
      </c>
      <c r="D73" s="362"/>
      <c r="E73" s="363" t="s">
        <v>914</v>
      </c>
      <c r="F73" s="364" t="s">
        <v>6</v>
      </c>
      <c r="G73" s="365"/>
      <c r="H73" s="365"/>
      <c r="I73" s="366"/>
      <c r="J73" s="358"/>
      <c r="K73" s="358"/>
      <c r="L73" s="358"/>
    </row>
    <row r="74" spans="1:12" ht="72" x14ac:dyDescent="0.45">
      <c r="A74" s="360" t="s">
        <v>11</v>
      </c>
      <c r="B74" s="375"/>
      <c r="C74" s="361" t="s">
        <v>869</v>
      </c>
      <c r="D74" s="362"/>
      <c r="E74" s="363" t="s">
        <v>915</v>
      </c>
      <c r="F74" s="364" t="s">
        <v>6</v>
      </c>
      <c r="G74" s="365"/>
      <c r="H74" s="365"/>
      <c r="I74" s="366"/>
      <c r="J74" s="358"/>
      <c r="K74" s="358"/>
      <c r="L74" s="358"/>
    </row>
    <row r="75" spans="1:12" ht="216" x14ac:dyDescent="0.45">
      <c r="A75" s="360" t="s">
        <v>45</v>
      </c>
      <c r="B75" s="375"/>
      <c r="C75" s="361" t="s">
        <v>944</v>
      </c>
      <c r="D75" s="362"/>
      <c r="E75" s="363" t="s">
        <v>945</v>
      </c>
      <c r="F75" s="364"/>
      <c r="G75" s="365" t="s">
        <v>833</v>
      </c>
      <c r="H75" s="365"/>
      <c r="I75" s="366" t="s">
        <v>946</v>
      </c>
      <c r="J75" s="358"/>
      <c r="K75" s="358"/>
      <c r="L75" s="358"/>
    </row>
    <row r="76" spans="1:12" ht="96" x14ac:dyDescent="0.45">
      <c r="A76" s="360" t="s">
        <v>11</v>
      </c>
      <c r="B76" s="375"/>
      <c r="C76" s="361" t="s">
        <v>947</v>
      </c>
      <c r="D76" s="362"/>
      <c r="E76" s="363" t="s">
        <v>948</v>
      </c>
      <c r="F76" s="364" t="s">
        <v>6</v>
      </c>
      <c r="G76" s="365"/>
      <c r="H76" s="365"/>
      <c r="I76" s="366"/>
      <c r="J76" s="358"/>
      <c r="K76" s="358"/>
      <c r="L76" s="358"/>
    </row>
    <row r="77" spans="1:12" ht="144" x14ac:dyDescent="0.45">
      <c r="A77" s="360" t="s">
        <v>45</v>
      </c>
      <c r="B77" s="375"/>
      <c r="C77" s="361" t="s">
        <v>949</v>
      </c>
      <c r="D77" s="362"/>
      <c r="E77" s="363" t="s">
        <v>950</v>
      </c>
      <c r="F77" s="364"/>
      <c r="G77" s="365" t="s">
        <v>833</v>
      </c>
      <c r="H77" s="365"/>
      <c r="I77" s="366" t="s">
        <v>951</v>
      </c>
      <c r="J77" s="358"/>
      <c r="K77" s="358"/>
      <c r="L77" s="358"/>
    </row>
    <row r="78" spans="1:12" ht="48" x14ac:dyDescent="0.45">
      <c r="A78" s="360" t="s">
        <v>136</v>
      </c>
      <c r="B78" s="375"/>
      <c r="C78" s="361" t="s">
        <v>840</v>
      </c>
      <c r="D78" s="362"/>
      <c r="E78" s="363" t="s">
        <v>925</v>
      </c>
      <c r="F78" s="364"/>
      <c r="G78" s="365" t="s">
        <v>833</v>
      </c>
      <c r="H78" s="365"/>
      <c r="I78" s="366"/>
      <c r="J78" s="358"/>
      <c r="K78" s="358"/>
      <c r="L78" s="358"/>
    </row>
    <row r="79" spans="1:12" ht="144" x14ac:dyDescent="0.45">
      <c r="A79" s="360" t="s">
        <v>845</v>
      </c>
      <c r="B79" s="375"/>
      <c r="C79" s="361" t="s">
        <v>952</v>
      </c>
      <c r="D79" s="362"/>
      <c r="E79" s="363" t="s">
        <v>953</v>
      </c>
      <c r="F79" s="364" t="s">
        <v>6</v>
      </c>
      <c r="G79" s="365"/>
      <c r="H79" s="365"/>
      <c r="I79" s="366"/>
      <c r="J79" s="358"/>
      <c r="K79" s="358"/>
      <c r="L79" s="358"/>
    </row>
    <row r="80" spans="1:12" ht="24" x14ac:dyDescent="0.45">
      <c r="A80" s="359" t="s">
        <v>777</v>
      </c>
      <c r="B80" s="375"/>
      <c r="C80" s="743" t="s">
        <v>778</v>
      </c>
      <c r="D80" s="744"/>
      <c r="E80" s="744"/>
      <c r="F80" s="744"/>
      <c r="G80" s="744"/>
      <c r="H80" s="744"/>
      <c r="I80" s="745"/>
      <c r="J80" s="358"/>
      <c r="K80" s="358"/>
      <c r="L80" s="358"/>
    </row>
    <row r="81" spans="1:12" ht="72" x14ac:dyDescent="0.45">
      <c r="A81" s="360" t="s">
        <v>825</v>
      </c>
      <c r="B81" s="375"/>
      <c r="C81" s="361" t="s">
        <v>826</v>
      </c>
      <c r="D81" s="362"/>
      <c r="E81" s="363" t="s">
        <v>914</v>
      </c>
      <c r="F81" s="364"/>
      <c r="G81" s="365"/>
      <c r="H81" s="365" t="s">
        <v>8</v>
      </c>
      <c r="I81" s="366" t="s">
        <v>954</v>
      </c>
      <c r="J81" s="358"/>
      <c r="K81" s="358"/>
      <c r="L81" s="358"/>
    </row>
    <row r="82" spans="1:12" ht="72" x14ac:dyDescent="0.45">
      <c r="A82" s="360" t="s">
        <v>11</v>
      </c>
      <c r="B82" s="375"/>
      <c r="C82" s="361" t="s">
        <v>869</v>
      </c>
      <c r="D82" s="362"/>
      <c r="E82" s="363" t="s">
        <v>915</v>
      </c>
      <c r="F82" s="364"/>
      <c r="G82" s="365"/>
      <c r="H82" s="365" t="s">
        <v>8</v>
      </c>
      <c r="I82" s="366"/>
      <c r="J82" s="358"/>
      <c r="K82" s="358"/>
      <c r="L82" s="358"/>
    </row>
    <row r="83" spans="1:12" ht="168" x14ac:dyDescent="0.45">
      <c r="A83" s="360" t="s">
        <v>45</v>
      </c>
      <c r="B83" s="375"/>
      <c r="C83" s="361" t="s">
        <v>955</v>
      </c>
      <c r="D83" s="362"/>
      <c r="E83" s="363" t="s">
        <v>956</v>
      </c>
      <c r="F83" s="364"/>
      <c r="G83" s="365"/>
      <c r="H83" s="365" t="s">
        <v>8</v>
      </c>
      <c r="I83" s="366"/>
      <c r="J83" s="358"/>
      <c r="K83" s="358"/>
      <c r="L83" s="358"/>
    </row>
    <row r="84" spans="1:12" ht="144" x14ac:dyDescent="0.45">
      <c r="A84" s="360" t="s">
        <v>189</v>
      </c>
      <c r="B84" s="375"/>
      <c r="C84" s="361" t="s">
        <v>957</v>
      </c>
      <c r="D84" s="362"/>
      <c r="E84" s="363" t="s">
        <v>958</v>
      </c>
      <c r="F84" s="364"/>
      <c r="G84" s="365"/>
      <c r="H84" s="365" t="s">
        <v>8</v>
      </c>
      <c r="I84" s="366"/>
      <c r="J84" s="358"/>
      <c r="K84" s="358"/>
      <c r="L84" s="358"/>
    </row>
    <row r="85" spans="1:12" ht="72" x14ac:dyDescent="0.45">
      <c r="A85" s="360" t="s">
        <v>136</v>
      </c>
      <c r="B85" s="375"/>
      <c r="C85" s="361" t="s">
        <v>840</v>
      </c>
      <c r="D85" s="362"/>
      <c r="E85" s="363" t="s">
        <v>959</v>
      </c>
      <c r="F85" s="364"/>
      <c r="G85" s="365"/>
      <c r="H85" s="365" t="s">
        <v>8</v>
      </c>
      <c r="I85" s="366"/>
      <c r="J85" s="358"/>
      <c r="K85" s="358"/>
      <c r="L85" s="358"/>
    </row>
    <row r="86" spans="1:12" ht="96" x14ac:dyDescent="0.45">
      <c r="A86" s="360" t="s">
        <v>845</v>
      </c>
      <c r="B86" s="375"/>
      <c r="C86" s="361" t="s">
        <v>880</v>
      </c>
      <c r="D86" s="362"/>
      <c r="E86" s="363" t="s">
        <v>960</v>
      </c>
      <c r="F86" s="364"/>
      <c r="G86" s="365"/>
      <c r="H86" s="365" t="s">
        <v>8</v>
      </c>
      <c r="I86" s="366"/>
      <c r="J86" s="358"/>
      <c r="K86" s="358"/>
      <c r="L86" s="358"/>
    </row>
    <row r="87" spans="1:12" ht="24" x14ac:dyDescent="0.45">
      <c r="A87" s="359" t="s">
        <v>780</v>
      </c>
      <c r="B87" s="375"/>
      <c r="C87" s="743" t="s">
        <v>781</v>
      </c>
      <c r="D87" s="744"/>
      <c r="E87" s="744"/>
      <c r="F87" s="744"/>
      <c r="G87" s="744"/>
      <c r="H87" s="744"/>
      <c r="I87" s="745"/>
      <c r="J87" s="358"/>
      <c r="K87" s="358"/>
      <c r="L87" s="358"/>
    </row>
    <row r="88" spans="1:12" ht="120" x14ac:dyDescent="0.45">
      <c r="A88" s="360" t="s">
        <v>825</v>
      </c>
      <c r="B88" s="375"/>
      <c r="C88" s="361" t="s">
        <v>961</v>
      </c>
      <c r="D88" s="362"/>
      <c r="E88" s="363" t="s">
        <v>962</v>
      </c>
      <c r="F88" s="364" t="s">
        <v>6</v>
      </c>
      <c r="G88" s="365"/>
      <c r="H88" s="365"/>
      <c r="I88" s="366"/>
      <c r="J88" s="358"/>
      <c r="K88" s="358"/>
      <c r="L88" s="358"/>
    </row>
    <row r="89" spans="1:12" ht="48" x14ac:dyDescent="0.45">
      <c r="A89" s="360" t="s">
        <v>11</v>
      </c>
      <c r="B89" s="375"/>
      <c r="C89" s="361" t="s">
        <v>963</v>
      </c>
      <c r="D89" s="362"/>
      <c r="E89" s="363" t="s">
        <v>964</v>
      </c>
      <c r="F89" s="364" t="s">
        <v>6</v>
      </c>
      <c r="G89" s="365"/>
      <c r="H89" s="365"/>
      <c r="I89" s="366"/>
      <c r="J89" s="358"/>
      <c r="K89" s="358"/>
      <c r="L89" s="358"/>
    </row>
    <row r="90" spans="1:12" ht="144" x14ac:dyDescent="0.45">
      <c r="A90" s="360" t="s">
        <v>11</v>
      </c>
      <c r="B90" s="375"/>
      <c r="C90" s="361" t="s">
        <v>965</v>
      </c>
      <c r="D90" s="362"/>
      <c r="E90" s="363" t="s">
        <v>966</v>
      </c>
      <c r="F90" s="364" t="s">
        <v>6</v>
      </c>
      <c r="G90" s="365"/>
      <c r="H90" s="365"/>
      <c r="I90" s="366"/>
      <c r="J90" s="358"/>
      <c r="K90" s="358"/>
      <c r="L90" s="358"/>
    </row>
    <row r="91" spans="1:12" ht="216" x14ac:dyDescent="0.45">
      <c r="A91" s="360" t="s">
        <v>11</v>
      </c>
      <c r="B91" s="375"/>
      <c r="C91" s="361" t="s">
        <v>967</v>
      </c>
      <c r="D91" s="362"/>
      <c r="E91" s="363" t="s">
        <v>968</v>
      </c>
      <c r="F91" s="364" t="s">
        <v>6</v>
      </c>
      <c r="G91" s="365"/>
      <c r="H91" s="365"/>
      <c r="I91" s="366"/>
      <c r="J91" s="358"/>
      <c r="K91" s="358"/>
      <c r="L91" s="358"/>
    </row>
    <row r="92" spans="1:12" ht="144" x14ac:dyDescent="0.45">
      <c r="A92" s="360" t="s">
        <v>11</v>
      </c>
      <c r="B92" s="375"/>
      <c r="C92" s="361" t="s">
        <v>969</v>
      </c>
      <c r="D92" s="362"/>
      <c r="E92" s="363" t="s">
        <v>970</v>
      </c>
      <c r="F92" s="364" t="s">
        <v>6</v>
      </c>
      <c r="G92" s="365"/>
      <c r="H92" s="365"/>
      <c r="I92" s="366" t="s">
        <v>971</v>
      </c>
      <c r="J92" s="358"/>
      <c r="K92" s="358"/>
      <c r="L92" s="358"/>
    </row>
    <row r="93" spans="1:12" ht="120" x14ac:dyDescent="0.45">
      <c r="A93" s="360" t="s">
        <v>825</v>
      </c>
      <c r="B93" s="375"/>
      <c r="C93" s="361" t="s">
        <v>972</v>
      </c>
      <c r="D93" s="362"/>
      <c r="E93" s="363" t="s">
        <v>973</v>
      </c>
      <c r="F93" s="364" t="s">
        <v>6</v>
      </c>
      <c r="G93" s="365"/>
      <c r="H93" s="365"/>
      <c r="I93" s="366"/>
      <c r="J93" s="358"/>
      <c r="K93" s="358"/>
      <c r="L93" s="358"/>
    </row>
    <row r="94" spans="1:12" ht="72" x14ac:dyDescent="0.45">
      <c r="A94" s="360" t="s">
        <v>845</v>
      </c>
      <c r="B94" s="375"/>
      <c r="C94" s="361" t="s">
        <v>974</v>
      </c>
      <c r="D94" s="362"/>
      <c r="E94" s="363" t="s">
        <v>975</v>
      </c>
      <c r="F94" s="364" t="s">
        <v>6</v>
      </c>
      <c r="G94" s="365"/>
      <c r="H94" s="365"/>
      <c r="I94" s="366"/>
      <c r="J94" s="358"/>
      <c r="K94" s="358"/>
      <c r="L94" s="358"/>
    </row>
    <row r="95" spans="1:12" ht="24" x14ac:dyDescent="0.45">
      <c r="A95" s="357" t="s">
        <v>782</v>
      </c>
      <c r="B95" s="375"/>
      <c r="C95" s="740" t="s">
        <v>976</v>
      </c>
      <c r="D95" s="741"/>
      <c r="E95" s="741"/>
      <c r="F95" s="741"/>
      <c r="G95" s="741"/>
      <c r="H95" s="741"/>
      <c r="I95" s="742"/>
      <c r="J95" s="358"/>
      <c r="K95" s="358"/>
      <c r="L95" s="358"/>
    </row>
    <row r="96" spans="1:12" ht="24" x14ac:dyDescent="0.45">
      <c r="A96" s="359" t="s">
        <v>784</v>
      </c>
      <c r="B96" s="375"/>
      <c r="C96" s="743" t="s">
        <v>785</v>
      </c>
      <c r="D96" s="744"/>
      <c r="E96" s="744"/>
      <c r="F96" s="744"/>
      <c r="G96" s="744"/>
      <c r="H96" s="744"/>
      <c r="I96" s="745"/>
      <c r="J96" s="358"/>
      <c r="K96" s="358"/>
      <c r="L96" s="358"/>
    </row>
    <row r="97" spans="1:12" ht="216" x14ac:dyDescent="0.45">
      <c r="A97" s="360" t="s">
        <v>825</v>
      </c>
      <c r="B97" s="375"/>
      <c r="C97" s="361" t="s">
        <v>977</v>
      </c>
      <c r="D97" s="362"/>
      <c r="E97" s="363" t="s">
        <v>978</v>
      </c>
      <c r="F97" s="364" t="s">
        <v>6</v>
      </c>
      <c r="G97" s="365"/>
      <c r="H97" s="365"/>
      <c r="I97" s="366"/>
      <c r="J97" s="358"/>
      <c r="K97" s="358"/>
      <c r="L97" s="358"/>
    </row>
    <row r="98" spans="1:12" ht="168" x14ac:dyDescent="0.45">
      <c r="A98" s="360" t="s">
        <v>136</v>
      </c>
      <c r="B98" s="375"/>
      <c r="C98" s="361" t="s">
        <v>979</v>
      </c>
      <c r="D98" s="362"/>
      <c r="E98" s="363" t="s">
        <v>138</v>
      </c>
      <c r="F98" s="364" t="s">
        <v>6</v>
      </c>
      <c r="G98" s="365"/>
      <c r="H98" s="365"/>
      <c r="I98" s="366"/>
      <c r="J98" s="358"/>
      <c r="K98" s="358"/>
      <c r="L98" s="358"/>
    </row>
    <row r="99" spans="1:12" ht="120" x14ac:dyDescent="0.45">
      <c r="A99" s="360" t="s">
        <v>11</v>
      </c>
      <c r="B99" s="375"/>
      <c r="C99" s="361" t="s">
        <v>828</v>
      </c>
      <c r="D99" s="362"/>
      <c r="E99" s="363" t="s">
        <v>980</v>
      </c>
      <c r="F99" s="364" t="s">
        <v>6</v>
      </c>
      <c r="G99" s="365"/>
      <c r="H99" s="365"/>
      <c r="I99" s="366"/>
      <c r="J99" s="358"/>
      <c r="K99" s="358"/>
      <c r="L99" s="358"/>
    </row>
    <row r="100" spans="1:12" ht="96" x14ac:dyDescent="0.45">
      <c r="A100" s="360" t="s">
        <v>11</v>
      </c>
      <c r="B100" s="375"/>
      <c r="C100" s="361" t="s">
        <v>831</v>
      </c>
      <c r="D100" s="362"/>
      <c r="E100" s="363" t="s">
        <v>981</v>
      </c>
      <c r="F100" s="364" t="s">
        <v>6</v>
      </c>
      <c r="G100" s="365"/>
      <c r="H100" s="365"/>
      <c r="I100" s="366"/>
      <c r="J100" s="358"/>
      <c r="K100" s="358"/>
      <c r="L100" s="358"/>
    </row>
    <row r="101" spans="1:12" ht="72" x14ac:dyDescent="0.45">
      <c r="A101" s="360" t="s">
        <v>45</v>
      </c>
      <c r="B101" s="375"/>
      <c r="C101" s="361" t="s">
        <v>982</v>
      </c>
      <c r="D101" s="362"/>
      <c r="E101" s="363" t="s">
        <v>983</v>
      </c>
      <c r="F101" s="364" t="s">
        <v>6</v>
      </c>
      <c r="G101" s="365"/>
      <c r="H101" s="365"/>
      <c r="I101" s="366" t="s">
        <v>984</v>
      </c>
      <c r="J101" s="358"/>
      <c r="K101" s="358"/>
      <c r="L101" s="358"/>
    </row>
    <row r="102" spans="1:12" ht="48" x14ac:dyDescent="0.45">
      <c r="A102" s="360" t="s">
        <v>136</v>
      </c>
      <c r="B102" s="375"/>
      <c r="C102" s="361" t="s">
        <v>840</v>
      </c>
      <c r="D102" s="362"/>
      <c r="E102" s="363" t="s">
        <v>925</v>
      </c>
      <c r="F102" s="364"/>
      <c r="G102" s="365" t="s">
        <v>833</v>
      </c>
      <c r="H102" s="365"/>
      <c r="I102" s="366" t="s">
        <v>985</v>
      </c>
      <c r="J102" s="358"/>
      <c r="K102" s="358"/>
      <c r="L102" s="358"/>
    </row>
    <row r="103" spans="1:12" ht="48" x14ac:dyDescent="0.45">
      <c r="A103" s="360" t="s">
        <v>845</v>
      </c>
      <c r="B103" s="375"/>
      <c r="C103" s="361" t="s">
        <v>880</v>
      </c>
      <c r="D103" s="362"/>
      <c r="E103" s="363" t="s">
        <v>899</v>
      </c>
      <c r="F103" s="364" t="s">
        <v>6</v>
      </c>
      <c r="G103" s="365"/>
      <c r="H103" s="365"/>
      <c r="I103" s="366"/>
      <c r="J103" s="358"/>
      <c r="K103" s="358"/>
      <c r="L103" s="358"/>
    </row>
    <row r="104" spans="1:12" ht="48" x14ac:dyDescent="0.45">
      <c r="A104" s="360" t="s">
        <v>189</v>
      </c>
      <c r="B104" s="375"/>
      <c r="C104" s="361" t="s">
        <v>866</v>
      </c>
      <c r="D104" s="362"/>
      <c r="E104" s="363" t="s">
        <v>901</v>
      </c>
      <c r="F104" s="364"/>
      <c r="G104" s="365" t="s">
        <v>833</v>
      </c>
      <c r="H104" s="365"/>
      <c r="I104" s="366" t="s">
        <v>986</v>
      </c>
      <c r="J104" s="358"/>
      <c r="K104" s="358"/>
      <c r="L104" s="358"/>
    </row>
    <row r="105" spans="1:12" ht="24" x14ac:dyDescent="0.45">
      <c r="A105" s="359" t="s">
        <v>786</v>
      </c>
      <c r="B105" s="375"/>
      <c r="C105" s="743" t="s">
        <v>787</v>
      </c>
      <c r="D105" s="744"/>
      <c r="E105" s="744"/>
      <c r="F105" s="744"/>
      <c r="G105" s="744"/>
      <c r="H105" s="744"/>
      <c r="I105" s="745"/>
      <c r="J105" s="358"/>
      <c r="K105" s="358"/>
      <c r="L105" s="358"/>
    </row>
    <row r="106" spans="1:12" ht="96" x14ac:dyDescent="0.45">
      <c r="A106" s="360" t="s">
        <v>825</v>
      </c>
      <c r="B106" s="375"/>
      <c r="C106" s="361" t="s">
        <v>977</v>
      </c>
      <c r="D106" s="362"/>
      <c r="E106" s="363" t="s">
        <v>987</v>
      </c>
      <c r="F106" s="364" t="s">
        <v>6</v>
      </c>
      <c r="G106" s="365"/>
      <c r="H106" s="365"/>
      <c r="I106" s="366"/>
      <c r="J106" s="358"/>
      <c r="K106" s="358"/>
      <c r="L106" s="358"/>
    </row>
    <row r="107" spans="1:12" ht="168" x14ac:dyDescent="0.45">
      <c r="A107" s="360" t="s">
        <v>136</v>
      </c>
      <c r="B107" s="375"/>
      <c r="C107" s="361" t="s">
        <v>988</v>
      </c>
      <c r="D107" s="362"/>
      <c r="E107" s="363" t="s">
        <v>989</v>
      </c>
      <c r="F107" s="364" t="s">
        <v>6</v>
      </c>
      <c r="G107" s="365"/>
      <c r="H107" s="365"/>
      <c r="I107" s="366"/>
      <c r="J107" s="358"/>
      <c r="K107" s="358"/>
      <c r="L107" s="358"/>
    </row>
    <row r="108" spans="1:12" ht="192" x14ac:dyDescent="0.45">
      <c r="A108" s="360" t="s">
        <v>136</v>
      </c>
      <c r="B108" s="375"/>
      <c r="C108" s="361" t="s">
        <v>990</v>
      </c>
      <c r="D108" s="362"/>
      <c r="E108" s="363" t="s">
        <v>991</v>
      </c>
      <c r="F108" s="364" t="s">
        <v>6</v>
      </c>
      <c r="G108" s="365"/>
      <c r="H108" s="365"/>
      <c r="I108" s="366" t="s">
        <v>992</v>
      </c>
      <c r="J108" s="358"/>
      <c r="K108" s="358"/>
      <c r="L108" s="358"/>
    </row>
    <row r="109" spans="1:12" ht="48.6" x14ac:dyDescent="0.45">
      <c r="A109" s="360" t="s">
        <v>136</v>
      </c>
      <c r="B109" s="375"/>
      <c r="C109" s="361" t="s">
        <v>993</v>
      </c>
      <c r="D109" s="362"/>
      <c r="E109" s="363" t="s">
        <v>994</v>
      </c>
      <c r="F109" s="364" t="s">
        <v>6</v>
      </c>
      <c r="G109" s="365"/>
      <c r="H109" s="365"/>
      <c r="I109" s="376" t="s">
        <v>995</v>
      </c>
      <c r="J109" s="358"/>
      <c r="K109" s="358"/>
      <c r="L109" s="358"/>
    </row>
    <row r="110" spans="1:12" ht="96" x14ac:dyDescent="0.45">
      <c r="A110" s="360" t="s">
        <v>845</v>
      </c>
      <c r="B110" s="375"/>
      <c r="C110" s="361" t="s">
        <v>996</v>
      </c>
      <c r="D110" s="362"/>
      <c r="E110" s="363" t="s">
        <v>997</v>
      </c>
      <c r="F110" s="364" t="s">
        <v>6</v>
      </c>
      <c r="G110" s="365"/>
      <c r="H110" s="365"/>
      <c r="I110" s="366"/>
      <c r="J110" s="358"/>
      <c r="K110" s="358"/>
      <c r="L110" s="358"/>
    </row>
    <row r="111" spans="1:12" ht="24" x14ac:dyDescent="0.45">
      <c r="A111" s="359" t="s">
        <v>788</v>
      </c>
      <c r="B111" s="375"/>
      <c r="C111" s="743" t="s">
        <v>789</v>
      </c>
      <c r="D111" s="744"/>
      <c r="E111" s="744"/>
      <c r="F111" s="744"/>
      <c r="G111" s="744"/>
      <c r="H111" s="744"/>
      <c r="I111" s="745"/>
      <c r="J111" s="358"/>
      <c r="K111" s="358"/>
      <c r="L111" s="358"/>
    </row>
    <row r="112" spans="1:12" ht="96" x14ac:dyDescent="0.45">
      <c r="A112" s="360" t="s">
        <v>825</v>
      </c>
      <c r="B112" s="375"/>
      <c r="C112" s="361" t="s">
        <v>998</v>
      </c>
      <c r="D112" s="362"/>
      <c r="E112" s="363" t="s">
        <v>999</v>
      </c>
      <c r="F112" s="364" t="s">
        <v>6</v>
      </c>
      <c r="G112" s="365"/>
      <c r="H112" s="365"/>
      <c r="I112" s="366"/>
      <c r="J112" s="358"/>
      <c r="K112" s="358"/>
      <c r="L112" s="358"/>
    </row>
    <row r="113" spans="1:12" ht="96" x14ac:dyDescent="0.45">
      <c r="A113" s="360" t="s">
        <v>825</v>
      </c>
      <c r="B113" s="375"/>
      <c r="C113" s="361" t="s">
        <v>1000</v>
      </c>
      <c r="D113" s="362"/>
      <c r="E113" s="363" t="s">
        <v>1001</v>
      </c>
      <c r="F113" s="364"/>
      <c r="G113" s="365" t="s">
        <v>833</v>
      </c>
      <c r="H113" s="365"/>
      <c r="I113" s="366" t="s">
        <v>1002</v>
      </c>
      <c r="J113" s="358"/>
      <c r="K113" s="358"/>
      <c r="L113" s="358"/>
    </row>
    <row r="114" spans="1:12" ht="96" x14ac:dyDescent="0.45">
      <c r="A114" s="360" t="s">
        <v>11</v>
      </c>
      <c r="B114" s="375"/>
      <c r="C114" s="361" t="s">
        <v>1003</v>
      </c>
      <c r="D114" s="362"/>
      <c r="E114" s="363" t="s">
        <v>1004</v>
      </c>
      <c r="F114" s="364" t="s">
        <v>6</v>
      </c>
      <c r="G114" s="365"/>
      <c r="H114" s="365"/>
      <c r="I114" s="366" t="s">
        <v>1005</v>
      </c>
      <c r="J114" s="358"/>
      <c r="K114" s="358"/>
      <c r="L114" s="358"/>
    </row>
    <row r="115" spans="1:12" ht="120" x14ac:dyDescent="0.45">
      <c r="A115" s="360" t="s">
        <v>11</v>
      </c>
      <c r="B115" s="375"/>
      <c r="C115" s="361" t="s">
        <v>869</v>
      </c>
      <c r="D115" s="362"/>
      <c r="E115" s="363" t="s">
        <v>1006</v>
      </c>
      <c r="F115" s="364" t="s">
        <v>6</v>
      </c>
      <c r="G115" s="365"/>
      <c r="H115" s="365"/>
      <c r="I115" s="366"/>
      <c r="J115" s="358"/>
      <c r="K115" s="358"/>
      <c r="L115" s="358"/>
    </row>
    <row r="116" spans="1:12" ht="48" x14ac:dyDescent="0.45">
      <c r="A116" s="360" t="s">
        <v>136</v>
      </c>
      <c r="B116" s="375"/>
      <c r="C116" s="361" t="s">
        <v>840</v>
      </c>
      <c r="D116" s="362"/>
      <c r="E116" s="363" t="s">
        <v>925</v>
      </c>
      <c r="F116" s="364"/>
      <c r="G116" s="365" t="s">
        <v>833</v>
      </c>
      <c r="H116" s="365"/>
      <c r="I116" s="376" t="s">
        <v>1007</v>
      </c>
      <c r="J116" s="358"/>
      <c r="K116" s="358"/>
      <c r="L116" s="358"/>
    </row>
    <row r="117" spans="1:12" ht="48.6" x14ac:dyDescent="0.45">
      <c r="A117" s="360" t="s">
        <v>845</v>
      </c>
      <c r="B117" s="375"/>
      <c r="C117" s="361" t="s">
        <v>880</v>
      </c>
      <c r="D117" s="362"/>
      <c r="E117" s="363" t="s">
        <v>899</v>
      </c>
      <c r="F117" s="364"/>
      <c r="G117" s="365" t="s">
        <v>833</v>
      </c>
      <c r="H117" s="365"/>
      <c r="I117" s="376" t="s">
        <v>1008</v>
      </c>
      <c r="J117" s="358"/>
      <c r="K117" s="358"/>
      <c r="L117" s="358"/>
    </row>
    <row r="118" spans="1:12" ht="48" x14ac:dyDescent="0.45">
      <c r="A118" s="360" t="s">
        <v>189</v>
      </c>
      <c r="B118" s="375"/>
      <c r="C118" s="361" t="s">
        <v>866</v>
      </c>
      <c r="D118" s="362"/>
      <c r="E118" s="363" t="s">
        <v>901</v>
      </c>
      <c r="F118" s="364"/>
      <c r="G118" s="365" t="s">
        <v>833</v>
      </c>
      <c r="H118" s="365"/>
      <c r="I118" s="366" t="s">
        <v>986</v>
      </c>
      <c r="J118" s="358"/>
      <c r="K118" s="358"/>
      <c r="L118" s="358"/>
    </row>
    <row r="119" spans="1:12" ht="24" x14ac:dyDescent="0.45">
      <c r="A119" s="359" t="s">
        <v>790</v>
      </c>
      <c r="B119" s="375"/>
      <c r="C119" s="743" t="s">
        <v>791</v>
      </c>
      <c r="D119" s="744"/>
      <c r="E119" s="744"/>
      <c r="F119" s="744"/>
      <c r="G119" s="744"/>
      <c r="H119" s="744"/>
      <c r="I119" s="745"/>
      <c r="J119" s="358"/>
      <c r="K119" s="358"/>
      <c r="L119" s="358"/>
    </row>
    <row r="120" spans="1:12" ht="168" x14ac:dyDescent="0.45">
      <c r="A120" s="360" t="s">
        <v>825</v>
      </c>
      <c r="B120" s="375"/>
      <c r="C120" s="361" t="s">
        <v>1009</v>
      </c>
      <c r="D120" s="362"/>
      <c r="E120" s="363" t="s">
        <v>1010</v>
      </c>
      <c r="F120" s="364" t="s">
        <v>6</v>
      </c>
      <c r="G120" s="365"/>
      <c r="H120" s="365"/>
      <c r="I120" s="366" t="s">
        <v>1011</v>
      </c>
      <c r="J120" s="358"/>
      <c r="K120" s="358"/>
      <c r="L120" s="358"/>
    </row>
    <row r="121" spans="1:12" ht="120" x14ac:dyDescent="0.45">
      <c r="A121" s="360" t="s">
        <v>853</v>
      </c>
      <c r="B121" s="375"/>
      <c r="C121" s="361" t="s">
        <v>1012</v>
      </c>
      <c r="D121" s="362"/>
      <c r="E121" s="363" t="s">
        <v>1013</v>
      </c>
      <c r="F121" s="364" t="s">
        <v>6</v>
      </c>
      <c r="G121" s="365"/>
      <c r="H121" s="365"/>
      <c r="I121" s="366"/>
      <c r="J121" s="358"/>
      <c r="K121" s="358"/>
      <c r="L121" s="358"/>
    </row>
    <row r="122" spans="1:12" ht="96" x14ac:dyDescent="0.45">
      <c r="A122" s="360" t="s">
        <v>853</v>
      </c>
      <c r="B122" s="375"/>
      <c r="C122" s="361" t="s">
        <v>1014</v>
      </c>
      <c r="D122" s="362"/>
      <c r="E122" s="363" t="s">
        <v>1015</v>
      </c>
      <c r="F122" s="364"/>
      <c r="G122" s="365" t="s">
        <v>833</v>
      </c>
      <c r="H122" s="365"/>
      <c r="I122" s="366" t="s">
        <v>1016</v>
      </c>
      <c r="J122" s="358"/>
      <c r="K122" s="358"/>
      <c r="L122" s="358"/>
    </row>
    <row r="123" spans="1:12" ht="120" x14ac:dyDescent="0.45">
      <c r="A123" s="360" t="s">
        <v>845</v>
      </c>
      <c r="B123" s="375"/>
      <c r="C123" s="361" t="s">
        <v>1017</v>
      </c>
      <c r="D123" s="362"/>
      <c r="E123" s="363" t="s">
        <v>1018</v>
      </c>
      <c r="F123" s="364" t="s">
        <v>6</v>
      </c>
      <c r="G123" s="365"/>
      <c r="H123" s="365"/>
      <c r="I123" s="366"/>
      <c r="J123" s="358"/>
      <c r="K123" s="358"/>
      <c r="L123" s="358"/>
    </row>
    <row r="124" spans="1:12" ht="72" x14ac:dyDescent="0.45">
      <c r="A124" s="360" t="s">
        <v>136</v>
      </c>
      <c r="B124" s="375"/>
      <c r="C124" s="361" t="s">
        <v>1019</v>
      </c>
      <c r="D124" s="362"/>
      <c r="E124" s="363" t="s">
        <v>1020</v>
      </c>
      <c r="F124" s="364" t="s">
        <v>6</v>
      </c>
      <c r="G124" s="365"/>
      <c r="H124" s="365"/>
      <c r="I124" s="366"/>
      <c r="J124" s="358"/>
      <c r="K124" s="358"/>
      <c r="L124" s="358"/>
    </row>
    <row r="125" spans="1:12" ht="24" x14ac:dyDescent="0.45">
      <c r="A125" s="359" t="s">
        <v>793</v>
      </c>
      <c r="B125" s="375"/>
      <c r="C125" s="743" t="s">
        <v>1021</v>
      </c>
      <c r="D125" s="744"/>
      <c r="E125" s="744"/>
      <c r="F125" s="744"/>
      <c r="G125" s="744"/>
      <c r="H125" s="744"/>
      <c r="I125" s="745"/>
      <c r="J125" s="358"/>
      <c r="K125" s="358"/>
      <c r="L125" s="358"/>
    </row>
    <row r="126" spans="1:12" ht="168" x14ac:dyDescent="0.45">
      <c r="A126" s="360" t="s">
        <v>825</v>
      </c>
      <c r="B126" s="375"/>
      <c r="C126" s="361" t="s">
        <v>1022</v>
      </c>
      <c r="D126" s="362"/>
      <c r="E126" s="363" t="s">
        <v>1023</v>
      </c>
      <c r="F126" s="364"/>
      <c r="G126" s="365" t="s">
        <v>833</v>
      </c>
      <c r="H126" s="365"/>
      <c r="I126" s="366" t="s">
        <v>795</v>
      </c>
      <c r="J126" s="358"/>
      <c r="K126" s="358"/>
      <c r="L126" s="358"/>
    </row>
    <row r="127" spans="1:12" ht="96" x14ac:dyDescent="0.45">
      <c r="A127" s="360" t="s">
        <v>1024</v>
      </c>
      <c r="B127" s="375"/>
      <c r="C127" s="361" t="s">
        <v>1025</v>
      </c>
      <c r="D127" s="362"/>
      <c r="E127" s="363" t="s">
        <v>1026</v>
      </c>
      <c r="F127" s="364"/>
      <c r="G127" s="365"/>
      <c r="H127" s="364" t="s">
        <v>8</v>
      </c>
      <c r="I127" s="366"/>
      <c r="J127" s="358"/>
      <c r="K127" s="358"/>
      <c r="L127" s="358"/>
    </row>
    <row r="128" spans="1:12" ht="96" x14ac:dyDescent="0.45">
      <c r="A128" s="360" t="s">
        <v>1024</v>
      </c>
      <c r="B128" s="375"/>
      <c r="C128" s="361" t="s">
        <v>1014</v>
      </c>
      <c r="D128" s="362"/>
      <c r="E128" s="363" t="s">
        <v>1027</v>
      </c>
      <c r="F128" s="364"/>
      <c r="G128" s="365"/>
      <c r="H128" s="364" t="s">
        <v>8</v>
      </c>
      <c r="I128" s="366"/>
      <c r="J128" s="358"/>
      <c r="K128" s="358"/>
      <c r="L128" s="358"/>
    </row>
    <row r="129" spans="1:12" ht="72" x14ac:dyDescent="0.45">
      <c r="A129" s="360" t="s">
        <v>845</v>
      </c>
      <c r="B129" s="375"/>
      <c r="C129" s="361" t="s">
        <v>1028</v>
      </c>
      <c r="D129" s="362"/>
      <c r="E129" s="363" t="s">
        <v>1029</v>
      </c>
      <c r="F129" s="364"/>
      <c r="G129" s="365"/>
      <c r="H129" s="364" t="s">
        <v>8</v>
      </c>
      <c r="I129" s="366"/>
      <c r="J129" s="358"/>
      <c r="K129" s="358"/>
      <c r="L129" s="358"/>
    </row>
    <row r="130" spans="1:12" ht="72" x14ac:dyDescent="0.45">
      <c r="A130" s="360" t="s">
        <v>136</v>
      </c>
      <c r="B130" s="375"/>
      <c r="C130" s="361" t="s">
        <v>1030</v>
      </c>
      <c r="D130" s="362"/>
      <c r="E130" s="363" t="s">
        <v>1020</v>
      </c>
      <c r="F130" s="364"/>
      <c r="G130" s="365"/>
      <c r="H130" s="364" t="s">
        <v>8</v>
      </c>
      <c r="I130" s="366"/>
      <c r="J130" s="358"/>
      <c r="K130" s="358"/>
      <c r="L130" s="358"/>
    </row>
    <row r="131" spans="1:12" ht="24" x14ac:dyDescent="0.45">
      <c r="A131" s="357" t="s">
        <v>796</v>
      </c>
      <c r="B131" s="375"/>
      <c r="C131" s="740" t="s">
        <v>1031</v>
      </c>
      <c r="D131" s="741"/>
      <c r="E131" s="741"/>
      <c r="F131" s="741"/>
      <c r="G131" s="741"/>
      <c r="H131" s="741"/>
      <c r="I131" s="742"/>
      <c r="J131" s="358"/>
      <c r="K131" s="358"/>
      <c r="L131" s="358"/>
    </row>
    <row r="132" spans="1:12" ht="24" x14ac:dyDescent="0.45">
      <c r="A132" s="359" t="s">
        <v>798</v>
      </c>
      <c r="B132" s="375"/>
      <c r="C132" s="743" t="s">
        <v>799</v>
      </c>
      <c r="D132" s="744"/>
      <c r="E132" s="744"/>
      <c r="F132" s="744"/>
      <c r="G132" s="744"/>
      <c r="H132" s="744"/>
      <c r="I132" s="745"/>
      <c r="J132" s="358"/>
      <c r="K132" s="358"/>
      <c r="L132" s="358"/>
    </row>
    <row r="133" spans="1:12" ht="120" x14ac:dyDescent="0.45">
      <c r="A133" s="360" t="s">
        <v>825</v>
      </c>
      <c r="B133" s="375"/>
      <c r="C133" s="361" t="s">
        <v>1032</v>
      </c>
      <c r="D133" s="362"/>
      <c r="E133" s="363" t="s">
        <v>1033</v>
      </c>
      <c r="F133" s="364"/>
      <c r="G133" s="365"/>
      <c r="H133" s="365" t="s">
        <v>8</v>
      </c>
      <c r="I133" s="366" t="s">
        <v>954</v>
      </c>
      <c r="J133" s="358"/>
      <c r="K133" s="358"/>
      <c r="L133" s="358"/>
    </row>
    <row r="134" spans="1:12" ht="168" x14ac:dyDescent="0.45">
      <c r="A134" s="360" t="s">
        <v>189</v>
      </c>
      <c r="B134" s="375"/>
      <c r="C134" s="361" t="s">
        <v>1034</v>
      </c>
      <c r="D134" s="362"/>
      <c r="E134" s="363" t="s">
        <v>1035</v>
      </c>
      <c r="F134" s="364"/>
      <c r="G134" s="365"/>
      <c r="H134" s="365" t="s">
        <v>8</v>
      </c>
      <c r="I134" s="366"/>
      <c r="J134" s="358"/>
      <c r="K134" s="358"/>
      <c r="L134" s="358"/>
    </row>
    <row r="135" spans="1:12" ht="96" x14ac:dyDescent="0.45">
      <c r="A135" s="360" t="s">
        <v>189</v>
      </c>
      <c r="B135" s="375"/>
      <c r="C135" s="361" t="s">
        <v>1036</v>
      </c>
      <c r="D135" s="362"/>
      <c r="E135" s="363" t="s">
        <v>1037</v>
      </c>
      <c r="F135" s="364"/>
      <c r="G135" s="365"/>
      <c r="H135" s="365" t="s">
        <v>8</v>
      </c>
      <c r="I135" s="366"/>
      <c r="J135" s="358"/>
      <c r="K135" s="358"/>
      <c r="L135" s="358"/>
    </row>
    <row r="136" spans="1:12" ht="120" x14ac:dyDescent="0.45">
      <c r="A136" s="360" t="s">
        <v>845</v>
      </c>
      <c r="B136" s="375"/>
      <c r="C136" s="361" t="s">
        <v>1038</v>
      </c>
      <c r="D136" s="362"/>
      <c r="E136" s="363" t="s">
        <v>1039</v>
      </c>
      <c r="F136" s="364"/>
      <c r="G136" s="365"/>
      <c r="H136" s="365" t="s">
        <v>8</v>
      </c>
      <c r="I136" s="366"/>
      <c r="J136" s="358"/>
      <c r="K136" s="358"/>
      <c r="L136" s="358"/>
    </row>
    <row r="137" spans="1:12" ht="120" x14ac:dyDescent="0.45">
      <c r="A137" s="360" t="s">
        <v>189</v>
      </c>
      <c r="B137" s="375"/>
      <c r="C137" s="361" t="s">
        <v>1040</v>
      </c>
      <c r="D137" s="362"/>
      <c r="E137" s="363" t="s">
        <v>1041</v>
      </c>
      <c r="F137" s="364"/>
      <c r="G137" s="365"/>
      <c r="H137" s="365" t="s">
        <v>8</v>
      </c>
      <c r="I137" s="366"/>
      <c r="J137" s="358"/>
      <c r="K137" s="358"/>
      <c r="L137" s="358"/>
    </row>
    <row r="138" spans="1:12" ht="24" x14ac:dyDescent="0.45">
      <c r="A138" s="359" t="s">
        <v>800</v>
      </c>
      <c r="B138" s="375"/>
      <c r="C138" s="743" t="s">
        <v>801</v>
      </c>
      <c r="D138" s="744"/>
      <c r="E138" s="744"/>
      <c r="F138" s="744"/>
      <c r="G138" s="744"/>
      <c r="H138" s="744"/>
      <c r="I138" s="745"/>
      <c r="J138" s="358"/>
      <c r="K138" s="358"/>
      <c r="L138" s="358"/>
    </row>
    <row r="139" spans="1:12" ht="120" x14ac:dyDescent="0.45">
      <c r="A139" s="360" t="s">
        <v>825</v>
      </c>
      <c r="B139" s="375"/>
      <c r="C139" s="361" t="s">
        <v>1032</v>
      </c>
      <c r="D139" s="362"/>
      <c r="E139" s="363" t="s">
        <v>1033</v>
      </c>
      <c r="F139" s="364"/>
      <c r="G139" s="365"/>
      <c r="H139" s="365" t="s">
        <v>8</v>
      </c>
      <c r="I139" s="366" t="s">
        <v>954</v>
      </c>
      <c r="J139" s="358"/>
      <c r="K139" s="358"/>
      <c r="L139" s="358"/>
    </row>
    <row r="140" spans="1:12" ht="144" x14ac:dyDescent="0.45">
      <c r="A140" s="360" t="s">
        <v>189</v>
      </c>
      <c r="B140" s="375"/>
      <c r="C140" s="361" t="s">
        <v>1042</v>
      </c>
      <c r="D140" s="362"/>
      <c r="E140" s="363" t="s">
        <v>1043</v>
      </c>
      <c r="F140" s="364"/>
      <c r="G140" s="365"/>
      <c r="H140" s="365" t="s">
        <v>8</v>
      </c>
      <c r="I140" s="366"/>
      <c r="J140" s="358"/>
      <c r="K140" s="358"/>
      <c r="L140" s="358"/>
    </row>
    <row r="141" spans="1:12" ht="168" x14ac:dyDescent="0.45">
      <c r="A141" s="360" t="s">
        <v>189</v>
      </c>
      <c r="B141" s="375"/>
      <c r="C141" s="361" t="s">
        <v>1044</v>
      </c>
      <c r="D141" s="362"/>
      <c r="E141" s="363" t="s">
        <v>1045</v>
      </c>
      <c r="F141" s="364"/>
      <c r="G141" s="365"/>
      <c r="H141" s="365" t="s">
        <v>8</v>
      </c>
      <c r="I141" s="366"/>
      <c r="J141" s="358"/>
      <c r="K141" s="358"/>
      <c r="L141" s="358"/>
    </row>
    <row r="142" spans="1:12" ht="72" x14ac:dyDescent="0.45">
      <c r="A142" s="360" t="s">
        <v>845</v>
      </c>
      <c r="B142" s="375"/>
      <c r="C142" s="361" t="s">
        <v>1038</v>
      </c>
      <c r="D142" s="362"/>
      <c r="E142" s="363" t="s">
        <v>1046</v>
      </c>
      <c r="F142" s="364"/>
      <c r="G142" s="365"/>
      <c r="H142" s="365" t="s">
        <v>8</v>
      </c>
      <c r="I142" s="366"/>
      <c r="J142" s="358"/>
      <c r="K142" s="358"/>
      <c r="L142" s="358"/>
    </row>
    <row r="143" spans="1:12" ht="24" x14ac:dyDescent="0.45">
      <c r="A143" s="357" t="s">
        <v>802</v>
      </c>
      <c r="B143" s="375"/>
      <c r="C143" s="740" t="s">
        <v>1047</v>
      </c>
      <c r="D143" s="741"/>
      <c r="E143" s="741"/>
      <c r="F143" s="741"/>
      <c r="G143" s="741"/>
      <c r="H143" s="741"/>
      <c r="I143" s="742"/>
      <c r="J143" s="358"/>
      <c r="K143" s="358"/>
      <c r="L143" s="358"/>
    </row>
    <row r="144" spans="1:12" ht="24" x14ac:dyDescent="0.45">
      <c r="A144" s="359" t="s">
        <v>804</v>
      </c>
      <c r="B144" s="375"/>
      <c r="C144" s="743" t="s">
        <v>805</v>
      </c>
      <c r="D144" s="744"/>
      <c r="E144" s="744"/>
      <c r="F144" s="744"/>
      <c r="G144" s="744"/>
      <c r="H144" s="744"/>
      <c r="I144" s="745"/>
      <c r="J144" s="358"/>
      <c r="K144" s="358"/>
      <c r="L144" s="358"/>
    </row>
    <row r="145" spans="1:12" ht="144" x14ac:dyDescent="0.45">
      <c r="A145" s="360" t="s">
        <v>825</v>
      </c>
      <c r="B145" s="375"/>
      <c r="C145" s="361" t="s">
        <v>1048</v>
      </c>
      <c r="D145" s="362"/>
      <c r="E145" s="363" t="s">
        <v>1049</v>
      </c>
      <c r="F145" s="364"/>
      <c r="G145" s="365"/>
      <c r="H145" s="365" t="s">
        <v>8</v>
      </c>
      <c r="I145" s="366" t="s">
        <v>1050</v>
      </c>
      <c r="J145" s="358"/>
      <c r="K145" s="358"/>
      <c r="L145" s="358"/>
    </row>
    <row r="146" spans="1:12" ht="144" x14ac:dyDescent="0.45">
      <c r="A146" s="360" t="s">
        <v>11</v>
      </c>
      <c r="B146" s="375"/>
      <c r="C146" s="361" t="s">
        <v>1051</v>
      </c>
      <c r="D146" s="362"/>
      <c r="E146" s="363" t="s">
        <v>1052</v>
      </c>
      <c r="F146" s="364"/>
      <c r="G146" s="365"/>
      <c r="H146" s="365" t="s">
        <v>8</v>
      </c>
      <c r="I146" s="366"/>
      <c r="J146" s="358"/>
      <c r="K146" s="358"/>
      <c r="L146" s="358"/>
    </row>
    <row r="147" spans="1:12" ht="96" x14ac:dyDescent="0.45">
      <c r="A147" s="360" t="s">
        <v>189</v>
      </c>
      <c r="B147" s="375"/>
      <c r="C147" s="361" t="s">
        <v>1053</v>
      </c>
      <c r="D147" s="362"/>
      <c r="E147" s="363" t="s">
        <v>1054</v>
      </c>
      <c r="F147" s="364"/>
      <c r="G147" s="365"/>
      <c r="H147" s="365" t="s">
        <v>8</v>
      </c>
      <c r="I147" s="366"/>
      <c r="J147" s="358"/>
      <c r="K147" s="358"/>
      <c r="L147" s="358"/>
    </row>
    <row r="148" spans="1:12" ht="72" x14ac:dyDescent="0.45">
      <c r="A148" s="360" t="s">
        <v>136</v>
      </c>
      <c r="B148" s="375"/>
      <c r="C148" s="361" t="s">
        <v>840</v>
      </c>
      <c r="D148" s="362"/>
      <c r="E148" s="363" t="s">
        <v>1055</v>
      </c>
      <c r="F148" s="364"/>
      <c r="G148" s="365"/>
      <c r="H148" s="365" t="s">
        <v>8</v>
      </c>
      <c r="I148" s="366"/>
      <c r="J148" s="358"/>
      <c r="K148" s="358"/>
      <c r="L148" s="358"/>
    </row>
    <row r="149" spans="1:12" ht="120" x14ac:dyDescent="0.45">
      <c r="A149" s="360" t="s">
        <v>845</v>
      </c>
      <c r="B149" s="375"/>
      <c r="C149" s="361" t="s">
        <v>1056</v>
      </c>
      <c r="D149" s="362"/>
      <c r="E149" s="363" t="s">
        <v>1057</v>
      </c>
      <c r="F149" s="364"/>
      <c r="G149" s="365"/>
      <c r="H149" s="365" t="s">
        <v>8</v>
      </c>
      <c r="I149" s="366"/>
      <c r="J149" s="358"/>
      <c r="K149" s="358"/>
      <c r="L149" s="358"/>
    </row>
    <row r="150" spans="1:12" ht="24" x14ac:dyDescent="0.45">
      <c r="A150" s="357" t="s">
        <v>807</v>
      </c>
      <c r="B150" s="375"/>
      <c r="C150" s="740" t="s">
        <v>1058</v>
      </c>
      <c r="D150" s="741"/>
      <c r="E150" s="741"/>
      <c r="F150" s="741"/>
      <c r="G150" s="741"/>
      <c r="H150" s="741"/>
      <c r="I150" s="742"/>
      <c r="J150" s="358"/>
      <c r="K150" s="358"/>
      <c r="L150" s="358"/>
    </row>
    <row r="151" spans="1:12" ht="24" x14ac:dyDescent="0.45">
      <c r="A151" s="359" t="s">
        <v>809</v>
      </c>
      <c r="B151" s="375"/>
      <c r="C151" s="743" t="s">
        <v>810</v>
      </c>
      <c r="D151" s="744"/>
      <c r="E151" s="744"/>
      <c r="F151" s="744"/>
      <c r="G151" s="744"/>
      <c r="H151" s="744"/>
      <c r="I151" s="745"/>
      <c r="J151" s="358"/>
      <c r="K151" s="358"/>
      <c r="L151" s="358"/>
    </row>
    <row r="152" spans="1:12" ht="72" x14ac:dyDescent="0.45">
      <c r="A152" s="360" t="s">
        <v>825</v>
      </c>
      <c r="B152" s="375"/>
      <c r="C152" s="361" t="s">
        <v>826</v>
      </c>
      <c r="D152" s="362"/>
      <c r="E152" s="363" t="s">
        <v>914</v>
      </c>
      <c r="F152" s="364" t="s">
        <v>6</v>
      </c>
      <c r="G152" s="365"/>
      <c r="H152" s="365"/>
      <c r="I152" s="366"/>
      <c r="J152" s="358"/>
      <c r="K152" s="358"/>
      <c r="L152" s="358"/>
    </row>
    <row r="153" spans="1:12" ht="72" x14ac:dyDescent="0.45">
      <c r="A153" s="360" t="s">
        <v>11</v>
      </c>
      <c r="B153" s="375"/>
      <c r="C153" s="361" t="s">
        <v>869</v>
      </c>
      <c r="D153" s="362"/>
      <c r="E153" s="363" t="s">
        <v>915</v>
      </c>
      <c r="F153" s="364" t="s">
        <v>6</v>
      </c>
      <c r="G153" s="365"/>
      <c r="H153" s="365"/>
      <c r="I153" s="366"/>
      <c r="J153" s="358"/>
      <c r="K153" s="358"/>
      <c r="L153" s="358"/>
    </row>
    <row r="154" spans="1:12" ht="192" x14ac:dyDescent="0.45">
      <c r="A154" s="360" t="s">
        <v>11</v>
      </c>
      <c r="B154" s="375"/>
      <c r="C154" s="361" t="s">
        <v>1059</v>
      </c>
      <c r="D154" s="362"/>
      <c r="E154" s="363" t="s">
        <v>1060</v>
      </c>
      <c r="F154" s="364" t="s">
        <v>6</v>
      </c>
      <c r="G154" s="365"/>
      <c r="H154" s="365"/>
      <c r="I154" s="366"/>
      <c r="J154" s="358"/>
      <c r="K154" s="358"/>
      <c r="L154" s="358"/>
    </row>
    <row r="155" spans="1:12" ht="144" x14ac:dyDescent="0.45">
      <c r="A155" s="360" t="s">
        <v>11</v>
      </c>
      <c r="B155" s="375"/>
      <c r="C155" s="361" t="s">
        <v>1061</v>
      </c>
      <c r="D155" s="362"/>
      <c r="E155" s="363" t="s">
        <v>1062</v>
      </c>
      <c r="F155" s="364" t="s">
        <v>6</v>
      </c>
      <c r="G155" s="365"/>
      <c r="H155" s="365"/>
      <c r="I155" s="366"/>
      <c r="J155" s="358"/>
      <c r="K155" s="358"/>
      <c r="L155" s="358"/>
    </row>
    <row r="156" spans="1:12" ht="96" x14ac:dyDescent="0.45">
      <c r="A156" s="360" t="s">
        <v>845</v>
      </c>
      <c r="B156" s="375"/>
      <c r="C156" s="361" t="s">
        <v>1063</v>
      </c>
      <c r="D156" s="362"/>
      <c r="E156" s="363" t="s">
        <v>1064</v>
      </c>
      <c r="F156" s="364" t="s">
        <v>6</v>
      </c>
      <c r="G156" s="365"/>
      <c r="H156" s="365"/>
      <c r="I156" s="366"/>
      <c r="J156" s="358"/>
      <c r="K156" s="358"/>
      <c r="L156" s="358"/>
    </row>
    <row r="157" spans="1:12" ht="96" x14ac:dyDescent="0.45">
      <c r="A157" s="360" t="s">
        <v>136</v>
      </c>
      <c r="B157" s="375"/>
      <c r="C157" s="361" t="s">
        <v>1065</v>
      </c>
      <c r="D157" s="362"/>
      <c r="E157" s="363" t="s">
        <v>1066</v>
      </c>
      <c r="F157" s="364" t="s">
        <v>6</v>
      </c>
      <c r="G157" s="365"/>
      <c r="H157" s="365"/>
      <c r="I157" s="366"/>
      <c r="J157" s="358"/>
      <c r="K157" s="358"/>
      <c r="L157" s="358"/>
    </row>
    <row r="158" spans="1:12" ht="24" x14ac:dyDescent="0.45">
      <c r="A158" s="359" t="s">
        <v>811</v>
      </c>
      <c r="B158" s="375"/>
      <c r="C158" s="743" t="s">
        <v>812</v>
      </c>
      <c r="D158" s="744"/>
      <c r="E158" s="744"/>
      <c r="F158" s="744"/>
      <c r="G158" s="744"/>
      <c r="H158" s="744"/>
      <c r="I158" s="745"/>
      <c r="J158" s="358"/>
      <c r="K158" s="358"/>
      <c r="L158" s="358"/>
    </row>
    <row r="159" spans="1:12" ht="72" x14ac:dyDescent="0.45">
      <c r="A159" s="360" t="s">
        <v>825</v>
      </c>
      <c r="B159" s="375"/>
      <c r="C159" s="361" t="s">
        <v>826</v>
      </c>
      <c r="D159" s="362"/>
      <c r="E159" s="363" t="s">
        <v>914</v>
      </c>
      <c r="F159" s="364" t="s">
        <v>6</v>
      </c>
      <c r="G159" s="365"/>
      <c r="H159" s="365"/>
      <c r="I159" s="366"/>
      <c r="J159" s="358"/>
      <c r="K159" s="358"/>
      <c r="L159" s="358"/>
    </row>
    <row r="160" spans="1:12" ht="72" x14ac:dyDescent="0.45">
      <c r="A160" s="360" t="s">
        <v>11</v>
      </c>
      <c r="B160" s="375"/>
      <c r="C160" s="361" t="s">
        <v>1067</v>
      </c>
      <c r="D160" s="362"/>
      <c r="E160" s="363" t="s">
        <v>1068</v>
      </c>
      <c r="F160" s="364" t="s">
        <v>6</v>
      </c>
      <c r="G160" s="365"/>
      <c r="H160" s="365"/>
      <c r="I160" s="366"/>
      <c r="J160" s="358"/>
      <c r="K160" s="358"/>
      <c r="L160" s="358"/>
    </row>
    <row r="161" spans="1:12" ht="120" x14ac:dyDescent="0.45">
      <c r="A161" s="360" t="s">
        <v>45</v>
      </c>
      <c r="B161" s="375"/>
      <c r="C161" s="361" t="s">
        <v>1069</v>
      </c>
      <c r="D161" s="362"/>
      <c r="E161" s="363" t="s">
        <v>886</v>
      </c>
      <c r="F161" s="364" t="s">
        <v>6</v>
      </c>
      <c r="G161" s="365"/>
      <c r="H161" s="365"/>
      <c r="I161" s="366"/>
      <c r="J161" s="358"/>
      <c r="K161" s="358"/>
      <c r="L161" s="358"/>
    </row>
    <row r="162" spans="1:12" ht="96" x14ac:dyDescent="0.45">
      <c r="A162" s="360" t="s">
        <v>853</v>
      </c>
      <c r="B162" s="375"/>
      <c r="C162" s="361" t="s">
        <v>875</v>
      </c>
      <c r="D162" s="362"/>
      <c r="E162" s="363" t="s">
        <v>1070</v>
      </c>
      <c r="F162" s="364"/>
      <c r="G162" s="365" t="s">
        <v>833</v>
      </c>
      <c r="H162" s="365"/>
      <c r="I162" s="366" t="s">
        <v>1071</v>
      </c>
      <c r="J162" s="358"/>
      <c r="K162" s="358"/>
      <c r="L162" s="358"/>
    </row>
    <row r="163" spans="1:12" ht="48" x14ac:dyDescent="0.45">
      <c r="A163" s="360" t="s">
        <v>11</v>
      </c>
      <c r="B163" s="375"/>
      <c r="C163" s="361" t="s">
        <v>1072</v>
      </c>
      <c r="D163" s="362"/>
      <c r="E163" s="363" t="s">
        <v>1073</v>
      </c>
      <c r="F163" s="364" t="s">
        <v>6</v>
      </c>
      <c r="G163" s="365"/>
      <c r="H163" s="365"/>
      <c r="I163" s="366"/>
      <c r="J163" s="358"/>
      <c r="K163" s="358"/>
      <c r="L163" s="358"/>
    </row>
    <row r="164" spans="1:12" ht="97.2" x14ac:dyDescent="0.45">
      <c r="A164" s="360" t="s">
        <v>136</v>
      </c>
      <c r="B164" s="375"/>
      <c r="C164" s="361" t="s">
        <v>1074</v>
      </c>
      <c r="D164" s="362"/>
      <c r="E164" s="363" t="s">
        <v>1075</v>
      </c>
      <c r="F164" s="364" t="s">
        <v>6</v>
      </c>
      <c r="G164" s="365"/>
      <c r="H164" s="365"/>
      <c r="I164" s="376" t="s">
        <v>1076</v>
      </c>
      <c r="J164" s="358"/>
      <c r="K164" s="358"/>
      <c r="L164" s="358"/>
    </row>
    <row r="165" spans="1:12" ht="24" x14ac:dyDescent="0.45">
      <c r="A165" s="359" t="s">
        <v>813</v>
      </c>
      <c r="B165" s="375"/>
      <c r="C165" s="743" t="s">
        <v>814</v>
      </c>
      <c r="D165" s="744"/>
      <c r="E165" s="744"/>
      <c r="F165" s="744"/>
      <c r="G165" s="744"/>
      <c r="H165" s="744"/>
      <c r="I165" s="745"/>
      <c r="J165" s="358"/>
      <c r="K165" s="358"/>
      <c r="L165" s="358"/>
    </row>
    <row r="166" spans="1:12" ht="96" x14ac:dyDescent="0.45">
      <c r="A166" s="360" t="s">
        <v>11</v>
      </c>
      <c r="B166" s="375"/>
      <c r="C166" s="361" t="s">
        <v>1077</v>
      </c>
      <c r="D166" s="362"/>
      <c r="E166" s="363" t="s">
        <v>1078</v>
      </c>
      <c r="F166" s="364" t="s">
        <v>6</v>
      </c>
      <c r="G166" s="365"/>
      <c r="H166" s="365"/>
      <c r="I166" s="366"/>
      <c r="J166" s="358"/>
      <c r="K166" s="358"/>
      <c r="L166" s="358"/>
    </row>
    <row r="167" spans="1:12" ht="96" x14ac:dyDescent="0.45">
      <c r="A167" s="430" t="s">
        <v>845</v>
      </c>
      <c r="B167" s="430"/>
      <c r="C167" s="431" t="s">
        <v>1079</v>
      </c>
      <c r="D167" s="432"/>
      <c r="E167" s="433" t="s">
        <v>1080</v>
      </c>
      <c r="F167" s="410" t="s">
        <v>6</v>
      </c>
      <c r="G167" s="411"/>
      <c r="H167" s="411"/>
      <c r="I167" s="434"/>
      <c r="J167" s="358"/>
      <c r="K167" s="358"/>
      <c r="L167" s="358"/>
    </row>
    <row r="168" spans="1:12" ht="96" x14ac:dyDescent="0.45">
      <c r="A168" s="360" t="s">
        <v>845</v>
      </c>
      <c r="B168" s="375"/>
      <c r="C168" s="361" t="s">
        <v>1081</v>
      </c>
      <c r="D168" s="362"/>
      <c r="E168" s="363" t="s">
        <v>1082</v>
      </c>
      <c r="F168" s="364" t="s">
        <v>6</v>
      </c>
      <c r="G168" s="365"/>
      <c r="H168" s="365"/>
      <c r="I168" s="366"/>
      <c r="J168" s="358"/>
      <c r="K168" s="358"/>
      <c r="L168" s="358"/>
    </row>
    <row r="169" spans="1:12" ht="90" customHeight="1" x14ac:dyDescent="0.45">
      <c r="A169" s="360" t="s">
        <v>845</v>
      </c>
      <c r="B169" s="375"/>
      <c r="C169" s="361" t="s">
        <v>1083</v>
      </c>
      <c r="D169" s="362"/>
      <c r="E169" s="363" t="s">
        <v>1084</v>
      </c>
      <c r="F169" s="364" t="s">
        <v>6</v>
      </c>
      <c r="G169" s="365"/>
      <c r="H169" s="365"/>
      <c r="I169" s="366"/>
      <c r="J169" s="358"/>
      <c r="K169" s="358"/>
      <c r="L169" s="358"/>
    </row>
    <row r="170" spans="1:12" ht="24" x14ac:dyDescent="0.45">
      <c r="A170" s="357" t="s">
        <v>815</v>
      </c>
      <c r="B170" s="375"/>
      <c r="C170" s="740" t="s">
        <v>1085</v>
      </c>
      <c r="D170" s="741"/>
      <c r="E170" s="741"/>
      <c r="F170" s="741"/>
      <c r="G170" s="741"/>
      <c r="H170" s="741"/>
      <c r="I170" s="742"/>
      <c r="J170" s="358"/>
      <c r="K170" s="358"/>
      <c r="L170" s="358"/>
    </row>
    <row r="171" spans="1:12" ht="24" x14ac:dyDescent="0.45">
      <c r="A171" s="359" t="s">
        <v>817</v>
      </c>
      <c r="B171" s="375"/>
      <c r="C171" s="743" t="s">
        <v>1086</v>
      </c>
      <c r="D171" s="744"/>
      <c r="E171" s="744"/>
      <c r="F171" s="744"/>
      <c r="G171" s="744"/>
      <c r="H171" s="744"/>
      <c r="I171" s="745"/>
      <c r="J171" s="358"/>
      <c r="K171" s="358"/>
      <c r="L171" s="358"/>
    </row>
    <row r="172" spans="1:12" ht="72" x14ac:dyDescent="0.45">
      <c r="A172" s="360" t="s">
        <v>825</v>
      </c>
      <c r="B172" s="375"/>
      <c r="C172" s="361" t="s">
        <v>826</v>
      </c>
      <c r="D172" s="362"/>
      <c r="E172" s="363" t="s">
        <v>914</v>
      </c>
      <c r="F172" s="364" t="s">
        <v>6</v>
      </c>
      <c r="G172" s="365"/>
      <c r="H172" s="365"/>
      <c r="I172" s="366"/>
      <c r="J172" s="358"/>
      <c r="K172" s="358"/>
      <c r="L172" s="358"/>
    </row>
    <row r="173" spans="1:12" ht="72" x14ac:dyDescent="0.45">
      <c r="A173" s="360" t="s">
        <v>11</v>
      </c>
      <c r="B173" s="375"/>
      <c r="C173" s="361" t="s">
        <v>869</v>
      </c>
      <c r="D173" s="362"/>
      <c r="E173" s="363" t="s">
        <v>915</v>
      </c>
      <c r="F173" s="364" t="s">
        <v>6</v>
      </c>
      <c r="G173" s="365"/>
      <c r="H173" s="365"/>
      <c r="I173" s="366"/>
      <c r="J173" s="358"/>
      <c r="K173" s="358"/>
      <c r="L173" s="358"/>
    </row>
    <row r="174" spans="1:12" ht="144" x14ac:dyDescent="0.45">
      <c r="A174" s="360" t="s">
        <v>45</v>
      </c>
      <c r="B174" s="375"/>
      <c r="C174" s="361" t="s">
        <v>1087</v>
      </c>
      <c r="D174" s="362"/>
      <c r="E174" s="363" t="s">
        <v>1088</v>
      </c>
      <c r="F174" s="364" t="s">
        <v>6</v>
      </c>
      <c r="G174" s="365"/>
      <c r="H174" s="365"/>
      <c r="I174" s="366"/>
      <c r="J174" s="358"/>
      <c r="K174" s="358"/>
      <c r="L174" s="358"/>
    </row>
    <row r="175" spans="1:12" ht="48" x14ac:dyDescent="0.45">
      <c r="A175" s="360" t="s">
        <v>1089</v>
      </c>
      <c r="B175" s="375"/>
      <c r="C175" s="361" t="s">
        <v>1090</v>
      </c>
      <c r="D175" s="362"/>
      <c r="E175" s="363" t="s">
        <v>1091</v>
      </c>
      <c r="F175" s="364"/>
      <c r="G175" s="365" t="s">
        <v>833</v>
      </c>
      <c r="H175" s="365"/>
      <c r="I175" s="366" t="s">
        <v>1092</v>
      </c>
      <c r="J175" s="358"/>
      <c r="K175" s="358"/>
      <c r="L175" s="358"/>
    </row>
    <row r="176" spans="1:12" ht="120" x14ac:dyDescent="0.45">
      <c r="A176" s="360" t="s">
        <v>1089</v>
      </c>
      <c r="B176" s="375"/>
      <c r="C176" s="361" t="s">
        <v>1093</v>
      </c>
      <c r="D176" s="362"/>
      <c r="E176" s="363" t="s">
        <v>1094</v>
      </c>
      <c r="F176" s="364"/>
      <c r="G176" s="365" t="s">
        <v>833</v>
      </c>
      <c r="H176" s="365"/>
      <c r="I176" s="376" t="s">
        <v>1095</v>
      </c>
      <c r="J176" s="358"/>
      <c r="K176" s="358"/>
      <c r="L176" s="358"/>
    </row>
    <row r="177" spans="1:12" ht="96" x14ac:dyDescent="0.45">
      <c r="A177" s="360" t="s">
        <v>11</v>
      </c>
      <c r="B177" s="375"/>
      <c r="C177" s="361" t="s">
        <v>1096</v>
      </c>
      <c r="D177" s="362"/>
      <c r="E177" s="363" t="s">
        <v>1097</v>
      </c>
      <c r="F177" s="364"/>
      <c r="G177" s="365"/>
      <c r="H177" s="365" t="s">
        <v>8</v>
      </c>
      <c r="I177" s="366" t="s">
        <v>1098</v>
      </c>
      <c r="J177" s="358"/>
      <c r="K177" s="358"/>
      <c r="L177" s="358"/>
    </row>
    <row r="178" spans="1:12" ht="48" x14ac:dyDescent="0.45">
      <c r="A178" s="360" t="s">
        <v>136</v>
      </c>
      <c r="B178" s="375"/>
      <c r="C178" s="361" t="s">
        <v>840</v>
      </c>
      <c r="D178" s="362"/>
      <c r="E178" s="363" t="s">
        <v>925</v>
      </c>
      <c r="F178" s="364"/>
      <c r="G178" s="365"/>
      <c r="H178" s="365" t="s">
        <v>8</v>
      </c>
      <c r="I178" s="366" t="s">
        <v>1098</v>
      </c>
      <c r="J178" s="358"/>
      <c r="K178" s="358"/>
      <c r="L178" s="358"/>
    </row>
    <row r="179" spans="1:12" ht="96" x14ac:dyDescent="0.45">
      <c r="A179" s="360" t="s">
        <v>845</v>
      </c>
      <c r="B179" s="375"/>
      <c r="C179" s="361" t="s">
        <v>1099</v>
      </c>
      <c r="D179" s="362"/>
      <c r="E179" s="363" t="s">
        <v>1100</v>
      </c>
      <c r="F179" s="364"/>
      <c r="G179" s="365"/>
      <c r="H179" s="365" t="s">
        <v>8</v>
      </c>
      <c r="I179" s="366" t="s">
        <v>1098</v>
      </c>
      <c r="J179" s="358"/>
      <c r="K179" s="358"/>
      <c r="L179" s="358"/>
    </row>
    <row r="180" spans="1:12" ht="48" x14ac:dyDescent="0.45">
      <c r="A180" s="360" t="s">
        <v>189</v>
      </c>
      <c r="B180" s="375"/>
      <c r="C180" s="361" t="s">
        <v>866</v>
      </c>
      <c r="D180" s="362"/>
      <c r="E180" s="363" t="s">
        <v>901</v>
      </c>
      <c r="F180" s="364"/>
      <c r="G180" s="365"/>
      <c r="H180" s="365" t="s">
        <v>8</v>
      </c>
      <c r="I180" s="366" t="s">
        <v>1098</v>
      </c>
      <c r="J180" s="358"/>
      <c r="K180" s="358"/>
      <c r="L180" s="358"/>
    </row>
    <row r="181" spans="1:12" ht="24" x14ac:dyDescent="0.45">
      <c r="A181" s="359" t="s">
        <v>819</v>
      </c>
      <c r="B181" s="375"/>
      <c r="C181" s="743" t="s">
        <v>820</v>
      </c>
      <c r="D181" s="744"/>
      <c r="E181" s="744"/>
      <c r="F181" s="744"/>
      <c r="G181" s="744"/>
      <c r="H181" s="744"/>
      <c r="I181" s="745"/>
      <c r="J181" s="358"/>
      <c r="K181" s="358"/>
      <c r="L181" s="358"/>
    </row>
    <row r="182" spans="1:12" ht="144" x14ac:dyDescent="0.45">
      <c r="A182" s="360" t="s">
        <v>45</v>
      </c>
      <c r="B182" s="375"/>
      <c r="C182" s="361" t="s">
        <v>1101</v>
      </c>
      <c r="D182" s="362"/>
      <c r="E182" s="363" t="s">
        <v>1102</v>
      </c>
      <c r="F182" s="364"/>
      <c r="G182" s="365"/>
      <c r="H182" s="365" t="s">
        <v>8</v>
      </c>
      <c r="I182" s="366"/>
      <c r="J182" s="358"/>
      <c r="K182" s="358"/>
      <c r="L182" s="358"/>
    </row>
    <row r="183" spans="1:12" ht="144" x14ac:dyDescent="0.45">
      <c r="A183" s="360" t="s">
        <v>825</v>
      </c>
      <c r="B183" s="375"/>
      <c r="C183" s="361" t="s">
        <v>1103</v>
      </c>
      <c r="D183" s="362"/>
      <c r="E183" s="363" t="s">
        <v>1104</v>
      </c>
      <c r="F183" s="364"/>
      <c r="G183" s="365"/>
      <c r="H183" s="365" t="s">
        <v>8</v>
      </c>
      <c r="I183" s="366"/>
      <c r="J183" s="358"/>
      <c r="K183" s="358"/>
      <c r="L183" s="358"/>
    </row>
    <row r="184" spans="1:12" ht="96" x14ac:dyDescent="0.45">
      <c r="A184" s="360" t="s">
        <v>1089</v>
      </c>
      <c r="B184" s="375"/>
      <c r="C184" s="361" t="s">
        <v>1090</v>
      </c>
      <c r="D184" s="362"/>
      <c r="E184" s="363" t="s">
        <v>1105</v>
      </c>
      <c r="F184" s="364"/>
      <c r="G184" s="365"/>
      <c r="H184" s="365" t="s">
        <v>8</v>
      </c>
      <c r="I184" s="366"/>
      <c r="J184" s="358"/>
      <c r="K184" s="358"/>
      <c r="L184" s="358"/>
    </row>
    <row r="185" spans="1:12" ht="120" x14ac:dyDescent="0.45">
      <c r="A185" s="360" t="s">
        <v>1089</v>
      </c>
      <c r="B185" s="375"/>
      <c r="C185" s="361" t="s">
        <v>1093</v>
      </c>
      <c r="D185" s="362"/>
      <c r="E185" s="363" t="s">
        <v>1094</v>
      </c>
      <c r="F185" s="364"/>
      <c r="G185" s="365"/>
      <c r="H185" s="365" t="s">
        <v>8</v>
      </c>
      <c r="I185" s="366"/>
      <c r="J185" s="358"/>
      <c r="K185" s="358"/>
      <c r="L185" s="358"/>
    </row>
    <row r="186" spans="1:12" ht="48" x14ac:dyDescent="0.45">
      <c r="A186" s="360" t="s">
        <v>136</v>
      </c>
      <c r="B186" s="375"/>
      <c r="C186" s="361" t="s">
        <v>840</v>
      </c>
      <c r="D186" s="362"/>
      <c r="E186" s="363" t="s">
        <v>925</v>
      </c>
      <c r="F186" s="364"/>
      <c r="G186" s="365"/>
      <c r="H186" s="365" t="s">
        <v>8</v>
      </c>
      <c r="I186" s="366"/>
      <c r="J186" s="358"/>
      <c r="K186" s="358"/>
      <c r="L186" s="358"/>
    </row>
    <row r="187" spans="1:12" ht="120" x14ac:dyDescent="0.45">
      <c r="A187" s="360" t="s">
        <v>845</v>
      </c>
      <c r="B187" s="375"/>
      <c r="C187" s="361" t="s">
        <v>880</v>
      </c>
      <c r="D187" s="362"/>
      <c r="E187" s="363" t="s">
        <v>1106</v>
      </c>
      <c r="F187" s="364"/>
      <c r="G187" s="365"/>
      <c r="H187" s="365" t="s">
        <v>8</v>
      </c>
      <c r="I187" s="366"/>
      <c r="J187" s="358"/>
      <c r="K187" s="358"/>
      <c r="L187" s="358"/>
    </row>
    <row r="188" spans="1:12" ht="48" x14ac:dyDescent="0.45">
      <c r="A188" s="360" t="s">
        <v>189</v>
      </c>
      <c r="B188" s="375"/>
      <c r="C188" s="361" t="s">
        <v>866</v>
      </c>
      <c r="D188" s="362"/>
      <c r="E188" s="363" t="s">
        <v>901</v>
      </c>
      <c r="F188" s="364"/>
      <c r="G188" s="365"/>
      <c r="H188" s="365" t="s">
        <v>8</v>
      </c>
      <c r="I188" s="366"/>
      <c r="J188" s="358"/>
      <c r="K188" s="358"/>
      <c r="L188" s="358"/>
    </row>
    <row r="189" spans="1:12" ht="24" x14ac:dyDescent="0.45">
      <c r="A189" s="357" t="s">
        <v>822</v>
      </c>
      <c r="B189" s="375"/>
      <c r="C189" s="740" t="s">
        <v>1107</v>
      </c>
      <c r="D189" s="741"/>
      <c r="E189" s="741"/>
      <c r="F189" s="741"/>
      <c r="G189" s="741"/>
      <c r="H189" s="741"/>
      <c r="I189" s="742"/>
      <c r="J189" s="358"/>
      <c r="K189" s="358"/>
      <c r="L189" s="358"/>
    </row>
    <row r="190" spans="1:12" ht="24" x14ac:dyDescent="0.45">
      <c r="A190" s="359" t="s">
        <v>182</v>
      </c>
      <c r="B190" s="375" t="s">
        <v>183</v>
      </c>
      <c r="C190" s="743" t="s">
        <v>184</v>
      </c>
      <c r="D190" s="744"/>
      <c r="E190" s="744"/>
      <c r="F190" s="744"/>
      <c r="G190" s="744"/>
      <c r="H190" s="744"/>
      <c r="I190" s="745"/>
      <c r="J190" s="358"/>
      <c r="K190" s="358"/>
      <c r="L190" s="358"/>
    </row>
    <row r="191" spans="1:12" ht="168" x14ac:dyDescent="0.45">
      <c r="A191" s="360" t="s">
        <v>45</v>
      </c>
      <c r="B191" s="375"/>
      <c r="C191" s="361" t="s">
        <v>47</v>
      </c>
      <c r="D191" s="362"/>
      <c r="E191" s="363" t="s">
        <v>187</v>
      </c>
      <c r="F191" s="364" t="s">
        <v>6</v>
      </c>
      <c r="G191" s="365"/>
      <c r="H191" s="365"/>
      <c r="I191" s="366"/>
      <c r="J191" s="358"/>
      <c r="K191" s="358"/>
      <c r="L191" s="358"/>
    </row>
    <row r="192" spans="1:12" ht="120" x14ac:dyDescent="0.45">
      <c r="A192" s="360" t="s">
        <v>189</v>
      </c>
      <c r="B192" s="375"/>
      <c r="C192" s="361" t="s">
        <v>191</v>
      </c>
      <c r="D192" s="362"/>
      <c r="E192" s="363" t="s">
        <v>192</v>
      </c>
      <c r="F192" s="364" t="s">
        <v>6</v>
      </c>
      <c r="G192" s="365"/>
      <c r="H192" s="365"/>
      <c r="I192" s="366"/>
      <c r="J192" s="358"/>
      <c r="K192" s="358"/>
      <c r="L192" s="358"/>
    </row>
    <row r="193" spans="1:12" ht="72" x14ac:dyDescent="0.45">
      <c r="A193" s="360" t="s">
        <v>189</v>
      </c>
      <c r="B193" s="375"/>
      <c r="C193" s="361" t="s">
        <v>193</v>
      </c>
      <c r="D193" s="362"/>
      <c r="E193" s="363" t="s">
        <v>194</v>
      </c>
      <c r="F193" s="364" t="s">
        <v>6</v>
      </c>
      <c r="G193" s="365"/>
      <c r="H193" s="365"/>
      <c r="I193" s="366"/>
      <c r="J193" s="358"/>
      <c r="K193" s="358"/>
      <c r="L193" s="358"/>
    </row>
    <row r="194" spans="1:12" ht="72" x14ac:dyDescent="0.45">
      <c r="A194" s="360" t="s">
        <v>189</v>
      </c>
      <c r="B194" s="375"/>
      <c r="C194" s="361" t="s">
        <v>195</v>
      </c>
      <c r="D194" s="362"/>
      <c r="E194" s="363" t="s">
        <v>196</v>
      </c>
      <c r="F194" s="364" t="s">
        <v>6</v>
      </c>
      <c r="G194" s="365"/>
      <c r="H194" s="365"/>
      <c r="I194" s="366"/>
      <c r="J194" s="358"/>
      <c r="K194" s="358"/>
      <c r="L194" s="358"/>
    </row>
    <row r="195" spans="1:12" ht="144" x14ac:dyDescent="0.45">
      <c r="A195" s="360" t="s">
        <v>200</v>
      </c>
      <c r="B195" s="375"/>
      <c r="C195" s="361" t="s">
        <v>1108</v>
      </c>
      <c r="D195" s="362"/>
      <c r="E195" s="363" t="s">
        <v>1109</v>
      </c>
      <c r="F195" s="364" t="s">
        <v>6</v>
      </c>
      <c r="G195" s="365"/>
      <c r="H195" s="365"/>
      <c r="I195" s="366"/>
      <c r="J195" s="358"/>
      <c r="K195" s="358"/>
      <c r="L195" s="358"/>
    </row>
  </sheetData>
  <autoFilter ref="A1:I195" xr:uid="{0079C86A-D5C0-468D-9ED0-E28EAE251ABD}"/>
  <mergeCells count="38">
    <mergeCell ref="A1:A2"/>
    <mergeCell ref="B1:B2"/>
    <mergeCell ref="C1:C2"/>
    <mergeCell ref="D1:D2"/>
    <mergeCell ref="E1:E2"/>
    <mergeCell ref="C87:I87"/>
    <mergeCell ref="C14:I14"/>
    <mergeCell ref="C23:I23"/>
    <mergeCell ref="C33:I33"/>
    <mergeCell ref="I1:I2"/>
    <mergeCell ref="C3:I3"/>
    <mergeCell ref="C4:I4"/>
    <mergeCell ref="F1:H1"/>
    <mergeCell ref="C44:I44"/>
    <mergeCell ref="C51:I51"/>
    <mergeCell ref="C61:I61"/>
    <mergeCell ref="C72:I72"/>
    <mergeCell ref="C80:I80"/>
    <mergeCell ref="C150:I150"/>
    <mergeCell ref="C95:I95"/>
    <mergeCell ref="C96:I96"/>
    <mergeCell ref="C105:I105"/>
    <mergeCell ref="C111:I111"/>
    <mergeCell ref="C119:I119"/>
    <mergeCell ref="C125:I125"/>
    <mergeCell ref="C131:I131"/>
    <mergeCell ref="C132:I132"/>
    <mergeCell ref="C138:I138"/>
    <mergeCell ref="C143:I143"/>
    <mergeCell ref="C144:I144"/>
    <mergeCell ref="C189:I189"/>
    <mergeCell ref="C190:I190"/>
    <mergeCell ref="C151:I151"/>
    <mergeCell ref="C158:I158"/>
    <mergeCell ref="C165:I165"/>
    <mergeCell ref="C170:I170"/>
    <mergeCell ref="C171:I171"/>
    <mergeCell ref="C181:I181"/>
  </mergeCells>
  <hyperlinks>
    <hyperlink ref="M43" r:id="rId1" xr:uid="{80D342A5-D6D6-4277-8309-4E67E974CDFA}"/>
    <hyperlink ref="M18" r:id="rId2" xr:uid="{13A86EC9-33CB-462B-8A47-D4A4C5EB773C}"/>
  </hyperlinks>
  <printOptions horizontalCentered="1" gridLines="1"/>
  <pageMargins left="0.25" right="0.25" top="0.75" bottom="0.75" header="0.3" footer="0.3"/>
  <pageSetup paperSize="9" scale="82" fitToHeight="0" orientation="landscape" copies="20" r:id="rId3"/>
  <rowBreaks count="9" manualBreakCount="9">
    <brk id="9" max="8" man="1"/>
    <brk id="15" max="8" man="1"/>
    <brk id="20" max="8" man="1"/>
    <brk id="25" max="8" man="1"/>
    <brk id="27" max="8" man="1"/>
    <brk id="29" max="8" man="1"/>
    <brk id="33" max="8" man="1"/>
    <brk id="36" max="8" man="1"/>
    <brk id="39" max="8" man="1"/>
  </rowBreaks>
  <colBreaks count="1" manualBreakCount="1">
    <brk id="8"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5D407-6C99-4ADF-B5E8-0BB1730102F2}">
  <sheetPr>
    <tabColor rgb="FF92D050"/>
  </sheetPr>
  <dimension ref="A1:G51"/>
  <sheetViews>
    <sheetView workbookViewId="0">
      <selection activeCell="F12" sqref="F12"/>
    </sheetView>
  </sheetViews>
  <sheetFormatPr defaultRowHeight="14.4" x14ac:dyDescent="0.3"/>
  <cols>
    <col min="1" max="1" width="17" style="141" bestFit="1" customWidth="1"/>
    <col min="2" max="2" width="73.109375" bestFit="1" customWidth="1"/>
    <col min="3" max="5" width="10.109375" customWidth="1"/>
    <col min="6" max="6" width="16.5546875" customWidth="1"/>
  </cols>
  <sheetData>
    <row r="1" spans="1:7" x14ac:dyDescent="0.3">
      <c r="A1" s="608"/>
      <c r="B1" s="590"/>
      <c r="C1" s="590"/>
      <c r="D1" s="590"/>
      <c r="E1" s="590"/>
      <c r="F1" s="590"/>
      <c r="G1" s="590"/>
    </row>
    <row r="2" spans="1:7" x14ac:dyDescent="0.3">
      <c r="A2" s="608" t="s">
        <v>1</v>
      </c>
      <c r="B2" s="590"/>
      <c r="C2" s="590"/>
      <c r="D2" s="590"/>
      <c r="E2" s="590"/>
      <c r="F2" s="590"/>
      <c r="G2" s="590"/>
    </row>
    <row r="3" spans="1:7" ht="27" x14ac:dyDescent="0.3">
      <c r="A3" s="747" t="s">
        <v>751</v>
      </c>
      <c r="B3" s="747" t="s">
        <v>1110</v>
      </c>
      <c r="C3" s="749" t="s">
        <v>4</v>
      </c>
      <c r="D3" s="749"/>
      <c r="E3" s="750"/>
      <c r="F3" s="747" t="s">
        <v>5</v>
      </c>
      <c r="G3" s="590"/>
    </row>
    <row r="4" spans="1:7" ht="27" x14ac:dyDescent="0.3">
      <c r="A4" s="748"/>
      <c r="B4" s="748"/>
      <c r="C4" s="607" t="s">
        <v>6</v>
      </c>
      <c r="D4" s="607" t="s">
        <v>7</v>
      </c>
      <c r="E4" s="607" t="s">
        <v>8</v>
      </c>
      <c r="F4" s="748"/>
      <c r="G4" s="590"/>
    </row>
    <row r="5" spans="1:7" x14ac:dyDescent="0.3">
      <c r="A5" s="609" t="s">
        <v>753</v>
      </c>
      <c r="B5" s="591" t="s">
        <v>1111</v>
      </c>
      <c r="C5" s="591" t="s">
        <v>336</v>
      </c>
      <c r="D5" s="591" t="s">
        <v>336</v>
      </c>
      <c r="E5" s="591" t="s">
        <v>336</v>
      </c>
      <c r="F5" s="591" t="s">
        <v>336</v>
      </c>
      <c r="G5" s="590"/>
    </row>
    <row r="6" spans="1:7" ht="48" x14ac:dyDescent="0.65">
      <c r="A6" s="610" t="s">
        <v>755</v>
      </c>
      <c r="B6" s="592" t="s">
        <v>756</v>
      </c>
      <c r="C6" s="593" t="s">
        <v>336</v>
      </c>
      <c r="D6" s="594" t="s">
        <v>336</v>
      </c>
      <c r="E6" s="595" t="s">
        <v>336</v>
      </c>
      <c r="F6" s="596"/>
      <c r="G6" s="590"/>
    </row>
    <row r="7" spans="1:7" ht="24" x14ac:dyDescent="0.65">
      <c r="A7" s="611" t="s">
        <v>758</v>
      </c>
      <c r="B7" s="597" t="s">
        <v>759</v>
      </c>
      <c r="C7" s="598" t="s">
        <v>336</v>
      </c>
      <c r="D7" s="599" t="s">
        <v>336</v>
      </c>
      <c r="E7" s="600" t="s">
        <v>336</v>
      </c>
      <c r="F7" s="601" t="s">
        <v>336</v>
      </c>
      <c r="G7" s="590"/>
    </row>
    <row r="8" spans="1:7" ht="48" x14ac:dyDescent="0.65">
      <c r="A8" s="611" t="s">
        <v>761</v>
      </c>
      <c r="B8" s="597" t="s">
        <v>1112</v>
      </c>
      <c r="C8" s="598" t="s">
        <v>336</v>
      </c>
      <c r="D8" s="599" t="s">
        <v>336</v>
      </c>
      <c r="E8" s="600" t="s">
        <v>336</v>
      </c>
      <c r="F8" s="602" t="s">
        <v>336</v>
      </c>
      <c r="G8" s="590"/>
    </row>
    <row r="9" spans="1:7" ht="24" x14ac:dyDescent="0.65">
      <c r="A9" s="611" t="s">
        <v>768</v>
      </c>
      <c r="B9" s="597" t="s">
        <v>769</v>
      </c>
      <c r="C9" s="598" t="s">
        <v>336</v>
      </c>
      <c r="D9" s="599" t="s">
        <v>336</v>
      </c>
      <c r="E9" s="600" t="s">
        <v>336</v>
      </c>
      <c r="F9" s="603" t="s">
        <v>336</v>
      </c>
      <c r="G9" s="590"/>
    </row>
    <row r="10" spans="1:7" ht="48" x14ac:dyDescent="0.65">
      <c r="A10" s="611" t="s">
        <v>771</v>
      </c>
      <c r="B10" s="597" t="s">
        <v>772</v>
      </c>
      <c r="C10" s="598" t="s">
        <v>336</v>
      </c>
      <c r="D10" s="599" t="s">
        <v>336</v>
      </c>
      <c r="E10" s="600" t="s">
        <v>336</v>
      </c>
      <c r="F10" s="603" t="s">
        <v>336</v>
      </c>
      <c r="G10" s="590"/>
    </row>
    <row r="11" spans="1:7" ht="48" x14ac:dyDescent="0.65">
      <c r="A11" s="611" t="s">
        <v>773</v>
      </c>
      <c r="B11" s="597" t="s">
        <v>774</v>
      </c>
      <c r="C11" s="598" t="s">
        <v>336</v>
      </c>
      <c r="D11" s="599" t="s">
        <v>336</v>
      </c>
      <c r="E11" s="600" t="s">
        <v>336</v>
      </c>
      <c r="F11" s="603" t="s">
        <v>336</v>
      </c>
      <c r="G11" s="590"/>
    </row>
    <row r="12" spans="1:7" ht="48" x14ac:dyDescent="0.65">
      <c r="A12" s="611" t="s">
        <v>775</v>
      </c>
      <c r="B12" s="597" t="s">
        <v>776</v>
      </c>
      <c r="C12" s="598" t="s">
        <v>336</v>
      </c>
      <c r="D12" s="599" t="s">
        <v>336</v>
      </c>
      <c r="E12" s="600" t="s">
        <v>336</v>
      </c>
      <c r="F12" s="603" t="s">
        <v>336</v>
      </c>
      <c r="G12" s="590"/>
    </row>
    <row r="13" spans="1:7" ht="24" x14ac:dyDescent="0.65">
      <c r="A13" s="611" t="s">
        <v>777</v>
      </c>
      <c r="B13" s="597" t="s">
        <v>778</v>
      </c>
      <c r="C13" s="598" t="s">
        <v>336</v>
      </c>
      <c r="D13" s="599" t="s">
        <v>336</v>
      </c>
      <c r="E13" s="600" t="s">
        <v>336</v>
      </c>
      <c r="F13" s="603" t="s">
        <v>336</v>
      </c>
      <c r="G13" s="590"/>
    </row>
    <row r="14" spans="1:7" ht="24" x14ac:dyDescent="0.65">
      <c r="A14" s="611" t="s">
        <v>780</v>
      </c>
      <c r="B14" s="597" t="s">
        <v>781</v>
      </c>
      <c r="C14" s="598" t="s">
        <v>336</v>
      </c>
      <c r="D14" s="599" t="s">
        <v>336</v>
      </c>
      <c r="E14" s="600" t="s">
        <v>336</v>
      </c>
      <c r="F14" s="603" t="s">
        <v>336</v>
      </c>
      <c r="G14" s="590"/>
    </row>
    <row r="15" spans="1:7" ht="24" x14ac:dyDescent="0.65">
      <c r="A15" s="611" t="s">
        <v>1113</v>
      </c>
      <c r="B15" s="597" t="s">
        <v>1114</v>
      </c>
      <c r="C15" s="598" t="s">
        <v>336</v>
      </c>
      <c r="D15" s="599" t="s">
        <v>336</v>
      </c>
      <c r="E15" s="600" t="s">
        <v>336</v>
      </c>
      <c r="F15" s="603" t="s">
        <v>336</v>
      </c>
      <c r="G15" s="590" t="s">
        <v>679</v>
      </c>
    </row>
    <row r="16" spans="1:7" ht="24" x14ac:dyDescent="0.65">
      <c r="A16" s="611" t="s">
        <v>1115</v>
      </c>
      <c r="B16" s="597" t="s">
        <v>1116</v>
      </c>
      <c r="C16" s="598" t="s">
        <v>336</v>
      </c>
      <c r="D16" s="599" t="s">
        <v>336</v>
      </c>
      <c r="E16" s="600" t="s">
        <v>336</v>
      </c>
      <c r="F16" s="603" t="s">
        <v>336</v>
      </c>
      <c r="G16" s="590" t="s">
        <v>679</v>
      </c>
    </row>
    <row r="17" spans="1:7" ht="24" x14ac:dyDescent="0.65">
      <c r="A17" s="611" t="s">
        <v>1117</v>
      </c>
      <c r="B17" s="597" t="s">
        <v>1118</v>
      </c>
      <c r="C17" s="598" t="s">
        <v>336</v>
      </c>
      <c r="D17" s="599" t="s">
        <v>336</v>
      </c>
      <c r="E17" s="600" t="s">
        <v>336</v>
      </c>
      <c r="F17" s="603" t="s">
        <v>336</v>
      </c>
      <c r="G17" s="590" t="s">
        <v>679</v>
      </c>
    </row>
    <row r="18" spans="1:7" x14ac:dyDescent="0.3">
      <c r="A18" s="609" t="s">
        <v>782</v>
      </c>
      <c r="B18" s="591" t="s">
        <v>783</v>
      </c>
      <c r="C18" s="591" t="s">
        <v>336</v>
      </c>
      <c r="D18" s="591" t="s">
        <v>336</v>
      </c>
      <c r="E18" s="591" t="s">
        <v>336</v>
      </c>
      <c r="F18" s="591" t="s">
        <v>336</v>
      </c>
      <c r="G18" s="590"/>
    </row>
    <row r="19" spans="1:7" ht="48" x14ac:dyDescent="0.65">
      <c r="A19" s="610" t="s">
        <v>784</v>
      </c>
      <c r="B19" s="592" t="s">
        <v>1119</v>
      </c>
      <c r="C19" s="593" t="s">
        <v>336</v>
      </c>
      <c r="D19" s="594" t="s">
        <v>336</v>
      </c>
      <c r="E19" s="595" t="s">
        <v>336</v>
      </c>
      <c r="F19" s="604" t="s">
        <v>336</v>
      </c>
      <c r="G19" s="590"/>
    </row>
    <row r="20" spans="1:7" ht="24" x14ac:dyDescent="0.65">
      <c r="A20" s="611" t="s">
        <v>786</v>
      </c>
      <c r="B20" s="597" t="s">
        <v>787</v>
      </c>
      <c r="C20" s="598" t="s">
        <v>336</v>
      </c>
      <c r="D20" s="599" t="s">
        <v>336</v>
      </c>
      <c r="E20" s="600" t="s">
        <v>336</v>
      </c>
      <c r="F20" s="603" t="s">
        <v>336</v>
      </c>
      <c r="G20" s="590"/>
    </row>
    <row r="21" spans="1:7" ht="24" x14ac:dyDescent="0.65">
      <c r="A21" s="611" t="s">
        <v>788</v>
      </c>
      <c r="B21" s="597" t="s">
        <v>789</v>
      </c>
      <c r="C21" s="598" t="s">
        <v>336</v>
      </c>
      <c r="D21" s="599" t="s">
        <v>336</v>
      </c>
      <c r="E21" s="600" t="s">
        <v>336</v>
      </c>
      <c r="F21" s="603" t="s">
        <v>336</v>
      </c>
      <c r="G21" s="590"/>
    </row>
    <row r="22" spans="1:7" ht="24" x14ac:dyDescent="0.65">
      <c r="A22" s="611" t="s">
        <v>790</v>
      </c>
      <c r="B22" s="597" t="s">
        <v>1120</v>
      </c>
      <c r="C22" s="598" t="s">
        <v>336</v>
      </c>
      <c r="D22" s="599" t="s">
        <v>336</v>
      </c>
      <c r="E22" s="600" t="s">
        <v>336</v>
      </c>
      <c r="F22" s="603" t="s">
        <v>336</v>
      </c>
      <c r="G22" s="590"/>
    </row>
    <row r="23" spans="1:7" ht="24" x14ac:dyDescent="0.65">
      <c r="A23" s="611" t="s">
        <v>1121</v>
      </c>
      <c r="B23" s="597" t="s">
        <v>1122</v>
      </c>
      <c r="C23" s="598" t="s">
        <v>336</v>
      </c>
      <c r="D23" s="599" t="s">
        <v>336</v>
      </c>
      <c r="E23" s="600" t="s">
        <v>336</v>
      </c>
      <c r="F23" s="603" t="s">
        <v>336</v>
      </c>
      <c r="G23" s="590" t="s">
        <v>679</v>
      </c>
    </row>
    <row r="24" spans="1:7" x14ac:dyDescent="0.3">
      <c r="A24" s="609" t="s">
        <v>796</v>
      </c>
      <c r="B24" s="591" t="s">
        <v>797</v>
      </c>
      <c r="C24" s="591" t="s">
        <v>336</v>
      </c>
      <c r="D24" s="591" t="s">
        <v>336</v>
      </c>
      <c r="E24" s="591" t="s">
        <v>336</v>
      </c>
      <c r="F24" s="591" t="s">
        <v>336</v>
      </c>
      <c r="G24" s="590"/>
    </row>
    <row r="25" spans="1:7" ht="24" x14ac:dyDescent="0.65">
      <c r="A25" s="610" t="s">
        <v>798</v>
      </c>
      <c r="B25" s="592" t="s">
        <v>799</v>
      </c>
      <c r="C25" s="593" t="s">
        <v>336</v>
      </c>
      <c r="D25" s="594" t="s">
        <v>336</v>
      </c>
      <c r="E25" s="595" t="s">
        <v>336</v>
      </c>
      <c r="F25" s="604" t="s">
        <v>336</v>
      </c>
      <c r="G25" s="590"/>
    </row>
    <row r="26" spans="1:7" ht="24" x14ac:dyDescent="0.65">
      <c r="A26" s="611" t="s">
        <v>800</v>
      </c>
      <c r="B26" s="597" t="s">
        <v>801</v>
      </c>
      <c r="C26" s="598" t="s">
        <v>336</v>
      </c>
      <c r="D26" s="599" t="s">
        <v>336</v>
      </c>
      <c r="E26" s="600" t="s">
        <v>336</v>
      </c>
      <c r="F26" s="603" t="s">
        <v>336</v>
      </c>
      <c r="G26" s="590"/>
    </row>
    <row r="27" spans="1:7" x14ac:dyDescent="0.3">
      <c r="A27" s="609" t="s">
        <v>802</v>
      </c>
      <c r="B27" s="591" t="s">
        <v>1123</v>
      </c>
      <c r="C27" s="591" t="s">
        <v>336</v>
      </c>
      <c r="D27" s="591" t="s">
        <v>336</v>
      </c>
      <c r="E27" s="591" t="s">
        <v>336</v>
      </c>
      <c r="F27" s="591" t="s">
        <v>336</v>
      </c>
      <c r="G27" s="590"/>
    </row>
    <row r="28" spans="1:7" ht="24" x14ac:dyDescent="0.65">
      <c r="A28" s="610" t="s">
        <v>804</v>
      </c>
      <c r="B28" s="592" t="s">
        <v>1124</v>
      </c>
      <c r="C28" s="593" t="s">
        <v>336</v>
      </c>
      <c r="D28" s="594" t="s">
        <v>336</v>
      </c>
      <c r="E28" s="595" t="s">
        <v>336</v>
      </c>
      <c r="F28" s="604" t="s">
        <v>336</v>
      </c>
      <c r="G28" s="590"/>
    </row>
    <row r="29" spans="1:7" x14ac:dyDescent="0.3">
      <c r="A29" s="609" t="s">
        <v>807</v>
      </c>
      <c r="B29" s="591" t="s">
        <v>1125</v>
      </c>
      <c r="C29" s="591" t="s">
        <v>336</v>
      </c>
      <c r="D29" s="591" t="s">
        <v>336</v>
      </c>
      <c r="E29" s="591" t="s">
        <v>336</v>
      </c>
      <c r="F29" s="591" t="s">
        <v>336</v>
      </c>
      <c r="G29" s="590"/>
    </row>
    <row r="30" spans="1:7" ht="24" x14ac:dyDescent="0.65">
      <c r="A30" s="610" t="s">
        <v>809</v>
      </c>
      <c r="B30" s="592" t="s">
        <v>1126</v>
      </c>
      <c r="C30" s="593" t="s">
        <v>336</v>
      </c>
      <c r="D30" s="594" t="s">
        <v>336</v>
      </c>
      <c r="E30" s="595" t="s">
        <v>336</v>
      </c>
      <c r="F30" s="604" t="s">
        <v>336</v>
      </c>
      <c r="G30" s="590"/>
    </row>
    <row r="31" spans="1:7" ht="24" x14ac:dyDescent="0.65">
      <c r="A31" s="611" t="s">
        <v>811</v>
      </c>
      <c r="B31" s="597" t="s">
        <v>812</v>
      </c>
      <c r="C31" s="598" t="s">
        <v>336</v>
      </c>
      <c r="D31" s="605" t="s">
        <v>336</v>
      </c>
      <c r="E31" s="600" t="s">
        <v>336</v>
      </c>
      <c r="F31" s="603" t="s">
        <v>336</v>
      </c>
      <c r="G31" s="590"/>
    </row>
    <row r="32" spans="1:7" x14ac:dyDescent="0.3">
      <c r="A32" s="609" t="s">
        <v>815</v>
      </c>
      <c r="B32" s="591" t="s">
        <v>816</v>
      </c>
      <c r="C32" s="591" t="s">
        <v>336</v>
      </c>
      <c r="D32" s="591" t="s">
        <v>336</v>
      </c>
      <c r="E32" s="591" t="s">
        <v>336</v>
      </c>
      <c r="F32" s="591" t="s">
        <v>336</v>
      </c>
      <c r="G32" s="590"/>
    </row>
    <row r="33" spans="1:7" ht="24" x14ac:dyDescent="0.65">
      <c r="A33" s="610" t="s">
        <v>817</v>
      </c>
      <c r="B33" s="592" t="s">
        <v>818</v>
      </c>
      <c r="C33" s="593" t="s">
        <v>336</v>
      </c>
      <c r="D33" s="606" t="s">
        <v>336</v>
      </c>
      <c r="E33" s="595" t="s">
        <v>336</v>
      </c>
      <c r="F33" s="604" t="s">
        <v>336</v>
      </c>
      <c r="G33" s="590"/>
    </row>
    <row r="34" spans="1:7" ht="24" x14ac:dyDescent="0.65">
      <c r="A34" s="611" t="s">
        <v>819</v>
      </c>
      <c r="B34" s="597" t="s">
        <v>820</v>
      </c>
      <c r="C34" s="598" t="s">
        <v>336</v>
      </c>
      <c r="D34" s="605" t="s">
        <v>336</v>
      </c>
      <c r="E34" s="600" t="s">
        <v>336</v>
      </c>
      <c r="F34" s="603" t="s">
        <v>336</v>
      </c>
      <c r="G34" s="590"/>
    </row>
    <row r="35" spans="1:7" x14ac:dyDescent="0.3">
      <c r="A35" s="609" t="s">
        <v>1127</v>
      </c>
      <c r="B35" s="591" t="s">
        <v>1128</v>
      </c>
      <c r="C35" s="591" t="s">
        <v>336</v>
      </c>
      <c r="D35" s="591" t="s">
        <v>336</v>
      </c>
      <c r="E35" s="591" t="s">
        <v>336</v>
      </c>
      <c r="F35" s="591" t="s">
        <v>336</v>
      </c>
      <c r="G35" s="590"/>
    </row>
    <row r="36" spans="1:7" ht="48" x14ac:dyDescent="0.65">
      <c r="A36" s="610" t="s">
        <v>1129</v>
      </c>
      <c r="B36" s="592" t="s">
        <v>1130</v>
      </c>
      <c r="C36" s="593" t="s">
        <v>336</v>
      </c>
      <c r="D36" s="594" t="s">
        <v>336</v>
      </c>
      <c r="E36" s="595" t="s">
        <v>336</v>
      </c>
      <c r="F36" s="604" t="s">
        <v>336</v>
      </c>
      <c r="G36" s="590" t="s">
        <v>679</v>
      </c>
    </row>
    <row r="37" spans="1:7" ht="24" x14ac:dyDescent="0.65">
      <c r="A37" s="611" t="s">
        <v>1131</v>
      </c>
      <c r="B37" s="597" t="s">
        <v>1132</v>
      </c>
      <c r="C37" s="598" t="s">
        <v>336</v>
      </c>
      <c r="D37" s="599" t="s">
        <v>336</v>
      </c>
      <c r="E37" s="600" t="s">
        <v>336</v>
      </c>
      <c r="F37" s="603" t="s">
        <v>336</v>
      </c>
      <c r="G37" s="590" t="s">
        <v>679</v>
      </c>
    </row>
    <row r="38" spans="1:7" ht="48" x14ac:dyDescent="0.65">
      <c r="A38" s="611" t="s">
        <v>1133</v>
      </c>
      <c r="B38" s="597" t="s">
        <v>1134</v>
      </c>
      <c r="C38" s="598" t="s">
        <v>336</v>
      </c>
      <c r="D38" s="599" t="s">
        <v>336</v>
      </c>
      <c r="E38" s="600" t="s">
        <v>336</v>
      </c>
      <c r="F38" s="603" t="s">
        <v>336</v>
      </c>
      <c r="G38" s="590" t="s">
        <v>679</v>
      </c>
    </row>
    <row r="39" spans="1:7" ht="48" x14ac:dyDescent="0.65">
      <c r="A39" s="611" t="s">
        <v>1135</v>
      </c>
      <c r="B39" s="597" t="s">
        <v>1136</v>
      </c>
      <c r="C39" s="598" t="s">
        <v>336</v>
      </c>
      <c r="D39" s="599" t="s">
        <v>336</v>
      </c>
      <c r="E39" s="600" t="s">
        <v>336</v>
      </c>
      <c r="F39" s="603" t="s">
        <v>336</v>
      </c>
      <c r="G39" s="590" t="s">
        <v>679</v>
      </c>
    </row>
    <row r="40" spans="1:7" ht="24" x14ac:dyDescent="0.65">
      <c r="A40" s="611" t="s">
        <v>1137</v>
      </c>
      <c r="B40" s="597" t="s">
        <v>1138</v>
      </c>
      <c r="C40" s="598" t="s">
        <v>336</v>
      </c>
      <c r="D40" s="599" t="s">
        <v>336</v>
      </c>
      <c r="E40" s="600" t="s">
        <v>336</v>
      </c>
      <c r="F40" s="603" t="s">
        <v>336</v>
      </c>
      <c r="G40" s="590" t="s">
        <v>679</v>
      </c>
    </row>
    <row r="41" spans="1:7" x14ac:dyDescent="0.3">
      <c r="A41" s="609" t="s">
        <v>1139</v>
      </c>
      <c r="B41" s="591" t="s">
        <v>1140</v>
      </c>
      <c r="C41" s="591" t="s">
        <v>336</v>
      </c>
      <c r="D41" s="591" t="s">
        <v>336</v>
      </c>
      <c r="E41" s="591" t="s">
        <v>336</v>
      </c>
      <c r="F41" s="591" t="s">
        <v>336</v>
      </c>
      <c r="G41" s="590"/>
    </row>
    <row r="42" spans="1:7" ht="24" x14ac:dyDescent="0.65">
      <c r="A42" s="610" t="s">
        <v>1141</v>
      </c>
      <c r="B42" s="592" t="s">
        <v>1142</v>
      </c>
      <c r="C42" s="593" t="s">
        <v>336</v>
      </c>
      <c r="D42" s="594" t="s">
        <v>336</v>
      </c>
      <c r="E42" s="595" t="s">
        <v>336</v>
      </c>
      <c r="F42" s="604" t="s">
        <v>336</v>
      </c>
      <c r="G42" s="590" t="s">
        <v>679</v>
      </c>
    </row>
    <row r="43" spans="1:7" ht="24" x14ac:dyDescent="0.65">
      <c r="A43" s="611" t="s">
        <v>1143</v>
      </c>
      <c r="B43" s="597" t="s">
        <v>1144</v>
      </c>
      <c r="C43" s="598" t="s">
        <v>336</v>
      </c>
      <c r="D43" s="599" t="s">
        <v>336</v>
      </c>
      <c r="E43" s="600" t="s">
        <v>336</v>
      </c>
      <c r="F43" s="603" t="s">
        <v>336</v>
      </c>
      <c r="G43" s="590" t="s">
        <v>679</v>
      </c>
    </row>
    <row r="44" spans="1:7" x14ac:dyDescent="0.3">
      <c r="A44" s="609" t="s">
        <v>1145</v>
      </c>
      <c r="B44" s="591" t="s">
        <v>1146</v>
      </c>
      <c r="C44" s="591" t="s">
        <v>336</v>
      </c>
      <c r="D44" s="591" t="s">
        <v>336</v>
      </c>
      <c r="E44" s="591" t="s">
        <v>336</v>
      </c>
      <c r="F44" s="591" t="s">
        <v>336</v>
      </c>
      <c r="G44" s="590"/>
    </row>
    <row r="45" spans="1:7" ht="24" x14ac:dyDescent="0.65">
      <c r="A45" s="610" t="s">
        <v>1147</v>
      </c>
      <c r="B45" s="592" t="s">
        <v>1148</v>
      </c>
      <c r="C45" s="593" t="s">
        <v>336</v>
      </c>
      <c r="D45" s="594" t="s">
        <v>336</v>
      </c>
      <c r="E45" s="595" t="s">
        <v>336</v>
      </c>
      <c r="F45" s="604" t="s">
        <v>336</v>
      </c>
      <c r="G45" s="590" t="s">
        <v>679</v>
      </c>
    </row>
    <row r="46" spans="1:7" ht="48" x14ac:dyDescent="0.65">
      <c r="A46" s="611" t="s">
        <v>1149</v>
      </c>
      <c r="B46" s="597" t="s">
        <v>1150</v>
      </c>
      <c r="C46" s="598" t="s">
        <v>336</v>
      </c>
      <c r="D46" s="599" t="s">
        <v>336</v>
      </c>
      <c r="E46" s="600" t="s">
        <v>336</v>
      </c>
      <c r="F46" s="603" t="s">
        <v>336</v>
      </c>
      <c r="G46" s="590" t="s">
        <v>679</v>
      </c>
    </row>
    <row r="47" spans="1:7" ht="24" x14ac:dyDescent="0.65">
      <c r="A47" s="611" t="s">
        <v>1151</v>
      </c>
      <c r="B47" s="597" t="s">
        <v>1152</v>
      </c>
      <c r="C47" s="598" t="s">
        <v>336</v>
      </c>
      <c r="D47" s="599" t="s">
        <v>336</v>
      </c>
      <c r="E47" s="600" t="s">
        <v>336</v>
      </c>
      <c r="F47" s="603" t="s">
        <v>336</v>
      </c>
      <c r="G47" s="590" t="s">
        <v>679</v>
      </c>
    </row>
    <row r="48" spans="1:7" x14ac:dyDescent="0.3">
      <c r="A48" s="609" t="s">
        <v>1153</v>
      </c>
      <c r="B48" s="591" t="s">
        <v>1154</v>
      </c>
      <c r="C48" s="591" t="s">
        <v>336</v>
      </c>
      <c r="D48" s="591" t="s">
        <v>336</v>
      </c>
      <c r="E48" s="591" t="s">
        <v>336</v>
      </c>
      <c r="F48" s="591" t="s">
        <v>336</v>
      </c>
      <c r="G48" s="590"/>
    </row>
    <row r="49" spans="1:7" ht="24" x14ac:dyDescent="0.65">
      <c r="A49" s="610" t="s">
        <v>1155</v>
      </c>
      <c r="B49" s="592" t="s">
        <v>1156</v>
      </c>
      <c r="C49" s="593" t="s">
        <v>336</v>
      </c>
      <c r="D49" s="594" t="s">
        <v>336</v>
      </c>
      <c r="E49" s="595" t="s">
        <v>336</v>
      </c>
      <c r="F49" s="604" t="s">
        <v>336</v>
      </c>
      <c r="G49" s="590" t="s">
        <v>679</v>
      </c>
    </row>
    <row r="50" spans="1:7" ht="24" x14ac:dyDescent="0.65">
      <c r="A50" s="611" t="s">
        <v>1157</v>
      </c>
      <c r="B50" s="597" t="s">
        <v>1158</v>
      </c>
      <c r="C50" s="598" t="s">
        <v>336</v>
      </c>
      <c r="D50" s="599" t="s">
        <v>336</v>
      </c>
      <c r="E50" s="600" t="s">
        <v>336</v>
      </c>
      <c r="F50" s="603" t="s">
        <v>336</v>
      </c>
      <c r="G50" s="590" t="s">
        <v>679</v>
      </c>
    </row>
    <row r="51" spans="1:7" ht="24" x14ac:dyDescent="0.65">
      <c r="A51" s="611" t="s">
        <v>1159</v>
      </c>
      <c r="B51" s="597" t="s">
        <v>1160</v>
      </c>
      <c r="C51" s="598" t="s">
        <v>336</v>
      </c>
      <c r="D51" s="599" t="s">
        <v>336</v>
      </c>
      <c r="E51" s="600" t="s">
        <v>336</v>
      </c>
      <c r="F51" s="603" t="s">
        <v>336</v>
      </c>
      <c r="G51" s="590" t="s">
        <v>679</v>
      </c>
    </row>
  </sheetData>
  <mergeCells count="4">
    <mergeCell ref="A3:A4"/>
    <mergeCell ref="B3:B4"/>
    <mergeCell ref="C3:E3"/>
    <mergeCell ref="F3:F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43AF-C42E-4D66-9B4F-B19AA0B78DF2}">
  <sheetPr>
    <tabColor rgb="FF92D050"/>
  </sheetPr>
  <dimension ref="A1:AX316"/>
  <sheetViews>
    <sheetView workbookViewId="0">
      <selection activeCell="E5" sqref="E5"/>
    </sheetView>
  </sheetViews>
  <sheetFormatPr defaultRowHeight="14.4" x14ac:dyDescent="0.3"/>
  <cols>
    <col min="1" max="1" width="16.44140625" bestFit="1" customWidth="1"/>
    <col min="2" max="2" width="9.44140625" bestFit="1" customWidth="1"/>
    <col min="3" max="3" width="35.5546875" bestFit="1" customWidth="1"/>
    <col min="4" max="4" width="15.44140625" bestFit="1" customWidth="1"/>
    <col min="5" max="5" width="35.6640625" customWidth="1"/>
    <col min="6" max="8" width="14.109375" customWidth="1"/>
    <col min="9" max="9" width="35.6640625" customWidth="1"/>
  </cols>
  <sheetData>
    <row r="1" spans="1:50" ht="27" x14ac:dyDescent="0.45">
      <c r="A1" s="747" t="s">
        <v>133</v>
      </c>
      <c r="B1" s="752" t="s">
        <v>179</v>
      </c>
      <c r="C1" s="754" t="s">
        <v>1</v>
      </c>
      <c r="D1" s="747" t="s">
        <v>2</v>
      </c>
      <c r="E1" s="754" t="s">
        <v>3</v>
      </c>
      <c r="F1" s="749" t="s">
        <v>4</v>
      </c>
      <c r="G1" s="749"/>
      <c r="H1" s="750"/>
      <c r="I1" s="754" t="s">
        <v>5</v>
      </c>
      <c r="J1" s="526"/>
      <c r="K1" s="526"/>
      <c r="L1" s="526"/>
      <c r="M1" s="526"/>
      <c r="N1" s="526"/>
      <c r="O1" s="526"/>
      <c r="P1" s="526"/>
      <c r="Q1" s="526"/>
      <c r="R1" s="526"/>
      <c r="S1" s="526"/>
      <c r="T1" s="526"/>
      <c r="U1" s="526"/>
      <c r="V1" s="526"/>
      <c r="W1" s="526"/>
      <c r="X1" s="526"/>
      <c r="Y1" s="526"/>
      <c r="Z1" s="526"/>
      <c r="AA1" s="526"/>
      <c r="AB1" s="526"/>
      <c r="AC1" s="526"/>
      <c r="AD1" s="526"/>
      <c r="AE1" s="526"/>
      <c r="AF1" s="526"/>
      <c r="AG1" s="526"/>
      <c r="AH1" s="526"/>
      <c r="AI1" s="526"/>
      <c r="AJ1" s="526"/>
      <c r="AK1" s="526"/>
      <c r="AL1" s="526"/>
      <c r="AM1" s="526"/>
      <c r="AN1" s="526"/>
      <c r="AO1" s="526"/>
      <c r="AP1" s="526"/>
      <c r="AQ1" s="526"/>
      <c r="AR1" s="526"/>
      <c r="AS1" s="526"/>
      <c r="AT1" s="526"/>
      <c r="AU1" s="526"/>
      <c r="AV1" s="526"/>
      <c r="AW1" s="526"/>
      <c r="AX1" s="526"/>
    </row>
    <row r="2" spans="1:50" ht="27" x14ac:dyDescent="0.45">
      <c r="A2" s="751"/>
      <c r="B2" s="753"/>
      <c r="C2" s="755"/>
      <c r="D2" s="751"/>
      <c r="E2" s="755"/>
      <c r="F2" s="613" t="s">
        <v>6</v>
      </c>
      <c r="G2" s="613" t="s">
        <v>7</v>
      </c>
      <c r="H2" s="613" t="s">
        <v>8</v>
      </c>
      <c r="I2" s="755"/>
      <c r="J2" s="619"/>
      <c r="K2" s="526"/>
      <c r="L2" s="526"/>
      <c r="M2" s="526"/>
      <c r="N2" s="526"/>
      <c r="O2" s="526"/>
      <c r="P2" s="526"/>
      <c r="Q2" s="526"/>
      <c r="R2" s="526"/>
      <c r="S2" s="526"/>
      <c r="T2" s="526"/>
      <c r="U2" s="526"/>
      <c r="V2" s="526"/>
      <c r="W2" s="526"/>
      <c r="X2" s="526"/>
      <c r="Y2" s="526"/>
      <c r="Z2" s="526"/>
      <c r="AA2" s="526"/>
      <c r="AB2" s="526"/>
      <c r="AC2" s="526"/>
      <c r="AD2" s="526"/>
      <c r="AE2" s="526"/>
      <c r="AF2" s="526"/>
      <c r="AG2" s="526"/>
      <c r="AH2" s="526"/>
      <c r="AI2" s="526"/>
      <c r="AJ2" s="526"/>
      <c r="AK2" s="526"/>
      <c r="AL2" s="526"/>
      <c r="AM2" s="526"/>
      <c r="AN2" s="526"/>
      <c r="AO2" s="526"/>
      <c r="AP2" s="526"/>
      <c r="AQ2" s="526"/>
      <c r="AR2" s="526"/>
      <c r="AS2" s="526"/>
      <c r="AT2" s="526"/>
      <c r="AU2" s="526"/>
      <c r="AV2" s="526"/>
      <c r="AW2" s="526"/>
      <c r="AX2" s="526"/>
    </row>
    <row r="3" spans="1:50" ht="24" x14ac:dyDescent="0.45">
      <c r="A3" s="626" t="s">
        <v>753</v>
      </c>
      <c r="B3" s="627" t="s">
        <v>336</v>
      </c>
      <c r="C3" s="758" t="s">
        <v>824</v>
      </c>
      <c r="D3" s="758"/>
      <c r="E3" s="758"/>
      <c r="F3" s="758"/>
      <c r="G3" s="758"/>
      <c r="H3" s="758"/>
      <c r="I3" s="759"/>
      <c r="J3" s="620"/>
      <c r="K3" s="620"/>
      <c r="L3" s="620"/>
      <c r="M3" s="526"/>
      <c r="N3" s="526"/>
      <c r="O3" s="526"/>
      <c r="P3" s="526"/>
      <c r="Q3" s="526"/>
      <c r="R3" s="526"/>
      <c r="S3" s="526"/>
      <c r="T3" s="526"/>
      <c r="U3" s="526"/>
      <c r="V3" s="526"/>
      <c r="W3" s="526"/>
      <c r="X3" s="526"/>
      <c r="Y3" s="526"/>
      <c r="Z3" s="526"/>
      <c r="AA3" s="526"/>
      <c r="AB3" s="526"/>
      <c r="AC3" s="526"/>
      <c r="AD3" s="526"/>
      <c r="AE3" s="526"/>
      <c r="AF3" s="526"/>
      <c r="AG3" s="526"/>
      <c r="AH3" s="526"/>
      <c r="AI3" s="526"/>
      <c r="AJ3" s="526"/>
      <c r="AK3" s="526"/>
      <c r="AL3" s="526"/>
      <c r="AM3" s="526"/>
      <c r="AN3" s="526"/>
      <c r="AO3" s="526"/>
      <c r="AP3" s="526"/>
      <c r="AQ3" s="526"/>
      <c r="AR3" s="526"/>
      <c r="AS3" s="526"/>
      <c r="AT3" s="526"/>
      <c r="AU3" s="526"/>
      <c r="AV3" s="526"/>
      <c r="AW3" s="526"/>
      <c r="AX3" s="526"/>
    </row>
    <row r="4" spans="1:50" ht="24" x14ac:dyDescent="0.45">
      <c r="A4" s="628" t="s">
        <v>755</v>
      </c>
      <c r="B4" s="627" t="s">
        <v>336</v>
      </c>
      <c r="C4" s="756" t="s">
        <v>756</v>
      </c>
      <c r="D4" s="756"/>
      <c r="E4" s="756"/>
      <c r="F4" s="756"/>
      <c r="G4" s="756"/>
      <c r="H4" s="756"/>
      <c r="I4" s="757"/>
      <c r="J4" s="620"/>
      <c r="K4" s="620"/>
      <c r="L4" s="620"/>
      <c r="M4" s="526"/>
      <c r="N4" s="526"/>
      <c r="O4" s="526"/>
      <c r="P4" s="526"/>
      <c r="Q4" s="526"/>
      <c r="R4" s="526"/>
      <c r="S4" s="526"/>
      <c r="T4" s="526"/>
      <c r="U4" s="526"/>
      <c r="V4" s="526"/>
      <c r="W4" s="526"/>
      <c r="X4" s="526"/>
      <c r="Y4" s="526"/>
      <c r="Z4" s="526"/>
      <c r="AA4" s="526"/>
      <c r="AB4" s="526"/>
      <c r="AC4" s="526"/>
      <c r="AD4" s="526"/>
      <c r="AE4" s="526"/>
      <c r="AF4" s="526"/>
      <c r="AG4" s="526"/>
      <c r="AH4" s="526"/>
      <c r="AI4" s="526"/>
      <c r="AJ4" s="526"/>
      <c r="AK4" s="526"/>
      <c r="AL4" s="526"/>
      <c r="AM4" s="526"/>
      <c r="AN4" s="526"/>
      <c r="AO4" s="526"/>
      <c r="AP4" s="526"/>
      <c r="AQ4" s="526"/>
      <c r="AR4" s="526"/>
      <c r="AS4" s="526"/>
      <c r="AT4" s="526"/>
      <c r="AU4" s="526"/>
      <c r="AV4" s="526"/>
      <c r="AW4" s="526"/>
      <c r="AX4" s="526"/>
    </row>
    <row r="5" spans="1:50" ht="288" x14ac:dyDescent="0.45">
      <c r="A5" s="629" t="s">
        <v>825</v>
      </c>
      <c r="B5" s="627" t="s">
        <v>336</v>
      </c>
      <c r="C5" s="514" t="s">
        <v>826</v>
      </c>
      <c r="D5" s="630" t="s">
        <v>336</v>
      </c>
      <c r="E5" s="514" t="s">
        <v>827</v>
      </c>
      <c r="F5" s="630" t="s">
        <v>336</v>
      </c>
      <c r="G5" s="630" t="s">
        <v>336</v>
      </c>
      <c r="H5" s="630" t="s">
        <v>336</v>
      </c>
      <c r="I5" s="631" t="s">
        <v>336</v>
      </c>
      <c r="J5" s="620"/>
      <c r="K5" s="620"/>
      <c r="L5" s="620"/>
      <c r="M5" s="526"/>
      <c r="N5" s="526"/>
      <c r="O5" s="526"/>
      <c r="P5" s="526"/>
      <c r="Q5" s="526"/>
      <c r="R5" s="526"/>
      <c r="S5" s="526"/>
      <c r="T5" s="526"/>
      <c r="U5" s="526"/>
      <c r="V5" s="526"/>
      <c r="W5" s="526"/>
      <c r="X5" s="526"/>
      <c r="Y5" s="526"/>
      <c r="Z5" s="526"/>
      <c r="AA5" s="526"/>
      <c r="AB5" s="526"/>
      <c r="AC5" s="526"/>
      <c r="AD5" s="526"/>
      <c r="AE5" s="526"/>
      <c r="AF5" s="526"/>
      <c r="AG5" s="526"/>
      <c r="AH5" s="526"/>
      <c r="AI5" s="526"/>
      <c r="AJ5" s="526"/>
      <c r="AK5" s="526"/>
      <c r="AL5" s="526"/>
      <c r="AM5" s="526"/>
      <c r="AN5" s="526"/>
      <c r="AO5" s="526"/>
      <c r="AP5" s="526"/>
      <c r="AQ5" s="526"/>
      <c r="AR5" s="526"/>
      <c r="AS5" s="526"/>
      <c r="AT5" s="526"/>
      <c r="AU5" s="526"/>
      <c r="AV5" s="526"/>
      <c r="AW5" s="526"/>
      <c r="AX5" s="526"/>
    </row>
    <row r="6" spans="1:50" ht="216" x14ac:dyDescent="0.45">
      <c r="A6" s="629" t="s">
        <v>11</v>
      </c>
      <c r="B6" s="627" t="s">
        <v>336</v>
      </c>
      <c r="C6" s="514" t="s">
        <v>828</v>
      </c>
      <c r="D6" s="630" t="s">
        <v>336</v>
      </c>
      <c r="E6" s="514" t="s">
        <v>829</v>
      </c>
      <c r="F6" s="630" t="s">
        <v>336</v>
      </c>
      <c r="G6" s="630" t="s">
        <v>336</v>
      </c>
      <c r="H6" s="630" t="s">
        <v>336</v>
      </c>
      <c r="I6" s="632" t="s">
        <v>336</v>
      </c>
      <c r="J6" s="620"/>
      <c r="K6" s="620"/>
      <c r="L6" s="620"/>
      <c r="M6" s="526"/>
      <c r="N6" s="526"/>
      <c r="O6" s="526"/>
      <c r="P6" s="526"/>
      <c r="Q6" s="526"/>
      <c r="R6" s="526"/>
      <c r="S6" s="526"/>
      <c r="T6" s="526"/>
      <c r="U6" s="526"/>
      <c r="V6" s="526"/>
      <c r="W6" s="526"/>
      <c r="X6" s="526"/>
      <c r="Y6" s="526"/>
      <c r="Z6" s="526"/>
      <c r="AA6" s="526"/>
      <c r="AB6" s="526"/>
      <c r="AC6" s="526"/>
      <c r="AD6" s="526"/>
      <c r="AE6" s="526"/>
      <c r="AF6" s="526"/>
      <c r="AG6" s="526"/>
      <c r="AH6" s="526"/>
      <c r="AI6" s="526"/>
      <c r="AJ6" s="526"/>
      <c r="AK6" s="526"/>
      <c r="AL6" s="526"/>
      <c r="AM6" s="526"/>
      <c r="AN6" s="526"/>
      <c r="AO6" s="526"/>
      <c r="AP6" s="526"/>
      <c r="AQ6" s="526"/>
      <c r="AR6" s="526"/>
      <c r="AS6" s="526"/>
      <c r="AT6" s="526"/>
      <c r="AU6" s="526"/>
      <c r="AV6" s="526"/>
      <c r="AW6" s="526"/>
      <c r="AX6" s="526"/>
    </row>
    <row r="7" spans="1:50" ht="192" x14ac:dyDescent="0.45">
      <c r="A7" s="629" t="s">
        <v>11</v>
      </c>
      <c r="B7" s="627" t="s">
        <v>336</v>
      </c>
      <c r="C7" s="514" t="s">
        <v>831</v>
      </c>
      <c r="D7" s="630" t="s">
        <v>336</v>
      </c>
      <c r="E7" s="514" t="s">
        <v>832</v>
      </c>
      <c r="F7" s="630" t="s">
        <v>336</v>
      </c>
      <c r="G7" s="630" t="s">
        <v>336</v>
      </c>
      <c r="H7" s="630" t="s">
        <v>336</v>
      </c>
      <c r="I7" s="632" t="s">
        <v>336</v>
      </c>
      <c r="J7" s="620"/>
      <c r="K7" s="620"/>
      <c r="L7" s="620"/>
      <c r="M7" s="526"/>
      <c r="N7" s="526"/>
      <c r="O7" s="526"/>
      <c r="P7" s="526"/>
      <c r="Q7" s="526"/>
      <c r="R7" s="526"/>
      <c r="S7" s="526"/>
      <c r="T7" s="526"/>
      <c r="U7" s="526"/>
      <c r="V7" s="526"/>
      <c r="W7" s="526"/>
      <c r="X7" s="526"/>
      <c r="Y7" s="526"/>
      <c r="Z7" s="526"/>
      <c r="AA7" s="526"/>
      <c r="AB7" s="526"/>
      <c r="AC7" s="526"/>
      <c r="AD7" s="526"/>
      <c r="AE7" s="526"/>
      <c r="AF7" s="526"/>
      <c r="AG7" s="526"/>
      <c r="AH7" s="526"/>
      <c r="AI7" s="526"/>
      <c r="AJ7" s="526"/>
      <c r="AK7" s="526"/>
      <c r="AL7" s="526"/>
      <c r="AM7" s="526"/>
      <c r="AN7" s="526"/>
      <c r="AO7" s="526"/>
      <c r="AP7" s="526"/>
      <c r="AQ7" s="526"/>
      <c r="AR7" s="526"/>
      <c r="AS7" s="526"/>
      <c r="AT7" s="526"/>
      <c r="AU7" s="526"/>
      <c r="AV7" s="526"/>
      <c r="AW7" s="526"/>
      <c r="AX7" s="526"/>
    </row>
    <row r="8" spans="1:50" ht="216" x14ac:dyDescent="0.45">
      <c r="A8" s="629" t="s">
        <v>45</v>
      </c>
      <c r="B8" s="627" t="s">
        <v>336</v>
      </c>
      <c r="C8" s="514" t="s">
        <v>835</v>
      </c>
      <c r="D8" s="630" t="s">
        <v>336</v>
      </c>
      <c r="E8" s="514" t="s">
        <v>836</v>
      </c>
      <c r="F8" s="630" t="s">
        <v>336</v>
      </c>
      <c r="G8" s="630" t="s">
        <v>336</v>
      </c>
      <c r="H8" s="630" t="s">
        <v>336</v>
      </c>
      <c r="I8" s="631" t="s">
        <v>336</v>
      </c>
      <c r="J8" s="620"/>
      <c r="K8" s="620"/>
      <c r="L8" s="620"/>
      <c r="M8" s="526"/>
      <c r="N8" s="526"/>
      <c r="O8" s="526"/>
      <c r="P8" s="526"/>
      <c r="Q8" s="526"/>
      <c r="R8" s="526"/>
      <c r="S8" s="526"/>
      <c r="T8" s="526"/>
      <c r="U8" s="526"/>
      <c r="V8" s="526"/>
      <c r="W8" s="526"/>
      <c r="X8" s="526"/>
      <c r="Y8" s="526"/>
      <c r="Z8" s="526"/>
      <c r="AA8" s="526"/>
      <c r="AB8" s="526"/>
      <c r="AC8" s="526"/>
      <c r="AD8" s="526"/>
      <c r="AE8" s="526"/>
      <c r="AF8" s="526"/>
      <c r="AG8" s="526"/>
      <c r="AH8" s="526"/>
      <c r="AI8" s="526"/>
      <c r="AJ8" s="526"/>
      <c r="AK8" s="526"/>
      <c r="AL8" s="526"/>
      <c r="AM8" s="526"/>
      <c r="AN8" s="526"/>
      <c r="AO8" s="526"/>
      <c r="AP8" s="526"/>
      <c r="AQ8" s="526"/>
      <c r="AR8" s="526"/>
      <c r="AS8" s="526"/>
      <c r="AT8" s="526"/>
      <c r="AU8" s="526"/>
      <c r="AV8" s="526"/>
      <c r="AW8" s="526"/>
      <c r="AX8" s="526"/>
    </row>
    <row r="9" spans="1:50" ht="216" x14ac:dyDescent="0.45">
      <c r="A9" s="629" t="s">
        <v>11</v>
      </c>
      <c r="B9" s="627" t="s">
        <v>336</v>
      </c>
      <c r="C9" s="514" t="s">
        <v>837</v>
      </c>
      <c r="D9" s="630" t="s">
        <v>336</v>
      </c>
      <c r="E9" s="514" t="s">
        <v>838</v>
      </c>
      <c r="F9" s="630" t="s">
        <v>336</v>
      </c>
      <c r="G9" s="630" t="s">
        <v>336</v>
      </c>
      <c r="H9" s="630" t="s">
        <v>336</v>
      </c>
      <c r="I9" s="632" t="s">
        <v>336</v>
      </c>
      <c r="J9" s="620"/>
      <c r="K9" s="620"/>
      <c r="L9" s="620"/>
      <c r="M9" s="526"/>
      <c r="N9" s="526"/>
      <c r="O9" s="526"/>
      <c r="P9" s="526"/>
      <c r="Q9" s="526"/>
      <c r="R9" s="526"/>
      <c r="S9" s="526"/>
      <c r="T9" s="526"/>
      <c r="U9" s="526"/>
      <c r="V9" s="526"/>
      <c r="W9" s="526"/>
      <c r="X9" s="526"/>
      <c r="Y9" s="526"/>
      <c r="Z9" s="526"/>
      <c r="AA9" s="526"/>
      <c r="AB9" s="526"/>
      <c r="AC9" s="526"/>
      <c r="AD9" s="526"/>
      <c r="AE9" s="526"/>
      <c r="AF9" s="526"/>
      <c r="AG9" s="526"/>
      <c r="AH9" s="526"/>
      <c r="AI9" s="526"/>
      <c r="AJ9" s="526"/>
      <c r="AK9" s="526"/>
      <c r="AL9" s="526"/>
      <c r="AM9" s="526"/>
      <c r="AN9" s="526"/>
      <c r="AO9" s="526"/>
      <c r="AP9" s="526"/>
      <c r="AQ9" s="526"/>
      <c r="AR9" s="526"/>
      <c r="AS9" s="526"/>
      <c r="AT9" s="526"/>
      <c r="AU9" s="526"/>
      <c r="AV9" s="526"/>
      <c r="AW9" s="526"/>
      <c r="AX9" s="526"/>
    </row>
    <row r="10" spans="1:50" ht="264" x14ac:dyDescent="0.45">
      <c r="A10" s="629" t="s">
        <v>136</v>
      </c>
      <c r="B10" s="627" t="s">
        <v>336</v>
      </c>
      <c r="C10" s="514" t="s">
        <v>840</v>
      </c>
      <c r="D10" s="630" t="s">
        <v>336</v>
      </c>
      <c r="E10" s="514" t="s">
        <v>841</v>
      </c>
      <c r="F10" s="630" t="s">
        <v>336</v>
      </c>
      <c r="G10" s="630" t="s">
        <v>336</v>
      </c>
      <c r="H10" s="630" t="s">
        <v>336</v>
      </c>
      <c r="I10" s="632" t="s">
        <v>336</v>
      </c>
      <c r="J10" s="620"/>
      <c r="K10" s="620"/>
      <c r="L10" s="620"/>
      <c r="M10" s="526"/>
      <c r="N10" s="526"/>
      <c r="O10" s="526"/>
      <c r="P10" s="526"/>
      <c r="Q10" s="526"/>
      <c r="R10" s="526"/>
      <c r="S10" s="526"/>
      <c r="T10" s="526"/>
      <c r="U10" s="526"/>
      <c r="V10" s="526"/>
      <c r="W10" s="526"/>
      <c r="X10" s="526"/>
      <c r="Y10" s="526"/>
      <c r="Z10" s="526"/>
      <c r="AA10" s="526"/>
      <c r="AB10" s="526"/>
      <c r="AC10" s="526"/>
      <c r="AD10" s="526"/>
      <c r="AE10" s="526"/>
      <c r="AF10" s="526"/>
      <c r="AG10" s="526"/>
      <c r="AH10" s="526"/>
      <c r="AI10" s="526"/>
      <c r="AJ10" s="526"/>
      <c r="AK10" s="526"/>
      <c r="AL10" s="526"/>
      <c r="AM10" s="526"/>
      <c r="AN10" s="526"/>
      <c r="AO10" s="526"/>
      <c r="AP10" s="526"/>
      <c r="AQ10" s="526"/>
      <c r="AR10" s="526"/>
      <c r="AS10" s="526"/>
      <c r="AT10" s="526"/>
      <c r="AU10" s="526"/>
      <c r="AV10" s="526"/>
      <c r="AW10" s="526"/>
      <c r="AX10" s="526"/>
    </row>
    <row r="11" spans="1:50" ht="96" x14ac:dyDescent="0.45">
      <c r="A11" s="629" t="s">
        <v>189</v>
      </c>
      <c r="B11" s="627" t="s">
        <v>336</v>
      </c>
      <c r="C11" s="514" t="s">
        <v>843</v>
      </c>
      <c r="D11" s="630" t="s">
        <v>336</v>
      </c>
      <c r="E11" s="514" t="s">
        <v>844</v>
      </c>
      <c r="F11" s="630" t="s">
        <v>336</v>
      </c>
      <c r="G11" s="630" t="s">
        <v>336</v>
      </c>
      <c r="H11" s="630" t="s">
        <v>336</v>
      </c>
      <c r="I11" s="632" t="s">
        <v>336</v>
      </c>
      <c r="J11" s="620"/>
      <c r="K11" s="620"/>
      <c r="L11" s="620"/>
      <c r="M11" s="526"/>
      <c r="N11" s="526"/>
      <c r="O11" s="526"/>
      <c r="P11" s="526"/>
      <c r="Q11" s="526"/>
      <c r="R11" s="526"/>
      <c r="S11" s="526"/>
      <c r="T11" s="526"/>
      <c r="U11" s="526"/>
      <c r="V11" s="526"/>
      <c r="W11" s="526"/>
      <c r="X11" s="526"/>
      <c r="Y11" s="526"/>
      <c r="Z11" s="526"/>
      <c r="AA11" s="526"/>
      <c r="AB11" s="526"/>
      <c r="AC11" s="526"/>
      <c r="AD11" s="526"/>
      <c r="AE11" s="526"/>
      <c r="AF11" s="526"/>
      <c r="AG11" s="526"/>
      <c r="AH11" s="526"/>
      <c r="AI11" s="526"/>
      <c r="AJ11" s="526"/>
      <c r="AK11" s="526"/>
      <c r="AL11" s="526"/>
      <c r="AM11" s="526"/>
      <c r="AN11" s="526"/>
      <c r="AO11" s="526"/>
      <c r="AP11" s="526"/>
      <c r="AQ11" s="526"/>
      <c r="AR11" s="526"/>
      <c r="AS11" s="526"/>
      <c r="AT11" s="526"/>
      <c r="AU11" s="526"/>
      <c r="AV11" s="526"/>
      <c r="AW11" s="526"/>
      <c r="AX11" s="526"/>
    </row>
    <row r="12" spans="1:50" ht="240" x14ac:dyDescent="0.45">
      <c r="A12" s="629" t="s">
        <v>845</v>
      </c>
      <c r="B12" s="627" t="s">
        <v>336</v>
      </c>
      <c r="C12" s="514" t="s">
        <v>846</v>
      </c>
      <c r="D12" s="630" t="s">
        <v>336</v>
      </c>
      <c r="E12" s="514" t="s">
        <v>847</v>
      </c>
      <c r="F12" s="630" t="s">
        <v>336</v>
      </c>
      <c r="G12" s="630" t="s">
        <v>336</v>
      </c>
      <c r="H12" s="630" t="s">
        <v>336</v>
      </c>
      <c r="I12" s="632" t="s">
        <v>336</v>
      </c>
      <c r="J12" s="620"/>
      <c r="K12" s="620"/>
      <c r="L12" s="620"/>
      <c r="M12" s="526"/>
      <c r="N12" s="526"/>
      <c r="O12" s="526"/>
      <c r="P12" s="526"/>
      <c r="Q12" s="526"/>
      <c r="R12" s="526"/>
      <c r="S12" s="526"/>
      <c r="T12" s="526"/>
      <c r="U12" s="526"/>
      <c r="V12" s="526"/>
      <c r="W12" s="526"/>
      <c r="X12" s="526"/>
      <c r="Y12" s="526"/>
      <c r="Z12" s="526"/>
      <c r="AA12" s="526"/>
      <c r="AB12" s="526"/>
      <c r="AC12" s="526"/>
      <c r="AD12" s="526"/>
      <c r="AE12" s="526"/>
      <c r="AF12" s="526"/>
      <c r="AG12" s="526"/>
      <c r="AH12" s="526"/>
      <c r="AI12" s="526"/>
      <c r="AJ12" s="526"/>
      <c r="AK12" s="526"/>
      <c r="AL12" s="526"/>
      <c r="AM12" s="526"/>
      <c r="AN12" s="526"/>
      <c r="AO12" s="526"/>
      <c r="AP12" s="526"/>
      <c r="AQ12" s="526"/>
      <c r="AR12" s="526"/>
      <c r="AS12" s="526"/>
      <c r="AT12" s="526"/>
      <c r="AU12" s="526"/>
      <c r="AV12" s="526"/>
      <c r="AW12" s="526"/>
      <c r="AX12" s="526"/>
    </row>
    <row r="13" spans="1:50" ht="216" x14ac:dyDescent="0.45">
      <c r="A13" s="629" t="s">
        <v>189</v>
      </c>
      <c r="B13" s="627" t="s">
        <v>336</v>
      </c>
      <c r="C13" s="514" t="s">
        <v>849</v>
      </c>
      <c r="D13" s="630" t="s">
        <v>336</v>
      </c>
      <c r="E13" s="514" t="s">
        <v>850</v>
      </c>
      <c r="F13" s="630" t="s">
        <v>336</v>
      </c>
      <c r="G13" s="630" t="s">
        <v>336</v>
      </c>
      <c r="H13" s="630" t="s">
        <v>336</v>
      </c>
      <c r="I13" s="631" t="s">
        <v>336</v>
      </c>
      <c r="J13" s="620"/>
      <c r="K13" s="620"/>
      <c r="L13" s="620"/>
      <c r="M13" s="526"/>
      <c r="N13" s="526"/>
      <c r="O13" s="526"/>
      <c r="P13" s="526"/>
      <c r="Q13" s="526"/>
      <c r="R13" s="526"/>
      <c r="S13" s="526"/>
      <c r="T13" s="526"/>
      <c r="U13" s="526"/>
      <c r="V13" s="526"/>
      <c r="W13" s="526"/>
      <c r="X13" s="526"/>
      <c r="Y13" s="526"/>
      <c r="Z13" s="526"/>
      <c r="AA13" s="526"/>
      <c r="AB13" s="526"/>
      <c r="AC13" s="526"/>
      <c r="AD13" s="526"/>
      <c r="AE13" s="526"/>
      <c r="AF13" s="526"/>
      <c r="AG13" s="526"/>
      <c r="AH13" s="526"/>
      <c r="AI13" s="526"/>
      <c r="AJ13" s="526"/>
      <c r="AK13" s="526"/>
      <c r="AL13" s="526"/>
      <c r="AM13" s="526"/>
      <c r="AN13" s="526"/>
      <c r="AO13" s="526"/>
      <c r="AP13" s="526"/>
      <c r="AQ13" s="526"/>
      <c r="AR13" s="526"/>
      <c r="AS13" s="526"/>
      <c r="AT13" s="526"/>
      <c r="AU13" s="526"/>
      <c r="AV13" s="526"/>
      <c r="AW13" s="526"/>
      <c r="AX13" s="526"/>
    </row>
    <row r="14" spans="1:50" ht="24" x14ac:dyDescent="0.45">
      <c r="A14" s="628" t="s">
        <v>758</v>
      </c>
      <c r="B14" s="627" t="s">
        <v>336</v>
      </c>
      <c r="C14" s="756" t="s">
        <v>759</v>
      </c>
      <c r="D14" s="756"/>
      <c r="E14" s="756"/>
      <c r="F14" s="756"/>
      <c r="G14" s="756"/>
      <c r="H14" s="756"/>
      <c r="I14" s="757"/>
      <c r="J14" s="620"/>
      <c r="K14" s="620"/>
      <c r="L14" s="620"/>
      <c r="M14" s="526"/>
      <c r="N14" s="526"/>
      <c r="O14" s="526"/>
      <c r="P14" s="526"/>
      <c r="Q14" s="526"/>
      <c r="R14" s="526"/>
      <c r="S14" s="526"/>
      <c r="T14" s="526"/>
      <c r="U14" s="526"/>
      <c r="V14" s="526"/>
      <c r="W14" s="526"/>
      <c r="X14" s="526"/>
      <c r="Y14" s="526"/>
      <c r="Z14" s="526"/>
      <c r="AA14" s="526"/>
      <c r="AB14" s="526"/>
      <c r="AC14" s="526"/>
      <c r="AD14" s="526"/>
      <c r="AE14" s="526"/>
      <c r="AF14" s="526"/>
      <c r="AG14" s="526"/>
      <c r="AH14" s="526"/>
      <c r="AI14" s="526"/>
      <c r="AJ14" s="526"/>
      <c r="AK14" s="526"/>
      <c r="AL14" s="526"/>
      <c r="AM14" s="526"/>
      <c r="AN14" s="526"/>
      <c r="AO14" s="526"/>
      <c r="AP14" s="526"/>
      <c r="AQ14" s="526"/>
      <c r="AR14" s="526"/>
      <c r="AS14" s="526"/>
      <c r="AT14" s="526"/>
      <c r="AU14" s="526"/>
      <c r="AV14" s="526"/>
      <c r="AW14" s="526"/>
      <c r="AX14" s="526"/>
    </row>
    <row r="15" spans="1:50" ht="192" x14ac:dyDescent="0.45">
      <c r="A15" s="629" t="s">
        <v>825</v>
      </c>
      <c r="B15" s="627" t="s">
        <v>336</v>
      </c>
      <c r="C15" s="514" t="s">
        <v>851</v>
      </c>
      <c r="D15" s="630" t="s">
        <v>336</v>
      </c>
      <c r="E15" s="514" t="s">
        <v>852</v>
      </c>
      <c r="F15" s="630" t="s">
        <v>336</v>
      </c>
      <c r="G15" s="630" t="s">
        <v>336</v>
      </c>
      <c r="H15" s="630" t="s">
        <v>336</v>
      </c>
      <c r="I15" s="632" t="s">
        <v>336</v>
      </c>
      <c r="J15" s="620"/>
      <c r="K15" s="620"/>
      <c r="L15" s="620"/>
      <c r="M15" s="526"/>
      <c r="N15" s="526"/>
      <c r="O15" s="526"/>
      <c r="P15" s="526"/>
      <c r="Q15" s="526"/>
      <c r="R15" s="526"/>
      <c r="S15" s="526"/>
      <c r="T15" s="526"/>
      <c r="U15" s="526"/>
      <c r="V15" s="526"/>
      <c r="W15" s="526"/>
      <c r="X15" s="526"/>
      <c r="Y15" s="526"/>
      <c r="Z15" s="526"/>
      <c r="AA15" s="526"/>
      <c r="AB15" s="526"/>
      <c r="AC15" s="526"/>
      <c r="AD15" s="526"/>
      <c r="AE15" s="526"/>
      <c r="AF15" s="526"/>
      <c r="AG15" s="526"/>
      <c r="AH15" s="526"/>
      <c r="AI15" s="526"/>
      <c r="AJ15" s="526"/>
      <c r="AK15" s="526"/>
      <c r="AL15" s="526"/>
      <c r="AM15" s="526"/>
      <c r="AN15" s="526"/>
      <c r="AO15" s="526"/>
      <c r="AP15" s="526"/>
      <c r="AQ15" s="526"/>
      <c r="AR15" s="526"/>
      <c r="AS15" s="526"/>
      <c r="AT15" s="526"/>
      <c r="AU15" s="526"/>
      <c r="AV15" s="526"/>
      <c r="AW15" s="526"/>
      <c r="AX15" s="526"/>
    </row>
    <row r="16" spans="1:50" ht="264" x14ac:dyDescent="0.45">
      <c r="A16" s="629" t="s">
        <v>853</v>
      </c>
      <c r="B16" s="627" t="s">
        <v>336</v>
      </c>
      <c r="C16" s="514" t="s">
        <v>854</v>
      </c>
      <c r="D16" s="630" t="s">
        <v>336</v>
      </c>
      <c r="E16" s="514" t="s">
        <v>855</v>
      </c>
      <c r="F16" s="630" t="s">
        <v>336</v>
      </c>
      <c r="G16" s="630" t="s">
        <v>336</v>
      </c>
      <c r="H16" s="630" t="s">
        <v>336</v>
      </c>
      <c r="I16" s="631" t="s">
        <v>336</v>
      </c>
      <c r="J16" s="620"/>
      <c r="K16" s="620"/>
      <c r="L16" s="620"/>
      <c r="M16" s="526"/>
      <c r="N16" s="526"/>
      <c r="O16" s="526"/>
      <c r="P16" s="526"/>
      <c r="Q16" s="526"/>
      <c r="R16" s="526"/>
      <c r="S16" s="526"/>
      <c r="T16" s="526"/>
      <c r="U16" s="526"/>
      <c r="V16" s="526"/>
      <c r="W16" s="526"/>
      <c r="X16" s="526"/>
      <c r="Y16" s="526"/>
      <c r="Z16" s="526"/>
      <c r="AA16" s="526"/>
      <c r="AB16" s="526"/>
      <c r="AC16" s="526"/>
      <c r="AD16" s="526"/>
      <c r="AE16" s="526"/>
      <c r="AF16" s="526"/>
      <c r="AG16" s="526"/>
      <c r="AH16" s="526"/>
      <c r="AI16" s="526"/>
      <c r="AJ16" s="526"/>
      <c r="AK16" s="526"/>
      <c r="AL16" s="526"/>
      <c r="AM16" s="526"/>
      <c r="AN16" s="526"/>
      <c r="AO16" s="526"/>
      <c r="AP16" s="526"/>
      <c r="AQ16" s="526"/>
      <c r="AR16" s="526"/>
      <c r="AS16" s="526"/>
      <c r="AT16" s="526"/>
      <c r="AU16" s="526"/>
      <c r="AV16" s="526"/>
      <c r="AW16" s="526"/>
      <c r="AX16" s="526"/>
    </row>
    <row r="17" spans="1:50" ht="192" x14ac:dyDescent="0.45">
      <c r="A17" s="629" t="s">
        <v>11</v>
      </c>
      <c r="B17" s="627" t="s">
        <v>336</v>
      </c>
      <c r="C17" s="514" t="s">
        <v>857</v>
      </c>
      <c r="D17" s="630" t="s">
        <v>336</v>
      </c>
      <c r="E17" s="514" t="s">
        <v>858</v>
      </c>
      <c r="F17" s="630" t="s">
        <v>336</v>
      </c>
      <c r="G17" s="630" t="s">
        <v>336</v>
      </c>
      <c r="H17" s="630" t="s">
        <v>336</v>
      </c>
      <c r="I17" s="631" t="s">
        <v>336</v>
      </c>
      <c r="J17" s="620"/>
      <c r="K17" s="620"/>
      <c r="L17" s="620"/>
      <c r="M17" s="526"/>
      <c r="N17" s="526"/>
      <c r="O17" s="526"/>
      <c r="P17" s="526"/>
      <c r="Q17" s="526"/>
      <c r="R17" s="526"/>
      <c r="S17" s="526"/>
      <c r="T17" s="526"/>
      <c r="U17" s="526"/>
      <c r="V17" s="526"/>
      <c r="W17" s="526"/>
      <c r="X17" s="526"/>
      <c r="Y17" s="526"/>
      <c r="Z17" s="526"/>
      <c r="AA17" s="526"/>
      <c r="AB17" s="526"/>
      <c r="AC17" s="526"/>
      <c r="AD17" s="526"/>
      <c r="AE17" s="526"/>
      <c r="AF17" s="526"/>
      <c r="AG17" s="526"/>
      <c r="AH17" s="526"/>
      <c r="AI17" s="526"/>
      <c r="AJ17" s="526"/>
      <c r="AK17" s="526"/>
      <c r="AL17" s="526"/>
      <c r="AM17" s="526"/>
      <c r="AN17" s="526"/>
      <c r="AO17" s="526"/>
      <c r="AP17" s="526"/>
      <c r="AQ17" s="526"/>
      <c r="AR17" s="526"/>
      <c r="AS17" s="526"/>
      <c r="AT17" s="526"/>
      <c r="AU17" s="526"/>
      <c r="AV17" s="526"/>
      <c r="AW17" s="526"/>
      <c r="AX17" s="526"/>
    </row>
    <row r="18" spans="1:50" ht="192" x14ac:dyDescent="0.45">
      <c r="A18" s="629" t="s">
        <v>11</v>
      </c>
      <c r="B18" s="627" t="s">
        <v>336</v>
      </c>
      <c r="C18" s="514" t="s">
        <v>859</v>
      </c>
      <c r="D18" s="630" t="s">
        <v>336</v>
      </c>
      <c r="E18" s="514" t="s">
        <v>860</v>
      </c>
      <c r="F18" s="630" t="s">
        <v>336</v>
      </c>
      <c r="G18" s="630" t="s">
        <v>336</v>
      </c>
      <c r="H18" s="630" t="s">
        <v>336</v>
      </c>
      <c r="I18" s="631" t="s">
        <v>336</v>
      </c>
      <c r="J18" s="620"/>
      <c r="K18" s="620"/>
      <c r="L18" s="620"/>
      <c r="M18" s="621"/>
      <c r="N18" s="526"/>
      <c r="O18" s="526"/>
      <c r="P18" s="526"/>
      <c r="Q18" s="526"/>
      <c r="R18" s="526"/>
      <c r="S18" s="526"/>
      <c r="T18" s="526"/>
      <c r="U18" s="526"/>
      <c r="V18" s="526"/>
      <c r="W18" s="526"/>
      <c r="X18" s="526"/>
      <c r="Y18" s="526"/>
      <c r="Z18" s="526"/>
      <c r="AA18" s="526"/>
      <c r="AB18" s="526"/>
      <c r="AC18" s="526"/>
      <c r="AD18" s="526"/>
      <c r="AE18" s="526"/>
      <c r="AF18" s="526"/>
      <c r="AG18" s="526"/>
      <c r="AH18" s="526"/>
      <c r="AI18" s="526"/>
      <c r="AJ18" s="526"/>
      <c r="AK18" s="526"/>
      <c r="AL18" s="526"/>
      <c r="AM18" s="526"/>
      <c r="AN18" s="526"/>
      <c r="AO18" s="526"/>
      <c r="AP18" s="526"/>
      <c r="AQ18" s="526"/>
      <c r="AR18" s="526"/>
      <c r="AS18" s="526"/>
      <c r="AT18" s="526"/>
      <c r="AU18" s="526"/>
      <c r="AV18" s="526"/>
      <c r="AW18" s="526"/>
      <c r="AX18" s="526"/>
    </row>
    <row r="19" spans="1:50" ht="72" x14ac:dyDescent="0.45">
      <c r="A19" s="629" t="s">
        <v>45</v>
      </c>
      <c r="B19" s="627" t="s">
        <v>336</v>
      </c>
      <c r="C19" s="514" t="s">
        <v>861</v>
      </c>
      <c r="D19" s="630" t="s">
        <v>336</v>
      </c>
      <c r="E19" s="514" t="s">
        <v>862</v>
      </c>
      <c r="F19" s="630" t="s">
        <v>336</v>
      </c>
      <c r="G19" s="630" t="s">
        <v>336</v>
      </c>
      <c r="H19" s="630" t="s">
        <v>336</v>
      </c>
      <c r="I19" s="631" t="s">
        <v>336</v>
      </c>
      <c r="J19" s="620"/>
      <c r="K19" s="620"/>
      <c r="L19" s="620"/>
      <c r="M19" s="526"/>
      <c r="N19" s="526"/>
      <c r="O19" s="526"/>
      <c r="P19" s="526"/>
      <c r="Q19" s="526"/>
      <c r="R19" s="526"/>
      <c r="S19" s="526"/>
      <c r="T19" s="526"/>
      <c r="U19" s="526"/>
      <c r="V19" s="526"/>
      <c r="W19" s="526"/>
      <c r="X19" s="526"/>
      <c r="Y19" s="526"/>
      <c r="Z19" s="526"/>
      <c r="AA19" s="526"/>
      <c r="AB19" s="526"/>
      <c r="AC19" s="526"/>
      <c r="AD19" s="526"/>
      <c r="AE19" s="526"/>
      <c r="AF19" s="526"/>
      <c r="AG19" s="526"/>
      <c r="AH19" s="526"/>
      <c r="AI19" s="526"/>
      <c r="AJ19" s="526"/>
      <c r="AK19" s="526"/>
      <c r="AL19" s="526"/>
      <c r="AM19" s="526"/>
      <c r="AN19" s="526"/>
      <c r="AO19" s="526"/>
      <c r="AP19" s="526"/>
      <c r="AQ19" s="526"/>
      <c r="AR19" s="526"/>
      <c r="AS19" s="526"/>
      <c r="AT19" s="526"/>
      <c r="AU19" s="526"/>
      <c r="AV19" s="526"/>
      <c r="AW19" s="526"/>
      <c r="AX19" s="526"/>
    </row>
    <row r="20" spans="1:50" ht="144" x14ac:dyDescent="0.45">
      <c r="A20" s="629" t="s">
        <v>136</v>
      </c>
      <c r="B20" s="627" t="s">
        <v>336</v>
      </c>
      <c r="C20" s="514" t="s">
        <v>840</v>
      </c>
      <c r="D20" s="630" t="s">
        <v>336</v>
      </c>
      <c r="E20" s="514" t="s">
        <v>863</v>
      </c>
      <c r="F20" s="630" t="s">
        <v>336</v>
      </c>
      <c r="G20" s="630" t="s">
        <v>336</v>
      </c>
      <c r="H20" s="630" t="s">
        <v>336</v>
      </c>
      <c r="I20" s="631" t="s">
        <v>336</v>
      </c>
      <c r="J20" s="620"/>
      <c r="K20" s="620"/>
      <c r="L20" s="620"/>
      <c r="M20" s="526"/>
      <c r="N20" s="526"/>
      <c r="O20" s="526"/>
      <c r="P20" s="526"/>
      <c r="Q20" s="526"/>
      <c r="R20" s="526"/>
      <c r="S20" s="526"/>
      <c r="T20" s="526"/>
      <c r="U20" s="526"/>
      <c r="V20" s="526"/>
      <c r="W20" s="526"/>
      <c r="X20" s="526"/>
      <c r="Y20" s="526"/>
      <c r="Z20" s="526"/>
      <c r="AA20" s="526"/>
      <c r="AB20" s="526"/>
      <c r="AC20" s="526"/>
      <c r="AD20" s="526"/>
      <c r="AE20" s="526"/>
      <c r="AF20" s="526"/>
      <c r="AG20" s="526"/>
      <c r="AH20" s="526"/>
      <c r="AI20" s="526"/>
      <c r="AJ20" s="526"/>
      <c r="AK20" s="526"/>
      <c r="AL20" s="526"/>
      <c r="AM20" s="526"/>
      <c r="AN20" s="526"/>
      <c r="AO20" s="526"/>
      <c r="AP20" s="526"/>
      <c r="AQ20" s="526"/>
      <c r="AR20" s="526"/>
      <c r="AS20" s="526"/>
      <c r="AT20" s="526"/>
      <c r="AU20" s="526"/>
      <c r="AV20" s="526"/>
      <c r="AW20" s="526"/>
      <c r="AX20" s="526"/>
    </row>
    <row r="21" spans="1:50" ht="168" x14ac:dyDescent="0.45">
      <c r="A21" s="629" t="s">
        <v>845</v>
      </c>
      <c r="B21" s="627" t="s">
        <v>336</v>
      </c>
      <c r="C21" s="514" t="s">
        <v>864</v>
      </c>
      <c r="D21" s="630" t="s">
        <v>336</v>
      </c>
      <c r="E21" s="514" t="s">
        <v>865</v>
      </c>
      <c r="F21" s="630" t="s">
        <v>336</v>
      </c>
      <c r="G21" s="630" t="s">
        <v>336</v>
      </c>
      <c r="H21" s="630" t="s">
        <v>336</v>
      </c>
      <c r="I21" s="631" t="s">
        <v>336</v>
      </c>
      <c r="J21" s="620"/>
      <c r="K21" s="620"/>
      <c r="L21" s="620"/>
      <c r="M21" s="526"/>
      <c r="N21" s="526"/>
      <c r="O21" s="526"/>
      <c r="P21" s="526"/>
      <c r="Q21" s="526"/>
      <c r="R21" s="526"/>
      <c r="S21" s="526"/>
      <c r="T21" s="526"/>
      <c r="U21" s="526"/>
      <c r="V21" s="526"/>
      <c r="W21" s="526"/>
      <c r="X21" s="526"/>
      <c r="Y21" s="526"/>
      <c r="Z21" s="526"/>
      <c r="AA21" s="526"/>
      <c r="AB21" s="526"/>
      <c r="AC21" s="526"/>
      <c r="AD21" s="526"/>
      <c r="AE21" s="526"/>
      <c r="AF21" s="526"/>
      <c r="AG21" s="526"/>
      <c r="AH21" s="526"/>
      <c r="AI21" s="526"/>
      <c r="AJ21" s="526"/>
      <c r="AK21" s="526"/>
      <c r="AL21" s="526"/>
      <c r="AM21" s="526"/>
      <c r="AN21" s="526"/>
      <c r="AO21" s="526"/>
      <c r="AP21" s="526"/>
      <c r="AQ21" s="526"/>
      <c r="AR21" s="526"/>
      <c r="AS21" s="526"/>
      <c r="AT21" s="526"/>
      <c r="AU21" s="526"/>
      <c r="AV21" s="526"/>
      <c r="AW21" s="526"/>
      <c r="AX21" s="526"/>
    </row>
    <row r="22" spans="1:50" ht="96" x14ac:dyDescent="0.45">
      <c r="A22" s="629" t="s">
        <v>189</v>
      </c>
      <c r="B22" s="627" t="s">
        <v>336</v>
      </c>
      <c r="C22" s="514" t="s">
        <v>866</v>
      </c>
      <c r="D22" s="630" t="s">
        <v>336</v>
      </c>
      <c r="E22" s="514" t="s">
        <v>867</v>
      </c>
      <c r="F22" s="630" t="s">
        <v>336</v>
      </c>
      <c r="G22" s="630" t="s">
        <v>336</v>
      </c>
      <c r="H22" s="630" t="s">
        <v>336</v>
      </c>
      <c r="I22" s="631" t="s">
        <v>336</v>
      </c>
      <c r="J22" s="620"/>
      <c r="K22" s="620"/>
      <c r="L22" s="620"/>
      <c r="M22" s="526"/>
      <c r="N22" s="526"/>
      <c r="O22" s="526"/>
      <c r="P22" s="526"/>
      <c r="Q22" s="526"/>
      <c r="R22" s="526"/>
      <c r="S22" s="526"/>
      <c r="T22" s="526"/>
      <c r="U22" s="526"/>
      <c r="V22" s="526"/>
      <c r="W22" s="526"/>
      <c r="X22" s="526"/>
      <c r="Y22" s="526"/>
      <c r="Z22" s="526"/>
      <c r="AA22" s="526"/>
      <c r="AB22" s="526"/>
      <c r="AC22" s="526"/>
      <c r="AD22" s="526"/>
      <c r="AE22" s="526"/>
      <c r="AF22" s="526"/>
      <c r="AG22" s="526"/>
      <c r="AH22" s="526"/>
      <c r="AI22" s="526"/>
      <c r="AJ22" s="526"/>
      <c r="AK22" s="526"/>
      <c r="AL22" s="526"/>
      <c r="AM22" s="526"/>
      <c r="AN22" s="526"/>
      <c r="AO22" s="526"/>
      <c r="AP22" s="526"/>
      <c r="AQ22" s="526"/>
      <c r="AR22" s="526"/>
      <c r="AS22" s="526"/>
      <c r="AT22" s="526"/>
      <c r="AU22" s="526"/>
      <c r="AV22" s="526"/>
      <c r="AW22" s="526"/>
      <c r="AX22" s="526"/>
    </row>
    <row r="23" spans="1:50" ht="24" x14ac:dyDescent="0.45">
      <c r="A23" s="628" t="s">
        <v>761</v>
      </c>
      <c r="B23" s="627" t="s">
        <v>336</v>
      </c>
      <c r="C23" s="756" t="s">
        <v>1112</v>
      </c>
      <c r="D23" s="756"/>
      <c r="E23" s="756"/>
      <c r="F23" s="756"/>
      <c r="G23" s="756"/>
      <c r="H23" s="756"/>
      <c r="I23" s="757"/>
      <c r="J23" s="620"/>
      <c r="K23" s="620"/>
      <c r="L23" s="620"/>
      <c r="M23" s="526"/>
      <c r="N23" s="526"/>
      <c r="O23" s="526"/>
      <c r="P23" s="526"/>
      <c r="Q23" s="526"/>
      <c r="R23" s="526"/>
      <c r="S23" s="526"/>
      <c r="T23" s="526"/>
      <c r="U23" s="526"/>
      <c r="V23" s="526"/>
      <c r="W23" s="526"/>
      <c r="X23" s="526"/>
      <c r="Y23" s="526"/>
      <c r="Z23" s="526"/>
      <c r="AA23" s="526"/>
      <c r="AB23" s="526"/>
      <c r="AC23" s="526"/>
      <c r="AD23" s="526"/>
      <c r="AE23" s="526"/>
      <c r="AF23" s="526"/>
      <c r="AG23" s="526"/>
      <c r="AH23" s="526"/>
      <c r="AI23" s="526"/>
      <c r="AJ23" s="526"/>
      <c r="AK23" s="526"/>
      <c r="AL23" s="526"/>
      <c r="AM23" s="526"/>
      <c r="AN23" s="526"/>
      <c r="AO23" s="526"/>
      <c r="AP23" s="526"/>
      <c r="AQ23" s="526"/>
      <c r="AR23" s="526"/>
      <c r="AS23" s="526"/>
      <c r="AT23" s="526"/>
      <c r="AU23" s="526"/>
      <c r="AV23" s="526"/>
      <c r="AW23" s="526"/>
      <c r="AX23" s="526"/>
    </row>
    <row r="24" spans="1:50" ht="168" x14ac:dyDescent="0.45">
      <c r="A24" s="629" t="s">
        <v>825</v>
      </c>
      <c r="B24" s="627" t="s">
        <v>336</v>
      </c>
      <c r="C24" s="514" t="s">
        <v>826</v>
      </c>
      <c r="D24" s="630" t="s">
        <v>336</v>
      </c>
      <c r="E24" s="514" t="s">
        <v>868</v>
      </c>
      <c r="F24" s="630" t="s">
        <v>336</v>
      </c>
      <c r="G24" s="630" t="s">
        <v>336</v>
      </c>
      <c r="H24" s="630" t="s">
        <v>336</v>
      </c>
      <c r="I24" s="631" t="s">
        <v>336</v>
      </c>
      <c r="J24" s="620"/>
      <c r="K24" s="620"/>
      <c r="L24" s="620"/>
      <c r="M24" s="526"/>
      <c r="N24" s="526"/>
      <c r="O24" s="526"/>
      <c r="P24" s="526"/>
      <c r="Q24" s="526"/>
      <c r="R24" s="526"/>
      <c r="S24" s="526"/>
      <c r="T24" s="526"/>
      <c r="U24" s="526"/>
      <c r="V24" s="526"/>
      <c r="W24" s="526"/>
      <c r="X24" s="526"/>
      <c r="Y24" s="526"/>
      <c r="Z24" s="526"/>
      <c r="AA24" s="526"/>
      <c r="AB24" s="526"/>
      <c r="AC24" s="526"/>
      <c r="AD24" s="526"/>
      <c r="AE24" s="526"/>
      <c r="AF24" s="526"/>
      <c r="AG24" s="526"/>
      <c r="AH24" s="526"/>
      <c r="AI24" s="526"/>
      <c r="AJ24" s="526"/>
      <c r="AK24" s="526"/>
      <c r="AL24" s="526"/>
      <c r="AM24" s="526"/>
      <c r="AN24" s="526"/>
      <c r="AO24" s="526"/>
      <c r="AP24" s="526"/>
      <c r="AQ24" s="526"/>
      <c r="AR24" s="526"/>
      <c r="AS24" s="526"/>
      <c r="AT24" s="526"/>
      <c r="AU24" s="526"/>
      <c r="AV24" s="526"/>
      <c r="AW24" s="526"/>
      <c r="AX24" s="526"/>
    </row>
    <row r="25" spans="1:50" ht="144" x14ac:dyDescent="0.45">
      <c r="A25" s="629" t="s">
        <v>11</v>
      </c>
      <c r="B25" s="627" t="s">
        <v>336</v>
      </c>
      <c r="C25" s="514" t="s">
        <v>869</v>
      </c>
      <c r="D25" s="630" t="s">
        <v>336</v>
      </c>
      <c r="E25" s="514" t="s">
        <v>870</v>
      </c>
      <c r="F25" s="630" t="s">
        <v>336</v>
      </c>
      <c r="G25" s="630" t="s">
        <v>336</v>
      </c>
      <c r="H25" s="630" t="s">
        <v>336</v>
      </c>
      <c r="I25" s="631" t="s">
        <v>336</v>
      </c>
      <c r="J25" s="620"/>
      <c r="K25" s="620"/>
      <c r="L25" s="620"/>
      <c r="M25" s="526"/>
      <c r="N25" s="526"/>
      <c r="O25" s="526"/>
      <c r="P25" s="526"/>
      <c r="Q25" s="526"/>
      <c r="R25" s="526"/>
      <c r="S25" s="526"/>
      <c r="T25" s="526"/>
      <c r="U25" s="526"/>
      <c r="V25" s="526"/>
      <c r="W25" s="526"/>
      <c r="X25" s="526"/>
      <c r="Y25" s="526"/>
      <c r="Z25" s="526"/>
      <c r="AA25" s="526"/>
      <c r="AB25" s="526"/>
      <c r="AC25" s="526"/>
      <c r="AD25" s="526"/>
      <c r="AE25" s="526"/>
      <c r="AF25" s="526"/>
      <c r="AG25" s="526"/>
      <c r="AH25" s="526"/>
      <c r="AI25" s="526"/>
      <c r="AJ25" s="526"/>
      <c r="AK25" s="526"/>
      <c r="AL25" s="526"/>
      <c r="AM25" s="526"/>
      <c r="AN25" s="526"/>
      <c r="AO25" s="526"/>
      <c r="AP25" s="526"/>
      <c r="AQ25" s="526"/>
      <c r="AR25" s="526"/>
      <c r="AS25" s="526"/>
      <c r="AT25" s="526"/>
      <c r="AU25" s="526"/>
      <c r="AV25" s="526"/>
      <c r="AW25" s="526"/>
      <c r="AX25" s="526"/>
    </row>
    <row r="26" spans="1:50" ht="264" x14ac:dyDescent="0.45">
      <c r="A26" s="629" t="s">
        <v>45</v>
      </c>
      <c r="B26" s="627" t="s">
        <v>336</v>
      </c>
      <c r="C26" s="514" t="s">
        <v>871</v>
      </c>
      <c r="D26" s="630" t="s">
        <v>336</v>
      </c>
      <c r="E26" s="514" t="s">
        <v>872</v>
      </c>
      <c r="F26" s="630" t="s">
        <v>336</v>
      </c>
      <c r="G26" s="630" t="s">
        <v>336</v>
      </c>
      <c r="H26" s="630" t="s">
        <v>336</v>
      </c>
      <c r="I26" s="631" t="s">
        <v>336</v>
      </c>
      <c r="J26" s="620"/>
      <c r="K26" s="620"/>
      <c r="L26" s="620"/>
      <c r="M26" s="526"/>
      <c r="N26" s="526"/>
      <c r="O26" s="526"/>
      <c r="P26" s="526"/>
      <c r="Q26" s="526"/>
      <c r="R26" s="526"/>
      <c r="S26" s="526"/>
      <c r="T26" s="526"/>
      <c r="U26" s="526"/>
      <c r="V26" s="526"/>
      <c r="W26" s="526"/>
      <c r="X26" s="526"/>
      <c r="Y26" s="526"/>
      <c r="Z26" s="526"/>
      <c r="AA26" s="526"/>
      <c r="AB26" s="526"/>
      <c r="AC26" s="526"/>
      <c r="AD26" s="526"/>
      <c r="AE26" s="526"/>
      <c r="AF26" s="526"/>
      <c r="AG26" s="526"/>
      <c r="AH26" s="526"/>
      <c r="AI26" s="526"/>
      <c r="AJ26" s="526"/>
      <c r="AK26" s="526"/>
      <c r="AL26" s="526"/>
      <c r="AM26" s="526"/>
      <c r="AN26" s="526"/>
      <c r="AO26" s="526"/>
      <c r="AP26" s="526"/>
      <c r="AQ26" s="526"/>
      <c r="AR26" s="526"/>
      <c r="AS26" s="526"/>
      <c r="AT26" s="526"/>
      <c r="AU26" s="526"/>
      <c r="AV26" s="526"/>
      <c r="AW26" s="526"/>
      <c r="AX26" s="526"/>
    </row>
    <row r="27" spans="1:50" ht="168" x14ac:dyDescent="0.45">
      <c r="A27" s="633" t="s">
        <v>45</v>
      </c>
      <c r="B27" s="634" t="s">
        <v>336</v>
      </c>
      <c r="C27" s="635" t="s">
        <v>873</v>
      </c>
      <c r="D27" s="636" t="s">
        <v>336</v>
      </c>
      <c r="E27" s="635" t="s">
        <v>874</v>
      </c>
      <c r="F27" s="636" t="s">
        <v>336</v>
      </c>
      <c r="G27" s="636" t="s">
        <v>336</v>
      </c>
      <c r="H27" s="636" t="s">
        <v>336</v>
      </c>
      <c r="I27" s="637" t="s">
        <v>336</v>
      </c>
      <c r="J27" s="620"/>
      <c r="K27" s="620"/>
      <c r="L27" s="620"/>
      <c r="M27" s="526"/>
      <c r="N27" s="526"/>
      <c r="O27" s="526"/>
      <c r="P27" s="526"/>
      <c r="Q27" s="526"/>
      <c r="R27" s="526"/>
      <c r="S27" s="526"/>
      <c r="T27" s="526"/>
      <c r="U27" s="526"/>
      <c r="V27" s="526"/>
      <c r="W27" s="526"/>
      <c r="X27" s="526"/>
      <c r="Y27" s="526"/>
      <c r="Z27" s="526"/>
      <c r="AA27" s="526"/>
      <c r="AB27" s="526"/>
      <c r="AC27" s="526"/>
      <c r="AD27" s="526"/>
      <c r="AE27" s="526"/>
      <c r="AF27" s="526"/>
      <c r="AG27" s="526"/>
      <c r="AH27" s="526"/>
      <c r="AI27" s="526"/>
      <c r="AJ27" s="526"/>
      <c r="AK27" s="526"/>
      <c r="AL27" s="526"/>
      <c r="AM27" s="526"/>
      <c r="AN27" s="526"/>
      <c r="AO27" s="526"/>
      <c r="AP27" s="526"/>
      <c r="AQ27" s="526"/>
      <c r="AR27" s="526"/>
      <c r="AS27" s="526"/>
      <c r="AT27" s="526"/>
      <c r="AU27" s="526"/>
      <c r="AV27" s="526"/>
      <c r="AW27" s="526"/>
      <c r="AX27" s="526"/>
    </row>
    <row r="28" spans="1:50" ht="216" x14ac:dyDescent="0.45">
      <c r="A28" s="638" t="s">
        <v>853</v>
      </c>
      <c r="B28" s="639" t="s">
        <v>336</v>
      </c>
      <c r="C28" s="640" t="s">
        <v>875</v>
      </c>
      <c r="D28" s="641" t="s">
        <v>336</v>
      </c>
      <c r="E28" s="642" t="s">
        <v>876</v>
      </c>
      <c r="F28" s="643" t="s">
        <v>336</v>
      </c>
      <c r="G28" s="641" t="s">
        <v>336</v>
      </c>
      <c r="H28" s="641" t="s">
        <v>336</v>
      </c>
      <c r="I28" s="644" t="s">
        <v>336</v>
      </c>
      <c r="J28" s="620"/>
      <c r="K28" s="620"/>
      <c r="L28" s="620"/>
      <c r="M28" s="526"/>
      <c r="N28" s="526"/>
      <c r="O28" s="526"/>
      <c r="P28" s="526"/>
      <c r="Q28" s="526"/>
      <c r="R28" s="526"/>
      <c r="S28" s="526"/>
      <c r="T28" s="526"/>
      <c r="U28" s="526"/>
      <c r="V28" s="526"/>
      <c r="W28" s="526"/>
      <c r="X28" s="526"/>
      <c r="Y28" s="526"/>
      <c r="Z28" s="526"/>
      <c r="AA28" s="526"/>
      <c r="AB28" s="526"/>
      <c r="AC28" s="526"/>
      <c r="AD28" s="526"/>
      <c r="AE28" s="526"/>
      <c r="AF28" s="526"/>
      <c r="AG28" s="526"/>
      <c r="AH28" s="526"/>
      <c r="AI28" s="526"/>
      <c r="AJ28" s="526"/>
      <c r="AK28" s="526"/>
      <c r="AL28" s="526"/>
      <c r="AM28" s="526"/>
      <c r="AN28" s="526"/>
      <c r="AO28" s="526"/>
      <c r="AP28" s="526"/>
      <c r="AQ28" s="526"/>
      <c r="AR28" s="526"/>
      <c r="AS28" s="526"/>
      <c r="AT28" s="526"/>
      <c r="AU28" s="526"/>
      <c r="AV28" s="526"/>
      <c r="AW28" s="526"/>
      <c r="AX28" s="526"/>
    </row>
    <row r="29" spans="1:50" ht="216" x14ac:dyDescent="0.65">
      <c r="A29" s="645" t="s">
        <v>11</v>
      </c>
      <c r="B29" s="646" t="s">
        <v>336</v>
      </c>
      <c r="C29" s="647" t="s">
        <v>1161</v>
      </c>
      <c r="D29" s="648" t="s">
        <v>336</v>
      </c>
      <c r="E29" s="649" t="s">
        <v>878</v>
      </c>
      <c r="F29" s="650" t="s">
        <v>336</v>
      </c>
      <c r="G29" s="648" t="s">
        <v>336</v>
      </c>
      <c r="H29" s="648" t="s">
        <v>336</v>
      </c>
      <c r="I29" s="651" t="s">
        <v>336</v>
      </c>
      <c r="J29" s="620"/>
      <c r="K29" s="620"/>
      <c r="L29" s="620"/>
      <c r="M29" s="622"/>
      <c r="N29" s="622"/>
      <c r="O29" s="622"/>
      <c r="P29" s="622"/>
      <c r="Q29" s="622"/>
      <c r="R29" s="622"/>
      <c r="S29" s="622"/>
      <c r="T29" s="622"/>
      <c r="U29" s="622"/>
      <c r="V29" s="622"/>
      <c r="W29" s="622"/>
      <c r="X29" s="622"/>
      <c r="Y29" s="622"/>
      <c r="Z29" s="622"/>
      <c r="AA29" s="622"/>
      <c r="AB29" s="622"/>
      <c r="AC29" s="622"/>
      <c r="AD29" s="622"/>
      <c r="AE29" s="622"/>
      <c r="AF29" s="622"/>
      <c r="AG29" s="622"/>
      <c r="AH29" s="622"/>
      <c r="AI29" s="622"/>
      <c r="AJ29" s="622"/>
      <c r="AK29" s="622"/>
      <c r="AL29" s="622"/>
      <c r="AM29" s="622"/>
      <c r="AN29" s="622"/>
      <c r="AO29" s="622"/>
      <c r="AP29" s="622"/>
      <c r="AQ29" s="622"/>
      <c r="AR29" s="622"/>
      <c r="AS29" s="622"/>
      <c r="AT29" s="622"/>
      <c r="AU29" s="622"/>
      <c r="AV29" s="622"/>
      <c r="AW29" s="622"/>
      <c r="AX29" s="623" t="s">
        <v>336</v>
      </c>
    </row>
    <row r="30" spans="1:50" ht="240" x14ac:dyDescent="0.45">
      <c r="A30" s="629" t="s">
        <v>11</v>
      </c>
      <c r="B30" s="627" t="s">
        <v>336</v>
      </c>
      <c r="C30" s="514" t="s">
        <v>1162</v>
      </c>
      <c r="D30" s="630" t="s">
        <v>336</v>
      </c>
      <c r="E30" s="514" t="s">
        <v>891</v>
      </c>
      <c r="F30" s="630" t="s">
        <v>336</v>
      </c>
      <c r="G30" s="630" t="s">
        <v>336</v>
      </c>
      <c r="H30" s="630" t="s">
        <v>336</v>
      </c>
      <c r="I30" s="632" t="s">
        <v>336</v>
      </c>
      <c r="J30" s="620"/>
      <c r="K30" s="620"/>
      <c r="L30" s="620"/>
      <c r="M30" s="526"/>
      <c r="N30" s="526"/>
      <c r="O30" s="526"/>
      <c r="P30" s="526"/>
      <c r="Q30" s="526"/>
      <c r="R30" s="526"/>
      <c r="S30" s="526"/>
      <c r="T30" s="526"/>
      <c r="U30" s="526"/>
      <c r="V30" s="526"/>
      <c r="W30" s="526"/>
      <c r="X30" s="526"/>
      <c r="Y30" s="526"/>
      <c r="Z30" s="526"/>
      <c r="AA30" s="526"/>
      <c r="AB30" s="526"/>
      <c r="AC30" s="526"/>
      <c r="AD30" s="526"/>
      <c r="AE30" s="526"/>
      <c r="AF30" s="526"/>
      <c r="AG30" s="526"/>
      <c r="AH30" s="526"/>
      <c r="AI30" s="526"/>
      <c r="AJ30" s="526"/>
      <c r="AK30" s="526"/>
      <c r="AL30" s="526"/>
      <c r="AM30" s="526"/>
      <c r="AN30" s="526"/>
      <c r="AO30" s="526"/>
      <c r="AP30" s="526"/>
      <c r="AQ30" s="526"/>
      <c r="AR30" s="526"/>
      <c r="AS30" s="526"/>
      <c r="AT30" s="526"/>
      <c r="AU30" s="526"/>
      <c r="AV30" s="526"/>
      <c r="AW30" s="526"/>
      <c r="AX30" s="526"/>
    </row>
    <row r="31" spans="1:50" ht="336" x14ac:dyDescent="0.45">
      <c r="A31" s="629" t="s">
        <v>11</v>
      </c>
      <c r="B31" s="627" t="s">
        <v>336</v>
      </c>
      <c r="C31" s="514" t="s">
        <v>1163</v>
      </c>
      <c r="D31" s="630" t="s">
        <v>336</v>
      </c>
      <c r="E31" s="514" t="s">
        <v>893</v>
      </c>
      <c r="F31" s="630" t="s">
        <v>336</v>
      </c>
      <c r="G31" s="630" t="s">
        <v>336</v>
      </c>
      <c r="H31" s="630" t="s">
        <v>336</v>
      </c>
      <c r="I31" s="632" t="s">
        <v>336</v>
      </c>
      <c r="J31" s="620"/>
      <c r="K31" s="620"/>
      <c r="L31" s="620"/>
      <c r="M31" s="526"/>
      <c r="N31" s="526"/>
      <c r="O31" s="526"/>
      <c r="P31" s="526"/>
      <c r="Q31" s="526"/>
      <c r="R31" s="526"/>
      <c r="S31" s="526"/>
      <c r="T31" s="526"/>
      <c r="U31" s="526"/>
      <c r="V31" s="526"/>
      <c r="W31" s="526"/>
      <c r="X31" s="526"/>
      <c r="Y31" s="526"/>
      <c r="Z31" s="526"/>
      <c r="AA31" s="526"/>
      <c r="AB31" s="526"/>
      <c r="AC31" s="526"/>
      <c r="AD31" s="526"/>
      <c r="AE31" s="526"/>
      <c r="AF31" s="526"/>
      <c r="AG31" s="526"/>
      <c r="AH31" s="526"/>
      <c r="AI31" s="526"/>
      <c r="AJ31" s="526"/>
      <c r="AK31" s="526"/>
      <c r="AL31" s="526"/>
      <c r="AM31" s="526"/>
      <c r="AN31" s="526"/>
      <c r="AO31" s="526"/>
      <c r="AP31" s="526"/>
      <c r="AQ31" s="526"/>
      <c r="AR31" s="526"/>
      <c r="AS31" s="526"/>
      <c r="AT31" s="526"/>
      <c r="AU31" s="526"/>
      <c r="AV31" s="526"/>
      <c r="AW31" s="526"/>
      <c r="AX31" s="526"/>
    </row>
    <row r="32" spans="1:50" ht="216" x14ac:dyDescent="0.45">
      <c r="A32" s="629" t="s">
        <v>11</v>
      </c>
      <c r="B32" s="627" t="s">
        <v>336</v>
      </c>
      <c r="C32" s="514" t="s">
        <v>1164</v>
      </c>
      <c r="D32" s="630" t="s">
        <v>336</v>
      </c>
      <c r="E32" s="514" t="s">
        <v>896</v>
      </c>
      <c r="F32" s="630" t="s">
        <v>336</v>
      </c>
      <c r="G32" s="630" t="s">
        <v>336</v>
      </c>
      <c r="H32" s="630" t="s">
        <v>336</v>
      </c>
      <c r="I32" s="632" t="s">
        <v>336</v>
      </c>
      <c r="J32" s="620"/>
      <c r="K32" s="620"/>
      <c r="L32" s="620"/>
      <c r="M32" s="526"/>
      <c r="N32" s="526"/>
      <c r="O32" s="526"/>
      <c r="P32" s="526"/>
      <c r="Q32" s="526"/>
      <c r="R32" s="526"/>
      <c r="S32" s="526"/>
      <c r="T32" s="526"/>
      <c r="U32" s="526"/>
      <c r="V32" s="526"/>
      <c r="W32" s="526"/>
      <c r="X32" s="526"/>
      <c r="Y32" s="526"/>
      <c r="Z32" s="526"/>
      <c r="AA32" s="526"/>
      <c r="AB32" s="526"/>
      <c r="AC32" s="526"/>
      <c r="AD32" s="526"/>
      <c r="AE32" s="526"/>
      <c r="AF32" s="526"/>
      <c r="AG32" s="526"/>
      <c r="AH32" s="526"/>
      <c r="AI32" s="526"/>
      <c r="AJ32" s="526"/>
      <c r="AK32" s="526"/>
      <c r="AL32" s="526"/>
      <c r="AM32" s="526"/>
      <c r="AN32" s="526"/>
      <c r="AO32" s="526"/>
      <c r="AP32" s="526"/>
      <c r="AQ32" s="526"/>
      <c r="AR32" s="526"/>
      <c r="AS32" s="526"/>
      <c r="AT32" s="526"/>
      <c r="AU32" s="526"/>
      <c r="AV32" s="526"/>
      <c r="AW32" s="526"/>
      <c r="AX32" s="526"/>
    </row>
    <row r="33" spans="1:50" ht="96" x14ac:dyDescent="0.45">
      <c r="A33" s="629" t="s">
        <v>136</v>
      </c>
      <c r="B33" s="627" t="s">
        <v>336</v>
      </c>
      <c r="C33" s="514" t="s">
        <v>840</v>
      </c>
      <c r="D33" s="630" t="s">
        <v>336</v>
      </c>
      <c r="E33" s="514" t="s">
        <v>879</v>
      </c>
      <c r="F33" s="630" t="s">
        <v>336</v>
      </c>
      <c r="G33" s="630" t="s">
        <v>336</v>
      </c>
      <c r="H33" s="630" t="s">
        <v>336</v>
      </c>
      <c r="I33" s="631" t="s">
        <v>336</v>
      </c>
      <c r="J33" s="620"/>
      <c r="K33" s="620"/>
      <c r="L33" s="620"/>
      <c r="M33" s="526"/>
      <c r="N33" s="526"/>
      <c r="O33" s="526"/>
      <c r="P33" s="526"/>
      <c r="Q33" s="526"/>
      <c r="R33" s="526"/>
      <c r="S33" s="526"/>
      <c r="T33" s="526"/>
      <c r="U33" s="526"/>
      <c r="V33" s="526"/>
      <c r="W33" s="526"/>
      <c r="X33" s="526"/>
      <c r="Y33" s="526"/>
      <c r="Z33" s="526"/>
      <c r="AA33" s="526"/>
      <c r="AB33" s="526"/>
      <c r="AC33" s="526"/>
      <c r="AD33" s="526"/>
      <c r="AE33" s="526"/>
      <c r="AF33" s="526"/>
      <c r="AG33" s="526"/>
      <c r="AH33" s="526"/>
      <c r="AI33" s="526"/>
      <c r="AJ33" s="526"/>
      <c r="AK33" s="526"/>
      <c r="AL33" s="526"/>
      <c r="AM33" s="526"/>
      <c r="AN33" s="526"/>
      <c r="AO33" s="526"/>
      <c r="AP33" s="526"/>
      <c r="AQ33" s="526"/>
      <c r="AR33" s="526"/>
      <c r="AS33" s="526"/>
      <c r="AT33" s="526"/>
      <c r="AU33" s="526"/>
      <c r="AV33" s="526"/>
      <c r="AW33" s="526"/>
      <c r="AX33" s="526"/>
    </row>
    <row r="34" spans="1:50" ht="144" x14ac:dyDescent="0.45">
      <c r="A34" s="629" t="s">
        <v>845</v>
      </c>
      <c r="B34" s="627" t="s">
        <v>336</v>
      </c>
      <c r="C34" s="514" t="s">
        <v>880</v>
      </c>
      <c r="D34" s="630" t="s">
        <v>336</v>
      </c>
      <c r="E34" s="514" t="s">
        <v>881</v>
      </c>
      <c r="F34" s="630" t="s">
        <v>336</v>
      </c>
      <c r="G34" s="630" t="s">
        <v>336</v>
      </c>
      <c r="H34" s="630" t="s">
        <v>336</v>
      </c>
      <c r="I34" s="631" t="s">
        <v>336</v>
      </c>
      <c r="J34" s="620"/>
      <c r="K34" s="620"/>
      <c r="L34" s="620"/>
      <c r="M34" s="526"/>
      <c r="N34" s="526"/>
      <c r="O34" s="526"/>
      <c r="P34" s="526"/>
      <c r="Q34" s="526"/>
      <c r="R34" s="526"/>
      <c r="S34" s="526"/>
      <c r="T34" s="526"/>
      <c r="U34" s="526"/>
      <c r="V34" s="526"/>
      <c r="W34" s="526"/>
      <c r="X34" s="526"/>
      <c r="Y34" s="526"/>
      <c r="Z34" s="526"/>
      <c r="AA34" s="526"/>
      <c r="AB34" s="526"/>
      <c r="AC34" s="526"/>
      <c r="AD34" s="526"/>
      <c r="AE34" s="526"/>
      <c r="AF34" s="526"/>
      <c r="AG34" s="526"/>
      <c r="AH34" s="526"/>
      <c r="AI34" s="526"/>
      <c r="AJ34" s="526"/>
      <c r="AK34" s="526"/>
      <c r="AL34" s="526"/>
      <c r="AM34" s="526"/>
      <c r="AN34" s="526"/>
      <c r="AO34" s="526"/>
      <c r="AP34" s="526"/>
      <c r="AQ34" s="526"/>
      <c r="AR34" s="526"/>
      <c r="AS34" s="526"/>
      <c r="AT34" s="526"/>
      <c r="AU34" s="526"/>
      <c r="AV34" s="526"/>
      <c r="AW34" s="526"/>
      <c r="AX34" s="526"/>
    </row>
    <row r="35" spans="1:50" ht="96" x14ac:dyDescent="0.45">
      <c r="A35" s="629" t="s">
        <v>189</v>
      </c>
      <c r="B35" s="627" t="s">
        <v>336</v>
      </c>
      <c r="C35" s="514" t="s">
        <v>866</v>
      </c>
      <c r="D35" s="630" t="s">
        <v>336</v>
      </c>
      <c r="E35" s="514" t="s">
        <v>867</v>
      </c>
      <c r="F35" s="630" t="s">
        <v>336</v>
      </c>
      <c r="G35" s="630" t="s">
        <v>336</v>
      </c>
      <c r="H35" s="630" t="s">
        <v>336</v>
      </c>
      <c r="I35" s="631" t="s">
        <v>336</v>
      </c>
      <c r="J35" s="620"/>
      <c r="K35" s="620"/>
      <c r="L35" s="620"/>
      <c r="M35" s="621"/>
      <c r="N35" s="526"/>
      <c r="O35" s="526"/>
      <c r="P35" s="526"/>
      <c r="Q35" s="526"/>
      <c r="R35" s="526"/>
      <c r="S35" s="526"/>
      <c r="T35" s="526"/>
      <c r="U35" s="526"/>
      <c r="V35" s="526"/>
      <c r="W35" s="526"/>
      <c r="X35" s="526"/>
      <c r="Y35" s="526"/>
      <c r="Z35" s="526"/>
      <c r="AA35" s="526"/>
      <c r="AB35" s="526"/>
      <c r="AC35" s="526"/>
      <c r="AD35" s="526"/>
      <c r="AE35" s="526"/>
      <c r="AF35" s="526"/>
      <c r="AG35" s="526"/>
      <c r="AH35" s="526"/>
      <c r="AI35" s="526"/>
      <c r="AJ35" s="526"/>
      <c r="AK35" s="526"/>
      <c r="AL35" s="526"/>
      <c r="AM35" s="526"/>
      <c r="AN35" s="526"/>
      <c r="AO35" s="526"/>
      <c r="AP35" s="526"/>
      <c r="AQ35" s="526"/>
      <c r="AR35" s="526"/>
      <c r="AS35" s="526"/>
      <c r="AT35" s="526"/>
      <c r="AU35" s="526"/>
      <c r="AV35" s="526"/>
      <c r="AW35" s="526"/>
      <c r="AX35" s="526"/>
    </row>
    <row r="36" spans="1:50" ht="24" x14ac:dyDescent="0.45">
      <c r="A36" s="628" t="s">
        <v>768</v>
      </c>
      <c r="B36" s="627" t="s">
        <v>336</v>
      </c>
      <c r="C36" s="756" t="s">
        <v>769</v>
      </c>
      <c r="D36" s="756"/>
      <c r="E36" s="756"/>
      <c r="F36" s="756"/>
      <c r="G36" s="756"/>
      <c r="H36" s="756"/>
      <c r="I36" s="757"/>
      <c r="J36" s="620"/>
      <c r="K36" s="620"/>
      <c r="L36" s="620"/>
      <c r="M36" s="526"/>
      <c r="N36" s="526"/>
      <c r="O36" s="526"/>
      <c r="P36" s="526"/>
      <c r="Q36" s="526"/>
      <c r="R36" s="526"/>
      <c r="S36" s="526"/>
      <c r="T36" s="526"/>
      <c r="U36" s="526"/>
      <c r="V36" s="526"/>
      <c r="W36" s="526"/>
      <c r="X36" s="526"/>
      <c r="Y36" s="526"/>
      <c r="Z36" s="526"/>
      <c r="AA36" s="526"/>
      <c r="AB36" s="526"/>
      <c r="AC36" s="526"/>
      <c r="AD36" s="526"/>
      <c r="AE36" s="526"/>
      <c r="AF36" s="526"/>
      <c r="AG36" s="526"/>
      <c r="AH36" s="526"/>
      <c r="AI36" s="526"/>
      <c r="AJ36" s="526"/>
      <c r="AK36" s="526"/>
      <c r="AL36" s="526"/>
      <c r="AM36" s="526"/>
      <c r="AN36" s="526"/>
      <c r="AO36" s="526"/>
      <c r="AP36" s="526"/>
      <c r="AQ36" s="526"/>
      <c r="AR36" s="526"/>
      <c r="AS36" s="526"/>
      <c r="AT36" s="526"/>
      <c r="AU36" s="526"/>
      <c r="AV36" s="526"/>
      <c r="AW36" s="526"/>
      <c r="AX36" s="526"/>
    </row>
    <row r="37" spans="1:50" ht="168" x14ac:dyDescent="0.45">
      <c r="A37" s="629" t="s">
        <v>825</v>
      </c>
      <c r="B37" s="627" t="s">
        <v>336</v>
      </c>
      <c r="C37" s="514" t="s">
        <v>826</v>
      </c>
      <c r="D37" s="630" t="s">
        <v>336</v>
      </c>
      <c r="E37" s="514" t="s">
        <v>882</v>
      </c>
      <c r="F37" s="630" t="s">
        <v>336</v>
      </c>
      <c r="G37" s="630" t="s">
        <v>336</v>
      </c>
      <c r="H37" s="630" t="s">
        <v>336</v>
      </c>
      <c r="I37" s="631" t="s">
        <v>336</v>
      </c>
      <c r="J37" s="620"/>
      <c r="K37" s="620"/>
      <c r="L37" s="620"/>
      <c r="M37" s="526"/>
      <c r="N37" s="526"/>
      <c r="O37" s="526"/>
      <c r="P37" s="526"/>
      <c r="Q37" s="526"/>
      <c r="R37" s="526"/>
      <c r="S37" s="526"/>
      <c r="T37" s="526"/>
      <c r="U37" s="526"/>
      <c r="V37" s="526"/>
      <c r="W37" s="526"/>
      <c r="X37" s="526"/>
      <c r="Y37" s="526"/>
      <c r="Z37" s="526"/>
      <c r="AA37" s="526"/>
      <c r="AB37" s="526"/>
      <c r="AC37" s="526"/>
      <c r="AD37" s="526"/>
      <c r="AE37" s="526"/>
      <c r="AF37" s="526"/>
      <c r="AG37" s="526"/>
      <c r="AH37" s="526"/>
      <c r="AI37" s="526"/>
      <c r="AJ37" s="526"/>
      <c r="AK37" s="526"/>
      <c r="AL37" s="526"/>
      <c r="AM37" s="526"/>
      <c r="AN37" s="526"/>
      <c r="AO37" s="526"/>
      <c r="AP37" s="526"/>
      <c r="AQ37" s="526"/>
      <c r="AR37" s="526"/>
      <c r="AS37" s="526"/>
      <c r="AT37" s="526"/>
      <c r="AU37" s="526"/>
      <c r="AV37" s="526"/>
      <c r="AW37" s="526"/>
      <c r="AX37" s="526"/>
    </row>
    <row r="38" spans="1:50" ht="120" x14ac:dyDescent="0.45">
      <c r="A38" s="629" t="s">
        <v>11</v>
      </c>
      <c r="B38" s="627" t="s">
        <v>336</v>
      </c>
      <c r="C38" s="514" t="s">
        <v>903</v>
      </c>
      <c r="D38" s="630" t="s">
        <v>336</v>
      </c>
      <c r="E38" s="514" t="s">
        <v>904</v>
      </c>
      <c r="F38" s="630" t="s">
        <v>336</v>
      </c>
      <c r="G38" s="630" t="s">
        <v>336</v>
      </c>
      <c r="H38" s="630" t="s">
        <v>336</v>
      </c>
      <c r="I38" s="631" t="s">
        <v>336</v>
      </c>
      <c r="J38" s="620"/>
      <c r="K38" s="620"/>
      <c r="L38" s="620"/>
      <c r="M38" s="526"/>
      <c r="N38" s="526"/>
      <c r="O38" s="526"/>
      <c r="P38" s="526"/>
      <c r="Q38" s="526"/>
      <c r="R38" s="526"/>
      <c r="S38" s="526"/>
      <c r="T38" s="526"/>
      <c r="U38" s="526"/>
      <c r="V38" s="526"/>
      <c r="W38" s="526"/>
      <c r="X38" s="526"/>
      <c r="Y38" s="526"/>
      <c r="Z38" s="526"/>
      <c r="AA38" s="526"/>
      <c r="AB38" s="526"/>
      <c r="AC38" s="526"/>
      <c r="AD38" s="526"/>
      <c r="AE38" s="526"/>
      <c r="AF38" s="526"/>
      <c r="AG38" s="526"/>
      <c r="AH38" s="526"/>
      <c r="AI38" s="526"/>
      <c r="AJ38" s="526"/>
      <c r="AK38" s="526"/>
      <c r="AL38" s="526"/>
      <c r="AM38" s="526"/>
      <c r="AN38" s="526"/>
      <c r="AO38" s="526"/>
      <c r="AP38" s="526"/>
      <c r="AQ38" s="526"/>
      <c r="AR38" s="526"/>
      <c r="AS38" s="526"/>
      <c r="AT38" s="526"/>
      <c r="AU38" s="526"/>
      <c r="AV38" s="526"/>
      <c r="AW38" s="526"/>
      <c r="AX38" s="526"/>
    </row>
    <row r="39" spans="1:50" ht="48" x14ac:dyDescent="0.45">
      <c r="A39" s="629" t="s">
        <v>11</v>
      </c>
      <c r="B39" s="627" t="s">
        <v>336</v>
      </c>
      <c r="C39" s="514" t="s">
        <v>905</v>
      </c>
      <c r="D39" s="630" t="s">
        <v>336</v>
      </c>
      <c r="E39" s="514" t="s">
        <v>906</v>
      </c>
      <c r="F39" s="630" t="s">
        <v>336</v>
      </c>
      <c r="G39" s="630" t="s">
        <v>336</v>
      </c>
      <c r="H39" s="630" t="s">
        <v>336</v>
      </c>
      <c r="I39" s="631" t="s">
        <v>336</v>
      </c>
      <c r="J39" s="620"/>
      <c r="K39" s="620"/>
      <c r="L39" s="620"/>
      <c r="M39" s="526"/>
      <c r="N39" s="526"/>
      <c r="O39" s="526"/>
      <c r="P39" s="526"/>
      <c r="Q39" s="526"/>
      <c r="R39" s="526"/>
      <c r="S39" s="526"/>
      <c r="T39" s="526"/>
      <c r="U39" s="526"/>
      <c r="V39" s="526"/>
      <c r="W39" s="526"/>
      <c r="X39" s="526"/>
      <c r="Y39" s="526"/>
      <c r="Z39" s="526"/>
      <c r="AA39" s="526"/>
      <c r="AB39" s="526"/>
      <c r="AC39" s="526"/>
      <c r="AD39" s="526"/>
      <c r="AE39" s="526"/>
      <c r="AF39" s="526"/>
      <c r="AG39" s="526"/>
      <c r="AH39" s="526"/>
      <c r="AI39" s="526"/>
      <c r="AJ39" s="526"/>
      <c r="AK39" s="526"/>
      <c r="AL39" s="526"/>
      <c r="AM39" s="526"/>
      <c r="AN39" s="526"/>
      <c r="AO39" s="526"/>
      <c r="AP39" s="526"/>
      <c r="AQ39" s="526"/>
      <c r="AR39" s="526"/>
      <c r="AS39" s="526"/>
      <c r="AT39" s="526"/>
      <c r="AU39" s="526"/>
      <c r="AV39" s="526"/>
      <c r="AW39" s="526"/>
      <c r="AX39" s="526"/>
    </row>
    <row r="40" spans="1:50" ht="120" x14ac:dyDescent="0.45">
      <c r="A40" s="629" t="s">
        <v>136</v>
      </c>
      <c r="B40" s="627" t="s">
        <v>336</v>
      </c>
      <c r="C40" s="514" t="s">
        <v>840</v>
      </c>
      <c r="D40" s="630" t="s">
        <v>336</v>
      </c>
      <c r="E40" s="514" t="s">
        <v>907</v>
      </c>
      <c r="F40" s="630" t="s">
        <v>336</v>
      </c>
      <c r="G40" s="630" t="s">
        <v>336</v>
      </c>
      <c r="H40" s="630" t="s">
        <v>336</v>
      </c>
      <c r="I40" s="631" t="s">
        <v>336</v>
      </c>
      <c r="J40" s="620"/>
      <c r="K40" s="620"/>
      <c r="L40" s="620"/>
      <c r="M40" s="526"/>
      <c r="N40" s="526"/>
      <c r="O40" s="526"/>
      <c r="P40" s="526"/>
      <c r="Q40" s="526"/>
      <c r="R40" s="526"/>
      <c r="S40" s="526"/>
      <c r="T40" s="526"/>
      <c r="U40" s="526"/>
      <c r="V40" s="526"/>
      <c r="W40" s="526"/>
      <c r="X40" s="526"/>
      <c r="Y40" s="526"/>
      <c r="Z40" s="526"/>
      <c r="AA40" s="526"/>
      <c r="AB40" s="526"/>
      <c r="AC40" s="526"/>
      <c r="AD40" s="526"/>
      <c r="AE40" s="526"/>
      <c r="AF40" s="526"/>
      <c r="AG40" s="526"/>
      <c r="AH40" s="526"/>
      <c r="AI40" s="526"/>
      <c r="AJ40" s="526"/>
      <c r="AK40" s="526"/>
      <c r="AL40" s="526"/>
      <c r="AM40" s="526"/>
      <c r="AN40" s="526"/>
      <c r="AO40" s="526"/>
      <c r="AP40" s="526"/>
      <c r="AQ40" s="526"/>
      <c r="AR40" s="526"/>
      <c r="AS40" s="526"/>
      <c r="AT40" s="526"/>
      <c r="AU40" s="526"/>
      <c r="AV40" s="526"/>
      <c r="AW40" s="526"/>
      <c r="AX40" s="526"/>
    </row>
    <row r="41" spans="1:50" ht="168" x14ac:dyDescent="0.45">
      <c r="A41" s="629" t="s">
        <v>845</v>
      </c>
      <c r="B41" s="627" t="s">
        <v>336</v>
      </c>
      <c r="C41" s="514" t="s">
        <v>909</v>
      </c>
      <c r="D41" s="630" t="s">
        <v>336</v>
      </c>
      <c r="E41" s="514" t="s">
        <v>910</v>
      </c>
      <c r="F41" s="630" t="s">
        <v>336</v>
      </c>
      <c r="G41" s="630" t="s">
        <v>336</v>
      </c>
      <c r="H41" s="630" t="s">
        <v>336</v>
      </c>
      <c r="I41" s="631" t="s">
        <v>336</v>
      </c>
      <c r="J41" s="620"/>
      <c r="K41" s="620"/>
      <c r="L41" s="620"/>
      <c r="M41" s="526"/>
      <c r="N41" s="526"/>
      <c r="O41" s="526"/>
      <c r="P41" s="526"/>
      <c r="Q41" s="526"/>
      <c r="R41" s="526"/>
      <c r="S41" s="526"/>
      <c r="T41" s="526"/>
      <c r="U41" s="526"/>
      <c r="V41" s="526"/>
      <c r="W41" s="526"/>
      <c r="X41" s="526"/>
      <c r="Y41" s="526"/>
      <c r="Z41" s="526"/>
      <c r="AA41" s="526"/>
      <c r="AB41" s="526"/>
      <c r="AC41" s="526"/>
      <c r="AD41" s="526"/>
      <c r="AE41" s="526"/>
      <c r="AF41" s="526"/>
      <c r="AG41" s="526"/>
      <c r="AH41" s="526"/>
      <c r="AI41" s="526"/>
      <c r="AJ41" s="526"/>
      <c r="AK41" s="526"/>
      <c r="AL41" s="526"/>
      <c r="AM41" s="526"/>
      <c r="AN41" s="526"/>
      <c r="AO41" s="526"/>
      <c r="AP41" s="526"/>
      <c r="AQ41" s="526"/>
      <c r="AR41" s="526"/>
      <c r="AS41" s="526"/>
      <c r="AT41" s="526"/>
      <c r="AU41" s="526"/>
      <c r="AV41" s="526"/>
      <c r="AW41" s="526"/>
      <c r="AX41" s="526"/>
    </row>
    <row r="42" spans="1:50" ht="96" x14ac:dyDescent="0.45">
      <c r="A42" s="629" t="s">
        <v>189</v>
      </c>
      <c r="B42" s="627" t="s">
        <v>336</v>
      </c>
      <c r="C42" s="514" t="s">
        <v>911</v>
      </c>
      <c r="D42" s="630" t="s">
        <v>336</v>
      </c>
      <c r="E42" s="514" t="s">
        <v>912</v>
      </c>
      <c r="F42" s="630" t="s">
        <v>336</v>
      </c>
      <c r="G42" s="630" t="s">
        <v>336</v>
      </c>
      <c r="H42" s="630" t="s">
        <v>336</v>
      </c>
      <c r="I42" s="631" t="s">
        <v>336</v>
      </c>
      <c r="J42" s="620"/>
      <c r="K42" s="620"/>
      <c r="L42" s="620"/>
      <c r="M42" s="526"/>
      <c r="N42" s="526"/>
      <c r="O42" s="526"/>
      <c r="P42" s="526"/>
      <c r="Q42" s="526"/>
      <c r="R42" s="526"/>
      <c r="S42" s="526"/>
      <c r="T42" s="526"/>
      <c r="U42" s="526"/>
      <c r="V42" s="526"/>
      <c r="W42" s="526"/>
      <c r="X42" s="526"/>
      <c r="Y42" s="526"/>
      <c r="Z42" s="526"/>
      <c r="AA42" s="526"/>
      <c r="AB42" s="526"/>
      <c r="AC42" s="526"/>
      <c r="AD42" s="526"/>
      <c r="AE42" s="526"/>
      <c r="AF42" s="526"/>
      <c r="AG42" s="526"/>
      <c r="AH42" s="526"/>
      <c r="AI42" s="526"/>
      <c r="AJ42" s="526"/>
      <c r="AK42" s="526"/>
      <c r="AL42" s="526"/>
      <c r="AM42" s="526"/>
      <c r="AN42" s="526"/>
      <c r="AO42" s="526"/>
      <c r="AP42" s="526"/>
      <c r="AQ42" s="526"/>
      <c r="AR42" s="526"/>
      <c r="AS42" s="526"/>
      <c r="AT42" s="526"/>
      <c r="AU42" s="526"/>
      <c r="AV42" s="526"/>
      <c r="AW42" s="526"/>
      <c r="AX42" s="526"/>
    </row>
    <row r="43" spans="1:50" ht="24" x14ac:dyDescent="0.45">
      <c r="A43" s="628" t="s">
        <v>771</v>
      </c>
      <c r="B43" s="627" t="s">
        <v>336</v>
      </c>
      <c r="C43" s="756" t="s">
        <v>913</v>
      </c>
      <c r="D43" s="756"/>
      <c r="E43" s="756"/>
      <c r="F43" s="756"/>
      <c r="G43" s="756"/>
      <c r="H43" s="756"/>
      <c r="I43" s="757"/>
      <c r="J43" s="620"/>
      <c r="K43" s="620"/>
      <c r="L43" s="620"/>
      <c r="M43" s="526"/>
      <c r="N43" s="526"/>
      <c r="O43" s="526"/>
      <c r="P43" s="526"/>
      <c r="Q43" s="526"/>
      <c r="R43" s="526"/>
      <c r="S43" s="526"/>
      <c r="T43" s="526"/>
      <c r="U43" s="526"/>
      <c r="V43" s="526"/>
      <c r="W43" s="526"/>
      <c r="X43" s="526"/>
      <c r="Y43" s="526"/>
      <c r="Z43" s="526"/>
      <c r="AA43" s="526"/>
      <c r="AB43" s="526"/>
      <c r="AC43" s="526"/>
      <c r="AD43" s="526"/>
      <c r="AE43" s="526"/>
      <c r="AF43" s="526"/>
      <c r="AG43" s="526"/>
      <c r="AH43" s="526"/>
      <c r="AI43" s="526"/>
      <c r="AJ43" s="526"/>
      <c r="AK43" s="526"/>
      <c r="AL43" s="526"/>
      <c r="AM43" s="526"/>
      <c r="AN43" s="526"/>
      <c r="AO43" s="526"/>
      <c r="AP43" s="526"/>
      <c r="AQ43" s="526"/>
      <c r="AR43" s="526"/>
      <c r="AS43" s="526"/>
      <c r="AT43" s="526"/>
      <c r="AU43" s="526"/>
      <c r="AV43" s="526"/>
      <c r="AW43" s="526"/>
      <c r="AX43" s="526"/>
    </row>
    <row r="44" spans="1:50" ht="120" x14ac:dyDescent="0.45">
      <c r="A44" s="629" t="s">
        <v>825</v>
      </c>
      <c r="B44" s="627" t="s">
        <v>336</v>
      </c>
      <c r="C44" s="514" t="s">
        <v>826</v>
      </c>
      <c r="D44" s="630" t="s">
        <v>336</v>
      </c>
      <c r="E44" s="514" t="s">
        <v>914</v>
      </c>
      <c r="F44" s="630" t="s">
        <v>336</v>
      </c>
      <c r="G44" s="630" t="s">
        <v>336</v>
      </c>
      <c r="H44" s="630" t="s">
        <v>336</v>
      </c>
      <c r="I44" s="631" t="s">
        <v>336</v>
      </c>
      <c r="J44" s="620"/>
      <c r="K44" s="620"/>
      <c r="L44" s="620"/>
      <c r="M44" s="526"/>
      <c r="N44" s="526"/>
      <c r="O44" s="526"/>
      <c r="P44" s="526"/>
      <c r="Q44" s="526"/>
      <c r="R44" s="526"/>
      <c r="S44" s="526"/>
      <c r="T44" s="526"/>
      <c r="U44" s="526"/>
      <c r="V44" s="526"/>
      <c r="W44" s="526"/>
      <c r="X44" s="526"/>
      <c r="Y44" s="526"/>
      <c r="Z44" s="526"/>
      <c r="AA44" s="526"/>
      <c r="AB44" s="526"/>
      <c r="AC44" s="526"/>
      <c r="AD44" s="526"/>
      <c r="AE44" s="526"/>
      <c r="AF44" s="526"/>
      <c r="AG44" s="526"/>
      <c r="AH44" s="526"/>
      <c r="AI44" s="526"/>
      <c r="AJ44" s="526"/>
      <c r="AK44" s="526"/>
      <c r="AL44" s="526"/>
      <c r="AM44" s="526"/>
      <c r="AN44" s="526"/>
      <c r="AO44" s="526"/>
      <c r="AP44" s="526"/>
      <c r="AQ44" s="526"/>
      <c r="AR44" s="526"/>
      <c r="AS44" s="526"/>
      <c r="AT44" s="526"/>
      <c r="AU44" s="526"/>
      <c r="AV44" s="526"/>
      <c r="AW44" s="526"/>
      <c r="AX44" s="526"/>
    </row>
    <row r="45" spans="1:50" ht="96" x14ac:dyDescent="0.45">
      <c r="A45" s="629" t="s">
        <v>11</v>
      </c>
      <c r="B45" s="627" t="s">
        <v>336</v>
      </c>
      <c r="C45" s="514" t="s">
        <v>869</v>
      </c>
      <c r="D45" s="630" t="s">
        <v>336</v>
      </c>
      <c r="E45" s="514" t="s">
        <v>915</v>
      </c>
      <c r="F45" s="630" t="s">
        <v>336</v>
      </c>
      <c r="G45" s="630" t="s">
        <v>336</v>
      </c>
      <c r="H45" s="630" t="s">
        <v>336</v>
      </c>
      <c r="I45" s="631" t="s">
        <v>336</v>
      </c>
      <c r="J45" s="620"/>
      <c r="K45" s="620"/>
      <c r="L45" s="620"/>
      <c r="M45" s="526"/>
      <c r="N45" s="526"/>
      <c r="O45" s="526"/>
      <c r="P45" s="526"/>
      <c r="Q45" s="526"/>
      <c r="R45" s="526"/>
      <c r="S45" s="526"/>
      <c r="T45" s="526"/>
      <c r="U45" s="526"/>
      <c r="V45" s="526"/>
      <c r="W45" s="526"/>
      <c r="X45" s="526"/>
      <c r="Y45" s="526"/>
      <c r="Z45" s="526"/>
      <c r="AA45" s="526"/>
      <c r="AB45" s="526"/>
      <c r="AC45" s="526"/>
      <c r="AD45" s="526"/>
      <c r="AE45" s="526"/>
      <c r="AF45" s="526"/>
      <c r="AG45" s="526"/>
      <c r="AH45" s="526"/>
      <c r="AI45" s="526"/>
      <c r="AJ45" s="526"/>
      <c r="AK45" s="526"/>
      <c r="AL45" s="526"/>
      <c r="AM45" s="526"/>
      <c r="AN45" s="526"/>
      <c r="AO45" s="526"/>
      <c r="AP45" s="526"/>
      <c r="AQ45" s="526"/>
      <c r="AR45" s="526"/>
      <c r="AS45" s="526"/>
      <c r="AT45" s="526"/>
      <c r="AU45" s="526"/>
      <c r="AV45" s="526"/>
      <c r="AW45" s="526"/>
      <c r="AX45" s="526"/>
    </row>
    <row r="46" spans="1:50" ht="144" x14ac:dyDescent="0.45">
      <c r="A46" s="629" t="s">
        <v>45</v>
      </c>
      <c r="B46" s="627" t="s">
        <v>336</v>
      </c>
      <c r="C46" s="514" t="s">
        <v>916</v>
      </c>
      <c r="D46" s="630" t="s">
        <v>336</v>
      </c>
      <c r="E46" s="514" t="s">
        <v>917</v>
      </c>
      <c r="F46" s="630" t="s">
        <v>336</v>
      </c>
      <c r="G46" s="630" t="s">
        <v>336</v>
      </c>
      <c r="H46" s="630" t="s">
        <v>336</v>
      </c>
      <c r="I46" s="631" t="s">
        <v>336</v>
      </c>
      <c r="J46" s="620"/>
      <c r="K46" s="620"/>
      <c r="L46" s="620"/>
      <c r="M46" s="526"/>
      <c r="N46" s="526"/>
      <c r="O46" s="526"/>
      <c r="P46" s="526"/>
      <c r="Q46" s="526"/>
      <c r="R46" s="526"/>
      <c r="S46" s="526"/>
      <c r="T46" s="526"/>
      <c r="U46" s="526"/>
      <c r="V46" s="526"/>
      <c r="W46" s="526"/>
      <c r="X46" s="526"/>
      <c r="Y46" s="526"/>
      <c r="Z46" s="526"/>
      <c r="AA46" s="526"/>
      <c r="AB46" s="526"/>
      <c r="AC46" s="526"/>
      <c r="AD46" s="526"/>
      <c r="AE46" s="526"/>
      <c r="AF46" s="526"/>
      <c r="AG46" s="526"/>
      <c r="AH46" s="526"/>
      <c r="AI46" s="526"/>
      <c r="AJ46" s="526"/>
      <c r="AK46" s="526"/>
      <c r="AL46" s="526"/>
      <c r="AM46" s="526"/>
      <c r="AN46" s="526"/>
      <c r="AO46" s="526"/>
      <c r="AP46" s="526"/>
      <c r="AQ46" s="526"/>
      <c r="AR46" s="526"/>
      <c r="AS46" s="526"/>
      <c r="AT46" s="526"/>
      <c r="AU46" s="526"/>
      <c r="AV46" s="526"/>
      <c r="AW46" s="526"/>
      <c r="AX46" s="526"/>
    </row>
    <row r="47" spans="1:50" ht="288" x14ac:dyDescent="0.45">
      <c r="A47" s="629" t="s">
        <v>45</v>
      </c>
      <c r="B47" s="627" t="s">
        <v>336</v>
      </c>
      <c r="C47" s="514" t="s">
        <v>918</v>
      </c>
      <c r="D47" s="630" t="s">
        <v>336</v>
      </c>
      <c r="E47" s="514" t="s">
        <v>919</v>
      </c>
      <c r="F47" s="630" t="s">
        <v>336</v>
      </c>
      <c r="G47" s="630" t="s">
        <v>336</v>
      </c>
      <c r="H47" s="630" t="s">
        <v>336</v>
      </c>
      <c r="I47" s="631" t="s">
        <v>336</v>
      </c>
      <c r="J47" s="620"/>
      <c r="K47" s="620"/>
      <c r="L47" s="620"/>
      <c r="M47" s="526"/>
      <c r="N47" s="526"/>
      <c r="O47" s="526"/>
      <c r="P47" s="526"/>
      <c r="Q47" s="526"/>
      <c r="R47" s="526"/>
      <c r="S47" s="526"/>
      <c r="T47" s="526"/>
      <c r="U47" s="526"/>
      <c r="V47" s="526"/>
      <c r="W47" s="526"/>
      <c r="X47" s="526"/>
      <c r="Y47" s="526"/>
      <c r="Z47" s="526"/>
      <c r="AA47" s="526"/>
      <c r="AB47" s="526"/>
      <c r="AC47" s="526"/>
      <c r="AD47" s="526"/>
      <c r="AE47" s="526"/>
      <c r="AF47" s="526"/>
      <c r="AG47" s="526"/>
      <c r="AH47" s="526"/>
      <c r="AI47" s="526"/>
      <c r="AJ47" s="526"/>
      <c r="AK47" s="526"/>
      <c r="AL47" s="526"/>
      <c r="AM47" s="526"/>
      <c r="AN47" s="526"/>
      <c r="AO47" s="526"/>
      <c r="AP47" s="526"/>
      <c r="AQ47" s="526"/>
      <c r="AR47" s="526"/>
      <c r="AS47" s="526"/>
      <c r="AT47" s="526"/>
      <c r="AU47" s="526"/>
      <c r="AV47" s="526"/>
      <c r="AW47" s="526"/>
      <c r="AX47" s="526"/>
    </row>
    <row r="48" spans="1:50" ht="192" x14ac:dyDescent="0.45">
      <c r="A48" s="629" t="s">
        <v>45</v>
      </c>
      <c r="B48" s="627" t="s">
        <v>336</v>
      </c>
      <c r="C48" s="514" t="s">
        <v>921</v>
      </c>
      <c r="D48" s="630" t="s">
        <v>336</v>
      </c>
      <c r="E48" s="514" t="s">
        <v>922</v>
      </c>
      <c r="F48" s="630" t="s">
        <v>336</v>
      </c>
      <c r="G48" s="630" t="s">
        <v>336</v>
      </c>
      <c r="H48" s="630" t="s">
        <v>336</v>
      </c>
      <c r="I48" s="631" t="s">
        <v>336</v>
      </c>
      <c r="J48" s="620"/>
      <c r="K48" s="620"/>
      <c r="L48" s="620"/>
      <c r="M48" s="526"/>
      <c r="N48" s="526"/>
      <c r="O48" s="526"/>
      <c r="P48" s="526"/>
      <c r="Q48" s="526"/>
      <c r="R48" s="526"/>
      <c r="S48" s="526"/>
      <c r="T48" s="526"/>
      <c r="U48" s="526"/>
      <c r="V48" s="526"/>
      <c r="W48" s="526"/>
      <c r="X48" s="526"/>
      <c r="Y48" s="526"/>
      <c r="Z48" s="526"/>
      <c r="AA48" s="526"/>
      <c r="AB48" s="526"/>
      <c r="AC48" s="526"/>
      <c r="AD48" s="526"/>
      <c r="AE48" s="526"/>
      <c r="AF48" s="526"/>
      <c r="AG48" s="526"/>
      <c r="AH48" s="526"/>
      <c r="AI48" s="526"/>
      <c r="AJ48" s="526"/>
      <c r="AK48" s="526"/>
      <c r="AL48" s="526"/>
      <c r="AM48" s="526"/>
      <c r="AN48" s="526"/>
      <c r="AO48" s="526"/>
      <c r="AP48" s="526"/>
      <c r="AQ48" s="526"/>
      <c r="AR48" s="526"/>
      <c r="AS48" s="526"/>
      <c r="AT48" s="526"/>
      <c r="AU48" s="526"/>
      <c r="AV48" s="526"/>
      <c r="AW48" s="526"/>
      <c r="AX48" s="526"/>
    </row>
    <row r="49" spans="1:50" ht="192" x14ac:dyDescent="0.45">
      <c r="A49" s="629" t="s">
        <v>11</v>
      </c>
      <c r="B49" s="627" t="s">
        <v>336</v>
      </c>
      <c r="C49" s="514" t="s">
        <v>923</v>
      </c>
      <c r="D49" s="630" t="s">
        <v>336</v>
      </c>
      <c r="E49" s="514" t="s">
        <v>924</v>
      </c>
      <c r="F49" s="630" t="s">
        <v>336</v>
      </c>
      <c r="G49" s="630" t="s">
        <v>336</v>
      </c>
      <c r="H49" s="630" t="s">
        <v>336</v>
      </c>
      <c r="I49" s="631" t="s">
        <v>336</v>
      </c>
      <c r="J49" s="620"/>
      <c r="K49" s="620"/>
      <c r="L49" s="620"/>
      <c r="M49" s="526"/>
      <c r="N49" s="526"/>
      <c r="O49" s="526"/>
      <c r="P49" s="526"/>
      <c r="Q49" s="526"/>
      <c r="R49" s="526"/>
      <c r="S49" s="526"/>
      <c r="T49" s="526"/>
      <c r="U49" s="526"/>
      <c r="V49" s="526"/>
      <c r="W49" s="526"/>
      <c r="X49" s="526"/>
      <c r="Y49" s="526"/>
      <c r="Z49" s="526"/>
      <c r="AA49" s="526"/>
      <c r="AB49" s="526"/>
      <c r="AC49" s="526"/>
      <c r="AD49" s="526"/>
      <c r="AE49" s="526"/>
      <c r="AF49" s="526"/>
      <c r="AG49" s="526"/>
      <c r="AH49" s="526"/>
      <c r="AI49" s="526"/>
      <c r="AJ49" s="526"/>
      <c r="AK49" s="526"/>
      <c r="AL49" s="526"/>
      <c r="AM49" s="526"/>
      <c r="AN49" s="526"/>
      <c r="AO49" s="526"/>
      <c r="AP49" s="526"/>
      <c r="AQ49" s="526"/>
      <c r="AR49" s="526"/>
      <c r="AS49" s="526"/>
      <c r="AT49" s="526"/>
      <c r="AU49" s="526"/>
      <c r="AV49" s="526"/>
      <c r="AW49" s="526"/>
      <c r="AX49" s="526"/>
    </row>
    <row r="50" spans="1:50" ht="72" x14ac:dyDescent="0.45">
      <c r="A50" s="629" t="s">
        <v>136</v>
      </c>
      <c r="B50" s="627" t="s">
        <v>336</v>
      </c>
      <c r="C50" s="514" t="s">
        <v>840</v>
      </c>
      <c r="D50" s="630" t="s">
        <v>336</v>
      </c>
      <c r="E50" s="514" t="s">
        <v>925</v>
      </c>
      <c r="F50" s="630" t="s">
        <v>336</v>
      </c>
      <c r="G50" s="630" t="s">
        <v>336</v>
      </c>
      <c r="H50" s="630" t="s">
        <v>336</v>
      </c>
      <c r="I50" s="631" t="s">
        <v>336</v>
      </c>
      <c r="J50" s="620"/>
      <c r="K50" s="620"/>
      <c r="L50" s="620"/>
      <c r="M50" s="526"/>
      <c r="N50" s="526"/>
      <c r="O50" s="526"/>
      <c r="P50" s="526"/>
      <c r="Q50" s="526"/>
      <c r="R50" s="526"/>
      <c r="S50" s="526"/>
      <c r="T50" s="526"/>
      <c r="U50" s="526"/>
      <c r="V50" s="526"/>
      <c r="W50" s="526"/>
      <c r="X50" s="526"/>
      <c r="Y50" s="526"/>
      <c r="Z50" s="526"/>
      <c r="AA50" s="526"/>
      <c r="AB50" s="526"/>
      <c r="AC50" s="526"/>
      <c r="AD50" s="526"/>
      <c r="AE50" s="526"/>
      <c r="AF50" s="526"/>
      <c r="AG50" s="526"/>
      <c r="AH50" s="526"/>
      <c r="AI50" s="526"/>
      <c r="AJ50" s="526"/>
      <c r="AK50" s="526"/>
      <c r="AL50" s="526"/>
      <c r="AM50" s="526"/>
      <c r="AN50" s="526"/>
      <c r="AO50" s="526"/>
      <c r="AP50" s="526"/>
      <c r="AQ50" s="526"/>
      <c r="AR50" s="526"/>
      <c r="AS50" s="526"/>
      <c r="AT50" s="526"/>
      <c r="AU50" s="526"/>
      <c r="AV50" s="526"/>
      <c r="AW50" s="526"/>
      <c r="AX50" s="526"/>
    </row>
    <row r="51" spans="1:50" ht="216" x14ac:dyDescent="0.45">
      <c r="A51" s="629" t="s">
        <v>845</v>
      </c>
      <c r="B51" s="627" t="s">
        <v>336</v>
      </c>
      <c r="C51" s="514" t="s">
        <v>926</v>
      </c>
      <c r="D51" s="630" t="s">
        <v>336</v>
      </c>
      <c r="E51" s="514" t="s">
        <v>927</v>
      </c>
      <c r="F51" s="630" t="s">
        <v>336</v>
      </c>
      <c r="G51" s="630" t="s">
        <v>336</v>
      </c>
      <c r="H51" s="630" t="s">
        <v>336</v>
      </c>
      <c r="I51" s="631" t="s">
        <v>336</v>
      </c>
      <c r="J51" s="620"/>
      <c r="K51" s="620"/>
      <c r="L51" s="620"/>
      <c r="M51" s="526"/>
      <c r="N51" s="526"/>
      <c r="O51" s="526"/>
      <c r="P51" s="526"/>
      <c r="Q51" s="526"/>
      <c r="R51" s="526"/>
      <c r="S51" s="526"/>
      <c r="T51" s="526"/>
      <c r="U51" s="526"/>
      <c r="V51" s="526"/>
      <c r="W51" s="526"/>
      <c r="X51" s="526"/>
      <c r="Y51" s="526"/>
      <c r="Z51" s="526"/>
      <c r="AA51" s="526"/>
      <c r="AB51" s="526"/>
      <c r="AC51" s="526"/>
      <c r="AD51" s="526"/>
      <c r="AE51" s="526"/>
      <c r="AF51" s="526"/>
      <c r="AG51" s="526"/>
      <c r="AH51" s="526"/>
      <c r="AI51" s="526"/>
      <c r="AJ51" s="526"/>
      <c r="AK51" s="526"/>
      <c r="AL51" s="526"/>
      <c r="AM51" s="526"/>
      <c r="AN51" s="526"/>
      <c r="AO51" s="526"/>
      <c r="AP51" s="526"/>
      <c r="AQ51" s="526"/>
      <c r="AR51" s="526"/>
      <c r="AS51" s="526"/>
      <c r="AT51" s="526"/>
      <c r="AU51" s="526"/>
      <c r="AV51" s="526"/>
      <c r="AW51" s="526"/>
      <c r="AX51" s="526"/>
    </row>
    <row r="52" spans="1:50" ht="96" x14ac:dyDescent="0.45">
      <c r="A52" s="629" t="s">
        <v>189</v>
      </c>
      <c r="B52" s="627" t="s">
        <v>336</v>
      </c>
      <c r="C52" s="514" t="s">
        <v>866</v>
      </c>
      <c r="D52" s="630" t="s">
        <v>336</v>
      </c>
      <c r="E52" s="514" t="s">
        <v>901</v>
      </c>
      <c r="F52" s="630" t="s">
        <v>336</v>
      </c>
      <c r="G52" s="630" t="s">
        <v>336</v>
      </c>
      <c r="H52" s="630" t="s">
        <v>336</v>
      </c>
      <c r="I52" s="631" t="s">
        <v>336</v>
      </c>
      <c r="J52" s="620"/>
      <c r="K52" s="620"/>
      <c r="L52" s="620"/>
      <c r="M52" s="526"/>
      <c r="N52" s="526"/>
      <c r="O52" s="526"/>
      <c r="P52" s="526"/>
      <c r="Q52" s="526"/>
      <c r="R52" s="526"/>
      <c r="S52" s="526"/>
      <c r="T52" s="526"/>
      <c r="U52" s="526"/>
      <c r="V52" s="526"/>
      <c r="W52" s="526"/>
      <c r="X52" s="526"/>
      <c r="Y52" s="526"/>
      <c r="Z52" s="526"/>
      <c r="AA52" s="526"/>
      <c r="AB52" s="526"/>
      <c r="AC52" s="526"/>
      <c r="AD52" s="526"/>
      <c r="AE52" s="526"/>
      <c r="AF52" s="526"/>
      <c r="AG52" s="526"/>
      <c r="AH52" s="526"/>
      <c r="AI52" s="526"/>
      <c r="AJ52" s="526"/>
      <c r="AK52" s="526"/>
      <c r="AL52" s="526"/>
      <c r="AM52" s="526"/>
      <c r="AN52" s="526"/>
      <c r="AO52" s="526"/>
      <c r="AP52" s="526"/>
      <c r="AQ52" s="526"/>
      <c r="AR52" s="526"/>
      <c r="AS52" s="526"/>
      <c r="AT52" s="526"/>
      <c r="AU52" s="526"/>
      <c r="AV52" s="526"/>
      <c r="AW52" s="526"/>
      <c r="AX52" s="526"/>
    </row>
    <row r="53" spans="1:50" ht="24" x14ac:dyDescent="0.45">
      <c r="A53" s="628" t="s">
        <v>773</v>
      </c>
      <c r="B53" s="627" t="s">
        <v>336</v>
      </c>
      <c r="C53" s="756" t="s">
        <v>774</v>
      </c>
      <c r="D53" s="756"/>
      <c r="E53" s="756"/>
      <c r="F53" s="756"/>
      <c r="G53" s="756"/>
      <c r="H53" s="756"/>
      <c r="I53" s="757"/>
      <c r="J53" s="620"/>
      <c r="K53" s="620"/>
      <c r="L53" s="620"/>
      <c r="M53" s="526"/>
      <c r="N53" s="526"/>
      <c r="O53" s="526"/>
      <c r="P53" s="526"/>
      <c r="Q53" s="526"/>
      <c r="R53" s="526"/>
      <c r="S53" s="526"/>
      <c r="T53" s="526"/>
      <c r="U53" s="526"/>
      <c r="V53" s="526"/>
      <c r="W53" s="526"/>
      <c r="X53" s="526"/>
      <c r="Y53" s="526"/>
      <c r="Z53" s="526"/>
      <c r="AA53" s="526"/>
      <c r="AB53" s="526"/>
      <c r="AC53" s="526"/>
      <c r="AD53" s="526"/>
      <c r="AE53" s="526"/>
      <c r="AF53" s="526"/>
      <c r="AG53" s="526"/>
      <c r="AH53" s="526"/>
      <c r="AI53" s="526"/>
      <c r="AJ53" s="526"/>
      <c r="AK53" s="526"/>
      <c r="AL53" s="526"/>
      <c r="AM53" s="526"/>
      <c r="AN53" s="526"/>
      <c r="AO53" s="526"/>
      <c r="AP53" s="526"/>
      <c r="AQ53" s="526"/>
      <c r="AR53" s="526"/>
      <c r="AS53" s="526"/>
      <c r="AT53" s="526"/>
      <c r="AU53" s="526"/>
      <c r="AV53" s="526"/>
      <c r="AW53" s="526"/>
      <c r="AX53" s="526"/>
    </row>
    <row r="54" spans="1:50" ht="120" x14ac:dyDescent="0.45">
      <c r="A54" s="629" t="s">
        <v>825</v>
      </c>
      <c r="B54" s="627" t="s">
        <v>336</v>
      </c>
      <c r="C54" s="514" t="s">
        <v>826</v>
      </c>
      <c r="D54" s="630" t="s">
        <v>336</v>
      </c>
      <c r="E54" s="514" t="s">
        <v>914</v>
      </c>
      <c r="F54" s="630" t="s">
        <v>336</v>
      </c>
      <c r="G54" s="630" t="s">
        <v>336</v>
      </c>
      <c r="H54" s="630" t="s">
        <v>336</v>
      </c>
      <c r="I54" s="631" t="s">
        <v>336</v>
      </c>
      <c r="J54" s="620"/>
      <c r="K54" s="620"/>
      <c r="L54" s="620"/>
      <c r="M54" s="526"/>
      <c r="N54" s="526"/>
      <c r="O54" s="526"/>
      <c r="P54" s="526"/>
      <c r="Q54" s="526"/>
      <c r="R54" s="526"/>
      <c r="S54" s="526"/>
      <c r="T54" s="526"/>
      <c r="U54" s="526"/>
      <c r="V54" s="526"/>
      <c r="W54" s="526"/>
      <c r="X54" s="526"/>
      <c r="Y54" s="526"/>
      <c r="Z54" s="526"/>
      <c r="AA54" s="526"/>
      <c r="AB54" s="526"/>
      <c r="AC54" s="526"/>
      <c r="AD54" s="526"/>
      <c r="AE54" s="526"/>
      <c r="AF54" s="526"/>
      <c r="AG54" s="526"/>
      <c r="AH54" s="526"/>
      <c r="AI54" s="526"/>
      <c r="AJ54" s="526"/>
      <c r="AK54" s="526"/>
      <c r="AL54" s="526"/>
      <c r="AM54" s="526"/>
      <c r="AN54" s="526"/>
      <c r="AO54" s="526"/>
      <c r="AP54" s="526"/>
      <c r="AQ54" s="526"/>
      <c r="AR54" s="526"/>
      <c r="AS54" s="526"/>
      <c r="AT54" s="526"/>
      <c r="AU54" s="526"/>
      <c r="AV54" s="526"/>
      <c r="AW54" s="526"/>
      <c r="AX54" s="526"/>
    </row>
    <row r="55" spans="1:50" ht="96" x14ac:dyDescent="0.45">
      <c r="A55" s="629" t="s">
        <v>11</v>
      </c>
      <c r="B55" s="627" t="s">
        <v>336</v>
      </c>
      <c r="C55" s="514" t="s">
        <v>869</v>
      </c>
      <c r="D55" s="630" t="s">
        <v>336</v>
      </c>
      <c r="E55" s="514" t="s">
        <v>915</v>
      </c>
      <c r="F55" s="630" t="s">
        <v>336</v>
      </c>
      <c r="G55" s="630" t="s">
        <v>336</v>
      </c>
      <c r="H55" s="630" t="s">
        <v>336</v>
      </c>
      <c r="I55" s="631" t="s">
        <v>336</v>
      </c>
      <c r="J55" s="620"/>
      <c r="K55" s="620"/>
      <c r="L55" s="620"/>
      <c r="M55" s="526"/>
      <c r="N55" s="526"/>
      <c r="O55" s="526"/>
      <c r="P55" s="526"/>
      <c r="Q55" s="526"/>
      <c r="R55" s="526"/>
      <c r="S55" s="526"/>
      <c r="T55" s="526"/>
      <c r="U55" s="526"/>
      <c r="V55" s="526"/>
      <c r="W55" s="526"/>
      <c r="X55" s="526"/>
      <c r="Y55" s="526"/>
      <c r="Z55" s="526"/>
      <c r="AA55" s="526"/>
      <c r="AB55" s="526"/>
      <c r="AC55" s="526"/>
      <c r="AD55" s="526"/>
      <c r="AE55" s="526"/>
      <c r="AF55" s="526"/>
      <c r="AG55" s="526"/>
      <c r="AH55" s="526"/>
      <c r="AI55" s="526"/>
      <c r="AJ55" s="526"/>
      <c r="AK55" s="526"/>
      <c r="AL55" s="526"/>
      <c r="AM55" s="526"/>
      <c r="AN55" s="526"/>
      <c r="AO55" s="526"/>
      <c r="AP55" s="526"/>
      <c r="AQ55" s="526"/>
      <c r="AR55" s="526"/>
      <c r="AS55" s="526"/>
      <c r="AT55" s="526"/>
      <c r="AU55" s="526"/>
      <c r="AV55" s="526"/>
      <c r="AW55" s="526"/>
      <c r="AX55" s="526"/>
    </row>
    <row r="56" spans="1:50" ht="168" x14ac:dyDescent="0.45">
      <c r="A56" s="629" t="s">
        <v>45</v>
      </c>
      <c r="B56" s="627" t="s">
        <v>336</v>
      </c>
      <c r="C56" s="514" t="s">
        <v>929</v>
      </c>
      <c r="D56" s="630" t="s">
        <v>336</v>
      </c>
      <c r="E56" s="514" t="s">
        <v>930</v>
      </c>
      <c r="F56" s="630" t="s">
        <v>336</v>
      </c>
      <c r="G56" s="630" t="s">
        <v>336</v>
      </c>
      <c r="H56" s="630" t="s">
        <v>336</v>
      </c>
      <c r="I56" s="631" t="s">
        <v>336</v>
      </c>
      <c r="J56" s="620"/>
      <c r="K56" s="620"/>
      <c r="L56" s="620"/>
      <c r="M56" s="526"/>
      <c r="N56" s="526"/>
      <c r="O56" s="526"/>
      <c r="P56" s="526"/>
      <c r="Q56" s="526"/>
      <c r="R56" s="526"/>
      <c r="S56" s="526"/>
      <c r="T56" s="526"/>
      <c r="U56" s="526"/>
      <c r="V56" s="526"/>
      <c r="W56" s="526"/>
      <c r="X56" s="526"/>
      <c r="Y56" s="526"/>
      <c r="Z56" s="526"/>
      <c r="AA56" s="526"/>
      <c r="AB56" s="526"/>
      <c r="AC56" s="526"/>
      <c r="AD56" s="526"/>
      <c r="AE56" s="526"/>
      <c r="AF56" s="526"/>
      <c r="AG56" s="526"/>
      <c r="AH56" s="526"/>
      <c r="AI56" s="526"/>
      <c r="AJ56" s="526"/>
      <c r="AK56" s="526"/>
      <c r="AL56" s="526"/>
      <c r="AM56" s="526"/>
      <c r="AN56" s="526"/>
      <c r="AO56" s="526"/>
      <c r="AP56" s="526"/>
      <c r="AQ56" s="526"/>
      <c r="AR56" s="526"/>
      <c r="AS56" s="526"/>
      <c r="AT56" s="526"/>
      <c r="AU56" s="526"/>
      <c r="AV56" s="526"/>
      <c r="AW56" s="526"/>
      <c r="AX56" s="526"/>
    </row>
    <row r="57" spans="1:50" ht="144" x14ac:dyDescent="0.45">
      <c r="A57" s="629" t="s">
        <v>845</v>
      </c>
      <c r="B57" s="627" t="s">
        <v>336</v>
      </c>
      <c r="C57" s="514" t="s">
        <v>931</v>
      </c>
      <c r="D57" s="630" t="s">
        <v>336</v>
      </c>
      <c r="E57" s="514" t="s">
        <v>932</v>
      </c>
      <c r="F57" s="630" t="s">
        <v>336</v>
      </c>
      <c r="G57" s="630" t="s">
        <v>336</v>
      </c>
      <c r="H57" s="630" t="s">
        <v>336</v>
      </c>
      <c r="I57" s="631" t="s">
        <v>336</v>
      </c>
      <c r="J57" s="620"/>
      <c r="K57" s="620"/>
      <c r="L57" s="620"/>
      <c r="M57" s="526"/>
      <c r="N57" s="526"/>
      <c r="O57" s="526"/>
      <c r="P57" s="526"/>
      <c r="Q57" s="526"/>
      <c r="R57" s="526"/>
      <c r="S57" s="526"/>
      <c r="T57" s="526"/>
      <c r="U57" s="526"/>
      <c r="V57" s="526"/>
      <c r="W57" s="526"/>
      <c r="X57" s="526"/>
      <c r="Y57" s="526"/>
      <c r="Z57" s="526"/>
      <c r="AA57" s="526"/>
      <c r="AB57" s="526"/>
      <c r="AC57" s="526"/>
      <c r="AD57" s="526"/>
      <c r="AE57" s="526"/>
      <c r="AF57" s="526"/>
      <c r="AG57" s="526"/>
      <c r="AH57" s="526"/>
      <c r="AI57" s="526"/>
      <c r="AJ57" s="526"/>
      <c r="AK57" s="526"/>
      <c r="AL57" s="526"/>
      <c r="AM57" s="526"/>
      <c r="AN57" s="526"/>
      <c r="AO57" s="526"/>
      <c r="AP57" s="526"/>
      <c r="AQ57" s="526"/>
      <c r="AR57" s="526"/>
      <c r="AS57" s="526"/>
      <c r="AT57" s="526"/>
      <c r="AU57" s="526"/>
      <c r="AV57" s="526"/>
      <c r="AW57" s="526"/>
      <c r="AX57" s="526"/>
    </row>
    <row r="58" spans="1:50" ht="96" x14ac:dyDescent="0.45">
      <c r="A58" s="629" t="s">
        <v>189</v>
      </c>
      <c r="B58" s="627" t="s">
        <v>336</v>
      </c>
      <c r="C58" s="514" t="s">
        <v>933</v>
      </c>
      <c r="D58" s="630" t="s">
        <v>336</v>
      </c>
      <c r="E58" s="514" t="s">
        <v>934</v>
      </c>
      <c r="F58" s="630" t="s">
        <v>336</v>
      </c>
      <c r="G58" s="630" t="s">
        <v>336</v>
      </c>
      <c r="H58" s="630" t="s">
        <v>336</v>
      </c>
      <c r="I58" s="631" t="s">
        <v>336</v>
      </c>
      <c r="J58" s="620"/>
      <c r="K58" s="620"/>
      <c r="L58" s="620"/>
      <c r="M58" s="526"/>
      <c r="N58" s="526"/>
      <c r="O58" s="526"/>
      <c r="P58" s="526"/>
      <c r="Q58" s="526"/>
      <c r="R58" s="526"/>
      <c r="S58" s="526"/>
      <c r="T58" s="526"/>
      <c r="U58" s="526"/>
      <c r="V58" s="526"/>
      <c r="W58" s="526"/>
      <c r="X58" s="526"/>
      <c r="Y58" s="526"/>
      <c r="Z58" s="526"/>
      <c r="AA58" s="526"/>
      <c r="AB58" s="526"/>
      <c r="AC58" s="526"/>
      <c r="AD58" s="526"/>
      <c r="AE58" s="526"/>
      <c r="AF58" s="526"/>
      <c r="AG58" s="526"/>
      <c r="AH58" s="526"/>
      <c r="AI58" s="526"/>
      <c r="AJ58" s="526"/>
      <c r="AK58" s="526"/>
      <c r="AL58" s="526"/>
      <c r="AM58" s="526"/>
      <c r="AN58" s="526"/>
      <c r="AO58" s="526"/>
      <c r="AP58" s="526"/>
      <c r="AQ58" s="526"/>
      <c r="AR58" s="526"/>
      <c r="AS58" s="526"/>
      <c r="AT58" s="526"/>
      <c r="AU58" s="526"/>
      <c r="AV58" s="526"/>
      <c r="AW58" s="526"/>
      <c r="AX58" s="526"/>
    </row>
    <row r="59" spans="1:50" ht="120" x14ac:dyDescent="0.45">
      <c r="A59" s="629" t="s">
        <v>11</v>
      </c>
      <c r="B59" s="627" t="s">
        <v>336</v>
      </c>
      <c r="C59" s="514" t="s">
        <v>936</v>
      </c>
      <c r="D59" s="630" t="s">
        <v>336</v>
      </c>
      <c r="E59" s="514" t="s">
        <v>937</v>
      </c>
      <c r="F59" s="630" t="s">
        <v>336</v>
      </c>
      <c r="G59" s="630" t="s">
        <v>336</v>
      </c>
      <c r="H59" s="630" t="s">
        <v>336</v>
      </c>
      <c r="I59" s="631" t="s">
        <v>336</v>
      </c>
      <c r="J59" s="620"/>
      <c r="K59" s="620"/>
      <c r="L59" s="620"/>
      <c r="M59" s="526"/>
      <c r="N59" s="526"/>
      <c r="O59" s="526"/>
      <c r="P59" s="526"/>
      <c r="Q59" s="526"/>
      <c r="R59" s="526"/>
      <c r="S59" s="526"/>
      <c r="T59" s="526"/>
      <c r="U59" s="526"/>
      <c r="V59" s="526"/>
      <c r="W59" s="526"/>
      <c r="X59" s="526"/>
      <c r="Y59" s="526"/>
      <c r="Z59" s="526"/>
      <c r="AA59" s="526"/>
      <c r="AB59" s="526"/>
      <c r="AC59" s="526"/>
      <c r="AD59" s="526"/>
      <c r="AE59" s="526"/>
      <c r="AF59" s="526"/>
      <c r="AG59" s="526"/>
      <c r="AH59" s="526"/>
      <c r="AI59" s="526"/>
      <c r="AJ59" s="526"/>
      <c r="AK59" s="526"/>
      <c r="AL59" s="526"/>
      <c r="AM59" s="526"/>
      <c r="AN59" s="526"/>
      <c r="AO59" s="526"/>
      <c r="AP59" s="526"/>
      <c r="AQ59" s="526"/>
      <c r="AR59" s="526"/>
      <c r="AS59" s="526"/>
      <c r="AT59" s="526"/>
      <c r="AU59" s="526"/>
      <c r="AV59" s="526"/>
      <c r="AW59" s="526"/>
      <c r="AX59" s="526"/>
    </row>
    <row r="60" spans="1:50" ht="144" x14ac:dyDescent="0.45">
      <c r="A60" s="629" t="s">
        <v>45</v>
      </c>
      <c r="B60" s="627" t="s">
        <v>336</v>
      </c>
      <c r="C60" s="514" t="s">
        <v>835</v>
      </c>
      <c r="D60" s="630" t="s">
        <v>336</v>
      </c>
      <c r="E60" s="514" t="s">
        <v>938</v>
      </c>
      <c r="F60" s="630" t="s">
        <v>336</v>
      </c>
      <c r="G60" s="630" t="s">
        <v>336</v>
      </c>
      <c r="H60" s="630" t="s">
        <v>336</v>
      </c>
      <c r="I60" s="631" t="s">
        <v>336</v>
      </c>
      <c r="J60" s="620"/>
      <c r="K60" s="620"/>
      <c r="L60" s="620"/>
      <c r="M60" s="526"/>
      <c r="N60" s="526"/>
      <c r="O60" s="526"/>
      <c r="P60" s="526"/>
      <c r="Q60" s="526"/>
      <c r="R60" s="526"/>
      <c r="S60" s="526"/>
      <c r="T60" s="526"/>
      <c r="U60" s="526"/>
      <c r="V60" s="526"/>
      <c r="W60" s="526"/>
      <c r="X60" s="526"/>
      <c r="Y60" s="526"/>
      <c r="Z60" s="526"/>
      <c r="AA60" s="526"/>
      <c r="AB60" s="526"/>
      <c r="AC60" s="526"/>
      <c r="AD60" s="526"/>
      <c r="AE60" s="526"/>
      <c r="AF60" s="526"/>
      <c r="AG60" s="526"/>
      <c r="AH60" s="526"/>
      <c r="AI60" s="526"/>
      <c r="AJ60" s="526"/>
      <c r="AK60" s="526"/>
      <c r="AL60" s="526"/>
      <c r="AM60" s="526"/>
      <c r="AN60" s="526"/>
      <c r="AO60" s="526"/>
      <c r="AP60" s="526"/>
      <c r="AQ60" s="526"/>
      <c r="AR60" s="526"/>
      <c r="AS60" s="526"/>
      <c r="AT60" s="526"/>
      <c r="AU60" s="526"/>
      <c r="AV60" s="526"/>
      <c r="AW60" s="526"/>
      <c r="AX60" s="526"/>
    </row>
    <row r="61" spans="1:50" ht="72" x14ac:dyDescent="0.45">
      <c r="A61" s="629" t="s">
        <v>136</v>
      </c>
      <c r="B61" s="627" t="s">
        <v>336</v>
      </c>
      <c r="C61" s="514" t="s">
        <v>840</v>
      </c>
      <c r="D61" s="630" t="s">
        <v>336</v>
      </c>
      <c r="E61" s="514" t="s">
        <v>925</v>
      </c>
      <c r="F61" s="630" t="s">
        <v>336</v>
      </c>
      <c r="G61" s="630" t="s">
        <v>336</v>
      </c>
      <c r="H61" s="630" t="s">
        <v>336</v>
      </c>
      <c r="I61" s="631" t="s">
        <v>336</v>
      </c>
      <c r="J61" s="620"/>
      <c r="K61" s="620"/>
      <c r="L61" s="620"/>
      <c r="M61" s="526"/>
      <c r="N61" s="526"/>
      <c r="O61" s="526"/>
      <c r="P61" s="526"/>
      <c r="Q61" s="526"/>
      <c r="R61" s="526"/>
      <c r="S61" s="526"/>
      <c r="T61" s="526"/>
      <c r="U61" s="526"/>
      <c r="V61" s="526"/>
      <c r="W61" s="526"/>
      <c r="X61" s="526"/>
      <c r="Y61" s="526"/>
      <c r="Z61" s="526"/>
      <c r="AA61" s="526"/>
      <c r="AB61" s="526"/>
      <c r="AC61" s="526"/>
      <c r="AD61" s="526"/>
      <c r="AE61" s="526"/>
      <c r="AF61" s="526"/>
      <c r="AG61" s="526"/>
      <c r="AH61" s="526"/>
      <c r="AI61" s="526"/>
      <c r="AJ61" s="526"/>
      <c r="AK61" s="526"/>
      <c r="AL61" s="526"/>
      <c r="AM61" s="526"/>
      <c r="AN61" s="526"/>
      <c r="AO61" s="526"/>
      <c r="AP61" s="526"/>
      <c r="AQ61" s="526"/>
      <c r="AR61" s="526"/>
      <c r="AS61" s="526"/>
      <c r="AT61" s="526"/>
      <c r="AU61" s="526"/>
      <c r="AV61" s="526"/>
      <c r="AW61" s="526"/>
      <c r="AX61" s="526"/>
    </row>
    <row r="62" spans="1:50" ht="144" x14ac:dyDescent="0.45">
      <c r="A62" s="629" t="s">
        <v>845</v>
      </c>
      <c r="B62" s="627" t="s">
        <v>336</v>
      </c>
      <c r="C62" s="514" t="s">
        <v>939</v>
      </c>
      <c r="D62" s="630" t="s">
        <v>336</v>
      </c>
      <c r="E62" s="514" t="s">
        <v>940</v>
      </c>
      <c r="F62" s="630" t="s">
        <v>336</v>
      </c>
      <c r="G62" s="630" t="s">
        <v>336</v>
      </c>
      <c r="H62" s="630" t="s">
        <v>336</v>
      </c>
      <c r="I62" s="631" t="s">
        <v>336</v>
      </c>
      <c r="J62" s="620"/>
      <c r="K62" s="620"/>
      <c r="L62" s="620"/>
      <c r="M62" s="526"/>
      <c r="N62" s="526"/>
      <c r="O62" s="526"/>
      <c r="P62" s="526"/>
      <c r="Q62" s="526"/>
      <c r="R62" s="526"/>
      <c r="S62" s="526"/>
      <c r="T62" s="526"/>
      <c r="U62" s="526"/>
      <c r="V62" s="526"/>
      <c r="W62" s="526"/>
      <c r="X62" s="526"/>
      <c r="Y62" s="526"/>
      <c r="Z62" s="526"/>
      <c r="AA62" s="526"/>
      <c r="AB62" s="526"/>
      <c r="AC62" s="526"/>
      <c r="AD62" s="526"/>
      <c r="AE62" s="526"/>
      <c r="AF62" s="526"/>
      <c r="AG62" s="526"/>
      <c r="AH62" s="526"/>
      <c r="AI62" s="526"/>
      <c r="AJ62" s="526"/>
      <c r="AK62" s="526"/>
      <c r="AL62" s="526"/>
      <c r="AM62" s="526"/>
      <c r="AN62" s="526"/>
      <c r="AO62" s="526"/>
      <c r="AP62" s="526"/>
      <c r="AQ62" s="526"/>
      <c r="AR62" s="526"/>
      <c r="AS62" s="526"/>
      <c r="AT62" s="526"/>
      <c r="AU62" s="526"/>
      <c r="AV62" s="526"/>
      <c r="AW62" s="526"/>
      <c r="AX62" s="526"/>
    </row>
    <row r="63" spans="1:50" ht="48" x14ac:dyDescent="0.45">
      <c r="A63" s="629" t="s">
        <v>189</v>
      </c>
      <c r="B63" s="627" t="s">
        <v>336</v>
      </c>
      <c r="C63" s="514" t="s">
        <v>941</v>
      </c>
      <c r="D63" s="630" t="s">
        <v>336</v>
      </c>
      <c r="E63" s="514" t="s">
        <v>942</v>
      </c>
      <c r="F63" s="630" t="s">
        <v>336</v>
      </c>
      <c r="G63" s="630" t="s">
        <v>336</v>
      </c>
      <c r="H63" s="630" t="s">
        <v>336</v>
      </c>
      <c r="I63" s="631" t="s">
        <v>336</v>
      </c>
      <c r="J63" s="620"/>
      <c r="K63" s="620"/>
      <c r="L63" s="620"/>
      <c r="M63" s="526"/>
      <c r="N63" s="526"/>
      <c r="O63" s="526"/>
      <c r="P63" s="526"/>
      <c r="Q63" s="526"/>
      <c r="R63" s="526"/>
      <c r="S63" s="526"/>
      <c r="T63" s="526"/>
      <c r="U63" s="526"/>
      <c r="V63" s="526"/>
      <c r="W63" s="526"/>
      <c r="X63" s="526"/>
      <c r="Y63" s="526"/>
      <c r="Z63" s="526"/>
      <c r="AA63" s="526"/>
      <c r="AB63" s="526"/>
      <c r="AC63" s="526"/>
      <c r="AD63" s="526"/>
      <c r="AE63" s="526"/>
      <c r="AF63" s="526"/>
      <c r="AG63" s="526"/>
      <c r="AH63" s="526"/>
      <c r="AI63" s="526"/>
      <c r="AJ63" s="526"/>
      <c r="AK63" s="526"/>
      <c r="AL63" s="526"/>
      <c r="AM63" s="526"/>
      <c r="AN63" s="526"/>
      <c r="AO63" s="526"/>
      <c r="AP63" s="526"/>
      <c r="AQ63" s="526"/>
      <c r="AR63" s="526"/>
      <c r="AS63" s="526"/>
      <c r="AT63" s="526"/>
      <c r="AU63" s="526"/>
      <c r="AV63" s="526"/>
      <c r="AW63" s="526"/>
      <c r="AX63" s="526"/>
    </row>
    <row r="64" spans="1:50" ht="24" x14ac:dyDescent="0.45">
      <c r="A64" s="628" t="s">
        <v>775</v>
      </c>
      <c r="B64" s="627" t="s">
        <v>336</v>
      </c>
      <c r="C64" s="756" t="s">
        <v>943</v>
      </c>
      <c r="D64" s="756"/>
      <c r="E64" s="756"/>
      <c r="F64" s="756"/>
      <c r="G64" s="756"/>
      <c r="H64" s="756"/>
      <c r="I64" s="757"/>
      <c r="J64" s="620"/>
      <c r="K64" s="620"/>
      <c r="L64" s="620"/>
      <c r="M64" s="526"/>
      <c r="N64" s="526"/>
      <c r="O64" s="526"/>
      <c r="P64" s="526"/>
      <c r="Q64" s="526"/>
      <c r="R64" s="526"/>
      <c r="S64" s="526"/>
      <c r="T64" s="526"/>
      <c r="U64" s="526"/>
      <c r="V64" s="526"/>
      <c r="W64" s="526"/>
      <c r="X64" s="526"/>
      <c r="Y64" s="526"/>
      <c r="Z64" s="526"/>
      <c r="AA64" s="526"/>
      <c r="AB64" s="526"/>
      <c r="AC64" s="526"/>
      <c r="AD64" s="526"/>
      <c r="AE64" s="526"/>
      <c r="AF64" s="526"/>
      <c r="AG64" s="526"/>
      <c r="AH64" s="526"/>
      <c r="AI64" s="526"/>
      <c r="AJ64" s="526"/>
      <c r="AK64" s="526"/>
      <c r="AL64" s="526"/>
      <c r="AM64" s="526"/>
      <c r="AN64" s="526"/>
      <c r="AO64" s="526"/>
      <c r="AP64" s="526"/>
      <c r="AQ64" s="526"/>
      <c r="AR64" s="526"/>
      <c r="AS64" s="526"/>
      <c r="AT64" s="526"/>
      <c r="AU64" s="526"/>
      <c r="AV64" s="526"/>
      <c r="AW64" s="526"/>
      <c r="AX64" s="526"/>
    </row>
    <row r="65" spans="1:50" ht="120" x14ac:dyDescent="0.45">
      <c r="A65" s="629" t="s">
        <v>825</v>
      </c>
      <c r="B65" s="627" t="s">
        <v>336</v>
      </c>
      <c r="C65" s="514" t="s">
        <v>826</v>
      </c>
      <c r="D65" s="630" t="s">
        <v>336</v>
      </c>
      <c r="E65" s="514" t="s">
        <v>914</v>
      </c>
      <c r="F65" s="630" t="s">
        <v>336</v>
      </c>
      <c r="G65" s="630" t="s">
        <v>336</v>
      </c>
      <c r="H65" s="630" t="s">
        <v>336</v>
      </c>
      <c r="I65" s="631" t="s">
        <v>336</v>
      </c>
      <c r="J65" s="620"/>
      <c r="K65" s="620"/>
      <c r="L65" s="620"/>
      <c r="M65" s="526"/>
      <c r="N65" s="526"/>
      <c r="O65" s="526"/>
      <c r="P65" s="526"/>
      <c r="Q65" s="526"/>
      <c r="R65" s="526"/>
      <c r="S65" s="526"/>
      <c r="T65" s="526"/>
      <c r="U65" s="526"/>
      <c r="V65" s="526"/>
      <c r="W65" s="526"/>
      <c r="X65" s="526"/>
      <c r="Y65" s="526"/>
      <c r="Z65" s="526"/>
      <c r="AA65" s="526"/>
      <c r="AB65" s="526"/>
      <c r="AC65" s="526"/>
      <c r="AD65" s="526"/>
      <c r="AE65" s="526"/>
      <c r="AF65" s="526"/>
      <c r="AG65" s="526"/>
      <c r="AH65" s="526"/>
      <c r="AI65" s="526"/>
      <c r="AJ65" s="526"/>
      <c r="AK65" s="526"/>
      <c r="AL65" s="526"/>
      <c r="AM65" s="526"/>
      <c r="AN65" s="526"/>
      <c r="AO65" s="526"/>
      <c r="AP65" s="526"/>
      <c r="AQ65" s="526"/>
      <c r="AR65" s="526"/>
      <c r="AS65" s="526"/>
      <c r="AT65" s="526"/>
      <c r="AU65" s="526"/>
      <c r="AV65" s="526"/>
      <c r="AW65" s="526"/>
      <c r="AX65" s="526"/>
    </row>
    <row r="66" spans="1:50" ht="96" x14ac:dyDescent="0.45">
      <c r="A66" s="629" t="s">
        <v>11</v>
      </c>
      <c r="B66" s="627" t="s">
        <v>336</v>
      </c>
      <c r="C66" s="514" t="s">
        <v>869</v>
      </c>
      <c r="D66" s="630" t="s">
        <v>336</v>
      </c>
      <c r="E66" s="514" t="s">
        <v>915</v>
      </c>
      <c r="F66" s="630" t="s">
        <v>336</v>
      </c>
      <c r="G66" s="630" t="s">
        <v>336</v>
      </c>
      <c r="H66" s="630" t="s">
        <v>336</v>
      </c>
      <c r="I66" s="631" t="s">
        <v>336</v>
      </c>
      <c r="J66" s="620"/>
      <c r="K66" s="620"/>
      <c r="L66" s="620"/>
      <c r="M66" s="526"/>
      <c r="N66" s="526"/>
      <c r="O66" s="526"/>
      <c r="P66" s="526"/>
      <c r="Q66" s="526"/>
      <c r="R66" s="526"/>
      <c r="S66" s="526"/>
      <c r="T66" s="526"/>
      <c r="U66" s="526"/>
      <c r="V66" s="526"/>
      <c r="W66" s="526"/>
      <c r="X66" s="526"/>
      <c r="Y66" s="526"/>
      <c r="Z66" s="526"/>
      <c r="AA66" s="526"/>
      <c r="AB66" s="526"/>
      <c r="AC66" s="526"/>
      <c r="AD66" s="526"/>
      <c r="AE66" s="526"/>
      <c r="AF66" s="526"/>
      <c r="AG66" s="526"/>
      <c r="AH66" s="526"/>
      <c r="AI66" s="526"/>
      <c r="AJ66" s="526"/>
      <c r="AK66" s="526"/>
      <c r="AL66" s="526"/>
      <c r="AM66" s="526"/>
      <c r="AN66" s="526"/>
      <c r="AO66" s="526"/>
      <c r="AP66" s="526"/>
      <c r="AQ66" s="526"/>
      <c r="AR66" s="526"/>
      <c r="AS66" s="526"/>
      <c r="AT66" s="526"/>
      <c r="AU66" s="526"/>
      <c r="AV66" s="526"/>
      <c r="AW66" s="526"/>
      <c r="AX66" s="526"/>
    </row>
    <row r="67" spans="1:50" ht="264" x14ac:dyDescent="0.45">
      <c r="A67" s="629" t="s">
        <v>45</v>
      </c>
      <c r="B67" s="627" t="s">
        <v>336</v>
      </c>
      <c r="C67" s="514" t="s">
        <v>944</v>
      </c>
      <c r="D67" s="630" t="s">
        <v>336</v>
      </c>
      <c r="E67" s="514" t="s">
        <v>945</v>
      </c>
      <c r="F67" s="630" t="s">
        <v>336</v>
      </c>
      <c r="G67" s="630" t="s">
        <v>336</v>
      </c>
      <c r="H67" s="630" t="s">
        <v>336</v>
      </c>
      <c r="I67" s="631" t="s">
        <v>336</v>
      </c>
      <c r="J67" s="620"/>
      <c r="K67" s="620"/>
      <c r="L67" s="620"/>
      <c r="M67" s="526"/>
      <c r="N67" s="526"/>
      <c r="O67" s="526"/>
      <c r="P67" s="526"/>
      <c r="Q67" s="526"/>
      <c r="R67" s="526"/>
      <c r="S67" s="526"/>
      <c r="T67" s="526"/>
      <c r="U67" s="526"/>
      <c r="V67" s="526"/>
      <c r="W67" s="526"/>
      <c r="X67" s="526"/>
      <c r="Y67" s="526"/>
      <c r="Z67" s="526"/>
      <c r="AA67" s="526"/>
      <c r="AB67" s="526"/>
      <c r="AC67" s="526"/>
      <c r="AD67" s="526"/>
      <c r="AE67" s="526"/>
      <c r="AF67" s="526"/>
      <c r="AG67" s="526"/>
      <c r="AH67" s="526"/>
      <c r="AI67" s="526"/>
      <c r="AJ67" s="526"/>
      <c r="AK67" s="526"/>
      <c r="AL67" s="526"/>
      <c r="AM67" s="526"/>
      <c r="AN67" s="526"/>
      <c r="AO67" s="526"/>
      <c r="AP67" s="526"/>
      <c r="AQ67" s="526"/>
      <c r="AR67" s="526"/>
      <c r="AS67" s="526"/>
      <c r="AT67" s="526"/>
      <c r="AU67" s="526"/>
      <c r="AV67" s="526"/>
      <c r="AW67" s="526"/>
      <c r="AX67" s="526"/>
    </row>
    <row r="68" spans="1:50" ht="120" x14ac:dyDescent="0.45">
      <c r="A68" s="629" t="s">
        <v>11</v>
      </c>
      <c r="B68" s="627" t="s">
        <v>336</v>
      </c>
      <c r="C68" s="514" t="s">
        <v>947</v>
      </c>
      <c r="D68" s="630" t="s">
        <v>336</v>
      </c>
      <c r="E68" s="514" t="s">
        <v>948</v>
      </c>
      <c r="F68" s="630" t="s">
        <v>336</v>
      </c>
      <c r="G68" s="630" t="s">
        <v>336</v>
      </c>
      <c r="H68" s="630" t="s">
        <v>336</v>
      </c>
      <c r="I68" s="631" t="s">
        <v>336</v>
      </c>
      <c r="J68" s="620"/>
      <c r="K68" s="620"/>
      <c r="L68" s="620"/>
      <c r="M68" s="526"/>
      <c r="N68" s="526"/>
      <c r="O68" s="526"/>
      <c r="P68" s="526"/>
      <c r="Q68" s="526"/>
      <c r="R68" s="526"/>
      <c r="S68" s="526"/>
      <c r="T68" s="526"/>
      <c r="U68" s="526"/>
      <c r="V68" s="526"/>
      <c r="W68" s="526"/>
      <c r="X68" s="526"/>
      <c r="Y68" s="526"/>
      <c r="Z68" s="526"/>
      <c r="AA68" s="526"/>
      <c r="AB68" s="526"/>
      <c r="AC68" s="526"/>
      <c r="AD68" s="526"/>
      <c r="AE68" s="526"/>
      <c r="AF68" s="526"/>
      <c r="AG68" s="526"/>
      <c r="AH68" s="526"/>
      <c r="AI68" s="526"/>
      <c r="AJ68" s="526"/>
      <c r="AK68" s="526"/>
      <c r="AL68" s="526"/>
      <c r="AM68" s="526"/>
      <c r="AN68" s="526"/>
      <c r="AO68" s="526"/>
      <c r="AP68" s="526"/>
      <c r="AQ68" s="526"/>
      <c r="AR68" s="526"/>
      <c r="AS68" s="526"/>
      <c r="AT68" s="526"/>
      <c r="AU68" s="526"/>
      <c r="AV68" s="526"/>
      <c r="AW68" s="526"/>
      <c r="AX68" s="526"/>
    </row>
    <row r="69" spans="1:50" ht="168" x14ac:dyDescent="0.45">
      <c r="A69" s="629" t="s">
        <v>45</v>
      </c>
      <c r="B69" s="627" t="s">
        <v>336</v>
      </c>
      <c r="C69" s="514" t="s">
        <v>949</v>
      </c>
      <c r="D69" s="630" t="s">
        <v>336</v>
      </c>
      <c r="E69" s="514" t="s">
        <v>950</v>
      </c>
      <c r="F69" s="630" t="s">
        <v>336</v>
      </c>
      <c r="G69" s="630" t="s">
        <v>336</v>
      </c>
      <c r="H69" s="630" t="s">
        <v>336</v>
      </c>
      <c r="I69" s="631" t="s">
        <v>336</v>
      </c>
      <c r="J69" s="620"/>
      <c r="K69" s="620"/>
      <c r="L69" s="620"/>
      <c r="M69" s="526"/>
      <c r="N69" s="526"/>
      <c r="O69" s="526"/>
      <c r="P69" s="526"/>
      <c r="Q69" s="526"/>
      <c r="R69" s="526"/>
      <c r="S69" s="526"/>
      <c r="T69" s="526"/>
      <c r="U69" s="526"/>
      <c r="V69" s="526"/>
      <c r="W69" s="526"/>
      <c r="X69" s="526"/>
      <c r="Y69" s="526"/>
      <c r="Z69" s="526"/>
      <c r="AA69" s="526"/>
      <c r="AB69" s="526"/>
      <c r="AC69" s="526"/>
      <c r="AD69" s="526"/>
      <c r="AE69" s="526"/>
      <c r="AF69" s="526"/>
      <c r="AG69" s="526"/>
      <c r="AH69" s="526"/>
      <c r="AI69" s="526"/>
      <c r="AJ69" s="526"/>
      <c r="AK69" s="526"/>
      <c r="AL69" s="526"/>
      <c r="AM69" s="526"/>
      <c r="AN69" s="526"/>
      <c r="AO69" s="526"/>
      <c r="AP69" s="526"/>
      <c r="AQ69" s="526"/>
      <c r="AR69" s="526"/>
      <c r="AS69" s="526"/>
      <c r="AT69" s="526"/>
      <c r="AU69" s="526"/>
      <c r="AV69" s="526"/>
      <c r="AW69" s="526"/>
      <c r="AX69" s="526"/>
    </row>
    <row r="70" spans="1:50" ht="72" x14ac:dyDescent="0.45">
      <c r="A70" s="629" t="s">
        <v>136</v>
      </c>
      <c r="B70" s="627" t="s">
        <v>336</v>
      </c>
      <c r="C70" s="514" t="s">
        <v>840</v>
      </c>
      <c r="D70" s="630" t="s">
        <v>336</v>
      </c>
      <c r="E70" s="514" t="s">
        <v>925</v>
      </c>
      <c r="F70" s="630" t="s">
        <v>336</v>
      </c>
      <c r="G70" s="630" t="s">
        <v>336</v>
      </c>
      <c r="H70" s="630" t="s">
        <v>336</v>
      </c>
      <c r="I70" s="631" t="s">
        <v>336</v>
      </c>
      <c r="J70" s="620"/>
      <c r="K70" s="620"/>
      <c r="L70" s="620"/>
      <c r="M70" s="526"/>
      <c r="N70" s="526"/>
      <c r="O70" s="526"/>
      <c r="P70" s="526"/>
      <c r="Q70" s="526"/>
      <c r="R70" s="526"/>
      <c r="S70" s="526"/>
      <c r="T70" s="526"/>
      <c r="U70" s="526"/>
      <c r="V70" s="526"/>
      <c r="W70" s="526"/>
      <c r="X70" s="526"/>
      <c r="Y70" s="526"/>
      <c r="Z70" s="526"/>
      <c r="AA70" s="526"/>
      <c r="AB70" s="526"/>
      <c r="AC70" s="526"/>
      <c r="AD70" s="526"/>
      <c r="AE70" s="526"/>
      <c r="AF70" s="526"/>
      <c r="AG70" s="526"/>
      <c r="AH70" s="526"/>
      <c r="AI70" s="526"/>
      <c r="AJ70" s="526"/>
      <c r="AK70" s="526"/>
      <c r="AL70" s="526"/>
      <c r="AM70" s="526"/>
      <c r="AN70" s="526"/>
      <c r="AO70" s="526"/>
      <c r="AP70" s="526"/>
      <c r="AQ70" s="526"/>
      <c r="AR70" s="526"/>
      <c r="AS70" s="526"/>
      <c r="AT70" s="526"/>
      <c r="AU70" s="526"/>
      <c r="AV70" s="526"/>
      <c r="AW70" s="526"/>
      <c r="AX70" s="526"/>
    </row>
    <row r="71" spans="1:50" ht="216" x14ac:dyDescent="0.45">
      <c r="A71" s="629" t="s">
        <v>845</v>
      </c>
      <c r="B71" s="627" t="s">
        <v>336</v>
      </c>
      <c r="C71" s="514" t="s">
        <v>952</v>
      </c>
      <c r="D71" s="630" t="s">
        <v>336</v>
      </c>
      <c r="E71" s="514" t="s">
        <v>953</v>
      </c>
      <c r="F71" s="630" t="s">
        <v>336</v>
      </c>
      <c r="G71" s="630" t="s">
        <v>336</v>
      </c>
      <c r="H71" s="630" t="s">
        <v>336</v>
      </c>
      <c r="I71" s="631" t="s">
        <v>336</v>
      </c>
      <c r="J71" s="620"/>
      <c r="K71" s="620"/>
      <c r="L71" s="620"/>
      <c r="M71" s="526"/>
      <c r="N71" s="526"/>
      <c r="O71" s="526"/>
      <c r="P71" s="526"/>
      <c r="Q71" s="526"/>
      <c r="R71" s="526"/>
      <c r="S71" s="526"/>
      <c r="T71" s="526"/>
      <c r="U71" s="526"/>
      <c r="V71" s="526"/>
      <c r="W71" s="526"/>
      <c r="X71" s="526"/>
      <c r="Y71" s="526"/>
      <c r="Z71" s="526"/>
      <c r="AA71" s="526"/>
      <c r="AB71" s="526"/>
      <c r="AC71" s="526"/>
      <c r="AD71" s="526"/>
      <c r="AE71" s="526"/>
      <c r="AF71" s="526"/>
      <c r="AG71" s="526"/>
      <c r="AH71" s="526"/>
      <c r="AI71" s="526"/>
      <c r="AJ71" s="526"/>
      <c r="AK71" s="526"/>
      <c r="AL71" s="526"/>
      <c r="AM71" s="526"/>
      <c r="AN71" s="526"/>
      <c r="AO71" s="526"/>
      <c r="AP71" s="526"/>
      <c r="AQ71" s="526"/>
      <c r="AR71" s="526"/>
      <c r="AS71" s="526"/>
      <c r="AT71" s="526"/>
      <c r="AU71" s="526"/>
      <c r="AV71" s="526"/>
      <c r="AW71" s="526"/>
      <c r="AX71" s="526"/>
    </row>
    <row r="72" spans="1:50" ht="24" x14ac:dyDescent="0.45">
      <c r="A72" s="628" t="s">
        <v>777</v>
      </c>
      <c r="B72" s="627" t="s">
        <v>336</v>
      </c>
      <c r="C72" s="756" t="s">
        <v>778</v>
      </c>
      <c r="D72" s="756"/>
      <c r="E72" s="756"/>
      <c r="F72" s="756"/>
      <c r="G72" s="756"/>
      <c r="H72" s="756"/>
      <c r="I72" s="757"/>
      <c r="J72" s="620"/>
      <c r="K72" s="620"/>
      <c r="L72" s="620"/>
      <c r="M72" s="526"/>
      <c r="N72" s="526"/>
      <c r="O72" s="526"/>
      <c r="P72" s="526"/>
      <c r="Q72" s="526"/>
      <c r="R72" s="526"/>
      <c r="S72" s="526"/>
      <c r="T72" s="526"/>
      <c r="U72" s="526"/>
      <c r="V72" s="526"/>
      <c r="W72" s="526"/>
      <c r="X72" s="526"/>
      <c r="Y72" s="526"/>
      <c r="Z72" s="526"/>
      <c r="AA72" s="526"/>
      <c r="AB72" s="526"/>
      <c r="AC72" s="526"/>
      <c r="AD72" s="526"/>
      <c r="AE72" s="526"/>
      <c r="AF72" s="526"/>
      <c r="AG72" s="526"/>
      <c r="AH72" s="526"/>
      <c r="AI72" s="526"/>
      <c r="AJ72" s="526"/>
      <c r="AK72" s="526"/>
      <c r="AL72" s="526"/>
      <c r="AM72" s="526"/>
      <c r="AN72" s="526"/>
      <c r="AO72" s="526"/>
      <c r="AP72" s="526"/>
      <c r="AQ72" s="526"/>
      <c r="AR72" s="526"/>
      <c r="AS72" s="526"/>
      <c r="AT72" s="526"/>
      <c r="AU72" s="526"/>
      <c r="AV72" s="526"/>
      <c r="AW72" s="526"/>
      <c r="AX72" s="526"/>
    </row>
    <row r="73" spans="1:50" ht="120" x14ac:dyDescent="0.45">
      <c r="A73" s="629" t="s">
        <v>825</v>
      </c>
      <c r="B73" s="627" t="s">
        <v>336</v>
      </c>
      <c r="C73" s="514" t="s">
        <v>826</v>
      </c>
      <c r="D73" s="630" t="s">
        <v>336</v>
      </c>
      <c r="E73" s="514" t="s">
        <v>914</v>
      </c>
      <c r="F73" s="630" t="s">
        <v>336</v>
      </c>
      <c r="G73" s="630" t="s">
        <v>336</v>
      </c>
      <c r="H73" s="630" t="s">
        <v>336</v>
      </c>
      <c r="I73" s="631" t="s">
        <v>336</v>
      </c>
      <c r="J73" s="620"/>
      <c r="K73" s="620"/>
      <c r="L73" s="620"/>
      <c r="M73" s="526"/>
      <c r="N73" s="526"/>
      <c r="O73" s="526"/>
      <c r="P73" s="526"/>
      <c r="Q73" s="526"/>
      <c r="R73" s="526"/>
      <c r="S73" s="526"/>
      <c r="T73" s="526"/>
      <c r="U73" s="526"/>
      <c r="V73" s="526"/>
      <c r="W73" s="526"/>
      <c r="X73" s="526"/>
      <c r="Y73" s="526"/>
      <c r="Z73" s="526"/>
      <c r="AA73" s="526"/>
      <c r="AB73" s="526"/>
      <c r="AC73" s="526"/>
      <c r="AD73" s="526"/>
      <c r="AE73" s="526"/>
      <c r="AF73" s="526"/>
      <c r="AG73" s="526"/>
      <c r="AH73" s="526"/>
      <c r="AI73" s="526"/>
      <c r="AJ73" s="526"/>
      <c r="AK73" s="526"/>
      <c r="AL73" s="526"/>
      <c r="AM73" s="526"/>
      <c r="AN73" s="526"/>
      <c r="AO73" s="526"/>
      <c r="AP73" s="526"/>
      <c r="AQ73" s="526"/>
      <c r="AR73" s="526"/>
      <c r="AS73" s="526"/>
      <c r="AT73" s="526"/>
      <c r="AU73" s="526"/>
      <c r="AV73" s="526"/>
      <c r="AW73" s="526"/>
      <c r="AX73" s="526"/>
    </row>
    <row r="74" spans="1:50" ht="96" x14ac:dyDescent="0.45">
      <c r="A74" s="629" t="s">
        <v>11</v>
      </c>
      <c r="B74" s="627" t="s">
        <v>336</v>
      </c>
      <c r="C74" s="514" t="s">
        <v>869</v>
      </c>
      <c r="D74" s="630" t="s">
        <v>336</v>
      </c>
      <c r="E74" s="514" t="s">
        <v>915</v>
      </c>
      <c r="F74" s="630" t="s">
        <v>336</v>
      </c>
      <c r="G74" s="630" t="s">
        <v>336</v>
      </c>
      <c r="H74" s="630" t="s">
        <v>336</v>
      </c>
      <c r="I74" s="631" t="s">
        <v>336</v>
      </c>
      <c r="J74" s="620"/>
      <c r="K74" s="620"/>
      <c r="L74" s="620"/>
      <c r="M74" s="526"/>
      <c r="N74" s="526"/>
      <c r="O74" s="526"/>
      <c r="P74" s="526"/>
      <c r="Q74" s="526"/>
      <c r="R74" s="526"/>
      <c r="S74" s="526"/>
      <c r="T74" s="526"/>
      <c r="U74" s="526"/>
      <c r="V74" s="526"/>
      <c r="W74" s="526"/>
      <c r="X74" s="526"/>
      <c r="Y74" s="526"/>
      <c r="Z74" s="526"/>
      <c r="AA74" s="526"/>
      <c r="AB74" s="526"/>
      <c r="AC74" s="526"/>
      <c r="AD74" s="526"/>
      <c r="AE74" s="526"/>
      <c r="AF74" s="526"/>
      <c r="AG74" s="526"/>
      <c r="AH74" s="526"/>
      <c r="AI74" s="526"/>
      <c r="AJ74" s="526"/>
      <c r="AK74" s="526"/>
      <c r="AL74" s="526"/>
      <c r="AM74" s="526"/>
      <c r="AN74" s="526"/>
      <c r="AO74" s="526"/>
      <c r="AP74" s="526"/>
      <c r="AQ74" s="526"/>
      <c r="AR74" s="526"/>
      <c r="AS74" s="526"/>
      <c r="AT74" s="526"/>
      <c r="AU74" s="526"/>
      <c r="AV74" s="526"/>
      <c r="AW74" s="526"/>
      <c r="AX74" s="526"/>
    </row>
    <row r="75" spans="1:50" ht="264" x14ac:dyDescent="0.45">
      <c r="A75" s="629" t="s">
        <v>45</v>
      </c>
      <c r="B75" s="627" t="s">
        <v>336</v>
      </c>
      <c r="C75" s="514" t="s">
        <v>955</v>
      </c>
      <c r="D75" s="630" t="s">
        <v>336</v>
      </c>
      <c r="E75" s="514" t="s">
        <v>956</v>
      </c>
      <c r="F75" s="630" t="s">
        <v>336</v>
      </c>
      <c r="G75" s="630" t="s">
        <v>336</v>
      </c>
      <c r="H75" s="630" t="s">
        <v>336</v>
      </c>
      <c r="I75" s="631" t="s">
        <v>336</v>
      </c>
      <c r="J75" s="620"/>
      <c r="K75" s="620"/>
      <c r="L75" s="620"/>
      <c r="M75" s="526"/>
      <c r="N75" s="526"/>
      <c r="O75" s="526"/>
      <c r="P75" s="526"/>
      <c r="Q75" s="526"/>
      <c r="R75" s="526"/>
      <c r="S75" s="526"/>
      <c r="T75" s="526"/>
      <c r="U75" s="526"/>
      <c r="V75" s="526"/>
      <c r="W75" s="526"/>
      <c r="X75" s="526"/>
      <c r="Y75" s="526"/>
      <c r="Z75" s="526"/>
      <c r="AA75" s="526"/>
      <c r="AB75" s="526"/>
      <c r="AC75" s="526"/>
      <c r="AD75" s="526"/>
      <c r="AE75" s="526"/>
      <c r="AF75" s="526"/>
      <c r="AG75" s="526"/>
      <c r="AH75" s="526"/>
      <c r="AI75" s="526"/>
      <c r="AJ75" s="526"/>
      <c r="AK75" s="526"/>
      <c r="AL75" s="526"/>
      <c r="AM75" s="526"/>
      <c r="AN75" s="526"/>
      <c r="AO75" s="526"/>
      <c r="AP75" s="526"/>
      <c r="AQ75" s="526"/>
      <c r="AR75" s="526"/>
      <c r="AS75" s="526"/>
      <c r="AT75" s="526"/>
      <c r="AU75" s="526"/>
      <c r="AV75" s="526"/>
      <c r="AW75" s="526"/>
      <c r="AX75" s="526"/>
    </row>
    <row r="76" spans="1:50" ht="168" x14ac:dyDescent="0.45">
      <c r="A76" s="629" t="s">
        <v>189</v>
      </c>
      <c r="B76" s="627" t="s">
        <v>336</v>
      </c>
      <c r="C76" s="514" t="s">
        <v>957</v>
      </c>
      <c r="D76" s="630" t="s">
        <v>336</v>
      </c>
      <c r="E76" s="514" t="s">
        <v>958</v>
      </c>
      <c r="F76" s="630" t="s">
        <v>336</v>
      </c>
      <c r="G76" s="630" t="s">
        <v>336</v>
      </c>
      <c r="H76" s="630" t="s">
        <v>336</v>
      </c>
      <c r="I76" s="631" t="s">
        <v>336</v>
      </c>
      <c r="J76" s="620"/>
      <c r="K76" s="620"/>
      <c r="L76" s="620"/>
      <c r="M76" s="526"/>
      <c r="N76" s="526"/>
      <c r="O76" s="526"/>
      <c r="P76" s="526"/>
      <c r="Q76" s="526"/>
      <c r="R76" s="526"/>
      <c r="S76" s="526"/>
      <c r="T76" s="526"/>
      <c r="U76" s="526"/>
      <c r="V76" s="526"/>
      <c r="W76" s="526"/>
      <c r="X76" s="526"/>
      <c r="Y76" s="526"/>
      <c r="Z76" s="526"/>
      <c r="AA76" s="526"/>
      <c r="AB76" s="526"/>
      <c r="AC76" s="526"/>
      <c r="AD76" s="526"/>
      <c r="AE76" s="526"/>
      <c r="AF76" s="526"/>
      <c r="AG76" s="526"/>
      <c r="AH76" s="526"/>
      <c r="AI76" s="526"/>
      <c r="AJ76" s="526"/>
      <c r="AK76" s="526"/>
      <c r="AL76" s="526"/>
      <c r="AM76" s="526"/>
      <c r="AN76" s="526"/>
      <c r="AO76" s="526"/>
      <c r="AP76" s="526"/>
      <c r="AQ76" s="526"/>
      <c r="AR76" s="526"/>
      <c r="AS76" s="526"/>
      <c r="AT76" s="526"/>
      <c r="AU76" s="526"/>
      <c r="AV76" s="526"/>
      <c r="AW76" s="526"/>
      <c r="AX76" s="526"/>
    </row>
    <row r="77" spans="1:50" ht="96" x14ac:dyDescent="0.45">
      <c r="A77" s="629" t="s">
        <v>136</v>
      </c>
      <c r="B77" s="627" t="s">
        <v>336</v>
      </c>
      <c r="C77" s="514" t="s">
        <v>840</v>
      </c>
      <c r="D77" s="630" t="s">
        <v>336</v>
      </c>
      <c r="E77" s="514" t="s">
        <v>959</v>
      </c>
      <c r="F77" s="630" t="s">
        <v>336</v>
      </c>
      <c r="G77" s="630" t="s">
        <v>336</v>
      </c>
      <c r="H77" s="630" t="s">
        <v>336</v>
      </c>
      <c r="I77" s="631" t="s">
        <v>336</v>
      </c>
      <c r="J77" s="620"/>
      <c r="K77" s="620"/>
      <c r="L77" s="620"/>
      <c r="M77" s="526"/>
      <c r="N77" s="526"/>
      <c r="O77" s="526"/>
      <c r="P77" s="526"/>
      <c r="Q77" s="526"/>
      <c r="R77" s="526"/>
      <c r="S77" s="526"/>
      <c r="T77" s="526"/>
      <c r="U77" s="526"/>
      <c r="V77" s="526"/>
      <c r="W77" s="526"/>
      <c r="X77" s="526"/>
      <c r="Y77" s="526"/>
      <c r="Z77" s="526"/>
      <c r="AA77" s="526"/>
      <c r="AB77" s="526"/>
      <c r="AC77" s="526"/>
      <c r="AD77" s="526"/>
      <c r="AE77" s="526"/>
      <c r="AF77" s="526"/>
      <c r="AG77" s="526"/>
      <c r="AH77" s="526"/>
      <c r="AI77" s="526"/>
      <c r="AJ77" s="526"/>
      <c r="AK77" s="526"/>
      <c r="AL77" s="526"/>
      <c r="AM77" s="526"/>
      <c r="AN77" s="526"/>
      <c r="AO77" s="526"/>
      <c r="AP77" s="526"/>
      <c r="AQ77" s="526"/>
      <c r="AR77" s="526"/>
      <c r="AS77" s="526"/>
      <c r="AT77" s="526"/>
      <c r="AU77" s="526"/>
      <c r="AV77" s="526"/>
      <c r="AW77" s="526"/>
      <c r="AX77" s="526"/>
    </row>
    <row r="78" spans="1:50" ht="144" x14ac:dyDescent="0.45">
      <c r="A78" s="629" t="s">
        <v>845</v>
      </c>
      <c r="B78" s="627" t="s">
        <v>336</v>
      </c>
      <c r="C78" s="514" t="s">
        <v>880</v>
      </c>
      <c r="D78" s="630" t="s">
        <v>336</v>
      </c>
      <c r="E78" s="514" t="s">
        <v>960</v>
      </c>
      <c r="F78" s="630" t="s">
        <v>336</v>
      </c>
      <c r="G78" s="630" t="s">
        <v>336</v>
      </c>
      <c r="H78" s="630" t="s">
        <v>336</v>
      </c>
      <c r="I78" s="631" t="s">
        <v>336</v>
      </c>
      <c r="J78" s="620"/>
      <c r="K78" s="620"/>
      <c r="L78" s="620"/>
      <c r="M78" s="526"/>
      <c r="N78" s="526"/>
      <c r="O78" s="526"/>
      <c r="P78" s="526"/>
      <c r="Q78" s="526"/>
      <c r="R78" s="526"/>
      <c r="S78" s="526"/>
      <c r="T78" s="526"/>
      <c r="U78" s="526"/>
      <c r="V78" s="526"/>
      <c r="W78" s="526"/>
      <c r="X78" s="526"/>
      <c r="Y78" s="526"/>
      <c r="Z78" s="526"/>
      <c r="AA78" s="526"/>
      <c r="AB78" s="526"/>
      <c r="AC78" s="526"/>
      <c r="AD78" s="526"/>
      <c r="AE78" s="526"/>
      <c r="AF78" s="526"/>
      <c r="AG78" s="526"/>
      <c r="AH78" s="526"/>
      <c r="AI78" s="526"/>
      <c r="AJ78" s="526"/>
      <c r="AK78" s="526"/>
      <c r="AL78" s="526"/>
      <c r="AM78" s="526"/>
      <c r="AN78" s="526"/>
      <c r="AO78" s="526"/>
      <c r="AP78" s="526"/>
      <c r="AQ78" s="526"/>
      <c r="AR78" s="526"/>
      <c r="AS78" s="526"/>
      <c r="AT78" s="526"/>
      <c r="AU78" s="526"/>
      <c r="AV78" s="526"/>
      <c r="AW78" s="526"/>
      <c r="AX78" s="526"/>
    </row>
    <row r="79" spans="1:50" ht="24" x14ac:dyDescent="0.45">
      <c r="A79" s="628" t="s">
        <v>780</v>
      </c>
      <c r="B79" s="627" t="s">
        <v>336</v>
      </c>
      <c r="C79" s="756" t="s">
        <v>781</v>
      </c>
      <c r="D79" s="756"/>
      <c r="E79" s="756"/>
      <c r="F79" s="756"/>
      <c r="G79" s="756"/>
      <c r="H79" s="756"/>
      <c r="I79" s="757"/>
      <c r="J79" s="620"/>
      <c r="K79" s="620"/>
      <c r="L79" s="620"/>
      <c r="M79" s="526"/>
      <c r="N79" s="526"/>
      <c r="O79" s="526"/>
      <c r="P79" s="526"/>
      <c r="Q79" s="526"/>
      <c r="R79" s="526"/>
      <c r="S79" s="526"/>
      <c r="T79" s="526"/>
      <c r="U79" s="526"/>
      <c r="V79" s="526"/>
      <c r="W79" s="526"/>
      <c r="X79" s="526"/>
      <c r="Y79" s="526"/>
      <c r="Z79" s="526"/>
      <c r="AA79" s="526"/>
      <c r="AB79" s="526"/>
      <c r="AC79" s="526"/>
      <c r="AD79" s="526"/>
      <c r="AE79" s="526"/>
      <c r="AF79" s="526"/>
      <c r="AG79" s="526"/>
      <c r="AH79" s="526"/>
      <c r="AI79" s="526"/>
      <c r="AJ79" s="526"/>
      <c r="AK79" s="526"/>
      <c r="AL79" s="526"/>
      <c r="AM79" s="526"/>
      <c r="AN79" s="526"/>
      <c r="AO79" s="526"/>
      <c r="AP79" s="526"/>
      <c r="AQ79" s="526"/>
      <c r="AR79" s="526"/>
      <c r="AS79" s="526"/>
      <c r="AT79" s="526"/>
      <c r="AU79" s="526"/>
      <c r="AV79" s="526"/>
      <c r="AW79" s="526"/>
      <c r="AX79" s="526"/>
    </row>
    <row r="80" spans="1:50" ht="144" x14ac:dyDescent="0.45">
      <c r="A80" s="629" t="s">
        <v>825</v>
      </c>
      <c r="B80" s="627" t="s">
        <v>336</v>
      </c>
      <c r="C80" s="514" t="s">
        <v>961</v>
      </c>
      <c r="D80" s="630" t="s">
        <v>336</v>
      </c>
      <c r="E80" s="514" t="s">
        <v>962</v>
      </c>
      <c r="F80" s="630" t="s">
        <v>336</v>
      </c>
      <c r="G80" s="630" t="s">
        <v>336</v>
      </c>
      <c r="H80" s="630" t="s">
        <v>336</v>
      </c>
      <c r="I80" s="631" t="s">
        <v>336</v>
      </c>
      <c r="J80" s="620"/>
      <c r="K80" s="620"/>
      <c r="L80" s="620"/>
      <c r="M80" s="526"/>
      <c r="N80" s="526"/>
      <c r="O80" s="526"/>
      <c r="P80" s="526"/>
      <c r="Q80" s="526"/>
      <c r="R80" s="526"/>
      <c r="S80" s="526"/>
      <c r="T80" s="526"/>
      <c r="U80" s="526"/>
      <c r="V80" s="526"/>
      <c r="W80" s="526"/>
      <c r="X80" s="526"/>
      <c r="Y80" s="526"/>
      <c r="Z80" s="526"/>
      <c r="AA80" s="526"/>
      <c r="AB80" s="526"/>
      <c r="AC80" s="526"/>
      <c r="AD80" s="526"/>
      <c r="AE80" s="526"/>
      <c r="AF80" s="526"/>
      <c r="AG80" s="526"/>
      <c r="AH80" s="526"/>
      <c r="AI80" s="526"/>
      <c r="AJ80" s="526"/>
      <c r="AK80" s="526"/>
      <c r="AL80" s="526"/>
      <c r="AM80" s="526"/>
      <c r="AN80" s="526"/>
      <c r="AO80" s="526"/>
      <c r="AP80" s="526"/>
      <c r="AQ80" s="526"/>
      <c r="AR80" s="526"/>
      <c r="AS80" s="526"/>
      <c r="AT80" s="526"/>
      <c r="AU80" s="526"/>
      <c r="AV80" s="526"/>
      <c r="AW80" s="526"/>
      <c r="AX80" s="526"/>
    </row>
    <row r="81" spans="1:50" ht="96" x14ac:dyDescent="0.45">
      <c r="A81" s="629" t="s">
        <v>11</v>
      </c>
      <c r="B81" s="627" t="s">
        <v>336</v>
      </c>
      <c r="C81" s="514" t="s">
        <v>963</v>
      </c>
      <c r="D81" s="630" t="s">
        <v>336</v>
      </c>
      <c r="E81" s="514" t="s">
        <v>964</v>
      </c>
      <c r="F81" s="630" t="s">
        <v>336</v>
      </c>
      <c r="G81" s="630" t="s">
        <v>336</v>
      </c>
      <c r="H81" s="630" t="s">
        <v>336</v>
      </c>
      <c r="I81" s="631" t="s">
        <v>336</v>
      </c>
      <c r="J81" s="620"/>
      <c r="K81" s="620"/>
      <c r="L81" s="620"/>
      <c r="M81" s="526"/>
      <c r="N81" s="526"/>
      <c r="O81" s="526"/>
      <c r="P81" s="526"/>
      <c r="Q81" s="526"/>
      <c r="R81" s="526"/>
      <c r="S81" s="526"/>
      <c r="T81" s="526"/>
      <c r="U81" s="526"/>
      <c r="V81" s="526"/>
      <c r="W81" s="526"/>
      <c r="X81" s="526"/>
      <c r="Y81" s="526"/>
      <c r="Z81" s="526"/>
      <c r="AA81" s="526"/>
      <c r="AB81" s="526"/>
      <c r="AC81" s="526"/>
      <c r="AD81" s="526"/>
      <c r="AE81" s="526"/>
      <c r="AF81" s="526"/>
      <c r="AG81" s="526"/>
      <c r="AH81" s="526"/>
      <c r="AI81" s="526"/>
      <c r="AJ81" s="526"/>
      <c r="AK81" s="526"/>
      <c r="AL81" s="526"/>
      <c r="AM81" s="526"/>
      <c r="AN81" s="526"/>
      <c r="AO81" s="526"/>
      <c r="AP81" s="526"/>
      <c r="AQ81" s="526"/>
      <c r="AR81" s="526"/>
      <c r="AS81" s="526"/>
      <c r="AT81" s="526"/>
      <c r="AU81" s="526"/>
      <c r="AV81" s="526"/>
      <c r="AW81" s="526"/>
      <c r="AX81" s="526"/>
    </row>
    <row r="82" spans="1:50" ht="168" x14ac:dyDescent="0.45">
      <c r="A82" s="629" t="s">
        <v>11</v>
      </c>
      <c r="B82" s="627" t="s">
        <v>336</v>
      </c>
      <c r="C82" s="514" t="s">
        <v>965</v>
      </c>
      <c r="D82" s="630" t="s">
        <v>336</v>
      </c>
      <c r="E82" s="514" t="s">
        <v>966</v>
      </c>
      <c r="F82" s="630" t="s">
        <v>336</v>
      </c>
      <c r="G82" s="630" t="s">
        <v>336</v>
      </c>
      <c r="H82" s="630" t="s">
        <v>336</v>
      </c>
      <c r="I82" s="631" t="s">
        <v>336</v>
      </c>
      <c r="J82" s="620"/>
      <c r="K82" s="620"/>
      <c r="L82" s="620"/>
      <c r="M82" s="526"/>
      <c r="N82" s="526"/>
      <c r="O82" s="526"/>
      <c r="P82" s="526"/>
      <c r="Q82" s="526"/>
      <c r="R82" s="526"/>
      <c r="S82" s="526"/>
      <c r="T82" s="526"/>
      <c r="U82" s="526"/>
      <c r="V82" s="526"/>
      <c r="W82" s="526"/>
      <c r="X82" s="526"/>
      <c r="Y82" s="526"/>
      <c r="Z82" s="526"/>
      <c r="AA82" s="526"/>
      <c r="AB82" s="526"/>
      <c r="AC82" s="526"/>
      <c r="AD82" s="526"/>
      <c r="AE82" s="526"/>
      <c r="AF82" s="526"/>
      <c r="AG82" s="526"/>
      <c r="AH82" s="526"/>
      <c r="AI82" s="526"/>
      <c r="AJ82" s="526"/>
      <c r="AK82" s="526"/>
      <c r="AL82" s="526"/>
      <c r="AM82" s="526"/>
      <c r="AN82" s="526"/>
      <c r="AO82" s="526"/>
      <c r="AP82" s="526"/>
      <c r="AQ82" s="526"/>
      <c r="AR82" s="526"/>
      <c r="AS82" s="526"/>
      <c r="AT82" s="526"/>
      <c r="AU82" s="526"/>
      <c r="AV82" s="526"/>
      <c r="AW82" s="526"/>
      <c r="AX82" s="526"/>
    </row>
    <row r="83" spans="1:50" ht="264" x14ac:dyDescent="0.45">
      <c r="A83" s="629" t="s">
        <v>11</v>
      </c>
      <c r="B83" s="627" t="s">
        <v>336</v>
      </c>
      <c r="C83" s="514" t="s">
        <v>967</v>
      </c>
      <c r="D83" s="630" t="s">
        <v>336</v>
      </c>
      <c r="E83" s="514" t="s">
        <v>968</v>
      </c>
      <c r="F83" s="630" t="s">
        <v>336</v>
      </c>
      <c r="G83" s="630" t="s">
        <v>336</v>
      </c>
      <c r="H83" s="630" t="s">
        <v>336</v>
      </c>
      <c r="I83" s="631" t="s">
        <v>336</v>
      </c>
      <c r="J83" s="620"/>
      <c r="K83" s="620"/>
      <c r="L83" s="620"/>
      <c r="M83" s="526"/>
      <c r="N83" s="526"/>
      <c r="O83" s="526"/>
      <c r="P83" s="526"/>
      <c r="Q83" s="526"/>
      <c r="R83" s="526"/>
      <c r="S83" s="526"/>
      <c r="T83" s="526"/>
      <c r="U83" s="526"/>
      <c r="V83" s="526"/>
      <c r="W83" s="526"/>
      <c r="X83" s="526"/>
      <c r="Y83" s="526"/>
      <c r="Z83" s="526"/>
      <c r="AA83" s="526"/>
      <c r="AB83" s="526"/>
      <c r="AC83" s="526"/>
      <c r="AD83" s="526"/>
      <c r="AE83" s="526"/>
      <c r="AF83" s="526"/>
      <c r="AG83" s="526"/>
      <c r="AH83" s="526"/>
      <c r="AI83" s="526"/>
      <c r="AJ83" s="526"/>
      <c r="AK83" s="526"/>
      <c r="AL83" s="526"/>
      <c r="AM83" s="526"/>
      <c r="AN83" s="526"/>
      <c r="AO83" s="526"/>
      <c r="AP83" s="526"/>
      <c r="AQ83" s="526"/>
      <c r="AR83" s="526"/>
      <c r="AS83" s="526"/>
      <c r="AT83" s="526"/>
      <c r="AU83" s="526"/>
      <c r="AV83" s="526"/>
      <c r="AW83" s="526"/>
      <c r="AX83" s="526"/>
    </row>
    <row r="84" spans="1:50" ht="168" x14ac:dyDescent="0.45">
      <c r="A84" s="629" t="s">
        <v>11</v>
      </c>
      <c r="B84" s="627" t="s">
        <v>336</v>
      </c>
      <c r="C84" s="514" t="s">
        <v>969</v>
      </c>
      <c r="D84" s="630" t="s">
        <v>336</v>
      </c>
      <c r="E84" s="514" t="s">
        <v>970</v>
      </c>
      <c r="F84" s="630" t="s">
        <v>336</v>
      </c>
      <c r="G84" s="630" t="s">
        <v>336</v>
      </c>
      <c r="H84" s="630" t="s">
        <v>336</v>
      </c>
      <c r="I84" s="631" t="s">
        <v>336</v>
      </c>
      <c r="J84" s="620"/>
      <c r="K84" s="620"/>
      <c r="L84" s="620"/>
      <c r="M84" s="526"/>
      <c r="N84" s="526"/>
      <c r="O84" s="526"/>
      <c r="P84" s="526"/>
      <c r="Q84" s="526"/>
      <c r="R84" s="526"/>
      <c r="S84" s="526"/>
      <c r="T84" s="526"/>
      <c r="U84" s="526"/>
      <c r="V84" s="526"/>
      <c r="W84" s="526"/>
      <c r="X84" s="526"/>
      <c r="Y84" s="526"/>
      <c r="Z84" s="526"/>
      <c r="AA84" s="526"/>
      <c r="AB84" s="526"/>
      <c r="AC84" s="526"/>
      <c r="AD84" s="526"/>
      <c r="AE84" s="526"/>
      <c r="AF84" s="526"/>
      <c r="AG84" s="526"/>
      <c r="AH84" s="526"/>
      <c r="AI84" s="526"/>
      <c r="AJ84" s="526"/>
      <c r="AK84" s="526"/>
      <c r="AL84" s="526"/>
      <c r="AM84" s="526"/>
      <c r="AN84" s="526"/>
      <c r="AO84" s="526"/>
      <c r="AP84" s="526"/>
      <c r="AQ84" s="526"/>
      <c r="AR84" s="526"/>
      <c r="AS84" s="526"/>
      <c r="AT84" s="526"/>
      <c r="AU84" s="526"/>
      <c r="AV84" s="526"/>
      <c r="AW84" s="526"/>
      <c r="AX84" s="526"/>
    </row>
    <row r="85" spans="1:50" ht="144" x14ac:dyDescent="0.45">
      <c r="A85" s="629" t="s">
        <v>825</v>
      </c>
      <c r="B85" s="627" t="s">
        <v>336</v>
      </c>
      <c r="C85" s="514" t="s">
        <v>972</v>
      </c>
      <c r="D85" s="630" t="s">
        <v>336</v>
      </c>
      <c r="E85" s="514" t="s">
        <v>973</v>
      </c>
      <c r="F85" s="630" t="s">
        <v>336</v>
      </c>
      <c r="G85" s="630" t="s">
        <v>336</v>
      </c>
      <c r="H85" s="630" t="s">
        <v>336</v>
      </c>
      <c r="I85" s="631" t="s">
        <v>336</v>
      </c>
      <c r="J85" s="620"/>
      <c r="K85" s="620"/>
      <c r="L85" s="620"/>
      <c r="M85" s="526"/>
      <c r="N85" s="526"/>
      <c r="O85" s="526"/>
      <c r="P85" s="526"/>
      <c r="Q85" s="526"/>
      <c r="R85" s="526"/>
      <c r="S85" s="526"/>
      <c r="T85" s="526"/>
      <c r="U85" s="526"/>
      <c r="V85" s="526"/>
      <c r="W85" s="526"/>
      <c r="X85" s="526"/>
      <c r="Y85" s="526"/>
      <c r="Z85" s="526"/>
      <c r="AA85" s="526"/>
      <c r="AB85" s="526"/>
      <c r="AC85" s="526"/>
      <c r="AD85" s="526"/>
      <c r="AE85" s="526"/>
      <c r="AF85" s="526"/>
      <c r="AG85" s="526"/>
      <c r="AH85" s="526"/>
      <c r="AI85" s="526"/>
      <c r="AJ85" s="526"/>
      <c r="AK85" s="526"/>
      <c r="AL85" s="526"/>
      <c r="AM85" s="526"/>
      <c r="AN85" s="526"/>
      <c r="AO85" s="526"/>
      <c r="AP85" s="526"/>
      <c r="AQ85" s="526"/>
      <c r="AR85" s="526"/>
      <c r="AS85" s="526"/>
      <c r="AT85" s="526"/>
      <c r="AU85" s="526"/>
      <c r="AV85" s="526"/>
      <c r="AW85" s="526"/>
      <c r="AX85" s="526"/>
    </row>
    <row r="86" spans="1:50" ht="120" x14ac:dyDescent="0.45">
      <c r="A86" s="629" t="s">
        <v>845</v>
      </c>
      <c r="B86" s="627" t="s">
        <v>336</v>
      </c>
      <c r="C86" s="514" t="s">
        <v>974</v>
      </c>
      <c r="D86" s="630" t="s">
        <v>336</v>
      </c>
      <c r="E86" s="514" t="s">
        <v>975</v>
      </c>
      <c r="F86" s="630" t="s">
        <v>336</v>
      </c>
      <c r="G86" s="630" t="s">
        <v>336</v>
      </c>
      <c r="H86" s="630" t="s">
        <v>336</v>
      </c>
      <c r="I86" s="631" t="s">
        <v>336</v>
      </c>
      <c r="J86" s="620"/>
      <c r="K86" s="620"/>
      <c r="L86" s="620"/>
      <c r="M86" s="526"/>
      <c r="N86" s="526"/>
      <c r="O86" s="526"/>
      <c r="P86" s="526"/>
      <c r="Q86" s="526"/>
      <c r="R86" s="526"/>
      <c r="S86" s="526"/>
      <c r="T86" s="526"/>
      <c r="U86" s="526"/>
      <c r="V86" s="526"/>
      <c r="W86" s="526"/>
      <c r="X86" s="526"/>
      <c r="Y86" s="526"/>
      <c r="Z86" s="526"/>
      <c r="AA86" s="526"/>
      <c r="AB86" s="526"/>
      <c r="AC86" s="526"/>
      <c r="AD86" s="526"/>
      <c r="AE86" s="526"/>
      <c r="AF86" s="526"/>
      <c r="AG86" s="526"/>
      <c r="AH86" s="526"/>
      <c r="AI86" s="526"/>
      <c r="AJ86" s="526"/>
      <c r="AK86" s="526"/>
      <c r="AL86" s="526"/>
      <c r="AM86" s="526"/>
      <c r="AN86" s="526"/>
      <c r="AO86" s="526"/>
      <c r="AP86" s="526"/>
      <c r="AQ86" s="526"/>
      <c r="AR86" s="526"/>
      <c r="AS86" s="526"/>
      <c r="AT86" s="526"/>
      <c r="AU86" s="526"/>
      <c r="AV86" s="526"/>
      <c r="AW86" s="526"/>
      <c r="AX86" s="526"/>
    </row>
    <row r="87" spans="1:50" ht="24" x14ac:dyDescent="0.45">
      <c r="A87" s="628" t="s">
        <v>1113</v>
      </c>
      <c r="B87" s="627" t="s">
        <v>336</v>
      </c>
      <c r="C87" s="756" t="s">
        <v>1114</v>
      </c>
      <c r="D87" s="756"/>
      <c r="E87" s="756"/>
      <c r="F87" s="756"/>
      <c r="G87" s="756"/>
      <c r="H87" s="756"/>
      <c r="I87" s="757"/>
      <c r="J87" s="620"/>
      <c r="K87" s="620"/>
      <c r="L87" s="620"/>
      <c r="M87" s="526"/>
      <c r="N87" s="526"/>
      <c r="O87" s="526"/>
      <c r="P87" s="526"/>
      <c r="Q87" s="526"/>
      <c r="R87" s="526"/>
      <c r="S87" s="526"/>
      <c r="T87" s="526"/>
      <c r="U87" s="526"/>
      <c r="V87" s="526"/>
      <c r="W87" s="526"/>
      <c r="X87" s="526"/>
      <c r="Y87" s="526"/>
      <c r="Z87" s="526"/>
      <c r="AA87" s="526"/>
      <c r="AB87" s="526"/>
      <c r="AC87" s="526"/>
      <c r="AD87" s="526"/>
      <c r="AE87" s="526"/>
      <c r="AF87" s="526"/>
      <c r="AG87" s="526"/>
      <c r="AH87" s="526"/>
      <c r="AI87" s="526"/>
      <c r="AJ87" s="526"/>
      <c r="AK87" s="526"/>
      <c r="AL87" s="526"/>
      <c r="AM87" s="526"/>
      <c r="AN87" s="526"/>
      <c r="AO87" s="526"/>
      <c r="AP87" s="526"/>
      <c r="AQ87" s="526"/>
      <c r="AR87" s="526"/>
      <c r="AS87" s="526"/>
      <c r="AT87" s="526"/>
      <c r="AU87" s="526"/>
      <c r="AV87" s="526"/>
      <c r="AW87" s="526"/>
      <c r="AX87" s="526"/>
    </row>
    <row r="88" spans="1:50" ht="240" x14ac:dyDescent="0.45">
      <c r="A88" s="629" t="s">
        <v>136</v>
      </c>
      <c r="B88" s="627" t="s">
        <v>336</v>
      </c>
      <c r="C88" s="514" t="s">
        <v>1165</v>
      </c>
      <c r="D88" s="630" t="s">
        <v>336</v>
      </c>
      <c r="E88" s="514" t="s">
        <v>1166</v>
      </c>
      <c r="F88" s="630" t="s">
        <v>336</v>
      </c>
      <c r="G88" s="630" t="s">
        <v>336</v>
      </c>
      <c r="H88" s="630" t="s">
        <v>336</v>
      </c>
      <c r="I88" s="631" t="s">
        <v>336</v>
      </c>
      <c r="J88" s="620"/>
      <c r="K88" s="620"/>
      <c r="L88" s="620"/>
      <c r="M88" s="526"/>
      <c r="N88" s="526"/>
      <c r="O88" s="526"/>
      <c r="P88" s="526"/>
      <c r="Q88" s="526"/>
      <c r="R88" s="526"/>
      <c r="S88" s="526"/>
      <c r="T88" s="526"/>
      <c r="U88" s="526"/>
      <c r="V88" s="526"/>
      <c r="W88" s="526"/>
      <c r="X88" s="526"/>
      <c r="Y88" s="526"/>
      <c r="Z88" s="526"/>
      <c r="AA88" s="526"/>
      <c r="AB88" s="526"/>
      <c r="AC88" s="526"/>
      <c r="AD88" s="526"/>
      <c r="AE88" s="526"/>
      <c r="AF88" s="526"/>
      <c r="AG88" s="526"/>
      <c r="AH88" s="526"/>
      <c r="AI88" s="526"/>
      <c r="AJ88" s="526"/>
      <c r="AK88" s="526"/>
      <c r="AL88" s="526"/>
      <c r="AM88" s="526"/>
      <c r="AN88" s="526"/>
      <c r="AO88" s="526"/>
      <c r="AP88" s="526"/>
      <c r="AQ88" s="526"/>
      <c r="AR88" s="526"/>
      <c r="AS88" s="526"/>
      <c r="AT88" s="526"/>
      <c r="AU88" s="526"/>
      <c r="AV88" s="526"/>
      <c r="AW88" s="526"/>
      <c r="AX88" s="526"/>
    </row>
    <row r="89" spans="1:50" ht="240" x14ac:dyDescent="0.45">
      <c r="A89" s="629" t="s">
        <v>136</v>
      </c>
      <c r="B89" s="627" t="s">
        <v>336</v>
      </c>
      <c r="C89" s="514" t="s">
        <v>1167</v>
      </c>
      <c r="D89" s="630" t="s">
        <v>336</v>
      </c>
      <c r="E89" s="514" t="s">
        <v>1168</v>
      </c>
      <c r="F89" s="630" t="s">
        <v>336</v>
      </c>
      <c r="G89" s="630" t="s">
        <v>336</v>
      </c>
      <c r="H89" s="630" t="s">
        <v>336</v>
      </c>
      <c r="I89" s="631" t="s">
        <v>336</v>
      </c>
      <c r="J89" s="620"/>
      <c r="K89" s="620"/>
      <c r="L89" s="620"/>
      <c r="M89" s="526"/>
      <c r="N89" s="526"/>
      <c r="O89" s="526"/>
      <c r="P89" s="526"/>
      <c r="Q89" s="526"/>
      <c r="R89" s="526"/>
      <c r="S89" s="526"/>
      <c r="T89" s="526"/>
      <c r="U89" s="526"/>
      <c r="V89" s="526"/>
      <c r="W89" s="526"/>
      <c r="X89" s="526"/>
      <c r="Y89" s="526"/>
      <c r="Z89" s="526"/>
      <c r="AA89" s="526"/>
      <c r="AB89" s="526"/>
      <c r="AC89" s="526"/>
      <c r="AD89" s="526"/>
      <c r="AE89" s="526"/>
      <c r="AF89" s="526"/>
      <c r="AG89" s="526"/>
      <c r="AH89" s="526"/>
      <c r="AI89" s="526"/>
      <c r="AJ89" s="526"/>
      <c r="AK89" s="526"/>
      <c r="AL89" s="526"/>
      <c r="AM89" s="526"/>
      <c r="AN89" s="526"/>
      <c r="AO89" s="526"/>
      <c r="AP89" s="526"/>
      <c r="AQ89" s="526"/>
      <c r="AR89" s="526"/>
      <c r="AS89" s="526"/>
      <c r="AT89" s="526"/>
      <c r="AU89" s="526"/>
      <c r="AV89" s="526"/>
      <c r="AW89" s="526"/>
      <c r="AX89" s="526"/>
    </row>
    <row r="90" spans="1:50" ht="144" x14ac:dyDescent="0.45">
      <c r="A90" s="629" t="s">
        <v>136</v>
      </c>
      <c r="B90" s="627" t="s">
        <v>336</v>
      </c>
      <c r="C90" s="514" t="s">
        <v>1169</v>
      </c>
      <c r="D90" s="630" t="s">
        <v>336</v>
      </c>
      <c r="E90" s="514" t="s">
        <v>1170</v>
      </c>
      <c r="F90" s="630" t="s">
        <v>336</v>
      </c>
      <c r="G90" s="630" t="s">
        <v>336</v>
      </c>
      <c r="H90" s="630" t="s">
        <v>336</v>
      </c>
      <c r="I90" s="631" t="s">
        <v>336</v>
      </c>
      <c r="J90" s="620"/>
      <c r="K90" s="620"/>
      <c r="L90" s="620"/>
      <c r="M90" s="526"/>
      <c r="N90" s="526"/>
      <c r="O90" s="526"/>
      <c r="P90" s="526"/>
      <c r="Q90" s="526"/>
      <c r="R90" s="526"/>
      <c r="S90" s="526"/>
      <c r="T90" s="526"/>
      <c r="U90" s="526"/>
      <c r="V90" s="526"/>
      <c r="W90" s="526"/>
      <c r="X90" s="526"/>
      <c r="Y90" s="526"/>
      <c r="Z90" s="526"/>
      <c r="AA90" s="526"/>
      <c r="AB90" s="526"/>
      <c r="AC90" s="526"/>
      <c r="AD90" s="526"/>
      <c r="AE90" s="526"/>
      <c r="AF90" s="526"/>
      <c r="AG90" s="526"/>
      <c r="AH90" s="526"/>
      <c r="AI90" s="526"/>
      <c r="AJ90" s="526"/>
      <c r="AK90" s="526"/>
      <c r="AL90" s="526"/>
      <c r="AM90" s="526"/>
      <c r="AN90" s="526"/>
      <c r="AO90" s="526"/>
      <c r="AP90" s="526"/>
      <c r="AQ90" s="526"/>
      <c r="AR90" s="526"/>
      <c r="AS90" s="526"/>
      <c r="AT90" s="526"/>
      <c r="AU90" s="526"/>
      <c r="AV90" s="526"/>
      <c r="AW90" s="526"/>
      <c r="AX90" s="526"/>
    </row>
    <row r="91" spans="1:50" ht="168" x14ac:dyDescent="0.45">
      <c r="A91" s="629" t="s">
        <v>825</v>
      </c>
      <c r="B91" s="627" t="s">
        <v>336</v>
      </c>
      <c r="C91" s="514" t="s">
        <v>1171</v>
      </c>
      <c r="D91" s="630" t="s">
        <v>336</v>
      </c>
      <c r="E91" s="514" t="s">
        <v>1172</v>
      </c>
      <c r="F91" s="630" t="s">
        <v>336</v>
      </c>
      <c r="G91" s="630" t="s">
        <v>336</v>
      </c>
      <c r="H91" s="630" t="s">
        <v>336</v>
      </c>
      <c r="I91" s="631" t="s">
        <v>336</v>
      </c>
      <c r="J91" s="620"/>
      <c r="K91" s="620"/>
      <c r="L91" s="620"/>
      <c r="M91" s="526"/>
      <c r="N91" s="526"/>
      <c r="O91" s="526"/>
      <c r="P91" s="526"/>
      <c r="Q91" s="526"/>
      <c r="R91" s="526"/>
      <c r="S91" s="526"/>
      <c r="T91" s="526"/>
      <c r="U91" s="526"/>
      <c r="V91" s="526"/>
      <c r="W91" s="526"/>
      <c r="X91" s="526"/>
      <c r="Y91" s="526"/>
      <c r="Z91" s="526"/>
      <c r="AA91" s="526"/>
      <c r="AB91" s="526"/>
      <c r="AC91" s="526"/>
      <c r="AD91" s="526"/>
      <c r="AE91" s="526"/>
      <c r="AF91" s="526"/>
      <c r="AG91" s="526"/>
      <c r="AH91" s="526"/>
      <c r="AI91" s="526"/>
      <c r="AJ91" s="526"/>
      <c r="AK91" s="526"/>
      <c r="AL91" s="526"/>
      <c r="AM91" s="526"/>
      <c r="AN91" s="526"/>
      <c r="AO91" s="526"/>
      <c r="AP91" s="526"/>
      <c r="AQ91" s="526"/>
      <c r="AR91" s="526"/>
      <c r="AS91" s="526"/>
      <c r="AT91" s="526"/>
      <c r="AU91" s="526"/>
      <c r="AV91" s="526"/>
      <c r="AW91" s="526"/>
      <c r="AX91" s="526"/>
    </row>
    <row r="92" spans="1:50" ht="24" x14ac:dyDescent="0.45">
      <c r="A92" s="628" t="s">
        <v>1115</v>
      </c>
      <c r="B92" s="627" t="s">
        <v>336</v>
      </c>
      <c r="C92" s="756" t="s">
        <v>1116</v>
      </c>
      <c r="D92" s="756"/>
      <c r="E92" s="756"/>
      <c r="F92" s="756"/>
      <c r="G92" s="756"/>
      <c r="H92" s="756"/>
      <c r="I92" s="757"/>
      <c r="J92" s="620"/>
      <c r="K92" s="620"/>
      <c r="L92" s="620"/>
      <c r="M92" s="526"/>
      <c r="N92" s="526"/>
      <c r="O92" s="526"/>
      <c r="P92" s="526"/>
      <c r="Q92" s="526"/>
      <c r="R92" s="526"/>
      <c r="S92" s="526"/>
      <c r="T92" s="526"/>
      <c r="U92" s="526"/>
      <c r="V92" s="526"/>
      <c r="W92" s="526"/>
      <c r="X92" s="526"/>
      <c r="Y92" s="526"/>
      <c r="Z92" s="526"/>
      <c r="AA92" s="526"/>
      <c r="AB92" s="526"/>
      <c r="AC92" s="526"/>
      <c r="AD92" s="526"/>
      <c r="AE92" s="526"/>
      <c r="AF92" s="526"/>
      <c r="AG92" s="526"/>
      <c r="AH92" s="526"/>
      <c r="AI92" s="526"/>
      <c r="AJ92" s="526"/>
      <c r="AK92" s="526"/>
      <c r="AL92" s="526"/>
      <c r="AM92" s="526"/>
      <c r="AN92" s="526"/>
      <c r="AO92" s="526"/>
      <c r="AP92" s="526"/>
      <c r="AQ92" s="526"/>
      <c r="AR92" s="526"/>
      <c r="AS92" s="526"/>
      <c r="AT92" s="526"/>
      <c r="AU92" s="526"/>
      <c r="AV92" s="526"/>
      <c r="AW92" s="526"/>
      <c r="AX92" s="526"/>
    </row>
    <row r="93" spans="1:50" ht="216" x14ac:dyDescent="0.45">
      <c r="A93" s="629" t="s">
        <v>136</v>
      </c>
      <c r="B93" s="627" t="s">
        <v>336</v>
      </c>
      <c r="C93" s="514" t="s">
        <v>1173</v>
      </c>
      <c r="D93" s="630" t="s">
        <v>336</v>
      </c>
      <c r="E93" s="514" t="s">
        <v>1174</v>
      </c>
      <c r="F93" s="630" t="s">
        <v>336</v>
      </c>
      <c r="G93" s="630" t="s">
        <v>336</v>
      </c>
      <c r="H93" s="630" t="s">
        <v>336</v>
      </c>
      <c r="I93" s="631" t="s">
        <v>336</v>
      </c>
      <c r="J93" s="620"/>
      <c r="K93" s="620"/>
      <c r="L93" s="620"/>
      <c r="M93" s="526"/>
      <c r="N93" s="526"/>
      <c r="O93" s="526"/>
      <c r="P93" s="526"/>
      <c r="Q93" s="526"/>
      <c r="R93" s="526"/>
      <c r="S93" s="526"/>
      <c r="T93" s="526"/>
      <c r="U93" s="526"/>
      <c r="V93" s="526"/>
      <c r="W93" s="526"/>
      <c r="X93" s="526"/>
      <c r="Y93" s="526"/>
      <c r="Z93" s="526"/>
      <c r="AA93" s="526"/>
      <c r="AB93" s="526"/>
      <c r="AC93" s="526"/>
      <c r="AD93" s="526"/>
      <c r="AE93" s="526"/>
      <c r="AF93" s="526"/>
      <c r="AG93" s="526"/>
      <c r="AH93" s="526"/>
      <c r="AI93" s="526"/>
      <c r="AJ93" s="526"/>
      <c r="AK93" s="526"/>
      <c r="AL93" s="526"/>
      <c r="AM93" s="526"/>
      <c r="AN93" s="526"/>
      <c r="AO93" s="526"/>
      <c r="AP93" s="526"/>
      <c r="AQ93" s="526"/>
      <c r="AR93" s="526"/>
      <c r="AS93" s="526"/>
      <c r="AT93" s="526"/>
      <c r="AU93" s="526"/>
      <c r="AV93" s="526"/>
      <c r="AW93" s="526"/>
      <c r="AX93" s="526"/>
    </row>
    <row r="94" spans="1:50" ht="240" x14ac:dyDescent="0.45">
      <c r="A94" s="629" t="s">
        <v>136</v>
      </c>
      <c r="B94" s="627" t="s">
        <v>336</v>
      </c>
      <c r="C94" s="514" t="s">
        <v>1175</v>
      </c>
      <c r="D94" s="630" t="s">
        <v>336</v>
      </c>
      <c r="E94" s="514" t="s">
        <v>1176</v>
      </c>
      <c r="F94" s="630" t="s">
        <v>336</v>
      </c>
      <c r="G94" s="630" t="s">
        <v>336</v>
      </c>
      <c r="H94" s="630" t="s">
        <v>336</v>
      </c>
      <c r="I94" s="631" t="s">
        <v>336</v>
      </c>
      <c r="J94" s="620"/>
      <c r="K94" s="620"/>
      <c r="L94" s="620"/>
      <c r="M94" s="526"/>
      <c r="N94" s="526"/>
      <c r="O94" s="526"/>
      <c r="P94" s="526"/>
      <c r="Q94" s="526"/>
      <c r="R94" s="526"/>
      <c r="S94" s="526"/>
      <c r="T94" s="526"/>
      <c r="U94" s="526"/>
      <c r="V94" s="526"/>
      <c r="W94" s="526"/>
      <c r="X94" s="526"/>
      <c r="Y94" s="526"/>
      <c r="Z94" s="526"/>
      <c r="AA94" s="526"/>
      <c r="AB94" s="526"/>
      <c r="AC94" s="526"/>
      <c r="AD94" s="526"/>
      <c r="AE94" s="526"/>
      <c r="AF94" s="526"/>
      <c r="AG94" s="526"/>
      <c r="AH94" s="526"/>
      <c r="AI94" s="526"/>
      <c r="AJ94" s="526"/>
      <c r="AK94" s="526"/>
      <c r="AL94" s="526"/>
      <c r="AM94" s="526"/>
      <c r="AN94" s="526"/>
      <c r="AO94" s="526"/>
      <c r="AP94" s="526"/>
      <c r="AQ94" s="526"/>
      <c r="AR94" s="526"/>
      <c r="AS94" s="526"/>
      <c r="AT94" s="526"/>
      <c r="AU94" s="526"/>
      <c r="AV94" s="526"/>
      <c r="AW94" s="526"/>
      <c r="AX94" s="526"/>
    </row>
    <row r="95" spans="1:50" ht="216" x14ac:dyDescent="0.45">
      <c r="A95" s="629" t="s">
        <v>825</v>
      </c>
      <c r="B95" s="627" t="s">
        <v>336</v>
      </c>
      <c r="C95" s="514" t="s">
        <v>1177</v>
      </c>
      <c r="D95" s="630" t="s">
        <v>336</v>
      </c>
      <c r="E95" s="514" t="s">
        <v>1178</v>
      </c>
      <c r="F95" s="630" t="s">
        <v>336</v>
      </c>
      <c r="G95" s="630" t="s">
        <v>336</v>
      </c>
      <c r="H95" s="630" t="s">
        <v>336</v>
      </c>
      <c r="I95" s="631" t="s">
        <v>336</v>
      </c>
      <c r="J95" s="620"/>
      <c r="K95" s="620"/>
      <c r="L95" s="620"/>
      <c r="M95" s="526"/>
      <c r="N95" s="526"/>
      <c r="O95" s="526"/>
      <c r="P95" s="526"/>
      <c r="Q95" s="526"/>
      <c r="R95" s="526"/>
      <c r="S95" s="526"/>
      <c r="T95" s="526"/>
      <c r="U95" s="526"/>
      <c r="V95" s="526"/>
      <c r="W95" s="526"/>
      <c r="X95" s="526"/>
      <c r="Y95" s="526"/>
      <c r="Z95" s="526"/>
      <c r="AA95" s="526"/>
      <c r="AB95" s="526"/>
      <c r="AC95" s="526"/>
      <c r="AD95" s="526"/>
      <c r="AE95" s="526"/>
      <c r="AF95" s="526"/>
      <c r="AG95" s="526"/>
      <c r="AH95" s="526"/>
      <c r="AI95" s="526"/>
      <c r="AJ95" s="526"/>
      <c r="AK95" s="526"/>
      <c r="AL95" s="526"/>
      <c r="AM95" s="526"/>
      <c r="AN95" s="526"/>
      <c r="AO95" s="526"/>
      <c r="AP95" s="526"/>
      <c r="AQ95" s="526"/>
      <c r="AR95" s="526"/>
      <c r="AS95" s="526"/>
      <c r="AT95" s="526"/>
      <c r="AU95" s="526"/>
      <c r="AV95" s="526"/>
      <c r="AW95" s="526"/>
      <c r="AX95" s="526"/>
    </row>
    <row r="96" spans="1:50" ht="24" x14ac:dyDescent="0.45">
      <c r="A96" s="628" t="s">
        <v>1117</v>
      </c>
      <c r="B96" s="627" t="s">
        <v>336</v>
      </c>
      <c r="C96" s="756" t="s">
        <v>1118</v>
      </c>
      <c r="D96" s="756"/>
      <c r="E96" s="756"/>
      <c r="F96" s="756"/>
      <c r="G96" s="756"/>
      <c r="H96" s="756"/>
      <c r="I96" s="757"/>
      <c r="J96" s="620"/>
      <c r="K96" s="620"/>
      <c r="L96" s="620"/>
      <c r="M96" s="526"/>
      <c r="N96" s="526"/>
      <c r="O96" s="526"/>
      <c r="P96" s="526"/>
      <c r="Q96" s="526"/>
      <c r="R96" s="526"/>
      <c r="S96" s="526"/>
      <c r="T96" s="526"/>
      <c r="U96" s="526"/>
      <c r="V96" s="526"/>
      <c r="W96" s="526"/>
      <c r="X96" s="526"/>
      <c r="Y96" s="526"/>
      <c r="Z96" s="526"/>
      <c r="AA96" s="526"/>
      <c r="AB96" s="526"/>
      <c r="AC96" s="526"/>
      <c r="AD96" s="526"/>
      <c r="AE96" s="526"/>
      <c r="AF96" s="526"/>
      <c r="AG96" s="526"/>
      <c r="AH96" s="526"/>
      <c r="AI96" s="526"/>
      <c r="AJ96" s="526"/>
      <c r="AK96" s="526"/>
      <c r="AL96" s="526"/>
      <c r="AM96" s="526"/>
      <c r="AN96" s="526"/>
      <c r="AO96" s="526"/>
      <c r="AP96" s="526"/>
      <c r="AQ96" s="526"/>
      <c r="AR96" s="526"/>
      <c r="AS96" s="526"/>
      <c r="AT96" s="526"/>
      <c r="AU96" s="526"/>
      <c r="AV96" s="526"/>
      <c r="AW96" s="526"/>
      <c r="AX96" s="526"/>
    </row>
    <row r="97" spans="1:50" ht="168" x14ac:dyDescent="0.45">
      <c r="A97" s="629" t="s">
        <v>136</v>
      </c>
      <c r="B97" s="627" t="s">
        <v>336</v>
      </c>
      <c r="C97" s="514" t="s">
        <v>1179</v>
      </c>
      <c r="D97" s="630" t="s">
        <v>336</v>
      </c>
      <c r="E97" s="514" t="s">
        <v>1180</v>
      </c>
      <c r="F97" s="630" t="s">
        <v>336</v>
      </c>
      <c r="G97" s="630" t="s">
        <v>336</v>
      </c>
      <c r="H97" s="630" t="s">
        <v>336</v>
      </c>
      <c r="I97" s="631" t="s">
        <v>336</v>
      </c>
      <c r="J97" s="620"/>
      <c r="K97" s="620"/>
      <c r="L97" s="620"/>
      <c r="M97" s="526"/>
      <c r="N97" s="526"/>
      <c r="O97" s="526"/>
      <c r="P97" s="526"/>
      <c r="Q97" s="526"/>
      <c r="R97" s="526"/>
      <c r="S97" s="526"/>
      <c r="T97" s="526"/>
      <c r="U97" s="526"/>
      <c r="V97" s="526"/>
      <c r="W97" s="526"/>
      <c r="X97" s="526"/>
      <c r="Y97" s="526"/>
      <c r="Z97" s="526"/>
      <c r="AA97" s="526"/>
      <c r="AB97" s="526"/>
      <c r="AC97" s="526"/>
      <c r="AD97" s="526"/>
      <c r="AE97" s="526"/>
      <c r="AF97" s="526"/>
      <c r="AG97" s="526"/>
      <c r="AH97" s="526"/>
      <c r="AI97" s="526"/>
      <c r="AJ97" s="526"/>
      <c r="AK97" s="526"/>
      <c r="AL97" s="526"/>
      <c r="AM97" s="526"/>
      <c r="AN97" s="526"/>
      <c r="AO97" s="526"/>
      <c r="AP97" s="526"/>
      <c r="AQ97" s="526"/>
      <c r="AR97" s="526"/>
      <c r="AS97" s="526"/>
      <c r="AT97" s="526"/>
      <c r="AU97" s="526"/>
      <c r="AV97" s="526"/>
      <c r="AW97" s="526"/>
      <c r="AX97" s="526"/>
    </row>
    <row r="98" spans="1:50" ht="240" x14ac:dyDescent="0.45">
      <c r="A98" s="629" t="s">
        <v>136</v>
      </c>
      <c r="B98" s="627" t="s">
        <v>336</v>
      </c>
      <c r="C98" s="514" t="s">
        <v>1181</v>
      </c>
      <c r="D98" s="630" t="s">
        <v>336</v>
      </c>
      <c r="E98" s="514" t="s">
        <v>1182</v>
      </c>
      <c r="F98" s="630" t="s">
        <v>336</v>
      </c>
      <c r="G98" s="630" t="s">
        <v>336</v>
      </c>
      <c r="H98" s="630" t="s">
        <v>336</v>
      </c>
      <c r="I98" s="631" t="s">
        <v>336</v>
      </c>
      <c r="J98" s="620"/>
      <c r="K98" s="620"/>
      <c r="L98" s="620"/>
      <c r="M98" s="526"/>
      <c r="N98" s="526"/>
      <c r="O98" s="526"/>
      <c r="P98" s="526"/>
      <c r="Q98" s="526"/>
      <c r="R98" s="526"/>
      <c r="S98" s="526"/>
      <c r="T98" s="526"/>
      <c r="U98" s="526"/>
      <c r="V98" s="526"/>
      <c r="W98" s="526"/>
      <c r="X98" s="526"/>
      <c r="Y98" s="526"/>
      <c r="Z98" s="526"/>
      <c r="AA98" s="526"/>
      <c r="AB98" s="526"/>
      <c r="AC98" s="526"/>
      <c r="AD98" s="526"/>
      <c r="AE98" s="526"/>
      <c r="AF98" s="526"/>
      <c r="AG98" s="526"/>
      <c r="AH98" s="526"/>
      <c r="AI98" s="526"/>
      <c r="AJ98" s="526"/>
      <c r="AK98" s="526"/>
      <c r="AL98" s="526"/>
      <c r="AM98" s="526"/>
      <c r="AN98" s="526"/>
      <c r="AO98" s="526"/>
      <c r="AP98" s="526"/>
      <c r="AQ98" s="526"/>
      <c r="AR98" s="526"/>
      <c r="AS98" s="526"/>
      <c r="AT98" s="526"/>
      <c r="AU98" s="526"/>
      <c r="AV98" s="526"/>
      <c r="AW98" s="526"/>
      <c r="AX98" s="526"/>
    </row>
    <row r="99" spans="1:50" ht="96" x14ac:dyDescent="0.45">
      <c r="A99" s="629" t="s">
        <v>845</v>
      </c>
      <c r="B99" s="627" t="s">
        <v>336</v>
      </c>
      <c r="C99" s="514" t="s">
        <v>1183</v>
      </c>
      <c r="D99" s="630" t="s">
        <v>336</v>
      </c>
      <c r="E99" s="514" t="s">
        <v>1184</v>
      </c>
      <c r="F99" s="630" t="s">
        <v>336</v>
      </c>
      <c r="G99" s="630" t="s">
        <v>336</v>
      </c>
      <c r="H99" s="630" t="s">
        <v>336</v>
      </c>
      <c r="I99" s="631" t="s">
        <v>336</v>
      </c>
      <c r="J99" s="620"/>
      <c r="K99" s="620"/>
      <c r="L99" s="620"/>
      <c r="M99" s="526"/>
      <c r="N99" s="526"/>
      <c r="O99" s="526"/>
      <c r="P99" s="526"/>
      <c r="Q99" s="526"/>
      <c r="R99" s="526"/>
      <c r="S99" s="526"/>
      <c r="T99" s="526"/>
      <c r="U99" s="526"/>
      <c r="V99" s="526"/>
      <c r="W99" s="526"/>
      <c r="X99" s="526"/>
      <c r="Y99" s="526"/>
      <c r="Z99" s="526"/>
      <c r="AA99" s="526"/>
      <c r="AB99" s="526"/>
      <c r="AC99" s="526"/>
      <c r="AD99" s="526"/>
      <c r="AE99" s="526"/>
      <c r="AF99" s="526"/>
      <c r="AG99" s="526"/>
      <c r="AH99" s="526"/>
      <c r="AI99" s="526"/>
      <c r="AJ99" s="526"/>
      <c r="AK99" s="526"/>
      <c r="AL99" s="526"/>
      <c r="AM99" s="526"/>
      <c r="AN99" s="526"/>
      <c r="AO99" s="526"/>
      <c r="AP99" s="526"/>
      <c r="AQ99" s="526"/>
      <c r="AR99" s="526"/>
      <c r="AS99" s="526"/>
      <c r="AT99" s="526"/>
      <c r="AU99" s="526"/>
      <c r="AV99" s="526"/>
      <c r="AW99" s="526"/>
      <c r="AX99" s="526"/>
    </row>
    <row r="100" spans="1:50" ht="24" x14ac:dyDescent="0.45">
      <c r="A100" s="626" t="s">
        <v>782</v>
      </c>
      <c r="B100" s="627" t="s">
        <v>336</v>
      </c>
      <c r="C100" s="758" t="s">
        <v>976</v>
      </c>
      <c r="D100" s="758"/>
      <c r="E100" s="758"/>
      <c r="F100" s="758"/>
      <c r="G100" s="758"/>
      <c r="H100" s="758"/>
      <c r="I100" s="759"/>
      <c r="J100" s="620"/>
      <c r="K100" s="620"/>
      <c r="L100" s="620"/>
      <c r="M100" s="526"/>
      <c r="N100" s="526"/>
      <c r="O100" s="526"/>
      <c r="P100" s="526"/>
      <c r="Q100" s="526"/>
      <c r="R100" s="526"/>
      <c r="S100" s="526"/>
      <c r="T100" s="526"/>
      <c r="U100" s="526"/>
      <c r="V100" s="526"/>
      <c r="W100" s="526"/>
      <c r="X100" s="526"/>
      <c r="Y100" s="526"/>
      <c r="Z100" s="526"/>
      <c r="AA100" s="526"/>
      <c r="AB100" s="526"/>
      <c r="AC100" s="526"/>
      <c r="AD100" s="526"/>
      <c r="AE100" s="526"/>
      <c r="AF100" s="526"/>
      <c r="AG100" s="526"/>
      <c r="AH100" s="526"/>
      <c r="AI100" s="526"/>
      <c r="AJ100" s="526"/>
      <c r="AK100" s="526"/>
      <c r="AL100" s="526"/>
      <c r="AM100" s="526"/>
      <c r="AN100" s="526"/>
      <c r="AO100" s="526"/>
      <c r="AP100" s="526"/>
      <c r="AQ100" s="526"/>
      <c r="AR100" s="526"/>
      <c r="AS100" s="526"/>
      <c r="AT100" s="526"/>
      <c r="AU100" s="526"/>
      <c r="AV100" s="526"/>
      <c r="AW100" s="526"/>
      <c r="AX100" s="526"/>
    </row>
    <row r="101" spans="1:50" ht="24" x14ac:dyDescent="0.45">
      <c r="A101" s="628" t="s">
        <v>784</v>
      </c>
      <c r="B101" s="627" t="s">
        <v>336</v>
      </c>
      <c r="C101" s="756" t="s">
        <v>1119</v>
      </c>
      <c r="D101" s="756"/>
      <c r="E101" s="756"/>
      <c r="F101" s="756"/>
      <c r="G101" s="756"/>
      <c r="H101" s="756"/>
      <c r="I101" s="757"/>
      <c r="J101" s="620"/>
      <c r="K101" s="620"/>
      <c r="L101" s="620"/>
      <c r="M101" s="526"/>
      <c r="N101" s="526"/>
      <c r="O101" s="526"/>
      <c r="P101" s="526"/>
      <c r="Q101" s="526"/>
      <c r="R101" s="526"/>
      <c r="S101" s="526"/>
      <c r="T101" s="526"/>
      <c r="U101" s="526"/>
      <c r="V101" s="526"/>
      <c r="W101" s="526"/>
      <c r="X101" s="526"/>
      <c r="Y101" s="526"/>
      <c r="Z101" s="526"/>
      <c r="AA101" s="526"/>
      <c r="AB101" s="526"/>
      <c r="AC101" s="526"/>
      <c r="AD101" s="526"/>
      <c r="AE101" s="526"/>
      <c r="AF101" s="526"/>
      <c r="AG101" s="526"/>
      <c r="AH101" s="526"/>
      <c r="AI101" s="526"/>
      <c r="AJ101" s="526"/>
      <c r="AK101" s="526"/>
      <c r="AL101" s="526"/>
      <c r="AM101" s="526"/>
      <c r="AN101" s="526"/>
      <c r="AO101" s="526"/>
      <c r="AP101" s="526"/>
      <c r="AQ101" s="526"/>
      <c r="AR101" s="526"/>
      <c r="AS101" s="526"/>
      <c r="AT101" s="526"/>
      <c r="AU101" s="526"/>
      <c r="AV101" s="526"/>
      <c r="AW101" s="526"/>
      <c r="AX101" s="526"/>
    </row>
    <row r="102" spans="1:50" ht="216" x14ac:dyDescent="0.45">
      <c r="A102" s="629" t="s">
        <v>825</v>
      </c>
      <c r="B102" s="627" t="s">
        <v>336</v>
      </c>
      <c r="C102" s="514" t="s">
        <v>977</v>
      </c>
      <c r="D102" s="630" t="s">
        <v>336</v>
      </c>
      <c r="E102" s="514" t="s">
        <v>978</v>
      </c>
      <c r="F102" s="630" t="s">
        <v>336</v>
      </c>
      <c r="G102" s="630" t="s">
        <v>336</v>
      </c>
      <c r="H102" s="630" t="s">
        <v>336</v>
      </c>
      <c r="I102" s="631" t="s">
        <v>336</v>
      </c>
      <c r="J102" s="620"/>
      <c r="K102" s="620"/>
      <c r="L102" s="620"/>
      <c r="M102" s="526"/>
      <c r="N102" s="526"/>
      <c r="O102" s="526"/>
      <c r="P102" s="526"/>
      <c r="Q102" s="526"/>
      <c r="R102" s="526"/>
      <c r="S102" s="526"/>
      <c r="T102" s="526"/>
      <c r="U102" s="526"/>
      <c r="V102" s="526"/>
      <c r="W102" s="526"/>
      <c r="X102" s="526"/>
      <c r="Y102" s="526"/>
      <c r="Z102" s="526"/>
      <c r="AA102" s="526"/>
      <c r="AB102" s="526"/>
      <c r="AC102" s="526"/>
      <c r="AD102" s="526"/>
      <c r="AE102" s="526"/>
      <c r="AF102" s="526"/>
      <c r="AG102" s="526"/>
      <c r="AH102" s="526"/>
      <c r="AI102" s="526"/>
      <c r="AJ102" s="526"/>
      <c r="AK102" s="526"/>
      <c r="AL102" s="526"/>
      <c r="AM102" s="526"/>
      <c r="AN102" s="526"/>
      <c r="AO102" s="526"/>
      <c r="AP102" s="526"/>
      <c r="AQ102" s="526"/>
      <c r="AR102" s="526"/>
      <c r="AS102" s="526"/>
      <c r="AT102" s="526"/>
      <c r="AU102" s="526"/>
      <c r="AV102" s="526"/>
      <c r="AW102" s="526"/>
      <c r="AX102" s="526"/>
    </row>
    <row r="103" spans="1:50" ht="360" x14ac:dyDescent="0.45">
      <c r="A103" s="629" t="s">
        <v>11</v>
      </c>
      <c r="B103" s="627" t="s">
        <v>336</v>
      </c>
      <c r="C103" s="514" t="s">
        <v>1185</v>
      </c>
      <c r="D103" s="630" t="s">
        <v>336</v>
      </c>
      <c r="E103" s="514" t="s">
        <v>1186</v>
      </c>
      <c r="F103" s="630" t="s">
        <v>336</v>
      </c>
      <c r="G103" s="630" t="s">
        <v>336</v>
      </c>
      <c r="H103" s="630" t="s">
        <v>336</v>
      </c>
      <c r="I103" s="631" t="s">
        <v>336</v>
      </c>
      <c r="J103" s="620"/>
      <c r="K103" s="620"/>
      <c r="L103" s="620"/>
      <c r="M103" s="526"/>
      <c r="N103" s="526"/>
      <c r="O103" s="526"/>
      <c r="P103" s="526"/>
      <c r="Q103" s="526"/>
      <c r="R103" s="526"/>
      <c r="S103" s="526"/>
      <c r="T103" s="526"/>
      <c r="U103" s="526"/>
      <c r="V103" s="526"/>
      <c r="W103" s="526"/>
      <c r="X103" s="526"/>
      <c r="Y103" s="526"/>
      <c r="Z103" s="526"/>
      <c r="AA103" s="526"/>
      <c r="AB103" s="526"/>
      <c r="AC103" s="526"/>
      <c r="AD103" s="526"/>
      <c r="AE103" s="526"/>
      <c r="AF103" s="526"/>
      <c r="AG103" s="526"/>
      <c r="AH103" s="526"/>
      <c r="AI103" s="526"/>
      <c r="AJ103" s="526"/>
      <c r="AK103" s="526"/>
      <c r="AL103" s="526"/>
      <c r="AM103" s="526"/>
      <c r="AN103" s="526"/>
      <c r="AO103" s="526"/>
      <c r="AP103" s="526"/>
      <c r="AQ103" s="526"/>
      <c r="AR103" s="526"/>
      <c r="AS103" s="526"/>
      <c r="AT103" s="526"/>
      <c r="AU103" s="526"/>
      <c r="AV103" s="526"/>
      <c r="AW103" s="526"/>
      <c r="AX103" s="526"/>
    </row>
    <row r="104" spans="1:50" ht="216" x14ac:dyDescent="0.45">
      <c r="A104" s="629" t="s">
        <v>136</v>
      </c>
      <c r="B104" s="627" t="s">
        <v>336</v>
      </c>
      <c r="C104" s="514" t="s">
        <v>979</v>
      </c>
      <c r="D104" s="630" t="s">
        <v>336</v>
      </c>
      <c r="E104" s="514" t="s">
        <v>138</v>
      </c>
      <c r="F104" s="630" t="s">
        <v>336</v>
      </c>
      <c r="G104" s="630" t="s">
        <v>336</v>
      </c>
      <c r="H104" s="630" t="s">
        <v>336</v>
      </c>
      <c r="I104" s="631" t="s">
        <v>336</v>
      </c>
      <c r="J104" s="620"/>
      <c r="K104" s="620"/>
      <c r="L104" s="620"/>
      <c r="M104" s="526"/>
      <c r="N104" s="526"/>
      <c r="O104" s="526"/>
      <c r="P104" s="526"/>
      <c r="Q104" s="526"/>
      <c r="R104" s="526"/>
      <c r="S104" s="526"/>
      <c r="T104" s="526"/>
      <c r="U104" s="526"/>
      <c r="V104" s="526"/>
      <c r="W104" s="526"/>
      <c r="X104" s="526"/>
      <c r="Y104" s="526"/>
      <c r="Z104" s="526"/>
      <c r="AA104" s="526"/>
      <c r="AB104" s="526"/>
      <c r="AC104" s="526"/>
      <c r="AD104" s="526"/>
      <c r="AE104" s="526"/>
      <c r="AF104" s="526"/>
      <c r="AG104" s="526"/>
      <c r="AH104" s="526"/>
      <c r="AI104" s="526"/>
      <c r="AJ104" s="526"/>
      <c r="AK104" s="526"/>
      <c r="AL104" s="526"/>
      <c r="AM104" s="526"/>
      <c r="AN104" s="526"/>
      <c r="AO104" s="526"/>
      <c r="AP104" s="526"/>
      <c r="AQ104" s="526"/>
      <c r="AR104" s="526"/>
      <c r="AS104" s="526"/>
      <c r="AT104" s="526"/>
      <c r="AU104" s="526"/>
      <c r="AV104" s="526"/>
      <c r="AW104" s="526"/>
      <c r="AX104" s="526"/>
    </row>
    <row r="105" spans="1:50" ht="120" x14ac:dyDescent="0.45">
      <c r="A105" s="629" t="s">
        <v>11</v>
      </c>
      <c r="B105" s="627" t="s">
        <v>336</v>
      </c>
      <c r="C105" s="514" t="s">
        <v>828</v>
      </c>
      <c r="D105" s="630" t="s">
        <v>336</v>
      </c>
      <c r="E105" s="514" t="s">
        <v>980</v>
      </c>
      <c r="F105" s="630" t="s">
        <v>336</v>
      </c>
      <c r="G105" s="630" t="s">
        <v>336</v>
      </c>
      <c r="H105" s="630" t="s">
        <v>336</v>
      </c>
      <c r="I105" s="631" t="s">
        <v>336</v>
      </c>
      <c r="J105" s="620"/>
      <c r="K105" s="620"/>
      <c r="L105" s="620"/>
      <c r="M105" s="526"/>
      <c r="N105" s="526"/>
      <c r="O105" s="526"/>
      <c r="P105" s="526"/>
      <c r="Q105" s="526"/>
      <c r="R105" s="526"/>
      <c r="S105" s="526"/>
      <c r="T105" s="526"/>
      <c r="U105" s="526"/>
      <c r="V105" s="526"/>
      <c r="W105" s="526"/>
      <c r="X105" s="526"/>
      <c r="Y105" s="526"/>
      <c r="Z105" s="526"/>
      <c r="AA105" s="526"/>
      <c r="AB105" s="526"/>
      <c r="AC105" s="526"/>
      <c r="AD105" s="526"/>
      <c r="AE105" s="526"/>
      <c r="AF105" s="526"/>
      <c r="AG105" s="526"/>
      <c r="AH105" s="526"/>
      <c r="AI105" s="526"/>
      <c r="AJ105" s="526"/>
      <c r="AK105" s="526"/>
      <c r="AL105" s="526"/>
      <c r="AM105" s="526"/>
      <c r="AN105" s="526"/>
      <c r="AO105" s="526"/>
      <c r="AP105" s="526"/>
      <c r="AQ105" s="526"/>
      <c r="AR105" s="526"/>
      <c r="AS105" s="526"/>
      <c r="AT105" s="526"/>
      <c r="AU105" s="526"/>
      <c r="AV105" s="526"/>
      <c r="AW105" s="526"/>
      <c r="AX105" s="526"/>
    </row>
    <row r="106" spans="1:50" ht="144" x14ac:dyDescent="0.45">
      <c r="A106" s="629" t="s">
        <v>11</v>
      </c>
      <c r="B106" s="627" t="s">
        <v>336</v>
      </c>
      <c r="C106" s="514" t="s">
        <v>831</v>
      </c>
      <c r="D106" s="630" t="s">
        <v>336</v>
      </c>
      <c r="E106" s="514" t="s">
        <v>981</v>
      </c>
      <c r="F106" s="630" t="s">
        <v>336</v>
      </c>
      <c r="G106" s="630" t="s">
        <v>336</v>
      </c>
      <c r="H106" s="630" t="s">
        <v>336</v>
      </c>
      <c r="I106" s="631" t="s">
        <v>336</v>
      </c>
      <c r="J106" s="620"/>
      <c r="K106" s="620"/>
      <c r="L106" s="620"/>
      <c r="M106" s="526"/>
      <c r="N106" s="526"/>
      <c r="O106" s="526"/>
      <c r="P106" s="526"/>
      <c r="Q106" s="526"/>
      <c r="R106" s="526"/>
      <c r="S106" s="526"/>
      <c r="T106" s="526"/>
      <c r="U106" s="526"/>
      <c r="V106" s="526"/>
      <c r="W106" s="526"/>
      <c r="X106" s="526"/>
      <c r="Y106" s="526"/>
      <c r="Z106" s="526"/>
      <c r="AA106" s="526"/>
      <c r="AB106" s="526"/>
      <c r="AC106" s="526"/>
      <c r="AD106" s="526"/>
      <c r="AE106" s="526"/>
      <c r="AF106" s="526"/>
      <c r="AG106" s="526"/>
      <c r="AH106" s="526"/>
      <c r="AI106" s="526"/>
      <c r="AJ106" s="526"/>
      <c r="AK106" s="526"/>
      <c r="AL106" s="526"/>
      <c r="AM106" s="526"/>
      <c r="AN106" s="526"/>
      <c r="AO106" s="526"/>
      <c r="AP106" s="526"/>
      <c r="AQ106" s="526"/>
      <c r="AR106" s="526"/>
      <c r="AS106" s="526"/>
      <c r="AT106" s="526"/>
      <c r="AU106" s="526"/>
      <c r="AV106" s="526"/>
      <c r="AW106" s="526"/>
      <c r="AX106" s="526"/>
    </row>
    <row r="107" spans="1:50" ht="96" x14ac:dyDescent="0.45">
      <c r="A107" s="629" t="s">
        <v>45</v>
      </c>
      <c r="B107" s="627" t="s">
        <v>336</v>
      </c>
      <c r="C107" s="514" t="s">
        <v>982</v>
      </c>
      <c r="D107" s="630" t="s">
        <v>336</v>
      </c>
      <c r="E107" s="514" t="s">
        <v>983</v>
      </c>
      <c r="F107" s="630" t="s">
        <v>336</v>
      </c>
      <c r="G107" s="630" t="s">
        <v>336</v>
      </c>
      <c r="H107" s="630" t="s">
        <v>336</v>
      </c>
      <c r="I107" s="631" t="s">
        <v>336</v>
      </c>
      <c r="J107" s="620"/>
      <c r="K107" s="620"/>
      <c r="L107" s="620"/>
      <c r="M107" s="526"/>
      <c r="N107" s="526"/>
      <c r="O107" s="526"/>
      <c r="P107" s="526"/>
      <c r="Q107" s="526"/>
      <c r="R107" s="526"/>
      <c r="S107" s="526"/>
      <c r="T107" s="526"/>
      <c r="U107" s="526"/>
      <c r="V107" s="526"/>
      <c r="W107" s="526"/>
      <c r="X107" s="526"/>
      <c r="Y107" s="526"/>
      <c r="Z107" s="526"/>
      <c r="AA107" s="526"/>
      <c r="AB107" s="526"/>
      <c r="AC107" s="526"/>
      <c r="AD107" s="526"/>
      <c r="AE107" s="526"/>
      <c r="AF107" s="526"/>
      <c r="AG107" s="526"/>
      <c r="AH107" s="526"/>
      <c r="AI107" s="526"/>
      <c r="AJ107" s="526"/>
      <c r="AK107" s="526"/>
      <c r="AL107" s="526"/>
      <c r="AM107" s="526"/>
      <c r="AN107" s="526"/>
      <c r="AO107" s="526"/>
      <c r="AP107" s="526"/>
      <c r="AQ107" s="526"/>
      <c r="AR107" s="526"/>
      <c r="AS107" s="526"/>
      <c r="AT107" s="526"/>
      <c r="AU107" s="526"/>
      <c r="AV107" s="526"/>
      <c r="AW107" s="526"/>
      <c r="AX107" s="526"/>
    </row>
    <row r="108" spans="1:50" ht="72" x14ac:dyDescent="0.45">
      <c r="A108" s="629" t="s">
        <v>136</v>
      </c>
      <c r="B108" s="627" t="s">
        <v>336</v>
      </c>
      <c r="C108" s="514" t="s">
        <v>840</v>
      </c>
      <c r="D108" s="630" t="s">
        <v>336</v>
      </c>
      <c r="E108" s="514" t="s">
        <v>925</v>
      </c>
      <c r="F108" s="630" t="s">
        <v>336</v>
      </c>
      <c r="G108" s="630" t="s">
        <v>336</v>
      </c>
      <c r="H108" s="630" t="s">
        <v>336</v>
      </c>
      <c r="I108" s="631" t="s">
        <v>336</v>
      </c>
      <c r="J108" s="620"/>
      <c r="K108" s="620"/>
      <c r="L108" s="620"/>
      <c r="M108" s="526"/>
      <c r="N108" s="526"/>
      <c r="O108" s="526"/>
      <c r="P108" s="526"/>
      <c r="Q108" s="526"/>
      <c r="R108" s="526"/>
      <c r="S108" s="526"/>
      <c r="T108" s="526"/>
      <c r="U108" s="526"/>
      <c r="V108" s="526"/>
      <c r="W108" s="526"/>
      <c r="X108" s="526"/>
      <c r="Y108" s="526"/>
      <c r="Z108" s="526"/>
      <c r="AA108" s="526"/>
      <c r="AB108" s="526"/>
      <c r="AC108" s="526"/>
      <c r="AD108" s="526"/>
      <c r="AE108" s="526"/>
      <c r="AF108" s="526"/>
      <c r="AG108" s="526"/>
      <c r="AH108" s="526"/>
      <c r="AI108" s="526"/>
      <c r="AJ108" s="526"/>
      <c r="AK108" s="526"/>
      <c r="AL108" s="526"/>
      <c r="AM108" s="526"/>
      <c r="AN108" s="526"/>
      <c r="AO108" s="526"/>
      <c r="AP108" s="526"/>
      <c r="AQ108" s="526"/>
      <c r="AR108" s="526"/>
      <c r="AS108" s="526"/>
      <c r="AT108" s="526"/>
      <c r="AU108" s="526"/>
      <c r="AV108" s="526"/>
      <c r="AW108" s="526"/>
      <c r="AX108" s="526"/>
    </row>
    <row r="109" spans="1:50" ht="72" x14ac:dyDescent="0.45">
      <c r="A109" s="629" t="s">
        <v>845</v>
      </c>
      <c r="B109" s="627" t="s">
        <v>336</v>
      </c>
      <c r="C109" s="514" t="s">
        <v>880</v>
      </c>
      <c r="D109" s="630" t="s">
        <v>336</v>
      </c>
      <c r="E109" s="514" t="s">
        <v>899</v>
      </c>
      <c r="F109" s="630" t="s">
        <v>336</v>
      </c>
      <c r="G109" s="630" t="s">
        <v>336</v>
      </c>
      <c r="H109" s="630" t="s">
        <v>336</v>
      </c>
      <c r="I109" s="631" t="s">
        <v>336</v>
      </c>
      <c r="J109" s="620"/>
      <c r="K109" s="620"/>
      <c r="L109" s="620"/>
      <c r="M109" s="526"/>
      <c r="N109" s="526"/>
      <c r="O109" s="526"/>
      <c r="P109" s="526"/>
      <c r="Q109" s="526"/>
      <c r="R109" s="526"/>
      <c r="S109" s="526"/>
      <c r="T109" s="526"/>
      <c r="U109" s="526"/>
      <c r="V109" s="526"/>
      <c r="W109" s="526"/>
      <c r="X109" s="526"/>
      <c r="Y109" s="526"/>
      <c r="Z109" s="526"/>
      <c r="AA109" s="526"/>
      <c r="AB109" s="526"/>
      <c r="AC109" s="526"/>
      <c r="AD109" s="526"/>
      <c r="AE109" s="526"/>
      <c r="AF109" s="526"/>
      <c r="AG109" s="526"/>
      <c r="AH109" s="526"/>
      <c r="AI109" s="526"/>
      <c r="AJ109" s="526"/>
      <c r="AK109" s="526"/>
      <c r="AL109" s="526"/>
      <c r="AM109" s="526"/>
      <c r="AN109" s="526"/>
      <c r="AO109" s="526"/>
      <c r="AP109" s="526"/>
      <c r="AQ109" s="526"/>
      <c r="AR109" s="526"/>
      <c r="AS109" s="526"/>
      <c r="AT109" s="526"/>
      <c r="AU109" s="526"/>
      <c r="AV109" s="526"/>
      <c r="AW109" s="526"/>
      <c r="AX109" s="526"/>
    </row>
    <row r="110" spans="1:50" ht="96" x14ac:dyDescent="0.45">
      <c r="A110" s="629" t="s">
        <v>189</v>
      </c>
      <c r="B110" s="627" t="s">
        <v>336</v>
      </c>
      <c r="C110" s="514" t="s">
        <v>866</v>
      </c>
      <c r="D110" s="630" t="s">
        <v>336</v>
      </c>
      <c r="E110" s="514" t="s">
        <v>901</v>
      </c>
      <c r="F110" s="630" t="s">
        <v>336</v>
      </c>
      <c r="G110" s="630" t="s">
        <v>336</v>
      </c>
      <c r="H110" s="630" t="s">
        <v>336</v>
      </c>
      <c r="I110" s="631" t="s">
        <v>336</v>
      </c>
      <c r="J110" s="620"/>
      <c r="K110" s="620"/>
      <c r="L110" s="620"/>
      <c r="M110" s="526"/>
      <c r="N110" s="526"/>
      <c r="O110" s="526"/>
      <c r="P110" s="526"/>
      <c r="Q110" s="526"/>
      <c r="R110" s="526"/>
      <c r="S110" s="526"/>
      <c r="T110" s="526"/>
      <c r="U110" s="526"/>
      <c r="V110" s="526"/>
      <c r="W110" s="526"/>
      <c r="X110" s="526"/>
      <c r="Y110" s="526"/>
      <c r="Z110" s="526"/>
      <c r="AA110" s="526"/>
      <c r="AB110" s="526"/>
      <c r="AC110" s="526"/>
      <c r="AD110" s="526"/>
      <c r="AE110" s="526"/>
      <c r="AF110" s="526"/>
      <c r="AG110" s="526"/>
      <c r="AH110" s="526"/>
      <c r="AI110" s="526"/>
      <c r="AJ110" s="526"/>
      <c r="AK110" s="526"/>
      <c r="AL110" s="526"/>
      <c r="AM110" s="526"/>
      <c r="AN110" s="526"/>
      <c r="AO110" s="526"/>
      <c r="AP110" s="526"/>
      <c r="AQ110" s="526"/>
      <c r="AR110" s="526"/>
      <c r="AS110" s="526"/>
      <c r="AT110" s="526"/>
      <c r="AU110" s="526"/>
      <c r="AV110" s="526"/>
      <c r="AW110" s="526"/>
      <c r="AX110" s="526"/>
    </row>
    <row r="111" spans="1:50" ht="24" x14ac:dyDescent="0.45">
      <c r="A111" s="628" t="s">
        <v>786</v>
      </c>
      <c r="B111" s="627" t="s">
        <v>336</v>
      </c>
      <c r="C111" s="756" t="s">
        <v>787</v>
      </c>
      <c r="D111" s="756"/>
      <c r="E111" s="756"/>
      <c r="F111" s="756"/>
      <c r="G111" s="756"/>
      <c r="H111" s="756"/>
      <c r="I111" s="757"/>
      <c r="J111" s="620"/>
      <c r="K111" s="620"/>
      <c r="L111" s="620"/>
      <c r="M111" s="526"/>
      <c r="N111" s="526"/>
      <c r="O111" s="526"/>
      <c r="P111" s="526"/>
      <c r="Q111" s="526"/>
      <c r="R111" s="526"/>
      <c r="S111" s="526"/>
      <c r="T111" s="526"/>
      <c r="U111" s="526"/>
      <c r="V111" s="526"/>
      <c r="W111" s="526"/>
      <c r="X111" s="526"/>
      <c r="Y111" s="526"/>
      <c r="Z111" s="526"/>
      <c r="AA111" s="526"/>
      <c r="AB111" s="526"/>
      <c r="AC111" s="526"/>
      <c r="AD111" s="526"/>
      <c r="AE111" s="526"/>
      <c r="AF111" s="526"/>
      <c r="AG111" s="526"/>
      <c r="AH111" s="526"/>
      <c r="AI111" s="526"/>
      <c r="AJ111" s="526"/>
      <c r="AK111" s="526"/>
      <c r="AL111" s="526"/>
      <c r="AM111" s="526"/>
      <c r="AN111" s="526"/>
      <c r="AO111" s="526"/>
      <c r="AP111" s="526"/>
      <c r="AQ111" s="526"/>
      <c r="AR111" s="526"/>
      <c r="AS111" s="526"/>
      <c r="AT111" s="526"/>
      <c r="AU111" s="526"/>
      <c r="AV111" s="526"/>
      <c r="AW111" s="526"/>
      <c r="AX111" s="526"/>
    </row>
    <row r="112" spans="1:50" ht="144" x14ac:dyDescent="0.45">
      <c r="A112" s="629" t="s">
        <v>825</v>
      </c>
      <c r="B112" s="627" t="s">
        <v>336</v>
      </c>
      <c r="C112" s="514" t="s">
        <v>977</v>
      </c>
      <c r="D112" s="630" t="s">
        <v>336</v>
      </c>
      <c r="E112" s="514" t="s">
        <v>987</v>
      </c>
      <c r="F112" s="630" t="s">
        <v>336</v>
      </c>
      <c r="G112" s="630" t="s">
        <v>336</v>
      </c>
      <c r="H112" s="630" t="s">
        <v>336</v>
      </c>
      <c r="I112" s="631" t="s">
        <v>336</v>
      </c>
      <c r="J112" s="620"/>
      <c r="K112" s="620"/>
      <c r="L112" s="620"/>
      <c r="M112" s="526"/>
      <c r="N112" s="526"/>
      <c r="O112" s="526"/>
      <c r="P112" s="526"/>
      <c r="Q112" s="526"/>
      <c r="R112" s="526"/>
      <c r="S112" s="526"/>
      <c r="T112" s="526"/>
      <c r="U112" s="526"/>
      <c r="V112" s="526"/>
      <c r="W112" s="526"/>
      <c r="X112" s="526"/>
      <c r="Y112" s="526"/>
      <c r="Z112" s="526"/>
      <c r="AA112" s="526"/>
      <c r="AB112" s="526"/>
      <c r="AC112" s="526"/>
      <c r="AD112" s="526"/>
      <c r="AE112" s="526"/>
      <c r="AF112" s="526"/>
      <c r="AG112" s="526"/>
      <c r="AH112" s="526"/>
      <c r="AI112" s="526"/>
      <c r="AJ112" s="526"/>
      <c r="AK112" s="526"/>
      <c r="AL112" s="526"/>
      <c r="AM112" s="526"/>
      <c r="AN112" s="526"/>
      <c r="AO112" s="526"/>
      <c r="AP112" s="526"/>
      <c r="AQ112" s="526"/>
      <c r="AR112" s="526"/>
      <c r="AS112" s="526"/>
      <c r="AT112" s="526"/>
      <c r="AU112" s="526"/>
      <c r="AV112" s="526"/>
      <c r="AW112" s="526"/>
      <c r="AX112" s="526"/>
    </row>
    <row r="113" spans="1:50" ht="168" x14ac:dyDescent="0.45">
      <c r="A113" s="629" t="s">
        <v>136</v>
      </c>
      <c r="B113" s="627" t="s">
        <v>336</v>
      </c>
      <c r="C113" s="514" t="s">
        <v>988</v>
      </c>
      <c r="D113" s="630" t="s">
        <v>336</v>
      </c>
      <c r="E113" s="514" t="s">
        <v>989</v>
      </c>
      <c r="F113" s="630" t="s">
        <v>336</v>
      </c>
      <c r="G113" s="630" t="s">
        <v>336</v>
      </c>
      <c r="H113" s="630" t="s">
        <v>336</v>
      </c>
      <c r="I113" s="631" t="s">
        <v>336</v>
      </c>
      <c r="J113" s="620"/>
      <c r="K113" s="620"/>
      <c r="L113" s="620"/>
      <c r="M113" s="526"/>
      <c r="N113" s="526"/>
      <c r="O113" s="526"/>
      <c r="P113" s="526"/>
      <c r="Q113" s="526"/>
      <c r="R113" s="526"/>
      <c r="S113" s="526"/>
      <c r="T113" s="526"/>
      <c r="U113" s="526"/>
      <c r="V113" s="526"/>
      <c r="W113" s="526"/>
      <c r="X113" s="526"/>
      <c r="Y113" s="526"/>
      <c r="Z113" s="526"/>
      <c r="AA113" s="526"/>
      <c r="AB113" s="526"/>
      <c r="AC113" s="526"/>
      <c r="AD113" s="526"/>
      <c r="AE113" s="526"/>
      <c r="AF113" s="526"/>
      <c r="AG113" s="526"/>
      <c r="AH113" s="526"/>
      <c r="AI113" s="526"/>
      <c r="AJ113" s="526"/>
      <c r="AK113" s="526"/>
      <c r="AL113" s="526"/>
      <c r="AM113" s="526"/>
      <c r="AN113" s="526"/>
      <c r="AO113" s="526"/>
      <c r="AP113" s="526"/>
      <c r="AQ113" s="526"/>
      <c r="AR113" s="526"/>
      <c r="AS113" s="526"/>
      <c r="AT113" s="526"/>
      <c r="AU113" s="526"/>
      <c r="AV113" s="526"/>
      <c r="AW113" s="526"/>
      <c r="AX113" s="526"/>
    </row>
    <row r="114" spans="1:50" ht="216" x14ac:dyDescent="0.45">
      <c r="A114" s="629" t="s">
        <v>136</v>
      </c>
      <c r="B114" s="627" t="s">
        <v>336</v>
      </c>
      <c r="C114" s="514" t="s">
        <v>990</v>
      </c>
      <c r="D114" s="630" t="s">
        <v>336</v>
      </c>
      <c r="E114" s="514" t="s">
        <v>991</v>
      </c>
      <c r="F114" s="630" t="s">
        <v>336</v>
      </c>
      <c r="G114" s="630" t="s">
        <v>336</v>
      </c>
      <c r="H114" s="630" t="s">
        <v>336</v>
      </c>
      <c r="I114" s="631" t="s">
        <v>336</v>
      </c>
      <c r="J114" s="620"/>
      <c r="K114" s="620"/>
      <c r="L114" s="620"/>
      <c r="M114" s="526"/>
      <c r="N114" s="526"/>
      <c r="O114" s="526"/>
      <c r="P114" s="526"/>
      <c r="Q114" s="526"/>
      <c r="R114" s="526"/>
      <c r="S114" s="526"/>
      <c r="T114" s="526"/>
      <c r="U114" s="526"/>
      <c r="V114" s="526"/>
      <c r="W114" s="526"/>
      <c r="X114" s="526"/>
      <c r="Y114" s="526"/>
      <c r="Z114" s="526"/>
      <c r="AA114" s="526"/>
      <c r="AB114" s="526"/>
      <c r="AC114" s="526"/>
      <c r="AD114" s="526"/>
      <c r="AE114" s="526"/>
      <c r="AF114" s="526"/>
      <c r="AG114" s="526"/>
      <c r="AH114" s="526"/>
      <c r="AI114" s="526"/>
      <c r="AJ114" s="526"/>
      <c r="AK114" s="526"/>
      <c r="AL114" s="526"/>
      <c r="AM114" s="526"/>
      <c r="AN114" s="526"/>
      <c r="AO114" s="526"/>
      <c r="AP114" s="526"/>
      <c r="AQ114" s="526"/>
      <c r="AR114" s="526"/>
      <c r="AS114" s="526"/>
      <c r="AT114" s="526"/>
      <c r="AU114" s="526"/>
      <c r="AV114" s="526"/>
      <c r="AW114" s="526"/>
      <c r="AX114" s="526"/>
    </row>
    <row r="115" spans="1:50" ht="72" x14ac:dyDescent="0.45">
      <c r="A115" s="629" t="s">
        <v>136</v>
      </c>
      <c r="B115" s="627" t="s">
        <v>336</v>
      </c>
      <c r="C115" s="514" t="s">
        <v>993</v>
      </c>
      <c r="D115" s="630" t="s">
        <v>336</v>
      </c>
      <c r="E115" s="514" t="s">
        <v>994</v>
      </c>
      <c r="F115" s="630" t="s">
        <v>336</v>
      </c>
      <c r="G115" s="630" t="s">
        <v>336</v>
      </c>
      <c r="H115" s="630" t="s">
        <v>336</v>
      </c>
      <c r="I115" s="632" t="s">
        <v>336</v>
      </c>
      <c r="J115" s="620"/>
      <c r="K115" s="620"/>
      <c r="L115" s="620"/>
      <c r="M115" s="526"/>
      <c r="N115" s="526"/>
      <c r="O115" s="526"/>
      <c r="P115" s="526"/>
      <c r="Q115" s="526"/>
      <c r="R115" s="526"/>
      <c r="S115" s="526"/>
      <c r="T115" s="526"/>
      <c r="U115" s="526"/>
      <c r="V115" s="526"/>
      <c r="W115" s="526"/>
      <c r="X115" s="526"/>
      <c r="Y115" s="526"/>
      <c r="Z115" s="526"/>
      <c r="AA115" s="526"/>
      <c r="AB115" s="526"/>
      <c r="AC115" s="526"/>
      <c r="AD115" s="526"/>
      <c r="AE115" s="526"/>
      <c r="AF115" s="526"/>
      <c r="AG115" s="526"/>
      <c r="AH115" s="526"/>
      <c r="AI115" s="526"/>
      <c r="AJ115" s="526"/>
      <c r="AK115" s="526"/>
      <c r="AL115" s="526"/>
      <c r="AM115" s="526"/>
      <c r="AN115" s="526"/>
      <c r="AO115" s="526"/>
      <c r="AP115" s="526"/>
      <c r="AQ115" s="526"/>
      <c r="AR115" s="526"/>
      <c r="AS115" s="526"/>
      <c r="AT115" s="526"/>
      <c r="AU115" s="526"/>
      <c r="AV115" s="526"/>
      <c r="AW115" s="526"/>
      <c r="AX115" s="526"/>
    </row>
    <row r="116" spans="1:50" ht="120" x14ac:dyDescent="0.45">
      <c r="A116" s="629" t="s">
        <v>845</v>
      </c>
      <c r="B116" s="627" t="s">
        <v>336</v>
      </c>
      <c r="C116" s="514" t="s">
        <v>996</v>
      </c>
      <c r="D116" s="630" t="s">
        <v>336</v>
      </c>
      <c r="E116" s="514" t="s">
        <v>997</v>
      </c>
      <c r="F116" s="630" t="s">
        <v>336</v>
      </c>
      <c r="G116" s="630" t="s">
        <v>336</v>
      </c>
      <c r="H116" s="630" t="s">
        <v>336</v>
      </c>
      <c r="I116" s="631" t="s">
        <v>336</v>
      </c>
      <c r="J116" s="620"/>
      <c r="K116" s="620"/>
      <c r="L116" s="620"/>
      <c r="M116" s="526"/>
      <c r="N116" s="526"/>
      <c r="O116" s="526"/>
      <c r="P116" s="526"/>
      <c r="Q116" s="526"/>
      <c r="R116" s="526"/>
      <c r="S116" s="526"/>
      <c r="T116" s="526"/>
      <c r="U116" s="526"/>
      <c r="V116" s="526"/>
      <c r="W116" s="526"/>
      <c r="X116" s="526"/>
      <c r="Y116" s="526"/>
      <c r="Z116" s="526"/>
      <c r="AA116" s="526"/>
      <c r="AB116" s="526"/>
      <c r="AC116" s="526"/>
      <c r="AD116" s="526"/>
      <c r="AE116" s="526"/>
      <c r="AF116" s="526"/>
      <c r="AG116" s="526"/>
      <c r="AH116" s="526"/>
      <c r="AI116" s="526"/>
      <c r="AJ116" s="526"/>
      <c r="AK116" s="526"/>
      <c r="AL116" s="526"/>
      <c r="AM116" s="526"/>
      <c r="AN116" s="526"/>
      <c r="AO116" s="526"/>
      <c r="AP116" s="526"/>
      <c r="AQ116" s="526"/>
      <c r="AR116" s="526"/>
      <c r="AS116" s="526"/>
      <c r="AT116" s="526"/>
      <c r="AU116" s="526"/>
      <c r="AV116" s="526"/>
      <c r="AW116" s="526"/>
      <c r="AX116" s="526"/>
    </row>
    <row r="117" spans="1:50" ht="24" x14ac:dyDescent="0.45">
      <c r="A117" s="628" t="s">
        <v>788</v>
      </c>
      <c r="B117" s="627" t="s">
        <v>336</v>
      </c>
      <c r="C117" s="756" t="s">
        <v>789</v>
      </c>
      <c r="D117" s="756"/>
      <c r="E117" s="756"/>
      <c r="F117" s="756"/>
      <c r="G117" s="756"/>
      <c r="H117" s="756"/>
      <c r="I117" s="757"/>
      <c r="J117" s="620"/>
      <c r="K117" s="620"/>
      <c r="L117" s="620"/>
      <c r="M117" s="526"/>
      <c r="N117" s="526"/>
      <c r="O117" s="526"/>
      <c r="P117" s="526"/>
      <c r="Q117" s="526"/>
      <c r="R117" s="526"/>
      <c r="S117" s="526"/>
      <c r="T117" s="526"/>
      <c r="U117" s="526"/>
      <c r="V117" s="526"/>
      <c r="W117" s="526"/>
      <c r="X117" s="526"/>
      <c r="Y117" s="526"/>
      <c r="Z117" s="526"/>
      <c r="AA117" s="526"/>
      <c r="AB117" s="526"/>
      <c r="AC117" s="526"/>
      <c r="AD117" s="526"/>
      <c r="AE117" s="526"/>
      <c r="AF117" s="526"/>
      <c r="AG117" s="526"/>
      <c r="AH117" s="526"/>
      <c r="AI117" s="526"/>
      <c r="AJ117" s="526"/>
      <c r="AK117" s="526"/>
      <c r="AL117" s="526"/>
      <c r="AM117" s="526"/>
      <c r="AN117" s="526"/>
      <c r="AO117" s="526"/>
      <c r="AP117" s="526"/>
      <c r="AQ117" s="526"/>
      <c r="AR117" s="526"/>
      <c r="AS117" s="526"/>
      <c r="AT117" s="526"/>
      <c r="AU117" s="526"/>
      <c r="AV117" s="526"/>
      <c r="AW117" s="526"/>
      <c r="AX117" s="526"/>
    </row>
    <row r="118" spans="1:50" ht="120" x14ac:dyDescent="0.45">
      <c r="A118" s="629" t="s">
        <v>825</v>
      </c>
      <c r="B118" s="627" t="s">
        <v>336</v>
      </c>
      <c r="C118" s="514" t="s">
        <v>998</v>
      </c>
      <c r="D118" s="630" t="s">
        <v>336</v>
      </c>
      <c r="E118" s="514" t="s">
        <v>999</v>
      </c>
      <c r="F118" s="630" t="s">
        <v>336</v>
      </c>
      <c r="G118" s="630" t="s">
        <v>336</v>
      </c>
      <c r="H118" s="630" t="s">
        <v>336</v>
      </c>
      <c r="I118" s="631" t="s">
        <v>336</v>
      </c>
      <c r="J118" s="620"/>
      <c r="K118" s="620"/>
      <c r="L118" s="620"/>
      <c r="M118" s="526"/>
      <c r="N118" s="526"/>
      <c r="O118" s="526"/>
      <c r="P118" s="526"/>
      <c r="Q118" s="526"/>
      <c r="R118" s="526"/>
      <c r="S118" s="526"/>
      <c r="T118" s="526"/>
      <c r="U118" s="526"/>
      <c r="V118" s="526"/>
      <c r="W118" s="526"/>
      <c r="X118" s="526"/>
      <c r="Y118" s="526"/>
      <c r="Z118" s="526"/>
      <c r="AA118" s="526"/>
      <c r="AB118" s="526"/>
      <c r="AC118" s="526"/>
      <c r="AD118" s="526"/>
      <c r="AE118" s="526"/>
      <c r="AF118" s="526"/>
      <c r="AG118" s="526"/>
      <c r="AH118" s="526"/>
      <c r="AI118" s="526"/>
      <c r="AJ118" s="526"/>
      <c r="AK118" s="526"/>
      <c r="AL118" s="526"/>
      <c r="AM118" s="526"/>
      <c r="AN118" s="526"/>
      <c r="AO118" s="526"/>
      <c r="AP118" s="526"/>
      <c r="AQ118" s="526"/>
      <c r="AR118" s="526"/>
      <c r="AS118" s="526"/>
      <c r="AT118" s="526"/>
      <c r="AU118" s="526"/>
      <c r="AV118" s="526"/>
      <c r="AW118" s="526"/>
      <c r="AX118" s="526"/>
    </row>
    <row r="119" spans="1:50" ht="144" x14ac:dyDescent="0.45">
      <c r="A119" s="629" t="s">
        <v>825</v>
      </c>
      <c r="B119" s="627" t="s">
        <v>336</v>
      </c>
      <c r="C119" s="514" t="s">
        <v>1000</v>
      </c>
      <c r="D119" s="630" t="s">
        <v>336</v>
      </c>
      <c r="E119" s="514" t="s">
        <v>1001</v>
      </c>
      <c r="F119" s="630" t="s">
        <v>336</v>
      </c>
      <c r="G119" s="630" t="s">
        <v>336</v>
      </c>
      <c r="H119" s="630" t="s">
        <v>336</v>
      </c>
      <c r="I119" s="631" t="s">
        <v>336</v>
      </c>
      <c r="J119" s="620"/>
      <c r="K119" s="620"/>
      <c r="L119" s="620"/>
      <c r="M119" s="526"/>
      <c r="N119" s="526"/>
      <c r="O119" s="526"/>
      <c r="P119" s="526"/>
      <c r="Q119" s="526"/>
      <c r="R119" s="526"/>
      <c r="S119" s="526"/>
      <c r="T119" s="526"/>
      <c r="U119" s="526"/>
      <c r="V119" s="526"/>
      <c r="W119" s="526"/>
      <c r="X119" s="526"/>
      <c r="Y119" s="526"/>
      <c r="Z119" s="526"/>
      <c r="AA119" s="526"/>
      <c r="AB119" s="526"/>
      <c r="AC119" s="526"/>
      <c r="AD119" s="526"/>
      <c r="AE119" s="526"/>
      <c r="AF119" s="526"/>
      <c r="AG119" s="526"/>
      <c r="AH119" s="526"/>
      <c r="AI119" s="526"/>
      <c r="AJ119" s="526"/>
      <c r="AK119" s="526"/>
      <c r="AL119" s="526"/>
      <c r="AM119" s="526"/>
      <c r="AN119" s="526"/>
      <c r="AO119" s="526"/>
      <c r="AP119" s="526"/>
      <c r="AQ119" s="526"/>
      <c r="AR119" s="526"/>
      <c r="AS119" s="526"/>
      <c r="AT119" s="526"/>
      <c r="AU119" s="526"/>
      <c r="AV119" s="526"/>
      <c r="AW119" s="526"/>
      <c r="AX119" s="526"/>
    </row>
    <row r="120" spans="1:50" ht="144" x14ac:dyDescent="0.45">
      <c r="A120" s="629" t="s">
        <v>11</v>
      </c>
      <c r="B120" s="627" t="s">
        <v>336</v>
      </c>
      <c r="C120" s="514" t="s">
        <v>1003</v>
      </c>
      <c r="D120" s="630" t="s">
        <v>336</v>
      </c>
      <c r="E120" s="514" t="s">
        <v>1004</v>
      </c>
      <c r="F120" s="630" t="s">
        <v>336</v>
      </c>
      <c r="G120" s="630" t="s">
        <v>336</v>
      </c>
      <c r="H120" s="630" t="s">
        <v>336</v>
      </c>
      <c r="I120" s="631" t="s">
        <v>336</v>
      </c>
      <c r="J120" s="620"/>
      <c r="K120" s="620"/>
      <c r="L120" s="620"/>
      <c r="M120" s="526"/>
      <c r="N120" s="526"/>
      <c r="O120" s="526"/>
      <c r="P120" s="526"/>
      <c r="Q120" s="526"/>
      <c r="R120" s="526"/>
      <c r="S120" s="526"/>
      <c r="T120" s="526"/>
      <c r="U120" s="526"/>
      <c r="V120" s="526"/>
      <c r="W120" s="526"/>
      <c r="X120" s="526"/>
      <c r="Y120" s="526"/>
      <c r="Z120" s="526"/>
      <c r="AA120" s="526"/>
      <c r="AB120" s="526"/>
      <c r="AC120" s="526"/>
      <c r="AD120" s="526"/>
      <c r="AE120" s="526"/>
      <c r="AF120" s="526"/>
      <c r="AG120" s="526"/>
      <c r="AH120" s="526"/>
      <c r="AI120" s="526"/>
      <c r="AJ120" s="526"/>
      <c r="AK120" s="526"/>
      <c r="AL120" s="526"/>
      <c r="AM120" s="526"/>
      <c r="AN120" s="526"/>
      <c r="AO120" s="526"/>
      <c r="AP120" s="526"/>
      <c r="AQ120" s="526"/>
      <c r="AR120" s="526"/>
      <c r="AS120" s="526"/>
      <c r="AT120" s="526"/>
      <c r="AU120" s="526"/>
      <c r="AV120" s="526"/>
      <c r="AW120" s="526"/>
      <c r="AX120" s="526"/>
    </row>
    <row r="121" spans="1:50" ht="168" x14ac:dyDescent="0.45">
      <c r="A121" s="629" t="s">
        <v>11</v>
      </c>
      <c r="B121" s="627" t="s">
        <v>336</v>
      </c>
      <c r="C121" s="514" t="s">
        <v>869</v>
      </c>
      <c r="D121" s="630" t="s">
        <v>336</v>
      </c>
      <c r="E121" s="514" t="s">
        <v>1006</v>
      </c>
      <c r="F121" s="630" t="s">
        <v>336</v>
      </c>
      <c r="G121" s="630" t="s">
        <v>336</v>
      </c>
      <c r="H121" s="630" t="s">
        <v>336</v>
      </c>
      <c r="I121" s="631" t="s">
        <v>336</v>
      </c>
      <c r="J121" s="620"/>
      <c r="K121" s="620"/>
      <c r="L121" s="620"/>
      <c r="M121" s="526"/>
      <c r="N121" s="526"/>
      <c r="O121" s="526"/>
      <c r="P121" s="526"/>
      <c r="Q121" s="526"/>
      <c r="R121" s="526"/>
      <c r="S121" s="526"/>
      <c r="T121" s="526"/>
      <c r="U121" s="526"/>
      <c r="V121" s="526"/>
      <c r="W121" s="526"/>
      <c r="X121" s="526"/>
      <c r="Y121" s="526"/>
      <c r="Z121" s="526"/>
      <c r="AA121" s="526"/>
      <c r="AB121" s="526"/>
      <c r="AC121" s="526"/>
      <c r="AD121" s="526"/>
      <c r="AE121" s="526"/>
      <c r="AF121" s="526"/>
      <c r="AG121" s="526"/>
      <c r="AH121" s="526"/>
      <c r="AI121" s="526"/>
      <c r="AJ121" s="526"/>
      <c r="AK121" s="526"/>
      <c r="AL121" s="526"/>
      <c r="AM121" s="526"/>
      <c r="AN121" s="526"/>
      <c r="AO121" s="526"/>
      <c r="AP121" s="526"/>
      <c r="AQ121" s="526"/>
      <c r="AR121" s="526"/>
      <c r="AS121" s="526"/>
      <c r="AT121" s="526"/>
      <c r="AU121" s="526"/>
      <c r="AV121" s="526"/>
      <c r="AW121" s="526"/>
      <c r="AX121" s="526"/>
    </row>
    <row r="122" spans="1:50" ht="72" x14ac:dyDescent="0.45">
      <c r="A122" s="629" t="s">
        <v>136</v>
      </c>
      <c r="B122" s="627" t="s">
        <v>336</v>
      </c>
      <c r="C122" s="514" t="s">
        <v>840</v>
      </c>
      <c r="D122" s="630" t="s">
        <v>336</v>
      </c>
      <c r="E122" s="514" t="s">
        <v>925</v>
      </c>
      <c r="F122" s="630" t="s">
        <v>336</v>
      </c>
      <c r="G122" s="630" t="s">
        <v>336</v>
      </c>
      <c r="H122" s="630" t="s">
        <v>336</v>
      </c>
      <c r="I122" s="632" t="s">
        <v>336</v>
      </c>
      <c r="J122" s="620"/>
      <c r="K122" s="620"/>
      <c r="L122" s="620"/>
      <c r="M122" s="526"/>
      <c r="N122" s="526"/>
      <c r="O122" s="526"/>
      <c r="P122" s="526"/>
      <c r="Q122" s="526"/>
      <c r="R122" s="526"/>
      <c r="S122" s="526"/>
      <c r="T122" s="526"/>
      <c r="U122" s="526"/>
      <c r="V122" s="526"/>
      <c r="W122" s="526"/>
      <c r="X122" s="526"/>
      <c r="Y122" s="526"/>
      <c r="Z122" s="526"/>
      <c r="AA122" s="526"/>
      <c r="AB122" s="526"/>
      <c r="AC122" s="526"/>
      <c r="AD122" s="526"/>
      <c r="AE122" s="526"/>
      <c r="AF122" s="526"/>
      <c r="AG122" s="526"/>
      <c r="AH122" s="526"/>
      <c r="AI122" s="526"/>
      <c r="AJ122" s="526"/>
      <c r="AK122" s="526"/>
      <c r="AL122" s="526"/>
      <c r="AM122" s="526"/>
      <c r="AN122" s="526"/>
      <c r="AO122" s="526"/>
      <c r="AP122" s="526"/>
      <c r="AQ122" s="526"/>
      <c r="AR122" s="526"/>
      <c r="AS122" s="526"/>
      <c r="AT122" s="526"/>
      <c r="AU122" s="526"/>
      <c r="AV122" s="526"/>
      <c r="AW122" s="526"/>
      <c r="AX122" s="526"/>
    </row>
    <row r="123" spans="1:50" ht="72" x14ac:dyDescent="0.45">
      <c r="A123" s="629" t="s">
        <v>845</v>
      </c>
      <c r="B123" s="627" t="s">
        <v>336</v>
      </c>
      <c r="C123" s="514" t="s">
        <v>880</v>
      </c>
      <c r="D123" s="630" t="s">
        <v>336</v>
      </c>
      <c r="E123" s="514" t="s">
        <v>899</v>
      </c>
      <c r="F123" s="630" t="s">
        <v>336</v>
      </c>
      <c r="G123" s="630" t="s">
        <v>336</v>
      </c>
      <c r="H123" s="630" t="s">
        <v>336</v>
      </c>
      <c r="I123" s="632" t="s">
        <v>336</v>
      </c>
      <c r="J123" s="620"/>
      <c r="K123" s="620"/>
      <c r="L123" s="620"/>
      <c r="M123" s="526"/>
      <c r="N123" s="526"/>
      <c r="O123" s="526"/>
      <c r="P123" s="526"/>
      <c r="Q123" s="526"/>
      <c r="R123" s="526"/>
      <c r="S123" s="526"/>
      <c r="T123" s="526"/>
      <c r="U123" s="526"/>
      <c r="V123" s="526"/>
      <c r="W123" s="526"/>
      <c r="X123" s="526"/>
      <c r="Y123" s="526"/>
      <c r="Z123" s="526"/>
      <c r="AA123" s="526"/>
      <c r="AB123" s="526"/>
      <c r="AC123" s="526"/>
      <c r="AD123" s="526"/>
      <c r="AE123" s="526"/>
      <c r="AF123" s="526"/>
      <c r="AG123" s="526"/>
      <c r="AH123" s="526"/>
      <c r="AI123" s="526"/>
      <c r="AJ123" s="526"/>
      <c r="AK123" s="526"/>
      <c r="AL123" s="526"/>
      <c r="AM123" s="526"/>
      <c r="AN123" s="526"/>
      <c r="AO123" s="526"/>
      <c r="AP123" s="526"/>
      <c r="AQ123" s="526"/>
      <c r="AR123" s="526"/>
      <c r="AS123" s="526"/>
      <c r="AT123" s="526"/>
      <c r="AU123" s="526"/>
      <c r="AV123" s="526"/>
      <c r="AW123" s="526"/>
      <c r="AX123" s="526"/>
    </row>
    <row r="124" spans="1:50" ht="96" x14ac:dyDescent="0.45">
      <c r="A124" s="629" t="s">
        <v>189</v>
      </c>
      <c r="B124" s="627" t="s">
        <v>336</v>
      </c>
      <c r="C124" s="514" t="s">
        <v>866</v>
      </c>
      <c r="D124" s="630" t="s">
        <v>336</v>
      </c>
      <c r="E124" s="514" t="s">
        <v>901</v>
      </c>
      <c r="F124" s="630" t="s">
        <v>336</v>
      </c>
      <c r="G124" s="630" t="s">
        <v>336</v>
      </c>
      <c r="H124" s="630" t="s">
        <v>336</v>
      </c>
      <c r="I124" s="631" t="s">
        <v>336</v>
      </c>
      <c r="J124" s="620"/>
      <c r="K124" s="620"/>
      <c r="L124" s="620"/>
      <c r="M124" s="526"/>
      <c r="N124" s="526"/>
      <c r="O124" s="526"/>
      <c r="P124" s="526"/>
      <c r="Q124" s="526"/>
      <c r="R124" s="526"/>
      <c r="S124" s="526"/>
      <c r="T124" s="526"/>
      <c r="U124" s="526"/>
      <c r="V124" s="526"/>
      <c r="W124" s="526"/>
      <c r="X124" s="526"/>
      <c r="Y124" s="526"/>
      <c r="Z124" s="526"/>
      <c r="AA124" s="526"/>
      <c r="AB124" s="526"/>
      <c r="AC124" s="526"/>
      <c r="AD124" s="526"/>
      <c r="AE124" s="526"/>
      <c r="AF124" s="526"/>
      <c r="AG124" s="526"/>
      <c r="AH124" s="526"/>
      <c r="AI124" s="526"/>
      <c r="AJ124" s="526"/>
      <c r="AK124" s="526"/>
      <c r="AL124" s="526"/>
      <c r="AM124" s="526"/>
      <c r="AN124" s="526"/>
      <c r="AO124" s="526"/>
      <c r="AP124" s="526"/>
      <c r="AQ124" s="526"/>
      <c r="AR124" s="526"/>
      <c r="AS124" s="526"/>
      <c r="AT124" s="526"/>
      <c r="AU124" s="526"/>
      <c r="AV124" s="526"/>
      <c r="AW124" s="526"/>
      <c r="AX124" s="526"/>
    </row>
    <row r="125" spans="1:50" ht="24" x14ac:dyDescent="0.45">
      <c r="A125" s="628" t="s">
        <v>790</v>
      </c>
      <c r="B125" s="627" t="s">
        <v>336</v>
      </c>
      <c r="C125" s="756" t="s">
        <v>1120</v>
      </c>
      <c r="D125" s="756"/>
      <c r="E125" s="756"/>
      <c r="F125" s="756"/>
      <c r="G125" s="756"/>
      <c r="H125" s="756"/>
      <c r="I125" s="757"/>
      <c r="J125" s="620"/>
      <c r="K125" s="620"/>
      <c r="L125" s="620"/>
      <c r="M125" s="526"/>
      <c r="N125" s="526"/>
      <c r="O125" s="526"/>
      <c r="P125" s="526"/>
      <c r="Q125" s="526"/>
      <c r="R125" s="526"/>
      <c r="S125" s="526"/>
      <c r="T125" s="526"/>
      <c r="U125" s="526"/>
      <c r="V125" s="526"/>
      <c r="W125" s="526"/>
      <c r="X125" s="526"/>
      <c r="Y125" s="526"/>
      <c r="Z125" s="526"/>
      <c r="AA125" s="526"/>
      <c r="AB125" s="526"/>
      <c r="AC125" s="526"/>
      <c r="AD125" s="526"/>
      <c r="AE125" s="526"/>
      <c r="AF125" s="526"/>
      <c r="AG125" s="526"/>
      <c r="AH125" s="526"/>
      <c r="AI125" s="526"/>
      <c r="AJ125" s="526"/>
      <c r="AK125" s="526"/>
      <c r="AL125" s="526"/>
      <c r="AM125" s="526"/>
      <c r="AN125" s="526"/>
      <c r="AO125" s="526"/>
      <c r="AP125" s="526"/>
      <c r="AQ125" s="526"/>
      <c r="AR125" s="526"/>
      <c r="AS125" s="526"/>
      <c r="AT125" s="526"/>
      <c r="AU125" s="526"/>
      <c r="AV125" s="526"/>
      <c r="AW125" s="526"/>
      <c r="AX125" s="526"/>
    </row>
    <row r="126" spans="1:50" ht="192" x14ac:dyDescent="0.45">
      <c r="A126" s="629" t="s">
        <v>825</v>
      </c>
      <c r="B126" s="627" t="s">
        <v>336</v>
      </c>
      <c r="C126" s="514" t="s">
        <v>1009</v>
      </c>
      <c r="D126" s="630" t="s">
        <v>336</v>
      </c>
      <c r="E126" s="514" t="s">
        <v>1010</v>
      </c>
      <c r="F126" s="630" t="s">
        <v>336</v>
      </c>
      <c r="G126" s="630" t="s">
        <v>336</v>
      </c>
      <c r="H126" s="630" t="s">
        <v>336</v>
      </c>
      <c r="I126" s="631" t="s">
        <v>336</v>
      </c>
      <c r="J126" s="620"/>
      <c r="K126" s="620"/>
      <c r="L126" s="620"/>
      <c r="M126" s="526"/>
      <c r="N126" s="526"/>
      <c r="O126" s="526"/>
      <c r="P126" s="526"/>
      <c r="Q126" s="526"/>
      <c r="R126" s="526"/>
      <c r="S126" s="526"/>
      <c r="T126" s="526"/>
      <c r="U126" s="526"/>
      <c r="V126" s="526"/>
      <c r="W126" s="526"/>
      <c r="X126" s="526"/>
      <c r="Y126" s="526"/>
      <c r="Z126" s="526"/>
      <c r="AA126" s="526"/>
      <c r="AB126" s="526"/>
      <c r="AC126" s="526"/>
      <c r="AD126" s="526"/>
      <c r="AE126" s="526"/>
      <c r="AF126" s="526"/>
      <c r="AG126" s="526"/>
      <c r="AH126" s="526"/>
      <c r="AI126" s="526"/>
      <c r="AJ126" s="526"/>
      <c r="AK126" s="526"/>
      <c r="AL126" s="526"/>
      <c r="AM126" s="526"/>
      <c r="AN126" s="526"/>
      <c r="AO126" s="526"/>
      <c r="AP126" s="526"/>
      <c r="AQ126" s="526"/>
      <c r="AR126" s="526"/>
      <c r="AS126" s="526"/>
      <c r="AT126" s="526"/>
      <c r="AU126" s="526"/>
      <c r="AV126" s="526"/>
      <c r="AW126" s="526"/>
      <c r="AX126" s="526"/>
    </row>
    <row r="127" spans="1:50" ht="192" x14ac:dyDescent="0.45">
      <c r="A127" s="629" t="s">
        <v>825</v>
      </c>
      <c r="B127" s="627" t="s">
        <v>336</v>
      </c>
      <c r="C127" s="514" t="s">
        <v>1022</v>
      </c>
      <c r="D127" s="630" t="s">
        <v>336</v>
      </c>
      <c r="E127" s="514" t="s">
        <v>1023</v>
      </c>
      <c r="F127" s="630" t="s">
        <v>336</v>
      </c>
      <c r="G127" s="630" t="s">
        <v>336</v>
      </c>
      <c r="H127" s="630" t="s">
        <v>336</v>
      </c>
      <c r="I127" s="631" t="s">
        <v>336</v>
      </c>
      <c r="J127" s="620"/>
      <c r="K127" s="620"/>
      <c r="L127" s="620"/>
      <c r="M127" s="526"/>
      <c r="N127" s="526"/>
      <c r="O127" s="526"/>
      <c r="P127" s="526"/>
      <c r="Q127" s="526"/>
      <c r="R127" s="526"/>
      <c r="S127" s="526"/>
      <c r="T127" s="526"/>
      <c r="U127" s="526"/>
      <c r="V127" s="526"/>
      <c r="W127" s="526"/>
      <c r="X127" s="526"/>
      <c r="Y127" s="526"/>
      <c r="Z127" s="526"/>
      <c r="AA127" s="526"/>
      <c r="AB127" s="526"/>
      <c r="AC127" s="526"/>
      <c r="AD127" s="526"/>
      <c r="AE127" s="526"/>
      <c r="AF127" s="526"/>
      <c r="AG127" s="526"/>
      <c r="AH127" s="526"/>
      <c r="AI127" s="526"/>
      <c r="AJ127" s="526"/>
      <c r="AK127" s="526"/>
      <c r="AL127" s="526"/>
      <c r="AM127" s="526"/>
      <c r="AN127" s="526"/>
      <c r="AO127" s="526"/>
      <c r="AP127" s="526"/>
      <c r="AQ127" s="526"/>
      <c r="AR127" s="526"/>
      <c r="AS127" s="526"/>
      <c r="AT127" s="526"/>
      <c r="AU127" s="526"/>
      <c r="AV127" s="526"/>
      <c r="AW127" s="526"/>
      <c r="AX127" s="526"/>
    </row>
    <row r="128" spans="1:50" ht="168" x14ac:dyDescent="0.45">
      <c r="A128" s="629" t="s">
        <v>853</v>
      </c>
      <c r="B128" s="627" t="s">
        <v>336</v>
      </c>
      <c r="C128" s="514" t="s">
        <v>1012</v>
      </c>
      <c r="D128" s="630" t="s">
        <v>336</v>
      </c>
      <c r="E128" s="514" t="s">
        <v>1013</v>
      </c>
      <c r="F128" s="630" t="s">
        <v>336</v>
      </c>
      <c r="G128" s="630" t="s">
        <v>336</v>
      </c>
      <c r="H128" s="630" t="s">
        <v>336</v>
      </c>
      <c r="I128" s="631" t="s">
        <v>336</v>
      </c>
      <c r="J128" s="620"/>
      <c r="K128" s="620"/>
      <c r="L128" s="620"/>
      <c r="M128" s="526"/>
      <c r="N128" s="526"/>
      <c r="O128" s="526"/>
      <c r="P128" s="526"/>
      <c r="Q128" s="526"/>
      <c r="R128" s="526"/>
      <c r="S128" s="526"/>
      <c r="T128" s="526"/>
      <c r="U128" s="526"/>
      <c r="V128" s="526"/>
      <c r="W128" s="526"/>
      <c r="X128" s="526"/>
      <c r="Y128" s="526"/>
      <c r="Z128" s="526"/>
      <c r="AA128" s="526"/>
      <c r="AB128" s="526"/>
      <c r="AC128" s="526"/>
      <c r="AD128" s="526"/>
      <c r="AE128" s="526"/>
      <c r="AF128" s="526"/>
      <c r="AG128" s="526"/>
      <c r="AH128" s="526"/>
      <c r="AI128" s="526"/>
      <c r="AJ128" s="526"/>
      <c r="AK128" s="526"/>
      <c r="AL128" s="526"/>
      <c r="AM128" s="526"/>
      <c r="AN128" s="526"/>
      <c r="AO128" s="526"/>
      <c r="AP128" s="526"/>
      <c r="AQ128" s="526"/>
      <c r="AR128" s="526"/>
      <c r="AS128" s="526"/>
      <c r="AT128" s="526"/>
      <c r="AU128" s="526"/>
      <c r="AV128" s="526"/>
      <c r="AW128" s="526"/>
      <c r="AX128" s="526"/>
    </row>
    <row r="129" spans="1:50" ht="144" x14ac:dyDescent="0.45">
      <c r="A129" s="629" t="s">
        <v>1024</v>
      </c>
      <c r="B129" s="627" t="s">
        <v>336</v>
      </c>
      <c r="C129" s="514" t="s">
        <v>1025</v>
      </c>
      <c r="D129" s="630" t="s">
        <v>336</v>
      </c>
      <c r="E129" s="514" t="s">
        <v>1026</v>
      </c>
      <c r="F129" s="630" t="s">
        <v>336</v>
      </c>
      <c r="G129" s="630" t="s">
        <v>336</v>
      </c>
      <c r="H129" s="630" t="s">
        <v>336</v>
      </c>
      <c r="I129" s="631" t="s">
        <v>336</v>
      </c>
      <c r="J129" s="620"/>
      <c r="K129" s="620"/>
      <c r="L129" s="620"/>
      <c r="M129" s="526"/>
      <c r="N129" s="526"/>
      <c r="O129" s="526"/>
      <c r="P129" s="526"/>
      <c r="Q129" s="526"/>
      <c r="R129" s="526"/>
      <c r="S129" s="526"/>
      <c r="T129" s="526"/>
      <c r="U129" s="526"/>
      <c r="V129" s="526"/>
      <c r="W129" s="526"/>
      <c r="X129" s="526"/>
      <c r="Y129" s="526"/>
      <c r="Z129" s="526"/>
      <c r="AA129" s="526"/>
      <c r="AB129" s="526"/>
      <c r="AC129" s="526"/>
      <c r="AD129" s="526"/>
      <c r="AE129" s="526"/>
      <c r="AF129" s="526"/>
      <c r="AG129" s="526"/>
      <c r="AH129" s="526"/>
      <c r="AI129" s="526"/>
      <c r="AJ129" s="526"/>
      <c r="AK129" s="526"/>
      <c r="AL129" s="526"/>
      <c r="AM129" s="526"/>
      <c r="AN129" s="526"/>
      <c r="AO129" s="526"/>
      <c r="AP129" s="526"/>
      <c r="AQ129" s="526"/>
      <c r="AR129" s="526"/>
      <c r="AS129" s="526"/>
      <c r="AT129" s="526"/>
      <c r="AU129" s="526"/>
      <c r="AV129" s="526"/>
      <c r="AW129" s="526"/>
      <c r="AX129" s="526"/>
    </row>
    <row r="130" spans="1:50" ht="120" x14ac:dyDescent="0.45">
      <c r="A130" s="629" t="s">
        <v>853</v>
      </c>
      <c r="B130" s="627" t="s">
        <v>336</v>
      </c>
      <c r="C130" s="514" t="s">
        <v>1014</v>
      </c>
      <c r="D130" s="630" t="s">
        <v>336</v>
      </c>
      <c r="E130" s="514" t="s">
        <v>1015</v>
      </c>
      <c r="F130" s="630" t="s">
        <v>336</v>
      </c>
      <c r="G130" s="630" t="s">
        <v>336</v>
      </c>
      <c r="H130" s="630" t="s">
        <v>336</v>
      </c>
      <c r="I130" s="631" t="s">
        <v>336</v>
      </c>
      <c r="J130" s="620"/>
      <c r="K130" s="620"/>
      <c r="L130" s="620"/>
      <c r="M130" s="526"/>
      <c r="N130" s="526"/>
      <c r="O130" s="526"/>
      <c r="P130" s="526"/>
      <c r="Q130" s="526"/>
      <c r="R130" s="526"/>
      <c r="S130" s="526"/>
      <c r="T130" s="526"/>
      <c r="U130" s="526"/>
      <c r="V130" s="526"/>
      <c r="W130" s="526"/>
      <c r="X130" s="526"/>
      <c r="Y130" s="526"/>
      <c r="Z130" s="526"/>
      <c r="AA130" s="526"/>
      <c r="AB130" s="526"/>
      <c r="AC130" s="526"/>
      <c r="AD130" s="526"/>
      <c r="AE130" s="526"/>
      <c r="AF130" s="526"/>
      <c r="AG130" s="526"/>
      <c r="AH130" s="526"/>
      <c r="AI130" s="526"/>
      <c r="AJ130" s="526"/>
      <c r="AK130" s="526"/>
      <c r="AL130" s="526"/>
      <c r="AM130" s="526"/>
      <c r="AN130" s="526"/>
      <c r="AO130" s="526"/>
      <c r="AP130" s="526"/>
      <c r="AQ130" s="526"/>
      <c r="AR130" s="526"/>
      <c r="AS130" s="526"/>
      <c r="AT130" s="526"/>
      <c r="AU130" s="526"/>
      <c r="AV130" s="526"/>
      <c r="AW130" s="526"/>
      <c r="AX130" s="526"/>
    </row>
    <row r="131" spans="1:50" ht="120" x14ac:dyDescent="0.45">
      <c r="A131" s="629" t="s">
        <v>1024</v>
      </c>
      <c r="B131" s="627" t="s">
        <v>336</v>
      </c>
      <c r="C131" s="514" t="s">
        <v>1014</v>
      </c>
      <c r="D131" s="630" t="s">
        <v>336</v>
      </c>
      <c r="E131" s="514" t="s">
        <v>1027</v>
      </c>
      <c r="F131" s="630" t="s">
        <v>336</v>
      </c>
      <c r="G131" s="630" t="s">
        <v>336</v>
      </c>
      <c r="H131" s="630" t="s">
        <v>336</v>
      </c>
      <c r="I131" s="631" t="s">
        <v>336</v>
      </c>
      <c r="J131" s="620"/>
      <c r="K131" s="620"/>
      <c r="L131" s="620"/>
      <c r="M131" s="526"/>
      <c r="N131" s="526"/>
      <c r="O131" s="526"/>
      <c r="P131" s="526"/>
      <c r="Q131" s="526"/>
      <c r="R131" s="526"/>
      <c r="S131" s="526"/>
      <c r="T131" s="526"/>
      <c r="U131" s="526"/>
      <c r="V131" s="526"/>
      <c r="W131" s="526"/>
      <c r="X131" s="526"/>
      <c r="Y131" s="526"/>
      <c r="Z131" s="526"/>
      <c r="AA131" s="526"/>
      <c r="AB131" s="526"/>
      <c r="AC131" s="526"/>
      <c r="AD131" s="526"/>
      <c r="AE131" s="526"/>
      <c r="AF131" s="526"/>
      <c r="AG131" s="526"/>
      <c r="AH131" s="526"/>
      <c r="AI131" s="526"/>
      <c r="AJ131" s="526"/>
      <c r="AK131" s="526"/>
      <c r="AL131" s="526"/>
      <c r="AM131" s="526"/>
      <c r="AN131" s="526"/>
      <c r="AO131" s="526"/>
      <c r="AP131" s="526"/>
      <c r="AQ131" s="526"/>
      <c r="AR131" s="526"/>
      <c r="AS131" s="526"/>
      <c r="AT131" s="526"/>
      <c r="AU131" s="526"/>
      <c r="AV131" s="526"/>
      <c r="AW131" s="526"/>
      <c r="AX131" s="526"/>
    </row>
    <row r="132" spans="1:50" ht="144" x14ac:dyDescent="0.45">
      <c r="A132" s="629" t="s">
        <v>845</v>
      </c>
      <c r="B132" s="627" t="s">
        <v>336</v>
      </c>
      <c r="C132" s="514" t="s">
        <v>1017</v>
      </c>
      <c r="D132" s="630" t="s">
        <v>336</v>
      </c>
      <c r="E132" s="514" t="s">
        <v>1018</v>
      </c>
      <c r="F132" s="630" t="s">
        <v>336</v>
      </c>
      <c r="G132" s="630" t="s">
        <v>336</v>
      </c>
      <c r="H132" s="630" t="s">
        <v>336</v>
      </c>
      <c r="I132" s="631" t="s">
        <v>336</v>
      </c>
      <c r="J132" s="620"/>
      <c r="K132" s="620"/>
      <c r="L132" s="620"/>
      <c r="M132" s="526"/>
      <c r="N132" s="526"/>
      <c r="O132" s="526"/>
      <c r="P132" s="526"/>
      <c r="Q132" s="526"/>
      <c r="R132" s="526"/>
      <c r="S132" s="526"/>
      <c r="T132" s="526"/>
      <c r="U132" s="526"/>
      <c r="V132" s="526"/>
      <c r="W132" s="526"/>
      <c r="X132" s="526"/>
      <c r="Y132" s="526"/>
      <c r="Z132" s="526"/>
      <c r="AA132" s="526"/>
      <c r="AB132" s="526"/>
      <c r="AC132" s="526"/>
      <c r="AD132" s="526"/>
      <c r="AE132" s="526"/>
      <c r="AF132" s="526"/>
      <c r="AG132" s="526"/>
      <c r="AH132" s="526"/>
      <c r="AI132" s="526"/>
      <c r="AJ132" s="526"/>
      <c r="AK132" s="526"/>
      <c r="AL132" s="526"/>
      <c r="AM132" s="526"/>
      <c r="AN132" s="526"/>
      <c r="AO132" s="526"/>
      <c r="AP132" s="526"/>
      <c r="AQ132" s="526"/>
      <c r="AR132" s="526"/>
      <c r="AS132" s="526"/>
      <c r="AT132" s="526"/>
      <c r="AU132" s="526"/>
      <c r="AV132" s="526"/>
      <c r="AW132" s="526"/>
      <c r="AX132" s="526"/>
    </row>
    <row r="133" spans="1:50" ht="96" x14ac:dyDescent="0.45">
      <c r="A133" s="629" t="s">
        <v>845</v>
      </c>
      <c r="B133" s="627" t="s">
        <v>336</v>
      </c>
      <c r="C133" s="514" t="s">
        <v>1028</v>
      </c>
      <c r="D133" s="630" t="s">
        <v>336</v>
      </c>
      <c r="E133" s="514" t="s">
        <v>1029</v>
      </c>
      <c r="F133" s="630" t="s">
        <v>336</v>
      </c>
      <c r="G133" s="630" t="s">
        <v>336</v>
      </c>
      <c r="H133" s="630" t="s">
        <v>336</v>
      </c>
      <c r="I133" s="631" t="s">
        <v>336</v>
      </c>
      <c r="J133" s="620"/>
      <c r="K133" s="620"/>
      <c r="L133" s="620"/>
      <c r="M133" s="526"/>
      <c r="N133" s="526"/>
      <c r="O133" s="526"/>
      <c r="P133" s="526"/>
      <c r="Q133" s="526"/>
      <c r="R133" s="526"/>
      <c r="S133" s="526"/>
      <c r="T133" s="526"/>
      <c r="U133" s="526"/>
      <c r="V133" s="526"/>
      <c r="W133" s="526"/>
      <c r="X133" s="526"/>
      <c r="Y133" s="526"/>
      <c r="Z133" s="526"/>
      <c r="AA133" s="526"/>
      <c r="AB133" s="526"/>
      <c r="AC133" s="526"/>
      <c r="AD133" s="526"/>
      <c r="AE133" s="526"/>
      <c r="AF133" s="526"/>
      <c r="AG133" s="526"/>
      <c r="AH133" s="526"/>
      <c r="AI133" s="526"/>
      <c r="AJ133" s="526"/>
      <c r="AK133" s="526"/>
      <c r="AL133" s="526"/>
      <c r="AM133" s="526"/>
      <c r="AN133" s="526"/>
      <c r="AO133" s="526"/>
      <c r="AP133" s="526"/>
      <c r="AQ133" s="526"/>
      <c r="AR133" s="526"/>
      <c r="AS133" s="526"/>
      <c r="AT133" s="526"/>
      <c r="AU133" s="526"/>
      <c r="AV133" s="526"/>
      <c r="AW133" s="526"/>
      <c r="AX133" s="526"/>
    </row>
    <row r="134" spans="1:50" ht="72" x14ac:dyDescent="0.45">
      <c r="A134" s="629" t="s">
        <v>136</v>
      </c>
      <c r="B134" s="627" t="s">
        <v>336</v>
      </c>
      <c r="C134" s="514" t="s">
        <v>1019</v>
      </c>
      <c r="D134" s="630" t="s">
        <v>336</v>
      </c>
      <c r="E134" s="514" t="s">
        <v>1020</v>
      </c>
      <c r="F134" s="630" t="s">
        <v>336</v>
      </c>
      <c r="G134" s="630" t="s">
        <v>336</v>
      </c>
      <c r="H134" s="630" t="s">
        <v>336</v>
      </c>
      <c r="I134" s="631" t="s">
        <v>336</v>
      </c>
      <c r="J134" s="620"/>
      <c r="K134" s="620"/>
      <c r="L134" s="620"/>
      <c r="M134" s="526"/>
      <c r="N134" s="526"/>
      <c r="O134" s="526"/>
      <c r="P134" s="526"/>
      <c r="Q134" s="526"/>
      <c r="R134" s="526"/>
      <c r="S134" s="526"/>
      <c r="T134" s="526"/>
      <c r="U134" s="526"/>
      <c r="V134" s="526"/>
      <c r="W134" s="526"/>
      <c r="X134" s="526"/>
      <c r="Y134" s="526"/>
      <c r="Z134" s="526"/>
      <c r="AA134" s="526"/>
      <c r="AB134" s="526"/>
      <c r="AC134" s="526"/>
      <c r="AD134" s="526"/>
      <c r="AE134" s="526"/>
      <c r="AF134" s="526"/>
      <c r="AG134" s="526"/>
      <c r="AH134" s="526"/>
      <c r="AI134" s="526"/>
      <c r="AJ134" s="526"/>
      <c r="AK134" s="526"/>
      <c r="AL134" s="526"/>
      <c r="AM134" s="526"/>
      <c r="AN134" s="526"/>
      <c r="AO134" s="526"/>
      <c r="AP134" s="526"/>
      <c r="AQ134" s="526"/>
      <c r="AR134" s="526"/>
      <c r="AS134" s="526"/>
      <c r="AT134" s="526"/>
      <c r="AU134" s="526"/>
      <c r="AV134" s="526"/>
      <c r="AW134" s="526"/>
      <c r="AX134" s="526"/>
    </row>
    <row r="135" spans="1:50" ht="72" x14ac:dyDescent="0.45">
      <c r="A135" s="629" t="s">
        <v>136</v>
      </c>
      <c r="B135" s="627" t="s">
        <v>336</v>
      </c>
      <c r="C135" s="514" t="s">
        <v>1030</v>
      </c>
      <c r="D135" s="630" t="s">
        <v>336</v>
      </c>
      <c r="E135" s="514" t="s">
        <v>1020</v>
      </c>
      <c r="F135" s="630" t="s">
        <v>336</v>
      </c>
      <c r="G135" s="630" t="s">
        <v>336</v>
      </c>
      <c r="H135" s="630" t="s">
        <v>336</v>
      </c>
      <c r="I135" s="631" t="s">
        <v>336</v>
      </c>
      <c r="J135" s="620"/>
      <c r="K135" s="620"/>
      <c r="L135" s="620"/>
      <c r="M135" s="526"/>
      <c r="N135" s="526"/>
      <c r="O135" s="526"/>
      <c r="P135" s="526"/>
      <c r="Q135" s="526"/>
      <c r="R135" s="526"/>
      <c r="S135" s="526"/>
      <c r="T135" s="526"/>
      <c r="U135" s="526"/>
      <c r="V135" s="526"/>
      <c r="W135" s="526"/>
      <c r="X135" s="526"/>
      <c r="Y135" s="526"/>
      <c r="Z135" s="526"/>
      <c r="AA135" s="526"/>
      <c r="AB135" s="526"/>
      <c r="AC135" s="526"/>
      <c r="AD135" s="526"/>
      <c r="AE135" s="526"/>
      <c r="AF135" s="526"/>
      <c r="AG135" s="526"/>
      <c r="AH135" s="526"/>
      <c r="AI135" s="526"/>
      <c r="AJ135" s="526"/>
      <c r="AK135" s="526"/>
      <c r="AL135" s="526"/>
      <c r="AM135" s="526"/>
      <c r="AN135" s="526"/>
      <c r="AO135" s="526"/>
      <c r="AP135" s="526"/>
      <c r="AQ135" s="526"/>
      <c r="AR135" s="526"/>
      <c r="AS135" s="526"/>
      <c r="AT135" s="526"/>
      <c r="AU135" s="526"/>
      <c r="AV135" s="526"/>
      <c r="AW135" s="526"/>
      <c r="AX135" s="526"/>
    </row>
    <row r="136" spans="1:50" ht="24" x14ac:dyDescent="0.45">
      <c r="A136" s="628" t="s">
        <v>1121</v>
      </c>
      <c r="B136" s="627" t="s">
        <v>336</v>
      </c>
      <c r="C136" s="756" t="s">
        <v>1122</v>
      </c>
      <c r="D136" s="756"/>
      <c r="E136" s="756"/>
      <c r="F136" s="756"/>
      <c r="G136" s="756"/>
      <c r="H136" s="756"/>
      <c r="I136" s="757"/>
      <c r="J136" s="620"/>
      <c r="K136" s="620"/>
      <c r="L136" s="620"/>
      <c r="M136" s="526"/>
      <c r="N136" s="526"/>
      <c r="O136" s="526"/>
      <c r="P136" s="526"/>
      <c r="Q136" s="526"/>
      <c r="R136" s="526"/>
      <c r="S136" s="526"/>
      <c r="T136" s="526"/>
      <c r="U136" s="526"/>
      <c r="V136" s="526"/>
      <c r="W136" s="526"/>
      <c r="X136" s="526"/>
      <c r="Y136" s="526"/>
      <c r="Z136" s="526"/>
      <c r="AA136" s="526"/>
      <c r="AB136" s="526"/>
      <c r="AC136" s="526"/>
      <c r="AD136" s="526"/>
      <c r="AE136" s="526"/>
      <c r="AF136" s="526"/>
      <c r="AG136" s="526"/>
      <c r="AH136" s="526"/>
      <c r="AI136" s="526"/>
      <c r="AJ136" s="526"/>
      <c r="AK136" s="526"/>
      <c r="AL136" s="526"/>
      <c r="AM136" s="526"/>
      <c r="AN136" s="526"/>
      <c r="AO136" s="526"/>
      <c r="AP136" s="526"/>
      <c r="AQ136" s="526"/>
      <c r="AR136" s="526"/>
      <c r="AS136" s="526"/>
      <c r="AT136" s="526"/>
      <c r="AU136" s="526"/>
      <c r="AV136" s="526"/>
      <c r="AW136" s="526"/>
      <c r="AX136" s="526"/>
    </row>
    <row r="137" spans="1:50" ht="264" x14ac:dyDescent="0.45">
      <c r="A137" s="629" t="s">
        <v>825</v>
      </c>
      <c r="B137" s="627" t="s">
        <v>336</v>
      </c>
      <c r="C137" s="514" t="s">
        <v>1187</v>
      </c>
      <c r="D137" s="630" t="s">
        <v>336</v>
      </c>
      <c r="E137" s="514" t="s">
        <v>1188</v>
      </c>
      <c r="F137" s="630" t="s">
        <v>336</v>
      </c>
      <c r="G137" s="630" t="s">
        <v>336</v>
      </c>
      <c r="H137" s="630" t="s">
        <v>336</v>
      </c>
      <c r="I137" s="631" t="s">
        <v>336</v>
      </c>
      <c r="J137" s="620"/>
      <c r="K137" s="620"/>
      <c r="L137" s="620"/>
      <c r="M137" s="526"/>
      <c r="N137" s="526"/>
      <c r="O137" s="526"/>
      <c r="P137" s="526"/>
      <c r="Q137" s="526"/>
      <c r="R137" s="526"/>
      <c r="S137" s="526"/>
      <c r="T137" s="526"/>
      <c r="U137" s="526"/>
      <c r="V137" s="526"/>
      <c r="W137" s="526"/>
      <c r="X137" s="526"/>
      <c r="Y137" s="526"/>
      <c r="Z137" s="526"/>
      <c r="AA137" s="526"/>
      <c r="AB137" s="526"/>
      <c r="AC137" s="526"/>
      <c r="AD137" s="526"/>
      <c r="AE137" s="526"/>
      <c r="AF137" s="526"/>
      <c r="AG137" s="526"/>
      <c r="AH137" s="526"/>
      <c r="AI137" s="526"/>
      <c r="AJ137" s="526"/>
      <c r="AK137" s="526"/>
      <c r="AL137" s="526"/>
      <c r="AM137" s="526"/>
      <c r="AN137" s="526"/>
      <c r="AO137" s="526"/>
      <c r="AP137" s="526"/>
      <c r="AQ137" s="526"/>
      <c r="AR137" s="526"/>
      <c r="AS137" s="526"/>
      <c r="AT137" s="526"/>
      <c r="AU137" s="526"/>
      <c r="AV137" s="526"/>
      <c r="AW137" s="526"/>
      <c r="AX137" s="526"/>
    </row>
    <row r="138" spans="1:50" ht="168" x14ac:dyDescent="0.45">
      <c r="A138" s="629" t="s">
        <v>825</v>
      </c>
      <c r="B138" s="627" t="s">
        <v>336</v>
      </c>
      <c r="C138" s="514" t="s">
        <v>1189</v>
      </c>
      <c r="D138" s="630" t="s">
        <v>336</v>
      </c>
      <c r="E138" s="514" t="s">
        <v>1190</v>
      </c>
      <c r="F138" s="630" t="s">
        <v>336</v>
      </c>
      <c r="G138" s="630" t="s">
        <v>336</v>
      </c>
      <c r="H138" s="630" t="s">
        <v>336</v>
      </c>
      <c r="I138" s="631" t="s">
        <v>336</v>
      </c>
      <c r="J138" s="620"/>
      <c r="K138" s="620"/>
      <c r="L138" s="620"/>
      <c r="M138" s="526"/>
      <c r="N138" s="526"/>
      <c r="O138" s="526"/>
      <c r="P138" s="526"/>
      <c r="Q138" s="526"/>
      <c r="R138" s="526"/>
      <c r="S138" s="526"/>
      <c r="T138" s="526"/>
      <c r="U138" s="526"/>
      <c r="V138" s="526"/>
      <c r="W138" s="526"/>
      <c r="X138" s="526"/>
      <c r="Y138" s="526"/>
      <c r="Z138" s="526"/>
      <c r="AA138" s="526"/>
      <c r="AB138" s="526"/>
      <c r="AC138" s="526"/>
      <c r="AD138" s="526"/>
      <c r="AE138" s="526"/>
      <c r="AF138" s="526"/>
      <c r="AG138" s="526"/>
      <c r="AH138" s="526"/>
      <c r="AI138" s="526"/>
      <c r="AJ138" s="526"/>
      <c r="AK138" s="526"/>
      <c r="AL138" s="526"/>
      <c r="AM138" s="526"/>
      <c r="AN138" s="526"/>
      <c r="AO138" s="526"/>
      <c r="AP138" s="526"/>
      <c r="AQ138" s="526"/>
      <c r="AR138" s="526"/>
      <c r="AS138" s="526"/>
      <c r="AT138" s="526"/>
      <c r="AU138" s="526"/>
      <c r="AV138" s="526"/>
      <c r="AW138" s="526"/>
      <c r="AX138" s="526"/>
    </row>
    <row r="139" spans="1:50" ht="144" x14ac:dyDescent="0.45">
      <c r="A139" s="629" t="s">
        <v>11</v>
      </c>
      <c r="B139" s="627" t="s">
        <v>336</v>
      </c>
      <c r="C139" s="514" t="s">
        <v>1191</v>
      </c>
      <c r="D139" s="630" t="s">
        <v>336</v>
      </c>
      <c r="E139" s="514" t="s">
        <v>1192</v>
      </c>
      <c r="F139" s="630" t="s">
        <v>336</v>
      </c>
      <c r="G139" s="630" t="s">
        <v>336</v>
      </c>
      <c r="H139" s="630" t="s">
        <v>336</v>
      </c>
      <c r="I139" s="631" t="s">
        <v>336</v>
      </c>
      <c r="J139" s="620"/>
      <c r="K139" s="620"/>
      <c r="L139" s="620"/>
      <c r="M139" s="526"/>
      <c r="N139" s="526"/>
      <c r="O139" s="526"/>
      <c r="P139" s="526"/>
      <c r="Q139" s="526"/>
      <c r="R139" s="526"/>
      <c r="S139" s="526"/>
      <c r="T139" s="526"/>
      <c r="U139" s="526"/>
      <c r="V139" s="526"/>
      <c r="W139" s="526"/>
      <c r="X139" s="526"/>
      <c r="Y139" s="526"/>
      <c r="Z139" s="526"/>
      <c r="AA139" s="526"/>
      <c r="AB139" s="526"/>
      <c r="AC139" s="526"/>
      <c r="AD139" s="526"/>
      <c r="AE139" s="526"/>
      <c r="AF139" s="526"/>
      <c r="AG139" s="526"/>
      <c r="AH139" s="526"/>
      <c r="AI139" s="526"/>
      <c r="AJ139" s="526"/>
      <c r="AK139" s="526"/>
      <c r="AL139" s="526"/>
      <c r="AM139" s="526"/>
      <c r="AN139" s="526"/>
      <c r="AO139" s="526"/>
      <c r="AP139" s="526"/>
      <c r="AQ139" s="526"/>
      <c r="AR139" s="526"/>
      <c r="AS139" s="526"/>
      <c r="AT139" s="526"/>
      <c r="AU139" s="526"/>
      <c r="AV139" s="526"/>
      <c r="AW139" s="526"/>
      <c r="AX139" s="526"/>
    </row>
    <row r="140" spans="1:50" ht="120" x14ac:dyDescent="0.45">
      <c r="A140" s="629" t="s">
        <v>11</v>
      </c>
      <c r="B140" s="627" t="s">
        <v>336</v>
      </c>
      <c r="C140" s="514" t="s">
        <v>1193</v>
      </c>
      <c r="D140" s="630" t="s">
        <v>336</v>
      </c>
      <c r="E140" s="514" t="s">
        <v>1194</v>
      </c>
      <c r="F140" s="630" t="s">
        <v>336</v>
      </c>
      <c r="G140" s="630" t="s">
        <v>336</v>
      </c>
      <c r="H140" s="630" t="s">
        <v>336</v>
      </c>
      <c r="I140" s="631" t="s">
        <v>336</v>
      </c>
      <c r="J140" s="620"/>
      <c r="K140" s="620"/>
      <c r="L140" s="620"/>
      <c r="M140" s="526"/>
      <c r="N140" s="526"/>
      <c r="O140" s="526"/>
      <c r="P140" s="526"/>
      <c r="Q140" s="526"/>
      <c r="R140" s="526"/>
      <c r="S140" s="526"/>
      <c r="T140" s="526"/>
      <c r="U140" s="526"/>
      <c r="V140" s="526"/>
      <c r="W140" s="526"/>
      <c r="X140" s="526"/>
      <c r="Y140" s="526"/>
      <c r="Z140" s="526"/>
      <c r="AA140" s="526"/>
      <c r="AB140" s="526"/>
      <c r="AC140" s="526"/>
      <c r="AD140" s="526"/>
      <c r="AE140" s="526"/>
      <c r="AF140" s="526"/>
      <c r="AG140" s="526"/>
      <c r="AH140" s="526"/>
      <c r="AI140" s="526"/>
      <c r="AJ140" s="526"/>
      <c r="AK140" s="526"/>
      <c r="AL140" s="526"/>
      <c r="AM140" s="526"/>
      <c r="AN140" s="526"/>
      <c r="AO140" s="526"/>
      <c r="AP140" s="526"/>
      <c r="AQ140" s="526"/>
      <c r="AR140" s="526"/>
      <c r="AS140" s="526"/>
      <c r="AT140" s="526"/>
      <c r="AU140" s="526"/>
      <c r="AV140" s="526"/>
      <c r="AW140" s="526"/>
      <c r="AX140" s="526"/>
    </row>
    <row r="141" spans="1:50" ht="72" x14ac:dyDescent="0.45">
      <c r="A141" s="629" t="s">
        <v>136</v>
      </c>
      <c r="B141" s="627" t="s">
        <v>336</v>
      </c>
      <c r="C141" s="514" t="s">
        <v>840</v>
      </c>
      <c r="D141" s="630" t="s">
        <v>336</v>
      </c>
      <c r="E141" s="514" t="s">
        <v>1195</v>
      </c>
      <c r="F141" s="630" t="s">
        <v>336</v>
      </c>
      <c r="G141" s="630" t="s">
        <v>336</v>
      </c>
      <c r="H141" s="630" t="s">
        <v>336</v>
      </c>
      <c r="I141" s="631" t="s">
        <v>336</v>
      </c>
      <c r="J141" s="620"/>
      <c r="K141" s="620"/>
      <c r="L141" s="620"/>
      <c r="M141" s="526"/>
      <c r="N141" s="526"/>
      <c r="O141" s="526"/>
      <c r="P141" s="526"/>
      <c r="Q141" s="526"/>
      <c r="R141" s="526"/>
      <c r="S141" s="526"/>
      <c r="T141" s="526"/>
      <c r="U141" s="526"/>
      <c r="V141" s="526"/>
      <c r="W141" s="526"/>
      <c r="X141" s="526"/>
      <c r="Y141" s="526"/>
      <c r="Z141" s="526"/>
      <c r="AA141" s="526"/>
      <c r="AB141" s="526"/>
      <c r="AC141" s="526"/>
      <c r="AD141" s="526"/>
      <c r="AE141" s="526"/>
      <c r="AF141" s="526"/>
      <c r="AG141" s="526"/>
      <c r="AH141" s="526"/>
      <c r="AI141" s="526"/>
      <c r="AJ141" s="526"/>
      <c r="AK141" s="526"/>
      <c r="AL141" s="526"/>
      <c r="AM141" s="526"/>
      <c r="AN141" s="526"/>
      <c r="AO141" s="526"/>
      <c r="AP141" s="526"/>
      <c r="AQ141" s="526"/>
      <c r="AR141" s="526"/>
      <c r="AS141" s="526"/>
      <c r="AT141" s="526"/>
      <c r="AU141" s="526"/>
      <c r="AV141" s="526"/>
      <c r="AW141" s="526"/>
      <c r="AX141" s="526"/>
    </row>
    <row r="142" spans="1:50" ht="168" x14ac:dyDescent="0.45">
      <c r="A142" s="629" t="s">
        <v>845</v>
      </c>
      <c r="B142" s="627" t="s">
        <v>336</v>
      </c>
      <c r="C142" s="514" t="s">
        <v>880</v>
      </c>
      <c r="D142" s="630" t="s">
        <v>336</v>
      </c>
      <c r="E142" s="514" t="s">
        <v>1196</v>
      </c>
      <c r="F142" s="630" t="s">
        <v>336</v>
      </c>
      <c r="G142" s="630" t="s">
        <v>336</v>
      </c>
      <c r="H142" s="630" t="s">
        <v>336</v>
      </c>
      <c r="I142" s="631" t="s">
        <v>336</v>
      </c>
      <c r="J142" s="620"/>
      <c r="K142" s="620"/>
      <c r="L142" s="620"/>
      <c r="M142" s="526"/>
      <c r="N142" s="526"/>
      <c r="O142" s="526"/>
      <c r="P142" s="526"/>
      <c r="Q142" s="526"/>
      <c r="R142" s="526"/>
      <c r="S142" s="526"/>
      <c r="T142" s="526"/>
      <c r="U142" s="526"/>
      <c r="V142" s="526"/>
      <c r="W142" s="526"/>
      <c r="X142" s="526"/>
      <c r="Y142" s="526"/>
      <c r="Z142" s="526"/>
      <c r="AA142" s="526"/>
      <c r="AB142" s="526"/>
      <c r="AC142" s="526"/>
      <c r="AD142" s="526"/>
      <c r="AE142" s="526"/>
      <c r="AF142" s="526"/>
      <c r="AG142" s="526"/>
      <c r="AH142" s="526"/>
      <c r="AI142" s="526"/>
      <c r="AJ142" s="526"/>
      <c r="AK142" s="526"/>
      <c r="AL142" s="526"/>
      <c r="AM142" s="526"/>
      <c r="AN142" s="526"/>
      <c r="AO142" s="526"/>
      <c r="AP142" s="526"/>
      <c r="AQ142" s="526"/>
      <c r="AR142" s="526"/>
      <c r="AS142" s="526"/>
      <c r="AT142" s="526"/>
      <c r="AU142" s="526"/>
      <c r="AV142" s="526"/>
      <c r="AW142" s="526"/>
      <c r="AX142" s="526"/>
    </row>
    <row r="143" spans="1:50" ht="96" x14ac:dyDescent="0.45">
      <c r="A143" s="629" t="s">
        <v>189</v>
      </c>
      <c r="B143" s="627" t="s">
        <v>336</v>
      </c>
      <c r="C143" s="514" t="s">
        <v>866</v>
      </c>
      <c r="D143" s="630" t="s">
        <v>336</v>
      </c>
      <c r="E143" s="514" t="s">
        <v>901</v>
      </c>
      <c r="F143" s="630" t="s">
        <v>336</v>
      </c>
      <c r="G143" s="630" t="s">
        <v>336</v>
      </c>
      <c r="H143" s="630" t="s">
        <v>336</v>
      </c>
      <c r="I143" s="631" t="s">
        <v>336</v>
      </c>
      <c r="J143" s="620"/>
      <c r="K143" s="620"/>
      <c r="L143" s="620"/>
      <c r="M143" s="526"/>
      <c r="N143" s="526"/>
      <c r="O143" s="526"/>
      <c r="P143" s="526"/>
      <c r="Q143" s="526"/>
      <c r="R143" s="526"/>
      <c r="S143" s="526"/>
      <c r="T143" s="526"/>
      <c r="U143" s="526"/>
      <c r="V143" s="526"/>
      <c r="W143" s="526"/>
      <c r="X143" s="526"/>
      <c r="Y143" s="526"/>
      <c r="Z143" s="526"/>
      <c r="AA143" s="526"/>
      <c r="AB143" s="526"/>
      <c r="AC143" s="526"/>
      <c r="AD143" s="526"/>
      <c r="AE143" s="526"/>
      <c r="AF143" s="526"/>
      <c r="AG143" s="526"/>
      <c r="AH143" s="526"/>
      <c r="AI143" s="526"/>
      <c r="AJ143" s="526"/>
      <c r="AK143" s="526"/>
      <c r="AL143" s="526"/>
      <c r="AM143" s="526"/>
      <c r="AN143" s="526"/>
      <c r="AO143" s="526"/>
      <c r="AP143" s="526"/>
      <c r="AQ143" s="526"/>
      <c r="AR143" s="526"/>
      <c r="AS143" s="526"/>
      <c r="AT143" s="526"/>
      <c r="AU143" s="526"/>
      <c r="AV143" s="526"/>
      <c r="AW143" s="526"/>
      <c r="AX143" s="526"/>
    </row>
    <row r="144" spans="1:50" ht="24" x14ac:dyDescent="0.45">
      <c r="A144" s="626" t="s">
        <v>796</v>
      </c>
      <c r="B144" s="627" t="s">
        <v>336</v>
      </c>
      <c r="C144" s="758" t="s">
        <v>1031</v>
      </c>
      <c r="D144" s="758"/>
      <c r="E144" s="758"/>
      <c r="F144" s="758"/>
      <c r="G144" s="758"/>
      <c r="H144" s="758"/>
      <c r="I144" s="759"/>
      <c r="J144" s="620"/>
      <c r="K144" s="620"/>
      <c r="L144" s="620"/>
      <c r="M144" s="526"/>
      <c r="N144" s="526"/>
      <c r="O144" s="526"/>
      <c r="P144" s="526"/>
      <c r="Q144" s="526"/>
      <c r="R144" s="526"/>
      <c r="S144" s="526"/>
      <c r="T144" s="526"/>
      <c r="U144" s="526"/>
      <c r="V144" s="526"/>
      <c r="W144" s="526"/>
      <c r="X144" s="526"/>
      <c r="Y144" s="526"/>
      <c r="Z144" s="526"/>
      <c r="AA144" s="526"/>
      <c r="AB144" s="526"/>
      <c r="AC144" s="526"/>
      <c r="AD144" s="526"/>
      <c r="AE144" s="526"/>
      <c r="AF144" s="526"/>
      <c r="AG144" s="526"/>
      <c r="AH144" s="526"/>
      <c r="AI144" s="526"/>
      <c r="AJ144" s="526"/>
      <c r="AK144" s="526"/>
      <c r="AL144" s="526"/>
      <c r="AM144" s="526"/>
      <c r="AN144" s="526"/>
      <c r="AO144" s="526"/>
      <c r="AP144" s="526"/>
      <c r="AQ144" s="526"/>
      <c r="AR144" s="526"/>
      <c r="AS144" s="526"/>
      <c r="AT144" s="526"/>
      <c r="AU144" s="526"/>
      <c r="AV144" s="526"/>
      <c r="AW144" s="526"/>
      <c r="AX144" s="526"/>
    </row>
    <row r="145" spans="1:50" ht="24" x14ac:dyDescent="0.45">
      <c r="A145" s="628" t="s">
        <v>798</v>
      </c>
      <c r="B145" s="627" t="s">
        <v>336</v>
      </c>
      <c r="C145" s="756" t="s">
        <v>799</v>
      </c>
      <c r="D145" s="756"/>
      <c r="E145" s="756"/>
      <c r="F145" s="756"/>
      <c r="G145" s="756"/>
      <c r="H145" s="756"/>
      <c r="I145" s="757"/>
      <c r="J145" s="620"/>
      <c r="K145" s="620"/>
      <c r="L145" s="620"/>
      <c r="M145" s="526"/>
      <c r="N145" s="526"/>
      <c r="O145" s="526"/>
      <c r="P145" s="526"/>
      <c r="Q145" s="526"/>
      <c r="R145" s="526"/>
      <c r="S145" s="526"/>
      <c r="T145" s="526"/>
      <c r="U145" s="526"/>
      <c r="V145" s="526"/>
      <c r="W145" s="526"/>
      <c r="X145" s="526"/>
      <c r="Y145" s="526"/>
      <c r="Z145" s="526"/>
      <c r="AA145" s="526"/>
      <c r="AB145" s="526"/>
      <c r="AC145" s="526"/>
      <c r="AD145" s="526"/>
      <c r="AE145" s="526"/>
      <c r="AF145" s="526"/>
      <c r="AG145" s="526"/>
      <c r="AH145" s="526"/>
      <c r="AI145" s="526"/>
      <c r="AJ145" s="526"/>
      <c r="AK145" s="526"/>
      <c r="AL145" s="526"/>
      <c r="AM145" s="526"/>
      <c r="AN145" s="526"/>
      <c r="AO145" s="526"/>
      <c r="AP145" s="526"/>
      <c r="AQ145" s="526"/>
      <c r="AR145" s="526"/>
      <c r="AS145" s="526"/>
      <c r="AT145" s="526"/>
      <c r="AU145" s="526"/>
      <c r="AV145" s="526"/>
      <c r="AW145" s="526"/>
      <c r="AX145" s="526"/>
    </row>
    <row r="146" spans="1:50" ht="144" x14ac:dyDescent="0.45">
      <c r="A146" s="629" t="s">
        <v>825</v>
      </c>
      <c r="B146" s="627" t="s">
        <v>336</v>
      </c>
      <c r="C146" s="514" t="s">
        <v>1032</v>
      </c>
      <c r="D146" s="630" t="s">
        <v>336</v>
      </c>
      <c r="E146" s="514" t="s">
        <v>1033</v>
      </c>
      <c r="F146" s="630" t="s">
        <v>336</v>
      </c>
      <c r="G146" s="630" t="s">
        <v>336</v>
      </c>
      <c r="H146" s="630" t="s">
        <v>336</v>
      </c>
      <c r="I146" s="631" t="s">
        <v>336</v>
      </c>
      <c r="J146" s="620"/>
      <c r="K146" s="620"/>
      <c r="L146" s="620"/>
      <c r="M146" s="526"/>
      <c r="N146" s="526"/>
      <c r="O146" s="526"/>
      <c r="P146" s="526"/>
      <c r="Q146" s="526"/>
      <c r="R146" s="526"/>
      <c r="S146" s="526"/>
      <c r="T146" s="526"/>
      <c r="U146" s="526"/>
      <c r="V146" s="526"/>
      <c r="W146" s="526"/>
      <c r="X146" s="526"/>
      <c r="Y146" s="526"/>
      <c r="Z146" s="526"/>
      <c r="AA146" s="526"/>
      <c r="AB146" s="526"/>
      <c r="AC146" s="526"/>
      <c r="AD146" s="526"/>
      <c r="AE146" s="526"/>
      <c r="AF146" s="526"/>
      <c r="AG146" s="526"/>
      <c r="AH146" s="526"/>
      <c r="AI146" s="526"/>
      <c r="AJ146" s="526"/>
      <c r="AK146" s="526"/>
      <c r="AL146" s="526"/>
      <c r="AM146" s="526"/>
      <c r="AN146" s="526"/>
      <c r="AO146" s="526"/>
      <c r="AP146" s="526"/>
      <c r="AQ146" s="526"/>
      <c r="AR146" s="526"/>
      <c r="AS146" s="526"/>
      <c r="AT146" s="526"/>
      <c r="AU146" s="526"/>
      <c r="AV146" s="526"/>
      <c r="AW146" s="526"/>
      <c r="AX146" s="526"/>
    </row>
    <row r="147" spans="1:50" ht="192" x14ac:dyDescent="0.45">
      <c r="A147" s="629" t="s">
        <v>189</v>
      </c>
      <c r="B147" s="627" t="s">
        <v>336</v>
      </c>
      <c r="C147" s="514" t="s">
        <v>1034</v>
      </c>
      <c r="D147" s="630" t="s">
        <v>336</v>
      </c>
      <c r="E147" s="514" t="s">
        <v>1035</v>
      </c>
      <c r="F147" s="630" t="s">
        <v>336</v>
      </c>
      <c r="G147" s="630" t="s">
        <v>336</v>
      </c>
      <c r="H147" s="630" t="s">
        <v>336</v>
      </c>
      <c r="I147" s="631" t="s">
        <v>336</v>
      </c>
      <c r="J147" s="620"/>
      <c r="K147" s="620"/>
      <c r="L147" s="620"/>
      <c r="M147" s="526"/>
      <c r="N147" s="526"/>
      <c r="O147" s="526"/>
      <c r="P147" s="526"/>
      <c r="Q147" s="526"/>
      <c r="R147" s="526"/>
      <c r="S147" s="526"/>
      <c r="T147" s="526"/>
      <c r="U147" s="526"/>
      <c r="V147" s="526"/>
      <c r="W147" s="526"/>
      <c r="X147" s="526"/>
      <c r="Y147" s="526"/>
      <c r="Z147" s="526"/>
      <c r="AA147" s="526"/>
      <c r="AB147" s="526"/>
      <c r="AC147" s="526"/>
      <c r="AD147" s="526"/>
      <c r="AE147" s="526"/>
      <c r="AF147" s="526"/>
      <c r="AG147" s="526"/>
      <c r="AH147" s="526"/>
      <c r="AI147" s="526"/>
      <c r="AJ147" s="526"/>
      <c r="AK147" s="526"/>
      <c r="AL147" s="526"/>
      <c r="AM147" s="526"/>
      <c r="AN147" s="526"/>
      <c r="AO147" s="526"/>
      <c r="AP147" s="526"/>
      <c r="AQ147" s="526"/>
      <c r="AR147" s="526"/>
      <c r="AS147" s="526"/>
      <c r="AT147" s="526"/>
      <c r="AU147" s="526"/>
      <c r="AV147" s="526"/>
      <c r="AW147" s="526"/>
      <c r="AX147" s="526"/>
    </row>
    <row r="148" spans="1:50" ht="120" x14ac:dyDescent="0.45">
      <c r="A148" s="629" t="s">
        <v>189</v>
      </c>
      <c r="B148" s="627" t="s">
        <v>336</v>
      </c>
      <c r="C148" s="514" t="s">
        <v>1036</v>
      </c>
      <c r="D148" s="630" t="s">
        <v>336</v>
      </c>
      <c r="E148" s="514" t="s">
        <v>1037</v>
      </c>
      <c r="F148" s="630" t="s">
        <v>336</v>
      </c>
      <c r="G148" s="630" t="s">
        <v>336</v>
      </c>
      <c r="H148" s="630" t="s">
        <v>336</v>
      </c>
      <c r="I148" s="631" t="s">
        <v>336</v>
      </c>
      <c r="J148" s="620"/>
      <c r="K148" s="620"/>
      <c r="L148" s="620"/>
      <c r="M148" s="526"/>
      <c r="N148" s="526"/>
      <c r="O148" s="526"/>
      <c r="P148" s="526"/>
      <c r="Q148" s="526"/>
      <c r="R148" s="526"/>
      <c r="S148" s="526"/>
      <c r="T148" s="526"/>
      <c r="U148" s="526"/>
      <c r="V148" s="526"/>
      <c r="W148" s="526"/>
      <c r="X148" s="526"/>
      <c r="Y148" s="526"/>
      <c r="Z148" s="526"/>
      <c r="AA148" s="526"/>
      <c r="AB148" s="526"/>
      <c r="AC148" s="526"/>
      <c r="AD148" s="526"/>
      <c r="AE148" s="526"/>
      <c r="AF148" s="526"/>
      <c r="AG148" s="526"/>
      <c r="AH148" s="526"/>
      <c r="AI148" s="526"/>
      <c r="AJ148" s="526"/>
      <c r="AK148" s="526"/>
      <c r="AL148" s="526"/>
      <c r="AM148" s="526"/>
      <c r="AN148" s="526"/>
      <c r="AO148" s="526"/>
      <c r="AP148" s="526"/>
      <c r="AQ148" s="526"/>
      <c r="AR148" s="526"/>
      <c r="AS148" s="526"/>
      <c r="AT148" s="526"/>
      <c r="AU148" s="526"/>
      <c r="AV148" s="526"/>
      <c r="AW148" s="526"/>
      <c r="AX148" s="526"/>
    </row>
    <row r="149" spans="1:50" ht="144" x14ac:dyDescent="0.45">
      <c r="A149" s="629" t="s">
        <v>845</v>
      </c>
      <c r="B149" s="627" t="s">
        <v>336</v>
      </c>
      <c r="C149" s="514" t="s">
        <v>1038</v>
      </c>
      <c r="D149" s="630" t="s">
        <v>336</v>
      </c>
      <c r="E149" s="514" t="s">
        <v>1039</v>
      </c>
      <c r="F149" s="630" t="s">
        <v>336</v>
      </c>
      <c r="G149" s="630" t="s">
        <v>336</v>
      </c>
      <c r="H149" s="630" t="s">
        <v>336</v>
      </c>
      <c r="I149" s="631" t="s">
        <v>336</v>
      </c>
      <c r="J149" s="620"/>
      <c r="K149" s="620"/>
      <c r="L149" s="620"/>
      <c r="M149" s="526"/>
      <c r="N149" s="526"/>
      <c r="O149" s="526"/>
      <c r="P149" s="526"/>
      <c r="Q149" s="526"/>
      <c r="R149" s="526"/>
      <c r="S149" s="526"/>
      <c r="T149" s="526"/>
      <c r="U149" s="526"/>
      <c r="V149" s="526"/>
      <c r="W149" s="526"/>
      <c r="X149" s="526"/>
      <c r="Y149" s="526"/>
      <c r="Z149" s="526"/>
      <c r="AA149" s="526"/>
      <c r="AB149" s="526"/>
      <c r="AC149" s="526"/>
      <c r="AD149" s="526"/>
      <c r="AE149" s="526"/>
      <c r="AF149" s="526"/>
      <c r="AG149" s="526"/>
      <c r="AH149" s="526"/>
      <c r="AI149" s="526"/>
      <c r="AJ149" s="526"/>
      <c r="AK149" s="526"/>
      <c r="AL149" s="526"/>
      <c r="AM149" s="526"/>
      <c r="AN149" s="526"/>
      <c r="AO149" s="526"/>
      <c r="AP149" s="526"/>
      <c r="AQ149" s="526"/>
      <c r="AR149" s="526"/>
      <c r="AS149" s="526"/>
      <c r="AT149" s="526"/>
      <c r="AU149" s="526"/>
      <c r="AV149" s="526"/>
      <c r="AW149" s="526"/>
      <c r="AX149" s="526"/>
    </row>
    <row r="150" spans="1:50" ht="144" x14ac:dyDescent="0.45">
      <c r="A150" s="629" t="s">
        <v>189</v>
      </c>
      <c r="B150" s="627" t="s">
        <v>336</v>
      </c>
      <c r="C150" s="514" t="s">
        <v>1040</v>
      </c>
      <c r="D150" s="630" t="s">
        <v>336</v>
      </c>
      <c r="E150" s="514" t="s">
        <v>1041</v>
      </c>
      <c r="F150" s="630" t="s">
        <v>336</v>
      </c>
      <c r="G150" s="630" t="s">
        <v>336</v>
      </c>
      <c r="H150" s="630" t="s">
        <v>336</v>
      </c>
      <c r="I150" s="631" t="s">
        <v>336</v>
      </c>
      <c r="J150" s="620"/>
      <c r="K150" s="620"/>
      <c r="L150" s="620"/>
      <c r="M150" s="526"/>
      <c r="N150" s="526"/>
      <c r="O150" s="526"/>
      <c r="P150" s="526"/>
      <c r="Q150" s="526"/>
      <c r="R150" s="526"/>
      <c r="S150" s="526"/>
      <c r="T150" s="526"/>
      <c r="U150" s="526"/>
      <c r="V150" s="526"/>
      <c r="W150" s="526"/>
      <c r="X150" s="526"/>
      <c r="Y150" s="526"/>
      <c r="Z150" s="526"/>
      <c r="AA150" s="526"/>
      <c r="AB150" s="526"/>
      <c r="AC150" s="526"/>
      <c r="AD150" s="526"/>
      <c r="AE150" s="526"/>
      <c r="AF150" s="526"/>
      <c r="AG150" s="526"/>
      <c r="AH150" s="526"/>
      <c r="AI150" s="526"/>
      <c r="AJ150" s="526"/>
      <c r="AK150" s="526"/>
      <c r="AL150" s="526"/>
      <c r="AM150" s="526"/>
      <c r="AN150" s="526"/>
      <c r="AO150" s="526"/>
      <c r="AP150" s="526"/>
      <c r="AQ150" s="526"/>
      <c r="AR150" s="526"/>
      <c r="AS150" s="526"/>
      <c r="AT150" s="526"/>
      <c r="AU150" s="526"/>
      <c r="AV150" s="526"/>
      <c r="AW150" s="526"/>
      <c r="AX150" s="526"/>
    </row>
    <row r="151" spans="1:50" ht="24" x14ac:dyDescent="0.45">
      <c r="A151" s="628" t="s">
        <v>800</v>
      </c>
      <c r="B151" s="627" t="s">
        <v>336</v>
      </c>
      <c r="C151" s="756" t="s">
        <v>801</v>
      </c>
      <c r="D151" s="756"/>
      <c r="E151" s="756"/>
      <c r="F151" s="756"/>
      <c r="G151" s="756"/>
      <c r="H151" s="756"/>
      <c r="I151" s="757"/>
      <c r="J151" s="620"/>
      <c r="K151" s="620"/>
      <c r="L151" s="620"/>
      <c r="M151" s="526"/>
      <c r="N151" s="526"/>
      <c r="O151" s="526"/>
      <c r="P151" s="526"/>
      <c r="Q151" s="526"/>
      <c r="R151" s="526"/>
      <c r="S151" s="526"/>
      <c r="T151" s="526"/>
      <c r="U151" s="526"/>
      <c r="V151" s="526"/>
      <c r="W151" s="526"/>
      <c r="X151" s="526"/>
      <c r="Y151" s="526"/>
      <c r="Z151" s="526"/>
      <c r="AA151" s="526"/>
      <c r="AB151" s="526"/>
      <c r="AC151" s="526"/>
      <c r="AD151" s="526"/>
      <c r="AE151" s="526"/>
      <c r="AF151" s="526"/>
      <c r="AG151" s="526"/>
      <c r="AH151" s="526"/>
      <c r="AI151" s="526"/>
      <c r="AJ151" s="526"/>
      <c r="AK151" s="526"/>
      <c r="AL151" s="526"/>
      <c r="AM151" s="526"/>
      <c r="AN151" s="526"/>
      <c r="AO151" s="526"/>
      <c r="AP151" s="526"/>
      <c r="AQ151" s="526"/>
      <c r="AR151" s="526"/>
      <c r="AS151" s="526"/>
      <c r="AT151" s="526"/>
      <c r="AU151" s="526"/>
      <c r="AV151" s="526"/>
      <c r="AW151" s="526"/>
      <c r="AX151" s="526"/>
    </row>
    <row r="152" spans="1:50" ht="144" x14ac:dyDescent="0.45">
      <c r="A152" s="629" t="s">
        <v>825</v>
      </c>
      <c r="B152" s="627" t="s">
        <v>336</v>
      </c>
      <c r="C152" s="514" t="s">
        <v>1032</v>
      </c>
      <c r="D152" s="630" t="s">
        <v>336</v>
      </c>
      <c r="E152" s="514" t="s">
        <v>1033</v>
      </c>
      <c r="F152" s="630" t="s">
        <v>336</v>
      </c>
      <c r="G152" s="630" t="s">
        <v>336</v>
      </c>
      <c r="H152" s="630" t="s">
        <v>336</v>
      </c>
      <c r="I152" s="631" t="s">
        <v>336</v>
      </c>
      <c r="J152" s="620"/>
      <c r="K152" s="620"/>
      <c r="L152" s="620"/>
      <c r="M152" s="526"/>
      <c r="N152" s="526"/>
      <c r="O152" s="526"/>
      <c r="P152" s="526"/>
      <c r="Q152" s="526"/>
      <c r="R152" s="526"/>
      <c r="S152" s="526"/>
      <c r="T152" s="526"/>
      <c r="U152" s="526"/>
      <c r="V152" s="526"/>
      <c r="W152" s="526"/>
      <c r="X152" s="526"/>
      <c r="Y152" s="526"/>
      <c r="Z152" s="526"/>
      <c r="AA152" s="526"/>
      <c r="AB152" s="526"/>
      <c r="AC152" s="526"/>
      <c r="AD152" s="526"/>
      <c r="AE152" s="526"/>
      <c r="AF152" s="526"/>
      <c r="AG152" s="526"/>
      <c r="AH152" s="526"/>
      <c r="AI152" s="526"/>
      <c r="AJ152" s="526"/>
      <c r="AK152" s="526"/>
      <c r="AL152" s="526"/>
      <c r="AM152" s="526"/>
      <c r="AN152" s="526"/>
      <c r="AO152" s="526"/>
      <c r="AP152" s="526"/>
      <c r="AQ152" s="526"/>
      <c r="AR152" s="526"/>
      <c r="AS152" s="526"/>
      <c r="AT152" s="526"/>
      <c r="AU152" s="526"/>
      <c r="AV152" s="526"/>
      <c r="AW152" s="526"/>
      <c r="AX152" s="526"/>
    </row>
    <row r="153" spans="1:50" ht="144" x14ac:dyDescent="0.45">
      <c r="A153" s="629" t="s">
        <v>189</v>
      </c>
      <c r="B153" s="627" t="s">
        <v>336</v>
      </c>
      <c r="C153" s="514" t="s">
        <v>1042</v>
      </c>
      <c r="D153" s="630" t="s">
        <v>336</v>
      </c>
      <c r="E153" s="514" t="s">
        <v>1043</v>
      </c>
      <c r="F153" s="630" t="s">
        <v>336</v>
      </c>
      <c r="G153" s="630" t="s">
        <v>336</v>
      </c>
      <c r="H153" s="630" t="s">
        <v>336</v>
      </c>
      <c r="I153" s="631" t="s">
        <v>336</v>
      </c>
      <c r="J153" s="620"/>
      <c r="K153" s="620"/>
      <c r="L153" s="620"/>
      <c r="M153" s="526"/>
      <c r="N153" s="526"/>
      <c r="O153" s="526"/>
      <c r="P153" s="526"/>
      <c r="Q153" s="526"/>
      <c r="R153" s="526"/>
      <c r="S153" s="526"/>
      <c r="T153" s="526"/>
      <c r="U153" s="526"/>
      <c r="V153" s="526"/>
      <c r="W153" s="526"/>
      <c r="X153" s="526"/>
      <c r="Y153" s="526"/>
      <c r="Z153" s="526"/>
      <c r="AA153" s="526"/>
      <c r="AB153" s="526"/>
      <c r="AC153" s="526"/>
      <c r="AD153" s="526"/>
      <c r="AE153" s="526"/>
      <c r="AF153" s="526"/>
      <c r="AG153" s="526"/>
      <c r="AH153" s="526"/>
      <c r="AI153" s="526"/>
      <c r="AJ153" s="526"/>
      <c r="AK153" s="526"/>
      <c r="AL153" s="526"/>
      <c r="AM153" s="526"/>
      <c r="AN153" s="526"/>
      <c r="AO153" s="526"/>
      <c r="AP153" s="526"/>
      <c r="AQ153" s="526"/>
      <c r="AR153" s="526"/>
      <c r="AS153" s="526"/>
      <c r="AT153" s="526"/>
      <c r="AU153" s="526"/>
      <c r="AV153" s="526"/>
      <c r="AW153" s="526"/>
      <c r="AX153" s="526"/>
    </row>
    <row r="154" spans="1:50" ht="216" x14ac:dyDescent="0.45">
      <c r="A154" s="629" t="s">
        <v>189</v>
      </c>
      <c r="B154" s="627" t="s">
        <v>336</v>
      </c>
      <c r="C154" s="514" t="s">
        <v>1044</v>
      </c>
      <c r="D154" s="630" t="s">
        <v>336</v>
      </c>
      <c r="E154" s="514" t="s">
        <v>1045</v>
      </c>
      <c r="F154" s="630" t="s">
        <v>336</v>
      </c>
      <c r="G154" s="630" t="s">
        <v>336</v>
      </c>
      <c r="H154" s="630" t="s">
        <v>336</v>
      </c>
      <c r="I154" s="631" t="s">
        <v>336</v>
      </c>
      <c r="J154" s="620"/>
      <c r="K154" s="620"/>
      <c r="L154" s="620"/>
      <c r="M154" s="526"/>
      <c r="N154" s="526"/>
      <c r="O154" s="526"/>
      <c r="P154" s="526"/>
      <c r="Q154" s="526"/>
      <c r="R154" s="526"/>
      <c r="S154" s="526"/>
      <c r="T154" s="526"/>
      <c r="U154" s="526"/>
      <c r="V154" s="526"/>
      <c r="W154" s="526"/>
      <c r="X154" s="526"/>
      <c r="Y154" s="526"/>
      <c r="Z154" s="526"/>
      <c r="AA154" s="526"/>
      <c r="AB154" s="526"/>
      <c r="AC154" s="526"/>
      <c r="AD154" s="526"/>
      <c r="AE154" s="526"/>
      <c r="AF154" s="526"/>
      <c r="AG154" s="526"/>
      <c r="AH154" s="526"/>
      <c r="AI154" s="526"/>
      <c r="AJ154" s="526"/>
      <c r="AK154" s="526"/>
      <c r="AL154" s="526"/>
      <c r="AM154" s="526"/>
      <c r="AN154" s="526"/>
      <c r="AO154" s="526"/>
      <c r="AP154" s="526"/>
      <c r="AQ154" s="526"/>
      <c r="AR154" s="526"/>
      <c r="AS154" s="526"/>
      <c r="AT154" s="526"/>
      <c r="AU154" s="526"/>
      <c r="AV154" s="526"/>
      <c r="AW154" s="526"/>
      <c r="AX154" s="526"/>
    </row>
    <row r="155" spans="1:50" ht="96" x14ac:dyDescent="0.45">
      <c r="A155" s="629" t="s">
        <v>845</v>
      </c>
      <c r="B155" s="627" t="s">
        <v>336</v>
      </c>
      <c r="C155" s="514" t="s">
        <v>1038</v>
      </c>
      <c r="D155" s="630" t="s">
        <v>336</v>
      </c>
      <c r="E155" s="514" t="s">
        <v>1046</v>
      </c>
      <c r="F155" s="630" t="s">
        <v>336</v>
      </c>
      <c r="G155" s="630" t="s">
        <v>336</v>
      </c>
      <c r="H155" s="630" t="s">
        <v>336</v>
      </c>
      <c r="I155" s="631" t="s">
        <v>336</v>
      </c>
      <c r="J155" s="620"/>
      <c r="K155" s="620"/>
      <c r="L155" s="620"/>
      <c r="M155" s="526"/>
      <c r="N155" s="526"/>
      <c r="O155" s="526"/>
      <c r="P155" s="526"/>
      <c r="Q155" s="526"/>
      <c r="R155" s="526"/>
      <c r="S155" s="526"/>
      <c r="T155" s="526"/>
      <c r="U155" s="526"/>
      <c r="V155" s="526"/>
      <c r="W155" s="526"/>
      <c r="X155" s="526"/>
      <c r="Y155" s="526"/>
      <c r="Z155" s="526"/>
      <c r="AA155" s="526"/>
      <c r="AB155" s="526"/>
      <c r="AC155" s="526"/>
      <c r="AD155" s="526"/>
      <c r="AE155" s="526"/>
      <c r="AF155" s="526"/>
      <c r="AG155" s="526"/>
      <c r="AH155" s="526"/>
      <c r="AI155" s="526"/>
      <c r="AJ155" s="526"/>
      <c r="AK155" s="526"/>
      <c r="AL155" s="526"/>
      <c r="AM155" s="526"/>
      <c r="AN155" s="526"/>
      <c r="AO155" s="526"/>
      <c r="AP155" s="526"/>
      <c r="AQ155" s="526"/>
      <c r="AR155" s="526"/>
      <c r="AS155" s="526"/>
      <c r="AT155" s="526"/>
      <c r="AU155" s="526"/>
      <c r="AV155" s="526"/>
      <c r="AW155" s="526"/>
      <c r="AX155" s="526"/>
    </row>
    <row r="156" spans="1:50" ht="24" x14ac:dyDescent="0.45">
      <c r="A156" s="626" t="s">
        <v>802</v>
      </c>
      <c r="B156" s="627" t="s">
        <v>336</v>
      </c>
      <c r="C156" s="758" t="s">
        <v>1197</v>
      </c>
      <c r="D156" s="758"/>
      <c r="E156" s="758"/>
      <c r="F156" s="758"/>
      <c r="G156" s="758"/>
      <c r="H156" s="758"/>
      <c r="I156" s="759"/>
      <c r="J156" s="620"/>
      <c r="K156" s="620"/>
      <c r="L156" s="620"/>
      <c r="M156" s="526"/>
      <c r="N156" s="526"/>
      <c r="O156" s="526"/>
      <c r="P156" s="526"/>
      <c r="Q156" s="526"/>
      <c r="R156" s="526"/>
      <c r="S156" s="526"/>
      <c r="T156" s="526"/>
      <c r="U156" s="526"/>
      <c r="V156" s="526"/>
      <c r="W156" s="526"/>
      <c r="X156" s="526"/>
      <c r="Y156" s="526"/>
      <c r="Z156" s="526"/>
      <c r="AA156" s="526"/>
      <c r="AB156" s="526"/>
      <c r="AC156" s="526"/>
      <c r="AD156" s="526"/>
      <c r="AE156" s="526"/>
      <c r="AF156" s="526"/>
      <c r="AG156" s="526"/>
      <c r="AH156" s="526"/>
      <c r="AI156" s="526"/>
      <c r="AJ156" s="526"/>
      <c r="AK156" s="526"/>
      <c r="AL156" s="526"/>
      <c r="AM156" s="526"/>
      <c r="AN156" s="526"/>
      <c r="AO156" s="526"/>
      <c r="AP156" s="526"/>
      <c r="AQ156" s="526"/>
      <c r="AR156" s="526"/>
      <c r="AS156" s="526"/>
      <c r="AT156" s="526"/>
      <c r="AU156" s="526"/>
      <c r="AV156" s="526"/>
      <c r="AW156" s="526"/>
      <c r="AX156" s="526"/>
    </row>
    <row r="157" spans="1:50" ht="24" x14ac:dyDescent="0.45">
      <c r="A157" s="628" t="s">
        <v>804</v>
      </c>
      <c r="B157" s="627" t="s">
        <v>336</v>
      </c>
      <c r="C157" s="756" t="s">
        <v>1124</v>
      </c>
      <c r="D157" s="756"/>
      <c r="E157" s="756"/>
      <c r="F157" s="756"/>
      <c r="G157" s="756"/>
      <c r="H157" s="756"/>
      <c r="I157" s="757"/>
      <c r="J157" s="620"/>
      <c r="K157" s="620"/>
      <c r="L157" s="620"/>
      <c r="M157" s="526"/>
      <c r="N157" s="526"/>
      <c r="O157" s="526"/>
      <c r="P157" s="526"/>
      <c r="Q157" s="526"/>
      <c r="R157" s="526"/>
      <c r="S157" s="526"/>
      <c r="T157" s="526"/>
      <c r="U157" s="526"/>
      <c r="V157" s="526"/>
      <c r="W157" s="526"/>
      <c r="X157" s="526"/>
      <c r="Y157" s="526"/>
      <c r="Z157" s="526"/>
      <c r="AA157" s="526"/>
      <c r="AB157" s="526"/>
      <c r="AC157" s="526"/>
      <c r="AD157" s="526"/>
      <c r="AE157" s="526"/>
      <c r="AF157" s="526"/>
      <c r="AG157" s="526"/>
      <c r="AH157" s="526"/>
      <c r="AI157" s="526"/>
      <c r="AJ157" s="526"/>
      <c r="AK157" s="526"/>
      <c r="AL157" s="526"/>
      <c r="AM157" s="526"/>
      <c r="AN157" s="526"/>
      <c r="AO157" s="526"/>
      <c r="AP157" s="526"/>
      <c r="AQ157" s="526"/>
      <c r="AR157" s="526"/>
      <c r="AS157" s="526"/>
      <c r="AT157" s="526"/>
      <c r="AU157" s="526"/>
      <c r="AV157" s="526"/>
      <c r="AW157" s="526"/>
      <c r="AX157" s="526"/>
    </row>
    <row r="158" spans="1:50" ht="216" x14ac:dyDescent="0.45">
      <c r="A158" s="629" t="s">
        <v>825</v>
      </c>
      <c r="B158" s="627" t="s">
        <v>336</v>
      </c>
      <c r="C158" s="514" t="s">
        <v>1048</v>
      </c>
      <c r="D158" s="630" t="s">
        <v>336</v>
      </c>
      <c r="E158" s="514" t="s">
        <v>1049</v>
      </c>
      <c r="F158" s="630" t="s">
        <v>336</v>
      </c>
      <c r="G158" s="630" t="s">
        <v>336</v>
      </c>
      <c r="H158" s="630" t="s">
        <v>336</v>
      </c>
      <c r="I158" s="631" t="s">
        <v>336</v>
      </c>
      <c r="J158" s="620"/>
      <c r="K158" s="620"/>
      <c r="L158" s="620"/>
      <c r="M158" s="526"/>
      <c r="N158" s="526"/>
      <c r="O158" s="526"/>
      <c r="P158" s="526"/>
      <c r="Q158" s="526"/>
      <c r="R158" s="526"/>
      <c r="S158" s="526"/>
      <c r="T158" s="526"/>
      <c r="U158" s="526"/>
      <c r="V158" s="526"/>
      <c r="W158" s="526"/>
      <c r="X158" s="526"/>
      <c r="Y158" s="526"/>
      <c r="Z158" s="526"/>
      <c r="AA158" s="526"/>
      <c r="AB158" s="526"/>
      <c r="AC158" s="526"/>
      <c r="AD158" s="526"/>
      <c r="AE158" s="526"/>
      <c r="AF158" s="526"/>
      <c r="AG158" s="526"/>
      <c r="AH158" s="526"/>
      <c r="AI158" s="526"/>
      <c r="AJ158" s="526"/>
      <c r="AK158" s="526"/>
      <c r="AL158" s="526"/>
      <c r="AM158" s="526"/>
      <c r="AN158" s="526"/>
      <c r="AO158" s="526"/>
      <c r="AP158" s="526"/>
      <c r="AQ158" s="526"/>
      <c r="AR158" s="526"/>
      <c r="AS158" s="526"/>
      <c r="AT158" s="526"/>
      <c r="AU158" s="526"/>
      <c r="AV158" s="526"/>
      <c r="AW158" s="526"/>
      <c r="AX158" s="526"/>
    </row>
    <row r="159" spans="1:50" ht="192" x14ac:dyDescent="0.45">
      <c r="A159" s="629" t="s">
        <v>11</v>
      </c>
      <c r="B159" s="627" t="s">
        <v>336</v>
      </c>
      <c r="C159" s="514" t="s">
        <v>1051</v>
      </c>
      <c r="D159" s="630" t="s">
        <v>336</v>
      </c>
      <c r="E159" s="514" t="s">
        <v>1052</v>
      </c>
      <c r="F159" s="630" t="s">
        <v>336</v>
      </c>
      <c r="G159" s="630" t="s">
        <v>336</v>
      </c>
      <c r="H159" s="630" t="s">
        <v>336</v>
      </c>
      <c r="I159" s="631" t="s">
        <v>336</v>
      </c>
      <c r="J159" s="620"/>
      <c r="K159" s="620"/>
      <c r="L159" s="620"/>
      <c r="M159" s="526"/>
      <c r="N159" s="526"/>
      <c r="O159" s="526"/>
      <c r="P159" s="526"/>
      <c r="Q159" s="526"/>
      <c r="R159" s="526"/>
      <c r="S159" s="526"/>
      <c r="T159" s="526"/>
      <c r="U159" s="526"/>
      <c r="V159" s="526"/>
      <c r="W159" s="526"/>
      <c r="X159" s="526"/>
      <c r="Y159" s="526"/>
      <c r="Z159" s="526"/>
      <c r="AA159" s="526"/>
      <c r="AB159" s="526"/>
      <c r="AC159" s="526"/>
      <c r="AD159" s="526"/>
      <c r="AE159" s="526"/>
      <c r="AF159" s="526"/>
      <c r="AG159" s="526"/>
      <c r="AH159" s="526"/>
      <c r="AI159" s="526"/>
      <c r="AJ159" s="526"/>
      <c r="AK159" s="526"/>
      <c r="AL159" s="526"/>
      <c r="AM159" s="526"/>
      <c r="AN159" s="526"/>
      <c r="AO159" s="526"/>
      <c r="AP159" s="526"/>
      <c r="AQ159" s="526"/>
      <c r="AR159" s="526"/>
      <c r="AS159" s="526"/>
      <c r="AT159" s="526"/>
      <c r="AU159" s="526"/>
      <c r="AV159" s="526"/>
      <c r="AW159" s="526"/>
      <c r="AX159" s="526"/>
    </row>
    <row r="160" spans="1:50" ht="192" x14ac:dyDescent="0.45">
      <c r="A160" s="629" t="s">
        <v>11</v>
      </c>
      <c r="B160" s="627" t="s">
        <v>336</v>
      </c>
      <c r="C160" s="514" t="s">
        <v>1198</v>
      </c>
      <c r="D160" s="630" t="s">
        <v>336</v>
      </c>
      <c r="E160" s="514" t="s">
        <v>1199</v>
      </c>
      <c r="F160" s="630" t="s">
        <v>336</v>
      </c>
      <c r="G160" s="630" t="s">
        <v>336</v>
      </c>
      <c r="H160" s="630" t="s">
        <v>336</v>
      </c>
      <c r="I160" s="631" t="s">
        <v>336</v>
      </c>
      <c r="J160" s="620"/>
      <c r="K160" s="620"/>
      <c r="L160" s="620"/>
      <c r="M160" s="526"/>
      <c r="N160" s="526"/>
      <c r="O160" s="526"/>
      <c r="P160" s="526"/>
      <c r="Q160" s="526"/>
      <c r="R160" s="526"/>
      <c r="S160" s="526"/>
      <c r="T160" s="526"/>
      <c r="U160" s="526"/>
      <c r="V160" s="526"/>
      <c r="W160" s="526"/>
      <c r="X160" s="526"/>
      <c r="Y160" s="526"/>
      <c r="Z160" s="526"/>
      <c r="AA160" s="526"/>
      <c r="AB160" s="526"/>
      <c r="AC160" s="526"/>
      <c r="AD160" s="526"/>
      <c r="AE160" s="526"/>
      <c r="AF160" s="526"/>
      <c r="AG160" s="526"/>
      <c r="AH160" s="526"/>
      <c r="AI160" s="526"/>
      <c r="AJ160" s="526"/>
      <c r="AK160" s="526"/>
      <c r="AL160" s="526"/>
      <c r="AM160" s="526"/>
      <c r="AN160" s="526"/>
      <c r="AO160" s="526"/>
      <c r="AP160" s="526"/>
      <c r="AQ160" s="526"/>
      <c r="AR160" s="526"/>
      <c r="AS160" s="526"/>
      <c r="AT160" s="526"/>
      <c r="AU160" s="526"/>
      <c r="AV160" s="526"/>
      <c r="AW160" s="526"/>
      <c r="AX160" s="526"/>
    </row>
    <row r="161" spans="1:50" ht="120" x14ac:dyDescent="0.45">
      <c r="A161" s="629" t="s">
        <v>136</v>
      </c>
      <c r="B161" s="627" t="s">
        <v>336</v>
      </c>
      <c r="C161" s="514" t="s">
        <v>1200</v>
      </c>
      <c r="D161" s="630" t="s">
        <v>336</v>
      </c>
      <c r="E161" s="514" t="s">
        <v>1201</v>
      </c>
      <c r="F161" s="630" t="s">
        <v>336</v>
      </c>
      <c r="G161" s="630" t="s">
        <v>336</v>
      </c>
      <c r="H161" s="630" t="s">
        <v>336</v>
      </c>
      <c r="I161" s="631" t="s">
        <v>336</v>
      </c>
      <c r="J161" s="620"/>
      <c r="K161" s="620"/>
      <c r="L161" s="620"/>
      <c r="M161" s="526"/>
      <c r="N161" s="526"/>
      <c r="O161" s="526"/>
      <c r="P161" s="526"/>
      <c r="Q161" s="526"/>
      <c r="R161" s="526"/>
      <c r="S161" s="526"/>
      <c r="T161" s="526"/>
      <c r="U161" s="526"/>
      <c r="V161" s="526"/>
      <c r="W161" s="526"/>
      <c r="X161" s="526"/>
      <c r="Y161" s="526"/>
      <c r="Z161" s="526"/>
      <c r="AA161" s="526"/>
      <c r="AB161" s="526"/>
      <c r="AC161" s="526"/>
      <c r="AD161" s="526"/>
      <c r="AE161" s="526"/>
      <c r="AF161" s="526"/>
      <c r="AG161" s="526"/>
      <c r="AH161" s="526"/>
      <c r="AI161" s="526"/>
      <c r="AJ161" s="526"/>
      <c r="AK161" s="526"/>
      <c r="AL161" s="526"/>
      <c r="AM161" s="526"/>
      <c r="AN161" s="526"/>
      <c r="AO161" s="526"/>
      <c r="AP161" s="526"/>
      <c r="AQ161" s="526"/>
      <c r="AR161" s="526"/>
      <c r="AS161" s="526"/>
      <c r="AT161" s="526"/>
      <c r="AU161" s="526"/>
      <c r="AV161" s="526"/>
      <c r="AW161" s="526"/>
      <c r="AX161" s="526"/>
    </row>
    <row r="162" spans="1:50" ht="96" x14ac:dyDescent="0.45">
      <c r="A162" s="629" t="s">
        <v>189</v>
      </c>
      <c r="B162" s="627" t="s">
        <v>336</v>
      </c>
      <c r="C162" s="514" t="s">
        <v>1053</v>
      </c>
      <c r="D162" s="630" t="s">
        <v>336</v>
      </c>
      <c r="E162" s="514" t="s">
        <v>1054</v>
      </c>
      <c r="F162" s="630" t="s">
        <v>336</v>
      </c>
      <c r="G162" s="630" t="s">
        <v>336</v>
      </c>
      <c r="H162" s="630" t="s">
        <v>336</v>
      </c>
      <c r="I162" s="631" t="s">
        <v>336</v>
      </c>
      <c r="J162" s="620"/>
      <c r="K162" s="620"/>
      <c r="L162" s="620"/>
      <c r="M162" s="526"/>
      <c r="N162" s="526"/>
      <c r="O162" s="526"/>
      <c r="P162" s="526"/>
      <c r="Q162" s="526"/>
      <c r="R162" s="526"/>
      <c r="S162" s="526"/>
      <c r="T162" s="526"/>
      <c r="U162" s="526"/>
      <c r="V162" s="526"/>
      <c r="W162" s="526"/>
      <c r="X162" s="526"/>
      <c r="Y162" s="526"/>
      <c r="Z162" s="526"/>
      <c r="AA162" s="526"/>
      <c r="AB162" s="526"/>
      <c r="AC162" s="526"/>
      <c r="AD162" s="526"/>
      <c r="AE162" s="526"/>
      <c r="AF162" s="526"/>
      <c r="AG162" s="526"/>
      <c r="AH162" s="526"/>
      <c r="AI162" s="526"/>
      <c r="AJ162" s="526"/>
      <c r="AK162" s="526"/>
      <c r="AL162" s="526"/>
      <c r="AM162" s="526"/>
      <c r="AN162" s="526"/>
      <c r="AO162" s="526"/>
      <c r="AP162" s="526"/>
      <c r="AQ162" s="526"/>
      <c r="AR162" s="526"/>
      <c r="AS162" s="526"/>
      <c r="AT162" s="526"/>
      <c r="AU162" s="526"/>
      <c r="AV162" s="526"/>
      <c r="AW162" s="526"/>
      <c r="AX162" s="526"/>
    </row>
    <row r="163" spans="1:50" ht="96" x14ac:dyDescent="0.45">
      <c r="A163" s="629" t="s">
        <v>136</v>
      </c>
      <c r="B163" s="627" t="s">
        <v>336</v>
      </c>
      <c r="C163" s="514" t="s">
        <v>840</v>
      </c>
      <c r="D163" s="630" t="s">
        <v>336</v>
      </c>
      <c r="E163" s="514" t="s">
        <v>1055</v>
      </c>
      <c r="F163" s="630" t="s">
        <v>336</v>
      </c>
      <c r="G163" s="630" t="s">
        <v>336</v>
      </c>
      <c r="H163" s="630" t="s">
        <v>336</v>
      </c>
      <c r="I163" s="631" t="s">
        <v>336</v>
      </c>
      <c r="J163" s="620"/>
      <c r="K163" s="620"/>
      <c r="L163" s="620"/>
      <c r="M163" s="526"/>
      <c r="N163" s="526"/>
      <c r="O163" s="526"/>
      <c r="P163" s="526"/>
      <c r="Q163" s="526"/>
      <c r="R163" s="526"/>
      <c r="S163" s="526"/>
      <c r="T163" s="526"/>
      <c r="U163" s="526"/>
      <c r="V163" s="526"/>
      <c r="W163" s="526"/>
      <c r="X163" s="526"/>
      <c r="Y163" s="526"/>
      <c r="Z163" s="526"/>
      <c r="AA163" s="526"/>
      <c r="AB163" s="526"/>
      <c r="AC163" s="526"/>
      <c r="AD163" s="526"/>
      <c r="AE163" s="526"/>
      <c r="AF163" s="526"/>
      <c r="AG163" s="526"/>
      <c r="AH163" s="526"/>
      <c r="AI163" s="526"/>
      <c r="AJ163" s="526"/>
      <c r="AK163" s="526"/>
      <c r="AL163" s="526"/>
      <c r="AM163" s="526"/>
      <c r="AN163" s="526"/>
      <c r="AO163" s="526"/>
      <c r="AP163" s="526"/>
      <c r="AQ163" s="526"/>
      <c r="AR163" s="526"/>
      <c r="AS163" s="526"/>
      <c r="AT163" s="526"/>
      <c r="AU163" s="526"/>
      <c r="AV163" s="526"/>
      <c r="AW163" s="526"/>
      <c r="AX163" s="526"/>
    </row>
    <row r="164" spans="1:50" ht="144" x14ac:dyDescent="0.45">
      <c r="A164" s="629" t="s">
        <v>845</v>
      </c>
      <c r="B164" s="627" t="s">
        <v>336</v>
      </c>
      <c r="C164" s="514" t="s">
        <v>1056</v>
      </c>
      <c r="D164" s="630" t="s">
        <v>336</v>
      </c>
      <c r="E164" s="514" t="s">
        <v>1057</v>
      </c>
      <c r="F164" s="630" t="s">
        <v>336</v>
      </c>
      <c r="G164" s="630" t="s">
        <v>336</v>
      </c>
      <c r="H164" s="630" t="s">
        <v>336</v>
      </c>
      <c r="I164" s="631" t="s">
        <v>336</v>
      </c>
      <c r="J164" s="620"/>
      <c r="K164" s="620"/>
      <c r="L164" s="620"/>
      <c r="M164" s="526"/>
      <c r="N164" s="526"/>
      <c r="O164" s="526"/>
      <c r="P164" s="526"/>
      <c r="Q164" s="526"/>
      <c r="R164" s="526"/>
      <c r="S164" s="526"/>
      <c r="T164" s="526"/>
      <c r="U164" s="526"/>
      <c r="V164" s="526"/>
      <c r="W164" s="526"/>
      <c r="X164" s="526"/>
      <c r="Y164" s="526"/>
      <c r="Z164" s="526"/>
      <c r="AA164" s="526"/>
      <c r="AB164" s="526"/>
      <c r="AC164" s="526"/>
      <c r="AD164" s="526"/>
      <c r="AE164" s="526"/>
      <c r="AF164" s="526"/>
      <c r="AG164" s="526"/>
      <c r="AH164" s="526"/>
      <c r="AI164" s="526"/>
      <c r="AJ164" s="526"/>
      <c r="AK164" s="526"/>
      <c r="AL164" s="526"/>
      <c r="AM164" s="526"/>
      <c r="AN164" s="526"/>
      <c r="AO164" s="526"/>
      <c r="AP164" s="526"/>
      <c r="AQ164" s="526"/>
      <c r="AR164" s="526"/>
      <c r="AS164" s="526"/>
      <c r="AT164" s="526"/>
      <c r="AU164" s="526"/>
      <c r="AV164" s="526"/>
      <c r="AW164" s="526"/>
      <c r="AX164" s="526"/>
    </row>
    <row r="165" spans="1:50" ht="24" x14ac:dyDescent="0.45">
      <c r="A165" s="626" t="s">
        <v>807</v>
      </c>
      <c r="B165" s="627" t="s">
        <v>336</v>
      </c>
      <c r="C165" s="758" t="s">
        <v>1058</v>
      </c>
      <c r="D165" s="758"/>
      <c r="E165" s="758"/>
      <c r="F165" s="758"/>
      <c r="G165" s="758"/>
      <c r="H165" s="758"/>
      <c r="I165" s="759"/>
      <c r="J165" s="620"/>
      <c r="K165" s="620"/>
      <c r="L165" s="620"/>
      <c r="M165" s="526"/>
      <c r="N165" s="526"/>
      <c r="O165" s="526"/>
      <c r="P165" s="526"/>
      <c r="Q165" s="526"/>
      <c r="R165" s="526"/>
      <c r="S165" s="526"/>
      <c r="T165" s="526"/>
      <c r="U165" s="526"/>
      <c r="V165" s="526"/>
      <c r="W165" s="526"/>
      <c r="X165" s="526"/>
      <c r="Y165" s="526"/>
      <c r="Z165" s="526"/>
      <c r="AA165" s="526"/>
      <c r="AB165" s="526"/>
      <c r="AC165" s="526"/>
      <c r="AD165" s="526"/>
      <c r="AE165" s="526"/>
      <c r="AF165" s="526"/>
      <c r="AG165" s="526"/>
      <c r="AH165" s="526"/>
      <c r="AI165" s="526"/>
      <c r="AJ165" s="526"/>
      <c r="AK165" s="526"/>
      <c r="AL165" s="526"/>
      <c r="AM165" s="526"/>
      <c r="AN165" s="526"/>
      <c r="AO165" s="526"/>
      <c r="AP165" s="526"/>
      <c r="AQ165" s="526"/>
      <c r="AR165" s="526"/>
      <c r="AS165" s="526"/>
      <c r="AT165" s="526"/>
      <c r="AU165" s="526"/>
      <c r="AV165" s="526"/>
      <c r="AW165" s="526"/>
      <c r="AX165" s="526"/>
    </row>
    <row r="166" spans="1:50" ht="24" x14ac:dyDescent="0.45">
      <c r="A166" s="628" t="s">
        <v>809</v>
      </c>
      <c r="B166" s="627" t="s">
        <v>336</v>
      </c>
      <c r="C166" s="756" t="s">
        <v>1126</v>
      </c>
      <c r="D166" s="756"/>
      <c r="E166" s="756"/>
      <c r="F166" s="756"/>
      <c r="G166" s="756"/>
      <c r="H166" s="756"/>
      <c r="I166" s="757"/>
      <c r="J166" s="620"/>
      <c r="K166" s="620"/>
      <c r="L166" s="620"/>
      <c r="M166" s="526"/>
      <c r="N166" s="526"/>
      <c r="O166" s="526"/>
      <c r="P166" s="526"/>
      <c r="Q166" s="526"/>
      <c r="R166" s="526"/>
      <c r="S166" s="526"/>
      <c r="T166" s="526"/>
      <c r="U166" s="526"/>
      <c r="V166" s="526"/>
      <c r="W166" s="526"/>
      <c r="X166" s="526"/>
      <c r="Y166" s="526"/>
      <c r="Z166" s="526"/>
      <c r="AA166" s="526"/>
      <c r="AB166" s="526"/>
      <c r="AC166" s="526"/>
      <c r="AD166" s="526"/>
      <c r="AE166" s="526"/>
      <c r="AF166" s="526"/>
      <c r="AG166" s="526"/>
      <c r="AH166" s="526"/>
      <c r="AI166" s="526"/>
      <c r="AJ166" s="526"/>
      <c r="AK166" s="526"/>
      <c r="AL166" s="526"/>
      <c r="AM166" s="526"/>
      <c r="AN166" s="526"/>
      <c r="AO166" s="526"/>
      <c r="AP166" s="526"/>
      <c r="AQ166" s="526"/>
      <c r="AR166" s="526"/>
      <c r="AS166" s="526"/>
      <c r="AT166" s="526"/>
      <c r="AU166" s="526"/>
      <c r="AV166" s="526"/>
      <c r="AW166" s="526"/>
      <c r="AX166" s="526"/>
    </row>
    <row r="167" spans="1:50" ht="120" x14ac:dyDescent="0.45">
      <c r="A167" s="629" t="s">
        <v>825</v>
      </c>
      <c r="B167" s="627" t="s">
        <v>336</v>
      </c>
      <c r="C167" s="514" t="s">
        <v>826</v>
      </c>
      <c r="D167" s="630" t="s">
        <v>336</v>
      </c>
      <c r="E167" s="514" t="s">
        <v>914</v>
      </c>
      <c r="F167" s="630" t="s">
        <v>336</v>
      </c>
      <c r="G167" s="630" t="s">
        <v>336</v>
      </c>
      <c r="H167" s="630" t="s">
        <v>336</v>
      </c>
      <c r="I167" s="631" t="s">
        <v>336</v>
      </c>
      <c r="J167" s="620"/>
      <c r="K167" s="620"/>
      <c r="L167" s="620"/>
      <c r="M167" s="526"/>
      <c r="N167" s="526"/>
      <c r="O167" s="526"/>
      <c r="P167" s="526"/>
      <c r="Q167" s="526"/>
      <c r="R167" s="526"/>
      <c r="S167" s="526"/>
      <c r="T167" s="526"/>
      <c r="U167" s="526"/>
      <c r="V167" s="526"/>
      <c r="W167" s="526"/>
      <c r="X167" s="526"/>
      <c r="Y167" s="526"/>
      <c r="Z167" s="526"/>
      <c r="AA167" s="526"/>
      <c r="AB167" s="526"/>
      <c r="AC167" s="526"/>
      <c r="AD167" s="526"/>
      <c r="AE167" s="526"/>
      <c r="AF167" s="526"/>
      <c r="AG167" s="526"/>
      <c r="AH167" s="526"/>
      <c r="AI167" s="526"/>
      <c r="AJ167" s="526"/>
      <c r="AK167" s="526"/>
      <c r="AL167" s="526"/>
      <c r="AM167" s="526"/>
      <c r="AN167" s="526"/>
      <c r="AO167" s="526"/>
      <c r="AP167" s="526"/>
      <c r="AQ167" s="526"/>
      <c r="AR167" s="526"/>
      <c r="AS167" s="526"/>
      <c r="AT167" s="526"/>
      <c r="AU167" s="526"/>
      <c r="AV167" s="526"/>
      <c r="AW167" s="526"/>
      <c r="AX167" s="526"/>
    </row>
    <row r="168" spans="1:50" ht="96" x14ac:dyDescent="0.45">
      <c r="A168" s="629" t="s">
        <v>11</v>
      </c>
      <c r="B168" s="627" t="s">
        <v>336</v>
      </c>
      <c r="C168" s="514" t="s">
        <v>869</v>
      </c>
      <c r="D168" s="630" t="s">
        <v>336</v>
      </c>
      <c r="E168" s="514" t="s">
        <v>915</v>
      </c>
      <c r="F168" s="630" t="s">
        <v>336</v>
      </c>
      <c r="G168" s="630" t="s">
        <v>336</v>
      </c>
      <c r="H168" s="630" t="s">
        <v>336</v>
      </c>
      <c r="I168" s="631" t="s">
        <v>336</v>
      </c>
      <c r="J168" s="620"/>
      <c r="K168" s="620"/>
      <c r="L168" s="620"/>
      <c r="M168" s="526"/>
      <c r="N168" s="526"/>
      <c r="O168" s="526"/>
      <c r="P168" s="526"/>
      <c r="Q168" s="526"/>
      <c r="R168" s="526"/>
      <c r="S168" s="526"/>
      <c r="T168" s="526"/>
      <c r="U168" s="526"/>
      <c r="V168" s="526"/>
      <c r="W168" s="526"/>
      <c r="X168" s="526"/>
      <c r="Y168" s="526"/>
      <c r="Z168" s="526"/>
      <c r="AA168" s="526"/>
      <c r="AB168" s="526"/>
      <c r="AC168" s="526"/>
      <c r="AD168" s="526"/>
      <c r="AE168" s="526"/>
      <c r="AF168" s="526"/>
      <c r="AG168" s="526"/>
      <c r="AH168" s="526"/>
      <c r="AI168" s="526"/>
      <c r="AJ168" s="526"/>
      <c r="AK168" s="526"/>
      <c r="AL168" s="526"/>
      <c r="AM168" s="526"/>
      <c r="AN168" s="526"/>
      <c r="AO168" s="526"/>
      <c r="AP168" s="526"/>
      <c r="AQ168" s="526"/>
      <c r="AR168" s="526"/>
      <c r="AS168" s="526"/>
      <c r="AT168" s="526"/>
      <c r="AU168" s="526"/>
      <c r="AV168" s="526"/>
      <c r="AW168" s="526"/>
      <c r="AX168" s="526"/>
    </row>
    <row r="169" spans="1:50" ht="240" x14ac:dyDescent="0.45">
      <c r="A169" s="629" t="s">
        <v>11</v>
      </c>
      <c r="B169" s="627" t="s">
        <v>336</v>
      </c>
      <c r="C169" s="514" t="s">
        <v>1059</v>
      </c>
      <c r="D169" s="630" t="s">
        <v>336</v>
      </c>
      <c r="E169" s="514" t="s">
        <v>1060</v>
      </c>
      <c r="F169" s="630" t="s">
        <v>336</v>
      </c>
      <c r="G169" s="630" t="s">
        <v>336</v>
      </c>
      <c r="H169" s="630" t="s">
        <v>336</v>
      </c>
      <c r="I169" s="631" t="s">
        <v>336</v>
      </c>
      <c r="J169" s="620"/>
      <c r="K169" s="620"/>
      <c r="L169" s="620"/>
      <c r="M169" s="526"/>
      <c r="N169" s="526"/>
      <c r="O169" s="526"/>
      <c r="P169" s="526"/>
      <c r="Q169" s="526"/>
      <c r="R169" s="526"/>
      <c r="S169" s="526"/>
      <c r="T169" s="526"/>
      <c r="U169" s="526"/>
      <c r="V169" s="526"/>
      <c r="W169" s="526"/>
      <c r="X169" s="526"/>
      <c r="Y169" s="526"/>
      <c r="Z169" s="526"/>
      <c r="AA169" s="526"/>
      <c r="AB169" s="526"/>
      <c r="AC169" s="526"/>
      <c r="AD169" s="526"/>
      <c r="AE169" s="526"/>
      <c r="AF169" s="526"/>
      <c r="AG169" s="526"/>
      <c r="AH169" s="526"/>
      <c r="AI169" s="526"/>
      <c r="AJ169" s="526"/>
      <c r="AK169" s="526"/>
      <c r="AL169" s="526"/>
      <c r="AM169" s="526"/>
      <c r="AN169" s="526"/>
      <c r="AO169" s="526"/>
      <c r="AP169" s="526"/>
      <c r="AQ169" s="526"/>
      <c r="AR169" s="526"/>
      <c r="AS169" s="526"/>
      <c r="AT169" s="526"/>
      <c r="AU169" s="526"/>
      <c r="AV169" s="526"/>
      <c r="AW169" s="526"/>
      <c r="AX169" s="526"/>
    </row>
    <row r="170" spans="1:50" ht="144" x14ac:dyDescent="0.45">
      <c r="A170" s="629" t="s">
        <v>11</v>
      </c>
      <c r="B170" s="627" t="s">
        <v>336</v>
      </c>
      <c r="C170" s="514" t="s">
        <v>1061</v>
      </c>
      <c r="D170" s="630" t="s">
        <v>336</v>
      </c>
      <c r="E170" s="514" t="s">
        <v>1062</v>
      </c>
      <c r="F170" s="630" t="s">
        <v>336</v>
      </c>
      <c r="G170" s="630" t="s">
        <v>336</v>
      </c>
      <c r="H170" s="630" t="s">
        <v>336</v>
      </c>
      <c r="I170" s="631" t="s">
        <v>336</v>
      </c>
      <c r="J170" s="620"/>
      <c r="K170" s="620"/>
      <c r="L170" s="620"/>
      <c r="M170" s="526"/>
      <c r="N170" s="526"/>
      <c r="O170" s="526"/>
      <c r="P170" s="526"/>
      <c r="Q170" s="526"/>
      <c r="R170" s="526"/>
      <c r="S170" s="526"/>
      <c r="T170" s="526"/>
      <c r="U170" s="526"/>
      <c r="V170" s="526"/>
      <c r="W170" s="526"/>
      <c r="X170" s="526"/>
      <c r="Y170" s="526"/>
      <c r="Z170" s="526"/>
      <c r="AA170" s="526"/>
      <c r="AB170" s="526"/>
      <c r="AC170" s="526"/>
      <c r="AD170" s="526"/>
      <c r="AE170" s="526"/>
      <c r="AF170" s="526"/>
      <c r="AG170" s="526"/>
      <c r="AH170" s="526"/>
      <c r="AI170" s="526"/>
      <c r="AJ170" s="526"/>
      <c r="AK170" s="526"/>
      <c r="AL170" s="526"/>
      <c r="AM170" s="526"/>
      <c r="AN170" s="526"/>
      <c r="AO170" s="526"/>
      <c r="AP170" s="526"/>
      <c r="AQ170" s="526"/>
      <c r="AR170" s="526"/>
      <c r="AS170" s="526"/>
      <c r="AT170" s="526"/>
      <c r="AU170" s="526"/>
      <c r="AV170" s="526"/>
      <c r="AW170" s="526"/>
      <c r="AX170" s="526"/>
    </row>
    <row r="171" spans="1:50" ht="96" x14ac:dyDescent="0.45">
      <c r="A171" s="629" t="s">
        <v>845</v>
      </c>
      <c r="B171" s="627" t="s">
        <v>336</v>
      </c>
      <c r="C171" s="514" t="s">
        <v>1063</v>
      </c>
      <c r="D171" s="630" t="s">
        <v>336</v>
      </c>
      <c r="E171" s="514" t="s">
        <v>1064</v>
      </c>
      <c r="F171" s="630" t="s">
        <v>336</v>
      </c>
      <c r="G171" s="630" t="s">
        <v>336</v>
      </c>
      <c r="H171" s="630" t="s">
        <v>336</v>
      </c>
      <c r="I171" s="631" t="s">
        <v>336</v>
      </c>
      <c r="J171" s="620"/>
      <c r="K171" s="620"/>
      <c r="L171" s="620"/>
      <c r="M171" s="526"/>
      <c r="N171" s="526"/>
      <c r="O171" s="526"/>
      <c r="P171" s="526"/>
      <c r="Q171" s="526"/>
      <c r="R171" s="526"/>
      <c r="S171" s="526"/>
      <c r="T171" s="526"/>
      <c r="U171" s="526"/>
      <c r="V171" s="526"/>
      <c r="W171" s="526"/>
      <c r="X171" s="526"/>
      <c r="Y171" s="526"/>
      <c r="Z171" s="526"/>
      <c r="AA171" s="526"/>
      <c r="AB171" s="526"/>
      <c r="AC171" s="526"/>
      <c r="AD171" s="526"/>
      <c r="AE171" s="526"/>
      <c r="AF171" s="526"/>
      <c r="AG171" s="526"/>
      <c r="AH171" s="526"/>
      <c r="AI171" s="526"/>
      <c r="AJ171" s="526"/>
      <c r="AK171" s="526"/>
      <c r="AL171" s="526"/>
      <c r="AM171" s="526"/>
      <c r="AN171" s="526"/>
      <c r="AO171" s="526"/>
      <c r="AP171" s="526"/>
      <c r="AQ171" s="526"/>
      <c r="AR171" s="526"/>
      <c r="AS171" s="526"/>
      <c r="AT171" s="526"/>
      <c r="AU171" s="526"/>
      <c r="AV171" s="526"/>
      <c r="AW171" s="526"/>
      <c r="AX171" s="526"/>
    </row>
    <row r="172" spans="1:50" ht="96" x14ac:dyDescent="0.45">
      <c r="A172" s="629" t="s">
        <v>136</v>
      </c>
      <c r="B172" s="627" t="s">
        <v>336</v>
      </c>
      <c r="C172" s="514" t="s">
        <v>1065</v>
      </c>
      <c r="D172" s="630" t="s">
        <v>336</v>
      </c>
      <c r="E172" s="514" t="s">
        <v>1066</v>
      </c>
      <c r="F172" s="630" t="s">
        <v>336</v>
      </c>
      <c r="G172" s="630" t="s">
        <v>336</v>
      </c>
      <c r="H172" s="630" t="s">
        <v>336</v>
      </c>
      <c r="I172" s="631" t="s">
        <v>336</v>
      </c>
      <c r="J172" s="620"/>
      <c r="K172" s="620"/>
      <c r="L172" s="620"/>
      <c r="M172" s="526"/>
      <c r="N172" s="526"/>
      <c r="O172" s="526"/>
      <c r="P172" s="526"/>
      <c r="Q172" s="526"/>
      <c r="R172" s="526"/>
      <c r="S172" s="526"/>
      <c r="T172" s="526"/>
      <c r="U172" s="526"/>
      <c r="V172" s="526"/>
      <c r="W172" s="526"/>
      <c r="X172" s="526"/>
      <c r="Y172" s="526"/>
      <c r="Z172" s="526"/>
      <c r="AA172" s="526"/>
      <c r="AB172" s="526"/>
      <c r="AC172" s="526"/>
      <c r="AD172" s="526"/>
      <c r="AE172" s="526"/>
      <c r="AF172" s="526"/>
      <c r="AG172" s="526"/>
      <c r="AH172" s="526"/>
      <c r="AI172" s="526"/>
      <c r="AJ172" s="526"/>
      <c r="AK172" s="526"/>
      <c r="AL172" s="526"/>
      <c r="AM172" s="526"/>
      <c r="AN172" s="526"/>
      <c r="AO172" s="526"/>
      <c r="AP172" s="526"/>
      <c r="AQ172" s="526"/>
      <c r="AR172" s="526"/>
      <c r="AS172" s="526"/>
      <c r="AT172" s="526"/>
      <c r="AU172" s="526"/>
      <c r="AV172" s="526"/>
      <c r="AW172" s="526"/>
      <c r="AX172" s="526"/>
    </row>
    <row r="173" spans="1:50" ht="96" x14ac:dyDescent="0.45">
      <c r="A173" s="629" t="s">
        <v>11</v>
      </c>
      <c r="B173" s="627" t="s">
        <v>336</v>
      </c>
      <c r="C173" s="514" t="s">
        <v>1077</v>
      </c>
      <c r="D173" s="630" t="s">
        <v>336</v>
      </c>
      <c r="E173" s="514" t="s">
        <v>1078</v>
      </c>
      <c r="F173" s="630" t="s">
        <v>336</v>
      </c>
      <c r="G173" s="630" t="s">
        <v>336</v>
      </c>
      <c r="H173" s="630" t="s">
        <v>336</v>
      </c>
      <c r="I173" s="631" t="s">
        <v>336</v>
      </c>
      <c r="J173" s="620"/>
      <c r="K173" s="620"/>
      <c r="L173" s="620"/>
      <c r="M173" s="526"/>
      <c r="N173" s="526"/>
      <c r="O173" s="526"/>
      <c r="P173" s="526"/>
      <c r="Q173" s="526"/>
      <c r="R173" s="526"/>
      <c r="S173" s="526"/>
      <c r="T173" s="526"/>
      <c r="U173" s="526"/>
      <c r="V173" s="526"/>
      <c r="W173" s="526"/>
      <c r="X173" s="526"/>
      <c r="Y173" s="526"/>
      <c r="Z173" s="526"/>
      <c r="AA173" s="526"/>
      <c r="AB173" s="526"/>
      <c r="AC173" s="526"/>
      <c r="AD173" s="526"/>
      <c r="AE173" s="526"/>
      <c r="AF173" s="526"/>
      <c r="AG173" s="526"/>
      <c r="AH173" s="526"/>
      <c r="AI173" s="526"/>
      <c r="AJ173" s="526"/>
      <c r="AK173" s="526"/>
      <c r="AL173" s="526"/>
      <c r="AM173" s="526"/>
      <c r="AN173" s="526"/>
      <c r="AO173" s="526"/>
      <c r="AP173" s="526"/>
      <c r="AQ173" s="526"/>
      <c r="AR173" s="526"/>
      <c r="AS173" s="526"/>
      <c r="AT173" s="526"/>
      <c r="AU173" s="526"/>
      <c r="AV173" s="526"/>
      <c r="AW173" s="526"/>
      <c r="AX173" s="526"/>
    </row>
    <row r="174" spans="1:50" ht="168" x14ac:dyDescent="0.45">
      <c r="A174" s="629" t="s">
        <v>845</v>
      </c>
      <c r="B174" s="627" t="s">
        <v>336</v>
      </c>
      <c r="C174" s="514" t="s">
        <v>1081</v>
      </c>
      <c r="D174" s="630" t="s">
        <v>336</v>
      </c>
      <c r="E174" s="514" t="s">
        <v>1082</v>
      </c>
      <c r="F174" s="630" t="s">
        <v>336</v>
      </c>
      <c r="G174" s="630" t="s">
        <v>336</v>
      </c>
      <c r="H174" s="630" t="s">
        <v>336</v>
      </c>
      <c r="I174" s="631" t="s">
        <v>336</v>
      </c>
      <c r="J174" s="620"/>
      <c r="K174" s="620"/>
      <c r="L174" s="620"/>
      <c r="M174" s="526"/>
      <c r="N174" s="526"/>
      <c r="O174" s="526"/>
      <c r="P174" s="526"/>
      <c r="Q174" s="526"/>
      <c r="R174" s="526"/>
      <c r="S174" s="526"/>
      <c r="T174" s="526"/>
      <c r="U174" s="526"/>
      <c r="V174" s="526"/>
      <c r="W174" s="526"/>
      <c r="X174" s="526"/>
      <c r="Y174" s="526"/>
      <c r="Z174" s="526"/>
      <c r="AA174" s="526"/>
      <c r="AB174" s="526"/>
      <c r="AC174" s="526"/>
      <c r="AD174" s="526"/>
      <c r="AE174" s="526"/>
      <c r="AF174" s="526"/>
      <c r="AG174" s="526"/>
      <c r="AH174" s="526"/>
      <c r="AI174" s="526"/>
      <c r="AJ174" s="526"/>
      <c r="AK174" s="526"/>
      <c r="AL174" s="526"/>
      <c r="AM174" s="526"/>
      <c r="AN174" s="526"/>
      <c r="AO174" s="526"/>
      <c r="AP174" s="526"/>
      <c r="AQ174" s="526"/>
      <c r="AR174" s="526"/>
      <c r="AS174" s="526"/>
      <c r="AT174" s="526"/>
      <c r="AU174" s="526"/>
      <c r="AV174" s="526"/>
      <c r="AW174" s="526"/>
      <c r="AX174" s="526"/>
    </row>
    <row r="175" spans="1:50" ht="120" x14ac:dyDescent="0.45">
      <c r="A175" s="629" t="s">
        <v>845</v>
      </c>
      <c r="B175" s="627" t="s">
        <v>336</v>
      </c>
      <c r="C175" s="514" t="s">
        <v>1083</v>
      </c>
      <c r="D175" s="630" t="s">
        <v>336</v>
      </c>
      <c r="E175" s="514" t="s">
        <v>1084</v>
      </c>
      <c r="F175" s="630" t="s">
        <v>336</v>
      </c>
      <c r="G175" s="630" t="s">
        <v>336</v>
      </c>
      <c r="H175" s="630" t="s">
        <v>336</v>
      </c>
      <c r="I175" s="631" t="s">
        <v>336</v>
      </c>
      <c r="J175" s="620"/>
      <c r="K175" s="620"/>
      <c r="L175" s="620"/>
      <c r="M175" s="526"/>
      <c r="N175" s="526"/>
      <c r="O175" s="526"/>
      <c r="P175" s="526"/>
      <c r="Q175" s="526"/>
      <c r="R175" s="526"/>
      <c r="S175" s="526"/>
      <c r="T175" s="526"/>
      <c r="U175" s="526"/>
      <c r="V175" s="526"/>
      <c r="W175" s="526"/>
      <c r="X175" s="526"/>
      <c r="Y175" s="526"/>
      <c r="Z175" s="526"/>
      <c r="AA175" s="526"/>
      <c r="AB175" s="526"/>
      <c r="AC175" s="526"/>
      <c r="AD175" s="526"/>
      <c r="AE175" s="526"/>
      <c r="AF175" s="526"/>
      <c r="AG175" s="526"/>
      <c r="AH175" s="526"/>
      <c r="AI175" s="526"/>
      <c r="AJ175" s="526"/>
      <c r="AK175" s="526"/>
      <c r="AL175" s="526"/>
      <c r="AM175" s="526"/>
      <c r="AN175" s="526"/>
      <c r="AO175" s="526"/>
      <c r="AP175" s="526"/>
      <c r="AQ175" s="526"/>
      <c r="AR175" s="526"/>
      <c r="AS175" s="526"/>
      <c r="AT175" s="526"/>
      <c r="AU175" s="526"/>
      <c r="AV175" s="526"/>
      <c r="AW175" s="526"/>
      <c r="AX175" s="526"/>
    </row>
    <row r="176" spans="1:50" ht="24" x14ac:dyDescent="0.45">
      <c r="A176" s="628" t="s">
        <v>811</v>
      </c>
      <c r="B176" s="627" t="s">
        <v>336</v>
      </c>
      <c r="C176" s="756" t="s">
        <v>812</v>
      </c>
      <c r="D176" s="756"/>
      <c r="E176" s="756"/>
      <c r="F176" s="756"/>
      <c r="G176" s="756"/>
      <c r="H176" s="756"/>
      <c r="I176" s="757"/>
      <c r="J176" s="620"/>
      <c r="K176" s="620"/>
      <c r="L176" s="620"/>
      <c r="M176" s="526"/>
      <c r="N176" s="526"/>
      <c r="O176" s="526"/>
      <c r="P176" s="526"/>
      <c r="Q176" s="526"/>
      <c r="R176" s="526"/>
      <c r="S176" s="526"/>
      <c r="T176" s="526"/>
      <c r="U176" s="526"/>
      <c r="V176" s="526"/>
      <c r="W176" s="526"/>
      <c r="X176" s="526"/>
      <c r="Y176" s="526"/>
      <c r="Z176" s="526"/>
      <c r="AA176" s="526"/>
      <c r="AB176" s="526"/>
      <c r="AC176" s="526"/>
      <c r="AD176" s="526"/>
      <c r="AE176" s="526"/>
      <c r="AF176" s="526"/>
      <c r="AG176" s="526"/>
      <c r="AH176" s="526"/>
      <c r="AI176" s="526"/>
      <c r="AJ176" s="526"/>
      <c r="AK176" s="526"/>
      <c r="AL176" s="526"/>
      <c r="AM176" s="526"/>
      <c r="AN176" s="526"/>
      <c r="AO176" s="526"/>
      <c r="AP176" s="526"/>
      <c r="AQ176" s="526"/>
      <c r="AR176" s="526"/>
      <c r="AS176" s="526"/>
      <c r="AT176" s="526"/>
      <c r="AU176" s="526"/>
      <c r="AV176" s="526"/>
      <c r="AW176" s="526"/>
      <c r="AX176" s="526"/>
    </row>
    <row r="177" spans="1:50" ht="120" x14ac:dyDescent="0.45">
      <c r="A177" s="629" t="s">
        <v>825</v>
      </c>
      <c r="B177" s="627" t="s">
        <v>336</v>
      </c>
      <c r="C177" s="514" t="s">
        <v>826</v>
      </c>
      <c r="D177" s="630" t="s">
        <v>336</v>
      </c>
      <c r="E177" s="514" t="s">
        <v>914</v>
      </c>
      <c r="F177" s="630" t="s">
        <v>336</v>
      </c>
      <c r="G177" s="630" t="s">
        <v>336</v>
      </c>
      <c r="H177" s="630" t="s">
        <v>336</v>
      </c>
      <c r="I177" s="631" t="s">
        <v>336</v>
      </c>
      <c r="J177" s="620"/>
      <c r="K177" s="620"/>
      <c r="L177" s="620"/>
      <c r="M177" s="526"/>
      <c r="N177" s="526"/>
      <c r="O177" s="526"/>
      <c r="P177" s="526"/>
      <c r="Q177" s="526"/>
      <c r="R177" s="526"/>
      <c r="S177" s="526"/>
      <c r="T177" s="526"/>
      <c r="U177" s="526"/>
      <c r="V177" s="526"/>
      <c r="W177" s="526"/>
      <c r="X177" s="526"/>
      <c r="Y177" s="526"/>
      <c r="Z177" s="526"/>
      <c r="AA177" s="526"/>
      <c r="AB177" s="526"/>
      <c r="AC177" s="526"/>
      <c r="AD177" s="526"/>
      <c r="AE177" s="526"/>
      <c r="AF177" s="526"/>
      <c r="AG177" s="526"/>
      <c r="AH177" s="526"/>
      <c r="AI177" s="526"/>
      <c r="AJ177" s="526"/>
      <c r="AK177" s="526"/>
      <c r="AL177" s="526"/>
      <c r="AM177" s="526"/>
      <c r="AN177" s="526"/>
      <c r="AO177" s="526"/>
      <c r="AP177" s="526"/>
      <c r="AQ177" s="526"/>
      <c r="AR177" s="526"/>
      <c r="AS177" s="526"/>
      <c r="AT177" s="526"/>
      <c r="AU177" s="526"/>
      <c r="AV177" s="526"/>
      <c r="AW177" s="526"/>
      <c r="AX177" s="526"/>
    </row>
    <row r="178" spans="1:50" ht="72" x14ac:dyDescent="0.45">
      <c r="A178" s="629" t="s">
        <v>11</v>
      </c>
      <c r="B178" s="627" t="s">
        <v>336</v>
      </c>
      <c r="C178" s="514" t="s">
        <v>1067</v>
      </c>
      <c r="D178" s="630" t="s">
        <v>336</v>
      </c>
      <c r="E178" s="514" t="s">
        <v>1068</v>
      </c>
      <c r="F178" s="630" t="s">
        <v>336</v>
      </c>
      <c r="G178" s="630" t="s">
        <v>336</v>
      </c>
      <c r="H178" s="630" t="s">
        <v>336</v>
      </c>
      <c r="I178" s="631" t="s">
        <v>336</v>
      </c>
      <c r="J178" s="620"/>
      <c r="K178" s="620"/>
      <c r="L178" s="620"/>
      <c r="M178" s="526"/>
      <c r="N178" s="526"/>
      <c r="O178" s="526"/>
      <c r="P178" s="526"/>
      <c r="Q178" s="526"/>
      <c r="R178" s="526"/>
      <c r="S178" s="526"/>
      <c r="T178" s="526"/>
      <c r="U178" s="526"/>
      <c r="V178" s="526"/>
      <c r="W178" s="526"/>
      <c r="X178" s="526"/>
      <c r="Y178" s="526"/>
      <c r="Z178" s="526"/>
      <c r="AA178" s="526"/>
      <c r="AB178" s="526"/>
      <c r="AC178" s="526"/>
      <c r="AD178" s="526"/>
      <c r="AE178" s="526"/>
      <c r="AF178" s="526"/>
      <c r="AG178" s="526"/>
      <c r="AH178" s="526"/>
      <c r="AI178" s="526"/>
      <c r="AJ178" s="526"/>
      <c r="AK178" s="526"/>
      <c r="AL178" s="526"/>
      <c r="AM178" s="526"/>
      <c r="AN178" s="526"/>
      <c r="AO178" s="526"/>
      <c r="AP178" s="526"/>
      <c r="AQ178" s="526"/>
      <c r="AR178" s="526"/>
      <c r="AS178" s="526"/>
      <c r="AT178" s="526"/>
      <c r="AU178" s="526"/>
      <c r="AV178" s="526"/>
      <c r="AW178" s="526"/>
      <c r="AX178" s="526"/>
    </row>
    <row r="179" spans="1:50" ht="144" x14ac:dyDescent="0.45">
      <c r="A179" s="629" t="s">
        <v>45</v>
      </c>
      <c r="B179" s="627" t="s">
        <v>336</v>
      </c>
      <c r="C179" s="514" t="s">
        <v>1069</v>
      </c>
      <c r="D179" s="630" t="s">
        <v>336</v>
      </c>
      <c r="E179" s="514" t="s">
        <v>886</v>
      </c>
      <c r="F179" s="630" t="s">
        <v>336</v>
      </c>
      <c r="G179" s="630" t="s">
        <v>336</v>
      </c>
      <c r="H179" s="630" t="s">
        <v>336</v>
      </c>
      <c r="I179" s="631" t="s">
        <v>336</v>
      </c>
      <c r="J179" s="620"/>
      <c r="K179" s="620"/>
      <c r="L179" s="620"/>
      <c r="M179" s="526"/>
      <c r="N179" s="526"/>
      <c r="O179" s="526"/>
      <c r="P179" s="526"/>
      <c r="Q179" s="526"/>
      <c r="R179" s="526"/>
      <c r="S179" s="526"/>
      <c r="T179" s="526"/>
      <c r="U179" s="526"/>
      <c r="V179" s="526"/>
      <c r="W179" s="526"/>
      <c r="X179" s="526"/>
      <c r="Y179" s="526"/>
      <c r="Z179" s="526"/>
      <c r="AA179" s="526"/>
      <c r="AB179" s="526"/>
      <c r="AC179" s="526"/>
      <c r="AD179" s="526"/>
      <c r="AE179" s="526"/>
      <c r="AF179" s="526"/>
      <c r="AG179" s="526"/>
      <c r="AH179" s="526"/>
      <c r="AI179" s="526"/>
      <c r="AJ179" s="526"/>
      <c r="AK179" s="526"/>
      <c r="AL179" s="526"/>
      <c r="AM179" s="526"/>
      <c r="AN179" s="526"/>
      <c r="AO179" s="526"/>
      <c r="AP179" s="526"/>
      <c r="AQ179" s="526"/>
      <c r="AR179" s="526"/>
      <c r="AS179" s="526"/>
      <c r="AT179" s="526"/>
      <c r="AU179" s="526"/>
      <c r="AV179" s="526"/>
      <c r="AW179" s="526"/>
      <c r="AX179" s="526"/>
    </row>
    <row r="180" spans="1:50" ht="144" x14ac:dyDescent="0.45">
      <c r="A180" s="629" t="s">
        <v>853</v>
      </c>
      <c r="B180" s="627" t="s">
        <v>336</v>
      </c>
      <c r="C180" s="514" t="s">
        <v>875</v>
      </c>
      <c r="D180" s="630" t="s">
        <v>336</v>
      </c>
      <c r="E180" s="514" t="s">
        <v>1070</v>
      </c>
      <c r="F180" s="630" t="s">
        <v>336</v>
      </c>
      <c r="G180" s="630" t="s">
        <v>336</v>
      </c>
      <c r="H180" s="630" t="s">
        <v>336</v>
      </c>
      <c r="I180" s="631" t="s">
        <v>336</v>
      </c>
      <c r="J180" s="620"/>
      <c r="K180" s="620"/>
      <c r="L180" s="620"/>
      <c r="M180" s="526"/>
      <c r="N180" s="526"/>
      <c r="O180" s="526"/>
      <c r="P180" s="526"/>
      <c r="Q180" s="526"/>
      <c r="R180" s="526"/>
      <c r="S180" s="526"/>
      <c r="T180" s="526"/>
      <c r="U180" s="526"/>
      <c r="V180" s="526"/>
      <c r="W180" s="526"/>
      <c r="X180" s="526"/>
      <c r="Y180" s="526"/>
      <c r="Z180" s="526"/>
      <c r="AA180" s="526"/>
      <c r="AB180" s="526"/>
      <c r="AC180" s="526"/>
      <c r="AD180" s="526"/>
      <c r="AE180" s="526"/>
      <c r="AF180" s="526"/>
      <c r="AG180" s="526"/>
      <c r="AH180" s="526"/>
      <c r="AI180" s="526"/>
      <c r="AJ180" s="526"/>
      <c r="AK180" s="526"/>
      <c r="AL180" s="526"/>
      <c r="AM180" s="526"/>
      <c r="AN180" s="526"/>
      <c r="AO180" s="526"/>
      <c r="AP180" s="526"/>
      <c r="AQ180" s="526"/>
      <c r="AR180" s="526"/>
      <c r="AS180" s="526"/>
      <c r="AT180" s="526"/>
      <c r="AU180" s="526"/>
      <c r="AV180" s="526"/>
      <c r="AW180" s="526"/>
      <c r="AX180" s="526"/>
    </row>
    <row r="181" spans="1:50" ht="72" x14ac:dyDescent="0.45">
      <c r="A181" s="629" t="s">
        <v>11</v>
      </c>
      <c r="B181" s="627" t="s">
        <v>336</v>
      </c>
      <c r="C181" s="514" t="s">
        <v>1072</v>
      </c>
      <c r="D181" s="630" t="s">
        <v>336</v>
      </c>
      <c r="E181" s="514" t="s">
        <v>1073</v>
      </c>
      <c r="F181" s="630" t="s">
        <v>336</v>
      </c>
      <c r="G181" s="630" t="s">
        <v>336</v>
      </c>
      <c r="H181" s="630" t="s">
        <v>336</v>
      </c>
      <c r="I181" s="631" t="s">
        <v>336</v>
      </c>
      <c r="J181" s="620"/>
      <c r="K181" s="620"/>
      <c r="L181" s="620"/>
      <c r="M181" s="526"/>
      <c r="N181" s="526"/>
      <c r="O181" s="526"/>
      <c r="P181" s="526"/>
      <c r="Q181" s="526"/>
      <c r="R181" s="526"/>
      <c r="S181" s="526"/>
      <c r="T181" s="526"/>
      <c r="U181" s="526"/>
      <c r="V181" s="526"/>
      <c r="W181" s="526"/>
      <c r="X181" s="526"/>
      <c r="Y181" s="526"/>
      <c r="Z181" s="526"/>
      <c r="AA181" s="526"/>
      <c r="AB181" s="526"/>
      <c r="AC181" s="526"/>
      <c r="AD181" s="526"/>
      <c r="AE181" s="526"/>
      <c r="AF181" s="526"/>
      <c r="AG181" s="526"/>
      <c r="AH181" s="526"/>
      <c r="AI181" s="526"/>
      <c r="AJ181" s="526"/>
      <c r="AK181" s="526"/>
      <c r="AL181" s="526"/>
      <c r="AM181" s="526"/>
      <c r="AN181" s="526"/>
      <c r="AO181" s="526"/>
      <c r="AP181" s="526"/>
      <c r="AQ181" s="526"/>
      <c r="AR181" s="526"/>
      <c r="AS181" s="526"/>
      <c r="AT181" s="526"/>
      <c r="AU181" s="526"/>
      <c r="AV181" s="526"/>
      <c r="AW181" s="526"/>
      <c r="AX181" s="526"/>
    </row>
    <row r="182" spans="1:50" ht="120" x14ac:dyDescent="0.45">
      <c r="A182" s="629" t="s">
        <v>136</v>
      </c>
      <c r="B182" s="627" t="s">
        <v>336</v>
      </c>
      <c r="C182" s="514" t="s">
        <v>1074</v>
      </c>
      <c r="D182" s="630" t="s">
        <v>336</v>
      </c>
      <c r="E182" s="514" t="s">
        <v>1075</v>
      </c>
      <c r="F182" s="630" t="s">
        <v>336</v>
      </c>
      <c r="G182" s="630" t="s">
        <v>336</v>
      </c>
      <c r="H182" s="630" t="s">
        <v>336</v>
      </c>
      <c r="I182" s="632" t="s">
        <v>336</v>
      </c>
      <c r="J182" s="620"/>
      <c r="K182" s="620"/>
      <c r="L182" s="620"/>
      <c r="M182" s="526"/>
      <c r="N182" s="526"/>
      <c r="O182" s="526"/>
      <c r="P182" s="526"/>
      <c r="Q182" s="526"/>
      <c r="R182" s="526"/>
      <c r="S182" s="526"/>
      <c r="T182" s="526"/>
      <c r="U182" s="526"/>
      <c r="V182" s="526"/>
      <c r="W182" s="526"/>
      <c r="X182" s="526"/>
      <c r="Y182" s="526"/>
      <c r="Z182" s="526"/>
      <c r="AA182" s="526"/>
      <c r="AB182" s="526"/>
      <c r="AC182" s="526"/>
      <c r="AD182" s="526"/>
      <c r="AE182" s="526"/>
      <c r="AF182" s="526"/>
      <c r="AG182" s="526"/>
      <c r="AH182" s="526"/>
      <c r="AI182" s="526"/>
      <c r="AJ182" s="526"/>
      <c r="AK182" s="526"/>
      <c r="AL182" s="526"/>
      <c r="AM182" s="526"/>
      <c r="AN182" s="526"/>
      <c r="AO182" s="526"/>
      <c r="AP182" s="526"/>
      <c r="AQ182" s="526"/>
      <c r="AR182" s="526"/>
      <c r="AS182" s="526"/>
      <c r="AT182" s="526"/>
      <c r="AU182" s="526"/>
      <c r="AV182" s="526"/>
      <c r="AW182" s="526"/>
      <c r="AX182" s="526"/>
    </row>
    <row r="183" spans="1:50" ht="24" x14ac:dyDescent="0.45">
      <c r="A183" s="626" t="s">
        <v>815</v>
      </c>
      <c r="B183" s="627" t="s">
        <v>336</v>
      </c>
      <c r="C183" s="758" t="s">
        <v>1202</v>
      </c>
      <c r="D183" s="758"/>
      <c r="E183" s="758"/>
      <c r="F183" s="758"/>
      <c r="G183" s="758"/>
      <c r="H183" s="758"/>
      <c r="I183" s="759"/>
      <c r="J183" s="620"/>
      <c r="K183" s="620"/>
      <c r="L183" s="620"/>
      <c r="M183" s="526"/>
      <c r="N183" s="526"/>
      <c r="O183" s="526"/>
      <c r="P183" s="526"/>
      <c r="Q183" s="526"/>
      <c r="R183" s="526"/>
      <c r="S183" s="526"/>
      <c r="T183" s="526"/>
      <c r="U183" s="526"/>
      <c r="V183" s="526"/>
      <c r="W183" s="526"/>
      <c r="X183" s="526"/>
      <c r="Y183" s="526"/>
      <c r="Z183" s="526"/>
      <c r="AA183" s="526"/>
      <c r="AB183" s="526"/>
      <c r="AC183" s="526"/>
      <c r="AD183" s="526"/>
      <c r="AE183" s="526"/>
      <c r="AF183" s="526"/>
      <c r="AG183" s="526"/>
      <c r="AH183" s="526"/>
      <c r="AI183" s="526"/>
      <c r="AJ183" s="526"/>
      <c r="AK183" s="526"/>
      <c r="AL183" s="526"/>
      <c r="AM183" s="526"/>
      <c r="AN183" s="526"/>
      <c r="AO183" s="526"/>
      <c r="AP183" s="526"/>
      <c r="AQ183" s="526"/>
      <c r="AR183" s="526"/>
      <c r="AS183" s="526"/>
      <c r="AT183" s="526"/>
      <c r="AU183" s="526"/>
      <c r="AV183" s="526"/>
      <c r="AW183" s="526"/>
      <c r="AX183" s="526"/>
    </row>
    <row r="184" spans="1:50" ht="24" x14ac:dyDescent="0.45">
      <c r="A184" s="628" t="s">
        <v>817</v>
      </c>
      <c r="B184" s="627" t="s">
        <v>336</v>
      </c>
      <c r="C184" s="756" t="s">
        <v>1086</v>
      </c>
      <c r="D184" s="756"/>
      <c r="E184" s="756"/>
      <c r="F184" s="756"/>
      <c r="G184" s="756"/>
      <c r="H184" s="756"/>
      <c r="I184" s="757"/>
      <c r="J184" s="620"/>
      <c r="K184" s="620"/>
      <c r="L184" s="620"/>
      <c r="M184" s="526"/>
      <c r="N184" s="526"/>
      <c r="O184" s="526"/>
      <c r="P184" s="526"/>
      <c r="Q184" s="526"/>
      <c r="R184" s="526"/>
      <c r="S184" s="526"/>
      <c r="T184" s="526"/>
      <c r="U184" s="526"/>
      <c r="V184" s="526"/>
      <c r="W184" s="526"/>
      <c r="X184" s="526"/>
      <c r="Y184" s="526"/>
      <c r="Z184" s="526"/>
      <c r="AA184" s="526"/>
      <c r="AB184" s="526"/>
      <c r="AC184" s="526"/>
      <c r="AD184" s="526"/>
      <c r="AE184" s="526"/>
      <c r="AF184" s="526"/>
      <c r="AG184" s="526"/>
      <c r="AH184" s="526"/>
      <c r="AI184" s="526"/>
      <c r="AJ184" s="526"/>
      <c r="AK184" s="526"/>
      <c r="AL184" s="526"/>
      <c r="AM184" s="526"/>
      <c r="AN184" s="526"/>
      <c r="AO184" s="526"/>
      <c r="AP184" s="526"/>
      <c r="AQ184" s="526"/>
      <c r="AR184" s="526"/>
      <c r="AS184" s="526"/>
      <c r="AT184" s="526"/>
      <c r="AU184" s="526"/>
      <c r="AV184" s="526"/>
      <c r="AW184" s="526"/>
      <c r="AX184" s="526"/>
    </row>
    <row r="185" spans="1:50" ht="120" x14ac:dyDescent="0.45">
      <c r="A185" s="629" t="s">
        <v>825</v>
      </c>
      <c r="B185" s="627" t="s">
        <v>336</v>
      </c>
      <c r="C185" s="514" t="s">
        <v>826</v>
      </c>
      <c r="D185" s="630" t="s">
        <v>336</v>
      </c>
      <c r="E185" s="514" t="s">
        <v>914</v>
      </c>
      <c r="F185" s="630" t="s">
        <v>336</v>
      </c>
      <c r="G185" s="630" t="s">
        <v>336</v>
      </c>
      <c r="H185" s="630" t="s">
        <v>336</v>
      </c>
      <c r="I185" s="631" t="s">
        <v>336</v>
      </c>
      <c r="J185" s="620"/>
      <c r="K185" s="620"/>
      <c r="L185" s="620"/>
      <c r="M185" s="526"/>
      <c r="N185" s="526"/>
      <c r="O185" s="526"/>
      <c r="P185" s="526"/>
      <c r="Q185" s="526"/>
      <c r="R185" s="526"/>
      <c r="S185" s="526"/>
      <c r="T185" s="526"/>
      <c r="U185" s="526"/>
      <c r="V185" s="526"/>
      <c r="W185" s="526"/>
      <c r="X185" s="526"/>
      <c r="Y185" s="526"/>
      <c r="Z185" s="526"/>
      <c r="AA185" s="526"/>
      <c r="AB185" s="526"/>
      <c r="AC185" s="526"/>
      <c r="AD185" s="526"/>
      <c r="AE185" s="526"/>
      <c r="AF185" s="526"/>
      <c r="AG185" s="526"/>
      <c r="AH185" s="526"/>
      <c r="AI185" s="526"/>
      <c r="AJ185" s="526"/>
      <c r="AK185" s="526"/>
      <c r="AL185" s="526"/>
      <c r="AM185" s="526"/>
      <c r="AN185" s="526"/>
      <c r="AO185" s="526"/>
      <c r="AP185" s="526"/>
      <c r="AQ185" s="526"/>
      <c r="AR185" s="526"/>
      <c r="AS185" s="526"/>
      <c r="AT185" s="526"/>
      <c r="AU185" s="526"/>
      <c r="AV185" s="526"/>
      <c r="AW185" s="526"/>
      <c r="AX185" s="526"/>
    </row>
    <row r="186" spans="1:50" ht="96" x14ac:dyDescent="0.45">
      <c r="A186" s="629" t="s">
        <v>11</v>
      </c>
      <c r="B186" s="627" t="s">
        <v>336</v>
      </c>
      <c r="C186" s="514" t="s">
        <v>869</v>
      </c>
      <c r="D186" s="630" t="s">
        <v>336</v>
      </c>
      <c r="E186" s="514" t="s">
        <v>915</v>
      </c>
      <c r="F186" s="630" t="s">
        <v>336</v>
      </c>
      <c r="G186" s="630" t="s">
        <v>336</v>
      </c>
      <c r="H186" s="630" t="s">
        <v>336</v>
      </c>
      <c r="I186" s="631" t="s">
        <v>336</v>
      </c>
      <c r="J186" s="620"/>
      <c r="K186" s="620"/>
      <c r="L186" s="620"/>
      <c r="M186" s="526"/>
      <c r="N186" s="526"/>
      <c r="O186" s="526"/>
      <c r="P186" s="526"/>
      <c r="Q186" s="526"/>
      <c r="R186" s="526"/>
      <c r="S186" s="526"/>
      <c r="T186" s="526"/>
      <c r="U186" s="526"/>
      <c r="V186" s="526"/>
      <c r="W186" s="526"/>
      <c r="X186" s="526"/>
      <c r="Y186" s="526"/>
      <c r="Z186" s="526"/>
      <c r="AA186" s="526"/>
      <c r="AB186" s="526"/>
      <c r="AC186" s="526"/>
      <c r="AD186" s="526"/>
      <c r="AE186" s="526"/>
      <c r="AF186" s="526"/>
      <c r="AG186" s="526"/>
      <c r="AH186" s="526"/>
      <c r="AI186" s="526"/>
      <c r="AJ186" s="526"/>
      <c r="AK186" s="526"/>
      <c r="AL186" s="526"/>
      <c r="AM186" s="526"/>
      <c r="AN186" s="526"/>
      <c r="AO186" s="526"/>
      <c r="AP186" s="526"/>
      <c r="AQ186" s="526"/>
      <c r="AR186" s="526"/>
      <c r="AS186" s="526"/>
      <c r="AT186" s="526"/>
      <c r="AU186" s="526"/>
      <c r="AV186" s="526"/>
      <c r="AW186" s="526"/>
      <c r="AX186" s="526"/>
    </row>
    <row r="187" spans="1:50" ht="168" x14ac:dyDescent="0.45">
      <c r="A187" s="629" t="s">
        <v>45</v>
      </c>
      <c r="B187" s="627" t="s">
        <v>336</v>
      </c>
      <c r="C187" s="514" t="s">
        <v>1087</v>
      </c>
      <c r="D187" s="630" t="s">
        <v>336</v>
      </c>
      <c r="E187" s="514" t="s">
        <v>1088</v>
      </c>
      <c r="F187" s="630" t="s">
        <v>336</v>
      </c>
      <c r="G187" s="630" t="s">
        <v>336</v>
      </c>
      <c r="H187" s="630" t="s">
        <v>336</v>
      </c>
      <c r="I187" s="631" t="s">
        <v>336</v>
      </c>
      <c r="J187" s="620"/>
      <c r="K187" s="620"/>
      <c r="L187" s="620"/>
      <c r="M187" s="526"/>
      <c r="N187" s="526"/>
      <c r="O187" s="526"/>
      <c r="P187" s="526"/>
      <c r="Q187" s="526"/>
      <c r="R187" s="526"/>
      <c r="S187" s="526"/>
      <c r="T187" s="526"/>
      <c r="U187" s="526"/>
      <c r="V187" s="526"/>
      <c r="W187" s="526"/>
      <c r="X187" s="526"/>
      <c r="Y187" s="526"/>
      <c r="Z187" s="526"/>
      <c r="AA187" s="526"/>
      <c r="AB187" s="526"/>
      <c r="AC187" s="526"/>
      <c r="AD187" s="526"/>
      <c r="AE187" s="526"/>
      <c r="AF187" s="526"/>
      <c r="AG187" s="526"/>
      <c r="AH187" s="526"/>
      <c r="AI187" s="526"/>
      <c r="AJ187" s="526"/>
      <c r="AK187" s="526"/>
      <c r="AL187" s="526"/>
      <c r="AM187" s="526"/>
      <c r="AN187" s="526"/>
      <c r="AO187" s="526"/>
      <c r="AP187" s="526"/>
      <c r="AQ187" s="526"/>
      <c r="AR187" s="526"/>
      <c r="AS187" s="526"/>
      <c r="AT187" s="526"/>
      <c r="AU187" s="526"/>
      <c r="AV187" s="526"/>
      <c r="AW187" s="526"/>
      <c r="AX187" s="526"/>
    </row>
    <row r="188" spans="1:50" ht="72" x14ac:dyDescent="0.45">
      <c r="A188" s="629" t="s">
        <v>1089</v>
      </c>
      <c r="B188" s="627" t="s">
        <v>336</v>
      </c>
      <c r="C188" s="514" t="s">
        <v>1090</v>
      </c>
      <c r="D188" s="630" t="s">
        <v>336</v>
      </c>
      <c r="E188" s="514" t="s">
        <v>1091</v>
      </c>
      <c r="F188" s="630" t="s">
        <v>336</v>
      </c>
      <c r="G188" s="630" t="s">
        <v>336</v>
      </c>
      <c r="H188" s="630" t="s">
        <v>336</v>
      </c>
      <c r="I188" s="631" t="s">
        <v>336</v>
      </c>
      <c r="J188" s="620"/>
      <c r="K188" s="620"/>
      <c r="L188" s="620"/>
      <c r="M188" s="526"/>
      <c r="N188" s="526"/>
      <c r="O188" s="526"/>
      <c r="P188" s="526"/>
      <c r="Q188" s="526"/>
      <c r="R188" s="526"/>
      <c r="S188" s="526"/>
      <c r="T188" s="526"/>
      <c r="U188" s="526"/>
      <c r="V188" s="526"/>
      <c r="W188" s="526"/>
      <c r="X188" s="526"/>
      <c r="Y188" s="526"/>
      <c r="Z188" s="526"/>
      <c r="AA188" s="526"/>
      <c r="AB188" s="526"/>
      <c r="AC188" s="526"/>
      <c r="AD188" s="526"/>
      <c r="AE188" s="526"/>
      <c r="AF188" s="526"/>
      <c r="AG188" s="526"/>
      <c r="AH188" s="526"/>
      <c r="AI188" s="526"/>
      <c r="AJ188" s="526"/>
      <c r="AK188" s="526"/>
      <c r="AL188" s="526"/>
      <c r="AM188" s="526"/>
      <c r="AN188" s="526"/>
      <c r="AO188" s="526"/>
      <c r="AP188" s="526"/>
      <c r="AQ188" s="526"/>
      <c r="AR188" s="526"/>
      <c r="AS188" s="526"/>
      <c r="AT188" s="526"/>
      <c r="AU188" s="526"/>
      <c r="AV188" s="526"/>
      <c r="AW188" s="526"/>
      <c r="AX188" s="526"/>
    </row>
    <row r="189" spans="1:50" ht="144" x14ac:dyDescent="0.45">
      <c r="A189" s="629" t="s">
        <v>1089</v>
      </c>
      <c r="B189" s="627" t="s">
        <v>336</v>
      </c>
      <c r="C189" s="514" t="s">
        <v>1093</v>
      </c>
      <c r="D189" s="630" t="s">
        <v>336</v>
      </c>
      <c r="E189" s="514" t="s">
        <v>1094</v>
      </c>
      <c r="F189" s="630" t="s">
        <v>336</v>
      </c>
      <c r="G189" s="630" t="s">
        <v>336</v>
      </c>
      <c r="H189" s="630" t="s">
        <v>336</v>
      </c>
      <c r="I189" s="632" t="s">
        <v>336</v>
      </c>
      <c r="J189" s="620"/>
      <c r="K189" s="620"/>
      <c r="L189" s="620"/>
      <c r="M189" s="526"/>
      <c r="N189" s="526"/>
      <c r="O189" s="526"/>
      <c r="P189" s="526"/>
      <c r="Q189" s="526"/>
      <c r="R189" s="526"/>
      <c r="S189" s="526"/>
      <c r="T189" s="526"/>
      <c r="U189" s="526"/>
      <c r="V189" s="526"/>
      <c r="W189" s="526"/>
      <c r="X189" s="526"/>
      <c r="Y189" s="526"/>
      <c r="Z189" s="526"/>
      <c r="AA189" s="526"/>
      <c r="AB189" s="526"/>
      <c r="AC189" s="526"/>
      <c r="AD189" s="526"/>
      <c r="AE189" s="526"/>
      <c r="AF189" s="526"/>
      <c r="AG189" s="526"/>
      <c r="AH189" s="526"/>
      <c r="AI189" s="526"/>
      <c r="AJ189" s="526"/>
      <c r="AK189" s="526"/>
      <c r="AL189" s="526"/>
      <c r="AM189" s="526"/>
      <c r="AN189" s="526"/>
      <c r="AO189" s="526"/>
      <c r="AP189" s="526"/>
      <c r="AQ189" s="526"/>
      <c r="AR189" s="526"/>
      <c r="AS189" s="526"/>
      <c r="AT189" s="526"/>
      <c r="AU189" s="526"/>
      <c r="AV189" s="526"/>
      <c r="AW189" s="526"/>
      <c r="AX189" s="526"/>
    </row>
    <row r="190" spans="1:50" ht="120" x14ac:dyDescent="0.45">
      <c r="A190" s="629" t="s">
        <v>11</v>
      </c>
      <c r="B190" s="627" t="s">
        <v>336</v>
      </c>
      <c r="C190" s="514" t="s">
        <v>1096</v>
      </c>
      <c r="D190" s="630" t="s">
        <v>336</v>
      </c>
      <c r="E190" s="514" t="s">
        <v>1097</v>
      </c>
      <c r="F190" s="630" t="s">
        <v>336</v>
      </c>
      <c r="G190" s="630" t="s">
        <v>336</v>
      </c>
      <c r="H190" s="630" t="s">
        <v>336</v>
      </c>
      <c r="I190" s="631" t="s">
        <v>336</v>
      </c>
      <c r="J190" s="620"/>
      <c r="K190" s="620"/>
      <c r="L190" s="620"/>
      <c r="M190" s="526"/>
      <c r="N190" s="526"/>
      <c r="O190" s="526"/>
      <c r="P190" s="526"/>
      <c r="Q190" s="526"/>
      <c r="R190" s="526"/>
      <c r="S190" s="526"/>
      <c r="T190" s="526"/>
      <c r="U190" s="526"/>
      <c r="V190" s="526"/>
      <c r="W190" s="526"/>
      <c r="X190" s="526"/>
      <c r="Y190" s="526"/>
      <c r="Z190" s="526"/>
      <c r="AA190" s="526"/>
      <c r="AB190" s="526"/>
      <c r="AC190" s="526"/>
      <c r="AD190" s="526"/>
      <c r="AE190" s="526"/>
      <c r="AF190" s="526"/>
      <c r="AG190" s="526"/>
      <c r="AH190" s="526"/>
      <c r="AI190" s="526"/>
      <c r="AJ190" s="526"/>
      <c r="AK190" s="526"/>
      <c r="AL190" s="526"/>
      <c r="AM190" s="526"/>
      <c r="AN190" s="526"/>
      <c r="AO190" s="526"/>
      <c r="AP190" s="526"/>
      <c r="AQ190" s="526"/>
      <c r="AR190" s="526"/>
      <c r="AS190" s="526"/>
      <c r="AT190" s="526"/>
      <c r="AU190" s="526"/>
      <c r="AV190" s="526"/>
      <c r="AW190" s="526"/>
      <c r="AX190" s="526"/>
    </row>
    <row r="191" spans="1:50" ht="72" x14ac:dyDescent="0.45">
      <c r="A191" s="629" t="s">
        <v>136</v>
      </c>
      <c r="B191" s="627" t="s">
        <v>336</v>
      </c>
      <c r="C191" s="514" t="s">
        <v>840</v>
      </c>
      <c r="D191" s="630" t="s">
        <v>336</v>
      </c>
      <c r="E191" s="514" t="s">
        <v>925</v>
      </c>
      <c r="F191" s="630" t="s">
        <v>336</v>
      </c>
      <c r="G191" s="630" t="s">
        <v>336</v>
      </c>
      <c r="H191" s="630" t="s">
        <v>336</v>
      </c>
      <c r="I191" s="631" t="s">
        <v>336</v>
      </c>
      <c r="J191" s="620"/>
      <c r="K191" s="620"/>
      <c r="L191" s="620"/>
      <c r="M191" s="526"/>
      <c r="N191" s="526"/>
      <c r="O191" s="526"/>
      <c r="P191" s="526"/>
      <c r="Q191" s="526"/>
      <c r="R191" s="526"/>
      <c r="S191" s="526"/>
      <c r="T191" s="526"/>
      <c r="U191" s="526"/>
      <c r="V191" s="526"/>
      <c r="W191" s="526"/>
      <c r="X191" s="526"/>
      <c r="Y191" s="526"/>
      <c r="Z191" s="526"/>
      <c r="AA191" s="526"/>
      <c r="AB191" s="526"/>
      <c r="AC191" s="526"/>
      <c r="AD191" s="526"/>
      <c r="AE191" s="526"/>
      <c r="AF191" s="526"/>
      <c r="AG191" s="526"/>
      <c r="AH191" s="526"/>
      <c r="AI191" s="526"/>
      <c r="AJ191" s="526"/>
      <c r="AK191" s="526"/>
      <c r="AL191" s="526"/>
      <c r="AM191" s="526"/>
      <c r="AN191" s="526"/>
      <c r="AO191" s="526"/>
      <c r="AP191" s="526"/>
      <c r="AQ191" s="526"/>
      <c r="AR191" s="526"/>
      <c r="AS191" s="526"/>
      <c r="AT191" s="526"/>
      <c r="AU191" s="526"/>
      <c r="AV191" s="526"/>
      <c r="AW191" s="526"/>
      <c r="AX191" s="526"/>
    </row>
    <row r="192" spans="1:50" ht="120" x14ac:dyDescent="0.45">
      <c r="A192" s="629" t="s">
        <v>845</v>
      </c>
      <c r="B192" s="627" t="s">
        <v>336</v>
      </c>
      <c r="C192" s="514" t="s">
        <v>1099</v>
      </c>
      <c r="D192" s="630" t="s">
        <v>336</v>
      </c>
      <c r="E192" s="514" t="s">
        <v>1100</v>
      </c>
      <c r="F192" s="630" t="s">
        <v>336</v>
      </c>
      <c r="G192" s="630" t="s">
        <v>336</v>
      </c>
      <c r="H192" s="630" t="s">
        <v>336</v>
      </c>
      <c r="I192" s="631" t="s">
        <v>336</v>
      </c>
      <c r="J192" s="620"/>
      <c r="K192" s="620"/>
      <c r="L192" s="620"/>
      <c r="M192" s="526"/>
      <c r="N192" s="526"/>
      <c r="O192" s="526"/>
      <c r="P192" s="526"/>
      <c r="Q192" s="526"/>
      <c r="R192" s="526"/>
      <c r="S192" s="526"/>
      <c r="T192" s="526"/>
      <c r="U192" s="526"/>
      <c r="V192" s="526"/>
      <c r="W192" s="526"/>
      <c r="X192" s="526"/>
      <c r="Y192" s="526"/>
      <c r="Z192" s="526"/>
      <c r="AA192" s="526"/>
      <c r="AB192" s="526"/>
      <c r="AC192" s="526"/>
      <c r="AD192" s="526"/>
      <c r="AE192" s="526"/>
      <c r="AF192" s="526"/>
      <c r="AG192" s="526"/>
      <c r="AH192" s="526"/>
      <c r="AI192" s="526"/>
      <c r="AJ192" s="526"/>
      <c r="AK192" s="526"/>
      <c r="AL192" s="526"/>
      <c r="AM192" s="526"/>
      <c r="AN192" s="526"/>
      <c r="AO192" s="526"/>
      <c r="AP192" s="526"/>
      <c r="AQ192" s="526"/>
      <c r="AR192" s="526"/>
      <c r="AS192" s="526"/>
      <c r="AT192" s="526"/>
      <c r="AU192" s="526"/>
      <c r="AV192" s="526"/>
      <c r="AW192" s="526"/>
      <c r="AX192" s="526"/>
    </row>
    <row r="193" spans="1:50" ht="96" x14ac:dyDescent="0.45">
      <c r="A193" s="629" t="s">
        <v>189</v>
      </c>
      <c r="B193" s="627" t="s">
        <v>336</v>
      </c>
      <c r="C193" s="514" t="s">
        <v>866</v>
      </c>
      <c r="D193" s="630" t="s">
        <v>336</v>
      </c>
      <c r="E193" s="514" t="s">
        <v>901</v>
      </c>
      <c r="F193" s="630" t="s">
        <v>336</v>
      </c>
      <c r="G193" s="630" t="s">
        <v>336</v>
      </c>
      <c r="H193" s="630" t="s">
        <v>336</v>
      </c>
      <c r="I193" s="631" t="s">
        <v>336</v>
      </c>
      <c r="J193" s="620"/>
      <c r="K193" s="620"/>
      <c r="L193" s="620"/>
      <c r="M193" s="526"/>
      <c r="N193" s="526"/>
      <c r="O193" s="526"/>
      <c r="P193" s="526"/>
      <c r="Q193" s="526"/>
      <c r="R193" s="526"/>
      <c r="S193" s="526"/>
      <c r="T193" s="526"/>
      <c r="U193" s="526"/>
      <c r="V193" s="526"/>
      <c r="W193" s="526"/>
      <c r="X193" s="526"/>
      <c r="Y193" s="526"/>
      <c r="Z193" s="526"/>
      <c r="AA193" s="526"/>
      <c r="AB193" s="526"/>
      <c r="AC193" s="526"/>
      <c r="AD193" s="526"/>
      <c r="AE193" s="526"/>
      <c r="AF193" s="526"/>
      <c r="AG193" s="526"/>
      <c r="AH193" s="526"/>
      <c r="AI193" s="526"/>
      <c r="AJ193" s="526"/>
      <c r="AK193" s="526"/>
      <c r="AL193" s="526"/>
      <c r="AM193" s="526"/>
      <c r="AN193" s="526"/>
      <c r="AO193" s="526"/>
      <c r="AP193" s="526"/>
      <c r="AQ193" s="526"/>
      <c r="AR193" s="526"/>
      <c r="AS193" s="526"/>
      <c r="AT193" s="526"/>
      <c r="AU193" s="526"/>
      <c r="AV193" s="526"/>
      <c r="AW193" s="526"/>
      <c r="AX193" s="526"/>
    </row>
    <row r="194" spans="1:50" ht="24" x14ac:dyDescent="0.45">
      <c r="A194" s="628" t="s">
        <v>819</v>
      </c>
      <c r="B194" s="627" t="s">
        <v>336</v>
      </c>
      <c r="C194" s="756" t="s">
        <v>820</v>
      </c>
      <c r="D194" s="756"/>
      <c r="E194" s="756"/>
      <c r="F194" s="756"/>
      <c r="G194" s="756"/>
      <c r="H194" s="756"/>
      <c r="I194" s="757"/>
      <c r="J194" s="620"/>
      <c r="K194" s="620"/>
      <c r="L194" s="620"/>
      <c r="M194" s="526"/>
      <c r="N194" s="526"/>
      <c r="O194" s="526"/>
      <c r="P194" s="526"/>
      <c r="Q194" s="526"/>
      <c r="R194" s="526"/>
      <c r="S194" s="526"/>
      <c r="T194" s="526"/>
      <c r="U194" s="526"/>
      <c r="V194" s="526"/>
      <c r="W194" s="526"/>
      <c r="X194" s="526"/>
      <c r="Y194" s="526"/>
      <c r="Z194" s="526"/>
      <c r="AA194" s="526"/>
      <c r="AB194" s="526"/>
      <c r="AC194" s="526"/>
      <c r="AD194" s="526"/>
      <c r="AE194" s="526"/>
      <c r="AF194" s="526"/>
      <c r="AG194" s="526"/>
      <c r="AH194" s="526"/>
      <c r="AI194" s="526"/>
      <c r="AJ194" s="526"/>
      <c r="AK194" s="526"/>
      <c r="AL194" s="526"/>
      <c r="AM194" s="526"/>
      <c r="AN194" s="526"/>
      <c r="AO194" s="526"/>
      <c r="AP194" s="526"/>
      <c r="AQ194" s="526"/>
      <c r="AR194" s="526"/>
      <c r="AS194" s="526"/>
      <c r="AT194" s="526"/>
      <c r="AU194" s="526"/>
      <c r="AV194" s="526"/>
      <c r="AW194" s="526"/>
      <c r="AX194" s="526"/>
    </row>
    <row r="195" spans="1:50" ht="168" x14ac:dyDescent="0.45">
      <c r="A195" s="629" t="s">
        <v>45</v>
      </c>
      <c r="B195" s="627" t="s">
        <v>336</v>
      </c>
      <c r="C195" s="514" t="s">
        <v>1101</v>
      </c>
      <c r="D195" s="630" t="s">
        <v>336</v>
      </c>
      <c r="E195" s="514" t="s">
        <v>1102</v>
      </c>
      <c r="F195" s="630" t="s">
        <v>336</v>
      </c>
      <c r="G195" s="630" t="s">
        <v>336</v>
      </c>
      <c r="H195" s="630" t="s">
        <v>336</v>
      </c>
      <c r="I195" s="631" t="s">
        <v>336</v>
      </c>
      <c r="J195" s="620"/>
      <c r="K195" s="620"/>
      <c r="L195" s="620"/>
      <c r="M195" s="526"/>
      <c r="N195" s="526"/>
      <c r="O195" s="526"/>
      <c r="P195" s="526"/>
      <c r="Q195" s="526"/>
      <c r="R195" s="526"/>
      <c r="S195" s="526"/>
      <c r="T195" s="526"/>
      <c r="U195" s="526"/>
      <c r="V195" s="526"/>
      <c r="W195" s="526"/>
      <c r="X195" s="526"/>
      <c r="Y195" s="526"/>
      <c r="Z195" s="526"/>
      <c r="AA195" s="526"/>
      <c r="AB195" s="526"/>
      <c r="AC195" s="526"/>
      <c r="AD195" s="526"/>
      <c r="AE195" s="526"/>
      <c r="AF195" s="526"/>
      <c r="AG195" s="526"/>
      <c r="AH195" s="526"/>
      <c r="AI195" s="526"/>
      <c r="AJ195" s="526"/>
      <c r="AK195" s="526"/>
      <c r="AL195" s="526"/>
      <c r="AM195" s="526"/>
      <c r="AN195" s="526"/>
      <c r="AO195" s="526"/>
      <c r="AP195" s="526"/>
      <c r="AQ195" s="526"/>
      <c r="AR195" s="526"/>
      <c r="AS195" s="526"/>
      <c r="AT195" s="526"/>
      <c r="AU195" s="526"/>
      <c r="AV195" s="526"/>
      <c r="AW195" s="526"/>
      <c r="AX195" s="526"/>
    </row>
    <row r="196" spans="1:50" ht="168" x14ac:dyDescent="0.45">
      <c r="A196" s="629" t="s">
        <v>825</v>
      </c>
      <c r="B196" s="627" t="s">
        <v>336</v>
      </c>
      <c r="C196" s="514" t="s">
        <v>1103</v>
      </c>
      <c r="D196" s="630" t="s">
        <v>336</v>
      </c>
      <c r="E196" s="514" t="s">
        <v>1104</v>
      </c>
      <c r="F196" s="630" t="s">
        <v>336</v>
      </c>
      <c r="G196" s="630" t="s">
        <v>336</v>
      </c>
      <c r="H196" s="630" t="s">
        <v>336</v>
      </c>
      <c r="I196" s="631" t="s">
        <v>336</v>
      </c>
      <c r="J196" s="620"/>
      <c r="K196" s="620"/>
      <c r="L196" s="620"/>
      <c r="M196" s="526"/>
      <c r="N196" s="526"/>
      <c r="O196" s="526"/>
      <c r="P196" s="526"/>
      <c r="Q196" s="526"/>
      <c r="R196" s="526"/>
      <c r="S196" s="526"/>
      <c r="T196" s="526"/>
      <c r="U196" s="526"/>
      <c r="V196" s="526"/>
      <c r="W196" s="526"/>
      <c r="X196" s="526"/>
      <c r="Y196" s="526"/>
      <c r="Z196" s="526"/>
      <c r="AA196" s="526"/>
      <c r="AB196" s="526"/>
      <c r="AC196" s="526"/>
      <c r="AD196" s="526"/>
      <c r="AE196" s="526"/>
      <c r="AF196" s="526"/>
      <c r="AG196" s="526"/>
      <c r="AH196" s="526"/>
      <c r="AI196" s="526"/>
      <c r="AJ196" s="526"/>
      <c r="AK196" s="526"/>
      <c r="AL196" s="526"/>
      <c r="AM196" s="526"/>
      <c r="AN196" s="526"/>
      <c r="AO196" s="526"/>
      <c r="AP196" s="526"/>
      <c r="AQ196" s="526"/>
      <c r="AR196" s="526"/>
      <c r="AS196" s="526"/>
      <c r="AT196" s="526"/>
      <c r="AU196" s="526"/>
      <c r="AV196" s="526"/>
      <c r="AW196" s="526"/>
      <c r="AX196" s="526"/>
    </row>
    <row r="197" spans="1:50" ht="120" x14ac:dyDescent="0.45">
      <c r="A197" s="629" t="s">
        <v>1089</v>
      </c>
      <c r="B197" s="627" t="s">
        <v>336</v>
      </c>
      <c r="C197" s="514" t="s">
        <v>1090</v>
      </c>
      <c r="D197" s="630" t="s">
        <v>336</v>
      </c>
      <c r="E197" s="514" t="s">
        <v>1105</v>
      </c>
      <c r="F197" s="630" t="s">
        <v>336</v>
      </c>
      <c r="G197" s="630" t="s">
        <v>336</v>
      </c>
      <c r="H197" s="630" t="s">
        <v>336</v>
      </c>
      <c r="I197" s="631" t="s">
        <v>336</v>
      </c>
      <c r="J197" s="620"/>
      <c r="K197" s="620"/>
      <c r="L197" s="620"/>
      <c r="M197" s="526"/>
      <c r="N197" s="526"/>
      <c r="O197" s="526"/>
      <c r="P197" s="526"/>
      <c r="Q197" s="526"/>
      <c r="R197" s="526"/>
      <c r="S197" s="526"/>
      <c r="T197" s="526"/>
      <c r="U197" s="526"/>
      <c r="V197" s="526"/>
      <c r="W197" s="526"/>
      <c r="X197" s="526"/>
      <c r="Y197" s="526"/>
      <c r="Z197" s="526"/>
      <c r="AA197" s="526"/>
      <c r="AB197" s="526"/>
      <c r="AC197" s="526"/>
      <c r="AD197" s="526"/>
      <c r="AE197" s="526"/>
      <c r="AF197" s="526"/>
      <c r="AG197" s="526"/>
      <c r="AH197" s="526"/>
      <c r="AI197" s="526"/>
      <c r="AJ197" s="526"/>
      <c r="AK197" s="526"/>
      <c r="AL197" s="526"/>
      <c r="AM197" s="526"/>
      <c r="AN197" s="526"/>
      <c r="AO197" s="526"/>
      <c r="AP197" s="526"/>
      <c r="AQ197" s="526"/>
      <c r="AR197" s="526"/>
      <c r="AS197" s="526"/>
      <c r="AT197" s="526"/>
      <c r="AU197" s="526"/>
      <c r="AV197" s="526"/>
      <c r="AW197" s="526"/>
      <c r="AX197" s="526"/>
    </row>
    <row r="198" spans="1:50" ht="144" x14ac:dyDescent="0.45">
      <c r="A198" s="629" t="s">
        <v>1089</v>
      </c>
      <c r="B198" s="627" t="s">
        <v>336</v>
      </c>
      <c r="C198" s="514" t="s">
        <v>1093</v>
      </c>
      <c r="D198" s="630" t="s">
        <v>336</v>
      </c>
      <c r="E198" s="514" t="s">
        <v>1094</v>
      </c>
      <c r="F198" s="630" t="s">
        <v>336</v>
      </c>
      <c r="G198" s="630" t="s">
        <v>336</v>
      </c>
      <c r="H198" s="630" t="s">
        <v>336</v>
      </c>
      <c r="I198" s="631" t="s">
        <v>336</v>
      </c>
      <c r="J198" s="620"/>
      <c r="K198" s="620"/>
      <c r="L198" s="620"/>
      <c r="M198" s="526"/>
      <c r="N198" s="526"/>
      <c r="O198" s="526"/>
      <c r="P198" s="526"/>
      <c r="Q198" s="526"/>
      <c r="R198" s="526"/>
      <c r="S198" s="526"/>
      <c r="T198" s="526"/>
      <c r="U198" s="526"/>
      <c r="V198" s="526"/>
      <c r="W198" s="526"/>
      <c r="X198" s="526"/>
      <c r="Y198" s="526"/>
      <c r="Z198" s="526"/>
      <c r="AA198" s="526"/>
      <c r="AB198" s="526"/>
      <c r="AC198" s="526"/>
      <c r="AD198" s="526"/>
      <c r="AE198" s="526"/>
      <c r="AF198" s="526"/>
      <c r="AG198" s="526"/>
      <c r="AH198" s="526"/>
      <c r="AI198" s="526"/>
      <c r="AJ198" s="526"/>
      <c r="AK198" s="526"/>
      <c r="AL198" s="526"/>
      <c r="AM198" s="526"/>
      <c r="AN198" s="526"/>
      <c r="AO198" s="526"/>
      <c r="AP198" s="526"/>
      <c r="AQ198" s="526"/>
      <c r="AR198" s="526"/>
      <c r="AS198" s="526"/>
      <c r="AT198" s="526"/>
      <c r="AU198" s="526"/>
      <c r="AV198" s="526"/>
      <c r="AW198" s="526"/>
      <c r="AX198" s="526"/>
    </row>
    <row r="199" spans="1:50" ht="72" x14ac:dyDescent="0.45">
      <c r="A199" s="629" t="s">
        <v>136</v>
      </c>
      <c r="B199" s="627" t="s">
        <v>336</v>
      </c>
      <c r="C199" s="514" t="s">
        <v>840</v>
      </c>
      <c r="D199" s="630" t="s">
        <v>336</v>
      </c>
      <c r="E199" s="514" t="s">
        <v>925</v>
      </c>
      <c r="F199" s="630" t="s">
        <v>336</v>
      </c>
      <c r="G199" s="630" t="s">
        <v>336</v>
      </c>
      <c r="H199" s="630" t="s">
        <v>336</v>
      </c>
      <c r="I199" s="631" t="s">
        <v>336</v>
      </c>
      <c r="J199" s="620"/>
      <c r="K199" s="620"/>
      <c r="L199" s="620"/>
      <c r="M199" s="526"/>
      <c r="N199" s="526"/>
      <c r="O199" s="526"/>
      <c r="P199" s="526"/>
      <c r="Q199" s="526"/>
      <c r="R199" s="526"/>
      <c r="S199" s="526"/>
      <c r="T199" s="526"/>
      <c r="U199" s="526"/>
      <c r="V199" s="526"/>
      <c r="W199" s="526"/>
      <c r="X199" s="526"/>
      <c r="Y199" s="526"/>
      <c r="Z199" s="526"/>
      <c r="AA199" s="526"/>
      <c r="AB199" s="526"/>
      <c r="AC199" s="526"/>
      <c r="AD199" s="526"/>
      <c r="AE199" s="526"/>
      <c r="AF199" s="526"/>
      <c r="AG199" s="526"/>
      <c r="AH199" s="526"/>
      <c r="AI199" s="526"/>
      <c r="AJ199" s="526"/>
      <c r="AK199" s="526"/>
      <c r="AL199" s="526"/>
      <c r="AM199" s="526"/>
      <c r="AN199" s="526"/>
      <c r="AO199" s="526"/>
      <c r="AP199" s="526"/>
      <c r="AQ199" s="526"/>
      <c r="AR199" s="526"/>
      <c r="AS199" s="526"/>
      <c r="AT199" s="526"/>
      <c r="AU199" s="526"/>
      <c r="AV199" s="526"/>
      <c r="AW199" s="526"/>
      <c r="AX199" s="526"/>
    </row>
    <row r="200" spans="1:50" ht="144" x14ac:dyDescent="0.45">
      <c r="A200" s="629" t="s">
        <v>845</v>
      </c>
      <c r="B200" s="627" t="s">
        <v>336</v>
      </c>
      <c r="C200" s="514" t="s">
        <v>880</v>
      </c>
      <c r="D200" s="630" t="s">
        <v>336</v>
      </c>
      <c r="E200" s="514" t="s">
        <v>1106</v>
      </c>
      <c r="F200" s="630" t="s">
        <v>336</v>
      </c>
      <c r="G200" s="630" t="s">
        <v>336</v>
      </c>
      <c r="H200" s="630" t="s">
        <v>336</v>
      </c>
      <c r="I200" s="631" t="s">
        <v>336</v>
      </c>
      <c r="J200" s="620"/>
      <c r="K200" s="620"/>
      <c r="L200" s="620"/>
      <c r="M200" s="526"/>
      <c r="N200" s="526"/>
      <c r="O200" s="526"/>
      <c r="P200" s="526"/>
      <c r="Q200" s="526"/>
      <c r="R200" s="526"/>
      <c r="S200" s="526"/>
      <c r="T200" s="526"/>
      <c r="U200" s="526"/>
      <c r="V200" s="526"/>
      <c r="W200" s="526"/>
      <c r="X200" s="526"/>
      <c r="Y200" s="526"/>
      <c r="Z200" s="526"/>
      <c r="AA200" s="526"/>
      <c r="AB200" s="526"/>
      <c r="AC200" s="526"/>
      <c r="AD200" s="526"/>
      <c r="AE200" s="526"/>
      <c r="AF200" s="526"/>
      <c r="AG200" s="526"/>
      <c r="AH200" s="526"/>
      <c r="AI200" s="526"/>
      <c r="AJ200" s="526"/>
      <c r="AK200" s="526"/>
      <c r="AL200" s="526"/>
      <c r="AM200" s="526"/>
      <c r="AN200" s="526"/>
      <c r="AO200" s="526"/>
      <c r="AP200" s="526"/>
      <c r="AQ200" s="526"/>
      <c r="AR200" s="526"/>
      <c r="AS200" s="526"/>
      <c r="AT200" s="526"/>
      <c r="AU200" s="526"/>
      <c r="AV200" s="526"/>
      <c r="AW200" s="526"/>
      <c r="AX200" s="526"/>
    </row>
    <row r="201" spans="1:50" ht="96" x14ac:dyDescent="0.45">
      <c r="A201" s="629" t="s">
        <v>189</v>
      </c>
      <c r="B201" s="627" t="s">
        <v>336</v>
      </c>
      <c r="C201" s="514" t="s">
        <v>866</v>
      </c>
      <c r="D201" s="630" t="s">
        <v>336</v>
      </c>
      <c r="E201" s="514" t="s">
        <v>901</v>
      </c>
      <c r="F201" s="630" t="s">
        <v>336</v>
      </c>
      <c r="G201" s="630" t="s">
        <v>336</v>
      </c>
      <c r="H201" s="630" t="s">
        <v>336</v>
      </c>
      <c r="I201" s="631" t="s">
        <v>336</v>
      </c>
      <c r="J201" s="620"/>
      <c r="K201" s="620"/>
      <c r="L201" s="620"/>
      <c r="M201" s="526"/>
      <c r="N201" s="526"/>
      <c r="O201" s="526"/>
      <c r="P201" s="526"/>
      <c r="Q201" s="526"/>
      <c r="R201" s="526"/>
      <c r="S201" s="526"/>
      <c r="T201" s="526"/>
      <c r="U201" s="526"/>
      <c r="V201" s="526"/>
      <c r="W201" s="526"/>
      <c r="X201" s="526"/>
      <c r="Y201" s="526"/>
      <c r="Z201" s="526"/>
      <c r="AA201" s="526"/>
      <c r="AB201" s="526"/>
      <c r="AC201" s="526"/>
      <c r="AD201" s="526"/>
      <c r="AE201" s="526"/>
      <c r="AF201" s="526"/>
      <c r="AG201" s="526"/>
      <c r="AH201" s="526"/>
      <c r="AI201" s="526"/>
      <c r="AJ201" s="526"/>
      <c r="AK201" s="526"/>
      <c r="AL201" s="526"/>
      <c r="AM201" s="526"/>
      <c r="AN201" s="526"/>
      <c r="AO201" s="526"/>
      <c r="AP201" s="526"/>
      <c r="AQ201" s="526"/>
      <c r="AR201" s="526"/>
      <c r="AS201" s="526"/>
      <c r="AT201" s="526"/>
      <c r="AU201" s="526"/>
      <c r="AV201" s="526"/>
      <c r="AW201" s="526"/>
      <c r="AX201" s="526"/>
    </row>
    <row r="202" spans="1:50" ht="24" x14ac:dyDescent="0.45">
      <c r="A202" s="626" t="s">
        <v>1127</v>
      </c>
      <c r="B202" s="627" t="s">
        <v>336</v>
      </c>
      <c r="C202" s="758" t="s">
        <v>1203</v>
      </c>
      <c r="D202" s="758"/>
      <c r="E202" s="758"/>
      <c r="F202" s="758"/>
      <c r="G202" s="758"/>
      <c r="H202" s="758"/>
      <c r="I202" s="759"/>
      <c r="J202" s="620"/>
      <c r="K202" s="620"/>
      <c r="L202" s="620"/>
      <c r="M202" s="526"/>
      <c r="N202" s="526"/>
      <c r="O202" s="526"/>
      <c r="P202" s="526"/>
      <c r="Q202" s="526"/>
      <c r="R202" s="526"/>
      <c r="S202" s="526"/>
      <c r="T202" s="526"/>
      <c r="U202" s="526"/>
      <c r="V202" s="526"/>
      <c r="W202" s="526"/>
      <c r="X202" s="526"/>
      <c r="Y202" s="526"/>
      <c r="Z202" s="526"/>
      <c r="AA202" s="526"/>
      <c r="AB202" s="526"/>
      <c r="AC202" s="526"/>
      <c r="AD202" s="526"/>
      <c r="AE202" s="526"/>
      <c r="AF202" s="526"/>
      <c r="AG202" s="526"/>
      <c r="AH202" s="526"/>
      <c r="AI202" s="526"/>
      <c r="AJ202" s="526"/>
      <c r="AK202" s="526"/>
      <c r="AL202" s="526"/>
      <c r="AM202" s="526"/>
      <c r="AN202" s="526"/>
      <c r="AO202" s="526"/>
      <c r="AP202" s="526"/>
      <c r="AQ202" s="526"/>
      <c r="AR202" s="526"/>
      <c r="AS202" s="526"/>
      <c r="AT202" s="526"/>
      <c r="AU202" s="526"/>
      <c r="AV202" s="526"/>
      <c r="AW202" s="526"/>
      <c r="AX202" s="526"/>
    </row>
    <row r="203" spans="1:50" ht="24" x14ac:dyDescent="0.45">
      <c r="A203" s="628" t="s">
        <v>1129</v>
      </c>
      <c r="B203" s="627" t="s">
        <v>336</v>
      </c>
      <c r="C203" s="756" t="s">
        <v>1204</v>
      </c>
      <c r="D203" s="756"/>
      <c r="E203" s="756"/>
      <c r="F203" s="756"/>
      <c r="G203" s="756"/>
      <c r="H203" s="756"/>
      <c r="I203" s="757"/>
      <c r="J203" s="620"/>
      <c r="K203" s="620"/>
      <c r="L203" s="620"/>
      <c r="M203" s="526"/>
      <c r="N203" s="526"/>
      <c r="O203" s="526"/>
      <c r="P203" s="526"/>
      <c r="Q203" s="526"/>
      <c r="R203" s="526"/>
      <c r="S203" s="526"/>
      <c r="T203" s="526"/>
      <c r="U203" s="526"/>
      <c r="V203" s="526"/>
      <c r="W203" s="526"/>
      <c r="X203" s="526"/>
      <c r="Y203" s="526"/>
      <c r="Z203" s="526"/>
      <c r="AA203" s="526"/>
      <c r="AB203" s="526"/>
      <c r="AC203" s="526"/>
      <c r="AD203" s="526"/>
      <c r="AE203" s="526"/>
      <c r="AF203" s="526"/>
      <c r="AG203" s="526"/>
      <c r="AH203" s="526"/>
      <c r="AI203" s="526"/>
      <c r="AJ203" s="526"/>
      <c r="AK203" s="526"/>
      <c r="AL203" s="526"/>
      <c r="AM203" s="526"/>
      <c r="AN203" s="526"/>
      <c r="AO203" s="526"/>
      <c r="AP203" s="526"/>
      <c r="AQ203" s="526"/>
      <c r="AR203" s="526"/>
      <c r="AS203" s="526"/>
      <c r="AT203" s="526"/>
      <c r="AU203" s="526"/>
      <c r="AV203" s="526"/>
      <c r="AW203" s="526"/>
      <c r="AX203" s="526"/>
    </row>
    <row r="204" spans="1:50" ht="168" x14ac:dyDescent="0.45">
      <c r="A204" s="629" t="s">
        <v>825</v>
      </c>
      <c r="B204" s="627" t="s">
        <v>336</v>
      </c>
      <c r="C204" s="514" t="s">
        <v>826</v>
      </c>
      <c r="D204" s="630" t="s">
        <v>336</v>
      </c>
      <c r="E204" s="514" t="s">
        <v>1205</v>
      </c>
      <c r="F204" s="630" t="s">
        <v>336</v>
      </c>
      <c r="G204" s="630" t="s">
        <v>336</v>
      </c>
      <c r="H204" s="630" t="s">
        <v>336</v>
      </c>
      <c r="I204" s="631" t="s">
        <v>336</v>
      </c>
      <c r="J204" s="620"/>
      <c r="K204" s="620"/>
      <c r="L204" s="620"/>
      <c r="M204" s="526"/>
      <c r="N204" s="526"/>
      <c r="O204" s="526"/>
      <c r="P204" s="526"/>
      <c r="Q204" s="526"/>
      <c r="R204" s="526"/>
      <c r="S204" s="526"/>
      <c r="T204" s="526"/>
      <c r="U204" s="526"/>
      <c r="V204" s="526"/>
      <c r="W204" s="526"/>
      <c r="X204" s="526"/>
      <c r="Y204" s="526"/>
      <c r="Z204" s="526"/>
      <c r="AA204" s="526"/>
      <c r="AB204" s="526"/>
      <c r="AC204" s="526"/>
      <c r="AD204" s="526"/>
      <c r="AE204" s="526"/>
      <c r="AF204" s="526"/>
      <c r="AG204" s="526"/>
      <c r="AH204" s="526"/>
      <c r="AI204" s="526"/>
      <c r="AJ204" s="526"/>
      <c r="AK204" s="526"/>
      <c r="AL204" s="526"/>
      <c r="AM204" s="526"/>
      <c r="AN204" s="526"/>
      <c r="AO204" s="526"/>
      <c r="AP204" s="526"/>
      <c r="AQ204" s="526"/>
      <c r="AR204" s="526"/>
      <c r="AS204" s="526"/>
      <c r="AT204" s="526"/>
      <c r="AU204" s="526"/>
      <c r="AV204" s="526"/>
      <c r="AW204" s="526"/>
      <c r="AX204" s="526"/>
    </row>
    <row r="205" spans="1:50" ht="96" x14ac:dyDescent="0.45">
      <c r="A205" s="629" t="s">
        <v>11</v>
      </c>
      <c r="B205" s="627" t="s">
        <v>336</v>
      </c>
      <c r="C205" s="514" t="s">
        <v>869</v>
      </c>
      <c r="D205" s="630" t="s">
        <v>336</v>
      </c>
      <c r="E205" s="514" t="s">
        <v>915</v>
      </c>
      <c r="F205" s="630" t="s">
        <v>336</v>
      </c>
      <c r="G205" s="630" t="s">
        <v>336</v>
      </c>
      <c r="H205" s="630" t="s">
        <v>336</v>
      </c>
      <c r="I205" s="631" t="s">
        <v>336</v>
      </c>
      <c r="J205" s="620"/>
      <c r="K205" s="620"/>
      <c r="L205" s="620"/>
      <c r="M205" s="526"/>
      <c r="N205" s="526"/>
      <c r="O205" s="526"/>
      <c r="P205" s="526"/>
      <c r="Q205" s="526"/>
      <c r="R205" s="526"/>
      <c r="S205" s="526"/>
      <c r="T205" s="526"/>
      <c r="U205" s="526"/>
      <c r="V205" s="526"/>
      <c r="W205" s="526"/>
      <c r="X205" s="526"/>
      <c r="Y205" s="526"/>
      <c r="Z205" s="526"/>
      <c r="AA205" s="526"/>
      <c r="AB205" s="526"/>
      <c r="AC205" s="526"/>
      <c r="AD205" s="526"/>
      <c r="AE205" s="526"/>
      <c r="AF205" s="526"/>
      <c r="AG205" s="526"/>
      <c r="AH205" s="526"/>
      <c r="AI205" s="526"/>
      <c r="AJ205" s="526"/>
      <c r="AK205" s="526"/>
      <c r="AL205" s="526"/>
      <c r="AM205" s="526"/>
      <c r="AN205" s="526"/>
      <c r="AO205" s="526"/>
      <c r="AP205" s="526"/>
      <c r="AQ205" s="526"/>
      <c r="AR205" s="526"/>
      <c r="AS205" s="526"/>
      <c r="AT205" s="526"/>
      <c r="AU205" s="526"/>
      <c r="AV205" s="526"/>
      <c r="AW205" s="526"/>
      <c r="AX205" s="526"/>
    </row>
    <row r="206" spans="1:50" ht="240" x14ac:dyDescent="0.45">
      <c r="A206" s="629" t="s">
        <v>45</v>
      </c>
      <c r="B206" s="627" t="s">
        <v>336</v>
      </c>
      <c r="C206" s="514" t="s">
        <v>1206</v>
      </c>
      <c r="D206" s="630" t="s">
        <v>336</v>
      </c>
      <c r="E206" s="514" t="s">
        <v>1207</v>
      </c>
      <c r="F206" s="630" t="s">
        <v>336</v>
      </c>
      <c r="G206" s="630" t="s">
        <v>336</v>
      </c>
      <c r="H206" s="630" t="s">
        <v>336</v>
      </c>
      <c r="I206" s="631" t="s">
        <v>336</v>
      </c>
      <c r="J206" s="620"/>
      <c r="K206" s="620"/>
      <c r="L206" s="620"/>
      <c r="M206" s="526"/>
      <c r="N206" s="526"/>
      <c r="O206" s="526"/>
      <c r="P206" s="526"/>
      <c r="Q206" s="526"/>
      <c r="R206" s="526"/>
      <c r="S206" s="526"/>
      <c r="T206" s="526"/>
      <c r="U206" s="526"/>
      <c r="V206" s="526"/>
      <c r="W206" s="526"/>
      <c r="X206" s="526"/>
      <c r="Y206" s="526"/>
      <c r="Z206" s="526"/>
      <c r="AA206" s="526"/>
      <c r="AB206" s="526"/>
      <c r="AC206" s="526"/>
      <c r="AD206" s="526"/>
      <c r="AE206" s="526"/>
      <c r="AF206" s="526"/>
      <c r="AG206" s="526"/>
      <c r="AH206" s="526"/>
      <c r="AI206" s="526"/>
      <c r="AJ206" s="526"/>
      <c r="AK206" s="526"/>
      <c r="AL206" s="526"/>
      <c r="AM206" s="526"/>
      <c r="AN206" s="526"/>
      <c r="AO206" s="526"/>
      <c r="AP206" s="526"/>
      <c r="AQ206" s="526"/>
      <c r="AR206" s="526"/>
      <c r="AS206" s="526"/>
      <c r="AT206" s="526"/>
      <c r="AU206" s="526"/>
      <c r="AV206" s="526"/>
      <c r="AW206" s="526"/>
      <c r="AX206" s="526"/>
    </row>
    <row r="207" spans="1:50" ht="192" x14ac:dyDescent="0.45">
      <c r="A207" s="629" t="s">
        <v>45</v>
      </c>
      <c r="B207" s="627" t="s">
        <v>336</v>
      </c>
      <c r="C207" s="514" t="s">
        <v>1208</v>
      </c>
      <c r="D207" s="630" t="s">
        <v>336</v>
      </c>
      <c r="E207" s="514" t="s">
        <v>1209</v>
      </c>
      <c r="F207" s="630" t="s">
        <v>336</v>
      </c>
      <c r="G207" s="630" t="s">
        <v>336</v>
      </c>
      <c r="H207" s="630" t="s">
        <v>336</v>
      </c>
      <c r="I207" s="631" t="s">
        <v>336</v>
      </c>
      <c r="J207" s="620"/>
      <c r="K207" s="620"/>
      <c r="L207" s="620"/>
      <c r="M207" s="526"/>
      <c r="N207" s="526"/>
      <c r="O207" s="526"/>
      <c r="P207" s="526"/>
      <c r="Q207" s="526"/>
      <c r="R207" s="526"/>
      <c r="S207" s="526"/>
      <c r="T207" s="526"/>
      <c r="U207" s="526"/>
      <c r="V207" s="526"/>
      <c r="W207" s="526"/>
      <c r="X207" s="526"/>
      <c r="Y207" s="526"/>
      <c r="Z207" s="526"/>
      <c r="AA207" s="526"/>
      <c r="AB207" s="526"/>
      <c r="AC207" s="526"/>
      <c r="AD207" s="526"/>
      <c r="AE207" s="526"/>
      <c r="AF207" s="526"/>
      <c r="AG207" s="526"/>
      <c r="AH207" s="526"/>
      <c r="AI207" s="526"/>
      <c r="AJ207" s="526"/>
      <c r="AK207" s="526"/>
      <c r="AL207" s="526"/>
      <c r="AM207" s="526"/>
      <c r="AN207" s="526"/>
      <c r="AO207" s="526"/>
      <c r="AP207" s="526"/>
      <c r="AQ207" s="526"/>
      <c r="AR207" s="526"/>
      <c r="AS207" s="526"/>
      <c r="AT207" s="526"/>
      <c r="AU207" s="526"/>
      <c r="AV207" s="526"/>
      <c r="AW207" s="526"/>
      <c r="AX207" s="526"/>
    </row>
    <row r="208" spans="1:50" ht="72" x14ac:dyDescent="0.45">
      <c r="A208" s="629" t="s">
        <v>136</v>
      </c>
      <c r="B208" s="627" t="s">
        <v>336</v>
      </c>
      <c r="C208" s="514" t="s">
        <v>840</v>
      </c>
      <c r="D208" s="630" t="s">
        <v>336</v>
      </c>
      <c r="E208" s="514" t="s">
        <v>1195</v>
      </c>
      <c r="F208" s="630" t="s">
        <v>336</v>
      </c>
      <c r="G208" s="630" t="s">
        <v>336</v>
      </c>
      <c r="H208" s="630" t="s">
        <v>336</v>
      </c>
      <c r="I208" s="631" t="s">
        <v>336</v>
      </c>
      <c r="J208" s="620"/>
      <c r="K208" s="620"/>
      <c r="L208" s="620"/>
      <c r="M208" s="526"/>
      <c r="N208" s="526"/>
      <c r="O208" s="526"/>
      <c r="P208" s="526"/>
      <c r="Q208" s="526"/>
      <c r="R208" s="526"/>
      <c r="S208" s="526"/>
      <c r="T208" s="526"/>
      <c r="U208" s="526"/>
      <c r="V208" s="526"/>
      <c r="W208" s="526"/>
      <c r="X208" s="526"/>
      <c r="Y208" s="526"/>
      <c r="Z208" s="526"/>
      <c r="AA208" s="526"/>
      <c r="AB208" s="526"/>
      <c r="AC208" s="526"/>
      <c r="AD208" s="526"/>
      <c r="AE208" s="526"/>
      <c r="AF208" s="526"/>
      <c r="AG208" s="526"/>
      <c r="AH208" s="526"/>
      <c r="AI208" s="526"/>
      <c r="AJ208" s="526"/>
      <c r="AK208" s="526"/>
      <c r="AL208" s="526"/>
      <c r="AM208" s="526"/>
      <c r="AN208" s="526"/>
      <c r="AO208" s="526"/>
      <c r="AP208" s="526"/>
      <c r="AQ208" s="526"/>
      <c r="AR208" s="526"/>
      <c r="AS208" s="526"/>
      <c r="AT208" s="526"/>
      <c r="AU208" s="526"/>
      <c r="AV208" s="526"/>
      <c r="AW208" s="526"/>
      <c r="AX208" s="526"/>
    </row>
    <row r="209" spans="1:50" ht="192" x14ac:dyDescent="0.45">
      <c r="A209" s="629" t="s">
        <v>845</v>
      </c>
      <c r="B209" s="627" t="s">
        <v>336</v>
      </c>
      <c r="C209" s="514" t="s">
        <v>1210</v>
      </c>
      <c r="D209" s="630" t="s">
        <v>336</v>
      </c>
      <c r="E209" s="514" t="s">
        <v>1211</v>
      </c>
      <c r="F209" s="630" t="s">
        <v>336</v>
      </c>
      <c r="G209" s="630" t="s">
        <v>336</v>
      </c>
      <c r="H209" s="630" t="s">
        <v>336</v>
      </c>
      <c r="I209" s="631" t="s">
        <v>336</v>
      </c>
      <c r="J209" s="620"/>
      <c r="K209" s="620"/>
      <c r="L209" s="620"/>
      <c r="M209" s="526"/>
      <c r="N209" s="526"/>
      <c r="O209" s="526"/>
      <c r="P209" s="526"/>
      <c r="Q209" s="526"/>
      <c r="R209" s="526"/>
      <c r="S209" s="526"/>
      <c r="T209" s="526"/>
      <c r="U209" s="526"/>
      <c r="V209" s="526"/>
      <c r="W209" s="526"/>
      <c r="X209" s="526"/>
      <c r="Y209" s="526"/>
      <c r="Z209" s="526"/>
      <c r="AA209" s="526"/>
      <c r="AB209" s="526"/>
      <c r="AC209" s="526"/>
      <c r="AD209" s="526"/>
      <c r="AE209" s="526"/>
      <c r="AF209" s="526"/>
      <c r="AG209" s="526"/>
      <c r="AH209" s="526"/>
      <c r="AI209" s="526"/>
      <c r="AJ209" s="526"/>
      <c r="AK209" s="526"/>
      <c r="AL209" s="526"/>
      <c r="AM209" s="526"/>
      <c r="AN209" s="526"/>
      <c r="AO209" s="526"/>
      <c r="AP209" s="526"/>
      <c r="AQ209" s="526"/>
      <c r="AR209" s="526"/>
      <c r="AS209" s="526"/>
      <c r="AT209" s="526"/>
      <c r="AU209" s="526"/>
      <c r="AV209" s="526"/>
      <c r="AW209" s="526"/>
      <c r="AX209" s="526"/>
    </row>
    <row r="210" spans="1:50" ht="96" x14ac:dyDescent="0.45">
      <c r="A210" s="629" t="s">
        <v>189</v>
      </c>
      <c r="B210" s="627" t="s">
        <v>336</v>
      </c>
      <c r="C210" s="514" t="s">
        <v>866</v>
      </c>
      <c r="D210" s="630" t="s">
        <v>336</v>
      </c>
      <c r="E210" s="514" t="s">
        <v>901</v>
      </c>
      <c r="F210" s="630" t="s">
        <v>336</v>
      </c>
      <c r="G210" s="630" t="s">
        <v>336</v>
      </c>
      <c r="H210" s="630" t="s">
        <v>336</v>
      </c>
      <c r="I210" s="631" t="s">
        <v>336</v>
      </c>
      <c r="J210" s="620"/>
      <c r="K210" s="620"/>
      <c r="L210" s="620"/>
      <c r="M210" s="526"/>
      <c r="N210" s="526"/>
      <c r="O210" s="526"/>
      <c r="P210" s="526"/>
      <c r="Q210" s="526"/>
      <c r="R210" s="526"/>
      <c r="S210" s="526"/>
      <c r="T210" s="526"/>
      <c r="U210" s="526"/>
      <c r="V210" s="526"/>
      <c r="W210" s="526"/>
      <c r="X210" s="526"/>
      <c r="Y210" s="526"/>
      <c r="Z210" s="526"/>
      <c r="AA210" s="526"/>
      <c r="AB210" s="526"/>
      <c r="AC210" s="526"/>
      <c r="AD210" s="526"/>
      <c r="AE210" s="526"/>
      <c r="AF210" s="526"/>
      <c r="AG210" s="526"/>
      <c r="AH210" s="526"/>
      <c r="AI210" s="526"/>
      <c r="AJ210" s="526"/>
      <c r="AK210" s="526"/>
      <c r="AL210" s="526"/>
      <c r="AM210" s="526"/>
      <c r="AN210" s="526"/>
      <c r="AO210" s="526"/>
      <c r="AP210" s="526"/>
      <c r="AQ210" s="526"/>
      <c r="AR210" s="526"/>
      <c r="AS210" s="526"/>
      <c r="AT210" s="526"/>
      <c r="AU210" s="526"/>
      <c r="AV210" s="526"/>
      <c r="AW210" s="526"/>
      <c r="AX210" s="526"/>
    </row>
    <row r="211" spans="1:50" ht="24" x14ac:dyDescent="0.45">
      <c r="A211" s="628" t="s">
        <v>1131</v>
      </c>
      <c r="B211" s="627" t="s">
        <v>336</v>
      </c>
      <c r="C211" s="756" t="s">
        <v>1132</v>
      </c>
      <c r="D211" s="756"/>
      <c r="E211" s="756"/>
      <c r="F211" s="756"/>
      <c r="G211" s="756"/>
      <c r="H211" s="756"/>
      <c r="I211" s="757"/>
      <c r="J211" s="620"/>
      <c r="K211" s="620"/>
      <c r="L211" s="620"/>
      <c r="M211" s="526"/>
      <c r="N211" s="526"/>
      <c r="O211" s="526"/>
      <c r="P211" s="526"/>
      <c r="Q211" s="526"/>
      <c r="R211" s="526"/>
      <c r="S211" s="526"/>
      <c r="T211" s="526"/>
      <c r="U211" s="526"/>
      <c r="V211" s="526"/>
      <c r="W211" s="526"/>
      <c r="X211" s="526"/>
      <c r="Y211" s="526"/>
      <c r="Z211" s="526"/>
      <c r="AA211" s="526"/>
      <c r="AB211" s="526"/>
      <c r="AC211" s="526"/>
      <c r="AD211" s="526"/>
      <c r="AE211" s="526"/>
      <c r="AF211" s="526"/>
      <c r="AG211" s="526"/>
      <c r="AH211" s="526"/>
      <c r="AI211" s="526"/>
      <c r="AJ211" s="526"/>
      <c r="AK211" s="526"/>
      <c r="AL211" s="526"/>
      <c r="AM211" s="526"/>
      <c r="AN211" s="526"/>
      <c r="AO211" s="526"/>
      <c r="AP211" s="526"/>
      <c r="AQ211" s="526"/>
      <c r="AR211" s="526"/>
      <c r="AS211" s="526"/>
      <c r="AT211" s="526"/>
      <c r="AU211" s="526"/>
      <c r="AV211" s="526"/>
      <c r="AW211" s="526"/>
      <c r="AX211" s="526"/>
    </row>
    <row r="212" spans="1:50" ht="168" x14ac:dyDescent="0.45">
      <c r="A212" s="629" t="s">
        <v>825</v>
      </c>
      <c r="B212" s="627" t="s">
        <v>336</v>
      </c>
      <c r="C212" s="514" t="s">
        <v>826</v>
      </c>
      <c r="D212" s="630" t="s">
        <v>336</v>
      </c>
      <c r="E212" s="514" t="s">
        <v>1205</v>
      </c>
      <c r="F212" s="630" t="s">
        <v>336</v>
      </c>
      <c r="G212" s="630" t="s">
        <v>336</v>
      </c>
      <c r="H212" s="630" t="s">
        <v>336</v>
      </c>
      <c r="I212" s="631" t="s">
        <v>336</v>
      </c>
      <c r="J212" s="620"/>
      <c r="K212" s="620"/>
      <c r="L212" s="620"/>
      <c r="M212" s="526"/>
      <c r="N212" s="526"/>
      <c r="O212" s="526"/>
      <c r="P212" s="526"/>
      <c r="Q212" s="526"/>
      <c r="R212" s="526"/>
      <c r="S212" s="526"/>
      <c r="T212" s="526"/>
      <c r="U212" s="526"/>
      <c r="V212" s="526"/>
      <c r="W212" s="526"/>
      <c r="X212" s="526"/>
      <c r="Y212" s="526"/>
      <c r="Z212" s="526"/>
      <c r="AA212" s="526"/>
      <c r="AB212" s="526"/>
      <c r="AC212" s="526"/>
      <c r="AD212" s="526"/>
      <c r="AE212" s="526"/>
      <c r="AF212" s="526"/>
      <c r="AG212" s="526"/>
      <c r="AH212" s="526"/>
      <c r="AI212" s="526"/>
      <c r="AJ212" s="526"/>
      <c r="AK212" s="526"/>
      <c r="AL212" s="526"/>
      <c r="AM212" s="526"/>
      <c r="AN212" s="526"/>
      <c r="AO212" s="526"/>
      <c r="AP212" s="526"/>
      <c r="AQ212" s="526"/>
      <c r="AR212" s="526"/>
      <c r="AS212" s="526"/>
      <c r="AT212" s="526"/>
      <c r="AU212" s="526"/>
      <c r="AV212" s="526"/>
      <c r="AW212" s="526"/>
      <c r="AX212" s="526"/>
    </row>
    <row r="213" spans="1:50" ht="96" x14ac:dyDescent="0.45">
      <c r="A213" s="629" t="s">
        <v>11</v>
      </c>
      <c r="B213" s="627" t="s">
        <v>336</v>
      </c>
      <c r="C213" s="514" t="s">
        <v>869</v>
      </c>
      <c r="D213" s="630" t="s">
        <v>336</v>
      </c>
      <c r="E213" s="514" t="s">
        <v>915</v>
      </c>
      <c r="F213" s="630" t="s">
        <v>336</v>
      </c>
      <c r="G213" s="630" t="s">
        <v>336</v>
      </c>
      <c r="H213" s="630" t="s">
        <v>336</v>
      </c>
      <c r="I213" s="631" t="s">
        <v>336</v>
      </c>
      <c r="J213" s="620"/>
      <c r="K213" s="620"/>
      <c r="L213" s="620"/>
      <c r="M213" s="526"/>
      <c r="N213" s="526"/>
      <c r="O213" s="526"/>
      <c r="P213" s="526"/>
      <c r="Q213" s="526"/>
      <c r="R213" s="526"/>
      <c r="S213" s="526"/>
      <c r="T213" s="526"/>
      <c r="U213" s="526"/>
      <c r="V213" s="526"/>
      <c r="W213" s="526"/>
      <c r="X213" s="526"/>
      <c r="Y213" s="526"/>
      <c r="Z213" s="526"/>
      <c r="AA213" s="526"/>
      <c r="AB213" s="526"/>
      <c r="AC213" s="526"/>
      <c r="AD213" s="526"/>
      <c r="AE213" s="526"/>
      <c r="AF213" s="526"/>
      <c r="AG213" s="526"/>
      <c r="AH213" s="526"/>
      <c r="AI213" s="526"/>
      <c r="AJ213" s="526"/>
      <c r="AK213" s="526"/>
      <c r="AL213" s="526"/>
      <c r="AM213" s="526"/>
      <c r="AN213" s="526"/>
      <c r="AO213" s="526"/>
      <c r="AP213" s="526"/>
      <c r="AQ213" s="526"/>
      <c r="AR213" s="526"/>
      <c r="AS213" s="526"/>
      <c r="AT213" s="526"/>
      <c r="AU213" s="526"/>
      <c r="AV213" s="526"/>
      <c r="AW213" s="526"/>
      <c r="AX213" s="526"/>
    </row>
    <row r="214" spans="1:50" ht="216" x14ac:dyDescent="0.45">
      <c r="A214" s="629" t="s">
        <v>45</v>
      </c>
      <c r="B214" s="627" t="s">
        <v>336</v>
      </c>
      <c r="C214" s="514" t="s">
        <v>1212</v>
      </c>
      <c r="D214" s="630" t="s">
        <v>336</v>
      </c>
      <c r="E214" s="514" t="s">
        <v>1213</v>
      </c>
      <c r="F214" s="630" t="s">
        <v>336</v>
      </c>
      <c r="G214" s="630" t="s">
        <v>336</v>
      </c>
      <c r="H214" s="630" t="s">
        <v>336</v>
      </c>
      <c r="I214" s="631" t="s">
        <v>336</v>
      </c>
      <c r="J214" s="620"/>
      <c r="K214" s="620"/>
      <c r="L214" s="620"/>
      <c r="M214" s="526"/>
      <c r="N214" s="526"/>
      <c r="O214" s="526"/>
      <c r="P214" s="526"/>
      <c r="Q214" s="526"/>
      <c r="R214" s="526"/>
      <c r="S214" s="526"/>
      <c r="T214" s="526"/>
      <c r="U214" s="526"/>
      <c r="V214" s="526"/>
      <c r="W214" s="526"/>
      <c r="X214" s="526"/>
      <c r="Y214" s="526"/>
      <c r="Z214" s="526"/>
      <c r="AA214" s="526"/>
      <c r="AB214" s="526"/>
      <c r="AC214" s="526"/>
      <c r="AD214" s="526"/>
      <c r="AE214" s="526"/>
      <c r="AF214" s="526"/>
      <c r="AG214" s="526"/>
      <c r="AH214" s="526"/>
      <c r="AI214" s="526"/>
      <c r="AJ214" s="526"/>
      <c r="AK214" s="526"/>
      <c r="AL214" s="526"/>
      <c r="AM214" s="526"/>
      <c r="AN214" s="526"/>
      <c r="AO214" s="526"/>
      <c r="AP214" s="526"/>
      <c r="AQ214" s="526"/>
      <c r="AR214" s="526"/>
      <c r="AS214" s="526"/>
      <c r="AT214" s="526"/>
      <c r="AU214" s="526"/>
      <c r="AV214" s="526"/>
      <c r="AW214" s="526"/>
      <c r="AX214" s="526"/>
    </row>
    <row r="215" spans="1:50" ht="72" x14ac:dyDescent="0.45">
      <c r="A215" s="629" t="s">
        <v>136</v>
      </c>
      <c r="B215" s="627" t="s">
        <v>336</v>
      </c>
      <c r="C215" s="514" t="s">
        <v>840</v>
      </c>
      <c r="D215" s="630" t="s">
        <v>336</v>
      </c>
      <c r="E215" s="514" t="s">
        <v>1195</v>
      </c>
      <c r="F215" s="630" t="s">
        <v>336</v>
      </c>
      <c r="G215" s="630" t="s">
        <v>336</v>
      </c>
      <c r="H215" s="630" t="s">
        <v>336</v>
      </c>
      <c r="I215" s="631" t="s">
        <v>336</v>
      </c>
      <c r="J215" s="620"/>
      <c r="K215" s="620"/>
      <c r="L215" s="620"/>
      <c r="M215" s="526"/>
      <c r="N215" s="526"/>
      <c r="O215" s="526"/>
      <c r="P215" s="526"/>
      <c r="Q215" s="526"/>
      <c r="R215" s="526"/>
      <c r="S215" s="526"/>
      <c r="T215" s="526"/>
      <c r="U215" s="526"/>
      <c r="V215" s="526"/>
      <c r="W215" s="526"/>
      <c r="X215" s="526"/>
      <c r="Y215" s="526"/>
      <c r="Z215" s="526"/>
      <c r="AA215" s="526"/>
      <c r="AB215" s="526"/>
      <c r="AC215" s="526"/>
      <c r="AD215" s="526"/>
      <c r="AE215" s="526"/>
      <c r="AF215" s="526"/>
      <c r="AG215" s="526"/>
      <c r="AH215" s="526"/>
      <c r="AI215" s="526"/>
      <c r="AJ215" s="526"/>
      <c r="AK215" s="526"/>
      <c r="AL215" s="526"/>
      <c r="AM215" s="526"/>
      <c r="AN215" s="526"/>
      <c r="AO215" s="526"/>
      <c r="AP215" s="526"/>
      <c r="AQ215" s="526"/>
      <c r="AR215" s="526"/>
      <c r="AS215" s="526"/>
      <c r="AT215" s="526"/>
      <c r="AU215" s="526"/>
      <c r="AV215" s="526"/>
      <c r="AW215" s="526"/>
      <c r="AX215" s="526"/>
    </row>
    <row r="216" spans="1:50" ht="168" x14ac:dyDescent="0.45">
      <c r="A216" s="629" t="s">
        <v>189</v>
      </c>
      <c r="B216" s="627" t="s">
        <v>336</v>
      </c>
      <c r="C216" s="514" t="s">
        <v>1214</v>
      </c>
      <c r="D216" s="630" t="s">
        <v>336</v>
      </c>
      <c r="E216" s="514" t="s">
        <v>1215</v>
      </c>
      <c r="F216" s="630" t="s">
        <v>336</v>
      </c>
      <c r="G216" s="630" t="s">
        <v>336</v>
      </c>
      <c r="H216" s="630" t="s">
        <v>336</v>
      </c>
      <c r="I216" s="631" t="s">
        <v>336</v>
      </c>
      <c r="J216" s="620"/>
      <c r="K216" s="620"/>
      <c r="L216" s="620"/>
      <c r="M216" s="526"/>
      <c r="N216" s="526"/>
      <c r="O216" s="526"/>
      <c r="P216" s="526"/>
      <c r="Q216" s="526"/>
      <c r="R216" s="526"/>
      <c r="S216" s="526"/>
      <c r="T216" s="526"/>
      <c r="U216" s="526"/>
      <c r="V216" s="526"/>
      <c r="W216" s="526"/>
      <c r="X216" s="526"/>
      <c r="Y216" s="526"/>
      <c r="Z216" s="526"/>
      <c r="AA216" s="526"/>
      <c r="AB216" s="526"/>
      <c r="AC216" s="526"/>
      <c r="AD216" s="526"/>
      <c r="AE216" s="526"/>
      <c r="AF216" s="526"/>
      <c r="AG216" s="526"/>
      <c r="AH216" s="526"/>
      <c r="AI216" s="526"/>
      <c r="AJ216" s="526"/>
      <c r="AK216" s="526"/>
      <c r="AL216" s="526"/>
      <c r="AM216" s="526"/>
      <c r="AN216" s="526"/>
      <c r="AO216" s="526"/>
      <c r="AP216" s="526"/>
      <c r="AQ216" s="526"/>
      <c r="AR216" s="526"/>
      <c r="AS216" s="526"/>
      <c r="AT216" s="526"/>
      <c r="AU216" s="526"/>
      <c r="AV216" s="526"/>
      <c r="AW216" s="526"/>
      <c r="AX216" s="526"/>
    </row>
    <row r="217" spans="1:50" ht="168" x14ac:dyDescent="0.45">
      <c r="A217" s="629" t="s">
        <v>845</v>
      </c>
      <c r="B217" s="627" t="s">
        <v>336</v>
      </c>
      <c r="C217" s="514" t="s">
        <v>1216</v>
      </c>
      <c r="D217" s="630" t="s">
        <v>336</v>
      </c>
      <c r="E217" s="514" t="s">
        <v>1217</v>
      </c>
      <c r="F217" s="630" t="s">
        <v>336</v>
      </c>
      <c r="G217" s="630" t="s">
        <v>336</v>
      </c>
      <c r="H217" s="630" t="s">
        <v>336</v>
      </c>
      <c r="I217" s="631" t="s">
        <v>336</v>
      </c>
      <c r="J217" s="620"/>
      <c r="K217" s="620"/>
      <c r="L217" s="620"/>
      <c r="M217" s="526"/>
      <c r="N217" s="526"/>
      <c r="O217" s="526"/>
      <c r="P217" s="526"/>
      <c r="Q217" s="526"/>
      <c r="R217" s="526"/>
      <c r="S217" s="526"/>
      <c r="T217" s="526"/>
      <c r="U217" s="526"/>
      <c r="V217" s="526"/>
      <c r="W217" s="526"/>
      <c r="X217" s="526"/>
      <c r="Y217" s="526"/>
      <c r="Z217" s="526"/>
      <c r="AA217" s="526"/>
      <c r="AB217" s="526"/>
      <c r="AC217" s="526"/>
      <c r="AD217" s="526"/>
      <c r="AE217" s="526"/>
      <c r="AF217" s="526"/>
      <c r="AG217" s="526"/>
      <c r="AH217" s="526"/>
      <c r="AI217" s="526"/>
      <c r="AJ217" s="526"/>
      <c r="AK217" s="526"/>
      <c r="AL217" s="526"/>
      <c r="AM217" s="526"/>
      <c r="AN217" s="526"/>
      <c r="AO217" s="526"/>
      <c r="AP217" s="526"/>
      <c r="AQ217" s="526"/>
      <c r="AR217" s="526"/>
      <c r="AS217" s="526"/>
      <c r="AT217" s="526"/>
      <c r="AU217" s="526"/>
      <c r="AV217" s="526"/>
      <c r="AW217" s="526"/>
      <c r="AX217" s="526"/>
    </row>
    <row r="218" spans="1:50" ht="72" x14ac:dyDescent="0.45">
      <c r="A218" s="629" t="s">
        <v>189</v>
      </c>
      <c r="B218" s="627" t="s">
        <v>336</v>
      </c>
      <c r="C218" s="514" t="s">
        <v>866</v>
      </c>
      <c r="D218" s="630" t="s">
        <v>336</v>
      </c>
      <c r="E218" s="514" t="s">
        <v>1218</v>
      </c>
      <c r="F218" s="630" t="s">
        <v>336</v>
      </c>
      <c r="G218" s="630" t="s">
        <v>336</v>
      </c>
      <c r="H218" s="630" t="s">
        <v>336</v>
      </c>
      <c r="I218" s="631" t="s">
        <v>336</v>
      </c>
      <c r="J218" s="620"/>
      <c r="K218" s="620"/>
      <c r="L218" s="620"/>
      <c r="M218" s="526"/>
      <c r="N218" s="526"/>
      <c r="O218" s="526"/>
      <c r="P218" s="526"/>
      <c r="Q218" s="526"/>
      <c r="R218" s="526"/>
      <c r="S218" s="526"/>
      <c r="T218" s="526"/>
      <c r="U218" s="526"/>
      <c r="V218" s="526"/>
      <c r="W218" s="526"/>
      <c r="X218" s="526"/>
      <c r="Y218" s="526"/>
      <c r="Z218" s="526"/>
      <c r="AA218" s="526"/>
      <c r="AB218" s="526"/>
      <c r="AC218" s="526"/>
      <c r="AD218" s="526"/>
      <c r="AE218" s="526"/>
      <c r="AF218" s="526"/>
      <c r="AG218" s="526"/>
      <c r="AH218" s="526"/>
      <c r="AI218" s="526"/>
      <c r="AJ218" s="526"/>
      <c r="AK218" s="526"/>
      <c r="AL218" s="526"/>
      <c r="AM218" s="526"/>
      <c r="AN218" s="526"/>
      <c r="AO218" s="526"/>
      <c r="AP218" s="526"/>
      <c r="AQ218" s="526"/>
      <c r="AR218" s="526"/>
      <c r="AS218" s="526"/>
      <c r="AT218" s="526"/>
      <c r="AU218" s="526"/>
      <c r="AV218" s="526"/>
      <c r="AW218" s="526"/>
      <c r="AX218" s="526"/>
    </row>
    <row r="219" spans="1:50" ht="24" x14ac:dyDescent="0.45">
      <c r="A219" s="628" t="s">
        <v>1133</v>
      </c>
      <c r="B219" s="627" t="s">
        <v>336</v>
      </c>
      <c r="C219" s="756" t="s">
        <v>1134</v>
      </c>
      <c r="D219" s="756"/>
      <c r="E219" s="756"/>
      <c r="F219" s="756"/>
      <c r="G219" s="756"/>
      <c r="H219" s="756"/>
      <c r="I219" s="757"/>
      <c r="J219" s="620"/>
      <c r="K219" s="620"/>
      <c r="L219" s="620"/>
      <c r="M219" s="526"/>
      <c r="N219" s="526"/>
      <c r="O219" s="526"/>
      <c r="P219" s="526"/>
      <c r="Q219" s="526"/>
      <c r="R219" s="526"/>
      <c r="S219" s="526"/>
      <c r="T219" s="526"/>
      <c r="U219" s="526"/>
      <c r="V219" s="526"/>
      <c r="W219" s="526"/>
      <c r="X219" s="526"/>
      <c r="Y219" s="526"/>
      <c r="Z219" s="526"/>
      <c r="AA219" s="526"/>
      <c r="AB219" s="526"/>
      <c r="AC219" s="526"/>
      <c r="AD219" s="526"/>
      <c r="AE219" s="526"/>
      <c r="AF219" s="526"/>
      <c r="AG219" s="526"/>
      <c r="AH219" s="526"/>
      <c r="AI219" s="526"/>
      <c r="AJ219" s="526"/>
      <c r="AK219" s="526"/>
      <c r="AL219" s="526"/>
      <c r="AM219" s="526"/>
      <c r="AN219" s="526"/>
      <c r="AO219" s="526"/>
      <c r="AP219" s="526"/>
      <c r="AQ219" s="526"/>
      <c r="AR219" s="526"/>
      <c r="AS219" s="526"/>
      <c r="AT219" s="526"/>
      <c r="AU219" s="526"/>
      <c r="AV219" s="526"/>
      <c r="AW219" s="526"/>
      <c r="AX219" s="526"/>
    </row>
    <row r="220" spans="1:50" ht="168" x14ac:dyDescent="0.45">
      <c r="A220" s="629" t="s">
        <v>825</v>
      </c>
      <c r="B220" s="627" t="s">
        <v>336</v>
      </c>
      <c r="C220" s="514" t="s">
        <v>826</v>
      </c>
      <c r="D220" s="630" t="s">
        <v>336</v>
      </c>
      <c r="E220" s="514" t="s">
        <v>1205</v>
      </c>
      <c r="F220" s="630" t="s">
        <v>336</v>
      </c>
      <c r="G220" s="630" t="s">
        <v>336</v>
      </c>
      <c r="H220" s="630" t="s">
        <v>336</v>
      </c>
      <c r="I220" s="631" t="s">
        <v>336</v>
      </c>
      <c r="J220" s="620"/>
      <c r="K220" s="620"/>
      <c r="L220" s="620"/>
      <c r="M220" s="526"/>
      <c r="N220" s="526"/>
      <c r="O220" s="526"/>
      <c r="P220" s="526"/>
      <c r="Q220" s="526"/>
      <c r="R220" s="526"/>
      <c r="S220" s="526"/>
      <c r="T220" s="526"/>
      <c r="U220" s="526"/>
      <c r="V220" s="526"/>
      <c r="W220" s="526"/>
      <c r="X220" s="526"/>
      <c r="Y220" s="526"/>
      <c r="Z220" s="526"/>
      <c r="AA220" s="526"/>
      <c r="AB220" s="526"/>
      <c r="AC220" s="526"/>
      <c r="AD220" s="526"/>
      <c r="AE220" s="526"/>
      <c r="AF220" s="526"/>
      <c r="AG220" s="526"/>
      <c r="AH220" s="526"/>
      <c r="AI220" s="526"/>
      <c r="AJ220" s="526"/>
      <c r="AK220" s="526"/>
      <c r="AL220" s="526"/>
      <c r="AM220" s="526"/>
      <c r="AN220" s="526"/>
      <c r="AO220" s="526"/>
      <c r="AP220" s="526"/>
      <c r="AQ220" s="526"/>
      <c r="AR220" s="526"/>
      <c r="AS220" s="526"/>
      <c r="AT220" s="526"/>
      <c r="AU220" s="526"/>
      <c r="AV220" s="526"/>
      <c r="AW220" s="526"/>
      <c r="AX220" s="526"/>
    </row>
    <row r="221" spans="1:50" ht="48" x14ac:dyDescent="0.45">
      <c r="A221" s="629" t="s">
        <v>11</v>
      </c>
      <c r="B221" s="627" t="s">
        <v>336</v>
      </c>
      <c r="C221" s="514" t="s">
        <v>828</v>
      </c>
      <c r="D221" s="630" t="s">
        <v>336</v>
      </c>
      <c r="E221" s="514" t="s">
        <v>1219</v>
      </c>
      <c r="F221" s="630" t="s">
        <v>336</v>
      </c>
      <c r="G221" s="630" t="s">
        <v>336</v>
      </c>
      <c r="H221" s="630" t="s">
        <v>336</v>
      </c>
      <c r="I221" s="631" t="s">
        <v>336</v>
      </c>
      <c r="J221" s="620"/>
      <c r="K221" s="620"/>
      <c r="L221" s="620"/>
      <c r="M221" s="526"/>
      <c r="N221" s="526"/>
      <c r="O221" s="526"/>
      <c r="P221" s="526"/>
      <c r="Q221" s="526"/>
      <c r="R221" s="526"/>
      <c r="S221" s="526"/>
      <c r="T221" s="526"/>
      <c r="U221" s="526"/>
      <c r="V221" s="526"/>
      <c r="W221" s="526"/>
      <c r="X221" s="526"/>
      <c r="Y221" s="526"/>
      <c r="Z221" s="526"/>
      <c r="AA221" s="526"/>
      <c r="AB221" s="526"/>
      <c r="AC221" s="526"/>
      <c r="AD221" s="526"/>
      <c r="AE221" s="526"/>
      <c r="AF221" s="526"/>
      <c r="AG221" s="526"/>
      <c r="AH221" s="526"/>
      <c r="AI221" s="526"/>
      <c r="AJ221" s="526"/>
      <c r="AK221" s="526"/>
      <c r="AL221" s="526"/>
      <c r="AM221" s="526"/>
      <c r="AN221" s="526"/>
      <c r="AO221" s="526"/>
      <c r="AP221" s="526"/>
      <c r="AQ221" s="526"/>
      <c r="AR221" s="526"/>
      <c r="AS221" s="526"/>
      <c r="AT221" s="526"/>
      <c r="AU221" s="526"/>
      <c r="AV221" s="526"/>
      <c r="AW221" s="526"/>
      <c r="AX221" s="526"/>
    </row>
    <row r="222" spans="1:50" ht="192" x14ac:dyDescent="0.45">
      <c r="A222" s="629" t="s">
        <v>45</v>
      </c>
      <c r="B222" s="627" t="s">
        <v>336</v>
      </c>
      <c r="C222" s="514" t="s">
        <v>1220</v>
      </c>
      <c r="D222" s="630" t="s">
        <v>336</v>
      </c>
      <c r="E222" s="514" t="s">
        <v>1221</v>
      </c>
      <c r="F222" s="630" t="s">
        <v>336</v>
      </c>
      <c r="G222" s="630" t="s">
        <v>336</v>
      </c>
      <c r="H222" s="630" t="s">
        <v>336</v>
      </c>
      <c r="I222" s="631" t="s">
        <v>336</v>
      </c>
      <c r="J222" s="620"/>
      <c r="K222" s="620"/>
      <c r="L222" s="620"/>
      <c r="M222" s="526"/>
      <c r="N222" s="526"/>
      <c r="O222" s="526"/>
      <c r="P222" s="526"/>
      <c r="Q222" s="526"/>
      <c r="R222" s="526"/>
      <c r="S222" s="526"/>
      <c r="T222" s="526"/>
      <c r="U222" s="526"/>
      <c r="V222" s="526"/>
      <c r="W222" s="526"/>
      <c r="X222" s="526"/>
      <c r="Y222" s="526"/>
      <c r="Z222" s="526"/>
      <c r="AA222" s="526"/>
      <c r="AB222" s="526"/>
      <c r="AC222" s="526"/>
      <c r="AD222" s="526"/>
      <c r="AE222" s="526"/>
      <c r="AF222" s="526"/>
      <c r="AG222" s="526"/>
      <c r="AH222" s="526"/>
      <c r="AI222" s="526"/>
      <c r="AJ222" s="526"/>
      <c r="AK222" s="526"/>
      <c r="AL222" s="526"/>
      <c r="AM222" s="526"/>
      <c r="AN222" s="526"/>
      <c r="AO222" s="526"/>
      <c r="AP222" s="526"/>
      <c r="AQ222" s="526"/>
      <c r="AR222" s="526"/>
      <c r="AS222" s="526"/>
      <c r="AT222" s="526"/>
      <c r="AU222" s="526"/>
      <c r="AV222" s="526"/>
      <c r="AW222" s="526"/>
      <c r="AX222" s="526"/>
    </row>
    <row r="223" spans="1:50" ht="168" x14ac:dyDescent="0.45">
      <c r="A223" s="629" t="s">
        <v>11</v>
      </c>
      <c r="B223" s="627" t="s">
        <v>336</v>
      </c>
      <c r="C223" s="514" t="s">
        <v>1222</v>
      </c>
      <c r="D223" s="630" t="s">
        <v>336</v>
      </c>
      <c r="E223" s="514" t="s">
        <v>1223</v>
      </c>
      <c r="F223" s="630" t="s">
        <v>336</v>
      </c>
      <c r="G223" s="630" t="s">
        <v>336</v>
      </c>
      <c r="H223" s="630" t="s">
        <v>336</v>
      </c>
      <c r="I223" s="631" t="s">
        <v>336</v>
      </c>
      <c r="J223" s="620"/>
      <c r="K223" s="620"/>
      <c r="L223" s="620"/>
      <c r="M223" s="526"/>
      <c r="N223" s="526"/>
      <c r="O223" s="526"/>
      <c r="P223" s="526"/>
      <c r="Q223" s="526"/>
      <c r="R223" s="526"/>
      <c r="S223" s="526"/>
      <c r="T223" s="526"/>
      <c r="U223" s="526"/>
      <c r="V223" s="526"/>
      <c r="W223" s="526"/>
      <c r="X223" s="526"/>
      <c r="Y223" s="526"/>
      <c r="Z223" s="526"/>
      <c r="AA223" s="526"/>
      <c r="AB223" s="526"/>
      <c r="AC223" s="526"/>
      <c r="AD223" s="526"/>
      <c r="AE223" s="526"/>
      <c r="AF223" s="526"/>
      <c r="AG223" s="526"/>
      <c r="AH223" s="526"/>
      <c r="AI223" s="526"/>
      <c r="AJ223" s="526"/>
      <c r="AK223" s="526"/>
      <c r="AL223" s="526"/>
      <c r="AM223" s="526"/>
      <c r="AN223" s="526"/>
      <c r="AO223" s="526"/>
      <c r="AP223" s="526"/>
      <c r="AQ223" s="526"/>
      <c r="AR223" s="526"/>
      <c r="AS223" s="526"/>
      <c r="AT223" s="526"/>
      <c r="AU223" s="526"/>
      <c r="AV223" s="526"/>
      <c r="AW223" s="526"/>
      <c r="AX223" s="526"/>
    </row>
    <row r="224" spans="1:50" ht="72" x14ac:dyDescent="0.45">
      <c r="A224" s="629" t="s">
        <v>11</v>
      </c>
      <c r="B224" s="627" t="s">
        <v>336</v>
      </c>
      <c r="C224" s="514" t="s">
        <v>1224</v>
      </c>
      <c r="D224" s="630" t="s">
        <v>336</v>
      </c>
      <c r="E224" s="514" t="s">
        <v>1225</v>
      </c>
      <c r="F224" s="630" t="s">
        <v>336</v>
      </c>
      <c r="G224" s="630" t="s">
        <v>336</v>
      </c>
      <c r="H224" s="630" t="s">
        <v>336</v>
      </c>
      <c r="I224" s="631" t="s">
        <v>336</v>
      </c>
      <c r="J224" s="620"/>
      <c r="K224" s="620"/>
      <c r="L224" s="620"/>
      <c r="M224" s="526"/>
      <c r="N224" s="526"/>
      <c r="O224" s="526"/>
      <c r="P224" s="526"/>
      <c r="Q224" s="526"/>
      <c r="R224" s="526"/>
      <c r="S224" s="526"/>
      <c r="T224" s="526"/>
      <c r="U224" s="526"/>
      <c r="V224" s="526"/>
      <c r="W224" s="526"/>
      <c r="X224" s="526"/>
      <c r="Y224" s="526"/>
      <c r="Z224" s="526"/>
      <c r="AA224" s="526"/>
      <c r="AB224" s="526"/>
      <c r="AC224" s="526"/>
      <c r="AD224" s="526"/>
      <c r="AE224" s="526"/>
      <c r="AF224" s="526"/>
      <c r="AG224" s="526"/>
      <c r="AH224" s="526"/>
      <c r="AI224" s="526"/>
      <c r="AJ224" s="526"/>
      <c r="AK224" s="526"/>
      <c r="AL224" s="526"/>
      <c r="AM224" s="526"/>
      <c r="AN224" s="526"/>
      <c r="AO224" s="526"/>
      <c r="AP224" s="526"/>
      <c r="AQ224" s="526"/>
      <c r="AR224" s="526"/>
      <c r="AS224" s="526"/>
      <c r="AT224" s="526"/>
      <c r="AU224" s="526"/>
      <c r="AV224" s="526"/>
      <c r="AW224" s="526"/>
      <c r="AX224" s="526"/>
    </row>
    <row r="225" spans="1:50" ht="72" x14ac:dyDescent="0.45">
      <c r="A225" s="629" t="s">
        <v>136</v>
      </c>
      <c r="B225" s="627" t="s">
        <v>336</v>
      </c>
      <c r="C225" s="514" t="s">
        <v>840</v>
      </c>
      <c r="D225" s="630" t="s">
        <v>336</v>
      </c>
      <c r="E225" s="514" t="s">
        <v>1195</v>
      </c>
      <c r="F225" s="630" t="s">
        <v>336</v>
      </c>
      <c r="G225" s="630" t="s">
        <v>336</v>
      </c>
      <c r="H225" s="630" t="s">
        <v>336</v>
      </c>
      <c r="I225" s="631" t="s">
        <v>336</v>
      </c>
      <c r="J225" s="620"/>
      <c r="K225" s="620"/>
      <c r="L225" s="620"/>
      <c r="M225" s="526"/>
      <c r="N225" s="526"/>
      <c r="O225" s="526"/>
      <c r="P225" s="526"/>
      <c r="Q225" s="526"/>
      <c r="R225" s="526"/>
      <c r="S225" s="526"/>
      <c r="T225" s="526"/>
      <c r="U225" s="526"/>
      <c r="V225" s="526"/>
      <c r="W225" s="526"/>
      <c r="X225" s="526"/>
      <c r="Y225" s="526"/>
      <c r="Z225" s="526"/>
      <c r="AA225" s="526"/>
      <c r="AB225" s="526"/>
      <c r="AC225" s="526"/>
      <c r="AD225" s="526"/>
      <c r="AE225" s="526"/>
      <c r="AF225" s="526"/>
      <c r="AG225" s="526"/>
      <c r="AH225" s="526"/>
      <c r="AI225" s="526"/>
      <c r="AJ225" s="526"/>
      <c r="AK225" s="526"/>
      <c r="AL225" s="526"/>
      <c r="AM225" s="526"/>
      <c r="AN225" s="526"/>
      <c r="AO225" s="526"/>
      <c r="AP225" s="526"/>
      <c r="AQ225" s="526"/>
      <c r="AR225" s="526"/>
      <c r="AS225" s="526"/>
      <c r="AT225" s="526"/>
      <c r="AU225" s="526"/>
      <c r="AV225" s="526"/>
      <c r="AW225" s="526"/>
      <c r="AX225" s="526"/>
    </row>
    <row r="226" spans="1:50" ht="168" x14ac:dyDescent="0.45">
      <c r="A226" s="629" t="s">
        <v>845</v>
      </c>
      <c r="B226" s="627" t="s">
        <v>336</v>
      </c>
      <c r="C226" s="514" t="s">
        <v>880</v>
      </c>
      <c r="D226" s="630" t="s">
        <v>336</v>
      </c>
      <c r="E226" s="514" t="s">
        <v>1196</v>
      </c>
      <c r="F226" s="630" t="s">
        <v>336</v>
      </c>
      <c r="G226" s="630" t="s">
        <v>336</v>
      </c>
      <c r="H226" s="630" t="s">
        <v>336</v>
      </c>
      <c r="I226" s="631" t="s">
        <v>336</v>
      </c>
      <c r="J226" s="620"/>
      <c r="K226" s="620"/>
      <c r="L226" s="620"/>
      <c r="M226" s="526"/>
      <c r="N226" s="526"/>
      <c r="O226" s="526"/>
      <c r="P226" s="526"/>
      <c r="Q226" s="526"/>
      <c r="R226" s="526"/>
      <c r="S226" s="526"/>
      <c r="T226" s="526"/>
      <c r="U226" s="526"/>
      <c r="V226" s="526"/>
      <c r="W226" s="526"/>
      <c r="X226" s="526"/>
      <c r="Y226" s="526"/>
      <c r="Z226" s="526"/>
      <c r="AA226" s="526"/>
      <c r="AB226" s="526"/>
      <c r="AC226" s="526"/>
      <c r="AD226" s="526"/>
      <c r="AE226" s="526"/>
      <c r="AF226" s="526"/>
      <c r="AG226" s="526"/>
      <c r="AH226" s="526"/>
      <c r="AI226" s="526"/>
      <c r="AJ226" s="526"/>
      <c r="AK226" s="526"/>
      <c r="AL226" s="526"/>
      <c r="AM226" s="526"/>
      <c r="AN226" s="526"/>
      <c r="AO226" s="526"/>
      <c r="AP226" s="526"/>
      <c r="AQ226" s="526"/>
      <c r="AR226" s="526"/>
      <c r="AS226" s="526"/>
      <c r="AT226" s="526"/>
      <c r="AU226" s="526"/>
      <c r="AV226" s="526"/>
      <c r="AW226" s="526"/>
      <c r="AX226" s="526"/>
    </row>
    <row r="227" spans="1:50" ht="96" x14ac:dyDescent="0.45">
      <c r="A227" s="629" t="s">
        <v>189</v>
      </c>
      <c r="B227" s="627" t="s">
        <v>336</v>
      </c>
      <c r="C227" s="514" t="s">
        <v>866</v>
      </c>
      <c r="D227" s="630" t="s">
        <v>336</v>
      </c>
      <c r="E227" s="514" t="s">
        <v>901</v>
      </c>
      <c r="F227" s="630" t="s">
        <v>336</v>
      </c>
      <c r="G227" s="630" t="s">
        <v>336</v>
      </c>
      <c r="H227" s="630" t="s">
        <v>336</v>
      </c>
      <c r="I227" s="631" t="s">
        <v>336</v>
      </c>
      <c r="J227" s="620"/>
      <c r="K227" s="620"/>
      <c r="L227" s="620"/>
      <c r="M227" s="526"/>
      <c r="N227" s="526"/>
      <c r="O227" s="526"/>
      <c r="P227" s="526"/>
      <c r="Q227" s="526"/>
      <c r="R227" s="526"/>
      <c r="S227" s="526"/>
      <c r="T227" s="526"/>
      <c r="U227" s="526"/>
      <c r="V227" s="526"/>
      <c r="W227" s="526"/>
      <c r="X227" s="526"/>
      <c r="Y227" s="526"/>
      <c r="Z227" s="526"/>
      <c r="AA227" s="526"/>
      <c r="AB227" s="526"/>
      <c r="AC227" s="526"/>
      <c r="AD227" s="526"/>
      <c r="AE227" s="526"/>
      <c r="AF227" s="526"/>
      <c r="AG227" s="526"/>
      <c r="AH227" s="526"/>
      <c r="AI227" s="526"/>
      <c r="AJ227" s="526"/>
      <c r="AK227" s="526"/>
      <c r="AL227" s="526"/>
      <c r="AM227" s="526"/>
      <c r="AN227" s="526"/>
      <c r="AO227" s="526"/>
      <c r="AP227" s="526"/>
      <c r="AQ227" s="526"/>
      <c r="AR227" s="526"/>
      <c r="AS227" s="526"/>
      <c r="AT227" s="526"/>
      <c r="AU227" s="526"/>
      <c r="AV227" s="526"/>
      <c r="AW227" s="526"/>
      <c r="AX227" s="526"/>
    </row>
    <row r="228" spans="1:50" ht="24" x14ac:dyDescent="0.45">
      <c r="A228" s="628" t="s">
        <v>1135</v>
      </c>
      <c r="B228" s="627" t="s">
        <v>336</v>
      </c>
      <c r="C228" s="756" t="s">
        <v>1136</v>
      </c>
      <c r="D228" s="756"/>
      <c r="E228" s="756"/>
      <c r="F228" s="756"/>
      <c r="G228" s="756"/>
      <c r="H228" s="756"/>
      <c r="I228" s="757"/>
      <c r="J228" s="620"/>
      <c r="K228" s="620"/>
      <c r="L228" s="620"/>
      <c r="M228" s="526"/>
      <c r="N228" s="526"/>
      <c r="O228" s="526"/>
      <c r="P228" s="526"/>
      <c r="Q228" s="526"/>
      <c r="R228" s="526"/>
      <c r="S228" s="526"/>
      <c r="T228" s="526"/>
      <c r="U228" s="526"/>
      <c r="V228" s="526"/>
      <c r="W228" s="526"/>
      <c r="X228" s="526"/>
      <c r="Y228" s="526"/>
      <c r="Z228" s="526"/>
      <c r="AA228" s="526"/>
      <c r="AB228" s="526"/>
      <c r="AC228" s="526"/>
      <c r="AD228" s="526"/>
      <c r="AE228" s="526"/>
      <c r="AF228" s="526"/>
      <c r="AG228" s="526"/>
      <c r="AH228" s="526"/>
      <c r="AI228" s="526"/>
      <c r="AJ228" s="526"/>
      <c r="AK228" s="526"/>
      <c r="AL228" s="526"/>
      <c r="AM228" s="526"/>
      <c r="AN228" s="526"/>
      <c r="AO228" s="526"/>
      <c r="AP228" s="526"/>
      <c r="AQ228" s="526"/>
      <c r="AR228" s="526"/>
      <c r="AS228" s="526"/>
      <c r="AT228" s="526"/>
      <c r="AU228" s="526"/>
      <c r="AV228" s="526"/>
      <c r="AW228" s="526"/>
      <c r="AX228" s="526"/>
    </row>
    <row r="229" spans="1:50" ht="168" x14ac:dyDescent="0.45">
      <c r="A229" s="629" t="s">
        <v>825</v>
      </c>
      <c r="B229" s="627" t="s">
        <v>336</v>
      </c>
      <c r="C229" s="514" t="s">
        <v>826</v>
      </c>
      <c r="D229" s="630" t="s">
        <v>336</v>
      </c>
      <c r="E229" s="514" t="s">
        <v>1205</v>
      </c>
      <c r="F229" s="630" t="s">
        <v>336</v>
      </c>
      <c r="G229" s="630" t="s">
        <v>336</v>
      </c>
      <c r="H229" s="630" t="s">
        <v>336</v>
      </c>
      <c r="I229" s="631" t="s">
        <v>336</v>
      </c>
      <c r="J229" s="620"/>
      <c r="K229" s="620"/>
      <c r="L229" s="620"/>
      <c r="M229" s="526"/>
      <c r="N229" s="526"/>
      <c r="O229" s="526"/>
      <c r="P229" s="526"/>
      <c r="Q229" s="526"/>
      <c r="R229" s="526"/>
      <c r="S229" s="526"/>
      <c r="T229" s="526"/>
      <c r="U229" s="526"/>
      <c r="V229" s="526"/>
      <c r="W229" s="526"/>
      <c r="X229" s="526"/>
      <c r="Y229" s="526"/>
      <c r="Z229" s="526"/>
      <c r="AA229" s="526"/>
      <c r="AB229" s="526"/>
      <c r="AC229" s="526"/>
      <c r="AD229" s="526"/>
      <c r="AE229" s="526"/>
      <c r="AF229" s="526"/>
      <c r="AG229" s="526"/>
      <c r="AH229" s="526"/>
      <c r="AI229" s="526"/>
      <c r="AJ229" s="526"/>
      <c r="AK229" s="526"/>
      <c r="AL229" s="526"/>
      <c r="AM229" s="526"/>
      <c r="AN229" s="526"/>
      <c r="AO229" s="526"/>
      <c r="AP229" s="526"/>
      <c r="AQ229" s="526"/>
      <c r="AR229" s="526"/>
      <c r="AS229" s="526"/>
      <c r="AT229" s="526"/>
      <c r="AU229" s="526"/>
      <c r="AV229" s="526"/>
      <c r="AW229" s="526"/>
      <c r="AX229" s="526"/>
    </row>
    <row r="230" spans="1:50" ht="144" x14ac:dyDescent="0.45">
      <c r="A230" s="629" t="s">
        <v>11</v>
      </c>
      <c r="B230" s="627" t="s">
        <v>336</v>
      </c>
      <c r="C230" s="514" t="s">
        <v>1226</v>
      </c>
      <c r="D230" s="630" t="s">
        <v>336</v>
      </c>
      <c r="E230" s="514" t="s">
        <v>1227</v>
      </c>
      <c r="F230" s="630" t="s">
        <v>336</v>
      </c>
      <c r="G230" s="630" t="s">
        <v>336</v>
      </c>
      <c r="H230" s="630" t="s">
        <v>336</v>
      </c>
      <c r="I230" s="631" t="s">
        <v>336</v>
      </c>
      <c r="J230" s="620"/>
      <c r="K230" s="620"/>
      <c r="L230" s="620"/>
      <c r="M230" s="526"/>
      <c r="N230" s="526"/>
      <c r="O230" s="526"/>
      <c r="P230" s="526"/>
      <c r="Q230" s="526"/>
      <c r="R230" s="526"/>
      <c r="S230" s="526"/>
      <c r="T230" s="526"/>
      <c r="U230" s="526"/>
      <c r="V230" s="526"/>
      <c r="W230" s="526"/>
      <c r="X230" s="526"/>
      <c r="Y230" s="526"/>
      <c r="Z230" s="526"/>
      <c r="AA230" s="526"/>
      <c r="AB230" s="526"/>
      <c r="AC230" s="526"/>
      <c r="AD230" s="526"/>
      <c r="AE230" s="526"/>
      <c r="AF230" s="526"/>
      <c r="AG230" s="526"/>
      <c r="AH230" s="526"/>
      <c r="AI230" s="526"/>
      <c r="AJ230" s="526"/>
      <c r="AK230" s="526"/>
      <c r="AL230" s="526"/>
      <c r="AM230" s="526"/>
      <c r="AN230" s="526"/>
      <c r="AO230" s="526"/>
      <c r="AP230" s="526"/>
      <c r="AQ230" s="526"/>
      <c r="AR230" s="526"/>
      <c r="AS230" s="526"/>
      <c r="AT230" s="526"/>
      <c r="AU230" s="526"/>
      <c r="AV230" s="526"/>
      <c r="AW230" s="526"/>
      <c r="AX230" s="526"/>
    </row>
    <row r="231" spans="1:50" ht="120" x14ac:dyDescent="0.45">
      <c r="A231" s="629" t="s">
        <v>11</v>
      </c>
      <c r="B231" s="627" t="s">
        <v>336</v>
      </c>
      <c r="C231" s="514" t="s">
        <v>1228</v>
      </c>
      <c r="D231" s="630" t="s">
        <v>336</v>
      </c>
      <c r="E231" s="514" t="s">
        <v>1229</v>
      </c>
      <c r="F231" s="630" t="s">
        <v>336</v>
      </c>
      <c r="G231" s="630" t="s">
        <v>336</v>
      </c>
      <c r="H231" s="630" t="s">
        <v>336</v>
      </c>
      <c r="I231" s="631" t="s">
        <v>336</v>
      </c>
      <c r="J231" s="620"/>
      <c r="K231" s="620"/>
      <c r="L231" s="620"/>
      <c r="M231" s="526"/>
      <c r="N231" s="526"/>
      <c r="O231" s="526"/>
      <c r="P231" s="526"/>
      <c r="Q231" s="526"/>
      <c r="R231" s="526"/>
      <c r="S231" s="526"/>
      <c r="T231" s="526"/>
      <c r="U231" s="526"/>
      <c r="V231" s="526"/>
      <c r="W231" s="526"/>
      <c r="X231" s="526"/>
      <c r="Y231" s="526"/>
      <c r="Z231" s="526"/>
      <c r="AA231" s="526"/>
      <c r="AB231" s="526"/>
      <c r="AC231" s="526"/>
      <c r="AD231" s="526"/>
      <c r="AE231" s="526"/>
      <c r="AF231" s="526"/>
      <c r="AG231" s="526"/>
      <c r="AH231" s="526"/>
      <c r="AI231" s="526"/>
      <c r="AJ231" s="526"/>
      <c r="AK231" s="526"/>
      <c r="AL231" s="526"/>
      <c r="AM231" s="526"/>
      <c r="AN231" s="526"/>
      <c r="AO231" s="526"/>
      <c r="AP231" s="526"/>
      <c r="AQ231" s="526"/>
      <c r="AR231" s="526"/>
      <c r="AS231" s="526"/>
      <c r="AT231" s="526"/>
      <c r="AU231" s="526"/>
      <c r="AV231" s="526"/>
      <c r="AW231" s="526"/>
      <c r="AX231" s="526"/>
    </row>
    <row r="232" spans="1:50" ht="264" x14ac:dyDescent="0.45">
      <c r="A232" s="629" t="s">
        <v>45</v>
      </c>
      <c r="B232" s="627" t="s">
        <v>336</v>
      </c>
      <c r="C232" s="514" t="s">
        <v>1230</v>
      </c>
      <c r="D232" s="630" t="s">
        <v>336</v>
      </c>
      <c r="E232" s="514" t="s">
        <v>1231</v>
      </c>
      <c r="F232" s="630" t="s">
        <v>336</v>
      </c>
      <c r="G232" s="630" t="s">
        <v>336</v>
      </c>
      <c r="H232" s="630" t="s">
        <v>336</v>
      </c>
      <c r="I232" s="631" t="s">
        <v>336</v>
      </c>
      <c r="J232" s="620"/>
      <c r="K232" s="620"/>
      <c r="L232" s="620"/>
      <c r="M232" s="526"/>
      <c r="N232" s="526"/>
      <c r="O232" s="526"/>
      <c r="P232" s="526"/>
      <c r="Q232" s="526"/>
      <c r="R232" s="526"/>
      <c r="S232" s="526"/>
      <c r="T232" s="526"/>
      <c r="U232" s="526"/>
      <c r="V232" s="526"/>
      <c r="W232" s="526"/>
      <c r="X232" s="526"/>
      <c r="Y232" s="526"/>
      <c r="Z232" s="526"/>
      <c r="AA232" s="526"/>
      <c r="AB232" s="526"/>
      <c r="AC232" s="526"/>
      <c r="AD232" s="526"/>
      <c r="AE232" s="526"/>
      <c r="AF232" s="526"/>
      <c r="AG232" s="526"/>
      <c r="AH232" s="526"/>
      <c r="AI232" s="526"/>
      <c r="AJ232" s="526"/>
      <c r="AK232" s="526"/>
      <c r="AL232" s="526"/>
      <c r="AM232" s="526"/>
      <c r="AN232" s="526"/>
      <c r="AO232" s="526"/>
      <c r="AP232" s="526"/>
      <c r="AQ232" s="526"/>
      <c r="AR232" s="526"/>
      <c r="AS232" s="526"/>
      <c r="AT232" s="526"/>
      <c r="AU232" s="526"/>
      <c r="AV232" s="526"/>
      <c r="AW232" s="526"/>
      <c r="AX232" s="526"/>
    </row>
    <row r="233" spans="1:50" ht="72" x14ac:dyDescent="0.45">
      <c r="A233" s="629" t="s">
        <v>136</v>
      </c>
      <c r="B233" s="627" t="s">
        <v>336</v>
      </c>
      <c r="C233" s="514" t="s">
        <v>840</v>
      </c>
      <c r="D233" s="630" t="s">
        <v>336</v>
      </c>
      <c r="E233" s="514" t="s">
        <v>1195</v>
      </c>
      <c r="F233" s="630" t="s">
        <v>336</v>
      </c>
      <c r="G233" s="630" t="s">
        <v>336</v>
      </c>
      <c r="H233" s="630" t="s">
        <v>336</v>
      </c>
      <c r="I233" s="631" t="s">
        <v>336</v>
      </c>
      <c r="J233" s="620"/>
      <c r="K233" s="620"/>
      <c r="L233" s="620"/>
      <c r="M233" s="526"/>
      <c r="N233" s="526"/>
      <c r="O233" s="526"/>
      <c r="P233" s="526"/>
      <c r="Q233" s="526"/>
      <c r="R233" s="526"/>
      <c r="S233" s="526"/>
      <c r="T233" s="526"/>
      <c r="U233" s="526"/>
      <c r="V233" s="526"/>
      <c r="W233" s="526"/>
      <c r="X233" s="526"/>
      <c r="Y233" s="526"/>
      <c r="Z233" s="526"/>
      <c r="AA233" s="526"/>
      <c r="AB233" s="526"/>
      <c r="AC233" s="526"/>
      <c r="AD233" s="526"/>
      <c r="AE233" s="526"/>
      <c r="AF233" s="526"/>
      <c r="AG233" s="526"/>
      <c r="AH233" s="526"/>
      <c r="AI233" s="526"/>
      <c r="AJ233" s="526"/>
      <c r="AK233" s="526"/>
      <c r="AL233" s="526"/>
      <c r="AM233" s="526"/>
      <c r="AN233" s="526"/>
      <c r="AO233" s="526"/>
      <c r="AP233" s="526"/>
      <c r="AQ233" s="526"/>
      <c r="AR233" s="526"/>
      <c r="AS233" s="526"/>
      <c r="AT233" s="526"/>
      <c r="AU233" s="526"/>
      <c r="AV233" s="526"/>
      <c r="AW233" s="526"/>
      <c r="AX233" s="526"/>
    </row>
    <row r="234" spans="1:50" ht="168" x14ac:dyDescent="0.45">
      <c r="A234" s="629" t="s">
        <v>845</v>
      </c>
      <c r="B234" s="627" t="s">
        <v>336</v>
      </c>
      <c r="C234" s="514" t="s">
        <v>880</v>
      </c>
      <c r="D234" s="630" t="s">
        <v>336</v>
      </c>
      <c r="E234" s="514" t="s">
        <v>1196</v>
      </c>
      <c r="F234" s="630" t="s">
        <v>336</v>
      </c>
      <c r="G234" s="630" t="s">
        <v>336</v>
      </c>
      <c r="H234" s="630" t="s">
        <v>336</v>
      </c>
      <c r="I234" s="631" t="s">
        <v>336</v>
      </c>
      <c r="J234" s="620"/>
      <c r="K234" s="620"/>
      <c r="L234" s="620"/>
      <c r="M234" s="526"/>
      <c r="N234" s="526"/>
      <c r="O234" s="526"/>
      <c r="P234" s="526"/>
      <c r="Q234" s="526"/>
      <c r="R234" s="526"/>
      <c r="S234" s="526"/>
      <c r="T234" s="526"/>
      <c r="U234" s="526"/>
      <c r="V234" s="526"/>
      <c r="W234" s="526"/>
      <c r="X234" s="526"/>
      <c r="Y234" s="526"/>
      <c r="Z234" s="526"/>
      <c r="AA234" s="526"/>
      <c r="AB234" s="526"/>
      <c r="AC234" s="526"/>
      <c r="AD234" s="526"/>
      <c r="AE234" s="526"/>
      <c r="AF234" s="526"/>
      <c r="AG234" s="526"/>
      <c r="AH234" s="526"/>
      <c r="AI234" s="526"/>
      <c r="AJ234" s="526"/>
      <c r="AK234" s="526"/>
      <c r="AL234" s="526"/>
      <c r="AM234" s="526"/>
      <c r="AN234" s="526"/>
      <c r="AO234" s="526"/>
      <c r="AP234" s="526"/>
      <c r="AQ234" s="526"/>
      <c r="AR234" s="526"/>
      <c r="AS234" s="526"/>
      <c r="AT234" s="526"/>
      <c r="AU234" s="526"/>
      <c r="AV234" s="526"/>
      <c r="AW234" s="526"/>
      <c r="AX234" s="526"/>
    </row>
    <row r="235" spans="1:50" ht="96" x14ac:dyDescent="0.45">
      <c r="A235" s="629" t="s">
        <v>189</v>
      </c>
      <c r="B235" s="627" t="s">
        <v>336</v>
      </c>
      <c r="C235" s="514" t="s">
        <v>866</v>
      </c>
      <c r="D235" s="630" t="s">
        <v>336</v>
      </c>
      <c r="E235" s="514" t="s">
        <v>901</v>
      </c>
      <c r="F235" s="630" t="s">
        <v>336</v>
      </c>
      <c r="G235" s="630" t="s">
        <v>336</v>
      </c>
      <c r="H235" s="630" t="s">
        <v>336</v>
      </c>
      <c r="I235" s="631" t="s">
        <v>336</v>
      </c>
      <c r="J235" s="620"/>
      <c r="K235" s="620"/>
      <c r="L235" s="620"/>
      <c r="M235" s="526"/>
      <c r="N235" s="526"/>
      <c r="O235" s="526"/>
      <c r="P235" s="526"/>
      <c r="Q235" s="526"/>
      <c r="R235" s="526"/>
      <c r="S235" s="526"/>
      <c r="T235" s="526"/>
      <c r="U235" s="526"/>
      <c r="V235" s="526"/>
      <c r="W235" s="526"/>
      <c r="X235" s="526"/>
      <c r="Y235" s="526"/>
      <c r="Z235" s="526"/>
      <c r="AA235" s="526"/>
      <c r="AB235" s="526"/>
      <c r="AC235" s="526"/>
      <c r="AD235" s="526"/>
      <c r="AE235" s="526"/>
      <c r="AF235" s="526"/>
      <c r="AG235" s="526"/>
      <c r="AH235" s="526"/>
      <c r="AI235" s="526"/>
      <c r="AJ235" s="526"/>
      <c r="AK235" s="526"/>
      <c r="AL235" s="526"/>
      <c r="AM235" s="526"/>
      <c r="AN235" s="526"/>
      <c r="AO235" s="526"/>
      <c r="AP235" s="526"/>
      <c r="AQ235" s="526"/>
      <c r="AR235" s="526"/>
      <c r="AS235" s="526"/>
      <c r="AT235" s="526"/>
      <c r="AU235" s="526"/>
      <c r="AV235" s="526"/>
      <c r="AW235" s="526"/>
      <c r="AX235" s="526"/>
    </row>
    <row r="236" spans="1:50" ht="24" x14ac:dyDescent="0.45">
      <c r="A236" s="628" t="s">
        <v>1137</v>
      </c>
      <c r="B236" s="627" t="s">
        <v>336</v>
      </c>
      <c r="C236" s="756" t="s">
        <v>1138</v>
      </c>
      <c r="D236" s="756"/>
      <c r="E236" s="756"/>
      <c r="F236" s="756"/>
      <c r="G236" s="756"/>
      <c r="H236" s="756"/>
      <c r="I236" s="757"/>
      <c r="J236" s="620"/>
      <c r="K236" s="620"/>
      <c r="L236" s="620"/>
      <c r="M236" s="526"/>
      <c r="N236" s="526"/>
      <c r="O236" s="526"/>
      <c r="P236" s="526"/>
      <c r="Q236" s="526"/>
      <c r="R236" s="526"/>
      <c r="S236" s="526"/>
      <c r="T236" s="526"/>
      <c r="U236" s="526"/>
      <c r="V236" s="526"/>
      <c r="W236" s="526"/>
      <c r="X236" s="526"/>
      <c r="Y236" s="526"/>
      <c r="Z236" s="526"/>
      <c r="AA236" s="526"/>
      <c r="AB236" s="526"/>
      <c r="AC236" s="526"/>
      <c r="AD236" s="526"/>
      <c r="AE236" s="526"/>
      <c r="AF236" s="526"/>
      <c r="AG236" s="526"/>
      <c r="AH236" s="526"/>
      <c r="AI236" s="526"/>
      <c r="AJ236" s="526"/>
      <c r="AK236" s="526"/>
      <c r="AL236" s="526"/>
      <c r="AM236" s="526"/>
      <c r="AN236" s="526"/>
      <c r="AO236" s="526"/>
      <c r="AP236" s="526"/>
      <c r="AQ236" s="526"/>
      <c r="AR236" s="526"/>
      <c r="AS236" s="526"/>
      <c r="AT236" s="526"/>
      <c r="AU236" s="526"/>
      <c r="AV236" s="526"/>
      <c r="AW236" s="526"/>
      <c r="AX236" s="526"/>
    </row>
    <row r="237" spans="1:50" ht="168" x14ac:dyDescent="0.45">
      <c r="A237" s="629" t="s">
        <v>825</v>
      </c>
      <c r="B237" s="627" t="s">
        <v>336</v>
      </c>
      <c r="C237" s="514" t="s">
        <v>826</v>
      </c>
      <c r="D237" s="630" t="s">
        <v>336</v>
      </c>
      <c r="E237" s="514" t="s">
        <v>1205</v>
      </c>
      <c r="F237" s="630" t="s">
        <v>336</v>
      </c>
      <c r="G237" s="630" t="s">
        <v>336</v>
      </c>
      <c r="H237" s="630" t="s">
        <v>336</v>
      </c>
      <c r="I237" s="631" t="s">
        <v>336</v>
      </c>
      <c r="J237" s="620"/>
      <c r="K237" s="620"/>
      <c r="L237" s="620"/>
      <c r="M237" s="526"/>
      <c r="N237" s="526"/>
      <c r="O237" s="526"/>
      <c r="P237" s="526"/>
      <c r="Q237" s="526"/>
      <c r="R237" s="526"/>
      <c r="S237" s="526"/>
      <c r="T237" s="526"/>
      <c r="U237" s="526"/>
      <c r="V237" s="526"/>
      <c r="W237" s="526"/>
      <c r="X237" s="526"/>
      <c r="Y237" s="526"/>
      <c r="Z237" s="526"/>
      <c r="AA237" s="526"/>
      <c r="AB237" s="526"/>
      <c r="AC237" s="526"/>
      <c r="AD237" s="526"/>
      <c r="AE237" s="526"/>
      <c r="AF237" s="526"/>
      <c r="AG237" s="526"/>
      <c r="AH237" s="526"/>
      <c r="AI237" s="526"/>
      <c r="AJ237" s="526"/>
      <c r="AK237" s="526"/>
      <c r="AL237" s="526"/>
      <c r="AM237" s="526"/>
      <c r="AN237" s="526"/>
      <c r="AO237" s="526"/>
      <c r="AP237" s="526"/>
      <c r="AQ237" s="526"/>
      <c r="AR237" s="526"/>
      <c r="AS237" s="526"/>
      <c r="AT237" s="526"/>
      <c r="AU237" s="526"/>
      <c r="AV237" s="526"/>
      <c r="AW237" s="526"/>
      <c r="AX237" s="526"/>
    </row>
    <row r="238" spans="1:50" ht="96" x14ac:dyDescent="0.45">
      <c r="A238" s="629" t="s">
        <v>11</v>
      </c>
      <c r="B238" s="627" t="s">
        <v>336</v>
      </c>
      <c r="C238" s="514" t="s">
        <v>869</v>
      </c>
      <c r="D238" s="630" t="s">
        <v>336</v>
      </c>
      <c r="E238" s="514" t="s">
        <v>915</v>
      </c>
      <c r="F238" s="630" t="s">
        <v>336</v>
      </c>
      <c r="G238" s="630" t="s">
        <v>336</v>
      </c>
      <c r="H238" s="630" t="s">
        <v>336</v>
      </c>
      <c r="I238" s="631" t="s">
        <v>336</v>
      </c>
      <c r="J238" s="620"/>
      <c r="K238" s="620"/>
      <c r="L238" s="620"/>
      <c r="M238" s="526"/>
      <c r="N238" s="526"/>
      <c r="O238" s="526"/>
      <c r="P238" s="526"/>
      <c r="Q238" s="526"/>
      <c r="R238" s="526"/>
      <c r="S238" s="526"/>
      <c r="T238" s="526"/>
      <c r="U238" s="526"/>
      <c r="V238" s="526"/>
      <c r="W238" s="526"/>
      <c r="X238" s="526"/>
      <c r="Y238" s="526"/>
      <c r="Z238" s="526"/>
      <c r="AA238" s="526"/>
      <c r="AB238" s="526"/>
      <c r="AC238" s="526"/>
      <c r="AD238" s="526"/>
      <c r="AE238" s="526"/>
      <c r="AF238" s="526"/>
      <c r="AG238" s="526"/>
      <c r="AH238" s="526"/>
      <c r="AI238" s="526"/>
      <c r="AJ238" s="526"/>
      <c r="AK238" s="526"/>
      <c r="AL238" s="526"/>
      <c r="AM238" s="526"/>
      <c r="AN238" s="526"/>
      <c r="AO238" s="526"/>
      <c r="AP238" s="526"/>
      <c r="AQ238" s="526"/>
      <c r="AR238" s="526"/>
      <c r="AS238" s="526"/>
      <c r="AT238" s="526"/>
      <c r="AU238" s="526"/>
      <c r="AV238" s="526"/>
      <c r="AW238" s="526"/>
      <c r="AX238" s="526"/>
    </row>
    <row r="239" spans="1:50" ht="216" x14ac:dyDescent="0.45">
      <c r="A239" s="629" t="s">
        <v>11</v>
      </c>
      <c r="B239" s="627" t="s">
        <v>336</v>
      </c>
      <c r="C239" s="514" t="s">
        <v>1232</v>
      </c>
      <c r="D239" s="630" t="s">
        <v>336</v>
      </c>
      <c r="E239" s="514" t="s">
        <v>1233</v>
      </c>
      <c r="F239" s="630" t="s">
        <v>336</v>
      </c>
      <c r="G239" s="630" t="s">
        <v>336</v>
      </c>
      <c r="H239" s="630" t="s">
        <v>336</v>
      </c>
      <c r="I239" s="631" t="s">
        <v>336</v>
      </c>
      <c r="J239" s="620"/>
      <c r="K239" s="620"/>
      <c r="L239" s="620"/>
      <c r="M239" s="526"/>
      <c r="N239" s="526"/>
      <c r="O239" s="526"/>
      <c r="P239" s="526"/>
      <c r="Q239" s="526"/>
      <c r="R239" s="526"/>
      <c r="S239" s="526"/>
      <c r="T239" s="526"/>
      <c r="U239" s="526"/>
      <c r="V239" s="526"/>
      <c r="W239" s="526"/>
      <c r="X239" s="526"/>
      <c r="Y239" s="526"/>
      <c r="Z239" s="526"/>
      <c r="AA239" s="526"/>
      <c r="AB239" s="526"/>
      <c r="AC239" s="526"/>
      <c r="AD239" s="526"/>
      <c r="AE239" s="526"/>
      <c r="AF239" s="526"/>
      <c r="AG239" s="526"/>
      <c r="AH239" s="526"/>
      <c r="AI239" s="526"/>
      <c r="AJ239" s="526"/>
      <c r="AK239" s="526"/>
      <c r="AL239" s="526"/>
      <c r="AM239" s="526"/>
      <c r="AN239" s="526"/>
      <c r="AO239" s="526"/>
      <c r="AP239" s="526"/>
      <c r="AQ239" s="526"/>
      <c r="AR239" s="526"/>
      <c r="AS239" s="526"/>
      <c r="AT239" s="526"/>
      <c r="AU239" s="526"/>
      <c r="AV239" s="526"/>
      <c r="AW239" s="526"/>
      <c r="AX239" s="526"/>
    </row>
    <row r="240" spans="1:50" ht="72" x14ac:dyDescent="0.45">
      <c r="A240" s="629" t="s">
        <v>136</v>
      </c>
      <c r="B240" s="627" t="s">
        <v>336</v>
      </c>
      <c r="C240" s="514" t="s">
        <v>840</v>
      </c>
      <c r="D240" s="630" t="s">
        <v>336</v>
      </c>
      <c r="E240" s="514" t="s">
        <v>1195</v>
      </c>
      <c r="F240" s="630" t="s">
        <v>336</v>
      </c>
      <c r="G240" s="630" t="s">
        <v>336</v>
      </c>
      <c r="H240" s="630" t="s">
        <v>336</v>
      </c>
      <c r="I240" s="631" t="s">
        <v>336</v>
      </c>
      <c r="J240" s="620"/>
      <c r="K240" s="620"/>
      <c r="L240" s="620"/>
      <c r="M240" s="526"/>
      <c r="N240" s="526"/>
      <c r="O240" s="526"/>
      <c r="P240" s="526"/>
      <c r="Q240" s="526"/>
      <c r="R240" s="526"/>
      <c r="S240" s="526"/>
      <c r="T240" s="526"/>
      <c r="U240" s="526"/>
      <c r="V240" s="526"/>
      <c r="W240" s="526"/>
      <c r="X240" s="526"/>
      <c r="Y240" s="526"/>
      <c r="Z240" s="526"/>
      <c r="AA240" s="526"/>
      <c r="AB240" s="526"/>
      <c r="AC240" s="526"/>
      <c r="AD240" s="526"/>
      <c r="AE240" s="526"/>
      <c r="AF240" s="526"/>
      <c r="AG240" s="526"/>
      <c r="AH240" s="526"/>
      <c r="AI240" s="526"/>
      <c r="AJ240" s="526"/>
      <c r="AK240" s="526"/>
      <c r="AL240" s="526"/>
      <c r="AM240" s="526"/>
      <c r="AN240" s="526"/>
      <c r="AO240" s="526"/>
      <c r="AP240" s="526"/>
      <c r="AQ240" s="526"/>
      <c r="AR240" s="526"/>
      <c r="AS240" s="526"/>
      <c r="AT240" s="526"/>
      <c r="AU240" s="526"/>
      <c r="AV240" s="526"/>
      <c r="AW240" s="526"/>
      <c r="AX240" s="526"/>
    </row>
    <row r="241" spans="1:50" ht="192" x14ac:dyDescent="0.45">
      <c r="A241" s="629" t="s">
        <v>845</v>
      </c>
      <c r="B241" s="627" t="s">
        <v>336</v>
      </c>
      <c r="C241" s="514" t="s">
        <v>1234</v>
      </c>
      <c r="D241" s="630" t="s">
        <v>336</v>
      </c>
      <c r="E241" s="514" t="s">
        <v>1235</v>
      </c>
      <c r="F241" s="630" t="s">
        <v>336</v>
      </c>
      <c r="G241" s="630" t="s">
        <v>336</v>
      </c>
      <c r="H241" s="630" t="s">
        <v>336</v>
      </c>
      <c r="I241" s="631" t="s">
        <v>336</v>
      </c>
      <c r="J241" s="620"/>
      <c r="K241" s="620"/>
      <c r="L241" s="620"/>
      <c r="M241" s="526"/>
      <c r="N241" s="526"/>
      <c r="O241" s="526"/>
      <c r="P241" s="526"/>
      <c r="Q241" s="526"/>
      <c r="R241" s="526"/>
      <c r="S241" s="526"/>
      <c r="T241" s="526"/>
      <c r="U241" s="526"/>
      <c r="V241" s="526"/>
      <c r="W241" s="526"/>
      <c r="X241" s="526"/>
      <c r="Y241" s="526"/>
      <c r="Z241" s="526"/>
      <c r="AA241" s="526"/>
      <c r="AB241" s="526"/>
      <c r="AC241" s="526"/>
      <c r="AD241" s="526"/>
      <c r="AE241" s="526"/>
      <c r="AF241" s="526"/>
      <c r="AG241" s="526"/>
      <c r="AH241" s="526"/>
      <c r="AI241" s="526"/>
      <c r="AJ241" s="526"/>
      <c r="AK241" s="526"/>
      <c r="AL241" s="526"/>
      <c r="AM241" s="526"/>
      <c r="AN241" s="526"/>
      <c r="AO241" s="526"/>
      <c r="AP241" s="526"/>
      <c r="AQ241" s="526"/>
      <c r="AR241" s="526"/>
      <c r="AS241" s="526"/>
      <c r="AT241" s="526"/>
      <c r="AU241" s="526"/>
      <c r="AV241" s="526"/>
      <c r="AW241" s="526"/>
      <c r="AX241" s="526"/>
    </row>
    <row r="242" spans="1:50" ht="24" x14ac:dyDescent="0.45">
      <c r="A242" s="626" t="s">
        <v>1139</v>
      </c>
      <c r="B242" s="627" t="s">
        <v>336</v>
      </c>
      <c r="C242" s="758" t="s">
        <v>1236</v>
      </c>
      <c r="D242" s="758"/>
      <c r="E242" s="758"/>
      <c r="F242" s="758"/>
      <c r="G242" s="758"/>
      <c r="H242" s="758"/>
      <c r="I242" s="759"/>
      <c r="J242" s="620"/>
      <c r="K242" s="620"/>
      <c r="L242" s="620"/>
      <c r="M242" s="526"/>
      <c r="N242" s="526"/>
      <c r="O242" s="526"/>
      <c r="P242" s="526"/>
      <c r="Q242" s="526"/>
      <c r="R242" s="526"/>
      <c r="S242" s="526"/>
      <c r="T242" s="526"/>
      <c r="U242" s="526"/>
      <c r="V242" s="526"/>
      <c r="W242" s="526"/>
      <c r="X242" s="526"/>
      <c r="Y242" s="526"/>
      <c r="Z242" s="526"/>
      <c r="AA242" s="526"/>
      <c r="AB242" s="526"/>
      <c r="AC242" s="526"/>
      <c r="AD242" s="526"/>
      <c r="AE242" s="526"/>
      <c r="AF242" s="526"/>
      <c r="AG242" s="526"/>
      <c r="AH242" s="526"/>
      <c r="AI242" s="526"/>
      <c r="AJ242" s="526"/>
      <c r="AK242" s="526"/>
      <c r="AL242" s="526"/>
      <c r="AM242" s="526"/>
      <c r="AN242" s="526"/>
      <c r="AO242" s="526"/>
      <c r="AP242" s="526"/>
      <c r="AQ242" s="526"/>
      <c r="AR242" s="526"/>
      <c r="AS242" s="526"/>
      <c r="AT242" s="526"/>
      <c r="AU242" s="526"/>
      <c r="AV242" s="526"/>
      <c r="AW242" s="526"/>
      <c r="AX242" s="526"/>
    </row>
    <row r="243" spans="1:50" ht="24" x14ac:dyDescent="0.45">
      <c r="A243" s="628" t="s">
        <v>1141</v>
      </c>
      <c r="B243" s="627" t="s">
        <v>336</v>
      </c>
      <c r="C243" s="756" t="s">
        <v>1237</v>
      </c>
      <c r="D243" s="756"/>
      <c r="E243" s="756"/>
      <c r="F243" s="756"/>
      <c r="G243" s="756"/>
      <c r="H243" s="756"/>
      <c r="I243" s="757"/>
      <c r="J243" s="620"/>
      <c r="K243" s="620"/>
      <c r="L243" s="620"/>
      <c r="M243" s="526"/>
      <c r="N243" s="526"/>
      <c r="O243" s="526"/>
      <c r="P243" s="526"/>
      <c r="Q243" s="526"/>
      <c r="R243" s="526"/>
      <c r="S243" s="526"/>
      <c r="T243" s="526"/>
      <c r="U243" s="526"/>
      <c r="V243" s="526"/>
      <c r="W243" s="526"/>
      <c r="X243" s="526"/>
      <c r="Y243" s="526"/>
      <c r="Z243" s="526"/>
      <c r="AA243" s="526"/>
      <c r="AB243" s="526"/>
      <c r="AC243" s="526"/>
      <c r="AD243" s="526"/>
      <c r="AE243" s="526"/>
      <c r="AF243" s="526"/>
      <c r="AG243" s="526"/>
      <c r="AH243" s="526"/>
      <c r="AI243" s="526"/>
      <c r="AJ243" s="526"/>
      <c r="AK243" s="526"/>
      <c r="AL243" s="526"/>
      <c r="AM243" s="526"/>
      <c r="AN243" s="526"/>
      <c r="AO243" s="526"/>
      <c r="AP243" s="526"/>
      <c r="AQ243" s="526"/>
      <c r="AR243" s="526"/>
      <c r="AS243" s="526"/>
      <c r="AT243" s="526"/>
      <c r="AU243" s="526"/>
      <c r="AV243" s="526"/>
      <c r="AW243" s="526"/>
      <c r="AX243" s="526"/>
    </row>
    <row r="244" spans="1:50" ht="168" x14ac:dyDescent="0.45">
      <c r="A244" s="629" t="s">
        <v>825</v>
      </c>
      <c r="B244" s="627" t="s">
        <v>336</v>
      </c>
      <c r="C244" s="514" t="s">
        <v>826</v>
      </c>
      <c r="D244" s="630" t="s">
        <v>336</v>
      </c>
      <c r="E244" s="514" t="s">
        <v>1205</v>
      </c>
      <c r="F244" s="630" t="s">
        <v>336</v>
      </c>
      <c r="G244" s="630" t="s">
        <v>336</v>
      </c>
      <c r="H244" s="630" t="s">
        <v>336</v>
      </c>
      <c r="I244" s="631" t="s">
        <v>336</v>
      </c>
      <c r="J244" s="620"/>
      <c r="K244" s="620"/>
      <c r="L244" s="620"/>
      <c r="M244" s="526"/>
      <c r="N244" s="526"/>
      <c r="O244" s="526"/>
      <c r="P244" s="526"/>
      <c r="Q244" s="526"/>
      <c r="R244" s="526"/>
      <c r="S244" s="526"/>
      <c r="T244" s="526"/>
      <c r="U244" s="526"/>
      <c r="V244" s="526"/>
      <c r="W244" s="526"/>
      <c r="X244" s="526"/>
      <c r="Y244" s="526"/>
      <c r="Z244" s="526"/>
      <c r="AA244" s="526"/>
      <c r="AB244" s="526"/>
      <c r="AC244" s="526"/>
      <c r="AD244" s="526"/>
      <c r="AE244" s="526"/>
      <c r="AF244" s="526"/>
      <c r="AG244" s="526"/>
      <c r="AH244" s="526"/>
      <c r="AI244" s="526"/>
      <c r="AJ244" s="526"/>
      <c r="AK244" s="526"/>
      <c r="AL244" s="526"/>
      <c r="AM244" s="526"/>
      <c r="AN244" s="526"/>
      <c r="AO244" s="526"/>
      <c r="AP244" s="526"/>
      <c r="AQ244" s="526"/>
      <c r="AR244" s="526"/>
      <c r="AS244" s="526"/>
      <c r="AT244" s="526"/>
      <c r="AU244" s="526"/>
      <c r="AV244" s="526"/>
      <c r="AW244" s="526"/>
      <c r="AX244" s="526"/>
    </row>
    <row r="245" spans="1:50" ht="96" x14ac:dyDescent="0.45">
      <c r="A245" s="629" t="s">
        <v>11</v>
      </c>
      <c r="B245" s="627" t="s">
        <v>336</v>
      </c>
      <c r="C245" s="514" t="s">
        <v>869</v>
      </c>
      <c r="D245" s="630" t="s">
        <v>336</v>
      </c>
      <c r="E245" s="514" t="s">
        <v>915</v>
      </c>
      <c r="F245" s="630" t="s">
        <v>336</v>
      </c>
      <c r="G245" s="630" t="s">
        <v>336</v>
      </c>
      <c r="H245" s="630" t="s">
        <v>336</v>
      </c>
      <c r="I245" s="631" t="s">
        <v>336</v>
      </c>
      <c r="J245" s="620"/>
      <c r="K245" s="620"/>
      <c r="L245" s="620"/>
      <c r="M245" s="526"/>
      <c r="N245" s="526"/>
      <c r="O245" s="526"/>
      <c r="P245" s="526"/>
      <c r="Q245" s="526"/>
      <c r="R245" s="526"/>
      <c r="S245" s="526"/>
      <c r="T245" s="526"/>
      <c r="U245" s="526"/>
      <c r="V245" s="526"/>
      <c r="W245" s="526"/>
      <c r="X245" s="526"/>
      <c r="Y245" s="526"/>
      <c r="Z245" s="526"/>
      <c r="AA245" s="526"/>
      <c r="AB245" s="526"/>
      <c r="AC245" s="526"/>
      <c r="AD245" s="526"/>
      <c r="AE245" s="526"/>
      <c r="AF245" s="526"/>
      <c r="AG245" s="526"/>
      <c r="AH245" s="526"/>
      <c r="AI245" s="526"/>
      <c r="AJ245" s="526"/>
      <c r="AK245" s="526"/>
      <c r="AL245" s="526"/>
      <c r="AM245" s="526"/>
      <c r="AN245" s="526"/>
      <c r="AO245" s="526"/>
      <c r="AP245" s="526"/>
      <c r="AQ245" s="526"/>
      <c r="AR245" s="526"/>
      <c r="AS245" s="526"/>
      <c r="AT245" s="526"/>
      <c r="AU245" s="526"/>
      <c r="AV245" s="526"/>
      <c r="AW245" s="526"/>
      <c r="AX245" s="526"/>
    </row>
    <row r="246" spans="1:50" ht="144" x14ac:dyDescent="0.45">
      <c r="A246" s="629" t="s">
        <v>45</v>
      </c>
      <c r="B246" s="627" t="s">
        <v>336</v>
      </c>
      <c r="C246" s="514" t="s">
        <v>1238</v>
      </c>
      <c r="D246" s="630" t="s">
        <v>336</v>
      </c>
      <c r="E246" s="514" t="s">
        <v>1239</v>
      </c>
      <c r="F246" s="630" t="s">
        <v>336</v>
      </c>
      <c r="G246" s="630" t="s">
        <v>336</v>
      </c>
      <c r="H246" s="630" t="s">
        <v>336</v>
      </c>
      <c r="I246" s="631" t="s">
        <v>336</v>
      </c>
      <c r="J246" s="620"/>
      <c r="K246" s="620"/>
      <c r="L246" s="620"/>
      <c r="M246" s="526"/>
      <c r="N246" s="526"/>
      <c r="O246" s="526"/>
      <c r="P246" s="526"/>
      <c r="Q246" s="526"/>
      <c r="R246" s="526"/>
      <c r="S246" s="526"/>
      <c r="T246" s="526"/>
      <c r="U246" s="526"/>
      <c r="V246" s="526"/>
      <c r="W246" s="526"/>
      <c r="X246" s="526"/>
      <c r="Y246" s="526"/>
      <c r="Z246" s="526"/>
      <c r="AA246" s="526"/>
      <c r="AB246" s="526"/>
      <c r="AC246" s="526"/>
      <c r="AD246" s="526"/>
      <c r="AE246" s="526"/>
      <c r="AF246" s="526"/>
      <c r="AG246" s="526"/>
      <c r="AH246" s="526"/>
      <c r="AI246" s="526"/>
      <c r="AJ246" s="526"/>
      <c r="AK246" s="526"/>
      <c r="AL246" s="526"/>
      <c r="AM246" s="526"/>
      <c r="AN246" s="526"/>
      <c r="AO246" s="526"/>
      <c r="AP246" s="526"/>
      <c r="AQ246" s="526"/>
      <c r="AR246" s="526"/>
      <c r="AS246" s="526"/>
      <c r="AT246" s="526"/>
      <c r="AU246" s="526"/>
      <c r="AV246" s="526"/>
      <c r="AW246" s="526"/>
      <c r="AX246" s="526"/>
    </row>
    <row r="247" spans="1:50" ht="72" x14ac:dyDescent="0.45">
      <c r="A247" s="629" t="s">
        <v>136</v>
      </c>
      <c r="B247" s="627" t="s">
        <v>336</v>
      </c>
      <c r="C247" s="514" t="s">
        <v>840</v>
      </c>
      <c r="D247" s="630" t="s">
        <v>336</v>
      </c>
      <c r="E247" s="514" t="s">
        <v>1195</v>
      </c>
      <c r="F247" s="630" t="s">
        <v>336</v>
      </c>
      <c r="G247" s="630" t="s">
        <v>336</v>
      </c>
      <c r="H247" s="630" t="s">
        <v>336</v>
      </c>
      <c r="I247" s="631" t="s">
        <v>336</v>
      </c>
      <c r="J247" s="620"/>
      <c r="K247" s="620"/>
      <c r="L247" s="620"/>
      <c r="M247" s="526"/>
      <c r="N247" s="526"/>
      <c r="O247" s="526"/>
      <c r="P247" s="526"/>
      <c r="Q247" s="526"/>
      <c r="R247" s="526"/>
      <c r="S247" s="526"/>
      <c r="T247" s="526"/>
      <c r="U247" s="526"/>
      <c r="V247" s="526"/>
      <c r="W247" s="526"/>
      <c r="X247" s="526"/>
      <c r="Y247" s="526"/>
      <c r="Z247" s="526"/>
      <c r="AA247" s="526"/>
      <c r="AB247" s="526"/>
      <c r="AC247" s="526"/>
      <c r="AD247" s="526"/>
      <c r="AE247" s="526"/>
      <c r="AF247" s="526"/>
      <c r="AG247" s="526"/>
      <c r="AH247" s="526"/>
      <c r="AI247" s="526"/>
      <c r="AJ247" s="526"/>
      <c r="AK247" s="526"/>
      <c r="AL247" s="526"/>
      <c r="AM247" s="526"/>
      <c r="AN247" s="526"/>
      <c r="AO247" s="526"/>
      <c r="AP247" s="526"/>
      <c r="AQ247" s="526"/>
      <c r="AR247" s="526"/>
      <c r="AS247" s="526"/>
      <c r="AT247" s="526"/>
      <c r="AU247" s="526"/>
      <c r="AV247" s="526"/>
      <c r="AW247" s="526"/>
      <c r="AX247" s="526"/>
    </row>
    <row r="248" spans="1:50" ht="240" x14ac:dyDescent="0.45">
      <c r="A248" s="629" t="s">
        <v>189</v>
      </c>
      <c r="B248" s="627" t="s">
        <v>336</v>
      </c>
      <c r="C248" s="514" t="s">
        <v>1240</v>
      </c>
      <c r="D248" s="630" t="s">
        <v>336</v>
      </c>
      <c r="E248" s="514" t="s">
        <v>1241</v>
      </c>
      <c r="F248" s="630" t="s">
        <v>336</v>
      </c>
      <c r="G248" s="630" t="s">
        <v>336</v>
      </c>
      <c r="H248" s="630" t="s">
        <v>336</v>
      </c>
      <c r="I248" s="631" t="s">
        <v>336</v>
      </c>
      <c r="J248" s="620"/>
      <c r="K248" s="620"/>
      <c r="L248" s="620"/>
      <c r="M248" s="526"/>
      <c r="N248" s="526"/>
      <c r="O248" s="526"/>
      <c r="P248" s="526"/>
      <c r="Q248" s="526"/>
      <c r="R248" s="526"/>
      <c r="S248" s="526"/>
      <c r="T248" s="526"/>
      <c r="U248" s="526"/>
      <c r="V248" s="526"/>
      <c r="W248" s="526"/>
      <c r="X248" s="526"/>
      <c r="Y248" s="526"/>
      <c r="Z248" s="526"/>
      <c r="AA248" s="526"/>
      <c r="AB248" s="526"/>
      <c r="AC248" s="526"/>
      <c r="AD248" s="526"/>
      <c r="AE248" s="526"/>
      <c r="AF248" s="526"/>
      <c r="AG248" s="526"/>
      <c r="AH248" s="526"/>
      <c r="AI248" s="526"/>
      <c r="AJ248" s="526"/>
      <c r="AK248" s="526"/>
      <c r="AL248" s="526"/>
      <c r="AM248" s="526"/>
      <c r="AN248" s="526"/>
      <c r="AO248" s="526"/>
      <c r="AP248" s="526"/>
      <c r="AQ248" s="526"/>
      <c r="AR248" s="526"/>
      <c r="AS248" s="526"/>
      <c r="AT248" s="526"/>
      <c r="AU248" s="526"/>
      <c r="AV248" s="526"/>
      <c r="AW248" s="526"/>
      <c r="AX248" s="526"/>
    </row>
    <row r="249" spans="1:50" ht="96" x14ac:dyDescent="0.45">
      <c r="A249" s="629" t="s">
        <v>189</v>
      </c>
      <c r="B249" s="627" t="s">
        <v>336</v>
      </c>
      <c r="C249" s="514" t="s">
        <v>1242</v>
      </c>
      <c r="D249" s="630" t="s">
        <v>336</v>
      </c>
      <c r="E249" s="514" t="s">
        <v>1243</v>
      </c>
      <c r="F249" s="630" t="s">
        <v>336</v>
      </c>
      <c r="G249" s="630" t="s">
        <v>336</v>
      </c>
      <c r="H249" s="630" t="s">
        <v>336</v>
      </c>
      <c r="I249" s="631" t="s">
        <v>336</v>
      </c>
      <c r="J249" s="620"/>
      <c r="K249" s="620"/>
      <c r="L249" s="620"/>
      <c r="M249" s="526"/>
      <c r="N249" s="526"/>
      <c r="O249" s="526"/>
      <c r="P249" s="526"/>
      <c r="Q249" s="526"/>
      <c r="R249" s="526"/>
      <c r="S249" s="526"/>
      <c r="T249" s="526"/>
      <c r="U249" s="526"/>
      <c r="V249" s="526"/>
      <c r="W249" s="526"/>
      <c r="X249" s="526"/>
      <c r="Y249" s="526"/>
      <c r="Z249" s="526"/>
      <c r="AA249" s="526"/>
      <c r="AB249" s="526"/>
      <c r="AC249" s="526"/>
      <c r="AD249" s="526"/>
      <c r="AE249" s="526"/>
      <c r="AF249" s="526"/>
      <c r="AG249" s="526"/>
      <c r="AH249" s="526"/>
      <c r="AI249" s="526"/>
      <c r="AJ249" s="526"/>
      <c r="AK249" s="526"/>
      <c r="AL249" s="526"/>
      <c r="AM249" s="526"/>
      <c r="AN249" s="526"/>
      <c r="AO249" s="526"/>
      <c r="AP249" s="526"/>
      <c r="AQ249" s="526"/>
      <c r="AR249" s="526"/>
      <c r="AS249" s="526"/>
      <c r="AT249" s="526"/>
      <c r="AU249" s="526"/>
      <c r="AV249" s="526"/>
      <c r="AW249" s="526"/>
      <c r="AX249" s="526"/>
    </row>
    <row r="250" spans="1:50" ht="168" x14ac:dyDescent="0.45">
      <c r="A250" s="629" t="s">
        <v>845</v>
      </c>
      <c r="B250" s="627" t="s">
        <v>336</v>
      </c>
      <c r="C250" s="514" t="s">
        <v>880</v>
      </c>
      <c r="D250" s="630" t="s">
        <v>336</v>
      </c>
      <c r="E250" s="514" t="s">
        <v>1196</v>
      </c>
      <c r="F250" s="630" t="s">
        <v>336</v>
      </c>
      <c r="G250" s="630" t="s">
        <v>336</v>
      </c>
      <c r="H250" s="630" t="s">
        <v>336</v>
      </c>
      <c r="I250" s="631" t="s">
        <v>336</v>
      </c>
      <c r="J250" s="620"/>
      <c r="K250" s="620"/>
      <c r="L250" s="620"/>
      <c r="M250" s="526"/>
      <c r="N250" s="526"/>
      <c r="O250" s="526"/>
      <c r="P250" s="526"/>
      <c r="Q250" s="526"/>
      <c r="R250" s="526"/>
      <c r="S250" s="526"/>
      <c r="T250" s="526"/>
      <c r="U250" s="526"/>
      <c r="V250" s="526"/>
      <c r="W250" s="526"/>
      <c r="X250" s="526"/>
      <c r="Y250" s="526"/>
      <c r="Z250" s="526"/>
      <c r="AA250" s="526"/>
      <c r="AB250" s="526"/>
      <c r="AC250" s="526"/>
      <c r="AD250" s="526"/>
      <c r="AE250" s="526"/>
      <c r="AF250" s="526"/>
      <c r="AG250" s="526"/>
      <c r="AH250" s="526"/>
      <c r="AI250" s="526"/>
      <c r="AJ250" s="526"/>
      <c r="AK250" s="526"/>
      <c r="AL250" s="526"/>
      <c r="AM250" s="526"/>
      <c r="AN250" s="526"/>
      <c r="AO250" s="526"/>
      <c r="AP250" s="526"/>
      <c r="AQ250" s="526"/>
      <c r="AR250" s="526"/>
      <c r="AS250" s="526"/>
      <c r="AT250" s="526"/>
      <c r="AU250" s="526"/>
      <c r="AV250" s="526"/>
      <c r="AW250" s="526"/>
      <c r="AX250" s="526"/>
    </row>
    <row r="251" spans="1:50" ht="72" x14ac:dyDescent="0.45">
      <c r="A251" s="629" t="s">
        <v>189</v>
      </c>
      <c r="B251" s="627" t="s">
        <v>336</v>
      </c>
      <c r="C251" s="514" t="s">
        <v>866</v>
      </c>
      <c r="D251" s="630" t="s">
        <v>336</v>
      </c>
      <c r="E251" s="514" t="s">
        <v>1218</v>
      </c>
      <c r="F251" s="630" t="s">
        <v>336</v>
      </c>
      <c r="G251" s="630" t="s">
        <v>336</v>
      </c>
      <c r="H251" s="630" t="s">
        <v>336</v>
      </c>
      <c r="I251" s="631" t="s">
        <v>336</v>
      </c>
      <c r="J251" s="620"/>
      <c r="K251" s="620"/>
      <c r="L251" s="620"/>
      <c r="M251" s="526"/>
      <c r="N251" s="526"/>
      <c r="O251" s="526"/>
      <c r="P251" s="526"/>
      <c r="Q251" s="526"/>
      <c r="R251" s="526"/>
      <c r="S251" s="526"/>
      <c r="T251" s="526"/>
      <c r="U251" s="526"/>
      <c r="V251" s="526"/>
      <c r="W251" s="526"/>
      <c r="X251" s="526"/>
      <c r="Y251" s="526"/>
      <c r="Z251" s="526"/>
      <c r="AA251" s="526"/>
      <c r="AB251" s="526"/>
      <c r="AC251" s="526"/>
      <c r="AD251" s="526"/>
      <c r="AE251" s="526"/>
      <c r="AF251" s="526"/>
      <c r="AG251" s="526"/>
      <c r="AH251" s="526"/>
      <c r="AI251" s="526"/>
      <c r="AJ251" s="526"/>
      <c r="AK251" s="526"/>
      <c r="AL251" s="526"/>
      <c r="AM251" s="526"/>
      <c r="AN251" s="526"/>
      <c r="AO251" s="526"/>
      <c r="AP251" s="526"/>
      <c r="AQ251" s="526"/>
      <c r="AR251" s="526"/>
      <c r="AS251" s="526"/>
      <c r="AT251" s="526"/>
      <c r="AU251" s="526"/>
      <c r="AV251" s="526"/>
      <c r="AW251" s="526"/>
      <c r="AX251" s="526"/>
    </row>
    <row r="252" spans="1:50" ht="24" x14ac:dyDescent="0.45">
      <c r="A252" s="628" t="s">
        <v>1143</v>
      </c>
      <c r="B252" s="627" t="s">
        <v>336</v>
      </c>
      <c r="C252" s="756" t="s">
        <v>1244</v>
      </c>
      <c r="D252" s="756"/>
      <c r="E252" s="756"/>
      <c r="F252" s="756"/>
      <c r="G252" s="756"/>
      <c r="H252" s="756"/>
      <c r="I252" s="757"/>
      <c r="J252" s="620"/>
      <c r="K252" s="620"/>
      <c r="L252" s="620"/>
      <c r="M252" s="526"/>
      <c r="N252" s="526"/>
      <c r="O252" s="526"/>
      <c r="P252" s="526"/>
      <c r="Q252" s="526"/>
      <c r="R252" s="526"/>
      <c r="S252" s="526"/>
      <c r="T252" s="526"/>
      <c r="U252" s="526"/>
      <c r="V252" s="526"/>
      <c r="W252" s="526"/>
      <c r="X252" s="526"/>
      <c r="Y252" s="526"/>
      <c r="Z252" s="526"/>
      <c r="AA252" s="526"/>
      <c r="AB252" s="526"/>
      <c r="AC252" s="526"/>
      <c r="AD252" s="526"/>
      <c r="AE252" s="526"/>
      <c r="AF252" s="526"/>
      <c r="AG252" s="526"/>
      <c r="AH252" s="526"/>
      <c r="AI252" s="526"/>
      <c r="AJ252" s="526"/>
      <c r="AK252" s="526"/>
      <c r="AL252" s="526"/>
      <c r="AM252" s="526"/>
      <c r="AN252" s="526"/>
      <c r="AO252" s="526"/>
      <c r="AP252" s="526"/>
      <c r="AQ252" s="526"/>
      <c r="AR252" s="526"/>
      <c r="AS252" s="526"/>
      <c r="AT252" s="526"/>
      <c r="AU252" s="526"/>
      <c r="AV252" s="526"/>
      <c r="AW252" s="526"/>
      <c r="AX252" s="526"/>
    </row>
    <row r="253" spans="1:50" ht="192" x14ac:dyDescent="0.45">
      <c r="A253" s="629" t="s">
        <v>825</v>
      </c>
      <c r="B253" s="627" t="s">
        <v>336</v>
      </c>
      <c r="C253" s="514" t="s">
        <v>1245</v>
      </c>
      <c r="D253" s="630" t="s">
        <v>336</v>
      </c>
      <c r="E253" s="514" t="s">
        <v>1246</v>
      </c>
      <c r="F253" s="630" t="s">
        <v>336</v>
      </c>
      <c r="G253" s="630" t="s">
        <v>336</v>
      </c>
      <c r="H253" s="630" t="s">
        <v>336</v>
      </c>
      <c r="I253" s="631" t="s">
        <v>336</v>
      </c>
      <c r="J253" s="620"/>
      <c r="K253" s="620"/>
      <c r="L253" s="620"/>
      <c r="M253" s="526"/>
      <c r="N253" s="526"/>
      <c r="O253" s="526"/>
      <c r="P253" s="526"/>
      <c r="Q253" s="526"/>
      <c r="R253" s="526"/>
      <c r="S253" s="526"/>
      <c r="T253" s="526"/>
      <c r="U253" s="526"/>
      <c r="V253" s="526"/>
      <c r="W253" s="526"/>
      <c r="X253" s="526"/>
      <c r="Y253" s="526"/>
      <c r="Z253" s="526"/>
      <c r="AA253" s="526"/>
      <c r="AB253" s="526"/>
      <c r="AC253" s="526"/>
      <c r="AD253" s="526"/>
      <c r="AE253" s="526"/>
      <c r="AF253" s="526"/>
      <c r="AG253" s="526"/>
      <c r="AH253" s="526"/>
      <c r="AI253" s="526"/>
      <c r="AJ253" s="526"/>
      <c r="AK253" s="526"/>
      <c r="AL253" s="526"/>
      <c r="AM253" s="526"/>
      <c r="AN253" s="526"/>
      <c r="AO253" s="526"/>
      <c r="AP253" s="526"/>
      <c r="AQ253" s="526"/>
      <c r="AR253" s="526"/>
      <c r="AS253" s="526"/>
      <c r="AT253" s="526"/>
      <c r="AU253" s="526"/>
      <c r="AV253" s="526"/>
      <c r="AW253" s="526"/>
      <c r="AX253" s="526"/>
    </row>
    <row r="254" spans="1:50" ht="96" x14ac:dyDescent="0.45">
      <c r="A254" s="629" t="s">
        <v>11</v>
      </c>
      <c r="B254" s="627" t="s">
        <v>336</v>
      </c>
      <c r="C254" s="514" t="s">
        <v>869</v>
      </c>
      <c r="D254" s="630" t="s">
        <v>336</v>
      </c>
      <c r="E254" s="514" t="s">
        <v>915</v>
      </c>
      <c r="F254" s="630" t="s">
        <v>336</v>
      </c>
      <c r="G254" s="630" t="s">
        <v>336</v>
      </c>
      <c r="H254" s="630" t="s">
        <v>336</v>
      </c>
      <c r="I254" s="631" t="s">
        <v>336</v>
      </c>
      <c r="J254" s="620"/>
      <c r="K254" s="620"/>
      <c r="L254" s="620"/>
      <c r="M254" s="526"/>
      <c r="N254" s="526"/>
      <c r="O254" s="526"/>
      <c r="P254" s="526"/>
      <c r="Q254" s="526"/>
      <c r="R254" s="526"/>
      <c r="S254" s="526"/>
      <c r="T254" s="526"/>
      <c r="U254" s="526"/>
      <c r="V254" s="526"/>
      <c r="W254" s="526"/>
      <c r="X254" s="526"/>
      <c r="Y254" s="526"/>
      <c r="Z254" s="526"/>
      <c r="AA254" s="526"/>
      <c r="AB254" s="526"/>
      <c r="AC254" s="526"/>
      <c r="AD254" s="526"/>
      <c r="AE254" s="526"/>
      <c r="AF254" s="526"/>
      <c r="AG254" s="526"/>
      <c r="AH254" s="526"/>
      <c r="AI254" s="526"/>
      <c r="AJ254" s="526"/>
      <c r="AK254" s="526"/>
      <c r="AL254" s="526"/>
      <c r="AM254" s="526"/>
      <c r="AN254" s="526"/>
      <c r="AO254" s="526"/>
      <c r="AP254" s="526"/>
      <c r="AQ254" s="526"/>
      <c r="AR254" s="526"/>
      <c r="AS254" s="526"/>
      <c r="AT254" s="526"/>
      <c r="AU254" s="526"/>
      <c r="AV254" s="526"/>
      <c r="AW254" s="526"/>
      <c r="AX254" s="526"/>
    </row>
    <row r="255" spans="1:50" ht="96" x14ac:dyDescent="0.45">
      <c r="A255" s="629" t="s">
        <v>45</v>
      </c>
      <c r="B255" s="627" t="s">
        <v>336</v>
      </c>
      <c r="C255" s="514" t="s">
        <v>835</v>
      </c>
      <c r="D255" s="630" t="s">
        <v>336</v>
      </c>
      <c r="E255" s="514" t="s">
        <v>1247</v>
      </c>
      <c r="F255" s="630" t="s">
        <v>336</v>
      </c>
      <c r="G255" s="630" t="s">
        <v>336</v>
      </c>
      <c r="H255" s="630" t="s">
        <v>336</v>
      </c>
      <c r="I255" s="631" t="s">
        <v>336</v>
      </c>
      <c r="J255" s="620"/>
      <c r="K255" s="620"/>
      <c r="L255" s="620"/>
      <c r="M255" s="526"/>
      <c r="N255" s="526"/>
      <c r="O255" s="526"/>
      <c r="P255" s="526"/>
      <c r="Q255" s="526"/>
      <c r="R255" s="526"/>
      <c r="S255" s="526"/>
      <c r="T255" s="526"/>
      <c r="U255" s="526"/>
      <c r="V255" s="526"/>
      <c r="W255" s="526"/>
      <c r="X255" s="526"/>
      <c r="Y255" s="526"/>
      <c r="Z255" s="526"/>
      <c r="AA255" s="526"/>
      <c r="AB255" s="526"/>
      <c r="AC255" s="526"/>
      <c r="AD255" s="526"/>
      <c r="AE255" s="526"/>
      <c r="AF255" s="526"/>
      <c r="AG255" s="526"/>
      <c r="AH255" s="526"/>
      <c r="AI255" s="526"/>
      <c r="AJ255" s="526"/>
      <c r="AK255" s="526"/>
      <c r="AL255" s="526"/>
      <c r="AM255" s="526"/>
      <c r="AN255" s="526"/>
      <c r="AO255" s="526"/>
      <c r="AP255" s="526"/>
      <c r="AQ255" s="526"/>
      <c r="AR255" s="526"/>
      <c r="AS255" s="526"/>
      <c r="AT255" s="526"/>
      <c r="AU255" s="526"/>
      <c r="AV255" s="526"/>
      <c r="AW255" s="526"/>
      <c r="AX255" s="526"/>
    </row>
    <row r="256" spans="1:50" ht="72" x14ac:dyDescent="0.45">
      <c r="A256" s="629" t="s">
        <v>136</v>
      </c>
      <c r="B256" s="627" t="s">
        <v>336</v>
      </c>
      <c r="C256" s="514" t="s">
        <v>840</v>
      </c>
      <c r="D256" s="630" t="s">
        <v>336</v>
      </c>
      <c r="E256" s="514" t="s">
        <v>1195</v>
      </c>
      <c r="F256" s="630" t="s">
        <v>336</v>
      </c>
      <c r="G256" s="630" t="s">
        <v>336</v>
      </c>
      <c r="H256" s="630" t="s">
        <v>336</v>
      </c>
      <c r="I256" s="631" t="s">
        <v>336</v>
      </c>
      <c r="J256" s="620"/>
      <c r="K256" s="620"/>
      <c r="L256" s="620"/>
      <c r="M256" s="526"/>
      <c r="N256" s="526"/>
      <c r="O256" s="526"/>
      <c r="P256" s="526"/>
      <c r="Q256" s="526"/>
      <c r="R256" s="526"/>
      <c r="S256" s="526"/>
      <c r="T256" s="526"/>
      <c r="U256" s="526"/>
      <c r="V256" s="526"/>
      <c r="W256" s="526"/>
      <c r="X256" s="526"/>
      <c r="Y256" s="526"/>
      <c r="Z256" s="526"/>
      <c r="AA256" s="526"/>
      <c r="AB256" s="526"/>
      <c r="AC256" s="526"/>
      <c r="AD256" s="526"/>
      <c r="AE256" s="526"/>
      <c r="AF256" s="526"/>
      <c r="AG256" s="526"/>
      <c r="AH256" s="526"/>
      <c r="AI256" s="526"/>
      <c r="AJ256" s="526"/>
      <c r="AK256" s="526"/>
      <c r="AL256" s="526"/>
      <c r="AM256" s="526"/>
      <c r="AN256" s="526"/>
      <c r="AO256" s="526"/>
      <c r="AP256" s="526"/>
      <c r="AQ256" s="526"/>
      <c r="AR256" s="526"/>
      <c r="AS256" s="526"/>
      <c r="AT256" s="526"/>
      <c r="AU256" s="526"/>
      <c r="AV256" s="526"/>
      <c r="AW256" s="526"/>
      <c r="AX256" s="526"/>
    </row>
    <row r="257" spans="1:50" ht="192" x14ac:dyDescent="0.45">
      <c r="A257" s="629" t="s">
        <v>189</v>
      </c>
      <c r="B257" s="627" t="s">
        <v>336</v>
      </c>
      <c r="C257" s="514" t="s">
        <v>1248</v>
      </c>
      <c r="D257" s="630" t="s">
        <v>336</v>
      </c>
      <c r="E257" s="514" t="s">
        <v>1249</v>
      </c>
      <c r="F257" s="630" t="s">
        <v>336</v>
      </c>
      <c r="G257" s="630" t="s">
        <v>336</v>
      </c>
      <c r="H257" s="630" t="s">
        <v>336</v>
      </c>
      <c r="I257" s="631" t="s">
        <v>336</v>
      </c>
      <c r="J257" s="620"/>
      <c r="K257" s="620"/>
      <c r="L257" s="620"/>
      <c r="M257" s="526"/>
      <c r="N257" s="526"/>
      <c r="O257" s="526"/>
      <c r="P257" s="526"/>
      <c r="Q257" s="526"/>
      <c r="R257" s="526"/>
      <c r="S257" s="526"/>
      <c r="T257" s="526"/>
      <c r="U257" s="526"/>
      <c r="V257" s="526"/>
      <c r="W257" s="526"/>
      <c r="X257" s="526"/>
      <c r="Y257" s="526"/>
      <c r="Z257" s="526"/>
      <c r="AA257" s="526"/>
      <c r="AB257" s="526"/>
      <c r="AC257" s="526"/>
      <c r="AD257" s="526"/>
      <c r="AE257" s="526"/>
      <c r="AF257" s="526"/>
      <c r="AG257" s="526"/>
      <c r="AH257" s="526"/>
      <c r="AI257" s="526"/>
      <c r="AJ257" s="526"/>
      <c r="AK257" s="526"/>
      <c r="AL257" s="526"/>
      <c r="AM257" s="526"/>
      <c r="AN257" s="526"/>
      <c r="AO257" s="526"/>
      <c r="AP257" s="526"/>
      <c r="AQ257" s="526"/>
      <c r="AR257" s="526"/>
      <c r="AS257" s="526"/>
      <c r="AT257" s="526"/>
      <c r="AU257" s="526"/>
      <c r="AV257" s="526"/>
      <c r="AW257" s="526"/>
      <c r="AX257" s="526"/>
    </row>
    <row r="258" spans="1:50" ht="168" x14ac:dyDescent="0.45">
      <c r="A258" s="629" t="s">
        <v>845</v>
      </c>
      <c r="B258" s="627" t="s">
        <v>336</v>
      </c>
      <c r="C258" s="514" t="s">
        <v>880</v>
      </c>
      <c r="D258" s="630" t="s">
        <v>336</v>
      </c>
      <c r="E258" s="514" t="s">
        <v>1196</v>
      </c>
      <c r="F258" s="630" t="s">
        <v>336</v>
      </c>
      <c r="G258" s="630" t="s">
        <v>336</v>
      </c>
      <c r="H258" s="630" t="s">
        <v>336</v>
      </c>
      <c r="I258" s="631" t="s">
        <v>336</v>
      </c>
      <c r="J258" s="620"/>
      <c r="K258" s="620"/>
      <c r="L258" s="620"/>
      <c r="M258" s="526"/>
      <c r="N258" s="526"/>
      <c r="O258" s="526"/>
      <c r="P258" s="526"/>
      <c r="Q258" s="526"/>
      <c r="R258" s="526"/>
      <c r="S258" s="526"/>
      <c r="T258" s="526"/>
      <c r="U258" s="526"/>
      <c r="V258" s="526"/>
      <c r="W258" s="526"/>
      <c r="X258" s="526"/>
      <c r="Y258" s="526"/>
      <c r="Z258" s="526"/>
      <c r="AA258" s="526"/>
      <c r="AB258" s="526"/>
      <c r="AC258" s="526"/>
      <c r="AD258" s="526"/>
      <c r="AE258" s="526"/>
      <c r="AF258" s="526"/>
      <c r="AG258" s="526"/>
      <c r="AH258" s="526"/>
      <c r="AI258" s="526"/>
      <c r="AJ258" s="526"/>
      <c r="AK258" s="526"/>
      <c r="AL258" s="526"/>
      <c r="AM258" s="526"/>
      <c r="AN258" s="526"/>
      <c r="AO258" s="526"/>
      <c r="AP258" s="526"/>
      <c r="AQ258" s="526"/>
      <c r="AR258" s="526"/>
      <c r="AS258" s="526"/>
      <c r="AT258" s="526"/>
      <c r="AU258" s="526"/>
      <c r="AV258" s="526"/>
      <c r="AW258" s="526"/>
      <c r="AX258" s="526"/>
    </row>
    <row r="259" spans="1:50" ht="168" x14ac:dyDescent="0.45">
      <c r="A259" s="629" t="s">
        <v>189</v>
      </c>
      <c r="B259" s="627" t="s">
        <v>336</v>
      </c>
      <c r="C259" s="514" t="s">
        <v>1250</v>
      </c>
      <c r="D259" s="630" t="s">
        <v>336</v>
      </c>
      <c r="E259" s="514" t="s">
        <v>1251</v>
      </c>
      <c r="F259" s="630" t="s">
        <v>336</v>
      </c>
      <c r="G259" s="630" t="s">
        <v>336</v>
      </c>
      <c r="H259" s="630" t="s">
        <v>336</v>
      </c>
      <c r="I259" s="631" t="s">
        <v>336</v>
      </c>
      <c r="J259" s="620"/>
      <c r="K259" s="620"/>
      <c r="L259" s="620"/>
      <c r="M259" s="526"/>
      <c r="N259" s="526"/>
      <c r="O259" s="526"/>
      <c r="P259" s="526"/>
      <c r="Q259" s="526"/>
      <c r="R259" s="526"/>
      <c r="S259" s="526"/>
      <c r="T259" s="526"/>
      <c r="U259" s="526"/>
      <c r="V259" s="526"/>
      <c r="W259" s="526"/>
      <c r="X259" s="526"/>
      <c r="Y259" s="526"/>
      <c r="Z259" s="526"/>
      <c r="AA259" s="526"/>
      <c r="AB259" s="526"/>
      <c r="AC259" s="526"/>
      <c r="AD259" s="526"/>
      <c r="AE259" s="526"/>
      <c r="AF259" s="526"/>
      <c r="AG259" s="526"/>
      <c r="AH259" s="526"/>
      <c r="AI259" s="526"/>
      <c r="AJ259" s="526"/>
      <c r="AK259" s="526"/>
      <c r="AL259" s="526"/>
      <c r="AM259" s="526"/>
      <c r="AN259" s="526"/>
      <c r="AO259" s="526"/>
      <c r="AP259" s="526"/>
      <c r="AQ259" s="526"/>
      <c r="AR259" s="526"/>
      <c r="AS259" s="526"/>
      <c r="AT259" s="526"/>
      <c r="AU259" s="526"/>
      <c r="AV259" s="526"/>
      <c r="AW259" s="526"/>
      <c r="AX259" s="526"/>
    </row>
    <row r="260" spans="1:50" ht="24" x14ac:dyDescent="0.45">
      <c r="A260" s="626" t="s">
        <v>1145</v>
      </c>
      <c r="B260" s="627" t="s">
        <v>336</v>
      </c>
      <c r="C260" s="758" t="s">
        <v>1252</v>
      </c>
      <c r="D260" s="758"/>
      <c r="E260" s="758"/>
      <c r="F260" s="758"/>
      <c r="G260" s="758"/>
      <c r="H260" s="758"/>
      <c r="I260" s="759"/>
      <c r="J260" s="620"/>
      <c r="K260" s="620"/>
      <c r="L260" s="620"/>
      <c r="M260" s="526"/>
      <c r="N260" s="526"/>
      <c r="O260" s="526"/>
      <c r="P260" s="526"/>
      <c r="Q260" s="526"/>
      <c r="R260" s="526"/>
      <c r="S260" s="526"/>
      <c r="T260" s="526"/>
      <c r="U260" s="526"/>
      <c r="V260" s="526"/>
      <c r="W260" s="526"/>
      <c r="X260" s="526"/>
      <c r="Y260" s="526"/>
      <c r="Z260" s="526"/>
      <c r="AA260" s="526"/>
      <c r="AB260" s="526"/>
      <c r="AC260" s="526"/>
      <c r="AD260" s="526"/>
      <c r="AE260" s="526"/>
      <c r="AF260" s="526"/>
      <c r="AG260" s="526"/>
      <c r="AH260" s="526"/>
      <c r="AI260" s="526"/>
      <c r="AJ260" s="526"/>
      <c r="AK260" s="526"/>
      <c r="AL260" s="526"/>
      <c r="AM260" s="526"/>
      <c r="AN260" s="526"/>
      <c r="AO260" s="526"/>
      <c r="AP260" s="526"/>
      <c r="AQ260" s="526"/>
      <c r="AR260" s="526"/>
      <c r="AS260" s="526"/>
      <c r="AT260" s="526"/>
      <c r="AU260" s="526"/>
      <c r="AV260" s="526"/>
      <c r="AW260" s="526"/>
      <c r="AX260" s="526"/>
    </row>
    <row r="261" spans="1:50" ht="24" x14ac:dyDescent="0.45">
      <c r="A261" s="628" t="s">
        <v>1147</v>
      </c>
      <c r="B261" s="627" t="s">
        <v>336</v>
      </c>
      <c r="C261" s="756" t="s">
        <v>1148</v>
      </c>
      <c r="D261" s="756"/>
      <c r="E261" s="756"/>
      <c r="F261" s="756"/>
      <c r="G261" s="756"/>
      <c r="H261" s="756"/>
      <c r="I261" s="757"/>
      <c r="J261" s="620"/>
      <c r="K261" s="620"/>
      <c r="L261" s="620"/>
      <c r="M261" s="526"/>
      <c r="N261" s="526"/>
      <c r="O261" s="526"/>
      <c r="P261" s="526"/>
      <c r="Q261" s="526"/>
      <c r="R261" s="526"/>
      <c r="S261" s="526"/>
      <c r="T261" s="526"/>
      <c r="U261" s="526"/>
      <c r="V261" s="526"/>
      <c r="W261" s="526"/>
      <c r="X261" s="526"/>
      <c r="Y261" s="526"/>
      <c r="Z261" s="526"/>
      <c r="AA261" s="526"/>
      <c r="AB261" s="526"/>
      <c r="AC261" s="526"/>
      <c r="AD261" s="526"/>
      <c r="AE261" s="526"/>
      <c r="AF261" s="526"/>
      <c r="AG261" s="526"/>
      <c r="AH261" s="526"/>
      <c r="AI261" s="526"/>
      <c r="AJ261" s="526"/>
      <c r="AK261" s="526"/>
      <c r="AL261" s="526"/>
      <c r="AM261" s="526"/>
      <c r="AN261" s="526"/>
      <c r="AO261" s="526"/>
      <c r="AP261" s="526"/>
      <c r="AQ261" s="526"/>
      <c r="AR261" s="526"/>
      <c r="AS261" s="526"/>
      <c r="AT261" s="526"/>
      <c r="AU261" s="526"/>
      <c r="AV261" s="526"/>
      <c r="AW261" s="526"/>
      <c r="AX261" s="526"/>
    </row>
    <row r="262" spans="1:50" ht="96" x14ac:dyDescent="0.45">
      <c r="A262" s="629" t="s">
        <v>825</v>
      </c>
      <c r="B262" s="627" t="s">
        <v>336</v>
      </c>
      <c r="C262" s="514" t="s">
        <v>1253</v>
      </c>
      <c r="D262" s="630" t="s">
        <v>336</v>
      </c>
      <c r="E262" s="514" t="s">
        <v>1254</v>
      </c>
      <c r="F262" s="630" t="s">
        <v>336</v>
      </c>
      <c r="G262" s="630" t="s">
        <v>336</v>
      </c>
      <c r="H262" s="630" t="s">
        <v>336</v>
      </c>
      <c r="I262" s="631" t="s">
        <v>336</v>
      </c>
      <c r="J262" s="620"/>
      <c r="K262" s="620"/>
      <c r="L262" s="620"/>
      <c r="M262" s="526"/>
      <c r="N262" s="526"/>
      <c r="O262" s="526"/>
      <c r="P262" s="526"/>
      <c r="Q262" s="526"/>
      <c r="R262" s="526"/>
      <c r="S262" s="526"/>
      <c r="T262" s="526"/>
      <c r="U262" s="526"/>
      <c r="V262" s="526"/>
      <c r="W262" s="526"/>
      <c r="X262" s="526"/>
      <c r="Y262" s="526"/>
      <c r="Z262" s="526"/>
      <c r="AA262" s="526"/>
      <c r="AB262" s="526"/>
      <c r="AC262" s="526"/>
      <c r="AD262" s="526"/>
      <c r="AE262" s="526"/>
      <c r="AF262" s="526"/>
      <c r="AG262" s="526"/>
      <c r="AH262" s="526"/>
      <c r="AI262" s="526"/>
      <c r="AJ262" s="526"/>
      <c r="AK262" s="526"/>
      <c r="AL262" s="526"/>
      <c r="AM262" s="526"/>
      <c r="AN262" s="526"/>
      <c r="AO262" s="526"/>
      <c r="AP262" s="526"/>
      <c r="AQ262" s="526"/>
      <c r="AR262" s="526"/>
      <c r="AS262" s="526"/>
      <c r="AT262" s="526"/>
      <c r="AU262" s="526"/>
      <c r="AV262" s="526"/>
      <c r="AW262" s="526"/>
      <c r="AX262" s="526"/>
    </row>
    <row r="263" spans="1:50" ht="168" x14ac:dyDescent="0.45">
      <c r="A263" s="629" t="s">
        <v>825</v>
      </c>
      <c r="B263" s="627" t="s">
        <v>336</v>
      </c>
      <c r="C263" s="514" t="s">
        <v>1255</v>
      </c>
      <c r="D263" s="630" t="s">
        <v>336</v>
      </c>
      <c r="E263" s="514" t="s">
        <v>1256</v>
      </c>
      <c r="F263" s="630" t="s">
        <v>336</v>
      </c>
      <c r="G263" s="630" t="s">
        <v>336</v>
      </c>
      <c r="H263" s="630" t="s">
        <v>336</v>
      </c>
      <c r="I263" s="631" t="s">
        <v>336</v>
      </c>
      <c r="J263" s="620"/>
      <c r="K263" s="620"/>
      <c r="L263" s="620"/>
      <c r="M263" s="526"/>
      <c r="N263" s="526"/>
      <c r="O263" s="526"/>
      <c r="P263" s="526"/>
      <c r="Q263" s="526"/>
      <c r="R263" s="526"/>
      <c r="S263" s="526"/>
      <c r="T263" s="526"/>
      <c r="U263" s="526"/>
      <c r="V263" s="526"/>
      <c r="W263" s="526"/>
      <c r="X263" s="526"/>
      <c r="Y263" s="526"/>
      <c r="Z263" s="526"/>
      <c r="AA263" s="526"/>
      <c r="AB263" s="526"/>
      <c r="AC263" s="526"/>
      <c r="AD263" s="526"/>
      <c r="AE263" s="526"/>
      <c r="AF263" s="526"/>
      <c r="AG263" s="526"/>
      <c r="AH263" s="526"/>
      <c r="AI263" s="526"/>
      <c r="AJ263" s="526"/>
      <c r="AK263" s="526"/>
      <c r="AL263" s="526"/>
      <c r="AM263" s="526"/>
      <c r="AN263" s="526"/>
      <c r="AO263" s="526"/>
      <c r="AP263" s="526"/>
      <c r="AQ263" s="526"/>
      <c r="AR263" s="526"/>
      <c r="AS263" s="526"/>
      <c r="AT263" s="526"/>
      <c r="AU263" s="526"/>
      <c r="AV263" s="526"/>
      <c r="AW263" s="526"/>
      <c r="AX263" s="526"/>
    </row>
    <row r="264" spans="1:50" ht="120" x14ac:dyDescent="0.45">
      <c r="A264" s="629" t="s">
        <v>136</v>
      </c>
      <c r="B264" s="627" t="s">
        <v>336</v>
      </c>
      <c r="C264" s="514" t="s">
        <v>1257</v>
      </c>
      <c r="D264" s="630" t="s">
        <v>336</v>
      </c>
      <c r="E264" s="514" t="s">
        <v>1258</v>
      </c>
      <c r="F264" s="630" t="s">
        <v>336</v>
      </c>
      <c r="G264" s="630" t="s">
        <v>336</v>
      </c>
      <c r="H264" s="630" t="s">
        <v>336</v>
      </c>
      <c r="I264" s="631" t="s">
        <v>336</v>
      </c>
      <c r="J264" s="620"/>
      <c r="K264" s="620"/>
      <c r="L264" s="620"/>
      <c r="M264" s="526"/>
      <c r="N264" s="526"/>
      <c r="O264" s="526"/>
      <c r="P264" s="526"/>
      <c r="Q264" s="526"/>
      <c r="R264" s="526"/>
      <c r="S264" s="526"/>
      <c r="T264" s="526"/>
      <c r="U264" s="526"/>
      <c r="V264" s="526"/>
      <c r="W264" s="526"/>
      <c r="X264" s="526"/>
      <c r="Y264" s="526"/>
      <c r="Z264" s="526"/>
      <c r="AA264" s="526"/>
      <c r="AB264" s="526"/>
      <c r="AC264" s="526"/>
      <c r="AD264" s="526"/>
      <c r="AE264" s="526"/>
      <c r="AF264" s="526"/>
      <c r="AG264" s="526"/>
      <c r="AH264" s="526"/>
      <c r="AI264" s="526"/>
      <c r="AJ264" s="526"/>
      <c r="AK264" s="526"/>
      <c r="AL264" s="526"/>
      <c r="AM264" s="526"/>
      <c r="AN264" s="526"/>
      <c r="AO264" s="526"/>
      <c r="AP264" s="526"/>
      <c r="AQ264" s="526"/>
      <c r="AR264" s="526"/>
      <c r="AS264" s="526"/>
      <c r="AT264" s="526"/>
      <c r="AU264" s="526"/>
      <c r="AV264" s="526"/>
      <c r="AW264" s="526"/>
      <c r="AX264" s="526"/>
    </row>
    <row r="265" spans="1:50" ht="96" x14ac:dyDescent="0.45">
      <c r="A265" s="629" t="s">
        <v>845</v>
      </c>
      <c r="B265" s="627" t="s">
        <v>336</v>
      </c>
      <c r="C265" s="514" t="s">
        <v>1259</v>
      </c>
      <c r="D265" s="630" t="s">
        <v>336</v>
      </c>
      <c r="E265" s="514" t="s">
        <v>1260</v>
      </c>
      <c r="F265" s="630" t="s">
        <v>336</v>
      </c>
      <c r="G265" s="630" t="s">
        <v>336</v>
      </c>
      <c r="H265" s="630" t="s">
        <v>336</v>
      </c>
      <c r="I265" s="631" t="s">
        <v>336</v>
      </c>
      <c r="J265" s="620"/>
      <c r="K265" s="620"/>
      <c r="L265" s="620"/>
      <c r="M265" s="526"/>
      <c r="N265" s="526"/>
      <c r="O265" s="526"/>
      <c r="P265" s="526"/>
      <c r="Q265" s="526"/>
      <c r="R265" s="526"/>
      <c r="S265" s="526"/>
      <c r="T265" s="526"/>
      <c r="U265" s="526"/>
      <c r="V265" s="526"/>
      <c r="W265" s="526"/>
      <c r="X265" s="526"/>
      <c r="Y265" s="526"/>
      <c r="Z265" s="526"/>
      <c r="AA265" s="526"/>
      <c r="AB265" s="526"/>
      <c r="AC265" s="526"/>
      <c r="AD265" s="526"/>
      <c r="AE265" s="526"/>
      <c r="AF265" s="526"/>
      <c r="AG265" s="526"/>
      <c r="AH265" s="526"/>
      <c r="AI265" s="526"/>
      <c r="AJ265" s="526"/>
      <c r="AK265" s="526"/>
      <c r="AL265" s="526"/>
      <c r="AM265" s="526"/>
      <c r="AN265" s="526"/>
      <c r="AO265" s="526"/>
      <c r="AP265" s="526"/>
      <c r="AQ265" s="526"/>
      <c r="AR265" s="526"/>
      <c r="AS265" s="526"/>
      <c r="AT265" s="526"/>
      <c r="AU265" s="526"/>
      <c r="AV265" s="526"/>
      <c r="AW265" s="526"/>
      <c r="AX265" s="526"/>
    </row>
    <row r="266" spans="1:50" ht="144" x14ac:dyDescent="0.45">
      <c r="A266" s="629" t="s">
        <v>825</v>
      </c>
      <c r="B266" s="627" t="s">
        <v>336</v>
      </c>
      <c r="C266" s="514" t="s">
        <v>1261</v>
      </c>
      <c r="D266" s="630" t="s">
        <v>336</v>
      </c>
      <c r="E266" s="514" t="s">
        <v>1262</v>
      </c>
      <c r="F266" s="630" t="s">
        <v>336</v>
      </c>
      <c r="G266" s="630" t="s">
        <v>336</v>
      </c>
      <c r="H266" s="630" t="s">
        <v>336</v>
      </c>
      <c r="I266" s="631" t="s">
        <v>336</v>
      </c>
      <c r="J266" s="620"/>
      <c r="K266" s="620"/>
      <c r="L266" s="620"/>
      <c r="M266" s="526"/>
      <c r="N266" s="526"/>
      <c r="O266" s="526"/>
      <c r="P266" s="526"/>
      <c r="Q266" s="526"/>
      <c r="R266" s="526"/>
      <c r="S266" s="526"/>
      <c r="T266" s="526"/>
      <c r="U266" s="526"/>
      <c r="V266" s="526"/>
      <c r="W266" s="526"/>
      <c r="X266" s="526"/>
      <c r="Y266" s="526"/>
      <c r="Z266" s="526"/>
      <c r="AA266" s="526"/>
      <c r="AB266" s="526"/>
      <c r="AC266" s="526"/>
      <c r="AD266" s="526"/>
      <c r="AE266" s="526"/>
      <c r="AF266" s="526"/>
      <c r="AG266" s="526"/>
      <c r="AH266" s="526"/>
      <c r="AI266" s="526"/>
      <c r="AJ266" s="526"/>
      <c r="AK266" s="526"/>
      <c r="AL266" s="526"/>
      <c r="AM266" s="526"/>
      <c r="AN266" s="526"/>
      <c r="AO266" s="526"/>
      <c r="AP266" s="526"/>
      <c r="AQ266" s="526"/>
      <c r="AR266" s="526"/>
      <c r="AS266" s="526"/>
      <c r="AT266" s="526"/>
      <c r="AU266" s="526"/>
      <c r="AV266" s="526"/>
      <c r="AW266" s="526"/>
      <c r="AX266" s="526"/>
    </row>
    <row r="267" spans="1:50" ht="24" x14ac:dyDescent="0.45">
      <c r="A267" s="628" t="s">
        <v>1149</v>
      </c>
      <c r="B267" s="627" t="s">
        <v>336</v>
      </c>
      <c r="C267" s="756" t="s">
        <v>1150</v>
      </c>
      <c r="D267" s="756"/>
      <c r="E267" s="756"/>
      <c r="F267" s="756"/>
      <c r="G267" s="756"/>
      <c r="H267" s="756"/>
      <c r="I267" s="757"/>
      <c r="J267" s="620"/>
      <c r="K267" s="620"/>
      <c r="L267" s="620"/>
      <c r="M267" s="526"/>
      <c r="N267" s="526"/>
      <c r="O267" s="526"/>
      <c r="P267" s="526"/>
      <c r="Q267" s="526"/>
      <c r="R267" s="526"/>
      <c r="S267" s="526"/>
      <c r="T267" s="526"/>
      <c r="U267" s="526"/>
      <c r="V267" s="526"/>
      <c r="W267" s="526"/>
      <c r="X267" s="526"/>
      <c r="Y267" s="526"/>
      <c r="Z267" s="526"/>
      <c r="AA267" s="526"/>
      <c r="AB267" s="526"/>
      <c r="AC267" s="526"/>
      <c r="AD267" s="526"/>
      <c r="AE267" s="526"/>
      <c r="AF267" s="526"/>
      <c r="AG267" s="526"/>
      <c r="AH267" s="526"/>
      <c r="AI267" s="526"/>
      <c r="AJ267" s="526"/>
      <c r="AK267" s="526"/>
      <c r="AL267" s="526"/>
      <c r="AM267" s="526"/>
      <c r="AN267" s="526"/>
      <c r="AO267" s="526"/>
      <c r="AP267" s="526"/>
      <c r="AQ267" s="526"/>
      <c r="AR267" s="526"/>
      <c r="AS267" s="526"/>
      <c r="AT267" s="526"/>
      <c r="AU267" s="526"/>
      <c r="AV267" s="526"/>
      <c r="AW267" s="526"/>
      <c r="AX267" s="526"/>
    </row>
    <row r="268" spans="1:50" ht="168" x14ac:dyDescent="0.45">
      <c r="A268" s="629" t="s">
        <v>825</v>
      </c>
      <c r="B268" s="627" t="s">
        <v>336</v>
      </c>
      <c r="C268" s="514" t="s">
        <v>826</v>
      </c>
      <c r="D268" s="630" t="s">
        <v>336</v>
      </c>
      <c r="E268" s="514" t="s">
        <v>1205</v>
      </c>
      <c r="F268" s="630" t="s">
        <v>336</v>
      </c>
      <c r="G268" s="630" t="s">
        <v>336</v>
      </c>
      <c r="H268" s="630" t="s">
        <v>336</v>
      </c>
      <c r="I268" s="631" t="s">
        <v>336</v>
      </c>
      <c r="J268" s="620"/>
      <c r="K268" s="620"/>
      <c r="L268" s="620"/>
      <c r="M268" s="526"/>
      <c r="N268" s="526"/>
      <c r="O268" s="526"/>
      <c r="P268" s="526"/>
      <c r="Q268" s="526"/>
      <c r="R268" s="526"/>
      <c r="S268" s="526"/>
      <c r="T268" s="526"/>
      <c r="U268" s="526"/>
      <c r="V268" s="526"/>
      <c r="W268" s="526"/>
      <c r="X268" s="526"/>
      <c r="Y268" s="526"/>
      <c r="Z268" s="526"/>
      <c r="AA268" s="526"/>
      <c r="AB268" s="526"/>
      <c r="AC268" s="526"/>
      <c r="AD268" s="526"/>
      <c r="AE268" s="526"/>
      <c r="AF268" s="526"/>
      <c r="AG268" s="526"/>
      <c r="AH268" s="526"/>
      <c r="AI268" s="526"/>
      <c r="AJ268" s="526"/>
      <c r="AK268" s="526"/>
      <c r="AL268" s="526"/>
      <c r="AM268" s="526"/>
      <c r="AN268" s="526"/>
      <c r="AO268" s="526"/>
      <c r="AP268" s="526"/>
      <c r="AQ268" s="526"/>
      <c r="AR268" s="526"/>
      <c r="AS268" s="526"/>
      <c r="AT268" s="526"/>
      <c r="AU268" s="526"/>
      <c r="AV268" s="526"/>
      <c r="AW268" s="526"/>
      <c r="AX268" s="526"/>
    </row>
    <row r="269" spans="1:50" ht="96" x14ac:dyDescent="0.45">
      <c r="A269" s="629" t="s">
        <v>11</v>
      </c>
      <c r="B269" s="627" t="s">
        <v>336</v>
      </c>
      <c r="C269" s="514" t="s">
        <v>869</v>
      </c>
      <c r="D269" s="630" t="s">
        <v>336</v>
      </c>
      <c r="E269" s="514" t="s">
        <v>915</v>
      </c>
      <c r="F269" s="630" t="s">
        <v>336</v>
      </c>
      <c r="G269" s="630" t="s">
        <v>336</v>
      </c>
      <c r="H269" s="630" t="s">
        <v>336</v>
      </c>
      <c r="I269" s="631" t="s">
        <v>336</v>
      </c>
      <c r="J269" s="620"/>
      <c r="K269" s="620"/>
      <c r="L269" s="620"/>
      <c r="M269" s="526"/>
      <c r="N269" s="526"/>
      <c r="O269" s="526"/>
      <c r="P269" s="526"/>
      <c r="Q269" s="526"/>
      <c r="R269" s="526"/>
      <c r="S269" s="526"/>
      <c r="T269" s="526"/>
      <c r="U269" s="526"/>
      <c r="V269" s="526"/>
      <c r="W269" s="526"/>
      <c r="X269" s="526"/>
      <c r="Y269" s="526"/>
      <c r="Z269" s="526"/>
      <c r="AA269" s="526"/>
      <c r="AB269" s="526"/>
      <c r="AC269" s="526"/>
      <c r="AD269" s="526"/>
      <c r="AE269" s="526"/>
      <c r="AF269" s="526"/>
      <c r="AG269" s="526"/>
      <c r="AH269" s="526"/>
      <c r="AI269" s="526"/>
      <c r="AJ269" s="526"/>
      <c r="AK269" s="526"/>
      <c r="AL269" s="526"/>
      <c r="AM269" s="526"/>
      <c r="AN269" s="526"/>
      <c r="AO269" s="526"/>
      <c r="AP269" s="526"/>
      <c r="AQ269" s="526"/>
      <c r="AR269" s="526"/>
      <c r="AS269" s="526"/>
      <c r="AT269" s="526"/>
      <c r="AU269" s="526"/>
      <c r="AV269" s="526"/>
      <c r="AW269" s="526"/>
      <c r="AX269" s="526"/>
    </row>
    <row r="270" spans="1:50" ht="96" x14ac:dyDescent="0.45">
      <c r="A270" s="629" t="s">
        <v>45</v>
      </c>
      <c r="B270" s="627" t="s">
        <v>336</v>
      </c>
      <c r="C270" s="514" t="s">
        <v>1263</v>
      </c>
      <c r="D270" s="630" t="s">
        <v>336</v>
      </c>
      <c r="E270" s="514" t="s">
        <v>1264</v>
      </c>
      <c r="F270" s="630" t="s">
        <v>336</v>
      </c>
      <c r="G270" s="630" t="s">
        <v>336</v>
      </c>
      <c r="H270" s="630" t="s">
        <v>336</v>
      </c>
      <c r="I270" s="631" t="s">
        <v>336</v>
      </c>
      <c r="J270" s="620"/>
      <c r="K270" s="620"/>
      <c r="L270" s="620"/>
      <c r="M270" s="526"/>
      <c r="N270" s="526"/>
      <c r="O270" s="526"/>
      <c r="P270" s="526"/>
      <c r="Q270" s="526"/>
      <c r="R270" s="526"/>
      <c r="S270" s="526"/>
      <c r="T270" s="526"/>
      <c r="U270" s="526"/>
      <c r="V270" s="526"/>
      <c r="W270" s="526"/>
      <c r="X270" s="526"/>
      <c r="Y270" s="526"/>
      <c r="Z270" s="526"/>
      <c r="AA270" s="526"/>
      <c r="AB270" s="526"/>
      <c r="AC270" s="526"/>
      <c r="AD270" s="526"/>
      <c r="AE270" s="526"/>
      <c r="AF270" s="526"/>
      <c r="AG270" s="526"/>
      <c r="AH270" s="526"/>
      <c r="AI270" s="526"/>
      <c r="AJ270" s="526"/>
      <c r="AK270" s="526"/>
      <c r="AL270" s="526"/>
      <c r="AM270" s="526"/>
      <c r="AN270" s="526"/>
      <c r="AO270" s="526"/>
      <c r="AP270" s="526"/>
      <c r="AQ270" s="526"/>
      <c r="AR270" s="526"/>
      <c r="AS270" s="526"/>
      <c r="AT270" s="526"/>
      <c r="AU270" s="526"/>
      <c r="AV270" s="526"/>
      <c r="AW270" s="526"/>
      <c r="AX270" s="526"/>
    </row>
    <row r="271" spans="1:50" ht="120" x14ac:dyDescent="0.45">
      <c r="A271" s="629" t="s">
        <v>45</v>
      </c>
      <c r="B271" s="627" t="s">
        <v>336</v>
      </c>
      <c r="C271" s="514" t="s">
        <v>1265</v>
      </c>
      <c r="D271" s="630" t="s">
        <v>336</v>
      </c>
      <c r="E271" s="514" t="s">
        <v>1266</v>
      </c>
      <c r="F271" s="630" t="s">
        <v>336</v>
      </c>
      <c r="G271" s="630" t="s">
        <v>336</v>
      </c>
      <c r="H271" s="630" t="s">
        <v>336</v>
      </c>
      <c r="I271" s="631" t="s">
        <v>336</v>
      </c>
      <c r="J271" s="620"/>
      <c r="K271" s="620"/>
      <c r="L271" s="620"/>
      <c r="M271" s="526"/>
      <c r="N271" s="526"/>
      <c r="O271" s="526"/>
      <c r="P271" s="526"/>
      <c r="Q271" s="526"/>
      <c r="R271" s="526"/>
      <c r="S271" s="526"/>
      <c r="T271" s="526"/>
      <c r="U271" s="526"/>
      <c r="V271" s="526"/>
      <c r="W271" s="526"/>
      <c r="X271" s="526"/>
      <c r="Y271" s="526"/>
      <c r="Z271" s="526"/>
      <c r="AA271" s="526"/>
      <c r="AB271" s="526"/>
      <c r="AC271" s="526"/>
      <c r="AD271" s="526"/>
      <c r="AE271" s="526"/>
      <c r="AF271" s="526"/>
      <c r="AG271" s="526"/>
      <c r="AH271" s="526"/>
      <c r="AI271" s="526"/>
      <c r="AJ271" s="526"/>
      <c r="AK271" s="526"/>
      <c r="AL271" s="526"/>
      <c r="AM271" s="526"/>
      <c r="AN271" s="526"/>
      <c r="AO271" s="526"/>
      <c r="AP271" s="526"/>
      <c r="AQ271" s="526"/>
      <c r="AR271" s="526"/>
      <c r="AS271" s="526"/>
      <c r="AT271" s="526"/>
      <c r="AU271" s="526"/>
      <c r="AV271" s="526"/>
      <c r="AW271" s="526"/>
      <c r="AX271" s="526"/>
    </row>
    <row r="272" spans="1:50" ht="240" x14ac:dyDescent="0.45">
      <c r="A272" s="629" t="s">
        <v>45</v>
      </c>
      <c r="B272" s="627" t="s">
        <v>336</v>
      </c>
      <c r="C272" s="514" t="s">
        <v>1267</v>
      </c>
      <c r="D272" s="630" t="s">
        <v>336</v>
      </c>
      <c r="E272" s="514" t="s">
        <v>1268</v>
      </c>
      <c r="F272" s="630" t="s">
        <v>336</v>
      </c>
      <c r="G272" s="630" t="s">
        <v>336</v>
      </c>
      <c r="H272" s="630" t="s">
        <v>336</v>
      </c>
      <c r="I272" s="631" t="s">
        <v>336</v>
      </c>
      <c r="J272" s="620"/>
      <c r="K272" s="620"/>
      <c r="L272" s="620"/>
      <c r="M272" s="526"/>
      <c r="N272" s="526"/>
      <c r="O272" s="526"/>
      <c r="P272" s="526"/>
      <c r="Q272" s="526"/>
      <c r="R272" s="526"/>
      <c r="S272" s="526"/>
      <c r="T272" s="526"/>
      <c r="U272" s="526"/>
      <c r="V272" s="526"/>
      <c r="W272" s="526"/>
      <c r="X272" s="526"/>
      <c r="Y272" s="526"/>
      <c r="Z272" s="526"/>
      <c r="AA272" s="526"/>
      <c r="AB272" s="526"/>
      <c r="AC272" s="526"/>
      <c r="AD272" s="526"/>
      <c r="AE272" s="526"/>
      <c r="AF272" s="526"/>
      <c r="AG272" s="526"/>
      <c r="AH272" s="526"/>
      <c r="AI272" s="526"/>
      <c r="AJ272" s="526"/>
      <c r="AK272" s="526"/>
      <c r="AL272" s="526"/>
      <c r="AM272" s="526"/>
      <c r="AN272" s="526"/>
      <c r="AO272" s="526"/>
      <c r="AP272" s="526"/>
      <c r="AQ272" s="526"/>
      <c r="AR272" s="526"/>
      <c r="AS272" s="526"/>
      <c r="AT272" s="526"/>
      <c r="AU272" s="526"/>
      <c r="AV272" s="526"/>
      <c r="AW272" s="526"/>
      <c r="AX272" s="526"/>
    </row>
    <row r="273" spans="1:50" ht="96" x14ac:dyDescent="0.45">
      <c r="A273" s="629" t="s">
        <v>189</v>
      </c>
      <c r="B273" s="627" t="s">
        <v>336</v>
      </c>
      <c r="C273" s="514" t="s">
        <v>1269</v>
      </c>
      <c r="D273" s="630" t="s">
        <v>336</v>
      </c>
      <c r="E273" s="514" t="s">
        <v>1270</v>
      </c>
      <c r="F273" s="630" t="s">
        <v>336</v>
      </c>
      <c r="G273" s="630" t="s">
        <v>336</v>
      </c>
      <c r="H273" s="630" t="s">
        <v>336</v>
      </c>
      <c r="I273" s="631" t="s">
        <v>336</v>
      </c>
      <c r="J273" s="620"/>
      <c r="K273" s="620"/>
      <c r="L273" s="620"/>
      <c r="M273" s="526"/>
      <c r="N273" s="526"/>
      <c r="O273" s="526"/>
      <c r="P273" s="526"/>
      <c r="Q273" s="526"/>
      <c r="R273" s="526"/>
      <c r="S273" s="526"/>
      <c r="T273" s="526"/>
      <c r="U273" s="526"/>
      <c r="V273" s="526"/>
      <c r="W273" s="526"/>
      <c r="X273" s="526"/>
      <c r="Y273" s="526"/>
      <c r="Z273" s="526"/>
      <c r="AA273" s="526"/>
      <c r="AB273" s="526"/>
      <c r="AC273" s="526"/>
      <c r="AD273" s="526"/>
      <c r="AE273" s="526"/>
      <c r="AF273" s="526"/>
      <c r="AG273" s="526"/>
      <c r="AH273" s="526"/>
      <c r="AI273" s="526"/>
      <c r="AJ273" s="526"/>
      <c r="AK273" s="526"/>
      <c r="AL273" s="526"/>
      <c r="AM273" s="526"/>
      <c r="AN273" s="526"/>
      <c r="AO273" s="526"/>
      <c r="AP273" s="526"/>
      <c r="AQ273" s="526"/>
      <c r="AR273" s="526"/>
      <c r="AS273" s="526"/>
      <c r="AT273" s="526"/>
      <c r="AU273" s="526"/>
      <c r="AV273" s="526"/>
      <c r="AW273" s="526"/>
      <c r="AX273" s="526"/>
    </row>
    <row r="274" spans="1:50" ht="144" x14ac:dyDescent="0.45">
      <c r="A274" s="629" t="s">
        <v>45</v>
      </c>
      <c r="B274" s="627" t="s">
        <v>336</v>
      </c>
      <c r="C274" s="514" t="s">
        <v>1271</v>
      </c>
      <c r="D274" s="630" t="s">
        <v>336</v>
      </c>
      <c r="E274" s="514" t="s">
        <v>1272</v>
      </c>
      <c r="F274" s="630" t="s">
        <v>336</v>
      </c>
      <c r="G274" s="630" t="s">
        <v>336</v>
      </c>
      <c r="H274" s="630" t="s">
        <v>336</v>
      </c>
      <c r="I274" s="631" t="s">
        <v>336</v>
      </c>
      <c r="J274" s="620"/>
      <c r="K274" s="620"/>
      <c r="L274" s="620"/>
      <c r="M274" s="526"/>
      <c r="N274" s="526"/>
      <c r="O274" s="526"/>
      <c r="P274" s="526"/>
      <c r="Q274" s="526"/>
      <c r="R274" s="526"/>
      <c r="S274" s="526"/>
      <c r="T274" s="526"/>
      <c r="U274" s="526"/>
      <c r="V274" s="526"/>
      <c r="W274" s="526"/>
      <c r="X274" s="526"/>
      <c r="Y274" s="526"/>
      <c r="Z274" s="526"/>
      <c r="AA274" s="526"/>
      <c r="AB274" s="526"/>
      <c r="AC274" s="526"/>
      <c r="AD274" s="526"/>
      <c r="AE274" s="526"/>
      <c r="AF274" s="526"/>
      <c r="AG274" s="526"/>
      <c r="AH274" s="526"/>
      <c r="AI274" s="526"/>
      <c r="AJ274" s="526"/>
      <c r="AK274" s="526"/>
      <c r="AL274" s="526"/>
      <c r="AM274" s="526"/>
      <c r="AN274" s="526"/>
      <c r="AO274" s="526"/>
      <c r="AP274" s="526"/>
      <c r="AQ274" s="526"/>
      <c r="AR274" s="526"/>
      <c r="AS274" s="526"/>
      <c r="AT274" s="526"/>
      <c r="AU274" s="526"/>
      <c r="AV274" s="526"/>
      <c r="AW274" s="526"/>
      <c r="AX274" s="526"/>
    </row>
    <row r="275" spans="1:50" ht="144" x14ac:dyDescent="0.45">
      <c r="A275" s="629" t="s">
        <v>189</v>
      </c>
      <c r="B275" s="627" t="s">
        <v>336</v>
      </c>
      <c r="C275" s="514" t="s">
        <v>1273</v>
      </c>
      <c r="D275" s="630" t="s">
        <v>336</v>
      </c>
      <c r="E275" s="514" t="s">
        <v>1274</v>
      </c>
      <c r="F275" s="630" t="s">
        <v>336</v>
      </c>
      <c r="G275" s="630" t="s">
        <v>336</v>
      </c>
      <c r="H275" s="630" t="s">
        <v>336</v>
      </c>
      <c r="I275" s="631" t="s">
        <v>336</v>
      </c>
      <c r="J275" s="620"/>
      <c r="K275" s="620"/>
      <c r="L275" s="620"/>
      <c r="M275" s="526"/>
      <c r="N275" s="526"/>
      <c r="O275" s="526"/>
      <c r="P275" s="526"/>
      <c r="Q275" s="526"/>
      <c r="R275" s="526"/>
      <c r="S275" s="526"/>
      <c r="T275" s="526"/>
      <c r="U275" s="526"/>
      <c r="V275" s="526"/>
      <c r="W275" s="526"/>
      <c r="X275" s="526"/>
      <c r="Y275" s="526"/>
      <c r="Z275" s="526"/>
      <c r="AA275" s="526"/>
      <c r="AB275" s="526"/>
      <c r="AC275" s="526"/>
      <c r="AD275" s="526"/>
      <c r="AE275" s="526"/>
      <c r="AF275" s="526"/>
      <c r="AG275" s="526"/>
      <c r="AH275" s="526"/>
      <c r="AI275" s="526"/>
      <c r="AJ275" s="526"/>
      <c r="AK275" s="526"/>
      <c r="AL275" s="526"/>
      <c r="AM275" s="526"/>
      <c r="AN275" s="526"/>
      <c r="AO275" s="526"/>
      <c r="AP275" s="526"/>
      <c r="AQ275" s="526"/>
      <c r="AR275" s="526"/>
      <c r="AS275" s="526"/>
      <c r="AT275" s="526"/>
      <c r="AU275" s="526"/>
      <c r="AV275" s="526"/>
      <c r="AW275" s="526"/>
      <c r="AX275" s="526"/>
    </row>
    <row r="276" spans="1:50" ht="120" x14ac:dyDescent="0.45">
      <c r="A276" s="629" t="s">
        <v>45</v>
      </c>
      <c r="B276" s="627" t="s">
        <v>336</v>
      </c>
      <c r="C276" s="514" t="s">
        <v>1275</v>
      </c>
      <c r="D276" s="630" t="s">
        <v>336</v>
      </c>
      <c r="E276" s="514" t="s">
        <v>1276</v>
      </c>
      <c r="F276" s="630" t="s">
        <v>336</v>
      </c>
      <c r="G276" s="630" t="s">
        <v>336</v>
      </c>
      <c r="H276" s="630" t="s">
        <v>336</v>
      </c>
      <c r="I276" s="631" t="s">
        <v>336</v>
      </c>
      <c r="J276" s="620"/>
      <c r="K276" s="620"/>
      <c r="L276" s="620"/>
      <c r="M276" s="526"/>
      <c r="N276" s="526"/>
      <c r="O276" s="526"/>
      <c r="P276" s="526"/>
      <c r="Q276" s="526"/>
      <c r="R276" s="526"/>
      <c r="S276" s="526"/>
      <c r="T276" s="526"/>
      <c r="U276" s="526"/>
      <c r="V276" s="526"/>
      <c r="W276" s="526"/>
      <c r="X276" s="526"/>
      <c r="Y276" s="526"/>
      <c r="Z276" s="526"/>
      <c r="AA276" s="526"/>
      <c r="AB276" s="526"/>
      <c r="AC276" s="526"/>
      <c r="AD276" s="526"/>
      <c r="AE276" s="526"/>
      <c r="AF276" s="526"/>
      <c r="AG276" s="526"/>
      <c r="AH276" s="526"/>
      <c r="AI276" s="526"/>
      <c r="AJ276" s="526"/>
      <c r="AK276" s="526"/>
      <c r="AL276" s="526"/>
      <c r="AM276" s="526"/>
      <c r="AN276" s="526"/>
      <c r="AO276" s="526"/>
      <c r="AP276" s="526"/>
      <c r="AQ276" s="526"/>
      <c r="AR276" s="526"/>
      <c r="AS276" s="526"/>
      <c r="AT276" s="526"/>
      <c r="AU276" s="526"/>
      <c r="AV276" s="526"/>
      <c r="AW276" s="526"/>
      <c r="AX276" s="526"/>
    </row>
    <row r="277" spans="1:50" ht="120" x14ac:dyDescent="0.45">
      <c r="A277" s="629" t="s">
        <v>189</v>
      </c>
      <c r="B277" s="627" t="s">
        <v>336</v>
      </c>
      <c r="C277" s="514" t="s">
        <v>1277</v>
      </c>
      <c r="D277" s="630" t="s">
        <v>336</v>
      </c>
      <c r="E277" s="514" t="s">
        <v>1278</v>
      </c>
      <c r="F277" s="630" t="s">
        <v>336</v>
      </c>
      <c r="G277" s="630" t="s">
        <v>336</v>
      </c>
      <c r="H277" s="630" t="s">
        <v>336</v>
      </c>
      <c r="I277" s="631" t="s">
        <v>336</v>
      </c>
      <c r="J277" s="620"/>
      <c r="K277" s="620"/>
      <c r="L277" s="620"/>
      <c r="M277" s="526"/>
      <c r="N277" s="526"/>
      <c r="O277" s="526"/>
      <c r="P277" s="526"/>
      <c r="Q277" s="526"/>
      <c r="R277" s="526"/>
      <c r="S277" s="526"/>
      <c r="T277" s="526"/>
      <c r="U277" s="526"/>
      <c r="V277" s="526"/>
      <c r="W277" s="526"/>
      <c r="X277" s="526"/>
      <c r="Y277" s="526"/>
      <c r="Z277" s="526"/>
      <c r="AA277" s="526"/>
      <c r="AB277" s="526"/>
      <c r="AC277" s="526"/>
      <c r="AD277" s="526"/>
      <c r="AE277" s="526"/>
      <c r="AF277" s="526"/>
      <c r="AG277" s="526"/>
      <c r="AH277" s="526"/>
      <c r="AI277" s="526"/>
      <c r="AJ277" s="526"/>
      <c r="AK277" s="526"/>
      <c r="AL277" s="526"/>
      <c r="AM277" s="526"/>
      <c r="AN277" s="526"/>
      <c r="AO277" s="526"/>
      <c r="AP277" s="526"/>
      <c r="AQ277" s="526"/>
      <c r="AR277" s="526"/>
      <c r="AS277" s="526"/>
      <c r="AT277" s="526"/>
      <c r="AU277" s="526"/>
      <c r="AV277" s="526"/>
      <c r="AW277" s="526"/>
      <c r="AX277" s="526"/>
    </row>
    <row r="278" spans="1:50" ht="72" x14ac:dyDescent="0.45">
      <c r="A278" s="629" t="s">
        <v>136</v>
      </c>
      <c r="B278" s="627" t="s">
        <v>336</v>
      </c>
      <c r="C278" s="514" t="s">
        <v>840</v>
      </c>
      <c r="D278" s="630" t="s">
        <v>336</v>
      </c>
      <c r="E278" s="514" t="s">
        <v>1195</v>
      </c>
      <c r="F278" s="630" t="s">
        <v>336</v>
      </c>
      <c r="G278" s="630" t="s">
        <v>336</v>
      </c>
      <c r="H278" s="630" t="s">
        <v>336</v>
      </c>
      <c r="I278" s="631" t="s">
        <v>336</v>
      </c>
      <c r="J278" s="620"/>
      <c r="K278" s="620"/>
      <c r="L278" s="620"/>
      <c r="M278" s="526"/>
      <c r="N278" s="526"/>
      <c r="O278" s="526"/>
      <c r="P278" s="526"/>
      <c r="Q278" s="526"/>
      <c r="R278" s="526"/>
      <c r="S278" s="526"/>
      <c r="T278" s="526"/>
      <c r="U278" s="526"/>
      <c r="V278" s="526"/>
      <c r="W278" s="526"/>
      <c r="X278" s="526"/>
      <c r="Y278" s="526"/>
      <c r="Z278" s="526"/>
      <c r="AA278" s="526"/>
      <c r="AB278" s="526"/>
      <c r="AC278" s="526"/>
      <c r="AD278" s="526"/>
      <c r="AE278" s="526"/>
      <c r="AF278" s="526"/>
      <c r="AG278" s="526"/>
      <c r="AH278" s="526"/>
      <c r="AI278" s="526"/>
      <c r="AJ278" s="526"/>
      <c r="AK278" s="526"/>
      <c r="AL278" s="526"/>
      <c r="AM278" s="526"/>
      <c r="AN278" s="526"/>
      <c r="AO278" s="526"/>
      <c r="AP278" s="526"/>
      <c r="AQ278" s="526"/>
      <c r="AR278" s="526"/>
      <c r="AS278" s="526"/>
      <c r="AT278" s="526"/>
      <c r="AU278" s="526"/>
      <c r="AV278" s="526"/>
      <c r="AW278" s="526"/>
      <c r="AX278" s="526"/>
    </row>
    <row r="279" spans="1:50" ht="216" x14ac:dyDescent="0.45">
      <c r="A279" s="629" t="s">
        <v>845</v>
      </c>
      <c r="B279" s="627" t="s">
        <v>336</v>
      </c>
      <c r="C279" s="514" t="s">
        <v>1279</v>
      </c>
      <c r="D279" s="630" t="s">
        <v>336</v>
      </c>
      <c r="E279" s="514" t="s">
        <v>1280</v>
      </c>
      <c r="F279" s="630" t="s">
        <v>336</v>
      </c>
      <c r="G279" s="630" t="s">
        <v>336</v>
      </c>
      <c r="H279" s="630" t="s">
        <v>336</v>
      </c>
      <c r="I279" s="631" t="s">
        <v>336</v>
      </c>
      <c r="J279" s="620"/>
      <c r="K279" s="620"/>
      <c r="L279" s="620"/>
      <c r="M279" s="526"/>
      <c r="N279" s="526"/>
      <c r="O279" s="526"/>
      <c r="P279" s="526"/>
      <c r="Q279" s="526"/>
      <c r="R279" s="526"/>
      <c r="S279" s="526"/>
      <c r="T279" s="526"/>
      <c r="U279" s="526"/>
      <c r="V279" s="526"/>
      <c r="W279" s="526"/>
      <c r="X279" s="526"/>
      <c r="Y279" s="526"/>
      <c r="Z279" s="526"/>
      <c r="AA279" s="526"/>
      <c r="AB279" s="526"/>
      <c r="AC279" s="526"/>
      <c r="AD279" s="526"/>
      <c r="AE279" s="526"/>
      <c r="AF279" s="526"/>
      <c r="AG279" s="526"/>
      <c r="AH279" s="526"/>
      <c r="AI279" s="526"/>
      <c r="AJ279" s="526"/>
      <c r="AK279" s="526"/>
      <c r="AL279" s="526"/>
      <c r="AM279" s="526"/>
      <c r="AN279" s="526"/>
      <c r="AO279" s="526"/>
      <c r="AP279" s="526"/>
      <c r="AQ279" s="526"/>
      <c r="AR279" s="526"/>
      <c r="AS279" s="526"/>
      <c r="AT279" s="526"/>
      <c r="AU279" s="526"/>
      <c r="AV279" s="526"/>
      <c r="AW279" s="526"/>
      <c r="AX279" s="526"/>
    </row>
    <row r="280" spans="1:50" ht="72" x14ac:dyDescent="0.45">
      <c r="A280" s="629" t="s">
        <v>189</v>
      </c>
      <c r="B280" s="627" t="s">
        <v>336</v>
      </c>
      <c r="C280" s="514" t="s">
        <v>866</v>
      </c>
      <c r="D280" s="630" t="s">
        <v>336</v>
      </c>
      <c r="E280" s="514" t="s">
        <v>1218</v>
      </c>
      <c r="F280" s="630" t="s">
        <v>336</v>
      </c>
      <c r="G280" s="630" t="s">
        <v>336</v>
      </c>
      <c r="H280" s="630" t="s">
        <v>336</v>
      </c>
      <c r="I280" s="631" t="s">
        <v>336</v>
      </c>
      <c r="J280" s="620"/>
      <c r="K280" s="620"/>
      <c r="L280" s="620"/>
      <c r="M280" s="526"/>
      <c r="N280" s="526"/>
      <c r="O280" s="526"/>
      <c r="P280" s="526"/>
      <c r="Q280" s="526"/>
      <c r="R280" s="526"/>
      <c r="S280" s="526"/>
      <c r="T280" s="526"/>
      <c r="U280" s="526"/>
      <c r="V280" s="526"/>
      <c r="W280" s="526"/>
      <c r="X280" s="526"/>
      <c r="Y280" s="526"/>
      <c r="Z280" s="526"/>
      <c r="AA280" s="526"/>
      <c r="AB280" s="526"/>
      <c r="AC280" s="526"/>
      <c r="AD280" s="526"/>
      <c r="AE280" s="526"/>
      <c r="AF280" s="526"/>
      <c r="AG280" s="526"/>
      <c r="AH280" s="526"/>
      <c r="AI280" s="526"/>
      <c r="AJ280" s="526"/>
      <c r="AK280" s="526"/>
      <c r="AL280" s="526"/>
      <c r="AM280" s="526"/>
      <c r="AN280" s="526"/>
      <c r="AO280" s="526"/>
      <c r="AP280" s="526"/>
      <c r="AQ280" s="526"/>
      <c r="AR280" s="526"/>
      <c r="AS280" s="526"/>
      <c r="AT280" s="526"/>
      <c r="AU280" s="526"/>
      <c r="AV280" s="526"/>
      <c r="AW280" s="526"/>
      <c r="AX280" s="526"/>
    </row>
    <row r="281" spans="1:50" ht="24" x14ac:dyDescent="0.45">
      <c r="A281" s="628" t="s">
        <v>1151</v>
      </c>
      <c r="B281" s="627" t="s">
        <v>336</v>
      </c>
      <c r="C281" s="756" t="s">
        <v>1152</v>
      </c>
      <c r="D281" s="756"/>
      <c r="E281" s="756"/>
      <c r="F281" s="756"/>
      <c r="G281" s="756"/>
      <c r="H281" s="756"/>
      <c r="I281" s="757"/>
      <c r="J281" s="620"/>
      <c r="K281" s="620"/>
      <c r="L281" s="620"/>
      <c r="M281" s="526"/>
      <c r="N281" s="526"/>
      <c r="O281" s="526"/>
      <c r="P281" s="526"/>
      <c r="Q281" s="526"/>
      <c r="R281" s="526"/>
      <c r="S281" s="526"/>
      <c r="T281" s="526"/>
      <c r="U281" s="526"/>
      <c r="V281" s="526"/>
      <c r="W281" s="526"/>
      <c r="X281" s="526"/>
      <c r="Y281" s="526"/>
      <c r="Z281" s="526"/>
      <c r="AA281" s="526"/>
      <c r="AB281" s="526"/>
      <c r="AC281" s="526"/>
      <c r="AD281" s="526"/>
      <c r="AE281" s="526"/>
      <c r="AF281" s="526"/>
      <c r="AG281" s="526"/>
      <c r="AH281" s="526"/>
      <c r="AI281" s="526"/>
      <c r="AJ281" s="526"/>
      <c r="AK281" s="526"/>
      <c r="AL281" s="526"/>
      <c r="AM281" s="526"/>
      <c r="AN281" s="526"/>
      <c r="AO281" s="526"/>
      <c r="AP281" s="526"/>
      <c r="AQ281" s="526"/>
      <c r="AR281" s="526"/>
      <c r="AS281" s="526"/>
      <c r="AT281" s="526"/>
      <c r="AU281" s="526"/>
      <c r="AV281" s="526"/>
      <c r="AW281" s="526"/>
      <c r="AX281" s="526"/>
    </row>
    <row r="282" spans="1:50" ht="168" x14ac:dyDescent="0.45">
      <c r="A282" s="629" t="s">
        <v>845</v>
      </c>
      <c r="B282" s="627" t="s">
        <v>336</v>
      </c>
      <c r="C282" s="514" t="s">
        <v>1281</v>
      </c>
      <c r="D282" s="630" t="s">
        <v>336</v>
      </c>
      <c r="E282" s="514" t="s">
        <v>1282</v>
      </c>
      <c r="F282" s="630" t="s">
        <v>336</v>
      </c>
      <c r="G282" s="630" t="s">
        <v>336</v>
      </c>
      <c r="H282" s="630" t="s">
        <v>336</v>
      </c>
      <c r="I282" s="631" t="s">
        <v>336</v>
      </c>
      <c r="J282" s="620"/>
      <c r="K282" s="620"/>
      <c r="L282" s="620"/>
      <c r="M282" s="526"/>
      <c r="N282" s="526"/>
      <c r="O282" s="526"/>
      <c r="P282" s="526"/>
      <c r="Q282" s="526"/>
      <c r="R282" s="526"/>
      <c r="S282" s="526"/>
      <c r="T282" s="526"/>
      <c r="U282" s="526"/>
      <c r="V282" s="526"/>
      <c r="W282" s="526"/>
      <c r="X282" s="526"/>
      <c r="Y282" s="526"/>
      <c r="Z282" s="526"/>
      <c r="AA282" s="526"/>
      <c r="AB282" s="526"/>
      <c r="AC282" s="526"/>
      <c r="AD282" s="526"/>
      <c r="AE282" s="526"/>
      <c r="AF282" s="526"/>
      <c r="AG282" s="526"/>
      <c r="AH282" s="526"/>
      <c r="AI282" s="526"/>
      <c r="AJ282" s="526"/>
      <c r="AK282" s="526"/>
      <c r="AL282" s="526"/>
      <c r="AM282" s="526"/>
      <c r="AN282" s="526"/>
      <c r="AO282" s="526"/>
      <c r="AP282" s="526"/>
      <c r="AQ282" s="526"/>
      <c r="AR282" s="526"/>
      <c r="AS282" s="526"/>
      <c r="AT282" s="526"/>
      <c r="AU282" s="526"/>
      <c r="AV282" s="526"/>
      <c r="AW282" s="526"/>
      <c r="AX282" s="526"/>
    </row>
    <row r="283" spans="1:50" ht="192" x14ac:dyDescent="0.45">
      <c r="A283" s="629" t="s">
        <v>845</v>
      </c>
      <c r="B283" s="627" t="s">
        <v>336</v>
      </c>
      <c r="C283" s="514" t="s">
        <v>1283</v>
      </c>
      <c r="D283" s="630" t="s">
        <v>336</v>
      </c>
      <c r="E283" s="514" t="s">
        <v>1284</v>
      </c>
      <c r="F283" s="630" t="s">
        <v>336</v>
      </c>
      <c r="G283" s="630" t="s">
        <v>336</v>
      </c>
      <c r="H283" s="630" t="s">
        <v>336</v>
      </c>
      <c r="I283" s="631" t="s">
        <v>336</v>
      </c>
      <c r="J283" s="620"/>
      <c r="K283" s="620"/>
      <c r="L283" s="620"/>
      <c r="M283" s="526"/>
      <c r="N283" s="526"/>
      <c r="O283" s="526"/>
      <c r="P283" s="526"/>
      <c r="Q283" s="526"/>
      <c r="R283" s="526"/>
      <c r="S283" s="526"/>
      <c r="T283" s="526"/>
      <c r="U283" s="526"/>
      <c r="V283" s="526"/>
      <c r="W283" s="526"/>
      <c r="X283" s="526"/>
      <c r="Y283" s="526"/>
      <c r="Z283" s="526"/>
      <c r="AA283" s="526"/>
      <c r="AB283" s="526"/>
      <c r="AC283" s="526"/>
      <c r="AD283" s="526"/>
      <c r="AE283" s="526"/>
      <c r="AF283" s="526"/>
      <c r="AG283" s="526"/>
      <c r="AH283" s="526"/>
      <c r="AI283" s="526"/>
      <c r="AJ283" s="526"/>
      <c r="AK283" s="526"/>
      <c r="AL283" s="526"/>
      <c r="AM283" s="526"/>
      <c r="AN283" s="526"/>
      <c r="AO283" s="526"/>
      <c r="AP283" s="526"/>
      <c r="AQ283" s="526"/>
      <c r="AR283" s="526"/>
      <c r="AS283" s="526"/>
      <c r="AT283" s="526"/>
      <c r="AU283" s="526"/>
      <c r="AV283" s="526"/>
      <c r="AW283" s="526"/>
      <c r="AX283" s="526"/>
    </row>
    <row r="284" spans="1:50" ht="144" x14ac:dyDescent="0.45">
      <c r="A284" s="629" t="s">
        <v>845</v>
      </c>
      <c r="B284" s="627" t="s">
        <v>336</v>
      </c>
      <c r="C284" s="514" t="s">
        <v>1285</v>
      </c>
      <c r="D284" s="630" t="s">
        <v>336</v>
      </c>
      <c r="E284" s="514" t="s">
        <v>1286</v>
      </c>
      <c r="F284" s="630" t="s">
        <v>336</v>
      </c>
      <c r="G284" s="630" t="s">
        <v>336</v>
      </c>
      <c r="H284" s="630" t="s">
        <v>336</v>
      </c>
      <c r="I284" s="631" t="s">
        <v>336</v>
      </c>
      <c r="J284" s="620"/>
      <c r="K284" s="620"/>
      <c r="L284" s="620"/>
      <c r="M284" s="526"/>
      <c r="N284" s="526"/>
      <c r="O284" s="526"/>
      <c r="P284" s="526"/>
      <c r="Q284" s="526"/>
      <c r="R284" s="526"/>
      <c r="S284" s="526"/>
      <c r="T284" s="526"/>
      <c r="U284" s="526"/>
      <c r="V284" s="526"/>
      <c r="W284" s="526"/>
      <c r="X284" s="526"/>
      <c r="Y284" s="526"/>
      <c r="Z284" s="526"/>
      <c r="AA284" s="526"/>
      <c r="AB284" s="526"/>
      <c r="AC284" s="526"/>
      <c r="AD284" s="526"/>
      <c r="AE284" s="526"/>
      <c r="AF284" s="526"/>
      <c r="AG284" s="526"/>
      <c r="AH284" s="526"/>
      <c r="AI284" s="526"/>
      <c r="AJ284" s="526"/>
      <c r="AK284" s="526"/>
      <c r="AL284" s="526"/>
      <c r="AM284" s="526"/>
      <c r="AN284" s="526"/>
      <c r="AO284" s="526"/>
      <c r="AP284" s="526"/>
      <c r="AQ284" s="526"/>
      <c r="AR284" s="526"/>
      <c r="AS284" s="526"/>
      <c r="AT284" s="526"/>
      <c r="AU284" s="526"/>
      <c r="AV284" s="526"/>
      <c r="AW284" s="526"/>
      <c r="AX284" s="526"/>
    </row>
    <row r="285" spans="1:50" ht="168" x14ac:dyDescent="0.45">
      <c r="A285" s="629" t="s">
        <v>189</v>
      </c>
      <c r="B285" s="627" t="s">
        <v>336</v>
      </c>
      <c r="C285" s="514" t="s">
        <v>1287</v>
      </c>
      <c r="D285" s="630" t="s">
        <v>336</v>
      </c>
      <c r="E285" s="514" t="s">
        <v>1288</v>
      </c>
      <c r="F285" s="630" t="s">
        <v>336</v>
      </c>
      <c r="G285" s="630" t="s">
        <v>336</v>
      </c>
      <c r="H285" s="630" t="s">
        <v>336</v>
      </c>
      <c r="I285" s="631" t="s">
        <v>336</v>
      </c>
      <c r="J285" s="620"/>
      <c r="K285" s="620"/>
      <c r="L285" s="620"/>
      <c r="M285" s="526"/>
      <c r="N285" s="526"/>
      <c r="O285" s="526"/>
      <c r="P285" s="526"/>
      <c r="Q285" s="526"/>
      <c r="R285" s="526"/>
      <c r="S285" s="526"/>
      <c r="T285" s="526"/>
      <c r="U285" s="526"/>
      <c r="V285" s="526"/>
      <c r="W285" s="526"/>
      <c r="X285" s="526"/>
      <c r="Y285" s="526"/>
      <c r="Z285" s="526"/>
      <c r="AA285" s="526"/>
      <c r="AB285" s="526"/>
      <c r="AC285" s="526"/>
      <c r="AD285" s="526"/>
      <c r="AE285" s="526"/>
      <c r="AF285" s="526"/>
      <c r="AG285" s="526"/>
      <c r="AH285" s="526"/>
      <c r="AI285" s="526"/>
      <c r="AJ285" s="526"/>
      <c r="AK285" s="526"/>
      <c r="AL285" s="526"/>
      <c r="AM285" s="526"/>
      <c r="AN285" s="526"/>
      <c r="AO285" s="526"/>
      <c r="AP285" s="526"/>
      <c r="AQ285" s="526"/>
      <c r="AR285" s="526"/>
      <c r="AS285" s="526"/>
      <c r="AT285" s="526"/>
      <c r="AU285" s="526"/>
      <c r="AV285" s="526"/>
      <c r="AW285" s="526"/>
      <c r="AX285" s="526"/>
    </row>
    <row r="286" spans="1:50" ht="216" x14ac:dyDescent="0.45">
      <c r="A286" s="629" t="s">
        <v>845</v>
      </c>
      <c r="B286" s="627" t="s">
        <v>336</v>
      </c>
      <c r="C286" s="514" t="s">
        <v>1289</v>
      </c>
      <c r="D286" s="630" t="s">
        <v>336</v>
      </c>
      <c r="E286" s="514" t="s">
        <v>1290</v>
      </c>
      <c r="F286" s="630" t="s">
        <v>336</v>
      </c>
      <c r="G286" s="630" t="s">
        <v>336</v>
      </c>
      <c r="H286" s="630" t="s">
        <v>336</v>
      </c>
      <c r="I286" s="631" t="s">
        <v>336</v>
      </c>
      <c r="J286" s="620"/>
      <c r="K286" s="620"/>
      <c r="L286" s="620"/>
      <c r="M286" s="526"/>
      <c r="N286" s="526"/>
      <c r="O286" s="526"/>
      <c r="P286" s="526"/>
      <c r="Q286" s="526"/>
      <c r="R286" s="526"/>
      <c r="S286" s="526"/>
      <c r="T286" s="526"/>
      <c r="U286" s="526"/>
      <c r="V286" s="526"/>
      <c r="W286" s="526"/>
      <c r="X286" s="526"/>
      <c r="Y286" s="526"/>
      <c r="Z286" s="526"/>
      <c r="AA286" s="526"/>
      <c r="AB286" s="526"/>
      <c r="AC286" s="526"/>
      <c r="AD286" s="526"/>
      <c r="AE286" s="526"/>
      <c r="AF286" s="526"/>
      <c r="AG286" s="526"/>
      <c r="AH286" s="526"/>
      <c r="AI286" s="526"/>
      <c r="AJ286" s="526"/>
      <c r="AK286" s="526"/>
      <c r="AL286" s="526"/>
      <c r="AM286" s="526"/>
      <c r="AN286" s="526"/>
      <c r="AO286" s="526"/>
      <c r="AP286" s="526"/>
      <c r="AQ286" s="526"/>
      <c r="AR286" s="526"/>
      <c r="AS286" s="526"/>
      <c r="AT286" s="526"/>
      <c r="AU286" s="526"/>
      <c r="AV286" s="526"/>
      <c r="AW286" s="526"/>
      <c r="AX286" s="526"/>
    </row>
    <row r="287" spans="1:50" ht="24" x14ac:dyDescent="0.45">
      <c r="A287" s="626" t="s">
        <v>1153</v>
      </c>
      <c r="B287" s="627" t="s">
        <v>336</v>
      </c>
      <c r="C287" s="758" t="s">
        <v>1291</v>
      </c>
      <c r="D287" s="758"/>
      <c r="E287" s="758"/>
      <c r="F287" s="758"/>
      <c r="G287" s="758"/>
      <c r="H287" s="758"/>
      <c r="I287" s="759"/>
      <c r="J287" s="620"/>
      <c r="K287" s="620"/>
      <c r="L287" s="620"/>
      <c r="M287" s="526"/>
      <c r="N287" s="526"/>
      <c r="O287" s="526"/>
      <c r="P287" s="526"/>
      <c r="Q287" s="526"/>
      <c r="R287" s="526"/>
      <c r="S287" s="526"/>
      <c r="T287" s="526"/>
      <c r="U287" s="526"/>
      <c r="V287" s="526"/>
      <c r="W287" s="526"/>
      <c r="X287" s="526"/>
      <c r="Y287" s="526"/>
      <c r="Z287" s="526"/>
      <c r="AA287" s="526"/>
      <c r="AB287" s="526"/>
      <c r="AC287" s="526"/>
      <c r="AD287" s="526"/>
      <c r="AE287" s="526"/>
      <c r="AF287" s="526"/>
      <c r="AG287" s="526"/>
      <c r="AH287" s="526"/>
      <c r="AI287" s="526"/>
      <c r="AJ287" s="526"/>
      <c r="AK287" s="526"/>
      <c r="AL287" s="526"/>
      <c r="AM287" s="526"/>
      <c r="AN287" s="526"/>
      <c r="AO287" s="526"/>
      <c r="AP287" s="526"/>
      <c r="AQ287" s="526"/>
      <c r="AR287" s="526"/>
      <c r="AS287" s="526"/>
      <c r="AT287" s="526"/>
      <c r="AU287" s="526"/>
      <c r="AV287" s="526"/>
      <c r="AW287" s="526"/>
      <c r="AX287" s="526"/>
    </row>
    <row r="288" spans="1:50" ht="24" x14ac:dyDescent="0.45">
      <c r="A288" s="628" t="s">
        <v>1155</v>
      </c>
      <c r="B288" s="627" t="s">
        <v>336</v>
      </c>
      <c r="C288" s="756" t="s">
        <v>1156</v>
      </c>
      <c r="D288" s="756"/>
      <c r="E288" s="756"/>
      <c r="F288" s="756"/>
      <c r="G288" s="756"/>
      <c r="H288" s="756"/>
      <c r="I288" s="757"/>
      <c r="J288" s="620"/>
      <c r="K288" s="620"/>
      <c r="L288" s="620"/>
      <c r="M288" s="526"/>
      <c r="N288" s="526"/>
      <c r="O288" s="526"/>
      <c r="P288" s="526"/>
      <c r="Q288" s="526"/>
      <c r="R288" s="526"/>
      <c r="S288" s="526"/>
      <c r="T288" s="526"/>
      <c r="U288" s="526"/>
      <c r="V288" s="526"/>
      <c r="W288" s="526"/>
      <c r="X288" s="526"/>
      <c r="Y288" s="526"/>
      <c r="Z288" s="526"/>
      <c r="AA288" s="526"/>
      <c r="AB288" s="526"/>
      <c r="AC288" s="526"/>
      <c r="AD288" s="526"/>
      <c r="AE288" s="526"/>
      <c r="AF288" s="526"/>
      <c r="AG288" s="526"/>
      <c r="AH288" s="526"/>
      <c r="AI288" s="526"/>
      <c r="AJ288" s="526"/>
      <c r="AK288" s="526"/>
      <c r="AL288" s="526"/>
      <c r="AM288" s="526"/>
      <c r="AN288" s="526"/>
      <c r="AO288" s="526"/>
      <c r="AP288" s="526"/>
      <c r="AQ288" s="526"/>
      <c r="AR288" s="526"/>
      <c r="AS288" s="526"/>
      <c r="AT288" s="526"/>
      <c r="AU288" s="526"/>
      <c r="AV288" s="526"/>
      <c r="AW288" s="526"/>
      <c r="AX288" s="526"/>
    </row>
    <row r="289" spans="1:50" ht="168" x14ac:dyDescent="0.45">
      <c r="A289" s="629" t="s">
        <v>825</v>
      </c>
      <c r="B289" s="627" t="s">
        <v>336</v>
      </c>
      <c r="C289" s="514" t="s">
        <v>1292</v>
      </c>
      <c r="D289" s="630" t="s">
        <v>336</v>
      </c>
      <c r="E289" s="514" t="s">
        <v>1293</v>
      </c>
      <c r="F289" s="630" t="s">
        <v>336</v>
      </c>
      <c r="G289" s="630" t="s">
        <v>336</v>
      </c>
      <c r="H289" s="630" t="s">
        <v>336</v>
      </c>
      <c r="I289" s="631" t="s">
        <v>336</v>
      </c>
      <c r="J289" s="620"/>
      <c r="K289" s="620"/>
      <c r="L289" s="620"/>
      <c r="M289" s="526"/>
      <c r="N289" s="526"/>
      <c r="O289" s="526"/>
      <c r="P289" s="526"/>
      <c r="Q289" s="526"/>
      <c r="R289" s="526"/>
      <c r="S289" s="526"/>
      <c r="T289" s="526"/>
      <c r="U289" s="526"/>
      <c r="V289" s="526"/>
      <c r="W289" s="526"/>
      <c r="X289" s="526"/>
      <c r="Y289" s="526"/>
      <c r="Z289" s="526"/>
      <c r="AA289" s="526"/>
      <c r="AB289" s="526"/>
      <c r="AC289" s="526"/>
      <c r="AD289" s="526"/>
      <c r="AE289" s="526"/>
      <c r="AF289" s="526"/>
      <c r="AG289" s="526"/>
      <c r="AH289" s="526"/>
      <c r="AI289" s="526"/>
      <c r="AJ289" s="526"/>
      <c r="AK289" s="526"/>
      <c r="AL289" s="526"/>
      <c r="AM289" s="526"/>
      <c r="AN289" s="526"/>
      <c r="AO289" s="526"/>
      <c r="AP289" s="526"/>
      <c r="AQ289" s="526"/>
      <c r="AR289" s="526"/>
      <c r="AS289" s="526"/>
      <c r="AT289" s="526"/>
      <c r="AU289" s="526"/>
      <c r="AV289" s="526"/>
      <c r="AW289" s="526"/>
      <c r="AX289" s="526"/>
    </row>
    <row r="290" spans="1:50" ht="144" x14ac:dyDescent="0.45">
      <c r="A290" s="629" t="s">
        <v>11</v>
      </c>
      <c r="B290" s="627" t="s">
        <v>336</v>
      </c>
      <c r="C290" s="514" t="s">
        <v>1294</v>
      </c>
      <c r="D290" s="630" t="s">
        <v>336</v>
      </c>
      <c r="E290" s="514" t="s">
        <v>1295</v>
      </c>
      <c r="F290" s="630" t="s">
        <v>336</v>
      </c>
      <c r="G290" s="630" t="s">
        <v>336</v>
      </c>
      <c r="H290" s="630" t="s">
        <v>336</v>
      </c>
      <c r="I290" s="631" t="s">
        <v>336</v>
      </c>
      <c r="J290" s="620"/>
      <c r="K290" s="620"/>
      <c r="L290" s="620"/>
      <c r="M290" s="526"/>
      <c r="N290" s="526"/>
      <c r="O290" s="526"/>
      <c r="P290" s="526"/>
      <c r="Q290" s="526"/>
      <c r="R290" s="526"/>
      <c r="S290" s="526"/>
      <c r="T290" s="526"/>
      <c r="U290" s="526"/>
      <c r="V290" s="526"/>
      <c r="W290" s="526"/>
      <c r="X290" s="526"/>
      <c r="Y290" s="526"/>
      <c r="Z290" s="526"/>
      <c r="AA290" s="526"/>
      <c r="AB290" s="526"/>
      <c r="AC290" s="526"/>
      <c r="AD290" s="526"/>
      <c r="AE290" s="526"/>
      <c r="AF290" s="526"/>
      <c r="AG290" s="526"/>
      <c r="AH290" s="526"/>
      <c r="AI290" s="526"/>
      <c r="AJ290" s="526"/>
      <c r="AK290" s="526"/>
      <c r="AL290" s="526"/>
      <c r="AM290" s="526"/>
      <c r="AN290" s="526"/>
      <c r="AO290" s="526"/>
      <c r="AP290" s="526"/>
      <c r="AQ290" s="526"/>
      <c r="AR290" s="526"/>
      <c r="AS290" s="526"/>
      <c r="AT290" s="526"/>
      <c r="AU290" s="526"/>
      <c r="AV290" s="526"/>
      <c r="AW290" s="526"/>
      <c r="AX290" s="526"/>
    </row>
    <row r="291" spans="1:50" ht="168" x14ac:dyDescent="0.45">
      <c r="A291" s="629" t="s">
        <v>136</v>
      </c>
      <c r="B291" s="627" t="s">
        <v>336</v>
      </c>
      <c r="C291" s="514" t="s">
        <v>1296</v>
      </c>
      <c r="D291" s="630" t="s">
        <v>336</v>
      </c>
      <c r="E291" s="514" t="s">
        <v>1297</v>
      </c>
      <c r="F291" s="630" t="s">
        <v>336</v>
      </c>
      <c r="G291" s="630" t="s">
        <v>336</v>
      </c>
      <c r="H291" s="630" t="s">
        <v>336</v>
      </c>
      <c r="I291" s="631" t="s">
        <v>336</v>
      </c>
      <c r="J291" s="620"/>
      <c r="K291" s="620"/>
      <c r="L291" s="620"/>
      <c r="M291" s="526"/>
      <c r="N291" s="526"/>
      <c r="O291" s="526"/>
      <c r="P291" s="526"/>
      <c r="Q291" s="526"/>
      <c r="R291" s="526"/>
      <c r="S291" s="526"/>
      <c r="T291" s="526"/>
      <c r="U291" s="526"/>
      <c r="V291" s="526"/>
      <c r="W291" s="526"/>
      <c r="X291" s="526"/>
      <c r="Y291" s="526"/>
      <c r="Z291" s="526"/>
      <c r="AA291" s="526"/>
      <c r="AB291" s="526"/>
      <c r="AC291" s="526"/>
      <c r="AD291" s="526"/>
      <c r="AE291" s="526"/>
      <c r="AF291" s="526"/>
      <c r="AG291" s="526"/>
      <c r="AH291" s="526"/>
      <c r="AI291" s="526"/>
      <c r="AJ291" s="526"/>
      <c r="AK291" s="526"/>
      <c r="AL291" s="526"/>
      <c r="AM291" s="526"/>
      <c r="AN291" s="526"/>
      <c r="AO291" s="526"/>
      <c r="AP291" s="526"/>
      <c r="AQ291" s="526"/>
      <c r="AR291" s="526"/>
      <c r="AS291" s="526"/>
      <c r="AT291" s="526"/>
      <c r="AU291" s="526"/>
      <c r="AV291" s="526"/>
      <c r="AW291" s="526"/>
      <c r="AX291" s="526"/>
    </row>
    <row r="292" spans="1:50" ht="192" x14ac:dyDescent="0.45">
      <c r="A292" s="629" t="s">
        <v>11</v>
      </c>
      <c r="B292" s="627" t="s">
        <v>336</v>
      </c>
      <c r="C292" s="514" t="s">
        <v>1298</v>
      </c>
      <c r="D292" s="630" t="s">
        <v>336</v>
      </c>
      <c r="E292" s="514" t="s">
        <v>1299</v>
      </c>
      <c r="F292" s="630" t="s">
        <v>336</v>
      </c>
      <c r="G292" s="630" t="s">
        <v>336</v>
      </c>
      <c r="H292" s="630" t="s">
        <v>336</v>
      </c>
      <c r="I292" s="631" t="s">
        <v>336</v>
      </c>
      <c r="J292" s="620"/>
      <c r="K292" s="620"/>
      <c r="L292" s="620"/>
      <c r="M292" s="526"/>
      <c r="N292" s="526"/>
      <c r="O292" s="526"/>
      <c r="P292" s="526"/>
      <c r="Q292" s="526"/>
      <c r="R292" s="526"/>
      <c r="S292" s="526"/>
      <c r="T292" s="526"/>
      <c r="U292" s="526"/>
      <c r="V292" s="526"/>
      <c r="W292" s="526"/>
      <c r="X292" s="526"/>
      <c r="Y292" s="526"/>
      <c r="Z292" s="526"/>
      <c r="AA292" s="526"/>
      <c r="AB292" s="526"/>
      <c r="AC292" s="526"/>
      <c r="AD292" s="526"/>
      <c r="AE292" s="526"/>
      <c r="AF292" s="526"/>
      <c r="AG292" s="526"/>
      <c r="AH292" s="526"/>
      <c r="AI292" s="526"/>
      <c r="AJ292" s="526"/>
      <c r="AK292" s="526"/>
      <c r="AL292" s="526"/>
      <c r="AM292" s="526"/>
      <c r="AN292" s="526"/>
      <c r="AO292" s="526"/>
      <c r="AP292" s="526"/>
      <c r="AQ292" s="526"/>
      <c r="AR292" s="526"/>
      <c r="AS292" s="526"/>
      <c r="AT292" s="526"/>
      <c r="AU292" s="526"/>
      <c r="AV292" s="526"/>
      <c r="AW292" s="526"/>
      <c r="AX292" s="526"/>
    </row>
    <row r="293" spans="1:50" ht="144" x14ac:dyDescent="0.45">
      <c r="A293" s="629" t="s">
        <v>136</v>
      </c>
      <c r="B293" s="627" t="s">
        <v>336</v>
      </c>
      <c r="C293" s="514" t="s">
        <v>840</v>
      </c>
      <c r="D293" s="630" t="s">
        <v>336</v>
      </c>
      <c r="E293" s="514" t="s">
        <v>1300</v>
      </c>
      <c r="F293" s="630" t="s">
        <v>336</v>
      </c>
      <c r="G293" s="630" t="s">
        <v>336</v>
      </c>
      <c r="H293" s="630" t="s">
        <v>336</v>
      </c>
      <c r="I293" s="631" t="s">
        <v>336</v>
      </c>
      <c r="J293" s="620"/>
      <c r="K293" s="620"/>
      <c r="L293" s="620"/>
      <c r="M293" s="526"/>
      <c r="N293" s="526"/>
      <c r="O293" s="526"/>
      <c r="P293" s="526"/>
      <c r="Q293" s="526"/>
      <c r="R293" s="526"/>
      <c r="S293" s="526"/>
      <c r="T293" s="526"/>
      <c r="U293" s="526"/>
      <c r="V293" s="526"/>
      <c r="W293" s="526"/>
      <c r="X293" s="526"/>
      <c r="Y293" s="526"/>
      <c r="Z293" s="526"/>
      <c r="AA293" s="526"/>
      <c r="AB293" s="526"/>
      <c r="AC293" s="526"/>
      <c r="AD293" s="526"/>
      <c r="AE293" s="526"/>
      <c r="AF293" s="526"/>
      <c r="AG293" s="526"/>
      <c r="AH293" s="526"/>
      <c r="AI293" s="526"/>
      <c r="AJ293" s="526"/>
      <c r="AK293" s="526"/>
      <c r="AL293" s="526"/>
      <c r="AM293" s="526"/>
      <c r="AN293" s="526"/>
      <c r="AO293" s="526"/>
      <c r="AP293" s="526"/>
      <c r="AQ293" s="526"/>
      <c r="AR293" s="526"/>
      <c r="AS293" s="526"/>
      <c r="AT293" s="526"/>
      <c r="AU293" s="526"/>
      <c r="AV293" s="526"/>
      <c r="AW293" s="526"/>
      <c r="AX293" s="526"/>
    </row>
    <row r="294" spans="1:50" ht="192" x14ac:dyDescent="0.45">
      <c r="A294" s="629" t="s">
        <v>845</v>
      </c>
      <c r="B294" s="627" t="s">
        <v>336</v>
      </c>
      <c r="C294" s="514" t="s">
        <v>1301</v>
      </c>
      <c r="D294" s="630" t="s">
        <v>336</v>
      </c>
      <c r="E294" s="514" t="s">
        <v>1302</v>
      </c>
      <c r="F294" s="630" t="s">
        <v>336</v>
      </c>
      <c r="G294" s="630" t="s">
        <v>336</v>
      </c>
      <c r="H294" s="630" t="s">
        <v>336</v>
      </c>
      <c r="I294" s="631" t="s">
        <v>336</v>
      </c>
      <c r="J294" s="620"/>
      <c r="K294" s="620"/>
      <c r="L294" s="620"/>
      <c r="M294" s="526"/>
      <c r="N294" s="526"/>
      <c r="O294" s="526"/>
      <c r="P294" s="526"/>
      <c r="Q294" s="526"/>
      <c r="R294" s="526"/>
      <c r="S294" s="526"/>
      <c r="T294" s="526"/>
      <c r="U294" s="526"/>
      <c r="V294" s="526"/>
      <c r="W294" s="526"/>
      <c r="X294" s="526"/>
      <c r="Y294" s="526"/>
      <c r="Z294" s="526"/>
      <c r="AA294" s="526"/>
      <c r="AB294" s="526"/>
      <c r="AC294" s="526"/>
      <c r="AD294" s="526"/>
      <c r="AE294" s="526"/>
      <c r="AF294" s="526"/>
      <c r="AG294" s="526"/>
      <c r="AH294" s="526"/>
      <c r="AI294" s="526"/>
      <c r="AJ294" s="526"/>
      <c r="AK294" s="526"/>
      <c r="AL294" s="526"/>
      <c r="AM294" s="526"/>
      <c r="AN294" s="526"/>
      <c r="AO294" s="526"/>
      <c r="AP294" s="526"/>
      <c r="AQ294" s="526"/>
      <c r="AR294" s="526"/>
      <c r="AS294" s="526"/>
      <c r="AT294" s="526"/>
      <c r="AU294" s="526"/>
      <c r="AV294" s="526"/>
      <c r="AW294" s="526"/>
      <c r="AX294" s="526"/>
    </row>
    <row r="295" spans="1:50" ht="168" x14ac:dyDescent="0.45">
      <c r="A295" s="629" t="s">
        <v>189</v>
      </c>
      <c r="B295" s="627" t="s">
        <v>336</v>
      </c>
      <c r="C295" s="514" t="s">
        <v>1303</v>
      </c>
      <c r="D295" s="630" t="s">
        <v>336</v>
      </c>
      <c r="E295" s="514" t="s">
        <v>1304</v>
      </c>
      <c r="F295" s="630" t="s">
        <v>336</v>
      </c>
      <c r="G295" s="630" t="s">
        <v>336</v>
      </c>
      <c r="H295" s="630" t="s">
        <v>336</v>
      </c>
      <c r="I295" s="631" t="s">
        <v>336</v>
      </c>
      <c r="J295" s="620"/>
      <c r="K295" s="620"/>
      <c r="L295" s="620"/>
      <c r="M295" s="526"/>
      <c r="N295" s="526"/>
      <c r="O295" s="526"/>
      <c r="P295" s="526"/>
      <c r="Q295" s="526"/>
      <c r="R295" s="526"/>
      <c r="S295" s="526"/>
      <c r="T295" s="526"/>
      <c r="U295" s="526"/>
      <c r="V295" s="526"/>
      <c r="W295" s="526"/>
      <c r="X295" s="526"/>
      <c r="Y295" s="526"/>
      <c r="Z295" s="526"/>
      <c r="AA295" s="526"/>
      <c r="AB295" s="526"/>
      <c r="AC295" s="526"/>
      <c r="AD295" s="526"/>
      <c r="AE295" s="526"/>
      <c r="AF295" s="526"/>
      <c r="AG295" s="526"/>
      <c r="AH295" s="526"/>
      <c r="AI295" s="526"/>
      <c r="AJ295" s="526"/>
      <c r="AK295" s="526"/>
      <c r="AL295" s="526"/>
      <c r="AM295" s="526"/>
      <c r="AN295" s="526"/>
      <c r="AO295" s="526"/>
      <c r="AP295" s="526"/>
      <c r="AQ295" s="526"/>
      <c r="AR295" s="526"/>
      <c r="AS295" s="526"/>
      <c r="AT295" s="526"/>
      <c r="AU295" s="526"/>
      <c r="AV295" s="526"/>
      <c r="AW295" s="526"/>
      <c r="AX295" s="526"/>
    </row>
    <row r="296" spans="1:50" ht="24" x14ac:dyDescent="0.45">
      <c r="A296" s="628" t="s">
        <v>1157</v>
      </c>
      <c r="B296" s="627" t="s">
        <v>336</v>
      </c>
      <c r="C296" s="756" t="s">
        <v>1158</v>
      </c>
      <c r="D296" s="756"/>
      <c r="E296" s="756"/>
      <c r="F296" s="756"/>
      <c r="G296" s="756"/>
      <c r="H296" s="756"/>
      <c r="I296" s="757"/>
      <c r="J296" s="620"/>
      <c r="K296" s="620"/>
      <c r="L296" s="620"/>
      <c r="M296" s="526"/>
      <c r="N296" s="526"/>
      <c r="O296" s="526"/>
      <c r="P296" s="526"/>
      <c r="Q296" s="526"/>
      <c r="R296" s="526"/>
      <c r="S296" s="526"/>
      <c r="T296" s="526"/>
      <c r="U296" s="526"/>
      <c r="V296" s="526"/>
      <c r="W296" s="526"/>
      <c r="X296" s="526"/>
      <c r="Y296" s="526"/>
      <c r="Z296" s="526"/>
      <c r="AA296" s="526"/>
      <c r="AB296" s="526"/>
      <c r="AC296" s="526"/>
      <c r="AD296" s="526"/>
      <c r="AE296" s="526"/>
      <c r="AF296" s="526"/>
      <c r="AG296" s="526"/>
      <c r="AH296" s="526"/>
      <c r="AI296" s="526"/>
      <c r="AJ296" s="526"/>
      <c r="AK296" s="526"/>
      <c r="AL296" s="526"/>
      <c r="AM296" s="526"/>
      <c r="AN296" s="526"/>
      <c r="AO296" s="526"/>
      <c r="AP296" s="526"/>
      <c r="AQ296" s="526"/>
      <c r="AR296" s="526"/>
      <c r="AS296" s="526"/>
      <c r="AT296" s="526"/>
      <c r="AU296" s="526"/>
      <c r="AV296" s="526"/>
      <c r="AW296" s="526"/>
      <c r="AX296" s="526"/>
    </row>
    <row r="297" spans="1:50" ht="168" x14ac:dyDescent="0.45">
      <c r="A297" s="629" t="s">
        <v>825</v>
      </c>
      <c r="B297" s="627" t="s">
        <v>336</v>
      </c>
      <c r="C297" s="514" t="s">
        <v>826</v>
      </c>
      <c r="D297" s="630" t="s">
        <v>336</v>
      </c>
      <c r="E297" s="514" t="s">
        <v>1205</v>
      </c>
      <c r="F297" s="630" t="s">
        <v>336</v>
      </c>
      <c r="G297" s="630" t="s">
        <v>336</v>
      </c>
      <c r="H297" s="630" t="s">
        <v>336</v>
      </c>
      <c r="I297" s="631" t="s">
        <v>336</v>
      </c>
      <c r="J297" s="620"/>
      <c r="K297" s="620"/>
      <c r="L297" s="620"/>
      <c r="M297" s="526"/>
      <c r="N297" s="526"/>
      <c r="O297" s="526"/>
      <c r="P297" s="526"/>
      <c r="Q297" s="526"/>
      <c r="R297" s="526"/>
      <c r="S297" s="526"/>
      <c r="T297" s="526"/>
      <c r="U297" s="526"/>
      <c r="V297" s="526"/>
      <c r="W297" s="526"/>
      <c r="X297" s="526"/>
      <c r="Y297" s="526"/>
      <c r="Z297" s="526"/>
      <c r="AA297" s="526"/>
      <c r="AB297" s="526"/>
      <c r="AC297" s="526"/>
      <c r="AD297" s="526"/>
      <c r="AE297" s="526"/>
      <c r="AF297" s="526"/>
      <c r="AG297" s="526"/>
      <c r="AH297" s="526"/>
      <c r="AI297" s="526"/>
      <c r="AJ297" s="526"/>
      <c r="AK297" s="526"/>
      <c r="AL297" s="526"/>
      <c r="AM297" s="526"/>
      <c r="AN297" s="526"/>
      <c r="AO297" s="526"/>
      <c r="AP297" s="526"/>
      <c r="AQ297" s="526"/>
      <c r="AR297" s="526"/>
      <c r="AS297" s="526"/>
      <c r="AT297" s="526"/>
      <c r="AU297" s="526"/>
      <c r="AV297" s="526"/>
      <c r="AW297" s="526"/>
      <c r="AX297" s="526"/>
    </row>
    <row r="298" spans="1:50" ht="96" x14ac:dyDescent="0.45">
      <c r="A298" s="629" t="s">
        <v>11</v>
      </c>
      <c r="B298" s="627" t="s">
        <v>336</v>
      </c>
      <c r="C298" s="514" t="s">
        <v>869</v>
      </c>
      <c r="D298" s="630" t="s">
        <v>336</v>
      </c>
      <c r="E298" s="514" t="s">
        <v>915</v>
      </c>
      <c r="F298" s="630" t="s">
        <v>336</v>
      </c>
      <c r="G298" s="630" t="s">
        <v>336</v>
      </c>
      <c r="H298" s="630" t="s">
        <v>336</v>
      </c>
      <c r="I298" s="631" t="s">
        <v>336</v>
      </c>
      <c r="J298" s="620"/>
      <c r="K298" s="620"/>
      <c r="L298" s="620"/>
      <c r="M298" s="526"/>
      <c r="N298" s="526"/>
      <c r="O298" s="526"/>
      <c r="P298" s="526"/>
      <c r="Q298" s="526"/>
      <c r="R298" s="526"/>
      <c r="S298" s="526"/>
      <c r="T298" s="526"/>
      <c r="U298" s="526"/>
      <c r="V298" s="526"/>
      <c r="W298" s="526"/>
      <c r="X298" s="526"/>
      <c r="Y298" s="526"/>
      <c r="Z298" s="526"/>
      <c r="AA298" s="526"/>
      <c r="AB298" s="526"/>
      <c r="AC298" s="526"/>
      <c r="AD298" s="526"/>
      <c r="AE298" s="526"/>
      <c r="AF298" s="526"/>
      <c r="AG298" s="526"/>
      <c r="AH298" s="526"/>
      <c r="AI298" s="526"/>
      <c r="AJ298" s="526"/>
      <c r="AK298" s="526"/>
      <c r="AL298" s="526"/>
      <c r="AM298" s="526"/>
      <c r="AN298" s="526"/>
      <c r="AO298" s="526"/>
      <c r="AP298" s="526"/>
      <c r="AQ298" s="526"/>
      <c r="AR298" s="526"/>
      <c r="AS298" s="526"/>
      <c r="AT298" s="526"/>
      <c r="AU298" s="526"/>
      <c r="AV298" s="526"/>
      <c r="AW298" s="526"/>
      <c r="AX298" s="526"/>
    </row>
    <row r="299" spans="1:50" ht="192" x14ac:dyDescent="0.45">
      <c r="A299" s="629" t="s">
        <v>11</v>
      </c>
      <c r="B299" s="627" t="s">
        <v>336</v>
      </c>
      <c r="C299" s="514" t="s">
        <v>1305</v>
      </c>
      <c r="D299" s="630" t="s">
        <v>336</v>
      </c>
      <c r="E299" s="514" t="s">
        <v>1306</v>
      </c>
      <c r="F299" s="630" t="s">
        <v>336</v>
      </c>
      <c r="G299" s="630" t="s">
        <v>336</v>
      </c>
      <c r="H299" s="630" t="s">
        <v>336</v>
      </c>
      <c r="I299" s="631" t="s">
        <v>336</v>
      </c>
      <c r="J299" s="620"/>
      <c r="K299" s="620"/>
      <c r="L299" s="620"/>
      <c r="M299" s="526"/>
      <c r="N299" s="526"/>
      <c r="O299" s="526"/>
      <c r="P299" s="526"/>
      <c r="Q299" s="526"/>
      <c r="R299" s="526"/>
      <c r="S299" s="526"/>
      <c r="T299" s="526"/>
      <c r="U299" s="526"/>
      <c r="V299" s="526"/>
      <c r="W299" s="526"/>
      <c r="X299" s="526"/>
      <c r="Y299" s="526"/>
      <c r="Z299" s="526"/>
      <c r="AA299" s="526"/>
      <c r="AB299" s="526"/>
      <c r="AC299" s="526"/>
      <c r="AD299" s="526"/>
      <c r="AE299" s="526"/>
      <c r="AF299" s="526"/>
      <c r="AG299" s="526"/>
      <c r="AH299" s="526"/>
      <c r="AI299" s="526"/>
      <c r="AJ299" s="526"/>
      <c r="AK299" s="526"/>
      <c r="AL299" s="526"/>
      <c r="AM299" s="526"/>
      <c r="AN299" s="526"/>
      <c r="AO299" s="526"/>
      <c r="AP299" s="526"/>
      <c r="AQ299" s="526"/>
      <c r="AR299" s="526"/>
      <c r="AS299" s="526"/>
      <c r="AT299" s="526"/>
      <c r="AU299" s="526"/>
      <c r="AV299" s="526"/>
      <c r="AW299" s="526"/>
      <c r="AX299" s="526"/>
    </row>
    <row r="300" spans="1:50" ht="216" x14ac:dyDescent="0.45">
      <c r="A300" s="629" t="s">
        <v>136</v>
      </c>
      <c r="B300" s="627" t="s">
        <v>336</v>
      </c>
      <c r="C300" s="514" t="s">
        <v>1307</v>
      </c>
      <c r="D300" s="630" t="s">
        <v>336</v>
      </c>
      <c r="E300" s="514" t="s">
        <v>1308</v>
      </c>
      <c r="F300" s="630" t="s">
        <v>336</v>
      </c>
      <c r="G300" s="630" t="s">
        <v>336</v>
      </c>
      <c r="H300" s="630" t="s">
        <v>336</v>
      </c>
      <c r="I300" s="631" t="s">
        <v>336</v>
      </c>
      <c r="J300" s="620"/>
      <c r="K300" s="620"/>
      <c r="L300" s="620"/>
      <c r="M300" s="526"/>
      <c r="N300" s="526"/>
      <c r="O300" s="526"/>
      <c r="P300" s="526"/>
      <c r="Q300" s="526"/>
      <c r="R300" s="526"/>
      <c r="S300" s="526"/>
      <c r="T300" s="526"/>
      <c r="U300" s="526"/>
      <c r="V300" s="526"/>
      <c r="W300" s="526"/>
      <c r="X300" s="526"/>
      <c r="Y300" s="526"/>
      <c r="Z300" s="526"/>
      <c r="AA300" s="526"/>
      <c r="AB300" s="526"/>
      <c r="AC300" s="526"/>
      <c r="AD300" s="526"/>
      <c r="AE300" s="526"/>
      <c r="AF300" s="526"/>
      <c r="AG300" s="526"/>
      <c r="AH300" s="526"/>
      <c r="AI300" s="526"/>
      <c r="AJ300" s="526"/>
      <c r="AK300" s="526"/>
      <c r="AL300" s="526"/>
      <c r="AM300" s="526"/>
      <c r="AN300" s="526"/>
      <c r="AO300" s="526"/>
      <c r="AP300" s="526"/>
      <c r="AQ300" s="526"/>
      <c r="AR300" s="526"/>
      <c r="AS300" s="526"/>
      <c r="AT300" s="526"/>
      <c r="AU300" s="526"/>
      <c r="AV300" s="526"/>
      <c r="AW300" s="526"/>
      <c r="AX300" s="526"/>
    </row>
    <row r="301" spans="1:50" ht="168" x14ac:dyDescent="0.45">
      <c r="A301" s="629" t="s">
        <v>845</v>
      </c>
      <c r="B301" s="627" t="s">
        <v>336</v>
      </c>
      <c r="C301" s="514" t="s">
        <v>880</v>
      </c>
      <c r="D301" s="630" t="s">
        <v>336</v>
      </c>
      <c r="E301" s="514" t="s">
        <v>1196</v>
      </c>
      <c r="F301" s="630" t="s">
        <v>336</v>
      </c>
      <c r="G301" s="630" t="s">
        <v>336</v>
      </c>
      <c r="H301" s="630" t="s">
        <v>336</v>
      </c>
      <c r="I301" s="631" t="s">
        <v>336</v>
      </c>
      <c r="J301" s="620"/>
      <c r="K301" s="620"/>
      <c r="L301" s="620"/>
      <c r="M301" s="526"/>
      <c r="N301" s="526"/>
      <c r="O301" s="526"/>
      <c r="P301" s="526"/>
      <c r="Q301" s="526"/>
      <c r="R301" s="526"/>
      <c r="S301" s="526"/>
      <c r="T301" s="526"/>
      <c r="U301" s="526"/>
      <c r="V301" s="526"/>
      <c r="W301" s="526"/>
      <c r="X301" s="526"/>
      <c r="Y301" s="526"/>
      <c r="Z301" s="526"/>
      <c r="AA301" s="526"/>
      <c r="AB301" s="526"/>
      <c r="AC301" s="526"/>
      <c r="AD301" s="526"/>
      <c r="AE301" s="526"/>
      <c r="AF301" s="526"/>
      <c r="AG301" s="526"/>
      <c r="AH301" s="526"/>
      <c r="AI301" s="526"/>
      <c r="AJ301" s="526"/>
      <c r="AK301" s="526"/>
      <c r="AL301" s="526"/>
      <c r="AM301" s="526"/>
      <c r="AN301" s="526"/>
      <c r="AO301" s="526"/>
      <c r="AP301" s="526"/>
      <c r="AQ301" s="526"/>
      <c r="AR301" s="526"/>
      <c r="AS301" s="526"/>
      <c r="AT301" s="526"/>
      <c r="AU301" s="526"/>
      <c r="AV301" s="526"/>
      <c r="AW301" s="526"/>
      <c r="AX301" s="526"/>
    </row>
    <row r="302" spans="1:50" ht="96" x14ac:dyDescent="0.45">
      <c r="A302" s="629" t="s">
        <v>189</v>
      </c>
      <c r="B302" s="627" t="s">
        <v>336</v>
      </c>
      <c r="C302" s="514" t="s">
        <v>1309</v>
      </c>
      <c r="D302" s="630" t="s">
        <v>336</v>
      </c>
      <c r="E302" s="514" t="s">
        <v>901</v>
      </c>
      <c r="F302" s="630" t="s">
        <v>336</v>
      </c>
      <c r="G302" s="630" t="s">
        <v>336</v>
      </c>
      <c r="H302" s="630" t="s">
        <v>336</v>
      </c>
      <c r="I302" s="631" t="s">
        <v>336</v>
      </c>
      <c r="J302" s="620"/>
      <c r="K302" s="620"/>
      <c r="L302" s="620"/>
      <c r="M302" s="526"/>
      <c r="N302" s="526"/>
      <c r="O302" s="526"/>
      <c r="P302" s="526"/>
      <c r="Q302" s="526"/>
      <c r="R302" s="526"/>
      <c r="S302" s="526"/>
      <c r="T302" s="526"/>
      <c r="U302" s="526"/>
      <c r="V302" s="526"/>
      <c r="W302" s="526"/>
      <c r="X302" s="526"/>
      <c r="Y302" s="526"/>
      <c r="Z302" s="526"/>
      <c r="AA302" s="526"/>
      <c r="AB302" s="526"/>
      <c r="AC302" s="526"/>
      <c r="AD302" s="526"/>
      <c r="AE302" s="526"/>
      <c r="AF302" s="526"/>
      <c r="AG302" s="526"/>
      <c r="AH302" s="526"/>
      <c r="AI302" s="526"/>
      <c r="AJ302" s="526"/>
      <c r="AK302" s="526"/>
      <c r="AL302" s="526"/>
      <c r="AM302" s="526"/>
      <c r="AN302" s="526"/>
      <c r="AO302" s="526"/>
      <c r="AP302" s="526"/>
      <c r="AQ302" s="526"/>
      <c r="AR302" s="526"/>
      <c r="AS302" s="526"/>
      <c r="AT302" s="526"/>
      <c r="AU302" s="526"/>
      <c r="AV302" s="526"/>
      <c r="AW302" s="526"/>
      <c r="AX302" s="526"/>
    </row>
    <row r="303" spans="1:50" ht="24" x14ac:dyDescent="0.45">
      <c r="A303" s="628" t="s">
        <v>1159</v>
      </c>
      <c r="B303" s="627" t="s">
        <v>336</v>
      </c>
      <c r="C303" s="756" t="s">
        <v>1160</v>
      </c>
      <c r="D303" s="756"/>
      <c r="E303" s="756"/>
      <c r="F303" s="756"/>
      <c r="G303" s="756"/>
      <c r="H303" s="756"/>
      <c r="I303" s="757"/>
      <c r="J303" s="620"/>
      <c r="K303" s="620"/>
      <c r="L303" s="620"/>
      <c r="M303" s="526"/>
      <c r="N303" s="526"/>
      <c r="O303" s="526"/>
      <c r="P303" s="526"/>
      <c r="Q303" s="526"/>
      <c r="R303" s="526"/>
      <c r="S303" s="526"/>
      <c r="T303" s="526"/>
      <c r="U303" s="526"/>
      <c r="V303" s="526"/>
      <c r="W303" s="526"/>
      <c r="X303" s="526"/>
      <c r="Y303" s="526"/>
      <c r="Z303" s="526"/>
      <c r="AA303" s="526"/>
      <c r="AB303" s="526"/>
      <c r="AC303" s="526"/>
      <c r="AD303" s="526"/>
      <c r="AE303" s="526"/>
      <c r="AF303" s="526"/>
      <c r="AG303" s="526"/>
      <c r="AH303" s="526"/>
      <c r="AI303" s="526"/>
      <c r="AJ303" s="526"/>
      <c r="AK303" s="526"/>
      <c r="AL303" s="526"/>
      <c r="AM303" s="526"/>
      <c r="AN303" s="526"/>
      <c r="AO303" s="526"/>
      <c r="AP303" s="526"/>
      <c r="AQ303" s="526"/>
      <c r="AR303" s="526"/>
      <c r="AS303" s="526"/>
      <c r="AT303" s="526"/>
      <c r="AU303" s="526"/>
      <c r="AV303" s="526"/>
      <c r="AW303" s="526"/>
      <c r="AX303" s="526"/>
    </row>
    <row r="304" spans="1:50" ht="168" x14ac:dyDescent="0.45">
      <c r="A304" s="629" t="s">
        <v>825</v>
      </c>
      <c r="B304" s="627" t="s">
        <v>336</v>
      </c>
      <c r="C304" s="514" t="s">
        <v>1310</v>
      </c>
      <c r="D304" s="630" t="s">
        <v>336</v>
      </c>
      <c r="E304" s="514" t="s">
        <v>1311</v>
      </c>
      <c r="F304" s="630" t="s">
        <v>336</v>
      </c>
      <c r="G304" s="630" t="s">
        <v>336</v>
      </c>
      <c r="H304" s="630" t="s">
        <v>336</v>
      </c>
      <c r="I304" s="631" t="s">
        <v>336</v>
      </c>
      <c r="J304" s="620"/>
      <c r="K304" s="620"/>
      <c r="L304" s="620"/>
      <c r="M304" s="526"/>
      <c r="N304" s="526"/>
      <c r="O304" s="526"/>
      <c r="P304" s="526"/>
      <c r="Q304" s="526"/>
      <c r="R304" s="526"/>
      <c r="S304" s="526"/>
      <c r="T304" s="526"/>
      <c r="U304" s="526"/>
      <c r="V304" s="526"/>
      <c r="W304" s="526"/>
      <c r="X304" s="526"/>
      <c r="Y304" s="526"/>
      <c r="Z304" s="526"/>
      <c r="AA304" s="526"/>
      <c r="AB304" s="526"/>
      <c r="AC304" s="526"/>
      <c r="AD304" s="526"/>
      <c r="AE304" s="526"/>
      <c r="AF304" s="526"/>
      <c r="AG304" s="526"/>
      <c r="AH304" s="526"/>
      <c r="AI304" s="526"/>
      <c r="AJ304" s="526"/>
      <c r="AK304" s="526"/>
      <c r="AL304" s="526"/>
      <c r="AM304" s="526"/>
      <c r="AN304" s="526"/>
      <c r="AO304" s="526"/>
      <c r="AP304" s="526"/>
      <c r="AQ304" s="526"/>
      <c r="AR304" s="526"/>
      <c r="AS304" s="526"/>
      <c r="AT304" s="526"/>
      <c r="AU304" s="526"/>
      <c r="AV304" s="526"/>
      <c r="AW304" s="526"/>
      <c r="AX304" s="526"/>
    </row>
    <row r="305" spans="1:50" ht="168" x14ac:dyDescent="0.45">
      <c r="A305" s="629" t="s">
        <v>825</v>
      </c>
      <c r="B305" s="627" t="s">
        <v>336</v>
      </c>
      <c r="C305" s="514" t="s">
        <v>1312</v>
      </c>
      <c r="D305" s="630" t="s">
        <v>336</v>
      </c>
      <c r="E305" s="514" t="s">
        <v>1313</v>
      </c>
      <c r="F305" s="630" t="s">
        <v>336</v>
      </c>
      <c r="G305" s="630" t="s">
        <v>336</v>
      </c>
      <c r="H305" s="630" t="s">
        <v>336</v>
      </c>
      <c r="I305" s="631" t="s">
        <v>336</v>
      </c>
      <c r="J305" s="620"/>
      <c r="K305" s="620"/>
      <c r="L305" s="620"/>
      <c r="M305" s="526"/>
      <c r="N305" s="526"/>
      <c r="O305" s="526"/>
      <c r="P305" s="526"/>
      <c r="Q305" s="526"/>
      <c r="R305" s="526"/>
      <c r="S305" s="526"/>
      <c r="T305" s="526"/>
      <c r="U305" s="526"/>
      <c r="V305" s="526"/>
      <c r="W305" s="526"/>
      <c r="X305" s="526"/>
      <c r="Y305" s="526"/>
      <c r="Z305" s="526"/>
      <c r="AA305" s="526"/>
      <c r="AB305" s="526"/>
      <c r="AC305" s="526"/>
      <c r="AD305" s="526"/>
      <c r="AE305" s="526"/>
      <c r="AF305" s="526"/>
      <c r="AG305" s="526"/>
      <c r="AH305" s="526"/>
      <c r="AI305" s="526"/>
      <c r="AJ305" s="526"/>
      <c r="AK305" s="526"/>
      <c r="AL305" s="526"/>
      <c r="AM305" s="526"/>
      <c r="AN305" s="526"/>
      <c r="AO305" s="526"/>
      <c r="AP305" s="526"/>
      <c r="AQ305" s="526"/>
      <c r="AR305" s="526"/>
      <c r="AS305" s="526"/>
      <c r="AT305" s="526"/>
      <c r="AU305" s="526"/>
      <c r="AV305" s="526"/>
      <c r="AW305" s="526"/>
      <c r="AX305" s="526"/>
    </row>
    <row r="306" spans="1:50" ht="168" x14ac:dyDescent="0.45">
      <c r="A306" s="629" t="s">
        <v>11</v>
      </c>
      <c r="B306" s="627" t="s">
        <v>336</v>
      </c>
      <c r="C306" s="514" t="s">
        <v>1314</v>
      </c>
      <c r="D306" s="630" t="s">
        <v>336</v>
      </c>
      <c r="E306" s="514" t="s">
        <v>1315</v>
      </c>
      <c r="F306" s="630" t="s">
        <v>336</v>
      </c>
      <c r="G306" s="630" t="s">
        <v>336</v>
      </c>
      <c r="H306" s="630" t="s">
        <v>336</v>
      </c>
      <c r="I306" s="631" t="s">
        <v>336</v>
      </c>
      <c r="J306" s="620"/>
      <c r="K306" s="620"/>
      <c r="L306" s="620"/>
      <c r="M306" s="526"/>
      <c r="N306" s="526"/>
      <c r="O306" s="526"/>
      <c r="P306" s="526"/>
      <c r="Q306" s="526"/>
      <c r="R306" s="526"/>
      <c r="S306" s="526"/>
      <c r="T306" s="526"/>
      <c r="U306" s="526"/>
      <c r="V306" s="526"/>
      <c r="W306" s="526"/>
      <c r="X306" s="526"/>
      <c r="Y306" s="526"/>
      <c r="Z306" s="526"/>
      <c r="AA306" s="526"/>
      <c r="AB306" s="526"/>
      <c r="AC306" s="526"/>
      <c r="AD306" s="526"/>
      <c r="AE306" s="526"/>
      <c r="AF306" s="526"/>
      <c r="AG306" s="526"/>
      <c r="AH306" s="526"/>
      <c r="AI306" s="526"/>
      <c r="AJ306" s="526"/>
      <c r="AK306" s="526"/>
      <c r="AL306" s="526"/>
      <c r="AM306" s="526"/>
      <c r="AN306" s="526"/>
      <c r="AO306" s="526"/>
      <c r="AP306" s="526"/>
      <c r="AQ306" s="526"/>
      <c r="AR306" s="526"/>
      <c r="AS306" s="526"/>
      <c r="AT306" s="526"/>
      <c r="AU306" s="526"/>
      <c r="AV306" s="526"/>
      <c r="AW306" s="526"/>
      <c r="AX306" s="526"/>
    </row>
    <row r="307" spans="1:50" ht="72" x14ac:dyDescent="0.45">
      <c r="A307" s="629" t="s">
        <v>136</v>
      </c>
      <c r="B307" s="627" t="s">
        <v>336</v>
      </c>
      <c r="C307" s="514" t="s">
        <v>840</v>
      </c>
      <c r="D307" s="630" t="s">
        <v>336</v>
      </c>
      <c r="E307" s="514" t="s">
        <v>1195</v>
      </c>
      <c r="F307" s="630" t="s">
        <v>336</v>
      </c>
      <c r="G307" s="630" t="s">
        <v>336</v>
      </c>
      <c r="H307" s="630" t="s">
        <v>336</v>
      </c>
      <c r="I307" s="631" t="s">
        <v>336</v>
      </c>
      <c r="J307" s="620"/>
      <c r="K307" s="620"/>
      <c r="L307" s="620"/>
      <c r="M307" s="526"/>
      <c r="N307" s="526"/>
      <c r="O307" s="526"/>
      <c r="P307" s="526"/>
      <c r="Q307" s="526"/>
      <c r="R307" s="526"/>
      <c r="S307" s="526"/>
      <c r="T307" s="526"/>
      <c r="U307" s="526"/>
      <c r="V307" s="526"/>
      <c r="W307" s="526"/>
      <c r="X307" s="526"/>
      <c r="Y307" s="526"/>
      <c r="Z307" s="526"/>
      <c r="AA307" s="526"/>
      <c r="AB307" s="526"/>
      <c r="AC307" s="526"/>
      <c r="AD307" s="526"/>
      <c r="AE307" s="526"/>
      <c r="AF307" s="526"/>
      <c r="AG307" s="526"/>
      <c r="AH307" s="526"/>
      <c r="AI307" s="526"/>
      <c r="AJ307" s="526"/>
      <c r="AK307" s="526"/>
      <c r="AL307" s="526"/>
      <c r="AM307" s="526"/>
      <c r="AN307" s="526"/>
      <c r="AO307" s="526"/>
      <c r="AP307" s="526"/>
      <c r="AQ307" s="526"/>
      <c r="AR307" s="526"/>
      <c r="AS307" s="526"/>
      <c r="AT307" s="526"/>
      <c r="AU307" s="526"/>
      <c r="AV307" s="526"/>
      <c r="AW307" s="526"/>
      <c r="AX307" s="526"/>
    </row>
    <row r="308" spans="1:50" ht="168" x14ac:dyDescent="0.45">
      <c r="A308" s="629" t="s">
        <v>845</v>
      </c>
      <c r="B308" s="627" t="s">
        <v>336</v>
      </c>
      <c r="C308" s="514" t="s">
        <v>880</v>
      </c>
      <c r="D308" s="630" t="s">
        <v>336</v>
      </c>
      <c r="E308" s="514" t="s">
        <v>1196</v>
      </c>
      <c r="F308" s="630" t="s">
        <v>336</v>
      </c>
      <c r="G308" s="630" t="s">
        <v>336</v>
      </c>
      <c r="H308" s="630" t="s">
        <v>336</v>
      </c>
      <c r="I308" s="631" t="s">
        <v>336</v>
      </c>
      <c r="J308" s="620"/>
      <c r="K308" s="620"/>
      <c r="L308" s="620"/>
      <c r="M308" s="526"/>
      <c r="N308" s="526"/>
      <c r="O308" s="526"/>
      <c r="P308" s="526"/>
      <c r="Q308" s="526"/>
      <c r="R308" s="526"/>
      <c r="S308" s="526"/>
      <c r="T308" s="526"/>
      <c r="U308" s="526"/>
      <c r="V308" s="526"/>
      <c r="W308" s="526"/>
      <c r="X308" s="526"/>
      <c r="Y308" s="526"/>
      <c r="Z308" s="526"/>
      <c r="AA308" s="526"/>
      <c r="AB308" s="526"/>
      <c r="AC308" s="526"/>
      <c r="AD308" s="526"/>
      <c r="AE308" s="526"/>
      <c r="AF308" s="526"/>
      <c r="AG308" s="526"/>
      <c r="AH308" s="526"/>
      <c r="AI308" s="526"/>
      <c r="AJ308" s="526"/>
      <c r="AK308" s="526"/>
      <c r="AL308" s="526"/>
      <c r="AM308" s="526"/>
      <c r="AN308" s="526"/>
      <c r="AO308" s="526"/>
      <c r="AP308" s="526"/>
      <c r="AQ308" s="526"/>
      <c r="AR308" s="526"/>
      <c r="AS308" s="526"/>
      <c r="AT308" s="526"/>
      <c r="AU308" s="526"/>
      <c r="AV308" s="526"/>
      <c r="AW308" s="526"/>
      <c r="AX308" s="526"/>
    </row>
    <row r="309" spans="1:50" ht="96" x14ac:dyDescent="0.45">
      <c r="A309" s="629" t="s">
        <v>189</v>
      </c>
      <c r="B309" s="627" t="s">
        <v>336</v>
      </c>
      <c r="C309" s="514" t="s">
        <v>866</v>
      </c>
      <c r="D309" s="630" t="s">
        <v>336</v>
      </c>
      <c r="E309" s="514" t="s">
        <v>901</v>
      </c>
      <c r="F309" s="630" t="s">
        <v>336</v>
      </c>
      <c r="G309" s="630" t="s">
        <v>336</v>
      </c>
      <c r="H309" s="630" t="s">
        <v>336</v>
      </c>
      <c r="I309" s="631" t="s">
        <v>336</v>
      </c>
      <c r="J309" s="620"/>
      <c r="K309" s="620"/>
      <c r="L309" s="620"/>
      <c r="M309" s="526"/>
      <c r="N309" s="526"/>
      <c r="O309" s="526"/>
      <c r="P309" s="526"/>
      <c r="Q309" s="526"/>
      <c r="R309" s="526"/>
      <c r="S309" s="526"/>
      <c r="T309" s="526"/>
      <c r="U309" s="526"/>
      <c r="V309" s="526"/>
      <c r="W309" s="526"/>
      <c r="X309" s="526"/>
      <c r="Y309" s="526"/>
      <c r="Z309" s="526"/>
      <c r="AA309" s="526"/>
      <c r="AB309" s="526"/>
      <c r="AC309" s="526"/>
      <c r="AD309" s="526"/>
      <c r="AE309" s="526"/>
      <c r="AF309" s="526"/>
      <c r="AG309" s="526"/>
      <c r="AH309" s="526"/>
      <c r="AI309" s="526"/>
      <c r="AJ309" s="526"/>
      <c r="AK309" s="526"/>
      <c r="AL309" s="526"/>
      <c r="AM309" s="526"/>
      <c r="AN309" s="526"/>
      <c r="AO309" s="526"/>
      <c r="AP309" s="526"/>
      <c r="AQ309" s="526"/>
      <c r="AR309" s="526"/>
      <c r="AS309" s="526"/>
      <c r="AT309" s="526"/>
      <c r="AU309" s="526"/>
      <c r="AV309" s="526"/>
      <c r="AW309" s="526"/>
      <c r="AX309" s="526"/>
    </row>
    <row r="310" spans="1:50" ht="16.2" x14ac:dyDescent="0.45">
      <c r="A310" s="624" t="s">
        <v>336</v>
      </c>
      <c r="B310" s="625" t="s">
        <v>336</v>
      </c>
      <c r="C310" s="625" t="s">
        <v>336</v>
      </c>
      <c r="D310" s="466" t="s">
        <v>336</v>
      </c>
      <c r="E310" s="466" t="s">
        <v>336</v>
      </c>
      <c r="F310" s="466" t="s">
        <v>336</v>
      </c>
      <c r="G310" s="466" t="s">
        <v>336</v>
      </c>
      <c r="H310" s="466" t="s">
        <v>336</v>
      </c>
      <c r="I310" s="466" t="s">
        <v>336</v>
      </c>
      <c r="J310" s="526"/>
      <c r="K310" s="526"/>
      <c r="L310" s="526"/>
      <c r="M310" s="526"/>
      <c r="N310" s="526"/>
      <c r="O310" s="526"/>
      <c r="P310" s="526"/>
      <c r="Q310" s="526"/>
      <c r="R310" s="526"/>
      <c r="S310" s="526"/>
      <c r="T310" s="526"/>
      <c r="U310" s="526"/>
      <c r="V310" s="526"/>
      <c r="W310" s="526"/>
      <c r="X310" s="526"/>
      <c r="Y310" s="526"/>
      <c r="Z310" s="526"/>
      <c r="AA310" s="526"/>
      <c r="AB310" s="526"/>
      <c r="AC310" s="526"/>
      <c r="AD310" s="526"/>
      <c r="AE310" s="526"/>
      <c r="AF310" s="526"/>
      <c r="AG310" s="526"/>
      <c r="AH310" s="526"/>
      <c r="AI310" s="526"/>
      <c r="AJ310" s="526"/>
      <c r="AK310" s="526"/>
      <c r="AL310" s="526"/>
      <c r="AM310" s="526"/>
      <c r="AN310" s="526"/>
      <c r="AO310" s="526"/>
      <c r="AP310" s="526"/>
      <c r="AQ310" s="526"/>
      <c r="AR310" s="526"/>
      <c r="AS310" s="526"/>
      <c r="AT310" s="526"/>
      <c r="AU310" s="526"/>
      <c r="AV310" s="526"/>
      <c r="AW310" s="526"/>
      <c r="AX310" s="526"/>
    </row>
    <row r="311" spans="1:50" ht="16.2" x14ac:dyDescent="0.45">
      <c r="A311" s="624" t="s">
        <v>336</v>
      </c>
      <c r="B311" s="625" t="s">
        <v>336</v>
      </c>
      <c r="C311" s="625" t="s">
        <v>336</v>
      </c>
      <c r="D311" s="466" t="s">
        <v>336</v>
      </c>
      <c r="E311" s="466" t="s">
        <v>336</v>
      </c>
      <c r="F311" s="466" t="s">
        <v>336</v>
      </c>
      <c r="G311" s="466" t="s">
        <v>336</v>
      </c>
      <c r="H311" s="466" t="s">
        <v>336</v>
      </c>
      <c r="I311" s="466" t="s">
        <v>336</v>
      </c>
      <c r="J311" s="526"/>
      <c r="K311" s="526"/>
      <c r="L311" s="526"/>
      <c r="M311" s="526"/>
      <c r="N311" s="526"/>
      <c r="O311" s="526"/>
      <c r="P311" s="526"/>
      <c r="Q311" s="526"/>
      <c r="R311" s="526"/>
      <c r="S311" s="526"/>
      <c r="T311" s="526"/>
      <c r="U311" s="526"/>
      <c r="V311" s="526"/>
      <c r="W311" s="526"/>
      <c r="X311" s="526"/>
      <c r="Y311" s="526"/>
      <c r="Z311" s="526"/>
      <c r="AA311" s="526"/>
      <c r="AB311" s="526"/>
      <c r="AC311" s="526"/>
      <c r="AD311" s="526"/>
      <c r="AE311" s="526"/>
      <c r="AF311" s="526"/>
      <c r="AG311" s="526"/>
      <c r="AH311" s="526"/>
      <c r="AI311" s="526"/>
      <c r="AJ311" s="526"/>
      <c r="AK311" s="526"/>
      <c r="AL311" s="526"/>
      <c r="AM311" s="526"/>
      <c r="AN311" s="526"/>
      <c r="AO311" s="526"/>
      <c r="AP311" s="526"/>
      <c r="AQ311" s="526"/>
      <c r="AR311" s="526"/>
      <c r="AS311" s="526"/>
      <c r="AT311" s="526"/>
      <c r="AU311" s="526"/>
      <c r="AV311" s="526"/>
      <c r="AW311" s="526"/>
      <c r="AX311" s="526"/>
    </row>
    <row r="312" spans="1:50" ht="16.2" x14ac:dyDescent="0.45">
      <c r="A312" s="624" t="s">
        <v>336</v>
      </c>
      <c r="B312" s="625" t="s">
        <v>336</v>
      </c>
      <c r="C312" s="625" t="s">
        <v>336</v>
      </c>
      <c r="D312" s="466" t="s">
        <v>336</v>
      </c>
      <c r="E312" s="466" t="s">
        <v>336</v>
      </c>
      <c r="F312" s="466" t="s">
        <v>336</v>
      </c>
      <c r="G312" s="466" t="s">
        <v>336</v>
      </c>
      <c r="H312" s="466" t="s">
        <v>336</v>
      </c>
      <c r="I312" s="466" t="s">
        <v>336</v>
      </c>
      <c r="J312" s="526"/>
      <c r="K312" s="526"/>
      <c r="L312" s="526"/>
      <c r="M312" s="526"/>
      <c r="N312" s="526"/>
      <c r="O312" s="526"/>
      <c r="P312" s="526"/>
      <c r="Q312" s="526"/>
      <c r="R312" s="526"/>
      <c r="S312" s="526"/>
      <c r="T312" s="526"/>
      <c r="U312" s="526"/>
      <c r="V312" s="526"/>
      <c r="W312" s="526"/>
      <c r="X312" s="526"/>
      <c r="Y312" s="526"/>
      <c r="Z312" s="526"/>
      <c r="AA312" s="526"/>
      <c r="AB312" s="526"/>
      <c r="AC312" s="526"/>
      <c r="AD312" s="526"/>
      <c r="AE312" s="526"/>
      <c r="AF312" s="526"/>
      <c r="AG312" s="526"/>
      <c r="AH312" s="526"/>
      <c r="AI312" s="526"/>
      <c r="AJ312" s="526"/>
      <c r="AK312" s="526"/>
      <c r="AL312" s="526"/>
      <c r="AM312" s="526"/>
      <c r="AN312" s="526"/>
      <c r="AO312" s="526"/>
      <c r="AP312" s="526"/>
      <c r="AQ312" s="526"/>
      <c r="AR312" s="526"/>
      <c r="AS312" s="526"/>
      <c r="AT312" s="526"/>
      <c r="AU312" s="526"/>
      <c r="AV312" s="526"/>
      <c r="AW312" s="526"/>
      <c r="AX312" s="526"/>
    </row>
    <row r="313" spans="1:50" ht="16.2" x14ac:dyDescent="0.45">
      <c r="A313" s="624" t="s">
        <v>336</v>
      </c>
      <c r="B313" s="625" t="s">
        <v>336</v>
      </c>
      <c r="C313" s="625" t="s">
        <v>336</v>
      </c>
      <c r="D313" s="466" t="s">
        <v>336</v>
      </c>
      <c r="E313" s="466" t="s">
        <v>336</v>
      </c>
      <c r="F313" s="466" t="s">
        <v>336</v>
      </c>
      <c r="G313" s="466" t="s">
        <v>336</v>
      </c>
      <c r="H313" s="466" t="s">
        <v>336</v>
      </c>
      <c r="I313" s="466" t="s">
        <v>336</v>
      </c>
      <c r="J313" s="526"/>
      <c r="K313" s="526"/>
      <c r="L313" s="526"/>
      <c r="M313" s="526"/>
      <c r="N313" s="526"/>
      <c r="O313" s="526"/>
      <c r="P313" s="526"/>
      <c r="Q313" s="526"/>
      <c r="R313" s="526"/>
      <c r="S313" s="526"/>
      <c r="T313" s="526"/>
      <c r="U313" s="526"/>
      <c r="V313" s="526"/>
      <c r="W313" s="526"/>
      <c r="X313" s="526"/>
      <c r="Y313" s="526"/>
      <c r="Z313" s="526"/>
      <c r="AA313" s="526"/>
      <c r="AB313" s="526"/>
      <c r="AC313" s="526"/>
      <c r="AD313" s="526"/>
      <c r="AE313" s="526"/>
      <c r="AF313" s="526"/>
      <c r="AG313" s="526"/>
      <c r="AH313" s="526"/>
      <c r="AI313" s="526"/>
      <c r="AJ313" s="526"/>
      <c r="AK313" s="526"/>
      <c r="AL313" s="526"/>
      <c r="AM313" s="526"/>
      <c r="AN313" s="526"/>
      <c r="AO313" s="526"/>
      <c r="AP313" s="526"/>
      <c r="AQ313" s="526"/>
      <c r="AR313" s="526"/>
      <c r="AS313" s="526"/>
      <c r="AT313" s="526"/>
      <c r="AU313" s="526"/>
      <c r="AV313" s="526"/>
      <c r="AW313" s="526"/>
      <c r="AX313" s="526"/>
    </row>
    <row r="314" spans="1:50" ht="16.2" x14ac:dyDescent="0.45">
      <c r="A314" s="624" t="s">
        <v>336</v>
      </c>
      <c r="B314" s="625" t="s">
        <v>336</v>
      </c>
      <c r="C314" s="625" t="s">
        <v>336</v>
      </c>
      <c r="D314" s="466" t="s">
        <v>336</v>
      </c>
      <c r="E314" s="466" t="s">
        <v>336</v>
      </c>
      <c r="F314" s="466" t="s">
        <v>336</v>
      </c>
      <c r="G314" s="466" t="s">
        <v>336</v>
      </c>
      <c r="H314" s="466" t="s">
        <v>336</v>
      </c>
      <c r="I314" s="466" t="s">
        <v>336</v>
      </c>
      <c r="J314" s="526"/>
      <c r="K314" s="526"/>
      <c r="L314" s="526"/>
      <c r="M314" s="526"/>
      <c r="N314" s="526"/>
      <c r="O314" s="526"/>
      <c r="P314" s="526"/>
      <c r="Q314" s="526"/>
      <c r="R314" s="526"/>
      <c r="S314" s="526"/>
      <c r="T314" s="526"/>
      <c r="U314" s="526"/>
      <c r="V314" s="526"/>
      <c r="W314" s="526"/>
      <c r="X314" s="526"/>
      <c r="Y314" s="526"/>
      <c r="Z314" s="526"/>
      <c r="AA314" s="526"/>
      <c r="AB314" s="526"/>
      <c r="AC314" s="526"/>
      <c r="AD314" s="526"/>
      <c r="AE314" s="526"/>
      <c r="AF314" s="526"/>
      <c r="AG314" s="526"/>
      <c r="AH314" s="526"/>
      <c r="AI314" s="526"/>
      <c r="AJ314" s="526"/>
      <c r="AK314" s="526"/>
      <c r="AL314" s="526"/>
      <c r="AM314" s="526"/>
      <c r="AN314" s="526"/>
      <c r="AO314" s="526"/>
      <c r="AP314" s="526"/>
      <c r="AQ314" s="526"/>
      <c r="AR314" s="526"/>
      <c r="AS314" s="526"/>
      <c r="AT314" s="526"/>
      <c r="AU314" s="526"/>
      <c r="AV314" s="526"/>
      <c r="AW314" s="526"/>
      <c r="AX314" s="526"/>
    </row>
    <row r="315" spans="1:50" ht="16.2" x14ac:dyDescent="0.45">
      <c r="A315" s="624" t="s">
        <v>336</v>
      </c>
      <c r="B315" s="625" t="s">
        <v>336</v>
      </c>
      <c r="C315" s="625" t="s">
        <v>336</v>
      </c>
      <c r="D315" s="466" t="s">
        <v>336</v>
      </c>
      <c r="E315" s="466" t="s">
        <v>336</v>
      </c>
      <c r="F315" s="466" t="s">
        <v>336</v>
      </c>
      <c r="G315" s="466" t="s">
        <v>336</v>
      </c>
      <c r="H315" s="466" t="s">
        <v>336</v>
      </c>
      <c r="I315" s="466" t="s">
        <v>336</v>
      </c>
      <c r="J315" s="526"/>
      <c r="K315" s="526"/>
      <c r="L315" s="526"/>
      <c r="M315" s="526"/>
      <c r="N315" s="526"/>
      <c r="O315" s="526"/>
      <c r="P315" s="526"/>
      <c r="Q315" s="526"/>
      <c r="R315" s="526"/>
      <c r="S315" s="526"/>
      <c r="T315" s="526"/>
      <c r="U315" s="526"/>
      <c r="V315" s="526"/>
      <c r="W315" s="526"/>
      <c r="X315" s="526"/>
      <c r="Y315" s="526"/>
      <c r="Z315" s="526"/>
      <c r="AA315" s="526"/>
      <c r="AB315" s="526"/>
      <c r="AC315" s="526"/>
      <c r="AD315" s="526"/>
      <c r="AE315" s="526"/>
      <c r="AF315" s="526"/>
      <c r="AG315" s="526"/>
      <c r="AH315" s="526"/>
      <c r="AI315" s="526"/>
      <c r="AJ315" s="526"/>
      <c r="AK315" s="526"/>
      <c r="AL315" s="526"/>
      <c r="AM315" s="526"/>
      <c r="AN315" s="526"/>
      <c r="AO315" s="526"/>
      <c r="AP315" s="526"/>
      <c r="AQ315" s="526"/>
      <c r="AR315" s="526"/>
      <c r="AS315" s="526"/>
      <c r="AT315" s="526"/>
      <c r="AU315" s="526"/>
      <c r="AV315" s="526"/>
      <c r="AW315" s="526"/>
      <c r="AX315" s="526"/>
    </row>
    <row r="316" spans="1:50" ht="16.2" x14ac:dyDescent="0.45">
      <c r="A316" s="624" t="s">
        <v>336</v>
      </c>
      <c r="B316" s="625" t="s">
        <v>336</v>
      </c>
      <c r="C316" s="625" t="s">
        <v>336</v>
      </c>
      <c r="D316" s="466" t="s">
        <v>336</v>
      </c>
      <c r="E316" s="466" t="s">
        <v>336</v>
      </c>
      <c r="F316" s="466" t="s">
        <v>336</v>
      </c>
      <c r="G316" s="466" t="s">
        <v>336</v>
      </c>
      <c r="H316" s="466" t="s">
        <v>336</v>
      </c>
      <c r="I316" s="466" t="s">
        <v>336</v>
      </c>
      <c r="J316" s="526"/>
      <c r="K316" s="526"/>
      <c r="L316" s="526"/>
      <c r="M316" s="526"/>
      <c r="N316" s="526"/>
      <c r="O316" s="526"/>
      <c r="P316" s="526"/>
      <c r="Q316" s="526"/>
      <c r="R316" s="526"/>
      <c r="S316" s="526"/>
      <c r="T316" s="526"/>
      <c r="U316" s="526"/>
      <c r="V316" s="526"/>
      <c r="W316" s="526"/>
      <c r="X316" s="526"/>
      <c r="Y316" s="526"/>
      <c r="Z316" s="526"/>
      <c r="AA316" s="526"/>
      <c r="AB316" s="526"/>
      <c r="AC316" s="526"/>
      <c r="AD316" s="526"/>
      <c r="AE316" s="526"/>
      <c r="AF316" s="526"/>
      <c r="AG316" s="526"/>
      <c r="AH316" s="526"/>
      <c r="AI316" s="526"/>
      <c r="AJ316" s="526"/>
      <c r="AK316" s="526"/>
      <c r="AL316" s="526"/>
      <c r="AM316" s="526"/>
      <c r="AN316" s="526"/>
      <c r="AO316" s="526"/>
      <c r="AP316" s="526"/>
      <c r="AQ316" s="526"/>
      <c r="AR316" s="526"/>
      <c r="AS316" s="526"/>
      <c r="AT316" s="526"/>
      <c r="AU316" s="526"/>
      <c r="AV316" s="526"/>
      <c r="AW316" s="526"/>
      <c r="AX316" s="526"/>
    </row>
  </sheetData>
  <mergeCells count="54">
    <mergeCell ref="C303:I303"/>
    <mergeCell ref="C236:I236"/>
    <mergeCell ref="C242:I242"/>
    <mergeCell ref="C243:I243"/>
    <mergeCell ref="C252:I252"/>
    <mergeCell ref="C260:I260"/>
    <mergeCell ref="C261:I261"/>
    <mergeCell ref="C267:I267"/>
    <mergeCell ref="C281:I281"/>
    <mergeCell ref="C287:I287"/>
    <mergeCell ref="C288:I288"/>
    <mergeCell ref="C296:I296"/>
    <mergeCell ref="C228:I228"/>
    <mergeCell ref="C157:I157"/>
    <mergeCell ref="C165:I165"/>
    <mergeCell ref="C166:I166"/>
    <mergeCell ref="C176:I176"/>
    <mergeCell ref="C183:I183"/>
    <mergeCell ref="C184:I184"/>
    <mergeCell ref="C194:I194"/>
    <mergeCell ref="C202:I202"/>
    <mergeCell ref="C203:I203"/>
    <mergeCell ref="C211:I211"/>
    <mergeCell ref="C219:I219"/>
    <mergeCell ref="C156:I156"/>
    <mergeCell ref="C92:I92"/>
    <mergeCell ref="C96:I96"/>
    <mergeCell ref="C100:I100"/>
    <mergeCell ref="C101:I101"/>
    <mergeCell ref="C111:I111"/>
    <mergeCell ref="C117:I117"/>
    <mergeCell ref="C125:I125"/>
    <mergeCell ref="C136:I136"/>
    <mergeCell ref="C144:I144"/>
    <mergeCell ref="C145:I145"/>
    <mergeCell ref="C151:I151"/>
    <mergeCell ref="C87:I87"/>
    <mergeCell ref="I1:I2"/>
    <mergeCell ref="C3:I3"/>
    <mergeCell ref="C4:I4"/>
    <mergeCell ref="C14:I14"/>
    <mergeCell ref="C23:I23"/>
    <mergeCell ref="C36:I36"/>
    <mergeCell ref="F1:H1"/>
    <mergeCell ref="C43:I43"/>
    <mergeCell ref="C53:I53"/>
    <mergeCell ref="C64:I64"/>
    <mergeCell ref="C72:I72"/>
    <mergeCell ref="C79:I79"/>
    <mergeCell ref="A1:A2"/>
    <mergeCell ref="B1:B2"/>
    <mergeCell ref="C1:C2"/>
    <mergeCell ref="D1:D2"/>
    <mergeCell ref="E1:E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340C6-8365-4B1D-93C5-2D0D313A554A}">
  <sheetPr>
    <tabColor rgb="FF92D050"/>
  </sheetPr>
  <dimension ref="A1:L137"/>
  <sheetViews>
    <sheetView tabSelected="1" topLeftCell="A6" workbookViewId="0">
      <selection sqref="A1:XFD1048576"/>
    </sheetView>
  </sheetViews>
  <sheetFormatPr defaultColWidth="9.109375" defaultRowHeight="14.4" x14ac:dyDescent="0.3"/>
  <cols>
    <col min="1" max="1" width="9.6640625" style="141" bestFit="1" customWidth="1"/>
    <col min="2" max="2" width="29.33203125" style="141" customWidth="1"/>
    <col min="3" max="3" width="40.33203125" style="141" customWidth="1"/>
    <col min="4" max="4" width="22.6640625" style="141" bestFit="1" customWidth="1"/>
    <col min="5" max="7" width="11.5546875" style="141" customWidth="1"/>
    <col min="8" max="8" width="19.33203125" style="141" bestFit="1" customWidth="1"/>
    <col min="9" max="9" width="53.44140625" style="141" customWidth="1"/>
    <col min="10" max="10" width="32.33203125" style="63" customWidth="1"/>
    <col min="11" max="11" width="26.109375" style="141" customWidth="1"/>
    <col min="12" max="16384" width="9.109375" style="141"/>
  </cols>
  <sheetData>
    <row r="1" spans="1:12" ht="27" x14ac:dyDescent="0.3">
      <c r="A1" s="664" t="s">
        <v>1316</v>
      </c>
      <c r="B1" s="666" t="s">
        <v>1317</v>
      </c>
      <c r="C1" s="666" t="s">
        <v>1318</v>
      </c>
      <c r="D1" s="668" t="s">
        <v>1319</v>
      </c>
      <c r="E1" s="672" t="s">
        <v>1320</v>
      </c>
      <c r="F1" s="672"/>
      <c r="G1" s="672"/>
      <c r="H1" s="672"/>
      <c r="I1" s="670" t="s">
        <v>5</v>
      </c>
      <c r="K1" s="487" t="s">
        <v>1321</v>
      </c>
    </row>
    <row r="2" spans="1:12" ht="27" x14ac:dyDescent="0.3">
      <c r="A2" s="665"/>
      <c r="B2" s="667"/>
      <c r="C2" s="667"/>
      <c r="D2" s="669"/>
      <c r="E2" s="656" t="s">
        <v>6</v>
      </c>
      <c r="F2" s="656" t="s">
        <v>7</v>
      </c>
      <c r="G2" s="656" t="s">
        <v>1322</v>
      </c>
      <c r="H2" s="656" t="s">
        <v>1323</v>
      </c>
      <c r="I2" s="671"/>
    </row>
    <row r="3" spans="1:12" ht="24" customHeight="1" x14ac:dyDescent="0.3">
      <c r="A3" s="612" t="s">
        <v>1324</v>
      </c>
      <c r="B3" s="673" t="s">
        <v>1325</v>
      </c>
      <c r="C3" s="673"/>
      <c r="D3" s="673"/>
      <c r="E3" s="674"/>
      <c r="F3" s="674"/>
      <c r="G3" s="674"/>
      <c r="H3" s="674"/>
      <c r="I3" s="675"/>
    </row>
    <row r="4" spans="1:12" s="63" customFormat="1" ht="240" x14ac:dyDescent="0.3">
      <c r="A4" s="614" t="s">
        <v>1326</v>
      </c>
      <c r="B4" s="615" t="s">
        <v>1327</v>
      </c>
      <c r="C4" s="615" t="s">
        <v>1188</v>
      </c>
      <c r="D4" s="615" t="s">
        <v>1121</v>
      </c>
      <c r="E4" s="616" t="s">
        <v>1328</v>
      </c>
      <c r="F4" s="616" t="s">
        <v>336</v>
      </c>
      <c r="G4" s="616" t="s">
        <v>336</v>
      </c>
      <c r="H4" s="616"/>
      <c r="I4" s="615" t="s">
        <v>1329</v>
      </c>
    </row>
    <row r="5" spans="1:12" s="63" customFormat="1" ht="384" x14ac:dyDescent="0.3">
      <c r="A5" s="614" t="s">
        <v>1330</v>
      </c>
      <c r="B5" s="615" t="s">
        <v>826</v>
      </c>
      <c r="C5" s="615" t="s">
        <v>1331</v>
      </c>
      <c r="D5" s="615" t="s">
        <v>1332</v>
      </c>
      <c r="E5" s="616"/>
      <c r="F5" s="616" t="s">
        <v>336</v>
      </c>
      <c r="G5" s="616" t="s">
        <v>336</v>
      </c>
      <c r="H5" s="616" t="s">
        <v>1333</v>
      </c>
      <c r="I5" s="615" t="s">
        <v>1334</v>
      </c>
      <c r="J5" s="300" t="s">
        <v>1335</v>
      </c>
    </row>
    <row r="6" spans="1:12" s="63" customFormat="1" ht="264" x14ac:dyDescent="0.3">
      <c r="A6" s="614" t="s">
        <v>1336</v>
      </c>
      <c r="B6" s="615" t="s">
        <v>1337</v>
      </c>
      <c r="C6" s="615" t="s">
        <v>1338</v>
      </c>
      <c r="D6" s="615" t="s">
        <v>1339</v>
      </c>
      <c r="E6" s="616"/>
      <c r="F6" s="616" t="s">
        <v>336</v>
      </c>
      <c r="G6" s="616" t="s">
        <v>336</v>
      </c>
      <c r="H6" s="616" t="s">
        <v>1333</v>
      </c>
      <c r="I6" s="615" t="s">
        <v>1340</v>
      </c>
      <c r="J6" s="171" t="s">
        <v>1341</v>
      </c>
    </row>
    <row r="7" spans="1:12" s="63" customFormat="1" ht="192" x14ac:dyDescent="0.3">
      <c r="A7" s="614" t="s">
        <v>1342</v>
      </c>
      <c r="B7" s="615" t="s">
        <v>1000</v>
      </c>
      <c r="C7" s="615" t="s">
        <v>1343</v>
      </c>
      <c r="D7" s="615" t="s">
        <v>788</v>
      </c>
      <c r="E7" s="616" t="s">
        <v>336</v>
      </c>
      <c r="F7" s="616" t="s">
        <v>336</v>
      </c>
      <c r="G7" s="616" t="s">
        <v>336</v>
      </c>
      <c r="H7" s="616" t="s">
        <v>1333</v>
      </c>
      <c r="I7" s="615" t="s">
        <v>1340</v>
      </c>
      <c r="J7" s="171" t="s">
        <v>1341</v>
      </c>
    </row>
    <row r="8" spans="1:12" s="63" customFormat="1" ht="216" x14ac:dyDescent="0.3">
      <c r="A8" s="614" t="s">
        <v>1344</v>
      </c>
      <c r="B8" s="615" t="s">
        <v>1345</v>
      </c>
      <c r="C8" s="615" t="s">
        <v>1346</v>
      </c>
      <c r="D8" s="615" t="s">
        <v>758</v>
      </c>
      <c r="E8" s="616" t="s">
        <v>336</v>
      </c>
      <c r="F8" s="616" t="s">
        <v>7</v>
      </c>
      <c r="G8" s="616" t="s">
        <v>336</v>
      </c>
      <c r="H8" s="616"/>
      <c r="I8" s="615" t="s">
        <v>1347</v>
      </c>
      <c r="J8" s="171" t="s">
        <v>1348</v>
      </c>
      <c r="K8" s="171" t="s">
        <v>1349</v>
      </c>
      <c r="L8" s="300" t="s">
        <v>1350</v>
      </c>
    </row>
    <row r="9" spans="1:12" s="63" customFormat="1" ht="264" x14ac:dyDescent="0.3">
      <c r="A9" s="614" t="s">
        <v>1351</v>
      </c>
      <c r="B9" s="615" t="s">
        <v>1352</v>
      </c>
      <c r="C9" s="615" t="s">
        <v>1353</v>
      </c>
      <c r="D9" s="615" t="s">
        <v>1354</v>
      </c>
      <c r="E9" s="616" t="s">
        <v>336</v>
      </c>
      <c r="F9" s="616" t="s">
        <v>7</v>
      </c>
      <c r="G9" s="616" t="s">
        <v>336</v>
      </c>
      <c r="H9" s="616"/>
      <c r="I9" s="615" t="s">
        <v>1355</v>
      </c>
      <c r="J9" s="300"/>
    </row>
    <row r="10" spans="1:12" s="63" customFormat="1" ht="288" x14ac:dyDescent="0.3">
      <c r="A10" s="614" t="s">
        <v>1356</v>
      </c>
      <c r="B10" s="615" t="s">
        <v>1357</v>
      </c>
      <c r="C10" s="615" t="s">
        <v>1358</v>
      </c>
      <c r="D10" s="615" t="s">
        <v>1159</v>
      </c>
      <c r="E10" s="616"/>
      <c r="F10" s="616" t="s">
        <v>336</v>
      </c>
      <c r="G10" s="616" t="s">
        <v>336</v>
      </c>
      <c r="H10" s="616" t="s">
        <v>1333</v>
      </c>
      <c r="I10" s="615" t="s">
        <v>1359</v>
      </c>
      <c r="J10" s="171" t="s">
        <v>1341</v>
      </c>
    </row>
    <row r="11" spans="1:12" s="63" customFormat="1" ht="312" x14ac:dyDescent="0.3">
      <c r="A11" s="614" t="s">
        <v>1360</v>
      </c>
      <c r="B11" s="615" t="s">
        <v>1361</v>
      </c>
      <c r="C11" s="615" t="s">
        <v>1362</v>
      </c>
      <c r="D11" s="615" t="s">
        <v>1147</v>
      </c>
      <c r="E11" s="616" t="s">
        <v>1328</v>
      </c>
      <c r="F11" s="616" t="s">
        <v>336</v>
      </c>
      <c r="G11" s="616" t="s">
        <v>336</v>
      </c>
      <c r="H11" s="616"/>
      <c r="I11" s="615" t="s">
        <v>336</v>
      </c>
    </row>
    <row r="12" spans="1:12" s="63" customFormat="1" ht="24" x14ac:dyDescent="0.3">
      <c r="A12" s="618" t="s">
        <v>1363</v>
      </c>
      <c r="B12" s="662" t="s">
        <v>1364</v>
      </c>
      <c r="C12" s="662"/>
      <c r="D12" s="662"/>
      <c r="E12" s="662"/>
      <c r="F12" s="662"/>
      <c r="G12" s="662"/>
      <c r="H12" s="662"/>
      <c r="I12" s="663"/>
    </row>
    <row r="13" spans="1:12" s="63" customFormat="1" ht="240" x14ac:dyDescent="0.3">
      <c r="A13" s="614" t="s">
        <v>1365</v>
      </c>
      <c r="B13" s="615" t="s">
        <v>1366</v>
      </c>
      <c r="C13" s="615" t="s">
        <v>1367</v>
      </c>
      <c r="D13" s="615" t="s">
        <v>1368</v>
      </c>
      <c r="E13" s="616" t="s">
        <v>336</v>
      </c>
      <c r="F13" s="616" t="s">
        <v>1369</v>
      </c>
      <c r="G13" s="616" t="s">
        <v>336</v>
      </c>
      <c r="H13" s="616"/>
      <c r="I13" s="657" t="s">
        <v>1370</v>
      </c>
      <c r="J13" s="300" t="s">
        <v>1371</v>
      </c>
      <c r="K13" s="64" t="s">
        <v>1372</v>
      </c>
    </row>
    <row r="14" spans="1:12" s="63" customFormat="1" ht="168" x14ac:dyDescent="0.3">
      <c r="A14" s="614" t="s">
        <v>1373</v>
      </c>
      <c r="B14" s="615" t="s">
        <v>1374</v>
      </c>
      <c r="C14" s="615" t="s">
        <v>1375</v>
      </c>
      <c r="D14" s="615" t="s">
        <v>1376</v>
      </c>
      <c r="E14" s="616" t="s">
        <v>6</v>
      </c>
      <c r="F14" s="616" t="s">
        <v>336</v>
      </c>
      <c r="G14" s="616" t="s">
        <v>336</v>
      </c>
      <c r="H14" s="616"/>
      <c r="I14" s="617" t="s">
        <v>336</v>
      </c>
    </row>
    <row r="15" spans="1:12" s="63" customFormat="1" ht="264" x14ac:dyDescent="0.3">
      <c r="A15" s="614" t="s">
        <v>1377</v>
      </c>
      <c r="B15" s="615" t="s">
        <v>1378</v>
      </c>
      <c r="C15" s="615" t="s">
        <v>1379</v>
      </c>
      <c r="D15" s="615" t="s">
        <v>1113</v>
      </c>
      <c r="E15" s="616" t="s">
        <v>6</v>
      </c>
      <c r="F15" s="616" t="s">
        <v>336</v>
      </c>
      <c r="G15" s="616" t="s">
        <v>336</v>
      </c>
      <c r="H15" s="616"/>
      <c r="I15" s="657" t="s">
        <v>1380</v>
      </c>
      <c r="J15" s="171" t="s">
        <v>1381</v>
      </c>
    </row>
    <row r="16" spans="1:12" s="63" customFormat="1" ht="360" x14ac:dyDescent="0.3">
      <c r="A16" s="614" t="s">
        <v>1382</v>
      </c>
      <c r="B16" s="615" t="s">
        <v>1173</v>
      </c>
      <c r="C16" s="615" t="s">
        <v>1383</v>
      </c>
      <c r="D16" s="615" t="s">
        <v>1115</v>
      </c>
      <c r="E16" s="616" t="s">
        <v>336</v>
      </c>
      <c r="F16" s="616" t="s">
        <v>1369</v>
      </c>
      <c r="G16" s="616" t="s">
        <v>336</v>
      </c>
      <c r="H16" s="616"/>
      <c r="I16" s="617" t="s">
        <v>336</v>
      </c>
      <c r="J16" s="171" t="s">
        <v>1384</v>
      </c>
    </row>
    <row r="17" spans="1:11" s="63" customFormat="1" ht="240" x14ac:dyDescent="0.3">
      <c r="A17" s="614" t="s">
        <v>1385</v>
      </c>
      <c r="B17" s="615" t="s">
        <v>1386</v>
      </c>
      <c r="C17" s="615" t="s">
        <v>1387</v>
      </c>
      <c r="D17" s="615" t="s">
        <v>1117</v>
      </c>
      <c r="E17" s="616" t="s">
        <v>6</v>
      </c>
      <c r="F17" s="616" t="s">
        <v>336</v>
      </c>
      <c r="G17" s="616" t="s">
        <v>336</v>
      </c>
      <c r="H17" s="616"/>
      <c r="I17" s="657" t="s">
        <v>1380</v>
      </c>
      <c r="J17" s="487"/>
    </row>
    <row r="18" spans="1:11" s="63" customFormat="1" ht="24" customHeight="1" x14ac:dyDescent="0.3">
      <c r="A18" s="618" t="s">
        <v>1388</v>
      </c>
      <c r="B18" s="662" t="s">
        <v>1389</v>
      </c>
      <c r="C18" s="662"/>
      <c r="D18" s="662"/>
      <c r="E18" s="662"/>
      <c r="F18" s="662"/>
      <c r="G18" s="662"/>
      <c r="H18" s="662"/>
      <c r="I18" s="663"/>
    </row>
    <row r="19" spans="1:11" s="63" customFormat="1" ht="408" x14ac:dyDescent="0.3">
      <c r="A19" s="614" t="s">
        <v>1390</v>
      </c>
      <c r="B19" s="615" t="s">
        <v>1391</v>
      </c>
      <c r="C19" s="615" t="s">
        <v>829</v>
      </c>
      <c r="D19" s="615" t="s">
        <v>1392</v>
      </c>
      <c r="E19" s="616" t="s">
        <v>336</v>
      </c>
      <c r="F19" s="616" t="s">
        <v>336</v>
      </c>
      <c r="G19" s="616" t="s">
        <v>1322</v>
      </c>
      <c r="H19" s="616"/>
      <c r="I19" s="657" t="s">
        <v>1393</v>
      </c>
    </row>
    <row r="20" spans="1:11" s="63" customFormat="1" ht="336" x14ac:dyDescent="0.3">
      <c r="A20" s="614" t="s">
        <v>1394</v>
      </c>
      <c r="B20" s="615" t="s">
        <v>1395</v>
      </c>
      <c r="C20" s="615" t="s">
        <v>1186</v>
      </c>
      <c r="D20" s="615" t="s">
        <v>784</v>
      </c>
      <c r="E20" s="616" t="s">
        <v>336</v>
      </c>
      <c r="F20" s="616" t="s">
        <v>336</v>
      </c>
      <c r="G20" s="616" t="s">
        <v>1322</v>
      </c>
      <c r="H20" s="616"/>
      <c r="I20" s="657" t="s">
        <v>1393</v>
      </c>
    </row>
    <row r="21" spans="1:11" s="63" customFormat="1" ht="216" x14ac:dyDescent="0.3">
      <c r="A21" s="614" t="s">
        <v>1396</v>
      </c>
      <c r="B21" s="615" t="s">
        <v>1397</v>
      </c>
      <c r="C21" s="615" t="s">
        <v>1398</v>
      </c>
      <c r="D21" s="615" t="s">
        <v>1399</v>
      </c>
      <c r="E21" s="616" t="s">
        <v>6</v>
      </c>
      <c r="F21" s="616" t="s">
        <v>336</v>
      </c>
      <c r="G21" s="616" t="s">
        <v>336</v>
      </c>
      <c r="H21" s="616"/>
      <c r="I21" s="657" t="s">
        <v>336</v>
      </c>
    </row>
    <row r="22" spans="1:11" s="63" customFormat="1" ht="96" x14ac:dyDescent="0.3">
      <c r="A22" s="614" t="s">
        <v>1400</v>
      </c>
      <c r="B22" s="615" t="s">
        <v>1401</v>
      </c>
      <c r="C22" s="615" t="s">
        <v>1402</v>
      </c>
      <c r="D22" s="615" t="s">
        <v>1121</v>
      </c>
      <c r="E22" s="616" t="s">
        <v>336</v>
      </c>
      <c r="F22" s="616" t="s">
        <v>336</v>
      </c>
      <c r="G22" s="616" t="s">
        <v>1322</v>
      </c>
      <c r="H22" s="616"/>
      <c r="I22" s="657" t="s">
        <v>336</v>
      </c>
    </row>
    <row r="23" spans="1:11" s="63" customFormat="1" ht="120" x14ac:dyDescent="0.3">
      <c r="A23" s="614" t="s">
        <v>1403</v>
      </c>
      <c r="B23" s="615" t="s">
        <v>1404</v>
      </c>
      <c r="C23" s="615" t="s">
        <v>1405</v>
      </c>
      <c r="D23" s="615" t="s">
        <v>758</v>
      </c>
      <c r="E23" s="616" t="s">
        <v>336</v>
      </c>
      <c r="F23" s="616" t="s">
        <v>336</v>
      </c>
      <c r="G23" s="616" t="s">
        <v>1322</v>
      </c>
      <c r="H23" s="616"/>
      <c r="I23" s="657" t="s">
        <v>336</v>
      </c>
    </row>
    <row r="24" spans="1:11" s="63" customFormat="1" ht="144" x14ac:dyDescent="0.3">
      <c r="A24" s="614" t="s">
        <v>1406</v>
      </c>
      <c r="B24" s="615" t="s">
        <v>1407</v>
      </c>
      <c r="C24" s="615" t="s">
        <v>1227</v>
      </c>
      <c r="D24" s="615" t="s">
        <v>1135</v>
      </c>
      <c r="E24" s="616" t="s">
        <v>6</v>
      </c>
      <c r="F24" s="616" t="s">
        <v>336</v>
      </c>
      <c r="G24" s="616" t="s">
        <v>336</v>
      </c>
      <c r="H24" s="616"/>
      <c r="I24" s="657" t="s">
        <v>336</v>
      </c>
    </row>
    <row r="25" spans="1:11" s="63" customFormat="1" ht="24" customHeight="1" x14ac:dyDescent="0.3">
      <c r="A25" s="618" t="s">
        <v>1408</v>
      </c>
      <c r="B25" s="662" t="s">
        <v>1409</v>
      </c>
      <c r="C25" s="662"/>
      <c r="D25" s="662"/>
      <c r="E25" s="662"/>
      <c r="F25" s="662"/>
      <c r="G25" s="662"/>
      <c r="H25" s="662"/>
      <c r="I25" s="663"/>
    </row>
    <row r="26" spans="1:11" s="63" customFormat="1" ht="409.6" x14ac:dyDescent="0.3">
      <c r="A26" s="614" t="s">
        <v>1410</v>
      </c>
      <c r="B26" s="615" t="s">
        <v>1411</v>
      </c>
      <c r="C26" s="615" t="s">
        <v>1412</v>
      </c>
      <c r="D26" s="615" t="s">
        <v>1413</v>
      </c>
      <c r="E26" s="616" t="s">
        <v>336</v>
      </c>
      <c r="F26" s="616" t="s">
        <v>336</v>
      </c>
      <c r="G26" s="616" t="s">
        <v>1322</v>
      </c>
      <c r="H26" s="616"/>
      <c r="I26" s="617" t="s">
        <v>336</v>
      </c>
    </row>
    <row r="27" spans="1:11" s="63" customFormat="1" ht="216" x14ac:dyDescent="0.3">
      <c r="A27" s="614" t="s">
        <v>1414</v>
      </c>
      <c r="B27" s="615" t="s">
        <v>1415</v>
      </c>
      <c r="C27" s="615" t="s">
        <v>1416</v>
      </c>
      <c r="D27" s="615" t="s">
        <v>1417</v>
      </c>
      <c r="E27" s="616" t="s">
        <v>336</v>
      </c>
      <c r="F27" s="616" t="s">
        <v>7</v>
      </c>
      <c r="G27" s="616" t="s">
        <v>336</v>
      </c>
      <c r="H27" s="616"/>
      <c r="I27" s="657" t="s">
        <v>1418</v>
      </c>
      <c r="J27" s="300" t="s">
        <v>1419</v>
      </c>
      <c r="K27" s="171" t="s">
        <v>1420</v>
      </c>
    </row>
    <row r="28" spans="1:11" s="63" customFormat="1" ht="144" x14ac:dyDescent="0.3">
      <c r="A28" s="614" t="s">
        <v>1421</v>
      </c>
      <c r="B28" s="615" t="s">
        <v>1422</v>
      </c>
      <c r="C28" s="615" t="s">
        <v>1423</v>
      </c>
      <c r="D28" s="615" t="s">
        <v>761</v>
      </c>
      <c r="E28" s="616" t="s">
        <v>336</v>
      </c>
      <c r="F28" s="616" t="s">
        <v>7</v>
      </c>
      <c r="G28" s="616" t="s">
        <v>336</v>
      </c>
      <c r="H28" s="616"/>
      <c r="I28" s="657" t="s">
        <v>1424</v>
      </c>
    </row>
    <row r="29" spans="1:11" s="63" customFormat="1" ht="240" x14ac:dyDescent="0.3">
      <c r="A29" s="614" t="s">
        <v>1425</v>
      </c>
      <c r="B29" s="615" t="s">
        <v>1426</v>
      </c>
      <c r="C29" s="615" t="s">
        <v>1427</v>
      </c>
      <c r="D29" s="615" t="s">
        <v>761</v>
      </c>
      <c r="E29" s="616" t="s">
        <v>336</v>
      </c>
      <c r="F29" s="616" t="s">
        <v>7</v>
      </c>
      <c r="G29" s="616" t="s">
        <v>336</v>
      </c>
      <c r="H29" s="616"/>
      <c r="I29" s="657" t="s">
        <v>1428</v>
      </c>
    </row>
    <row r="30" spans="1:11" s="63" customFormat="1" ht="168" x14ac:dyDescent="0.3">
      <c r="A30" s="614" t="s">
        <v>1429</v>
      </c>
      <c r="B30" s="615" t="s">
        <v>1430</v>
      </c>
      <c r="C30" s="615" t="s">
        <v>1431</v>
      </c>
      <c r="D30" s="615" t="s">
        <v>761</v>
      </c>
      <c r="E30" s="616" t="s">
        <v>336</v>
      </c>
      <c r="F30" s="616" t="s">
        <v>7</v>
      </c>
      <c r="G30" s="616" t="s">
        <v>336</v>
      </c>
      <c r="H30" s="616"/>
      <c r="I30" s="657" t="s">
        <v>1428</v>
      </c>
    </row>
    <row r="31" spans="1:11" s="63" customFormat="1" ht="168" x14ac:dyDescent="0.3">
      <c r="A31" s="614" t="s">
        <v>1432</v>
      </c>
      <c r="B31" s="615" t="s">
        <v>1433</v>
      </c>
      <c r="C31" s="615" t="s">
        <v>1434</v>
      </c>
      <c r="D31" s="615" t="s">
        <v>1155</v>
      </c>
      <c r="E31" s="616" t="s">
        <v>6</v>
      </c>
      <c r="F31" s="616" t="s">
        <v>336</v>
      </c>
      <c r="G31" s="616" t="s">
        <v>336</v>
      </c>
      <c r="H31" s="616"/>
      <c r="I31" s="657"/>
    </row>
    <row r="32" spans="1:11" s="63" customFormat="1" ht="120" x14ac:dyDescent="0.3">
      <c r="A32" s="658" t="s">
        <v>1435</v>
      </c>
      <c r="B32" s="659" t="s">
        <v>1436</v>
      </c>
      <c r="C32" s="659" t="s">
        <v>1437</v>
      </c>
      <c r="D32" s="659" t="s">
        <v>1159</v>
      </c>
      <c r="E32" s="660" t="s">
        <v>336</v>
      </c>
      <c r="F32" s="660" t="s">
        <v>336</v>
      </c>
      <c r="G32" s="660" t="s">
        <v>336</v>
      </c>
      <c r="H32" s="660"/>
      <c r="I32" s="661" t="s">
        <v>336</v>
      </c>
    </row>
    <row r="33" spans="1:10" s="63" customFormat="1" ht="120" x14ac:dyDescent="0.3">
      <c r="A33" s="614" t="s">
        <v>1438</v>
      </c>
      <c r="B33" s="615" t="s">
        <v>1439</v>
      </c>
      <c r="C33" s="615" t="s">
        <v>1440</v>
      </c>
      <c r="D33" s="615" t="s">
        <v>1135</v>
      </c>
      <c r="E33" s="616" t="s">
        <v>336</v>
      </c>
      <c r="F33" s="616" t="s">
        <v>336</v>
      </c>
      <c r="G33" s="616" t="s">
        <v>1441</v>
      </c>
      <c r="H33" s="616"/>
      <c r="I33" s="657" t="s">
        <v>1442</v>
      </c>
    </row>
    <row r="34" spans="1:10" s="63" customFormat="1" ht="168" x14ac:dyDescent="0.3">
      <c r="A34" s="614" t="s">
        <v>1443</v>
      </c>
      <c r="B34" s="615" t="s">
        <v>1444</v>
      </c>
      <c r="C34" s="615" t="s">
        <v>1445</v>
      </c>
      <c r="D34" s="615" t="s">
        <v>1137</v>
      </c>
      <c r="E34" s="616" t="s">
        <v>6</v>
      </c>
      <c r="F34" s="616" t="s">
        <v>336</v>
      </c>
      <c r="G34" s="616" t="s">
        <v>336</v>
      </c>
      <c r="H34" s="616"/>
      <c r="I34" s="657" t="s">
        <v>336</v>
      </c>
    </row>
    <row r="35" spans="1:10" s="63" customFormat="1" ht="168" x14ac:dyDescent="0.3">
      <c r="A35" s="614" t="s">
        <v>1446</v>
      </c>
      <c r="B35" s="615" t="s">
        <v>1447</v>
      </c>
      <c r="C35" s="615" t="s">
        <v>1223</v>
      </c>
      <c r="D35" s="615" t="s">
        <v>1133</v>
      </c>
      <c r="E35" s="616" t="s">
        <v>6</v>
      </c>
      <c r="F35" s="616" t="s">
        <v>336</v>
      </c>
      <c r="G35" s="616" t="s">
        <v>336</v>
      </c>
      <c r="H35" s="616"/>
      <c r="I35" s="657" t="s">
        <v>336</v>
      </c>
    </row>
    <row r="36" spans="1:10" s="63" customFormat="1" ht="24" x14ac:dyDescent="0.3">
      <c r="A36" s="618" t="s">
        <v>1448</v>
      </c>
      <c r="B36" s="662" t="s">
        <v>1449</v>
      </c>
      <c r="C36" s="662"/>
      <c r="D36" s="662"/>
      <c r="E36" s="662"/>
      <c r="F36" s="662"/>
      <c r="G36" s="662"/>
      <c r="H36" s="662"/>
      <c r="I36" s="663"/>
    </row>
    <row r="37" spans="1:10" s="63" customFormat="1" ht="240" x14ac:dyDescent="0.3">
      <c r="A37" s="614" t="s">
        <v>1450</v>
      </c>
      <c r="B37" s="615" t="s">
        <v>1451</v>
      </c>
      <c r="C37" s="615" t="s">
        <v>1452</v>
      </c>
      <c r="D37" s="615" t="s">
        <v>1453</v>
      </c>
      <c r="E37" s="616" t="s">
        <v>6</v>
      </c>
      <c r="F37" s="616" t="s">
        <v>336</v>
      </c>
      <c r="G37" s="616" t="s">
        <v>336</v>
      </c>
      <c r="H37" s="616"/>
      <c r="I37" s="657" t="s">
        <v>336</v>
      </c>
    </row>
    <row r="38" spans="1:10" s="63" customFormat="1" ht="96" x14ac:dyDescent="0.3">
      <c r="A38" s="614" t="s">
        <v>1454</v>
      </c>
      <c r="B38" s="615" t="s">
        <v>1455</v>
      </c>
      <c r="C38" s="615" t="s">
        <v>1456</v>
      </c>
      <c r="D38" s="615" t="s">
        <v>1141</v>
      </c>
      <c r="E38" s="616" t="s">
        <v>6</v>
      </c>
      <c r="F38" s="616" t="s">
        <v>336</v>
      </c>
      <c r="G38" s="616" t="s">
        <v>336</v>
      </c>
      <c r="H38" s="616"/>
      <c r="I38" s="657" t="s">
        <v>336</v>
      </c>
    </row>
    <row r="39" spans="1:10" s="63" customFormat="1" ht="168" x14ac:dyDescent="0.3">
      <c r="A39" s="614" t="s">
        <v>1457</v>
      </c>
      <c r="B39" s="615" t="s">
        <v>51</v>
      </c>
      <c r="C39" s="615" t="s">
        <v>1458</v>
      </c>
      <c r="D39" s="615" t="s">
        <v>773</v>
      </c>
      <c r="E39" s="616" t="s">
        <v>6</v>
      </c>
      <c r="F39" s="616" t="s">
        <v>336</v>
      </c>
      <c r="G39" s="616" t="s">
        <v>336</v>
      </c>
      <c r="H39" s="616"/>
      <c r="I39" s="657" t="s">
        <v>336</v>
      </c>
    </row>
    <row r="40" spans="1:10" s="63" customFormat="1" ht="168" x14ac:dyDescent="0.3">
      <c r="A40" s="614" t="s">
        <v>1459</v>
      </c>
      <c r="B40" s="615" t="s">
        <v>1460</v>
      </c>
      <c r="C40" s="615" t="s">
        <v>1461</v>
      </c>
      <c r="D40" s="615" t="s">
        <v>777</v>
      </c>
      <c r="E40" s="616"/>
      <c r="F40" s="616" t="s">
        <v>336</v>
      </c>
      <c r="G40" s="616" t="s">
        <v>336</v>
      </c>
      <c r="H40" s="616" t="s">
        <v>1462</v>
      </c>
      <c r="I40" s="657" t="s">
        <v>1463</v>
      </c>
    </row>
    <row r="41" spans="1:10" s="63" customFormat="1" ht="192" x14ac:dyDescent="0.3">
      <c r="A41" s="614" t="s">
        <v>1464</v>
      </c>
      <c r="B41" s="615" t="s">
        <v>1465</v>
      </c>
      <c r="C41" s="615" t="s">
        <v>1213</v>
      </c>
      <c r="D41" s="615" t="s">
        <v>1131</v>
      </c>
      <c r="E41" s="616" t="s">
        <v>336</v>
      </c>
      <c r="F41" s="616" t="s">
        <v>336</v>
      </c>
      <c r="G41" s="616" t="s">
        <v>1322</v>
      </c>
      <c r="H41" s="616"/>
      <c r="I41" s="657" t="s">
        <v>1466</v>
      </c>
    </row>
    <row r="42" spans="1:10" s="63" customFormat="1" ht="168" x14ac:dyDescent="0.3">
      <c r="A42" s="614" t="s">
        <v>1467</v>
      </c>
      <c r="B42" s="615" t="s">
        <v>916</v>
      </c>
      <c r="C42" s="615" t="s">
        <v>1468</v>
      </c>
      <c r="D42" s="615" t="s">
        <v>771</v>
      </c>
      <c r="E42" s="616"/>
      <c r="F42" s="616" t="s">
        <v>336</v>
      </c>
      <c r="G42" s="616" t="s">
        <v>1322</v>
      </c>
      <c r="H42" s="616"/>
      <c r="I42" s="657" t="s">
        <v>336</v>
      </c>
      <c r="J42" s="300" t="s">
        <v>1469</v>
      </c>
    </row>
    <row r="43" spans="1:10" s="63" customFormat="1" ht="264" x14ac:dyDescent="0.3">
      <c r="A43" s="614" t="s">
        <v>1470</v>
      </c>
      <c r="B43" s="615" t="s">
        <v>918</v>
      </c>
      <c r="C43" s="615" t="s">
        <v>1471</v>
      </c>
      <c r="D43" s="615" t="s">
        <v>771</v>
      </c>
      <c r="E43" s="616" t="s">
        <v>336</v>
      </c>
      <c r="F43" s="616" t="s">
        <v>7</v>
      </c>
      <c r="G43" s="616" t="s">
        <v>336</v>
      </c>
      <c r="H43" s="616"/>
      <c r="I43" s="657" t="s">
        <v>1472</v>
      </c>
    </row>
    <row r="44" spans="1:10" s="63" customFormat="1" ht="192" x14ac:dyDescent="0.3">
      <c r="A44" s="614" t="s">
        <v>1473</v>
      </c>
      <c r="B44" s="615" t="s">
        <v>1474</v>
      </c>
      <c r="C44" s="615" t="s">
        <v>1475</v>
      </c>
      <c r="D44" s="615" t="s">
        <v>771</v>
      </c>
      <c r="E44" s="616" t="s">
        <v>336</v>
      </c>
      <c r="F44" s="616" t="s">
        <v>336</v>
      </c>
      <c r="G44" s="616" t="s">
        <v>1322</v>
      </c>
      <c r="H44" s="616"/>
      <c r="I44" s="657" t="s">
        <v>1476</v>
      </c>
    </row>
    <row r="45" spans="1:10" s="63" customFormat="1" ht="192" x14ac:dyDescent="0.3">
      <c r="A45" s="614" t="s">
        <v>1477</v>
      </c>
      <c r="B45" s="615" t="s">
        <v>1478</v>
      </c>
      <c r="C45" s="615" t="s">
        <v>1479</v>
      </c>
      <c r="D45" s="615" t="s">
        <v>1135</v>
      </c>
      <c r="E45" s="616" t="s">
        <v>6</v>
      </c>
      <c r="F45" s="616" t="s">
        <v>336</v>
      </c>
      <c r="G45" s="616" t="s">
        <v>336</v>
      </c>
      <c r="H45" s="616"/>
      <c r="I45" s="657" t="s">
        <v>336</v>
      </c>
    </row>
    <row r="46" spans="1:10" s="63" customFormat="1" ht="336" x14ac:dyDescent="0.3">
      <c r="A46" s="614" t="s">
        <v>1480</v>
      </c>
      <c r="B46" s="615" t="s">
        <v>1481</v>
      </c>
      <c r="C46" s="615" t="s">
        <v>1482</v>
      </c>
      <c r="D46" s="615" t="s">
        <v>1129</v>
      </c>
      <c r="E46" s="616" t="s">
        <v>336</v>
      </c>
      <c r="F46" s="616" t="s">
        <v>336</v>
      </c>
      <c r="G46" s="616" t="s">
        <v>1322</v>
      </c>
      <c r="H46" s="616"/>
      <c r="I46" s="657" t="s">
        <v>336</v>
      </c>
    </row>
    <row r="47" spans="1:10" s="63" customFormat="1" ht="216" x14ac:dyDescent="0.3">
      <c r="A47" s="614" t="s">
        <v>1483</v>
      </c>
      <c r="B47" s="615" t="s">
        <v>1484</v>
      </c>
      <c r="C47" s="615" t="s">
        <v>1485</v>
      </c>
      <c r="D47" s="615" t="s">
        <v>1486</v>
      </c>
      <c r="E47" s="616" t="s">
        <v>336</v>
      </c>
      <c r="F47" s="616" t="s">
        <v>7</v>
      </c>
      <c r="G47" s="616" t="s">
        <v>336</v>
      </c>
      <c r="H47" s="616"/>
      <c r="I47" s="657" t="s">
        <v>1487</v>
      </c>
    </row>
    <row r="48" spans="1:10" s="63" customFormat="1" ht="168" x14ac:dyDescent="0.3">
      <c r="A48" s="614" t="s">
        <v>1488</v>
      </c>
      <c r="B48" s="615" t="s">
        <v>1489</v>
      </c>
      <c r="C48" s="615" t="s">
        <v>1490</v>
      </c>
      <c r="D48" s="615" t="s">
        <v>1491</v>
      </c>
      <c r="E48" s="616"/>
      <c r="F48" s="616" t="s">
        <v>336</v>
      </c>
      <c r="G48" s="616" t="s">
        <v>1441</v>
      </c>
      <c r="H48" s="616"/>
      <c r="I48" s="657" t="s">
        <v>1492</v>
      </c>
    </row>
    <row r="49" spans="1:10" s="63" customFormat="1" ht="240" x14ac:dyDescent="0.3">
      <c r="A49" s="614" t="s">
        <v>1493</v>
      </c>
      <c r="B49" s="615" t="s">
        <v>1494</v>
      </c>
      <c r="C49" s="615" t="s">
        <v>1495</v>
      </c>
      <c r="D49" s="615" t="s">
        <v>1496</v>
      </c>
      <c r="E49" s="616" t="s">
        <v>336</v>
      </c>
      <c r="F49" s="616" t="s">
        <v>7</v>
      </c>
      <c r="G49" s="616" t="s">
        <v>336</v>
      </c>
      <c r="H49" s="616"/>
      <c r="I49" s="657" t="s">
        <v>1497</v>
      </c>
    </row>
    <row r="50" spans="1:10" s="63" customFormat="1" ht="168" x14ac:dyDescent="0.3">
      <c r="A50" s="614" t="s">
        <v>1498</v>
      </c>
      <c r="B50" s="615" t="s">
        <v>1499</v>
      </c>
      <c r="C50" s="615" t="s">
        <v>1500</v>
      </c>
      <c r="D50" s="615" t="s">
        <v>1501</v>
      </c>
      <c r="E50" s="616" t="s">
        <v>336</v>
      </c>
      <c r="F50" s="616" t="s">
        <v>336</v>
      </c>
      <c r="G50" s="616" t="s">
        <v>1441</v>
      </c>
      <c r="H50" s="616"/>
      <c r="I50" s="657" t="s">
        <v>1502</v>
      </c>
    </row>
    <row r="51" spans="1:10" s="63" customFormat="1" ht="168" x14ac:dyDescent="0.3">
      <c r="A51" s="614" t="s">
        <v>1503</v>
      </c>
      <c r="B51" s="615" t="s">
        <v>1504</v>
      </c>
      <c r="C51" s="615" t="s">
        <v>1221</v>
      </c>
      <c r="D51" s="615" t="s">
        <v>1133</v>
      </c>
      <c r="E51" s="616" t="s">
        <v>336</v>
      </c>
      <c r="F51" s="616" t="s">
        <v>336</v>
      </c>
      <c r="G51" s="616" t="s">
        <v>1322</v>
      </c>
      <c r="H51" s="616"/>
      <c r="I51" s="657" t="s">
        <v>1505</v>
      </c>
    </row>
    <row r="52" spans="1:10" s="63" customFormat="1" ht="288" x14ac:dyDescent="0.3">
      <c r="A52" s="614" t="s">
        <v>1506</v>
      </c>
      <c r="B52" s="615" t="s">
        <v>1507</v>
      </c>
      <c r="C52" s="615" t="s">
        <v>1508</v>
      </c>
      <c r="D52" s="615" t="s">
        <v>1149</v>
      </c>
      <c r="E52" s="616" t="s">
        <v>6</v>
      </c>
      <c r="F52" s="616" t="s">
        <v>336</v>
      </c>
      <c r="G52" s="616" t="s">
        <v>336</v>
      </c>
      <c r="H52" s="616"/>
      <c r="I52" s="657" t="s">
        <v>336</v>
      </c>
    </row>
    <row r="53" spans="1:10" s="63" customFormat="1" ht="144" x14ac:dyDescent="0.3">
      <c r="A53" s="614" t="s">
        <v>1509</v>
      </c>
      <c r="B53" s="615" t="s">
        <v>1510</v>
      </c>
      <c r="C53" s="615" t="s">
        <v>1272</v>
      </c>
      <c r="D53" s="615" t="s">
        <v>1149</v>
      </c>
      <c r="E53" s="616" t="s">
        <v>6</v>
      </c>
      <c r="F53" s="616" t="s">
        <v>336</v>
      </c>
      <c r="G53" s="616" t="s">
        <v>336</v>
      </c>
      <c r="H53" s="616"/>
      <c r="I53" s="657" t="s">
        <v>336</v>
      </c>
    </row>
    <row r="54" spans="1:10" s="63" customFormat="1" ht="288" x14ac:dyDescent="0.3">
      <c r="A54" s="614" t="s">
        <v>1511</v>
      </c>
      <c r="B54" s="615" t="s">
        <v>1512</v>
      </c>
      <c r="C54" s="615" t="s">
        <v>1513</v>
      </c>
      <c r="D54" s="615" t="s">
        <v>1149</v>
      </c>
      <c r="E54" s="616" t="s">
        <v>336</v>
      </c>
      <c r="F54" s="616" t="s">
        <v>336</v>
      </c>
      <c r="G54" s="616" t="s">
        <v>336</v>
      </c>
      <c r="H54" s="616" t="s">
        <v>1462</v>
      </c>
      <c r="I54" s="657" t="s">
        <v>1514</v>
      </c>
      <c r="J54" s="300" t="s">
        <v>1515</v>
      </c>
    </row>
    <row r="55" spans="1:10" s="63" customFormat="1" ht="24" x14ac:dyDescent="0.3">
      <c r="A55" s="618" t="s">
        <v>1516</v>
      </c>
      <c r="B55" s="662" t="s">
        <v>1517</v>
      </c>
      <c r="C55" s="662"/>
      <c r="D55" s="662"/>
      <c r="E55" s="662"/>
      <c r="F55" s="662"/>
      <c r="G55" s="662"/>
      <c r="H55" s="662"/>
      <c r="I55" s="663"/>
    </row>
    <row r="56" spans="1:10" s="63" customFormat="1" ht="144" x14ac:dyDescent="0.3">
      <c r="A56" s="614" t="s">
        <v>1518</v>
      </c>
      <c r="B56" s="615" t="s">
        <v>1519</v>
      </c>
      <c r="C56" s="615" t="s">
        <v>1013</v>
      </c>
      <c r="D56" s="615" t="s">
        <v>1520</v>
      </c>
      <c r="E56" s="616" t="s">
        <v>336</v>
      </c>
      <c r="F56" s="616" t="s">
        <v>336</v>
      </c>
      <c r="G56" s="616" t="s">
        <v>336</v>
      </c>
      <c r="H56" s="616"/>
      <c r="I56" s="617" t="s">
        <v>336</v>
      </c>
    </row>
    <row r="57" spans="1:10" s="63" customFormat="1" ht="144" x14ac:dyDescent="0.3">
      <c r="A57" s="614" t="s">
        <v>1521</v>
      </c>
      <c r="B57" s="615" t="s">
        <v>1522</v>
      </c>
      <c r="C57" s="615" t="s">
        <v>1523</v>
      </c>
      <c r="D57" s="615" t="s">
        <v>1520</v>
      </c>
      <c r="E57" s="616" t="s">
        <v>336</v>
      </c>
      <c r="F57" s="616" t="s">
        <v>336</v>
      </c>
      <c r="G57" s="616" t="s">
        <v>336</v>
      </c>
      <c r="H57" s="616"/>
      <c r="I57" s="617" t="s">
        <v>336</v>
      </c>
    </row>
    <row r="58" spans="1:10" s="63" customFormat="1" ht="312" x14ac:dyDescent="0.3">
      <c r="A58" s="614" t="s">
        <v>1524</v>
      </c>
      <c r="B58" s="615" t="s">
        <v>1525</v>
      </c>
      <c r="C58" s="615" t="s">
        <v>1526</v>
      </c>
      <c r="D58" s="615" t="s">
        <v>1527</v>
      </c>
      <c r="E58" s="616" t="s">
        <v>336</v>
      </c>
      <c r="F58" s="616" t="s">
        <v>336</v>
      </c>
      <c r="G58" s="616" t="s">
        <v>336</v>
      </c>
      <c r="H58" s="616"/>
      <c r="I58" s="617" t="s">
        <v>336</v>
      </c>
    </row>
    <row r="59" spans="1:10" s="63" customFormat="1" ht="240" x14ac:dyDescent="0.3">
      <c r="A59" s="614" t="s">
        <v>1528</v>
      </c>
      <c r="B59" s="615" t="s">
        <v>1529</v>
      </c>
      <c r="C59" s="615" t="s">
        <v>1530</v>
      </c>
      <c r="D59" s="615" t="s">
        <v>1527</v>
      </c>
      <c r="E59" s="616" t="s">
        <v>336</v>
      </c>
      <c r="F59" s="616" t="s">
        <v>336</v>
      </c>
      <c r="G59" s="616" t="s">
        <v>336</v>
      </c>
      <c r="H59" s="616"/>
      <c r="I59" s="617" t="s">
        <v>336</v>
      </c>
    </row>
    <row r="60" spans="1:10" s="63" customFormat="1" ht="168" x14ac:dyDescent="0.3">
      <c r="A60" s="614" t="s">
        <v>1531</v>
      </c>
      <c r="B60" s="615" t="s">
        <v>1532</v>
      </c>
      <c r="C60" s="615" t="s">
        <v>1533</v>
      </c>
      <c r="D60" s="615" t="s">
        <v>1527</v>
      </c>
      <c r="E60" s="616" t="s">
        <v>336</v>
      </c>
      <c r="F60" s="616" t="s">
        <v>336</v>
      </c>
      <c r="G60" s="616" t="s">
        <v>336</v>
      </c>
      <c r="H60" s="616"/>
      <c r="I60" s="617" t="s">
        <v>336</v>
      </c>
    </row>
    <row r="61" spans="1:10" s="63" customFormat="1" ht="168" x14ac:dyDescent="0.3">
      <c r="A61" s="614" t="s">
        <v>1534</v>
      </c>
      <c r="B61" s="615" t="s">
        <v>1535</v>
      </c>
      <c r="C61" s="615" t="s">
        <v>1536</v>
      </c>
      <c r="D61" s="615" t="s">
        <v>1527</v>
      </c>
      <c r="E61" s="616" t="s">
        <v>336</v>
      </c>
      <c r="F61" s="616" t="s">
        <v>336</v>
      </c>
      <c r="G61" s="616" t="s">
        <v>336</v>
      </c>
      <c r="H61" s="616"/>
      <c r="I61" s="617" t="s">
        <v>336</v>
      </c>
    </row>
    <row r="62" spans="1:10" s="63" customFormat="1" ht="120" x14ac:dyDescent="0.3">
      <c r="A62" s="614" t="s">
        <v>1537</v>
      </c>
      <c r="B62" s="615" t="s">
        <v>1538</v>
      </c>
      <c r="C62" s="615" t="s">
        <v>1539</v>
      </c>
      <c r="D62" s="615" t="s">
        <v>1527</v>
      </c>
      <c r="E62" s="616" t="s">
        <v>336</v>
      </c>
      <c r="F62" s="616" t="s">
        <v>336</v>
      </c>
      <c r="G62" s="616" t="s">
        <v>336</v>
      </c>
      <c r="H62" s="616"/>
      <c r="I62" s="617" t="s">
        <v>336</v>
      </c>
    </row>
    <row r="63" spans="1:10" s="63" customFormat="1" ht="24" x14ac:dyDescent="0.3">
      <c r="A63" s="618" t="s">
        <v>1540</v>
      </c>
      <c r="B63" s="662" t="s">
        <v>1541</v>
      </c>
      <c r="C63" s="662"/>
      <c r="D63" s="662"/>
      <c r="E63" s="662"/>
      <c r="F63" s="662"/>
      <c r="G63" s="662"/>
      <c r="H63" s="662"/>
      <c r="I63" s="663"/>
    </row>
    <row r="64" spans="1:10" s="63" customFormat="1" ht="168" x14ac:dyDescent="0.3">
      <c r="A64" s="614" t="s">
        <v>1542</v>
      </c>
      <c r="B64" s="615" t="s">
        <v>1543</v>
      </c>
      <c r="C64" s="615" t="s">
        <v>1544</v>
      </c>
      <c r="D64" s="615" t="s">
        <v>1520</v>
      </c>
      <c r="E64" s="616" t="s">
        <v>336</v>
      </c>
      <c r="F64" s="616" t="s">
        <v>336</v>
      </c>
      <c r="G64" s="616" t="s">
        <v>336</v>
      </c>
      <c r="H64" s="616"/>
      <c r="I64" s="617" t="s">
        <v>336</v>
      </c>
    </row>
    <row r="65" spans="1:9" s="63" customFormat="1" ht="120" x14ac:dyDescent="0.3">
      <c r="A65" s="614" t="s">
        <v>1545</v>
      </c>
      <c r="B65" s="615" t="s">
        <v>1546</v>
      </c>
      <c r="C65" s="615" t="s">
        <v>1547</v>
      </c>
      <c r="D65" s="615" t="s">
        <v>1520</v>
      </c>
      <c r="E65" s="616" t="s">
        <v>336</v>
      </c>
      <c r="F65" s="616" t="s">
        <v>336</v>
      </c>
      <c r="G65" s="616" t="s">
        <v>336</v>
      </c>
      <c r="H65" s="616"/>
      <c r="I65" s="617" t="s">
        <v>336</v>
      </c>
    </row>
    <row r="66" spans="1:9" s="63" customFormat="1" ht="216" x14ac:dyDescent="0.3">
      <c r="A66" s="614" t="s">
        <v>1548</v>
      </c>
      <c r="B66" s="615" t="s">
        <v>1549</v>
      </c>
      <c r="C66" s="615" t="s">
        <v>1550</v>
      </c>
      <c r="D66" s="615" t="s">
        <v>1527</v>
      </c>
      <c r="E66" s="616" t="s">
        <v>336</v>
      </c>
      <c r="F66" s="616" t="s">
        <v>336</v>
      </c>
      <c r="G66" s="616" t="s">
        <v>336</v>
      </c>
      <c r="H66" s="616"/>
      <c r="I66" s="617" t="s">
        <v>336</v>
      </c>
    </row>
    <row r="67" spans="1:9" s="63" customFormat="1" ht="216" x14ac:dyDescent="0.3">
      <c r="A67" s="614" t="s">
        <v>1551</v>
      </c>
      <c r="B67" s="615" t="s">
        <v>1552</v>
      </c>
      <c r="C67" s="615" t="s">
        <v>1553</v>
      </c>
      <c r="D67" s="615" t="s">
        <v>1527</v>
      </c>
      <c r="E67" s="616" t="s">
        <v>336</v>
      </c>
      <c r="F67" s="616" t="s">
        <v>336</v>
      </c>
      <c r="G67" s="616" t="s">
        <v>336</v>
      </c>
      <c r="H67" s="616"/>
      <c r="I67" s="617" t="s">
        <v>336</v>
      </c>
    </row>
    <row r="68" spans="1:9" s="63" customFormat="1" ht="168" x14ac:dyDescent="0.3">
      <c r="A68" s="614" t="s">
        <v>1554</v>
      </c>
      <c r="B68" s="615" t="s">
        <v>1555</v>
      </c>
      <c r="C68" s="615" t="s">
        <v>1556</v>
      </c>
      <c r="D68" s="615" t="s">
        <v>1527</v>
      </c>
      <c r="E68" s="616" t="s">
        <v>336</v>
      </c>
      <c r="F68" s="616" t="s">
        <v>336</v>
      </c>
      <c r="G68" s="616" t="s">
        <v>336</v>
      </c>
      <c r="H68" s="616"/>
      <c r="I68" s="617" t="s">
        <v>336</v>
      </c>
    </row>
    <row r="69" spans="1:9" s="63" customFormat="1" ht="168" x14ac:dyDescent="0.3">
      <c r="A69" s="614" t="s">
        <v>1557</v>
      </c>
      <c r="B69" s="615" t="s">
        <v>1558</v>
      </c>
      <c r="C69" s="615" t="s">
        <v>1559</v>
      </c>
      <c r="D69" s="615" t="s">
        <v>1527</v>
      </c>
      <c r="E69" s="616" t="s">
        <v>336</v>
      </c>
      <c r="F69" s="616" t="s">
        <v>336</v>
      </c>
      <c r="G69" s="616" t="s">
        <v>336</v>
      </c>
      <c r="H69" s="616"/>
      <c r="I69" s="617" t="s">
        <v>336</v>
      </c>
    </row>
    <row r="70" spans="1:9" s="63" customFormat="1" ht="120" x14ac:dyDescent="0.3">
      <c r="A70" s="614" t="s">
        <v>1560</v>
      </c>
      <c r="B70" s="615" t="s">
        <v>1561</v>
      </c>
      <c r="C70" s="615" t="s">
        <v>1562</v>
      </c>
      <c r="D70" s="615" t="s">
        <v>1527</v>
      </c>
      <c r="E70" s="616" t="s">
        <v>336</v>
      </c>
      <c r="F70" s="616" t="s">
        <v>336</v>
      </c>
      <c r="G70" s="616" t="s">
        <v>336</v>
      </c>
      <c r="H70" s="616"/>
      <c r="I70" s="617" t="s">
        <v>336</v>
      </c>
    </row>
    <row r="71" spans="1:9" s="63" customFormat="1" ht="168" x14ac:dyDescent="0.3">
      <c r="A71" s="614" t="s">
        <v>1563</v>
      </c>
      <c r="B71" s="615" t="s">
        <v>1564</v>
      </c>
      <c r="C71" s="615" t="s">
        <v>1565</v>
      </c>
      <c r="D71" s="615" t="s">
        <v>1527</v>
      </c>
      <c r="E71" s="616" t="s">
        <v>336</v>
      </c>
      <c r="F71" s="616" t="s">
        <v>336</v>
      </c>
      <c r="G71" s="616" t="s">
        <v>336</v>
      </c>
      <c r="H71" s="616"/>
      <c r="I71" s="617" t="s">
        <v>336</v>
      </c>
    </row>
    <row r="72" spans="1:9" s="63" customFormat="1" ht="24" x14ac:dyDescent="0.3">
      <c r="A72" s="618" t="s">
        <v>1566</v>
      </c>
      <c r="B72" s="662" t="s">
        <v>1567</v>
      </c>
      <c r="C72" s="662"/>
      <c r="D72" s="662"/>
      <c r="E72" s="662"/>
      <c r="F72" s="662"/>
      <c r="G72" s="662"/>
      <c r="H72" s="662"/>
      <c r="I72" s="663"/>
    </row>
    <row r="73" spans="1:9" s="63" customFormat="1" ht="120" x14ac:dyDescent="0.3">
      <c r="A73" s="614" t="s">
        <v>1568</v>
      </c>
      <c r="B73" s="615" t="s">
        <v>1569</v>
      </c>
      <c r="C73" s="615" t="s">
        <v>937</v>
      </c>
      <c r="D73" s="615" t="s">
        <v>4417</v>
      </c>
      <c r="E73" s="616" t="s">
        <v>336</v>
      </c>
      <c r="F73" s="616" t="s">
        <v>336</v>
      </c>
      <c r="G73" s="616" t="s">
        <v>336</v>
      </c>
      <c r="H73" s="616"/>
      <c r="I73" s="617" t="s">
        <v>336</v>
      </c>
    </row>
    <row r="74" spans="1:9" s="63" customFormat="1" ht="168" x14ac:dyDescent="0.3">
      <c r="A74" s="614" t="s">
        <v>1570</v>
      </c>
      <c r="B74" s="615" t="s">
        <v>1571</v>
      </c>
      <c r="C74" s="615" t="s">
        <v>1052</v>
      </c>
      <c r="D74" s="615" t="s">
        <v>804</v>
      </c>
      <c r="E74" s="616" t="s">
        <v>336</v>
      </c>
      <c r="F74" s="616" t="s">
        <v>336</v>
      </c>
      <c r="G74" s="616" t="s">
        <v>336</v>
      </c>
      <c r="H74" s="616"/>
      <c r="I74" s="617" t="s">
        <v>336</v>
      </c>
    </row>
    <row r="75" spans="1:9" s="63" customFormat="1" ht="192" x14ac:dyDescent="0.3">
      <c r="A75" s="614" t="s">
        <v>1403</v>
      </c>
      <c r="B75" s="615" t="s">
        <v>1572</v>
      </c>
      <c r="C75" s="615" t="s">
        <v>1199</v>
      </c>
      <c r="D75" s="615" t="s">
        <v>4418</v>
      </c>
      <c r="E75" s="616" t="s">
        <v>336</v>
      </c>
      <c r="F75" s="616" t="s">
        <v>336</v>
      </c>
      <c r="G75" s="616" t="s">
        <v>336</v>
      </c>
      <c r="H75" s="616"/>
      <c r="I75" s="617" t="s">
        <v>336</v>
      </c>
    </row>
    <row r="76" spans="1:9" s="63" customFormat="1" ht="96" x14ac:dyDescent="0.3">
      <c r="A76" s="614" t="s">
        <v>1573</v>
      </c>
      <c r="B76" s="615" t="s">
        <v>1574</v>
      </c>
      <c r="C76" s="615" t="s">
        <v>948</v>
      </c>
      <c r="D76" s="615" t="s">
        <v>4417</v>
      </c>
      <c r="E76" s="616" t="s">
        <v>336</v>
      </c>
      <c r="F76" s="616" t="s">
        <v>336</v>
      </c>
      <c r="G76" s="616" t="s">
        <v>336</v>
      </c>
      <c r="H76" s="616"/>
      <c r="I76" s="617" t="s">
        <v>336</v>
      </c>
    </row>
    <row r="77" spans="1:9" s="63" customFormat="1" ht="96" x14ac:dyDescent="0.3">
      <c r="A77" s="614" t="s">
        <v>1575</v>
      </c>
      <c r="B77" s="615" t="s">
        <v>1576</v>
      </c>
      <c r="C77" s="615" t="s">
        <v>1577</v>
      </c>
      <c r="D77" s="615" t="s">
        <v>1578</v>
      </c>
      <c r="E77" s="616" t="s">
        <v>336</v>
      </c>
      <c r="F77" s="616" t="s">
        <v>336</v>
      </c>
      <c r="G77" s="616" t="s">
        <v>336</v>
      </c>
      <c r="H77" s="616"/>
      <c r="I77" s="617" t="s">
        <v>336</v>
      </c>
    </row>
    <row r="78" spans="1:9" s="63" customFormat="1" ht="120" x14ac:dyDescent="0.3">
      <c r="A78" s="614" t="s">
        <v>1579</v>
      </c>
      <c r="B78" s="615" t="s">
        <v>1580</v>
      </c>
      <c r="C78" s="615" t="s">
        <v>1094</v>
      </c>
      <c r="D78" s="615" t="s">
        <v>1578</v>
      </c>
      <c r="E78" s="616" t="s">
        <v>336</v>
      </c>
      <c r="F78" s="616" t="s">
        <v>336</v>
      </c>
      <c r="G78" s="616" t="s">
        <v>336</v>
      </c>
      <c r="H78" s="616"/>
      <c r="I78" s="617" t="s">
        <v>336</v>
      </c>
    </row>
    <row r="79" spans="1:9" s="63" customFormat="1" ht="24" x14ac:dyDescent="0.3">
      <c r="A79" s="618" t="s">
        <v>1581</v>
      </c>
      <c r="B79" s="662" t="s">
        <v>1582</v>
      </c>
      <c r="C79" s="662"/>
      <c r="D79" s="662"/>
      <c r="E79" s="662"/>
      <c r="F79" s="662"/>
      <c r="G79" s="662"/>
      <c r="H79" s="662"/>
      <c r="I79" s="663"/>
    </row>
    <row r="80" spans="1:9" s="63" customFormat="1" ht="96" x14ac:dyDescent="0.3">
      <c r="A80" s="614" t="s">
        <v>1583</v>
      </c>
      <c r="B80" s="615" t="s">
        <v>965</v>
      </c>
      <c r="C80" s="615" t="s">
        <v>1584</v>
      </c>
      <c r="D80" s="615" t="s">
        <v>780</v>
      </c>
      <c r="E80" s="616" t="s">
        <v>336</v>
      </c>
      <c r="F80" s="616" t="s">
        <v>336</v>
      </c>
      <c r="G80" s="616" t="s">
        <v>336</v>
      </c>
      <c r="H80" s="616"/>
      <c r="I80" s="617" t="s">
        <v>336</v>
      </c>
    </row>
    <row r="81" spans="1:9" s="63" customFormat="1" ht="168" x14ac:dyDescent="0.3">
      <c r="A81" s="614" t="s">
        <v>1585</v>
      </c>
      <c r="B81" s="615" t="s">
        <v>967</v>
      </c>
      <c r="C81" s="615" t="s">
        <v>1586</v>
      </c>
      <c r="D81" s="615" t="s">
        <v>780</v>
      </c>
      <c r="E81" s="616" t="s">
        <v>336</v>
      </c>
      <c r="F81" s="616" t="s">
        <v>336</v>
      </c>
      <c r="G81" s="616" t="s">
        <v>336</v>
      </c>
      <c r="H81" s="616"/>
      <c r="I81" s="617" t="s">
        <v>336</v>
      </c>
    </row>
    <row r="82" spans="1:9" s="63" customFormat="1" ht="120" x14ac:dyDescent="0.3">
      <c r="A82" s="614" t="s">
        <v>1587</v>
      </c>
      <c r="B82" s="615" t="s">
        <v>969</v>
      </c>
      <c r="C82" s="615" t="s">
        <v>1588</v>
      </c>
      <c r="D82" s="615" t="s">
        <v>780</v>
      </c>
      <c r="E82" s="616" t="s">
        <v>336</v>
      </c>
      <c r="F82" s="616" t="s">
        <v>336</v>
      </c>
      <c r="G82" s="616" t="s">
        <v>336</v>
      </c>
      <c r="H82" s="616"/>
      <c r="I82" s="617" t="s">
        <v>336</v>
      </c>
    </row>
    <row r="83" spans="1:9" s="63" customFormat="1" ht="144" x14ac:dyDescent="0.3">
      <c r="A83" s="614" t="s">
        <v>1589</v>
      </c>
      <c r="B83" s="615" t="s">
        <v>1590</v>
      </c>
      <c r="C83" s="615" t="s">
        <v>1591</v>
      </c>
      <c r="D83" s="615" t="s">
        <v>780</v>
      </c>
      <c r="E83" s="616" t="s">
        <v>336</v>
      </c>
      <c r="F83" s="616" t="s">
        <v>336</v>
      </c>
      <c r="G83" s="616" t="s">
        <v>336</v>
      </c>
      <c r="H83" s="616"/>
      <c r="I83" s="617" t="s">
        <v>336</v>
      </c>
    </row>
    <row r="84" spans="1:9" s="63" customFormat="1" ht="192" x14ac:dyDescent="0.3">
      <c r="A84" s="614" t="s">
        <v>1592</v>
      </c>
      <c r="B84" s="615" t="s">
        <v>923</v>
      </c>
      <c r="C84" s="615" t="s">
        <v>1593</v>
      </c>
      <c r="D84" s="615" t="s">
        <v>771</v>
      </c>
      <c r="E84" s="616" t="s">
        <v>336</v>
      </c>
      <c r="F84" s="616" t="s">
        <v>336</v>
      </c>
      <c r="G84" s="616" t="s">
        <v>336</v>
      </c>
      <c r="H84" s="616"/>
      <c r="I84" s="617" t="s">
        <v>336</v>
      </c>
    </row>
    <row r="85" spans="1:9" s="63" customFormat="1" ht="120" x14ac:dyDescent="0.3">
      <c r="A85" s="614" t="s">
        <v>1594</v>
      </c>
      <c r="B85" s="615" t="s">
        <v>1595</v>
      </c>
      <c r="C85" s="615" t="s">
        <v>1596</v>
      </c>
      <c r="D85" s="615" t="s">
        <v>1157</v>
      </c>
      <c r="E85" s="616" t="s">
        <v>336</v>
      </c>
      <c r="F85" s="616" t="s">
        <v>336</v>
      </c>
      <c r="G85" s="616" t="s">
        <v>336</v>
      </c>
      <c r="H85" s="616"/>
      <c r="I85" s="617" t="s">
        <v>336</v>
      </c>
    </row>
    <row r="86" spans="1:9" s="63" customFormat="1" ht="24" customHeight="1" x14ac:dyDescent="0.3">
      <c r="A86" s="618" t="s">
        <v>1597</v>
      </c>
      <c r="B86" s="662" t="s">
        <v>1598</v>
      </c>
      <c r="C86" s="662"/>
      <c r="D86" s="662"/>
      <c r="E86" s="662"/>
      <c r="F86" s="662"/>
      <c r="G86" s="662"/>
      <c r="H86" s="662"/>
      <c r="I86" s="663"/>
    </row>
    <row r="87" spans="1:9" s="63" customFormat="1" ht="409.6" x14ac:dyDescent="0.3">
      <c r="A87" s="614" t="s">
        <v>1599</v>
      </c>
      <c r="B87" s="615" t="s">
        <v>1600</v>
      </c>
      <c r="C87" s="615" t="s">
        <v>1601</v>
      </c>
      <c r="D87" s="615" t="s">
        <v>1602</v>
      </c>
      <c r="E87" s="616" t="s">
        <v>336</v>
      </c>
      <c r="F87" s="616" t="s">
        <v>336</v>
      </c>
      <c r="G87" s="616" t="s">
        <v>336</v>
      </c>
      <c r="H87" s="616"/>
      <c r="I87" s="617" t="s">
        <v>336</v>
      </c>
    </row>
    <row r="88" spans="1:9" s="63" customFormat="1" ht="192" x14ac:dyDescent="0.3">
      <c r="A88" s="614" t="s">
        <v>1603</v>
      </c>
      <c r="B88" s="615" t="s">
        <v>1604</v>
      </c>
      <c r="C88" s="615" t="s">
        <v>1308</v>
      </c>
      <c r="D88" s="615" t="s">
        <v>1157</v>
      </c>
      <c r="E88" s="616" t="s">
        <v>336</v>
      </c>
      <c r="F88" s="616" t="s">
        <v>336</v>
      </c>
      <c r="G88" s="616" t="s">
        <v>336</v>
      </c>
      <c r="H88" s="616"/>
      <c r="I88" s="617" t="s">
        <v>336</v>
      </c>
    </row>
    <row r="89" spans="1:9" s="63" customFormat="1" ht="96" x14ac:dyDescent="0.3">
      <c r="A89" s="614" t="s">
        <v>1605</v>
      </c>
      <c r="B89" s="615" t="s">
        <v>1606</v>
      </c>
      <c r="C89" s="615" t="s">
        <v>1607</v>
      </c>
      <c r="D89" s="615" t="s">
        <v>1155</v>
      </c>
      <c r="E89" s="616" t="s">
        <v>336</v>
      </c>
      <c r="F89" s="616" t="s">
        <v>336</v>
      </c>
      <c r="G89" s="616" t="s">
        <v>336</v>
      </c>
      <c r="H89" s="616"/>
      <c r="I89" s="617" t="s">
        <v>336</v>
      </c>
    </row>
    <row r="90" spans="1:9" s="63" customFormat="1" ht="168" x14ac:dyDescent="0.3">
      <c r="A90" s="614" t="s">
        <v>1608</v>
      </c>
      <c r="B90" s="615" t="s">
        <v>1609</v>
      </c>
      <c r="C90" s="615" t="s">
        <v>1610</v>
      </c>
      <c r="D90" s="615" t="s">
        <v>1611</v>
      </c>
      <c r="E90" s="616" t="s">
        <v>336</v>
      </c>
      <c r="F90" s="616" t="s">
        <v>336</v>
      </c>
      <c r="G90" s="616" t="s">
        <v>336</v>
      </c>
      <c r="H90" s="616"/>
      <c r="I90" s="617" t="s">
        <v>336</v>
      </c>
    </row>
    <row r="91" spans="1:9" s="63" customFormat="1" ht="24" x14ac:dyDescent="0.3">
      <c r="A91" s="618" t="s">
        <v>1612</v>
      </c>
      <c r="B91" s="662" t="s">
        <v>1613</v>
      </c>
      <c r="C91" s="662"/>
      <c r="D91" s="662"/>
      <c r="E91" s="662"/>
      <c r="F91" s="662"/>
      <c r="G91" s="662"/>
      <c r="H91" s="662"/>
      <c r="I91" s="663"/>
    </row>
    <row r="92" spans="1:9" s="63" customFormat="1" ht="168" x14ac:dyDescent="0.3">
      <c r="A92" s="614" t="s">
        <v>1614</v>
      </c>
      <c r="B92" s="615" t="s">
        <v>1059</v>
      </c>
      <c r="C92" s="615" t="s">
        <v>1615</v>
      </c>
      <c r="D92" s="615" t="s">
        <v>1616</v>
      </c>
      <c r="E92" s="616" t="s">
        <v>336</v>
      </c>
      <c r="F92" s="616" t="s">
        <v>336</v>
      </c>
      <c r="G92" s="616" t="s">
        <v>336</v>
      </c>
      <c r="H92" s="616"/>
      <c r="I92" s="617" t="s">
        <v>336</v>
      </c>
    </row>
    <row r="93" spans="1:9" s="63" customFormat="1" ht="96" x14ac:dyDescent="0.3">
      <c r="A93" s="614" t="s">
        <v>1617</v>
      </c>
      <c r="B93" s="615" t="s">
        <v>1061</v>
      </c>
      <c r="C93" s="615" t="s">
        <v>1618</v>
      </c>
      <c r="D93" s="615" t="s">
        <v>809</v>
      </c>
      <c r="E93" s="616" t="s">
        <v>336</v>
      </c>
      <c r="F93" s="616" t="s">
        <v>336</v>
      </c>
      <c r="G93" s="616" t="s">
        <v>336</v>
      </c>
      <c r="H93" s="616"/>
      <c r="I93" s="617" t="s">
        <v>336</v>
      </c>
    </row>
    <row r="94" spans="1:9" s="63" customFormat="1" ht="144" x14ac:dyDescent="0.3">
      <c r="A94" s="614" t="s">
        <v>1619</v>
      </c>
      <c r="B94" s="615" t="s">
        <v>1620</v>
      </c>
      <c r="C94" s="615" t="s">
        <v>1621</v>
      </c>
      <c r="D94" s="615" t="s">
        <v>1616</v>
      </c>
      <c r="E94" s="616" t="s">
        <v>336</v>
      </c>
      <c r="F94" s="616" t="s">
        <v>336</v>
      </c>
      <c r="G94" s="616" t="s">
        <v>336</v>
      </c>
      <c r="H94" s="616"/>
      <c r="I94" s="617" t="s">
        <v>336</v>
      </c>
    </row>
    <row r="95" spans="1:9" s="63" customFormat="1" ht="72" x14ac:dyDescent="0.3">
      <c r="A95" s="614" t="s">
        <v>1622</v>
      </c>
      <c r="B95" s="615" t="s">
        <v>1623</v>
      </c>
      <c r="C95" s="615" t="s">
        <v>1624</v>
      </c>
      <c r="D95" s="615" t="s">
        <v>809</v>
      </c>
      <c r="E95" s="616" t="s">
        <v>336</v>
      </c>
      <c r="F95" s="616" t="s">
        <v>336</v>
      </c>
      <c r="G95" s="616" t="s">
        <v>336</v>
      </c>
      <c r="H95" s="616"/>
      <c r="I95" s="617" t="s">
        <v>336</v>
      </c>
    </row>
    <row r="96" spans="1:9" s="63" customFormat="1" ht="24" x14ac:dyDescent="0.3">
      <c r="A96" s="618" t="s">
        <v>1625</v>
      </c>
      <c r="B96" s="662" t="s">
        <v>1626</v>
      </c>
      <c r="C96" s="662"/>
      <c r="D96" s="662"/>
      <c r="E96" s="662"/>
      <c r="F96" s="662"/>
      <c r="G96" s="662"/>
      <c r="H96" s="662"/>
      <c r="I96" s="663"/>
    </row>
    <row r="97" spans="1:9" s="63" customFormat="1" ht="312" x14ac:dyDescent="0.3">
      <c r="A97" s="614" t="s">
        <v>1627</v>
      </c>
      <c r="B97" s="615" t="s">
        <v>191</v>
      </c>
      <c r="C97" s="615" t="s">
        <v>1628</v>
      </c>
      <c r="D97" s="615" t="s">
        <v>1629</v>
      </c>
      <c r="E97" s="616" t="s">
        <v>336</v>
      </c>
      <c r="F97" s="616" t="s">
        <v>336</v>
      </c>
      <c r="G97" s="616" t="s">
        <v>336</v>
      </c>
      <c r="H97" s="616"/>
      <c r="I97" s="617" t="s">
        <v>336</v>
      </c>
    </row>
    <row r="98" spans="1:9" s="63" customFormat="1" ht="336" x14ac:dyDescent="0.3">
      <c r="A98" s="614" t="s">
        <v>1630</v>
      </c>
      <c r="B98" s="615" t="s">
        <v>1631</v>
      </c>
      <c r="C98" s="615" t="s">
        <v>1632</v>
      </c>
      <c r="D98" s="615" t="s">
        <v>1633</v>
      </c>
      <c r="E98" s="616" t="s">
        <v>336</v>
      </c>
      <c r="F98" s="616" t="s">
        <v>336</v>
      </c>
      <c r="G98" s="616" t="s">
        <v>336</v>
      </c>
      <c r="H98" s="616"/>
      <c r="I98" s="617" t="s">
        <v>336</v>
      </c>
    </row>
    <row r="99" spans="1:9" s="63" customFormat="1" ht="144" x14ac:dyDescent="0.3">
      <c r="A99" s="614" t="s">
        <v>1634</v>
      </c>
      <c r="B99" s="615" t="s">
        <v>1635</v>
      </c>
      <c r="C99" s="615" t="s">
        <v>1636</v>
      </c>
      <c r="D99" s="615" t="s">
        <v>773</v>
      </c>
      <c r="E99" s="616" t="s">
        <v>336</v>
      </c>
      <c r="F99" s="616" t="s">
        <v>336</v>
      </c>
      <c r="G99" s="616" t="s">
        <v>336</v>
      </c>
      <c r="H99" s="616"/>
      <c r="I99" s="617" t="s">
        <v>336</v>
      </c>
    </row>
    <row r="100" spans="1:9" s="63" customFormat="1" ht="96" x14ac:dyDescent="0.3">
      <c r="A100" s="614" t="s">
        <v>1637</v>
      </c>
      <c r="B100" s="615" t="s">
        <v>1638</v>
      </c>
      <c r="C100" s="615" t="s">
        <v>1639</v>
      </c>
      <c r="D100" s="615" t="s">
        <v>804</v>
      </c>
      <c r="E100" s="616" t="s">
        <v>336</v>
      </c>
      <c r="F100" s="616" t="s">
        <v>336</v>
      </c>
      <c r="G100" s="616" t="s">
        <v>336</v>
      </c>
      <c r="H100" s="616"/>
      <c r="I100" s="617" t="s">
        <v>336</v>
      </c>
    </row>
    <row r="101" spans="1:9" s="63" customFormat="1" ht="168" x14ac:dyDescent="0.3">
      <c r="A101" s="614" t="s">
        <v>1640</v>
      </c>
      <c r="B101" s="615" t="s">
        <v>1641</v>
      </c>
      <c r="C101" s="615" t="s">
        <v>958</v>
      </c>
      <c r="D101" s="615" t="s">
        <v>777</v>
      </c>
      <c r="E101" s="616" t="s">
        <v>336</v>
      </c>
      <c r="F101" s="616" t="s">
        <v>336</v>
      </c>
      <c r="G101" s="616" t="s">
        <v>336</v>
      </c>
      <c r="H101" s="616"/>
      <c r="I101" s="617" t="s">
        <v>336</v>
      </c>
    </row>
    <row r="102" spans="1:9" s="63" customFormat="1" ht="240" x14ac:dyDescent="0.3">
      <c r="A102" s="614" t="s">
        <v>1642</v>
      </c>
      <c r="B102" s="615" t="s">
        <v>1643</v>
      </c>
      <c r="C102" s="615" t="s">
        <v>1644</v>
      </c>
      <c r="D102" s="615" t="s">
        <v>798</v>
      </c>
      <c r="E102" s="616" t="s">
        <v>336</v>
      </c>
      <c r="F102" s="616" t="s">
        <v>336</v>
      </c>
      <c r="G102" s="616" t="s">
        <v>336</v>
      </c>
      <c r="H102" s="616"/>
      <c r="I102" s="617" t="s">
        <v>336</v>
      </c>
    </row>
    <row r="103" spans="1:9" s="63" customFormat="1" ht="240" x14ac:dyDescent="0.3">
      <c r="A103" s="614" t="s">
        <v>1645</v>
      </c>
      <c r="B103" s="615" t="s">
        <v>1646</v>
      </c>
      <c r="C103" s="615" t="s">
        <v>1647</v>
      </c>
      <c r="D103" s="615" t="s">
        <v>800</v>
      </c>
      <c r="E103" s="616" t="s">
        <v>336</v>
      </c>
      <c r="F103" s="616" t="s">
        <v>336</v>
      </c>
      <c r="G103" s="616" t="s">
        <v>336</v>
      </c>
      <c r="H103" s="616"/>
      <c r="I103" s="617" t="s">
        <v>336</v>
      </c>
    </row>
    <row r="104" spans="1:9" s="63" customFormat="1" ht="216" x14ac:dyDescent="0.3">
      <c r="A104" s="614" t="s">
        <v>1648</v>
      </c>
      <c r="B104" s="615" t="s">
        <v>1649</v>
      </c>
      <c r="C104" s="615" t="s">
        <v>1650</v>
      </c>
      <c r="D104" s="615" t="s">
        <v>1141</v>
      </c>
      <c r="E104" s="616" t="s">
        <v>336</v>
      </c>
      <c r="F104" s="616" t="s">
        <v>336</v>
      </c>
      <c r="G104" s="616" t="s">
        <v>336</v>
      </c>
      <c r="H104" s="616"/>
      <c r="I104" s="617" t="s">
        <v>336</v>
      </c>
    </row>
    <row r="105" spans="1:9" s="63" customFormat="1" ht="72" x14ac:dyDescent="0.3">
      <c r="A105" s="614" t="s">
        <v>1651</v>
      </c>
      <c r="B105" s="615" t="s">
        <v>1652</v>
      </c>
      <c r="C105" s="615" t="s">
        <v>1243</v>
      </c>
      <c r="D105" s="615" t="s">
        <v>1141</v>
      </c>
      <c r="E105" s="616" t="s">
        <v>336</v>
      </c>
      <c r="F105" s="616" t="s">
        <v>336</v>
      </c>
      <c r="G105" s="616" t="s">
        <v>336</v>
      </c>
      <c r="H105" s="616"/>
      <c r="I105" s="617" t="s">
        <v>336</v>
      </c>
    </row>
    <row r="106" spans="1:9" s="63" customFormat="1" ht="168" x14ac:dyDescent="0.3">
      <c r="A106" s="614" t="s">
        <v>1653</v>
      </c>
      <c r="B106" s="615" t="s">
        <v>1654</v>
      </c>
      <c r="C106" s="615" t="s">
        <v>1655</v>
      </c>
      <c r="D106" s="615" t="s">
        <v>1143</v>
      </c>
      <c r="E106" s="616" t="s">
        <v>336</v>
      </c>
      <c r="F106" s="616" t="s">
        <v>336</v>
      </c>
      <c r="G106" s="616" t="s">
        <v>336</v>
      </c>
      <c r="H106" s="616"/>
      <c r="I106" s="617" t="s">
        <v>336</v>
      </c>
    </row>
    <row r="107" spans="1:9" s="63" customFormat="1" ht="144" x14ac:dyDescent="0.3">
      <c r="A107" s="614" t="s">
        <v>1656</v>
      </c>
      <c r="B107" s="615" t="s">
        <v>1657</v>
      </c>
      <c r="C107" s="615" t="s">
        <v>1251</v>
      </c>
      <c r="D107" s="615" t="s">
        <v>1143</v>
      </c>
      <c r="E107" s="616" t="s">
        <v>336</v>
      </c>
      <c r="F107" s="616" t="s">
        <v>336</v>
      </c>
      <c r="G107" s="616" t="s">
        <v>336</v>
      </c>
      <c r="H107" s="616"/>
      <c r="I107" s="617" t="s">
        <v>336</v>
      </c>
    </row>
    <row r="108" spans="1:9" s="63" customFormat="1" ht="144" x14ac:dyDescent="0.3">
      <c r="A108" s="614" t="s">
        <v>1658</v>
      </c>
      <c r="B108" s="615" t="s">
        <v>1659</v>
      </c>
      <c r="C108" s="615" t="s">
        <v>1215</v>
      </c>
      <c r="D108" s="615" t="s">
        <v>1131</v>
      </c>
      <c r="E108" s="616" t="s">
        <v>336</v>
      </c>
      <c r="F108" s="616" t="s">
        <v>336</v>
      </c>
      <c r="G108" s="616" t="s">
        <v>336</v>
      </c>
      <c r="H108" s="616"/>
      <c r="I108" s="617" t="s">
        <v>336</v>
      </c>
    </row>
    <row r="109" spans="1:9" s="63" customFormat="1" ht="144" x14ac:dyDescent="0.3">
      <c r="A109" s="614" t="s">
        <v>1660</v>
      </c>
      <c r="B109" s="615" t="s">
        <v>1661</v>
      </c>
      <c r="C109" s="615" t="s">
        <v>1662</v>
      </c>
      <c r="D109" s="615" t="s">
        <v>1149</v>
      </c>
      <c r="E109" s="616" t="s">
        <v>336</v>
      </c>
      <c r="F109" s="616" t="s">
        <v>336</v>
      </c>
      <c r="G109" s="616" t="s">
        <v>336</v>
      </c>
      <c r="H109" s="616"/>
      <c r="I109" s="617" t="s">
        <v>336</v>
      </c>
    </row>
    <row r="110" spans="1:9" s="63" customFormat="1" ht="120" x14ac:dyDescent="0.3">
      <c r="A110" s="614" t="s">
        <v>1663</v>
      </c>
      <c r="B110" s="615" t="s">
        <v>1664</v>
      </c>
      <c r="C110" s="615" t="s">
        <v>1278</v>
      </c>
      <c r="D110" s="615" t="s">
        <v>1149</v>
      </c>
      <c r="E110" s="616" t="s">
        <v>336</v>
      </c>
      <c r="F110" s="616" t="s">
        <v>336</v>
      </c>
      <c r="G110" s="616" t="s">
        <v>336</v>
      </c>
      <c r="H110" s="616"/>
      <c r="I110" s="617" t="s">
        <v>336</v>
      </c>
    </row>
    <row r="111" spans="1:9" s="63" customFormat="1" ht="168" x14ac:dyDescent="0.3">
      <c r="A111" s="614" t="s">
        <v>1665</v>
      </c>
      <c r="B111" s="615" t="s">
        <v>1666</v>
      </c>
      <c r="C111" s="615" t="s">
        <v>1288</v>
      </c>
      <c r="D111" s="615" t="s">
        <v>1151</v>
      </c>
      <c r="E111" s="616" t="s">
        <v>336</v>
      </c>
      <c r="F111" s="616" t="s">
        <v>336</v>
      </c>
      <c r="G111" s="616" t="s">
        <v>336</v>
      </c>
      <c r="H111" s="616"/>
      <c r="I111" s="617" t="s">
        <v>336</v>
      </c>
    </row>
    <row r="112" spans="1:9" s="63" customFormat="1" ht="144" x14ac:dyDescent="0.3">
      <c r="A112" s="614" t="s">
        <v>1667</v>
      </c>
      <c r="B112" s="615" t="s">
        <v>1668</v>
      </c>
      <c r="C112" s="615" t="s">
        <v>1669</v>
      </c>
      <c r="D112" s="615" t="s">
        <v>1155</v>
      </c>
      <c r="E112" s="616" t="s">
        <v>336</v>
      </c>
      <c r="F112" s="616" t="s">
        <v>336</v>
      </c>
      <c r="G112" s="616" t="s">
        <v>336</v>
      </c>
      <c r="H112" s="616"/>
      <c r="I112" s="617" t="s">
        <v>336</v>
      </c>
    </row>
    <row r="113" spans="1:9" s="63" customFormat="1" ht="96" x14ac:dyDescent="0.3">
      <c r="A113" s="614" t="s">
        <v>1670</v>
      </c>
      <c r="B113" s="615" t="s">
        <v>1671</v>
      </c>
      <c r="C113" s="615" t="s">
        <v>912</v>
      </c>
      <c r="D113" s="615" t="s">
        <v>768</v>
      </c>
      <c r="E113" s="616" t="s">
        <v>336</v>
      </c>
      <c r="F113" s="616" t="s">
        <v>336</v>
      </c>
      <c r="G113" s="616" t="s">
        <v>336</v>
      </c>
      <c r="H113" s="616"/>
      <c r="I113" s="617" t="s">
        <v>336</v>
      </c>
    </row>
    <row r="114" spans="1:9" s="63" customFormat="1" ht="24" x14ac:dyDescent="0.3">
      <c r="A114" s="618" t="s">
        <v>1672</v>
      </c>
      <c r="B114" s="662" t="s">
        <v>1673</v>
      </c>
      <c r="C114" s="662"/>
      <c r="D114" s="662"/>
      <c r="E114" s="662"/>
      <c r="F114" s="662"/>
      <c r="G114" s="662"/>
      <c r="H114" s="662"/>
      <c r="I114" s="663"/>
    </row>
    <row r="115" spans="1:9" s="63" customFormat="1" ht="408" x14ac:dyDescent="0.3">
      <c r="A115" s="614" t="s">
        <v>1674</v>
      </c>
      <c r="B115" s="615" t="s">
        <v>1675</v>
      </c>
      <c r="C115" s="615" t="s">
        <v>1676</v>
      </c>
      <c r="D115" s="615" t="s">
        <v>1677</v>
      </c>
      <c r="E115" s="616" t="s">
        <v>336</v>
      </c>
      <c r="F115" s="616" t="s">
        <v>336</v>
      </c>
      <c r="G115" s="616" t="s">
        <v>336</v>
      </c>
      <c r="H115" s="616"/>
      <c r="I115" s="617" t="s">
        <v>336</v>
      </c>
    </row>
    <row r="116" spans="1:9" s="63" customFormat="1" ht="144" x14ac:dyDescent="0.3">
      <c r="A116" s="614" t="s">
        <v>1678</v>
      </c>
      <c r="B116" s="615" t="s">
        <v>1679</v>
      </c>
      <c r="C116" s="615" t="s">
        <v>910</v>
      </c>
      <c r="D116" s="615" t="s">
        <v>768</v>
      </c>
      <c r="E116" s="616" t="s">
        <v>336</v>
      </c>
      <c r="F116" s="616" t="s">
        <v>336</v>
      </c>
      <c r="G116" s="616" t="s">
        <v>336</v>
      </c>
      <c r="H116" s="616"/>
      <c r="I116" s="617" t="s">
        <v>336</v>
      </c>
    </row>
    <row r="117" spans="1:9" s="63" customFormat="1" ht="264" x14ac:dyDescent="0.3">
      <c r="A117" s="614" t="s">
        <v>1680</v>
      </c>
      <c r="B117" s="615" t="s">
        <v>1681</v>
      </c>
      <c r="C117" s="615" t="s">
        <v>1682</v>
      </c>
      <c r="D117" s="615" t="s">
        <v>773</v>
      </c>
      <c r="E117" s="616" t="s">
        <v>336</v>
      </c>
      <c r="F117" s="616" t="s">
        <v>336</v>
      </c>
      <c r="G117" s="616" t="s">
        <v>336</v>
      </c>
      <c r="H117" s="616"/>
      <c r="I117" s="617" t="s">
        <v>336</v>
      </c>
    </row>
    <row r="118" spans="1:9" s="63" customFormat="1" ht="168" x14ac:dyDescent="0.3">
      <c r="A118" s="614" t="s">
        <v>1683</v>
      </c>
      <c r="B118" s="615" t="s">
        <v>1684</v>
      </c>
      <c r="C118" s="615" t="s">
        <v>1685</v>
      </c>
      <c r="D118" s="615" t="s">
        <v>771</v>
      </c>
      <c r="E118" s="616" t="s">
        <v>336</v>
      </c>
      <c r="F118" s="616" t="s">
        <v>336</v>
      </c>
      <c r="G118" s="616" t="s">
        <v>336</v>
      </c>
      <c r="H118" s="616"/>
      <c r="I118" s="617" t="s">
        <v>336</v>
      </c>
    </row>
    <row r="119" spans="1:9" s="63" customFormat="1" ht="144" x14ac:dyDescent="0.3">
      <c r="A119" s="614" t="s">
        <v>1686</v>
      </c>
      <c r="B119" s="615" t="s">
        <v>1687</v>
      </c>
      <c r="C119" s="615" t="s">
        <v>1688</v>
      </c>
      <c r="D119" s="615" t="s">
        <v>1689</v>
      </c>
      <c r="E119" s="616" t="s">
        <v>336</v>
      </c>
      <c r="F119" s="616" t="s">
        <v>336</v>
      </c>
      <c r="G119" s="616" t="s">
        <v>336</v>
      </c>
      <c r="H119" s="616"/>
      <c r="I119" s="617" t="s">
        <v>336</v>
      </c>
    </row>
    <row r="120" spans="1:9" s="63" customFormat="1" ht="192" x14ac:dyDescent="0.3">
      <c r="A120" s="614" t="s">
        <v>1690</v>
      </c>
      <c r="B120" s="615" t="s">
        <v>1691</v>
      </c>
      <c r="C120" s="615" t="s">
        <v>1692</v>
      </c>
      <c r="D120" s="615" t="s">
        <v>1501</v>
      </c>
      <c r="E120" s="616" t="s">
        <v>336</v>
      </c>
      <c r="F120" s="616" t="s">
        <v>336</v>
      </c>
      <c r="G120" s="616" t="s">
        <v>336</v>
      </c>
      <c r="H120" s="616"/>
      <c r="I120" s="617" t="s">
        <v>336</v>
      </c>
    </row>
    <row r="121" spans="1:9" s="63" customFormat="1" ht="144" x14ac:dyDescent="0.3">
      <c r="A121" s="614" t="s">
        <v>1693</v>
      </c>
      <c r="B121" s="615" t="s">
        <v>1694</v>
      </c>
      <c r="C121" s="615" t="s">
        <v>1695</v>
      </c>
      <c r="D121" s="615" t="s">
        <v>1155</v>
      </c>
      <c r="E121" s="616" t="s">
        <v>336</v>
      </c>
      <c r="F121" s="616" t="s">
        <v>336</v>
      </c>
      <c r="G121" s="616" t="s">
        <v>336</v>
      </c>
      <c r="H121" s="616"/>
      <c r="I121" s="617" t="s">
        <v>336</v>
      </c>
    </row>
    <row r="122" spans="1:9" s="63" customFormat="1" ht="144" x14ac:dyDescent="0.3">
      <c r="A122" s="614" t="s">
        <v>1696</v>
      </c>
      <c r="B122" s="615" t="s">
        <v>1697</v>
      </c>
      <c r="C122" s="615" t="s">
        <v>1698</v>
      </c>
      <c r="D122" s="615" t="s">
        <v>1149</v>
      </c>
      <c r="E122" s="616" t="s">
        <v>336</v>
      </c>
      <c r="F122" s="616" t="s">
        <v>336</v>
      </c>
      <c r="G122" s="616" t="s">
        <v>336</v>
      </c>
      <c r="H122" s="616"/>
      <c r="I122" s="617" t="s">
        <v>336</v>
      </c>
    </row>
    <row r="123" spans="1:9" s="63" customFormat="1" ht="168" x14ac:dyDescent="0.3">
      <c r="A123" s="614" t="s">
        <v>1699</v>
      </c>
      <c r="B123" s="615" t="s">
        <v>1700</v>
      </c>
      <c r="C123" s="615" t="s">
        <v>1701</v>
      </c>
      <c r="D123" s="615" t="s">
        <v>1702</v>
      </c>
      <c r="E123" s="616" t="s">
        <v>336</v>
      </c>
      <c r="F123" s="616" t="s">
        <v>336</v>
      </c>
      <c r="G123" s="616" t="s">
        <v>336</v>
      </c>
      <c r="H123" s="616"/>
      <c r="I123" s="617" t="s">
        <v>336</v>
      </c>
    </row>
    <row r="124" spans="1:9" s="63" customFormat="1" ht="240" x14ac:dyDescent="0.3">
      <c r="A124" s="614" t="s">
        <v>1703</v>
      </c>
      <c r="B124" s="615" t="s">
        <v>1704</v>
      </c>
      <c r="C124" s="615" t="s">
        <v>1705</v>
      </c>
      <c r="D124" s="615" t="s">
        <v>1151</v>
      </c>
      <c r="E124" s="616" t="s">
        <v>336</v>
      </c>
      <c r="F124" s="616" t="s">
        <v>336</v>
      </c>
      <c r="G124" s="616" t="s">
        <v>336</v>
      </c>
      <c r="H124" s="616"/>
      <c r="I124" s="617" t="s">
        <v>336</v>
      </c>
    </row>
    <row r="125" spans="1:9" s="63" customFormat="1" ht="192" x14ac:dyDescent="0.3">
      <c r="A125" s="614" t="s">
        <v>1706</v>
      </c>
      <c r="B125" s="615" t="s">
        <v>1289</v>
      </c>
      <c r="C125" s="615" t="s">
        <v>1290</v>
      </c>
      <c r="D125" s="615" t="s">
        <v>1151</v>
      </c>
      <c r="E125" s="616" t="s">
        <v>336</v>
      </c>
      <c r="F125" s="616" t="s">
        <v>336</v>
      </c>
      <c r="G125" s="616" t="s">
        <v>336</v>
      </c>
      <c r="H125" s="616"/>
      <c r="I125" s="617" t="s">
        <v>336</v>
      </c>
    </row>
    <row r="126" spans="1:9" s="63" customFormat="1" ht="240" x14ac:dyDescent="0.3">
      <c r="A126" s="614" t="s">
        <v>1707</v>
      </c>
      <c r="B126" s="615" t="s">
        <v>1708</v>
      </c>
      <c r="C126" s="615" t="s">
        <v>1709</v>
      </c>
      <c r="D126" s="615" t="s">
        <v>809</v>
      </c>
      <c r="E126" s="616" t="s">
        <v>336</v>
      </c>
      <c r="F126" s="616" t="s">
        <v>336</v>
      </c>
      <c r="G126" s="616" t="s">
        <v>336</v>
      </c>
      <c r="H126" s="616"/>
      <c r="I126" s="617" t="s">
        <v>336</v>
      </c>
    </row>
    <row r="127" spans="1:9" s="63" customFormat="1" ht="24" customHeight="1" x14ac:dyDescent="0.3">
      <c r="A127" s="618" t="s">
        <v>1710</v>
      </c>
      <c r="B127" s="662" t="s">
        <v>1711</v>
      </c>
      <c r="C127" s="662"/>
      <c r="D127" s="662"/>
      <c r="E127" s="662"/>
      <c r="F127" s="662"/>
      <c r="G127" s="662"/>
      <c r="H127" s="662"/>
      <c r="I127" s="663"/>
    </row>
    <row r="128" spans="1:9" s="63" customFormat="1" ht="409.6" x14ac:dyDescent="0.3">
      <c r="A128" s="614" t="s">
        <v>1712</v>
      </c>
      <c r="B128" s="615" t="s">
        <v>1713</v>
      </c>
      <c r="C128" s="615" t="s">
        <v>1714</v>
      </c>
      <c r="D128" s="615" t="s">
        <v>1715</v>
      </c>
      <c r="E128" s="616" t="s">
        <v>336</v>
      </c>
      <c r="F128" s="616" t="s">
        <v>336</v>
      </c>
      <c r="G128" s="616" t="s">
        <v>336</v>
      </c>
      <c r="H128" s="616"/>
      <c r="I128" s="617" t="s">
        <v>336</v>
      </c>
    </row>
    <row r="129" spans="1:9" s="63" customFormat="1" ht="192" x14ac:dyDescent="0.3">
      <c r="A129" s="614" t="s">
        <v>1716</v>
      </c>
      <c r="B129" s="615" t="s">
        <v>1717</v>
      </c>
      <c r="C129" s="615" t="s">
        <v>1718</v>
      </c>
      <c r="D129" s="615" t="s">
        <v>1527</v>
      </c>
      <c r="E129" s="616" t="s">
        <v>336</v>
      </c>
      <c r="F129" s="616" t="s">
        <v>336</v>
      </c>
      <c r="G129" s="616" t="s">
        <v>336</v>
      </c>
      <c r="H129" s="616"/>
      <c r="I129" s="617" t="s">
        <v>336</v>
      </c>
    </row>
    <row r="130" spans="1:9" s="63" customFormat="1" ht="216" x14ac:dyDescent="0.3">
      <c r="A130" s="614" t="s">
        <v>1719</v>
      </c>
      <c r="B130" s="615" t="s">
        <v>1720</v>
      </c>
      <c r="C130" s="615" t="s">
        <v>1721</v>
      </c>
      <c r="D130" s="615" t="s">
        <v>771</v>
      </c>
      <c r="E130" s="616" t="s">
        <v>336</v>
      </c>
      <c r="F130" s="616" t="s">
        <v>336</v>
      </c>
      <c r="G130" s="616" t="s">
        <v>336</v>
      </c>
      <c r="H130" s="616"/>
      <c r="I130" s="617" t="s">
        <v>336</v>
      </c>
    </row>
    <row r="131" spans="1:9" s="63" customFormat="1" ht="192" x14ac:dyDescent="0.3">
      <c r="A131" s="614" t="s">
        <v>1722</v>
      </c>
      <c r="B131" s="615" t="s">
        <v>1723</v>
      </c>
      <c r="C131" s="615" t="s">
        <v>1724</v>
      </c>
      <c r="D131" s="615" t="s">
        <v>1527</v>
      </c>
      <c r="E131" s="616" t="s">
        <v>336</v>
      </c>
      <c r="F131" s="616" t="s">
        <v>336</v>
      </c>
      <c r="G131" s="616" t="s">
        <v>336</v>
      </c>
      <c r="H131" s="616"/>
      <c r="I131" s="617" t="s">
        <v>336</v>
      </c>
    </row>
    <row r="132" spans="1:9" s="63" customFormat="1" ht="216" x14ac:dyDescent="0.3">
      <c r="A132" s="614" t="s">
        <v>1725</v>
      </c>
      <c r="B132" s="615" t="s">
        <v>1726</v>
      </c>
      <c r="C132" s="615" t="s">
        <v>1727</v>
      </c>
      <c r="D132" s="615" t="s">
        <v>1527</v>
      </c>
      <c r="E132" s="616" t="s">
        <v>336</v>
      </c>
      <c r="F132" s="616" t="s">
        <v>336</v>
      </c>
      <c r="G132" s="616" t="s">
        <v>336</v>
      </c>
      <c r="H132" s="616"/>
      <c r="I132" s="617" t="s">
        <v>336</v>
      </c>
    </row>
    <row r="133" spans="1:9" s="63" customFormat="1" ht="192" x14ac:dyDescent="0.3">
      <c r="A133" s="614" t="s">
        <v>1728</v>
      </c>
      <c r="B133" s="615" t="s">
        <v>1729</v>
      </c>
      <c r="C133" s="615" t="s">
        <v>1730</v>
      </c>
      <c r="D133" s="615" t="s">
        <v>1527</v>
      </c>
      <c r="E133" s="616" t="s">
        <v>336</v>
      </c>
      <c r="F133" s="616" t="s">
        <v>336</v>
      </c>
      <c r="G133" s="616" t="s">
        <v>336</v>
      </c>
      <c r="H133" s="616"/>
      <c r="I133" s="617" t="s">
        <v>336</v>
      </c>
    </row>
    <row r="134" spans="1:9" s="63" customFormat="1" ht="192" x14ac:dyDescent="0.3">
      <c r="A134" s="614" t="s">
        <v>1731</v>
      </c>
      <c r="B134" s="615" t="s">
        <v>1732</v>
      </c>
      <c r="C134" s="615" t="s">
        <v>1733</v>
      </c>
      <c r="D134" s="615" t="s">
        <v>1527</v>
      </c>
      <c r="E134" s="616" t="s">
        <v>336</v>
      </c>
      <c r="F134" s="616" t="s">
        <v>336</v>
      </c>
      <c r="G134" s="616" t="s">
        <v>336</v>
      </c>
      <c r="H134" s="616"/>
      <c r="I134" s="617" t="s">
        <v>336</v>
      </c>
    </row>
    <row r="135" spans="1:9" s="63" customFormat="1" ht="192" x14ac:dyDescent="0.3">
      <c r="A135" s="614" t="s">
        <v>1734</v>
      </c>
      <c r="B135" s="615" t="s">
        <v>1735</v>
      </c>
      <c r="C135" s="615" t="s">
        <v>1736</v>
      </c>
      <c r="D135" s="615" t="s">
        <v>1527</v>
      </c>
      <c r="E135" s="616" t="s">
        <v>336</v>
      </c>
      <c r="F135" s="616" t="s">
        <v>336</v>
      </c>
      <c r="G135" s="616" t="s">
        <v>336</v>
      </c>
      <c r="H135" s="616"/>
      <c r="I135" s="617" t="s">
        <v>336</v>
      </c>
    </row>
    <row r="136" spans="1:9" s="63" customFormat="1" ht="192" x14ac:dyDescent="0.3">
      <c r="A136" s="614" t="s">
        <v>1737</v>
      </c>
      <c r="B136" s="615" t="s">
        <v>1738</v>
      </c>
      <c r="C136" s="615" t="s">
        <v>1739</v>
      </c>
      <c r="D136" s="615" t="s">
        <v>1527</v>
      </c>
      <c r="E136" s="616" t="s">
        <v>336</v>
      </c>
      <c r="F136" s="616" t="s">
        <v>336</v>
      </c>
      <c r="G136" s="616" t="s">
        <v>336</v>
      </c>
      <c r="H136" s="616"/>
      <c r="I136" s="617" t="s">
        <v>336</v>
      </c>
    </row>
    <row r="137" spans="1:9" s="63" customFormat="1" ht="192" x14ac:dyDescent="0.3">
      <c r="A137" s="614" t="s">
        <v>1740</v>
      </c>
      <c r="B137" s="615" t="s">
        <v>1741</v>
      </c>
      <c r="C137" s="615" t="s">
        <v>1742</v>
      </c>
      <c r="D137" s="615" t="s">
        <v>1527</v>
      </c>
      <c r="E137" s="616" t="s">
        <v>336</v>
      </c>
      <c r="F137" s="616" t="s">
        <v>336</v>
      </c>
      <c r="G137" s="616" t="s">
        <v>336</v>
      </c>
      <c r="H137" s="616"/>
      <c r="I137" s="617" t="s">
        <v>336</v>
      </c>
    </row>
  </sheetData>
  <hyperlinks>
    <hyperlink ref="K1" r:id="rId1" xr:uid="{5540ADEB-F5F4-45F2-8D37-0D90744F4900}"/>
    <hyperlink ref="J6" r:id="rId2" xr:uid="{7D397468-19F6-415D-B2C5-D88C7F156EA8}"/>
    <hyperlink ref="J7" r:id="rId3" xr:uid="{9052F198-4FD3-4663-90DF-7A1E1E715E33}"/>
    <hyperlink ref="J8" r:id="rId4" xr:uid="{CD753346-14D3-4615-817B-8765D94425C2}"/>
    <hyperlink ref="J5" r:id="rId5" xr:uid="{612EB39D-A4EB-4D57-A561-96C167E92E11}"/>
    <hyperlink ref="K8" r:id="rId6" xr:uid="{B719AEF7-CDA8-4123-95E1-0F43FB6997FA}"/>
    <hyperlink ref="L8" r:id="rId7" xr:uid="{16F3D3D0-1E8E-46BC-9BAD-93B3CCD8A629}"/>
    <hyperlink ref="J10" r:id="rId8" xr:uid="{C790E3BA-B22F-4CAC-9BDA-A83C5C29747B}"/>
    <hyperlink ref="J13" r:id="rId9" xr:uid="{8DD6E594-B2D5-41AE-8924-C5B329C728D1}"/>
    <hyperlink ref="J16" r:id="rId10" xr:uid="{6D1B618E-DE67-4D07-92BF-2CB99293127C}"/>
    <hyperlink ref="J15" r:id="rId11" xr:uid="{2F1B02EE-6227-4E24-B689-9DA4AB54C72F}"/>
    <hyperlink ref="J27" r:id="rId12" xr:uid="{150A1027-A5A0-4A33-A75A-E50C7587040C}"/>
    <hyperlink ref="K27" r:id="rId13" xr:uid="{6580DD59-DAD6-4017-A335-1A3D1F0AD88D}"/>
    <hyperlink ref="J42" r:id="rId14" xr:uid="{0C6CF4F0-8438-4C7B-8446-3848D0441938}"/>
    <hyperlink ref="J54" r:id="rId15" xr:uid="{579FB1FE-0418-4F9B-9EDC-A3CF71764C4C}"/>
  </hyperlinks>
  <pageMargins left="0.7" right="0.7" top="0.75" bottom="0.75" header="0.3" footer="0.3"/>
  <legacyDrawing r:id="rId1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78AF9-A840-4796-8465-819ACA7A48DB}">
  <dimension ref="A1:J86"/>
  <sheetViews>
    <sheetView showGridLines="0" tabSelected="1" workbookViewId="0">
      <selection sqref="A1:XFD1048576"/>
    </sheetView>
  </sheetViews>
  <sheetFormatPr defaultRowHeight="24" x14ac:dyDescent="0.3"/>
  <cols>
    <col min="1" max="1" width="12.77734375" style="676" customWidth="1"/>
    <col min="2" max="2" width="46.77734375" style="676" customWidth="1"/>
    <col min="3" max="3" width="20.77734375" style="676" customWidth="1"/>
    <col min="4" max="9" width="13.33203125" style="676" customWidth="1"/>
    <col min="10" max="10" width="46.77734375" style="676" customWidth="1"/>
    <col min="11" max="25" width="8.88671875" style="676"/>
    <col min="26" max="26" width="9.21875" style="676" customWidth="1"/>
    <col min="27" max="16384" width="8.88671875" style="676"/>
  </cols>
  <sheetData>
    <row r="1" spans="1:4" ht="33" x14ac:dyDescent="0.3">
      <c r="A1" s="677" t="s">
        <v>4341</v>
      </c>
    </row>
    <row r="2" spans="1:4" x14ac:dyDescent="0.3">
      <c r="A2" s="678" t="s">
        <v>4342</v>
      </c>
    </row>
    <row r="3" spans="1:4" ht="27" x14ac:dyDescent="0.3">
      <c r="A3" s="679" t="s">
        <v>4343</v>
      </c>
    </row>
    <row r="4" spans="1:4" ht="48" x14ac:dyDescent="0.3">
      <c r="A4" s="680"/>
      <c r="B4" s="680" t="s">
        <v>4344</v>
      </c>
      <c r="C4" s="680" t="s">
        <v>4345</v>
      </c>
      <c r="D4" s="680" t="s">
        <v>4346</v>
      </c>
    </row>
    <row r="5" spans="1:4" x14ac:dyDescent="0.3">
      <c r="A5" s="681"/>
      <c r="B5" s="682" t="s">
        <v>6</v>
      </c>
      <c r="C5" s="683">
        <f>COUNTIF('Station-OPD BizSim(New)'!$E$4:$E$500,"*Pass*")</f>
        <v>16</v>
      </c>
      <c r="D5" s="684">
        <f t="shared" ref="D5:D10" si="0">IF($C$10=0,0,C5/$C$10)</f>
        <v>0.13223140495867769</v>
      </c>
    </row>
    <row r="6" spans="1:4" x14ac:dyDescent="0.3">
      <c r="A6" s="685"/>
      <c r="B6" s="682" t="s">
        <v>4347</v>
      </c>
      <c r="C6" s="683">
        <f>COUNTIF('Station-OPD BizSim(New)'!$H$4:$H$500,"*Condition*")</f>
        <v>6</v>
      </c>
      <c r="D6" s="684">
        <f t="shared" si="0"/>
        <v>4.9586776859504134E-2</v>
      </c>
    </row>
    <row r="7" spans="1:4" x14ac:dyDescent="0.3">
      <c r="A7" s="686"/>
      <c r="B7" s="682" t="s">
        <v>7</v>
      </c>
      <c r="C7" s="683">
        <f>COUNTIF('Station-OPD BizSim(New)'!$F$4:$F$500,"*Fail*")</f>
        <v>11</v>
      </c>
      <c r="D7" s="684">
        <f t="shared" si="0"/>
        <v>9.0909090909090912E-2</v>
      </c>
    </row>
    <row r="8" spans="1:4" x14ac:dyDescent="0.3">
      <c r="A8" s="687"/>
      <c r="B8" s="682" t="s">
        <v>1322</v>
      </c>
      <c r="C8" s="683">
        <f>COUNTIF('Station-OPD BizSim(New)'!$G$4:$G$500,"*Skip*")</f>
        <v>13</v>
      </c>
      <c r="D8" s="684">
        <f t="shared" si="0"/>
        <v>0.10743801652892562</v>
      </c>
    </row>
    <row r="9" spans="1:4" x14ac:dyDescent="0.3">
      <c r="A9" s="688"/>
      <c r="B9" s="682" t="s">
        <v>4348</v>
      </c>
      <c r="C9" s="683">
        <f>C10-SUM(C5:C8)</f>
        <v>75</v>
      </c>
      <c r="D9" s="684">
        <f t="shared" si="0"/>
        <v>0.6198347107438017</v>
      </c>
    </row>
    <row r="10" spans="1:4" x14ac:dyDescent="0.3">
      <c r="A10" s="689"/>
      <c r="B10" s="689" t="s">
        <v>4349</v>
      </c>
      <c r="C10" s="690">
        <f>COUNTIF('Station-OPD BizSim(New)'!$A$4:$A$500,"*-*")</f>
        <v>121</v>
      </c>
      <c r="D10" s="691">
        <f t="shared" si="0"/>
        <v>1</v>
      </c>
    </row>
    <row r="12" spans="1:4" ht="27" x14ac:dyDescent="0.3">
      <c r="A12" s="679" t="s">
        <v>4350</v>
      </c>
    </row>
    <row r="13" spans="1:4" x14ac:dyDescent="0.3">
      <c r="A13" s="681"/>
      <c r="B13" s="682" t="s">
        <v>4351</v>
      </c>
      <c r="C13" s="683">
        <f>C5+C6</f>
        <v>22</v>
      </c>
      <c r="D13" s="684">
        <f>IF($C$10=0,0,C13/$C$10)</f>
        <v>0.18181818181818182</v>
      </c>
    </row>
    <row r="14" spans="1:4" x14ac:dyDescent="0.3">
      <c r="A14" s="686"/>
      <c r="B14" s="682" t="s">
        <v>4352</v>
      </c>
      <c r="C14" s="683">
        <f>C7</f>
        <v>11</v>
      </c>
      <c r="D14" s="684">
        <f>IF($C$10=0,0,C14/$C$10)</f>
        <v>9.0909090909090912E-2</v>
      </c>
    </row>
    <row r="15" spans="1:4" x14ac:dyDescent="0.3">
      <c r="A15" s="687"/>
      <c r="B15" s="682" t="s">
        <v>4353</v>
      </c>
      <c r="C15" s="683">
        <f>C8</f>
        <v>13</v>
      </c>
      <c r="D15" s="684">
        <f>IF($C$10=0,0,C15/$C$10)</f>
        <v>0.10743801652892562</v>
      </c>
    </row>
    <row r="16" spans="1:4" x14ac:dyDescent="0.3">
      <c r="A16" s="688"/>
      <c r="B16" s="682" t="s">
        <v>4354</v>
      </c>
      <c r="C16" s="683">
        <f>C9</f>
        <v>75</v>
      </c>
      <c r="D16" s="684">
        <f>IF($C$10=0,0,C16/$C$10)</f>
        <v>0.6198347107438017</v>
      </c>
    </row>
    <row r="17" spans="1:9" x14ac:dyDescent="0.3">
      <c r="A17" s="689"/>
      <c r="B17" s="689" t="s">
        <v>4355</v>
      </c>
      <c r="C17" s="690">
        <f>C10-C9</f>
        <v>46</v>
      </c>
      <c r="D17" s="691">
        <f>IF($C$10=0,0,C17/$C$10)</f>
        <v>0.38016528925619836</v>
      </c>
    </row>
    <row r="19" spans="1:9" ht="27" x14ac:dyDescent="0.3">
      <c r="A19" s="679" t="s">
        <v>4356</v>
      </c>
    </row>
    <row r="20" spans="1:9" ht="48" x14ac:dyDescent="0.3">
      <c r="A20" s="680" t="s">
        <v>4357</v>
      </c>
      <c r="B20" s="680" t="s">
        <v>4358</v>
      </c>
      <c r="C20" s="680" t="s">
        <v>4359</v>
      </c>
      <c r="D20" s="680" t="s">
        <v>6</v>
      </c>
      <c r="E20" s="680" t="s">
        <v>4360</v>
      </c>
      <c r="F20" s="680" t="s">
        <v>7</v>
      </c>
      <c r="G20" s="680" t="s">
        <v>1322</v>
      </c>
      <c r="H20" s="680" t="s">
        <v>4361</v>
      </c>
      <c r="I20" s="680" t="s">
        <v>4362</v>
      </c>
    </row>
    <row r="21" spans="1:9" x14ac:dyDescent="0.3">
      <c r="A21" s="683" t="s">
        <v>1324</v>
      </c>
      <c r="B21" s="682" t="s">
        <v>4363</v>
      </c>
      <c r="C21" s="683">
        <f>COUNTIF('Station-OPD BizSim(New)'!$A$4:$A$500,A21&amp;"-*")</f>
        <v>8</v>
      </c>
      <c r="D21" s="692">
        <f>COUNTIFS('Station-OPD BizSim(New)'!$A$4:$A$500,A21&amp;"-*",'Station-OPD BizSim(New)'!$E$4:$E$500,"*Pass*")</f>
        <v>2</v>
      </c>
      <c r="E21" s="692">
        <f>COUNTIFS('Station-OPD BizSim(New)'!$A$4:$A$500,A21&amp;"-*",'Station-OPD BizSim(New)'!$H$4:$H$500,"*Condition*")</f>
        <v>4</v>
      </c>
      <c r="F21" s="692">
        <f>COUNTIFS('Station-OPD BizSim(New)'!$A$4:$A$500,A21&amp;"-*",'Station-OPD BizSim(New)'!$F$4:$F$500,"*Fail*")</f>
        <v>2</v>
      </c>
      <c r="G21" s="692">
        <f>COUNTIFS('Station-OPD BizSim(New)'!$A$4:$A$500,A21&amp;"-*",'Station-OPD BizSim(New)'!$G$4:$G$500,"*Skip*")</f>
        <v>0</v>
      </c>
      <c r="H21" s="692">
        <f t="shared" ref="H21:H34" si="1">C21-SUM(D21:G21)</f>
        <v>0</v>
      </c>
      <c r="I21" s="693">
        <f t="shared" ref="I21:I35" si="2">IF(C21=0,0,(C21-H21)/C21)</f>
        <v>1</v>
      </c>
    </row>
    <row r="22" spans="1:9" x14ac:dyDescent="0.3">
      <c r="A22" s="683" t="s">
        <v>1363</v>
      </c>
      <c r="B22" s="682" t="s">
        <v>2091</v>
      </c>
      <c r="C22" s="683">
        <f>COUNTIF('Station-OPD BizSim(New)'!$A$4:$A$500,A22&amp;"-*")</f>
        <v>5</v>
      </c>
      <c r="D22" s="692">
        <f>COUNTIFS('Station-OPD BizSim(New)'!$A$4:$A$500,A22&amp;"-*",'Station-OPD BizSim(New)'!$E$4:$E$500,"*Pass*")</f>
        <v>3</v>
      </c>
      <c r="E22" s="692">
        <f>COUNTIFS('Station-OPD BizSim(New)'!$A$4:$A$500,A22&amp;"-*",'Station-OPD BizSim(New)'!$H$4:$H$500,"*Condition*")</f>
        <v>0</v>
      </c>
      <c r="F22" s="692">
        <f>COUNTIFS('Station-OPD BizSim(New)'!$A$4:$A$500,A22&amp;"-*",'Station-OPD BizSim(New)'!$F$4:$F$500,"*Fail*")</f>
        <v>2</v>
      </c>
      <c r="G22" s="692">
        <f>COUNTIFS('Station-OPD BizSim(New)'!$A$4:$A$500,A22&amp;"-*",'Station-OPD BizSim(New)'!$G$4:$G$500,"*Skip*")</f>
        <v>0</v>
      </c>
      <c r="H22" s="692">
        <f t="shared" si="1"/>
        <v>0</v>
      </c>
      <c r="I22" s="693">
        <f t="shared" si="2"/>
        <v>1</v>
      </c>
    </row>
    <row r="23" spans="1:9" x14ac:dyDescent="0.3">
      <c r="A23" s="683" t="s">
        <v>1388</v>
      </c>
      <c r="B23" s="682" t="s">
        <v>4364</v>
      </c>
      <c r="C23" s="683">
        <f>COUNTIF('Station-OPD BizSim(New)'!$A$4:$A$500,A23&amp;"-*")</f>
        <v>7</v>
      </c>
      <c r="D23" s="692">
        <f>COUNTIFS('Station-OPD BizSim(New)'!$A$4:$A$500,A23&amp;"-*",'Station-OPD BizSim(New)'!$E$4:$E$500,"*Pass*")</f>
        <v>2</v>
      </c>
      <c r="E23" s="692">
        <f>COUNTIFS('Station-OPD BizSim(New)'!$A$4:$A$500,A23&amp;"-*",'Station-OPD BizSim(New)'!$H$4:$H$500,"*Condition*")</f>
        <v>0</v>
      </c>
      <c r="F23" s="692">
        <f>COUNTIFS('Station-OPD BizSim(New)'!$A$4:$A$500,A23&amp;"-*",'Station-OPD BizSim(New)'!$F$4:$F$500,"*Fail*")</f>
        <v>0</v>
      </c>
      <c r="G23" s="692">
        <f>COUNTIFS('Station-OPD BizSim(New)'!$A$4:$A$500,A23&amp;"-*",'Station-OPD BizSim(New)'!$G$4:$G$500,"*Skip*")</f>
        <v>4</v>
      </c>
      <c r="H23" s="692">
        <f t="shared" si="1"/>
        <v>1</v>
      </c>
      <c r="I23" s="693">
        <f t="shared" si="2"/>
        <v>0.8571428571428571</v>
      </c>
    </row>
    <row r="24" spans="1:9" x14ac:dyDescent="0.3">
      <c r="A24" s="683" t="s">
        <v>1408</v>
      </c>
      <c r="B24" s="682" t="s">
        <v>4365</v>
      </c>
      <c r="C24" s="683">
        <f>COUNTIF('Station-OPD BizSim(New)'!$A$4:$A$500,A24&amp;"-*")</f>
        <v>10</v>
      </c>
      <c r="D24" s="692">
        <f>COUNTIFS('Station-OPD BizSim(New)'!$A$4:$A$500,A24&amp;"-*",'Station-OPD BizSim(New)'!$E$4:$E$500,"*Pass*")</f>
        <v>3</v>
      </c>
      <c r="E24" s="692">
        <f>COUNTIFS('Station-OPD BizSim(New)'!$A$4:$A$500,A24&amp;"-*",'Station-OPD BizSim(New)'!$H$4:$H$500,"*Condition*")</f>
        <v>0</v>
      </c>
      <c r="F24" s="692">
        <f>COUNTIFS('Station-OPD BizSim(New)'!$A$4:$A$500,A24&amp;"-*",'Station-OPD BizSim(New)'!$F$4:$F$500,"*Fail*")</f>
        <v>4</v>
      </c>
      <c r="G24" s="692">
        <v>3</v>
      </c>
      <c r="H24" s="692">
        <f t="shared" si="1"/>
        <v>0</v>
      </c>
      <c r="I24" s="693">
        <f t="shared" si="2"/>
        <v>1</v>
      </c>
    </row>
    <row r="25" spans="1:9" x14ac:dyDescent="0.3">
      <c r="A25" s="683" t="s">
        <v>1448</v>
      </c>
      <c r="B25" s="682" t="s">
        <v>4366</v>
      </c>
      <c r="C25" s="683">
        <f>COUNTIF('Station-OPD BizSim(New)'!$A$4:$A$500,A25&amp;"-*")</f>
        <v>18</v>
      </c>
      <c r="D25" s="692">
        <f>COUNTIFS('Station-OPD BizSim(New)'!$A$4:$A$500,A25&amp;"-*",'Station-OPD BizSim(New)'!$E$4:$E$500,"*Pass*")</f>
        <v>6</v>
      </c>
      <c r="E25" s="692">
        <f>COUNTIFS('Station-OPD BizSim(New)'!$A$4:$A$500,A25&amp;"-*",'Station-OPD BizSim(New)'!$H$4:$H$500,"*Condition*")</f>
        <v>2</v>
      </c>
      <c r="F25" s="692">
        <f>COUNTIFS('Station-OPD BizSim(New)'!$A$4:$A$500,A25&amp;"-*",'Station-OPD BizSim(New)'!$F$4:$F$500,"*Fail*")</f>
        <v>3</v>
      </c>
      <c r="G25" s="692">
        <f>COUNTIFS('Station-OPD BizSim(New)'!$A$4:$A$500,A25&amp;"-*",'Station-OPD BizSim(New)'!$G$4:$G$500,"*Skip*")</f>
        <v>7</v>
      </c>
      <c r="H25" s="692">
        <f t="shared" si="1"/>
        <v>0</v>
      </c>
      <c r="I25" s="693">
        <f t="shared" si="2"/>
        <v>1</v>
      </c>
    </row>
    <row r="26" spans="1:9" x14ac:dyDescent="0.3">
      <c r="A26" s="683" t="s">
        <v>1516</v>
      </c>
      <c r="B26" s="682" t="s">
        <v>4367</v>
      </c>
      <c r="C26" s="683">
        <f>COUNTIF('Station-OPD BizSim(New)'!$A$4:$A$500,A26&amp;"-*")</f>
        <v>7</v>
      </c>
      <c r="D26" s="692">
        <f>COUNTIFS('Station-OPD BizSim(New)'!$A$4:$A$500,A26&amp;"-*",'Station-OPD BizSim(New)'!$E$4:$E$500,"*Pass*")</f>
        <v>0</v>
      </c>
      <c r="E26" s="692">
        <f>COUNTIFS('Station-OPD BizSim(New)'!$A$4:$A$500,A26&amp;"-*",'Station-OPD BizSim(New)'!$H$4:$H$500,"*Condition*")</f>
        <v>0</v>
      </c>
      <c r="F26" s="692">
        <f>COUNTIFS('Station-OPD BizSim(New)'!$A$4:$A$500,A26&amp;"-*",'Station-OPD BizSim(New)'!$F$4:$F$500,"*Fail*")</f>
        <v>0</v>
      </c>
      <c r="G26" s="692">
        <f>COUNTIFS('Station-OPD BizSim(New)'!$A$4:$A$500,A26&amp;"-*",'Station-OPD BizSim(New)'!$G$4:$G$500,"*Skip*")</f>
        <v>0</v>
      </c>
      <c r="H26" s="692">
        <f t="shared" si="1"/>
        <v>7</v>
      </c>
      <c r="I26" s="693">
        <f t="shared" si="2"/>
        <v>0</v>
      </c>
    </row>
    <row r="27" spans="1:9" x14ac:dyDescent="0.3">
      <c r="A27" s="683" t="s">
        <v>1540</v>
      </c>
      <c r="B27" s="682" t="s">
        <v>4368</v>
      </c>
      <c r="C27" s="683">
        <f>COUNTIF('Station-OPD BizSim(New)'!$A$4:$A$500,A27&amp;"-*")</f>
        <v>8</v>
      </c>
      <c r="D27" s="692">
        <f>COUNTIFS('Station-OPD BizSim(New)'!$A$4:$A$500,A27&amp;"-*",'Station-OPD BizSim(New)'!$E$4:$E$500,"*Pass*")</f>
        <v>0</v>
      </c>
      <c r="E27" s="692">
        <f>COUNTIFS('Station-OPD BizSim(New)'!$A$4:$A$500,A27&amp;"-*",'Station-OPD BizSim(New)'!$H$4:$H$500,"*Condition*")</f>
        <v>0</v>
      </c>
      <c r="F27" s="692">
        <f>COUNTIFS('Station-OPD BizSim(New)'!$A$4:$A$500,A27&amp;"-*",'Station-OPD BizSim(New)'!$F$4:$F$500,"*Fail*")</f>
        <v>0</v>
      </c>
      <c r="G27" s="692">
        <f>COUNTIFS('Station-OPD BizSim(New)'!$A$4:$A$500,A27&amp;"-*",'Station-OPD BizSim(New)'!$G$4:$G$500,"*Skip*")</f>
        <v>0</v>
      </c>
      <c r="H27" s="692">
        <f t="shared" si="1"/>
        <v>8</v>
      </c>
      <c r="I27" s="693">
        <f t="shared" si="2"/>
        <v>0</v>
      </c>
    </row>
    <row r="28" spans="1:9" x14ac:dyDescent="0.3">
      <c r="A28" s="683" t="s">
        <v>1566</v>
      </c>
      <c r="B28" s="682" t="s">
        <v>4369</v>
      </c>
      <c r="C28" s="683">
        <f>COUNTIF('Station-OPD BizSim(New)'!$A$4:$A$500,A28&amp;"-*")</f>
        <v>5</v>
      </c>
      <c r="D28" s="692">
        <f>COUNTIFS('Station-OPD BizSim(New)'!$A$4:$A$500,A28&amp;"-*",'Station-OPD BizSim(New)'!$E$4:$E$500,"*Pass*")</f>
        <v>0</v>
      </c>
      <c r="E28" s="692">
        <f>COUNTIFS('Station-OPD BizSim(New)'!$A$4:$A$500,A28&amp;"-*",'Station-OPD BizSim(New)'!$H$4:$H$500,"*Condition*")</f>
        <v>0</v>
      </c>
      <c r="F28" s="692">
        <f>COUNTIFS('Station-OPD BizSim(New)'!$A$4:$A$500,A28&amp;"-*",'Station-OPD BizSim(New)'!$F$4:$F$500,"*Fail*")</f>
        <v>0</v>
      </c>
      <c r="G28" s="692">
        <f>COUNTIFS('Station-OPD BizSim(New)'!$A$4:$A$500,A28&amp;"-*",'Station-OPD BizSim(New)'!$G$4:$G$500,"*Skip*")</f>
        <v>0</v>
      </c>
      <c r="H28" s="692">
        <f t="shared" si="1"/>
        <v>5</v>
      </c>
      <c r="I28" s="693">
        <f t="shared" si="2"/>
        <v>0</v>
      </c>
    </row>
    <row r="29" spans="1:9" x14ac:dyDescent="0.3">
      <c r="A29" s="683" t="s">
        <v>1581</v>
      </c>
      <c r="B29" s="682" t="s">
        <v>4370</v>
      </c>
      <c r="C29" s="683">
        <f>COUNTIF('Station-OPD BizSim(New)'!$A$4:$A$500,A29&amp;"-*")</f>
        <v>6</v>
      </c>
      <c r="D29" s="692">
        <f>COUNTIFS('Station-OPD BizSim(New)'!$A$4:$A$500,A29&amp;"-*",'Station-OPD BizSim(New)'!$E$4:$E$500,"*Pass*")</f>
        <v>0</v>
      </c>
      <c r="E29" s="692">
        <f>COUNTIFS('Station-OPD BizSim(New)'!$A$4:$A$500,A29&amp;"-*",'Station-OPD BizSim(New)'!$H$4:$H$500,"*Condition*")</f>
        <v>0</v>
      </c>
      <c r="F29" s="692">
        <f>COUNTIFS('Station-OPD BizSim(New)'!$A$4:$A$500,A29&amp;"-*",'Station-OPD BizSim(New)'!$F$4:$F$500,"*Fail*")</f>
        <v>0</v>
      </c>
      <c r="G29" s="692">
        <f>COUNTIFS('Station-OPD BizSim(New)'!$A$4:$A$500,A29&amp;"-*",'Station-OPD BizSim(New)'!$G$4:$G$500,"*Skip*")</f>
        <v>0</v>
      </c>
      <c r="H29" s="692">
        <f t="shared" si="1"/>
        <v>6</v>
      </c>
      <c r="I29" s="693">
        <f t="shared" si="2"/>
        <v>0</v>
      </c>
    </row>
    <row r="30" spans="1:9" x14ac:dyDescent="0.3">
      <c r="A30" s="683" t="s">
        <v>1597</v>
      </c>
      <c r="B30" s="682" t="s">
        <v>4371</v>
      </c>
      <c r="C30" s="683">
        <f>COUNTIF('Station-OPD BizSim(New)'!$A$4:$A$500,A30&amp;"-*")</f>
        <v>4</v>
      </c>
      <c r="D30" s="692">
        <f>COUNTIFS('Station-OPD BizSim(New)'!$A$4:$A$500,A30&amp;"-*",'Station-OPD BizSim(New)'!$E$4:$E$500,"*Pass*")</f>
        <v>0</v>
      </c>
      <c r="E30" s="692">
        <f>COUNTIFS('Station-OPD BizSim(New)'!$A$4:$A$500,A30&amp;"-*",'Station-OPD BizSim(New)'!$H$4:$H$500,"*Condition*")</f>
        <v>0</v>
      </c>
      <c r="F30" s="692">
        <f>COUNTIFS('Station-OPD BizSim(New)'!$A$4:$A$500,A30&amp;"-*",'Station-OPD BizSim(New)'!$F$4:$F$500,"*Fail*")</f>
        <v>0</v>
      </c>
      <c r="G30" s="692">
        <f>COUNTIFS('Station-OPD BizSim(New)'!$A$4:$A$500,A30&amp;"-*",'Station-OPD BizSim(New)'!$G$4:$G$500,"*Skip*")</f>
        <v>0</v>
      </c>
      <c r="H30" s="692">
        <f t="shared" si="1"/>
        <v>4</v>
      </c>
      <c r="I30" s="693">
        <f t="shared" si="2"/>
        <v>0</v>
      </c>
    </row>
    <row r="31" spans="1:9" x14ac:dyDescent="0.3">
      <c r="A31" s="683" t="s">
        <v>1612</v>
      </c>
      <c r="B31" s="682" t="s">
        <v>807</v>
      </c>
      <c r="C31" s="683">
        <f>COUNTIF('Station-OPD BizSim(New)'!$A$4:$A$500,A31&amp;"-*")</f>
        <v>4</v>
      </c>
      <c r="D31" s="692">
        <f>COUNTIFS('Station-OPD BizSim(New)'!$A$4:$A$500,A31&amp;"-*",'Station-OPD BizSim(New)'!$E$4:$E$500,"*Pass*")</f>
        <v>0</v>
      </c>
      <c r="E31" s="692">
        <f>COUNTIFS('Station-OPD BizSim(New)'!$A$4:$A$500,A31&amp;"-*",'Station-OPD BizSim(New)'!$H$4:$H$500,"*Condition*")</f>
        <v>0</v>
      </c>
      <c r="F31" s="692">
        <f>COUNTIFS('Station-OPD BizSim(New)'!$A$4:$A$500,A31&amp;"-*",'Station-OPD BizSim(New)'!$F$4:$F$500,"*Fail*")</f>
        <v>0</v>
      </c>
      <c r="G31" s="692">
        <f>COUNTIFS('Station-OPD BizSim(New)'!$A$4:$A$500,A31&amp;"-*",'Station-OPD BizSim(New)'!$G$4:$G$500,"*Skip*")</f>
        <v>0</v>
      </c>
      <c r="H31" s="692">
        <f t="shared" si="1"/>
        <v>4</v>
      </c>
      <c r="I31" s="693">
        <f t="shared" si="2"/>
        <v>0</v>
      </c>
    </row>
    <row r="32" spans="1:9" x14ac:dyDescent="0.3">
      <c r="A32" s="683" t="s">
        <v>1625</v>
      </c>
      <c r="B32" s="682" t="s">
        <v>4372</v>
      </c>
      <c r="C32" s="683">
        <f>COUNTIF('Station-OPD BizSim(New)'!$A$4:$A$500,A32&amp;"-*")</f>
        <v>17</v>
      </c>
      <c r="D32" s="692">
        <f>COUNTIFS('Station-OPD BizSim(New)'!$A$4:$A$500,A32&amp;"-*",'Station-OPD BizSim(New)'!$E$4:$E$500,"*Pass*")</f>
        <v>0</v>
      </c>
      <c r="E32" s="692">
        <f>COUNTIFS('Station-OPD BizSim(New)'!$A$4:$A$500,A32&amp;"-*",'Station-OPD BizSim(New)'!$H$4:$H$500,"*Condition*")</f>
        <v>0</v>
      </c>
      <c r="F32" s="692">
        <f>COUNTIFS('Station-OPD BizSim(New)'!$A$4:$A$500,A32&amp;"-*",'Station-OPD BizSim(New)'!$F$4:$F$500,"*Fail*")</f>
        <v>0</v>
      </c>
      <c r="G32" s="692">
        <f>COUNTIFS('Station-OPD BizSim(New)'!$A$4:$A$500,A32&amp;"-*",'Station-OPD BizSim(New)'!$G$4:$G$500,"*Skip*")</f>
        <v>0</v>
      </c>
      <c r="H32" s="692">
        <f t="shared" si="1"/>
        <v>17</v>
      </c>
      <c r="I32" s="693">
        <f t="shared" si="2"/>
        <v>0</v>
      </c>
    </row>
    <row r="33" spans="1:10" x14ac:dyDescent="0.3">
      <c r="A33" s="683" t="s">
        <v>1672</v>
      </c>
      <c r="B33" s="682" t="s">
        <v>4373</v>
      </c>
      <c r="C33" s="683">
        <f>COUNTIF('Station-OPD BizSim(New)'!$A$4:$A$500,A33&amp;"-*")</f>
        <v>12</v>
      </c>
      <c r="D33" s="692">
        <f>COUNTIFS('Station-OPD BizSim(New)'!$A$4:$A$500,A33&amp;"-*",'Station-OPD BizSim(New)'!$E$4:$E$500,"*Pass*")</f>
        <v>0</v>
      </c>
      <c r="E33" s="692">
        <f>COUNTIFS('Station-OPD BizSim(New)'!$A$4:$A$500,A33&amp;"-*",'Station-OPD BizSim(New)'!$H$4:$H$500,"*Condition*")</f>
        <v>0</v>
      </c>
      <c r="F33" s="692">
        <f>COUNTIFS('Station-OPD BizSim(New)'!$A$4:$A$500,A33&amp;"-*",'Station-OPD BizSim(New)'!$F$4:$F$500,"*Fail*")</f>
        <v>0</v>
      </c>
      <c r="G33" s="692">
        <f>COUNTIFS('Station-OPD BizSim(New)'!$A$4:$A$500,A33&amp;"-*",'Station-OPD BizSim(New)'!$G$4:$G$500,"*Skip*")</f>
        <v>0</v>
      </c>
      <c r="H33" s="692">
        <f t="shared" si="1"/>
        <v>12</v>
      </c>
      <c r="I33" s="693">
        <f t="shared" si="2"/>
        <v>0</v>
      </c>
    </row>
    <row r="34" spans="1:10" x14ac:dyDescent="0.3">
      <c r="A34" s="683" t="s">
        <v>1710</v>
      </c>
      <c r="B34" s="682" t="s">
        <v>4374</v>
      </c>
      <c r="C34" s="683">
        <f>COUNTIF('Station-OPD BizSim(New)'!$A$4:$A$500,A34&amp;"-*")</f>
        <v>10</v>
      </c>
      <c r="D34" s="692">
        <f>COUNTIFS('Station-OPD BizSim(New)'!$A$4:$A$500,A34&amp;"-*",'Station-OPD BizSim(New)'!$E$4:$E$500,"*Pass*")</f>
        <v>0</v>
      </c>
      <c r="E34" s="692">
        <f>COUNTIFS('Station-OPD BizSim(New)'!$A$4:$A$500,A34&amp;"-*",'Station-OPD BizSim(New)'!$H$4:$H$500,"*Condition*")</f>
        <v>0</v>
      </c>
      <c r="F34" s="692">
        <f>COUNTIFS('Station-OPD BizSim(New)'!$A$4:$A$500,A34&amp;"-*",'Station-OPD BizSim(New)'!$F$4:$F$500,"*Fail*")</f>
        <v>0</v>
      </c>
      <c r="G34" s="692">
        <f>COUNTIFS('Station-OPD BizSim(New)'!$A$4:$A$500,A34&amp;"-*",'Station-OPD BizSim(New)'!$G$4:$G$500,"*Skip*")</f>
        <v>0</v>
      </c>
      <c r="H34" s="692">
        <f t="shared" si="1"/>
        <v>10</v>
      </c>
      <c r="I34" s="693">
        <f t="shared" si="2"/>
        <v>0</v>
      </c>
    </row>
    <row r="35" spans="1:10" x14ac:dyDescent="0.3">
      <c r="A35" s="690" t="s">
        <v>4375</v>
      </c>
      <c r="B35" s="689"/>
      <c r="C35" s="690">
        <f t="shared" ref="C35:H35" si="3">SUM(C21:C34)</f>
        <v>121</v>
      </c>
      <c r="D35" s="694">
        <f t="shared" si="3"/>
        <v>16</v>
      </c>
      <c r="E35" s="694">
        <f t="shared" si="3"/>
        <v>6</v>
      </c>
      <c r="F35" s="694">
        <f t="shared" si="3"/>
        <v>11</v>
      </c>
      <c r="G35" s="694">
        <f t="shared" si="3"/>
        <v>14</v>
      </c>
      <c r="H35" s="694">
        <f t="shared" si="3"/>
        <v>74</v>
      </c>
      <c r="I35" s="695">
        <f t="shared" si="2"/>
        <v>0.38842975206611569</v>
      </c>
    </row>
    <row r="37" spans="1:10" ht="27" x14ac:dyDescent="0.3">
      <c r="A37" s="679" t="s">
        <v>4376</v>
      </c>
    </row>
    <row r="38" spans="1:10" ht="28.05" customHeight="1" x14ac:dyDescent="0.3">
      <c r="A38" s="696">
        <v>1</v>
      </c>
      <c r="B38" s="697" t="s">
        <v>4377</v>
      </c>
      <c r="C38" s="697"/>
      <c r="D38" s="697"/>
      <c r="E38" s="697"/>
      <c r="F38" s="697"/>
      <c r="G38" s="697"/>
      <c r="H38" s="697"/>
      <c r="I38" s="697"/>
      <c r="J38" s="697"/>
    </row>
    <row r="39" spans="1:10" ht="52.05" customHeight="1" x14ac:dyDescent="0.3">
      <c r="A39" s="696">
        <v>2</v>
      </c>
      <c r="B39" s="697" t="s">
        <v>4378</v>
      </c>
      <c r="C39" s="697"/>
      <c r="D39" s="697"/>
      <c r="E39" s="697"/>
      <c r="F39" s="697"/>
      <c r="G39" s="697"/>
      <c r="H39" s="697"/>
      <c r="I39" s="697"/>
      <c r="J39" s="697"/>
    </row>
    <row r="40" spans="1:10" ht="28.05" customHeight="1" x14ac:dyDescent="0.3">
      <c r="A40" s="696">
        <v>3</v>
      </c>
      <c r="B40" s="697" t="s">
        <v>4379</v>
      </c>
      <c r="C40" s="697"/>
      <c r="D40" s="697"/>
      <c r="E40" s="697"/>
      <c r="F40" s="697"/>
      <c r="G40" s="697"/>
      <c r="H40" s="697"/>
      <c r="I40" s="697"/>
      <c r="J40" s="697"/>
    </row>
    <row r="41" spans="1:10" ht="28.05" customHeight="1" x14ac:dyDescent="0.3">
      <c r="A41" s="696">
        <v>4</v>
      </c>
      <c r="B41" s="697" t="s">
        <v>4380</v>
      </c>
      <c r="C41" s="697"/>
      <c r="D41" s="697"/>
      <c r="E41" s="697"/>
      <c r="F41" s="697"/>
      <c r="G41" s="697"/>
      <c r="H41" s="697"/>
      <c r="I41" s="697"/>
      <c r="J41" s="697"/>
    </row>
    <row r="42" spans="1:10" ht="28.05" customHeight="1" x14ac:dyDescent="0.3">
      <c r="A42" s="696">
        <v>5</v>
      </c>
      <c r="B42" s="697" t="s">
        <v>4381</v>
      </c>
      <c r="C42" s="697"/>
      <c r="D42" s="697"/>
      <c r="E42" s="697"/>
      <c r="F42" s="697"/>
      <c r="G42" s="697"/>
      <c r="H42" s="697"/>
      <c r="I42" s="697"/>
      <c r="J42" s="697"/>
    </row>
    <row r="44" spans="1:10" ht="27" x14ac:dyDescent="0.3">
      <c r="A44" s="679" t="s">
        <v>4382</v>
      </c>
    </row>
    <row r="45" spans="1:10" ht="24" customHeight="1" x14ac:dyDescent="0.3">
      <c r="A45" s="680" t="s">
        <v>1316</v>
      </c>
      <c r="B45" s="680" t="s">
        <v>4383</v>
      </c>
      <c r="C45" s="680" t="s">
        <v>4344</v>
      </c>
      <c r="D45" s="680" t="s">
        <v>4384</v>
      </c>
      <c r="E45" s="680"/>
      <c r="F45" s="680"/>
      <c r="G45" s="680"/>
      <c r="H45" s="680"/>
      <c r="I45" s="680"/>
      <c r="J45" s="680" t="s">
        <v>4385</v>
      </c>
    </row>
    <row r="46" spans="1:10" ht="76.05" customHeight="1" x14ac:dyDescent="0.3">
      <c r="A46" s="697" t="s">
        <v>1330</v>
      </c>
      <c r="B46" s="697" t="s">
        <v>826</v>
      </c>
      <c r="C46" s="698" t="s">
        <v>4347</v>
      </c>
      <c r="D46" s="697" t="s">
        <v>4386</v>
      </c>
      <c r="E46" s="697"/>
      <c r="F46" s="697"/>
      <c r="G46" s="697"/>
      <c r="H46" s="697"/>
      <c r="I46" s="697"/>
      <c r="J46" s="697" t="s">
        <v>1335</v>
      </c>
    </row>
    <row r="47" spans="1:10" ht="52.05" customHeight="1" x14ac:dyDescent="0.3">
      <c r="A47" s="697" t="s">
        <v>1336</v>
      </c>
      <c r="B47" s="697" t="s">
        <v>1337</v>
      </c>
      <c r="C47" s="698" t="s">
        <v>4347</v>
      </c>
      <c r="D47" s="697" t="s">
        <v>4387</v>
      </c>
      <c r="E47" s="697"/>
      <c r="F47" s="697"/>
      <c r="G47" s="697"/>
      <c r="H47" s="697"/>
      <c r="I47" s="697"/>
      <c r="J47" s="697" t="s">
        <v>1341</v>
      </c>
    </row>
    <row r="48" spans="1:10" ht="52.05" customHeight="1" x14ac:dyDescent="0.3">
      <c r="A48" s="697" t="s">
        <v>1342</v>
      </c>
      <c r="B48" s="697" t="s">
        <v>1000</v>
      </c>
      <c r="C48" s="698" t="s">
        <v>4347</v>
      </c>
      <c r="D48" s="697" t="s">
        <v>4387</v>
      </c>
      <c r="E48" s="697"/>
      <c r="F48" s="697"/>
      <c r="G48" s="697"/>
      <c r="H48" s="697"/>
      <c r="I48" s="697"/>
      <c r="J48" s="697" t="s">
        <v>1341</v>
      </c>
    </row>
    <row r="49" spans="1:10" ht="148.05000000000001" customHeight="1" x14ac:dyDescent="0.3">
      <c r="A49" s="697" t="s">
        <v>1344</v>
      </c>
      <c r="B49" s="697" t="s">
        <v>1345</v>
      </c>
      <c r="C49" s="699" t="s">
        <v>7</v>
      </c>
      <c r="D49" s="697" t="s">
        <v>4388</v>
      </c>
      <c r="E49" s="697"/>
      <c r="F49" s="697"/>
      <c r="G49" s="697"/>
      <c r="H49" s="697"/>
      <c r="I49" s="697"/>
      <c r="J49" s="697" t="s">
        <v>4389</v>
      </c>
    </row>
    <row r="50" spans="1:10" ht="124.05" customHeight="1" x14ac:dyDescent="0.3">
      <c r="A50" s="697" t="s">
        <v>1351</v>
      </c>
      <c r="B50" s="697" t="s">
        <v>4390</v>
      </c>
      <c r="C50" s="699" t="s">
        <v>7</v>
      </c>
      <c r="D50" s="697" t="s">
        <v>4391</v>
      </c>
      <c r="E50" s="697"/>
      <c r="F50" s="697"/>
      <c r="G50" s="697"/>
      <c r="H50" s="697"/>
      <c r="I50" s="697"/>
      <c r="J50" s="697"/>
    </row>
    <row r="51" spans="1:10" ht="76.05" customHeight="1" x14ac:dyDescent="0.3">
      <c r="A51" s="697" t="s">
        <v>1356</v>
      </c>
      <c r="B51" s="697" t="s">
        <v>1357</v>
      </c>
      <c r="C51" s="698" t="s">
        <v>4347</v>
      </c>
      <c r="D51" s="697" t="s">
        <v>4392</v>
      </c>
      <c r="E51" s="697"/>
      <c r="F51" s="697"/>
      <c r="G51" s="697"/>
      <c r="H51" s="697"/>
      <c r="I51" s="697"/>
      <c r="J51" s="697" t="s">
        <v>1341</v>
      </c>
    </row>
    <row r="52" spans="1:10" ht="76.05" customHeight="1" x14ac:dyDescent="0.3">
      <c r="A52" s="697" t="s">
        <v>1365</v>
      </c>
      <c r="B52" s="697" t="s">
        <v>4393</v>
      </c>
      <c r="C52" s="699" t="s">
        <v>7</v>
      </c>
      <c r="D52" s="697" t="s">
        <v>4394</v>
      </c>
      <c r="E52" s="697"/>
      <c r="F52" s="697"/>
      <c r="G52" s="697"/>
      <c r="H52" s="697"/>
      <c r="I52" s="697"/>
      <c r="J52" s="697" t="s">
        <v>1371</v>
      </c>
    </row>
    <row r="53" spans="1:10" ht="52.05" customHeight="1" x14ac:dyDescent="0.3">
      <c r="A53" s="697" t="s">
        <v>1382</v>
      </c>
      <c r="B53" s="697" t="s">
        <v>1173</v>
      </c>
      <c r="C53" s="699" t="s">
        <v>7</v>
      </c>
      <c r="D53" s="697" t="s">
        <v>4395</v>
      </c>
      <c r="E53" s="697"/>
      <c r="F53" s="697"/>
      <c r="G53" s="697"/>
      <c r="H53" s="697"/>
      <c r="I53" s="697"/>
      <c r="J53" s="697" t="s">
        <v>1384</v>
      </c>
    </row>
    <row r="54" spans="1:10" ht="100.05" customHeight="1" x14ac:dyDescent="0.3">
      <c r="A54" s="697" t="s">
        <v>1414</v>
      </c>
      <c r="B54" s="697" t="s">
        <v>1415</v>
      </c>
      <c r="C54" s="699" t="s">
        <v>7</v>
      </c>
      <c r="D54" s="697" t="s">
        <v>4396</v>
      </c>
      <c r="E54" s="697"/>
      <c r="F54" s="697"/>
      <c r="G54" s="697"/>
      <c r="H54" s="697"/>
      <c r="I54" s="697"/>
      <c r="J54" s="697" t="s">
        <v>4397</v>
      </c>
    </row>
    <row r="55" spans="1:10" ht="28.05" customHeight="1" x14ac:dyDescent="0.3">
      <c r="A55" s="697" t="s">
        <v>1421</v>
      </c>
      <c r="B55" s="697" t="s">
        <v>1422</v>
      </c>
      <c r="C55" s="699" t="s">
        <v>7</v>
      </c>
      <c r="D55" s="697" t="s">
        <v>4398</v>
      </c>
      <c r="E55" s="697"/>
      <c r="F55" s="697"/>
      <c r="G55" s="697"/>
      <c r="H55" s="697"/>
      <c r="I55" s="697"/>
      <c r="J55" s="697"/>
    </row>
    <row r="56" spans="1:10" ht="28.05" customHeight="1" x14ac:dyDescent="0.3">
      <c r="A56" s="697" t="s">
        <v>1425</v>
      </c>
      <c r="B56" s="697" t="s">
        <v>1426</v>
      </c>
      <c r="C56" s="699" t="s">
        <v>7</v>
      </c>
      <c r="D56" s="697" t="s">
        <v>4399</v>
      </c>
      <c r="E56" s="697"/>
      <c r="F56" s="697"/>
      <c r="G56" s="697"/>
      <c r="H56" s="697"/>
      <c r="I56" s="697"/>
      <c r="J56" s="697"/>
    </row>
    <row r="57" spans="1:10" ht="52.05" customHeight="1" x14ac:dyDescent="0.3">
      <c r="A57" s="697" t="s">
        <v>1429</v>
      </c>
      <c r="B57" s="697" t="s">
        <v>1430</v>
      </c>
      <c r="C57" s="699" t="s">
        <v>7</v>
      </c>
      <c r="D57" s="697" t="s">
        <v>4399</v>
      </c>
      <c r="E57" s="697"/>
      <c r="F57" s="697"/>
      <c r="G57" s="697"/>
      <c r="H57" s="697"/>
      <c r="I57" s="697"/>
      <c r="J57" s="697"/>
    </row>
    <row r="58" spans="1:10" ht="52.05" customHeight="1" x14ac:dyDescent="0.3">
      <c r="A58" s="697" t="s">
        <v>1459</v>
      </c>
      <c r="B58" s="697" t="s">
        <v>1460</v>
      </c>
      <c r="C58" s="698" t="s">
        <v>4347</v>
      </c>
      <c r="D58" s="697" t="s">
        <v>4400</v>
      </c>
      <c r="E58" s="697"/>
      <c r="F58" s="697"/>
      <c r="G58" s="697"/>
      <c r="H58" s="697"/>
      <c r="I58" s="697"/>
      <c r="J58" s="697"/>
    </row>
    <row r="59" spans="1:10" ht="52.05" customHeight="1" x14ac:dyDescent="0.3">
      <c r="A59" s="697" t="s">
        <v>1470</v>
      </c>
      <c r="B59" s="697" t="s">
        <v>918</v>
      </c>
      <c r="C59" s="699" t="s">
        <v>7</v>
      </c>
      <c r="D59" s="697" t="s">
        <v>4401</v>
      </c>
      <c r="E59" s="697"/>
      <c r="F59" s="697"/>
      <c r="G59" s="697"/>
      <c r="H59" s="697"/>
      <c r="I59" s="697"/>
      <c r="J59" s="697"/>
    </row>
    <row r="60" spans="1:10" ht="28.05" customHeight="1" x14ac:dyDescent="0.3">
      <c r="A60" s="697" t="s">
        <v>1483</v>
      </c>
      <c r="B60" s="697" t="s">
        <v>1484</v>
      </c>
      <c r="C60" s="699" t="s">
        <v>7</v>
      </c>
      <c r="D60" s="697" t="s">
        <v>4402</v>
      </c>
      <c r="E60" s="697"/>
      <c r="F60" s="697"/>
      <c r="G60" s="697"/>
      <c r="H60" s="697"/>
      <c r="I60" s="697"/>
      <c r="J60" s="697"/>
    </row>
    <row r="61" spans="1:10" ht="28.05" customHeight="1" x14ac:dyDescent="0.3">
      <c r="A61" s="697" t="s">
        <v>1493</v>
      </c>
      <c r="B61" s="697" t="s">
        <v>1494</v>
      </c>
      <c r="C61" s="699" t="s">
        <v>7</v>
      </c>
      <c r="D61" s="697" t="s">
        <v>4403</v>
      </c>
      <c r="E61" s="697"/>
      <c r="F61" s="697"/>
      <c r="G61" s="697"/>
      <c r="H61" s="697"/>
      <c r="I61" s="697"/>
      <c r="J61" s="697"/>
    </row>
    <row r="62" spans="1:10" ht="76.05" customHeight="1" x14ac:dyDescent="0.3">
      <c r="A62" s="697" t="s">
        <v>1511</v>
      </c>
      <c r="B62" s="697" t="s">
        <v>1512</v>
      </c>
      <c r="C62" s="698" t="s">
        <v>4347</v>
      </c>
      <c r="D62" s="697" t="s">
        <v>4404</v>
      </c>
      <c r="E62" s="697"/>
      <c r="F62" s="697"/>
      <c r="G62" s="697"/>
      <c r="H62" s="697"/>
      <c r="I62" s="697"/>
      <c r="J62" s="697" t="s">
        <v>1515</v>
      </c>
    </row>
    <row r="64" spans="1:10" ht="27" x14ac:dyDescent="0.3">
      <c r="A64" s="679" t="s">
        <v>4405</v>
      </c>
    </row>
    <row r="65" spans="1:10" ht="24" customHeight="1" x14ac:dyDescent="0.3">
      <c r="A65" s="680" t="s">
        <v>1316</v>
      </c>
      <c r="B65" s="680" t="s">
        <v>4383</v>
      </c>
      <c r="C65" s="680" t="s">
        <v>4344</v>
      </c>
      <c r="D65" s="680" t="s">
        <v>4384</v>
      </c>
      <c r="E65" s="680"/>
      <c r="F65" s="680"/>
      <c r="G65" s="680"/>
      <c r="H65" s="680"/>
      <c r="I65" s="680"/>
      <c r="J65" s="680" t="s">
        <v>4385</v>
      </c>
    </row>
    <row r="66" spans="1:10" ht="52.05" customHeight="1" x14ac:dyDescent="0.3">
      <c r="A66" s="697" t="s">
        <v>1326</v>
      </c>
      <c r="B66" s="697" t="s">
        <v>1327</v>
      </c>
      <c r="C66" s="700" t="s">
        <v>6</v>
      </c>
      <c r="D66" s="697" t="s">
        <v>4406</v>
      </c>
      <c r="E66" s="697"/>
      <c r="F66" s="697"/>
      <c r="G66" s="697"/>
      <c r="H66" s="697"/>
      <c r="I66" s="697"/>
      <c r="J66" s="697"/>
    </row>
    <row r="67" spans="1:10" ht="52.05" customHeight="1" x14ac:dyDescent="0.3">
      <c r="A67" s="697" t="s">
        <v>1377</v>
      </c>
      <c r="B67" s="697" t="s">
        <v>1378</v>
      </c>
      <c r="C67" s="700" t="s">
        <v>6</v>
      </c>
      <c r="D67" s="697" t="s">
        <v>4407</v>
      </c>
      <c r="E67" s="697"/>
      <c r="F67" s="697"/>
      <c r="G67" s="697"/>
      <c r="H67" s="697"/>
      <c r="I67" s="697"/>
      <c r="J67" s="697" t="s">
        <v>1381</v>
      </c>
    </row>
    <row r="68" spans="1:10" ht="52.05" customHeight="1" x14ac:dyDescent="0.3">
      <c r="A68" s="697" t="s">
        <v>1385</v>
      </c>
      <c r="B68" s="697" t="s">
        <v>1386</v>
      </c>
      <c r="C68" s="700" t="s">
        <v>6</v>
      </c>
      <c r="D68" s="697" t="s">
        <v>4408</v>
      </c>
      <c r="E68" s="697"/>
      <c r="F68" s="697"/>
      <c r="G68" s="697"/>
      <c r="H68" s="697"/>
      <c r="I68" s="697"/>
      <c r="J68" s="697"/>
    </row>
    <row r="70" spans="1:10" ht="27" x14ac:dyDescent="0.3">
      <c r="A70" s="679" t="s">
        <v>4409</v>
      </c>
    </row>
    <row r="71" spans="1:10" ht="24" customHeight="1" x14ac:dyDescent="0.3">
      <c r="A71" s="680" t="s">
        <v>1316</v>
      </c>
      <c r="B71" s="680" t="s">
        <v>4383</v>
      </c>
      <c r="C71" s="680" t="s">
        <v>4344</v>
      </c>
      <c r="D71" s="680" t="s">
        <v>4384</v>
      </c>
      <c r="E71" s="680"/>
      <c r="F71" s="680"/>
      <c r="G71" s="680"/>
      <c r="H71" s="680"/>
      <c r="I71" s="680"/>
      <c r="J71" s="680" t="s">
        <v>4385</v>
      </c>
    </row>
    <row r="72" spans="1:10" ht="52.05" customHeight="1" x14ac:dyDescent="0.3">
      <c r="A72" s="697" t="s">
        <v>1390</v>
      </c>
      <c r="B72" s="697" t="s">
        <v>1391</v>
      </c>
      <c r="C72" s="701" t="s">
        <v>1322</v>
      </c>
      <c r="D72" s="697" t="s">
        <v>4417</v>
      </c>
      <c r="E72" s="697"/>
      <c r="F72" s="697"/>
      <c r="G72" s="697"/>
      <c r="H72" s="697"/>
      <c r="I72" s="697"/>
      <c r="J72" s="697"/>
    </row>
    <row r="73" spans="1:10" ht="52.05" customHeight="1" x14ac:dyDescent="0.3">
      <c r="A73" s="697" t="s">
        <v>1394</v>
      </c>
      <c r="B73" s="697" t="s">
        <v>1395</v>
      </c>
      <c r="C73" s="701" t="s">
        <v>1322</v>
      </c>
      <c r="D73" s="697" t="s">
        <v>4417</v>
      </c>
      <c r="E73" s="697"/>
      <c r="F73" s="697"/>
      <c r="G73" s="697"/>
      <c r="H73" s="697"/>
      <c r="I73" s="697"/>
      <c r="J73" s="697"/>
    </row>
    <row r="74" spans="1:10" ht="28.05" customHeight="1" x14ac:dyDescent="0.3">
      <c r="A74" s="697" t="s">
        <v>1400</v>
      </c>
      <c r="B74" s="697" t="s">
        <v>1401</v>
      </c>
      <c r="C74" s="701" t="s">
        <v>1322</v>
      </c>
      <c r="D74" s="697" t="s">
        <v>4417</v>
      </c>
      <c r="E74" s="697"/>
      <c r="F74" s="697"/>
      <c r="G74" s="697"/>
      <c r="H74" s="697"/>
      <c r="I74" s="697"/>
      <c r="J74" s="697"/>
    </row>
    <row r="75" spans="1:10" ht="52.05" customHeight="1" x14ac:dyDescent="0.3">
      <c r="A75" s="697" t="s">
        <v>1403</v>
      </c>
      <c r="B75" s="697" t="s">
        <v>1404</v>
      </c>
      <c r="C75" s="701" t="s">
        <v>1322</v>
      </c>
      <c r="D75" s="697" t="s">
        <v>4418</v>
      </c>
      <c r="E75" s="697"/>
      <c r="F75" s="697"/>
      <c r="G75" s="697"/>
      <c r="H75" s="697"/>
      <c r="I75" s="697"/>
      <c r="J75" s="697"/>
    </row>
    <row r="76" spans="1:10" ht="52.05" customHeight="1" x14ac:dyDescent="0.3">
      <c r="A76" s="697" t="s">
        <v>1410</v>
      </c>
      <c r="B76" s="697" t="s">
        <v>1411</v>
      </c>
      <c r="C76" s="701" t="s">
        <v>1322</v>
      </c>
      <c r="D76" s="697" t="s">
        <v>4417</v>
      </c>
      <c r="E76" s="697"/>
      <c r="F76" s="697"/>
      <c r="G76" s="697"/>
      <c r="H76" s="697"/>
      <c r="I76" s="697"/>
      <c r="J76" s="697"/>
    </row>
    <row r="77" spans="1:10" ht="52.05" customHeight="1" x14ac:dyDescent="0.3">
      <c r="A77" s="697" t="s">
        <v>1438</v>
      </c>
      <c r="B77" s="697" t="s">
        <v>1439</v>
      </c>
      <c r="C77" s="701" t="s">
        <v>1322</v>
      </c>
      <c r="D77" s="697" t="s">
        <v>4411</v>
      </c>
      <c r="E77" s="697"/>
      <c r="F77" s="697"/>
      <c r="G77" s="697"/>
      <c r="H77" s="697"/>
      <c r="I77" s="697"/>
      <c r="J77" s="697"/>
    </row>
    <row r="78" spans="1:10" ht="28.05" customHeight="1" x14ac:dyDescent="0.3">
      <c r="A78" s="697" t="s">
        <v>1464</v>
      </c>
      <c r="B78" s="697" t="s">
        <v>1465</v>
      </c>
      <c r="C78" s="701" t="s">
        <v>1322</v>
      </c>
      <c r="D78" s="697" t="s">
        <v>4412</v>
      </c>
      <c r="E78" s="697"/>
      <c r="F78" s="697"/>
      <c r="G78" s="697"/>
      <c r="H78" s="697"/>
      <c r="I78" s="697"/>
      <c r="J78" s="697"/>
    </row>
    <row r="79" spans="1:10" ht="52.05" customHeight="1" x14ac:dyDescent="0.3">
      <c r="A79" s="697" t="s">
        <v>1467</v>
      </c>
      <c r="B79" s="697" t="s">
        <v>916</v>
      </c>
      <c r="C79" s="701" t="s">
        <v>1322</v>
      </c>
      <c r="D79" s="697" t="s">
        <v>4419</v>
      </c>
      <c r="E79" s="697"/>
      <c r="F79" s="697"/>
      <c r="G79" s="697"/>
      <c r="H79" s="697"/>
      <c r="I79" s="697"/>
      <c r="J79" s="697" t="s">
        <v>1469</v>
      </c>
    </row>
    <row r="80" spans="1:10" ht="52.05" customHeight="1" x14ac:dyDescent="0.3">
      <c r="A80" s="697" t="s">
        <v>1473</v>
      </c>
      <c r="B80" s="697" t="s">
        <v>1474</v>
      </c>
      <c r="C80" s="701" t="s">
        <v>1322</v>
      </c>
      <c r="D80" s="697" t="s">
        <v>4413</v>
      </c>
      <c r="E80" s="697"/>
      <c r="F80" s="697"/>
      <c r="G80" s="697"/>
      <c r="H80" s="697"/>
      <c r="I80" s="697"/>
      <c r="J80" s="697"/>
    </row>
    <row r="81" spans="1:10" ht="28.05" customHeight="1" x14ac:dyDescent="0.3">
      <c r="A81" s="697" t="s">
        <v>1480</v>
      </c>
      <c r="B81" s="697" t="s">
        <v>1481</v>
      </c>
      <c r="C81" s="701" t="s">
        <v>1322</v>
      </c>
      <c r="D81" s="697" t="s">
        <v>4410</v>
      </c>
      <c r="E81" s="697"/>
      <c r="F81" s="697"/>
      <c r="G81" s="697"/>
      <c r="H81" s="697"/>
      <c r="I81" s="697"/>
      <c r="J81" s="697"/>
    </row>
    <row r="82" spans="1:10" ht="28.05" customHeight="1" x14ac:dyDescent="0.3">
      <c r="A82" s="697" t="s">
        <v>1488</v>
      </c>
      <c r="B82" s="697" t="s">
        <v>1489</v>
      </c>
      <c r="C82" s="701" t="s">
        <v>1322</v>
      </c>
      <c r="D82" s="697" t="s">
        <v>4414</v>
      </c>
      <c r="E82" s="697"/>
      <c r="F82" s="697"/>
      <c r="G82" s="697"/>
      <c r="H82" s="697"/>
      <c r="I82" s="697"/>
      <c r="J82" s="697"/>
    </row>
    <row r="83" spans="1:10" ht="28.05" customHeight="1" x14ac:dyDescent="0.3">
      <c r="A83" s="697" t="s">
        <v>1498</v>
      </c>
      <c r="B83" s="697" t="s">
        <v>1499</v>
      </c>
      <c r="C83" s="701" t="s">
        <v>1322</v>
      </c>
      <c r="D83" s="697" t="s">
        <v>4415</v>
      </c>
      <c r="E83" s="697"/>
      <c r="F83" s="697"/>
      <c r="G83" s="697"/>
      <c r="H83" s="697"/>
      <c r="I83" s="697"/>
      <c r="J83" s="697"/>
    </row>
    <row r="84" spans="1:10" ht="28.05" customHeight="1" x14ac:dyDescent="0.3">
      <c r="A84" s="697" t="s">
        <v>1503</v>
      </c>
      <c r="B84" s="697" t="s">
        <v>1504</v>
      </c>
      <c r="C84" s="701" t="s">
        <v>1322</v>
      </c>
      <c r="D84" s="697" t="s">
        <v>4411</v>
      </c>
      <c r="E84" s="697"/>
      <c r="F84" s="697"/>
      <c r="G84" s="697"/>
      <c r="H84" s="697"/>
      <c r="I84" s="697"/>
      <c r="J84" s="697"/>
    </row>
    <row r="86" spans="1:10" x14ac:dyDescent="0.3">
      <c r="A86" s="702" t="s">
        <v>4416</v>
      </c>
    </row>
  </sheetData>
  <conditionalFormatting sqref="D21:D34">
    <cfRule type="cellIs" dxfId="231" priority="1" stopIfTrue="1" operator="greaterThan">
      <formula>0</formula>
    </cfRule>
  </conditionalFormatting>
  <conditionalFormatting sqref="E21:E34">
    <cfRule type="cellIs" dxfId="230" priority="2" stopIfTrue="1" operator="greaterThan">
      <formula>0</formula>
    </cfRule>
  </conditionalFormatting>
  <conditionalFormatting sqref="F21:F34">
    <cfRule type="cellIs" dxfId="229" priority="3" stopIfTrue="1" operator="greaterThan">
      <formula>0</formula>
    </cfRule>
  </conditionalFormatting>
  <conditionalFormatting sqref="G21:G34">
    <cfRule type="cellIs" dxfId="228" priority="4" stopIfTrue="1" operator="greaterThan">
      <formula>0</formula>
    </cfRule>
  </conditionalFormatting>
  <conditionalFormatting sqref="H21:H34">
    <cfRule type="cellIs" dxfId="227" priority="5" stopIfTrue="1" operator="greaterThan">
      <formula>0</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BE68-7ECF-4948-BF39-7EA1AB67FCAA}">
  <sheetPr>
    <tabColor rgb="FFFF0000"/>
  </sheetPr>
  <dimension ref="A1:L114"/>
  <sheetViews>
    <sheetView workbookViewId="0">
      <pane ySplit="1" topLeftCell="A41" activePane="bottomLeft" state="frozen"/>
      <selection pane="bottomLeft" activeCell="B55" sqref="B55"/>
    </sheetView>
  </sheetViews>
  <sheetFormatPr defaultColWidth="10.88671875" defaultRowHeight="14.4" x14ac:dyDescent="0.3"/>
  <cols>
    <col min="1" max="1" width="10.88671875" style="62"/>
    <col min="2" max="2" width="91.5546875" style="63" customWidth="1"/>
    <col min="3" max="3" width="28.44140625" style="63" bestFit="1" customWidth="1"/>
    <col min="4" max="4" width="15" style="63" customWidth="1"/>
    <col min="5" max="5" width="10.44140625" style="63" customWidth="1"/>
    <col min="6" max="6" width="12.5546875" style="70" customWidth="1"/>
    <col min="7" max="7" width="87.5546875" style="63" customWidth="1"/>
    <col min="8" max="9" width="13.109375" style="63" customWidth="1"/>
    <col min="10" max="10" width="13" style="63" customWidth="1"/>
    <col min="11" max="11" width="64.44140625" style="63" customWidth="1"/>
    <col min="12" max="12" width="59.33203125" style="63" customWidth="1"/>
    <col min="13" max="16384" width="10.88671875" style="63"/>
  </cols>
  <sheetData>
    <row r="1" spans="1:12" s="68" customFormat="1" x14ac:dyDescent="0.3">
      <c r="A1" s="408" t="s">
        <v>1743</v>
      </c>
      <c r="B1" s="408" t="s">
        <v>1744</v>
      </c>
      <c r="C1" s="408" t="s">
        <v>1745</v>
      </c>
      <c r="D1" s="408" t="s">
        <v>1746</v>
      </c>
      <c r="E1" s="428" t="s">
        <v>1747</v>
      </c>
      <c r="F1" s="428" t="s">
        <v>1748</v>
      </c>
      <c r="G1" s="414" t="s">
        <v>1749</v>
      </c>
      <c r="H1" s="428" t="s">
        <v>1750</v>
      </c>
      <c r="I1" s="428" t="s">
        <v>582</v>
      </c>
      <c r="J1" s="414" t="s">
        <v>1751</v>
      </c>
      <c r="K1" s="408" t="s">
        <v>1752</v>
      </c>
    </row>
    <row r="2" spans="1:12" ht="21" x14ac:dyDescent="0.6">
      <c r="A2" s="108">
        <v>1</v>
      </c>
      <c r="B2" s="572" t="s">
        <v>1753</v>
      </c>
      <c r="C2" s="415" t="s">
        <v>1754</v>
      </c>
      <c r="D2" s="424" t="s">
        <v>1755</v>
      </c>
      <c r="E2" s="424" t="s">
        <v>1756</v>
      </c>
      <c r="F2" s="423" t="s">
        <v>833</v>
      </c>
      <c r="G2" s="426"/>
      <c r="H2" s="110"/>
      <c r="I2" s="110"/>
      <c r="J2" s="426"/>
      <c r="K2" s="110" t="s">
        <v>1757</v>
      </c>
    </row>
    <row r="3" spans="1:12" ht="21" x14ac:dyDescent="0.6">
      <c r="A3" s="108">
        <v>2</v>
      </c>
      <c r="B3" s="572" t="s">
        <v>1758</v>
      </c>
      <c r="C3" s="415" t="s">
        <v>1759</v>
      </c>
      <c r="D3" s="424" t="s">
        <v>1755</v>
      </c>
      <c r="E3" s="424" t="s">
        <v>1760</v>
      </c>
      <c r="F3" s="423" t="s">
        <v>833</v>
      </c>
      <c r="G3" s="426"/>
      <c r="H3" s="110"/>
      <c r="I3" s="110"/>
      <c r="J3" s="426"/>
      <c r="K3" s="110" t="s">
        <v>1761</v>
      </c>
    </row>
    <row r="4" spans="1:12" ht="21" x14ac:dyDescent="0.6">
      <c r="A4" s="108">
        <v>3</v>
      </c>
      <c r="B4" s="409" t="s">
        <v>1762</v>
      </c>
      <c r="C4" s="415" t="s">
        <v>1763</v>
      </c>
      <c r="D4" s="424" t="s">
        <v>1755</v>
      </c>
      <c r="E4" s="424" t="s">
        <v>1760</v>
      </c>
      <c r="F4" s="423" t="s">
        <v>833</v>
      </c>
      <c r="G4" s="300" t="s">
        <v>1764</v>
      </c>
      <c r="H4" s="110"/>
      <c r="I4" s="110"/>
      <c r="J4" s="426"/>
      <c r="K4" s="110" t="s">
        <v>1765</v>
      </c>
    </row>
    <row r="5" spans="1:12" ht="21" x14ac:dyDescent="0.6">
      <c r="A5" s="108">
        <v>4</v>
      </c>
      <c r="B5" s="409" t="s">
        <v>1766</v>
      </c>
      <c r="C5" s="415" t="s">
        <v>1767</v>
      </c>
      <c r="D5" s="424" t="s">
        <v>1768</v>
      </c>
      <c r="E5" s="424" t="s">
        <v>1756</v>
      </c>
      <c r="F5" s="423" t="s">
        <v>833</v>
      </c>
      <c r="G5" s="426"/>
      <c r="H5" s="110"/>
      <c r="I5" s="110"/>
      <c r="J5" s="426" t="s">
        <v>1769</v>
      </c>
      <c r="K5" s="110"/>
    </row>
    <row r="6" spans="1:12" ht="21" x14ac:dyDescent="0.6">
      <c r="A6" s="108">
        <v>5</v>
      </c>
      <c r="B6" s="572" t="s">
        <v>1770</v>
      </c>
      <c r="C6" s="415" t="s">
        <v>1767</v>
      </c>
      <c r="D6" s="424" t="s">
        <v>1768</v>
      </c>
      <c r="E6" s="424" t="s">
        <v>1756</v>
      </c>
      <c r="F6" s="583" t="s">
        <v>6</v>
      </c>
      <c r="G6" s="426"/>
      <c r="H6" s="110"/>
      <c r="I6" s="110"/>
      <c r="J6" s="426"/>
      <c r="K6" s="110" t="s">
        <v>1771</v>
      </c>
    </row>
    <row r="7" spans="1:12" s="141" customFormat="1" ht="28.8" x14ac:dyDescent="0.3">
      <c r="A7" s="423">
        <v>6</v>
      </c>
      <c r="B7" s="574" t="s">
        <v>1772</v>
      </c>
      <c r="C7" s="415" t="s">
        <v>1767</v>
      </c>
      <c r="D7" s="424" t="s">
        <v>1773</v>
      </c>
      <c r="E7" s="425" t="s">
        <v>1760</v>
      </c>
      <c r="F7" s="423" t="s">
        <v>833</v>
      </c>
      <c r="G7" s="453" t="s">
        <v>1774</v>
      </c>
      <c r="H7" s="423"/>
      <c r="I7" s="423"/>
      <c r="J7" s="130" t="s">
        <v>1775</v>
      </c>
      <c r="K7" s="454" t="s">
        <v>1776</v>
      </c>
    </row>
    <row r="8" spans="1:12" ht="21" x14ac:dyDescent="0.6">
      <c r="A8" s="108">
        <v>7</v>
      </c>
      <c r="B8" s="409" t="s">
        <v>1777</v>
      </c>
      <c r="C8" s="415" t="s">
        <v>1778</v>
      </c>
      <c r="D8" s="424" t="s">
        <v>1755</v>
      </c>
      <c r="E8" s="424" t="s">
        <v>1756</v>
      </c>
      <c r="F8" s="423" t="s">
        <v>833</v>
      </c>
      <c r="G8" s="426"/>
      <c r="H8" s="110"/>
      <c r="I8" s="110"/>
      <c r="J8" s="426"/>
      <c r="K8" s="110" t="s">
        <v>1779</v>
      </c>
    </row>
    <row r="9" spans="1:12" ht="21" x14ac:dyDescent="0.6">
      <c r="A9" s="108">
        <v>8</v>
      </c>
      <c r="B9" s="573" t="s">
        <v>1780</v>
      </c>
      <c r="C9" s="415" t="s">
        <v>1781</v>
      </c>
      <c r="D9" s="424" t="s">
        <v>1755</v>
      </c>
      <c r="E9" s="424" t="s">
        <v>1760</v>
      </c>
      <c r="F9" s="423" t="s">
        <v>6</v>
      </c>
      <c r="G9" s="426"/>
      <c r="H9" s="110"/>
      <c r="I9" s="110"/>
      <c r="J9" s="426"/>
      <c r="K9" s="484" t="s">
        <v>1782</v>
      </c>
      <c r="L9" s="63" t="e" vm="1">
        <v>#VALUE!</v>
      </c>
    </row>
    <row r="10" spans="1:12" ht="28.8" x14ac:dyDescent="0.6">
      <c r="A10" s="108">
        <v>9</v>
      </c>
      <c r="B10" s="575" t="s">
        <v>1783</v>
      </c>
      <c r="C10" s="415" t="s">
        <v>1784</v>
      </c>
      <c r="D10" s="424" t="s">
        <v>1773</v>
      </c>
      <c r="E10" s="425" t="s">
        <v>1760</v>
      </c>
      <c r="F10" s="423" t="s">
        <v>833</v>
      </c>
      <c r="G10" s="480" t="s">
        <v>1785</v>
      </c>
      <c r="H10" s="135" t="s">
        <v>651</v>
      </c>
      <c r="I10" s="423"/>
      <c r="J10" s="130" t="s">
        <v>1775</v>
      </c>
      <c r="K10" s="485" t="s">
        <v>1786</v>
      </c>
    </row>
    <row r="11" spans="1:12" ht="28.8" x14ac:dyDescent="0.6">
      <c r="A11" s="108">
        <v>10</v>
      </c>
      <c r="B11" s="409" t="s">
        <v>1787</v>
      </c>
      <c r="C11" s="415" t="s">
        <v>1788</v>
      </c>
      <c r="D11" s="424" t="s">
        <v>1773</v>
      </c>
      <c r="E11" s="425" t="s">
        <v>1760</v>
      </c>
      <c r="F11" s="423" t="s">
        <v>833</v>
      </c>
      <c r="G11" s="480" t="s">
        <v>1789</v>
      </c>
      <c r="H11" s="423"/>
      <c r="I11" s="423"/>
      <c r="J11" s="426"/>
      <c r="K11" s="110" t="s">
        <v>1790</v>
      </c>
    </row>
    <row r="12" spans="1:12" ht="43.2" x14ac:dyDescent="0.6">
      <c r="A12" s="108">
        <v>11</v>
      </c>
      <c r="B12" s="409" t="s">
        <v>1791</v>
      </c>
      <c r="C12" s="415" t="s">
        <v>1792</v>
      </c>
      <c r="D12" s="424" t="s">
        <v>1773</v>
      </c>
      <c r="E12" s="425" t="s">
        <v>1760</v>
      </c>
      <c r="F12" s="423" t="s">
        <v>833</v>
      </c>
      <c r="G12" s="571" t="s">
        <v>1793</v>
      </c>
      <c r="H12" s="423"/>
      <c r="I12" s="423"/>
      <c r="J12" s="426"/>
      <c r="K12" s="110" t="s">
        <v>1794</v>
      </c>
    </row>
    <row r="13" spans="1:12" ht="81" customHeight="1" x14ac:dyDescent="0.6">
      <c r="A13" s="108">
        <v>12</v>
      </c>
      <c r="B13" s="418" t="s">
        <v>1795</v>
      </c>
      <c r="C13" s="415" t="s">
        <v>1796</v>
      </c>
      <c r="D13" s="425" t="s">
        <v>1755</v>
      </c>
      <c r="E13" s="425" t="s">
        <v>1797</v>
      </c>
      <c r="F13" s="423" t="s">
        <v>833</v>
      </c>
      <c r="G13" s="427"/>
      <c r="H13" s="110"/>
      <c r="I13" s="110"/>
      <c r="J13" s="427"/>
      <c r="K13" s="485" t="s">
        <v>1798</v>
      </c>
    </row>
    <row r="14" spans="1:12" ht="43.2" x14ac:dyDescent="0.3">
      <c r="A14" s="108">
        <v>13</v>
      </c>
      <c r="B14" s="417" t="s">
        <v>1799</v>
      </c>
      <c r="C14" s="415" t="s">
        <v>1800</v>
      </c>
      <c r="D14" s="424" t="s">
        <v>1755</v>
      </c>
      <c r="E14" s="425" t="s">
        <v>1760</v>
      </c>
      <c r="F14" s="423" t="s">
        <v>833</v>
      </c>
      <c r="G14" s="133"/>
      <c r="H14" s="443"/>
      <c r="I14" s="443"/>
      <c r="J14" s="132"/>
      <c r="K14" s="110" t="s">
        <v>1801</v>
      </c>
    </row>
    <row r="15" spans="1:12" ht="28.8" x14ac:dyDescent="0.3">
      <c r="A15" s="108">
        <v>14</v>
      </c>
      <c r="B15" s="417" t="s">
        <v>1802</v>
      </c>
      <c r="C15" s="415" t="s">
        <v>1803</v>
      </c>
      <c r="D15" s="424" t="s">
        <v>1755</v>
      </c>
      <c r="E15" s="424" t="s">
        <v>1756</v>
      </c>
      <c r="F15" s="423" t="s">
        <v>833</v>
      </c>
      <c r="G15" s="128"/>
      <c r="H15" s="128"/>
      <c r="I15" s="128"/>
      <c r="J15" s="426" t="s">
        <v>1769</v>
      </c>
      <c r="K15" s="110" t="s">
        <v>1804</v>
      </c>
    </row>
    <row r="16" spans="1:12" ht="21" x14ac:dyDescent="0.3">
      <c r="A16" s="108">
        <v>15</v>
      </c>
      <c r="B16" s="417" t="s">
        <v>1805</v>
      </c>
      <c r="C16" s="415" t="s">
        <v>1806</v>
      </c>
      <c r="D16" s="424" t="s">
        <v>1768</v>
      </c>
      <c r="E16" s="424" t="s">
        <v>1756</v>
      </c>
      <c r="F16" s="423" t="s">
        <v>833</v>
      </c>
      <c r="G16" s="128"/>
      <c r="H16" s="128"/>
      <c r="I16" s="128"/>
      <c r="J16" s="426" t="s">
        <v>1769</v>
      </c>
      <c r="K16" s="110" t="s">
        <v>1804</v>
      </c>
    </row>
    <row r="17" spans="1:12" ht="57.6" x14ac:dyDescent="0.3">
      <c r="A17" s="108">
        <v>16</v>
      </c>
      <c r="B17" s="419" t="s">
        <v>1807</v>
      </c>
      <c r="C17" s="415" t="s">
        <v>1808</v>
      </c>
      <c r="D17" s="425" t="s">
        <v>1755</v>
      </c>
      <c r="E17" s="425" t="s">
        <v>1756</v>
      </c>
      <c r="F17" s="423" t="s">
        <v>833</v>
      </c>
      <c r="G17" s="135"/>
      <c r="H17" s="135"/>
      <c r="I17" s="135"/>
      <c r="J17" s="136"/>
      <c r="K17" s="485" t="s">
        <v>1809</v>
      </c>
    </row>
    <row r="18" spans="1:12" ht="21" x14ac:dyDescent="0.3">
      <c r="A18" s="108">
        <v>17</v>
      </c>
      <c r="B18" s="419" t="s">
        <v>1810</v>
      </c>
      <c r="C18" s="415" t="s">
        <v>1811</v>
      </c>
      <c r="D18" s="424" t="s">
        <v>1755</v>
      </c>
      <c r="E18" s="425" t="s">
        <v>1756</v>
      </c>
      <c r="F18" s="423" t="s">
        <v>6</v>
      </c>
      <c r="G18" s="128"/>
      <c r="H18" s="128"/>
      <c r="I18" s="128"/>
      <c r="J18" s="130"/>
      <c r="K18" s="447" t="s">
        <v>1812</v>
      </c>
    </row>
    <row r="19" spans="1:12" ht="21" x14ac:dyDescent="0.3">
      <c r="A19" s="108">
        <v>18</v>
      </c>
      <c r="B19" s="419" t="s">
        <v>1813</v>
      </c>
      <c r="C19" s="415" t="s">
        <v>1811</v>
      </c>
      <c r="D19" s="424" t="s">
        <v>1755</v>
      </c>
      <c r="E19" s="425" t="s">
        <v>1756</v>
      </c>
      <c r="F19" s="423" t="s">
        <v>6</v>
      </c>
      <c r="G19" s="128"/>
      <c r="H19" s="128"/>
      <c r="I19" s="128"/>
      <c r="J19" s="426" t="s">
        <v>1769</v>
      </c>
      <c r="K19" s="110" t="s">
        <v>1814</v>
      </c>
    </row>
    <row r="20" spans="1:12" ht="21" x14ac:dyDescent="0.3">
      <c r="A20" s="108">
        <v>19</v>
      </c>
      <c r="B20" s="419" t="s">
        <v>1815</v>
      </c>
      <c r="C20" s="415" t="s">
        <v>1811</v>
      </c>
      <c r="D20" s="425" t="s">
        <v>1755</v>
      </c>
      <c r="E20" s="425" t="s">
        <v>1756</v>
      </c>
      <c r="F20" s="423" t="s">
        <v>6</v>
      </c>
      <c r="G20" s="135"/>
      <c r="H20" s="135"/>
      <c r="I20" s="135"/>
      <c r="J20" s="426" t="s">
        <v>1769</v>
      </c>
      <c r="K20" s="110" t="s">
        <v>1814</v>
      </c>
    </row>
    <row r="21" spans="1:12" ht="21" x14ac:dyDescent="0.3">
      <c r="A21" s="108">
        <v>20</v>
      </c>
      <c r="B21" s="576" t="s">
        <v>1816</v>
      </c>
      <c r="C21" s="415" t="s">
        <v>584</v>
      </c>
      <c r="D21" s="424" t="s">
        <v>1817</v>
      </c>
      <c r="E21" s="425" t="s">
        <v>1756</v>
      </c>
      <c r="F21" s="423" t="s">
        <v>833</v>
      </c>
      <c r="G21" s="128"/>
      <c r="H21" s="128"/>
      <c r="I21" s="128"/>
      <c r="J21" s="130"/>
      <c r="K21" s="110"/>
    </row>
    <row r="22" spans="1:12" ht="148.5" customHeight="1" x14ac:dyDescent="0.3">
      <c r="A22" s="108">
        <v>21</v>
      </c>
      <c r="B22" s="420" t="s">
        <v>1818</v>
      </c>
      <c r="C22" s="415" t="s">
        <v>1819</v>
      </c>
      <c r="D22" s="424" t="s">
        <v>1817</v>
      </c>
      <c r="E22" s="425" t="s">
        <v>1756</v>
      </c>
      <c r="F22" s="423" t="s">
        <v>833</v>
      </c>
      <c r="G22" s="300" t="s">
        <v>1820</v>
      </c>
      <c r="H22" s="135"/>
      <c r="I22" s="135"/>
      <c r="J22" s="130"/>
      <c r="K22" s="485" t="s">
        <v>1821</v>
      </c>
    </row>
    <row r="23" spans="1:12" ht="21" x14ac:dyDescent="0.3">
      <c r="A23" s="108">
        <v>22</v>
      </c>
      <c r="B23" s="577" t="s">
        <v>1822</v>
      </c>
      <c r="C23" s="415" t="s">
        <v>1819</v>
      </c>
      <c r="D23" s="424" t="s">
        <v>1773</v>
      </c>
      <c r="E23" s="425" t="s">
        <v>1823</v>
      </c>
      <c r="F23" s="423" t="s">
        <v>833</v>
      </c>
      <c r="G23" s="487" t="s">
        <v>1824</v>
      </c>
      <c r="H23" s="135" t="s">
        <v>651</v>
      </c>
      <c r="I23" s="135" t="s">
        <v>1825</v>
      </c>
      <c r="J23" s="136" t="s">
        <v>1775</v>
      </c>
      <c r="K23" s="110" t="s">
        <v>1826</v>
      </c>
    </row>
    <row r="24" spans="1:12" ht="21" x14ac:dyDescent="0.3">
      <c r="A24" s="108">
        <v>23</v>
      </c>
      <c r="B24" s="578" t="s">
        <v>1827</v>
      </c>
      <c r="C24" s="415" t="s">
        <v>1819</v>
      </c>
      <c r="D24" s="424" t="s">
        <v>1773</v>
      </c>
      <c r="E24" s="425" t="s">
        <v>1823</v>
      </c>
      <c r="F24" s="445" t="s">
        <v>833</v>
      </c>
      <c r="G24" s="423" t="s">
        <v>1828</v>
      </c>
      <c r="H24" s="423"/>
      <c r="I24" s="423"/>
      <c r="J24" s="426"/>
      <c r="K24" s="485" t="s">
        <v>1829</v>
      </c>
    </row>
    <row r="25" spans="1:12" ht="21" x14ac:dyDescent="0.3">
      <c r="A25" s="108">
        <v>24</v>
      </c>
      <c r="B25" s="579" t="s">
        <v>1830</v>
      </c>
      <c r="C25" s="415" t="s">
        <v>1819</v>
      </c>
      <c r="D25" s="424" t="s">
        <v>1773</v>
      </c>
      <c r="E25" s="425" t="s">
        <v>1823</v>
      </c>
      <c r="F25" s="445" t="s">
        <v>833</v>
      </c>
      <c r="G25" s="423" t="s">
        <v>1828</v>
      </c>
      <c r="H25" s="423"/>
      <c r="I25" s="423"/>
      <c r="J25" s="427"/>
      <c r="K25" s="485" t="s">
        <v>1831</v>
      </c>
    </row>
    <row r="26" spans="1:12" ht="21" x14ac:dyDescent="0.3">
      <c r="A26" s="108">
        <v>25</v>
      </c>
      <c r="B26" s="584" t="s">
        <v>1832</v>
      </c>
      <c r="C26" s="415" t="s">
        <v>1819</v>
      </c>
      <c r="D26" s="425" t="s">
        <v>1755</v>
      </c>
      <c r="E26" s="425" t="s">
        <v>1760</v>
      </c>
      <c r="F26" s="423" t="s">
        <v>833</v>
      </c>
      <c r="G26" s="446"/>
      <c r="H26" s="135" t="s">
        <v>651</v>
      </c>
      <c r="I26" s="135" t="s">
        <v>651</v>
      </c>
      <c r="J26" s="136" t="s">
        <v>1775</v>
      </c>
      <c r="K26" s="110" t="s">
        <v>1833</v>
      </c>
    </row>
    <row r="27" spans="1:12" ht="21" x14ac:dyDescent="0.3">
      <c r="A27" s="108">
        <v>26</v>
      </c>
      <c r="B27" s="580" t="s">
        <v>1834</v>
      </c>
      <c r="C27" s="415" t="s">
        <v>1835</v>
      </c>
      <c r="D27" s="424" t="s">
        <v>1755</v>
      </c>
      <c r="E27" s="425" t="s">
        <v>1760</v>
      </c>
      <c r="F27" s="423" t="s">
        <v>833</v>
      </c>
      <c r="G27" s="135"/>
      <c r="H27" s="135"/>
      <c r="I27" s="135"/>
      <c r="J27" s="136"/>
      <c r="K27" s="110"/>
    </row>
    <row r="28" spans="1:12" ht="21" x14ac:dyDescent="0.3">
      <c r="A28" s="108">
        <v>27</v>
      </c>
      <c r="B28" s="422" t="s">
        <v>1836</v>
      </c>
      <c r="C28" s="416" t="s">
        <v>1837</v>
      </c>
      <c r="D28" s="425" t="s">
        <v>1755</v>
      </c>
      <c r="E28" s="425" t="s">
        <v>1823</v>
      </c>
      <c r="F28" s="481" t="s">
        <v>833</v>
      </c>
      <c r="G28" s="110"/>
      <c r="H28" s="110"/>
      <c r="I28" s="110"/>
      <c r="J28" s="426" t="s">
        <v>1769</v>
      </c>
      <c r="K28" s="110" t="s">
        <v>1838</v>
      </c>
    </row>
    <row r="29" spans="1:12" ht="175.5" customHeight="1" x14ac:dyDescent="0.3">
      <c r="A29" s="108">
        <v>28</v>
      </c>
      <c r="B29" s="580" t="s">
        <v>1839</v>
      </c>
      <c r="C29" s="429" t="s">
        <v>1800</v>
      </c>
      <c r="D29" s="429" t="s">
        <v>1755</v>
      </c>
      <c r="E29" s="429" t="s">
        <v>1760</v>
      </c>
      <c r="F29" s="482" t="s">
        <v>833</v>
      </c>
      <c r="G29" s="300" t="s">
        <v>1840</v>
      </c>
      <c r="H29" s="110"/>
      <c r="I29" s="110"/>
      <c r="J29" s="426" t="s">
        <v>1775</v>
      </c>
      <c r="K29" s="110"/>
      <c r="L29" s="128" t="e" vm="2">
        <v>#VALUE!</v>
      </c>
    </row>
    <row r="30" spans="1:12" ht="21" x14ac:dyDescent="0.3">
      <c r="A30" s="108">
        <v>29</v>
      </c>
      <c r="B30" s="580" t="s">
        <v>1841</v>
      </c>
      <c r="C30" s="429" t="s">
        <v>1842</v>
      </c>
      <c r="D30" s="429" t="s">
        <v>1755</v>
      </c>
      <c r="E30" s="429" t="s">
        <v>1756</v>
      </c>
      <c r="F30" s="108" t="s">
        <v>833</v>
      </c>
      <c r="G30" s="300" t="s">
        <v>1843</v>
      </c>
      <c r="H30" s="483"/>
      <c r="I30" s="483"/>
      <c r="J30" s="136" t="s">
        <v>1775</v>
      </c>
      <c r="K30" s="581" t="s">
        <v>1844</v>
      </c>
      <c r="L30" s="63" t="e" vm="3">
        <v>#VALUE!</v>
      </c>
    </row>
    <row r="31" spans="1:12" ht="21.75" customHeight="1" x14ac:dyDescent="0.3">
      <c r="A31" s="108">
        <v>30</v>
      </c>
      <c r="B31" s="421" t="s">
        <v>1845</v>
      </c>
      <c r="C31" s="429"/>
      <c r="D31" s="429" t="s">
        <v>1755</v>
      </c>
      <c r="E31" s="429" t="s">
        <v>1756</v>
      </c>
      <c r="F31" s="108" t="s">
        <v>833</v>
      </c>
      <c r="G31" s="429"/>
      <c r="H31" s="429"/>
      <c r="I31" s="429"/>
      <c r="J31" s="450"/>
      <c r="K31" s="486" t="s">
        <v>1846</v>
      </c>
    </row>
    <row r="32" spans="1:12" ht="21" x14ac:dyDescent="0.3">
      <c r="A32" s="108">
        <v>31</v>
      </c>
      <c r="B32" s="421" t="s">
        <v>1847</v>
      </c>
      <c r="C32" s="429"/>
      <c r="D32" s="429" t="s">
        <v>1755</v>
      </c>
      <c r="E32" s="429" t="s">
        <v>1756</v>
      </c>
      <c r="F32" s="108" t="s">
        <v>833</v>
      </c>
      <c r="G32" s="429"/>
      <c r="H32" s="429"/>
      <c r="I32" s="429"/>
      <c r="J32" s="450"/>
      <c r="K32" s="448" t="s">
        <v>1848</v>
      </c>
    </row>
    <row r="33" spans="1:11" ht="21" x14ac:dyDescent="0.3">
      <c r="A33" s="108">
        <v>32</v>
      </c>
      <c r="B33" s="582" t="s">
        <v>1849</v>
      </c>
      <c r="C33" s="429"/>
      <c r="D33" s="429" t="s">
        <v>1755</v>
      </c>
      <c r="E33" s="429" t="s">
        <v>1756</v>
      </c>
      <c r="F33" s="108" t="s">
        <v>833</v>
      </c>
      <c r="G33" s="429"/>
      <c r="H33" s="429"/>
      <c r="I33" s="429"/>
      <c r="J33" s="450"/>
      <c r="K33" s="448"/>
    </row>
    <row r="34" spans="1:11" ht="21" x14ac:dyDescent="0.3">
      <c r="A34" s="108">
        <v>33</v>
      </c>
      <c r="B34" s="421" t="s">
        <v>1850</v>
      </c>
      <c r="C34" s="429"/>
      <c r="D34" s="429" t="s">
        <v>1768</v>
      </c>
      <c r="E34" s="429" t="s">
        <v>1760</v>
      </c>
      <c r="F34" s="108" t="s">
        <v>833</v>
      </c>
      <c r="G34" s="429"/>
      <c r="H34" s="429"/>
      <c r="I34" s="429"/>
      <c r="J34" s="450"/>
      <c r="K34" s="448" t="s">
        <v>1851</v>
      </c>
    </row>
    <row r="35" spans="1:11" ht="21" x14ac:dyDescent="0.3">
      <c r="A35" s="108">
        <v>34</v>
      </c>
      <c r="B35" s="421" t="s">
        <v>1852</v>
      </c>
      <c r="C35" s="429"/>
      <c r="D35" s="429" t="s">
        <v>1755</v>
      </c>
      <c r="E35" s="429" t="s">
        <v>1760</v>
      </c>
      <c r="F35" s="108" t="s">
        <v>833</v>
      </c>
      <c r="G35" s="421"/>
      <c r="H35" s="429"/>
      <c r="I35" s="429"/>
      <c r="J35" s="450"/>
      <c r="K35" s="486" t="s">
        <v>1853</v>
      </c>
    </row>
    <row r="36" spans="1:11" ht="21" x14ac:dyDescent="0.3">
      <c r="A36" s="108">
        <v>35</v>
      </c>
      <c r="B36" s="422" t="s">
        <v>1854</v>
      </c>
      <c r="C36" s="422"/>
      <c r="D36" s="440" t="s">
        <v>1755</v>
      </c>
      <c r="E36" s="440" t="s">
        <v>1760</v>
      </c>
      <c r="F36" s="441" t="s">
        <v>833</v>
      </c>
      <c r="G36" s="110"/>
      <c r="H36" s="422"/>
      <c r="I36" s="422"/>
      <c r="J36" s="451"/>
      <c r="K36" s="437" t="s">
        <v>1855</v>
      </c>
    </row>
    <row r="37" spans="1:11" ht="21" x14ac:dyDescent="0.3">
      <c r="A37" s="108">
        <v>36</v>
      </c>
      <c r="B37" s="421" t="s">
        <v>1856</v>
      </c>
      <c r="C37" s="421"/>
      <c r="D37" s="424" t="s">
        <v>1773</v>
      </c>
      <c r="E37" s="440" t="s">
        <v>1760</v>
      </c>
      <c r="F37" s="108"/>
      <c r="G37" s="453" t="s">
        <v>1857</v>
      </c>
      <c r="H37" s="421"/>
      <c r="I37" s="421"/>
      <c r="J37" s="452" t="s">
        <v>1858</v>
      </c>
      <c r="K37" s="437" t="s">
        <v>1859</v>
      </c>
    </row>
    <row r="38" spans="1:11" ht="21" x14ac:dyDescent="0.3">
      <c r="A38" s="108">
        <v>37</v>
      </c>
      <c r="B38" s="438" t="s">
        <v>1860</v>
      </c>
      <c r="C38" s="421"/>
      <c r="D38" s="425"/>
      <c r="E38" s="440"/>
      <c r="F38" s="108"/>
      <c r="G38" s="421"/>
      <c r="H38" s="421"/>
      <c r="I38" s="421"/>
      <c r="J38" s="452"/>
      <c r="K38" s="437"/>
    </row>
    <row r="39" spans="1:11" ht="21" x14ac:dyDescent="0.3">
      <c r="A39" s="108">
        <v>38</v>
      </c>
      <c r="B39" s="438" t="s">
        <v>1861</v>
      </c>
      <c r="C39" s="421"/>
      <c r="D39" s="429"/>
      <c r="E39" s="429"/>
      <c r="F39" s="108"/>
      <c r="G39" s="421"/>
      <c r="H39" s="421"/>
      <c r="I39" s="421"/>
      <c r="J39" s="452" t="s">
        <v>1862</v>
      </c>
      <c r="K39" s="437"/>
    </row>
    <row r="40" spans="1:11" ht="21" x14ac:dyDescent="0.3">
      <c r="A40" s="108">
        <v>39</v>
      </c>
      <c r="B40" s="438" t="s">
        <v>1863</v>
      </c>
      <c r="C40" s="421"/>
      <c r="D40" s="429"/>
      <c r="E40" s="429"/>
      <c r="F40" s="108"/>
      <c r="G40" s="421"/>
      <c r="H40" s="421"/>
      <c r="I40" s="421"/>
      <c r="J40" s="452" t="s">
        <v>1858</v>
      </c>
      <c r="K40" s="437"/>
    </row>
    <row r="41" spans="1:11" ht="21" x14ac:dyDescent="0.3">
      <c r="A41" s="108">
        <v>40</v>
      </c>
      <c r="B41" s="110" t="s">
        <v>1864</v>
      </c>
      <c r="C41" s="421"/>
      <c r="D41" s="429"/>
      <c r="E41" s="429"/>
      <c r="F41" s="108"/>
      <c r="G41" s="421"/>
      <c r="H41" s="421"/>
      <c r="I41" s="421"/>
      <c r="J41" s="452" t="s">
        <v>1865</v>
      </c>
      <c r="K41" s="437"/>
    </row>
    <row r="42" spans="1:11" ht="22.5" customHeight="1" x14ac:dyDescent="0.3">
      <c r="A42" s="108">
        <v>41</v>
      </c>
      <c r="B42" s="110" t="s">
        <v>1866</v>
      </c>
      <c r="C42" s="110"/>
      <c r="D42" s="110"/>
      <c r="E42" s="110"/>
      <c r="F42" s="439"/>
      <c r="G42" s="110"/>
      <c r="H42" s="110"/>
      <c r="I42" s="110"/>
      <c r="J42" s="452" t="s">
        <v>1865</v>
      </c>
      <c r="K42" s="110" t="s">
        <v>1867</v>
      </c>
    </row>
    <row r="43" spans="1:11" x14ac:dyDescent="0.3">
      <c r="A43" s="108">
        <v>42</v>
      </c>
      <c r="B43" s="110" t="s">
        <v>1868</v>
      </c>
      <c r="C43" s="110"/>
      <c r="D43" s="110"/>
      <c r="E43" s="110"/>
      <c r="F43" s="439"/>
      <c r="G43" s="110"/>
      <c r="H43" s="110"/>
      <c r="I43" s="110"/>
      <c r="J43" s="452" t="s">
        <v>1865</v>
      </c>
      <c r="K43" s="110"/>
    </row>
    <row r="44" spans="1:11" ht="21" x14ac:dyDescent="0.3">
      <c r="A44" s="108">
        <v>43</v>
      </c>
      <c r="B44" s="444" t="s">
        <v>1869</v>
      </c>
      <c r="C44" s="110"/>
      <c r="D44" s="424" t="s">
        <v>1773</v>
      </c>
      <c r="E44" s="440" t="s">
        <v>1760</v>
      </c>
      <c r="F44" s="439"/>
      <c r="G44" s="453" t="s">
        <v>1870</v>
      </c>
      <c r="H44" s="110"/>
      <c r="I44" s="110"/>
      <c r="J44" s="452" t="s">
        <v>1871</v>
      </c>
      <c r="K44" s="110"/>
    </row>
    <row r="45" spans="1:11" x14ac:dyDescent="0.3">
      <c r="A45" s="108">
        <v>44</v>
      </c>
      <c r="B45" s="110" t="s">
        <v>1872</v>
      </c>
      <c r="C45" s="115"/>
      <c r="D45" s="115"/>
      <c r="E45" s="115"/>
      <c r="F45" s="442"/>
      <c r="G45" s="115"/>
      <c r="H45" s="115"/>
      <c r="I45" s="115"/>
      <c r="J45" s="452" t="s">
        <v>1865</v>
      </c>
      <c r="K45" s="110"/>
    </row>
    <row r="46" spans="1:11" ht="21" x14ac:dyDescent="0.3">
      <c r="A46" s="108">
        <v>45</v>
      </c>
      <c r="B46" s="115" t="s">
        <v>1873</v>
      </c>
      <c r="C46" s="110"/>
      <c r="D46" s="424" t="s">
        <v>1773</v>
      </c>
      <c r="E46" s="440" t="s">
        <v>1760</v>
      </c>
      <c r="F46" s="439"/>
      <c r="G46" s="110"/>
      <c r="H46" s="135" t="s">
        <v>651</v>
      </c>
      <c r="I46" s="135" t="s">
        <v>1825</v>
      </c>
      <c r="J46" s="130" t="s">
        <v>1775</v>
      </c>
      <c r="K46" s="110" t="s">
        <v>1874</v>
      </c>
    </row>
    <row r="47" spans="1:11" ht="21" customHeight="1" x14ac:dyDescent="0.3">
      <c r="A47" s="108">
        <v>46</v>
      </c>
      <c r="B47" s="110" t="s">
        <v>1875</v>
      </c>
      <c r="C47" s="115"/>
      <c r="D47" s="424" t="s">
        <v>1773</v>
      </c>
      <c r="E47" s="440" t="s">
        <v>1760</v>
      </c>
      <c r="F47" s="442"/>
      <c r="G47" s="115"/>
      <c r="H47" s="115"/>
      <c r="I47" s="115"/>
      <c r="J47" s="136" t="s">
        <v>1876</v>
      </c>
      <c r="K47" s="449" t="s">
        <v>1877</v>
      </c>
    </row>
    <row r="48" spans="1:11" ht="21" x14ac:dyDescent="0.3">
      <c r="A48" s="108">
        <v>47</v>
      </c>
      <c r="B48" s="444" t="s">
        <v>1878</v>
      </c>
      <c r="C48" s="115"/>
      <c r="D48" s="115"/>
      <c r="E48" s="440" t="s">
        <v>1760</v>
      </c>
      <c r="F48" s="442"/>
      <c r="G48" s="115"/>
      <c r="H48" s="115"/>
      <c r="I48" s="115"/>
      <c r="J48" s="136" t="s">
        <v>1879</v>
      </c>
      <c r="K48" s="110" t="s">
        <v>1880</v>
      </c>
    </row>
    <row r="49" spans="1:11" ht="21" x14ac:dyDescent="0.3">
      <c r="A49" s="108">
        <v>48</v>
      </c>
      <c r="B49" s="115" t="s">
        <v>1881</v>
      </c>
      <c r="C49" s="115"/>
      <c r="D49" s="424" t="s">
        <v>1773</v>
      </c>
      <c r="E49" s="440" t="s">
        <v>1760</v>
      </c>
      <c r="F49" s="442"/>
      <c r="G49" s="115"/>
      <c r="H49" s="115"/>
      <c r="I49" s="115"/>
      <c r="J49" s="136"/>
      <c r="K49" s="110" t="s">
        <v>1882</v>
      </c>
    </row>
    <row r="50" spans="1:11" ht="21" x14ac:dyDescent="0.3">
      <c r="A50" s="108">
        <v>49</v>
      </c>
      <c r="B50" s="110" t="s">
        <v>1883</v>
      </c>
      <c r="C50" s="110"/>
      <c r="D50" s="424" t="s">
        <v>1773</v>
      </c>
      <c r="E50" s="440" t="s">
        <v>1760</v>
      </c>
      <c r="F50" s="439"/>
      <c r="G50" s="110"/>
      <c r="H50" s="110"/>
      <c r="I50" s="110"/>
      <c r="J50" s="130"/>
      <c r="K50" s="110" t="s">
        <v>1884</v>
      </c>
    </row>
    <row r="51" spans="1:11" ht="21" x14ac:dyDescent="0.3">
      <c r="A51" s="108">
        <v>50</v>
      </c>
      <c r="B51" s="438" t="s">
        <v>1885</v>
      </c>
      <c r="C51" s="110"/>
      <c r="D51" s="424" t="s">
        <v>1773</v>
      </c>
      <c r="E51" s="440" t="s">
        <v>1760</v>
      </c>
      <c r="F51" s="439"/>
      <c r="G51" s="300" t="s">
        <v>1886</v>
      </c>
      <c r="H51" s="110"/>
      <c r="I51" s="110"/>
      <c r="J51" s="452" t="s">
        <v>1887</v>
      </c>
      <c r="K51" s="110"/>
    </row>
    <row r="52" spans="1:11" s="72" customFormat="1" x14ac:dyDescent="0.3">
      <c r="A52" s="652">
        <v>51</v>
      </c>
      <c r="B52" s="653"/>
      <c r="C52" s="653"/>
      <c r="D52" s="653"/>
      <c r="E52" s="653"/>
      <c r="F52" s="654"/>
      <c r="G52" s="653"/>
      <c r="H52" s="653"/>
      <c r="I52" s="653"/>
      <c r="J52" s="655"/>
      <c r="K52" s="653"/>
    </row>
    <row r="53" spans="1:11" x14ac:dyDescent="0.3">
      <c r="A53" s="108">
        <v>52</v>
      </c>
      <c r="B53" s="110" t="s">
        <v>1888</v>
      </c>
      <c r="C53" s="110"/>
      <c r="D53" s="110"/>
      <c r="E53" s="110"/>
      <c r="F53" s="439"/>
      <c r="G53" s="110"/>
      <c r="H53" s="110"/>
      <c r="I53" s="110"/>
      <c r="J53" s="130"/>
      <c r="K53" s="110"/>
    </row>
    <row r="54" spans="1:11" x14ac:dyDescent="0.3">
      <c r="A54" s="108">
        <v>53</v>
      </c>
      <c r="B54" s="110"/>
      <c r="C54" s="110"/>
      <c r="D54" s="110"/>
      <c r="E54" s="110"/>
      <c r="F54" s="439"/>
    </row>
    <row r="55" spans="1:11" x14ac:dyDescent="0.3">
      <c r="A55" s="108">
        <v>54</v>
      </c>
      <c r="B55" s="110"/>
      <c r="C55" s="110"/>
      <c r="D55" s="110"/>
      <c r="E55" s="110"/>
      <c r="F55" s="439"/>
    </row>
    <row r="56" spans="1:11" x14ac:dyDescent="0.3">
      <c r="A56" s="108">
        <v>55</v>
      </c>
      <c r="B56" s="110"/>
      <c r="C56" s="110"/>
      <c r="D56" s="110"/>
      <c r="E56" s="110"/>
      <c r="F56" s="439"/>
    </row>
    <row r="57" spans="1:11" x14ac:dyDescent="0.3">
      <c r="A57" s="108">
        <v>56</v>
      </c>
      <c r="B57" s="110"/>
      <c r="C57" s="110"/>
      <c r="D57" s="110"/>
      <c r="E57" s="110"/>
      <c r="F57" s="439"/>
    </row>
    <row r="58" spans="1:11" x14ac:dyDescent="0.3">
      <c r="A58" s="108">
        <v>57</v>
      </c>
      <c r="B58" s="110"/>
      <c r="C58" s="110"/>
      <c r="D58" s="110"/>
      <c r="E58" s="110"/>
      <c r="F58" s="439"/>
    </row>
    <row r="59" spans="1:11" x14ac:dyDescent="0.3">
      <c r="A59" s="108">
        <v>58</v>
      </c>
      <c r="B59" s="110"/>
      <c r="C59" s="110"/>
      <c r="D59" s="110"/>
      <c r="E59" s="110"/>
      <c r="F59" s="439"/>
    </row>
    <row r="60" spans="1:11" x14ac:dyDescent="0.3">
      <c r="A60" s="108">
        <v>59</v>
      </c>
      <c r="B60" s="110"/>
      <c r="C60" s="110"/>
      <c r="D60" s="110"/>
      <c r="E60" s="110"/>
      <c r="F60" s="439"/>
    </row>
    <row r="61" spans="1:11" x14ac:dyDescent="0.3">
      <c r="A61" s="108">
        <v>60</v>
      </c>
      <c r="B61" s="110"/>
      <c r="C61" s="110"/>
      <c r="D61" s="110"/>
      <c r="E61" s="110"/>
      <c r="F61" s="439"/>
    </row>
    <row r="62" spans="1:11" x14ac:dyDescent="0.3">
      <c r="A62" s="108">
        <v>60</v>
      </c>
    </row>
    <row r="63" spans="1:11" x14ac:dyDescent="0.3">
      <c r="A63" s="108">
        <v>61</v>
      </c>
    </row>
    <row r="64" spans="1:11" x14ac:dyDescent="0.3">
      <c r="A64" s="108">
        <v>62</v>
      </c>
    </row>
    <row r="65" spans="1:1" x14ac:dyDescent="0.3">
      <c r="A65" s="108">
        <v>63</v>
      </c>
    </row>
    <row r="66" spans="1:1" x14ac:dyDescent="0.3">
      <c r="A66" s="108">
        <v>64</v>
      </c>
    </row>
    <row r="67" spans="1:1" x14ac:dyDescent="0.3">
      <c r="A67" s="108">
        <v>65</v>
      </c>
    </row>
    <row r="68" spans="1:1" x14ac:dyDescent="0.3">
      <c r="A68" s="108">
        <v>66</v>
      </c>
    </row>
    <row r="69" spans="1:1" x14ac:dyDescent="0.3">
      <c r="A69" s="108">
        <v>67</v>
      </c>
    </row>
    <row r="70" spans="1:1" x14ac:dyDescent="0.3">
      <c r="A70" s="108">
        <v>68</v>
      </c>
    </row>
    <row r="71" spans="1:1" x14ac:dyDescent="0.3">
      <c r="A71" s="108">
        <v>69</v>
      </c>
    </row>
    <row r="72" spans="1:1" x14ac:dyDescent="0.3">
      <c r="A72" s="108">
        <v>70</v>
      </c>
    </row>
    <row r="73" spans="1:1" x14ac:dyDescent="0.3">
      <c r="A73" s="108">
        <v>71</v>
      </c>
    </row>
    <row r="74" spans="1:1" x14ac:dyDescent="0.3">
      <c r="A74" s="108">
        <v>72</v>
      </c>
    </row>
    <row r="75" spans="1:1" x14ac:dyDescent="0.3">
      <c r="A75" s="108">
        <v>73</v>
      </c>
    </row>
    <row r="76" spans="1:1" x14ac:dyDescent="0.3">
      <c r="A76" s="108">
        <v>74</v>
      </c>
    </row>
    <row r="77" spans="1:1" x14ac:dyDescent="0.3">
      <c r="A77" s="108">
        <v>75</v>
      </c>
    </row>
    <row r="78" spans="1:1" x14ac:dyDescent="0.3">
      <c r="A78" s="108">
        <v>76</v>
      </c>
    </row>
    <row r="79" spans="1:1" x14ac:dyDescent="0.3">
      <c r="A79" s="108">
        <v>77</v>
      </c>
    </row>
    <row r="80" spans="1:1" x14ac:dyDescent="0.3">
      <c r="A80" s="108">
        <v>78</v>
      </c>
    </row>
    <row r="81" spans="1:1" x14ac:dyDescent="0.3">
      <c r="A81" s="108">
        <v>79</v>
      </c>
    </row>
    <row r="82" spans="1:1" x14ac:dyDescent="0.3">
      <c r="A82" s="108">
        <v>80</v>
      </c>
    </row>
    <row r="83" spans="1:1" x14ac:dyDescent="0.3">
      <c r="A83" s="108">
        <v>81</v>
      </c>
    </row>
    <row r="84" spans="1:1" x14ac:dyDescent="0.3">
      <c r="A84" s="108">
        <v>82</v>
      </c>
    </row>
    <row r="85" spans="1:1" x14ac:dyDescent="0.3">
      <c r="A85" s="108">
        <v>83</v>
      </c>
    </row>
    <row r="86" spans="1:1" x14ac:dyDescent="0.3">
      <c r="A86" s="108">
        <v>84</v>
      </c>
    </row>
    <row r="87" spans="1:1" x14ac:dyDescent="0.3">
      <c r="A87" s="108">
        <v>85</v>
      </c>
    </row>
    <row r="88" spans="1:1" x14ac:dyDescent="0.3">
      <c r="A88" s="108">
        <v>86</v>
      </c>
    </row>
    <row r="89" spans="1:1" x14ac:dyDescent="0.3">
      <c r="A89" s="108">
        <v>87</v>
      </c>
    </row>
    <row r="90" spans="1:1" x14ac:dyDescent="0.3">
      <c r="A90" s="108">
        <v>88</v>
      </c>
    </row>
    <row r="91" spans="1:1" x14ac:dyDescent="0.3">
      <c r="A91" s="108">
        <v>89</v>
      </c>
    </row>
    <row r="92" spans="1:1" x14ac:dyDescent="0.3">
      <c r="A92" s="108">
        <v>90</v>
      </c>
    </row>
    <row r="93" spans="1:1" x14ac:dyDescent="0.3">
      <c r="A93" s="108">
        <v>91</v>
      </c>
    </row>
    <row r="94" spans="1:1" x14ac:dyDescent="0.3">
      <c r="A94" s="108">
        <v>92</v>
      </c>
    </row>
    <row r="95" spans="1:1" x14ac:dyDescent="0.3">
      <c r="A95" s="108">
        <v>93</v>
      </c>
    </row>
    <row r="96" spans="1:1" x14ac:dyDescent="0.3">
      <c r="A96" s="108">
        <v>94</v>
      </c>
    </row>
    <row r="97" spans="1:1" x14ac:dyDescent="0.3">
      <c r="A97" s="108">
        <v>95</v>
      </c>
    </row>
    <row r="98" spans="1:1" x14ac:dyDescent="0.3">
      <c r="A98" s="108">
        <v>96</v>
      </c>
    </row>
    <row r="99" spans="1:1" x14ac:dyDescent="0.3">
      <c r="A99" s="108">
        <v>97</v>
      </c>
    </row>
    <row r="100" spans="1:1" x14ac:dyDescent="0.3">
      <c r="A100" s="108">
        <v>98</v>
      </c>
    </row>
    <row r="101" spans="1:1" x14ac:dyDescent="0.3">
      <c r="A101" s="108">
        <v>99</v>
      </c>
    </row>
    <row r="102" spans="1:1" x14ac:dyDescent="0.3">
      <c r="A102" s="108">
        <v>100</v>
      </c>
    </row>
    <row r="103" spans="1:1" x14ac:dyDescent="0.3">
      <c r="A103" s="108">
        <v>101</v>
      </c>
    </row>
    <row r="104" spans="1:1" x14ac:dyDescent="0.3">
      <c r="A104" s="108">
        <v>102</v>
      </c>
    </row>
    <row r="105" spans="1:1" x14ac:dyDescent="0.3">
      <c r="A105" s="108">
        <v>103</v>
      </c>
    </row>
    <row r="106" spans="1:1" x14ac:dyDescent="0.3">
      <c r="A106" s="108">
        <v>104</v>
      </c>
    </row>
    <row r="107" spans="1:1" x14ac:dyDescent="0.3">
      <c r="A107" s="108">
        <v>105</v>
      </c>
    </row>
    <row r="108" spans="1:1" x14ac:dyDescent="0.3">
      <c r="A108" s="108">
        <v>106</v>
      </c>
    </row>
    <row r="109" spans="1:1" x14ac:dyDescent="0.3">
      <c r="A109" s="108">
        <v>107</v>
      </c>
    </row>
    <row r="110" spans="1:1" x14ac:dyDescent="0.3">
      <c r="A110" s="108">
        <v>108</v>
      </c>
    </row>
    <row r="111" spans="1:1" x14ac:dyDescent="0.3">
      <c r="A111" s="108">
        <v>109</v>
      </c>
    </row>
    <row r="112" spans="1:1" x14ac:dyDescent="0.3">
      <c r="A112" s="108">
        <v>110</v>
      </c>
    </row>
    <row r="113" spans="1:1" x14ac:dyDescent="0.3">
      <c r="A113" s="108">
        <v>111</v>
      </c>
    </row>
    <row r="114" spans="1:1" x14ac:dyDescent="0.3">
      <c r="A114" s="108">
        <v>112</v>
      </c>
    </row>
  </sheetData>
  <autoFilter ref="A1:K114" xr:uid="{935BBE68-7ECF-4948-BF39-7EA1AB67FCAA}"/>
  <hyperlinks>
    <hyperlink ref="G7" r:id="rId1" xr:uid="{D79C3D6F-C4F8-4DBD-AEFD-96ADE658B8FD}"/>
    <hyperlink ref="G10" r:id="rId2" xr:uid="{91405454-7AFB-4089-9B83-15A023011D41}"/>
    <hyperlink ref="G37" r:id="rId3" xr:uid="{70FAF700-FC04-4179-8C84-1A8687F67EB7}"/>
    <hyperlink ref="G11" r:id="rId4" display="https://linear.app/cortexcloud/issue/NUH-2435/lab-re-structure-%E0%B8%95%E0%B8%AD%E0%B8%99%E0%B8%A3%E0%B8%9A%E0%B8%AD%E0%B8%AD%E0%B9%80%E0%B8%94%E0%B8%AD%E0%B8%A3-%E0%B8%99%E0%B8%94%E0%B8%AB%E0%BNUH-2435: \[Lab\] Re-Structure ตอนรับออเดอร์ (นัดหมายล่วงหน้า)](https://linear.app/cortexcloud/issue/NUH-2435/lab-re-structure-ตอนรบออเดอร-นดหมายลวงหนา)" xr:uid="{A94B23DE-D0DD-4B67-8AAF-7634D14564D1}"/>
    <hyperlink ref="G44" r:id="rId5" xr:uid="{B6BB14BA-5917-4931-844A-5C53BAC69E75}"/>
    <hyperlink ref="G23" r:id="rId6" xr:uid="{62ABC5F6-758A-4148-900D-FBB10D8526AC}"/>
    <hyperlink ref="G4" r:id="rId7" xr:uid="{FA4AAA09-796A-4EF0-AD57-278E3E9A2ADB}"/>
    <hyperlink ref="G51" r:id="rId8" xr:uid="{39176716-2533-4959-B253-78B0EBEFC617}"/>
    <hyperlink ref="G30" r:id="rId9" xr:uid="{CCF4CDEF-7552-4F14-8541-AA20AF99C578}"/>
    <hyperlink ref="G29" r:id="rId10" xr:uid="{ABAEA13E-EC86-4E87-BC3D-C1E144B17079}"/>
  </hyperlinks>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E51A-E9E8-4D3C-BB29-2C62CB5DEDF3}">
  <dimension ref="A1:J53"/>
  <sheetViews>
    <sheetView workbookViewId="0">
      <selection activeCell="I23" sqref="I23"/>
    </sheetView>
  </sheetViews>
  <sheetFormatPr defaultColWidth="9.109375" defaultRowHeight="14.4" x14ac:dyDescent="0.3"/>
  <cols>
    <col min="1" max="1" width="30" style="63" customWidth="1"/>
    <col min="2" max="2" width="41" style="64" customWidth="1"/>
    <col min="3" max="3" width="28.6640625" style="64" customWidth="1"/>
    <col min="4" max="4" width="13" style="63" customWidth="1"/>
    <col min="5" max="5" width="11.33203125" style="62" customWidth="1"/>
    <col min="6" max="6" width="15.88671875" style="62" customWidth="1"/>
    <col min="7" max="7" width="46.5546875" style="63" customWidth="1"/>
    <col min="8" max="8" width="17.109375" style="63" customWidth="1"/>
    <col min="9" max="9" width="15.33203125" style="63" customWidth="1"/>
    <col min="10" max="10" width="15.109375" style="63" customWidth="1"/>
    <col min="11" max="16384" width="9.109375" style="63"/>
  </cols>
  <sheetData>
    <row r="1" spans="1:10" s="586" customFormat="1" x14ac:dyDescent="0.3">
      <c r="A1" s="586" t="s">
        <v>1889</v>
      </c>
      <c r="B1" s="585" t="s">
        <v>1890</v>
      </c>
      <c r="C1" s="585" t="s">
        <v>1891</v>
      </c>
      <c r="D1" s="587" t="s">
        <v>1892</v>
      </c>
      <c r="E1" s="587" t="s">
        <v>1893</v>
      </c>
      <c r="F1" s="587" t="s">
        <v>1894</v>
      </c>
      <c r="G1" s="586" t="s">
        <v>1895</v>
      </c>
      <c r="H1" s="586" t="s">
        <v>1896</v>
      </c>
      <c r="I1" s="586" t="s">
        <v>1897</v>
      </c>
      <c r="J1" s="586" t="s">
        <v>1898</v>
      </c>
    </row>
    <row r="2" spans="1:10" x14ac:dyDescent="0.3">
      <c r="A2" s="63" t="s">
        <v>1878</v>
      </c>
      <c r="B2" s="64" t="s">
        <v>1899</v>
      </c>
      <c r="D2" s="588">
        <v>46296</v>
      </c>
      <c r="E2" s="588">
        <v>46317</v>
      </c>
      <c r="H2" s="63" t="s">
        <v>1900</v>
      </c>
      <c r="I2" s="63" t="s">
        <v>1901</v>
      </c>
    </row>
    <row r="3" spans="1:10" x14ac:dyDescent="0.3">
      <c r="A3" s="63" t="s">
        <v>1881</v>
      </c>
      <c r="B3" s="64" t="s">
        <v>1902</v>
      </c>
      <c r="C3" s="64" t="s">
        <v>1903</v>
      </c>
      <c r="D3" s="588">
        <v>46296</v>
      </c>
      <c r="E3" s="588">
        <v>46317</v>
      </c>
      <c r="H3" s="63" t="s">
        <v>1904</v>
      </c>
      <c r="I3" s="63" t="s">
        <v>1901</v>
      </c>
    </row>
    <row r="4" spans="1:10" x14ac:dyDescent="0.3">
      <c r="B4" s="64" t="s">
        <v>1905</v>
      </c>
      <c r="C4" s="64" t="s">
        <v>1903</v>
      </c>
      <c r="D4" s="588">
        <v>46296</v>
      </c>
      <c r="E4" s="588">
        <v>46317</v>
      </c>
      <c r="H4" s="63" t="s">
        <v>1904</v>
      </c>
      <c r="I4" s="63" t="s">
        <v>1901</v>
      </c>
    </row>
    <row r="5" spans="1:10" x14ac:dyDescent="0.3">
      <c r="B5" s="64" t="s">
        <v>1906</v>
      </c>
      <c r="C5" s="64" t="s">
        <v>1903</v>
      </c>
      <c r="D5" s="588">
        <v>46296</v>
      </c>
      <c r="E5" s="588">
        <v>46317</v>
      </c>
      <c r="H5" s="63" t="s">
        <v>1904</v>
      </c>
      <c r="I5" s="63" t="s">
        <v>1901</v>
      </c>
    </row>
    <row r="6" spans="1:10" x14ac:dyDescent="0.3">
      <c r="A6" s="63" t="s">
        <v>1883</v>
      </c>
      <c r="B6" s="64" t="s">
        <v>1899</v>
      </c>
      <c r="D6" s="588">
        <v>46296</v>
      </c>
      <c r="E6" s="588">
        <v>46317</v>
      </c>
      <c r="H6" s="63" t="s">
        <v>1907</v>
      </c>
      <c r="I6" s="63" t="s">
        <v>1901</v>
      </c>
    </row>
    <row r="7" spans="1:10" x14ac:dyDescent="0.3">
      <c r="A7" s="63" t="s">
        <v>1885</v>
      </c>
      <c r="B7" s="64" t="s">
        <v>1899</v>
      </c>
      <c r="D7" s="588">
        <v>46315</v>
      </c>
      <c r="E7" s="588">
        <v>46317</v>
      </c>
      <c r="F7" s="588">
        <v>46321</v>
      </c>
      <c r="H7" s="63" t="s">
        <v>1908</v>
      </c>
      <c r="I7" s="63" t="s">
        <v>1901</v>
      </c>
    </row>
    <row r="8" spans="1:10" x14ac:dyDescent="0.3">
      <c r="A8" s="63" t="s">
        <v>1909</v>
      </c>
      <c r="B8" s="64" t="s">
        <v>1910</v>
      </c>
      <c r="D8" s="588">
        <v>46315</v>
      </c>
      <c r="E8" s="588">
        <v>46317</v>
      </c>
      <c r="F8" s="588">
        <v>46321</v>
      </c>
      <c r="H8" s="63" t="s">
        <v>1908</v>
      </c>
      <c r="I8" s="63" t="s">
        <v>1901</v>
      </c>
    </row>
    <row r="9" spans="1:10" ht="28.8" x14ac:dyDescent="0.3">
      <c r="A9" s="63" t="s">
        <v>1911</v>
      </c>
      <c r="B9" s="64" t="s">
        <v>1912</v>
      </c>
      <c r="C9" s="589" t="s">
        <v>1913</v>
      </c>
      <c r="D9" s="588">
        <v>46315</v>
      </c>
      <c r="E9" s="588">
        <v>46317</v>
      </c>
      <c r="F9" s="588">
        <v>46321</v>
      </c>
      <c r="H9" s="63" t="s">
        <v>1908</v>
      </c>
      <c r="I9" s="63" t="s">
        <v>1901</v>
      </c>
    </row>
    <row r="10" spans="1:10" x14ac:dyDescent="0.3">
      <c r="A10" s="63" t="s">
        <v>1914</v>
      </c>
      <c r="B10" s="64" t="s">
        <v>1915</v>
      </c>
      <c r="D10" s="588">
        <v>46307</v>
      </c>
      <c r="E10" s="588">
        <v>46314</v>
      </c>
      <c r="F10" s="588">
        <v>46321</v>
      </c>
      <c r="H10" s="63" t="s">
        <v>1916</v>
      </c>
      <c r="I10" s="63" t="s">
        <v>1901</v>
      </c>
    </row>
    <row r="11" spans="1:10" x14ac:dyDescent="0.3">
      <c r="A11" s="63" t="s">
        <v>796</v>
      </c>
      <c r="B11" s="64" t="s">
        <v>1910</v>
      </c>
      <c r="F11" s="588">
        <v>46321</v>
      </c>
      <c r="H11" s="63" t="s">
        <v>1908</v>
      </c>
      <c r="I11" s="63" t="s">
        <v>651</v>
      </c>
      <c r="J11" s="63" t="s">
        <v>1825</v>
      </c>
    </row>
    <row r="12" spans="1:10" x14ac:dyDescent="0.3">
      <c r="A12" s="63" t="s">
        <v>1917</v>
      </c>
      <c r="B12" s="64" t="s">
        <v>1918</v>
      </c>
      <c r="C12" s="64" t="s">
        <v>1919</v>
      </c>
      <c r="D12" s="588">
        <v>46296</v>
      </c>
      <c r="E12" s="588">
        <v>46317</v>
      </c>
      <c r="F12" s="588">
        <v>46321</v>
      </c>
      <c r="I12" s="63" t="s">
        <v>1901</v>
      </c>
    </row>
    <row r="13" spans="1:10" x14ac:dyDescent="0.3">
      <c r="A13" s="63" t="s">
        <v>1920</v>
      </c>
      <c r="B13" s="64" t="s">
        <v>1921</v>
      </c>
      <c r="D13" s="588">
        <v>46307</v>
      </c>
      <c r="E13" s="588">
        <v>46317</v>
      </c>
      <c r="F13" s="588">
        <v>46321</v>
      </c>
      <c r="H13" s="63" t="s">
        <v>1908</v>
      </c>
      <c r="I13" s="63" t="s">
        <v>1901</v>
      </c>
    </row>
    <row r="14" spans="1:10" x14ac:dyDescent="0.3">
      <c r="A14" s="63" t="s">
        <v>1922</v>
      </c>
      <c r="B14" s="64" t="s">
        <v>1923</v>
      </c>
      <c r="C14" s="64" t="s">
        <v>1914</v>
      </c>
      <c r="D14" s="588">
        <v>46321</v>
      </c>
      <c r="G14" s="63" t="s">
        <v>1924</v>
      </c>
      <c r="H14" s="63" t="s">
        <v>1925</v>
      </c>
      <c r="I14" s="63" t="s">
        <v>1825</v>
      </c>
    </row>
    <row r="15" spans="1:10" x14ac:dyDescent="0.3">
      <c r="B15" s="64" t="s">
        <v>1926</v>
      </c>
      <c r="D15" s="588">
        <v>46321</v>
      </c>
      <c r="H15" s="63" t="s">
        <v>1925</v>
      </c>
      <c r="I15" s="63" t="s">
        <v>1825</v>
      </c>
    </row>
    <row r="16" spans="1:10" x14ac:dyDescent="0.3">
      <c r="B16" s="64" t="s">
        <v>1927</v>
      </c>
      <c r="D16" s="588">
        <v>46321</v>
      </c>
      <c r="H16" s="63" t="s">
        <v>1925</v>
      </c>
      <c r="I16" s="63" t="s">
        <v>1825</v>
      </c>
    </row>
    <row r="17" spans="1:9" ht="28.8" x14ac:dyDescent="0.3">
      <c r="A17" s="63" t="s">
        <v>1928</v>
      </c>
      <c r="B17" s="171" t="s">
        <v>1929</v>
      </c>
      <c r="D17" s="588">
        <v>46314</v>
      </c>
      <c r="E17" s="588">
        <v>46317</v>
      </c>
      <c r="F17" s="588">
        <v>46321</v>
      </c>
      <c r="H17" s="63" t="s">
        <v>1908</v>
      </c>
      <c r="I17" s="63" t="s">
        <v>1825</v>
      </c>
    </row>
    <row r="18" spans="1:9" x14ac:dyDescent="0.3">
      <c r="B18" s="171" t="s">
        <v>1930</v>
      </c>
      <c r="D18" s="588">
        <v>46314</v>
      </c>
      <c r="E18" s="588">
        <v>46317</v>
      </c>
      <c r="F18" s="588">
        <v>46321</v>
      </c>
      <c r="H18" s="63" t="s">
        <v>1908</v>
      </c>
      <c r="I18" s="63" t="s">
        <v>1825</v>
      </c>
    </row>
    <row r="19" spans="1:9" ht="28.8" x14ac:dyDescent="0.3">
      <c r="B19" s="171" t="s">
        <v>1931</v>
      </c>
      <c r="D19" s="588">
        <v>46314</v>
      </c>
      <c r="E19" s="588">
        <v>46317</v>
      </c>
      <c r="F19" s="588">
        <v>46321</v>
      </c>
      <c r="H19" s="63" t="s">
        <v>1908</v>
      </c>
      <c r="I19" s="63" t="s">
        <v>1825</v>
      </c>
    </row>
    <row r="20" spans="1:9" ht="28.8" x14ac:dyDescent="0.3">
      <c r="B20" s="171" t="s">
        <v>1932</v>
      </c>
      <c r="D20" s="588">
        <v>46314</v>
      </c>
      <c r="E20" s="588">
        <v>46317</v>
      </c>
      <c r="F20" s="588">
        <v>46321</v>
      </c>
      <c r="H20" s="63" t="s">
        <v>1908</v>
      </c>
      <c r="I20" s="63" t="s">
        <v>1825</v>
      </c>
    </row>
    <row r="21" spans="1:9" ht="43.2" x14ac:dyDescent="0.3">
      <c r="B21" s="171" t="s">
        <v>1843</v>
      </c>
      <c r="D21" s="588">
        <v>46314</v>
      </c>
      <c r="E21" s="588">
        <v>46317</v>
      </c>
      <c r="F21" s="588">
        <v>46321</v>
      </c>
      <c r="H21" s="63" t="s">
        <v>1908</v>
      </c>
      <c r="I21" s="63" t="s">
        <v>1825</v>
      </c>
    </row>
    <row r="22" spans="1:9" ht="28.8" x14ac:dyDescent="0.3">
      <c r="B22" s="171" t="s">
        <v>1840</v>
      </c>
      <c r="D22" s="588">
        <v>46314</v>
      </c>
      <c r="E22" s="588">
        <v>46317</v>
      </c>
      <c r="F22" s="588">
        <v>46321</v>
      </c>
      <c r="H22" s="63" t="s">
        <v>1908</v>
      </c>
      <c r="I22" s="63" t="s">
        <v>1825</v>
      </c>
    </row>
    <row r="23" spans="1:9" x14ac:dyDescent="0.3">
      <c r="A23" s="63" t="s">
        <v>1933</v>
      </c>
      <c r="B23" s="63"/>
      <c r="C23" s="63"/>
      <c r="D23" s="588">
        <v>46321</v>
      </c>
      <c r="E23" s="588">
        <v>46323</v>
      </c>
      <c r="F23" s="588">
        <v>46324</v>
      </c>
      <c r="H23" s="63" t="s">
        <v>1769</v>
      </c>
      <c r="I23" s="63" t="s">
        <v>1825</v>
      </c>
    </row>
    <row r="24" spans="1:9" x14ac:dyDescent="0.3">
      <c r="A24" s="63" t="s">
        <v>1934</v>
      </c>
      <c r="D24" s="588">
        <v>46314</v>
      </c>
      <c r="F24" s="588">
        <v>46314</v>
      </c>
      <c r="H24" s="63" t="s">
        <v>1935</v>
      </c>
      <c r="I24" s="63" t="s">
        <v>1901</v>
      </c>
    </row>
    <row r="25" spans="1:9" x14ac:dyDescent="0.3">
      <c r="A25" s="63" t="s">
        <v>1936</v>
      </c>
      <c r="D25" s="588">
        <v>46314</v>
      </c>
      <c r="F25" s="588">
        <v>46314</v>
      </c>
      <c r="H25" s="63" t="s">
        <v>1935</v>
      </c>
      <c r="I25" s="63" t="s">
        <v>1901</v>
      </c>
    </row>
    <row r="26" spans="1:9" x14ac:dyDescent="0.3">
      <c r="A26" s="63" t="s">
        <v>1937</v>
      </c>
      <c r="D26" s="588">
        <v>46321</v>
      </c>
      <c r="G26" s="62"/>
      <c r="H26" s="63" t="s">
        <v>1900</v>
      </c>
      <c r="I26" s="63" t="s">
        <v>1825</v>
      </c>
    </row>
    <row r="46" spans="3:4" x14ac:dyDescent="0.3">
      <c r="C46"/>
      <c r="D46"/>
    </row>
    <row r="47" spans="3:4" x14ac:dyDescent="0.3">
      <c r="C47"/>
      <c r="D47" s="487"/>
    </row>
    <row r="48" spans="3:4" x14ac:dyDescent="0.3">
      <c r="C48"/>
      <c r="D48" s="487"/>
    </row>
    <row r="49" spans="3:4" x14ac:dyDescent="0.3">
      <c r="C49" s="487"/>
      <c r="D49"/>
    </row>
    <row r="50" spans="3:4" x14ac:dyDescent="0.3">
      <c r="C50"/>
      <c r="D50"/>
    </row>
    <row r="51" spans="3:4" x14ac:dyDescent="0.3">
      <c r="C51"/>
      <c r="D51" s="487"/>
    </row>
    <row r="52" spans="3:4" x14ac:dyDescent="0.3">
      <c r="C52"/>
      <c r="D52" s="487"/>
    </row>
    <row r="53" spans="3:4" x14ac:dyDescent="0.3">
      <c r="C53"/>
      <c r="D53" s="487"/>
    </row>
  </sheetData>
  <autoFilter ref="A1:I1" xr:uid="{9669E51A-E9E8-4D3C-BB29-2C62CB5DEDF3}"/>
  <hyperlinks>
    <hyperlink ref="B17" r:id="rId1" xr:uid="{BDE2D329-59EA-46D0-9A51-00E56CD70C8F}"/>
    <hyperlink ref="B18" r:id="rId2" xr:uid="{34598A2D-1CB6-40D3-9739-1414B84FA6E5}"/>
    <hyperlink ref="B19" r:id="rId3" xr:uid="{C6C6970B-8475-43C3-B83A-B01A887F0DE6}"/>
    <hyperlink ref="B20" r:id="rId4" xr:uid="{771A7C49-07AA-496A-A07D-2262FF15518F}"/>
    <hyperlink ref="B21" r:id="rId5" xr:uid="{6E85D1EC-1F85-4EE3-8B22-84720B02D236}"/>
    <hyperlink ref="B22" r:id="rId6" xr:uid="{C346DA65-74D4-4090-AA9F-A78DFDE3B5A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52E1-98AD-4A46-A8DE-655C2E3E67E7}">
  <dimension ref="A1:D114"/>
  <sheetViews>
    <sheetView workbookViewId="0">
      <selection activeCell="F19" sqref="F19"/>
    </sheetView>
  </sheetViews>
  <sheetFormatPr defaultColWidth="10.88671875" defaultRowHeight="14.4" x14ac:dyDescent="0.3"/>
  <cols>
    <col min="1" max="1" width="10.88671875" style="62"/>
    <col min="2" max="2" width="112.44140625" style="63" customWidth="1"/>
    <col min="3" max="3" width="23.88671875" style="70" customWidth="1"/>
    <col min="4" max="4" width="20" style="63" customWidth="1"/>
    <col min="5" max="16384" width="10.88671875" style="63"/>
  </cols>
  <sheetData>
    <row r="1" spans="1:4" s="68" customFormat="1" x14ac:dyDescent="0.3">
      <c r="A1" s="69" t="s">
        <v>1743</v>
      </c>
      <c r="B1" s="69" t="s">
        <v>1938</v>
      </c>
      <c r="C1" s="69" t="s">
        <v>1939</v>
      </c>
    </row>
    <row r="2" spans="1:4" x14ac:dyDescent="0.3">
      <c r="A2" s="62">
        <v>1</v>
      </c>
      <c r="B2" s="63" t="s">
        <v>1940</v>
      </c>
      <c r="C2" s="70" t="s">
        <v>599</v>
      </c>
    </row>
    <row r="3" spans="1:4" x14ac:dyDescent="0.3">
      <c r="A3" s="62">
        <v>2</v>
      </c>
      <c r="B3" s="63" t="s">
        <v>1941</v>
      </c>
    </row>
    <row r="4" spans="1:4" x14ac:dyDescent="0.3">
      <c r="A4" s="62">
        <v>3</v>
      </c>
      <c r="B4" s="63" t="s">
        <v>1942</v>
      </c>
    </row>
    <row r="5" spans="1:4" x14ac:dyDescent="0.3">
      <c r="A5" s="62">
        <v>4</v>
      </c>
      <c r="B5" s="72" t="s">
        <v>1943</v>
      </c>
    </row>
    <row r="6" spans="1:4" x14ac:dyDescent="0.3">
      <c r="A6" s="62">
        <v>5</v>
      </c>
      <c r="B6" s="72" t="s">
        <v>1944</v>
      </c>
    </row>
    <row r="7" spans="1:4" x14ac:dyDescent="0.3">
      <c r="A7" s="62">
        <v>6</v>
      </c>
      <c r="B7" s="63" t="s">
        <v>1945</v>
      </c>
    </row>
    <row r="8" spans="1:4" x14ac:dyDescent="0.3">
      <c r="A8" s="62">
        <v>7</v>
      </c>
      <c r="B8" s="63" t="s">
        <v>1946</v>
      </c>
    </row>
    <row r="9" spans="1:4" x14ac:dyDescent="0.3">
      <c r="A9" s="62">
        <v>8</v>
      </c>
      <c r="B9" s="72" t="s">
        <v>1947</v>
      </c>
    </row>
    <row r="10" spans="1:4" x14ac:dyDescent="0.3">
      <c r="A10" s="62">
        <v>9</v>
      </c>
      <c r="B10" s="63" t="s">
        <v>1948</v>
      </c>
    </row>
    <row r="11" spans="1:4" x14ac:dyDescent="0.3">
      <c r="A11" s="62">
        <v>10</v>
      </c>
      <c r="B11" s="63" t="s">
        <v>1949</v>
      </c>
    </row>
    <row r="12" spans="1:4" x14ac:dyDescent="0.3">
      <c r="A12" s="62">
        <v>11</v>
      </c>
      <c r="B12" s="63" t="s">
        <v>1950</v>
      </c>
      <c r="C12" s="70" t="s">
        <v>1951</v>
      </c>
    </row>
    <row r="13" spans="1:4" ht="28.8" x14ac:dyDescent="0.3">
      <c r="A13" s="62">
        <v>12</v>
      </c>
      <c r="B13" s="64" t="s">
        <v>1952</v>
      </c>
      <c r="C13" s="70" t="s">
        <v>1951</v>
      </c>
    </row>
    <row r="14" spans="1:4" ht="43.2" x14ac:dyDescent="0.3">
      <c r="A14" s="62">
        <v>13</v>
      </c>
      <c r="B14" s="63" t="s">
        <v>1953</v>
      </c>
      <c r="C14" s="71" t="s">
        <v>1954</v>
      </c>
      <c r="D14" s="64" t="s">
        <v>1955</v>
      </c>
    </row>
    <row r="15" spans="1:4" x14ac:dyDescent="0.3">
      <c r="A15" s="62">
        <v>14</v>
      </c>
    </row>
    <row r="16" spans="1:4" x14ac:dyDescent="0.3">
      <c r="A16" s="62">
        <v>15</v>
      </c>
    </row>
    <row r="17" spans="1:1" x14ac:dyDescent="0.3">
      <c r="A17" s="62">
        <v>16</v>
      </c>
    </row>
    <row r="18" spans="1:1" x14ac:dyDescent="0.3">
      <c r="A18" s="62">
        <v>17</v>
      </c>
    </row>
    <row r="19" spans="1:1" x14ac:dyDescent="0.3">
      <c r="A19" s="62">
        <v>18</v>
      </c>
    </row>
    <row r="20" spans="1:1" x14ac:dyDescent="0.3">
      <c r="A20" s="62">
        <v>19</v>
      </c>
    </row>
    <row r="21" spans="1:1" x14ac:dyDescent="0.3">
      <c r="A21" s="62">
        <v>20</v>
      </c>
    </row>
    <row r="22" spans="1:1" x14ac:dyDescent="0.3">
      <c r="A22" s="62">
        <v>21</v>
      </c>
    </row>
    <row r="23" spans="1:1" x14ac:dyDescent="0.3">
      <c r="A23" s="62">
        <v>22</v>
      </c>
    </row>
    <row r="24" spans="1:1" x14ac:dyDescent="0.3">
      <c r="A24" s="62">
        <v>23</v>
      </c>
    </row>
    <row r="25" spans="1:1" x14ac:dyDescent="0.3">
      <c r="A25" s="62">
        <v>24</v>
      </c>
    </row>
    <row r="26" spans="1:1" x14ac:dyDescent="0.3">
      <c r="A26" s="62">
        <v>25</v>
      </c>
    </row>
    <row r="27" spans="1:1" x14ac:dyDescent="0.3">
      <c r="A27" s="62">
        <v>26</v>
      </c>
    </row>
    <row r="28" spans="1:1" x14ac:dyDescent="0.3">
      <c r="A28" s="62">
        <v>27</v>
      </c>
    </row>
    <row r="29" spans="1:1" x14ac:dyDescent="0.3">
      <c r="A29" s="62">
        <v>28</v>
      </c>
    </row>
    <row r="30" spans="1:1" x14ac:dyDescent="0.3">
      <c r="A30" s="62">
        <v>29</v>
      </c>
    </row>
    <row r="31" spans="1:1" x14ac:dyDescent="0.3">
      <c r="A31" s="62">
        <v>30</v>
      </c>
    </row>
    <row r="32" spans="1:1" x14ac:dyDescent="0.3">
      <c r="A32" s="62">
        <v>31</v>
      </c>
    </row>
    <row r="33" spans="1:1" x14ac:dyDescent="0.3">
      <c r="A33" s="62">
        <v>32</v>
      </c>
    </row>
    <row r="34" spans="1:1" x14ac:dyDescent="0.3">
      <c r="A34" s="62">
        <v>33</v>
      </c>
    </row>
    <row r="35" spans="1:1" x14ac:dyDescent="0.3">
      <c r="A35" s="62">
        <v>34</v>
      </c>
    </row>
    <row r="36" spans="1:1" x14ac:dyDescent="0.3">
      <c r="A36" s="62">
        <v>35</v>
      </c>
    </row>
    <row r="37" spans="1:1" x14ac:dyDescent="0.3">
      <c r="A37" s="62">
        <v>36</v>
      </c>
    </row>
    <row r="38" spans="1:1" x14ac:dyDescent="0.3">
      <c r="A38" s="62">
        <v>37</v>
      </c>
    </row>
    <row r="39" spans="1:1" x14ac:dyDescent="0.3">
      <c r="A39" s="62">
        <v>38</v>
      </c>
    </row>
    <row r="40" spans="1:1" x14ac:dyDescent="0.3">
      <c r="A40" s="62">
        <v>39</v>
      </c>
    </row>
    <row r="41" spans="1:1" x14ac:dyDescent="0.3">
      <c r="A41" s="62">
        <v>40</v>
      </c>
    </row>
    <row r="42" spans="1:1" x14ac:dyDescent="0.3">
      <c r="A42" s="62">
        <v>41</v>
      </c>
    </row>
    <row r="43" spans="1:1" x14ac:dyDescent="0.3">
      <c r="A43" s="62">
        <v>42</v>
      </c>
    </row>
    <row r="44" spans="1:1" x14ac:dyDescent="0.3">
      <c r="A44" s="62">
        <v>43</v>
      </c>
    </row>
    <row r="45" spans="1:1" x14ac:dyDescent="0.3">
      <c r="A45" s="62">
        <v>44</v>
      </c>
    </row>
    <row r="46" spans="1:1" x14ac:dyDescent="0.3">
      <c r="A46" s="62">
        <v>45</v>
      </c>
    </row>
    <row r="47" spans="1:1" x14ac:dyDescent="0.3">
      <c r="A47" s="62">
        <v>46</v>
      </c>
    </row>
    <row r="48" spans="1:1" x14ac:dyDescent="0.3">
      <c r="A48" s="62">
        <v>47</v>
      </c>
    </row>
    <row r="49" spans="1:1" x14ac:dyDescent="0.3">
      <c r="A49" s="62">
        <v>48</v>
      </c>
    </row>
    <row r="50" spans="1:1" x14ac:dyDescent="0.3">
      <c r="A50" s="62">
        <v>49</v>
      </c>
    </row>
    <row r="51" spans="1:1" x14ac:dyDescent="0.3">
      <c r="A51" s="62">
        <v>50</v>
      </c>
    </row>
    <row r="52" spans="1:1" x14ac:dyDescent="0.3">
      <c r="A52" s="62">
        <v>51</v>
      </c>
    </row>
    <row r="53" spans="1:1" x14ac:dyDescent="0.3">
      <c r="A53" s="62">
        <v>52</v>
      </c>
    </row>
    <row r="54" spans="1:1" x14ac:dyDescent="0.3">
      <c r="A54" s="62">
        <v>53</v>
      </c>
    </row>
    <row r="55" spans="1:1" x14ac:dyDescent="0.3">
      <c r="A55" s="62">
        <v>54</v>
      </c>
    </row>
    <row r="56" spans="1:1" x14ac:dyDescent="0.3">
      <c r="A56" s="62">
        <v>55</v>
      </c>
    </row>
    <row r="57" spans="1:1" x14ac:dyDescent="0.3">
      <c r="A57" s="62">
        <v>56</v>
      </c>
    </row>
    <row r="58" spans="1:1" x14ac:dyDescent="0.3">
      <c r="A58" s="62">
        <v>57</v>
      </c>
    </row>
    <row r="59" spans="1:1" x14ac:dyDescent="0.3">
      <c r="A59" s="62">
        <v>58</v>
      </c>
    </row>
    <row r="60" spans="1:1" x14ac:dyDescent="0.3">
      <c r="A60" s="62">
        <v>59</v>
      </c>
    </row>
    <row r="61" spans="1:1" x14ac:dyDescent="0.3">
      <c r="A61" s="62">
        <v>60</v>
      </c>
    </row>
    <row r="62" spans="1:1" x14ac:dyDescent="0.3">
      <c r="A62" s="62">
        <v>61</v>
      </c>
    </row>
    <row r="63" spans="1:1" x14ac:dyDescent="0.3">
      <c r="A63" s="62">
        <v>62</v>
      </c>
    </row>
    <row r="64" spans="1:1" x14ac:dyDescent="0.3">
      <c r="A64" s="62">
        <v>63</v>
      </c>
    </row>
    <row r="65" spans="1:1" x14ac:dyDescent="0.3">
      <c r="A65" s="62">
        <v>64</v>
      </c>
    </row>
    <row r="66" spans="1:1" x14ac:dyDescent="0.3">
      <c r="A66" s="62">
        <v>65</v>
      </c>
    </row>
    <row r="67" spans="1:1" x14ac:dyDescent="0.3">
      <c r="A67" s="62">
        <v>66</v>
      </c>
    </row>
    <row r="68" spans="1:1" x14ac:dyDescent="0.3">
      <c r="A68" s="62">
        <v>67</v>
      </c>
    </row>
    <row r="69" spans="1:1" x14ac:dyDescent="0.3">
      <c r="A69" s="62">
        <v>68</v>
      </c>
    </row>
    <row r="70" spans="1:1" x14ac:dyDescent="0.3">
      <c r="A70" s="62">
        <v>69</v>
      </c>
    </row>
    <row r="71" spans="1:1" x14ac:dyDescent="0.3">
      <c r="A71" s="62">
        <v>70</v>
      </c>
    </row>
    <row r="72" spans="1:1" x14ac:dyDescent="0.3">
      <c r="A72" s="62">
        <v>71</v>
      </c>
    </row>
    <row r="73" spans="1:1" x14ac:dyDescent="0.3">
      <c r="A73" s="62">
        <v>72</v>
      </c>
    </row>
    <row r="74" spans="1:1" x14ac:dyDescent="0.3">
      <c r="A74" s="62">
        <v>73</v>
      </c>
    </row>
    <row r="75" spans="1:1" x14ac:dyDescent="0.3">
      <c r="A75" s="62">
        <v>74</v>
      </c>
    </row>
    <row r="76" spans="1:1" x14ac:dyDescent="0.3">
      <c r="A76" s="62">
        <v>75</v>
      </c>
    </row>
    <row r="77" spans="1:1" x14ac:dyDescent="0.3">
      <c r="A77" s="62">
        <v>76</v>
      </c>
    </row>
    <row r="78" spans="1:1" x14ac:dyDescent="0.3">
      <c r="A78" s="62">
        <v>77</v>
      </c>
    </row>
    <row r="79" spans="1:1" x14ac:dyDescent="0.3">
      <c r="A79" s="62">
        <v>78</v>
      </c>
    </row>
    <row r="80" spans="1:1" x14ac:dyDescent="0.3">
      <c r="A80" s="62">
        <v>79</v>
      </c>
    </row>
    <row r="81" spans="1:1" x14ac:dyDescent="0.3">
      <c r="A81" s="62">
        <v>80</v>
      </c>
    </row>
    <row r="82" spans="1:1" x14ac:dyDescent="0.3">
      <c r="A82" s="62">
        <v>81</v>
      </c>
    </row>
    <row r="83" spans="1:1" x14ac:dyDescent="0.3">
      <c r="A83" s="62">
        <v>82</v>
      </c>
    </row>
    <row r="84" spans="1:1" x14ac:dyDescent="0.3">
      <c r="A84" s="62">
        <v>83</v>
      </c>
    </row>
    <row r="85" spans="1:1" x14ac:dyDescent="0.3">
      <c r="A85" s="62">
        <v>84</v>
      </c>
    </row>
    <row r="86" spans="1:1" x14ac:dyDescent="0.3">
      <c r="A86" s="62">
        <v>85</v>
      </c>
    </row>
    <row r="87" spans="1:1" x14ac:dyDescent="0.3">
      <c r="A87" s="62">
        <v>86</v>
      </c>
    </row>
    <row r="88" spans="1:1" x14ac:dyDescent="0.3">
      <c r="A88" s="62">
        <v>87</v>
      </c>
    </row>
    <row r="89" spans="1:1" x14ac:dyDescent="0.3">
      <c r="A89" s="62">
        <v>88</v>
      </c>
    </row>
    <row r="90" spans="1:1" x14ac:dyDescent="0.3">
      <c r="A90" s="62">
        <v>89</v>
      </c>
    </row>
    <row r="91" spans="1:1" x14ac:dyDescent="0.3">
      <c r="A91" s="62">
        <v>90</v>
      </c>
    </row>
    <row r="92" spans="1:1" x14ac:dyDescent="0.3">
      <c r="A92" s="62">
        <v>91</v>
      </c>
    </row>
    <row r="93" spans="1:1" x14ac:dyDescent="0.3">
      <c r="A93" s="62">
        <v>92</v>
      </c>
    </row>
    <row r="94" spans="1:1" x14ac:dyDescent="0.3">
      <c r="A94" s="62">
        <v>93</v>
      </c>
    </row>
    <row r="95" spans="1:1" x14ac:dyDescent="0.3">
      <c r="A95" s="62">
        <v>94</v>
      </c>
    </row>
    <row r="96" spans="1:1" x14ac:dyDescent="0.3">
      <c r="A96" s="62">
        <v>95</v>
      </c>
    </row>
    <row r="97" spans="1:1" x14ac:dyDescent="0.3">
      <c r="A97" s="62">
        <v>96</v>
      </c>
    </row>
    <row r="98" spans="1:1" x14ac:dyDescent="0.3">
      <c r="A98" s="62">
        <v>97</v>
      </c>
    </row>
    <row r="99" spans="1:1" x14ac:dyDescent="0.3">
      <c r="A99" s="62">
        <v>98</v>
      </c>
    </row>
    <row r="100" spans="1:1" x14ac:dyDescent="0.3">
      <c r="A100" s="62">
        <v>99</v>
      </c>
    </row>
    <row r="101" spans="1:1" x14ac:dyDescent="0.3">
      <c r="A101" s="62">
        <v>100</v>
      </c>
    </row>
    <row r="102" spans="1:1" x14ac:dyDescent="0.3">
      <c r="A102" s="62">
        <v>101</v>
      </c>
    </row>
    <row r="103" spans="1:1" x14ac:dyDescent="0.3">
      <c r="A103" s="62">
        <v>102</v>
      </c>
    </row>
    <row r="104" spans="1:1" x14ac:dyDescent="0.3">
      <c r="A104" s="62">
        <v>103</v>
      </c>
    </row>
    <row r="105" spans="1:1" x14ac:dyDescent="0.3">
      <c r="A105" s="62">
        <v>104</v>
      </c>
    </row>
    <row r="106" spans="1:1" x14ac:dyDescent="0.3">
      <c r="A106" s="62">
        <v>105</v>
      </c>
    </row>
    <row r="107" spans="1:1" x14ac:dyDescent="0.3">
      <c r="A107" s="62">
        <v>106</v>
      </c>
    </row>
    <row r="108" spans="1:1" x14ac:dyDescent="0.3">
      <c r="A108" s="62">
        <v>107</v>
      </c>
    </row>
    <row r="109" spans="1:1" x14ac:dyDescent="0.3">
      <c r="A109" s="62">
        <v>108</v>
      </c>
    </row>
    <row r="110" spans="1:1" x14ac:dyDescent="0.3">
      <c r="A110" s="62">
        <v>109</v>
      </c>
    </row>
    <row r="111" spans="1:1" x14ac:dyDescent="0.3">
      <c r="A111" s="62">
        <v>110</v>
      </c>
    </row>
    <row r="112" spans="1:1" x14ac:dyDescent="0.3">
      <c r="A112" s="62">
        <v>111</v>
      </c>
    </row>
    <row r="113" spans="1:1" x14ac:dyDescent="0.3">
      <c r="A113" s="62">
        <v>112</v>
      </c>
    </row>
    <row r="114" spans="1:1" x14ac:dyDescent="0.3">
      <c r="A114" s="62">
        <v>113</v>
      </c>
    </row>
  </sheetData>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39C8A-1304-4C6F-A8B5-E558273B9073}">
  <sheetPr>
    <tabColor rgb="FFFAE9A5"/>
  </sheetPr>
  <dimension ref="A1:M31"/>
  <sheetViews>
    <sheetView topLeftCell="A15" zoomScale="96" workbookViewId="0">
      <selection activeCell="B17" sqref="B17"/>
    </sheetView>
  </sheetViews>
  <sheetFormatPr defaultColWidth="10.88671875" defaultRowHeight="14.4" x14ac:dyDescent="0.3"/>
  <cols>
    <col min="1" max="1" width="12.6640625" customWidth="1"/>
    <col min="2" max="2" width="31.109375" customWidth="1"/>
    <col min="3" max="3" width="12.109375" customWidth="1"/>
    <col min="4" max="4" width="48.44140625" customWidth="1"/>
    <col min="5" max="7" width="6.109375" customWidth="1"/>
    <col min="8" max="8" width="33.109375" customWidth="1"/>
  </cols>
  <sheetData>
    <row r="1" spans="1:9" ht="24" x14ac:dyDescent="0.3">
      <c r="A1" s="34" t="s">
        <v>133</v>
      </c>
      <c r="B1" s="37" t="s">
        <v>1</v>
      </c>
      <c r="C1" s="37" t="s">
        <v>2</v>
      </c>
      <c r="D1" s="48" t="s">
        <v>3</v>
      </c>
      <c r="E1" s="761" t="s">
        <v>4</v>
      </c>
      <c r="F1" s="761"/>
      <c r="G1" s="761"/>
      <c r="H1" s="760" t="s">
        <v>1956</v>
      </c>
    </row>
    <row r="2" spans="1:9" ht="24" x14ac:dyDescent="0.3">
      <c r="A2" s="34" t="s">
        <v>133</v>
      </c>
      <c r="B2" s="37" t="s">
        <v>1</v>
      </c>
      <c r="C2" s="37" t="s">
        <v>2</v>
      </c>
      <c r="D2" s="37" t="s">
        <v>3</v>
      </c>
      <c r="E2" s="49" t="s">
        <v>6</v>
      </c>
      <c r="F2" s="49" t="s">
        <v>7</v>
      </c>
      <c r="G2" s="50" t="s">
        <v>8</v>
      </c>
      <c r="H2" s="761"/>
    </row>
    <row r="3" spans="1:9" ht="24" x14ac:dyDescent="0.3">
      <c r="A3" s="29" t="s">
        <v>1957</v>
      </c>
      <c r="B3" s="38" t="s">
        <v>1958</v>
      </c>
      <c r="C3" s="38"/>
      <c r="D3" s="38"/>
      <c r="E3" s="38"/>
      <c r="F3" s="38"/>
      <c r="G3" s="39"/>
      <c r="H3" s="38"/>
    </row>
    <row r="4" spans="1:9" ht="24" x14ac:dyDescent="0.3">
      <c r="A4" s="35"/>
      <c r="B4" s="46" t="s">
        <v>1959</v>
      </c>
      <c r="C4" s="47"/>
      <c r="D4" s="47"/>
      <c r="E4" s="47"/>
      <c r="F4" s="47"/>
      <c r="G4" s="47"/>
      <c r="H4" s="58" t="s">
        <v>1960</v>
      </c>
      <c r="I4" s="57"/>
    </row>
    <row r="5" spans="1:9" s="32" customFormat="1" ht="72" x14ac:dyDescent="0.3">
      <c r="A5" s="14"/>
      <c r="B5" s="36" t="s">
        <v>1961</v>
      </c>
      <c r="C5" s="36"/>
      <c r="D5" s="36" t="s">
        <v>1962</v>
      </c>
      <c r="E5" s="36"/>
      <c r="F5" s="36"/>
      <c r="G5" s="40"/>
      <c r="H5" s="42"/>
    </row>
    <row r="6" spans="1:9" s="32" customFormat="1" ht="24" x14ac:dyDescent="0.3">
      <c r="A6" s="14"/>
      <c r="B6" s="14" t="s">
        <v>1963</v>
      </c>
      <c r="C6" s="14"/>
      <c r="D6" s="14" t="s">
        <v>1964</v>
      </c>
      <c r="E6" s="14"/>
      <c r="F6" s="14"/>
      <c r="G6" s="31"/>
      <c r="H6" s="43"/>
    </row>
    <row r="7" spans="1:9" s="32" customFormat="1" ht="48" x14ac:dyDescent="0.3">
      <c r="A7" s="14"/>
      <c r="B7" s="14" t="s">
        <v>1965</v>
      </c>
      <c r="C7" s="14"/>
      <c r="D7" s="14" t="s">
        <v>1966</v>
      </c>
      <c r="E7" s="14"/>
      <c r="F7" s="14"/>
      <c r="G7" s="31"/>
      <c r="H7" s="43"/>
    </row>
    <row r="8" spans="1:9" s="32" customFormat="1" ht="48" x14ac:dyDescent="0.3">
      <c r="A8" s="14"/>
      <c r="B8" s="14" t="s">
        <v>1967</v>
      </c>
      <c r="C8" s="14"/>
      <c r="D8" s="14" t="s">
        <v>1968</v>
      </c>
      <c r="E8" s="14"/>
      <c r="F8" s="14"/>
      <c r="G8" s="31"/>
      <c r="H8" s="42"/>
    </row>
    <row r="9" spans="1:9" s="32" customFormat="1" ht="48" x14ac:dyDescent="0.3">
      <c r="A9" s="14"/>
      <c r="B9" s="14" t="s">
        <v>1969</v>
      </c>
      <c r="C9" s="14"/>
      <c r="D9" s="14" t="s">
        <v>1970</v>
      </c>
      <c r="E9" s="14"/>
      <c r="F9" s="14"/>
      <c r="G9" s="31"/>
      <c r="H9" s="43"/>
    </row>
    <row r="10" spans="1:9" s="32" customFormat="1" ht="24" x14ac:dyDescent="0.3">
      <c r="A10" s="14"/>
      <c r="B10" s="14" t="s">
        <v>1971</v>
      </c>
      <c r="C10" s="14"/>
      <c r="D10" s="14"/>
      <c r="E10" s="14"/>
      <c r="F10" s="14"/>
      <c r="G10" s="31"/>
      <c r="H10" s="43"/>
    </row>
    <row r="11" spans="1:9" s="32" customFormat="1" ht="24" x14ac:dyDescent="0.3">
      <c r="A11" s="14"/>
      <c r="B11" s="14" t="s">
        <v>1972</v>
      </c>
      <c r="C11" s="14"/>
      <c r="D11" s="14" t="s">
        <v>1973</v>
      </c>
      <c r="E11" s="14"/>
      <c r="F11" s="14"/>
      <c r="G11" s="31"/>
      <c r="H11" s="43"/>
    </row>
    <row r="12" spans="1:9" s="32" customFormat="1" ht="24" x14ac:dyDescent="0.3">
      <c r="A12" s="14"/>
      <c r="B12" s="14" t="s">
        <v>1974</v>
      </c>
      <c r="C12" s="14"/>
      <c r="D12" s="14" t="s">
        <v>1975</v>
      </c>
      <c r="E12" s="14"/>
      <c r="F12" s="14"/>
      <c r="G12" s="31"/>
      <c r="H12" s="43"/>
    </row>
    <row r="13" spans="1:9" s="32" customFormat="1" ht="48" x14ac:dyDescent="0.3">
      <c r="A13" s="14"/>
      <c r="B13" s="14" t="s">
        <v>1976</v>
      </c>
      <c r="C13" s="14"/>
      <c r="D13" s="14" t="s">
        <v>1968</v>
      </c>
      <c r="E13" s="14"/>
      <c r="F13" s="14"/>
      <c r="G13" s="31"/>
      <c r="H13" s="43"/>
    </row>
    <row r="14" spans="1:9" s="32" customFormat="1" ht="24" x14ac:dyDescent="0.3">
      <c r="A14" s="14"/>
      <c r="B14" s="14" t="s">
        <v>1977</v>
      </c>
      <c r="C14" s="14"/>
      <c r="D14" s="14" t="s">
        <v>1978</v>
      </c>
      <c r="E14" s="14"/>
      <c r="F14" s="14"/>
      <c r="G14" s="31"/>
      <c r="H14" s="43"/>
    </row>
    <row r="15" spans="1:9" s="32" customFormat="1" ht="62.25" customHeight="1" x14ac:dyDescent="0.3">
      <c r="A15" s="14"/>
      <c r="B15" s="14" t="s">
        <v>1979</v>
      </c>
      <c r="C15" s="14" t="s">
        <v>336</v>
      </c>
      <c r="D15" s="14" t="s">
        <v>1970</v>
      </c>
      <c r="E15" s="14"/>
      <c r="F15" s="14"/>
      <c r="G15" s="31"/>
      <c r="H15" s="43"/>
    </row>
    <row r="16" spans="1:9" s="32" customFormat="1" ht="48" x14ac:dyDescent="0.3">
      <c r="A16" s="14"/>
      <c r="B16" s="14" t="s">
        <v>1980</v>
      </c>
      <c r="C16" s="14" t="s">
        <v>336</v>
      </c>
      <c r="D16" s="14" t="s">
        <v>1981</v>
      </c>
      <c r="E16" s="14"/>
      <c r="F16" s="14"/>
      <c r="G16" s="31"/>
      <c r="H16" s="43"/>
    </row>
    <row r="17" spans="1:13" s="32" customFormat="1" ht="48" x14ac:dyDescent="0.3">
      <c r="A17" s="14"/>
      <c r="B17" s="14" t="s">
        <v>1982</v>
      </c>
      <c r="C17" s="14" t="s">
        <v>336</v>
      </c>
      <c r="D17" s="14" t="s">
        <v>1983</v>
      </c>
      <c r="E17" s="14"/>
      <c r="F17" s="14"/>
      <c r="G17" s="31"/>
      <c r="H17" s="43"/>
    </row>
    <row r="18" spans="1:13" s="32" customFormat="1" ht="63.75" customHeight="1" x14ac:dyDescent="0.3">
      <c r="A18" s="14"/>
      <c r="B18" s="14" t="s">
        <v>1984</v>
      </c>
      <c r="C18" s="14" t="s">
        <v>336</v>
      </c>
      <c r="D18" s="14" t="s">
        <v>1985</v>
      </c>
      <c r="E18" s="14"/>
      <c r="F18" s="14"/>
      <c r="G18" s="31"/>
      <c r="H18" s="43"/>
    </row>
    <row r="19" spans="1:13" s="32" customFormat="1" ht="48" x14ac:dyDescent="0.3">
      <c r="A19" s="14"/>
      <c r="B19" s="30" t="s">
        <v>1986</v>
      </c>
      <c r="C19" s="30"/>
      <c r="D19" s="14" t="s">
        <v>1987</v>
      </c>
      <c r="E19" s="30"/>
      <c r="F19" s="30"/>
      <c r="G19" s="41"/>
      <c r="H19" s="43"/>
    </row>
    <row r="20" spans="1:13" s="32" customFormat="1" ht="51.75" customHeight="1" x14ac:dyDescent="0.3">
      <c r="A20" s="31"/>
      <c r="B20" s="14" t="s">
        <v>1988</v>
      </c>
      <c r="C20" s="14"/>
      <c r="D20" s="14" t="s">
        <v>1989</v>
      </c>
      <c r="E20" s="14"/>
      <c r="F20" s="14"/>
      <c r="G20" s="31"/>
      <c r="H20" s="43"/>
    </row>
    <row r="21" spans="1:13" s="32" customFormat="1" ht="24" x14ac:dyDescent="0.3">
      <c r="A21" s="41"/>
      <c r="B21" s="30" t="s">
        <v>1990</v>
      </c>
      <c r="C21" s="30"/>
      <c r="D21" s="30" t="s">
        <v>1991</v>
      </c>
      <c r="E21" s="30"/>
      <c r="F21" s="30"/>
      <c r="G21" s="41"/>
      <c r="H21" s="51"/>
    </row>
    <row r="22" spans="1:13" s="32" customFormat="1" ht="72" x14ac:dyDescent="0.3">
      <c r="A22" s="14"/>
      <c r="B22" s="14" t="s">
        <v>1992</v>
      </c>
      <c r="C22" s="14"/>
      <c r="D22" s="14" t="s">
        <v>1993</v>
      </c>
      <c r="E22" s="14"/>
      <c r="F22" s="14"/>
      <c r="G22" s="14"/>
      <c r="H22" s="43"/>
    </row>
    <row r="23" spans="1:13" s="32" customFormat="1" ht="24" x14ac:dyDescent="0.3">
      <c r="A23" s="14"/>
      <c r="B23" s="14" t="s">
        <v>1994</v>
      </c>
      <c r="C23" s="14"/>
      <c r="D23" s="14" t="s">
        <v>1995</v>
      </c>
      <c r="E23" s="14"/>
      <c r="F23" s="14"/>
      <c r="G23" s="14"/>
      <c r="H23" s="43"/>
    </row>
    <row r="24" spans="1:13" s="32" customFormat="1" ht="24.9" customHeight="1" x14ac:dyDescent="0.3">
      <c r="A24" s="52"/>
      <c r="B24" s="56" t="s">
        <v>1996</v>
      </c>
      <c r="C24" s="53"/>
      <c r="D24" s="53"/>
      <c r="E24" s="53"/>
      <c r="F24" s="53"/>
      <c r="G24" s="53"/>
      <c r="H24" s="54"/>
    </row>
    <row r="25" spans="1:13" s="32" customFormat="1" ht="24" x14ac:dyDescent="0.3">
      <c r="A25" s="14"/>
      <c r="B25" s="14" t="s">
        <v>1997</v>
      </c>
      <c r="C25" s="14"/>
      <c r="D25" s="14" t="s">
        <v>1998</v>
      </c>
      <c r="E25" s="14"/>
      <c r="F25" s="14"/>
      <c r="G25" s="31"/>
      <c r="H25" s="43"/>
    </row>
    <row r="26" spans="1:13" s="32" customFormat="1" ht="24" x14ac:dyDescent="0.65">
      <c r="A26" s="14"/>
      <c r="B26" s="55" t="s">
        <v>1999</v>
      </c>
      <c r="C26" s="14"/>
      <c r="D26" s="14" t="s">
        <v>1998</v>
      </c>
      <c r="E26" s="14"/>
      <c r="F26" s="14"/>
      <c r="G26" s="31"/>
      <c r="H26" s="43"/>
    </row>
    <row r="27" spans="1:13" s="32" customFormat="1" ht="24" x14ac:dyDescent="0.3">
      <c r="A27" s="14"/>
      <c r="B27" s="14" t="s">
        <v>2000</v>
      </c>
      <c r="C27" s="14"/>
      <c r="D27" s="14" t="s">
        <v>1998</v>
      </c>
      <c r="E27" s="14"/>
      <c r="F27" s="14"/>
      <c r="G27" s="31"/>
      <c r="H27" s="43"/>
    </row>
    <row r="28" spans="1:13" s="32" customFormat="1" ht="24" x14ac:dyDescent="0.3">
      <c r="A28" s="52"/>
      <c r="B28" s="56" t="s">
        <v>2001</v>
      </c>
      <c r="C28" s="53"/>
      <c r="D28" s="53"/>
      <c r="E28" s="53"/>
      <c r="F28" s="53"/>
      <c r="G28" s="53"/>
      <c r="H28" s="54"/>
    </row>
    <row r="29" spans="1:13" s="32" customFormat="1" ht="24" x14ac:dyDescent="0.3">
      <c r="A29" s="14"/>
      <c r="B29" s="14" t="s">
        <v>2002</v>
      </c>
      <c r="C29" s="14"/>
      <c r="D29" s="14" t="s">
        <v>2003</v>
      </c>
      <c r="E29" s="14"/>
      <c r="F29" s="14"/>
      <c r="G29" s="31"/>
      <c r="H29" s="43"/>
    </row>
    <row r="30" spans="1:13" s="32" customFormat="1" ht="24" x14ac:dyDescent="0.3">
      <c r="A30" s="14"/>
      <c r="B30" s="14" t="s">
        <v>2004</v>
      </c>
      <c r="C30" s="14"/>
      <c r="D30" s="14" t="s">
        <v>2005</v>
      </c>
      <c r="E30" s="14"/>
      <c r="F30" s="14"/>
      <c r="G30" s="31"/>
      <c r="H30" s="43"/>
    </row>
    <row r="31" spans="1:13" ht="24" x14ac:dyDescent="0.3">
      <c r="A31" s="14"/>
      <c r="B31" s="14" t="s">
        <v>2006</v>
      </c>
      <c r="C31" s="14"/>
      <c r="D31" s="14" t="s">
        <v>2005</v>
      </c>
      <c r="E31" s="14"/>
      <c r="F31" s="14"/>
      <c r="G31" s="31"/>
      <c r="H31" s="43"/>
      <c r="I31" s="32"/>
      <c r="J31" s="32"/>
      <c r="K31" s="32"/>
      <c r="L31" s="32"/>
      <c r="M31" s="32"/>
    </row>
  </sheetData>
  <mergeCells count="2">
    <mergeCell ref="H1:H2"/>
    <mergeCell ref="E1:G1"/>
  </mergeCells>
  <hyperlinks>
    <hyperlink ref="H4" r:id="rId1" xr:uid="{97C5C366-4A23-4940-B3D9-ABFD1C525DAA}"/>
  </hyperlink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3FCC3-E30A-4447-AE9A-D1124165E483}">
  <dimension ref="A1"/>
  <sheetViews>
    <sheetView workbookViewId="0">
      <selection activeCell="M10" sqref="M10"/>
    </sheetView>
  </sheetViews>
  <sheetFormatPr defaultColWidth="8.88671875" defaultRowHeight="14.4" x14ac:dyDescent="0.3"/>
  <sheetData/>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E719C-230E-4FD9-BB9F-84200F0EEC94}">
  <dimension ref="A1"/>
  <sheetViews>
    <sheetView workbookViewId="0"/>
  </sheetViews>
  <sheetFormatPr defaultColWidth="8.88671875" defaultRowHeight="14.4" x14ac:dyDescent="0.3"/>
  <sheetData/>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5B93-85B5-493A-8986-314EBC7F151F}">
  <dimension ref="A1:H21"/>
  <sheetViews>
    <sheetView workbookViewId="0">
      <selection activeCell="B15" sqref="B15"/>
    </sheetView>
  </sheetViews>
  <sheetFormatPr defaultColWidth="10.88671875" defaultRowHeight="14.4" x14ac:dyDescent="0.3"/>
  <cols>
    <col min="1" max="1" width="10.88671875" style="61"/>
    <col min="2" max="2" width="38.6640625" style="64" customWidth="1"/>
    <col min="3" max="3" width="72.33203125" style="64" customWidth="1"/>
    <col min="4" max="6" width="10.88671875" style="64"/>
    <col min="7" max="7" width="39" style="64" customWidth="1"/>
    <col min="8" max="8" width="47.109375" style="64" customWidth="1"/>
    <col min="9" max="16384" width="10.88671875" style="64"/>
  </cols>
  <sheetData>
    <row r="1" spans="1:8" s="67" customFormat="1" x14ac:dyDescent="0.3">
      <c r="A1" s="66" t="s">
        <v>2007</v>
      </c>
      <c r="B1" s="66" t="s">
        <v>2008</v>
      </c>
      <c r="C1" s="66" t="s">
        <v>181</v>
      </c>
      <c r="G1" s="67" t="s">
        <v>2009</v>
      </c>
      <c r="H1" s="67" t="s">
        <v>2010</v>
      </c>
    </row>
    <row r="2" spans="1:8" x14ac:dyDescent="0.3">
      <c r="A2" s="61">
        <v>1</v>
      </c>
      <c r="B2" s="64" t="s">
        <v>2011</v>
      </c>
      <c r="G2" s="64" t="s">
        <v>2012</v>
      </c>
      <c r="H2" s="64" t="s">
        <v>2013</v>
      </c>
    </row>
    <row r="3" spans="1:8" x14ac:dyDescent="0.3">
      <c r="A3" s="61">
        <v>2</v>
      </c>
      <c r="B3" s="64" t="s">
        <v>2014</v>
      </c>
      <c r="G3" s="64" t="s">
        <v>2015</v>
      </c>
    </row>
    <row r="4" spans="1:8" x14ac:dyDescent="0.3">
      <c r="A4" s="61">
        <v>3</v>
      </c>
      <c r="B4" s="64" t="s">
        <v>2016</v>
      </c>
      <c r="C4" s="65" t="s">
        <v>2017</v>
      </c>
      <c r="G4" s="64" t="s">
        <v>2018</v>
      </c>
    </row>
    <row r="5" spans="1:8" x14ac:dyDescent="0.3">
      <c r="A5" s="61">
        <v>4</v>
      </c>
      <c r="B5" s="64" t="s">
        <v>2019</v>
      </c>
      <c r="C5" s="64" t="s">
        <v>2020</v>
      </c>
    </row>
    <row r="6" spans="1:8" x14ac:dyDescent="0.3">
      <c r="A6" s="61">
        <v>5</v>
      </c>
      <c r="B6" s="64" t="s">
        <v>2021</v>
      </c>
      <c r="C6" s="64" t="s">
        <v>2022</v>
      </c>
    </row>
    <row r="7" spans="1:8" x14ac:dyDescent="0.3">
      <c r="A7" s="61">
        <v>6</v>
      </c>
      <c r="B7" s="64" t="s">
        <v>2023</v>
      </c>
      <c r="C7" s="64" t="s">
        <v>2024</v>
      </c>
    </row>
    <row r="8" spans="1:8" x14ac:dyDescent="0.3">
      <c r="A8" s="61">
        <v>7</v>
      </c>
      <c r="B8" s="64" t="s">
        <v>2025</v>
      </c>
      <c r="C8" s="64" t="s">
        <v>2026</v>
      </c>
    </row>
    <row r="9" spans="1:8" x14ac:dyDescent="0.3">
      <c r="A9" s="61">
        <v>8</v>
      </c>
      <c r="B9" s="64" t="s">
        <v>2027</v>
      </c>
      <c r="C9" s="64" t="s">
        <v>2028</v>
      </c>
    </row>
    <row r="10" spans="1:8" x14ac:dyDescent="0.3">
      <c r="A10" s="61">
        <v>9</v>
      </c>
      <c r="B10" s="64" t="s">
        <v>2029</v>
      </c>
    </row>
    <row r="11" spans="1:8" x14ac:dyDescent="0.3">
      <c r="A11" s="61">
        <v>10</v>
      </c>
      <c r="B11" s="64" t="s">
        <v>2030</v>
      </c>
      <c r="C11" s="64" t="s">
        <v>2031</v>
      </c>
    </row>
    <row r="12" spans="1:8" x14ac:dyDescent="0.3">
      <c r="A12" s="61">
        <v>11</v>
      </c>
      <c r="B12" s="64" t="s">
        <v>2032</v>
      </c>
    </row>
    <row r="13" spans="1:8" x14ac:dyDescent="0.3">
      <c r="A13" s="61">
        <v>12</v>
      </c>
      <c r="B13" s="64" t="s">
        <v>2033</v>
      </c>
    </row>
    <row r="14" spans="1:8" x14ac:dyDescent="0.3">
      <c r="A14" s="61">
        <v>13</v>
      </c>
      <c r="B14" s="64" t="s">
        <v>2034</v>
      </c>
    </row>
    <row r="15" spans="1:8" ht="100.8" x14ac:dyDescent="0.3">
      <c r="A15" s="61">
        <v>14</v>
      </c>
      <c r="B15" s="64" t="s">
        <v>2033</v>
      </c>
      <c r="C15" s="64" t="s">
        <v>2035</v>
      </c>
    </row>
    <row r="16" spans="1:8" x14ac:dyDescent="0.3">
      <c r="A16" s="61">
        <v>15</v>
      </c>
    </row>
    <row r="17" spans="1:1" x14ac:dyDescent="0.3">
      <c r="A17" s="61">
        <v>16</v>
      </c>
    </row>
    <row r="18" spans="1:1" x14ac:dyDescent="0.3">
      <c r="A18" s="61">
        <v>17</v>
      </c>
    </row>
    <row r="19" spans="1:1" x14ac:dyDescent="0.3">
      <c r="A19" s="61">
        <v>18</v>
      </c>
    </row>
    <row r="20" spans="1:1" x14ac:dyDescent="0.3">
      <c r="A20" s="61">
        <v>19</v>
      </c>
    </row>
    <row r="21" spans="1:1" x14ac:dyDescent="0.3">
      <c r="A21" s="61">
        <v>20</v>
      </c>
    </row>
  </sheetData>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4FE72-81E9-0041-8E23-7082ECAE2C54}">
  <dimension ref="A1:C4"/>
  <sheetViews>
    <sheetView topLeftCell="A4" zoomScale="336" zoomScaleNormal="240" workbookViewId="0">
      <selection activeCell="J21" sqref="J21"/>
    </sheetView>
  </sheetViews>
  <sheetFormatPr defaultColWidth="11.44140625" defaultRowHeight="14.4" x14ac:dyDescent="0.3"/>
  <cols>
    <col min="2" max="2" width="44.109375" customWidth="1"/>
  </cols>
  <sheetData>
    <row r="1" spans="1:3" x14ac:dyDescent="0.3">
      <c r="A1" t="s">
        <v>2007</v>
      </c>
      <c r="B1" t="s">
        <v>2036</v>
      </c>
      <c r="C1" t="s">
        <v>1748</v>
      </c>
    </row>
    <row r="2" spans="1:3" x14ac:dyDescent="0.3">
      <c r="B2" t="s">
        <v>2037</v>
      </c>
    </row>
    <row r="3" spans="1:3" x14ac:dyDescent="0.3">
      <c r="B3" s="32" t="s">
        <v>2038</v>
      </c>
    </row>
    <row r="4" spans="1:3" x14ac:dyDescent="0.3">
      <c r="B4" t="s">
        <v>2039</v>
      </c>
    </row>
  </sheetData>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2975C-B314-4008-AA0A-296AB1CBDC7F}">
  <dimension ref="A1:L305"/>
  <sheetViews>
    <sheetView workbookViewId="0">
      <pane ySplit="1" topLeftCell="A46" activePane="bottomLeft" state="frozen"/>
      <selection pane="bottomLeft" activeCell="H57" sqref="H57"/>
    </sheetView>
  </sheetViews>
  <sheetFormatPr defaultColWidth="8.88671875" defaultRowHeight="14.4" x14ac:dyDescent="0.3"/>
  <cols>
    <col min="1" max="1" width="4.44140625" style="62" customWidth="1"/>
    <col min="2" max="2" width="10.44140625" style="63" bestFit="1" customWidth="1"/>
    <col min="3" max="3" width="18.6640625" style="63" customWidth="1"/>
    <col min="4" max="4" width="15" style="63" customWidth="1"/>
    <col min="5" max="7" width="16.33203125" style="63" customWidth="1"/>
    <col min="8" max="8" width="73" style="64" customWidth="1"/>
    <col min="9" max="10" width="14" style="63" customWidth="1"/>
    <col min="11" max="11" width="35.33203125" style="64" customWidth="1"/>
    <col min="12" max="16384" width="8.88671875" style="63"/>
  </cols>
  <sheetData>
    <row r="1" spans="1:12" s="62" customFormat="1" x14ac:dyDescent="0.3">
      <c r="A1" s="106" t="s">
        <v>2040</v>
      </c>
      <c r="B1" s="106" t="s">
        <v>2041</v>
      </c>
      <c r="C1" s="106" t="s">
        <v>2042</v>
      </c>
      <c r="D1" s="106" t="s">
        <v>2043</v>
      </c>
      <c r="E1" s="106" t="s">
        <v>2044</v>
      </c>
      <c r="F1" s="106" t="s">
        <v>2045</v>
      </c>
      <c r="G1" s="106" t="s">
        <v>2046</v>
      </c>
      <c r="H1" s="107" t="s">
        <v>2047</v>
      </c>
      <c r="I1" s="106" t="s">
        <v>2048</v>
      </c>
      <c r="J1" s="106" t="s">
        <v>685</v>
      </c>
      <c r="K1" s="107" t="s">
        <v>1752</v>
      </c>
    </row>
    <row r="2" spans="1:12" ht="43.2" x14ac:dyDescent="0.3">
      <c r="A2" s="108">
        <v>1</v>
      </c>
      <c r="B2" s="109">
        <v>46156</v>
      </c>
      <c r="C2" s="110" t="s">
        <v>2049</v>
      </c>
      <c r="D2" s="110" t="s">
        <v>2050</v>
      </c>
      <c r="E2" s="110"/>
      <c r="F2" s="110"/>
      <c r="G2" s="110" t="s">
        <v>1516</v>
      </c>
      <c r="H2" s="111" t="s">
        <v>2051</v>
      </c>
      <c r="I2" s="110" t="s">
        <v>1760</v>
      </c>
      <c r="J2" s="110" t="s">
        <v>1773</v>
      </c>
      <c r="K2" s="111" t="s">
        <v>2052</v>
      </c>
    </row>
    <row r="3" spans="1:12" ht="43.2" x14ac:dyDescent="0.3">
      <c r="A3" s="108">
        <v>2</v>
      </c>
      <c r="B3" s="110"/>
      <c r="C3" s="110" t="s">
        <v>2049</v>
      </c>
      <c r="D3" s="110"/>
      <c r="E3" s="110"/>
      <c r="F3" s="110"/>
      <c r="G3" s="110" t="s">
        <v>1540</v>
      </c>
      <c r="H3" s="111" t="s">
        <v>2053</v>
      </c>
      <c r="I3" s="110" t="s">
        <v>1760</v>
      </c>
      <c r="J3" s="110" t="s">
        <v>1773</v>
      </c>
      <c r="K3" s="111" t="s">
        <v>2054</v>
      </c>
    </row>
    <row r="4" spans="1:12" ht="28.8" x14ac:dyDescent="0.3">
      <c r="A4" s="108">
        <v>3</v>
      </c>
      <c r="B4" s="110"/>
      <c r="C4" s="110" t="s">
        <v>2049</v>
      </c>
      <c r="D4" s="110"/>
      <c r="E4" s="110"/>
      <c r="F4" s="110"/>
      <c r="G4" s="110" t="s">
        <v>1516</v>
      </c>
      <c r="H4" s="111" t="s">
        <v>2055</v>
      </c>
      <c r="I4" s="110" t="s">
        <v>1823</v>
      </c>
      <c r="J4" s="110" t="s">
        <v>1773</v>
      </c>
      <c r="K4" s="111" t="s">
        <v>2056</v>
      </c>
    </row>
    <row r="5" spans="1:12" ht="43.2" x14ac:dyDescent="0.3">
      <c r="A5" s="108">
        <v>4</v>
      </c>
      <c r="B5" s="110"/>
      <c r="C5" s="110" t="s">
        <v>2049</v>
      </c>
      <c r="D5" s="110"/>
      <c r="E5" s="110"/>
      <c r="F5" s="110"/>
      <c r="G5" s="110" t="s">
        <v>1516</v>
      </c>
      <c r="H5" s="111" t="s">
        <v>2057</v>
      </c>
      <c r="I5" s="110"/>
      <c r="J5" s="110"/>
      <c r="K5" s="111" t="s">
        <v>2058</v>
      </c>
    </row>
    <row r="6" spans="1:12" ht="28.8" x14ac:dyDescent="0.3">
      <c r="A6" s="108">
        <v>5</v>
      </c>
      <c r="B6" s="110"/>
      <c r="C6" s="110" t="s">
        <v>2049</v>
      </c>
      <c r="D6" s="110"/>
      <c r="E6" s="110"/>
      <c r="F6" s="110"/>
      <c r="G6" s="110" t="s">
        <v>2059</v>
      </c>
      <c r="H6" s="111" t="s">
        <v>2060</v>
      </c>
      <c r="I6" s="110" t="s">
        <v>1760</v>
      </c>
      <c r="J6" s="110" t="s">
        <v>1773</v>
      </c>
      <c r="K6" s="111" t="s">
        <v>2061</v>
      </c>
    </row>
    <row r="7" spans="1:12" ht="32.25" customHeight="1" x14ac:dyDescent="0.3">
      <c r="A7" s="108">
        <v>6</v>
      </c>
      <c r="B7" s="110"/>
      <c r="C7" s="110" t="s">
        <v>2049</v>
      </c>
      <c r="D7" s="110"/>
      <c r="E7" s="110"/>
      <c r="F7" s="110"/>
      <c r="G7" s="110" t="s">
        <v>2062</v>
      </c>
      <c r="H7" s="111" t="s">
        <v>2063</v>
      </c>
      <c r="I7" s="110" t="s">
        <v>1756</v>
      </c>
      <c r="J7" s="110" t="s">
        <v>1773</v>
      </c>
      <c r="K7" s="111" t="s">
        <v>2064</v>
      </c>
    </row>
    <row r="8" spans="1:12" ht="28.8" x14ac:dyDescent="0.3">
      <c r="A8" s="108">
        <v>7</v>
      </c>
      <c r="B8" s="110"/>
      <c r="C8" s="110" t="s">
        <v>2049</v>
      </c>
      <c r="D8" s="110"/>
      <c r="E8" s="110"/>
      <c r="F8" s="110"/>
      <c r="G8" s="110" t="s">
        <v>2062</v>
      </c>
      <c r="H8" s="111" t="s">
        <v>2065</v>
      </c>
      <c r="I8" s="110" t="s">
        <v>1760</v>
      </c>
      <c r="J8" s="110" t="s">
        <v>2066</v>
      </c>
      <c r="K8" s="111" t="s">
        <v>2067</v>
      </c>
    </row>
    <row r="9" spans="1:12" x14ac:dyDescent="0.3">
      <c r="A9" s="108">
        <v>8</v>
      </c>
      <c r="B9" s="110"/>
      <c r="C9" s="110" t="s">
        <v>2049</v>
      </c>
      <c r="D9" s="110"/>
      <c r="E9" s="110"/>
      <c r="F9" s="110"/>
      <c r="G9" s="110" t="s">
        <v>2062</v>
      </c>
      <c r="H9" s="111" t="s">
        <v>2068</v>
      </c>
      <c r="I9" s="110" t="s">
        <v>1797</v>
      </c>
      <c r="J9" s="110" t="s">
        <v>2066</v>
      </c>
      <c r="K9" s="111" t="s">
        <v>1755</v>
      </c>
      <c r="L9" s="63" t="s">
        <v>2069</v>
      </c>
    </row>
    <row r="10" spans="1:12" ht="28.8" x14ac:dyDescent="0.3">
      <c r="A10" s="108">
        <v>9</v>
      </c>
      <c r="B10" s="110"/>
      <c r="C10" s="110" t="s">
        <v>2049</v>
      </c>
      <c r="D10" s="110"/>
      <c r="E10" s="110"/>
      <c r="F10" s="110"/>
      <c r="G10" s="110" t="s">
        <v>2070</v>
      </c>
      <c r="H10" s="111" t="s">
        <v>2071</v>
      </c>
      <c r="I10" s="110"/>
      <c r="J10" s="110" t="s">
        <v>2066</v>
      </c>
      <c r="K10" s="111"/>
      <c r="L10" s="63" t="s">
        <v>2072</v>
      </c>
    </row>
    <row r="11" spans="1:12" x14ac:dyDescent="0.3">
      <c r="A11" s="108">
        <v>10</v>
      </c>
      <c r="B11" s="110"/>
      <c r="C11" s="110" t="s">
        <v>2049</v>
      </c>
      <c r="D11" s="110"/>
      <c r="E11" s="110"/>
      <c r="F11" s="110"/>
      <c r="G11" s="110"/>
      <c r="H11" s="111" t="s">
        <v>2073</v>
      </c>
      <c r="I11" s="110" t="s">
        <v>1823</v>
      </c>
      <c r="J11" s="110" t="s">
        <v>1773</v>
      </c>
      <c r="K11" s="111" t="s">
        <v>2074</v>
      </c>
    </row>
    <row r="12" spans="1:12" ht="53.25" customHeight="1" x14ac:dyDescent="0.3">
      <c r="A12" s="108">
        <v>11</v>
      </c>
      <c r="B12" s="110"/>
      <c r="C12" s="110" t="s">
        <v>2049</v>
      </c>
      <c r="D12" s="110"/>
      <c r="E12" s="110"/>
      <c r="F12" s="110"/>
      <c r="G12" s="110" t="s">
        <v>2075</v>
      </c>
      <c r="H12" s="111" t="s">
        <v>2076</v>
      </c>
      <c r="I12" s="110" t="s">
        <v>1760</v>
      </c>
      <c r="J12" s="110" t="s">
        <v>2066</v>
      </c>
      <c r="K12" s="111" t="s">
        <v>1755</v>
      </c>
      <c r="L12" s="63" t="s">
        <v>2077</v>
      </c>
    </row>
    <row r="13" spans="1:12" ht="83.25" customHeight="1" x14ac:dyDescent="0.3">
      <c r="A13" s="108">
        <v>12</v>
      </c>
      <c r="B13" s="110"/>
      <c r="C13" s="110" t="s">
        <v>2049</v>
      </c>
      <c r="D13" s="110"/>
      <c r="E13" s="110"/>
      <c r="F13" s="110"/>
      <c r="G13" s="110"/>
      <c r="H13" s="111" t="s">
        <v>2078</v>
      </c>
      <c r="I13" s="110"/>
      <c r="J13" s="110"/>
      <c r="K13" s="111" t="s">
        <v>2079</v>
      </c>
    </row>
    <row r="14" spans="1:12" ht="68.25" customHeight="1" x14ac:dyDescent="0.3">
      <c r="A14" s="108">
        <v>13</v>
      </c>
      <c r="B14" s="110"/>
      <c r="C14" s="110" t="s">
        <v>2049</v>
      </c>
      <c r="D14" s="110"/>
      <c r="E14" s="110"/>
      <c r="F14" s="110"/>
      <c r="G14" s="110"/>
      <c r="H14" s="111" t="s">
        <v>2080</v>
      </c>
      <c r="I14" s="110"/>
      <c r="J14" s="110"/>
      <c r="K14" s="111" t="s">
        <v>2081</v>
      </c>
    </row>
    <row r="15" spans="1:12" x14ac:dyDescent="0.3">
      <c r="A15" s="108">
        <v>14</v>
      </c>
      <c r="B15" s="109">
        <v>46156</v>
      </c>
      <c r="C15" s="110" t="s">
        <v>2082</v>
      </c>
      <c r="D15" s="110"/>
      <c r="E15" s="110"/>
      <c r="F15" s="110"/>
      <c r="G15" s="110"/>
      <c r="H15" s="111" t="s">
        <v>2083</v>
      </c>
      <c r="I15" s="110" t="s">
        <v>1797</v>
      </c>
      <c r="J15" s="110" t="s">
        <v>1773</v>
      </c>
      <c r="K15" s="111"/>
    </row>
    <row r="16" spans="1:12" x14ac:dyDescent="0.3">
      <c r="A16" s="108">
        <v>15</v>
      </c>
      <c r="B16" s="109">
        <v>46156</v>
      </c>
      <c r="C16" s="110" t="s">
        <v>2082</v>
      </c>
      <c r="D16" s="110"/>
      <c r="E16" s="110"/>
      <c r="F16" s="110"/>
      <c r="G16" s="110"/>
      <c r="H16" s="111" t="s">
        <v>2084</v>
      </c>
      <c r="I16" s="110" t="s">
        <v>1823</v>
      </c>
      <c r="J16" s="110" t="s">
        <v>1773</v>
      </c>
      <c r="K16" s="111"/>
    </row>
    <row r="17" spans="1:11" x14ac:dyDescent="0.3">
      <c r="A17" s="108">
        <v>16</v>
      </c>
      <c r="B17" s="109">
        <v>46156</v>
      </c>
      <c r="C17" s="110" t="s">
        <v>2082</v>
      </c>
      <c r="D17" s="110"/>
      <c r="E17" s="110"/>
      <c r="F17" s="110"/>
      <c r="G17" s="110"/>
      <c r="H17" s="111" t="s">
        <v>2085</v>
      </c>
      <c r="I17" s="110" t="s">
        <v>1797</v>
      </c>
      <c r="J17" s="110" t="s">
        <v>2086</v>
      </c>
      <c r="K17" s="111"/>
    </row>
    <row r="18" spans="1:11" ht="28.8" x14ac:dyDescent="0.3">
      <c r="A18" s="108">
        <v>17</v>
      </c>
      <c r="B18" s="109">
        <v>46156</v>
      </c>
      <c r="C18" s="110" t="s">
        <v>2082</v>
      </c>
      <c r="D18" s="110"/>
      <c r="E18" s="110"/>
      <c r="F18" s="110"/>
      <c r="G18" s="110"/>
      <c r="H18" s="111" t="s">
        <v>2087</v>
      </c>
      <c r="I18" s="110" t="s">
        <v>1756</v>
      </c>
      <c r="J18" s="110" t="s">
        <v>1773</v>
      </c>
      <c r="K18" s="111"/>
    </row>
    <row r="19" spans="1:11" ht="43.2" x14ac:dyDescent="0.3">
      <c r="A19" s="108">
        <v>18</v>
      </c>
      <c r="B19" s="110"/>
      <c r="C19" s="110"/>
      <c r="D19" s="110"/>
      <c r="E19" s="110"/>
      <c r="F19" s="110"/>
      <c r="G19" s="110" t="s">
        <v>2088</v>
      </c>
      <c r="H19" s="111" t="s">
        <v>2089</v>
      </c>
      <c r="I19" s="110" t="s">
        <v>1797</v>
      </c>
      <c r="J19" s="110" t="s">
        <v>2066</v>
      </c>
      <c r="K19" s="139" t="s">
        <v>2090</v>
      </c>
    </row>
    <row r="20" spans="1:11" x14ac:dyDescent="0.3">
      <c r="A20" s="108">
        <v>19</v>
      </c>
      <c r="B20" s="110"/>
      <c r="C20" s="110"/>
      <c r="D20" s="110"/>
      <c r="E20" s="110"/>
      <c r="F20" s="110"/>
      <c r="G20" s="110" t="s">
        <v>2091</v>
      </c>
      <c r="H20" s="111" t="s">
        <v>2092</v>
      </c>
      <c r="I20" s="110" t="s">
        <v>1797</v>
      </c>
      <c r="J20" s="110" t="s">
        <v>2066</v>
      </c>
      <c r="K20" s="111"/>
    </row>
    <row r="21" spans="1:11" ht="28.8" x14ac:dyDescent="0.3">
      <c r="A21" s="108">
        <v>20</v>
      </c>
      <c r="B21" s="110"/>
      <c r="C21" s="110"/>
      <c r="D21" s="110"/>
      <c r="E21" s="110"/>
      <c r="F21" s="110"/>
      <c r="G21" s="110" t="s">
        <v>2093</v>
      </c>
      <c r="H21" s="111" t="s">
        <v>2094</v>
      </c>
      <c r="I21" s="110" t="s">
        <v>1760</v>
      </c>
      <c r="J21" s="110" t="s">
        <v>2066</v>
      </c>
      <c r="K21" s="111"/>
    </row>
    <row r="22" spans="1:11" x14ac:dyDescent="0.3">
      <c r="A22" s="108">
        <v>21</v>
      </c>
      <c r="B22" s="110"/>
      <c r="C22" s="110"/>
      <c r="D22" s="110"/>
      <c r="E22" s="110"/>
      <c r="F22" s="110"/>
      <c r="G22" s="110" t="s">
        <v>2091</v>
      </c>
      <c r="H22" s="111" t="s">
        <v>2095</v>
      </c>
      <c r="I22" s="110" t="s">
        <v>1823</v>
      </c>
      <c r="J22" s="110" t="s">
        <v>2066</v>
      </c>
      <c r="K22" s="111"/>
    </row>
    <row r="23" spans="1:11" x14ac:dyDescent="0.3">
      <c r="A23" s="108">
        <v>22</v>
      </c>
      <c r="B23" s="109">
        <v>46156</v>
      </c>
      <c r="C23" s="110" t="s">
        <v>2082</v>
      </c>
      <c r="D23" s="110"/>
      <c r="E23" s="110"/>
      <c r="F23" s="110"/>
      <c r="G23" s="110" t="s">
        <v>2062</v>
      </c>
      <c r="H23" s="111" t="s">
        <v>2096</v>
      </c>
      <c r="I23" s="110" t="s">
        <v>1760</v>
      </c>
      <c r="J23" s="110" t="s">
        <v>2066</v>
      </c>
      <c r="K23" s="111"/>
    </row>
    <row r="24" spans="1:11" x14ac:dyDescent="0.3">
      <c r="A24" s="108">
        <v>23</v>
      </c>
      <c r="B24" s="109">
        <v>46156</v>
      </c>
      <c r="C24" s="110" t="s">
        <v>2082</v>
      </c>
      <c r="D24" s="110"/>
      <c r="E24" s="110"/>
      <c r="F24" s="110"/>
      <c r="G24" s="110"/>
      <c r="H24" s="111" t="s">
        <v>2097</v>
      </c>
      <c r="I24" s="110" t="s">
        <v>1823</v>
      </c>
      <c r="J24" s="110" t="s">
        <v>1773</v>
      </c>
      <c r="K24" s="111"/>
    </row>
    <row r="25" spans="1:11" x14ac:dyDescent="0.3">
      <c r="A25" s="108">
        <v>24</v>
      </c>
      <c r="B25" s="109">
        <v>46156</v>
      </c>
      <c r="C25" s="110" t="s">
        <v>2082</v>
      </c>
      <c r="D25" s="110"/>
      <c r="E25" s="110"/>
      <c r="F25" s="110"/>
      <c r="G25" s="110"/>
      <c r="H25" s="111" t="s">
        <v>2098</v>
      </c>
      <c r="I25" s="110" t="s">
        <v>1756</v>
      </c>
      <c r="J25" s="110" t="s">
        <v>1773</v>
      </c>
      <c r="K25" s="111"/>
    </row>
    <row r="26" spans="1:11" ht="28.8" x14ac:dyDescent="0.3">
      <c r="A26" s="108">
        <v>25</v>
      </c>
      <c r="B26" s="110"/>
      <c r="C26" s="110"/>
      <c r="D26" s="110"/>
      <c r="E26" s="110"/>
      <c r="F26" s="110"/>
      <c r="G26" s="110"/>
      <c r="H26" s="111" t="s">
        <v>2099</v>
      </c>
      <c r="I26" s="110" t="s">
        <v>1756</v>
      </c>
      <c r="J26" s="110" t="s">
        <v>1773</v>
      </c>
      <c r="K26" s="111"/>
    </row>
    <row r="27" spans="1:11" x14ac:dyDescent="0.3">
      <c r="A27" s="108">
        <v>26</v>
      </c>
      <c r="B27" s="110"/>
      <c r="C27" s="110"/>
      <c r="D27" s="110"/>
      <c r="E27" s="110"/>
      <c r="F27" s="110"/>
      <c r="G27" s="110"/>
      <c r="H27" s="111" t="s">
        <v>2100</v>
      </c>
      <c r="I27" s="110" t="s">
        <v>1823</v>
      </c>
      <c r="J27" s="110" t="s">
        <v>1773</v>
      </c>
      <c r="K27" s="111" t="s">
        <v>2101</v>
      </c>
    </row>
    <row r="28" spans="1:11" x14ac:dyDescent="0.3">
      <c r="A28" s="108">
        <v>27</v>
      </c>
      <c r="B28" s="109">
        <v>46156</v>
      </c>
      <c r="C28" s="110" t="s">
        <v>2082</v>
      </c>
      <c r="D28" s="110"/>
      <c r="E28" s="110"/>
      <c r="F28" s="110"/>
      <c r="G28" s="110"/>
      <c r="H28" s="111" t="s">
        <v>2102</v>
      </c>
      <c r="I28" s="110" t="s">
        <v>1797</v>
      </c>
      <c r="J28" s="110" t="s">
        <v>1773</v>
      </c>
      <c r="K28" s="111"/>
    </row>
    <row r="29" spans="1:11" x14ac:dyDescent="0.3">
      <c r="A29" s="108">
        <v>28</v>
      </c>
      <c r="B29" s="109">
        <v>46156</v>
      </c>
      <c r="C29" s="110" t="s">
        <v>2082</v>
      </c>
      <c r="D29" s="110"/>
      <c r="E29" s="110"/>
      <c r="F29" s="110"/>
      <c r="G29" s="110"/>
      <c r="H29" s="111" t="s">
        <v>2103</v>
      </c>
      <c r="I29" s="110" t="s">
        <v>1797</v>
      </c>
      <c r="J29" s="110" t="s">
        <v>1773</v>
      </c>
      <c r="K29" s="111"/>
    </row>
    <row r="30" spans="1:11" x14ac:dyDescent="0.3">
      <c r="A30" s="108">
        <v>29</v>
      </c>
      <c r="B30" s="109">
        <v>46156</v>
      </c>
      <c r="C30" s="110" t="s">
        <v>2082</v>
      </c>
      <c r="D30" s="110"/>
      <c r="E30" s="110"/>
      <c r="F30" s="110"/>
      <c r="G30" s="110"/>
      <c r="H30" s="111" t="s">
        <v>2104</v>
      </c>
      <c r="I30" s="110" t="s">
        <v>1760</v>
      </c>
      <c r="J30" s="110" t="s">
        <v>1773</v>
      </c>
      <c r="K30" s="111"/>
    </row>
    <row r="31" spans="1:11" x14ac:dyDescent="0.3">
      <c r="A31" s="108">
        <v>30</v>
      </c>
      <c r="B31" s="109">
        <v>46156</v>
      </c>
      <c r="C31" s="110" t="s">
        <v>2082</v>
      </c>
      <c r="D31" s="110"/>
      <c r="E31" s="110"/>
      <c r="F31" s="110"/>
      <c r="G31" s="110" t="s">
        <v>1759</v>
      </c>
      <c r="H31" s="111" t="s">
        <v>2105</v>
      </c>
      <c r="I31" s="110" t="s">
        <v>1760</v>
      </c>
      <c r="J31" s="110" t="s">
        <v>2066</v>
      </c>
      <c r="K31" s="111"/>
    </row>
    <row r="32" spans="1:11" x14ac:dyDescent="0.3">
      <c r="A32" s="108">
        <v>31</v>
      </c>
      <c r="B32" s="104">
        <v>46156</v>
      </c>
      <c r="C32" s="105" t="s">
        <v>2106</v>
      </c>
      <c r="D32" s="105" t="s">
        <v>2107</v>
      </c>
      <c r="E32" s="102"/>
      <c r="F32" s="102"/>
      <c r="G32" s="102"/>
      <c r="H32" s="133" t="s">
        <v>2108</v>
      </c>
      <c r="I32" s="110" t="s">
        <v>1823</v>
      </c>
      <c r="J32" s="110" t="s">
        <v>1773</v>
      </c>
      <c r="K32" s="125"/>
    </row>
    <row r="33" spans="1:11" x14ac:dyDescent="0.3">
      <c r="A33" s="108">
        <v>32</v>
      </c>
      <c r="B33" s="103"/>
      <c r="C33" s="102"/>
      <c r="D33" s="102"/>
      <c r="E33" s="102"/>
      <c r="F33" s="102"/>
      <c r="G33" s="102"/>
      <c r="H33" s="133" t="s">
        <v>2109</v>
      </c>
      <c r="I33" s="110" t="s">
        <v>1756</v>
      </c>
      <c r="J33" s="110" t="s">
        <v>1773</v>
      </c>
      <c r="K33" s="112"/>
    </row>
    <row r="34" spans="1:11" x14ac:dyDescent="0.3">
      <c r="A34" s="108">
        <v>33</v>
      </c>
      <c r="B34" s="102"/>
      <c r="C34" s="102"/>
      <c r="D34" s="102"/>
      <c r="E34" s="102"/>
      <c r="F34" s="102"/>
      <c r="G34" s="102"/>
      <c r="H34" s="133" t="s">
        <v>2110</v>
      </c>
      <c r="I34" s="110" t="s">
        <v>1760</v>
      </c>
      <c r="J34" s="110" t="s">
        <v>1773</v>
      </c>
      <c r="K34" s="112"/>
    </row>
    <row r="35" spans="1:11" x14ac:dyDescent="0.3">
      <c r="A35" s="108">
        <v>34</v>
      </c>
      <c r="B35" s="102"/>
      <c r="C35" s="102"/>
      <c r="D35" s="102"/>
      <c r="E35" s="102"/>
      <c r="F35" s="102"/>
      <c r="G35" s="102"/>
      <c r="H35" s="133" t="s">
        <v>2111</v>
      </c>
      <c r="I35" s="110" t="s">
        <v>1756</v>
      </c>
      <c r="J35" s="110" t="s">
        <v>1773</v>
      </c>
      <c r="K35" s="112"/>
    </row>
    <row r="36" spans="1:11" s="149" customFormat="1" x14ac:dyDescent="0.3">
      <c r="A36" s="144">
        <v>35</v>
      </c>
      <c r="B36" s="145"/>
      <c r="C36" s="145"/>
      <c r="D36" s="145"/>
      <c r="E36" s="145"/>
      <c r="F36" s="145"/>
      <c r="G36" s="145"/>
      <c r="H36" s="146" t="s">
        <v>2112</v>
      </c>
      <c r="I36" s="147" t="s">
        <v>1756</v>
      </c>
      <c r="J36" s="147" t="s">
        <v>1773</v>
      </c>
      <c r="K36" s="148"/>
    </row>
    <row r="37" spans="1:11" x14ac:dyDescent="0.3">
      <c r="A37" s="108">
        <v>36</v>
      </c>
      <c r="B37" s="102"/>
      <c r="C37" s="102"/>
      <c r="D37" s="102"/>
      <c r="E37" s="102"/>
      <c r="F37" s="102"/>
      <c r="G37" s="102"/>
      <c r="H37" s="133" t="s">
        <v>2113</v>
      </c>
      <c r="I37" s="110" t="s">
        <v>1797</v>
      </c>
      <c r="J37" s="110" t="s">
        <v>1773</v>
      </c>
      <c r="K37" s="112"/>
    </row>
    <row r="38" spans="1:11" x14ac:dyDescent="0.3">
      <c r="A38" s="108">
        <v>37</v>
      </c>
      <c r="B38" s="102"/>
      <c r="C38" s="102"/>
      <c r="D38" s="102"/>
      <c r="E38" s="102"/>
      <c r="F38" s="102"/>
      <c r="G38" s="102"/>
      <c r="H38" s="133" t="s">
        <v>2114</v>
      </c>
      <c r="I38" s="110" t="s">
        <v>1823</v>
      </c>
      <c r="J38" s="110" t="s">
        <v>1773</v>
      </c>
      <c r="K38" s="112"/>
    </row>
    <row r="39" spans="1:11" x14ac:dyDescent="0.3">
      <c r="A39" s="108">
        <v>38</v>
      </c>
      <c r="B39" s="102"/>
      <c r="C39" s="102"/>
      <c r="D39" s="102"/>
      <c r="E39" s="102"/>
      <c r="F39" s="102"/>
      <c r="G39" s="102"/>
      <c r="H39" s="133" t="s">
        <v>2115</v>
      </c>
      <c r="I39" s="103"/>
      <c r="J39" s="103"/>
      <c r="K39" s="112"/>
    </row>
    <row r="40" spans="1:11" ht="51.75" customHeight="1" x14ac:dyDescent="0.3">
      <c r="A40" s="108">
        <v>39</v>
      </c>
      <c r="B40" s="102"/>
      <c r="C40" s="102"/>
      <c r="D40" s="102"/>
      <c r="E40" s="102"/>
      <c r="F40" s="102"/>
      <c r="G40" s="102"/>
      <c r="H40" s="133" t="s">
        <v>2116</v>
      </c>
      <c r="I40" s="103"/>
      <c r="J40" s="103"/>
      <c r="K40" s="112"/>
    </row>
    <row r="41" spans="1:11" x14ac:dyDescent="0.3">
      <c r="A41" s="108">
        <v>40</v>
      </c>
      <c r="B41" s="102"/>
      <c r="C41" s="102"/>
      <c r="D41" s="102"/>
      <c r="E41" s="102"/>
      <c r="F41" s="102"/>
      <c r="G41" s="102"/>
      <c r="H41" s="133" t="s">
        <v>2117</v>
      </c>
      <c r="I41" s="110" t="s">
        <v>1756</v>
      </c>
      <c r="J41" s="110" t="s">
        <v>1773</v>
      </c>
      <c r="K41" s="112"/>
    </row>
    <row r="42" spans="1:11" x14ac:dyDescent="0.3">
      <c r="A42" s="108">
        <v>41</v>
      </c>
      <c r="B42" s="102"/>
      <c r="C42" s="102"/>
      <c r="D42" s="102"/>
      <c r="E42" s="102"/>
      <c r="F42" s="102"/>
      <c r="G42" s="102"/>
      <c r="H42" s="133" t="s">
        <v>2118</v>
      </c>
      <c r="I42" s="103"/>
      <c r="J42" s="103"/>
      <c r="K42" s="112"/>
    </row>
    <row r="43" spans="1:11" ht="28.8" x14ac:dyDescent="0.3">
      <c r="A43" s="108">
        <v>42</v>
      </c>
      <c r="B43" s="102"/>
      <c r="C43" s="102"/>
      <c r="D43" s="102"/>
      <c r="E43" s="102"/>
      <c r="F43" s="102"/>
      <c r="G43" s="102"/>
      <c r="H43" s="133" t="s">
        <v>2119</v>
      </c>
      <c r="I43" s="103"/>
      <c r="J43" s="103"/>
      <c r="K43" s="112" t="s">
        <v>2120</v>
      </c>
    </row>
    <row r="44" spans="1:11" x14ac:dyDescent="0.3">
      <c r="A44" s="108">
        <v>43</v>
      </c>
      <c r="B44" s="114"/>
      <c r="C44" s="114"/>
      <c r="D44" s="114"/>
      <c r="E44" s="102"/>
      <c r="F44" s="102"/>
      <c r="G44" s="102"/>
      <c r="H44" s="133" t="s">
        <v>2121</v>
      </c>
      <c r="I44" s="113"/>
      <c r="J44" s="113"/>
      <c r="K44" s="126" t="s">
        <v>2122</v>
      </c>
    </row>
    <row r="45" spans="1:11" x14ac:dyDescent="0.3">
      <c r="A45" s="108">
        <v>44</v>
      </c>
      <c r="B45" s="110"/>
      <c r="C45" s="110"/>
      <c r="D45" s="110"/>
      <c r="E45" s="116"/>
      <c r="F45" s="116"/>
      <c r="G45" s="116"/>
      <c r="H45" s="111" t="s">
        <v>2123</v>
      </c>
      <c r="I45" s="110"/>
      <c r="J45" s="110"/>
      <c r="K45" s="111"/>
    </row>
    <row r="46" spans="1:11" x14ac:dyDescent="0.3">
      <c r="A46" s="108">
        <v>45</v>
      </c>
      <c r="B46" s="110"/>
      <c r="C46" s="110"/>
      <c r="D46" s="110"/>
      <c r="E46" s="110"/>
      <c r="F46" s="110"/>
      <c r="G46" s="110"/>
      <c r="H46" s="111" t="s">
        <v>2124</v>
      </c>
      <c r="I46" s="110"/>
      <c r="J46" s="110"/>
      <c r="K46" s="111"/>
    </row>
    <row r="47" spans="1:11" x14ac:dyDescent="0.3">
      <c r="A47" s="108">
        <v>46</v>
      </c>
      <c r="B47" s="110"/>
      <c r="C47" s="110"/>
      <c r="D47" s="110"/>
      <c r="E47" s="110"/>
      <c r="F47" s="110"/>
      <c r="G47" s="110" t="s">
        <v>2125</v>
      </c>
      <c r="H47" s="111" t="s">
        <v>2126</v>
      </c>
      <c r="I47" s="110" t="s">
        <v>1797</v>
      </c>
      <c r="J47" s="110" t="s">
        <v>2066</v>
      </c>
      <c r="K47" s="111"/>
    </row>
    <row r="48" spans="1:11" x14ac:dyDescent="0.3">
      <c r="A48" s="108">
        <v>47</v>
      </c>
      <c r="B48" s="110"/>
      <c r="C48" s="110"/>
      <c r="D48" s="110"/>
      <c r="E48" s="110"/>
      <c r="F48" s="110"/>
      <c r="G48" s="110"/>
      <c r="H48" s="111" t="s">
        <v>2127</v>
      </c>
      <c r="I48" s="110"/>
      <c r="J48" s="110" t="s">
        <v>1773</v>
      </c>
      <c r="K48" s="111"/>
    </row>
    <row r="49" spans="1:11" x14ac:dyDescent="0.3">
      <c r="A49" s="108">
        <v>48</v>
      </c>
      <c r="B49" s="110"/>
      <c r="C49" s="110"/>
      <c r="D49" s="110"/>
      <c r="E49" s="110"/>
      <c r="F49" s="110"/>
      <c r="G49" s="110"/>
      <c r="H49" s="111" t="s">
        <v>2128</v>
      </c>
      <c r="I49" s="110"/>
      <c r="J49" s="110" t="s">
        <v>1773</v>
      </c>
      <c r="K49" s="111"/>
    </row>
    <row r="50" spans="1:11" x14ac:dyDescent="0.3">
      <c r="A50" s="108">
        <v>49</v>
      </c>
      <c r="B50" s="110"/>
      <c r="C50" s="110"/>
      <c r="D50" s="110"/>
      <c r="E50" s="110"/>
      <c r="F50" s="110"/>
      <c r="G50" s="110" t="s">
        <v>2129</v>
      </c>
      <c r="H50" s="111" t="s">
        <v>2130</v>
      </c>
      <c r="I50" s="110" t="s">
        <v>1760</v>
      </c>
      <c r="J50" s="110" t="s">
        <v>2066</v>
      </c>
      <c r="K50" s="111"/>
    </row>
    <row r="51" spans="1:11" x14ac:dyDescent="0.3">
      <c r="A51" s="108">
        <v>50</v>
      </c>
      <c r="B51" s="110"/>
      <c r="C51" s="110"/>
      <c r="D51" s="110"/>
      <c r="E51" s="110"/>
      <c r="F51" s="110"/>
      <c r="G51" s="110" t="s">
        <v>1759</v>
      </c>
      <c r="H51" s="111" t="s">
        <v>2131</v>
      </c>
      <c r="I51" s="110" t="s">
        <v>1760</v>
      </c>
      <c r="J51" s="110" t="s">
        <v>2066</v>
      </c>
      <c r="K51" s="111"/>
    </row>
    <row r="52" spans="1:11" x14ac:dyDescent="0.3">
      <c r="A52" s="108">
        <v>51</v>
      </c>
      <c r="B52" s="110"/>
      <c r="C52" s="110"/>
      <c r="D52" s="110"/>
      <c r="E52" s="110"/>
      <c r="F52" s="110"/>
      <c r="G52" s="110" t="s">
        <v>1759</v>
      </c>
      <c r="H52" s="111" t="s">
        <v>2132</v>
      </c>
      <c r="I52" s="110" t="s">
        <v>1756</v>
      </c>
      <c r="J52" s="110" t="s">
        <v>2066</v>
      </c>
      <c r="K52" s="111"/>
    </row>
    <row r="53" spans="1:11" x14ac:dyDescent="0.3">
      <c r="A53" s="108">
        <v>52</v>
      </c>
      <c r="B53" s="110"/>
      <c r="C53" s="110"/>
      <c r="D53" s="110"/>
      <c r="E53" s="110"/>
      <c r="F53" s="110"/>
      <c r="G53" s="110" t="s">
        <v>1759</v>
      </c>
      <c r="H53" s="111" t="s">
        <v>2133</v>
      </c>
      <c r="I53" s="110" t="s">
        <v>1760</v>
      </c>
      <c r="J53" s="110" t="s">
        <v>2066</v>
      </c>
      <c r="K53" s="111"/>
    </row>
    <row r="54" spans="1:11" x14ac:dyDescent="0.3">
      <c r="A54" s="108">
        <v>53</v>
      </c>
      <c r="B54" s="110"/>
      <c r="C54" s="110"/>
      <c r="D54" s="110"/>
      <c r="E54" s="110"/>
      <c r="F54" s="110"/>
      <c r="G54" s="110"/>
      <c r="H54" s="111" t="s">
        <v>2134</v>
      </c>
      <c r="I54" s="110"/>
      <c r="J54" s="110" t="s">
        <v>1773</v>
      </c>
      <c r="K54" s="111"/>
    </row>
    <row r="55" spans="1:11" ht="34.5" customHeight="1" x14ac:dyDescent="0.3">
      <c r="A55" s="108">
        <v>54</v>
      </c>
      <c r="B55" s="110"/>
      <c r="C55" s="110"/>
      <c r="D55" s="110"/>
      <c r="E55" s="110"/>
      <c r="F55" s="110"/>
      <c r="G55" s="110"/>
      <c r="H55" s="111" t="s">
        <v>2135</v>
      </c>
      <c r="I55" s="110"/>
      <c r="J55" s="110"/>
      <c r="K55" s="111"/>
    </row>
    <row r="56" spans="1:11" x14ac:dyDescent="0.3">
      <c r="A56" s="108">
        <v>55</v>
      </c>
      <c r="B56" s="110"/>
      <c r="C56" s="110"/>
      <c r="D56" s="110"/>
      <c r="E56" s="110"/>
      <c r="F56" s="110"/>
      <c r="G56" s="110"/>
      <c r="H56" s="111" t="s">
        <v>2136</v>
      </c>
      <c r="I56" s="110"/>
      <c r="J56" s="110"/>
      <c r="K56" s="111"/>
    </row>
    <row r="57" spans="1:11" ht="30.75" customHeight="1" x14ac:dyDescent="0.3">
      <c r="A57" s="108">
        <v>56</v>
      </c>
      <c r="B57" s="110"/>
      <c r="C57" s="110"/>
      <c r="D57" s="110"/>
      <c r="E57" s="110"/>
      <c r="F57" s="110"/>
      <c r="G57" s="110"/>
      <c r="H57" s="111" t="s">
        <v>2137</v>
      </c>
      <c r="I57" s="110"/>
      <c r="J57" s="110"/>
      <c r="K57" s="111"/>
    </row>
    <row r="58" spans="1:11" ht="23.25" customHeight="1" x14ac:dyDescent="0.3">
      <c r="A58" s="108">
        <v>57</v>
      </c>
      <c r="B58" s="110"/>
      <c r="C58" s="110"/>
      <c r="D58" s="110"/>
      <c r="E58" s="110"/>
      <c r="F58" s="110"/>
      <c r="G58" s="110"/>
      <c r="H58" s="111" t="s">
        <v>2138</v>
      </c>
      <c r="I58" s="110"/>
      <c r="J58" s="110"/>
      <c r="K58" s="111"/>
    </row>
    <row r="59" spans="1:11" ht="33" customHeight="1" x14ac:dyDescent="0.3">
      <c r="A59" s="108">
        <v>58</v>
      </c>
      <c r="B59" s="110"/>
      <c r="C59" s="110"/>
      <c r="D59" s="110"/>
      <c r="E59" s="110"/>
      <c r="F59" s="110"/>
      <c r="G59" s="110" t="s">
        <v>2139</v>
      </c>
      <c r="H59" s="111" t="s">
        <v>2140</v>
      </c>
      <c r="I59" s="110" t="s">
        <v>1797</v>
      </c>
      <c r="J59" s="110"/>
      <c r="K59" s="111" t="s">
        <v>2141</v>
      </c>
    </row>
    <row r="60" spans="1:11" ht="23.25" customHeight="1" x14ac:dyDescent="0.3">
      <c r="A60" s="108">
        <v>59</v>
      </c>
      <c r="B60" s="110"/>
      <c r="C60" s="110"/>
      <c r="D60" s="110"/>
      <c r="E60" s="110"/>
      <c r="F60" s="110"/>
      <c r="G60" s="110" t="s">
        <v>2142</v>
      </c>
      <c r="H60" s="111" t="s">
        <v>2143</v>
      </c>
      <c r="I60" s="110"/>
      <c r="J60" s="110"/>
      <c r="K60" s="111"/>
    </row>
    <row r="61" spans="1:11" ht="23.25" customHeight="1" x14ac:dyDescent="0.3">
      <c r="A61" s="108">
        <v>60</v>
      </c>
      <c r="B61" s="110"/>
      <c r="C61" s="110"/>
      <c r="D61" s="110"/>
      <c r="E61" s="110"/>
      <c r="F61" s="110"/>
      <c r="G61" s="110" t="s">
        <v>2144</v>
      </c>
      <c r="H61" s="111" t="s">
        <v>2145</v>
      </c>
      <c r="I61" s="110"/>
      <c r="J61" s="110"/>
      <c r="K61" s="111"/>
    </row>
    <row r="62" spans="1:11" ht="23.25" customHeight="1" x14ac:dyDescent="0.3">
      <c r="A62" s="108">
        <v>61</v>
      </c>
      <c r="B62" s="110"/>
      <c r="C62" s="110"/>
      <c r="D62" s="110"/>
      <c r="E62" s="110"/>
      <c r="F62" s="110"/>
      <c r="G62" s="110"/>
      <c r="H62" s="111" t="s">
        <v>2146</v>
      </c>
      <c r="I62" s="110"/>
      <c r="J62" s="110"/>
      <c r="K62" s="111"/>
    </row>
    <row r="63" spans="1:11" ht="36" customHeight="1" x14ac:dyDescent="0.3">
      <c r="A63" s="108">
        <v>62</v>
      </c>
      <c r="B63" s="110"/>
      <c r="C63" s="110"/>
      <c r="D63" s="110"/>
      <c r="E63" s="110"/>
      <c r="F63" s="110"/>
      <c r="G63" s="110"/>
      <c r="H63" s="138" t="s">
        <v>2147</v>
      </c>
      <c r="I63" s="110" t="s">
        <v>1760</v>
      </c>
      <c r="J63" s="110" t="s">
        <v>1773</v>
      </c>
      <c r="K63" s="111"/>
    </row>
    <row r="64" spans="1:11" x14ac:dyDescent="0.3">
      <c r="A64" s="108">
        <v>63</v>
      </c>
      <c r="B64" s="110"/>
      <c r="C64" s="110"/>
      <c r="D64" s="110"/>
      <c r="E64" s="110"/>
      <c r="F64" s="110"/>
      <c r="G64" s="110"/>
      <c r="H64" s="111" t="s">
        <v>2148</v>
      </c>
      <c r="I64" s="110"/>
      <c r="J64" s="110"/>
      <c r="K64" s="111"/>
    </row>
    <row r="65" spans="1:11" ht="28.8" x14ac:dyDescent="0.3">
      <c r="A65" s="108">
        <v>64</v>
      </c>
      <c r="B65" s="110"/>
      <c r="C65" s="110"/>
      <c r="D65" s="110"/>
      <c r="E65" s="110"/>
      <c r="F65" s="110"/>
      <c r="G65" s="110"/>
      <c r="H65" s="111" t="s">
        <v>2149</v>
      </c>
      <c r="I65" s="110"/>
      <c r="J65" s="110"/>
      <c r="K65" s="111"/>
    </row>
    <row r="66" spans="1:11" ht="28.8" x14ac:dyDescent="0.3">
      <c r="A66" s="108">
        <v>65</v>
      </c>
      <c r="B66" s="110"/>
      <c r="C66" s="110"/>
      <c r="D66" s="110"/>
      <c r="E66" s="110"/>
      <c r="F66" s="110"/>
      <c r="G66" s="110"/>
      <c r="H66" s="111" t="s">
        <v>2150</v>
      </c>
      <c r="I66" s="110" t="s">
        <v>1823</v>
      </c>
      <c r="J66" s="110" t="s">
        <v>1773</v>
      </c>
      <c r="K66" s="111"/>
    </row>
    <row r="67" spans="1:11" ht="28.8" x14ac:dyDescent="0.3">
      <c r="A67" s="108">
        <v>66</v>
      </c>
      <c r="B67" s="110"/>
      <c r="C67" s="110"/>
      <c r="D67" s="110"/>
      <c r="E67" s="110"/>
      <c r="F67" s="110"/>
      <c r="G67" s="110"/>
      <c r="H67" s="111" t="s">
        <v>2151</v>
      </c>
      <c r="I67" s="110" t="s">
        <v>1797</v>
      </c>
      <c r="J67" s="110" t="s">
        <v>1773</v>
      </c>
      <c r="K67" s="111" t="s">
        <v>2152</v>
      </c>
    </row>
    <row r="68" spans="1:11" ht="28.8" x14ac:dyDescent="0.3">
      <c r="A68" s="108">
        <v>67</v>
      </c>
      <c r="B68" s="110"/>
      <c r="C68" s="110"/>
      <c r="D68" s="110"/>
      <c r="E68" s="110"/>
      <c r="F68" s="110"/>
      <c r="G68" s="110"/>
      <c r="H68" s="111" t="s">
        <v>2153</v>
      </c>
      <c r="I68" s="110" t="s">
        <v>1797</v>
      </c>
      <c r="J68" s="110" t="s">
        <v>1773</v>
      </c>
      <c r="K68" s="111" t="s">
        <v>2154</v>
      </c>
    </row>
    <row r="69" spans="1:11" ht="43.2" x14ac:dyDescent="0.3">
      <c r="A69" s="108">
        <v>68</v>
      </c>
      <c r="B69" s="110"/>
      <c r="C69" s="110"/>
      <c r="D69" s="110"/>
      <c r="E69" s="110"/>
      <c r="F69" s="110"/>
      <c r="G69" s="110"/>
      <c r="H69" s="111" t="s">
        <v>2155</v>
      </c>
      <c r="I69" s="110"/>
      <c r="J69" s="110"/>
      <c r="K69" s="111"/>
    </row>
    <row r="70" spans="1:11" x14ac:dyDescent="0.3">
      <c r="A70" s="108">
        <v>74</v>
      </c>
      <c r="B70" s="120">
        <v>46156</v>
      </c>
      <c r="C70" s="121" t="s">
        <v>2156</v>
      </c>
      <c r="D70" s="121" t="s">
        <v>2157</v>
      </c>
      <c r="E70" s="121"/>
      <c r="F70" s="121"/>
      <c r="G70" s="121" t="s">
        <v>2158</v>
      </c>
      <c r="H70" s="122" t="s">
        <v>2159</v>
      </c>
      <c r="I70" s="121"/>
      <c r="J70" s="121"/>
      <c r="K70" s="122" t="s">
        <v>2160</v>
      </c>
    </row>
    <row r="71" spans="1:11" x14ac:dyDescent="0.3">
      <c r="A71" s="108">
        <v>75</v>
      </c>
      <c r="B71" s="110"/>
      <c r="C71" s="121"/>
      <c r="D71" s="121"/>
      <c r="E71" s="121"/>
      <c r="F71" s="121"/>
      <c r="G71" s="121" t="s">
        <v>2161</v>
      </c>
      <c r="H71" s="121" t="s">
        <v>2162</v>
      </c>
      <c r="I71" s="121"/>
      <c r="J71" s="121"/>
      <c r="K71" s="122" t="s">
        <v>2163</v>
      </c>
    </row>
    <row r="72" spans="1:11" x14ac:dyDescent="0.3">
      <c r="A72" s="108">
        <v>76</v>
      </c>
      <c r="B72" s="115"/>
      <c r="C72" s="123"/>
      <c r="D72" s="123"/>
      <c r="E72" s="123"/>
      <c r="F72" s="123"/>
      <c r="G72" s="123" t="s">
        <v>2164</v>
      </c>
      <c r="H72" s="123" t="s">
        <v>2165</v>
      </c>
      <c r="I72" s="123"/>
      <c r="J72" s="134"/>
      <c r="K72" s="127"/>
    </row>
    <row r="73" spans="1:11" x14ac:dyDescent="0.3">
      <c r="A73" s="108">
        <v>78</v>
      </c>
      <c r="B73" s="118">
        <v>46156</v>
      </c>
      <c r="C73" s="123" t="s">
        <v>2166</v>
      </c>
      <c r="D73" s="123" t="s">
        <v>2167</v>
      </c>
      <c r="E73" s="123"/>
      <c r="F73" s="123"/>
      <c r="G73" s="110" t="s">
        <v>1759</v>
      </c>
      <c r="H73" s="123" t="s">
        <v>2168</v>
      </c>
      <c r="I73" s="123"/>
      <c r="J73" s="123" t="s">
        <v>2066</v>
      </c>
      <c r="K73" s="127"/>
    </row>
    <row r="74" spans="1:11" x14ac:dyDescent="0.3">
      <c r="A74" s="108">
        <v>79</v>
      </c>
      <c r="B74" s="115"/>
      <c r="C74" s="123"/>
      <c r="D74" s="123"/>
      <c r="E74" s="123"/>
      <c r="F74" s="123"/>
      <c r="G74" s="123"/>
      <c r="H74" s="123" t="s">
        <v>2169</v>
      </c>
      <c r="I74" s="123"/>
      <c r="J74" s="123"/>
      <c r="K74" s="127"/>
    </row>
    <row r="75" spans="1:11" x14ac:dyDescent="0.3">
      <c r="A75" s="108">
        <v>80</v>
      </c>
      <c r="B75" s="115"/>
      <c r="C75" s="123"/>
      <c r="D75" s="123"/>
      <c r="E75" s="123"/>
      <c r="F75" s="123"/>
      <c r="G75" s="123"/>
      <c r="H75" s="123" t="s">
        <v>2170</v>
      </c>
      <c r="I75" s="123"/>
      <c r="J75" s="123"/>
      <c r="K75" s="127"/>
    </row>
    <row r="76" spans="1:11" x14ac:dyDescent="0.3">
      <c r="A76" s="108">
        <v>81</v>
      </c>
      <c r="B76" s="115"/>
      <c r="C76" s="123"/>
      <c r="D76" s="123"/>
      <c r="E76" s="123"/>
      <c r="F76" s="123"/>
      <c r="G76" s="123"/>
      <c r="H76" s="123" t="s">
        <v>2171</v>
      </c>
      <c r="I76" s="123"/>
      <c r="J76" s="123"/>
      <c r="K76" s="127"/>
    </row>
    <row r="77" spans="1:11" ht="28.8" x14ac:dyDescent="0.3">
      <c r="A77" s="108">
        <v>82</v>
      </c>
      <c r="B77" s="110"/>
      <c r="C77" s="110" t="s">
        <v>2172</v>
      </c>
      <c r="D77" s="110"/>
      <c r="E77" s="110"/>
      <c r="F77" s="110"/>
      <c r="G77" s="110"/>
      <c r="H77" s="111" t="s">
        <v>2173</v>
      </c>
      <c r="I77" s="110"/>
      <c r="J77" s="110" t="s">
        <v>1773</v>
      </c>
      <c r="K77" s="111" t="s">
        <v>2174</v>
      </c>
    </row>
    <row r="78" spans="1:11" x14ac:dyDescent="0.3">
      <c r="A78" s="108">
        <v>83</v>
      </c>
      <c r="B78" s="110"/>
      <c r="C78" s="110"/>
      <c r="D78" s="110"/>
      <c r="E78" s="110"/>
      <c r="F78" s="110"/>
      <c r="G78" s="110"/>
      <c r="H78" s="111" t="s">
        <v>2175</v>
      </c>
      <c r="I78" s="110"/>
      <c r="J78" s="110"/>
      <c r="K78" s="111"/>
    </row>
    <row r="79" spans="1:11" x14ac:dyDescent="0.3">
      <c r="A79" s="108">
        <v>84</v>
      </c>
      <c r="B79" s="110"/>
      <c r="C79" s="110"/>
      <c r="D79" s="110"/>
      <c r="E79" s="110"/>
      <c r="F79" s="110"/>
      <c r="G79" s="110" t="s">
        <v>1759</v>
      </c>
      <c r="H79" s="111" t="s">
        <v>2176</v>
      </c>
      <c r="I79" s="110" t="s">
        <v>1756</v>
      </c>
      <c r="J79" s="110" t="s">
        <v>2066</v>
      </c>
      <c r="K79" s="111"/>
    </row>
    <row r="80" spans="1:11" x14ac:dyDescent="0.3">
      <c r="A80" s="108">
        <v>85</v>
      </c>
      <c r="B80" s="110"/>
      <c r="C80" s="110"/>
      <c r="D80" s="110"/>
      <c r="E80" s="110"/>
      <c r="F80" s="110"/>
      <c r="G80" s="110"/>
      <c r="H80" s="111" t="s">
        <v>2177</v>
      </c>
      <c r="I80" s="110"/>
      <c r="J80" s="110"/>
      <c r="K80" s="111"/>
    </row>
    <row r="81" spans="1:12" x14ac:dyDescent="0.3">
      <c r="A81" s="108">
        <v>86</v>
      </c>
      <c r="B81" s="116"/>
      <c r="C81" s="116"/>
      <c r="D81" s="116"/>
      <c r="E81" s="116"/>
      <c r="F81" s="116"/>
      <c r="G81" s="116" t="s">
        <v>2018</v>
      </c>
      <c r="H81" s="117" t="s">
        <v>2178</v>
      </c>
      <c r="I81" s="116" t="s">
        <v>1760</v>
      </c>
      <c r="J81" s="116" t="s">
        <v>1773</v>
      </c>
      <c r="K81" s="117" t="s">
        <v>2179</v>
      </c>
    </row>
    <row r="82" spans="1:12" x14ac:dyDescent="0.3">
      <c r="A82" s="108">
        <v>87</v>
      </c>
      <c r="B82" s="110"/>
      <c r="C82" s="110"/>
      <c r="D82" s="110"/>
      <c r="E82" s="110"/>
      <c r="F82" s="110"/>
      <c r="G82" s="110"/>
      <c r="H82" s="111" t="s">
        <v>2180</v>
      </c>
      <c r="I82" s="116" t="s">
        <v>1760</v>
      </c>
      <c r="J82" s="116" t="s">
        <v>1773</v>
      </c>
      <c r="K82" s="111" t="s">
        <v>1881</v>
      </c>
    </row>
    <row r="83" spans="1:12" x14ac:dyDescent="0.3">
      <c r="A83" s="108">
        <v>88</v>
      </c>
      <c r="B83" s="110"/>
      <c r="C83" s="110"/>
      <c r="D83" s="110"/>
      <c r="E83" s="110"/>
      <c r="F83" s="110"/>
      <c r="G83" s="110"/>
      <c r="H83" s="111" t="s">
        <v>2181</v>
      </c>
      <c r="I83" s="110"/>
      <c r="J83" s="110"/>
      <c r="K83" s="117" t="s">
        <v>2179</v>
      </c>
    </row>
    <row r="84" spans="1:12" ht="28.8" x14ac:dyDescent="0.3">
      <c r="A84" s="108">
        <v>89</v>
      </c>
      <c r="B84" s="110"/>
      <c r="C84" s="110"/>
      <c r="D84" s="110"/>
      <c r="E84" s="110"/>
      <c r="F84" s="110"/>
      <c r="G84" s="110"/>
      <c r="H84" s="111" t="s">
        <v>2182</v>
      </c>
      <c r="I84" s="110" t="s">
        <v>1756</v>
      </c>
      <c r="J84" s="116" t="s">
        <v>1773</v>
      </c>
      <c r="K84" s="111" t="s">
        <v>2183</v>
      </c>
    </row>
    <row r="85" spans="1:12" x14ac:dyDescent="0.3">
      <c r="A85" s="108">
        <v>90</v>
      </c>
      <c r="B85" s="110"/>
      <c r="C85" s="110"/>
      <c r="D85" s="110"/>
      <c r="E85" s="110"/>
      <c r="F85" s="110"/>
      <c r="G85" s="110"/>
      <c r="H85" s="111" t="s">
        <v>2184</v>
      </c>
      <c r="I85" s="110" t="s">
        <v>1756</v>
      </c>
      <c r="J85" s="116" t="s">
        <v>1773</v>
      </c>
      <c r="K85" s="111"/>
    </row>
    <row r="86" spans="1:12" x14ac:dyDescent="0.3">
      <c r="A86" s="108">
        <v>91</v>
      </c>
      <c r="B86" s="110"/>
      <c r="C86" s="110"/>
      <c r="D86" s="110"/>
      <c r="E86" s="110"/>
      <c r="F86" s="110"/>
      <c r="G86" s="110"/>
      <c r="H86" s="111" t="s">
        <v>2185</v>
      </c>
      <c r="I86" s="110" t="s">
        <v>1756</v>
      </c>
      <c r="J86" s="116" t="s">
        <v>1773</v>
      </c>
      <c r="K86" s="111"/>
    </row>
    <row r="87" spans="1:12" x14ac:dyDescent="0.3">
      <c r="A87" s="108">
        <v>92</v>
      </c>
      <c r="B87" s="110"/>
      <c r="C87" s="110"/>
      <c r="D87" s="110"/>
      <c r="E87" s="110"/>
      <c r="F87" s="110"/>
      <c r="G87" s="110"/>
      <c r="H87" s="111" t="s">
        <v>2186</v>
      </c>
      <c r="I87" s="110"/>
      <c r="J87" s="110" t="s">
        <v>2187</v>
      </c>
      <c r="K87" s="111"/>
    </row>
    <row r="88" spans="1:12" x14ac:dyDescent="0.3">
      <c r="A88" s="108">
        <v>93</v>
      </c>
      <c r="B88" s="118">
        <v>46157</v>
      </c>
      <c r="C88" s="110" t="s">
        <v>2188</v>
      </c>
      <c r="D88" s="110"/>
      <c r="E88" s="110"/>
      <c r="F88" s="110"/>
      <c r="G88" s="110"/>
      <c r="H88" s="111" t="s">
        <v>2189</v>
      </c>
      <c r="I88" s="110" t="s">
        <v>1760</v>
      </c>
      <c r="J88" s="110" t="s">
        <v>2187</v>
      </c>
      <c r="K88" s="111"/>
    </row>
    <row r="89" spans="1:12" ht="28.8" x14ac:dyDescent="0.3">
      <c r="A89" s="108">
        <v>94</v>
      </c>
      <c r="B89" s="118">
        <v>46157</v>
      </c>
      <c r="C89" s="110" t="s">
        <v>2188</v>
      </c>
      <c r="D89" s="110"/>
      <c r="E89" s="110"/>
      <c r="F89" s="110"/>
      <c r="G89" s="110" t="s">
        <v>1759</v>
      </c>
      <c r="H89" s="111" t="s">
        <v>2190</v>
      </c>
      <c r="I89" s="110" t="s">
        <v>1760</v>
      </c>
      <c r="J89" s="110" t="s">
        <v>2066</v>
      </c>
      <c r="K89" s="111"/>
      <c r="L89" s="63" t="s">
        <v>2191</v>
      </c>
    </row>
    <row r="90" spans="1:12" x14ac:dyDescent="0.3">
      <c r="A90" s="108">
        <v>95</v>
      </c>
      <c r="B90" s="118">
        <v>46157</v>
      </c>
      <c r="C90" s="110" t="s">
        <v>2188</v>
      </c>
      <c r="D90" s="110"/>
      <c r="E90" s="110"/>
      <c r="F90" s="110"/>
      <c r="G90" s="110"/>
      <c r="H90" s="111" t="s">
        <v>2192</v>
      </c>
      <c r="I90" s="110" t="s">
        <v>1760</v>
      </c>
      <c r="J90" s="110" t="s">
        <v>2187</v>
      </c>
      <c r="K90" s="111"/>
    </row>
    <row r="91" spans="1:12" x14ac:dyDescent="0.3">
      <c r="A91" s="108">
        <v>96</v>
      </c>
      <c r="B91" s="118"/>
      <c r="C91" s="110"/>
      <c r="D91" s="110"/>
      <c r="E91" s="110"/>
      <c r="F91" s="110"/>
      <c r="G91" s="110" t="s">
        <v>2070</v>
      </c>
      <c r="H91" s="111" t="s">
        <v>2193</v>
      </c>
      <c r="I91" s="110" t="s">
        <v>1823</v>
      </c>
      <c r="J91" s="110" t="s">
        <v>2066</v>
      </c>
      <c r="K91" s="111"/>
      <c r="L91" s="63" t="s">
        <v>2191</v>
      </c>
    </row>
    <row r="92" spans="1:12" ht="36" customHeight="1" x14ac:dyDescent="0.3">
      <c r="A92" s="108">
        <v>97</v>
      </c>
      <c r="B92" s="118">
        <v>46157</v>
      </c>
      <c r="C92" s="110" t="s">
        <v>2194</v>
      </c>
      <c r="D92" s="110" t="s">
        <v>2107</v>
      </c>
      <c r="E92" s="110"/>
      <c r="F92" s="110"/>
      <c r="G92" s="110" t="s">
        <v>2195</v>
      </c>
      <c r="H92" s="111" t="s">
        <v>2196</v>
      </c>
      <c r="I92" s="110"/>
      <c r="J92" s="110"/>
      <c r="K92" s="111"/>
    </row>
    <row r="93" spans="1:12" ht="28.8" x14ac:dyDescent="0.3">
      <c r="A93" s="108">
        <v>98</v>
      </c>
      <c r="B93" s="110"/>
      <c r="C93" s="110"/>
      <c r="D93" s="110"/>
      <c r="E93" s="110"/>
      <c r="F93" s="110"/>
      <c r="G93" s="110" t="s">
        <v>2197</v>
      </c>
      <c r="H93" s="111" t="s">
        <v>2198</v>
      </c>
      <c r="I93" s="110"/>
      <c r="J93" s="110" t="s">
        <v>1773</v>
      </c>
      <c r="K93" s="111" t="s">
        <v>2199</v>
      </c>
    </row>
    <row r="94" spans="1:12" ht="39" customHeight="1" x14ac:dyDescent="0.3">
      <c r="A94" s="108">
        <v>99</v>
      </c>
      <c r="B94" s="110"/>
      <c r="C94" s="110"/>
      <c r="D94" s="110"/>
      <c r="E94" s="110"/>
      <c r="F94" s="110"/>
      <c r="G94" s="110"/>
      <c r="H94" s="111" t="s">
        <v>2200</v>
      </c>
      <c r="I94" s="110" t="s">
        <v>1823</v>
      </c>
      <c r="J94" s="110" t="s">
        <v>1773</v>
      </c>
      <c r="K94" s="111"/>
    </row>
    <row r="95" spans="1:12" ht="35.25" customHeight="1" x14ac:dyDescent="0.3">
      <c r="A95" s="108">
        <v>100</v>
      </c>
      <c r="B95" s="110"/>
      <c r="C95" s="110"/>
      <c r="D95" s="110"/>
      <c r="E95" s="110"/>
      <c r="F95" s="110"/>
      <c r="G95" s="110" t="s">
        <v>2018</v>
      </c>
      <c r="H95" s="111" t="s">
        <v>2201</v>
      </c>
      <c r="I95" s="110" t="s">
        <v>1756</v>
      </c>
      <c r="J95" s="110" t="s">
        <v>1773</v>
      </c>
      <c r="K95" s="139" t="s">
        <v>2202</v>
      </c>
    </row>
    <row r="96" spans="1:12" ht="51" customHeight="1" x14ac:dyDescent="0.3">
      <c r="A96" s="108">
        <v>101</v>
      </c>
      <c r="B96" s="118">
        <v>46157</v>
      </c>
      <c r="C96" s="110" t="s">
        <v>2203</v>
      </c>
      <c r="D96" s="111" t="s">
        <v>2204</v>
      </c>
      <c r="E96" s="111"/>
      <c r="F96" s="111"/>
      <c r="G96" s="111" t="s">
        <v>2062</v>
      </c>
      <c r="H96" s="111" t="s">
        <v>2205</v>
      </c>
      <c r="I96" s="110" t="s">
        <v>1760</v>
      </c>
      <c r="J96" s="110" t="s">
        <v>1773</v>
      </c>
      <c r="K96" s="111"/>
    </row>
    <row r="97" spans="1:11" s="149" customFormat="1" ht="28.8" x14ac:dyDescent="0.3">
      <c r="A97" s="144">
        <v>102</v>
      </c>
      <c r="B97" s="147"/>
      <c r="C97" s="147"/>
      <c r="D97" s="147"/>
      <c r="E97" s="147"/>
      <c r="F97" s="147"/>
      <c r="G97" s="147"/>
      <c r="H97" s="140" t="s">
        <v>2206</v>
      </c>
      <c r="I97" s="147"/>
      <c r="J97" s="147" t="s">
        <v>1773</v>
      </c>
      <c r="K97" s="140"/>
    </row>
    <row r="98" spans="1:11" x14ac:dyDescent="0.3">
      <c r="A98" s="108">
        <v>103</v>
      </c>
      <c r="B98" s="110"/>
      <c r="C98" s="110"/>
      <c r="D98" s="110"/>
      <c r="E98" s="110"/>
      <c r="F98" s="110"/>
      <c r="G98" s="110" t="s">
        <v>2207</v>
      </c>
      <c r="H98" s="111" t="s">
        <v>2208</v>
      </c>
      <c r="I98" s="110" t="s">
        <v>1823</v>
      </c>
      <c r="J98" s="110" t="s">
        <v>2066</v>
      </c>
      <c r="K98" s="111" t="s">
        <v>2209</v>
      </c>
    </row>
    <row r="99" spans="1:11" ht="43.2" x14ac:dyDescent="0.3">
      <c r="A99" s="108">
        <v>104</v>
      </c>
      <c r="B99" s="110"/>
      <c r="C99" s="110"/>
      <c r="D99" s="110"/>
      <c r="E99" s="110"/>
      <c r="F99" s="110"/>
      <c r="G99" s="110"/>
      <c r="H99" s="111" t="s">
        <v>2210</v>
      </c>
      <c r="I99" s="110"/>
      <c r="J99" s="110" t="s">
        <v>1773</v>
      </c>
      <c r="K99" s="111"/>
    </row>
    <row r="100" spans="1:11" ht="94.5" customHeight="1" x14ac:dyDescent="0.3">
      <c r="A100" s="108">
        <v>105</v>
      </c>
      <c r="B100" s="110"/>
      <c r="C100" s="110"/>
      <c r="D100" s="110"/>
      <c r="E100" s="110"/>
      <c r="F100" s="110"/>
      <c r="G100" s="110"/>
      <c r="H100" s="111" t="s">
        <v>2211</v>
      </c>
      <c r="I100" s="110" t="s">
        <v>1760</v>
      </c>
      <c r="J100" s="110" t="s">
        <v>2187</v>
      </c>
      <c r="K100" s="111" t="s">
        <v>2212</v>
      </c>
    </row>
    <row r="101" spans="1:11" ht="28.8" x14ac:dyDescent="0.3">
      <c r="A101" s="108">
        <v>106</v>
      </c>
      <c r="B101" s="110"/>
      <c r="C101" s="110"/>
      <c r="D101" s="110"/>
      <c r="E101" s="110"/>
      <c r="F101" s="110"/>
      <c r="G101" s="110"/>
      <c r="H101" s="111" t="s">
        <v>2213</v>
      </c>
      <c r="I101" s="110" t="s">
        <v>1760</v>
      </c>
      <c r="J101" s="110" t="s">
        <v>1773</v>
      </c>
      <c r="K101" s="111" t="s">
        <v>2214</v>
      </c>
    </row>
    <row r="102" spans="1:11" x14ac:dyDescent="0.3">
      <c r="A102" s="108">
        <v>107</v>
      </c>
      <c r="B102" s="110"/>
      <c r="C102" s="110"/>
      <c r="D102" s="110"/>
      <c r="E102" s="110"/>
      <c r="F102" s="110"/>
      <c r="G102" s="110"/>
      <c r="H102" s="111" t="s">
        <v>2215</v>
      </c>
      <c r="I102" s="110" t="s">
        <v>1823</v>
      </c>
      <c r="J102" s="110" t="s">
        <v>1773</v>
      </c>
      <c r="K102" s="111" t="s">
        <v>2216</v>
      </c>
    </row>
    <row r="103" spans="1:11" ht="52.5" customHeight="1" x14ac:dyDescent="0.3">
      <c r="A103" s="108">
        <v>108</v>
      </c>
      <c r="B103" s="110"/>
      <c r="C103" s="110"/>
      <c r="D103" s="110"/>
      <c r="E103" s="110"/>
      <c r="F103" s="110"/>
      <c r="G103" s="110"/>
      <c r="H103" s="111" t="s">
        <v>2217</v>
      </c>
      <c r="I103" s="110"/>
      <c r="J103" s="110"/>
      <c r="K103" s="111"/>
    </row>
    <row r="104" spans="1:11" x14ac:dyDescent="0.3">
      <c r="A104" s="108">
        <v>109</v>
      </c>
      <c r="B104" s="110"/>
      <c r="C104" s="110"/>
      <c r="D104" s="110"/>
      <c r="E104" s="110"/>
      <c r="F104" s="110"/>
      <c r="G104" s="110" t="s">
        <v>2218</v>
      </c>
      <c r="H104" s="110" t="s">
        <v>2219</v>
      </c>
      <c r="I104" s="110" t="s">
        <v>2220</v>
      </c>
      <c r="J104" s="110"/>
      <c r="K104" s="111" t="s">
        <v>2221</v>
      </c>
    </row>
    <row r="105" spans="1:11" ht="28.8" x14ac:dyDescent="0.3">
      <c r="A105" s="108">
        <v>110</v>
      </c>
      <c r="B105" s="110"/>
      <c r="C105" s="110"/>
      <c r="D105" s="110"/>
      <c r="E105" s="110"/>
      <c r="F105" s="110"/>
      <c r="G105" s="110"/>
      <c r="H105" s="110" t="s">
        <v>2222</v>
      </c>
      <c r="I105" s="110" t="s">
        <v>2220</v>
      </c>
      <c r="J105" s="110" t="s">
        <v>2187</v>
      </c>
      <c r="K105" s="111" t="s">
        <v>2223</v>
      </c>
    </row>
    <row r="106" spans="1:11" x14ac:dyDescent="0.3">
      <c r="A106" s="108">
        <v>111</v>
      </c>
      <c r="B106" s="110"/>
      <c r="C106" s="110"/>
      <c r="D106" s="110"/>
      <c r="E106" s="110"/>
      <c r="F106" s="110"/>
      <c r="G106" s="110" t="s">
        <v>2158</v>
      </c>
      <c r="H106" s="110" t="s">
        <v>2224</v>
      </c>
      <c r="I106" s="110" t="s">
        <v>2220</v>
      </c>
      <c r="J106" s="110" t="s">
        <v>1773</v>
      </c>
      <c r="K106" s="111" t="s">
        <v>2221</v>
      </c>
    </row>
    <row r="107" spans="1:11" x14ac:dyDescent="0.3">
      <c r="A107" s="108">
        <v>112</v>
      </c>
      <c r="B107" s="110"/>
      <c r="C107" s="110"/>
      <c r="D107" s="110"/>
      <c r="E107" s="110"/>
      <c r="F107" s="110"/>
      <c r="G107" s="110"/>
      <c r="H107" s="110" t="s">
        <v>2225</v>
      </c>
      <c r="I107" s="110" t="s">
        <v>2226</v>
      </c>
      <c r="J107" s="110" t="s">
        <v>2187</v>
      </c>
      <c r="K107" s="111" t="s">
        <v>2227</v>
      </c>
    </row>
    <row r="108" spans="1:11" x14ac:dyDescent="0.3">
      <c r="A108" s="108">
        <v>113</v>
      </c>
      <c r="B108" s="110"/>
      <c r="C108" s="110"/>
      <c r="D108" s="110"/>
      <c r="E108" s="110"/>
      <c r="F108" s="110"/>
      <c r="G108" s="110"/>
      <c r="H108" s="110" t="s">
        <v>2228</v>
      </c>
      <c r="I108" s="110" t="s">
        <v>2220</v>
      </c>
      <c r="J108" s="110" t="s">
        <v>1773</v>
      </c>
      <c r="K108" s="111" t="s">
        <v>2229</v>
      </c>
    </row>
    <row r="109" spans="1:11" x14ac:dyDescent="0.3">
      <c r="A109" s="108">
        <v>114</v>
      </c>
      <c r="B109" s="110"/>
      <c r="C109" s="110"/>
      <c r="D109" s="110"/>
      <c r="H109" s="124" t="s">
        <v>2230</v>
      </c>
      <c r="I109" s="110" t="s">
        <v>2220</v>
      </c>
      <c r="J109" s="110" t="s">
        <v>1773</v>
      </c>
      <c r="K109" s="111" t="s">
        <v>2221</v>
      </c>
    </row>
    <row r="110" spans="1:11" x14ac:dyDescent="0.3">
      <c r="A110" s="108">
        <v>115</v>
      </c>
      <c r="B110" s="110"/>
      <c r="C110" s="110"/>
      <c r="D110" s="110"/>
      <c r="E110" s="110"/>
      <c r="F110" s="110"/>
      <c r="G110" s="110"/>
      <c r="H110" s="110" t="s">
        <v>2231</v>
      </c>
      <c r="I110" s="110" t="s">
        <v>1823</v>
      </c>
      <c r="J110" s="110" t="s">
        <v>1773</v>
      </c>
      <c r="K110" s="111"/>
    </row>
    <row r="111" spans="1:11" x14ac:dyDescent="0.3">
      <c r="A111" s="108">
        <v>116</v>
      </c>
      <c r="B111" s="110"/>
      <c r="C111" s="110"/>
      <c r="D111" s="110"/>
      <c r="E111" s="110"/>
      <c r="F111" s="110"/>
      <c r="G111" s="110" t="s">
        <v>2075</v>
      </c>
      <c r="H111" s="110" t="s">
        <v>2232</v>
      </c>
      <c r="I111" s="110" t="s">
        <v>2220</v>
      </c>
      <c r="J111" s="110" t="s">
        <v>2233</v>
      </c>
      <c r="K111" s="111"/>
    </row>
    <row r="112" spans="1:11" x14ac:dyDescent="0.3">
      <c r="A112" s="108">
        <v>117</v>
      </c>
      <c r="B112" s="110"/>
      <c r="C112" s="110"/>
      <c r="D112" s="110"/>
      <c r="E112" s="110"/>
      <c r="F112" s="110"/>
      <c r="G112" s="110" t="s">
        <v>2234</v>
      </c>
      <c r="H112" s="110" t="s">
        <v>2235</v>
      </c>
      <c r="I112" s="110" t="s">
        <v>1823</v>
      </c>
      <c r="J112" s="110" t="s">
        <v>2233</v>
      </c>
      <c r="K112" s="111"/>
    </row>
    <row r="113" spans="1:11" x14ac:dyDescent="0.3">
      <c r="A113" s="108">
        <v>118</v>
      </c>
      <c r="B113" s="110"/>
      <c r="C113" s="110"/>
      <c r="D113" s="110"/>
      <c r="E113" s="110"/>
      <c r="F113" s="110"/>
      <c r="G113" s="110"/>
      <c r="H113" s="111" t="s">
        <v>2236</v>
      </c>
      <c r="I113" s="110"/>
      <c r="J113" s="110" t="s">
        <v>2187</v>
      </c>
    </row>
    <row r="114" spans="1:11" x14ac:dyDescent="0.3">
      <c r="A114" s="108">
        <v>119</v>
      </c>
      <c r="B114" s="110"/>
      <c r="C114" s="110"/>
      <c r="D114" s="110"/>
      <c r="E114" s="110"/>
      <c r="F114" s="110"/>
      <c r="G114" s="110"/>
      <c r="H114" s="111" t="s">
        <v>2237</v>
      </c>
      <c r="I114" s="110"/>
      <c r="J114" s="110"/>
      <c r="K114" s="111" t="s">
        <v>2238</v>
      </c>
    </row>
    <row r="115" spans="1:11" ht="28.8" x14ac:dyDescent="0.3">
      <c r="A115" s="108">
        <v>120</v>
      </c>
      <c r="B115" s="110"/>
      <c r="C115" s="110"/>
      <c r="D115" s="110"/>
      <c r="E115" s="110"/>
      <c r="F115" s="110"/>
      <c r="G115" s="110"/>
      <c r="H115" s="111" t="s">
        <v>2239</v>
      </c>
      <c r="I115" s="110"/>
      <c r="J115" s="110"/>
      <c r="K115" s="111" t="s">
        <v>2240</v>
      </c>
    </row>
    <row r="116" spans="1:11" x14ac:dyDescent="0.3">
      <c r="A116" s="108">
        <v>121</v>
      </c>
      <c r="B116" s="110"/>
      <c r="C116" s="110"/>
      <c r="D116" s="110"/>
      <c r="E116" s="110"/>
      <c r="F116" s="110"/>
      <c r="G116" s="110"/>
      <c r="H116" s="111" t="s">
        <v>2241</v>
      </c>
      <c r="I116" s="110"/>
      <c r="J116" s="110"/>
      <c r="K116" s="111"/>
    </row>
    <row r="117" spans="1:11" x14ac:dyDescent="0.3">
      <c r="A117" s="108">
        <v>122</v>
      </c>
      <c r="B117" s="110"/>
      <c r="C117" s="110"/>
      <c r="D117" s="110"/>
      <c r="E117" s="110"/>
      <c r="F117" s="110"/>
      <c r="G117" s="110" t="s">
        <v>2234</v>
      </c>
      <c r="H117" s="111" t="s">
        <v>2242</v>
      </c>
      <c r="I117" s="110"/>
      <c r="J117" s="110"/>
      <c r="K117" s="111"/>
    </row>
    <row r="118" spans="1:11" x14ac:dyDescent="0.3">
      <c r="A118" s="108">
        <v>123</v>
      </c>
      <c r="B118" s="110"/>
      <c r="C118" s="110"/>
      <c r="D118" s="110"/>
      <c r="E118" s="110"/>
      <c r="F118" s="110"/>
      <c r="G118" s="110" t="s">
        <v>1127</v>
      </c>
      <c r="H118" s="111" t="s">
        <v>2243</v>
      </c>
      <c r="I118" s="110"/>
      <c r="J118" s="110"/>
      <c r="K118" s="111" t="s">
        <v>2244</v>
      </c>
    </row>
    <row r="119" spans="1:11" ht="28.8" x14ac:dyDescent="0.3">
      <c r="A119" s="108">
        <v>124</v>
      </c>
      <c r="B119" s="110"/>
      <c r="C119" s="110"/>
      <c r="D119" s="110"/>
      <c r="E119" s="110"/>
      <c r="F119" s="110"/>
      <c r="G119" s="110"/>
      <c r="H119" s="111" t="s">
        <v>2245</v>
      </c>
      <c r="I119" s="110" t="s">
        <v>1823</v>
      </c>
      <c r="J119" s="110" t="s">
        <v>2187</v>
      </c>
      <c r="K119" s="111" t="s">
        <v>2246</v>
      </c>
    </row>
    <row r="120" spans="1:11" x14ac:dyDescent="0.3">
      <c r="A120" s="108">
        <v>125</v>
      </c>
      <c r="B120" s="110"/>
      <c r="C120" s="110"/>
      <c r="D120" s="110"/>
      <c r="E120" s="110"/>
      <c r="F120" s="110"/>
      <c r="G120" s="110" t="s">
        <v>2093</v>
      </c>
      <c r="H120" s="111" t="s">
        <v>2247</v>
      </c>
      <c r="I120" s="110" t="s">
        <v>1760</v>
      </c>
      <c r="J120" s="110" t="s">
        <v>2066</v>
      </c>
      <c r="K120" s="111"/>
    </row>
    <row r="121" spans="1:11" x14ac:dyDescent="0.3">
      <c r="A121" s="108">
        <v>127</v>
      </c>
      <c r="B121" s="110"/>
      <c r="C121" s="110"/>
      <c r="D121" s="110"/>
      <c r="E121" s="110"/>
      <c r="F121" s="110"/>
      <c r="G121" s="110"/>
      <c r="H121" s="111" t="s">
        <v>2248</v>
      </c>
      <c r="I121" s="110" t="s">
        <v>1760</v>
      </c>
      <c r="J121" s="110" t="s">
        <v>1773</v>
      </c>
      <c r="K121" s="111"/>
    </row>
    <row r="122" spans="1:11" x14ac:dyDescent="0.3">
      <c r="A122" s="108">
        <v>128</v>
      </c>
      <c r="B122" s="110"/>
      <c r="C122" s="110"/>
      <c r="D122" s="110"/>
      <c r="E122" s="110"/>
      <c r="F122" s="110"/>
      <c r="G122" s="110"/>
      <c r="H122" s="111" t="s">
        <v>2249</v>
      </c>
      <c r="I122" s="110"/>
      <c r="J122" s="110" t="s">
        <v>2066</v>
      </c>
      <c r="K122" s="111" t="s">
        <v>2250</v>
      </c>
    </row>
    <row r="123" spans="1:11" x14ac:dyDescent="0.3">
      <c r="A123" s="108">
        <v>129</v>
      </c>
      <c r="B123" s="110"/>
      <c r="C123" s="110"/>
      <c r="D123" s="110"/>
      <c r="E123" s="110"/>
      <c r="F123" s="110"/>
      <c r="G123" s="110"/>
      <c r="H123" s="111" t="s">
        <v>2251</v>
      </c>
      <c r="I123" s="110"/>
      <c r="J123" s="110"/>
      <c r="K123" s="111" t="s">
        <v>2252</v>
      </c>
    </row>
    <row r="124" spans="1:11" x14ac:dyDescent="0.3">
      <c r="A124" s="108">
        <v>130</v>
      </c>
      <c r="B124" s="110"/>
      <c r="C124" s="110"/>
      <c r="D124" s="110"/>
      <c r="E124" s="110"/>
      <c r="F124" s="110"/>
      <c r="G124" s="110" t="s">
        <v>2075</v>
      </c>
      <c r="H124" s="111" t="s">
        <v>2253</v>
      </c>
      <c r="I124" s="110" t="s">
        <v>1760</v>
      </c>
      <c r="J124" s="110" t="s">
        <v>2066</v>
      </c>
      <c r="K124" s="111"/>
    </row>
    <row r="125" spans="1:11" x14ac:dyDescent="0.3">
      <c r="A125" s="108">
        <v>131</v>
      </c>
      <c r="B125" s="110"/>
      <c r="C125" s="110"/>
      <c r="D125" s="110"/>
      <c r="E125" s="110"/>
      <c r="F125" s="110"/>
      <c r="G125" s="110"/>
      <c r="H125" s="111" t="s">
        <v>2254</v>
      </c>
      <c r="I125" s="110"/>
      <c r="J125" s="110" t="s">
        <v>2187</v>
      </c>
      <c r="K125" s="111"/>
    </row>
    <row r="126" spans="1:11" x14ac:dyDescent="0.3">
      <c r="A126" s="108">
        <v>132</v>
      </c>
      <c r="B126" s="110"/>
      <c r="C126" s="110"/>
      <c r="D126" s="110"/>
      <c r="E126" s="110"/>
      <c r="F126" s="110"/>
      <c r="G126" s="110"/>
      <c r="H126" s="111" t="s">
        <v>2255</v>
      </c>
      <c r="I126" s="110"/>
      <c r="J126" s="110"/>
      <c r="K126" s="111" t="s">
        <v>2252</v>
      </c>
    </row>
    <row r="127" spans="1:11" x14ac:dyDescent="0.3">
      <c r="A127" s="108">
        <v>133</v>
      </c>
      <c r="B127" s="110"/>
      <c r="C127" s="110"/>
      <c r="D127" s="110"/>
      <c r="E127" s="110"/>
      <c r="F127" s="110"/>
      <c r="G127" s="110"/>
      <c r="H127" s="111" t="s">
        <v>2256</v>
      </c>
      <c r="I127" s="110"/>
      <c r="J127" s="110"/>
      <c r="K127" s="111" t="s">
        <v>2252</v>
      </c>
    </row>
    <row r="128" spans="1:11" x14ac:dyDescent="0.3">
      <c r="A128" s="108">
        <v>134</v>
      </c>
      <c r="B128" s="110"/>
      <c r="C128" s="110"/>
      <c r="D128" s="110"/>
      <c r="E128" s="110"/>
      <c r="F128" s="110"/>
      <c r="G128" s="110"/>
      <c r="H128" s="111" t="s">
        <v>2257</v>
      </c>
      <c r="I128" s="110"/>
      <c r="J128" s="110" t="s">
        <v>2086</v>
      </c>
      <c r="K128" s="111"/>
    </row>
    <row r="129" spans="1:11" x14ac:dyDescent="0.3">
      <c r="A129" s="108">
        <v>135</v>
      </c>
      <c r="B129" s="110"/>
      <c r="C129" s="110" t="s">
        <v>2258</v>
      </c>
      <c r="D129" s="110"/>
      <c r="E129" s="110"/>
      <c r="F129" s="110"/>
      <c r="G129" s="110"/>
      <c r="H129" s="63" t="s">
        <v>2259</v>
      </c>
      <c r="I129" s="110"/>
      <c r="J129" s="110" t="s">
        <v>1773</v>
      </c>
      <c r="K129" s="111"/>
    </row>
    <row r="130" spans="1:11" x14ac:dyDescent="0.3">
      <c r="A130" s="108">
        <v>136</v>
      </c>
      <c r="B130" s="110"/>
      <c r="C130" s="110"/>
      <c r="D130" s="110"/>
      <c r="E130" s="110"/>
      <c r="F130" s="110"/>
      <c r="G130" s="110"/>
      <c r="H130" s="63" t="s">
        <v>2260</v>
      </c>
      <c r="I130" s="110"/>
      <c r="J130" s="110" t="s">
        <v>1773</v>
      </c>
      <c r="K130" s="111" t="s">
        <v>2261</v>
      </c>
    </row>
    <row r="131" spans="1:11" x14ac:dyDescent="0.3">
      <c r="A131" s="108">
        <v>137</v>
      </c>
      <c r="B131" s="110"/>
      <c r="C131" s="110"/>
      <c r="D131" s="110"/>
      <c r="E131" s="110"/>
      <c r="F131" s="110"/>
      <c r="G131" s="110"/>
      <c r="H131" s="111" t="s">
        <v>2262</v>
      </c>
      <c r="I131" s="110"/>
      <c r="J131" s="110" t="s">
        <v>1773</v>
      </c>
      <c r="K131" s="111"/>
    </row>
    <row r="132" spans="1:11" x14ac:dyDescent="0.3">
      <c r="A132" s="108">
        <v>138</v>
      </c>
      <c r="B132" s="110"/>
      <c r="C132" s="110"/>
      <c r="D132" s="110"/>
      <c r="E132" s="110"/>
      <c r="F132" s="110"/>
      <c r="G132" s="110"/>
      <c r="H132" s="111" t="s">
        <v>2263</v>
      </c>
      <c r="I132" s="110"/>
      <c r="J132" s="110" t="s">
        <v>1773</v>
      </c>
      <c r="K132" s="111"/>
    </row>
    <row r="133" spans="1:11" x14ac:dyDescent="0.3">
      <c r="A133" s="108">
        <v>139</v>
      </c>
      <c r="B133" s="110"/>
      <c r="C133" s="110"/>
      <c r="D133" s="110"/>
      <c r="E133" s="110"/>
      <c r="F133" s="110"/>
      <c r="G133" s="110"/>
      <c r="H133" s="111" t="s">
        <v>2264</v>
      </c>
      <c r="I133" s="110"/>
      <c r="J133" s="110" t="s">
        <v>1773</v>
      </c>
      <c r="K133" s="111"/>
    </row>
    <row r="134" spans="1:11" x14ac:dyDescent="0.3">
      <c r="A134" s="108">
        <v>140</v>
      </c>
      <c r="B134" s="110"/>
      <c r="C134" s="110"/>
      <c r="D134" s="110"/>
      <c r="E134" s="110"/>
      <c r="F134" s="110"/>
      <c r="G134" s="110"/>
      <c r="H134" s="111" t="s">
        <v>2265</v>
      </c>
      <c r="I134" s="110"/>
      <c r="J134" s="110"/>
      <c r="K134" s="111" t="s">
        <v>2266</v>
      </c>
    </row>
    <row r="135" spans="1:11" x14ac:dyDescent="0.3">
      <c r="A135" s="108">
        <v>141</v>
      </c>
      <c r="B135" s="110"/>
      <c r="C135" s="110"/>
      <c r="D135" s="110"/>
      <c r="E135" s="110"/>
      <c r="F135" s="110"/>
      <c r="G135" s="110"/>
      <c r="H135" s="111" t="s">
        <v>2267</v>
      </c>
      <c r="I135" s="110"/>
      <c r="J135" s="110"/>
      <c r="K135" s="111" t="s">
        <v>2252</v>
      </c>
    </row>
    <row r="136" spans="1:11" x14ac:dyDescent="0.3">
      <c r="A136" s="108">
        <v>142</v>
      </c>
      <c r="B136" s="110"/>
      <c r="C136" s="110" t="s">
        <v>2268</v>
      </c>
      <c r="D136" s="110"/>
      <c r="E136" s="110"/>
      <c r="F136" s="110"/>
      <c r="G136" s="110"/>
      <c r="H136" s="111" t="s">
        <v>2269</v>
      </c>
      <c r="I136" s="110"/>
      <c r="J136" s="110" t="s">
        <v>1773</v>
      </c>
      <c r="K136" s="111"/>
    </row>
    <row r="137" spans="1:11" x14ac:dyDescent="0.3">
      <c r="A137" s="108">
        <v>143</v>
      </c>
      <c r="B137" s="110"/>
      <c r="C137" s="110"/>
      <c r="D137" s="110"/>
      <c r="E137" s="110"/>
      <c r="F137" s="110"/>
      <c r="G137" s="110"/>
      <c r="H137" s="111" t="s">
        <v>2270</v>
      </c>
      <c r="I137" s="110" t="s">
        <v>1760</v>
      </c>
      <c r="J137" s="110" t="s">
        <v>2187</v>
      </c>
      <c r="K137" s="111"/>
    </row>
    <row r="138" spans="1:11" x14ac:dyDescent="0.3">
      <c r="A138" s="108">
        <v>145</v>
      </c>
      <c r="B138" s="110"/>
      <c r="C138" s="110"/>
      <c r="D138" s="110"/>
      <c r="E138" s="110"/>
      <c r="F138" s="110"/>
      <c r="G138" s="110"/>
      <c r="H138" s="111" t="s">
        <v>2271</v>
      </c>
      <c r="I138" s="110"/>
      <c r="J138" s="110" t="s">
        <v>1773</v>
      </c>
      <c r="K138" s="111"/>
    </row>
    <row r="139" spans="1:11" x14ac:dyDescent="0.3">
      <c r="A139" s="108">
        <v>146</v>
      </c>
      <c r="B139" s="110"/>
      <c r="C139" s="110"/>
      <c r="D139" s="110"/>
      <c r="E139" s="110"/>
      <c r="F139" s="110"/>
      <c r="G139" s="110"/>
      <c r="H139" s="111" t="s">
        <v>2272</v>
      </c>
      <c r="I139" s="110"/>
      <c r="J139" s="110" t="s">
        <v>1773</v>
      </c>
      <c r="K139" s="111"/>
    </row>
    <row r="140" spans="1:11" x14ac:dyDescent="0.3">
      <c r="A140" s="108">
        <v>147</v>
      </c>
      <c r="B140" s="110"/>
      <c r="C140" s="110"/>
      <c r="D140" s="110"/>
      <c r="E140" s="110"/>
      <c r="F140" s="110"/>
      <c r="G140" s="110"/>
      <c r="H140" s="111" t="s">
        <v>2273</v>
      </c>
      <c r="I140" s="110"/>
      <c r="J140" s="110" t="s">
        <v>1773</v>
      </c>
      <c r="K140" s="111" t="s">
        <v>2274</v>
      </c>
    </row>
    <row r="141" spans="1:11" x14ac:dyDescent="0.3">
      <c r="A141" s="108">
        <v>148</v>
      </c>
      <c r="B141" s="110"/>
      <c r="C141" s="110"/>
      <c r="D141" s="110"/>
      <c r="E141" s="110"/>
      <c r="F141" s="110"/>
      <c r="G141" s="110"/>
      <c r="H141" s="111" t="s">
        <v>2275</v>
      </c>
      <c r="I141" s="110"/>
      <c r="J141" s="110" t="s">
        <v>1773</v>
      </c>
      <c r="K141" s="111" t="s">
        <v>2276</v>
      </c>
    </row>
    <row r="142" spans="1:11" x14ac:dyDescent="0.3">
      <c r="A142" s="108">
        <v>149</v>
      </c>
      <c r="B142" s="110"/>
      <c r="C142" s="110"/>
      <c r="D142" s="110"/>
      <c r="E142" s="110"/>
      <c r="F142" s="110"/>
      <c r="G142" s="110" t="s">
        <v>2075</v>
      </c>
      <c r="H142" s="111" t="s">
        <v>2277</v>
      </c>
      <c r="I142" s="110" t="s">
        <v>1760</v>
      </c>
      <c r="J142" s="110" t="s">
        <v>2066</v>
      </c>
      <c r="K142" s="111"/>
    </row>
    <row r="143" spans="1:11" x14ac:dyDescent="0.3">
      <c r="A143" s="108">
        <v>150</v>
      </c>
      <c r="B143" s="110"/>
      <c r="C143" s="110"/>
      <c r="D143" s="110"/>
      <c r="E143" s="110"/>
      <c r="F143" s="110"/>
      <c r="G143" s="110"/>
      <c r="H143" s="111" t="s">
        <v>2278</v>
      </c>
      <c r="I143" s="110" t="s">
        <v>1756</v>
      </c>
      <c r="J143" s="110" t="s">
        <v>1773</v>
      </c>
      <c r="K143" s="111" t="s">
        <v>2279</v>
      </c>
    </row>
    <row r="144" spans="1:11" x14ac:dyDescent="0.3">
      <c r="A144" s="108">
        <v>151</v>
      </c>
      <c r="B144" s="110"/>
      <c r="C144" s="110"/>
      <c r="D144" s="110"/>
      <c r="E144" s="110"/>
      <c r="F144" s="110"/>
      <c r="G144" s="110"/>
      <c r="H144" s="111" t="s">
        <v>2280</v>
      </c>
      <c r="I144" s="110"/>
      <c r="J144" s="110" t="s">
        <v>2187</v>
      </c>
      <c r="K144" s="111" t="s">
        <v>2281</v>
      </c>
    </row>
    <row r="145" spans="1:11" x14ac:dyDescent="0.3">
      <c r="A145" s="108">
        <v>152</v>
      </c>
      <c r="B145" s="110"/>
      <c r="C145" s="110"/>
      <c r="D145" s="110"/>
      <c r="E145" s="110"/>
      <c r="F145" s="110"/>
      <c r="G145" s="110"/>
      <c r="H145" s="111" t="s">
        <v>2282</v>
      </c>
      <c r="I145" s="110"/>
      <c r="J145" s="110"/>
      <c r="K145" s="111" t="s">
        <v>2252</v>
      </c>
    </row>
    <row r="146" spans="1:11" x14ac:dyDescent="0.3">
      <c r="A146" s="108">
        <v>153</v>
      </c>
      <c r="B146" s="118">
        <v>46157</v>
      </c>
      <c r="C146" s="110" t="s">
        <v>2283</v>
      </c>
      <c r="D146" s="110" t="s">
        <v>2107</v>
      </c>
      <c r="E146" s="110"/>
      <c r="F146" s="110"/>
      <c r="G146" s="110" t="s">
        <v>2062</v>
      </c>
      <c r="H146" s="111" t="s">
        <v>2284</v>
      </c>
      <c r="I146" s="110" t="s">
        <v>1760</v>
      </c>
      <c r="J146" s="110" t="s">
        <v>2066</v>
      </c>
      <c r="K146" s="111"/>
    </row>
    <row r="147" spans="1:11" x14ac:dyDescent="0.3">
      <c r="A147" s="108">
        <v>154</v>
      </c>
      <c r="B147" s="118">
        <v>46157</v>
      </c>
      <c r="C147" s="110" t="s">
        <v>2283</v>
      </c>
      <c r="D147" s="110" t="s">
        <v>2107</v>
      </c>
      <c r="E147" s="110"/>
      <c r="F147" s="110"/>
      <c r="G147" s="110" t="s">
        <v>96</v>
      </c>
      <c r="H147" s="111" t="s">
        <v>2285</v>
      </c>
      <c r="I147" s="110" t="s">
        <v>1760</v>
      </c>
      <c r="J147" s="110" t="s">
        <v>2066</v>
      </c>
      <c r="K147" s="111"/>
    </row>
    <row r="148" spans="1:11" ht="28.8" x14ac:dyDescent="0.3">
      <c r="A148" s="108">
        <v>155</v>
      </c>
      <c r="B148" s="118">
        <v>46157</v>
      </c>
      <c r="C148" s="110" t="s">
        <v>2283</v>
      </c>
      <c r="D148" s="110" t="s">
        <v>2107</v>
      </c>
      <c r="E148" s="110"/>
      <c r="F148" s="110"/>
      <c r="G148" s="110"/>
      <c r="H148" s="111" t="s">
        <v>2286</v>
      </c>
      <c r="I148" s="110" t="s">
        <v>1760</v>
      </c>
      <c r="J148" s="110" t="s">
        <v>1773</v>
      </c>
      <c r="K148" s="111"/>
    </row>
    <row r="149" spans="1:11" x14ac:dyDescent="0.3">
      <c r="A149" s="108">
        <v>156</v>
      </c>
      <c r="B149" s="118">
        <v>46157</v>
      </c>
      <c r="C149" s="110" t="s">
        <v>2283</v>
      </c>
      <c r="D149" s="110" t="s">
        <v>2107</v>
      </c>
      <c r="E149" s="110"/>
      <c r="F149" s="110"/>
      <c r="G149" s="110"/>
      <c r="H149" s="111" t="s">
        <v>2287</v>
      </c>
      <c r="I149" s="110" t="s">
        <v>1760</v>
      </c>
      <c r="J149" s="110" t="s">
        <v>1773</v>
      </c>
      <c r="K149" s="111"/>
    </row>
    <row r="150" spans="1:11" x14ac:dyDescent="0.3">
      <c r="A150" s="108">
        <v>157</v>
      </c>
      <c r="B150" s="118">
        <v>46157</v>
      </c>
      <c r="C150" s="110" t="s">
        <v>2283</v>
      </c>
      <c r="D150" s="110" t="s">
        <v>2107</v>
      </c>
      <c r="E150" s="110"/>
      <c r="F150" s="110"/>
      <c r="G150" s="110"/>
      <c r="H150" s="111" t="s">
        <v>2288</v>
      </c>
      <c r="I150" s="110" t="s">
        <v>1760</v>
      </c>
      <c r="J150" s="110" t="s">
        <v>1773</v>
      </c>
      <c r="K150" s="111"/>
    </row>
    <row r="151" spans="1:11" x14ac:dyDescent="0.25">
      <c r="A151" s="108">
        <v>158</v>
      </c>
      <c r="B151" s="118">
        <v>46157</v>
      </c>
      <c r="C151" s="110"/>
      <c r="D151" s="119" t="s">
        <v>2289</v>
      </c>
      <c r="E151" s="119"/>
      <c r="F151" s="119"/>
      <c r="G151" s="119"/>
      <c r="H151" s="111" t="s">
        <v>2290</v>
      </c>
      <c r="I151" s="110" t="s">
        <v>1756</v>
      </c>
      <c r="J151" s="110" t="s">
        <v>1773</v>
      </c>
      <c r="K151" s="111" t="s">
        <v>2291</v>
      </c>
    </row>
    <row r="152" spans="1:11" ht="28.8" x14ac:dyDescent="0.3">
      <c r="A152" s="108">
        <v>160</v>
      </c>
      <c r="B152" s="110"/>
      <c r="C152" s="110"/>
      <c r="D152" s="110"/>
      <c r="E152" s="110"/>
      <c r="F152" s="110"/>
      <c r="G152" s="110"/>
      <c r="H152" s="111" t="s">
        <v>2292</v>
      </c>
      <c r="I152" s="110" t="s">
        <v>1756</v>
      </c>
      <c r="J152" s="110" t="s">
        <v>2187</v>
      </c>
      <c r="K152" s="111" t="s">
        <v>2293</v>
      </c>
    </row>
    <row r="153" spans="1:11" x14ac:dyDescent="0.3">
      <c r="A153" s="108">
        <v>161</v>
      </c>
      <c r="B153" s="110"/>
      <c r="C153" s="110"/>
      <c r="D153" s="110"/>
      <c r="E153" s="110"/>
      <c r="F153" s="110"/>
      <c r="G153" s="110"/>
      <c r="H153" s="111" t="s">
        <v>2294</v>
      </c>
      <c r="I153" s="110"/>
      <c r="J153" s="110"/>
      <c r="K153" s="111" t="s">
        <v>2252</v>
      </c>
    </row>
    <row r="154" spans="1:11" ht="28.8" x14ac:dyDescent="0.3">
      <c r="A154" s="108">
        <v>163</v>
      </c>
      <c r="B154" s="110"/>
      <c r="C154" s="110"/>
      <c r="D154" s="110"/>
      <c r="E154" s="110"/>
      <c r="F154" s="110"/>
      <c r="G154" s="110" t="s">
        <v>2295</v>
      </c>
      <c r="H154" s="111" t="s">
        <v>2296</v>
      </c>
      <c r="I154" s="110" t="s">
        <v>1756</v>
      </c>
      <c r="J154" s="110" t="s">
        <v>2066</v>
      </c>
      <c r="K154" s="111" t="s">
        <v>2297</v>
      </c>
    </row>
    <row r="155" spans="1:11" x14ac:dyDescent="0.3">
      <c r="A155" s="108">
        <v>164</v>
      </c>
      <c r="B155" s="110"/>
      <c r="C155" s="110"/>
      <c r="D155" s="110"/>
      <c r="E155" s="110"/>
      <c r="F155" s="110"/>
      <c r="G155" s="110"/>
      <c r="H155" s="111" t="s">
        <v>2298</v>
      </c>
      <c r="I155" s="110" t="s">
        <v>1756</v>
      </c>
      <c r="J155" s="110" t="s">
        <v>1773</v>
      </c>
      <c r="K155" s="140" t="s">
        <v>2252</v>
      </c>
    </row>
    <row r="156" spans="1:11" ht="36" customHeight="1" x14ac:dyDescent="0.3">
      <c r="A156" s="108">
        <v>165</v>
      </c>
      <c r="B156" s="110"/>
      <c r="C156" s="110"/>
      <c r="D156" s="110"/>
      <c r="E156" s="110"/>
      <c r="F156" s="110"/>
      <c r="G156" s="110"/>
      <c r="H156" s="111" t="s">
        <v>2299</v>
      </c>
      <c r="I156" s="110"/>
      <c r="J156" s="110" t="s">
        <v>2187</v>
      </c>
      <c r="K156" s="111" t="s">
        <v>2300</v>
      </c>
    </row>
    <row r="157" spans="1:11" x14ac:dyDescent="0.3">
      <c r="A157" s="108">
        <v>166</v>
      </c>
      <c r="B157" s="110"/>
      <c r="C157" s="110"/>
      <c r="D157" s="110"/>
      <c r="E157" s="110"/>
      <c r="F157" s="110"/>
      <c r="G157" s="110"/>
      <c r="H157" s="111" t="s">
        <v>2301</v>
      </c>
      <c r="I157" s="110"/>
      <c r="J157" s="110"/>
      <c r="K157" s="111" t="s">
        <v>2252</v>
      </c>
    </row>
    <row r="158" spans="1:11" x14ac:dyDescent="0.3">
      <c r="A158" s="108">
        <v>167</v>
      </c>
      <c r="B158" s="110"/>
      <c r="C158" s="110"/>
      <c r="D158" s="110"/>
      <c r="E158" s="110"/>
      <c r="F158" s="110"/>
      <c r="G158" s="110"/>
      <c r="H158" s="111" t="s">
        <v>2302</v>
      </c>
      <c r="I158" s="110"/>
      <c r="J158" s="110"/>
      <c r="K158" s="111" t="s">
        <v>2252</v>
      </c>
    </row>
    <row r="159" spans="1:11" x14ac:dyDescent="0.3">
      <c r="A159" s="108">
        <v>168</v>
      </c>
      <c r="B159" s="110"/>
      <c r="C159" s="110"/>
      <c r="D159" s="110"/>
      <c r="E159" s="110"/>
      <c r="F159" s="110"/>
      <c r="G159" s="110"/>
      <c r="H159" s="111" t="s">
        <v>2303</v>
      </c>
      <c r="I159" s="110"/>
      <c r="J159" s="110" t="s">
        <v>1773</v>
      </c>
      <c r="K159" s="111" t="s">
        <v>2304</v>
      </c>
    </row>
    <row r="160" spans="1:11" x14ac:dyDescent="0.3">
      <c r="A160" s="108">
        <v>169</v>
      </c>
      <c r="B160" s="110"/>
      <c r="C160" s="110"/>
      <c r="D160" s="110"/>
      <c r="E160" s="110"/>
      <c r="F160" s="110"/>
      <c r="G160" s="110"/>
      <c r="H160" s="111" t="s">
        <v>2305</v>
      </c>
      <c r="I160" s="110"/>
      <c r="J160" s="110"/>
      <c r="K160" s="111" t="s">
        <v>2252</v>
      </c>
    </row>
    <row r="161" spans="1:11" x14ac:dyDescent="0.3">
      <c r="A161" s="108">
        <v>170</v>
      </c>
      <c r="B161" s="110"/>
      <c r="C161" s="110"/>
      <c r="D161" s="110"/>
      <c r="E161" s="110"/>
      <c r="F161" s="110"/>
      <c r="G161" s="110" t="s">
        <v>2125</v>
      </c>
      <c r="H161" s="111" t="s">
        <v>2306</v>
      </c>
      <c r="I161" s="110" t="s">
        <v>1823</v>
      </c>
      <c r="J161" s="110" t="s">
        <v>2066</v>
      </c>
      <c r="K161" s="111"/>
    </row>
    <row r="162" spans="1:11" x14ac:dyDescent="0.3">
      <c r="A162" s="108">
        <v>171</v>
      </c>
      <c r="B162" s="110"/>
      <c r="C162" s="110"/>
      <c r="D162" s="110"/>
      <c r="E162" s="110"/>
      <c r="F162" s="110"/>
      <c r="G162" s="110"/>
      <c r="H162" s="111" t="s">
        <v>2307</v>
      </c>
      <c r="I162" s="110"/>
      <c r="J162" s="110"/>
      <c r="K162" s="111" t="s">
        <v>2252</v>
      </c>
    </row>
    <row r="163" spans="1:11" ht="28.8" x14ac:dyDescent="0.3">
      <c r="A163" s="108">
        <v>172</v>
      </c>
      <c r="B163" s="110"/>
      <c r="C163" s="110"/>
      <c r="D163" s="110"/>
      <c r="E163" s="110"/>
      <c r="F163" s="110"/>
      <c r="G163" s="110"/>
      <c r="H163" s="111" t="s">
        <v>2308</v>
      </c>
      <c r="I163" s="110"/>
      <c r="J163" s="110"/>
      <c r="K163" s="111" t="s">
        <v>2252</v>
      </c>
    </row>
    <row r="164" spans="1:11" ht="28.8" x14ac:dyDescent="0.3">
      <c r="A164" s="108">
        <v>173</v>
      </c>
      <c r="B164" s="118">
        <v>46157</v>
      </c>
      <c r="C164" s="110" t="s">
        <v>2309</v>
      </c>
      <c r="D164" s="110" t="s">
        <v>2107</v>
      </c>
      <c r="E164" s="110"/>
      <c r="F164" s="110"/>
      <c r="G164" s="110" t="s">
        <v>2295</v>
      </c>
      <c r="H164" s="111" t="s">
        <v>2310</v>
      </c>
      <c r="I164" s="110" t="s">
        <v>1797</v>
      </c>
      <c r="J164" s="110" t="s">
        <v>2066</v>
      </c>
      <c r="K164" s="111" t="s">
        <v>2311</v>
      </c>
    </row>
    <row r="165" spans="1:11" ht="58.5" customHeight="1" x14ac:dyDescent="0.3">
      <c r="A165" s="108">
        <v>174</v>
      </c>
      <c r="B165" s="110"/>
      <c r="C165" s="110" t="s">
        <v>2312</v>
      </c>
      <c r="D165" s="110" t="s">
        <v>2313</v>
      </c>
      <c r="E165" s="110"/>
      <c r="F165" s="110"/>
      <c r="G165" s="110"/>
      <c r="H165" s="111" t="s">
        <v>2314</v>
      </c>
      <c r="I165" s="110" t="s">
        <v>1760</v>
      </c>
      <c r="J165" s="110" t="s">
        <v>2187</v>
      </c>
      <c r="K165" s="111" t="s">
        <v>2315</v>
      </c>
    </row>
    <row r="166" spans="1:11" ht="28.8" x14ac:dyDescent="0.3">
      <c r="A166" s="108">
        <v>175</v>
      </c>
      <c r="B166" s="118">
        <v>46157</v>
      </c>
      <c r="C166" s="110" t="s">
        <v>2316</v>
      </c>
      <c r="D166" s="110" t="s">
        <v>2317</v>
      </c>
      <c r="E166" s="110" t="s">
        <v>2318</v>
      </c>
      <c r="F166" s="110"/>
      <c r="G166" s="110"/>
      <c r="H166" s="111" t="s">
        <v>2319</v>
      </c>
      <c r="I166" s="110" t="s">
        <v>1797</v>
      </c>
      <c r="J166" s="110" t="s">
        <v>1773</v>
      </c>
      <c r="K166" s="111" t="s">
        <v>2320</v>
      </c>
    </row>
    <row r="167" spans="1:11" ht="60" customHeight="1" x14ac:dyDescent="0.3">
      <c r="A167" s="108">
        <v>176</v>
      </c>
      <c r="B167" s="110"/>
      <c r="C167" s="110"/>
      <c r="D167" s="110"/>
      <c r="E167" s="110"/>
      <c r="F167" s="110"/>
      <c r="G167" s="110"/>
      <c r="H167" s="111" t="s">
        <v>2321</v>
      </c>
      <c r="I167" s="110"/>
      <c r="J167" s="110" t="s">
        <v>1773</v>
      </c>
      <c r="K167" s="111" t="s">
        <v>2322</v>
      </c>
    </row>
    <row r="168" spans="1:11" ht="28.8" x14ac:dyDescent="0.3">
      <c r="A168" s="108">
        <v>177</v>
      </c>
      <c r="B168" s="118">
        <v>46157</v>
      </c>
      <c r="C168" s="110" t="s">
        <v>2323</v>
      </c>
      <c r="D168" s="110" t="s">
        <v>2313</v>
      </c>
      <c r="E168" s="110" t="s">
        <v>2324</v>
      </c>
      <c r="F168" s="110"/>
      <c r="G168" s="110"/>
      <c r="H168" s="111" t="s">
        <v>2325</v>
      </c>
      <c r="I168" s="110" t="s">
        <v>1760</v>
      </c>
      <c r="J168" s="110" t="s">
        <v>1773</v>
      </c>
      <c r="K168" s="111" t="s">
        <v>2326</v>
      </c>
    </row>
    <row r="169" spans="1:11" x14ac:dyDescent="0.3">
      <c r="A169" s="108">
        <v>178</v>
      </c>
      <c r="B169" s="118">
        <v>46157</v>
      </c>
      <c r="C169" s="110" t="s">
        <v>2327</v>
      </c>
      <c r="D169" s="110"/>
      <c r="E169" s="110" t="s">
        <v>2328</v>
      </c>
      <c r="F169" s="110"/>
      <c r="G169" s="110"/>
      <c r="H169" s="111" t="s">
        <v>2329</v>
      </c>
      <c r="I169" s="110"/>
      <c r="J169" s="110" t="s">
        <v>1773</v>
      </c>
      <c r="K169" s="111" t="s">
        <v>2330</v>
      </c>
    </row>
    <row r="170" spans="1:11" x14ac:dyDescent="0.3">
      <c r="A170" s="108">
        <v>179</v>
      </c>
      <c r="B170" s="110"/>
      <c r="C170" s="110"/>
      <c r="D170" s="110"/>
      <c r="E170" s="110"/>
      <c r="F170" s="110"/>
      <c r="G170" s="110"/>
      <c r="H170" s="111" t="s">
        <v>2331</v>
      </c>
      <c r="I170" s="110"/>
      <c r="J170" s="110" t="s">
        <v>1773</v>
      </c>
      <c r="K170" s="111" t="s">
        <v>2332</v>
      </c>
    </row>
    <row r="171" spans="1:11" x14ac:dyDescent="0.3">
      <c r="A171" s="108">
        <v>180</v>
      </c>
      <c r="B171" s="110"/>
      <c r="C171" s="110"/>
      <c r="D171" s="110"/>
      <c r="E171" s="110"/>
      <c r="F171" s="110"/>
      <c r="G171" s="110"/>
      <c r="H171" s="111" t="s">
        <v>2333</v>
      </c>
      <c r="I171" s="110"/>
      <c r="J171" s="110"/>
      <c r="K171" s="111" t="s">
        <v>2252</v>
      </c>
    </row>
    <row r="172" spans="1:11" ht="28.8" x14ac:dyDescent="0.3">
      <c r="A172" s="108">
        <v>181</v>
      </c>
      <c r="B172" s="110"/>
      <c r="C172" s="110"/>
      <c r="D172" s="110"/>
      <c r="E172" s="110"/>
      <c r="F172" s="110"/>
      <c r="G172" s="110"/>
      <c r="H172" s="111" t="s">
        <v>2334</v>
      </c>
      <c r="I172" s="110"/>
      <c r="J172" s="110"/>
      <c r="K172" s="111" t="s">
        <v>2252</v>
      </c>
    </row>
    <row r="173" spans="1:11" ht="28.8" x14ac:dyDescent="0.3">
      <c r="A173" s="108">
        <v>182</v>
      </c>
      <c r="B173" s="110"/>
      <c r="C173" s="110"/>
      <c r="D173" s="110"/>
      <c r="E173" s="110"/>
      <c r="F173" s="110"/>
      <c r="G173" s="110"/>
      <c r="H173" s="111" t="s">
        <v>2335</v>
      </c>
      <c r="I173" s="110"/>
      <c r="J173" s="110"/>
      <c r="K173" s="111" t="s">
        <v>2252</v>
      </c>
    </row>
    <row r="174" spans="1:11" ht="28.8" x14ac:dyDescent="0.3">
      <c r="A174" s="108">
        <v>183</v>
      </c>
      <c r="B174" s="110"/>
      <c r="C174" s="110"/>
      <c r="D174" s="110"/>
      <c r="E174" s="110"/>
      <c r="F174" s="110"/>
      <c r="G174" s="110"/>
      <c r="H174" s="111" t="s">
        <v>2336</v>
      </c>
      <c r="I174" s="110"/>
      <c r="J174" s="110"/>
      <c r="K174" s="111" t="s">
        <v>2252</v>
      </c>
    </row>
    <row r="175" spans="1:11" ht="50.25" customHeight="1" x14ac:dyDescent="0.3">
      <c r="A175" s="108">
        <v>184</v>
      </c>
      <c r="B175" s="110"/>
      <c r="C175" s="110"/>
      <c r="D175" s="110"/>
      <c r="E175" s="110"/>
      <c r="F175" s="110"/>
      <c r="G175" s="110"/>
      <c r="H175" s="111" t="s">
        <v>2337</v>
      </c>
      <c r="I175" s="110"/>
      <c r="J175" s="110"/>
      <c r="K175" s="111" t="s">
        <v>2252</v>
      </c>
    </row>
    <row r="176" spans="1:11" ht="28.8" x14ac:dyDescent="0.3">
      <c r="A176" s="108">
        <v>185</v>
      </c>
      <c r="B176" s="110"/>
      <c r="C176" s="110"/>
      <c r="D176" s="110"/>
      <c r="E176" s="110"/>
      <c r="F176" s="110"/>
      <c r="G176" s="110"/>
      <c r="H176" s="111" t="s">
        <v>2338</v>
      </c>
      <c r="I176" s="110"/>
      <c r="J176" s="110"/>
      <c r="K176" s="111" t="s">
        <v>2339</v>
      </c>
    </row>
    <row r="177" spans="1:11" ht="28.8" x14ac:dyDescent="0.3">
      <c r="A177" s="108">
        <v>186</v>
      </c>
      <c r="B177" s="110"/>
      <c r="C177" s="110"/>
      <c r="D177" s="110"/>
      <c r="E177" s="110"/>
      <c r="F177" s="110"/>
      <c r="G177" s="110"/>
      <c r="H177" s="111" t="s">
        <v>2340</v>
      </c>
      <c r="I177" s="110" t="s">
        <v>1823</v>
      </c>
      <c r="J177" s="110"/>
      <c r="K177" s="111" t="s">
        <v>2341</v>
      </c>
    </row>
    <row r="178" spans="1:11" ht="28.8" x14ac:dyDescent="0.3">
      <c r="A178" s="108">
        <v>187</v>
      </c>
      <c r="B178" s="110"/>
      <c r="C178" s="110"/>
      <c r="D178" s="110"/>
      <c r="E178" s="110"/>
      <c r="F178" s="110"/>
      <c r="G178" s="110"/>
      <c r="H178" s="111" t="s">
        <v>2342</v>
      </c>
      <c r="I178" s="110"/>
      <c r="J178" s="110"/>
      <c r="K178" s="111" t="s">
        <v>2252</v>
      </c>
    </row>
    <row r="179" spans="1:11" x14ac:dyDescent="0.3">
      <c r="A179" s="108">
        <v>188</v>
      </c>
      <c r="B179" s="110"/>
      <c r="C179" s="110"/>
      <c r="D179" s="110"/>
      <c r="E179" s="110"/>
      <c r="F179" s="110"/>
      <c r="G179" s="110" t="s">
        <v>1759</v>
      </c>
      <c r="H179" s="111" t="s">
        <v>2343</v>
      </c>
      <c r="I179" s="110" t="s">
        <v>1760</v>
      </c>
      <c r="J179" s="110" t="s">
        <v>2066</v>
      </c>
      <c r="K179" s="111"/>
    </row>
    <row r="180" spans="1:11" ht="28.8" x14ac:dyDescent="0.3">
      <c r="A180" s="108">
        <v>189</v>
      </c>
      <c r="B180" s="110"/>
      <c r="C180" s="110" t="s">
        <v>2344</v>
      </c>
      <c r="D180" s="110"/>
      <c r="E180" s="110"/>
      <c r="F180" s="110"/>
      <c r="G180" s="110" t="s">
        <v>2345</v>
      </c>
      <c r="H180" s="111" t="s">
        <v>2346</v>
      </c>
      <c r="I180" s="110" t="s">
        <v>1756</v>
      </c>
      <c r="J180" s="110"/>
      <c r="K180" s="111" t="s">
        <v>2252</v>
      </c>
    </row>
    <row r="181" spans="1:11" x14ac:dyDescent="0.3">
      <c r="A181" s="108">
        <v>190</v>
      </c>
      <c r="B181" s="110"/>
      <c r="C181" s="110"/>
      <c r="D181" s="110"/>
      <c r="E181" s="110"/>
      <c r="F181" s="110"/>
      <c r="G181" s="110" t="s">
        <v>1516</v>
      </c>
      <c r="H181" s="111" t="s">
        <v>2347</v>
      </c>
      <c r="I181" s="110"/>
      <c r="J181" s="110"/>
      <c r="K181" s="111" t="s">
        <v>2252</v>
      </c>
    </row>
    <row r="182" spans="1:11" ht="28.8" x14ac:dyDescent="0.3">
      <c r="A182" s="108">
        <v>191</v>
      </c>
      <c r="B182" s="110"/>
      <c r="C182" s="110" t="s">
        <v>2344</v>
      </c>
      <c r="D182" s="110"/>
      <c r="E182" s="110"/>
      <c r="F182" s="110"/>
      <c r="G182" s="110" t="s">
        <v>1127</v>
      </c>
      <c r="H182" s="111" t="s">
        <v>2348</v>
      </c>
      <c r="I182" s="110"/>
      <c r="J182" s="110" t="s">
        <v>1773</v>
      </c>
      <c r="K182" s="111" t="s">
        <v>2349</v>
      </c>
    </row>
    <row r="183" spans="1:11" x14ac:dyDescent="0.3">
      <c r="A183" s="108">
        <v>192</v>
      </c>
      <c r="B183" s="110"/>
      <c r="C183" s="110" t="s">
        <v>2344</v>
      </c>
      <c r="D183" s="110"/>
      <c r="E183" s="110"/>
      <c r="F183" s="110"/>
      <c r="G183" s="110" t="s">
        <v>1127</v>
      </c>
      <c r="H183" s="111" t="s">
        <v>2350</v>
      </c>
      <c r="I183" s="110"/>
      <c r="J183" s="110" t="s">
        <v>1773</v>
      </c>
      <c r="K183" s="111"/>
    </row>
    <row r="184" spans="1:11" ht="21.75" customHeight="1" x14ac:dyDescent="0.3">
      <c r="A184" s="108">
        <v>193</v>
      </c>
      <c r="B184" s="110"/>
      <c r="C184" s="110" t="s">
        <v>2344</v>
      </c>
      <c r="D184" s="110"/>
      <c r="E184" s="110"/>
      <c r="F184" s="110"/>
      <c r="G184" s="110" t="s">
        <v>2351</v>
      </c>
      <c r="H184" s="111" t="s">
        <v>2352</v>
      </c>
      <c r="I184" s="110"/>
      <c r="J184" s="110" t="s">
        <v>1773</v>
      </c>
      <c r="K184" s="111" t="s">
        <v>2353</v>
      </c>
    </row>
    <row r="185" spans="1:11" x14ac:dyDescent="0.3">
      <c r="A185" s="108">
        <v>194</v>
      </c>
      <c r="B185" s="110"/>
      <c r="C185" s="110"/>
      <c r="D185" s="110"/>
      <c r="E185" s="110"/>
      <c r="F185" s="110"/>
      <c r="G185" s="110"/>
      <c r="H185" s="111" t="s">
        <v>2354</v>
      </c>
      <c r="I185" s="110"/>
      <c r="J185" s="110" t="s">
        <v>1773</v>
      </c>
      <c r="K185" s="111" t="s">
        <v>2355</v>
      </c>
    </row>
    <row r="186" spans="1:11" x14ac:dyDescent="0.3">
      <c r="A186" s="108">
        <v>195</v>
      </c>
      <c r="B186" s="110"/>
      <c r="C186" s="110"/>
      <c r="D186" s="110"/>
      <c r="E186" s="110"/>
      <c r="F186" s="110"/>
      <c r="G186" s="110" t="s">
        <v>1759</v>
      </c>
      <c r="H186" s="111" t="s">
        <v>2356</v>
      </c>
      <c r="I186" s="110" t="s">
        <v>1756</v>
      </c>
      <c r="J186" s="110" t="s">
        <v>2066</v>
      </c>
      <c r="K186" s="111"/>
    </row>
    <row r="187" spans="1:11" x14ac:dyDescent="0.3">
      <c r="A187" s="108">
        <v>196</v>
      </c>
      <c r="B187" s="110"/>
      <c r="C187" s="110"/>
      <c r="D187" s="110"/>
      <c r="E187" s="110"/>
      <c r="F187" s="110"/>
      <c r="G187" s="110"/>
      <c r="H187" s="111" t="s">
        <v>2357</v>
      </c>
      <c r="I187" s="110"/>
      <c r="J187" s="110"/>
      <c r="K187" s="111" t="s">
        <v>2339</v>
      </c>
    </row>
    <row r="188" spans="1:11" x14ac:dyDescent="0.3">
      <c r="A188" s="108">
        <v>197</v>
      </c>
      <c r="B188" s="110"/>
      <c r="C188" s="110"/>
      <c r="D188" s="110"/>
      <c r="E188" s="110"/>
      <c r="F188" s="110"/>
      <c r="G188" s="110"/>
      <c r="H188" s="111" t="s">
        <v>2358</v>
      </c>
      <c r="I188" s="110"/>
      <c r="J188" s="110"/>
      <c r="K188" s="111" t="s">
        <v>2339</v>
      </c>
    </row>
    <row r="189" spans="1:11" x14ac:dyDescent="0.3">
      <c r="A189" s="108">
        <v>198</v>
      </c>
      <c r="B189" s="110"/>
      <c r="C189" s="110"/>
      <c r="D189" s="110"/>
      <c r="E189" s="110"/>
      <c r="F189" s="110"/>
      <c r="G189" s="110"/>
      <c r="H189" s="111" t="s">
        <v>2359</v>
      </c>
      <c r="I189" s="110"/>
      <c r="J189" s="110"/>
      <c r="K189" s="111" t="s">
        <v>2252</v>
      </c>
    </row>
    <row r="190" spans="1:11" x14ac:dyDescent="0.3">
      <c r="A190" s="108">
        <v>199</v>
      </c>
      <c r="B190" s="110"/>
      <c r="C190" s="110"/>
      <c r="D190" s="110"/>
      <c r="E190" s="110"/>
      <c r="F190" s="110"/>
      <c r="G190" s="110"/>
      <c r="H190" s="111" t="s">
        <v>2360</v>
      </c>
      <c r="I190" s="110"/>
      <c r="J190" s="110"/>
      <c r="K190" s="111" t="s">
        <v>2252</v>
      </c>
    </row>
    <row r="191" spans="1:11" x14ac:dyDescent="0.3">
      <c r="A191" s="108">
        <v>200</v>
      </c>
      <c r="B191" s="110"/>
      <c r="C191" s="110"/>
      <c r="D191" s="110"/>
      <c r="E191" s="110"/>
      <c r="F191" s="110"/>
      <c r="G191" s="110"/>
      <c r="H191" s="111" t="s">
        <v>2361</v>
      </c>
      <c r="I191" s="110"/>
      <c r="J191" s="110"/>
      <c r="K191" s="111" t="s">
        <v>2339</v>
      </c>
    </row>
    <row r="192" spans="1:11" x14ac:dyDescent="0.3">
      <c r="A192" s="108">
        <v>201</v>
      </c>
      <c r="B192" s="110"/>
      <c r="C192" s="110" t="s">
        <v>2362</v>
      </c>
      <c r="D192" s="110" t="s">
        <v>2107</v>
      </c>
      <c r="E192" s="110"/>
      <c r="F192" s="110"/>
      <c r="G192" s="110"/>
      <c r="H192" s="111" t="s">
        <v>2363</v>
      </c>
      <c r="I192" s="110" t="s">
        <v>1760</v>
      </c>
      <c r="J192" s="110"/>
      <c r="K192" s="111" t="s">
        <v>2364</v>
      </c>
    </row>
    <row r="193" spans="1:11" x14ac:dyDescent="0.3">
      <c r="A193" s="108">
        <v>202</v>
      </c>
      <c r="B193" s="110"/>
      <c r="C193" s="110"/>
      <c r="D193" s="110"/>
      <c r="E193" s="110"/>
      <c r="F193" s="110"/>
      <c r="G193" s="110"/>
      <c r="H193" s="111" t="s">
        <v>2365</v>
      </c>
      <c r="I193" s="110"/>
      <c r="J193" s="110" t="s">
        <v>1773</v>
      </c>
      <c r="K193" s="111" t="s">
        <v>2366</v>
      </c>
    </row>
    <row r="194" spans="1:11" x14ac:dyDescent="0.3">
      <c r="A194" s="108">
        <v>203</v>
      </c>
      <c r="B194" s="110"/>
      <c r="C194" s="110"/>
      <c r="D194" s="110"/>
      <c r="E194" s="110"/>
      <c r="F194" s="110"/>
      <c r="G194" s="110"/>
      <c r="H194" s="111" t="s">
        <v>2367</v>
      </c>
      <c r="I194" s="110" t="s">
        <v>1756</v>
      </c>
      <c r="J194" s="110" t="s">
        <v>1773</v>
      </c>
      <c r="K194" s="111" t="s">
        <v>2368</v>
      </c>
    </row>
    <row r="195" spans="1:11" x14ac:dyDescent="0.3">
      <c r="A195" s="108">
        <v>204</v>
      </c>
      <c r="B195" s="110"/>
      <c r="C195" s="110"/>
      <c r="D195" s="110"/>
      <c r="E195" s="110"/>
      <c r="F195" s="110"/>
      <c r="G195" s="110" t="s">
        <v>1759</v>
      </c>
      <c r="H195" s="111" t="s">
        <v>2369</v>
      </c>
      <c r="I195" s="110" t="s">
        <v>1760</v>
      </c>
      <c r="J195" s="110" t="s">
        <v>2066</v>
      </c>
      <c r="K195" s="111"/>
    </row>
    <row r="196" spans="1:11" x14ac:dyDescent="0.3">
      <c r="A196" s="108">
        <v>205</v>
      </c>
      <c r="B196" s="110"/>
      <c r="C196" s="110"/>
      <c r="D196" s="110"/>
      <c r="E196" s="110"/>
      <c r="F196" s="110"/>
      <c r="G196" s="110" t="s">
        <v>2207</v>
      </c>
      <c r="H196" s="111" t="s">
        <v>2370</v>
      </c>
      <c r="I196" s="110" t="s">
        <v>1760</v>
      </c>
      <c r="J196" s="110" t="s">
        <v>2066</v>
      </c>
      <c r="K196" s="111" t="s">
        <v>2371</v>
      </c>
    </row>
    <row r="197" spans="1:11" x14ac:dyDescent="0.3">
      <c r="A197" s="108">
        <v>206</v>
      </c>
      <c r="B197" s="110"/>
      <c r="C197" s="110"/>
      <c r="D197" s="110"/>
      <c r="E197" s="110"/>
      <c r="F197" s="110"/>
      <c r="G197" s="110"/>
      <c r="H197" s="111" t="s">
        <v>2372</v>
      </c>
      <c r="I197" s="110"/>
      <c r="J197" s="110"/>
      <c r="K197" s="111" t="s">
        <v>2252</v>
      </c>
    </row>
    <row r="198" spans="1:11" x14ac:dyDescent="0.3">
      <c r="A198" s="108">
        <v>207</v>
      </c>
      <c r="B198" s="110"/>
      <c r="C198" s="110"/>
      <c r="D198" s="110"/>
      <c r="E198" s="110"/>
      <c r="F198" s="110"/>
      <c r="G198" s="110"/>
      <c r="H198" s="111" t="s">
        <v>2373</v>
      </c>
      <c r="I198" s="110"/>
      <c r="J198" s="110" t="s">
        <v>1773</v>
      </c>
      <c r="K198" s="111"/>
    </row>
    <row r="199" spans="1:11" ht="28.8" x14ac:dyDescent="0.3">
      <c r="A199" s="108">
        <v>208</v>
      </c>
      <c r="B199" s="110"/>
      <c r="C199" s="110"/>
      <c r="D199" s="110"/>
      <c r="E199" s="110"/>
      <c r="F199" s="110"/>
      <c r="G199" s="110"/>
      <c r="H199" s="111" t="s">
        <v>2374</v>
      </c>
      <c r="I199" s="110"/>
      <c r="J199" s="110" t="s">
        <v>1773</v>
      </c>
      <c r="K199" s="111"/>
    </row>
    <row r="200" spans="1:11" x14ac:dyDescent="0.3">
      <c r="A200" s="108">
        <v>209</v>
      </c>
      <c r="B200" s="110"/>
      <c r="C200" s="110"/>
      <c r="D200" s="110"/>
      <c r="E200" s="110"/>
      <c r="F200" s="110"/>
      <c r="G200" s="110"/>
      <c r="H200" s="111" t="s">
        <v>2375</v>
      </c>
      <c r="I200" s="110"/>
      <c r="J200" s="110" t="s">
        <v>2187</v>
      </c>
      <c r="K200" s="111"/>
    </row>
    <row r="201" spans="1:11" x14ac:dyDescent="0.3">
      <c r="A201" s="108">
        <v>210</v>
      </c>
      <c r="B201" s="118">
        <v>46156</v>
      </c>
      <c r="C201" s="110" t="s">
        <v>2376</v>
      </c>
      <c r="D201" s="110" t="s">
        <v>2107</v>
      </c>
      <c r="E201" s="110"/>
      <c r="F201" s="110"/>
      <c r="G201" s="110"/>
      <c r="H201" s="111" t="s">
        <v>2377</v>
      </c>
      <c r="I201" s="110"/>
      <c r="J201" s="110"/>
      <c r="K201" s="111" t="s">
        <v>2252</v>
      </c>
    </row>
    <row r="202" spans="1:11" x14ac:dyDescent="0.3">
      <c r="A202" s="108">
        <v>211</v>
      </c>
      <c r="B202" s="110"/>
      <c r="C202" s="110"/>
      <c r="D202" s="110"/>
      <c r="E202" s="110"/>
      <c r="F202" s="110"/>
      <c r="G202" s="110"/>
      <c r="H202" s="111" t="s">
        <v>2378</v>
      </c>
      <c r="I202" s="110"/>
      <c r="J202" s="110"/>
      <c r="K202" s="111" t="s">
        <v>2252</v>
      </c>
    </row>
    <row r="203" spans="1:11" x14ac:dyDescent="0.3">
      <c r="A203" s="108">
        <v>212</v>
      </c>
      <c r="B203" s="110"/>
      <c r="C203" s="110"/>
      <c r="D203" s="110"/>
      <c r="E203" s="110"/>
      <c r="F203" s="110"/>
      <c r="G203" s="110"/>
      <c r="H203" s="111" t="s">
        <v>2379</v>
      </c>
      <c r="I203" s="110"/>
      <c r="J203" s="110"/>
      <c r="K203" s="111" t="s">
        <v>2252</v>
      </c>
    </row>
    <row r="204" spans="1:11" x14ac:dyDescent="0.3">
      <c r="A204" s="108">
        <v>213</v>
      </c>
      <c r="B204" s="110"/>
      <c r="C204" s="110"/>
      <c r="D204" s="110"/>
      <c r="E204" s="110"/>
      <c r="F204" s="110"/>
      <c r="G204" s="110"/>
      <c r="H204" s="111" t="s">
        <v>2380</v>
      </c>
      <c r="I204" s="110"/>
      <c r="J204" s="110"/>
      <c r="K204" s="111" t="s">
        <v>2252</v>
      </c>
    </row>
    <row r="205" spans="1:11" x14ac:dyDescent="0.3">
      <c r="A205" s="108">
        <v>214</v>
      </c>
      <c r="B205" s="110"/>
      <c r="C205" s="110"/>
      <c r="D205" s="110"/>
      <c r="E205" s="110"/>
      <c r="F205" s="110"/>
      <c r="G205" s="110"/>
      <c r="H205" s="111" t="s">
        <v>2381</v>
      </c>
      <c r="I205" s="110"/>
      <c r="J205" s="110" t="s">
        <v>1773</v>
      </c>
      <c r="K205" s="111" t="s">
        <v>2382</v>
      </c>
    </row>
    <row r="206" spans="1:11" ht="28.8" x14ac:dyDescent="0.3">
      <c r="A206" s="108">
        <v>215</v>
      </c>
      <c r="B206" s="110"/>
      <c r="C206" s="110"/>
      <c r="D206" s="110"/>
      <c r="E206" s="110"/>
      <c r="F206" s="110"/>
      <c r="G206" s="110"/>
      <c r="H206" s="111" t="s">
        <v>2383</v>
      </c>
      <c r="I206" s="110"/>
      <c r="J206" s="110" t="s">
        <v>1773</v>
      </c>
      <c r="K206" s="111" t="s">
        <v>2384</v>
      </c>
    </row>
    <row r="207" spans="1:11" x14ac:dyDescent="0.3">
      <c r="A207" s="108">
        <v>216</v>
      </c>
      <c r="B207" s="110"/>
      <c r="C207" s="110"/>
      <c r="D207" s="110"/>
      <c r="E207" s="110"/>
      <c r="F207" s="110"/>
      <c r="G207" s="110" t="s">
        <v>2207</v>
      </c>
      <c r="H207" s="111" t="s">
        <v>2385</v>
      </c>
      <c r="I207" s="110"/>
      <c r="J207" s="110" t="s">
        <v>2066</v>
      </c>
      <c r="K207" s="111"/>
    </row>
    <row r="208" spans="1:11" x14ac:dyDescent="0.3">
      <c r="A208" s="108">
        <v>217</v>
      </c>
      <c r="B208" s="110"/>
      <c r="C208" s="110"/>
      <c r="D208" s="110"/>
      <c r="E208" s="110"/>
      <c r="F208" s="110"/>
      <c r="G208" s="110"/>
      <c r="H208" s="111" t="s">
        <v>2386</v>
      </c>
      <c r="I208" s="110"/>
      <c r="J208" s="110"/>
      <c r="K208" s="111" t="s">
        <v>2339</v>
      </c>
    </row>
    <row r="209" spans="1:11" ht="28.8" x14ac:dyDescent="0.3">
      <c r="A209" s="108">
        <v>218</v>
      </c>
      <c r="B209" s="110"/>
      <c r="C209" s="110"/>
      <c r="D209" s="110"/>
      <c r="E209" s="110"/>
      <c r="F209" s="110"/>
      <c r="G209" s="110"/>
      <c r="H209" s="111" t="s">
        <v>2387</v>
      </c>
      <c r="I209" s="110"/>
      <c r="J209" s="110"/>
      <c r="K209" s="111" t="s">
        <v>2339</v>
      </c>
    </row>
    <row r="210" spans="1:11" ht="28.8" x14ac:dyDescent="0.3">
      <c r="A210" s="108">
        <v>219</v>
      </c>
      <c r="B210" s="118">
        <v>46157</v>
      </c>
      <c r="C210" s="110" t="s">
        <v>2388</v>
      </c>
      <c r="D210" s="110"/>
      <c r="E210" s="110"/>
      <c r="F210" s="110"/>
      <c r="G210" s="110" t="s">
        <v>2070</v>
      </c>
      <c r="H210" s="111" t="s">
        <v>2389</v>
      </c>
      <c r="I210" s="110"/>
      <c r="J210" s="110" t="s">
        <v>1773</v>
      </c>
      <c r="K210" s="111"/>
    </row>
    <row r="211" spans="1:11" ht="28.8" x14ac:dyDescent="0.3">
      <c r="A211" s="108">
        <v>220</v>
      </c>
      <c r="B211" s="118">
        <v>46157</v>
      </c>
      <c r="C211" s="110" t="s">
        <v>2390</v>
      </c>
      <c r="D211" s="110" t="s">
        <v>2167</v>
      </c>
      <c r="E211" s="110"/>
      <c r="F211" s="110"/>
      <c r="G211" s="110"/>
      <c r="H211" s="111" t="s">
        <v>2391</v>
      </c>
      <c r="I211" s="110"/>
      <c r="J211" s="110"/>
      <c r="K211" s="111" t="s">
        <v>2339</v>
      </c>
    </row>
    <row r="212" spans="1:11" x14ac:dyDescent="0.3">
      <c r="A212" s="108">
        <v>221</v>
      </c>
      <c r="B212" s="110"/>
      <c r="C212" s="110"/>
      <c r="D212" s="110"/>
      <c r="E212" s="110"/>
      <c r="F212" s="110"/>
      <c r="G212" s="110"/>
      <c r="H212" s="111" t="s">
        <v>2392</v>
      </c>
      <c r="I212" s="110"/>
      <c r="J212" s="110" t="s">
        <v>1773</v>
      </c>
      <c r="K212" s="111"/>
    </row>
    <row r="213" spans="1:11" x14ac:dyDescent="0.3">
      <c r="A213" s="108">
        <v>222</v>
      </c>
      <c r="B213" s="110"/>
      <c r="C213" s="115"/>
      <c r="D213" s="115"/>
      <c r="E213" s="115"/>
      <c r="F213" s="115"/>
      <c r="G213" s="115"/>
      <c r="H213" s="131" t="s">
        <v>2393</v>
      </c>
      <c r="I213" s="115"/>
      <c r="J213" s="115"/>
      <c r="K213" s="131" t="s">
        <v>2252</v>
      </c>
    </row>
    <row r="214" spans="1:11" x14ac:dyDescent="0.3">
      <c r="A214" s="108">
        <v>223</v>
      </c>
      <c r="B214" s="110"/>
      <c r="C214" s="110"/>
      <c r="D214" s="110"/>
      <c r="E214" s="110"/>
      <c r="F214" s="110"/>
      <c r="G214" s="110"/>
      <c r="H214" s="111" t="s">
        <v>2394</v>
      </c>
      <c r="I214" s="110"/>
      <c r="J214" s="110"/>
      <c r="K214" s="111" t="s">
        <v>2252</v>
      </c>
    </row>
    <row r="215" spans="1:11" x14ac:dyDescent="0.3">
      <c r="A215" s="108">
        <v>224</v>
      </c>
      <c r="B215" s="110"/>
      <c r="C215" s="110"/>
      <c r="D215" s="110"/>
      <c r="E215" s="110"/>
      <c r="F215" s="110"/>
      <c r="G215" s="110"/>
      <c r="H215" s="111" t="s">
        <v>2395</v>
      </c>
      <c r="I215" s="110"/>
      <c r="J215" s="110" t="s">
        <v>2086</v>
      </c>
      <c r="K215" s="111" t="s">
        <v>2252</v>
      </c>
    </row>
    <row r="216" spans="1:11" x14ac:dyDescent="0.3">
      <c r="A216" s="108">
        <v>225</v>
      </c>
      <c r="B216" s="110"/>
      <c r="C216" s="110"/>
      <c r="D216" s="110"/>
      <c r="E216" s="110"/>
      <c r="F216" s="110"/>
      <c r="G216" s="110"/>
      <c r="H216" s="111" t="s">
        <v>2396</v>
      </c>
      <c r="I216" s="110"/>
      <c r="J216" s="110"/>
      <c r="K216" s="111" t="s">
        <v>2252</v>
      </c>
    </row>
    <row r="217" spans="1:11" x14ac:dyDescent="0.3">
      <c r="A217" s="108">
        <v>226</v>
      </c>
      <c r="B217" s="110"/>
      <c r="C217" s="110"/>
      <c r="D217" s="110"/>
      <c r="E217" s="110"/>
      <c r="F217" s="110"/>
      <c r="G217" s="110"/>
      <c r="H217" s="111" t="s">
        <v>2397</v>
      </c>
      <c r="I217" s="110"/>
      <c r="J217" s="110"/>
      <c r="K217" s="111" t="s">
        <v>2252</v>
      </c>
    </row>
    <row r="218" spans="1:11" x14ac:dyDescent="0.3">
      <c r="A218" s="108">
        <v>227</v>
      </c>
      <c r="B218" s="110"/>
      <c r="C218" s="110"/>
      <c r="D218" s="110"/>
      <c r="E218" s="110"/>
      <c r="F218" s="110"/>
      <c r="G218" s="110"/>
      <c r="H218" s="111" t="s">
        <v>2398</v>
      </c>
      <c r="I218" s="110"/>
      <c r="J218" s="110"/>
      <c r="K218" s="111" t="s">
        <v>2252</v>
      </c>
    </row>
    <row r="219" spans="1:11" x14ac:dyDescent="0.3">
      <c r="A219" s="108">
        <v>228</v>
      </c>
      <c r="B219" s="110"/>
      <c r="C219" s="110"/>
      <c r="D219" s="110"/>
      <c r="E219" s="110"/>
      <c r="F219" s="110"/>
      <c r="G219" s="110"/>
      <c r="H219" s="111" t="s">
        <v>2399</v>
      </c>
      <c r="I219" s="110"/>
      <c r="J219" s="110" t="s">
        <v>1773</v>
      </c>
      <c r="K219" s="111"/>
    </row>
    <row r="220" spans="1:11" x14ac:dyDescent="0.3">
      <c r="A220" s="108">
        <v>229</v>
      </c>
      <c r="B220" s="110"/>
      <c r="C220" s="110"/>
      <c r="D220" s="110"/>
      <c r="E220" s="110"/>
      <c r="F220" s="110"/>
      <c r="G220" s="110"/>
      <c r="H220" s="111" t="s">
        <v>2400</v>
      </c>
      <c r="I220" s="110"/>
      <c r="J220" s="110"/>
      <c r="K220" s="111" t="s">
        <v>2401</v>
      </c>
    </row>
    <row r="221" spans="1:11" x14ac:dyDescent="0.3">
      <c r="A221" s="108">
        <v>230</v>
      </c>
      <c r="B221" s="110"/>
      <c r="C221" s="110" t="s">
        <v>2402</v>
      </c>
      <c r="E221" s="110"/>
      <c r="F221" s="110"/>
      <c r="G221" s="110"/>
      <c r="H221" s="111" t="s">
        <v>2403</v>
      </c>
      <c r="I221" s="110"/>
      <c r="J221" s="110" t="s">
        <v>2086</v>
      </c>
      <c r="K221" s="111"/>
    </row>
    <row r="222" spans="1:11" s="155" customFormat="1" x14ac:dyDescent="0.3">
      <c r="A222" s="152">
        <v>231</v>
      </c>
      <c r="B222" s="153"/>
      <c r="C222" s="153"/>
      <c r="D222" s="153"/>
      <c r="E222" s="153"/>
      <c r="F222" s="153"/>
      <c r="G222" s="153"/>
      <c r="H222" s="154" t="s">
        <v>2404</v>
      </c>
      <c r="I222" s="153"/>
      <c r="J222" s="153" t="s">
        <v>2086</v>
      </c>
      <c r="K222" s="154"/>
    </row>
    <row r="223" spans="1:11" x14ac:dyDescent="0.3">
      <c r="A223" s="108">
        <v>232</v>
      </c>
      <c r="B223" s="110"/>
      <c r="C223" s="110"/>
      <c r="D223" s="110"/>
      <c r="E223" s="110"/>
      <c r="F223" s="110"/>
      <c r="G223" s="110"/>
      <c r="H223" s="111" t="s">
        <v>2405</v>
      </c>
      <c r="I223" s="110"/>
      <c r="J223" s="110" t="s">
        <v>1773</v>
      </c>
      <c r="K223" s="111" t="s">
        <v>2406</v>
      </c>
    </row>
    <row r="224" spans="1:11" x14ac:dyDescent="0.3">
      <c r="A224" s="108">
        <v>233</v>
      </c>
      <c r="B224" s="110"/>
      <c r="C224" s="110"/>
      <c r="D224" s="110"/>
      <c r="E224" s="110"/>
      <c r="F224" s="110"/>
      <c r="G224" s="110" t="s">
        <v>2407</v>
      </c>
      <c r="H224" s="111" t="s">
        <v>2408</v>
      </c>
      <c r="I224" s="110"/>
      <c r="J224" s="110" t="s">
        <v>2066</v>
      </c>
      <c r="K224" s="111"/>
    </row>
    <row r="225" spans="1:12" x14ac:dyDescent="0.3">
      <c r="A225" s="108">
        <v>234</v>
      </c>
      <c r="B225" s="110"/>
      <c r="C225" s="115"/>
      <c r="D225" s="115"/>
      <c r="E225" s="115"/>
      <c r="F225" s="115"/>
      <c r="G225" s="115"/>
      <c r="H225" s="131" t="s">
        <v>2409</v>
      </c>
      <c r="I225" s="115"/>
      <c r="J225" s="115" t="s">
        <v>2066</v>
      </c>
      <c r="K225" s="131"/>
      <c r="L225" s="63" t="s">
        <v>2410</v>
      </c>
    </row>
    <row r="226" spans="1:12" x14ac:dyDescent="0.3">
      <c r="A226" s="108">
        <v>235</v>
      </c>
      <c r="B226" s="110"/>
      <c r="C226" s="110"/>
      <c r="D226" s="110"/>
      <c r="E226" s="110"/>
      <c r="F226" s="110"/>
      <c r="G226" s="110" t="s">
        <v>2411</v>
      </c>
      <c r="H226" s="111" t="s">
        <v>2412</v>
      </c>
      <c r="I226" s="110" t="s">
        <v>1760</v>
      </c>
      <c r="J226" s="110" t="s">
        <v>2066</v>
      </c>
      <c r="K226" s="111"/>
    </row>
    <row r="227" spans="1:12" x14ac:dyDescent="0.3">
      <c r="A227" s="108">
        <v>236</v>
      </c>
      <c r="B227" s="110"/>
      <c r="C227" s="110"/>
      <c r="D227" s="110"/>
      <c r="E227" s="110"/>
      <c r="F227" s="110"/>
      <c r="G227" s="110"/>
      <c r="H227" s="111" t="s">
        <v>2413</v>
      </c>
      <c r="I227" s="110"/>
      <c r="J227" s="110" t="s">
        <v>1773</v>
      </c>
      <c r="K227" s="111" t="s">
        <v>2414</v>
      </c>
    </row>
    <row r="228" spans="1:12" x14ac:dyDescent="0.3">
      <c r="A228" s="108">
        <v>237</v>
      </c>
      <c r="B228" s="110"/>
      <c r="C228" s="110"/>
      <c r="D228" s="110"/>
      <c r="E228" s="110"/>
      <c r="F228" s="110"/>
      <c r="G228" s="110"/>
      <c r="H228" s="111" t="s">
        <v>2415</v>
      </c>
      <c r="I228" s="110"/>
      <c r="J228" s="110" t="s">
        <v>1773</v>
      </c>
      <c r="K228" s="111"/>
    </row>
    <row r="229" spans="1:12" x14ac:dyDescent="0.3">
      <c r="A229" s="108">
        <v>238</v>
      </c>
      <c r="B229" s="129">
        <v>46157</v>
      </c>
      <c r="C229" s="110" t="s">
        <v>2416</v>
      </c>
      <c r="D229" s="110" t="s">
        <v>2107</v>
      </c>
      <c r="E229" s="110"/>
      <c r="F229" s="110"/>
      <c r="G229" s="110"/>
      <c r="H229" s="111" t="s">
        <v>2417</v>
      </c>
      <c r="I229" s="110"/>
      <c r="J229" s="110"/>
      <c r="K229" s="111" t="s">
        <v>2339</v>
      </c>
    </row>
    <row r="230" spans="1:12" ht="28.8" x14ac:dyDescent="0.3">
      <c r="A230" s="108">
        <v>239</v>
      </c>
      <c r="B230" s="110"/>
      <c r="C230" s="110"/>
      <c r="D230" s="110"/>
      <c r="E230" s="110"/>
      <c r="F230" s="110"/>
      <c r="G230" s="110"/>
      <c r="H230" s="111" t="s">
        <v>2418</v>
      </c>
      <c r="I230" s="110"/>
      <c r="J230" s="110"/>
      <c r="K230" s="111" t="s">
        <v>2339</v>
      </c>
    </row>
    <row r="231" spans="1:12" x14ac:dyDescent="0.3">
      <c r="A231" s="108">
        <v>240</v>
      </c>
      <c r="B231" s="110"/>
      <c r="C231" s="110"/>
      <c r="D231" s="110"/>
      <c r="E231" s="110"/>
      <c r="F231" s="110"/>
      <c r="G231" s="110" t="s">
        <v>1759</v>
      </c>
      <c r="H231" s="111" t="s">
        <v>2419</v>
      </c>
      <c r="I231" s="110" t="s">
        <v>1797</v>
      </c>
      <c r="J231" s="110" t="s">
        <v>2066</v>
      </c>
      <c r="K231" s="111"/>
    </row>
    <row r="232" spans="1:12" x14ac:dyDescent="0.3">
      <c r="A232" s="108">
        <v>241</v>
      </c>
      <c r="B232" s="129">
        <v>46157</v>
      </c>
      <c r="C232" s="115" t="s">
        <v>2420</v>
      </c>
      <c r="D232" s="115" t="s">
        <v>2107</v>
      </c>
      <c r="E232" s="115"/>
      <c r="F232" s="115"/>
      <c r="G232" s="115"/>
      <c r="H232" s="131" t="s">
        <v>2421</v>
      </c>
      <c r="I232" s="115" t="s">
        <v>1760</v>
      </c>
      <c r="J232" s="115" t="s">
        <v>1773</v>
      </c>
      <c r="K232" s="131"/>
    </row>
    <row r="233" spans="1:12" x14ac:dyDescent="0.3">
      <c r="A233" s="108">
        <v>242</v>
      </c>
      <c r="B233" s="110"/>
      <c r="C233" s="110"/>
      <c r="D233" s="110"/>
      <c r="E233" s="110"/>
      <c r="F233" s="110"/>
      <c r="G233" s="110"/>
      <c r="H233" s="111" t="s">
        <v>2422</v>
      </c>
      <c r="I233" s="110"/>
      <c r="J233" s="110"/>
      <c r="K233" s="111" t="s">
        <v>2423</v>
      </c>
    </row>
    <row r="234" spans="1:12" ht="28.8" x14ac:dyDescent="0.3">
      <c r="A234" s="108">
        <v>243</v>
      </c>
      <c r="B234" s="110"/>
      <c r="C234" s="110"/>
      <c r="D234" s="110"/>
      <c r="E234" s="110"/>
      <c r="F234" s="110"/>
      <c r="G234" s="110"/>
      <c r="H234" s="111" t="s">
        <v>2424</v>
      </c>
      <c r="I234" s="110"/>
      <c r="J234" s="110"/>
      <c r="K234" s="111" t="s">
        <v>2425</v>
      </c>
    </row>
    <row r="235" spans="1:12" x14ac:dyDescent="0.3">
      <c r="A235" s="108">
        <v>244</v>
      </c>
      <c r="B235" s="110"/>
      <c r="C235" s="110"/>
      <c r="D235" s="110"/>
      <c r="E235" s="110"/>
      <c r="F235" s="110"/>
      <c r="G235" s="110"/>
      <c r="H235" s="111" t="s">
        <v>2426</v>
      </c>
      <c r="I235" s="110"/>
      <c r="J235" s="110" t="s">
        <v>1773</v>
      </c>
      <c r="K235" s="111"/>
    </row>
    <row r="236" spans="1:12" x14ac:dyDescent="0.3">
      <c r="A236" s="108">
        <v>245</v>
      </c>
      <c r="B236" s="110"/>
      <c r="C236" s="110"/>
      <c r="D236" s="110"/>
      <c r="E236" s="110"/>
      <c r="F236" s="110"/>
      <c r="G236" s="110"/>
      <c r="H236" s="111" t="s">
        <v>2427</v>
      </c>
      <c r="I236" s="110"/>
      <c r="J236" s="110"/>
      <c r="K236" s="111" t="s">
        <v>2428</v>
      </c>
    </row>
    <row r="237" spans="1:12" x14ac:dyDescent="0.3">
      <c r="A237" s="108">
        <v>246</v>
      </c>
      <c r="B237" s="129">
        <v>46157</v>
      </c>
      <c r="C237" s="110"/>
      <c r="D237" s="110" t="s">
        <v>2313</v>
      </c>
      <c r="E237" s="110"/>
      <c r="F237" s="110"/>
      <c r="G237" s="110"/>
      <c r="H237" s="111" t="s">
        <v>2429</v>
      </c>
      <c r="I237" s="110"/>
      <c r="J237" s="110"/>
      <c r="K237" s="111" t="s">
        <v>2252</v>
      </c>
    </row>
    <row r="238" spans="1:12" x14ac:dyDescent="0.3">
      <c r="A238" s="108">
        <v>247</v>
      </c>
      <c r="B238" s="110"/>
      <c r="C238" s="110"/>
      <c r="D238" s="110"/>
      <c r="E238" s="110"/>
      <c r="F238" s="110"/>
      <c r="G238" s="110"/>
      <c r="H238" s="111" t="s">
        <v>2430</v>
      </c>
      <c r="I238" s="110"/>
      <c r="J238" s="110" t="s">
        <v>1773</v>
      </c>
      <c r="K238" s="111"/>
    </row>
    <row r="239" spans="1:12" x14ac:dyDescent="0.3">
      <c r="A239" s="108">
        <v>248</v>
      </c>
      <c r="B239" s="110"/>
      <c r="C239" s="110"/>
      <c r="D239" s="110"/>
      <c r="E239" s="110"/>
      <c r="F239" s="110"/>
      <c r="G239" s="110"/>
      <c r="H239" s="111" t="s">
        <v>2431</v>
      </c>
      <c r="I239" s="110"/>
      <c r="J239" s="110"/>
      <c r="K239" s="111" t="s">
        <v>2252</v>
      </c>
    </row>
    <row r="240" spans="1:12" x14ac:dyDescent="0.3">
      <c r="A240" s="108">
        <v>249</v>
      </c>
      <c r="B240" s="110"/>
      <c r="C240" s="110"/>
      <c r="D240" s="110"/>
      <c r="E240" s="110"/>
      <c r="F240" s="110"/>
      <c r="G240" s="110"/>
      <c r="H240" s="111" t="s">
        <v>2432</v>
      </c>
      <c r="I240" s="110"/>
      <c r="J240" s="110"/>
      <c r="K240" s="111" t="s">
        <v>2252</v>
      </c>
    </row>
    <row r="241" spans="1:11" x14ac:dyDescent="0.3">
      <c r="A241" s="108">
        <v>250</v>
      </c>
      <c r="B241" s="110"/>
      <c r="C241" s="110"/>
      <c r="D241" s="110"/>
      <c r="E241" s="110"/>
      <c r="F241" s="110"/>
      <c r="G241" s="110"/>
      <c r="H241" s="111" t="s">
        <v>2433</v>
      </c>
      <c r="I241" s="110"/>
      <c r="J241" s="110"/>
      <c r="K241" s="111" t="s">
        <v>2252</v>
      </c>
    </row>
    <row r="242" spans="1:11" ht="28.8" x14ac:dyDescent="0.3">
      <c r="A242" s="108">
        <v>251</v>
      </c>
      <c r="B242" s="110"/>
      <c r="C242" s="110"/>
      <c r="D242" s="110"/>
      <c r="E242" s="110"/>
      <c r="F242" s="110"/>
      <c r="G242" s="110"/>
      <c r="H242" s="111" t="s">
        <v>2434</v>
      </c>
      <c r="I242" s="110"/>
      <c r="J242" s="110"/>
      <c r="K242" s="111" t="s">
        <v>2435</v>
      </c>
    </row>
    <row r="243" spans="1:11" x14ac:dyDescent="0.3">
      <c r="A243" s="108">
        <v>252</v>
      </c>
      <c r="B243" s="110"/>
      <c r="C243" s="110"/>
      <c r="D243" s="110"/>
      <c r="E243" s="110"/>
      <c r="F243" s="110"/>
      <c r="G243" s="110"/>
      <c r="H243" s="111" t="s">
        <v>2436</v>
      </c>
      <c r="I243" s="110"/>
      <c r="J243" s="110" t="s">
        <v>2086</v>
      </c>
      <c r="K243" s="111" t="s">
        <v>2437</v>
      </c>
    </row>
    <row r="244" spans="1:11" x14ac:dyDescent="0.3">
      <c r="A244" s="108">
        <v>253</v>
      </c>
      <c r="B244" s="110"/>
      <c r="C244" s="115"/>
      <c r="D244" s="115"/>
      <c r="E244" s="115"/>
      <c r="F244" s="115"/>
      <c r="G244" s="115"/>
      <c r="H244" s="131" t="s">
        <v>2438</v>
      </c>
      <c r="I244" s="115"/>
      <c r="J244" s="115"/>
      <c r="K244" s="131" t="s">
        <v>2252</v>
      </c>
    </row>
    <row r="245" spans="1:11" x14ac:dyDescent="0.3">
      <c r="A245" s="108">
        <v>254</v>
      </c>
      <c r="B245" s="129">
        <v>46157</v>
      </c>
      <c r="C245" s="110"/>
      <c r="D245" s="110" t="s">
        <v>2107</v>
      </c>
      <c r="E245" s="110"/>
      <c r="F245" s="130"/>
      <c r="G245" s="130"/>
      <c r="H245" s="132" t="s">
        <v>2439</v>
      </c>
      <c r="I245" s="110"/>
      <c r="J245" s="110"/>
      <c r="K245" s="111" t="s">
        <v>2435</v>
      </c>
    </row>
    <row r="246" spans="1:11" x14ac:dyDescent="0.3">
      <c r="A246" s="108">
        <v>255</v>
      </c>
      <c r="B246" s="110"/>
      <c r="C246" s="128"/>
      <c r="D246" s="110"/>
      <c r="E246" s="110"/>
      <c r="F246" s="130"/>
      <c r="G246" s="130"/>
      <c r="H246" s="132" t="s">
        <v>2440</v>
      </c>
      <c r="I246" s="110"/>
      <c r="J246" s="110"/>
      <c r="K246" s="111" t="s">
        <v>2435</v>
      </c>
    </row>
    <row r="247" spans="1:11" x14ac:dyDescent="0.3">
      <c r="A247" s="108">
        <v>256</v>
      </c>
      <c r="B247" s="110"/>
      <c r="C247" s="128"/>
      <c r="D247" s="110"/>
      <c r="E247" s="110"/>
      <c r="F247" s="130"/>
      <c r="G247" s="130"/>
      <c r="H247" s="132" t="s">
        <v>2441</v>
      </c>
      <c r="I247" s="110"/>
      <c r="J247" s="110"/>
      <c r="K247" s="111" t="s">
        <v>2435</v>
      </c>
    </row>
    <row r="248" spans="1:11" ht="40.5" customHeight="1" x14ac:dyDescent="0.3">
      <c r="A248" s="108">
        <v>257</v>
      </c>
      <c r="B248" s="110"/>
      <c r="C248" s="128"/>
      <c r="D248" s="110"/>
      <c r="E248" s="110"/>
      <c r="F248" s="130"/>
      <c r="G248" s="130" t="s">
        <v>2091</v>
      </c>
      <c r="H248" s="132" t="s">
        <v>2442</v>
      </c>
      <c r="I248" s="110" t="s">
        <v>1760</v>
      </c>
      <c r="J248" s="110" t="s">
        <v>2066</v>
      </c>
      <c r="K248" s="111" t="s">
        <v>2443</v>
      </c>
    </row>
    <row r="249" spans="1:11" x14ac:dyDescent="0.3">
      <c r="A249" s="108">
        <v>258</v>
      </c>
      <c r="B249" s="110"/>
      <c r="C249" s="128"/>
      <c r="D249" s="110"/>
      <c r="E249" s="110"/>
      <c r="F249" s="130"/>
      <c r="G249" s="130"/>
      <c r="H249" s="132" t="s">
        <v>2444</v>
      </c>
      <c r="I249" s="110"/>
      <c r="J249" s="110" t="s">
        <v>2445</v>
      </c>
      <c r="K249" s="111"/>
    </row>
    <row r="250" spans="1:11" x14ac:dyDescent="0.3">
      <c r="A250" s="108">
        <v>259</v>
      </c>
      <c r="B250" s="110"/>
      <c r="C250" s="128"/>
      <c r="D250" s="110"/>
      <c r="E250" s="110"/>
      <c r="F250" s="130"/>
      <c r="G250" s="130"/>
      <c r="H250" s="132" t="s">
        <v>2446</v>
      </c>
      <c r="I250" s="110"/>
      <c r="J250" s="110"/>
      <c r="K250" s="111" t="s">
        <v>2252</v>
      </c>
    </row>
    <row r="251" spans="1:11" x14ac:dyDescent="0.3">
      <c r="A251" s="108">
        <v>260</v>
      </c>
      <c r="B251" s="110"/>
      <c r="C251" s="128"/>
      <c r="D251" s="110"/>
      <c r="E251" s="110"/>
      <c r="F251" s="130"/>
      <c r="G251" s="130"/>
      <c r="H251" s="132" t="s">
        <v>2447</v>
      </c>
      <c r="I251" s="110"/>
      <c r="J251" s="110"/>
      <c r="K251" s="131" t="s">
        <v>2339</v>
      </c>
    </row>
    <row r="252" spans="1:11" x14ac:dyDescent="0.3">
      <c r="A252" s="108">
        <v>261</v>
      </c>
      <c r="B252" s="110"/>
      <c r="C252" s="128"/>
      <c r="D252" s="110"/>
      <c r="E252" s="110"/>
      <c r="F252" s="130"/>
      <c r="G252" s="130"/>
      <c r="H252" s="132" t="s">
        <v>2448</v>
      </c>
      <c r="I252" s="110"/>
      <c r="J252" s="110"/>
      <c r="K252" s="131" t="s">
        <v>2339</v>
      </c>
    </row>
    <row r="253" spans="1:11" x14ac:dyDescent="0.3">
      <c r="A253" s="108">
        <v>262</v>
      </c>
      <c r="B253" s="110"/>
      <c r="C253" s="128"/>
      <c r="D253" s="110"/>
      <c r="E253" s="110"/>
      <c r="F253" s="130"/>
      <c r="G253" s="130"/>
      <c r="H253" s="132" t="s">
        <v>2449</v>
      </c>
      <c r="I253" s="110"/>
      <c r="J253" s="110" t="s">
        <v>1773</v>
      </c>
      <c r="K253" s="111"/>
    </row>
    <row r="254" spans="1:11" x14ac:dyDescent="0.3">
      <c r="A254" s="108">
        <v>263</v>
      </c>
      <c r="B254" s="110"/>
      <c r="C254" s="128"/>
      <c r="D254" s="110"/>
      <c r="E254" s="110"/>
      <c r="F254" s="130"/>
      <c r="G254" s="130"/>
      <c r="H254" s="132" t="s">
        <v>2450</v>
      </c>
      <c r="I254" s="110"/>
      <c r="J254" s="110"/>
      <c r="K254" s="131" t="s">
        <v>2339</v>
      </c>
    </row>
    <row r="255" spans="1:11" x14ac:dyDescent="0.3">
      <c r="A255" s="108">
        <v>264</v>
      </c>
      <c r="B255" s="110"/>
      <c r="C255" s="128"/>
      <c r="D255" s="110"/>
      <c r="E255" s="110"/>
      <c r="F255" s="130"/>
      <c r="G255" s="130"/>
      <c r="H255" s="132" t="s">
        <v>2451</v>
      </c>
      <c r="I255" s="110"/>
      <c r="J255" s="110"/>
      <c r="K255" s="131" t="s">
        <v>2339</v>
      </c>
    </row>
    <row r="256" spans="1:11" x14ac:dyDescent="0.3">
      <c r="A256" s="108">
        <v>265</v>
      </c>
      <c r="B256" s="110"/>
      <c r="C256" s="128"/>
      <c r="D256" s="110"/>
      <c r="E256" s="110"/>
      <c r="F256" s="130"/>
      <c r="G256" s="130" t="s">
        <v>2452</v>
      </c>
      <c r="H256" s="132" t="s">
        <v>2453</v>
      </c>
      <c r="I256" s="110" t="s">
        <v>1760</v>
      </c>
      <c r="J256" s="110" t="s">
        <v>2066</v>
      </c>
      <c r="K256" s="111"/>
    </row>
    <row r="257" spans="1:11" x14ac:dyDescent="0.3">
      <c r="A257" s="108">
        <v>266</v>
      </c>
      <c r="B257" s="110"/>
      <c r="C257" s="128"/>
      <c r="D257" s="110"/>
      <c r="E257" s="110"/>
      <c r="F257" s="130"/>
      <c r="G257" s="130"/>
      <c r="H257" s="132" t="s">
        <v>2454</v>
      </c>
      <c r="I257" s="110"/>
      <c r="J257" s="110" t="s">
        <v>1773</v>
      </c>
      <c r="K257" s="111" t="s">
        <v>2455</v>
      </c>
    </row>
    <row r="258" spans="1:11" x14ac:dyDescent="0.3">
      <c r="A258" s="108">
        <v>267</v>
      </c>
      <c r="B258" s="115"/>
      <c r="C258" s="135"/>
      <c r="D258" s="115"/>
      <c r="E258" s="115"/>
      <c r="F258" s="136"/>
      <c r="G258" s="136"/>
      <c r="H258" s="137" t="s">
        <v>2456</v>
      </c>
      <c r="I258" s="115"/>
      <c r="J258" s="115"/>
      <c r="K258" s="131" t="s">
        <v>2339</v>
      </c>
    </row>
    <row r="259" spans="1:11" x14ac:dyDescent="0.3">
      <c r="A259" s="108">
        <v>268</v>
      </c>
      <c r="B259" s="118">
        <v>46157</v>
      </c>
      <c r="C259" s="110" t="s">
        <v>2457</v>
      </c>
      <c r="D259" s="110" t="s">
        <v>2313</v>
      </c>
      <c r="E259" s="110"/>
      <c r="F259" s="110"/>
      <c r="G259" s="110"/>
      <c r="H259" s="132" t="s">
        <v>2458</v>
      </c>
      <c r="I259" s="110"/>
      <c r="J259" s="110"/>
      <c r="K259" s="111" t="s">
        <v>2339</v>
      </c>
    </row>
    <row r="260" spans="1:11" x14ac:dyDescent="0.3">
      <c r="A260" s="108">
        <v>269</v>
      </c>
      <c r="B260" s="110"/>
      <c r="C260" s="110"/>
      <c r="D260" s="110"/>
      <c r="E260" s="110"/>
      <c r="F260" s="110"/>
      <c r="G260" s="110"/>
      <c r="H260" s="132" t="s">
        <v>2459</v>
      </c>
      <c r="I260" s="110"/>
      <c r="J260" s="110"/>
      <c r="K260" s="111" t="s">
        <v>2460</v>
      </c>
    </row>
    <row r="261" spans="1:11" x14ac:dyDescent="0.3">
      <c r="A261" s="108">
        <v>270</v>
      </c>
      <c r="B261" s="110"/>
      <c r="C261" s="110"/>
      <c r="D261" s="110"/>
      <c r="E261" s="110"/>
      <c r="F261" s="110"/>
      <c r="G261" s="110"/>
      <c r="H261" s="132" t="s">
        <v>2461</v>
      </c>
      <c r="I261" s="110"/>
      <c r="J261" s="110" t="s">
        <v>2187</v>
      </c>
      <c r="K261" s="111" t="s">
        <v>2462</v>
      </c>
    </row>
    <row r="262" spans="1:11" x14ac:dyDescent="0.3">
      <c r="A262" s="108">
        <v>271</v>
      </c>
      <c r="B262" s="110"/>
      <c r="C262" s="110"/>
      <c r="D262" s="110"/>
      <c r="E262" s="110"/>
      <c r="F262" s="110"/>
      <c r="G262" s="110"/>
      <c r="H262" s="132" t="s">
        <v>2463</v>
      </c>
      <c r="I262" s="110" t="s">
        <v>1823</v>
      </c>
      <c r="J262" s="110" t="s">
        <v>2187</v>
      </c>
      <c r="K262" s="111" t="s">
        <v>2464</v>
      </c>
    </row>
    <row r="263" spans="1:11" x14ac:dyDescent="0.3">
      <c r="A263" s="108">
        <v>272</v>
      </c>
      <c r="B263" s="110"/>
      <c r="C263" s="110"/>
      <c r="D263" s="110"/>
      <c r="E263" s="110"/>
      <c r="F263" s="110"/>
      <c r="G263" s="110"/>
      <c r="H263" s="132" t="s">
        <v>2465</v>
      </c>
      <c r="I263" s="110"/>
      <c r="J263" s="110"/>
      <c r="K263" s="111" t="s">
        <v>2466</v>
      </c>
    </row>
    <row r="264" spans="1:11" x14ac:dyDescent="0.3">
      <c r="A264" s="108">
        <v>273</v>
      </c>
      <c r="B264" s="110"/>
      <c r="C264" s="110"/>
      <c r="D264" s="110"/>
      <c r="E264" s="110"/>
      <c r="F264" s="110"/>
      <c r="G264" s="110"/>
      <c r="H264" s="132" t="s">
        <v>2467</v>
      </c>
      <c r="I264" s="110"/>
      <c r="J264" s="110" t="s">
        <v>1773</v>
      </c>
      <c r="K264" s="111" t="s">
        <v>2468</v>
      </c>
    </row>
    <row r="265" spans="1:11" x14ac:dyDescent="0.3">
      <c r="A265" s="108">
        <v>274</v>
      </c>
      <c r="B265" s="118">
        <v>46157</v>
      </c>
      <c r="C265" s="110" t="s">
        <v>2469</v>
      </c>
      <c r="D265" s="110" t="s">
        <v>2107</v>
      </c>
      <c r="E265" s="110"/>
      <c r="F265" s="110"/>
      <c r="G265" s="110"/>
      <c r="H265" s="132" t="s">
        <v>2470</v>
      </c>
      <c r="I265" s="110"/>
      <c r="J265" s="110"/>
      <c r="K265" s="111" t="s">
        <v>2435</v>
      </c>
    </row>
    <row r="266" spans="1:11" x14ac:dyDescent="0.3">
      <c r="A266" s="108">
        <v>275</v>
      </c>
      <c r="B266" s="110"/>
      <c r="C266" s="110"/>
      <c r="D266" s="110"/>
      <c r="E266" s="110"/>
      <c r="F266" s="110"/>
      <c r="G266" s="110"/>
      <c r="H266" s="132" t="s">
        <v>2471</v>
      </c>
      <c r="I266" s="110"/>
      <c r="J266" s="110"/>
      <c r="K266" s="111" t="s">
        <v>2435</v>
      </c>
    </row>
    <row r="267" spans="1:11" x14ac:dyDescent="0.3">
      <c r="A267" s="108">
        <v>276</v>
      </c>
      <c r="B267" s="110"/>
      <c r="C267" s="110"/>
      <c r="D267" s="110"/>
      <c r="E267" s="110"/>
      <c r="F267" s="110"/>
      <c r="G267" s="110"/>
      <c r="H267" s="132" t="s">
        <v>2472</v>
      </c>
      <c r="I267" s="110"/>
      <c r="J267" s="110"/>
      <c r="K267" s="111" t="s">
        <v>2435</v>
      </c>
    </row>
    <row r="268" spans="1:11" ht="28.8" x14ac:dyDescent="0.3">
      <c r="A268" s="108">
        <v>277</v>
      </c>
      <c r="B268" s="110"/>
      <c r="C268" s="110"/>
      <c r="D268" s="110"/>
      <c r="E268" s="110"/>
      <c r="F268" s="110"/>
      <c r="G268" s="110"/>
      <c r="H268" s="132" t="s">
        <v>2473</v>
      </c>
      <c r="I268" s="110"/>
      <c r="J268" s="110" t="s">
        <v>2086</v>
      </c>
      <c r="K268" s="111"/>
    </row>
    <row r="269" spans="1:11" x14ac:dyDescent="0.3">
      <c r="A269" s="108">
        <v>278</v>
      </c>
      <c r="B269" s="110"/>
      <c r="C269" s="110"/>
      <c r="D269" s="110"/>
      <c r="E269" s="110"/>
      <c r="F269" s="110"/>
      <c r="G269" s="110"/>
      <c r="H269" s="132" t="s">
        <v>2474</v>
      </c>
      <c r="I269" s="110"/>
      <c r="J269" s="110" t="s">
        <v>1773</v>
      </c>
      <c r="K269" s="111"/>
    </row>
    <row r="270" spans="1:11" x14ac:dyDescent="0.3">
      <c r="A270" s="108">
        <v>279</v>
      </c>
      <c r="B270" s="110"/>
      <c r="C270" s="110"/>
      <c r="D270" s="110"/>
      <c r="E270" s="110"/>
      <c r="F270" s="110"/>
      <c r="G270" s="110"/>
      <c r="H270" s="132" t="s">
        <v>2475</v>
      </c>
      <c r="I270" s="110"/>
      <c r="J270" s="110"/>
      <c r="K270" s="111"/>
    </row>
    <row r="271" spans="1:11" x14ac:dyDescent="0.3">
      <c r="A271" s="108">
        <v>280</v>
      </c>
      <c r="B271" s="118">
        <v>46163</v>
      </c>
      <c r="C271" s="110" t="s">
        <v>2476</v>
      </c>
      <c r="D271" s="110" t="s">
        <v>2107</v>
      </c>
      <c r="E271" s="110"/>
      <c r="F271" s="110"/>
      <c r="G271" s="110"/>
      <c r="H271" s="132" t="s">
        <v>2477</v>
      </c>
      <c r="I271" s="110"/>
      <c r="J271" s="110"/>
      <c r="K271" s="111"/>
    </row>
    <row r="272" spans="1:11" x14ac:dyDescent="0.3">
      <c r="A272" s="108">
        <v>281</v>
      </c>
      <c r="B272" s="110"/>
      <c r="C272" s="110"/>
      <c r="D272" s="110"/>
      <c r="E272" s="110"/>
      <c r="F272" s="110"/>
      <c r="G272" s="110"/>
      <c r="H272" s="132" t="s">
        <v>2478</v>
      </c>
      <c r="I272" s="110"/>
      <c r="J272" s="110"/>
      <c r="K272" s="111"/>
    </row>
    <row r="273" spans="1:11" x14ac:dyDescent="0.3">
      <c r="A273" s="108">
        <v>282</v>
      </c>
      <c r="B273" s="110"/>
      <c r="C273" s="110"/>
      <c r="D273" s="110"/>
      <c r="E273" s="110"/>
      <c r="F273" s="110"/>
      <c r="G273" s="110"/>
      <c r="H273" s="132" t="s">
        <v>2479</v>
      </c>
      <c r="I273" s="110"/>
      <c r="J273" s="110"/>
      <c r="K273" s="111"/>
    </row>
    <row r="274" spans="1:11" x14ac:dyDescent="0.3">
      <c r="A274" s="108"/>
      <c r="B274" s="110"/>
      <c r="C274" s="110"/>
      <c r="D274" s="110"/>
      <c r="E274" s="110"/>
      <c r="F274" s="110"/>
      <c r="G274" s="110"/>
      <c r="H274" s="132" t="s">
        <v>2480</v>
      </c>
      <c r="I274" s="110"/>
      <c r="J274" s="110"/>
      <c r="K274" s="111"/>
    </row>
    <row r="275" spans="1:11" x14ac:dyDescent="0.3">
      <c r="A275" s="108"/>
      <c r="B275" s="110"/>
      <c r="C275" s="110"/>
      <c r="D275" s="110"/>
      <c r="E275" s="110"/>
      <c r="F275" s="110"/>
      <c r="G275" s="110"/>
      <c r="H275" s="132" t="s">
        <v>2481</v>
      </c>
      <c r="I275" s="110"/>
      <c r="J275" s="110"/>
      <c r="K275" s="111"/>
    </row>
    <row r="276" spans="1:11" x14ac:dyDescent="0.3">
      <c r="A276" s="108"/>
      <c r="B276" s="110"/>
      <c r="C276" s="110"/>
      <c r="D276" s="110"/>
      <c r="E276" s="110"/>
      <c r="F276" s="110"/>
      <c r="G276" s="110"/>
      <c r="H276" s="132" t="s">
        <v>2482</v>
      </c>
      <c r="I276" s="110"/>
      <c r="J276" s="110"/>
      <c r="K276" s="111"/>
    </row>
    <row r="277" spans="1:11" x14ac:dyDescent="0.3">
      <c r="A277" s="108"/>
      <c r="B277" s="110"/>
      <c r="C277" s="110"/>
      <c r="D277" s="110"/>
      <c r="E277" s="110"/>
      <c r="F277" s="110"/>
      <c r="G277" s="110"/>
      <c r="H277" s="132" t="s">
        <v>2483</v>
      </c>
      <c r="I277" s="110"/>
      <c r="J277" s="110"/>
      <c r="K277" s="111"/>
    </row>
    <row r="278" spans="1:11" x14ac:dyDescent="0.3">
      <c r="A278" s="108"/>
      <c r="B278" s="110"/>
      <c r="C278" s="110"/>
      <c r="D278" s="110"/>
      <c r="E278" s="110"/>
      <c r="F278" s="110"/>
      <c r="G278" s="110"/>
      <c r="H278" s="132" t="s">
        <v>2484</v>
      </c>
      <c r="I278" s="110"/>
      <c r="J278" s="110"/>
      <c r="K278" s="111"/>
    </row>
    <row r="279" spans="1:11" x14ac:dyDescent="0.3">
      <c r="A279" s="108"/>
      <c r="B279" s="110"/>
      <c r="C279" s="110"/>
      <c r="D279" s="110"/>
      <c r="E279" s="110"/>
      <c r="F279" s="110"/>
      <c r="G279" s="110"/>
      <c r="H279" s="132" t="s">
        <v>2485</v>
      </c>
      <c r="I279" s="110"/>
      <c r="J279" s="110"/>
      <c r="K279" s="111"/>
    </row>
    <row r="280" spans="1:11" x14ac:dyDescent="0.3">
      <c r="A280" s="108"/>
      <c r="B280" s="110"/>
      <c r="C280" s="110"/>
      <c r="D280" s="110"/>
      <c r="E280" s="110"/>
      <c r="F280" s="110"/>
      <c r="G280" s="110"/>
      <c r="H280" s="132" t="s">
        <v>2486</v>
      </c>
      <c r="I280" s="110"/>
      <c r="J280" s="110"/>
      <c r="K280" s="111"/>
    </row>
    <row r="281" spans="1:11" ht="28.8" x14ac:dyDescent="0.3">
      <c r="A281" s="108"/>
      <c r="B281" s="110"/>
      <c r="C281" s="110"/>
      <c r="D281" s="110"/>
      <c r="E281" s="110"/>
      <c r="F281" s="110"/>
      <c r="G281" s="110"/>
      <c r="H281" s="132" t="s">
        <v>2487</v>
      </c>
      <c r="I281" s="110"/>
      <c r="J281" s="110"/>
      <c r="K281" s="111"/>
    </row>
    <row r="282" spans="1:11" x14ac:dyDescent="0.3">
      <c r="A282" s="108">
        <v>283</v>
      </c>
      <c r="B282" s="110"/>
      <c r="C282" s="110"/>
      <c r="D282" s="110"/>
      <c r="E282" s="110"/>
      <c r="F282" s="110"/>
      <c r="G282" s="110"/>
      <c r="H282" s="63" t="s">
        <v>2488</v>
      </c>
      <c r="I282" s="110"/>
      <c r="J282" s="110" t="s">
        <v>2066</v>
      </c>
      <c r="K282" s="111"/>
    </row>
    <row r="283" spans="1:11" x14ac:dyDescent="0.3">
      <c r="A283" s="108"/>
      <c r="B283" s="110"/>
      <c r="C283" s="110"/>
      <c r="D283" s="110"/>
      <c r="E283" s="110"/>
      <c r="F283" s="110"/>
      <c r="G283" s="115"/>
      <c r="H283" s="137" t="s">
        <v>2489</v>
      </c>
      <c r="I283" s="115"/>
      <c r="J283" s="110"/>
      <c r="K283" s="111"/>
    </row>
    <row r="284" spans="1:11" ht="28.8" x14ac:dyDescent="0.3">
      <c r="A284" s="108"/>
      <c r="B284" s="110"/>
      <c r="C284" s="110"/>
      <c r="D284" s="110"/>
      <c r="E284" s="110"/>
      <c r="F284" s="130"/>
      <c r="G284" s="110"/>
      <c r="H284" s="111" t="s">
        <v>2490</v>
      </c>
      <c r="I284" s="110"/>
      <c r="J284" s="128"/>
      <c r="K284" s="111"/>
    </row>
    <row r="285" spans="1:11" x14ac:dyDescent="0.3">
      <c r="A285" s="108"/>
      <c r="B285" s="110"/>
      <c r="C285" s="110"/>
      <c r="D285" s="110"/>
      <c r="E285" s="110"/>
      <c r="F285" s="130"/>
      <c r="G285" s="110"/>
      <c r="H285" s="110" t="s">
        <v>2491</v>
      </c>
      <c r="I285" s="110"/>
      <c r="J285" s="128"/>
      <c r="K285" s="111"/>
    </row>
    <row r="286" spans="1:11" x14ac:dyDescent="0.3">
      <c r="A286" s="108"/>
      <c r="B286" s="110"/>
      <c r="C286" s="110"/>
      <c r="D286" s="110"/>
      <c r="E286" s="110"/>
      <c r="F286" s="130"/>
      <c r="G286" s="110"/>
      <c r="H286" s="110" t="s">
        <v>2492</v>
      </c>
      <c r="I286" s="110"/>
      <c r="J286" s="128"/>
      <c r="K286" s="111"/>
    </row>
    <row r="287" spans="1:11" x14ac:dyDescent="0.3">
      <c r="A287" s="108"/>
      <c r="B287" s="110"/>
      <c r="C287" s="110"/>
      <c r="D287" s="110"/>
      <c r="E287" s="110"/>
      <c r="F287" s="130"/>
      <c r="G287" s="110"/>
      <c r="H287" s="110" t="s">
        <v>2493</v>
      </c>
      <c r="I287" s="110"/>
      <c r="J287" s="128"/>
      <c r="K287" s="111"/>
    </row>
    <row r="288" spans="1:11" x14ac:dyDescent="0.3">
      <c r="A288" s="108"/>
      <c r="B288" s="110"/>
      <c r="C288" s="110"/>
      <c r="D288" s="110"/>
      <c r="E288" s="110"/>
      <c r="F288" s="130"/>
      <c r="G288" s="110"/>
      <c r="H288" s="110" t="s">
        <v>2494</v>
      </c>
      <c r="I288" s="110"/>
      <c r="J288" s="128"/>
      <c r="K288" s="111"/>
    </row>
    <row r="289" spans="1:11" x14ac:dyDescent="0.3">
      <c r="A289" s="108"/>
      <c r="B289" s="110"/>
      <c r="C289" s="110"/>
      <c r="D289" s="110"/>
      <c r="E289" s="110"/>
      <c r="F289" s="130"/>
      <c r="G289" s="110"/>
      <c r="H289" s="110" t="s">
        <v>2495</v>
      </c>
      <c r="I289" s="110"/>
      <c r="J289" s="128"/>
      <c r="K289" s="111"/>
    </row>
    <row r="290" spans="1:11" x14ac:dyDescent="0.3">
      <c r="A290" s="108">
        <v>285</v>
      </c>
      <c r="B290" s="118">
        <v>46163</v>
      </c>
      <c r="C290" s="110" t="s">
        <v>2496</v>
      </c>
      <c r="D290" s="110" t="s">
        <v>2107</v>
      </c>
      <c r="E290" s="110"/>
      <c r="F290" s="110"/>
      <c r="G290" s="116"/>
      <c r="H290" s="167" t="s">
        <v>2497</v>
      </c>
      <c r="I290" s="116"/>
      <c r="J290" s="110" t="s">
        <v>1773</v>
      </c>
      <c r="K290" s="111"/>
    </row>
    <row r="291" spans="1:11" x14ac:dyDescent="0.3">
      <c r="A291" s="108">
        <v>286</v>
      </c>
      <c r="B291" s="110"/>
      <c r="C291" s="110"/>
      <c r="D291" s="110"/>
      <c r="E291" s="110"/>
      <c r="F291" s="110"/>
      <c r="G291" s="110"/>
      <c r="H291" s="132" t="s">
        <v>2498</v>
      </c>
      <c r="I291" s="110"/>
      <c r="J291" s="110"/>
      <c r="K291" s="111"/>
    </row>
    <row r="292" spans="1:11" ht="43.2" x14ac:dyDescent="0.3">
      <c r="A292" s="108">
        <v>287</v>
      </c>
      <c r="B292" s="110"/>
      <c r="C292" s="110"/>
      <c r="D292" s="110"/>
      <c r="E292" s="110"/>
      <c r="F292" s="110"/>
      <c r="G292" s="110"/>
      <c r="H292" s="132" t="s">
        <v>2499</v>
      </c>
      <c r="I292" s="110"/>
      <c r="J292" s="110"/>
      <c r="K292" s="111"/>
    </row>
    <row r="293" spans="1:11" x14ac:dyDescent="0.3">
      <c r="A293" s="108">
        <v>288</v>
      </c>
      <c r="B293" s="110"/>
      <c r="C293" s="110"/>
      <c r="D293" s="110"/>
      <c r="E293" s="110"/>
      <c r="F293" s="110"/>
      <c r="G293" s="110"/>
      <c r="H293" s="132" t="s">
        <v>2500</v>
      </c>
      <c r="I293" s="110"/>
      <c r="J293" s="110"/>
      <c r="K293" s="111"/>
    </row>
    <row r="294" spans="1:11" x14ac:dyDescent="0.3">
      <c r="A294" s="108">
        <v>289</v>
      </c>
      <c r="B294" s="118"/>
      <c r="C294" s="110"/>
      <c r="D294" s="110"/>
      <c r="E294" s="110"/>
      <c r="F294" s="110"/>
      <c r="G294" s="110"/>
      <c r="H294" s="132" t="s">
        <v>2501</v>
      </c>
      <c r="I294" s="110"/>
      <c r="J294" s="110"/>
      <c r="K294" s="111"/>
    </row>
    <row r="295" spans="1:11" x14ac:dyDescent="0.3">
      <c r="A295" s="108">
        <v>290</v>
      </c>
      <c r="B295" s="110"/>
      <c r="C295" s="110"/>
      <c r="D295" s="110"/>
      <c r="E295" s="110"/>
      <c r="F295" s="110"/>
      <c r="G295" s="110"/>
      <c r="H295" s="132" t="s">
        <v>2502</v>
      </c>
      <c r="I295" s="110"/>
      <c r="J295" s="110"/>
      <c r="K295" s="111"/>
    </row>
    <row r="296" spans="1:11" x14ac:dyDescent="0.3">
      <c r="A296" s="108">
        <v>291</v>
      </c>
      <c r="B296" s="110"/>
      <c r="C296" s="110"/>
      <c r="D296" s="110"/>
      <c r="E296" s="110"/>
      <c r="F296" s="110"/>
      <c r="G296" s="110"/>
      <c r="H296" s="132"/>
      <c r="I296" s="110"/>
      <c r="J296" s="110"/>
      <c r="K296" s="111"/>
    </row>
    <row r="297" spans="1:11" x14ac:dyDescent="0.3">
      <c r="A297" s="108">
        <v>292</v>
      </c>
      <c r="B297" s="110"/>
      <c r="C297" s="110"/>
      <c r="D297" s="110"/>
      <c r="E297" s="110"/>
      <c r="F297" s="110"/>
      <c r="G297" s="110"/>
      <c r="H297" s="132"/>
      <c r="I297" s="110"/>
      <c r="J297" s="110"/>
      <c r="K297" s="111"/>
    </row>
    <row r="298" spans="1:11" x14ac:dyDescent="0.3">
      <c r="A298" s="108">
        <v>293</v>
      </c>
      <c r="B298" s="118">
        <v>46163</v>
      </c>
      <c r="C298" s="110" t="s">
        <v>2172</v>
      </c>
      <c r="D298" s="110" t="s">
        <v>2107</v>
      </c>
      <c r="E298" s="110"/>
      <c r="F298" s="110"/>
      <c r="G298" s="110"/>
      <c r="H298" s="132" t="s">
        <v>2503</v>
      </c>
      <c r="I298" s="110"/>
      <c r="J298" s="110"/>
      <c r="K298" s="111"/>
    </row>
    <row r="299" spans="1:11" ht="43.2" x14ac:dyDescent="0.3">
      <c r="A299" s="108">
        <v>294</v>
      </c>
      <c r="B299" s="110"/>
      <c r="C299" s="110"/>
      <c r="D299" s="110"/>
      <c r="E299" s="110"/>
      <c r="F299" s="110"/>
      <c r="G299" s="110"/>
      <c r="H299" s="132" t="s">
        <v>2504</v>
      </c>
      <c r="I299" s="110"/>
      <c r="J299" s="110"/>
      <c r="K299" s="111"/>
    </row>
    <row r="300" spans="1:11" x14ac:dyDescent="0.3">
      <c r="A300" s="108">
        <v>295</v>
      </c>
      <c r="B300" s="110"/>
      <c r="C300" s="110"/>
      <c r="D300" s="110"/>
      <c r="E300" s="110"/>
      <c r="F300" s="110"/>
      <c r="G300" s="110"/>
      <c r="H300" s="132" t="s">
        <v>2505</v>
      </c>
      <c r="I300" s="110"/>
      <c r="J300" s="110"/>
      <c r="K300" s="111"/>
    </row>
    <row r="301" spans="1:11" x14ac:dyDescent="0.3">
      <c r="A301" s="108">
        <v>296</v>
      </c>
      <c r="B301" s="110"/>
      <c r="C301" s="110"/>
      <c r="D301" s="110"/>
      <c r="E301" s="110"/>
      <c r="F301" s="110"/>
      <c r="G301" s="110"/>
      <c r="H301" s="132"/>
      <c r="I301" s="110"/>
      <c r="J301" s="110"/>
      <c r="K301" s="111"/>
    </row>
    <row r="302" spans="1:11" x14ac:dyDescent="0.3">
      <c r="A302" s="108">
        <v>297</v>
      </c>
      <c r="B302" s="110"/>
      <c r="C302" s="110"/>
      <c r="D302" s="110"/>
      <c r="E302" s="110"/>
      <c r="F302" s="110"/>
      <c r="G302" s="110"/>
      <c r="H302" s="132"/>
      <c r="I302" s="110"/>
      <c r="J302" s="110"/>
      <c r="K302" s="111"/>
    </row>
    <row r="303" spans="1:11" x14ac:dyDescent="0.3">
      <c r="A303" s="108">
        <v>298</v>
      </c>
      <c r="B303" s="110"/>
      <c r="C303" s="110"/>
      <c r="D303" s="110"/>
      <c r="E303" s="110"/>
      <c r="F303" s="110"/>
      <c r="G303" s="110"/>
      <c r="H303" s="132"/>
      <c r="I303" s="110"/>
      <c r="J303" s="110"/>
      <c r="K303" s="111"/>
    </row>
    <row r="304" spans="1:11" x14ac:dyDescent="0.3">
      <c r="A304" s="108">
        <v>299</v>
      </c>
      <c r="B304" s="110"/>
      <c r="C304" s="110"/>
      <c r="D304" s="110"/>
      <c r="E304" s="110"/>
      <c r="F304" s="110"/>
      <c r="G304" s="110"/>
      <c r="H304" s="132"/>
      <c r="I304" s="110"/>
      <c r="J304" s="110"/>
      <c r="K304" s="111"/>
    </row>
    <row r="305" spans="1:11" x14ac:dyDescent="0.3">
      <c r="A305" s="108">
        <v>300</v>
      </c>
      <c r="B305" s="110"/>
      <c r="C305" s="110"/>
      <c r="D305" s="110"/>
      <c r="E305" s="110"/>
      <c r="F305" s="110"/>
      <c r="G305" s="110"/>
      <c r="H305" s="132"/>
      <c r="I305" s="110"/>
      <c r="J305" s="110"/>
      <c r="K305" s="111"/>
    </row>
  </sheetData>
  <autoFilter ref="A1:L1" xr:uid="{EB32975C-B314-4008-AA0A-296AB1CBDC7F}"/>
  <dataValidations count="2">
    <dataValidation type="list" allowBlank="1" showInputMessage="1" showErrorMessage="1" sqref="I1:I1048576" xr:uid="{4BC260A6-3BA8-49F9-91B9-05132E7AFA71}">
      <formula1>"Urgent, High, Medium, Low"</formula1>
    </dataValidation>
    <dataValidation type="list" allowBlank="1" showInputMessage="1" showErrorMessage="1" sqref="J1:J1048576" xr:uid="{961FD0CE-AC24-408A-BED1-4447FFF119A9}">
      <formula1>"New feature, Improvement, Masterdata, BUG"</formula1>
    </dataValidation>
  </dataValidations>
  <hyperlinks>
    <hyperlink ref="K95" r:id="rId1" xr:uid="{B5CA3A61-886B-4C95-AAB0-2018694E3F86}"/>
    <hyperlink ref="K19" r:id="rId2" xr:uid="{BEC2DAA2-6C31-4AEA-804A-E23DA360A046}"/>
  </hyperlinks>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32912-46D2-4EDE-A09F-422383969317}">
  <dimension ref="A1:T146"/>
  <sheetViews>
    <sheetView workbookViewId="0">
      <pane ySplit="1" topLeftCell="A4" activePane="bottomLeft" state="frozen"/>
      <selection pane="bottomLeft" activeCell="C6" sqref="C6"/>
    </sheetView>
  </sheetViews>
  <sheetFormatPr defaultColWidth="11.44140625" defaultRowHeight="14.4" x14ac:dyDescent="0.3"/>
  <cols>
    <col min="1" max="1" width="5.44140625" style="196" customWidth="1"/>
    <col min="2" max="2" width="33.6640625" customWidth="1"/>
    <col min="3" max="3" width="38.44140625" customWidth="1"/>
    <col min="4" max="4" width="11.44140625" style="319" customWidth="1"/>
    <col min="5" max="5" width="15.44140625" style="63" customWidth="1"/>
    <col min="6" max="6" width="15.44140625" style="62" customWidth="1"/>
    <col min="7" max="8" width="28.44140625" style="172" customWidth="1"/>
    <col min="9" max="9" width="12.6640625" customWidth="1"/>
    <col min="10" max="10" width="35.44140625" customWidth="1"/>
    <col min="11" max="11" width="51.109375" style="32" customWidth="1"/>
    <col min="12" max="12" width="11.44140625" style="143" customWidth="1"/>
    <col min="13" max="13" width="13.88671875" style="142" customWidth="1"/>
    <col min="14" max="14" width="13.88671875" style="142" hidden="1" customWidth="1"/>
    <col min="15" max="15" width="0" hidden="1" customWidth="1"/>
    <col min="16" max="16" width="11.44140625" bestFit="1" customWidth="1"/>
    <col min="18" max="18" width="48.109375" style="64" customWidth="1"/>
    <col min="19" max="19" width="36.88671875" style="64" customWidth="1"/>
    <col min="20" max="20" width="11.44140625" style="192" bestFit="1" customWidth="1"/>
  </cols>
  <sheetData>
    <row r="1" spans="1:20" s="196" customFormat="1" ht="39.6" x14ac:dyDescent="0.3">
      <c r="A1" s="320" t="s">
        <v>2007</v>
      </c>
      <c r="B1" s="320" t="s">
        <v>2506</v>
      </c>
      <c r="C1" s="320" t="s">
        <v>2507</v>
      </c>
      <c r="D1" s="320" t="s">
        <v>1747</v>
      </c>
      <c r="E1" s="320" t="s">
        <v>2508</v>
      </c>
      <c r="F1" s="321" t="s">
        <v>1748</v>
      </c>
      <c r="G1" s="320" t="s">
        <v>181</v>
      </c>
      <c r="H1" s="156" t="s">
        <v>2509</v>
      </c>
      <c r="I1" s="156" t="s">
        <v>685</v>
      </c>
      <c r="J1" s="156" t="s">
        <v>2510</v>
      </c>
      <c r="K1" s="156" t="s">
        <v>1752</v>
      </c>
      <c r="L1" s="156" t="s">
        <v>2511</v>
      </c>
      <c r="M1" s="156" t="s">
        <v>2512</v>
      </c>
      <c r="N1" s="156" t="s">
        <v>2513</v>
      </c>
      <c r="O1" s="156" t="s">
        <v>2514</v>
      </c>
      <c r="P1" s="156" t="s">
        <v>2515</v>
      </c>
      <c r="Q1" s="156" t="s">
        <v>2516</v>
      </c>
      <c r="R1" s="156" t="s">
        <v>2517</v>
      </c>
      <c r="S1" s="156" t="s">
        <v>2518</v>
      </c>
      <c r="T1" s="191" t="s">
        <v>2519</v>
      </c>
    </row>
    <row r="2" spans="1:20" ht="72" x14ac:dyDescent="0.3">
      <c r="A2" s="322">
        <v>1</v>
      </c>
      <c r="B2" s="323" t="s">
        <v>2520</v>
      </c>
      <c r="C2" s="323" t="s">
        <v>2521</v>
      </c>
      <c r="D2" s="324" t="s">
        <v>1756</v>
      </c>
      <c r="E2" s="325" t="s">
        <v>2522</v>
      </c>
      <c r="F2" s="322" t="s">
        <v>2523</v>
      </c>
      <c r="G2" s="326" t="s">
        <v>2524</v>
      </c>
      <c r="H2" s="280" t="s">
        <v>2525</v>
      </c>
      <c r="I2" s="159" t="s">
        <v>2066</v>
      </c>
      <c r="J2" s="159" t="s">
        <v>2526</v>
      </c>
      <c r="K2" s="161" t="s">
        <v>2527</v>
      </c>
      <c r="L2" s="162">
        <v>6</v>
      </c>
      <c r="M2" s="150" t="s">
        <v>2528</v>
      </c>
      <c r="N2" s="168" t="b">
        <v>0</v>
      </c>
      <c r="O2" s="170" t="b">
        <v>1</v>
      </c>
      <c r="P2" s="170" t="b">
        <v>0</v>
      </c>
      <c r="Q2" s="170" t="b">
        <v>0</v>
      </c>
      <c r="R2" s="175" t="s">
        <v>2529</v>
      </c>
      <c r="S2" s="64" t="s">
        <v>2530</v>
      </c>
    </row>
    <row r="3" spans="1:20" ht="28.8" x14ac:dyDescent="0.3">
      <c r="A3" s="322">
        <v>2</v>
      </c>
      <c r="B3" s="323" t="s">
        <v>2531</v>
      </c>
      <c r="C3" s="323" t="s">
        <v>2532</v>
      </c>
      <c r="D3" s="327" t="s">
        <v>1760</v>
      </c>
      <c r="E3" s="325" t="s">
        <v>2522</v>
      </c>
      <c r="F3" s="322" t="s">
        <v>2533</v>
      </c>
      <c r="G3" s="326"/>
      <c r="H3" s="280" t="s">
        <v>2525</v>
      </c>
      <c r="I3" s="159" t="s">
        <v>1773</v>
      </c>
      <c r="J3" s="159" t="s">
        <v>2534</v>
      </c>
      <c r="K3" s="161" t="s">
        <v>2527</v>
      </c>
      <c r="L3" s="162">
        <v>2</v>
      </c>
      <c r="M3" s="150" t="s">
        <v>2535</v>
      </c>
      <c r="N3" s="168" t="b">
        <v>0</v>
      </c>
      <c r="O3" s="170" t="b">
        <v>0</v>
      </c>
      <c r="P3" s="170" t="b">
        <v>0</v>
      </c>
      <c r="Q3" s="170" t="b">
        <v>0</v>
      </c>
      <c r="R3" s="175" t="s">
        <v>2536</v>
      </c>
      <c r="S3" s="64" t="s">
        <v>2537</v>
      </c>
    </row>
    <row r="4" spans="1:20" ht="28.8" x14ac:dyDescent="0.3">
      <c r="A4" s="322">
        <v>3</v>
      </c>
      <c r="B4" s="323" t="s">
        <v>2538</v>
      </c>
      <c r="C4" s="323" t="s">
        <v>2539</v>
      </c>
      <c r="D4" s="328" t="s">
        <v>1797</v>
      </c>
      <c r="E4" s="329">
        <v>46191</v>
      </c>
      <c r="F4" s="322" t="s">
        <v>2533</v>
      </c>
      <c r="G4" s="326"/>
      <c r="H4" s="280" t="s">
        <v>2540</v>
      </c>
      <c r="I4" s="159" t="s">
        <v>1773</v>
      </c>
      <c r="J4" s="159" t="s">
        <v>2541</v>
      </c>
      <c r="K4" s="171" t="s">
        <v>2542</v>
      </c>
      <c r="L4" s="162">
        <v>1</v>
      </c>
      <c r="M4" s="150">
        <v>36</v>
      </c>
      <c r="N4" s="168" t="b">
        <v>0</v>
      </c>
      <c r="O4" s="170" t="b">
        <v>0</v>
      </c>
      <c r="P4" s="170" t="b">
        <v>0</v>
      </c>
      <c r="Q4" s="170" t="b">
        <v>0</v>
      </c>
      <c r="R4" s="64" t="s">
        <v>2543</v>
      </c>
      <c r="S4" s="64" t="s">
        <v>2530</v>
      </c>
    </row>
    <row r="5" spans="1:20" ht="52.8" x14ac:dyDescent="0.3">
      <c r="A5" s="322">
        <v>4</v>
      </c>
      <c r="B5" s="323" t="s">
        <v>2544</v>
      </c>
      <c r="C5" s="323" t="s">
        <v>2545</v>
      </c>
      <c r="D5" s="330" t="s">
        <v>1823</v>
      </c>
      <c r="E5" s="329">
        <v>46191</v>
      </c>
      <c r="F5" s="322" t="s">
        <v>2533</v>
      </c>
      <c r="G5" s="326"/>
      <c r="H5" s="280" t="s">
        <v>2546</v>
      </c>
      <c r="I5" s="159" t="s">
        <v>2066</v>
      </c>
      <c r="J5" s="159" t="s">
        <v>2547</v>
      </c>
      <c r="K5" s="161" t="s">
        <v>2548</v>
      </c>
      <c r="L5" s="162">
        <v>3</v>
      </c>
      <c r="M5" s="150" t="s">
        <v>2549</v>
      </c>
      <c r="N5" s="168" t="b">
        <v>0</v>
      </c>
      <c r="O5" s="170" t="b">
        <v>0</v>
      </c>
      <c r="P5" s="170" t="b">
        <v>0</v>
      </c>
      <c r="Q5" s="170" t="b">
        <v>0</v>
      </c>
      <c r="R5" s="64" t="s">
        <v>2550</v>
      </c>
      <c r="S5" s="64" t="s">
        <v>2530</v>
      </c>
    </row>
    <row r="6" spans="1:20" ht="144" x14ac:dyDescent="0.3">
      <c r="A6" s="322">
        <v>5</v>
      </c>
      <c r="B6" s="323" t="s">
        <v>2551</v>
      </c>
      <c r="C6" s="323" t="s">
        <v>2552</v>
      </c>
      <c r="D6" s="330" t="s">
        <v>1823</v>
      </c>
      <c r="E6" s="329">
        <v>46191</v>
      </c>
      <c r="F6" s="322" t="s">
        <v>2533</v>
      </c>
      <c r="G6" s="326"/>
      <c r="H6" s="280" t="s">
        <v>2553</v>
      </c>
      <c r="I6" s="159" t="s">
        <v>2066</v>
      </c>
      <c r="J6" s="159" t="s">
        <v>2554</v>
      </c>
      <c r="K6" s="161" t="s">
        <v>2548</v>
      </c>
      <c r="L6" s="162">
        <v>4</v>
      </c>
      <c r="M6" s="150" t="s">
        <v>2555</v>
      </c>
      <c r="N6" s="168" t="b">
        <v>0</v>
      </c>
      <c r="O6" s="170" t="b">
        <v>0</v>
      </c>
      <c r="P6" s="170" t="b">
        <v>0</v>
      </c>
      <c r="Q6" s="170" t="b">
        <v>0</v>
      </c>
      <c r="R6" s="179" t="s">
        <v>2556</v>
      </c>
      <c r="S6" s="180" t="s">
        <v>2557</v>
      </c>
      <c r="T6" s="190" t="b">
        <v>1</v>
      </c>
    </row>
    <row r="7" spans="1:20" ht="39.6" x14ac:dyDescent="0.3">
      <c r="A7" s="322">
        <v>6</v>
      </c>
      <c r="B7" s="323" t="s">
        <v>2558</v>
      </c>
      <c r="C7" s="323" t="s">
        <v>2559</v>
      </c>
      <c r="D7" s="330" t="s">
        <v>1823</v>
      </c>
      <c r="E7" s="325" t="s">
        <v>2522</v>
      </c>
      <c r="F7" s="322" t="s">
        <v>2523</v>
      </c>
      <c r="G7" s="323" t="s">
        <v>2560</v>
      </c>
      <c r="H7" s="159" t="s">
        <v>2561</v>
      </c>
      <c r="I7" s="159" t="s">
        <v>1773</v>
      </c>
      <c r="J7" s="159" t="s">
        <v>2562</v>
      </c>
      <c r="K7" s="161" t="s">
        <v>2548</v>
      </c>
      <c r="L7" s="162">
        <v>1</v>
      </c>
      <c r="M7" s="150">
        <v>41</v>
      </c>
      <c r="N7" s="168" t="b">
        <v>0</v>
      </c>
      <c r="O7" s="170" t="b">
        <v>0</v>
      </c>
      <c r="P7" s="170" t="b">
        <v>0</v>
      </c>
      <c r="Q7" s="170" t="b">
        <v>0</v>
      </c>
      <c r="R7" s="64" t="s">
        <v>2550</v>
      </c>
      <c r="S7" s="64" t="s">
        <v>2530</v>
      </c>
    </row>
    <row r="8" spans="1:20" ht="52.8" x14ac:dyDescent="0.3">
      <c r="A8" s="322">
        <v>7</v>
      </c>
      <c r="B8" s="323" t="s">
        <v>2563</v>
      </c>
      <c r="C8" s="323" t="s">
        <v>2564</v>
      </c>
      <c r="D8" s="330" t="s">
        <v>1823</v>
      </c>
      <c r="E8" s="325" t="s">
        <v>2522</v>
      </c>
      <c r="F8" s="322" t="s">
        <v>2523</v>
      </c>
      <c r="G8" s="326" t="s">
        <v>2524</v>
      </c>
      <c r="H8" s="159" t="s">
        <v>2565</v>
      </c>
      <c r="I8" s="159" t="s">
        <v>2566</v>
      </c>
      <c r="J8" s="159" t="s">
        <v>2567</v>
      </c>
      <c r="K8" s="161" t="s">
        <v>2568</v>
      </c>
      <c r="L8" s="162">
        <v>2</v>
      </c>
      <c r="M8" s="150" t="s">
        <v>2569</v>
      </c>
      <c r="N8" s="168" t="b">
        <v>0</v>
      </c>
      <c r="O8" s="170" t="b">
        <v>0</v>
      </c>
      <c r="P8" s="170" t="b">
        <v>1</v>
      </c>
      <c r="Q8" s="170" t="b">
        <v>0</v>
      </c>
      <c r="R8" s="179" t="s">
        <v>2570</v>
      </c>
      <c r="S8" s="180" t="s">
        <v>2557</v>
      </c>
      <c r="T8" s="190" t="b">
        <v>1</v>
      </c>
    </row>
    <row r="9" spans="1:20" ht="66" x14ac:dyDescent="0.3">
      <c r="A9" s="322">
        <v>8</v>
      </c>
      <c r="B9" s="323" t="s">
        <v>2571</v>
      </c>
      <c r="C9" s="323" t="s">
        <v>2572</v>
      </c>
      <c r="D9" s="324" t="s">
        <v>1756</v>
      </c>
      <c r="E9" s="325" t="s">
        <v>2522</v>
      </c>
      <c r="F9" s="322" t="s">
        <v>2523</v>
      </c>
      <c r="G9" s="326" t="s">
        <v>2524</v>
      </c>
      <c r="H9" s="280" t="s">
        <v>2525</v>
      </c>
      <c r="I9" s="159" t="s">
        <v>1773</v>
      </c>
      <c r="J9" s="159" t="s">
        <v>2573</v>
      </c>
      <c r="K9" s="161" t="s">
        <v>2574</v>
      </c>
      <c r="L9" s="162">
        <v>5</v>
      </c>
      <c r="M9" s="150" t="s">
        <v>2575</v>
      </c>
      <c r="N9" s="168" t="b">
        <v>0</v>
      </c>
      <c r="O9" s="170" t="b">
        <v>0</v>
      </c>
      <c r="P9" s="170" t="b">
        <v>0</v>
      </c>
      <c r="Q9" s="170" t="b">
        <v>0</v>
      </c>
      <c r="R9" s="179" t="s">
        <v>2576</v>
      </c>
      <c r="S9" s="180" t="s">
        <v>2577</v>
      </c>
      <c r="T9" s="190" t="b">
        <v>1</v>
      </c>
    </row>
    <row r="10" spans="1:20" ht="100.8" x14ac:dyDescent="0.3">
      <c r="A10" s="322">
        <v>9</v>
      </c>
      <c r="B10" s="323" t="s">
        <v>2578</v>
      </c>
      <c r="C10" s="323" t="s">
        <v>2579</v>
      </c>
      <c r="D10" s="324" t="s">
        <v>1756</v>
      </c>
      <c r="E10" s="325" t="s">
        <v>2522</v>
      </c>
      <c r="F10" s="322" t="s">
        <v>2533</v>
      </c>
      <c r="G10" s="326"/>
      <c r="H10" s="280" t="s">
        <v>2525</v>
      </c>
      <c r="I10" s="159" t="s">
        <v>1773</v>
      </c>
      <c r="J10" s="159" t="s">
        <v>2580</v>
      </c>
      <c r="K10" s="161" t="s">
        <v>2581</v>
      </c>
      <c r="L10" s="162">
        <v>2</v>
      </c>
      <c r="M10" s="150" t="s">
        <v>2582</v>
      </c>
      <c r="N10" s="168" t="b">
        <v>0</v>
      </c>
      <c r="O10" s="170" t="b">
        <v>1</v>
      </c>
      <c r="P10" s="170" t="b">
        <v>0</v>
      </c>
      <c r="Q10" s="170" t="b">
        <v>0</v>
      </c>
      <c r="R10" s="175" t="s">
        <v>2583</v>
      </c>
      <c r="S10" s="180" t="s">
        <v>2584</v>
      </c>
      <c r="T10" s="190" t="b">
        <v>1</v>
      </c>
    </row>
    <row r="11" spans="1:20" ht="92.4" x14ac:dyDescent="0.3">
      <c r="A11" s="322">
        <v>10</v>
      </c>
      <c r="B11" s="323" t="s">
        <v>2585</v>
      </c>
      <c r="C11" s="323" t="s">
        <v>2586</v>
      </c>
      <c r="D11" s="325" t="s">
        <v>2587</v>
      </c>
      <c r="E11" s="331" t="s">
        <v>2588</v>
      </c>
      <c r="F11" s="322" t="s">
        <v>2589</v>
      </c>
      <c r="G11" s="326"/>
      <c r="H11" s="280" t="s">
        <v>2590</v>
      </c>
      <c r="I11" s="159" t="s">
        <v>2566</v>
      </c>
      <c r="J11" s="159"/>
      <c r="K11" s="159" t="s">
        <v>2591</v>
      </c>
      <c r="L11" s="162">
        <v>2</v>
      </c>
      <c r="M11" s="150" t="s">
        <v>2592</v>
      </c>
      <c r="N11" s="168" t="b">
        <v>0</v>
      </c>
      <c r="O11" s="170" t="b">
        <v>0</v>
      </c>
      <c r="P11" s="170" t="b">
        <v>1</v>
      </c>
      <c r="Q11" s="170" t="b">
        <v>0</v>
      </c>
      <c r="R11" s="64" t="s">
        <v>2593</v>
      </c>
      <c r="S11" s="64" t="s">
        <v>2530</v>
      </c>
    </row>
    <row r="12" spans="1:20" ht="66" x14ac:dyDescent="0.3">
      <c r="A12" s="322">
        <v>11</v>
      </c>
      <c r="B12" s="323" t="s">
        <v>2594</v>
      </c>
      <c r="C12" s="323" t="s">
        <v>2418</v>
      </c>
      <c r="D12" s="325" t="s">
        <v>2587</v>
      </c>
      <c r="E12" s="329">
        <v>46191</v>
      </c>
      <c r="F12" s="322" t="s">
        <v>2533</v>
      </c>
      <c r="G12" s="326"/>
      <c r="H12" s="280" t="s">
        <v>2595</v>
      </c>
      <c r="I12" s="159" t="s">
        <v>1773</v>
      </c>
      <c r="J12" s="159" t="s">
        <v>2596</v>
      </c>
      <c r="K12" s="159" t="s">
        <v>2597</v>
      </c>
      <c r="L12" s="162">
        <v>1</v>
      </c>
      <c r="M12" s="150">
        <v>239</v>
      </c>
      <c r="N12" s="168" t="b">
        <v>0</v>
      </c>
      <c r="O12" s="170" t="b">
        <v>0</v>
      </c>
      <c r="P12" s="170" t="b">
        <v>1</v>
      </c>
      <c r="Q12" s="170" t="b">
        <v>0</v>
      </c>
      <c r="R12" s="64" t="s">
        <v>2598</v>
      </c>
      <c r="S12" s="64" t="s">
        <v>2530</v>
      </c>
    </row>
    <row r="13" spans="1:20" ht="28.8" x14ac:dyDescent="0.3">
      <c r="A13" s="322">
        <v>12</v>
      </c>
      <c r="B13" s="323" t="s">
        <v>2599</v>
      </c>
      <c r="C13" s="323" t="s">
        <v>2600</v>
      </c>
      <c r="D13" s="330" t="s">
        <v>1823</v>
      </c>
      <c r="E13" s="325" t="s">
        <v>2522</v>
      </c>
      <c r="F13" s="322" t="s">
        <v>2533</v>
      </c>
      <c r="G13" s="326"/>
      <c r="H13" s="280" t="s">
        <v>2525</v>
      </c>
      <c r="I13" s="159" t="s">
        <v>2086</v>
      </c>
      <c r="J13" s="159" t="s">
        <v>2601</v>
      </c>
      <c r="K13" s="161" t="s">
        <v>2602</v>
      </c>
      <c r="L13" s="162">
        <v>2</v>
      </c>
      <c r="M13" s="150" t="s">
        <v>2603</v>
      </c>
      <c r="N13" s="168" t="b">
        <v>0</v>
      </c>
      <c r="O13" s="170" t="b">
        <v>1</v>
      </c>
      <c r="P13" s="170" t="b">
        <v>0</v>
      </c>
      <c r="Q13" s="170" t="b">
        <v>0</v>
      </c>
      <c r="R13" s="64" t="s">
        <v>2604</v>
      </c>
      <c r="S13" s="64" t="s">
        <v>2530</v>
      </c>
    </row>
    <row r="14" spans="1:20" ht="28.8" x14ac:dyDescent="0.3">
      <c r="A14" s="322">
        <v>13</v>
      </c>
      <c r="B14" s="323" t="s">
        <v>2605</v>
      </c>
      <c r="C14" s="323" t="s">
        <v>2606</v>
      </c>
      <c r="D14" s="330" t="s">
        <v>1823</v>
      </c>
      <c r="E14" s="325" t="s">
        <v>2522</v>
      </c>
      <c r="F14" s="322" t="s">
        <v>2533</v>
      </c>
      <c r="G14" s="326"/>
      <c r="H14" s="280" t="s">
        <v>2525</v>
      </c>
      <c r="I14" s="159" t="s">
        <v>1773</v>
      </c>
      <c r="J14" s="63" t="s">
        <v>2607</v>
      </c>
      <c r="K14" s="171" t="s">
        <v>2608</v>
      </c>
      <c r="L14" s="62">
        <v>1</v>
      </c>
      <c r="M14" s="70">
        <v>10</v>
      </c>
      <c r="N14" s="169" t="b">
        <v>0</v>
      </c>
      <c r="O14" s="170" t="b">
        <v>1</v>
      </c>
      <c r="P14" s="170" t="b">
        <v>0</v>
      </c>
      <c r="Q14" s="170" t="b">
        <v>0</v>
      </c>
      <c r="R14" s="177" t="s">
        <v>2609</v>
      </c>
      <c r="S14" s="180" t="s">
        <v>2610</v>
      </c>
      <c r="T14" s="190" t="b">
        <v>1</v>
      </c>
    </row>
    <row r="15" spans="1:20" ht="72" x14ac:dyDescent="0.3">
      <c r="A15" s="322">
        <v>14</v>
      </c>
      <c r="B15" s="323" t="s">
        <v>2611</v>
      </c>
      <c r="C15" s="323" t="s">
        <v>2612</v>
      </c>
      <c r="D15" s="324" t="s">
        <v>1756</v>
      </c>
      <c r="E15" s="325" t="s">
        <v>2522</v>
      </c>
      <c r="F15" s="322" t="s">
        <v>2523</v>
      </c>
      <c r="G15" s="326" t="s">
        <v>2524</v>
      </c>
      <c r="H15" s="280" t="s">
        <v>2525</v>
      </c>
      <c r="I15" s="159" t="s">
        <v>1773</v>
      </c>
      <c r="J15" s="159" t="s">
        <v>2613</v>
      </c>
      <c r="K15" s="159" t="s">
        <v>2614</v>
      </c>
      <c r="L15" s="162">
        <v>2</v>
      </c>
      <c r="M15" s="150" t="s">
        <v>2615</v>
      </c>
      <c r="N15" s="168" t="b">
        <v>0</v>
      </c>
      <c r="O15" s="170" t="b">
        <v>1</v>
      </c>
      <c r="P15" s="170" t="b">
        <v>0</v>
      </c>
      <c r="Q15" s="170" t="b">
        <v>0</v>
      </c>
      <c r="R15" s="64" t="s">
        <v>2616</v>
      </c>
      <c r="S15" s="188" t="s">
        <v>2617</v>
      </c>
      <c r="T15" s="192" t="s">
        <v>2618</v>
      </c>
    </row>
    <row r="16" spans="1:20" ht="39.6" x14ac:dyDescent="0.3">
      <c r="A16" s="322">
        <v>15</v>
      </c>
      <c r="B16" s="323" t="s">
        <v>2619</v>
      </c>
      <c r="C16" s="323" t="s">
        <v>2620</v>
      </c>
      <c r="D16" s="330" t="s">
        <v>1823</v>
      </c>
      <c r="E16" s="325" t="s">
        <v>2522</v>
      </c>
      <c r="F16" s="322" t="s">
        <v>2533</v>
      </c>
      <c r="G16" s="326"/>
      <c r="H16" s="280" t="s">
        <v>2525</v>
      </c>
      <c r="I16" s="159" t="s">
        <v>2086</v>
      </c>
      <c r="J16" s="159" t="s">
        <v>2621</v>
      </c>
      <c r="K16" s="159" t="s">
        <v>2622</v>
      </c>
      <c r="L16" s="162">
        <v>2</v>
      </c>
      <c r="M16" s="150" t="s">
        <v>2623</v>
      </c>
      <c r="N16" s="168" t="b">
        <v>0</v>
      </c>
      <c r="O16" s="170" t="b">
        <v>0</v>
      </c>
      <c r="P16" s="170" t="b">
        <v>0</v>
      </c>
      <c r="Q16" s="170" t="b">
        <v>0</v>
      </c>
      <c r="R16" s="64" t="s">
        <v>2624</v>
      </c>
      <c r="S16" s="64" t="s">
        <v>2530</v>
      </c>
    </row>
    <row r="17" spans="1:20" ht="57.6" x14ac:dyDescent="0.3">
      <c r="A17" s="322">
        <v>16</v>
      </c>
      <c r="B17" s="323" t="s">
        <v>2625</v>
      </c>
      <c r="C17" s="323" t="s">
        <v>2626</v>
      </c>
      <c r="D17" s="325" t="s">
        <v>2587</v>
      </c>
      <c r="E17" s="325" t="s">
        <v>2588</v>
      </c>
      <c r="F17" s="322"/>
      <c r="G17" s="326"/>
      <c r="H17" s="280" t="s">
        <v>2627</v>
      </c>
      <c r="I17" s="159" t="s">
        <v>2566</v>
      </c>
      <c r="J17" s="159"/>
      <c r="K17" s="159"/>
      <c r="L17" s="162">
        <v>2</v>
      </c>
      <c r="M17" s="150" t="s">
        <v>2628</v>
      </c>
      <c r="N17" s="168" t="b">
        <v>1</v>
      </c>
      <c r="O17" s="170" t="b">
        <v>0</v>
      </c>
      <c r="P17" s="170" t="b">
        <v>1</v>
      </c>
      <c r="Q17" s="170" t="b">
        <v>0</v>
      </c>
      <c r="R17" s="64" t="s">
        <v>2629</v>
      </c>
      <c r="S17" s="188" t="s">
        <v>2617</v>
      </c>
    </row>
    <row r="18" spans="1:20" ht="28.8" x14ac:dyDescent="0.3">
      <c r="A18" s="322">
        <v>17</v>
      </c>
      <c r="B18" s="323" t="s">
        <v>2630</v>
      </c>
      <c r="C18" s="323" t="s">
        <v>2631</v>
      </c>
      <c r="D18" s="327" t="s">
        <v>1760</v>
      </c>
      <c r="E18" s="329">
        <v>46191</v>
      </c>
      <c r="F18" s="322" t="s">
        <v>2533</v>
      </c>
      <c r="G18" s="326"/>
      <c r="H18" s="280" t="s">
        <v>2632</v>
      </c>
      <c r="I18" s="159" t="s">
        <v>2066</v>
      </c>
      <c r="J18" s="159" t="s">
        <v>2633</v>
      </c>
      <c r="K18" s="151" t="s">
        <v>2634</v>
      </c>
      <c r="L18" s="162">
        <v>1</v>
      </c>
      <c r="M18" s="150">
        <v>125</v>
      </c>
      <c r="N18" s="168" t="b">
        <v>0</v>
      </c>
      <c r="O18" s="170" t="b">
        <v>0</v>
      </c>
      <c r="P18" s="170" t="b">
        <v>0</v>
      </c>
      <c r="Q18" s="170" t="b">
        <v>0</v>
      </c>
      <c r="R18" s="178" t="s">
        <v>2635</v>
      </c>
      <c r="S18" s="178" t="s">
        <v>2635</v>
      </c>
    </row>
    <row r="19" spans="1:20" ht="39.6" x14ac:dyDescent="0.3">
      <c r="A19" s="322">
        <v>18</v>
      </c>
      <c r="B19" s="323" t="s">
        <v>2636</v>
      </c>
      <c r="C19" s="323" t="s">
        <v>2637</v>
      </c>
      <c r="D19" s="327" t="s">
        <v>1760</v>
      </c>
      <c r="E19" s="325" t="s">
        <v>2522</v>
      </c>
      <c r="F19" s="322" t="s">
        <v>2533</v>
      </c>
      <c r="G19" s="326"/>
      <c r="H19" s="280" t="s">
        <v>2525</v>
      </c>
      <c r="I19" s="159" t="s">
        <v>1773</v>
      </c>
      <c r="J19" s="159" t="s">
        <v>2638</v>
      </c>
      <c r="K19" s="161" t="s">
        <v>2639</v>
      </c>
      <c r="L19" s="162">
        <v>1</v>
      </c>
      <c r="M19" s="150">
        <v>1</v>
      </c>
      <c r="N19" s="168" t="b">
        <v>0</v>
      </c>
      <c r="O19" s="170" t="b">
        <v>0</v>
      </c>
      <c r="P19" s="170" t="b">
        <v>0</v>
      </c>
      <c r="Q19" s="170" t="b">
        <v>0</v>
      </c>
      <c r="R19" s="64" t="s">
        <v>2550</v>
      </c>
      <c r="S19" s="64" t="s">
        <v>2550</v>
      </c>
    </row>
    <row r="20" spans="1:20" ht="39.6" x14ac:dyDescent="0.3">
      <c r="A20" s="322">
        <v>19</v>
      </c>
      <c r="B20" s="323" t="s">
        <v>2640</v>
      </c>
      <c r="C20" s="323" t="s">
        <v>2641</v>
      </c>
      <c r="D20" s="327" t="s">
        <v>1760</v>
      </c>
      <c r="E20" s="325" t="s">
        <v>2522</v>
      </c>
      <c r="F20" s="322" t="s">
        <v>2533</v>
      </c>
      <c r="G20" s="326"/>
      <c r="H20" s="280" t="s">
        <v>2525</v>
      </c>
      <c r="I20" s="159" t="s">
        <v>1773</v>
      </c>
      <c r="J20" s="159" t="s">
        <v>2642</v>
      </c>
      <c r="K20" s="159" t="s">
        <v>2643</v>
      </c>
      <c r="L20" s="162">
        <v>1</v>
      </c>
      <c r="M20" s="150">
        <v>2</v>
      </c>
      <c r="N20" s="168" t="b">
        <v>0</v>
      </c>
      <c r="O20" s="170" t="b">
        <v>1</v>
      </c>
      <c r="P20" s="170" t="b">
        <v>0</v>
      </c>
      <c r="Q20" s="170" t="b">
        <v>0</v>
      </c>
      <c r="R20" s="64" t="s">
        <v>2644</v>
      </c>
      <c r="S20" s="64" t="s">
        <v>2550</v>
      </c>
    </row>
    <row r="21" spans="1:20" ht="28.8" x14ac:dyDescent="0.3">
      <c r="A21" s="322">
        <v>20</v>
      </c>
      <c r="B21" s="323" t="s">
        <v>2645</v>
      </c>
      <c r="C21" s="323" t="s">
        <v>2646</v>
      </c>
      <c r="D21" s="330" t="s">
        <v>1823</v>
      </c>
      <c r="E21" s="329">
        <v>46191</v>
      </c>
      <c r="F21" s="322" t="s">
        <v>2533</v>
      </c>
      <c r="G21" s="326"/>
      <c r="H21" s="280" t="s">
        <v>2632</v>
      </c>
      <c r="I21" s="159" t="s">
        <v>2066</v>
      </c>
      <c r="J21" s="159" t="s">
        <v>2647</v>
      </c>
      <c r="K21" s="161" t="s">
        <v>2648</v>
      </c>
      <c r="L21" s="162">
        <v>2</v>
      </c>
      <c r="M21" s="150" t="s">
        <v>2649</v>
      </c>
      <c r="N21" s="168" t="b">
        <v>0</v>
      </c>
      <c r="O21" s="170" t="b">
        <v>0</v>
      </c>
      <c r="P21" s="170" t="b">
        <v>0</v>
      </c>
      <c r="Q21" s="170" t="b">
        <v>0</v>
      </c>
      <c r="R21" s="178" t="s">
        <v>2635</v>
      </c>
      <c r="S21" s="178" t="s">
        <v>2635</v>
      </c>
    </row>
    <row r="22" spans="1:20" ht="26.4" x14ac:dyDescent="0.3">
      <c r="A22" s="322">
        <v>21</v>
      </c>
      <c r="B22" s="323" t="s">
        <v>2650</v>
      </c>
      <c r="C22" s="323" t="s">
        <v>2651</v>
      </c>
      <c r="D22" s="330" t="s">
        <v>2587</v>
      </c>
      <c r="E22" s="329">
        <v>46191</v>
      </c>
      <c r="F22" s="322" t="s">
        <v>2533</v>
      </c>
      <c r="G22" s="326"/>
      <c r="H22" s="280" t="s">
        <v>2632</v>
      </c>
      <c r="I22" s="159" t="s">
        <v>2066</v>
      </c>
      <c r="J22" s="159" t="s">
        <v>2652</v>
      </c>
      <c r="K22" s="159" t="s">
        <v>2643</v>
      </c>
      <c r="L22" s="162">
        <v>2</v>
      </c>
      <c r="M22" s="150" t="s">
        <v>2653</v>
      </c>
      <c r="N22" s="168" t="b">
        <v>0</v>
      </c>
      <c r="O22" s="170" t="b">
        <v>0</v>
      </c>
      <c r="P22" s="170" t="b">
        <v>1</v>
      </c>
      <c r="Q22" s="170" t="b">
        <v>0</v>
      </c>
      <c r="R22" s="178" t="s">
        <v>2635</v>
      </c>
      <c r="S22" s="178" t="s">
        <v>2635</v>
      </c>
    </row>
    <row r="23" spans="1:20" ht="100.8" x14ac:dyDescent="0.3">
      <c r="A23" s="322">
        <v>22</v>
      </c>
      <c r="B23" s="323" t="s">
        <v>2654</v>
      </c>
      <c r="C23" s="323" t="s">
        <v>2655</v>
      </c>
      <c r="D23" s="327" t="s">
        <v>1760</v>
      </c>
      <c r="E23" s="329">
        <v>46191</v>
      </c>
      <c r="F23" s="322" t="s">
        <v>2533</v>
      </c>
      <c r="G23" s="326"/>
      <c r="H23" s="280" t="s">
        <v>2525</v>
      </c>
      <c r="I23" s="159" t="s">
        <v>2066</v>
      </c>
      <c r="J23" s="159" t="s">
        <v>2656</v>
      </c>
      <c r="K23" s="151" t="s">
        <v>2657</v>
      </c>
      <c r="L23" s="162">
        <v>1</v>
      </c>
      <c r="M23" s="150">
        <v>265</v>
      </c>
      <c r="N23" s="168" t="b">
        <v>0</v>
      </c>
      <c r="O23" s="170" t="b">
        <v>1</v>
      </c>
      <c r="P23" s="170" t="b">
        <v>0</v>
      </c>
      <c r="Q23" s="170" t="b">
        <v>0</v>
      </c>
      <c r="R23" s="175" t="s">
        <v>2658</v>
      </c>
      <c r="S23" s="64" t="s">
        <v>2550</v>
      </c>
    </row>
    <row r="24" spans="1:20" ht="26.4" x14ac:dyDescent="0.3">
      <c r="A24" s="322">
        <v>23</v>
      </c>
      <c r="B24" s="323" t="s">
        <v>2659</v>
      </c>
      <c r="C24" s="323" t="s">
        <v>2660</v>
      </c>
      <c r="D24" s="330" t="s">
        <v>1823</v>
      </c>
      <c r="E24" s="325" t="s">
        <v>2522</v>
      </c>
      <c r="F24" s="322" t="s">
        <v>2533</v>
      </c>
      <c r="G24" s="326"/>
      <c r="H24" s="280" t="s">
        <v>2525</v>
      </c>
      <c r="I24" s="159" t="s">
        <v>2187</v>
      </c>
      <c r="J24" s="159" t="s">
        <v>2661</v>
      </c>
      <c r="K24" s="159" t="s">
        <v>2662</v>
      </c>
      <c r="L24" s="162">
        <v>1</v>
      </c>
      <c r="M24" s="150">
        <v>279</v>
      </c>
      <c r="N24" s="168" t="b">
        <v>1</v>
      </c>
      <c r="O24" s="170" t="b">
        <v>0</v>
      </c>
      <c r="P24" s="170" t="b">
        <v>0</v>
      </c>
      <c r="Q24" s="170" t="b">
        <v>0</v>
      </c>
      <c r="R24" s="178" t="s">
        <v>2663</v>
      </c>
      <c r="S24" s="64" t="s">
        <v>2550</v>
      </c>
    </row>
    <row r="25" spans="1:20" ht="43.2" x14ac:dyDescent="0.3">
      <c r="A25" s="322">
        <v>24</v>
      </c>
      <c r="B25" s="323" t="s">
        <v>2664</v>
      </c>
      <c r="C25" s="323" t="s">
        <v>2665</v>
      </c>
      <c r="D25" s="327" t="s">
        <v>1760</v>
      </c>
      <c r="E25" s="329">
        <v>46191</v>
      </c>
      <c r="F25" s="322" t="s">
        <v>2533</v>
      </c>
      <c r="G25" s="326"/>
      <c r="H25" s="280" t="s">
        <v>2666</v>
      </c>
      <c r="I25" s="159" t="s">
        <v>1773</v>
      </c>
      <c r="J25" s="159" t="s">
        <v>2667</v>
      </c>
      <c r="K25" s="151" t="s">
        <v>2668</v>
      </c>
      <c r="L25" s="162">
        <v>2</v>
      </c>
      <c r="M25" s="150" t="s">
        <v>2669</v>
      </c>
      <c r="N25" s="168" t="b">
        <v>0</v>
      </c>
      <c r="O25" s="170" t="b">
        <v>0</v>
      </c>
      <c r="P25" s="170" t="b">
        <v>0</v>
      </c>
      <c r="Q25" s="170" t="b">
        <v>0</v>
      </c>
      <c r="R25" s="179" t="s">
        <v>2670</v>
      </c>
      <c r="S25" s="180" t="s">
        <v>2557</v>
      </c>
      <c r="T25" s="192" t="s">
        <v>2671</v>
      </c>
    </row>
    <row r="26" spans="1:20" ht="39.6" x14ac:dyDescent="0.3">
      <c r="A26" s="322">
        <v>25</v>
      </c>
      <c r="B26" s="323" t="s">
        <v>2672</v>
      </c>
      <c r="C26" s="323" t="s">
        <v>2673</v>
      </c>
      <c r="D26" s="327" t="s">
        <v>1760</v>
      </c>
      <c r="E26" s="329">
        <v>46191</v>
      </c>
      <c r="F26" s="322" t="s">
        <v>2533</v>
      </c>
      <c r="G26" s="326"/>
      <c r="H26" s="280" t="s">
        <v>2525</v>
      </c>
      <c r="I26" s="159" t="s">
        <v>1773</v>
      </c>
      <c r="J26" s="159" t="s">
        <v>2674</v>
      </c>
      <c r="K26" s="159" t="s">
        <v>2675</v>
      </c>
      <c r="L26" s="162">
        <v>2</v>
      </c>
      <c r="M26" s="150" t="s">
        <v>2676</v>
      </c>
      <c r="N26" s="168" t="b">
        <v>0</v>
      </c>
      <c r="O26" s="170" t="b">
        <v>0</v>
      </c>
      <c r="P26" s="170" t="b">
        <v>0</v>
      </c>
      <c r="Q26" s="170" t="b">
        <v>0</v>
      </c>
      <c r="R26" s="178" t="s">
        <v>2663</v>
      </c>
      <c r="S26" s="64" t="s">
        <v>2543</v>
      </c>
      <c r="T26" s="192" t="s">
        <v>2460</v>
      </c>
    </row>
    <row r="27" spans="1:20" ht="43.2" x14ac:dyDescent="0.3">
      <c r="A27" s="322">
        <v>26</v>
      </c>
      <c r="B27" s="323" t="s">
        <v>2677</v>
      </c>
      <c r="C27" s="323" t="s">
        <v>2678</v>
      </c>
      <c r="D27" s="324" t="s">
        <v>1756</v>
      </c>
      <c r="E27" s="325" t="s">
        <v>2588</v>
      </c>
      <c r="F27" s="322" t="s">
        <v>2533</v>
      </c>
      <c r="G27" s="326"/>
      <c r="H27" s="280" t="s">
        <v>2679</v>
      </c>
      <c r="I27" s="159" t="s">
        <v>2187</v>
      </c>
      <c r="J27" s="159" t="s">
        <v>2680</v>
      </c>
      <c r="K27" s="171" t="s">
        <v>2681</v>
      </c>
      <c r="L27" s="162">
        <v>2</v>
      </c>
      <c r="M27" s="150" t="s">
        <v>2682</v>
      </c>
      <c r="N27" s="168" t="b">
        <v>0</v>
      </c>
      <c r="O27" s="170" t="b">
        <v>0</v>
      </c>
      <c r="P27" s="170" t="b">
        <v>1</v>
      </c>
      <c r="Q27" s="170" t="b">
        <v>0</v>
      </c>
      <c r="R27" s="175" t="s">
        <v>2683</v>
      </c>
      <c r="S27" s="188" t="s">
        <v>2557</v>
      </c>
      <c r="T27" s="192" t="s">
        <v>2684</v>
      </c>
    </row>
    <row r="28" spans="1:20" ht="57.6" x14ac:dyDescent="0.3">
      <c r="A28" s="322">
        <v>27</v>
      </c>
      <c r="B28" s="323" t="s">
        <v>2685</v>
      </c>
      <c r="C28" s="323" t="s">
        <v>2686</v>
      </c>
      <c r="D28" s="324" t="s">
        <v>1756</v>
      </c>
      <c r="E28" s="325" t="s">
        <v>2588</v>
      </c>
      <c r="F28" s="322" t="s">
        <v>2533</v>
      </c>
      <c r="G28" s="326"/>
      <c r="H28" s="280" t="s">
        <v>2687</v>
      </c>
      <c r="I28" s="159" t="s">
        <v>1773</v>
      </c>
      <c r="J28" s="159" t="s">
        <v>2688</v>
      </c>
      <c r="K28" s="161" t="s">
        <v>2689</v>
      </c>
      <c r="L28" s="162">
        <v>1</v>
      </c>
      <c r="M28" s="150">
        <v>24</v>
      </c>
      <c r="N28" s="168" t="b">
        <v>0</v>
      </c>
      <c r="O28" s="170" t="b">
        <v>0</v>
      </c>
      <c r="P28" s="170" t="b">
        <v>0</v>
      </c>
      <c r="Q28" s="170" t="b">
        <v>0</v>
      </c>
      <c r="R28" s="64" t="s">
        <v>2690</v>
      </c>
      <c r="S28" s="188" t="s">
        <v>2557</v>
      </c>
      <c r="T28" s="192" t="s">
        <v>2684</v>
      </c>
    </row>
    <row r="29" spans="1:20" ht="28.8" x14ac:dyDescent="0.3">
      <c r="A29" s="322">
        <v>28</v>
      </c>
      <c r="B29" s="323" t="s">
        <v>2691</v>
      </c>
      <c r="C29" s="323" t="s">
        <v>2692</v>
      </c>
      <c r="D29" s="324" t="s">
        <v>1756</v>
      </c>
      <c r="E29" s="325" t="s">
        <v>2522</v>
      </c>
      <c r="F29" s="322" t="s">
        <v>2533</v>
      </c>
      <c r="G29" s="326"/>
      <c r="H29" s="280" t="s">
        <v>2525</v>
      </c>
      <c r="I29" s="159" t="s">
        <v>1773</v>
      </c>
      <c r="J29" s="159" t="s">
        <v>2693</v>
      </c>
      <c r="K29" s="161" t="s">
        <v>2694</v>
      </c>
      <c r="L29" s="162">
        <v>2</v>
      </c>
      <c r="M29" s="150" t="s">
        <v>2695</v>
      </c>
      <c r="N29" s="168" t="b">
        <v>0</v>
      </c>
      <c r="O29" s="170" t="b">
        <v>0</v>
      </c>
      <c r="P29" s="170" t="b">
        <v>0</v>
      </c>
      <c r="Q29" s="170" t="b">
        <v>0</v>
      </c>
      <c r="R29" s="64" t="s">
        <v>2696</v>
      </c>
      <c r="S29" s="180" t="s">
        <v>2557</v>
      </c>
      <c r="T29" s="190" t="b">
        <v>1</v>
      </c>
    </row>
    <row r="30" spans="1:20" ht="43.2" x14ac:dyDescent="0.3">
      <c r="A30" s="322">
        <v>29</v>
      </c>
      <c r="B30" s="323" t="s">
        <v>2697</v>
      </c>
      <c r="C30" s="323" t="s">
        <v>2698</v>
      </c>
      <c r="D30" s="324" t="s">
        <v>1756</v>
      </c>
      <c r="E30" s="325" t="s">
        <v>2588</v>
      </c>
      <c r="F30" s="322" t="s">
        <v>2589</v>
      </c>
      <c r="G30" s="326"/>
      <c r="H30" s="280" t="s">
        <v>2699</v>
      </c>
      <c r="I30" s="159" t="s">
        <v>2566</v>
      </c>
      <c r="J30" s="159"/>
      <c r="K30" s="159" t="s">
        <v>2700</v>
      </c>
      <c r="L30" s="162">
        <v>1</v>
      </c>
      <c r="M30" s="150">
        <v>206</v>
      </c>
      <c r="N30" s="168" t="b">
        <v>0</v>
      </c>
      <c r="O30" s="170" t="b">
        <v>0</v>
      </c>
      <c r="P30" s="170" t="b">
        <v>1</v>
      </c>
      <c r="Q30" s="170" t="b">
        <v>0</v>
      </c>
      <c r="R30" s="175" t="s">
        <v>2701</v>
      </c>
      <c r="S30" s="64" t="s">
        <v>2702</v>
      </c>
    </row>
    <row r="31" spans="1:20" ht="28.8" x14ac:dyDescent="0.3">
      <c r="A31" s="322">
        <v>30</v>
      </c>
      <c r="B31" s="323" t="s">
        <v>2703</v>
      </c>
      <c r="C31" s="323" t="s">
        <v>2704</v>
      </c>
      <c r="D31" s="330" t="s">
        <v>1823</v>
      </c>
      <c r="E31" s="329" t="s">
        <v>2588</v>
      </c>
      <c r="F31" s="322" t="s">
        <v>2589</v>
      </c>
      <c r="G31" s="326"/>
      <c r="H31" s="280" t="s">
        <v>2588</v>
      </c>
      <c r="I31" s="159" t="s">
        <v>1773</v>
      </c>
      <c r="J31" s="159" t="s">
        <v>2705</v>
      </c>
      <c r="K31" s="161" t="s">
        <v>2706</v>
      </c>
      <c r="L31" s="162">
        <v>2</v>
      </c>
      <c r="M31" s="150" t="s">
        <v>2707</v>
      </c>
      <c r="N31" s="168" t="b">
        <v>0</v>
      </c>
      <c r="O31" s="170" t="b">
        <v>0</v>
      </c>
      <c r="P31" s="170" t="b">
        <v>0</v>
      </c>
      <c r="Q31" s="170" t="b">
        <v>0</v>
      </c>
      <c r="R31" s="176" t="s">
        <v>2708</v>
      </c>
      <c r="S31" s="64" t="s">
        <v>2530</v>
      </c>
    </row>
    <row r="32" spans="1:20" ht="79.2" x14ac:dyDescent="0.3">
      <c r="A32" s="322">
        <v>31</v>
      </c>
      <c r="B32" s="323" t="s">
        <v>2709</v>
      </c>
      <c r="C32" s="323" t="s">
        <v>2710</v>
      </c>
      <c r="D32" s="328" t="s">
        <v>1760</v>
      </c>
      <c r="E32" s="329">
        <v>46191</v>
      </c>
      <c r="F32" s="322" t="s">
        <v>2533</v>
      </c>
      <c r="G32" s="326"/>
      <c r="H32" s="280" t="s">
        <v>2711</v>
      </c>
      <c r="I32" s="159" t="s">
        <v>1773</v>
      </c>
      <c r="J32" s="159" t="s">
        <v>2712</v>
      </c>
      <c r="K32" s="159" t="s">
        <v>2713</v>
      </c>
      <c r="L32" s="162">
        <v>2</v>
      </c>
      <c r="M32" s="150" t="s">
        <v>2714</v>
      </c>
      <c r="N32" s="168" t="b">
        <v>0</v>
      </c>
      <c r="O32" s="170" t="b">
        <v>0</v>
      </c>
      <c r="P32" s="170" t="b">
        <v>1</v>
      </c>
      <c r="Q32" s="170" t="b">
        <v>0</v>
      </c>
      <c r="R32" s="175" t="s">
        <v>2715</v>
      </c>
      <c r="S32" s="64" t="s">
        <v>2530</v>
      </c>
    </row>
    <row r="33" spans="1:20" ht="39.6" x14ac:dyDescent="0.3">
      <c r="A33" s="322">
        <v>32</v>
      </c>
      <c r="B33" s="323" t="s">
        <v>2716</v>
      </c>
      <c r="C33" s="323" t="s">
        <v>2717</v>
      </c>
      <c r="D33" s="330" t="s">
        <v>1823</v>
      </c>
      <c r="E33" s="329">
        <v>46191</v>
      </c>
      <c r="F33" s="322" t="s">
        <v>2533</v>
      </c>
      <c r="G33" s="326"/>
      <c r="H33" s="280" t="s">
        <v>2718</v>
      </c>
      <c r="I33" s="159" t="s">
        <v>2066</v>
      </c>
      <c r="J33" s="159" t="s">
        <v>2719</v>
      </c>
      <c r="K33" s="151" t="s">
        <v>2720</v>
      </c>
      <c r="L33" s="162">
        <v>1</v>
      </c>
      <c r="M33" s="150">
        <v>205</v>
      </c>
      <c r="N33" s="168" t="b">
        <v>0</v>
      </c>
      <c r="O33" s="170" t="b">
        <v>0</v>
      </c>
      <c r="P33" s="170" t="b">
        <v>0</v>
      </c>
      <c r="Q33" s="170" t="b">
        <v>0</v>
      </c>
      <c r="R33" s="309" t="s">
        <v>2696</v>
      </c>
      <c r="S33" s="64" t="s">
        <v>2530</v>
      </c>
    </row>
    <row r="34" spans="1:20" ht="144" x14ac:dyDescent="0.3">
      <c r="A34" s="322">
        <v>33</v>
      </c>
      <c r="B34" s="323" t="s">
        <v>2721</v>
      </c>
      <c r="C34" s="323" t="s">
        <v>2722</v>
      </c>
      <c r="D34" s="330" t="s">
        <v>1823</v>
      </c>
      <c r="E34" s="329">
        <v>46191</v>
      </c>
      <c r="F34" s="322" t="s">
        <v>2533</v>
      </c>
      <c r="G34" s="326"/>
      <c r="H34" s="280" t="s">
        <v>2723</v>
      </c>
      <c r="I34" s="159" t="s">
        <v>1773</v>
      </c>
      <c r="J34" s="159" t="s">
        <v>2723</v>
      </c>
      <c r="K34" s="161" t="s">
        <v>2724</v>
      </c>
      <c r="L34" s="162">
        <v>1</v>
      </c>
      <c r="M34" s="150">
        <v>213</v>
      </c>
      <c r="N34" s="168" t="b">
        <v>0</v>
      </c>
      <c r="O34" s="170" t="b">
        <v>0</v>
      </c>
      <c r="P34" s="170" t="b">
        <v>0</v>
      </c>
      <c r="Q34" s="170" t="b">
        <v>0</v>
      </c>
      <c r="R34" s="179" t="s">
        <v>2725</v>
      </c>
      <c r="S34" s="184" t="s">
        <v>2557</v>
      </c>
      <c r="T34" s="192" t="s">
        <v>2671</v>
      </c>
    </row>
    <row r="35" spans="1:20" ht="39.6" x14ac:dyDescent="0.3">
      <c r="A35" s="322">
        <v>34</v>
      </c>
      <c r="B35" s="323" t="s">
        <v>2726</v>
      </c>
      <c r="C35" s="323" t="s">
        <v>2727</v>
      </c>
      <c r="D35" s="328" t="s">
        <v>1797</v>
      </c>
      <c r="E35" s="329">
        <v>46191</v>
      </c>
      <c r="F35" s="322" t="s">
        <v>2533</v>
      </c>
      <c r="G35" s="326"/>
      <c r="H35" s="280" t="s">
        <v>2525</v>
      </c>
      <c r="I35" s="159" t="s">
        <v>2066</v>
      </c>
      <c r="J35" s="159" t="s">
        <v>2728</v>
      </c>
      <c r="K35" s="151" t="s">
        <v>2729</v>
      </c>
      <c r="L35" s="162">
        <v>2</v>
      </c>
      <c r="M35" s="150" t="s">
        <v>2730</v>
      </c>
      <c r="N35" s="168" t="b">
        <v>0</v>
      </c>
      <c r="O35" s="170" t="b">
        <v>0</v>
      </c>
      <c r="P35" s="170" t="b">
        <v>0</v>
      </c>
      <c r="Q35" s="170" t="b">
        <v>0</v>
      </c>
      <c r="R35" s="64" t="s">
        <v>2696</v>
      </c>
      <c r="S35" s="64" t="s">
        <v>2530</v>
      </c>
    </row>
    <row r="36" spans="1:20" ht="28.8" x14ac:dyDescent="0.3">
      <c r="A36" s="322">
        <v>35</v>
      </c>
      <c r="B36" s="323" t="s">
        <v>2731</v>
      </c>
      <c r="C36" s="323" t="s">
        <v>2732</v>
      </c>
      <c r="D36" s="328" t="s">
        <v>1797</v>
      </c>
      <c r="E36" s="329">
        <v>46191</v>
      </c>
      <c r="F36" s="322" t="s">
        <v>2533</v>
      </c>
      <c r="G36" s="326"/>
      <c r="H36" s="280" t="s">
        <v>2525</v>
      </c>
      <c r="I36" s="159" t="s">
        <v>2066</v>
      </c>
      <c r="J36" s="159" t="s">
        <v>2733</v>
      </c>
      <c r="K36" s="151" t="s">
        <v>2734</v>
      </c>
      <c r="L36" s="162">
        <v>1</v>
      </c>
      <c r="M36" s="150">
        <v>7</v>
      </c>
      <c r="N36" s="168" t="b">
        <v>0</v>
      </c>
      <c r="O36" s="170" t="b">
        <v>0</v>
      </c>
      <c r="P36" s="170" t="b">
        <v>0</v>
      </c>
      <c r="Q36" s="170" t="b">
        <v>0</v>
      </c>
      <c r="R36" s="64" t="s">
        <v>2696</v>
      </c>
      <c r="S36" s="64" t="s">
        <v>2530</v>
      </c>
    </row>
    <row r="37" spans="1:20" ht="100.8" x14ac:dyDescent="0.3">
      <c r="A37" s="322">
        <v>36</v>
      </c>
      <c r="B37" s="323" t="s">
        <v>2735</v>
      </c>
      <c r="C37" s="323" t="s">
        <v>2736</v>
      </c>
      <c r="D37" s="327" t="s">
        <v>1760</v>
      </c>
      <c r="E37" s="329">
        <v>46191</v>
      </c>
      <c r="F37" s="322" t="s">
        <v>2533</v>
      </c>
      <c r="G37" s="326"/>
      <c r="H37" s="280" t="s">
        <v>2525</v>
      </c>
      <c r="I37" s="159" t="s">
        <v>1773</v>
      </c>
      <c r="J37" s="159" t="s">
        <v>2737</v>
      </c>
      <c r="K37" s="161" t="s">
        <v>2738</v>
      </c>
      <c r="L37" s="162">
        <v>2</v>
      </c>
      <c r="M37" s="150" t="s">
        <v>2739</v>
      </c>
      <c r="N37" s="168" t="b">
        <v>0</v>
      </c>
      <c r="O37" s="170" t="b">
        <v>1</v>
      </c>
      <c r="P37" s="170" t="b">
        <v>0</v>
      </c>
      <c r="Q37" s="170" t="b">
        <v>0</v>
      </c>
      <c r="R37" s="175" t="s">
        <v>2740</v>
      </c>
      <c r="S37" s="189" t="s">
        <v>2741</v>
      </c>
      <c r="T37" s="192" t="s">
        <v>2742</v>
      </c>
    </row>
    <row r="38" spans="1:20" ht="100.8" x14ac:dyDescent="0.3">
      <c r="A38" s="322">
        <v>37</v>
      </c>
      <c r="B38" s="323" t="s">
        <v>2743</v>
      </c>
      <c r="C38" s="323" t="s">
        <v>2744</v>
      </c>
      <c r="D38" s="327" t="s">
        <v>1760</v>
      </c>
      <c r="E38" s="329">
        <v>46191</v>
      </c>
      <c r="F38" s="322" t="s">
        <v>2533</v>
      </c>
      <c r="G38" s="326"/>
      <c r="H38" s="280" t="s">
        <v>2525</v>
      </c>
      <c r="I38" s="159" t="s">
        <v>2066</v>
      </c>
      <c r="J38" s="159" t="s">
        <v>2745</v>
      </c>
      <c r="K38" s="151" t="s">
        <v>2746</v>
      </c>
      <c r="L38" s="162">
        <v>1</v>
      </c>
      <c r="M38" s="150">
        <v>114</v>
      </c>
      <c r="N38" s="168" t="b">
        <v>0</v>
      </c>
      <c r="O38" s="170" t="b">
        <v>1</v>
      </c>
      <c r="P38" s="170" t="b">
        <v>0</v>
      </c>
      <c r="Q38" s="170" t="b">
        <v>0</v>
      </c>
      <c r="R38" s="64" t="s">
        <v>2747</v>
      </c>
      <c r="S38" s="187" t="s">
        <v>2748</v>
      </c>
      <c r="T38" s="192" t="s">
        <v>2671</v>
      </c>
    </row>
    <row r="39" spans="1:20" ht="28.8" x14ac:dyDescent="0.3">
      <c r="A39" s="322">
        <v>38</v>
      </c>
      <c r="B39" s="323" t="s">
        <v>2749</v>
      </c>
      <c r="C39" s="323" t="s">
        <v>2750</v>
      </c>
      <c r="D39" s="327" t="s">
        <v>1760</v>
      </c>
      <c r="E39" s="329">
        <v>46191</v>
      </c>
      <c r="F39" s="322" t="s">
        <v>2533</v>
      </c>
      <c r="G39" s="326"/>
      <c r="H39" s="280" t="s">
        <v>2525</v>
      </c>
      <c r="I39" s="159" t="s">
        <v>1773</v>
      </c>
      <c r="J39" s="159" t="s">
        <v>2751</v>
      </c>
      <c r="K39" s="151" t="s">
        <v>2746</v>
      </c>
      <c r="L39" s="162">
        <v>1</v>
      </c>
      <c r="M39" s="150">
        <v>153</v>
      </c>
      <c r="N39" s="168" t="b">
        <v>0</v>
      </c>
      <c r="O39" s="170" t="b">
        <v>0</v>
      </c>
      <c r="P39" s="170" t="b">
        <v>0</v>
      </c>
      <c r="Q39" s="170" t="b">
        <v>0</v>
      </c>
      <c r="R39" s="64" t="s">
        <v>2752</v>
      </c>
      <c r="S39" s="64" t="s">
        <v>2753</v>
      </c>
    </row>
    <row r="40" spans="1:20" ht="28.8" x14ac:dyDescent="0.3">
      <c r="A40" s="322">
        <v>39</v>
      </c>
      <c r="B40" s="323" t="s">
        <v>2754</v>
      </c>
      <c r="C40" s="323" t="s">
        <v>2755</v>
      </c>
      <c r="D40" s="327" t="s">
        <v>1756</v>
      </c>
      <c r="E40" s="325" t="s">
        <v>2522</v>
      </c>
      <c r="F40" s="322" t="s">
        <v>2533</v>
      </c>
      <c r="G40" s="326"/>
      <c r="H40" s="280" t="s">
        <v>2525</v>
      </c>
      <c r="I40" s="159" t="s">
        <v>2187</v>
      </c>
      <c r="J40" s="159" t="s">
        <v>2756</v>
      </c>
      <c r="K40" s="161" t="s">
        <v>2757</v>
      </c>
      <c r="L40" s="162">
        <v>1</v>
      </c>
      <c r="M40" s="150">
        <v>110</v>
      </c>
      <c r="N40" s="168" t="b">
        <v>0</v>
      </c>
      <c r="O40" s="170" t="b">
        <v>0</v>
      </c>
      <c r="P40" s="170" t="b">
        <v>0</v>
      </c>
      <c r="Q40" s="170" t="b">
        <v>0</v>
      </c>
      <c r="R40" s="280" t="s">
        <v>2525</v>
      </c>
      <c r="S40" s="182" t="s">
        <v>2758</v>
      </c>
    </row>
    <row r="41" spans="1:20" ht="39.6" x14ac:dyDescent="0.3">
      <c r="A41" s="322">
        <v>40</v>
      </c>
      <c r="B41" s="323" t="s">
        <v>2759</v>
      </c>
      <c r="C41" s="323" t="s">
        <v>2760</v>
      </c>
      <c r="D41" s="327" t="s">
        <v>1756</v>
      </c>
      <c r="E41" s="325" t="s">
        <v>2522</v>
      </c>
      <c r="F41" s="322" t="s">
        <v>2533</v>
      </c>
      <c r="G41" s="326"/>
      <c r="H41" s="280" t="s">
        <v>2525</v>
      </c>
      <c r="I41" s="159" t="s">
        <v>1773</v>
      </c>
      <c r="J41" s="159" t="s">
        <v>2761</v>
      </c>
      <c r="K41" s="159" t="s">
        <v>2762</v>
      </c>
      <c r="L41" s="162">
        <v>1</v>
      </c>
      <c r="M41" s="150">
        <v>109</v>
      </c>
      <c r="N41" s="168" t="b">
        <v>0</v>
      </c>
      <c r="O41" s="170" t="b">
        <v>1</v>
      </c>
      <c r="P41" s="170" t="b">
        <v>0</v>
      </c>
      <c r="Q41" s="170" t="b">
        <v>0</v>
      </c>
      <c r="R41" s="280" t="s">
        <v>2763</v>
      </c>
      <c r="S41" s="64" t="s">
        <v>2530</v>
      </c>
    </row>
    <row r="42" spans="1:20" ht="52.8" x14ac:dyDescent="0.3">
      <c r="A42" s="322">
        <v>41</v>
      </c>
      <c r="B42" s="323" t="s">
        <v>2764</v>
      </c>
      <c r="C42" s="323" t="s">
        <v>2765</v>
      </c>
      <c r="D42" s="327" t="s">
        <v>1823</v>
      </c>
      <c r="E42" s="325" t="s">
        <v>2522</v>
      </c>
      <c r="F42" s="322" t="s">
        <v>2523</v>
      </c>
      <c r="G42" s="326" t="s">
        <v>2524</v>
      </c>
      <c r="H42" s="280" t="s">
        <v>2525</v>
      </c>
      <c r="I42" s="159" t="s">
        <v>1773</v>
      </c>
      <c r="J42" s="159" t="s">
        <v>2766</v>
      </c>
      <c r="K42" s="159" t="s">
        <v>2767</v>
      </c>
      <c r="L42" s="162">
        <v>2</v>
      </c>
      <c r="M42" s="150" t="s">
        <v>2768</v>
      </c>
      <c r="N42" s="168" t="b">
        <v>0</v>
      </c>
      <c r="O42" s="170" t="b">
        <v>1</v>
      </c>
      <c r="P42" s="170" t="b">
        <v>0</v>
      </c>
      <c r="Q42" s="170" t="b">
        <v>0</v>
      </c>
      <c r="R42" s="280" t="s">
        <v>2525</v>
      </c>
      <c r="S42" s="64" t="s">
        <v>2530</v>
      </c>
    </row>
    <row r="43" spans="1:20" ht="43.2" x14ac:dyDescent="0.3">
      <c r="A43" s="322">
        <v>42</v>
      </c>
      <c r="B43" s="323" t="s">
        <v>2769</v>
      </c>
      <c r="C43" s="323" t="s">
        <v>2770</v>
      </c>
      <c r="D43" s="330" t="s">
        <v>1823</v>
      </c>
      <c r="E43" s="325" t="s">
        <v>2522</v>
      </c>
      <c r="F43" s="322" t="s">
        <v>2533</v>
      </c>
      <c r="G43" s="326"/>
      <c r="H43" s="280" t="s">
        <v>2525</v>
      </c>
      <c r="I43" s="159" t="s">
        <v>1773</v>
      </c>
      <c r="J43" s="159" t="s">
        <v>2771</v>
      </c>
      <c r="K43" s="161" t="s">
        <v>2772</v>
      </c>
      <c r="L43" s="162">
        <v>3</v>
      </c>
      <c r="M43" s="150" t="s">
        <v>2773</v>
      </c>
      <c r="N43" s="168" t="b">
        <v>0</v>
      </c>
      <c r="O43" s="170" t="b">
        <v>1</v>
      </c>
      <c r="P43" s="170" t="b">
        <v>0</v>
      </c>
      <c r="Q43" s="170" t="b">
        <v>0</v>
      </c>
      <c r="R43" s="179" t="s">
        <v>2774</v>
      </c>
      <c r="S43" s="180" t="s">
        <v>2775</v>
      </c>
      <c r="T43" s="190" t="b">
        <v>1</v>
      </c>
    </row>
    <row r="44" spans="1:20" ht="43.2" x14ac:dyDescent="0.3">
      <c r="A44" s="322">
        <v>43</v>
      </c>
      <c r="B44" s="323" t="s">
        <v>2776</v>
      </c>
      <c r="C44" s="323" t="s">
        <v>2777</v>
      </c>
      <c r="D44" s="330" t="s">
        <v>1823</v>
      </c>
      <c r="E44" s="329">
        <v>46191</v>
      </c>
      <c r="F44" s="322" t="s">
        <v>2533</v>
      </c>
      <c r="G44" s="326"/>
      <c r="H44" s="280" t="s">
        <v>2525</v>
      </c>
      <c r="I44" s="159" t="s">
        <v>1773</v>
      </c>
      <c r="J44" s="159" t="s">
        <v>2778</v>
      </c>
      <c r="K44" s="161" t="s">
        <v>2779</v>
      </c>
      <c r="L44" s="162">
        <v>2</v>
      </c>
      <c r="M44" s="150" t="s">
        <v>2780</v>
      </c>
      <c r="N44" s="168" t="b">
        <v>0</v>
      </c>
      <c r="O44" s="170" t="b">
        <v>1</v>
      </c>
      <c r="P44" s="170" t="b">
        <v>0</v>
      </c>
      <c r="Q44" s="170" t="b">
        <v>0</v>
      </c>
      <c r="R44" s="310" t="s">
        <v>2781</v>
      </c>
      <c r="S44" s="184" t="s">
        <v>2775</v>
      </c>
      <c r="T44" s="190" t="b">
        <v>1</v>
      </c>
    </row>
    <row r="45" spans="1:20" ht="28.8" x14ac:dyDescent="0.3">
      <c r="A45" s="322">
        <v>44</v>
      </c>
      <c r="B45" s="323" t="s">
        <v>2782</v>
      </c>
      <c r="C45" s="323" t="s">
        <v>2783</v>
      </c>
      <c r="D45" s="324" t="s">
        <v>1756</v>
      </c>
      <c r="E45" s="325" t="s">
        <v>2522</v>
      </c>
      <c r="F45" s="322" t="s">
        <v>2533</v>
      </c>
      <c r="G45" s="326"/>
      <c r="H45" s="280" t="s">
        <v>2525</v>
      </c>
      <c r="I45" s="159" t="s">
        <v>1773</v>
      </c>
      <c r="J45" s="159" t="s">
        <v>2784</v>
      </c>
      <c r="K45" s="161" t="s">
        <v>2785</v>
      </c>
      <c r="L45" s="162">
        <v>2</v>
      </c>
      <c r="M45" s="150" t="s">
        <v>2786</v>
      </c>
      <c r="N45" s="168" t="b">
        <v>0</v>
      </c>
      <c r="O45" s="170" t="b">
        <v>0</v>
      </c>
      <c r="P45" s="170" t="b">
        <v>0</v>
      </c>
      <c r="Q45" s="170" t="b">
        <v>0</v>
      </c>
      <c r="R45" s="310" t="s">
        <v>2787</v>
      </c>
      <c r="S45" s="187" t="s">
        <v>2775</v>
      </c>
      <c r="T45" s="190" t="b">
        <v>1</v>
      </c>
    </row>
    <row r="46" spans="1:20" ht="26.4" x14ac:dyDescent="0.3">
      <c r="A46" s="322">
        <v>45</v>
      </c>
      <c r="B46" s="323" t="s">
        <v>2788</v>
      </c>
      <c r="C46" s="323" t="s">
        <v>2789</v>
      </c>
      <c r="D46" s="327" t="s">
        <v>1760</v>
      </c>
      <c r="E46" s="329">
        <v>46191</v>
      </c>
      <c r="F46" s="322" t="s">
        <v>2533</v>
      </c>
      <c r="G46" s="326"/>
      <c r="H46" s="280" t="s">
        <v>2525</v>
      </c>
      <c r="I46" s="159" t="s">
        <v>1773</v>
      </c>
      <c r="J46" s="159" t="s">
        <v>2790</v>
      </c>
      <c r="K46" s="159" t="s">
        <v>2791</v>
      </c>
      <c r="L46" s="162">
        <v>1</v>
      </c>
      <c r="M46" s="150">
        <v>148</v>
      </c>
      <c r="N46" s="168" t="b">
        <v>0</v>
      </c>
      <c r="O46" s="170" t="b">
        <v>0</v>
      </c>
      <c r="P46" s="170" t="b">
        <v>1</v>
      </c>
      <c r="Q46" s="170" t="b">
        <v>0</v>
      </c>
      <c r="R46" s="64" t="s">
        <v>2792</v>
      </c>
      <c r="S46" s="64" t="s">
        <v>2530</v>
      </c>
    </row>
    <row r="47" spans="1:20" ht="52.8" x14ac:dyDescent="0.3">
      <c r="A47" s="322">
        <v>46</v>
      </c>
      <c r="B47" s="323" t="s">
        <v>2793</v>
      </c>
      <c r="C47" s="323" t="s">
        <v>2794</v>
      </c>
      <c r="D47" s="327" t="s">
        <v>1760</v>
      </c>
      <c r="E47" s="325" t="s">
        <v>2522</v>
      </c>
      <c r="F47" s="322" t="s">
        <v>2533</v>
      </c>
      <c r="G47" s="326"/>
      <c r="H47" s="280" t="s">
        <v>2525</v>
      </c>
      <c r="I47" s="159" t="s">
        <v>1773</v>
      </c>
      <c r="J47" s="173" t="s">
        <v>2795</v>
      </c>
      <c r="K47" s="161" t="s">
        <v>2796</v>
      </c>
      <c r="L47" s="162">
        <v>1</v>
      </c>
      <c r="M47" s="150">
        <v>175</v>
      </c>
      <c r="N47" s="168" t="b">
        <v>0</v>
      </c>
      <c r="O47" s="170" t="b">
        <v>1</v>
      </c>
      <c r="P47" s="170" t="b">
        <v>0</v>
      </c>
      <c r="Q47" s="170" t="b">
        <v>0</v>
      </c>
      <c r="R47" s="64" t="s">
        <v>2797</v>
      </c>
      <c r="S47" s="64" t="s">
        <v>2530</v>
      </c>
    </row>
    <row r="48" spans="1:20" ht="52.8" x14ac:dyDescent="0.3">
      <c r="A48" s="322">
        <v>47</v>
      </c>
      <c r="B48" s="323" t="s">
        <v>2798</v>
      </c>
      <c r="C48" s="323" t="s">
        <v>2799</v>
      </c>
      <c r="D48" s="327" t="s">
        <v>1760</v>
      </c>
      <c r="E48" s="325" t="s">
        <v>2522</v>
      </c>
      <c r="F48" s="322" t="s">
        <v>2533</v>
      </c>
      <c r="G48" s="326"/>
      <c r="H48" s="280" t="s">
        <v>2525</v>
      </c>
      <c r="I48" s="159" t="s">
        <v>2187</v>
      </c>
      <c r="J48" s="159" t="s">
        <v>2800</v>
      </c>
      <c r="K48" s="161" t="s">
        <v>2796</v>
      </c>
      <c r="L48" s="162">
        <v>2</v>
      </c>
      <c r="M48" s="150" t="s">
        <v>2801</v>
      </c>
      <c r="N48" s="168" t="b">
        <v>0</v>
      </c>
      <c r="O48" s="170" t="b">
        <v>1</v>
      </c>
      <c r="P48" s="170" t="b">
        <v>0</v>
      </c>
      <c r="Q48" s="170" t="b">
        <v>0</v>
      </c>
      <c r="R48" s="64" t="s">
        <v>2802</v>
      </c>
      <c r="S48" s="181" t="s">
        <v>2803</v>
      </c>
    </row>
    <row r="49" spans="1:19" ht="66" x14ac:dyDescent="0.3">
      <c r="A49" s="322">
        <v>48</v>
      </c>
      <c r="B49" s="323" t="s">
        <v>2804</v>
      </c>
      <c r="C49" s="323" t="s">
        <v>2805</v>
      </c>
      <c r="D49" s="327" t="s">
        <v>1760</v>
      </c>
      <c r="E49" s="329">
        <v>46191</v>
      </c>
      <c r="F49" s="322" t="s">
        <v>2533</v>
      </c>
      <c r="G49" s="326"/>
      <c r="H49" s="280" t="s">
        <v>2806</v>
      </c>
      <c r="I49" s="159" t="s">
        <v>1773</v>
      </c>
      <c r="J49" s="159" t="s">
        <v>2807</v>
      </c>
      <c r="K49" s="161" t="s">
        <v>2808</v>
      </c>
      <c r="L49" s="162">
        <v>2</v>
      </c>
      <c r="M49" s="150" t="s">
        <v>2809</v>
      </c>
      <c r="N49" s="168" t="b">
        <v>0</v>
      </c>
      <c r="O49" s="170" t="b">
        <v>0</v>
      </c>
      <c r="P49" s="170" t="b">
        <v>1</v>
      </c>
      <c r="Q49" s="170" t="b">
        <v>0</v>
      </c>
      <c r="R49" s="185" t="s">
        <v>2810</v>
      </c>
      <c r="S49" s="181" t="s">
        <v>2803</v>
      </c>
    </row>
    <row r="50" spans="1:19" ht="57.6" x14ac:dyDescent="0.3">
      <c r="A50" s="322">
        <v>49</v>
      </c>
      <c r="B50" s="323" t="s">
        <v>2811</v>
      </c>
      <c r="C50" s="323" t="s">
        <v>2812</v>
      </c>
      <c r="D50" s="327" t="s">
        <v>1760</v>
      </c>
      <c r="E50" s="325" t="s">
        <v>2588</v>
      </c>
      <c r="F50" s="322" t="s">
        <v>336</v>
      </c>
      <c r="G50" s="326"/>
      <c r="H50" s="280" t="s">
        <v>2588</v>
      </c>
      <c r="I50" s="159" t="s">
        <v>1773</v>
      </c>
      <c r="J50" s="159" t="s">
        <v>2813</v>
      </c>
      <c r="K50" s="161" t="s">
        <v>2814</v>
      </c>
      <c r="L50" s="162">
        <v>2</v>
      </c>
      <c r="M50" s="150" t="s">
        <v>2815</v>
      </c>
      <c r="N50" s="168" t="b">
        <v>0</v>
      </c>
      <c r="O50" s="170" t="b">
        <v>1</v>
      </c>
      <c r="P50" s="170" t="b">
        <v>0</v>
      </c>
      <c r="Q50" s="170" t="b">
        <v>0</v>
      </c>
      <c r="R50" s="186" t="s">
        <v>2816</v>
      </c>
      <c r="S50" s="64" t="s">
        <v>2817</v>
      </c>
    </row>
    <row r="51" spans="1:19" ht="39.6" x14ac:dyDescent="0.3">
      <c r="A51" s="322">
        <v>50</v>
      </c>
      <c r="B51" s="323" t="s">
        <v>2818</v>
      </c>
      <c r="C51" s="323" t="s">
        <v>2819</v>
      </c>
      <c r="D51" s="324" t="s">
        <v>1756</v>
      </c>
      <c r="E51" s="325" t="s">
        <v>2522</v>
      </c>
      <c r="F51" s="322" t="s">
        <v>2523</v>
      </c>
      <c r="G51" s="326" t="s">
        <v>2524</v>
      </c>
      <c r="H51" s="280" t="s">
        <v>2525</v>
      </c>
      <c r="I51" s="159" t="s">
        <v>1773</v>
      </c>
      <c r="J51" s="159" t="s">
        <v>2820</v>
      </c>
      <c r="K51" s="159" t="s">
        <v>2821</v>
      </c>
      <c r="L51" s="162">
        <v>2</v>
      </c>
      <c r="M51" s="150" t="s">
        <v>2822</v>
      </c>
      <c r="N51" s="168" t="b">
        <v>0</v>
      </c>
      <c r="O51" s="170" t="b">
        <v>1</v>
      </c>
      <c r="P51" s="170" t="b">
        <v>0</v>
      </c>
      <c r="Q51" s="170" t="b">
        <v>0</v>
      </c>
      <c r="S51" s="64" t="s">
        <v>2543</v>
      </c>
    </row>
    <row r="52" spans="1:19" ht="43.2" x14ac:dyDescent="0.3">
      <c r="A52" s="322">
        <v>51</v>
      </c>
      <c r="B52" s="323" t="s">
        <v>2823</v>
      </c>
      <c r="C52" s="323" t="s">
        <v>2824</v>
      </c>
      <c r="D52" s="324" t="s">
        <v>1756</v>
      </c>
      <c r="E52" s="329">
        <v>46191</v>
      </c>
      <c r="F52" s="322" t="s">
        <v>2533</v>
      </c>
      <c r="G52" s="332"/>
      <c r="H52" s="174" t="s">
        <v>2825</v>
      </c>
      <c r="I52" s="159" t="s">
        <v>1773</v>
      </c>
      <c r="J52" s="159" t="s">
        <v>2826</v>
      </c>
      <c r="K52" s="161" t="s">
        <v>2202</v>
      </c>
      <c r="L52" s="162">
        <v>1</v>
      </c>
      <c r="M52" s="150">
        <v>100</v>
      </c>
      <c r="N52" s="168" t="b">
        <v>0</v>
      </c>
      <c r="O52" s="170" t="b">
        <v>0</v>
      </c>
      <c r="P52" s="170" t="b">
        <v>0</v>
      </c>
      <c r="Q52" s="170" t="b">
        <v>0</v>
      </c>
      <c r="R52" s="179" t="s">
        <v>2827</v>
      </c>
      <c r="S52" s="64" t="s">
        <v>2530</v>
      </c>
    </row>
    <row r="53" spans="1:19" ht="28.8" x14ac:dyDescent="0.3">
      <c r="A53" s="322">
        <v>52</v>
      </c>
      <c r="B53" s="323" t="s">
        <v>2828</v>
      </c>
      <c r="C53" s="323" t="s">
        <v>2829</v>
      </c>
      <c r="D53" s="324" t="s">
        <v>1756</v>
      </c>
      <c r="E53" s="325" t="s">
        <v>2522</v>
      </c>
      <c r="F53" s="322" t="s">
        <v>2523</v>
      </c>
      <c r="G53" s="326" t="s">
        <v>2524</v>
      </c>
      <c r="H53" s="280" t="s">
        <v>2525</v>
      </c>
      <c r="I53" s="159" t="s">
        <v>1773</v>
      </c>
      <c r="J53" s="159" t="s">
        <v>2830</v>
      </c>
      <c r="K53" s="161" t="s">
        <v>2831</v>
      </c>
      <c r="L53" s="162">
        <v>1</v>
      </c>
      <c r="M53" s="150">
        <v>90</v>
      </c>
      <c r="N53" s="168" t="b">
        <v>0</v>
      </c>
      <c r="O53" s="170" t="b">
        <v>0</v>
      </c>
      <c r="P53" s="170" t="b">
        <v>0</v>
      </c>
      <c r="Q53" s="170" t="b">
        <v>0</v>
      </c>
      <c r="R53" s="64" t="s">
        <v>2604</v>
      </c>
      <c r="S53" s="64" t="s">
        <v>2530</v>
      </c>
    </row>
    <row r="54" spans="1:19" ht="28.8" x14ac:dyDescent="0.3">
      <c r="A54" s="322">
        <v>53</v>
      </c>
      <c r="B54" s="323" t="s">
        <v>2832</v>
      </c>
      <c r="C54" s="323" t="s">
        <v>2833</v>
      </c>
      <c r="D54" s="324" t="s">
        <v>1756</v>
      </c>
      <c r="E54" s="325" t="s">
        <v>2522</v>
      </c>
      <c r="F54" s="322" t="s">
        <v>2523</v>
      </c>
      <c r="G54" s="326" t="s">
        <v>2524</v>
      </c>
      <c r="H54" s="280" t="s">
        <v>2525</v>
      </c>
      <c r="I54" s="159" t="s">
        <v>1773</v>
      </c>
      <c r="J54" s="159" t="s">
        <v>2834</v>
      </c>
      <c r="K54" s="161" t="s">
        <v>2831</v>
      </c>
      <c r="L54" s="162">
        <v>1</v>
      </c>
      <c r="M54" s="150">
        <v>54</v>
      </c>
      <c r="N54" s="168" t="b">
        <v>0</v>
      </c>
      <c r="O54" s="170" t="b">
        <v>0</v>
      </c>
      <c r="P54" s="170" t="b">
        <v>0</v>
      </c>
      <c r="Q54" s="170" t="b">
        <v>0</v>
      </c>
      <c r="R54" s="64" t="s">
        <v>2604</v>
      </c>
      <c r="S54" s="64" t="s">
        <v>2530</v>
      </c>
    </row>
    <row r="55" spans="1:19" ht="43.2" x14ac:dyDescent="0.3">
      <c r="A55" s="322">
        <v>54</v>
      </c>
      <c r="B55" s="323" t="s">
        <v>2835</v>
      </c>
      <c r="C55" s="323" t="s">
        <v>2836</v>
      </c>
      <c r="D55" s="327" t="s">
        <v>1760</v>
      </c>
      <c r="E55" s="329">
        <v>46191</v>
      </c>
      <c r="F55" s="322" t="s">
        <v>2533</v>
      </c>
      <c r="G55" s="332"/>
      <c r="H55" s="174" t="s">
        <v>2825</v>
      </c>
      <c r="I55" s="159" t="s">
        <v>2066</v>
      </c>
      <c r="J55" s="159" t="s">
        <v>2837</v>
      </c>
      <c r="K55" s="151" t="s">
        <v>2838</v>
      </c>
      <c r="L55" s="162">
        <v>3</v>
      </c>
      <c r="M55" s="150" t="s">
        <v>2839</v>
      </c>
      <c r="N55" s="168" t="b">
        <v>0</v>
      </c>
      <c r="O55" s="170" t="b">
        <v>0</v>
      </c>
      <c r="P55" s="170" t="b">
        <v>0</v>
      </c>
      <c r="Q55" s="170" t="b">
        <v>0</v>
      </c>
      <c r="R55" s="178" t="s">
        <v>2635</v>
      </c>
      <c r="S55" s="178" t="s">
        <v>2635</v>
      </c>
    </row>
    <row r="56" spans="1:19" ht="100.8" x14ac:dyDescent="0.3">
      <c r="A56" s="322">
        <v>55</v>
      </c>
      <c r="B56" s="323" t="s">
        <v>2840</v>
      </c>
      <c r="C56" s="323" t="s">
        <v>2841</v>
      </c>
      <c r="D56" s="327" t="s">
        <v>1823</v>
      </c>
      <c r="E56" s="329">
        <v>46191</v>
      </c>
      <c r="F56" s="322" t="s">
        <v>2533</v>
      </c>
      <c r="G56" s="326" t="s">
        <v>2842</v>
      </c>
      <c r="H56" s="280" t="s">
        <v>2525</v>
      </c>
      <c r="I56" s="159" t="s">
        <v>1773</v>
      </c>
      <c r="J56" s="159" t="s">
        <v>2843</v>
      </c>
      <c r="K56" s="161" t="s">
        <v>2844</v>
      </c>
      <c r="L56" s="162">
        <v>3</v>
      </c>
      <c r="M56" s="150" t="s">
        <v>2845</v>
      </c>
      <c r="N56" s="168" t="b">
        <v>0</v>
      </c>
      <c r="O56" s="170" t="b">
        <v>0</v>
      </c>
      <c r="P56" s="170" t="b">
        <v>0</v>
      </c>
      <c r="Q56" s="170" t="b">
        <v>0</v>
      </c>
      <c r="R56" s="64" t="s">
        <v>2846</v>
      </c>
      <c r="S56" s="183" t="s">
        <v>2847</v>
      </c>
    </row>
    <row r="57" spans="1:19" ht="43.2" x14ac:dyDescent="0.3">
      <c r="A57" s="322">
        <v>56</v>
      </c>
      <c r="B57" s="323" t="s">
        <v>2848</v>
      </c>
      <c r="C57" s="323" t="s">
        <v>2849</v>
      </c>
      <c r="D57" s="330" t="s">
        <v>1823</v>
      </c>
      <c r="E57" s="325" t="s">
        <v>2522</v>
      </c>
      <c r="F57" s="322" t="s">
        <v>2533</v>
      </c>
      <c r="G57" s="326"/>
      <c r="H57" s="280" t="s">
        <v>2525</v>
      </c>
      <c r="I57" s="159" t="s">
        <v>1773</v>
      </c>
      <c r="J57" s="159" t="s">
        <v>2850</v>
      </c>
      <c r="K57" s="161" t="s">
        <v>2844</v>
      </c>
      <c r="L57" s="162">
        <v>2</v>
      </c>
      <c r="M57" s="150" t="s">
        <v>2851</v>
      </c>
      <c r="N57" s="168" t="b">
        <v>0</v>
      </c>
      <c r="O57" s="170" t="b">
        <v>1</v>
      </c>
      <c r="P57" s="170" t="b">
        <v>0</v>
      </c>
      <c r="Q57" s="170" t="b">
        <v>0</v>
      </c>
      <c r="R57" s="64" t="s">
        <v>2852</v>
      </c>
    </row>
    <row r="58" spans="1:19" ht="100.8" x14ac:dyDescent="0.3">
      <c r="A58" s="322">
        <v>57</v>
      </c>
      <c r="B58" s="323" t="s">
        <v>2853</v>
      </c>
      <c r="C58" s="323" t="s">
        <v>2854</v>
      </c>
      <c r="D58" s="330" t="s">
        <v>1823</v>
      </c>
      <c r="E58" s="325" t="s">
        <v>2522</v>
      </c>
      <c r="F58" s="322" t="s">
        <v>2523</v>
      </c>
      <c r="G58" s="326" t="s">
        <v>2524</v>
      </c>
      <c r="H58" s="280" t="s">
        <v>2525</v>
      </c>
      <c r="I58" s="159" t="s">
        <v>1773</v>
      </c>
      <c r="J58" s="159" t="s">
        <v>2855</v>
      </c>
      <c r="K58" s="161" t="s">
        <v>2856</v>
      </c>
      <c r="L58" s="162">
        <v>1</v>
      </c>
      <c r="M58" s="150">
        <v>124</v>
      </c>
      <c r="N58" s="168" t="b">
        <v>0</v>
      </c>
      <c r="O58" s="170" t="b">
        <v>1</v>
      </c>
      <c r="P58" s="170" t="b">
        <v>0</v>
      </c>
      <c r="Q58" s="170" t="b">
        <v>0</v>
      </c>
      <c r="R58" s="64" t="s">
        <v>2857</v>
      </c>
    </row>
    <row r="59" spans="1:19" ht="100.8" x14ac:dyDescent="0.3">
      <c r="A59" s="322">
        <v>58</v>
      </c>
      <c r="B59" s="323" t="s">
        <v>2858</v>
      </c>
      <c r="C59" s="323" t="s">
        <v>2859</v>
      </c>
      <c r="D59" s="324" t="s">
        <v>1756</v>
      </c>
      <c r="E59" s="329">
        <v>46191</v>
      </c>
      <c r="F59" s="322" t="s">
        <v>2533</v>
      </c>
      <c r="G59" s="326"/>
      <c r="H59" s="280" t="s">
        <v>2525</v>
      </c>
      <c r="I59" s="159" t="s">
        <v>1773</v>
      </c>
      <c r="J59" s="159" t="s">
        <v>2860</v>
      </c>
      <c r="K59" s="161" t="s">
        <v>2861</v>
      </c>
      <c r="L59" s="162">
        <v>1</v>
      </c>
      <c r="M59" s="150">
        <v>89</v>
      </c>
      <c r="N59" s="168" t="b">
        <v>0</v>
      </c>
      <c r="O59" s="170" t="b">
        <v>0</v>
      </c>
      <c r="P59" s="170" t="b">
        <v>0</v>
      </c>
      <c r="Q59" s="170" t="b">
        <v>0</v>
      </c>
      <c r="R59" s="64" t="s">
        <v>2862</v>
      </c>
    </row>
    <row r="60" spans="1:19" ht="26.4" x14ac:dyDescent="0.3">
      <c r="A60" s="322">
        <v>59</v>
      </c>
      <c r="B60" s="323" t="s">
        <v>2863</v>
      </c>
      <c r="C60" s="323" t="s">
        <v>2864</v>
      </c>
      <c r="D60" s="325" t="s">
        <v>1760</v>
      </c>
      <c r="E60" s="329">
        <v>46191</v>
      </c>
      <c r="F60" s="322" t="s">
        <v>2533</v>
      </c>
      <c r="G60" s="326"/>
      <c r="H60" s="280" t="s">
        <v>2525</v>
      </c>
      <c r="I60" s="159" t="s">
        <v>2066</v>
      </c>
      <c r="J60" s="159" t="s">
        <v>2865</v>
      </c>
      <c r="K60" s="159" t="s">
        <v>2866</v>
      </c>
      <c r="L60" s="162">
        <v>1</v>
      </c>
      <c r="M60" s="150">
        <v>149</v>
      </c>
      <c r="N60" s="168" t="b">
        <v>0</v>
      </c>
      <c r="O60" s="170" t="b">
        <v>0</v>
      </c>
      <c r="P60" s="170" t="b">
        <v>0</v>
      </c>
      <c r="Q60" s="170" t="b">
        <v>0</v>
      </c>
      <c r="R60" s="64" t="s">
        <v>2867</v>
      </c>
    </row>
    <row r="61" spans="1:19" ht="115.2" x14ac:dyDescent="0.3">
      <c r="A61" s="322">
        <v>60</v>
      </c>
      <c r="B61" s="323" t="s">
        <v>2868</v>
      </c>
      <c r="C61" s="323" t="s">
        <v>2869</v>
      </c>
      <c r="D61" s="325" t="s">
        <v>1823</v>
      </c>
      <c r="E61" s="329">
        <v>46191</v>
      </c>
      <c r="F61" s="322" t="s">
        <v>2533</v>
      </c>
      <c r="G61" s="326"/>
      <c r="H61" s="280" t="s">
        <v>2525</v>
      </c>
      <c r="I61" s="159" t="s">
        <v>2066</v>
      </c>
      <c r="J61" s="159" t="s">
        <v>2870</v>
      </c>
      <c r="K61" s="151" t="s">
        <v>2871</v>
      </c>
      <c r="L61" s="162">
        <v>1</v>
      </c>
      <c r="M61" s="150">
        <v>12</v>
      </c>
      <c r="N61" s="168" t="b">
        <v>0</v>
      </c>
      <c r="O61" s="170" t="b">
        <v>0</v>
      </c>
      <c r="P61" s="170" t="b">
        <v>0</v>
      </c>
      <c r="Q61" s="170" t="b">
        <v>0</v>
      </c>
      <c r="R61" s="175" t="s">
        <v>2872</v>
      </c>
    </row>
    <row r="62" spans="1:19" ht="28.8" x14ac:dyDescent="0.3">
      <c r="A62" s="322">
        <v>61</v>
      </c>
      <c r="B62" s="323" t="s">
        <v>2873</v>
      </c>
      <c r="C62" s="323" t="s">
        <v>2260</v>
      </c>
      <c r="D62" s="330" t="s">
        <v>1823</v>
      </c>
      <c r="E62" s="329">
        <v>46191</v>
      </c>
      <c r="F62" s="322" t="s">
        <v>2533</v>
      </c>
      <c r="G62" s="326"/>
      <c r="H62" s="280" t="s">
        <v>2525</v>
      </c>
      <c r="I62" s="159" t="s">
        <v>1773</v>
      </c>
      <c r="J62" s="159" t="s">
        <v>2874</v>
      </c>
      <c r="K62" s="161" t="s">
        <v>2875</v>
      </c>
      <c r="L62" s="162">
        <v>2</v>
      </c>
      <c r="M62" s="150" t="s">
        <v>2876</v>
      </c>
      <c r="N62" s="168" t="b">
        <v>0</v>
      </c>
      <c r="O62" s="170" t="b">
        <v>0</v>
      </c>
      <c r="P62" s="170" t="b">
        <v>0</v>
      </c>
      <c r="Q62" s="170" t="b">
        <v>0</v>
      </c>
      <c r="R62" s="64" t="s">
        <v>2525</v>
      </c>
    </row>
    <row r="63" spans="1:19" ht="28.8" x14ac:dyDescent="0.3">
      <c r="A63" s="322">
        <v>62</v>
      </c>
      <c r="B63" s="323" t="s">
        <v>2877</v>
      </c>
      <c r="C63" s="323" t="s">
        <v>2263</v>
      </c>
      <c r="D63" s="330" t="s">
        <v>1823</v>
      </c>
      <c r="E63" s="329">
        <v>46191</v>
      </c>
      <c r="F63" s="322" t="s">
        <v>2533</v>
      </c>
      <c r="G63" s="326"/>
      <c r="H63" s="280" t="s">
        <v>2525</v>
      </c>
      <c r="I63" s="159" t="s">
        <v>1773</v>
      </c>
      <c r="J63" s="159" t="s">
        <v>2878</v>
      </c>
      <c r="K63" s="161" t="s">
        <v>2879</v>
      </c>
      <c r="L63" s="162"/>
      <c r="M63" s="150"/>
      <c r="N63" s="168" t="b">
        <v>0</v>
      </c>
      <c r="O63" s="170" t="b">
        <v>0</v>
      </c>
      <c r="P63" s="170" t="b">
        <v>0</v>
      </c>
      <c r="Q63" s="170" t="b">
        <v>0</v>
      </c>
      <c r="R63" s="64" t="s">
        <v>2880</v>
      </c>
    </row>
    <row r="64" spans="1:19" ht="86.4" x14ac:dyDescent="0.3">
      <c r="A64" s="322">
        <v>63</v>
      </c>
      <c r="B64" s="323" t="s">
        <v>2881</v>
      </c>
      <c r="C64" s="323" t="s">
        <v>2882</v>
      </c>
      <c r="D64" s="324" t="s">
        <v>1756</v>
      </c>
      <c r="E64" s="325" t="s">
        <v>2588</v>
      </c>
      <c r="F64" s="322" t="s">
        <v>336</v>
      </c>
      <c r="G64" s="326"/>
      <c r="H64" s="280" t="s">
        <v>2883</v>
      </c>
      <c r="I64" s="159" t="s">
        <v>2566</v>
      </c>
      <c r="J64" s="159" t="s">
        <v>2884</v>
      </c>
      <c r="K64" s="159" t="s">
        <v>2885</v>
      </c>
      <c r="L64" s="162">
        <v>1</v>
      </c>
      <c r="M64" s="150">
        <v>176</v>
      </c>
      <c r="N64" s="168" t="b">
        <v>0</v>
      </c>
      <c r="O64" s="170" t="b">
        <v>1</v>
      </c>
      <c r="P64" s="170" t="b">
        <v>1</v>
      </c>
      <c r="Q64" s="170" t="b">
        <v>0</v>
      </c>
      <c r="R64" s="64" t="s">
        <v>2886</v>
      </c>
    </row>
    <row r="65" spans="1:18" ht="43.2" x14ac:dyDescent="0.3">
      <c r="A65" s="322">
        <v>64</v>
      </c>
      <c r="B65" s="323" t="s">
        <v>2887</v>
      </c>
      <c r="C65" s="323" t="s">
        <v>2888</v>
      </c>
      <c r="D65" s="324" t="s">
        <v>1756</v>
      </c>
      <c r="E65" s="325" t="s">
        <v>2522</v>
      </c>
      <c r="F65" s="322" t="s">
        <v>2523</v>
      </c>
      <c r="G65" s="326" t="s">
        <v>2524</v>
      </c>
      <c r="H65" s="280" t="s">
        <v>2889</v>
      </c>
      <c r="I65" s="159" t="s">
        <v>1773</v>
      </c>
      <c r="J65" s="159" t="s">
        <v>2890</v>
      </c>
      <c r="K65" s="161" t="s">
        <v>2891</v>
      </c>
      <c r="L65" s="162">
        <v>1</v>
      </c>
      <c r="M65" s="150">
        <v>81</v>
      </c>
      <c r="N65" s="168" t="b">
        <v>0</v>
      </c>
      <c r="O65" s="170" t="b">
        <v>0</v>
      </c>
      <c r="P65" s="170" t="b">
        <v>0</v>
      </c>
      <c r="Q65" s="170" t="b">
        <v>0</v>
      </c>
      <c r="R65" s="64" t="s">
        <v>2892</v>
      </c>
    </row>
    <row r="66" spans="1:18" ht="28.8" x14ac:dyDescent="0.3">
      <c r="A66" s="322">
        <v>65</v>
      </c>
      <c r="B66" s="323" t="s">
        <v>2893</v>
      </c>
      <c r="C66" s="323" t="s">
        <v>2894</v>
      </c>
      <c r="D66" s="330" t="s">
        <v>1823</v>
      </c>
      <c r="E66" s="329">
        <v>46191</v>
      </c>
      <c r="F66" s="322" t="s">
        <v>2533</v>
      </c>
      <c r="G66" s="326"/>
      <c r="H66" s="280" t="s">
        <v>2525</v>
      </c>
      <c r="I66" s="159" t="s">
        <v>2066</v>
      </c>
      <c r="J66" s="159" t="s">
        <v>2895</v>
      </c>
      <c r="K66" s="161" t="s">
        <v>2896</v>
      </c>
      <c r="L66" s="162">
        <v>1</v>
      </c>
      <c r="M66" s="150">
        <v>133</v>
      </c>
      <c r="N66" s="168" t="b">
        <v>0</v>
      </c>
      <c r="O66" s="170" t="b">
        <v>1</v>
      </c>
      <c r="P66" s="170" t="b">
        <v>0</v>
      </c>
      <c r="Q66" s="170" t="b">
        <v>0</v>
      </c>
      <c r="R66" s="178" t="s">
        <v>2635</v>
      </c>
    </row>
    <row r="67" spans="1:18" ht="52.8" x14ac:dyDescent="0.3">
      <c r="A67" s="322">
        <v>66</v>
      </c>
      <c r="B67" s="323" t="s">
        <v>2897</v>
      </c>
      <c r="C67" s="323" t="s">
        <v>2898</v>
      </c>
      <c r="D67" s="330" t="s">
        <v>1823</v>
      </c>
      <c r="E67" s="325" t="s">
        <v>2522</v>
      </c>
      <c r="F67" s="322" t="s">
        <v>2523</v>
      </c>
      <c r="G67" s="326" t="s">
        <v>2524</v>
      </c>
      <c r="H67" s="280" t="s">
        <v>2525</v>
      </c>
      <c r="I67" s="159" t="s">
        <v>1773</v>
      </c>
      <c r="J67" s="159" t="s">
        <v>2899</v>
      </c>
      <c r="K67" s="161" t="s">
        <v>2900</v>
      </c>
      <c r="L67" s="162">
        <v>4</v>
      </c>
      <c r="M67" s="150" t="s">
        <v>2901</v>
      </c>
      <c r="N67" s="168" t="b">
        <v>0</v>
      </c>
      <c r="O67" s="170" t="b">
        <v>0</v>
      </c>
      <c r="P67" s="170" t="b">
        <v>0</v>
      </c>
      <c r="Q67" s="170" t="b">
        <v>0</v>
      </c>
      <c r="R67" s="64" t="s">
        <v>2902</v>
      </c>
    </row>
    <row r="68" spans="1:18" ht="66" x14ac:dyDescent="0.3">
      <c r="A68" s="322">
        <v>67</v>
      </c>
      <c r="B68" s="323" t="s">
        <v>2903</v>
      </c>
      <c r="C68" s="323" t="s">
        <v>2904</v>
      </c>
      <c r="D68" s="324" t="s">
        <v>2587</v>
      </c>
      <c r="E68" s="325" t="s">
        <v>2588</v>
      </c>
      <c r="F68" s="322" t="s">
        <v>336</v>
      </c>
      <c r="G68" s="326"/>
      <c r="H68" s="280" t="s">
        <v>2905</v>
      </c>
      <c r="I68" s="159" t="s">
        <v>2588</v>
      </c>
      <c r="J68" s="159"/>
      <c r="K68" s="159" t="s">
        <v>2906</v>
      </c>
      <c r="L68" s="162">
        <v>3</v>
      </c>
      <c r="M68" s="150" t="s">
        <v>2907</v>
      </c>
      <c r="N68" s="168" t="b">
        <v>0</v>
      </c>
      <c r="O68" s="170" t="b">
        <v>0</v>
      </c>
      <c r="P68" s="170" t="b">
        <v>1</v>
      </c>
      <c r="Q68" s="170" t="b">
        <v>0</v>
      </c>
      <c r="R68" s="175" t="s">
        <v>2908</v>
      </c>
    </row>
    <row r="69" spans="1:18" ht="79.2" x14ac:dyDescent="0.3">
      <c r="A69" s="322">
        <v>68</v>
      </c>
      <c r="B69" s="323" t="s">
        <v>2909</v>
      </c>
      <c r="C69" s="323" t="s">
        <v>2910</v>
      </c>
      <c r="D69" s="324" t="s">
        <v>1756</v>
      </c>
      <c r="E69" s="329">
        <v>46191</v>
      </c>
      <c r="F69" s="322" t="s">
        <v>2533</v>
      </c>
      <c r="G69" s="326"/>
      <c r="H69" s="280" t="s">
        <v>2911</v>
      </c>
      <c r="I69" s="159" t="s">
        <v>2187</v>
      </c>
      <c r="J69" s="159"/>
      <c r="K69" s="159" t="s">
        <v>2906</v>
      </c>
      <c r="L69" s="162">
        <v>1</v>
      </c>
      <c r="M69" s="150">
        <v>225</v>
      </c>
      <c r="N69" s="168" t="b">
        <v>0</v>
      </c>
      <c r="O69" s="170" t="b">
        <v>0</v>
      </c>
      <c r="P69" s="170" t="b">
        <v>0</v>
      </c>
      <c r="Q69" s="170" t="b">
        <v>0</v>
      </c>
      <c r="R69" s="175" t="s">
        <v>2912</v>
      </c>
    </row>
    <row r="70" spans="1:18" ht="28.8" x14ac:dyDescent="0.3">
      <c r="A70" s="322">
        <v>69</v>
      </c>
      <c r="B70" s="323" t="s">
        <v>2248</v>
      </c>
      <c r="C70" s="323" t="s">
        <v>2913</v>
      </c>
      <c r="D70" s="327" t="s">
        <v>1760</v>
      </c>
      <c r="E70" s="329">
        <v>46191</v>
      </c>
      <c r="F70" s="322" t="s">
        <v>2533</v>
      </c>
      <c r="G70" s="326"/>
      <c r="H70" s="280" t="s">
        <v>2525</v>
      </c>
      <c r="I70" s="159" t="s">
        <v>1773</v>
      </c>
      <c r="J70" s="159" t="s">
        <v>2914</v>
      </c>
      <c r="K70" s="161" t="s">
        <v>2875</v>
      </c>
      <c r="L70" s="162">
        <v>1</v>
      </c>
      <c r="M70" s="150">
        <v>127</v>
      </c>
      <c r="N70" s="168" t="b">
        <v>0</v>
      </c>
      <c r="O70" s="170" t="b">
        <v>0</v>
      </c>
      <c r="P70" s="170" t="b">
        <v>0</v>
      </c>
      <c r="Q70" s="170" t="b">
        <v>0</v>
      </c>
      <c r="R70" s="64" t="s">
        <v>2525</v>
      </c>
    </row>
    <row r="71" spans="1:18" ht="216" x14ac:dyDescent="0.3">
      <c r="A71" s="322">
        <v>70</v>
      </c>
      <c r="B71" s="323" t="s">
        <v>2915</v>
      </c>
      <c r="C71" s="323" t="s">
        <v>2916</v>
      </c>
      <c r="D71" s="324" t="s">
        <v>1756</v>
      </c>
      <c r="E71" s="325" t="s">
        <v>2917</v>
      </c>
      <c r="F71" s="322" t="s">
        <v>336</v>
      </c>
      <c r="G71" s="326"/>
      <c r="H71" s="280" t="s">
        <v>2918</v>
      </c>
      <c r="I71" s="159" t="s">
        <v>2187</v>
      </c>
      <c r="J71" s="159" t="s">
        <v>2919</v>
      </c>
      <c r="K71" s="161" t="s">
        <v>2920</v>
      </c>
      <c r="L71" s="162">
        <v>3</v>
      </c>
      <c r="M71" s="150" t="s">
        <v>2921</v>
      </c>
      <c r="N71" s="168" t="b">
        <v>0</v>
      </c>
      <c r="O71" s="170" t="b">
        <v>1</v>
      </c>
      <c r="P71" s="170" t="b">
        <v>0</v>
      </c>
      <c r="Q71" s="170" t="b">
        <v>0</v>
      </c>
      <c r="R71" s="64" t="s">
        <v>2922</v>
      </c>
    </row>
    <row r="72" spans="1:18" ht="39.6" x14ac:dyDescent="0.3">
      <c r="A72" s="322">
        <v>71</v>
      </c>
      <c r="B72" s="323" t="s">
        <v>2923</v>
      </c>
      <c r="C72" s="323" t="s">
        <v>2924</v>
      </c>
      <c r="D72" s="324" t="s">
        <v>1756</v>
      </c>
      <c r="E72" s="325" t="s">
        <v>2917</v>
      </c>
      <c r="F72" s="322" t="s">
        <v>336</v>
      </c>
      <c r="G72" s="326"/>
      <c r="H72" s="280" t="s">
        <v>2918</v>
      </c>
      <c r="I72" s="159" t="s">
        <v>1773</v>
      </c>
      <c r="J72" s="159" t="s">
        <v>2925</v>
      </c>
      <c r="K72" s="159" t="s">
        <v>2926</v>
      </c>
      <c r="L72" s="162">
        <v>1</v>
      </c>
      <c r="M72" s="150">
        <v>99</v>
      </c>
      <c r="N72" s="168" t="b">
        <v>0</v>
      </c>
      <c r="O72" s="170" t="b">
        <v>0</v>
      </c>
      <c r="P72" s="170" t="b">
        <v>0</v>
      </c>
      <c r="Q72" s="170" t="b">
        <v>0</v>
      </c>
      <c r="R72" s="64" t="s">
        <v>2927</v>
      </c>
    </row>
    <row r="73" spans="1:18" ht="39.6" x14ac:dyDescent="0.3">
      <c r="A73" s="322">
        <v>72</v>
      </c>
      <c r="B73" s="323" t="s">
        <v>2928</v>
      </c>
      <c r="C73" s="323" t="s">
        <v>2929</v>
      </c>
      <c r="D73" s="324" t="s">
        <v>1756</v>
      </c>
      <c r="E73" s="325" t="s">
        <v>2522</v>
      </c>
      <c r="F73" s="322" t="s">
        <v>2523</v>
      </c>
      <c r="G73" s="326" t="s">
        <v>2524</v>
      </c>
      <c r="H73" s="280" t="s">
        <v>2525</v>
      </c>
      <c r="I73" s="159" t="s">
        <v>1773</v>
      </c>
      <c r="J73" s="159" t="s">
        <v>2930</v>
      </c>
      <c r="K73" s="161" t="s">
        <v>2931</v>
      </c>
      <c r="L73" s="162">
        <v>1</v>
      </c>
      <c r="M73" s="150">
        <v>191</v>
      </c>
      <c r="N73" s="168" t="b">
        <v>0</v>
      </c>
      <c r="O73" s="170" t="b">
        <v>0</v>
      </c>
      <c r="P73" s="170" t="b">
        <v>0</v>
      </c>
      <c r="Q73" s="170" t="b">
        <v>0</v>
      </c>
      <c r="R73" s="64" t="s">
        <v>2932</v>
      </c>
    </row>
    <row r="74" spans="1:18" ht="28.8" x14ac:dyDescent="0.3">
      <c r="A74" s="322">
        <v>73</v>
      </c>
      <c r="B74" s="323" t="s">
        <v>2933</v>
      </c>
      <c r="C74" s="323" t="s">
        <v>2934</v>
      </c>
      <c r="D74" s="324" t="s">
        <v>1756</v>
      </c>
      <c r="E74" s="325" t="s">
        <v>2522</v>
      </c>
      <c r="F74" s="322" t="s">
        <v>2523</v>
      </c>
      <c r="G74" s="326" t="s">
        <v>2524</v>
      </c>
      <c r="H74" s="280" t="s">
        <v>2525</v>
      </c>
      <c r="I74" s="159" t="s">
        <v>1773</v>
      </c>
      <c r="J74" s="159" t="s">
        <v>2935</v>
      </c>
      <c r="K74" s="161" t="s">
        <v>2931</v>
      </c>
      <c r="L74" s="162">
        <v>1</v>
      </c>
      <c r="M74" s="150">
        <v>218</v>
      </c>
      <c r="N74" s="168" t="b">
        <v>0</v>
      </c>
      <c r="O74" s="170" t="b">
        <v>0</v>
      </c>
      <c r="P74" s="170" t="b">
        <v>0</v>
      </c>
      <c r="Q74" s="170" t="b">
        <v>0</v>
      </c>
      <c r="R74" s="64" t="s">
        <v>2936</v>
      </c>
    </row>
    <row r="75" spans="1:18" ht="52.8" x14ac:dyDescent="0.3">
      <c r="A75" s="322">
        <v>74</v>
      </c>
      <c r="B75" s="323" t="s">
        <v>2937</v>
      </c>
      <c r="C75" s="323" t="s">
        <v>2938</v>
      </c>
      <c r="D75" s="327" t="s">
        <v>1760</v>
      </c>
      <c r="E75" s="325" t="s">
        <v>2522</v>
      </c>
      <c r="F75" s="322" t="s">
        <v>2533</v>
      </c>
      <c r="G75" s="326"/>
      <c r="H75" s="280" t="s">
        <v>2939</v>
      </c>
      <c r="I75" s="159" t="s">
        <v>1773</v>
      </c>
      <c r="J75" s="159" t="s">
        <v>2940</v>
      </c>
      <c r="K75" s="161" t="s">
        <v>2941</v>
      </c>
      <c r="L75" s="162">
        <v>1</v>
      </c>
      <c r="M75" s="150">
        <v>47</v>
      </c>
      <c r="N75" s="168" t="b">
        <v>0</v>
      </c>
      <c r="O75" s="170" t="b">
        <v>0</v>
      </c>
      <c r="P75" s="170" t="b">
        <v>0</v>
      </c>
      <c r="Q75" s="170" t="b">
        <v>0</v>
      </c>
      <c r="R75" s="64" t="s">
        <v>2942</v>
      </c>
    </row>
    <row r="76" spans="1:18" x14ac:dyDescent="0.3">
      <c r="A76" s="322">
        <v>75</v>
      </c>
      <c r="B76" s="323" t="s">
        <v>2943</v>
      </c>
      <c r="C76" s="323" t="s">
        <v>2944</v>
      </c>
      <c r="D76" s="330" t="s">
        <v>1823</v>
      </c>
      <c r="E76" s="325" t="s">
        <v>2522</v>
      </c>
      <c r="F76" s="322" t="s">
        <v>2533</v>
      </c>
      <c r="G76" s="326"/>
      <c r="H76" s="280" t="s">
        <v>2525</v>
      </c>
      <c r="I76" s="159" t="s">
        <v>1773</v>
      </c>
      <c r="J76" s="159" t="s">
        <v>2945</v>
      </c>
      <c r="K76" s="159" t="s">
        <v>2622</v>
      </c>
      <c r="L76" s="162">
        <v>1</v>
      </c>
      <c r="M76" s="150">
        <v>232</v>
      </c>
      <c r="N76" s="168" t="b">
        <v>0</v>
      </c>
      <c r="O76" s="170" t="b">
        <v>1</v>
      </c>
      <c r="P76" s="170" t="b">
        <v>0</v>
      </c>
      <c r="Q76" s="170" t="b">
        <v>0</v>
      </c>
      <c r="R76" s="64" t="s">
        <v>2946</v>
      </c>
    </row>
    <row r="77" spans="1:18" ht="26.4" x14ac:dyDescent="0.3">
      <c r="A77" s="322">
        <v>76</v>
      </c>
      <c r="B77" s="323" t="s">
        <v>2947</v>
      </c>
      <c r="C77" s="323" t="s">
        <v>2948</v>
      </c>
      <c r="D77" s="324" t="s">
        <v>1756</v>
      </c>
      <c r="E77" s="325" t="s">
        <v>2522</v>
      </c>
      <c r="F77" s="322" t="s">
        <v>2533</v>
      </c>
      <c r="G77" s="326"/>
      <c r="H77" s="280" t="s">
        <v>2525</v>
      </c>
      <c r="I77" s="159" t="s">
        <v>1773</v>
      </c>
      <c r="J77" s="159" t="s">
        <v>2949</v>
      </c>
      <c r="K77" s="159" t="s">
        <v>2950</v>
      </c>
      <c r="L77" s="162">
        <v>1</v>
      </c>
      <c r="M77" s="150">
        <v>151</v>
      </c>
      <c r="N77" s="168" t="b">
        <v>0</v>
      </c>
      <c r="O77" s="170" t="b">
        <v>1</v>
      </c>
      <c r="P77" s="170" t="b">
        <v>0</v>
      </c>
      <c r="Q77" s="170" t="b">
        <v>0</v>
      </c>
      <c r="R77" s="64" t="s">
        <v>2951</v>
      </c>
    </row>
    <row r="78" spans="1:18" ht="52.8" x14ac:dyDescent="0.3">
      <c r="A78" s="322">
        <v>77</v>
      </c>
      <c r="B78" s="323" t="s">
        <v>2952</v>
      </c>
      <c r="C78" s="323" t="s">
        <v>2953</v>
      </c>
      <c r="D78" s="327" t="s">
        <v>1760</v>
      </c>
      <c r="E78" s="325" t="s">
        <v>2522</v>
      </c>
      <c r="F78" s="322" t="s">
        <v>2533</v>
      </c>
      <c r="G78" s="326"/>
      <c r="H78" s="280" t="s">
        <v>2525</v>
      </c>
      <c r="I78" s="159" t="s">
        <v>2187</v>
      </c>
      <c r="J78" s="159" t="s">
        <v>2954</v>
      </c>
      <c r="K78" s="159" t="s">
        <v>2955</v>
      </c>
      <c r="L78" s="162">
        <v>1</v>
      </c>
      <c r="M78" s="150">
        <v>174</v>
      </c>
      <c r="N78" s="168" t="b">
        <v>0</v>
      </c>
      <c r="O78" s="170" t="b">
        <v>1</v>
      </c>
      <c r="P78" s="170" t="b">
        <v>0</v>
      </c>
      <c r="Q78" s="170" t="b">
        <v>0</v>
      </c>
      <c r="R78" s="64" t="s">
        <v>2956</v>
      </c>
    </row>
    <row r="79" spans="1:18" ht="52.8" x14ac:dyDescent="0.3">
      <c r="A79" s="322">
        <v>78</v>
      </c>
      <c r="B79" s="323" t="s">
        <v>2957</v>
      </c>
      <c r="C79" s="323" t="s">
        <v>2958</v>
      </c>
      <c r="D79" s="330" t="s">
        <v>2587</v>
      </c>
      <c r="E79" s="325" t="s">
        <v>2917</v>
      </c>
      <c r="F79" s="322" t="s">
        <v>336</v>
      </c>
      <c r="G79" s="326"/>
      <c r="H79" s="280" t="s">
        <v>2918</v>
      </c>
      <c r="I79" s="159" t="s">
        <v>1773</v>
      </c>
      <c r="J79" s="159" t="s">
        <v>2959</v>
      </c>
      <c r="K79" s="161" t="s">
        <v>2960</v>
      </c>
      <c r="L79" s="162">
        <v>3</v>
      </c>
      <c r="M79" s="150" t="s">
        <v>2961</v>
      </c>
      <c r="N79" s="168" t="b">
        <v>0</v>
      </c>
      <c r="O79" s="170" t="b">
        <v>1</v>
      </c>
      <c r="P79" s="170" t="b">
        <v>0</v>
      </c>
      <c r="Q79" s="170" t="b">
        <v>0</v>
      </c>
      <c r="R79" s="64" t="s">
        <v>2962</v>
      </c>
    </row>
    <row r="80" spans="1:18" ht="43.2" x14ac:dyDescent="0.3">
      <c r="A80" s="322">
        <v>79</v>
      </c>
      <c r="B80" s="323" t="s">
        <v>2963</v>
      </c>
      <c r="C80" s="323" t="s">
        <v>2964</v>
      </c>
      <c r="D80" s="328" t="s">
        <v>1797</v>
      </c>
      <c r="E80" s="329">
        <v>46191</v>
      </c>
      <c r="F80" s="322" t="s">
        <v>2533</v>
      </c>
      <c r="G80" s="326"/>
      <c r="H80" s="280" t="s">
        <v>2525</v>
      </c>
      <c r="I80" s="159" t="s">
        <v>2066</v>
      </c>
      <c r="J80" s="159" t="s">
        <v>2965</v>
      </c>
      <c r="K80" s="161" t="s">
        <v>2966</v>
      </c>
      <c r="L80" s="162">
        <v>2</v>
      </c>
      <c r="M80" s="150" t="s">
        <v>2967</v>
      </c>
      <c r="N80" s="168" t="b">
        <v>0</v>
      </c>
      <c r="O80" s="170" t="b">
        <v>0</v>
      </c>
      <c r="P80" s="170" t="b">
        <v>0</v>
      </c>
      <c r="Q80" s="170" t="b">
        <v>0</v>
      </c>
      <c r="R80" s="64" t="s">
        <v>2968</v>
      </c>
    </row>
    <row r="81" spans="1:18" ht="26.4" x14ac:dyDescent="0.3">
      <c r="A81" s="322">
        <v>80</v>
      </c>
      <c r="B81" s="323" t="s">
        <v>2969</v>
      </c>
      <c r="C81" s="323" t="s">
        <v>2970</v>
      </c>
      <c r="D81" s="324" t="s">
        <v>1756</v>
      </c>
      <c r="E81" s="325" t="s">
        <v>2522</v>
      </c>
      <c r="F81" s="322" t="s">
        <v>2523</v>
      </c>
      <c r="G81" s="326" t="s">
        <v>2524</v>
      </c>
      <c r="H81" s="280" t="s">
        <v>2525</v>
      </c>
      <c r="I81" s="159" t="s">
        <v>1773</v>
      </c>
      <c r="J81" s="159" t="s">
        <v>2971</v>
      </c>
      <c r="K81" s="159" t="s">
        <v>2086</v>
      </c>
      <c r="L81" s="162">
        <v>1</v>
      </c>
      <c r="M81" s="150">
        <v>91</v>
      </c>
      <c r="N81" s="168" t="b">
        <v>0</v>
      </c>
      <c r="O81" s="170" t="b">
        <v>0</v>
      </c>
      <c r="P81" s="170" t="b">
        <v>0</v>
      </c>
      <c r="Q81" s="170" t="b">
        <v>0</v>
      </c>
      <c r="R81" s="64" t="s">
        <v>2962</v>
      </c>
    </row>
    <row r="82" spans="1:18" ht="52.8" x14ac:dyDescent="0.3">
      <c r="A82" s="322">
        <v>81</v>
      </c>
      <c r="B82" s="323" t="s">
        <v>2972</v>
      </c>
      <c r="C82" s="323" t="s">
        <v>2973</v>
      </c>
      <c r="D82" s="328" t="s">
        <v>1760</v>
      </c>
      <c r="E82" s="329">
        <v>46191</v>
      </c>
      <c r="F82" s="322" t="s">
        <v>2533</v>
      </c>
      <c r="G82" s="326"/>
      <c r="H82" s="280" t="s">
        <v>2525</v>
      </c>
      <c r="I82" s="159" t="s">
        <v>2187</v>
      </c>
      <c r="J82" s="159" t="s">
        <v>2974</v>
      </c>
      <c r="K82" s="161" t="s">
        <v>2975</v>
      </c>
      <c r="L82" s="162">
        <v>5</v>
      </c>
      <c r="M82" s="150" t="s">
        <v>2976</v>
      </c>
      <c r="N82" s="168" t="b">
        <v>0</v>
      </c>
      <c r="O82" s="170" t="b">
        <v>0</v>
      </c>
      <c r="P82" s="170" t="b">
        <v>0</v>
      </c>
      <c r="Q82" s="170" t="b">
        <v>0</v>
      </c>
      <c r="R82" s="177" t="s">
        <v>2977</v>
      </c>
    </row>
    <row r="83" spans="1:18" ht="115.2" x14ac:dyDescent="0.3">
      <c r="A83" s="322">
        <v>82</v>
      </c>
      <c r="B83" s="323" t="s">
        <v>2978</v>
      </c>
      <c r="C83" s="323" t="s">
        <v>2979</v>
      </c>
      <c r="D83" s="330" t="s">
        <v>1823</v>
      </c>
      <c r="E83" s="325" t="s">
        <v>2522</v>
      </c>
      <c r="F83" s="322" t="s">
        <v>2589</v>
      </c>
      <c r="G83" s="326"/>
      <c r="H83" s="280" t="s">
        <v>2525</v>
      </c>
      <c r="I83" s="159" t="s">
        <v>1773</v>
      </c>
      <c r="J83" s="159" t="s">
        <v>2980</v>
      </c>
      <c r="K83" s="161" t="s">
        <v>2981</v>
      </c>
      <c r="L83" s="162">
        <v>2</v>
      </c>
      <c r="M83" s="150" t="s">
        <v>2982</v>
      </c>
      <c r="N83" s="168" t="b">
        <v>0</v>
      </c>
      <c r="O83" s="170" t="b">
        <v>0</v>
      </c>
      <c r="P83" s="170" t="b">
        <v>0</v>
      </c>
      <c r="Q83" s="170" t="b">
        <v>0</v>
      </c>
      <c r="R83" s="64" t="s">
        <v>2983</v>
      </c>
    </row>
    <row r="84" spans="1:18" ht="28.8" x14ac:dyDescent="0.3">
      <c r="A84" s="322">
        <v>83</v>
      </c>
      <c r="B84" s="323" t="s">
        <v>2984</v>
      </c>
      <c r="C84" s="323" t="s">
        <v>2985</v>
      </c>
      <c r="D84" s="330" t="s">
        <v>1823</v>
      </c>
      <c r="E84" s="329">
        <v>46191</v>
      </c>
      <c r="F84" s="322" t="s">
        <v>2533</v>
      </c>
      <c r="G84" s="326"/>
      <c r="H84" s="280" t="s">
        <v>2525</v>
      </c>
      <c r="I84" s="159" t="s">
        <v>1773</v>
      </c>
      <c r="J84" s="159" t="s">
        <v>2986</v>
      </c>
      <c r="K84" s="161" t="s">
        <v>2987</v>
      </c>
      <c r="L84" s="162">
        <v>1</v>
      </c>
      <c r="M84" s="150">
        <v>27</v>
      </c>
      <c r="N84" s="168" t="b">
        <v>0</v>
      </c>
      <c r="O84" s="170" t="b">
        <v>0</v>
      </c>
      <c r="P84" s="170" t="b">
        <v>0</v>
      </c>
      <c r="Q84" s="170" t="b">
        <v>0</v>
      </c>
      <c r="R84" s="64" t="s">
        <v>2988</v>
      </c>
    </row>
    <row r="85" spans="1:18" ht="171.6" x14ac:dyDescent="0.3">
      <c r="A85" s="322">
        <v>84</v>
      </c>
      <c r="B85" s="323" t="s">
        <v>2989</v>
      </c>
      <c r="C85" s="323" t="s">
        <v>2990</v>
      </c>
      <c r="D85" s="327" t="s">
        <v>1760</v>
      </c>
      <c r="E85" s="329">
        <v>46191</v>
      </c>
      <c r="F85" s="322" t="s">
        <v>2533</v>
      </c>
      <c r="G85" s="326"/>
      <c r="H85" s="280" t="s">
        <v>2525</v>
      </c>
      <c r="I85" s="159" t="s">
        <v>2066</v>
      </c>
      <c r="J85" s="159" t="s">
        <v>2991</v>
      </c>
      <c r="K85" s="159" t="s">
        <v>2992</v>
      </c>
      <c r="L85" s="162">
        <v>3</v>
      </c>
      <c r="M85" s="150" t="s">
        <v>2993</v>
      </c>
      <c r="N85" s="168" t="b">
        <v>0</v>
      </c>
      <c r="O85" s="170" t="b">
        <v>0</v>
      </c>
      <c r="P85" s="170" t="b">
        <v>0</v>
      </c>
      <c r="Q85" s="170" t="b">
        <v>0</v>
      </c>
      <c r="R85" s="64" t="s">
        <v>2994</v>
      </c>
    </row>
    <row r="86" spans="1:18" ht="26.4" x14ac:dyDescent="0.3">
      <c r="A86" s="322">
        <v>85</v>
      </c>
      <c r="B86" s="323" t="s">
        <v>2995</v>
      </c>
      <c r="C86" s="323" t="s">
        <v>2996</v>
      </c>
      <c r="D86" s="324" t="s">
        <v>1756</v>
      </c>
      <c r="E86" s="325" t="s">
        <v>2917</v>
      </c>
      <c r="F86" s="322" t="s">
        <v>336</v>
      </c>
      <c r="G86" s="326"/>
      <c r="H86" s="280" t="s">
        <v>2918</v>
      </c>
      <c r="I86" s="159" t="s">
        <v>1773</v>
      </c>
      <c r="J86" s="159" t="s">
        <v>2997</v>
      </c>
      <c r="K86" s="159" t="s">
        <v>2998</v>
      </c>
      <c r="L86" s="162">
        <v>2</v>
      </c>
      <c r="M86" s="150" t="s">
        <v>2999</v>
      </c>
      <c r="N86" s="168" t="b">
        <v>0</v>
      </c>
      <c r="O86" s="170" t="b">
        <v>0</v>
      </c>
      <c r="P86" s="170" t="b">
        <v>0</v>
      </c>
      <c r="Q86" s="170" t="b">
        <v>0</v>
      </c>
      <c r="R86" s="64" t="s">
        <v>3000</v>
      </c>
    </row>
    <row r="87" spans="1:18" ht="79.2" x14ac:dyDescent="0.3">
      <c r="A87" s="322">
        <v>86</v>
      </c>
      <c r="B87" s="323" t="s">
        <v>3001</v>
      </c>
      <c r="C87" s="323" t="s">
        <v>3002</v>
      </c>
      <c r="D87" s="330" t="s">
        <v>1823</v>
      </c>
      <c r="E87" s="329">
        <v>46191</v>
      </c>
      <c r="F87" s="322" t="s">
        <v>2533</v>
      </c>
      <c r="G87" s="326"/>
      <c r="H87" s="280" t="s">
        <v>3003</v>
      </c>
      <c r="I87" s="159" t="s">
        <v>1773</v>
      </c>
      <c r="J87" s="159" t="s">
        <v>3004</v>
      </c>
      <c r="K87" s="161" t="s">
        <v>3005</v>
      </c>
      <c r="L87" s="162">
        <v>3</v>
      </c>
      <c r="M87" s="150" t="s">
        <v>3006</v>
      </c>
      <c r="N87" s="168" t="b">
        <v>0</v>
      </c>
      <c r="O87" s="170" t="b">
        <v>0</v>
      </c>
      <c r="P87" s="170" t="b">
        <v>0</v>
      </c>
      <c r="Q87" s="170" t="b">
        <v>0</v>
      </c>
      <c r="R87" s="177" t="s">
        <v>3007</v>
      </c>
    </row>
    <row r="88" spans="1:18" ht="39.6" x14ac:dyDescent="0.3">
      <c r="A88" s="322">
        <v>87</v>
      </c>
      <c r="B88" s="323" t="s">
        <v>3008</v>
      </c>
      <c r="C88" s="323" t="s">
        <v>3009</v>
      </c>
      <c r="D88" s="330" t="s">
        <v>1823</v>
      </c>
      <c r="E88" s="325" t="s">
        <v>2522</v>
      </c>
      <c r="F88" s="322" t="s">
        <v>2533</v>
      </c>
      <c r="G88" s="326"/>
      <c r="H88" s="280" t="s">
        <v>2525</v>
      </c>
      <c r="I88" s="159" t="s">
        <v>2066</v>
      </c>
      <c r="J88" s="159" t="s">
        <v>3010</v>
      </c>
      <c r="K88" s="159" t="s">
        <v>3011</v>
      </c>
      <c r="L88" s="162">
        <v>1</v>
      </c>
      <c r="M88" s="150">
        <v>9</v>
      </c>
      <c r="N88" s="168" t="b">
        <v>0</v>
      </c>
      <c r="O88" s="170" t="b">
        <v>0</v>
      </c>
      <c r="P88" s="170" t="b">
        <v>0</v>
      </c>
      <c r="Q88" s="170" t="b">
        <v>0</v>
      </c>
      <c r="R88" s="178" t="s">
        <v>2635</v>
      </c>
    </row>
    <row r="89" spans="1:18" ht="52.8" x14ac:dyDescent="0.3">
      <c r="A89" s="322">
        <v>88</v>
      </c>
      <c r="B89" s="323" t="s">
        <v>3012</v>
      </c>
      <c r="C89" s="323" t="s">
        <v>3013</v>
      </c>
      <c r="D89" s="330" t="s">
        <v>1823</v>
      </c>
      <c r="E89" s="325" t="s">
        <v>2522</v>
      </c>
      <c r="F89" s="322" t="s">
        <v>2533</v>
      </c>
      <c r="G89" s="326"/>
      <c r="H89" s="280" t="s">
        <v>2525</v>
      </c>
      <c r="I89" s="159" t="s">
        <v>1773</v>
      </c>
      <c r="J89" s="159" t="s">
        <v>3014</v>
      </c>
      <c r="K89" s="161" t="s">
        <v>2779</v>
      </c>
      <c r="L89" s="162">
        <v>1</v>
      </c>
      <c r="M89" s="150">
        <v>219</v>
      </c>
      <c r="N89" s="168" t="b">
        <v>0</v>
      </c>
      <c r="O89" s="170" t="b">
        <v>0</v>
      </c>
      <c r="P89" s="170" t="b">
        <v>0</v>
      </c>
      <c r="Q89" s="170" t="b">
        <v>0</v>
      </c>
      <c r="R89" s="64" t="s">
        <v>3015</v>
      </c>
    </row>
    <row r="90" spans="1:18" ht="28.8" x14ac:dyDescent="0.3">
      <c r="A90" s="322">
        <v>89</v>
      </c>
      <c r="B90" s="323" t="s">
        <v>3016</v>
      </c>
      <c r="C90" s="323" t="s">
        <v>3017</v>
      </c>
      <c r="D90" s="330" t="s">
        <v>1823</v>
      </c>
      <c r="E90" s="325" t="s">
        <v>2522</v>
      </c>
      <c r="F90" s="322" t="s">
        <v>2533</v>
      </c>
      <c r="G90" s="326"/>
      <c r="H90" s="280" t="s">
        <v>2525</v>
      </c>
      <c r="I90" s="159" t="s">
        <v>1773</v>
      </c>
      <c r="J90" s="159" t="s">
        <v>3018</v>
      </c>
      <c r="K90" s="161" t="s">
        <v>3019</v>
      </c>
      <c r="L90" s="162">
        <v>1</v>
      </c>
      <c r="M90" s="150">
        <v>247</v>
      </c>
      <c r="N90" s="168" t="b">
        <v>0</v>
      </c>
      <c r="O90" s="170" t="b">
        <v>0</v>
      </c>
      <c r="P90" s="170" t="b">
        <v>0</v>
      </c>
      <c r="Q90" s="170" t="b">
        <v>0</v>
      </c>
      <c r="R90" s="197" t="s">
        <v>3020</v>
      </c>
    </row>
    <row r="91" spans="1:18" ht="39.6" x14ac:dyDescent="0.3">
      <c r="A91" s="322">
        <v>90</v>
      </c>
      <c r="B91" s="323" t="s">
        <v>3021</v>
      </c>
      <c r="C91" s="323" t="s">
        <v>3022</v>
      </c>
      <c r="D91" s="330" t="s">
        <v>1756</v>
      </c>
      <c r="E91" s="325" t="s">
        <v>2522</v>
      </c>
      <c r="F91" s="322" t="s">
        <v>2523</v>
      </c>
      <c r="G91" s="326" t="s">
        <v>2524</v>
      </c>
      <c r="H91" s="280" t="s">
        <v>2525</v>
      </c>
      <c r="I91" s="159" t="s">
        <v>1773</v>
      </c>
      <c r="J91" s="159"/>
      <c r="K91" s="161" t="s">
        <v>3023</v>
      </c>
      <c r="L91" s="162">
        <v>3</v>
      </c>
      <c r="M91" s="150" t="s">
        <v>3024</v>
      </c>
      <c r="N91" s="168" t="b">
        <v>0</v>
      </c>
      <c r="O91" s="170" t="b">
        <v>0</v>
      </c>
      <c r="P91" s="170" t="b">
        <v>0</v>
      </c>
      <c r="Q91" s="170" t="b">
        <v>0</v>
      </c>
    </row>
    <row r="92" spans="1:18" ht="39.6" x14ac:dyDescent="0.3">
      <c r="A92" s="322">
        <v>91</v>
      </c>
      <c r="B92" s="323" t="s">
        <v>3025</v>
      </c>
      <c r="C92" s="323" t="s">
        <v>3026</v>
      </c>
      <c r="D92" s="330" t="s">
        <v>1756</v>
      </c>
      <c r="E92" s="325" t="s">
        <v>2588</v>
      </c>
      <c r="F92" s="322" t="s">
        <v>2533</v>
      </c>
      <c r="G92" s="326"/>
      <c r="H92" s="280" t="s">
        <v>3027</v>
      </c>
      <c r="I92" s="159" t="s">
        <v>2566</v>
      </c>
      <c r="J92" s="159"/>
      <c r="K92" s="161" t="s">
        <v>2975</v>
      </c>
      <c r="L92" s="162">
        <v>2</v>
      </c>
      <c r="M92" s="150" t="s">
        <v>3028</v>
      </c>
      <c r="N92" s="168" t="b">
        <v>0</v>
      </c>
      <c r="O92" s="170" t="b">
        <v>0</v>
      </c>
      <c r="P92" s="170" t="b">
        <v>1</v>
      </c>
      <c r="Q92" s="170" t="b">
        <v>0</v>
      </c>
    </row>
    <row r="93" spans="1:18" ht="28.8" x14ac:dyDescent="0.3">
      <c r="A93" s="322">
        <v>92</v>
      </c>
      <c r="B93" s="323" t="s">
        <v>3029</v>
      </c>
      <c r="C93" s="323" t="s">
        <v>3030</v>
      </c>
      <c r="D93" s="324" t="s">
        <v>1756</v>
      </c>
      <c r="E93" s="325" t="s">
        <v>2522</v>
      </c>
      <c r="F93" s="322" t="s">
        <v>2523</v>
      </c>
      <c r="G93" s="326" t="s">
        <v>2524</v>
      </c>
      <c r="H93" s="280" t="s">
        <v>2525</v>
      </c>
      <c r="I93" s="159" t="s">
        <v>1773</v>
      </c>
      <c r="J93" s="159" t="s">
        <v>3031</v>
      </c>
      <c r="K93" s="161" t="s">
        <v>3032</v>
      </c>
      <c r="L93" s="162">
        <v>1</v>
      </c>
      <c r="M93" s="150">
        <v>150</v>
      </c>
      <c r="N93" s="168" t="b">
        <v>0</v>
      </c>
      <c r="O93" s="170" t="b">
        <v>0</v>
      </c>
      <c r="P93" s="170" t="b">
        <v>0</v>
      </c>
      <c r="Q93" s="170" t="b">
        <v>0</v>
      </c>
    </row>
    <row r="94" spans="1:18" ht="28.8" x14ac:dyDescent="0.3">
      <c r="A94" s="322">
        <v>93</v>
      </c>
      <c r="B94" s="323" t="s">
        <v>3033</v>
      </c>
      <c r="C94" s="323" t="s">
        <v>3034</v>
      </c>
      <c r="D94" s="327" t="s">
        <v>1760</v>
      </c>
      <c r="E94" s="329">
        <v>46191</v>
      </c>
      <c r="F94" s="322" t="s">
        <v>2533</v>
      </c>
      <c r="G94" s="326"/>
      <c r="H94" s="280" t="s">
        <v>2525</v>
      </c>
      <c r="I94" s="159" t="s">
        <v>2066</v>
      </c>
      <c r="J94" s="159" t="s">
        <v>3031</v>
      </c>
      <c r="K94" s="161" t="s">
        <v>3035</v>
      </c>
      <c r="L94" s="162">
        <v>3</v>
      </c>
      <c r="M94" s="150" t="s">
        <v>3036</v>
      </c>
      <c r="N94" s="168" t="b">
        <v>0</v>
      </c>
      <c r="O94" s="170" t="b">
        <v>0</v>
      </c>
      <c r="P94" s="170" t="b">
        <v>0</v>
      </c>
      <c r="Q94" s="170" t="b">
        <v>0</v>
      </c>
    </row>
    <row r="95" spans="1:18" ht="28.8" x14ac:dyDescent="0.3">
      <c r="A95" s="322">
        <v>94</v>
      </c>
      <c r="B95" s="323" t="s">
        <v>3037</v>
      </c>
      <c r="C95" s="323" t="s">
        <v>3038</v>
      </c>
      <c r="D95" s="324" t="s">
        <v>1756</v>
      </c>
      <c r="E95" s="329">
        <v>46191</v>
      </c>
      <c r="F95" s="322" t="s">
        <v>2533</v>
      </c>
      <c r="G95" s="326"/>
      <c r="H95" s="280" t="s">
        <v>2525</v>
      </c>
      <c r="I95" s="159" t="s">
        <v>2066</v>
      </c>
      <c r="J95" s="159" t="s">
        <v>3039</v>
      </c>
      <c r="K95" s="161" t="s">
        <v>3035</v>
      </c>
      <c r="L95" s="162">
        <v>3</v>
      </c>
      <c r="M95" s="150" t="s">
        <v>3040</v>
      </c>
      <c r="N95" s="168" t="b">
        <v>0</v>
      </c>
      <c r="O95" s="170" t="b">
        <v>0</v>
      </c>
      <c r="P95" s="170" t="b">
        <v>0</v>
      </c>
      <c r="Q95" s="170" t="b">
        <v>0</v>
      </c>
    </row>
    <row r="96" spans="1:18" ht="66" x14ac:dyDescent="0.3">
      <c r="A96" s="322">
        <v>95</v>
      </c>
      <c r="B96" s="323" t="s">
        <v>3041</v>
      </c>
      <c r="C96" s="323" t="s">
        <v>3042</v>
      </c>
      <c r="D96" s="327" t="s">
        <v>1756</v>
      </c>
      <c r="E96" s="325" t="s">
        <v>2522</v>
      </c>
      <c r="F96" s="322" t="s">
        <v>2523</v>
      </c>
      <c r="G96" s="326" t="s">
        <v>2524</v>
      </c>
      <c r="H96" s="280" t="s">
        <v>3043</v>
      </c>
      <c r="I96" s="159" t="s">
        <v>2187</v>
      </c>
      <c r="J96" s="159" t="s">
        <v>3044</v>
      </c>
      <c r="K96" s="161" t="s">
        <v>3045</v>
      </c>
      <c r="L96" s="162">
        <v>1</v>
      </c>
      <c r="M96" s="150">
        <v>143</v>
      </c>
      <c r="N96" s="168" t="b">
        <v>0</v>
      </c>
      <c r="O96" s="170" t="b">
        <v>0</v>
      </c>
      <c r="P96" s="170" t="b">
        <v>1</v>
      </c>
      <c r="Q96" s="170" t="b">
        <v>0</v>
      </c>
      <c r="R96" s="64" t="s">
        <v>3046</v>
      </c>
    </row>
    <row r="97" spans="1:18" x14ac:dyDescent="0.3">
      <c r="A97" s="322">
        <v>96</v>
      </c>
      <c r="B97" s="323" t="s">
        <v>3047</v>
      </c>
      <c r="C97" s="323" t="s">
        <v>3048</v>
      </c>
      <c r="D97" s="330" t="s">
        <v>1823</v>
      </c>
      <c r="E97" s="329">
        <v>46191</v>
      </c>
      <c r="F97" s="322" t="s">
        <v>2533</v>
      </c>
      <c r="G97" s="326"/>
      <c r="H97" s="280" t="s">
        <v>2525</v>
      </c>
      <c r="I97" s="159" t="s">
        <v>2066</v>
      </c>
      <c r="J97" s="159" t="s">
        <v>3049</v>
      </c>
      <c r="K97" s="159" t="s">
        <v>3050</v>
      </c>
      <c r="L97" s="162">
        <v>1</v>
      </c>
      <c r="M97" s="150">
        <v>21</v>
      </c>
      <c r="N97" s="168" t="b">
        <v>0</v>
      </c>
      <c r="O97" s="170" t="b">
        <v>0</v>
      </c>
      <c r="P97" s="170" t="b">
        <v>0</v>
      </c>
      <c r="Q97" s="170" t="b">
        <v>0</v>
      </c>
      <c r="R97" s="64" t="s">
        <v>3051</v>
      </c>
    </row>
    <row r="98" spans="1:18" ht="43.2" x14ac:dyDescent="0.3">
      <c r="A98" s="322">
        <v>97</v>
      </c>
      <c r="B98" s="323" t="s">
        <v>3052</v>
      </c>
      <c r="C98" s="323" t="s">
        <v>3053</v>
      </c>
      <c r="D98" s="324" t="s">
        <v>1756</v>
      </c>
      <c r="E98" s="325" t="s">
        <v>2522</v>
      </c>
      <c r="F98" s="322" t="s">
        <v>2523</v>
      </c>
      <c r="G98" s="326" t="s">
        <v>2524</v>
      </c>
      <c r="H98" s="280" t="s">
        <v>2525</v>
      </c>
      <c r="I98" s="159" t="s">
        <v>2187</v>
      </c>
      <c r="J98" s="159" t="s">
        <v>3054</v>
      </c>
      <c r="K98" s="161" t="s">
        <v>3055</v>
      </c>
      <c r="L98" s="162">
        <v>1</v>
      </c>
      <c r="M98" s="150">
        <v>160</v>
      </c>
      <c r="N98" s="168" t="b">
        <v>0</v>
      </c>
      <c r="O98" s="170" t="b">
        <v>0</v>
      </c>
      <c r="P98" s="170" t="b">
        <v>0</v>
      </c>
      <c r="Q98" s="170" t="b">
        <v>0</v>
      </c>
      <c r="R98" s="175" t="s">
        <v>3056</v>
      </c>
    </row>
    <row r="99" spans="1:18" ht="28.8" x14ac:dyDescent="0.3">
      <c r="A99" s="322">
        <v>98</v>
      </c>
      <c r="B99" s="323" t="s">
        <v>3057</v>
      </c>
      <c r="C99" s="323" t="s">
        <v>3058</v>
      </c>
      <c r="D99" s="328" t="s">
        <v>1797</v>
      </c>
      <c r="E99" s="329">
        <v>46191</v>
      </c>
      <c r="F99" s="322" t="s">
        <v>2533</v>
      </c>
      <c r="G99" s="326"/>
      <c r="H99" s="280" t="s">
        <v>2525</v>
      </c>
      <c r="I99" s="159" t="s">
        <v>1773</v>
      </c>
      <c r="J99" s="159" t="s">
        <v>3059</v>
      </c>
      <c r="K99" s="161" t="s">
        <v>3060</v>
      </c>
      <c r="L99" s="162">
        <v>2</v>
      </c>
      <c r="M99" s="150" t="s">
        <v>3061</v>
      </c>
      <c r="N99" s="168" t="b">
        <v>0</v>
      </c>
      <c r="O99" s="170" t="b">
        <v>1</v>
      </c>
      <c r="P99" s="170" t="b">
        <v>0</v>
      </c>
      <c r="Q99" s="170" t="b">
        <v>0</v>
      </c>
      <c r="R99" s="64" t="s">
        <v>3062</v>
      </c>
    </row>
    <row r="100" spans="1:18" ht="79.2" x14ac:dyDescent="0.3">
      <c r="A100" s="322">
        <v>99</v>
      </c>
      <c r="B100" s="323" t="s">
        <v>3063</v>
      </c>
      <c r="C100" s="323" t="s">
        <v>3064</v>
      </c>
      <c r="D100" s="324" t="s">
        <v>1756</v>
      </c>
      <c r="E100" s="329" t="s">
        <v>2588</v>
      </c>
      <c r="F100" s="322" t="s">
        <v>336</v>
      </c>
      <c r="G100" s="326"/>
      <c r="H100" s="280" t="s">
        <v>3065</v>
      </c>
      <c r="I100" s="159" t="s">
        <v>1773</v>
      </c>
      <c r="J100" s="159"/>
      <c r="K100" s="159"/>
      <c r="L100" s="162">
        <v>1</v>
      </c>
      <c r="M100" s="150">
        <v>257</v>
      </c>
      <c r="N100" s="168" t="b">
        <v>0</v>
      </c>
      <c r="O100" s="170" t="b">
        <v>1</v>
      </c>
      <c r="P100" s="170" t="b">
        <v>1</v>
      </c>
      <c r="Q100" s="170" t="b">
        <v>0</v>
      </c>
      <c r="R100" s="64" t="s">
        <v>3066</v>
      </c>
    </row>
    <row r="101" spans="1:18" ht="43.2" x14ac:dyDescent="0.3">
      <c r="A101" s="322">
        <v>100</v>
      </c>
      <c r="B101" s="323" t="s">
        <v>3067</v>
      </c>
      <c r="C101" s="323" t="s">
        <v>3068</v>
      </c>
      <c r="D101" s="330" t="s">
        <v>1823</v>
      </c>
      <c r="E101" s="329">
        <v>46191</v>
      </c>
      <c r="F101" s="322" t="s">
        <v>2533</v>
      </c>
      <c r="G101" s="326"/>
      <c r="H101" s="280" t="s">
        <v>2525</v>
      </c>
      <c r="I101" s="159" t="s">
        <v>2066</v>
      </c>
      <c r="J101" s="159" t="s">
        <v>3069</v>
      </c>
      <c r="K101" s="161" t="s">
        <v>3070</v>
      </c>
      <c r="L101" s="162">
        <v>3</v>
      </c>
      <c r="M101" s="150" t="s">
        <v>3071</v>
      </c>
      <c r="N101" s="168" t="b">
        <v>0</v>
      </c>
      <c r="O101" s="170" t="b">
        <v>0</v>
      </c>
      <c r="P101" s="170" t="b">
        <v>0</v>
      </c>
      <c r="Q101" s="170" t="b">
        <v>0</v>
      </c>
      <c r="R101" s="64" t="s">
        <v>3072</v>
      </c>
    </row>
    <row r="102" spans="1:18" ht="52.8" x14ac:dyDescent="0.3">
      <c r="A102" s="322">
        <v>101</v>
      </c>
      <c r="B102" s="323" t="s">
        <v>3073</v>
      </c>
      <c r="C102" s="323" t="s">
        <v>3074</v>
      </c>
      <c r="D102" s="328" t="s">
        <v>1797</v>
      </c>
      <c r="E102" s="329">
        <v>46191</v>
      </c>
      <c r="F102" s="322" t="s">
        <v>2533</v>
      </c>
      <c r="G102" s="332"/>
      <c r="H102" s="174" t="s">
        <v>2825</v>
      </c>
      <c r="I102" s="159" t="s">
        <v>1773</v>
      </c>
      <c r="J102" s="159"/>
      <c r="K102" s="166" t="s">
        <v>2825</v>
      </c>
      <c r="L102" s="162">
        <v>2</v>
      </c>
      <c r="M102" s="150" t="s">
        <v>3075</v>
      </c>
      <c r="N102" s="168" t="b">
        <v>0</v>
      </c>
      <c r="O102" s="170" t="b">
        <v>0</v>
      </c>
      <c r="P102" s="170" t="b">
        <v>0</v>
      </c>
      <c r="Q102" s="170" t="b">
        <v>0</v>
      </c>
      <c r="R102" s="64" t="s">
        <v>3076</v>
      </c>
    </row>
    <row r="103" spans="1:18" ht="72" x14ac:dyDescent="0.3">
      <c r="A103" s="322">
        <v>102</v>
      </c>
      <c r="B103" s="323" t="s">
        <v>3077</v>
      </c>
      <c r="C103" s="323" t="s">
        <v>3078</v>
      </c>
      <c r="D103" s="327" t="s">
        <v>1760</v>
      </c>
      <c r="E103" s="329">
        <v>46191</v>
      </c>
      <c r="F103" s="322" t="s">
        <v>2533</v>
      </c>
      <c r="G103" s="326"/>
      <c r="H103" s="280" t="s">
        <v>2525</v>
      </c>
      <c r="I103" s="159" t="s">
        <v>1773</v>
      </c>
      <c r="J103" s="159" t="s">
        <v>3079</v>
      </c>
      <c r="K103" s="161" t="s">
        <v>3080</v>
      </c>
      <c r="L103" s="162">
        <v>1</v>
      </c>
      <c r="M103" s="150">
        <v>58</v>
      </c>
      <c r="N103" s="168" t="b">
        <v>0</v>
      </c>
      <c r="O103" s="170" t="b">
        <v>0</v>
      </c>
      <c r="P103" s="170" t="b">
        <v>0</v>
      </c>
      <c r="Q103" s="170" t="b">
        <v>0</v>
      </c>
      <c r="R103" s="175" t="s">
        <v>3081</v>
      </c>
    </row>
    <row r="104" spans="1:18" ht="28.8" x14ac:dyDescent="0.3">
      <c r="A104" s="322">
        <v>103</v>
      </c>
      <c r="B104" s="323" t="s">
        <v>3082</v>
      </c>
      <c r="C104" s="323" t="s">
        <v>3083</v>
      </c>
      <c r="D104" s="324" t="s">
        <v>1756</v>
      </c>
      <c r="E104" s="325" t="s">
        <v>2522</v>
      </c>
      <c r="F104" s="322" t="s">
        <v>2523</v>
      </c>
      <c r="G104" s="326" t="s">
        <v>2524</v>
      </c>
      <c r="H104" s="280" t="s">
        <v>2525</v>
      </c>
      <c r="I104" s="159" t="s">
        <v>1773</v>
      </c>
      <c r="J104" s="159" t="s">
        <v>3084</v>
      </c>
      <c r="K104" s="161" t="s">
        <v>3085</v>
      </c>
      <c r="L104" s="162">
        <v>2</v>
      </c>
      <c r="M104" s="150" t="s">
        <v>3086</v>
      </c>
      <c r="N104" s="168" t="b">
        <v>0</v>
      </c>
      <c r="O104" s="170" t="b">
        <v>0</v>
      </c>
      <c r="P104" s="170" t="b">
        <v>0</v>
      </c>
      <c r="Q104" s="170" t="b">
        <v>0</v>
      </c>
      <c r="R104" s="64" t="s">
        <v>3087</v>
      </c>
    </row>
    <row r="105" spans="1:18" ht="28.8" x14ac:dyDescent="0.3">
      <c r="A105" s="322">
        <v>104</v>
      </c>
      <c r="B105" s="323" t="s">
        <v>3088</v>
      </c>
      <c r="C105" s="323" t="s">
        <v>3089</v>
      </c>
      <c r="D105" s="324" t="s">
        <v>1756</v>
      </c>
      <c r="E105" s="325" t="s">
        <v>2522</v>
      </c>
      <c r="F105" s="322" t="s">
        <v>2523</v>
      </c>
      <c r="G105" s="326" t="s">
        <v>2524</v>
      </c>
      <c r="H105" s="280" t="s">
        <v>2525</v>
      </c>
      <c r="I105" s="159" t="s">
        <v>1773</v>
      </c>
      <c r="J105" s="159" t="s">
        <v>3090</v>
      </c>
      <c r="K105" s="161" t="s">
        <v>3091</v>
      </c>
      <c r="L105" s="162">
        <v>2</v>
      </c>
      <c r="M105" s="150" t="s">
        <v>3092</v>
      </c>
      <c r="N105" s="168" t="b">
        <v>0</v>
      </c>
      <c r="O105" s="170" t="b">
        <v>0</v>
      </c>
      <c r="P105" s="170" t="b">
        <v>0</v>
      </c>
      <c r="Q105" s="170" t="b">
        <v>0</v>
      </c>
      <c r="R105" s="64" t="s">
        <v>3087</v>
      </c>
    </row>
    <row r="106" spans="1:18" ht="39.6" x14ac:dyDescent="0.3">
      <c r="A106" s="322">
        <v>105</v>
      </c>
      <c r="B106" s="323" t="s">
        <v>3093</v>
      </c>
      <c r="C106" s="323" t="s">
        <v>3094</v>
      </c>
      <c r="D106" s="327" t="s">
        <v>1823</v>
      </c>
      <c r="E106" s="325" t="s">
        <v>2522</v>
      </c>
      <c r="F106" s="322" t="s">
        <v>2533</v>
      </c>
      <c r="G106" s="326"/>
      <c r="H106" s="280" t="s">
        <v>2525</v>
      </c>
      <c r="I106" s="159" t="s">
        <v>1773</v>
      </c>
      <c r="J106" s="159" t="s">
        <v>3095</v>
      </c>
      <c r="K106" s="161" t="s">
        <v>3096</v>
      </c>
      <c r="L106" s="162">
        <v>2</v>
      </c>
      <c r="M106" s="150" t="s">
        <v>3097</v>
      </c>
      <c r="N106" s="168" t="b">
        <v>0</v>
      </c>
      <c r="O106" s="170" t="b">
        <v>0</v>
      </c>
      <c r="P106" s="170" t="b">
        <v>0</v>
      </c>
      <c r="Q106" s="170" t="b">
        <v>0</v>
      </c>
      <c r="R106" s="64" t="s">
        <v>3087</v>
      </c>
    </row>
    <row r="107" spans="1:18" ht="28.8" x14ac:dyDescent="0.3">
      <c r="A107" s="322">
        <v>106</v>
      </c>
      <c r="B107" s="323" t="s">
        <v>3098</v>
      </c>
      <c r="C107" s="323" t="s">
        <v>3099</v>
      </c>
      <c r="D107" s="324" t="s">
        <v>1756</v>
      </c>
      <c r="E107" s="325" t="s">
        <v>2522</v>
      </c>
      <c r="F107" s="322" t="s">
        <v>2523</v>
      </c>
      <c r="G107" s="326" t="s">
        <v>2524</v>
      </c>
      <c r="H107" s="280" t="s">
        <v>2525</v>
      </c>
      <c r="I107" s="159" t="s">
        <v>1773</v>
      </c>
      <c r="J107" s="159" t="s">
        <v>3100</v>
      </c>
      <c r="K107" s="161" t="s">
        <v>3101</v>
      </c>
      <c r="L107" s="162">
        <v>2</v>
      </c>
      <c r="M107" s="150" t="s">
        <v>3102</v>
      </c>
      <c r="N107" s="168" t="b">
        <v>0</v>
      </c>
      <c r="O107" s="170" t="b">
        <v>0</v>
      </c>
      <c r="P107" s="170" t="b">
        <v>0</v>
      </c>
      <c r="Q107" s="170" t="b">
        <v>0</v>
      </c>
      <c r="R107" s="64" t="s">
        <v>3103</v>
      </c>
    </row>
    <row r="108" spans="1:18" ht="132" x14ac:dyDescent="0.3">
      <c r="A108" s="322">
        <v>107</v>
      </c>
      <c r="B108" s="323" t="s">
        <v>3104</v>
      </c>
      <c r="C108" s="323" t="s">
        <v>3105</v>
      </c>
      <c r="D108" s="327" t="s">
        <v>1760</v>
      </c>
      <c r="E108" s="329">
        <v>46191</v>
      </c>
      <c r="F108" s="322" t="s">
        <v>2533</v>
      </c>
      <c r="G108" s="326"/>
      <c r="H108" s="280" t="s">
        <v>3106</v>
      </c>
      <c r="I108" s="159" t="s">
        <v>1773</v>
      </c>
      <c r="J108" s="159"/>
      <c r="K108" s="161" t="s">
        <v>3107</v>
      </c>
      <c r="L108" s="162">
        <v>4</v>
      </c>
      <c r="M108" s="150" t="s">
        <v>3108</v>
      </c>
      <c r="N108" s="168" t="b">
        <v>0</v>
      </c>
      <c r="O108" s="170" t="b">
        <v>1</v>
      </c>
      <c r="P108" s="170" t="b">
        <v>1</v>
      </c>
      <c r="Q108" s="170" t="b">
        <v>0</v>
      </c>
      <c r="R108" s="176" t="s">
        <v>3109</v>
      </c>
    </row>
    <row r="109" spans="1:18" ht="28.8" x14ac:dyDescent="0.3">
      <c r="A109" s="322">
        <v>108</v>
      </c>
      <c r="B109" s="323" t="s">
        <v>3110</v>
      </c>
      <c r="C109" s="323" t="s">
        <v>3111</v>
      </c>
      <c r="D109" s="327" t="s">
        <v>1823</v>
      </c>
      <c r="E109" s="325" t="s">
        <v>2522</v>
      </c>
      <c r="F109" s="322" t="s">
        <v>2523</v>
      </c>
      <c r="G109" s="326" t="s">
        <v>2524</v>
      </c>
      <c r="H109" s="280" t="s">
        <v>2525</v>
      </c>
      <c r="I109" s="159" t="s">
        <v>1773</v>
      </c>
      <c r="J109" s="159" t="s">
        <v>3112</v>
      </c>
      <c r="K109" s="161" t="s">
        <v>3107</v>
      </c>
      <c r="L109" s="162">
        <v>2</v>
      </c>
      <c r="M109" s="150" t="s">
        <v>3113</v>
      </c>
      <c r="N109" s="168" t="b">
        <v>0</v>
      </c>
      <c r="O109" s="170" t="b">
        <v>1</v>
      </c>
      <c r="P109" s="170" t="b">
        <v>0</v>
      </c>
      <c r="Q109" s="170" t="b">
        <v>0</v>
      </c>
      <c r="R109" s="280" t="s">
        <v>2525</v>
      </c>
    </row>
    <row r="110" spans="1:18" ht="52.8" x14ac:dyDescent="0.3">
      <c r="A110" s="322">
        <v>109</v>
      </c>
      <c r="B110" s="323" t="s">
        <v>3114</v>
      </c>
      <c r="C110" s="323" t="s">
        <v>3115</v>
      </c>
      <c r="D110" s="327" t="s">
        <v>1756</v>
      </c>
      <c r="E110" s="329">
        <v>46191</v>
      </c>
      <c r="F110" s="322" t="s">
        <v>2533</v>
      </c>
      <c r="G110" s="326"/>
      <c r="H110" s="280" t="s">
        <v>2525</v>
      </c>
      <c r="I110" s="159" t="s">
        <v>1773</v>
      </c>
      <c r="J110" s="159"/>
      <c r="K110" s="161" t="s">
        <v>3116</v>
      </c>
      <c r="L110" s="162">
        <v>1</v>
      </c>
      <c r="M110" s="150">
        <v>189</v>
      </c>
      <c r="N110" s="168" t="b">
        <v>0</v>
      </c>
      <c r="O110" s="170" t="b">
        <v>0</v>
      </c>
      <c r="P110" s="170" t="b">
        <v>0</v>
      </c>
      <c r="Q110" s="170" t="b">
        <v>0</v>
      </c>
      <c r="R110" s="311" t="s">
        <v>3117</v>
      </c>
    </row>
    <row r="111" spans="1:18" ht="72" x14ac:dyDescent="0.3">
      <c r="A111" s="322">
        <v>110</v>
      </c>
      <c r="B111" s="323" t="s">
        <v>3118</v>
      </c>
      <c r="C111" s="323" t="s">
        <v>3119</v>
      </c>
      <c r="D111" s="327" t="s">
        <v>1823</v>
      </c>
      <c r="E111" s="329">
        <v>46191</v>
      </c>
      <c r="F111" s="322" t="s">
        <v>2533</v>
      </c>
      <c r="G111" s="326"/>
      <c r="H111" s="280" t="s">
        <v>2525</v>
      </c>
      <c r="I111" s="159" t="s">
        <v>1773</v>
      </c>
      <c r="J111" s="159" t="s">
        <v>3120</v>
      </c>
      <c r="K111" s="161" t="s">
        <v>3116</v>
      </c>
      <c r="L111" s="162">
        <v>3</v>
      </c>
      <c r="M111" s="150" t="s">
        <v>3121</v>
      </c>
      <c r="N111" s="168" t="b">
        <v>0</v>
      </c>
      <c r="O111" s="170" t="b">
        <v>0</v>
      </c>
      <c r="P111" s="170" t="b">
        <v>0</v>
      </c>
      <c r="Q111" s="170" t="b">
        <v>0</v>
      </c>
      <c r="R111" s="198" t="s">
        <v>3122</v>
      </c>
    </row>
    <row r="112" spans="1:18" ht="57.6" x14ac:dyDescent="0.3">
      <c r="A112" s="322">
        <v>111</v>
      </c>
      <c r="B112" s="323" t="s">
        <v>3123</v>
      </c>
      <c r="C112" s="323" t="s">
        <v>3124</v>
      </c>
      <c r="D112" s="330" t="s">
        <v>1823</v>
      </c>
      <c r="E112" s="329">
        <v>46191</v>
      </c>
      <c r="F112" s="322" t="s">
        <v>2533</v>
      </c>
      <c r="G112" s="326"/>
      <c r="H112" s="280" t="s">
        <v>2525</v>
      </c>
      <c r="I112" s="159" t="s">
        <v>1773</v>
      </c>
      <c r="J112" s="159"/>
      <c r="K112" s="161" t="s">
        <v>3116</v>
      </c>
      <c r="L112" s="162">
        <v>2</v>
      </c>
      <c r="M112" s="150" t="s">
        <v>3125</v>
      </c>
      <c r="N112" s="168" t="b">
        <v>0</v>
      </c>
      <c r="O112" s="170" t="b">
        <v>0</v>
      </c>
      <c r="P112" s="170" t="b">
        <v>0</v>
      </c>
      <c r="Q112" s="170" t="b">
        <v>0</v>
      </c>
      <c r="R112" s="198" t="s">
        <v>3126</v>
      </c>
    </row>
    <row r="113" spans="1:18" ht="39.6" x14ac:dyDescent="0.3">
      <c r="A113" s="322">
        <v>112</v>
      </c>
      <c r="B113" s="323" t="s">
        <v>3127</v>
      </c>
      <c r="C113" s="323" t="s">
        <v>3128</v>
      </c>
      <c r="D113" s="330" t="s">
        <v>1823</v>
      </c>
      <c r="E113" s="329">
        <v>46191</v>
      </c>
      <c r="F113" s="322" t="s">
        <v>2533</v>
      </c>
      <c r="G113" s="326"/>
      <c r="H113" s="280" t="s">
        <v>3129</v>
      </c>
      <c r="I113" s="159" t="s">
        <v>1773</v>
      </c>
      <c r="J113" s="159" t="s">
        <v>3130</v>
      </c>
      <c r="K113" s="32" t="s">
        <v>3131</v>
      </c>
      <c r="L113" s="162">
        <v>1</v>
      </c>
      <c r="M113" s="150">
        <v>60</v>
      </c>
      <c r="N113" s="168" t="b">
        <v>0</v>
      </c>
      <c r="O113" s="170" t="b">
        <v>1</v>
      </c>
      <c r="P113" s="170" t="b">
        <v>0</v>
      </c>
      <c r="Q113" s="170" t="b">
        <v>0</v>
      </c>
      <c r="R113" s="280" t="s">
        <v>2525</v>
      </c>
    </row>
    <row r="114" spans="1:18" ht="52.8" x14ac:dyDescent="0.3">
      <c r="A114" s="322">
        <v>113</v>
      </c>
      <c r="B114" s="323" t="s">
        <v>3132</v>
      </c>
      <c r="C114" s="323" t="s">
        <v>3133</v>
      </c>
      <c r="D114" s="330" t="s">
        <v>1823</v>
      </c>
      <c r="E114" s="329">
        <v>46191</v>
      </c>
      <c r="F114" s="322" t="s">
        <v>2533</v>
      </c>
      <c r="G114" s="326"/>
      <c r="H114" s="280" t="s">
        <v>2525</v>
      </c>
      <c r="I114" s="159" t="s">
        <v>1773</v>
      </c>
      <c r="J114" s="159" t="s">
        <v>3134</v>
      </c>
      <c r="K114" s="32" t="s">
        <v>3131</v>
      </c>
      <c r="L114" s="162">
        <v>4</v>
      </c>
      <c r="M114" s="150" t="s">
        <v>3135</v>
      </c>
      <c r="N114" s="168" t="b">
        <v>0</v>
      </c>
      <c r="O114" s="170" t="b">
        <v>1</v>
      </c>
      <c r="P114" s="170" t="b">
        <v>0</v>
      </c>
      <c r="Q114" s="170" t="b">
        <v>0</v>
      </c>
      <c r="R114" s="280" t="s">
        <v>2525</v>
      </c>
    </row>
    <row r="115" spans="1:18" ht="28.8" x14ac:dyDescent="0.3">
      <c r="A115" s="322">
        <v>114</v>
      </c>
      <c r="B115" s="323" t="s">
        <v>3136</v>
      </c>
      <c r="C115" s="323" t="s">
        <v>3137</v>
      </c>
      <c r="D115" s="324" t="s">
        <v>2587</v>
      </c>
      <c r="E115" s="325" t="s">
        <v>2588</v>
      </c>
      <c r="F115" s="322" t="s">
        <v>336</v>
      </c>
      <c r="G115" s="326"/>
      <c r="H115" s="280" t="s">
        <v>3138</v>
      </c>
      <c r="I115" s="159" t="s">
        <v>2588</v>
      </c>
      <c r="J115" s="159"/>
      <c r="K115" s="159" t="s">
        <v>3139</v>
      </c>
      <c r="L115" s="162">
        <v>1</v>
      </c>
      <c r="M115" s="150">
        <v>187</v>
      </c>
      <c r="N115" s="168" t="b">
        <v>0</v>
      </c>
      <c r="O115" s="170" t="b">
        <v>0</v>
      </c>
      <c r="P115" s="170" t="b">
        <v>0</v>
      </c>
      <c r="Q115" s="170" t="b">
        <v>0</v>
      </c>
      <c r="R115" s="178" t="s">
        <v>3140</v>
      </c>
    </row>
    <row r="116" spans="1:18" ht="54.75" customHeight="1" x14ac:dyDescent="0.3">
      <c r="A116" s="322">
        <v>115</v>
      </c>
      <c r="B116" s="323" t="s">
        <v>3141</v>
      </c>
      <c r="C116" s="323" t="s">
        <v>3142</v>
      </c>
      <c r="D116" s="330" t="s">
        <v>1823</v>
      </c>
      <c r="E116" s="325" t="s">
        <v>2522</v>
      </c>
      <c r="F116" s="322" t="s">
        <v>2533</v>
      </c>
      <c r="G116" s="326"/>
      <c r="H116" s="280" t="s">
        <v>2525</v>
      </c>
      <c r="I116" s="159" t="s">
        <v>1773</v>
      </c>
      <c r="J116" s="159" t="s">
        <v>3143</v>
      </c>
      <c r="K116" s="161" t="s">
        <v>3144</v>
      </c>
      <c r="L116" s="162">
        <v>1</v>
      </c>
      <c r="M116" s="150">
        <v>106</v>
      </c>
      <c r="N116" s="168" t="b">
        <v>0</v>
      </c>
      <c r="O116" s="170" t="b">
        <v>0</v>
      </c>
      <c r="P116" s="170" t="b">
        <v>0</v>
      </c>
      <c r="Q116" s="170" t="b">
        <v>0</v>
      </c>
      <c r="R116" s="64" t="s">
        <v>3145</v>
      </c>
    </row>
    <row r="117" spans="1:18" ht="43.2" x14ac:dyDescent="0.3">
      <c r="A117" s="322">
        <v>116</v>
      </c>
      <c r="B117" s="323" t="s">
        <v>3146</v>
      </c>
      <c r="C117" s="323" t="s">
        <v>3147</v>
      </c>
      <c r="D117" s="330" t="s">
        <v>1756</v>
      </c>
      <c r="E117" s="325" t="s">
        <v>2522</v>
      </c>
      <c r="F117" s="322" t="s">
        <v>2523</v>
      </c>
      <c r="G117" s="326" t="s">
        <v>2524</v>
      </c>
      <c r="H117" s="280" t="s">
        <v>3148</v>
      </c>
      <c r="I117" s="159" t="s">
        <v>2187</v>
      </c>
      <c r="J117" s="159" t="s">
        <v>3149</v>
      </c>
      <c r="K117" s="161" t="s">
        <v>3150</v>
      </c>
      <c r="L117" s="162">
        <v>3</v>
      </c>
      <c r="M117" s="150" t="s">
        <v>3151</v>
      </c>
      <c r="N117" s="168" t="b">
        <v>0</v>
      </c>
      <c r="O117" s="170" t="b">
        <v>0</v>
      </c>
      <c r="P117" s="170" t="b">
        <v>0</v>
      </c>
      <c r="Q117" s="170" t="b">
        <v>0</v>
      </c>
      <c r="R117" s="64" t="s">
        <v>3152</v>
      </c>
    </row>
    <row r="118" spans="1:18" ht="28.8" x14ac:dyDescent="0.3">
      <c r="A118" s="322">
        <v>117</v>
      </c>
      <c r="B118" s="323" t="s">
        <v>3153</v>
      </c>
      <c r="C118" s="323" t="s">
        <v>3154</v>
      </c>
      <c r="D118" s="327" t="s">
        <v>1760</v>
      </c>
      <c r="E118" s="325" t="s">
        <v>2522</v>
      </c>
      <c r="F118" s="322" t="s">
        <v>2523</v>
      </c>
      <c r="G118" s="326" t="s">
        <v>2524</v>
      </c>
      <c r="H118" s="280" t="s">
        <v>2525</v>
      </c>
      <c r="I118" s="159" t="s">
        <v>2187</v>
      </c>
      <c r="J118" s="159" t="s">
        <v>3155</v>
      </c>
      <c r="K118" s="161" t="s">
        <v>3156</v>
      </c>
      <c r="L118" s="162">
        <v>1</v>
      </c>
      <c r="M118" s="150">
        <v>156</v>
      </c>
      <c r="N118" s="168" t="b">
        <v>0</v>
      </c>
      <c r="O118" s="170" t="b">
        <v>0</v>
      </c>
      <c r="P118" s="170" t="b">
        <v>0</v>
      </c>
      <c r="Q118" s="170" t="b">
        <v>0</v>
      </c>
    </row>
    <row r="119" spans="1:18" ht="39.6" x14ac:dyDescent="0.3">
      <c r="A119" s="322">
        <v>118</v>
      </c>
      <c r="B119" s="323" t="s">
        <v>3157</v>
      </c>
      <c r="C119" s="323" t="s">
        <v>3158</v>
      </c>
      <c r="D119" s="330" t="s">
        <v>1823</v>
      </c>
      <c r="E119" s="325" t="s">
        <v>2588</v>
      </c>
      <c r="F119" s="322" t="s">
        <v>2533</v>
      </c>
      <c r="G119" s="326"/>
      <c r="H119" s="280" t="s">
        <v>3159</v>
      </c>
      <c r="I119" s="159" t="s">
        <v>2566</v>
      </c>
      <c r="J119" s="159" t="s">
        <v>3160</v>
      </c>
      <c r="K119" s="159" t="s">
        <v>3161</v>
      </c>
      <c r="L119" s="162">
        <v>2</v>
      </c>
      <c r="M119" s="150" t="s">
        <v>3162</v>
      </c>
      <c r="N119" s="168" t="b">
        <v>0</v>
      </c>
      <c r="O119" s="170" t="b">
        <v>0</v>
      </c>
      <c r="P119" s="170" t="b">
        <v>0</v>
      </c>
      <c r="Q119" s="170" t="b">
        <v>0</v>
      </c>
    </row>
    <row r="120" spans="1:18" ht="79.2" x14ac:dyDescent="0.3">
      <c r="A120" s="322">
        <v>119</v>
      </c>
      <c r="B120" s="323" t="s">
        <v>3163</v>
      </c>
      <c r="C120" s="323" t="s">
        <v>3164</v>
      </c>
      <c r="D120" s="330" t="s">
        <v>1823</v>
      </c>
      <c r="E120" s="329">
        <v>46191</v>
      </c>
      <c r="F120" s="322" t="s">
        <v>2533</v>
      </c>
      <c r="G120" s="326"/>
      <c r="H120" s="280" t="s">
        <v>2525</v>
      </c>
      <c r="I120" s="159" t="s">
        <v>2066</v>
      </c>
      <c r="J120" s="159" t="s">
        <v>3165</v>
      </c>
      <c r="K120" s="159" t="s">
        <v>3166</v>
      </c>
      <c r="L120" s="162">
        <v>3</v>
      </c>
      <c r="M120" s="150" t="s">
        <v>3167</v>
      </c>
      <c r="N120" s="168" t="b">
        <v>0</v>
      </c>
      <c r="O120" s="170" t="b">
        <v>1</v>
      </c>
      <c r="P120" s="170" t="b">
        <v>0</v>
      </c>
      <c r="Q120" s="170" t="b">
        <v>0</v>
      </c>
      <c r="R120" s="178" t="s">
        <v>3168</v>
      </c>
    </row>
    <row r="121" spans="1:18" ht="43.2" x14ac:dyDescent="0.3">
      <c r="A121" s="322">
        <v>120</v>
      </c>
      <c r="B121" s="323" t="s">
        <v>3169</v>
      </c>
      <c r="C121" s="323" t="s">
        <v>3170</v>
      </c>
      <c r="D121" s="330" t="s">
        <v>1823</v>
      </c>
      <c r="E121" s="329">
        <v>46191</v>
      </c>
      <c r="F121" s="322" t="s">
        <v>2533</v>
      </c>
      <c r="G121" s="332"/>
      <c r="H121" s="174" t="s">
        <v>2825</v>
      </c>
      <c r="I121" s="159" t="s">
        <v>2066</v>
      </c>
      <c r="J121" s="159" t="s">
        <v>3171</v>
      </c>
      <c r="K121" s="161" t="s">
        <v>3172</v>
      </c>
      <c r="L121" s="162">
        <v>3</v>
      </c>
      <c r="M121" s="150" t="s">
        <v>3173</v>
      </c>
      <c r="N121" s="168" t="b">
        <v>0</v>
      </c>
      <c r="O121" s="170" t="b">
        <v>0</v>
      </c>
      <c r="P121" s="170" t="b">
        <v>0</v>
      </c>
      <c r="Q121" s="170" t="b">
        <v>0</v>
      </c>
      <c r="R121" s="64" t="s">
        <v>3174</v>
      </c>
    </row>
    <row r="122" spans="1:18" ht="28.8" x14ac:dyDescent="0.3">
      <c r="A122" s="322">
        <v>121</v>
      </c>
      <c r="B122" s="323" t="s">
        <v>3175</v>
      </c>
      <c r="C122" s="323" t="s">
        <v>3176</v>
      </c>
      <c r="D122" s="330" t="s">
        <v>1823</v>
      </c>
      <c r="E122" s="329">
        <v>46191</v>
      </c>
      <c r="F122" s="322" t="s">
        <v>2533</v>
      </c>
      <c r="G122" s="332"/>
      <c r="H122" s="174" t="s">
        <v>2825</v>
      </c>
      <c r="I122" s="159" t="s">
        <v>2187</v>
      </c>
      <c r="J122" s="159"/>
      <c r="K122" s="161" t="s">
        <v>3177</v>
      </c>
      <c r="L122" s="162"/>
      <c r="M122" s="150"/>
      <c r="N122" s="168" t="b">
        <v>0</v>
      </c>
      <c r="O122" s="170" t="b">
        <v>0</v>
      </c>
      <c r="P122" s="170" t="b">
        <v>0</v>
      </c>
      <c r="Q122" s="170" t="b">
        <v>0</v>
      </c>
      <c r="R122" s="64" t="s">
        <v>3178</v>
      </c>
    </row>
    <row r="123" spans="1:18" ht="43.2" x14ac:dyDescent="0.3">
      <c r="A123" s="322">
        <v>122</v>
      </c>
      <c r="B123" s="323" t="s">
        <v>3179</v>
      </c>
      <c r="C123" s="323" t="s">
        <v>3180</v>
      </c>
      <c r="D123" s="330" t="s">
        <v>1823</v>
      </c>
      <c r="E123" s="329">
        <v>46191</v>
      </c>
      <c r="F123" s="322" t="s">
        <v>2533</v>
      </c>
      <c r="G123" s="326"/>
      <c r="H123" s="280" t="s">
        <v>2525</v>
      </c>
      <c r="I123" s="159" t="s">
        <v>1773</v>
      </c>
      <c r="J123" s="159" t="s">
        <v>3181</v>
      </c>
      <c r="K123" s="161" t="s">
        <v>3182</v>
      </c>
      <c r="L123" s="162">
        <v>2</v>
      </c>
      <c r="M123" s="150" t="s">
        <v>3183</v>
      </c>
      <c r="N123" s="168" t="b">
        <v>0</v>
      </c>
      <c r="O123" s="170" t="b">
        <v>0</v>
      </c>
      <c r="P123" s="170" t="b">
        <v>0</v>
      </c>
      <c r="Q123" s="170" t="b">
        <v>0</v>
      </c>
      <c r="R123" s="280" t="s">
        <v>2525</v>
      </c>
    </row>
    <row r="124" spans="1:18" ht="52.8" x14ac:dyDescent="0.3">
      <c r="A124" s="322">
        <v>123</v>
      </c>
      <c r="B124" s="323" t="s">
        <v>3184</v>
      </c>
      <c r="C124" s="323" t="s">
        <v>3185</v>
      </c>
      <c r="D124" s="324" t="s">
        <v>1756</v>
      </c>
      <c r="E124" s="325" t="s">
        <v>2917</v>
      </c>
      <c r="F124" s="322" t="s">
        <v>336</v>
      </c>
      <c r="G124" s="326"/>
      <c r="H124" s="280" t="s">
        <v>2918</v>
      </c>
      <c r="I124" s="159" t="s">
        <v>2187</v>
      </c>
      <c r="J124" s="159" t="s">
        <v>3186</v>
      </c>
      <c r="K124" s="159" t="s">
        <v>3187</v>
      </c>
      <c r="L124" s="162">
        <v>2</v>
      </c>
      <c r="M124" s="150" t="s">
        <v>3188</v>
      </c>
      <c r="N124" s="168" t="b">
        <v>0</v>
      </c>
      <c r="O124" s="170" t="b">
        <v>0</v>
      </c>
      <c r="P124" s="170" t="b">
        <v>0</v>
      </c>
      <c r="Q124" s="170" t="b">
        <v>0</v>
      </c>
      <c r="R124" s="64" t="s">
        <v>3000</v>
      </c>
    </row>
    <row r="125" spans="1:18" ht="39.6" x14ac:dyDescent="0.3">
      <c r="A125" s="322">
        <v>124</v>
      </c>
      <c r="B125" s="323" t="s">
        <v>3189</v>
      </c>
      <c r="C125" s="323" t="s">
        <v>3190</v>
      </c>
      <c r="D125" s="330" t="s">
        <v>1823</v>
      </c>
      <c r="E125" s="329">
        <v>46191</v>
      </c>
      <c r="F125" s="322" t="s">
        <v>2533</v>
      </c>
      <c r="G125" s="326"/>
      <c r="H125" s="280" t="s">
        <v>2525</v>
      </c>
      <c r="I125" s="159" t="s">
        <v>1773</v>
      </c>
      <c r="J125" s="159" t="s">
        <v>3191</v>
      </c>
      <c r="K125" s="161" t="s">
        <v>3192</v>
      </c>
      <c r="L125" s="162">
        <v>2</v>
      </c>
      <c r="M125" s="150" t="s">
        <v>3193</v>
      </c>
      <c r="N125" s="168" t="b">
        <v>0</v>
      </c>
      <c r="O125" s="170" t="b">
        <v>0</v>
      </c>
      <c r="P125" s="170" t="b">
        <v>0</v>
      </c>
      <c r="Q125" s="170" t="b">
        <v>0</v>
      </c>
      <c r="R125" s="64" t="s">
        <v>3194</v>
      </c>
    </row>
    <row r="126" spans="1:18" ht="39.6" x14ac:dyDescent="0.3">
      <c r="A126" s="322">
        <v>125</v>
      </c>
      <c r="B126" s="323" t="s">
        <v>3195</v>
      </c>
      <c r="C126" s="323" t="s">
        <v>3196</v>
      </c>
      <c r="D126" s="324" t="s">
        <v>1756</v>
      </c>
      <c r="E126" s="325" t="s">
        <v>2522</v>
      </c>
      <c r="F126" s="322" t="s">
        <v>2523</v>
      </c>
      <c r="G126" s="326" t="s">
        <v>2524</v>
      </c>
      <c r="H126" s="280" t="s">
        <v>2525</v>
      </c>
      <c r="I126" s="159" t="s">
        <v>2187</v>
      </c>
      <c r="J126" s="159" t="s">
        <v>3197</v>
      </c>
      <c r="K126" s="161" t="s">
        <v>3198</v>
      </c>
      <c r="L126" s="162">
        <v>3</v>
      </c>
      <c r="M126" s="150" t="s">
        <v>3199</v>
      </c>
      <c r="N126" s="168" t="b">
        <v>0</v>
      </c>
      <c r="O126" s="170" t="b">
        <v>1</v>
      </c>
      <c r="P126" s="170" t="b">
        <v>0</v>
      </c>
      <c r="Q126" s="170" t="b">
        <v>0</v>
      </c>
      <c r="R126" s="64" t="s">
        <v>3200</v>
      </c>
    </row>
    <row r="127" spans="1:18" ht="39.6" x14ac:dyDescent="0.3">
      <c r="A127" s="322">
        <v>126</v>
      </c>
      <c r="B127" s="323" t="s">
        <v>3201</v>
      </c>
      <c r="C127" s="323" t="s">
        <v>3202</v>
      </c>
      <c r="D127" s="330" t="s">
        <v>1823</v>
      </c>
      <c r="E127" s="329">
        <v>46191</v>
      </c>
      <c r="F127" s="322" t="s">
        <v>2533</v>
      </c>
      <c r="G127" s="326"/>
      <c r="H127" s="280" t="s">
        <v>3203</v>
      </c>
      <c r="I127" s="159" t="s">
        <v>1773</v>
      </c>
      <c r="J127" s="159" t="s">
        <v>3204</v>
      </c>
      <c r="K127" s="161" t="s">
        <v>3205</v>
      </c>
      <c r="L127" s="162">
        <v>1</v>
      </c>
      <c r="M127" s="150">
        <v>122</v>
      </c>
      <c r="N127" s="168" t="b">
        <v>0</v>
      </c>
      <c r="O127" s="170" t="b">
        <v>0</v>
      </c>
      <c r="P127" s="170" t="b">
        <v>0</v>
      </c>
      <c r="Q127" s="170" t="b">
        <v>0</v>
      </c>
      <c r="R127" s="175" t="s">
        <v>3206</v>
      </c>
    </row>
    <row r="128" spans="1:18" ht="39.6" x14ac:dyDescent="0.3">
      <c r="A128" s="322">
        <v>127</v>
      </c>
      <c r="B128" s="323" t="s">
        <v>3207</v>
      </c>
      <c r="C128" s="323" t="s">
        <v>3208</v>
      </c>
      <c r="D128" s="327" t="s">
        <v>1760</v>
      </c>
      <c r="E128" s="329">
        <v>46191</v>
      </c>
      <c r="F128" s="322" t="s">
        <v>2533</v>
      </c>
      <c r="G128" s="326"/>
      <c r="H128" s="280" t="s">
        <v>3209</v>
      </c>
      <c r="I128" s="159" t="s">
        <v>1773</v>
      </c>
      <c r="J128" s="159" t="s">
        <v>3210</v>
      </c>
      <c r="K128" s="161" t="s">
        <v>2875</v>
      </c>
      <c r="L128" s="162">
        <v>2</v>
      </c>
      <c r="M128" s="150" t="s">
        <v>3211</v>
      </c>
      <c r="N128" s="168" t="b">
        <v>0</v>
      </c>
      <c r="O128" s="170" t="b">
        <v>0</v>
      </c>
      <c r="P128" s="170" t="b">
        <v>0</v>
      </c>
      <c r="Q128" s="170" t="b">
        <v>0</v>
      </c>
      <c r="R128" s="178" t="s">
        <v>3168</v>
      </c>
    </row>
    <row r="129" spans="1:18" ht="28.8" x14ac:dyDescent="0.3">
      <c r="A129" s="322">
        <v>128</v>
      </c>
      <c r="B129" s="323" t="s">
        <v>2129</v>
      </c>
      <c r="C129" s="323" t="s">
        <v>3212</v>
      </c>
      <c r="D129" s="327" t="s">
        <v>1760</v>
      </c>
      <c r="E129" s="329">
        <v>46191</v>
      </c>
      <c r="F129" s="322" t="s">
        <v>2533</v>
      </c>
      <c r="G129" s="326"/>
      <c r="H129" s="280" t="s">
        <v>2525</v>
      </c>
      <c r="I129" s="159" t="s">
        <v>1773</v>
      </c>
      <c r="J129" s="159" t="s">
        <v>3213</v>
      </c>
      <c r="K129" s="161" t="s">
        <v>3214</v>
      </c>
      <c r="L129" s="162">
        <v>1</v>
      </c>
      <c r="M129" s="150">
        <v>55</v>
      </c>
      <c r="N129" s="168" t="b">
        <v>0</v>
      </c>
      <c r="O129" s="170" t="b">
        <v>0</v>
      </c>
      <c r="P129" s="170" t="b">
        <v>0</v>
      </c>
      <c r="Q129" s="170" t="b">
        <v>0</v>
      </c>
      <c r="R129" s="64" t="s">
        <v>3215</v>
      </c>
    </row>
    <row r="130" spans="1:18" ht="52.8" x14ac:dyDescent="0.3">
      <c r="A130" s="322">
        <v>129</v>
      </c>
      <c r="B130" s="323" t="s">
        <v>3216</v>
      </c>
      <c r="C130" s="323" t="s">
        <v>3217</v>
      </c>
      <c r="D130" s="330" t="s">
        <v>1823</v>
      </c>
      <c r="E130" s="329">
        <v>46191</v>
      </c>
      <c r="F130" s="322" t="s">
        <v>2533</v>
      </c>
      <c r="G130" s="326"/>
      <c r="H130" s="280" t="s">
        <v>3218</v>
      </c>
      <c r="I130" s="159" t="s">
        <v>1773</v>
      </c>
      <c r="J130" s="159" t="s">
        <v>3219</v>
      </c>
      <c r="K130" s="161" t="s">
        <v>3220</v>
      </c>
      <c r="L130" s="162">
        <v>2</v>
      </c>
      <c r="M130" s="150" t="s">
        <v>3221</v>
      </c>
      <c r="N130" s="168" t="b">
        <v>0</v>
      </c>
      <c r="O130" s="170" t="b">
        <v>0</v>
      </c>
      <c r="P130" s="170" t="b">
        <v>0</v>
      </c>
      <c r="Q130" s="170" t="b">
        <v>0</v>
      </c>
      <c r="R130" s="64" t="s">
        <v>3222</v>
      </c>
    </row>
    <row r="131" spans="1:18" ht="39.6" x14ac:dyDescent="0.3">
      <c r="A131" s="322">
        <v>130</v>
      </c>
      <c r="B131" s="323" t="s">
        <v>3223</v>
      </c>
      <c r="C131" s="323" t="s">
        <v>3224</v>
      </c>
      <c r="D131" s="324" t="s">
        <v>1756</v>
      </c>
      <c r="E131" s="325" t="s">
        <v>2522</v>
      </c>
      <c r="F131" s="322" t="s">
        <v>2523</v>
      </c>
      <c r="G131" s="326" t="s">
        <v>3225</v>
      </c>
      <c r="H131" s="280" t="s">
        <v>2525</v>
      </c>
      <c r="I131" s="159" t="s">
        <v>1773</v>
      </c>
      <c r="J131" s="159" t="s">
        <v>3226</v>
      </c>
      <c r="K131" s="161" t="s">
        <v>3227</v>
      </c>
      <c r="L131" s="162">
        <v>1</v>
      </c>
      <c r="M131" s="150">
        <v>56</v>
      </c>
      <c r="N131" s="168" t="b">
        <v>0</v>
      </c>
      <c r="O131" s="170" t="b">
        <v>1</v>
      </c>
      <c r="P131" s="170" t="b">
        <v>0</v>
      </c>
      <c r="Q131" s="170" t="b">
        <v>0</v>
      </c>
      <c r="R131" s="64" t="s">
        <v>3228</v>
      </c>
    </row>
    <row r="132" spans="1:18" ht="39.6" x14ac:dyDescent="0.3">
      <c r="A132" s="322">
        <v>131</v>
      </c>
      <c r="B132" s="323" t="s">
        <v>3229</v>
      </c>
      <c r="C132" s="323" t="s">
        <v>3230</v>
      </c>
      <c r="D132" s="330" t="s">
        <v>1823</v>
      </c>
      <c r="E132" s="325" t="s">
        <v>2522</v>
      </c>
      <c r="F132" s="322" t="s">
        <v>2523</v>
      </c>
      <c r="G132" s="326" t="s">
        <v>2524</v>
      </c>
      <c r="H132" s="280" t="s">
        <v>3231</v>
      </c>
      <c r="I132" s="159" t="s">
        <v>1773</v>
      </c>
      <c r="J132" s="159" t="s">
        <v>3232</v>
      </c>
      <c r="K132" s="159" t="s">
        <v>3233</v>
      </c>
      <c r="L132" s="162">
        <v>1</v>
      </c>
      <c r="M132" s="150">
        <v>273</v>
      </c>
      <c r="N132" s="168" t="b">
        <v>0</v>
      </c>
      <c r="O132" s="170" t="b">
        <v>1</v>
      </c>
      <c r="P132" s="170" t="b">
        <v>0</v>
      </c>
      <c r="Q132" s="170" t="b">
        <v>0</v>
      </c>
      <c r="R132" s="64" t="s">
        <v>3234</v>
      </c>
    </row>
    <row r="133" spans="1:18" ht="28.8" x14ac:dyDescent="0.3">
      <c r="A133" s="322">
        <v>132</v>
      </c>
      <c r="B133" s="323" t="s">
        <v>3235</v>
      </c>
      <c r="C133" s="323" t="s">
        <v>3236</v>
      </c>
      <c r="D133" s="324" t="s">
        <v>1756</v>
      </c>
      <c r="E133" s="325" t="s">
        <v>2522</v>
      </c>
      <c r="F133" s="322" t="s">
        <v>2533</v>
      </c>
      <c r="G133" s="326"/>
      <c r="H133" s="280" t="s">
        <v>2525</v>
      </c>
      <c r="I133" s="159" t="s">
        <v>1773</v>
      </c>
      <c r="J133" s="159" t="s">
        <v>3237</v>
      </c>
      <c r="K133" s="161" t="s">
        <v>3238</v>
      </c>
      <c r="L133" s="162">
        <v>1</v>
      </c>
      <c r="M133" s="150">
        <v>74</v>
      </c>
      <c r="N133" s="168" t="b">
        <v>0</v>
      </c>
      <c r="O133" s="170" t="b">
        <v>0</v>
      </c>
      <c r="P133" s="170" t="b">
        <v>0</v>
      </c>
      <c r="Q133" s="170" t="b">
        <v>0</v>
      </c>
      <c r="R133" s="178" t="s">
        <v>3239</v>
      </c>
    </row>
    <row r="134" spans="1:18" ht="39.6" x14ac:dyDescent="0.3">
      <c r="A134" s="322">
        <v>133</v>
      </c>
      <c r="B134" s="323" t="s">
        <v>3240</v>
      </c>
      <c r="C134" s="323" t="s">
        <v>3241</v>
      </c>
      <c r="D134" s="324" t="s">
        <v>1756</v>
      </c>
      <c r="E134" s="325" t="s">
        <v>2917</v>
      </c>
      <c r="F134" s="322" t="s">
        <v>2523</v>
      </c>
      <c r="G134" s="326" t="s">
        <v>2524</v>
      </c>
      <c r="H134" s="280" t="s">
        <v>3242</v>
      </c>
      <c r="I134" s="159" t="s">
        <v>1773</v>
      </c>
      <c r="J134" s="159" t="s">
        <v>3243</v>
      </c>
      <c r="K134" s="161" t="s">
        <v>3238</v>
      </c>
      <c r="L134" s="162">
        <v>2</v>
      </c>
      <c r="M134" s="150" t="s">
        <v>3244</v>
      </c>
      <c r="N134" s="168" t="b">
        <v>0</v>
      </c>
      <c r="O134" s="170" t="b">
        <v>0</v>
      </c>
      <c r="P134" s="170" t="b">
        <v>0</v>
      </c>
      <c r="Q134" s="170" t="b">
        <v>0</v>
      </c>
      <c r="R134" s="64" t="s">
        <v>3245</v>
      </c>
    </row>
    <row r="135" spans="1:18" ht="39.6" x14ac:dyDescent="0.3">
      <c r="A135" s="322">
        <v>134</v>
      </c>
      <c r="B135" s="323" t="s">
        <v>3246</v>
      </c>
      <c r="C135" s="323" t="s">
        <v>3247</v>
      </c>
      <c r="D135" s="324" t="s">
        <v>1756</v>
      </c>
      <c r="E135" s="325" t="s">
        <v>2522</v>
      </c>
      <c r="F135" s="322" t="s">
        <v>2533</v>
      </c>
      <c r="G135" s="326"/>
      <c r="H135" s="280" t="s">
        <v>2525</v>
      </c>
      <c r="I135" s="159" t="s">
        <v>1773</v>
      </c>
      <c r="J135" s="159" t="s">
        <v>3248</v>
      </c>
      <c r="K135" s="161" t="s">
        <v>3238</v>
      </c>
      <c r="L135" s="162">
        <v>2</v>
      </c>
      <c r="M135" s="150" t="s">
        <v>3249</v>
      </c>
      <c r="N135" s="168" t="b">
        <v>0</v>
      </c>
      <c r="O135" s="170" t="b">
        <v>0</v>
      </c>
      <c r="P135" s="170" t="b">
        <v>0</v>
      </c>
      <c r="Q135" s="170" t="b">
        <v>0</v>
      </c>
      <c r="R135" s="64" t="s">
        <v>3250</v>
      </c>
    </row>
    <row r="136" spans="1:18" ht="26.4" x14ac:dyDescent="0.3">
      <c r="A136" s="322">
        <v>135</v>
      </c>
      <c r="B136" s="323" t="s">
        <v>3251</v>
      </c>
      <c r="C136" s="323" t="s">
        <v>3252</v>
      </c>
      <c r="D136" s="325" t="s">
        <v>1823</v>
      </c>
      <c r="E136" s="329">
        <v>46191</v>
      </c>
      <c r="F136" s="322" t="s">
        <v>2533</v>
      </c>
      <c r="G136" s="326"/>
      <c r="H136" s="280" t="s">
        <v>2525</v>
      </c>
      <c r="I136" s="159" t="s">
        <v>2066</v>
      </c>
      <c r="J136" s="159" t="s">
        <v>3253</v>
      </c>
      <c r="K136" s="159" t="s">
        <v>3254</v>
      </c>
      <c r="L136" s="162">
        <v>1</v>
      </c>
      <c r="M136" s="150">
        <v>49</v>
      </c>
      <c r="N136" s="168" t="b">
        <v>0</v>
      </c>
      <c r="O136" s="170" t="b">
        <v>0</v>
      </c>
      <c r="P136" s="170" t="b">
        <v>0</v>
      </c>
      <c r="Q136" s="170" t="b">
        <v>0</v>
      </c>
      <c r="R136" s="178" t="s">
        <v>2635</v>
      </c>
    </row>
    <row r="137" spans="1:18" ht="26.4" x14ac:dyDescent="0.3">
      <c r="A137" s="322">
        <v>136</v>
      </c>
      <c r="B137" s="323" t="s">
        <v>3255</v>
      </c>
      <c r="C137" s="323" t="s">
        <v>3256</v>
      </c>
      <c r="D137" s="330" t="s">
        <v>1823</v>
      </c>
      <c r="E137" s="329">
        <v>46191</v>
      </c>
      <c r="F137" s="322" t="s">
        <v>2533</v>
      </c>
      <c r="G137" s="326"/>
      <c r="H137" s="280" t="s">
        <v>2525</v>
      </c>
      <c r="I137" s="159" t="s">
        <v>1773</v>
      </c>
      <c r="J137" s="159" t="s">
        <v>3257</v>
      </c>
      <c r="K137" s="159" t="s">
        <v>3258</v>
      </c>
      <c r="L137" s="162">
        <v>1</v>
      </c>
      <c r="M137" s="150">
        <v>179</v>
      </c>
      <c r="N137" s="168" t="b">
        <v>0</v>
      </c>
      <c r="O137" s="170" t="b">
        <v>1</v>
      </c>
      <c r="P137" s="170" t="b">
        <v>0</v>
      </c>
      <c r="Q137" s="170" t="b">
        <v>0</v>
      </c>
      <c r="R137" s="64" t="s">
        <v>3259</v>
      </c>
    </row>
    <row r="138" spans="1:18" ht="39.6" x14ac:dyDescent="0.3">
      <c r="A138" s="322">
        <v>137</v>
      </c>
      <c r="B138" s="323" t="s">
        <v>3260</v>
      </c>
      <c r="C138" s="323" t="s">
        <v>3261</v>
      </c>
      <c r="D138" s="327" t="s">
        <v>1760</v>
      </c>
      <c r="E138" s="325" t="s">
        <v>2522</v>
      </c>
      <c r="F138" s="322" t="s">
        <v>2533</v>
      </c>
      <c r="G138" s="326"/>
      <c r="H138" s="280" t="s">
        <v>2525</v>
      </c>
      <c r="I138" s="159" t="s">
        <v>1773</v>
      </c>
      <c r="J138" s="159" t="s">
        <v>3262</v>
      </c>
      <c r="K138" s="159" t="s">
        <v>3263</v>
      </c>
      <c r="L138" s="162">
        <v>2</v>
      </c>
      <c r="M138" s="150" t="s">
        <v>3264</v>
      </c>
      <c r="N138" s="168" t="b">
        <v>0</v>
      </c>
      <c r="O138" s="170" t="b">
        <v>0</v>
      </c>
      <c r="P138" s="170" t="b">
        <v>0</v>
      </c>
      <c r="Q138" s="170" t="b">
        <v>0</v>
      </c>
      <c r="R138" s="64" t="s">
        <v>3265</v>
      </c>
    </row>
    <row r="139" spans="1:18" ht="132" x14ac:dyDescent="0.3">
      <c r="A139" s="322">
        <v>138</v>
      </c>
      <c r="B139" s="323" t="s">
        <v>3266</v>
      </c>
      <c r="C139" s="323" t="s">
        <v>3267</v>
      </c>
      <c r="D139" s="330" t="s">
        <v>1823</v>
      </c>
      <c r="E139" s="325" t="s">
        <v>2522</v>
      </c>
      <c r="F139" s="322" t="s">
        <v>2533</v>
      </c>
      <c r="G139" s="326"/>
      <c r="H139" s="280" t="s">
        <v>2525</v>
      </c>
      <c r="I139" s="159" t="s">
        <v>2187</v>
      </c>
      <c r="J139" s="280" t="s">
        <v>3268</v>
      </c>
      <c r="K139" s="161" t="s">
        <v>3269</v>
      </c>
      <c r="L139" s="162">
        <v>2</v>
      </c>
      <c r="M139" s="150" t="s">
        <v>3270</v>
      </c>
      <c r="N139" s="168" t="b">
        <v>0</v>
      </c>
      <c r="O139" s="170" t="b">
        <v>1</v>
      </c>
      <c r="P139" s="170" t="b">
        <v>0</v>
      </c>
      <c r="Q139" s="170" t="b">
        <v>0</v>
      </c>
      <c r="R139" s="64" t="s">
        <v>3271</v>
      </c>
    </row>
    <row r="140" spans="1:18" ht="39.6" x14ac:dyDescent="0.3">
      <c r="A140" s="322">
        <v>139</v>
      </c>
      <c r="B140" s="323" t="s">
        <v>3272</v>
      </c>
      <c r="C140" s="323" t="s">
        <v>3273</v>
      </c>
      <c r="D140" s="330" t="s">
        <v>1823</v>
      </c>
      <c r="E140" s="325" t="s">
        <v>2588</v>
      </c>
      <c r="F140" s="322" t="s">
        <v>2533</v>
      </c>
      <c r="G140" s="326"/>
      <c r="H140" s="280" t="s">
        <v>3274</v>
      </c>
      <c r="I140" s="159" t="s">
        <v>2086</v>
      </c>
      <c r="J140" s="159" t="s">
        <v>3275</v>
      </c>
      <c r="K140" s="159" t="s">
        <v>2906</v>
      </c>
      <c r="L140" s="162">
        <v>2</v>
      </c>
      <c r="M140" s="150" t="s">
        <v>3276</v>
      </c>
      <c r="N140" s="168" t="b">
        <v>0</v>
      </c>
      <c r="O140" s="170" t="b">
        <v>0</v>
      </c>
      <c r="P140" s="170" t="b">
        <v>0</v>
      </c>
      <c r="Q140" s="170" t="b">
        <v>0</v>
      </c>
      <c r="R140" s="64" t="s">
        <v>3277</v>
      </c>
    </row>
    <row r="141" spans="1:18" ht="43.2" x14ac:dyDescent="0.3">
      <c r="A141" s="322">
        <v>140</v>
      </c>
      <c r="B141" s="323" t="s">
        <v>3278</v>
      </c>
      <c r="C141" s="323" t="s">
        <v>3279</v>
      </c>
      <c r="D141" s="330" t="s">
        <v>1823</v>
      </c>
      <c r="E141" s="325" t="s">
        <v>3280</v>
      </c>
      <c r="F141" s="322" t="s">
        <v>2523</v>
      </c>
      <c r="G141" s="326" t="s">
        <v>3281</v>
      </c>
      <c r="H141" s="280" t="s">
        <v>2525</v>
      </c>
      <c r="I141" s="159" t="s">
        <v>2588</v>
      </c>
      <c r="J141" s="159" t="s">
        <v>3282</v>
      </c>
      <c r="K141" s="159"/>
      <c r="L141" s="162">
        <v>1</v>
      </c>
      <c r="M141" s="150">
        <v>243</v>
      </c>
      <c r="N141" s="168" t="b">
        <v>0</v>
      </c>
      <c r="O141" s="170" t="b">
        <v>0</v>
      </c>
      <c r="P141" s="170" t="b">
        <v>0</v>
      </c>
      <c r="Q141" s="170" t="b">
        <v>0</v>
      </c>
      <c r="R141" s="64" t="s">
        <v>3283</v>
      </c>
    </row>
    <row r="144" spans="1:18" x14ac:dyDescent="0.3">
      <c r="F144" s="172" t="s">
        <v>3284</v>
      </c>
    </row>
    <row r="145" spans="6:6" x14ac:dyDescent="0.3">
      <c r="F145" s="172" t="s">
        <v>3285</v>
      </c>
    </row>
    <row r="146" spans="6:6" x14ac:dyDescent="0.3">
      <c r="F146" s="172"/>
    </row>
  </sheetData>
  <autoFilter ref="A1:T1" xr:uid="{5CF32912-46D2-4EDE-A09F-422383969317}"/>
  <dataValidations count="5">
    <dataValidation type="list" allowBlank="1" showInputMessage="1" showErrorMessage="1" sqref="F143 F147:F1048576" xr:uid="{2504204F-B732-491E-AC45-AE1BCE0D8D38}">
      <formula1>"Completed, To-do, On Going, Need Clearify, Won't do"</formula1>
    </dataValidation>
    <dataValidation allowBlank="1" showInputMessage="1" showErrorMessage="1" sqref="G1 G3:G6 G10:G14 G16:G41 G43:G50 G52 G55 G57 G59:G64 G66 G68:G72 G75:G80 G82:G90 G92 G94:G95 G97 G99:G103 G108 G110:G116 G119:G125 G127:G130 G133 G135:G140 G142:G1048576 F144:F146" xr:uid="{07D94045-739D-4019-993A-E3000307339C}"/>
    <dataValidation type="list" allowBlank="1" showInputMessage="1" showErrorMessage="1" sqref="D1:D1048576" xr:uid="{9324D3BB-64B6-4D97-BC40-D969933EAF46}">
      <formula1>"Urgent, High, Medium, Low, None"</formula1>
    </dataValidation>
    <dataValidation type="list" allowBlank="1" showInputMessage="1" showErrorMessage="1" sqref="I1:I1048576" xr:uid="{9E7385AD-BB7F-46E5-B85E-59736F8E0FAC}">
      <formula1>"New feature, Improvement, BUG, Discussion, -"</formula1>
    </dataValidation>
    <dataValidation type="list" allowBlank="1" showInputMessage="1" showErrorMessage="1" sqref="F1:F142" xr:uid="{569E9CA8-CD47-4922-86DD-9736D380BEF5}">
      <formula1>"Completed, To-do, On Going, Need Clearify, Won't do, HELP!!"</formula1>
    </dataValidation>
  </dataValidations>
  <hyperlinks>
    <hyperlink ref="K2" r:id="rId1" xr:uid="{F1E1CE13-91C3-4106-B338-B6509064186B}"/>
    <hyperlink ref="K4" r:id="rId2" xr:uid="{F8C5014C-FB3B-4B82-9885-5B52C8FBFD3C}"/>
    <hyperlink ref="K23" r:id="rId3" xr:uid="{50C7A493-2843-45F3-9FF3-2BB72C9D332B}"/>
    <hyperlink ref="K35" r:id="rId4" xr:uid="{3D1D4628-404B-4A9B-9C61-400ADE564335}"/>
    <hyperlink ref="K5" r:id="rId5" xr:uid="{9B37E249-9742-4474-8872-C5D9C371A1C6}"/>
    <hyperlink ref="K8" r:id="rId6" xr:uid="{9E4D0E6F-0A71-43BC-8640-13E088B8A704}"/>
    <hyperlink ref="K9" r:id="rId7" xr:uid="{C379CD32-11A6-462E-9074-C96FF0E2AB2E}"/>
    <hyperlink ref="K6" r:id="rId8" xr:uid="{9410C62D-AE33-47C9-AD6A-F6BFF568392C}"/>
    <hyperlink ref="K10" r:id="rId9" xr:uid="{2EDA2678-555E-4B21-B654-EC7ACBDA1059}"/>
    <hyperlink ref="K36" r:id="rId10" xr:uid="{1070F856-5107-43D9-BD5D-D4BCF2E100A5}"/>
    <hyperlink ref="K39" r:id="rId11" xr:uid="{51C74A97-CB6D-4AD9-BDF0-1273104BAFB3}"/>
    <hyperlink ref="K55" r:id="rId12" xr:uid="{D799A1E6-0449-4D84-98E3-8A4A15178D6B}"/>
    <hyperlink ref="K3" r:id="rId13" xr:uid="{F57CE880-5DE9-4FE2-B3F3-34189B2A97AA}"/>
    <hyperlink ref="K61" r:id="rId14" display="https://linear.app/cortexcloud/issue/SBH-653/opd-form-ฟอรมอนมตใชยานอกบญชยาหลกแหงชาต-ตกสทธแลวเอาออกไมได" xr:uid="{F1686384-900C-4F53-93F4-3A2DDA7433FC}"/>
    <hyperlink ref="K13" r:id="rId15" xr:uid="{88766B08-1216-4FC8-AFED-3DF372453E63}"/>
    <hyperlink ref="K14" r:id="rId16" xr:uid="{A28ED1D8-B48B-4594-B080-D1221813E383}"/>
    <hyperlink ref="K18" r:id="rId17" xr:uid="{83894AB0-F1A5-42E2-AA17-6390AF66A521}"/>
    <hyperlink ref="K19" r:id="rId18" xr:uid="{8D8AF098-BFF2-4C18-A50E-687078803A3D}"/>
    <hyperlink ref="K21" r:id="rId19" xr:uid="{DE44F317-C811-42CC-B787-C79B49B423A8}"/>
    <hyperlink ref="K25" r:id="rId20" xr:uid="{D039636B-1EFA-4DDC-BABC-B01C3B262E96}"/>
    <hyperlink ref="K27" r:id="rId21" xr:uid="{C6F64357-502E-46BD-9157-394C782E6AB6}"/>
    <hyperlink ref="K28" r:id="rId22" xr:uid="{8DF62071-467F-4D7E-BCED-C357DC27D913}"/>
    <hyperlink ref="K29" r:id="rId23" xr:uid="{AFFEC7FE-5991-4954-B205-541D73DA5DD1}"/>
    <hyperlink ref="K31" r:id="rId24" xr:uid="{579402ED-A33B-4C3D-B056-9BA99C2F6CCF}"/>
    <hyperlink ref="K80" r:id="rId25" xr:uid="{BD84D461-F29D-4C76-B202-6250873F90C5}"/>
    <hyperlink ref="K33" r:id="rId26" xr:uid="{C80FA2FC-DF15-415B-8B69-8D4866516C6E}"/>
    <hyperlink ref="K34" r:id="rId27" xr:uid="{E330C746-74F9-4FEA-9C61-BC1F16ED48A4}"/>
    <hyperlink ref="K37" r:id="rId28" xr:uid="{A6CEBB98-A8E2-4349-B359-FF0BBD85EDEA}"/>
    <hyperlink ref="K38" r:id="rId29" xr:uid="{688F2BF4-1DF6-48CE-BEDB-5D05A11E38EE}"/>
    <hyperlink ref="K40" r:id="rId30" xr:uid="{50B82421-85E2-4BF4-BA9C-AC4F35C293D4}"/>
    <hyperlink ref="K43" r:id="rId31" xr:uid="{60FBCCAE-70E2-4119-BD7B-1A49F7E35D27}"/>
    <hyperlink ref="K44" r:id="rId32" xr:uid="{087FD327-D49E-4BA5-A0B1-78FCD6CE82C6}"/>
    <hyperlink ref="K47" r:id="rId33" xr:uid="{CAE13B13-A555-4299-B177-EA01CBD0CBCF}"/>
    <hyperlink ref="K45" r:id="rId34" xr:uid="{F0DD0679-3A29-44E0-BDB6-C4FFB6407F9A}"/>
    <hyperlink ref="K49" r:id="rId35" xr:uid="{13135240-BD96-4F35-8549-7A1AF5215420}"/>
    <hyperlink ref="K52" r:id="rId36" xr:uid="{5F0F1A26-F3BC-45EB-BD5B-C4A3000CFF0C}"/>
    <hyperlink ref="K50" r:id="rId37" xr:uid="{E3FC3538-6B8A-44C7-AA10-BFAA343C28AE}"/>
    <hyperlink ref="K48" r:id="rId38" xr:uid="{CECD2730-0EBF-45EB-B216-141BC9712A66}"/>
    <hyperlink ref="K53" r:id="rId39" xr:uid="{AB425ABB-061B-4EE2-8F3F-DA9F051F78C8}"/>
    <hyperlink ref="K54" r:id="rId40" xr:uid="{BE86CF6D-C767-45DB-980A-F111B729B4FE}"/>
    <hyperlink ref="K56" r:id="rId41" xr:uid="{DAFD8770-F4DB-4BDA-B96E-74350FBEB88A}"/>
    <hyperlink ref="K58" r:id="rId42" xr:uid="{8B2138EC-32A9-40DB-A0E7-D06C5CE764F2}"/>
    <hyperlink ref="K59" r:id="rId43" xr:uid="{E20D9234-66E5-45B7-8FB0-C72FE98BC816}"/>
    <hyperlink ref="K57" r:id="rId44" xr:uid="{8C633964-60B9-4156-B317-C6D0BB11A963}"/>
    <hyperlink ref="K62" r:id="rId45" xr:uid="{CBB444A2-486D-45D5-A337-363A098B3005}"/>
    <hyperlink ref="K63" r:id="rId46" xr:uid="{CD3F72D6-3CB3-4BB2-9809-D53C0742A894}"/>
    <hyperlink ref="K65" r:id="rId47" xr:uid="{0972C902-1BD1-474A-998C-67A2E5AF42DC}"/>
    <hyperlink ref="K66" r:id="rId48" xr:uid="{ED590D77-F967-4A24-AAF2-393131D8E685}"/>
    <hyperlink ref="K67" r:id="rId49" xr:uid="{34201E2F-8D29-489D-A21D-5A3D8CD757B3}"/>
    <hyperlink ref="K70" r:id="rId50" xr:uid="{0361063F-1F58-463B-A9E8-407D6C28897F}"/>
    <hyperlink ref="K71" r:id="rId51" xr:uid="{CE3A5115-3987-42B2-B092-AF0C2B8CBE22}"/>
    <hyperlink ref="K73" r:id="rId52" xr:uid="{329662FD-BEB0-4BAB-86BD-3C139A6EB2DD}"/>
    <hyperlink ref="K75" r:id="rId53" xr:uid="{7DDE9B9B-122A-4078-AA3D-C887D0AB49D4}"/>
    <hyperlink ref="K74" r:id="rId54" xr:uid="{7A9C58E6-1261-46C7-8C55-37CC764D349E}"/>
    <hyperlink ref="K79" r:id="rId55" xr:uid="{EB169A59-6DA4-45AE-AB7A-2C4C098F99C1}"/>
    <hyperlink ref="K82" r:id="rId56" xr:uid="{305EAF05-F415-4195-BE63-26F86668339A}"/>
    <hyperlink ref="K83" r:id="rId57" xr:uid="{12C7C8C0-EFC6-4E7A-8423-9416C0F6720F}"/>
    <hyperlink ref="K84" r:id="rId58" xr:uid="{E2958D7F-F0A6-48B7-803C-E1C35FFBD780}"/>
    <hyperlink ref="K87" r:id="rId59" xr:uid="{58ECD1F3-7CA4-4A02-8560-5F09F0BE7528}"/>
    <hyperlink ref="K89" r:id="rId60" xr:uid="{E5316CFB-DC8D-4100-8C08-CE1699E17018}"/>
    <hyperlink ref="K90" r:id="rId61" xr:uid="{4152EF94-18BF-4B44-9EB2-A424CBA3CF42}"/>
    <hyperlink ref="K91" r:id="rId62" xr:uid="{9ED56F16-4C6C-4D84-A167-B6DB229D199C}"/>
    <hyperlink ref="K92" r:id="rId63" xr:uid="{719B4800-49B8-487D-AE50-09D39AD4C20F}"/>
    <hyperlink ref="K93" r:id="rId64" xr:uid="{7255FAFF-A7CE-4041-8FEE-A5ECB28ED526}"/>
    <hyperlink ref="K96" r:id="rId65" xr:uid="{B0B3F43B-B505-41EB-909B-9CF3C883B440}"/>
    <hyperlink ref="K98" r:id="rId66" xr:uid="{BF7D1B63-485A-4E43-A306-B86AB4D8323B}"/>
    <hyperlink ref="K99" r:id="rId67" xr:uid="{E4240878-FAEC-4F52-9917-EE74B86BFAE3}"/>
    <hyperlink ref="K103" r:id="rId68" xr:uid="{7AB937FE-5D43-4990-A706-D22D2F13B5C0}"/>
    <hyperlink ref="K104" r:id="rId69" xr:uid="{8609A820-B1D3-4287-B09A-12C95D11DF14}"/>
    <hyperlink ref="K106" r:id="rId70" xr:uid="{966E50B9-DF9E-457C-8C44-BB0CACC5752D}"/>
    <hyperlink ref="K105" r:id="rId71" xr:uid="{A3AB1493-0061-4B96-8F57-063B703AF149}"/>
    <hyperlink ref="K108" r:id="rId72" xr:uid="{89209E90-EEE6-4901-9C0E-958D9B98A214}"/>
    <hyperlink ref="K109" r:id="rId73" xr:uid="{5454C280-9B23-4621-BBC3-6E5BA2E4DBA8}"/>
    <hyperlink ref="K107" r:id="rId74" xr:uid="{1B48F7EC-7DFA-43C1-A931-4D6AA0FEFD7E}"/>
    <hyperlink ref="K110" r:id="rId75" xr:uid="{7EDC060C-AC4B-4E76-933A-2A1F49235F2E}"/>
    <hyperlink ref="K111" r:id="rId76" xr:uid="{5881E016-2F77-4FE0-BD94-39260D234C31}"/>
    <hyperlink ref="K112" r:id="rId77" xr:uid="{F7373AC2-E234-4E2D-AB5A-C2787AE8B14B}"/>
    <hyperlink ref="K116" r:id="rId78" xr:uid="{0197810C-6288-4ACC-85ED-8F355B89EE59}"/>
    <hyperlink ref="K117" r:id="rId79" xr:uid="{B3078A5A-DCB3-432E-BEE1-55A57FAFDB14}"/>
    <hyperlink ref="K118" r:id="rId80" xr:uid="{3ED64568-E86B-4808-96FC-746080AFEAAC}"/>
    <hyperlink ref="K122" r:id="rId81" xr:uid="{357D7124-B8A5-4C9D-A234-AD6ACFE9AA97}"/>
    <hyperlink ref="K121" r:id="rId82" xr:uid="{275C30A8-1D53-458E-9AC9-8DA6ED4CF8E7}"/>
    <hyperlink ref="K123" r:id="rId83" xr:uid="{00C121F2-D9E2-4752-B695-9EBF97EDF06B}"/>
    <hyperlink ref="K125" r:id="rId84" xr:uid="{DD6C785A-99ED-4559-A75C-50BC3754D0A3}"/>
    <hyperlink ref="K128" r:id="rId85" xr:uid="{882BBE79-0BB6-4CDF-A5DC-614C7E68E76E}"/>
    <hyperlink ref="K126" r:id="rId86" xr:uid="{2D40EB30-2787-499C-BD51-2AC05F2C271F}"/>
    <hyperlink ref="K127" r:id="rId87" xr:uid="{2AFA6B3F-E200-4A35-96D1-215063C048BC}"/>
    <hyperlink ref="K129" r:id="rId88" xr:uid="{ADB695B0-460F-4B0C-8DE5-5DDA4AE01E55}"/>
    <hyperlink ref="K130" r:id="rId89" xr:uid="{164B0489-B73B-4BDF-BD19-37AF9D364919}"/>
    <hyperlink ref="K131" r:id="rId90" xr:uid="{75BA8D37-F756-400E-A65B-9E02770AFB28}"/>
    <hyperlink ref="K133" r:id="rId91" xr:uid="{8D0F4508-8CB1-4BB1-9D10-EE0D7B651667}"/>
    <hyperlink ref="K134:K135" r:id="rId92" display="https://linear.app/cortexcloud/issue/SBH-712/display-layout-ux-all-above-improvement-ux" xr:uid="{A09F7CFA-E4E3-4F3A-8390-909D9DE1470D}"/>
    <hyperlink ref="K139" r:id="rId93" xr:uid="{C6EB84A3-3DF9-4210-83DA-22E959E4096E}"/>
    <hyperlink ref="K95" r:id="rId94" xr:uid="{564BA457-3E4D-4BD6-8616-60FB3884DFB9}"/>
    <hyperlink ref="K94" r:id="rId95" xr:uid="{B8053D22-FE90-4E1F-9DDA-D6AF79DA06B6}"/>
    <hyperlink ref="K101" r:id="rId96" xr:uid="{71D4DB89-86AC-41A9-AD7E-3E0AD6B6E2F3}"/>
    <hyperlink ref="K7" r:id="rId97" xr:uid="{21B589BE-1DE8-485E-AEF7-0095E3D899CE}"/>
  </hyperlinks>
  <pageMargins left="0.7" right="0.7" top="0.75" bottom="0.75" header="0.3" footer="0.3"/>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1BCB-8A12-4072-B0D9-DB2488472C7A}">
  <dimension ref="A1:Q145"/>
  <sheetViews>
    <sheetView workbookViewId="0">
      <pane ySplit="1" topLeftCell="A63" activePane="bottomLeft" state="frozen"/>
      <selection pane="bottomLeft" activeCell="Q73" sqref="Q73"/>
    </sheetView>
  </sheetViews>
  <sheetFormatPr defaultColWidth="9.109375" defaultRowHeight="15" customHeight="1" x14ac:dyDescent="0.3"/>
  <cols>
    <col min="1" max="1" width="5.44140625" style="63" customWidth="1"/>
    <col min="2" max="2" width="13.88671875" style="63" customWidth="1"/>
    <col min="3" max="3" width="10.44140625" style="242" customWidth="1"/>
    <col min="4" max="4" width="15.44140625" style="63" customWidth="1"/>
    <col min="5" max="5" width="9.109375" style="63"/>
    <col min="6" max="6" width="12" style="62" customWidth="1"/>
    <col min="7" max="7" width="32.6640625" style="63" customWidth="1"/>
    <col min="8" max="8" width="16" style="63" customWidth="1"/>
    <col min="9" max="9" width="31" style="64" customWidth="1"/>
    <col min="10" max="10" width="32.44140625" style="63" customWidth="1"/>
    <col min="11" max="11" width="31.109375" style="63" customWidth="1"/>
    <col min="12" max="12" width="24.44140625" style="63" customWidth="1"/>
    <col min="13" max="13" width="26.88671875" style="63" customWidth="1"/>
    <col min="14" max="14" width="9.109375" style="63"/>
    <col min="15" max="15" width="36.33203125" style="234" customWidth="1"/>
    <col min="16" max="17" width="39.6640625" style="64" customWidth="1"/>
    <col min="18" max="16384" width="9.109375" style="63"/>
  </cols>
  <sheetData>
    <row r="1" spans="1:17" s="68" customFormat="1" ht="34.200000000000003" x14ac:dyDescent="0.3">
      <c r="A1" s="202" t="s">
        <v>3286</v>
      </c>
      <c r="B1" s="195" t="s">
        <v>3287</v>
      </c>
      <c r="C1" s="239" t="s">
        <v>3288</v>
      </c>
      <c r="D1" s="195" t="s">
        <v>2046</v>
      </c>
      <c r="E1" s="195" t="s">
        <v>1747</v>
      </c>
      <c r="F1" s="195" t="s">
        <v>3289</v>
      </c>
      <c r="G1" s="195" t="s">
        <v>3290</v>
      </c>
      <c r="H1" s="195" t="s">
        <v>1748</v>
      </c>
      <c r="I1" s="195" t="s">
        <v>2507</v>
      </c>
      <c r="J1" s="195" t="s">
        <v>3291</v>
      </c>
      <c r="K1" s="195" t="s">
        <v>3292</v>
      </c>
      <c r="L1" s="195" t="s">
        <v>3293</v>
      </c>
      <c r="M1" s="195" t="s">
        <v>3294</v>
      </c>
      <c r="N1" s="195" t="s">
        <v>3295</v>
      </c>
      <c r="O1" s="235" t="s">
        <v>3296</v>
      </c>
      <c r="P1" s="254" t="s">
        <v>3297</v>
      </c>
      <c r="Q1" s="254" t="s">
        <v>3298</v>
      </c>
    </row>
    <row r="2" spans="1:17" ht="39.6" x14ac:dyDescent="0.3">
      <c r="A2" s="203">
        <v>1</v>
      </c>
      <c r="B2" s="204" t="s">
        <v>3299</v>
      </c>
      <c r="C2" s="240" t="s">
        <v>3300</v>
      </c>
      <c r="D2" s="199" t="s">
        <v>3301</v>
      </c>
      <c r="E2" s="205" t="s">
        <v>1797</v>
      </c>
      <c r="F2" s="206">
        <v>46191</v>
      </c>
      <c r="G2" s="199" t="s">
        <v>3302</v>
      </c>
      <c r="H2" s="199" t="s">
        <v>2533</v>
      </c>
      <c r="I2" s="199" t="s">
        <v>3303</v>
      </c>
      <c r="J2" s="199" t="s">
        <v>3304</v>
      </c>
      <c r="K2" s="199" t="s">
        <v>3305</v>
      </c>
      <c r="L2" s="199" t="s">
        <v>336</v>
      </c>
      <c r="M2" s="199" t="s">
        <v>3306</v>
      </c>
      <c r="N2" s="199" t="s">
        <v>3307</v>
      </c>
      <c r="O2" s="312"/>
      <c r="P2" s="178" t="s">
        <v>3308</v>
      </c>
    </row>
    <row r="3" spans="1:17" ht="26.4" x14ac:dyDescent="0.3">
      <c r="A3" s="157">
        <v>2</v>
      </c>
      <c r="B3" s="207" t="s">
        <v>3299</v>
      </c>
      <c r="C3" s="201" t="s">
        <v>3309</v>
      </c>
      <c r="D3" s="159" t="s">
        <v>1922</v>
      </c>
      <c r="E3" s="208" t="s">
        <v>1797</v>
      </c>
      <c r="F3" s="209">
        <v>46191</v>
      </c>
      <c r="G3" s="159" t="s">
        <v>2963</v>
      </c>
      <c r="H3" s="159" t="s">
        <v>2533</v>
      </c>
      <c r="I3" s="159" t="s">
        <v>3310</v>
      </c>
      <c r="J3" s="159" t="s">
        <v>3311</v>
      </c>
      <c r="K3" s="159" t="s">
        <v>3312</v>
      </c>
      <c r="L3" s="159" t="s">
        <v>336</v>
      </c>
      <c r="M3" s="159" t="s">
        <v>3306</v>
      </c>
      <c r="N3" s="313" t="s">
        <v>3313</v>
      </c>
      <c r="O3" s="314"/>
      <c r="P3" s="178" t="s">
        <v>3308</v>
      </c>
    </row>
    <row r="4" spans="1:17" ht="26.4" x14ac:dyDescent="0.3">
      <c r="A4" s="157">
        <v>3</v>
      </c>
      <c r="B4" s="207" t="s">
        <v>3299</v>
      </c>
      <c r="C4" s="201" t="s">
        <v>3314</v>
      </c>
      <c r="D4" s="159" t="s">
        <v>3315</v>
      </c>
      <c r="E4" s="208" t="s">
        <v>1797</v>
      </c>
      <c r="F4" s="209">
        <v>46191</v>
      </c>
      <c r="G4" s="159" t="s">
        <v>3316</v>
      </c>
      <c r="H4" s="159" t="s">
        <v>2533</v>
      </c>
      <c r="I4" s="159" t="s">
        <v>3317</v>
      </c>
      <c r="J4" s="159" t="s">
        <v>3318</v>
      </c>
      <c r="K4" s="159" t="s">
        <v>3319</v>
      </c>
      <c r="L4" s="159" t="s">
        <v>336</v>
      </c>
      <c r="M4" s="159" t="s">
        <v>3320</v>
      </c>
      <c r="N4" s="159" t="s">
        <v>3321</v>
      </c>
      <c r="O4" s="312"/>
      <c r="P4" s="178" t="s">
        <v>3308</v>
      </c>
    </row>
    <row r="5" spans="1:17" ht="52.8" x14ac:dyDescent="0.3">
      <c r="A5" s="157">
        <v>4</v>
      </c>
      <c r="B5" s="207" t="s">
        <v>3299</v>
      </c>
      <c r="C5" s="201" t="s">
        <v>3322</v>
      </c>
      <c r="D5" s="159" t="s">
        <v>3301</v>
      </c>
      <c r="E5" s="208" t="s">
        <v>1797</v>
      </c>
      <c r="F5" s="209">
        <v>46191</v>
      </c>
      <c r="G5" s="159" t="s">
        <v>2731</v>
      </c>
      <c r="H5" s="159" t="s">
        <v>2533</v>
      </c>
      <c r="I5" s="159" t="s">
        <v>3323</v>
      </c>
      <c r="J5" s="159" t="s">
        <v>3324</v>
      </c>
      <c r="K5" s="159" t="s">
        <v>336</v>
      </c>
      <c r="L5" s="159" t="s">
        <v>336</v>
      </c>
      <c r="M5" s="159" t="s">
        <v>3325</v>
      </c>
      <c r="N5" s="159" t="s">
        <v>3326</v>
      </c>
      <c r="O5" s="312"/>
      <c r="P5" s="178" t="s">
        <v>3327</v>
      </c>
    </row>
    <row r="6" spans="1:17" ht="39.6" x14ac:dyDescent="0.3">
      <c r="A6" s="203">
        <v>5</v>
      </c>
      <c r="B6" s="207" t="s">
        <v>3299</v>
      </c>
      <c r="C6" s="241" t="s">
        <v>3328</v>
      </c>
      <c r="D6" s="159" t="s">
        <v>3329</v>
      </c>
      <c r="E6" s="208" t="s">
        <v>1797</v>
      </c>
      <c r="F6" s="209">
        <v>46191</v>
      </c>
      <c r="G6" s="159" t="s">
        <v>3330</v>
      </c>
      <c r="H6" s="159" t="s">
        <v>2523</v>
      </c>
      <c r="I6" s="159" t="s">
        <v>3331</v>
      </c>
      <c r="J6" s="159" t="s">
        <v>3332</v>
      </c>
      <c r="K6" s="159" t="s">
        <v>3333</v>
      </c>
      <c r="L6" s="159" t="s">
        <v>336</v>
      </c>
      <c r="M6" s="159" t="s">
        <v>3334</v>
      </c>
      <c r="N6" s="313" t="s">
        <v>3335</v>
      </c>
      <c r="O6" s="314"/>
      <c r="P6" s="64" t="s">
        <v>3336</v>
      </c>
      <c r="Q6" s="64" t="s">
        <v>3337</v>
      </c>
    </row>
    <row r="7" spans="1:17" ht="39.6" x14ac:dyDescent="0.3">
      <c r="A7" s="157">
        <v>6</v>
      </c>
      <c r="B7" s="207" t="s">
        <v>3299</v>
      </c>
      <c r="C7" s="201" t="s">
        <v>3338</v>
      </c>
      <c r="D7" s="159" t="s">
        <v>3339</v>
      </c>
      <c r="E7" s="210" t="s">
        <v>1760</v>
      </c>
      <c r="F7" s="209">
        <v>46191</v>
      </c>
      <c r="G7" s="159" t="s">
        <v>2654</v>
      </c>
      <c r="H7" s="159" t="s">
        <v>3340</v>
      </c>
      <c r="I7" s="159" t="s">
        <v>3341</v>
      </c>
      <c r="J7" s="159" t="s">
        <v>3342</v>
      </c>
      <c r="K7" s="159" t="s">
        <v>3343</v>
      </c>
      <c r="L7" s="159" t="s">
        <v>3344</v>
      </c>
      <c r="M7" s="159" t="s">
        <v>3345</v>
      </c>
      <c r="N7" s="159" t="s">
        <v>3346</v>
      </c>
      <c r="O7" s="312"/>
      <c r="P7" s="64" t="s">
        <v>3347</v>
      </c>
      <c r="Q7" s="64" t="s">
        <v>3348</v>
      </c>
    </row>
    <row r="8" spans="1:17" ht="39.6" x14ac:dyDescent="0.3">
      <c r="A8" s="157">
        <v>7</v>
      </c>
      <c r="B8" s="207" t="s">
        <v>3299</v>
      </c>
      <c r="C8" s="201" t="s">
        <v>2821</v>
      </c>
      <c r="D8" s="159" t="s">
        <v>3349</v>
      </c>
      <c r="E8" s="210" t="s">
        <v>1760</v>
      </c>
      <c r="F8" s="208" t="s">
        <v>3350</v>
      </c>
      <c r="G8" s="159" t="s">
        <v>2818</v>
      </c>
      <c r="H8" s="159" t="s">
        <v>3340</v>
      </c>
      <c r="I8" s="159" t="s">
        <v>3351</v>
      </c>
      <c r="J8" s="159" t="s">
        <v>3352</v>
      </c>
      <c r="K8" s="159" t="s">
        <v>3353</v>
      </c>
      <c r="L8" s="159" t="s">
        <v>336</v>
      </c>
      <c r="M8" s="159" t="s">
        <v>3354</v>
      </c>
      <c r="N8" s="159" t="s">
        <v>3355</v>
      </c>
      <c r="O8" s="312"/>
      <c r="P8" s="177" t="s">
        <v>3356</v>
      </c>
    </row>
    <row r="9" spans="1:17" ht="26.4" x14ac:dyDescent="0.3">
      <c r="A9" s="157">
        <v>8</v>
      </c>
      <c r="B9" s="207" t="s">
        <v>3299</v>
      </c>
      <c r="C9" s="201" t="s">
        <v>3357</v>
      </c>
      <c r="D9" s="159" t="s">
        <v>3301</v>
      </c>
      <c r="E9" s="210" t="s">
        <v>1760</v>
      </c>
      <c r="F9" s="209">
        <v>46191</v>
      </c>
      <c r="G9" s="159" t="s">
        <v>3358</v>
      </c>
      <c r="H9" s="159" t="s">
        <v>2533</v>
      </c>
      <c r="I9" s="159" t="s">
        <v>3359</v>
      </c>
      <c r="J9" s="159" t="s">
        <v>3360</v>
      </c>
      <c r="K9" s="159" t="s">
        <v>3361</v>
      </c>
      <c r="L9" s="159" t="s">
        <v>3362</v>
      </c>
      <c r="M9" s="159" t="s">
        <v>3363</v>
      </c>
      <c r="N9" s="159" t="s">
        <v>3364</v>
      </c>
      <c r="O9" s="312"/>
      <c r="P9" s="178" t="s">
        <v>3308</v>
      </c>
    </row>
    <row r="10" spans="1:17" s="214" customFormat="1" ht="39.6" x14ac:dyDescent="0.3">
      <c r="A10" s="203">
        <v>9</v>
      </c>
      <c r="B10" s="211" t="s">
        <v>3299</v>
      </c>
      <c r="C10" s="236" t="s">
        <v>3365</v>
      </c>
      <c r="D10" s="200" t="s">
        <v>3366</v>
      </c>
      <c r="E10" s="212" t="s">
        <v>1760</v>
      </c>
      <c r="F10" s="213">
        <v>46191</v>
      </c>
      <c r="G10" s="200" t="s">
        <v>3367</v>
      </c>
      <c r="H10" s="200" t="s">
        <v>336</v>
      </c>
      <c r="I10" s="200" t="s">
        <v>3368</v>
      </c>
      <c r="J10" s="200" t="s">
        <v>3369</v>
      </c>
      <c r="K10" s="200" t="s">
        <v>3370</v>
      </c>
      <c r="L10" s="200" t="s">
        <v>336</v>
      </c>
      <c r="M10" s="200" t="s">
        <v>3371</v>
      </c>
      <c r="N10" s="315" t="s">
        <v>3372</v>
      </c>
      <c r="O10" s="314"/>
      <c r="P10" s="255"/>
      <c r="Q10" s="255"/>
    </row>
    <row r="11" spans="1:17" ht="39.6" x14ac:dyDescent="0.3">
      <c r="A11" s="157">
        <v>10</v>
      </c>
      <c r="B11" s="207" t="s">
        <v>3299</v>
      </c>
      <c r="C11" s="201" t="s">
        <v>3373</v>
      </c>
      <c r="D11" s="159" t="s">
        <v>3339</v>
      </c>
      <c r="E11" s="210" t="s">
        <v>1760</v>
      </c>
      <c r="F11" s="208" t="s">
        <v>3350</v>
      </c>
      <c r="G11" s="159" t="s">
        <v>3374</v>
      </c>
      <c r="H11" s="159" t="s">
        <v>3375</v>
      </c>
      <c r="I11" s="159" t="s">
        <v>3376</v>
      </c>
      <c r="J11" s="159" t="s">
        <v>3377</v>
      </c>
      <c r="K11" s="159" t="s">
        <v>3378</v>
      </c>
      <c r="L11" s="159" t="s">
        <v>3379</v>
      </c>
      <c r="M11" s="159" t="s">
        <v>3380</v>
      </c>
      <c r="N11" s="159" t="s">
        <v>3381</v>
      </c>
      <c r="O11" s="312"/>
      <c r="P11" s="177" t="s">
        <v>3382</v>
      </c>
      <c r="Q11" s="177" t="s">
        <v>3383</v>
      </c>
    </row>
    <row r="12" spans="1:17" ht="39.6" x14ac:dyDescent="0.3">
      <c r="A12" s="157">
        <v>11</v>
      </c>
      <c r="B12" s="207" t="s">
        <v>3299</v>
      </c>
      <c r="C12" s="201" t="s">
        <v>3384</v>
      </c>
      <c r="D12" s="159" t="s">
        <v>3301</v>
      </c>
      <c r="E12" s="210" t="s">
        <v>1760</v>
      </c>
      <c r="F12" s="206">
        <v>46191</v>
      </c>
      <c r="G12" s="159" t="s">
        <v>2735</v>
      </c>
      <c r="H12" s="159" t="s">
        <v>3340</v>
      </c>
      <c r="I12" s="159" t="s">
        <v>3385</v>
      </c>
      <c r="J12" s="159" t="s">
        <v>3386</v>
      </c>
      <c r="K12" s="159" t="s">
        <v>3387</v>
      </c>
      <c r="L12" s="159" t="s">
        <v>3388</v>
      </c>
      <c r="M12" s="159" t="s">
        <v>3389</v>
      </c>
      <c r="N12" s="159" t="s">
        <v>3390</v>
      </c>
      <c r="O12" s="312"/>
      <c r="P12" s="64" t="s">
        <v>3391</v>
      </c>
      <c r="Q12" s="64" t="s">
        <v>3392</v>
      </c>
    </row>
    <row r="13" spans="1:17" ht="39.6" x14ac:dyDescent="0.3">
      <c r="A13" s="157">
        <v>12</v>
      </c>
      <c r="B13" s="207" t="s">
        <v>3299</v>
      </c>
      <c r="C13" s="201" t="s">
        <v>3393</v>
      </c>
      <c r="D13" s="159" t="s">
        <v>3339</v>
      </c>
      <c r="E13" s="210" t="s">
        <v>1760</v>
      </c>
      <c r="F13" s="208" t="s">
        <v>3350</v>
      </c>
      <c r="G13" s="159" t="s">
        <v>2636</v>
      </c>
      <c r="H13" s="159" t="s">
        <v>3375</v>
      </c>
      <c r="I13" s="159" t="s">
        <v>3394</v>
      </c>
      <c r="J13" s="159" t="s">
        <v>3395</v>
      </c>
      <c r="K13" s="159" t="s">
        <v>3396</v>
      </c>
      <c r="L13" s="159" t="s">
        <v>336</v>
      </c>
      <c r="M13" s="159" t="s">
        <v>3397</v>
      </c>
      <c r="N13" s="159" t="s">
        <v>3398</v>
      </c>
      <c r="O13" s="312"/>
      <c r="P13" s="177" t="s">
        <v>3399</v>
      </c>
      <c r="Q13" s="159" t="s">
        <v>3400</v>
      </c>
    </row>
    <row r="14" spans="1:17" ht="40.5" customHeight="1" x14ac:dyDescent="0.3">
      <c r="A14" s="203">
        <v>13</v>
      </c>
      <c r="B14" s="207" t="s">
        <v>3299</v>
      </c>
      <c r="C14" s="243" t="s">
        <v>3401</v>
      </c>
      <c r="D14" s="159" t="s">
        <v>3402</v>
      </c>
      <c r="E14" s="210" t="s">
        <v>1760</v>
      </c>
      <c r="F14" s="209">
        <v>46191</v>
      </c>
      <c r="G14" s="159" t="s">
        <v>2248</v>
      </c>
      <c r="H14" s="159" t="s">
        <v>3340</v>
      </c>
      <c r="I14" s="159" t="s">
        <v>3403</v>
      </c>
      <c r="J14" s="159" t="s">
        <v>3404</v>
      </c>
      <c r="K14" s="159" t="s">
        <v>3405</v>
      </c>
      <c r="L14" s="159" t="s">
        <v>336</v>
      </c>
      <c r="M14" s="159" t="s">
        <v>3406</v>
      </c>
      <c r="N14" s="313" t="s">
        <v>3407</v>
      </c>
      <c r="O14" s="314"/>
      <c r="P14" s="64" t="s">
        <v>3408</v>
      </c>
      <c r="Q14" s="64" t="s">
        <v>3409</v>
      </c>
    </row>
    <row r="15" spans="1:17" ht="26.4" x14ac:dyDescent="0.3">
      <c r="A15" s="157">
        <v>14</v>
      </c>
      <c r="B15" s="207" t="s">
        <v>3299</v>
      </c>
      <c r="C15" s="243" t="s">
        <v>3401</v>
      </c>
      <c r="D15" s="159" t="s">
        <v>3410</v>
      </c>
      <c r="E15" s="210" t="s">
        <v>1760</v>
      </c>
      <c r="F15" s="209">
        <v>46191</v>
      </c>
      <c r="G15" s="159" t="s">
        <v>3207</v>
      </c>
      <c r="H15" s="159" t="s">
        <v>2589</v>
      </c>
      <c r="I15" s="159" t="s">
        <v>3411</v>
      </c>
      <c r="J15" s="159" t="s">
        <v>3412</v>
      </c>
      <c r="K15" s="159" t="s">
        <v>3413</v>
      </c>
      <c r="L15" s="159" t="s">
        <v>3414</v>
      </c>
      <c r="M15" s="159" t="s">
        <v>3415</v>
      </c>
      <c r="N15" s="313" t="s">
        <v>3416</v>
      </c>
      <c r="O15" s="314"/>
      <c r="P15" s="64" t="s">
        <v>3417</v>
      </c>
      <c r="Q15" s="64" t="s">
        <v>3417</v>
      </c>
    </row>
    <row r="16" spans="1:17" ht="39.6" x14ac:dyDescent="0.3">
      <c r="A16" s="157">
        <v>15</v>
      </c>
      <c r="B16" s="207" t="s">
        <v>3299</v>
      </c>
      <c r="C16" s="243" t="s">
        <v>3401</v>
      </c>
      <c r="D16" s="159" t="s">
        <v>3366</v>
      </c>
      <c r="E16" s="164" t="s">
        <v>1823</v>
      </c>
      <c r="F16" s="209">
        <v>46191</v>
      </c>
      <c r="G16" s="159" t="s">
        <v>3418</v>
      </c>
      <c r="H16" s="159" t="s">
        <v>3340</v>
      </c>
      <c r="I16" s="159" t="s">
        <v>3419</v>
      </c>
      <c r="J16" s="159" t="s">
        <v>3420</v>
      </c>
      <c r="K16" s="159" t="s">
        <v>3421</v>
      </c>
      <c r="L16" s="159" t="s">
        <v>336</v>
      </c>
      <c r="M16" s="159" t="s">
        <v>3422</v>
      </c>
      <c r="N16" s="313" t="s">
        <v>3423</v>
      </c>
      <c r="O16" s="314"/>
      <c r="P16" s="64" t="s">
        <v>3408</v>
      </c>
      <c r="Q16" s="64" t="s">
        <v>3409</v>
      </c>
    </row>
    <row r="17" spans="1:17" ht="43.2" x14ac:dyDescent="0.3">
      <c r="A17" s="157">
        <v>16</v>
      </c>
      <c r="B17" s="207" t="s">
        <v>3299</v>
      </c>
      <c r="C17" s="201" t="s">
        <v>3424</v>
      </c>
      <c r="D17" s="159" t="s">
        <v>3315</v>
      </c>
      <c r="E17" s="210" t="s">
        <v>1760</v>
      </c>
      <c r="F17" s="208" t="s">
        <v>3350</v>
      </c>
      <c r="G17" s="159" t="s">
        <v>3425</v>
      </c>
      <c r="H17" s="159" t="s">
        <v>3340</v>
      </c>
      <c r="I17" s="159" t="s">
        <v>3426</v>
      </c>
      <c r="J17" s="159" t="s">
        <v>3427</v>
      </c>
      <c r="K17" s="159" t="s">
        <v>3428</v>
      </c>
      <c r="L17" s="159" t="s">
        <v>336</v>
      </c>
      <c r="M17" s="159" t="s">
        <v>3429</v>
      </c>
      <c r="N17" s="159" t="s">
        <v>3430</v>
      </c>
      <c r="O17" s="312"/>
      <c r="P17" s="178" t="s">
        <v>3327</v>
      </c>
      <c r="Q17" s="177" t="s">
        <v>3431</v>
      </c>
    </row>
    <row r="18" spans="1:17" ht="39.6" x14ac:dyDescent="0.3">
      <c r="A18" s="203">
        <v>17</v>
      </c>
      <c r="B18" s="207" t="s">
        <v>3299</v>
      </c>
      <c r="C18" s="201" t="s">
        <v>3424</v>
      </c>
      <c r="D18" s="159" t="s">
        <v>3315</v>
      </c>
      <c r="E18" s="210" t="s">
        <v>1760</v>
      </c>
      <c r="F18" s="208" t="s">
        <v>3350</v>
      </c>
      <c r="G18" s="159" t="s">
        <v>3432</v>
      </c>
      <c r="H18" s="159" t="s">
        <v>2533</v>
      </c>
      <c r="I18" s="159" t="s">
        <v>3433</v>
      </c>
      <c r="J18" s="159" t="s">
        <v>3434</v>
      </c>
      <c r="K18" s="159" t="s">
        <v>3435</v>
      </c>
      <c r="L18" s="159" t="s">
        <v>336</v>
      </c>
      <c r="M18" s="159" t="s">
        <v>3436</v>
      </c>
      <c r="N18" s="159" t="s">
        <v>3437</v>
      </c>
      <c r="O18" s="312"/>
      <c r="P18" s="178" t="s">
        <v>3327</v>
      </c>
    </row>
    <row r="19" spans="1:17" ht="52.8" x14ac:dyDescent="0.3">
      <c r="A19" s="157">
        <v>18</v>
      </c>
      <c r="B19" s="207" t="s">
        <v>3299</v>
      </c>
      <c r="C19" s="201" t="s">
        <v>3438</v>
      </c>
      <c r="D19" s="159" t="s">
        <v>3301</v>
      </c>
      <c r="E19" s="210" t="s">
        <v>1760</v>
      </c>
      <c r="F19" s="206">
        <v>46191</v>
      </c>
      <c r="G19" s="159" t="s">
        <v>3439</v>
      </c>
      <c r="H19" s="159" t="s">
        <v>2533</v>
      </c>
      <c r="I19" s="159" t="s">
        <v>3440</v>
      </c>
      <c r="J19" s="159" t="s">
        <v>3441</v>
      </c>
      <c r="K19" s="159" t="s">
        <v>3442</v>
      </c>
      <c r="L19" s="159" t="s">
        <v>3443</v>
      </c>
      <c r="M19" s="159" t="s">
        <v>3444</v>
      </c>
      <c r="N19" s="159" t="s">
        <v>3445</v>
      </c>
      <c r="O19" s="312"/>
      <c r="P19" s="178" t="s">
        <v>3327</v>
      </c>
    </row>
    <row r="20" spans="1:17" ht="26.4" x14ac:dyDescent="0.3">
      <c r="A20" s="157">
        <v>19</v>
      </c>
      <c r="B20" s="207" t="s">
        <v>3299</v>
      </c>
      <c r="C20" s="201" t="s">
        <v>3438</v>
      </c>
      <c r="D20" s="159" t="s">
        <v>3301</v>
      </c>
      <c r="E20" s="210" t="s">
        <v>1760</v>
      </c>
      <c r="F20" s="206">
        <v>46191</v>
      </c>
      <c r="G20" s="159" t="s">
        <v>3446</v>
      </c>
      <c r="H20" s="159" t="s">
        <v>2533</v>
      </c>
      <c r="I20" s="159" t="s">
        <v>3447</v>
      </c>
      <c r="J20" s="159" t="s">
        <v>3448</v>
      </c>
      <c r="K20" s="159" t="s">
        <v>336</v>
      </c>
      <c r="L20" s="159" t="s">
        <v>336</v>
      </c>
      <c r="M20" s="159" t="s">
        <v>3449</v>
      </c>
      <c r="N20" s="159" t="s">
        <v>3450</v>
      </c>
      <c r="O20" s="312"/>
      <c r="P20" s="178" t="s">
        <v>3327</v>
      </c>
    </row>
    <row r="21" spans="1:17" ht="57" customHeight="1" x14ac:dyDescent="0.3">
      <c r="A21" s="157">
        <v>20</v>
      </c>
      <c r="B21" s="207" t="s">
        <v>3299</v>
      </c>
      <c r="C21" s="251" t="s">
        <v>3451</v>
      </c>
      <c r="D21" s="159" t="s">
        <v>3452</v>
      </c>
      <c r="E21" s="210" t="s">
        <v>1760</v>
      </c>
      <c r="F21" s="206">
        <v>46191</v>
      </c>
      <c r="G21" s="159" t="s">
        <v>3453</v>
      </c>
      <c r="H21" s="159" t="s">
        <v>3340</v>
      </c>
      <c r="I21" s="159" t="s">
        <v>3454</v>
      </c>
      <c r="J21" s="159" t="s">
        <v>3455</v>
      </c>
      <c r="K21" s="159" t="s">
        <v>3456</v>
      </c>
      <c r="L21" s="159" t="s">
        <v>3457</v>
      </c>
      <c r="M21" s="159" t="s">
        <v>3458</v>
      </c>
      <c r="N21" s="159" t="s">
        <v>3459</v>
      </c>
      <c r="O21" s="312"/>
      <c r="P21" s="64" t="s">
        <v>3460</v>
      </c>
      <c r="Q21" s="64" t="s">
        <v>3460</v>
      </c>
    </row>
    <row r="22" spans="1:17" ht="39.6" x14ac:dyDescent="0.3">
      <c r="A22" s="203">
        <v>21</v>
      </c>
      <c r="B22" s="207" t="s">
        <v>3299</v>
      </c>
      <c r="C22" s="201" t="s">
        <v>3461</v>
      </c>
      <c r="D22" s="159" t="s">
        <v>3452</v>
      </c>
      <c r="E22" s="210" t="s">
        <v>1760</v>
      </c>
      <c r="F22" s="206">
        <v>46191</v>
      </c>
      <c r="G22" s="159" t="s">
        <v>3462</v>
      </c>
      <c r="H22" s="159" t="s">
        <v>3340</v>
      </c>
      <c r="I22" s="159" t="s">
        <v>3463</v>
      </c>
      <c r="J22" s="159" t="s">
        <v>3464</v>
      </c>
      <c r="K22" s="159" t="s">
        <v>3465</v>
      </c>
      <c r="L22" s="159" t="s">
        <v>336</v>
      </c>
      <c r="M22" s="159" t="s">
        <v>3466</v>
      </c>
      <c r="N22" s="159" t="s">
        <v>3467</v>
      </c>
      <c r="O22" s="312"/>
      <c r="P22" s="64" t="s">
        <v>3460</v>
      </c>
      <c r="Q22" s="64" t="s">
        <v>3468</v>
      </c>
    </row>
    <row r="23" spans="1:17" ht="42" customHeight="1" x14ac:dyDescent="0.3">
      <c r="A23" s="157">
        <v>22</v>
      </c>
      <c r="B23" s="207" t="s">
        <v>3299</v>
      </c>
      <c r="C23" s="251" t="s">
        <v>3469</v>
      </c>
      <c r="D23" s="159" t="s">
        <v>3301</v>
      </c>
      <c r="E23" s="210" t="s">
        <v>1760</v>
      </c>
      <c r="F23" s="208" t="s">
        <v>3350</v>
      </c>
      <c r="G23" s="159" t="s">
        <v>3470</v>
      </c>
      <c r="H23" s="159" t="s">
        <v>2523</v>
      </c>
      <c r="I23" s="159" t="s">
        <v>3471</v>
      </c>
      <c r="J23" s="159" t="s">
        <v>3472</v>
      </c>
      <c r="K23" s="159" t="s">
        <v>3473</v>
      </c>
      <c r="L23" s="159" t="s">
        <v>3474</v>
      </c>
      <c r="M23" s="159" t="s">
        <v>3475</v>
      </c>
      <c r="N23" s="159" t="s">
        <v>3476</v>
      </c>
      <c r="O23" s="312"/>
      <c r="P23" s="64" t="s">
        <v>3477</v>
      </c>
      <c r="Q23" s="64" t="s">
        <v>3478</v>
      </c>
    </row>
    <row r="24" spans="1:17" ht="39.6" x14ac:dyDescent="0.3">
      <c r="A24" s="157">
        <v>23</v>
      </c>
      <c r="B24" s="207" t="s">
        <v>3299</v>
      </c>
      <c r="C24" s="251" t="s">
        <v>3469</v>
      </c>
      <c r="D24" s="159" t="s">
        <v>3349</v>
      </c>
      <c r="E24" s="210" t="s">
        <v>1760</v>
      </c>
      <c r="F24" s="208" t="s">
        <v>3350</v>
      </c>
      <c r="G24" s="159" t="s">
        <v>3479</v>
      </c>
      <c r="H24" s="159" t="s">
        <v>2523</v>
      </c>
      <c r="I24" s="159" t="s">
        <v>3480</v>
      </c>
      <c r="J24" s="159" t="s">
        <v>3481</v>
      </c>
      <c r="K24" s="159" t="s">
        <v>3482</v>
      </c>
      <c r="L24" s="159" t="s">
        <v>3483</v>
      </c>
      <c r="M24" s="159" t="s">
        <v>3484</v>
      </c>
      <c r="N24" s="159" t="s">
        <v>3485</v>
      </c>
      <c r="O24" s="312"/>
      <c r="P24" s="64" t="s">
        <v>3486</v>
      </c>
    </row>
    <row r="25" spans="1:17" ht="40.5" customHeight="1" x14ac:dyDescent="0.3">
      <c r="A25" s="157">
        <v>24</v>
      </c>
      <c r="B25" s="207" t="s">
        <v>3299</v>
      </c>
      <c r="C25" s="251" t="s">
        <v>3487</v>
      </c>
      <c r="D25" s="159" t="s">
        <v>3349</v>
      </c>
      <c r="E25" s="210" t="s">
        <v>1760</v>
      </c>
      <c r="F25" s="206">
        <v>46191</v>
      </c>
      <c r="G25" s="159" t="s">
        <v>3488</v>
      </c>
      <c r="H25" s="159" t="s">
        <v>3340</v>
      </c>
      <c r="I25" s="159" t="s">
        <v>3489</v>
      </c>
      <c r="J25" s="159" t="s">
        <v>3490</v>
      </c>
      <c r="K25" s="159" t="s">
        <v>3491</v>
      </c>
      <c r="L25" s="159" t="s">
        <v>3492</v>
      </c>
      <c r="M25" s="159" t="s">
        <v>3493</v>
      </c>
      <c r="N25" s="159" t="s">
        <v>3494</v>
      </c>
      <c r="O25" s="312"/>
      <c r="P25" s="177" t="s">
        <v>3495</v>
      </c>
      <c r="Q25" s="64" t="s">
        <v>3496</v>
      </c>
    </row>
    <row r="26" spans="1:17" ht="39.6" x14ac:dyDescent="0.3">
      <c r="A26" s="203">
        <v>25</v>
      </c>
      <c r="B26" s="207" t="s">
        <v>3299</v>
      </c>
      <c r="C26" s="241" t="s">
        <v>3497</v>
      </c>
      <c r="D26" s="159" t="s">
        <v>3498</v>
      </c>
      <c r="E26" s="210" t="s">
        <v>1760</v>
      </c>
      <c r="F26" s="209">
        <v>46191</v>
      </c>
      <c r="G26" s="159" t="s">
        <v>2972</v>
      </c>
      <c r="H26" s="159" t="s">
        <v>3340</v>
      </c>
      <c r="I26" s="159" t="s">
        <v>3499</v>
      </c>
      <c r="J26" s="159" t="s">
        <v>3500</v>
      </c>
      <c r="K26" s="159" t="s">
        <v>3501</v>
      </c>
      <c r="L26" s="159" t="s">
        <v>3502</v>
      </c>
      <c r="M26" s="159" t="s">
        <v>3503</v>
      </c>
      <c r="N26" s="313" t="s">
        <v>3504</v>
      </c>
      <c r="O26" s="314"/>
      <c r="P26" s="64" t="s">
        <v>3505</v>
      </c>
      <c r="Q26" s="64" t="s">
        <v>3496</v>
      </c>
    </row>
    <row r="27" spans="1:17" ht="39.6" x14ac:dyDescent="0.3">
      <c r="A27" s="157">
        <v>26</v>
      </c>
      <c r="B27" s="207" t="s">
        <v>3299</v>
      </c>
      <c r="C27" s="201" t="s">
        <v>3506</v>
      </c>
      <c r="D27" s="159" t="s">
        <v>3498</v>
      </c>
      <c r="E27" s="165" t="s">
        <v>1756</v>
      </c>
      <c r="F27" s="208" t="s">
        <v>3507</v>
      </c>
      <c r="G27" s="159" t="s">
        <v>3508</v>
      </c>
      <c r="H27" s="159" t="s">
        <v>2533</v>
      </c>
      <c r="I27" s="159" t="s">
        <v>3509</v>
      </c>
      <c r="J27" s="159" t="s">
        <v>3510</v>
      </c>
      <c r="K27" s="159" t="s">
        <v>3511</v>
      </c>
      <c r="L27" s="159" t="s">
        <v>336</v>
      </c>
      <c r="M27" s="159" t="s">
        <v>3512</v>
      </c>
      <c r="N27" s="313" t="s">
        <v>3513</v>
      </c>
      <c r="O27" s="314"/>
      <c r="P27" s="178" t="s">
        <v>3327</v>
      </c>
    </row>
    <row r="28" spans="1:17" ht="39.6" x14ac:dyDescent="0.3">
      <c r="A28" s="157">
        <v>27</v>
      </c>
      <c r="B28" s="207" t="s">
        <v>3299</v>
      </c>
      <c r="C28" s="251" t="s">
        <v>3514</v>
      </c>
      <c r="D28" s="159" t="s">
        <v>96</v>
      </c>
      <c r="E28" s="210" t="s">
        <v>1760</v>
      </c>
      <c r="F28" s="209">
        <v>46191</v>
      </c>
      <c r="G28" s="159" t="s">
        <v>3077</v>
      </c>
      <c r="H28" s="159" t="s">
        <v>3340</v>
      </c>
      <c r="I28" s="159" t="s">
        <v>3515</v>
      </c>
      <c r="J28" s="159" t="s">
        <v>3516</v>
      </c>
      <c r="K28" s="159" t="s">
        <v>3517</v>
      </c>
      <c r="L28" s="159" t="s">
        <v>336</v>
      </c>
      <c r="M28" s="159" t="s">
        <v>336</v>
      </c>
      <c r="N28" s="313" t="s">
        <v>3518</v>
      </c>
      <c r="O28" s="314"/>
      <c r="P28" s="64" t="s">
        <v>3477</v>
      </c>
      <c r="Q28" s="64" t="s">
        <v>3496</v>
      </c>
    </row>
    <row r="29" spans="1:17" ht="39.6" x14ac:dyDescent="0.3">
      <c r="A29" s="157">
        <v>28</v>
      </c>
      <c r="B29" s="207" t="s">
        <v>3299</v>
      </c>
      <c r="C29" s="201" t="s">
        <v>3519</v>
      </c>
      <c r="D29" s="159" t="s">
        <v>96</v>
      </c>
      <c r="E29" s="210" t="s">
        <v>1760</v>
      </c>
      <c r="F29" s="208" t="s">
        <v>3350</v>
      </c>
      <c r="G29" s="159" t="s">
        <v>3082</v>
      </c>
      <c r="H29" s="159" t="s">
        <v>2589</v>
      </c>
      <c r="I29" s="159" t="s">
        <v>3520</v>
      </c>
      <c r="J29" s="159" t="s">
        <v>3521</v>
      </c>
      <c r="K29" s="159" t="s">
        <v>336</v>
      </c>
      <c r="L29" s="159" t="s">
        <v>336</v>
      </c>
      <c r="M29" s="159" t="s">
        <v>3522</v>
      </c>
      <c r="N29" s="313" t="s">
        <v>3523</v>
      </c>
      <c r="O29" s="314"/>
      <c r="P29" s="178" t="s">
        <v>3524</v>
      </c>
    </row>
    <row r="30" spans="1:17" ht="52.8" x14ac:dyDescent="0.3">
      <c r="A30" s="203">
        <v>29</v>
      </c>
      <c r="B30" s="207" t="s">
        <v>3299</v>
      </c>
      <c r="C30" s="201" t="s">
        <v>3525</v>
      </c>
      <c r="D30" s="159" t="s">
        <v>2351</v>
      </c>
      <c r="E30" s="210" t="s">
        <v>1760</v>
      </c>
      <c r="F30" s="209">
        <v>46191</v>
      </c>
      <c r="G30" s="159" t="s">
        <v>3526</v>
      </c>
      <c r="H30" s="159" t="s">
        <v>3340</v>
      </c>
      <c r="I30" s="159" t="s">
        <v>3527</v>
      </c>
      <c r="J30" s="159" t="s">
        <v>3528</v>
      </c>
      <c r="K30" s="159" t="s">
        <v>3529</v>
      </c>
      <c r="L30" s="159" t="s">
        <v>3530</v>
      </c>
      <c r="M30" s="159" t="s">
        <v>336</v>
      </c>
      <c r="N30" s="313" t="s">
        <v>3531</v>
      </c>
      <c r="O30" s="314"/>
      <c r="P30" s="64" t="s">
        <v>3449</v>
      </c>
      <c r="Q30" s="64" t="s">
        <v>3496</v>
      </c>
    </row>
    <row r="31" spans="1:17" ht="66" x14ac:dyDescent="0.3">
      <c r="A31" s="157">
        <v>30</v>
      </c>
      <c r="B31" s="207" t="s">
        <v>3299</v>
      </c>
      <c r="C31" s="201" t="s">
        <v>3532</v>
      </c>
      <c r="D31" s="159" t="s">
        <v>2351</v>
      </c>
      <c r="E31" s="210" t="s">
        <v>1760</v>
      </c>
      <c r="F31" s="209">
        <v>46191</v>
      </c>
      <c r="G31" s="159" t="s">
        <v>3533</v>
      </c>
      <c r="H31" s="159" t="s">
        <v>2533</v>
      </c>
      <c r="I31" s="159" t="s">
        <v>3534</v>
      </c>
      <c r="J31" s="159"/>
      <c r="K31" s="159"/>
      <c r="L31" s="159"/>
      <c r="M31" s="159"/>
      <c r="N31" s="313" t="s">
        <v>3535</v>
      </c>
      <c r="O31" s="314"/>
      <c r="P31" s="64" t="s">
        <v>3449</v>
      </c>
      <c r="Q31" s="178" t="s">
        <v>3536</v>
      </c>
    </row>
    <row r="32" spans="1:17" ht="26.4" x14ac:dyDescent="0.3">
      <c r="A32" s="157">
        <v>31</v>
      </c>
      <c r="B32" s="207" t="s">
        <v>3299</v>
      </c>
      <c r="C32" s="201" t="s">
        <v>3537</v>
      </c>
      <c r="D32" s="159" t="s">
        <v>3410</v>
      </c>
      <c r="E32" s="210" t="s">
        <v>1760</v>
      </c>
      <c r="F32" s="209">
        <v>46191</v>
      </c>
      <c r="G32" s="159" t="s">
        <v>3538</v>
      </c>
      <c r="H32" s="159" t="s">
        <v>3340</v>
      </c>
      <c r="I32" s="159" t="s">
        <v>3539</v>
      </c>
      <c r="J32" s="159" t="s">
        <v>3540</v>
      </c>
      <c r="K32" s="159" t="s">
        <v>336</v>
      </c>
      <c r="L32" s="159" t="s">
        <v>3541</v>
      </c>
      <c r="M32" s="159" t="s">
        <v>336</v>
      </c>
      <c r="N32" s="313" t="s">
        <v>3542</v>
      </c>
      <c r="O32" s="314"/>
      <c r="P32" s="64" t="s">
        <v>3408</v>
      </c>
      <c r="Q32" s="64" t="s">
        <v>3496</v>
      </c>
    </row>
    <row r="33" spans="1:17" ht="26.4" x14ac:dyDescent="0.3">
      <c r="A33" s="157">
        <v>32</v>
      </c>
      <c r="B33" s="207" t="s">
        <v>3299</v>
      </c>
      <c r="C33" s="201" t="s">
        <v>3543</v>
      </c>
      <c r="D33" s="159" t="s">
        <v>3544</v>
      </c>
      <c r="E33" s="210" t="s">
        <v>1760</v>
      </c>
      <c r="F33" s="209">
        <v>46191</v>
      </c>
      <c r="G33" s="159" t="s">
        <v>3033</v>
      </c>
      <c r="H33" s="159" t="s">
        <v>2523</v>
      </c>
      <c r="I33" s="159" t="s">
        <v>3545</v>
      </c>
      <c r="J33" s="159" t="s">
        <v>3546</v>
      </c>
      <c r="K33" s="159" t="s">
        <v>336</v>
      </c>
      <c r="L33" s="159" t="s">
        <v>336</v>
      </c>
      <c r="M33" s="159" t="s">
        <v>336</v>
      </c>
      <c r="N33" s="313" t="s">
        <v>3547</v>
      </c>
      <c r="O33" s="314"/>
      <c r="P33" s="64" t="s">
        <v>3548</v>
      </c>
      <c r="Q33" s="64" t="s">
        <v>3548</v>
      </c>
    </row>
    <row r="34" spans="1:17" ht="26.4" x14ac:dyDescent="0.3">
      <c r="A34" s="203">
        <v>33</v>
      </c>
      <c r="B34" s="207" t="s">
        <v>3299</v>
      </c>
      <c r="C34" s="201" t="s">
        <v>3549</v>
      </c>
      <c r="D34" s="159" t="s">
        <v>3544</v>
      </c>
      <c r="E34" s="165" t="s">
        <v>1756</v>
      </c>
      <c r="F34" s="209">
        <v>46191</v>
      </c>
      <c r="G34" s="159" t="s">
        <v>3037</v>
      </c>
      <c r="H34" s="159" t="s">
        <v>2533</v>
      </c>
      <c r="I34" s="159" t="s">
        <v>3550</v>
      </c>
      <c r="J34" s="159" t="s">
        <v>3551</v>
      </c>
      <c r="K34" s="159" t="s">
        <v>336</v>
      </c>
      <c r="L34" s="159" t="s">
        <v>3552</v>
      </c>
      <c r="M34" s="159" t="s">
        <v>3553</v>
      </c>
      <c r="N34" s="313" t="s">
        <v>3554</v>
      </c>
      <c r="O34" s="314"/>
      <c r="P34" s="178" t="s">
        <v>3536</v>
      </c>
    </row>
    <row r="35" spans="1:17" ht="52.8" x14ac:dyDescent="0.3">
      <c r="A35" s="157">
        <v>34</v>
      </c>
      <c r="B35" s="207" t="s">
        <v>3299</v>
      </c>
      <c r="C35" s="241" t="s">
        <v>3555</v>
      </c>
      <c r="D35" s="159" t="s">
        <v>3498</v>
      </c>
      <c r="E35" s="210" t="s">
        <v>1760</v>
      </c>
      <c r="F35" s="209">
        <v>46191</v>
      </c>
      <c r="G35" s="159" t="s">
        <v>2989</v>
      </c>
      <c r="H35" s="159" t="s">
        <v>3340</v>
      </c>
      <c r="I35" s="159" t="s">
        <v>3556</v>
      </c>
      <c r="J35" s="159" t="s">
        <v>3557</v>
      </c>
      <c r="K35" s="159" t="s">
        <v>3558</v>
      </c>
      <c r="L35" s="159" t="s">
        <v>336</v>
      </c>
      <c r="M35" s="159" t="s">
        <v>336</v>
      </c>
      <c r="N35" s="313" t="s">
        <v>3559</v>
      </c>
      <c r="O35" s="314"/>
      <c r="P35" s="64" t="s">
        <v>3560</v>
      </c>
      <c r="Q35" s="64" t="s">
        <v>3561</v>
      </c>
    </row>
    <row r="36" spans="1:17" ht="39.6" x14ac:dyDescent="0.3">
      <c r="A36" s="157">
        <v>35</v>
      </c>
      <c r="B36" s="207" t="s">
        <v>3299</v>
      </c>
      <c r="C36" s="201" t="s">
        <v>3562</v>
      </c>
      <c r="D36" s="159" t="s">
        <v>3329</v>
      </c>
      <c r="E36" s="164" t="s">
        <v>1823</v>
      </c>
      <c r="F36" s="209">
        <v>46191</v>
      </c>
      <c r="G36" s="159" t="s">
        <v>3563</v>
      </c>
      <c r="H36" s="159" t="s">
        <v>2523</v>
      </c>
      <c r="I36" s="159" t="s">
        <v>3564</v>
      </c>
      <c r="J36" s="159" t="s">
        <v>3565</v>
      </c>
      <c r="K36" s="159" t="s">
        <v>3566</v>
      </c>
      <c r="L36" s="159" t="s">
        <v>336</v>
      </c>
      <c r="M36" s="159" t="s">
        <v>336</v>
      </c>
      <c r="N36" s="313" t="s">
        <v>3567</v>
      </c>
      <c r="O36" s="314"/>
      <c r="P36" s="64" t="s">
        <v>3477</v>
      </c>
      <c r="Q36" s="64" t="s">
        <v>3348</v>
      </c>
    </row>
    <row r="37" spans="1:17" ht="28.8" x14ac:dyDescent="0.3">
      <c r="A37" s="157">
        <v>36</v>
      </c>
      <c r="B37" s="207" t="s">
        <v>3299</v>
      </c>
      <c r="C37" s="241" t="s">
        <v>3568</v>
      </c>
      <c r="D37" s="159" t="s">
        <v>3569</v>
      </c>
      <c r="E37" s="164" t="s">
        <v>1823</v>
      </c>
      <c r="F37" s="209">
        <v>46191</v>
      </c>
      <c r="G37" s="159" t="s">
        <v>3570</v>
      </c>
      <c r="H37" s="159" t="s">
        <v>2533</v>
      </c>
      <c r="I37" s="159" t="s">
        <v>3571</v>
      </c>
      <c r="J37" s="159" t="s">
        <v>3572</v>
      </c>
      <c r="K37" s="159" t="s">
        <v>3573</v>
      </c>
      <c r="L37" s="159" t="s">
        <v>336</v>
      </c>
      <c r="M37" s="159" t="s">
        <v>3574</v>
      </c>
      <c r="N37" s="313" t="s">
        <v>3575</v>
      </c>
      <c r="O37" s="314"/>
      <c r="P37" s="178" t="s">
        <v>3536</v>
      </c>
      <c r="Q37" s="64" t="s">
        <v>3576</v>
      </c>
    </row>
    <row r="38" spans="1:17" ht="28.8" x14ac:dyDescent="0.3">
      <c r="A38" s="203">
        <v>37</v>
      </c>
      <c r="B38" s="207" t="s">
        <v>3299</v>
      </c>
      <c r="C38" s="201" t="s">
        <v>3258</v>
      </c>
      <c r="D38" s="159" t="s">
        <v>3577</v>
      </c>
      <c r="E38" s="164" t="s">
        <v>1823</v>
      </c>
      <c r="F38" s="209">
        <v>46191</v>
      </c>
      <c r="G38" s="159" t="s">
        <v>3578</v>
      </c>
      <c r="H38" s="159" t="s">
        <v>3340</v>
      </c>
      <c r="I38" s="159" t="s">
        <v>3579</v>
      </c>
      <c r="J38" s="159" t="s">
        <v>3580</v>
      </c>
      <c r="K38" s="159" t="s">
        <v>3581</v>
      </c>
      <c r="L38" s="159" t="s">
        <v>3582</v>
      </c>
      <c r="M38" s="159" t="s">
        <v>3583</v>
      </c>
      <c r="N38" s="313" t="s">
        <v>3584</v>
      </c>
      <c r="O38" s="314"/>
      <c r="P38" s="178" t="s">
        <v>3585</v>
      </c>
    </row>
    <row r="39" spans="1:17" ht="39.6" x14ac:dyDescent="0.3">
      <c r="A39" s="157">
        <v>38</v>
      </c>
      <c r="B39" s="207" t="s">
        <v>3299</v>
      </c>
      <c r="C39" s="201" t="s">
        <v>3586</v>
      </c>
      <c r="D39" s="159" t="s">
        <v>3587</v>
      </c>
      <c r="E39" s="164" t="s">
        <v>1823</v>
      </c>
      <c r="F39" s="206">
        <v>46191</v>
      </c>
      <c r="G39" s="159" t="s">
        <v>3588</v>
      </c>
      <c r="H39" s="159" t="s">
        <v>3589</v>
      </c>
      <c r="I39" s="159" t="s">
        <v>3590</v>
      </c>
      <c r="J39" s="159" t="s">
        <v>3591</v>
      </c>
      <c r="K39" s="159" t="s">
        <v>3592</v>
      </c>
      <c r="L39" s="159" t="s">
        <v>3593</v>
      </c>
      <c r="M39" s="159" t="s">
        <v>3594</v>
      </c>
      <c r="N39" s="159" t="s">
        <v>3595</v>
      </c>
      <c r="O39" s="312"/>
      <c r="P39" s="64" t="s">
        <v>3596</v>
      </c>
      <c r="Q39" s="257" t="s">
        <v>3597</v>
      </c>
    </row>
    <row r="40" spans="1:17" ht="26.4" x14ac:dyDescent="0.3">
      <c r="A40" s="157">
        <v>39</v>
      </c>
      <c r="B40" s="207" t="s">
        <v>3299</v>
      </c>
      <c r="C40" s="201" t="s">
        <v>3598</v>
      </c>
      <c r="D40" s="159" t="s">
        <v>3599</v>
      </c>
      <c r="E40" s="164" t="s">
        <v>1823</v>
      </c>
      <c r="F40" s="209">
        <v>46191</v>
      </c>
      <c r="G40" s="159" t="s">
        <v>3118</v>
      </c>
      <c r="H40" s="159" t="s">
        <v>3340</v>
      </c>
      <c r="I40" s="159" t="s">
        <v>3600</v>
      </c>
      <c r="J40" s="159" t="s">
        <v>3601</v>
      </c>
      <c r="K40" s="159" t="s">
        <v>336</v>
      </c>
      <c r="L40" s="159" t="s">
        <v>336</v>
      </c>
      <c r="M40" s="159" t="s">
        <v>3602</v>
      </c>
      <c r="N40" s="313" t="s">
        <v>3603</v>
      </c>
      <c r="O40" s="314"/>
      <c r="P40" s="64" t="s">
        <v>3477</v>
      </c>
      <c r="Q40" s="64" t="s">
        <v>3409</v>
      </c>
    </row>
    <row r="41" spans="1:17" ht="26.4" x14ac:dyDescent="0.3">
      <c r="A41" s="157">
        <v>40</v>
      </c>
      <c r="B41" s="207" t="s">
        <v>3299</v>
      </c>
      <c r="C41" s="201" t="s">
        <v>3598</v>
      </c>
      <c r="D41" s="159" t="s">
        <v>3599</v>
      </c>
      <c r="E41" s="164" t="s">
        <v>1823</v>
      </c>
      <c r="F41" s="209">
        <v>46191</v>
      </c>
      <c r="G41" s="159" t="s">
        <v>3123</v>
      </c>
      <c r="H41" s="159" t="s">
        <v>3340</v>
      </c>
      <c r="I41" s="159" t="s">
        <v>3604</v>
      </c>
      <c r="J41" s="159" t="s">
        <v>3605</v>
      </c>
      <c r="K41" s="159" t="s">
        <v>3606</v>
      </c>
      <c r="L41" s="159" t="s">
        <v>336</v>
      </c>
      <c r="M41" s="159" t="s">
        <v>3607</v>
      </c>
      <c r="N41" s="313" t="s">
        <v>3608</v>
      </c>
      <c r="O41" s="314"/>
      <c r="P41" s="64" t="s">
        <v>3477</v>
      </c>
      <c r="Q41" s="64" t="s">
        <v>3409</v>
      </c>
    </row>
    <row r="42" spans="1:17" ht="39.6" x14ac:dyDescent="0.3">
      <c r="A42" s="203">
        <v>41</v>
      </c>
      <c r="B42" s="207" t="s">
        <v>3299</v>
      </c>
      <c r="C42" s="201" t="s">
        <v>3598</v>
      </c>
      <c r="D42" s="159" t="s">
        <v>3599</v>
      </c>
      <c r="E42" s="165" t="s">
        <v>1756</v>
      </c>
      <c r="F42" s="209">
        <v>46191</v>
      </c>
      <c r="G42" s="159" t="s">
        <v>3114</v>
      </c>
      <c r="H42" s="159" t="s">
        <v>3340</v>
      </c>
      <c r="I42" s="159" t="s">
        <v>3609</v>
      </c>
      <c r="J42" s="159" t="s">
        <v>3610</v>
      </c>
      <c r="K42" s="159" t="s">
        <v>336</v>
      </c>
      <c r="L42" s="159" t="s">
        <v>336</v>
      </c>
      <c r="M42" s="159" t="s">
        <v>336</v>
      </c>
      <c r="N42" s="313" t="s">
        <v>3611</v>
      </c>
      <c r="O42" s="314"/>
      <c r="P42" s="64" t="s">
        <v>3477</v>
      </c>
      <c r="Q42" s="64" t="s">
        <v>3409</v>
      </c>
    </row>
    <row r="43" spans="1:17" ht="26.4" x14ac:dyDescent="0.3">
      <c r="A43" s="157">
        <v>42</v>
      </c>
      <c r="B43" s="207" t="s">
        <v>3299</v>
      </c>
      <c r="C43" s="201" t="s">
        <v>3612</v>
      </c>
      <c r="D43" s="159" t="s">
        <v>3569</v>
      </c>
      <c r="E43" s="164" t="s">
        <v>1823</v>
      </c>
      <c r="F43" s="209">
        <v>46191</v>
      </c>
      <c r="G43" s="159" t="s">
        <v>3613</v>
      </c>
      <c r="H43" s="159" t="s">
        <v>2533</v>
      </c>
      <c r="I43" s="159" t="s">
        <v>3614</v>
      </c>
      <c r="J43" s="159" t="s">
        <v>3615</v>
      </c>
      <c r="K43" s="159" t="s">
        <v>3616</v>
      </c>
      <c r="L43" s="159" t="s">
        <v>336</v>
      </c>
      <c r="M43" s="159" t="s">
        <v>336</v>
      </c>
      <c r="N43" s="313" t="s">
        <v>3617</v>
      </c>
      <c r="O43" s="314"/>
      <c r="P43" s="64" t="s">
        <v>3618</v>
      </c>
      <c r="Q43" s="178" t="s">
        <v>3536</v>
      </c>
    </row>
    <row r="44" spans="1:17" ht="52.8" x14ac:dyDescent="0.3">
      <c r="A44" s="157">
        <v>43</v>
      </c>
      <c r="B44" s="207" t="s">
        <v>3299</v>
      </c>
      <c r="C44" s="201" t="s">
        <v>3619</v>
      </c>
      <c r="D44" s="159" t="s">
        <v>3366</v>
      </c>
      <c r="E44" s="164" t="s">
        <v>1823</v>
      </c>
      <c r="F44" s="208" t="s">
        <v>3620</v>
      </c>
      <c r="G44" s="159" t="s">
        <v>3621</v>
      </c>
      <c r="H44" s="159" t="s">
        <v>3340</v>
      </c>
      <c r="I44" s="159" t="s">
        <v>3622</v>
      </c>
      <c r="J44" s="159" t="s">
        <v>3623</v>
      </c>
      <c r="K44" s="159" t="s">
        <v>3624</v>
      </c>
      <c r="L44" s="159" t="s">
        <v>3625</v>
      </c>
      <c r="M44" s="159" t="s">
        <v>3626</v>
      </c>
      <c r="N44" s="159" t="s">
        <v>3627</v>
      </c>
      <c r="O44" s="312"/>
      <c r="P44" s="177" t="s">
        <v>3628</v>
      </c>
      <c r="Q44" s="64" t="s">
        <v>3629</v>
      </c>
    </row>
    <row r="45" spans="1:17" ht="52.8" x14ac:dyDescent="0.3">
      <c r="A45" s="157">
        <v>44</v>
      </c>
      <c r="B45" s="207" t="s">
        <v>3299</v>
      </c>
      <c r="C45" s="201" t="s">
        <v>3619</v>
      </c>
      <c r="D45" s="159" t="s">
        <v>3366</v>
      </c>
      <c r="E45" s="164" t="s">
        <v>1823</v>
      </c>
      <c r="F45" s="208" t="s">
        <v>3350</v>
      </c>
      <c r="G45" s="159" t="s">
        <v>2848</v>
      </c>
      <c r="H45" s="159" t="s">
        <v>3340</v>
      </c>
      <c r="I45" s="159" t="s">
        <v>3630</v>
      </c>
      <c r="J45" s="159" t="s">
        <v>3631</v>
      </c>
      <c r="K45" s="159" t="s">
        <v>3632</v>
      </c>
      <c r="L45" s="159" t="s">
        <v>336</v>
      </c>
      <c r="M45" s="159" t="s">
        <v>3633</v>
      </c>
      <c r="N45" s="313" t="s">
        <v>3634</v>
      </c>
      <c r="O45" s="314"/>
      <c r="P45" s="64" t="s">
        <v>3635</v>
      </c>
    </row>
    <row r="46" spans="1:17" ht="22.8" x14ac:dyDescent="0.3">
      <c r="A46" s="203">
        <v>45</v>
      </c>
      <c r="B46" s="207" t="s">
        <v>3299</v>
      </c>
      <c r="C46" s="201" t="s">
        <v>3636</v>
      </c>
      <c r="D46" s="159" t="s">
        <v>3366</v>
      </c>
      <c r="E46" s="164" t="s">
        <v>1823</v>
      </c>
      <c r="F46" s="209">
        <v>46191</v>
      </c>
      <c r="G46" s="159" t="s">
        <v>2893</v>
      </c>
      <c r="H46" s="159" t="s">
        <v>2523</v>
      </c>
      <c r="I46" s="159" t="s">
        <v>3637</v>
      </c>
      <c r="J46" s="159" t="s">
        <v>3638</v>
      </c>
      <c r="K46" s="159" t="s">
        <v>3639</v>
      </c>
      <c r="L46" s="159" t="s">
        <v>336</v>
      </c>
      <c r="M46" s="159" t="s">
        <v>336</v>
      </c>
      <c r="N46" s="313" t="s">
        <v>3640</v>
      </c>
      <c r="O46" s="314"/>
      <c r="P46" s="178" t="s">
        <v>3641</v>
      </c>
      <c r="Q46" s="64" t="s">
        <v>3642</v>
      </c>
    </row>
    <row r="47" spans="1:17" ht="26.4" x14ac:dyDescent="0.3">
      <c r="A47" s="157">
        <v>46</v>
      </c>
      <c r="B47" s="207" t="s">
        <v>3299</v>
      </c>
      <c r="C47" s="201" t="s">
        <v>3643</v>
      </c>
      <c r="D47" s="159" t="s">
        <v>3366</v>
      </c>
      <c r="E47" s="164" t="s">
        <v>1823</v>
      </c>
      <c r="F47" s="209">
        <v>46191</v>
      </c>
      <c r="G47" s="159" t="s">
        <v>3644</v>
      </c>
      <c r="H47" s="159" t="s">
        <v>3589</v>
      </c>
      <c r="I47" s="159" t="s">
        <v>3645</v>
      </c>
      <c r="J47" s="159" t="s">
        <v>3646</v>
      </c>
      <c r="K47" s="159" t="s">
        <v>3647</v>
      </c>
      <c r="L47" s="159" t="s">
        <v>3648</v>
      </c>
      <c r="M47" s="159" t="s">
        <v>336</v>
      </c>
      <c r="N47" s="313" t="s">
        <v>3649</v>
      </c>
      <c r="O47" s="314"/>
      <c r="P47" s="177" t="s">
        <v>3650</v>
      </c>
    </row>
    <row r="48" spans="1:17" ht="39.6" x14ac:dyDescent="0.3">
      <c r="A48" s="157">
        <v>47</v>
      </c>
      <c r="B48" s="207" t="s">
        <v>3299</v>
      </c>
      <c r="C48" s="201" t="s">
        <v>3651</v>
      </c>
      <c r="D48" s="159" t="s">
        <v>3315</v>
      </c>
      <c r="E48" s="164" t="s">
        <v>1823</v>
      </c>
      <c r="F48" s="206">
        <v>46191</v>
      </c>
      <c r="G48" s="159" t="s">
        <v>3652</v>
      </c>
      <c r="H48" s="159" t="s">
        <v>3375</v>
      </c>
      <c r="I48" s="159" t="s">
        <v>3653</v>
      </c>
      <c r="J48" s="159" t="s">
        <v>3654</v>
      </c>
      <c r="K48" s="159" t="s">
        <v>336</v>
      </c>
      <c r="L48" s="159" t="s">
        <v>3655</v>
      </c>
      <c r="M48" s="159" t="s">
        <v>336</v>
      </c>
      <c r="N48" s="159" t="s">
        <v>3656</v>
      </c>
      <c r="O48" s="312"/>
      <c r="P48" s="256" t="s">
        <v>3657</v>
      </c>
      <c r="Q48" s="256" t="s">
        <v>3658</v>
      </c>
    </row>
    <row r="49" spans="1:17" ht="39.6" x14ac:dyDescent="0.3">
      <c r="A49" s="157">
        <v>48</v>
      </c>
      <c r="B49" s="207" t="s">
        <v>3299</v>
      </c>
      <c r="C49" s="201" t="s">
        <v>3659</v>
      </c>
      <c r="D49" s="159" t="s">
        <v>3315</v>
      </c>
      <c r="E49" s="164" t="s">
        <v>1823</v>
      </c>
      <c r="F49" s="206">
        <v>46191</v>
      </c>
      <c r="G49" s="159" t="s">
        <v>3660</v>
      </c>
      <c r="H49" s="159" t="s">
        <v>3375</v>
      </c>
      <c r="I49" s="159" t="s">
        <v>3661</v>
      </c>
      <c r="J49" s="159" t="s">
        <v>3662</v>
      </c>
      <c r="K49" s="159" t="s">
        <v>3663</v>
      </c>
      <c r="L49" s="159" t="s">
        <v>3664</v>
      </c>
      <c r="M49" s="159" t="s">
        <v>3665</v>
      </c>
      <c r="N49" s="159" t="s">
        <v>3666</v>
      </c>
      <c r="O49" s="312"/>
      <c r="P49" s="64" t="s">
        <v>3667</v>
      </c>
      <c r="Q49" s="64" t="s">
        <v>3667</v>
      </c>
    </row>
    <row r="50" spans="1:17" ht="39.6" x14ac:dyDescent="0.3">
      <c r="A50" s="203">
        <v>49</v>
      </c>
      <c r="B50" s="207" t="s">
        <v>3299</v>
      </c>
      <c r="C50" s="201" t="s">
        <v>3651</v>
      </c>
      <c r="D50" s="159" t="s">
        <v>3315</v>
      </c>
      <c r="E50" s="164" t="s">
        <v>1823</v>
      </c>
      <c r="F50" s="206">
        <v>46191</v>
      </c>
      <c r="G50" s="159" t="s">
        <v>2558</v>
      </c>
      <c r="H50" s="159" t="s">
        <v>3375</v>
      </c>
      <c r="I50" s="159" t="s">
        <v>3668</v>
      </c>
      <c r="J50" s="159" t="s">
        <v>3669</v>
      </c>
      <c r="K50" s="159" t="s">
        <v>336</v>
      </c>
      <c r="L50" s="159" t="s">
        <v>3670</v>
      </c>
      <c r="M50" s="159" t="s">
        <v>3671</v>
      </c>
      <c r="N50" s="159" t="s">
        <v>3672</v>
      </c>
      <c r="O50" s="312"/>
      <c r="P50" s="64" t="s">
        <v>3667</v>
      </c>
      <c r="Q50" s="64" t="s">
        <v>3667</v>
      </c>
    </row>
    <row r="51" spans="1:17" ht="52.8" x14ac:dyDescent="0.3">
      <c r="A51" s="157">
        <v>50</v>
      </c>
      <c r="B51" s="207" t="s">
        <v>3299</v>
      </c>
      <c r="C51" s="201" t="s">
        <v>3673</v>
      </c>
      <c r="D51" s="159" t="s">
        <v>3587</v>
      </c>
      <c r="E51" s="164" t="s">
        <v>1823</v>
      </c>
      <c r="F51" s="208" t="s">
        <v>3350</v>
      </c>
      <c r="G51" s="159" t="s">
        <v>3674</v>
      </c>
      <c r="H51" s="159" t="s">
        <v>3340</v>
      </c>
      <c r="I51" s="159" t="s">
        <v>3675</v>
      </c>
      <c r="J51" s="159" t="s">
        <v>336</v>
      </c>
      <c r="K51" s="159" t="s">
        <v>3676</v>
      </c>
      <c r="L51" s="159" t="s">
        <v>336</v>
      </c>
      <c r="M51" s="159" t="s">
        <v>3677</v>
      </c>
      <c r="N51" s="159" t="s">
        <v>3678</v>
      </c>
      <c r="O51" s="312"/>
      <c r="P51" s="64" t="s">
        <v>3679</v>
      </c>
    </row>
    <row r="52" spans="1:17" ht="28.8" x14ac:dyDescent="0.3">
      <c r="A52" s="157">
        <v>51</v>
      </c>
      <c r="B52" s="207" t="s">
        <v>3299</v>
      </c>
      <c r="C52" s="201" t="s">
        <v>3680</v>
      </c>
      <c r="D52" s="159" t="s">
        <v>3366</v>
      </c>
      <c r="E52" s="164" t="s">
        <v>1823</v>
      </c>
      <c r="F52" s="209">
        <v>46191</v>
      </c>
      <c r="G52" s="159" t="s">
        <v>2868</v>
      </c>
      <c r="H52" s="159" t="s">
        <v>2533</v>
      </c>
      <c r="I52" s="159" t="s">
        <v>3681</v>
      </c>
      <c r="J52" s="159" t="s">
        <v>3682</v>
      </c>
      <c r="K52" s="159" t="s">
        <v>3683</v>
      </c>
      <c r="L52" s="159" t="s">
        <v>336</v>
      </c>
      <c r="M52" s="159" t="s">
        <v>336</v>
      </c>
      <c r="N52" s="313" t="s">
        <v>3684</v>
      </c>
      <c r="O52" s="314"/>
      <c r="P52" s="256" t="s">
        <v>3685</v>
      </c>
      <c r="Q52" s="197" t="s">
        <v>3686</v>
      </c>
    </row>
    <row r="53" spans="1:17" ht="66" x14ac:dyDescent="0.3">
      <c r="A53" s="157">
        <v>52</v>
      </c>
      <c r="B53" s="207" t="s">
        <v>3299</v>
      </c>
      <c r="C53" s="201" t="s">
        <v>3687</v>
      </c>
      <c r="D53" s="159" t="s">
        <v>3366</v>
      </c>
      <c r="E53" s="164" t="s">
        <v>1823</v>
      </c>
      <c r="F53" s="209">
        <v>46191</v>
      </c>
      <c r="G53" s="159" t="s">
        <v>3688</v>
      </c>
      <c r="H53" s="159" t="s">
        <v>3589</v>
      </c>
      <c r="I53" s="159" t="s">
        <v>3689</v>
      </c>
      <c r="J53" s="159"/>
      <c r="K53" s="159"/>
      <c r="L53" s="159"/>
      <c r="M53" s="159"/>
      <c r="N53" s="313" t="s">
        <v>3690</v>
      </c>
      <c r="O53" s="314"/>
      <c r="P53" s="177" t="s">
        <v>3691</v>
      </c>
    </row>
    <row r="54" spans="1:17" ht="26.4" x14ac:dyDescent="0.3">
      <c r="A54" s="203">
        <v>53</v>
      </c>
      <c r="B54" s="207" t="s">
        <v>3299</v>
      </c>
      <c r="C54" s="201" t="s">
        <v>3692</v>
      </c>
      <c r="D54" s="159" t="s">
        <v>3452</v>
      </c>
      <c r="E54" s="164" t="s">
        <v>1823</v>
      </c>
      <c r="F54" s="206">
        <v>46191</v>
      </c>
      <c r="G54" s="159" t="s">
        <v>3693</v>
      </c>
      <c r="H54" s="159" t="s">
        <v>2523</v>
      </c>
      <c r="I54" s="159" t="s">
        <v>3694</v>
      </c>
      <c r="J54" s="159" t="s">
        <v>3695</v>
      </c>
      <c r="K54" s="159" t="s">
        <v>3696</v>
      </c>
      <c r="L54" s="159" t="s">
        <v>336</v>
      </c>
      <c r="M54" s="159" t="s">
        <v>336</v>
      </c>
      <c r="N54" s="159" t="s">
        <v>3697</v>
      </c>
      <c r="O54" s="312"/>
      <c r="P54" s="64" t="s">
        <v>3477</v>
      </c>
      <c r="Q54" s="64" t="s">
        <v>3409</v>
      </c>
    </row>
    <row r="55" spans="1:17" ht="79.2" x14ac:dyDescent="0.3">
      <c r="A55" s="157">
        <v>54</v>
      </c>
      <c r="B55" s="207" t="s">
        <v>3299</v>
      </c>
      <c r="C55" s="201" t="s">
        <v>3698</v>
      </c>
      <c r="D55" s="159" t="s">
        <v>3452</v>
      </c>
      <c r="E55" s="164" t="s">
        <v>1823</v>
      </c>
      <c r="F55" s="206">
        <v>46191</v>
      </c>
      <c r="G55" s="159" t="s">
        <v>3699</v>
      </c>
      <c r="H55" s="159" t="s">
        <v>3340</v>
      </c>
      <c r="I55" s="159" t="s">
        <v>3700</v>
      </c>
      <c r="J55" s="159" t="s">
        <v>3701</v>
      </c>
      <c r="K55" s="159" t="s">
        <v>3702</v>
      </c>
      <c r="L55" s="159" t="s">
        <v>3703</v>
      </c>
      <c r="M55" s="159" t="s">
        <v>3704</v>
      </c>
      <c r="N55" s="159" t="s">
        <v>3705</v>
      </c>
      <c r="O55" s="312"/>
      <c r="P55" s="178" t="s">
        <v>3536</v>
      </c>
    </row>
    <row r="56" spans="1:17" ht="39.6" x14ac:dyDescent="0.3">
      <c r="A56" s="157">
        <v>55</v>
      </c>
      <c r="B56" s="207" t="s">
        <v>3299</v>
      </c>
      <c r="C56" s="201" t="s">
        <v>3706</v>
      </c>
      <c r="D56" s="159" t="s">
        <v>3301</v>
      </c>
      <c r="E56" s="164" t="s">
        <v>1823</v>
      </c>
      <c r="F56" s="208" t="s">
        <v>3350</v>
      </c>
      <c r="G56" s="159" t="s">
        <v>3707</v>
      </c>
      <c r="H56" s="159" t="s">
        <v>2523</v>
      </c>
      <c r="I56" s="159" t="s">
        <v>3708</v>
      </c>
      <c r="J56" s="159" t="s">
        <v>3709</v>
      </c>
      <c r="K56" s="159" t="s">
        <v>336</v>
      </c>
      <c r="L56" s="159" t="s">
        <v>3710</v>
      </c>
      <c r="M56" s="159" t="s">
        <v>3711</v>
      </c>
      <c r="N56" s="159" t="s">
        <v>3712</v>
      </c>
      <c r="O56" s="312"/>
      <c r="P56" s="178" t="s">
        <v>3536</v>
      </c>
    </row>
    <row r="57" spans="1:17" ht="28.8" x14ac:dyDescent="0.3">
      <c r="A57" s="157">
        <v>56</v>
      </c>
      <c r="B57" s="207" t="s">
        <v>3299</v>
      </c>
      <c r="C57" s="201" t="s">
        <v>3713</v>
      </c>
      <c r="D57" s="159" t="s">
        <v>3301</v>
      </c>
      <c r="E57" s="164" t="s">
        <v>1823</v>
      </c>
      <c r="F57" s="206">
        <v>46191</v>
      </c>
      <c r="G57" s="159" t="s">
        <v>3714</v>
      </c>
      <c r="H57" s="159" t="s">
        <v>3375</v>
      </c>
      <c r="I57" s="159" t="s">
        <v>3715</v>
      </c>
      <c r="J57" s="159" t="s">
        <v>3716</v>
      </c>
      <c r="K57" s="159" t="s">
        <v>3717</v>
      </c>
      <c r="L57" s="159" t="s">
        <v>3718</v>
      </c>
      <c r="M57" s="159" t="s">
        <v>3719</v>
      </c>
      <c r="N57" s="159" t="s">
        <v>3720</v>
      </c>
      <c r="O57" s="312"/>
      <c r="P57" s="177" t="s">
        <v>3721</v>
      </c>
    </row>
    <row r="58" spans="1:17" ht="39.6" x14ac:dyDescent="0.3">
      <c r="A58" s="203">
        <v>57</v>
      </c>
      <c r="B58" s="207" t="s">
        <v>3299</v>
      </c>
      <c r="C58" s="201" t="s">
        <v>3713</v>
      </c>
      <c r="D58" s="159" t="s">
        <v>3498</v>
      </c>
      <c r="E58" s="164" t="s">
        <v>1823</v>
      </c>
      <c r="F58" s="208" t="s">
        <v>3350</v>
      </c>
      <c r="G58" s="159" t="s">
        <v>3012</v>
      </c>
      <c r="H58" s="159" t="s">
        <v>3375</v>
      </c>
      <c r="I58" s="159" t="s">
        <v>3722</v>
      </c>
      <c r="J58" s="159" t="s">
        <v>3723</v>
      </c>
      <c r="K58" s="159" t="s">
        <v>336</v>
      </c>
      <c r="L58" s="159" t="s">
        <v>336</v>
      </c>
      <c r="M58" s="159" t="s">
        <v>3724</v>
      </c>
      <c r="N58" s="313" t="s">
        <v>3725</v>
      </c>
      <c r="O58" s="314"/>
      <c r="P58" s="177" t="s">
        <v>3726</v>
      </c>
      <c r="Q58" s="64" t="s">
        <v>3727</v>
      </c>
    </row>
    <row r="59" spans="1:17" ht="26.4" x14ac:dyDescent="0.3">
      <c r="A59" s="157">
        <v>58</v>
      </c>
      <c r="B59" s="207" t="s">
        <v>3299</v>
      </c>
      <c r="C59" s="201" t="s">
        <v>3728</v>
      </c>
      <c r="D59" s="159" t="s">
        <v>3498</v>
      </c>
      <c r="E59" s="164" t="s">
        <v>1823</v>
      </c>
      <c r="F59" s="209">
        <v>46191</v>
      </c>
      <c r="G59" s="159" t="s">
        <v>2984</v>
      </c>
      <c r="H59" s="159" t="s">
        <v>2533</v>
      </c>
      <c r="I59" s="159" t="s">
        <v>3729</v>
      </c>
      <c r="J59" s="159" t="s">
        <v>3730</v>
      </c>
      <c r="K59" s="159" t="s">
        <v>336</v>
      </c>
      <c r="L59" s="159" t="s">
        <v>336</v>
      </c>
      <c r="M59" s="159" t="s">
        <v>336</v>
      </c>
      <c r="N59" s="313" t="s">
        <v>3731</v>
      </c>
      <c r="O59" s="314"/>
      <c r="P59" s="178" t="s">
        <v>3536</v>
      </c>
    </row>
    <row r="60" spans="1:17" ht="39.6" x14ac:dyDescent="0.3">
      <c r="A60" s="157">
        <v>59</v>
      </c>
      <c r="B60" s="207" t="s">
        <v>3299</v>
      </c>
      <c r="C60" s="201" t="s">
        <v>3732</v>
      </c>
      <c r="D60" s="159" t="s">
        <v>3498</v>
      </c>
      <c r="E60" s="164" t="s">
        <v>1823</v>
      </c>
      <c r="F60" s="209">
        <v>46191</v>
      </c>
      <c r="G60" s="159" t="s">
        <v>3001</v>
      </c>
      <c r="H60" s="159" t="s">
        <v>3340</v>
      </c>
      <c r="I60" s="159" t="s">
        <v>3733</v>
      </c>
      <c r="J60" s="159" t="s">
        <v>3734</v>
      </c>
      <c r="K60" s="159" t="s">
        <v>3735</v>
      </c>
      <c r="L60" s="159" t="s">
        <v>3736</v>
      </c>
      <c r="M60" s="159" t="s">
        <v>336</v>
      </c>
      <c r="N60" s="313" t="s">
        <v>3737</v>
      </c>
      <c r="O60" s="314"/>
      <c r="P60" s="64" t="s">
        <v>3738</v>
      </c>
    </row>
    <row r="61" spans="1:17" ht="26.4" x14ac:dyDescent="0.3">
      <c r="A61" s="157">
        <v>60</v>
      </c>
      <c r="B61" s="207" t="s">
        <v>3299</v>
      </c>
      <c r="C61" s="201" t="s">
        <v>3739</v>
      </c>
      <c r="D61" s="159" t="s">
        <v>3569</v>
      </c>
      <c r="E61" s="164" t="s">
        <v>1823</v>
      </c>
      <c r="F61" s="209">
        <v>46191</v>
      </c>
      <c r="G61" s="159" t="s">
        <v>3169</v>
      </c>
      <c r="H61" s="159" t="s">
        <v>2589</v>
      </c>
      <c r="I61" s="159" t="s">
        <v>3740</v>
      </c>
      <c r="J61" s="159" t="s">
        <v>3741</v>
      </c>
      <c r="K61" s="159" t="s">
        <v>3742</v>
      </c>
      <c r="L61" s="159" t="s">
        <v>336</v>
      </c>
      <c r="M61" s="159" t="s">
        <v>336</v>
      </c>
      <c r="N61" s="313" t="s">
        <v>3743</v>
      </c>
      <c r="O61" s="314"/>
      <c r="P61" s="178" t="s">
        <v>2589</v>
      </c>
    </row>
    <row r="62" spans="1:17" ht="57.6" x14ac:dyDescent="0.3">
      <c r="A62" s="203">
        <v>61</v>
      </c>
      <c r="B62" s="207" t="s">
        <v>3299</v>
      </c>
      <c r="C62" s="201" t="s">
        <v>3744</v>
      </c>
      <c r="D62" s="159" t="s">
        <v>3569</v>
      </c>
      <c r="E62" s="164" t="s">
        <v>1823</v>
      </c>
      <c r="F62" s="209">
        <v>46191</v>
      </c>
      <c r="G62" s="159" t="s">
        <v>3179</v>
      </c>
      <c r="H62" s="159" t="s">
        <v>3340</v>
      </c>
      <c r="I62" s="159" t="s">
        <v>3745</v>
      </c>
      <c r="J62" s="159" t="s">
        <v>3746</v>
      </c>
      <c r="K62" s="159" t="s">
        <v>3747</v>
      </c>
      <c r="L62" s="159" t="s">
        <v>3748</v>
      </c>
      <c r="M62" s="159" t="s">
        <v>336</v>
      </c>
      <c r="N62" s="313" t="s">
        <v>3749</v>
      </c>
      <c r="O62" s="314"/>
      <c r="P62" s="179" t="s">
        <v>3750</v>
      </c>
      <c r="Q62" s="177"/>
    </row>
    <row r="63" spans="1:17" ht="26.4" x14ac:dyDescent="0.3">
      <c r="A63" s="157">
        <v>62</v>
      </c>
      <c r="B63" s="207" t="s">
        <v>3299</v>
      </c>
      <c r="C63" s="201" t="s">
        <v>3751</v>
      </c>
      <c r="D63" s="159" t="s">
        <v>3752</v>
      </c>
      <c r="E63" s="164" t="s">
        <v>1823</v>
      </c>
      <c r="F63" s="209">
        <v>46191</v>
      </c>
      <c r="G63" s="159" t="s">
        <v>3189</v>
      </c>
      <c r="H63" s="159" t="s">
        <v>2523</v>
      </c>
      <c r="I63" s="159" t="s">
        <v>3753</v>
      </c>
      <c r="J63" s="159" t="s">
        <v>3754</v>
      </c>
      <c r="K63" s="159" t="s">
        <v>3755</v>
      </c>
      <c r="L63" s="159" t="s">
        <v>336</v>
      </c>
      <c r="M63" s="159" t="s">
        <v>336</v>
      </c>
      <c r="N63" s="313" t="s">
        <v>3756</v>
      </c>
      <c r="O63" s="314"/>
      <c r="P63" s="177" t="s">
        <v>3408</v>
      </c>
      <c r="Q63" s="177" t="s">
        <v>3408</v>
      </c>
    </row>
    <row r="64" spans="1:17" ht="26.4" x14ac:dyDescent="0.3">
      <c r="A64" s="157">
        <v>63</v>
      </c>
      <c r="B64" s="207" t="s">
        <v>3299</v>
      </c>
      <c r="C64" s="201" t="s">
        <v>3757</v>
      </c>
      <c r="D64" s="159" t="s">
        <v>3752</v>
      </c>
      <c r="E64" s="164" t="s">
        <v>1823</v>
      </c>
      <c r="F64" s="209">
        <v>46191</v>
      </c>
      <c r="G64" s="159" t="s">
        <v>3201</v>
      </c>
      <c r="H64" s="159" t="s">
        <v>3340</v>
      </c>
      <c r="I64" s="159" t="s">
        <v>3758</v>
      </c>
      <c r="J64" s="159" t="s">
        <v>3759</v>
      </c>
      <c r="K64" s="159" t="s">
        <v>336</v>
      </c>
      <c r="L64" s="159" t="s">
        <v>336</v>
      </c>
      <c r="M64" s="159" t="s">
        <v>336</v>
      </c>
      <c r="N64" s="313" t="s">
        <v>3760</v>
      </c>
      <c r="O64" s="314"/>
      <c r="P64" s="64" t="s">
        <v>3496</v>
      </c>
    </row>
    <row r="65" spans="1:17" ht="57.6" x14ac:dyDescent="0.3">
      <c r="A65" s="157">
        <v>64</v>
      </c>
      <c r="B65" s="207" t="s">
        <v>3299</v>
      </c>
      <c r="C65" s="201" t="s">
        <v>3761</v>
      </c>
      <c r="D65" s="159" t="s">
        <v>3410</v>
      </c>
      <c r="E65" s="164" t="s">
        <v>1823</v>
      </c>
      <c r="F65" s="209">
        <v>46191</v>
      </c>
      <c r="G65" s="159" t="s">
        <v>3216</v>
      </c>
      <c r="H65" s="159" t="s">
        <v>3589</v>
      </c>
      <c r="I65" s="159" t="s">
        <v>3762</v>
      </c>
      <c r="J65" s="159" t="s">
        <v>3763</v>
      </c>
      <c r="K65" s="159" t="s">
        <v>3764</v>
      </c>
      <c r="L65" s="159" t="s">
        <v>336</v>
      </c>
      <c r="M65" s="159" t="s">
        <v>336</v>
      </c>
      <c r="N65" s="313" t="s">
        <v>3765</v>
      </c>
      <c r="O65" s="314"/>
      <c r="P65" s="177" t="s">
        <v>3766</v>
      </c>
      <c r="Q65" s="64" t="s">
        <v>3767</v>
      </c>
    </row>
    <row r="66" spans="1:17" ht="26.4" x14ac:dyDescent="0.3">
      <c r="A66" s="203">
        <v>65</v>
      </c>
      <c r="B66" s="207" t="s">
        <v>3299</v>
      </c>
      <c r="C66" s="201" t="s">
        <v>3768</v>
      </c>
      <c r="D66" s="159" t="s">
        <v>3599</v>
      </c>
      <c r="E66" s="164" t="s">
        <v>1823</v>
      </c>
      <c r="F66" s="209">
        <v>46191</v>
      </c>
      <c r="G66" s="159" t="s">
        <v>3127</v>
      </c>
      <c r="H66" s="159" t="s">
        <v>2533</v>
      </c>
      <c r="I66" s="159" t="s">
        <v>3128</v>
      </c>
      <c r="J66" s="159" t="s">
        <v>3769</v>
      </c>
      <c r="K66" s="159" t="s">
        <v>3770</v>
      </c>
      <c r="L66" s="159" t="s">
        <v>3771</v>
      </c>
      <c r="M66" s="159" t="s">
        <v>336</v>
      </c>
      <c r="N66" s="313" t="s">
        <v>3772</v>
      </c>
      <c r="O66" s="314"/>
      <c r="P66" s="178" t="s">
        <v>3536</v>
      </c>
    </row>
    <row r="67" spans="1:17" ht="52.8" x14ac:dyDescent="0.3">
      <c r="A67" s="157">
        <v>66</v>
      </c>
      <c r="B67" s="207" t="s">
        <v>3299</v>
      </c>
      <c r="C67" s="201" t="s">
        <v>3773</v>
      </c>
      <c r="D67" s="159" t="s">
        <v>3599</v>
      </c>
      <c r="E67" s="164" t="s">
        <v>1823</v>
      </c>
      <c r="F67" s="209">
        <v>46191</v>
      </c>
      <c r="G67" s="159" t="s">
        <v>3132</v>
      </c>
      <c r="H67" s="159" t="s">
        <v>3340</v>
      </c>
      <c r="I67" s="159" t="s">
        <v>3774</v>
      </c>
      <c r="J67" s="159" t="s">
        <v>3775</v>
      </c>
      <c r="K67" s="159" t="s">
        <v>3776</v>
      </c>
      <c r="L67" s="159" t="s">
        <v>336</v>
      </c>
      <c r="M67" s="159" t="s">
        <v>336</v>
      </c>
      <c r="N67" s="313" t="s">
        <v>3777</v>
      </c>
      <c r="O67" s="314"/>
      <c r="P67" s="256" t="s">
        <v>3657</v>
      </c>
      <c r="Q67" s="256" t="s">
        <v>3657</v>
      </c>
    </row>
    <row r="68" spans="1:17" ht="34.200000000000003" x14ac:dyDescent="0.3">
      <c r="A68" s="157">
        <v>67</v>
      </c>
      <c r="B68" s="207" t="s">
        <v>3299</v>
      </c>
      <c r="C68" s="201" t="s">
        <v>3778</v>
      </c>
      <c r="D68" s="159" t="s">
        <v>3329</v>
      </c>
      <c r="E68" s="164" t="s">
        <v>1823</v>
      </c>
      <c r="F68" s="209">
        <v>46191</v>
      </c>
      <c r="G68" s="159" t="s">
        <v>3047</v>
      </c>
      <c r="H68" s="159" t="s">
        <v>2533</v>
      </c>
      <c r="I68" s="159" t="s">
        <v>3779</v>
      </c>
      <c r="J68" s="159" t="s">
        <v>3780</v>
      </c>
      <c r="K68" s="159" t="s">
        <v>3781</v>
      </c>
      <c r="L68" s="159" t="s">
        <v>336</v>
      </c>
      <c r="M68" s="159" t="s">
        <v>336</v>
      </c>
      <c r="N68" s="313" t="s">
        <v>3782</v>
      </c>
      <c r="O68" s="314"/>
      <c r="P68" s="178" t="s">
        <v>3327</v>
      </c>
    </row>
    <row r="69" spans="1:17" ht="26.4" x14ac:dyDescent="0.3">
      <c r="A69" s="157">
        <v>68</v>
      </c>
      <c r="B69" s="207" t="s">
        <v>3299</v>
      </c>
      <c r="C69" s="201" t="s">
        <v>3783</v>
      </c>
      <c r="D69" s="159" t="s">
        <v>3349</v>
      </c>
      <c r="E69" s="165" t="s">
        <v>1756</v>
      </c>
      <c r="F69" s="206">
        <v>46191</v>
      </c>
      <c r="G69" s="159" t="s">
        <v>3784</v>
      </c>
      <c r="H69" s="159" t="s">
        <v>2533</v>
      </c>
      <c r="I69" s="159" t="s">
        <v>3785</v>
      </c>
      <c r="J69" s="159" t="s">
        <v>3786</v>
      </c>
      <c r="K69" s="159" t="s">
        <v>336</v>
      </c>
      <c r="L69" s="159" t="s">
        <v>336</v>
      </c>
      <c r="M69" s="159" t="s">
        <v>3787</v>
      </c>
      <c r="N69" s="159" t="s">
        <v>3788</v>
      </c>
      <c r="O69" s="312"/>
      <c r="P69" s="178" t="s">
        <v>3327</v>
      </c>
    </row>
    <row r="70" spans="1:17" ht="39.6" x14ac:dyDescent="0.3">
      <c r="A70" s="203">
        <v>69</v>
      </c>
      <c r="B70" s="207" t="s">
        <v>3299</v>
      </c>
      <c r="C70" s="201" t="s">
        <v>3789</v>
      </c>
      <c r="D70" s="159" t="s">
        <v>3315</v>
      </c>
      <c r="E70" s="165" t="s">
        <v>1756</v>
      </c>
      <c r="F70" s="208" t="s">
        <v>3507</v>
      </c>
      <c r="G70" s="159" t="s">
        <v>3790</v>
      </c>
      <c r="H70" s="159" t="s">
        <v>2523</v>
      </c>
      <c r="I70" s="159" t="s">
        <v>3791</v>
      </c>
      <c r="J70" s="159" t="s">
        <v>3792</v>
      </c>
      <c r="K70" s="159" t="s">
        <v>336</v>
      </c>
      <c r="L70" s="159" t="s">
        <v>336</v>
      </c>
      <c r="M70" s="159" t="s">
        <v>3793</v>
      </c>
      <c r="N70" s="159" t="s">
        <v>3794</v>
      </c>
      <c r="O70" s="312"/>
      <c r="P70" s="186" t="s">
        <v>2081</v>
      </c>
      <c r="Q70" s="186" t="s">
        <v>3795</v>
      </c>
    </row>
    <row r="71" spans="1:17" ht="39.6" x14ac:dyDescent="0.3">
      <c r="A71" s="157">
        <v>70</v>
      </c>
      <c r="B71" s="207" t="s">
        <v>3299</v>
      </c>
      <c r="C71" s="201" t="s">
        <v>3796</v>
      </c>
      <c r="D71" s="159" t="s">
        <v>3301</v>
      </c>
      <c r="E71" s="165" t="s">
        <v>1756</v>
      </c>
      <c r="F71" s="208" t="s">
        <v>3350</v>
      </c>
      <c r="G71" s="159" t="s">
        <v>2782</v>
      </c>
      <c r="H71" s="159" t="s">
        <v>3340</v>
      </c>
      <c r="I71" s="159" t="s">
        <v>3797</v>
      </c>
      <c r="J71" s="159" t="s">
        <v>3798</v>
      </c>
      <c r="K71" s="159" t="s">
        <v>336</v>
      </c>
      <c r="L71" s="159" t="s">
        <v>3799</v>
      </c>
      <c r="M71" s="159" t="s">
        <v>3800</v>
      </c>
      <c r="N71" s="159" t="s">
        <v>3801</v>
      </c>
      <c r="O71" s="312"/>
      <c r="P71" s="64" t="s">
        <v>3409</v>
      </c>
      <c r="Q71" s="64" t="s">
        <v>3409</v>
      </c>
    </row>
    <row r="72" spans="1:17" ht="26.4" x14ac:dyDescent="0.3">
      <c r="A72" s="157">
        <v>71</v>
      </c>
      <c r="B72" s="207" t="s">
        <v>3299</v>
      </c>
      <c r="C72" s="201" t="s">
        <v>3802</v>
      </c>
      <c r="D72" s="159" t="s">
        <v>3366</v>
      </c>
      <c r="E72" s="165" t="s">
        <v>1756</v>
      </c>
      <c r="F72" s="209">
        <v>46191</v>
      </c>
      <c r="G72" s="159" t="s">
        <v>2858</v>
      </c>
      <c r="H72" s="159" t="s">
        <v>3340</v>
      </c>
      <c r="I72" s="159" t="s">
        <v>3803</v>
      </c>
      <c r="J72" s="159" t="s">
        <v>3804</v>
      </c>
      <c r="K72" s="159" t="s">
        <v>3805</v>
      </c>
      <c r="L72" s="159" t="s">
        <v>336</v>
      </c>
      <c r="M72" s="159" t="s">
        <v>3806</v>
      </c>
      <c r="N72" s="313" t="s">
        <v>3807</v>
      </c>
      <c r="O72" s="314"/>
      <c r="P72" s="177" t="s">
        <v>3808</v>
      </c>
      <c r="Q72" s="64" t="s">
        <v>3809</v>
      </c>
    </row>
    <row r="73" spans="1:17" s="250" customFormat="1" ht="72" x14ac:dyDescent="0.3">
      <c r="A73" s="244">
        <v>72</v>
      </c>
      <c r="B73" s="245" t="s">
        <v>3299</v>
      </c>
      <c r="C73" s="246" t="s">
        <v>3810</v>
      </c>
      <c r="D73" s="247" t="s">
        <v>3366</v>
      </c>
      <c r="E73" s="248" t="s">
        <v>1756</v>
      </c>
      <c r="F73" s="249">
        <v>46191</v>
      </c>
      <c r="G73" s="247" t="s">
        <v>2909</v>
      </c>
      <c r="H73" s="247" t="s">
        <v>3589</v>
      </c>
      <c r="I73" s="247" t="s">
        <v>3811</v>
      </c>
      <c r="J73" s="247" t="s">
        <v>3812</v>
      </c>
      <c r="K73" s="247" t="s">
        <v>3813</v>
      </c>
      <c r="L73" s="247" t="s">
        <v>336</v>
      </c>
      <c r="M73" s="247" t="s">
        <v>3814</v>
      </c>
      <c r="N73" s="316" t="s">
        <v>3815</v>
      </c>
      <c r="O73" s="317"/>
      <c r="P73" s="252"/>
      <c r="Q73" s="253" t="s">
        <v>3816</v>
      </c>
    </row>
    <row r="74" spans="1:17" ht="26.4" x14ac:dyDescent="0.3">
      <c r="A74" s="157">
        <v>73</v>
      </c>
      <c r="B74" s="217" t="s">
        <v>3817</v>
      </c>
      <c r="C74" s="201" t="s">
        <v>3818</v>
      </c>
      <c r="D74" s="159" t="s">
        <v>2351</v>
      </c>
      <c r="E74" s="165" t="s">
        <v>1756</v>
      </c>
      <c r="F74" s="159" t="s">
        <v>2522</v>
      </c>
      <c r="G74" s="159" t="s">
        <v>3819</v>
      </c>
      <c r="H74" s="159" t="s">
        <v>2523</v>
      </c>
      <c r="I74" s="159" t="s">
        <v>3820</v>
      </c>
      <c r="J74" s="159" t="s">
        <v>3821</v>
      </c>
      <c r="K74" s="159" t="s">
        <v>3822</v>
      </c>
      <c r="L74" s="159" t="s">
        <v>336</v>
      </c>
      <c r="M74" s="159" t="s">
        <v>3823</v>
      </c>
      <c r="N74" s="313" t="s">
        <v>3824</v>
      </c>
      <c r="O74" s="314"/>
      <c r="P74" s="178" t="s">
        <v>3536</v>
      </c>
    </row>
    <row r="75" spans="1:17" ht="34.200000000000003" x14ac:dyDescent="0.3">
      <c r="A75" s="157">
        <v>74</v>
      </c>
      <c r="B75" s="215" t="s">
        <v>3817</v>
      </c>
      <c r="C75" s="237" t="s">
        <v>3825</v>
      </c>
      <c r="D75" s="199" t="s">
        <v>3826</v>
      </c>
      <c r="E75" s="216" t="s">
        <v>1760</v>
      </c>
      <c r="F75" s="199" t="s">
        <v>2522</v>
      </c>
      <c r="G75" s="199" t="s">
        <v>3260</v>
      </c>
      <c r="H75" s="199" t="s">
        <v>3589</v>
      </c>
      <c r="I75" s="199" t="s">
        <v>3827</v>
      </c>
      <c r="J75" s="199" t="s">
        <v>3828</v>
      </c>
      <c r="K75" s="199" t="s">
        <v>3829</v>
      </c>
      <c r="L75" s="199" t="s">
        <v>336</v>
      </c>
      <c r="M75" s="199" t="s">
        <v>3263</v>
      </c>
      <c r="N75" s="318" t="s">
        <v>3830</v>
      </c>
      <c r="O75" s="314"/>
    </row>
    <row r="76" spans="1:17" ht="28.8" x14ac:dyDescent="0.3">
      <c r="A76" s="157">
        <v>75</v>
      </c>
      <c r="B76" s="217" t="s">
        <v>3817</v>
      </c>
      <c r="C76" s="201" t="s">
        <v>3831</v>
      </c>
      <c r="D76" s="159" t="s">
        <v>3402</v>
      </c>
      <c r="E76" s="210" t="s">
        <v>1760</v>
      </c>
      <c r="F76" s="159" t="s">
        <v>2522</v>
      </c>
      <c r="G76" s="159" t="s">
        <v>2937</v>
      </c>
      <c r="H76" s="159" t="s">
        <v>3589</v>
      </c>
      <c r="I76" s="159" t="s">
        <v>3832</v>
      </c>
      <c r="J76" s="159" t="s">
        <v>3833</v>
      </c>
      <c r="K76" s="159" t="s">
        <v>336</v>
      </c>
      <c r="L76" s="159" t="s">
        <v>3834</v>
      </c>
      <c r="M76" s="159" t="s">
        <v>336</v>
      </c>
      <c r="N76" s="313" t="s">
        <v>3835</v>
      </c>
      <c r="O76" s="314"/>
      <c r="P76" s="64" t="s">
        <v>3836</v>
      </c>
    </row>
    <row r="77" spans="1:17" ht="26.4" x14ac:dyDescent="0.3">
      <c r="A77" s="157">
        <v>76</v>
      </c>
      <c r="B77" s="217" t="s">
        <v>3817</v>
      </c>
      <c r="C77" s="201" t="s">
        <v>3837</v>
      </c>
      <c r="D77" s="159" t="s">
        <v>3569</v>
      </c>
      <c r="E77" s="210" t="s">
        <v>1760</v>
      </c>
      <c r="F77" s="159" t="s">
        <v>2522</v>
      </c>
      <c r="G77" s="159" t="s">
        <v>3153</v>
      </c>
      <c r="H77" s="159" t="s">
        <v>3589</v>
      </c>
      <c r="I77" s="159" t="s">
        <v>3838</v>
      </c>
      <c r="J77" s="159" t="s">
        <v>3839</v>
      </c>
      <c r="K77" s="159" t="s">
        <v>3840</v>
      </c>
      <c r="L77" s="159" t="s">
        <v>3841</v>
      </c>
      <c r="M77" s="159" t="s">
        <v>336</v>
      </c>
      <c r="N77" s="313" t="s">
        <v>3842</v>
      </c>
      <c r="O77" s="314"/>
    </row>
    <row r="78" spans="1:17" ht="52.8" x14ac:dyDescent="0.3">
      <c r="A78" s="203">
        <v>77</v>
      </c>
      <c r="B78" s="217" t="s">
        <v>3817</v>
      </c>
      <c r="C78" s="201" t="s">
        <v>3843</v>
      </c>
      <c r="D78" s="159" t="s">
        <v>3844</v>
      </c>
      <c r="E78" s="210" t="s">
        <v>1760</v>
      </c>
      <c r="F78" s="159" t="s">
        <v>2522</v>
      </c>
      <c r="G78" s="159" t="s">
        <v>3845</v>
      </c>
      <c r="H78" s="159" t="s">
        <v>2523</v>
      </c>
      <c r="I78" s="159" t="s">
        <v>3846</v>
      </c>
      <c r="J78" s="159" t="s">
        <v>3847</v>
      </c>
      <c r="K78" s="159" t="s">
        <v>3848</v>
      </c>
      <c r="L78" s="159" t="s">
        <v>3849</v>
      </c>
      <c r="M78" s="159" t="s">
        <v>336</v>
      </c>
      <c r="N78" s="313" t="s">
        <v>3850</v>
      </c>
      <c r="O78" s="314"/>
    </row>
    <row r="79" spans="1:17" ht="34.200000000000003" x14ac:dyDescent="0.3">
      <c r="A79" s="157">
        <v>78</v>
      </c>
      <c r="B79" s="217" t="s">
        <v>3817</v>
      </c>
      <c r="C79" s="201" t="s">
        <v>3851</v>
      </c>
      <c r="D79" s="159" t="s">
        <v>3498</v>
      </c>
      <c r="E79" s="164" t="s">
        <v>1823</v>
      </c>
      <c r="F79" s="159" t="s">
        <v>2522</v>
      </c>
      <c r="G79" s="159" t="s">
        <v>3008</v>
      </c>
      <c r="H79" s="159" t="s">
        <v>2533</v>
      </c>
      <c r="I79" s="159" t="s">
        <v>3852</v>
      </c>
      <c r="J79" s="159" t="s">
        <v>3853</v>
      </c>
      <c r="K79" s="159" t="s">
        <v>3854</v>
      </c>
      <c r="L79" s="159" t="s">
        <v>336</v>
      </c>
      <c r="M79" s="159" t="s">
        <v>336</v>
      </c>
      <c r="N79" s="313" t="s">
        <v>3855</v>
      </c>
      <c r="O79" s="314"/>
    </row>
    <row r="80" spans="1:17" ht="38.25" customHeight="1" x14ac:dyDescent="0.3">
      <c r="A80" s="157">
        <v>79</v>
      </c>
      <c r="B80" s="217" t="s">
        <v>3817</v>
      </c>
      <c r="C80" s="201" t="s">
        <v>3856</v>
      </c>
      <c r="D80" s="159" t="s">
        <v>3366</v>
      </c>
      <c r="E80" s="164" t="s">
        <v>1823</v>
      </c>
      <c r="F80" s="159" t="s">
        <v>2522</v>
      </c>
      <c r="G80" s="159" t="s">
        <v>2853</v>
      </c>
      <c r="H80" s="159" t="s">
        <v>2523</v>
      </c>
      <c r="I80" s="159" t="s">
        <v>3857</v>
      </c>
      <c r="J80" s="159" t="s">
        <v>3858</v>
      </c>
      <c r="K80" s="159" t="s">
        <v>3859</v>
      </c>
      <c r="L80" s="159" t="s">
        <v>336</v>
      </c>
      <c r="M80" s="159" t="s">
        <v>336</v>
      </c>
      <c r="N80" s="313" t="s">
        <v>3860</v>
      </c>
      <c r="O80" s="314"/>
    </row>
    <row r="81" spans="1:16" ht="39.6" x14ac:dyDescent="0.3">
      <c r="A81" s="157">
        <v>80</v>
      </c>
      <c r="B81" s="217" t="s">
        <v>3817</v>
      </c>
      <c r="C81" s="201" t="s">
        <v>3861</v>
      </c>
      <c r="D81" s="159" t="s">
        <v>96</v>
      </c>
      <c r="E81" s="164" t="s">
        <v>1823</v>
      </c>
      <c r="F81" s="159" t="s">
        <v>2522</v>
      </c>
      <c r="G81" s="159" t="s">
        <v>3093</v>
      </c>
      <c r="H81" s="159" t="s">
        <v>2523</v>
      </c>
      <c r="I81" s="159" t="s">
        <v>3862</v>
      </c>
      <c r="J81" s="159" t="s">
        <v>3863</v>
      </c>
      <c r="K81" s="159" t="s">
        <v>3864</v>
      </c>
      <c r="L81" s="159" t="s">
        <v>3865</v>
      </c>
      <c r="M81" s="159" t="s">
        <v>336</v>
      </c>
      <c r="N81" s="313" t="s">
        <v>3866</v>
      </c>
      <c r="O81" s="314"/>
    </row>
    <row r="82" spans="1:16" ht="26.4" x14ac:dyDescent="0.3">
      <c r="A82" s="203">
        <v>81</v>
      </c>
      <c r="B82" s="217" t="s">
        <v>3817</v>
      </c>
      <c r="C82" s="201" t="s">
        <v>2622</v>
      </c>
      <c r="D82" s="159" t="s">
        <v>3402</v>
      </c>
      <c r="E82" s="164" t="s">
        <v>1823</v>
      </c>
      <c r="F82" s="159" t="s">
        <v>2522</v>
      </c>
      <c r="G82" s="159" t="s">
        <v>2943</v>
      </c>
      <c r="H82" s="159" t="s">
        <v>3589</v>
      </c>
      <c r="I82" s="159" t="s">
        <v>3867</v>
      </c>
      <c r="J82" s="159" t="s">
        <v>3868</v>
      </c>
      <c r="K82" s="159" t="s">
        <v>3869</v>
      </c>
      <c r="L82" s="159" t="s">
        <v>3870</v>
      </c>
      <c r="M82" s="159" t="s">
        <v>336</v>
      </c>
      <c r="N82" s="313" t="s">
        <v>3871</v>
      </c>
      <c r="O82" s="314"/>
    </row>
    <row r="83" spans="1:16" ht="39.6" x14ac:dyDescent="0.3">
      <c r="A83" s="157">
        <v>82</v>
      </c>
      <c r="B83" s="217" t="s">
        <v>3817</v>
      </c>
      <c r="C83" s="201" t="s">
        <v>3872</v>
      </c>
      <c r="D83" s="159" t="s">
        <v>3366</v>
      </c>
      <c r="E83" s="164" t="s">
        <v>1823</v>
      </c>
      <c r="F83" s="159" t="s">
        <v>2522</v>
      </c>
      <c r="G83" s="159" t="s">
        <v>2897</v>
      </c>
      <c r="H83" s="159" t="s">
        <v>2523</v>
      </c>
      <c r="I83" s="159" t="s">
        <v>3873</v>
      </c>
      <c r="J83" s="159" t="s">
        <v>3874</v>
      </c>
      <c r="K83" s="159" t="s">
        <v>3875</v>
      </c>
      <c r="L83" s="159" t="s">
        <v>3876</v>
      </c>
      <c r="M83" s="159" t="s">
        <v>336</v>
      </c>
      <c r="N83" s="313" t="s">
        <v>3877</v>
      </c>
      <c r="O83" s="314" t="s">
        <v>3878</v>
      </c>
      <c r="P83" s="177" t="s">
        <v>3879</v>
      </c>
    </row>
    <row r="84" spans="1:16" ht="26.4" x14ac:dyDescent="0.3">
      <c r="A84" s="157">
        <v>83</v>
      </c>
      <c r="B84" s="217" t="s">
        <v>3817</v>
      </c>
      <c r="C84" s="201" t="s">
        <v>3880</v>
      </c>
      <c r="D84" s="159" t="s">
        <v>3315</v>
      </c>
      <c r="E84" s="164" t="s">
        <v>1823</v>
      </c>
      <c r="F84" s="159" t="s">
        <v>2522</v>
      </c>
      <c r="G84" s="159" t="s">
        <v>2563</v>
      </c>
      <c r="H84" s="159" t="s">
        <v>3375</v>
      </c>
      <c r="I84" s="159" t="s">
        <v>3881</v>
      </c>
      <c r="J84" s="159" t="s">
        <v>3882</v>
      </c>
      <c r="K84" s="159" t="s">
        <v>3883</v>
      </c>
      <c r="L84" s="159" t="s">
        <v>3884</v>
      </c>
      <c r="M84" s="159" t="s">
        <v>3719</v>
      </c>
      <c r="N84" s="159" t="s">
        <v>3885</v>
      </c>
      <c r="O84" s="312"/>
      <c r="P84" s="312" t="s">
        <v>3886</v>
      </c>
    </row>
    <row r="85" spans="1:16" ht="26.4" x14ac:dyDescent="0.3">
      <c r="A85" s="157">
        <v>84</v>
      </c>
      <c r="B85" s="217" t="s">
        <v>3817</v>
      </c>
      <c r="C85" s="201" t="s">
        <v>3887</v>
      </c>
      <c r="D85" s="159" t="s">
        <v>3587</v>
      </c>
      <c r="E85" s="164" t="s">
        <v>1823</v>
      </c>
      <c r="F85" s="159" t="s">
        <v>2522</v>
      </c>
      <c r="G85" s="159" t="s">
        <v>3888</v>
      </c>
      <c r="H85" s="159" t="s">
        <v>2523</v>
      </c>
      <c r="I85" s="159" t="s">
        <v>2609</v>
      </c>
      <c r="J85" s="159" t="s">
        <v>3889</v>
      </c>
      <c r="K85" s="159" t="s">
        <v>3890</v>
      </c>
      <c r="L85" s="159" t="s">
        <v>3891</v>
      </c>
      <c r="M85" s="159" t="s">
        <v>3892</v>
      </c>
      <c r="N85" s="159" t="s">
        <v>3893</v>
      </c>
      <c r="O85" s="312"/>
    </row>
    <row r="86" spans="1:16" ht="26.4" x14ac:dyDescent="0.3">
      <c r="A86" s="203">
        <v>85</v>
      </c>
      <c r="B86" s="217" t="s">
        <v>3817</v>
      </c>
      <c r="C86" s="201" t="s">
        <v>3894</v>
      </c>
      <c r="D86" s="159" t="s">
        <v>3301</v>
      </c>
      <c r="E86" s="164" t="s">
        <v>1823</v>
      </c>
      <c r="F86" s="159" t="s">
        <v>2522</v>
      </c>
      <c r="G86" s="159" t="s">
        <v>3895</v>
      </c>
      <c r="H86" s="159" t="s">
        <v>2523</v>
      </c>
      <c r="I86" s="159" t="s">
        <v>3896</v>
      </c>
      <c r="J86" s="159" t="s">
        <v>3897</v>
      </c>
      <c r="K86" s="159" t="s">
        <v>3898</v>
      </c>
      <c r="L86" s="159" t="s">
        <v>3899</v>
      </c>
      <c r="M86" s="159" t="s">
        <v>336</v>
      </c>
      <c r="N86" s="159" t="s">
        <v>3900</v>
      </c>
      <c r="O86" s="312"/>
    </row>
    <row r="87" spans="1:16" ht="39.6" x14ac:dyDescent="0.3">
      <c r="A87" s="157">
        <v>86</v>
      </c>
      <c r="B87" s="217" t="s">
        <v>3817</v>
      </c>
      <c r="C87" s="201" t="s">
        <v>3901</v>
      </c>
      <c r="D87" s="159" t="s">
        <v>3498</v>
      </c>
      <c r="E87" s="164" t="s">
        <v>1823</v>
      </c>
      <c r="F87" s="159" t="s">
        <v>2522</v>
      </c>
      <c r="G87" s="159" t="s">
        <v>3902</v>
      </c>
      <c r="H87" s="159" t="s">
        <v>2523</v>
      </c>
      <c r="I87" s="159" t="s">
        <v>3903</v>
      </c>
      <c r="J87" s="159" t="s">
        <v>3904</v>
      </c>
      <c r="K87" s="159" t="s">
        <v>336</v>
      </c>
      <c r="L87" s="159" t="s">
        <v>336</v>
      </c>
      <c r="M87" s="159" t="s">
        <v>3449</v>
      </c>
      <c r="N87" s="313" t="s">
        <v>3905</v>
      </c>
      <c r="O87" s="314"/>
    </row>
    <row r="88" spans="1:16" ht="26.4" x14ac:dyDescent="0.3">
      <c r="A88" s="157">
        <v>87</v>
      </c>
      <c r="B88" s="217" t="s">
        <v>3817</v>
      </c>
      <c r="C88" s="201" t="s">
        <v>3906</v>
      </c>
      <c r="D88" s="159" t="s">
        <v>3498</v>
      </c>
      <c r="E88" s="164" t="s">
        <v>1823</v>
      </c>
      <c r="F88" s="159" t="s">
        <v>2522</v>
      </c>
      <c r="G88" s="159" t="s">
        <v>3016</v>
      </c>
      <c r="H88" s="159" t="s">
        <v>2533</v>
      </c>
      <c r="I88" s="159" t="s">
        <v>3907</v>
      </c>
      <c r="J88" s="159" t="s">
        <v>3908</v>
      </c>
      <c r="K88" s="159" t="s">
        <v>3909</v>
      </c>
      <c r="L88" s="159" t="s">
        <v>336</v>
      </c>
      <c r="M88" s="159" t="s">
        <v>336</v>
      </c>
      <c r="N88" s="313" t="s">
        <v>3910</v>
      </c>
      <c r="O88" s="314"/>
    </row>
    <row r="89" spans="1:16" ht="26.4" x14ac:dyDescent="0.3">
      <c r="A89" s="157">
        <v>88</v>
      </c>
      <c r="B89" s="217" t="s">
        <v>3817</v>
      </c>
      <c r="C89" s="201" t="s">
        <v>3911</v>
      </c>
      <c r="D89" s="159" t="s">
        <v>3569</v>
      </c>
      <c r="E89" s="164" t="s">
        <v>1823</v>
      </c>
      <c r="F89" s="159" t="s">
        <v>2522</v>
      </c>
      <c r="G89" s="159" t="s">
        <v>3141</v>
      </c>
      <c r="H89" s="159" t="s">
        <v>2523</v>
      </c>
      <c r="I89" s="159" t="s">
        <v>3912</v>
      </c>
      <c r="J89" s="159" t="s">
        <v>3913</v>
      </c>
      <c r="K89" s="159" t="s">
        <v>3914</v>
      </c>
      <c r="L89" s="159" t="s">
        <v>3915</v>
      </c>
      <c r="M89" s="159" t="s">
        <v>336</v>
      </c>
      <c r="N89" s="313" t="s">
        <v>3916</v>
      </c>
      <c r="O89" s="314"/>
    </row>
    <row r="90" spans="1:16" ht="39.6" x14ac:dyDescent="0.3">
      <c r="A90" s="203">
        <v>89</v>
      </c>
      <c r="B90" s="217" t="s">
        <v>3817</v>
      </c>
      <c r="C90" s="201" t="s">
        <v>3911</v>
      </c>
      <c r="D90" s="159" t="s">
        <v>3569</v>
      </c>
      <c r="E90" s="164" t="s">
        <v>1823</v>
      </c>
      <c r="F90" s="159" t="s">
        <v>2522</v>
      </c>
      <c r="G90" s="159" t="s">
        <v>3157</v>
      </c>
      <c r="H90" s="159" t="s">
        <v>2523</v>
      </c>
      <c r="I90" s="159" t="s">
        <v>3917</v>
      </c>
      <c r="J90" s="159" t="s">
        <v>3918</v>
      </c>
      <c r="K90" s="159" t="s">
        <v>3919</v>
      </c>
      <c r="L90" s="159" t="s">
        <v>3920</v>
      </c>
      <c r="M90" s="159" t="s">
        <v>3921</v>
      </c>
      <c r="N90" s="313" t="s">
        <v>3922</v>
      </c>
      <c r="O90" s="314"/>
    </row>
    <row r="91" spans="1:16" ht="39.6" x14ac:dyDescent="0.3">
      <c r="A91" s="157">
        <v>90</v>
      </c>
      <c r="B91" s="217" t="s">
        <v>3817</v>
      </c>
      <c r="C91" s="201" t="s">
        <v>3923</v>
      </c>
      <c r="D91" s="159" t="s">
        <v>3924</v>
      </c>
      <c r="E91" s="164" t="s">
        <v>1823</v>
      </c>
      <c r="F91" s="159" t="s">
        <v>2522</v>
      </c>
      <c r="G91" s="159" t="s">
        <v>3266</v>
      </c>
      <c r="H91" s="159" t="s">
        <v>3589</v>
      </c>
      <c r="I91" s="159" t="s">
        <v>3925</v>
      </c>
      <c r="J91" s="159" t="s">
        <v>3926</v>
      </c>
      <c r="K91" s="159" t="s">
        <v>3927</v>
      </c>
      <c r="L91" s="159" t="s">
        <v>3928</v>
      </c>
      <c r="M91" s="159" t="s">
        <v>336</v>
      </c>
      <c r="N91" s="313" t="s">
        <v>3929</v>
      </c>
      <c r="O91" s="314" t="s">
        <v>3930</v>
      </c>
    </row>
    <row r="92" spans="1:16" ht="39.6" x14ac:dyDescent="0.3">
      <c r="A92" s="157">
        <v>91</v>
      </c>
      <c r="B92" s="217" t="s">
        <v>3817</v>
      </c>
      <c r="C92" s="201" t="s">
        <v>3931</v>
      </c>
      <c r="D92" s="159" t="s">
        <v>3587</v>
      </c>
      <c r="E92" s="164" t="s">
        <v>1823</v>
      </c>
      <c r="F92" s="159" t="s">
        <v>2522</v>
      </c>
      <c r="G92" s="159" t="s">
        <v>3932</v>
      </c>
      <c r="H92" s="159" t="s">
        <v>2523</v>
      </c>
      <c r="I92" s="159" t="s">
        <v>2624</v>
      </c>
      <c r="J92" s="159" t="s">
        <v>3933</v>
      </c>
      <c r="K92" s="159" t="s">
        <v>3934</v>
      </c>
      <c r="L92" s="159" t="s">
        <v>3935</v>
      </c>
      <c r="M92" s="159" t="s">
        <v>336</v>
      </c>
      <c r="N92" s="159" t="s">
        <v>3936</v>
      </c>
      <c r="O92" s="312"/>
    </row>
    <row r="93" spans="1:16" ht="26.4" x14ac:dyDescent="0.3">
      <c r="A93" s="157">
        <v>92</v>
      </c>
      <c r="B93" s="217" t="s">
        <v>3817</v>
      </c>
      <c r="C93" s="201" t="s">
        <v>3937</v>
      </c>
      <c r="D93" s="159" t="s">
        <v>3410</v>
      </c>
      <c r="E93" s="164" t="s">
        <v>1823</v>
      </c>
      <c r="F93" s="159" t="s">
        <v>2522</v>
      </c>
      <c r="G93" s="159" t="s">
        <v>3229</v>
      </c>
      <c r="H93" s="159" t="s">
        <v>2523</v>
      </c>
      <c r="I93" s="159" t="s">
        <v>3938</v>
      </c>
      <c r="J93" s="159" t="s">
        <v>3939</v>
      </c>
      <c r="K93" s="159" t="s">
        <v>3940</v>
      </c>
      <c r="L93" s="159" t="s">
        <v>336</v>
      </c>
      <c r="M93" s="159" t="s">
        <v>336</v>
      </c>
      <c r="N93" s="313" t="s">
        <v>3941</v>
      </c>
      <c r="O93" s="314"/>
    </row>
    <row r="94" spans="1:16" ht="39.6" x14ac:dyDescent="0.3">
      <c r="A94" s="203">
        <v>93</v>
      </c>
      <c r="B94" s="217" t="s">
        <v>3817</v>
      </c>
      <c r="C94" s="201" t="s">
        <v>3942</v>
      </c>
      <c r="D94" s="159" t="s">
        <v>3752</v>
      </c>
      <c r="E94" s="165" t="s">
        <v>1756</v>
      </c>
      <c r="F94" s="159" t="s">
        <v>2522</v>
      </c>
      <c r="G94" s="159" t="s">
        <v>3195</v>
      </c>
      <c r="H94" s="159" t="s">
        <v>3340</v>
      </c>
      <c r="I94" s="159" t="s">
        <v>3943</v>
      </c>
      <c r="J94" s="159" t="s">
        <v>3944</v>
      </c>
      <c r="K94" s="159" t="s">
        <v>3945</v>
      </c>
      <c r="L94" s="159" t="s">
        <v>336</v>
      </c>
      <c r="M94" s="159" t="s">
        <v>336</v>
      </c>
      <c r="N94" s="313" t="s">
        <v>3946</v>
      </c>
      <c r="O94" s="314"/>
    </row>
    <row r="95" spans="1:16" ht="26.4" x14ac:dyDescent="0.3">
      <c r="A95" s="157">
        <v>94</v>
      </c>
      <c r="B95" s="217" t="s">
        <v>3817</v>
      </c>
      <c r="C95" s="201" t="s">
        <v>2086</v>
      </c>
      <c r="D95" s="159" t="s">
        <v>1922</v>
      </c>
      <c r="E95" s="165" t="s">
        <v>1756</v>
      </c>
      <c r="F95" s="159" t="s">
        <v>2522</v>
      </c>
      <c r="G95" s="159" t="s">
        <v>2969</v>
      </c>
      <c r="H95" s="159" t="s">
        <v>3589</v>
      </c>
      <c r="I95" s="159" t="s">
        <v>3947</v>
      </c>
      <c r="J95" s="159" t="s">
        <v>336</v>
      </c>
      <c r="K95" s="159" t="s">
        <v>3948</v>
      </c>
      <c r="L95" s="159" t="s">
        <v>336</v>
      </c>
      <c r="M95" s="159" t="s">
        <v>336</v>
      </c>
      <c r="N95" s="313" t="s">
        <v>3949</v>
      </c>
      <c r="O95" s="314"/>
    </row>
    <row r="96" spans="1:16" ht="26.4" x14ac:dyDescent="0.3">
      <c r="A96" s="157">
        <v>95</v>
      </c>
      <c r="B96" s="217" t="s">
        <v>3817</v>
      </c>
      <c r="C96" s="201" t="s">
        <v>3950</v>
      </c>
      <c r="D96" s="159" t="s">
        <v>3301</v>
      </c>
      <c r="E96" s="165" t="s">
        <v>1756</v>
      </c>
      <c r="F96" s="159" t="s">
        <v>2522</v>
      </c>
      <c r="G96" s="159" t="s">
        <v>2754</v>
      </c>
      <c r="H96" s="159" t="s">
        <v>3375</v>
      </c>
      <c r="I96" s="159" t="s">
        <v>3951</v>
      </c>
      <c r="J96" s="159" t="s">
        <v>3952</v>
      </c>
      <c r="K96" s="159" t="s">
        <v>3953</v>
      </c>
      <c r="L96" s="159" t="s">
        <v>3954</v>
      </c>
      <c r="M96" s="159" t="s">
        <v>3955</v>
      </c>
      <c r="N96" s="159" t="s">
        <v>3956</v>
      </c>
      <c r="O96" s="312"/>
    </row>
    <row r="97" spans="1:16" ht="39.6" x14ac:dyDescent="0.3">
      <c r="A97" s="157">
        <v>96</v>
      </c>
      <c r="B97" s="217" t="s">
        <v>3817</v>
      </c>
      <c r="C97" s="201" t="s">
        <v>3957</v>
      </c>
      <c r="D97" s="159" t="s">
        <v>3315</v>
      </c>
      <c r="E97" s="165" t="s">
        <v>1756</v>
      </c>
      <c r="F97" s="159" t="s">
        <v>2522</v>
      </c>
      <c r="G97" s="159" t="s">
        <v>3958</v>
      </c>
      <c r="H97" s="159" t="s">
        <v>3589</v>
      </c>
      <c r="I97" s="159" t="s">
        <v>3959</v>
      </c>
      <c r="J97" s="159" t="s">
        <v>3960</v>
      </c>
      <c r="K97" s="159" t="s">
        <v>3961</v>
      </c>
      <c r="L97" s="159" t="s">
        <v>3962</v>
      </c>
      <c r="M97" s="159" t="s">
        <v>3963</v>
      </c>
      <c r="N97" s="159" t="s">
        <v>3964</v>
      </c>
      <c r="O97" s="312"/>
    </row>
    <row r="98" spans="1:16" ht="39.6" x14ac:dyDescent="0.3">
      <c r="A98" s="203">
        <v>97</v>
      </c>
      <c r="B98" s="217" t="s">
        <v>3817</v>
      </c>
      <c r="C98" s="201" t="s">
        <v>3965</v>
      </c>
      <c r="D98" s="159" t="s">
        <v>3315</v>
      </c>
      <c r="E98" s="165" t="s">
        <v>1756</v>
      </c>
      <c r="F98" s="159" t="s">
        <v>2522</v>
      </c>
      <c r="G98" s="159" t="s">
        <v>3966</v>
      </c>
      <c r="H98" s="159" t="s">
        <v>2523</v>
      </c>
      <c r="I98" s="159" t="s">
        <v>3967</v>
      </c>
      <c r="J98" s="159" t="s">
        <v>3968</v>
      </c>
      <c r="K98" s="159" t="s">
        <v>336</v>
      </c>
      <c r="L98" s="159" t="s">
        <v>3969</v>
      </c>
      <c r="M98" s="159" t="s">
        <v>3970</v>
      </c>
      <c r="N98" s="159" t="s">
        <v>3971</v>
      </c>
      <c r="O98" s="312"/>
    </row>
    <row r="99" spans="1:16" ht="26.4" x14ac:dyDescent="0.3">
      <c r="A99" s="157">
        <v>98</v>
      </c>
      <c r="B99" s="217" t="s">
        <v>3817</v>
      </c>
      <c r="C99" s="201" t="s">
        <v>3972</v>
      </c>
      <c r="D99" s="159" t="s">
        <v>3452</v>
      </c>
      <c r="E99" s="165" t="s">
        <v>1756</v>
      </c>
      <c r="F99" s="159" t="s">
        <v>2522</v>
      </c>
      <c r="G99" s="159" t="s">
        <v>3973</v>
      </c>
      <c r="H99" s="159" t="s">
        <v>2523</v>
      </c>
      <c r="I99" s="159" t="s">
        <v>3974</v>
      </c>
      <c r="J99" s="159" t="s">
        <v>3975</v>
      </c>
      <c r="K99" s="159" t="s">
        <v>336</v>
      </c>
      <c r="L99" s="159" t="s">
        <v>3976</v>
      </c>
      <c r="M99" s="159" t="s">
        <v>3719</v>
      </c>
      <c r="N99" s="159" t="s">
        <v>3977</v>
      </c>
      <c r="O99" s="312"/>
    </row>
    <row r="100" spans="1:16" ht="26.4" x14ac:dyDescent="0.3">
      <c r="A100" s="157">
        <v>99</v>
      </c>
      <c r="B100" s="217" t="s">
        <v>3817</v>
      </c>
      <c r="C100" s="201" t="s">
        <v>3978</v>
      </c>
      <c r="D100" s="159" t="s">
        <v>3301</v>
      </c>
      <c r="E100" s="165" t="s">
        <v>1756</v>
      </c>
      <c r="F100" s="159" t="s">
        <v>2522</v>
      </c>
      <c r="G100" s="159" t="s">
        <v>3979</v>
      </c>
      <c r="H100" s="159" t="s">
        <v>3589</v>
      </c>
      <c r="I100" s="159" t="s">
        <v>3980</v>
      </c>
      <c r="J100" s="159" t="s">
        <v>3981</v>
      </c>
      <c r="K100" s="159" t="s">
        <v>3982</v>
      </c>
      <c r="L100" s="159" t="s">
        <v>336</v>
      </c>
      <c r="M100" s="159" t="s">
        <v>3983</v>
      </c>
      <c r="N100" s="159" t="s">
        <v>3984</v>
      </c>
      <c r="O100" s="312"/>
    </row>
    <row r="101" spans="1:16" ht="26.4" x14ac:dyDescent="0.3">
      <c r="A101" s="157">
        <v>100</v>
      </c>
      <c r="B101" s="217" t="s">
        <v>3817</v>
      </c>
      <c r="C101" s="201" t="s">
        <v>3985</v>
      </c>
      <c r="D101" s="159" t="s">
        <v>3349</v>
      </c>
      <c r="E101" s="165" t="s">
        <v>1756</v>
      </c>
      <c r="F101" s="159" t="s">
        <v>2522</v>
      </c>
      <c r="G101" s="159" t="s">
        <v>3986</v>
      </c>
      <c r="H101" s="159" t="s">
        <v>2523</v>
      </c>
      <c r="I101" s="159" t="s">
        <v>2086</v>
      </c>
      <c r="J101" s="159" t="s">
        <v>336</v>
      </c>
      <c r="K101" s="159" t="s">
        <v>3987</v>
      </c>
      <c r="L101" s="159" t="s">
        <v>336</v>
      </c>
      <c r="M101" s="159" t="s">
        <v>336</v>
      </c>
      <c r="N101" s="159" t="s">
        <v>3988</v>
      </c>
      <c r="O101" s="312"/>
    </row>
    <row r="102" spans="1:16" ht="26.4" x14ac:dyDescent="0.3">
      <c r="A102" s="203">
        <v>101</v>
      </c>
      <c r="B102" s="217" t="s">
        <v>3817</v>
      </c>
      <c r="C102" s="201" t="s">
        <v>3985</v>
      </c>
      <c r="D102" s="159" t="s">
        <v>3349</v>
      </c>
      <c r="E102" s="165" t="s">
        <v>1756</v>
      </c>
      <c r="F102" s="159" t="s">
        <v>2522</v>
      </c>
      <c r="G102" s="159" t="s">
        <v>3989</v>
      </c>
      <c r="H102" s="159" t="s">
        <v>2523</v>
      </c>
      <c r="I102" s="159" t="s">
        <v>3990</v>
      </c>
      <c r="J102" s="159" t="s">
        <v>336</v>
      </c>
      <c r="K102" s="159" t="s">
        <v>3991</v>
      </c>
      <c r="L102" s="159" t="s">
        <v>336</v>
      </c>
      <c r="M102" s="159" t="s">
        <v>336</v>
      </c>
      <c r="N102" s="159" t="s">
        <v>3992</v>
      </c>
      <c r="O102" s="312"/>
    </row>
    <row r="103" spans="1:16" ht="26.4" x14ac:dyDescent="0.3">
      <c r="A103" s="157">
        <v>102</v>
      </c>
      <c r="B103" s="217" t="s">
        <v>3817</v>
      </c>
      <c r="C103" s="201" t="s">
        <v>3993</v>
      </c>
      <c r="D103" s="159" t="s">
        <v>3366</v>
      </c>
      <c r="E103" s="165" t="s">
        <v>1756</v>
      </c>
      <c r="F103" s="159" t="s">
        <v>2522</v>
      </c>
      <c r="G103" s="159" t="s">
        <v>3994</v>
      </c>
      <c r="H103" s="159" t="s">
        <v>3589</v>
      </c>
      <c r="I103" s="159" t="s">
        <v>3995</v>
      </c>
      <c r="J103" s="159" t="s">
        <v>3996</v>
      </c>
      <c r="K103" s="159" t="s">
        <v>3997</v>
      </c>
      <c r="L103" s="159" t="s">
        <v>336</v>
      </c>
      <c r="M103" s="159" t="s">
        <v>336</v>
      </c>
      <c r="N103" s="313" t="s">
        <v>3998</v>
      </c>
      <c r="O103" s="314"/>
      <c r="P103" s="64" t="s">
        <v>3999</v>
      </c>
    </row>
    <row r="104" spans="1:16" ht="26.4" x14ac:dyDescent="0.3">
      <c r="A104" s="157">
        <v>103</v>
      </c>
      <c r="B104" s="217" t="s">
        <v>3817</v>
      </c>
      <c r="C104" s="201" t="s">
        <v>4000</v>
      </c>
      <c r="D104" s="159" t="s">
        <v>3402</v>
      </c>
      <c r="E104" s="165" t="s">
        <v>1756</v>
      </c>
      <c r="F104" s="159" t="s">
        <v>2522</v>
      </c>
      <c r="G104" s="159" t="s">
        <v>2928</v>
      </c>
      <c r="H104" s="159" t="s">
        <v>3340</v>
      </c>
      <c r="I104" s="159" t="s">
        <v>4001</v>
      </c>
      <c r="J104" s="159" t="s">
        <v>4002</v>
      </c>
      <c r="K104" s="159" t="s">
        <v>336</v>
      </c>
      <c r="L104" s="159" t="s">
        <v>336</v>
      </c>
      <c r="M104" s="159" t="s">
        <v>336</v>
      </c>
      <c r="N104" s="313" t="s">
        <v>4003</v>
      </c>
      <c r="O104" s="314"/>
    </row>
    <row r="105" spans="1:16" ht="28.8" x14ac:dyDescent="0.3">
      <c r="A105" s="157">
        <v>104</v>
      </c>
      <c r="B105" s="217" t="s">
        <v>3817</v>
      </c>
      <c r="C105" s="201" t="s">
        <v>4000</v>
      </c>
      <c r="D105" s="159" t="s">
        <v>3402</v>
      </c>
      <c r="E105" s="165" t="s">
        <v>1756</v>
      </c>
      <c r="F105" s="159" t="s">
        <v>2522</v>
      </c>
      <c r="G105" s="159" t="s">
        <v>2933</v>
      </c>
      <c r="H105" s="159" t="s">
        <v>2523</v>
      </c>
      <c r="I105" s="159" t="s">
        <v>4004</v>
      </c>
      <c r="J105" s="159" t="s">
        <v>4005</v>
      </c>
      <c r="K105" s="159" t="s">
        <v>336</v>
      </c>
      <c r="L105" s="159" t="s">
        <v>4006</v>
      </c>
      <c r="M105" s="159" t="s">
        <v>4007</v>
      </c>
      <c r="N105" s="313" t="s">
        <v>4008</v>
      </c>
      <c r="O105" s="314"/>
      <c r="P105" s="64" t="s">
        <v>4009</v>
      </c>
    </row>
    <row r="106" spans="1:16" ht="26.4" x14ac:dyDescent="0.3">
      <c r="A106" s="203">
        <v>105</v>
      </c>
      <c r="B106" s="217" t="s">
        <v>3817</v>
      </c>
      <c r="C106" s="201" t="s">
        <v>4010</v>
      </c>
      <c r="D106" s="159" t="s">
        <v>3498</v>
      </c>
      <c r="E106" s="165" t="s">
        <v>1756</v>
      </c>
      <c r="F106" s="159" t="s">
        <v>2522</v>
      </c>
      <c r="G106" s="159" t="s">
        <v>3021</v>
      </c>
      <c r="H106" s="159" t="s">
        <v>2523</v>
      </c>
      <c r="I106" s="159" t="s">
        <v>4011</v>
      </c>
      <c r="J106" s="159" t="s">
        <v>4012</v>
      </c>
      <c r="K106" s="159" t="s">
        <v>4013</v>
      </c>
      <c r="L106" s="159" t="s">
        <v>4014</v>
      </c>
      <c r="M106" s="159" t="s">
        <v>336</v>
      </c>
      <c r="N106" s="313" t="s">
        <v>4015</v>
      </c>
      <c r="O106" s="314"/>
      <c r="P106" s="64" t="s">
        <v>3879</v>
      </c>
    </row>
    <row r="107" spans="1:16" ht="26.4" x14ac:dyDescent="0.3">
      <c r="A107" s="157">
        <v>106</v>
      </c>
      <c r="B107" s="217" t="s">
        <v>3817</v>
      </c>
      <c r="C107" s="201" t="s">
        <v>3543</v>
      </c>
      <c r="D107" s="159" t="s">
        <v>3544</v>
      </c>
      <c r="E107" s="165" t="s">
        <v>1756</v>
      </c>
      <c r="F107" s="159" t="s">
        <v>2522</v>
      </c>
      <c r="G107" s="159" t="s">
        <v>3029</v>
      </c>
      <c r="H107" s="159" t="s">
        <v>2523</v>
      </c>
      <c r="I107" s="159" t="s">
        <v>4016</v>
      </c>
      <c r="J107" s="159" t="s">
        <v>4017</v>
      </c>
      <c r="K107" s="159" t="s">
        <v>336</v>
      </c>
      <c r="L107" s="159" t="s">
        <v>336</v>
      </c>
      <c r="M107" s="159" t="s">
        <v>336</v>
      </c>
      <c r="N107" s="313" t="s">
        <v>4018</v>
      </c>
      <c r="O107" s="314"/>
    </row>
    <row r="108" spans="1:16" ht="26.4" x14ac:dyDescent="0.3">
      <c r="A108" s="157">
        <v>107</v>
      </c>
      <c r="B108" s="217" t="s">
        <v>3817</v>
      </c>
      <c r="C108" s="201" t="s">
        <v>4019</v>
      </c>
      <c r="D108" s="159" t="s">
        <v>3329</v>
      </c>
      <c r="E108" s="165" t="s">
        <v>1756</v>
      </c>
      <c r="F108" s="159" t="s">
        <v>2522</v>
      </c>
      <c r="G108" s="159" t="s">
        <v>3041</v>
      </c>
      <c r="H108" s="159" t="s">
        <v>3589</v>
      </c>
      <c r="I108" s="159" t="s">
        <v>4020</v>
      </c>
      <c r="J108" s="159" t="s">
        <v>4021</v>
      </c>
      <c r="K108" s="159" t="s">
        <v>4022</v>
      </c>
      <c r="L108" s="159" t="s">
        <v>336</v>
      </c>
      <c r="M108" s="159" t="s">
        <v>336</v>
      </c>
      <c r="N108" s="313" t="s">
        <v>4023</v>
      </c>
      <c r="O108" s="314"/>
    </row>
    <row r="109" spans="1:16" ht="39.6" x14ac:dyDescent="0.3">
      <c r="A109" s="157">
        <v>108</v>
      </c>
      <c r="B109" s="217" t="s">
        <v>3817</v>
      </c>
      <c r="C109" s="201" t="s">
        <v>4024</v>
      </c>
      <c r="D109" s="159" t="s">
        <v>3329</v>
      </c>
      <c r="E109" s="165" t="s">
        <v>1756</v>
      </c>
      <c r="F109" s="159" t="s">
        <v>2522</v>
      </c>
      <c r="G109" s="159" t="s">
        <v>3052</v>
      </c>
      <c r="H109" s="159" t="s">
        <v>2523</v>
      </c>
      <c r="I109" s="159" t="s">
        <v>4025</v>
      </c>
      <c r="J109" s="159" t="s">
        <v>4026</v>
      </c>
      <c r="K109" s="159" t="s">
        <v>4027</v>
      </c>
      <c r="L109" s="159" t="s">
        <v>4028</v>
      </c>
      <c r="M109" s="159" t="s">
        <v>336</v>
      </c>
      <c r="N109" s="313" t="s">
        <v>4029</v>
      </c>
      <c r="O109" s="314"/>
    </row>
    <row r="110" spans="1:16" ht="39.6" x14ac:dyDescent="0.3">
      <c r="A110" s="203">
        <v>109</v>
      </c>
      <c r="B110" s="217" t="s">
        <v>3817</v>
      </c>
      <c r="C110" s="201" t="s">
        <v>4030</v>
      </c>
      <c r="D110" s="159" t="s">
        <v>96</v>
      </c>
      <c r="E110" s="165" t="s">
        <v>1756</v>
      </c>
      <c r="F110" s="159" t="s">
        <v>2522</v>
      </c>
      <c r="G110" s="159" t="s">
        <v>3088</v>
      </c>
      <c r="H110" s="159" t="s">
        <v>2523</v>
      </c>
      <c r="I110" s="159" t="s">
        <v>4031</v>
      </c>
      <c r="J110" s="159" t="s">
        <v>4032</v>
      </c>
      <c r="K110" s="159" t="s">
        <v>4033</v>
      </c>
      <c r="L110" s="159" t="s">
        <v>336</v>
      </c>
      <c r="M110" s="159" t="s">
        <v>336</v>
      </c>
      <c r="N110" s="313" t="s">
        <v>4034</v>
      </c>
      <c r="O110" s="314"/>
    </row>
    <row r="111" spans="1:16" ht="26.4" x14ac:dyDescent="0.3">
      <c r="A111" s="157">
        <v>110</v>
      </c>
      <c r="B111" s="217" t="s">
        <v>3817</v>
      </c>
      <c r="C111" s="201" t="s">
        <v>4035</v>
      </c>
      <c r="D111" s="159" t="s">
        <v>96</v>
      </c>
      <c r="E111" s="165" t="s">
        <v>1756</v>
      </c>
      <c r="F111" s="159" t="s">
        <v>2522</v>
      </c>
      <c r="G111" s="159" t="s">
        <v>4036</v>
      </c>
      <c r="H111" s="159" t="s">
        <v>3589</v>
      </c>
      <c r="I111" s="159" t="s">
        <v>4037</v>
      </c>
      <c r="J111" s="159" t="s">
        <v>4038</v>
      </c>
      <c r="K111" s="159" t="s">
        <v>336</v>
      </c>
      <c r="L111" s="159" t="s">
        <v>336</v>
      </c>
      <c r="M111" s="159" t="s">
        <v>336</v>
      </c>
      <c r="N111" s="313" t="s">
        <v>4039</v>
      </c>
      <c r="O111" s="314"/>
      <c r="P111" s="64" t="s">
        <v>4040</v>
      </c>
    </row>
    <row r="112" spans="1:16" ht="26.4" x14ac:dyDescent="0.3">
      <c r="A112" s="157">
        <v>111</v>
      </c>
      <c r="B112" s="217" t="s">
        <v>3817</v>
      </c>
      <c r="C112" s="201" t="s">
        <v>4041</v>
      </c>
      <c r="D112" s="159" t="s">
        <v>3569</v>
      </c>
      <c r="E112" s="165" t="s">
        <v>1756</v>
      </c>
      <c r="F112" s="159" t="s">
        <v>2522</v>
      </c>
      <c r="G112" s="159" t="s">
        <v>3146</v>
      </c>
      <c r="H112" s="159" t="s">
        <v>3589</v>
      </c>
      <c r="I112" s="159" t="s">
        <v>4042</v>
      </c>
      <c r="J112" s="159" t="s">
        <v>4043</v>
      </c>
      <c r="K112" s="159" t="s">
        <v>4044</v>
      </c>
      <c r="L112" s="159" t="s">
        <v>4045</v>
      </c>
      <c r="M112" s="159" t="s">
        <v>336</v>
      </c>
      <c r="N112" s="313" t="s">
        <v>4046</v>
      </c>
      <c r="O112" s="314"/>
    </row>
    <row r="113" spans="1:16" ht="26.4" x14ac:dyDescent="0.3">
      <c r="A113" s="157">
        <v>112</v>
      </c>
      <c r="B113" s="217" t="s">
        <v>3817</v>
      </c>
      <c r="C113" s="201" t="s">
        <v>4047</v>
      </c>
      <c r="D113" s="159" t="s">
        <v>3410</v>
      </c>
      <c r="E113" s="165" t="s">
        <v>1756</v>
      </c>
      <c r="F113" s="159" t="s">
        <v>2522</v>
      </c>
      <c r="G113" s="159" t="s">
        <v>3223</v>
      </c>
      <c r="H113" s="159" t="s">
        <v>3589</v>
      </c>
      <c r="I113" s="159" t="s">
        <v>4048</v>
      </c>
      <c r="J113" s="159" t="s">
        <v>4049</v>
      </c>
      <c r="K113" s="159" t="s">
        <v>4050</v>
      </c>
      <c r="L113" s="159" t="s">
        <v>4051</v>
      </c>
      <c r="M113" s="159" t="s">
        <v>336</v>
      </c>
      <c r="N113" s="313" t="s">
        <v>4052</v>
      </c>
      <c r="O113" s="314"/>
    </row>
    <row r="114" spans="1:16" ht="26.4" x14ac:dyDescent="0.3">
      <c r="A114" s="203">
        <v>113</v>
      </c>
      <c r="B114" s="217" t="s">
        <v>3817</v>
      </c>
      <c r="C114" s="201" t="s">
        <v>4053</v>
      </c>
      <c r="D114" s="159" t="s">
        <v>3577</v>
      </c>
      <c r="E114" s="165" t="s">
        <v>1756</v>
      </c>
      <c r="F114" s="159" t="s">
        <v>2522</v>
      </c>
      <c r="G114" s="159" t="s">
        <v>3235</v>
      </c>
      <c r="H114" s="159" t="s">
        <v>3340</v>
      </c>
      <c r="I114" s="159" t="s">
        <v>4054</v>
      </c>
      <c r="J114" s="159" t="s">
        <v>4055</v>
      </c>
      <c r="K114" s="159" t="s">
        <v>336</v>
      </c>
      <c r="L114" s="159" t="s">
        <v>4056</v>
      </c>
      <c r="M114" s="159" t="s">
        <v>4057</v>
      </c>
      <c r="N114" s="313" t="s">
        <v>4058</v>
      </c>
      <c r="O114" s="314"/>
    </row>
    <row r="115" spans="1:16" ht="26.4" x14ac:dyDescent="0.3">
      <c r="A115" s="157">
        <v>114</v>
      </c>
      <c r="B115" s="217" t="s">
        <v>3817</v>
      </c>
      <c r="C115" s="201" t="s">
        <v>4053</v>
      </c>
      <c r="D115" s="159" t="s">
        <v>3577</v>
      </c>
      <c r="E115" s="165" t="s">
        <v>1756</v>
      </c>
      <c r="F115" s="159" t="s">
        <v>2522</v>
      </c>
      <c r="G115" s="159" t="s">
        <v>3246</v>
      </c>
      <c r="H115" s="159" t="s">
        <v>3340</v>
      </c>
      <c r="I115" s="159" t="s">
        <v>4059</v>
      </c>
      <c r="J115" s="159" t="s">
        <v>4060</v>
      </c>
      <c r="K115" s="159" t="s">
        <v>336</v>
      </c>
      <c r="L115" s="159" t="s">
        <v>4061</v>
      </c>
      <c r="M115" s="159" t="s">
        <v>4062</v>
      </c>
      <c r="N115" s="313" t="s">
        <v>4063</v>
      </c>
      <c r="O115" s="314"/>
    </row>
    <row r="116" spans="1:16" ht="26.4" x14ac:dyDescent="0.3">
      <c r="A116" s="157">
        <v>115</v>
      </c>
      <c r="B116" s="217" t="s">
        <v>3817</v>
      </c>
      <c r="C116" s="201" t="s">
        <v>4064</v>
      </c>
      <c r="D116" s="159" t="s">
        <v>3402</v>
      </c>
      <c r="E116" s="165" t="s">
        <v>1756</v>
      </c>
      <c r="F116" s="159" t="s">
        <v>2522</v>
      </c>
      <c r="G116" s="159" t="s">
        <v>2947</v>
      </c>
      <c r="H116" s="159" t="s">
        <v>2523</v>
      </c>
      <c r="I116" s="159" t="s">
        <v>4065</v>
      </c>
      <c r="J116" s="159" t="s">
        <v>4066</v>
      </c>
      <c r="K116" s="159" t="s">
        <v>4067</v>
      </c>
      <c r="L116" s="159" t="s">
        <v>336</v>
      </c>
      <c r="M116" s="159" t="s">
        <v>4068</v>
      </c>
      <c r="N116" s="313" t="s">
        <v>4069</v>
      </c>
      <c r="O116" s="314"/>
      <c r="P116" s="64" t="s">
        <v>4070</v>
      </c>
    </row>
    <row r="117" spans="1:16" ht="66" x14ac:dyDescent="0.3">
      <c r="A117" s="157">
        <v>116</v>
      </c>
      <c r="B117" s="217" t="s">
        <v>3817</v>
      </c>
      <c r="C117" s="201" t="s">
        <v>4071</v>
      </c>
      <c r="D117" s="159" t="s">
        <v>3569</v>
      </c>
      <c r="E117" s="165" t="s">
        <v>1756</v>
      </c>
      <c r="F117" s="159" t="s">
        <v>2522</v>
      </c>
      <c r="G117" s="159" t="s">
        <v>4072</v>
      </c>
      <c r="H117" s="159" t="s">
        <v>2523</v>
      </c>
      <c r="I117" s="159" t="s">
        <v>4073</v>
      </c>
      <c r="J117" s="159"/>
      <c r="K117" s="159"/>
      <c r="L117" s="159" t="s">
        <v>336</v>
      </c>
      <c r="M117" s="159"/>
      <c r="N117" s="313" t="s">
        <v>3575</v>
      </c>
      <c r="O117" s="314"/>
    </row>
    <row r="118" spans="1:16" ht="26.4" x14ac:dyDescent="0.3">
      <c r="A118" s="203">
        <v>117</v>
      </c>
      <c r="B118" s="218" t="s">
        <v>4074</v>
      </c>
      <c r="C118" s="237" t="s">
        <v>2926</v>
      </c>
      <c r="D118" s="199" t="s">
        <v>3402</v>
      </c>
      <c r="E118" s="219" t="s">
        <v>1756</v>
      </c>
      <c r="F118" s="220" t="s">
        <v>2917</v>
      </c>
      <c r="G118" s="199" t="s">
        <v>2923</v>
      </c>
      <c r="H118" s="199" t="s">
        <v>336</v>
      </c>
      <c r="I118" s="199" t="s">
        <v>4075</v>
      </c>
      <c r="J118" s="199" t="s">
        <v>4076</v>
      </c>
      <c r="K118" s="199" t="s">
        <v>336</v>
      </c>
      <c r="L118" s="199" t="s">
        <v>4077</v>
      </c>
      <c r="M118" s="199" t="s">
        <v>336</v>
      </c>
      <c r="N118" s="318" t="s">
        <v>4078</v>
      </c>
      <c r="O118" s="314"/>
    </row>
    <row r="119" spans="1:16" ht="52.8" x14ac:dyDescent="0.3">
      <c r="A119" s="157">
        <v>118</v>
      </c>
      <c r="B119" s="221" t="s">
        <v>4074</v>
      </c>
      <c r="C119" s="201" t="s">
        <v>4079</v>
      </c>
      <c r="D119" s="159" t="s">
        <v>3402</v>
      </c>
      <c r="E119" s="165" t="s">
        <v>1756</v>
      </c>
      <c r="F119" s="222" t="s">
        <v>2917</v>
      </c>
      <c r="G119" s="159" t="s">
        <v>2915</v>
      </c>
      <c r="H119" s="159" t="s">
        <v>336</v>
      </c>
      <c r="I119" s="159" t="s">
        <v>4080</v>
      </c>
      <c r="J119" s="159" t="s">
        <v>4081</v>
      </c>
      <c r="K119" s="159" t="s">
        <v>4082</v>
      </c>
      <c r="L119" s="159" t="s">
        <v>4083</v>
      </c>
      <c r="M119" s="159" t="s">
        <v>4084</v>
      </c>
      <c r="N119" s="313" t="s">
        <v>4085</v>
      </c>
      <c r="O119" s="314"/>
    </row>
    <row r="120" spans="1:16" ht="26.4" x14ac:dyDescent="0.3">
      <c r="A120" s="157">
        <v>119</v>
      </c>
      <c r="B120" s="221" t="s">
        <v>4074</v>
      </c>
      <c r="C120" s="201" t="s">
        <v>4053</v>
      </c>
      <c r="D120" s="159" t="s">
        <v>3577</v>
      </c>
      <c r="E120" s="165" t="s">
        <v>1756</v>
      </c>
      <c r="F120" s="222" t="s">
        <v>2917</v>
      </c>
      <c r="G120" s="159" t="s">
        <v>3240</v>
      </c>
      <c r="H120" s="159" t="s">
        <v>336</v>
      </c>
      <c r="I120" s="159" t="s">
        <v>4086</v>
      </c>
      <c r="J120" s="159" t="s">
        <v>4087</v>
      </c>
      <c r="K120" s="159" t="s">
        <v>4088</v>
      </c>
      <c r="L120" s="159" t="s">
        <v>4089</v>
      </c>
      <c r="M120" s="159" t="s">
        <v>4062</v>
      </c>
      <c r="N120" s="313" t="s">
        <v>4090</v>
      </c>
      <c r="O120" s="314"/>
    </row>
    <row r="121" spans="1:16" ht="45.6" x14ac:dyDescent="0.3">
      <c r="A121" s="157">
        <v>120</v>
      </c>
      <c r="B121" s="221" t="s">
        <v>4074</v>
      </c>
      <c r="C121" s="201" t="s">
        <v>2998</v>
      </c>
      <c r="D121" s="159" t="s">
        <v>3498</v>
      </c>
      <c r="E121" s="165" t="s">
        <v>1756</v>
      </c>
      <c r="F121" s="222" t="s">
        <v>2917</v>
      </c>
      <c r="G121" s="159" t="s">
        <v>2995</v>
      </c>
      <c r="H121" s="159" t="s">
        <v>336</v>
      </c>
      <c r="I121" s="159" t="s">
        <v>4091</v>
      </c>
      <c r="J121" s="159" t="s">
        <v>4092</v>
      </c>
      <c r="K121" s="159" t="s">
        <v>4093</v>
      </c>
      <c r="L121" s="159" t="s">
        <v>4094</v>
      </c>
      <c r="M121" s="159" t="s">
        <v>2998</v>
      </c>
      <c r="N121" s="313" t="s">
        <v>4095</v>
      </c>
      <c r="O121" s="314"/>
    </row>
    <row r="122" spans="1:16" ht="39.6" x14ac:dyDescent="0.3">
      <c r="A122" s="203">
        <v>121</v>
      </c>
      <c r="B122" s="221" t="s">
        <v>4074</v>
      </c>
      <c r="C122" s="201" t="s">
        <v>4096</v>
      </c>
      <c r="D122" s="159" t="s">
        <v>3752</v>
      </c>
      <c r="E122" s="165" t="s">
        <v>1756</v>
      </c>
      <c r="F122" s="222" t="s">
        <v>2917</v>
      </c>
      <c r="G122" s="159" t="s">
        <v>3184</v>
      </c>
      <c r="H122" s="159" t="s">
        <v>336</v>
      </c>
      <c r="I122" s="159" t="s">
        <v>4097</v>
      </c>
      <c r="J122" s="159" t="s">
        <v>4098</v>
      </c>
      <c r="K122" s="159" t="s">
        <v>4099</v>
      </c>
      <c r="L122" s="159" t="s">
        <v>4100</v>
      </c>
      <c r="M122" s="159" t="s">
        <v>4101</v>
      </c>
      <c r="N122" s="313" t="s">
        <v>4102</v>
      </c>
      <c r="O122" s="314"/>
    </row>
    <row r="123" spans="1:16" ht="52.8" x14ac:dyDescent="0.3">
      <c r="A123" s="157">
        <v>122</v>
      </c>
      <c r="B123" s="221" t="s">
        <v>4074</v>
      </c>
      <c r="C123" s="201" t="s">
        <v>4103</v>
      </c>
      <c r="D123" s="159" t="s">
        <v>3844</v>
      </c>
      <c r="E123" s="223" t="s">
        <v>4104</v>
      </c>
      <c r="F123" s="222" t="s">
        <v>2917</v>
      </c>
      <c r="G123" s="159" t="s">
        <v>2957</v>
      </c>
      <c r="H123" s="159" t="s">
        <v>336</v>
      </c>
      <c r="I123" s="159" t="s">
        <v>4105</v>
      </c>
      <c r="J123" s="159" t="s">
        <v>4106</v>
      </c>
      <c r="K123" s="159" t="s">
        <v>4107</v>
      </c>
      <c r="L123" s="159" t="s">
        <v>4108</v>
      </c>
      <c r="M123" s="159" t="s">
        <v>336</v>
      </c>
      <c r="N123" s="313" t="s">
        <v>4109</v>
      </c>
      <c r="O123" s="314"/>
    </row>
    <row r="124" spans="1:16" ht="26.4" x14ac:dyDescent="0.3">
      <c r="A124" s="157">
        <v>123</v>
      </c>
      <c r="B124" s="224" t="s">
        <v>4110</v>
      </c>
      <c r="C124" s="237" t="s">
        <v>4111</v>
      </c>
      <c r="D124" s="199" t="s">
        <v>3924</v>
      </c>
      <c r="E124" s="225" t="s">
        <v>1823</v>
      </c>
      <c r="F124" s="199" t="s">
        <v>4112</v>
      </c>
      <c r="G124" s="199" t="s">
        <v>3272</v>
      </c>
      <c r="H124" s="199" t="s">
        <v>336</v>
      </c>
      <c r="I124" s="199" t="s">
        <v>4113</v>
      </c>
      <c r="J124" s="199" t="s">
        <v>4114</v>
      </c>
      <c r="K124" s="199" t="s">
        <v>4115</v>
      </c>
      <c r="L124" s="199" t="s">
        <v>336</v>
      </c>
      <c r="M124" s="199" t="s">
        <v>4116</v>
      </c>
      <c r="N124" s="318" t="s">
        <v>4117</v>
      </c>
      <c r="O124" s="314"/>
    </row>
    <row r="125" spans="1:16" ht="26.4" x14ac:dyDescent="0.3">
      <c r="A125" s="157">
        <v>124</v>
      </c>
      <c r="B125" s="226" t="s">
        <v>4110</v>
      </c>
      <c r="C125" s="201" t="s">
        <v>4111</v>
      </c>
      <c r="D125" s="159" t="s">
        <v>3366</v>
      </c>
      <c r="E125" s="223" t="s">
        <v>4104</v>
      </c>
      <c r="F125" s="159" t="s">
        <v>4112</v>
      </c>
      <c r="G125" s="159" t="s">
        <v>2903</v>
      </c>
      <c r="H125" s="159" t="s">
        <v>336</v>
      </c>
      <c r="I125" s="159" t="s">
        <v>4118</v>
      </c>
      <c r="J125" s="159" t="s">
        <v>336</v>
      </c>
      <c r="K125" s="159" t="s">
        <v>4119</v>
      </c>
      <c r="L125" s="159" t="s">
        <v>336</v>
      </c>
      <c r="M125" s="159" t="s">
        <v>4120</v>
      </c>
      <c r="N125" s="313" t="s">
        <v>4121</v>
      </c>
      <c r="O125" s="314"/>
    </row>
    <row r="126" spans="1:16" ht="39.6" x14ac:dyDescent="0.3">
      <c r="A126" s="203">
        <v>125</v>
      </c>
      <c r="B126" s="226" t="s">
        <v>4110</v>
      </c>
      <c r="C126" s="238" t="s">
        <v>2588</v>
      </c>
      <c r="D126" s="159" t="s">
        <v>3329</v>
      </c>
      <c r="E126" s="165" t="s">
        <v>1756</v>
      </c>
      <c r="F126" s="159" t="s">
        <v>4112</v>
      </c>
      <c r="G126" s="159" t="s">
        <v>3063</v>
      </c>
      <c r="H126" s="159" t="s">
        <v>336</v>
      </c>
      <c r="I126" s="159" t="s">
        <v>4122</v>
      </c>
      <c r="J126" s="159" t="s">
        <v>336</v>
      </c>
      <c r="K126" s="159" t="s">
        <v>4123</v>
      </c>
      <c r="L126" s="159" t="s">
        <v>336</v>
      </c>
      <c r="M126" s="159" t="s">
        <v>4124</v>
      </c>
      <c r="N126" s="313" t="s">
        <v>4125</v>
      </c>
      <c r="O126" s="314"/>
    </row>
    <row r="127" spans="1:16" ht="26.4" x14ac:dyDescent="0.3">
      <c r="A127" s="157">
        <v>126</v>
      </c>
      <c r="B127" s="226" t="s">
        <v>4110</v>
      </c>
      <c r="C127" s="201" t="s">
        <v>4126</v>
      </c>
      <c r="D127" s="159" t="s">
        <v>3452</v>
      </c>
      <c r="E127" s="165" t="s">
        <v>1756</v>
      </c>
      <c r="F127" s="159" t="s">
        <v>4112</v>
      </c>
      <c r="G127" s="159" t="s">
        <v>4127</v>
      </c>
      <c r="H127" s="159" t="s">
        <v>3375</v>
      </c>
      <c r="I127" s="159" t="s">
        <v>4128</v>
      </c>
      <c r="J127" s="159" t="s">
        <v>4129</v>
      </c>
      <c r="K127" s="159" t="s">
        <v>4130</v>
      </c>
      <c r="L127" s="159" t="s">
        <v>4131</v>
      </c>
      <c r="M127" s="159" t="s">
        <v>3719</v>
      </c>
      <c r="N127" s="159" t="s">
        <v>4132</v>
      </c>
      <c r="O127" s="312"/>
    </row>
    <row r="128" spans="1:16" ht="52.8" x14ac:dyDescent="0.3">
      <c r="A128" s="157">
        <v>127</v>
      </c>
      <c r="B128" s="226" t="s">
        <v>4110</v>
      </c>
      <c r="C128" s="201" t="s">
        <v>4133</v>
      </c>
      <c r="D128" s="159" t="s">
        <v>3452</v>
      </c>
      <c r="E128" s="165" t="s">
        <v>1756</v>
      </c>
      <c r="F128" s="159" t="s">
        <v>4112</v>
      </c>
      <c r="G128" s="159" t="s">
        <v>4134</v>
      </c>
      <c r="H128" s="159" t="s">
        <v>3375</v>
      </c>
      <c r="I128" s="159" t="s">
        <v>4135</v>
      </c>
      <c r="J128" s="159" t="s">
        <v>4136</v>
      </c>
      <c r="K128" s="159" t="s">
        <v>336</v>
      </c>
      <c r="L128" s="159" t="s">
        <v>4137</v>
      </c>
      <c r="M128" s="159" t="s">
        <v>3719</v>
      </c>
      <c r="N128" s="159" t="s">
        <v>4138</v>
      </c>
      <c r="O128" s="312"/>
    </row>
    <row r="129" spans="1:15" ht="39.6" x14ac:dyDescent="0.3">
      <c r="A129" s="157">
        <v>128</v>
      </c>
      <c r="B129" s="226" t="s">
        <v>4110</v>
      </c>
      <c r="C129" s="201" t="s">
        <v>4139</v>
      </c>
      <c r="D129" s="159" t="s">
        <v>3366</v>
      </c>
      <c r="E129" s="165" t="s">
        <v>1756</v>
      </c>
      <c r="F129" s="159" t="s">
        <v>4112</v>
      </c>
      <c r="G129" s="159" t="s">
        <v>2881</v>
      </c>
      <c r="H129" s="159" t="s">
        <v>336</v>
      </c>
      <c r="I129" s="159" t="s">
        <v>4140</v>
      </c>
      <c r="J129" s="159" t="s">
        <v>4141</v>
      </c>
      <c r="K129" s="159" t="s">
        <v>4142</v>
      </c>
      <c r="L129" s="159" t="s">
        <v>4143</v>
      </c>
      <c r="M129" s="159" t="s">
        <v>4144</v>
      </c>
      <c r="N129" s="313" t="s">
        <v>4145</v>
      </c>
      <c r="O129" s="314"/>
    </row>
    <row r="130" spans="1:15" ht="26.4" x14ac:dyDescent="0.3">
      <c r="A130" s="203">
        <v>129</v>
      </c>
      <c r="B130" s="226" t="s">
        <v>4110</v>
      </c>
      <c r="C130" s="201" t="s">
        <v>4146</v>
      </c>
      <c r="D130" s="159" t="s">
        <v>3587</v>
      </c>
      <c r="E130" s="223" t="s">
        <v>4104</v>
      </c>
      <c r="F130" s="159" t="s">
        <v>4112</v>
      </c>
      <c r="G130" s="159" t="s">
        <v>4147</v>
      </c>
      <c r="H130" s="159" t="s">
        <v>3589</v>
      </c>
      <c r="I130" s="159" t="s">
        <v>4148</v>
      </c>
      <c r="J130" s="159" t="s">
        <v>4149</v>
      </c>
      <c r="K130" s="159" t="s">
        <v>4150</v>
      </c>
      <c r="L130" s="159" t="s">
        <v>336</v>
      </c>
      <c r="M130" s="159" t="s">
        <v>4151</v>
      </c>
      <c r="N130" s="159" t="s">
        <v>4152</v>
      </c>
      <c r="O130" s="312"/>
    </row>
    <row r="131" spans="1:15" ht="26.4" x14ac:dyDescent="0.3">
      <c r="A131" s="157">
        <v>130</v>
      </c>
      <c r="B131" s="226" t="s">
        <v>4110</v>
      </c>
      <c r="C131" s="201" t="s">
        <v>4153</v>
      </c>
      <c r="D131" s="159" t="s">
        <v>3315</v>
      </c>
      <c r="E131" s="223" t="s">
        <v>4104</v>
      </c>
      <c r="F131" s="159" t="s">
        <v>4112</v>
      </c>
      <c r="G131" s="159" t="s">
        <v>4154</v>
      </c>
      <c r="H131" s="159" t="s">
        <v>2523</v>
      </c>
      <c r="I131" s="159" t="s">
        <v>4155</v>
      </c>
      <c r="J131" s="159" t="s">
        <v>336</v>
      </c>
      <c r="K131" s="159" t="s">
        <v>4156</v>
      </c>
      <c r="L131" s="159" t="s">
        <v>336</v>
      </c>
      <c r="M131" s="159" t="s">
        <v>336</v>
      </c>
      <c r="N131" s="159" t="s">
        <v>4157</v>
      </c>
      <c r="O131" s="312"/>
    </row>
    <row r="132" spans="1:15" ht="34.200000000000003" x14ac:dyDescent="0.3">
      <c r="A132" s="157">
        <v>131</v>
      </c>
      <c r="B132" s="226" t="s">
        <v>4110</v>
      </c>
      <c r="C132" s="201" t="s">
        <v>4158</v>
      </c>
      <c r="D132" s="159" t="s">
        <v>3599</v>
      </c>
      <c r="E132" s="223" t="s">
        <v>4104</v>
      </c>
      <c r="F132" s="159" t="s">
        <v>4112</v>
      </c>
      <c r="G132" s="159" t="s">
        <v>3136</v>
      </c>
      <c r="H132" s="159" t="s">
        <v>336</v>
      </c>
      <c r="I132" s="159" t="s">
        <v>4159</v>
      </c>
      <c r="J132" s="159" t="s">
        <v>4160</v>
      </c>
      <c r="K132" s="159" t="s">
        <v>4161</v>
      </c>
      <c r="L132" s="159" t="s">
        <v>336</v>
      </c>
      <c r="M132" s="159" t="s">
        <v>4158</v>
      </c>
      <c r="N132" s="313" t="s">
        <v>4162</v>
      </c>
      <c r="O132" s="314"/>
    </row>
    <row r="133" spans="1:15" ht="39.6" x14ac:dyDescent="0.3">
      <c r="A133" s="157">
        <v>132</v>
      </c>
      <c r="B133" s="227" t="s">
        <v>4163</v>
      </c>
      <c r="C133" s="237" t="s">
        <v>2825</v>
      </c>
      <c r="D133" s="199" t="s">
        <v>3329</v>
      </c>
      <c r="E133" s="205" t="s">
        <v>1797</v>
      </c>
      <c r="F133" s="228" t="s">
        <v>651</v>
      </c>
      <c r="G133" s="199" t="s">
        <v>3073</v>
      </c>
      <c r="H133" s="199" t="s">
        <v>336</v>
      </c>
      <c r="I133" s="199" t="s">
        <v>4164</v>
      </c>
      <c r="J133" s="199" t="s">
        <v>336</v>
      </c>
      <c r="K133" s="199" t="s">
        <v>336</v>
      </c>
      <c r="L133" s="199" t="s">
        <v>336</v>
      </c>
      <c r="M133" s="199" t="s">
        <v>4165</v>
      </c>
      <c r="N133" s="318" t="s">
        <v>4166</v>
      </c>
      <c r="O133" s="314"/>
    </row>
    <row r="134" spans="1:15" ht="22.8" x14ac:dyDescent="0.3">
      <c r="A134" s="203">
        <v>133</v>
      </c>
      <c r="B134" s="229" t="s">
        <v>4163</v>
      </c>
      <c r="C134" s="201" t="s">
        <v>4167</v>
      </c>
      <c r="D134" s="159" t="s">
        <v>3366</v>
      </c>
      <c r="E134" s="210" t="s">
        <v>1760</v>
      </c>
      <c r="F134" s="230" t="s">
        <v>651</v>
      </c>
      <c r="G134" s="159" t="s">
        <v>4168</v>
      </c>
      <c r="H134" s="159" t="s">
        <v>2533</v>
      </c>
      <c r="I134" s="159" t="s">
        <v>2825</v>
      </c>
      <c r="J134" s="159" t="s">
        <v>336</v>
      </c>
      <c r="K134" s="159" t="s">
        <v>336</v>
      </c>
      <c r="L134" s="159" t="s">
        <v>336</v>
      </c>
      <c r="M134" s="159" t="s">
        <v>4165</v>
      </c>
      <c r="N134" s="159" t="s">
        <v>4169</v>
      </c>
      <c r="O134" s="312"/>
    </row>
    <row r="135" spans="1:15" ht="22.8" x14ac:dyDescent="0.3">
      <c r="A135" s="157">
        <v>134</v>
      </c>
      <c r="B135" s="229" t="s">
        <v>4163</v>
      </c>
      <c r="C135" s="201" t="s">
        <v>4170</v>
      </c>
      <c r="D135" s="159" t="s">
        <v>3587</v>
      </c>
      <c r="E135" s="210" t="s">
        <v>1760</v>
      </c>
      <c r="F135" s="230" t="s">
        <v>651</v>
      </c>
      <c r="G135" s="159" t="s">
        <v>2630</v>
      </c>
      <c r="H135" s="159" t="s">
        <v>2533</v>
      </c>
      <c r="I135" s="159" t="s">
        <v>2825</v>
      </c>
      <c r="J135" s="159" t="s">
        <v>336</v>
      </c>
      <c r="K135" s="159" t="s">
        <v>336</v>
      </c>
      <c r="L135" s="159" t="s">
        <v>336</v>
      </c>
      <c r="M135" s="159" t="s">
        <v>4165</v>
      </c>
      <c r="N135" s="159" t="s">
        <v>4171</v>
      </c>
      <c r="O135" s="312"/>
    </row>
    <row r="136" spans="1:15" ht="26.4" x14ac:dyDescent="0.3">
      <c r="A136" s="157">
        <v>135</v>
      </c>
      <c r="B136" s="229" t="s">
        <v>4163</v>
      </c>
      <c r="C136" s="201" t="s">
        <v>4172</v>
      </c>
      <c r="D136" s="159" t="s">
        <v>3452</v>
      </c>
      <c r="E136" s="210" t="s">
        <v>1760</v>
      </c>
      <c r="F136" s="230" t="s">
        <v>651</v>
      </c>
      <c r="G136" s="159" t="s">
        <v>4173</v>
      </c>
      <c r="H136" s="159" t="s">
        <v>3589</v>
      </c>
      <c r="I136" s="159" t="s">
        <v>4174</v>
      </c>
      <c r="J136" s="159" t="s">
        <v>336</v>
      </c>
      <c r="K136" s="159" t="s">
        <v>336</v>
      </c>
      <c r="L136" s="159" t="s">
        <v>336</v>
      </c>
      <c r="M136" s="159" t="s">
        <v>4175</v>
      </c>
      <c r="N136" s="159" t="s">
        <v>4176</v>
      </c>
      <c r="O136" s="312"/>
    </row>
    <row r="137" spans="1:15" ht="26.4" x14ac:dyDescent="0.3">
      <c r="A137" s="157">
        <v>136</v>
      </c>
      <c r="B137" s="229" t="s">
        <v>4163</v>
      </c>
      <c r="C137" s="201" t="s">
        <v>4177</v>
      </c>
      <c r="D137" s="159" t="s">
        <v>3339</v>
      </c>
      <c r="E137" s="164" t="s">
        <v>1823</v>
      </c>
      <c r="F137" s="230" t="s">
        <v>651</v>
      </c>
      <c r="G137" s="159" t="s">
        <v>4178</v>
      </c>
      <c r="H137" s="159" t="s">
        <v>2533</v>
      </c>
      <c r="I137" s="159" t="s">
        <v>4179</v>
      </c>
      <c r="J137" s="159" t="s">
        <v>336</v>
      </c>
      <c r="K137" s="159" t="s">
        <v>336</v>
      </c>
      <c r="L137" s="159" t="s">
        <v>336</v>
      </c>
      <c r="M137" s="159" t="s">
        <v>4180</v>
      </c>
      <c r="N137" s="159" t="s">
        <v>4181</v>
      </c>
      <c r="O137" s="312"/>
    </row>
    <row r="138" spans="1:15" ht="26.4" x14ac:dyDescent="0.3">
      <c r="A138" s="203">
        <v>137</v>
      </c>
      <c r="B138" s="229" t="s">
        <v>4163</v>
      </c>
      <c r="C138" s="201" t="s">
        <v>4182</v>
      </c>
      <c r="D138" s="159" t="s">
        <v>3339</v>
      </c>
      <c r="E138" s="164" t="s">
        <v>1823</v>
      </c>
      <c r="F138" s="230" t="s">
        <v>651</v>
      </c>
      <c r="G138" s="159" t="s">
        <v>4183</v>
      </c>
      <c r="H138" s="159" t="s">
        <v>2533</v>
      </c>
      <c r="I138" s="159" t="s">
        <v>2825</v>
      </c>
      <c r="J138" s="159" t="s">
        <v>336</v>
      </c>
      <c r="K138" s="159" t="s">
        <v>336</v>
      </c>
      <c r="L138" s="159" t="s">
        <v>336</v>
      </c>
      <c r="M138" s="159" t="s">
        <v>4165</v>
      </c>
      <c r="N138" s="159" t="s">
        <v>4184</v>
      </c>
      <c r="O138" s="312"/>
    </row>
    <row r="139" spans="1:15" ht="26.4" x14ac:dyDescent="0.3">
      <c r="A139" s="157">
        <v>138</v>
      </c>
      <c r="B139" s="229" t="s">
        <v>4163</v>
      </c>
      <c r="C139" s="201" t="s">
        <v>3254</v>
      </c>
      <c r="D139" s="159" t="s">
        <v>3577</v>
      </c>
      <c r="E139" s="164" t="s">
        <v>1823</v>
      </c>
      <c r="F139" s="230" t="s">
        <v>651</v>
      </c>
      <c r="G139" s="159" t="s">
        <v>3251</v>
      </c>
      <c r="H139" s="159" t="s">
        <v>336</v>
      </c>
      <c r="I139" s="159" t="s">
        <v>4185</v>
      </c>
      <c r="J139" s="159" t="s">
        <v>336</v>
      </c>
      <c r="K139" s="159" t="s">
        <v>336</v>
      </c>
      <c r="L139" s="159" t="s">
        <v>336</v>
      </c>
      <c r="M139" s="159" t="s">
        <v>4186</v>
      </c>
      <c r="N139" s="313" t="s">
        <v>4187</v>
      </c>
      <c r="O139" s="314"/>
    </row>
    <row r="140" spans="1:15" ht="22.8" x14ac:dyDescent="0.3">
      <c r="A140" s="157">
        <v>139</v>
      </c>
      <c r="B140" s="229" t="s">
        <v>4163</v>
      </c>
      <c r="C140" s="201" t="s">
        <v>4188</v>
      </c>
      <c r="D140" s="159" t="s">
        <v>3339</v>
      </c>
      <c r="E140" s="223" t="s">
        <v>4104</v>
      </c>
      <c r="F140" s="230" t="s">
        <v>651</v>
      </c>
      <c r="G140" s="159" t="s">
        <v>4189</v>
      </c>
      <c r="H140" s="159" t="s">
        <v>2533</v>
      </c>
      <c r="I140" s="159" t="s">
        <v>2825</v>
      </c>
      <c r="J140" s="159" t="s">
        <v>336</v>
      </c>
      <c r="K140" s="159" t="s">
        <v>336</v>
      </c>
      <c r="L140" s="159" t="s">
        <v>336</v>
      </c>
      <c r="M140" s="159" t="s">
        <v>4165</v>
      </c>
      <c r="N140" s="159" t="s">
        <v>4190</v>
      </c>
      <c r="O140" s="312"/>
    </row>
    <row r="141" spans="1:15" ht="52.8" x14ac:dyDescent="0.3">
      <c r="A141" s="157">
        <v>140</v>
      </c>
      <c r="B141" s="231" t="s">
        <v>4191</v>
      </c>
      <c r="C141" s="237" t="s">
        <v>4192</v>
      </c>
      <c r="D141" s="199" t="s">
        <v>3349</v>
      </c>
      <c r="E141" s="216" t="s">
        <v>1760</v>
      </c>
      <c r="F141" s="232" t="s">
        <v>2589</v>
      </c>
      <c r="G141" s="199" t="s">
        <v>4193</v>
      </c>
      <c r="H141" s="199" t="s">
        <v>336</v>
      </c>
      <c r="I141" s="199" t="s">
        <v>4194</v>
      </c>
      <c r="J141" s="199" t="s">
        <v>336</v>
      </c>
      <c r="K141" s="199" t="s">
        <v>336</v>
      </c>
      <c r="L141" s="199" t="s">
        <v>336</v>
      </c>
      <c r="M141" s="199" t="s">
        <v>4195</v>
      </c>
      <c r="N141" s="199" t="s">
        <v>4196</v>
      </c>
      <c r="O141" s="312"/>
    </row>
    <row r="142" spans="1:15" ht="26.4" x14ac:dyDescent="0.3">
      <c r="A142" s="203">
        <v>141</v>
      </c>
      <c r="B142" s="233" t="s">
        <v>4191</v>
      </c>
      <c r="C142" s="201" t="s">
        <v>3280</v>
      </c>
      <c r="D142" s="159" t="s">
        <v>3924</v>
      </c>
      <c r="E142" s="164" t="s">
        <v>1823</v>
      </c>
      <c r="F142" s="223" t="s">
        <v>4197</v>
      </c>
      <c r="G142" s="159" t="s">
        <v>3278</v>
      </c>
      <c r="H142" s="159" t="s">
        <v>336</v>
      </c>
      <c r="I142" s="159" t="s">
        <v>4198</v>
      </c>
      <c r="J142" s="159" t="s">
        <v>336</v>
      </c>
      <c r="K142" s="159" t="s">
        <v>336</v>
      </c>
      <c r="L142" s="159" t="s">
        <v>336</v>
      </c>
      <c r="M142" s="159" t="s">
        <v>4199</v>
      </c>
      <c r="N142" s="313" t="s">
        <v>4200</v>
      </c>
      <c r="O142" s="314"/>
    </row>
    <row r="143" spans="1:15" ht="22.8" x14ac:dyDescent="0.3">
      <c r="A143" s="157">
        <v>142</v>
      </c>
      <c r="B143" s="233" t="s">
        <v>4191</v>
      </c>
      <c r="C143" s="201" t="s">
        <v>4201</v>
      </c>
      <c r="D143" s="159" t="s">
        <v>3452</v>
      </c>
      <c r="E143" s="164" t="s">
        <v>1823</v>
      </c>
      <c r="F143" s="223" t="s">
        <v>2589</v>
      </c>
      <c r="G143" s="159" t="s">
        <v>4202</v>
      </c>
      <c r="H143" s="159" t="s">
        <v>336</v>
      </c>
      <c r="I143" s="159" t="s">
        <v>4203</v>
      </c>
      <c r="J143" s="159" t="s">
        <v>336</v>
      </c>
      <c r="K143" s="159" t="s">
        <v>336</v>
      </c>
      <c r="L143" s="159" t="s">
        <v>336</v>
      </c>
      <c r="M143" s="159" t="s">
        <v>4204</v>
      </c>
      <c r="N143" s="159" t="s">
        <v>4205</v>
      </c>
      <c r="O143" s="312"/>
    </row>
    <row r="144" spans="1:15" ht="26.4" x14ac:dyDescent="0.3">
      <c r="A144" s="157">
        <v>143</v>
      </c>
      <c r="B144" s="233" t="s">
        <v>4191</v>
      </c>
      <c r="C144" s="201" t="s">
        <v>4206</v>
      </c>
      <c r="D144" s="159" t="s">
        <v>3452</v>
      </c>
      <c r="E144" s="165" t="s">
        <v>1756</v>
      </c>
      <c r="F144" s="223" t="s">
        <v>2589</v>
      </c>
      <c r="G144" s="159" t="s">
        <v>4207</v>
      </c>
      <c r="H144" s="159" t="s">
        <v>336</v>
      </c>
      <c r="I144" s="159" t="s">
        <v>4208</v>
      </c>
      <c r="J144" s="159" t="s">
        <v>336</v>
      </c>
      <c r="K144" s="159" t="s">
        <v>336</v>
      </c>
      <c r="L144" s="159" t="s">
        <v>336</v>
      </c>
      <c r="M144" s="159" t="s">
        <v>4209</v>
      </c>
      <c r="N144" s="159" t="s">
        <v>4210</v>
      </c>
      <c r="O144" s="312"/>
    </row>
    <row r="145" ht="14.4" x14ac:dyDescent="0.3"/>
  </sheetData>
  <conditionalFormatting sqref="H1:H1048576">
    <cfRule type="containsText" dxfId="226" priority="1" operator="containsText" text="Won't do">
      <formula>NOT(ISERROR(SEARCH("Won't do",H1)))</formula>
    </cfRule>
    <cfRule type="containsText" dxfId="225" priority="2" operator="containsText" text="HELP!!">
      <formula>NOT(ISERROR(SEARCH("HELP!!",H1)))</formula>
    </cfRule>
    <cfRule type="containsText" dxfId="224" priority="3" operator="containsText" text="Need Clearify">
      <formula>NOT(ISERROR(SEARCH("Need Clearify",H1)))</formula>
    </cfRule>
    <cfRule type="containsText" dxfId="223" priority="4" operator="containsText" text="On Going">
      <formula>NOT(ISERROR(SEARCH("On Going",H1)))</formula>
    </cfRule>
    <cfRule type="containsText" dxfId="222" priority="5" operator="containsText" text="To-do">
      <formula>NOT(ISERROR(SEARCH("To-do",H1)))</formula>
    </cfRule>
    <cfRule type="containsText" dxfId="221" priority="6" operator="containsText" text="Completed">
      <formula>NOT(ISERROR(SEARCH("Completed",H1)))</formula>
    </cfRule>
  </conditionalFormatting>
  <dataValidations count="1">
    <dataValidation type="list" allowBlank="1" showInputMessage="1" showErrorMessage="1" sqref="H1:H1048576" xr:uid="{9A214A38-14B6-4AFB-AE73-CE89B0B42D0D}">
      <formula1>"Completed, To-do, On Going, Need Clearify, Won't do, HELP!!"</formula1>
    </dataValidation>
  </dataValidations>
  <hyperlinks>
    <hyperlink ref="C6" r:id="rId1" xr:uid="{B3676CC5-313D-4F76-95B0-EC0163E84A56}"/>
    <hyperlink ref="C26" r:id="rId2" xr:uid="{48BB149F-1D95-4975-BDB4-DA8A721F5058}"/>
    <hyperlink ref="C35" r:id="rId3" xr:uid="{2690E675-8FFA-4CFE-84D7-ACE7531833D7}"/>
    <hyperlink ref="C37" r:id="rId4" xr:uid="{DBC00AF8-5AEC-43A7-9C56-20BF69C29685}"/>
    <hyperlink ref="C52" r:id="rId5" xr:uid="{68F3FEBC-8077-4F49-AD47-0C563C7CE968}"/>
    <hyperlink ref="C2" r:id="rId6" xr:uid="{3A9424A3-8076-4F03-9AA4-3CFF319997B8}"/>
    <hyperlink ref="C14" r:id="rId7" xr:uid="{875C7915-2EB7-4263-832B-18251BF64146}"/>
    <hyperlink ref="C15" r:id="rId8" xr:uid="{A11E2A08-037F-4820-9C82-5B8AD2346C9D}"/>
    <hyperlink ref="C16" r:id="rId9" xr:uid="{47242304-DA0D-4ECD-B570-1A70C0EA9F5B}"/>
    <hyperlink ref="C21" r:id="rId10" xr:uid="{8686FA74-C983-4385-A94F-D576EE54EE83}"/>
    <hyperlink ref="C23" r:id="rId11" xr:uid="{A8C9C703-3141-46F4-B402-87A85E226438}"/>
    <hyperlink ref="C24" r:id="rId12" xr:uid="{FBD00216-CC1F-43B8-9326-F39CA466C3CE}"/>
    <hyperlink ref="C25" r:id="rId13" xr:uid="{7AF62B6D-F2A7-406F-A22B-05FD13D91F93}"/>
    <hyperlink ref="C28" r:id="rId14" xr:uid="{C0D2CF69-763E-4B07-963B-5FAC2A9C4FDC}"/>
  </hyperlinks>
  <pageMargins left="0.7" right="0.7" top="0.75" bottom="0.75"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138AD-3A39-4CEB-85EA-88DB3C1991F9}">
  <sheetPr>
    <tabColor theme="6" tint="0.79998168889431442"/>
  </sheetPr>
  <dimension ref="A1:AG144"/>
  <sheetViews>
    <sheetView topLeftCell="B1" zoomScale="115" workbookViewId="0">
      <pane ySplit="1" topLeftCell="A52" activePane="bottomLeft" state="frozen"/>
      <selection pane="bottomLeft" activeCell="A64" sqref="A64"/>
    </sheetView>
  </sheetViews>
  <sheetFormatPr defaultColWidth="11.44140625" defaultRowHeight="14.4" x14ac:dyDescent="0.3"/>
  <cols>
    <col min="1" max="1" width="11.44140625" style="62"/>
    <col min="2" max="2" width="17.6640625" style="63" customWidth="1"/>
    <col min="3" max="3" width="33.6640625" style="63" customWidth="1"/>
    <col min="4" max="4" width="38.44140625" style="63" customWidth="1"/>
    <col min="5" max="5" width="11.44140625" style="63" customWidth="1"/>
    <col min="6" max="6" width="12.6640625" style="63" customWidth="1"/>
    <col min="7" max="8" width="15.44140625" style="62" customWidth="1"/>
    <col min="9" max="9" width="15.44140625" style="143" customWidth="1"/>
    <col min="10" max="10" width="28.44140625" style="172" customWidth="1"/>
    <col min="11" max="11" width="35.44140625" style="63" customWidth="1"/>
    <col min="12" max="12" width="51.109375" style="64" customWidth="1"/>
    <col min="13" max="13" width="11.44140625" style="62" customWidth="1"/>
    <col min="14" max="14" width="13.88671875" style="70" customWidth="1"/>
    <col min="15" max="15" width="13.88671875" style="70" hidden="1" customWidth="1"/>
    <col min="16" max="16" width="0" style="63" hidden="1" customWidth="1"/>
    <col min="17" max="17" width="11.44140625" style="141" bestFit="1" customWidth="1"/>
    <col min="18" max="18" width="9.109375" style="141"/>
    <col min="19" max="19" width="48.109375" style="64" customWidth="1"/>
    <col min="20" max="20" width="36.88671875" style="64" customWidth="1"/>
    <col min="21" max="21" width="11.44140625" style="64" bestFit="1" customWidth="1"/>
    <col min="22" max="22" width="37.44140625" style="63" customWidth="1"/>
    <col min="23" max="23" width="47.44140625" style="63" customWidth="1"/>
    <col min="24" max="24" width="11.44140625" style="62"/>
    <col min="25" max="25" width="11.44140625" style="70"/>
    <col min="26" max="16384" width="11.44140625" style="63"/>
  </cols>
  <sheetData>
    <row r="1" spans="1:33" s="62" customFormat="1" ht="39.6" x14ac:dyDescent="0.3">
      <c r="A1" s="194" t="s">
        <v>2007</v>
      </c>
      <c r="B1" s="156" t="s">
        <v>2046</v>
      </c>
      <c r="C1" s="156" t="s">
        <v>2506</v>
      </c>
      <c r="D1" s="156" t="s">
        <v>2507</v>
      </c>
      <c r="E1" s="195" t="s">
        <v>1747</v>
      </c>
      <c r="F1" s="156" t="s">
        <v>1773</v>
      </c>
      <c r="G1" s="195" t="s">
        <v>3287</v>
      </c>
      <c r="H1" s="195" t="s">
        <v>3289</v>
      </c>
      <c r="I1" s="334" t="s">
        <v>1748</v>
      </c>
      <c r="J1" s="156" t="s">
        <v>2509</v>
      </c>
      <c r="K1" s="156" t="s">
        <v>2510</v>
      </c>
      <c r="L1" s="156" t="s">
        <v>1752</v>
      </c>
      <c r="M1" s="156" t="s">
        <v>2511</v>
      </c>
      <c r="N1" s="156" t="s">
        <v>2512</v>
      </c>
      <c r="O1" s="156" t="s">
        <v>2513</v>
      </c>
      <c r="P1" s="156" t="s">
        <v>2514</v>
      </c>
      <c r="Q1" s="191" t="s">
        <v>2515</v>
      </c>
      <c r="R1" s="191" t="s">
        <v>2516</v>
      </c>
      <c r="S1" s="156" t="s">
        <v>2517</v>
      </c>
      <c r="T1" s="156" t="s">
        <v>2518</v>
      </c>
      <c r="U1" s="156" t="s">
        <v>2519</v>
      </c>
      <c r="V1" s="156" t="s">
        <v>3297</v>
      </c>
      <c r="W1" s="156" t="s">
        <v>4211</v>
      </c>
      <c r="X1" s="156" t="s">
        <v>4212</v>
      </c>
      <c r="Y1" s="307" t="s">
        <v>4213</v>
      </c>
    </row>
    <row r="2" spans="1:33" ht="100.8" x14ac:dyDescent="0.3">
      <c r="A2" s="157">
        <v>1</v>
      </c>
      <c r="B2" s="158" t="s">
        <v>3315</v>
      </c>
      <c r="C2" s="159" t="s">
        <v>2520</v>
      </c>
      <c r="D2" s="159" t="s">
        <v>2521</v>
      </c>
      <c r="E2" s="264" t="s">
        <v>1760</v>
      </c>
      <c r="F2" s="159" t="s">
        <v>2066</v>
      </c>
      <c r="G2" s="217" t="s">
        <v>3817</v>
      </c>
      <c r="H2" s="297" t="s">
        <v>4214</v>
      </c>
      <c r="I2" s="199" t="s">
        <v>3340</v>
      </c>
      <c r="J2" s="280" t="s">
        <v>4215</v>
      </c>
      <c r="K2" s="159" t="s">
        <v>2526</v>
      </c>
      <c r="L2" s="161" t="s">
        <v>4216</v>
      </c>
      <c r="M2" s="162">
        <v>6</v>
      </c>
      <c r="N2" s="150" t="s">
        <v>2528</v>
      </c>
      <c r="O2" s="301" t="b">
        <v>0</v>
      </c>
      <c r="P2" s="302" t="b">
        <v>1</v>
      </c>
      <c r="Q2" s="170" t="b">
        <v>0</v>
      </c>
      <c r="R2" s="170" t="b">
        <v>0</v>
      </c>
      <c r="S2" s="175" t="s">
        <v>2529</v>
      </c>
      <c r="T2" s="64" t="s">
        <v>2530</v>
      </c>
      <c r="V2" s="178" t="s">
        <v>3327</v>
      </c>
      <c r="W2" s="176" t="s">
        <v>4217</v>
      </c>
      <c r="X2" s="62" t="s">
        <v>7</v>
      </c>
      <c r="Y2" s="70" t="s">
        <v>4218</v>
      </c>
    </row>
    <row r="3" spans="1:33" ht="28.8" x14ac:dyDescent="0.3">
      <c r="A3" s="157">
        <v>2</v>
      </c>
      <c r="B3" s="158" t="s">
        <v>3315</v>
      </c>
      <c r="C3" s="159" t="s">
        <v>2531</v>
      </c>
      <c r="D3" s="159" t="s">
        <v>2532</v>
      </c>
      <c r="E3" s="163" t="s">
        <v>1760</v>
      </c>
      <c r="F3" s="159" t="s">
        <v>1773</v>
      </c>
      <c r="G3" s="207" t="s">
        <v>3299</v>
      </c>
      <c r="H3" s="162" t="s">
        <v>2533</v>
      </c>
      <c r="I3" s="159" t="s">
        <v>2533</v>
      </c>
      <c r="J3" s="280"/>
      <c r="K3" s="159" t="s">
        <v>2534</v>
      </c>
      <c r="L3" s="161" t="s">
        <v>2527</v>
      </c>
      <c r="M3" s="162">
        <v>2</v>
      </c>
      <c r="N3" s="150" t="s">
        <v>2535</v>
      </c>
      <c r="O3" s="301" t="b">
        <v>0</v>
      </c>
      <c r="P3" s="302" t="b">
        <v>0</v>
      </c>
      <c r="Q3" s="170" t="b">
        <v>0</v>
      </c>
      <c r="R3" s="170" t="b">
        <v>0</v>
      </c>
      <c r="S3" s="175" t="s">
        <v>2536</v>
      </c>
      <c r="T3" s="64" t="s">
        <v>2537</v>
      </c>
      <c r="V3" s="178" t="s">
        <v>3327</v>
      </c>
      <c r="W3" s="178" t="s">
        <v>3327</v>
      </c>
      <c r="X3" s="62" t="s">
        <v>6</v>
      </c>
      <c r="Y3" s="70" t="s">
        <v>4218</v>
      </c>
    </row>
    <row r="4" spans="1:33" ht="28.8" x14ac:dyDescent="0.3">
      <c r="A4" s="157">
        <v>3</v>
      </c>
      <c r="B4" s="158" t="s">
        <v>3315</v>
      </c>
      <c r="C4" s="159" t="s">
        <v>2538</v>
      </c>
      <c r="D4" s="159" t="s">
        <v>2539</v>
      </c>
      <c r="E4" s="160" t="s">
        <v>1797</v>
      </c>
      <c r="F4" s="159" t="s">
        <v>1773</v>
      </c>
      <c r="G4" s="207" t="s">
        <v>3299</v>
      </c>
      <c r="H4" s="162" t="s">
        <v>2533</v>
      </c>
      <c r="I4" s="159" t="s">
        <v>2533</v>
      </c>
      <c r="J4" s="280"/>
      <c r="K4" s="159" t="s">
        <v>2541</v>
      </c>
      <c r="L4" s="171" t="s">
        <v>2542</v>
      </c>
      <c r="M4" s="162">
        <v>1</v>
      </c>
      <c r="N4" s="150">
        <v>36</v>
      </c>
      <c r="O4" s="301" t="b">
        <v>0</v>
      </c>
      <c r="P4" s="302" t="b">
        <v>0</v>
      </c>
      <c r="Q4" s="170" t="b">
        <v>0</v>
      </c>
      <c r="R4" s="170" t="b">
        <v>0</v>
      </c>
      <c r="S4" s="64" t="s">
        <v>2543</v>
      </c>
      <c r="T4" s="64" t="s">
        <v>2530</v>
      </c>
      <c r="V4" s="178" t="s">
        <v>3308</v>
      </c>
      <c r="W4" s="178" t="s">
        <v>3308</v>
      </c>
      <c r="X4" s="62" t="s">
        <v>6</v>
      </c>
      <c r="Y4" s="70" t="s">
        <v>4219</v>
      </c>
    </row>
    <row r="5" spans="1:33" ht="52.8" x14ac:dyDescent="0.3">
      <c r="A5" s="157">
        <v>4</v>
      </c>
      <c r="B5" s="158" t="s">
        <v>3315</v>
      </c>
      <c r="C5" s="159" t="s">
        <v>2544</v>
      </c>
      <c r="D5" s="159" t="s">
        <v>2545</v>
      </c>
      <c r="E5" s="266" t="s">
        <v>1756</v>
      </c>
      <c r="F5" s="159" t="s">
        <v>2066</v>
      </c>
      <c r="G5" s="207" t="s">
        <v>3299</v>
      </c>
      <c r="H5" s="162" t="s">
        <v>2533</v>
      </c>
      <c r="I5" s="159" t="s">
        <v>2533</v>
      </c>
      <c r="J5" s="280" t="s">
        <v>2546</v>
      </c>
      <c r="K5" s="159" t="s">
        <v>2547</v>
      </c>
      <c r="L5" s="161" t="s">
        <v>2548</v>
      </c>
      <c r="M5" s="162">
        <v>3</v>
      </c>
      <c r="N5" s="150" t="s">
        <v>2549</v>
      </c>
      <c r="O5" s="301" t="b">
        <v>0</v>
      </c>
      <c r="P5" s="302" t="b">
        <v>0</v>
      </c>
      <c r="Q5" s="170" t="b">
        <v>0</v>
      </c>
      <c r="R5" s="170" t="b">
        <v>0</v>
      </c>
      <c r="S5" s="64" t="s">
        <v>2550</v>
      </c>
      <c r="T5" s="64" t="s">
        <v>2530</v>
      </c>
      <c r="V5" s="256" t="s">
        <v>3657</v>
      </c>
      <c r="W5" s="178" t="s">
        <v>3308</v>
      </c>
    </row>
    <row r="6" spans="1:33" ht="144" x14ac:dyDescent="0.3">
      <c r="A6" s="157">
        <v>5</v>
      </c>
      <c r="B6" s="158" t="s">
        <v>3315</v>
      </c>
      <c r="C6" s="159" t="s">
        <v>2551</v>
      </c>
      <c r="D6" s="159" t="s">
        <v>2552</v>
      </c>
      <c r="E6" s="266" t="s">
        <v>1756</v>
      </c>
      <c r="F6" s="159" t="s">
        <v>2066</v>
      </c>
      <c r="G6" s="217" t="s">
        <v>3817</v>
      </c>
      <c r="H6" s="297" t="s">
        <v>4214</v>
      </c>
      <c r="I6" s="159" t="s">
        <v>2523</v>
      </c>
      <c r="J6" s="280" t="s">
        <v>2553</v>
      </c>
      <c r="K6" s="159" t="s">
        <v>2554</v>
      </c>
      <c r="L6" s="161" t="s">
        <v>2548</v>
      </c>
      <c r="M6" s="162">
        <v>4</v>
      </c>
      <c r="N6" s="150" t="s">
        <v>2555</v>
      </c>
      <c r="O6" s="301" t="b">
        <v>0</v>
      </c>
      <c r="P6" s="302" t="b">
        <v>0</v>
      </c>
      <c r="Q6" s="170" t="b">
        <v>0</v>
      </c>
      <c r="R6" s="170" t="b">
        <v>0</v>
      </c>
      <c r="S6" s="179" t="s">
        <v>2556</v>
      </c>
      <c r="T6" s="180" t="s">
        <v>2557</v>
      </c>
      <c r="U6" s="303" t="b">
        <v>1</v>
      </c>
      <c r="V6" s="64" t="s">
        <v>3667</v>
      </c>
      <c r="W6" s="177" t="s">
        <v>4220</v>
      </c>
      <c r="Y6" s="70" t="s">
        <v>4218</v>
      </c>
    </row>
    <row r="7" spans="1:33" s="305" customFormat="1" ht="28.8" x14ac:dyDescent="0.3">
      <c r="A7" s="157">
        <v>6</v>
      </c>
      <c r="B7" s="158" t="s">
        <v>3315</v>
      </c>
      <c r="C7" s="159" t="s">
        <v>2558</v>
      </c>
      <c r="D7" s="159" t="s">
        <v>2559</v>
      </c>
      <c r="E7" s="266" t="s">
        <v>1756</v>
      </c>
      <c r="F7" s="159" t="s">
        <v>1773</v>
      </c>
      <c r="G7" s="217" t="s">
        <v>3817</v>
      </c>
      <c r="H7" s="297" t="s">
        <v>4214</v>
      </c>
      <c r="I7" s="286" t="s">
        <v>3340</v>
      </c>
      <c r="J7" s="280" t="s">
        <v>2561</v>
      </c>
      <c r="K7" s="159" t="s">
        <v>2562</v>
      </c>
      <c r="L7" s="161" t="s">
        <v>4221</v>
      </c>
      <c r="M7" s="162">
        <v>1</v>
      </c>
      <c r="N7" s="150">
        <v>41</v>
      </c>
      <c r="O7" s="301" t="b">
        <v>0</v>
      </c>
      <c r="P7" s="302" t="b">
        <v>0</v>
      </c>
      <c r="Q7" s="170" t="b">
        <v>0</v>
      </c>
      <c r="R7" s="170" t="b">
        <v>0</v>
      </c>
      <c r="S7" s="186" t="s">
        <v>2550</v>
      </c>
      <c r="T7" s="64" t="s">
        <v>2530</v>
      </c>
      <c r="U7" s="64"/>
      <c r="V7" s="64" t="s">
        <v>3667</v>
      </c>
      <c r="W7" s="177" t="s">
        <v>4222</v>
      </c>
      <c r="X7" s="62"/>
      <c r="Y7" s="70" t="s">
        <v>4223</v>
      </c>
      <c r="Z7" s="63"/>
      <c r="AA7" s="63"/>
      <c r="AB7" s="63"/>
      <c r="AC7" s="63"/>
      <c r="AD7" s="63"/>
      <c r="AE7" s="63"/>
      <c r="AF7" s="63"/>
      <c r="AG7" s="63"/>
    </row>
    <row r="8" spans="1:33" ht="52.8" x14ac:dyDescent="0.3">
      <c r="A8" s="157">
        <v>7</v>
      </c>
      <c r="B8" s="158" t="s">
        <v>3315</v>
      </c>
      <c r="C8" s="159" t="s">
        <v>2563</v>
      </c>
      <c r="D8" s="159" t="s">
        <v>2564</v>
      </c>
      <c r="E8" s="265" t="s">
        <v>1823</v>
      </c>
      <c r="F8" s="159" t="s">
        <v>2566</v>
      </c>
      <c r="G8" s="217" t="s">
        <v>3817</v>
      </c>
      <c r="H8" s="162" t="s">
        <v>2522</v>
      </c>
      <c r="I8" s="335" t="s">
        <v>3375</v>
      </c>
      <c r="J8" s="159" t="s">
        <v>2565</v>
      </c>
      <c r="K8" s="159" t="s">
        <v>2567</v>
      </c>
      <c r="L8" s="161" t="s">
        <v>2568</v>
      </c>
      <c r="M8" s="162">
        <v>2</v>
      </c>
      <c r="N8" s="150" t="s">
        <v>2569</v>
      </c>
      <c r="O8" s="301" t="b">
        <v>0</v>
      </c>
      <c r="P8" s="302" t="b">
        <v>0</v>
      </c>
      <c r="Q8" s="170" t="b">
        <v>1</v>
      </c>
      <c r="R8" s="170" t="b">
        <v>0</v>
      </c>
      <c r="S8" s="179" t="s">
        <v>2570</v>
      </c>
      <c r="T8" s="64" t="s">
        <v>2557</v>
      </c>
      <c r="V8" s="64" t="s">
        <v>3886</v>
      </c>
      <c r="W8" s="64" t="s">
        <v>4224</v>
      </c>
      <c r="Y8" s="62"/>
    </row>
    <row r="9" spans="1:33" ht="66" x14ac:dyDescent="0.3">
      <c r="A9" s="157">
        <v>8</v>
      </c>
      <c r="B9" s="158" t="s">
        <v>3315</v>
      </c>
      <c r="C9" s="159" t="s">
        <v>2571</v>
      </c>
      <c r="D9" s="159" t="s">
        <v>2572</v>
      </c>
      <c r="E9" s="266" t="s">
        <v>1756</v>
      </c>
      <c r="F9" s="159" t="s">
        <v>1773</v>
      </c>
      <c r="G9" s="217" t="s">
        <v>3817</v>
      </c>
      <c r="H9" s="162" t="s">
        <v>2522</v>
      </c>
      <c r="I9" s="159" t="s">
        <v>2523</v>
      </c>
      <c r="J9" s="280" t="s">
        <v>2525</v>
      </c>
      <c r="K9" s="159" t="s">
        <v>2573</v>
      </c>
      <c r="L9" s="161" t="s">
        <v>2574</v>
      </c>
      <c r="M9" s="162">
        <v>5</v>
      </c>
      <c r="N9" s="150" t="s">
        <v>2575</v>
      </c>
      <c r="O9" s="301" t="b">
        <v>0</v>
      </c>
      <c r="P9" s="302" t="b">
        <v>0</v>
      </c>
      <c r="Q9" s="170" t="b">
        <v>0</v>
      </c>
      <c r="R9" s="170" t="b">
        <v>0</v>
      </c>
      <c r="S9" s="179" t="s">
        <v>2576</v>
      </c>
      <c r="T9" s="64" t="s">
        <v>2557</v>
      </c>
      <c r="V9" s="64"/>
      <c r="W9" s="64" t="s">
        <v>4225</v>
      </c>
      <c r="Y9" s="62"/>
    </row>
    <row r="10" spans="1:33" ht="100.8" x14ac:dyDescent="0.3">
      <c r="A10" s="157">
        <v>9</v>
      </c>
      <c r="B10" s="158" t="s">
        <v>3315</v>
      </c>
      <c r="C10" s="159" t="s">
        <v>2578</v>
      </c>
      <c r="D10" s="159" t="s">
        <v>2579</v>
      </c>
      <c r="E10" s="266" t="s">
        <v>1756</v>
      </c>
      <c r="F10" s="159" t="s">
        <v>1773</v>
      </c>
      <c r="G10" s="217" t="s">
        <v>3817</v>
      </c>
      <c r="H10" s="162" t="s">
        <v>2522</v>
      </c>
      <c r="I10" s="159" t="s">
        <v>3340</v>
      </c>
      <c r="J10" s="280" t="s">
        <v>2525</v>
      </c>
      <c r="K10" s="159" t="s">
        <v>2580</v>
      </c>
      <c r="L10" s="333" t="s">
        <v>4226</v>
      </c>
      <c r="M10" s="162">
        <v>2</v>
      </c>
      <c r="N10" s="150" t="s">
        <v>2582</v>
      </c>
      <c r="O10" s="301" t="b">
        <v>0</v>
      </c>
      <c r="P10" s="302" t="b">
        <v>1</v>
      </c>
      <c r="Q10" s="170" t="b">
        <v>0</v>
      </c>
      <c r="R10" s="170" t="b">
        <v>1</v>
      </c>
      <c r="S10" s="175" t="s">
        <v>2583</v>
      </c>
      <c r="T10" s="64" t="s">
        <v>2847</v>
      </c>
      <c r="V10" s="64"/>
      <c r="W10" s="64" t="s">
        <v>4227</v>
      </c>
      <c r="Y10" s="62"/>
    </row>
    <row r="11" spans="1:33" ht="92.4" x14ac:dyDescent="0.3">
      <c r="A11" s="157">
        <v>10</v>
      </c>
      <c r="B11" s="158" t="s">
        <v>3315</v>
      </c>
      <c r="C11" s="159" t="s">
        <v>2585</v>
      </c>
      <c r="D11" s="159" t="s">
        <v>2586</v>
      </c>
      <c r="E11" s="267" t="s">
        <v>4104</v>
      </c>
      <c r="F11" s="159" t="s">
        <v>2566</v>
      </c>
      <c r="G11" s="226" t="s">
        <v>4110</v>
      </c>
      <c r="H11" s="162" t="s">
        <v>2589</v>
      </c>
      <c r="I11" s="159" t="s">
        <v>2589</v>
      </c>
      <c r="J11" s="280" t="s">
        <v>2590</v>
      </c>
      <c r="K11" s="159"/>
      <c r="L11" s="159" t="s">
        <v>2591</v>
      </c>
      <c r="M11" s="162">
        <v>2</v>
      </c>
      <c r="N11" s="150" t="s">
        <v>2592</v>
      </c>
      <c r="O11" s="301" t="b">
        <v>0</v>
      </c>
      <c r="P11" s="302" t="b">
        <v>0</v>
      </c>
      <c r="Q11" s="170" t="b">
        <v>1</v>
      </c>
      <c r="R11" s="170" t="b">
        <v>0</v>
      </c>
      <c r="S11" s="64" t="s">
        <v>2593</v>
      </c>
      <c r="T11" s="64" t="s">
        <v>2530</v>
      </c>
      <c r="V11" s="64"/>
      <c r="W11" s="64"/>
      <c r="Y11" s="62"/>
    </row>
    <row r="12" spans="1:33" ht="66" x14ac:dyDescent="0.3">
      <c r="A12" s="157">
        <v>11</v>
      </c>
      <c r="B12" s="158" t="s">
        <v>3315</v>
      </c>
      <c r="C12" s="159" t="s">
        <v>2594</v>
      </c>
      <c r="D12" s="159" t="s">
        <v>2418</v>
      </c>
      <c r="E12" s="266" t="s">
        <v>1756</v>
      </c>
      <c r="F12" s="159" t="s">
        <v>2566</v>
      </c>
      <c r="G12" s="207" t="s">
        <v>3299</v>
      </c>
      <c r="H12" s="162" t="s">
        <v>2533</v>
      </c>
      <c r="I12" s="159" t="s">
        <v>2533</v>
      </c>
      <c r="J12" s="280" t="s">
        <v>2595</v>
      </c>
      <c r="K12" s="159" t="s">
        <v>2596</v>
      </c>
      <c r="L12" s="159" t="s">
        <v>2597</v>
      </c>
      <c r="M12" s="162">
        <v>1</v>
      </c>
      <c r="N12" s="150">
        <v>239</v>
      </c>
      <c r="O12" s="301" t="b">
        <v>0</v>
      </c>
      <c r="P12" s="302" t="b">
        <v>0</v>
      </c>
      <c r="Q12" s="170" t="b">
        <v>1</v>
      </c>
      <c r="R12" s="170" t="b">
        <v>0</v>
      </c>
      <c r="S12" s="64" t="s">
        <v>2598</v>
      </c>
      <c r="T12" s="64" t="s">
        <v>2530</v>
      </c>
      <c r="V12" s="186" t="s">
        <v>2081</v>
      </c>
      <c r="W12" s="178" t="s">
        <v>3327</v>
      </c>
    </row>
    <row r="13" spans="1:33" ht="28.8" x14ac:dyDescent="0.3">
      <c r="A13" s="157">
        <v>12</v>
      </c>
      <c r="B13" s="158" t="s">
        <v>3315</v>
      </c>
      <c r="C13" s="159" t="s">
        <v>2599</v>
      </c>
      <c r="D13" s="159" t="s">
        <v>2600</v>
      </c>
      <c r="E13" s="265" t="s">
        <v>1823</v>
      </c>
      <c r="F13" s="159" t="s">
        <v>2086</v>
      </c>
      <c r="G13" s="207" t="s">
        <v>3299</v>
      </c>
      <c r="H13" s="162" t="s">
        <v>2533</v>
      </c>
      <c r="I13" s="150" t="s">
        <v>2533</v>
      </c>
      <c r="J13" s="280" t="s">
        <v>2525</v>
      </c>
      <c r="K13" s="159" t="s">
        <v>2601</v>
      </c>
      <c r="L13" s="161" t="s">
        <v>2602</v>
      </c>
      <c r="M13" s="162">
        <v>2</v>
      </c>
      <c r="N13" s="150" t="s">
        <v>2603</v>
      </c>
      <c r="O13" s="301" t="b">
        <v>0</v>
      </c>
      <c r="P13" s="302" t="b">
        <v>1</v>
      </c>
      <c r="Q13" s="170" t="b">
        <v>0</v>
      </c>
      <c r="R13" s="170" t="b">
        <v>0</v>
      </c>
      <c r="S13" s="64" t="s">
        <v>2604</v>
      </c>
      <c r="T13" s="64" t="s">
        <v>2530</v>
      </c>
      <c r="V13" s="64" t="s">
        <v>3679</v>
      </c>
      <c r="W13" s="178" t="s">
        <v>3327</v>
      </c>
      <c r="Y13" s="70" t="s">
        <v>4228</v>
      </c>
    </row>
    <row r="14" spans="1:33" ht="28.8" x14ac:dyDescent="0.3">
      <c r="A14" s="157">
        <v>13</v>
      </c>
      <c r="B14" s="158" t="s">
        <v>3587</v>
      </c>
      <c r="C14" s="159" t="s">
        <v>2605</v>
      </c>
      <c r="D14" s="159" t="s">
        <v>2606</v>
      </c>
      <c r="E14" s="265" t="s">
        <v>1823</v>
      </c>
      <c r="F14" s="159" t="s">
        <v>1773</v>
      </c>
      <c r="G14" s="217" t="s">
        <v>3817</v>
      </c>
      <c r="H14" s="162" t="s">
        <v>2522</v>
      </c>
      <c r="I14" s="159" t="s">
        <v>2533</v>
      </c>
      <c r="J14" s="280" t="s">
        <v>2525</v>
      </c>
      <c r="K14" s="63" t="s">
        <v>2607</v>
      </c>
      <c r="L14" s="171" t="s">
        <v>2608</v>
      </c>
      <c r="M14" s="62">
        <v>1</v>
      </c>
      <c r="N14" s="70">
        <v>10</v>
      </c>
      <c r="O14" s="306" t="b">
        <v>0</v>
      </c>
      <c r="P14" s="302" t="b">
        <v>1</v>
      </c>
      <c r="Q14" s="170" t="b">
        <v>0</v>
      </c>
      <c r="R14" s="170" t="b">
        <v>0</v>
      </c>
      <c r="S14" s="177" t="s">
        <v>2609</v>
      </c>
      <c r="T14" s="64" t="s">
        <v>2610</v>
      </c>
      <c r="V14" s="64"/>
      <c r="W14" s="197" t="s">
        <v>4229</v>
      </c>
      <c r="Y14" s="62"/>
    </row>
    <row r="15" spans="1:33" ht="72" x14ac:dyDescent="0.3">
      <c r="A15" s="157">
        <v>14</v>
      </c>
      <c r="B15" s="158" t="s">
        <v>3587</v>
      </c>
      <c r="C15" s="159" t="s">
        <v>2611</v>
      </c>
      <c r="D15" s="159" t="s">
        <v>2612</v>
      </c>
      <c r="E15" s="265" t="s">
        <v>1823</v>
      </c>
      <c r="F15" s="159" t="s">
        <v>1773</v>
      </c>
      <c r="G15" s="217" t="s">
        <v>3817</v>
      </c>
      <c r="H15" s="297" t="s">
        <v>4230</v>
      </c>
      <c r="I15" s="159" t="s">
        <v>2533</v>
      </c>
      <c r="J15" s="280" t="s">
        <v>2525</v>
      </c>
      <c r="K15" s="159" t="s">
        <v>2613</v>
      </c>
      <c r="L15" s="159" t="s">
        <v>2614</v>
      </c>
      <c r="M15" s="162">
        <v>2</v>
      </c>
      <c r="N15" s="150" t="s">
        <v>2615</v>
      </c>
      <c r="O15" s="301" t="b">
        <v>0</v>
      </c>
      <c r="P15" s="302" t="b">
        <v>1</v>
      </c>
      <c r="Q15" s="170" t="b">
        <v>0</v>
      </c>
      <c r="R15" s="170" t="b">
        <v>0</v>
      </c>
      <c r="S15" s="64" t="s">
        <v>2616</v>
      </c>
      <c r="T15" s="300" t="s">
        <v>4231</v>
      </c>
      <c r="U15" s="64" t="s">
        <v>2618</v>
      </c>
      <c r="V15" s="64" t="s">
        <v>3596</v>
      </c>
      <c r="W15" s="178" t="s">
        <v>3327</v>
      </c>
    </row>
    <row r="16" spans="1:33" ht="39.6" x14ac:dyDescent="0.3">
      <c r="A16" s="157">
        <v>15</v>
      </c>
      <c r="B16" s="158" t="s">
        <v>3587</v>
      </c>
      <c r="C16" s="159" t="s">
        <v>2619</v>
      </c>
      <c r="D16" s="159" t="s">
        <v>2620</v>
      </c>
      <c r="E16" s="265" t="s">
        <v>1823</v>
      </c>
      <c r="F16" s="159" t="s">
        <v>2086</v>
      </c>
      <c r="G16" s="217" t="s">
        <v>3817</v>
      </c>
      <c r="H16" s="162" t="s">
        <v>2522</v>
      </c>
      <c r="I16" s="159" t="s">
        <v>2533</v>
      </c>
      <c r="J16" s="280" t="s">
        <v>2525</v>
      </c>
      <c r="K16" s="159" t="s">
        <v>2621</v>
      </c>
      <c r="L16" s="300"/>
      <c r="M16" s="162">
        <v>2</v>
      </c>
      <c r="N16" s="150" t="s">
        <v>2623</v>
      </c>
      <c r="O16" s="301" t="b">
        <v>0</v>
      </c>
      <c r="P16" s="302" t="b">
        <v>0</v>
      </c>
      <c r="Q16" s="170" t="b">
        <v>0</v>
      </c>
      <c r="R16" s="170" t="b">
        <v>0</v>
      </c>
      <c r="S16" s="64" t="s">
        <v>2624</v>
      </c>
      <c r="T16" s="64" t="s">
        <v>4232</v>
      </c>
      <c r="V16" s="64"/>
      <c r="W16" s="64"/>
      <c r="Y16" s="62"/>
    </row>
    <row r="17" spans="1:25" ht="57.6" x14ac:dyDescent="0.3">
      <c r="A17" s="157">
        <v>16</v>
      </c>
      <c r="B17" s="158" t="s">
        <v>3587</v>
      </c>
      <c r="C17" s="159" t="s">
        <v>2625</v>
      </c>
      <c r="D17" s="159" t="s">
        <v>2626</v>
      </c>
      <c r="E17" s="267" t="s">
        <v>4104</v>
      </c>
      <c r="F17" s="159" t="s">
        <v>2566</v>
      </c>
      <c r="G17" s="226" t="s">
        <v>4110</v>
      </c>
      <c r="H17" s="162" t="s">
        <v>4112</v>
      </c>
      <c r="I17" s="159" t="s">
        <v>2589</v>
      </c>
      <c r="J17" s="280" t="s">
        <v>2627</v>
      </c>
      <c r="K17" s="159"/>
      <c r="L17" s="159"/>
      <c r="M17" s="162">
        <v>2</v>
      </c>
      <c r="N17" s="150" t="s">
        <v>2628</v>
      </c>
      <c r="O17" s="301" t="b">
        <v>1</v>
      </c>
      <c r="P17" s="302" t="b">
        <v>0</v>
      </c>
      <c r="Q17" s="170" t="b">
        <v>1</v>
      </c>
      <c r="R17" s="170" t="b">
        <v>0</v>
      </c>
      <c r="S17" s="64" t="s">
        <v>2629</v>
      </c>
      <c r="T17" s="188" t="s">
        <v>2617</v>
      </c>
      <c r="V17" s="64"/>
      <c r="W17" s="176" t="s">
        <v>4233</v>
      </c>
      <c r="Y17" s="62"/>
    </row>
    <row r="18" spans="1:25" ht="28.8" x14ac:dyDescent="0.3">
      <c r="A18" s="157">
        <v>17</v>
      </c>
      <c r="B18" s="158" t="s">
        <v>3587</v>
      </c>
      <c r="C18" s="159" t="s">
        <v>2630</v>
      </c>
      <c r="D18" s="159" t="s">
        <v>2631</v>
      </c>
      <c r="E18" s="163" t="s">
        <v>1760</v>
      </c>
      <c r="F18" s="159" t="s">
        <v>2066</v>
      </c>
      <c r="G18" s="229" t="s">
        <v>4163</v>
      </c>
      <c r="H18" s="162" t="s">
        <v>2533</v>
      </c>
      <c r="I18" s="159" t="s">
        <v>2533</v>
      </c>
      <c r="J18" s="280" t="s">
        <v>2632</v>
      </c>
      <c r="K18" s="159" t="s">
        <v>2633</v>
      </c>
      <c r="L18" s="151" t="s">
        <v>2634</v>
      </c>
      <c r="M18" s="162">
        <v>1</v>
      </c>
      <c r="N18" s="150">
        <v>125</v>
      </c>
      <c r="O18" s="301" t="b">
        <v>0</v>
      </c>
      <c r="P18" s="302" t="b">
        <v>0</v>
      </c>
      <c r="Q18" s="170" t="b">
        <v>0</v>
      </c>
      <c r="R18" s="170" t="b">
        <v>0</v>
      </c>
      <c r="S18" s="178" t="s">
        <v>2635</v>
      </c>
      <c r="T18" s="178" t="s">
        <v>2635</v>
      </c>
      <c r="V18" s="64"/>
      <c r="W18" s="64"/>
      <c r="Y18" s="62"/>
    </row>
    <row r="19" spans="1:25" ht="39.6" x14ac:dyDescent="0.3">
      <c r="A19" s="157">
        <v>18</v>
      </c>
      <c r="B19" s="158" t="s">
        <v>3339</v>
      </c>
      <c r="C19" s="159" t="s">
        <v>2636</v>
      </c>
      <c r="D19" s="159" t="s">
        <v>2637</v>
      </c>
      <c r="E19" s="163" t="s">
        <v>1760</v>
      </c>
      <c r="F19" s="159" t="s">
        <v>1773</v>
      </c>
      <c r="G19" s="217" t="s">
        <v>3817</v>
      </c>
      <c r="H19" s="299" t="s">
        <v>2522</v>
      </c>
      <c r="I19" s="159" t="s">
        <v>3340</v>
      </c>
      <c r="J19" s="280" t="s">
        <v>2525</v>
      </c>
      <c r="K19" s="159" t="s">
        <v>2638</v>
      </c>
      <c r="L19" s="161" t="s">
        <v>2639</v>
      </c>
      <c r="M19" s="162">
        <v>1</v>
      </c>
      <c r="N19" s="150">
        <v>1</v>
      </c>
      <c r="O19" s="301" t="b">
        <v>0</v>
      </c>
      <c r="P19" s="302" t="b">
        <v>0</v>
      </c>
      <c r="Q19" s="170" t="b">
        <v>0</v>
      </c>
      <c r="R19" s="170" t="b">
        <v>0</v>
      </c>
      <c r="S19" s="64" t="s">
        <v>2550</v>
      </c>
      <c r="T19" s="64" t="s">
        <v>2550</v>
      </c>
      <c r="V19" s="177" t="s">
        <v>3399</v>
      </c>
      <c r="W19" s="259" t="s">
        <v>4234</v>
      </c>
      <c r="Y19" s="70" t="s">
        <v>4235</v>
      </c>
    </row>
    <row r="20" spans="1:25" ht="39.6" x14ac:dyDescent="0.3">
      <c r="A20" s="157">
        <v>19</v>
      </c>
      <c r="B20" s="158" t="s">
        <v>3339</v>
      </c>
      <c r="C20" s="159" t="s">
        <v>2640</v>
      </c>
      <c r="D20" s="159" t="s">
        <v>2641</v>
      </c>
      <c r="E20" s="163" t="s">
        <v>1760</v>
      </c>
      <c r="F20" s="159" t="s">
        <v>1773</v>
      </c>
      <c r="G20" s="207" t="s">
        <v>3299</v>
      </c>
      <c r="H20" s="162" t="s">
        <v>2533</v>
      </c>
      <c r="I20" s="150" t="s">
        <v>2533</v>
      </c>
      <c r="J20" s="280" t="s">
        <v>4236</v>
      </c>
      <c r="K20" s="159" t="s">
        <v>2642</v>
      </c>
      <c r="L20" s="159" t="s">
        <v>2643</v>
      </c>
      <c r="M20" s="162">
        <v>1</v>
      </c>
      <c r="N20" s="150">
        <v>2</v>
      </c>
      <c r="O20" s="301" t="b">
        <v>0</v>
      </c>
      <c r="P20" s="302" t="b">
        <v>1</v>
      </c>
      <c r="Q20" s="170" t="b">
        <v>0</v>
      </c>
      <c r="R20" s="170" t="b">
        <v>0</v>
      </c>
      <c r="S20" s="64" t="s">
        <v>2644</v>
      </c>
      <c r="T20" s="64" t="s">
        <v>2550</v>
      </c>
      <c r="V20" s="177" t="s">
        <v>3382</v>
      </c>
      <c r="W20" s="177" t="s">
        <v>4237</v>
      </c>
      <c r="Y20" s="70" t="s">
        <v>4238</v>
      </c>
    </row>
    <row r="21" spans="1:25" ht="28.8" x14ac:dyDescent="0.3">
      <c r="A21" s="157">
        <v>20</v>
      </c>
      <c r="B21" s="158" t="s">
        <v>3339</v>
      </c>
      <c r="C21" s="159" t="s">
        <v>2645</v>
      </c>
      <c r="D21" s="159" t="s">
        <v>2646</v>
      </c>
      <c r="E21" s="265" t="s">
        <v>1823</v>
      </c>
      <c r="F21" s="159" t="s">
        <v>2066</v>
      </c>
      <c r="G21" s="229" t="s">
        <v>4163</v>
      </c>
      <c r="H21" s="162" t="s">
        <v>2533</v>
      </c>
      <c r="I21" s="159" t="s">
        <v>2533</v>
      </c>
      <c r="J21" s="280" t="s">
        <v>2632</v>
      </c>
      <c r="K21" s="159" t="s">
        <v>2647</v>
      </c>
      <c r="L21" s="161" t="s">
        <v>2648</v>
      </c>
      <c r="M21" s="162">
        <v>2</v>
      </c>
      <c r="N21" s="150" t="s">
        <v>2649</v>
      </c>
      <c r="O21" s="301" t="b">
        <v>0</v>
      </c>
      <c r="P21" s="302" t="b">
        <v>0</v>
      </c>
      <c r="Q21" s="170" t="b">
        <v>0</v>
      </c>
      <c r="R21" s="170" t="b">
        <v>0</v>
      </c>
      <c r="S21" s="178" t="s">
        <v>2635</v>
      </c>
      <c r="T21" s="178" t="s">
        <v>2635</v>
      </c>
      <c r="V21" s="64"/>
      <c r="W21" s="64"/>
      <c r="Y21" s="62"/>
    </row>
    <row r="22" spans="1:25" ht="26.4" x14ac:dyDescent="0.3">
      <c r="A22" s="157">
        <v>21</v>
      </c>
      <c r="B22" s="158" t="s">
        <v>3339</v>
      </c>
      <c r="C22" s="159" t="s">
        <v>2650</v>
      </c>
      <c r="D22" s="159" t="s">
        <v>2651</v>
      </c>
      <c r="E22" s="267" t="s">
        <v>4104</v>
      </c>
      <c r="F22" s="159" t="s">
        <v>2066</v>
      </c>
      <c r="G22" s="229" t="s">
        <v>4163</v>
      </c>
      <c r="H22" s="162" t="s">
        <v>2533</v>
      </c>
      <c r="I22" s="159" t="s">
        <v>2533</v>
      </c>
      <c r="J22" s="280" t="s">
        <v>2632</v>
      </c>
      <c r="K22" s="159" t="s">
        <v>2652</v>
      </c>
      <c r="L22" s="159" t="s">
        <v>2643</v>
      </c>
      <c r="M22" s="162">
        <v>2</v>
      </c>
      <c r="N22" s="150" t="s">
        <v>2653</v>
      </c>
      <c r="O22" s="301" t="b">
        <v>0</v>
      </c>
      <c r="P22" s="302" t="b">
        <v>0</v>
      </c>
      <c r="Q22" s="170" t="b">
        <v>1</v>
      </c>
      <c r="R22" s="170" t="b">
        <v>0</v>
      </c>
      <c r="S22" s="178" t="s">
        <v>2635</v>
      </c>
      <c r="T22" s="178" t="s">
        <v>2635</v>
      </c>
      <c r="V22" s="64"/>
      <c r="W22" s="64"/>
      <c r="Y22" s="62"/>
    </row>
    <row r="23" spans="1:25" ht="86.4" x14ac:dyDescent="0.3">
      <c r="A23" s="296">
        <v>22</v>
      </c>
      <c r="B23" s="158" t="s">
        <v>3339</v>
      </c>
      <c r="C23" s="159" t="s">
        <v>2654</v>
      </c>
      <c r="D23" s="159" t="s">
        <v>2655</v>
      </c>
      <c r="E23" s="163" t="s">
        <v>1760</v>
      </c>
      <c r="F23" s="159" t="s">
        <v>2066</v>
      </c>
      <c r="G23" s="207" t="s">
        <v>3299</v>
      </c>
      <c r="H23" s="162" t="s">
        <v>2533</v>
      </c>
      <c r="I23" s="159" t="s">
        <v>2533</v>
      </c>
      <c r="J23" s="280" t="s">
        <v>4239</v>
      </c>
      <c r="K23" s="159" t="s">
        <v>2656</v>
      </c>
      <c r="L23" s="151" t="s">
        <v>2657</v>
      </c>
      <c r="M23" s="162">
        <v>1</v>
      </c>
      <c r="N23" s="150">
        <v>265</v>
      </c>
      <c r="O23" s="301" t="b">
        <v>0</v>
      </c>
      <c r="P23" s="302" t="b">
        <v>1</v>
      </c>
      <c r="Q23" s="170" t="b">
        <v>0</v>
      </c>
      <c r="R23" s="170" t="b">
        <v>0</v>
      </c>
      <c r="S23" s="175" t="s">
        <v>4240</v>
      </c>
      <c r="T23" s="64" t="s">
        <v>2550</v>
      </c>
      <c r="V23" s="64" t="s">
        <v>3347</v>
      </c>
      <c r="W23" s="178" t="s">
        <v>3308</v>
      </c>
      <c r="Y23" s="70" t="s">
        <v>4238</v>
      </c>
    </row>
    <row r="24" spans="1:25" ht="26.4" x14ac:dyDescent="0.3">
      <c r="A24" s="157">
        <v>23</v>
      </c>
      <c r="B24" s="158" t="s">
        <v>3339</v>
      </c>
      <c r="C24" s="159" t="s">
        <v>2659</v>
      </c>
      <c r="D24" s="159" t="s">
        <v>2660</v>
      </c>
      <c r="E24" s="265" t="s">
        <v>1823</v>
      </c>
      <c r="F24" s="159" t="s">
        <v>2187</v>
      </c>
      <c r="G24" s="229" t="s">
        <v>4163</v>
      </c>
      <c r="H24" s="162" t="s">
        <v>2533</v>
      </c>
      <c r="I24" s="159" t="s">
        <v>2533</v>
      </c>
      <c r="J24" s="280" t="s">
        <v>2525</v>
      </c>
      <c r="K24" s="159" t="s">
        <v>2661</v>
      </c>
      <c r="L24" s="159" t="s">
        <v>2662</v>
      </c>
      <c r="M24" s="162">
        <v>1</v>
      </c>
      <c r="N24" s="150">
        <v>279</v>
      </c>
      <c r="O24" s="301" t="b">
        <v>1</v>
      </c>
      <c r="P24" s="302" t="b">
        <v>0</v>
      </c>
      <c r="Q24" s="170" t="b">
        <v>0</v>
      </c>
      <c r="R24" s="170" t="b">
        <v>0</v>
      </c>
      <c r="S24" s="178" t="s">
        <v>2663</v>
      </c>
      <c r="T24" s="64" t="s">
        <v>2550</v>
      </c>
      <c r="V24" s="64"/>
      <c r="W24" s="64"/>
      <c r="Y24" s="62"/>
    </row>
    <row r="25" spans="1:25" ht="43.2" x14ac:dyDescent="0.3">
      <c r="A25" s="157">
        <v>24</v>
      </c>
      <c r="B25" s="158" t="s">
        <v>3452</v>
      </c>
      <c r="C25" s="159" t="s">
        <v>2664</v>
      </c>
      <c r="D25" s="159" t="s">
        <v>2665</v>
      </c>
      <c r="E25" s="163" t="s">
        <v>1760</v>
      </c>
      <c r="F25" s="159" t="s">
        <v>1773</v>
      </c>
      <c r="G25" s="207" t="s">
        <v>3299</v>
      </c>
      <c r="H25" s="162" t="s">
        <v>2533</v>
      </c>
      <c r="I25" s="150" t="s">
        <v>2533</v>
      </c>
      <c r="J25" s="280"/>
      <c r="K25" s="159" t="s">
        <v>2667</v>
      </c>
      <c r="L25" s="151" t="s">
        <v>2668</v>
      </c>
      <c r="M25" s="162">
        <v>2</v>
      </c>
      <c r="N25" s="150" t="s">
        <v>2669</v>
      </c>
      <c r="O25" s="301" t="b">
        <v>0</v>
      </c>
      <c r="P25" s="302" t="b">
        <v>0</v>
      </c>
      <c r="Q25" s="170" t="b">
        <v>0</v>
      </c>
      <c r="R25" s="170" t="b">
        <v>0</v>
      </c>
      <c r="S25" s="179" t="s">
        <v>2670</v>
      </c>
      <c r="T25" s="180" t="s">
        <v>2557</v>
      </c>
      <c r="U25" s="64" t="s">
        <v>2671</v>
      </c>
      <c r="V25" s="64" t="s">
        <v>3460</v>
      </c>
      <c r="W25" s="256" t="s">
        <v>3685</v>
      </c>
      <c r="Y25" s="70" t="s">
        <v>4219</v>
      </c>
    </row>
    <row r="26" spans="1:25" ht="39.6" x14ac:dyDescent="0.3">
      <c r="A26" s="157">
        <v>25</v>
      </c>
      <c r="B26" s="158" t="s">
        <v>3452</v>
      </c>
      <c r="C26" s="159" t="s">
        <v>2672</v>
      </c>
      <c r="D26" s="159" t="s">
        <v>2673</v>
      </c>
      <c r="E26" s="163" t="s">
        <v>1760</v>
      </c>
      <c r="F26" s="159" t="s">
        <v>1773</v>
      </c>
      <c r="G26" s="229" t="s">
        <v>4163</v>
      </c>
      <c r="H26" s="162" t="s">
        <v>2533</v>
      </c>
      <c r="I26" s="159" t="s">
        <v>2533</v>
      </c>
      <c r="J26" s="280" t="s">
        <v>2525</v>
      </c>
      <c r="K26" s="159" t="s">
        <v>2674</v>
      </c>
      <c r="L26" s="159" t="s">
        <v>2675</v>
      </c>
      <c r="M26" s="162">
        <v>2</v>
      </c>
      <c r="N26" s="150" t="s">
        <v>2676</v>
      </c>
      <c r="O26" s="301" t="b">
        <v>0</v>
      </c>
      <c r="P26" s="302" t="b">
        <v>0</v>
      </c>
      <c r="Q26" s="170" t="b">
        <v>0</v>
      </c>
      <c r="R26" s="170" t="b">
        <v>0</v>
      </c>
      <c r="S26" s="178" t="s">
        <v>2663</v>
      </c>
      <c r="T26" s="64" t="s">
        <v>2543</v>
      </c>
      <c r="U26" s="64" t="s">
        <v>2460</v>
      </c>
      <c r="V26" s="64"/>
      <c r="W26" s="256" t="s">
        <v>3685</v>
      </c>
      <c r="Y26" s="62"/>
    </row>
    <row r="27" spans="1:25" ht="43.2" x14ac:dyDescent="0.3">
      <c r="A27" s="157">
        <v>26</v>
      </c>
      <c r="B27" s="158" t="s">
        <v>3452</v>
      </c>
      <c r="C27" s="159" t="s">
        <v>2677</v>
      </c>
      <c r="D27" s="159" t="s">
        <v>2678</v>
      </c>
      <c r="E27" s="266" t="s">
        <v>1756</v>
      </c>
      <c r="F27" s="159" t="s">
        <v>2187</v>
      </c>
      <c r="G27" s="226" t="s">
        <v>4110</v>
      </c>
      <c r="H27" s="162" t="s">
        <v>4112</v>
      </c>
      <c r="I27" s="159" t="s">
        <v>2523</v>
      </c>
      <c r="J27" s="280" t="s">
        <v>2679</v>
      </c>
      <c r="K27" s="159" t="s">
        <v>2680</v>
      </c>
      <c r="L27" s="171" t="s">
        <v>4241</v>
      </c>
      <c r="M27" s="162">
        <v>2</v>
      </c>
      <c r="N27" s="150" t="s">
        <v>2682</v>
      </c>
      <c r="O27" s="301" t="b">
        <v>0</v>
      </c>
      <c r="P27" s="302" t="b">
        <v>0</v>
      </c>
      <c r="Q27" s="170" t="b">
        <v>1</v>
      </c>
      <c r="R27" s="170" t="b">
        <v>0</v>
      </c>
      <c r="S27" s="175" t="s">
        <v>2683</v>
      </c>
      <c r="T27" s="188" t="s">
        <v>2557</v>
      </c>
      <c r="U27" s="64" t="s">
        <v>2684</v>
      </c>
      <c r="V27" s="64"/>
      <c r="W27" s="64" t="s">
        <v>4242</v>
      </c>
      <c r="Y27" s="62"/>
    </row>
    <row r="28" spans="1:25" ht="57.6" x14ac:dyDescent="0.3">
      <c r="A28" s="157">
        <v>27</v>
      </c>
      <c r="B28" s="158" t="s">
        <v>3452</v>
      </c>
      <c r="C28" s="159" t="s">
        <v>2685</v>
      </c>
      <c r="D28" s="159" t="s">
        <v>2686</v>
      </c>
      <c r="E28" s="266" t="s">
        <v>1756</v>
      </c>
      <c r="F28" s="159" t="s">
        <v>1773</v>
      </c>
      <c r="G28" s="226" t="s">
        <v>4110</v>
      </c>
      <c r="H28" s="162" t="s">
        <v>2533</v>
      </c>
      <c r="I28" s="159" t="s">
        <v>2533</v>
      </c>
      <c r="J28" s="280" t="s">
        <v>2687</v>
      </c>
      <c r="K28" s="159" t="s">
        <v>2688</v>
      </c>
      <c r="L28" s="161" t="s">
        <v>2689</v>
      </c>
      <c r="M28" s="162">
        <v>1</v>
      </c>
      <c r="N28" s="150">
        <v>24</v>
      </c>
      <c r="O28" s="301" t="b">
        <v>0</v>
      </c>
      <c r="P28" s="302" t="b">
        <v>0</v>
      </c>
      <c r="Q28" s="170" t="b">
        <v>0</v>
      </c>
      <c r="R28" s="170" t="b">
        <v>0</v>
      </c>
      <c r="S28" s="64" t="s">
        <v>2690</v>
      </c>
      <c r="T28" s="188" t="s">
        <v>2557</v>
      </c>
      <c r="U28" s="64" t="s">
        <v>2684</v>
      </c>
      <c r="V28" s="64"/>
      <c r="W28" s="178" t="s">
        <v>3536</v>
      </c>
      <c r="Y28" s="62"/>
    </row>
    <row r="29" spans="1:25" ht="28.8" x14ac:dyDescent="0.3">
      <c r="A29" s="157">
        <v>28</v>
      </c>
      <c r="B29" s="158" t="s">
        <v>3452</v>
      </c>
      <c r="C29" s="159" t="s">
        <v>2691</v>
      </c>
      <c r="D29" s="159" t="s">
        <v>2692</v>
      </c>
      <c r="E29" s="266" t="s">
        <v>1756</v>
      </c>
      <c r="F29" s="159" t="s">
        <v>1773</v>
      </c>
      <c r="G29" s="217" t="s">
        <v>3817</v>
      </c>
      <c r="H29" s="162" t="s">
        <v>2533</v>
      </c>
      <c r="I29" s="159" t="s">
        <v>2533</v>
      </c>
      <c r="J29" s="280" t="s">
        <v>2525</v>
      </c>
      <c r="K29" s="159" t="s">
        <v>2693</v>
      </c>
      <c r="L29" s="161" t="s">
        <v>2694</v>
      </c>
      <c r="M29" s="162">
        <v>2</v>
      </c>
      <c r="N29" s="150" t="s">
        <v>2695</v>
      </c>
      <c r="O29" s="301" t="b">
        <v>0</v>
      </c>
      <c r="P29" s="302" t="b">
        <v>0</v>
      </c>
      <c r="Q29" s="170" t="b">
        <v>0</v>
      </c>
      <c r="R29" s="170" t="b">
        <v>0</v>
      </c>
      <c r="S29" s="64" t="s">
        <v>2696</v>
      </c>
      <c r="T29" s="64" t="s">
        <v>4243</v>
      </c>
      <c r="V29" s="64" t="s">
        <v>4244</v>
      </c>
      <c r="W29" s="178" t="s">
        <v>3327</v>
      </c>
      <c r="Y29" s="62"/>
    </row>
    <row r="30" spans="1:25" ht="43.2" x14ac:dyDescent="0.3">
      <c r="A30" s="157">
        <v>29</v>
      </c>
      <c r="B30" s="158" t="s">
        <v>3452</v>
      </c>
      <c r="C30" s="159" t="s">
        <v>2697</v>
      </c>
      <c r="D30" s="159" t="s">
        <v>2698</v>
      </c>
      <c r="E30" s="266" t="s">
        <v>1756</v>
      </c>
      <c r="F30" s="159" t="s">
        <v>2566</v>
      </c>
      <c r="G30" s="233" t="s">
        <v>4191</v>
      </c>
      <c r="H30" s="271" t="s">
        <v>2589</v>
      </c>
      <c r="I30" s="159" t="s">
        <v>2589</v>
      </c>
      <c r="J30" s="280" t="s">
        <v>2699</v>
      </c>
      <c r="K30" s="159"/>
      <c r="L30" s="159" t="s">
        <v>2700</v>
      </c>
      <c r="M30" s="162">
        <v>1</v>
      </c>
      <c r="N30" s="150">
        <v>206</v>
      </c>
      <c r="O30" s="301" t="b">
        <v>0</v>
      </c>
      <c r="P30" s="302" t="b">
        <v>0</v>
      </c>
      <c r="Q30" s="170" t="b">
        <v>1</v>
      </c>
      <c r="R30" s="170" t="b">
        <v>0</v>
      </c>
      <c r="S30" s="175" t="s">
        <v>2701</v>
      </c>
      <c r="T30" s="64" t="s">
        <v>2702</v>
      </c>
      <c r="V30" s="64"/>
      <c r="W30" s="64"/>
      <c r="Y30" s="62"/>
    </row>
    <row r="31" spans="1:25" ht="28.8" x14ac:dyDescent="0.3">
      <c r="A31" s="157">
        <v>30</v>
      </c>
      <c r="B31" s="158" t="s">
        <v>3452</v>
      </c>
      <c r="C31" s="159" t="s">
        <v>2703</v>
      </c>
      <c r="D31" s="159" t="s">
        <v>2704</v>
      </c>
      <c r="E31" s="265" t="s">
        <v>1823</v>
      </c>
      <c r="F31" s="159" t="s">
        <v>1773</v>
      </c>
      <c r="G31" s="233" t="s">
        <v>4191</v>
      </c>
      <c r="H31" s="271" t="s">
        <v>2589</v>
      </c>
      <c r="I31" s="159" t="s">
        <v>2589</v>
      </c>
      <c r="J31" s="280" t="s">
        <v>2588</v>
      </c>
      <c r="K31" s="159" t="s">
        <v>2705</v>
      </c>
      <c r="L31" s="161" t="s">
        <v>2706</v>
      </c>
      <c r="M31" s="162">
        <v>2</v>
      </c>
      <c r="N31" s="150" t="s">
        <v>2707</v>
      </c>
      <c r="O31" s="301" t="b">
        <v>0</v>
      </c>
      <c r="P31" s="302" t="b">
        <v>0</v>
      </c>
      <c r="Q31" s="170" t="b">
        <v>0</v>
      </c>
      <c r="R31" s="170" t="b">
        <v>0</v>
      </c>
      <c r="S31" s="176" t="s">
        <v>2708</v>
      </c>
      <c r="T31" s="64" t="s">
        <v>2530</v>
      </c>
      <c r="V31" s="64"/>
      <c r="W31" s="64"/>
      <c r="Y31" s="62"/>
    </row>
    <row r="32" spans="1:25" ht="79.2" x14ac:dyDescent="0.3">
      <c r="A32" s="296">
        <v>31</v>
      </c>
      <c r="B32" s="158" t="s">
        <v>3452</v>
      </c>
      <c r="C32" s="159" t="s">
        <v>2709</v>
      </c>
      <c r="D32" s="159" t="s">
        <v>2710</v>
      </c>
      <c r="E32" s="163" t="s">
        <v>1760</v>
      </c>
      <c r="F32" s="159" t="s">
        <v>1773</v>
      </c>
      <c r="G32" s="207" t="s">
        <v>3299</v>
      </c>
      <c r="H32" s="162" t="s">
        <v>2533</v>
      </c>
      <c r="I32" s="159" t="s">
        <v>2533</v>
      </c>
      <c r="J32" s="280" t="s">
        <v>2711</v>
      </c>
      <c r="K32" s="159" t="s">
        <v>2712</v>
      </c>
      <c r="L32" s="159" t="s">
        <v>2713</v>
      </c>
      <c r="M32" s="162">
        <v>2</v>
      </c>
      <c r="N32" s="150" t="s">
        <v>2714</v>
      </c>
      <c r="O32" s="301" t="b">
        <v>0</v>
      </c>
      <c r="P32" s="302" t="b">
        <v>0</v>
      </c>
      <c r="Q32" s="170" t="b">
        <v>1</v>
      </c>
      <c r="R32" s="170" t="b">
        <v>0</v>
      </c>
      <c r="S32" s="175" t="s">
        <v>2715</v>
      </c>
      <c r="T32" s="64" t="s">
        <v>2530</v>
      </c>
      <c r="V32" s="64" t="s">
        <v>3460</v>
      </c>
      <c r="W32" s="178" t="s">
        <v>3327</v>
      </c>
    </row>
    <row r="33" spans="1:25" ht="28.8" x14ac:dyDescent="0.3">
      <c r="A33" s="157">
        <v>32</v>
      </c>
      <c r="B33" s="158" t="s">
        <v>3452</v>
      </c>
      <c r="C33" s="159" t="s">
        <v>2716</v>
      </c>
      <c r="D33" s="159" t="s">
        <v>2717</v>
      </c>
      <c r="E33" s="265" t="s">
        <v>1823</v>
      </c>
      <c r="F33" s="159" t="s">
        <v>2066</v>
      </c>
      <c r="G33" s="207" t="s">
        <v>3299</v>
      </c>
      <c r="H33" s="162" t="s">
        <v>2533</v>
      </c>
      <c r="I33" s="150" t="s">
        <v>2533</v>
      </c>
      <c r="J33" s="280"/>
      <c r="K33" s="159" t="s">
        <v>2719</v>
      </c>
      <c r="L33" s="151" t="s">
        <v>2720</v>
      </c>
      <c r="M33" s="162">
        <v>1</v>
      </c>
      <c r="N33" s="150">
        <v>205</v>
      </c>
      <c r="O33" s="301" t="b">
        <v>0</v>
      </c>
      <c r="P33" s="302" t="b">
        <v>0</v>
      </c>
      <c r="Q33" s="170" t="b">
        <v>0</v>
      </c>
      <c r="R33" s="170" t="b">
        <v>0</v>
      </c>
      <c r="S33" s="309" t="s">
        <v>2696</v>
      </c>
      <c r="T33" s="64" t="s">
        <v>2530</v>
      </c>
      <c r="V33" s="64" t="s">
        <v>3477</v>
      </c>
      <c r="W33" s="178" t="s">
        <v>3536</v>
      </c>
    </row>
    <row r="34" spans="1:25" ht="144" x14ac:dyDescent="0.3">
      <c r="A34" s="157">
        <v>33</v>
      </c>
      <c r="B34" s="158" t="s">
        <v>3452</v>
      </c>
      <c r="C34" s="159" t="s">
        <v>2721</v>
      </c>
      <c r="D34" s="159" t="s">
        <v>2722</v>
      </c>
      <c r="E34" s="265" t="s">
        <v>1823</v>
      </c>
      <c r="F34" s="159" t="s">
        <v>1773</v>
      </c>
      <c r="G34" s="207" t="s">
        <v>3299</v>
      </c>
      <c r="H34" s="162" t="s">
        <v>2533</v>
      </c>
      <c r="I34" s="150" t="s">
        <v>2533</v>
      </c>
      <c r="J34" s="173" t="s">
        <v>4245</v>
      </c>
      <c r="K34" s="159" t="s">
        <v>2723</v>
      </c>
      <c r="L34" s="161" t="s">
        <v>2724</v>
      </c>
      <c r="M34" s="162">
        <v>1</v>
      </c>
      <c r="N34" s="150">
        <v>213</v>
      </c>
      <c r="O34" s="301" t="b">
        <v>0</v>
      </c>
      <c r="P34" s="302" t="b">
        <v>0</v>
      </c>
      <c r="Q34" s="170" t="b">
        <v>0</v>
      </c>
      <c r="R34" s="170" t="b">
        <v>0</v>
      </c>
      <c r="S34" s="179" t="s">
        <v>2725</v>
      </c>
      <c r="T34" s="184" t="s">
        <v>2557</v>
      </c>
      <c r="U34" s="64" t="s">
        <v>2671</v>
      </c>
      <c r="V34" s="178" t="s">
        <v>3536</v>
      </c>
      <c r="W34" s="178" t="s">
        <v>3536</v>
      </c>
    </row>
    <row r="35" spans="1:25" ht="39.6" x14ac:dyDescent="0.3">
      <c r="A35" s="157">
        <v>34</v>
      </c>
      <c r="B35" s="158" t="s">
        <v>4246</v>
      </c>
      <c r="C35" s="159" t="s">
        <v>2726</v>
      </c>
      <c r="D35" s="159" t="s">
        <v>2727</v>
      </c>
      <c r="E35" s="160" t="s">
        <v>1797</v>
      </c>
      <c r="F35" s="159" t="s">
        <v>2066</v>
      </c>
      <c r="G35" s="207" t="s">
        <v>3299</v>
      </c>
      <c r="H35" s="162" t="s">
        <v>2533</v>
      </c>
      <c r="I35" s="159" t="s">
        <v>2533</v>
      </c>
      <c r="J35" s="280"/>
      <c r="K35" s="159" t="s">
        <v>2728</v>
      </c>
      <c r="L35" s="151" t="s">
        <v>2729</v>
      </c>
      <c r="M35" s="162">
        <v>2</v>
      </c>
      <c r="N35" s="150" t="s">
        <v>2730</v>
      </c>
      <c r="O35" s="301" t="b">
        <v>0</v>
      </c>
      <c r="P35" s="302" t="b">
        <v>0</v>
      </c>
      <c r="Q35" s="170" t="b">
        <v>0</v>
      </c>
      <c r="R35" s="170" t="b">
        <v>0</v>
      </c>
      <c r="S35" s="64" t="s">
        <v>2696</v>
      </c>
      <c r="T35" s="64" t="s">
        <v>2530</v>
      </c>
      <c r="V35" s="178" t="s">
        <v>3308</v>
      </c>
      <c r="W35" s="178" t="s">
        <v>3308</v>
      </c>
    </row>
    <row r="36" spans="1:25" ht="39.6" x14ac:dyDescent="0.3">
      <c r="A36" s="157">
        <v>35</v>
      </c>
      <c r="B36" s="158" t="s">
        <v>4246</v>
      </c>
      <c r="C36" s="159" t="s">
        <v>2731</v>
      </c>
      <c r="D36" s="159" t="s">
        <v>2732</v>
      </c>
      <c r="E36" s="160" t="s">
        <v>1797</v>
      </c>
      <c r="F36" s="159" t="s">
        <v>2066</v>
      </c>
      <c r="G36" s="207" t="s">
        <v>3299</v>
      </c>
      <c r="H36" s="162" t="s">
        <v>2533</v>
      </c>
      <c r="I36" s="159" t="s">
        <v>2533</v>
      </c>
      <c r="J36" s="280"/>
      <c r="K36" s="159" t="s">
        <v>2733</v>
      </c>
      <c r="L36" s="151" t="s">
        <v>2734</v>
      </c>
      <c r="M36" s="162">
        <v>1</v>
      </c>
      <c r="N36" s="150">
        <v>7</v>
      </c>
      <c r="O36" s="301" t="b">
        <v>0</v>
      </c>
      <c r="P36" s="302" t="b">
        <v>0</v>
      </c>
      <c r="Q36" s="170" t="b">
        <v>0</v>
      </c>
      <c r="R36" s="170" t="b">
        <v>0</v>
      </c>
      <c r="S36" s="64" t="s">
        <v>2696</v>
      </c>
      <c r="T36" s="64" t="s">
        <v>2530</v>
      </c>
      <c r="V36" s="178" t="s">
        <v>3327</v>
      </c>
      <c r="W36" s="178" t="s">
        <v>3327</v>
      </c>
    </row>
    <row r="37" spans="1:25" ht="100.8" x14ac:dyDescent="0.3">
      <c r="A37" s="296">
        <v>36</v>
      </c>
      <c r="B37" s="158" t="s">
        <v>4246</v>
      </c>
      <c r="C37" s="159" t="s">
        <v>2735</v>
      </c>
      <c r="D37" s="159" t="s">
        <v>2736</v>
      </c>
      <c r="E37" s="163" t="s">
        <v>1760</v>
      </c>
      <c r="F37" s="159" t="s">
        <v>1773</v>
      </c>
      <c r="G37" s="207" t="s">
        <v>3299</v>
      </c>
      <c r="H37" s="162" t="s">
        <v>2533</v>
      </c>
      <c r="I37" s="159" t="s">
        <v>2533</v>
      </c>
      <c r="J37" s="280" t="s">
        <v>2525</v>
      </c>
      <c r="K37" s="281" t="s">
        <v>4247</v>
      </c>
      <c r="L37" s="161" t="s">
        <v>4248</v>
      </c>
      <c r="M37" s="162">
        <v>2</v>
      </c>
      <c r="N37" s="150" t="s">
        <v>2739</v>
      </c>
      <c r="O37" s="301" t="b">
        <v>0</v>
      </c>
      <c r="P37" s="302" t="b">
        <v>1</v>
      </c>
      <c r="Q37" s="170" t="b">
        <v>0</v>
      </c>
      <c r="R37" s="170" t="b">
        <v>0</v>
      </c>
      <c r="S37" s="175" t="s">
        <v>2740</v>
      </c>
      <c r="T37" s="189" t="s">
        <v>2741</v>
      </c>
      <c r="U37" s="64" t="s">
        <v>2742</v>
      </c>
      <c r="V37" s="64" t="s">
        <v>3391</v>
      </c>
      <c r="W37" s="175" t="s">
        <v>4249</v>
      </c>
    </row>
    <row r="38" spans="1:25" ht="100.8" x14ac:dyDescent="0.3">
      <c r="A38" s="157">
        <v>37</v>
      </c>
      <c r="B38" s="158" t="s">
        <v>4246</v>
      </c>
      <c r="C38" s="159" t="s">
        <v>2743</v>
      </c>
      <c r="D38" s="159" t="s">
        <v>2744</v>
      </c>
      <c r="E38" s="163" t="s">
        <v>1760</v>
      </c>
      <c r="F38" s="159" t="s">
        <v>2066</v>
      </c>
      <c r="G38" s="207" t="s">
        <v>3299</v>
      </c>
      <c r="H38" s="162" t="s">
        <v>2533</v>
      </c>
      <c r="I38" s="159" t="s">
        <v>2533</v>
      </c>
      <c r="J38" s="280"/>
      <c r="K38" s="159" t="s">
        <v>2745</v>
      </c>
      <c r="L38" s="151" t="s">
        <v>2746</v>
      </c>
      <c r="M38" s="162">
        <v>1</v>
      </c>
      <c r="N38" s="150">
        <v>114</v>
      </c>
      <c r="O38" s="301" t="b">
        <v>0</v>
      </c>
      <c r="P38" s="302" t="b">
        <v>1</v>
      </c>
      <c r="Q38" s="170" t="b">
        <v>0</v>
      </c>
      <c r="R38" s="170" t="b">
        <v>0</v>
      </c>
      <c r="S38" s="64" t="s">
        <v>2747</v>
      </c>
      <c r="T38" s="187" t="s">
        <v>2748</v>
      </c>
      <c r="U38" s="64" t="s">
        <v>2671</v>
      </c>
      <c r="V38" s="178" t="s">
        <v>3327</v>
      </c>
      <c r="W38" s="178" t="s">
        <v>3327</v>
      </c>
    </row>
    <row r="39" spans="1:25" ht="39.6" x14ac:dyDescent="0.3">
      <c r="A39" s="157">
        <v>38</v>
      </c>
      <c r="B39" s="158" t="s">
        <v>4246</v>
      </c>
      <c r="C39" s="159" t="s">
        <v>2749</v>
      </c>
      <c r="D39" s="159" t="s">
        <v>2750</v>
      </c>
      <c r="E39" s="163" t="s">
        <v>1760</v>
      </c>
      <c r="F39" s="159" t="s">
        <v>1773</v>
      </c>
      <c r="G39" s="207" t="s">
        <v>3299</v>
      </c>
      <c r="H39" s="162" t="s">
        <v>2533</v>
      </c>
      <c r="I39" s="159" t="s">
        <v>2533</v>
      </c>
      <c r="J39" s="280"/>
      <c r="K39" s="159" t="s">
        <v>2751</v>
      </c>
      <c r="L39" s="151" t="s">
        <v>2746</v>
      </c>
      <c r="M39" s="162">
        <v>1</v>
      </c>
      <c r="N39" s="150">
        <v>153</v>
      </c>
      <c r="O39" s="301" t="b">
        <v>0</v>
      </c>
      <c r="P39" s="302" t="b">
        <v>0</v>
      </c>
      <c r="Q39" s="170" t="b">
        <v>0</v>
      </c>
      <c r="R39" s="170" t="b">
        <v>0</v>
      </c>
      <c r="S39" s="64" t="s">
        <v>2752</v>
      </c>
      <c r="T39" s="64" t="s">
        <v>2753</v>
      </c>
      <c r="V39" s="178" t="s">
        <v>3327</v>
      </c>
      <c r="W39" s="178" t="s">
        <v>3327</v>
      </c>
    </row>
    <row r="40" spans="1:25" ht="39.6" x14ac:dyDescent="0.3">
      <c r="A40" s="157">
        <v>39</v>
      </c>
      <c r="B40" s="158" t="s">
        <v>4246</v>
      </c>
      <c r="C40" s="159" t="s">
        <v>2754</v>
      </c>
      <c r="D40" s="159" t="s">
        <v>2755</v>
      </c>
      <c r="E40" s="266" t="s">
        <v>1756</v>
      </c>
      <c r="F40" s="159" t="s">
        <v>2187</v>
      </c>
      <c r="G40" s="217" t="s">
        <v>3817</v>
      </c>
      <c r="H40" s="162" t="s">
        <v>2522</v>
      </c>
      <c r="I40" s="159" t="s">
        <v>2523</v>
      </c>
      <c r="J40" s="280" t="s">
        <v>2525</v>
      </c>
      <c r="K40" s="159" t="s">
        <v>2756</v>
      </c>
      <c r="L40" s="161" t="s">
        <v>2757</v>
      </c>
      <c r="M40" s="162">
        <v>1</v>
      </c>
      <c r="N40" s="150">
        <v>110</v>
      </c>
      <c r="O40" s="301" t="b">
        <v>0</v>
      </c>
      <c r="P40" s="302" t="b">
        <v>0</v>
      </c>
      <c r="Q40" s="170" t="b">
        <v>0</v>
      </c>
      <c r="R40" s="170" t="b">
        <v>0</v>
      </c>
      <c r="S40" s="280" t="s">
        <v>2525</v>
      </c>
      <c r="T40" s="64" t="s">
        <v>4250</v>
      </c>
      <c r="V40" s="64"/>
      <c r="W40" s="64" t="s">
        <v>4251</v>
      </c>
      <c r="Y40" s="62"/>
    </row>
    <row r="41" spans="1:25" ht="39.6" x14ac:dyDescent="0.3">
      <c r="A41" s="157">
        <v>40</v>
      </c>
      <c r="B41" s="158" t="s">
        <v>4246</v>
      </c>
      <c r="C41" s="159" t="s">
        <v>2759</v>
      </c>
      <c r="D41" s="159" t="s">
        <v>2760</v>
      </c>
      <c r="E41" s="266" t="s">
        <v>1756</v>
      </c>
      <c r="F41" s="159" t="s">
        <v>1773</v>
      </c>
      <c r="G41" s="217" t="s">
        <v>3817</v>
      </c>
      <c r="H41" s="162" t="s">
        <v>2522</v>
      </c>
      <c r="I41" s="159" t="s">
        <v>2523</v>
      </c>
      <c r="J41" s="280" t="s">
        <v>2525</v>
      </c>
      <c r="K41" s="159" t="s">
        <v>2761</v>
      </c>
      <c r="L41" s="161" t="s">
        <v>4252</v>
      </c>
      <c r="M41" s="162">
        <v>1</v>
      </c>
      <c r="N41" s="150">
        <v>109</v>
      </c>
      <c r="O41" s="301" t="b">
        <v>0</v>
      </c>
      <c r="P41" s="302" t="b">
        <v>1</v>
      </c>
      <c r="Q41" s="170" t="b">
        <v>0</v>
      </c>
      <c r="R41" s="170" t="b">
        <v>0</v>
      </c>
      <c r="S41" s="280" t="s">
        <v>4253</v>
      </c>
      <c r="T41" s="64" t="s">
        <v>4254</v>
      </c>
      <c r="V41" s="64"/>
      <c r="W41" s="175" t="s">
        <v>4255</v>
      </c>
      <c r="Y41" s="62"/>
    </row>
    <row r="42" spans="1:25" ht="57.6" x14ac:dyDescent="0.3">
      <c r="A42" s="157">
        <v>41</v>
      </c>
      <c r="B42" s="158" t="s">
        <v>4246</v>
      </c>
      <c r="C42" s="159" t="s">
        <v>2764</v>
      </c>
      <c r="D42" s="159" t="s">
        <v>2765</v>
      </c>
      <c r="E42" s="265" t="s">
        <v>1823</v>
      </c>
      <c r="F42" s="159" t="s">
        <v>1773</v>
      </c>
      <c r="G42" s="217" t="s">
        <v>3817</v>
      </c>
      <c r="H42" s="162" t="s">
        <v>2522</v>
      </c>
      <c r="I42" s="159" t="s">
        <v>3589</v>
      </c>
      <c r="J42" s="280" t="s">
        <v>2525</v>
      </c>
      <c r="K42" s="159" t="s">
        <v>2766</v>
      </c>
      <c r="L42" s="161" t="s">
        <v>4256</v>
      </c>
      <c r="M42" s="162">
        <v>2</v>
      </c>
      <c r="N42" s="150" t="s">
        <v>2768</v>
      </c>
      <c r="O42" s="301" t="b">
        <v>0</v>
      </c>
      <c r="P42" s="302" t="b">
        <v>1</v>
      </c>
      <c r="Q42" s="170" t="b">
        <v>0</v>
      </c>
      <c r="R42" s="170" t="b">
        <v>0</v>
      </c>
      <c r="S42" s="280" t="s">
        <v>2525</v>
      </c>
      <c r="T42" s="64" t="s">
        <v>4257</v>
      </c>
      <c r="V42" s="64"/>
      <c r="W42" s="175" t="s">
        <v>4258</v>
      </c>
      <c r="Y42" s="62"/>
    </row>
    <row r="43" spans="1:25" ht="43.2" x14ac:dyDescent="0.3">
      <c r="A43" s="157">
        <v>42</v>
      </c>
      <c r="B43" s="158" t="s">
        <v>4246</v>
      </c>
      <c r="C43" s="159" t="s">
        <v>2769</v>
      </c>
      <c r="D43" s="159" t="s">
        <v>2770</v>
      </c>
      <c r="E43" s="265" t="s">
        <v>1823</v>
      </c>
      <c r="F43" s="159" t="s">
        <v>1773</v>
      </c>
      <c r="G43" s="207" t="s">
        <v>3299</v>
      </c>
      <c r="H43" s="162" t="s">
        <v>2533</v>
      </c>
      <c r="I43" s="150" t="s">
        <v>2533</v>
      </c>
      <c r="J43" s="280"/>
      <c r="K43" s="159" t="s">
        <v>2771</v>
      </c>
      <c r="L43" s="161" t="s">
        <v>2772</v>
      </c>
      <c r="M43" s="162">
        <v>3</v>
      </c>
      <c r="N43" s="150" t="s">
        <v>2773</v>
      </c>
      <c r="O43" s="301" t="b">
        <v>0</v>
      </c>
      <c r="P43" s="302" t="b">
        <v>1</v>
      </c>
      <c r="Q43" s="170" t="b">
        <v>0</v>
      </c>
      <c r="R43" s="170" t="b">
        <v>0</v>
      </c>
      <c r="S43" s="179" t="s">
        <v>2774</v>
      </c>
      <c r="T43" s="180" t="s">
        <v>2775</v>
      </c>
      <c r="U43" s="303" t="b">
        <v>1</v>
      </c>
      <c r="V43" s="178" t="s">
        <v>3536</v>
      </c>
      <c r="W43" s="178" t="s">
        <v>3536</v>
      </c>
    </row>
    <row r="44" spans="1:25" ht="43.2" x14ac:dyDescent="0.3">
      <c r="A44" s="296">
        <v>43</v>
      </c>
      <c r="B44" s="158" t="s">
        <v>4246</v>
      </c>
      <c r="C44" s="159" t="s">
        <v>2776</v>
      </c>
      <c r="D44" s="159" t="s">
        <v>2777</v>
      </c>
      <c r="E44" s="265" t="s">
        <v>1823</v>
      </c>
      <c r="F44" s="159" t="s">
        <v>1773</v>
      </c>
      <c r="G44" s="207" t="s">
        <v>3299</v>
      </c>
      <c r="H44" s="162" t="s">
        <v>2533</v>
      </c>
      <c r="I44" s="159" t="s">
        <v>2533</v>
      </c>
      <c r="J44" s="173" t="s">
        <v>4259</v>
      </c>
      <c r="K44" s="159" t="s">
        <v>2778</v>
      </c>
      <c r="L44" s="161" t="s">
        <v>2779</v>
      </c>
      <c r="M44" s="162">
        <v>2</v>
      </c>
      <c r="N44" s="150" t="s">
        <v>2780</v>
      </c>
      <c r="O44" s="301" t="b">
        <v>0</v>
      </c>
      <c r="P44" s="302" t="b">
        <v>1</v>
      </c>
      <c r="Q44" s="170" t="b">
        <v>0</v>
      </c>
      <c r="R44" s="170" t="b">
        <v>0</v>
      </c>
      <c r="S44" s="310" t="s">
        <v>2781</v>
      </c>
      <c r="T44" s="184" t="s">
        <v>2775</v>
      </c>
      <c r="U44" s="303" t="b">
        <v>1</v>
      </c>
      <c r="V44" s="177" t="s">
        <v>3721</v>
      </c>
      <c r="W44" s="177" t="s">
        <v>4260</v>
      </c>
      <c r="Y44" s="70" t="s">
        <v>4261</v>
      </c>
    </row>
    <row r="45" spans="1:25" ht="39.6" x14ac:dyDescent="0.3">
      <c r="A45" s="157">
        <v>44</v>
      </c>
      <c r="B45" s="158" t="s">
        <v>4246</v>
      </c>
      <c r="C45" s="159" t="s">
        <v>2782</v>
      </c>
      <c r="D45" s="159" t="s">
        <v>2783</v>
      </c>
      <c r="E45" s="266" t="s">
        <v>1756</v>
      </c>
      <c r="F45" s="159" t="s">
        <v>1773</v>
      </c>
      <c r="G45" s="207" t="s">
        <v>3299</v>
      </c>
      <c r="H45" s="162" t="s">
        <v>2533</v>
      </c>
      <c r="I45" s="159" t="s">
        <v>2533</v>
      </c>
      <c r="J45" s="173" t="s">
        <v>4262</v>
      </c>
      <c r="K45" s="159" t="s">
        <v>2784</v>
      </c>
      <c r="L45" s="161" t="s">
        <v>2785</v>
      </c>
      <c r="M45" s="162">
        <v>2</v>
      </c>
      <c r="N45" s="150" t="s">
        <v>2786</v>
      </c>
      <c r="O45" s="301" t="b">
        <v>0</v>
      </c>
      <c r="P45" s="302" t="b">
        <v>0</v>
      </c>
      <c r="Q45" s="170" t="b">
        <v>0</v>
      </c>
      <c r="R45" s="170" t="b">
        <v>0</v>
      </c>
      <c r="S45" s="310" t="s">
        <v>2787</v>
      </c>
      <c r="T45" s="187" t="s">
        <v>2775</v>
      </c>
      <c r="U45" s="303" t="b">
        <v>1</v>
      </c>
      <c r="V45" s="178" t="s">
        <v>4263</v>
      </c>
      <c r="W45" s="178" t="s">
        <v>4264</v>
      </c>
      <c r="Y45" s="70" t="s">
        <v>4261</v>
      </c>
    </row>
    <row r="46" spans="1:25" ht="39.6" x14ac:dyDescent="0.3">
      <c r="A46" s="157">
        <v>45</v>
      </c>
      <c r="B46" s="158" t="s">
        <v>4246</v>
      </c>
      <c r="C46" s="159" t="s">
        <v>2788</v>
      </c>
      <c r="D46" s="159" t="s">
        <v>2789</v>
      </c>
      <c r="E46" s="163" t="s">
        <v>1760</v>
      </c>
      <c r="F46" s="159" t="s">
        <v>1773</v>
      </c>
      <c r="G46" s="207" t="s">
        <v>3299</v>
      </c>
      <c r="H46" s="162" t="s">
        <v>2533</v>
      </c>
      <c r="I46" s="159" t="s">
        <v>2533</v>
      </c>
      <c r="J46" s="280"/>
      <c r="K46" s="159" t="s">
        <v>2790</v>
      </c>
      <c r="L46" s="159" t="s">
        <v>2791</v>
      </c>
      <c r="M46" s="162">
        <v>1</v>
      </c>
      <c r="N46" s="150">
        <v>148</v>
      </c>
      <c r="O46" s="301" t="b">
        <v>0</v>
      </c>
      <c r="P46" s="302" t="b">
        <v>0</v>
      </c>
      <c r="Q46" s="170" t="b">
        <v>1</v>
      </c>
      <c r="R46" s="170" t="b">
        <v>0</v>
      </c>
      <c r="S46" s="64" t="s">
        <v>2792</v>
      </c>
      <c r="T46" s="64" t="s">
        <v>2530</v>
      </c>
      <c r="V46" s="178" t="s">
        <v>3308</v>
      </c>
      <c r="W46" s="178" t="s">
        <v>3308</v>
      </c>
    </row>
    <row r="47" spans="1:25" ht="52.8" x14ac:dyDescent="0.3">
      <c r="A47" s="157">
        <v>46</v>
      </c>
      <c r="B47" s="158" t="s">
        <v>4265</v>
      </c>
      <c r="C47" s="159" t="s">
        <v>2793</v>
      </c>
      <c r="D47" s="159" t="s">
        <v>2794</v>
      </c>
      <c r="E47" s="163" t="s">
        <v>1760</v>
      </c>
      <c r="F47" s="159" t="s">
        <v>1773</v>
      </c>
      <c r="G47" s="207" t="s">
        <v>3299</v>
      </c>
      <c r="H47" s="162" t="s">
        <v>2533</v>
      </c>
      <c r="I47" s="159" t="s">
        <v>2533</v>
      </c>
      <c r="J47" s="280" t="s">
        <v>4266</v>
      </c>
      <c r="K47" s="173" t="s">
        <v>2795</v>
      </c>
      <c r="L47" s="161" t="s">
        <v>2796</v>
      </c>
      <c r="M47" s="162">
        <v>1</v>
      </c>
      <c r="N47" s="150">
        <v>175</v>
      </c>
      <c r="O47" s="301" t="b">
        <v>0</v>
      </c>
      <c r="P47" s="302" t="b">
        <v>1</v>
      </c>
      <c r="Q47" s="170" t="b">
        <v>0</v>
      </c>
      <c r="R47" s="170" t="b">
        <v>0</v>
      </c>
      <c r="S47" s="64" t="s">
        <v>2797</v>
      </c>
      <c r="T47" s="64" t="s">
        <v>2530</v>
      </c>
      <c r="V47" s="64" t="s">
        <v>3477</v>
      </c>
      <c r="W47" s="177" t="s">
        <v>4267</v>
      </c>
      <c r="Y47" s="70" t="s">
        <v>4268</v>
      </c>
    </row>
    <row r="48" spans="1:25" ht="52.8" x14ac:dyDescent="0.3">
      <c r="A48" s="157">
        <v>47</v>
      </c>
      <c r="B48" s="158" t="s">
        <v>4265</v>
      </c>
      <c r="C48" s="159" t="s">
        <v>2798</v>
      </c>
      <c r="D48" s="159" t="s">
        <v>2799</v>
      </c>
      <c r="E48" s="163" t="s">
        <v>1760</v>
      </c>
      <c r="F48" s="159" t="s">
        <v>2187</v>
      </c>
      <c r="G48" s="207" t="s">
        <v>3299</v>
      </c>
      <c r="H48" s="162" t="s">
        <v>2533</v>
      </c>
      <c r="I48" s="159" t="s">
        <v>2533</v>
      </c>
      <c r="J48" s="280" t="s">
        <v>4266</v>
      </c>
      <c r="K48" s="159" t="s">
        <v>2800</v>
      </c>
      <c r="L48" s="161" t="s">
        <v>2796</v>
      </c>
      <c r="M48" s="162">
        <v>2</v>
      </c>
      <c r="N48" s="150" t="s">
        <v>2801</v>
      </c>
      <c r="O48" s="301" t="b">
        <v>0</v>
      </c>
      <c r="P48" s="302" t="b">
        <v>1</v>
      </c>
      <c r="Q48" s="170" t="b">
        <v>0</v>
      </c>
      <c r="R48" s="170" t="b">
        <v>0</v>
      </c>
      <c r="S48" s="64" t="s">
        <v>2802</v>
      </c>
      <c r="T48" s="181" t="s">
        <v>2803</v>
      </c>
      <c r="V48" s="64" t="s">
        <v>3486</v>
      </c>
      <c r="W48" s="64"/>
    </row>
    <row r="49" spans="1:25" ht="66" x14ac:dyDescent="0.3">
      <c r="A49" s="157">
        <v>48</v>
      </c>
      <c r="B49" s="158" t="s">
        <v>3366</v>
      </c>
      <c r="C49" s="159" t="s">
        <v>2804</v>
      </c>
      <c r="D49" s="159" t="s">
        <v>2805</v>
      </c>
      <c r="E49" s="163" t="s">
        <v>1760</v>
      </c>
      <c r="F49" s="159" t="s">
        <v>1773</v>
      </c>
      <c r="G49" s="207" t="s">
        <v>3299</v>
      </c>
      <c r="H49" s="162" t="s">
        <v>2533</v>
      </c>
      <c r="I49" s="150" t="s">
        <v>2533</v>
      </c>
      <c r="J49" s="280" t="s">
        <v>4269</v>
      </c>
      <c r="K49" s="159" t="s">
        <v>2807</v>
      </c>
      <c r="L49" s="161" t="s">
        <v>2808</v>
      </c>
      <c r="M49" s="162">
        <v>2</v>
      </c>
      <c r="N49" s="150" t="s">
        <v>2809</v>
      </c>
      <c r="O49" s="301" t="b">
        <v>0</v>
      </c>
      <c r="P49" s="302" t="b">
        <v>0</v>
      </c>
      <c r="Q49" s="170" t="b">
        <v>1</v>
      </c>
      <c r="R49" s="170" t="b">
        <v>0</v>
      </c>
      <c r="S49" s="185" t="s">
        <v>2810</v>
      </c>
      <c r="T49" s="181" t="s">
        <v>2803</v>
      </c>
      <c r="V49" s="177" t="s">
        <v>3495</v>
      </c>
      <c r="W49" s="282" t="s">
        <v>4269</v>
      </c>
      <c r="Y49" s="70" t="s">
        <v>4270</v>
      </c>
    </row>
    <row r="50" spans="1:25" ht="57.6" x14ac:dyDescent="0.3">
      <c r="A50" s="157">
        <v>49</v>
      </c>
      <c r="B50" s="158" t="s">
        <v>3366</v>
      </c>
      <c r="C50" s="159" t="s">
        <v>2811</v>
      </c>
      <c r="D50" s="159" t="s">
        <v>2812</v>
      </c>
      <c r="E50" s="163" t="s">
        <v>1760</v>
      </c>
      <c r="F50" s="159" t="s">
        <v>1773</v>
      </c>
      <c r="G50" s="233" t="s">
        <v>4191</v>
      </c>
      <c r="H50" s="272" t="s">
        <v>2589</v>
      </c>
      <c r="I50" s="159" t="s">
        <v>2589</v>
      </c>
      <c r="J50" s="280" t="s">
        <v>2588</v>
      </c>
      <c r="K50" s="159" t="s">
        <v>2813</v>
      </c>
      <c r="L50" s="161" t="s">
        <v>2814</v>
      </c>
      <c r="M50" s="162">
        <v>2</v>
      </c>
      <c r="N50" s="150" t="s">
        <v>2815</v>
      </c>
      <c r="O50" s="301" t="b">
        <v>0</v>
      </c>
      <c r="P50" s="302" t="b">
        <v>1</v>
      </c>
      <c r="Q50" s="170" t="b">
        <v>0</v>
      </c>
      <c r="R50" s="170" t="b">
        <v>0</v>
      </c>
      <c r="S50" s="186" t="s">
        <v>2816</v>
      </c>
      <c r="T50" s="64" t="s">
        <v>2817</v>
      </c>
      <c r="V50" s="64"/>
      <c r="W50" s="64"/>
      <c r="Y50" s="62"/>
    </row>
    <row r="51" spans="1:25" ht="39.6" x14ac:dyDescent="0.3">
      <c r="A51" s="157">
        <v>50</v>
      </c>
      <c r="B51" s="158" t="s">
        <v>4265</v>
      </c>
      <c r="C51" s="159" t="s">
        <v>2818</v>
      </c>
      <c r="D51" s="159" t="s">
        <v>2819</v>
      </c>
      <c r="E51" s="163" t="s">
        <v>1760</v>
      </c>
      <c r="F51" s="159" t="s">
        <v>1773</v>
      </c>
      <c r="G51" s="217" t="s">
        <v>3817</v>
      </c>
      <c r="H51" s="297" t="s">
        <v>4214</v>
      </c>
      <c r="I51" s="159" t="s">
        <v>3340</v>
      </c>
      <c r="J51" s="280" t="s">
        <v>4271</v>
      </c>
      <c r="K51" s="159" t="s">
        <v>2820</v>
      </c>
      <c r="L51" s="300" t="s">
        <v>4272</v>
      </c>
      <c r="M51" s="162">
        <v>2</v>
      </c>
      <c r="N51" s="150" t="s">
        <v>2822</v>
      </c>
      <c r="O51" s="301" t="b">
        <v>0</v>
      </c>
      <c r="P51" s="302" t="b">
        <v>1</v>
      </c>
      <c r="Q51" s="170" t="b">
        <v>0</v>
      </c>
      <c r="R51" s="170" t="b">
        <v>0</v>
      </c>
      <c r="T51" s="64" t="s">
        <v>2543</v>
      </c>
      <c r="V51" s="177" t="s">
        <v>3356</v>
      </c>
      <c r="W51" s="177" t="s">
        <v>4273</v>
      </c>
    </row>
    <row r="52" spans="1:25" ht="43.2" x14ac:dyDescent="0.3">
      <c r="A52" s="157">
        <v>51</v>
      </c>
      <c r="B52" s="158" t="s">
        <v>4265</v>
      </c>
      <c r="C52" s="159" t="s">
        <v>2823</v>
      </c>
      <c r="D52" s="159" t="s">
        <v>2824</v>
      </c>
      <c r="E52" s="266" t="s">
        <v>1756</v>
      </c>
      <c r="F52" s="159" t="s">
        <v>1773</v>
      </c>
      <c r="G52" s="207" t="s">
        <v>3299</v>
      </c>
      <c r="H52" s="162" t="s">
        <v>2533</v>
      </c>
      <c r="I52" s="159" t="s">
        <v>2533</v>
      </c>
      <c r="J52" s="174" t="s">
        <v>2825</v>
      </c>
      <c r="K52" s="159" t="s">
        <v>2826</v>
      </c>
      <c r="L52" s="161" t="s">
        <v>2202</v>
      </c>
      <c r="M52" s="162">
        <v>1</v>
      </c>
      <c r="N52" s="150">
        <v>100</v>
      </c>
      <c r="O52" s="301" t="b">
        <v>0</v>
      </c>
      <c r="P52" s="302" t="b">
        <v>0</v>
      </c>
      <c r="Q52" s="170" t="b">
        <v>0</v>
      </c>
      <c r="R52" s="170" t="b">
        <v>0</v>
      </c>
      <c r="S52" s="179" t="s">
        <v>2827</v>
      </c>
      <c r="T52" s="64" t="s">
        <v>2530</v>
      </c>
      <c r="V52" s="178" t="s">
        <v>3327</v>
      </c>
      <c r="W52" s="178" t="s">
        <v>3327</v>
      </c>
    </row>
    <row r="53" spans="1:25" ht="28.8" x14ac:dyDescent="0.3">
      <c r="A53" s="157">
        <v>52</v>
      </c>
      <c r="B53" s="158" t="s">
        <v>4265</v>
      </c>
      <c r="C53" s="159" t="s">
        <v>2828</v>
      </c>
      <c r="D53" s="159" t="s">
        <v>2829</v>
      </c>
      <c r="E53" s="266" t="s">
        <v>1756</v>
      </c>
      <c r="F53" s="159" t="s">
        <v>1773</v>
      </c>
      <c r="G53" s="217" t="s">
        <v>3817</v>
      </c>
      <c r="H53" s="162" t="s">
        <v>2522</v>
      </c>
      <c r="I53" s="159" t="s">
        <v>3340</v>
      </c>
      <c r="J53" s="280" t="s">
        <v>2525</v>
      </c>
      <c r="K53" s="159" t="s">
        <v>2830</v>
      </c>
      <c r="L53" s="161" t="s">
        <v>2831</v>
      </c>
      <c r="M53" s="162">
        <v>1</v>
      </c>
      <c r="N53" s="150">
        <v>90</v>
      </c>
      <c r="O53" s="301" t="b">
        <v>0</v>
      </c>
      <c r="P53" s="302" t="b">
        <v>0</v>
      </c>
      <c r="Q53" s="170" t="b">
        <v>0</v>
      </c>
      <c r="R53" s="170" t="b">
        <v>0</v>
      </c>
      <c r="S53" s="64" t="s">
        <v>2604</v>
      </c>
      <c r="T53" s="64" t="s">
        <v>4254</v>
      </c>
      <c r="V53" s="64"/>
      <c r="W53" s="175" t="s">
        <v>4274</v>
      </c>
      <c r="Y53" s="62"/>
    </row>
    <row r="54" spans="1:25" ht="28.8" x14ac:dyDescent="0.3">
      <c r="A54" s="157">
        <v>53</v>
      </c>
      <c r="B54" s="158" t="s">
        <v>4265</v>
      </c>
      <c r="C54" s="159" t="s">
        <v>2832</v>
      </c>
      <c r="D54" s="159" t="s">
        <v>2833</v>
      </c>
      <c r="E54" s="266" t="s">
        <v>1756</v>
      </c>
      <c r="F54" s="159" t="s">
        <v>1773</v>
      </c>
      <c r="G54" s="217" t="s">
        <v>3817</v>
      </c>
      <c r="H54" s="273" t="s">
        <v>2522</v>
      </c>
      <c r="I54" s="159" t="s">
        <v>3340</v>
      </c>
      <c r="J54" s="280" t="s">
        <v>2525</v>
      </c>
      <c r="K54" s="159" t="s">
        <v>2834</v>
      </c>
      <c r="L54" s="161" t="s">
        <v>2831</v>
      </c>
      <c r="M54" s="162">
        <v>1</v>
      </c>
      <c r="N54" s="150">
        <v>54</v>
      </c>
      <c r="O54" s="301" t="b">
        <v>0</v>
      </c>
      <c r="P54" s="302" t="b">
        <v>0</v>
      </c>
      <c r="Q54" s="170" t="b">
        <v>0</v>
      </c>
      <c r="R54" s="170" t="b">
        <v>0</v>
      </c>
      <c r="S54" s="64" t="s">
        <v>2604</v>
      </c>
      <c r="T54" s="64" t="s">
        <v>4254</v>
      </c>
      <c r="V54" s="64"/>
      <c r="W54" s="175" t="s">
        <v>4274</v>
      </c>
      <c r="Y54" s="62"/>
    </row>
    <row r="55" spans="1:25" ht="43.2" x14ac:dyDescent="0.3">
      <c r="A55" s="157">
        <v>54</v>
      </c>
      <c r="B55" s="158" t="s">
        <v>3366</v>
      </c>
      <c r="C55" s="159" t="s">
        <v>2835</v>
      </c>
      <c r="D55" s="159" t="s">
        <v>2836</v>
      </c>
      <c r="E55" s="163" t="s">
        <v>1760</v>
      </c>
      <c r="F55" s="159" t="s">
        <v>2066</v>
      </c>
      <c r="G55" s="229" t="s">
        <v>4163</v>
      </c>
      <c r="H55" s="162" t="s">
        <v>2533</v>
      </c>
      <c r="I55" s="159" t="s">
        <v>2533</v>
      </c>
      <c r="J55" s="174" t="s">
        <v>2825</v>
      </c>
      <c r="K55" s="159" t="s">
        <v>2837</v>
      </c>
      <c r="L55" s="151" t="s">
        <v>2838</v>
      </c>
      <c r="M55" s="162">
        <v>3</v>
      </c>
      <c r="N55" s="150" t="s">
        <v>2839</v>
      </c>
      <c r="O55" s="301" t="b">
        <v>0</v>
      </c>
      <c r="P55" s="302" t="b">
        <v>0</v>
      </c>
      <c r="Q55" s="170" t="b">
        <v>0</v>
      </c>
      <c r="R55" s="170" t="b">
        <v>0</v>
      </c>
      <c r="S55" s="178" t="s">
        <v>2635</v>
      </c>
      <c r="T55" s="178" t="s">
        <v>2635</v>
      </c>
      <c r="V55" s="64"/>
      <c r="W55" s="64"/>
      <c r="Y55" s="62"/>
    </row>
    <row r="56" spans="1:25" ht="100.8" x14ac:dyDescent="0.3">
      <c r="A56" s="157">
        <v>55</v>
      </c>
      <c r="B56" s="158" t="s">
        <v>3366</v>
      </c>
      <c r="C56" s="159" t="s">
        <v>2840</v>
      </c>
      <c r="D56" s="159" t="s">
        <v>2841</v>
      </c>
      <c r="E56" s="265" t="s">
        <v>1823</v>
      </c>
      <c r="F56" s="159" t="s">
        <v>1773</v>
      </c>
      <c r="G56" s="217" t="s">
        <v>3817</v>
      </c>
      <c r="H56" s="297" t="s">
        <v>4214</v>
      </c>
      <c r="I56" s="159" t="s">
        <v>3340</v>
      </c>
      <c r="J56" s="280" t="s">
        <v>4271</v>
      </c>
      <c r="K56" s="159" t="s">
        <v>2843</v>
      </c>
      <c r="L56" s="161" t="s">
        <v>2844</v>
      </c>
      <c r="M56" s="162">
        <v>3</v>
      </c>
      <c r="N56" s="150" t="s">
        <v>2845</v>
      </c>
      <c r="O56" s="301" t="b">
        <v>0</v>
      </c>
      <c r="P56" s="302" t="b">
        <v>0</v>
      </c>
      <c r="Q56" s="170" t="b">
        <v>0</v>
      </c>
      <c r="R56" s="170" t="b">
        <v>0</v>
      </c>
      <c r="S56" s="64" t="s">
        <v>2846</v>
      </c>
      <c r="T56" s="183" t="s">
        <v>2847</v>
      </c>
      <c r="V56" s="177" t="s">
        <v>3628</v>
      </c>
      <c r="W56" s="64" t="s">
        <v>4275</v>
      </c>
    </row>
    <row r="57" spans="1:25" ht="43.2" x14ac:dyDescent="0.3">
      <c r="A57" s="157">
        <v>56</v>
      </c>
      <c r="B57" s="158" t="s">
        <v>3366</v>
      </c>
      <c r="C57" s="159" t="s">
        <v>2848</v>
      </c>
      <c r="D57" s="159" t="s">
        <v>2849</v>
      </c>
      <c r="E57" s="265" t="s">
        <v>1823</v>
      </c>
      <c r="F57" s="159" t="s">
        <v>1773</v>
      </c>
      <c r="G57" s="207" t="s">
        <v>3299</v>
      </c>
      <c r="H57" s="162" t="s">
        <v>2533</v>
      </c>
      <c r="I57" s="159" t="s">
        <v>2533</v>
      </c>
      <c r="J57" s="280" t="s">
        <v>4271</v>
      </c>
      <c r="K57" s="159" t="s">
        <v>2850</v>
      </c>
      <c r="L57" s="161" t="s">
        <v>2844</v>
      </c>
      <c r="M57" s="162">
        <v>2</v>
      </c>
      <c r="N57" s="150" t="s">
        <v>2851</v>
      </c>
      <c r="O57" s="301" t="b">
        <v>0</v>
      </c>
      <c r="P57" s="302" t="b">
        <v>1</v>
      </c>
      <c r="Q57" s="170" t="b">
        <v>0</v>
      </c>
      <c r="R57" s="170" t="b">
        <v>0</v>
      </c>
      <c r="S57" s="64" t="s">
        <v>2852</v>
      </c>
      <c r="V57" s="64" t="s">
        <v>3635</v>
      </c>
      <c r="W57" s="64" t="s">
        <v>4276</v>
      </c>
    </row>
    <row r="58" spans="1:25" ht="100.8" x14ac:dyDescent="0.3">
      <c r="A58" s="157">
        <v>57</v>
      </c>
      <c r="B58" s="158" t="s">
        <v>3366</v>
      </c>
      <c r="C58" s="159" t="s">
        <v>2853</v>
      </c>
      <c r="D58" s="159" t="s">
        <v>2854</v>
      </c>
      <c r="E58" s="265" t="s">
        <v>1823</v>
      </c>
      <c r="F58" s="159" t="s">
        <v>1773</v>
      </c>
      <c r="G58" s="217" t="s">
        <v>3817</v>
      </c>
      <c r="H58" s="162" t="s">
        <v>2522</v>
      </c>
      <c r="I58" s="159" t="s">
        <v>3340</v>
      </c>
      <c r="J58" s="280" t="s">
        <v>2525</v>
      </c>
      <c r="K58" s="159" t="s">
        <v>2855</v>
      </c>
      <c r="L58" s="161" t="s">
        <v>2856</v>
      </c>
      <c r="M58" s="162">
        <v>1</v>
      </c>
      <c r="N58" s="150">
        <v>124</v>
      </c>
      <c r="O58" s="301" t="b">
        <v>0</v>
      </c>
      <c r="P58" s="302" t="b">
        <v>1</v>
      </c>
      <c r="Q58" s="170" t="b">
        <v>0</v>
      </c>
      <c r="R58" s="170" t="b">
        <v>0</v>
      </c>
      <c r="S58" s="64" t="s">
        <v>2857</v>
      </c>
      <c r="T58" s="64" t="s">
        <v>4277</v>
      </c>
      <c r="V58" s="64"/>
      <c r="W58" s="64" t="s">
        <v>4277</v>
      </c>
      <c r="Y58" s="62"/>
    </row>
    <row r="59" spans="1:25" ht="100.8" x14ac:dyDescent="0.3">
      <c r="A59" s="157">
        <v>58</v>
      </c>
      <c r="B59" s="158" t="s">
        <v>3366</v>
      </c>
      <c r="C59" s="159" t="s">
        <v>2858</v>
      </c>
      <c r="D59" s="159" t="s">
        <v>2859</v>
      </c>
      <c r="E59" s="266" t="s">
        <v>1756</v>
      </c>
      <c r="F59" s="159" t="s">
        <v>1773</v>
      </c>
      <c r="G59" s="207" t="s">
        <v>3299</v>
      </c>
      <c r="H59" s="162" t="s">
        <v>2533</v>
      </c>
      <c r="I59" s="159" t="s">
        <v>2533</v>
      </c>
      <c r="J59" s="280" t="s">
        <v>2525</v>
      </c>
      <c r="K59" s="159" t="s">
        <v>4278</v>
      </c>
      <c r="L59" s="161" t="s">
        <v>4279</v>
      </c>
      <c r="M59" s="162">
        <v>1</v>
      </c>
      <c r="N59" s="150">
        <v>89</v>
      </c>
      <c r="O59" s="301" t="b">
        <v>0</v>
      </c>
      <c r="P59" s="302" t="b">
        <v>0</v>
      </c>
      <c r="Q59" s="170" t="b">
        <v>0</v>
      </c>
      <c r="R59" s="170" t="b">
        <v>0</v>
      </c>
      <c r="S59" s="64" t="s">
        <v>2862</v>
      </c>
      <c r="V59" s="177" t="s">
        <v>3808</v>
      </c>
      <c r="W59" s="64" t="s">
        <v>4280</v>
      </c>
      <c r="Y59" s="70" t="s">
        <v>4281</v>
      </c>
    </row>
    <row r="60" spans="1:25" ht="26.4" x14ac:dyDescent="0.3">
      <c r="A60" s="157">
        <v>59</v>
      </c>
      <c r="B60" s="158" t="s">
        <v>3366</v>
      </c>
      <c r="C60" s="159" t="s">
        <v>2863</v>
      </c>
      <c r="D60" s="159" t="s">
        <v>2864</v>
      </c>
      <c r="E60" s="163" t="s">
        <v>1760</v>
      </c>
      <c r="F60" s="159" t="s">
        <v>2066</v>
      </c>
      <c r="G60" s="207" t="s">
        <v>3299</v>
      </c>
      <c r="H60" s="162" t="s">
        <v>2533</v>
      </c>
      <c r="I60" s="159" t="s">
        <v>2533</v>
      </c>
      <c r="J60" s="280" t="s">
        <v>4271</v>
      </c>
      <c r="K60" s="159" t="s">
        <v>2865</v>
      </c>
      <c r="L60" s="159" t="s">
        <v>2866</v>
      </c>
      <c r="M60" s="162">
        <v>1</v>
      </c>
      <c r="N60" s="150">
        <v>149</v>
      </c>
      <c r="O60" s="301" t="b">
        <v>0</v>
      </c>
      <c r="P60" s="302" t="b">
        <v>0</v>
      </c>
      <c r="Q60" s="170" t="b">
        <v>0</v>
      </c>
      <c r="R60" s="170" t="b">
        <v>0</v>
      </c>
      <c r="S60" s="64" t="s">
        <v>2867</v>
      </c>
      <c r="V60" s="255"/>
      <c r="W60" s="255"/>
    </row>
    <row r="61" spans="1:25" ht="115.2" x14ac:dyDescent="0.3">
      <c r="A61" s="157">
        <v>60</v>
      </c>
      <c r="B61" s="158" t="s">
        <v>3366</v>
      </c>
      <c r="C61" s="159" t="s">
        <v>2868</v>
      </c>
      <c r="D61" s="159" t="s">
        <v>2869</v>
      </c>
      <c r="E61" s="265" t="s">
        <v>1823</v>
      </c>
      <c r="F61" s="159" t="s">
        <v>2066</v>
      </c>
      <c r="G61" s="207" t="s">
        <v>3299</v>
      </c>
      <c r="H61" s="162" t="s">
        <v>2533</v>
      </c>
      <c r="I61" s="159" t="s">
        <v>2533</v>
      </c>
      <c r="J61" s="280"/>
      <c r="K61" s="159" t="s">
        <v>2870</v>
      </c>
      <c r="L61" s="151" t="s">
        <v>2871</v>
      </c>
      <c r="M61" s="162">
        <v>1</v>
      </c>
      <c r="N61" s="150">
        <v>12</v>
      </c>
      <c r="O61" s="301" t="b">
        <v>0</v>
      </c>
      <c r="P61" s="302" t="b">
        <v>0</v>
      </c>
      <c r="Q61" s="170" t="b">
        <v>0</v>
      </c>
      <c r="R61" s="170" t="b">
        <v>0</v>
      </c>
      <c r="S61" s="175" t="s">
        <v>2872</v>
      </c>
      <c r="V61" s="256" t="s">
        <v>3685</v>
      </c>
      <c r="W61" s="197" t="s">
        <v>4282</v>
      </c>
    </row>
    <row r="62" spans="1:25" ht="28.8" x14ac:dyDescent="0.3">
      <c r="A62" s="296">
        <v>61</v>
      </c>
      <c r="B62" s="158" t="s">
        <v>3366</v>
      </c>
      <c r="C62" s="159" t="s">
        <v>2873</v>
      </c>
      <c r="D62" s="159" t="s">
        <v>2260</v>
      </c>
      <c r="E62" s="265" t="s">
        <v>1823</v>
      </c>
      <c r="F62" s="159" t="s">
        <v>1773</v>
      </c>
      <c r="G62" s="207" t="s">
        <v>3299</v>
      </c>
      <c r="H62" s="162" t="s">
        <v>2533</v>
      </c>
      <c r="I62" s="159" t="s">
        <v>2533</v>
      </c>
      <c r="J62" s="280" t="s">
        <v>4283</v>
      </c>
      <c r="K62" s="159" t="s">
        <v>2874</v>
      </c>
      <c r="L62" s="161" t="s">
        <v>2875</v>
      </c>
      <c r="M62" s="162">
        <v>2</v>
      </c>
      <c r="N62" s="150" t="s">
        <v>2876</v>
      </c>
      <c r="O62" s="301" t="b">
        <v>0</v>
      </c>
      <c r="P62" s="302" t="b">
        <v>0</v>
      </c>
      <c r="Q62" s="170" t="b">
        <v>0</v>
      </c>
      <c r="R62" s="170" t="b">
        <v>0</v>
      </c>
      <c r="S62" s="64" t="s">
        <v>2525</v>
      </c>
      <c r="V62" s="64" t="s">
        <v>4284</v>
      </c>
      <c r="W62" s="256" t="s">
        <v>4285</v>
      </c>
    </row>
    <row r="63" spans="1:25" ht="28.8" x14ac:dyDescent="0.3">
      <c r="A63" s="157">
        <v>62</v>
      </c>
      <c r="B63" s="158" t="s">
        <v>3366</v>
      </c>
      <c r="C63" s="159" t="s">
        <v>2877</v>
      </c>
      <c r="D63" s="159" t="s">
        <v>2263</v>
      </c>
      <c r="E63" s="265" t="s">
        <v>1823</v>
      </c>
      <c r="F63" s="159" t="s">
        <v>1773</v>
      </c>
      <c r="G63" s="217" t="s">
        <v>3817</v>
      </c>
      <c r="H63" s="297" t="s">
        <v>4214</v>
      </c>
      <c r="I63" s="159" t="s">
        <v>3340</v>
      </c>
      <c r="J63" s="280" t="s">
        <v>2525</v>
      </c>
      <c r="K63" s="159" t="s">
        <v>2878</v>
      </c>
      <c r="L63" s="161" t="s">
        <v>2879</v>
      </c>
      <c r="M63" s="162"/>
      <c r="N63" s="150"/>
      <c r="O63" s="301" t="b">
        <v>0</v>
      </c>
      <c r="P63" s="302" t="b">
        <v>0</v>
      </c>
      <c r="Q63" s="170" t="b">
        <v>0</v>
      </c>
      <c r="R63" s="170" t="b">
        <v>0</v>
      </c>
      <c r="S63" s="64" t="s">
        <v>2880</v>
      </c>
      <c r="V63" s="177" t="s">
        <v>3650</v>
      </c>
      <c r="W63" s="177" t="s">
        <v>4286</v>
      </c>
      <c r="Y63" s="70" t="s">
        <v>4213</v>
      </c>
    </row>
    <row r="64" spans="1:25" ht="86.4" x14ac:dyDescent="0.3">
      <c r="A64" s="157">
        <v>9</v>
      </c>
      <c r="B64" s="158" t="s">
        <v>3366</v>
      </c>
      <c r="C64" s="159" t="s">
        <v>2881</v>
      </c>
      <c r="D64" s="159" t="s">
        <v>2882</v>
      </c>
      <c r="E64" s="266" t="s">
        <v>1756</v>
      </c>
      <c r="F64" s="159" t="s">
        <v>2566</v>
      </c>
      <c r="G64" s="226" t="s">
        <v>4110</v>
      </c>
      <c r="H64" s="162" t="s">
        <v>4112</v>
      </c>
      <c r="I64" s="159" t="s">
        <v>3589</v>
      </c>
      <c r="J64" s="280" t="s">
        <v>2883</v>
      </c>
      <c r="K64" s="159" t="s">
        <v>2884</v>
      </c>
      <c r="L64" s="159" t="s">
        <v>4287</v>
      </c>
      <c r="M64" s="162">
        <v>1</v>
      </c>
      <c r="N64" s="150">
        <v>176</v>
      </c>
      <c r="O64" s="301" t="b">
        <v>0</v>
      </c>
      <c r="P64" s="302" t="b">
        <v>1</v>
      </c>
      <c r="Q64" s="170" t="b">
        <v>1</v>
      </c>
      <c r="R64" s="170" t="b">
        <v>0</v>
      </c>
      <c r="S64" s="64" t="s">
        <v>2886</v>
      </c>
      <c r="V64" s="64"/>
      <c r="W64" s="64" t="s">
        <v>4288</v>
      </c>
      <c r="Y64" s="62"/>
    </row>
    <row r="65" spans="1:25" ht="43.2" x14ac:dyDescent="0.3">
      <c r="A65" s="157">
        <v>64</v>
      </c>
      <c r="B65" s="158" t="s">
        <v>3366</v>
      </c>
      <c r="C65" s="159" t="s">
        <v>2887</v>
      </c>
      <c r="D65" s="159" t="s">
        <v>2888</v>
      </c>
      <c r="E65" s="266" t="s">
        <v>1756</v>
      </c>
      <c r="F65" s="159" t="s">
        <v>1773</v>
      </c>
      <c r="G65" s="217" t="s">
        <v>3817</v>
      </c>
      <c r="H65" s="162" t="s">
        <v>2522</v>
      </c>
      <c r="I65" s="159" t="s">
        <v>3340</v>
      </c>
      <c r="J65" s="280" t="s">
        <v>2889</v>
      </c>
      <c r="K65" s="159" t="s">
        <v>2890</v>
      </c>
      <c r="L65" s="161" t="s">
        <v>2891</v>
      </c>
      <c r="M65" s="162">
        <v>1</v>
      </c>
      <c r="N65" s="150">
        <v>81</v>
      </c>
      <c r="O65" s="301" t="b">
        <v>0</v>
      </c>
      <c r="P65" s="302" t="b">
        <v>0</v>
      </c>
      <c r="Q65" s="170" t="b">
        <v>0</v>
      </c>
      <c r="R65" s="170" t="b">
        <v>0</v>
      </c>
      <c r="S65" s="64" t="s">
        <v>2892</v>
      </c>
      <c r="T65" s="64" t="s">
        <v>4289</v>
      </c>
      <c r="V65" s="64" t="s">
        <v>3999</v>
      </c>
      <c r="W65" s="64" t="s">
        <v>4290</v>
      </c>
      <c r="Y65" s="62"/>
    </row>
    <row r="66" spans="1:25" ht="28.8" x14ac:dyDescent="0.3">
      <c r="A66" s="296">
        <v>65</v>
      </c>
      <c r="B66" s="158" t="s">
        <v>3366</v>
      </c>
      <c r="C66" s="159" t="s">
        <v>2893</v>
      </c>
      <c r="D66" s="159" t="s">
        <v>2894</v>
      </c>
      <c r="E66" s="265" t="s">
        <v>1823</v>
      </c>
      <c r="F66" s="159" t="s">
        <v>2066</v>
      </c>
      <c r="G66" s="207" t="s">
        <v>3299</v>
      </c>
      <c r="H66" s="162" t="s">
        <v>2533</v>
      </c>
      <c r="I66" s="159" t="s">
        <v>2533</v>
      </c>
      <c r="J66" s="280" t="s">
        <v>2525</v>
      </c>
      <c r="K66" s="159" t="s">
        <v>2895</v>
      </c>
      <c r="L66" s="161" t="s">
        <v>2896</v>
      </c>
      <c r="M66" s="162">
        <v>1</v>
      </c>
      <c r="N66" s="150">
        <v>133</v>
      </c>
      <c r="O66" s="301" t="b">
        <v>0</v>
      </c>
      <c r="P66" s="302" t="b">
        <v>1</v>
      </c>
      <c r="Q66" s="170" t="b">
        <v>0</v>
      </c>
      <c r="R66" s="170" t="b">
        <v>0</v>
      </c>
      <c r="S66" s="178" t="s">
        <v>2635</v>
      </c>
      <c r="V66" s="178" t="s">
        <v>3641</v>
      </c>
      <c r="W66" s="178" t="s">
        <v>3308</v>
      </c>
    </row>
    <row r="67" spans="1:25" ht="52.8" x14ac:dyDescent="0.3">
      <c r="A67" s="157">
        <v>66</v>
      </c>
      <c r="B67" s="158" t="s">
        <v>3366</v>
      </c>
      <c r="C67" s="159" t="s">
        <v>2897</v>
      </c>
      <c r="D67" s="159" t="s">
        <v>2898</v>
      </c>
      <c r="E67" s="265" t="s">
        <v>1823</v>
      </c>
      <c r="F67" s="159" t="s">
        <v>1773</v>
      </c>
      <c r="G67" s="217" t="s">
        <v>3817</v>
      </c>
      <c r="H67" s="162" t="s">
        <v>2522</v>
      </c>
      <c r="I67" s="159" t="s">
        <v>2533</v>
      </c>
      <c r="J67" s="280" t="s">
        <v>2525</v>
      </c>
      <c r="K67" s="159" t="s">
        <v>2899</v>
      </c>
      <c r="L67" s="161" t="s">
        <v>2900</v>
      </c>
      <c r="M67" s="162">
        <v>4</v>
      </c>
      <c r="N67" s="150" t="s">
        <v>2901</v>
      </c>
      <c r="O67" s="301" t="b">
        <v>0</v>
      </c>
      <c r="P67" s="302" t="b">
        <v>0</v>
      </c>
      <c r="Q67" s="170" t="b">
        <v>0</v>
      </c>
      <c r="R67" s="170" t="b">
        <v>0</v>
      </c>
      <c r="S67" s="64" t="s">
        <v>4291</v>
      </c>
      <c r="T67" s="64" t="s">
        <v>4292</v>
      </c>
      <c r="V67" s="177" t="s">
        <v>3879</v>
      </c>
      <c r="W67" s="64" t="s">
        <v>4293</v>
      </c>
      <c r="Y67" s="62"/>
    </row>
    <row r="68" spans="1:25" ht="66" x14ac:dyDescent="0.3">
      <c r="A68" s="157">
        <v>67</v>
      </c>
      <c r="B68" s="158" t="s">
        <v>3366</v>
      </c>
      <c r="C68" s="159" t="s">
        <v>2903</v>
      </c>
      <c r="D68" s="159" t="s">
        <v>2904</v>
      </c>
      <c r="E68" s="267" t="s">
        <v>4104</v>
      </c>
      <c r="F68" s="159" t="s">
        <v>2588</v>
      </c>
      <c r="G68" s="226" t="s">
        <v>4110</v>
      </c>
      <c r="H68" s="162" t="s">
        <v>4112</v>
      </c>
      <c r="I68" s="159" t="s">
        <v>2589</v>
      </c>
      <c r="J68" s="280" t="s">
        <v>2905</v>
      </c>
      <c r="K68" s="159"/>
      <c r="L68" s="159" t="s">
        <v>2906</v>
      </c>
      <c r="M68" s="162">
        <v>3</v>
      </c>
      <c r="N68" s="150" t="s">
        <v>2907</v>
      </c>
      <c r="O68" s="301" t="b">
        <v>0</v>
      </c>
      <c r="P68" s="302" t="b">
        <v>0</v>
      </c>
      <c r="Q68" s="170" t="b">
        <v>1</v>
      </c>
      <c r="R68" s="170" t="b">
        <v>0</v>
      </c>
      <c r="S68" s="175" t="s">
        <v>2908</v>
      </c>
      <c r="V68" s="64"/>
      <c r="W68" s="64" t="s">
        <v>4294</v>
      </c>
      <c r="Y68" s="62"/>
    </row>
    <row r="69" spans="1:25" ht="79.2" x14ac:dyDescent="0.3">
      <c r="A69" s="157">
        <v>68</v>
      </c>
      <c r="B69" s="158" t="s">
        <v>3366</v>
      </c>
      <c r="C69" s="159" t="s">
        <v>2909</v>
      </c>
      <c r="D69" s="159" t="s">
        <v>2910</v>
      </c>
      <c r="E69" s="266" t="s">
        <v>1756</v>
      </c>
      <c r="F69" s="159" t="s">
        <v>2187</v>
      </c>
      <c r="G69" s="207" t="s">
        <v>3299</v>
      </c>
      <c r="H69" s="162" t="s">
        <v>2533</v>
      </c>
      <c r="I69" s="150" t="s">
        <v>2533</v>
      </c>
      <c r="J69" s="280" t="s">
        <v>2911</v>
      </c>
      <c r="K69" s="159"/>
      <c r="L69" s="159" t="s">
        <v>2906</v>
      </c>
      <c r="M69" s="162">
        <v>1</v>
      </c>
      <c r="N69" s="150">
        <v>225</v>
      </c>
      <c r="O69" s="301" t="b">
        <v>0</v>
      </c>
      <c r="P69" s="302" t="b">
        <v>0</v>
      </c>
      <c r="Q69" s="170" t="b">
        <v>0</v>
      </c>
      <c r="R69" s="170" t="b">
        <v>0</v>
      </c>
      <c r="S69" s="175" t="s">
        <v>2912</v>
      </c>
      <c r="V69" s="177"/>
      <c r="W69" s="177"/>
    </row>
    <row r="70" spans="1:25" ht="28.8" x14ac:dyDescent="0.3">
      <c r="A70" s="296">
        <v>69</v>
      </c>
      <c r="B70" s="158" t="s">
        <v>3402</v>
      </c>
      <c r="C70" s="159" t="s">
        <v>2248</v>
      </c>
      <c r="D70" s="159" t="s">
        <v>2913</v>
      </c>
      <c r="E70" s="163" t="s">
        <v>1760</v>
      </c>
      <c r="F70" s="159" t="s">
        <v>1773</v>
      </c>
      <c r="G70" s="207" t="s">
        <v>3299</v>
      </c>
      <c r="H70" s="162" t="s">
        <v>2533</v>
      </c>
      <c r="I70" s="150" t="s">
        <v>2533</v>
      </c>
      <c r="J70" s="280" t="s">
        <v>4283</v>
      </c>
      <c r="K70" s="159" t="s">
        <v>2914</v>
      </c>
      <c r="L70" s="161" t="s">
        <v>2875</v>
      </c>
      <c r="M70" s="162">
        <v>1</v>
      </c>
      <c r="N70" s="150">
        <v>127</v>
      </c>
      <c r="O70" s="301" t="b">
        <v>0</v>
      </c>
      <c r="P70" s="302" t="b">
        <v>0</v>
      </c>
      <c r="Q70" s="170" t="b">
        <v>0</v>
      </c>
      <c r="R70" s="170" t="b">
        <v>0</v>
      </c>
      <c r="S70" s="64" t="s">
        <v>2525</v>
      </c>
      <c r="V70" s="64" t="s">
        <v>3408</v>
      </c>
      <c r="W70" s="197" t="s">
        <v>4295</v>
      </c>
    </row>
    <row r="71" spans="1:25" ht="216" x14ac:dyDescent="0.3">
      <c r="A71" s="157">
        <v>70</v>
      </c>
      <c r="B71" s="158" t="s">
        <v>3402</v>
      </c>
      <c r="C71" s="159" t="s">
        <v>2915</v>
      </c>
      <c r="D71" s="159" t="s">
        <v>2916</v>
      </c>
      <c r="E71" s="266" t="s">
        <v>1756</v>
      </c>
      <c r="F71" s="159" t="s">
        <v>2187</v>
      </c>
      <c r="G71" s="221" t="s">
        <v>4074</v>
      </c>
      <c r="H71" s="274" t="s">
        <v>2917</v>
      </c>
      <c r="I71" s="159" t="s">
        <v>2589</v>
      </c>
      <c r="J71" s="280" t="s">
        <v>2918</v>
      </c>
      <c r="K71" s="159" t="s">
        <v>2919</v>
      </c>
      <c r="L71" s="161" t="s">
        <v>2920</v>
      </c>
      <c r="M71" s="162">
        <v>3</v>
      </c>
      <c r="N71" s="150" t="s">
        <v>2921</v>
      </c>
      <c r="O71" s="301" t="b">
        <v>0</v>
      </c>
      <c r="P71" s="302" t="b">
        <v>1</v>
      </c>
      <c r="Q71" s="170" t="b">
        <v>0</v>
      </c>
      <c r="R71" s="170" t="b">
        <v>0</v>
      </c>
      <c r="S71" s="64" t="s">
        <v>2922</v>
      </c>
      <c r="V71" s="64"/>
      <c r="W71" s="64" t="s">
        <v>4296</v>
      </c>
      <c r="Y71" s="62"/>
    </row>
    <row r="72" spans="1:25" ht="39.6" x14ac:dyDescent="0.3">
      <c r="A72" s="157">
        <v>71</v>
      </c>
      <c r="B72" s="158" t="s">
        <v>3402</v>
      </c>
      <c r="C72" s="159" t="s">
        <v>2923</v>
      </c>
      <c r="D72" s="159" t="s">
        <v>2924</v>
      </c>
      <c r="E72" s="277" t="s">
        <v>1756</v>
      </c>
      <c r="F72" s="262" t="s">
        <v>1773</v>
      </c>
      <c r="G72" s="221" t="s">
        <v>4074</v>
      </c>
      <c r="H72" s="278" t="s">
        <v>2917</v>
      </c>
      <c r="I72" s="262" t="s">
        <v>2589</v>
      </c>
      <c r="J72" s="280" t="s">
        <v>2918</v>
      </c>
      <c r="K72" s="159" t="s">
        <v>2925</v>
      </c>
      <c r="L72" s="159" t="s">
        <v>2926</v>
      </c>
      <c r="M72" s="162">
        <v>1</v>
      </c>
      <c r="N72" s="150">
        <v>99</v>
      </c>
      <c r="O72" s="301" t="b">
        <v>0</v>
      </c>
      <c r="P72" s="302" t="b">
        <v>0</v>
      </c>
      <c r="Q72" s="170" t="b">
        <v>0</v>
      </c>
      <c r="R72" s="170" t="b">
        <v>0</v>
      </c>
      <c r="S72" s="64" t="s">
        <v>2927</v>
      </c>
      <c r="V72" s="64"/>
      <c r="W72" s="64"/>
      <c r="Y72" s="62"/>
    </row>
    <row r="73" spans="1:25" ht="39.6" x14ac:dyDescent="0.3">
      <c r="A73" s="157">
        <v>72</v>
      </c>
      <c r="B73" s="158" t="s">
        <v>3402</v>
      </c>
      <c r="C73" s="159" t="s">
        <v>2928</v>
      </c>
      <c r="D73" s="276" t="s">
        <v>2929</v>
      </c>
      <c r="E73" s="275" t="s">
        <v>1756</v>
      </c>
      <c r="F73" s="259" t="s">
        <v>1773</v>
      </c>
      <c r="G73" s="217" t="s">
        <v>3817</v>
      </c>
      <c r="H73" s="263" t="s">
        <v>2522</v>
      </c>
      <c r="I73" s="259" t="s">
        <v>2589</v>
      </c>
      <c r="J73" s="280" t="s">
        <v>2525</v>
      </c>
      <c r="K73" s="159" t="s">
        <v>2930</v>
      </c>
      <c r="L73" s="161" t="s">
        <v>2931</v>
      </c>
      <c r="M73" s="162">
        <v>1</v>
      </c>
      <c r="N73" s="150">
        <v>191</v>
      </c>
      <c r="O73" s="301" t="b">
        <v>0</v>
      </c>
      <c r="P73" s="302" t="b">
        <v>0</v>
      </c>
      <c r="Q73" s="170" t="b">
        <v>0</v>
      </c>
      <c r="R73" s="170" t="b">
        <v>0</v>
      </c>
      <c r="S73" s="64" t="s">
        <v>2932</v>
      </c>
      <c r="T73" s="64" t="s">
        <v>4289</v>
      </c>
      <c r="V73" s="64"/>
      <c r="W73" s="64" t="s">
        <v>4289</v>
      </c>
      <c r="Y73" s="62"/>
    </row>
    <row r="74" spans="1:25" ht="28.8" x14ac:dyDescent="0.3">
      <c r="A74" s="157">
        <v>73</v>
      </c>
      <c r="B74" s="158" t="s">
        <v>3402</v>
      </c>
      <c r="C74" s="159" t="s">
        <v>2933</v>
      </c>
      <c r="D74" s="159" t="s">
        <v>2934</v>
      </c>
      <c r="E74" s="266" t="s">
        <v>1756</v>
      </c>
      <c r="F74" s="159" t="s">
        <v>1773</v>
      </c>
      <c r="G74" s="217" t="s">
        <v>3817</v>
      </c>
      <c r="H74" s="162" t="s">
        <v>2522</v>
      </c>
      <c r="I74" s="159" t="s">
        <v>2589</v>
      </c>
      <c r="J74" s="280" t="s">
        <v>2525</v>
      </c>
      <c r="K74" s="159" t="s">
        <v>2935</v>
      </c>
      <c r="L74" s="161" t="s">
        <v>2931</v>
      </c>
      <c r="M74" s="162">
        <v>1</v>
      </c>
      <c r="N74" s="150">
        <v>218</v>
      </c>
      <c r="O74" s="301" t="b">
        <v>0</v>
      </c>
      <c r="P74" s="302" t="b">
        <v>0</v>
      </c>
      <c r="Q74" s="170" t="b">
        <v>0</v>
      </c>
      <c r="R74" s="170" t="b">
        <v>0</v>
      </c>
      <c r="S74" s="64" t="s">
        <v>2936</v>
      </c>
      <c r="T74" s="64" t="s">
        <v>4289</v>
      </c>
      <c r="V74" s="64" t="s">
        <v>4009</v>
      </c>
      <c r="W74" s="64" t="s">
        <v>4289</v>
      </c>
      <c r="Y74" s="62"/>
    </row>
    <row r="75" spans="1:25" ht="52.8" x14ac:dyDescent="0.3">
      <c r="A75" s="157">
        <v>74</v>
      </c>
      <c r="B75" s="158" t="s">
        <v>3402</v>
      </c>
      <c r="C75" s="159" t="s">
        <v>2937</v>
      </c>
      <c r="D75" s="159" t="s">
        <v>2938</v>
      </c>
      <c r="E75" s="264" t="s">
        <v>1760</v>
      </c>
      <c r="F75" s="159" t="s">
        <v>1773</v>
      </c>
      <c r="G75" s="215" t="s">
        <v>3817</v>
      </c>
      <c r="H75" s="273" t="s">
        <v>2522</v>
      </c>
      <c r="I75" s="199" t="s">
        <v>2589</v>
      </c>
      <c r="J75" s="280" t="s">
        <v>2939</v>
      </c>
      <c r="K75" s="159" t="s">
        <v>2940</v>
      </c>
      <c r="L75" s="161" t="s">
        <v>2941</v>
      </c>
      <c r="M75" s="162">
        <v>1</v>
      </c>
      <c r="N75" s="150">
        <v>47</v>
      </c>
      <c r="O75" s="301" t="b">
        <v>0</v>
      </c>
      <c r="P75" s="302" t="b">
        <v>0</v>
      </c>
      <c r="Q75" s="170" t="b">
        <v>0</v>
      </c>
      <c r="R75" s="170" t="b">
        <v>0</v>
      </c>
      <c r="S75" s="64" t="s">
        <v>2942</v>
      </c>
      <c r="T75" s="64" t="s">
        <v>4297</v>
      </c>
      <c r="V75" s="64" t="s">
        <v>3836</v>
      </c>
      <c r="W75" s="64"/>
      <c r="Y75" s="62"/>
    </row>
    <row r="76" spans="1:25" ht="28.8" x14ac:dyDescent="0.3">
      <c r="A76" s="157">
        <v>75</v>
      </c>
      <c r="B76" s="158" t="s">
        <v>3402</v>
      </c>
      <c r="C76" s="159" t="s">
        <v>2943</v>
      </c>
      <c r="D76" s="159" t="s">
        <v>2944</v>
      </c>
      <c r="E76" s="265" t="s">
        <v>1823</v>
      </c>
      <c r="F76" s="159" t="s">
        <v>1773</v>
      </c>
      <c r="G76" s="217" t="s">
        <v>3817</v>
      </c>
      <c r="H76" s="162" t="s">
        <v>2522</v>
      </c>
      <c r="I76" s="159" t="s">
        <v>2533</v>
      </c>
      <c r="J76" s="280" t="s">
        <v>2525</v>
      </c>
      <c r="K76" s="159" t="s">
        <v>2945</v>
      </c>
      <c r="L76" s="300" t="s">
        <v>4298</v>
      </c>
      <c r="M76" s="162">
        <v>1</v>
      </c>
      <c r="N76" s="150">
        <v>232</v>
      </c>
      <c r="O76" s="301" t="b">
        <v>0</v>
      </c>
      <c r="P76" s="302" t="b">
        <v>1</v>
      </c>
      <c r="Q76" s="170" t="b">
        <v>0</v>
      </c>
      <c r="R76" s="170" t="b">
        <v>0</v>
      </c>
      <c r="S76" s="64" t="s">
        <v>2946</v>
      </c>
      <c r="T76" s="64" t="s">
        <v>4299</v>
      </c>
      <c r="V76" s="64"/>
      <c r="W76" s="175" t="s">
        <v>4300</v>
      </c>
      <c r="Y76" s="62"/>
    </row>
    <row r="77" spans="1:25" ht="26.4" x14ac:dyDescent="0.3">
      <c r="A77" s="157">
        <v>76</v>
      </c>
      <c r="B77" s="158" t="s">
        <v>3402</v>
      </c>
      <c r="C77" s="159" t="s">
        <v>2947</v>
      </c>
      <c r="D77" s="159" t="s">
        <v>2948</v>
      </c>
      <c r="E77" s="266" t="s">
        <v>1756</v>
      </c>
      <c r="F77" s="159" t="s">
        <v>1773</v>
      </c>
      <c r="G77" s="217" t="s">
        <v>3817</v>
      </c>
      <c r="H77" s="162" t="s">
        <v>2522</v>
      </c>
      <c r="I77" s="159" t="s">
        <v>2533</v>
      </c>
      <c r="J77" s="280" t="s">
        <v>2525</v>
      </c>
      <c r="K77" s="159" t="s">
        <v>2949</v>
      </c>
      <c r="L77" s="300" t="s">
        <v>4301</v>
      </c>
      <c r="M77" s="162">
        <v>1</v>
      </c>
      <c r="N77" s="150">
        <v>151</v>
      </c>
      <c r="O77" s="301" t="b">
        <v>0</v>
      </c>
      <c r="P77" s="302" t="b">
        <v>1</v>
      </c>
      <c r="Q77" s="170" t="b">
        <v>0</v>
      </c>
      <c r="R77" s="170" t="b">
        <v>0</v>
      </c>
      <c r="S77" s="64" t="s">
        <v>2951</v>
      </c>
      <c r="V77" s="64" t="s">
        <v>4302</v>
      </c>
      <c r="W77" s="64"/>
      <c r="Y77" s="62"/>
    </row>
    <row r="78" spans="1:25" ht="52.8" x14ac:dyDescent="0.3">
      <c r="A78" s="157">
        <v>77</v>
      </c>
      <c r="B78" s="158" t="s">
        <v>3844</v>
      </c>
      <c r="C78" s="159" t="s">
        <v>2952</v>
      </c>
      <c r="D78" s="159" t="s">
        <v>2953</v>
      </c>
      <c r="E78" s="163" t="s">
        <v>1760</v>
      </c>
      <c r="F78" s="159" t="s">
        <v>2187</v>
      </c>
      <c r="G78" s="217" t="s">
        <v>3817</v>
      </c>
      <c r="H78" s="162" t="s">
        <v>2522</v>
      </c>
      <c r="I78" s="159" t="s">
        <v>2533</v>
      </c>
      <c r="J78" s="280" t="s">
        <v>2525</v>
      </c>
      <c r="K78" s="159" t="s">
        <v>2954</v>
      </c>
      <c r="L78" s="159" t="s">
        <v>2955</v>
      </c>
      <c r="M78" s="162">
        <v>1</v>
      </c>
      <c r="N78" s="150">
        <v>174</v>
      </c>
      <c r="O78" s="301" t="b">
        <v>0</v>
      </c>
      <c r="P78" s="302" t="b">
        <v>1</v>
      </c>
      <c r="Q78" s="170" t="b">
        <v>0</v>
      </c>
      <c r="R78" s="170" t="b">
        <v>0</v>
      </c>
      <c r="S78" s="64" t="s">
        <v>2956</v>
      </c>
      <c r="T78" s="159" t="s">
        <v>2955</v>
      </c>
      <c r="V78" s="64"/>
      <c r="W78" s="178" t="s">
        <v>651</v>
      </c>
      <c r="Y78" s="62"/>
    </row>
    <row r="79" spans="1:25" ht="52.8" x14ac:dyDescent="0.3">
      <c r="A79" s="157">
        <v>78</v>
      </c>
      <c r="B79" s="158" t="s">
        <v>3844</v>
      </c>
      <c r="C79" s="159" t="s">
        <v>2957</v>
      </c>
      <c r="D79" s="159" t="s">
        <v>2958</v>
      </c>
      <c r="E79" s="267" t="s">
        <v>4104</v>
      </c>
      <c r="F79" s="159" t="s">
        <v>1773</v>
      </c>
      <c r="G79" s="221" t="s">
        <v>4074</v>
      </c>
      <c r="H79" s="274" t="s">
        <v>2917</v>
      </c>
      <c r="I79" s="159" t="s">
        <v>2589</v>
      </c>
      <c r="J79" s="280" t="s">
        <v>2918</v>
      </c>
      <c r="K79" s="159" t="s">
        <v>2959</v>
      </c>
      <c r="L79" s="161" t="s">
        <v>2960</v>
      </c>
      <c r="M79" s="162">
        <v>3</v>
      </c>
      <c r="N79" s="150" t="s">
        <v>2961</v>
      </c>
      <c r="O79" s="301" t="b">
        <v>0</v>
      </c>
      <c r="P79" s="302" t="b">
        <v>1</v>
      </c>
      <c r="Q79" s="170" t="b">
        <v>0</v>
      </c>
      <c r="R79" s="170" t="b">
        <v>0</v>
      </c>
      <c r="S79" s="64" t="s">
        <v>2962</v>
      </c>
      <c r="V79" s="64"/>
      <c r="W79" s="64" t="s">
        <v>4303</v>
      </c>
      <c r="Y79" s="62"/>
    </row>
    <row r="80" spans="1:25" ht="43.2" x14ac:dyDescent="0.3">
      <c r="A80" s="157">
        <v>79</v>
      </c>
      <c r="B80" s="158" t="s">
        <v>1922</v>
      </c>
      <c r="C80" s="159" t="s">
        <v>2963</v>
      </c>
      <c r="D80" s="159" t="s">
        <v>2964</v>
      </c>
      <c r="E80" s="160" t="s">
        <v>1797</v>
      </c>
      <c r="F80" s="159" t="s">
        <v>2066</v>
      </c>
      <c r="G80" s="207" t="s">
        <v>3299</v>
      </c>
      <c r="H80" s="162" t="s">
        <v>2533</v>
      </c>
      <c r="I80" s="159" t="s">
        <v>2533</v>
      </c>
      <c r="J80" s="280" t="s">
        <v>2525</v>
      </c>
      <c r="K80" s="159" t="s">
        <v>2965</v>
      </c>
      <c r="L80" s="161" t="s">
        <v>2966</v>
      </c>
      <c r="M80" s="162">
        <v>2</v>
      </c>
      <c r="N80" s="150" t="s">
        <v>2967</v>
      </c>
      <c r="O80" s="301" t="b">
        <v>0</v>
      </c>
      <c r="P80" s="302" t="b">
        <v>0</v>
      </c>
      <c r="Q80" s="170" t="b">
        <v>0</v>
      </c>
      <c r="R80" s="170" t="b">
        <v>0</v>
      </c>
      <c r="S80" s="64" t="s">
        <v>2968</v>
      </c>
      <c r="V80" s="178" t="s">
        <v>3308</v>
      </c>
      <c r="W80" s="178" t="s">
        <v>3308</v>
      </c>
    </row>
    <row r="81" spans="1:25" ht="22.8" x14ac:dyDescent="0.3">
      <c r="A81" s="157">
        <v>80</v>
      </c>
      <c r="B81" s="158" t="s">
        <v>1922</v>
      </c>
      <c r="C81" s="159" t="s">
        <v>2969</v>
      </c>
      <c r="D81" s="159" t="s">
        <v>2970</v>
      </c>
      <c r="E81" s="266" t="s">
        <v>1756</v>
      </c>
      <c r="F81" s="159" t="s">
        <v>1773</v>
      </c>
      <c r="G81" s="217" t="s">
        <v>3817</v>
      </c>
      <c r="H81" s="162" t="s">
        <v>2522</v>
      </c>
      <c r="I81" s="159" t="s">
        <v>3340</v>
      </c>
      <c r="J81" s="280" t="s">
        <v>2525</v>
      </c>
      <c r="K81" s="159" t="s">
        <v>2971</v>
      </c>
      <c r="L81" s="300" t="s">
        <v>4304</v>
      </c>
      <c r="M81" s="162">
        <v>1</v>
      </c>
      <c r="N81" s="150">
        <v>91</v>
      </c>
      <c r="O81" s="301" t="b">
        <v>0</v>
      </c>
      <c r="P81" s="302" t="b">
        <v>0</v>
      </c>
      <c r="Q81" s="170" t="b">
        <v>0</v>
      </c>
      <c r="R81" s="170" t="b">
        <v>0</v>
      </c>
      <c r="S81" s="64" t="s">
        <v>2962</v>
      </c>
      <c r="V81" s="64"/>
      <c r="W81" s="175" t="s">
        <v>4305</v>
      </c>
      <c r="Y81" s="62"/>
    </row>
    <row r="82" spans="1:25" ht="57.6" x14ac:dyDescent="0.3">
      <c r="A82" s="296">
        <v>81</v>
      </c>
      <c r="B82" s="158" t="s">
        <v>3498</v>
      </c>
      <c r="C82" s="159" t="s">
        <v>2972</v>
      </c>
      <c r="D82" s="159" t="s">
        <v>2973</v>
      </c>
      <c r="E82" s="163" t="s">
        <v>1760</v>
      </c>
      <c r="F82" s="159" t="s">
        <v>2187</v>
      </c>
      <c r="G82" s="207" t="s">
        <v>3299</v>
      </c>
      <c r="H82" s="162" t="s">
        <v>2533</v>
      </c>
      <c r="I82" s="159" t="s">
        <v>2533</v>
      </c>
      <c r="J82" s="280" t="s">
        <v>2525</v>
      </c>
      <c r="K82" s="159" t="s">
        <v>2974</v>
      </c>
      <c r="L82" s="161" t="s">
        <v>2975</v>
      </c>
      <c r="M82" s="162">
        <v>5</v>
      </c>
      <c r="N82" s="150" t="s">
        <v>2976</v>
      </c>
      <c r="O82" s="301" t="b">
        <v>0</v>
      </c>
      <c r="P82" s="302" t="b">
        <v>0</v>
      </c>
      <c r="Q82" s="170" t="b">
        <v>0</v>
      </c>
      <c r="R82" s="170" t="b">
        <v>0</v>
      </c>
      <c r="S82" s="177" t="s">
        <v>2977</v>
      </c>
      <c r="V82" s="64" t="s">
        <v>3505</v>
      </c>
      <c r="W82" s="178" t="s">
        <v>4306</v>
      </c>
      <c r="Y82" s="70" t="s">
        <v>4261</v>
      </c>
    </row>
    <row r="83" spans="1:25" ht="115.2" x14ac:dyDescent="0.3">
      <c r="A83" s="157">
        <v>82</v>
      </c>
      <c r="B83" s="158" t="s">
        <v>3498</v>
      </c>
      <c r="C83" s="159" t="s">
        <v>2978</v>
      </c>
      <c r="D83" s="159" t="s">
        <v>2979</v>
      </c>
      <c r="E83" s="265" t="s">
        <v>1823</v>
      </c>
      <c r="F83" s="159" t="s">
        <v>1773</v>
      </c>
      <c r="G83" s="217" t="s">
        <v>3817</v>
      </c>
      <c r="H83" s="162" t="s">
        <v>2522</v>
      </c>
      <c r="I83" s="159" t="s">
        <v>2589</v>
      </c>
      <c r="J83" s="280" t="s">
        <v>2525</v>
      </c>
      <c r="K83" s="159" t="s">
        <v>2980</v>
      </c>
      <c r="L83" s="161" t="s">
        <v>2981</v>
      </c>
      <c r="M83" s="162">
        <v>2</v>
      </c>
      <c r="N83" s="150" t="s">
        <v>2982</v>
      </c>
      <c r="O83" s="301" t="b">
        <v>0</v>
      </c>
      <c r="P83" s="302" t="b">
        <v>0</v>
      </c>
      <c r="Q83" s="170" t="b">
        <v>0</v>
      </c>
      <c r="R83" s="170" t="b">
        <v>0</v>
      </c>
      <c r="S83" s="64" t="s">
        <v>2983</v>
      </c>
      <c r="T83" s="178" t="s">
        <v>4307</v>
      </c>
      <c r="V83" s="64"/>
      <c r="W83" s="64"/>
      <c r="Y83" s="62"/>
    </row>
    <row r="84" spans="1:25" ht="28.8" x14ac:dyDescent="0.3">
      <c r="A84" s="157">
        <v>83</v>
      </c>
      <c r="B84" s="158" t="s">
        <v>3498</v>
      </c>
      <c r="C84" s="159" t="s">
        <v>2984</v>
      </c>
      <c r="D84" s="159" t="s">
        <v>2985</v>
      </c>
      <c r="E84" s="265" t="s">
        <v>1823</v>
      </c>
      <c r="F84" s="159" t="s">
        <v>1773</v>
      </c>
      <c r="G84" s="207" t="s">
        <v>3299</v>
      </c>
      <c r="H84" s="162" t="s">
        <v>2533</v>
      </c>
      <c r="I84" s="159" t="s">
        <v>2533</v>
      </c>
      <c r="J84" s="280" t="s">
        <v>2525</v>
      </c>
      <c r="K84" s="159" t="s">
        <v>2986</v>
      </c>
      <c r="L84" s="161" t="s">
        <v>2987</v>
      </c>
      <c r="M84" s="162">
        <v>1</v>
      </c>
      <c r="N84" s="150">
        <v>27</v>
      </c>
      <c r="O84" s="301" t="b">
        <v>0</v>
      </c>
      <c r="P84" s="302" t="b">
        <v>0</v>
      </c>
      <c r="Q84" s="170" t="b">
        <v>0</v>
      </c>
      <c r="R84" s="170" t="b">
        <v>0</v>
      </c>
      <c r="S84" s="64" t="s">
        <v>2988</v>
      </c>
      <c r="V84" s="178" t="s">
        <v>3536</v>
      </c>
      <c r="W84" s="178" t="s">
        <v>3536</v>
      </c>
    </row>
    <row r="85" spans="1:25" ht="171.6" x14ac:dyDescent="0.3">
      <c r="A85" s="296">
        <v>84</v>
      </c>
      <c r="B85" s="158" t="s">
        <v>3498</v>
      </c>
      <c r="C85" s="159" t="s">
        <v>2989</v>
      </c>
      <c r="D85" s="159" t="s">
        <v>2990</v>
      </c>
      <c r="E85" s="163" t="s">
        <v>1760</v>
      </c>
      <c r="F85" s="159" t="s">
        <v>2066</v>
      </c>
      <c r="G85" s="207" t="s">
        <v>3299</v>
      </c>
      <c r="H85" s="162" t="s">
        <v>2533</v>
      </c>
      <c r="I85" s="159" t="s">
        <v>2533</v>
      </c>
      <c r="J85" s="280" t="s">
        <v>2525</v>
      </c>
      <c r="K85" s="159" t="s">
        <v>2991</v>
      </c>
      <c r="L85" s="159" t="s">
        <v>2992</v>
      </c>
      <c r="M85" s="162">
        <v>3</v>
      </c>
      <c r="N85" s="150" t="s">
        <v>2993</v>
      </c>
      <c r="O85" s="301" t="b">
        <v>0</v>
      </c>
      <c r="P85" s="302" t="b">
        <v>0</v>
      </c>
      <c r="Q85" s="170" t="b">
        <v>0</v>
      </c>
      <c r="R85" s="170" t="b">
        <v>0</v>
      </c>
      <c r="S85" s="64" t="s">
        <v>2994</v>
      </c>
      <c r="V85" s="64" t="s">
        <v>3560</v>
      </c>
      <c r="W85" s="279" t="s">
        <v>4308</v>
      </c>
    </row>
    <row r="86" spans="1:25" ht="26.4" x14ac:dyDescent="0.3">
      <c r="A86" s="157">
        <v>85</v>
      </c>
      <c r="B86" s="158" t="s">
        <v>3498</v>
      </c>
      <c r="C86" s="159" t="s">
        <v>2995</v>
      </c>
      <c r="D86" s="159" t="s">
        <v>2996</v>
      </c>
      <c r="E86" s="266" t="s">
        <v>1756</v>
      </c>
      <c r="F86" s="159" t="s">
        <v>1773</v>
      </c>
      <c r="G86" s="221" t="s">
        <v>4074</v>
      </c>
      <c r="H86" s="274" t="s">
        <v>2917</v>
      </c>
      <c r="I86" s="159" t="s">
        <v>3589</v>
      </c>
      <c r="J86" s="280" t="s">
        <v>2918</v>
      </c>
      <c r="K86" s="159" t="s">
        <v>2997</v>
      </c>
      <c r="L86" s="159" t="s">
        <v>2998</v>
      </c>
      <c r="M86" s="162">
        <v>2</v>
      </c>
      <c r="N86" s="150" t="s">
        <v>2999</v>
      </c>
      <c r="O86" s="301" t="b">
        <v>0</v>
      </c>
      <c r="P86" s="302" t="b">
        <v>0</v>
      </c>
      <c r="Q86" s="170" t="b">
        <v>0</v>
      </c>
      <c r="R86" s="170" t="b">
        <v>0</v>
      </c>
      <c r="S86" s="64" t="s">
        <v>3000</v>
      </c>
      <c r="V86" s="64"/>
      <c r="W86" s="64"/>
      <c r="Y86" s="62"/>
    </row>
    <row r="87" spans="1:25" ht="79.2" x14ac:dyDescent="0.3">
      <c r="A87" s="157">
        <v>86</v>
      </c>
      <c r="B87" s="158" t="s">
        <v>3498</v>
      </c>
      <c r="C87" s="159" t="s">
        <v>3001</v>
      </c>
      <c r="D87" s="159" t="s">
        <v>3002</v>
      </c>
      <c r="E87" s="265" t="s">
        <v>1823</v>
      </c>
      <c r="F87" s="159" t="s">
        <v>1773</v>
      </c>
      <c r="G87" s="207" t="s">
        <v>3299</v>
      </c>
      <c r="H87" s="162" t="s">
        <v>2533</v>
      </c>
      <c r="I87" s="159" t="s">
        <v>2533</v>
      </c>
      <c r="J87" s="280" t="s">
        <v>3003</v>
      </c>
      <c r="K87" s="159" t="s">
        <v>3004</v>
      </c>
      <c r="L87" s="161" t="s">
        <v>3005</v>
      </c>
      <c r="M87" s="162">
        <v>3</v>
      </c>
      <c r="N87" s="150" t="s">
        <v>3006</v>
      </c>
      <c r="O87" s="301" t="b">
        <v>0</v>
      </c>
      <c r="P87" s="302" t="b">
        <v>0</v>
      </c>
      <c r="Q87" s="170" t="b">
        <v>0</v>
      </c>
      <c r="R87" s="170" t="b">
        <v>0</v>
      </c>
      <c r="S87" s="177" t="s">
        <v>3007</v>
      </c>
      <c r="V87" s="64" t="s">
        <v>3738</v>
      </c>
      <c r="W87" s="177"/>
    </row>
    <row r="88" spans="1:25" ht="39.6" x14ac:dyDescent="0.3">
      <c r="A88" s="157">
        <v>87</v>
      </c>
      <c r="B88" s="158" t="s">
        <v>3498</v>
      </c>
      <c r="C88" s="159" t="s">
        <v>3008</v>
      </c>
      <c r="D88" s="159" t="s">
        <v>3009</v>
      </c>
      <c r="E88" s="265" t="s">
        <v>1823</v>
      </c>
      <c r="F88" s="159" t="s">
        <v>2066</v>
      </c>
      <c r="G88" s="217" t="s">
        <v>3817</v>
      </c>
      <c r="H88" s="162" t="s">
        <v>2533</v>
      </c>
      <c r="I88" s="159" t="s">
        <v>2533</v>
      </c>
      <c r="J88" s="280" t="s">
        <v>2525</v>
      </c>
      <c r="K88" s="159" t="s">
        <v>3010</v>
      </c>
      <c r="L88" s="159" t="s">
        <v>3011</v>
      </c>
      <c r="M88" s="162">
        <v>1</v>
      </c>
      <c r="N88" s="150">
        <v>9</v>
      </c>
      <c r="O88" s="301" t="b">
        <v>0</v>
      </c>
      <c r="P88" s="302" t="b">
        <v>0</v>
      </c>
      <c r="Q88" s="170" t="b">
        <v>0</v>
      </c>
      <c r="R88" s="170" t="b">
        <v>0</v>
      </c>
      <c r="S88" s="178" t="s">
        <v>2635</v>
      </c>
      <c r="T88" s="178" t="s">
        <v>2635</v>
      </c>
      <c r="V88" s="64"/>
      <c r="W88" s="64"/>
      <c r="Y88" s="62"/>
    </row>
    <row r="89" spans="1:25" ht="52.8" x14ac:dyDescent="0.3">
      <c r="A89" s="157">
        <v>88</v>
      </c>
      <c r="B89" s="158" t="s">
        <v>3498</v>
      </c>
      <c r="C89" s="159" t="s">
        <v>3012</v>
      </c>
      <c r="D89" s="159" t="s">
        <v>3013</v>
      </c>
      <c r="E89" s="265" t="s">
        <v>1823</v>
      </c>
      <c r="F89" s="159" t="s">
        <v>1773</v>
      </c>
      <c r="G89" s="207" t="s">
        <v>3299</v>
      </c>
      <c r="H89" s="162" t="s">
        <v>2533</v>
      </c>
      <c r="I89" s="159" t="s">
        <v>2533</v>
      </c>
      <c r="J89" s="280" t="s">
        <v>2525</v>
      </c>
      <c r="K89" s="159" t="s">
        <v>3014</v>
      </c>
      <c r="L89" s="161" t="s">
        <v>2779</v>
      </c>
      <c r="M89" s="162">
        <v>1</v>
      </c>
      <c r="N89" s="150">
        <v>219</v>
      </c>
      <c r="O89" s="301" t="b">
        <v>0</v>
      </c>
      <c r="P89" s="302" t="b">
        <v>0</v>
      </c>
      <c r="Q89" s="170" t="b">
        <v>0</v>
      </c>
      <c r="R89" s="170" t="b">
        <v>0</v>
      </c>
      <c r="S89" s="64" t="s">
        <v>3015</v>
      </c>
      <c r="T89" s="178" t="s">
        <v>3020</v>
      </c>
      <c r="V89" s="177" t="s">
        <v>3726</v>
      </c>
      <c r="W89" s="177" t="s">
        <v>3727</v>
      </c>
    </row>
    <row r="90" spans="1:25" ht="28.8" x14ac:dyDescent="0.3">
      <c r="A90" s="157">
        <v>89</v>
      </c>
      <c r="B90" s="158" t="s">
        <v>3498</v>
      </c>
      <c r="C90" s="159" t="s">
        <v>3016</v>
      </c>
      <c r="D90" s="159" t="s">
        <v>3017</v>
      </c>
      <c r="E90" s="265" t="s">
        <v>1823</v>
      </c>
      <c r="F90" s="159" t="s">
        <v>1773</v>
      </c>
      <c r="G90" s="217" t="s">
        <v>3817</v>
      </c>
      <c r="H90" s="162" t="s">
        <v>2533</v>
      </c>
      <c r="I90" s="159" t="s">
        <v>2533</v>
      </c>
      <c r="J90" s="280" t="s">
        <v>2525</v>
      </c>
      <c r="K90" s="159" t="s">
        <v>3018</v>
      </c>
      <c r="L90" s="161" t="s">
        <v>3019</v>
      </c>
      <c r="M90" s="162">
        <v>1</v>
      </c>
      <c r="N90" s="150">
        <v>247</v>
      </c>
      <c r="O90" s="301" t="b">
        <v>0</v>
      </c>
      <c r="P90" s="302" t="b">
        <v>0</v>
      </c>
      <c r="Q90" s="170" t="b">
        <v>0</v>
      </c>
      <c r="R90" s="170" t="b">
        <v>0</v>
      </c>
      <c r="S90" s="197" t="s">
        <v>3020</v>
      </c>
      <c r="T90" s="178" t="s">
        <v>3020</v>
      </c>
      <c r="V90" s="64"/>
      <c r="W90" s="64"/>
      <c r="Y90" s="62"/>
    </row>
    <row r="91" spans="1:25" ht="39.6" x14ac:dyDescent="0.3">
      <c r="A91" s="157">
        <v>90</v>
      </c>
      <c r="B91" s="158" t="s">
        <v>3498</v>
      </c>
      <c r="C91" s="159" t="s">
        <v>3021</v>
      </c>
      <c r="D91" s="159" t="s">
        <v>3022</v>
      </c>
      <c r="E91" s="266" t="s">
        <v>1756</v>
      </c>
      <c r="F91" s="159" t="s">
        <v>1773</v>
      </c>
      <c r="G91" s="217" t="s">
        <v>3817</v>
      </c>
      <c r="H91" s="162" t="s">
        <v>2522</v>
      </c>
      <c r="I91" s="159" t="s">
        <v>2523</v>
      </c>
      <c r="J91" s="280" t="s">
        <v>2525</v>
      </c>
      <c r="K91" s="159"/>
      <c r="L91" s="300" t="s">
        <v>4309</v>
      </c>
      <c r="M91" s="162">
        <v>3</v>
      </c>
      <c r="N91" s="150" t="s">
        <v>3024</v>
      </c>
      <c r="O91" s="301" t="b">
        <v>0</v>
      </c>
      <c r="P91" s="302" t="b">
        <v>0</v>
      </c>
      <c r="Q91" s="170" t="b">
        <v>0</v>
      </c>
      <c r="R91" s="170" t="b">
        <v>0</v>
      </c>
      <c r="V91" s="64" t="s">
        <v>3879</v>
      </c>
      <c r="W91" s="64" t="s">
        <v>4310</v>
      </c>
      <c r="Y91" s="62"/>
    </row>
    <row r="92" spans="1:25" ht="39.6" x14ac:dyDescent="0.3">
      <c r="A92" s="157">
        <v>91</v>
      </c>
      <c r="B92" s="158" t="s">
        <v>3498</v>
      </c>
      <c r="C92" s="159" t="s">
        <v>3025</v>
      </c>
      <c r="D92" s="159" t="s">
        <v>3026</v>
      </c>
      <c r="E92" s="266" t="s">
        <v>1756</v>
      </c>
      <c r="F92" s="159" t="s">
        <v>2566</v>
      </c>
      <c r="G92" s="207" t="s">
        <v>3299</v>
      </c>
      <c r="H92" s="162" t="s">
        <v>2533</v>
      </c>
      <c r="I92" s="159" t="s">
        <v>2533</v>
      </c>
      <c r="J92" s="280" t="s">
        <v>3027</v>
      </c>
      <c r="K92" s="159"/>
      <c r="L92" s="161" t="s">
        <v>2975</v>
      </c>
      <c r="M92" s="162">
        <v>2</v>
      </c>
      <c r="N92" s="150" t="s">
        <v>3028</v>
      </c>
      <c r="O92" s="301" t="b">
        <v>0</v>
      </c>
      <c r="P92" s="302" t="b">
        <v>0</v>
      </c>
      <c r="Q92" s="170" t="b">
        <v>1</v>
      </c>
      <c r="R92" s="170" t="b">
        <v>0</v>
      </c>
      <c r="V92" s="178" t="s">
        <v>3327</v>
      </c>
      <c r="W92" s="178" t="s">
        <v>3327</v>
      </c>
    </row>
    <row r="93" spans="1:25" ht="28.8" x14ac:dyDescent="0.3">
      <c r="A93" s="157">
        <v>92</v>
      </c>
      <c r="B93" s="158" t="s">
        <v>3544</v>
      </c>
      <c r="C93" s="159" t="s">
        <v>3029</v>
      </c>
      <c r="D93" s="159" t="s">
        <v>3030</v>
      </c>
      <c r="E93" s="266" t="s">
        <v>1756</v>
      </c>
      <c r="F93" s="159" t="s">
        <v>1773</v>
      </c>
      <c r="G93" s="217" t="s">
        <v>3817</v>
      </c>
      <c r="H93" s="162" t="s">
        <v>2522</v>
      </c>
      <c r="I93" s="159" t="s">
        <v>2523</v>
      </c>
      <c r="J93" s="280" t="s">
        <v>2525</v>
      </c>
      <c r="K93" s="159" t="s">
        <v>3031</v>
      </c>
      <c r="L93" s="161" t="s">
        <v>3032</v>
      </c>
      <c r="M93" s="162">
        <v>1</v>
      </c>
      <c r="N93" s="150">
        <v>150</v>
      </c>
      <c r="O93" s="301" t="b">
        <v>0</v>
      </c>
      <c r="P93" s="302" t="b">
        <v>0</v>
      </c>
      <c r="Q93" s="170" t="b">
        <v>0</v>
      </c>
      <c r="R93" s="170" t="b">
        <v>0</v>
      </c>
      <c r="V93" s="64"/>
      <c r="W93" s="64"/>
      <c r="Y93" s="62"/>
    </row>
    <row r="94" spans="1:25" ht="28.8" x14ac:dyDescent="0.3">
      <c r="A94" s="157">
        <v>93</v>
      </c>
      <c r="B94" s="158" t="s">
        <v>3544</v>
      </c>
      <c r="C94" s="159" t="s">
        <v>3033</v>
      </c>
      <c r="D94" s="159" t="s">
        <v>3034</v>
      </c>
      <c r="E94" s="163" t="s">
        <v>1760</v>
      </c>
      <c r="F94" s="159" t="s">
        <v>2066</v>
      </c>
      <c r="G94" s="207" t="s">
        <v>3299</v>
      </c>
      <c r="H94" s="162" t="s">
        <v>2533</v>
      </c>
      <c r="I94" s="159" t="s">
        <v>2533</v>
      </c>
      <c r="J94" s="280" t="s">
        <v>2525</v>
      </c>
      <c r="K94" s="159" t="s">
        <v>3031</v>
      </c>
      <c r="L94" s="161" t="s">
        <v>3035</v>
      </c>
      <c r="M94" s="162">
        <v>3</v>
      </c>
      <c r="N94" s="150" t="s">
        <v>3036</v>
      </c>
      <c r="O94" s="301" t="b">
        <v>0</v>
      </c>
      <c r="P94" s="302" t="b">
        <v>0</v>
      </c>
      <c r="Q94" s="170" t="b">
        <v>0</v>
      </c>
      <c r="R94" s="170" t="b">
        <v>0</v>
      </c>
      <c r="V94" s="178" t="s">
        <v>3308</v>
      </c>
      <c r="W94" s="283" t="s">
        <v>4311</v>
      </c>
    </row>
    <row r="95" spans="1:25" ht="28.8" x14ac:dyDescent="0.3">
      <c r="A95" s="157">
        <v>94</v>
      </c>
      <c r="B95" s="158" t="s">
        <v>3544</v>
      </c>
      <c r="C95" s="159" t="s">
        <v>3037</v>
      </c>
      <c r="D95" s="159" t="s">
        <v>3038</v>
      </c>
      <c r="E95" s="266" t="s">
        <v>1756</v>
      </c>
      <c r="F95" s="159" t="s">
        <v>2066</v>
      </c>
      <c r="G95" s="207" t="s">
        <v>3299</v>
      </c>
      <c r="H95" s="162" t="s">
        <v>2533</v>
      </c>
      <c r="I95" s="159" t="s">
        <v>2533</v>
      </c>
      <c r="J95" s="280" t="s">
        <v>2525</v>
      </c>
      <c r="K95" s="159" t="s">
        <v>3039</v>
      </c>
      <c r="L95" s="161" t="s">
        <v>3035</v>
      </c>
      <c r="M95" s="162">
        <v>3</v>
      </c>
      <c r="N95" s="150" t="s">
        <v>3040</v>
      </c>
      <c r="O95" s="301" t="b">
        <v>0</v>
      </c>
      <c r="P95" s="302" t="b">
        <v>0</v>
      </c>
      <c r="Q95" s="170" t="b">
        <v>0</v>
      </c>
      <c r="R95" s="170" t="b">
        <v>0</v>
      </c>
      <c r="V95" s="178" t="s">
        <v>3536</v>
      </c>
      <c r="W95" s="178" t="s">
        <v>3536</v>
      </c>
    </row>
    <row r="96" spans="1:25" ht="66" x14ac:dyDescent="0.3">
      <c r="A96" s="157">
        <v>95</v>
      </c>
      <c r="B96" s="158" t="s">
        <v>3329</v>
      </c>
      <c r="C96" s="159" t="s">
        <v>3041</v>
      </c>
      <c r="D96" s="159" t="s">
        <v>3042</v>
      </c>
      <c r="E96" s="266" t="s">
        <v>1756</v>
      </c>
      <c r="F96" s="159" t="s">
        <v>2187</v>
      </c>
      <c r="G96" s="217" t="s">
        <v>3817</v>
      </c>
      <c r="H96" s="162" t="s">
        <v>2522</v>
      </c>
      <c r="I96" s="159" t="s">
        <v>3589</v>
      </c>
      <c r="J96" s="280" t="s">
        <v>3043</v>
      </c>
      <c r="K96" s="159" t="s">
        <v>3044</v>
      </c>
      <c r="L96" s="161" t="s">
        <v>3045</v>
      </c>
      <c r="M96" s="162">
        <v>1</v>
      </c>
      <c r="N96" s="150">
        <v>143</v>
      </c>
      <c r="O96" s="301" t="b">
        <v>0</v>
      </c>
      <c r="P96" s="302" t="b">
        <v>0</v>
      </c>
      <c r="Q96" s="170" t="b">
        <v>1</v>
      </c>
      <c r="R96" s="170" t="b">
        <v>0</v>
      </c>
      <c r="S96" s="64" t="s">
        <v>3046</v>
      </c>
      <c r="V96" s="64"/>
      <c r="W96" s="64" t="s">
        <v>4312</v>
      </c>
      <c r="Y96" s="62"/>
    </row>
    <row r="97" spans="1:25" ht="26.4" x14ac:dyDescent="0.3">
      <c r="A97" s="157">
        <v>96</v>
      </c>
      <c r="B97" s="158" t="s">
        <v>3329</v>
      </c>
      <c r="C97" s="159" t="s">
        <v>3047</v>
      </c>
      <c r="D97" s="159" t="s">
        <v>3048</v>
      </c>
      <c r="E97" s="265" t="s">
        <v>1823</v>
      </c>
      <c r="F97" s="159" t="s">
        <v>2066</v>
      </c>
      <c r="G97" s="207" t="s">
        <v>3299</v>
      </c>
      <c r="H97" s="162" t="s">
        <v>2533</v>
      </c>
      <c r="I97" s="159" t="s">
        <v>2533</v>
      </c>
      <c r="J97" s="280" t="s">
        <v>2525</v>
      </c>
      <c r="K97" s="159" t="s">
        <v>3049</v>
      </c>
      <c r="L97" s="159" t="s">
        <v>3050</v>
      </c>
      <c r="M97" s="162">
        <v>1</v>
      </c>
      <c r="N97" s="150">
        <v>21</v>
      </c>
      <c r="O97" s="301" t="b">
        <v>0</v>
      </c>
      <c r="P97" s="302" t="b">
        <v>0</v>
      </c>
      <c r="Q97" s="170" t="b">
        <v>0</v>
      </c>
      <c r="R97" s="170" t="b">
        <v>0</v>
      </c>
      <c r="S97" s="64" t="s">
        <v>3051</v>
      </c>
      <c r="V97" s="178" t="s">
        <v>3327</v>
      </c>
      <c r="W97" s="178" t="s">
        <v>3327</v>
      </c>
    </row>
    <row r="98" spans="1:25" ht="43.2" x14ac:dyDescent="0.3">
      <c r="A98" s="157">
        <v>97</v>
      </c>
      <c r="B98" s="158" t="s">
        <v>3329</v>
      </c>
      <c r="C98" s="159" t="s">
        <v>3052</v>
      </c>
      <c r="D98" s="159" t="s">
        <v>3053</v>
      </c>
      <c r="E98" s="266" t="s">
        <v>1756</v>
      </c>
      <c r="F98" s="159" t="s">
        <v>2187</v>
      </c>
      <c r="G98" s="217" t="s">
        <v>3817</v>
      </c>
      <c r="H98" s="162" t="s">
        <v>2522</v>
      </c>
      <c r="I98" s="159" t="s">
        <v>2523</v>
      </c>
      <c r="J98" s="280" t="s">
        <v>2525</v>
      </c>
      <c r="K98" s="159" t="s">
        <v>3054</v>
      </c>
      <c r="L98" s="161" t="s">
        <v>3055</v>
      </c>
      <c r="M98" s="162">
        <v>1</v>
      </c>
      <c r="N98" s="150">
        <v>160</v>
      </c>
      <c r="O98" s="301" t="b">
        <v>0</v>
      </c>
      <c r="P98" s="302" t="b">
        <v>0</v>
      </c>
      <c r="Q98" s="170" t="b">
        <v>0</v>
      </c>
      <c r="R98" s="170" t="b">
        <v>0</v>
      </c>
      <c r="S98" s="175" t="s">
        <v>3056</v>
      </c>
      <c r="V98" s="64"/>
      <c r="W98" s="64" t="s">
        <v>4313</v>
      </c>
      <c r="Y98" s="62"/>
    </row>
    <row r="99" spans="1:25" ht="28.8" x14ac:dyDescent="0.3">
      <c r="A99" s="157">
        <v>98</v>
      </c>
      <c r="B99" s="158" t="s">
        <v>3329</v>
      </c>
      <c r="C99" s="159" t="s">
        <v>3057</v>
      </c>
      <c r="D99" s="159" t="s">
        <v>3058</v>
      </c>
      <c r="E99" s="160" t="s">
        <v>1797</v>
      </c>
      <c r="F99" s="159" t="s">
        <v>1773</v>
      </c>
      <c r="G99" s="217" t="s">
        <v>3817</v>
      </c>
      <c r="H99" s="297" t="s">
        <v>4214</v>
      </c>
      <c r="I99" s="159" t="s">
        <v>3340</v>
      </c>
      <c r="J99" s="280" t="s">
        <v>2525</v>
      </c>
      <c r="K99" s="159" t="s">
        <v>3059</v>
      </c>
      <c r="L99" s="161" t="s">
        <v>3060</v>
      </c>
      <c r="M99" s="162">
        <v>2</v>
      </c>
      <c r="N99" s="150" t="s">
        <v>3061</v>
      </c>
      <c r="O99" s="301" t="b">
        <v>0</v>
      </c>
      <c r="P99" s="302" t="b">
        <v>1</v>
      </c>
      <c r="Q99" s="170" t="b">
        <v>0</v>
      </c>
      <c r="R99" s="170" t="b">
        <v>0</v>
      </c>
      <c r="S99" s="64" t="s">
        <v>3062</v>
      </c>
      <c r="V99" s="64" t="s">
        <v>3336</v>
      </c>
      <c r="W99" s="175" t="s">
        <v>4314</v>
      </c>
    </row>
    <row r="100" spans="1:25" ht="79.2" x14ac:dyDescent="0.3">
      <c r="A100" s="157">
        <v>99</v>
      </c>
      <c r="B100" s="158" t="s">
        <v>3329</v>
      </c>
      <c r="C100" s="159" t="s">
        <v>3063</v>
      </c>
      <c r="D100" s="159" t="s">
        <v>3064</v>
      </c>
      <c r="E100" s="266" t="s">
        <v>1756</v>
      </c>
      <c r="F100" s="159" t="s">
        <v>1773</v>
      </c>
      <c r="G100" s="226" t="s">
        <v>4110</v>
      </c>
      <c r="H100" s="162" t="s">
        <v>4112</v>
      </c>
      <c r="I100" s="159" t="s">
        <v>336</v>
      </c>
      <c r="J100" s="280" t="s">
        <v>3065</v>
      </c>
      <c r="K100" s="159"/>
      <c r="L100" s="159"/>
      <c r="M100" s="162">
        <v>1</v>
      </c>
      <c r="N100" s="150">
        <v>257</v>
      </c>
      <c r="O100" s="301" t="b">
        <v>0</v>
      </c>
      <c r="P100" s="302" t="b">
        <v>1</v>
      </c>
      <c r="Q100" s="170" t="b">
        <v>1</v>
      </c>
      <c r="R100" s="170" t="b">
        <v>0</v>
      </c>
      <c r="S100" s="64" t="s">
        <v>3066</v>
      </c>
      <c r="V100" s="64"/>
      <c r="W100" s="64"/>
      <c r="Y100" s="62"/>
    </row>
    <row r="101" spans="1:25" ht="43.2" x14ac:dyDescent="0.3">
      <c r="A101" s="296">
        <v>100</v>
      </c>
      <c r="B101" s="158" t="s">
        <v>3329</v>
      </c>
      <c r="C101" s="159" t="s">
        <v>3067</v>
      </c>
      <c r="D101" s="159" t="s">
        <v>3068</v>
      </c>
      <c r="E101" s="265" t="s">
        <v>1823</v>
      </c>
      <c r="F101" s="159" t="s">
        <v>2066</v>
      </c>
      <c r="G101" s="207" t="s">
        <v>3299</v>
      </c>
      <c r="H101" s="162" t="s">
        <v>2533</v>
      </c>
      <c r="I101" s="159" t="s">
        <v>2533</v>
      </c>
      <c r="J101" s="280" t="s">
        <v>2525</v>
      </c>
      <c r="K101" s="159" t="s">
        <v>3069</v>
      </c>
      <c r="L101" s="161" t="s">
        <v>3070</v>
      </c>
      <c r="M101" s="162">
        <v>3</v>
      </c>
      <c r="N101" s="150" t="s">
        <v>3071</v>
      </c>
      <c r="O101" s="301" t="b">
        <v>0</v>
      </c>
      <c r="P101" s="302" t="b">
        <v>0</v>
      </c>
      <c r="Q101" s="170" t="b">
        <v>0</v>
      </c>
      <c r="R101" s="170" t="b">
        <v>0</v>
      </c>
      <c r="S101" s="64" t="s">
        <v>3072</v>
      </c>
      <c r="V101" s="64" t="s">
        <v>3477</v>
      </c>
      <c r="W101" s="64" t="s">
        <v>3348</v>
      </c>
    </row>
    <row r="102" spans="1:25" ht="52.8" x14ac:dyDescent="0.3">
      <c r="A102" s="157">
        <v>101</v>
      </c>
      <c r="B102" s="158" t="s">
        <v>3329</v>
      </c>
      <c r="C102" s="159" t="s">
        <v>3073</v>
      </c>
      <c r="D102" s="159" t="s">
        <v>3074</v>
      </c>
      <c r="E102" s="160" t="s">
        <v>1797</v>
      </c>
      <c r="F102" s="159" t="s">
        <v>1773</v>
      </c>
      <c r="G102" s="229" t="s">
        <v>4163</v>
      </c>
      <c r="H102" s="270" t="s">
        <v>651</v>
      </c>
      <c r="I102" s="159" t="s">
        <v>2533</v>
      </c>
      <c r="J102" s="174" t="s">
        <v>2825</v>
      </c>
      <c r="K102" s="159"/>
      <c r="L102" s="166" t="s">
        <v>2825</v>
      </c>
      <c r="M102" s="162">
        <v>2</v>
      </c>
      <c r="N102" s="150" t="s">
        <v>3075</v>
      </c>
      <c r="O102" s="301" t="b">
        <v>0</v>
      </c>
      <c r="P102" s="302" t="b">
        <v>0</v>
      </c>
      <c r="Q102" s="170" t="b">
        <v>0</v>
      </c>
      <c r="R102" s="170" t="b">
        <v>0</v>
      </c>
      <c r="S102" s="64" t="s">
        <v>3076</v>
      </c>
      <c r="V102" s="64"/>
      <c r="W102" s="64"/>
      <c r="Y102" s="62"/>
    </row>
    <row r="103" spans="1:25" ht="72" x14ac:dyDescent="0.3">
      <c r="A103" s="296">
        <v>102</v>
      </c>
      <c r="B103" s="158" t="s">
        <v>96</v>
      </c>
      <c r="C103" s="159" t="s">
        <v>3077</v>
      </c>
      <c r="D103" s="159" t="s">
        <v>3078</v>
      </c>
      <c r="E103" s="163" t="s">
        <v>1760</v>
      </c>
      <c r="F103" s="159" t="s">
        <v>1773</v>
      </c>
      <c r="G103" s="207" t="s">
        <v>3299</v>
      </c>
      <c r="H103" s="162" t="s">
        <v>2533</v>
      </c>
      <c r="I103" s="159" t="s">
        <v>2533</v>
      </c>
      <c r="J103" s="280" t="s">
        <v>4315</v>
      </c>
      <c r="K103" s="159" t="s">
        <v>3079</v>
      </c>
      <c r="L103" s="161" t="s">
        <v>3080</v>
      </c>
      <c r="M103" s="162">
        <v>1</v>
      </c>
      <c r="N103" s="150">
        <v>58</v>
      </c>
      <c r="O103" s="301" t="b">
        <v>0</v>
      </c>
      <c r="P103" s="302" t="b">
        <v>0</v>
      </c>
      <c r="Q103" s="170" t="b">
        <v>0</v>
      </c>
      <c r="R103" s="170" t="b">
        <v>0</v>
      </c>
      <c r="S103" s="175" t="s">
        <v>3081</v>
      </c>
      <c r="V103" s="64" t="s">
        <v>3477</v>
      </c>
      <c r="W103" s="178" t="s">
        <v>3536</v>
      </c>
      <c r="Y103" s="70" t="s">
        <v>4261</v>
      </c>
    </row>
    <row r="104" spans="1:25" ht="28.8" x14ac:dyDescent="0.3">
      <c r="A104" s="157">
        <v>103</v>
      </c>
      <c r="B104" s="158" t="s">
        <v>96</v>
      </c>
      <c r="C104" s="159" t="s">
        <v>3082</v>
      </c>
      <c r="D104" s="159" t="s">
        <v>3083</v>
      </c>
      <c r="E104" s="163" t="s">
        <v>1760</v>
      </c>
      <c r="F104" s="159" t="s">
        <v>1773</v>
      </c>
      <c r="G104" s="207" t="s">
        <v>3299</v>
      </c>
      <c r="H104" s="162" t="s">
        <v>2589</v>
      </c>
      <c r="I104" s="159" t="s">
        <v>2589</v>
      </c>
      <c r="J104" s="280" t="s">
        <v>2525</v>
      </c>
      <c r="K104" s="159" t="s">
        <v>3084</v>
      </c>
      <c r="L104" s="161" t="s">
        <v>3085</v>
      </c>
      <c r="M104" s="162">
        <v>2</v>
      </c>
      <c r="N104" s="150" t="s">
        <v>3086</v>
      </c>
      <c r="O104" s="301" t="b">
        <v>0</v>
      </c>
      <c r="P104" s="302" t="b">
        <v>0</v>
      </c>
      <c r="Q104" s="170" t="b">
        <v>0</v>
      </c>
      <c r="R104" s="170" t="b">
        <v>0</v>
      </c>
      <c r="S104" s="64" t="s">
        <v>3087</v>
      </c>
      <c r="V104" s="178" t="s">
        <v>3524</v>
      </c>
      <c r="W104" s="178" t="s">
        <v>3524</v>
      </c>
      <c r="Y104" s="70" t="s">
        <v>4261</v>
      </c>
    </row>
    <row r="105" spans="1:25" ht="28.8" x14ac:dyDescent="0.3">
      <c r="A105" s="157">
        <v>104</v>
      </c>
      <c r="B105" s="158" t="s">
        <v>96</v>
      </c>
      <c r="C105" s="159" t="s">
        <v>3088</v>
      </c>
      <c r="D105" s="159" t="s">
        <v>3089</v>
      </c>
      <c r="E105" s="266" t="s">
        <v>1756</v>
      </c>
      <c r="F105" s="159" t="s">
        <v>1773</v>
      </c>
      <c r="G105" s="217" t="s">
        <v>3817</v>
      </c>
      <c r="H105" s="162" t="s">
        <v>2522</v>
      </c>
      <c r="I105" s="159" t="s">
        <v>2523</v>
      </c>
      <c r="J105" s="280" t="s">
        <v>2525</v>
      </c>
      <c r="K105" s="159" t="s">
        <v>3090</v>
      </c>
      <c r="L105" s="161" t="s">
        <v>3091</v>
      </c>
      <c r="M105" s="162">
        <v>2</v>
      </c>
      <c r="N105" s="150" t="s">
        <v>3092</v>
      </c>
      <c r="O105" s="301" t="b">
        <v>0</v>
      </c>
      <c r="P105" s="302" t="b">
        <v>0</v>
      </c>
      <c r="Q105" s="170" t="b">
        <v>0</v>
      </c>
      <c r="R105" s="170" t="b">
        <v>0</v>
      </c>
      <c r="S105" s="64" t="s">
        <v>3087</v>
      </c>
      <c r="V105" s="64"/>
      <c r="W105" s="64"/>
      <c r="Y105" s="62"/>
    </row>
    <row r="106" spans="1:25" ht="39.6" x14ac:dyDescent="0.3">
      <c r="A106" s="157">
        <v>105</v>
      </c>
      <c r="B106" s="158" t="s">
        <v>96</v>
      </c>
      <c r="C106" s="159" t="s">
        <v>3093</v>
      </c>
      <c r="D106" s="159" t="s">
        <v>3094</v>
      </c>
      <c r="E106" s="265" t="s">
        <v>1823</v>
      </c>
      <c r="F106" s="159" t="s">
        <v>1773</v>
      </c>
      <c r="G106" s="217" t="s">
        <v>3817</v>
      </c>
      <c r="H106" s="162" t="s">
        <v>2522</v>
      </c>
      <c r="I106" s="159" t="s">
        <v>2523</v>
      </c>
      <c r="J106" s="280" t="s">
        <v>2525</v>
      </c>
      <c r="K106" s="159" t="s">
        <v>3095</v>
      </c>
      <c r="L106" s="161" t="s">
        <v>3096</v>
      </c>
      <c r="M106" s="162">
        <v>2</v>
      </c>
      <c r="N106" s="150" t="s">
        <v>3097</v>
      </c>
      <c r="O106" s="301" t="b">
        <v>0</v>
      </c>
      <c r="P106" s="302" t="b">
        <v>0</v>
      </c>
      <c r="Q106" s="170" t="b">
        <v>0</v>
      </c>
      <c r="R106" s="170" t="b">
        <v>0</v>
      </c>
      <c r="S106" s="64" t="s">
        <v>3087</v>
      </c>
      <c r="V106" s="64"/>
      <c r="W106" s="64"/>
      <c r="Y106" s="62"/>
    </row>
    <row r="107" spans="1:25" ht="28.8" x14ac:dyDescent="0.3">
      <c r="A107" s="157">
        <v>106</v>
      </c>
      <c r="B107" s="158" t="s">
        <v>96</v>
      </c>
      <c r="C107" s="159" t="s">
        <v>3098</v>
      </c>
      <c r="D107" s="159" t="s">
        <v>3099</v>
      </c>
      <c r="E107" s="266" t="s">
        <v>1756</v>
      </c>
      <c r="F107" s="159" t="s">
        <v>1773</v>
      </c>
      <c r="G107" s="217" t="s">
        <v>3817</v>
      </c>
      <c r="H107" s="162" t="s">
        <v>2522</v>
      </c>
      <c r="I107" s="159" t="s">
        <v>3589</v>
      </c>
      <c r="J107" s="280" t="s">
        <v>2525</v>
      </c>
      <c r="K107" s="159" t="s">
        <v>3100</v>
      </c>
      <c r="L107" s="161" t="s">
        <v>3101</v>
      </c>
      <c r="M107" s="162">
        <v>2</v>
      </c>
      <c r="N107" s="150" t="s">
        <v>3102</v>
      </c>
      <c r="O107" s="301" t="b">
        <v>0</v>
      </c>
      <c r="P107" s="302" t="b">
        <v>0</v>
      </c>
      <c r="Q107" s="170" t="b">
        <v>0</v>
      </c>
      <c r="R107" s="170" t="b">
        <v>0</v>
      </c>
      <c r="S107" s="64" t="s">
        <v>3103</v>
      </c>
      <c r="V107" s="64" t="s">
        <v>4040</v>
      </c>
      <c r="W107" s="64"/>
      <c r="Y107" s="62"/>
    </row>
    <row r="108" spans="1:25" ht="105.6" x14ac:dyDescent="0.3">
      <c r="A108" s="157">
        <v>107</v>
      </c>
      <c r="B108" s="158" t="s">
        <v>2351</v>
      </c>
      <c r="C108" s="159" t="s">
        <v>3104</v>
      </c>
      <c r="D108" s="159" t="s">
        <v>3105</v>
      </c>
      <c r="E108" s="163" t="s">
        <v>1760</v>
      </c>
      <c r="F108" s="159" t="s">
        <v>1773</v>
      </c>
      <c r="G108" s="207" t="s">
        <v>3299</v>
      </c>
      <c r="H108" s="162" t="s">
        <v>2533</v>
      </c>
      <c r="I108" s="150" t="s">
        <v>2533</v>
      </c>
      <c r="J108" s="280" t="s">
        <v>4315</v>
      </c>
      <c r="K108" s="280" t="s">
        <v>3106</v>
      </c>
      <c r="L108" s="161" t="s">
        <v>3107</v>
      </c>
      <c r="M108" s="162">
        <v>4</v>
      </c>
      <c r="N108" s="150" t="s">
        <v>3108</v>
      </c>
      <c r="O108" s="301" t="b">
        <v>0</v>
      </c>
      <c r="P108" s="302" t="b">
        <v>1</v>
      </c>
      <c r="Q108" s="170" t="b">
        <v>1</v>
      </c>
      <c r="R108" s="170" t="b">
        <v>0</v>
      </c>
      <c r="S108" s="176" t="s">
        <v>3109</v>
      </c>
      <c r="V108" s="64" t="s">
        <v>3449</v>
      </c>
      <c r="W108" s="279" t="s">
        <v>3496</v>
      </c>
      <c r="Y108" s="70" t="s">
        <v>4261</v>
      </c>
    </row>
    <row r="109" spans="1:25" ht="28.8" x14ac:dyDescent="0.3">
      <c r="A109" s="157">
        <v>108</v>
      </c>
      <c r="B109" s="158" t="s">
        <v>2351</v>
      </c>
      <c r="C109" s="159" t="s">
        <v>3110</v>
      </c>
      <c r="D109" s="159" t="s">
        <v>3111</v>
      </c>
      <c r="E109" s="266" t="s">
        <v>1756</v>
      </c>
      <c r="F109" s="159" t="s">
        <v>1773</v>
      </c>
      <c r="G109" s="217" t="s">
        <v>3817</v>
      </c>
      <c r="H109" s="162" t="s">
        <v>2522</v>
      </c>
      <c r="I109" s="159" t="s">
        <v>2533</v>
      </c>
      <c r="J109" s="280" t="s">
        <v>2525</v>
      </c>
      <c r="K109" s="159" t="s">
        <v>3112</v>
      </c>
      <c r="L109" s="161" t="s">
        <v>3107</v>
      </c>
      <c r="M109" s="162">
        <v>2</v>
      </c>
      <c r="N109" s="150" t="s">
        <v>3113</v>
      </c>
      <c r="O109" s="301" t="b">
        <v>0</v>
      </c>
      <c r="P109" s="302" t="b">
        <v>1</v>
      </c>
      <c r="Q109" s="170" t="b">
        <v>0</v>
      </c>
      <c r="R109" s="170" t="b">
        <v>0</v>
      </c>
      <c r="S109" s="280" t="s">
        <v>2525</v>
      </c>
      <c r="V109" s="178" t="s">
        <v>3536</v>
      </c>
      <c r="W109" s="178" t="s">
        <v>651</v>
      </c>
      <c r="Y109" s="62"/>
    </row>
    <row r="110" spans="1:25" ht="52.8" x14ac:dyDescent="0.3">
      <c r="A110" s="296">
        <v>109</v>
      </c>
      <c r="B110" s="158" t="s">
        <v>3599</v>
      </c>
      <c r="C110" s="159" t="s">
        <v>3114</v>
      </c>
      <c r="D110" s="159" t="s">
        <v>3115</v>
      </c>
      <c r="E110" s="266" t="s">
        <v>1756</v>
      </c>
      <c r="F110" s="159" t="s">
        <v>1773</v>
      </c>
      <c r="G110" s="207" t="s">
        <v>3299</v>
      </c>
      <c r="H110" s="162" t="s">
        <v>2533</v>
      </c>
      <c r="I110" s="159" t="s">
        <v>2533</v>
      </c>
      <c r="J110" s="280" t="s">
        <v>2525</v>
      </c>
      <c r="K110" s="159"/>
      <c r="L110" s="161" t="s">
        <v>3116</v>
      </c>
      <c r="M110" s="162">
        <v>1</v>
      </c>
      <c r="N110" s="150">
        <v>189</v>
      </c>
      <c r="O110" s="301" t="b">
        <v>0</v>
      </c>
      <c r="P110" s="302" t="b">
        <v>0</v>
      </c>
      <c r="Q110" s="170" t="b">
        <v>0</v>
      </c>
      <c r="R110" s="170" t="b">
        <v>0</v>
      </c>
      <c r="S110" s="311" t="s">
        <v>3117</v>
      </c>
      <c r="V110" s="64" t="s">
        <v>3477</v>
      </c>
      <c r="W110" s="178" t="s">
        <v>651</v>
      </c>
    </row>
    <row r="111" spans="1:25" ht="72" x14ac:dyDescent="0.3">
      <c r="A111" s="296">
        <v>110</v>
      </c>
      <c r="B111" s="158" t="s">
        <v>3599</v>
      </c>
      <c r="C111" s="159" t="s">
        <v>3118</v>
      </c>
      <c r="D111" s="159" t="s">
        <v>3119</v>
      </c>
      <c r="E111" s="265" t="s">
        <v>1823</v>
      </c>
      <c r="F111" s="159" t="s">
        <v>1773</v>
      </c>
      <c r="G111" s="207" t="s">
        <v>3299</v>
      </c>
      <c r="H111" s="162" t="s">
        <v>2533</v>
      </c>
      <c r="I111" s="159" t="s">
        <v>2533</v>
      </c>
      <c r="J111" s="280" t="s">
        <v>2525</v>
      </c>
      <c r="K111" s="159" t="s">
        <v>3120</v>
      </c>
      <c r="L111" s="161" t="s">
        <v>3116</v>
      </c>
      <c r="M111" s="162">
        <v>3</v>
      </c>
      <c r="N111" s="150" t="s">
        <v>3121</v>
      </c>
      <c r="O111" s="301" t="b">
        <v>0</v>
      </c>
      <c r="P111" s="302" t="b">
        <v>0</v>
      </c>
      <c r="Q111" s="170" t="b">
        <v>0</v>
      </c>
      <c r="R111" s="170" t="b">
        <v>0</v>
      </c>
      <c r="S111" s="198" t="s">
        <v>3122</v>
      </c>
      <c r="V111" s="64" t="s">
        <v>3477</v>
      </c>
      <c r="W111" s="178" t="s">
        <v>651</v>
      </c>
    </row>
    <row r="112" spans="1:25" ht="57.6" x14ac:dyDescent="0.3">
      <c r="A112" s="296">
        <v>111</v>
      </c>
      <c r="B112" s="158" t="s">
        <v>3599</v>
      </c>
      <c r="C112" s="159" t="s">
        <v>3123</v>
      </c>
      <c r="D112" s="159" t="s">
        <v>3124</v>
      </c>
      <c r="E112" s="265" t="s">
        <v>1823</v>
      </c>
      <c r="F112" s="159" t="s">
        <v>1773</v>
      </c>
      <c r="G112" s="207" t="s">
        <v>3299</v>
      </c>
      <c r="H112" s="162" t="s">
        <v>2533</v>
      </c>
      <c r="I112" s="159" t="s">
        <v>2533</v>
      </c>
      <c r="J112" s="280" t="s">
        <v>2525</v>
      </c>
      <c r="K112" s="159"/>
      <c r="L112" s="161" t="s">
        <v>3116</v>
      </c>
      <c r="M112" s="162">
        <v>2</v>
      </c>
      <c r="N112" s="150" t="s">
        <v>3125</v>
      </c>
      <c r="O112" s="301" t="b">
        <v>0</v>
      </c>
      <c r="P112" s="302" t="b">
        <v>0</v>
      </c>
      <c r="Q112" s="170" t="b">
        <v>0</v>
      </c>
      <c r="R112" s="170" t="b">
        <v>0</v>
      </c>
      <c r="S112" s="198" t="s">
        <v>3126</v>
      </c>
      <c r="V112" s="64" t="s">
        <v>3477</v>
      </c>
      <c r="W112" s="178" t="s">
        <v>651</v>
      </c>
    </row>
    <row r="113" spans="1:25" ht="39.6" x14ac:dyDescent="0.3">
      <c r="A113" s="157">
        <v>112</v>
      </c>
      <c r="B113" s="158" t="s">
        <v>3599</v>
      </c>
      <c r="C113" s="159" t="s">
        <v>3127</v>
      </c>
      <c r="D113" s="159" t="s">
        <v>3128</v>
      </c>
      <c r="E113" s="265" t="s">
        <v>1823</v>
      </c>
      <c r="F113" s="159" t="s">
        <v>1773</v>
      </c>
      <c r="G113" s="207" t="s">
        <v>3299</v>
      </c>
      <c r="H113" s="162" t="s">
        <v>2533</v>
      </c>
      <c r="I113" s="159" t="s">
        <v>2533</v>
      </c>
      <c r="J113" s="280" t="s">
        <v>3129</v>
      </c>
      <c r="K113" s="159" t="s">
        <v>3130</v>
      </c>
      <c r="L113" s="64" t="s">
        <v>3131</v>
      </c>
      <c r="M113" s="162">
        <v>1</v>
      </c>
      <c r="N113" s="150">
        <v>60</v>
      </c>
      <c r="O113" s="301" t="b">
        <v>0</v>
      </c>
      <c r="P113" s="302" t="b">
        <v>1</v>
      </c>
      <c r="Q113" s="170" t="b">
        <v>0</v>
      </c>
      <c r="R113" s="170" t="b">
        <v>0</v>
      </c>
      <c r="S113" s="280" t="s">
        <v>2525</v>
      </c>
      <c r="V113" s="178" t="s">
        <v>3536</v>
      </c>
      <c r="W113" s="178" t="s">
        <v>3536</v>
      </c>
    </row>
    <row r="114" spans="1:25" ht="52.8" x14ac:dyDescent="0.3">
      <c r="A114" s="296">
        <v>113</v>
      </c>
      <c r="B114" s="158" t="s">
        <v>3599</v>
      </c>
      <c r="C114" s="159" t="s">
        <v>3132</v>
      </c>
      <c r="D114" s="159" t="s">
        <v>3133</v>
      </c>
      <c r="E114" s="265" t="s">
        <v>1823</v>
      </c>
      <c r="F114" s="159" t="s">
        <v>1773</v>
      </c>
      <c r="G114" s="207" t="s">
        <v>3299</v>
      </c>
      <c r="H114" s="162" t="s">
        <v>2533</v>
      </c>
      <c r="I114" s="159" t="s">
        <v>2533</v>
      </c>
      <c r="J114" s="280" t="s">
        <v>2525</v>
      </c>
      <c r="K114" s="159" t="s">
        <v>3134</v>
      </c>
      <c r="L114" s="64" t="s">
        <v>3131</v>
      </c>
      <c r="M114" s="162">
        <v>4</v>
      </c>
      <c r="N114" s="150" t="s">
        <v>3135</v>
      </c>
      <c r="O114" s="301" t="b">
        <v>0</v>
      </c>
      <c r="P114" s="302" t="b">
        <v>1</v>
      </c>
      <c r="Q114" s="170" t="b">
        <v>0</v>
      </c>
      <c r="R114" s="170" t="b">
        <v>0</v>
      </c>
      <c r="S114" s="280" t="s">
        <v>2525</v>
      </c>
      <c r="V114" s="256"/>
      <c r="W114" s="176" t="s">
        <v>4316</v>
      </c>
    </row>
    <row r="115" spans="1:25" ht="43.2" x14ac:dyDescent="0.3">
      <c r="A115" s="157">
        <v>114</v>
      </c>
      <c r="B115" s="158" t="s">
        <v>3599</v>
      </c>
      <c r="C115" s="159" t="s">
        <v>3136</v>
      </c>
      <c r="D115" s="159" t="s">
        <v>3137</v>
      </c>
      <c r="E115" s="267" t="s">
        <v>4104</v>
      </c>
      <c r="F115" s="159" t="s">
        <v>2588</v>
      </c>
      <c r="G115" s="226" t="s">
        <v>4110</v>
      </c>
      <c r="H115" s="162" t="s">
        <v>4112</v>
      </c>
      <c r="I115" s="159" t="s">
        <v>2533</v>
      </c>
      <c r="J115" s="280" t="s">
        <v>3138</v>
      </c>
      <c r="K115" s="159"/>
      <c r="L115" s="159" t="s">
        <v>3139</v>
      </c>
      <c r="M115" s="162">
        <v>1</v>
      </c>
      <c r="N115" s="150">
        <v>187</v>
      </c>
      <c r="O115" s="301" t="b">
        <v>0</v>
      </c>
      <c r="P115" s="302" t="b">
        <v>0</v>
      </c>
      <c r="Q115" s="170" t="b">
        <v>0</v>
      </c>
      <c r="R115" s="170" t="b">
        <v>0</v>
      </c>
      <c r="S115" s="178" t="s">
        <v>3140</v>
      </c>
      <c r="V115" s="64"/>
      <c r="W115" s="178" t="s">
        <v>4317</v>
      </c>
      <c r="Y115" s="62"/>
    </row>
    <row r="116" spans="1:25" ht="54.75" customHeight="1" x14ac:dyDescent="0.3">
      <c r="A116" s="157">
        <v>115</v>
      </c>
      <c r="B116" s="158" t="s">
        <v>3569</v>
      </c>
      <c r="C116" s="159" t="s">
        <v>3141</v>
      </c>
      <c r="D116" s="159" t="s">
        <v>3142</v>
      </c>
      <c r="E116" s="265" t="s">
        <v>1823</v>
      </c>
      <c r="F116" s="159" t="s">
        <v>1773</v>
      </c>
      <c r="G116" s="217" t="s">
        <v>3817</v>
      </c>
      <c r="H116" s="162" t="s">
        <v>2522</v>
      </c>
      <c r="I116" s="159" t="s">
        <v>2533</v>
      </c>
      <c r="J116" s="174" t="s">
        <v>2825</v>
      </c>
      <c r="K116" s="159" t="s">
        <v>3143</v>
      </c>
      <c r="L116" s="161" t="s">
        <v>3144</v>
      </c>
      <c r="M116" s="162">
        <v>1</v>
      </c>
      <c r="N116" s="150">
        <v>106</v>
      </c>
      <c r="O116" s="301" t="b">
        <v>0</v>
      </c>
      <c r="P116" s="302" t="b">
        <v>0</v>
      </c>
      <c r="Q116" s="170" t="b">
        <v>0</v>
      </c>
      <c r="R116" s="170" t="b">
        <v>0</v>
      </c>
      <c r="S116" s="64" t="s">
        <v>3145</v>
      </c>
      <c r="V116" s="64"/>
      <c r="W116" s="178" t="s">
        <v>651</v>
      </c>
      <c r="Y116" s="62"/>
    </row>
    <row r="117" spans="1:25" ht="43.2" x14ac:dyDescent="0.3">
      <c r="A117" s="157">
        <v>116</v>
      </c>
      <c r="B117" s="158" t="s">
        <v>3569</v>
      </c>
      <c r="C117" s="159" t="s">
        <v>3146</v>
      </c>
      <c r="D117" s="159" t="s">
        <v>3147</v>
      </c>
      <c r="E117" s="266" t="s">
        <v>1756</v>
      </c>
      <c r="F117" s="159" t="s">
        <v>2187</v>
      </c>
      <c r="G117" s="217" t="s">
        <v>3817</v>
      </c>
      <c r="H117" s="162" t="s">
        <v>2522</v>
      </c>
      <c r="I117" s="159" t="s">
        <v>3589</v>
      </c>
      <c r="J117" s="280" t="s">
        <v>3148</v>
      </c>
      <c r="K117" s="159" t="s">
        <v>3149</v>
      </c>
      <c r="L117" s="161" t="s">
        <v>3150</v>
      </c>
      <c r="M117" s="162">
        <v>3</v>
      </c>
      <c r="N117" s="150" t="s">
        <v>3151</v>
      </c>
      <c r="O117" s="301" t="b">
        <v>0</v>
      </c>
      <c r="P117" s="302" t="b">
        <v>0</v>
      </c>
      <c r="Q117" s="170" t="b">
        <v>0</v>
      </c>
      <c r="R117" s="170" t="b">
        <v>0</v>
      </c>
      <c r="S117" s="64" t="s">
        <v>3152</v>
      </c>
      <c r="V117" s="64"/>
      <c r="W117" s="64"/>
      <c r="Y117" s="62"/>
    </row>
    <row r="118" spans="1:25" ht="28.8" x14ac:dyDescent="0.3">
      <c r="A118" s="157">
        <v>117</v>
      </c>
      <c r="B118" s="158" t="s">
        <v>3569</v>
      </c>
      <c r="C118" s="159" t="s">
        <v>3153</v>
      </c>
      <c r="D118" s="159" t="s">
        <v>3154</v>
      </c>
      <c r="E118" s="264" t="s">
        <v>1760</v>
      </c>
      <c r="F118" s="159" t="s">
        <v>2187</v>
      </c>
      <c r="G118" s="215" t="s">
        <v>3817</v>
      </c>
      <c r="H118" s="273" t="s">
        <v>2522</v>
      </c>
      <c r="I118" s="199" t="s">
        <v>3589</v>
      </c>
      <c r="J118" s="280" t="s">
        <v>2525</v>
      </c>
      <c r="K118" s="159" t="s">
        <v>3155</v>
      </c>
      <c r="L118" s="161" t="s">
        <v>3156</v>
      </c>
      <c r="M118" s="162">
        <v>1</v>
      </c>
      <c r="N118" s="150">
        <v>156</v>
      </c>
      <c r="O118" s="301" t="b">
        <v>0</v>
      </c>
      <c r="P118" s="302" t="b">
        <v>0</v>
      </c>
      <c r="Q118" s="170" t="b">
        <v>0</v>
      </c>
      <c r="R118" s="170" t="b">
        <v>0</v>
      </c>
      <c r="V118" s="64"/>
      <c r="W118" s="64"/>
      <c r="Y118" s="62"/>
    </row>
    <row r="119" spans="1:25" ht="39.6" x14ac:dyDescent="0.3">
      <c r="A119" s="157">
        <v>118</v>
      </c>
      <c r="B119" s="158" t="s">
        <v>3569</v>
      </c>
      <c r="C119" s="159" t="s">
        <v>3157</v>
      </c>
      <c r="D119" s="159" t="s">
        <v>3158</v>
      </c>
      <c r="E119" s="265" t="s">
        <v>1823</v>
      </c>
      <c r="F119" s="159" t="s">
        <v>2566</v>
      </c>
      <c r="G119" s="217" t="s">
        <v>3817</v>
      </c>
      <c r="H119" s="162" t="s">
        <v>2522</v>
      </c>
      <c r="I119" s="159" t="s">
        <v>2533</v>
      </c>
      <c r="J119" s="280" t="s">
        <v>3159</v>
      </c>
      <c r="K119" s="159" t="s">
        <v>3160</v>
      </c>
      <c r="L119" s="159" t="s">
        <v>3161</v>
      </c>
      <c r="M119" s="162">
        <v>2</v>
      </c>
      <c r="N119" s="150" t="s">
        <v>3162</v>
      </c>
      <c r="O119" s="301" t="b">
        <v>0</v>
      </c>
      <c r="P119" s="302" t="b">
        <v>0</v>
      </c>
      <c r="Q119" s="170" t="b">
        <v>0</v>
      </c>
      <c r="R119" s="170" t="b">
        <v>0</v>
      </c>
      <c r="V119" s="178" t="s">
        <v>3536</v>
      </c>
      <c r="W119" s="64"/>
      <c r="Y119" s="62"/>
    </row>
    <row r="120" spans="1:25" ht="79.2" x14ac:dyDescent="0.3">
      <c r="A120" s="157">
        <v>119</v>
      </c>
      <c r="B120" s="158" t="s">
        <v>3569</v>
      </c>
      <c r="C120" s="159" t="s">
        <v>3163</v>
      </c>
      <c r="D120" s="159" t="s">
        <v>3164</v>
      </c>
      <c r="E120" s="265" t="s">
        <v>1823</v>
      </c>
      <c r="F120" s="159" t="s">
        <v>2066</v>
      </c>
      <c r="G120" s="207" t="s">
        <v>3299</v>
      </c>
      <c r="H120" s="162" t="s">
        <v>2533</v>
      </c>
      <c r="I120" s="159" t="s">
        <v>2533</v>
      </c>
      <c r="J120" s="280" t="s">
        <v>2525</v>
      </c>
      <c r="K120" s="159" t="s">
        <v>3165</v>
      </c>
      <c r="L120" s="159" t="s">
        <v>3166</v>
      </c>
      <c r="M120" s="162">
        <v>3</v>
      </c>
      <c r="N120" s="150" t="s">
        <v>3167</v>
      </c>
      <c r="O120" s="301" t="b">
        <v>0</v>
      </c>
      <c r="P120" s="302" t="b">
        <v>1</v>
      </c>
      <c r="Q120" s="170" t="b">
        <v>0</v>
      </c>
      <c r="R120" s="170" t="b">
        <v>0</v>
      </c>
      <c r="S120" s="178" t="s">
        <v>3168</v>
      </c>
      <c r="V120" s="64" t="s">
        <v>3618</v>
      </c>
      <c r="W120" s="178" t="s">
        <v>3536</v>
      </c>
    </row>
    <row r="121" spans="1:25" ht="43.2" x14ac:dyDescent="0.3">
      <c r="A121" s="157">
        <v>120</v>
      </c>
      <c r="B121" s="158" t="s">
        <v>3569</v>
      </c>
      <c r="C121" s="159" t="s">
        <v>3169</v>
      </c>
      <c r="D121" s="159" t="s">
        <v>3170</v>
      </c>
      <c r="E121" s="265" t="s">
        <v>1823</v>
      </c>
      <c r="F121" s="159" t="s">
        <v>2066</v>
      </c>
      <c r="G121" s="207" t="s">
        <v>3299</v>
      </c>
      <c r="H121" s="162" t="s">
        <v>2589</v>
      </c>
      <c r="I121" s="159" t="s">
        <v>2589</v>
      </c>
      <c r="J121" s="174" t="s">
        <v>2825</v>
      </c>
      <c r="K121" s="159" t="s">
        <v>3171</v>
      </c>
      <c r="L121" s="161" t="s">
        <v>3172</v>
      </c>
      <c r="M121" s="162">
        <v>3</v>
      </c>
      <c r="N121" s="150" t="s">
        <v>3173</v>
      </c>
      <c r="O121" s="301" t="b">
        <v>0</v>
      </c>
      <c r="P121" s="302" t="b">
        <v>0</v>
      </c>
      <c r="Q121" s="170" t="b">
        <v>0</v>
      </c>
      <c r="R121" s="170" t="b">
        <v>0</v>
      </c>
      <c r="S121" s="64" t="s">
        <v>3174</v>
      </c>
      <c r="V121" s="178" t="s">
        <v>2589</v>
      </c>
      <c r="W121" s="64"/>
    </row>
    <row r="122" spans="1:25" ht="43.2" x14ac:dyDescent="0.3">
      <c r="A122" s="157">
        <v>121</v>
      </c>
      <c r="B122" s="158" t="s">
        <v>3569</v>
      </c>
      <c r="C122" s="159" t="s">
        <v>3175</v>
      </c>
      <c r="D122" s="159" t="s">
        <v>3176</v>
      </c>
      <c r="E122" s="266" t="s">
        <v>1756</v>
      </c>
      <c r="F122" s="159" t="s">
        <v>2187</v>
      </c>
      <c r="G122" s="217" t="s">
        <v>3817</v>
      </c>
      <c r="H122" s="162" t="s">
        <v>2522</v>
      </c>
      <c r="I122" s="159" t="s">
        <v>2533</v>
      </c>
      <c r="J122" s="174" t="s">
        <v>2825</v>
      </c>
      <c r="K122" s="159"/>
      <c r="L122" s="161" t="s">
        <v>3177</v>
      </c>
      <c r="M122" s="162"/>
      <c r="N122" s="150"/>
      <c r="O122" s="301" t="b">
        <v>0</v>
      </c>
      <c r="P122" s="302" t="b">
        <v>0</v>
      </c>
      <c r="Q122" s="170" t="b">
        <v>0</v>
      </c>
      <c r="R122" s="170" t="b">
        <v>0</v>
      </c>
      <c r="S122" s="64" t="s">
        <v>3178</v>
      </c>
      <c r="V122" s="64"/>
      <c r="W122" s="175" t="s">
        <v>4318</v>
      </c>
      <c r="Y122" s="62"/>
    </row>
    <row r="123" spans="1:25" s="305" customFormat="1" ht="57.6" x14ac:dyDescent="0.3">
      <c r="A123" s="284">
        <v>122</v>
      </c>
      <c r="B123" s="285" t="s">
        <v>3569</v>
      </c>
      <c r="C123" s="286" t="s">
        <v>3179</v>
      </c>
      <c r="D123" s="286" t="s">
        <v>3180</v>
      </c>
      <c r="E123" s="287" t="s">
        <v>1823</v>
      </c>
      <c r="F123" s="286" t="s">
        <v>1773</v>
      </c>
      <c r="G123" s="217" t="s">
        <v>3817</v>
      </c>
      <c r="H123" s="298" t="s">
        <v>4214</v>
      </c>
      <c r="I123" s="288" t="s">
        <v>3589</v>
      </c>
      <c r="J123" s="294" t="s">
        <v>2525</v>
      </c>
      <c r="K123" s="286" t="s">
        <v>3181</v>
      </c>
      <c r="L123" s="300" t="s">
        <v>4319</v>
      </c>
      <c r="M123" s="289">
        <v>2</v>
      </c>
      <c r="N123" s="290" t="s">
        <v>3183</v>
      </c>
      <c r="O123" s="301" t="b">
        <v>0</v>
      </c>
      <c r="P123" s="302" t="b">
        <v>0</v>
      </c>
      <c r="Q123" s="291" t="b">
        <v>0</v>
      </c>
      <c r="R123" s="291" t="b">
        <v>0</v>
      </c>
      <c r="S123" s="294" t="s">
        <v>2525</v>
      </c>
      <c r="T123" s="292"/>
      <c r="U123" s="292"/>
      <c r="V123" s="295" t="s">
        <v>3750</v>
      </c>
      <c r="W123" s="293" t="s">
        <v>4320</v>
      </c>
      <c r="X123" s="304"/>
      <c r="Y123" s="308"/>
    </row>
    <row r="124" spans="1:25" ht="52.8" x14ac:dyDescent="0.3">
      <c r="A124" s="157">
        <v>123</v>
      </c>
      <c r="B124" s="158" t="s">
        <v>3752</v>
      </c>
      <c r="C124" s="159" t="s">
        <v>3184</v>
      </c>
      <c r="D124" s="159" t="s">
        <v>3185</v>
      </c>
      <c r="E124" s="266" t="s">
        <v>1756</v>
      </c>
      <c r="F124" s="159" t="s">
        <v>2187</v>
      </c>
      <c r="G124" s="221" t="s">
        <v>4074</v>
      </c>
      <c r="H124" s="274" t="s">
        <v>2917</v>
      </c>
      <c r="I124" s="159" t="s">
        <v>3589</v>
      </c>
      <c r="J124" s="280" t="s">
        <v>2918</v>
      </c>
      <c r="K124" s="159" t="s">
        <v>3186</v>
      </c>
      <c r="L124" s="159" t="s">
        <v>3187</v>
      </c>
      <c r="M124" s="162">
        <v>2</v>
      </c>
      <c r="N124" s="150" t="s">
        <v>3188</v>
      </c>
      <c r="O124" s="301" t="b">
        <v>0</v>
      </c>
      <c r="P124" s="302" t="b">
        <v>0</v>
      </c>
      <c r="Q124" s="170" t="b">
        <v>0</v>
      </c>
      <c r="R124" s="170" t="b">
        <v>0</v>
      </c>
      <c r="S124" s="64" t="s">
        <v>3000</v>
      </c>
      <c r="V124" s="64"/>
      <c r="W124" s="64"/>
      <c r="Y124" s="62"/>
    </row>
    <row r="125" spans="1:25" ht="39.6" x14ac:dyDescent="0.3">
      <c r="A125" s="157">
        <v>124</v>
      </c>
      <c r="B125" s="158" t="s">
        <v>3752</v>
      </c>
      <c r="C125" s="159" t="s">
        <v>3189</v>
      </c>
      <c r="D125" s="159" t="s">
        <v>3190</v>
      </c>
      <c r="E125" s="265" t="s">
        <v>1823</v>
      </c>
      <c r="F125" s="159" t="s">
        <v>1773</v>
      </c>
      <c r="G125" s="207" t="s">
        <v>3299</v>
      </c>
      <c r="H125" s="162" t="s">
        <v>2533</v>
      </c>
      <c r="I125" s="159" t="s">
        <v>2533</v>
      </c>
      <c r="J125" s="280" t="s">
        <v>2525</v>
      </c>
      <c r="K125" s="159" t="s">
        <v>3191</v>
      </c>
      <c r="L125" s="161" t="s">
        <v>3192</v>
      </c>
      <c r="M125" s="162">
        <v>2</v>
      </c>
      <c r="N125" s="150" t="s">
        <v>3193</v>
      </c>
      <c r="O125" s="301" t="b">
        <v>0</v>
      </c>
      <c r="P125" s="302" t="b">
        <v>0</v>
      </c>
      <c r="Q125" s="170" t="b">
        <v>0</v>
      </c>
      <c r="R125" s="170" t="b">
        <v>0</v>
      </c>
      <c r="S125" s="64" t="s">
        <v>3194</v>
      </c>
      <c r="V125" s="177" t="s">
        <v>3408</v>
      </c>
      <c r="W125" s="177" t="s">
        <v>4321</v>
      </c>
      <c r="Y125" s="70" t="s">
        <v>4261</v>
      </c>
    </row>
    <row r="126" spans="1:25" ht="39.6" x14ac:dyDescent="0.3">
      <c r="A126" s="157">
        <v>125</v>
      </c>
      <c r="B126" s="158" t="s">
        <v>3752</v>
      </c>
      <c r="C126" s="159" t="s">
        <v>3195</v>
      </c>
      <c r="D126" s="159" t="s">
        <v>3196</v>
      </c>
      <c r="E126" s="266" t="s">
        <v>1756</v>
      </c>
      <c r="F126" s="159" t="s">
        <v>2187</v>
      </c>
      <c r="G126" s="217" t="s">
        <v>3817</v>
      </c>
      <c r="H126" s="162" t="s">
        <v>2522</v>
      </c>
      <c r="I126" s="159" t="s">
        <v>3589</v>
      </c>
      <c r="J126" s="280" t="s">
        <v>2525</v>
      </c>
      <c r="K126" s="159" t="s">
        <v>3197</v>
      </c>
      <c r="L126" s="161" t="s">
        <v>3198</v>
      </c>
      <c r="M126" s="162">
        <v>3</v>
      </c>
      <c r="N126" s="150" t="s">
        <v>3199</v>
      </c>
      <c r="O126" s="301" t="b">
        <v>0</v>
      </c>
      <c r="P126" s="302" t="b">
        <v>1</v>
      </c>
      <c r="Q126" s="170" t="b">
        <v>0</v>
      </c>
      <c r="R126" s="170" t="b">
        <v>0</v>
      </c>
      <c r="S126" s="64" t="s">
        <v>3200</v>
      </c>
      <c r="V126" s="64"/>
      <c r="W126" s="64" t="s">
        <v>4322</v>
      </c>
      <c r="Y126" s="62"/>
    </row>
    <row r="127" spans="1:25" ht="28.8" x14ac:dyDescent="0.3">
      <c r="A127" s="157">
        <v>126</v>
      </c>
      <c r="B127" s="158" t="s">
        <v>3752</v>
      </c>
      <c r="C127" s="159" t="s">
        <v>3201</v>
      </c>
      <c r="D127" s="159" t="s">
        <v>3202</v>
      </c>
      <c r="E127" s="265" t="s">
        <v>1823</v>
      </c>
      <c r="F127" s="159" t="s">
        <v>1773</v>
      </c>
      <c r="G127" s="207" t="s">
        <v>3299</v>
      </c>
      <c r="H127" s="162" t="s">
        <v>2533</v>
      </c>
      <c r="I127" s="150" t="s">
        <v>2533</v>
      </c>
      <c r="J127" s="280" t="s">
        <v>4323</v>
      </c>
      <c r="K127" s="159" t="s">
        <v>3204</v>
      </c>
      <c r="L127" s="161" t="s">
        <v>3205</v>
      </c>
      <c r="M127" s="162">
        <v>1</v>
      </c>
      <c r="N127" s="150">
        <v>122</v>
      </c>
      <c r="O127" s="301" t="b">
        <v>0</v>
      </c>
      <c r="P127" s="302" t="b">
        <v>0</v>
      </c>
      <c r="Q127" s="170" t="b">
        <v>0</v>
      </c>
      <c r="R127" s="170" t="b">
        <v>0</v>
      </c>
      <c r="S127" s="175" t="s">
        <v>3206</v>
      </c>
      <c r="V127" s="64" t="s">
        <v>3496</v>
      </c>
      <c r="W127" s="178" t="s">
        <v>3327</v>
      </c>
    </row>
    <row r="128" spans="1:25" ht="39.6" x14ac:dyDescent="0.3">
      <c r="A128" s="157">
        <v>127</v>
      </c>
      <c r="B128" s="158" t="s">
        <v>3410</v>
      </c>
      <c r="C128" s="159" t="s">
        <v>3207</v>
      </c>
      <c r="D128" s="159" t="s">
        <v>3208</v>
      </c>
      <c r="E128" s="163" t="s">
        <v>1760</v>
      </c>
      <c r="F128" s="159" t="s">
        <v>1773</v>
      </c>
      <c r="G128" s="207" t="s">
        <v>3299</v>
      </c>
      <c r="H128" s="162" t="s">
        <v>2589</v>
      </c>
      <c r="I128" s="159" t="s">
        <v>2589</v>
      </c>
      <c r="J128" s="280" t="s">
        <v>3209</v>
      </c>
      <c r="K128" s="159" t="s">
        <v>3210</v>
      </c>
      <c r="L128" s="161" t="s">
        <v>2875</v>
      </c>
      <c r="M128" s="162">
        <v>2</v>
      </c>
      <c r="N128" s="150" t="s">
        <v>3211</v>
      </c>
      <c r="O128" s="301" t="b">
        <v>0</v>
      </c>
      <c r="P128" s="302" t="b">
        <v>0</v>
      </c>
      <c r="Q128" s="170" t="b">
        <v>0</v>
      </c>
      <c r="R128" s="170" t="b">
        <v>0</v>
      </c>
      <c r="S128" s="178" t="s">
        <v>3168</v>
      </c>
      <c r="V128" s="64" t="s">
        <v>3417</v>
      </c>
      <c r="W128" s="64" t="s">
        <v>4324</v>
      </c>
    </row>
    <row r="129" spans="1:25" ht="28.8" x14ac:dyDescent="0.3">
      <c r="A129" s="157">
        <v>128</v>
      </c>
      <c r="B129" s="158" t="s">
        <v>3410</v>
      </c>
      <c r="C129" s="159" t="s">
        <v>2129</v>
      </c>
      <c r="D129" s="159" t="s">
        <v>3212</v>
      </c>
      <c r="E129" s="163" t="s">
        <v>1760</v>
      </c>
      <c r="F129" s="159" t="s">
        <v>1773</v>
      </c>
      <c r="G129" s="207" t="s">
        <v>3299</v>
      </c>
      <c r="H129" s="162" t="s">
        <v>2533</v>
      </c>
      <c r="I129" s="150" t="s">
        <v>2533</v>
      </c>
      <c r="J129" s="280" t="s">
        <v>4323</v>
      </c>
      <c r="K129" s="159" t="s">
        <v>3213</v>
      </c>
      <c r="L129" s="161" t="s">
        <v>3214</v>
      </c>
      <c r="M129" s="162">
        <v>1</v>
      </c>
      <c r="N129" s="150">
        <v>55</v>
      </c>
      <c r="O129" s="301" t="b">
        <v>0</v>
      </c>
      <c r="P129" s="302" t="b">
        <v>0</v>
      </c>
      <c r="Q129" s="170" t="b">
        <v>0</v>
      </c>
      <c r="R129" s="170" t="b">
        <v>0</v>
      </c>
      <c r="S129" s="64" t="s">
        <v>3215</v>
      </c>
      <c r="V129" s="64" t="s">
        <v>3408</v>
      </c>
      <c r="W129" s="178" t="s">
        <v>3327</v>
      </c>
    </row>
    <row r="130" spans="1:25" s="305" customFormat="1" ht="57.6" x14ac:dyDescent="0.3">
      <c r="A130" s="157">
        <v>129</v>
      </c>
      <c r="B130" s="158" t="s">
        <v>3410</v>
      </c>
      <c r="C130" s="159" t="s">
        <v>3216</v>
      </c>
      <c r="D130" s="159" t="s">
        <v>3217</v>
      </c>
      <c r="E130" s="266" t="s">
        <v>1823</v>
      </c>
      <c r="F130" s="159" t="s">
        <v>1773</v>
      </c>
      <c r="G130" s="207" t="s">
        <v>3299</v>
      </c>
      <c r="H130" s="162" t="s">
        <v>2533</v>
      </c>
      <c r="I130" s="159" t="s">
        <v>2533</v>
      </c>
      <c r="J130" s="280" t="s">
        <v>3218</v>
      </c>
      <c r="K130" s="159" t="s">
        <v>3219</v>
      </c>
      <c r="L130" s="161" t="s">
        <v>4325</v>
      </c>
      <c r="M130" s="162">
        <v>2</v>
      </c>
      <c r="N130" s="150" t="s">
        <v>3221</v>
      </c>
      <c r="O130" s="301" t="b">
        <v>0</v>
      </c>
      <c r="P130" s="302" t="b">
        <v>0</v>
      </c>
      <c r="Q130" s="170" t="b">
        <v>0</v>
      </c>
      <c r="R130" s="170" t="b">
        <v>0</v>
      </c>
      <c r="S130" s="64" t="s">
        <v>3222</v>
      </c>
      <c r="T130" s="64"/>
      <c r="U130" s="64"/>
      <c r="V130" s="64" t="s">
        <v>3766</v>
      </c>
      <c r="W130" s="178" t="s">
        <v>3327</v>
      </c>
      <c r="X130" s="62"/>
      <c r="Y130" s="70" t="s">
        <v>4326</v>
      </c>
    </row>
    <row r="131" spans="1:25" ht="39.6" x14ac:dyDescent="0.3">
      <c r="A131" s="157">
        <v>130</v>
      </c>
      <c r="B131" s="158" t="s">
        <v>3410</v>
      </c>
      <c r="C131" s="159" t="s">
        <v>3223</v>
      </c>
      <c r="D131" s="159" t="s">
        <v>3224</v>
      </c>
      <c r="E131" s="266" t="s">
        <v>1756</v>
      </c>
      <c r="F131" s="159" t="s">
        <v>1773</v>
      </c>
      <c r="G131" s="217" t="s">
        <v>3817</v>
      </c>
      <c r="H131" s="162" t="s">
        <v>2522</v>
      </c>
      <c r="I131" s="159" t="s">
        <v>2589</v>
      </c>
      <c r="J131" s="280" t="s">
        <v>2525</v>
      </c>
      <c r="K131" s="159" t="s">
        <v>3226</v>
      </c>
      <c r="L131" s="161" t="s">
        <v>3227</v>
      </c>
      <c r="M131" s="162">
        <v>1</v>
      </c>
      <c r="N131" s="150">
        <v>56</v>
      </c>
      <c r="O131" s="301" t="b">
        <v>0</v>
      </c>
      <c r="P131" s="302" t="b">
        <v>1</v>
      </c>
      <c r="Q131" s="170" t="b">
        <v>0</v>
      </c>
      <c r="R131" s="170" t="b">
        <v>0</v>
      </c>
      <c r="S131" s="64" t="s">
        <v>3228</v>
      </c>
      <c r="V131" s="64"/>
      <c r="W131" s="64" t="s">
        <v>4327</v>
      </c>
      <c r="Y131" s="62"/>
    </row>
    <row r="132" spans="1:25" ht="66" x14ac:dyDescent="0.3">
      <c r="A132" s="157">
        <v>131</v>
      </c>
      <c r="B132" s="158" t="s">
        <v>3410</v>
      </c>
      <c r="C132" s="159" t="s">
        <v>3229</v>
      </c>
      <c r="D132" s="159" t="s">
        <v>3230</v>
      </c>
      <c r="E132" s="268" t="s">
        <v>1823</v>
      </c>
      <c r="F132" s="159" t="s">
        <v>1773</v>
      </c>
      <c r="G132" s="215" t="s">
        <v>3817</v>
      </c>
      <c r="H132" s="273" t="s">
        <v>2522</v>
      </c>
      <c r="I132" s="199" t="s">
        <v>2533</v>
      </c>
      <c r="J132" s="280" t="s">
        <v>3231</v>
      </c>
      <c r="K132" s="159" t="s">
        <v>3232</v>
      </c>
      <c r="L132" s="159" t="s">
        <v>4328</v>
      </c>
      <c r="M132" s="162">
        <v>1</v>
      </c>
      <c r="N132" s="150">
        <v>273</v>
      </c>
      <c r="O132" s="301" t="b">
        <v>0</v>
      </c>
      <c r="P132" s="302" t="b">
        <v>1</v>
      </c>
      <c r="Q132" s="170" t="b">
        <v>0</v>
      </c>
      <c r="R132" s="170" t="b">
        <v>0</v>
      </c>
      <c r="S132" s="64" t="s">
        <v>3234</v>
      </c>
      <c r="T132" s="64" t="s">
        <v>4329</v>
      </c>
      <c r="V132" s="64"/>
      <c r="W132" s="64" t="s">
        <v>4330</v>
      </c>
      <c r="Y132" s="62"/>
    </row>
    <row r="133" spans="1:25" ht="28.8" x14ac:dyDescent="0.3">
      <c r="A133" s="157">
        <v>132</v>
      </c>
      <c r="B133" s="158" t="s">
        <v>3577</v>
      </c>
      <c r="C133" s="159" t="s">
        <v>3235</v>
      </c>
      <c r="D133" s="159" t="s">
        <v>3236</v>
      </c>
      <c r="E133" s="266" t="s">
        <v>1756</v>
      </c>
      <c r="F133" s="159" t="s">
        <v>1773</v>
      </c>
      <c r="G133" s="217" t="s">
        <v>3817</v>
      </c>
      <c r="H133" s="162" t="s">
        <v>2522</v>
      </c>
      <c r="I133" s="159" t="s">
        <v>2589</v>
      </c>
      <c r="J133" s="280" t="s">
        <v>2525</v>
      </c>
      <c r="K133" s="159" t="s">
        <v>3237</v>
      </c>
      <c r="L133" s="161" t="s">
        <v>3238</v>
      </c>
      <c r="M133" s="162">
        <v>1</v>
      </c>
      <c r="N133" s="150">
        <v>74</v>
      </c>
      <c r="O133" s="301" t="b">
        <v>0</v>
      </c>
      <c r="P133" s="302" t="b">
        <v>0</v>
      </c>
      <c r="Q133" s="170" t="b">
        <v>0</v>
      </c>
      <c r="R133" s="170" t="b">
        <v>0</v>
      </c>
      <c r="S133" s="178" t="s">
        <v>3239</v>
      </c>
      <c r="T133" s="64" t="s">
        <v>1442</v>
      </c>
      <c r="V133" s="64"/>
      <c r="W133" s="64"/>
      <c r="Y133" s="62"/>
    </row>
    <row r="134" spans="1:25" ht="39.6" x14ac:dyDescent="0.3">
      <c r="A134" s="157">
        <v>133</v>
      </c>
      <c r="B134" s="158" t="s">
        <v>3577</v>
      </c>
      <c r="C134" s="159" t="s">
        <v>3240</v>
      </c>
      <c r="D134" s="159" t="s">
        <v>3241</v>
      </c>
      <c r="E134" s="266" t="s">
        <v>1756</v>
      </c>
      <c r="F134" s="159" t="s">
        <v>1773</v>
      </c>
      <c r="G134" s="221" t="s">
        <v>4074</v>
      </c>
      <c r="H134" s="274" t="s">
        <v>2917</v>
      </c>
      <c r="I134" s="159" t="s">
        <v>2523</v>
      </c>
      <c r="J134" s="280" t="s">
        <v>3242</v>
      </c>
      <c r="K134" s="159" t="s">
        <v>3243</v>
      </c>
      <c r="L134" s="161" t="s">
        <v>3238</v>
      </c>
      <c r="M134" s="162">
        <v>2</v>
      </c>
      <c r="N134" s="150" t="s">
        <v>3244</v>
      </c>
      <c r="O134" s="301" t="b">
        <v>0</v>
      </c>
      <c r="P134" s="302" t="b">
        <v>0</v>
      </c>
      <c r="Q134" s="170" t="b">
        <v>0</v>
      </c>
      <c r="R134" s="170" t="b">
        <v>0</v>
      </c>
      <c r="S134" s="64" t="s">
        <v>3245</v>
      </c>
      <c r="V134" s="64"/>
      <c r="W134" s="64"/>
      <c r="Y134" s="62"/>
    </row>
    <row r="135" spans="1:25" ht="39.6" x14ac:dyDescent="0.3">
      <c r="A135" s="157">
        <v>134</v>
      </c>
      <c r="B135" s="158" t="s">
        <v>3577</v>
      </c>
      <c r="C135" s="159" t="s">
        <v>3246</v>
      </c>
      <c r="D135" s="159" t="s">
        <v>3247</v>
      </c>
      <c r="E135" s="266" t="s">
        <v>1756</v>
      </c>
      <c r="F135" s="159" t="s">
        <v>1773</v>
      </c>
      <c r="G135" s="217" t="s">
        <v>3817</v>
      </c>
      <c r="H135" s="162" t="s">
        <v>2522</v>
      </c>
      <c r="I135" s="159" t="s">
        <v>2589</v>
      </c>
      <c r="J135" s="280" t="s">
        <v>2525</v>
      </c>
      <c r="K135" s="159" t="s">
        <v>3248</v>
      </c>
      <c r="L135" s="161" t="s">
        <v>3238</v>
      </c>
      <c r="M135" s="162">
        <v>2</v>
      </c>
      <c r="N135" s="150" t="s">
        <v>3249</v>
      </c>
      <c r="O135" s="301" t="b">
        <v>0</v>
      </c>
      <c r="P135" s="302" t="b">
        <v>0</v>
      </c>
      <c r="Q135" s="170" t="b">
        <v>0</v>
      </c>
      <c r="R135" s="170" t="b">
        <v>0</v>
      </c>
      <c r="S135" s="64" t="s">
        <v>3250</v>
      </c>
      <c r="T135" s="64" t="s">
        <v>4331</v>
      </c>
      <c r="V135" s="64"/>
      <c r="W135" s="64"/>
      <c r="Y135" s="62"/>
    </row>
    <row r="136" spans="1:25" ht="26.4" x14ac:dyDescent="0.3">
      <c r="A136" s="157">
        <v>135</v>
      </c>
      <c r="B136" s="158" t="s">
        <v>3577</v>
      </c>
      <c r="C136" s="159" t="s">
        <v>3251</v>
      </c>
      <c r="D136" s="159" t="s">
        <v>3252</v>
      </c>
      <c r="E136" s="265" t="s">
        <v>1823</v>
      </c>
      <c r="F136" s="159" t="s">
        <v>2066</v>
      </c>
      <c r="G136" s="229" t="s">
        <v>4163</v>
      </c>
      <c r="H136" s="270" t="s">
        <v>651</v>
      </c>
      <c r="I136" s="159" t="s">
        <v>2533</v>
      </c>
      <c r="J136" s="280" t="s">
        <v>2525</v>
      </c>
      <c r="K136" s="159" t="s">
        <v>3253</v>
      </c>
      <c r="L136" s="159" t="s">
        <v>3254</v>
      </c>
      <c r="M136" s="162">
        <v>1</v>
      </c>
      <c r="N136" s="150">
        <v>49</v>
      </c>
      <c r="O136" s="301" t="b">
        <v>0</v>
      </c>
      <c r="P136" s="302" t="b">
        <v>0</v>
      </c>
      <c r="Q136" s="170" t="b">
        <v>0</v>
      </c>
      <c r="R136" s="170" t="b">
        <v>0</v>
      </c>
      <c r="S136" s="178" t="s">
        <v>2635</v>
      </c>
      <c r="V136" s="64"/>
      <c r="W136" s="64"/>
      <c r="Y136" s="62"/>
    </row>
    <row r="137" spans="1:25" ht="57.6" x14ac:dyDescent="0.3">
      <c r="A137" s="296">
        <v>136</v>
      </c>
      <c r="B137" s="158" t="s">
        <v>3577</v>
      </c>
      <c r="C137" s="159" t="s">
        <v>3255</v>
      </c>
      <c r="D137" s="159" t="s">
        <v>3256</v>
      </c>
      <c r="E137" s="265" t="s">
        <v>1823</v>
      </c>
      <c r="F137" s="159" t="s">
        <v>1773</v>
      </c>
      <c r="G137" s="207" t="s">
        <v>3299</v>
      </c>
      <c r="H137" s="162" t="s">
        <v>2533</v>
      </c>
      <c r="I137" s="159" t="s">
        <v>2533</v>
      </c>
      <c r="J137" s="280" t="s">
        <v>2525</v>
      </c>
      <c r="K137" s="159" t="s">
        <v>3257</v>
      </c>
      <c r="L137" s="161" t="s">
        <v>4332</v>
      </c>
      <c r="M137" s="162">
        <v>1</v>
      </c>
      <c r="N137" s="150">
        <v>179</v>
      </c>
      <c r="O137" s="301" t="b">
        <v>0</v>
      </c>
      <c r="P137" s="302" t="b">
        <v>1</v>
      </c>
      <c r="Q137" s="170" t="b">
        <v>0</v>
      </c>
      <c r="R137" s="170" t="b">
        <v>0</v>
      </c>
      <c r="S137" s="64" t="s">
        <v>3259</v>
      </c>
      <c r="V137" s="178"/>
      <c r="W137" s="178" t="s">
        <v>4333</v>
      </c>
    </row>
    <row r="138" spans="1:25" ht="39.6" x14ac:dyDescent="0.3">
      <c r="A138" s="157">
        <v>137</v>
      </c>
      <c r="B138" s="158" t="s">
        <v>3826</v>
      </c>
      <c r="C138" s="159" t="s">
        <v>3260</v>
      </c>
      <c r="D138" s="159" t="s">
        <v>3261</v>
      </c>
      <c r="E138" s="163" t="s">
        <v>1760</v>
      </c>
      <c r="F138" s="159" t="s">
        <v>1773</v>
      </c>
      <c r="G138" s="217" t="s">
        <v>3817</v>
      </c>
      <c r="H138" s="162" t="s">
        <v>2522</v>
      </c>
      <c r="I138" s="159" t="s">
        <v>3340</v>
      </c>
      <c r="J138" s="280" t="s">
        <v>2525</v>
      </c>
      <c r="K138" s="159" t="s">
        <v>4334</v>
      </c>
      <c r="L138" s="300" t="s">
        <v>4335</v>
      </c>
      <c r="M138" s="162">
        <v>2</v>
      </c>
      <c r="N138" s="150" t="s">
        <v>3264</v>
      </c>
      <c r="O138" s="301" t="b">
        <v>0</v>
      </c>
      <c r="P138" s="302" t="b">
        <v>0</v>
      </c>
      <c r="Q138" s="170" t="b">
        <v>0</v>
      </c>
      <c r="R138" s="170" t="b">
        <v>0</v>
      </c>
      <c r="S138" s="64" t="s">
        <v>3265</v>
      </c>
      <c r="V138" s="64"/>
      <c r="W138" s="64"/>
      <c r="Y138" s="62"/>
    </row>
    <row r="139" spans="1:25" ht="132" x14ac:dyDescent="0.3">
      <c r="A139" s="157">
        <v>138</v>
      </c>
      <c r="B139" s="158" t="s">
        <v>3924</v>
      </c>
      <c r="C139" s="159" t="s">
        <v>3266</v>
      </c>
      <c r="D139" s="159" t="s">
        <v>3267</v>
      </c>
      <c r="E139" s="265" t="s">
        <v>1823</v>
      </c>
      <c r="F139" s="159" t="s">
        <v>2187</v>
      </c>
      <c r="G139" s="217" t="s">
        <v>3817</v>
      </c>
      <c r="H139" s="162" t="s">
        <v>2522</v>
      </c>
      <c r="I139" s="159" t="s">
        <v>2533</v>
      </c>
      <c r="J139" s="280" t="s">
        <v>2525</v>
      </c>
      <c r="K139" s="280" t="s">
        <v>3268</v>
      </c>
      <c r="L139" s="161" t="s">
        <v>3269</v>
      </c>
      <c r="M139" s="162">
        <v>2</v>
      </c>
      <c r="N139" s="150" t="s">
        <v>3270</v>
      </c>
      <c r="O139" s="301" t="b">
        <v>0</v>
      </c>
      <c r="P139" s="302" t="b">
        <v>1</v>
      </c>
      <c r="Q139" s="170" t="b">
        <v>0</v>
      </c>
      <c r="R139" s="170" t="b">
        <v>0</v>
      </c>
      <c r="S139" s="64" t="s">
        <v>3271</v>
      </c>
      <c r="T139" s="64" t="s">
        <v>4336</v>
      </c>
      <c r="V139" s="178" t="s">
        <v>3536</v>
      </c>
      <c r="W139" s="178" t="s">
        <v>3536</v>
      </c>
      <c r="Y139" s="62"/>
    </row>
    <row r="140" spans="1:25" ht="39.6" x14ac:dyDescent="0.3">
      <c r="A140" s="157">
        <v>139</v>
      </c>
      <c r="B140" s="158" t="s">
        <v>3924</v>
      </c>
      <c r="C140" s="159" t="s">
        <v>3272</v>
      </c>
      <c r="D140" s="159" t="s">
        <v>3273</v>
      </c>
      <c r="E140" s="268" t="s">
        <v>1823</v>
      </c>
      <c r="F140" s="159" t="s">
        <v>2086</v>
      </c>
      <c r="G140" s="224" t="s">
        <v>4110</v>
      </c>
      <c r="H140" s="273" t="s">
        <v>4112</v>
      </c>
      <c r="I140" s="199" t="s">
        <v>336</v>
      </c>
      <c r="J140" s="280" t="s">
        <v>3274</v>
      </c>
      <c r="K140" s="159" t="s">
        <v>3275</v>
      </c>
      <c r="L140" s="159" t="s">
        <v>2906</v>
      </c>
      <c r="M140" s="162">
        <v>2</v>
      </c>
      <c r="N140" s="150" t="s">
        <v>3276</v>
      </c>
      <c r="O140" s="301" t="b">
        <v>0</v>
      </c>
      <c r="P140" s="302" t="b">
        <v>0</v>
      </c>
      <c r="Q140" s="170" t="b">
        <v>0</v>
      </c>
      <c r="R140" s="170" t="b">
        <v>0</v>
      </c>
      <c r="S140" s="64" t="s">
        <v>3277</v>
      </c>
      <c r="V140" s="64"/>
      <c r="W140" s="64"/>
      <c r="Y140" s="62"/>
    </row>
    <row r="141" spans="1:25" ht="43.2" x14ac:dyDescent="0.3">
      <c r="A141" s="157">
        <v>140</v>
      </c>
      <c r="B141" s="158" t="s">
        <v>3924</v>
      </c>
      <c r="C141" s="159" t="s">
        <v>3278</v>
      </c>
      <c r="D141" s="159" t="s">
        <v>3279</v>
      </c>
      <c r="E141" s="265" t="s">
        <v>1823</v>
      </c>
      <c r="F141" s="159" t="s">
        <v>2588</v>
      </c>
      <c r="G141" s="233" t="s">
        <v>4191</v>
      </c>
      <c r="H141" s="271" t="s">
        <v>4197</v>
      </c>
      <c r="I141" s="159" t="s">
        <v>2589</v>
      </c>
      <c r="J141" s="280" t="s">
        <v>2525</v>
      </c>
      <c r="K141" s="159" t="s">
        <v>3282</v>
      </c>
      <c r="L141" s="159"/>
      <c r="M141" s="162">
        <v>1</v>
      </c>
      <c r="N141" s="150">
        <v>243</v>
      </c>
      <c r="O141" s="301" t="b">
        <v>0</v>
      </c>
      <c r="P141" s="302" t="b">
        <v>0</v>
      </c>
      <c r="Q141" s="170" t="b">
        <v>0</v>
      </c>
      <c r="R141" s="170" t="b">
        <v>0</v>
      </c>
      <c r="S141" s="64" t="s">
        <v>3283</v>
      </c>
      <c r="V141" s="64"/>
      <c r="W141" s="64"/>
      <c r="Y141" s="62"/>
    </row>
    <row r="142" spans="1:25" ht="22.8" x14ac:dyDescent="0.3">
      <c r="A142" s="63">
        <v>142</v>
      </c>
      <c r="B142" s="158" t="s">
        <v>2351</v>
      </c>
      <c r="C142" s="159" t="s">
        <v>3533</v>
      </c>
      <c r="D142" s="159" t="s">
        <v>3534</v>
      </c>
      <c r="E142" s="163" t="s">
        <v>1760</v>
      </c>
      <c r="F142" s="159" t="s">
        <v>1773</v>
      </c>
      <c r="G142" s="207" t="s">
        <v>3299</v>
      </c>
      <c r="H142" s="162" t="s">
        <v>2533</v>
      </c>
      <c r="I142" s="159" t="s">
        <v>2533</v>
      </c>
      <c r="J142" s="159"/>
      <c r="K142" s="159"/>
      <c r="L142" s="159"/>
      <c r="M142" s="159"/>
      <c r="N142" s="159"/>
      <c r="O142" s="159"/>
      <c r="P142" s="159"/>
      <c r="Q142" s="193"/>
      <c r="R142" s="193"/>
      <c r="S142" s="159"/>
      <c r="T142" s="159"/>
      <c r="U142" s="159"/>
      <c r="V142" s="64" t="s">
        <v>3449</v>
      </c>
      <c r="W142" s="178" t="s">
        <v>3327</v>
      </c>
    </row>
    <row r="143" spans="1:25" ht="28.8" x14ac:dyDescent="0.3">
      <c r="A143" s="63">
        <v>143</v>
      </c>
      <c r="B143" s="158" t="s">
        <v>3569</v>
      </c>
      <c r="C143" s="159" t="s">
        <v>3570</v>
      </c>
      <c r="D143" s="159" t="s">
        <v>3571</v>
      </c>
      <c r="E143" s="265" t="s">
        <v>1823</v>
      </c>
      <c r="F143" s="159" t="s">
        <v>1773</v>
      </c>
      <c r="G143" s="207" t="s">
        <v>3299</v>
      </c>
      <c r="H143" s="162" t="s">
        <v>2533</v>
      </c>
      <c r="I143" s="159" t="s">
        <v>2533</v>
      </c>
      <c r="J143" s="159"/>
      <c r="K143" s="159"/>
      <c r="L143" s="159"/>
      <c r="M143" s="159"/>
      <c r="N143" s="159"/>
      <c r="O143" s="159"/>
      <c r="P143" s="159"/>
      <c r="Q143" s="193"/>
      <c r="R143" s="193"/>
      <c r="S143" s="159"/>
      <c r="T143" s="159"/>
      <c r="U143" s="159"/>
      <c r="V143" s="178" t="s">
        <v>3536</v>
      </c>
      <c r="W143" s="64" t="s">
        <v>4337</v>
      </c>
      <c r="Y143" s="70" t="s">
        <v>4261</v>
      </c>
    </row>
    <row r="144" spans="1:25" x14ac:dyDescent="0.3">
      <c r="E144" s="269"/>
      <c r="G144" s="63"/>
      <c r="V144" s="64"/>
      <c r="W144" s="64"/>
    </row>
  </sheetData>
  <autoFilter ref="A1:Y143" xr:uid="{E7B138AD-3A39-4CEB-85EA-88DB3C1991F9}"/>
  <conditionalFormatting sqref="E145:E1048576">
    <cfRule type="containsText" dxfId="220" priority="417" operator="containsText" text="High">
      <formula>NOT(ISERROR(SEARCH("High",E145)))</formula>
    </cfRule>
    <cfRule type="containsText" dxfId="219" priority="414" operator="containsText" text="None">
      <formula>NOT(ISERROR(SEARCH("None",E145)))</formula>
    </cfRule>
    <cfRule type="containsText" dxfId="218" priority="418" operator="containsText" text="Urgent">
      <formula>NOT(ISERROR(SEARCH("Urgent",E145)))</formula>
    </cfRule>
    <cfRule type="containsText" dxfId="217" priority="415" operator="containsText" text="Low">
      <formula>NOT(ISERROR(SEARCH("Low",E145)))</formula>
    </cfRule>
    <cfRule type="containsText" dxfId="216" priority="416" operator="containsText" text="Medium">
      <formula>NOT(ISERROR(SEARCH("Medium",E145)))</formula>
    </cfRule>
  </conditionalFormatting>
  <conditionalFormatting sqref="H3:H5">
    <cfRule type="containsText" dxfId="215" priority="394" operator="containsText" text="To-do">
      <formula>NOT(ISERROR(SEARCH("To-do",H3)))</formula>
    </cfRule>
    <cfRule type="containsText" dxfId="214" priority="395" operator="containsText" text="Completed">
      <formula>NOT(ISERROR(SEARCH("Completed",H3)))</formula>
    </cfRule>
    <cfRule type="containsText" dxfId="213" priority="396" operator="containsText" text="Won't do">
      <formula>NOT(ISERROR(SEARCH("Won't do",H3)))</formula>
    </cfRule>
    <cfRule type="containsText" dxfId="212" priority="391" operator="containsText" text="HELP!!">
      <formula>NOT(ISERROR(SEARCH("HELP!!",H3)))</formula>
    </cfRule>
    <cfRule type="containsText" dxfId="211" priority="392" operator="containsText" text="Need Clearify">
      <formula>NOT(ISERROR(SEARCH("Need Clearify",H3)))</formula>
    </cfRule>
    <cfRule type="containsText" dxfId="210" priority="393" operator="containsText" text="On Going">
      <formula>NOT(ISERROR(SEARCH("On Going",H3)))</formula>
    </cfRule>
  </conditionalFormatting>
  <conditionalFormatting sqref="H12:H13">
    <cfRule type="containsText" dxfId="209" priority="387" operator="containsText" text="On Going">
      <formula>NOT(ISERROR(SEARCH("On Going",H12)))</formula>
    </cfRule>
    <cfRule type="containsText" dxfId="208" priority="389" operator="containsText" text="Completed">
      <formula>NOT(ISERROR(SEARCH("Completed",H12)))</formula>
    </cfRule>
    <cfRule type="containsText" dxfId="207" priority="385" operator="containsText" text="HELP!!">
      <formula>NOT(ISERROR(SEARCH("HELP!!",H12)))</formula>
    </cfRule>
    <cfRule type="containsText" dxfId="206" priority="386" operator="containsText" text="Need Clearify">
      <formula>NOT(ISERROR(SEARCH("Need Clearify",H12)))</formula>
    </cfRule>
    <cfRule type="containsText" dxfId="205" priority="388" operator="containsText" text="To-do">
      <formula>NOT(ISERROR(SEARCH("To-do",H12)))</formula>
    </cfRule>
    <cfRule type="containsText" dxfId="204" priority="390" operator="containsText" text="Won't do">
      <formula>NOT(ISERROR(SEARCH("Won't do",H12)))</formula>
    </cfRule>
  </conditionalFormatting>
  <conditionalFormatting sqref="H18">
    <cfRule type="containsText" dxfId="203" priority="379" operator="containsText" text="HELP!!">
      <formula>NOT(ISERROR(SEARCH("HELP!!",H18)))</formula>
    </cfRule>
    <cfRule type="containsText" dxfId="202" priority="380" operator="containsText" text="Need Clearify">
      <formula>NOT(ISERROR(SEARCH("Need Clearify",H18)))</formula>
    </cfRule>
    <cfRule type="containsText" dxfId="201" priority="381" operator="containsText" text="On Going">
      <formula>NOT(ISERROR(SEARCH("On Going",H18)))</formula>
    </cfRule>
    <cfRule type="containsText" dxfId="200" priority="382" operator="containsText" text="To-do">
      <formula>NOT(ISERROR(SEARCH("To-do",H18)))</formula>
    </cfRule>
    <cfRule type="containsText" dxfId="199" priority="383" operator="containsText" text="Completed">
      <formula>NOT(ISERROR(SEARCH("Completed",H18)))</formula>
    </cfRule>
    <cfRule type="containsText" dxfId="198" priority="384" operator="containsText" text="Won't do">
      <formula>NOT(ISERROR(SEARCH("Won't do",H18)))</formula>
    </cfRule>
  </conditionalFormatting>
  <conditionalFormatting sqref="H21:H26">
    <cfRule type="containsText" dxfId="197" priority="96" operator="containsText" text="Won't do">
      <formula>NOT(ISERROR(SEARCH("Won't do",H21)))</formula>
    </cfRule>
    <cfRule type="containsText" dxfId="196" priority="94" operator="containsText" text="To-do">
      <formula>NOT(ISERROR(SEARCH("To-do",H21)))</formula>
    </cfRule>
    <cfRule type="containsText" dxfId="195" priority="93" operator="containsText" text="On Going">
      <formula>NOT(ISERROR(SEARCH("On Going",H21)))</formula>
    </cfRule>
    <cfRule type="containsText" dxfId="194" priority="92" operator="containsText" text="Need Clearify">
      <formula>NOT(ISERROR(SEARCH("Need Clearify",H21)))</formula>
    </cfRule>
    <cfRule type="containsText" dxfId="193" priority="91" operator="containsText" text="HELP!!">
      <formula>NOT(ISERROR(SEARCH("HELP!!",H21)))</formula>
    </cfRule>
    <cfRule type="containsText" dxfId="192" priority="95" operator="containsText" text="Completed">
      <formula>NOT(ISERROR(SEARCH("Completed",H21)))</formula>
    </cfRule>
  </conditionalFormatting>
  <conditionalFormatting sqref="H28:H29">
    <cfRule type="containsText" dxfId="191" priority="55" operator="containsText" text="HELP!!">
      <formula>NOT(ISERROR(SEARCH("HELP!!",H28)))</formula>
    </cfRule>
    <cfRule type="containsText" dxfId="190" priority="56" operator="containsText" text="Need Clearify">
      <formula>NOT(ISERROR(SEARCH("Need Clearify",H28)))</formula>
    </cfRule>
    <cfRule type="containsText" dxfId="189" priority="57" operator="containsText" text="On Going">
      <formula>NOT(ISERROR(SEARCH("On Going",H28)))</formula>
    </cfRule>
    <cfRule type="containsText" dxfId="188" priority="58" operator="containsText" text="To-do">
      <formula>NOT(ISERROR(SEARCH("To-do",H28)))</formula>
    </cfRule>
    <cfRule type="containsText" dxfId="187" priority="59" operator="containsText" text="Completed">
      <formula>NOT(ISERROR(SEARCH("Completed",H28)))</formula>
    </cfRule>
    <cfRule type="containsText" dxfId="186" priority="60" operator="containsText" text="Won't do">
      <formula>NOT(ISERROR(SEARCH("Won't do",H28)))</formula>
    </cfRule>
  </conditionalFormatting>
  <conditionalFormatting sqref="H32:H39">
    <cfRule type="containsText" dxfId="185" priority="30" operator="containsText" text="Won't do">
      <formula>NOT(ISERROR(SEARCH("Won't do",H32)))</formula>
    </cfRule>
    <cfRule type="containsText" dxfId="184" priority="26" operator="containsText" text="Need Clearify">
      <formula>NOT(ISERROR(SEARCH("Need Clearify",H32)))</formula>
    </cfRule>
    <cfRule type="containsText" dxfId="183" priority="25" operator="containsText" text="HELP!!">
      <formula>NOT(ISERROR(SEARCH("HELP!!",H32)))</formula>
    </cfRule>
    <cfRule type="containsText" dxfId="182" priority="28" operator="containsText" text="To-do">
      <formula>NOT(ISERROR(SEARCH("To-do",H32)))</formula>
    </cfRule>
    <cfRule type="containsText" dxfId="181" priority="29" operator="containsText" text="Completed">
      <formula>NOT(ISERROR(SEARCH("Completed",H32)))</formula>
    </cfRule>
    <cfRule type="containsText" dxfId="180" priority="27" operator="containsText" text="On Going">
      <formula>NOT(ISERROR(SEARCH("On Going",H32)))</formula>
    </cfRule>
  </conditionalFormatting>
  <conditionalFormatting sqref="H43:H49">
    <cfRule type="containsText" dxfId="179" priority="172" operator="containsText" text="To-do">
      <formula>NOT(ISERROR(SEARCH("To-do",H43)))</formula>
    </cfRule>
    <cfRule type="containsText" dxfId="178" priority="171" operator="containsText" text="On Going">
      <formula>NOT(ISERROR(SEARCH("On Going",H43)))</formula>
    </cfRule>
    <cfRule type="containsText" dxfId="177" priority="170" operator="containsText" text="Need Clearify">
      <formula>NOT(ISERROR(SEARCH("Need Clearify",H43)))</formula>
    </cfRule>
    <cfRule type="containsText" dxfId="176" priority="169" operator="containsText" text="HELP!!">
      <formula>NOT(ISERROR(SEARCH("HELP!!",H43)))</formula>
    </cfRule>
    <cfRule type="containsText" dxfId="175" priority="174" operator="containsText" text="Won't do">
      <formula>NOT(ISERROR(SEARCH("Won't do",H43)))</formula>
    </cfRule>
    <cfRule type="containsText" dxfId="174" priority="173" operator="containsText" text="Completed">
      <formula>NOT(ISERROR(SEARCH("Completed",H43)))</formula>
    </cfRule>
  </conditionalFormatting>
  <conditionalFormatting sqref="H52">
    <cfRule type="containsText" dxfId="173" priority="320" operator="containsText" text="Need Clearify">
      <formula>NOT(ISERROR(SEARCH("Need Clearify",H52)))</formula>
    </cfRule>
    <cfRule type="containsText" dxfId="172" priority="324" operator="containsText" text="Won't do">
      <formula>NOT(ISERROR(SEARCH("Won't do",H52)))</formula>
    </cfRule>
    <cfRule type="containsText" dxfId="171" priority="323" operator="containsText" text="Completed">
      <formula>NOT(ISERROR(SEARCH("Completed",H52)))</formula>
    </cfRule>
    <cfRule type="containsText" dxfId="170" priority="322" operator="containsText" text="To-do">
      <formula>NOT(ISERROR(SEARCH("To-do",H52)))</formula>
    </cfRule>
    <cfRule type="containsText" dxfId="169" priority="319" operator="containsText" text="HELP!!">
      <formula>NOT(ISERROR(SEARCH("HELP!!",H52)))</formula>
    </cfRule>
    <cfRule type="containsText" dxfId="168" priority="321" operator="containsText" text="On Going">
      <formula>NOT(ISERROR(SEARCH("On Going",H52)))</formula>
    </cfRule>
  </conditionalFormatting>
  <conditionalFormatting sqref="H55">
    <cfRule type="containsText" dxfId="167" priority="314" operator="containsText" text="Need Clearify">
      <formula>NOT(ISERROR(SEARCH("Need Clearify",H55)))</formula>
    </cfRule>
    <cfRule type="containsText" dxfId="166" priority="318" operator="containsText" text="Won't do">
      <formula>NOT(ISERROR(SEARCH("Won't do",H55)))</formula>
    </cfRule>
    <cfRule type="containsText" dxfId="165" priority="317" operator="containsText" text="Completed">
      <formula>NOT(ISERROR(SEARCH("Completed",H55)))</formula>
    </cfRule>
    <cfRule type="containsText" dxfId="164" priority="316" operator="containsText" text="To-do">
      <formula>NOT(ISERROR(SEARCH("To-do",H55)))</formula>
    </cfRule>
    <cfRule type="containsText" dxfId="163" priority="315" operator="containsText" text="On Going">
      <formula>NOT(ISERROR(SEARCH("On Going",H55)))</formula>
    </cfRule>
    <cfRule type="containsText" dxfId="162" priority="313" operator="containsText" text="HELP!!">
      <formula>NOT(ISERROR(SEARCH("HELP!!",H55)))</formula>
    </cfRule>
  </conditionalFormatting>
  <conditionalFormatting sqref="H57">
    <cfRule type="containsText" dxfId="161" priority="50" operator="containsText" text="Need Clearify">
      <formula>NOT(ISERROR(SEARCH("Need Clearify",H57)))</formula>
    </cfRule>
    <cfRule type="containsText" dxfId="160" priority="51" operator="containsText" text="On Going">
      <formula>NOT(ISERROR(SEARCH("On Going",H57)))</formula>
    </cfRule>
    <cfRule type="containsText" dxfId="159" priority="52" operator="containsText" text="To-do">
      <formula>NOT(ISERROR(SEARCH("To-do",H57)))</formula>
    </cfRule>
    <cfRule type="containsText" dxfId="158" priority="53" operator="containsText" text="Completed">
      <formula>NOT(ISERROR(SEARCH("Completed",H57)))</formula>
    </cfRule>
    <cfRule type="containsText" dxfId="157" priority="54" operator="containsText" text="Won't do">
      <formula>NOT(ISERROR(SEARCH("Won't do",H57)))</formula>
    </cfRule>
    <cfRule type="containsText" dxfId="156" priority="49" operator="containsText" text="HELP!!">
      <formula>NOT(ISERROR(SEARCH("HELP!!",H57)))</formula>
    </cfRule>
  </conditionalFormatting>
  <conditionalFormatting sqref="H59:H62">
    <cfRule type="containsText" dxfId="155" priority="48" operator="containsText" text="Won't do">
      <formula>NOT(ISERROR(SEARCH("Won't do",H59)))</formula>
    </cfRule>
    <cfRule type="containsText" dxfId="154" priority="47" operator="containsText" text="Completed">
      <formula>NOT(ISERROR(SEARCH("Completed",H59)))</formula>
    </cfRule>
    <cfRule type="containsText" dxfId="153" priority="46" operator="containsText" text="To-do">
      <formula>NOT(ISERROR(SEARCH("To-do",H59)))</formula>
    </cfRule>
    <cfRule type="containsText" dxfId="152" priority="45" operator="containsText" text="On Going">
      <formula>NOT(ISERROR(SEARCH("On Going",H59)))</formula>
    </cfRule>
    <cfRule type="containsText" dxfId="151" priority="44" operator="containsText" text="Need Clearify">
      <formula>NOT(ISERROR(SEARCH("Need Clearify",H59)))</formula>
    </cfRule>
    <cfRule type="containsText" dxfId="150" priority="43" operator="containsText" text="HELP!!">
      <formula>NOT(ISERROR(SEARCH("HELP!!",H59)))</formula>
    </cfRule>
  </conditionalFormatting>
  <conditionalFormatting sqref="H66">
    <cfRule type="containsText" dxfId="149" priority="67" operator="containsText" text="HELP!!">
      <formula>NOT(ISERROR(SEARCH("HELP!!",H66)))</formula>
    </cfRule>
    <cfRule type="containsText" dxfId="148" priority="68" operator="containsText" text="Need Clearify">
      <formula>NOT(ISERROR(SEARCH("Need Clearify",H66)))</formula>
    </cfRule>
    <cfRule type="containsText" dxfId="147" priority="72" operator="containsText" text="Won't do">
      <formula>NOT(ISERROR(SEARCH("Won't do",H66)))</formula>
    </cfRule>
    <cfRule type="containsText" dxfId="146" priority="71" operator="containsText" text="Completed">
      <formula>NOT(ISERROR(SEARCH("Completed",H66)))</formula>
    </cfRule>
    <cfRule type="containsText" dxfId="145" priority="70" operator="containsText" text="To-do">
      <formula>NOT(ISERROR(SEARCH("To-do",H66)))</formula>
    </cfRule>
    <cfRule type="containsText" dxfId="144" priority="69" operator="containsText" text="On Going">
      <formula>NOT(ISERROR(SEARCH("On Going",H66)))</formula>
    </cfRule>
  </conditionalFormatting>
  <conditionalFormatting sqref="H69:H70">
    <cfRule type="containsText" dxfId="143" priority="149" operator="containsText" text="Completed">
      <formula>NOT(ISERROR(SEARCH("Completed",H69)))</formula>
    </cfRule>
    <cfRule type="containsText" dxfId="142" priority="150" operator="containsText" text="Won't do">
      <formula>NOT(ISERROR(SEARCH("Won't do",H69)))</formula>
    </cfRule>
    <cfRule type="containsText" dxfId="141" priority="145" operator="containsText" text="HELP!!">
      <formula>NOT(ISERROR(SEARCH("HELP!!",H69)))</formula>
    </cfRule>
    <cfRule type="containsText" dxfId="140" priority="146" operator="containsText" text="Need Clearify">
      <formula>NOT(ISERROR(SEARCH("Need Clearify",H69)))</formula>
    </cfRule>
    <cfRule type="containsText" dxfId="139" priority="147" operator="containsText" text="On Going">
      <formula>NOT(ISERROR(SEARCH("On Going",H69)))</formula>
    </cfRule>
    <cfRule type="containsText" dxfId="138" priority="148" operator="containsText" text="To-do">
      <formula>NOT(ISERROR(SEARCH("To-do",H69)))</formula>
    </cfRule>
  </conditionalFormatting>
  <conditionalFormatting sqref="H80">
    <cfRule type="containsText" dxfId="137" priority="306" operator="containsText" text="Won't do">
      <formula>NOT(ISERROR(SEARCH("Won't do",H80)))</formula>
    </cfRule>
    <cfRule type="containsText" dxfId="136" priority="304" operator="containsText" text="To-do">
      <formula>NOT(ISERROR(SEARCH("To-do",H80)))</formula>
    </cfRule>
    <cfRule type="containsText" dxfId="135" priority="305" operator="containsText" text="Completed">
      <formula>NOT(ISERROR(SEARCH("Completed",H80)))</formula>
    </cfRule>
    <cfRule type="containsText" dxfId="134" priority="303" operator="containsText" text="On Going">
      <formula>NOT(ISERROR(SEARCH("On Going",H80)))</formula>
    </cfRule>
    <cfRule type="containsText" dxfId="133" priority="301" operator="containsText" text="HELP!!">
      <formula>NOT(ISERROR(SEARCH("HELP!!",H80)))</formula>
    </cfRule>
    <cfRule type="containsText" dxfId="132" priority="302" operator="containsText" text="Need Clearify">
      <formula>NOT(ISERROR(SEARCH("Need Clearify",H80)))</formula>
    </cfRule>
  </conditionalFormatting>
  <conditionalFormatting sqref="H82">
    <cfRule type="containsText" dxfId="131" priority="84" operator="containsText" text="Won't do">
      <formula>NOT(ISERROR(SEARCH("Won't do",H82)))</formula>
    </cfRule>
    <cfRule type="containsText" dxfId="130" priority="79" operator="containsText" text="HELP!!">
      <formula>NOT(ISERROR(SEARCH("HELP!!",H82)))</formula>
    </cfRule>
    <cfRule type="containsText" dxfId="129" priority="80" operator="containsText" text="Need Clearify">
      <formula>NOT(ISERROR(SEARCH("Need Clearify",H82)))</formula>
    </cfRule>
    <cfRule type="containsText" dxfId="128" priority="81" operator="containsText" text="On Going">
      <formula>NOT(ISERROR(SEARCH("On Going",H82)))</formula>
    </cfRule>
    <cfRule type="containsText" dxfId="127" priority="82" operator="containsText" text="To-do">
      <formula>NOT(ISERROR(SEARCH("To-do",H82)))</formula>
    </cfRule>
    <cfRule type="containsText" dxfId="126" priority="83" operator="containsText" text="Completed">
      <formula>NOT(ISERROR(SEARCH("Completed",H82)))</formula>
    </cfRule>
  </conditionalFormatting>
  <conditionalFormatting sqref="H84:H85">
    <cfRule type="containsText" dxfId="125" priority="296" operator="containsText" text="Need Clearify">
      <formula>NOT(ISERROR(SEARCH("Need Clearify",H84)))</formula>
    </cfRule>
    <cfRule type="containsText" dxfId="124" priority="298" operator="containsText" text="To-do">
      <formula>NOT(ISERROR(SEARCH("To-do",H84)))</formula>
    </cfRule>
    <cfRule type="containsText" dxfId="123" priority="300" operator="containsText" text="Won't do">
      <formula>NOT(ISERROR(SEARCH("Won't do",H84)))</formula>
    </cfRule>
    <cfRule type="containsText" dxfId="122" priority="299" operator="containsText" text="Completed">
      <formula>NOT(ISERROR(SEARCH("Completed",H84)))</formula>
    </cfRule>
    <cfRule type="containsText" dxfId="121" priority="297" operator="containsText" text="On Going">
      <formula>NOT(ISERROR(SEARCH("On Going",H84)))</formula>
    </cfRule>
    <cfRule type="containsText" dxfId="120" priority="295" operator="containsText" text="HELP!!">
      <formula>NOT(ISERROR(SEARCH("HELP!!",H84)))</formula>
    </cfRule>
  </conditionalFormatting>
  <conditionalFormatting sqref="H87:H90">
    <cfRule type="containsText" dxfId="119" priority="38" operator="containsText" text="Need Clearify">
      <formula>NOT(ISERROR(SEARCH("Need Clearify",H87)))</formula>
    </cfRule>
    <cfRule type="containsText" dxfId="118" priority="37" operator="containsText" text="HELP!!">
      <formula>NOT(ISERROR(SEARCH("HELP!!",H87)))</formula>
    </cfRule>
    <cfRule type="containsText" dxfId="117" priority="40" operator="containsText" text="To-do">
      <formula>NOT(ISERROR(SEARCH("To-do",H87)))</formula>
    </cfRule>
    <cfRule type="containsText" dxfId="116" priority="39" operator="containsText" text="On Going">
      <formula>NOT(ISERROR(SEARCH("On Going",H87)))</formula>
    </cfRule>
    <cfRule type="containsText" dxfId="115" priority="42" operator="containsText" text="Won't do">
      <formula>NOT(ISERROR(SEARCH("Won't do",H87)))</formula>
    </cfRule>
    <cfRule type="containsText" dxfId="114" priority="41" operator="containsText" text="Completed">
      <formula>NOT(ISERROR(SEARCH("Completed",H87)))</formula>
    </cfRule>
  </conditionalFormatting>
  <conditionalFormatting sqref="H92">
    <cfRule type="containsText" dxfId="113" priority="282" operator="containsText" text="Won't do">
      <formula>NOT(ISERROR(SEARCH("Won't do",H92)))</formula>
    </cfRule>
    <cfRule type="containsText" dxfId="112" priority="278" operator="containsText" text="Need Clearify">
      <formula>NOT(ISERROR(SEARCH("Need Clearify",H92)))</formula>
    </cfRule>
    <cfRule type="containsText" dxfId="111" priority="279" operator="containsText" text="On Going">
      <formula>NOT(ISERROR(SEARCH("On Going",H92)))</formula>
    </cfRule>
    <cfRule type="containsText" dxfId="110" priority="280" operator="containsText" text="To-do">
      <formula>NOT(ISERROR(SEARCH("To-do",H92)))</formula>
    </cfRule>
    <cfRule type="containsText" dxfId="109" priority="281" operator="containsText" text="Completed">
      <formula>NOT(ISERROR(SEARCH("Completed",H92)))</formula>
    </cfRule>
    <cfRule type="containsText" dxfId="108" priority="277" operator="containsText" text="HELP!!">
      <formula>NOT(ISERROR(SEARCH("HELP!!",H92)))</formula>
    </cfRule>
  </conditionalFormatting>
  <conditionalFormatting sqref="H94:H95">
    <cfRule type="containsText" dxfId="107" priority="155" operator="containsText" text="Completed">
      <formula>NOT(ISERROR(SEARCH("Completed",H94)))</formula>
    </cfRule>
    <cfRule type="containsText" dxfId="106" priority="154" operator="containsText" text="To-do">
      <formula>NOT(ISERROR(SEARCH("To-do",H94)))</formula>
    </cfRule>
    <cfRule type="containsText" dxfId="105" priority="156" operator="containsText" text="Won't do">
      <formula>NOT(ISERROR(SEARCH("Won't do",H94)))</formula>
    </cfRule>
    <cfRule type="containsText" dxfId="104" priority="151" operator="containsText" text="HELP!!">
      <formula>NOT(ISERROR(SEARCH("HELP!!",H94)))</formula>
    </cfRule>
    <cfRule type="containsText" dxfId="103" priority="152" operator="containsText" text="Need Clearify">
      <formula>NOT(ISERROR(SEARCH("Need Clearify",H94)))</formula>
    </cfRule>
    <cfRule type="containsText" dxfId="102" priority="153" operator="containsText" text="On Going">
      <formula>NOT(ISERROR(SEARCH("On Going",H94)))</formula>
    </cfRule>
  </conditionalFormatting>
  <conditionalFormatting sqref="H97">
    <cfRule type="containsText" dxfId="101" priority="268" operator="containsText" text="To-do">
      <formula>NOT(ISERROR(SEARCH("To-do",H97)))</formula>
    </cfRule>
    <cfRule type="containsText" dxfId="100" priority="267" operator="containsText" text="On Going">
      <formula>NOT(ISERROR(SEARCH("On Going",H97)))</formula>
    </cfRule>
    <cfRule type="containsText" dxfId="99" priority="265" operator="containsText" text="HELP!!">
      <formula>NOT(ISERROR(SEARCH("HELP!!",H97)))</formula>
    </cfRule>
    <cfRule type="containsText" dxfId="98" priority="266" operator="containsText" text="Need Clearify">
      <formula>NOT(ISERROR(SEARCH("Need Clearify",H97)))</formula>
    </cfRule>
    <cfRule type="containsText" dxfId="97" priority="270" operator="containsText" text="Won't do">
      <formula>NOT(ISERROR(SEARCH("Won't do",H97)))</formula>
    </cfRule>
    <cfRule type="containsText" dxfId="96" priority="269" operator="containsText" text="Completed">
      <formula>NOT(ISERROR(SEARCH("Completed",H97)))</formula>
    </cfRule>
  </conditionalFormatting>
  <conditionalFormatting sqref="H101">
    <cfRule type="containsText" dxfId="95" priority="1" operator="containsText" text="HELP!!">
      <formula>NOT(ISERROR(SEARCH("HELP!!",H101)))</formula>
    </cfRule>
    <cfRule type="containsText" dxfId="94" priority="2" operator="containsText" text="Need Clearify">
      <formula>NOT(ISERROR(SEARCH("Need Clearify",H101)))</formula>
    </cfRule>
    <cfRule type="containsText" dxfId="93" priority="3" operator="containsText" text="On Going">
      <formula>NOT(ISERROR(SEARCH("On Going",H101)))</formula>
    </cfRule>
    <cfRule type="containsText" dxfId="92" priority="4" operator="containsText" text="To-do">
      <formula>NOT(ISERROR(SEARCH("To-do",H101)))</formula>
    </cfRule>
    <cfRule type="containsText" dxfId="91" priority="5" operator="containsText" text="Completed">
      <formula>NOT(ISERROR(SEARCH("Completed",H101)))</formula>
    </cfRule>
    <cfRule type="containsText" dxfId="90" priority="6" operator="containsText" text="Won't do">
      <formula>NOT(ISERROR(SEARCH("Won't do",H101)))</formula>
    </cfRule>
  </conditionalFormatting>
  <conditionalFormatting sqref="H103:H104">
    <cfRule type="containsText" dxfId="89" priority="66" operator="containsText" text="Won't do">
      <formula>NOT(ISERROR(SEARCH("Won't do",H103)))</formula>
    </cfRule>
    <cfRule type="containsText" dxfId="88" priority="61" operator="containsText" text="HELP!!">
      <formula>NOT(ISERROR(SEARCH("HELP!!",H103)))</formula>
    </cfRule>
    <cfRule type="containsText" dxfId="87" priority="62" operator="containsText" text="Need Clearify">
      <formula>NOT(ISERROR(SEARCH("Need Clearify",H103)))</formula>
    </cfRule>
    <cfRule type="containsText" dxfId="86" priority="63" operator="containsText" text="On Going">
      <formula>NOT(ISERROR(SEARCH("On Going",H103)))</formula>
    </cfRule>
    <cfRule type="containsText" dxfId="85" priority="64" operator="containsText" text="To-do">
      <formula>NOT(ISERROR(SEARCH("To-do",H103)))</formula>
    </cfRule>
    <cfRule type="containsText" dxfId="84" priority="65" operator="containsText" text="Completed">
      <formula>NOT(ISERROR(SEARCH("Completed",H103)))</formula>
    </cfRule>
  </conditionalFormatting>
  <conditionalFormatting sqref="H108">
    <cfRule type="containsText" dxfId="83" priority="133" operator="containsText" text="HELP!!">
      <formula>NOT(ISERROR(SEARCH("HELP!!",H108)))</formula>
    </cfRule>
    <cfRule type="containsText" dxfId="82" priority="138" operator="containsText" text="Won't do">
      <formula>NOT(ISERROR(SEARCH("Won't do",H108)))</formula>
    </cfRule>
    <cfRule type="containsText" dxfId="81" priority="137" operator="containsText" text="Completed">
      <formula>NOT(ISERROR(SEARCH("Completed",H108)))</formula>
    </cfRule>
    <cfRule type="containsText" dxfId="80" priority="136" operator="containsText" text="To-do">
      <formula>NOT(ISERROR(SEARCH("To-do",H108)))</formula>
    </cfRule>
    <cfRule type="containsText" dxfId="79" priority="135" operator="containsText" text="On Going">
      <formula>NOT(ISERROR(SEARCH("On Going",H108)))</formula>
    </cfRule>
    <cfRule type="containsText" dxfId="78" priority="134" operator="containsText" text="Need Clearify">
      <formula>NOT(ISERROR(SEARCH("Need Clearify",H108)))</formula>
    </cfRule>
  </conditionalFormatting>
  <conditionalFormatting sqref="H110:H114">
    <cfRule type="containsText" dxfId="77" priority="12" operator="containsText" text="Won't do">
      <formula>NOT(ISERROR(SEARCH("Won't do",H110)))</formula>
    </cfRule>
    <cfRule type="containsText" dxfId="76" priority="11" operator="containsText" text="Completed">
      <formula>NOT(ISERROR(SEARCH("Completed",H110)))</formula>
    </cfRule>
    <cfRule type="containsText" dxfId="75" priority="10" operator="containsText" text="To-do">
      <formula>NOT(ISERROR(SEARCH("To-do",H110)))</formula>
    </cfRule>
    <cfRule type="containsText" dxfId="74" priority="9" operator="containsText" text="On Going">
      <formula>NOT(ISERROR(SEARCH("On Going",H110)))</formula>
    </cfRule>
    <cfRule type="containsText" dxfId="73" priority="8" operator="containsText" text="Need Clearify">
      <formula>NOT(ISERROR(SEARCH("Need Clearify",H110)))</formula>
    </cfRule>
    <cfRule type="containsText" dxfId="72" priority="7" operator="containsText" text="HELP!!">
      <formula>NOT(ISERROR(SEARCH("HELP!!",H110)))</formula>
    </cfRule>
  </conditionalFormatting>
  <conditionalFormatting sqref="H120:H121">
    <cfRule type="containsText" dxfId="71" priority="248" operator="containsText" text="Need Clearify">
      <formula>NOT(ISERROR(SEARCH("Need Clearify",H120)))</formula>
    </cfRule>
    <cfRule type="containsText" dxfId="70" priority="247" operator="containsText" text="HELP!!">
      <formula>NOT(ISERROR(SEARCH("HELP!!",H120)))</formula>
    </cfRule>
    <cfRule type="containsText" dxfId="69" priority="249" operator="containsText" text="On Going">
      <formula>NOT(ISERROR(SEARCH("On Going",H120)))</formula>
    </cfRule>
    <cfRule type="containsText" dxfId="68" priority="250" operator="containsText" text="To-do">
      <formula>NOT(ISERROR(SEARCH("To-do",H120)))</formula>
    </cfRule>
    <cfRule type="containsText" dxfId="67" priority="251" operator="containsText" text="Completed">
      <formula>NOT(ISERROR(SEARCH("Completed",H120)))</formula>
    </cfRule>
    <cfRule type="containsText" dxfId="66" priority="252" operator="containsText" text="Won't do">
      <formula>NOT(ISERROR(SEARCH("Won't do",H120)))</formula>
    </cfRule>
  </conditionalFormatting>
  <conditionalFormatting sqref="H125">
    <cfRule type="containsText" dxfId="65" priority="14" operator="containsText" text="Need Clearify">
      <formula>NOT(ISERROR(SEARCH("Need Clearify",H125)))</formula>
    </cfRule>
    <cfRule type="containsText" dxfId="64" priority="13" operator="containsText" text="HELP!!">
      <formula>NOT(ISERROR(SEARCH("HELP!!",H125)))</formula>
    </cfRule>
    <cfRule type="containsText" dxfId="63" priority="18" operator="containsText" text="Won't do">
      <formula>NOT(ISERROR(SEARCH("Won't do",H125)))</formula>
    </cfRule>
    <cfRule type="containsText" dxfId="62" priority="15" operator="containsText" text="On Going">
      <formula>NOT(ISERROR(SEARCH("On Going",H125)))</formula>
    </cfRule>
    <cfRule type="containsText" dxfId="61" priority="16" operator="containsText" text="To-do">
      <formula>NOT(ISERROR(SEARCH("To-do",H125)))</formula>
    </cfRule>
    <cfRule type="containsText" dxfId="60" priority="17" operator="containsText" text="Completed">
      <formula>NOT(ISERROR(SEARCH("Completed",H125)))</formula>
    </cfRule>
  </conditionalFormatting>
  <conditionalFormatting sqref="H127">
    <cfRule type="containsText" dxfId="59" priority="125" operator="containsText" text="Completed">
      <formula>NOT(ISERROR(SEARCH("Completed",H127)))</formula>
    </cfRule>
    <cfRule type="containsText" dxfId="58" priority="124" operator="containsText" text="To-do">
      <formula>NOT(ISERROR(SEARCH("To-do",H127)))</formula>
    </cfRule>
    <cfRule type="containsText" dxfId="57" priority="123" operator="containsText" text="On Going">
      <formula>NOT(ISERROR(SEARCH("On Going",H127)))</formula>
    </cfRule>
    <cfRule type="containsText" dxfId="56" priority="122" operator="containsText" text="Need Clearify">
      <formula>NOT(ISERROR(SEARCH("Need Clearify",H127)))</formula>
    </cfRule>
    <cfRule type="containsText" dxfId="55" priority="121" operator="containsText" text="HELP!!">
      <formula>NOT(ISERROR(SEARCH("HELP!!",H127)))</formula>
    </cfRule>
    <cfRule type="containsText" dxfId="54" priority="126" operator="containsText" text="Won't do">
      <formula>NOT(ISERROR(SEARCH("Won't do",H127)))</formula>
    </cfRule>
  </conditionalFormatting>
  <conditionalFormatting sqref="H129:H130">
    <cfRule type="containsText" dxfId="53" priority="109" operator="containsText" text="HELP!!">
      <formula>NOT(ISERROR(SEARCH("HELP!!",H129)))</formula>
    </cfRule>
    <cfRule type="containsText" dxfId="52" priority="114" operator="containsText" text="Won't do">
      <formula>NOT(ISERROR(SEARCH("Won't do",H129)))</formula>
    </cfRule>
    <cfRule type="containsText" dxfId="51" priority="113" operator="containsText" text="Completed">
      <formula>NOT(ISERROR(SEARCH("Completed",H129)))</formula>
    </cfRule>
    <cfRule type="containsText" dxfId="50" priority="112" operator="containsText" text="To-do">
      <formula>NOT(ISERROR(SEARCH("To-do",H129)))</formula>
    </cfRule>
    <cfRule type="containsText" dxfId="49" priority="111" operator="containsText" text="On Going">
      <formula>NOT(ISERROR(SEARCH("On Going",H129)))</formula>
    </cfRule>
    <cfRule type="containsText" dxfId="48" priority="110" operator="containsText" text="Need Clearify">
      <formula>NOT(ISERROR(SEARCH("Need Clearify",H129)))</formula>
    </cfRule>
  </conditionalFormatting>
  <conditionalFormatting sqref="H137">
    <cfRule type="containsText" dxfId="47" priority="75" operator="containsText" text="On Going">
      <formula>NOT(ISERROR(SEARCH("On Going",H137)))</formula>
    </cfRule>
    <cfRule type="containsText" dxfId="46" priority="74" operator="containsText" text="Need Clearify">
      <formula>NOT(ISERROR(SEARCH("Need Clearify",H137)))</formula>
    </cfRule>
    <cfRule type="containsText" dxfId="45" priority="73" operator="containsText" text="HELP!!">
      <formula>NOT(ISERROR(SEARCH("HELP!!",H137)))</formula>
    </cfRule>
    <cfRule type="containsText" dxfId="44" priority="78" operator="containsText" text="Won't do">
      <formula>NOT(ISERROR(SEARCH("Won't do",H137)))</formula>
    </cfRule>
    <cfRule type="containsText" dxfId="43" priority="77" operator="containsText" text="Completed">
      <formula>NOT(ISERROR(SEARCH("Completed",H137)))</formula>
    </cfRule>
    <cfRule type="containsText" dxfId="42" priority="76" operator="containsText" text="To-do">
      <formula>NOT(ISERROR(SEARCH("To-do",H137)))</formula>
    </cfRule>
  </conditionalFormatting>
  <conditionalFormatting sqref="H142:H143">
    <cfRule type="containsText" dxfId="41" priority="234" operator="containsText" text="Won't do">
      <formula>NOT(ISERROR(SEARCH("Won't do",H142)))</formula>
    </cfRule>
    <cfRule type="containsText" dxfId="40" priority="233" operator="containsText" text="Completed">
      <formula>NOT(ISERROR(SEARCH("Completed",H142)))</formula>
    </cfRule>
    <cfRule type="containsText" dxfId="39" priority="232" operator="containsText" text="To-do">
      <formula>NOT(ISERROR(SEARCH("To-do",H142)))</formula>
    </cfRule>
    <cfRule type="containsText" dxfId="38" priority="229" operator="containsText" text="HELP!!">
      <formula>NOT(ISERROR(SEARCH("HELP!!",H142)))</formula>
    </cfRule>
    <cfRule type="containsText" dxfId="37" priority="230" operator="containsText" text="Need Clearify">
      <formula>NOT(ISERROR(SEARCH("Need Clearify",H142)))</formula>
    </cfRule>
    <cfRule type="containsText" dxfId="36" priority="231" operator="containsText" text="On Going">
      <formula>NOT(ISERROR(SEARCH("On Going",H142)))</formula>
    </cfRule>
  </conditionalFormatting>
  <conditionalFormatting sqref="H20:I20">
    <cfRule type="containsText" dxfId="35" priority="217" operator="containsText" text="HELP!!">
      <formula>NOT(ISERROR(SEARCH("HELP!!",H20)))</formula>
    </cfRule>
    <cfRule type="containsText" dxfId="34" priority="218" operator="containsText" text="Need Clearify">
      <formula>NOT(ISERROR(SEARCH("Need Clearify",H20)))</formula>
    </cfRule>
    <cfRule type="containsText" dxfId="33" priority="219" operator="containsText" text="On Going">
      <formula>NOT(ISERROR(SEARCH("On Going",H20)))</formula>
    </cfRule>
    <cfRule type="containsText" dxfId="32" priority="220" operator="containsText" text="To-do">
      <formula>NOT(ISERROR(SEARCH("To-do",H20)))</formula>
    </cfRule>
    <cfRule type="containsText" dxfId="31" priority="221" operator="containsText" text="Completed">
      <formula>NOT(ISERROR(SEARCH("Completed",H20)))</formula>
    </cfRule>
    <cfRule type="containsText" dxfId="30" priority="222" operator="containsText" text="Won't do">
      <formula>NOT(ISERROR(SEARCH("Won't do",H20)))</formula>
    </cfRule>
  </conditionalFormatting>
  <conditionalFormatting sqref="H128:I128">
    <cfRule type="containsText" dxfId="29" priority="243" operator="containsText" text="On Going">
      <formula>NOT(ISERROR(SEARCH("On Going",H128)))</formula>
    </cfRule>
    <cfRule type="containsText" dxfId="28" priority="242" operator="containsText" text="Need Clearify">
      <formula>NOT(ISERROR(SEARCH("Need Clearify",H128)))</formula>
    </cfRule>
    <cfRule type="containsText" dxfId="27" priority="241" operator="containsText" text="HELP!!">
      <formula>NOT(ISERROR(SEARCH("HELP!!",H128)))</formula>
    </cfRule>
    <cfRule type="containsText" dxfId="26" priority="245" operator="containsText" text="Completed">
      <formula>NOT(ISERROR(SEARCH("Completed",H128)))</formula>
    </cfRule>
    <cfRule type="containsText" dxfId="25" priority="246" operator="containsText" text="Won't do">
      <formula>NOT(ISERROR(SEARCH("Won't do",H128)))</formula>
    </cfRule>
    <cfRule type="containsText" dxfId="24" priority="244" operator="containsText" text="To-do">
      <formula>NOT(ISERROR(SEARCH("To-do",H128)))</formula>
    </cfRule>
  </conditionalFormatting>
  <conditionalFormatting sqref="I1:I19">
    <cfRule type="containsText" dxfId="23" priority="100" operator="containsText" text="To-do">
      <formula>NOT(ISERROR(SEARCH("To-do",I1)))</formula>
    </cfRule>
    <cfRule type="containsText" dxfId="22" priority="97" operator="containsText" text="HELP!!">
      <formula>NOT(ISERROR(SEARCH("HELP!!",I1)))</formula>
    </cfRule>
    <cfRule type="containsText" dxfId="21" priority="98" operator="containsText" text="Need Clearify">
      <formula>NOT(ISERROR(SEARCH("Need Clearify",I1)))</formula>
    </cfRule>
    <cfRule type="containsText" dxfId="20" priority="99" operator="containsText" text="On Going">
      <formula>NOT(ISERROR(SEARCH("On Going",I1)))</formula>
    </cfRule>
    <cfRule type="containsText" dxfId="19" priority="102" operator="containsText" text="Won't do">
      <formula>NOT(ISERROR(SEARCH("Won't do",I1)))</formula>
    </cfRule>
    <cfRule type="containsText" dxfId="18" priority="101" operator="containsText" text="Completed">
      <formula>NOT(ISERROR(SEARCH("Completed",I1)))</formula>
    </cfRule>
  </conditionalFormatting>
  <conditionalFormatting sqref="I21:I127">
    <cfRule type="containsText" dxfId="17" priority="120" operator="containsText" text="Won't do">
      <formula>NOT(ISERROR(SEARCH("Won't do",I21)))</formula>
    </cfRule>
    <cfRule type="containsText" dxfId="16" priority="118" operator="containsText" text="To-do">
      <formula>NOT(ISERROR(SEARCH("To-do",I21)))</formula>
    </cfRule>
    <cfRule type="containsText" dxfId="15" priority="117" operator="containsText" text="On Going">
      <formula>NOT(ISERROR(SEARCH("On Going",I21)))</formula>
    </cfRule>
    <cfRule type="containsText" dxfId="14" priority="116" operator="containsText" text="Need Clearify">
      <formula>NOT(ISERROR(SEARCH("Need Clearify",I21)))</formula>
    </cfRule>
    <cfRule type="containsText" dxfId="13" priority="115" operator="containsText" text="HELP!!">
      <formula>NOT(ISERROR(SEARCH("HELP!!",I21)))</formula>
    </cfRule>
    <cfRule type="containsText" dxfId="12" priority="119" operator="containsText" text="Completed">
      <formula>NOT(ISERROR(SEARCH("Completed",I21)))</formula>
    </cfRule>
  </conditionalFormatting>
  <conditionalFormatting sqref="I129:I144">
    <cfRule type="containsText" dxfId="11" priority="106" operator="containsText" text="To-do">
      <formula>NOT(ISERROR(SEARCH("To-do",I129)))</formula>
    </cfRule>
    <cfRule type="containsText" dxfId="10" priority="107" operator="containsText" text="Completed">
      <formula>NOT(ISERROR(SEARCH("Completed",I129)))</formula>
    </cfRule>
    <cfRule type="containsText" dxfId="9" priority="105" operator="containsText" text="On Going">
      <formula>NOT(ISERROR(SEARCH("On Going",I129)))</formula>
    </cfRule>
    <cfRule type="containsText" dxfId="8" priority="104" operator="containsText" text="Need Clearify">
      <formula>NOT(ISERROR(SEARCH("Need Clearify",I129)))</formula>
    </cfRule>
    <cfRule type="containsText" dxfId="7" priority="103" operator="containsText" text="HELP!!">
      <formula>NOT(ISERROR(SEARCH("HELP!!",I129)))</formula>
    </cfRule>
  </conditionalFormatting>
  <conditionalFormatting sqref="I129:I1048576">
    <cfRule type="containsText" dxfId="6" priority="108" operator="containsText" text="Won't do">
      <formula>NOT(ISERROR(SEARCH("Won't do",I129)))</formula>
    </cfRule>
  </conditionalFormatting>
  <dataValidations count="5">
    <dataValidation type="list" allowBlank="1" showInputMessage="1" showErrorMessage="1" sqref="I145:I1048576" xr:uid="{DF07DA25-4BE3-4867-BCD7-4F9AF6A794A8}">
      <formula1>"Completed, To-do, On Going, Need Clearify, Won't do"</formula1>
    </dataValidation>
    <dataValidation type="list" allowBlank="1" showInputMessage="1" showErrorMessage="1" sqref="E145:E1048576" xr:uid="{AE52C2F1-EA2F-426D-9074-53F31A7A5852}">
      <formula1>"Urgent, High, Medium, Low, None"</formula1>
    </dataValidation>
    <dataValidation type="list" allowBlank="1" showInputMessage="1" showErrorMessage="1" sqref="F1:G1048576" xr:uid="{D959989A-6AA5-454C-89EF-1E1688D66C5E}">
      <formula1>"New feature, Improvement, BUG, Discussion, -"</formula1>
    </dataValidation>
    <dataValidation type="list" allowBlank="1" showInputMessage="1" showErrorMessage="1" sqref="H103:H104 H3:H5 H12:H13 H18 H20:H26 H34:H39 H52 H55 H59:H62 H80 H84:H85 H87:H90 H92 H94:H95 H97 H120:H121 I71:I107 H142:H143 H33:I33 H137:I137 I34:I42 H69:I70 H57 H66 I50:I68 H32 I109:I136 H82 I2:I32 I138:I144 H43:I49 H108:I108 H28:H29 H127:H130 H125 H110:H114 H101" xr:uid="{76E0D246-EC20-4D00-A95B-3C540188A3FA}">
      <formula1>"Completed, To-do, On Going, Need Clearify, Won't do, HELP!!"</formula1>
    </dataValidation>
    <dataValidation type="list" allowBlank="1" showInputMessage="1" showErrorMessage="1" sqref="I1" xr:uid="{5E0119F4-7B5B-42FB-BE48-148AE07999B0}">
      <formula1>"Completed, To-do, On Going, Need Clearify, Won't do, HELP!!, On hold$C$1"</formula1>
    </dataValidation>
  </dataValidations>
  <hyperlinks>
    <hyperlink ref="L2" r:id="rId1" display="https://linear.app/cortexcloud/issue/SBH-642/emrlab-result-filter-and-search-ผล-lab-ใชงานไมได-คนหาแลวไมขนขอมล" xr:uid="{3A61CC0C-7401-409D-BF29-D80C9048B5EF}"/>
    <hyperlink ref="L4" r:id="rId2" xr:uid="{9B6974DA-76E9-4A5B-AC47-3624BB3450D6}"/>
    <hyperlink ref="L23" r:id="rId3" xr:uid="{77D26573-2F03-4EC4-863F-A0B07282DF98}"/>
    <hyperlink ref="L35" r:id="rId4" xr:uid="{D860A531-78B9-4E84-9CFF-9301C04A2711}"/>
    <hyperlink ref="L5" r:id="rId5" xr:uid="{318617C0-1EDB-490C-8645-7D64CE60F23A}"/>
    <hyperlink ref="L8" r:id="rId6" xr:uid="{009F20E8-143B-44F3-A37B-48CA4DFFDFE2}"/>
    <hyperlink ref="L9" r:id="rId7" xr:uid="{AAEE47F6-5514-46B5-BFDF-C8C29A9A67F4}"/>
    <hyperlink ref="L6" r:id="rId8" xr:uid="{DC1EF7EA-A236-48B6-B8FB-2909CB306330}"/>
    <hyperlink ref="L10" r:id="rId9" xr:uid="{990BA3D3-4C16-4024-8EDA-66D7C303205B}"/>
    <hyperlink ref="L36" r:id="rId10" xr:uid="{B64ED702-861B-42FC-9D5D-18B34421C846}"/>
    <hyperlink ref="L39" r:id="rId11" xr:uid="{347628CB-9FF3-4832-827D-948AEDBA1B24}"/>
    <hyperlink ref="L55" r:id="rId12" xr:uid="{EDA8CC79-8E35-4667-8278-803C21CA3425}"/>
    <hyperlink ref="L3" r:id="rId13" xr:uid="{15B6292D-CB9C-4366-8712-7BD7F075E3B0}"/>
    <hyperlink ref="L61" r:id="rId14" display="https://linear.app/cortexcloud/issue/SBH-653/opd-form-ฟอรมอนมตใชยานอกบญชยาหลกแหงชาต-ตกสทธแลวเอาออกไมได" xr:uid="{05DB2B5D-FE83-4F53-9812-26D730937BFA}"/>
    <hyperlink ref="L13" r:id="rId15" xr:uid="{EA8B2216-0887-487B-BDB2-DBAEA837440E}"/>
    <hyperlink ref="L14" r:id="rId16" xr:uid="{0CD1595C-1151-4795-92BD-4FDA434A7B8C}"/>
    <hyperlink ref="L18" r:id="rId17" xr:uid="{E73F0774-252E-49CC-8FC7-3A62B98D5DA3}"/>
    <hyperlink ref="L19" r:id="rId18" xr:uid="{4829BBF7-DFD3-49FF-91FD-B2B19429F1B4}"/>
    <hyperlink ref="L21" r:id="rId19" xr:uid="{1A09541B-7038-475A-A142-72B11AB2420A}"/>
    <hyperlink ref="L25" r:id="rId20" xr:uid="{ED7B0327-8204-4AFC-B054-CE9E367F9FBC}"/>
    <hyperlink ref="L27" r:id="rId21" xr:uid="{EBD525EA-703D-4294-844C-FA85CA43F58F}"/>
    <hyperlink ref="L28" r:id="rId22" xr:uid="{E0337DEB-12B8-4B69-BE08-F5965B7452FA}"/>
    <hyperlink ref="L29" r:id="rId23" xr:uid="{BD59E2AA-8D95-48A6-AC4D-169225991490}"/>
    <hyperlink ref="L31" r:id="rId24" xr:uid="{BE29ADCD-F46B-460B-B266-5E9670302C3E}"/>
    <hyperlink ref="L80" r:id="rId25" xr:uid="{38C4ED3F-2D40-49D0-882A-46A402604183}"/>
    <hyperlink ref="L33" r:id="rId26" xr:uid="{D232342A-6493-4852-B119-26578B53355B}"/>
    <hyperlink ref="L34" r:id="rId27" xr:uid="{998083CF-AD90-44E8-9C7B-37CABE1F13D8}"/>
    <hyperlink ref="L37" r:id="rId28" xr:uid="{FF778F5D-C657-4DA6-A53F-6D1BAB9F2361}"/>
    <hyperlink ref="L38" r:id="rId29" xr:uid="{1A3C7AD2-A932-4E5D-B1CD-BF1E725BE30D}"/>
    <hyperlink ref="L40" r:id="rId30" xr:uid="{D5515B11-A04C-48C8-8B52-95846A914734}"/>
    <hyperlink ref="L43" r:id="rId31" xr:uid="{000EF4AD-1EF7-4379-BDF8-662F79EDD167}"/>
    <hyperlink ref="L44" r:id="rId32" xr:uid="{A54B5B5F-40DD-4A0C-9D54-277A97F2277F}"/>
    <hyperlink ref="L47" r:id="rId33" xr:uid="{E0EAFC44-2387-4F68-8A6A-C3CB2B15155A}"/>
    <hyperlink ref="L45" r:id="rId34" xr:uid="{10A22E26-5530-4938-9410-38685CE2DABD}"/>
    <hyperlink ref="L49" r:id="rId35" xr:uid="{59A3128F-F8F9-44D3-8A87-B644E484E6DD}"/>
    <hyperlink ref="L52" r:id="rId36" xr:uid="{4E665737-6B86-4745-B2C6-703A7755E216}"/>
    <hyperlink ref="L50" r:id="rId37" xr:uid="{E9BE5B61-1368-49B0-A965-24A96EA4E962}"/>
    <hyperlink ref="L48" r:id="rId38" xr:uid="{E2B2C008-5A3E-4B84-BFC3-1A6980FAB7B5}"/>
    <hyperlink ref="L53" r:id="rId39" xr:uid="{CFD68020-6132-4ADE-8CB2-4A043630C724}"/>
    <hyperlink ref="L54" r:id="rId40" xr:uid="{14F3F89C-ED20-4D71-ABEF-86B858F3646B}"/>
    <hyperlink ref="L56" r:id="rId41" xr:uid="{0B91AF18-FF5A-447F-98AD-9E03F9CF4175}"/>
    <hyperlink ref="L58" r:id="rId42" xr:uid="{025A4869-4458-45C4-8F0A-8F179C51713B}"/>
    <hyperlink ref="L59" r:id="rId43" display="https://linear.app/cortexcloud/issue/SBH-677/order-check-diagnosis-before-allowing-physician-to-order" xr:uid="{CA8E5AF0-45DA-4DFC-BE12-95E16D5DA8ED}"/>
    <hyperlink ref="L57" r:id="rId44" xr:uid="{EE59B134-50E8-4037-8430-2761352CB85F}"/>
    <hyperlink ref="L62" r:id="rId45" xr:uid="{BBB86E6D-B959-409A-8EBE-D0703DB2E347}"/>
    <hyperlink ref="L63" r:id="rId46" xr:uid="{A69F3792-2037-4857-A2A8-ED9A1C7A56CD}"/>
    <hyperlink ref="L65" r:id="rId47" xr:uid="{1C972615-53AC-439F-9D7E-79DA90FB095B}"/>
    <hyperlink ref="L66" r:id="rId48" xr:uid="{8B954A97-F6C1-4A82-B484-5764EE14A91D}"/>
    <hyperlink ref="L67" r:id="rId49" xr:uid="{A647C72F-B4C9-4B60-8992-8B8DEB0B4C14}"/>
    <hyperlink ref="L70" r:id="rId50" xr:uid="{CB523D1A-3AF5-487E-B553-DB841FFA7F16}"/>
    <hyperlink ref="L71" r:id="rId51" xr:uid="{07F077B7-4238-4C8C-BCF1-A74A754ACB2F}"/>
    <hyperlink ref="L73" r:id="rId52" xr:uid="{749356A0-1D04-4A29-992E-2802A0E653EA}"/>
    <hyperlink ref="L75" r:id="rId53" xr:uid="{49F0814E-915B-4914-8DFE-E5F1BBC46132}"/>
    <hyperlink ref="L74" r:id="rId54" xr:uid="{FCE7892F-0964-4D1C-8625-97159F64142D}"/>
    <hyperlink ref="L79" r:id="rId55" xr:uid="{5CE046B5-F06B-4487-B424-3811B0EA4059}"/>
    <hyperlink ref="L82" r:id="rId56" xr:uid="{FB47F87F-B7B5-40CC-98E4-BEB9928E4838}"/>
    <hyperlink ref="L83" r:id="rId57" xr:uid="{8BA9EB69-85A8-4972-BA4D-038044561446}"/>
    <hyperlink ref="L84" r:id="rId58" xr:uid="{CFB2571B-4D75-4EB7-A040-30FE96AC4AC0}"/>
    <hyperlink ref="L87" r:id="rId59" xr:uid="{4DA8CBEA-485E-4405-B08B-97B55F4E11CC}"/>
    <hyperlink ref="L89" r:id="rId60" xr:uid="{2493898C-D5AC-4D2A-A314-5E7542CDB37C}"/>
    <hyperlink ref="L90" r:id="rId61" xr:uid="{E01BE8E0-5054-4FD0-AA37-0FAB056C2F62}"/>
    <hyperlink ref="L92" r:id="rId62" xr:uid="{0B9ABA15-114F-48D4-B54D-88D3BFE66BEE}"/>
    <hyperlink ref="L93" r:id="rId63" xr:uid="{8169830B-1135-44DE-91CA-25BEABEC9046}"/>
    <hyperlink ref="L96" r:id="rId64" xr:uid="{374BACE6-9B88-4D19-90EF-99FF92566D83}"/>
    <hyperlink ref="L98" r:id="rId65" xr:uid="{30E4534E-CE4D-4DF8-AEC3-2DF255469072}"/>
    <hyperlink ref="L99" r:id="rId66" xr:uid="{B9952010-2AD7-4258-AE1D-60BDDF8F398D}"/>
    <hyperlink ref="L103" r:id="rId67" xr:uid="{1D8EF1CE-4E16-42F1-9E59-2E709A7841EA}"/>
    <hyperlink ref="L104" r:id="rId68" xr:uid="{66982E99-AD5A-4D25-97D6-B97CC5910309}"/>
    <hyperlink ref="L106" r:id="rId69" xr:uid="{F6094A8B-1E9A-4A77-9CE6-BB5196A2EC0C}"/>
    <hyperlink ref="L105" r:id="rId70" xr:uid="{72C8CAB6-20D2-4AF7-A90B-9BBE07A09A1E}"/>
    <hyperlink ref="L108" r:id="rId71" xr:uid="{0A306CFD-1437-4407-B102-46F9A5BCD807}"/>
    <hyperlink ref="L109" r:id="rId72" xr:uid="{9E939543-3E32-4B57-AF29-9BCDFBD006A8}"/>
    <hyperlink ref="L107" r:id="rId73" xr:uid="{4667F1EE-BCA5-4E33-8EF8-5A418CC71AA8}"/>
    <hyperlink ref="L110" r:id="rId74" xr:uid="{DF9C6BE0-8577-47A7-B4A0-768D1A21D3EC}"/>
    <hyperlink ref="L111" r:id="rId75" xr:uid="{F09A83E0-67E8-4D29-8A58-662A147B7805}"/>
    <hyperlink ref="L112" r:id="rId76" xr:uid="{6551D04A-9CE8-4B80-A5D3-DB90BDA3D857}"/>
    <hyperlink ref="L116" r:id="rId77" xr:uid="{C1865726-9D5A-4641-BA72-469EE2425706}"/>
    <hyperlink ref="L117" r:id="rId78" xr:uid="{DFBCA80F-9079-4148-99F6-7E78EB279756}"/>
    <hyperlink ref="L118" r:id="rId79" xr:uid="{D3B40CE4-AED3-4F15-9F7D-CA6002DDFAD4}"/>
    <hyperlink ref="L122" r:id="rId80" xr:uid="{6BAAADD4-D247-4150-A756-8A8993C6ABAF}"/>
    <hyperlink ref="L121" r:id="rId81" xr:uid="{6ABD8B44-D7FC-4F80-A868-5BF133F78921}"/>
    <hyperlink ref="L125" r:id="rId82" xr:uid="{161042FB-F06D-4A03-8EF6-7FF925F46B5F}"/>
    <hyperlink ref="L128" r:id="rId83" xr:uid="{1F7F9EB0-1E81-4ADD-B4BF-BB9367D29517}"/>
    <hyperlink ref="L126" r:id="rId84" xr:uid="{0DA06966-AE09-44DB-99AB-3F05E1D464F0}"/>
    <hyperlink ref="L127" r:id="rId85" xr:uid="{969B24CA-0ECB-47F0-8824-179C4C042FCD}"/>
    <hyperlink ref="L129" r:id="rId86" xr:uid="{A3FE4426-9C4D-410F-99B3-A36B966278EF}"/>
    <hyperlink ref="L130" r:id="rId87" display="https://linear.app/cortexcloud/issue/SBH-710/discharge-สรปคาใชจายimprovement-คา-df" xr:uid="{F4AEEB84-12FA-4820-8E5A-9F3ADB64A049}"/>
    <hyperlink ref="L131" r:id="rId88" xr:uid="{AAC74DB6-8689-4A9A-8C4F-6BF340EF60BB}"/>
    <hyperlink ref="L133" r:id="rId89" xr:uid="{B2A2E724-BF16-4FB8-82B3-B5A95124039D}"/>
    <hyperlink ref="L134:L135" r:id="rId90" display="https://linear.app/cortexcloud/issue/SBH-712/display-layout-ux-all-above-improvement-ux" xr:uid="{E9732601-F85D-4B7F-BAC8-1963FFD2CD54}"/>
    <hyperlink ref="L139" r:id="rId91" xr:uid="{9787A436-2714-4BAD-B916-968AD9CAC189}"/>
    <hyperlink ref="L95" r:id="rId92" xr:uid="{548CC8DE-E3A0-4EF4-A893-645ADBB964BE}"/>
    <hyperlink ref="L94" r:id="rId93" xr:uid="{E6B9E6D1-DB0A-4DA1-B1FF-A75B214C4304}"/>
    <hyperlink ref="L101" r:id="rId94" xr:uid="{A6CC2C64-681B-435A-A9D7-D6A11B9F3137}"/>
    <hyperlink ref="L7" r:id="rId95" xr:uid="{9342A430-3E7F-43A9-B33F-265511D7DBFB}"/>
    <hyperlink ref="L137" r:id="rId96" xr:uid="{7104099D-5F54-4910-9CD3-A4E4D949AEDD}"/>
    <hyperlink ref="L77" r:id="rId97" xr:uid="{4E7329DB-29F6-41D9-A7F1-32E4D7A501E0}"/>
    <hyperlink ref="L41" r:id="rId98" xr:uid="{7827E755-9BE8-47A4-8881-F32F11F23DBB}"/>
    <hyperlink ref="L42" r:id="rId99" xr:uid="{1DB54CC4-8834-4344-897C-FAFAF1B73CDE}"/>
    <hyperlink ref="T15" r:id="rId100" xr:uid="{44DB223C-F42E-4634-B5C6-12821AE59C33}"/>
    <hyperlink ref="L138" r:id="rId101" xr:uid="{B9F1FCA1-FC5C-443C-AC80-074C3C2795E5}"/>
    <hyperlink ref="L76" r:id="rId102" xr:uid="{8850DB59-2E30-4FDF-B69C-79B35483C3F5}"/>
    <hyperlink ref="L81" r:id="rId103" xr:uid="{13C0B06B-5497-45D5-948C-747C5D483B87}"/>
    <hyperlink ref="L51" r:id="rId104" xr:uid="{0FD8AA27-7C4E-4F4D-A076-1BBDE4A57065}"/>
    <hyperlink ref="L91" r:id="rId105" xr:uid="{D4C99786-68AA-4DD5-9C6C-2677D18CEB1C}"/>
    <hyperlink ref="L123" r:id="rId106" xr:uid="{10DC3736-A5C5-453E-B6BC-FAB68159640B}"/>
  </hyperlinks>
  <pageMargins left="0.7" right="0.7" top="0.75" bottom="0.75" header="0.3" footer="0.3"/>
  <pageSetup paperSize="9"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2161F-B40B-4B16-920E-412427BDAF74}">
  <dimension ref="A1:Q144"/>
  <sheetViews>
    <sheetView workbookViewId="0">
      <pane ySplit="1" topLeftCell="A13" activePane="bottomLeft" state="frozen"/>
      <selection pane="bottomLeft" activeCell="Q85" sqref="Q85"/>
    </sheetView>
  </sheetViews>
  <sheetFormatPr defaultColWidth="9.109375" defaultRowHeight="15" customHeight="1" x14ac:dyDescent="0.3"/>
  <cols>
    <col min="1" max="1" width="5.44140625" style="63" customWidth="1"/>
    <col min="2" max="2" width="13.88671875" style="63" customWidth="1"/>
    <col min="3" max="3" width="10.44140625" style="242" customWidth="1"/>
    <col min="4" max="4" width="15.44140625" style="63" customWidth="1"/>
    <col min="5" max="5" width="9.109375" style="63"/>
    <col min="6" max="6" width="12" style="62" customWidth="1"/>
    <col min="7" max="7" width="32.6640625" style="63" customWidth="1"/>
    <col min="8" max="8" width="16" style="63" customWidth="1"/>
    <col min="9" max="9" width="31" style="64" customWidth="1"/>
    <col min="10" max="10" width="32.44140625" style="63" customWidth="1"/>
    <col min="11" max="11" width="31.109375" style="63" customWidth="1"/>
    <col min="12" max="12" width="24.44140625" style="63" customWidth="1"/>
    <col min="13" max="13" width="26.88671875" style="63" customWidth="1"/>
    <col min="14" max="14" width="9.109375" style="63"/>
    <col min="15" max="15" width="36.33203125" style="234" customWidth="1"/>
    <col min="16" max="17" width="39.6640625" style="64" customWidth="1"/>
    <col min="18" max="16384" width="9.109375" style="63"/>
  </cols>
  <sheetData>
    <row r="1" spans="1:17" s="68" customFormat="1" ht="34.200000000000003" x14ac:dyDescent="0.3">
      <c r="A1" s="202" t="s">
        <v>3286</v>
      </c>
      <c r="B1" s="195" t="s">
        <v>3287</v>
      </c>
      <c r="C1" s="239" t="s">
        <v>3288</v>
      </c>
      <c r="D1" s="195" t="s">
        <v>2046</v>
      </c>
      <c r="E1" s="195" t="s">
        <v>1747</v>
      </c>
      <c r="F1" s="195" t="s">
        <v>3289</v>
      </c>
      <c r="G1" s="195" t="s">
        <v>3290</v>
      </c>
      <c r="H1" s="195" t="s">
        <v>1748</v>
      </c>
      <c r="I1" s="195" t="s">
        <v>2507</v>
      </c>
      <c r="J1" s="195" t="s">
        <v>3291</v>
      </c>
      <c r="K1" s="195" t="s">
        <v>3292</v>
      </c>
      <c r="L1" s="195" t="s">
        <v>3293</v>
      </c>
      <c r="M1" s="195" t="s">
        <v>3294</v>
      </c>
      <c r="N1" s="195" t="s">
        <v>3295</v>
      </c>
      <c r="O1" s="235" t="s">
        <v>3296</v>
      </c>
      <c r="P1" s="254" t="s">
        <v>3297</v>
      </c>
      <c r="Q1" s="254" t="s">
        <v>3298</v>
      </c>
    </row>
    <row r="2" spans="1:17" ht="43.2" x14ac:dyDescent="0.3">
      <c r="A2" s="203">
        <v>16</v>
      </c>
      <c r="B2" s="204" t="s">
        <v>3299</v>
      </c>
      <c r="C2" s="237" t="s">
        <v>3424</v>
      </c>
      <c r="D2" s="199" t="s">
        <v>3315</v>
      </c>
      <c r="E2" s="216" t="s">
        <v>1760</v>
      </c>
      <c r="F2" s="205" t="s">
        <v>3350</v>
      </c>
      <c r="G2" s="199" t="s">
        <v>3425</v>
      </c>
      <c r="H2" s="199" t="s">
        <v>3589</v>
      </c>
      <c r="I2" s="199" t="s">
        <v>3426</v>
      </c>
      <c r="J2" s="199" t="s">
        <v>3427</v>
      </c>
      <c r="K2" s="199" t="s">
        <v>3428</v>
      </c>
      <c r="L2" s="199" t="s">
        <v>336</v>
      </c>
      <c r="M2" s="199" t="s">
        <v>3429</v>
      </c>
      <c r="N2" s="199">
        <v>1</v>
      </c>
      <c r="O2" s="312"/>
      <c r="P2" s="178" t="s">
        <v>3327</v>
      </c>
      <c r="Q2" s="177" t="s">
        <v>3431</v>
      </c>
    </row>
    <row r="3" spans="1:17" ht="39.6" x14ac:dyDescent="0.3">
      <c r="A3" s="157">
        <v>17</v>
      </c>
      <c r="B3" s="207" t="s">
        <v>3299</v>
      </c>
      <c r="C3" s="201" t="s">
        <v>3424</v>
      </c>
      <c r="D3" s="159" t="s">
        <v>3315</v>
      </c>
      <c r="E3" s="210" t="s">
        <v>1760</v>
      </c>
      <c r="F3" s="208" t="s">
        <v>3350</v>
      </c>
      <c r="G3" s="159" t="s">
        <v>3432</v>
      </c>
      <c r="H3" s="159" t="s">
        <v>2533</v>
      </c>
      <c r="I3" s="159" t="s">
        <v>3433</v>
      </c>
      <c r="J3" s="159" t="s">
        <v>3434</v>
      </c>
      <c r="K3" s="159" t="s">
        <v>3435</v>
      </c>
      <c r="L3" s="159" t="s">
        <v>336</v>
      </c>
      <c r="M3" s="159" t="s">
        <v>3436</v>
      </c>
      <c r="N3" s="159">
        <v>2</v>
      </c>
      <c r="O3" s="312"/>
      <c r="P3" s="178" t="s">
        <v>3327</v>
      </c>
    </row>
    <row r="4" spans="1:17" ht="26.4" x14ac:dyDescent="0.3">
      <c r="A4" s="157">
        <v>3</v>
      </c>
      <c r="B4" s="207" t="s">
        <v>3299</v>
      </c>
      <c r="C4" s="201" t="s">
        <v>3314</v>
      </c>
      <c r="D4" s="159" t="s">
        <v>3315</v>
      </c>
      <c r="E4" s="208" t="s">
        <v>1797</v>
      </c>
      <c r="F4" s="209">
        <v>46191</v>
      </c>
      <c r="G4" s="159" t="s">
        <v>3316</v>
      </c>
      <c r="H4" s="159" t="s">
        <v>2533</v>
      </c>
      <c r="I4" s="159" t="s">
        <v>3317</v>
      </c>
      <c r="J4" s="159" t="s">
        <v>3318</v>
      </c>
      <c r="K4" s="159" t="s">
        <v>3319</v>
      </c>
      <c r="L4" s="159" t="s">
        <v>336</v>
      </c>
      <c r="M4" s="159" t="s">
        <v>3320</v>
      </c>
      <c r="N4" s="159">
        <v>3</v>
      </c>
      <c r="O4" s="312"/>
      <c r="P4" s="178" t="s">
        <v>3308</v>
      </c>
    </row>
    <row r="5" spans="1:17" ht="39.6" x14ac:dyDescent="0.3">
      <c r="A5" s="157">
        <v>47</v>
      </c>
      <c r="B5" s="207" t="s">
        <v>3299</v>
      </c>
      <c r="C5" s="201" t="s">
        <v>3651</v>
      </c>
      <c r="D5" s="159" t="s">
        <v>3315</v>
      </c>
      <c r="E5" s="164" t="s">
        <v>1823</v>
      </c>
      <c r="F5" s="209">
        <v>46191</v>
      </c>
      <c r="G5" s="159" t="s">
        <v>3652</v>
      </c>
      <c r="H5" s="159" t="s">
        <v>3375</v>
      </c>
      <c r="I5" s="159" t="s">
        <v>3653</v>
      </c>
      <c r="J5" s="159" t="s">
        <v>3654</v>
      </c>
      <c r="K5" s="159" t="s">
        <v>336</v>
      </c>
      <c r="L5" s="159" t="s">
        <v>3655</v>
      </c>
      <c r="M5" s="159" t="s">
        <v>336</v>
      </c>
      <c r="N5" s="159">
        <v>4</v>
      </c>
      <c r="O5" s="312"/>
      <c r="P5" s="256" t="s">
        <v>3657</v>
      </c>
      <c r="Q5" s="256" t="s">
        <v>3658</v>
      </c>
    </row>
    <row r="6" spans="1:17" ht="39.6" x14ac:dyDescent="0.3">
      <c r="A6" s="203">
        <v>48</v>
      </c>
      <c r="B6" s="207" t="s">
        <v>3299</v>
      </c>
      <c r="C6" s="201" t="s">
        <v>3651</v>
      </c>
      <c r="D6" s="159" t="s">
        <v>3315</v>
      </c>
      <c r="E6" s="164" t="s">
        <v>1823</v>
      </c>
      <c r="F6" s="209">
        <v>46191</v>
      </c>
      <c r="G6" s="159" t="s">
        <v>3660</v>
      </c>
      <c r="H6" s="159" t="s">
        <v>3375</v>
      </c>
      <c r="I6" s="159" t="s">
        <v>3661</v>
      </c>
      <c r="J6" s="159" t="s">
        <v>3662</v>
      </c>
      <c r="K6" s="159" t="s">
        <v>3663</v>
      </c>
      <c r="L6" s="159" t="s">
        <v>3664</v>
      </c>
      <c r="M6" s="159" t="s">
        <v>3665</v>
      </c>
      <c r="N6" s="159">
        <v>5</v>
      </c>
      <c r="O6" s="312"/>
      <c r="P6" s="64" t="s">
        <v>3667</v>
      </c>
      <c r="Q6" s="64" t="s">
        <v>3667</v>
      </c>
    </row>
    <row r="7" spans="1:17" ht="39.6" x14ac:dyDescent="0.3">
      <c r="A7" s="157">
        <v>49</v>
      </c>
      <c r="B7" s="207" t="s">
        <v>3299</v>
      </c>
      <c r="C7" s="201" t="s">
        <v>3651</v>
      </c>
      <c r="D7" s="159" t="s">
        <v>3315</v>
      </c>
      <c r="E7" s="164" t="s">
        <v>1823</v>
      </c>
      <c r="F7" s="209">
        <v>46191</v>
      </c>
      <c r="G7" s="159" t="s">
        <v>2558</v>
      </c>
      <c r="H7" s="159" t="s">
        <v>3375</v>
      </c>
      <c r="I7" s="159" t="s">
        <v>3668</v>
      </c>
      <c r="J7" s="159" t="s">
        <v>3669</v>
      </c>
      <c r="K7" s="159" t="s">
        <v>336</v>
      </c>
      <c r="L7" s="159" t="s">
        <v>3670</v>
      </c>
      <c r="M7" s="159" t="s">
        <v>3671</v>
      </c>
      <c r="N7" s="159">
        <v>6</v>
      </c>
      <c r="O7" s="312"/>
      <c r="P7" s="64" t="s">
        <v>3667</v>
      </c>
      <c r="Q7" s="64" t="s">
        <v>3667</v>
      </c>
    </row>
    <row r="8" spans="1:17" ht="26.4" x14ac:dyDescent="0.3">
      <c r="A8" s="157">
        <v>83</v>
      </c>
      <c r="B8" s="217" t="s">
        <v>3817</v>
      </c>
      <c r="C8" s="201" t="s">
        <v>3880</v>
      </c>
      <c r="D8" s="159" t="s">
        <v>3315</v>
      </c>
      <c r="E8" s="164" t="s">
        <v>1823</v>
      </c>
      <c r="F8" s="159" t="s">
        <v>2522</v>
      </c>
      <c r="G8" s="159" t="s">
        <v>2563</v>
      </c>
      <c r="H8" s="159" t="s">
        <v>3375</v>
      </c>
      <c r="I8" s="159" t="s">
        <v>3881</v>
      </c>
      <c r="J8" s="159" t="s">
        <v>3882</v>
      </c>
      <c r="K8" s="159" t="s">
        <v>3883</v>
      </c>
      <c r="L8" s="159" t="s">
        <v>3884</v>
      </c>
      <c r="M8" s="159" t="s">
        <v>3719</v>
      </c>
      <c r="N8" s="159">
        <v>7</v>
      </c>
      <c r="O8" s="312"/>
      <c r="P8" s="312" t="s">
        <v>3886</v>
      </c>
    </row>
    <row r="9" spans="1:17" ht="39.6" x14ac:dyDescent="0.3">
      <c r="A9" s="157">
        <v>96</v>
      </c>
      <c r="B9" s="217" t="s">
        <v>3817</v>
      </c>
      <c r="C9" s="201" t="s">
        <v>3957</v>
      </c>
      <c r="D9" s="159" t="s">
        <v>3315</v>
      </c>
      <c r="E9" s="165" t="s">
        <v>1756</v>
      </c>
      <c r="F9" s="159" t="s">
        <v>2522</v>
      </c>
      <c r="G9" s="159" t="s">
        <v>3958</v>
      </c>
      <c r="H9" s="159" t="s">
        <v>3589</v>
      </c>
      <c r="I9" s="159" t="s">
        <v>3959</v>
      </c>
      <c r="J9" s="159" t="s">
        <v>3960</v>
      </c>
      <c r="K9" s="159" t="s">
        <v>3961</v>
      </c>
      <c r="L9" s="159" t="s">
        <v>3962</v>
      </c>
      <c r="M9" s="159" t="s">
        <v>3963</v>
      </c>
      <c r="N9" s="159">
        <v>8</v>
      </c>
      <c r="O9" s="312"/>
    </row>
    <row r="10" spans="1:17" s="214" customFormat="1" ht="39.6" x14ac:dyDescent="0.3">
      <c r="A10" s="203">
        <v>97</v>
      </c>
      <c r="B10" s="217" t="s">
        <v>3817</v>
      </c>
      <c r="C10" s="201" t="s">
        <v>3965</v>
      </c>
      <c r="D10" s="159" t="s">
        <v>3315</v>
      </c>
      <c r="E10" s="165" t="s">
        <v>1756</v>
      </c>
      <c r="F10" s="159" t="s">
        <v>2522</v>
      </c>
      <c r="G10" s="159" t="s">
        <v>3966</v>
      </c>
      <c r="H10" s="159" t="s">
        <v>2523</v>
      </c>
      <c r="I10" s="159" t="s">
        <v>3967</v>
      </c>
      <c r="J10" s="159" t="s">
        <v>3968</v>
      </c>
      <c r="K10" s="159" t="s">
        <v>336</v>
      </c>
      <c r="L10" s="159" t="s">
        <v>3969</v>
      </c>
      <c r="M10" s="159" t="s">
        <v>3970</v>
      </c>
      <c r="N10" s="159">
        <v>9</v>
      </c>
      <c r="O10" s="312"/>
      <c r="P10" s="64"/>
      <c r="Q10" s="64"/>
    </row>
    <row r="11" spans="1:17" ht="26.4" x14ac:dyDescent="0.3">
      <c r="A11" s="157">
        <v>130</v>
      </c>
      <c r="B11" s="226" t="s">
        <v>4110</v>
      </c>
      <c r="C11" s="201" t="s">
        <v>4153</v>
      </c>
      <c r="D11" s="159" t="s">
        <v>3315</v>
      </c>
      <c r="E11" s="223" t="s">
        <v>4104</v>
      </c>
      <c r="F11" s="159" t="s">
        <v>4112</v>
      </c>
      <c r="G11" s="159" t="s">
        <v>4154</v>
      </c>
      <c r="H11" s="159" t="s">
        <v>2523</v>
      </c>
      <c r="I11" s="159" t="s">
        <v>4155</v>
      </c>
      <c r="J11" s="159" t="s">
        <v>336</v>
      </c>
      <c r="K11" s="159" t="s">
        <v>4156</v>
      </c>
      <c r="L11" s="159" t="s">
        <v>336</v>
      </c>
      <c r="M11" s="159" t="s">
        <v>336</v>
      </c>
      <c r="N11" s="159">
        <v>10</v>
      </c>
      <c r="O11" s="312"/>
    </row>
    <row r="12" spans="1:17" ht="39.6" x14ac:dyDescent="0.3">
      <c r="A12" s="157">
        <v>69</v>
      </c>
      <c r="B12" s="207" t="s">
        <v>3299</v>
      </c>
      <c r="C12" s="201" t="s">
        <v>3789</v>
      </c>
      <c r="D12" s="159" t="s">
        <v>3315</v>
      </c>
      <c r="E12" s="165" t="s">
        <v>1756</v>
      </c>
      <c r="F12" s="205" t="s">
        <v>3507</v>
      </c>
      <c r="G12" s="159" t="s">
        <v>3790</v>
      </c>
      <c r="H12" s="159" t="s">
        <v>2523</v>
      </c>
      <c r="I12" s="159" t="s">
        <v>3791</v>
      </c>
      <c r="J12" s="159" t="s">
        <v>3792</v>
      </c>
      <c r="K12" s="159" t="s">
        <v>336</v>
      </c>
      <c r="L12" s="159" t="s">
        <v>336</v>
      </c>
      <c r="M12" s="159" t="s">
        <v>3793</v>
      </c>
      <c r="N12" s="159">
        <v>11</v>
      </c>
      <c r="O12" s="312"/>
      <c r="P12" s="186" t="s">
        <v>2081</v>
      </c>
      <c r="Q12" s="186" t="s">
        <v>3795</v>
      </c>
    </row>
    <row r="13" spans="1:17" ht="52.8" x14ac:dyDescent="0.3">
      <c r="A13" s="157">
        <v>50</v>
      </c>
      <c r="B13" s="207" t="s">
        <v>3299</v>
      </c>
      <c r="C13" s="201" t="s">
        <v>3673</v>
      </c>
      <c r="D13" s="159" t="s">
        <v>3587</v>
      </c>
      <c r="E13" s="164" t="s">
        <v>1823</v>
      </c>
      <c r="F13" s="208" t="s">
        <v>3350</v>
      </c>
      <c r="G13" s="159" t="s">
        <v>3674</v>
      </c>
      <c r="H13" s="159" t="s">
        <v>3340</v>
      </c>
      <c r="I13" s="159" t="s">
        <v>3675</v>
      </c>
      <c r="J13" s="159" t="s">
        <v>336</v>
      </c>
      <c r="K13" s="159" t="s">
        <v>3676</v>
      </c>
      <c r="L13" s="159" t="s">
        <v>336</v>
      </c>
      <c r="M13" s="159" t="s">
        <v>3677</v>
      </c>
      <c r="N13" s="159">
        <v>12</v>
      </c>
      <c r="O13" s="312"/>
      <c r="P13" s="64" t="s">
        <v>3679</v>
      </c>
      <c r="Q13" s="260" t="s">
        <v>4338</v>
      </c>
    </row>
    <row r="14" spans="1:17" ht="40.5" customHeight="1" x14ac:dyDescent="0.3">
      <c r="A14" s="203">
        <v>84</v>
      </c>
      <c r="B14" s="217" t="s">
        <v>3817</v>
      </c>
      <c r="C14" s="201" t="s">
        <v>3887</v>
      </c>
      <c r="D14" s="159" t="s">
        <v>3587</v>
      </c>
      <c r="E14" s="164" t="s">
        <v>1823</v>
      </c>
      <c r="F14" s="159" t="s">
        <v>2522</v>
      </c>
      <c r="G14" s="159" t="s">
        <v>3888</v>
      </c>
      <c r="H14" s="159" t="s">
        <v>2523</v>
      </c>
      <c r="I14" s="159" t="s">
        <v>2609</v>
      </c>
      <c r="J14" s="159" t="s">
        <v>3889</v>
      </c>
      <c r="K14" s="159" t="s">
        <v>3890</v>
      </c>
      <c r="L14" s="159" t="s">
        <v>3891</v>
      </c>
      <c r="M14" s="159" t="s">
        <v>3892</v>
      </c>
      <c r="N14" s="159">
        <v>13</v>
      </c>
      <c r="O14" s="312"/>
    </row>
    <row r="15" spans="1:17" ht="39.6" x14ac:dyDescent="0.3">
      <c r="A15" s="157">
        <v>38</v>
      </c>
      <c r="B15" s="207" t="s">
        <v>3299</v>
      </c>
      <c r="C15" s="201" t="s">
        <v>3586</v>
      </c>
      <c r="D15" s="159" t="s">
        <v>3587</v>
      </c>
      <c r="E15" s="164" t="s">
        <v>1823</v>
      </c>
      <c r="F15" s="209">
        <v>46191</v>
      </c>
      <c r="G15" s="159" t="s">
        <v>3588</v>
      </c>
      <c r="H15" s="159" t="s">
        <v>3589</v>
      </c>
      <c r="I15" s="159" t="s">
        <v>3590</v>
      </c>
      <c r="J15" s="159" t="s">
        <v>3591</v>
      </c>
      <c r="K15" s="159" t="s">
        <v>3592</v>
      </c>
      <c r="L15" s="159" t="s">
        <v>3593</v>
      </c>
      <c r="M15" s="159" t="s">
        <v>3594</v>
      </c>
      <c r="N15" s="159">
        <v>14</v>
      </c>
      <c r="O15" s="312"/>
      <c r="P15" s="64" t="s">
        <v>3596</v>
      </c>
      <c r="Q15" s="257" t="s">
        <v>3597</v>
      </c>
    </row>
    <row r="16" spans="1:17" ht="39.6" x14ac:dyDescent="0.3">
      <c r="A16" s="157">
        <v>91</v>
      </c>
      <c r="B16" s="217" t="s">
        <v>3817</v>
      </c>
      <c r="C16" s="201" t="s">
        <v>3931</v>
      </c>
      <c r="D16" s="159" t="s">
        <v>3587</v>
      </c>
      <c r="E16" s="164" t="s">
        <v>1823</v>
      </c>
      <c r="F16" s="159" t="s">
        <v>2522</v>
      </c>
      <c r="G16" s="159" t="s">
        <v>3932</v>
      </c>
      <c r="H16" s="159" t="s">
        <v>2523</v>
      </c>
      <c r="I16" s="159" t="s">
        <v>2624</v>
      </c>
      <c r="J16" s="159" t="s">
        <v>3933</v>
      </c>
      <c r="K16" s="159" t="s">
        <v>3934</v>
      </c>
      <c r="L16" s="159" t="s">
        <v>3935</v>
      </c>
      <c r="M16" s="159" t="s">
        <v>336</v>
      </c>
      <c r="N16" s="159">
        <v>15</v>
      </c>
      <c r="O16" s="312"/>
    </row>
    <row r="17" spans="1:17" ht="26.4" x14ac:dyDescent="0.3">
      <c r="A17" s="157">
        <v>129</v>
      </c>
      <c r="B17" s="226" t="s">
        <v>4110</v>
      </c>
      <c r="C17" s="201" t="s">
        <v>4146</v>
      </c>
      <c r="D17" s="159" t="s">
        <v>3587</v>
      </c>
      <c r="E17" s="223" t="s">
        <v>4104</v>
      </c>
      <c r="F17" s="159" t="s">
        <v>4112</v>
      </c>
      <c r="G17" s="159" t="s">
        <v>4147</v>
      </c>
      <c r="H17" s="159" t="s">
        <v>3589</v>
      </c>
      <c r="I17" s="159" t="s">
        <v>4148</v>
      </c>
      <c r="J17" s="159" t="s">
        <v>4149</v>
      </c>
      <c r="K17" s="159" t="s">
        <v>4150</v>
      </c>
      <c r="L17" s="159" t="s">
        <v>336</v>
      </c>
      <c r="M17" s="159" t="s">
        <v>4151</v>
      </c>
      <c r="N17" s="159">
        <v>16</v>
      </c>
      <c r="O17" s="312"/>
    </row>
    <row r="18" spans="1:17" ht="22.8" x14ac:dyDescent="0.3">
      <c r="A18" s="203">
        <v>134</v>
      </c>
      <c r="B18" s="229" t="s">
        <v>4163</v>
      </c>
      <c r="C18" s="201" t="s">
        <v>4170</v>
      </c>
      <c r="D18" s="159" t="s">
        <v>3587</v>
      </c>
      <c r="E18" s="210" t="s">
        <v>1760</v>
      </c>
      <c r="F18" s="230" t="s">
        <v>651</v>
      </c>
      <c r="G18" s="159" t="s">
        <v>2630</v>
      </c>
      <c r="H18" s="159" t="s">
        <v>2533</v>
      </c>
      <c r="I18" s="159" t="s">
        <v>2825</v>
      </c>
      <c r="J18" s="159" t="s">
        <v>336</v>
      </c>
      <c r="K18" s="159" t="s">
        <v>336</v>
      </c>
      <c r="L18" s="159" t="s">
        <v>336</v>
      </c>
      <c r="M18" s="159" t="s">
        <v>4165</v>
      </c>
      <c r="N18" s="159">
        <v>17</v>
      </c>
      <c r="O18" s="312"/>
    </row>
    <row r="19" spans="1:17" ht="39.6" x14ac:dyDescent="0.3">
      <c r="A19" s="157">
        <v>12</v>
      </c>
      <c r="B19" s="207" t="s">
        <v>3299</v>
      </c>
      <c r="C19" s="201" t="s">
        <v>3393</v>
      </c>
      <c r="D19" s="159" t="s">
        <v>3339</v>
      </c>
      <c r="E19" s="210" t="s">
        <v>1760</v>
      </c>
      <c r="F19" s="205" t="s">
        <v>3350</v>
      </c>
      <c r="G19" s="159" t="s">
        <v>2636</v>
      </c>
      <c r="H19" s="159" t="s">
        <v>3375</v>
      </c>
      <c r="I19" s="159" t="s">
        <v>3394</v>
      </c>
      <c r="J19" s="159" t="s">
        <v>3395</v>
      </c>
      <c r="K19" s="159" t="s">
        <v>3396</v>
      </c>
      <c r="L19" s="159" t="s">
        <v>336</v>
      </c>
      <c r="M19" s="159" t="s">
        <v>3397</v>
      </c>
      <c r="N19" s="159">
        <v>18</v>
      </c>
      <c r="O19" s="312"/>
      <c r="P19" s="177" t="s">
        <v>3399</v>
      </c>
      <c r="Q19" s="259" t="s">
        <v>3400</v>
      </c>
    </row>
    <row r="20" spans="1:17" ht="39.6" x14ac:dyDescent="0.3">
      <c r="A20" s="157">
        <v>10</v>
      </c>
      <c r="B20" s="207" t="s">
        <v>3299</v>
      </c>
      <c r="C20" s="201" t="s">
        <v>3373</v>
      </c>
      <c r="D20" s="159" t="s">
        <v>3339</v>
      </c>
      <c r="E20" s="210" t="s">
        <v>1760</v>
      </c>
      <c r="F20" s="205" t="s">
        <v>3350</v>
      </c>
      <c r="G20" s="159" t="s">
        <v>3374</v>
      </c>
      <c r="H20" s="159" t="s">
        <v>3375</v>
      </c>
      <c r="I20" s="159" t="s">
        <v>3376</v>
      </c>
      <c r="J20" s="159" t="s">
        <v>3377</v>
      </c>
      <c r="K20" s="159" t="s">
        <v>3378</v>
      </c>
      <c r="L20" s="159" t="s">
        <v>3379</v>
      </c>
      <c r="M20" s="159" t="s">
        <v>3380</v>
      </c>
      <c r="N20" s="159">
        <v>19</v>
      </c>
      <c r="O20" s="312"/>
      <c r="P20" s="177" t="s">
        <v>3382</v>
      </c>
      <c r="Q20" s="177" t="s">
        <v>3383</v>
      </c>
    </row>
    <row r="21" spans="1:17" ht="57" customHeight="1" x14ac:dyDescent="0.3">
      <c r="A21" s="157">
        <v>137</v>
      </c>
      <c r="B21" s="229" t="s">
        <v>4163</v>
      </c>
      <c r="C21" s="201" t="s">
        <v>4182</v>
      </c>
      <c r="D21" s="159" t="s">
        <v>3339</v>
      </c>
      <c r="E21" s="164" t="s">
        <v>1823</v>
      </c>
      <c r="F21" s="228" t="s">
        <v>651</v>
      </c>
      <c r="G21" s="159" t="s">
        <v>4183</v>
      </c>
      <c r="H21" s="159" t="s">
        <v>2533</v>
      </c>
      <c r="I21" s="159" t="s">
        <v>2825</v>
      </c>
      <c r="J21" s="159" t="s">
        <v>336</v>
      </c>
      <c r="K21" s="159" t="s">
        <v>336</v>
      </c>
      <c r="L21" s="159" t="s">
        <v>336</v>
      </c>
      <c r="M21" s="159" t="s">
        <v>4165</v>
      </c>
      <c r="N21" s="159">
        <v>20</v>
      </c>
      <c r="O21" s="312"/>
    </row>
    <row r="22" spans="1:17" ht="22.8" x14ac:dyDescent="0.3">
      <c r="A22" s="203">
        <v>139</v>
      </c>
      <c r="B22" s="229" t="s">
        <v>4163</v>
      </c>
      <c r="C22" s="201" t="s">
        <v>4188</v>
      </c>
      <c r="D22" s="159" t="s">
        <v>3339</v>
      </c>
      <c r="E22" s="223" t="s">
        <v>4104</v>
      </c>
      <c r="F22" s="228" t="s">
        <v>651</v>
      </c>
      <c r="G22" s="159" t="s">
        <v>4189</v>
      </c>
      <c r="H22" s="159" t="s">
        <v>2533</v>
      </c>
      <c r="I22" s="159" t="s">
        <v>2825</v>
      </c>
      <c r="J22" s="159" t="s">
        <v>336</v>
      </c>
      <c r="K22" s="159" t="s">
        <v>336</v>
      </c>
      <c r="L22" s="159" t="s">
        <v>336</v>
      </c>
      <c r="M22" s="159" t="s">
        <v>4165</v>
      </c>
      <c r="N22" s="159">
        <v>21</v>
      </c>
      <c r="O22" s="312"/>
    </row>
    <row r="23" spans="1:17" ht="42" customHeight="1" x14ac:dyDescent="0.3">
      <c r="A23" s="157">
        <v>6</v>
      </c>
      <c r="B23" s="207" t="s">
        <v>3299</v>
      </c>
      <c r="C23" s="201" t="s">
        <v>3338</v>
      </c>
      <c r="D23" s="159" t="s">
        <v>3339</v>
      </c>
      <c r="E23" s="210" t="s">
        <v>1760</v>
      </c>
      <c r="F23" s="209">
        <v>46191</v>
      </c>
      <c r="G23" s="159" t="s">
        <v>2654</v>
      </c>
      <c r="H23" s="159" t="s">
        <v>2523</v>
      </c>
      <c r="I23" s="159" t="s">
        <v>3341</v>
      </c>
      <c r="J23" s="159" t="s">
        <v>3342</v>
      </c>
      <c r="K23" s="159" t="s">
        <v>3343</v>
      </c>
      <c r="L23" s="159" t="s">
        <v>3344</v>
      </c>
      <c r="M23" s="159" t="s">
        <v>3345</v>
      </c>
      <c r="N23" s="159">
        <v>22</v>
      </c>
      <c r="O23" s="312"/>
      <c r="P23" s="64" t="s">
        <v>3347</v>
      </c>
      <c r="Q23" s="64" t="s">
        <v>3348</v>
      </c>
    </row>
    <row r="24" spans="1:17" ht="26.4" x14ac:dyDescent="0.3">
      <c r="A24" s="157">
        <v>136</v>
      </c>
      <c r="B24" s="229" t="s">
        <v>4163</v>
      </c>
      <c r="C24" s="201" t="s">
        <v>4177</v>
      </c>
      <c r="D24" s="159" t="s">
        <v>3339</v>
      </c>
      <c r="E24" s="164" t="s">
        <v>1823</v>
      </c>
      <c r="F24" s="230" t="s">
        <v>651</v>
      </c>
      <c r="G24" s="159" t="s">
        <v>4178</v>
      </c>
      <c r="H24" s="159" t="s">
        <v>2533</v>
      </c>
      <c r="I24" s="159" t="s">
        <v>4179</v>
      </c>
      <c r="J24" s="159" t="s">
        <v>336</v>
      </c>
      <c r="K24" s="159" t="s">
        <v>336</v>
      </c>
      <c r="L24" s="159" t="s">
        <v>336</v>
      </c>
      <c r="M24" s="159" t="s">
        <v>4180</v>
      </c>
      <c r="N24" s="159">
        <v>23</v>
      </c>
      <c r="O24" s="312"/>
    </row>
    <row r="25" spans="1:17" ht="40.5" customHeight="1" x14ac:dyDescent="0.3">
      <c r="A25" s="157">
        <v>20</v>
      </c>
      <c r="B25" s="207" t="s">
        <v>3299</v>
      </c>
      <c r="C25" s="251" t="s">
        <v>3451</v>
      </c>
      <c r="D25" s="159" t="s">
        <v>3452</v>
      </c>
      <c r="E25" s="210" t="s">
        <v>1760</v>
      </c>
      <c r="F25" s="206">
        <v>46191</v>
      </c>
      <c r="G25" s="159" t="s">
        <v>3453</v>
      </c>
      <c r="H25" s="159" t="s">
        <v>3340</v>
      </c>
      <c r="I25" s="159" t="s">
        <v>3454</v>
      </c>
      <c r="J25" s="159" t="s">
        <v>3455</v>
      </c>
      <c r="K25" s="159" t="s">
        <v>3456</v>
      </c>
      <c r="L25" s="159" t="s">
        <v>3457</v>
      </c>
      <c r="M25" s="159" t="s">
        <v>3458</v>
      </c>
      <c r="N25" s="159">
        <v>24</v>
      </c>
      <c r="O25" s="312"/>
      <c r="P25" s="64" t="s">
        <v>3460</v>
      </c>
      <c r="Q25" s="64" t="s">
        <v>3460</v>
      </c>
    </row>
    <row r="26" spans="1:17" ht="26.4" x14ac:dyDescent="0.3">
      <c r="A26" s="203">
        <v>135</v>
      </c>
      <c r="B26" s="229" t="s">
        <v>4163</v>
      </c>
      <c r="C26" s="201" t="s">
        <v>4172</v>
      </c>
      <c r="D26" s="159" t="s">
        <v>3452</v>
      </c>
      <c r="E26" s="210" t="s">
        <v>1760</v>
      </c>
      <c r="F26" s="230" t="s">
        <v>651</v>
      </c>
      <c r="G26" s="159" t="s">
        <v>4173</v>
      </c>
      <c r="H26" s="159" t="s">
        <v>3589</v>
      </c>
      <c r="I26" s="159" t="s">
        <v>4174</v>
      </c>
      <c r="J26" s="159" t="s">
        <v>336</v>
      </c>
      <c r="K26" s="159" t="s">
        <v>336</v>
      </c>
      <c r="L26" s="159" t="s">
        <v>336</v>
      </c>
      <c r="M26" s="159" t="s">
        <v>4175</v>
      </c>
      <c r="N26" s="159">
        <v>25</v>
      </c>
      <c r="O26" s="312"/>
    </row>
    <row r="27" spans="1:17" ht="26.4" x14ac:dyDescent="0.3">
      <c r="A27" s="157">
        <v>126</v>
      </c>
      <c r="B27" s="226" t="s">
        <v>4110</v>
      </c>
      <c r="C27" s="201" t="s">
        <v>4126</v>
      </c>
      <c r="D27" s="159" t="s">
        <v>3452</v>
      </c>
      <c r="E27" s="165" t="s">
        <v>1756</v>
      </c>
      <c r="F27" s="159" t="s">
        <v>4112</v>
      </c>
      <c r="G27" s="159" t="s">
        <v>4127</v>
      </c>
      <c r="H27" s="159" t="s">
        <v>3375</v>
      </c>
      <c r="I27" s="159" t="s">
        <v>4128</v>
      </c>
      <c r="J27" s="159" t="s">
        <v>4129</v>
      </c>
      <c r="K27" s="159" t="s">
        <v>4130</v>
      </c>
      <c r="L27" s="159" t="s">
        <v>4131</v>
      </c>
      <c r="M27" s="159" t="s">
        <v>3719</v>
      </c>
      <c r="N27" s="159">
        <v>26</v>
      </c>
      <c r="O27" s="312"/>
    </row>
    <row r="28" spans="1:17" ht="52.8" x14ac:dyDescent="0.3">
      <c r="A28" s="157">
        <v>127</v>
      </c>
      <c r="B28" s="226" t="s">
        <v>4110</v>
      </c>
      <c r="C28" s="201" t="s">
        <v>4133</v>
      </c>
      <c r="D28" s="159" t="s">
        <v>3452</v>
      </c>
      <c r="E28" s="165" t="s">
        <v>1756</v>
      </c>
      <c r="F28" s="159" t="s">
        <v>4112</v>
      </c>
      <c r="G28" s="159" t="s">
        <v>4134</v>
      </c>
      <c r="H28" s="159" t="s">
        <v>3375</v>
      </c>
      <c r="I28" s="159" t="s">
        <v>4135</v>
      </c>
      <c r="J28" s="159" t="s">
        <v>4136</v>
      </c>
      <c r="K28" s="159" t="s">
        <v>336</v>
      </c>
      <c r="L28" s="159" t="s">
        <v>4137</v>
      </c>
      <c r="M28" s="159" t="s">
        <v>3719</v>
      </c>
      <c r="N28" s="159">
        <v>27</v>
      </c>
      <c r="O28" s="312"/>
    </row>
    <row r="29" spans="1:17" ht="26.4" x14ac:dyDescent="0.3">
      <c r="A29" s="157">
        <v>98</v>
      </c>
      <c r="B29" s="217" t="s">
        <v>3817</v>
      </c>
      <c r="C29" s="201" t="s">
        <v>3972</v>
      </c>
      <c r="D29" s="159" t="s">
        <v>3452</v>
      </c>
      <c r="E29" s="165" t="s">
        <v>1756</v>
      </c>
      <c r="F29" s="159" t="s">
        <v>2522</v>
      </c>
      <c r="G29" s="159" t="s">
        <v>3973</v>
      </c>
      <c r="H29" s="159" t="s">
        <v>2523</v>
      </c>
      <c r="I29" s="159" t="s">
        <v>3974</v>
      </c>
      <c r="J29" s="159" t="s">
        <v>3975</v>
      </c>
      <c r="K29" s="159" t="s">
        <v>336</v>
      </c>
      <c r="L29" s="159" t="s">
        <v>3976</v>
      </c>
      <c r="M29" s="159" t="s">
        <v>3719</v>
      </c>
      <c r="N29" s="159">
        <v>28</v>
      </c>
      <c r="O29" s="312"/>
    </row>
    <row r="30" spans="1:17" ht="26.4" x14ac:dyDescent="0.3">
      <c r="A30" s="203">
        <v>143</v>
      </c>
      <c r="B30" s="233" t="s">
        <v>4191</v>
      </c>
      <c r="C30" s="201" t="s">
        <v>4206</v>
      </c>
      <c r="D30" s="159" t="s">
        <v>3452</v>
      </c>
      <c r="E30" s="165" t="s">
        <v>1756</v>
      </c>
      <c r="F30" s="223" t="s">
        <v>2589</v>
      </c>
      <c r="G30" s="159" t="s">
        <v>4207</v>
      </c>
      <c r="H30" s="159" t="s">
        <v>336</v>
      </c>
      <c r="I30" s="159" t="s">
        <v>4208</v>
      </c>
      <c r="J30" s="159" t="s">
        <v>336</v>
      </c>
      <c r="K30" s="159" t="s">
        <v>336</v>
      </c>
      <c r="L30" s="159" t="s">
        <v>336</v>
      </c>
      <c r="M30" s="159" t="s">
        <v>4209</v>
      </c>
      <c r="N30" s="159">
        <v>29</v>
      </c>
      <c r="O30" s="312"/>
    </row>
    <row r="31" spans="1:17" ht="22.8" x14ac:dyDescent="0.3">
      <c r="A31" s="157">
        <v>142</v>
      </c>
      <c r="B31" s="233" t="s">
        <v>4191</v>
      </c>
      <c r="C31" s="201" t="s">
        <v>4201</v>
      </c>
      <c r="D31" s="159" t="s">
        <v>3452</v>
      </c>
      <c r="E31" s="164" t="s">
        <v>1823</v>
      </c>
      <c r="F31" s="223" t="s">
        <v>2589</v>
      </c>
      <c r="G31" s="159" t="s">
        <v>4202</v>
      </c>
      <c r="H31" s="159" t="s">
        <v>336</v>
      </c>
      <c r="I31" s="159" t="s">
        <v>4203</v>
      </c>
      <c r="J31" s="159" t="s">
        <v>336</v>
      </c>
      <c r="K31" s="159" t="s">
        <v>336</v>
      </c>
      <c r="L31" s="159" t="s">
        <v>336</v>
      </c>
      <c r="M31" s="159" t="s">
        <v>4204</v>
      </c>
      <c r="N31" s="159">
        <v>30</v>
      </c>
      <c r="O31" s="312"/>
    </row>
    <row r="32" spans="1:17" ht="39.6" x14ac:dyDescent="0.3">
      <c r="A32" s="157">
        <v>21</v>
      </c>
      <c r="B32" s="207" t="s">
        <v>3299</v>
      </c>
      <c r="C32" s="201" t="s">
        <v>3461</v>
      </c>
      <c r="D32" s="159" t="s">
        <v>3452</v>
      </c>
      <c r="E32" s="210" t="s">
        <v>1760</v>
      </c>
      <c r="F32" s="209">
        <v>46191</v>
      </c>
      <c r="G32" s="159" t="s">
        <v>3462</v>
      </c>
      <c r="H32" s="159" t="s">
        <v>3340</v>
      </c>
      <c r="I32" s="159" t="s">
        <v>3463</v>
      </c>
      <c r="J32" s="159" t="s">
        <v>3464</v>
      </c>
      <c r="K32" s="159" t="s">
        <v>3465</v>
      </c>
      <c r="L32" s="159" t="s">
        <v>336</v>
      </c>
      <c r="M32" s="159" t="s">
        <v>3466</v>
      </c>
      <c r="N32" s="159">
        <v>31</v>
      </c>
      <c r="O32" s="312"/>
      <c r="P32" s="64" t="s">
        <v>3460</v>
      </c>
      <c r="Q32" s="64" t="s">
        <v>3468</v>
      </c>
    </row>
    <row r="33" spans="1:17" ht="26.4" x14ac:dyDescent="0.3">
      <c r="A33" s="157">
        <v>53</v>
      </c>
      <c r="B33" s="207" t="s">
        <v>3299</v>
      </c>
      <c r="C33" s="201" t="s">
        <v>3692</v>
      </c>
      <c r="D33" s="159" t="s">
        <v>3452</v>
      </c>
      <c r="E33" s="164" t="s">
        <v>1823</v>
      </c>
      <c r="F33" s="209">
        <v>46191</v>
      </c>
      <c r="G33" s="159" t="s">
        <v>3693</v>
      </c>
      <c r="H33" s="159" t="s">
        <v>2523</v>
      </c>
      <c r="I33" s="159" t="s">
        <v>3694</v>
      </c>
      <c r="J33" s="159" t="s">
        <v>3695</v>
      </c>
      <c r="K33" s="159" t="s">
        <v>3696</v>
      </c>
      <c r="L33" s="159" t="s">
        <v>336</v>
      </c>
      <c r="M33" s="159" t="s">
        <v>336</v>
      </c>
      <c r="N33" s="159">
        <v>32</v>
      </c>
      <c r="O33" s="312"/>
      <c r="P33" s="64" t="s">
        <v>3477</v>
      </c>
      <c r="Q33" s="64" t="s">
        <v>3409</v>
      </c>
    </row>
    <row r="34" spans="1:17" ht="79.2" x14ac:dyDescent="0.3">
      <c r="A34" s="203">
        <v>54</v>
      </c>
      <c r="B34" s="207" t="s">
        <v>3299</v>
      </c>
      <c r="C34" s="201" t="s">
        <v>3698</v>
      </c>
      <c r="D34" s="159" t="s">
        <v>3452</v>
      </c>
      <c r="E34" s="164" t="s">
        <v>1823</v>
      </c>
      <c r="F34" s="209">
        <v>46191</v>
      </c>
      <c r="G34" s="159" t="s">
        <v>3699</v>
      </c>
      <c r="H34" s="159" t="s">
        <v>3340</v>
      </c>
      <c r="I34" s="159" t="s">
        <v>3700</v>
      </c>
      <c r="J34" s="159" t="s">
        <v>3701</v>
      </c>
      <c r="K34" s="159" t="s">
        <v>3702</v>
      </c>
      <c r="L34" s="159" t="s">
        <v>3703</v>
      </c>
      <c r="M34" s="159" t="s">
        <v>3704</v>
      </c>
      <c r="N34" s="159">
        <v>33</v>
      </c>
      <c r="O34" s="312"/>
      <c r="P34" s="178" t="s">
        <v>3536</v>
      </c>
    </row>
    <row r="35" spans="1:17" ht="39.6" x14ac:dyDescent="0.3">
      <c r="A35" s="157">
        <v>1</v>
      </c>
      <c r="B35" s="207" t="s">
        <v>3299</v>
      </c>
      <c r="C35" s="241" t="s">
        <v>3300</v>
      </c>
      <c r="D35" s="159" t="s">
        <v>3301</v>
      </c>
      <c r="E35" s="208" t="s">
        <v>1797</v>
      </c>
      <c r="F35" s="209">
        <v>46191</v>
      </c>
      <c r="G35" s="159" t="s">
        <v>3302</v>
      </c>
      <c r="H35" s="159" t="s">
        <v>2533</v>
      </c>
      <c r="I35" s="159" t="s">
        <v>3303</v>
      </c>
      <c r="J35" s="159" t="s">
        <v>3304</v>
      </c>
      <c r="K35" s="159" t="s">
        <v>3305</v>
      </c>
      <c r="L35" s="159" t="s">
        <v>336</v>
      </c>
      <c r="M35" s="159" t="s">
        <v>3306</v>
      </c>
      <c r="N35" s="159">
        <v>34</v>
      </c>
      <c r="O35" s="312"/>
      <c r="P35" s="178" t="s">
        <v>3308</v>
      </c>
    </row>
    <row r="36" spans="1:17" ht="52.8" x14ac:dyDescent="0.3">
      <c r="A36" s="157">
        <v>4</v>
      </c>
      <c r="B36" s="207" t="s">
        <v>3299</v>
      </c>
      <c r="C36" s="201" t="s">
        <v>3322</v>
      </c>
      <c r="D36" s="159" t="s">
        <v>3301</v>
      </c>
      <c r="E36" s="208" t="s">
        <v>1797</v>
      </c>
      <c r="F36" s="209">
        <v>46191</v>
      </c>
      <c r="G36" s="159" t="s">
        <v>2731</v>
      </c>
      <c r="H36" s="159" t="s">
        <v>2533</v>
      </c>
      <c r="I36" s="159" t="s">
        <v>3323</v>
      </c>
      <c r="J36" s="159" t="s">
        <v>3324</v>
      </c>
      <c r="K36" s="159" t="s">
        <v>336</v>
      </c>
      <c r="L36" s="159" t="s">
        <v>336</v>
      </c>
      <c r="M36" s="159" t="s">
        <v>3325</v>
      </c>
      <c r="N36" s="159">
        <v>35</v>
      </c>
      <c r="O36" s="312"/>
      <c r="P36" s="178" t="s">
        <v>3327</v>
      </c>
    </row>
    <row r="37" spans="1:17" ht="39.6" x14ac:dyDescent="0.3">
      <c r="A37" s="157">
        <v>11</v>
      </c>
      <c r="B37" s="207" t="s">
        <v>3299</v>
      </c>
      <c r="C37" s="201" t="s">
        <v>3384</v>
      </c>
      <c r="D37" s="159" t="s">
        <v>3301</v>
      </c>
      <c r="E37" s="210" t="s">
        <v>1760</v>
      </c>
      <c r="F37" s="209">
        <v>46191</v>
      </c>
      <c r="G37" s="159" t="s">
        <v>2735</v>
      </c>
      <c r="H37" s="159" t="s">
        <v>3340</v>
      </c>
      <c r="I37" s="159" t="s">
        <v>3385</v>
      </c>
      <c r="J37" s="159" t="s">
        <v>3386</v>
      </c>
      <c r="K37" s="159" t="s">
        <v>3387</v>
      </c>
      <c r="L37" s="159" t="s">
        <v>3388</v>
      </c>
      <c r="M37" s="159" t="s">
        <v>3389</v>
      </c>
      <c r="N37" s="159">
        <v>36</v>
      </c>
      <c r="O37" s="312"/>
      <c r="P37" s="64" t="s">
        <v>3391</v>
      </c>
      <c r="Q37" s="64" t="s">
        <v>3392</v>
      </c>
    </row>
    <row r="38" spans="1:17" ht="52.8" x14ac:dyDescent="0.3">
      <c r="A38" s="203">
        <v>18</v>
      </c>
      <c r="B38" s="207" t="s">
        <v>3299</v>
      </c>
      <c r="C38" s="201" t="s">
        <v>3438</v>
      </c>
      <c r="D38" s="159" t="s">
        <v>3301</v>
      </c>
      <c r="E38" s="210" t="s">
        <v>1760</v>
      </c>
      <c r="F38" s="209">
        <v>46191</v>
      </c>
      <c r="G38" s="159" t="s">
        <v>3439</v>
      </c>
      <c r="H38" s="159" t="s">
        <v>2533</v>
      </c>
      <c r="I38" s="159" t="s">
        <v>3440</v>
      </c>
      <c r="J38" s="159" t="s">
        <v>3441</v>
      </c>
      <c r="K38" s="159" t="s">
        <v>3442</v>
      </c>
      <c r="L38" s="159" t="s">
        <v>3443</v>
      </c>
      <c r="M38" s="159" t="s">
        <v>3444</v>
      </c>
      <c r="N38" s="159">
        <v>37</v>
      </c>
      <c r="O38" s="312"/>
      <c r="P38" s="178" t="s">
        <v>3327</v>
      </c>
    </row>
    <row r="39" spans="1:17" ht="26.4" x14ac:dyDescent="0.3">
      <c r="A39" s="157">
        <v>19</v>
      </c>
      <c r="B39" s="207" t="s">
        <v>3299</v>
      </c>
      <c r="C39" s="201" t="s">
        <v>3438</v>
      </c>
      <c r="D39" s="159" t="s">
        <v>3301</v>
      </c>
      <c r="E39" s="210" t="s">
        <v>1760</v>
      </c>
      <c r="F39" s="206">
        <v>46191</v>
      </c>
      <c r="G39" s="159" t="s">
        <v>3446</v>
      </c>
      <c r="H39" s="159" t="s">
        <v>2533</v>
      </c>
      <c r="I39" s="159" t="s">
        <v>3447</v>
      </c>
      <c r="J39" s="159" t="s">
        <v>3448</v>
      </c>
      <c r="K39" s="159" t="s">
        <v>336</v>
      </c>
      <c r="L39" s="159" t="s">
        <v>336</v>
      </c>
      <c r="M39" s="159" t="s">
        <v>3449</v>
      </c>
      <c r="N39" s="159">
        <v>38</v>
      </c>
      <c r="O39" s="312"/>
      <c r="P39" s="178" t="s">
        <v>3327</v>
      </c>
    </row>
    <row r="40" spans="1:17" ht="26.4" x14ac:dyDescent="0.3">
      <c r="A40" s="157">
        <v>95</v>
      </c>
      <c r="B40" s="217" t="s">
        <v>3817</v>
      </c>
      <c r="C40" s="201" t="s">
        <v>3950</v>
      </c>
      <c r="D40" s="159" t="s">
        <v>3301</v>
      </c>
      <c r="E40" s="165" t="s">
        <v>1756</v>
      </c>
      <c r="F40" s="159" t="s">
        <v>2522</v>
      </c>
      <c r="G40" s="159" t="s">
        <v>2754</v>
      </c>
      <c r="H40" s="159" t="s">
        <v>3375</v>
      </c>
      <c r="I40" s="159" t="s">
        <v>3951</v>
      </c>
      <c r="J40" s="159" t="s">
        <v>3952</v>
      </c>
      <c r="K40" s="159" t="s">
        <v>3953</v>
      </c>
      <c r="L40" s="159" t="s">
        <v>3954</v>
      </c>
      <c r="M40" s="159" t="s">
        <v>3955</v>
      </c>
      <c r="N40" s="159">
        <v>39</v>
      </c>
      <c r="O40" s="312"/>
    </row>
    <row r="41" spans="1:17" ht="26.4" x14ac:dyDescent="0.3">
      <c r="A41" s="157">
        <v>99</v>
      </c>
      <c r="B41" s="217" t="s">
        <v>3817</v>
      </c>
      <c r="C41" s="201" t="s">
        <v>3978</v>
      </c>
      <c r="D41" s="159" t="s">
        <v>3301</v>
      </c>
      <c r="E41" s="165" t="s">
        <v>1756</v>
      </c>
      <c r="F41" s="159" t="s">
        <v>2522</v>
      </c>
      <c r="G41" s="159" t="s">
        <v>3979</v>
      </c>
      <c r="H41" s="159" t="s">
        <v>3589</v>
      </c>
      <c r="I41" s="159" t="s">
        <v>3980</v>
      </c>
      <c r="J41" s="159" t="s">
        <v>3981</v>
      </c>
      <c r="K41" s="159" t="s">
        <v>3982</v>
      </c>
      <c r="L41" s="159" t="s">
        <v>336</v>
      </c>
      <c r="M41" s="159" t="s">
        <v>3983</v>
      </c>
      <c r="N41" s="159">
        <v>40</v>
      </c>
      <c r="O41" s="312"/>
    </row>
    <row r="42" spans="1:17" ht="26.4" x14ac:dyDescent="0.3">
      <c r="A42" s="203">
        <v>85</v>
      </c>
      <c r="B42" s="217" t="s">
        <v>3817</v>
      </c>
      <c r="C42" s="201" t="s">
        <v>3894</v>
      </c>
      <c r="D42" s="159" t="s">
        <v>3301</v>
      </c>
      <c r="E42" s="164" t="s">
        <v>1823</v>
      </c>
      <c r="F42" s="159" t="s">
        <v>2522</v>
      </c>
      <c r="G42" s="159" t="s">
        <v>3895</v>
      </c>
      <c r="H42" s="159" t="s">
        <v>2523</v>
      </c>
      <c r="I42" s="159" t="s">
        <v>3896</v>
      </c>
      <c r="J42" s="159" t="s">
        <v>3897</v>
      </c>
      <c r="K42" s="159" t="s">
        <v>3898</v>
      </c>
      <c r="L42" s="159" t="s">
        <v>3899</v>
      </c>
      <c r="M42" s="159" t="s">
        <v>336</v>
      </c>
      <c r="N42" s="159">
        <v>41</v>
      </c>
      <c r="O42" s="312"/>
    </row>
    <row r="43" spans="1:17" ht="39.6" x14ac:dyDescent="0.3">
      <c r="A43" s="157">
        <v>55</v>
      </c>
      <c r="B43" s="207" t="s">
        <v>3299</v>
      </c>
      <c r="C43" s="201" t="s">
        <v>3706</v>
      </c>
      <c r="D43" s="159" t="s">
        <v>3301</v>
      </c>
      <c r="E43" s="164" t="s">
        <v>1823</v>
      </c>
      <c r="F43" s="208" t="s">
        <v>3350</v>
      </c>
      <c r="G43" s="159" t="s">
        <v>3707</v>
      </c>
      <c r="H43" s="159" t="s">
        <v>2523</v>
      </c>
      <c r="I43" s="159" t="s">
        <v>3708</v>
      </c>
      <c r="J43" s="159" t="s">
        <v>3709</v>
      </c>
      <c r="K43" s="159" t="s">
        <v>336</v>
      </c>
      <c r="L43" s="159" t="s">
        <v>3710</v>
      </c>
      <c r="M43" s="159" t="s">
        <v>3711</v>
      </c>
      <c r="N43" s="159">
        <v>42</v>
      </c>
      <c r="O43" s="312"/>
      <c r="P43" s="178" t="s">
        <v>3536</v>
      </c>
    </row>
    <row r="44" spans="1:17" ht="28.8" x14ac:dyDescent="0.3">
      <c r="A44" s="157">
        <v>56</v>
      </c>
      <c r="B44" s="207" t="s">
        <v>3299</v>
      </c>
      <c r="C44" s="201" t="s">
        <v>3713</v>
      </c>
      <c r="D44" s="159" t="s">
        <v>3301</v>
      </c>
      <c r="E44" s="164" t="s">
        <v>1823</v>
      </c>
      <c r="F44" s="209">
        <v>46191</v>
      </c>
      <c r="G44" s="159" t="s">
        <v>3714</v>
      </c>
      <c r="H44" s="159" t="s">
        <v>3375</v>
      </c>
      <c r="I44" s="159" t="s">
        <v>3715</v>
      </c>
      <c r="J44" s="159" t="s">
        <v>3716</v>
      </c>
      <c r="K44" s="159" t="s">
        <v>3717</v>
      </c>
      <c r="L44" s="159" t="s">
        <v>3718</v>
      </c>
      <c r="M44" s="159" t="s">
        <v>3719</v>
      </c>
      <c r="N44" s="159">
        <v>43</v>
      </c>
      <c r="O44" s="312"/>
      <c r="P44" s="177" t="s">
        <v>3721</v>
      </c>
    </row>
    <row r="45" spans="1:17" ht="39.6" x14ac:dyDescent="0.3">
      <c r="A45" s="157">
        <v>70</v>
      </c>
      <c r="B45" s="207" t="s">
        <v>3299</v>
      </c>
      <c r="C45" s="201" t="s">
        <v>3796</v>
      </c>
      <c r="D45" s="159" t="s">
        <v>3301</v>
      </c>
      <c r="E45" s="165" t="s">
        <v>1756</v>
      </c>
      <c r="F45" s="208" t="s">
        <v>3350</v>
      </c>
      <c r="G45" s="159" t="s">
        <v>2782</v>
      </c>
      <c r="H45" s="159" t="s">
        <v>3340</v>
      </c>
      <c r="I45" s="159" t="s">
        <v>3797</v>
      </c>
      <c r="J45" s="159" t="s">
        <v>3798</v>
      </c>
      <c r="K45" s="159" t="s">
        <v>336</v>
      </c>
      <c r="L45" s="159" t="s">
        <v>3799</v>
      </c>
      <c r="M45" s="159" t="s">
        <v>3800</v>
      </c>
      <c r="N45" s="159">
        <v>44</v>
      </c>
      <c r="O45" s="312"/>
      <c r="P45" s="64" t="s">
        <v>3409</v>
      </c>
      <c r="Q45" s="64" t="s">
        <v>3409</v>
      </c>
    </row>
    <row r="46" spans="1:17" ht="26.4" x14ac:dyDescent="0.3">
      <c r="A46" s="203">
        <v>8</v>
      </c>
      <c r="B46" s="207" t="s">
        <v>3299</v>
      </c>
      <c r="C46" s="201" t="s">
        <v>3357</v>
      </c>
      <c r="D46" s="159" t="s">
        <v>3301</v>
      </c>
      <c r="E46" s="210" t="s">
        <v>1760</v>
      </c>
      <c r="F46" s="209">
        <v>46191</v>
      </c>
      <c r="G46" s="159" t="s">
        <v>3358</v>
      </c>
      <c r="H46" s="159" t="s">
        <v>2533</v>
      </c>
      <c r="I46" s="159" t="s">
        <v>3359</v>
      </c>
      <c r="J46" s="159" t="s">
        <v>3360</v>
      </c>
      <c r="K46" s="159" t="s">
        <v>3361</v>
      </c>
      <c r="L46" s="159" t="s">
        <v>3362</v>
      </c>
      <c r="M46" s="159" t="s">
        <v>3363</v>
      </c>
      <c r="N46" s="159">
        <v>45</v>
      </c>
      <c r="O46" s="312"/>
      <c r="P46" s="178" t="s">
        <v>3308</v>
      </c>
    </row>
    <row r="47" spans="1:17" ht="52.8" x14ac:dyDescent="0.3">
      <c r="A47" s="157">
        <v>22</v>
      </c>
      <c r="B47" s="207" t="s">
        <v>3299</v>
      </c>
      <c r="C47" s="251" t="s">
        <v>3469</v>
      </c>
      <c r="D47" s="159" t="s">
        <v>3301</v>
      </c>
      <c r="E47" s="210" t="s">
        <v>1760</v>
      </c>
      <c r="F47" s="208" t="s">
        <v>3350</v>
      </c>
      <c r="G47" s="159" t="s">
        <v>3470</v>
      </c>
      <c r="H47" s="159" t="s">
        <v>2523</v>
      </c>
      <c r="I47" s="159" t="s">
        <v>3471</v>
      </c>
      <c r="J47" s="159" t="s">
        <v>3472</v>
      </c>
      <c r="K47" s="159" t="s">
        <v>3473</v>
      </c>
      <c r="L47" s="159" t="s">
        <v>3474</v>
      </c>
      <c r="M47" s="159" t="s">
        <v>3475</v>
      </c>
      <c r="N47" s="159">
        <v>46</v>
      </c>
      <c r="O47" s="312"/>
      <c r="P47" s="64" t="s">
        <v>3477</v>
      </c>
      <c r="Q47" s="64" t="s">
        <v>3478</v>
      </c>
    </row>
    <row r="48" spans="1:17" ht="39.6" x14ac:dyDescent="0.3">
      <c r="A48" s="157">
        <v>23</v>
      </c>
      <c r="B48" s="207" t="s">
        <v>3299</v>
      </c>
      <c r="C48" s="251" t="s">
        <v>3469</v>
      </c>
      <c r="D48" s="159" t="s">
        <v>3349</v>
      </c>
      <c r="E48" s="210" t="s">
        <v>1760</v>
      </c>
      <c r="F48" s="205" t="s">
        <v>3350</v>
      </c>
      <c r="G48" s="159" t="s">
        <v>3479</v>
      </c>
      <c r="H48" s="159" t="s">
        <v>2523</v>
      </c>
      <c r="I48" s="159" t="s">
        <v>3480</v>
      </c>
      <c r="J48" s="159" t="s">
        <v>3481</v>
      </c>
      <c r="K48" s="159" t="s">
        <v>3482</v>
      </c>
      <c r="L48" s="159" t="s">
        <v>3483</v>
      </c>
      <c r="M48" s="159" t="s">
        <v>3484</v>
      </c>
      <c r="N48" s="159">
        <v>47</v>
      </c>
      <c r="O48" s="312"/>
      <c r="P48" s="64" t="s">
        <v>3486</v>
      </c>
    </row>
    <row r="49" spans="1:17" ht="52.8" x14ac:dyDescent="0.3">
      <c r="A49" s="157">
        <v>24</v>
      </c>
      <c r="B49" s="207" t="s">
        <v>3299</v>
      </c>
      <c r="C49" s="251" t="s">
        <v>3487</v>
      </c>
      <c r="D49" s="159" t="s">
        <v>3349</v>
      </c>
      <c r="E49" s="210" t="s">
        <v>1760</v>
      </c>
      <c r="F49" s="206">
        <v>46191</v>
      </c>
      <c r="G49" s="159" t="s">
        <v>3488</v>
      </c>
      <c r="H49" s="159" t="s">
        <v>3340</v>
      </c>
      <c r="I49" s="159" t="s">
        <v>3489</v>
      </c>
      <c r="J49" s="159" t="s">
        <v>3490</v>
      </c>
      <c r="K49" s="159" t="s">
        <v>3491</v>
      </c>
      <c r="L49" s="159" t="s">
        <v>3492</v>
      </c>
      <c r="M49" s="159" t="s">
        <v>3493</v>
      </c>
      <c r="N49" s="159">
        <v>48</v>
      </c>
      <c r="O49" s="312"/>
      <c r="P49" s="177" t="s">
        <v>3495</v>
      </c>
      <c r="Q49" s="64" t="s">
        <v>3496</v>
      </c>
    </row>
    <row r="50" spans="1:17" ht="52.8" x14ac:dyDescent="0.3">
      <c r="A50" s="203">
        <v>140</v>
      </c>
      <c r="B50" s="233" t="s">
        <v>4191</v>
      </c>
      <c r="C50" s="201" t="s">
        <v>4192</v>
      </c>
      <c r="D50" s="159" t="s">
        <v>3349</v>
      </c>
      <c r="E50" s="210" t="s">
        <v>1760</v>
      </c>
      <c r="F50" s="232" t="s">
        <v>2589</v>
      </c>
      <c r="G50" s="159" t="s">
        <v>4193</v>
      </c>
      <c r="H50" s="159" t="s">
        <v>336</v>
      </c>
      <c r="I50" s="159" t="s">
        <v>4194</v>
      </c>
      <c r="J50" s="159" t="s">
        <v>336</v>
      </c>
      <c r="K50" s="159" t="s">
        <v>336</v>
      </c>
      <c r="L50" s="159" t="s">
        <v>336</v>
      </c>
      <c r="M50" s="159" t="s">
        <v>4195</v>
      </c>
      <c r="N50" s="159">
        <v>49</v>
      </c>
      <c r="O50" s="312"/>
    </row>
    <row r="51" spans="1:17" ht="39.6" x14ac:dyDescent="0.3">
      <c r="A51" s="157">
        <v>7</v>
      </c>
      <c r="B51" s="207" t="s">
        <v>3299</v>
      </c>
      <c r="C51" s="201" t="s">
        <v>2821</v>
      </c>
      <c r="D51" s="159" t="s">
        <v>3349</v>
      </c>
      <c r="E51" s="210" t="s">
        <v>1760</v>
      </c>
      <c r="F51" s="208" t="s">
        <v>3350</v>
      </c>
      <c r="G51" s="159" t="s">
        <v>2818</v>
      </c>
      <c r="H51" s="159" t="s">
        <v>3340</v>
      </c>
      <c r="I51" s="159" t="s">
        <v>3351</v>
      </c>
      <c r="J51" s="159" t="s">
        <v>3352</v>
      </c>
      <c r="K51" s="159" t="s">
        <v>3353</v>
      </c>
      <c r="L51" s="159" t="s">
        <v>336</v>
      </c>
      <c r="M51" s="159" t="s">
        <v>3354</v>
      </c>
      <c r="N51" s="159">
        <v>50</v>
      </c>
      <c r="O51" s="312"/>
      <c r="P51" s="177" t="s">
        <v>3356</v>
      </c>
    </row>
    <row r="52" spans="1:17" ht="26.4" x14ac:dyDescent="0.3">
      <c r="A52" s="157">
        <v>68</v>
      </c>
      <c r="B52" s="207" t="s">
        <v>3299</v>
      </c>
      <c r="C52" s="201" t="s">
        <v>3783</v>
      </c>
      <c r="D52" s="159" t="s">
        <v>3349</v>
      </c>
      <c r="E52" s="165" t="s">
        <v>1756</v>
      </c>
      <c r="F52" s="209">
        <v>46191</v>
      </c>
      <c r="G52" s="159" t="s">
        <v>3784</v>
      </c>
      <c r="H52" s="159" t="s">
        <v>2533</v>
      </c>
      <c r="I52" s="159" t="s">
        <v>3785</v>
      </c>
      <c r="J52" s="159" t="s">
        <v>3786</v>
      </c>
      <c r="K52" s="159" t="s">
        <v>336</v>
      </c>
      <c r="L52" s="159" t="s">
        <v>336</v>
      </c>
      <c r="M52" s="159" t="s">
        <v>3787</v>
      </c>
      <c r="N52" s="159">
        <v>51</v>
      </c>
      <c r="O52" s="312"/>
      <c r="P52" s="178" t="s">
        <v>3327</v>
      </c>
    </row>
    <row r="53" spans="1:17" ht="26.4" x14ac:dyDescent="0.3">
      <c r="A53" s="157">
        <v>100</v>
      </c>
      <c r="B53" s="217" t="s">
        <v>3817</v>
      </c>
      <c r="C53" s="201" t="s">
        <v>3985</v>
      </c>
      <c r="D53" s="159" t="s">
        <v>3349</v>
      </c>
      <c r="E53" s="165" t="s">
        <v>1756</v>
      </c>
      <c r="F53" s="159" t="s">
        <v>2522</v>
      </c>
      <c r="G53" s="159" t="s">
        <v>3986</v>
      </c>
      <c r="H53" s="159" t="s">
        <v>2523</v>
      </c>
      <c r="I53" s="159" t="s">
        <v>2086</v>
      </c>
      <c r="J53" s="159" t="s">
        <v>336</v>
      </c>
      <c r="K53" s="159" t="s">
        <v>3987</v>
      </c>
      <c r="L53" s="159" t="s">
        <v>336</v>
      </c>
      <c r="M53" s="159" t="s">
        <v>336</v>
      </c>
      <c r="N53" s="159">
        <v>52</v>
      </c>
      <c r="O53" s="312"/>
    </row>
    <row r="54" spans="1:17" ht="26.4" x14ac:dyDescent="0.3">
      <c r="A54" s="203">
        <v>101</v>
      </c>
      <c r="B54" s="217" t="s">
        <v>3817</v>
      </c>
      <c r="C54" s="201" t="s">
        <v>3985</v>
      </c>
      <c r="D54" s="159" t="s">
        <v>3349</v>
      </c>
      <c r="E54" s="165" t="s">
        <v>1756</v>
      </c>
      <c r="F54" s="199" t="s">
        <v>2522</v>
      </c>
      <c r="G54" s="159" t="s">
        <v>3989</v>
      </c>
      <c r="H54" s="159" t="s">
        <v>2523</v>
      </c>
      <c r="I54" s="159" t="s">
        <v>3990</v>
      </c>
      <c r="J54" s="159" t="s">
        <v>336</v>
      </c>
      <c r="K54" s="159" t="s">
        <v>3991</v>
      </c>
      <c r="L54" s="159" t="s">
        <v>336</v>
      </c>
      <c r="M54" s="159" t="s">
        <v>336</v>
      </c>
      <c r="N54" s="159">
        <v>53</v>
      </c>
      <c r="O54" s="312"/>
    </row>
    <row r="55" spans="1:17" ht="22.8" x14ac:dyDescent="0.3">
      <c r="A55" s="157">
        <v>133</v>
      </c>
      <c r="B55" s="229" t="s">
        <v>4163</v>
      </c>
      <c r="C55" s="201" t="s">
        <v>4167</v>
      </c>
      <c r="D55" s="159" t="s">
        <v>3366</v>
      </c>
      <c r="E55" s="210" t="s">
        <v>1760</v>
      </c>
      <c r="F55" s="228" t="s">
        <v>651</v>
      </c>
      <c r="G55" s="159" t="s">
        <v>4168</v>
      </c>
      <c r="H55" s="159" t="s">
        <v>2533</v>
      </c>
      <c r="I55" s="159" t="s">
        <v>2825</v>
      </c>
      <c r="J55" s="159" t="s">
        <v>336</v>
      </c>
      <c r="K55" s="159" t="s">
        <v>336</v>
      </c>
      <c r="L55" s="159" t="s">
        <v>336</v>
      </c>
      <c r="M55" s="159" t="s">
        <v>4165</v>
      </c>
      <c r="N55" s="159">
        <v>54</v>
      </c>
      <c r="O55" s="312"/>
    </row>
    <row r="56" spans="1:17" ht="52.8" x14ac:dyDescent="0.3">
      <c r="A56" s="157">
        <v>43</v>
      </c>
      <c r="B56" s="207" t="s">
        <v>3299</v>
      </c>
      <c r="C56" s="201" t="s">
        <v>3619</v>
      </c>
      <c r="D56" s="159" t="s">
        <v>3366</v>
      </c>
      <c r="E56" s="164" t="s">
        <v>1823</v>
      </c>
      <c r="F56" s="208" t="s">
        <v>3620</v>
      </c>
      <c r="G56" s="159" t="s">
        <v>3621</v>
      </c>
      <c r="H56" s="159" t="s">
        <v>3340</v>
      </c>
      <c r="I56" s="159" t="s">
        <v>3622</v>
      </c>
      <c r="J56" s="159" t="s">
        <v>3623</v>
      </c>
      <c r="K56" s="159" t="s">
        <v>3624</v>
      </c>
      <c r="L56" s="159" t="s">
        <v>3625</v>
      </c>
      <c r="M56" s="159" t="s">
        <v>3626</v>
      </c>
      <c r="N56" s="159">
        <v>55</v>
      </c>
      <c r="O56" s="312"/>
      <c r="P56" s="177" t="s">
        <v>3628</v>
      </c>
      <c r="Q56" s="64" t="s">
        <v>3629</v>
      </c>
    </row>
    <row r="57" spans="1:17" ht="52.8" x14ac:dyDescent="0.3">
      <c r="A57" s="157">
        <v>44</v>
      </c>
      <c r="B57" s="207" t="s">
        <v>3299</v>
      </c>
      <c r="C57" s="201" t="s">
        <v>3619</v>
      </c>
      <c r="D57" s="159" t="s">
        <v>3366</v>
      </c>
      <c r="E57" s="164" t="s">
        <v>1823</v>
      </c>
      <c r="F57" s="205" t="s">
        <v>3350</v>
      </c>
      <c r="G57" s="159" t="s">
        <v>2848</v>
      </c>
      <c r="H57" s="159" t="s">
        <v>3340</v>
      </c>
      <c r="I57" s="159" t="s">
        <v>3630</v>
      </c>
      <c r="J57" s="159" t="s">
        <v>3631</v>
      </c>
      <c r="K57" s="159" t="s">
        <v>3632</v>
      </c>
      <c r="L57" s="159" t="s">
        <v>336</v>
      </c>
      <c r="M57" s="159" t="s">
        <v>3633</v>
      </c>
      <c r="N57" s="313">
        <v>56</v>
      </c>
      <c r="O57" s="314"/>
      <c r="P57" s="64" t="s">
        <v>3635</v>
      </c>
    </row>
    <row r="58" spans="1:17" ht="26.4" x14ac:dyDescent="0.3">
      <c r="A58" s="203">
        <v>79</v>
      </c>
      <c r="B58" s="217" t="s">
        <v>3817</v>
      </c>
      <c r="C58" s="201" t="s">
        <v>3856</v>
      </c>
      <c r="D58" s="159" t="s">
        <v>3366</v>
      </c>
      <c r="E58" s="164" t="s">
        <v>1823</v>
      </c>
      <c r="F58" s="159" t="s">
        <v>2522</v>
      </c>
      <c r="G58" s="159" t="s">
        <v>2853</v>
      </c>
      <c r="H58" s="159" t="s">
        <v>2523</v>
      </c>
      <c r="I58" s="159" t="s">
        <v>3857</v>
      </c>
      <c r="J58" s="159" t="s">
        <v>3858</v>
      </c>
      <c r="K58" s="159" t="s">
        <v>3859</v>
      </c>
      <c r="L58" s="159" t="s">
        <v>336</v>
      </c>
      <c r="M58" s="159" t="s">
        <v>336</v>
      </c>
      <c r="N58" s="313">
        <v>57</v>
      </c>
      <c r="O58" s="314"/>
    </row>
    <row r="59" spans="1:17" ht="26.4" x14ac:dyDescent="0.3">
      <c r="A59" s="157">
        <v>71</v>
      </c>
      <c r="B59" s="207" t="s">
        <v>3299</v>
      </c>
      <c r="C59" s="201" t="s">
        <v>3802</v>
      </c>
      <c r="D59" s="159" t="s">
        <v>3366</v>
      </c>
      <c r="E59" s="165" t="s">
        <v>1756</v>
      </c>
      <c r="F59" s="209">
        <v>46191</v>
      </c>
      <c r="G59" s="159" t="s">
        <v>2858</v>
      </c>
      <c r="H59" s="159" t="s">
        <v>3340</v>
      </c>
      <c r="I59" s="159" t="s">
        <v>3803</v>
      </c>
      <c r="J59" s="159" t="s">
        <v>3804</v>
      </c>
      <c r="K59" s="159" t="s">
        <v>3805</v>
      </c>
      <c r="L59" s="159" t="s">
        <v>336</v>
      </c>
      <c r="M59" s="159" t="s">
        <v>3806</v>
      </c>
      <c r="N59" s="313">
        <v>58</v>
      </c>
      <c r="O59" s="314"/>
      <c r="P59" s="177" t="s">
        <v>3808</v>
      </c>
      <c r="Q59" s="64" t="s">
        <v>3496</v>
      </c>
    </row>
    <row r="60" spans="1:17" ht="39.6" x14ac:dyDescent="0.3">
      <c r="A60" s="157">
        <v>9</v>
      </c>
      <c r="B60" s="211" t="s">
        <v>3299</v>
      </c>
      <c r="C60" s="236" t="s">
        <v>3365</v>
      </c>
      <c r="D60" s="200" t="s">
        <v>3366</v>
      </c>
      <c r="E60" s="212" t="s">
        <v>1760</v>
      </c>
      <c r="F60" s="213">
        <v>46191</v>
      </c>
      <c r="G60" s="200" t="s">
        <v>3367</v>
      </c>
      <c r="H60" s="200" t="s">
        <v>336</v>
      </c>
      <c r="I60" s="200" t="s">
        <v>3368</v>
      </c>
      <c r="J60" s="200" t="s">
        <v>3369</v>
      </c>
      <c r="K60" s="200" t="s">
        <v>3370</v>
      </c>
      <c r="L60" s="200" t="s">
        <v>336</v>
      </c>
      <c r="M60" s="200" t="s">
        <v>3371</v>
      </c>
      <c r="N60" s="315">
        <v>59</v>
      </c>
      <c r="O60" s="314"/>
      <c r="P60" s="255"/>
      <c r="Q60" s="255"/>
    </row>
    <row r="61" spans="1:17" ht="26.4" x14ac:dyDescent="0.3">
      <c r="A61" s="157">
        <v>51</v>
      </c>
      <c r="B61" s="207" t="s">
        <v>3299</v>
      </c>
      <c r="C61" s="201" t="s">
        <v>3680</v>
      </c>
      <c r="D61" s="159" t="s">
        <v>3366</v>
      </c>
      <c r="E61" s="164" t="s">
        <v>1823</v>
      </c>
      <c r="F61" s="209">
        <v>46191</v>
      </c>
      <c r="G61" s="159" t="s">
        <v>2868</v>
      </c>
      <c r="H61" s="159" t="s">
        <v>2533</v>
      </c>
      <c r="I61" s="159" t="s">
        <v>3681</v>
      </c>
      <c r="J61" s="159" t="s">
        <v>3682</v>
      </c>
      <c r="K61" s="159" t="s">
        <v>3683</v>
      </c>
      <c r="L61" s="159" t="s">
        <v>336</v>
      </c>
      <c r="M61" s="159" t="s">
        <v>336</v>
      </c>
      <c r="N61" s="313">
        <v>60</v>
      </c>
      <c r="O61" s="314"/>
      <c r="P61" s="256" t="s">
        <v>3685</v>
      </c>
      <c r="Q61" s="197" t="s">
        <v>4282</v>
      </c>
    </row>
    <row r="62" spans="1:17" ht="39.6" x14ac:dyDescent="0.3">
      <c r="A62" s="203">
        <v>15</v>
      </c>
      <c r="B62" s="207" t="s">
        <v>3299</v>
      </c>
      <c r="C62" s="243" t="s">
        <v>3401</v>
      </c>
      <c r="D62" s="159" t="s">
        <v>3366</v>
      </c>
      <c r="E62" s="164" t="s">
        <v>1823</v>
      </c>
      <c r="F62" s="209">
        <v>46191</v>
      </c>
      <c r="G62" s="159" t="s">
        <v>3418</v>
      </c>
      <c r="H62" s="159" t="s">
        <v>3340</v>
      </c>
      <c r="I62" s="159" t="s">
        <v>3419</v>
      </c>
      <c r="J62" s="159" t="s">
        <v>3420</v>
      </c>
      <c r="K62" s="159" t="s">
        <v>3421</v>
      </c>
      <c r="L62" s="159" t="s">
        <v>336</v>
      </c>
      <c r="M62" s="159" t="s">
        <v>3422</v>
      </c>
      <c r="N62" s="313">
        <v>61</v>
      </c>
      <c r="O62" s="314"/>
      <c r="P62" s="64" t="s">
        <v>4284</v>
      </c>
      <c r="Q62" s="256" t="s">
        <v>3685</v>
      </c>
    </row>
    <row r="63" spans="1:17" ht="26.4" x14ac:dyDescent="0.3">
      <c r="A63" s="157">
        <v>46</v>
      </c>
      <c r="B63" s="207" t="s">
        <v>3299</v>
      </c>
      <c r="C63" s="201" t="s">
        <v>3643</v>
      </c>
      <c r="D63" s="159" t="s">
        <v>3366</v>
      </c>
      <c r="E63" s="164" t="s">
        <v>1823</v>
      </c>
      <c r="F63" s="209">
        <v>46191</v>
      </c>
      <c r="G63" s="159" t="s">
        <v>3644</v>
      </c>
      <c r="H63" s="159" t="s">
        <v>3589</v>
      </c>
      <c r="I63" s="159" t="s">
        <v>3645</v>
      </c>
      <c r="J63" s="159" t="s">
        <v>3646</v>
      </c>
      <c r="K63" s="159" t="s">
        <v>3647</v>
      </c>
      <c r="L63" s="159" t="s">
        <v>3648</v>
      </c>
      <c r="M63" s="159" t="s">
        <v>336</v>
      </c>
      <c r="N63" s="313">
        <v>62</v>
      </c>
      <c r="O63" s="314"/>
      <c r="P63" s="177" t="s">
        <v>3650</v>
      </c>
    </row>
    <row r="64" spans="1:17" ht="39.6" x14ac:dyDescent="0.3">
      <c r="A64" s="157">
        <v>128</v>
      </c>
      <c r="B64" s="226" t="s">
        <v>4110</v>
      </c>
      <c r="C64" s="201" t="s">
        <v>4139</v>
      </c>
      <c r="D64" s="159" t="s">
        <v>3366</v>
      </c>
      <c r="E64" s="165" t="s">
        <v>1756</v>
      </c>
      <c r="F64" s="159" t="s">
        <v>4112</v>
      </c>
      <c r="G64" s="159" t="s">
        <v>2881</v>
      </c>
      <c r="H64" s="159" t="s">
        <v>336</v>
      </c>
      <c r="I64" s="159" t="s">
        <v>4140</v>
      </c>
      <c r="J64" s="159" t="s">
        <v>4141</v>
      </c>
      <c r="K64" s="159" t="s">
        <v>4142</v>
      </c>
      <c r="L64" s="159" t="s">
        <v>4143</v>
      </c>
      <c r="M64" s="159" t="s">
        <v>4144</v>
      </c>
      <c r="N64" s="313">
        <v>63</v>
      </c>
      <c r="O64" s="314"/>
    </row>
    <row r="65" spans="1:17" ht="26.4" x14ac:dyDescent="0.3">
      <c r="A65" s="157">
        <v>102</v>
      </c>
      <c r="B65" s="217" t="s">
        <v>3817</v>
      </c>
      <c r="C65" s="201" t="s">
        <v>3993</v>
      </c>
      <c r="D65" s="159" t="s">
        <v>3366</v>
      </c>
      <c r="E65" s="165" t="s">
        <v>1756</v>
      </c>
      <c r="F65" s="159" t="s">
        <v>2522</v>
      </c>
      <c r="G65" s="159" t="s">
        <v>3994</v>
      </c>
      <c r="H65" s="159" t="s">
        <v>3589</v>
      </c>
      <c r="I65" s="159" t="s">
        <v>3995</v>
      </c>
      <c r="J65" s="159" t="s">
        <v>3996</v>
      </c>
      <c r="K65" s="159" t="s">
        <v>3997</v>
      </c>
      <c r="L65" s="159" t="s">
        <v>336</v>
      </c>
      <c r="M65" s="159" t="s">
        <v>336</v>
      </c>
      <c r="N65" s="313">
        <v>64</v>
      </c>
      <c r="O65" s="314"/>
      <c r="P65" s="64" t="s">
        <v>3999</v>
      </c>
    </row>
    <row r="66" spans="1:17" ht="22.8" x14ac:dyDescent="0.3">
      <c r="A66" s="203">
        <v>45</v>
      </c>
      <c r="B66" s="207" t="s">
        <v>3299</v>
      </c>
      <c r="C66" s="201" t="s">
        <v>3636</v>
      </c>
      <c r="D66" s="159" t="s">
        <v>3366</v>
      </c>
      <c r="E66" s="164" t="s">
        <v>1823</v>
      </c>
      <c r="F66" s="209">
        <v>46191</v>
      </c>
      <c r="G66" s="159" t="s">
        <v>2893</v>
      </c>
      <c r="H66" s="159" t="s">
        <v>2523</v>
      </c>
      <c r="I66" s="159" t="s">
        <v>3637</v>
      </c>
      <c r="J66" s="159" t="s">
        <v>3638</v>
      </c>
      <c r="K66" s="159" t="s">
        <v>3639</v>
      </c>
      <c r="L66" s="159" t="s">
        <v>336</v>
      </c>
      <c r="M66" s="159" t="s">
        <v>336</v>
      </c>
      <c r="N66" s="313">
        <v>65</v>
      </c>
      <c r="O66" s="314"/>
      <c r="P66" s="178" t="s">
        <v>3641</v>
      </c>
      <c r="Q66" s="64" t="s">
        <v>3642</v>
      </c>
    </row>
    <row r="67" spans="1:17" ht="39.6" x14ac:dyDescent="0.3">
      <c r="A67" s="157">
        <v>82</v>
      </c>
      <c r="B67" s="217" t="s">
        <v>3817</v>
      </c>
      <c r="C67" s="201" t="s">
        <v>3872</v>
      </c>
      <c r="D67" s="159" t="s">
        <v>3366</v>
      </c>
      <c r="E67" s="164" t="s">
        <v>1823</v>
      </c>
      <c r="F67" s="159" t="s">
        <v>2522</v>
      </c>
      <c r="G67" s="159" t="s">
        <v>2897</v>
      </c>
      <c r="H67" s="159" t="s">
        <v>2523</v>
      </c>
      <c r="I67" s="159" t="s">
        <v>3873</v>
      </c>
      <c r="J67" s="159" t="s">
        <v>3874</v>
      </c>
      <c r="K67" s="159" t="s">
        <v>3875</v>
      </c>
      <c r="L67" s="159" t="s">
        <v>3876</v>
      </c>
      <c r="M67" s="159" t="s">
        <v>336</v>
      </c>
      <c r="N67" s="313">
        <v>66</v>
      </c>
      <c r="O67" s="314" t="s">
        <v>3878</v>
      </c>
      <c r="P67" s="177" t="s">
        <v>3879</v>
      </c>
    </row>
    <row r="68" spans="1:17" ht="26.4" x14ac:dyDescent="0.3">
      <c r="A68" s="157">
        <v>124</v>
      </c>
      <c r="B68" s="226" t="s">
        <v>4110</v>
      </c>
      <c r="C68" s="201" t="s">
        <v>4111</v>
      </c>
      <c r="D68" s="159" t="s">
        <v>3366</v>
      </c>
      <c r="E68" s="223" t="s">
        <v>4104</v>
      </c>
      <c r="F68" s="159" t="s">
        <v>4112</v>
      </c>
      <c r="G68" s="159" t="s">
        <v>2903</v>
      </c>
      <c r="H68" s="159" t="s">
        <v>336</v>
      </c>
      <c r="I68" s="159" t="s">
        <v>4118</v>
      </c>
      <c r="J68" s="159" t="s">
        <v>336</v>
      </c>
      <c r="K68" s="159" t="s">
        <v>4119</v>
      </c>
      <c r="L68" s="159" t="s">
        <v>336</v>
      </c>
      <c r="M68" s="159" t="s">
        <v>4120</v>
      </c>
      <c r="N68" s="313">
        <v>67</v>
      </c>
      <c r="O68" s="314"/>
    </row>
    <row r="69" spans="1:17" ht="72" x14ac:dyDescent="0.3">
      <c r="A69" s="157">
        <v>72</v>
      </c>
      <c r="B69" s="207" t="s">
        <v>3299</v>
      </c>
      <c r="C69" s="201" t="s">
        <v>3810</v>
      </c>
      <c r="D69" s="159" t="s">
        <v>3366</v>
      </c>
      <c r="E69" s="165" t="s">
        <v>1756</v>
      </c>
      <c r="F69" s="206">
        <v>46191</v>
      </c>
      <c r="G69" s="159" t="s">
        <v>2909</v>
      </c>
      <c r="H69" s="159" t="s">
        <v>3589</v>
      </c>
      <c r="I69" s="159" t="s">
        <v>3811</v>
      </c>
      <c r="J69" s="159" t="s">
        <v>3812</v>
      </c>
      <c r="K69" s="159" t="s">
        <v>3813</v>
      </c>
      <c r="L69" s="159" t="s">
        <v>336</v>
      </c>
      <c r="M69" s="159" t="s">
        <v>3814</v>
      </c>
      <c r="N69" s="313">
        <v>68</v>
      </c>
      <c r="O69" s="314"/>
      <c r="P69" s="177"/>
      <c r="Q69" s="186" t="s">
        <v>3816</v>
      </c>
    </row>
    <row r="70" spans="1:17" ht="26.4" x14ac:dyDescent="0.3">
      <c r="A70" s="203">
        <v>13</v>
      </c>
      <c r="B70" s="207" t="s">
        <v>3299</v>
      </c>
      <c r="C70" s="243" t="s">
        <v>3401</v>
      </c>
      <c r="D70" s="159" t="s">
        <v>3402</v>
      </c>
      <c r="E70" s="210" t="s">
        <v>1760</v>
      </c>
      <c r="F70" s="209">
        <v>46191</v>
      </c>
      <c r="G70" s="159" t="s">
        <v>2248</v>
      </c>
      <c r="H70" s="159" t="s">
        <v>3340</v>
      </c>
      <c r="I70" s="159" t="s">
        <v>3403</v>
      </c>
      <c r="J70" s="159" t="s">
        <v>3404</v>
      </c>
      <c r="K70" s="159" t="s">
        <v>3405</v>
      </c>
      <c r="L70" s="159" t="s">
        <v>336</v>
      </c>
      <c r="M70" s="159" t="s">
        <v>3406</v>
      </c>
      <c r="N70" s="313">
        <v>69</v>
      </c>
      <c r="O70" s="314"/>
      <c r="P70" s="64" t="s">
        <v>3408</v>
      </c>
      <c r="Q70" s="64" t="s">
        <v>3409</v>
      </c>
    </row>
    <row r="71" spans="1:17" ht="52.8" x14ac:dyDescent="0.3">
      <c r="A71" s="157">
        <v>118</v>
      </c>
      <c r="B71" s="221" t="s">
        <v>4074</v>
      </c>
      <c r="C71" s="201" t="s">
        <v>4079</v>
      </c>
      <c r="D71" s="159" t="s">
        <v>3402</v>
      </c>
      <c r="E71" s="165" t="s">
        <v>1756</v>
      </c>
      <c r="F71" s="222" t="s">
        <v>2917</v>
      </c>
      <c r="G71" s="159" t="s">
        <v>2915</v>
      </c>
      <c r="H71" s="159" t="s">
        <v>336</v>
      </c>
      <c r="I71" s="159" t="s">
        <v>4080</v>
      </c>
      <c r="J71" s="159" t="s">
        <v>4081</v>
      </c>
      <c r="K71" s="159" t="s">
        <v>4082</v>
      </c>
      <c r="L71" s="159" t="s">
        <v>4083</v>
      </c>
      <c r="M71" s="159" t="s">
        <v>4084</v>
      </c>
      <c r="N71" s="313">
        <v>70</v>
      </c>
      <c r="O71" s="314"/>
    </row>
    <row r="72" spans="1:17" ht="26.4" x14ac:dyDescent="0.3">
      <c r="A72" s="157">
        <v>117</v>
      </c>
      <c r="B72" s="221" t="s">
        <v>4074</v>
      </c>
      <c r="C72" s="201" t="s">
        <v>2926</v>
      </c>
      <c r="D72" s="159" t="s">
        <v>3402</v>
      </c>
      <c r="E72" s="165" t="s">
        <v>1756</v>
      </c>
      <c r="F72" s="222" t="s">
        <v>2917</v>
      </c>
      <c r="G72" s="159" t="s">
        <v>2923</v>
      </c>
      <c r="H72" s="159" t="s">
        <v>336</v>
      </c>
      <c r="I72" s="159" t="s">
        <v>4075</v>
      </c>
      <c r="J72" s="159" t="s">
        <v>4076</v>
      </c>
      <c r="K72" s="159" t="s">
        <v>336</v>
      </c>
      <c r="L72" s="159" t="s">
        <v>4077</v>
      </c>
      <c r="M72" s="159" t="s">
        <v>336</v>
      </c>
      <c r="N72" s="313">
        <v>71</v>
      </c>
      <c r="O72" s="314"/>
    </row>
    <row r="73" spans="1:17" s="250" customFormat="1" ht="26.4" x14ac:dyDescent="0.3">
      <c r="A73" s="244">
        <v>103</v>
      </c>
      <c r="B73" s="261" t="s">
        <v>3817</v>
      </c>
      <c r="C73" s="246" t="s">
        <v>4000</v>
      </c>
      <c r="D73" s="247" t="s">
        <v>3402</v>
      </c>
      <c r="E73" s="248" t="s">
        <v>1756</v>
      </c>
      <c r="F73" s="247" t="s">
        <v>2522</v>
      </c>
      <c r="G73" s="247" t="s">
        <v>2928</v>
      </c>
      <c r="H73" s="247" t="s">
        <v>3340</v>
      </c>
      <c r="I73" s="247" t="s">
        <v>4001</v>
      </c>
      <c r="J73" s="247" t="s">
        <v>4002</v>
      </c>
      <c r="K73" s="247" t="s">
        <v>336</v>
      </c>
      <c r="L73" s="247" t="s">
        <v>336</v>
      </c>
      <c r="M73" s="247" t="s">
        <v>336</v>
      </c>
      <c r="N73" s="316">
        <v>72</v>
      </c>
      <c r="O73" s="317"/>
      <c r="P73" s="258"/>
      <c r="Q73" s="258"/>
    </row>
    <row r="74" spans="1:17" ht="28.8" x14ac:dyDescent="0.3">
      <c r="A74" s="157">
        <v>104</v>
      </c>
      <c r="B74" s="217" t="s">
        <v>3817</v>
      </c>
      <c r="C74" s="201" t="s">
        <v>4000</v>
      </c>
      <c r="D74" s="159" t="s">
        <v>3402</v>
      </c>
      <c r="E74" s="165" t="s">
        <v>1756</v>
      </c>
      <c r="F74" s="159" t="s">
        <v>2522</v>
      </c>
      <c r="G74" s="159" t="s">
        <v>2933</v>
      </c>
      <c r="H74" s="159" t="s">
        <v>2523</v>
      </c>
      <c r="I74" s="159" t="s">
        <v>4004</v>
      </c>
      <c r="J74" s="159" t="s">
        <v>4005</v>
      </c>
      <c r="K74" s="159" t="s">
        <v>336</v>
      </c>
      <c r="L74" s="159" t="s">
        <v>4006</v>
      </c>
      <c r="M74" s="159" t="s">
        <v>4007</v>
      </c>
      <c r="N74" s="313">
        <v>73</v>
      </c>
      <c r="O74" s="314"/>
      <c r="P74" s="64" t="s">
        <v>4009</v>
      </c>
    </row>
    <row r="75" spans="1:17" ht="28.8" x14ac:dyDescent="0.3">
      <c r="A75" s="157">
        <v>75</v>
      </c>
      <c r="B75" s="215" t="s">
        <v>3817</v>
      </c>
      <c r="C75" s="237" t="s">
        <v>3831</v>
      </c>
      <c r="D75" s="199" t="s">
        <v>3402</v>
      </c>
      <c r="E75" s="216" t="s">
        <v>1760</v>
      </c>
      <c r="F75" s="199" t="s">
        <v>2522</v>
      </c>
      <c r="G75" s="199" t="s">
        <v>2937</v>
      </c>
      <c r="H75" s="199" t="s">
        <v>3589</v>
      </c>
      <c r="I75" s="199" t="s">
        <v>3832</v>
      </c>
      <c r="J75" s="199" t="s">
        <v>3833</v>
      </c>
      <c r="K75" s="199" t="s">
        <v>336</v>
      </c>
      <c r="L75" s="199" t="s">
        <v>3834</v>
      </c>
      <c r="M75" s="199" t="s">
        <v>336</v>
      </c>
      <c r="N75" s="318">
        <v>74</v>
      </c>
      <c r="O75" s="314"/>
      <c r="P75" s="64" t="s">
        <v>3836</v>
      </c>
    </row>
    <row r="76" spans="1:17" ht="26.4" x14ac:dyDescent="0.3">
      <c r="A76" s="157">
        <v>81</v>
      </c>
      <c r="B76" s="217" t="s">
        <v>3817</v>
      </c>
      <c r="C76" s="201" t="s">
        <v>2622</v>
      </c>
      <c r="D76" s="159" t="s">
        <v>3402</v>
      </c>
      <c r="E76" s="164" t="s">
        <v>1823</v>
      </c>
      <c r="F76" s="159" t="s">
        <v>2522</v>
      </c>
      <c r="G76" s="159" t="s">
        <v>2943</v>
      </c>
      <c r="H76" s="159" t="s">
        <v>3589</v>
      </c>
      <c r="I76" s="159" t="s">
        <v>3867</v>
      </c>
      <c r="J76" s="159" t="s">
        <v>3868</v>
      </c>
      <c r="K76" s="159" t="s">
        <v>3869</v>
      </c>
      <c r="L76" s="159" t="s">
        <v>3870</v>
      </c>
      <c r="M76" s="159" t="s">
        <v>336</v>
      </c>
      <c r="N76" s="313">
        <v>75</v>
      </c>
      <c r="O76" s="314"/>
    </row>
    <row r="77" spans="1:17" ht="26.4" x14ac:dyDescent="0.3">
      <c r="A77" s="157">
        <v>115</v>
      </c>
      <c r="B77" s="217" t="s">
        <v>3817</v>
      </c>
      <c r="C77" s="201" t="s">
        <v>4064</v>
      </c>
      <c r="D77" s="159" t="s">
        <v>3402</v>
      </c>
      <c r="E77" s="165" t="s">
        <v>1756</v>
      </c>
      <c r="F77" s="159" t="s">
        <v>2522</v>
      </c>
      <c r="G77" s="159" t="s">
        <v>2947</v>
      </c>
      <c r="H77" s="159" t="s">
        <v>2523</v>
      </c>
      <c r="I77" s="159" t="s">
        <v>4065</v>
      </c>
      <c r="J77" s="159" t="s">
        <v>4066</v>
      </c>
      <c r="K77" s="159" t="s">
        <v>4067</v>
      </c>
      <c r="L77" s="159" t="s">
        <v>336</v>
      </c>
      <c r="M77" s="159" t="s">
        <v>4068</v>
      </c>
      <c r="N77" s="313">
        <v>76</v>
      </c>
      <c r="O77" s="314"/>
      <c r="P77" s="64" t="s">
        <v>4070</v>
      </c>
    </row>
    <row r="78" spans="1:17" ht="52.8" x14ac:dyDescent="0.3">
      <c r="A78" s="203">
        <v>77</v>
      </c>
      <c r="B78" s="217" t="s">
        <v>3817</v>
      </c>
      <c r="C78" s="201" t="s">
        <v>3843</v>
      </c>
      <c r="D78" s="159" t="s">
        <v>3844</v>
      </c>
      <c r="E78" s="210" t="s">
        <v>1760</v>
      </c>
      <c r="F78" s="159" t="s">
        <v>2522</v>
      </c>
      <c r="G78" s="159" t="s">
        <v>3845</v>
      </c>
      <c r="H78" s="159" t="s">
        <v>2523</v>
      </c>
      <c r="I78" s="159" t="s">
        <v>3846</v>
      </c>
      <c r="J78" s="159" t="s">
        <v>3847</v>
      </c>
      <c r="K78" s="159" t="s">
        <v>3848</v>
      </c>
      <c r="L78" s="159" t="s">
        <v>3849</v>
      </c>
      <c r="M78" s="159" t="s">
        <v>336</v>
      </c>
      <c r="N78" s="313">
        <v>77</v>
      </c>
      <c r="O78" s="314"/>
    </row>
    <row r="79" spans="1:17" ht="52.8" x14ac:dyDescent="0.3">
      <c r="A79" s="157">
        <v>122</v>
      </c>
      <c r="B79" s="221" t="s">
        <v>4074</v>
      </c>
      <c r="C79" s="201" t="s">
        <v>4103</v>
      </c>
      <c r="D79" s="159" t="s">
        <v>3844</v>
      </c>
      <c r="E79" s="223" t="s">
        <v>4104</v>
      </c>
      <c r="F79" s="222" t="s">
        <v>2917</v>
      </c>
      <c r="G79" s="159" t="s">
        <v>2957</v>
      </c>
      <c r="H79" s="159" t="s">
        <v>336</v>
      </c>
      <c r="I79" s="159" t="s">
        <v>4105</v>
      </c>
      <c r="J79" s="159" t="s">
        <v>4106</v>
      </c>
      <c r="K79" s="159" t="s">
        <v>4107</v>
      </c>
      <c r="L79" s="159" t="s">
        <v>4108</v>
      </c>
      <c r="M79" s="159" t="s">
        <v>336</v>
      </c>
      <c r="N79" s="313">
        <v>78</v>
      </c>
      <c r="O79" s="314"/>
    </row>
    <row r="80" spans="1:17" ht="38.25" customHeight="1" x14ac:dyDescent="0.3">
      <c r="A80" s="157">
        <v>2</v>
      </c>
      <c r="B80" s="207" t="s">
        <v>3299</v>
      </c>
      <c r="C80" s="201" t="s">
        <v>3309</v>
      </c>
      <c r="D80" s="159" t="s">
        <v>1922</v>
      </c>
      <c r="E80" s="208" t="s">
        <v>1797</v>
      </c>
      <c r="F80" s="209">
        <v>46191</v>
      </c>
      <c r="G80" s="159" t="s">
        <v>2963</v>
      </c>
      <c r="H80" s="159" t="s">
        <v>2533</v>
      </c>
      <c r="I80" s="159" t="s">
        <v>3310</v>
      </c>
      <c r="J80" s="159" t="s">
        <v>3311</v>
      </c>
      <c r="K80" s="159" t="s">
        <v>3312</v>
      </c>
      <c r="L80" s="159" t="s">
        <v>336</v>
      </c>
      <c r="M80" s="159" t="s">
        <v>3306</v>
      </c>
      <c r="N80" s="313">
        <v>79</v>
      </c>
      <c r="O80" s="314"/>
      <c r="P80" s="178" t="s">
        <v>3308</v>
      </c>
    </row>
    <row r="81" spans="1:17" ht="26.4" x14ac:dyDescent="0.3">
      <c r="A81" s="157">
        <v>94</v>
      </c>
      <c r="B81" s="217" t="s">
        <v>3817</v>
      </c>
      <c r="C81" s="201" t="s">
        <v>2086</v>
      </c>
      <c r="D81" s="159" t="s">
        <v>1922</v>
      </c>
      <c r="E81" s="165" t="s">
        <v>1756</v>
      </c>
      <c r="F81" s="159" t="s">
        <v>2522</v>
      </c>
      <c r="G81" s="159" t="s">
        <v>2969</v>
      </c>
      <c r="H81" s="159" t="s">
        <v>3589</v>
      </c>
      <c r="I81" s="159" t="s">
        <v>3947</v>
      </c>
      <c r="J81" s="159" t="s">
        <v>336</v>
      </c>
      <c r="K81" s="159" t="s">
        <v>3948</v>
      </c>
      <c r="L81" s="159" t="s">
        <v>336</v>
      </c>
      <c r="M81" s="159" t="s">
        <v>336</v>
      </c>
      <c r="N81" s="313">
        <v>80</v>
      </c>
      <c r="O81" s="314"/>
    </row>
    <row r="82" spans="1:17" ht="39.6" x14ac:dyDescent="0.3">
      <c r="A82" s="203">
        <v>25</v>
      </c>
      <c r="B82" s="207" t="s">
        <v>3299</v>
      </c>
      <c r="C82" s="241" t="s">
        <v>3497</v>
      </c>
      <c r="D82" s="159" t="s">
        <v>3498</v>
      </c>
      <c r="E82" s="210" t="s">
        <v>1760</v>
      </c>
      <c r="F82" s="209">
        <v>46191</v>
      </c>
      <c r="G82" s="159" t="s">
        <v>2972</v>
      </c>
      <c r="H82" s="159" t="s">
        <v>3340</v>
      </c>
      <c r="I82" s="159" t="s">
        <v>3499</v>
      </c>
      <c r="J82" s="159" t="s">
        <v>3500</v>
      </c>
      <c r="K82" s="159" t="s">
        <v>3501</v>
      </c>
      <c r="L82" s="159" t="s">
        <v>3502</v>
      </c>
      <c r="M82" s="159" t="s">
        <v>3503</v>
      </c>
      <c r="N82" s="313">
        <v>81</v>
      </c>
      <c r="O82" s="314"/>
      <c r="P82" s="64" t="s">
        <v>3505</v>
      </c>
      <c r="Q82" s="64" t="s">
        <v>3496</v>
      </c>
    </row>
    <row r="83" spans="1:17" ht="39.6" x14ac:dyDescent="0.3">
      <c r="A83" s="157">
        <v>86</v>
      </c>
      <c r="B83" s="217" t="s">
        <v>3817</v>
      </c>
      <c r="C83" s="201" t="s">
        <v>3901</v>
      </c>
      <c r="D83" s="159" t="s">
        <v>3498</v>
      </c>
      <c r="E83" s="164" t="s">
        <v>1823</v>
      </c>
      <c r="F83" s="159" t="s">
        <v>2522</v>
      </c>
      <c r="G83" s="159" t="s">
        <v>3902</v>
      </c>
      <c r="H83" s="159" t="s">
        <v>2523</v>
      </c>
      <c r="I83" s="159" t="s">
        <v>3903</v>
      </c>
      <c r="J83" s="159" t="s">
        <v>3904</v>
      </c>
      <c r="K83" s="159" t="s">
        <v>336</v>
      </c>
      <c r="L83" s="159" t="s">
        <v>336</v>
      </c>
      <c r="M83" s="159" t="s">
        <v>3449</v>
      </c>
      <c r="N83" s="313">
        <v>82</v>
      </c>
      <c r="O83" s="314"/>
    </row>
    <row r="84" spans="1:17" ht="26.4" x14ac:dyDescent="0.3">
      <c r="A84" s="157">
        <v>58</v>
      </c>
      <c r="B84" s="207" t="s">
        <v>3299</v>
      </c>
      <c r="C84" s="201" t="s">
        <v>3728</v>
      </c>
      <c r="D84" s="159" t="s">
        <v>3498</v>
      </c>
      <c r="E84" s="164" t="s">
        <v>1823</v>
      </c>
      <c r="F84" s="209">
        <v>46191</v>
      </c>
      <c r="G84" s="159" t="s">
        <v>2984</v>
      </c>
      <c r="H84" s="159" t="s">
        <v>2533</v>
      </c>
      <c r="I84" s="159" t="s">
        <v>3729</v>
      </c>
      <c r="J84" s="159" t="s">
        <v>3730</v>
      </c>
      <c r="K84" s="159" t="s">
        <v>336</v>
      </c>
      <c r="L84" s="159" t="s">
        <v>336</v>
      </c>
      <c r="M84" s="159" t="s">
        <v>336</v>
      </c>
      <c r="N84" s="313">
        <v>83</v>
      </c>
      <c r="O84" s="314"/>
      <c r="P84" s="178" t="s">
        <v>3536</v>
      </c>
    </row>
    <row r="85" spans="1:17" ht="52.8" x14ac:dyDescent="0.3">
      <c r="A85" s="157">
        <v>34</v>
      </c>
      <c r="B85" s="207" t="s">
        <v>3299</v>
      </c>
      <c r="C85" s="241" t="s">
        <v>3555</v>
      </c>
      <c r="D85" s="159" t="s">
        <v>3498</v>
      </c>
      <c r="E85" s="210" t="s">
        <v>1760</v>
      </c>
      <c r="F85" s="209">
        <v>46191</v>
      </c>
      <c r="G85" s="159" t="s">
        <v>2989</v>
      </c>
      <c r="H85" s="159" t="s">
        <v>3340</v>
      </c>
      <c r="I85" s="159" t="s">
        <v>3556</v>
      </c>
      <c r="J85" s="159" t="s">
        <v>3557</v>
      </c>
      <c r="K85" s="159" t="s">
        <v>3558</v>
      </c>
      <c r="L85" s="159" t="s">
        <v>336</v>
      </c>
      <c r="M85" s="159" t="s">
        <v>336</v>
      </c>
      <c r="N85" s="313">
        <v>84</v>
      </c>
      <c r="O85" s="314"/>
      <c r="P85" s="64" t="s">
        <v>3560</v>
      </c>
      <c r="Q85" s="64" t="s">
        <v>3561</v>
      </c>
    </row>
    <row r="86" spans="1:17" ht="45.6" x14ac:dyDescent="0.3">
      <c r="A86" s="203">
        <v>120</v>
      </c>
      <c r="B86" s="221" t="s">
        <v>4074</v>
      </c>
      <c r="C86" s="201" t="s">
        <v>2998</v>
      </c>
      <c r="D86" s="159" t="s">
        <v>3498</v>
      </c>
      <c r="E86" s="165" t="s">
        <v>1756</v>
      </c>
      <c r="F86" s="222" t="s">
        <v>2917</v>
      </c>
      <c r="G86" s="159" t="s">
        <v>2995</v>
      </c>
      <c r="H86" s="159" t="s">
        <v>336</v>
      </c>
      <c r="I86" s="159" t="s">
        <v>4091</v>
      </c>
      <c r="J86" s="159" t="s">
        <v>4092</v>
      </c>
      <c r="K86" s="159" t="s">
        <v>4093</v>
      </c>
      <c r="L86" s="159" t="s">
        <v>4094</v>
      </c>
      <c r="M86" s="159" t="s">
        <v>2998</v>
      </c>
      <c r="N86" s="313">
        <v>85</v>
      </c>
      <c r="O86" s="314"/>
    </row>
    <row r="87" spans="1:17" ht="39.6" x14ac:dyDescent="0.3">
      <c r="A87" s="157">
        <v>59</v>
      </c>
      <c r="B87" s="207" t="s">
        <v>3299</v>
      </c>
      <c r="C87" s="201" t="s">
        <v>3732</v>
      </c>
      <c r="D87" s="159" t="s">
        <v>3498</v>
      </c>
      <c r="E87" s="164" t="s">
        <v>1823</v>
      </c>
      <c r="F87" s="209">
        <v>46191</v>
      </c>
      <c r="G87" s="159" t="s">
        <v>3001</v>
      </c>
      <c r="H87" s="159" t="s">
        <v>3340</v>
      </c>
      <c r="I87" s="159" t="s">
        <v>3733</v>
      </c>
      <c r="J87" s="159" t="s">
        <v>3734</v>
      </c>
      <c r="K87" s="159" t="s">
        <v>3735</v>
      </c>
      <c r="L87" s="159" t="s">
        <v>3736</v>
      </c>
      <c r="M87" s="159" t="s">
        <v>336</v>
      </c>
      <c r="N87" s="313">
        <v>86</v>
      </c>
      <c r="O87" s="314"/>
      <c r="P87" s="64" t="s">
        <v>3738</v>
      </c>
    </row>
    <row r="88" spans="1:17" ht="34.200000000000003" x14ac:dyDescent="0.3">
      <c r="A88" s="157">
        <v>78</v>
      </c>
      <c r="B88" s="217" t="s">
        <v>3817</v>
      </c>
      <c r="C88" s="201" t="s">
        <v>3851</v>
      </c>
      <c r="D88" s="159" t="s">
        <v>3498</v>
      </c>
      <c r="E88" s="164" t="s">
        <v>1823</v>
      </c>
      <c r="F88" s="159" t="s">
        <v>2522</v>
      </c>
      <c r="G88" s="159" t="s">
        <v>3008</v>
      </c>
      <c r="H88" s="159" t="s">
        <v>2533</v>
      </c>
      <c r="I88" s="159" t="s">
        <v>3852</v>
      </c>
      <c r="J88" s="159" t="s">
        <v>3853</v>
      </c>
      <c r="K88" s="159" t="s">
        <v>3854</v>
      </c>
      <c r="L88" s="159" t="s">
        <v>336</v>
      </c>
      <c r="M88" s="159" t="s">
        <v>336</v>
      </c>
      <c r="N88" s="313">
        <v>87</v>
      </c>
      <c r="O88" s="314"/>
    </row>
    <row r="89" spans="1:17" ht="39.6" x14ac:dyDescent="0.3">
      <c r="A89" s="157">
        <v>57</v>
      </c>
      <c r="B89" s="207" t="s">
        <v>3299</v>
      </c>
      <c r="C89" s="201" t="s">
        <v>3713</v>
      </c>
      <c r="D89" s="159" t="s">
        <v>3498</v>
      </c>
      <c r="E89" s="164" t="s">
        <v>1823</v>
      </c>
      <c r="F89" s="208" t="s">
        <v>3350</v>
      </c>
      <c r="G89" s="159" t="s">
        <v>3012</v>
      </c>
      <c r="H89" s="159" t="s">
        <v>3375</v>
      </c>
      <c r="I89" s="159" t="s">
        <v>3722</v>
      </c>
      <c r="J89" s="159" t="s">
        <v>3723</v>
      </c>
      <c r="K89" s="159" t="s">
        <v>336</v>
      </c>
      <c r="L89" s="159" t="s">
        <v>336</v>
      </c>
      <c r="M89" s="159" t="s">
        <v>3724</v>
      </c>
      <c r="N89" s="313">
        <v>88</v>
      </c>
      <c r="O89" s="314"/>
      <c r="P89" s="177" t="s">
        <v>3726</v>
      </c>
      <c r="Q89" s="64" t="s">
        <v>3727</v>
      </c>
    </row>
    <row r="90" spans="1:17" ht="26.4" x14ac:dyDescent="0.3">
      <c r="A90" s="203">
        <v>87</v>
      </c>
      <c r="B90" s="217" t="s">
        <v>3817</v>
      </c>
      <c r="C90" s="201" t="s">
        <v>3906</v>
      </c>
      <c r="D90" s="159" t="s">
        <v>3498</v>
      </c>
      <c r="E90" s="164" t="s">
        <v>1823</v>
      </c>
      <c r="F90" s="159" t="s">
        <v>2522</v>
      </c>
      <c r="G90" s="159" t="s">
        <v>3016</v>
      </c>
      <c r="H90" s="159" t="s">
        <v>2533</v>
      </c>
      <c r="I90" s="159" t="s">
        <v>3907</v>
      </c>
      <c r="J90" s="159" t="s">
        <v>3908</v>
      </c>
      <c r="K90" s="159" t="s">
        <v>3909</v>
      </c>
      <c r="L90" s="159" t="s">
        <v>336</v>
      </c>
      <c r="M90" s="159" t="s">
        <v>336</v>
      </c>
      <c r="N90" s="313">
        <v>89</v>
      </c>
      <c r="O90" s="314"/>
    </row>
    <row r="91" spans="1:17" ht="26.4" x14ac:dyDescent="0.3">
      <c r="A91" s="157">
        <v>105</v>
      </c>
      <c r="B91" s="217" t="s">
        <v>3817</v>
      </c>
      <c r="C91" s="201" t="s">
        <v>4010</v>
      </c>
      <c r="D91" s="159" t="s">
        <v>3498</v>
      </c>
      <c r="E91" s="165" t="s">
        <v>1756</v>
      </c>
      <c r="F91" s="159" t="s">
        <v>2522</v>
      </c>
      <c r="G91" s="159" t="s">
        <v>3021</v>
      </c>
      <c r="H91" s="159" t="s">
        <v>2523</v>
      </c>
      <c r="I91" s="159" t="s">
        <v>4011</v>
      </c>
      <c r="J91" s="159" t="s">
        <v>4012</v>
      </c>
      <c r="K91" s="159" t="s">
        <v>4013</v>
      </c>
      <c r="L91" s="159" t="s">
        <v>4014</v>
      </c>
      <c r="M91" s="159" t="s">
        <v>336</v>
      </c>
      <c r="N91" s="313">
        <v>90</v>
      </c>
      <c r="O91" s="314"/>
      <c r="P91" s="64" t="s">
        <v>3879</v>
      </c>
    </row>
    <row r="92" spans="1:17" ht="39.6" x14ac:dyDescent="0.3">
      <c r="A92" s="157">
        <v>26</v>
      </c>
      <c r="B92" s="207" t="s">
        <v>3299</v>
      </c>
      <c r="C92" s="201" t="s">
        <v>3506</v>
      </c>
      <c r="D92" s="159" t="s">
        <v>3498</v>
      </c>
      <c r="E92" s="165" t="s">
        <v>1756</v>
      </c>
      <c r="F92" s="208" t="s">
        <v>3507</v>
      </c>
      <c r="G92" s="159" t="s">
        <v>3508</v>
      </c>
      <c r="H92" s="159" t="s">
        <v>2533</v>
      </c>
      <c r="I92" s="159" t="s">
        <v>3509</v>
      </c>
      <c r="J92" s="159" t="s">
        <v>3510</v>
      </c>
      <c r="K92" s="159" t="s">
        <v>3511</v>
      </c>
      <c r="L92" s="159" t="s">
        <v>336</v>
      </c>
      <c r="M92" s="159" t="s">
        <v>3512</v>
      </c>
      <c r="N92" s="313">
        <v>91</v>
      </c>
      <c r="O92" s="314"/>
      <c r="P92" s="178" t="s">
        <v>3327</v>
      </c>
    </row>
    <row r="93" spans="1:17" ht="26.4" x14ac:dyDescent="0.3">
      <c r="A93" s="157">
        <v>106</v>
      </c>
      <c r="B93" s="217" t="s">
        <v>3817</v>
      </c>
      <c r="C93" s="201" t="s">
        <v>3543</v>
      </c>
      <c r="D93" s="159" t="s">
        <v>3544</v>
      </c>
      <c r="E93" s="165" t="s">
        <v>1756</v>
      </c>
      <c r="F93" s="159" t="s">
        <v>2522</v>
      </c>
      <c r="G93" s="159" t="s">
        <v>3029</v>
      </c>
      <c r="H93" s="159" t="s">
        <v>2523</v>
      </c>
      <c r="I93" s="159" t="s">
        <v>4016</v>
      </c>
      <c r="J93" s="159" t="s">
        <v>4017</v>
      </c>
      <c r="K93" s="159" t="s">
        <v>336</v>
      </c>
      <c r="L93" s="159" t="s">
        <v>336</v>
      </c>
      <c r="M93" s="159" t="s">
        <v>336</v>
      </c>
      <c r="N93" s="313">
        <v>92</v>
      </c>
      <c r="O93" s="314"/>
    </row>
    <row r="94" spans="1:17" ht="26.4" x14ac:dyDescent="0.3">
      <c r="A94" s="203">
        <v>32</v>
      </c>
      <c r="B94" s="207" t="s">
        <v>3299</v>
      </c>
      <c r="C94" s="201" t="s">
        <v>3543</v>
      </c>
      <c r="D94" s="159" t="s">
        <v>3544</v>
      </c>
      <c r="E94" s="210" t="s">
        <v>1760</v>
      </c>
      <c r="F94" s="209">
        <v>46191</v>
      </c>
      <c r="G94" s="159" t="s">
        <v>3033</v>
      </c>
      <c r="H94" s="159" t="s">
        <v>2523</v>
      </c>
      <c r="I94" s="159" t="s">
        <v>3545</v>
      </c>
      <c r="J94" s="159" t="s">
        <v>3546</v>
      </c>
      <c r="K94" s="159" t="s">
        <v>336</v>
      </c>
      <c r="L94" s="159" t="s">
        <v>336</v>
      </c>
      <c r="M94" s="159" t="s">
        <v>336</v>
      </c>
      <c r="N94" s="313">
        <v>93</v>
      </c>
      <c r="O94" s="314"/>
      <c r="P94" s="64" t="s">
        <v>3548</v>
      </c>
      <c r="Q94" s="64" t="s">
        <v>3548</v>
      </c>
    </row>
    <row r="95" spans="1:17" ht="26.4" x14ac:dyDescent="0.3">
      <c r="A95" s="157">
        <v>33</v>
      </c>
      <c r="B95" s="207" t="s">
        <v>3299</v>
      </c>
      <c r="C95" s="201" t="s">
        <v>3549</v>
      </c>
      <c r="D95" s="159" t="s">
        <v>3544</v>
      </c>
      <c r="E95" s="165" t="s">
        <v>1756</v>
      </c>
      <c r="F95" s="209">
        <v>46191</v>
      </c>
      <c r="G95" s="159" t="s">
        <v>3037</v>
      </c>
      <c r="H95" s="159" t="s">
        <v>2533</v>
      </c>
      <c r="I95" s="159" t="s">
        <v>3550</v>
      </c>
      <c r="J95" s="159" t="s">
        <v>3551</v>
      </c>
      <c r="K95" s="159" t="s">
        <v>336</v>
      </c>
      <c r="L95" s="159" t="s">
        <v>3552</v>
      </c>
      <c r="M95" s="159" t="s">
        <v>3553</v>
      </c>
      <c r="N95" s="313">
        <v>94</v>
      </c>
      <c r="O95" s="314"/>
      <c r="P95" s="178" t="s">
        <v>3536</v>
      </c>
    </row>
    <row r="96" spans="1:17" ht="26.4" x14ac:dyDescent="0.3">
      <c r="A96" s="157">
        <v>107</v>
      </c>
      <c r="B96" s="217" t="s">
        <v>3817</v>
      </c>
      <c r="C96" s="201" t="s">
        <v>4019</v>
      </c>
      <c r="D96" s="159" t="s">
        <v>3329</v>
      </c>
      <c r="E96" s="165" t="s">
        <v>1756</v>
      </c>
      <c r="F96" s="159" t="s">
        <v>2522</v>
      </c>
      <c r="G96" s="159" t="s">
        <v>3041</v>
      </c>
      <c r="H96" s="159" t="s">
        <v>3589</v>
      </c>
      <c r="I96" s="159" t="s">
        <v>4020</v>
      </c>
      <c r="J96" s="159" t="s">
        <v>4021</v>
      </c>
      <c r="K96" s="159" t="s">
        <v>4022</v>
      </c>
      <c r="L96" s="159" t="s">
        <v>336</v>
      </c>
      <c r="M96" s="159" t="s">
        <v>336</v>
      </c>
      <c r="N96" s="313">
        <v>95</v>
      </c>
      <c r="O96" s="314"/>
    </row>
    <row r="97" spans="1:17" ht="34.200000000000003" x14ac:dyDescent="0.3">
      <c r="A97" s="157">
        <v>67</v>
      </c>
      <c r="B97" s="207" t="s">
        <v>3299</v>
      </c>
      <c r="C97" s="201" t="s">
        <v>3778</v>
      </c>
      <c r="D97" s="159" t="s">
        <v>3329</v>
      </c>
      <c r="E97" s="164" t="s">
        <v>1823</v>
      </c>
      <c r="F97" s="209">
        <v>46191</v>
      </c>
      <c r="G97" s="159" t="s">
        <v>3047</v>
      </c>
      <c r="H97" s="159" t="s">
        <v>2533</v>
      </c>
      <c r="I97" s="159" t="s">
        <v>3779</v>
      </c>
      <c r="J97" s="159" t="s">
        <v>3780</v>
      </c>
      <c r="K97" s="159" t="s">
        <v>3781</v>
      </c>
      <c r="L97" s="159" t="s">
        <v>336</v>
      </c>
      <c r="M97" s="159" t="s">
        <v>336</v>
      </c>
      <c r="N97" s="313">
        <v>96</v>
      </c>
      <c r="O97" s="314"/>
      <c r="P97" s="178" t="s">
        <v>3327</v>
      </c>
    </row>
    <row r="98" spans="1:17" ht="39.6" x14ac:dyDescent="0.3">
      <c r="A98" s="203">
        <v>108</v>
      </c>
      <c r="B98" s="217" t="s">
        <v>3817</v>
      </c>
      <c r="C98" s="201" t="s">
        <v>4024</v>
      </c>
      <c r="D98" s="159" t="s">
        <v>3329</v>
      </c>
      <c r="E98" s="165" t="s">
        <v>1756</v>
      </c>
      <c r="F98" s="159" t="s">
        <v>2522</v>
      </c>
      <c r="G98" s="159" t="s">
        <v>3052</v>
      </c>
      <c r="H98" s="159" t="s">
        <v>2523</v>
      </c>
      <c r="I98" s="159" t="s">
        <v>4025</v>
      </c>
      <c r="J98" s="159" t="s">
        <v>4026</v>
      </c>
      <c r="K98" s="159" t="s">
        <v>4027</v>
      </c>
      <c r="L98" s="159" t="s">
        <v>4028</v>
      </c>
      <c r="M98" s="159" t="s">
        <v>336</v>
      </c>
      <c r="N98" s="313">
        <v>97</v>
      </c>
      <c r="O98" s="314"/>
    </row>
    <row r="99" spans="1:17" ht="39.6" x14ac:dyDescent="0.3">
      <c r="A99" s="157">
        <v>5</v>
      </c>
      <c r="B99" s="207" t="s">
        <v>3299</v>
      </c>
      <c r="C99" s="241" t="s">
        <v>3328</v>
      </c>
      <c r="D99" s="159" t="s">
        <v>3329</v>
      </c>
      <c r="E99" s="208" t="s">
        <v>1797</v>
      </c>
      <c r="F99" s="209">
        <v>46191</v>
      </c>
      <c r="G99" s="159" t="s">
        <v>3330</v>
      </c>
      <c r="H99" s="159" t="s">
        <v>2523</v>
      </c>
      <c r="I99" s="159" t="s">
        <v>3331</v>
      </c>
      <c r="J99" s="159" t="s">
        <v>3332</v>
      </c>
      <c r="K99" s="159" t="s">
        <v>3333</v>
      </c>
      <c r="L99" s="159" t="s">
        <v>336</v>
      </c>
      <c r="M99" s="159" t="s">
        <v>3334</v>
      </c>
      <c r="N99" s="313">
        <v>98</v>
      </c>
      <c r="O99" s="314"/>
      <c r="P99" s="64" t="s">
        <v>3336</v>
      </c>
      <c r="Q99" s="64" t="s">
        <v>3337</v>
      </c>
    </row>
    <row r="100" spans="1:17" ht="39.6" x14ac:dyDescent="0.3">
      <c r="A100" s="157">
        <v>125</v>
      </c>
      <c r="B100" s="226" t="s">
        <v>4110</v>
      </c>
      <c r="C100" s="238" t="s">
        <v>2588</v>
      </c>
      <c r="D100" s="159" t="s">
        <v>3329</v>
      </c>
      <c r="E100" s="165" t="s">
        <v>1756</v>
      </c>
      <c r="F100" s="159" t="s">
        <v>4112</v>
      </c>
      <c r="G100" s="159" t="s">
        <v>3063</v>
      </c>
      <c r="H100" s="159" t="s">
        <v>336</v>
      </c>
      <c r="I100" s="159" t="s">
        <v>4122</v>
      </c>
      <c r="J100" s="159" t="s">
        <v>336</v>
      </c>
      <c r="K100" s="159" t="s">
        <v>4123</v>
      </c>
      <c r="L100" s="159" t="s">
        <v>336</v>
      </c>
      <c r="M100" s="159" t="s">
        <v>4124</v>
      </c>
      <c r="N100" s="313">
        <v>99</v>
      </c>
      <c r="O100" s="314"/>
    </row>
    <row r="101" spans="1:17" ht="39.6" x14ac:dyDescent="0.3">
      <c r="A101" s="157">
        <v>35</v>
      </c>
      <c r="B101" s="207" t="s">
        <v>3299</v>
      </c>
      <c r="C101" s="201" t="s">
        <v>3562</v>
      </c>
      <c r="D101" s="159" t="s">
        <v>3329</v>
      </c>
      <c r="E101" s="164" t="s">
        <v>1823</v>
      </c>
      <c r="F101" s="209">
        <v>46191</v>
      </c>
      <c r="G101" s="159" t="s">
        <v>3563</v>
      </c>
      <c r="H101" s="159" t="s">
        <v>2523</v>
      </c>
      <c r="I101" s="159" t="s">
        <v>3564</v>
      </c>
      <c r="J101" s="159" t="s">
        <v>3565</v>
      </c>
      <c r="K101" s="159" t="s">
        <v>3566</v>
      </c>
      <c r="L101" s="159" t="s">
        <v>336</v>
      </c>
      <c r="M101" s="159" t="s">
        <v>336</v>
      </c>
      <c r="N101" s="313">
        <v>100</v>
      </c>
      <c r="O101" s="314"/>
      <c r="P101" s="64" t="s">
        <v>3477</v>
      </c>
      <c r="Q101" s="64" t="s">
        <v>3348</v>
      </c>
    </row>
    <row r="102" spans="1:17" ht="39.6" x14ac:dyDescent="0.3">
      <c r="A102" s="203">
        <v>132</v>
      </c>
      <c r="B102" s="229" t="s">
        <v>4163</v>
      </c>
      <c r="C102" s="201" t="s">
        <v>2825</v>
      </c>
      <c r="D102" s="159" t="s">
        <v>3329</v>
      </c>
      <c r="E102" s="208" t="s">
        <v>1797</v>
      </c>
      <c r="F102" s="230" t="s">
        <v>651</v>
      </c>
      <c r="G102" s="159" t="s">
        <v>3073</v>
      </c>
      <c r="H102" s="159" t="s">
        <v>336</v>
      </c>
      <c r="I102" s="159" t="s">
        <v>4164</v>
      </c>
      <c r="J102" s="159" t="s">
        <v>336</v>
      </c>
      <c r="K102" s="159" t="s">
        <v>336</v>
      </c>
      <c r="L102" s="159" t="s">
        <v>336</v>
      </c>
      <c r="M102" s="159" t="s">
        <v>4165</v>
      </c>
      <c r="N102" s="313">
        <v>101</v>
      </c>
      <c r="O102" s="314"/>
    </row>
    <row r="103" spans="1:17" ht="39.6" x14ac:dyDescent="0.3">
      <c r="A103" s="157">
        <v>27</v>
      </c>
      <c r="B103" s="207" t="s">
        <v>3299</v>
      </c>
      <c r="C103" s="251" t="s">
        <v>3514</v>
      </c>
      <c r="D103" s="159" t="s">
        <v>96</v>
      </c>
      <c r="E103" s="210" t="s">
        <v>1760</v>
      </c>
      <c r="F103" s="209">
        <v>46191</v>
      </c>
      <c r="G103" s="159" t="s">
        <v>3077</v>
      </c>
      <c r="H103" s="159" t="s">
        <v>3340</v>
      </c>
      <c r="I103" s="159" t="s">
        <v>3515</v>
      </c>
      <c r="J103" s="159" t="s">
        <v>3516</v>
      </c>
      <c r="K103" s="159" t="s">
        <v>3517</v>
      </c>
      <c r="L103" s="159" t="s">
        <v>336</v>
      </c>
      <c r="M103" s="159" t="s">
        <v>336</v>
      </c>
      <c r="N103" s="313">
        <v>102</v>
      </c>
      <c r="O103" s="314"/>
      <c r="P103" s="64" t="s">
        <v>3477</v>
      </c>
      <c r="Q103" s="64" t="s">
        <v>3496</v>
      </c>
    </row>
    <row r="104" spans="1:17" ht="39.6" x14ac:dyDescent="0.3">
      <c r="A104" s="157">
        <v>28</v>
      </c>
      <c r="B104" s="207" t="s">
        <v>3299</v>
      </c>
      <c r="C104" s="201" t="s">
        <v>3519</v>
      </c>
      <c r="D104" s="159" t="s">
        <v>96</v>
      </c>
      <c r="E104" s="210" t="s">
        <v>1760</v>
      </c>
      <c r="F104" s="208" t="s">
        <v>3350</v>
      </c>
      <c r="G104" s="159" t="s">
        <v>3082</v>
      </c>
      <c r="H104" s="159" t="s">
        <v>2589</v>
      </c>
      <c r="I104" s="159" t="s">
        <v>3520</v>
      </c>
      <c r="J104" s="159" t="s">
        <v>3521</v>
      </c>
      <c r="K104" s="159" t="s">
        <v>336</v>
      </c>
      <c r="L104" s="159" t="s">
        <v>336</v>
      </c>
      <c r="M104" s="159" t="s">
        <v>3522</v>
      </c>
      <c r="N104" s="313">
        <v>103</v>
      </c>
      <c r="O104" s="314"/>
      <c r="P104" s="178" t="s">
        <v>3524</v>
      </c>
    </row>
    <row r="105" spans="1:17" ht="39.6" x14ac:dyDescent="0.3">
      <c r="A105" s="157">
        <v>109</v>
      </c>
      <c r="B105" s="217" t="s">
        <v>3817</v>
      </c>
      <c r="C105" s="201" t="s">
        <v>4030</v>
      </c>
      <c r="D105" s="159" t="s">
        <v>96</v>
      </c>
      <c r="E105" s="165" t="s">
        <v>1756</v>
      </c>
      <c r="F105" s="159" t="s">
        <v>2522</v>
      </c>
      <c r="G105" s="159" t="s">
        <v>3088</v>
      </c>
      <c r="H105" s="159" t="s">
        <v>2523</v>
      </c>
      <c r="I105" s="159" t="s">
        <v>4031</v>
      </c>
      <c r="J105" s="159" t="s">
        <v>4032</v>
      </c>
      <c r="K105" s="159" t="s">
        <v>4033</v>
      </c>
      <c r="L105" s="159" t="s">
        <v>336</v>
      </c>
      <c r="M105" s="159" t="s">
        <v>336</v>
      </c>
      <c r="N105" s="313">
        <v>104</v>
      </c>
      <c r="O105" s="314"/>
    </row>
    <row r="106" spans="1:17" ht="39.6" x14ac:dyDescent="0.3">
      <c r="A106" s="203">
        <v>80</v>
      </c>
      <c r="B106" s="217" t="s">
        <v>3817</v>
      </c>
      <c r="C106" s="201" t="s">
        <v>3861</v>
      </c>
      <c r="D106" s="159" t="s">
        <v>96</v>
      </c>
      <c r="E106" s="164" t="s">
        <v>1823</v>
      </c>
      <c r="F106" s="159" t="s">
        <v>2522</v>
      </c>
      <c r="G106" s="159" t="s">
        <v>3093</v>
      </c>
      <c r="H106" s="159" t="s">
        <v>2523</v>
      </c>
      <c r="I106" s="159" t="s">
        <v>3862</v>
      </c>
      <c r="J106" s="159" t="s">
        <v>3863</v>
      </c>
      <c r="K106" s="159" t="s">
        <v>3864</v>
      </c>
      <c r="L106" s="159" t="s">
        <v>3865</v>
      </c>
      <c r="M106" s="159" t="s">
        <v>336</v>
      </c>
      <c r="N106" s="313">
        <v>105</v>
      </c>
      <c r="O106" s="314"/>
    </row>
    <row r="107" spans="1:17" ht="26.4" x14ac:dyDescent="0.3">
      <c r="A107" s="157">
        <v>110</v>
      </c>
      <c r="B107" s="217" t="s">
        <v>3817</v>
      </c>
      <c r="C107" s="201" t="s">
        <v>4035</v>
      </c>
      <c r="D107" s="159" t="s">
        <v>96</v>
      </c>
      <c r="E107" s="165" t="s">
        <v>1756</v>
      </c>
      <c r="F107" s="159" t="s">
        <v>2522</v>
      </c>
      <c r="G107" s="159" t="s">
        <v>4036</v>
      </c>
      <c r="H107" s="159" t="s">
        <v>3589</v>
      </c>
      <c r="I107" s="159" t="s">
        <v>4037</v>
      </c>
      <c r="J107" s="159" t="s">
        <v>4038</v>
      </c>
      <c r="K107" s="159" t="s">
        <v>336</v>
      </c>
      <c r="L107" s="159" t="s">
        <v>336</v>
      </c>
      <c r="M107" s="159" t="s">
        <v>336</v>
      </c>
      <c r="N107" s="313">
        <v>106</v>
      </c>
      <c r="O107" s="314"/>
      <c r="P107" s="64" t="s">
        <v>4040</v>
      </c>
    </row>
    <row r="108" spans="1:17" ht="52.8" x14ac:dyDescent="0.3">
      <c r="A108" s="157">
        <v>29</v>
      </c>
      <c r="B108" s="207" t="s">
        <v>3299</v>
      </c>
      <c r="C108" s="201" t="s">
        <v>3525</v>
      </c>
      <c r="D108" s="159" t="s">
        <v>2351</v>
      </c>
      <c r="E108" s="210" t="s">
        <v>1760</v>
      </c>
      <c r="F108" s="209">
        <v>46191</v>
      </c>
      <c r="G108" s="159" t="s">
        <v>3526</v>
      </c>
      <c r="H108" s="159" t="s">
        <v>3340</v>
      </c>
      <c r="I108" s="159" t="s">
        <v>3527</v>
      </c>
      <c r="J108" s="159" t="s">
        <v>3528</v>
      </c>
      <c r="K108" s="159" t="s">
        <v>3529</v>
      </c>
      <c r="L108" s="159" t="s">
        <v>3530</v>
      </c>
      <c r="M108" s="159" t="s">
        <v>336</v>
      </c>
      <c r="N108" s="313">
        <v>107</v>
      </c>
      <c r="O108" s="314"/>
      <c r="P108" s="64" t="s">
        <v>3449</v>
      </c>
      <c r="Q108" s="64" t="s">
        <v>3496</v>
      </c>
    </row>
    <row r="109" spans="1:17" ht="26.4" x14ac:dyDescent="0.3">
      <c r="A109" s="157">
        <v>73</v>
      </c>
      <c r="B109" s="217" t="s">
        <v>3817</v>
      </c>
      <c r="C109" s="201" t="s">
        <v>3818</v>
      </c>
      <c r="D109" s="159" t="s">
        <v>2351</v>
      </c>
      <c r="E109" s="165" t="s">
        <v>1756</v>
      </c>
      <c r="F109" s="159" t="s">
        <v>2522</v>
      </c>
      <c r="G109" s="159" t="s">
        <v>3819</v>
      </c>
      <c r="H109" s="159" t="s">
        <v>2523</v>
      </c>
      <c r="I109" s="159" t="s">
        <v>3820</v>
      </c>
      <c r="J109" s="159" t="s">
        <v>3821</v>
      </c>
      <c r="K109" s="159" t="s">
        <v>3822</v>
      </c>
      <c r="L109" s="159" t="s">
        <v>336</v>
      </c>
      <c r="M109" s="159" t="s">
        <v>3823</v>
      </c>
      <c r="N109" s="313">
        <v>108</v>
      </c>
      <c r="O109" s="314"/>
      <c r="P109" s="178" t="s">
        <v>3536</v>
      </c>
    </row>
    <row r="110" spans="1:17" ht="39.6" x14ac:dyDescent="0.3">
      <c r="A110" s="203">
        <v>41</v>
      </c>
      <c r="B110" s="207" t="s">
        <v>3299</v>
      </c>
      <c r="C110" s="201" t="s">
        <v>3598</v>
      </c>
      <c r="D110" s="159" t="s">
        <v>3599</v>
      </c>
      <c r="E110" s="165" t="s">
        <v>1756</v>
      </c>
      <c r="F110" s="209">
        <v>46191</v>
      </c>
      <c r="G110" s="159" t="s">
        <v>3114</v>
      </c>
      <c r="H110" s="159" t="s">
        <v>3340</v>
      </c>
      <c r="I110" s="159" t="s">
        <v>3609</v>
      </c>
      <c r="J110" s="159" t="s">
        <v>3610</v>
      </c>
      <c r="K110" s="159" t="s">
        <v>336</v>
      </c>
      <c r="L110" s="159" t="s">
        <v>336</v>
      </c>
      <c r="M110" s="159" t="s">
        <v>336</v>
      </c>
      <c r="N110" s="313">
        <v>109</v>
      </c>
      <c r="O110" s="314"/>
      <c r="P110" s="64" t="s">
        <v>3477</v>
      </c>
      <c r="Q110" s="64" t="s">
        <v>3409</v>
      </c>
    </row>
    <row r="111" spans="1:17" ht="26.4" x14ac:dyDescent="0.3">
      <c r="A111" s="157">
        <v>39</v>
      </c>
      <c r="B111" s="207" t="s">
        <v>3299</v>
      </c>
      <c r="C111" s="201" t="s">
        <v>3598</v>
      </c>
      <c r="D111" s="159" t="s">
        <v>3599</v>
      </c>
      <c r="E111" s="164" t="s">
        <v>1823</v>
      </c>
      <c r="F111" s="209">
        <v>46191</v>
      </c>
      <c r="G111" s="159" t="s">
        <v>3118</v>
      </c>
      <c r="H111" s="159" t="s">
        <v>3340</v>
      </c>
      <c r="I111" s="159" t="s">
        <v>3600</v>
      </c>
      <c r="J111" s="159" t="s">
        <v>3601</v>
      </c>
      <c r="K111" s="159" t="s">
        <v>336</v>
      </c>
      <c r="L111" s="159" t="s">
        <v>336</v>
      </c>
      <c r="M111" s="159" t="s">
        <v>3602</v>
      </c>
      <c r="N111" s="313">
        <v>110</v>
      </c>
      <c r="O111" s="314"/>
      <c r="P111" s="64" t="s">
        <v>3477</v>
      </c>
      <c r="Q111" s="64" t="s">
        <v>3409</v>
      </c>
    </row>
    <row r="112" spans="1:17" ht="26.4" x14ac:dyDescent="0.3">
      <c r="A112" s="157">
        <v>40</v>
      </c>
      <c r="B112" s="207" t="s">
        <v>3299</v>
      </c>
      <c r="C112" s="201" t="s">
        <v>3598</v>
      </c>
      <c r="D112" s="159" t="s">
        <v>3599</v>
      </c>
      <c r="E112" s="164" t="s">
        <v>1823</v>
      </c>
      <c r="F112" s="209">
        <v>46191</v>
      </c>
      <c r="G112" s="159" t="s">
        <v>3123</v>
      </c>
      <c r="H112" s="159" t="s">
        <v>3340</v>
      </c>
      <c r="I112" s="159" t="s">
        <v>3604</v>
      </c>
      <c r="J112" s="159" t="s">
        <v>3605</v>
      </c>
      <c r="K112" s="159" t="s">
        <v>3606</v>
      </c>
      <c r="L112" s="159" t="s">
        <v>336</v>
      </c>
      <c r="M112" s="159" t="s">
        <v>3607</v>
      </c>
      <c r="N112" s="313">
        <v>111</v>
      </c>
      <c r="O112" s="314"/>
      <c r="P112" s="64" t="s">
        <v>3477</v>
      </c>
      <c r="Q112" s="64" t="s">
        <v>3409</v>
      </c>
    </row>
    <row r="113" spans="1:17" ht="26.4" x14ac:dyDescent="0.3">
      <c r="A113" s="157">
        <v>65</v>
      </c>
      <c r="B113" s="207" t="s">
        <v>3299</v>
      </c>
      <c r="C113" s="201" t="s">
        <v>3768</v>
      </c>
      <c r="D113" s="159" t="s">
        <v>3599</v>
      </c>
      <c r="E113" s="164" t="s">
        <v>1823</v>
      </c>
      <c r="F113" s="209">
        <v>46191</v>
      </c>
      <c r="G113" s="159" t="s">
        <v>3127</v>
      </c>
      <c r="H113" s="159" t="s">
        <v>2533</v>
      </c>
      <c r="I113" s="159" t="s">
        <v>3128</v>
      </c>
      <c r="J113" s="159" t="s">
        <v>3769</v>
      </c>
      <c r="K113" s="159" t="s">
        <v>3770</v>
      </c>
      <c r="L113" s="159" t="s">
        <v>3771</v>
      </c>
      <c r="M113" s="159" t="s">
        <v>336</v>
      </c>
      <c r="N113" s="313">
        <v>112</v>
      </c>
      <c r="O113" s="314"/>
      <c r="P113" s="178" t="s">
        <v>3536</v>
      </c>
    </row>
    <row r="114" spans="1:17" ht="52.8" x14ac:dyDescent="0.3">
      <c r="A114" s="203">
        <v>66</v>
      </c>
      <c r="B114" s="207" t="s">
        <v>3299</v>
      </c>
      <c r="C114" s="201" t="s">
        <v>3773</v>
      </c>
      <c r="D114" s="159" t="s">
        <v>3599</v>
      </c>
      <c r="E114" s="164" t="s">
        <v>1823</v>
      </c>
      <c r="F114" s="209">
        <v>46191</v>
      </c>
      <c r="G114" s="159" t="s">
        <v>3132</v>
      </c>
      <c r="H114" s="159" t="s">
        <v>3340</v>
      </c>
      <c r="I114" s="159" t="s">
        <v>3774</v>
      </c>
      <c r="J114" s="159" t="s">
        <v>3775</v>
      </c>
      <c r="K114" s="159" t="s">
        <v>3776</v>
      </c>
      <c r="L114" s="159" t="s">
        <v>336</v>
      </c>
      <c r="M114" s="159" t="s">
        <v>336</v>
      </c>
      <c r="N114" s="313">
        <v>113</v>
      </c>
      <c r="O114" s="314"/>
      <c r="P114" s="256" t="s">
        <v>3657</v>
      </c>
      <c r="Q114" s="256" t="s">
        <v>3657</v>
      </c>
    </row>
    <row r="115" spans="1:17" ht="34.200000000000003" x14ac:dyDescent="0.3">
      <c r="A115" s="157">
        <v>131</v>
      </c>
      <c r="B115" s="226" t="s">
        <v>4110</v>
      </c>
      <c r="C115" s="201" t="s">
        <v>4158</v>
      </c>
      <c r="D115" s="159" t="s">
        <v>3599</v>
      </c>
      <c r="E115" s="223" t="s">
        <v>4104</v>
      </c>
      <c r="F115" s="159" t="s">
        <v>4112</v>
      </c>
      <c r="G115" s="159" t="s">
        <v>3136</v>
      </c>
      <c r="H115" s="159" t="s">
        <v>336</v>
      </c>
      <c r="I115" s="159" t="s">
        <v>4159</v>
      </c>
      <c r="J115" s="159" t="s">
        <v>4160</v>
      </c>
      <c r="K115" s="159" t="s">
        <v>4161</v>
      </c>
      <c r="L115" s="159" t="s">
        <v>336</v>
      </c>
      <c r="M115" s="159" t="s">
        <v>4158</v>
      </c>
      <c r="N115" s="313">
        <v>114</v>
      </c>
      <c r="O115" s="314"/>
    </row>
    <row r="116" spans="1:17" ht="26.4" x14ac:dyDescent="0.3">
      <c r="A116" s="157">
        <v>88</v>
      </c>
      <c r="B116" s="217" t="s">
        <v>3817</v>
      </c>
      <c r="C116" s="201" t="s">
        <v>3911</v>
      </c>
      <c r="D116" s="159" t="s">
        <v>3569</v>
      </c>
      <c r="E116" s="164" t="s">
        <v>1823</v>
      </c>
      <c r="F116" s="159" t="s">
        <v>2522</v>
      </c>
      <c r="G116" s="159" t="s">
        <v>3141</v>
      </c>
      <c r="H116" s="159" t="s">
        <v>2523</v>
      </c>
      <c r="I116" s="159" t="s">
        <v>3912</v>
      </c>
      <c r="J116" s="159" t="s">
        <v>3913</v>
      </c>
      <c r="K116" s="159" t="s">
        <v>3914</v>
      </c>
      <c r="L116" s="159" t="s">
        <v>3915</v>
      </c>
      <c r="M116" s="159" t="s">
        <v>336</v>
      </c>
      <c r="N116" s="313">
        <v>115</v>
      </c>
      <c r="O116" s="314"/>
    </row>
    <row r="117" spans="1:17" ht="26.4" x14ac:dyDescent="0.3">
      <c r="A117" s="157">
        <v>111</v>
      </c>
      <c r="B117" s="217" t="s">
        <v>3817</v>
      </c>
      <c r="C117" s="201" t="s">
        <v>4041</v>
      </c>
      <c r="D117" s="159" t="s">
        <v>3569</v>
      </c>
      <c r="E117" s="165" t="s">
        <v>1756</v>
      </c>
      <c r="F117" s="159" t="s">
        <v>2522</v>
      </c>
      <c r="G117" s="159" t="s">
        <v>3146</v>
      </c>
      <c r="H117" s="159" t="s">
        <v>3589</v>
      </c>
      <c r="I117" s="159" t="s">
        <v>4042</v>
      </c>
      <c r="J117" s="159" t="s">
        <v>4043</v>
      </c>
      <c r="K117" s="159" t="s">
        <v>4044</v>
      </c>
      <c r="L117" s="159" t="s">
        <v>4045</v>
      </c>
      <c r="M117" s="159" t="s">
        <v>336</v>
      </c>
      <c r="N117" s="313">
        <v>116</v>
      </c>
      <c r="O117" s="314"/>
    </row>
    <row r="118" spans="1:17" ht="26.4" x14ac:dyDescent="0.3">
      <c r="A118" s="203">
        <v>76</v>
      </c>
      <c r="B118" s="215" t="s">
        <v>3817</v>
      </c>
      <c r="C118" s="237" t="s">
        <v>3837</v>
      </c>
      <c r="D118" s="199" t="s">
        <v>3569</v>
      </c>
      <c r="E118" s="216" t="s">
        <v>1760</v>
      </c>
      <c r="F118" s="199" t="s">
        <v>2522</v>
      </c>
      <c r="G118" s="199" t="s">
        <v>3153</v>
      </c>
      <c r="H118" s="199" t="s">
        <v>3589</v>
      </c>
      <c r="I118" s="199" t="s">
        <v>3838</v>
      </c>
      <c r="J118" s="199" t="s">
        <v>3839</v>
      </c>
      <c r="K118" s="199" t="s">
        <v>3840</v>
      </c>
      <c r="L118" s="199" t="s">
        <v>3841</v>
      </c>
      <c r="M118" s="199" t="s">
        <v>336</v>
      </c>
      <c r="N118" s="318">
        <v>117</v>
      </c>
      <c r="O118" s="314"/>
    </row>
    <row r="119" spans="1:17" ht="39.6" x14ac:dyDescent="0.3">
      <c r="A119" s="157">
        <v>89</v>
      </c>
      <c r="B119" s="217" t="s">
        <v>3817</v>
      </c>
      <c r="C119" s="201" t="s">
        <v>3911</v>
      </c>
      <c r="D119" s="159" t="s">
        <v>3569</v>
      </c>
      <c r="E119" s="164" t="s">
        <v>1823</v>
      </c>
      <c r="F119" s="159" t="s">
        <v>2522</v>
      </c>
      <c r="G119" s="159" t="s">
        <v>3157</v>
      </c>
      <c r="H119" s="159" t="s">
        <v>2523</v>
      </c>
      <c r="I119" s="159" t="s">
        <v>3917</v>
      </c>
      <c r="J119" s="159" t="s">
        <v>3918</v>
      </c>
      <c r="K119" s="159" t="s">
        <v>3919</v>
      </c>
      <c r="L119" s="159" t="s">
        <v>3920</v>
      </c>
      <c r="M119" s="159" t="s">
        <v>3921</v>
      </c>
      <c r="N119" s="313">
        <v>118</v>
      </c>
      <c r="O119" s="314"/>
    </row>
    <row r="120" spans="1:17" ht="26.4" x14ac:dyDescent="0.3">
      <c r="A120" s="157">
        <v>42</v>
      </c>
      <c r="B120" s="207" t="s">
        <v>3299</v>
      </c>
      <c r="C120" s="201" t="s">
        <v>3612</v>
      </c>
      <c r="D120" s="159" t="s">
        <v>3569</v>
      </c>
      <c r="E120" s="164" t="s">
        <v>1823</v>
      </c>
      <c r="F120" s="209">
        <v>46191</v>
      </c>
      <c r="G120" s="159" t="s">
        <v>3613</v>
      </c>
      <c r="H120" s="159" t="s">
        <v>2533</v>
      </c>
      <c r="I120" s="159" t="s">
        <v>3614</v>
      </c>
      <c r="J120" s="159" t="s">
        <v>3615</v>
      </c>
      <c r="K120" s="159" t="s">
        <v>3616</v>
      </c>
      <c r="L120" s="159" t="s">
        <v>336</v>
      </c>
      <c r="M120" s="159" t="s">
        <v>336</v>
      </c>
      <c r="N120" s="313">
        <v>119</v>
      </c>
      <c r="O120" s="314"/>
      <c r="P120" s="64" t="s">
        <v>3618</v>
      </c>
      <c r="Q120" s="178" t="s">
        <v>3536</v>
      </c>
    </row>
    <row r="121" spans="1:17" ht="26.4" x14ac:dyDescent="0.3">
      <c r="A121" s="157">
        <v>60</v>
      </c>
      <c r="B121" s="207" t="s">
        <v>3299</v>
      </c>
      <c r="C121" s="201" t="s">
        <v>3739</v>
      </c>
      <c r="D121" s="159" t="s">
        <v>3569</v>
      </c>
      <c r="E121" s="164" t="s">
        <v>1823</v>
      </c>
      <c r="F121" s="209">
        <v>46191</v>
      </c>
      <c r="G121" s="159" t="s">
        <v>3169</v>
      </c>
      <c r="H121" s="159" t="s">
        <v>2589</v>
      </c>
      <c r="I121" s="159" t="s">
        <v>3740</v>
      </c>
      <c r="J121" s="159" t="s">
        <v>3741</v>
      </c>
      <c r="K121" s="159" t="s">
        <v>3742</v>
      </c>
      <c r="L121" s="159" t="s">
        <v>336</v>
      </c>
      <c r="M121" s="159" t="s">
        <v>336</v>
      </c>
      <c r="N121" s="313">
        <v>120</v>
      </c>
      <c r="O121" s="314"/>
      <c r="P121" s="178" t="s">
        <v>2589</v>
      </c>
    </row>
    <row r="122" spans="1:17" ht="66" x14ac:dyDescent="0.3">
      <c r="A122" s="157">
        <v>116</v>
      </c>
      <c r="B122" s="217" t="s">
        <v>3817</v>
      </c>
      <c r="C122" s="201" t="s">
        <v>4071</v>
      </c>
      <c r="D122" s="159" t="s">
        <v>3569</v>
      </c>
      <c r="E122" s="165" t="s">
        <v>1756</v>
      </c>
      <c r="F122" s="159" t="s">
        <v>2522</v>
      </c>
      <c r="G122" s="159" t="s">
        <v>4072</v>
      </c>
      <c r="H122" s="159" t="s">
        <v>2523</v>
      </c>
      <c r="I122" s="159" t="s">
        <v>4073</v>
      </c>
      <c r="J122" s="159"/>
      <c r="K122" s="159"/>
      <c r="L122" s="159" t="s">
        <v>336</v>
      </c>
      <c r="M122" s="159"/>
      <c r="N122" s="313">
        <v>121</v>
      </c>
      <c r="O122" s="314"/>
    </row>
    <row r="123" spans="1:17" ht="57.6" x14ac:dyDescent="0.3">
      <c r="A123" s="157">
        <v>61</v>
      </c>
      <c r="B123" s="204" t="s">
        <v>3299</v>
      </c>
      <c r="C123" s="237" t="s">
        <v>3744</v>
      </c>
      <c r="D123" s="199" t="s">
        <v>3569</v>
      </c>
      <c r="E123" s="225" t="s">
        <v>1823</v>
      </c>
      <c r="F123" s="206">
        <v>46191</v>
      </c>
      <c r="G123" s="199" t="s">
        <v>3179</v>
      </c>
      <c r="H123" s="199" t="s">
        <v>3340</v>
      </c>
      <c r="I123" s="199" t="s">
        <v>3745</v>
      </c>
      <c r="J123" s="199" t="s">
        <v>3746</v>
      </c>
      <c r="K123" s="199" t="s">
        <v>3747</v>
      </c>
      <c r="L123" s="199" t="s">
        <v>3748</v>
      </c>
      <c r="M123" s="199" t="s">
        <v>336</v>
      </c>
      <c r="N123" s="318">
        <v>122</v>
      </c>
      <c r="O123" s="314"/>
      <c r="P123" s="179" t="s">
        <v>3750</v>
      </c>
      <c r="Q123" s="177"/>
    </row>
    <row r="124" spans="1:17" ht="39.6" x14ac:dyDescent="0.3">
      <c r="A124" s="157">
        <v>121</v>
      </c>
      <c r="B124" s="221" t="s">
        <v>4074</v>
      </c>
      <c r="C124" s="201" t="s">
        <v>4096</v>
      </c>
      <c r="D124" s="159" t="s">
        <v>3752</v>
      </c>
      <c r="E124" s="165" t="s">
        <v>1756</v>
      </c>
      <c r="F124" s="222" t="s">
        <v>2917</v>
      </c>
      <c r="G124" s="159" t="s">
        <v>3184</v>
      </c>
      <c r="H124" s="159" t="s">
        <v>336</v>
      </c>
      <c r="I124" s="159" t="s">
        <v>4097</v>
      </c>
      <c r="J124" s="159" t="s">
        <v>4098</v>
      </c>
      <c r="K124" s="159" t="s">
        <v>4099</v>
      </c>
      <c r="L124" s="159" t="s">
        <v>4100</v>
      </c>
      <c r="M124" s="159" t="s">
        <v>4101</v>
      </c>
      <c r="N124" s="313">
        <v>123</v>
      </c>
      <c r="O124" s="314"/>
    </row>
    <row r="125" spans="1:17" ht="26.4" x14ac:dyDescent="0.3">
      <c r="A125" s="203">
        <v>62</v>
      </c>
      <c r="B125" s="207" t="s">
        <v>3299</v>
      </c>
      <c r="C125" s="201" t="s">
        <v>3751</v>
      </c>
      <c r="D125" s="159" t="s">
        <v>3752</v>
      </c>
      <c r="E125" s="164" t="s">
        <v>1823</v>
      </c>
      <c r="F125" s="209">
        <v>46191</v>
      </c>
      <c r="G125" s="159" t="s">
        <v>3189</v>
      </c>
      <c r="H125" s="159" t="s">
        <v>2523</v>
      </c>
      <c r="I125" s="159" t="s">
        <v>3753</v>
      </c>
      <c r="J125" s="159" t="s">
        <v>3754</v>
      </c>
      <c r="K125" s="159" t="s">
        <v>3755</v>
      </c>
      <c r="L125" s="159" t="s">
        <v>336</v>
      </c>
      <c r="M125" s="159" t="s">
        <v>336</v>
      </c>
      <c r="N125" s="313">
        <v>124</v>
      </c>
      <c r="O125" s="314"/>
      <c r="P125" s="177" t="s">
        <v>3408</v>
      </c>
      <c r="Q125" s="177" t="s">
        <v>3408</v>
      </c>
    </row>
    <row r="126" spans="1:17" ht="39.6" x14ac:dyDescent="0.3">
      <c r="A126" s="157">
        <v>93</v>
      </c>
      <c r="B126" s="217" t="s">
        <v>3817</v>
      </c>
      <c r="C126" s="201" t="s">
        <v>3942</v>
      </c>
      <c r="D126" s="159" t="s">
        <v>3752</v>
      </c>
      <c r="E126" s="165" t="s">
        <v>1756</v>
      </c>
      <c r="F126" s="159" t="s">
        <v>2522</v>
      </c>
      <c r="G126" s="159" t="s">
        <v>3195</v>
      </c>
      <c r="H126" s="159" t="s">
        <v>3340</v>
      </c>
      <c r="I126" s="159" t="s">
        <v>3943</v>
      </c>
      <c r="J126" s="159" t="s">
        <v>3944</v>
      </c>
      <c r="K126" s="159" t="s">
        <v>3945</v>
      </c>
      <c r="L126" s="159" t="s">
        <v>336</v>
      </c>
      <c r="M126" s="159" t="s">
        <v>336</v>
      </c>
      <c r="N126" s="313">
        <v>125</v>
      </c>
      <c r="O126" s="314"/>
    </row>
    <row r="127" spans="1:17" ht="26.4" x14ac:dyDescent="0.3">
      <c r="A127" s="157">
        <v>63</v>
      </c>
      <c r="B127" s="207" t="s">
        <v>3299</v>
      </c>
      <c r="C127" s="201" t="s">
        <v>3757</v>
      </c>
      <c r="D127" s="159" t="s">
        <v>3752</v>
      </c>
      <c r="E127" s="164" t="s">
        <v>1823</v>
      </c>
      <c r="F127" s="209">
        <v>46191</v>
      </c>
      <c r="G127" s="159" t="s">
        <v>3201</v>
      </c>
      <c r="H127" s="159" t="s">
        <v>3340</v>
      </c>
      <c r="I127" s="159" t="s">
        <v>3758</v>
      </c>
      <c r="J127" s="159" t="s">
        <v>3759</v>
      </c>
      <c r="K127" s="159" t="s">
        <v>336</v>
      </c>
      <c r="L127" s="159" t="s">
        <v>336</v>
      </c>
      <c r="M127" s="159" t="s">
        <v>336</v>
      </c>
      <c r="N127" s="313">
        <v>126</v>
      </c>
      <c r="O127" s="314"/>
      <c r="P127" s="64" t="s">
        <v>3496</v>
      </c>
    </row>
    <row r="128" spans="1:17" ht="26.4" x14ac:dyDescent="0.3">
      <c r="A128" s="157">
        <v>14</v>
      </c>
      <c r="B128" s="207" t="s">
        <v>3299</v>
      </c>
      <c r="C128" s="243" t="s">
        <v>3401</v>
      </c>
      <c r="D128" s="159" t="s">
        <v>3410</v>
      </c>
      <c r="E128" s="210" t="s">
        <v>1760</v>
      </c>
      <c r="F128" s="209">
        <v>46191</v>
      </c>
      <c r="G128" s="159" t="s">
        <v>3207</v>
      </c>
      <c r="H128" s="159" t="s">
        <v>3340</v>
      </c>
      <c r="I128" s="159" t="s">
        <v>3411</v>
      </c>
      <c r="J128" s="159" t="s">
        <v>3412</v>
      </c>
      <c r="K128" s="159" t="s">
        <v>3413</v>
      </c>
      <c r="L128" s="159" t="s">
        <v>3414</v>
      </c>
      <c r="M128" s="159" t="s">
        <v>3415</v>
      </c>
      <c r="N128" s="313">
        <v>127</v>
      </c>
      <c r="O128" s="314"/>
      <c r="P128" s="178" t="s">
        <v>4339</v>
      </c>
      <c r="Q128" s="256" t="s">
        <v>3685</v>
      </c>
    </row>
    <row r="129" spans="1:17" ht="26.4" x14ac:dyDescent="0.3">
      <c r="A129" s="203">
        <v>31</v>
      </c>
      <c r="B129" s="207" t="s">
        <v>3299</v>
      </c>
      <c r="C129" s="201" t="s">
        <v>3537</v>
      </c>
      <c r="D129" s="159" t="s">
        <v>3410</v>
      </c>
      <c r="E129" s="210" t="s">
        <v>1760</v>
      </c>
      <c r="F129" s="209">
        <v>46191</v>
      </c>
      <c r="G129" s="159" t="s">
        <v>3538</v>
      </c>
      <c r="H129" s="159" t="s">
        <v>3340</v>
      </c>
      <c r="I129" s="159" t="s">
        <v>3539</v>
      </c>
      <c r="J129" s="159" t="s">
        <v>3540</v>
      </c>
      <c r="K129" s="159" t="s">
        <v>336</v>
      </c>
      <c r="L129" s="159" t="s">
        <v>3541</v>
      </c>
      <c r="M129" s="159" t="s">
        <v>336</v>
      </c>
      <c r="N129" s="313">
        <v>128</v>
      </c>
      <c r="O129" s="314"/>
      <c r="P129" s="64" t="s">
        <v>3408</v>
      </c>
      <c r="Q129" s="64" t="s">
        <v>3496</v>
      </c>
    </row>
    <row r="130" spans="1:17" ht="57.6" x14ac:dyDescent="0.3">
      <c r="A130" s="157">
        <v>64</v>
      </c>
      <c r="B130" s="207" t="s">
        <v>3299</v>
      </c>
      <c r="C130" s="201" t="s">
        <v>3761</v>
      </c>
      <c r="D130" s="159" t="s">
        <v>3410</v>
      </c>
      <c r="E130" s="164" t="s">
        <v>1823</v>
      </c>
      <c r="F130" s="209">
        <v>46191</v>
      </c>
      <c r="G130" s="159" t="s">
        <v>3216</v>
      </c>
      <c r="H130" s="159" t="s">
        <v>3589</v>
      </c>
      <c r="I130" s="159" t="s">
        <v>3762</v>
      </c>
      <c r="J130" s="159" t="s">
        <v>3763</v>
      </c>
      <c r="K130" s="159" t="s">
        <v>3764</v>
      </c>
      <c r="L130" s="159" t="s">
        <v>336</v>
      </c>
      <c r="M130" s="159" t="s">
        <v>336</v>
      </c>
      <c r="N130" s="313">
        <v>129</v>
      </c>
      <c r="O130" s="314"/>
      <c r="P130" s="177" t="s">
        <v>3766</v>
      </c>
      <c r="Q130" s="64" t="s">
        <v>3767</v>
      </c>
    </row>
    <row r="131" spans="1:17" ht="26.4" x14ac:dyDescent="0.3">
      <c r="A131" s="157">
        <v>112</v>
      </c>
      <c r="B131" s="217" t="s">
        <v>3817</v>
      </c>
      <c r="C131" s="201" t="s">
        <v>4047</v>
      </c>
      <c r="D131" s="159" t="s">
        <v>3410</v>
      </c>
      <c r="E131" s="165" t="s">
        <v>1756</v>
      </c>
      <c r="F131" s="159" t="s">
        <v>2522</v>
      </c>
      <c r="G131" s="159" t="s">
        <v>3223</v>
      </c>
      <c r="H131" s="159" t="s">
        <v>3589</v>
      </c>
      <c r="I131" s="159" t="s">
        <v>4048</v>
      </c>
      <c r="J131" s="159" t="s">
        <v>4049</v>
      </c>
      <c r="K131" s="159" t="s">
        <v>4050</v>
      </c>
      <c r="L131" s="159" t="s">
        <v>4051</v>
      </c>
      <c r="M131" s="159" t="s">
        <v>336</v>
      </c>
      <c r="N131" s="313">
        <v>130</v>
      </c>
      <c r="O131" s="314"/>
    </row>
    <row r="132" spans="1:17" ht="26.4" x14ac:dyDescent="0.3">
      <c r="A132" s="157">
        <v>92</v>
      </c>
      <c r="B132" s="215" t="s">
        <v>3817</v>
      </c>
      <c r="C132" s="237" t="s">
        <v>3937</v>
      </c>
      <c r="D132" s="199" t="s">
        <v>3410</v>
      </c>
      <c r="E132" s="225" t="s">
        <v>1823</v>
      </c>
      <c r="F132" s="199" t="s">
        <v>2522</v>
      </c>
      <c r="G132" s="199" t="s">
        <v>3229</v>
      </c>
      <c r="H132" s="199" t="s">
        <v>2523</v>
      </c>
      <c r="I132" s="199" t="s">
        <v>3938</v>
      </c>
      <c r="J132" s="199" t="s">
        <v>3939</v>
      </c>
      <c r="K132" s="199" t="s">
        <v>3940</v>
      </c>
      <c r="L132" s="199" t="s">
        <v>336</v>
      </c>
      <c r="M132" s="199" t="s">
        <v>336</v>
      </c>
      <c r="N132" s="318">
        <v>131</v>
      </c>
      <c r="O132" s="314"/>
    </row>
    <row r="133" spans="1:17" ht="26.4" x14ac:dyDescent="0.3">
      <c r="A133" s="203">
        <v>113</v>
      </c>
      <c r="B133" s="217" t="s">
        <v>3817</v>
      </c>
      <c r="C133" s="201" t="s">
        <v>4053</v>
      </c>
      <c r="D133" s="159" t="s">
        <v>3577</v>
      </c>
      <c r="E133" s="165" t="s">
        <v>1756</v>
      </c>
      <c r="F133" s="159" t="s">
        <v>2522</v>
      </c>
      <c r="G133" s="159" t="s">
        <v>3235</v>
      </c>
      <c r="H133" s="159" t="s">
        <v>3340</v>
      </c>
      <c r="I133" s="159" t="s">
        <v>4054</v>
      </c>
      <c r="J133" s="159" t="s">
        <v>4055</v>
      </c>
      <c r="K133" s="159" t="s">
        <v>336</v>
      </c>
      <c r="L133" s="159" t="s">
        <v>4056</v>
      </c>
      <c r="M133" s="159" t="s">
        <v>4057</v>
      </c>
      <c r="N133" s="313">
        <v>132</v>
      </c>
      <c r="O133" s="314"/>
    </row>
    <row r="134" spans="1:17" ht="26.4" x14ac:dyDescent="0.3">
      <c r="A134" s="157">
        <v>119</v>
      </c>
      <c r="B134" s="221" t="s">
        <v>4074</v>
      </c>
      <c r="C134" s="201" t="s">
        <v>4053</v>
      </c>
      <c r="D134" s="159" t="s">
        <v>3577</v>
      </c>
      <c r="E134" s="165" t="s">
        <v>1756</v>
      </c>
      <c r="F134" s="222" t="s">
        <v>2917</v>
      </c>
      <c r="G134" s="159" t="s">
        <v>3240</v>
      </c>
      <c r="H134" s="159" t="s">
        <v>336</v>
      </c>
      <c r="I134" s="159" t="s">
        <v>4086</v>
      </c>
      <c r="J134" s="159" t="s">
        <v>4087</v>
      </c>
      <c r="K134" s="159" t="s">
        <v>4088</v>
      </c>
      <c r="L134" s="159" t="s">
        <v>4089</v>
      </c>
      <c r="M134" s="159" t="s">
        <v>4062</v>
      </c>
      <c r="N134" s="313">
        <v>133</v>
      </c>
      <c r="O134" s="314"/>
    </row>
    <row r="135" spans="1:17" ht="26.4" x14ac:dyDescent="0.3">
      <c r="A135" s="157">
        <v>114</v>
      </c>
      <c r="B135" s="217" t="s">
        <v>3817</v>
      </c>
      <c r="C135" s="201" t="s">
        <v>4053</v>
      </c>
      <c r="D135" s="159" t="s">
        <v>3577</v>
      </c>
      <c r="E135" s="165" t="s">
        <v>1756</v>
      </c>
      <c r="F135" s="159" t="s">
        <v>2522</v>
      </c>
      <c r="G135" s="159" t="s">
        <v>3246</v>
      </c>
      <c r="H135" s="159" t="s">
        <v>3340</v>
      </c>
      <c r="I135" s="159" t="s">
        <v>4059</v>
      </c>
      <c r="J135" s="159" t="s">
        <v>4060</v>
      </c>
      <c r="K135" s="159" t="s">
        <v>336</v>
      </c>
      <c r="L135" s="159" t="s">
        <v>4061</v>
      </c>
      <c r="M135" s="159" t="s">
        <v>4062</v>
      </c>
      <c r="N135" s="313">
        <v>134</v>
      </c>
      <c r="O135" s="314"/>
    </row>
    <row r="136" spans="1:17" ht="26.4" x14ac:dyDescent="0.3">
      <c r="A136" s="157">
        <v>138</v>
      </c>
      <c r="B136" s="229" t="s">
        <v>4163</v>
      </c>
      <c r="C136" s="201" t="s">
        <v>3254</v>
      </c>
      <c r="D136" s="159" t="s">
        <v>3577</v>
      </c>
      <c r="E136" s="164" t="s">
        <v>1823</v>
      </c>
      <c r="F136" s="230" t="s">
        <v>651</v>
      </c>
      <c r="G136" s="159" t="s">
        <v>3251</v>
      </c>
      <c r="H136" s="159" t="s">
        <v>336</v>
      </c>
      <c r="I136" s="159" t="s">
        <v>4185</v>
      </c>
      <c r="J136" s="159" t="s">
        <v>336</v>
      </c>
      <c r="K136" s="159" t="s">
        <v>336</v>
      </c>
      <c r="L136" s="159" t="s">
        <v>336</v>
      </c>
      <c r="M136" s="159" t="s">
        <v>4186</v>
      </c>
      <c r="N136" s="313">
        <v>135</v>
      </c>
      <c r="O136" s="314"/>
    </row>
    <row r="137" spans="1:17" ht="28.8" x14ac:dyDescent="0.3">
      <c r="A137" s="203">
        <v>37</v>
      </c>
      <c r="B137" s="207" t="s">
        <v>3299</v>
      </c>
      <c r="C137" s="201" t="s">
        <v>3258</v>
      </c>
      <c r="D137" s="159" t="s">
        <v>3577</v>
      </c>
      <c r="E137" s="164" t="s">
        <v>1823</v>
      </c>
      <c r="F137" s="209">
        <v>46191</v>
      </c>
      <c r="G137" s="159" t="s">
        <v>3578</v>
      </c>
      <c r="H137" s="159" t="s">
        <v>3340</v>
      </c>
      <c r="I137" s="159" t="s">
        <v>3579</v>
      </c>
      <c r="J137" s="159" t="s">
        <v>3580</v>
      </c>
      <c r="K137" s="159" t="s">
        <v>3581</v>
      </c>
      <c r="L137" s="159" t="s">
        <v>3582</v>
      </c>
      <c r="M137" s="159" t="s">
        <v>3583</v>
      </c>
      <c r="N137" s="313">
        <v>136</v>
      </c>
      <c r="O137" s="314"/>
      <c r="P137" s="178" t="s">
        <v>3585</v>
      </c>
    </row>
    <row r="138" spans="1:17" ht="34.200000000000003" x14ac:dyDescent="0.3">
      <c r="A138" s="157">
        <v>74</v>
      </c>
      <c r="B138" s="217" t="s">
        <v>3817</v>
      </c>
      <c r="C138" s="201" t="s">
        <v>3825</v>
      </c>
      <c r="D138" s="159" t="s">
        <v>3826</v>
      </c>
      <c r="E138" s="210" t="s">
        <v>1760</v>
      </c>
      <c r="F138" s="159" t="s">
        <v>2522</v>
      </c>
      <c r="G138" s="159" t="s">
        <v>3260</v>
      </c>
      <c r="H138" s="159" t="s">
        <v>3589</v>
      </c>
      <c r="I138" s="159" t="s">
        <v>3827</v>
      </c>
      <c r="J138" s="159" t="s">
        <v>3828</v>
      </c>
      <c r="K138" s="159" t="s">
        <v>3829</v>
      </c>
      <c r="L138" s="159" t="s">
        <v>336</v>
      </c>
      <c r="M138" s="159" t="s">
        <v>3263</v>
      </c>
      <c r="N138" s="313">
        <v>137</v>
      </c>
      <c r="O138" s="314"/>
    </row>
    <row r="139" spans="1:17" ht="39.6" x14ac:dyDescent="0.3">
      <c r="A139" s="157">
        <v>90</v>
      </c>
      <c r="B139" s="217" t="s">
        <v>3817</v>
      </c>
      <c r="C139" s="201" t="s">
        <v>3923</v>
      </c>
      <c r="D139" s="159" t="s">
        <v>3924</v>
      </c>
      <c r="E139" s="164" t="s">
        <v>1823</v>
      </c>
      <c r="F139" s="159" t="s">
        <v>2522</v>
      </c>
      <c r="G139" s="159" t="s">
        <v>3266</v>
      </c>
      <c r="H139" s="159" t="s">
        <v>3589</v>
      </c>
      <c r="I139" s="159" t="s">
        <v>3925</v>
      </c>
      <c r="J139" s="159" t="s">
        <v>3926</v>
      </c>
      <c r="K139" s="159" t="s">
        <v>3927</v>
      </c>
      <c r="L139" s="159" t="s">
        <v>3928</v>
      </c>
      <c r="M139" s="159" t="s">
        <v>336</v>
      </c>
      <c r="N139" s="313">
        <v>138</v>
      </c>
      <c r="O139" s="314" t="s">
        <v>3930</v>
      </c>
    </row>
    <row r="140" spans="1:17" ht="26.4" x14ac:dyDescent="0.3">
      <c r="A140" s="157">
        <v>123</v>
      </c>
      <c r="B140" s="224" t="s">
        <v>4110</v>
      </c>
      <c r="C140" s="237" t="s">
        <v>4111</v>
      </c>
      <c r="D140" s="199" t="s">
        <v>3924</v>
      </c>
      <c r="E140" s="225" t="s">
        <v>1823</v>
      </c>
      <c r="F140" s="199" t="s">
        <v>4112</v>
      </c>
      <c r="G140" s="199" t="s">
        <v>3272</v>
      </c>
      <c r="H140" s="199" t="s">
        <v>336</v>
      </c>
      <c r="I140" s="199" t="s">
        <v>4113</v>
      </c>
      <c r="J140" s="199" t="s">
        <v>4114</v>
      </c>
      <c r="K140" s="199" t="s">
        <v>4115</v>
      </c>
      <c r="L140" s="199" t="s">
        <v>336</v>
      </c>
      <c r="M140" s="199" t="s">
        <v>4116</v>
      </c>
      <c r="N140" s="318">
        <v>139</v>
      </c>
      <c r="O140" s="314"/>
    </row>
    <row r="141" spans="1:17" ht="26.4" x14ac:dyDescent="0.3">
      <c r="A141" s="203">
        <v>141</v>
      </c>
      <c r="B141" s="233" t="s">
        <v>4191</v>
      </c>
      <c r="C141" s="201" t="s">
        <v>3280</v>
      </c>
      <c r="D141" s="159" t="s">
        <v>3924</v>
      </c>
      <c r="E141" s="164" t="s">
        <v>1823</v>
      </c>
      <c r="F141" s="223" t="s">
        <v>4197</v>
      </c>
      <c r="G141" s="159" t="s">
        <v>3278</v>
      </c>
      <c r="H141" s="159" t="s">
        <v>336</v>
      </c>
      <c r="I141" s="159" t="s">
        <v>4198</v>
      </c>
      <c r="J141" s="159" t="s">
        <v>336</v>
      </c>
      <c r="K141" s="159" t="s">
        <v>336</v>
      </c>
      <c r="L141" s="159" t="s">
        <v>336</v>
      </c>
      <c r="M141" s="159" t="s">
        <v>4199</v>
      </c>
      <c r="N141" s="313">
        <v>140</v>
      </c>
      <c r="O141" s="314"/>
    </row>
    <row r="142" spans="1:17" ht="66" x14ac:dyDescent="0.3">
      <c r="A142" s="157">
        <v>52</v>
      </c>
      <c r="B142" s="207" t="s">
        <v>3299</v>
      </c>
      <c r="C142" s="201" t="s">
        <v>3687</v>
      </c>
      <c r="D142" s="159" t="s">
        <v>3366</v>
      </c>
      <c r="E142" s="164" t="s">
        <v>1823</v>
      </c>
      <c r="F142" s="209">
        <v>46191</v>
      </c>
      <c r="G142" s="159" t="s">
        <v>3688</v>
      </c>
      <c r="H142" s="159" t="s">
        <v>3589</v>
      </c>
      <c r="I142" s="159" t="s">
        <v>3689</v>
      </c>
      <c r="J142" s="159"/>
      <c r="K142" s="159"/>
      <c r="L142" s="159"/>
      <c r="M142" s="159"/>
      <c r="N142" s="313" t="s">
        <v>3690</v>
      </c>
      <c r="O142" s="314"/>
      <c r="P142" s="177" t="s">
        <v>3691</v>
      </c>
    </row>
    <row r="143" spans="1:17" ht="52.8" x14ac:dyDescent="0.3">
      <c r="A143" s="157">
        <v>30</v>
      </c>
      <c r="B143" s="207" t="s">
        <v>3299</v>
      </c>
      <c r="C143" s="201" t="s">
        <v>3532</v>
      </c>
      <c r="D143" s="159" t="s">
        <v>2351</v>
      </c>
      <c r="E143" s="210" t="s">
        <v>1760</v>
      </c>
      <c r="F143" s="209">
        <v>46191</v>
      </c>
      <c r="G143" s="159" t="s">
        <v>3533</v>
      </c>
      <c r="H143" s="159" t="s">
        <v>2533</v>
      </c>
      <c r="I143" s="159" t="s">
        <v>3534</v>
      </c>
      <c r="J143" s="159"/>
      <c r="K143" s="159"/>
      <c r="L143" s="159"/>
      <c r="M143" s="159"/>
      <c r="N143" s="313" t="s">
        <v>4340</v>
      </c>
      <c r="O143" s="314"/>
      <c r="P143" s="64" t="s">
        <v>3449</v>
      </c>
      <c r="Q143" s="178" t="s">
        <v>3536</v>
      </c>
    </row>
    <row r="144" spans="1:17" ht="28.8" x14ac:dyDescent="0.3">
      <c r="A144" s="203">
        <v>36</v>
      </c>
      <c r="B144" s="207" t="s">
        <v>3299</v>
      </c>
      <c r="C144" s="241" t="s">
        <v>3568</v>
      </c>
      <c r="D144" s="159" t="s">
        <v>3569</v>
      </c>
      <c r="E144" s="164" t="s">
        <v>1823</v>
      </c>
      <c r="F144" s="209">
        <v>46191</v>
      </c>
      <c r="G144" s="159" t="s">
        <v>3570</v>
      </c>
      <c r="H144" s="159" t="s">
        <v>2533</v>
      </c>
      <c r="I144" s="159" t="s">
        <v>3571</v>
      </c>
      <c r="J144" s="159" t="s">
        <v>3572</v>
      </c>
      <c r="K144" s="159" t="s">
        <v>3573</v>
      </c>
      <c r="L144" s="159" t="s">
        <v>336</v>
      </c>
      <c r="M144" s="159" t="s">
        <v>3574</v>
      </c>
      <c r="N144" s="313">
        <v>121</v>
      </c>
      <c r="O144" s="314"/>
      <c r="P144" s="178" t="s">
        <v>3536</v>
      </c>
      <c r="Q144" s="64" t="s">
        <v>3576</v>
      </c>
    </row>
  </sheetData>
  <sortState xmlns:xlrd2="http://schemas.microsoft.com/office/spreadsheetml/2017/richdata2" ref="A2:Q144">
    <sortCondition ref="N2:N144"/>
  </sortState>
  <conditionalFormatting sqref="H1:H1048576">
    <cfRule type="containsText" dxfId="5" priority="1" operator="containsText" text="Won't do">
      <formula>NOT(ISERROR(SEARCH("Won't do",H1)))</formula>
    </cfRule>
    <cfRule type="containsText" dxfId="4" priority="2" operator="containsText" text="HELP!!">
      <formula>NOT(ISERROR(SEARCH("HELP!!",H1)))</formula>
    </cfRule>
    <cfRule type="containsText" dxfId="3" priority="3" operator="containsText" text="Need Clearify">
      <formula>NOT(ISERROR(SEARCH("Need Clearify",H1)))</formula>
    </cfRule>
    <cfRule type="containsText" dxfId="2" priority="4" operator="containsText" text="On Going">
      <formula>NOT(ISERROR(SEARCH("On Going",H1)))</formula>
    </cfRule>
    <cfRule type="containsText" dxfId="1" priority="5" operator="containsText" text="To-do">
      <formula>NOT(ISERROR(SEARCH("To-do",H1)))</formula>
    </cfRule>
    <cfRule type="containsText" dxfId="0" priority="6" operator="containsText" text="Completed">
      <formula>NOT(ISERROR(SEARCH("Completed",H1)))</formula>
    </cfRule>
  </conditionalFormatting>
  <dataValidations count="1">
    <dataValidation type="list" allowBlank="1" showInputMessage="1" showErrorMessage="1" sqref="H1:H1048576" xr:uid="{8F3F4E9D-6DB5-4BDD-98F7-52272A22213C}">
      <formula1>"Completed, To-do, On Going, Need Clearify, Won't do, HELP!!"</formula1>
    </dataValidation>
  </dataValidations>
  <hyperlinks>
    <hyperlink ref="C99" r:id="rId1" xr:uid="{C0D9A64A-5128-4AA3-9160-DCCA62712CA4}"/>
    <hyperlink ref="C82" r:id="rId2" xr:uid="{6C04DBA1-5C4F-4095-8D25-A3D482C25887}"/>
    <hyperlink ref="C85" r:id="rId3" xr:uid="{C6257CDB-3901-47C4-A4B7-9C7FA82EB320}"/>
    <hyperlink ref="C61" r:id="rId4" xr:uid="{2914DF96-FBCE-42AC-8DA4-F892A00ED7EC}"/>
    <hyperlink ref="C35" r:id="rId5" xr:uid="{76517C94-C892-43CB-810A-3A59E6735739}"/>
    <hyperlink ref="C70" r:id="rId6" xr:uid="{37F4BF46-EED1-4296-A5CD-4102856555B9}"/>
    <hyperlink ref="C128" r:id="rId7" xr:uid="{A137A7EF-5408-4FEC-8B66-BC49CF5E0760}"/>
    <hyperlink ref="C62" r:id="rId8" xr:uid="{4F6BCA27-B87B-4945-AAA5-ECCCA26E4E0D}"/>
    <hyperlink ref="C25" r:id="rId9" xr:uid="{193BC551-6C48-457F-871B-F078DD3E4E6A}"/>
    <hyperlink ref="C47" r:id="rId10" xr:uid="{360193F7-401F-4408-8636-6FF3517C1EED}"/>
    <hyperlink ref="C48" r:id="rId11" xr:uid="{31147EAE-BD7A-49C8-9B99-84C3A0FE6FB1}"/>
    <hyperlink ref="C49" r:id="rId12" xr:uid="{B8A512EC-0CF6-4DF5-BB77-8364841F704C}"/>
    <hyperlink ref="C103" r:id="rId13" xr:uid="{619D5077-32C8-4CBA-9828-4DDF11D694D8}"/>
    <hyperlink ref="C144" r:id="rId14" xr:uid="{F0AE4846-5A6B-4632-8E7F-56A68F24DCC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10</vt:i4>
      </vt:variant>
    </vt:vector>
  </HeadingPairs>
  <TitlesOfParts>
    <vt:vector size="36" baseType="lpstr">
      <vt:lpstr>Scenario-OPD-Doctor</vt:lpstr>
      <vt:lpstr>Scenario-OPD-Nurse</vt:lpstr>
      <vt:lpstr>Scenario-Inventory</vt:lpstr>
      <vt:lpstr>Mock-Data Inventory</vt:lpstr>
      <vt:lpstr>Scenario- ER</vt:lpstr>
      <vt:lpstr>ER Issue</vt:lpstr>
      <vt:lpstr>Mock-Data ER</vt:lpstr>
      <vt:lpstr>List Flow E2E For BizSim</vt:lpstr>
      <vt:lpstr>Scenario-OPD BizSim</vt:lpstr>
      <vt:lpstr>List Flow E2E For BizSim(New)</vt:lpstr>
      <vt:lpstr>Scenario-OPD BizSim(New)</vt:lpstr>
      <vt:lpstr>Station-OPD BizSim(New)</vt:lpstr>
      <vt:lpstr>สรุปผล Station-OPD</vt:lpstr>
      <vt:lpstr>Bug list (OPDBIzSim)</vt:lpstr>
      <vt:lpstr>Bizsim Cut-off</vt:lpstr>
      <vt:lpstr>Bug list &amp; รายการติดตาม(เก่า)</vt:lpstr>
      <vt:lpstr>CDSS only</vt:lpstr>
      <vt:lpstr>Sheet2</vt:lpstr>
      <vt:lpstr>Sheet1</vt:lpstr>
      <vt:lpstr>List Mock up data</vt:lpstr>
      <vt:lpstr>Document</vt:lpstr>
      <vt:lpstr>feedback</vt:lpstr>
      <vt:lpstr>Lean Feedback</vt:lpstr>
      <vt:lpstr>Aidanote</vt:lpstr>
      <vt:lpstr>Remap Lean Feedback </vt:lpstr>
      <vt:lpstr>Aidanote (2)</vt:lpstr>
      <vt:lpstr>'Scenario- ER'!Print_Area</vt:lpstr>
      <vt:lpstr>'Scenario-Inventory'!Print_Area</vt:lpstr>
      <vt:lpstr>'Scenario-OPD BizSim'!Print_Area</vt:lpstr>
      <vt:lpstr>'Scenario-OPD-Doctor'!Print_Area</vt:lpstr>
      <vt:lpstr>'Scenario-OPD-Nurse'!Print_Area</vt:lpstr>
      <vt:lpstr>'Scenario- ER'!Print_Titles</vt:lpstr>
      <vt:lpstr>'Scenario-Inventory'!Print_Titles</vt:lpstr>
      <vt:lpstr>'Scenario-OPD BizSim'!Print_Titles</vt:lpstr>
      <vt:lpstr>'Scenario-OPD-Doctor'!Print_Titles</vt:lpstr>
      <vt:lpstr>'Scenario-OPD-Nurse'!Print_Titles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Panupong  Mungjaroen (Sa)</dc:creator>
  <cp:keywords/>
  <dc:description/>
  <cp:lastModifiedBy>Suchat Chancherngsilapakul (Jame)</cp:lastModifiedBy>
  <cp:revision/>
  <dcterms:created xsi:type="dcterms:W3CDTF">2026-05-06T10:42:04Z</dcterms:created>
  <dcterms:modified xsi:type="dcterms:W3CDTF">2026-10-26T11:26:27Z</dcterms:modified>
  <cp:category/>
  <cp:contentStatus/>
</cp:coreProperties>
</file>