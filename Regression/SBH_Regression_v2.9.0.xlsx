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874d3311becb34/Desktop/Cortex-Automate/Regression/"/>
    </mc:Choice>
  </mc:AlternateContent>
  <xr:revisionPtr revIDLastSave="71" documentId="13_ncr:1_{8EF6AFB0-1121-4620-AFF8-978A840C778C}" xr6:coauthVersionLast="47" xr6:coauthVersionMax="47" xr10:uidLastSave="{B851CC23-E497-4FD9-AEDA-EC359961B30F}"/>
  <bookViews>
    <workbookView xWindow="-108" yWindow="-108" windowWidth="23256" windowHeight="12456" activeTab="4" xr2:uid="{00000000-000D-0000-FFFF-FFFF00000000}"/>
  </bookViews>
  <sheets>
    <sheet name="README" sheetId="9" r:id="rId1"/>
    <sheet name="Regression Plan" sheetId="13" r:id="rId2"/>
    <sheet name="Dashboard" sheetId="7" r:id="rId3"/>
    <sheet name="E2E core flow" sheetId="1" r:id="rId4"/>
    <sheet name="Cards" sheetId="8" r:id="rId5"/>
    <sheet name="Card Test Cases" sheetId="11" r:id="rId6"/>
    <sheet name="Ownership Matrix" sheetId="10" r:id="rId7"/>
    <sheet name="Dashboard Feed" sheetId="12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89" i="13" l="1" a="1"/>
  <c r="B70" i="13"/>
  <c r="B71" i="13"/>
  <c r="B72" i="13"/>
  <c r="B73" i="13"/>
  <c r="B74" i="13"/>
  <c r="B75" i="13"/>
  <c r="D43" i="13"/>
  <c r="D44" i="13"/>
  <c r="D45" i="13"/>
  <c r="D46" i="13"/>
  <c r="D47" i="13"/>
  <c r="D48" i="13"/>
  <c r="D49" i="13"/>
  <c r="B39" i="13"/>
  <c r="B21" i="13"/>
  <c r="B22" i="13"/>
  <c r="B24" i="13"/>
  <c r="B23" i="13" s="1"/>
  <c r="B25" i="13"/>
  <c r="B26" i="13"/>
  <c r="B28" i="13"/>
  <c r="B5" i="13"/>
  <c r="B6" i="13"/>
  <c r="B7" i="13"/>
  <c r="B8" i="13"/>
  <c r="B9" i="13"/>
  <c r="B10" i="13"/>
  <c r="B11" i="13"/>
  <c r="B12" i="13"/>
  <c r="B16" i="13"/>
  <c r="B17" i="13"/>
  <c r="A1" i="13"/>
  <c r="AH2" i="12"/>
  <c r="AI2" i="12"/>
  <c r="AG3" i="12"/>
  <c r="AH3" i="12"/>
  <c r="AI3" i="12"/>
  <c r="AG4" i="12"/>
  <c r="AH4" i="12"/>
  <c r="AI4" i="12"/>
  <c r="AG5" i="12"/>
  <c r="AH5" i="12"/>
  <c r="AI5" i="12"/>
  <c r="AG6" i="12"/>
  <c r="AH6" i="12"/>
  <c r="AI6" i="12"/>
  <c r="AG7" i="12"/>
  <c r="AH7" i="12"/>
  <c r="AI7" i="12"/>
  <c r="AG8" i="12"/>
  <c r="AH8" i="12"/>
  <c r="AI8" i="12"/>
  <c r="AG9" i="12"/>
  <c r="AH9" i="12"/>
  <c r="AI9" i="12"/>
  <c r="AG10" i="12"/>
  <c r="AH10" i="12"/>
  <c r="AI10" i="12"/>
  <c r="AG11" i="12"/>
  <c r="AH11" i="12"/>
  <c r="AI11" i="12"/>
  <c r="AG12" i="12"/>
  <c r="AH12" i="12"/>
  <c r="AI12" i="12"/>
  <c r="AG13" i="12"/>
  <c r="AH13" i="12"/>
  <c r="AI13" i="12"/>
  <c r="AG14" i="12"/>
  <c r="AH14" i="12"/>
  <c r="AI14" i="12"/>
  <c r="AA15" i="12"/>
  <c r="AA16" i="12"/>
  <c r="AA17" i="12"/>
  <c r="AA18" i="12"/>
  <c r="AA9" i="12"/>
  <c r="AA10" i="12"/>
  <c r="AA11" i="12"/>
  <c r="AA12" i="12"/>
  <c r="D23" i="7"/>
  <c r="AD3" i="12" s="1"/>
  <c r="F22" i="7"/>
  <c r="AC5" i="12" s="1"/>
  <c r="P5" i="12"/>
  <c r="P6" i="12"/>
  <c r="P7" i="12"/>
  <c r="P8" i="12"/>
  <c r="B13" i="13" s="1"/>
  <c r="D200" i="10"/>
  <c r="D199" i="10"/>
  <c r="D198" i="10"/>
  <c r="D197" i="10"/>
  <c r="D196" i="10"/>
  <c r="D195" i="10"/>
  <c r="D194" i="10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D180" i="10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1000" i="11"/>
  <c r="C1000" i="11"/>
  <c r="D999" i="11"/>
  <c r="C999" i="11"/>
  <c r="D998" i="11"/>
  <c r="C998" i="11"/>
  <c r="D997" i="11"/>
  <c r="C997" i="11"/>
  <c r="D996" i="11"/>
  <c r="C996" i="11"/>
  <c r="D995" i="11"/>
  <c r="C995" i="11"/>
  <c r="D994" i="11"/>
  <c r="C994" i="11"/>
  <c r="D993" i="11"/>
  <c r="C993" i="11"/>
  <c r="D992" i="11"/>
  <c r="C992" i="11"/>
  <c r="D991" i="11"/>
  <c r="C991" i="11"/>
  <c r="D990" i="11"/>
  <c r="C990" i="11"/>
  <c r="D989" i="11"/>
  <c r="C989" i="11"/>
  <c r="D988" i="11"/>
  <c r="C988" i="11"/>
  <c r="D987" i="11"/>
  <c r="C987" i="11"/>
  <c r="D986" i="11"/>
  <c r="C986" i="11"/>
  <c r="D985" i="11"/>
  <c r="C985" i="11"/>
  <c r="D984" i="11"/>
  <c r="C984" i="11"/>
  <c r="D983" i="11"/>
  <c r="C983" i="11"/>
  <c r="D982" i="11"/>
  <c r="C982" i="11"/>
  <c r="D981" i="11"/>
  <c r="C981" i="11"/>
  <c r="D980" i="11"/>
  <c r="C980" i="11"/>
  <c r="D979" i="11"/>
  <c r="C979" i="11"/>
  <c r="D978" i="11"/>
  <c r="C978" i="11"/>
  <c r="D977" i="11"/>
  <c r="C977" i="11"/>
  <c r="D976" i="11"/>
  <c r="C976" i="11"/>
  <c r="D975" i="11"/>
  <c r="C975" i="11"/>
  <c r="D974" i="11"/>
  <c r="C974" i="11"/>
  <c r="D973" i="11"/>
  <c r="C973" i="11"/>
  <c r="D972" i="11"/>
  <c r="C972" i="11"/>
  <c r="D971" i="11"/>
  <c r="C971" i="11"/>
  <c r="D970" i="11"/>
  <c r="C970" i="11"/>
  <c r="D969" i="11"/>
  <c r="C969" i="11"/>
  <c r="D968" i="11"/>
  <c r="C968" i="11"/>
  <c r="D967" i="11"/>
  <c r="C967" i="11"/>
  <c r="D966" i="11"/>
  <c r="C966" i="11"/>
  <c r="D965" i="11"/>
  <c r="C965" i="11"/>
  <c r="D964" i="11"/>
  <c r="C964" i="11"/>
  <c r="D963" i="11"/>
  <c r="C963" i="11"/>
  <c r="D962" i="11"/>
  <c r="C962" i="11"/>
  <c r="D961" i="11"/>
  <c r="C961" i="11"/>
  <c r="D960" i="11"/>
  <c r="C960" i="11"/>
  <c r="D959" i="11"/>
  <c r="C959" i="11"/>
  <c r="D958" i="11"/>
  <c r="C958" i="11"/>
  <c r="D957" i="11"/>
  <c r="C957" i="11"/>
  <c r="D956" i="11"/>
  <c r="C956" i="11"/>
  <c r="D955" i="11"/>
  <c r="C955" i="11"/>
  <c r="D954" i="11"/>
  <c r="C954" i="11"/>
  <c r="D953" i="11"/>
  <c r="C953" i="11"/>
  <c r="D952" i="11"/>
  <c r="C952" i="11"/>
  <c r="D951" i="11"/>
  <c r="C951" i="11"/>
  <c r="D950" i="11"/>
  <c r="C950" i="11"/>
  <c r="D949" i="11"/>
  <c r="C949" i="11"/>
  <c r="D948" i="11"/>
  <c r="C948" i="11"/>
  <c r="D947" i="11"/>
  <c r="C947" i="11"/>
  <c r="D946" i="11"/>
  <c r="C946" i="11"/>
  <c r="D945" i="11"/>
  <c r="C945" i="11"/>
  <c r="D944" i="11"/>
  <c r="C944" i="11"/>
  <c r="D943" i="11"/>
  <c r="C943" i="11"/>
  <c r="D942" i="11"/>
  <c r="C942" i="11"/>
  <c r="D941" i="11"/>
  <c r="C941" i="11"/>
  <c r="D940" i="11"/>
  <c r="C940" i="11"/>
  <c r="D939" i="11"/>
  <c r="C939" i="11"/>
  <c r="D938" i="11"/>
  <c r="C938" i="11"/>
  <c r="D937" i="11"/>
  <c r="C937" i="11"/>
  <c r="D936" i="11"/>
  <c r="C936" i="11"/>
  <c r="D935" i="11"/>
  <c r="C935" i="11"/>
  <c r="D934" i="11"/>
  <c r="C934" i="11"/>
  <c r="D933" i="11"/>
  <c r="C933" i="11"/>
  <c r="D932" i="11"/>
  <c r="C932" i="11"/>
  <c r="D931" i="11"/>
  <c r="C931" i="11"/>
  <c r="D930" i="11"/>
  <c r="C930" i="11"/>
  <c r="D929" i="11"/>
  <c r="C929" i="11"/>
  <c r="D928" i="11"/>
  <c r="C928" i="11"/>
  <c r="D927" i="11"/>
  <c r="C927" i="11"/>
  <c r="D926" i="11"/>
  <c r="C926" i="11"/>
  <c r="D925" i="11"/>
  <c r="C925" i="11"/>
  <c r="D924" i="11"/>
  <c r="C924" i="11"/>
  <c r="D923" i="11"/>
  <c r="C923" i="11"/>
  <c r="D922" i="11"/>
  <c r="C922" i="11"/>
  <c r="D921" i="11"/>
  <c r="C921" i="11"/>
  <c r="D920" i="11"/>
  <c r="C920" i="11"/>
  <c r="D919" i="11"/>
  <c r="C919" i="11"/>
  <c r="D918" i="11"/>
  <c r="C918" i="11"/>
  <c r="D917" i="11"/>
  <c r="C917" i="11"/>
  <c r="D916" i="11"/>
  <c r="C916" i="11"/>
  <c r="D915" i="11"/>
  <c r="C915" i="11"/>
  <c r="D914" i="11"/>
  <c r="C914" i="11"/>
  <c r="D913" i="11"/>
  <c r="C913" i="11"/>
  <c r="D912" i="11"/>
  <c r="C912" i="11"/>
  <c r="D911" i="11"/>
  <c r="C911" i="11"/>
  <c r="D910" i="11"/>
  <c r="C910" i="11"/>
  <c r="D909" i="11"/>
  <c r="C909" i="11"/>
  <c r="D908" i="11"/>
  <c r="C908" i="11"/>
  <c r="D907" i="11"/>
  <c r="C907" i="11"/>
  <c r="D906" i="11"/>
  <c r="C906" i="11"/>
  <c r="D905" i="11"/>
  <c r="C905" i="11"/>
  <c r="D904" i="11"/>
  <c r="C904" i="11"/>
  <c r="D903" i="11"/>
  <c r="C903" i="11"/>
  <c r="D902" i="11"/>
  <c r="C902" i="11"/>
  <c r="D901" i="11"/>
  <c r="C901" i="11"/>
  <c r="D900" i="11"/>
  <c r="C900" i="11"/>
  <c r="D899" i="11"/>
  <c r="C899" i="11"/>
  <c r="D898" i="11"/>
  <c r="C898" i="11"/>
  <c r="D897" i="11"/>
  <c r="C897" i="11"/>
  <c r="D896" i="11"/>
  <c r="C896" i="11"/>
  <c r="D895" i="11"/>
  <c r="C895" i="11"/>
  <c r="D894" i="11"/>
  <c r="C894" i="11"/>
  <c r="D893" i="11"/>
  <c r="C893" i="11"/>
  <c r="D892" i="11"/>
  <c r="C892" i="11"/>
  <c r="D891" i="11"/>
  <c r="C891" i="11"/>
  <c r="D890" i="11"/>
  <c r="C890" i="11"/>
  <c r="D889" i="11"/>
  <c r="C889" i="11"/>
  <c r="D888" i="11"/>
  <c r="C888" i="11"/>
  <c r="D887" i="11"/>
  <c r="C887" i="11"/>
  <c r="D886" i="11"/>
  <c r="C886" i="11"/>
  <c r="D885" i="11"/>
  <c r="C885" i="11"/>
  <c r="D884" i="11"/>
  <c r="C884" i="11"/>
  <c r="D883" i="11"/>
  <c r="C883" i="11"/>
  <c r="D882" i="11"/>
  <c r="C882" i="11"/>
  <c r="D881" i="11"/>
  <c r="C881" i="11"/>
  <c r="D880" i="11"/>
  <c r="C880" i="11"/>
  <c r="D879" i="11"/>
  <c r="C879" i="11"/>
  <c r="D878" i="11"/>
  <c r="C878" i="11"/>
  <c r="D877" i="11"/>
  <c r="C877" i="11"/>
  <c r="D876" i="11"/>
  <c r="C876" i="11"/>
  <c r="D875" i="11"/>
  <c r="C875" i="11"/>
  <c r="D874" i="11"/>
  <c r="C874" i="11"/>
  <c r="D873" i="11"/>
  <c r="C873" i="11"/>
  <c r="D872" i="11"/>
  <c r="C872" i="11"/>
  <c r="D871" i="11"/>
  <c r="C871" i="11"/>
  <c r="D870" i="11"/>
  <c r="C870" i="11"/>
  <c r="D869" i="11"/>
  <c r="C869" i="11"/>
  <c r="D868" i="11"/>
  <c r="C868" i="11"/>
  <c r="D867" i="11"/>
  <c r="C867" i="11"/>
  <c r="D866" i="11"/>
  <c r="C866" i="11"/>
  <c r="D865" i="11"/>
  <c r="C865" i="11"/>
  <c r="D864" i="11"/>
  <c r="C864" i="11"/>
  <c r="D863" i="11"/>
  <c r="C863" i="11"/>
  <c r="D862" i="11"/>
  <c r="C862" i="11"/>
  <c r="D861" i="11"/>
  <c r="C861" i="11"/>
  <c r="D860" i="11"/>
  <c r="C860" i="11"/>
  <c r="D859" i="11"/>
  <c r="C859" i="11"/>
  <c r="D858" i="11"/>
  <c r="C858" i="11"/>
  <c r="D857" i="11"/>
  <c r="C857" i="11"/>
  <c r="D856" i="11"/>
  <c r="C856" i="11"/>
  <c r="D855" i="11"/>
  <c r="C855" i="11"/>
  <c r="D854" i="11"/>
  <c r="C854" i="11"/>
  <c r="D853" i="11"/>
  <c r="C853" i="11"/>
  <c r="D852" i="11"/>
  <c r="C852" i="11"/>
  <c r="D851" i="11"/>
  <c r="C851" i="11"/>
  <c r="D850" i="11"/>
  <c r="C850" i="11"/>
  <c r="D849" i="11"/>
  <c r="C849" i="11"/>
  <c r="D848" i="11"/>
  <c r="C848" i="11"/>
  <c r="D847" i="11"/>
  <c r="C847" i="11"/>
  <c r="D846" i="11"/>
  <c r="C846" i="11"/>
  <c r="D845" i="11"/>
  <c r="C845" i="11"/>
  <c r="D844" i="11"/>
  <c r="C844" i="11"/>
  <c r="D843" i="11"/>
  <c r="C843" i="11"/>
  <c r="D842" i="11"/>
  <c r="C842" i="11"/>
  <c r="D841" i="11"/>
  <c r="C841" i="11"/>
  <c r="D840" i="11"/>
  <c r="C840" i="11"/>
  <c r="D839" i="11"/>
  <c r="C839" i="11"/>
  <c r="D838" i="11"/>
  <c r="C838" i="11"/>
  <c r="D837" i="11"/>
  <c r="C837" i="11"/>
  <c r="D836" i="11"/>
  <c r="C836" i="11"/>
  <c r="D835" i="11"/>
  <c r="C835" i="11"/>
  <c r="D834" i="11"/>
  <c r="C834" i="11"/>
  <c r="D833" i="11"/>
  <c r="C833" i="11"/>
  <c r="D832" i="11"/>
  <c r="C832" i="11"/>
  <c r="D831" i="11"/>
  <c r="C831" i="11"/>
  <c r="D830" i="11"/>
  <c r="C830" i="11"/>
  <c r="D829" i="11"/>
  <c r="C829" i="11"/>
  <c r="D828" i="11"/>
  <c r="C828" i="11"/>
  <c r="D827" i="11"/>
  <c r="C827" i="11"/>
  <c r="D826" i="11"/>
  <c r="C826" i="11"/>
  <c r="D825" i="11"/>
  <c r="C825" i="11"/>
  <c r="D824" i="11"/>
  <c r="C824" i="11"/>
  <c r="D823" i="11"/>
  <c r="C823" i="11"/>
  <c r="D822" i="11"/>
  <c r="C822" i="11"/>
  <c r="D821" i="11"/>
  <c r="C821" i="11"/>
  <c r="D820" i="11"/>
  <c r="C820" i="11"/>
  <c r="D819" i="11"/>
  <c r="C819" i="11"/>
  <c r="D818" i="11"/>
  <c r="C818" i="11"/>
  <c r="D817" i="11"/>
  <c r="C817" i="11"/>
  <c r="D816" i="11"/>
  <c r="C816" i="11"/>
  <c r="D815" i="11"/>
  <c r="C815" i="11"/>
  <c r="D814" i="11"/>
  <c r="C814" i="11"/>
  <c r="D813" i="11"/>
  <c r="C813" i="11"/>
  <c r="D812" i="11"/>
  <c r="C812" i="11"/>
  <c r="D811" i="11"/>
  <c r="C811" i="11"/>
  <c r="D810" i="11"/>
  <c r="C810" i="11"/>
  <c r="D809" i="11"/>
  <c r="C809" i="11"/>
  <c r="D808" i="11"/>
  <c r="C808" i="11"/>
  <c r="D807" i="11"/>
  <c r="C807" i="11"/>
  <c r="D806" i="11"/>
  <c r="C806" i="11"/>
  <c r="D805" i="11"/>
  <c r="C805" i="11"/>
  <c r="D804" i="11"/>
  <c r="C804" i="11"/>
  <c r="D803" i="11"/>
  <c r="C803" i="11"/>
  <c r="D802" i="11"/>
  <c r="C802" i="11"/>
  <c r="D801" i="11"/>
  <c r="C801" i="11"/>
  <c r="D800" i="11"/>
  <c r="C800" i="11"/>
  <c r="D799" i="11"/>
  <c r="C799" i="11"/>
  <c r="D798" i="11"/>
  <c r="C798" i="11"/>
  <c r="D797" i="11"/>
  <c r="C797" i="11"/>
  <c r="D796" i="11"/>
  <c r="C796" i="11"/>
  <c r="D795" i="11"/>
  <c r="C795" i="11"/>
  <c r="D794" i="11"/>
  <c r="C794" i="11"/>
  <c r="D793" i="11"/>
  <c r="C793" i="11"/>
  <c r="D792" i="11"/>
  <c r="C792" i="11"/>
  <c r="D791" i="11"/>
  <c r="C791" i="11"/>
  <c r="D790" i="11"/>
  <c r="C790" i="11"/>
  <c r="D789" i="11"/>
  <c r="C789" i="11"/>
  <c r="D788" i="11"/>
  <c r="C788" i="11"/>
  <c r="D787" i="11"/>
  <c r="C787" i="11"/>
  <c r="D786" i="11"/>
  <c r="C786" i="11"/>
  <c r="D785" i="11"/>
  <c r="C785" i="11"/>
  <c r="D784" i="11"/>
  <c r="C784" i="11"/>
  <c r="D783" i="11"/>
  <c r="C783" i="11"/>
  <c r="D782" i="11"/>
  <c r="C782" i="11"/>
  <c r="D781" i="11"/>
  <c r="C781" i="11"/>
  <c r="D780" i="11"/>
  <c r="C780" i="11"/>
  <c r="D779" i="11"/>
  <c r="C779" i="11"/>
  <c r="D778" i="11"/>
  <c r="C778" i="11"/>
  <c r="D777" i="11"/>
  <c r="C777" i="11"/>
  <c r="D776" i="11"/>
  <c r="C776" i="11"/>
  <c r="D775" i="11"/>
  <c r="C775" i="11"/>
  <c r="D774" i="11"/>
  <c r="C774" i="11"/>
  <c r="D773" i="11"/>
  <c r="C773" i="11"/>
  <c r="D772" i="11"/>
  <c r="C772" i="11"/>
  <c r="D771" i="11"/>
  <c r="C771" i="11"/>
  <c r="D770" i="11"/>
  <c r="C770" i="11"/>
  <c r="D769" i="11"/>
  <c r="C769" i="11"/>
  <c r="D768" i="11"/>
  <c r="C768" i="11"/>
  <c r="D767" i="11"/>
  <c r="C767" i="11"/>
  <c r="D766" i="11"/>
  <c r="C766" i="11"/>
  <c r="D765" i="11"/>
  <c r="C765" i="11"/>
  <c r="D764" i="11"/>
  <c r="C764" i="11"/>
  <c r="D763" i="11"/>
  <c r="C763" i="11"/>
  <c r="D762" i="11"/>
  <c r="C762" i="11"/>
  <c r="D761" i="11"/>
  <c r="C761" i="11"/>
  <c r="D760" i="11"/>
  <c r="C760" i="11"/>
  <c r="D759" i="11"/>
  <c r="C759" i="11"/>
  <c r="D758" i="11"/>
  <c r="C758" i="11"/>
  <c r="D757" i="11"/>
  <c r="C757" i="11"/>
  <c r="D756" i="11"/>
  <c r="C756" i="11"/>
  <c r="D755" i="11"/>
  <c r="C755" i="11"/>
  <c r="D754" i="11"/>
  <c r="C754" i="11"/>
  <c r="D753" i="11"/>
  <c r="C753" i="11"/>
  <c r="D752" i="11"/>
  <c r="C752" i="11"/>
  <c r="D751" i="11"/>
  <c r="C751" i="11"/>
  <c r="D750" i="11"/>
  <c r="C750" i="11"/>
  <c r="D749" i="11"/>
  <c r="C749" i="11"/>
  <c r="D748" i="11"/>
  <c r="C748" i="11"/>
  <c r="D747" i="11"/>
  <c r="C747" i="11"/>
  <c r="D746" i="11"/>
  <c r="C746" i="11"/>
  <c r="D745" i="11"/>
  <c r="C745" i="11"/>
  <c r="D744" i="11"/>
  <c r="C744" i="11"/>
  <c r="D743" i="11"/>
  <c r="C743" i="11"/>
  <c r="D742" i="11"/>
  <c r="C742" i="11"/>
  <c r="D741" i="11"/>
  <c r="C741" i="11"/>
  <c r="D740" i="11"/>
  <c r="C740" i="11"/>
  <c r="D739" i="11"/>
  <c r="C739" i="11"/>
  <c r="D738" i="11"/>
  <c r="C738" i="11"/>
  <c r="D737" i="11"/>
  <c r="C737" i="11"/>
  <c r="D736" i="11"/>
  <c r="C736" i="11"/>
  <c r="D735" i="11"/>
  <c r="C735" i="11"/>
  <c r="D734" i="11"/>
  <c r="C734" i="11"/>
  <c r="D733" i="11"/>
  <c r="C733" i="11"/>
  <c r="D732" i="11"/>
  <c r="C732" i="11"/>
  <c r="D731" i="11"/>
  <c r="C731" i="11"/>
  <c r="D730" i="11"/>
  <c r="C730" i="11"/>
  <c r="D729" i="11"/>
  <c r="C729" i="11"/>
  <c r="D728" i="11"/>
  <c r="C728" i="11"/>
  <c r="D727" i="11"/>
  <c r="C727" i="11"/>
  <c r="D726" i="11"/>
  <c r="C726" i="11"/>
  <c r="D725" i="11"/>
  <c r="C725" i="11"/>
  <c r="D724" i="11"/>
  <c r="C724" i="11"/>
  <c r="D723" i="11"/>
  <c r="C723" i="11"/>
  <c r="D722" i="11"/>
  <c r="C722" i="11"/>
  <c r="D721" i="11"/>
  <c r="C721" i="11"/>
  <c r="D720" i="11"/>
  <c r="C720" i="11"/>
  <c r="D719" i="11"/>
  <c r="C719" i="11"/>
  <c r="D718" i="11"/>
  <c r="C718" i="11"/>
  <c r="D717" i="11"/>
  <c r="C717" i="11"/>
  <c r="D716" i="11"/>
  <c r="C716" i="11"/>
  <c r="D715" i="11"/>
  <c r="C715" i="11"/>
  <c r="D714" i="11"/>
  <c r="C714" i="11"/>
  <c r="D713" i="11"/>
  <c r="C713" i="11"/>
  <c r="D712" i="11"/>
  <c r="C712" i="11"/>
  <c r="D711" i="11"/>
  <c r="C711" i="11"/>
  <c r="D710" i="11"/>
  <c r="C710" i="11"/>
  <c r="D709" i="11"/>
  <c r="C709" i="11"/>
  <c r="D708" i="11"/>
  <c r="C708" i="11"/>
  <c r="D707" i="11"/>
  <c r="C707" i="11"/>
  <c r="D706" i="11"/>
  <c r="C706" i="11"/>
  <c r="D705" i="11"/>
  <c r="C705" i="11"/>
  <c r="D704" i="11"/>
  <c r="C704" i="11"/>
  <c r="D703" i="11"/>
  <c r="C703" i="11"/>
  <c r="D702" i="11"/>
  <c r="C702" i="11"/>
  <c r="D701" i="11"/>
  <c r="C701" i="11"/>
  <c r="D700" i="11"/>
  <c r="C700" i="11"/>
  <c r="D699" i="11"/>
  <c r="C699" i="11"/>
  <c r="D698" i="11"/>
  <c r="C698" i="11"/>
  <c r="D697" i="11"/>
  <c r="C697" i="11"/>
  <c r="D696" i="11"/>
  <c r="C696" i="11"/>
  <c r="D695" i="11"/>
  <c r="C695" i="11"/>
  <c r="D694" i="11"/>
  <c r="C694" i="11"/>
  <c r="D693" i="11"/>
  <c r="C693" i="11"/>
  <c r="D692" i="11"/>
  <c r="C692" i="11"/>
  <c r="D691" i="11"/>
  <c r="C691" i="11"/>
  <c r="D690" i="11"/>
  <c r="C690" i="11"/>
  <c r="D689" i="11"/>
  <c r="C689" i="11"/>
  <c r="D688" i="11"/>
  <c r="C688" i="11"/>
  <c r="D687" i="11"/>
  <c r="C687" i="11"/>
  <c r="D686" i="11"/>
  <c r="C686" i="11"/>
  <c r="D685" i="11"/>
  <c r="C685" i="11"/>
  <c r="D684" i="11"/>
  <c r="C684" i="11"/>
  <c r="D683" i="11"/>
  <c r="C683" i="11"/>
  <c r="D682" i="11"/>
  <c r="C682" i="11"/>
  <c r="D681" i="11"/>
  <c r="C681" i="11"/>
  <c r="D680" i="11"/>
  <c r="C680" i="11"/>
  <c r="D679" i="11"/>
  <c r="C679" i="11"/>
  <c r="D678" i="11"/>
  <c r="C678" i="11"/>
  <c r="D677" i="11"/>
  <c r="C677" i="11"/>
  <c r="D676" i="11"/>
  <c r="C676" i="11"/>
  <c r="D675" i="11"/>
  <c r="C675" i="11"/>
  <c r="D674" i="11"/>
  <c r="C674" i="11"/>
  <c r="D673" i="11"/>
  <c r="C673" i="11"/>
  <c r="D672" i="11"/>
  <c r="C672" i="11"/>
  <c r="D671" i="11"/>
  <c r="C671" i="11"/>
  <c r="D670" i="11"/>
  <c r="C670" i="11"/>
  <c r="D669" i="11"/>
  <c r="C669" i="11"/>
  <c r="D668" i="11"/>
  <c r="C668" i="11"/>
  <c r="D667" i="11"/>
  <c r="C667" i="11"/>
  <c r="D666" i="11"/>
  <c r="C666" i="11"/>
  <c r="D665" i="11"/>
  <c r="C665" i="11"/>
  <c r="D664" i="11"/>
  <c r="C664" i="11"/>
  <c r="D663" i="11"/>
  <c r="C663" i="11"/>
  <c r="D662" i="11"/>
  <c r="C662" i="11"/>
  <c r="D661" i="11"/>
  <c r="C661" i="11"/>
  <c r="D660" i="11"/>
  <c r="C660" i="11"/>
  <c r="D659" i="11"/>
  <c r="C659" i="11"/>
  <c r="D658" i="11"/>
  <c r="C658" i="11"/>
  <c r="D657" i="11"/>
  <c r="C657" i="11"/>
  <c r="D656" i="11"/>
  <c r="C656" i="11"/>
  <c r="D655" i="11"/>
  <c r="C655" i="11"/>
  <c r="D654" i="11"/>
  <c r="C654" i="11"/>
  <c r="D653" i="11"/>
  <c r="C653" i="11"/>
  <c r="D652" i="11"/>
  <c r="C652" i="11"/>
  <c r="D651" i="11"/>
  <c r="C651" i="11"/>
  <c r="D650" i="11"/>
  <c r="C650" i="11"/>
  <c r="D649" i="11"/>
  <c r="C649" i="11"/>
  <c r="D648" i="11"/>
  <c r="C648" i="11"/>
  <c r="D647" i="11"/>
  <c r="C647" i="11"/>
  <c r="D646" i="11"/>
  <c r="C646" i="11"/>
  <c r="D645" i="11"/>
  <c r="C645" i="11"/>
  <c r="D644" i="11"/>
  <c r="C644" i="11"/>
  <c r="D643" i="11"/>
  <c r="C643" i="11"/>
  <c r="D642" i="11"/>
  <c r="C642" i="11"/>
  <c r="D641" i="11"/>
  <c r="C641" i="11"/>
  <c r="D640" i="11"/>
  <c r="C640" i="11"/>
  <c r="D639" i="11"/>
  <c r="C639" i="11"/>
  <c r="D638" i="11"/>
  <c r="C638" i="11"/>
  <c r="D637" i="11"/>
  <c r="C637" i="11"/>
  <c r="D636" i="11"/>
  <c r="C636" i="11"/>
  <c r="D635" i="11"/>
  <c r="C635" i="11"/>
  <c r="D634" i="11"/>
  <c r="C634" i="11"/>
  <c r="D633" i="11"/>
  <c r="C633" i="11"/>
  <c r="D632" i="11"/>
  <c r="C632" i="11"/>
  <c r="D631" i="11"/>
  <c r="C631" i="11"/>
  <c r="D630" i="11"/>
  <c r="C630" i="11"/>
  <c r="D629" i="11"/>
  <c r="C629" i="11"/>
  <c r="D628" i="11"/>
  <c r="C628" i="11"/>
  <c r="D627" i="11"/>
  <c r="C627" i="11"/>
  <c r="D626" i="11"/>
  <c r="C626" i="11"/>
  <c r="D625" i="11"/>
  <c r="C625" i="11"/>
  <c r="D624" i="11"/>
  <c r="C624" i="11"/>
  <c r="D623" i="11"/>
  <c r="C623" i="11"/>
  <c r="D622" i="11"/>
  <c r="C622" i="11"/>
  <c r="D621" i="11"/>
  <c r="C621" i="11"/>
  <c r="D620" i="11"/>
  <c r="C620" i="11"/>
  <c r="D619" i="11"/>
  <c r="C619" i="11"/>
  <c r="D618" i="11"/>
  <c r="C618" i="11"/>
  <c r="D617" i="11"/>
  <c r="C617" i="11"/>
  <c r="D616" i="11"/>
  <c r="C616" i="11"/>
  <c r="D615" i="11"/>
  <c r="C615" i="11"/>
  <c r="D614" i="11"/>
  <c r="C614" i="11"/>
  <c r="D613" i="11"/>
  <c r="C613" i="11"/>
  <c r="D612" i="11"/>
  <c r="C612" i="11"/>
  <c r="D611" i="11"/>
  <c r="C611" i="11"/>
  <c r="D610" i="11"/>
  <c r="C610" i="11"/>
  <c r="D609" i="11"/>
  <c r="C609" i="11"/>
  <c r="D608" i="11"/>
  <c r="C608" i="11"/>
  <c r="D607" i="11"/>
  <c r="C607" i="11"/>
  <c r="D606" i="11"/>
  <c r="C606" i="11"/>
  <c r="D605" i="11"/>
  <c r="C605" i="11"/>
  <c r="D604" i="11"/>
  <c r="C604" i="11"/>
  <c r="D603" i="11"/>
  <c r="C603" i="11"/>
  <c r="D602" i="11"/>
  <c r="C602" i="11"/>
  <c r="D601" i="11"/>
  <c r="C601" i="11"/>
  <c r="D600" i="11"/>
  <c r="C600" i="11"/>
  <c r="D599" i="11"/>
  <c r="C599" i="11"/>
  <c r="D598" i="11"/>
  <c r="C598" i="11"/>
  <c r="D597" i="11"/>
  <c r="C597" i="11"/>
  <c r="D596" i="11"/>
  <c r="C596" i="11"/>
  <c r="D595" i="11"/>
  <c r="C595" i="11"/>
  <c r="D594" i="11"/>
  <c r="C594" i="11"/>
  <c r="D593" i="11"/>
  <c r="C593" i="11"/>
  <c r="D592" i="11"/>
  <c r="C592" i="11"/>
  <c r="D591" i="11"/>
  <c r="C591" i="11"/>
  <c r="D590" i="11"/>
  <c r="C590" i="11"/>
  <c r="D589" i="11"/>
  <c r="C589" i="11"/>
  <c r="D588" i="11"/>
  <c r="C588" i="11"/>
  <c r="D587" i="11"/>
  <c r="C587" i="11"/>
  <c r="D586" i="11"/>
  <c r="C586" i="11"/>
  <c r="D585" i="11"/>
  <c r="C585" i="11"/>
  <c r="D584" i="11"/>
  <c r="C584" i="11"/>
  <c r="D583" i="11"/>
  <c r="C583" i="11"/>
  <c r="D582" i="11"/>
  <c r="C582" i="11"/>
  <c r="D581" i="11"/>
  <c r="C581" i="11"/>
  <c r="D580" i="11"/>
  <c r="C580" i="11"/>
  <c r="D579" i="11"/>
  <c r="C579" i="11"/>
  <c r="D578" i="11"/>
  <c r="C578" i="11"/>
  <c r="D577" i="11"/>
  <c r="C577" i="11"/>
  <c r="D576" i="11"/>
  <c r="C576" i="11"/>
  <c r="D575" i="11"/>
  <c r="C575" i="11"/>
  <c r="D574" i="11"/>
  <c r="C574" i="11"/>
  <c r="D573" i="11"/>
  <c r="C573" i="11"/>
  <c r="D572" i="11"/>
  <c r="C572" i="11"/>
  <c r="D571" i="11"/>
  <c r="C571" i="11"/>
  <c r="D570" i="11"/>
  <c r="C570" i="11"/>
  <c r="D569" i="11"/>
  <c r="C569" i="11"/>
  <c r="D568" i="11"/>
  <c r="C568" i="11"/>
  <c r="D567" i="11"/>
  <c r="C567" i="11"/>
  <c r="D566" i="11"/>
  <c r="C566" i="11"/>
  <c r="D565" i="11"/>
  <c r="C565" i="11"/>
  <c r="D564" i="11"/>
  <c r="C564" i="11"/>
  <c r="D563" i="11"/>
  <c r="C563" i="11"/>
  <c r="D562" i="11"/>
  <c r="C562" i="11"/>
  <c r="D561" i="11"/>
  <c r="C561" i="11"/>
  <c r="D560" i="11"/>
  <c r="C560" i="11"/>
  <c r="D559" i="11"/>
  <c r="C559" i="11"/>
  <c r="D558" i="11"/>
  <c r="C558" i="11"/>
  <c r="D557" i="11"/>
  <c r="C557" i="11"/>
  <c r="D556" i="11"/>
  <c r="C556" i="11"/>
  <c r="D555" i="11"/>
  <c r="C555" i="11"/>
  <c r="D554" i="11"/>
  <c r="C554" i="11"/>
  <c r="D553" i="11"/>
  <c r="C553" i="11"/>
  <c r="D552" i="11"/>
  <c r="C552" i="11"/>
  <c r="D551" i="11"/>
  <c r="C551" i="11"/>
  <c r="D550" i="11"/>
  <c r="C550" i="11"/>
  <c r="D549" i="11"/>
  <c r="C549" i="11"/>
  <c r="D548" i="11"/>
  <c r="C548" i="11"/>
  <c r="D547" i="11"/>
  <c r="C547" i="11"/>
  <c r="D546" i="11"/>
  <c r="C546" i="11"/>
  <c r="D545" i="11"/>
  <c r="C545" i="11"/>
  <c r="D544" i="11"/>
  <c r="C544" i="11"/>
  <c r="D543" i="11"/>
  <c r="C543" i="11"/>
  <c r="D542" i="11"/>
  <c r="C542" i="11"/>
  <c r="D541" i="11"/>
  <c r="C541" i="11"/>
  <c r="D540" i="11"/>
  <c r="C540" i="11"/>
  <c r="D539" i="11"/>
  <c r="C539" i="11"/>
  <c r="D538" i="11"/>
  <c r="C538" i="11"/>
  <c r="D537" i="11"/>
  <c r="C537" i="11"/>
  <c r="D536" i="11"/>
  <c r="C536" i="11"/>
  <c r="D535" i="11"/>
  <c r="C535" i="11"/>
  <c r="D534" i="11"/>
  <c r="C534" i="11"/>
  <c r="D533" i="11"/>
  <c r="C533" i="11"/>
  <c r="D532" i="11"/>
  <c r="C532" i="11"/>
  <c r="D531" i="11"/>
  <c r="C531" i="11"/>
  <c r="D530" i="11"/>
  <c r="C530" i="11"/>
  <c r="D529" i="11"/>
  <c r="C529" i="11"/>
  <c r="D528" i="11"/>
  <c r="C528" i="11"/>
  <c r="D527" i="11"/>
  <c r="C527" i="11"/>
  <c r="D526" i="11"/>
  <c r="C526" i="11"/>
  <c r="D525" i="11"/>
  <c r="C525" i="11"/>
  <c r="D524" i="11"/>
  <c r="C524" i="11"/>
  <c r="D523" i="11"/>
  <c r="C523" i="11"/>
  <c r="D522" i="11"/>
  <c r="C522" i="11"/>
  <c r="D521" i="11"/>
  <c r="C521" i="11"/>
  <c r="D520" i="11"/>
  <c r="C520" i="11"/>
  <c r="D519" i="11"/>
  <c r="C519" i="11"/>
  <c r="D518" i="11"/>
  <c r="C518" i="11"/>
  <c r="D517" i="11"/>
  <c r="C517" i="11"/>
  <c r="D516" i="11"/>
  <c r="C516" i="11"/>
  <c r="D515" i="11"/>
  <c r="C515" i="11"/>
  <c r="D514" i="11"/>
  <c r="C514" i="11"/>
  <c r="D513" i="11"/>
  <c r="C513" i="11"/>
  <c r="D512" i="11"/>
  <c r="C512" i="11"/>
  <c r="D511" i="11"/>
  <c r="C511" i="11"/>
  <c r="D510" i="11"/>
  <c r="C510" i="11"/>
  <c r="D509" i="11"/>
  <c r="C509" i="11"/>
  <c r="D508" i="11"/>
  <c r="C508" i="11"/>
  <c r="D507" i="11"/>
  <c r="C507" i="11"/>
  <c r="D506" i="11"/>
  <c r="C506" i="11"/>
  <c r="D505" i="11"/>
  <c r="C505" i="11"/>
  <c r="D504" i="11"/>
  <c r="C504" i="11"/>
  <c r="D503" i="11"/>
  <c r="C503" i="11"/>
  <c r="D502" i="11"/>
  <c r="C502" i="11"/>
  <c r="D501" i="11"/>
  <c r="C501" i="11"/>
  <c r="D500" i="11"/>
  <c r="C500" i="11"/>
  <c r="D499" i="11"/>
  <c r="C499" i="11"/>
  <c r="D498" i="11"/>
  <c r="C498" i="11"/>
  <c r="D497" i="11"/>
  <c r="C497" i="11"/>
  <c r="D496" i="11"/>
  <c r="C496" i="11"/>
  <c r="D495" i="11"/>
  <c r="C495" i="11"/>
  <c r="D494" i="11"/>
  <c r="C494" i="11"/>
  <c r="D493" i="11"/>
  <c r="C493" i="11"/>
  <c r="D492" i="11"/>
  <c r="C492" i="11"/>
  <c r="D491" i="11"/>
  <c r="C491" i="11"/>
  <c r="D490" i="11"/>
  <c r="C490" i="11"/>
  <c r="D489" i="11"/>
  <c r="C489" i="11"/>
  <c r="D488" i="11"/>
  <c r="C488" i="11"/>
  <c r="D487" i="11"/>
  <c r="C487" i="11"/>
  <c r="D486" i="11"/>
  <c r="C486" i="11"/>
  <c r="D485" i="11"/>
  <c r="C485" i="11"/>
  <c r="D484" i="11"/>
  <c r="C484" i="11"/>
  <c r="D483" i="11"/>
  <c r="C483" i="11"/>
  <c r="D482" i="11"/>
  <c r="C482" i="11"/>
  <c r="D481" i="11"/>
  <c r="C481" i="11"/>
  <c r="D480" i="11"/>
  <c r="C480" i="11"/>
  <c r="D479" i="11"/>
  <c r="C479" i="11"/>
  <c r="D478" i="11"/>
  <c r="C478" i="11"/>
  <c r="D477" i="11"/>
  <c r="C477" i="11"/>
  <c r="D476" i="11"/>
  <c r="C476" i="11"/>
  <c r="D475" i="11"/>
  <c r="C475" i="11"/>
  <c r="D474" i="11"/>
  <c r="C474" i="11"/>
  <c r="D473" i="11"/>
  <c r="C473" i="11"/>
  <c r="D472" i="11"/>
  <c r="C472" i="11"/>
  <c r="D471" i="11"/>
  <c r="C471" i="11"/>
  <c r="D470" i="11"/>
  <c r="C470" i="11"/>
  <c r="D469" i="11"/>
  <c r="C469" i="11"/>
  <c r="D468" i="11"/>
  <c r="C468" i="11"/>
  <c r="D467" i="11"/>
  <c r="C467" i="11"/>
  <c r="D466" i="11"/>
  <c r="C466" i="11"/>
  <c r="D465" i="11"/>
  <c r="C465" i="11"/>
  <c r="D464" i="11"/>
  <c r="C464" i="11"/>
  <c r="D463" i="11"/>
  <c r="C463" i="11"/>
  <c r="D462" i="11"/>
  <c r="C462" i="11"/>
  <c r="D461" i="11"/>
  <c r="C461" i="11"/>
  <c r="D460" i="11"/>
  <c r="C460" i="11"/>
  <c r="D459" i="11"/>
  <c r="C459" i="11"/>
  <c r="D458" i="11"/>
  <c r="C458" i="11"/>
  <c r="D457" i="11"/>
  <c r="C457" i="11"/>
  <c r="D456" i="11"/>
  <c r="C456" i="11"/>
  <c r="D455" i="11"/>
  <c r="C455" i="11"/>
  <c r="D454" i="11"/>
  <c r="C454" i="11"/>
  <c r="D453" i="11"/>
  <c r="C453" i="11"/>
  <c r="D452" i="11"/>
  <c r="C452" i="11"/>
  <c r="D451" i="11"/>
  <c r="C451" i="11"/>
  <c r="D450" i="11"/>
  <c r="C450" i="11"/>
  <c r="D449" i="11"/>
  <c r="C449" i="11"/>
  <c r="D448" i="11"/>
  <c r="C448" i="11"/>
  <c r="D447" i="11"/>
  <c r="C447" i="11"/>
  <c r="D446" i="11"/>
  <c r="C446" i="11"/>
  <c r="D445" i="11"/>
  <c r="C445" i="11"/>
  <c r="D444" i="11"/>
  <c r="C444" i="11"/>
  <c r="D443" i="11"/>
  <c r="C443" i="11"/>
  <c r="D442" i="11"/>
  <c r="C442" i="11"/>
  <c r="D441" i="11"/>
  <c r="C441" i="11"/>
  <c r="D440" i="11"/>
  <c r="C440" i="11"/>
  <c r="D439" i="11"/>
  <c r="C439" i="11"/>
  <c r="D438" i="11"/>
  <c r="C438" i="11"/>
  <c r="D437" i="11"/>
  <c r="C437" i="11"/>
  <c r="D436" i="11"/>
  <c r="C436" i="11"/>
  <c r="D435" i="11"/>
  <c r="C435" i="11"/>
  <c r="D434" i="11"/>
  <c r="C434" i="11"/>
  <c r="D433" i="11"/>
  <c r="C433" i="11"/>
  <c r="D432" i="11"/>
  <c r="C432" i="11"/>
  <c r="D431" i="11"/>
  <c r="C431" i="11"/>
  <c r="D430" i="11"/>
  <c r="C430" i="11"/>
  <c r="D429" i="11"/>
  <c r="C429" i="11"/>
  <c r="D428" i="11"/>
  <c r="C428" i="11"/>
  <c r="D427" i="11"/>
  <c r="C427" i="11"/>
  <c r="D426" i="11"/>
  <c r="C426" i="11"/>
  <c r="D425" i="11"/>
  <c r="C425" i="11"/>
  <c r="D424" i="11"/>
  <c r="C424" i="11"/>
  <c r="D423" i="11"/>
  <c r="C423" i="11"/>
  <c r="D422" i="11"/>
  <c r="C422" i="11"/>
  <c r="D421" i="11"/>
  <c r="C421" i="11"/>
  <c r="D420" i="11"/>
  <c r="C420" i="11"/>
  <c r="D419" i="11"/>
  <c r="C419" i="11"/>
  <c r="D418" i="11"/>
  <c r="C418" i="11"/>
  <c r="D417" i="11"/>
  <c r="C417" i="11"/>
  <c r="D416" i="11"/>
  <c r="C416" i="11"/>
  <c r="D415" i="11"/>
  <c r="C415" i="11"/>
  <c r="D414" i="11"/>
  <c r="C414" i="11"/>
  <c r="D413" i="11"/>
  <c r="C413" i="11"/>
  <c r="D412" i="11"/>
  <c r="C412" i="11"/>
  <c r="D411" i="11"/>
  <c r="C411" i="11"/>
  <c r="D410" i="11"/>
  <c r="C410" i="11"/>
  <c r="D409" i="11"/>
  <c r="C409" i="11"/>
  <c r="D408" i="11"/>
  <c r="C408" i="11"/>
  <c r="D407" i="11"/>
  <c r="C407" i="11"/>
  <c r="D406" i="11"/>
  <c r="C406" i="11"/>
  <c r="D405" i="11"/>
  <c r="C405" i="11"/>
  <c r="D404" i="11"/>
  <c r="C404" i="11"/>
  <c r="D403" i="11"/>
  <c r="C403" i="11"/>
  <c r="D402" i="11"/>
  <c r="C402" i="11"/>
  <c r="D401" i="11"/>
  <c r="C401" i="11"/>
  <c r="D400" i="11"/>
  <c r="C400" i="11"/>
  <c r="D399" i="11"/>
  <c r="C399" i="11"/>
  <c r="D398" i="11"/>
  <c r="C398" i="11"/>
  <c r="D397" i="11"/>
  <c r="C397" i="11"/>
  <c r="D396" i="11"/>
  <c r="C396" i="11"/>
  <c r="D395" i="11"/>
  <c r="C395" i="11"/>
  <c r="D394" i="11"/>
  <c r="C394" i="11"/>
  <c r="D393" i="11"/>
  <c r="C393" i="11"/>
  <c r="D392" i="11"/>
  <c r="C392" i="11"/>
  <c r="D391" i="11"/>
  <c r="C391" i="11"/>
  <c r="D390" i="11"/>
  <c r="C390" i="11"/>
  <c r="D389" i="11"/>
  <c r="C389" i="11"/>
  <c r="D388" i="11"/>
  <c r="C388" i="11"/>
  <c r="D387" i="11"/>
  <c r="C387" i="11"/>
  <c r="D386" i="11"/>
  <c r="C386" i="11"/>
  <c r="D385" i="11"/>
  <c r="C385" i="11"/>
  <c r="D384" i="11"/>
  <c r="C384" i="11"/>
  <c r="D383" i="11"/>
  <c r="C383" i="11"/>
  <c r="D382" i="11"/>
  <c r="C382" i="11"/>
  <c r="D381" i="11"/>
  <c r="C381" i="11"/>
  <c r="D380" i="11"/>
  <c r="C380" i="11"/>
  <c r="D379" i="11"/>
  <c r="C379" i="11"/>
  <c r="D378" i="11"/>
  <c r="C378" i="11"/>
  <c r="D377" i="11"/>
  <c r="C377" i="11"/>
  <c r="D376" i="11"/>
  <c r="C376" i="11"/>
  <c r="D375" i="11"/>
  <c r="C375" i="11"/>
  <c r="D374" i="11"/>
  <c r="C374" i="11"/>
  <c r="D373" i="11"/>
  <c r="C373" i="11"/>
  <c r="D372" i="11"/>
  <c r="C372" i="11"/>
  <c r="D371" i="11"/>
  <c r="C371" i="11"/>
  <c r="D370" i="11"/>
  <c r="C370" i="11"/>
  <c r="D369" i="11"/>
  <c r="C369" i="11"/>
  <c r="D368" i="11"/>
  <c r="C368" i="11"/>
  <c r="D367" i="11"/>
  <c r="C367" i="11"/>
  <c r="D366" i="11"/>
  <c r="C366" i="11"/>
  <c r="D365" i="11"/>
  <c r="C365" i="11"/>
  <c r="D364" i="11"/>
  <c r="C364" i="11"/>
  <c r="D363" i="11"/>
  <c r="C363" i="11"/>
  <c r="D362" i="11"/>
  <c r="C362" i="11"/>
  <c r="D361" i="11"/>
  <c r="C361" i="11"/>
  <c r="D360" i="11"/>
  <c r="C360" i="11"/>
  <c r="D359" i="11"/>
  <c r="C359" i="11"/>
  <c r="D358" i="11"/>
  <c r="C358" i="11"/>
  <c r="D357" i="11"/>
  <c r="C357" i="11"/>
  <c r="D356" i="11"/>
  <c r="C356" i="11"/>
  <c r="D355" i="11"/>
  <c r="C355" i="11"/>
  <c r="D354" i="11"/>
  <c r="C354" i="11"/>
  <c r="D353" i="11"/>
  <c r="C353" i="11"/>
  <c r="D352" i="11"/>
  <c r="C352" i="11"/>
  <c r="D351" i="11"/>
  <c r="C351" i="11"/>
  <c r="D350" i="11"/>
  <c r="C350" i="11"/>
  <c r="D349" i="11"/>
  <c r="C349" i="11"/>
  <c r="D348" i="11"/>
  <c r="C348" i="11"/>
  <c r="D347" i="11"/>
  <c r="C347" i="11"/>
  <c r="D346" i="11"/>
  <c r="C346" i="11"/>
  <c r="D345" i="11"/>
  <c r="C345" i="11"/>
  <c r="D344" i="11"/>
  <c r="C344" i="11"/>
  <c r="D343" i="11"/>
  <c r="C343" i="11"/>
  <c r="D342" i="11"/>
  <c r="C342" i="11"/>
  <c r="D341" i="11"/>
  <c r="C341" i="11"/>
  <c r="D340" i="11"/>
  <c r="C340" i="11"/>
  <c r="D339" i="11"/>
  <c r="C339" i="11"/>
  <c r="D338" i="11"/>
  <c r="C338" i="11"/>
  <c r="D337" i="11"/>
  <c r="C337" i="11"/>
  <c r="D336" i="11"/>
  <c r="C336" i="11"/>
  <c r="D335" i="11"/>
  <c r="C335" i="11"/>
  <c r="D334" i="11"/>
  <c r="C334" i="11"/>
  <c r="D333" i="11"/>
  <c r="C333" i="11"/>
  <c r="D332" i="11"/>
  <c r="C332" i="11"/>
  <c r="D331" i="11"/>
  <c r="C331" i="11"/>
  <c r="D330" i="11"/>
  <c r="C330" i="11"/>
  <c r="D329" i="11"/>
  <c r="C329" i="11"/>
  <c r="D328" i="11"/>
  <c r="C328" i="11"/>
  <c r="D327" i="11"/>
  <c r="C327" i="11"/>
  <c r="D326" i="11"/>
  <c r="C326" i="11"/>
  <c r="D325" i="11"/>
  <c r="C325" i="11"/>
  <c r="D324" i="11"/>
  <c r="C324" i="11"/>
  <c r="D323" i="11"/>
  <c r="C323" i="11"/>
  <c r="D322" i="11"/>
  <c r="C322" i="11"/>
  <c r="D321" i="11"/>
  <c r="C321" i="11"/>
  <c r="D320" i="11"/>
  <c r="C320" i="11"/>
  <c r="D319" i="11"/>
  <c r="C319" i="11"/>
  <c r="D318" i="11"/>
  <c r="C318" i="11"/>
  <c r="D317" i="11"/>
  <c r="C317" i="11"/>
  <c r="D316" i="11"/>
  <c r="C316" i="11"/>
  <c r="D315" i="11"/>
  <c r="C315" i="11"/>
  <c r="D314" i="11"/>
  <c r="C314" i="11"/>
  <c r="D313" i="11"/>
  <c r="C313" i="11"/>
  <c r="D312" i="11"/>
  <c r="C312" i="11"/>
  <c r="D311" i="11"/>
  <c r="C311" i="11"/>
  <c r="D310" i="11"/>
  <c r="C310" i="11"/>
  <c r="D309" i="11"/>
  <c r="C309" i="11"/>
  <c r="D308" i="11"/>
  <c r="C308" i="11"/>
  <c r="D307" i="11"/>
  <c r="C307" i="11"/>
  <c r="D306" i="11"/>
  <c r="C306" i="11"/>
  <c r="D305" i="11"/>
  <c r="C305" i="11"/>
  <c r="D304" i="11"/>
  <c r="C304" i="11"/>
  <c r="D303" i="11"/>
  <c r="C303" i="11"/>
  <c r="D302" i="11"/>
  <c r="C302" i="11"/>
  <c r="D301" i="11"/>
  <c r="C301" i="11"/>
  <c r="D300" i="11"/>
  <c r="C300" i="11"/>
  <c r="D299" i="11"/>
  <c r="C299" i="11"/>
  <c r="D298" i="11"/>
  <c r="C298" i="11"/>
  <c r="D297" i="11"/>
  <c r="C297" i="11"/>
  <c r="D296" i="11"/>
  <c r="C296" i="11"/>
  <c r="D295" i="11"/>
  <c r="C295" i="11"/>
  <c r="D294" i="11"/>
  <c r="C294" i="11"/>
  <c r="D293" i="11"/>
  <c r="C293" i="11"/>
  <c r="D292" i="11"/>
  <c r="C292" i="11"/>
  <c r="D291" i="11"/>
  <c r="C291" i="11"/>
  <c r="D290" i="11"/>
  <c r="C290" i="11"/>
  <c r="D289" i="11"/>
  <c r="C289" i="11"/>
  <c r="D288" i="11"/>
  <c r="C288" i="11"/>
  <c r="D287" i="11"/>
  <c r="C287" i="11"/>
  <c r="D286" i="11"/>
  <c r="C286" i="11"/>
  <c r="D285" i="11"/>
  <c r="C285" i="11"/>
  <c r="D284" i="11"/>
  <c r="C284" i="11"/>
  <c r="D283" i="11"/>
  <c r="C283" i="11"/>
  <c r="D282" i="11"/>
  <c r="C282" i="11"/>
  <c r="D281" i="11"/>
  <c r="C281" i="11"/>
  <c r="D280" i="11"/>
  <c r="C280" i="11"/>
  <c r="D279" i="11"/>
  <c r="C279" i="11"/>
  <c r="D278" i="11"/>
  <c r="C278" i="11"/>
  <c r="D277" i="11"/>
  <c r="C277" i="11"/>
  <c r="D276" i="11"/>
  <c r="C276" i="11"/>
  <c r="D275" i="11"/>
  <c r="C275" i="11"/>
  <c r="D274" i="11"/>
  <c r="C274" i="11"/>
  <c r="D273" i="11"/>
  <c r="C273" i="11"/>
  <c r="D272" i="11"/>
  <c r="C272" i="11"/>
  <c r="D271" i="11"/>
  <c r="C271" i="11"/>
  <c r="D270" i="11"/>
  <c r="C270" i="11"/>
  <c r="D269" i="11"/>
  <c r="C269" i="11"/>
  <c r="D268" i="11"/>
  <c r="C268" i="11"/>
  <c r="D267" i="11"/>
  <c r="C267" i="11"/>
  <c r="D266" i="11"/>
  <c r="C266" i="11"/>
  <c r="D265" i="11"/>
  <c r="C265" i="11"/>
  <c r="D264" i="11"/>
  <c r="C264" i="11"/>
  <c r="D263" i="11"/>
  <c r="C263" i="11"/>
  <c r="D262" i="11"/>
  <c r="C262" i="11"/>
  <c r="D261" i="11"/>
  <c r="C261" i="11"/>
  <c r="D260" i="11"/>
  <c r="C260" i="11"/>
  <c r="D259" i="11"/>
  <c r="C259" i="11"/>
  <c r="D258" i="11"/>
  <c r="C258" i="11"/>
  <c r="D257" i="11"/>
  <c r="C257" i="11"/>
  <c r="D256" i="11"/>
  <c r="C256" i="11"/>
  <c r="D255" i="11"/>
  <c r="C255" i="11"/>
  <c r="D254" i="11"/>
  <c r="C254" i="11"/>
  <c r="D253" i="11"/>
  <c r="C253" i="11"/>
  <c r="D252" i="11"/>
  <c r="C252" i="11"/>
  <c r="D251" i="11"/>
  <c r="C251" i="11"/>
  <c r="D250" i="11"/>
  <c r="C250" i="11"/>
  <c r="D249" i="11"/>
  <c r="C249" i="11"/>
  <c r="D248" i="11"/>
  <c r="C248" i="11"/>
  <c r="D247" i="11"/>
  <c r="C247" i="11"/>
  <c r="D246" i="11"/>
  <c r="C246" i="11"/>
  <c r="D245" i="11"/>
  <c r="C245" i="11"/>
  <c r="D244" i="11"/>
  <c r="C244" i="11"/>
  <c r="D243" i="11"/>
  <c r="C243" i="11"/>
  <c r="D242" i="11"/>
  <c r="C242" i="11"/>
  <c r="D241" i="11"/>
  <c r="C241" i="11"/>
  <c r="D240" i="11"/>
  <c r="C240" i="11"/>
  <c r="D239" i="11"/>
  <c r="C239" i="11"/>
  <c r="D238" i="11"/>
  <c r="C238" i="11"/>
  <c r="D237" i="11"/>
  <c r="C237" i="11"/>
  <c r="D236" i="11"/>
  <c r="C236" i="11"/>
  <c r="D235" i="11"/>
  <c r="C235" i="11"/>
  <c r="D234" i="11"/>
  <c r="C234" i="11"/>
  <c r="D233" i="11"/>
  <c r="C233" i="11"/>
  <c r="D232" i="11"/>
  <c r="C232" i="11"/>
  <c r="D231" i="11"/>
  <c r="C231" i="11"/>
  <c r="D230" i="11"/>
  <c r="C230" i="11"/>
  <c r="D229" i="11"/>
  <c r="C229" i="11"/>
  <c r="D228" i="11"/>
  <c r="C228" i="11"/>
  <c r="D227" i="11"/>
  <c r="C227" i="11"/>
  <c r="D226" i="11"/>
  <c r="C226" i="11"/>
  <c r="D225" i="11"/>
  <c r="C225" i="11"/>
  <c r="D224" i="11"/>
  <c r="C224" i="11"/>
  <c r="D223" i="11"/>
  <c r="C223" i="11"/>
  <c r="D222" i="11"/>
  <c r="C222" i="11"/>
  <c r="D221" i="11"/>
  <c r="C221" i="11"/>
  <c r="D220" i="11"/>
  <c r="C220" i="11"/>
  <c r="D219" i="11"/>
  <c r="C219" i="11"/>
  <c r="D218" i="11"/>
  <c r="C218" i="11"/>
  <c r="D217" i="11"/>
  <c r="C217" i="11"/>
  <c r="D216" i="11"/>
  <c r="C216" i="11"/>
  <c r="D215" i="11"/>
  <c r="C215" i="11"/>
  <c r="D214" i="11"/>
  <c r="C214" i="11"/>
  <c r="D213" i="11"/>
  <c r="C213" i="11"/>
  <c r="D212" i="11"/>
  <c r="C212" i="11"/>
  <c r="D211" i="11"/>
  <c r="C211" i="11"/>
  <c r="D210" i="11"/>
  <c r="C210" i="11"/>
  <c r="D209" i="11"/>
  <c r="C209" i="11"/>
  <c r="D208" i="11"/>
  <c r="C208" i="11"/>
  <c r="D207" i="11"/>
  <c r="C207" i="11"/>
  <c r="D206" i="11"/>
  <c r="C206" i="11"/>
  <c r="D205" i="11"/>
  <c r="C205" i="11"/>
  <c r="D204" i="11"/>
  <c r="C204" i="11"/>
  <c r="D203" i="11"/>
  <c r="C203" i="11"/>
  <c r="D202" i="11"/>
  <c r="C202" i="11"/>
  <c r="D201" i="11"/>
  <c r="C201" i="11"/>
  <c r="D200" i="11"/>
  <c r="C200" i="11"/>
  <c r="D199" i="11"/>
  <c r="C199" i="11"/>
  <c r="D198" i="11"/>
  <c r="C198" i="11"/>
  <c r="D197" i="11"/>
  <c r="C197" i="11"/>
  <c r="D196" i="11"/>
  <c r="C196" i="11"/>
  <c r="D195" i="11"/>
  <c r="C195" i="11"/>
  <c r="D194" i="11"/>
  <c r="C194" i="11"/>
  <c r="D193" i="11"/>
  <c r="C193" i="11"/>
  <c r="D192" i="11"/>
  <c r="C192" i="11"/>
  <c r="D191" i="11"/>
  <c r="C191" i="11"/>
  <c r="D190" i="11"/>
  <c r="C190" i="11"/>
  <c r="D189" i="11"/>
  <c r="C189" i="11"/>
  <c r="D188" i="11"/>
  <c r="C188" i="11"/>
  <c r="D187" i="11"/>
  <c r="C187" i="11"/>
  <c r="D186" i="11"/>
  <c r="C186" i="11"/>
  <c r="D185" i="11"/>
  <c r="C185" i="11"/>
  <c r="D184" i="11"/>
  <c r="C184" i="11"/>
  <c r="D183" i="11"/>
  <c r="C183" i="11"/>
  <c r="D182" i="11"/>
  <c r="C182" i="11"/>
  <c r="D181" i="11"/>
  <c r="C181" i="11"/>
  <c r="D180" i="11"/>
  <c r="C180" i="11"/>
  <c r="D179" i="11"/>
  <c r="C179" i="11"/>
  <c r="D178" i="11"/>
  <c r="C178" i="11"/>
  <c r="D177" i="11"/>
  <c r="C177" i="11"/>
  <c r="D176" i="11"/>
  <c r="C176" i="11"/>
  <c r="D175" i="11"/>
  <c r="C175" i="11"/>
  <c r="D174" i="11"/>
  <c r="C174" i="11"/>
  <c r="D173" i="11"/>
  <c r="C173" i="11"/>
  <c r="D172" i="11"/>
  <c r="C172" i="11"/>
  <c r="D171" i="11"/>
  <c r="C171" i="11"/>
  <c r="D170" i="11"/>
  <c r="C170" i="11"/>
  <c r="D169" i="11"/>
  <c r="C169" i="11"/>
  <c r="D168" i="11"/>
  <c r="C168" i="11"/>
  <c r="D167" i="11"/>
  <c r="C167" i="11"/>
  <c r="D166" i="11"/>
  <c r="C166" i="11"/>
  <c r="D165" i="11"/>
  <c r="C165" i="11"/>
  <c r="D164" i="11"/>
  <c r="C164" i="11"/>
  <c r="D163" i="11"/>
  <c r="C163" i="11"/>
  <c r="D162" i="11"/>
  <c r="C162" i="11"/>
  <c r="D161" i="11"/>
  <c r="C161" i="11"/>
  <c r="D160" i="11"/>
  <c r="C160" i="11"/>
  <c r="D159" i="11"/>
  <c r="C159" i="11"/>
  <c r="D158" i="11"/>
  <c r="C158" i="11"/>
  <c r="D157" i="11"/>
  <c r="C157" i="11"/>
  <c r="D156" i="11"/>
  <c r="C156" i="11"/>
  <c r="D155" i="11"/>
  <c r="C155" i="11"/>
  <c r="D154" i="11"/>
  <c r="C154" i="11"/>
  <c r="D153" i="11"/>
  <c r="C153" i="11"/>
  <c r="D152" i="11"/>
  <c r="C152" i="11"/>
  <c r="D151" i="11"/>
  <c r="C151" i="11"/>
  <c r="D150" i="11"/>
  <c r="C150" i="11"/>
  <c r="D149" i="11"/>
  <c r="C149" i="11"/>
  <c r="D148" i="11"/>
  <c r="C148" i="11"/>
  <c r="D147" i="11"/>
  <c r="C147" i="11"/>
  <c r="D146" i="11"/>
  <c r="C146" i="11"/>
  <c r="D145" i="11"/>
  <c r="C145" i="11"/>
  <c r="D144" i="11"/>
  <c r="C144" i="11"/>
  <c r="D143" i="11"/>
  <c r="C143" i="11"/>
  <c r="D142" i="11"/>
  <c r="C142" i="11"/>
  <c r="D141" i="11"/>
  <c r="C141" i="11"/>
  <c r="D140" i="11"/>
  <c r="C140" i="11"/>
  <c r="D139" i="11"/>
  <c r="C139" i="11"/>
  <c r="D138" i="11"/>
  <c r="C138" i="11"/>
  <c r="D137" i="11"/>
  <c r="C137" i="11"/>
  <c r="D136" i="11"/>
  <c r="C136" i="11"/>
  <c r="D135" i="11"/>
  <c r="C135" i="11"/>
  <c r="D134" i="11"/>
  <c r="C134" i="11"/>
  <c r="D133" i="11"/>
  <c r="C133" i="11"/>
  <c r="D132" i="11"/>
  <c r="C132" i="11"/>
  <c r="D131" i="11"/>
  <c r="C131" i="11"/>
  <c r="D130" i="11"/>
  <c r="C130" i="11"/>
  <c r="D129" i="11"/>
  <c r="C129" i="11"/>
  <c r="D128" i="11"/>
  <c r="C128" i="11"/>
  <c r="D127" i="11"/>
  <c r="C127" i="11"/>
  <c r="D126" i="11"/>
  <c r="C126" i="11"/>
  <c r="D125" i="11"/>
  <c r="C125" i="11"/>
  <c r="D124" i="11"/>
  <c r="C124" i="11"/>
  <c r="D123" i="11"/>
  <c r="C123" i="11"/>
  <c r="D122" i="11"/>
  <c r="C122" i="11"/>
  <c r="D121" i="11"/>
  <c r="C121" i="11"/>
  <c r="D120" i="11"/>
  <c r="C120" i="11"/>
  <c r="D119" i="11"/>
  <c r="C119" i="11"/>
  <c r="D118" i="11"/>
  <c r="C118" i="11"/>
  <c r="D117" i="11"/>
  <c r="C117" i="11"/>
  <c r="D116" i="11"/>
  <c r="C116" i="11"/>
  <c r="D115" i="11"/>
  <c r="C115" i="11"/>
  <c r="D114" i="11"/>
  <c r="C114" i="11"/>
  <c r="D113" i="11"/>
  <c r="C113" i="11"/>
  <c r="D112" i="11"/>
  <c r="C112" i="11"/>
  <c r="D111" i="11"/>
  <c r="C111" i="11"/>
  <c r="D110" i="11"/>
  <c r="C110" i="11"/>
  <c r="D109" i="11"/>
  <c r="C109" i="11"/>
  <c r="D108" i="11"/>
  <c r="C108" i="11"/>
  <c r="D107" i="11"/>
  <c r="C107" i="11"/>
  <c r="D106" i="11"/>
  <c r="C106" i="11"/>
  <c r="D105" i="11"/>
  <c r="C105" i="11"/>
  <c r="D104" i="11"/>
  <c r="C104" i="11"/>
  <c r="D103" i="11"/>
  <c r="C103" i="11"/>
  <c r="D102" i="11"/>
  <c r="C102" i="11"/>
  <c r="D101" i="11"/>
  <c r="C101" i="11"/>
  <c r="D100" i="11"/>
  <c r="C100" i="11"/>
  <c r="D99" i="11"/>
  <c r="C99" i="11"/>
  <c r="D98" i="11"/>
  <c r="C98" i="11"/>
  <c r="D97" i="11"/>
  <c r="C97" i="11"/>
  <c r="D96" i="11"/>
  <c r="C96" i="11"/>
  <c r="D95" i="11"/>
  <c r="C95" i="11"/>
  <c r="D94" i="11"/>
  <c r="C94" i="11"/>
  <c r="D93" i="11"/>
  <c r="C93" i="11"/>
  <c r="D92" i="11"/>
  <c r="C92" i="11"/>
  <c r="D91" i="11"/>
  <c r="C91" i="11"/>
  <c r="D90" i="11"/>
  <c r="C90" i="11"/>
  <c r="D89" i="11"/>
  <c r="C89" i="11"/>
  <c r="D88" i="11"/>
  <c r="C88" i="11"/>
  <c r="D87" i="11"/>
  <c r="C87" i="11"/>
  <c r="D86" i="11"/>
  <c r="C86" i="11"/>
  <c r="D85" i="11"/>
  <c r="C85" i="11"/>
  <c r="D84" i="11"/>
  <c r="C84" i="11"/>
  <c r="D83" i="11"/>
  <c r="C83" i="11"/>
  <c r="D82" i="11"/>
  <c r="C82" i="11"/>
  <c r="D81" i="11"/>
  <c r="C81" i="11"/>
  <c r="D80" i="11"/>
  <c r="C80" i="11"/>
  <c r="D79" i="11"/>
  <c r="C79" i="11"/>
  <c r="D78" i="11"/>
  <c r="C78" i="11"/>
  <c r="D77" i="11"/>
  <c r="C77" i="11"/>
  <c r="D76" i="11"/>
  <c r="C76" i="11"/>
  <c r="D75" i="11"/>
  <c r="C75" i="11"/>
  <c r="D74" i="11"/>
  <c r="C74" i="11"/>
  <c r="D73" i="11"/>
  <c r="C73" i="11"/>
  <c r="D72" i="11"/>
  <c r="C72" i="11"/>
  <c r="D71" i="11"/>
  <c r="C71" i="11"/>
  <c r="D70" i="11"/>
  <c r="C70" i="11"/>
  <c r="D69" i="11"/>
  <c r="C69" i="11"/>
  <c r="D68" i="11"/>
  <c r="C68" i="11"/>
  <c r="D67" i="11"/>
  <c r="C67" i="11"/>
  <c r="D66" i="11"/>
  <c r="C66" i="11"/>
  <c r="D65" i="11"/>
  <c r="C65" i="11"/>
  <c r="D64" i="11"/>
  <c r="C64" i="11"/>
  <c r="D63" i="11"/>
  <c r="C63" i="11"/>
  <c r="D62" i="11"/>
  <c r="C62" i="11"/>
  <c r="D61" i="11"/>
  <c r="C61" i="11"/>
  <c r="D60" i="11"/>
  <c r="C60" i="11"/>
  <c r="D59" i="11"/>
  <c r="C59" i="11"/>
  <c r="D58" i="11"/>
  <c r="C58" i="11"/>
  <c r="D57" i="11"/>
  <c r="C57" i="11"/>
  <c r="D56" i="11"/>
  <c r="C56" i="11"/>
  <c r="D55" i="11"/>
  <c r="C55" i="11"/>
  <c r="D54" i="11"/>
  <c r="C54" i="11"/>
  <c r="D53" i="11"/>
  <c r="C53" i="11"/>
  <c r="D52" i="11"/>
  <c r="C52" i="11"/>
  <c r="D51" i="11"/>
  <c r="C51" i="11"/>
  <c r="D50" i="11"/>
  <c r="C50" i="11"/>
  <c r="D49" i="11"/>
  <c r="C49" i="11"/>
  <c r="D48" i="11"/>
  <c r="C48" i="11"/>
  <c r="D47" i="11"/>
  <c r="C47" i="11"/>
  <c r="D46" i="11"/>
  <c r="C46" i="11"/>
  <c r="D45" i="11"/>
  <c r="C45" i="11"/>
  <c r="D44" i="11"/>
  <c r="C44" i="11"/>
  <c r="D43" i="11"/>
  <c r="C43" i="11"/>
  <c r="D42" i="11"/>
  <c r="C42" i="11"/>
  <c r="D41" i="11"/>
  <c r="C41" i="11"/>
  <c r="D40" i="11"/>
  <c r="C40" i="11"/>
  <c r="D39" i="11"/>
  <c r="C39" i="11"/>
  <c r="D38" i="11"/>
  <c r="C38" i="11"/>
  <c r="D37" i="11"/>
  <c r="C37" i="11"/>
  <c r="D36" i="11"/>
  <c r="C36" i="11"/>
  <c r="D35" i="11"/>
  <c r="C35" i="11"/>
  <c r="D34" i="11"/>
  <c r="C34" i="11"/>
  <c r="D33" i="11"/>
  <c r="C33" i="11"/>
  <c r="D32" i="11"/>
  <c r="C32" i="11"/>
  <c r="D31" i="11"/>
  <c r="C31" i="11"/>
  <c r="D30" i="11"/>
  <c r="C30" i="11"/>
  <c r="D29" i="11"/>
  <c r="C29" i="11"/>
  <c r="D28" i="11"/>
  <c r="C28" i="11"/>
  <c r="D27" i="11"/>
  <c r="C27" i="11"/>
  <c r="D26" i="11"/>
  <c r="C26" i="11"/>
  <c r="D25" i="11"/>
  <c r="C25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3" i="11"/>
  <c r="C13" i="11"/>
  <c r="D12" i="11"/>
  <c r="C12" i="11"/>
  <c r="D11" i="11"/>
  <c r="C11" i="11"/>
  <c r="D10" i="11"/>
  <c r="C10" i="11"/>
  <c r="D9" i="11"/>
  <c r="C9" i="11"/>
  <c r="D8" i="11"/>
  <c r="C8" i="11"/>
  <c r="D7" i="11"/>
  <c r="C7" i="11"/>
  <c r="D6" i="11"/>
  <c r="C6" i="11"/>
  <c r="D5" i="11"/>
  <c r="C5" i="11"/>
  <c r="C4" i="11"/>
  <c r="S1000" i="8" a="1"/>
  <c r="R1000" i="8"/>
  <c r="Q1000" i="8"/>
  <c r="P1000" i="8"/>
  <c r="O1000" i="8"/>
  <c r="N1000" i="8"/>
  <c r="M1000" i="8"/>
  <c r="L1000" i="8"/>
  <c r="S999" i="8" a="1"/>
  <c r="R999" i="8"/>
  <c r="Q999" i="8"/>
  <c r="P999" i="8"/>
  <c r="O999" i="8"/>
  <c r="N999" i="8"/>
  <c r="M999" i="8"/>
  <c r="L999" i="8"/>
  <c r="S998" i="8" a="1"/>
  <c r="R998" i="8"/>
  <c r="Q998" i="8"/>
  <c r="P998" i="8"/>
  <c r="O998" i="8"/>
  <c r="N998" i="8"/>
  <c r="M998" i="8"/>
  <c r="L998" i="8"/>
  <c r="S997" i="8" a="1"/>
  <c r="R997" i="8"/>
  <c r="Q997" i="8"/>
  <c r="P997" i="8"/>
  <c r="O997" i="8"/>
  <c r="N997" i="8"/>
  <c r="M997" i="8"/>
  <c r="L997" i="8"/>
  <c r="S996" i="8" a="1"/>
  <c r="R996" i="8"/>
  <c r="Q996" i="8"/>
  <c r="P996" i="8"/>
  <c r="O996" i="8"/>
  <c r="N996" i="8"/>
  <c r="M996" i="8"/>
  <c r="L996" i="8"/>
  <c r="S995" i="8" a="1"/>
  <c r="R995" i="8"/>
  <c r="Q995" i="8"/>
  <c r="P995" i="8"/>
  <c r="O995" i="8"/>
  <c r="N995" i="8"/>
  <c r="M995" i="8"/>
  <c r="L995" i="8"/>
  <c r="S994" i="8" a="1"/>
  <c r="R994" i="8"/>
  <c r="Q994" i="8"/>
  <c r="P994" i="8"/>
  <c r="O994" i="8"/>
  <c r="N994" i="8"/>
  <c r="M994" i="8"/>
  <c r="L994" i="8"/>
  <c r="S993" i="8" a="1"/>
  <c r="R993" i="8"/>
  <c r="Q993" i="8"/>
  <c r="P993" i="8"/>
  <c r="O993" i="8"/>
  <c r="N993" i="8"/>
  <c r="M993" i="8"/>
  <c r="L993" i="8"/>
  <c r="S992" i="8" a="1"/>
  <c r="R992" i="8"/>
  <c r="Q992" i="8"/>
  <c r="P992" i="8"/>
  <c r="O992" i="8"/>
  <c r="N992" i="8"/>
  <c r="M992" i="8"/>
  <c r="L992" i="8"/>
  <c r="S991" i="8" a="1"/>
  <c r="R991" i="8"/>
  <c r="Q991" i="8"/>
  <c r="P991" i="8"/>
  <c r="O991" i="8"/>
  <c r="N991" i="8"/>
  <c r="M991" i="8"/>
  <c r="L991" i="8"/>
  <c r="S990" i="8" a="1"/>
  <c r="R990" i="8"/>
  <c r="Q990" i="8"/>
  <c r="P990" i="8"/>
  <c r="O990" i="8"/>
  <c r="N990" i="8"/>
  <c r="M990" i="8"/>
  <c r="L990" i="8"/>
  <c r="S989" i="8" a="1"/>
  <c r="R989" i="8"/>
  <c r="Q989" i="8"/>
  <c r="P989" i="8"/>
  <c r="O989" i="8"/>
  <c r="N989" i="8"/>
  <c r="M989" i="8"/>
  <c r="L989" i="8"/>
  <c r="S988" i="8" a="1"/>
  <c r="R988" i="8"/>
  <c r="Q988" i="8"/>
  <c r="P988" i="8"/>
  <c r="O988" i="8"/>
  <c r="N988" i="8"/>
  <c r="M988" i="8"/>
  <c r="L988" i="8"/>
  <c r="S987" i="8" a="1"/>
  <c r="R987" i="8"/>
  <c r="Q987" i="8"/>
  <c r="P987" i="8"/>
  <c r="O987" i="8"/>
  <c r="N987" i="8"/>
  <c r="M987" i="8"/>
  <c r="L987" i="8"/>
  <c r="S986" i="8" a="1"/>
  <c r="R986" i="8"/>
  <c r="Q986" i="8"/>
  <c r="P986" i="8"/>
  <c r="O986" i="8"/>
  <c r="N986" i="8"/>
  <c r="M986" i="8"/>
  <c r="L986" i="8"/>
  <c r="S985" i="8" a="1"/>
  <c r="R985" i="8"/>
  <c r="Q985" i="8"/>
  <c r="P985" i="8"/>
  <c r="O985" i="8"/>
  <c r="N985" i="8"/>
  <c r="M985" i="8"/>
  <c r="L985" i="8"/>
  <c r="S984" i="8" a="1"/>
  <c r="R984" i="8"/>
  <c r="Q984" i="8"/>
  <c r="P984" i="8"/>
  <c r="O984" i="8"/>
  <c r="N984" i="8"/>
  <c r="M984" i="8"/>
  <c r="L984" i="8"/>
  <c r="S983" i="8" a="1"/>
  <c r="R983" i="8"/>
  <c r="Q983" i="8"/>
  <c r="P983" i="8"/>
  <c r="O983" i="8"/>
  <c r="N983" i="8"/>
  <c r="M983" i="8"/>
  <c r="L983" i="8"/>
  <c r="S982" i="8" a="1"/>
  <c r="R982" i="8"/>
  <c r="Q982" i="8"/>
  <c r="P982" i="8"/>
  <c r="O982" i="8"/>
  <c r="N982" i="8"/>
  <c r="M982" i="8"/>
  <c r="L982" i="8"/>
  <c r="S981" i="8" a="1"/>
  <c r="R981" i="8"/>
  <c r="Q981" i="8"/>
  <c r="P981" i="8"/>
  <c r="O981" i="8"/>
  <c r="N981" i="8"/>
  <c r="M981" i="8"/>
  <c r="L981" i="8"/>
  <c r="S980" i="8" a="1"/>
  <c r="R980" i="8"/>
  <c r="Q980" i="8"/>
  <c r="P980" i="8"/>
  <c r="O980" i="8"/>
  <c r="N980" i="8"/>
  <c r="M980" i="8"/>
  <c r="L980" i="8"/>
  <c r="S979" i="8" a="1"/>
  <c r="R979" i="8"/>
  <c r="Q979" i="8"/>
  <c r="P979" i="8"/>
  <c r="O979" i="8"/>
  <c r="N979" i="8"/>
  <c r="M979" i="8"/>
  <c r="L979" i="8"/>
  <c r="S978" i="8" a="1"/>
  <c r="R978" i="8"/>
  <c r="Q978" i="8"/>
  <c r="P978" i="8"/>
  <c r="O978" i="8"/>
  <c r="N978" i="8"/>
  <c r="M978" i="8"/>
  <c r="L978" i="8"/>
  <c r="S977" i="8" a="1"/>
  <c r="R977" i="8"/>
  <c r="Q977" i="8"/>
  <c r="P977" i="8"/>
  <c r="O977" i="8"/>
  <c r="N977" i="8"/>
  <c r="M977" i="8"/>
  <c r="L977" i="8"/>
  <c r="S976" i="8" a="1"/>
  <c r="R976" i="8"/>
  <c r="Q976" i="8"/>
  <c r="P976" i="8"/>
  <c r="O976" i="8"/>
  <c r="N976" i="8"/>
  <c r="M976" i="8"/>
  <c r="L976" i="8"/>
  <c r="S975" i="8" a="1"/>
  <c r="R975" i="8"/>
  <c r="Q975" i="8"/>
  <c r="P975" i="8"/>
  <c r="O975" i="8"/>
  <c r="N975" i="8"/>
  <c r="M975" i="8"/>
  <c r="L975" i="8"/>
  <c r="S974" i="8" a="1"/>
  <c r="R974" i="8"/>
  <c r="Q974" i="8"/>
  <c r="P974" i="8"/>
  <c r="O974" i="8"/>
  <c r="N974" i="8"/>
  <c r="M974" i="8"/>
  <c r="L974" i="8"/>
  <c r="S973" i="8" a="1"/>
  <c r="R973" i="8"/>
  <c r="Q973" i="8"/>
  <c r="P973" i="8"/>
  <c r="O973" i="8"/>
  <c r="N973" i="8"/>
  <c r="M973" i="8"/>
  <c r="L973" i="8"/>
  <c r="S972" i="8" a="1"/>
  <c r="R972" i="8"/>
  <c r="Q972" i="8"/>
  <c r="P972" i="8"/>
  <c r="O972" i="8"/>
  <c r="N972" i="8"/>
  <c r="M972" i="8"/>
  <c r="L972" i="8"/>
  <c r="S971" i="8" a="1"/>
  <c r="R971" i="8"/>
  <c r="Q971" i="8"/>
  <c r="P971" i="8"/>
  <c r="O971" i="8"/>
  <c r="N971" i="8"/>
  <c r="M971" i="8"/>
  <c r="L971" i="8"/>
  <c r="S970" i="8" a="1"/>
  <c r="R970" i="8"/>
  <c r="Q970" i="8"/>
  <c r="P970" i="8"/>
  <c r="O970" i="8"/>
  <c r="N970" i="8"/>
  <c r="M970" i="8"/>
  <c r="L970" i="8"/>
  <c r="S969" i="8" a="1"/>
  <c r="R969" i="8"/>
  <c r="Q969" i="8"/>
  <c r="P969" i="8"/>
  <c r="O969" i="8"/>
  <c r="N969" i="8"/>
  <c r="M969" i="8"/>
  <c r="L969" i="8"/>
  <c r="S968" i="8" a="1"/>
  <c r="R968" i="8"/>
  <c r="Q968" i="8"/>
  <c r="P968" i="8"/>
  <c r="O968" i="8"/>
  <c r="N968" i="8"/>
  <c r="M968" i="8"/>
  <c r="L968" i="8"/>
  <c r="S967" i="8" a="1"/>
  <c r="R967" i="8"/>
  <c r="Q967" i="8"/>
  <c r="P967" i="8"/>
  <c r="O967" i="8"/>
  <c r="N967" i="8"/>
  <c r="M967" i="8"/>
  <c r="L967" i="8"/>
  <c r="S966" i="8" a="1"/>
  <c r="R966" i="8"/>
  <c r="Q966" i="8"/>
  <c r="P966" i="8"/>
  <c r="O966" i="8"/>
  <c r="N966" i="8"/>
  <c r="M966" i="8"/>
  <c r="L966" i="8"/>
  <c r="S965" i="8" a="1"/>
  <c r="R965" i="8"/>
  <c r="Q965" i="8"/>
  <c r="P965" i="8"/>
  <c r="O965" i="8"/>
  <c r="N965" i="8"/>
  <c r="M965" i="8"/>
  <c r="L965" i="8"/>
  <c r="S964" i="8" a="1"/>
  <c r="R964" i="8"/>
  <c r="Q964" i="8"/>
  <c r="P964" i="8"/>
  <c r="O964" i="8"/>
  <c r="N964" i="8"/>
  <c r="M964" i="8"/>
  <c r="L964" i="8"/>
  <c r="S963" i="8" a="1"/>
  <c r="R963" i="8"/>
  <c r="Q963" i="8"/>
  <c r="P963" i="8"/>
  <c r="O963" i="8"/>
  <c r="N963" i="8"/>
  <c r="M963" i="8"/>
  <c r="L963" i="8"/>
  <c r="S962" i="8" a="1"/>
  <c r="R962" i="8"/>
  <c r="Q962" i="8"/>
  <c r="P962" i="8"/>
  <c r="O962" i="8"/>
  <c r="N962" i="8"/>
  <c r="M962" i="8"/>
  <c r="L962" i="8"/>
  <c r="S961" i="8" a="1"/>
  <c r="R961" i="8"/>
  <c r="Q961" i="8"/>
  <c r="P961" i="8"/>
  <c r="O961" i="8"/>
  <c r="N961" i="8"/>
  <c r="M961" i="8"/>
  <c r="L961" i="8"/>
  <c r="S960" i="8" a="1"/>
  <c r="R960" i="8"/>
  <c r="Q960" i="8"/>
  <c r="P960" i="8"/>
  <c r="O960" i="8"/>
  <c r="N960" i="8"/>
  <c r="M960" i="8"/>
  <c r="L960" i="8"/>
  <c r="S959" i="8" a="1"/>
  <c r="R959" i="8"/>
  <c r="Q959" i="8"/>
  <c r="P959" i="8"/>
  <c r="O959" i="8"/>
  <c r="N959" i="8"/>
  <c r="M959" i="8"/>
  <c r="L959" i="8"/>
  <c r="S958" i="8" a="1"/>
  <c r="R958" i="8"/>
  <c r="Q958" i="8"/>
  <c r="P958" i="8"/>
  <c r="O958" i="8"/>
  <c r="N958" i="8"/>
  <c r="M958" i="8"/>
  <c r="L958" i="8"/>
  <c r="S957" i="8" a="1"/>
  <c r="R957" i="8"/>
  <c r="Q957" i="8"/>
  <c r="P957" i="8"/>
  <c r="O957" i="8"/>
  <c r="N957" i="8"/>
  <c r="M957" i="8"/>
  <c r="L957" i="8"/>
  <c r="S956" i="8" a="1"/>
  <c r="R956" i="8"/>
  <c r="Q956" i="8"/>
  <c r="P956" i="8"/>
  <c r="O956" i="8"/>
  <c r="N956" i="8"/>
  <c r="M956" i="8"/>
  <c r="L956" i="8"/>
  <c r="S955" i="8" a="1"/>
  <c r="R955" i="8"/>
  <c r="Q955" i="8"/>
  <c r="P955" i="8"/>
  <c r="O955" i="8"/>
  <c r="N955" i="8"/>
  <c r="M955" i="8"/>
  <c r="L955" i="8"/>
  <c r="S954" i="8" a="1"/>
  <c r="R954" i="8"/>
  <c r="Q954" i="8"/>
  <c r="P954" i="8"/>
  <c r="O954" i="8"/>
  <c r="N954" i="8"/>
  <c r="M954" i="8"/>
  <c r="L954" i="8"/>
  <c r="S953" i="8" a="1"/>
  <c r="R953" i="8"/>
  <c r="Q953" i="8"/>
  <c r="P953" i="8"/>
  <c r="O953" i="8"/>
  <c r="N953" i="8"/>
  <c r="M953" i="8"/>
  <c r="L953" i="8"/>
  <c r="S952" i="8" a="1"/>
  <c r="R952" i="8"/>
  <c r="Q952" i="8"/>
  <c r="P952" i="8"/>
  <c r="O952" i="8"/>
  <c r="N952" i="8"/>
  <c r="M952" i="8"/>
  <c r="L952" i="8"/>
  <c r="S951" i="8" a="1"/>
  <c r="R951" i="8"/>
  <c r="Q951" i="8"/>
  <c r="P951" i="8"/>
  <c r="O951" i="8"/>
  <c r="N951" i="8"/>
  <c r="M951" i="8"/>
  <c r="L951" i="8"/>
  <c r="S950" i="8" a="1"/>
  <c r="R950" i="8"/>
  <c r="Q950" i="8"/>
  <c r="P950" i="8"/>
  <c r="O950" i="8"/>
  <c r="N950" i="8"/>
  <c r="M950" i="8"/>
  <c r="L950" i="8"/>
  <c r="S949" i="8" a="1"/>
  <c r="R949" i="8"/>
  <c r="Q949" i="8"/>
  <c r="P949" i="8"/>
  <c r="O949" i="8"/>
  <c r="N949" i="8"/>
  <c r="M949" i="8"/>
  <c r="L949" i="8"/>
  <c r="S948" i="8" a="1"/>
  <c r="R948" i="8"/>
  <c r="Q948" i="8"/>
  <c r="P948" i="8"/>
  <c r="O948" i="8"/>
  <c r="N948" i="8"/>
  <c r="M948" i="8"/>
  <c r="L948" i="8"/>
  <c r="S947" i="8" a="1"/>
  <c r="R947" i="8"/>
  <c r="Q947" i="8"/>
  <c r="P947" i="8"/>
  <c r="O947" i="8"/>
  <c r="N947" i="8"/>
  <c r="M947" i="8"/>
  <c r="L947" i="8"/>
  <c r="S946" i="8" a="1"/>
  <c r="R946" i="8"/>
  <c r="Q946" i="8"/>
  <c r="P946" i="8"/>
  <c r="O946" i="8"/>
  <c r="N946" i="8"/>
  <c r="M946" i="8"/>
  <c r="L946" i="8"/>
  <c r="S945" i="8" a="1"/>
  <c r="R945" i="8"/>
  <c r="Q945" i="8"/>
  <c r="P945" i="8"/>
  <c r="O945" i="8"/>
  <c r="N945" i="8"/>
  <c r="M945" i="8"/>
  <c r="L945" i="8"/>
  <c r="S944" i="8" a="1"/>
  <c r="R944" i="8"/>
  <c r="Q944" i="8"/>
  <c r="P944" i="8"/>
  <c r="O944" i="8"/>
  <c r="N944" i="8"/>
  <c r="M944" i="8"/>
  <c r="L944" i="8"/>
  <c r="S943" i="8" a="1"/>
  <c r="R943" i="8"/>
  <c r="Q943" i="8"/>
  <c r="P943" i="8"/>
  <c r="O943" i="8"/>
  <c r="N943" i="8"/>
  <c r="M943" i="8"/>
  <c r="L943" i="8"/>
  <c r="S942" i="8" a="1"/>
  <c r="R942" i="8"/>
  <c r="Q942" i="8"/>
  <c r="P942" i="8"/>
  <c r="O942" i="8"/>
  <c r="N942" i="8"/>
  <c r="M942" i="8"/>
  <c r="L942" i="8"/>
  <c r="S941" i="8" a="1"/>
  <c r="R941" i="8"/>
  <c r="Q941" i="8"/>
  <c r="P941" i="8"/>
  <c r="O941" i="8"/>
  <c r="N941" i="8"/>
  <c r="M941" i="8"/>
  <c r="L941" i="8"/>
  <c r="S940" i="8" a="1"/>
  <c r="R940" i="8"/>
  <c r="Q940" i="8"/>
  <c r="P940" i="8"/>
  <c r="O940" i="8"/>
  <c r="N940" i="8"/>
  <c r="M940" i="8"/>
  <c r="L940" i="8"/>
  <c r="S939" i="8" a="1"/>
  <c r="R939" i="8"/>
  <c r="Q939" i="8"/>
  <c r="P939" i="8"/>
  <c r="O939" i="8"/>
  <c r="N939" i="8"/>
  <c r="M939" i="8"/>
  <c r="L939" i="8"/>
  <c r="S938" i="8" a="1"/>
  <c r="R938" i="8"/>
  <c r="Q938" i="8"/>
  <c r="P938" i="8"/>
  <c r="O938" i="8"/>
  <c r="N938" i="8"/>
  <c r="M938" i="8"/>
  <c r="L938" i="8"/>
  <c r="S937" i="8" a="1"/>
  <c r="R937" i="8"/>
  <c r="Q937" i="8"/>
  <c r="P937" i="8"/>
  <c r="O937" i="8"/>
  <c r="N937" i="8"/>
  <c r="M937" i="8"/>
  <c r="L937" i="8"/>
  <c r="S936" i="8" a="1"/>
  <c r="R936" i="8"/>
  <c r="Q936" i="8"/>
  <c r="P936" i="8"/>
  <c r="O936" i="8"/>
  <c r="N936" i="8"/>
  <c r="M936" i="8"/>
  <c r="L936" i="8"/>
  <c r="S935" i="8" a="1"/>
  <c r="R935" i="8"/>
  <c r="Q935" i="8"/>
  <c r="P935" i="8"/>
  <c r="O935" i="8"/>
  <c r="N935" i="8"/>
  <c r="M935" i="8"/>
  <c r="L935" i="8"/>
  <c r="S934" i="8" a="1"/>
  <c r="R934" i="8"/>
  <c r="Q934" i="8"/>
  <c r="P934" i="8"/>
  <c r="O934" i="8"/>
  <c r="N934" i="8"/>
  <c r="M934" i="8"/>
  <c r="L934" i="8"/>
  <c r="S933" i="8" a="1"/>
  <c r="R933" i="8"/>
  <c r="Q933" i="8"/>
  <c r="P933" i="8"/>
  <c r="O933" i="8"/>
  <c r="N933" i="8"/>
  <c r="M933" i="8"/>
  <c r="L933" i="8"/>
  <c r="S932" i="8" a="1"/>
  <c r="R932" i="8"/>
  <c r="Q932" i="8"/>
  <c r="P932" i="8"/>
  <c r="O932" i="8"/>
  <c r="N932" i="8"/>
  <c r="M932" i="8"/>
  <c r="L932" i="8"/>
  <c r="S931" i="8" a="1"/>
  <c r="R931" i="8"/>
  <c r="Q931" i="8"/>
  <c r="P931" i="8"/>
  <c r="O931" i="8"/>
  <c r="N931" i="8"/>
  <c r="M931" i="8"/>
  <c r="L931" i="8"/>
  <c r="S930" i="8" a="1"/>
  <c r="R930" i="8"/>
  <c r="Q930" i="8"/>
  <c r="P930" i="8"/>
  <c r="O930" i="8"/>
  <c r="N930" i="8"/>
  <c r="M930" i="8"/>
  <c r="L930" i="8"/>
  <c r="S929" i="8" a="1"/>
  <c r="R929" i="8"/>
  <c r="Q929" i="8"/>
  <c r="P929" i="8"/>
  <c r="O929" i="8"/>
  <c r="N929" i="8"/>
  <c r="M929" i="8"/>
  <c r="L929" i="8"/>
  <c r="S928" i="8" a="1"/>
  <c r="R928" i="8"/>
  <c r="Q928" i="8"/>
  <c r="P928" i="8"/>
  <c r="O928" i="8"/>
  <c r="N928" i="8"/>
  <c r="M928" i="8"/>
  <c r="L928" i="8"/>
  <c r="S927" i="8" a="1"/>
  <c r="R927" i="8"/>
  <c r="Q927" i="8"/>
  <c r="P927" i="8"/>
  <c r="O927" i="8"/>
  <c r="N927" i="8"/>
  <c r="M927" i="8"/>
  <c r="L927" i="8"/>
  <c r="S926" i="8" a="1"/>
  <c r="R926" i="8"/>
  <c r="Q926" i="8"/>
  <c r="P926" i="8"/>
  <c r="O926" i="8"/>
  <c r="N926" i="8"/>
  <c r="M926" i="8"/>
  <c r="L926" i="8"/>
  <c r="S925" i="8" a="1"/>
  <c r="R925" i="8"/>
  <c r="Q925" i="8"/>
  <c r="P925" i="8"/>
  <c r="O925" i="8"/>
  <c r="N925" i="8"/>
  <c r="M925" i="8"/>
  <c r="L925" i="8"/>
  <c r="S924" i="8" a="1"/>
  <c r="R924" i="8"/>
  <c r="Q924" i="8"/>
  <c r="P924" i="8"/>
  <c r="O924" i="8"/>
  <c r="N924" i="8"/>
  <c r="M924" i="8"/>
  <c r="L924" i="8"/>
  <c r="S923" i="8" a="1"/>
  <c r="R923" i="8"/>
  <c r="Q923" i="8"/>
  <c r="P923" i="8"/>
  <c r="O923" i="8"/>
  <c r="N923" i="8"/>
  <c r="M923" i="8"/>
  <c r="L923" i="8"/>
  <c r="S922" i="8" a="1"/>
  <c r="R922" i="8"/>
  <c r="Q922" i="8"/>
  <c r="P922" i="8"/>
  <c r="O922" i="8"/>
  <c r="N922" i="8"/>
  <c r="M922" i="8"/>
  <c r="L922" i="8"/>
  <c r="S921" i="8" a="1"/>
  <c r="R921" i="8"/>
  <c r="Q921" i="8"/>
  <c r="P921" i="8"/>
  <c r="O921" i="8"/>
  <c r="N921" i="8"/>
  <c r="M921" i="8"/>
  <c r="L921" i="8"/>
  <c r="S920" i="8" a="1"/>
  <c r="R920" i="8"/>
  <c r="Q920" i="8"/>
  <c r="P920" i="8"/>
  <c r="O920" i="8"/>
  <c r="N920" i="8"/>
  <c r="M920" i="8"/>
  <c r="L920" i="8"/>
  <c r="S919" i="8" a="1"/>
  <c r="R919" i="8"/>
  <c r="Q919" i="8"/>
  <c r="P919" i="8"/>
  <c r="O919" i="8"/>
  <c r="N919" i="8"/>
  <c r="M919" i="8"/>
  <c r="L919" i="8"/>
  <c r="S918" i="8" a="1"/>
  <c r="R918" i="8"/>
  <c r="Q918" i="8"/>
  <c r="P918" i="8"/>
  <c r="O918" i="8"/>
  <c r="N918" i="8"/>
  <c r="M918" i="8"/>
  <c r="L918" i="8"/>
  <c r="S917" i="8" a="1"/>
  <c r="R917" i="8"/>
  <c r="Q917" i="8"/>
  <c r="P917" i="8"/>
  <c r="O917" i="8"/>
  <c r="N917" i="8"/>
  <c r="M917" i="8"/>
  <c r="L917" i="8"/>
  <c r="S916" i="8" a="1"/>
  <c r="R916" i="8"/>
  <c r="Q916" i="8"/>
  <c r="P916" i="8"/>
  <c r="O916" i="8"/>
  <c r="N916" i="8"/>
  <c r="M916" i="8"/>
  <c r="L916" i="8"/>
  <c r="S915" i="8" a="1"/>
  <c r="R915" i="8"/>
  <c r="Q915" i="8"/>
  <c r="P915" i="8"/>
  <c r="O915" i="8"/>
  <c r="N915" i="8"/>
  <c r="M915" i="8"/>
  <c r="L915" i="8"/>
  <c r="S914" i="8" a="1"/>
  <c r="R914" i="8"/>
  <c r="Q914" i="8"/>
  <c r="P914" i="8"/>
  <c r="O914" i="8"/>
  <c r="N914" i="8"/>
  <c r="M914" i="8"/>
  <c r="L914" i="8"/>
  <c r="S913" i="8" a="1"/>
  <c r="R913" i="8"/>
  <c r="Q913" i="8"/>
  <c r="P913" i="8"/>
  <c r="O913" i="8"/>
  <c r="N913" i="8"/>
  <c r="M913" i="8"/>
  <c r="L913" i="8"/>
  <c r="S912" i="8" a="1"/>
  <c r="R912" i="8"/>
  <c r="Q912" i="8"/>
  <c r="P912" i="8"/>
  <c r="O912" i="8"/>
  <c r="N912" i="8"/>
  <c r="M912" i="8"/>
  <c r="L912" i="8"/>
  <c r="S911" i="8" a="1"/>
  <c r="R911" i="8"/>
  <c r="Q911" i="8"/>
  <c r="P911" i="8"/>
  <c r="O911" i="8"/>
  <c r="N911" i="8"/>
  <c r="M911" i="8"/>
  <c r="L911" i="8"/>
  <c r="S910" i="8" a="1"/>
  <c r="R910" i="8"/>
  <c r="Q910" i="8"/>
  <c r="P910" i="8"/>
  <c r="O910" i="8"/>
  <c r="N910" i="8"/>
  <c r="M910" i="8"/>
  <c r="L910" i="8"/>
  <c r="S909" i="8" a="1"/>
  <c r="R909" i="8"/>
  <c r="Q909" i="8"/>
  <c r="P909" i="8"/>
  <c r="O909" i="8"/>
  <c r="N909" i="8"/>
  <c r="M909" i="8"/>
  <c r="L909" i="8"/>
  <c r="S908" i="8" a="1"/>
  <c r="R908" i="8"/>
  <c r="Q908" i="8"/>
  <c r="P908" i="8"/>
  <c r="O908" i="8"/>
  <c r="N908" i="8"/>
  <c r="M908" i="8"/>
  <c r="L908" i="8"/>
  <c r="S907" i="8" a="1"/>
  <c r="R907" i="8"/>
  <c r="Q907" i="8"/>
  <c r="P907" i="8"/>
  <c r="O907" i="8"/>
  <c r="N907" i="8"/>
  <c r="M907" i="8"/>
  <c r="L907" i="8"/>
  <c r="S906" i="8" a="1"/>
  <c r="R906" i="8"/>
  <c r="Q906" i="8"/>
  <c r="P906" i="8"/>
  <c r="O906" i="8"/>
  <c r="N906" i="8"/>
  <c r="M906" i="8"/>
  <c r="L906" i="8"/>
  <c r="S905" i="8" a="1"/>
  <c r="R905" i="8"/>
  <c r="Q905" i="8"/>
  <c r="P905" i="8"/>
  <c r="O905" i="8"/>
  <c r="N905" i="8"/>
  <c r="M905" i="8"/>
  <c r="L905" i="8"/>
  <c r="S904" i="8" a="1"/>
  <c r="R904" i="8"/>
  <c r="Q904" i="8"/>
  <c r="P904" i="8"/>
  <c r="O904" i="8"/>
  <c r="N904" i="8"/>
  <c r="M904" i="8"/>
  <c r="L904" i="8"/>
  <c r="S903" i="8" a="1"/>
  <c r="R903" i="8"/>
  <c r="Q903" i="8"/>
  <c r="P903" i="8"/>
  <c r="O903" i="8"/>
  <c r="N903" i="8"/>
  <c r="M903" i="8"/>
  <c r="L903" i="8"/>
  <c r="S902" i="8" a="1"/>
  <c r="R902" i="8"/>
  <c r="Q902" i="8"/>
  <c r="P902" i="8"/>
  <c r="O902" i="8"/>
  <c r="N902" i="8"/>
  <c r="M902" i="8"/>
  <c r="L902" i="8"/>
  <c r="S901" i="8" a="1"/>
  <c r="R901" i="8"/>
  <c r="Q901" i="8"/>
  <c r="P901" i="8"/>
  <c r="O901" i="8"/>
  <c r="N901" i="8"/>
  <c r="M901" i="8"/>
  <c r="L901" i="8"/>
  <c r="S900" i="8" a="1"/>
  <c r="R900" i="8"/>
  <c r="Q900" i="8"/>
  <c r="P900" i="8"/>
  <c r="O900" i="8"/>
  <c r="N900" i="8"/>
  <c r="M900" i="8"/>
  <c r="L900" i="8"/>
  <c r="S899" i="8" a="1"/>
  <c r="R899" i="8"/>
  <c r="Q899" i="8"/>
  <c r="P899" i="8"/>
  <c r="O899" i="8"/>
  <c r="N899" i="8"/>
  <c r="M899" i="8"/>
  <c r="L899" i="8"/>
  <c r="S898" i="8" a="1"/>
  <c r="R898" i="8"/>
  <c r="Q898" i="8"/>
  <c r="P898" i="8"/>
  <c r="O898" i="8"/>
  <c r="N898" i="8"/>
  <c r="M898" i="8"/>
  <c r="L898" i="8"/>
  <c r="S897" i="8" a="1"/>
  <c r="R897" i="8"/>
  <c r="Q897" i="8"/>
  <c r="P897" i="8"/>
  <c r="O897" i="8"/>
  <c r="N897" i="8"/>
  <c r="M897" i="8"/>
  <c r="L897" i="8"/>
  <c r="S896" i="8" a="1"/>
  <c r="R896" i="8"/>
  <c r="Q896" i="8"/>
  <c r="P896" i="8"/>
  <c r="O896" i="8"/>
  <c r="N896" i="8"/>
  <c r="M896" i="8"/>
  <c r="L896" i="8"/>
  <c r="S895" i="8" a="1"/>
  <c r="R895" i="8"/>
  <c r="Q895" i="8"/>
  <c r="P895" i="8"/>
  <c r="O895" i="8"/>
  <c r="N895" i="8"/>
  <c r="M895" i="8"/>
  <c r="L895" i="8"/>
  <c r="S894" i="8" a="1"/>
  <c r="R894" i="8"/>
  <c r="Q894" i="8"/>
  <c r="P894" i="8"/>
  <c r="O894" i="8"/>
  <c r="N894" i="8"/>
  <c r="M894" i="8"/>
  <c r="L894" i="8"/>
  <c r="S893" i="8" a="1"/>
  <c r="R893" i="8"/>
  <c r="Q893" i="8"/>
  <c r="P893" i="8"/>
  <c r="O893" i="8"/>
  <c r="N893" i="8"/>
  <c r="M893" i="8"/>
  <c r="L893" i="8"/>
  <c r="S892" i="8" a="1"/>
  <c r="R892" i="8"/>
  <c r="Q892" i="8"/>
  <c r="P892" i="8"/>
  <c r="O892" i="8"/>
  <c r="N892" i="8"/>
  <c r="M892" i="8"/>
  <c r="L892" i="8"/>
  <c r="S891" i="8" a="1"/>
  <c r="R891" i="8"/>
  <c r="Q891" i="8"/>
  <c r="P891" i="8"/>
  <c r="O891" i="8"/>
  <c r="N891" i="8"/>
  <c r="M891" i="8"/>
  <c r="L891" i="8"/>
  <c r="S890" i="8" a="1"/>
  <c r="R890" i="8"/>
  <c r="Q890" i="8"/>
  <c r="P890" i="8"/>
  <c r="O890" i="8"/>
  <c r="N890" i="8"/>
  <c r="M890" i="8"/>
  <c r="L890" i="8"/>
  <c r="S889" i="8" a="1"/>
  <c r="R889" i="8"/>
  <c r="Q889" i="8"/>
  <c r="P889" i="8"/>
  <c r="O889" i="8"/>
  <c r="N889" i="8"/>
  <c r="M889" i="8"/>
  <c r="L889" i="8"/>
  <c r="S888" i="8" a="1"/>
  <c r="R888" i="8"/>
  <c r="Q888" i="8"/>
  <c r="P888" i="8"/>
  <c r="O888" i="8"/>
  <c r="N888" i="8"/>
  <c r="M888" i="8"/>
  <c r="L888" i="8"/>
  <c r="S887" i="8" a="1"/>
  <c r="R887" i="8"/>
  <c r="Q887" i="8"/>
  <c r="P887" i="8"/>
  <c r="O887" i="8"/>
  <c r="N887" i="8"/>
  <c r="M887" i="8"/>
  <c r="L887" i="8"/>
  <c r="S886" i="8" a="1"/>
  <c r="R886" i="8"/>
  <c r="Q886" i="8"/>
  <c r="P886" i="8"/>
  <c r="O886" i="8"/>
  <c r="N886" i="8"/>
  <c r="M886" i="8"/>
  <c r="L886" i="8"/>
  <c r="S885" i="8" a="1"/>
  <c r="R885" i="8"/>
  <c r="Q885" i="8"/>
  <c r="P885" i="8"/>
  <c r="O885" i="8"/>
  <c r="N885" i="8"/>
  <c r="M885" i="8"/>
  <c r="L885" i="8"/>
  <c r="S884" i="8" a="1"/>
  <c r="R884" i="8"/>
  <c r="Q884" i="8"/>
  <c r="P884" i="8"/>
  <c r="O884" i="8"/>
  <c r="N884" i="8"/>
  <c r="M884" i="8"/>
  <c r="L884" i="8"/>
  <c r="S883" i="8" a="1"/>
  <c r="R883" i="8"/>
  <c r="Q883" i="8"/>
  <c r="P883" i="8"/>
  <c r="O883" i="8"/>
  <c r="N883" i="8"/>
  <c r="M883" i="8"/>
  <c r="L883" i="8"/>
  <c r="S882" i="8" a="1"/>
  <c r="R882" i="8"/>
  <c r="Q882" i="8"/>
  <c r="P882" i="8"/>
  <c r="O882" i="8"/>
  <c r="N882" i="8"/>
  <c r="M882" i="8"/>
  <c r="L882" i="8"/>
  <c r="S881" i="8" a="1"/>
  <c r="R881" i="8"/>
  <c r="Q881" i="8"/>
  <c r="P881" i="8"/>
  <c r="O881" i="8"/>
  <c r="N881" i="8"/>
  <c r="M881" i="8"/>
  <c r="L881" i="8"/>
  <c r="S880" i="8" a="1"/>
  <c r="R880" i="8"/>
  <c r="Q880" i="8"/>
  <c r="P880" i="8"/>
  <c r="O880" i="8"/>
  <c r="N880" i="8"/>
  <c r="M880" i="8"/>
  <c r="L880" i="8"/>
  <c r="S879" i="8" a="1"/>
  <c r="R879" i="8"/>
  <c r="Q879" i="8"/>
  <c r="P879" i="8"/>
  <c r="O879" i="8"/>
  <c r="N879" i="8"/>
  <c r="M879" i="8"/>
  <c r="L879" i="8"/>
  <c r="S878" i="8" a="1"/>
  <c r="R878" i="8"/>
  <c r="Q878" i="8"/>
  <c r="P878" i="8"/>
  <c r="O878" i="8"/>
  <c r="N878" i="8"/>
  <c r="M878" i="8"/>
  <c r="L878" i="8"/>
  <c r="S877" i="8" a="1"/>
  <c r="R877" i="8"/>
  <c r="Q877" i="8"/>
  <c r="P877" i="8"/>
  <c r="O877" i="8"/>
  <c r="N877" i="8"/>
  <c r="M877" i="8"/>
  <c r="L877" i="8"/>
  <c r="S876" i="8" a="1"/>
  <c r="R876" i="8"/>
  <c r="Q876" i="8"/>
  <c r="P876" i="8"/>
  <c r="O876" i="8"/>
  <c r="N876" i="8"/>
  <c r="M876" i="8"/>
  <c r="L876" i="8"/>
  <c r="S875" i="8" a="1"/>
  <c r="R875" i="8"/>
  <c r="Q875" i="8"/>
  <c r="P875" i="8"/>
  <c r="O875" i="8"/>
  <c r="N875" i="8"/>
  <c r="M875" i="8"/>
  <c r="L875" i="8"/>
  <c r="S874" i="8" a="1"/>
  <c r="R874" i="8"/>
  <c r="Q874" i="8"/>
  <c r="P874" i="8"/>
  <c r="O874" i="8"/>
  <c r="N874" i="8"/>
  <c r="M874" i="8"/>
  <c r="L874" i="8"/>
  <c r="S873" i="8" a="1"/>
  <c r="R873" i="8"/>
  <c r="Q873" i="8"/>
  <c r="P873" i="8"/>
  <c r="O873" i="8"/>
  <c r="N873" i="8"/>
  <c r="M873" i="8"/>
  <c r="L873" i="8"/>
  <c r="S872" i="8" a="1"/>
  <c r="R872" i="8"/>
  <c r="Q872" i="8"/>
  <c r="P872" i="8"/>
  <c r="O872" i="8"/>
  <c r="N872" i="8"/>
  <c r="M872" i="8"/>
  <c r="L872" i="8"/>
  <c r="S871" i="8" a="1"/>
  <c r="R871" i="8"/>
  <c r="Q871" i="8"/>
  <c r="P871" i="8"/>
  <c r="O871" i="8"/>
  <c r="N871" i="8"/>
  <c r="M871" i="8"/>
  <c r="L871" i="8"/>
  <c r="S870" i="8" a="1"/>
  <c r="R870" i="8"/>
  <c r="Q870" i="8"/>
  <c r="P870" i="8"/>
  <c r="O870" i="8"/>
  <c r="N870" i="8"/>
  <c r="M870" i="8"/>
  <c r="L870" i="8"/>
  <c r="S869" i="8" a="1"/>
  <c r="R869" i="8"/>
  <c r="Q869" i="8"/>
  <c r="P869" i="8"/>
  <c r="O869" i="8"/>
  <c r="N869" i="8"/>
  <c r="M869" i="8"/>
  <c r="L869" i="8"/>
  <c r="S868" i="8" a="1"/>
  <c r="R868" i="8"/>
  <c r="Q868" i="8"/>
  <c r="P868" i="8"/>
  <c r="O868" i="8"/>
  <c r="N868" i="8"/>
  <c r="M868" i="8"/>
  <c r="L868" i="8"/>
  <c r="S867" i="8" a="1"/>
  <c r="R867" i="8"/>
  <c r="Q867" i="8"/>
  <c r="P867" i="8"/>
  <c r="O867" i="8"/>
  <c r="N867" i="8"/>
  <c r="M867" i="8"/>
  <c r="L867" i="8"/>
  <c r="S866" i="8" a="1"/>
  <c r="R866" i="8"/>
  <c r="Q866" i="8"/>
  <c r="P866" i="8"/>
  <c r="O866" i="8"/>
  <c r="N866" i="8"/>
  <c r="M866" i="8"/>
  <c r="L866" i="8"/>
  <c r="S865" i="8" a="1"/>
  <c r="R865" i="8"/>
  <c r="Q865" i="8"/>
  <c r="P865" i="8"/>
  <c r="O865" i="8"/>
  <c r="N865" i="8"/>
  <c r="M865" i="8"/>
  <c r="L865" i="8"/>
  <c r="S864" i="8" a="1"/>
  <c r="R864" i="8"/>
  <c r="Q864" i="8"/>
  <c r="P864" i="8"/>
  <c r="O864" i="8"/>
  <c r="N864" i="8"/>
  <c r="M864" i="8"/>
  <c r="L864" i="8"/>
  <c r="S863" i="8" a="1"/>
  <c r="R863" i="8"/>
  <c r="Q863" i="8"/>
  <c r="P863" i="8"/>
  <c r="O863" i="8"/>
  <c r="N863" i="8"/>
  <c r="M863" i="8"/>
  <c r="L863" i="8"/>
  <c r="S862" i="8" a="1"/>
  <c r="R862" i="8"/>
  <c r="Q862" i="8"/>
  <c r="P862" i="8"/>
  <c r="O862" i="8"/>
  <c r="N862" i="8"/>
  <c r="M862" i="8"/>
  <c r="L862" i="8"/>
  <c r="S861" i="8" a="1"/>
  <c r="R861" i="8"/>
  <c r="Q861" i="8"/>
  <c r="P861" i="8"/>
  <c r="O861" i="8"/>
  <c r="N861" i="8"/>
  <c r="M861" i="8"/>
  <c r="L861" i="8"/>
  <c r="S860" i="8" a="1"/>
  <c r="R860" i="8"/>
  <c r="Q860" i="8"/>
  <c r="P860" i="8"/>
  <c r="O860" i="8"/>
  <c r="N860" i="8"/>
  <c r="M860" i="8"/>
  <c r="L860" i="8"/>
  <c r="S859" i="8" a="1"/>
  <c r="R859" i="8"/>
  <c r="Q859" i="8"/>
  <c r="P859" i="8"/>
  <c r="O859" i="8"/>
  <c r="N859" i="8"/>
  <c r="M859" i="8"/>
  <c r="L859" i="8"/>
  <c r="S858" i="8" a="1"/>
  <c r="R858" i="8"/>
  <c r="Q858" i="8"/>
  <c r="P858" i="8"/>
  <c r="O858" i="8"/>
  <c r="N858" i="8"/>
  <c r="M858" i="8"/>
  <c r="L858" i="8"/>
  <c r="S857" i="8" a="1"/>
  <c r="R857" i="8"/>
  <c r="Q857" i="8"/>
  <c r="P857" i="8"/>
  <c r="O857" i="8"/>
  <c r="N857" i="8"/>
  <c r="M857" i="8"/>
  <c r="L857" i="8"/>
  <c r="S856" i="8" a="1"/>
  <c r="R856" i="8"/>
  <c r="Q856" i="8"/>
  <c r="P856" i="8"/>
  <c r="O856" i="8"/>
  <c r="N856" i="8"/>
  <c r="M856" i="8"/>
  <c r="L856" i="8"/>
  <c r="S855" i="8" a="1"/>
  <c r="R855" i="8"/>
  <c r="Q855" i="8"/>
  <c r="P855" i="8"/>
  <c r="O855" i="8"/>
  <c r="N855" i="8"/>
  <c r="M855" i="8"/>
  <c r="L855" i="8"/>
  <c r="S854" i="8" a="1"/>
  <c r="R854" i="8"/>
  <c r="Q854" i="8"/>
  <c r="P854" i="8"/>
  <c r="O854" i="8"/>
  <c r="N854" i="8"/>
  <c r="M854" i="8"/>
  <c r="L854" i="8"/>
  <c r="S853" i="8" a="1"/>
  <c r="R853" i="8"/>
  <c r="Q853" i="8"/>
  <c r="P853" i="8"/>
  <c r="O853" i="8"/>
  <c r="N853" i="8"/>
  <c r="M853" i="8"/>
  <c r="L853" i="8"/>
  <c r="S852" i="8" a="1"/>
  <c r="R852" i="8"/>
  <c r="Q852" i="8"/>
  <c r="P852" i="8"/>
  <c r="O852" i="8"/>
  <c r="N852" i="8"/>
  <c r="M852" i="8"/>
  <c r="L852" i="8"/>
  <c r="S851" i="8" a="1"/>
  <c r="R851" i="8"/>
  <c r="Q851" i="8"/>
  <c r="P851" i="8"/>
  <c r="O851" i="8"/>
  <c r="N851" i="8"/>
  <c r="M851" i="8"/>
  <c r="L851" i="8"/>
  <c r="S850" i="8" a="1"/>
  <c r="R850" i="8"/>
  <c r="Q850" i="8"/>
  <c r="P850" i="8"/>
  <c r="O850" i="8"/>
  <c r="N850" i="8"/>
  <c r="M850" i="8"/>
  <c r="L850" i="8"/>
  <c r="S849" i="8" a="1"/>
  <c r="R849" i="8"/>
  <c r="Q849" i="8"/>
  <c r="P849" i="8"/>
  <c r="O849" i="8"/>
  <c r="N849" i="8"/>
  <c r="M849" i="8"/>
  <c r="L849" i="8"/>
  <c r="S848" i="8" a="1"/>
  <c r="R848" i="8"/>
  <c r="Q848" i="8"/>
  <c r="P848" i="8"/>
  <c r="O848" i="8"/>
  <c r="N848" i="8"/>
  <c r="M848" i="8"/>
  <c r="L848" i="8"/>
  <c r="S847" i="8" a="1"/>
  <c r="R847" i="8"/>
  <c r="Q847" i="8"/>
  <c r="P847" i="8"/>
  <c r="O847" i="8"/>
  <c r="N847" i="8"/>
  <c r="M847" i="8"/>
  <c r="L847" i="8"/>
  <c r="S846" i="8" a="1"/>
  <c r="R846" i="8"/>
  <c r="Q846" i="8"/>
  <c r="P846" i="8"/>
  <c r="O846" i="8"/>
  <c r="N846" i="8"/>
  <c r="M846" i="8"/>
  <c r="L846" i="8"/>
  <c r="S845" i="8" a="1"/>
  <c r="R845" i="8"/>
  <c r="Q845" i="8"/>
  <c r="P845" i="8"/>
  <c r="O845" i="8"/>
  <c r="N845" i="8"/>
  <c r="M845" i="8"/>
  <c r="L845" i="8"/>
  <c r="S844" i="8" a="1"/>
  <c r="R844" i="8"/>
  <c r="Q844" i="8"/>
  <c r="P844" i="8"/>
  <c r="O844" i="8"/>
  <c r="N844" i="8"/>
  <c r="M844" i="8"/>
  <c r="L844" i="8"/>
  <c r="S843" i="8" a="1"/>
  <c r="R843" i="8"/>
  <c r="Q843" i="8"/>
  <c r="P843" i="8"/>
  <c r="O843" i="8"/>
  <c r="N843" i="8"/>
  <c r="M843" i="8"/>
  <c r="L843" i="8"/>
  <c r="S842" i="8" a="1"/>
  <c r="R842" i="8"/>
  <c r="Q842" i="8"/>
  <c r="P842" i="8"/>
  <c r="O842" i="8"/>
  <c r="N842" i="8"/>
  <c r="M842" i="8"/>
  <c r="L842" i="8"/>
  <c r="S841" i="8" a="1"/>
  <c r="R841" i="8"/>
  <c r="Q841" i="8"/>
  <c r="P841" i="8"/>
  <c r="O841" i="8"/>
  <c r="N841" i="8"/>
  <c r="M841" i="8"/>
  <c r="L841" i="8"/>
  <c r="S840" i="8" a="1"/>
  <c r="R840" i="8"/>
  <c r="Q840" i="8"/>
  <c r="P840" i="8"/>
  <c r="O840" i="8"/>
  <c r="N840" i="8"/>
  <c r="M840" i="8"/>
  <c r="L840" i="8"/>
  <c r="S839" i="8" a="1"/>
  <c r="R839" i="8"/>
  <c r="Q839" i="8"/>
  <c r="P839" i="8"/>
  <c r="O839" i="8"/>
  <c r="N839" i="8"/>
  <c r="M839" i="8"/>
  <c r="L839" i="8"/>
  <c r="S838" i="8" a="1"/>
  <c r="R838" i="8"/>
  <c r="Q838" i="8"/>
  <c r="P838" i="8"/>
  <c r="O838" i="8"/>
  <c r="N838" i="8"/>
  <c r="M838" i="8"/>
  <c r="L838" i="8"/>
  <c r="S837" i="8" a="1"/>
  <c r="R837" i="8"/>
  <c r="Q837" i="8"/>
  <c r="P837" i="8"/>
  <c r="O837" i="8"/>
  <c r="N837" i="8"/>
  <c r="M837" i="8"/>
  <c r="L837" i="8"/>
  <c r="S836" i="8" a="1"/>
  <c r="R836" i="8"/>
  <c r="Q836" i="8"/>
  <c r="P836" i="8"/>
  <c r="O836" i="8"/>
  <c r="N836" i="8"/>
  <c r="M836" i="8"/>
  <c r="L836" i="8"/>
  <c r="S835" i="8" a="1"/>
  <c r="R835" i="8"/>
  <c r="Q835" i="8"/>
  <c r="P835" i="8"/>
  <c r="O835" i="8"/>
  <c r="N835" i="8"/>
  <c r="M835" i="8"/>
  <c r="L835" i="8"/>
  <c r="S834" i="8" a="1"/>
  <c r="R834" i="8"/>
  <c r="Q834" i="8"/>
  <c r="P834" i="8"/>
  <c r="O834" i="8"/>
  <c r="N834" i="8"/>
  <c r="M834" i="8"/>
  <c r="L834" i="8"/>
  <c r="S833" i="8" a="1"/>
  <c r="R833" i="8"/>
  <c r="Q833" i="8"/>
  <c r="P833" i="8"/>
  <c r="O833" i="8"/>
  <c r="N833" i="8"/>
  <c r="M833" i="8"/>
  <c r="L833" i="8"/>
  <c r="S832" i="8" a="1"/>
  <c r="R832" i="8"/>
  <c r="Q832" i="8"/>
  <c r="P832" i="8"/>
  <c r="O832" i="8"/>
  <c r="N832" i="8"/>
  <c r="M832" i="8"/>
  <c r="L832" i="8"/>
  <c r="S831" i="8" a="1"/>
  <c r="R831" i="8"/>
  <c r="Q831" i="8"/>
  <c r="P831" i="8"/>
  <c r="O831" i="8"/>
  <c r="N831" i="8"/>
  <c r="M831" i="8"/>
  <c r="L831" i="8"/>
  <c r="S830" i="8" a="1"/>
  <c r="R830" i="8"/>
  <c r="Q830" i="8"/>
  <c r="P830" i="8"/>
  <c r="O830" i="8"/>
  <c r="N830" i="8"/>
  <c r="M830" i="8"/>
  <c r="L830" i="8"/>
  <c r="S829" i="8" a="1"/>
  <c r="R829" i="8"/>
  <c r="Q829" i="8"/>
  <c r="P829" i="8"/>
  <c r="O829" i="8"/>
  <c r="N829" i="8"/>
  <c r="M829" i="8"/>
  <c r="L829" i="8"/>
  <c r="S828" i="8" a="1"/>
  <c r="R828" i="8"/>
  <c r="Q828" i="8"/>
  <c r="P828" i="8"/>
  <c r="O828" i="8"/>
  <c r="N828" i="8"/>
  <c r="M828" i="8"/>
  <c r="L828" i="8"/>
  <c r="S827" i="8" a="1"/>
  <c r="R827" i="8"/>
  <c r="Q827" i="8"/>
  <c r="P827" i="8"/>
  <c r="O827" i="8"/>
  <c r="N827" i="8"/>
  <c r="M827" i="8"/>
  <c r="L827" i="8"/>
  <c r="S826" i="8" a="1"/>
  <c r="R826" i="8"/>
  <c r="Q826" i="8"/>
  <c r="P826" i="8"/>
  <c r="O826" i="8"/>
  <c r="N826" i="8"/>
  <c r="M826" i="8"/>
  <c r="L826" i="8"/>
  <c r="S825" i="8" a="1"/>
  <c r="R825" i="8"/>
  <c r="Q825" i="8"/>
  <c r="P825" i="8"/>
  <c r="O825" i="8"/>
  <c r="N825" i="8"/>
  <c r="M825" i="8"/>
  <c r="L825" i="8"/>
  <c r="S824" i="8" a="1"/>
  <c r="R824" i="8"/>
  <c r="Q824" i="8"/>
  <c r="P824" i="8"/>
  <c r="O824" i="8"/>
  <c r="N824" i="8"/>
  <c r="M824" i="8"/>
  <c r="L824" i="8"/>
  <c r="S823" i="8" a="1"/>
  <c r="R823" i="8"/>
  <c r="Q823" i="8"/>
  <c r="P823" i="8"/>
  <c r="O823" i="8"/>
  <c r="N823" i="8"/>
  <c r="M823" i="8"/>
  <c r="L823" i="8"/>
  <c r="S822" i="8" a="1"/>
  <c r="R822" i="8"/>
  <c r="Q822" i="8"/>
  <c r="P822" i="8"/>
  <c r="O822" i="8"/>
  <c r="N822" i="8"/>
  <c r="M822" i="8"/>
  <c r="L822" i="8"/>
  <c r="S821" i="8" a="1"/>
  <c r="R821" i="8"/>
  <c r="Q821" i="8"/>
  <c r="P821" i="8"/>
  <c r="O821" i="8"/>
  <c r="N821" i="8"/>
  <c r="M821" i="8"/>
  <c r="L821" i="8"/>
  <c r="S820" i="8" a="1"/>
  <c r="R820" i="8"/>
  <c r="Q820" i="8"/>
  <c r="P820" i="8"/>
  <c r="O820" i="8"/>
  <c r="N820" i="8"/>
  <c r="M820" i="8"/>
  <c r="L820" i="8"/>
  <c r="S819" i="8" a="1"/>
  <c r="R819" i="8"/>
  <c r="Q819" i="8"/>
  <c r="P819" i="8"/>
  <c r="O819" i="8"/>
  <c r="N819" i="8"/>
  <c r="M819" i="8"/>
  <c r="L819" i="8"/>
  <c r="S818" i="8" a="1"/>
  <c r="R818" i="8"/>
  <c r="Q818" i="8"/>
  <c r="P818" i="8"/>
  <c r="O818" i="8"/>
  <c r="N818" i="8"/>
  <c r="M818" i="8"/>
  <c r="L818" i="8"/>
  <c r="S817" i="8" a="1"/>
  <c r="R817" i="8"/>
  <c r="Q817" i="8"/>
  <c r="P817" i="8"/>
  <c r="O817" i="8"/>
  <c r="N817" i="8"/>
  <c r="M817" i="8"/>
  <c r="L817" i="8"/>
  <c r="S816" i="8" a="1"/>
  <c r="R816" i="8"/>
  <c r="Q816" i="8"/>
  <c r="P816" i="8"/>
  <c r="O816" i="8"/>
  <c r="N816" i="8"/>
  <c r="M816" i="8"/>
  <c r="L816" i="8"/>
  <c r="S815" i="8" a="1"/>
  <c r="R815" i="8"/>
  <c r="Q815" i="8"/>
  <c r="P815" i="8"/>
  <c r="O815" i="8"/>
  <c r="N815" i="8"/>
  <c r="M815" i="8"/>
  <c r="L815" i="8"/>
  <c r="S814" i="8" a="1"/>
  <c r="R814" i="8"/>
  <c r="Q814" i="8"/>
  <c r="P814" i="8"/>
  <c r="O814" i="8"/>
  <c r="N814" i="8"/>
  <c r="M814" i="8"/>
  <c r="L814" i="8"/>
  <c r="S813" i="8" a="1"/>
  <c r="R813" i="8"/>
  <c r="Q813" i="8"/>
  <c r="P813" i="8"/>
  <c r="O813" i="8"/>
  <c r="N813" i="8"/>
  <c r="M813" i="8"/>
  <c r="L813" i="8"/>
  <c r="S812" i="8" a="1"/>
  <c r="R812" i="8"/>
  <c r="Q812" i="8"/>
  <c r="P812" i="8"/>
  <c r="O812" i="8"/>
  <c r="N812" i="8"/>
  <c r="M812" i="8"/>
  <c r="L812" i="8"/>
  <c r="S811" i="8" a="1"/>
  <c r="R811" i="8"/>
  <c r="Q811" i="8"/>
  <c r="P811" i="8"/>
  <c r="O811" i="8"/>
  <c r="N811" i="8"/>
  <c r="M811" i="8"/>
  <c r="L811" i="8"/>
  <c r="S810" i="8" a="1"/>
  <c r="R810" i="8"/>
  <c r="Q810" i="8"/>
  <c r="P810" i="8"/>
  <c r="O810" i="8"/>
  <c r="N810" i="8"/>
  <c r="M810" i="8"/>
  <c r="L810" i="8"/>
  <c r="S809" i="8" a="1"/>
  <c r="R809" i="8"/>
  <c r="Q809" i="8"/>
  <c r="P809" i="8"/>
  <c r="O809" i="8"/>
  <c r="N809" i="8"/>
  <c r="M809" i="8"/>
  <c r="L809" i="8"/>
  <c r="S808" i="8" a="1"/>
  <c r="R808" i="8"/>
  <c r="Q808" i="8"/>
  <c r="P808" i="8"/>
  <c r="O808" i="8"/>
  <c r="N808" i="8"/>
  <c r="M808" i="8"/>
  <c r="L808" i="8"/>
  <c r="S807" i="8" a="1"/>
  <c r="R807" i="8"/>
  <c r="Q807" i="8"/>
  <c r="P807" i="8"/>
  <c r="O807" i="8"/>
  <c r="N807" i="8"/>
  <c r="M807" i="8"/>
  <c r="L807" i="8"/>
  <c r="S806" i="8" a="1"/>
  <c r="R806" i="8"/>
  <c r="Q806" i="8"/>
  <c r="P806" i="8"/>
  <c r="O806" i="8"/>
  <c r="N806" i="8"/>
  <c r="M806" i="8"/>
  <c r="L806" i="8"/>
  <c r="S805" i="8" a="1"/>
  <c r="R805" i="8"/>
  <c r="Q805" i="8"/>
  <c r="P805" i="8"/>
  <c r="O805" i="8"/>
  <c r="N805" i="8"/>
  <c r="M805" i="8"/>
  <c r="L805" i="8"/>
  <c r="S804" i="8" a="1"/>
  <c r="R804" i="8"/>
  <c r="Q804" i="8"/>
  <c r="P804" i="8"/>
  <c r="O804" i="8"/>
  <c r="N804" i="8"/>
  <c r="M804" i="8"/>
  <c r="L804" i="8"/>
  <c r="S803" i="8" a="1"/>
  <c r="R803" i="8"/>
  <c r="Q803" i="8"/>
  <c r="P803" i="8"/>
  <c r="O803" i="8"/>
  <c r="N803" i="8"/>
  <c r="M803" i="8"/>
  <c r="L803" i="8"/>
  <c r="S802" i="8" a="1"/>
  <c r="R802" i="8"/>
  <c r="Q802" i="8"/>
  <c r="P802" i="8"/>
  <c r="O802" i="8"/>
  <c r="N802" i="8"/>
  <c r="M802" i="8"/>
  <c r="L802" i="8"/>
  <c r="S801" i="8" a="1"/>
  <c r="R801" i="8"/>
  <c r="Q801" i="8"/>
  <c r="P801" i="8"/>
  <c r="O801" i="8"/>
  <c r="N801" i="8"/>
  <c r="M801" i="8"/>
  <c r="L801" i="8"/>
  <c r="S800" i="8" a="1"/>
  <c r="R800" i="8"/>
  <c r="Q800" i="8"/>
  <c r="P800" i="8"/>
  <c r="O800" i="8"/>
  <c r="N800" i="8"/>
  <c r="M800" i="8"/>
  <c r="L800" i="8"/>
  <c r="S799" i="8" a="1"/>
  <c r="R799" i="8"/>
  <c r="Q799" i="8"/>
  <c r="P799" i="8"/>
  <c r="O799" i="8"/>
  <c r="N799" i="8"/>
  <c r="M799" i="8"/>
  <c r="L799" i="8"/>
  <c r="S798" i="8" a="1"/>
  <c r="R798" i="8"/>
  <c r="Q798" i="8"/>
  <c r="P798" i="8"/>
  <c r="O798" i="8"/>
  <c r="N798" i="8"/>
  <c r="M798" i="8"/>
  <c r="L798" i="8"/>
  <c r="S797" i="8" a="1"/>
  <c r="R797" i="8"/>
  <c r="Q797" i="8"/>
  <c r="P797" i="8"/>
  <c r="O797" i="8"/>
  <c r="N797" i="8"/>
  <c r="M797" i="8"/>
  <c r="L797" i="8"/>
  <c r="S796" i="8" a="1"/>
  <c r="R796" i="8"/>
  <c r="Q796" i="8"/>
  <c r="P796" i="8"/>
  <c r="O796" i="8"/>
  <c r="N796" i="8"/>
  <c r="M796" i="8"/>
  <c r="L796" i="8"/>
  <c r="S795" i="8" a="1"/>
  <c r="R795" i="8"/>
  <c r="Q795" i="8"/>
  <c r="P795" i="8"/>
  <c r="O795" i="8"/>
  <c r="N795" i="8"/>
  <c r="M795" i="8"/>
  <c r="L795" i="8"/>
  <c r="S794" i="8" a="1"/>
  <c r="R794" i="8"/>
  <c r="Q794" i="8"/>
  <c r="P794" i="8"/>
  <c r="O794" i="8"/>
  <c r="N794" i="8"/>
  <c r="M794" i="8"/>
  <c r="L794" i="8"/>
  <c r="S793" i="8" a="1"/>
  <c r="R793" i="8"/>
  <c r="Q793" i="8"/>
  <c r="P793" i="8"/>
  <c r="O793" i="8"/>
  <c r="N793" i="8"/>
  <c r="M793" i="8"/>
  <c r="L793" i="8"/>
  <c r="S792" i="8" a="1"/>
  <c r="R792" i="8"/>
  <c r="Q792" i="8"/>
  <c r="P792" i="8"/>
  <c r="O792" i="8"/>
  <c r="N792" i="8"/>
  <c r="M792" i="8"/>
  <c r="L792" i="8"/>
  <c r="S791" i="8" a="1"/>
  <c r="R791" i="8"/>
  <c r="Q791" i="8"/>
  <c r="P791" i="8"/>
  <c r="O791" i="8"/>
  <c r="N791" i="8"/>
  <c r="M791" i="8"/>
  <c r="L791" i="8"/>
  <c r="S790" i="8" a="1"/>
  <c r="R790" i="8"/>
  <c r="Q790" i="8"/>
  <c r="P790" i="8"/>
  <c r="O790" i="8"/>
  <c r="N790" i="8"/>
  <c r="M790" i="8"/>
  <c r="L790" i="8"/>
  <c r="S789" i="8" a="1"/>
  <c r="R789" i="8"/>
  <c r="Q789" i="8"/>
  <c r="P789" i="8"/>
  <c r="O789" i="8"/>
  <c r="N789" i="8"/>
  <c r="M789" i="8"/>
  <c r="L789" i="8"/>
  <c r="S788" i="8" a="1"/>
  <c r="R788" i="8"/>
  <c r="Q788" i="8"/>
  <c r="P788" i="8"/>
  <c r="O788" i="8"/>
  <c r="N788" i="8"/>
  <c r="M788" i="8"/>
  <c r="L788" i="8"/>
  <c r="S787" i="8" a="1"/>
  <c r="R787" i="8"/>
  <c r="Q787" i="8"/>
  <c r="P787" i="8"/>
  <c r="O787" i="8"/>
  <c r="N787" i="8"/>
  <c r="M787" i="8"/>
  <c r="L787" i="8"/>
  <c r="S786" i="8" a="1"/>
  <c r="R786" i="8"/>
  <c r="Q786" i="8"/>
  <c r="P786" i="8"/>
  <c r="O786" i="8"/>
  <c r="N786" i="8"/>
  <c r="M786" i="8"/>
  <c r="L786" i="8"/>
  <c r="S785" i="8" a="1"/>
  <c r="R785" i="8"/>
  <c r="Q785" i="8"/>
  <c r="P785" i="8"/>
  <c r="O785" i="8"/>
  <c r="N785" i="8"/>
  <c r="M785" i="8"/>
  <c r="L785" i="8"/>
  <c r="S784" i="8" a="1"/>
  <c r="R784" i="8"/>
  <c r="Q784" i="8"/>
  <c r="P784" i="8"/>
  <c r="O784" i="8"/>
  <c r="N784" i="8"/>
  <c r="M784" i="8"/>
  <c r="L784" i="8"/>
  <c r="S783" i="8" a="1"/>
  <c r="R783" i="8"/>
  <c r="Q783" i="8"/>
  <c r="P783" i="8"/>
  <c r="O783" i="8"/>
  <c r="N783" i="8"/>
  <c r="M783" i="8"/>
  <c r="L783" i="8"/>
  <c r="S782" i="8" a="1"/>
  <c r="R782" i="8"/>
  <c r="Q782" i="8"/>
  <c r="P782" i="8"/>
  <c r="O782" i="8"/>
  <c r="N782" i="8"/>
  <c r="M782" i="8"/>
  <c r="L782" i="8"/>
  <c r="S781" i="8" a="1"/>
  <c r="R781" i="8"/>
  <c r="Q781" i="8"/>
  <c r="P781" i="8"/>
  <c r="O781" i="8"/>
  <c r="N781" i="8"/>
  <c r="M781" i="8"/>
  <c r="L781" i="8"/>
  <c r="S780" i="8" a="1"/>
  <c r="R780" i="8"/>
  <c r="Q780" i="8"/>
  <c r="P780" i="8"/>
  <c r="O780" i="8"/>
  <c r="N780" i="8"/>
  <c r="M780" i="8"/>
  <c r="L780" i="8"/>
  <c r="S779" i="8" a="1"/>
  <c r="R779" i="8"/>
  <c r="Q779" i="8"/>
  <c r="P779" i="8"/>
  <c r="O779" i="8"/>
  <c r="N779" i="8"/>
  <c r="M779" i="8"/>
  <c r="L779" i="8"/>
  <c r="S778" i="8" a="1"/>
  <c r="R778" i="8"/>
  <c r="Q778" i="8"/>
  <c r="P778" i="8"/>
  <c r="O778" i="8"/>
  <c r="N778" i="8"/>
  <c r="M778" i="8"/>
  <c r="L778" i="8"/>
  <c r="S777" i="8" a="1"/>
  <c r="R777" i="8"/>
  <c r="Q777" i="8"/>
  <c r="P777" i="8"/>
  <c r="O777" i="8"/>
  <c r="N777" i="8"/>
  <c r="M777" i="8"/>
  <c r="L777" i="8"/>
  <c r="S776" i="8" a="1"/>
  <c r="R776" i="8"/>
  <c r="Q776" i="8"/>
  <c r="P776" i="8"/>
  <c r="O776" i="8"/>
  <c r="N776" i="8"/>
  <c r="M776" i="8"/>
  <c r="L776" i="8"/>
  <c r="S775" i="8" a="1"/>
  <c r="R775" i="8"/>
  <c r="Q775" i="8"/>
  <c r="P775" i="8"/>
  <c r="O775" i="8"/>
  <c r="N775" i="8"/>
  <c r="M775" i="8"/>
  <c r="L775" i="8"/>
  <c r="S774" i="8" a="1"/>
  <c r="R774" i="8"/>
  <c r="Q774" i="8"/>
  <c r="P774" i="8"/>
  <c r="O774" i="8"/>
  <c r="N774" i="8"/>
  <c r="M774" i="8"/>
  <c r="L774" i="8"/>
  <c r="S773" i="8" a="1"/>
  <c r="R773" i="8"/>
  <c r="Q773" i="8"/>
  <c r="P773" i="8"/>
  <c r="O773" i="8"/>
  <c r="N773" i="8"/>
  <c r="M773" i="8"/>
  <c r="L773" i="8"/>
  <c r="S772" i="8" a="1"/>
  <c r="R772" i="8"/>
  <c r="Q772" i="8"/>
  <c r="P772" i="8"/>
  <c r="O772" i="8"/>
  <c r="N772" i="8"/>
  <c r="M772" i="8"/>
  <c r="L772" i="8"/>
  <c r="S771" i="8" a="1"/>
  <c r="R771" i="8"/>
  <c r="Q771" i="8"/>
  <c r="P771" i="8"/>
  <c r="O771" i="8"/>
  <c r="N771" i="8"/>
  <c r="M771" i="8"/>
  <c r="L771" i="8"/>
  <c r="S770" i="8" a="1"/>
  <c r="R770" i="8"/>
  <c r="Q770" i="8"/>
  <c r="P770" i="8"/>
  <c r="O770" i="8"/>
  <c r="N770" i="8"/>
  <c r="M770" i="8"/>
  <c r="L770" i="8"/>
  <c r="S769" i="8" a="1"/>
  <c r="R769" i="8"/>
  <c r="Q769" i="8"/>
  <c r="P769" i="8"/>
  <c r="O769" i="8"/>
  <c r="N769" i="8"/>
  <c r="M769" i="8"/>
  <c r="L769" i="8"/>
  <c r="S768" i="8" a="1"/>
  <c r="R768" i="8"/>
  <c r="Q768" i="8"/>
  <c r="P768" i="8"/>
  <c r="O768" i="8"/>
  <c r="N768" i="8"/>
  <c r="M768" i="8"/>
  <c r="L768" i="8"/>
  <c r="S767" i="8" a="1"/>
  <c r="R767" i="8"/>
  <c r="Q767" i="8"/>
  <c r="P767" i="8"/>
  <c r="O767" i="8"/>
  <c r="N767" i="8"/>
  <c r="M767" i="8"/>
  <c r="L767" i="8"/>
  <c r="S766" i="8" a="1"/>
  <c r="R766" i="8"/>
  <c r="Q766" i="8"/>
  <c r="P766" i="8"/>
  <c r="O766" i="8"/>
  <c r="N766" i="8"/>
  <c r="M766" i="8"/>
  <c r="L766" i="8"/>
  <c r="S765" i="8" a="1"/>
  <c r="R765" i="8"/>
  <c r="Q765" i="8"/>
  <c r="P765" i="8"/>
  <c r="O765" i="8"/>
  <c r="N765" i="8"/>
  <c r="M765" i="8"/>
  <c r="L765" i="8"/>
  <c r="S764" i="8" a="1"/>
  <c r="R764" i="8"/>
  <c r="Q764" i="8"/>
  <c r="P764" i="8"/>
  <c r="O764" i="8"/>
  <c r="N764" i="8"/>
  <c r="M764" i="8"/>
  <c r="L764" i="8"/>
  <c r="S763" i="8" a="1"/>
  <c r="R763" i="8"/>
  <c r="Q763" i="8"/>
  <c r="P763" i="8"/>
  <c r="O763" i="8"/>
  <c r="N763" i="8"/>
  <c r="M763" i="8"/>
  <c r="L763" i="8"/>
  <c r="S762" i="8" a="1"/>
  <c r="R762" i="8"/>
  <c r="Q762" i="8"/>
  <c r="P762" i="8"/>
  <c r="O762" i="8"/>
  <c r="N762" i="8"/>
  <c r="M762" i="8"/>
  <c r="L762" i="8"/>
  <c r="S761" i="8" a="1"/>
  <c r="R761" i="8"/>
  <c r="Q761" i="8"/>
  <c r="P761" i="8"/>
  <c r="O761" i="8"/>
  <c r="N761" i="8"/>
  <c r="M761" i="8"/>
  <c r="L761" i="8"/>
  <c r="S760" i="8" a="1"/>
  <c r="R760" i="8"/>
  <c r="Q760" i="8"/>
  <c r="P760" i="8"/>
  <c r="O760" i="8"/>
  <c r="N760" i="8"/>
  <c r="M760" i="8"/>
  <c r="L760" i="8"/>
  <c r="S759" i="8" a="1"/>
  <c r="R759" i="8"/>
  <c r="Q759" i="8"/>
  <c r="P759" i="8"/>
  <c r="O759" i="8"/>
  <c r="N759" i="8"/>
  <c r="M759" i="8"/>
  <c r="L759" i="8"/>
  <c r="S758" i="8" a="1"/>
  <c r="R758" i="8"/>
  <c r="Q758" i="8"/>
  <c r="P758" i="8"/>
  <c r="O758" i="8"/>
  <c r="N758" i="8"/>
  <c r="M758" i="8"/>
  <c r="L758" i="8"/>
  <c r="S757" i="8" a="1"/>
  <c r="R757" i="8"/>
  <c r="Q757" i="8"/>
  <c r="P757" i="8"/>
  <c r="O757" i="8"/>
  <c r="N757" i="8"/>
  <c r="M757" i="8"/>
  <c r="L757" i="8"/>
  <c r="S756" i="8" a="1"/>
  <c r="R756" i="8"/>
  <c r="Q756" i="8"/>
  <c r="P756" i="8"/>
  <c r="O756" i="8"/>
  <c r="N756" i="8"/>
  <c r="M756" i="8"/>
  <c r="L756" i="8"/>
  <c r="S755" i="8" a="1"/>
  <c r="R755" i="8"/>
  <c r="Q755" i="8"/>
  <c r="P755" i="8"/>
  <c r="O755" i="8"/>
  <c r="N755" i="8"/>
  <c r="M755" i="8"/>
  <c r="L755" i="8"/>
  <c r="S754" i="8" a="1"/>
  <c r="R754" i="8"/>
  <c r="Q754" i="8"/>
  <c r="P754" i="8"/>
  <c r="O754" i="8"/>
  <c r="N754" i="8"/>
  <c r="M754" i="8"/>
  <c r="L754" i="8"/>
  <c r="S753" i="8" a="1"/>
  <c r="R753" i="8"/>
  <c r="Q753" i="8"/>
  <c r="P753" i="8"/>
  <c r="O753" i="8"/>
  <c r="N753" i="8"/>
  <c r="M753" i="8"/>
  <c r="L753" i="8"/>
  <c r="S752" i="8" a="1"/>
  <c r="R752" i="8"/>
  <c r="Q752" i="8"/>
  <c r="P752" i="8"/>
  <c r="O752" i="8"/>
  <c r="N752" i="8"/>
  <c r="M752" i="8"/>
  <c r="L752" i="8"/>
  <c r="S751" i="8" a="1"/>
  <c r="R751" i="8"/>
  <c r="Q751" i="8"/>
  <c r="P751" i="8"/>
  <c r="O751" i="8"/>
  <c r="N751" i="8"/>
  <c r="M751" i="8"/>
  <c r="L751" i="8"/>
  <c r="S750" i="8" a="1"/>
  <c r="R750" i="8"/>
  <c r="Q750" i="8"/>
  <c r="P750" i="8"/>
  <c r="O750" i="8"/>
  <c r="N750" i="8"/>
  <c r="M750" i="8"/>
  <c r="L750" i="8"/>
  <c r="S749" i="8" a="1"/>
  <c r="R749" i="8"/>
  <c r="Q749" i="8"/>
  <c r="P749" i="8"/>
  <c r="O749" i="8"/>
  <c r="N749" i="8"/>
  <c r="M749" i="8"/>
  <c r="L749" i="8"/>
  <c r="S748" i="8" a="1"/>
  <c r="R748" i="8"/>
  <c r="Q748" i="8"/>
  <c r="P748" i="8"/>
  <c r="O748" i="8"/>
  <c r="N748" i="8"/>
  <c r="M748" i="8"/>
  <c r="L748" i="8"/>
  <c r="S747" i="8" a="1"/>
  <c r="R747" i="8"/>
  <c r="Q747" i="8"/>
  <c r="P747" i="8"/>
  <c r="O747" i="8"/>
  <c r="N747" i="8"/>
  <c r="M747" i="8"/>
  <c r="L747" i="8"/>
  <c r="S746" i="8" a="1"/>
  <c r="R746" i="8"/>
  <c r="Q746" i="8"/>
  <c r="P746" i="8"/>
  <c r="O746" i="8"/>
  <c r="N746" i="8"/>
  <c r="M746" i="8"/>
  <c r="L746" i="8"/>
  <c r="S745" i="8" a="1"/>
  <c r="R745" i="8"/>
  <c r="Q745" i="8"/>
  <c r="P745" i="8"/>
  <c r="O745" i="8"/>
  <c r="N745" i="8"/>
  <c r="M745" i="8"/>
  <c r="L745" i="8"/>
  <c r="S744" i="8" a="1"/>
  <c r="R744" i="8"/>
  <c r="Q744" i="8"/>
  <c r="P744" i="8"/>
  <c r="O744" i="8"/>
  <c r="N744" i="8"/>
  <c r="M744" i="8"/>
  <c r="L744" i="8"/>
  <c r="S743" i="8" a="1"/>
  <c r="R743" i="8"/>
  <c r="Q743" i="8"/>
  <c r="P743" i="8"/>
  <c r="O743" i="8"/>
  <c r="N743" i="8"/>
  <c r="M743" i="8"/>
  <c r="L743" i="8"/>
  <c r="S742" i="8" a="1"/>
  <c r="R742" i="8"/>
  <c r="Q742" i="8"/>
  <c r="P742" i="8"/>
  <c r="O742" i="8"/>
  <c r="N742" i="8"/>
  <c r="M742" i="8"/>
  <c r="L742" i="8"/>
  <c r="S741" i="8" a="1"/>
  <c r="R741" i="8"/>
  <c r="Q741" i="8"/>
  <c r="P741" i="8"/>
  <c r="O741" i="8"/>
  <c r="N741" i="8"/>
  <c r="M741" i="8"/>
  <c r="L741" i="8"/>
  <c r="S740" i="8" a="1"/>
  <c r="R740" i="8"/>
  <c r="Q740" i="8"/>
  <c r="P740" i="8"/>
  <c r="O740" i="8"/>
  <c r="N740" i="8"/>
  <c r="M740" i="8"/>
  <c r="L740" i="8"/>
  <c r="S739" i="8" a="1"/>
  <c r="R739" i="8"/>
  <c r="Q739" i="8"/>
  <c r="P739" i="8"/>
  <c r="O739" i="8"/>
  <c r="N739" i="8"/>
  <c r="M739" i="8"/>
  <c r="L739" i="8"/>
  <c r="S738" i="8" a="1"/>
  <c r="R738" i="8"/>
  <c r="Q738" i="8"/>
  <c r="P738" i="8"/>
  <c r="O738" i="8"/>
  <c r="N738" i="8"/>
  <c r="M738" i="8"/>
  <c r="L738" i="8"/>
  <c r="S737" i="8" a="1"/>
  <c r="R737" i="8"/>
  <c r="Q737" i="8"/>
  <c r="P737" i="8"/>
  <c r="O737" i="8"/>
  <c r="N737" i="8"/>
  <c r="M737" i="8"/>
  <c r="L737" i="8"/>
  <c r="S736" i="8" a="1"/>
  <c r="R736" i="8"/>
  <c r="Q736" i="8"/>
  <c r="P736" i="8"/>
  <c r="O736" i="8"/>
  <c r="N736" i="8"/>
  <c r="M736" i="8"/>
  <c r="L736" i="8"/>
  <c r="S735" i="8" a="1"/>
  <c r="R735" i="8"/>
  <c r="Q735" i="8"/>
  <c r="P735" i="8"/>
  <c r="O735" i="8"/>
  <c r="N735" i="8"/>
  <c r="M735" i="8"/>
  <c r="L735" i="8"/>
  <c r="S734" i="8" a="1"/>
  <c r="R734" i="8"/>
  <c r="Q734" i="8"/>
  <c r="P734" i="8"/>
  <c r="O734" i="8"/>
  <c r="N734" i="8"/>
  <c r="M734" i="8"/>
  <c r="L734" i="8"/>
  <c r="S733" i="8" a="1"/>
  <c r="R733" i="8"/>
  <c r="Q733" i="8"/>
  <c r="P733" i="8"/>
  <c r="O733" i="8"/>
  <c r="N733" i="8"/>
  <c r="M733" i="8"/>
  <c r="L733" i="8"/>
  <c r="S732" i="8" a="1"/>
  <c r="R732" i="8"/>
  <c r="Q732" i="8"/>
  <c r="P732" i="8"/>
  <c r="O732" i="8"/>
  <c r="N732" i="8"/>
  <c r="M732" i="8"/>
  <c r="L732" i="8"/>
  <c r="S731" i="8" a="1"/>
  <c r="R731" i="8"/>
  <c r="Q731" i="8"/>
  <c r="P731" i="8"/>
  <c r="O731" i="8"/>
  <c r="N731" i="8"/>
  <c r="M731" i="8"/>
  <c r="L731" i="8"/>
  <c r="S730" i="8" a="1"/>
  <c r="R730" i="8"/>
  <c r="Q730" i="8"/>
  <c r="P730" i="8"/>
  <c r="O730" i="8"/>
  <c r="N730" i="8"/>
  <c r="M730" i="8"/>
  <c r="L730" i="8"/>
  <c r="S729" i="8" a="1"/>
  <c r="R729" i="8"/>
  <c r="Q729" i="8"/>
  <c r="P729" i="8"/>
  <c r="O729" i="8"/>
  <c r="N729" i="8"/>
  <c r="M729" i="8"/>
  <c r="L729" i="8"/>
  <c r="S728" i="8" a="1"/>
  <c r="R728" i="8"/>
  <c r="Q728" i="8"/>
  <c r="P728" i="8"/>
  <c r="O728" i="8"/>
  <c r="N728" i="8"/>
  <c r="M728" i="8"/>
  <c r="L728" i="8"/>
  <c r="S727" i="8" a="1"/>
  <c r="R727" i="8"/>
  <c r="Q727" i="8"/>
  <c r="P727" i="8"/>
  <c r="O727" i="8"/>
  <c r="N727" i="8"/>
  <c r="M727" i="8"/>
  <c r="L727" i="8"/>
  <c r="S726" i="8" a="1"/>
  <c r="R726" i="8"/>
  <c r="Q726" i="8"/>
  <c r="P726" i="8"/>
  <c r="O726" i="8"/>
  <c r="N726" i="8"/>
  <c r="M726" i="8"/>
  <c r="L726" i="8"/>
  <c r="S725" i="8" a="1"/>
  <c r="R725" i="8"/>
  <c r="Q725" i="8"/>
  <c r="P725" i="8"/>
  <c r="O725" i="8"/>
  <c r="N725" i="8"/>
  <c r="M725" i="8"/>
  <c r="L725" i="8"/>
  <c r="S724" i="8" a="1"/>
  <c r="R724" i="8"/>
  <c r="Q724" i="8"/>
  <c r="P724" i="8"/>
  <c r="O724" i="8"/>
  <c r="N724" i="8"/>
  <c r="M724" i="8"/>
  <c r="L724" i="8"/>
  <c r="S723" i="8" a="1"/>
  <c r="R723" i="8"/>
  <c r="Q723" i="8"/>
  <c r="P723" i="8"/>
  <c r="O723" i="8"/>
  <c r="N723" i="8"/>
  <c r="M723" i="8"/>
  <c r="L723" i="8"/>
  <c r="S722" i="8" a="1"/>
  <c r="R722" i="8"/>
  <c r="Q722" i="8"/>
  <c r="P722" i="8"/>
  <c r="O722" i="8"/>
  <c r="N722" i="8"/>
  <c r="M722" i="8"/>
  <c r="L722" i="8"/>
  <c r="S721" i="8" a="1"/>
  <c r="R721" i="8"/>
  <c r="Q721" i="8"/>
  <c r="P721" i="8"/>
  <c r="O721" i="8"/>
  <c r="N721" i="8"/>
  <c r="M721" i="8"/>
  <c r="L721" i="8"/>
  <c r="S720" i="8" a="1"/>
  <c r="R720" i="8"/>
  <c r="Q720" i="8"/>
  <c r="P720" i="8"/>
  <c r="O720" i="8"/>
  <c r="N720" i="8"/>
  <c r="M720" i="8"/>
  <c r="L720" i="8"/>
  <c r="S719" i="8" a="1"/>
  <c r="R719" i="8"/>
  <c r="Q719" i="8"/>
  <c r="P719" i="8"/>
  <c r="O719" i="8"/>
  <c r="N719" i="8"/>
  <c r="M719" i="8"/>
  <c r="L719" i="8"/>
  <c r="S718" i="8" a="1"/>
  <c r="R718" i="8"/>
  <c r="Q718" i="8"/>
  <c r="P718" i="8"/>
  <c r="O718" i="8"/>
  <c r="N718" i="8"/>
  <c r="M718" i="8"/>
  <c r="L718" i="8"/>
  <c r="S717" i="8" a="1"/>
  <c r="R717" i="8"/>
  <c r="Q717" i="8"/>
  <c r="P717" i="8"/>
  <c r="O717" i="8"/>
  <c r="N717" i="8"/>
  <c r="M717" i="8"/>
  <c r="L717" i="8"/>
  <c r="S716" i="8" a="1"/>
  <c r="R716" i="8"/>
  <c r="Q716" i="8"/>
  <c r="P716" i="8"/>
  <c r="O716" i="8"/>
  <c r="N716" i="8"/>
  <c r="M716" i="8"/>
  <c r="L716" i="8"/>
  <c r="S715" i="8" a="1"/>
  <c r="R715" i="8"/>
  <c r="Q715" i="8"/>
  <c r="P715" i="8"/>
  <c r="O715" i="8"/>
  <c r="N715" i="8"/>
  <c r="M715" i="8"/>
  <c r="L715" i="8"/>
  <c r="S714" i="8" a="1"/>
  <c r="R714" i="8"/>
  <c r="Q714" i="8"/>
  <c r="P714" i="8"/>
  <c r="O714" i="8"/>
  <c r="N714" i="8"/>
  <c r="M714" i="8"/>
  <c r="L714" i="8"/>
  <c r="S713" i="8" a="1"/>
  <c r="R713" i="8"/>
  <c r="Q713" i="8"/>
  <c r="P713" i="8"/>
  <c r="O713" i="8"/>
  <c r="N713" i="8"/>
  <c r="M713" i="8"/>
  <c r="L713" i="8"/>
  <c r="S712" i="8" a="1"/>
  <c r="R712" i="8"/>
  <c r="Q712" i="8"/>
  <c r="P712" i="8"/>
  <c r="O712" i="8"/>
  <c r="N712" i="8"/>
  <c r="M712" i="8"/>
  <c r="L712" i="8"/>
  <c r="S711" i="8" a="1"/>
  <c r="R711" i="8"/>
  <c r="Q711" i="8"/>
  <c r="P711" i="8"/>
  <c r="O711" i="8"/>
  <c r="N711" i="8"/>
  <c r="M711" i="8"/>
  <c r="L711" i="8"/>
  <c r="S710" i="8" a="1"/>
  <c r="R710" i="8"/>
  <c r="Q710" i="8"/>
  <c r="P710" i="8"/>
  <c r="O710" i="8"/>
  <c r="N710" i="8"/>
  <c r="M710" i="8"/>
  <c r="L710" i="8"/>
  <c r="S709" i="8" a="1"/>
  <c r="R709" i="8"/>
  <c r="Q709" i="8"/>
  <c r="P709" i="8"/>
  <c r="O709" i="8"/>
  <c r="N709" i="8"/>
  <c r="M709" i="8"/>
  <c r="L709" i="8"/>
  <c r="S708" i="8" a="1"/>
  <c r="R708" i="8"/>
  <c r="Q708" i="8"/>
  <c r="P708" i="8"/>
  <c r="O708" i="8"/>
  <c r="N708" i="8"/>
  <c r="M708" i="8"/>
  <c r="L708" i="8"/>
  <c r="S707" i="8" a="1"/>
  <c r="R707" i="8"/>
  <c r="Q707" i="8"/>
  <c r="P707" i="8"/>
  <c r="O707" i="8"/>
  <c r="N707" i="8"/>
  <c r="M707" i="8"/>
  <c r="L707" i="8"/>
  <c r="S706" i="8" a="1"/>
  <c r="R706" i="8"/>
  <c r="Q706" i="8"/>
  <c r="P706" i="8"/>
  <c r="O706" i="8"/>
  <c r="N706" i="8"/>
  <c r="M706" i="8"/>
  <c r="L706" i="8"/>
  <c r="S705" i="8" a="1"/>
  <c r="R705" i="8"/>
  <c r="Q705" i="8"/>
  <c r="P705" i="8"/>
  <c r="O705" i="8"/>
  <c r="N705" i="8"/>
  <c r="M705" i="8"/>
  <c r="L705" i="8"/>
  <c r="S704" i="8" a="1"/>
  <c r="R704" i="8"/>
  <c r="Q704" i="8"/>
  <c r="P704" i="8"/>
  <c r="O704" i="8"/>
  <c r="N704" i="8"/>
  <c r="M704" i="8"/>
  <c r="L704" i="8"/>
  <c r="S703" i="8" a="1"/>
  <c r="R703" i="8"/>
  <c r="Q703" i="8"/>
  <c r="P703" i="8"/>
  <c r="O703" i="8"/>
  <c r="N703" i="8"/>
  <c r="M703" i="8"/>
  <c r="L703" i="8"/>
  <c r="S702" i="8" a="1"/>
  <c r="R702" i="8"/>
  <c r="Q702" i="8"/>
  <c r="P702" i="8"/>
  <c r="O702" i="8"/>
  <c r="N702" i="8"/>
  <c r="M702" i="8"/>
  <c r="L702" i="8"/>
  <c r="S701" i="8" a="1"/>
  <c r="R701" i="8"/>
  <c r="Q701" i="8"/>
  <c r="P701" i="8"/>
  <c r="O701" i="8"/>
  <c r="N701" i="8"/>
  <c r="M701" i="8"/>
  <c r="L701" i="8"/>
  <c r="S700" i="8" a="1"/>
  <c r="R700" i="8"/>
  <c r="Q700" i="8"/>
  <c r="P700" i="8"/>
  <c r="O700" i="8"/>
  <c r="N700" i="8"/>
  <c r="M700" i="8"/>
  <c r="L700" i="8"/>
  <c r="S699" i="8" a="1"/>
  <c r="R699" i="8"/>
  <c r="Q699" i="8"/>
  <c r="P699" i="8"/>
  <c r="O699" i="8"/>
  <c r="N699" i="8"/>
  <c r="M699" i="8"/>
  <c r="L699" i="8"/>
  <c r="S698" i="8" a="1"/>
  <c r="R698" i="8"/>
  <c r="Q698" i="8"/>
  <c r="P698" i="8"/>
  <c r="O698" i="8"/>
  <c r="N698" i="8"/>
  <c r="M698" i="8"/>
  <c r="L698" i="8"/>
  <c r="S697" i="8" a="1"/>
  <c r="R697" i="8"/>
  <c r="Q697" i="8"/>
  <c r="P697" i="8"/>
  <c r="O697" i="8"/>
  <c r="N697" i="8"/>
  <c r="M697" i="8"/>
  <c r="L697" i="8"/>
  <c r="S696" i="8" a="1"/>
  <c r="R696" i="8"/>
  <c r="Q696" i="8"/>
  <c r="P696" i="8"/>
  <c r="O696" i="8"/>
  <c r="N696" i="8"/>
  <c r="M696" i="8"/>
  <c r="L696" i="8"/>
  <c r="S695" i="8" a="1"/>
  <c r="R695" i="8"/>
  <c r="Q695" i="8"/>
  <c r="P695" i="8"/>
  <c r="O695" i="8"/>
  <c r="N695" i="8"/>
  <c r="M695" i="8"/>
  <c r="L695" i="8"/>
  <c r="S694" i="8" a="1"/>
  <c r="R694" i="8"/>
  <c r="Q694" i="8"/>
  <c r="P694" i="8"/>
  <c r="O694" i="8"/>
  <c r="N694" i="8"/>
  <c r="M694" i="8"/>
  <c r="L694" i="8"/>
  <c r="S693" i="8" a="1"/>
  <c r="R693" i="8"/>
  <c r="Q693" i="8"/>
  <c r="P693" i="8"/>
  <c r="O693" i="8"/>
  <c r="N693" i="8"/>
  <c r="M693" i="8"/>
  <c r="L693" i="8"/>
  <c r="S692" i="8" a="1"/>
  <c r="R692" i="8"/>
  <c r="Q692" i="8"/>
  <c r="P692" i="8"/>
  <c r="O692" i="8"/>
  <c r="N692" i="8"/>
  <c r="M692" i="8"/>
  <c r="L692" i="8"/>
  <c r="S691" i="8" a="1"/>
  <c r="R691" i="8"/>
  <c r="Q691" i="8"/>
  <c r="P691" i="8"/>
  <c r="O691" i="8"/>
  <c r="N691" i="8"/>
  <c r="M691" i="8"/>
  <c r="L691" i="8"/>
  <c r="S690" i="8" a="1"/>
  <c r="R690" i="8"/>
  <c r="Q690" i="8"/>
  <c r="P690" i="8"/>
  <c r="O690" i="8"/>
  <c r="N690" i="8"/>
  <c r="M690" i="8"/>
  <c r="L690" i="8"/>
  <c r="S689" i="8" a="1"/>
  <c r="R689" i="8"/>
  <c r="Q689" i="8"/>
  <c r="P689" i="8"/>
  <c r="O689" i="8"/>
  <c r="N689" i="8"/>
  <c r="M689" i="8"/>
  <c r="L689" i="8"/>
  <c r="S688" i="8" a="1"/>
  <c r="R688" i="8"/>
  <c r="Q688" i="8"/>
  <c r="P688" i="8"/>
  <c r="O688" i="8"/>
  <c r="N688" i="8"/>
  <c r="M688" i="8"/>
  <c r="L688" i="8"/>
  <c r="S687" i="8" a="1"/>
  <c r="R687" i="8"/>
  <c r="Q687" i="8"/>
  <c r="P687" i="8"/>
  <c r="O687" i="8"/>
  <c r="N687" i="8"/>
  <c r="M687" i="8"/>
  <c r="L687" i="8"/>
  <c r="S686" i="8" a="1"/>
  <c r="R686" i="8"/>
  <c r="Q686" i="8"/>
  <c r="P686" i="8"/>
  <c r="O686" i="8"/>
  <c r="N686" i="8"/>
  <c r="M686" i="8"/>
  <c r="L686" i="8"/>
  <c r="S685" i="8" a="1"/>
  <c r="R685" i="8"/>
  <c r="Q685" i="8"/>
  <c r="P685" i="8"/>
  <c r="O685" i="8"/>
  <c r="N685" i="8"/>
  <c r="M685" i="8"/>
  <c r="L685" i="8"/>
  <c r="S684" i="8" a="1"/>
  <c r="R684" i="8"/>
  <c r="Q684" i="8"/>
  <c r="P684" i="8"/>
  <c r="O684" i="8"/>
  <c r="N684" i="8"/>
  <c r="M684" i="8"/>
  <c r="L684" i="8"/>
  <c r="S683" i="8" a="1"/>
  <c r="R683" i="8"/>
  <c r="Q683" i="8"/>
  <c r="P683" i="8"/>
  <c r="O683" i="8"/>
  <c r="N683" i="8"/>
  <c r="M683" i="8"/>
  <c r="L683" i="8"/>
  <c r="S682" i="8" a="1"/>
  <c r="R682" i="8"/>
  <c r="Q682" i="8"/>
  <c r="P682" i="8"/>
  <c r="O682" i="8"/>
  <c r="N682" i="8"/>
  <c r="M682" i="8"/>
  <c r="L682" i="8"/>
  <c r="S681" i="8" a="1"/>
  <c r="R681" i="8"/>
  <c r="Q681" i="8"/>
  <c r="P681" i="8"/>
  <c r="O681" i="8"/>
  <c r="N681" i="8"/>
  <c r="M681" i="8"/>
  <c r="L681" i="8"/>
  <c r="S680" i="8" a="1"/>
  <c r="R680" i="8"/>
  <c r="Q680" i="8"/>
  <c r="P680" i="8"/>
  <c r="O680" i="8"/>
  <c r="N680" i="8"/>
  <c r="M680" i="8"/>
  <c r="L680" i="8"/>
  <c r="S679" i="8" a="1"/>
  <c r="R679" i="8"/>
  <c r="Q679" i="8"/>
  <c r="P679" i="8"/>
  <c r="O679" i="8"/>
  <c r="N679" i="8"/>
  <c r="M679" i="8"/>
  <c r="L679" i="8"/>
  <c r="S678" i="8" a="1"/>
  <c r="R678" i="8"/>
  <c r="Q678" i="8"/>
  <c r="P678" i="8"/>
  <c r="O678" i="8"/>
  <c r="N678" i="8"/>
  <c r="M678" i="8"/>
  <c r="L678" i="8"/>
  <c r="S677" i="8" a="1"/>
  <c r="R677" i="8"/>
  <c r="Q677" i="8"/>
  <c r="P677" i="8"/>
  <c r="O677" i="8"/>
  <c r="N677" i="8"/>
  <c r="M677" i="8"/>
  <c r="L677" i="8"/>
  <c r="S676" i="8" a="1"/>
  <c r="R676" i="8"/>
  <c r="Q676" i="8"/>
  <c r="P676" i="8"/>
  <c r="O676" i="8"/>
  <c r="N676" i="8"/>
  <c r="M676" i="8"/>
  <c r="L676" i="8"/>
  <c r="S675" i="8" a="1"/>
  <c r="R675" i="8"/>
  <c r="Q675" i="8"/>
  <c r="P675" i="8"/>
  <c r="O675" i="8"/>
  <c r="N675" i="8"/>
  <c r="M675" i="8"/>
  <c r="L675" i="8"/>
  <c r="S674" i="8" a="1"/>
  <c r="R674" i="8"/>
  <c r="Q674" i="8"/>
  <c r="P674" i="8"/>
  <c r="O674" i="8"/>
  <c r="N674" i="8"/>
  <c r="M674" i="8"/>
  <c r="L674" i="8"/>
  <c r="S673" i="8" a="1"/>
  <c r="R673" i="8"/>
  <c r="Q673" i="8"/>
  <c r="P673" i="8"/>
  <c r="O673" i="8"/>
  <c r="N673" i="8"/>
  <c r="M673" i="8"/>
  <c r="L673" i="8"/>
  <c r="S672" i="8" a="1"/>
  <c r="R672" i="8"/>
  <c r="Q672" i="8"/>
  <c r="P672" i="8"/>
  <c r="O672" i="8"/>
  <c r="N672" i="8"/>
  <c r="M672" i="8"/>
  <c r="L672" i="8"/>
  <c r="S671" i="8" a="1"/>
  <c r="R671" i="8"/>
  <c r="Q671" i="8"/>
  <c r="P671" i="8"/>
  <c r="O671" i="8"/>
  <c r="N671" i="8"/>
  <c r="M671" i="8"/>
  <c r="L671" i="8"/>
  <c r="S670" i="8" a="1"/>
  <c r="R670" i="8"/>
  <c r="Q670" i="8"/>
  <c r="P670" i="8"/>
  <c r="O670" i="8"/>
  <c r="N670" i="8"/>
  <c r="M670" i="8"/>
  <c r="L670" i="8"/>
  <c r="S669" i="8" a="1"/>
  <c r="R669" i="8"/>
  <c r="Q669" i="8"/>
  <c r="P669" i="8"/>
  <c r="O669" i="8"/>
  <c r="N669" i="8"/>
  <c r="M669" i="8"/>
  <c r="L669" i="8"/>
  <c r="S668" i="8" a="1"/>
  <c r="R668" i="8"/>
  <c r="Q668" i="8"/>
  <c r="P668" i="8"/>
  <c r="O668" i="8"/>
  <c r="N668" i="8"/>
  <c r="M668" i="8"/>
  <c r="L668" i="8"/>
  <c r="S667" i="8" a="1"/>
  <c r="R667" i="8"/>
  <c r="Q667" i="8"/>
  <c r="P667" i="8"/>
  <c r="O667" i="8"/>
  <c r="N667" i="8"/>
  <c r="M667" i="8"/>
  <c r="L667" i="8"/>
  <c r="S666" i="8" a="1"/>
  <c r="R666" i="8"/>
  <c r="Q666" i="8"/>
  <c r="P666" i="8"/>
  <c r="O666" i="8"/>
  <c r="N666" i="8"/>
  <c r="M666" i="8"/>
  <c r="L666" i="8"/>
  <c r="S665" i="8" a="1"/>
  <c r="R665" i="8"/>
  <c r="Q665" i="8"/>
  <c r="P665" i="8"/>
  <c r="O665" i="8"/>
  <c r="N665" i="8"/>
  <c r="M665" i="8"/>
  <c r="L665" i="8"/>
  <c r="S664" i="8" a="1"/>
  <c r="R664" i="8"/>
  <c r="Q664" i="8"/>
  <c r="P664" i="8"/>
  <c r="O664" i="8"/>
  <c r="N664" i="8"/>
  <c r="M664" i="8"/>
  <c r="L664" i="8"/>
  <c r="S663" i="8" a="1"/>
  <c r="R663" i="8"/>
  <c r="Q663" i="8"/>
  <c r="P663" i="8"/>
  <c r="O663" i="8"/>
  <c r="N663" i="8"/>
  <c r="M663" i="8"/>
  <c r="L663" i="8"/>
  <c r="S662" i="8" a="1"/>
  <c r="R662" i="8"/>
  <c r="Q662" i="8"/>
  <c r="P662" i="8"/>
  <c r="O662" i="8"/>
  <c r="N662" i="8"/>
  <c r="M662" i="8"/>
  <c r="L662" i="8"/>
  <c r="S661" i="8" a="1"/>
  <c r="R661" i="8"/>
  <c r="Q661" i="8"/>
  <c r="P661" i="8"/>
  <c r="O661" i="8"/>
  <c r="N661" i="8"/>
  <c r="M661" i="8"/>
  <c r="L661" i="8"/>
  <c r="S660" i="8" a="1"/>
  <c r="R660" i="8"/>
  <c r="Q660" i="8"/>
  <c r="P660" i="8"/>
  <c r="O660" i="8"/>
  <c r="N660" i="8"/>
  <c r="M660" i="8"/>
  <c r="L660" i="8"/>
  <c r="S659" i="8" a="1"/>
  <c r="R659" i="8"/>
  <c r="Q659" i="8"/>
  <c r="P659" i="8"/>
  <c r="O659" i="8"/>
  <c r="N659" i="8"/>
  <c r="M659" i="8"/>
  <c r="L659" i="8"/>
  <c r="S658" i="8" a="1"/>
  <c r="R658" i="8"/>
  <c r="Q658" i="8"/>
  <c r="P658" i="8"/>
  <c r="O658" i="8"/>
  <c r="N658" i="8"/>
  <c r="M658" i="8"/>
  <c r="L658" i="8"/>
  <c r="S657" i="8" a="1"/>
  <c r="R657" i="8"/>
  <c r="Q657" i="8"/>
  <c r="P657" i="8"/>
  <c r="O657" i="8"/>
  <c r="N657" i="8"/>
  <c r="M657" i="8"/>
  <c r="L657" i="8"/>
  <c r="S656" i="8" a="1"/>
  <c r="R656" i="8"/>
  <c r="Q656" i="8"/>
  <c r="P656" i="8"/>
  <c r="O656" i="8"/>
  <c r="N656" i="8"/>
  <c r="M656" i="8"/>
  <c r="L656" i="8"/>
  <c r="S655" i="8" a="1"/>
  <c r="R655" i="8"/>
  <c r="Q655" i="8"/>
  <c r="P655" i="8"/>
  <c r="O655" i="8"/>
  <c r="N655" i="8"/>
  <c r="M655" i="8"/>
  <c r="L655" i="8"/>
  <c r="S654" i="8" a="1"/>
  <c r="R654" i="8"/>
  <c r="Q654" i="8"/>
  <c r="P654" i="8"/>
  <c r="O654" i="8"/>
  <c r="N654" i="8"/>
  <c r="M654" i="8"/>
  <c r="L654" i="8"/>
  <c r="S653" i="8" a="1"/>
  <c r="R653" i="8"/>
  <c r="Q653" i="8"/>
  <c r="P653" i="8"/>
  <c r="O653" i="8"/>
  <c r="N653" i="8"/>
  <c r="M653" i="8"/>
  <c r="L653" i="8"/>
  <c r="S652" i="8" a="1"/>
  <c r="R652" i="8"/>
  <c r="Q652" i="8"/>
  <c r="P652" i="8"/>
  <c r="O652" i="8"/>
  <c r="N652" i="8"/>
  <c r="M652" i="8"/>
  <c r="L652" i="8"/>
  <c r="S651" i="8" a="1"/>
  <c r="R651" i="8"/>
  <c r="Q651" i="8"/>
  <c r="P651" i="8"/>
  <c r="O651" i="8"/>
  <c r="N651" i="8"/>
  <c r="M651" i="8"/>
  <c r="L651" i="8"/>
  <c r="S650" i="8" a="1"/>
  <c r="R650" i="8"/>
  <c r="Q650" i="8"/>
  <c r="P650" i="8"/>
  <c r="O650" i="8"/>
  <c r="N650" i="8"/>
  <c r="M650" i="8"/>
  <c r="L650" i="8"/>
  <c r="S649" i="8" a="1"/>
  <c r="R649" i="8"/>
  <c r="Q649" i="8"/>
  <c r="P649" i="8"/>
  <c r="O649" i="8"/>
  <c r="N649" i="8"/>
  <c r="M649" i="8"/>
  <c r="L649" i="8"/>
  <c r="S648" i="8" a="1"/>
  <c r="R648" i="8"/>
  <c r="Q648" i="8"/>
  <c r="P648" i="8"/>
  <c r="O648" i="8"/>
  <c r="N648" i="8"/>
  <c r="M648" i="8"/>
  <c r="L648" i="8"/>
  <c r="S647" i="8" a="1"/>
  <c r="R647" i="8"/>
  <c r="Q647" i="8"/>
  <c r="P647" i="8"/>
  <c r="O647" i="8"/>
  <c r="N647" i="8"/>
  <c r="M647" i="8"/>
  <c r="L647" i="8"/>
  <c r="S646" i="8" a="1"/>
  <c r="R646" i="8"/>
  <c r="Q646" i="8"/>
  <c r="P646" i="8"/>
  <c r="O646" i="8"/>
  <c r="N646" i="8"/>
  <c r="M646" i="8"/>
  <c r="L646" i="8"/>
  <c r="S645" i="8" a="1"/>
  <c r="R645" i="8"/>
  <c r="Q645" i="8"/>
  <c r="P645" i="8"/>
  <c r="O645" i="8"/>
  <c r="N645" i="8"/>
  <c r="M645" i="8"/>
  <c r="L645" i="8"/>
  <c r="S644" i="8" a="1"/>
  <c r="R644" i="8"/>
  <c r="Q644" i="8"/>
  <c r="P644" i="8"/>
  <c r="O644" i="8"/>
  <c r="N644" i="8"/>
  <c r="M644" i="8"/>
  <c r="L644" i="8"/>
  <c r="S643" i="8" a="1"/>
  <c r="R643" i="8"/>
  <c r="Q643" i="8"/>
  <c r="P643" i="8"/>
  <c r="O643" i="8"/>
  <c r="N643" i="8"/>
  <c r="M643" i="8"/>
  <c r="L643" i="8"/>
  <c r="S642" i="8" a="1"/>
  <c r="R642" i="8"/>
  <c r="Q642" i="8"/>
  <c r="P642" i="8"/>
  <c r="O642" i="8"/>
  <c r="N642" i="8"/>
  <c r="M642" i="8"/>
  <c r="L642" i="8"/>
  <c r="S641" i="8" a="1"/>
  <c r="R641" i="8"/>
  <c r="Q641" i="8"/>
  <c r="P641" i="8"/>
  <c r="O641" i="8"/>
  <c r="N641" i="8"/>
  <c r="M641" i="8"/>
  <c r="L641" i="8"/>
  <c r="S640" i="8" a="1"/>
  <c r="R640" i="8"/>
  <c r="Q640" i="8"/>
  <c r="P640" i="8"/>
  <c r="O640" i="8"/>
  <c r="N640" i="8"/>
  <c r="M640" i="8"/>
  <c r="L640" i="8"/>
  <c r="S639" i="8" a="1"/>
  <c r="R639" i="8"/>
  <c r="Q639" i="8"/>
  <c r="P639" i="8"/>
  <c r="O639" i="8"/>
  <c r="N639" i="8"/>
  <c r="M639" i="8"/>
  <c r="L639" i="8"/>
  <c r="S638" i="8" a="1"/>
  <c r="R638" i="8"/>
  <c r="Q638" i="8"/>
  <c r="P638" i="8"/>
  <c r="O638" i="8"/>
  <c r="N638" i="8"/>
  <c r="M638" i="8"/>
  <c r="L638" i="8"/>
  <c r="S637" i="8" a="1"/>
  <c r="R637" i="8"/>
  <c r="Q637" i="8"/>
  <c r="P637" i="8"/>
  <c r="O637" i="8"/>
  <c r="N637" i="8"/>
  <c r="M637" i="8"/>
  <c r="L637" i="8"/>
  <c r="S636" i="8" a="1"/>
  <c r="R636" i="8"/>
  <c r="Q636" i="8"/>
  <c r="P636" i="8"/>
  <c r="O636" i="8"/>
  <c r="N636" i="8"/>
  <c r="M636" i="8"/>
  <c r="L636" i="8"/>
  <c r="S635" i="8" a="1"/>
  <c r="R635" i="8"/>
  <c r="Q635" i="8"/>
  <c r="P635" i="8"/>
  <c r="O635" i="8"/>
  <c r="N635" i="8"/>
  <c r="M635" i="8"/>
  <c r="L635" i="8"/>
  <c r="S634" i="8" a="1"/>
  <c r="R634" i="8"/>
  <c r="Q634" i="8"/>
  <c r="P634" i="8"/>
  <c r="O634" i="8"/>
  <c r="N634" i="8"/>
  <c r="M634" i="8"/>
  <c r="L634" i="8"/>
  <c r="S633" i="8" a="1"/>
  <c r="R633" i="8"/>
  <c r="Q633" i="8"/>
  <c r="P633" i="8"/>
  <c r="O633" i="8"/>
  <c r="N633" i="8"/>
  <c r="M633" i="8"/>
  <c r="L633" i="8"/>
  <c r="S632" i="8" a="1"/>
  <c r="R632" i="8"/>
  <c r="Q632" i="8"/>
  <c r="P632" i="8"/>
  <c r="O632" i="8"/>
  <c r="N632" i="8"/>
  <c r="M632" i="8"/>
  <c r="L632" i="8"/>
  <c r="S631" i="8" a="1"/>
  <c r="R631" i="8"/>
  <c r="Q631" i="8"/>
  <c r="P631" i="8"/>
  <c r="O631" i="8"/>
  <c r="N631" i="8"/>
  <c r="M631" i="8"/>
  <c r="L631" i="8"/>
  <c r="S630" i="8" a="1"/>
  <c r="R630" i="8"/>
  <c r="Q630" i="8"/>
  <c r="P630" i="8"/>
  <c r="O630" i="8"/>
  <c r="N630" i="8"/>
  <c r="M630" i="8"/>
  <c r="L630" i="8"/>
  <c r="S629" i="8" a="1"/>
  <c r="R629" i="8"/>
  <c r="Q629" i="8"/>
  <c r="P629" i="8"/>
  <c r="O629" i="8"/>
  <c r="N629" i="8"/>
  <c r="M629" i="8"/>
  <c r="L629" i="8"/>
  <c r="S628" i="8" a="1"/>
  <c r="R628" i="8"/>
  <c r="Q628" i="8"/>
  <c r="P628" i="8"/>
  <c r="O628" i="8"/>
  <c r="N628" i="8"/>
  <c r="M628" i="8"/>
  <c r="L628" i="8"/>
  <c r="S627" i="8" a="1"/>
  <c r="R627" i="8"/>
  <c r="Q627" i="8"/>
  <c r="P627" i="8"/>
  <c r="O627" i="8"/>
  <c r="N627" i="8"/>
  <c r="M627" i="8"/>
  <c r="L627" i="8"/>
  <c r="S626" i="8" a="1"/>
  <c r="R626" i="8"/>
  <c r="Q626" i="8"/>
  <c r="P626" i="8"/>
  <c r="O626" i="8"/>
  <c r="N626" i="8"/>
  <c r="M626" i="8"/>
  <c r="L626" i="8"/>
  <c r="S625" i="8" a="1"/>
  <c r="R625" i="8"/>
  <c r="Q625" i="8"/>
  <c r="P625" i="8"/>
  <c r="O625" i="8"/>
  <c r="N625" i="8"/>
  <c r="M625" i="8"/>
  <c r="L625" i="8"/>
  <c r="S624" i="8" a="1"/>
  <c r="R624" i="8"/>
  <c r="Q624" i="8"/>
  <c r="P624" i="8"/>
  <c r="O624" i="8"/>
  <c r="N624" i="8"/>
  <c r="M624" i="8"/>
  <c r="L624" i="8"/>
  <c r="S623" i="8" a="1"/>
  <c r="R623" i="8"/>
  <c r="Q623" i="8"/>
  <c r="P623" i="8"/>
  <c r="O623" i="8"/>
  <c r="N623" i="8"/>
  <c r="M623" i="8"/>
  <c r="L623" i="8"/>
  <c r="S622" i="8" a="1"/>
  <c r="R622" i="8"/>
  <c r="Q622" i="8"/>
  <c r="P622" i="8"/>
  <c r="O622" i="8"/>
  <c r="N622" i="8"/>
  <c r="M622" i="8"/>
  <c r="L622" i="8"/>
  <c r="S621" i="8" a="1"/>
  <c r="R621" i="8"/>
  <c r="Q621" i="8"/>
  <c r="P621" i="8"/>
  <c r="O621" i="8"/>
  <c r="N621" i="8"/>
  <c r="M621" i="8"/>
  <c r="L621" i="8"/>
  <c r="S620" i="8" a="1"/>
  <c r="R620" i="8"/>
  <c r="Q620" i="8"/>
  <c r="P620" i="8"/>
  <c r="O620" i="8"/>
  <c r="N620" i="8"/>
  <c r="M620" i="8"/>
  <c r="L620" i="8"/>
  <c r="S619" i="8" a="1"/>
  <c r="R619" i="8"/>
  <c r="Q619" i="8"/>
  <c r="P619" i="8"/>
  <c r="O619" i="8"/>
  <c r="N619" i="8"/>
  <c r="M619" i="8"/>
  <c r="L619" i="8"/>
  <c r="S618" i="8" a="1"/>
  <c r="R618" i="8"/>
  <c r="Q618" i="8"/>
  <c r="P618" i="8"/>
  <c r="O618" i="8"/>
  <c r="N618" i="8"/>
  <c r="M618" i="8"/>
  <c r="L618" i="8"/>
  <c r="S617" i="8" a="1"/>
  <c r="R617" i="8"/>
  <c r="Q617" i="8"/>
  <c r="P617" i="8"/>
  <c r="O617" i="8"/>
  <c r="N617" i="8"/>
  <c r="M617" i="8"/>
  <c r="L617" i="8"/>
  <c r="S616" i="8" a="1"/>
  <c r="R616" i="8"/>
  <c r="Q616" i="8"/>
  <c r="P616" i="8"/>
  <c r="O616" i="8"/>
  <c r="N616" i="8"/>
  <c r="M616" i="8"/>
  <c r="L616" i="8"/>
  <c r="S615" i="8" a="1"/>
  <c r="R615" i="8"/>
  <c r="Q615" i="8"/>
  <c r="P615" i="8"/>
  <c r="O615" i="8"/>
  <c r="N615" i="8"/>
  <c r="M615" i="8"/>
  <c r="L615" i="8"/>
  <c r="S614" i="8" a="1"/>
  <c r="R614" i="8"/>
  <c r="Q614" i="8"/>
  <c r="P614" i="8"/>
  <c r="O614" i="8"/>
  <c r="N614" i="8"/>
  <c r="M614" i="8"/>
  <c r="L614" i="8"/>
  <c r="S613" i="8" a="1"/>
  <c r="R613" i="8"/>
  <c r="Q613" i="8"/>
  <c r="P613" i="8"/>
  <c r="O613" i="8"/>
  <c r="N613" i="8"/>
  <c r="M613" i="8"/>
  <c r="L613" i="8"/>
  <c r="S612" i="8" a="1"/>
  <c r="R612" i="8"/>
  <c r="Q612" i="8"/>
  <c r="P612" i="8"/>
  <c r="O612" i="8"/>
  <c r="N612" i="8"/>
  <c r="M612" i="8"/>
  <c r="L612" i="8"/>
  <c r="S611" i="8" a="1"/>
  <c r="R611" i="8"/>
  <c r="Q611" i="8"/>
  <c r="P611" i="8"/>
  <c r="O611" i="8"/>
  <c r="N611" i="8"/>
  <c r="M611" i="8"/>
  <c r="L611" i="8"/>
  <c r="S610" i="8" a="1"/>
  <c r="R610" i="8"/>
  <c r="Q610" i="8"/>
  <c r="P610" i="8"/>
  <c r="O610" i="8"/>
  <c r="N610" i="8"/>
  <c r="M610" i="8"/>
  <c r="L610" i="8"/>
  <c r="S609" i="8" a="1"/>
  <c r="R609" i="8"/>
  <c r="Q609" i="8"/>
  <c r="P609" i="8"/>
  <c r="O609" i="8"/>
  <c r="N609" i="8"/>
  <c r="M609" i="8"/>
  <c r="L609" i="8"/>
  <c r="S608" i="8" a="1"/>
  <c r="R608" i="8"/>
  <c r="Q608" i="8"/>
  <c r="P608" i="8"/>
  <c r="O608" i="8"/>
  <c r="N608" i="8"/>
  <c r="M608" i="8"/>
  <c r="L608" i="8"/>
  <c r="S607" i="8" a="1"/>
  <c r="R607" i="8"/>
  <c r="Q607" i="8"/>
  <c r="P607" i="8"/>
  <c r="O607" i="8"/>
  <c r="N607" i="8"/>
  <c r="M607" i="8"/>
  <c r="L607" i="8"/>
  <c r="S606" i="8" a="1"/>
  <c r="R606" i="8"/>
  <c r="Q606" i="8"/>
  <c r="P606" i="8"/>
  <c r="O606" i="8"/>
  <c r="N606" i="8"/>
  <c r="M606" i="8"/>
  <c r="L606" i="8"/>
  <c r="S605" i="8" a="1"/>
  <c r="R605" i="8"/>
  <c r="Q605" i="8"/>
  <c r="P605" i="8"/>
  <c r="O605" i="8"/>
  <c r="N605" i="8"/>
  <c r="M605" i="8"/>
  <c r="L605" i="8"/>
  <c r="S604" i="8" a="1"/>
  <c r="R604" i="8"/>
  <c r="Q604" i="8"/>
  <c r="P604" i="8"/>
  <c r="O604" i="8"/>
  <c r="N604" i="8"/>
  <c r="M604" i="8"/>
  <c r="L604" i="8"/>
  <c r="S603" i="8" a="1"/>
  <c r="R603" i="8"/>
  <c r="Q603" i="8"/>
  <c r="P603" i="8"/>
  <c r="O603" i="8"/>
  <c r="N603" i="8"/>
  <c r="M603" i="8"/>
  <c r="L603" i="8"/>
  <c r="S602" i="8" a="1"/>
  <c r="R602" i="8"/>
  <c r="Q602" i="8"/>
  <c r="P602" i="8"/>
  <c r="O602" i="8"/>
  <c r="N602" i="8"/>
  <c r="M602" i="8"/>
  <c r="L602" i="8"/>
  <c r="S601" i="8" a="1"/>
  <c r="R601" i="8"/>
  <c r="Q601" i="8"/>
  <c r="P601" i="8"/>
  <c r="O601" i="8"/>
  <c r="N601" i="8"/>
  <c r="M601" i="8"/>
  <c r="L601" i="8"/>
  <c r="S600" i="8" a="1"/>
  <c r="R600" i="8"/>
  <c r="Q600" i="8"/>
  <c r="P600" i="8"/>
  <c r="O600" i="8"/>
  <c r="N600" i="8"/>
  <c r="M600" i="8"/>
  <c r="L600" i="8"/>
  <c r="S599" i="8" a="1"/>
  <c r="R599" i="8"/>
  <c r="Q599" i="8"/>
  <c r="P599" i="8"/>
  <c r="O599" i="8"/>
  <c r="N599" i="8"/>
  <c r="M599" i="8"/>
  <c r="L599" i="8"/>
  <c r="S598" i="8" a="1"/>
  <c r="R598" i="8"/>
  <c r="Q598" i="8"/>
  <c r="P598" i="8"/>
  <c r="O598" i="8"/>
  <c r="N598" i="8"/>
  <c r="M598" i="8"/>
  <c r="L598" i="8"/>
  <c r="S597" i="8" a="1"/>
  <c r="R597" i="8"/>
  <c r="Q597" i="8"/>
  <c r="P597" i="8"/>
  <c r="O597" i="8"/>
  <c r="N597" i="8"/>
  <c r="M597" i="8"/>
  <c r="L597" i="8"/>
  <c r="S596" i="8" a="1"/>
  <c r="R596" i="8"/>
  <c r="Q596" i="8"/>
  <c r="P596" i="8"/>
  <c r="O596" i="8"/>
  <c r="N596" i="8"/>
  <c r="M596" i="8"/>
  <c r="L596" i="8"/>
  <c r="S595" i="8" a="1"/>
  <c r="R595" i="8"/>
  <c r="Q595" i="8"/>
  <c r="P595" i="8"/>
  <c r="O595" i="8"/>
  <c r="N595" i="8"/>
  <c r="M595" i="8"/>
  <c r="L595" i="8"/>
  <c r="S594" i="8" a="1"/>
  <c r="R594" i="8"/>
  <c r="Q594" i="8"/>
  <c r="P594" i="8"/>
  <c r="O594" i="8"/>
  <c r="N594" i="8"/>
  <c r="M594" i="8"/>
  <c r="L594" i="8"/>
  <c r="S593" i="8" a="1"/>
  <c r="R593" i="8"/>
  <c r="Q593" i="8"/>
  <c r="P593" i="8"/>
  <c r="O593" i="8"/>
  <c r="N593" i="8"/>
  <c r="M593" i="8"/>
  <c r="L593" i="8"/>
  <c r="S592" i="8" a="1"/>
  <c r="R592" i="8"/>
  <c r="Q592" i="8"/>
  <c r="P592" i="8"/>
  <c r="O592" i="8"/>
  <c r="N592" i="8"/>
  <c r="M592" i="8"/>
  <c r="L592" i="8"/>
  <c r="S591" i="8" a="1"/>
  <c r="R591" i="8"/>
  <c r="Q591" i="8"/>
  <c r="P591" i="8"/>
  <c r="O591" i="8"/>
  <c r="N591" i="8"/>
  <c r="M591" i="8"/>
  <c r="L591" i="8"/>
  <c r="S590" i="8" a="1"/>
  <c r="R590" i="8"/>
  <c r="Q590" i="8"/>
  <c r="P590" i="8"/>
  <c r="O590" i="8"/>
  <c r="N590" i="8"/>
  <c r="M590" i="8"/>
  <c r="L590" i="8"/>
  <c r="S589" i="8" a="1"/>
  <c r="R589" i="8"/>
  <c r="Q589" i="8"/>
  <c r="P589" i="8"/>
  <c r="O589" i="8"/>
  <c r="N589" i="8"/>
  <c r="M589" i="8"/>
  <c r="L589" i="8"/>
  <c r="S588" i="8" a="1"/>
  <c r="R588" i="8"/>
  <c r="Q588" i="8"/>
  <c r="P588" i="8"/>
  <c r="O588" i="8"/>
  <c r="N588" i="8"/>
  <c r="M588" i="8"/>
  <c r="L588" i="8"/>
  <c r="S587" i="8" a="1"/>
  <c r="R587" i="8"/>
  <c r="Q587" i="8"/>
  <c r="P587" i="8"/>
  <c r="O587" i="8"/>
  <c r="N587" i="8"/>
  <c r="M587" i="8"/>
  <c r="L587" i="8"/>
  <c r="S586" i="8" a="1"/>
  <c r="R586" i="8"/>
  <c r="Q586" i="8"/>
  <c r="P586" i="8"/>
  <c r="O586" i="8"/>
  <c r="N586" i="8"/>
  <c r="M586" i="8"/>
  <c r="L586" i="8"/>
  <c r="S585" i="8" a="1"/>
  <c r="R585" i="8"/>
  <c r="Q585" i="8"/>
  <c r="P585" i="8"/>
  <c r="O585" i="8"/>
  <c r="N585" i="8"/>
  <c r="M585" i="8"/>
  <c r="L585" i="8"/>
  <c r="S584" i="8" a="1"/>
  <c r="R584" i="8"/>
  <c r="Q584" i="8"/>
  <c r="P584" i="8"/>
  <c r="O584" i="8"/>
  <c r="N584" i="8"/>
  <c r="M584" i="8"/>
  <c r="L584" i="8"/>
  <c r="S583" i="8" a="1"/>
  <c r="R583" i="8"/>
  <c r="Q583" i="8"/>
  <c r="P583" i="8"/>
  <c r="O583" i="8"/>
  <c r="N583" i="8"/>
  <c r="M583" i="8"/>
  <c r="L583" i="8"/>
  <c r="S582" i="8" a="1"/>
  <c r="R582" i="8"/>
  <c r="Q582" i="8"/>
  <c r="P582" i="8"/>
  <c r="O582" i="8"/>
  <c r="N582" i="8"/>
  <c r="M582" i="8"/>
  <c r="L582" i="8"/>
  <c r="S581" i="8" a="1"/>
  <c r="R581" i="8"/>
  <c r="Q581" i="8"/>
  <c r="P581" i="8"/>
  <c r="O581" i="8"/>
  <c r="N581" i="8"/>
  <c r="M581" i="8"/>
  <c r="L581" i="8"/>
  <c r="S580" i="8" a="1"/>
  <c r="R580" i="8"/>
  <c r="Q580" i="8"/>
  <c r="P580" i="8"/>
  <c r="O580" i="8"/>
  <c r="N580" i="8"/>
  <c r="M580" i="8"/>
  <c r="L580" i="8"/>
  <c r="S579" i="8" a="1"/>
  <c r="R579" i="8"/>
  <c r="Q579" i="8"/>
  <c r="P579" i="8"/>
  <c r="O579" i="8"/>
  <c r="N579" i="8"/>
  <c r="M579" i="8"/>
  <c r="L579" i="8"/>
  <c r="S578" i="8" a="1"/>
  <c r="R578" i="8"/>
  <c r="Q578" i="8"/>
  <c r="P578" i="8"/>
  <c r="O578" i="8"/>
  <c r="N578" i="8"/>
  <c r="M578" i="8"/>
  <c r="L578" i="8"/>
  <c r="S577" i="8" a="1"/>
  <c r="R577" i="8"/>
  <c r="Q577" i="8"/>
  <c r="P577" i="8"/>
  <c r="O577" i="8"/>
  <c r="N577" i="8"/>
  <c r="M577" i="8"/>
  <c r="L577" i="8"/>
  <c r="S576" i="8" a="1"/>
  <c r="R576" i="8"/>
  <c r="Q576" i="8"/>
  <c r="P576" i="8"/>
  <c r="O576" i="8"/>
  <c r="N576" i="8"/>
  <c r="M576" i="8"/>
  <c r="L576" i="8"/>
  <c r="S575" i="8" a="1"/>
  <c r="R575" i="8"/>
  <c r="Q575" i="8"/>
  <c r="P575" i="8"/>
  <c r="O575" i="8"/>
  <c r="N575" i="8"/>
  <c r="M575" i="8"/>
  <c r="L575" i="8"/>
  <c r="S574" i="8" a="1"/>
  <c r="R574" i="8"/>
  <c r="Q574" i="8"/>
  <c r="P574" i="8"/>
  <c r="O574" i="8"/>
  <c r="N574" i="8"/>
  <c r="M574" i="8"/>
  <c r="L574" i="8"/>
  <c r="S573" i="8" a="1"/>
  <c r="R573" i="8"/>
  <c r="Q573" i="8"/>
  <c r="P573" i="8"/>
  <c r="O573" i="8"/>
  <c r="N573" i="8"/>
  <c r="M573" i="8"/>
  <c r="L573" i="8"/>
  <c r="S572" i="8" a="1"/>
  <c r="R572" i="8"/>
  <c r="Q572" i="8"/>
  <c r="P572" i="8"/>
  <c r="O572" i="8"/>
  <c r="N572" i="8"/>
  <c r="M572" i="8"/>
  <c r="L572" i="8"/>
  <c r="S571" i="8" a="1"/>
  <c r="R571" i="8"/>
  <c r="Q571" i="8"/>
  <c r="P571" i="8"/>
  <c r="O571" i="8"/>
  <c r="N571" i="8"/>
  <c r="M571" i="8"/>
  <c r="L571" i="8"/>
  <c r="S570" i="8" a="1"/>
  <c r="R570" i="8"/>
  <c r="Q570" i="8"/>
  <c r="P570" i="8"/>
  <c r="O570" i="8"/>
  <c r="N570" i="8"/>
  <c r="M570" i="8"/>
  <c r="L570" i="8"/>
  <c r="S569" i="8" a="1"/>
  <c r="R569" i="8"/>
  <c r="Q569" i="8"/>
  <c r="P569" i="8"/>
  <c r="O569" i="8"/>
  <c r="N569" i="8"/>
  <c r="M569" i="8"/>
  <c r="L569" i="8"/>
  <c r="S568" i="8" a="1"/>
  <c r="R568" i="8"/>
  <c r="Q568" i="8"/>
  <c r="P568" i="8"/>
  <c r="O568" i="8"/>
  <c r="N568" i="8"/>
  <c r="M568" i="8"/>
  <c r="L568" i="8"/>
  <c r="S567" i="8" a="1"/>
  <c r="R567" i="8"/>
  <c r="Q567" i="8"/>
  <c r="P567" i="8"/>
  <c r="O567" i="8"/>
  <c r="N567" i="8"/>
  <c r="M567" i="8"/>
  <c r="L567" i="8"/>
  <c r="S566" i="8" a="1"/>
  <c r="R566" i="8"/>
  <c r="Q566" i="8"/>
  <c r="P566" i="8"/>
  <c r="O566" i="8"/>
  <c r="N566" i="8"/>
  <c r="M566" i="8"/>
  <c r="L566" i="8"/>
  <c r="S565" i="8" a="1"/>
  <c r="R565" i="8"/>
  <c r="Q565" i="8"/>
  <c r="P565" i="8"/>
  <c r="O565" i="8"/>
  <c r="N565" i="8"/>
  <c r="M565" i="8"/>
  <c r="L565" i="8"/>
  <c r="S564" i="8" a="1"/>
  <c r="R564" i="8"/>
  <c r="Q564" i="8"/>
  <c r="P564" i="8"/>
  <c r="O564" i="8"/>
  <c r="N564" i="8"/>
  <c r="M564" i="8"/>
  <c r="L564" i="8"/>
  <c r="S563" i="8" a="1"/>
  <c r="R563" i="8"/>
  <c r="Q563" i="8"/>
  <c r="P563" i="8"/>
  <c r="O563" i="8"/>
  <c r="N563" i="8"/>
  <c r="M563" i="8"/>
  <c r="L563" i="8"/>
  <c r="S562" i="8" a="1"/>
  <c r="R562" i="8"/>
  <c r="Q562" i="8"/>
  <c r="P562" i="8"/>
  <c r="O562" i="8"/>
  <c r="N562" i="8"/>
  <c r="M562" i="8"/>
  <c r="L562" i="8"/>
  <c r="S561" i="8" a="1"/>
  <c r="R561" i="8"/>
  <c r="Q561" i="8"/>
  <c r="P561" i="8"/>
  <c r="O561" i="8"/>
  <c r="N561" i="8"/>
  <c r="M561" i="8"/>
  <c r="L561" i="8"/>
  <c r="S560" i="8" a="1"/>
  <c r="R560" i="8"/>
  <c r="Q560" i="8"/>
  <c r="P560" i="8"/>
  <c r="O560" i="8"/>
  <c r="N560" i="8"/>
  <c r="M560" i="8"/>
  <c r="L560" i="8"/>
  <c r="S559" i="8" a="1"/>
  <c r="R559" i="8"/>
  <c r="Q559" i="8"/>
  <c r="P559" i="8"/>
  <c r="O559" i="8"/>
  <c r="N559" i="8"/>
  <c r="M559" i="8"/>
  <c r="L559" i="8"/>
  <c r="S558" i="8" a="1"/>
  <c r="R558" i="8"/>
  <c r="Q558" i="8"/>
  <c r="P558" i="8"/>
  <c r="O558" i="8"/>
  <c r="N558" i="8"/>
  <c r="M558" i="8"/>
  <c r="L558" i="8"/>
  <c r="S557" i="8" a="1"/>
  <c r="R557" i="8"/>
  <c r="Q557" i="8"/>
  <c r="P557" i="8"/>
  <c r="O557" i="8"/>
  <c r="N557" i="8"/>
  <c r="M557" i="8"/>
  <c r="L557" i="8"/>
  <c r="S556" i="8" a="1"/>
  <c r="R556" i="8"/>
  <c r="Q556" i="8"/>
  <c r="P556" i="8"/>
  <c r="O556" i="8"/>
  <c r="N556" i="8"/>
  <c r="M556" i="8"/>
  <c r="L556" i="8"/>
  <c r="S555" i="8" a="1"/>
  <c r="R555" i="8"/>
  <c r="Q555" i="8"/>
  <c r="P555" i="8"/>
  <c r="O555" i="8"/>
  <c r="N555" i="8"/>
  <c r="M555" i="8"/>
  <c r="L555" i="8"/>
  <c r="S554" i="8" a="1"/>
  <c r="R554" i="8"/>
  <c r="Q554" i="8"/>
  <c r="P554" i="8"/>
  <c r="O554" i="8"/>
  <c r="N554" i="8"/>
  <c r="M554" i="8"/>
  <c r="L554" i="8"/>
  <c r="S553" i="8" a="1"/>
  <c r="R553" i="8"/>
  <c r="Q553" i="8"/>
  <c r="P553" i="8"/>
  <c r="O553" i="8"/>
  <c r="N553" i="8"/>
  <c r="M553" i="8"/>
  <c r="L553" i="8"/>
  <c r="S552" i="8" a="1"/>
  <c r="R552" i="8"/>
  <c r="Q552" i="8"/>
  <c r="P552" i="8"/>
  <c r="O552" i="8"/>
  <c r="N552" i="8"/>
  <c r="M552" i="8"/>
  <c r="L552" i="8"/>
  <c r="S551" i="8" a="1"/>
  <c r="R551" i="8"/>
  <c r="Q551" i="8"/>
  <c r="P551" i="8"/>
  <c r="O551" i="8"/>
  <c r="N551" i="8"/>
  <c r="M551" i="8"/>
  <c r="L551" i="8"/>
  <c r="S550" i="8" a="1"/>
  <c r="R550" i="8"/>
  <c r="Q550" i="8"/>
  <c r="P550" i="8"/>
  <c r="O550" i="8"/>
  <c r="N550" i="8"/>
  <c r="M550" i="8"/>
  <c r="L550" i="8"/>
  <c r="S549" i="8" a="1"/>
  <c r="R549" i="8"/>
  <c r="Q549" i="8"/>
  <c r="P549" i="8"/>
  <c r="O549" i="8"/>
  <c r="N549" i="8"/>
  <c r="M549" i="8"/>
  <c r="L549" i="8"/>
  <c r="S548" i="8" a="1"/>
  <c r="R548" i="8"/>
  <c r="Q548" i="8"/>
  <c r="P548" i="8"/>
  <c r="O548" i="8"/>
  <c r="N548" i="8"/>
  <c r="M548" i="8"/>
  <c r="L548" i="8"/>
  <c r="S547" i="8" a="1"/>
  <c r="R547" i="8"/>
  <c r="Q547" i="8"/>
  <c r="P547" i="8"/>
  <c r="O547" i="8"/>
  <c r="N547" i="8"/>
  <c r="M547" i="8"/>
  <c r="L547" i="8"/>
  <c r="S546" i="8" a="1"/>
  <c r="R546" i="8"/>
  <c r="Q546" i="8"/>
  <c r="P546" i="8"/>
  <c r="O546" i="8"/>
  <c r="N546" i="8"/>
  <c r="M546" i="8"/>
  <c r="L546" i="8"/>
  <c r="S545" i="8" a="1"/>
  <c r="R545" i="8"/>
  <c r="Q545" i="8"/>
  <c r="P545" i="8"/>
  <c r="O545" i="8"/>
  <c r="N545" i="8"/>
  <c r="M545" i="8"/>
  <c r="L545" i="8"/>
  <c r="S544" i="8" a="1"/>
  <c r="R544" i="8"/>
  <c r="Q544" i="8"/>
  <c r="P544" i="8"/>
  <c r="O544" i="8"/>
  <c r="N544" i="8"/>
  <c r="M544" i="8"/>
  <c r="L544" i="8"/>
  <c r="S543" i="8" a="1"/>
  <c r="R543" i="8"/>
  <c r="Q543" i="8"/>
  <c r="P543" i="8"/>
  <c r="O543" i="8"/>
  <c r="N543" i="8"/>
  <c r="M543" i="8"/>
  <c r="L543" i="8"/>
  <c r="S542" i="8" a="1"/>
  <c r="R542" i="8"/>
  <c r="Q542" i="8"/>
  <c r="P542" i="8"/>
  <c r="O542" i="8"/>
  <c r="N542" i="8"/>
  <c r="M542" i="8"/>
  <c r="L542" i="8"/>
  <c r="S541" i="8" a="1"/>
  <c r="R541" i="8"/>
  <c r="Q541" i="8"/>
  <c r="P541" i="8"/>
  <c r="O541" i="8"/>
  <c r="N541" i="8"/>
  <c r="M541" i="8"/>
  <c r="L541" i="8"/>
  <c r="S540" i="8" a="1"/>
  <c r="R540" i="8"/>
  <c r="Q540" i="8"/>
  <c r="P540" i="8"/>
  <c r="O540" i="8"/>
  <c r="N540" i="8"/>
  <c r="M540" i="8"/>
  <c r="L540" i="8"/>
  <c r="S539" i="8" a="1"/>
  <c r="R539" i="8"/>
  <c r="Q539" i="8"/>
  <c r="P539" i="8"/>
  <c r="O539" i="8"/>
  <c r="N539" i="8"/>
  <c r="M539" i="8"/>
  <c r="L539" i="8"/>
  <c r="S538" i="8" a="1"/>
  <c r="R538" i="8"/>
  <c r="Q538" i="8"/>
  <c r="P538" i="8"/>
  <c r="O538" i="8"/>
  <c r="N538" i="8"/>
  <c r="M538" i="8"/>
  <c r="L538" i="8"/>
  <c r="S537" i="8" a="1"/>
  <c r="R537" i="8"/>
  <c r="Q537" i="8"/>
  <c r="P537" i="8"/>
  <c r="O537" i="8"/>
  <c r="N537" i="8"/>
  <c r="M537" i="8"/>
  <c r="L537" i="8"/>
  <c r="S536" i="8" a="1"/>
  <c r="R536" i="8"/>
  <c r="Q536" i="8"/>
  <c r="P536" i="8"/>
  <c r="O536" i="8"/>
  <c r="N536" i="8"/>
  <c r="M536" i="8"/>
  <c r="L536" i="8"/>
  <c r="S535" i="8" a="1"/>
  <c r="R535" i="8"/>
  <c r="Q535" i="8"/>
  <c r="P535" i="8"/>
  <c r="O535" i="8"/>
  <c r="N535" i="8"/>
  <c r="M535" i="8"/>
  <c r="L535" i="8"/>
  <c r="S534" i="8" a="1"/>
  <c r="R534" i="8"/>
  <c r="Q534" i="8"/>
  <c r="P534" i="8"/>
  <c r="O534" i="8"/>
  <c r="N534" i="8"/>
  <c r="M534" i="8"/>
  <c r="L534" i="8"/>
  <c r="S533" i="8" a="1"/>
  <c r="R533" i="8"/>
  <c r="Q533" i="8"/>
  <c r="P533" i="8"/>
  <c r="O533" i="8"/>
  <c r="N533" i="8"/>
  <c r="M533" i="8"/>
  <c r="L533" i="8"/>
  <c r="S532" i="8" a="1"/>
  <c r="R532" i="8"/>
  <c r="Q532" i="8"/>
  <c r="P532" i="8"/>
  <c r="O532" i="8"/>
  <c r="N532" i="8"/>
  <c r="M532" i="8"/>
  <c r="L532" i="8"/>
  <c r="S531" i="8" a="1"/>
  <c r="R531" i="8"/>
  <c r="Q531" i="8"/>
  <c r="P531" i="8"/>
  <c r="O531" i="8"/>
  <c r="N531" i="8"/>
  <c r="M531" i="8"/>
  <c r="L531" i="8"/>
  <c r="S530" i="8" a="1"/>
  <c r="R530" i="8"/>
  <c r="Q530" i="8"/>
  <c r="P530" i="8"/>
  <c r="O530" i="8"/>
  <c r="N530" i="8"/>
  <c r="M530" i="8"/>
  <c r="L530" i="8"/>
  <c r="S529" i="8" a="1"/>
  <c r="R529" i="8"/>
  <c r="Q529" i="8"/>
  <c r="P529" i="8"/>
  <c r="O529" i="8"/>
  <c r="N529" i="8"/>
  <c r="M529" i="8"/>
  <c r="L529" i="8"/>
  <c r="S528" i="8" a="1"/>
  <c r="R528" i="8"/>
  <c r="Q528" i="8"/>
  <c r="P528" i="8"/>
  <c r="O528" i="8"/>
  <c r="N528" i="8"/>
  <c r="M528" i="8"/>
  <c r="L528" i="8"/>
  <c r="S527" i="8" a="1"/>
  <c r="R527" i="8"/>
  <c r="Q527" i="8"/>
  <c r="P527" i="8"/>
  <c r="O527" i="8"/>
  <c r="N527" i="8"/>
  <c r="M527" i="8"/>
  <c r="L527" i="8"/>
  <c r="S526" i="8" a="1"/>
  <c r="R526" i="8"/>
  <c r="Q526" i="8"/>
  <c r="P526" i="8"/>
  <c r="O526" i="8"/>
  <c r="N526" i="8"/>
  <c r="M526" i="8"/>
  <c r="L526" i="8"/>
  <c r="S525" i="8" a="1"/>
  <c r="R525" i="8"/>
  <c r="Q525" i="8"/>
  <c r="P525" i="8"/>
  <c r="O525" i="8"/>
  <c r="N525" i="8"/>
  <c r="M525" i="8"/>
  <c r="L525" i="8"/>
  <c r="S524" i="8" a="1"/>
  <c r="R524" i="8"/>
  <c r="Q524" i="8"/>
  <c r="P524" i="8"/>
  <c r="O524" i="8"/>
  <c r="N524" i="8"/>
  <c r="M524" i="8"/>
  <c r="L524" i="8"/>
  <c r="S523" i="8" a="1"/>
  <c r="R523" i="8"/>
  <c r="Q523" i="8"/>
  <c r="P523" i="8"/>
  <c r="O523" i="8"/>
  <c r="N523" i="8"/>
  <c r="M523" i="8"/>
  <c r="L523" i="8"/>
  <c r="S522" i="8" a="1"/>
  <c r="R522" i="8"/>
  <c r="Q522" i="8"/>
  <c r="P522" i="8"/>
  <c r="O522" i="8"/>
  <c r="N522" i="8"/>
  <c r="M522" i="8"/>
  <c r="L522" i="8"/>
  <c r="S521" i="8" a="1"/>
  <c r="R521" i="8"/>
  <c r="Q521" i="8"/>
  <c r="P521" i="8"/>
  <c r="O521" i="8"/>
  <c r="N521" i="8"/>
  <c r="M521" i="8"/>
  <c r="L521" i="8"/>
  <c r="S520" i="8" a="1"/>
  <c r="R520" i="8"/>
  <c r="Q520" i="8"/>
  <c r="P520" i="8"/>
  <c r="O520" i="8"/>
  <c r="N520" i="8"/>
  <c r="M520" i="8"/>
  <c r="L520" i="8"/>
  <c r="S519" i="8" a="1"/>
  <c r="R519" i="8"/>
  <c r="Q519" i="8"/>
  <c r="P519" i="8"/>
  <c r="O519" i="8"/>
  <c r="N519" i="8"/>
  <c r="M519" i="8"/>
  <c r="L519" i="8"/>
  <c r="S518" i="8" a="1"/>
  <c r="R518" i="8"/>
  <c r="Q518" i="8"/>
  <c r="P518" i="8"/>
  <c r="O518" i="8"/>
  <c r="N518" i="8"/>
  <c r="M518" i="8"/>
  <c r="L518" i="8"/>
  <c r="S517" i="8" a="1"/>
  <c r="R517" i="8"/>
  <c r="Q517" i="8"/>
  <c r="P517" i="8"/>
  <c r="O517" i="8"/>
  <c r="N517" i="8"/>
  <c r="M517" i="8"/>
  <c r="L517" i="8"/>
  <c r="S516" i="8" a="1"/>
  <c r="R516" i="8"/>
  <c r="Q516" i="8"/>
  <c r="P516" i="8"/>
  <c r="O516" i="8"/>
  <c r="N516" i="8"/>
  <c r="M516" i="8"/>
  <c r="L516" i="8"/>
  <c r="S515" i="8" a="1"/>
  <c r="R515" i="8"/>
  <c r="Q515" i="8"/>
  <c r="P515" i="8"/>
  <c r="O515" i="8"/>
  <c r="N515" i="8"/>
  <c r="M515" i="8"/>
  <c r="L515" i="8"/>
  <c r="S514" i="8" a="1"/>
  <c r="R514" i="8"/>
  <c r="Q514" i="8"/>
  <c r="P514" i="8"/>
  <c r="O514" i="8"/>
  <c r="N514" i="8"/>
  <c r="M514" i="8"/>
  <c r="L514" i="8"/>
  <c r="S513" i="8" a="1"/>
  <c r="R513" i="8"/>
  <c r="Q513" i="8"/>
  <c r="P513" i="8"/>
  <c r="O513" i="8"/>
  <c r="N513" i="8"/>
  <c r="M513" i="8"/>
  <c r="L513" i="8"/>
  <c r="S512" i="8" a="1"/>
  <c r="R512" i="8"/>
  <c r="Q512" i="8"/>
  <c r="P512" i="8"/>
  <c r="O512" i="8"/>
  <c r="N512" i="8"/>
  <c r="M512" i="8"/>
  <c r="L512" i="8"/>
  <c r="S511" i="8" a="1"/>
  <c r="R511" i="8"/>
  <c r="Q511" i="8"/>
  <c r="P511" i="8"/>
  <c r="O511" i="8"/>
  <c r="N511" i="8"/>
  <c r="M511" i="8"/>
  <c r="L511" i="8"/>
  <c r="S510" i="8" a="1"/>
  <c r="R510" i="8"/>
  <c r="Q510" i="8"/>
  <c r="P510" i="8"/>
  <c r="O510" i="8"/>
  <c r="N510" i="8"/>
  <c r="M510" i="8"/>
  <c r="L510" i="8"/>
  <c r="S509" i="8" a="1"/>
  <c r="R509" i="8"/>
  <c r="Q509" i="8"/>
  <c r="P509" i="8"/>
  <c r="O509" i="8"/>
  <c r="N509" i="8"/>
  <c r="M509" i="8"/>
  <c r="L509" i="8"/>
  <c r="S508" i="8" a="1"/>
  <c r="R508" i="8"/>
  <c r="Q508" i="8"/>
  <c r="P508" i="8"/>
  <c r="O508" i="8"/>
  <c r="N508" i="8"/>
  <c r="M508" i="8"/>
  <c r="L508" i="8"/>
  <c r="S507" i="8" a="1"/>
  <c r="R507" i="8"/>
  <c r="Q507" i="8"/>
  <c r="P507" i="8"/>
  <c r="O507" i="8"/>
  <c r="N507" i="8"/>
  <c r="M507" i="8"/>
  <c r="L507" i="8"/>
  <c r="S506" i="8" a="1"/>
  <c r="R506" i="8"/>
  <c r="Q506" i="8"/>
  <c r="P506" i="8"/>
  <c r="O506" i="8"/>
  <c r="N506" i="8"/>
  <c r="M506" i="8"/>
  <c r="L506" i="8"/>
  <c r="S505" i="8" a="1"/>
  <c r="R505" i="8"/>
  <c r="Q505" i="8"/>
  <c r="P505" i="8"/>
  <c r="O505" i="8"/>
  <c r="N505" i="8"/>
  <c r="M505" i="8"/>
  <c r="L505" i="8"/>
  <c r="S504" i="8" a="1"/>
  <c r="R504" i="8"/>
  <c r="Q504" i="8"/>
  <c r="P504" i="8"/>
  <c r="O504" i="8"/>
  <c r="N504" i="8"/>
  <c r="M504" i="8"/>
  <c r="L504" i="8"/>
  <c r="S503" i="8" a="1"/>
  <c r="R503" i="8"/>
  <c r="Q503" i="8"/>
  <c r="P503" i="8"/>
  <c r="O503" i="8"/>
  <c r="N503" i="8"/>
  <c r="M503" i="8"/>
  <c r="L503" i="8"/>
  <c r="S502" i="8" a="1"/>
  <c r="R502" i="8"/>
  <c r="Q502" i="8"/>
  <c r="P502" i="8"/>
  <c r="O502" i="8"/>
  <c r="N502" i="8"/>
  <c r="M502" i="8"/>
  <c r="L502" i="8"/>
  <c r="S501" i="8" a="1"/>
  <c r="R501" i="8"/>
  <c r="Q501" i="8"/>
  <c r="P501" i="8"/>
  <c r="O501" i="8"/>
  <c r="N501" i="8"/>
  <c r="M501" i="8"/>
  <c r="L501" i="8"/>
  <c r="S500" i="8" a="1"/>
  <c r="R500" i="8"/>
  <c r="Q500" i="8"/>
  <c r="P500" i="8"/>
  <c r="O500" i="8"/>
  <c r="N500" i="8"/>
  <c r="M500" i="8"/>
  <c r="L500" i="8"/>
  <c r="S499" i="8" a="1"/>
  <c r="R499" i="8"/>
  <c r="Q499" i="8"/>
  <c r="P499" i="8"/>
  <c r="O499" i="8"/>
  <c r="N499" i="8"/>
  <c r="M499" i="8"/>
  <c r="L499" i="8"/>
  <c r="S498" i="8" a="1"/>
  <c r="R498" i="8"/>
  <c r="Q498" i="8"/>
  <c r="P498" i="8"/>
  <c r="O498" i="8"/>
  <c r="N498" i="8"/>
  <c r="M498" i="8"/>
  <c r="L498" i="8"/>
  <c r="S497" i="8" a="1"/>
  <c r="R497" i="8"/>
  <c r="Q497" i="8"/>
  <c r="P497" i="8"/>
  <c r="O497" i="8"/>
  <c r="N497" i="8"/>
  <c r="M497" i="8"/>
  <c r="L497" i="8"/>
  <c r="S496" i="8" a="1"/>
  <c r="R496" i="8"/>
  <c r="Q496" i="8"/>
  <c r="P496" i="8"/>
  <c r="O496" i="8"/>
  <c r="N496" i="8"/>
  <c r="M496" i="8"/>
  <c r="L496" i="8"/>
  <c r="S495" i="8" a="1"/>
  <c r="R495" i="8"/>
  <c r="Q495" i="8"/>
  <c r="P495" i="8"/>
  <c r="O495" i="8"/>
  <c r="N495" i="8"/>
  <c r="M495" i="8"/>
  <c r="L495" i="8"/>
  <c r="S494" i="8" a="1"/>
  <c r="R494" i="8"/>
  <c r="Q494" i="8"/>
  <c r="P494" i="8"/>
  <c r="O494" i="8"/>
  <c r="N494" i="8"/>
  <c r="M494" i="8"/>
  <c r="L494" i="8"/>
  <c r="S493" i="8" a="1"/>
  <c r="R493" i="8"/>
  <c r="Q493" i="8"/>
  <c r="P493" i="8"/>
  <c r="O493" i="8"/>
  <c r="N493" i="8"/>
  <c r="M493" i="8"/>
  <c r="L493" i="8"/>
  <c r="S492" i="8" a="1"/>
  <c r="R492" i="8"/>
  <c r="Q492" i="8"/>
  <c r="P492" i="8"/>
  <c r="O492" i="8"/>
  <c r="N492" i="8"/>
  <c r="M492" i="8"/>
  <c r="L492" i="8"/>
  <c r="S491" i="8" a="1"/>
  <c r="R491" i="8"/>
  <c r="Q491" i="8"/>
  <c r="P491" i="8"/>
  <c r="O491" i="8"/>
  <c r="N491" i="8"/>
  <c r="M491" i="8"/>
  <c r="L491" i="8"/>
  <c r="S490" i="8" a="1"/>
  <c r="R490" i="8"/>
  <c r="Q490" i="8"/>
  <c r="P490" i="8"/>
  <c r="O490" i="8"/>
  <c r="N490" i="8"/>
  <c r="M490" i="8"/>
  <c r="L490" i="8"/>
  <c r="S489" i="8" a="1"/>
  <c r="R489" i="8"/>
  <c r="Q489" i="8"/>
  <c r="P489" i="8"/>
  <c r="O489" i="8"/>
  <c r="N489" i="8"/>
  <c r="M489" i="8"/>
  <c r="L489" i="8"/>
  <c r="S488" i="8" a="1"/>
  <c r="R488" i="8"/>
  <c r="Q488" i="8"/>
  <c r="P488" i="8"/>
  <c r="O488" i="8"/>
  <c r="N488" i="8"/>
  <c r="M488" i="8"/>
  <c r="L488" i="8"/>
  <c r="S487" i="8" a="1"/>
  <c r="R487" i="8"/>
  <c r="Q487" i="8"/>
  <c r="P487" i="8"/>
  <c r="O487" i="8"/>
  <c r="N487" i="8"/>
  <c r="M487" i="8"/>
  <c r="L487" i="8"/>
  <c r="S486" i="8" a="1"/>
  <c r="R486" i="8"/>
  <c r="Q486" i="8"/>
  <c r="P486" i="8"/>
  <c r="O486" i="8"/>
  <c r="N486" i="8"/>
  <c r="M486" i="8"/>
  <c r="L486" i="8"/>
  <c r="S485" i="8" a="1"/>
  <c r="R485" i="8"/>
  <c r="Q485" i="8"/>
  <c r="P485" i="8"/>
  <c r="O485" i="8"/>
  <c r="N485" i="8"/>
  <c r="M485" i="8"/>
  <c r="L485" i="8"/>
  <c r="S484" i="8" a="1"/>
  <c r="R484" i="8"/>
  <c r="Q484" i="8"/>
  <c r="P484" i="8"/>
  <c r="O484" i="8"/>
  <c r="N484" i="8"/>
  <c r="M484" i="8"/>
  <c r="L484" i="8"/>
  <c r="S483" i="8" a="1"/>
  <c r="R483" i="8"/>
  <c r="Q483" i="8"/>
  <c r="P483" i="8"/>
  <c r="O483" i="8"/>
  <c r="N483" i="8"/>
  <c r="M483" i="8"/>
  <c r="L483" i="8"/>
  <c r="S482" i="8" a="1"/>
  <c r="R482" i="8"/>
  <c r="Q482" i="8"/>
  <c r="P482" i="8"/>
  <c r="O482" i="8"/>
  <c r="N482" i="8"/>
  <c r="M482" i="8"/>
  <c r="L482" i="8"/>
  <c r="S481" i="8" a="1"/>
  <c r="R481" i="8"/>
  <c r="Q481" i="8"/>
  <c r="P481" i="8"/>
  <c r="O481" i="8"/>
  <c r="N481" i="8"/>
  <c r="M481" i="8"/>
  <c r="L481" i="8"/>
  <c r="S480" i="8" a="1"/>
  <c r="R480" i="8"/>
  <c r="Q480" i="8"/>
  <c r="P480" i="8"/>
  <c r="O480" i="8"/>
  <c r="N480" i="8"/>
  <c r="M480" i="8"/>
  <c r="L480" i="8"/>
  <c r="S479" i="8" a="1"/>
  <c r="R479" i="8"/>
  <c r="Q479" i="8"/>
  <c r="P479" i="8"/>
  <c r="O479" i="8"/>
  <c r="N479" i="8"/>
  <c r="M479" i="8"/>
  <c r="L479" i="8"/>
  <c r="S478" i="8" a="1"/>
  <c r="R478" i="8"/>
  <c r="Q478" i="8"/>
  <c r="P478" i="8"/>
  <c r="O478" i="8"/>
  <c r="N478" i="8"/>
  <c r="M478" i="8"/>
  <c r="L478" i="8"/>
  <c r="S477" i="8" a="1"/>
  <c r="R477" i="8"/>
  <c r="Q477" i="8"/>
  <c r="P477" i="8"/>
  <c r="O477" i="8"/>
  <c r="N477" i="8"/>
  <c r="M477" i="8"/>
  <c r="L477" i="8"/>
  <c r="S476" i="8" a="1"/>
  <c r="R476" i="8"/>
  <c r="Q476" i="8"/>
  <c r="P476" i="8"/>
  <c r="O476" i="8"/>
  <c r="N476" i="8"/>
  <c r="M476" i="8"/>
  <c r="L476" i="8"/>
  <c r="S475" i="8" a="1"/>
  <c r="R475" i="8"/>
  <c r="Q475" i="8"/>
  <c r="P475" i="8"/>
  <c r="O475" i="8"/>
  <c r="N475" i="8"/>
  <c r="M475" i="8"/>
  <c r="L475" i="8"/>
  <c r="S474" i="8" a="1"/>
  <c r="R474" i="8"/>
  <c r="Q474" i="8"/>
  <c r="P474" i="8"/>
  <c r="O474" i="8"/>
  <c r="N474" i="8"/>
  <c r="M474" i="8"/>
  <c r="L474" i="8"/>
  <c r="S473" i="8" a="1"/>
  <c r="R473" i="8"/>
  <c r="Q473" i="8"/>
  <c r="P473" i="8"/>
  <c r="O473" i="8"/>
  <c r="N473" i="8"/>
  <c r="M473" i="8"/>
  <c r="L473" i="8"/>
  <c r="S472" i="8" a="1"/>
  <c r="R472" i="8"/>
  <c r="Q472" i="8"/>
  <c r="P472" i="8"/>
  <c r="O472" i="8"/>
  <c r="N472" i="8"/>
  <c r="M472" i="8"/>
  <c r="L472" i="8"/>
  <c r="S471" i="8" a="1"/>
  <c r="R471" i="8"/>
  <c r="Q471" i="8"/>
  <c r="P471" i="8"/>
  <c r="O471" i="8"/>
  <c r="N471" i="8"/>
  <c r="M471" i="8"/>
  <c r="L471" i="8"/>
  <c r="S470" i="8" a="1"/>
  <c r="R470" i="8"/>
  <c r="Q470" i="8"/>
  <c r="P470" i="8"/>
  <c r="O470" i="8"/>
  <c r="N470" i="8"/>
  <c r="M470" i="8"/>
  <c r="L470" i="8"/>
  <c r="S469" i="8" a="1"/>
  <c r="R469" i="8"/>
  <c r="Q469" i="8"/>
  <c r="P469" i="8"/>
  <c r="O469" i="8"/>
  <c r="N469" i="8"/>
  <c r="M469" i="8"/>
  <c r="L469" i="8"/>
  <c r="S468" i="8" a="1"/>
  <c r="R468" i="8"/>
  <c r="Q468" i="8"/>
  <c r="P468" i="8"/>
  <c r="O468" i="8"/>
  <c r="N468" i="8"/>
  <c r="M468" i="8"/>
  <c r="L468" i="8"/>
  <c r="S467" i="8" a="1"/>
  <c r="R467" i="8"/>
  <c r="Q467" i="8"/>
  <c r="P467" i="8"/>
  <c r="O467" i="8"/>
  <c r="N467" i="8"/>
  <c r="M467" i="8"/>
  <c r="L467" i="8"/>
  <c r="S466" i="8" a="1"/>
  <c r="R466" i="8"/>
  <c r="Q466" i="8"/>
  <c r="P466" i="8"/>
  <c r="O466" i="8"/>
  <c r="N466" i="8"/>
  <c r="M466" i="8"/>
  <c r="L466" i="8"/>
  <c r="S465" i="8" a="1"/>
  <c r="R465" i="8"/>
  <c r="Q465" i="8"/>
  <c r="P465" i="8"/>
  <c r="O465" i="8"/>
  <c r="N465" i="8"/>
  <c r="M465" i="8"/>
  <c r="L465" i="8"/>
  <c r="S464" i="8" a="1"/>
  <c r="R464" i="8"/>
  <c r="Q464" i="8"/>
  <c r="P464" i="8"/>
  <c r="O464" i="8"/>
  <c r="N464" i="8"/>
  <c r="M464" i="8"/>
  <c r="L464" i="8"/>
  <c r="S463" i="8" a="1"/>
  <c r="R463" i="8"/>
  <c r="Q463" i="8"/>
  <c r="P463" i="8"/>
  <c r="O463" i="8"/>
  <c r="N463" i="8"/>
  <c r="M463" i="8"/>
  <c r="L463" i="8"/>
  <c r="S462" i="8" a="1"/>
  <c r="R462" i="8"/>
  <c r="Q462" i="8"/>
  <c r="P462" i="8"/>
  <c r="O462" i="8"/>
  <c r="N462" i="8"/>
  <c r="M462" i="8"/>
  <c r="L462" i="8"/>
  <c r="S461" i="8" a="1"/>
  <c r="R461" i="8"/>
  <c r="Q461" i="8"/>
  <c r="P461" i="8"/>
  <c r="O461" i="8"/>
  <c r="N461" i="8"/>
  <c r="M461" i="8"/>
  <c r="L461" i="8"/>
  <c r="S460" i="8" a="1"/>
  <c r="R460" i="8"/>
  <c r="Q460" i="8"/>
  <c r="P460" i="8"/>
  <c r="O460" i="8"/>
  <c r="N460" i="8"/>
  <c r="M460" i="8"/>
  <c r="L460" i="8"/>
  <c r="S459" i="8" a="1"/>
  <c r="R459" i="8"/>
  <c r="Q459" i="8"/>
  <c r="P459" i="8"/>
  <c r="O459" i="8"/>
  <c r="N459" i="8"/>
  <c r="M459" i="8"/>
  <c r="L459" i="8"/>
  <c r="S458" i="8" a="1"/>
  <c r="R458" i="8"/>
  <c r="Q458" i="8"/>
  <c r="P458" i="8"/>
  <c r="O458" i="8"/>
  <c r="N458" i="8"/>
  <c r="M458" i="8"/>
  <c r="L458" i="8"/>
  <c r="S457" i="8" a="1"/>
  <c r="R457" i="8"/>
  <c r="Q457" i="8"/>
  <c r="P457" i="8"/>
  <c r="O457" i="8"/>
  <c r="N457" i="8"/>
  <c r="M457" i="8"/>
  <c r="L457" i="8"/>
  <c r="S456" i="8" a="1"/>
  <c r="R456" i="8"/>
  <c r="Q456" i="8"/>
  <c r="P456" i="8"/>
  <c r="O456" i="8"/>
  <c r="N456" i="8"/>
  <c r="M456" i="8"/>
  <c r="L456" i="8"/>
  <c r="S455" i="8" a="1"/>
  <c r="R455" i="8"/>
  <c r="Q455" i="8"/>
  <c r="P455" i="8"/>
  <c r="O455" i="8"/>
  <c r="N455" i="8"/>
  <c r="M455" i="8"/>
  <c r="L455" i="8"/>
  <c r="S454" i="8" a="1"/>
  <c r="R454" i="8"/>
  <c r="Q454" i="8"/>
  <c r="P454" i="8"/>
  <c r="O454" i="8"/>
  <c r="N454" i="8"/>
  <c r="M454" i="8"/>
  <c r="L454" i="8"/>
  <c r="S453" i="8" a="1"/>
  <c r="R453" i="8"/>
  <c r="Q453" i="8"/>
  <c r="P453" i="8"/>
  <c r="O453" i="8"/>
  <c r="N453" i="8"/>
  <c r="M453" i="8"/>
  <c r="L453" i="8"/>
  <c r="S452" i="8" a="1"/>
  <c r="R452" i="8"/>
  <c r="Q452" i="8"/>
  <c r="P452" i="8"/>
  <c r="O452" i="8"/>
  <c r="N452" i="8"/>
  <c r="M452" i="8"/>
  <c r="L452" i="8"/>
  <c r="S451" i="8" a="1"/>
  <c r="R451" i="8"/>
  <c r="Q451" i="8"/>
  <c r="P451" i="8"/>
  <c r="O451" i="8"/>
  <c r="N451" i="8"/>
  <c r="M451" i="8"/>
  <c r="L451" i="8"/>
  <c r="S450" i="8" a="1"/>
  <c r="R450" i="8"/>
  <c r="Q450" i="8"/>
  <c r="P450" i="8"/>
  <c r="O450" i="8"/>
  <c r="N450" i="8"/>
  <c r="M450" i="8"/>
  <c r="L450" i="8"/>
  <c r="S449" i="8" a="1"/>
  <c r="R449" i="8"/>
  <c r="Q449" i="8"/>
  <c r="P449" i="8"/>
  <c r="O449" i="8"/>
  <c r="N449" i="8"/>
  <c r="M449" i="8"/>
  <c r="L449" i="8"/>
  <c r="S448" i="8" a="1"/>
  <c r="R448" i="8"/>
  <c r="Q448" i="8"/>
  <c r="P448" i="8"/>
  <c r="O448" i="8"/>
  <c r="N448" i="8"/>
  <c r="M448" i="8"/>
  <c r="L448" i="8"/>
  <c r="S447" i="8" a="1"/>
  <c r="R447" i="8"/>
  <c r="Q447" i="8"/>
  <c r="P447" i="8"/>
  <c r="O447" i="8"/>
  <c r="N447" i="8"/>
  <c r="M447" i="8"/>
  <c r="L447" i="8"/>
  <c r="S446" i="8" a="1"/>
  <c r="R446" i="8"/>
  <c r="Q446" i="8"/>
  <c r="P446" i="8"/>
  <c r="O446" i="8"/>
  <c r="N446" i="8"/>
  <c r="M446" i="8"/>
  <c r="L446" i="8"/>
  <c r="S445" i="8" a="1"/>
  <c r="R445" i="8"/>
  <c r="Q445" i="8"/>
  <c r="P445" i="8"/>
  <c r="O445" i="8"/>
  <c r="N445" i="8"/>
  <c r="M445" i="8"/>
  <c r="L445" i="8"/>
  <c r="S444" i="8" a="1"/>
  <c r="R444" i="8"/>
  <c r="Q444" i="8"/>
  <c r="P444" i="8"/>
  <c r="O444" i="8"/>
  <c r="N444" i="8"/>
  <c r="M444" i="8"/>
  <c r="L444" i="8"/>
  <c r="S443" i="8" a="1"/>
  <c r="R443" i="8"/>
  <c r="Q443" i="8"/>
  <c r="P443" i="8"/>
  <c r="O443" i="8"/>
  <c r="N443" i="8"/>
  <c r="M443" i="8"/>
  <c r="L443" i="8"/>
  <c r="S442" i="8" a="1"/>
  <c r="R442" i="8"/>
  <c r="Q442" i="8"/>
  <c r="P442" i="8"/>
  <c r="O442" i="8"/>
  <c r="N442" i="8"/>
  <c r="M442" i="8"/>
  <c r="L442" i="8"/>
  <c r="S441" i="8" a="1"/>
  <c r="R441" i="8"/>
  <c r="Q441" i="8"/>
  <c r="P441" i="8"/>
  <c r="O441" i="8"/>
  <c r="N441" i="8"/>
  <c r="M441" i="8"/>
  <c r="L441" i="8"/>
  <c r="S440" i="8" a="1"/>
  <c r="R440" i="8"/>
  <c r="Q440" i="8"/>
  <c r="P440" i="8"/>
  <c r="O440" i="8"/>
  <c r="N440" i="8"/>
  <c r="M440" i="8"/>
  <c r="L440" i="8"/>
  <c r="S439" i="8" a="1"/>
  <c r="R439" i="8"/>
  <c r="Q439" i="8"/>
  <c r="P439" i="8"/>
  <c r="O439" i="8"/>
  <c r="N439" i="8"/>
  <c r="M439" i="8"/>
  <c r="L439" i="8"/>
  <c r="S438" i="8" a="1"/>
  <c r="R438" i="8"/>
  <c r="Q438" i="8"/>
  <c r="P438" i="8"/>
  <c r="O438" i="8"/>
  <c r="N438" i="8"/>
  <c r="M438" i="8"/>
  <c r="L438" i="8"/>
  <c r="S437" i="8" a="1"/>
  <c r="R437" i="8"/>
  <c r="Q437" i="8"/>
  <c r="P437" i="8"/>
  <c r="O437" i="8"/>
  <c r="N437" i="8"/>
  <c r="M437" i="8"/>
  <c r="L437" i="8"/>
  <c r="S436" i="8" a="1"/>
  <c r="R436" i="8"/>
  <c r="Q436" i="8"/>
  <c r="P436" i="8"/>
  <c r="O436" i="8"/>
  <c r="N436" i="8"/>
  <c r="M436" i="8"/>
  <c r="L436" i="8"/>
  <c r="S435" i="8" a="1"/>
  <c r="R435" i="8"/>
  <c r="Q435" i="8"/>
  <c r="P435" i="8"/>
  <c r="O435" i="8"/>
  <c r="N435" i="8"/>
  <c r="M435" i="8"/>
  <c r="L435" i="8"/>
  <c r="S434" i="8" a="1"/>
  <c r="R434" i="8"/>
  <c r="Q434" i="8"/>
  <c r="P434" i="8"/>
  <c r="O434" i="8"/>
  <c r="N434" i="8"/>
  <c r="M434" i="8"/>
  <c r="L434" i="8"/>
  <c r="S433" i="8" a="1"/>
  <c r="R433" i="8"/>
  <c r="Q433" i="8"/>
  <c r="P433" i="8"/>
  <c r="O433" i="8"/>
  <c r="N433" i="8"/>
  <c r="M433" i="8"/>
  <c r="L433" i="8"/>
  <c r="S432" i="8" a="1"/>
  <c r="R432" i="8"/>
  <c r="Q432" i="8"/>
  <c r="P432" i="8"/>
  <c r="O432" i="8"/>
  <c r="N432" i="8"/>
  <c r="M432" i="8"/>
  <c r="L432" i="8"/>
  <c r="S431" i="8" a="1"/>
  <c r="R431" i="8"/>
  <c r="Q431" i="8"/>
  <c r="P431" i="8"/>
  <c r="O431" i="8"/>
  <c r="N431" i="8"/>
  <c r="M431" i="8"/>
  <c r="L431" i="8"/>
  <c r="S430" i="8" a="1"/>
  <c r="R430" i="8"/>
  <c r="Q430" i="8"/>
  <c r="P430" i="8"/>
  <c r="O430" i="8"/>
  <c r="N430" i="8"/>
  <c r="M430" i="8"/>
  <c r="L430" i="8"/>
  <c r="S429" i="8" a="1"/>
  <c r="R429" i="8"/>
  <c r="Q429" i="8"/>
  <c r="P429" i="8"/>
  <c r="O429" i="8"/>
  <c r="N429" i="8"/>
  <c r="M429" i="8"/>
  <c r="L429" i="8"/>
  <c r="S428" i="8" a="1"/>
  <c r="R428" i="8"/>
  <c r="Q428" i="8"/>
  <c r="P428" i="8"/>
  <c r="O428" i="8"/>
  <c r="N428" i="8"/>
  <c r="M428" i="8"/>
  <c r="L428" i="8"/>
  <c r="S427" i="8" a="1"/>
  <c r="R427" i="8"/>
  <c r="Q427" i="8"/>
  <c r="P427" i="8"/>
  <c r="O427" i="8"/>
  <c r="N427" i="8"/>
  <c r="M427" i="8"/>
  <c r="L427" i="8"/>
  <c r="S426" i="8" a="1"/>
  <c r="R426" i="8"/>
  <c r="Q426" i="8"/>
  <c r="P426" i="8"/>
  <c r="O426" i="8"/>
  <c r="N426" i="8"/>
  <c r="M426" i="8"/>
  <c r="L426" i="8"/>
  <c r="S425" i="8" a="1"/>
  <c r="R425" i="8"/>
  <c r="Q425" i="8"/>
  <c r="P425" i="8"/>
  <c r="O425" i="8"/>
  <c r="N425" i="8"/>
  <c r="M425" i="8"/>
  <c r="L425" i="8"/>
  <c r="S424" i="8" a="1"/>
  <c r="R424" i="8"/>
  <c r="Q424" i="8"/>
  <c r="P424" i="8"/>
  <c r="O424" i="8"/>
  <c r="N424" i="8"/>
  <c r="M424" i="8"/>
  <c r="L424" i="8"/>
  <c r="S423" i="8" a="1"/>
  <c r="R423" i="8"/>
  <c r="Q423" i="8"/>
  <c r="P423" i="8"/>
  <c r="O423" i="8"/>
  <c r="N423" i="8"/>
  <c r="M423" i="8"/>
  <c r="L423" i="8"/>
  <c r="S422" i="8" a="1"/>
  <c r="R422" i="8"/>
  <c r="Q422" i="8"/>
  <c r="P422" i="8"/>
  <c r="O422" i="8"/>
  <c r="N422" i="8"/>
  <c r="M422" i="8"/>
  <c r="L422" i="8"/>
  <c r="S421" i="8" a="1"/>
  <c r="R421" i="8"/>
  <c r="Q421" i="8"/>
  <c r="P421" i="8"/>
  <c r="O421" i="8"/>
  <c r="N421" i="8"/>
  <c r="M421" i="8"/>
  <c r="L421" i="8"/>
  <c r="S420" i="8" a="1"/>
  <c r="R420" i="8"/>
  <c r="Q420" i="8"/>
  <c r="P420" i="8"/>
  <c r="O420" i="8"/>
  <c r="N420" i="8"/>
  <c r="M420" i="8"/>
  <c r="L420" i="8"/>
  <c r="S419" i="8" a="1"/>
  <c r="R419" i="8"/>
  <c r="Q419" i="8"/>
  <c r="P419" i="8"/>
  <c r="O419" i="8"/>
  <c r="N419" i="8"/>
  <c r="M419" i="8"/>
  <c r="L419" i="8"/>
  <c r="S418" i="8" a="1"/>
  <c r="R418" i="8"/>
  <c r="Q418" i="8"/>
  <c r="P418" i="8"/>
  <c r="O418" i="8"/>
  <c r="N418" i="8"/>
  <c r="M418" i="8"/>
  <c r="L418" i="8"/>
  <c r="S417" i="8" a="1"/>
  <c r="R417" i="8"/>
  <c r="Q417" i="8"/>
  <c r="P417" i="8"/>
  <c r="O417" i="8"/>
  <c r="N417" i="8"/>
  <c r="M417" i="8"/>
  <c r="L417" i="8"/>
  <c r="S416" i="8" a="1"/>
  <c r="R416" i="8"/>
  <c r="Q416" i="8"/>
  <c r="P416" i="8"/>
  <c r="O416" i="8"/>
  <c r="N416" i="8"/>
  <c r="M416" i="8"/>
  <c r="L416" i="8"/>
  <c r="S415" i="8" a="1"/>
  <c r="R415" i="8"/>
  <c r="Q415" i="8"/>
  <c r="P415" i="8"/>
  <c r="O415" i="8"/>
  <c r="N415" i="8"/>
  <c r="M415" i="8"/>
  <c r="L415" i="8"/>
  <c r="S414" i="8" a="1"/>
  <c r="R414" i="8"/>
  <c r="Q414" i="8"/>
  <c r="P414" i="8"/>
  <c r="O414" i="8"/>
  <c r="N414" i="8"/>
  <c r="M414" i="8"/>
  <c r="L414" i="8"/>
  <c r="S413" i="8" a="1"/>
  <c r="R413" i="8"/>
  <c r="Q413" i="8"/>
  <c r="P413" i="8"/>
  <c r="O413" i="8"/>
  <c r="N413" i="8"/>
  <c r="M413" i="8"/>
  <c r="L413" i="8"/>
  <c r="S412" i="8" a="1"/>
  <c r="R412" i="8"/>
  <c r="Q412" i="8"/>
  <c r="P412" i="8"/>
  <c r="O412" i="8"/>
  <c r="N412" i="8"/>
  <c r="M412" i="8"/>
  <c r="L412" i="8"/>
  <c r="S411" i="8" a="1"/>
  <c r="R411" i="8"/>
  <c r="Q411" i="8"/>
  <c r="P411" i="8"/>
  <c r="O411" i="8"/>
  <c r="N411" i="8"/>
  <c r="M411" i="8"/>
  <c r="L411" i="8"/>
  <c r="S410" i="8" a="1"/>
  <c r="R410" i="8"/>
  <c r="Q410" i="8"/>
  <c r="P410" i="8"/>
  <c r="O410" i="8"/>
  <c r="N410" i="8"/>
  <c r="M410" i="8"/>
  <c r="L410" i="8"/>
  <c r="S409" i="8" a="1"/>
  <c r="R409" i="8"/>
  <c r="Q409" i="8"/>
  <c r="P409" i="8"/>
  <c r="O409" i="8"/>
  <c r="N409" i="8"/>
  <c r="M409" i="8"/>
  <c r="L409" i="8"/>
  <c r="S408" i="8" a="1"/>
  <c r="R408" i="8"/>
  <c r="Q408" i="8"/>
  <c r="P408" i="8"/>
  <c r="O408" i="8"/>
  <c r="N408" i="8"/>
  <c r="M408" i="8"/>
  <c r="L408" i="8"/>
  <c r="S407" i="8" a="1"/>
  <c r="R407" i="8"/>
  <c r="Q407" i="8"/>
  <c r="P407" i="8"/>
  <c r="O407" i="8"/>
  <c r="N407" i="8"/>
  <c r="M407" i="8"/>
  <c r="L407" i="8"/>
  <c r="S406" i="8" a="1"/>
  <c r="R406" i="8"/>
  <c r="Q406" i="8"/>
  <c r="P406" i="8"/>
  <c r="O406" i="8"/>
  <c r="N406" i="8"/>
  <c r="M406" i="8"/>
  <c r="L406" i="8"/>
  <c r="S405" i="8" a="1"/>
  <c r="R405" i="8"/>
  <c r="Q405" i="8"/>
  <c r="P405" i="8"/>
  <c r="O405" i="8"/>
  <c r="N405" i="8"/>
  <c r="M405" i="8"/>
  <c r="L405" i="8"/>
  <c r="S404" i="8" a="1"/>
  <c r="R404" i="8"/>
  <c r="Q404" i="8"/>
  <c r="P404" i="8"/>
  <c r="O404" i="8"/>
  <c r="N404" i="8"/>
  <c r="M404" i="8"/>
  <c r="L404" i="8"/>
  <c r="S403" i="8" a="1"/>
  <c r="R403" i="8"/>
  <c r="Q403" i="8"/>
  <c r="P403" i="8"/>
  <c r="O403" i="8"/>
  <c r="N403" i="8"/>
  <c r="M403" i="8"/>
  <c r="L403" i="8"/>
  <c r="S402" i="8" a="1"/>
  <c r="R402" i="8"/>
  <c r="Q402" i="8"/>
  <c r="P402" i="8"/>
  <c r="O402" i="8"/>
  <c r="N402" i="8"/>
  <c r="M402" i="8"/>
  <c r="L402" i="8"/>
  <c r="S401" i="8" a="1"/>
  <c r="R401" i="8"/>
  <c r="Q401" i="8"/>
  <c r="P401" i="8"/>
  <c r="O401" i="8"/>
  <c r="N401" i="8"/>
  <c r="M401" i="8"/>
  <c r="L401" i="8"/>
  <c r="S400" i="8" a="1"/>
  <c r="R400" i="8"/>
  <c r="Q400" i="8"/>
  <c r="P400" i="8"/>
  <c r="O400" i="8"/>
  <c r="N400" i="8"/>
  <c r="M400" i="8"/>
  <c r="L400" i="8"/>
  <c r="S399" i="8" a="1"/>
  <c r="R399" i="8"/>
  <c r="Q399" i="8"/>
  <c r="P399" i="8"/>
  <c r="O399" i="8"/>
  <c r="N399" i="8"/>
  <c r="M399" i="8"/>
  <c r="L399" i="8"/>
  <c r="S398" i="8" a="1"/>
  <c r="R398" i="8"/>
  <c r="Q398" i="8"/>
  <c r="P398" i="8"/>
  <c r="O398" i="8"/>
  <c r="N398" i="8"/>
  <c r="M398" i="8"/>
  <c r="L398" i="8"/>
  <c r="S397" i="8" a="1"/>
  <c r="R397" i="8"/>
  <c r="Q397" i="8"/>
  <c r="P397" i="8"/>
  <c r="O397" i="8"/>
  <c r="N397" i="8"/>
  <c r="M397" i="8"/>
  <c r="L397" i="8"/>
  <c r="S396" i="8" a="1"/>
  <c r="R396" i="8"/>
  <c r="Q396" i="8"/>
  <c r="P396" i="8"/>
  <c r="O396" i="8"/>
  <c r="N396" i="8"/>
  <c r="M396" i="8"/>
  <c r="L396" i="8"/>
  <c r="S395" i="8" a="1"/>
  <c r="R395" i="8"/>
  <c r="Q395" i="8"/>
  <c r="P395" i="8"/>
  <c r="O395" i="8"/>
  <c r="N395" i="8"/>
  <c r="M395" i="8"/>
  <c r="L395" i="8"/>
  <c r="S394" i="8" a="1"/>
  <c r="R394" i="8"/>
  <c r="Q394" i="8"/>
  <c r="P394" i="8"/>
  <c r="O394" i="8"/>
  <c r="N394" i="8"/>
  <c r="M394" i="8"/>
  <c r="L394" i="8"/>
  <c r="S393" i="8" a="1"/>
  <c r="R393" i="8"/>
  <c r="Q393" i="8"/>
  <c r="P393" i="8"/>
  <c r="O393" i="8"/>
  <c r="N393" i="8"/>
  <c r="M393" i="8"/>
  <c r="L393" i="8"/>
  <c r="S392" i="8" a="1"/>
  <c r="R392" i="8"/>
  <c r="Q392" i="8"/>
  <c r="P392" i="8"/>
  <c r="O392" i="8"/>
  <c r="N392" i="8"/>
  <c r="M392" i="8"/>
  <c r="L392" i="8"/>
  <c r="S391" i="8" a="1"/>
  <c r="R391" i="8"/>
  <c r="Q391" i="8"/>
  <c r="P391" i="8"/>
  <c r="O391" i="8"/>
  <c r="N391" i="8"/>
  <c r="M391" i="8"/>
  <c r="L391" i="8"/>
  <c r="S390" i="8" a="1"/>
  <c r="R390" i="8"/>
  <c r="Q390" i="8"/>
  <c r="P390" i="8"/>
  <c r="O390" i="8"/>
  <c r="N390" i="8"/>
  <c r="M390" i="8"/>
  <c r="L390" i="8"/>
  <c r="S389" i="8" a="1"/>
  <c r="R389" i="8"/>
  <c r="Q389" i="8"/>
  <c r="P389" i="8"/>
  <c r="O389" i="8"/>
  <c r="N389" i="8"/>
  <c r="M389" i="8"/>
  <c r="L389" i="8"/>
  <c r="S388" i="8" a="1"/>
  <c r="R388" i="8"/>
  <c r="Q388" i="8"/>
  <c r="P388" i="8"/>
  <c r="O388" i="8"/>
  <c r="N388" i="8"/>
  <c r="M388" i="8"/>
  <c r="L388" i="8"/>
  <c r="S387" i="8" a="1"/>
  <c r="R387" i="8"/>
  <c r="Q387" i="8"/>
  <c r="P387" i="8"/>
  <c r="O387" i="8"/>
  <c r="N387" i="8"/>
  <c r="M387" i="8"/>
  <c r="L387" i="8"/>
  <c r="S386" i="8" a="1"/>
  <c r="R386" i="8"/>
  <c r="Q386" i="8"/>
  <c r="P386" i="8"/>
  <c r="O386" i="8"/>
  <c r="N386" i="8"/>
  <c r="M386" i="8"/>
  <c r="L386" i="8"/>
  <c r="S385" i="8" a="1"/>
  <c r="R385" i="8"/>
  <c r="Q385" i="8"/>
  <c r="P385" i="8"/>
  <c r="O385" i="8"/>
  <c r="N385" i="8"/>
  <c r="M385" i="8"/>
  <c r="L385" i="8"/>
  <c r="S384" i="8" a="1"/>
  <c r="R384" i="8"/>
  <c r="Q384" i="8"/>
  <c r="P384" i="8"/>
  <c r="O384" i="8"/>
  <c r="N384" i="8"/>
  <c r="M384" i="8"/>
  <c r="L384" i="8"/>
  <c r="S383" i="8" a="1"/>
  <c r="R383" i="8"/>
  <c r="Q383" i="8"/>
  <c r="P383" i="8"/>
  <c r="O383" i="8"/>
  <c r="N383" i="8"/>
  <c r="M383" i="8"/>
  <c r="L383" i="8"/>
  <c r="S382" i="8" a="1"/>
  <c r="R382" i="8"/>
  <c r="Q382" i="8"/>
  <c r="P382" i="8"/>
  <c r="O382" i="8"/>
  <c r="N382" i="8"/>
  <c r="M382" i="8"/>
  <c r="L382" i="8"/>
  <c r="S381" i="8" a="1"/>
  <c r="R381" i="8"/>
  <c r="Q381" i="8"/>
  <c r="P381" i="8"/>
  <c r="O381" i="8"/>
  <c r="N381" i="8"/>
  <c r="M381" i="8"/>
  <c r="L381" i="8"/>
  <c r="S380" i="8" a="1"/>
  <c r="R380" i="8"/>
  <c r="Q380" i="8"/>
  <c r="P380" i="8"/>
  <c r="O380" i="8"/>
  <c r="N380" i="8"/>
  <c r="M380" i="8"/>
  <c r="L380" i="8"/>
  <c r="S379" i="8" a="1"/>
  <c r="R379" i="8"/>
  <c r="Q379" i="8"/>
  <c r="P379" i="8"/>
  <c r="O379" i="8"/>
  <c r="N379" i="8"/>
  <c r="M379" i="8"/>
  <c r="L379" i="8"/>
  <c r="S378" i="8" a="1"/>
  <c r="R378" i="8"/>
  <c r="Q378" i="8"/>
  <c r="P378" i="8"/>
  <c r="O378" i="8"/>
  <c r="N378" i="8"/>
  <c r="M378" i="8"/>
  <c r="L378" i="8"/>
  <c r="S377" i="8" a="1"/>
  <c r="R377" i="8"/>
  <c r="Q377" i="8"/>
  <c r="P377" i="8"/>
  <c r="O377" i="8"/>
  <c r="N377" i="8"/>
  <c r="M377" i="8"/>
  <c r="L377" i="8"/>
  <c r="S376" i="8" a="1"/>
  <c r="R376" i="8"/>
  <c r="Q376" i="8"/>
  <c r="P376" i="8"/>
  <c r="O376" i="8"/>
  <c r="N376" i="8"/>
  <c r="M376" i="8"/>
  <c r="L376" i="8"/>
  <c r="S375" i="8" a="1"/>
  <c r="R375" i="8"/>
  <c r="Q375" i="8"/>
  <c r="P375" i="8"/>
  <c r="O375" i="8"/>
  <c r="N375" i="8"/>
  <c r="M375" i="8"/>
  <c r="L375" i="8"/>
  <c r="S374" i="8" a="1"/>
  <c r="R374" i="8"/>
  <c r="Q374" i="8"/>
  <c r="P374" i="8"/>
  <c r="O374" i="8"/>
  <c r="N374" i="8"/>
  <c r="M374" i="8"/>
  <c r="L374" i="8"/>
  <c r="S373" i="8" a="1"/>
  <c r="R373" i="8"/>
  <c r="Q373" i="8"/>
  <c r="P373" i="8"/>
  <c r="O373" i="8"/>
  <c r="N373" i="8"/>
  <c r="M373" i="8"/>
  <c r="L373" i="8"/>
  <c r="S372" i="8" a="1"/>
  <c r="R372" i="8"/>
  <c r="Q372" i="8"/>
  <c r="P372" i="8"/>
  <c r="O372" i="8"/>
  <c r="N372" i="8"/>
  <c r="M372" i="8"/>
  <c r="L372" i="8"/>
  <c r="S371" i="8" a="1"/>
  <c r="R371" i="8"/>
  <c r="Q371" i="8"/>
  <c r="P371" i="8"/>
  <c r="O371" i="8"/>
  <c r="N371" i="8"/>
  <c r="M371" i="8"/>
  <c r="L371" i="8"/>
  <c r="S370" i="8" a="1"/>
  <c r="R370" i="8"/>
  <c r="Q370" i="8"/>
  <c r="P370" i="8"/>
  <c r="O370" i="8"/>
  <c r="N370" i="8"/>
  <c r="M370" i="8"/>
  <c r="L370" i="8"/>
  <c r="S369" i="8" a="1"/>
  <c r="R369" i="8"/>
  <c r="Q369" i="8"/>
  <c r="P369" i="8"/>
  <c r="O369" i="8"/>
  <c r="N369" i="8"/>
  <c r="M369" i="8"/>
  <c r="L369" i="8"/>
  <c r="S368" i="8" a="1"/>
  <c r="R368" i="8"/>
  <c r="Q368" i="8"/>
  <c r="P368" i="8"/>
  <c r="O368" i="8"/>
  <c r="N368" i="8"/>
  <c r="M368" i="8"/>
  <c r="L368" i="8"/>
  <c r="S367" i="8" a="1"/>
  <c r="R367" i="8"/>
  <c r="Q367" i="8"/>
  <c r="P367" i="8"/>
  <c r="O367" i="8"/>
  <c r="N367" i="8"/>
  <c r="M367" i="8"/>
  <c r="L367" i="8"/>
  <c r="S366" i="8" a="1"/>
  <c r="R366" i="8"/>
  <c r="Q366" i="8"/>
  <c r="P366" i="8"/>
  <c r="O366" i="8"/>
  <c r="N366" i="8"/>
  <c r="M366" i="8"/>
  <c r="L366" i="8"/>
  <c r="S365" i="8" a="1"/>
  <c r="R365" i="8"/>
  <c r="Q365" i="8"/>
  <c r="P365" i="8"/>
  <c r="O365" i="8"/>
  <c r="N365" i="8"/>
  <c r="M365" i="8"/>
  <c r="L365" i="8"/>
  <c r="S364" i="8" a="1"/>
  <c r="R364" i="8"/>
  <c r="Q364" i="8"/>
  <c r="P364" i="8"/>
  <c r="O364" i="8"/>
  <c r="N364" i="8"/>
  <c r="M364" i="8"/>
  <c r="L364" i="8"/>
  <c r="S363" i="8" a="1"/>
  <c r="R363" i="8"/>
  <c r="Q363" i="8"/>
  <c r="P363" i="8"/>
  <c r="O363" i="8"/>
  <c r="N363" i="8"/>
  <c r="M363" i="8"/>
  <c r="L363" i="8"/>
  <c r="S362" i="8" a="1"/>
  <c r="R362" i="8"/>
  <c r="Q362" i="8"/>
  <c r="P362" i="8"/>
  <c r="O362" i="8"/>
  <c r="N362" i="8"/>
  <c r="M362" i="8"/>
  <c r="L362" i="8"/>
  <c r="S361" i="8" a="1"/>
  <c r="R361" i="8"/>
  <c r="Q361" i="8"/>
  <c r="P361" i="8"/>
  <c r="O361" i="8"/>
  <c r="N361" i="8"/>
  <c r="M361" i="8"/>
  <c r="L361" i="8"/>
  <c r="S360" i="8" a="1"/>
  <c r="R360" i="8"/>
  <c r="Q360" i="8"/>
  <c r="P360" i="8"/>
  <c r="O360" i="8"/>
  <c r="N360" i="8"/>
  <c r="M360" i="8"/>
  <c r="L360" i="8"/>
  <c r="S359" i="8" a="1"/>
  <c r="R359" i="8"/>
  <c r="Q359" i="8"/>
  <c r="P359" i="8"/>
  <c r="O359" i="8"/>
  <c r="N359" i="8"/>
  <c r="M359" i="8"/>
  <c r="L359" i="8"/>
  <c r="S358" i="8" a="1"/>
  <c r="R358" i="8"/>
  <c r="Q358" i="8"/>
  <c r="P358" i="8"/>
  <c r="O358" i="8"/>
  <c r="N358" i="8"/>
  <c r="M358" i="8"/>
  <c r="L358" i="8"/>
  <c r="S357" i="8" a="1"/>
  <c r="R357" i="8"/>
  <c r="Q357" i="8"/>
  <c r="P357" i="8"/>
  <c r="O357" i="8"/>
  <c r="N357" i="8"/>
  <c r="M357" i="8"/>
  <c r="L357" i="8"/>
  <c r="S356" i="8" a="1"/>
  <c r="R356" i="8"/>
  <c r="Q356" i="8"/>
  <c r="P356" i="8"/>
  <c r="O356" i="8"/>
  <c r="N356" i="8"/>
  <c r="M356" i="8"/>
  <c r="L356" i="8"/>
  <c r="S355" i="8" a="1"/>
  <c r="R355" i="8"/>
  <c r="Q355" i="8"/>
  <c r="P355" i="8"/>
  <c r="O355" i="8"/>
  <c r="N355" i="8"/>
  <c r="M355" i="8"/>
  <c r="L355" i="8"/>
  <c r="S354" i="8" a="1"/>
  <c r="R354" i="8"/>
  <c r="Q354" i="8"/>
  <c r="P354" i="8"/>
  <c r="O354" i="8"/>
  <c r="N354" i="8"/>
  <c r="M354" i="8"/>
  <c r="L354" i="8"/>
  <c r="S353" i="8" a="1"/>
  <c r="R353" i="8"/>
  <c r="Q353" i="8"/>
  <c r="P353" i="8"/>
  <c r="O353" i="8"/>
  <c r="N353" i="8"/>
  <c r="M353" i="8"/>
  <c r="L353" i="8"/>
  <c r="S352" i="8" a="1"/>
  <c r="R352" i="8"/>
  <c r="Q352" i="8"/>
  <c r="P352" i="8"/>
  <c r="O352" i="8"/>
  <c r="N352" i="8"/>
  <c r="M352" i="8"/>
  <c r="L352" i="8"/>
  <c r="S351" i="8" a="1"/>
  <c r="R351" i="8"/>
  <c r="Q351" i="8"/>
  <c r="P351" i="8"/>
  <c r="O351" i="8"/>
  <c r="N351" i="8"/>
  <c r="M351" i="8"/>
  <c r="L351" i="8"/>
  <c r="S350" i="8" a="1"/>
  <c r="R350" i="8"/>
  <c r="Q350" i="8"/>
  <c r="P350" i="8"/>
  <c r="O350" i="8"/>
  <c r="N350" i="8"/>
  <c r="M350" i="8"/>
  <c r="L350" i="8"/>
  <c r="S349" i="8" a="1"/>
  <c r="R349" i="8"/>
  <c r="Q349" i="8"/>
  <c r="P349" i="8"/>
  <c r="O349" i="8"/>
  <c r="N349" i="8"/>
  <c r="M349" i="8"/>
  <c r="L349" i="8"/>
  <c r="S348" i="8" a="1"/>
  <c r="R348" i="8"/>
  <c r="Q348" i="8"/>
  <c r="P348" i="8"/>
  <c r="O348" i="8"/>
  <c r="N348" i="8"/>
  <c r="M348" i="8"/>
  <c r="L348" i="8"/>
  <c r="S347" i="8" a="1"/>
  <c r="R347" i="8"/>
  <c r="Q347" i="8"/>
  <c r="P347" i="8"/>
  <c r="O347" i="8"/>
  <c r="N347" i="8"/>
  <c r="M347" i="8"/>
  <c r="L347" i="8"/>
  <c r="S346" i="8" a="1"/>
  <c r="R346" i="8"/>
  <c r="Q346" i="8"/>
  <c r="P346" i="8"/>
  <c r="O346" i="8"/>
  <c r="N346" i="8"/>
  <c r="M346" i="8"/>
  <c r="L346" i="8"/>
  <c r="S345" i="8" a="1"/>
  <c r="R345" i="8"/>
  <c r="Q345" i="8"/>
  <c r="P345" i="8"/>
  <c r="O345" i="8"/>
  <c r="N345" i="8"/>
  <c r="M345" i="8"/>
  <c r="L345" i="8"/>
  <c r="S344" i="8" a="1"/>
  <c r="R344" i="8"/>
  <c r="Q344" i="8"/>
  <c r="P344" i="8"/>
  <c r="O344" i="8"/>
  <c r="N344" i="8"/>
  <c r="M344" i="8"/>
  <c r="L344" i="8"/>
  <c r="S343" i="8" a="1"/>
  <c r="R343" i="8"/>
  <c r="Q343" i="8"/>
  <c r="P343" i="8"/>
  <c r="O343" i="8"/>
  <c r="N343" i="8"/>
  <c r="M343" i="8"/>
  <c r="L343" i="8"/>
  <c r="S342" i="8" a="1"/>
  <c r="R342" i="8"/>
  <c r="Q342" i="8"/>
  <c r="P342" i="8"/>
  <c r="O342" i="8"/>
  <c r="N342" i="8"/>
  <c r="M342" i="8"/>
  <c r="L342" i="8"/>
  <c r="S341" i="8" a="1"/>
  <c r="R341" i="8"/>
  <c r="Q341" i="8"/>
  <c r="P341" i="8"/>
  <c r="O341" i="8"/>
  <c r="N341" i="8"/>
  <c r="M341" i="8"/>
  <c r="L341" i="8"/>
  <c r="S340" i="8" a="1"/>
  <c r="R340" i="8"/>
  <c r="Q340" i="8"/>
  <c r="P340" i="8"/>
  <c r="O340" i="8"/>
  <c r="N340" i="8"/>
  <c r="M340" i="8"/>
  <c r="L340" i="8"/>
  <c r="S339" i="8" a="1"/>
  <c r="R339" i="8"/>
  <c r="Q339" i="8"/>
  <c r="P339" i="8"/>
  <c r="O339" i="8"/>
  <c r="N339" i="8"/>
  <c r="M339" i="8"/>
  <c r="L339" i="8"/>
  <c r="S338" i="8" a="1"/>
  <c r="R338" i="8"/>
  <c r="Q338" i="8"/>
  <c r="P338" i="8"/>
  <c r="O338" i="8"/>
  <c r="N338" i="8"/>
  <c r="M338" i="8"/>
  <c r="L338" i="8"/>
  <c r="S337" i="8" a="1"/>
  <c r="R337" i="8"/>
  <c r="Q337" i="8"/>
  <c r="P337" i="8"/>
  <c r="O337" i="8"/>
  <c r="N337" i="8"/>
  <c r="M337" i="8"/>
  <c r="L337" i="8"/>
  <c r="S336" i="8" a="1"/>
  <c r="R336" i="8"/>
  <c r="Q336" i="8"/>
  <c r="P336" i="8"/>
  <c r="O336" i="8"/>
  <c r="N336" i="8"/>
  <c r="M336" i="8"/>
  <c r="L336" i="8"/>
  <c r="S335" i="8" a="1"/>
  <c r="R335" i="8"/>
  <c r="Q335" i="8"/>
  <c r="P335" i="8"/>
  <c r="O335" i="8"/>
  <c r="N335" i="8"/>
  <c r="M335" i="8"/>
  <c r="L335" i="8"/>
  <c r="S334" i="8" a="1"/>
  <c r="R334" i="8"/>
  <c r="Q334" i="8"/>
  <c r="P334" i="8"/>
  <c r="O334" i="8"/>
  <c r="N334" i="8"/>
  <c r="M334" i="8"/>
  <c r="L334" i="8"/>
  <c r="S333" i="8" a="1"/>
  <c r="R333" i="8"/>
  <c r="Q333" i="8"/>
  <c r="P333" i="8"/>
  <c r="O333" i="8"/>
  <c r="N333" i="8"/>
  <c r="M333" i="8"/>
  <c r="L333" i="8"/>
  <c r="S332" i="8" a="1"/>
  <c r="R332" i="8"/>
  <c r="Q332" i="8"/>
  <c r="P332" i="8"/>
  <c r="O332" i="8"/>
  <c r="N332" i="8"/>
  <c r="M332" i="8"/>
  <c r="L332" i="8"/>
  <c r="S331" i="8" a="1"/>
  <c r="R331" i="8"/>
  <c r="Q331" i="8"/>
  <c r="P331" i="8"/>
  <c r="O331" i="8"/>
  <c r="N331" i="8"/>
  <c r="M331" i="8"/>
  <c r="L331" i="8"/>
  <c r="S330" i="8" a="1"/>
  <c r="R330" i="8"/>
  <c r="Q330" i="8"/>
  <c r="P330" i="8"/>
  <c r="O330" i="8"/>
  <c r="N330" i="8"/>
  <c r="M330" i="8"/>
  <c r="L330" i="8"/>
  <c r="S329" i="8" a="1"/>
  <c r="R329" i="8"/>
  <c r="Q329" i="8"/>
  <c r="P329" i="8"/>
  <c r="O329" i="8"/>
  <c r="N329" i="8"/>
  <c r="M329" i="8"/>
  <c r="L329" i="8"/>
  <c r="S328" i="8" a="1"/>
  <c r="R328" i="8"/>
  <c r="Q328" i="8"/>
  <c r="P328" i="8"/>
  <c r="O328" i="8"/>
  <c r="N328" i="8"/>
  <c r="M328" i="8"/>
  <c r="L328" i="8"/>
  <c r="S327" i="8" a="1"/>
  <c r="R327" i="8"/>
  <c r="Q327" i="8"/>
  <c r="P327" i="8"/>
  <c r="O327" i="8"/>
  <c r="N327" i="8"/>
  <c r="M327" i="8"/>
  <c r="L327" i="8"/>
  <c r="S326" i="8" a="1"/>
  <c r="R326" i="8"/>
  <c r="Q326" i="8"/>
  <c r="P326" i="8"/>
  <c r="O326" i="8"/>
  <c r="N326" i="8"/>
  <c r="M326" i="8"/>
  <c r="L326" i="8"/>
  <c r="S325" i="8" a="1"/>
  <c r="R325" i="8"/>
  <c r="Q325" i="8"/>
  <c r="P325" i="8"/>
  <c r="O325" i="8"/>
  <c r="N325" i="8"/>
  <c r="M325" i="8"/>
  <c r="L325" i="8"/>
  <c r="S324" i="8" a="1"/>
  <c r="R324" i="8"/>
  <c r="Q324" i="8"/>
  <c r="P324" i="8"/>
  <c r="O324" i="8"/>
  <c r="N324" i="8"/>
  <c r="M324" i="8"/>
  <c r="L324" i="8"/>
  <c r="S323" i="8" a="1"/>
  <c r="R323" i="8"/>
  <c r="Q323" i="8"/>
  <c r="P323" i="8"/>
  <c r="O323" i="8"/>
  <c r="N323" i="8"/>
  <c r="M323" i="8"/>
  <c r="L323" i="8"/>
  <c r="S322" i="8" a="1"/>
  <c r="R322" i="8"/>
  <c r="Q322" i="8"/>
  <c r="P322" i="8"/>
  <c r="O322" i="8"/>
  <c r="N322" i="8"/>
  <c r="M322" i="8"/>
  <c r="L322" i="8"/>
  <c r="S321" i="8" a="1"/>
  <c r="R321" i="8"/>
  <c r="Q321" i="8"/>
  <c r="P321" i="8"/>
  <c r="O321" i="8"/>
  <c r="N321" i="8"/>
  <c r="M321" i="8"/>
  <c r="L321" i="8"/>
  <c r="S320" i="8" a="1"/>
  <c r="R320" i="8"/>
  <c r="Q320" i="8"/>
  <c r="P320" i="8"/>
  <c r="O320" i="8"/>
  <c r="N320" i="8"/>
  <c r="M320" i="8"/>
  <c r="L320" i="8"/>
  <c r="S319" i="8" a="1"/>
  <c r="R319" i="8"/>
  <c r="Q319" i="8"/>
  <c r="P319" i="8"/>
  <c r="O319" i="8"/>
  <c r="N319" i="8"/>
  <c r="M319" i="8"/>
  <c r="L319" i="8"/>
  <c r="S318" i="8" a="1"/>
  <c r="R318" i="8"/>
  <c r="Q318" i="8"/>
  <c r="P318" i="8"/>
  <c r="O318" i="8"/>
  <c r="N318" i="8"/>
  <c r="M318" i="8"/>
  <c r="L318" i="8"/>
  <c r="S317" i="8" a="1"/>
  <c r="R317" i="8"/>
  <c r="Q317" i="8"/>
  <c r="P317" i="8"/>
  <c r="O317" i="8"/>
  <c r="N317" i="8"/>
  <c r="M317" i="8"/>
  <c r="L317" i="8"/>
  <c r="S316" i="8" a="1"/>
  <c r="R316" i="8"/>
  <c r="Q316" i="8"/>
  <c r="P316" i="8"/>
  <c r="O316" i="8"/>
  <c r="N316" i="8"/>
  <c r="M316" i="8"/>
  <c r="L316" i="8"/>
  <c r="S315" i="8" a="1"/>
  <c r="R315" i="8"/>
  <c r="Q315" i="8"/>
  <c r="P315" i="8"/>
  <c r="O315" i="8"/>
  <c r="N315" i="8"/>
  <c r="M315" i="8"/>
  <c r="L315" i="8"/>
  <c r="S314" i="8" a="1"/>
  <c r="R314" i="8"/>
  <c r="Q314" i="8"/>
  <c r="P314" i="8"/>
  <c r="O314" i="8"/>
  <c r="N314" i="8"/>
  <c r="M314" i="8"/>
  <c r="L314" i="8"/>
  <c r="S313" i="8" a="1"/>
  <c r="R313" i="8"/>
  <c r="Q313" i="8"/>
  <c r="P313" i="8"/>
  <c r="O313" i="8"/>
  <c r="N313" i="8"/>
  <c r="M313" i="8"/>
  <c r="L313" i="8"/>
  <c r="S312" i="8" a="1"/>
  <c r="R312" i="8"/>
  <c r="Q312" i="8"/>
  <c r="P312" i="8"/>
  <c r="O312" i="8"/>
  <c r="N312" i="8"/>
  <c r="M312" i="8"/>
  <c r="L312" i="8"/>
  <c r="S311" i="8" a="1"/>
  <c r="R311" i="8"/>
  <c r="Q311" i="8"/>
  <c r="P311" i="8"/>
  <c r="O311" i="8"/>
  <c r="N311" i="8"/>
  <c r="M311" i="8"/>
  <c r="L311" i="8"/>
  <c r="S310" i="8" a="1"/>
  <c r="R310" i="8"/>
  <c r="Q310" i="8"/>
  <c r="P310" i="8"/>
  <c r="O310" i="8"/>
  <c r="N310" i="8"/>
  <c r="M310" i="8"/>
  <c r="L310" i="8"/>
  <c r="S309" i="8" a="1"/>
  <c r="R309" i="8"/>
  <c r="Q309" i="8"/>
  <c r="P309" i="8"/>
  <c r="O309" i="8"/>
  <c r="N309" i="8"/>
  <c r="M309" i="8"/>
  <c r="L309" i="8"/>
  <c r="S308" i="8" a="1"/>
  <c r="R308" i="8"/>
  <c r="Q308" i="8"/>
  <c r="P308" i="8"/>
  <c r="O308" i="8"/>
  <c r="N308" i="8"/>
  <c r="M308" i="8"/>
  <c r="L308" i="8"/>
  <c r="S307" i="8" a="1"/>
  <c r="R307" i="8"/>
  <c r="Q307" i="8"/>
  <c r="P307" i="8"/>
  <c r="O307" i="8"/>
  <c r="N307" i="8"/>
  <c r="M307" i="8"/>
  <c r="L307" i="8"/>
  <c r="S306" i="8" a="1"/>
  <c r="R306" i="8"/>
  <c r="Q306" i="8"/>
  <c r="P306" i="8"/>
  <c r="O306" i="8"/>
  <c r="N306" i="8"/>
  <c r="M306" i="8"/>
  <c r="L306" i="8"/>
  <c r="S305" i="8" a="1"/>
  <c r="R305" i="8"/>
  <c r="Q305" i="8"/>
  <c r="P305" i="8"/>
  <c r="O305" i="8"/>
  <c r="N305" i="8"/>
  <c r="M305" i="8"/>
  <c r="L305" i="8"/>
  <c r="S304" i="8" a="1"/>
  <c r="R304" i="8"/>
  <c r="Q304" i="8"/>
  <c r="P304" i="8"/>
  <c r="O304" i="8"/>
  <c r="N304" i="8"/>
  <c r="M304" i="8"/>
  <c r="L304" i="8"/>
  <c r="S303" i="8" a="1"/>
  <c r="R303" i="8"/>
  <c r="Q303" i="8"/>
  <c r="P303" i="8"/>
  <c r="O303" i="8"/>
  <c r="N303" i="8"/>
  <c r="M303" i="8"/>
  <c r="L303" i="8"/>
  <c r="S302" i="8" a="1"/>
  <c r="R302" i="8"/>
  <c r="Q302" i="8"/>
  <c r="P302" i="8"/>
  <c r="O302" i="8"/>
  <c r="N302" i="8"/>
  <c r="M302" i="8"/>
  <c r="L302" i="8"/>
  <c r="S301" i="8" a="1"/>
  <c r="R301" i="8"/>
  <c r="Q301" i="8"/>
  <c r="P301" i="8"/>
  <c r="O301" i="8"/>
  <c r="N301" i="8"/>
  <c r="M301" i="8"/>
  <c r="L301" i="8"/>
  <c r="S300" i="8" a="1"/>
  <c r="R300" i="8"/>
  <c r="Q300" i="8"/>
  <c r="P300" i="8"/>
  <c r="O300" i="8"/>
  <c r="N300" i="8"/>
  <c r="M300" i="8"/>
  <c r="L300" i="8"/>
  <c r="S299" i="8" a="1"/>
  <c r="R299" i="8"/>
  <c r="Q299" i="8"/>
  <c r="P299" i="8"/>
  <c r="O299" i="8"/>
  <c r="N299" i="8"/>
  <c r="M299" i="8"/>
  <c r="L299" i="8"/>
  <c r="S298" i="8" a="1"/>
  <c r="R298" i="8"/>
  <c r="Q298" i="8"/>
  <c r="P298" i="8"/>
  <c r="O298" i="8"/>
  <c r="N298" i="8"/>
  <c r="M298" i="8"/>
  <c r="L298" i="8"/>
  <c r="S297" i="8" a="1"/>
  <c r="R297" i="8"/>
  <c r="Q297" i="8"/>
  <c r="P297" i="8"/>
  <c r="O297" i="8"/>
  <c r="N297" i="8"/>
  <c r="M297" i="8"/>
  <c r="L297" i="8"/>
  <c r="S296" i="8" a="1"/>
  <c r="R296" i="8"/>
  <c r="Q296" i="8"/>
  <c r="P296" i="8"/>
  <c r="O296" i="8"/>
  <c r="N296" i="8"/>
  <c r="M296" i="8"/>
  <c r="L296" i="8"/>
  <c r="S295" i="8" a="1"/>
  <c r="R295" i="8"/>
  <c r="Q295" i="8"/>
  <c r="P295" i="8"/>
  <c r="O295" i="8"/>
  <c r="N295" i="8"/>
  <c r="M295" i="8"/>
  <c r="L295" i="8"/>
  <c r="S294" i="8" a="1"/>
  <c r="R294" i="8"/>
  <c r="Q294" i="8"/>
  <c r="P294" i="8"/>
  <c r="O294" i="8"/>
  <c r="N294" i="8"/>
  <c r="M294" i="8"/>
  <c r="L294" i="8"/>
  <c r="S293" i="8" a="1"/>
  <c r="R293" i="8"/>
  <c r="Q293" i="8"/>
  <c r="P293" i="8"/>
  <c r="O293" i="8"/>
  <c r="N293" i="8"/>
  <c r="M293" i="8"/>
  <c r="L293" i="8"/>
  <c r="S292" i="8" a="1"/>
  <c r="R292" i="8"/>
  <c r="Q292" i="8"/>
  <c r="P292" i="8"/>
  <c r="O292" i="8"/>
  <c r="N292" i="8"/>
  <c r="M292" i="8"/>
  <c r="L292" i="8"/>
  <c r="S291" i="8" a="1"/>
  <c r="R291" i="8"/>
  <c r="Q291" i="8"/>
  <c r="P291" i="8"/>
  <c r="O291" i="8"/>
  <c r="N291" i="8"/>
  <c r="M291" i="8"/>
  <c r="L291" i="8"/>
  <c r="S290" i="8" a="1"/>
  <c r="R290" i="8"/>
  <c r="Q290" i="8"/>
  <c r="P290" i="8"/>
  <c r="O290" i="8"/>
  <c r="N290" i="8"/>
  <c r="M290" i="8"/>
  <c r="L290" i="8"/>
  <c r="S289" i="8" a="1"/>
  <c r="R289" i="8"/>
  <c r="Q289" i="8"/>
  <c r="P289" i="8"/>
  <c r="O289" i="8"/>
  <c r="N289" i="8"/>
  <c r="M289" i="8"/>
  <c r="L289" i="8"/>
  <c r="S288" i="8" a="1"/>
  <c r="R288" i="8"/>
  <c r="Q288" i="8"/>
  <c r="P288" i="8"/>
  <c r="O288" i="8"/>
  <c r="N288" i="8"/>
  <c r="M288" i="8"/>
  <c r="L288" i="8"/>
  <c r="S287" i="8" a="1"/>
  <c r="R287" i="8"/>
  <c r="Q287" i="8"/>
  <c r="P287" i="8"/>
  <c r="O287" i="8"/>
  <c r="N287" i="8"/>
  <c r="M287" i="8"/>
  <c r="L287" i="8"/>
  <c r="S286" i="8" a="1"/>
  <c r="R286" i="8"/>
  <c r="Q286" i="8"/>
  <c r="P286" i="8"/>
  <c r="O286" i="8"/>
  <c r="N286" i="8"/>
  <c r="M286" i="8"/>
  <c r="L286" i="8"/>
  <c r="S285" i="8" a="1"/>
  <c r="R285" i="8"/>
  <c r="Q285" i="8"/>
  <c r="P285" i="8"/>
  <c r="O285" i="8"/>
  <c r="N285" i="8"/>
  <c r="M285" i="8"/>
  <c r="L285" i="8"/>
  <c r="S284" i="8" a="1"/>
  <c r="R284" i="8"/>
  <c r="Q284" i="8"/>
  <c r="P284" i="8"/>
  <c r="O284" i="8"/>
  <c r="N284" i="8"/>
  <c r="M284" i="8"/>
  <c r="L284" i="8"/>
  <c r="S283" i="8" a="1"/>
  <c r="R283" i="8"/>
  <c r="Q283" i="8"/>
  <c r="P283" i="8"/>
  <c r="O283" i="8"/>
  <c r="N283" i="8"/>
  <c r="M283" i="8"/>
  <c r="L283" i="8"/>
  <c r="S282" i="8" a="1"/>
  <c r="R282" i="8"/>
  <c r="Q282" i="8"/>
  <c r="P282" i="8"/>
  <c r="O282" i="8"/>
  <c r="N282" i="8"/>
  <c r="M282" i="8"/>
  <c r="L282" i="8"/>
  <c r="S281" i="8" a="1"/>
  <c r="R281" i="8"/>
  <c r="Q281" i="8"/>
  <c r="P281" i="8"/>
  <c r="O281" i="8"/>
  <c r="N281" i="8"/>
  <c r="M281" i="8"/>
  <c r="L281" i="8"/>
  <c r="S280" i="8" a="1"/>
  <c r="R280" i="8"/>
  <c r="Q280" i="8"/>
  <c r="P280" i="8"/>
  <c r="O280" i="8"/>
  <c r="N280" i="8"/>
  <c r="M280" i="8"/>
  <c r="L280" i="8"/>
  <c r="S279" i="8" a="1"/>
  <c r="R279" i="8"/>
  <c r="Q279" i="8"/>
  <c r="P279" i="8"/>
  <c r="O279" i="8"/>
  <c r="N279" i="8"/>
  <c r="M279" i="8"/>
  <c r="L279" i="8"/>
  <c r="S278" i="8" a="1"/>
  <c r="R278" i="8"/>
  <c r="Q278" i="8"/>
  <c r="P278" i="8"/>
  <c r="O278" i="8"/>
  <c r="N278" i="8"/>
  <c r="M278" i="8"/>
  <c r="L278" i="8"/>
  <c r="S277" i="8" a="1"/>
  <c r="R277" i="8"/>
  <c r="Q277" i="8"/>
  <c r="P277" i="8"/>
  <c r="O277" i="8"/>
  <c r="N277" i="8"/>
  <c r="M277" i="8"/>
  <c r="L277" i="8"/>
  <c r="S276" i="8" a="1"/>
  <c r="R276" i="8"/>
  <c r="Q276" i="8"/>
  <c r="P276" i="8"/>
  <c r="O276" i="8"/>
  <c r="N276" i="8"/>
  <c r="M276" i="8"/>
  <c r="L276" i="8"/>
  <c r="S275" i="8" a="1"/>
  <c r="R275" i="8"/>
  <c r="Q275" i="8"/>
  <c r="P275" i="8"/>
  <c r="O275" i="8"/>
  <c r="N275" i="8"/>
  <c r="M275" i="8"/>
  <c r="L275" i="8"/>
  <c r="S274" i="8" a="1"/>
  <c r="R274" i="8"/>
  <c r="Q274" i="8"/>
  <c r="P274" i="8"/>
  <c r="O274" i="8"/>
  <c r="N274" i="8"/>
  <c r="M274" i="8"/>
  <c r="L274" i="8"/>
  <c r="S273" i="8" a="1"/>
  <c r="R273" i="8"/>
  <c r="Q273" i="8"/>
  <c r="P273" i="8"/>
  <c r="O273" i="8"/>
  <c r="N273" i="8"/>
  <c r="M273" i="8"/>
  <c r="L273" i="8"/>
  <c r="S272" i="8" a="1"/>
  <c r="R272" i="8"/>
  <c r="Q272" i="8"/>
  <c r="P272" i="8"/>
  <c r="O272" i="8"/>
  <c r="N272" i="8"/>
  <c r="M272" i="8"/>
  <c r="L272" i="8"/>
  <c r="S271" i="8" a="1"/>
  <c r="R271" i="8"/>
  <c r="Q271" i="8"/>
  <c r="P271" i="8"/>
  <c r="O271" i="8"/>
  <c r="N271" i="8"/>
  <c r="M271" i="8"/>
  <c r="L271" i="8"/>
  <c r="S270" i="8" a="1"/>
  <c r="R270" i="8"/>
  <c r="Q270" i="8"/>
  <c r="P270" i="8"/>
  <c r="O270" i="8"/>
  <c r="N270" i="8"/>
  <c r="M270" i="8"/>
  <c r="L270" i="8"/>
  <c r="S269" i="8" a="1"/>
  <c r="R269" i="8"/>
  <c r="Q269" i="8"/>
  <c r="P269" i="8"/>
  <c r="O269" i="8"/>
  <c r="N269" i="8"/>
  <c r="M269" i="8"/>
  <c r="L269" i="8"/>
  <c r="S268" i="8" a="1"/>
  <c r="R268" i="8"/>
  <c r="Q268" i="8"/>
  <c r="P268" i="8"/>
  <c r="O268" i="8"/>
  <c r="N268" i="8"/>
  <c r="M268" i="8"/>
  <c r="L268" i="8"/>
  <c r="S267" i="8" a="1"/>
  <c r="R267" i="8"/>
  <c r="Q267" i="8"/>
  <c r="P267" i="8"/>
  <c r="O267" i="8"/>
  <c r="N267" i="8"/>
  <c r="M267" i="8"/>
  <c r="L267" i="8"/>
  <c r="S266" i="8" a="1"/>
  <c r="R266" i="8"/>
  <c r="Q266" i="8"/>
  <c r="P266" i="8"/>
  <c r="O266" i="8"/>
  <c r="N266" i="8"/>
  <c r="M266" i="8"/>
  <c r="L266" i="8"/>
  <c r="S265" i="8" a="1"/>
  <c r="R265" i="8"/>
  <c r="Q265" i="8"/>
  <c r="P265" i="8"/>
  <c r="O265" i="8"/>
  <c r="N265" i="8"/>
  <c r="M265" i="8"/>
  <c r="L265" i="8"/>
  <c r="S264" i="8" a="1"/>
  <c r="R264" i="8"/>
  <c r="Q264" i="8"/>
  <c r="P264" i="8"/>
  <c r="O264" i="8"/>
  <c r="N264" i="8"/>
  <c r="M264" i="8"/>
  <c r="L264" i="8"/>
  <c r="S263" i="8" a="1"/>
  <c r="R263" i="8"/>
  <c r="Q263" i="8"/>
  <c r="P263" i="8"/>
  <c r="O263" i="8"/>
  <c r="N263" i="8"/>
  <c r="M263" i="8"/>
  <c r="L263" i="8"/>
  <c r="S262" i="8" a="1"/>
  <c r="R262" i="8"/>
  <c r="Q262" i="8"/>
  <c r="P262" i="8"/>
  <c r="O262" i="8"/>
  <c r="N262" i="8"/>
  <c r="M262" i="8"/>
  <c r="L262" i="8"/>
  <c r="S261" i="8" a="1"/>
  <c r="R261" i="8"/>
  <c r="Q261" i="8"/>
  <c r="P261" i="8"/>
  <c r="O261" i="8"/>
  <c r="N261" i="8"/>
  <c r="M261" i="8"/>
  <c r="L261" i="8"/>
  <c r="S260" i="8" a="1"/>
  <c r="R260" i="8"/>
  <c r="Q260" i="8"/>
  <c r="P260" i="8"/>
  <c r="O260" i="8"/>
  <c r="N260" i="8"/>
  <c r="M260" i="8"/>
  <c r="L260" i="8"/>
  <c r="S259" i="8" a="1"/>
  <c r="R259" i="8"/>
  <c r="Q259" i="8"/>
  <c r="P259" i="8"/>
  <c r="O259" i="8"/>
  <c r="N259" i="8"/>
  <c r="M259" i="8"/>
  <c r="L259" i="8"/>
  <c r="S258" i="8" a="1"/>
  <c r="R258" i="8"/>
  <c r="Q258" i="8"/>
  <c r="P258" i="8"/>
  <c r="O258" i="8"/>
  <c r="N258" i="8"/>
  <c r="M258" i="8"/>
  <c r="L258" i="8"/>
  <c r="S257" i="8" a="1"/>
  <c r="R257" i="8"/>
  <c r="Q257" i="8"/>
  <c r="P257" i="8"/>
  <c r="O257" i="8"/>
  <c r="N257" i="8"/>
  <c r="M257" i="8"/>
  <c r="L257" i="8"/>
  <c r="S256" i="8" a="1"/>
  <c r="R256" i="8"/>
  <c r="Q256" i="8"/>
  <c r="P256" i="8"/>
  <c r="O256" i="8"/>
  <c r="N256" i="8"/>
  <c r="M256" i="8"/>
  <c r="L256" i="8"/>
  <c r="S255" i="8" a="1"/>
  <c r="R255" i="8"/>
  <c r="Q255" i="8"/>
  <c r="P255" i="8"/>
  <c r="O255" i="8"/>
  <c r="N255" i="8"/>
  <c r="M255" i="8"/>
  <c r="L255" i="8"/>
  <c r="S254" i="8" a="1"/>
  <c r="R254" i="8"/>
  <c r="Q254" i="8"/>
  <c r="P254" i="8"/>
  <c r="O254" i="8"/>
  <c r="N254" i="8"/>
  <c r="M254" i="8"/>
  <c r="L254" i="8"/>
  <c r="S253" i="8" a="1"/>
  <c r="R253" i="8"/>
  <c r="Q253" i="8"/>
  <c r="P253" i="8"/>
  <c r="O253" i="8"/>
  <c r="N253" i="8"/>
  <c r="M253" i="8"/>
  <c r="L253" i="8"/>
  <c r="S252" i="8" a="1"/>
  <c r="R252" i="8"/>
  <c r="Q252" i="8"/>
  <c r="P252" i="8"/>
  <c r="O252" i="8"/>
  <c r="N252" i="8"/>
  <c r="M252" i="8"/>
  <c r="L252" i="8"/>
  <c r="S251" i="8" a="1"/>
  <c r="R251" i="8"/>
  <c r="Q251" i="8"/>
  <c r="P251" i="8"/>
  <c r="O251" i="8"/>
  <c r="N251" i="8"/>
  <c r="M251" i="8"/>
  <c r="L251" i="8"/>
  <c r="S250" i="8" a="1"/>
  <c r="R250" i="8"/>
  <c r="Q250" i="8"/>
  <c r="P250" i="8"/>
  <c r="O250" i="8"/>
  <c r="N250" i="8"/>
  <c r="M250" i="8"/>
  <c r="L250" i="8"/>
  <c r="S249" i="8" a="1"/>
  <c r="R249" i="8"/>
  <c r="Q249" i="8"/>
  <c r="P249" i="8"/>
  <c r="O249" i="8"/>
  <c r="N249" i="8"/>
  <c r="M249" i="8"/>
  <c r="L249" i="8"/>
  <c r="S248" i="8" a="1"/>
  <c r="R248" i="8"/>
  <c r="Q248" i="8"/>
  <c r="P248" i="8"/>
  <c r="O248" i="8"/>
  <c r="N248" i="8"/>
  <c r="M248" i="8"/>
  <c r="L248" i="8"/>
  <c r="S247" i="8" a="1"/>
  <c r="R247" i="8"/>
  <c r="Q247" i="8"/>
  <c r="P247" i="8"/>
  <c r="O247" i="8"/>
  <c r="N247" i="8"/>
  <c r="M247" i="8"/>
  <c r="L247" i="8"/>
  <c r="S246" i="8" a="1"/>
  <c r="R246" i="8"/>
  <c r="Q246" i="8"/>
  <c r="P246" i="8"/>
  <c r="O246" i="8"/>
  <c r="N246" i="8"/>
  <c r="M246" i="8"/>
  <c r="L246" i="8"/>
  <c r="S245" i="8" a="1"/>
  <c r="R245" i="8"/>
  <c r="Q245" i="8"/>
  <c r="P245" i="8"/>
  <c r="O245" i="8"/>
  <c r="N245" i="8"/>
  <c r="M245" i="8"/>
  <c r="L245" i="8"/>
  <c r="S244" i="8" a="1"/>
  <c r="R244" i="8"/>
  <c r="Q244" i="8"/>
  <c r="P244" i="8"/>
  <c r="O244" i="8"/>
  <c r="N244" i="8"/>
  <c r="M244" i="8"/>
  <c r="L244" i="8"/>
  <c r="S243" i="8" a="1"/>
  <c r="R243" i="8"/>
  <c r="Q243" i="8"/>
  <c r="P243" i="8"/>
  <c r="O243" i="8"/>
  <c r="N243" i="8"/>
  <c r="M243" i="8"/>
  <c r="L243" i="8"/>
  <c r="S242" i="8" a="1"/>
  <c r="R242" i="8"/>
  <c r="Q242" i="8"/>
  <c r="P242" i="8"/>
  <c r="O242" i="8"/>
  <c r="N242" i="8"/>
  <c r="M242" i="8"/>
  <c r="L242" i="8"/>
  <c r="S241" i="8" a="1"/>
  <c r="R241" i="8"/>
  <c r="Q241" i="8"/>
  <c r="P241" i="8"/>
  <c r="O241" i="8"/>
  <c r="N241" i="8"/>
  <c r="M241" i="8"/>
  <c r="L241" i="8"/>
  <c r="S240" i="8" a="1"/>
  <c r="R240" i="8"/>
  <c r="Q240" i="8"/>
  <c r="P240" i="8"/>
  <c r="O240" i="8"/>
  <c r="N240" i="8"/>
  <c r="M240" i="8"/>
  <c r="L240" i="8"/>
  <c r="S239" i="8" a="1"/>
  <c r="R239" i="8"/>
  <c r="Q239" i="8"/>
  <c r="P239" i="8"/>
  <c r="O239" i="8"/>
  <c r="N239" i="8"/>
  <c r="M239" i="8"/>
  <c r="L239" i="8"/>
  <c r="S238" i="8" a="1"/>
  <c r="R238" i="8"/>
  <c r="Q238" i="8"/>
  <c r="P238" i="8"/>
  <c r="O238" i="8"/>
  <c r="N238" i="8"/>
  <c r="M238" i="8"/>
  <c r="L238" i="8"/>
  <c r="S237" i="8" a="1"/>
  <c r="R237" i="8"/>
  <c r="Q237" i="8"/>
  <c r="P237" i="8"/>
  <c r="O237" i="8"/>
  <c r="N237" i="8"/>
  <c r="M237" i="8"/>
  <c r="L237" i="8"/>
  <c r="S236" i="8" a="1"/>
  <c r="R236" i="8"/>
  <c r="Q236" i="8"/>
  <c r="P236" i="8"/>
  <c r="O236" i="8"/>
  <c r="N236" i="8"/>
  <c r="M236" i="8"/>
  <c r="L236" i="8"/>
  <c r="S235" i="8" a="1"/>
  <c r="R235" i="8"/>
  <c r="Q235" i="8"/>
  <c r="P235" i="8"/>
  <c r="O235" i="8"/>
  <c r="N235" i="8"/>
  <c r="M235" i="8"/>
  <c r="L235" i="8"/>
  <c r="S234" i="8" a="1"/>
  <c r="R234" i="8"/>
  <c r="Q234" i="8"/>
  <c r="P234" i="8"/>
  <c r="O234" i="8"/>
  <c r="N234" i="8"/>
  <c r="M234" i="8"/>
  <c r="L234" i="8"/>
  <c r="S233" i="8" a="1"/>
  <c r="R233" i="8"/>
  <c r="Q233" i="8"/>
  <c r="P233" i="8"/>
  <c r="O233" i="8"/>
  <c r="N233" i="8"/>
  <c r="M233" i="8"/>
  <c r="L233" i="8"/>
  <c r="S232" i="8" a="1"/>
  <c r="R232" i="8"/>
  <c r="Q232" i="8"/>
  <c r="P232" i="8"/>
  <c r="O232" i="8"/>
  <c r="N232" i="8"/>
  <c r="M232" i="8"/>
  <c r="L232" i="8"/>
  <c r="S231" i="8" a="1"/>
  <c r="R231" i="8"/>
  <c r="Q231" i="8"/>
  <c r="P231" i="8"/>
  <c r="O231" i="8"/>
  <c r="N231" i="8"/>
  <c r="M231" i="8"/>
  <c r="L231" i="8"/>
  <c r="S230" i="8" a="1"/>
  <c r="R230" i="8"/>
  <c r="Q230" i="8"/>
  <c r="P230" i="8"/>
  <c r="O230" i="8"/>
  <c r="N230" i="8"/>
  <c r="M230" i="8"/>
  <c r="L230" i="8"/>
  <c r="S229" i="8" a="1"/>
  <c r="R229" i="8"/>
  <c r="Q229" i="8"/>
  <c r="P229" i="8"/>
  <c r="O229" i="8"/>
  <c r="N229" i="8"/>
  <c r="M229" i="8"/>
  <c r="L229" i="8"/>
  <c r="S228" i="8" a="1"/>
  <c r="R228" i="8"/>
  <c r="Q228" i="8"/>
  <c r="P228" i="8"/>
  <c r="O228" i="8"/>
  <c r="N228" i="8"/>
  <c r="M228" i="8"/>
  <c r="L228" i="8"/>
  <c r="S227" i="8" a="1"/>
  <c r="R227" i="8"/>
  <c r="Q227" i="8"/>
  <c r="P227" i="8"/>
  <c r="O227" i="8"/>
  <c r="N227" i="8"/>
  <c r="M227" i="8"/>
  <c r="L227" i="8"/>
  <c r="S226" i="8" a="1"/>
  <c r="R226" i="8"/>
  <c r="Q226" i="8"/>
  <c r="P226" i="8"/>
  <c r="O226" i="8"/>
  <c r="N226" i="8"/>
  <c r="M226" i="8"/>
  <c r="L226" i="8"/>
  <c r="S225" i="8" a="1"/>
  <c r="R225" i="8"/>
  <c r="Q225" i="8"/>
  <c r="P225" i="8"/>
  <c r="O225" i="8"/>
  <c r="N225" i="8"/>
  <c r="M225" i="8"/>
  <c r="L225" i="8"/>
  <c r="S224" i="8" a="1"/>
  <c r="R224" i="8"/>
  <c r="Q224" i="8"/>
  <c r="P224" i="8"/>
  <c r="O224" i="8"/>
  <c r="N224" i="8"/>
  <c r="M224" i="8"/>
  <c r="L224" i="8"/>
  <c r="S223" i="8" a="1"/>
  <c r="R223" i="8"/>
  <c r="Q223" i="8"/>
  <c r="P223" i="8"/>
  <c r="O223" i="8"/>
  <c r="N223" i="8"/>
  <c r="M223" i="8"/>
  <c r="L223" i="8"/>
  <c r="S222" i="8" a="1"/>
  <c r="R222" i="8"/>
  <c r="Q222" i="8"/>
  <c r="P222" i="8"/>
  <c r="O222" i="8"/>
  <c r="N222" i="8"/>
  <c r="M222" i="8"/>
  <c r="L222" i="8"/>
  <c r="S221" i="8" a="1"/>
  <c r="R221" i="8"/>
  <c r="Q221" i="8"/>
  <c r="P221" i="8"/>
  <c r="O221" i="8"/>
  <c r="N221" i="8"/>
  <c r="M221" i="8"/>
  <c r="L221" i="8"/>
  <c r="S220" i="8" a="1"/>
  <c r="R220" i="8"/>
  <c r="Q220" i="8"/>
  <c r="P220" i="8"/>
  <c r="O220" i="8"/>
  <c r="N220" i="8"/>
  <c r="M220" i="8"/>
  <c r="L220" i="8"/>
  <c r="S219" i="8" a="1"/>
  <c r="R219" i="8"/>
  <c r="Q219" i="8"/>
  <c r="P219" i="8"/>
  <c r="O219" i="8"/>
  <c r="N219" i="8"/>
  <c r="M219" i="8"/>
  <c r="L219" i="8"/>
  <c r="S218" i="8" a="1"/>
  <c r="R218" i="8"/>
  <c r="Q218" i="8"/>
  <c r="P218" i="8"/>
  <c r="O218" i="8"/>
  <c r="N218" i="8"/>
  <c r="M218" i="8"/>
  <c r="L218" i="8"/>
  <c r="S217" i="8" a="1"/>
  <c r="R217" i="8"/>
  <c r="Q217" i="8"/>
  <c r="P217" i="8"/>
  <c r="O217" i="8"/>
  <c r="N217" i="8"/>
  <c r="M217" i="8"/>
  <c r="L217" i="8"/>
  <c r="S216" i="8" a="1"/>
  <c r="R216" i="8"/>
  <c r="Q216" i="8"/>
  <c r="P216" i="8"/>
  <c r="O216" i="8"/>
  <c r="N216" i="8"/>
  <c r="M216" i="8"/>
  <c r="L216" i="8"/>
  <c r="S215" i="8" a="1"/>
  <c r="R215" i="8"/>
  <c r="Q215" i="8"/>
  <c r="P215" i="8"/>
  <c r="O215" i="8"/>
  <c r="N215" i="8"/>
  <c r="M215" i="8"/>
  <c r="L215" i="8"/>
  <c r="S214" i="8" a="1"/>
  <c r="R214" i="8"/>
  <c r="Q214" i="8"/>
  <c r="P214" i="8"/>
  <c r="O214" i="8"/>
  <c r="N214" i="8"/>
  <c r="M214" i="8"/>
  <c r="L214" i="8"/>
  <c r="S213" i="8" a="1"/>
  <c r="R213" i="8"/>
  <c r="Q213" i="8"/>
  <c r="P213" i="8"/>
  <c r="O213" i="8"/>
  <c r="N213" i="8"/>
  <c r="M213" i="8"/>
  <c r="L213" i="8"/>
  <c r="S212" i="8" a="1"/>
  <c r="R212" i="8"/>
  <c r="Q212" i="8"/>
  <c r="P212" i="8"/>
  <c r="O212" i="8"/>
  <c r="N212" i="8"/>
  <c r="M212" i="8"/>
  <c r="L212" i="8"/>
  <c r="S211" i="8" a="1"/>
  <c r="R211" i="8"/>
  <c r="Q211" i="8"/>
  <c r="P211" i="8"/>
  <c r="O211" i="8"/>
  <c r="N211" i="8"/>
  <c r="M211" i="8"/>
  <c r="L211" i="8"/>
  <c r="S210" i="8" a="1"/>
  <c r="R210" i="8"/>
  <c r="Q210" i="8"/>
  <c r="P210" i="8"/>
  <c r="O210" i="8"/>
  <c r="N210" i="8"/>
  <c r="M210" i="8"/>
  <c r="L210" i="8"/>
  <c r="S209" i="8" a="1"/>
  <c r="R209" i="8"/>
  <c r="Q209" i="8"/>
  <c r="P209" i="8"/>
  <c r="O209" i="8"/>
  <c r="N209" i="8"/>
  <c r="M209" i="8"/>
  <c r="L209" i="8"/>
  <c r="S208" i="8" a="1"/>
  <c r="R208" i="8"/>
  <c r="Q208" i="8"/>
  <c r="P208" i="8"/>
  <c r="O208" i="8"/>
  <c r="N208" i="8"/>
  <c r="M208" i="8"/>
  <c r="L208" i="8"/>
  <c r="S207" i="8" a="1"/>
  <c r="R207" i="8"/>
  <c r="Q207" i="8"/>
  <c r="P207" i="8"/>
  <c r="O207" i="8"/>
  <c r="N207" i="8"/>
  <c r="M207" i="8"/>
  <c r="L207" i="8"/>
  <c r="S206" i="8" a="1"/>
  <c r="R206" i="8"/>
  <c r="Q206" i="8"/>
  <c r="P206" i="8"/>
  <c r="O206" i="8"/>
  <c r="N206" i="8"/>
  <c r="M206" i="8"/>
  <c r="L206" i="8"/>
  <c r="S205" i="8" a="1"/>
  <c r="R205" i="8"/>
  <c r="Q205" i="8"/>
  <c r="P205" i="8"/>
  <c r="O205" i="8"/>
  <c r="N205" i="8"/>
  <c r="M205" i="8"/>
  <c r="L205" i="8"/>
  <c r="S204" i="8" a="1"/>
  <c r="R204" i="8"/>
  <c r="Q204" i="8"/>
  <c r="P204" i="8"/>
  <c r="O204" i="8"/>
  <c r="N204" i="8"/>
  <c r="M204" i="8"/>
  <c r="L204" i="8"/>
  <c r="S203" i="8" a="1"/>
  <c r="R203" i="8"/>
  <c r="Q203" i="8"/>
  <c r="P203" i="8"/>
  <c r="O203" i="8"/>
  <c r="N203" i="8"/>
  <c r="M203" i="8"/>
  <c r="L203" i="8"/>
  <c r="S202" i="8" a="1"/>
  <c r="R202" i="8"/>
  <c r="Q202" i="8"/>
  <c r="P202" i="8"/>
  <c r="O202" i="8"/>
  <c r="N202" i="8"/>
  <c r="M202" i="8"/>
  <c r="L202" i="8"/>
  <c r="S201" i="8" a="1"/>
  <c r="R201" i="8"/>
  <c r="Q201" i="8"/>
  <c r="P201" i="8"/>
  <c r="O201" i="8"/>
  <c r="N201" i="8"/>
  <c r="M201" i="8"/>
  <c r="L201" i="8"/>
  <c r="S200" i="8" a="1"/>
  <c r="R200" i="8"/>
  <c r="Q200" i="8"/>
  <c r="P200" i="8"/>
  <c r="O200" i="8"/>
  <c r="N200" i="8"/>
  <c r="M200" i="8"/>
  <c r="L200" i="8"/>
  <c r="S199" i="8" a="1"/>
  <c r="R199" i="8"/>
  <c r="Q199" i="8"/>
  <c r="P199" i="8"/>
  <c r="O199" i="8"/>
  <c r="N199" i="8"/>
  <c r="M199" i="8"/>
  <c r="L199" i="8"/>
  <c r="S198" i="8" a="1"/>
  <c r="R198" i="8"/>
  <c r="Q198" i="8"/>
  <c r="P198" i="8"/>
  <c r="O198" i="8"/>
  <c r="N198" i="8"/>
  <c r="M198" i="8"/>
  <c r="L198" i="8"/>
  <c r="S197" i="8" a="1"/>
  <c r="R197" i="8"/>
  <c r="Q197" i="8"/>
  <c r="P197" i="8"/>
  <c r="O197" i="8"/>
  <c r="N197" i="8"/>
  <c r="M197" i="8"/>
  <c r="L197" i="8"/>
  <c r="S196" i="8" a="1"/>
  <c r="R196" i="8"/>
  <c r="Q196" i="8"/>
  <c r="P196" i="8"/>
  <c r="O196" i="8"/>
  <c r="N196" i="8"/>
  <c r="M196" i="8"/>
  <c r="L196" i="8"/>
  <c r="S195" i="8" a="1"/>
  <c r="R195" i="8"/>
  <c r="Q195" i="8"/>
  <c r="P195" i="8"/>
  <c r="O195" i="8"/>
  <c r="N195" i="8"/>
  <c r="M195" i="8"/>
  <c r="L195" i="8"/>
  <c r="S194" i="8" a="1"/>
  <c r="R194" i="8"/>
  <c r="Q194" i="8"/>
  <c r="P194" i="8"/>
  <c r="O194" i="8"/>
  <c r="N194" i="8"/>
  <c r="M194" i="8"/>
  <c r="L194" i="8"/>
  <c r="S193" i="8" a="1"/>
  <c r="R193" i="8"/>
  <c r="Q193" i="8"/>
  <c r="P193" i="8"/>
  <c r="O193" i="8"/>
  <c r="N193" i="8"/>
  <c r="M193" i="8"/>
  <c r="L193" i="8"/>
  <c r="S192" i="8" a="1"/>
  <c r="R192" i="8"/>
  <c r="Q192" i="8"/>
  <c r="P192" i="8"/>
  <c r="O192" i="8"/>
  <c r="N192" i="8"/>
  <c r="M192" i="8"/>
  <c r="L192" i="8"/>
  <c r="S191" i="8" a="1"/>
  <c r="R191" i="8"/>
  <c r="Q191" i="8"/>
  <c r="P191" i="8"/>
  <c r="O191" i="8"/>
  <c r="N191" i="8"/>
  <c r="M191" i="8"/>
  <c r="L191" i="8"/>
  <c r="S190" i="8" a="1"/>
  <c r="R190" i="8"/>
  <c r="Q190" i="8"/>
  <c r="P190" i="8"/>
  <c r="O190" i="8"/>
  <c r="N190" i="8"/>
  <c r="M190" i="8"/>
  <c r="L190" i="8"/>
  <c r="S189" i="8" a="1"/>
  <c r="R189" i="8"/>
  <c r="Q189" i="8"/>
  <c r="P189" i="8"/>
  <c r="O189" i="8"/>
  <c r="N189" i="8"/>
  <c r="M189" i="8"/>
  <c r="L189" i="8"/>
  <c r="S188" i="8" a="1"/>
  <c r="R188" i="8"/>
  <c r="Q188" i="8"/>
  <c r="P188" i="8"/>
  <c r="O188" i="8"/>
  <c r="N188" i="8"/>
  <c r="M188" i="8"/>
  <c r="L188" i="8"/>
  <c r="S187" i="8" a="1"/>
  <c r="R187" i="8"/>
  <c r="Q187" i="8"/>
  <c r="P187" i="8"/>
  <c r="O187" i="8"/>
  <c r="N187" i="8"/>
  <c r="M187" i="8"/>
  <c r="L187" i="8"/>
  <c r="S186" i="8" a="1"/>
  <c r="R186" i="8"/>
  <c r="Q186" i="8"/>
  <c r="P186" i="8"/>
  <c r="O186" i="8"/>
  <c r="N186" i="8"/>
  <c r="M186" i="8"/>
  <c r="L186" i="8"/>
  <c r="S185" i="8" a="1"/>
  <c r="R185" i="8"/>
  <c r="Q185" i="8"/>
  <c r="P185" i="8"/>
  <c r="O185" i="8"/>
  <c r="N185" i="8"/>
  <c r="M185" i="8"/>
  <c r="L185" i="8"/>
  <c r="S184" i="8" a="1"/>
  <c r="R184" i="8"/>
  <c r="Q184" i="8"/>
  <c r="P184" i="8"/>
  <c r="O184" i="8"/>
  <c r="N184" i="8"/>
  <c r="M184" i="8"/>
  <c r="L184" i="8"/>
  <c r="S183" i="8" a="1"/>
  <c r="R183" i="8"/>
  <c r="Q183" i="8"/>
  <c r="P183" i="8"/>
  <c r="O183" i="8"/>
  <c r="N183" i="8"/>
  <c r="M183" i="8"/>
  <c r="L183" i="8"/>
  <c r="S182" i="8" a="1"/>
  <c r="R182" i="8"/>
  <c r="Q182" i="8"/>
  <c r="P182" i="8"/>
  <c r="O182" i="8"/>
  <c r="N182" i="8"/>
  <c r="M182" i="8"/>
  <c r="L182" i="8"/>
  <c r="S181" i="8" a="1"/>
  <c r="R181" i="8"/>
  <c r="Q181" i="8"/>
  <c r="P181" i="8"/>
  <c r="O181" i="8"/>
  <c r="N181" i="8"/>
  <c r="M181" i="8"/>
  <c r="L181" i="8"/>
  <c r="S180" i="8" a="1"/>
  <c r="R180" i="8"/>
  <c r="Q180" i="8"/>
  <c r="P180" i="8"/>
  <c r="O180" i="8"/>
  <c r="N180" i="8"/>
  <c r="M180" i="8"/>
  <c r="L180" i="8"/>
  <c r="S179" i="8" a="1"/>
  <c r="R179" i="8"/>
  <c r="Q179" i="8"/>
  <c r="P179" i="8"/>
  <c r="O179" i="8"/>
  <c r="N179" i="8"/>
  <c r="M179" i="8"/>
  <c r="L179" i="8"/>
  <c r="S178" i="8" a="1"/>
  <c r="R178" i="8"/>
  <c r="Q178" i="8"/>
  <c r="P178" i="8"/>
  <c r="O178" i="8"/>
  <c r="N178" i="8"/>
  <c r="M178" i="8"/>
  <c r="L178" i="8"/>
  <c r="S177" i="8" a="1"/>
  <c r="R177" i="8"/>
  <c r="Q177" i="8"/>
  <c r="P177" i="8"/>
  <c r="O177" i="8"/>
  <c r="N177" i="8"/>
  <c r="M177" i="8"/>
  <c r="L177" i="8"/>
  <c r="S176" i="8" a="1"/>
  <c r="R176" i="8"/>
  <c r="Q176" i="8"/>
  <c r="P176" i="8"/>
  <c r="O176" i="8"/>
  <c r="N176" i="8"/>
  <c r="M176" i="8"/>
  <c r="L176" i="8"/>
  <c r="S175" i="8" a="1"/>
  <c r="R175" i="8"/>
  <c r="Q175" i="8"/>
  <c r="P175" i="8"/>
  <c r="O175" i="8"/>
  <c r="N175" i="8"/>
  <c r="M175" i="8"/>
  <c r="L175" i="8"/>
  <c r="S174" i="8" a="1"/>
  <c r="R174" i="8"/>
  <c r="Q174" i="8"/>
  <c r="P174" i="8"/>
  <c r="O174" i="8"/>
  <c r="N174" i="8"/>
  <c r="M174" i="8"/>
  <c r="L174" i="8"/>
  <c r="S173" i="8" a="1"/>
  <c r="R173" i="8"/>
  <c r="Q173" i="8"/>
  <c r="P173" i="8"/>
  <c r="O173" i="8"/>
  <c r="N173" i="8"/>
  <c r="M173" i="8"/>
  <c r="L173" i="8"/>
  <c r="S172" i="8" a="1"/>
  <c r="R172" i="8"/>
  <c r="Q172" i="8"/>
  <c r="P172" i="8"/>
  <c r="O172" i="8"/>
  <c r="N172" i="8"/>
  <c r="M172" i="8"/>
  <c r="L172" i="8"/>
  <c r="S171" i="8" a="1"/>
  <c r="R171" i="8"/>
  <c r="Q171" i="8"/>
  <c r="P171" i="8"/>
  <c r="O171" i="8"/>
  <c r="N171" i="8"/>
  <c r="M171" i="8"/>
  <c r="L171" i="8"/>
  <c r="S170" i="8" a="1"/>
  <c r="R170" i="8"/>
  <c r="Q170" i="8"/>
  <c r="P170" i="8"/>
  <c r="O170" i="8"/>
  <c r="N170" i="8"/>
  <c r="M170" i="8"/>
  <c r="L170" i="8"/>
  <c r="S169" i="8" a="1"/>
  <c r="R169" i="8"/>
  <c r="Q169" i="8"/>
  <c r="P169" i="8"/>
  <c r="O169" i="8"/>
  <c r="N169" i="8"/>
  <c r="M169" i="8"/>
  <c r="L169" i="8"/>
  <c r="S168" i="8" a="1"/>
  <c r="R168" i="8"/>
  <c r="Q168" i="8"/>
  <c r="P168" i="8"/>
  <c r="O168" i="8"/>
  <c r="N168" i="8"/>
  <c r="M168" i="8"/>
  <c r="L168" i="8"/>
  <c r="S167" i="8" a="1"/>
  <c r="R167" i="8"/>
  <c r="Q167" i="8"/>
  <c r="P167" i="8"/>
  <c r="O167" i="8"/>
  <c r="N167" i="8"/>
  <c r="M167" i="8"/>
  <c r="L167" i="8"/>
  <c r="S166" i="8" a="1"/>
  <c r="R166" i="8"/>
  <c r="Q166" i="8"/>
  <c r="P166" i="8"/>
  <c r="O166" i="8"/>
  <c r="N166" i="8"/>
  <c r="M166" i="8"/>
  <c r="L166" i="8"/>
  <c r="S165" i="8" a="1"/>
  <c r="R165" i="8"/>
  <c r="Q165" i="8"/>
  <c r="P165" i="8"/>
  <c r="O165" i="8"/>
  <c r="N165" i="8"/>
  <c r="M165" i="8"/>
  <c r="L165" i="8"/>
  <c r="S164" i="8" a="1"/>
  <c r="R164" i="8"/>
  <c r="Q164" i="8"/>
  <c r="P164" i="8"/>
  <c r="O164" i="8"/>
  <c r="N164" i="8"/>
  <c r="M164" i="8"/>
  <c r="L164" i="8"/>
  <c r="S163" i="8" a="1"/>
  <c r="R163" i="8"/>
  <c r="Q163" i="8"/>
  <c r="P163" i="8"/>
  <c r="O163" i="8"/>
  <c r="N163" i="8"/>
  <c r="M163" i="8"/>
  <c r="L163" i="8"/>
  <c r="S162" i="8" a="1"/>
  <c r="R162" i="8"/>
  <c r="Q162" i="8"/>
  <c r="P162" i="8"/>
  <c r="O162" i="8"/>
  <c r="N162" i="8"/>
  <c r="M162" i="8"/>
  <c r="L162" i="8"/>
  <c r="S161" i="8" a="1"/>
  <c r="R161" i="8"/>
  <c r="Q161" i="8"/>
  <c r="P161" i="8"/>
  <c r="O161" i="8"/>
  <c r="N161" i="8"/>
  <c r="M161" i="8"/>
  <c r="L161" i="8"/>
  <c r="S160" i="8" a="1"/>
  <c r="R160" i="8"/>
  <c r="Q160" i="8"/>
  <c r="P160" i="8"/>
  <c r="O160" i="8"/>
  <c r="N160" i="8"/>
  <c r="M160" i="8"/>
  <c r="L160" i="8"/>
  <c r="S159" i="8" a="1"/>
  <c r="R159" i="8"/>
  <c r="Q159" i="8"/>
  <c r="P159" i="8"/>
  <c r="O159" i="8"/>
  <c r="N159" i="8"/>
  <c r="M159" i="8"/>
  <c r="L159" i="8"/>
  <c r="S158" i="8" a="1"/>
  <c r="R158" i="8"/>
  <c r="Q158" i="8"/>
  <c r="P158" i="8"/>
  <c r="O158" i="8"/>
  <c r="N158" i="8"/>
  <c r="M158" i="8"/>
  <c r="L158" i="8"/>
  <c r="S157" i="8" a="1"/>
  <c r="R157" i="8"/>
  <c r="Q157" i="8"/>
  <c r="P157" i="8"/>
  <c r="O157" i="8"/>
  <c r="N157" i="8"/>
  <c r="M157" i="8"/>
  <c r="L157" i="8"/>
  <c r="S156" i="8" a="1"/>
  <c r="R156" i="8"/>
  <c r="Q156" i="8"/>
  <c r="P156" i="8"/>
  <c r="O156" i="8"/>
  <c r="N156" i="8"/>
  <c r="M156" i="8"/>
  <c r="L156" i="8"/>
  <c r="S155" i="8" a="1"/>
  <c r="R155" i="8"/>
  <c r="Q155" i="8"/>
  <c r="P155" i="8"/>
  <c r="O155" i="8"/>
  <c r="N155" i="8"/>
  <c r="M155" i="8"/>
  <c r="L155" i="8"/>
  <c r="S154" i="8" a="1"/>
  <c r="R154" i="8"/>
  <c r="Q154" i="8"/>
  <c r="P154" i="8"/>
  <c r="O154" i="8"/>
  <c r="N154" i="8"/>
  <c r="M154" i="8"/>
  <c r="L154" i="8"/>
  <c r="S153" i="8" a="1"/>
  <c r="R153" i="8"/>
  <c r="Q153" i="8"/>
  <c r="P153" i="8"/>
  <c r="O153" i="8"/>
  <c r="N153" i="8"/>
  <c r="M153" i="8"/>
  <c r="L153" i="8"/>
  <c r="S152" i="8" a="1"/>
  <c r="R152" i="8"/>
  <c r="Q152" i="8"/>
  <c r="P152" i="8"/>
  <c r="O152" i="8"/>
  <c r="N152" i="8"/>
  <c r="M152" i="8"/>
  <c r="L152" i="8"/>
  <c r="S151" i="8" a="1"/>
  <c r="R151" i="8"/>
  <c r="Q151" i="8"/>
  <c r="P151" i="8"/>
  <c r="O151" i="8"/>
  <c r="N151" i="8"/>
  <c r="M151" i="8"/>
  <c r="L151" i="8"/>
  <c r="S150" i="8" a="1"/>
  <c r="R150" i="8"/>
  <c r="Q150" i="8"/>
  <c r="P150" i="8"/>
  <c r="O150" i="8"/>
  <c r="N150" i="8"/>
  <c r="M150" i="8"/>
  <c r="L150" i="8"/>
  <c r="S149" i="8" a="1"/>
  <c r="R149" i="8"/>
  <c r="Q149" i="8"/>
  <c r="P149" i="8"/>
  <c r="O149" i="8"/>
  <c r="N149" i="8"/>
  <c r="M149" i="8"/>
  <c r="L149" i="8"/>
  <c r="S148" i="8" a="1"/>
  <c r="R148" i="8"/>
  <c r="Q148" i="8"/>
  <c r="P148" i="8"/>
  <c r="O148" i="8"/>
  <c r="N148" i="8"/>
  <c r="M148" i="8"/>
  <c r="L148" i="8"/>
  <c r="S147" i="8" a="1"/>
  <c r="R147" i="8"/>
  <c r="Q147" i="8"/>
  <c r="P147" i="8"/>
  <c r="O147" i="8"/>
  <c r="N147" i="8"/>
  <c r="M147" i="8"/>
  <c r="L147" i="8"/>
  <c r="S146" i="8" a="1"/>
  <c r="R146" i="8"/>
  <c r="Q146" i="8"/>
  <c r="P146" i="8"/>
  <c r="O146" i="8"/>
  <c r="N146" i="8"/>
  <c r="M146" i="8"/>
  <c r="L146" i="8"/>
  <c r="S145" i="8" a="1"/>
  <c r="R145" i="8"/>
  <c r="Q145" i="8"/>
  <c r="P145" i="8"/>
  <c r="O145" i="8"/>
  <c r="N145" i="8"/>
  <c r="M145" i="8"/>
  <c r="L145" i="8"/>
  <c r="S144" i="8" a="1"/>
  <c r="R144" i="8"/>
  <c r="Q144" i="8"/>
  <c r="P144" i="8"/>
  <c r="O144" i="8"/>
  <c r="N144" i="8"/>
  <c r="M144" i="8"/>
  <c r="L144" i="8"/>
  <c r="S143" i="8" a="1"/>
  <c r="R143" i="8"/>
  <c r="Q143" i="8"/>
  <c r="P143" i="8"/>
  <c r="O143" i="8"/>
  <c r="N143" i="8"/>
  <c r="M143" i="8"/>
  <c r="L143" i="8"/>
  <c r="S142" i="8" a="1"/>
  <c r="R142" i="8"/>
  <c r="Q142" i="8"/>
  <c r="P142" i="8"/>
  <c r="O142" i="8"/>
  <c r="N142" i="8"/>
  <c r="M142" i="8"/>
  <c r="L142" i="8"/>
  <c r="S141" i="8" a="1"/>
  <c r="R141" i="8"/>
  <c r="Q141" i="8"/>
  <c r="P141" i="8"/>
  <c r="O141" i="8"/>
  <c r="N141" i="8"/>
  <c r="M141" i="8"/>
  <c r="L141" i="8"/>
  <c r="S140" i="8" a="1"/>
  <c r="R140" i="8"/>
  <c r="Q140" i="8"/>
  <c r="P140" i="8"/>
  <c r="O140" i="8"/>
  <c r="N140" i="8"/>
  <c r="M140" i="8"/>
  <c r="L140" i="8"/>
  <c r="S139" i="8" a="1"/>
  <c r="R139" i="8"/>
  <c r="Q139" i="8"/>
  <c r="P139" i="8"/>
  <c r="O139" i="8"/>
  <c r="N139" i="8"/>
  <c r="M139" i="8"/>
  <c r="L139" i="8"/>
  <c r="S138" i="8" a="1"/>
  <c r="R138" i="8"/>
  <c r="Q138" i="8"/>
  <c r="P138" i="8"/>
  <c r="O138" i="8"/>
  <c r="N138" i="8"/>
  <c r="M138" i="8"/>
  <c r="L138" i="8"/>
  <c r="S137" i="8" a="1"/>
  <c r="R137" i="8"/>
  <c r="Q137" i="8"/>
  <c r="P137" i="8"/>
  <c r="O137" i="8"/>
  <c r="N137" i="8"/>
  <c r="M137" i="8"/>
  <c r="L137" i="8"/>
  <c r="S136" i="8" a="1"/>
  <c r="R136" i="8"/>
  <c r="Q136" i="8"/>
  <c r="P136" i="8"/>
  <c r="O136" i="8"/>
  <c r="N136" i="8"/>
  <c r="M136" i="8"/>
  <c r="L136" i="8"/>
  <c r="S135" i="8" a="1"/>
  <c r="R135" i="8"/>
  <c r="Q135" i="8"/>
  <c r="P135" i="8"/>
  <c r="O135" i="8"/>
  <c r="N135" i="8"/>
  <c r="M135" i="8"/>
  <c r="L135" i="8"/>
  <c r="S134" i="8" a="1"/>
  <c r="R134" i="8"/>
  <c r="Q134" i="8"/>
  <c r="P134" i="8"/>
  <c r="O134" i="8"/>
  <c r="N134" i="8"/>
  <c r="M134" i="8"/>
  <c r="L134" i="8"/>
  <c r="S133" i="8" a="1"/>
  <c r="R133" i="8"/>
  <c r="Q133" i="8"/>
  <c r="P133" i="8"/>
  <c r="O133" i="8"/>
  <c r="N133" i="8"/>
  <c r="M133" i="8"/>
  <c r="L133" i="8"/>
  <c r="S132" i="8" a="1"/>
  <c r="R132" i="8"/>
  <c r="Q132" i="8"/>
  <c r="P132" i="8"/>
  <c r="O132" i="8"/>
  <c r="N132" i="8"/>
  <c r="M132" i="8"/>
  <c r="L132" i="8"/>
  <c r="S131" i="8" a="1"/>
  <c r="R131" i="8"/>
  <c r="Q131" i="8"/>
  <c r="P131" i="8"/>
  <c r="O131" i="8"/>
  <c r="N131" i="8"/>
  <c r="M131" i="8"/>
  <c r="L131" i="8"/>
  <c r="S130" i="8" a="1"/>
  <c r="R130" i="8"/>
  <c r="Q130" i="8"/>
  <c r="P130" i="8"/>
  <c r="O130" i="8"/>
  <c r="N130" i="8"/>
  <c r="M130" i="8"/>
  <c r="L130" i="8"/>
  <c r="S129" i="8" a="1"/>
  <c r="R129" i="8"/>
  <c r="Q129" i="8"/>
  <c r="P129" i="8"/>
  <c r="O129" i="8"/>
  <c r="N129" i="8"/>
  <c r="M129" i="8"/>
  <c r="L129" i="8"/>
  <c r="S128" i="8" a="1"/>
  <c r="R128" i="8"/>
  <c r="Q128" i="8"/>
  <c r="P128" i="8"/>
  <c r="O128" i="8"/>
  <c r="N128" i="8"/>
  <c r="M128" i="8"/>
  <c r="L128" i="8"/>
  <c r="S127" i="8" a="1"/>
  <c r="R127" i="8"/>
  <c r="Q127" i="8"/>
  <c r="P127" i="8"/>
  <c r="O127" i="8"/>
  <c r="N127" i="8"/>
  <c r="M127" i="8"/>
  <c r="L127" i="8"/>
  <c r="S126" i="8" a="1"/>
  <c r="R126" i="8"/>
  <c r="Q126" i="8"/>
  <c r="P126" i="8"/>
  <c r="O126" i="8"/>
  <c r="N126" i="8"/>
  <c r="M126" i="8"/>
  <c r="L126" i="8"/>
  <c r="S125" i="8" a="1"/>
  <c r="R125" i="8"/>
  <c r="Q125" i="8"/>
  <c r="P125" i="8"/>
  <c r="O125" i="8"/>
  <c r="N125" i="8"/>
  <c r="M125" i="8"/>
  <c r="L125" i="8"/>
  <c r="S124" i="8" a="1"/>
  <c r="R124" i="8"/>
  <c r="Q124" i="8"/>
  <c r="P124" i="8"/>
  <c r="O124" i="8"/>
  <c r="N124" i="8"/>
  <c r="M124" i="8"/>
  <c r="L124" i="8"/>
  <c r="S123" i="8" a="1"/>
  <c r="R123" i="8"/>
  <c r="Q123" i="8"/>
  <c r="P123" i="8"/>
  <c r="O123" i="8"/>
  <c r="N123" i="8"/>
  <c r="M123" i="8"/>
  <c r="L123" i="8"/>
  <c r="S122" i="8" a="1"/>
  <c r="R122" i="8"/>
  <c r="Q122" i="8"/>
  <c r="P122" i="8"/>
  <c r="O122" i="8"/>
  <c r="N122" i="8"/>
  <c r="M122" i="8"/>
  <c r="L122" i="8"/>
  <c r="S121" i="8" a="1"/>
  <c r="R121" i="8"/>
  <c r="Q121" i="8"/>
  <c r="P121" i="8"/>
  <c r="O121" i="8"/>
  <c r="N121" i="8"/>
  <c r="M121" i="8"/>
  <c r="L121" i="8"/>
  <c r="S120" i="8" a="1"/>
  <c r="R120" i="8"/>
  <c r="Q120" i="8"/>
  <c r="P120" i="8"/>
  <c r="O120" i="8"/>
  <c r="N120" i="8"/>
  <c r="M120" i="8"/>
  <c r="L120" i="8"/>
  <c r="S119" i="8" a="1"/>
  <c r="R119" i="8"/>
  <c r="Q119" i="8"/>
  <c r="P119" i="8"/>
  <c r="O119" i="8"/>
  <c r="N119" i="8"/>
  <c r="M119" i="8"/>
  <c r="L119" i="8"/>
  <c r="S118" i="8" a="1"/>
  <c r="R118" i="8"/>
  <c r="Q118" i="8"/>
  <c r="P118" i="8"/>
  <c r="O118" i="8"/>
  <c r="N118" i="8"/>
  <c r="M118" i="8"/>
  <c r="L118" i="8"/>
  <c r="S117" i="8" a="1"/>
  <c r="R117" i="8"/>
  <c r="Q117" i="8"/>
  <c r="P117" i="8"/>
  <c r="O117" i="8"/>
  <c r="N117" i="8"/>
  <c r="M117" i="8"/>
  <c r="L117" i="8"/>
  <c r="S116" i="8" a="1"/>
  <c r="R116" i="8"/>
  <c r="Q116" i="8"/>
  <c r="P116" i="8"/>
  <c r="O116" i="8"/>
  <c r="N116" i="8"/>
  <c r="M116" i="8"/>
  <c r="L116" i="8"/>
  <c r="S115" i="8" a="1"/>
  <c r="R115" i="8"/>
  <c r="Q115" i="8"/>
  <c r="P115" i="8"/>
  <c r="O115" i="8"/>
  <c r="N115" i="8"/>
  <c r="M115" i="8"/>
  <c r="L115" i="8"/>
  <c r="S114" i="8" a="1"/>
  <c r="R114" i="8"/>
  <c r="Q114" i="8"/>
  <c r="P114" i="8"/>
  <c r="O114" i="8"/>
  <c r="N114" i="8"/>
  <c r="M114" i="8"/>
  <c r="L114" i="8"/>
  <c r="S113" i="8" a="1"/>
  <c r="R113" i="8"/>
  <c r="Q113" i="8"/>
  <c r="P113" i="8"/>
  <c r="O113" i="8"/>
  <c r="N113" i="8"/>
  <c r="M113" i="8"/>
  <c r="L113" i="8"/>
  <c r="S112" i="8" a="1"/>
  <c r="R112" i="8"/>
  <c r="Q112" i="8"/>
  <c r="P112" i="8"/>
  <c r="O112" i="8"/>
  <c r="N112" i="8"/>
  <c r="M112" i="8"/>
  <c r="L112" i="8"/>
  <c r="S111" i="8" a="1"/>
  <c r="R111" i="8"/>
  <c r="Q111" i="8"/>
  <c r="P111" i="8"/>
  <c r="O111" i="8"/>
  <c r="N111" i="8"/>
  <c r="M111" i="8"/>
  <c r="L111" i="8"/>
  <c r="S110" i="8" a="1"/>
  <c r="R110" i="8"/>
  <c r="Q110" i="8"/>
  <c r="P110" i="8"/>
  <c r="O110" i="8"/>
  <c r="N110" i="8"/>
  <c r="M110" i="8"/>
  <c r="L110" i="8"/>
  <c r="S109" i="8" a="1"/>
  <c r="R109" i="8"/>
  <c r="Q109" i="8"/>
  <c r="P109" i="8"/>
  <c r="O109" i="8"/>
  <c r="N109" i="8"/>
  <c r="M109" i="8"/>
  <c r="L109" i="8"/>
  <c r="S108" i="8" a="1"/>
  <c r="R108" i="8"/>
  <c r="Q108" i="8"/>
  <c r="P108" i="8"/>
  <c r="O108" i="8"/>
  <c r="N108" i="8"/>
  <c r="M108" i="8"/>
  <c r="L108" i="8"/>
  <c r="S107" i="8" a="1"/>
  <c r="R107" i="8"/>
  <c r="Q107" i="8"/>
  <c r="P107" i="8"/>
  <c r="O107" i="8"/>
  <c r="N107" i="8"/>
  <c r="M107" i="8"/>
  <c r="L107" i="8"/>
  <c r="S106" i="8" a="1"/>
  <c r="R106" i="8"/>
  <c r="Q106" i="8"/>
  <c r="P106" i="8"/>
  <c r="O106" i="8"/>
  <c r="N106" i="8"/>
  <c r="M106" i="8"/>
  <c r="L106" i="8"/>
  <c r="S105" i="8" a="1"/>
  <c r="R105" i="8"/>
  <c r="Q105" i="8"/>
  <c r="P105" i="8"/>
  <c r="O105" i="8"/>
  <c r="N105" i="8"/>
  <c r="M105" i="8"/>
  <c r="L105" i="8"/>
  <c r="S104" i="8" a="1"/>
  <c r="R104" i="8"/>
  <c r="Q104" i="8"/>
  <c r="P104" i="8"/>
  <c r="O104" i="8"/>
  <c r="N104" i="8"/>
  <c r="M104" i="8"/>
  <c r="L104" i="8"/>
  <c r="S103" i="8" a="1"/>
  <c r="R103" i="8"/>
  <c r="Q103" i="8"/>
  <c r="P103" i="8"/>
  <c r="O103" i="8"/>
  <c r="N103" i="8"/>
  <c r="M103" i="8"/>
  <c r="L103" i="8"/>
  <c r="S102" i="8" a="1"/>
  <c r="R102" i="8"/>
  <c r="Q102" i="8"/>
  <c r="P102" i="8"/>
  <c r="O102" i="8"/>
  <c r="N102" i="8"/>
  <c r="M102" i="8"/>
  <c r="L102" i="8"/>
  <c r="S101" i="8" a="1"/>
  <c r="R101" i="8"/>
  <c r="Q101" i="8"/>
  <c r="P101" i="8"/>
  <c r="O101" i="8"/>
  <c r="N101" i="8"/>
  <c r="M101" i="8"/>
  <c r="L101" i="8"/>
  <c r="S100" i="8" a="1"/>
  <c r="R100" i="8"/>
  <c r="Q100" i="8"/>
  <c r="P100" i="8"/>
  <c r="O100" i="8"/>
  <c r="N100" i="8"/>
  <c r="M100" i="8"/>
  <c r="L100" i="8"/>
  <c r="S99" i="8" a="1"/>
  <c r="R99" i="8"/>
  <c r="Q99" i="8"/>
  <c r="P99" i="8"/>
  <c r="O99" i="8"/>
  <c r="N99" i="8"/>
  <c r="M99" i="8"/>
  <c r="L99" i="8"/>
  <c r="S98" i="8" a="1"/>
  <c r="R98" i="8"/>
  <c r="Q98" i="8"/>
  <c r="P98" i="8"/>
  <c r="O98" i="8"/>
  <c r="N98" i="8"/>
  <c r="M98" i="8"/>
  <c r="L98" i="8"/>
  <c r="S97" i="8" a="1"/>
  <c r="R97" i="8"/>
  <c r="Q97" i="8"/>
  <c r="P97" i="8"/>
  <c r="O97" i="8"/>
  <c r="N97" i="8"/>
  <c r="M97" i="8"/>
  <c r="L97" i="8"/>
  <c r="S96" i="8" a="1"/>
  <c r="R96" i="8"/>
  <c r="Q96" i="8"/>
  <c r="P96" i="8"/>
  <c r="O96" i="8"/>
  <c r="N96" i="8"/>
  <c r="M96" i="8"/>
  <c r="L96" i="8"/>
  <c r="S95" i="8" a="1"/>
  <c r="R95" i="8"/>
  <c r="Q95" i="8"/>
  <c r="P95" i="8"/>
  <c r="O95" i="8"/>
  <c r="N95" i="8"/>
  <c r="M95" i="8"/>
  <c r="L95" i="8"/>
  <c r="S94" i="8" a="1"/>
  <c r="R94" i="8"/>
  <c r="Q94" i="8"/>
  <c r="P94" i="8"/>
  <c r="O94" i="8"/>
  <c r="N94" i="8"/>
  <c r="M94" i="8"/>
  <c r="L94" i="8"/>
  <c r="S93" i="8" a="1"/>
  <c r="R93" i="8"/>
  <c r="Q93" i="8"/>
  <c r="P93" i="8"/>
  <c r="O93" i="8"/>
  <c r="N93" i="8"/>
  <c r="M93" i="8"/>
  <c r="L93" i="8"/>
  <c r="S92" i="8" a="1"/>
  <c r="R92" i="8"/>
  <c r="Q92" i="8"/>
  <c r="P92" i="8"/>
  <c r="O92" i="8"/>
  <c r="N92" i="8"/>
  <c r="M92" i="8"/>
  <c r="L92" i="8"/>
  <c r="S91" i="8" a="1"/>
  <c r="R91" i="8"/>
  <c r="Q91" i="8"/>
  <c r="P91" i="8"/>
  <c r="O91" i="8"/>
  <c r="N91" i="8"/>
  <c r="M91" i="8"/>
  <c r="L91" i="8"/>
  <c r="S90" i="8" a="1"/>
  <c r="R90" i="8"/>
  <c r="Q90" i="8"/>
  <c r="P90" i="8"/>
  <c r="O90" i="8"/>
  <c r="N90" i="8"/>
  <c r="M90" i="8"/>
  <c r="L90" i="8"/>
  <c r="S89" i="8" a="1"/>
  <c r="R89" i="8"/>
  <c r="Q89" i="8"/>
  <c r="P89" i="8"/>
  <c r="O89" i="8"/>
  <c r="N89" i="8"/>
  <c r="M89" i="8"/>
  <c r="L89" i="8"/>
  <c r="S88" i="8" a="1"/>
  <c r="R88" i="8"/>
  <c r="Q88" i="8"/>
  <c r="P88" i="8"/>
  <c r="O88" i="8"/>
  <c r="N88" i="8"/>
  <c r="M88" i="8"/>
  <c r="L88" i="8"/>
  <c r="S87" i="8" a="1"/>
  <c r="R87" i="8"/>
  <c r="Q87" i="8"/>
  <c r="P87" i="8"/>
  <c r="O87" i="8"/>
  <c r="N87" i="8"/>
  <c r="M87" i="8"/>
  <c r="L87" i="8"/>
  <c r="S86" i="8" a="1"/>
  <c r="R86" i="8"/>
  <c r="Q86" i="8"/>
  <c r="P86" i="8"/>
  <c r="O86" i="8"/>
  <c r="N86" i="8"/>
  <c r="M86" i="8"/>
  <c r="L86" i="8"/>
  <c r="S85" i="8" a="1"/>
  <c r="R85" i="8"/>
  <c r="Q85" i="8"/>
  <c r="P85" i="8"/>
  <c r="O85" i="8"/>
  <c r="N85" i="8"/>
  <c r="M85" i="8"/>
  <c r="L85" i="8"/>
  <c r="S84" i="8" a="1"/>
  <c r="R84" i="8"/>
  <c r="Q84" i="8"/>
  <c r="P84" i="8"/>
  <c r="O84" i="8"/>
  <c r="N84" i="8"/>
  <c r="M84" i="8"/>
  <c r="L84" i="8"/>
  <c r="S83" i="8" a="1"/>
  <c r="R83" i="8"/>
  <c r="Q83" i="8"/>
  <c r="P83" i="8"/>
  <c r="O83" i="8"/>
  <c r="N83" i="8"/>
  <c r="M83" i="8"/>
  <c r="L83" i="8"/>
  <c r="S82" i="8" a="1"/>
  <c r="R82" i="8"/>
  <c r="Q82" i="8"/>
  <c r="P82" i="8"/>
  <c r="O82" i="8"/>
  <c r="N82" i="8"/>
  <c r="M82" i="8"/>
  <c r="L82" i="8"/>
  <c r="S81" i="8" a="1"/>
  <c r="R81" i="8"/>
  <c r="Q81" i="8"/>
  <c r="P81" i="8"/>
  <c r="O81" i="8"/>
  <c r="N81" i="8"/>
  <c r="M81" i="8"/>
  <c r="L81" i="8"/>
  <c r="S80" i="8" a="1"/>
  <c r="R80" i="8"/>
  <c r="Q80" i="8"/>
  <c r="P80" i="8"/>
  <c r="O80" i="8"/>
  <c r="N80" i="8"/>
  <c r="M80" i="8"/>
  <c r="L80" i="8"/>
  <c r="S79" i="8" a="1"/>
  <c r="R79" i="8"/>
  <c r="Q79" i="8"/>
  <c r="P79" i="8"/>
  <c r="O79" i="8"/>
  <c r="N79" i="8"/>
  <c r="M79" i="8"/>
  <c r="L79" i="8"/>
  <c r="S78" i="8" a="1"/>
  <c r="R78" i="8"/>
  <c r="Q78" i="8"/>
  <c r="P78" i="8"/>
  <c r="O78" i="8"/>
  <c r="N78" i="8"/>
  <c r="M78" i="8"/>
  <c r="L78" i="8"/>
  <c r="S77" i="8" a="1"/>
  <c r="R77" i="8"/>
  <c r="Q77" i="8"/>
  <c r="P77" i="8"/>
  <c r="O77" i="8"/>
  <c r="N77" i="8"/>
  <c r="M77" i="8"/>
  <c r="L77" i="8"/>
  <c r="S76" i="8" a="1"/>
  <c r="R76" i="8"/>
  <c r="Q76" i="8"/>
  <c r="P76" i="8"/>
  <c r="O76" i="8"/>
  <c r="N76" i="8"/>
  <c r="M76" i="8"/>
  <c r="L76" i="8"/>
  <c r="S75" i="8" a="1"/>
  <c r="R75" i="8"/>
  <c r="Q75" i="8"/>
  <c r="P75" i="8"/>
  <c r="O75" i="8"/>
  <c r="N75" i="8"/>
  <c r="M75" i="8"/>
  <c r="L75" i="8"/>
  <c r="S74" i="8" a="1"/>
  <c r="R74" i="8"/>
  <c r="Q74" i="8"/>
  <c r="P74" i="8"/>
  <c r="O74" i="8"/>
  <c r="N74" i="8"/>
  <c r="M74" i="8"/>
  <c r="L74" i="8"/>
  <c r="S73" i="8" a="1"/>
  <c r="R73" i="8"/>
  <c r="Q73" i="8"/>
  <c r="P73" i="8"/>
  <c r="O73" i="8"/>
  <c r="N73" i="8"/>
  <c r="M73" i="8"/>
  <c r="L73" i="8"/>
  <c r="S72" i="8" a="1"/>
  <c r="R72" i="8"/>
  <c r="Q72" i="8"/>
  <c r="P72" i="8"/>
  <c r="O72" i="8"/>
  <c r="N72" i="8"/>
  <c r="M72" i="8"/>
  <c r="L72" i="8"/>
  <c r="S71" i="8" a="1"/>
  <c r="R71" i="8"/>
  <c r="Q71" i="8"/>
  <c r="P71" i="8"/>
  <c r="O71" i="8"/>
  <c r="N71" i="8"/>
  <c r="M71" i="8"/>
  <c r="L71" i="8"/>
  <c r="S70" i="8" a="1"/>
  <c r="R70" i="8"/>
  <c r="Q70" i="8"/>
  <c r="P70" i="8"/>
  <c r="O70" i="8"/>
  <c r="N70" i="8"/>
  <c r="M70" i="8"/>
  <c r="L70" i="8"/>
  <c r="S69" i="8" a="1"/>
  <c r="R69" i="8"/>
  <c r="Q69" i="8"/>
  <c r="P69" i="8"/>
  <c r="O69" i="8"/>
  <c r="N69" i="8"/>
  <c r="M69" i="8"/>
  <c r="L69" i="8"/>
  <c r="S68" i="8" a="1"/>
  <c r="R68" i="8"/>
  <c r="Q68" i="8"/>
  <c r="P68" i="8"/>
  <c r="O68" i="8"/>
  <c r="N68" i="8"/>
  <c r="M68" i="8"/>
  <c r="L68" i="8"/>
  <c r="S67" i="8" a="1"/>
  <c r="R67" i="8"/>
  <c r="Q67" i="8"/>
  <c r="P67" i="8"/>
  <c r="O67" i="8"/>
  <c r="N67" i="8"/>
  <c r="M67" i="8"/>
  <c r="L67" i="8"/>
  <c r="S66" i="8" a="1"/>
  <c r="R66" i="8"/>
  <c r="Q66" i="8"/>
  <c r="P66" i="8"/>
  <c r="O66" i="8"/>
  <c r="N66" i="8"/>
  <c r="M66" i="8"/>
  <c r="L66" i="8"/>
  <c r="S65" i="8" a="1"/>
  <c r="R65" i="8"/>
  <c r="Q65" i="8"/>
  <c r="P65" i="8"/>
  <c r="O65" i="8"/>
  <c r="N65" i="8"/>
  <c r="M65" i="8"/>
  <c r="L65" i="8"/>
  <c r="S64" i="8" a="1"/>
  <c r="R64" i="8"/>
  <c r="Q64" i="8"/>
  <c r="P64" i="8"/>
  <c r="O64" i="8"/>
  <c r="N64" i="8"/>
  <c r="M64" i="8"/>
  <c r="L64" i="8"/>
  <c r="S63" i="8" a="1"/>
  <c r="R63" i="8"/>
  <c r="Q63" i="8"/>
  <c r="P63" i="8"/>
  <c r="O63" i="8"/>
  <c r="N63" i="8"/>
  <c r="M63" i="8"/>
  <c r="L63" i="8"/>
  <c r="S62" i="8" a="1"/>
  <c r="R62" i="8"/>
  <c r="Q62" i="8"/>
  <c r="P62" i="8"/>
  <c r="O62" i="8"/>
  <c r="N62" i="8"/>
  <c r="M62" i="8"/>
  <c r="L62" i="8"/>
  <c r="S61" i="8" a="1"/>
  <c r="R61" i="8"/>
  <c r="Q61" i="8"/>
  <c r="P61" i="8"/>
  <c r="O61" i="8"/>
  <c r="N61" i="8"/>
  <c r="M61" i="8"/>
  <c r="L61" i="8"/>
  <c r="S60" i="8" a="1"/>
  <c r="R60" i="8"/>
  <c r="Q60" i="8"/>
  <c r="P60" i="8"/>
  <c r="O60" i="8"/>
  <c r="N60" i="8"/>
  <c r="M60" i="8"/>
  <c r="L60" i="8"/>
  <c r="S59" i="8" a="1"/>
  <c r="R59" i="8"/>
  <c r="Q59" i="8"/>
  <c r="P59" i="8"/>
  <c r="O59" i="8"/>
  <c r="N59" i="8"/>
  <c r="M59" i="8"/>
  <c r="L59" i="8"/>
  <c r="S58" i="8" a="1"/>
  <c r="R58" i="8"/>
  <c r="Q58" i="8"/>
  <c r="P58" i="8"/>
  <c r="O58" i="8"/>
  <c r="N58" i="8"/>
  <c r="M58" i="8"/>
  <c r="L58" i="8"/>
  <c r="S57" i="8" a="1"/>
  <c r="R57" i="8"/>
  <c r="Q57" i="8"/>
  <c r="P57" i="8"/>
  <c r="O57" i="8"/>
  <c r="N57" i="8"/>
  <c r="M57" i="8"/>
  <c r="L57" i="8"/>
  <c r="S56" i="8" a="1"/>
  <c r="R56" i="8"/>
  <c r="Q56" i="8"/>
  <c r="P56" i="8"/>
  <c r="O56" i="8"/>
  <c r="N56" i="8"/>
  <c r="M56" i="8"/>
  <c r="L56" i="8"/>
  <c r="S55" i="8" a="1"/>
  <c r="R55" i="8"/>
  <c r="Q55" i="8"/>
  <c r="P55" i="8"/>
  <c r="O55" i="8"/>
  <c r="N55" i="8"/>
  <c r="M55" i="8"/>
  <c r="L55" i="8"/>
  <c r="S54" i="8" a="1"/>
  <c r="R54" i="8"/>
  <c r="Q54" i="8"/>
  <c r="P54" i="8"/>
  <c r="O54" i="8"/>
  <c r="N54" i="8"/>
  <c r="M54" i="8"/>
  <c r="L54" i="8"/>
  <c r="S53" i="8" a="1"/>
  <c r="R53" i="8"/>
  <c r="Q53" i="8"/>
  <c r="P53" i="8"/>
  <c r="O53" i="8"/>
  <c r="N53" i="8"/>
  <c r="M53" i="8"/>
  <c r="L53" i="8"/>
  <c r="S52" i="8" a="1"/>
  <c r="R52" i="8"/>
  <c r="Q52" i="8"/>
  <c r="P52" i="8"/>
  <c r="O52" i="8"/>
  <c r="N52" i="8"/>
  <c r="M52" i="8"/>
  <c r="L52" i="8"/>
  <c r="S51" i="8" a="1"/>
  <c r="R51" i="8"/>
  <c r="Q51" i="8"/>
  <c r="P51" i="8"/>
  <c r="O51" i="8"/>
  <c r="N51" i="8"/>
  <c r="M51" i="8"/>
  <c r="L51" i="8"/>
  <c r="S50" i="8" a="1"/>
  <c r="R50" i="8"/>
  <c r="Q50" i="8"/>
  <c r="P50" i="8"/>
  <c r="O50" i="8"/>
  <c r="N50" i="8"/>
  <c r="M50" i="8"/>
  <c r="L50" i="8"/>
  <c r="S49" i="8" a="1"/>
  <c r="R49" i="8"/>
  <c r="Q49" i="8"/>
  <c r="P49" i="8"/>
  <c r="O49" i="8"/>
  <c r="N49" i="8"/>
  <c r="M49" i="8"/>
  <c r="L49" i="8"/>
  <c r="S48" i="8" a="1"/>
  <c r="R48" i="8"/>
  <c r="Q48" i="8"/>
  <c r="P48" i="8"/>
  <c r="O48" i="8"/>
  <c r="N48" i="8"/>
  <c r="M48" i="8"/>
  <c r="L48" i="8"/>
  <c r="S47" i="8" a="1"/>
  <c r="R47" i="8"/>
  <c r="Q47" i="8"/>
  <c r="P47" i="8"/>
  <c r="O47" i="8"/>
  <c r="N47" i="8"/>
  <c r="M47" i="8"/>
  <c r="L47" i="8"/>
  <c r="S46" i="8" a="1"/>
  <c r="R46" i="8"/>
  <c r="Q46" i="8"/>
  <c r="P46" i="8"/>
  <c r="O46" i="8"/>
  <c r="N46" i="8"/>
  <c r="M46" i="8"/>
  <c r="L46" i="8"/>
  <c r="S45" i="8" a="1"/>
  <c r="R45" i="8"/>
  <c r="Q45" i="8"/>
  <c r="P45" i="8"/>
  <c r="O45" i="8"/>
  <c r="N45" i="8"/>
  <c r="M45" i="8"/>
  <c r="L45" i="8"/>
  <c r="S44" i="8" a="1"/>
  <c r="R44" i="8"/>
  <c r="Q44" i="8"/>
  <c r="P44" i="8"/>
  <c r="O44" i="8"/>
  <c r="N44" i="8"/>
  <c r="M44" i="8"/>
  <c r="L44" i="8"/>
  <c r="S43" i="8" a="1"/>
  <c r="R43" i="8"/>
  <c r="Q43" i="8"/>
  <c r="P43" i="8"/>
  <c r="O43" i="8"/>
  <c r="N43" i="8"/>
  <c r="M43" i="8"/>
  <c r="L43" i="8"/>
  <c r="S42" i="8" a="1"/>
  <c r="R42" i="8"/>
  <c r="Q42" i="8"/>
  <c r="P42" i="8"/>
  <c r="O42" i="8"/>
  <c r="N42" i="8"/>
  <c r="M42" i="8"/>
  <c r="L42" i="8"/>
  <c r="S41" i="8" a="1"/>
  <c r="Q41" i="8"/>
  <c r="P41" i="8"/>
  <c r="O41" i="8"/>
  <c r="M41" i="8"/>
  <c r="L41" i="8"/>
  <c r="S40" i="8" a="1"/>
  <c r="Q40" i="8"/>
  <c r="P40" i="8"/>
  <c r="O40" i="8"/>
  <c r="M40" i="8"/>
  <c r="L40" i="8"/>
  <c r="S39" i="8" a="1"/>
  <c r="Q39" i="8"/>
  <c r="P39" i="8"/>
  <c r="O39" i="8"/>
  <c r="M39" i="8"/>
  <c r="L39" i="8"/>
  <c r="S38" i="8" a="1"/>
  <c r="Q38" i="8"/>
  <c r="P38" i="8"/>
  <c r="O38" i="8"/>
  <c r="M38" i="8"/>
  <c r="L38" i="8"/>
  <c r="S37" i="8" a="1"/>
  <c r="Q37" i="8"/>
  <c r="P37" i="8"/>
  <c r="O37" i="8"/>
  <c r="M37" i="8"/>
  <c r="L37" i="8"/>
  <c r="S36" i="8" a="1"/>
  <c r="Q36" i="8"/>
  <c r="P36" i="8"/>
  <c r="O36" i="8"/>
  <c r="M36" i="8"/>
  <c r="L36" i="8"/>
  <c r="S35" i="8" a="1"/>
  <c r="Q35" i="8"/>
  <c r="P35" i="8"/>
  <c r="G22" i="1" s="1" a="1"/>
  <c r="O35" i="8"/>
  <c r="M35" i="8"/>
  <c r="L35" i="8"/>
  <c r="S34" i="8" a="1"/>
  <c r="Q34" i="8"/>
  <c r="P34" i="8"/>
  <c r="O34" i="8"/>
  <c r="M34" i="8"/>
  <c r="L34" i="8"/>
  <c r="S33" i="8" a="1"/>
  <c r="Q33" i="8"/>
  <c r="P33" i="8"/>
  <c r="O33" i="8"/>
  <c r="N33" i="8" s="1"/>
  <c r="M33" i="8"/>
  <c r="L33" i="8"/>
  <c r="S32" i="8" a="1"/>
  <c r="Q32" i="8"/>
  <c r="P32" i="8"/>
  <c r="O32" i="8"/>
  <c r="M32" i="8"/>
  <c r="L32" i="8"/>
  <c r="S31" i="8" a="1"/>
  <c r="Q31" i="8"/>
  <c r="P31" i="8"/>
  <c r="O31" i="8"/>
  <c r="M31" i="8"/>
  <c r="L31" i="8"/>
  <c r="S30" i="8" a="1"/>
  <c r="Q30" i="8"/>
  <c r="P30" i="8"/>
  <c r="O30" i="8"/>
  <c r="M30" i="8"/>
  <c r="L30" i="8"/>
  <c r="S29" i="8" a="1"/>
  <c r="Q29" i="8"/>
  <c r="P29" i="8"/>
  <c r="O29" i="8"/>
  <c r="M29" i="8"/>
  <c r="L29" i="8"/>
  <c r="S28" i="8" a="1"/>
  <c r="Q28" i="8"/>
  <c r="P28" i="8"/>
  <c r="O28" i="8"/>
  <c r="R28" i="8" s="1"/>
  <c r="N28" i="8"/>
  <c r="M28" i="8"/>
  <c r="L28" i="8"/>
  <c r="S27" i="8" a="1"/>
  <c r="Q27" i="8"/>
  <c r="P27" i="8"/>
  <c r="O27" i="8"/>
  <c r="N27" i="8" s="1"/>
  <c r="M27" i="8"/>
  <c r="L27" i="8"/>
  <c r="S26" i="8" a="1"/>
  <c r="Q26" i="8"/>
  <c r="P26" i="8"/>
  <c r="O26" i="8"/>
  <c r="R26" i="8" s="1"/>
  <c r="N26" i="8"/>
  <c r="M26" i="8"/>
  <c r="L26" i="8"/>
  <c r="S25" i="8" a="1"/>
  <c r="Q25" i="8"/>
  <c r="P25" i="8"/>
  <c r="O25" i="8"/>
  <c r="M25" i="8"/>
  <c r="L25" i="8"/>
  <c r="S24" i="8" a="1"/>
  <c r="Q24" i="8"/>
  <c r="P24" i="8"/>
  <c r="O24" i="8"/>
  <c r="R24" i="8" s="1"/>
  <c r="N24" i="8"/>
  <c r="M24" i="8"/>
  <c r="L24" i="8"/>
  <c r="S23" i="8" a="1"/>
  <c r="Q23" i="8"/>
  <c r="P23" i="8"/>
  <c r="O23" i="8"/>
  <c r="N23" i="8"/>
  <c r="M23" i="8"/>
  <c r="L23" i="8"/>
  <c r="S22" i="8" a="1"/>
  <c r="Q22" i="8"/>
  <c r="P22" i="8"/>
  <c r="O22" i="8"/>
  <c r="M22" i="8"/>
  <c r="L22" i="8"/>
  <c r="S21" i="8" a="1"/>
  <c r="Q21" i="8"/>
  <c r="P21" i="8"/>
  <c r="O21" i="8"/>
  <c r="N21" i="8"/>
  <c r="M21" i="8"/>
  <c r="L21" i="8"/>
  <c r="S20" i="8" a="1"/>
  <c r="Q20" i="8"/>
  <c r="P20" i="8"/>
  <c r="O20" i="8"/>
  <c r="N20" i="8" s="1"/>
  <c r="M20" i="8"/>
  <c r="L20" i="8"/>
  <c r="S19" i="8" a="1"/>
  <c r="Q19" i="8"/>
  <c r="P19" i="8"/>
  <c r="O19" i="8"/>
  <c r="M19" i="8"/>
  <c r="L19" i="8"/>
  <c r="S18" i="8" a="1"/>
  <c r="Q18" i="8"/>
  <c r="P18" i="8"/>
  <c r="O18" i="8"/>
  <c r="M18" i="8"/>
  <c r="L18" i="8"/>
  <c r="S17" i="8" a="1"/>
  <c r="Q17" i="8"/>
  <c r="P17" i="8"/>
  <c r="O17" i="8"/>
  <c r="R17" i="8" s="1"/>
  <c r="N17" i="8"/>
  <c r="M17" i="8"/>
  <c r="L17" i="8"/>
  <c r="S16" i="8" a="1"/>
  <c r="Q16" i="8"/>
  <c r="P16" i="8"/>
  <c r="O16" i="8"/>
  <c r="N16" i="8"/>
  <c r="M16" i="8"/>
  <c r="L16" i="8"/>
  <c r="S15" i="8" a="1"/>
  <c r="Q15" i="8"/>
  <c r="P15" i="8"/>
  <c r="O15" i="8"/>
  <c r="M15" i="8"/>
  <c r="L15" i="8"/>
  <c r="S14" i="8" a="1"/>
  <c r="Q14" i="8"/>
  <c r="P14" i="8"/>
  <c r="O14" i="8"/>
  <c r="R14" i="8" s="1"/>
  <c r="N14" i="8"/>
  <c r="M14" i="8"/>
  <c r="L14" i="8"/>
  <c r="S13" i="8" a="1"/>
  <c r="Q13" i="8"/>
  <c r="P13" i="8"/>
  <c r="G24" i="1" s="1" a="1"/>
  <c r="O13" i="8"/>
  <c r="N13" i="8"/>
  <c r="M13" i="8"/>
  <c r="L13" i="8"/>
  <c r="S12" i="8" a="1"/>
  <c r="Q12" i="8"/>
  <c r="P12" i="8"/>
  <c r="O12" i="8"/>
  <c r="M12" i="8"/>
  <c r="L12" i="8"/>
  <c r="S11" i="8" a="1"/>
  <c r="Q11" i="8"/>
  <c r="P11" i="8"/>
  <c r="G16" i="1" s="1" a="1"/>
  <c r="O11" i="8"/>
  <c r="M11" i="8"/>
  <c r="L11" i="8"/>
  <c r="S10" i="8" a="1"/>
  <c r="Q10" i="8"/>
  <c r="P10" i="8"/>
  <c r="O10" i="8"/>
  <c r="R10" i="8" s="1"/>
  <c r="N10" i="8"/>
  <c r="M10" i="8"/>
  <c r="L10" i="8"/>
  <c r="S9" i="8" a="1"/>
  <c r="Q9" i="8"/>
  <c r="P9" i="8"/>
  <c r="O9" i="8"/>
  <c r="M9" i="8"/>
  <c r="L9" i="8"/>
  <c r="S8" i="8" a="1"/>
  <c r="Q8" i="8"/>
  <c r="P8" i="8"/>
  <c r="O8" i="8"/>
  <c r="N8" i="8" s="1"/>
  <c r="M8" i="8"/>
  <c r="L8" i="8"/>
  <c r="S7" i="8" a="1"/>
  <c r="Q7" i="8"/>
  <c r="P7" i="8"/>
  <c r="G17" i="1" s="1" a="1"/>
  <c r="O7" i="8"/>
  <c r="N7" i="8"/>
  <c r="M7" i="8"/>
  <c r="L7" i="8"/>
  <c r="S6" i="8" a="1"/>
  <c r="Q6" i="8"/>
  <c r="P6" i="8"/>
  <c r="G26" i="1" s="1" a="1"/>
  <c r="O6" i="8"/>
  <c r="M6" i="8"/>
  <c r="L6" i="8"/>
  <c r="S5" i="8" a="1"/>
  <c r="Q5" i="8"/>
  <c r="P5" i="8"/>
  <c r="G29" i="1" s="1" a="1"/>
  <c r="O5" i="8"/>
  <c r="M5" i="8"/>
  <c r="L5" i="8"/>
  <c r="S4" i="8" a="1"/>
  <c r="Q4" i="8"/>
  <c r="P4" i="8"/>
  <c r="O4" i="8"/>
  <c r="M4" i="8"/>
  <c r="D4" i="11" s="1"/>
  <c r="L4" i="8"/>
  <c r="Z1000" i="1"/>
  <c r="Y1000" i="1" a="1"/>
  <c r="W1000" i="1"/>
  <c r="R1000" i="1"/>
  <c r="G1000" i="1" a="1"/>
  <c r="Z999" i="1"/>
  <c r="Y999" i="1" a="1"/>
  <c r="W999" i="1"/>
  <c r="R999" i="1"/>
  <c r="G999" i="1" a="1"/>
  <c r="Z998" i="1"/>
  <c r="Y998" i="1" a="1"/>
  <c r="W998" i="1"/>
  <c r="R998" i="1"/>
  <c r="G998" i="1" a="1"/>
  <c r="Z997" i="1"/>
  <c r="Y997" i="1" a="1"/>
  <c r="W997" i="1"/>
  <c r="R997" i="1"/>
  <c r="G997" i="1" a="1"/>
  <c r="Z996" i="1"/>
  <c r="Y996" i="1" a="1"/>
  <c r="W996" i="1"/>
  <c r="R996" i="1"/>
  <c r="G996" i="1" a="1"/>
  <c r="Z995" i="1"/>
  <c r="Y995" i="1" a="1"/>
  <c r="W995" i="1"/>
  <c r="R995" i="1"/>
  <c r="G995" i="1" a="1"/>
  <c r="Z994" i="1"/>
  <c r="Y994" i="1" a="1"/>
  <c r="W994" i="1"/>
  <c r="R994" i="1"/>
  <c r="G994" i="1" a="1"/>
  <c r="Z993" i="1"/>
  <c r="Y993" i="1" a="1"/>
  <c r="W993" i="1"/>
  <c r="R993" i="1"/>
  <c r="G993" i="1" a="1"/>
  <c r="Z992" i="1"/>
  <c r="Y992" i="1" a="1"/>
  <c r="W992" i="1"/>
  <c r="R992" i="1"/>
  <c r="G992" i="1" a="1"/>
  <c r="Z991" i="1"/>
  <c r="Y991" i="1" a="1"/>
  <c r="W991" i="1"/>
  <c r="R991" i="1"/>
  <c r="G991" i="1" a="1"/>
  <c r="Z990" i="1"/>
  <c r="Y990" i="1" a="1"/>
  <c r="W990" i="1"/>
  <c r="R990" i="1"/>
  <c r="G990" i="1" a="1"/>
  <c r="Z989" i="1"/>
  <c r="Y989" i="1" a="1"/>
  <c r="W989" i="1"/>
  <c r="R989" i="1"/>
  <c r="G989" i="1" a="1"/>
  <c r="Z988" i="1"/>
  <c r="Y988" i="1" a="1"/>
  <c r="W988" i="1"/>
  <c r="R988" i="1"/>
  <c r="G988" i="1" a="1"/>
  <c r="Z987" i="1"/>
  <c r="Y987" i="1" a="1"/>
  <c r="W987" i="1"/>
  <c r="R987" i="1"/>
  <c r="G987" i="1" a="1"/>
  <c r="Z986" i="1"/>
  <c r="Y986" i="1" a="1"/>
  <c r="W986" i="1"/>
  <c r="R986" i="1"/>
  <c r="G986" i="1" a="1"/>
  <c r="Z985" i="1"/>
  <c r="Y985" i="1" a="1"/>
  <c r="W985" i="1"/>
  <c r="R985" i="1"/>
  <c r="G985" i="1" a="1"/>
  <c r="Z984" i="1"/>
  <c r="Y984" i="1" a="1"/>
  <c r="W984" i="1"/>
  <c r="R984" i="1"/>
  <c r="G984" i="1" a="1"/>
  <c r="Z983" i="1"/>
  <c r="Y983" i="1" a="1"/>
  <c r="W983" i="1"/>
  <c r="R983" i="1"/>
  <c r="G983" i="1" a="1"/>
  <c r="Z982" i="1"/>
  <c r="Y982" i="1" a="1"/>
  <c r="W982" i="1"/>
  <c r="R982" i="1"/>
  <c r="G982" i="1" a="1"/>
  <c r="Z981" i="1"/>
  <c r="Y981" i="1" a="1"/>
  <c r="W981" i="1"/>
  <c r="R981" i="1"/>
  <c r="G981" i="1" a="1"/>
  <c r="Z980" i="1"/>
  <c r="Y980" i="1" a="1"/>
  <c r="W980" i="1"/>
  <c r="R980" i="1"/>
  <c r="G980" i="1" a="1"/>
  <c r="Z979" i="1"/>
  <c r="Y979" i="1" a="1"/>
  <c r="W979" i="1"/>
  <c r="R979" i="1"/>
  <c r="G979" i="1" a="1"/>
  <c r="Z978" i="1"/>
  <c r="Y978" i="1" a="1"/>
  <c r="W978" i="1"/>
  <c r="R978" i="1"/>
  <c r="G978" i="1" a="1"/>
  <c r="Z977" i="1"/>
  <c r="Y977" i="1" a="1"/>
  <c r="W977" i="1"/>
  <c r="R977" i="1"/>
  <c r="G977" i="1" a="1"/>
  <c r="Z976" i="1"/>
  <c r="Y976" i="1" a="1"/>
  <c r="W976" i="1"/>
  <c r="R976" i="1"/>
  <c r="G976" i="1" a="1"/>
  <c r="Z975" i="1"/>
  <c r="Y975" i="1" a="1"/>
  <c r="W975" i="1"/>
  <c r="R975" i="1"/>
  <c r="G975" i="1" a="1"/>
  <c r="Z974" i="1"/>
  <c r="Y974" i="1" a="1"/>
  <c r="W974" i="1"/>
  <c r="R974" i="1"/>
  <c r="G974" i="1" a="1"/>
  <c r="Z973" i="1"/>
  <c r="Y973" i="1" a="1"/>
  <c r="W973" i="1"/>
  <c r="R973" i="1"/>
  <c r="G973" i="1" a="1"/>
  <c r="Z972" i="1"/>
  <c r="Y972" i="1" a="1"/>
  <c r="W972" i="1"/>
  <c r="R972" i="1"/>
  <c r="G972" i="1" a="1"/>
  <c r="Z971" i="1"/>
  <c r="Y971" i="1" a="1"/>
  <c r="W971" i="1"/>
  <c r="R971" i="1"/>
  <c r="G971" i="1" a="1"/>
  <c r="Z970" i="1"/>
  <c r="Y970" i="1" a="1"/>
  <c r="W970" i="1"/>
  <c r="R970" i="1"/>
  <c r="G970" i="1" a="1"/>
  <c r="Z969" i="1"/>
  <c r="Y969" i="1" a="1"/>
  <c r="W969" i="1"/>
  <c r="R969" i="1"/>
  <c r="G969" i="1" a="1"/>
  <c r="Z968" i="1"/>
  <c r="Y968" i="1" a="1"/>
  <c r="W968" i="1"/>
  <c r="R968" i="1"/>
  <c r="G968" i="1" a="1"/>
  <c r="Z967" i="1"/>
  <c r="Y967" i="1" a="1"/>
  <c r="W967" i="1"/>
  <c r="R967" i="1"/>
  <c r="G967" i="1" a="1"/>
  <c r="Z966" i="1"/>
  <c r="Y966" i="1" a="1"/>
  <c r="W966" i="1"/>
  <c r="R966" i="1"/>
  <c r="G966" i="1" a="1"/>
  <c r="Z965" i="1"/>
  <c r="Y965" i="1" a="1"/>
  <c r="W965" i="1"/>
  <c r="R965" i="1"/>
  <c r="G965" i="1" a="1"/>
  <c r="Z964" i="1"/>
  <c r="Y964" i="1" a="1"/>
  <c r="W964" i="1"/>
  <c r="R964" i="1"/>
  <c r="G964" i="1" a="1"/>
  <c r="Z963" i="1"/>
  <c r="Y963" i="1" a="1"/>
  <c r="W963" i="1"/>
  <c r="R963" i="1"/>
  <c r="G963" i="1" a="1"/>
  <c r="Z962" i="1"/>
  <c r="Y962" i="1" a="1"/>
  <c r="W962" i="1"/>
  <c r="R962" i="1"/>
  <c r="G962" i="1" a="1"/>
  <c r="Z961" i="1"/>
  <c r="Y961" i="1" a="1"/>
  <c r="W961" i="1"/>
  <c r="R961" i="1"/>
  <c r="G961" i="1" a="1"/>
  <c r="Z960" i="1"/>
  <c r="Y960" i="1" a="1"/>
  <c r="W960" i="1"/>
  <c r="R960" i="1"/>
  <c r="G960" i="1" a="1"/>
  <c r="Z959" i="1"/>
  <c r="Y959" i="1" a="1"/>
  <c r="W959" i="1"/>
  <c r="R959" i="1"/>
  <c r="G959" i="1" a="1"/>
  <c r="Z958" i="1"/>
  <c r="Y958" i="1" a="1"/>
  <c r="W958" i="1"/>
  <c r="R958" i="1"/>
  <c r="G958" i="1" a="1"/>
  <c r="Z957" i="1"/>
  <c r="Y957" i="1" a="1"/>
  <c r="W957" i="1"/>
  <c r="R957" i="1"/>
  <c r="G957" i="1" a="1"/>
  <c r="Z956" i="1"/>
  <c r="Y956" i="1" a="1"/>
  <c r="W956" i="1"/>
  <c r="R956" i="1"/>
  <c r="G956" i="1" a="1"/>
  <c r="Z955" i="1"/>
  <c r="Y955" i="1" a="1"/>
  <c r="W955" i="1"/>
  <c r="R955" i="1"/>
  <c r="G955" i="1" a="1"/>
  <c r="Z954" i="1"/>
  <c r="Y954" i="1" a="1"/>
  <c r="W954" i="1"/>
  <c r="R954" i="1"/>
  <c r="G954" i="1" a="1"/>
  <c r="Z953" i="1"/>
  <c r="Y953" i="1" a="1"/>
  <c r="W953" i="1"/>
  <c r="R953" i="1"/>
  <c r="G953" i="1" a="1"/>
  <c r="Z952" i="1"/>
  <c r="Y952" i="1" a="1"/>
  <c r="W952" i="1"/>
  <c r="R952" i="1"/>
  <c r="G952" i="1" a="1"/>
  <c r="Z951" i="1"/>
  <c r="Y951" i="1" a="1"/>
  <c r="W951" i="1"/>
  <c r="R951" i="1"/>
  <c r="G951" i="1" a="1"/>
  <c r="Z950" i="1"/>
  <c r="Y950" i="1" a="1"/>
  <c r="W950" i="1"/>
  <c r="R950" i="1"/>
  <c r="G950" i="1" a="1"/>
  <c r="Z949" i="1"/>
  <c r="Y949" i="1" a="1"/>
  <c r="W949" i="1"/>
  <c r="R949" i="1"/>
  <c r="G949" i="1" a="1"/>
  <c r="Z948" i="1"/>
  <c r="Y948" i="1" a="1"/>
  <c r="W948" i="1"/>
  <c r="R948" i="1"/>
  <c r="G948" i="1" a="1"/>
  <c r="Z947" i="1"/>
  <c r="Y947" i="1" a="1"/>
  <c r="W947" i="1"/>
  <c r="R947" i="1"/>
  <c r="G947" i="1" a="1"/>
  <c r="Z946" i="1"/>
  <c r="Y946" i="1" a="1"/>
  <c r="W946" i="1"/>
  <c r="R946" i="1"/>
  <c r="G946" i="1" a="1"/>
  <c r="Z945" i="1"/>
  <c r="Y945" i="1" a="1"/>
  <c r="W945" i="1"/>
  <c r="R945" i="1"/>
  <c r="G945" i="1" a="1"/>
  <c r="Z944" i="1"/>
  <c r="Y944" i="1" a="1"/>
  <c r="W944" i="1"/>
  <c r="R944" i="1"/>
  <c r="G944" i="1" a="1"/>
  <c r="Z943" i="1"/>
  <c r="Y943" i="1" a="1"/>
  <c r="W943" i="1"/>
  <c r="R943" i="1"/>
  <c r="G943" i="1" a="1"/>
  <c r="Z942" i="1"/>
  <c r="Y942" i="1" a="1"/>
  <c r="W942" i="1"/>
  <c r="R942" i="1"/>
  <c r="G942" i="1" a="1"/>
  <c r="Z941" i="1"/>
  <c r="Y941" i="1" a="1"/>
  <c r="W941" i="1"/>
  <c r="R941" i="1"/>
  <c r="G941" i="1" a="1"/>
  <c r="Z940" i="1"/>
  <c r="Y940" i="1" a="1"/>
  <c r="W940" i="1"/>
  <c r="R940" i="1"/>
  <c r="G940" i="1" a="1"/>
  <c r="Z939" i="1"/>
  <c r="Y939" i="1" a="1"/>
  <c r="W939" i="1"/>
  <c r="R939" i="1"/>
  <c r="G939" i="1" a="1"/>
  <c r="Z938" i="1"/>
  <c r="Y938" i="1" a="1"/>
  <c r="W938" i="1"/>
  <c r="R938" i="1"/>
  <c r="G938" i="1" a="1"/>
  <c r="Z937" i="1"/>
  <c r="Y937" i="1" a="1"/>
  <c r="W937" i="1"/>
  <c r="R937" i="1"/>
  <c r="G937" i="1" a="1"/>
  <c r="Z936" i="1"/>
  <c r="Y936" i="1" a="1"/>
  <c r="W936" i="1"/>
  <c r="R936" i="1"/>
  <c r="G936" i="1" a="1"/>
  <c r="Z935" i="1"/>
  <c r="Y935" i="1" a="1"/>
  <c r="W935" i="1"/>
  <c r="R935" i="1"/>
  <c r="G935" i="1" a="1"/>
  <c r="Z934" i="1"/>
  <c r="Y934" i="1" a="1"/>
  <c r="W934" i="1"/>
  <c r="R934" i="1"/>
  <c r="G934" i="1" a="1"/>
  <c r="Z933" i="1"/>
  <c r="Y933" i="1" a="1"/>
  <c r="W933" i="1"/>
  <c r="R933" i="1"/>
  <c r="G933" i="1" a="1"/>
  <c r="Z932" i="1"/>
  <c r="Y932" i="1" a="1"/>
  <c r="W932" i="1"/>
  <c r="R932" i="1"/>
  <c r="G932" i="1" a="1"/>
  <c r="Z931" i="1"/>
  <c r="Y931" i="1" a="1"/>
  <c r="W931" i="1"/>
  <c r="R931" i="1"/>
  <c r="G931" i="1" a="1"/>
  <c r="Z930" i="1"/>
  <c r="Y930" i="1" a="1"/>
  <c r="W930" i="1"/>
  <c r="R930" i="1"/>
  <c r="G930" i="1" a="1"/>
  <c r="Z929" i="1"/>
  <c r="Y929" i="1" a="1"/>
  <c r="W929" i="1"/>
  <c r="R929" i="1"/>
  <c r="G929" i="1" a="1"/>
  <c r="Z928" i="1"/>
  <c r="Y928" i="1" a="1"/>
  <c r="W928" i="1"/>
  <c r="R928" i="1"/>
  <c r="G928" i="1" a="1"/>
  <c r="Z927" i="1"/>
  <c r="Y927" i="1" a="1"/>
  <c r="W927" i="1"/>
  <c r="R927" i="1"/>
  <c r="G927" i="1" a="1"/>
  <c r="Z926" i="1"/>
  <c r="Y926" i="1" a="1"/>
  <c r="W926" i="1"/>
  <c r="R926" i="1"/>
  <c r="G926" i="1" a="1"/>
  <c r="Z925" i="1"/>
  <c r="Y925" i="1" a="1"/>
  <c r="W925" i="1"/>
  <c r="R925" i="1"/>
  <c r="G925" i="1" a="1"/>
  <c r="Z924" i="1"/>
  <c r="Y924" i="1" a="1"/>
  <c r="W924" i="1"/>
  <c r="R924" i="1"/>
  <c r="G924" i="1" a="1"/>
  <c r="Z923" i="1"/>
  <c r="Y923" i="1" a="1"/>
  <c r="W923" i="1"/>
  <c r="R923" i="1"/>
  <c r="G923" i="1" a="1"/>
  <c r="Z922" i="1"/>
  <c r="Y922" i="1" a="1"/>
  <c r="W922" i="1"/>
  <c r="R922" i="1"/>
  <c r="G922" i="1" a="1"/>
  <c r="Z921" i="1"/>
  <c r="Y921" i="1" a="1"/>
  <c r="W921" i="1"/>
  <c r="R921" i="1"/>
  <c r="G921" i="1" a="1"/>
  <c r="Z920" i="1"/>
  <c r="Y920" i="1" a="1"/>
  <c r="W920" i="1"/>
  <c r="R920" i="1"/>
  <c r="G920" i="1" a="1"/>
  <c r="Z919" i="1"/>
  <c r="Y919" i="1" a="1"/>
  <c r="W919" i="1"/>
  <c r="R919" i="1"/>
  <c r="G919" i="1" a="1"/>
  <c r="Z918" i="1"/>
  <c r="Y918" i="1" a="1"/>
  <c r="W918" i="1"/>
  <c r="R918" i="1"/>
  <c r="G918" i="1" a="1"/>
  <c r="Z917" i="1"/>
  <c r="Y917" i="1" a="1"/>
  <c r="W917" i="1"/>
  <c r="R917" i="1"/>
  <c r="G917" i="1" a="1"/>
  <c r="Z916" i="1"/>
  <c r="Y916" i="1" a="1"/>
  <c r="W916" i="1"/>
  <c r="R916" i="1"/>
  <c r="G916" i="1" a="1"/>
  <c r="Z915" i="1"/>
  <c r="Y915" i="1" a="1"/>
  <c r="W915" i="1"/>
  <c r="R915" i="1"/>
  <c r="G915" i="1" a="1"/>
  <c r="Z914" i="1"/>
  <c r="Y914" i="1" a="1"/>
  <c r="W914" i="1"/>
  <c r="R914" i="1"/>
  <c r="G914" i="1" a="1"/>
  <c r="Z913" i="1"/>
  <c r="Y913" i="1" a="1"/>
  <c r="W913" i="1"/>
  <c r="R913" i="1"/>
  <c r="G913" i="1" a="1"/>
  <c r="Z912" i="1"/>
  <c r="Y912" i="1" a="1"/>
  <c r="W912" i="1"/>
  <c r="R912" i="1"/>
  <c r="G912" i="1" a="1"/>
  <c r="Z911" i="1"/>
  <c r="Y911" i="1" a="1"/>
  <c r="W911" i="1"/>
  <c r="R911" i="1"/>
  <c r="G911" i="1" a="1"/>
  <c r="Z910" i="1"/>
  <c r="Y910" i="1" a="1"/>
  <c r="W910" i="1"/>
  <c r="R910" i="1"/>
  <c r="G910" i="1" a="1"/>
  <c r="Z909" i="1"/>
  <c r="Y909" i="1" a="1"/>
  <c r="W909" i="1"/>
  <c r="R909" i="1"/>
  <c r="G909" i="1" a="1"/>
  <c r="Z908" i="1"/>
  <c r="Y908" i="1" a="1"/>
  <c r="W908" i="1"/>
  <c r="R908" i="1"/>
  <c r="G908" i="1" a="1"/>
  <c r="Z907" i="1"/>
  <c r="Y907" i="1" a="1"/>
  <c r="W907" i="1"/>
  <c r="R907" i="1"/>
  <c r="G907" i="1" a="1"/>
  <c r="Z906" i="1"/>
  <c r="Y906" i="1" a="1"/>
  <c r="W906" i="1"/>
  <c r="R906" i="1"/>
  <c r="G906" i="1" a="1"/>
  <c r="Z905" i="1"/>
  <c r="Y905" i="1" a="1"/>
  <c r="W905" i="1"/>
  <c r="R905" i="1"/>
  <c r="G905" i="1" a="1"/>
  <c r="Z904" i="1"/>
  <c r="Y904" i="1" a="1"/>
  <c r="W904" i="1"/>
  <c r="R904" i="1"/>
  <c r="G904" i="1" a="1"/>
  <c r="Z903" i="1"/>
  <c r="Y903" i="1" a="1"/>
  <c r="W903" i="1"/>
  <c r="R903" i="1"/>
  <c r="G903" i="1" a="1"/>
  <c r="Z902" i="1"/>
  <c r="Y902" i="1" a="1"/>
  <c r="W902" i="1"/>
  <c r="R902" i="1"/>
  <c r="G902" i="1" a="1"/>
  <c r="Z901" i="1"/>
  <c r="Y901" i="1" a="1"/>
  <c r="W901" i="1"/>
  <c r="R901" i="1"/>
  <c r="G901" i="1" a="1"/>
  <c r="Z900" i="1"/>
  <c r="Y900" i="1" a="1"/>
  <c r="W900" i="1"/>
  <c r="R900" i="1"/>
  <c r="G900" i="1" a="1"/>
  <c r="Z899" i="1"/>
  <c r="Y899" i="1" a="1"/>
  <c r="W899" i="1"/>
  <c r="R899" i="1"/>
  <c r="G899" i="1" a="1"/>
  <c r="Z898" i="1"/>
  <c r="Y898" i="1" a="1"/>
  <c r="W898" i="1"/>
  <c r="R898" i="1"/>
  <c r="G898" i="1" a="1"/>
  <c r="Z897" i="1"/>
  <c r="Y897" i="1" a="1"/>
  <c r="W897" i="1"/>
  <c r="R897" i="1"/>
  <c r="G897" i="1" a="1"/>
  <c r="Z896" i="1"/>
  <c r="Y896" i="1" a="1"/>
  <c r="W896" i="1"/>
  <c r="R896" i="1"/>
  <c r="G896" i="1" a="1"/>
  <c r="Z895" i="1"/>
  <c r="Y895" i="1" a="1"/>
  <c r="W895" i="1"/>
  <c r="R895" i="1"/>
  <c r="G895" i="1" a="1"/>
  <c r="Z894" i="1"/>
  <c r="Y894" i="1" a="1"/>
  <c r="W894" i="1"/>
  <c r="R894" i="1"/>
  <c r="G894" i="1" a="1"/>
  <c r="Z893" i="1"/>
  <c r="Y893" i="1" a="1"/>
  <c r="W893" i="1"/>
  <c r="R893" i="1"/>
  <c r="G893" i="1" a="1"/>
  <c r="Z892" i="1"/>
  <c r="Y892" i="1" a="1"/>
  <c r="W892" i="1"/>
  <c r="R892" i="1"/>
  <c r="G892" i="1" a="1"/>
  <c r="Z891" i="1"/>
  <c r="Y891" i="1" a="1"/>
  <c r="W891" i="1"/>
  <c r="R891" i="1"/>
  <c r="G891" i="1" a="1"/>
  <c r="Z890" i="1"/>
  <c r="Y890" i="1" a="1"/>
  <c r="W890" i="1"/>
  <c r="R890" i="1"/>
  <c r="G890" i="1" a="1"/>
  <c r="Z889" i="1"/>
  <c r="Y889" i="1" a="1"/>
  <c r="W889" i="1"/>
  <c r="R889" i="1"/>
  <c r="G889" i="1" a="1"/>
  <c r="Z888" i="1"/>
  <c r="Y888" i="1" a="1"/>
  <c r="W888" i="1"/>
  <c r="R888" i="1"/>
  <c r="G888" i="1" a="1"/>
  <c r="Z887" i="1"/>
  <c r="Y887" i="1" a="1"/>
  <c r="W887" i="1"/>
  <c r="R887" i="1"/>
  <c r="G887" i="1" a="1"/>
  <c r="Z886" i="1"/>
  <c r="Y886" i="1" a="1"/>
  <c r="W886" i="1"/>
  <c r="R886" i="1"/>
  <c r="G886" i="1" a="1"/>
  <c r="Z885" i="1"/>
  <c r="Y885" i="1" a="1"/>
  <c r="W885" i="1"/>
  <c r="R885" i="1"/>
  <c r="G885" i="1" a="1"/>
  <c r="Z884" i="1"/>
  <c r="Y884" i="1" a="1"/>
  <c r="W884" i="1"/>
  <c r="R884" i="1"/>
  <c r="G884" i="1" a="1"/>
  <c r="Z883" i="1"/>
  <c r="Y883" i="1" a="1"/>
  <c r="W883" i="1"/>
  <c r="R883" i="1"/>
  <c r="G883" i="1" a="1"/>
  <c r="Z882" i="1"/>
  <c r="Y882" i="1" a="1"/>
  <c r="W882" i="1"/>
  <c r="R882" i="1"/>
  <c r="G882" i="1" a="1"/>
  <c r="Z881" i="1"/>
  <c r="Y881" i="1" a="1"/>
  <c r="W881" i="1"/>
  <c r="R881" i="1"/>
  <c r="G881" i="1" a="1"/>
  <c r="Z880" i="1"/>
  <c r="Y880" i="1" a="1"/>
  <c r="W880" i="1"/>
  <c r="R880" i="1"/>
  <c r="G880" i="1" a="1"/>
  <c r="Z879" i="1"/>
  <c r="Y879" i="1" a="1"/>
  <c r="W879" i="1"/>
  <c r="R879" i="1"/>
  <c r="G879" i="1" a="1"/>
  <c r="Z878" i="1"/>
  <c r="Y878" i="1" a="1"/>
  <c r="W878" i="1"/>
  <c r="R878" i="1"/>
  <c r="G878" i="1" a="1"/>
  <c r="Z877" i="1"/>
  <c r="Y877" i="1" a="1"/>
  <c r="W877" i="1"/>
  <c r="R877" i="1"/>
  <c r="G877" i="1" a="1"/>
  <c r="Z876" i="1"/>
  <c r="Y876" i="1" a="1"/>
  <c r="W876" i="1"/>
  <c r="R876" i="1"/>
  <c r="G876" i="1" a="1"/>
  <c r="Z875" i="1"/>
  <c r="Y875" i="1" a="1"/>
  <c r="W875" i="1"/>
  <c r="R875" i="1"/>
  <c r="G875" i="1" a="1"/>
  <c r="Z874" i="1"/>
  <c r="Y874" i="1" a="1"/>
  <c r="W874" i="1"/>
  <c r="R874" i="1"/>
  <c r="G874" i="1" a="1"/>
  <c r="Z873" i="1"/>
  <c r="Y873" i="1" a="1"/>
  <c r="W873" i="1"/>
  <c r="R873" i="1"/>
  <c r="G873" i="1" a="1"/>
  <c r="Z872" i="1"/>
  <c r="Y872" i="1" a="1"/>
  <c r="W872" i="1"/>
  <c r="R872" i="1"/>
  <c r="G872" i="1" a="1"/>
  <c r="Z871" i="1"/>
  <c r="Y871" i="1" a="1"/>
  <c r="W871" i="1"/>
  <c r="R871" i="1"/>
  <c r="G871" i="1" a="1"/>
  <c r="Z870" i="1"/>
  <c r="Y870" i="1" a="1"/>
  <c r="W870" i="1"/>
  <c r="R870" i="1"/>
  <c r="G870" i="1" a="1"/>
  <c r="Z869" i="1"/>
  <c r="Y869" i="1" a="1"/>
  <c r="W869" i="1"/>
  <c r="R869" i="1"/>
  <c r="G869" i="1" a="1"/>
  <c r="Z868" i="1"/>
  <c r="Y868" i="1" a="1"/>
  <c r="W868" i="1"/>
  <c r="R868" i="1"/>
  <c r="G868" i="1" a="1"/>
  <c r="Z867" i="1"/>
  <c r="Y867" i="1" a="1"/>
  <c r="W867" i="1"/>
  <c r="R867" i="1"/>
  <c r="G867" i="1" a="1"/>
  <c r="Z866" i="1"/>
  <c r="Y866" i="1" a="1"/>
  <c r="W866" i="1"/>
  <c r="R866" i="1"/>
  <c r="G866" i="1" a="1"/>
  <c r="Z865" i="1"/>
  <c r="Y865" i="1" a="1"/>
  <c r="W865" i="1"/>
  <c r="R865" i="1"/>
  <c r="G865" i="1" a="1"/>
  <c r="Z864" i="1"/>
  <c r="Y864" i="1" a="1"/>
  <c r="W864" i="1"/>
  <c r="R864" i="1"/>
  <c r="G864" i="1" a="1"/>
  <c r="Z863" i="1"/>
  <c r="Y863" i="1" a="1"/>
  <c r="W863" i="1"/>
  <c r="R863" i="1"/>
  <c r="G863" i="1" a="1"/>
  <c r="Z862" i="1"/>
  <c r="Y862" i="1" a="1"/>
  <c r="W862" i="1"/>
  <c r="R862" i="1"/>
  <c r="G862" i="1" a="1"/>
  <c r="Z861" i="1"/>
  <c r="Y861" i="1" a="1"/>
  <c r="W861" i="1"/>
  <c r="R861" i="1"/>
  <c r="G861" i="1" a="1"/>
  <c r="Z860" i="1"/>
  <c r="Y860" i="1" a="1"/>
  <c r="W860" i="1"/>
  <c r="R860" i="1"/>
  <c r="G860" i="1" a="1"/>
  <c r="Z859" i="1"/>
  <c r="Y859" i="1" a="1"/>
  <c r="W859" i="1"/>
  <c r="R859" i="1"/>
  <c r="G859" i="1" a="1"/>
  <c r="Z858" i="1"/>
  <c r="Y858" i="1" a="1"/>
  <c r="W858" i="1"/>
  <c r="R858" i="1"/>
  <c r="G858" i="1" a="1"/>
  <c r="Z857" i="1"/>
  <c r="Y857" i="1" a="1"/>
  <c r="W857" i="1"/>
  <c r="R857" i="1"/>
  <c r="G857" i="1" a="1"/>
  <c r="Z856" i="1"/>
  <c r="Y856" i="1" a="1"/>
  <c r="W856" i="1"/>
  <c r="R856" i="1"/>
  <c r="G856" i="1" a="1"/>
  <c r="Z855" i="1"/>
  <c r="Y855" i="1" a="1"/>
  <c r="W855" i="1"/>
  <c r="R855" i="1"/>
  <c r="G855" i="1" a="1"/>
  <c r="Z854" i="1"/>
  <c r="Y854" i="1" a="1"/>
  <c r="W854" i="1"/>
  <c r="R854" i="1"/>
  <c r="G854" i="1" a="1"/>
  <c r="Z853" i="1"/>
  <c r="Y853" i="1" a="1"/>
  <c r="W853" i="1"/>
  <c r="R853" i="1"/>
  <c r="G853" i="1" a="1"/>
  <c r="Z852" i="1"/>
  <c r="Y852" i="1" a="1"/>
  <c r="W852" i="1"/>
  <c r="R852" i="1"/>
  <c r="G852" i="1" a="1"/>
  <c r="Z851" i="1"/>
  <c r="Y851" i="1" a="1"/>
  <c r="W851" i="1"/>
  <c r="R851" i="1"/>
  <c r="G851" i="1" a="1"/>
  <c r="Z850" i="1"/>
  <c r="Y850" i="1" a="1"/>
  <c r="W850" i="1"/>
  <c r="R850" i="1"/>
  <c r="G850" i="1" a="1"/>
  <c r="Z849" i="1"/>
  <c r="Y849" i="1" a="1"/>
  <c r="W849" i="1"/>
  <c r="R849" i="1"/>
  <c r="G849" i="1" a="1"/>
  <c r="Z848" i="1"/>
  <c r="Y848" i="1" a="1"/>
  <c r="W848" i="1"/>
  <c r="R848" i="1"/>
  <c r="G848" i="1" a="1"/>
  <c r="Z847" i="1"/>
  <c r="Y847" i="1" a="1"/>
  <c r="W847" i="1"/>
  <c r="R847" i="1"/>
  <c r="G847" i="1" a="1"/>
  <c r="Z846" i="1"/>
  <c r="Y846" i="1" a="1"/>
  <c r="W846" i="1"/>
  <c r="R846" i="1"/>
  <c r="G846" i="1" a="1"/>
  <c r="Z845" i="1"/>
  <c r="Y845" i="1" a="1"/>
  <c r="W845" i="1"/>
  <c r="R845" i="1"/>
  <c r="G845" i="1" a="1"/>
  <c r="Z844" i="1"/>
  <c r="Y844" i="1" a="1"/>
  <c r="W844" i="1"/>
  <c r="R844" i="1"/>
  <c r="G844" i="1" a="1"/>
  <c r="Z843" i="1"/>
  <c r="Y843" i="1" a="1"/>
  <c r="W843" i="1"/>
  <c r="R843" i="1"/>
  <c r="G843" i="1" a="1"/>
  <c r="Z842" i="1"/>
  <c r="Y842" i="1" a="1"/>
  <c r="W842" i="1"/>
  <c r="R842" i="1"/>
  <c r="G842" i="1" a="1"/>
  <c r="Z841" i="1"/>
  <c r="Y841" i="1" a="1"/>
  <c r="W841" i="1"/>
  <c r="R841" i="1"/>
  <c r="G841" i="1" a="1"/>
  <c r="Z840" i="1"/>
  <c r="Y840" i="1" a="1"/>
  <c r="W840" i="1"/>
  <c r="R840" i="1"/>
  <c r="G840" i="1" a="1"/>
  <c r="Z839" i="1"/>
  <c r="Y839" i="1" a="1"/>
  <c r="W839" i="1"/>
  <c r="R839" i="1"/>
  <c r="G839" i="1" a="1"/>
  <c r="Z838" i="1"/>
  <c r="Y838" i="1" a="1"/>
  <c r="W838" i="1"/>
  <c r="R838" i="1"/>
  <c r="G838" i="1" a="1"/>
  <c r="Z837" i="1"/>
  <c r="Y837" i="1" a="1"/>
  <c r="W837" i="1"/>
  <c r="R837" i="1"/>
  <c r="G837" i="1" a="1"/>
  <c r="Z836" i="1"/>
  <c r="Y836" i="1" a="1"/>
  <c r="W836" i="1"/>
  <c r="R836" i="1"/>
  <c r="G836" i="1" a="1"/>
  <c r="Z835" i="1"/>
  <c r="Y835" i="1" a="1"/>
  <c r="W835" i="1"/>
  <c r="R835" i="1"/>
  <c r="G835" i="1" a="1"/>
  <c r="Z834" i="1"/>
  <c r="Y834" i="1" a="1"/>
  <c r="W834" i="1"/>
  <c r="R834" i="1"/>
  <c r="G834" i="1" a="1"/>
  <c r="Z833" i="1"/>
  <c r="Y833" i="1" a="1"/>
  <c r="W833" i="1"/>
  <c r="R833" i="1"/>
  <c r="G833" i="1" a="1"/>
  <c r="Z832" i="1"/>
  <c r="Y832" i="1" a="1"/>
  <c r="W832" i="1"/>
  <c r="R832" i="1"/>
  <c r="G832" i="1" a="1"/>
  <c r="Z831" i="1"/>
  <c r="Y831" i="1" a="1"/>
  <c r="W831" i="1"/>
  <c r="R831" i="1"/>
  <c r="G831" i="1" a="1"/>
  <c r="Z830" i="1"/>
  <c r="Y830" i="1" a="1"/>
  <c r="W830" i="1"/>
  <c r="R830" i="1"/>
  <c r="G830" i="1" a="1"/>
  <c r="Z829" i="1"/>
  <c r="Y829" i="1" a="1"/>
  <c r="W829" i="1"/>
  <c r="R829" i="1"/>
  <c r="G829" i="1" a="1"/>
  <c r="Z828" i="1"/>
  <c r="Y828" i="1" a="1"/>
  <c r="W828" i="1"/>
  <c r="R828" i="1"/>
  <c r="G828" i="1" a="1"/>
  <c r="Z827" i="1"/>
  <c r="Y827" i="1" a="1"/>
  <c r="W827" i="1"/>
  <c r="R827" i="1"/>
  <c r="G827" i="1" a="1"/>
  <c r="Z826" i="1"/>
  <c r="Y826" i="1" a="1"/>
  <c r="W826" i="1"/>
  <c r="R826" i="1"/>
  <c r="G826" i="1" a="1"/>
  <c r="Z825" i="1"/>
  <c r="Y825" i="1" a="1"/>
  <c r="W825" i="1"/>
  <c r="R825" i="1"/>
  <c r="G825" i="1" a="1"/>
  <c r="Z824" i="1"/>
  <c r="Y824" i="1" a="1"/>
  <c r="W824" i="1"/>
  <c r="R824" i="1"/>
  <c r="G824" i="1" a="1"/>
  <c r="Z823" i="1"/>
  <c r="Y823" i="1" a="1"/>
  <c r="W823" i="1"/>
  <c r="R823" i="1"/>
  <c r="G823" i="1" a="1"/>
  <c r="Z822" i="1"/>
  <c r="Y822" i="1" a="1"/>
  <c r="W822" i="1"/>
  <c r="R822" i="1"/>
  <c r="G822" i="1" a="1"/>
  <c r="Z821" i="1"/>
  <c r="Y821" i="1" a="1"/>
  <c r="W821" i="1"/>
  <c r="R821" i="1"/>
  <c r="G821" i="1" a="1"/>
  <c r="Z820" i="1"/>
  <c r="Y820" i="1" a="1"/>
  <c r="W820" i="1"/>
  <c r="R820" i="1"/>
  <c r="G820" i="1" a="1"/>
  <c r="Z819" i="1"/>
  <c r="Y819" i="1" a="1"/>
  <c r="W819" i="1"/>
  <c r="R819" i="1"/>
  <c r="G819" i="1" a="1"/>
  <c r="Z818" i="1"/>
  <c r="Y818" i="1" a="1"/>
  <c r="W818" i="1"/>
  <c r="R818" i="1"/>
  <c r="G818" i="1" a="1"/>
  <c r="Z817" i="1"/>
  <c r="Y817" i="1" a="1"/>
  <c r="W817" i="1"/>
  <c r="R817" i="1"/>
  <c r="G817" i="1" a="1"/>
  <c r="Z816" i="1"/>
  <c r="Y816" i="1" a="1"/>
  <c r="W816" i="1"/>
  <c r="R816" i="1"/>
  <c r="G816" i="1" a="1"/>
  <c r="Z815" i="1"/>
  <c r="Y815" i="1" a="1"/>
  <c r="W815" i="1"/>
  <c r="R815" i="1"/>
  <c r="G815" i="1" a="1"/>
  <c r="Z814" i="1"/>
  <c r="Y814" i="1" a="1"/>
  <c r="W814" i="1"/>
  <c r="R814" i="1"/>
  <c r="G814" i="1" a="1"/>
  <c r="Z813" i="1"/>
  <c r="Y813" i="1" a="1"/>
  <c r="W813" i="1"/>
  <c r="R813" i="1"/>
  <c r="G813" i="1" a="1"/>
  <c r="Z812" i="1"/>
  <c r="Y812" i="1" a="1"/>
  <c r="W812" i="1"/>
  <c r="R812" i="1"/>
  <c r="G812" i="1" a="1"/>
  <c r="Z811" i="1"/>
  <c r="Y811" i="1" a="1"/>
  <c r="W811" i="1"/>
  <c r="R811" i="1"/>
  <c r="G811" i="1" a="1"/>
  <c r="Z810" i="1"/>
  <c r="Y810" i="1" a="1"/>
  <c r="W810" i="1"/>
  <c r="R810" i="1"/>
  <c r="G810" i="1" a="1"/>
  <c r="Z809" i="1"/>
  <c r="Y809" i="1" a="1"/>
  <c r="W809" i="1"/>
  <c r="R809" i="1"/>
  <c r="G809" i="1" a="1"/>
  <c r="Z808" i="1"/>
  <c r="Y808" i="1" a="1"/>
  <c r="W808" i="1"/>
  <c r="R808" i="1"/>
  <c r="G808" i="1" a="1"/>
  <c r="Z807" i="1"/>
  <c r="Y807" i="1" a="1"/>
  <c r="W807" i="1"/>
  <c r="R807" i="1"/>
  <c r="G807" i="1" a="1"/>
  <c r="Z806" i="1"/>
  <c r="Y806" i="1" a="1"/>
  <c r="W806" i="1"/>
  <c r="R806" i="1"/>
  <c r="G806" i="1" a="1"/>
  <c r="Z805" i="1"/>
  <c r="Y805" i="1" a="1"/>
  <c r="W805" i="1"/>
  <c r="R805" i="1"/>
  <c r="G805" i="1" a="1"/>
  <c r="Z804" i="1"/>
  <c r="Y804" i="1" a="1"/>
  <c r="W804" i="1"/>
  <c r="R804" i="1"/>
  <c r="G804" i="1" a="1"/>
  <c r="Z803" i="1"/>
  <c r="Y803" i="1" a="1"/>
  <c r="W803" i="1"/>
  <c r="R803" i="1"/>
  <c r="G803" i="1" a="1"/>
  <c r="Z802" i="1"/>
  <c r="Y802" i="1" a="1"/>
  <c r="W802" i="1"/>
  <c r="R802" i="1"/>
  <c r="G802" i="1" a="1"/>
  <c r="Z801" i="1"/>
  <c r="Y801" i="1" a="1"/>
  <c r="W801" i="1"/>
  <c r="R801" i="1"/>
  <c r="G801" i="1" a="1"/>
  <c r="Z800" i="1"/>
  <c r="Y800" i="1" a="1"/>
  <c r="W800" i="1"/>
  <c r="R800" i="1"/>
  <c r="G800" i="1" a="1"/>
  <c r="Z799" i="1"/>
  <c r="Y799" i="1" a="1"/>
  <c r="W799" i="1"/>
  <c r="R799" i="1"/>
  <c r="G799" i="1" a="1"/>
  <c r="Z798" i="1"/>
  <c r="Y798" i="1" a="1"/>
  <c r="W798" i="1"/>
  <c r="R798" i="1"/>
  <c r="G798" i="1" a="1"/>
  <c r="Z797" i="1"/>
  <c r="Y797" i="1" a="1"/>
  <c r="W797" i="1"/>
  <c r="R797" i="1"/>
  <c r="G797" i="1" a="1"/>
  <c r="Z796" i="1"/>
  <c r="Y796" i="1" a="1"/>
  <c r="W796" i="1"/>
  <c r="R796" i="1"/>
  <c r="G796" i="1" a="1"/>
  <c r="Z795" i="1"/>
  <c r="Y795" i="1" a="1"/>
  <c r="W795" i="1"/>
  <c r="R795" i="1"/>
  <c r="G795" i="1" a="1"/>
  <c r="Z794" i="1"/>
  <c r="Y794" i="1" a="1"/>
  <c r="W794" i="1"/>
  <c r="R794" i="1"/>
  <c r="G794" i="1" a="1"/>
  <c r="Z793" i="1"/>
  <c r="Y793" i="1" a="1"/>
  <c r="W793" i="1"/>
  <c r="R793" i="1"/>
  <c r="G793" i="1" a="1"/>
  <c r="Z792" i="1"/>
  <c r="Y792" i="1" a="1"/>
  <c r="W792" i="1"/>
  <c r="R792" i="1"/>
  <c r="G792" i="1" a="1"/>
  <c r="Z791" i="1"/>
  <c r="Y791" i="1" a="1"/>
  <c r="W791" i="1"/>
  <c r="R791" i="1"/>
  <c r="G791" i="1" a="1"/>
  <c r="Z790" i="1"/>
  <c r="Y790" i="1" a="1"/>
  <c r="W790" i="1"/>
  <c r="R790" i="1"/>
  <c r="G790" i="1" a="1"/>
  <c r="Z789" i="1"/>
  <c r="Y789" i="1" a="1"/>
  <c r="W789" i="1"/>
  <c r="R789" i="1"/>
  <c r="G789" i="1" a="1"/>
  <c r="Z788" i="1"/>
  <c r="Y788" i="1" a="1"/>
  <c r="W788" i="1"/>
  <c r="R788" i="1"/>
  <c r="G788" i="1" a="1"/>
  <c r="Z787" i="1"/>
  <c r="Y787" i="1" a="1"/>
  <c r="W787" i="1"/>
  <c r="R787" i="1"/>
  <c r="G787" i="1" a="1"/>
  <c r="Z786" i="1"/>
  <c r="Y786" i="1" a="1"/>
  <c r="W786" i="1"/>
  <c r="R786" i="1"/>
  <c r="G786" i="1" a="1"/>
  <c r="Z785" i="1"/>
  <c r="Y785" i="1" a="1"/>
  <c r="W785" i="1"/>
  <c r="R785" i="1"/>
  <c r="G785" i="1" a="1"/>
  <c r="Z784" i="1"/>
  <c r="Y784" i="1" a="1"/>
  <c r="W784" i="1"/>
  <c r="R784" i="1"/>
  <c r="G784" i="1" a="1"/>
  <c r="Z783" i="1"/>
  <c r="Y783" i="1" a="1"/>
  <c r="W783" i="1"/>
  <c r="R783" i="1"/>
  <c r="G783" i="1" a="1"/>
  <c r="Z782" i="1"/>
  <c r="Y782" i="1" a="1"/>
  <c r="W782" i="1"/>
  <c r="R782" i="1"/>
  <c r="G782" i="1" a="1"/>
  <c r="Z781" i="1"/>
  <c r="Y781" i="1" a="1"/>
  <c r="W781" i="1"/>
  <c r="R781" i="1"/>
  <c r="G781" i="1" a="1"/>
  <c r="Z780" i="1"/>
  <c r="Y780" i="1" a="1"/>
  <c r="W780" i="1"/>
  <c r="R780" i="1"/>
  <c r="G780" i="1" a="1"/>
  <c r="Z779" i="1"/>
  <c r="Y779" i="1" a="1"/>
  <c r="W779" i="1"/>
  <c r="R779" i="1"/>
  <c r="G779" i="1" a="1"/>
  <c r="Z778" i="1"/>
  <c r="Y778" i="1" a="1"/>
  <c r="W778" i="1"/>
  <c r="R778" i="1"/>
  <c r="G778" i="1" a="1"/>
  <c r="Z777" i="1"/>
  <c r="Y777" i="1" a="1"/>
  <c r="W777" i="1"/>
  <c r="R777" i="1"/>
  <c r="G777" i="1" a="1"/>
  <c r="Z776" i="1"/>
  <c r="Y776" i="1" a="1"/>
  <c r="W776" i="1"/>
  <c r="R776" i="1"/>
  <c r="G776" i="1" a="1"/>
  <c r="Z775" i="1"/>
  <c r="Y775" i="1" a="1"/>
  <c r="W775" i="1"/>
  <c r="R775" i="1"/>
  <c r="G775" i="1" a="1"/>
  <c r="Z774" i="1"/>
  <c r="Y774" i="1" a="1"/>
  <c r="W774" i="1"/>
  <c r="R774" i="1"/>
  <c r="G774" i="1" a="1"/>
  <c r="Z773" i="1"/>
  <c r="Y773" i="1" a="1"/>
  <c r="W773" i="1"/>
  <c r="R773" i="1"/>
  <c r="G773" i="1" a="1"/>
  <c r="Z772" i="1"/>
  <c r="Y772" i="1" a="1"/>
  <c r="W772" i="1"/>
  <c r="R772" i="1"/>
  <c r="G772" i="1" a="1"/>
  <c r="Z771" i="1"/>
  <c r="Y771" i="1" a="1"/>
  <c r="W771" i="1"/>
  <c r="R771" i="1"/>
  <c r="G771" i="1" a="1"/>
  <c r="Z770" i="1"/>
  <c r="Y770" i="1" a="1"/>
  <c r="W770" i="1"/>
  <c r="R770" i="1"/>
  <c r="G770" i="1" a="1"/>
  <c r="Z769" i="1"/>
  <c r="Y769" i="1" a="1"/>
  <c r="W769" i="1"/>
  <c r="R769" i="1"/>
  <c r="G769" i="1" a="1"/>
  <c r="Z768" i="1"/>
  <c r="Y768" i="1" a="1"/>
  <c r="W768" i="1"/>
  <c r="R768" i="1"/>
  <c r="G768" i="1" a="1"/>
  <c r="Z767" i="1"/>
  <c r="Y767" i="1" a="1"/>
  <c r="W767" i="1"/>
  <c r="R767" i="1"/>
  <c r="G767" i="1" a="1"/>
  <c r="Z766" i="1"/>
  <c r="Y766" i="1" a="1"/>
  <c r="W766" i="1"/>
  <c r="R766" i="1"/>
  <c r="G766" i="1" a="1"/>
  <c r="Z765" i="1"/>
  <c r="Y765" i="1" a="1"/>
  <c r="W765" i="1"/>
  <c r="R765" i="1"/>
  <c r="G765" i="1" a="1"/>
  <c r="Z764" i="1"/>
  <c r="Y764" i="1" a="1"/>
  <c r="W764" i="1"/>
  <c r="R764" i="1"/>
  <c r="G764" i="1" a="1"/>
  <c r="Z763" i="1"/>
  <c r="Y763" i="1" a="1"/>
  <c r="W763" i="1"/>
  <c r="R763" i="1"/>
  <c r="G763" i="1" a="1"/>
  <c r="Z762" i="1"/>
  <c r="Y762" i="1" a="1"/>
  <c r="W762" i="1"/>
  <c r="R762" i="1"/>
  <c r="G762" i="1" a="1"/>
  <c r="Z761" i="1"/>
  <c r="Y761" i="1" a="1"/>
  <c r="W761" i="1"/>
  <c r="R761" i="1"/>
  <c r="G761" i="1" a="1"/>
  <c r="Z760" i="1"/>
  <c r="Y760" i="1" a="1"/>
  <c r="W760" i="1"/>
  <c r="R760" i="1"/>
  <c r="G760" i="1" a="1"/>
  <c r="Z759" i="1"/>
  <c r="Y759" i="1" a="1"/>
  <c r="W759" i="1"/>
  <c r="R759" i="1"/>
  <c r="G759" i="1" a="1"/>
  <c r="Z758" i="1"/>
  <c r="Y758" i="1" a="1"/>
  <c r="W758" i="1"/>
  <c r="R758" i="1"/>
  <c r="G758" i="1" a="1"/>
  <c r="Z757" i="1"/>
  <c r="Y757" i="1" a="1"/>
  <c r="W757" i="1"/>
  <c r="R757" i="1"/>
  <c r="G757" i="1" a="1"/>
  <c r="Z756" i="1"/>
  <c r="Y756" i="1" a="1"/>
  <c r="W756" i="1"/>
  <c r="R756" i="1"/>
  <c r="G756" i="1" a="1"/>
  <c r="Z755" i="1"/>
  <c r="Y755" i="1" a="1"/>
  <c r="W755" i="1"/>
  <c r="R755" i="1"/>
  <c r="G755" i="1" a="1"/>
  <c r="Z754" i="1"/>
  <c r="Y754" i="1" a="1"/>
  <c r="W754" i="1"/>
  <c r="R754" i="1"/>
  <c r="G754" i="1" a="1"/>
  <c r="Z753" i="1"/>
  <c r="Y753" i="1" a="1"/>
  <c r="W753" i="1"/>
  <c r="R753" i="1"/>
  <c r="G753" i="1" a="1"/>
  <c r="Z752" i="1"/>
  <c r="Y752" i="1" a="1"/>
  <c r="W752" i="1"/>
  <c r="R752" i="1"/>
  <c r="G752" i="1" a="1"/>
  <c r="Z751" i="1"/>
  <c r="Y751" i="1" a="1"/>
  <c r="W751" i="1"/>
  <c r="R751" i="1"/>
  <c r="G751" i="1" a="1"/>
  <c r="Z750" i="1"/>
  <c r="Y750" i="1" a="1"/>
  <c r="W750" i="1"/>
  <c r="R750" i="1"/>
  <c r="G750" i="1" a="1"/>
  <c r="Z749" i="1"/>
  <c r="Y749" i="1" a="1"/>
  <c r="W749" i="1"/>
  <c r="R749" i="1"/>
  <c r="G749" i="1" a="1"/>
  <c r="Z748" i="1"/>
  <c r="Y748" i="1" a="1"/>
  <c r="W748" i="1"/>
  <c r="R748" i="1"/>
  <c r="G748" i="1" a="1"/>
  <c r="Z747" i="1"/>
  <c r="Y747" i="1" a="1"/>
  <c r="W747" i="1"/>
  <c r="R747" i="1"/>
  <c r="G747" i="1" a="1"/>
  <c r="Z746" i="1"/>
  <c r="Y746" i="1" a="1"/>
  <c r="W746" i="1"/>
  <c r="R746" i="1"/>
  <c r="G746" i="1" a="1"/>
  <c r="Z745" i="1"/>
  <c r="Y745" i="1" a="1"/>
  <c r="W745" i="1"/>
  <c r="R745" i="1"/>
  <c r="G745" i="1" a="1"/>
  <c r="Z744" i="1"/>
  <c r="Y744" i="1" a="1"/>
  <c r="W744" i="1"/>
  <c r="R744" i="1"/>
  <c r="G744" i="1" a="1"/>
  <c r="Z743" i="1"/>
  <c r="Y743" i="1" a="1"/>
  <c r="W743" i="1"/>
  <c r="R743" i="1"/>
  <c r="G743" i="1" a="1"/>
  <c r="Z742" i="1"/>
  <c r="Y742" i="1" a="1"/>
  <c r="W742" i="1"/>
  <c r="R742" i="1"/>
  <c r="G742" i="1" a="1"/>
  <c r="Z741" i="1"/>
  <c r="Y741" i="1" a="1"/>
  <c r="W741" i="1"/>
  <c r="R741" i="1"/>
  <c r="G741" i="1" a="1"/>
  <c r="Z740" i="1"/>
  <c r="Y740" i="1" a="1"/>
  <c r="W740" i="1"/>
  <c r="R740" i="1"/>
  <c r="G740" i="1" a="1"/>
  <c r="Z739" i="1"/>
  <c r="Y739" i="1" a="1"/>
  <c r="W739" i="1"/>
  <c r="R739" i="1"/>
  <c r="G739" i="1" a="1"/>
  <c r="Z738" i="1"/>
  <c r="Y738" i="1" a="1"/>
  <c r="W738" i="1"/>
  <c r="R738" i="1"/>
  <c r="G738" i="1" a="1"/>
  <c r="Z737" i="1"/>
  <c r="Y737" i="1" a="1"/>
  <c r="W737" i="1"/>
  <c r="R737" i="1"/>
  <c r="G737" i="1" a="1"/>
  <c r="Z736" i="1"/>
  <c r="Y736" i="1" a="1"/>
  <c r="W736" i="1"/>
  <c r="R736" i="1"/>
  <c r="G736" i="1" a="1"/>
  <c r="Z735" i="1"/>
  <c r="Y735" i="1" a="1"/>
  <c r="W735" i="1"/>
  <c r="R735" i="1"/>
  <c r="G735" i="1" a="1"/>
  <c r="Z734" i="1"/>
  <c r="Y734" i="1" a="1"/>
  <c r="W734" i="1"/>
  <c r="R734" i="1"/>
  <c r="G734" i="1" a="1"/>
  <c r="Z733" i="1"/>
  <c r="Y733" i="1" a="1"/>
  <c r="W733" i="1"/>
  <c r="R733" i="1"/>
  <c r="G733" i="1" a="1"/>
  <c r="Z732" i="1"/>
  <c r="Y732" i="1" a="1"/>
  <c r="W732" i="1"/>
  <c r="R732" i="1"/>
  <c r="G732" i="1" a="1"/>
  <c r="Z731" i="1"/>
  <c r="Y731" i="1" a="1"/>
  <c r="W731" i="1"/>
  <c r="R731" i="1"/>
  <c r="G731" i="1" a="1"/>
  <c r="Z730" i="1"/>
  <c r="Y730" i="1" a="1"/>
  <c r="W730" i="1"/>
  <c r="R730" i="1"/>
  <c r="G730" i="1" a="1"/>
  <c r="Z729" i="1"/>
  <c r="Y729" i="1" a="1"/>
  <c r="W729" i="1"/>
  <c r="R729" i="1"/>
  <c r="G729" i="1" a="1"/>
  <c r="Z728" i="1"/>
  <c r="Y728" i="1" a="1"/>
  <c r="W728" i="1"/>
  <c r="R728" i="1"/>
  <c r="G728" i="1" a="1"/>
  <c r="Z727" i="1"/>
  <c r="Y727" i="1" a="1"/>
  <c r="W727" i="1"/>
  <c r="R727" i="1"/>
  <c r="G727" i="1" a="1"/>
  <c r="Z726" i="1"/>
  <c r="Y726" i="1" a="1"/>
  <c r="W726" i="1"/>
  <c r="R726" i="1"/>
  <c r="G726" i="1" a="1"/>
  <c r="Z725" i="1"/>
  <c r="Y725" i="1" a="1"/>
  <c r="W725" i="1"/>
  <c r="R725" i="1"/>
  <c r="G725" i="1" a="1"/>
  <c r="Z724" i="1"/>
  <c r="Y724" i="1" a="1"/>
  <c r="W724" i="1"/>
  <c r="R724" i="1"/>
  <c r="G724" i="1" a="1"/>
  <c r="Z723" i="1"/>
  <c r="Y723" i="1" a="1"/>
  <c r="W723" i="1"/>
  <c r="R723" i="1"/>
  <c r="G723" i="1" a="1"/>
  <c r="Z722" i="1"/>
  <c r="Y722" i="1" a="1"/>
  <c r="W722" i="1"/>
  <c r="R722" i="1"/>
  <c r="G722" i="1" a="1"/>
  <c r="Z721" i="1"/>
  <c r="Y721" i="1" a="1"/>
  <c r="W721" i="1"/>
  <c r="R721" i="1"/>
  <c r="G721" i="1" a="1"/>
  <c r="Z720" i="1"/>
  <c r="Y720" i="1" a="1"/>
  <c r="W720" i="1"/>
  <c r="R720" i="1"/>
  <c r="G720" i="1" a="1"/>
  <c r="Z719" i="1"/>
  <c r="Y719" i="1" a="1"/>
  <c r="W719" i="1"/>
  <c r="R719" i="1"/>
  <c r="G719" i="1" a="1"/>
  <c r="Z718" i="1"/>
  <c r="Y718" i="1" a="1"/>
  <c r="W718" i="1"/>
  <c r="R718" i="1"/>
  <c r="G718" i="1" a="1"/>
  <c r="Z717" i="1"/>
  <c r="Y717" i="1" a="1"/>
  <c r="W717" i="1"/>
  <c r="R717" i="1"/>
  <c r="G717" i="1" a="1"/>
  <c r="Z716" i="1"/>
  <c r="Y716" i="1" a="1"/>
  <c r="W716" i="1"/>
  <c r="R716" i="1"/>
  <c r="G716" i="1" a="1"/>
  <c r="Z715" i="1"/>
  <c r="Y715" i="1" a="1"/>
  <c r="W715" i="1"/>
  <c r="R715" i="1"/>
  <c r="G715" i="1" a="1"/>
  <c r="Z714" i="1"/>
  <c r="Y714" i="1" a="1"/>
  <c r="W714" i="1"/>
  <c r="R714" i="1"/>
  <c r="G714" i="1" a="1"/>
  <c r="Z713" i="1"/>
  <c r="Y713" i="1" a="1"/>
  <c r="W713" i="1"/>
  <c r="R713" i="1"/>
  <c r="G713" i="1" a="1"/>
  <c r="Z712" i="1"/>
  <c r="Y712" i="1" a="1"/>
  <c r="W712" i="1"/>
  <c r="R712" i="1"/>
  <c r="G712" i="1" a="1"/>
  <c r="Z711" i="1"/>
  <c r="Y711" i="1" a="1"/>
  <c r="W711" i="1"/>
  <c r="R711" i="1"/>
  <c r="G711" i="1" a="1"/>
  <c r="Z710" i="1"/>
  <c r="Y710" i="1" a="1"/>
  <c r="W710" i="1"/>
  <c r="R710" i="1"/>
  <c r="G710" i="1" a="1"/>
  <c r="Z709" i="1"/>
  <c r="Y709" i="1" a="1"/>
  <c r="W709" i="1"/>
  <c r="R709" i="1"/>
  <c r="G709" i="1" a="1"/>
  <c r="Z708" i="1"/>
  <c r="Y708" i="1" a="1"/>
  <c r="W708" i="1"/>
  <c r="R708" i="1"/>
  <c r="G708" i="1" a="1"/>
  <c r="Z707" i="1"/>
  <c r="Y707" i="1" a="1"/>
  <c r="W707" i="1"/>
  <c r="R707" i="1"/>
  <c r="G707" i="1" a="1"/>
  <c r="Z706" i="1"/>
  <c r="Y706" i="1" a="1"/>
  <c r="W706" i="1"/>
  <c r="R706" i="1"/>
  <c r="G706" i="1" a="1"/>
  <c r="Z705" i="1"/>
  <c r="Y705" i="1" a="1"/>
  <c r="W705" i="1"/>
  <c r="R705" i="1"/>
  <c r="G705" i="1" a="1"/>
  <c r="Z704" i="1"/>
  <c r="Y704" i="1" a="1"/>
  <c r="W704" i="1"/>
  <c r="R704" i="1"/>
  <c r="G704" i="1" a="1"/>
  <c r="Z703" i="1"/>
  <c r="Y703" i="1" a="1"/>
  <c r="W703" i="1"/>
  <c r="R703" i="1"/>
  <c r="G703" i="1" a="1"/>
  <c r="Z702" i="1"/>
  <c r="Y702" i="1" a="1"/>
  <c r="W702" i="1"/>
  <c r="R702" i="1"/>
  <c r="G702" i="1" a="1"/>
  <c r="Z701" i="1"/>
  <c r="Y701" i="1" a="1"/>
  <c r="W701" i="1"/>
  <c r="R701" i="1"/>
  <c r="G701" i="1" a="1"/>
  <c r="Z700" i="1"/>
  <c r="Y700" i="1" a="1"/>
  <c r="W700" i="1"/>
  <c r="R700" i="1"/>
  <c r="G700" i="1" a="1"/>
  <c r="Z699" i="1"/>
  <c r="Y699" i="1" a="1"/>
  <c r="W699" i="1"/>
  <c r="R699" i="1"/>
  <c r="G699" i="1" a="1"/>
  <c r="Z698" i="1"/>
  <c r="Y698" i="1" a="1"/>
  <c r="W698" i="1"/>
  <c r="R698" i="1"/>
  <c r="G698" i="1" a="1"/>
  <c r="Z697" i="1"/>
  <c r="Y697" i="1" a="1"/>
  <c r="W697" i="1"/>
  <c r="R697" i="1"/>
  <c r="G697" i="1" a="1"/>
  <c r="Z696" i="1"/>
  <c r="Y696" i="1" a="1"/>
  <c r="W696" i="1"/>
  <c r="R696" i="1"/>
  <c r="G696" i="1" a="1"/>
  <c r="Z695" i="1"/>
  <c r="Y695" i="1" a="1"/>
  <c r="W695" i="1"/>
  <c r="R695" i="1"/>
  <c r="G695" i="1" a="1"/>
  <c r="Z694" i="1"/>
  <c r="Y694" i="1" a="1"/>
  <c r="W694" i="1"/>
  <c r="R694" i="1"/>
  <c r="G694" i="1" a="1"/>
  <c r="Z693" i="1"/>
  <c r="Y693" i="1" a="1"/>
  <c r="W693" i="1"/>
  <c r="R693" i="1"/>
  <c r="G693" i="1" a="1"/>
  <c r="Z692" i="1"/>
  <c r="Y692" i="1" a="1"/>
  <c r="W692" i="1"/>
  <c r="R692" i="1"/>
  <c r="G692" i="1" a="1"/>
  <c r="Z691" i="1"/>
  <c r="Y691" i="1" a="1"/>
  <c r="W691" i="1"/>
  <c r="R691" i="1"/>
  <c r="G691" i="1" a="1"/>
  <c r="Z690" i="1"/>
  <c r="Y690" i="1" a="1"/>
  <c r="W690" i="1"/>
  <c r="R690" i="1"/>
  <c r="G690" i="1" a="1"/>
  <c r="Z689" i="1"/>
  <c r="Y689" i="1" a="1"/>
  <c r="W689" i="1"/>
  <c r="R689" i="1"/>
  <c r="G689" i="1" a="1"/>
  <c r="Z688" i="1"/>
  <c r="Y688" i="1" a="1"/>
  <c r="W688" i="1"/>
  <c r="R688" i="1"/>
  <c r="G688" i="1" a="1"/>
  <c r="Z687" i="1"/>
  <c r="Y687" i="1" a="1"/>
  <c r="W687" i="1"/>
  <c r="R687" i="1"/>
  <c r="G687" i="1" a="1"/>
  <c r="Z686" i="1"/>
  <c r="Y686" i="1" a="1"/>
  <c r="W686" i="1"/>
  <c r="R686" i="1"/>
  <c r="G686" i="1" a="1"/>
  <c r="Z685" i="1"/>
  <c r="Y685" i="1" a="1"/>
  <c r="W685" i="1"/>
  <c r="R685" i="1"/>
  <c r="G685" i="1" a="1"/>
  <c r="Z684" i="1"/>
  <c r="Y684" i="1" a="1"/>
  <c r="W684" i="1"/>
  <c r="R684" i="1"/>
  <c r="G684" i="1" a="1"/>
  <c r="Z683" i="1"/>
  <c r="Y683" i="1" a="1"/>
  <c r="W683" i="1"/>
  <c r="R683" i="1"/>
  <c r="G683" i="1" a="1"/>
  <c r="Z682" i="1"/>
  <c r="Y682" i="1" a="1"/>
  <c r="W682" i="1"/>
  <c r="R682" i="1"/>
  <c r="G682" i="1" a="1"/>
  <c r="Z681" i="1"/>
  <c r="Y681" i="1" a="1"/>
  <c r="W681" i="1"/>
  <c r="R681" i="1"/>
  <c r="G681" i="1" a="1"/>
  <c r="Z680" i="1"/>
  <c r="Y680" i="1" a="1"/>
  <c r="W680" i="1"/>
  <c r="R680" i="1"/>
  <c r="G680" i="1" a="1"/>
  <c r="Z679" i="1"/>
  <c r="Y679" i="1" a="1"/>
  <c r="W679" i="1"/>
  <c r="R679" i="1"/>
  <c r="G679" i="1" a="1"/>
  <c r="Z678" i="1"/>
  <c r="Y678" i="1" a="1"/>
  <c r="W678" i="1"/>
  <c r="R678" i="1"/>
  <c r="G678" i="1" a="1"/>
  <c r="Z677" i="1"/>
  <c r="Y677" i="1" a="1"/>
  <c r="W677" i="1"/>
  <c r="R677" i="1"/>
  <c r="G677" i="1" a="1"/>
  <c r="Z676" i="1"/>
  <c r="Y676" i="1" a="1"/>
  <c r="W676" i="1"/>
  <c r="R676" i="1"/>
  <c r="G676" i="1" a="1"/>
  <c r="Z675" i="1"/>
  <c r="Y675" i="1" a="1"/>
  <c r="W675" i="1"/>
  <c r="R675" i="1"/>
  <c r="G675" i="1" a="1"/>
  <c r="Z674" i="1"/>
  <c r="Y674" i="1" a="1"/>
  <c r="W674" i="1"/>
  <c r="R674" i="1"/>
  <c r="G674" i="1" a="1"/>
  <c r="Z673" i="1"/>
  <c r="Y673" i="1" a="1"/>
  <c r="W673" i="1"/>
  <c r="R673" i="1"/>
  <c r="G673" i="1" a="1"/>
  <c r="Z672" i="1"/>
  <c r="Y672" i="1" a="1"/>
  <c r="W672" i="1"/>
  <c r="R672" i="1"/>
  <c r="G672" i="1" a="1"/>
  <c r="Z671" i="1"/>
  <c r="Y671" i="1" a="1"/>
  <c r="W671" i="1"/>
  <c r="R671" i="1"/>
  <c r="G671" i="1" a="1"/>
  <c r="Z670" i="1"/>
  <c r="Y670" i="1" a="1"/>
  <c r="W670" i="1"/>
  <c r="R670" i="1"/>
  <c r="G670" i="1" a="1"/>
  <c r="Z669" i="1"/>
  <c r="Y669" i="1" a="1"/>
  <c r="W669" i="1"/>
  <c r="R669" i="1"/>
  <c r="G669" i="1" a="1"/>
  <c r="Z668" i="1"/>
  <c r="Y668" i="1" a="1"/>
  <c r="W668" i="1"/>
  <c r="R668" i="1"/>
  <c r="G668" i="1" a="1"/>
  <c r="Z667" i="1"/>
  <c r="Y667" i="1" a="1"/>
  <c r="W667" i="1"/>
  <c r="R667" i="1"/>
  <c r="G667" i="1" a="1"/>
  <c r="Z666" i="1"/>
  <c r="Y666" i="1" a="1"/>
  <c r="W666" i="1"/>
  <c r="R666" i="1"/>
  <c r="G666" i="1" a="1"/>
  <c r="Z665" i="1"/>
  <c r="Y665" i="1" a="1"/>
  <c r="W665" i="1"/>
  <c r="R665" i="1"/>
  <c r="G665" i="1" a="1"/>
  <c r="Z664" i="1"/>
  <c r="Y664" i="1" a="1"/>
  <c r="W664" i="1"/>
  <c r="R664" i="1"/>
  <c r="G664" i="1" a="1"/>
  <c r="Z663" i="1"/>
  <c r="Y663" i="1" a="1"/>
  <c r="W663" i="1"/>
  <c r="R663" i="1"/>
  <c r="G663" i="1" a="1"/>
  <c r="Z662" i="1"/>
  <c r="Y662" i="1" a="1"/>
  <c r="W662" i="1"/>
  <c r="R662" i="1"/>
  <c r="G662" i="1" a="1"/>
  <c r="Z661" i="1"/>
  <c r="Y661" i="1" a="1"/>
  <c r="W661" i="1"/>
  <c r="R661" i="1"/>
  <c r="G661" i="1" a="1"/>
  <c r="Z660" i="1"/>
  <c r="Y660" i="1" a="1"/>
  <c r="W660" i="1"/>
  <c r="R660" i="1"/>
  <c r="G660" i="1" a="1"/>
  <c r="Z659" i="1"/>
  <c r="Y659" i="1" a="1"/>
  <c r="W659" i="1"/>
  <c r="R659" i="1"/>
  <c r="G659" i="1" a="1"/>
  <c r="Z658" i="1"/>
  <c r="Y658" i="1" a="1"/>
  <c r="W658" i="1"/>
  <c r="R658" i="1"/>
  <c r="G658" i="1" a="1"/>
  <c r="Z657" i="1"/>
  <c r="Y657" i="1" a="1"/>
  <c r="W657" i="1"/>
  <c r="R657" i="1"/>
  <c r="G657" i="1" a="1"/>
  <c r="Z656" i="1"/>
  <c r="Y656" i="1" a="1"/>
  <c r="W656" i="1"/>
  <c r="R656" i="1"/>
  <c r="G656" i="1" a="1"/>
  <c r="Z655" i="1"/>
  <c r="Y655" i="1" a="1"/>
  <c r="W655" i="1"/>
  <c r="R655" i="1"/>
  <c r="G655" i="1" a="1"/>
  <c r="Z654" i="1"/>
  <c r="Y654" i="1" a="1"/>
  <c r="W654" i="1"/>
  <c r="R654" i="1"/>
  <c r="G654" i="1" a="1"/>
  <c r="Z653" i="1"/>
  <c r="Y653" i="1" a="1"/>
  <c r="W653" i="1"/>
  <c r="R653" i="1"/>
  <c r="G653" i="1" a="1"/>
  <c r="Z652" i="1"/>
  <c r="Y652" i="1" a="1"/>
  <c r="W652" i="1"/>
  <c r="R652" i="1"/>
  <c r="G652" i="1" a="1"/>
  <c r="Z651" i="1"/>
  <c r="Y651" i="1" a="1"/>
  <c r="W651" i="1"/>
  <c r="R651" i="1"/>
  <c r="G651" i="1" a="1"/>
  <c r="Z650" i="1"/>
  <c r="Y650" i="1" a="1"/>
  <c r="W650" i="1"/>
  <c r="R650" i="1"/>
  <c r="G650" i="1" a="1"/>
  <c r="Z649" i="1"/>
  <c r="Y649" i="1" a="1"/>
  <c r="W649" i="1"/>
  <c r="R649" i="1"/>
  <c r="G649" i="1" a="1"/>
  <c r="Z648" i="1"/>
  <c r="Y648" i="1" a="1"/>
  <c r="W648" i="1"/>
  <c r="R648" i="1"/>
  <c r="G648" i="1" a="1"/>
  <c r="Z647" i="1"/>
  <c r="Y647" i="1" a="1"/>
  <c r="W647" i="1"/>
  <c r="R647" i="1"/>
  <c r="G647" i="1" a="1"/>
  <c r="Z646" i="1"/>
  <c r="Y646" i="1" a="1"/>
  <c r="W646" i="1"/>
  <c r="R646" i="1"/>
  <c r="G646" i="1" a="1"/>
  <c r="Z645" i="1"/>
  <c r="Y645" i="1" a="1"/>
  <c r="W645" i="1"/>
  <c r="R645" i="1"/>
  <c r="G645" i="1" a="1"/>
  <c r="Z644" i="1"/>
  <c r="Y644" i="1" a="1"/>
  <c r="W644" i="1"/>
  <c r="R644" i="1"/>
  <c r="G644" i="1" a="1"/>
  <c r="Z643" i="1"/>
  <c r="Y643" i="1" a="1"/>
  <c r="W643" i="1"/>
  <c r="R643" i="1"/>
  <c r="G643" i="1" a="1"/>
  <c r="Z642" i="1"/>
  <c r="Y642" i="1" a="1"/>
  <c r="W642" i="1"/>
  <c r="R642" i="1"/>
  <c r="G642" i="1" a="1"/>
  <c r="Z641" i="1"/>
  <c r="Y641" i="1" a="1"/>
  <c r="W641" i="1"/>
  <c r="R641" i="1"/>
  <c r="G641" i="1" a="1"/>
  <c r="Z640" i="1"/>
  <c r="Y640" i="1" a="1"/>
  <c r="W640" i="1"/>
  <c r="R640" i="1"/>
  <c r="G640" i="1" a="1"/>
  <c r="Z639" i="1"/>
  <c r="Y639" i="1" a="1"/>
  <c r="W639" i="1"/>
  <c r="R639" i="1"/>
  <c r="G639" i="1" a="1"/>
  <c r="Z638" i="1"/>
  <c r="Y638" i="1" a="1"/>
  <c r="W638" i="1"/>
  <c r="R638" i="1"/>
  <c r="G638" i="1" a="1"/>
  <c r="Z637" i="1"/>
  <c r="Y637" i="1" a="1"/>
  <c r="W637" i="1"/>
  <c r="R637" i="1"/>
  <c r="G637" i="1" a="1"/>
  <c r="Z636" i="1"/>
  <c r="Y636" i="1" a="1"/>
  <c r="W636" i="1"/>
  <c r="R636" i="1"/>
  <c r="G636" i="1" a="1"/>
  <c r="Z635" i="1"/>
  <c r="Y635" i="1" a="1"/>
  <c r="W635" i="1"/>
  <c r="R635" i="1"/>
  <c r="G635" i="1" a="1"/>
  <c r="Z634" i="1"/>
  <c r="Y634" i="1" a="1"/>
  <c r="W634" i="1"/>
  <c r="R634" i="1"/>
  <c r="G634" i="1" a="1"/>
  <c r="Z633" i="1"/>
  <c r="Y633" i="1" a="1"/>
  <c r="W633" i="1"/>
  <c r="R633" i="1"/>
  <c r="G633" i="1" a="1"/>
  <c r="Z632" i="1"/>
  <c r="Y632" i="1" a="1"/>
  <c r="W632" i="1"/>
  <c r="R632" i="1"/>
  <c r="G632" i="1" a="1"/>
  <c r="Z631" i="1"/>
  <c r="Y631" i="1" a="1"/>
  <c r="W631" i="1"/>
  <c r="R631" i="1"/>
  <c r="G631" i="1" a="1"/>
  <c r="Z630" i="1"/>
  <c r="Y630" i="1" a="1"/>
  <c r="W630" i="1"/>
  <c r="R630" i="1"/>
  <c r="G630" i="1" a="1"/>
  <c r="Z629" i="1"/>
  <c r="Y629" i="1" a="1"/>
  <c r="W629" i="1"/>
  <c r="R629" i="1"/>
  <c r="G629" i="1" a="1"/>
  <c r="Z628" i="1"/>
  <c r="Y628" i="1" a="1"/>
  <c r="W628" i="1"/>
  <c r="R628" i="1"/>
  <c r="G628" i="1" a="1"/>
  <c r="Z627" i="1"/>
  <c r="Y627" i="1" a="1"/>
  <c r="W627" i="1"/>
  <c r="R627" i="1"/>
  <c r="G627" i="1" a="1"/>
  <c r="Z626" i="1"/>
  <c r="Y626" i="1" a="1"/>
  <c r="W626" i="1"/>
  <c r="R626" i="1"/>
  <c r="G626" i="1" a="1"/>
  <c r="Z625" i="1"/>
  <c r="Y625" i="1" a="1"/>
  <c r="W625" i="1"/>
  <c r="R625" i="1"/>
  <c r="G625" i="1" a="1"/>
  <c r="Z624" i="1"/>
  <c r="Y624" i="1" a="1"/>
  <c r="W624" i="1"/>
  <c r="R624" i="1"/>
  <c r="G624" i="1" a="1"/>
  <c r="Z623" i="1"/>
  <c r="Y623" i="1" a="1"/>
  <c r="W623" i="1"/>
  <c r="R623" i="1"/>
  <c r="G623" i="1" a="1"/>
  <c r="Z622" i="1"/>
  <c r="Y622" i="1" a="1"/>
  <c r="W622" i="1"/>
  <c r="R622" i="1"/>
  <c r="G622" i="1" a="1"/>
  <c r="Z621" i="1"/>
  <c r="Y621" i="1" a="1"/>
  <c r="W621" i="1"/>
  <c r="R621" i="1"/>
  <c r="G621" i="1" a="1"/>
  <c r="Z620" i="1"/>
  <c r="Y620" i="1" a="1"/>
  <c r="W620" i="1"/>
  <c r="R620" i="1"/>
  <c r="G620" i="1" a="1"/>
  <c r="Z619" i="1"/>
  <c r="Y619" i="1" a="1"/>
  <c r="W619" i="1"/>
  <c r="R619" i="1"/>
  <c r="G619" i="1" a="1"/>
  <c r="Z618" i="1"/>
  <c r="Y618" i="1" a="1"/>
  <c r="W618" i="1"/>
  <c r="R618" i="1"/>
  <c r="G618" i="1" a="1"/>
  <c r="Z617" i="1"/>
  <c r="Y617" i="1" a="1"/>
  <c r="W617" i="1"/>
  <c r="R617" i="1"/>
  <c r="G617" i="1" a="1"/>
  <c r="Z616" i="1"/>
  <c r="Y616" i="1" a="1"/>
  <c r="W616" i="1"/>
  <c r="R616" i="1"/>
  <c r="G616" i="1" a="1"/>
  <c r="Z615" i="1"/>
  <c r="Y615" i="1" a="1"/>
  <c r="W615" i="1"/>
  <c r="R615" i="1"/>
  <c r="G615" i="1" a="1"/>
  <c r="Z614" i="1"/>
  <c r="Y614" i="1" a="1"/>
  <c r="W614" i="1"/>
  <c r="R614" i="1"/>
  <c r="G614" i="1" a="1"/>
  <c r="Z613" i="1"/>
  <c r="Y613" i="1" a="1"/>
  <c r="W613" i="1"/>
  <c r="R613" i="1"/>
  <c r="G613" i="1" a="1"/>
  <c r="Z612" i="1"/>
  <c r="Y612" i="1" a="1"/>
  <c r="W612" i="1"/>
  <c r="R612" i="1"/>
  <c r="G612" i="1" a="1"/>
  <c r="Z611" i="1"/>
  <c r="Y611" i="1" a="1"/>
  <c r="W611" i="1"/>
  <c r="R611" i="1"/>
  <c r="G611" i="1" a="1"/>
  <c r="Z610" i="1"/>
  <c r="Y610" i="1" a="1"/>
  <c r="W610" i="1"/>
  <c r="R610" i="1"/>
  <c r="G610" i="1" a="1"/>
  <c r="Z609" i="1"/>
  <c r="Y609" i="1" a="1"/>
  <c r="W609" i="1"/>
  <c r="R609" i="1"/>
  <c r="G609" i="1" a="1"/>
  <c r="Z608" i="1"/>
  <c r="Y608" i="1" a="1"/>
  <c r="W608" i="1"/>
  <c r="R608" i="1"/>
  <c r="G608" i="1" a="1"/>
  <c r="Z607" i="1"/>
  <c r="Y607" i="1" a="1"/>
  <c r="W607" i="1"/>
  <c r="R607" i="1"/>
  <c r="G607" i="1" a="1"/>
  <c r="Z606" i="1"/>
  <c r="Y606" i="1" a="1"/>
  <c r="W606" i="1"/>
  <c r="R606" i="1"/>
  <c r="G606" i="1" a="1"/>
  <c r="Z605" i="1"/>
  <c r="Y605" i="1" a="1"/>
  <c r="W605" i="1"/>
  <c r="R605" i="1"/>
  <c r="G605" i="1" a="1"/>
  <c r="Z604" i="1"/>
  <c r="Y604" i="1" a="1"/>
  <c r="W604" i="1"/>
  <c r="R604" i="1"/>
  <c r="G604" i="1" a="1"/>
  <c r="Z603" i="1"/>
  <c r="Y603" i="1" a="1"/>
  <c r="W603" i="1"/>
  <c r="R603" i="1"/>
  <c r="G603" i="1" a="1"/>
  <c r="Z602" i="1"/>
  <c r="Y602" i="1" a="1"/>
  <c r="W602" i="1"/>
  <c r="R602" i="1"/>
  <c r="G602" i="1" a="1"/>
  <c r="Z601" i="1"/>
  <c r="Y601" i="1" a="1"/>
  <c r="W601" i="1"/>
  <c r="R601" i="1"/>
  <c r="G601" i="1" a="1"/>
  <c r="Z600" i="1"/>
  <c r="Y600" i="1" a="1"/>
  <c r="W600" i="1"/>
  <c r="R600" i="1"/>
  <c r="G600" i="1" a="1"/>
  <c r="Z599" i="1"/>
  <c r="Y599" i="1" a="1"/>
  <c r="W599" i="1"/>
  <c r="R599" i="1"/>
  <c r="G599" i="1" a="1"/>
  <c r="Z598" i="1"/>
  <c r="Y598" i="1" a="1"/>
  <c r="W598" i="1"/>
  <c r="R598" i="1"/>
  <c r="G598" i="1" a="1"/>
  <c r="Z597" i="1"/>
  <c r="Y597" i="1" a="1"/>
  <c r="W597" i="1"/>
  <c r="R597" i="1"/>
  <c r="G597" i="1" a="1"/>
  <c r="Z596" i="1"/>
  <c r="Y596" i="1" a="1"/>
  <c r="W596" i="1"/>
  <c r="R596" i="1"/>
  <c r="G596" i="1" a="1"/>
  <c r="Z595" i="1"/>
  <c r="Y595" i="1" a="1"/>
  <c r="W595" i="1"/>
  <c r="R595" i="1"/>
  <c r="G595" i="1" a="1"/>
  <c r="Z594" i="1"/>
  <c r="Y594" i="1" a="1"/>
  <c r="W594" i="1"/>
  <c r="R594" i="1"/>
  <c r="G594" i="1" a="1"/>
  <c r="Z593" i="1"/>
  <c r="Y593" i="1" a="1"/>
  <c r="W593" i="1"/>
  <c r="R593" i="1"/>
  <c r="G593" i="1" a="1"/>
  <c r="Z592" i="1"/>
  <c r="Y592" i="1" a="1"/>
  <c r="W592" i="1"/>
  <c r="R592" i="1"/>
  <c r="G592" i="1" a="1"/>
  <c r="Z591" i="1"/>
  <c r="Y591" i="1" a="1"/>
  <c r="W591" i="1"/>
  <c r="R591" i="1"/>
  <c r="G591" i="1" a="1"/>
  <c r="Z590" i="1"/>
  <c r="Y590" i="1" a="1"/>
  <c r="W590" i="1"/>
  <c r="R590" i="1"/>
  <c r="G590" i="1" a="1"/>
  <c r="Z589" i="1"/>
  <c r="Y589" i="1" a="1"/>
  <c r="W589" i="1"/>
  <c r="R589" i="1"/>
  <c r="G589" i="1" a="1"/>
  <c r="Z588" i="1"/>
  <c r="Y588" i="1" a="1"/>
  <c r="W588" i="1"/>
  <c r="R588" i="1"/>
  <c r="G588" i="1" a="1"/>
  <c r="Z587" i="1"/>
  <c r="Y587" i="1" a="1"/>
  <c r="W587" i="1"/>
  <c r="R587" i="1"/>
  <c r="G587" i="1" a="1"/>
  <c r="Z586" i="1"/>
  <c r="Y586" i="1" a="1"/>
  <c r="W586" i="1"/>
  <c r="R586" i="1"/>
  <c r="G586" i="1" a="1"/>
  <c r="Z585" i="1"/>
  <c r="Y585" i="1" a="1"/>
  <c r="W585" i="1"/>
  <c r="R585" i="1"/>
  <c r="G585" i="1" a="1"/>
  <c r="Z584" i="1"/>
  <c r="Y584" i="1" a="1"/>
  <c r="W584" i="1"/>
  <c r="R584" i="1"/>
  <c r="G584" i="1" a="1"/>
  <c r="Z583" i="1"/>
  <c r="Y583" i="1" a="1"/>
  <c r="W583" i="1"/>
  <c r="R583" i="1"/>
  <c r="G583" i="1" a="1"/>
  <c r="Z582" i="1"/>
  <c r="Y582" i="1" a="1"/>
  <c r="W582" i="1"/>
  <c r="R582" i="1"/>
  <c r="G582" i="1" a="1"/>
  <c r="Z581" i="1"/>
  <c r="Y581" i="1" a="1"/>
  <c r="W581" i="1"/>
  <c r="R581" i="1"/>
  <c r="G581" i="1" a="1"/>
  <c r="Z580" i="1"/>
  <c r="Y580" i="1" a="1"/>
  <c r="W580" i="1"/>
  <c r="R580" i="1"/>
  <c r="G580" i="1" a="1"/>
  <c r="Z579" i="1"/>
  <c r="Y579" i="1" a="1"/>
  <c r="W579" i="1"/>
  <c r="R579" i="1"/>
  <c r="G579" i="1" a="1"/>
  <c r="Z578" i="1"/>
  <c r="Y578" i="1" a="1"/>
  <c r="W578" i="1"/>
  <c r="R578" i="1"/>
  <c r="G578" i="1" a="1"/>
  <c r="Z577" i="1"/>
  <c r="Y577" i="1" a="1"/>
  <c r="W577" i="1"/>
  <c r="R577" i="1"/>
  <c r="G577" i="1" a="1"/>
  <c r="Z576" i="1"/>
  <c r="Y576" i="1" a="1"/>
  <c r="W576" i="1"/>
  <c r="R576" i="1"/>
  <c r="G576" i="1" a="1"/>
  <c r="Z575" i="1"/>
  <c r="Y575" i="1" a="1"/>
  <c r="W575" i="1"/>
  <c r="R575" i="1"/>
  <c r="G575" i="1" a="1"/>
  <c r="Z574" i="1"/>
  <c r="Y574" i="1" a="1"/>
  <c r="W574" i="1"/>
  <c r="R574" i="1"/>
  <c r="G574" i="1" a="1"/>
  <c r="Z573" i="1"/>
  <c r="Y573" i="1" a="1"/>
  <c r="W573" i="1"/>
  <c r="R573" i="1"/>
  <c r="G573" i="1" a="1"/>
  <c r="Z572" i="1"/>
  <c r="Y572" i="1" a="1"/>
  <c r="W572" i="1"/>
  <c r="R572" i="1"/>
  <c r="G572" i="1" a="1"/>
  <c r="Z571" i="1"/>
  <c r="Y571" i="1" a="1"/>
  <c r="W571" i="1"/>
  <c r="R571" i="1"/>
  <c r="G571" i="1" a="1"/>
  <c r="Z570" i="1"/>
  <c r="Y570" i="1" a="1"/>
  <c r="W570" i="1"/>
  <c r="R570" i="1"/>
  <c r="G570" i="1" a="1"/>
  <c r="Z569" i="1"/>
  <c r="Y569" i="1" a="1"/>
  <c r="W569" i="1"/>
  <c r="R569" i="1"/>
  <c r="G569" i="1" a="1"/>
  <c r="Z568" i="1"/>
  <c r="Y568" i="1" a="1"/>
  <c r="W568" i="1"/>
  <c r="R568" i="1"/>
  <c r="G568" i="1" a="1"/>
  <c r="Z567" i="1"/>
  <c r="Y567" i="1" a="1"/>
  <c r="W567" i="1"/>
  <c r="R567" i="1"/>
  <c r="G567" i="1" a="1"/>
  <c r="Z566" i="1"/>
  <c r="Y566" i="1" a="1"/>
  <c r="W566" i="1"/>
  <c r="R566" i="1"/>
  <c r="G566" i="1" a="1"/>
  <c r="Z565" i="1"/>
  <c r="Y565" i="1" a="1"/>
  <c r="W565" i="1"/>
  <c r="R565" i="1"/>
  <c r="G565" i="1" a="1"/>
  <c r="Z564" i="1"/>
  <c r="Y564" i="1" a="1"/>
  <c r="W564" i="1"/>
  <c r="R564" i="1"/>
  <c r="G564" i="1" a="1"/>
  <c r="Z563" i="1"/>
  <c r="Y563" i="1" a="1"/>
  <c r="W563" i="1"/>
  <c r="R563" i="1"/>
  <c r="G563" i="1" a="1"/>
  <c r="Z562" i="1"/>
  <c r="Y562" i="1" a="1"/>
  <c r="W562" i="1"/>
  <c r="R562" i="1"/>
  <c r="G562" i="1" a="1"/>
  <c r="Z561" i="1"/>
  <c r="Y561" i="1" a="1"/>
  <c r="W561" i="1"/>
  <c r="R561" i="1"/>
  <c r="G561" i="1" a="1"/>
  <c r="Z560" i="1"/>
  <c r="Y560" i="1" a="1"/>
  <c r="W560" i="1"/>
  <c r="R560" i="1"/>
  <c r="G560" i="1" a="1"/>
  <c r="Z559" i="1"/>
  <c r="Y559" i="1" a="1"/>
  <c r="W559" i="1"/>
  <c r="R559" i="1"/>
  <c r="G559" i="1" a="1"/>
  <c r="Z558" i="1"/>
  <c r="Y558" i="1" a="1"/>
  <c r="W558" i="1"/>
  <c r="R558" i="1"/>
  <c r="G558" i="1" a="1"/>
  <c r="Z557" i="1"/>
  <c r="Y557" i="1" a="1"/>
  <c r="W557" i="1"/>
  <c r="R557" i="1"/>
  <c r="G557" i="1" a="1"/>
  <c r="Z556" i="1"/>
  <c r="Y556" i="1" a="1"/>
  <c r="W556" i="1"/>
  <c r="R556" i="1"/>
  <c r="G556" i="1" a="1"/>
  <c r="Z555" i="1"/>
  <c r="Y555" i="1" a="1"/>
  <c r="W555" i="1"/>
  <c r="R555" i="1"/>
  <c r="G555" i="1" a="1"/>
  <c r="Z554" i="1"/>
  <c r="Y554" i="1" a="1"/>
  <c r="W554" i="1"/>
  <c r="R554" i="1"/>
  <c r="G554" i="1" a="1"/>
  <c r="Z553" i="1"/>
  <c r="Y553" i="1" a="1"/>
  <c r="W553" i="1"/>
  <c r="R553" i="1"/>
  <c r="G553" i="1" a="1"/>
  <c r="Z552" i="1"/>
  <c r="Y552" i="1" a="1"/>
  <c r="W552" i="1"/>
  <c r="R552" i="1"/>
  <c r="G552" i="1" a="1"/>
  <c r="Z551" i="1"/>
  <c r="Y551" i="1" a="1"/>
  <c r="W551" i="1"/>
  <c r="R551" i="1"/>
  <c r="G551" i="1" a="1"/>
  <c r="Z550" i="1"/>
  <c r="Y550" i="1" a="1"/>
  <c r="W550" i="1"/>
  <c r="R550" i="1"/>
  <c r="G550" i="1" a="1"/>
  <c r="Z549" i="1"/>
  <c r="Y549" i="1" a="1"/>
  <c r="W549" i="1"/>
  <c r="R549" i="1"/>
  <c r="G549" i="1" a="1"/>
  <c r="Z548" i="1"/>
  <c r="Y548" i="1" a="1"/>
  <c r="W548" i="1"/>
  <c r="R548" i="1"/>
  <c r="G548" i="1" a="1"/>
  <c r="Z547" i="1"/>
  <c r="Y547" i="1" a="1"/>
  <c r="W547" i="1"/>
  <c r="R547" i="1"/>
  <c r="G547" i="1" a="1"/>
  <c r="Z546" i="1"/>
  <c r="Y546" i="1" a="1"/>
  <c r="W546" i="1"/>
  <c r="R546" i="1"/>
  <c r="G546" i="1" a="1"/>
  <c r="Z545" i="1"/>
  <c r="Y545" i="1" a="1"/>
  <c r="W545" i="1"/>
  <c r="R545" i="1"/>
  <c r="G545" i="1" a="1"/>
  <c r="Z544" i="1"/>
  <c r="Y544" i="1" a="1"/>
  <c r="W544" i="1"/>
  <c r="R544" i="1"/>
  <c r="G544" i="1" a="1"/>
  <c r="Z543" i="1"/>
  <c r="Y543" i="1" a="1"/>
  <c r="W543" i="1"/>
  <c r="R543" i="1"/>
  <c r="G543" i="1" a="1"/>
  <c r="Z542" i="1"/>
  <c r="Y542" i="1" a="1"/>
  <c r="W542" i="1"/>
  <c r="R542" i="1"/>
  <c r="G542" i="1" a="1"/>
  <c r="Z541" i="1"/>
  <c r="Y541" i="1" a="1"/>
  <c r="W541" i="1"/>
  <c r="R541" i="1"/>
  <c r="G541" i="1" a="1"/>
  <c r="Z540" i="1"/>
  <c r="Y540" i="1" a="1"/>
  <c r="W540" i="1"/>
  <c r="R540" i="1"/>
  <c r="G540" i="1" a="1"/>
  <c r="Z539" i="1"/>
  <c r="Y539" i="1" a="1"/>
  <c r="W539" i="1"/>
  <c r="R539" i="1"/>
  <c r="G539" i="1" a="1"/>
  <c r="Z538" i="1"/>
  <c r="Y538" i="1" a="1"/>
  <c r="W538" i="1"/>
  <c r="R538" i="1"/>
  <c r="G538" i="1" a="1"/>
  <c r="Z537" i="1"/>
  <c r="Y537" i="1" a="1"/>
  <c r="W537" i="1"/>
  <c r="R537" i="1"/>
  <c r="G537" i="1" a="1"/>
  <c r="Z536" i="1"/>
  <c r="Y536" i="1" a="1"/>
  <c r="W536" i="1"/>
  <c r="R536" i="1"/>
  <c r="G536" i="1" a="1"/>
  <c r="Z535" i="1"/>
  <c r="Y535" i="1" a="1"/>
  <c r="W535" i="1"/>
  <c r="R535" i="1"/>
  <c r="G535" i="1" a="1"/>
  <c r="Z534" i="1"/>
  <c r="Y534" i="1" a="1"/>
  <c r="W534" i="1"/>
  <c r="R534" i="1"/>
  <c r="G534" i="1" a="1"/>
  <c r="Z533" i="1"/>
  <c r="Y533" i="1" a="1"/>
  <c r="W533" i="1"/>
  <c r="R533" i="1"/>
  <c r="G533" i="1" a="1"/>
  <c r="Z532" i="1"/>
  <c r="Y532" i="1" a="1"/>
  <c r="W532" i="1"/>
  <c r="R532" i="1"/>
  <c r="G532" i="1" a="1"/>
  <c r="Z531" i="1"/>
  <c r="Y531" i="1" a="1"/>
  <c r="W531" i="1"/>
  <c r="R531" i="1"/>
  <c r="G531" i="1" a="1"/>
  <c r="Z530" i="1"/>
  <c r="Y530" i="1" a="1"/>
  <c r="W530" i="1"/>
  <c r="R530" i="1"/>
  <c r="G530" i="1" a="1"/>
  <c r="Z529" i="1"/>
  <c r="Y529" i="1" a="1"/>
  <c r="W529" i="1"/>
  <c r="R529" i="1"/>
  <c r="G529" i="1" a="1"/>
  <c r="Z528" i="1"/>
  <c r="Y528" i="1" a="1"/>
  <c r="W528" i="1"/>
  <c r="R528" i="1"/>
  <c r="G528" i="1" a="1"/>
  <c r="Z527" i="1"/>
  <c r="Y527" i="1" a="1"/>
  <c r="W527" i="1"/>
  <c r="R527" i="1"/>
  <c r="G527" i="1" a="1"/>
  <c r="Z526" i="1"/>
  <c r="Y526" i="1" a="1"/>
  <c r="W526" i="1"/>
  <c r="R526" i="1"/>
  <c r="G526" i="1" a="1"/>
  <c r="Z525" i="1"/>
  <c r="Y525" i="1" a="1"/>
  <c r="W525" i="1"/>
  <c r="R525" i="1"/>
  <c r="G525" i="1" a="1"/>
  <c r="Z524" i="1"/>
  <c r="Y524" i="1" a="1"/>
  <c r="W524" i="1"/>
  <c r="R524" i="1"/>
  <c r="G524" i="1" a="1"/>
  <c r="Z523" i="1"/>
  <c r="Y523" i="1" a="1"/>
  <c r="W523" i="1"/>
  <c r="R523" i="1"/>
  <c r="G523" i="1" a="1"/>
  <c r="Z522" i="1"/>
  <c r="Y522" i="1" a="1"/>
  <c r="W522" i="1"/>
  <c r="R522" i="1"/>
  <c r="G522" i="1" a="1"/>
  <c r="Z521" i="1"/>
  <c r="Y521" i="1" a="1"/>
  <c r="W521" i="1"/>
  <c r="R521" i="1"/>
  <c r="G521" i="1" a="1"/>
  <c r="Z520" i="1"/>
  <c r="Y520" i="1" a="1"/>
  <c r="W520" i="1"/>
  <c r="R520" i="1"/>
  <c r="G520" i="1" a="1"/>
  <c r="Z519" i="1"/>
  <c r="Y519" i="1" a="1"/>
  <c r="W519" i="1"/>
  <c r="R519" i="1"/>
  <c r="G519" i="1" a="1"/>
  <c r="Z518" i="1"/>
  <c r="Y518" i="1" a="1"/>
  <c r="W518" i="1"/>
  <c r="R518" i="1"/>
  <c r="G518" i="1" a="1"/>
  <c r="Z517" i="1"/>
  <c r="Y517" i="1" a="1"/>
  <c r="W517" i="1"/>
  <c r="R517" i="1"/>
  <c r="G517" i="1" a="1"/>
  <c r="Z516" i="1"/>
  <c r="Y516" i="1" a="1"/>
  <c r="W516" i="1"/>
  <c r="R516" i="1"/>
  <c r="G516" i="1" a="1"/>
  <c r="Z515" i="1"/>
  <c r="Y515" i="1" a="1"/>
  <c r="W515" i="1"/>
  <c r="R515" i="1"/>
  <c r="G515" i="1" a="1"/>
  <c r="Z514" i="1"/>
  <c r="Y514" i="1" a="1"/>
  <c r="W514" i="1"/>
  <c r="R514" i="1"/>
  <c r="G514" i="1" a="1"/>
  <c r="Z513" i="1"/>
  <c r="Y513" i="1" a="1"/>
  <c r="W513" i="1"/>
  <c r="R513" i="1"/>
  <c r="G513" i="1" a="1"/>
  <c r="Z512" i="1"/>
  <c r="Y512" i="1" a="1"/>
  <c r="W512" i="1"/>
  <c r="R512" i="1"/>
  <c r="G512" i="1" a="1"/>
  <c r="Z511" i="1"/>
  <c r="Y511" i="1" a="1"/>
  <c r="W511" i="1"/>
  <c r="R511" i="1"/>
  <c r="G511" i="1" a="1"/>
  <c r="Z510" i="1"/>
  <c r="Y510" i="1" a="1"/>
  <c r="W510" i="1"/>
  <c r="R510" i="1"/>
  <c r="G510" i="1" a="1"/>
  <c r="Z509" i="1"/>
  <c r="Y509" i="1" a="1"/>
  <c r="W509" i="1"/>
  <c r="R509" i="1"/>
  <c r="G509" i="1" a="1"/>
  <c r="Z508" i="1"/>
  <c r="Y508" i="1" a="1"/>
  <c r="W508" i="1"/>
  <c r="R508" i="1"/>
  <c r="G508" i="1" a="1"/>
  <c r="Z507" i="1"/>
  <c r="Y507" i="1" a="1"/>
  <c r="W507" i="1"/>
  <c r="R507" i="1"/>
  <c r="G507" i="1" a="1"/>
  <c r="Z506" i="1"/>
  <c r="Y506" i="1" a="1"/>
  <c r="W506" i="1"/>
  <c r="R506" i="1"/>
  <c r="G506" i="1" a="1"/>
  <c r="Z505" i="1"/>
  <c r="Y505" i="1" a="1"/>
  <c r="W505" i="1"/>
  <c r="R505" i="1"/>
  <c r="G505" i="1" a="1"/>
  <c r="Z504" i="1"/>
  <c r="Y504" i="1" a="1"/>
  <c r="W504" i="1"/>
  <c r="R504" i="1"/>
  <c r="G504" i="1" a="1"/>
  <c r="Z503" i="1"/>
  <c r="Y503" i="1" a="1"/>
  <c r="W503" i="1"/>
  <c r="R503" i="1"/>
  <c r="G503" i="1" a="1"/>
  <c r="Z502" i="1"/>
  <c r="Y502" i="1" a="1"/>
  <c r="W502" i="1"/>
  <c r="R502" i="1"/>
  <c r="G502" i="1" a="1"/>
  <c r="Z501" i="1"/>
  <c r="Y501" i="1" a="1"/>
  <c r="W501" i="1"/>
  <c r="R501" i="1"/>
  <c r="G501" i="1" a="1"/>
  <c r="Z500" i="1"/>
  <c r="Y500" i="1" a="1"/>
  <c r="W500" i="1"/>
  <c r="R500" i="1"/>
  <c r="G500" i="1" a="1"/>
  <c r="Z499" i="1"/>
  <c r="Y499" i="1" a="1"/>
  <c r="W499" i="1"/>
  <c r="R499" i="1"/>
  <c r="G499" i="1" a="1"/>
  <c r="Z498" i="1"/>
  <c r="Y498" i="1" a="1"/>
  <c r="W498" i="1"/>
  <c r="R498" i="1"/>
  <c r="G498" i="1" a="1"/>
  <c r="Z497" i="1"/>
  <c r="Y497" i="1" a="1"/>
  <c r="W497" i="1"/>
  <c r="R497" i="1"/>
  <c r="G497" i="1" a="1"/>
  <c r="Z496" i="1"/>
  <c r="Y496" i="1" a="1"/>
  <c r="W496" i="1"/>
  <c r="R496" i="1"/>
  <c r="G496" i="1" a="1"/>
  <c r="Z495" i="1"/>
  <c r="Y495" i="1" a="1"/>
  <c r="W495" i="1"/>
  <c r="R495" i="1"/>
  <c r="G495" i="1" a="1"/>
  <c r="Z494" i="1"/>
  <c r="Y494" i="1" a="1"/>
  <c r="W494" i="1"/>
  <c r="R494" i="1"/>
  <c r="G494" i="1" a="1"/>
  <c r="Z493" i="1"/>
  <c r="Y493" i="1" a="1"/>
  <c r="W493" i="1"/>
  <c r="R493" i="1"/>
  <c r="G493" i="1" a="1"/>
  <c r="Z492" i="1"/>
  <c r="Y492" i="1" a="1"/>
  <c r="W492" i="1"/>
  <c r="R492" i="1"/>
  <c r="G492" i="1" a="1"/>
  <c r="Z491" i="1"/>
  <c r="Y491" i="1" a="1"/>
  <c r="W491" i="1"/>
  <c r="R491" i="1"/>
  <c r="G491" i="1" a="1"/>
  <c r="Z490" i="1"/>
  <c r="Y490" i="1" a="1"/>
  <c r="W490" i="1"/>
  <c r="R490" i="1"/>
  <c r="G490" i="1" a="1"/>
  <c r="Z489" i="1"/>
  <c r="Y489" i="1" a="1"/>
  <c r="W489" i="1"/>
  <c r="R489" i="1"/>
  <c r="G489" i="1" a="1"/>
  <c r="Z488" i="1"/>
  <c r="Y488" i="1" a="1"/>
  <c r="W488" i="1"/>
  <c r="R488" i="1"/>
  <c r="G488" i="1" a="1"/>
  <c r="Z487" i="1"/>
  <c r="Y487" i="1" a="1"/>
  <c r="W487" i="1"/>
  <c r="R487" i="1"/>
  <c r="G487" i="1" a="1"/>
  <c r="Z486" i="1"/>
  <c r="Y486" i="1" a="1"/>
  <c r="W486" i="1"/>
  <c r="R486" i="1"/>
  <c r="G486" i="1" a="1"/>
  <c r="Z485" i="1"/>
  <c r="Y485" i="1" a="1"/>
  <c r="W485" i="1"/>
  <c r="R485" i="1"/>
  <c r="G485" i="1" a="1"/>
  <c r="Z484" i="1"/>
  <c r="Y484" i="1" a="1"/>
  <c r="W484" i="1"/>
  <c r="R484" i="1"/>
  <c r="G484" i="1" a="1"/>
  <c r="Z483" i="1"/>
  <c r="Y483" i="1" a="1"/>
  <c r="W483" i="1"/>
  <c r="R483" i="1"/>
  <c r="G483" i="1" a="1"/>
  <c r="Z482" i="1"/>
  <c r="Y482" i="1" a="1"/>
  <c r="W482" i="1"/>
  <c r="R482" i="1"/>
  <c r="G482" i="1" a="1"/>
  <c r="Z481" i="1"/>
  <c r="Y481" i="1" a="1"/>
  <c r="W481" i="1"/>
  <c r="R481" i="1"/>
  <c r="G481" i="1" a="1"/>
  <c r="Z480" i="1"/>
  <c r="Y480" i="1" a="1"/>
  <c r="W480" i="1"/>
  <c r="R480" i="1"/>
  <c r="G480" i="1" a="1"/>
  <c r="Z479" i="1"/>
  <c r="Y479" i="1" a="1"/>
  <c r="W479" i="1"/>
  <c r="R479" i="1"/>
  <c r="G479" i="1" a="1"/>
  <c r="Z478" i="1"/>
  <c r="Y478" i="1" a="1"/>
  <c r="W478" i="1"/>
  <c r="R478" i="1"/>
  <c r="G478" i="1" a="1"/>
  <c r="Z477" i="1"/>
  <c r="Y477" i="1" a="1"/>
  <c r="W477" i="1"/>
  <c r="R477" i="1"/>
  <c r="G477" i="1" a="1"/>
  <c r="Z476" i="1"/>
  <c r="Y476" i="1" a="1"/>
  <c r="W476" i="1"/>
  <c r="R476" i="1"/>
  <c r="G476" i="1" a="1"/>
  <c r="Z475" i="1"/>
  <c r="Y475" i="1" a="1"/>
  <c r="W475" i="1"/>
  <c r="R475" i="1"/>
  <c r="G475" i="1" a="1"/>
  <c r="Z474" i="1"/>
  <c r="Y474" i="1" a="1"/>
  <c r="W474" i="1"/>
  <c r="R474" i="1"/>
  <c r="G474" i="1" a="1"/>
  <c r="Z473" i="1"/>
  <c r="Y473" i="1" a="1"/>
  <c r="W473" i="1"/>
  <c r="R473" i="1"/>
  <c r="G473" i="1" a="1"/>
  <c r="Z472" i="1"/>
  <c r="Y472" i="1" a="1"/>
  <c r="W472" i="1"/>
  <c r="R472" i="1"/>
  <c r="G472" i="1" a="1"/>
  <c r="Z471" i="1"/>
  <c r="Y471" i="1" a="1"/>
  <c r="W471" i="1"/>
  <c r="R471" i="1"/>
  <c r="G471" i="1" a="1"/>
  <c r="Z470" i="1"/>
  <c r="Y470" i="1" a="1"/>
  <c r="W470" i="1"/>
  <c r="R470" i="1"/>
  <c r="G470" i="1" a="1"/>
  <c r="Z469" i="1"/>
  <c r="Y469" i="1" a="1"/>
  <c r="W469" i="1"/>
  <c r="R469" i="1"/>
  <c r="G469" i="1" a="1"/>
  <c r="Z468" i="1"/>
  <c r="Y468" i="1" a="1"/>
  <c r="W468" i="1"/>
  <c r="R468" i="1"/>
  <c r="G468" i="1" a="1"/>
  <c r="Z467" i="1"/>
  <c r="Y467" i="1" a="1"/>
  <c r="W467" i="1"/>
  <c r="R467" i="1"/>
  <c r="G467" i="1" a="1"/>
  <c r="Z466" i="1"/>
  <c r="Y466" i="1" a="1"/>
  <c r="W466" i="1"/>
  <c r="R466" i="1"/>
  <c r="G466" i="1" a="1"/>
  <c r="Z465" i="1"/>
  <c r="Y465" i="1" a="1"/>
  <c r="W465" i="1"/>
  <c r="R465" i="1"/>
  <c r="G465" i="1" a="1"/>
  <c r="Z464" i="1"/>
  <c r="Y464" i="1" a="1"/>
  <c r="W464" i="1"/>
  <c r="R464" i="1"/>
  <c r="G464" i="1" a="1"/>
  <c r="Z463" i="1"/>
  <c r="Y463" i="1" a="1"/>
  <c r="W463" i="1"/>
  <c r="R463" i="1"/>
  <c r="G463" i="1" a="1"/>
  <c r="Z462" i="1"/>
  <c r="Y462" i="1" a="1"/>
  <c r="W462" i="1"/>
  <c r="R462" i="1"/>
  <c r="G462" i="1" a="1"/>
  <c r="Z461" i="1"/>
  <c r="Y461" i="1" a="1"/>
  <c r="W461" i="1"/>
  <c r="R461" i="1"/>
  <c r="G461" i="1" a="1"/>
  <c r="Z460" i="1"/>
  <c r="Y460" i="1" a="1"/>
  <c r="W460" i="1"/>
  <c r="R460" i="1"/>
  <c r="G460" i="1" a="1"/>
  <c r="Z459" i="1"/>
  <c r="Y459" i="1" a="1"/>
  <c r="W459" i="1"/>
  <c r="R459" i="1"/>
  <c r="G459" i="1" a="1"/>
  <c r="Z458" i="1"/>
  <c r="Y458" i="1" a="1"/>
  <c r="W458" i="1"/>
  <c r="R458" i="1"/>
  <c r="G458" i="1" a="1"/>
  <c r="Z457" i="1"/>
  <c r="Y457" i="1" a="1"/>
  <c r="W457" i="1"/>
  <c r="R457" i="1"/>
  <c r="G457" i="1" a="1"/>
  <c r="Z456" i="1"/>
  <c r="Y456" i="1" a="1"/>
  <c r="W456" i="1"/>
  <c r="R456" i="1"/>
  <c r="G456" i="1" a="1"/>
  <c r="Z455" i="1"/>
  <c r="Y455" i="1" a="1"/>
  <c r="W455" i="1"/>
  <c r="R455" i="1"/>
  <c r="G455" i="1" a="1"/>
  <c r="Z454" i="1"/>
  <c r="Y454" i="1" a="1"/>
  <c r="W454" i="1"/>
  <c r="R454" i="1"/>
  <c r="G454" i="1" a="1"/>
  <c r="Z453" i="1"/>
  <c r="Y453" i="1" a="1"/>
  <c r="W453" i="1"/>
  <c r="R453" i="1"/>
  <c r="G453" i="1" a="1"/>
  <c r="Z452" i="1"/>
  <c r="Y452" i="1" a="1"/>
  <c r="W452" i="1"/>
  <c r="R452" i="1"/>
  <c r="G452" i="1" a="1"/>
  <c r="Z451" i="1"/>
  <c r="Y451" i="1" a="1"/>
  <c r="W451" i="1"/>
  <c r="R451" i="1"/>
  <c r="G451" i="1" a="1"/>
  <c r="Z450" i="1"/>
  <c r="Y450" i="1" a="1"/>
  <c r="W450" i="1"/>
  <c r="R450" i="1"/>
  <c r="G450" i="1" a="1"/>
  <c r="Z449" i="1"/>
  <c r="Y449" i="1" a="1"/>
  <c r="W449" i="1"/>
  <c r="R449" i="1"/>
  <c r="G449" i="1" a="1"/>
  <c r="Z448" i="1"/>
  <c r="Y448" i="1" a="1"/>
  <c r="W448" i="1"/>
  <c r="R448" i="1"/>
  <c r="G448" i="1" a="1"/>
  <c r="Z447" i="1"/>
  <c r="Y447" i="1" a="1"/>
  <c r="W447" i="1"/>
  <c r="R447" i="1"/>
  <c r="G447" i="1" a="1"/>
  <c r="Z446" i="1"/>
  <c r="Y446" i="1" a="1"/>
  <c r="W446" i="1"/>
  <c r="R446" i="1"/>
  <c r="G446" i="1" a="1"/>
  <c r="Z445" i="1"/>
  <c r="Y445" i="1" a="1"/>
  <c r="W445" i="1"/>
  <c r="R445" i="1"/>
  <c r="G445" i="1" a="1"/>
  <c r="Z444" i="1"/>
  <c r="Y444" i="1" a="1"/>
  <c r="W444" i="1"/>
  <c r="R444" i="1"/>
  <c r="G444" i="1" a="1"/>
  <c r="Z443" i="1"/>
  <c r="Y443" i="1" a="1"/>
  <c r="W443" i="1"/>
  <c r="R443" i="1"/>
  <c r="G443" i="1" a="1"/>
  <c r="Z442" i="1"/>
  <c r="Y442" i="1" a="1"/>
  <c r="W442" i="1"/>
  <c r="R442" i="1"/>
  <c r="G442" i="1" a="1"/>
  <c r="Z441" i="1"/>
  <c r="Y441" i="1" a="1"/>
  <c r="W441" i="1"/>
  <c r="R441" i="1"/>
  <c r="G441" i="1" a="1"/>
  <c r="Z440" i="1"/>
  <c r="Y440" i="1" a="1"/>
  <c r="W440" i="1"/>
  <c r="R440" i="1"/>
  <c r="G440" i="1" a="1"/>
  <c r="Z439" i="1"/>
  <c r="Y439" i="1" a="1"/>
  <c r="W439" i="1"/>
  <c r="R439" i="1"/>
  <c r="G439" i="1" a="1"/>
  <c r="Z438" i="1"/>
  <c r="Y438" i="1" a="1"/>
  <c r="W438" i="1"/>
  <c r="R438" i="1"/>
  <c r="G438" i="1" a="1"/>
  <c r="Z437" i="1"/>
  <c r="Y437" i="1" a="1"/>
  <c r="W437" i="1"/>
  <c r="R437" i="1"/>
  <c r="G437" i="1" a="1"/>
  <c r="Z436" i="1"/>
  <c r="Y436" i="1" a="1"/>
  <c r="W436" i="1"/>
  <c r="R436" i="1"/>
  <c r="G436" i="1" a="1"/>
  <c r="Z435" i="1"/>
  <c r="Y435" i="1" a="1"/>
  <c r="W435" i="1"/>
  <c r="R435" i="1"/>
  <c r="G435" i="1" a="1"/>
  <c r="Z434" i="1"/>
  <c r="Y434" i="1" a="1"/>
  <c r="W434" i="1"/>
  <c r="R434" i="1"/>
  <c r="G434" i="1" a="1"/>
  <c r="Z433" i="1"/>
  <c r="Y433" i="1" a="1"/>
  <c r="W433" i="1"/>
  <c r="R433" i="1"/>
  <c r="G433" i="1" a="1"/>
  <c r="Z432" i="1"/>
  <c r="Y432" i="1" a="1"/>
  <c r="W432" i="1"/>
  <c r="R432" i="1"/>
  <c r="G432" i="1" a="1"/>
  <c r="Z431" i="1"/>
  <c r="Y431" i="1" a="1"/>
  <c r="W431" i="1"/>
  <c r="R431" i="1"/>
  <c r="G431" i="1" a="1"/>
  <c r="Z430" i="1"/>
  <c r="Y430" i="1" a="1"/>
  <c r="W430" i="1"/>
  <c r="R430" i="1"/>
  <c r="G430" i="1" a="1"/>
  <c r="Z429" i="1"/>
  <c r="Y429" i="1" a="1"/>
  <c r="W429" i="1"/>
  <c r="R429" i="1"/>
  <c r="G429" i="1" a="1"/>
  <c r="Z428" i="1"/>
  <c r="Y428" i="1" a="1"/>
  <c r="W428" i="1"/>
  <c r="R428" i="1"/>
  <c r="G428" i="1" a="1"/>
  <c r="Z427" i="1"/>
  <c r="Y427" i="1" a="1"/>
  <c r="W427" i="1"/>
  <c r="R427" i="1"/>
  <c r="G427" i="1" a="1"/>
  <c r="Z426" i="1"/>
  <c r="Y426" i="1" a="1"/>
  <c r="W426" i="1"/>
  <c r="R426" i="1"/>
  <c r="G426" i="1" a="1"/>
  <c r="Z425" i="1"/>
  <c r="Y425" i="1" a="1"/>
  <c r="W425" i="1"/>
  <c r="R425" i="1"/>
  <c r="G425" i="1" a="1"/>
  <c r="Z424" i="1"/>
  <c r="Y424" i="1" a="1"/>
  <c r="W424" i="1"/>
  <c r="R424" i="1"/>
  <c r="G424" i="1" a="1"/>
  <c r="Z423" i="1"/>
  <c r="Y423" i="1" a="1"/>
  <c r="W423" i="1"/>
  <c r="R423" i="1"/>
  <c r="G423" i="1" a="1"/>
  <c r="Z422" i="1"/>
  <c r="Y422" i="1" a="1"/>
  <c r="W422" i="1"/>
  <c r="R422" i="1"/>
  <c r="G422" i="1" a="1"/>
  <c r="Z421" i="1"/>
  <c r="Y421" i="1" a="1"/>
  <c r="W421" i="1"/>
  <c r="R421" i="1"/>
  <c r="G421" i="1" a="1"/>
  <c r="Z420" i="1"/>
  <c r="Y420" i="1" a="1"/>
  <c r="W420" i="1"/>
  <c r="R420" i="1"/>
  <c r="G420" i="1" a="1"/>
  <c r="Z419" i="1"/>
  <c r="Y419" i="1" a="1"/>
  <c r="W419" i="1"/>
  <c r="R419" i="1"/>
  <c r="G419" i="1" a="1"/>
  <c r="Z418" i="1"/>
  <c r="Y418" i="1" a="1"/>
  <c r="W418" i="1"/>
  <c r="R418" i="1"/>
  <c r="G418" i="1" a="1"/>
  <c r="Z417" i="1"/>
  <c r="Y417" i="1" a="1"/>
  <c r="W417" i="1"/>
  <c r="R417" i="1"/>
  <c r="G417" i="1" a="1"/>
  <c r="Z416" i="1"/>
  <c r="Y416" i="1" a="1"/>
  <c r="W416" i="1"/>
  <c r="R416" i="1"/>
  <c r="G416" i="1" a="1"/>
  <c r="Z415" i="1"/>
  <c r="Y415" i="1" a="1"/>
  <c r="W415" i="1"/>
  <c r="R415" i="1"/>
  <c r="G415" i="1" a="1"/>
  <c r="Z414" i="1"/>
  <c r="Y414" i="1" a="1"/>
  <c r="W414" i="1"/>
  <c r="R414" i="1"/>
  <c r="G414" i="1" a="1"/>
  <c r="Z413" i="1"/>
  <c r="Y413" i="1" a="1"/>
  <c r="W413" i="1"/>
  <c r="R413" i="1"/>
  <c r="G413" i="1" a="1"/>
  <c r="Z412" i="1"/>
  <c r="Y412" i="1" a="1"/>
  <c r="W412" i="1"/>
  <c r="R412" i="1"/>
  <c r="G412" i="1" a="1"/>
  <c r="Z411" i="1"/>
  <c r="Y411" i="1" a="1"/>
  <c r="W411" i="1"/>
  <c r="R411" i="1"/>
  <c r="G411" i="1" a="1"/>
  <c r="Z410" i="1"/>
  <c r="Y410" i="1" a="1"/>
  <c r="W410" i="1"/>
  <c r="R410" i="1"/>
  <c r="G410" i="1" a="1"/>
  <c r="Z409" i="1"/>
  <c r="Y409" i="1" a="1"/>
  <c r="W409" i="1"/>
  <c r="R409" i="1"/>
  <c r="G409" i="1" a="1"/>
  <c r="Z408" i="1"/>
  <c r="Y408" i="1" a="1"/>
  <c r="W408" i="1"/>
  <c r="R408" i="1"/>
  <c r="G408" i="1" a="1"/>
  <c r="Z407" i="1"/>
  <c r="Y407" i="1" a="1"/>
  <c r="W407" i="1"/>
  <c r="R407" i="1"/>
  <c r="G407" i="1" a="1"/>
  <c r="Z406" i="1"/>
  <c r="Y406" i="1" a="1"/>
  <c r="W406" i="1"/>
  <c r="R406" i="1"/>
  <c r="G406" i="1" a="1"/>
  <c r="Z405" i="1"/>
  <c r="Y405" i="1" a="1"/>
  <c r="W405" i="1"/>
  <c r="R405" i="1"/>
  <c r="G405" i="1" a="1"/>
  <c r="Z404" i="1"/>
  <c r="Y404" i="1" a="1"/>
  <c r="W404" i="1"/>
  <c r="R404" i="1"/>
  <c r="G404" i="1" a="1"/>
  <c r="Z403" i="1"/>
  <c r="Y403" i="1" a="1"/>
  <c r="W403" i="1"/>
  <c r="R403" i="1"/>
  <c r="G403" i="1" a="1"/>
  <c r="Z402" i="1"/>
  <c r="Y402" i="1" a="1"/>
  <c r="W402" i="1"/>
  <c r="R402" i="1"/>
  <c r="G402" i="1" a="1"/>
  <c r="Z401" i="1"/>
  <c r="Y401" i="1" a="1"/>
  <c r="W401" i="1"/>
  <c r="R401" i="1"/>
  <c r="G401" i="1" a="1"/>
  <c r="Z400" i="1"/>
  <c r="Y400" i="1" a="1"/>
  <c r="W400" i="1"/>
  <c r="R400" i="1"/>
  <c r="G400" i="1" a="1"/>
  <c r="Z399" i="1"/>
  <c r="Y399" i="1" a="1"/>
  <c r="W399" i="1"/>
  <c r="R399" i="1"/>
  <c r="G399" i="1" a="1"/>
  <c r="Z398" i="1"/>
  <c r="Y398" i="1" a="1"/>
  <c r="W398" i="1"/>
  <c r="R398" i="1"/>
  <c r="G398" i="1" a="1"/>
  <c r="Z397" i="1"/>
  <c r="Y397" i="1" a="1"/>
  <c r="W397" i="1"/>
  <c r="R397" i="1"/>
  <c r="G397" i="1" a="1"/>
  <c r="Z396" i="1"/>
  <c r="Y396" i="1" a="1"/>
  <c r="W396" i="1"/>
  <c r="R396" i="1"/>
  <c r="G396" i="1" a="1"/>
  <c r="Z395" i="1"/>
  <c r="Y395" i="1" a="1"/>
  <c r="W395" i="1"/>
  <c r="R395" i="1"/>
  <c r="G395" i="1" a="1"/>
  <c r="Z394" i="1"/>
  <c r="Y394" i="1" a="1"/>
  <c r="W394" i="1"/>
  <c r="R394" i="1"/>
  <c r="G394" i="1" a="1"/>
  <c r="Z393" i="1"/>
  <c r="Y393" i="1" a="1"/>
  <c r="W393" i="1"/>
  <c r="R393" i="1"/>
  <c r="G393" i="1" a="1"/>
  <c r="Z392" i="1"/>
  <c r="Y392" i="1" a="1"/>
  <c r="W392" i="1"/>
  <c r="R392" i="1"/>
  <c r="G392" i="1" a="1"/>
  <c r="Z391" i="1"/>
  <c r="Y391" i="1" a="1"/>
  <c r="W391" i="1"/>
  <c r="R391" i="1"/>
  <c r="G391" i="1" a="1"/>
  <c r="Z390" i="1"/>
  <c r="Y390" i="1" a="1"/>
  <c r="W390" i="1"/>
  <c r="R390" i="1"/>
  <c r="G390" i="1" a="1"/>
  <c r="Z389" i="1"/>
  <c r="Y389" i="1" a="1"/>
  <c r="W389" i="1"/>
  <c r="R389" i="1"/>
  <c r="G389" i="1" a="1"/>
  <c r="Z388" i="1"/>
  <c r="Y388" i="1" a="1"/>
  <c r="W388" i="1"/>
  <c r="R388" i="1"/>
  <c r="G388" i="1" a="1"/>
  <c r="Z387" i="1"/>
  <c r="Y387" i="1" a="1"/>
  <c r="W387" i="1"/>
  <c r="R387" i="1"/>
  <c r="G387" i="1" a="1"/>
  <c r="Z386" i="1"/>
  <c r="Y386" i="1" a="1"/>
  <c r="W386" i="1"/>
  <c r="R386" i="1"/>
  <c r="G386" i="1" a="1"/>
  <c r="Z385" i="1"/>
  <c r="Y385" i="1" a="1"/>
  <c r="W385" i="1"/>
  <c r="R385" i="1"/>
  <c r="G385" i="1" a="1"/>
  <c r="Z384" i="1"/>
  <c r="Y384" i="1" a="1"/>
  <c r="W384" i="1"/>
  <c r="R384" i="1"/>
  <c r="G384" i="1" a="1"/>
  <c r="Z383" i="1"/>
  <c r="Y383" i="1" a="1"/>
  <c r="W383" i="1"/>
  <c r="R383" i="1"/>
  <c r="G383" i="1" a="1"/>
  <c r="Z382" i="1"/>
  <c r="Y382" i="1" a="1"/>
  <c r="W382" i="1"/>
  <c r="R382" i="1"/>
  <c r="G382" i="1" a="1"/>
  <c r="Z381" i="1"/>
  <c r="Y381" i="1" a="1"/>
  <c r="W381" i="1"/>
  <c r="R381" i="1"/>
  <c r="G381" i="1" a="1"/>
  <c r="Z380" i="1"/>
  <c r="Y380" i="1" a="1"/>
  <c r="W380" i="1"/>
  <c r="R380" i="1"/>
  <c r="G380" i="1" a="1"/>
  <c r="Z379" i="1"/>
  <c r="Y379" i="1" a="1"/>
  <c r="W379" i="1"/>
  <c r="R379" i="1"/>
  <c r="G379" i="1" a="1"/>
  <c r="Z378" i="1"/>
  <c r="Y378" i="1" a="1"/>
  <c r="W378" i="1"/>
  <c r="R378" i="1"/>
  <c r="G378" i="1" a="1"/>
  <c r="Z377" i="1"/>
  <c r="Y377" i="1" a="1"/>
  <c r="W377" i="1"/>
  <c r="R377" i="1"/>
  <c r="G377" i="1" a="1"/>
  <c r="Z376" i="1"/>
  <c r="Y376" i="1" a="1"/>
  <c r="W376" i="1"/>
  <c r="R376" i="1"/>
  <c r="G376" i="1" a="1"/>
  <c r="Z375" i="1"/>
  <c r="Y375" i="1" a="1"/>
  <c r="W375" i="1"/>
  <c r="R375" i="1"/>
  <c r="G375" i="1" a="1"/>
  <c r="Z374" i="1"/>
  <c r="Y374" i="1" a="1"/>
  <c r="W374" i="1"/>
  <c r="R374" i="1"/>
  <c r="G374" i="1" a="1"/>
  <c r="Z373" i="1"/>
  <c r="Y373" i="1" a="1"/>
  <c r="W373" i="1"/>
  <c r="R373" i="1"/>
  <c r="G373" i="1" a="1"/>
  <c r="Z372" i="1"/>
  <c r="Y372" i="1" a="1"/>
  <c r="W372" i="1"/>
  <c r="R372" i="1"/>
  <c r="G372" i="1" a="1"/>
  <c r="Z371" i="1"/>
  <c r="Y371" i="1" a="1"/>
  <c r="W371" i="1"/>
  <c r="R371" i="1"/>
  <c r="G371" i="1" a="1"/>
  <c r="Z370" i="1"/>
  <c r="Y370" i="1" a="1"/>
  <c r="W370" i="1"/>
  <c r="R370" i="1"/>
  <c r="G370" i="1" a="1"/>
  <c r="Z369" i="1"/>
  <c r="Y369" i="1" a="1"/>
  <c r="W369" i="1"/>
  <c r="R369" i="1"/>
  <c r="G369" i="1" a="1"/>
  <c r="Z368" i="1"/>
  <c r="Y368" i="1" a="1"/>
  <c r="W368" i="1"/>
  <c r="R368" i="1"/>
  <c r="G368" i="1" a="1"/>
  <c r="Z367" i="1"/>
  <c r="Y367" i="1" a="1"/>
  <c r="W367" i="1"/>
  <c r="R367" i="1"/>
  <c r="G367" i="1" a="1"/>
  <c r="Z366" i="1"/>
  <c r="Y366" i="1" a="1"/>
  <c r="W366" i="1"/>
  <c r="R366" i="1"/>
  <c r="G366" i="1" a="1"/>
  <c r="Z365" i="1"/>
  <c r="Y365" i="1" a="1"/>
  <c r="W365" i="1"/>
  <c r="R365" i="1"/>
  <c r="G365" i="1" a="1"/>
  <c r="Z364" i="1"/>
  <c r="Y364" i="1" a="1"/>
  <c r="W364" i="1"/>
  <c r="R364" i="1"/>
  <c r="G364" i="1" a="1"/>
  <c r="Z363" i="1"/>
  <c r="Y363" i="1" a="1"/>
  <c r="W363" i="1"/>
  <c r="R363" i="1"/>
  <c r="G363" i="1" a="1"/>
  <c r="Z362" i="1"/>
  <c r="Y362" i="1" a="1"/>
  <c r="W362" i="1"/>
  <c r="R362" i="1"/>
  <c r="G362" i="1" a="1"/>
  <c r="Z361" i="1"/>
  <c r="Y361" i="1" a="1"/>
  <c r="W361" i="1"/>
  <c r="R361" i="1"/>
  <c r="G361" i="1" a="1"/>
  <c r="Z360" i="1"/>
  <c r="Y360" i="1" a="1"/>
  <c r="W360" i="1"/>
  <c r="R360" i="1"/>
  <c r="G360" i="1" a="1"/>
  <c r="Z359" i="1"/>
  <c r="Y359" i="1" a="1"/>
  <c r="W359" i="1"/>
  <c r="R359" i="1"/>
  <c r="G359" i="1" a="1"/>
  <c r="Z358" i="1"/>
  <c r="Y358" i="1" a="1"/>
  <c r="W358" i="1"/>
  <c r="R358" i="1"/>
  <c r="G358" i="1" a="1"/>
  <c r="Z357" i="1"/>
  <c r="Y357" i="1" a="1"/>
  <c r="W357" i="1"/>
  <c r="R357" i="1"/>
  <c r="G357" i="1" a="1"/>
  <c r="Z356" i="1"/>
  <c r="Y356" i="1" a="1"/>
  <c r="W356" i="1"/>
  <c r="R356" i="1"/>
  <c r="G356" i="1" a="1"/>
  <c r="Z355" i="1"/>
  <c r="Y355" i="1" a="1"/>
  <c r="W355" i="1"/>
  <c r="R355" i="1"/>
  <c r="G355" i="1" a="1"/>
  <c r="Z354" i="1"/>
  <c r="Y354" i="1" a="1"/>
  <c r="W354" i="1"/>
  <c r="R354" i="1"/>
  <c r="G354" i="1" a="1"/>
  <c r="Z353" i="1"/>
  <c r="Y353" i="1" a="1"/>
  <c r="W353" i="1"/>
  <c r="R353" i="1"/>
  <c r="G353" i="1" a="1"/>
  <c r="Z352" i="1"/>
  <c r="Y352" i="1" a="1"/>
  <c r="W352" i="1"/>
  <c r="R352" i="1"/>
  <c r="G352" i="1" a="1"/>
  <c r="Z351" i="1"/>
  <c r="Y351" i="1" a="1"/>
  <c r="W351" i="1"/>
  <c r="R351" i="1"/>
  <c r="G351" i="1" a="1"/>
  <c r="Z350" i="1"/>
  <c r="Y350" i="1" a="1"/>
  <c r="W350" i="1"/>
  <c r="R350" i="1"/>
  <c r="G350" i="1" a="1"/>
  <c r="Z349" i="1"/>
  <c r="Y349" i="1" a="1"/>
  <c r="W349" i="1"/>
  <c r="R349" i="1"/>
  <c r="G349" i="1" a="1"/>
  <c r="Z348" i="1"/>
  <c r="Y348" i="1" a="1"/>
  <c r="W348" i="1"/>
  <c r="R348" i="1"/>
  <c r="G348" i="1" a="1"/>
  <c r="Z347" i="1"/>
  <c r="Y347" i="1" a="1"/>
  <c r="W347" i="1"/>
  <c r="R347" i="1"/>
  <c r="G347" i="1" a="1"/>
  <c r="Z346" i="1"/>
  <c r="Y346" i="1" a="1"/>
  <c r="W346" i="1"/>
  <c r="R346" i="1"/>
  <c r="G346" i="1" a="1"/>
  <c r="Z345" i="1"/>
  <c r="Y345" i="1" a="1"/>
  <c r="W345" i="1"/>
  <c r="R345" i="1"/>
  <c r="G345" i="1" a="1"/>
  <c r="Z344" i="1"/>
  <c r="Y344" i="1" a="1"/>
  <c r="W344" i="1"/>
  <c r="R344" i="1"/>
  <c r="G344" i="1" a="1"/>
  <c r="Z343" i="1"/>
  <c r="Y343" i="1" a="1"/>
  <c r="W343" i="1"/>
  <c r="R343" i="1"/>
  <c r="G343" i="1" a="1"/>
  <c r="Z342" i="1"/>
  <c r="Y342" i="1" a="1"/>
  <c r="W342" i="1"/>
  <c r="R342" i="1"/>
  <c r="G342" i="1" a="1"/>
  <c r="Z341" i="1"/>
  <c r="Y341" i="1" a="1"/>
  <c r="W341" i="1"/>
  <c r="R341" i="1"/>
  <c r="G341" i="1" a="1"/>
  <c r="Z340" i="1"/>
  <c r="Y340" i="1" a="1"/>
  <c r="W340" i="1"/>
  <c r="R340" i="1"/>
  <c r="G340" i="1" a="1"/>
  <c r="Z339" i="1"/>
  <c r="Y339" i="1" a="1"/>
  <c r="W339" i="1"/>
  <c r="R339" i="1"/>
  <c r="G339" i="1" a="1"/>
  <c r="Z338" i="1"/>
  <c r="Y338" i="1" a="1"/>
  <c r="W338" i="1"/>
  <c r="R338" i="1"/>
  <c r="G338" i="1" a="1"/>
  <c r="Z337" i="1"/>
  <c r="Y337" i="1" a="1"/>
  <c r="W337" i="1"/>
  <c r="R337" i="1"/>
  <c r="G337" i="1" a="1"/>
  <c r="Z336" i="1"/>
  <c r="Y336" i="1" a="1"/>
  <c r="W336" i="1"/>
  <c r="R336" i="1"/>
  <c r="G336" i="1" a="1"/>
  <c r="Z335" i="1"/>
  <c r="Y335" i="1" a="1"/>
  <c r="W335" i="1"/>
  <c r="R335" i="1"/>
  <c r="G335" i="1" a="1"/>
  <c r="Z334" i="1"/>
  <c r="Y334" i="1" a="1"/>
  <c r="W334" i="1"/>
  <c r="R334" i="1"/>
  <c r="G334" i="1" a="1"/>
  <c r="Z333" i="1"/>
  <c r="Y333" i="1" a="1"/>
  <c r="W333" i="1"/>
  <c r="R333" i="1"/>
  <c r="G333" i="1" a="1"/>
  <c r="Z332" i="1"/>
  <c r="Y332" i="1" a="1"/>
  <c r="W332" i="1"/>
  <c r="R332" i="1"/>
  <c r="G332" i="1" a="1"/>
  <c r="Z331" i="1"/>
  <c r="Y331" i="1" a="1"/>
  <c r="W331" i="1"/>
  <c r="R331" i="1"/>
  <c r="G331" i="1" a="1"/>
  <c r="Z330" i="1"/>
  <c r="Y330" i="1" a="1"/>
  <c r="W330" i="1"/>
  <c r="R330" i="1"/>
  <c r="G330" i="1" a="1"/>
  <c r="Z329" i="1"/>
  <c r="Y329" i="1" a="1"/>
  <c r="W329" i="1"/>
  <c r="R329" i="1"/>
  <c r="G329" i="1" a="1"/>
  <c r="Z328" i="1"/>
  <c r="Y328" i="1" a="1"/>
  <c r="W328" i="1"/>
  <c r="R328" i="1"/>
  <c r="G328" i="1" a="1"/>
  <c r="Z327" i="1"/>
  <c r="Y327" i="1" a="1"/>
  <c r="W327" i="1"/>
  <c r="R327" i="1"/>
  <c r="G327" i="1" a="1"/>
  <c r="Z326" i="1"/>
  <c r="Y326" i="1" a="1"/>
  <c r="W326" i="1"/>
  <c r="R326" i="1"/>
  <c r="G326" i="1" a="1"/>
  <c r="Z325" i="1"/>
  <c r="Y325" i="1" a="1"/>
  <c r="W325" i="1"/>
  <c r="R325" i="1"/>
  <c r="G325" i="1" a="1"/>
  <c r="Z324" i="1"/>
  <c r="Y324" i="1" a="1"/>
  <c r="W324" i="1"/>
  <c r="R324" i="1"/>
  <c r="G324" i="1" a="1"/>
  <c r="Z323" i="1"/>
  <c r="Y323" i="1" a="1"/>
  <c r="W323" i="1"/>
  <c r="R323" i="1"/>
  <c r="G323" i="1" a="1"/>
  <c r="Z322" i="1"/>
  <c r="Y322" i="1" a="1"/>
  <c r="W322" i="1"/>
  <c r="R322" i="1"/>
  <c r="G322" i="1" a="1"/>
  <c r="Z321" i="1"/>
  <c r="Y321" i="1" a="1"/>
  <c r="W321" i="1"/>
  <c r="R321" i="1"/>
  <c r="G321" i="1" a="1"/>
  <c r="Z320" i="1"/>
  <c r="Y320" i="1" a="1"/>
  <c r="W320" i="1"/>
  <c r="R320" i="1"/>
  <c r="G320" i="1" a="1"/>
  <c r="Z319" i="1"/>
  <c r="Y319" i="1" a="1"/>
  <c r="W319" i="1"/>
  <c r="R319" i="1"/>
  <c r="G319" i="1" a="1"/>
  <c r="Z318" i="1"/>
  <c r="Y318" i="1" a="1"/>
  <c r="W318" i="1"/>
  <c r="R318" i="1"/>
  <c r="G318" i="1" a="1"/>
  <c r="Z317" i="1"/>
  <c r="Y317" i="1" a="1"/>
  <c r="W317" i="1"/>
  <c r="R317" i="1"/>
  <c r="G317" i="1" a="1"/>
  <c r="Z316" i="1"/>
  <c r="Y316" i="1" a="1"/>
  <c r="W316" i="1"/>
  <c r="R316" i="1"/>
  <c r="G316" i="1" a="1"/>
  <c r="Z315" i="1"/>
  <c r="Y315" i="1" a="1"/>
  <c r="W315" i="1"/>
  <c r="R315" i="1"/>
  <c r="G315" i="1" a="1"/>
  <c r="Z314" i="1"/>
  <c r="Y314" i="1" a="1"/>
  <c r="W314" i="1"/>
  <c r="R314" i="1"/>
  <c r="G314" i="1" a="1"/>
  <c r="Z313" i="1"/>
  <c r="Y313" i="1" a="1"/>
  <c r="W313" i="1"/>
  <c r="R313" i="1"/>
  <c r="G313" i="1" a="1"/>
  <c r="Z312" i="1"/>
  <c r="Y312" i="1" a="1"/>
  <c r="W312" i="1"/>
  <c r="R312" i="1"/>
  <c r="G312" i="1" a="1"/>
  <c r="Z311" i="1"/>
  <c r="Y311" i="1" a="1"/>
  <c r="W311" i="1"/>
  <c r="R311" i="1"/>
  <c r="G311" i="1" a="1"/>
  <c r="Z310" i="1"/>
  <c r="Y310" i="1" a="1"/>
  <c r="W310" i="1"/>
  <c r="R310" i="1"/>
  <c r="G310" i="1" a="1"/>
  <c r="Z309" i="1"/>
  <c r="Y309" i="1" a="1"/>
  <c r="W309" i="1"/>
  <c r="R309" i="1"/>
  <c r="G309" i="1" a="1"/>
  <c r="Z308" i="1"/>
  <c r="Y308" i="1" a="1"/>
  <c r="W308" i="1"/>
  <c r="R308" i="1"/>
  <c r="G308" i="1" a="1"/>
  <c r="Z307" i="1"/>
  <c r="Y307" i="1" a="1"/>
  <c r="W307" i="1"/>
  <c r="R307" i="1"/>
  <c r="G307" i="1" a="1"/>
  <c r="Z306" i="1"/>
  <c r="Y306" i="1" a="1"/>
  <c r="W306" i="1"/>
  <c r="R306" i="1"/>
  <c r="G306" i="1" a="1"/>
  <c r="Z305" i="1"/>
  <c r="Y305" i="1" a="1"/>
  <c r="W305" i="1"/>
  <c r="R305" i="1"/>
  <c r="G305" i="1" a="1"/>
  <c r="Z304" i="1"/>
  <c r="Y304" i="1" a="1"/>
  <c r="W304" i="1"/>
  <c r="R304" i="1"/>
  <c r="G304" i="1" a="1"/>
  <c r="Z303" i="1"/>
  <c r="Y303" i="1" a="1"/>
  <c r="W303" i="1"/>
  <c r="R303" i="1"/>
  <c r="G303" i="1" a="1"/>
  <c r="Z302" i="1"/>
  <c r="Y302" i="1" a="1"/>
  <c r="W302" i="1"/>
  <c r="R302" i="1"/>
  <c r="G302" i="1" a="1"/>
  <c r="Z301" i="1"/>
  <c r="Y301" i="1" a="1"/>
  <c r="W301" i="1"/>
  <c r="R301" i="1"/>
  <c r="G301" i="1" a="1"/>
  <c r="Z300" i="1"/>
  <c r="Y300" i="1" a="1"/>
  <c r="W300" i="1"/>
  <c r="R300" i="1"/>
  <c r="G300" i="1" a="1"/>
  <c r="Z299" i="1"/>
  <c r="Y299" i="1" a="1"/>
  <c r="W299" i="1"/>
  <c r="R299" i="1"/>
  <c r="G299" i="1" a="1"/>
  <c r="Z298" i="1"/>
  <c r="Y298" i="1" a="1"/>
  <c r="W298" i="1"/>
  <c r="R298" i="1"/>
  <c r="G298" i="1" a="1"/>
  <c r="Z297" i="1"/>
  <c r="Y297" i="1" a="1"/>
  <c r="W297" i="1"/>
  <c r="R297" i="1"/>
  <c r="G297" i="1" a="1"/>
  <c r="Z296" i="1"/>
  <c r="Y296" i="1" a="1"/>
  <c r="W296" i="1"/>
  <c r="R296" i="1"/>
  <c r="G296" i="1" a="1"/>
  <c r="Z295" i="1"/>
  <c r="Y295" i="1" a="1"/>
  <c r="W295" i="1"/>
  <c r="R295" i="1"/>
  <c r="G295" i="1" a="1"/>
  <c r="Z294" i="1"/>
  <c r="Y294" i="1" a="1"/>
  <c r="W294" i="1"/>
  <c r="R294" i="1"/>
  <c r="G294" i="1" a="1"/>
  <c r="Z293" i="1"/>
  <c r="Y293" i="1" a="1"/>
  <c r="W293" i="1"/>
  <c r="R293" i="1"/>
  <c r="G293" i="1" a="1"/>
  <c r="Z292" i="1"/>
  <c r="Y292" i="1" a="1"/>
  <c r="W292" i="1"/>
  <c r="R292" i="1"/>
  <c r="G292" i="1" a="1"/>
  <c r="Z291" i="1"/>
  <c r="Y291" i="1" a="1"/>
  <c r="W291" i="1"/>
  <c r="R291" i="1"/>
  <c r="G291" i="1" a="1"/>
  <c r="Z290" i="1"/>
  <c r="Y290" i="1" a="1"/>
  <c r="W290" i="1"/>
  <c r="R290" i="1"/>
  <c r="G290" i="1" a="1"/>
  <c r="Z289" i="1"/>
  <c r="Y289" i="1" a="1"/>
  <c r="W289" i="1"/>
  <c r="R289" i="1"/>
  <c r="G289" i="1" a="1"/>
  <c r="Z288" i="1"/>
  <c r="Y288" i="1" a="1"/>
  <c r="W288" i="1"/>
  <c r="R288" i="1"/>
  <c r="G288" i="1" a="1"/>
  <c r="Z287" i="1"/>
  <c r="Y287" i="1" a="1"/>
  <c r="W287" i="1"/>
  <c r="R287" i="1"/>
  <c r="G287" i="1" a="1"/>
  <c r="Z286" i="1"/>
  <c r="Y286" i="1" a="1"/>
  <c r="W286" i="1"/>
  <c r="R286" i="1"/>
  <c r="G286" i="1" a="1"/>
  <c r="Z285" i="1"/>
  <c r="Y285" i="1" a="1"/>
  <c r="W285" i="1"/>
  <c r="R285" i="1"/>
  <c r="G285" i="1" a="1"/>
  <c r="Z284" i="1"/>
  <c r="Y284" i="1" a="1"/>
  <c r="W284" i="1"/>
  <c r="R284" i="1"/>
  <c r="G284" i="1" a="1"/>
  <c r="Z283" i="1"/>
  <c r="Y283" i="1" a="1"/>
  <c r="W283" i="1"/>
  <c r="R283" i="1"/>
  <c r="G283" i="1" a="1"/>
  <c r="Z282" i="1"/>
  <c r="Y282" i="1" a="1"/>
  <c r="W282" i="1"/>
  <c r="R282" i="1"/>
  <c r="G282" i="1" a="1"/>
  <c r="Z281" i="1"/>
  <c r="Y281" i="1" a="1"/>
  <c r="W281" i="1"/>
  <c r="R281" i="1"/>
  <c r="G281" i="1" a="1"/>
  <c r="Z280" i="1"/>
  <c r="Y280" i="1" a="1"/>
  <c r="W280" i="1"/>
  <c r="R280" i="1"/>
  <c r="G280" i="1" a="1"/>
  <c r="Z279" i="1"/>
  <c r="Y279" i="1" a="1"/>
  <c r="W279" i="1"/>
  <c r="R279" i="1"/>
  <c r="G279" i="1" a="1"/>
  <c r="Z278" i="1"/>
  <c r="Y278" i="1" a="1"/>
  <c r="W278" i="1"/>
  <c r="R278" i="1"/>
  <c r="G278" i="1" a="1"/>
  <c r="Z277" i="1"/>
  <c r="Y277" i="1" a="1"/>
  <c r="W277" i="1"/>
  <c r="R277" i="1"/>
  <c r="G277" i="1" a="1"/>
  <c r="Z276" i="1"/>
  <c r="Y276" i="1" a="1"/>
  <c r="W276" i="1"/>
  <c r="R276" i="1"/>
  <c r="G276" i="1" a="1"/>
  <c r="Z275" i="1"/>
  <c r="Y275" i="1" a="1"/>
  <c r="W275" i="1"/>
  <c r="R275" i="1"/>
  <c r="G275" i="1" a="1"/>
  <c r="Z274" i="1"/>
  <c r="Y274" i="1" a="1"/>
  <c r="W274" i="1"/>
  <c r="R274" i="1"/>
  <c r="G274" i="1" a="1"/>
  <c r="Z273" i="1"/>
  <c r="Y273" i="1" a="1"/>
  <c r="W273" i="1"/>
  <c r="R273" i="1"/>
  <c r="G273" i="1" a="1"/>
  <c r="Z272" i="1"/>
  <c r="Y272" i="1" a="1"/>
  <c r="W272" i="1"/>
  <c r="R272" i="1"/>
  <c r="G272" i="1" a="1"/>
  <c r="Z271" i="1"/>
  <c r="Y271" i="1" a="1"/>
  <c r="W271" i="1"/>
  <c r="R271" i="1"/>
  <c r="G271" i="1" a="1"/>
  <c r="Z270" i="1"/>
  <c r="Y270" i="1" a="1"/>
  <c r="W270" i="1"/>
  <c r="R270" i="1"/>
  <c r="G270" i="1" a="1"/>
  <c r="Z269" i="1"/>
  <c r="Y269" i="1" a="1"/>
  <c r="W269" i="1"/>
  <c r="R269" i="1"/>
  <c r="G269" i="1" a="1"/>
  <c r="Z268" i="1"/>
  <c r="Y268" i="1" a="1"/>
  <c r="W268" i="1"/>
  <c r="R268" i="1"/>
  <c r="G268" i="1" a="1"/>
  <c r="Z267" i="1"/>
  <c r="Y267" i="1" a="1"/>
  <c r="W267" i="1"/>
  <c r="R267" i="1"/>
  <c r="G267" i="1" a="1"/>
  <c r="Z266" i="1"/>
  <c r="Y266" i="1" a="1"/>
  <c r="W266" i="1"/>
  <c r="R266" i="1"/>
  <c r="G266" i="1" a="1"/>
  <c r="Z265" i="1"/>
  <c r="Y265" i="1" a="1"/>
  <c r="W265" i="1"/>
  <c r="R265" i="1"/>
  <c r="G265" i="1" a="1"/>
  <c r="Z264" i="1"/>
  <c r="Y264" i="1" a="1"/>
  <c r="W264" i="1"/>
  <c r="R264" i="1"/>
  <c r="G264" i="1" a="1"/>
  <c r="Z263" i="1"/>
  <c r="Y263" i="1" a="1"/>
  <c r="W263" i="1"/>
  <c r="R263" i="1"/>
  <c r="G263" i="1" a="1"/>
  <c r="Z262" i="1"/>
  <c r="Y262" i="1" a="1"/>
  <c r="W262" i="1"/>
  <c r="R262" i="1"/>
  <c r="G262" i="1" a="1"/>
  <c r="Z261" i="1"/>
  <c r="Y261" i="1" a="1"/>
  <c r="W261" i="1"/>
  <c r="R261" i="1"/>
  <c r="G261" i="1" a="1"/>
  <c r="Z260" i="1"/>
  <c r="Y260" i="1" a="1"/>
  <c r="W260" i="1"/>
  <c r="R260" i="1"/>
  <c r="G260" i="1" a="1"/>
  <c r="Z259" i="1"/>
  <c r="Y259" i="1" a="1"/>
  <c r="W259" i="1"/>
  <c r="R259" i="1"/>
  <c r="G259" i="1" a="1"/>
  <c r="Z258" i="1"/>
  <c r="Y258" i="1" a="1"/>
  <c r="W258" i="1"/>
  <c r="R258" i="1"/>
  <c r="G258" i="1" a="1"/>
  <c r="Z257" i="1"/>
  <c r="Y257" i="1" a="1"/>
  <c r="W257" i="1"/>
  <c r="R257" i="1"/>
  <c r="G257" i="1" a="1"/>
  <c r="Z256" i="1"/>
  <c r="Y256" i="1" a="1"/>
  <c r="W256" i="1"/>
  <c r="R256" i="1"/>
  <c r="G256" i="1" a="1"/>
  <c r="Z255" i="1"/>
  <c r="Y255" i="1" a="1"/>
  <c r="W255" i="1"/>
  <c r="R255" i="1"/>
  <c r="G255" i="1" a="1"/>
  <c r="Z254" i="1"/>
  <c r="Y254" i="1" a="1"/>
  <c r="W254" i="1"/>
  <c r="R254" i="1"/>
  <c r="G254" i="1" a="1"/>
  <c r="Z253" i="1"/>
  <c r="Y253" i="1" a="1"/>
  <c r="W253" i="1"/>
  <c r="R253" i="1"/>
  <c r="G253" i="1" a="1"/>
  <c r="Z252" i="1"/>
  <c r="Y252" i="1" a="1"/>
  <c r="W252" i="1"/>
  <c r="R252" i="1"/>
  <c r="G252" i="1" a="1"/>
  <c r="Z251" i="1"/>
  <c r="Y251" i="1" a="1"/>
  <c r="W251" i="1"/>
  <c r="R251" i="1"/>
  <c r="G251" i="1" a="1"/>
  <c r="Z250" i="1"/>
  <c r="Y250" i="1" a="1"/>
  <c r="W250" i="1"/>
  <c r="R250" i="1"/>
  <c r="G250" i="1" a="1"/>
  <c r="Z249" i="1"/>
  <c r="Y249" i="1" a="1"/>
  <c r="W249" i="1"/>
  <c r="R249" i="1"/>
  <c r="G249" i="1" a="1"/>
  <c r="Z248" i="1"/>
  <c r="Y248" i="1" a="1"/>
  <c r="W248" i="1"/>
  <c r="R248" i="1"/>
  <c r="G248" i="1" a="1"/>
  <c r="Z247" i="1"/>
  <c r="Y247" i="1" a="1"/>
  <c r="W247" i="1"/>
  <c r="R247" i="1"/>
  <c r="G247" i="1" a="1"/>
  <c r="Z246" i="1"/>
  <c r="Y246" i="1" a="1"/>
  <c r="W246" i="1"/>
  <c r="R246" i="1"/>
  <c r="G246" i="1" a="1"/>
  <c r="Z245" i="1"/>
  <c r="Y245" i="1" a="1"/>
  <c r="W245" i="1"/>
  <c r="R245" i="1"/>
  <c r="G245" i="1" a="1"/>
  <c r="Z244" i="1"/>
  <c r="Y244" i="1" a="1"/>
  <c r="W244" i="1"/>
  <c r="R244" i="1"/>
  <c r="G244" i="1" a="1"/>
  <c r="Z243" i="1"/>
  <c r="Y243" i="1" a="1"/>
  <c r="W243" i="1"/>
  <c r="R243" i="1"/>
  <c r="G243" i="1" a="1"/>
  <c r="Z242" i="1"/>
  <c r="Y242" i="1" a="1"/>
  <c r="W242" i="1"/>
  <c r="R242" i="1"/>
  <c r="G242" i="1" a="1"/>
  <c r="Z241" i="1"/>
  <c r="Y241" i="1" a="1"/>
  <c r="W241" i="1"/>
  <c r="R241" i="1"/>
  <c r="G241" i="1" a="1"/>
  <c r="Z240" i="1"/>
  <c r="Y240" i="1" a="1"/>
  <c r="W240" i="1"/>
  <c r="R240" i="1"/>
  <c r="G240" i="1" a="1"/>
  <c r="Z239" i="1"/>
  <c r="Y239" i="1" a="1"/>
  <c r="W239" i="1"/>
  <c r="R239" i="1"/>
  <c r="G239" i="1" a="1"/>
  <c r="Z238" i="1"/>
  <c r="Y238" i="1" a="1"/>
  <c r="W238" i="1"/>
  <c r="R238" i="1"/>
  <c r="G238" i="1" a="1"/>
  <c r="Z237" i="1"/>
  <c r="Y237" i="1" a="1"/>
  <c r="W237" i="1"/>
  <c r="R237" i="1"/>
  <c r="G237" i="1" a="1"/>
  <c r="Z236" i="1"/>
  <c r="Y236" i="1" a="1"/>
  <c r="W236" i="1"/>
  <c r="R236" i="1"/>
  <c r="G236" i="1" a="1"/>
  <c r="Z235" i="1"/>
  <c r="Y235" i="1" a="1"/>
  <c r="W235" i="1"/>
  <c r="R235" i="1"/>
  <c r="G235" i="1" a="1"/>
  <c r="Z234" i="1"/>
  <c r="Y234" i="1" a="1"/>
  <c r="W234" i="1"/>
  <c r="R234" i="1"/>
  <c r="G234" i="1" a="1"/>
  <c r="Z233" i="1"/>
  <c r="Y233" i="1" a="1"/>
  <c r="W233" i="1"/>
  <c r="R233" i="1"/>
  <c r="G233" i="1" a="1"/>
  <c r="Z232" i="1"/>
  <c r="Y232" i="1" a="1"/>
  <c r="W232" i="1"/>
  <c r="R232" i="1"/>
  <c r="G232" i="1" a="1"/>
  <c r="Z231" i="1"/>
  <c r="Y231" i="1" a="1"/>
  <c r="W231" i="1"/>
  <c r="R231" i="1"/>
  <c r="G231" i="1" a="1"/>
  <c r="Z230" i="1"/>
  <c r="Y230" i="1" a="1"/>
  <c r="W230" i="1"/>
  <c r="R230" i="1"/>
  <c r="G230" i="1" a="1"/>
  <c r="Z229" i="1"/>
  <c r="Y229" i="1" a="1"/>
  <c r="W229" i="1"/>
  <c r="R229" i="1"/>
  <c r="G229" i="1" a="1"/>
  <c r="Z228" i="1"/>
  <c r="Y228" i="1" a="1"/>
  <c r="W228" i="1"/>
  <c r="R228" i="1"/>
  <c r="G228" i="1" a="1"/>
  <c r="Z227" i="1"/>
  <c r="Y227" i="1" a="1"/>
  <c r="W227" i="1"/>
  <c r="R227" i="1"/>
  <c r="G227" i="1" a="1"/>
  <c r="Z226" i="1"/>
  <c r="Y226" i="1" a="1"/>
  <c r="W226" i="1"/>
  <c r="R226" i="1"/>
  <c r="G226" i="1" a="1"/>
  <c r="Z225" i="1"/>
  <c r="Y225" i="1" a="1"/>
  <c r="W225" i="1"/>
  <c r="R225" i="1"/>
  <c r="G225" i="1" a="1"/>
  <c r="Z224" i="1"/>
  <c r="Y224" i="1" a="1"/>
  <c r="W224" i="1"/>
  <c r="R224" i="1"/>
  <c r="G224" i="1" a="1"/>
  <c r="Z223" i="1"/>
  <c r="Y223" i="1" a="1"/>
  <c r="W223" i="1"/>
  <c r="R223" i="1"/>
  <c r="G223" i="1" a="1"/>
  <c r="Z222" i="1"/>
  <c r="Y222" i="1" a="1"/>
  <c r="W222" i="1"/>
  <c r="R222" i="1"/>
  <c r="G222" i="1" a="1"/>
  <c r="Z221" i="1"/>
  <c r="Y221" i="1" a="1"/>
  <c r="W221" i="1"/>
  <c r="R221" i="1"/>
  <c r="G221" i="1" a="1"/>
  <c r="Z220" i="1"/>
  <c r="Y220" i="1" a="1"/>
  <c r="W220" i="1"/>
  <c r="R220" i="1"/>
  <c r="G220" i="1" a="1"/>
  <c r="Z219" i="1"/>
  <c r="Y219" i="1" a="1"/>
  <c r="W219" i="1"/>
  <c r="R219" i="1"/>
  <c r="G219" i="1" a="1"/>
  <c r="Z218" i="1"/>
  <c r="Y218" i="1" a="1"/>
  <c r="W218" i="1"/>
  <c r="R218" i="1"/>
  <c r="G218" i="1" a="1"/>
  <c r="Z217" i="1"/>
  <c r="Y217" i="1" a="1"/>
  <c r="W217" i="1"/>
  <c r="R217" i="1"/>
  <c r="G217" i="1" a="1"/>
  <c r="Z216" i="1"/>
  <c r="Y216" i="1" a="1"/>
  <c r="W216" i="1"/>
  <c r="R216" i="1"/>
  <c r="G216" i="1" a="1"/>
  <c r="Z215" i="1"/>
  <c r="Y215" i="1" a="1"/>
  <c r="W215" i="1"/>
  <c r="R215" i="1"/>
  <c r="G215" i="1" a="1"/>
  <c r="Z214" i="1"/>
  <c r="Y214" i="1" a="1"/>
  <c r="W214" i="1"/>
  <c r="R214" i="1"/>
  <c r="G214" i="1" a="1"/>
  <c r="Z213" i="1"/>
  <c r="Y213" i="1" a="1"/>
  <c r="W213" i="1"/>
  <c r="R213" i="1"/>
  <c r="G213" i="1" a="1"/>
  <c r="Z212" i="1"/>
  <c r="Y212" i="1" a="1"/>
  <c r="W212" i="1"/>
  <c r="R212" i="1"/>
  <c r="G212" i="1" a="1"/>
  <c r="Z211" i="1"/>
  <c r="Y211" i="1" a="1"/>
  <c r="W211" i="1"/>
  <c r="R211" i="1"/>
  <c r="G211" i="1" a="1"/>
  <c r="Z210" i="1"/>
  <c r="Y210" i="1" a="1"/>
  <c r="W210" i="1"/>
  <c r="R210" i="1"/>
  <c r="G210" i="1" a="1"/>
  <c r="Z209" i="1"/>
  <c r="Y209" i="1" a="1"/>
  <c r="W209" i="1"/>
  <c r="R209" i="1"/>
  <c r="G209" i="1" a="1"/>
  <c r="Z208" i="1"/>
  <c r="Y208" i="1" a="1"/>
  <c r="W208" i="1"/>
  <c r="R208" i="1"/>
  <c r="G208" i="1" a="1"/>
  <c r="Z207" i="1"/>
  <c r="Y207" i="1" a="1"/>
  <c r="W207" i="1"/>
  <c r="R207" i="1"/>
  <c r="G207" i="1" a="1"/>
  <c r="Z206" i="1"/>
  <c r="Y206" i="1" a="1"/>
  <c r="W206" i="1"/>
  <c r="R206" i="1"/>
  <c r="G206" i="1" a="1"/>
  <c r="Z205" i="1"/>
  <c r="Y205" i="1" a="1"/>
  <c r="W205" i="1"/>
  <c r="R205" i="1"/>
  <c r="G205" i="1" a="1"/>
  <c r="Z204" i="1"/>
  <c r="Y204" i="1" a="1"/>
  <c r="W204" i="1"/>
  <c r="R204" i="1"/>
  <c r="G204" i="1" a="1"/>
  <c r="Z203" i="1"/>
  <c r="Y203" i="1" a="1"/>
  <c r="W203" i="1"/>
  <c r="R203" i="1"/>
  <c r="G203" i="1" a="1"/>
  <c r="Z202" i="1"/>
  <c r="Y202" i="1" a="1"/>
  <c r="W202" i="1"/>
  <c r="R202" i="1"/>
  <c r="G202" i="1" a="1"/>
  <c r="Z201" i="1"/>
  <c r="Y201" i="1" a="1"/>
  <c r="W201" i="1"/>
  <c r="R201" i="1"/>
  <c r="G201" i="1" a="1"/>
  <c r="Z200" i="1"/>
  <c r="Y200" i="1" a="1"/>
  <c r="W200" i="1"/>
  <c r="R200" i="1"/>
  <c r="G200" i="1" a="1"/>
  <c r="Z199" i="1"/>
  <c r="Y199" i="1" a="1"/>
  <c r="W199" i="1"/>
  <c r="R199" i="1"/>
  <c r="G199" i="1" a="1"/>
  <c r="Z198" i="1"/>
  <c r="Y198" i="1" a="1"/>
  <c r="W198" i="1"/>
  <c r="R198" i="1"/>
  <c r="G198" i="1" a="1"/>
  <c r="Z197" i="1"/>
  <c r="Y197" i="1" a="1"/>
  <c r="W197" i="1"/>
  <c r="R197" i="1"/>
  <c r="G197" i="1" a="1"/>
  <c r="Z196" i="1"/>
  <c r="Y196" i="1" a="1"/>
  <c r="W196" i="1"/>
  <c r="R196" i="1"/>
  <c r="G196" i="1" a="1"/>
  <c r="Z195" i="1"/>
  <c r="Y195" i="1" a="1"/>
  <c r="W195" i="1"/>
  <c r="R195" i="1"/>
  <c r="G195" i="1" a="1"/>
  <c r="Z194" i="1"/>
  <c r="Y194" i="1" a="1"/>
  <c r="W194" i="1"/>
  <c r="R194" i="1"/>
  <c r="G194" i="1" a="1"/>
  <c r="Z193" i="1"/>
  <c r="Y193" i="1" a="1"/>
  <c r="W193" i="1"/>
  <c r="R193" i="1"/>
  <c r="G193" i="1" a="1"/>
  <c r="Z192" i="1"/>
  <c r="Y192" i="1" a="1"/>
  <c r="W192" i="1"/>
  <c r="R192" i="1"/>
  <c r="G192" i="1" a="1"/>
  <c r="Z191" i="1"/>
  <c r="Y191" i="1" a="1"/>
  <c r="W191" i="1"/>
  <c r="R191" i="1"/>
  <c r="G191" i="1" a="1"/>
  <c r="Z190" i="1"/>
  <c r="Y190" i="1" a="1"/>
  <c r="W190" i="1"/>
  <c r="R190" i="1"/>
  <c r="G190" i="1" a="1"/>
  <c r="Z189" i="1"/>
  <c r="Y189" i="1" a="1"/>
  <c r="W189" i="1"/>
  <c r="R189" i="1"/>
  <c r="G189" i="1" a="1"/>
  <c r="Z188" i="1"/>
  <c r="Y188" i="1" a="1"/>
  <c r="W188" i="1"/>
  <c r="R188" i="1"/>
  <c r="G188" i="1" a="1"/>
  <c r="Z187" i="1"/>
  <c r="Y187" i="1" a="1"/>
  <c r="W187" i="1"/>
  <c r="R187" i="1"/>
  <c r="G187" i="1" a="1"/>
  <c r="Z186" i="1"/>
  <c r="Y186" i="1" a="1"/>
  <c r="W186" i="1"/>
  <c r="R186" i="1"/>
  <c r="G186" i="1" a="1"/>
  <c r="Z185" i="1"/>
  <c r="Y185" i="1" a="1"/>
  <c r="W185" i="1"/>
  <c r="R185" i="1"/>
  <c r="G185" i="1" a="1"/>
  <c r="Z184" i="1"/>
  <c r="Y184" i="1" a="1"/>
  <c r="W184" i="1"/>
  <c r="R184" i="1"/>
  <c r="G184" i="1" a="1"/>
  <c r="Z183" i="1"/>
  <c r="Y183" i="1" a="1"/>
  <c r="W183" i="1"/>
  <c r="R183" i="1"/>
  <c r="G183" i="1" a="1"/>
  <c r="Z182" i="1"/>
  <c r="Y182" i="1" a="1"/>
  <c r="W182" i="1"/>
  <c r="R182" i="1"/>
  <c r="G182" i="1" a="1"/>
  <c r="Z181" i="1"/>
  <c r="Y181" i="1" a="1"/>
  <c r="W181" i="1"/>
  <c r="R181" i="1"/>
  <c r="G181" i="1" a="1"/>
  <c r="Z180" i="1"/>
  <c r="Y180" i="1" a="1"/>
  <c r="W180" i="1"/>
  <c r="R180" i="1"/>
  <c r="G180" i="1" a="1"/>
  <c r="Z179" i="1"/>
  <c r="Y179" i="1" a="1"/>
  <c r="W179" i="1"/>
  <c r="R179" i="1"/>
  <c r="G179" i="1" a="1"/>
  <c r="Z178" i="1"/>
  <c r="Y178" i="1" a="1"/>
  <c r="W178" i="1"/>
  <c r="R178" i="1"/>
  <c r="G178" i="1" a="1"/>
  <c r="Z177" i="1"/>
  <c r="Y177" i="1" a="1"/>
  <c r="W177" i="1"/>
  <c r="R177" i="1"/>
  <c r="G177" i="1" a="1"/>
  <c r="Z176" i="1"/>
  <c r="Y176" i="1" a="1"/>
  <c r="W176" i="1"/>
  <c r="R176" i="1"/>
  <c r="G176" i="1" a="1"/>
  <c r="Z175" i="1"/>
  <c r="Y175" i="1" a="1"/>
  <c r="W175" i="1"/>
  <c r="R175" i="1"/>
  <c r="G175" i="1" a="1"/>
  <c r="Z174" i="1"/>
  <c r="Y174" i="1" a="1"/>
  <c r="W174" i="1"/>
  <c r="R174" i="1"/>
  <c r="G174" i="1" a="1"/>
  <c r="Z173" i="1"/>
  <c r="Y173" i="1" a="1"/>
  <c r="W173" i="1"/>
  <c r="R173" i="1"/>
  <c r="G173" i="1" a="1"/>
  <c r="Z172" i="1"/>
  <c r="Y172" i="1" a="1"/>
  <c r="W172" i="1"/>
  <c r="R172" i="1"/>
  <c r="G172" i="1" a="1"/>
  <c r="Z171" i="1"/>
  <c r="Y171" i="1" a="1"/>
  <c r="W171" i="1"/>
  <c r="R171" i="1"/>
  <c r="G171" i="1" a="1"/>
  <c r="Z170" i="1"/>
  <c r="Y170" i="1" a="1"/>
  <c r="W170" i="1"/>
  <c r="R170" i="1"/>
  <c r="G170" i="1" a="1"/>
  <c r="Z169" i="1"/>
  <c r="Y169" i="1" a="1"/>
  <c r="W169" i="1"/>
  <c r="R169" i="1"/>
  <c r="G169" i="1" a="1"/>
  <c r="Z168" i="1"/>
  <c r="Y168" i="1" a="1"/>
  <c r="W168" i="1"/>
  <c r="R168" i="1"/>
  <c r="G168" i="1" a="1"/>
  <c r="Z167" i="1"/>
  <c r="Y167" i="1" a="1"/>
  <c r="W167" i="1"/>
  <c r="R167" i="1"/>
  <c r="G167" i="1" a="1"/>
  <c r="Z166" i="1"/>
  <c r="Y166" i="1" a="1"/>
  <c r="W166" i="1"/>
  <c r="R166" i="1"/>
  <c r="G166" i="1" a="1"/>
  <c r="Z165" i="1"/>
  <c r="Y165" i="1" a="1"/>
  <c r="W165" i="1"/>
  <c r="R165" i="1"/>
  <c r="G165" i="1" a="1"/>
  <c r="Z164" i="1"/>
  <c r="Y164" i="1" a="1"/>
  <c r="W164" i="1"/>
  <c r="R164" i="1"/>
  <c r="G164" i="1" a="1"/>
  <c r="Z163" i="1"/>
  <c r="Y163" i="1" a="1"/>
  <c r="W163" i="1"/>
  <c r="R163" i="1"/>
  <c r="G163" i="1" a="1"/>
  <c r="Z162" i="1"/>
  <c r="Y162" i="1" a="1"/>
  <c r="W162" i="1"/>
  <c r="R162" i="1"/>
  <c r="G162" i="1" a="1"/>
  <c r="Z161" i="1"/>
  <c r="Y161" i="1" a="1"/>
  <c r="W161" i="1"/>
  <c r="R161" i="1"/>
  <c r="G161" i="1" a="1"/>
  <c r="Z160" i="1"/>
  <c r="Y160" i="1" a="1"/>
  <c r="W160" i="1"/>
  <c r="R160" i="1"/>
  <c r="G160" i="1" a="1"/>
  <c r="Z159" i="1"/>
  <c r="Y159" i="1" a="1"/>
  <c r="W159" i="1"/>
  <c r="R159" i="1"/>
  <c r="G159" i="1" a="1"/>
  <c r="Z158" i="1"/>
  <c r="Y158" i="1" a="1"/>
  <c r="W158" i="1"/>
  <c r="R158" i="1"/>
  <c r="G158" i="1" a="1"/>
  <c r="Z157" i="1"/>
  <c r="Y157" i="1" a="1"/>
  <c r="W157" i="1"/>
  <c r="R157" i="1"/>
  <c r="G157" i="1" a="1"/>
  <c r="Z156" i="1"/>
  <c r="Y156" i="1" a="1"/>
  <c r="W156" i="1"/>
  <c r="R156" i="1"/>
  <c r="G156" i="1" a="1"/>
  <c r="Z155" i="1"/>
  <c r="Y155" i="1" a="1"/>
  <c r="W155" i="1"/>
  <c r="R155" i="1"/>
  <c r="G155" i="1" a="1"/>
  <c r="Z154" i="1"/>
  <c r="Y154" i="1" a="1"/>
  <c r="W154" i="1"/>
  <c r="R154" i="1"/>
  <c r="G154" i="1" a="1"/>
  <c r="Z153" i="1"/>
  <c r="Y153" i="1" a="1"/>
  <c r="W153" i="1"/>
  <c r="R153" i="1"/>
  <c r="G153" i="1" a="1"/>
  <c r="Z152" i="1"/>
  <c r="Y152" i="1" a="1"/>
  <c r="W152" i="1"/>
  <c r="R152" i="1"/>
  <c r="G152" i="1" a="1"/>
  <c r="Z151" i="1"/>
  <c r="Y151" i="1" a="1"/>
  <c r="W151" i="1"/>
  <c r="R151" i="1"/>
  <c r="G151" i="1" a="1"/>
  <c r="Z150" i="1"/>
  <c r="Y150" i="1" a="1"/>
  <c r="W150" i="1"/>
  <c r="R150" i="1"/>
  <c r="G150" i="1" a="1"/>
  <c r="Z149" i="1"/>
  <c r="Y149" i="1" a="1"/>
  <c r="W149" i="1"/>
  <c r="R149" i="1"/>
  <c r="G149" i="1" a="1"/>
  <c r="Z148" i="1"/>
  <c r="Y148" i="1" a="1"/>
  <c r="W148" i="1"/>
  <c r="R148" i="1"/>
  <c r="G148" i="1" a="1"/>
  <c r="Z147" i="1"/>
  <c r="Y147" i="1" a="1"/>
  <c r="W147" i="1"/>
  <c r="R147" i="1"/>
  <c r="G147" i="1" a="1"/>
  <c r="Z146" i="1"/>
  <c r="Y146" i="1" a="1"/>
  <c r="W146" i="1"/>
  <c r="R146" i="1"/>
  <c r="G146" i="1" a="1"/>
  <c r="Z145" i="1"/>
  <c r="Y145" i="1" a="1"/>
  <c r="W145" i="1"/>
  <c r="R145" i="1"/>
  <c r="G145" i="1" a="1"/>
  <c r="Z144" i="1"/>
  <c r="Y144" i="1" a="1"/>
  <c r="W144" i="1"/>
  <c r="R144" i="1"/>
  <c r="G144" i="1" a="1"/>
  <c r="Z143" i="1"/>
  <c r="Y143" i="1" a="1"/>
  <c r="W143" i="1"/>
  <c r="R143" i="1"/>
  <c r="G143" i="1" a="1"/>
  <c r="Z142" i="1"/>
  <c r="Y142" i="1" a="1"/>
  <c r="W142" i="1"/>
  <c r="R142" i="1"/>
  <c r="G142" i="1" a="1"/>
  <c r="Z141" i="1"/>
  <c r="Y141" i="1" a="1"/>
  <c r="W141" i="1"/>
  <c r="R141" i="1"/>
  <c r="G141" i="1" a="1"/>
  <c r="Z140" i="1"/>
  <c r="Y140" i="1" a="1"/>
  <c r="W140" i="1"/>
  <c r="R140" i="1"/>
  <c r="G140" i="1" a="1"/>
  <c r="Z139" i="1"/>
  <c r="Y139" i="1" a="1"/>
  <c r="W139" i="1"/>
  <c r="R139" i="1"/>
  <c r="G139" i="1" a="1"/>
  <c r="Z138" i="1"/>
  <c r="Y138" i="1" a="1"/>
  <c r="W138" i="1"/>
  <c r="R138" i="1"/>
  <c r="G138" i="1" a="1"/>
  <c r="Z137" i="1"/>
  <c r="Y137" i="1" a="1"/>
  <c r="W137" i="1"/>
  <c r="R137" i="1"/>
  <c r="G137" i="1" a="1"/>
  <c r="Z136" i="1"/>
  <c r="Y136" i="1" a="1"/>
  <c r="W136" i="1"/>
  <c r="R136" i="1"/>
  <c r="G136" i="1" a="1"/>
  <c r="Z135" i="1"/>
  <c r="Y135" i="1" a="1"/>
  <c r="W135" i="1"/>
  <c r="R135" i="1"/>
  <c r="G135" i="1" a="1"/>
  <c r="Z134" i="1"/>
  <c r="Y134" i="1" a="1"/>
  <c r="W134" i="1"/>
  <c r="R134" i="1"/>
  <c r="G134" i="1" a="1"/>
  <c r="Z133" i="1"/>
  <c r="Y133" i="1" a="1"/>
  <c r="W133" i="1"/>
  <c r="R133" i="1"/>
  <c r="G133" i="1" a="1"/>
  <c r="Z132" i="1"/>
  <c r="Y132" i="1" a="1"/>
  <c r="W132" i="1"/>
  <c r="R132" i="1"/>
  <c r="G132" i="1" a="1"/>
  <c r="Z131" i="1"/>
  <c r="Y131" i="1" a="1"/>
  <c r="W131" i="1"/>
  <c r="R131" i="1"/>
  <c r="G131" i="1" a="1"/>
  <c r="Z130" i="1"/>
  <c r="Y130" i="1" a="1"/>
  <c r="W130" i="1"/>
  <c r="R130" i="1"/>
  <c r="G130" i="1" a="1"/>
  <c r="Z129" i="1"/>
  <c r="Y129" i="1" a="1"/>
  <c r="W129" i="1"/>
  <c r="R129" i="1"/>
  <c r="G129" i="1" a="1"/>
  <c r="Z128" i="1"/>
  <c r="Y128" i="1" a="1"/>
  <c r="W128" i="1"/>
  <c r="R128" i="1"/>
  <c r="G128" i="1" a="1"/>
  <c r="Z127" i="1"/>
  <c r="Y127" i="1" a="1"/>
  <c r="W127" i="1"/>
  <c r="R127" i="1"/>
  <c r="G127" i="1" a="1"/>
  <c r="Z126" i="1"/>
  <c r="Y126" i="1" a="1"/>
  <c r="W126" i="1"/>
  <c r="R126" i="1"/>
  <c r="G126" i="1" a="1"/>
  <c r="Z125" i="1"/>
  <c r="Y125" i="1" a="1"/>
  <c r="W125" i="1"/>
  <c r="R125" i="1"/>
  <c r="G125" i="1" a="1"/>
  <c r="Z124" i="1"/>
  <c r="Y124" i="1" a="1"/>
  <c r="W124" i="1"/>
  <c r="R124" i="1"/>
  <c r="G124" i="1" a="1"/>
  <c r="Z123" i="1"/>
  <c r="Y123" i="1" a="1"/>
  <c r="W123" i="1"/>
  <c r="R123" i="1"/>
  <c r="G123" i="1" a="1"/>
  <c r="Z122" i="1"/>
  <c r="Y122" i="1" a="1"/>
  <c r="W122" i="1"/>
  <c r="R122" i="1"/>
  <c r="G122" i="1" a="1"/>
  <c r="Z121" i="1"/>
  <c r="Y121" i="1" a="1"/>
  <c r="W121" i="1"/>
  <c r="R121" i="1"/>
  <c r="G121" i="1" a="1"/>
  <c r="Z120" i="1"/>
  <c r="Y120" i="1" a="1"/>
  <c r="W120" i="1"/>
  <c r="R120" i="1"/>
  <c r="G120" i="1" a="1"/>
  <c r="Z119" i="1"/>
  <c r="Y119" i="1" a="1"/>
  <c r="W119" i="1"/>
  <c r="R119" i="1"/>
  <c r="G119" i="1" a="1"/>
  <c r="Z118" i="1"/>
  <c r="Y118" i="1" a="1"/>
  <c r="W118" i="1"/>
  <c r="R118" i="1"/>
  <c r="G118" i="1" a="1"/>
  <c r="Z117" i="1"/>
  <c r="Y117" i="1" a="1"/>
  <c r="W117" i="1"/>
  <c r="R117" i="1"/>
  <c r="G117" i="1" a="1"/>
  <c r="Z116" i="1"/>
  <c r="Y116" i="1" a="1"/>
  <c r="W116" i="1"/>
  <c r="R116" i="1"/>
  <c r="G116" i="1" a="1"/>
  <c r="Z115" i="1"/>
  <c r="Y115" i="1" a="1"/>
  <c r="W115" i="1"/>
  <c r="R115" i="1"/>
  <c r="G115" i="1" a="1"/>
  <c r="Z114" i="1"/>
  <c r="Y114" i="1" a="1"/>
  <c r="W114" i="1"/>
  <c r="R114" i="1"/>
  <c r="G114" i="1" a="1"/>
  <c r="Z113" i="1"/>
  <c r="Y113" i="1" a="1"/>
  <c r="W113" i="1"/>
  <c r="R113" i="1"/>
  <c r="G113" i="1" a="1"/>
  <c r="Z112" i="1"/>
  <c r="Y112" i="1" a="1"/>
  <c r="W112" i="1"/>
  <c r="R112" i="1"/>
  <c r="G112" i="1" a="1"/>
  <c r="Z111" i="1"/>
  <c r="Y111" i="1" a="1"/>
  <c r="W111" i="1"/>
  <c r="R111" i="1"/>
  <c r="G111" i="1" a="1"/>
  <c r="Z110" i="1"/>
  <c r="Y110" i="1" a="1"/>
  <c r="W110" i="1"/>
  <c r="R110" i="1"/>
  <c r="G110" i="1" a="1"/>
  <c r="Z109" i="1"/>
  <c r="Y109" i="1" a="1"/>
  <c r="W109" i="1"/>
  <c r="R109" i="1"/>
  <c r="G109" i="1" a="1"/>
  <c r="Z108" i="1"/>
  <c r="Y108" i="1" a="1"/>
  <c r="W108" i="1"/>
  <c r="R108" i="1"/>
  <c r="G108" i="1" a="1"/>
  <c r="Z107" i="1"/>
  <c r="Y107" i="1" a="1"/>
  <c r="W107" i="1"/>
  <c r="R107" i="1"/>
  <c r="G107" i="1" a="1"/>
  <c r="Z106" i="1"/>
  <c r="Y106" i="1" a="1"/>
  <c r="W106" i="1"/>
  <c r="R106" i="1"/>
  <c r="G106" i="1" a="1"/>
  <c r="Z105" i="1"/>
  <c r="Y105" i="1" a="1"/>
  <c r="W105" i="1"/>
  <c r="R105" i="1"/>
  <c r="G105" i="1" a="1"/>
  <c r="Z104" i="1"/>
  <c r="Y104" i="1" a="1"/>
  <c r="W104" i="1"/>
  <c r="R104" i="1"/>
  <c r="G104" i="1" a="1"/>
  <c r="Z103" i="1"/>
  <c r="Y103" i="1" a="1"/>
  <c r="W103" i="1"/>
  <c r="R103" i="1"/>
  <c r="G103" i="1" a="1"/>
  <c r="Z102" i="1"/>
  <c r="Y102" i="1" a="1"/>
  <c r="W102" i="1"/>
  <c r="R102" i="1"/>
  <c r="G102" i="1" a="1"/>
  <c r="Z101" i="1"/>
  <c r="Y101" i="1" a="1"/>
  <c r="W101" i="1"/>
  <c r="R101" i="1"/>
  <c r="G101" i="1" a="1"/>
  <c r="Z100" i="1"/>
  <c r="Y100" i="1" a="1"/>
  <c r="W100" i="1"/>
  <c r="R100" i="1"/>
  <c r="G100" i="1" a="1"/>
  <c r="Z99" i="1"/>
  <c r="Y99" i="1" a="1"/>
  <c r="W99" i="1"/>
  <c r="R99" i="1"/>
  <c r="G99" i="1" a="1"/>
  <c r="Z98" i="1"/>
  <c r="Y98" i="1" a="1"/>
  <c r="W98" i="1"/>
  <c r="R98" i="1"/>
  <c r="G98" i="1" a="1"/>
  <c r="Z97" i="1"/>
  <c r="Y97" i="1" a="1"/>
  <c r="W97" i="1"/>
  <c r="R97" i="1"/>
  <c r="G97" i="1" a="1"/>
  <c r="Z96" i="1"/>
  <c r="Y96" i="1" a="1"/>
  <c r="W96" i="1"/>
  <c r="R96" i="1"/>
  <c r="G96" i="1" a="1"/>
  <c r="Z95" i="1"/>
  <c r="Y95" i="1" a="1"/>
  <c r="W95" i="1"/>
  <c r="R95" i="1"/>
  <c r="G95" i="1" a="1"/>
  <c r="Z94" i="1"/>
  <c r="Y94" i="1" a="1"/>
  <c r="W94" i="1"/>
  <c r="R94" i="1"/>
  <c r="G94" i="1" a="1"/>
  <c r="Z93" i="1"/>
  <c r="Y93" i="1" a="1"/>
  <c r="W93" i="1"/>
  <c r="R93" i="1"/>
  <c r="G93" i="1" a="1"/>
  <c r="Z92" i="1"/>
  <c r="Y92" i="1" a="1"/>
  <c r="W92" i="1"/>
  <c r="R92" i="1"/>
  <c r="G92" i="1" a="1"/>
  <c r="Z91" i="1"/>
  <c r="Y91" i="1" a="1"/>
  <c r="W91" i="1"/>
  <c r="R91" i="1"/>
  <c r="G91" i="1" a="1"/>
  <c r="Z90" i="1"/>
  <c r="Y90" i="1" a="1"/>
  <c r="W90" i="1"/>
  <c r="R90" i="1"/>
  <c r="G90" i="1" a="1"/>
  <c r="Z89" i="1"/>
  <c r="Y89" i="1" a="1"/>
  <c r="W89" i="1"/>
  <c r="R89" i="1"/>
  <c r="G89" i="1" a="1"/>
  <c r="Z88" i="1"/>
  <c r="Y88" i="1" a="1"/>
  <c r="W88" i="1"/>
  <c r="R88" i="1"/>
  <c r="G88" i="1" a="1"/>
  <c r="Z87" i="1"/>
  <c r="Y87" i="1" a="1"/>
  <c r="W87" i="1"/>
  <c r="R87" i="1"/>
  <c r="G87" i="1" a="1"/>
  <c r="Z86" i="1"/>
  <c r="Y86" i="1" a="1"/>
  <c r="W86" i="1"/>
  <c r="R86" i="1"/>
  <c r="G86" i="1" a="1"/>
  <c r="Z85" i="1"/>
  <c r="Y85" i="1" a="1"/>
  <c r="W85" i="1"/>
  <c r="R85" i="1"/>
  <c r="G85" i="1" a="1"/>
  <c r="Z84" i="1"/>
  <c r="Y84" i="1" a="1"/>
  <c r="W84" i="1"/>
  <c r="R84" i="1"/>
  <c r="G84" i="1" a="1"/>
  <c r="Z83" i="1"/>
  <c r="Y83" i="1" a="1"/>
  <c r="W83" i="1"/>
  <c r="R83" i="1"/>
  <c r="G83" i="1" a="1"/>
  <c r="Z82" i="1"/>
  <c r="Y82" i="1" a="1"/>
  <c r="W82" i="1"/>
  <c r="R82" i="1"/>
  <c r="G82" i="1" a="1"/>
  <c r="Z81" i="1"/>
  <c r="Y81" i="1" a="1"/>
  <c r="W81" i="1"/>
  <c r="R81" i="1"/>
  <c r="G81" i="1" a="1"/>
  <c r="Z80" i="1"/>
  <c r="Y80" i="1" a="1"/>
  <c r="W80" i="1"/>
  <c r="R80" i="1"/>
  <c r="G80" i="1" a="1"/>
  <c r="Z79" i="1"/>
  <c r="Y79" i="1" a="1"/>
  <c r="W79" i="1"/>
  <c r="R79" i="1"/>
  <c r="G79" i="1" a="1"/>
  <c r="Z78" i="1"/>
  <c r="Y78" i="1" a="1"/>
  <c r="W78" i="1"/>
  <c r="R78" i="1"/>
  <c r="G78" i="1" a="1"/>
  <c r="Z77" i="1"/>
  <c r="Y77" i="1" a="1"/>
  <c r="W77" i="1"/>
  <c r="R77" i="1"/>
  <c r="G77" i="1" a="1"/>
  <c r="Z76" i="1"/>
  <c r="Y76" i="1" a="1"/>
  <c r="W76" i="1"/>
  <c r="R76" i="1"/>
  <c r="G76" i="1" a="1"/>
  <c r="Z75" i="1"/>
  <c r="Y75" i="1" a="1"/>
  <c r="W75" i="1"/>
  <c r="R75" i="1"/>
  <c r="G75" i="1" a="1"/>
  <c r="Z74" i="1"/>
  <c r="Y74" i="1" a="1"/>
  <c r="W74" i="1"/>
  <c r="R74" i="1"/>
  <c r="G74" i="1" a="1"/>
  <c r="Z73" i="1"/>
  <c r="Y73" i="1" a="1"/>
  <c r="W73" i="1"/>
  <c r="R73" i="1"/>
  <c r="G73" i="1" a="1"/>
  <c r="Z72" i="1"/>
  <c r="Y72" i="1" a="1"/>
  <c r="W72" i="1"/>
  <c r="R72" i="1"/>
  <c r="G72" i="1" a="1"/>
  <c r="Z71" i="1"/>
  <c r="Y71" i="1" a="1"/>
  <c r="W71" i="1"/>
  <c r="R71" i="1"/>
  <c r="G71" i="1" a="1"/>
  <c r="Z70" i="1"/>
  <c r="Y70" i="1" a="1"/>
  <c r="W70" i="1"/>
  <c r="R70" i="1"/>
  <c r="G70" i="1" a="1"/>
  <c r="Z69" i="1"/>
  <c r="Y69" i="1" a="1"/>
  <c r="W69" i="1"/>
  <c r="R69" i="1"/>
  <c r="G69" i="1" a="1"/>
  <c r="Z68" i="1"/>
  <c r="Y68" i="1" a="1"/>
  <c r="W68" i="1"/>
  <c r="R68" i="1"/>
  <c r="G68" i="1" a="1"/>
  <c r="Z67" i="1"/>
  <c r="Y67" i="1" a="1"/>
  <c r="W67" i="1"/>
  <c r="R67" i="1"/>
  <c r="G67" i="1" a="1"/>
  <c r="Z66" i="1"/>
  <c r="Y66" i="1" a="1"/>
  <c r="W66" i="1"/>
  <c r="R66" i="1"/>
  <c r="G66" i="1" a="1"/>
  <c r="Z65" i="1"/>
  <c r="Y65" i="1" a="1"/>
  <c r="W65" i="1"/>
  <c r="R65" i="1"/>
  <c r="G65" i="1" a="1"/>
  <c r="Z64" i="1"/>
  <c r="Y64" i="1" a="1"/>
  <c r="W64" i="1"/>
  <c r="R64" i="1"/>
  <c r="G64" i="1" a="1"/>
  <c r="Z63" i="1"/>
  <c r="Y63" i="1" a="1"/>
  <c r="W63" i="1"/>
  <c r="R63" i="1"/>
  <c r="G63" i="1" a="1"/>
  <c r="Z62" i="1"/>
  <c r="Y62" i="1" a="1"/>
  <c r="W62" i="1"/>
  <c r="R62" i="1"/>
  <c r="G62" i="1" a="1"/>
  <c r="Z61" i="1"/>
  <c r="Y61" i="1" a="1"/>
  <c r="W61" i="1"/>
  <c r="R61" i="1"/>
  <c r="G61" i="1" a="1"/>
  <c r="Z60" i="1"/>
  <c r="Y60" i="1" a="1"/>
  <c r="W60" i="1"/>
  <c r="R60" i="1"/>
  <c r="G60" i="1" a="1"/>
  <c r="Z59" i="1"/>
  <c r="Y59" i="1" a="1"/>
  <c r="W59" i="1"/>
  <c r="R59" i="1"/>
  <c r="G59" i="1" a="1"/>
  <c r="Z58" i="1"/>
  <c r="Y58" i="1" a="1"/>
  <c r="W58" i="1"/>
  <c r="R58" i="1"/>
  <c r="G58" i="1" a="1"/>
  <c r="Z57" i="1"/>
  <c r="Y57" i="1" a="1"/>
  <c r="W57" i="1"/>
  <c r="R57" i="1"/>
  <c r="G57" i="1" a="1"/>
  <c r="Z56" i="1"/>
  <c r="Y56" i="1" a="1"/>
  <c r="W56" i="1"/>
  <c r="R56" i="1"/>
  <c r="G56" i="1" a="1"/>
  <c r="Z55" i="1"/>
  <c r="Y55" i="1" a="1"/>
  <c r="W55" i="1"/>
  <c r="R55" i="1"/>
  <c r="G55" i="1" a="1"/>
  <c r="Z54" i="1"/>
  <c r="Y54" i="1" a="1"/>
  <c r="W54" i="1"/>
  <c r="R54" i="1"/>
  <c r="G54" i="1" a="1"/>
  <c r="Z53" i="1"/>
  <c r="Y53" i="1" a="1"/>
  <c r="W53" i="1"/>
  <c r="R53" i="1"/>
  <c r="G53" i="1" a="1"/>
  <c r="Z52" i="1"/>
  <c r="Y52" i="1" a="1"/>
  <c r="W52" i="1"/>
  <c r="R52" i="1"/>
  <c r="G52" i="1" a="1"/>
  <c r="Z51" i="1"/>
  <c r="Y51" i="1" a="1"/>
  <c r="W51" i="1"/>
  <c r="R51" i="1"/>
  <c r="G51" i="1" a="1"/>
  <c r="Z50" i="1"/>
  <c r="Y50" i="1" a="1"/>
  <c r="W50" i="1"/>
  <c r="R50" i="1"/>
  <c r="G50" i="1" a="1"/>
  <c r="Z49" i="1"/>
  <c r="Y49" i="1" a="1"/>
  <c r="W49" i="1"/>
  <c r="R49" i="1"/>
  <c r="G49" i="1" a="1"/>
  <c r="Z48" i="1"/>
  <c r="Y48" i="1" a="1"/>
  <c r="W48" i="1"/>
  <c r="R48" i="1"/>
  <c r="G48" i="1" a="1"/>
  <c r="Z47" i="1"/>
  <c r="Y47" i="1" a="1"/>
  <c r="W47" i="1"/>
  <c r="R47" i="1"/>
  <c r="G47" i="1" a="1"/>
  <c r="Z46" i="1"/>
  <c r="Y46" i="1" a="1"/>
  <c r="W46" i="1"/>
  <c r="R46" i="1"/>
  <c r="G46" i="1" a="1"/>
  <c r="Z45" i="1"/>
  <c r="Y45" i="1" a="1"/>
  <c r="W45" i="1"/>
  <c r="R45" i="1"/>
  <c r="G45" i="1" a="1"/>
  <c r="Z44" i="1"/>
  <c r="Y44" i="1" a="1"/>
  <c r="W44" i="1"/>
  <c r="R44" i="1"/>
  <c r="G44" i="1" a="1"/>
  <c r="Z43" i="1"/>
  <c r="Y43" i="1" a="1"/>
  <c r="W43" i="1"/>
  <c r="R43" i="1"/>
  <c r="G43" i="1" a="1"/>
  <c r="Z42" i="1"/>
  <c r="Y42" i="1" a="1"/>
  <c r="W42" i="1"/>
  <c r="R42" i="1"/>
  <c r="G42" i="1" a="1"/>
  <c r="Z41" i="1"/>
  <c r="Y41" i="1" a="1"/>
  <c r="W41" i="1"/>
  <c r="R41" i="1"/>
  <c r="G41" i="1" a="1"/>
  <c r="Z40" i="1"/>
  <c r="Y40" i="1" a="1"/>
  <c r="W40" i="1"/>
  <c r="R40" i="1"/>
  <c r="G40" i="1" a="1"/>
  <c r="Z39" i="1"/>
  <c r="Y39" i="1" a="1"/>
  <c r="W39" i="1"/>
  <c r="R39" i="1"/>
  <c r="G39" i="1" a="1"/>
  <c r="Z38" i="1"/>
  <c r="Y38" i="1" a="1"/>
  <c r="W38" i="1"/>
  <c r="R38" i="1"/>
  <c r="G38" i="1" a="1"/>
  <c r="Z37" i="1"/>
  <c r="Y37" i="1" a="1"/>
  <c r="W37" i="1"/>
  <c r="R37" i="1"/>
  <c r="G37" i="1" a="1"/>
  <c r="Z36" i="1"/>
  <c r="Y36" i="1" a="1"/>
  <c r="W36" i="1"/>
  <c r="R36" i="1"/>
  <c r="G36" i="1" a="1"/>
  <c r="Z35" i="1"/>
  <c r="Y35" i="1" a="1"/>
  <c r="W35" i="1"/>
  <c r="R35" i="1"/>
  <c r="G35" i="1" a="1"/>
  <c r="Z34" i="1"/>
  <c r="Y34" i="1" a="1"/>
  <c r="W34" i="1"/>
  <c r="R34" i="1"/>
  <c r="G34" i="1" a="1"/>
  <c r="Z33" i="1"/>
  <c r="Y33" i="1" a="1"/>
  <c r="W33" i="1"/>
  <c r="R33" i="1"/>
  <c r="G33" i="1" a="1"/>
  <c r="Z32" i="1"/>
  <c r="Y32" i="1" a="1"/>
  <c r="W32" i="1"/>
  <c r="R32" i="1"/>
  <c r="G32" i="1" a="1"/>
  <c r="Z31" i="1"/>
  <c r="Y31" i="1" a="1"/>
  <c r="W31" i="1"/>
  <c r="R31" i="1"/>
  <c r="G31" i="1" a="1"/>
  <c r="Z30" i="1"/>
  <c r="Y30" i="1" a="1"/>
  <c r="W30" i="1"/>
  <c r="R30" i="1"/>
  <c r="Z29" i="1"/>
  <c r="Y29" i="1" a="1"/>
  <c r="W29" i="1"/>
  <c r="R29" i="1"/>
  <c r="Z28" i="1"/>
  <c r="Y28" i="1" a="1"/>
  <c r="W28" i="1"/>
  <c r="R28" i="1"/>
  <c r="Z27" i="1"/>
  <c r="Y27" i="1" a="1"/>
  <c r="W27" i="1"/>
  <c r="R27" i="1"/>
  <c r="Z26" i="1"/>
  <c r="Y26" i="1" a="1"/>
  <c r="W26" i="1"/>
  <c r="R26" i="1"/>
  <c r="Z25" i="1"/>
  <c r="Y25" i="1" a="1"/>
  <c r="W25" i="1"/>
  <c r="R25" i="1"/>
  <c r="Z24" i="1"/>
  <c r="Y24" i="1" a="1"/>
  <c r="W24" i="1"/>
  <c r="R24" i="1"/>
  <c r="Z23" i="1"/>
  <c r="Y23" i="1" a="1"/>
  <c r="W23" i="1"/>
  <c r="R23" i="1"/>
  <c r="Z22" i="1"/>
  <c r="Y22" i="1" a="1"/>
  <c r="W22" i="1"/>
  <c r="R22" i="1"/>
  <c r="Z21" i="1"/>
  <c r="Y21" i="1" a="1"/>
  <c r="W21" i="1"/>
  <c r="R21" i="1"/>
  <c r="G21" i="1" a="1"/>
  <c r="Z20" i="1"/>
  <c r="Y20" i="1" a="1"/>
  <c r="W20" i="1"/>
  <c r="R20" i="1"/>
  <c r="G20" i="1" a="1"/>
  <c r="Z19" i="1"/>
  <c r="Y19" i="1" a="1"/>
  <c r="W19" i="1"/>
  <c r="R19" i="1"/>
  <c r="G19" i="1" a="1"/>
  <c r="Z18" i="1"/>
  <c r="Y18" i="1" a="1"/>
  <c r="W18" i="1"/>
  <c r="R18" i="1"/>
  <c r="G18" i="1" a="1"/>
  <c r="Z17" i="1"/>
  <c r="Y17" i="1" a="1"/>
  <c r="W17" i="1"/>
  <c r="R17" i="1"/>
  <c r="Z16" i="1"/>
  <c r="Y16" i="1" a="1"/>
  <c r="W16" i="1"/>
  <c r="R16" i="1"/>
  <c r="Z15" i="1"/>
  <c r="Y15" i="1" a="1"/>
  <c r="W15" i="1"/>
  <c r="R15" i="1"/>
  <c r="A12" i="1"/>
  <c r="B185" i="7" a="1"/>
  <c r="AG2" i="12" s="1"/>
  <c r="C181" i="7"/>
  <c r="J176" i="7"/>
  <c r="J175" i="7"/>
  <c r="J174" i="7"/>
  <c r="D168" i="7"/>
  <c r="C168" i="7"/>
  <c r="D167" i="7"/>
  <c r="C167" i="7"/>
  <c r="D166" i="7"/>
  <c r="C166" i="7"/>
  <c r="D165" i="7"/>
  <c r="D53" i="13" s="1"/>
  <c r="C165" i="7"/>
  <c r="C169" i="7" s="1"/>
  <c r="J160" i="7"/>
  <c r="G160" i="7"/>
  <c r="F23" i="7" s="1"/>
  <c r="AD5" i="12" s="1"/>
  <c r="F160" i="7"/>
  <c r="E23" i="7" s="1"/>
  <c r="AD4" i="12" s="1"/>
  <c r="D160" i="7"/>
  <c r="C160" i="7"/>
  <c r="H23" i="7" s="1"/>
  <c r="F159" i="7"/>
  <c r="E22" i="7" s="1"/>
  <c r="AC4" i="12" s="1"/>
  <c r="E159" i="7"/>
  <c r="D22" i="7" s="1"/>
  <c r="AC3" i="12" s="1"/>
  <c r="D159" i="7"/>
  <c r="C22" i="7" s="1"/>
  <c r="B96" i="7"/>
  <c r="P38" i="12" s="1"/>
  <c r="C91" i="7"/>
  <c r="C90" i="7"/>
  <c r="C89" i="7"/>
  <c r="C88" i="7"/>
  <c r="C87" i="7"/>
  <c r="C86" i="7"/>
  <c r="F81" i="7"/>
  <c r="E81" i="7"/>
  <c r="D81" i="7"/>
  <c r="C81" i="7"/>
  <c r="F80" i="7"/>
  <c r="E80" i="7"/>
  <c r="D80" i="7"/>
  <c r="C80" i="7"/>
  <c r="F79" i="7"/>
  <c r="E79" i="7"/>
  <c r="D79" i="7"/>
  <c r="C79" i="7"/>
  <c r="G79" i="7" s="1"/>
  <c r="F78" i="7"/>
  <c r="E78" i="7"/>
  <c r="D78" i="7"/>
  <c r="C78" i="7"/>
  <c r="C67" i="7"/>
  <c r="J61" i="7"/>
  <c r="P14" i="12" s="1"/>
  <c r="B1" i="7"/>
  <c r="R13" i="8" l="1"/>
  <c r="R21" i="8"/>
  <c r="R22" i="8"/>
  <c r="N22" i="8"/>
  <c r="G28" i="1" a="1"/>
  <c r="G30" i="1" a="1"/>
  <c r="R16" i="8"/>
  <c r="R7" i="8"/>
  <c r="R20" i="8"/>
  <c r="R25" i="8"/>
  <c r="N25" i="8"/>
  <c r="R15" i="8"/>
  <c r="N15" i="8"/>
  <c r="R9" i="8"/>
  <c r="N9" i="8"/>
  <c r="R8" i="8"/>
  <c r="R27" i="8"/>
  <c r="R33" i="8"/>
  <c r="R23" i="8"/>
  <c r="R29" i="8"/>
  <c r="N29" i="8"/>
  <c r="R41" i="8"/>
  <c r="N41" i="8"/>
  <c r="R40" i="8"/>
  <c r="N40" i="8"/>
  <c r="N39" i="8"/>
  <c r="R39" i="8"/>
  <c r="N38" i="8"/>
  <c r="R38" i="8"/>
  <c r="N37" i="8"/>
  <c r="R37" i="8"/>
  <c r="R36" i="8"/>
  <c r="N36" i="8"/>
  <c r="N35" i="8"/>
  <c r="R35" i="8"/>
  <c r="R34" i="8"/>
  <c r="N34" i="8"/>
  <c r="N32" i="8"/>
  <c r="R32" i="8"/>
  <c r="R31" i="8"/>
  <c r="N31" i="8"/>
  <c r="N30" i="8"/>
  <c r="R30" i="8"/>
  <c r="N19" i="8"/>
  <c r="R19" i="8"/>
  <c r="N18" i="8"/>
  <c r="R18" i="8"/>
  <c r="R12" i="8"/>
  <c r="N12" i="8"/>
  <c r="R11" i="8"/>
  <c r="N11" i="8"/>
  <c r="R6" i="8"/>
  <c r="N6" i="8"/>
  <c r="G23" i="1" a="1"/>
  <c r="G27" i="1" a="1"/>
  <c r="G15" i="1" a="1"/>
  <c r="G25" i="1" a="1"/>
  <c r="C180" i="7"/>
  <c r="P37" i="12" s="1"/>
  <c r="C179" i="7"/>
  <c r="P36" i="12" s="1"/>
  <c r="C175" i="7"/>
  <c r="P24" i="12" s="1"/>
  <c r="J168" i="7"/>
  <c r="J165" i="7"/>
  <c r="J167" i="7"/>
  <c r="J166" i="7"/>
  <c r="J169" i="7"/>
  <c r="C178" i="7"/>
  <c r="P34" i="12" s="1"/>
  <c r="B129" i="7" a="1"/>
  <c r="C177" i="7"/>
  <c r="C176" i="7"/>
  <c r="P35" i="12" s="1"/>
  <c r="C174" i="7"/>
  <c r="C62" i="7"/>
  <c r="I6" i="7" a="1"/>
  <c r="C65" i="7"/>
  <c r="I8" i="7" a="1"/>
  <c r="C64" i="7"/>
  <c r="C63" i="7"/>
  <c r="F157" i="7" s="1"/>
  <c r="E21" i="7" s="1"/>
  <c r="C61" i="7"/>
  <c r="D157" i="7" s="1"/>
  <c r="C21" i="7" s="1"/>
  <c r="G81" i="7"/>
  <c r="G80" i="7"/>
  <c r="B200" i="7" a="1"/>
  <c r="J177" i="7"/>
  <c r="D5" i="1" a="1"/>
  <c r="C66" i="7"/>
  <c r="C80" i="13"/>
  <c r="E80" i="13" s="1"/>
  <c r="D80" i="13"/>
  <c r="C82" i="13"/>
  <c r="E82" i="13" s="1"/>
  <c r="D82" i="13"/>
  <c r="R5" i="8"/>
  <c r="N5" i="8"/>
  <c r="B27" i="13"/>
  <c r="P21" i="12"/>
  <c r="M157" i="7" s="1"/>
  <c r="P25" i="12"/>
  <c r="P29" i="12"/>
  <c r="D56" i="13"/>
  <c r="P28" i="12"/>
  <c r="D55" i="13"/>
  <c r="P27" i="12"/>
  <c r="D54" i="13"/>
  <c r="L160" i="7"/>
  <c r="P20" i="12" s="1"/>
  <c r="C23" i="7"/>
  <c r="AC2" i="12"/>
  <c r="J22" i="7"/>
  <c r="AC10" i="12" s="1"/>
  <c r="AD2" i="12"/>
  <c r="I23" i="7"/>
  <c r="AB11" i="12" s="1"/>
  <c r="J23" i="7"/>
  <c r="C157" i="7"/>
  <c r="G78" i="7"/>
  <c r="E82" i="7"/>
  <c r="F82" i="7"/>
  <c r="I160" i="7"/>
  <c r="G23" i="7" s="1"/>
  <c r="P15" i="12"/>
  <c r="K160" i="7"/>
  <c r="P18" i="12" s="1"/>
  <c r="D169" i="7"/>
  <c r="P26" i="12"/>
  <c r="R6" i="12" a="1"/>
  <c r="P22" i="12"/>
  <c r="C82" i="7"/>
  <c r="C159" i="7"/>
  <c r="L159" i="7"/>
  <c r="G1000" i="8" a="1"/>
  <c r="G999" i="8" a="1"/>
  <c r="G998" i="8" a="1"/>
  <c r="G997" i="8" a="1"/>
  <c r="G996" i="8" a="1"/>
  <c r="G995" i="8" a="1"/>
  <c r="G994" i="8" a="1"/>
  <c r="G993" i="8" a="1"/>
  <c r="G992" i="8" a="1"/>
  <c r="G991" i="8" a="1"/>
  <c r="G990" i="8" a="1"/>
  <c r="G989" i="8" a="1"/>
  <c r="G988" i="8" a="1"/>
  <c r="G987" i="8" a="1"/>
  <c r="G986" i="8" a="1"/>
  <c r="G985" i="8" a="1"/>
  <c r="G984" i="8" a="1"/>
  <c r="G983" i="8" a="1"/>
  <c r="G982" i="8" a="1"/>
  <c r="G981" i="8" a="1"/>
  <c r="G980" i="8" a="1"/>
  <c r="G979" i="8" a="1"/>
  <c r="G978" i="8" a="1"/>
  <c r="G977" i="8" a="1"/>
  <c r="G976" i="8" a="1"/>
  <c r="G975" i="8" a="1"/>
  <c r="G974" i="8" a="1"/>
  <c r="G973" i="8" a="1"/>
  <c r="G972" i="8" a="1"/>
  <c r="G971" i="8" a="1"/>
  <c r="G970" i="8" a="1"/>
  <c r="G969" i="8" a="1"/>
  <c r="G968" i="8" a="1"/>
  <c r="G967" i="8" a="1"/>
  <c r="G966" i="8" a="1"/>
  <c r="G965" i="8" a="1"/>
  <c r="G964" i="8" a="1"/>
  <c r="G963" i="8" a="1"/>
  <c r="G962" i="8" a="1"/>
  <c r="G961" i="8" a="1"/>
  <c r="G960" i="8" a="1"/>
  <c r="G959" i="8" a="1"/>
  <c r="G958" i="8" a="1"/>
  <c r="G957" i="8" a="1"/>
  <c r="G956" i="8" a="1"/>
  <c r="G955" i="8" a="1"/>
  <c r="G954" i="8" a="1"/>
  <c r="G953" i="8" a="1"/>
  <c r="G952" i="8" a="1"/>
  <c r="G951" i="8" a="1"/>
  <c r="G950" i="8" a="1"/>
  <c r="G949" i="8" a="1"/>
  <c r="G948" i="8" a="1"/>
  <c r="G947" i="8" a="1"/>
  <c r="G946" i="8" a="1"/>
  <c r="G945" i="8" a="1"/>
  <c r="G944" i="8" a="1"/>
  <c r="G943" i="8" a="1"/>
  <c r="G942" i="8" a="1"/>
  <c r="G941" i="8" a="1"/>
  <c r="G940" i="8" a="1"/>
  <c r="G939" i="8" a="1"/>
  <c r="G938" i="8" a="1"/>
  <c r="G937" i="8" a="1"/>
  <c r="G936" i="8" a="1"/>
  <c r="G935" i="8" a="1"/>
  <c r="G934" i="8" a="1"/>
  <c r="G933" i="8" a="1"/>
  <c r="G932" i="8" a="1"/>
  <c r="G931" i="8" a="1"/>
  <c r="G930" i="8" a="1"/>
  <c r="G929" i="8" a="1"/>
  <c r="G928" i="8" a="1"/>
  <c r="G927" i="8" a="1"/>
  <c r="G926" i="8" a="1"/>
  <c r="G925" i="8" a="1"/>
  <c r="G924" i="8" a="1"/>
  <c r="G923" i="8" a="1"/>
  <c r="G922" i="8" a="1"/>
  <c r="G921" i="8" a="1"/>
  <c r="G920" i="8" a="1"/>
  <c r="G919" i="8" a="1"/>
  <c r="G918" i="8" a="1"/>
  <c r="G917" i="8" a="1"/>
  <c r="G916" i="8" a="1"/>
  <c r="G915" i="8" a="1"/>
  <c r="G914" i="8" a="1"/>
  <c r="G913" i="8" a="1"/>
  <c r="G912" i="8" a="1"/>
  <c r="G911" i="8" a="1"/>
  <c r="G910" i="8" a="1"/>
  <c r="G909" i="8" a="1"/>
  <c r="G908" i="8" a="1"/>
  <c r="G907" i="8" a="1"/>
  <c r="G906" i="8" a="1"/>
  <c r="G905" i="8" a="1"/>
  <c r="G904" i="8" a="1"/>
  <c r="G903" i="8" a="1"/>
  <c r="G902" i="8" a="1"/>
  <c r="G901" i="8" a="1"/>
  <c r="G900" i="8" a="1"/>
  <c r="G899" i="8" a="1"/>
  <c r="G898" i="8" a="1"/>
  <c r="G897" i="8" a="1"/>
  <c r="G896" i="8" a="1"/>
  <c r="G895" i="8" a="1"/>
  <c r="G894" i="8" a="1"/>
  <c r="G893" i="8" a="1"/>
  <c r="G892" i="8" a="1"/>
  <c r="G891" i="8" a="1"/>
  <c r="G890" i="8" a="1"/>
  <c r="G889" i="8" a="1"/>
  <c r="G888" i="8" a="1"/>
  <c r="G887" i="8" a="1"/>
  <c r="G886" i="8" a="1"/>
  <c r="G885" i="8" a="1"/>
  <c r="G884" i="8" a="1"/>
  <c r="G883" i="8" a="1"/>
  <c r="G882" i="8" a="1"/>
  <c r="G881" i="8" a="1"/>
  <c r="G880" i="8" a="1"/>
  <c r="G879" i="8" a="1"/>
  <c r="G878" i="8" a="1"/>
  <c r="G877" i="8" a="1"/>
  <c r="G876" i="8" a="1"/>
  <c r="G875" i="8" a="1"/>
  <c r="G874" i="8" a="1"/>
  <c r="G873" i="8" a="1"/>
  <c r="G872" i="8" a="1"/>
  <c r="G871" i="8" a="1"/>
  <c r="G870" i="8" a="1"/>
  <c r="G869" i="8" a="1"/>
  <c r="G868" i="8" a="1"/>
  <c r="G867" i="8" a="1"/>
  <c r="G866" i="8" a="1"/>
  <c r="G865" i="8" a="1"/>
  <c r="G864" i="8" a="1"/>
  <c r="G863" i="8" a="1"/>
  <c r="G862" i="8" a="1"/>
  <c r="G861" i="8" a="1"/>
  <c r="G860" i="8" a="1"/>
  <c r="G859" i="8" a="1"/>
  <c r="G858" i="8" a="1"/>
  <c r="G857" i="8" a="1"/>
  <c r="G856" i="8" a="1"/>
  <c r="G855" i="8" a="1"/>
  <c r="G854" i="8" a="1"/>
  <c r="G853" i="8" a="1"/>
  <c r="G852" i="8" a="1"/>
  <c r="G851" i="8" a="1"/>
  <c r="G850" i="8" a="1"/>
  <c r="G849" i="8" a="1"/>
  <c r="G848" i="8" a="1"/>
  <c r="G847" i="8" a="1"/>
  <c r="G846" i="8" a="1"/>
  <c r="G845" i="8" a="1"/>
  <c r="G844" i="8" a="1"/>
  <c r="G843" i="8" a="1"/>
  <c r="G842" i="8" a="1"/>
  <c r="G841" i="8" a="1"/>
  <c r="G840" i="8" a="1"/>
  <c r="G839" i="8" a="1"/>
  <c r="G838" i="8" a="1"/>
  <c r="G837" i="8" a="1"/>
  <c r="G836" i="8" a="1"/>
  <c r="G835" i="8" a="1"/>
  <c r="G834" i="8" a="1"/>
  <c r="G833" i="8" a="1"/>
  <c r="G832" i="8" a="1"/>
  <c r="G831" i="8" a="1"/>
  <c r="G830" i="8" a="1"/>
  <c r="G829" i="8" a="1"/>
  <c r="G828" i="8" a="1"/>
  <c r="G827" i="8" a="1"/>
  <c r="G826" i="8" a="1"/>
  <c r="G825" i="8" a="1"/>
  <c r="G824" i="8" a="1"/>
  <c r="G823" i="8" a="1"/>
  <c r="G822" i="8" a="1"/>
  <c r="G821" i="8" a="1"/>
  <c r="G820" i="8" a="1"/>
  <c r="G819" i="8" a="1"/>
  <c r="G818" i="8" a="1"/>
  <c r="G817" i="8" a="1"/>
  <c r="G816" i="8" a="1"/>
  <c r="G815" i="8" a="1"/>
  <c r="G814" i="8" a="1"/>
  <c r="G813" i="8" a="1"/>
  <c r="G812" i="8" a="1"/>
  <c r="G811" i="8" a="1"/>
  <c r="G810" i="8" a="1"/>
  <c r="G809" i="8" a="1"/>
  <c r="G808" i="8" a="1"/>
  <c r="G807" i="8" a="1"/>
  <c r="G806" i="8" a="1"/>
  <c r="G805" i="8" a="1"/>
  <c r="G804" i="8" a="1"/>
  <c r="G803" i="8" a="1"/>
  <c r="G802" i="8" a="1"/>
  <c r="G801" i="8" a="1"/>
  <c r="G800" i="8" a="1"/>
  <c r="G799" i="8" a="1"/>
  <c r="G798" i="8" a="1"/>
  <c r="G797" i="8" a="1"/>
  <c r="G796" i="8" a="1"/>
  <c r="G795" i="8" a="1"/>
  <c r="G794" i="8" a="1"/>
  <c r="G793" i="8" a="1"/>
  <c r="G792" i="8" a="1"/>
  <c r="G791" i="8" a="1"/>
  <c r="G790" i="8" a="1"/>
  <c r="G789" i="8" a="1"/>
  <c r="G788" i="8" a="1"/>
  <c r="G787" i="8" a="1"/>
  <c r="G786" i="8" a="1"/>
  <c r="G785" i="8" a="1"/>
  <c r="G784" i="8" a="1"/>
  <c r="G783" i="8" a="1"/>
  <c r="G782" i="8" a="1"/>
  <c r="G781" i="8" a="1"/>
  <c r="G780" i="8" a="1"/>
  <c r="G779" i="8" a="1"/>
  <c r="G778" i="8" a="1"/>
  <c r="G777" i="8" a="1"/>
  <c r="G776" i="8" a="1"/>
  <c r="G775" i="8" a="1"/>
  <c r="G774" i="8" a="1"/>
  <c r="G773" i="8" a="1"/>
  <c r="G772" i="8" a="1"/>
  <c r="G771" i="8" a="1"/>
  <c r="G770" i="8" a="1"/>
  <c r="G769" i="8" a="1"/>
  <c r="G768" i="8" a="1"/>
  <c r="G767" i="8" a="1"/>
  <c r="G766" i="8" a="1"/>
  <c r="G765" i="8" a="1"/>
  <c r="G764" i="8" a="1"/>
  <c r="G763" i="8" a="1"/>
  <c r="G762" i="8" a="1"/>
  <c r="G761" i="8" a="1"/>
  <c r="G760" i="8" a="1"/>
  <c r="G759" i="8" a="1"/>
  <c r="G758" i="8" a="1"/>
  <c r="G757" i="8" a="1"/>
  <c r="G756" i="8" a="1"/>
  <c r="G755" i="8" a="1"/>
  <c r="G754" i="8" a="1"/>
  <c r="G753" i="8" a="1"/>
  <c r="G752" i="8" a="1"/>
  <c r="G751" i="8" a="1"/>
  <c r="G750" i="8" a="1"/>
  <c r="G749" i="8" a="1"/>
  <c r="G748" i="8" a="1"/>
  <c r="G747" i="8" a="1"/>
  <c r="G746" i="8" a="1"/>
  <c r="G745" i="8" a="1"/>
  <c r="G744" i="8" a="1"/>
  <c r="G743" i="8" a="1"/>
  <c r="G742" i="8" a="1"/>
  <c r="G741" i="8" a="1"/>
  <c r="G740" i="8" a="1"/>
  <c r="G739" i="8" a="1"/>
  <c r="G738" i="8" a="1"/>
  <c r="G737" i="8" a="1"/>
  <c r="G736" i="8" a="1"/>
  <c r="G735" i="8" a="1"/>
  <c r="G734" i="8" a="1"/>
  <c r="G733" i="8" a="1"/>
  <c r="G732" i="8" a="1"/>
  <c r="G731" i="8" a="1"/>
  <c r="G730" i="8" a="1"/>
  <c r="G729" i="8" a="1"/>
  <c r="G728" i="8" a="1"/>
  <c r="G727" i="8" a="1"/>
  <c r="G726" i="8" a="1"/>
  <c r="G725" i="8" a="1"/>
  <c r="G724" i="8" a="1"/>
  <c r="G723" i="8" a="1"/>
  <c r="G722" i="8" a="1"/>
  <c r="G721" i="8" a="1"/>
  <c r="G720" i="8" a="1"/>
  <c r="G719" i="8" a="1"/>
  <c r="G718" i="8" a="1"/>
  <c r="G717" i="8" a="1"/>
  <c r="G716" i="8" a="1"/>
  <c r="G715" i="8" a="1"/>
  <c r="G714" i="8" a="1"/>
  <c r="G713" i="8" a="1"/>
  <c r="G712" i="8" a="1"/>
  <c r="G711" i="8" a="1"/>
  <c r="G710" i="8" a="1"/>
  <c r="G709" i="8" a="1"/>
  <c r="G708" i="8" a="1"/>
  <c r="G707" i="8" a="1"/>
  <c r="G706" i="8" a="1"/>
  <c r="G704" i="8" a="1"/>
  <c r="G701" i="8" a="1"/>
  <c r="G698" i="8" a="1"/>
  <c r="G695" i="8" a="1"/>
  <c r="G692" i="8" a="1"/>
  <c r="G689" i="8" a="1"/>
  <c r="G686" i="8" a="1"/>
  <c r="G683" i="8" a="1"/>
  <c r="G680" i="8" a="1"/>
  <c r="G677" i="8" a="1"/>
  <c r="G674" i="8" a="1"/>
  <c r="G671" i="8" a="1"/>
  <c r="G668" i="8" a="1"/>
  <c r="G665" i="8" a="1"/>
  <c r="G662" i="8" a="1"/>
  <c r="G659" i="8" a="1"/>
  <c r="G656" i="8" a="1"/>
  <c r="G653" i="8" a="1"/>
  <c r="G650" i="8" a="1"/>
  <c r="G647" i="8" a="1"/>
  <c r="G644" i="8" a="1"/>
  <c r="G641" i="8" a="1"/>
  <c r="G638" i="8" a="1"/>
  <c r="G635" i="8" a="1"/>
  <c r="G632" i="8" a="1"/>
  <c r="G629" i="8" a="1"/>
  <c r="G626" i="8" a="1"/>
  <c r="G705" i="8" a="1"/>
  <c r="G702" i="8" a="1"/>
  <c r="G699" i="8" a="1"/>
  <c r="G696" i="8" a="1"/>
  <c r="G693" i="8" a="1"/>
  <c r="G690" i="8" a="1"/>
  <c r="G687" i="8" a="1"/>
  <c r="G684" i="8" a="1"/>
  <c r="G681" i="8" a="1"/>
  <c r="G678" i="8" a="1"/>
  <c r="G675" i="8" a="1"/>
  <c r="G672" i="8" a="1"/>
  <c r="G669" i="8" a="1"/>
  <c r="G666" i="8" a="1"/>
  <c r="G663" i="8" a="1"/>
  <c r="G660" i="8" a="1"/>
  <c r="G657" i="8" a="1"/>
  <c r="G654" i="8" a="1"/>
  <c r="G651" i="8" a="1"/>
  <c r="G648" i="8" a="1"/>
  <c r="G645" i="8" a="1"/>
  <c r="G642" i="8" a="1"/>
  <c r="G639" i="8" a="1"/>
  <c r="G636" i="8" a="1"/>
  <c r="G633" i="8" a="1"/>
  <c r="G630" i="8" a="1"/>
  <c r="G627" i="8" a="1"/>
  <c r="G703" i="8" a="1"/>
  <c r="G700" i="8" a="1"/>
  <c r="G697" i="8" a="1"/>
  <c r="G694" i="8" a="1"/>
  <c r="G691" i="8" a="1"/>
  <c r="G688" i="8" a="1"/>
  <c r="G685" i="8" a="1"/>
  <c r="G682" i="8" a="1"/>
  <c r="G679" i="8" a="1"/>
  <c r="G676" i="8" a="1"/>
  <c r="G673" i="8" a="1"/>
  <c r="G670" i="8" a="1"/>
  <c r="G667" i="8" a="1"/>
  <c r="G664" i="8" a="1"/>
  <c r="G661" i="8" a="1"/>
  <c r="G658" i="8" a="1"/>
  <c r="G655" i="8" a="1"/>
  <c r="G652" i="8" a="1"/>
  <c r="G649" i="8" a="1"/>
  <c r="G646" i="8" a="1"/>
  <c r="G643" i="8" a="1"/>
  <c r="G640" i="8" a="1"/>
  <c r="G637" i="8" a="1"/>
  <c r="G634" i="8" a="1"/>
  <c r="G631" i="8" a="1"/>
  <c r="G628" i="8" a="1"/>
  <c r="G625" i="8" a="1"/>
  <c r="G622" i="8" a="1"/>
  <c r="G624" i="8" a="1"/>
  <c r="G621" i="8" a="1"/>
  <c r="G619" i="8" a="1"/>
  <c r="G616" i="8" a="1"/>
  <c r="G613" i="8" a="1"/>
  <c r="G610" i="8" a="1"/>
  <c r="G607" i="8" a="1"/>
  <c r="G604" i="8" a="1"/>
  <c r="G601" i="8" a="1"/>
  <c r="G598" i="8" a="1"/>
  <c r="G595" i="8" a="1"/>
  <c r="G592" i="8" a="1"/>
  <c r="G589" i="8" a="1"/>
  <c r="G586" i="8" a="1"/>
  <c r="G583" i="8" a="1"/>
  <c r="G580" i="8" a="1"/>
  <c r="G577" i="8" a="1"/>
  <c r="G574" i="8" a="1"/>
  <c r="G571" i="8" a="1"/>
  <c r="G568" i="8" a="1"/>
  <c r="G565" i="8" a="1"/>
  <c r="G562" i="8" a="1"/>
  <c r="G559" i="8" a="1"/>
  <c r="G556" i="8" a="1"/>
  <c r="G553" i="8" a="1"/>
  <c r="G550" i="8" a="1"/>
  <c r="G547" i="8" a="1"/>
  <c r="G544" i="8" a="1"/>
  <c r="G541" i="8" a="1"/>
  <c r="G538" i="8" a="1"/>
  <c r="G623" i="8" a="1"/>
  <c r="G620" i="8" a="1"/>
  <c r="G617" i="8" a="1"/>
  <c r="G614" i="8" a="1"/>
  <c r="G611" i="8" a="1"/>
  <c r="G608" i="8" a="1"/>
  <c r="G605" i="8" a="1"/>
  <c r="G602" i="8" a="1"/>
  <c r="G599" i="8" a="1"/>
  <c r="G596" i="8" a="1"/>
  <c r="G593" i="8" a="1"/>
  <c r="G590" i="8" a="1"/>
  <c r="G587" i="8" a="1"/>
  <c r="G584" i="8" a="1"/>
  <c r="G581" i="8" a="1"/>
  <c r="G578" i="8" a="1"/>
  <c r="G575" i="8" a="1"/>
  <c r="G572" i="8" a="1"/>
  <c r="G569" i="8" a="1"/>
  <c r="G566" i="8" a="1"/>
  <c r="G563" i="8" a="1"/>
  <c r="G560" i="8" a="1"/>
  <c r="G557" i="8" a="1"/>
  <c r="G554" i="8" a="1"/>
  <c r="G551" i="8" a="1"/>
  <c r="G548" i="8" a="1"/>
  <c r="G545" i="8" a="1"/>
  <c r="G542" i="8" a="1"/>
  <c r="G539" i="8" a="1"/>
  <c r="G536" i="8" a="1"/>
  <c r="G618" i="8" a="1"/>
  <c r="G615" i="8" a="1"/>
  <c r="G612" i="8" a="1"/>
  <c r="G609" i="8" a="1"/>
  <c r="G606" i="8" a="1"/>
  <c r="G603" i="8" a="1"/>
  <c r="G600" i="8" a="1"/>
  <c r="G597" i="8" a="1"/>
  <c r="G594" i="8" a="1"/>
  <c r="G591" i="8" a="1"/>
  <c r="G588" i="8" a="1"/>
  <c r="G585" i="8" a="1"/>
  <c r="G582" i="8" a="1"/>
  <c r="G579" i="8" a="1"/>
  <c r="G576" i="8" a="1"/>
  <c r="G573" i="8" a="1"/>
  <c r="G570" i="8" a="1"/>
  <c r="G567" i="8" a="1"/>
  <c r="G564" i="8" a="1"/>
  <c r="G561" i="8" a="1"/>
  <c r="G558" i="8" a="1"/>
  <c r="G555" i="8" a="1"/>
  <c r="G552" i="8" a="1"/>
  <c r="G549" i="8" a="1"/>
  <c r="G546" i="8" a="1"/>
  <c r="G543" i="8" a="1"/>
  <c r="G540" i="8" a="1"/>
  <c r="G537" i="8" a="1"/>
  <c r="G534" i="8" a="1"/>
  <c r="G531" i="8" a="1"/>
  <c r="G528" i="8" a="1"/>
  <c r="G533" i="8" a="1"/>
  <c r="G530" i="8" a="1"/>
  <c r="G526" i="8" a="1"/>
  <c r="G523" i="8" a="1"/>
  <c r="G520" i="8" a="1"/>
  <c r="G517" i="8" a="1"/>
  <c r="G514" i="8" a="1"/>
  <c r="G511" i="8" a="1"/>
  <c r="G508" i="8" a="1"/>
  <c r="G505" i="8" a="1"/>
  <c r="G502" i="8" a="1"/>
  <c r="G499" i="8" a="1"/>
  <c r="G496" i="8" a="1"/>
  <c r="G493" i="8" a="1"/>
  <c r="G490" i="8" a="1"/>
  <c r="G487" i="8" a="1"/>
  <c r="G484" i="8" a="1"/>
  <c r="G481" i="8" a="1"/>
  <c r="G478" i="8" a="1"/>
  <c r="G475" i="8" a="1"/>
  <c r="G472" i="8" a="1"/>
  <c r="G469" i="8" a="1"/>
  <c r="G466" i="8" a="1"/>
  <c r="G463" i="8" a="1"/>
  <c r="G460" i="8" a="1"/>
  <c r="G457" i="8" a="1"/>
  <c r="G454" i="8" a="1"/>
  <c r="G451" i="8" a="1"/>
  <c r="G448" i="8" a="1"/>
  <c r="G445" i="8" a="1"/>
  <c r="G442" i="8" a="1"/>
  <c r="G439" i="8" a="1"/>
  <c r="G436" i="8" a="1"/>
  <c r="G433" i="8" a="1"/>
  <c r="G430" i="8" a="1"/>
  <c r="G427" i="8" a="1"/>
  <c r="G424" i="8" a="1"/>
  <c r="G421" i="8" a="1"/>
  <c r="G418" i="8" a="1"/>
  <c r="G415" i="8" a="1"/>
  <c r="G412" i="8" a="1"/>
  <c r="G409" i="8" a="1"/>
  <c r="G532" i="8" a="1"/>
  <c r="G529" i="8" a="1"/>
  <c r="G527" i="8" a="1"/>
  <c r="G524" i="8" a="1"/>
  <c r="G521" i="8" a="1"/>
  <c r="G518" i="8" a="1"/>
  <c r="G515" i="8" a="1"/>
  <c r="G512" i="8" a="1"/>
  <c r="G509" i="8" a="1"/>
  <c r="G506" i="8" a="1"/>
  <c r="G503" i="8" a="1"/>
  <c r="G500" i="8" a="1"/>
  <c r="G497" i="8" a="1"/>
  <c r="G494" i="8" a="1"/>
  <c r="G491" i="8" a="1"/>
  <c r="G488" i="8" a="1"/>
  <c r="G485" i="8" a="1"/>
  <c r="G482" i="8" a="1"/>
  <c r="G479" i="8" a="1"/>
  <c r="G476" i="8" a="1"/>
  <c r="G473" i="8" a="1"/>
  <c r="G470" i="8" a="1"/>
  <c r="G467" i="8" a="1"/>
  <c r="G464" i="8" a="1"/>
  <c r="G461" i="8" a="1"/>
  <c r="G458" i="8" a="1"/>
  <c r="G455" i="8" a="1"/>
  <c r="G452" i="8" a="1"/>
  <c r="G449" i="8" a="1"/>
  <c r="G446" i="8" a="1"/>
  <c r="G443" i="8" a="1"/>
  <c r="G440" i="8" a="1"/>
  <c r="G437" i="8" a="1"/>
  <c r="G434" i="8" a="1"/>
  <c r="G431" i="8" a="1"/>
  <c r="G428" i="8" a="1"/>
  <c r="G425" i="8" a="1"/>
  <c r="G422" i="8" a="1"/>
  <c r="G419" i="8" a="1"/>
  <c r="G416" i="8" a="1"/>
  <c r="G413" i="8" a="1"/>
  <c r="G410" i="8" a="1"/>
  <c r="G407" i="8" a="1"/>
  <c r="G404" i="8" a="1"/>
  <c r="G401" i="8" a="1"/>
  <c r="G535" i="8" a="1"/>
  <c r="G525" i="8" a="1"/>
  <c r="G522" i="8" a="1"/>
  <c r="G519" i="8" a="1"/>
  <c r="G516" i="8" a="1"/>
  <c r="G513" i="8" a="1"/>
  <c r="G510" i="8" a="1"/>
  <c r="G507" i="8" a="1"/>
  <c r="G504" i="8" a="1"/>
  <c r="G501" i="8" a="1"/>
  <c r="G498" i="8" a="1"/>
  <c r="G495" i="8" a="1"/>
  <c r="G492" i="8" a="1"/>
  <c r="G489" i="8" a="1"/>
  <c r="G486" i="8" a="1"/>
  <c r="G483" i="8" a="1"/>
  <c r="G480" i="8" a="1"/>
  <c r="G477" i="8" a="1"/>
  <c r="G474" i="8" a="1"/>
  <c r="G471" i="8" a="1"/>
  <c r="G468" i="8" a="1"/>
  <c r="G465" i="8" a="1"/>
  <c r="G462" i="8" a="1"/>
  <c r="G459" i="8" a="1"/>
  <c r="G456" i="8" a="1"/>
  <c r="G453" i="8" a="1"/>
  <c r="G450" i="8" a="1"/>
  <c r="G447" i="8" a="1"/>
  <c r="G444" i="8" a="1"/>
  <c r="G441" i="8" a="1"/>
  <c r="G438" i="8" a="1"/>
  <c r="G435" i="8" a="1"/>
  <c r="G432" i="8" a="1"/>
  <c r="G429" i="8" a="1"/>
  <c r="G426" i="8" a="1"/>
  <c r="G423" i="8" a="1"/>
  <c r="G420" i="8" a="1"/>
  <c r="G417" i="8" a="1"/>
  <c r="G414" i="8" a="1"/>
  <c r="G411" i="8" a="1"/>
  <c r="G408" i="8" a="1"/>
  <c r="G405" i="8" a="1"/>
  <c r="G402" i="8" a="1"/>
  <c r="G403" i="8" a="1"/>
  <c r="G400" i="8" a="1"/>
  <c r="G397" i="8" a="1"/>
  <c r="G394" i="8" a="1"/>
  <c r="G391" i="8" a="1"/>
  <c r="G388" i="8" a="1"/>
  <c r="G385" i="8" a="1"/>
  <c r="G382" i="8" a="1"/>
  <c r="G379" i="8" a="1"/>
  <c r="G376" i="8" a="1"/>
  <c r="G373" i="8" a="1"/>
  <c r="G370" i="8" a="1"/>
  <c r="G367" i="8" a="1"/>
  <c r="G364" i="8" a="1"/>
  <c r="G361" i="8" a="1"/>
  <c r="G358" i="8" a="1"/>
  <c r="G355" i="8" a="1"/>
  <c r="G352" i="8" a="1"/>
  <c r="G349" i="8" a="1"/>
  <c r="G346" i="8" a="1"/>
  <c r="G343" i="8" a="1"/>
  <c r="G340" i="8" a="1"/>
  <c r="G337" i="8" a="1"/>
  <c r="G334" i="8" a="1"/>
  <c r="G331" i="8" a="1"/>
  <c r="G328" i="8" a="1"/>
  <c r="G325" i="8" a="1"/>
  <c r="G322" i="8" a="1"/>
  <c r="G319" i="8" a="1"/>
  <c r="G316" i="8" a="1"/>
  <c r="G313" i="8" a="1"/>
  <c r="G310" i="8" a="1"/>
  <c r="G307" i="8" a="1"/>
  <c r="G304" i="8" a="1"/>
  <c r="G301" i="8" a="1"/>
  <c r="G298" i="8" a="1"/>
  <c r="G295" i="8" a="1"/>
  <c r="G292" i="8" a="1"/>
  <c r="G289" i="8" a="1"/>
  <c r="G286" i="8" a="1"/>
  <c r="G283" i="8" a="1"/>
  <c r="G280" i="8" a="1"/>
  <c r="G277" i="8" a="1"/>
  <c r="G274" i="8" a="1"/>
  <c r="G271" i="8" a="1"/>
  <c r="G268" i="8" a="1"/>
  <c r="G265" i="8" a="1"/>
  <c r="G262" i="8" a="1"/>
  <c r="G259" i="8" a="1"/>
  <c r="G256" i="8" a="1"/>
  <c r="G253" i="8" a="1"/>
  <c r="G250" i="8" a="1"/>
  <c r="G247" i="8" a="1"/>
  <c r="G244" i="8" a="1"/>
  <c r="G241" i="8" a="1"/>
  <c r="G238" i="8" a="1"/>
  <c r="G235" i="8" a="1"/>
  <c r="G398" i="8" a="1"/>
  <c r="G395" i="8" a="1"/>
  <c r="G392" i="8" a="1"/>
  <c r="G389" i="8" a="1"/>
  <c r="G386" i="8" a="1"/>
  <c r="G383" i="8" a="1"/>
  <c r="G380" i="8" a="1"/>
  <c r="G377" i="8" a="1"/>
  <c r="G374" i="8" a="1"/>
  <c r="G371" i="8" a="1"/>
  <c r="G368" i="8" a="1"/>
  <c r="G365" i="8" a="1"/>
  <c r="G362" i="8" a="1"/>
  <c r="G359" i="8" a="1"/>
  <c r="G356" i="8" a="1"/>
  <c r="G353" i="8" a="1"/>
  <c r="G350" i="8" a="1"/>
  <c r="G347" i="8" a="1"/>
  <c r="G344" i="8" a="1"/>
  <c r="G341" i="8" a="1"/>
  <c r="G338" i="8" a="1"/>
  <c r="G335" i="8" a="1"/>
  <c r="G332" i="8" a="1"/>
  <c r="G329" i="8" a="1"/>
  <c r="G326" i="8" a="1"/>
  <c r="G323" i="8" a="1"/>
  <c r="G320" i="8" a="1"/>
  <c r="G317" i="8" a="1"/>
  <c r="G314" i="8" a="1"/>
  <c r="G311" i="8" a="1"/>
  <c r="G308" i="8" a="1"/>
  <c r="G305" i="8" a="1"/>
  <c r="G302" i="8" a="1"/>
  <c r="G299" i="8" a="1"/>
  <c r="G296" i="8" a="1"/>
  <c r="G293" i="8" a="1"/>
  <c r="G290" i="8" a="1"/>
  <c r="G287" i="8" a="1"/>
  <c r="G284" i="8" a="1"/>
  <c r="G281" i="8" a="1"/>
  <c r="G278" i="8" a="1"/>
  <c r="G275" i="8" a="1"/>
  <c r="G272" i="8" a="1"/>
  <c r="G269" i="8" a="1"/>
  <c r="G266" i="8" a="1"/>
  <c r="G263" i="8" a="1"/>
  <c r="G260" i="8" a="1"/>
  <c r="G257" i="8" a="1"/>
  <c r="G254" i="8" a="1"/>
  <c r="G251" i="8" a="1"/>
  <c r="G248" i="8" a="1"/>
  <c r="G245" i="8" a="1"/>
  <c r="G242" i="8" a="1"/>
  <c r="G406" i="8" a="1"/>
  <c r="G399" i="8" a="1"/>
  <c r="G396" i="8" a="1"/>
  <c r="G393" i="8" a="1"/>
  <c r="G390" i="8" a="1"/>
  <c r="G387" i="8" a="1"/>
  <c r="G384" i="8" a="1"/>
  <c r="G381" i="8" a="1"/>
  <c r="G378" i="8" a="1"/>
  <c r="G375" i="8" a="1"/>
  <c r="G372" i="8" a="1"/>
  <c r="G369" i="8" a="1"/>
  <c r="G366" i="8" a="1"/>
  <c r="G363" i="8" a="1"/>
  <c r="G360" i="8" a="1"/>
  <c r="G357" i="8" a="1"/>
  <c r="G354" i="8" a="1"/>
  <c r="G351" i="8" a="1"/>
  <c r="G348" i="8" a="1"/>
  <c r="G345" i="8" a="1"/>
  <c r="G342" i="8" a="1"/>
  <c r="G339" i="8" a="1"/>
  <c r="G336" i="8" a="1"/>
  <c r="G333" i="8" a="1"/>
  <c r="G330" i="8" a="1"/>
  <c r="G327" i="8" a="1"/>
  <c r="G324" i="8" a="1"/>
  <c r="G321" i="8" a="1"/>
  <c r="G318" i="8" a="1"/>
  <c r="G315" i="8" a="1"/>
  <c r="G312" i="8" a="1"/>
  <c r="G309" i="8" a="1"/>
  <c r="G306" i="8" a="1"/>
  <c r="G303" i="8" a="1"/>
  <c r="G300" i="8" a="1"/>
  <c r="G297" i="8" a="1"/>
  <c r="G294" i="8" a="1"/>
  <c r="G291" i="8" a="1"/>
  <c r="G288" i="8" a="1"/>
  <c r="G285" i="8" a="1"/>
  <c r="G282" i="8" a="1"/>
  <c r="G279" i="8" a="1"/>
  <c r="G276" i="8" a="1"/>
  <c r="G267" i="8" a="1"/>
  <c r="G258" i="8" a="1"/>
  <c r="G249" i="8" a="1"/>
  <c r="G231" i="8" a="1"/>
  <c r="G228" i="8" a="1"/>
  <c r="G225" i="8" a="1"/>
  <c r="G222" i="8" a="1"/>
  <c r="G219" i="8" a="1"/>
  <c r="G216" i="8" a="1"/>
  <c r="G213" i="8" a="1"/>
  <c r="G210" i="8" a="1"/>
  <c r="G207" i="8" a="1"/>
  <c r="G204" i="8" a="1"/>
  <c r="G201" i="8" a="1"/>
  <c r="G198" i="8" a="1"/>
  <c r="G195" i="8" a="1"/>
  <c r="G192" i="8" a="1"/>
  <c r="G189" i="8" a="1"/>
  <c r="G186" i="8" a="1"/>
  <c r="G183" i="8" a="1"/>
  <c r="G180" i="8" a="1"/>
  <c r="G177" i="8" a="1"/>
  <c r="G174" i="8" a="1"/>
  <c r="G171" i="8" a="1"/>
  <c r="G168" i="8" a="1"/>
  <c r="G165" i="8" a="1"/>
  <c r="G162" i="8" a="1"/>
  <c r="G159" i="8" a="1"/>
  <c r="G156" i="8" a="1"/>
  <c r="G153" i="8" a="1"/>
  <c r="G150" i="8" a="1"/>
  <c r="G147" i="8" a="1"/>
  <c r="G144" i="8" a="1"/>
  <c r="G141" i="8" a="1"/>
  <c r="G138" i="8" a="1"/>
  <c r="G135" i="8" a="1"/>
  <c r="G132" i="8" a="1"/>
  <c r="G129" i="8" a="1"/>
  <c r="G126" i="8" a="1"/>
  <c r="G123" i="8" a="1"/>
  <c r="G120" i="8" a="1"/>
  <c r="G117" i="8" a="1"/>
  <c r="G114" i="8" a="1"/>
  <c r="G111" i="8" a="1"/>
  <c r="G108" i="8" a="1"/>
  <c r="G105" i="8" a="1"/>
  <c r="G102" i="8" a="1"/>
  <c r="G99" i="8" a="1"/>
  <c r="G96" i="8" a="1"/>
  <c r="G93" i="8" a="1"/>
  <c r="G90" i="8" a="1"/>
  <c r="G87" i="8" a="1"/>
  <c r="G84" i="8" a="1"/>
  <c r="G81" i="8" a="1"/>
  <c r="G78" i="8" a="1"/>
  <c r="G75" i="8" a="1"/>
  <c r="G72" i="8" a="1"/>
  <c r="G69" i="8" a="1"/>
  <c r="G66" i="8" a="1"/>
  <c r="G63" i="8" a="1"/>
  <c r="G60" i="8" a="1"/>
  <c r="G57" i="8" a="1"/>
  <c r="G54" i="8" a="1"/>
  <c r="G51" i="8" a="1"/>
  <c r="G48" i="8" a="1"/>
  <c r="G45" i="8" a="1"/>
  <c r="G42" i="8" a="1"/>
  <c r="G39" i="8" a="1"/>
  <c r="G273" i="8" a="1"/>
  <c r="G264" i="8" a="1"/>
  <c r="G255" i="8" a="1"/>
  <c r="G246" i="8" a="1"/>
  <c r="G240" i="8" a="1"/>
  <c r="G237" i="8" a="1"/>
  <c r="G234" i="8" a="1"/>
  <c r="G232" i="8" a="1"/>
  <c r="G229" i="8" a="1"/>
  <c r="G226" i="8" a="1"/>
  <c r="G223" i="8" a="1"/>
  <c r="G220" i="8" a="1"/>
  <c r="G217" i="8" a="1"/>
  <c r="G214" i="8" a="1"/>
  <c r="G211" i="8" a="1"/>
  <c r="G208" i="8" a="1"/>
  <c r="G205" i="8" a="1"/>
  <c r="G202" i="8" a="1"/>
  <c r="G199" i="8" a="1"/>
  <c r="G196" i="8" a="1"/>
  <c r="G193" i="8" a="1"/>
  <c r="G190" i="8" a="1"/>
  <c r="G187" i="8" a="1"/>
  <c r="G184" i="8" a="1"/>
  <c r="G181" i="8" a="1"/>
  <c r="G178" i="8" a="1"/>
  <c r="G175" i="8" a="1"/>
  <c r="G172" i="8" a="1"/>
  <c r="G169" i="8" a="1"/>
  <c r="G166" i="8" a="1"/>
  <c r="G163" i="8" a="1"/>
  <c r="G160" i="8" a="1"/>
  <c r="G157" i="8" a="1"/>
  <c r="G154" i="8" a="1"/>
  <c r="G151" i="8" a="1"/>
  <c r="G148" i="8" a="1"/>
  <c r="G145" i="8" a="1"/>
  <c r="G142" i="8" a="1"/>
  <c r="G139" i="8" a="1"/>
  <c r="G136" i="8" a="1"/>
  <c r="G133" i="8" a="1"/>
  <c r="G130" i="8" a="1"/>
  <c r="G127" i="8" a="1"/>
  <c r="G124" i="8" a="1"/>
  <c r="G121" i="8" a="1"/>
  <c r="G118" i="8" a="1"/>
  <c r="G115" i="8" a="1"/>
  <c r="G112" i="8" a="1"/>
  <c r="G109" i="8" a="1"/>
  <c r="G106" i="8" a="1"/>
  <c r="G103" i="8" a="1"/>
  <c r="G100" i="8" a="1"/>
  <c r="G97" i="8" a="1"/>
  <c r="G94" i="8" a="1"/>
  <c r="G91" i="8" a="1"/>
  <c r="G88" i="8" a="1"/>
  <c r="G85" i="8" a="1"/>
  <c r="G82" i="8" a="1"/>
  <c r="G79" i="8" a="1"/>
  <c r="G76" i="8" a="1"/>
  <c r="G73" i="8" a="1"/>
  <c r="G70" i="8" a="1"/>
  <c r="G67" i="8" a="1"/>
  <c r="G64" i="8" a="1"/>
  <c r="G61" i="8" a="1"/>
  <c r="G58" i="8" a="1"/>
  <c r="G55" i="8" a="1"/>
  <c r="G52" i="8" a="1"/>
  <c r="G270" i="8" a="1"/>
  <c r="G261" i="8" a="1"/>
  <c r="G252" i="8" a="1"/>
  <c r="G243" i="8" a="1"/>
  <c r="G239" i="8" a="1"/>
  <c r="G236" i="8" a="1"/>
  <c r="G233" i="8" a="1"/>
  <c r="G230" i="8" a="1"/>
  <c r="G227" i="8" a="1"/>
  <c r="G224" i="8" a="1"/>
  <c r="G221" i="8" a="1"/>
  <c r="G218" i="8" a="1"/>
  <c r="G215" i="8" a="1"/>
  <c r="G212" i="8" a="1"/>
  <c r="G209" i="8" a="1"/>
  <c r="G206" i="8" a="1"/>
  <c r="G203" i="8" a="1"/>
  <c r="G200" i="8" a="1"/>
  <c r="G197" i="8" a="1"/>
  <c r="G194" i="8" a="1"/>
  <c r="G191" i="8" a="1"/>
  <c r="G188" i="8" a="1"/>
  <c r="G185" i="8" a="1"/>
  <c r="G182" i="8" a="1"/>
  <c r="G179" i="8" a="1"/>
  <c r="G176" i="8" a="1"/>
  <c r="G173" i="8" a="1"/>
  <c r="G170" i="8" a="1"/>
  <c r="G167" i="8" a="1"/>
  <c r="G164" i="8" a="1"/>
  <c r="G161" i="8" a="1"/>
  <c r="G158" i="8" a="1"/>
  <c r="G155" i="8" a="1"/>
  <c r="G152" i="8" a="1"/>
  <c r="G149" i="8" a="1"/>
  <c r="G146" i="8" a="1"/>
  <c r="G143" i="8" a="1"/>
  <c r="G140" i="8" a="1"/>
  <c r="G137" i="8" a="1"/>
  <c r="G134" i="8" a="1"/>
  <c r="G131" i="8" a="1"/>
  <c r="G128" i="8" a="1"/>
  <c r="G125" i="8" a="1"/>
  <c r="G122" i="8" a="1"/>
  <c r="G119" i="8" a="1"/>
  <c r="G116" i="8" a="1"/>
  <c r="G113" i="8" a="1"/>
  <c r="G110" i="8" a="1"/>
  <c r="G107" i="8" a="1"/>
  <c r="G104" i="8" a="1"/>
  <c r="G101" i="8" a="1"/>
  <c r="G98" i="8" a="1"/>
  <c r="G95" i="8" a="1"/>
  <c r="G92" i="8" a="1"/>
  <c r="G89" i="8" a="1"/>
  <c r="G86" i="8" a="1"/>
  <c r="G83" i="8" a="1"/>
  <c r="G80" i="8" a="1"/>
  <c r="G77" i="8" a="1"/>
  <c r="G74" i="8" a="1"/>
  <c r="G71" i="8" a="1"/>
  <c r="G68" i="8" a="1"/>
  <c r="G65" i="8" a="1"/>
  <c r="G62" i="8" a="1"/>
  <c r="G59" i="8" a="1"/>
  <c r="G56" i="8" a="1"/>
  <c r="G53" i="8" a="1"/>
  <c r="G50" i="8" a="1"/>
  <c r="G47" i="8" a="1"/>
  <c r="G44" i="8" a="1"/>
  <c r="G41" i="8" a="1"/>
  <c r="G37" i="8" a="1"/>
  <c r="G34" i="8" a="1"/>
  <c r="G31" i="8" a="1"/>
  <c r="G28" i="8" a="1"/>
  <c r="G25" i="8" a="1"/>
  <c r="G22" i="8" a="1"/>
  <c r="G19" i="8" a="1"/>
  <c r="G16" i="8" a="1"/>
  <c r="G13" i="8" a="1"/>
  <c r="G10" i="8" a="1"/>
  <c r="G7" i="8" a="1"/>
  <c r="G4" i="8" a="1"/>
  <c r="G43" i="8" a="1"/>
  <c r="G40" i="8" a="1"/>
  <c r="G38" i="8" a="1"/>
  <c r="G35" i="8" a="1"/>
  <c r="G32" i="8" a="1"/>
  <c r="G29" i="8" a="1"/>
  <c r="G26" i="8" a="1"/>
  <c r="G23" i="8" a="1"/>
  <c r="G20" i="8" a="1"/>
  <c r="G17" i="8" a="1"/>
  <c r="G14" i="8" a="1"/>
  <c r="G11" i="8" a="1"/>
  <c r="G8" i="8" a="1"/>
  <c r="G5" i="8" a="1"/>
  <c r="G49" i="8" a="1"/>
  <c r="G46" i="8" a="1"/>
  <c r="G36" i="8" a="1"/>
  <c r="G33" i="8" a="1"/>
  <c r="G30" i="8" a="1"/>
  <c r="G27" i="8" a="1"/>
  <c r="G24" i="8" a="1"/>
  <c r="G21" i="8" a="1"/>
  <c r="G18" i="8" a="1"/>
  <c r="G15" i="8" a="1"/>
  <c r="G12" i="8" a="1"/>
  <c r="G9" i="8" a="1"/>
  <c r="G6" i="8" a="1"/>
  <c r="D61" i="7"/>
  <c r="D63" i="7"/>
  <c r="D66" i="7"/>
  <c r="D82" i="7"/>
  <c r="D4" i="1"/>
  <c r="D6" i="1"/>
  <c r="R4" i="8"/>
  <c r="N4" i="8" s="1"/>
  <c r="B160" i="7" s="1"/>
  <c r="P33" i="12" l="1"/>
  <c r="AB18" i="12"/>
  <c r="AB15" i="12"/>
  <c r="K17" i="7"/>
  <c r="P30" i="12"/>
  <c r="J170" i="7"/>
  <c r="K16" i="7" s="1"/>
  <c r="P32" i="12"/>
  <c r="AB17" i="12"/>
  <c r="P31" i="12"/>
  <c r="AB16" i="12"/>
  <c r="P23" i="12"/>
  <c r="K18" i="7"/>
  <c r="E157" i="7"/>
  <c r="D62" i="7"/>
  <c r="I157" i="7"/>
  <c r="G21" i="7" s="1"/>
  <c r="AB6" i="12" s="1"/>
  <c r="D65" i="7"/>
  <c r="G157" i="7"/>
  <c r="F21" i="7" s="1"/>
  <c r="D64" i="7"/>
  <c r="AB4" i="12"/>
  <c r="E24" i="7"/>
  <c r="AE4" i="12" s="1"/>
  <c r="AB2" i="12"/>
  <c r="C24" i="7"/>
  <c r="AE2" i="12" s="1"/>
  <c r="B6" i="7"/>
  <c r="J157" i="7"/>
  <c r="P39" i="12"/>
  <c r="P40" i="12"/>
  <c r="P41" i="12"/>
  <c r="P42" i="12"/>
  <c r="P43" i="12"/>
  <c r="P44" i="12"/>
  <c r="P45" i="12"/>
  <c r="G82" i="7"/>
  <c r="C68" i="7"/>
  <c r="D68" i="7" s="1"/>
  <c r="D81" i="13"/>
  <c r="C81" i="13"/>
  <c r="E81" i="13" s="1"/>
  <c r="AD6" i="12"/>
  <c r="H18" i="7"/>
  <c r="K23" i="7" a="1"/>
  <c r="H16" i="7" s="1"/>
  <c r="AC11" i="12"/>
  <c r="H17" i="7"/>
  <c r="I159" i="7"/>
  <c r="G22" i="7" s="1"/>
  <c r="H22" i="7"/>
  <c r="I22" i="7" s="1"/>
  <c r="P13" i="12"/>
  <c r="H21" i="7"/>
  <c r="M159" i="7"/>
  <c r="B10" i="7" a="1"/>
  <c r="K159" i="7"/>
  <c r="P17" i="12" s="1"/>
  <c r="J66" i="7"/>
  <c r="K66" i="7" s="1"/>
  <c r="J63" i="7"/>
  <c r="B8" i="7"/>
  <c r="I78" i="7" a="1"/>
  <c r="J64" i="7"/>
  <c r="J158" i="7"/>
  <c r="C158" i="7" s="1"/>
  <c r="J65" i="7"/>
  <c r="J62" i="7"/>
  <c r="F24" i="7" l="1"/>
  <c r="AE5" i="12" s="1"/>
  <c r="AB5" i="12"/>
  <c r="G24" i="7"/>
  <c r="AE6" i="12" s="1"/>
  <c r="L157" i="7"/>
  <c r="P19" i="12" s="1"/>
  <c r="D21" i="7"/>
  <c r="K21" i="7" s="1" a="1"/>
  <c r="B16" i="7" s="1"/>
  <c r="K157" i="7"/>
  <c r="P16" i="12" s="1"/>
  <c r="D8" i="7"/>
  <c r="F6" i="7"/>
  <c r="F8" i="7"/>
  <c r="D6" i="7"/>
  <c r="H24" i="7"/>
  <c r="AB10" i="12"/>
  <c r="E17" i="7"/>
  <c r="AC6" i="12"/>
  <c r="K22" i="7" a="1"/>
  <c r="E16" i="7" s="1"/>
  <c r="E18" i="7"/>
  <c r="P9" i="12"/>
  <c r="P10" i="12"/>
  <c r="D158" i="7"/>
  <c r="K62" i="7"/>
  <c r="K64" i="7"/>
  <c r="F158" i="7"/>
  <c r="E158" i="7"/>
  <c r="K63" i="7"/>
  <c r="G158" i="7"/>
  <c r="K65" i="7"/>
  <c r="AB3" i="12" l="1"/>
  <c r="J21" i="7"/>
  <c r="C79" i="13"/>
  <c r="E79" i="13" s="1"/>
  <c r="E83" i="13" s="1"/>
  <c r="D79" i="13"/>
  <c r="I21" i="7"/>
  <c r="AB9" i="12" s="1"/>
  <c r="D24" i="7"/>
  <c r="B18" i="7"/>
  <c r="K24" i="7"/>
  <c r="D12" i="7"/>
  <c r="B35" i="13" s="1"/>
  <c r="I158" i="7"/>
  <c r="P11" i="12"/>
  <c r="P12" i="12"/>
  <c r="L158" i="7"/>
  <c r="K158" i="7"/>
  <c r="R3" i="12"/>
  <c r="AC9" i="12" l="1"/>
  <c r="B17" i="7"/>
  <c r="I24" i="7"/>
  <c r="AB12" i="12" s="1"/>
  <c r="AE3" i="12"/>
  <c r="J24" i="7"/>
  <c r="AC12" i="12" s="1"/>
  <c r="K10" i="7"/>
  <c r="I1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Neranchara Kaewsiri (Ne)</author>
  </authors>
  <commentList>
    <comment ref="D5" authorId="0" shapeId="0" xr:uid="{1775C95C-769E-4543-A8C2-CA7E727387AE}">
      <text>
        <r>
          <rPr>
            <sz val="9"/>
            <rFont val="Tahoma"/>
          </rPr>
          <t>📌 Overall Verdict ของทั้งชุด (Auto) — ห้ามแก้มือ
สรุปจากคอลัมน์ W ทุกแถว (ไม่นับ Out of Scope) ตามลำดับ:
1) มี Failed ≥ 1 → Failed
2) มี Blocked ≥ 1 → Blocked
3) ยังมี Not Run หรือยังไม่มีเคสผ่านเลย → Not Run
4) มี Conditionally Passed ≥ 1 → Conditionally Passed
5) ที่เหลือ → Passed</t>
        </r>
      </text>
    </comment>
    <comment ref="L13" authorId="0" shapeId="0" xr:uid="{00000000-0006-0000-0200-000005000000}">
      <text>
        <r>
          <rPr>
            <sz val="9"/>
            <rFont val="Tahoma"/>
          </rPr>
          <t>📌 Flow Priority (Static Data)
Urgent / High / Medium / Low — QA Site / BA กรอกตั้งแต่ Day 0 ตาม Business Impact (Protect หลัง Day 0)
Urgent / High = แตะข้อมูลผู้ป่วย, การแพ้ยา/อาหาร, บันทึกการรักษา, ขนาด/วิธีให้ยา, ราคายา/สต็อก, การเงิน, ผล Lab/X-ray
ว่าง = นับเป็น Urgent / High เพื่อความปลอดภัย
เมื่อพบบั๊ก ระบบใช้ Priority สูงสุดระหว่าง Flow Priority กับ Card Priority ของการ์ดที่ผูกอยู่ (Highest Priority Wins)</t>
        </r>
      </text>
    </comment>
    <comment ref="M13" authorId="0" shapeId="0" xr:uid="{B75A45BF-C0EA-4CD8-AF8D-1BEA562524D0}">
      <text>
        <r>
          <rPr>
            <sz val="11"/>
            <color theme="1"/>
            <rFont val="Calibri"/>
            <family val="2"/>
            <scheme val="minor"/>
          </rPr>
          <t>📌 Execution Status = ความคืบหน้าของ QA (เลือกเอง)
ToDo → Ready for Testing → Testing → Done
Blocked = ติดขัด รันต่อไม่ได้ | Canceled = ยกเลิกเคส
⚠️ ห้ามใช้ Passed/Failed ที่นี่ — ผลคุณภาพดูที่ Overall Verdict</t>
        </r>
      </text>
    </comment>
    <comment ref="P13" authorId="0" shapeId="0" xr:uid="{9C380D26-A61C-4F56-AD90-CD5517F39AF4}">
      <text>
        <r>
          <rPr>
            <sz val="9"/>
            <rFont val="Tahoma"/>
          </rPr>
          <t>📌 Defect Severity (ตาม SOP-QA-CORTEX-01)
Critical: Patient Safety, Financial Leakage, Business Workflow หยุดชะงัก, Data Corruption / Race Condition
High: ฟังก์ชันหลักตาม Requirement / AC บกพร่อง, การกรองข้อมูลหลัก / ข้ามหน้าจอ / โมดูลผิด
Medium: ฟังก์ชันทางเลือก / พฤติกรรมย่อย, การตั้งค่า / สถานะระดับ Session
Low: Layout, ลำดับคอลัมน์, UI/UX ปลีกย่อย
Severity + Impact → Bug Priority (Urgent / High / Medium / Low) ใช้กำหนด SLA การแก้</t>
        </r>
      </text>
    </comment>
    <comment ref="R13" authorId="0" shapeId="0" xr:uid="{00000000-0006-0000-0200-000006000000}">
      <text>
        <r>
          <rPr>
            <sz val="9"/>
            <rFont val="Tahoma"/>
          </rPr>
          <t>📌 Bug Priority (Auto) — ตรงกับ Priority ใน Linear
Severity × Impact (Extensive · Significant · Moderate · Minor):
Critical: Urgent Urgent High High
High: Urgent High High Medium
Medium: High High Medium Medium
Low: Medium Medium Low Low
Urgent แก้ทันที (Hotfix) · High ก่อนปิด Sprint · Medium Sprint ถัดไป · Low เมื่อมีเวลา
Urgent / High ที่ยังไม่ Fixed และไม่ได้ CF → Release Gate = Blocking → NO-GO</t>
        </r>
      </text>
    </comment>
    <comment ref="W13" authorId="0" shapeId="0" xr:uid="{45FB576A-8410-481B-BC60-4D37AF6C8DD2}">
      <text>
        <r>
          <rPr>
            <sz val="9"/>
            <rFont val="Tahoma"/>
          </rPr>
          <t>📌 Overall Verdict (Auto) — ห้ามแก้มือ
1) Out of Scope / Canceled → Out of Scope (ไม่นับ)
2) Blocked → Blocked
3) มีบั๊กที่ยังไม่ Fixed (Defect ID หรือ Severity และ Defect Status ≠ Fixed – Retest Passed) → Highest Priority Wins:
   Flow หรือ Card Priority เป็น Urgent / High / ว่าง → Failed
   ทั้งหมดเป็น Medium / Low → Conditionally Passed
4) Done + ไม่มีบั๊ก หรือบั๊กถูก Fixed – Retest Passed → Passed
5) อื่นๆ → Not Run</t>
        </r>
      </text>
    </comment>
    <comment ref="Z13" authorId="0" shapeId="0" xr:uid="{00000000-0006-0000-0200-000007000000}">
      <text>
        <r>
          <rPr>
            <sz val="9"/>
            <rFont val="Tahoma"/>
          </rPr>
          <t>📌 Release Gate (Auto) — ห้ามแก้มือ
Blocking = Bug ที่ยังไม่ Fixed และ (Verdict = Failed หรือ Bug Priority = Urgent / High / ยังไม่ระบุ Severity + Impact) → ทำให้ Release Decision = NO-GO
Accepted (CF) = Blocking ที่ได้ CF ในแชทกลุ่มแล้ว (มีแถว Approval Level = CAB ใน Risk Log ที่ Linear ID ตรงกับ Defect ID)
Deferrable = Bug ที่ยังไม่ Fixed ที่เหลือ → PO / BA ทำ Risk Acceptance + บันทึก Risk Log (PO)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<sst xmlns="http://schemas.openxmlformats.org/spreadsheetml/2006/main" count="1325" uniqueCount="928">
  <si>
    <t>README — Master Regression Template (มาตรฐานทีม QA)</t>
  </si>
  <si>
    <t>คู่มือการใช้งาน File และเงื่อนไขการคำนวณอัตโนมัติ — อ่านก่อนเริ่มลงผล | Version เอกสาร 1.0 | อัปเดตล่าสุด: 2026-09-29</t>
  </si>
  <si>
    <t>1. โครงสร้าง File</t>
  </si>
  <si>
    <t>Sheet</t>
  </si>
  <si>
    <t>หน้าที่</t>
  </si>
  <si>
    <t>Dashboard</t>
  </si>
  <si>
    <t>สรุปผลของทั้ง 3 Sheet, Release Decision (READY / NOT READY / NO-GO), Risk Level, Defect Summary, Tester Workload, Module Risk — คำนวณอัตโนมัติ ห้ามแก้ (ยกเว้น Environment Sign-off และ Risk Log)</t>
  </si>
  <si>
    <t>E2E core flow</t>
  </si>
  <si>
    <t>Test Scenario หลัก (Flow-based Regression) — QA ลงผลการทดสอบที่นี่</t>
  </si>
  <si>
    <t>Cards</t>
  </si>
  <si>
    <t>การ์ด (Linear) ที่ Release ใน Version นี้ + การ์ดที่ต้อง Retest จาก Version ก่อน · Map เข้ากับ Scenario ใน E2E · QA Site ตัดสิน Card Result ที่นี่</t>
  </si>
  <si>
    <t>Card Test Cases</t>
  </si>
  <si>
    <t>รายการ Test Case ของการ์ดแบบย่อ (1 แถว = 1 TC: ID, ชื่อ, ผล, Tester, วันที่, Defect ID) — ใช้ดูความคืบหน้า ส่วนรายละเอียด Step อยู่ในไฟล์ TC ของการ์ด</t>
  </si>
  <si>
    <t>Ownership Matrix</t>
  </si>
  <si>
    <t>ตารางทีมเจ้าของ ต่อ Module / Feature — PO / BA ดูแล ใช้หาว่า Bug ต้องส่งให้ทีมไหน และเป็นรายชื่อ Module ของ Dashboard หัวข้อ 10</t>
  </si>
  <si>
    <t>README</t>
  </si>
  <si>
    <t>คู่มือนี้</t>
  </si>
  <si>
    <t>2. Priority และ Severity (มาตรฐานเดียวกันทั้ง File และ Linear)</t>
  </si>
  <si>
    <t>ค่า</t>
  </si>
  <si>
    <t>ความหมาย</t>
  </si>
  <si>
    <t>Severity (ความรุนแรงของ Bug)</t>
  </si>
  <si>
    <t>Critical / High / Medium / Low — ตาม SOP-QA-CORTEX-01 (Critical = Patient Safety / Financial Leakage / Workflow หยุดชะงัก / Data Corruption)</t>
  </si>
  <si>
    <t>Priority (ลำดับความสำคัญ)</t>
  </si>
  <si>
    <t>Urgent / High / Medium / Low — ตรงกับ Priority ใน Linear ใช้กับ Flow Priority (E2E L), Card Priority (Cards F), Bug Priority และ Risk Level</t>
  </si>
  <si>
    <t>Bug Priority = Severity × Impact</t>
  </si>
  <si>
    <t>Critical: Urgent Urgent High High · High: Urgent High High Medium · Medium: High High Medium Medium · Low: Medium Medium Low Low
(Impact เรียงเป็น Extensive · Significant · Moderate · Minor)</t>
  </si>
  <si>
    <t>SLA ของ Bug Priority</t>
  </si>
  <si>
    <t>Urgent = แก้ทันที (Hotfix) · High = แก้ก่อนปิด Sprint · Medium = Sprint ถัดไป · Low = เมื่อมีเวลา / รวมกับงาน UI</t>
  </si>
  <si>
    <t>Priority ว่าง</t>
  </si>
  <si>
    <t>นับเป็น Urgent / High ไว้ก่อนเพื่อความปลอดภัย และไฮไลต์แดง — QA Site / BA ต้องกรอกให้ครบภายใน Day 0</t>
  </si>
  <si>
    <t>3. กฎการกรอกข้อมูล (สำคัญ)</t>
  </si>
  <si>
    <t>หัวข้อ</t>
  </si>
  <si>
    <t>รายละเอียด</t>
  </si>
  <si>
    <t>ช่องพื้นสีเทา = สูตร</t>
  </si>
  <si>
    <t>ห้ามพิมพ์หรือ Paste ทับ: E2E Column G, R, W, Y, Z และ D4–D6 | Cards Column G, L–S | Card Test Cases Column C, D | Dashboard ทั้งหมด (ยกเว้นหัวข้อ 4 และ 5)</t>
  </si>
  <si>
    <t>เพิ่มแถวใหม่</t>
  </si>
  <si>
    <t>พิมพ์ต่อท้ายในแถวว่างถัดไป สูตรจะคำนวณให้ทันทีเมื่อใส่ ID ในคอลัมน์ A
ห้ามใช้ Insert Row แทรกระหว่างแถว เพราะแถวที่แทรกจะไม่มีสูตร — ถ้าจำเป็นต้องแทรก ให้ Copy ช่องสูตรจากแถวด้านบนลงมา</t>
  </si>
  <si>
    <t>Copy ข้อมูล</t>
  </si>
  <si>
    <t>Paste เฉพาะช่องที่ต้องกรอก ห้าม Paste ทั้งแถว เพราะจะทับสูตรในช่องสีเทา</t>
  </si>
  <si>
    <t>ขอบเขตข้อมูล</t>
  </si>
  <si>
    <t>สูตรและ Dropdown รองรับถึงแถว 1000 (E2E: แถว 15–1000 | Cards: แถว 4–1000 | Card Test Cases: แถว 4–1000) หากใกล้เต็มให้แจ้งผู้ดูแล File ขยายช่วง</t>
  </si>
  <si>
    <t>Tested Environment</t>
  </si>
  <si>
    <t>เลือกที่ E2E › B4 ครั้งเดียวต่อรอบ (demo-x / stg-tmh / stg-sbh / stg-nuh) — 1 File = 1 Environment</t>
  </si>
  <si>
    <t>Link SOP</t>
  </si>
  <si>
    <t>วาง URL ที่ E2E › C12 แล้ว Link ที่ A12 จะคลิกได้อัตโนมัติ</t>
  </si>
  <si>
    <t>โปรแกรมที่รองรับ</t>
  </si>
  <si>
    <t>Excel 365 / Excel Web — สูตรใช้ LET, FILTER, UNIQUE, SORT, VSTACK, HSTACK, TEXTJOIN ถ้าเปิดด้วย Excel 2019 หรือเก่ากว่าจะขึ้น #NAME?
หลีกเลี่ยงการเปิดใน Google Sheets แล้ว Export กลับมาทับ File Master</t>
  </si>
  <si>
    <t>การป้องกัน (Protect)</t>
  </si>
  <si>
    <t>E2E, Cards และ Card Test Cases ถูก Protect ไว้ (ไม่มีรหัสผ่าน) — ล็อกเฉพาะ Priority (E2E L, Cards F), TOR (Cards H) และช่องสูตรของ Cards / Card Test Cases | แก้โครงสร้าง: Review › Unprotect Sheet แล้ว Protect กลับ</t>
  </si>
  <si>
    <t>4. การลงผลใน E2E core flow</t>
  </si>
  <si>
    <t>Column</t>
  </si>
  <si>
    <t>วิธีกรอก</t>
  </si>
  <si>
    <t>สีหัวตาราง</t>
  </si>
  <si>
    <t>🟦 น้ำเงิน (A–L) = Static Prep ที่ QA Site / BA เตรียมไว้ · 🟨 เหลือง (M–V, X) = Execution ที่ QA กรอกระหว่างรัน · ⬛ เทา (R, W, Y, Z) = Auto</t>
  </si>
  <si>
    <t>A — Scenario ID</t>
  </si>
  <si>
    <t>รหัส Scenario เช่น SMK-OPD-001 ต้องไม่ซ้ำ และใช้เลขรันจำนวนหลักเท่ากันทุกข้อ</t>
  </si>
  <si>
    <t>B — Module</t>
  </si>
  <si>
    <t>ต้องตรงกับชื่อ Module ใน Ownership Matrix (ใช้หา Owner Team, Module ของการ์ด และ Module Risk)</t>
  </si>
  <si>
    <t>L — Flow Priority</t>
  </si>
  <si>
    <t>Urgent / High / Medium / Low — QA Site / BA กรอกให้ครบตั้งแต่ Day 0 (ว่าง = ไฮไลต์แดง และนับเป็น Urgent / High)
ใช้ร่วมกับ Card Priority ของการ์ดที่ผูกอยู่ เมื่อพบ Bug ระบบใช้ค่าที่สูงที่สุด (Highest Priority Wins)</t>
  </si>
  <si>
    <t>M — Execution Status</t>
  </si>
  <si>
    <t>ToDo → Ready for Testing → Testing → Done | Blocked = รันต่อไม่ได้ | Out of Scope / Canceled = ไม่นับในรอบนี้
ห้ามใช้ Passed / Failed ในคอลัมน์นี้ — ผลคุณภาพดูที่ Column W</t>
  </si>
  <si>
    <t>O — Defect ID</t>
  </si>
  <si>
    <t>ใส่ ID ของทุก Bug ที่พบใน Scenario นี้ (Issue ของ Site ตาม Case C ในหัวข้อ 8) — ถ้ามีหลาย ID ให้คั่นด้วย , (Risk Log จับคู่ได้เฉพาะช่องที่มี ID เดียว)</t>
  </si>
  <si>
    <t>P / Q — Severity / Impact</t>
  </si>
  <si>
    <t>กรอกเมื่อมี Defect ID (ช่องจะเป็นสีแดงอ่อน) — ถ้ายังไม่กรอก Bug Priority จะขึ้น "ระบุ Severity + Impact" และนับเป็น Blocking ไว้ก่อน</t>
  </si>
  <si>
    <t>R — Bug Priority (Auto)</t>
  </si>
  <si>
    <t>Severity × Impact → Urgent / High / Medium / Low ตาม Matrix ในหัวข้อ 2</t>
  </si>
  <si>
    <t>S / T — Root Cause / Defect Status</t>
  </si>
  <si>
    <t>Root Cause: Config / Master Data / Code Bug | Defect Status: Open (หรือว่าง) = ยังเปิด · Fixed – Retest Passed = ผ่าน Direct Fix + Impact Area แล้ว (Defect ID เก็บไว้เป็นหลักฐาน)
ถ้ามีหลาย ID ให้เปลี่ยนเป็น Fixed เมื่อทุก ID ผ่าน Retest แล้วเท่านั้น</t>
  </si>
  <si>
    <t>U, V, X</t>
  </si>
  <si>
    <t>Tester | Executed Date (yyyy-mm-dd) | Remark (สรุป Impact Area / เหตุผลที่ Blocked)</t>
  </si>
  <si>
    <t>W — Overall Verdict (Auto)</t>
  </si>
  <si>
    <t>1) Out of Scope / Canceled → Out of Scope  2) Blocked → Blocked  3) มี Bug ที่ยังไม่ Fixed: Flow หรือ Card Priority ใดเป็น Urgent / High / ว่าง → Failed · ทั้งหมด Medium / Low → Conditionally Passed  4) Done → Passed  5) อื่นๆ → Not Run</t>
  </si>
  <si>
    <t>Z — Release Gate (Auto)</t>
  </si>
  <si>
    <t>Blocking = Bug ที่ยังไม่ Fixed และ (Verdict = Failed หรือ Bug Priority = Urgent / High / ยังไม่ระบุ) → NO-GO
Accepted (CF) = Blocking ที่ได้ CF แล้ว (แถว CAB ใน Risk Log) · Deferrable = ที่เหลือ → Risk Acceptance โดย PO</t>
  </si>
  <si>
    <t>5. Cards</t>
  </si>
  <si>
    <t>วิธีใช้ / ผล</t>
  </si>
  <si>
    <t>A–C  Card ID / Title / Owner</t>
  </si>
  <si>
    <t>ก๊อปวางจาก Linear ได้ทันที (Ctrl+Shift+V วางเฉพาะค่า) — ดึงการ์ดที่ Release ใน Version นี้ + การ์ด Label regression-fail ของ Version ก่อน</t>
  </si>
  <si>
    <t>E  Map to Scenario ID</t>
  </si>
  <si>
    <t>ใส่ Scenario ID จาก E2E ได้หลาย ID ในช่องเดียว (คั่นด้วย , หรือขึ้นบรรทัดใหม่) ค้นหาแบบ Partial Match — ใช้เลขรันจำนวนหลักเท่ากันเสมอ (SMK-OPD-001 กับ SMK-OPD-0011 จะถูกจับคู่ซ้ำ)</t>
  </si>
  <si>
    <t>F  Card Priority</t>
  </si>
  <si>
    <t>Urgent / High / Medium / Low — กรอกภายใน Day 0 (ว่าง = นับเป็น Urgent / High) · Protect หลัง Day 0</t>
  </si>
  <si>
    <t>G  E2E Status (Auto)</t>
  </si>
  <si>
    <t>ผลที่แย่ที่สุดของทุก Scenario ที่ผูก: Failed &gt; Blocked &gt; Ready for Testing &gt; Conditionally Passed &gt; Passed &gt; Out of Scope | E ว่าง → Pending Mapping</t>
  </si>
  <si>
    <t>H  TOR (Yes / No)</t>
  </si>
  <si>
    <t>QA Site ระบุตอนดึงการ์ดเข้า File (Day 0) ว่าการ์ดอยู่ใน TOR หรือไม่ · ว่าง = ไฮไลต์แดง และนับเป็น TOR ไว้ก่อน · Protect หลัง Day 0</t>
  </si>
  <si>
    <t>I  Retest from Version</t>
  </si>
  <si>
    <t>ใส่ Version ที่การ์ดไม่ผ่าน (เช่น v{X}) เมื่อเป็นการ์ดที่ยกมา Retest จาก Regression รอบก่อน</t>
  </si>
  <si>
    <t>J  Card Result</t>
  </si>
  <si>
    <t>QA Site ตัดสินผลของการ์ดจาก E2E Status + ผล TC: Passed · Passed with Known Issue · Failed · Not Tested
TC ไม่ผ่านครบก็ให้การ์ดผ่านได้ ถ้าเป็นสิ่งที่ยอมรับได้ → เลือก Passed with Known Issue ซึ่งต้องให้ QA Lead ยืนยัน</t>
  </si>
  <si>
    <t>K  Result Note</t>
  </si>
  <si>
    <t>เหตุผลของ Card Result, Sub-issue ID ของ Known Issue และชื่อ QA Lead ที่ยืนยัน</t>
  </si>
  <si>
    <t>L  Release Gate (Auto)</t>
  </si>
  <si>
    <t>การ์ดที่อยู่ใน Gate = TOR (หรือยังไม่ระบุ) หรือ Card Priority Urgent / High (หรือว่าง)
Pending Result = การ์ดใน Gate ที่ยังไม่มี Card Result → NO-GO · Blocking = การ์ดใน Gate ที่ Failed / Not Tested → NO-GO จนกว่าจะได้ CF · Accepted (CF)
การ์ดนอก Gate: Failed → Deferrable (Risk Acceptance โดย PO) · Not Tested → Carry Over · Passed with Known Issue → Known Issue</t>
  </si>
  <si>
    <t>M  Module (Auto)</t>
  </si>
  <si>
    <t>Module ของ Scenario แรกที่ผูกไว้ใน Column E</t>
  </si>
  <si>
    <t>N–R  TC Status / Total / Passed / Failed / Remaining (Auto)</t>
  </si>
  <si>
    <t>สรุปจาก Card Test Cases ไว้ช่วยตัดสิน Card Result: No TC · Failed · Blocked · In Progress · Passed · Out of Scope</t>
  </si>
  <si>
    <t>S  Tester (Auto)</t>
  </si>
  <si>
    <t>รวมรายชื่อ Tester จาก Card Test Cases และ Scenario ที่ผูกอยู่ — ใช้ดูว่าใครเทสการ์ดใบไหน</t>
  </si>
  <si>
    <t>6. Card Test Cases (กรอกให้น้อยที่สุด)</t>
  </si>
  <si>
    <t>A / B  TC ID / Card ID</t>
  </si>
  <si>
    <t>TC ID รูปแบบ TC-{Site}-{Card no.}-001 · Card ID ต้องตรงกับ Cards Column A (ถ้าไม่ตรง Column C จะขึ้น "ไม่พบ Card ID")</t>
  </si>
  <si>
    <t>C / D  Card Title / Module (Auto)</t>
  </si>
  <si>
    <t>ดึงจาก Cards — คลิกชื่อการ์ดเพื่อกลับไปที่แถวการ์ด</t>
  </si>
  <si>
    <t>E  Test Case Name</t>
  </si>
  <si>
    <t>ชื่อ TC แบบย่อ — Precondition / Step / Expected อยู่ในไฟล์ TC ของการ์ด ไม่ต้องกรอกซ้ำ</t>
  </si>
  <si>
    <t>F  Result</t>
  </si>
  <si>
    <t>Passed / Failed / Blocked / Not Run / Out of Scope (ว่าง = Not Run)</t>
  </si>
  <si>
    <t>G / H  Tester / Executed Date</t>
  </si>
  <si>
    <t>ใครรัน และวันที่รัน (yyyy-mm-dd)</t>
  </si>
  <si>
    <t>I / J  Defect ID / Remark</t>
  </si>
  <si>
    <t>Failed → สร้าง Sub-issue ใต้การ์ดแล้วใส่ ID (ถ้าว่างจะไฮไลต์แดง) · Remark = อาการที่พบ / เหตุผลที่ Blocked
Severity / Priority ของ Bug กำหนดใน Sub-issue ที่ Linear — ผล TC ไม่ตัดสิน Release เอง การตัดสินอยู่ที่ Card Result</t>
  </si>
  <si>
    <t>7. Release Decision (Dashboard B10) และ Risk Level (K10)</t>
  </si>
  <si>
    <t>เงื่อนไข</t>
  </si>
  <si>
    <t>ผล</t>
  </si>
  <si>
    <t>NO-GO ข้อ 1</t>
  </si>
  <si>
    <t>Scenario Failed (Flow / Card Priority Urgent / High / ว่าง) ที่ยังไม่ได้ CF → "Failed (Urgent/High): n"</t>
  </si>
  <si>
    <t>NO-GO ข้อ 2</t>
  </si>
  <si>
    <t>Scenario Flow Priority Urgent / High / ว่าง ที่ยัง Not Run หรือ Blocked → "Urgent/High Untested: n | Blocked: n"</t>
  </si>
  <si>
    <t>NO-GO ข้อ 3</t>
  </si>
  <si>
    <t>การ์ดใน Gate (TOR หรือ Urgent / High) ที่ยังไม่มี Card Result (Cards L = Pending Result) → "Cards Pending Result (TOR / Urgent-High): n"</t>
  </si>
  <si>
    <t>NO-GO ข้อ 4</t>
  </si>
  <si>
    <t>Bug Urgent / High ใน E2E ที่ยังไม่ Fixed และไม่ได้ CF (Column Z = Blocking) → "Open Urgent/High Bug (no CF): n"</t>
  </si>
  <si>
    <t>NO-GO ข้อ 5</t>
  </si>
  <si>
    <t>การ์ดใน Gate ที่ Card Result = Failed หรือ Not Tested และยังไม่ได้ CF (Cards L = Blocking) → "Cards Failed / Not Tested (TOR / Urgent-High, no CF): n"</t>
  </si>
  <si>
    <t>READY TO RELEASE</t>
  </si>
  <si>
    <t>ไม่เข้าเงื่อนไข NO-GO และมีเคสที่ประเมินผลแล้ว — ต่อท้ายด้วย (Medium/Low Untested: n), Accepted by CF: n, Known Issues: E2E n / Cards n ถ้ามี</t>
  </si>
  <si>
    <t>NOT READY</t>
  </si>
  <si>
    <t>ยังไม่มีเคสที่ประเมินผลเลย</t>
  </si>
  <si>
    <t>Risk Level</t>
  </si>
  <si>
    <t>Urgent = NO-GO หรือมี Bug Urgent ค้าง · High = มี Bug High ค้าง หรือมีรายการที่ผ่านด้วย CF · Medium = มี Bug Medium ค้าง, Pending Risk Acceptance, การ์ด Known Issue หรือยังเทสไม่ครบ · Low = ที่เหลือ
Feed P12 (Risk Reason) บอกเหตุผล — Module Risk (หัวข้อ 10) ใช้เกณฑ์เดียวกันราย Module</t>
  </si>
  <si>
    <t>ตัวชี้วัดหลัก</t>
  </si>
  <si>
    <t>Total Scope = Scenario − Out of Scope · Execution Rate = (Testing + Blocked + Done) / Scope · Pass Rate = (Passed + Cond. Passed) / (Passed + Cond. Passed + Failed) · % Evaluated = เคสที่มีผล Passed / Cond. Passed / Failed ÷ Scope</t>
  </si>
  <si>
    <t>Dashboard หัวข้อ 6–10</t>
  </si>
  <si>
    <t>6 Blocking Bug List · 7 Test Progress ของ 3 Sheet · 8 Defect &amp; Gate Summary (E2E Bug ตาม Severity / Bug Priority, Release Gate ของ E2E + Cards, Root Cause) · 9 Tester Workload · 10 Module Coverage &amp; Risk</t>
  </si>
  <si>
    <t>8. การส่ง Bug และการ Retest</t>
  </si>
  <si>
    <t>ขั้นตอน</t>
  </si>
  <si>
    <t>วิธีทำ</t>
  </si>
  <si>
    <t>Case A — Bug ของการ์ดที่ Release ใน Version นี้</t>
  </si>
  <si>
    <t>สร้าง Sub-issue ใต้การ์ดนั้นใน Board ของ Site · Label: regression-fail + v{X} · ใส่ Sub-issue ID ใน Card Test Cases Column I (หรือ E2E Column O ถ้าพบจาก Scenario) · Card Result = Passed with Known Issue หรือ Failed</t>
  </si>
  <si>
    <t>Case B — การ์ดที่ Release แต่เทสไม่ทัน</t>
  </si>
  <si>
    <t>Card Result = Not Tested · ติด Label regression-fail + v{X} ที่การ์ดเดิม → Regression รอบถัดไปดึงเข้า Cards และใส่ Column I = v{X}</t>
  </si>
  <si>
    <t>Case C — Bug ที่ไม่มีการ์ด (พบจาก E2E Flow)</t>
  </si>
  <si>
    <t>สร้าง Issue ใน Team ของ Site · Assign PO / BA ของ Site · Label: regression-fail + v{X} · ใส่ Issue ID ใน E2E Column O</t>
  </si>
  <si>
    <t>Title / Description</t>
  </si>
  <si>
    <t>Title: [Regression] {Module / Feature} - {Symptom} | Description: Scenario ID หรือ TC ID, Steps, Expected / Actual, Evidence</t>
  </si>
  <si>
    <t>SLA การคัดแยก (PO / BA ของ Site)</t>
  </si>
  <si>
    <t>ภายใน 1 วันทำการ (Urgent / High ภายในวันเดียวกัน) เกินกำหนด → Escalate ไปที่ PM</t>
  </si>
  <si>
    <t>Retest</t>
  </si>
  <si>
    <t>Blocking → Retest ภายในวันเดียวกันหลัง Dev แจ้ง Deploy · อื่นๆ ภายใน 2 วันทำการ | Direct Fix → Impact Area 1–2 Use Cases → บันทึกผลใน Comment และ Remark</t>
  </si>
  <si>
    <t>ปิด Bug</t>
  </si>
  <si>
    <t>เปลี่ยน Defect Status เป็น Fixed – Retest Passed แล้วปิดตั๋วใน Linear | ถ้า Retest ไม่ผ่าน: คง Open และตีกลับตั๋ว</t>
  </si>
  <si>
    <t>New Cortex</t>
  </si>
  <si>
    <t>ไม่รับ Bug แล้ว — ใช้เก็บ Evidence ของ TC, การ์ดรอบ Regression และ Regression Report เท่านั้น</t>
  </si>
  <si>
    <t>Owner Team (E2E Y) / Ownership Matrix</t>
  </si>
  <si>
    <t>ข้อมูลอ้างอิงให้ PO / BA ใช้กระจายงาน — QA ไม่ต้องส่งหาทีมเจ้าของเอง</t>
  </si>
  <si>
    <t>9. ก่อน Day 1, CF และการยอมรับความเสี่ยง</t>
  </si>
  <si>
    <t>แก้หัว File (บังคับ)</t>
  </si>
  <si>
    <t>ก่อน Day 1 ทุก Site ต้องแก้ E2E › B1 (Project / Site เช่น Cortex HIS – TMH) และ B3 (Build / Version ของรอบนั้น) ห้ามปล่อยเป็น Placeholder — Grand Dashboard ดึงไปแสดง</t>
  </si>
  <si>
    <t>Passed with Known Issue</t>
  </si>
  <si>
    <t>QA Site + QA Lead ตัดสินร่วมกันว่ายอมรับได้ · ใส่เหตุผล, Sub-issue ID และชื่อ QA Lead ใน Cards › Result Note</t>
  </si>
  <si>
    <t>Day 0: Priority และ TOR</t>
  </si>
  <si>
    <t>QA Site / BA กรอก Flow Priority (E2E L), Card Priority (Cards F) และ TOR (Cards H) ให้ครบ แล้ว Protect | เปลี่ยนภายหลังได้เมื่อ PO อนุมัติ: QA Lead Unprotect แก้ค่า แล้ว Protect กลับ พร้อมเหตุผลใน Remark</t>
  </si>
  <si>
    <t>Linear Setup</t>
  </si>
  <si>
    <t>สร้าง Label regression-fail และ Label Version (v{X}) ในทุก Team ของ Site ก่อนวันแรก</t>
  </si>
  <si>
    <t>Environment Sign-off</t>
  </si>
  <si>
    <t>Dashboard › หัวข้อ 4: ตรวจ 5 ข้อ Environment (SRE), Version (SRE), Master (Dev), Config (Dev), Linear (QA Lead) เลือก Ready หรือ N/A ครบทุกช่อง แล้วใส่ชื่อผู้ Sign-off และวันที่ → Feed แสดง Signed</t>
  </si>
  <si>
    <t>Deployment Window</t>
  </si>
  <si>
    <t>โค้ดต้องนิ่งก่อนวัน Regression · Deploy ตัวแก้ได้ตามรอบที่กำหนด และแจ้ง QA ทุกครั้ง · Fix Cut-off Day 4 เวลา 12:00</t>
  </si>
  <si>
    <t>Deferrable (E2E + Cards)</t>
  </si>
  <si>
    <t>PO / BA Lead ของ Site พิมพ์ Risk Acceptance ใน Ticket → Backlog Sprint ถัดไป + บันทึก Risk Log (Approval Level = PO) — Pending Risk Acceptance ต้องเป็น 0 ก่อน Release Decision</t>
  </si>
  <si>
    <t>Blocking ค้างหลัง Cut-off → ขอ CF</t>
  </si>
  <si>
    <t>ขอ CF จากผู้มีอำนาจตัดสินใจใน Group Chat: ส่ง Day 5 เวลา 09:30 · ทวง 13:00 · เส้นตาย 15:00 (ไม่ตอบ = ไม่อนุมัติ) → บันทึก Risk Log (Approval Level = CAB พร้อม Link ข้อความ) · E2E Column Z / Cards Column L จะเป็น Accepted (CF) (Risk Log ใส่ Defect ID หรือ Card ID)</t>
  </si>
  <si>
    <t>Release Decision &amp; Sign-off</t>
  </si>
  <si>
    <t>Day 5 เวลา 17:00 · Sign-off โดย Comment "Approved" บนการ์ด Release: PM (Accountable), PO, QA Lead, Dev Lead</t>
  </si>
  <si>
    <t>Bug ค้างครบ 2 รอบ Regression</t>
  </si>
  <si>
    <t>รอบที่ 3 PO ปรับ Priority ขึ้น 1 ระดับ และคุมโควตา Bug เก่า 10–15% ของเวลาใน Sprint</t>
  </si>
  <si>
    <t>10. Grand Dashboard และการขึ้น Version ใหม่</t>
  </si>
  <si>
    <t>Grand Dashboard Feed</t>
  </si>
  <si>
    <t>ชีต 'Dashboard Feed' (ซ่อนไว้) Column O:P (แถว 5–45) = Grand Dashboard Feed และ R:Y (Risk Items Feed แถว 4–55 = รายการ Urgent / High ทั้งหมด) ส่งข้อมูลให้ Grand Dashboard · Column AA:AI = ข้อมูลกราฟ Dashboard — ห้ามแทรก / ลบแถวหรือ Column ในชีต Dashboard Feed ห้ามเปลี่ยนชื่อ Sheet และชื่อ File ของ Site</t>
  </si>
  <si>
    <t>ผู้รับผิดชอบ</t>
  </si>
  <si>
    <t>QA Lead / QA Manager เปิด Grand Dashboard ด้วย Excel Desktop และ Refresh / Update Links ทุกเช้า | QA Site Update สถานะรายวันใน QA Group Chat | ผู้เปิดดูต้องมีสิทธิ์อ่าน File ของทั้ง 3 Site</t>
  </si>
  <si>
    <t>ขึ้น Version ใหม่</t>
  </si>
  <si>
    <t>Clone Master_Regression_Template.xlsx เป็น {Site}_Regression_v{X}.xlsx ใน Folder v{X}/{Site} และ Clone Master_Grand_Dashboard.xlsx เป็น Grand_Dashboard_v{X}.xlsx แล้ว Change Source ไปที่ File ชุดใหม่ (ขั้นตอนเต็มอยู่ใน Sheet How to Connect) — ห้ามแก้ File ของ Version เก่า</t>
  </si>
  <si>
    <t>Phase 1 ของรอบใหม่</t>
  </si>
  <si>
    <t>ค้นใน Linear: Label regression-fail + Version ก่อนหน้า → ดึงเข้า Cards พร้อม Column I = Version นั้น แล้วเขียน TC Retest</t>
  </si>
  <si>
    <t>Regression Plan</t>
  </si>
  <si>
    <t>ชีต Regression Plan: สรุปแผน/ผล Regression 10 หัวข้อ ดึงค่าอัตโนมัติ — กรอกเฉพาะช่องสีเหลือง: Test Start Date (B14), Duration (B15) และเกณฑ์ผ่าน (B79:B82)</t>
  </si>
  <si>
    <t>Regression Result Summary</t>
  </si>
  <si>
    <t>Dashboard › ★ Regression Result Summary (แถว 11–57): Overall Verdict รวม E2E + Cards + Card Test Cases, KPI 4 ช่อง, ตารางสรุป และกราฟ 7 อัน — หัวข้อ 1, 2, 3, 4, 7 ถูกยุบไว้ กด + ทางซ้ายเพื่อดู</t>
  </si>
  <si>
    <t>Auto-linked from 'E2E core flow', 'Cards', 'Card Test Cases' และ Dashboard — กรอกเฉพาะช่องสีเหลือง (ตัวอักษรสีน้ำเงิน)</t>
  </si>
  <si>
    <t>1. Test Information</t>
  </si>
  <si>
    <t>Item</t>
  </si>
  <si>
    <t>Value</t>
  </si>
  <si>
    <t>Source</t>
  </si>
  <si>
    <t>Project Name</t>
  </si>
  <si>
    <t>E2E core flow!B1</t>
  </si>
  <si>
    <t>Test Suite</t>
  </si>
  <si>
    <t>E2E core flow!B2</t>
  </si>
  <si>
    <t>Build / Version</t>
  </si>
  <si>
    <t>E2E core flow!B3</t>
  </si>
  <si>
    <t>Environment</t>
  </si>
  <si>
    <t>E2E core flow!B4</t>
  </si>
  <si>
    <t>Priority</t>
  </si>
  <si>
    <t>E2E core flow!B5</t>
  </si>
  <si>
    <t>Sprint / Cycle</t>
  </si>
  <si>
    <t>E2E core flow!D1</t>
  </si>
  <si>
    <t>Executed By</t>
  </si>
  <si>
    <t>E2E core flow!D2</t>
  </si>
  <si>
    <t>Executed Date</t>
  </si>
  <si>
    <t>E2E core flow!D3</t>
  </si>
  <si>
    <t>Last Executed Date (Auto)</t>
  </si>
  <si>
    <t>วันที่ล่าสุดจาก E2E + Card Test Cases</t>
  </si>
  <si>
    <t>Test Start Date</t>
  </si>
  <si>
    <t>Input — วันเริ่มทดสอบ (yyyy-mm-dd)</t>
  </si>
  <si>
    <t>Duration (Working Days)</t>
  </si>
  <si>
    <t>Input — จำนวนวันทำการ (จ.–ศ.)</t>
  </si>
  <si>
    <t>Test End Date</t>
  </si>
  <si>
    <t>Start + Duration − 1 (ไม่นับเสาร์–อาทิตย์)</t>
  </si>
  <si>
    <t>Timeline Status</t>
  </si>
  <si>
    <t>คำนวณจากวันที่ปัจจุบัน</t>
  </si>
  <si>
    <t>2. Regression Scope</t>
  </si>
  <si>
    <t>Scope</t>
  </si>
  <si>
    <t>Count</t>
  </si>
  <si>
    <t>Note</t>
  </si>
  <si>
    <t>E2E Scenarios – OPD</t>
  </si>
  <si>
    <t>Module = OPD</t>
  </si>
  <si>
    <t>E2E Scenarios – IPD</t>
  </si>
  <si>
    <t>Module = IPD</t>
  </si>
  <si>
    <t>E2E Scenarios – Other Modules</t>
  </si>
  <si>
    <t>Module อื่น</t>
  </si>
  <si>
    <t>E2E Scenarios – Total</t>
  </si>
  <si>
    <t>ทั้งหมดในชีต E2E core flow</t>
  </si>
  <si>
    <t>Cards (Feature cards)</t>
  </si>
  <si>
    <t>การ์ดที่ต้องทดสอบใน release นี้</t>
  </si>
  <si>
    <t>TC ทั้งหมดในชีต Card Test Cases</t>
  </si>
  <si>
    <t>Out of Scope / Canceled (E2E)</t>
  </si>
  <si>
    <t>ไม่นับใน Pass Rate</t>
  </si>
  <si>
    <t>Known Issue (Cards)</t>
  </si>
  <si>
    <t>Passed with Known Issue → ต้องแจ้งใน Release Note</t>
  </si>
  <si>
    <t>3. Pass / Fail Criteria (Overall Verdict)</t>
  </si>
  <si>
    <t>Verdict</t>
  </si>
  <si>
    <t>Condition</t>
  </si>
  <si>
    <t>Action</t>
  </si>
  <si>
    <t>NOT READY (NO-GO)</t>
  </si>
  <si>
    <t>มี Scenario / การ์ด / TC ที่ Failed หรือ Blocked หรือมี Bug Priority Urgent / High ที่ยังไม่ Fixed หรือการ์ด TOR / Urgent-High ยังไม่มีผล</t>
  </si>
  <si>
    <t>Log Bug / Hotfix ตาม Exit Criteria → Reject Build หากแก้ไม่ทัน</t>
  </si>
  <si>
    <t>IN PROGRESS</t>
  </si>
  <si>
    <t>ยังทดสอบไม่ครบ แต่ยังไม่เข้าเงื่อนไข NO-GO</t>
  </si>
  <si>
    <t>ทดสอบต่อจนครบ</t>
  </si>
  <si>
    <t>READY (GO)</t>
  </si>
  <si>
    <t>ทุกส่วนผ่าน (Passed / Cond. Passed) ไม่มี Blocking และผ่านเกณฑ์ข้อ 9</t>
  </si>
  <si>
    <t>Accept Build → Release</t>
  </si>
  <si>
    <t>Current Verdict</t>
  </si>
  <si>
    <t>Dashboard › Overall Verdict</t>
  </si>
  <si>
    <t>4. Exit Criteria</t>
  </si>
  <si>
    <t>Exit Criteria</t>
  </si>
  <si>
    <t>E2E core flow!B6</t>
  </si>
  <si>
    <t>5. Execution Status (E2E)</t>
  </si>
  <si>
    <t>Status</t>
  </si>
  <si>
    <t>Meaning</t>
  </si>
  <si>
    <t>Counts toward</t>
  </si>
  <si>
    <t>ToDo</t>
  </si>
  <si>
    <t>ยังไม่เริ่มทดสอบ</t>
  </si>
  <si>
    <t>Ready for Testing</t>
  </si>
  <si>
    <t>พร้อมให้ทดสอบ (Build / ข้อมูลพร้อม)</t>
  </si>
  <si>
    <t>Testing</t>
  </si>
  <si>
    <t>อยู่ระหว่างทดสอบ</t>
  </si>
  <si>
    <t>Blocked</t>
  </si>
  <si>
    <t>ทดสอบต่อไม่ได้เพราะติด Defect / Environment</t>
  </si>
  <si>
    <t>NO-GO</t>
  </si>
  <si>
    <t>Done</t>
  </si>
  <si>
    <t>ทดสอบเสร็จ (ผลดูที่ Overall Verdict ของ Scenario)</t>
  </si>
  <si>
    <t>ตาม Verdict</t>
  </si>
  <si>
    <t>Out of Scope</t>
  </si>
  <si>
    <t>ไม่อยู่ใน Scope ของรอบนี้</t>
  </si>
  <si>
    <t>— (ไม่นับ)</t>
  </si>
  <si>
    <t>Canceled</t>
  </si>
  <si>
    <t>ยกเลิก Scenario ใน Cycle นี้</t>
  </si>
  <si>
    <t>6. Defect Severity</t>
  </si>
  <si>
    <t>Severity</t>
  </si>
  <si>
    <t>Open (E2E)</t>
  </si>
  <si>
    <t>Critical</t>
  </si>
  <si>
    <t>Blocker — ขวาง Core Flow ทำต่อไม่ได้</t>
  </si>
  <si>
    <t>Hotfix ด่วนตาม Exit Criteria → NO-GO</t>
  </si>
  <si>
    <t>High</t>
  </si>
  <si>
    <t>กระทบฟังก์ชันหลัก แต่มีทางเลี่ยง</t>
  </si>
  <si>
    <t>แก้ก่อน Release / Re-test</t>
  </si>
  <si>
    <t>Medium</t>
  </si>
  <si>
    <t>กระทบบางส่วน ไม่ขวาง Flow</t>
  </si>
  <si>
    <t>วางแผนแก้ใน Release ถัดไป (Risk Acceptance)</t>
  </si>
  <si>
    <t>Low</t>
  </si>
  <si>
    <t>เล็กน้อย / UI / ข้อความ</t>
  </si>
  <si>
    <t>Backlog</t>
  </si>
  <si>
    <t>Bug Priority (Auto) = Severity × Impact (Extensive / Significant / Moderate / Minor) — ดู Dashboard › 8b</t>
  </si>
  <si>
    <t>7. Test Classification (Dropdown ในชีต E2E core flow)</t>
  </si>
  <si>
    <t>Field</t>
  </si>
  <si>
    <t>Allowed Values</t>
  </si>
  <si>
    <t>Test Level</t>
  </si>
  <si>
    <t>Unit, Integration, System, Acceptance</t>
  </si>
  <si>
    <t>I</t>
  </si>
  <si>
    <t>Test Type</t>
  </si>
  <si>
    <t>Functional, UI/UX, Security, Performance, Integration</t>
  </si>
  <si>
    <t>J</t>
  </si>
  <si>
    <t>Test Intent</t>
  </si>
  <si>
    <t>Happy, Unhappy, Edge, Error</t>
  </si>
  <si>
    <t>K</t>
  </si>
  <si>
    <t>Flow Priority</t>
  </si>
  <si>
    <t>Urgent, High, Medium, Low</t>
  </si>
  <si>
    <t>L</t>
  </si>
  <si>
    <t>Impact</t>
  </si>
  <si>
    <t>Extensive, Significant, Moderate, Minor</t>
  </si>
  <si>
    <t>Q</t>
  </si>
  <si>
    <t>Root Cause</t>
  </si>
  <si>
    <t>Config, Master Data, Code Bug</t>
  </si>
  <si>
    <t>S</t>
  </si>
  <si>
    <t>8. Feature Card Result (Cards)</t>
  </si>
  <si>
    <t>Passed</t>
  </si>
  <si>
    <t>การ์ดผ่าน</t>
  </si>
  <si>
    <t>ผ่านแต่มี Known Issue → แจ้งใน Release Note (ข้อ 10)</t>
  </si>
  <si>
    <t>Failed</t>
  </si>
  <si>
    <t>มี Defect — ต้อง Re-test หลังแก้</t>
  </si>
  <si>
    <t>Not Tested</t>
  </si>
  <si>
    <t>ยังไม่ทดสอบ / รอ Fix</t>
  </si>
  <si>
    <t>No Result Yet</t>
  </si>
  <si>
    <t>ยังไม่กรอก Card Result</t>
  </si>
  <si>
    <t>Pass Rate (of Tested)</t>
  </si>
  <si>
    <t>(Passed + Known Issue) ÷ (Passed + Known Issue + Failed)</t>
  </si>
  <si>
    <t>9. Regression Result (Acceptance Threshold)</t>
  </si>
  <si>
    <t>Category</t>
  </si>
  <si>
    <t>Target (Pass ≥ / Known Issue ≤)</t>
  </si>
  <si>
    <t>Actual</t>
  </si>
  <si>
    <t>Passed / Total</t>
  </si>
  <si>
    <t>Result</t>
  </si>
  <si>
    <t>E2E Scenarios</t>
  </si>
  <si>
    <t>Cards (excl. Known Issue)</t>
  </si>
  <si>
    <t>Known Issue (Out of Scope) ≤</t>
  </si>
  <si>
    <t>Overall Regression Result</t>
  </si>
  <si>
    <t>หมายเหตุ: E2E = (Passed + Cond. Passed) ÷ Scenario ใน Scope ต้องได้ 100% | Cards = Passed ÷ (การ์ดทั้งหมด − Known Issue) ≥ 90% | TC = Passed ÷ TC ใน Scope ≥ 90% | Known Issue ÷ การ์ดทั้งหมด ≤ 10% — ผ่านครบ 4 ข้อจึง Accept Build (แก้เกณฑ์ได้ที่ช่องสีเหลือง)</t>
  </si>
  <si>
    <t>10. Out of Scope → Known Issue</t>
  </si>
  <si>
    <t>การ์ดที่ Card Result = "Passed with Known Issue" ในชีต Cards — ไม่นับใน Pass Rate ของ Cards และต้องระบุใน Release Note (ดึงอัตโนมัติ)</t>
  </si>
  <si>
    <t>Card No.</t>
  </si>
  <si>
    <t>Title</t>
  </si>
  <si>
    <t>Owner</t>
  </si>
  <si>
    <t>Card Priority</t>
  </si>
  <si>
    <t>Result Note</t>
  </si>
  <si>
    <t>Auto-calculated from 'E2E core flow', 'Cards' and 'Card Test Cases'. Do not overwrite formulas.</t>
  </si>
  <si>
    <t>1. Process &amp; Progress Funnel</t>
  </si>
  <si>
    <t>Total Scope</t>
  </si>
  <si>
    <t>Execution Rate</t>
  </si>
  <si>
    <t>Completion Rate</t>
  </si>
  <si>
    <t>Release Readiness / Pass Rate</t>
  </si>
  <si>
    <t>Total test scenarios in this cycle</t>
  </si>
  <si>
    <t>% of scope started (Testing / Blocked / Done)</t>
  </si>
  <si>
    <t>% of scope tested to a final result</t>
  </si>
  <si>
    <t>(Passed + Cond. Passed) / (Passed + Cond. Passed + Failed) — Failed นับทันทีแม้ยังไม่ Done</t>
  </si>
  <si>
    <t>★ Regression Result Summary — Overall Verdict  (E2E Core Flow · Cards · Card Test Cases)</t>
  </si>
  <si>
    <t>OVERALL VERDICT</t>
  </si>
  <si>
    <t>E2E Core Flow (Scenarios)</t>
  </si>
  <si>
    <t>Cards (Card Result by QA Site)</t>
  </si>
  <si>
    <t>Open E2E Bugs &amp; Release Blockers</t>
  </si>
  <si>
    <t>Area</t>
  </si>
  <si>
    <t>Cond. Passed / Known Issue</t>
  </si>
  <si>
    <t>Not Run / Pending</t>
  </si>
  <si>
    <t>Total</t>
  </si>
  <si>
    <t>% Evaluated</t>
  </si>
  <si>
    <t>Pass Rate</t>
  </si>
  <si>
    <t>Area Verdict</t>
  </si>
  <si>
    <t>E2E Core Flow</t>
  </si>
  <si>
    <t>Overall (รวม 3 ส่วน)</t>
  </si>
  <si>
    <t>2a. Quality Breakdown - E2E Core Flow</t>
  </si>
  <si>
    <t>2b. Quality Breakdown - Cards Scope</t>
  </si>
  <si>
    <t>Overall Verdict</t>
  </si>
  <si>
    <t>% of Total</t>
  </si>
  <si>
    <t>Metric</t>
  </si>
  <si>
    <t>% of Scope</t>
  </si>
  <si>
    <t>Total Scope (Cards)</t>
  </si>
  <si>
    <t>Conditionally Passed</t>
  </si>
  <si>
    <t>Cards Passed</t>
  </si>
  <si>
    <t>Cards Cond. Passed</t>
  </si>
  <si>
    <t>Cards Failed (via E2E)</t>
  </si>
  <si>
    <t>Not Run</t>
  </si>
  <si>
    <t>Cards Blocked</t>
  </si>
  <si>
    <t>Out of Scope / Canceled (excluded)</t>
  </si>
  <si>
    <t>Cards Pending (Not Run / Pending Mapping)</t>
  </si>
  <si>
    <t>Total Scenarios</t>
  </si>
  <si>
    <t>Critical / High Defects</t>
  </si>
  <si>
    <t>3. Risk &amp; Action Required</t>
  </si>
  <si>
    <t>Open E2E Bugs — Severity × Impact (SOP-QA-CORTEX-01 · cell color = Bug Priority)</t>
  </si>
  <si>
    <t>Bottlenecks - Blocked &amp; Returned Items</t>
  </si>
  <si>
    <t>Severity \ Impact</t>
  </si>
  <si>
    <t>Extensive</t>
  </si>
  <si>
    <t>Significant</t>
  </si>
  <si>
    <t>Moderate</t>
  </si>
  <si>
    <t>Minor</t>
  </si>
  <si>
    <t>Total Open</t>
  </si>
  <si>
    <t>Item ID</t>
  </si>
  <si>
    <t>Scenario / Card Title</t>
  </si>
  <si>
    <t>Owner / Tester</t>
  </si>
  <si>
    <t>Remark / Reason</t>
  </si>
  <si>
    <t>Urgent = แก้ทันที (Hotfix) · High = ก่อนปิด Sprint · Medium = Sprint ถัดไป · Low = เมื่อมีเวลา — Bug ที่ยังไม่กรอก Impact ไม่ถูกนับในตารางนี้ (ดู 8b แถว "ยังไม่ระบุ")</t>
  </si>
  <si>
    <t>Execution Status Breakdown</t>
  </si>
  <si>
    <t>Execution Status</t>
  </si>
  <si>
    <t>Scenarios</t>
  </si>
  <si>
    <t>Stalled items indicate an impediment</t>
  </si>
  <si>
    <t>Escalate in QA Chapter Sync</t>
  </si>
  <si>
    <t>Excluded from scope</t>
  </si>
  <si>
    <t>4. Environment Sign-off (ก่อนเริ่ม Day 1) — 1 File = 1 Environment (ดึงจาก E2E › B4) · ตรวจ 5 ข้อ: Environment / Version (SRE) · Master / Config (Dev) · Linear (QA Lead)</t>
  </si>
  <si>
    <t>Environment (SRE)</t>
  </si>
  <si>
    <t>Version (SRE)</t>
  </si>
  <si>
    <t>Master (Dev)</t>
  </si>
  <si>
    <t>Config (Dev)</t>
  </si>
  <si>
    <t>Linear (QA Lead)</t>
  </si>
  <si>
    <t>Signed off by (Dev / SRE / QA Lead)</t>
  </si>
  <si>
    <t>Sign-off Date</t>
  </si>
  <si>
    <t>Remark / Evidence Link</t>
  </si>
  <si>
    <t>5. Risk Log — บันทึกทุกเคสที่ยอมรับความเสี่ยง (Deferrable: PO / BA Lead = PO · Blocking ที่ได้ CF ในแชทกลุ่ม = CAB)</t>
  </si>
  <si>
    <t>ตัวอย่าง: TMH-1234 | Printing Receipt | Medium | ฟอนต์ใบเสร็จเหลื่อมเล็กน้อย | กระทบเฉพาะหน้าตา ไม่ส่งผลต่อยอดเงิน | PO | Khun PO-Name | 24/09/2026 | Sprint ถัดไป | ผ่านเกณฑ์</t>
  </si>
  <si>
    <t>Linear ID</t>
  </si>
  <si>
    <t>Module / Screen</t>
  </si>
  <si>
    <t>Bug Priority</t>
  </si>
  <si>
    <t>Issue Summary (อาการของบั๊ก)</t>
  </si>
  <si>
    <t>Risk Justification (เหตุผลที่ยอมรับความเสี่ยง)</t>
  </si>
  <si>
    <t>Approval Level (PO / CAB)</t>
  </si>
  <si>
    <t>Approved By</t>
  </si>
  <si>
    <t>Approved Date</t>
  </si>
  <si>
    <t>Target Sprint</t>
  </si>
  <si>
    <t>Remark</t>
  </si>
  <si>
    <t>6. Blocking List — สิ่งที่ขวาง Release (E2E Column Z + Cards Column L = Blocking) · ใช้ติดตามงานกับ Dev Lead</t>
  </si>
  <si>
    <t>Scenario / Card ID</t>
  </si>
  <si>
    <t>Defect ID / Result Note</t>
  </si>
  <si>
    <t>Bug / Card Priority</t>
  </si>
  <si>
    <t>Tester</t>
  </si>
  <si>
    <t>Remark / Card Result</t>
  </si>
  <si>
    <t>7. Test Progress — ภาพรวม 3 Sheet (E2E Scenario · Cards · Card Test Cases)</t>
  </si>
  <si>
    <t>Total (in scope)</t>
  </si>
  <si>
    <t>TOR / Urgent-High ยังไม่มีผล</t>
  </si>
  <si>
    <t>Scenarios (E2E core flow)</t>
  </si>
  <si>
    <t>Cards — E2E Status (Auto)</t>
  </si>
  <si>
    <t>-</t>
  </si>
  <si>
    <t>Cards — Card Result (ตัดสินโดย QA Site)</t>
  </si>
  <si>
    <t>8. Defect &amp; Gate Summary — Bug ใน E2E (Bug ของการ์ดดูที่ Sub-issue ใน Linear และ Card Result) · Open = Defect Status ≠ Fixed – Retest Passed</t>
  </si>
  <si>
    <t>8a. E2E Bug by Severity</t>
  </si>
  <si>
    <t>8b. E2E Bug by Bug Priority (Severity × Impact)</t>
  </si>
  <si>
    <t>E2E Total</t>
  </si>
  <si>
    <t>E2E Open</t>
  </si>
  <si>
    <t>SLA / Action</t>
  </si>
  <si>
    <t>Urgent</t>
  </si>
  <si>
    <t>แก้ทันที (Hotfix) — Blocking จนกว่าจะ Fixed หรือได้ CF</t>
  </si>
  <si>
    <t>แก้ก่อนปิด Sprint — Blocking จนกว่าจะ Fixed หรือได้ CF</t>
  </si>
  <si>
    <t>Sprint ถัดไป — Risk Acceptance (PO)</t>
  </si>
  <si>
    <t>เมื่อมีเวลา / รวมกับงาน UI</t>
  </si>
  <si>
    <t>ยังไม่ระบุ Severity + Impact</t>
  </si>
  <si>
    <t>QA Site กรอก Severity + Impact ให้ครบ (นับเป็น Blocking ไว้ก่อน)</t>
  </si>
  <si>
    <t>8c. Release Gate &amp; Risk Acceptance</t>
  </si>
  <si>
    <t>8d. E2E Root Cause (Open)</t>
  </si>
  <si>
    <t>Blocking — E2E (Column Z)</t>
  </si>
  <si>
    <t>Bug Urgent / High หรือ Scenario Failed → NO-GO จนกว่าจะ Fixed หรือได้ CF</t>
  </si>
  <si>
    <t>Config</t>
  </si>
  <si>
    <t>Blocking — Cards (Column L)</t>
  </si>
  <si>
    <t>Card Result = Failed / Not Tested ของการ์ด TOR หรือ Urgent / High → NO-GO</t>
  </si>
  <si>
    <t>Master Data</t>
  </si>
  <si>
    <t>Accepted by CF (CAB)</t>
  </si>
  <si>
    <t>ได้ CF ในแชทกลุ่ม · บันทึก Risk Log (CAB)</t>
  </si>
  <si>
    <t>Code Bug</t>
  </si>
  <si>
    <t>Deferrable — E2E + Cards</t>
  </si>
  <si>
    <t>PO / BA ทำ Risk Acceptance → Backlog Sprint ถัดไป</t>
  </si>
  <si>
    <t>ยังไม่ระบุ</t>
  </si>
  <si>
    <t>Pending Risk Acceptance</t>
  </si>
  <si>
    <t>Deferrable ที่ยังไม่มีแถวใน Risk Log — ต้องเป็น 0 ก่อน Release Decision</t>
  </si>
  <si>
    <t>Known Issue — Cards</t>
  </si>
  <si>
    <t>QA Site + QA Lead ยืนยัน · Sub-issue + Label regression-fail / v{X}</t>
  </si>
  <si>
    <t>Carry Over — Cards (Not Tested)</t>
  </si>
  <si>
    <t>การ์ดที่ไม่ใช่ TOR / Urgent-High ที่เทสไม่ทัน → Label regression-fail / v{X} ที่การ์ด</t>
  </si>
  <si>
    <t>Retest Carried from Previous Version</t>
  </si>
  <si>
    <t>การ์ดที่ยกมาจาก Version ก่อน (Cards Column I)</t>
  </si>
  <si>
    <t>9. Tester Workload — ใครเทสอะไร (E2E Scenario + Card Test Cases · รายชื่อดึงจากคอลัมน์ Tester อัตโนมัติ)</t>
  </si>
  <si>
    <t>Scenarios มีผลแล้ว</t>
  </si>
  <si>
    <t>Test Cases</t>
  </si>
  <si>
    <t>TC มีผลแล้ว</t>
  </si>
  <si>
    <t>Bug ที่พบ (Open)</t>
  </si>
  <si>
    <t>10. Module Coverage &amp; Risk — Module ดึงจาก Ownership Matrix (ชื่อ Module ใน E2E Column B ต้องตรงกัน)</t>
  </si>
  <si>
    <t>Module</t>
  </si>
  <si>
    <t>Open Urgent</t>
  </si>
  <si>
    <t>Open High</t>
  </si>
  <si>
    <t>Open Medium</t>
  </si>
  <si>
    <t>Open Low</t>
  </si>
  <si>
    <t>Blocking / CF</t>
  </si>
  <si>
    <t>Project Name:</t>
  </si>
  <si>
    <t>Cortex HIS (SBH)</t>
  </si>
  <si>
    <t>Sprint / Cycle:</t>
  </si>
  <si>
    <t>Test Suite:</t>
  </si>
  <si>
    <t>E2E (Core Flow)</t>
  </si>
  <si>
    <t>Executed By:</t>
  </si>
  <si>
    <t>Build / Version:</t>
  </si>
  <si>
    <t>Executed Date:</t>
  </si>
  <si>
    <t>yyyy-mm-dd hh:mm</t>
  </si>
  <si>
    <t>Tested Environment:</t>
  </si>
  <si>
    <t>demo-x</t>
  </si>
  <si>
    <t>Execution Summary:</t>
  </si>
  <si>
    <t xml:space="preserve">Priority: </t>
  </si>
  <si>
    <t>Overall Verdict:</t>
  </si>
  <si>
    <t>Exit Criteria:</t>
  </si>
  <si>
    <t>หากพบ Bug Priority Urgent / High ให้ log bug เพื่อแก้ด่วน โดย Developer ต้องส่งมอบแก้ไขภายใน [ระบุเวลา เช่น 2–4 ชม.] มิฉะนั้นจะดำเนินการ Reject Build ทันที</t>
  </si>
  <si>
    <t>% Release Readiness:</t>
  </si>
  <si>
    <t>⚙️ ช่องพื้นสีเทา = ระบบคำนวณอัตโนมัติ (Auto) — ห้ามแก้ไข / ไม่ต้องกรอก</t>
  </si>
  <si>
    <t>[รอใส่ลิงก์ SOP ของ H LAB จริง] ← วาง URL ทับช่องนี้</t>
  </si>
  <si>
    <t>Scenario ID / Test Case ID</t>
  </si>
  <si>
    <t>Module / Flow</t>
  </si>
  <si>
    <t>Feature / Scenario Scope</t>
  </si>
  <si>
    <t>Scenario Name / Title</t>
  </si>
  <si>
    <t>Business Flow / Test Steps</t>
  </si>
  <si>
    <t>Test Data / Prerequisite</t>
  </si>
  <si>
    <t>Related Card ID(s)</t>
  </si>
  <si>
    <t>Expected Result</t>
  </si>
  <si>
    <t>Actual Result</t>
  </si>
  <si>
    <t>Defect ID / Issue Link</t>
  </si>
  <si>
    <t>Defect Severity / Blocker?</t>
  </si>
  <si>
    <t>Bug Priority (Auto)</t>
  </si>
  <si>
    <t>Defect Status</t>
  </si>
  <si>
    <t>Executed Date (yyyy-mm-dd)</t>
  </si>
  <si>
    <t>Overall Verdict (Auto)</t>
  </si>
  <si>
    <t>Remark / Notes</t>
  </si>
  <si>
    <t>Owner Team (Auto)</t>
  </si>
  <si>
    <t>Release Gate (Auto)</t>
  </si>
  <si>
    <t>Dropdown / Text (เช่น OPD, IPD, Billing)</t>
  </si>
  <si>
    <t>Text (เช่น ลงทะเบียนก่อนเข้าตรวจ OPD)</t>
  </si>
  <si>
    <t>Text (เช่น ผู้ป่วย Walk-in ทำก่อนคัดกรองเบื้องต้น...)</t>
  </si>
  <si>
    <t>Multi-line Text (ข้อความระบุ [1], [2], [3])</t>
  </si>
  <si>
    <t>Text (เช่น HN ผู้ป่วย, สิทธิการรักษา, User แพทย์)</t>
  </si>
  <si>
    <t>Formula: Card ID - Title + (Card Priority · TOR | Card Result | TC ผ่าน/ทั้งหมด | Release Gate) ดึงจาก Cards ตาม Map to Scenario ID</t>
  </si>
  <si>
    <t>Multi-line Text (State change, UI, Database)</t>
  </si>
  <si>
    <t>Dropdown: Unit, Integration, System, Acceptance</t>
  </si>
  <si>
    <t>Dropdown: Functional, UI/UX, Security, Performance, Integration</t>
  </si>
  <si>
    <t>Dropdown: Happy, Unhappy,Edge,Error</t>
  </si>
  <si>
    <t>Dropdown: Urgent, High, Medium, Low — QA Site / BA กรอกให้ครบตั้งแต่ Day 0 (ว่าง = นับเป็น Urgent / High) · Protect หลัง Day 0</t>
  </si>
  <si>
    <t>Dropdown: ToDo, Ready for Testing, Testing, Blocked, Done, Canceled (สถานะการทำงานเท่านั้น — ห้ามมี Passed/Failed)</t>
  </si>
  <si>
    <t>Text / Log / ข้อความ Error</t>
  </si>
  <si>
    <t>ใส่ Defect ID ของทุกบั๊กที่พบใน Scenario นี้ (รวมบั๊กจากฟีเจอร์ของการ์ดที่ผูกกับ Scenario) เช่น CTX-3462</t>
  </si>
  <si>
    <t>Dropdown: Critical, High, Medium, Low (เว้นว่าง = ไม่พบ Defect)</t>
  </si>
  <si>
    <t>Dropdown: Extensive (ทั้ง รพ. / หลายโมดูล) · Significant (หลายหอผู้ป่วย / ทีม) · Moderate (หอผู้ป่วยเดี่ยว / กลุ่มผู้ใช้) · Minor (ผู้ใช้เดี่ยว / เฉพาะกรณี) — กรอกเมื่อมี Defect ID</t>
  </si>
  <si>
    <t>Formula (ห้ามแก้มือ): Severity × Impact → Urgent / High / Medium / Low (ตรงกับ Priority ใน Linear) ตาม Matrix ใน SOP-QA-CORTEX-01</t>
  </si>
  <si>
    <t>Dropdown: Config, Master Data, Code Bug — กรอกเมื่อมี Defect ID</t>
  </si>
  <si>
    <t>Dropdown: Open / Fixed – Retest Passed — ว่าง = Open | เปลี่ยนเป็น Fixed – Retest Passed เมื่อผ่าน Direct Fix + Impact Area แล้วเท่านั้น</t>
  </si>
  <si>
    <t>Text (เช่น Harry)</t>
  </si>
  <si>
    <t>Date (yyyy-mm-dd) — QA กรอกเอง ไม่ใช้สูตร</t>
  </si>
  <si>
    <t>Formula (ห้ามแก้มือ): Out of Scope/Canceled → Out of Scope | Blocked → Blocked | มีบั๊กที่ยังไม่ Fixed (Defect ID หรือ Severity) → Highest Priority Wins: Flow หรือ Card Priority เป็น Urgent/High/ว่าง → Failed | ทั้งหมด Medium/Low → Conditionally Passed | Done + ไม่มีบั๊ก หรือบั๊ก Fixed – Retest Passed → Passed | อื่นๆ → Not Run</t>
  </si>
  <si>
    <t>Formula: ทีมเจ้าของจากชีต Ownership Matrix ตาม Module (คอลัมน์ B) — ใช้ใน Step 2 ของการส่งบั๊ก</t>
  </si>
  <si>
    <t>Formula (ห้ามแก้มือ): Bug ที่ยังไม่ Fixed → Blocking (Verdict = Failed หรือ Bug Priority Urgent / High / ยังไม่ระบุ) · Accepted (CF) (มีแถว CAB ใน Risk Log) · Deferrable (ที่เหลือ → Risk Acceptance โดย PO)</t>
  </si>
  <si>
    <t>SMK-OPD-001</t>
  </si>
  <si>
    <t>OPD</t>
  </si>
  <si>
    <t>ลงทะเบียนก่อนเข้าตรวจ OPD</t>
  </si>
  <si>
    <t xml:space="preserve">ผู้ป่วย Walk-in ทำก่อนคัดกรองเบื้องต้น และลงทะเบียนที่เวชระเบียน ก่อนเข้าคิวตรวจ OPD </t>
  </si>
  <si>
    <t>System</t>
  </si>
  <si>
    <t>Functional</t>
  </si>
  <si>
    <t>Happy</t>
  </si>
  <si>
    <t>SMK-OPD-002</t>
  </si>
  <si>
    <t>พยาบาลคัดกรองผู้ป่วย</t>
  </si>
  <si>
    <t>ผู้ป่วย Walk-in มายังคลินิก และคัดกรองโดยพยาบาล</t>
  </si>
  <si>
    <t>SMK-OPD-003</t>
  </si>
  <si>
    <t>แพทย์ตรวจ + วินิจฉัย + สั่ง Order (Lab/X-ray/ยา)</t>
  </si>
  <si>
    <t>พยาบาลเรียกคิวตรวจผู้ป่วย OPD และ Order (Lab/X-ray/ยา)</t>
  </si>
  <si>
    <t>SMK-OPD-004</t>
  </si>
  <si>
    <t>[1] พยาบาลเข้าสู่เมนูผู้ป่วยนอก &gt;&gt; เข้าสู่ Service Unit หรือ Location คลินิก
[2] พยาบาลกดเข้าสู่ข้อมูลผู้ป่วย หรือ ค้นหาจาก HN &gt;&gt; กดเข้าประวัติผู้ป่วย&gt;&gt; ตรวจสอบ Order ที่แพทย์สั่ง หรือหากมีคำสั่ง รคส [รคส คือการสั่งแทนแพทย์]
[3] พยาบาลแจ้งให้ผู้ป่วยไปชำระเงินก่อน กรณีที่มีการสั่ง LAB หรือ รังสี</t>
  </si>
  <si>
    <t>- พยาบาลเปิดดู OPD Note ของผู้ป่วยได้ถูกต้อง และมองเห็นข้อความในฟิลด์ "Note to Nurse" กรณีมีการสั่ง รคส อย่างครบถ้วน
- รายการ Order Lab และรังสีที่แพทย์สั่งแสดงสถานะเป็น "รอชำระเงิน" หรือ "ยังไม่ได้ชำระ"
- ระบบแสดงคำแนะนำ/ข้อความแจ้งเตือนให้ส่งผู้ป่วยไปชำระเงินก่อนเข้ารับการตรวจ Lab/X-ray</t>
  </si>
  <si>
    <t>SMK-OPD-005</t>
  </si>
  <si>
    <t>ห้องการเงิน ผู้ป่วยชำระเงิน</t>
  </si>
  <si>
    <t>ผู้ป่วยชำระเงิน กรณีที่มีการสั่ง LAB หรือ รังสี จากแพทย์</t>
  </si>
  <si>
    <t>SMK-OPD-006</t>
  </si>
  <si>
    <t xml:space="preserve">ผู้ป่วยไปยังห้อง LAB เพื่อเก็บ Specimen </t>
  </si>
  <si>
    <t>ผู้ป่วยไปยังห้อง LAB เพื่อเก็บ Specimen ที่ Center LAB ชั้น 3 และส่ง Specimen ไปห้องปฏิบัติการ ชั้น 6</t>
  </si>
  <si>
    <t>- เจ้าหน้าที่ Center Lab ชั้น 3 เช็คอินรับคิวได้ และพิมพ์สติกเกอร์บาร์โค้ด HN/Lab No. ออกมาติดหลอดส่งตรวจได้ถูกต้อง
- เมื่อกดเปลี่ยนสถานะเป็น "เก็บแล้ว" ข้อมูลวิ่งไปปรากฏที่หน้าจอห้องปฏิบัติการ ชั้น 6
- ห้องปฏิบัติการ ชั้น 6 สามารถกดยืนยันสถานะ "รับแล้ว" ได้ถูกต้อง
- เมื่อกรอกและบันทึกผล Lab สถานะในระบบอัปเดตเป็น "เสร็จสิ้น (Completed / Approved)"
- ผลการตรวจ Lab ไหลเข้าสู่ระบบ EMR ของผู้ป่วยทันที และแสดงผลพร้อมให้แพทย์เปิดดูในห้องตรวจ</t>
  </si>
  <si>
    <t>SMK-OPD-007</t>
  </si>
  <si>
    <t>แพทย์กรอกข้อมูล Diagnosis + แจ้งผล หลังจากได้รับผล LAB หรือ รังสี</t>
  </si>
  <si>
    <t>แพทย์กรอกข้อมูล  OPD Note เพิ่มเติม + แจ้งผล LAB หรือ รังสี</t>
  </si>
  <si>
    <t>SMK-OPD-008</t>
  </si>
  <si>
    <t>SMK-IPD-001</t>
  </si>
  <si>
    <t>IPD</t>
  </si>
  <si>
    <t>ผู้ป่วยใน → รายการผู้ป่วยเตรียมเข้า</t>
  </si>
  <si>
    <t>พยาบาล Ward เปิดรายการผู้ป่วนเตรียมเข้า หอผู้ป่วยใน</t>
  </si>
  <si>
    <t>[1] พยาบาล Ward เข้าเมนู ผู้ป่วยใน → เลือก หอผู้ป่วย → กด ส่ง
[2] พยาบาล Ward เข้า Tab ผู้ป่วยเตรียมเข้า
[3] พยาบาล Ward เข้า Tab ผู้ป่วยเตรียมเข้า → เลือก เพิ่มผู้ป่วยลงเตียง → พยาบาล Ward จัดการข้อมูลผู้ป่วย → กด ยืนยัน
[4] พยาบาล Ward เข้าเมนู ผู้ป่วยใน → เลือก หอผู้ป่วย → กด ส่ง
[5] พยาบาล Ward เข้า Tab เตียงทั้งหมด</t>
  </si>
  <si>
    <t>- หน้าจอหอผู้ป่วยแสดงรายชื่อผู้ป่วยที่จองเตียงไว้ในแท็บ "ผู้ป่วยเตรียมเข้า" ถูกต้อง
- พยาบาลกด "เพิ่มผู้ป่วยลงเตียง" และยืนยันข้อมูลแรกรับเข้าสู่ Ward ได้สำเร็จ
- สถานะผู้ป่วยเปลี่ยนเป็น "Admitted (ครองเตียง)"
- เมื่อตรวจสอบที่แท็บ "เตียงทั้งหมด" สถานะเตียงเปลี่ยนเป็นสีเตียงไม่ว่าง (Occupied) พร้อมแสดงชื่อและ AN ของคนไข้</t>
  </si>
  <si>
    <t>SMK-IPD-002</t>
  </si>
  <si>
    <t>ผู้ป่วยใน → รายการผู้ป่วยเตรียมเข้า → นำผู้ป่วยเข้าเตียง</t>
  </si>
  <si>
    <t>พยาบาล Ward นำผู้ป่วยเข้าเตียงที่หอผู้ป่วยใน</t>
  </si>
  <si>
    <t>[1] พยาบาล Ward เข้า Tab ผู้ป่วยเตรียมเข้า → เลือก เพิ่มผู้ป่วยลงเตียง → พยาบาล Ward จัดการข้อมูลผู้ป่วย → กด ยืนยัน</t>
  </si>
  <si>
    <t>SMK-IPD-003</t>
  </si>
  <si>
    <t>ผู้ป่วยใน → รายการเตียงทั้งหมด</t>
  </si>
  <si>
    <t>พยาบาล Ward ตรวจสอบรายการเตียงทั้งหมด</t>
  </si>
  <si>
    <t>[1] พยาบาล Ward เข้าเมนู ผู้ป่วยใน → เลือก หอผู้ป่วย → กด ส่ง 
[2] พยาบาล Ward เข้า Tab เตียงทั้งหมด</t>
  </si>
  <si>
    <t>SMK-IPD-004</t>
  </si>
  <si>
    <t>แพทย์บันทึกข้อมูลอาการผู้ป่วย</t>
  </si>
  <si>
    <t>แพทย์บันทึก Admission Note, Problem Lis</t>
  </si>
  <si>
    <t>[1] แพทย์ เข้าเมนู "ผู้ป่วยใน" 
[2] แพทย์ บันทึก Admission Note, Problem List</t>
  </si>
  <si>
    <t>SMK-IPD-005</t>
  </si>
  <si>
    <t>พยาบาลบันทึกข้อมูลอาการของผู้ป่วยที่โฟกัส</t>
  </si>
  <si>
    <t>พยาบาลบันทึก Focus List</t>
  </si>
  <si>
    <t>[1] พยาบาล เข้าเมนู "ผู้ป่วยใน" 
[2] พยาบาล บันทึก Focus List</t>
  </si>
  <si>
    <t>SMK-IPD-006</t>
  </si>
  <si>
    <t>แพทย์ Round ตรวจและสั่ง Order ยา/Lab/X-ray แบบ ONE DAY และ CONTINUE ให้ผู้ป่วย IPD</t>
  </si>
  <si>
    <t>[1] แพทย์ เข้าเมนู "ผู้ป่วยใน"
[2] แพทย์ Round ตรวจอาการ + บันทึก Progress Note
[3] แพทย์กดเปิด Tab "Physician Order"
[4] แพทย์เลือกประเภทที่ Order Search: ปุ่ม Toggle "One Day Order" / "Continue Order"
[5] แพทย์ค้นหา Item ที่ช่องค้นหา "ค้นหา ยา, เวชภัณฑ์, แล็บ, รังสี, หัตถการ..." (หรือใช้ทางลัด: Order Set / Remed / Re-Lab / Re-Imaging / Order Checklist)
[6] แพทย์เลือก Item จากผลค้นหา → กดปุ่ม "เพิ่มออเดอร์" (วนซ้ำ step 4-5 ได้หลาย Item ทั้งยา/Lab/Xray ผสมกันในรอบเดียว)
[7] แพทย์กดปุ่ม "บันทึก" (มุมขวาบนของ Physician Order)
[8] ระบบย้าย Item ทั้งหมดไปแสดงที่ Tab "IPD Summary" โดยจัดกลุ่มตามประเภท:
    [8a] กลุ่ม "ORDER FOR ONE DAY"
    [8b] กลุ่ม "ORDER FOR CONTINUE" (ถ้าเลือกไว้ตอน step 3)
[9] แพทย์กดปุ่ม "Sign" ทีละรายการ หรือกดปุ่ม "Sign All" เพื่อเซ็นยืนยันทั้งหมดในกลุ่มพร้อมกัน [Status Order = "รอรับ"]</t>
  </si>
  <si>
    <t>- บันทึก Progress Note ประจำวันลงในชาร์ตผู้ป่วยสำเร็จ
- สามารถสลับ Toggle สั่งรายการทั้งแบบ One Day Order และ Continue Order ได้ในคราวเดียวกัน
- เมื่อกดบันทึก ข้อมูลถูกแยกกลุ่มในหน้า IPD Summary ออกเป็นหมวด "ORDER FOR ONE DAY" และ "ORDER FOR CONTINUE" อย่างถูกต้อง
- เมื่อกด Sign หรือ Sign All ระบบลงลายมือชื่อแพทย์ดิจิทัล และปรับสถานะของคำสั่งเป็น "รอรับ (Pending Acknowledgement)" เพื่อส่งต่อไปยังพยาบาล</t>
  </si>
  <si>
    <t>SMK-IPD-007</t>
  </si>
  <si>
    <t>พยาบาลตรวจสอบ Order ยา และ Confirm รายการยา</t>
  </si>
  <si>
    <t>พยาบาลตรวจสอบและ Confirm รายการยาผู้ป่วย IPD ต่อเนื่องจากแพทย์สั่ง Order ทั้งแบบ ONE DAY และ CONTINUE ตามรอบให้ยาแต่ละวัน</t>
  </si>
  <si>
    <t>[1] พยาบาลเข้าเมนู "ผู้ป่วยใน" → "รายการเตียง" → เลือกหอผู้ป่วย/Ward
[2] พยาบาลกดเลือกคนไข้ → เข้าสู่หน้า "Patient IPD Summary"
[3] พยาบาลดูรายการ Order ที่แพทย์ Sign แล้ว (สถานะ "รอรับ" จาก SC7) แบ่งเป็น 2 คอลัมน์:
     [3a] คอลัมน์ "ORDER FOR ONE DAY"
     [3b] คอลัมน์ "NEW ORDER FOR CONTINUE"
[4] พยาบาลตรวจสอบรายการยาแต่ละรายการ (ชื่อยา, ขนาด, วิธีให้ — เช่น "1 tab PO tid")
[5] พยาบาลกดปุ่ม "รับออเดอร์" ที่รายการยานั้นๆ
[6] ระบบส่งรายการยาที่กด "รับออเดอร์" ไปที่ห้องยา (เภสัชกรรม) ต่อไป</t>
  </si>
  <si>
    <t>- หน้า Patient IPD Summary แสดงรายการคำสั่งแพทย์ที่ Sign แล้วแยก 2 คอลัมน์ชัดเจน
- พยาบาลตรวจสอบความถูกต้อง (ชื่อยา, ขนาดยา, Route, ความถี่) ได้ถูกต้อง
- เมื่อกดปุ่ม "รับออเดอร์" สถานะคำสั่งยาเปลี่ยนเป็น "รับแล้ว (Confirmed)"
- ข้อมูลรายการยาที่ยืนยันแล้วถูกส่งต่อเข้าสู่คิวจัดการสั่งยาของห้องยาผู้ป่วยในทันที</t>
  </si>
  <si>
    <t>SMK-IPD-008</t>
  </si>
  <si>
    <t>เภสัชกรรมจ่ายยา IPD [ONE DAY] (สร้างใบยา) → ชำระเงิน → เภสัชกรรม จ่ายยา → พยาบาล Ward</t>
  </si>
  <si>
    <t>เภสัชกรจ่ายยาผู้ป่วย IPD แยกตามประเภท Order ONE DAY (จ่ายครั้งเดียว) และต้องชำระเงิน</t>
  </si>
  <si>
    <t>[1] เภสัชกรเข้าเมนู "ห้องยาผู้ป่วยใน" → "ผู้ป่วยใน" → "จัดการสั่งยา" → Tab "Order รอยืนยัน" (รับต่อจาก SC8 ที่พยาบาลกด "รับออเดอร์" แล้ว)
[2] ระบบแสดงรายการยาของผู้ป่วย พร้อมวิธีการรับยา
[3] เภสัชกรกดเลือกรายการ Order ผู้ป่วย
[4] ระบบแสดงหน้า Profile ผู้ป่วย พร้อมหน้า "สร้างใบยา" (สถานะแสดง: "Order รอยืนยัน" | "รอชำระ" | "IPD" | AN)
     [4a] แสดงรายการ ONE DAY
     [4b] แสดงรายการ CONTINUE [SC10]
[5] เภสัชกรตรวจสอบความถูกต้องรายการยาที่พยาบาลยืนยัน Order มาทั้งหมด
[6] เภสัชกร กดปุ่ม "สร้างใบยา" (ตรวจสอบรายการยา + Drug Interaction/Allergy check)
[7] ระบบสร้างใบยา + Print ฉลากยาอัตโนมัติทันที (auto print)(default checked)
[8] เภสัชกรรม: ยืนยันใบยา → ส่งไปแผนกการเงิน และ ระบบตัด Stock ยา (hiventory)
[9] ระบบย้ายรายการยาไปแสดงที่ Tab "ใบยารอจัด"
[10] เภสัชกรรม: ยืนยันจ่ายยา + จ่ายยา (auto print ใบยารายการยา) + เจ้าหน้าที่มารับยา หรือ ส่งกระสวย
[11] รายการยาจะไปแสดงที่ e-MAR
[12] พยาบาล Ward ทำการจ่ายยา e-MAR (in development process)</t>
  </si>
  <si>
    <t>- หน้าจอห้องยา IPD แสดงรายการยาในแท็บ "Order รอยืนยัน" ครบถ้วนตาม AN
- การสร้างใบยาสั่งพิมพ์ฉลากยาอัตโนมัติ และระบบทำการ ตัดสต็อกยาในคลัง (hiventory) สำเร็จ
- ข้อมูลค่าใช้จ่ายถูกส่งไปบันทึกตั้งหนี้ในระบบการเงิน IPD
- ย้ายสถานะไปแท็บ "ใบยารอจัด" และเมื่อกดยืนยันจ่ายยา ระบบสั่ง Auto-print ใบนำจ่ายยา
- รายการยา ONE DAY ปรากฏขึ้นในตาราง e-MAR ของ Ward เพื่อให้พยาบาลบริหารยาตามเวลา</t>
  </si>
  <si>
    <t>SMK-IPD-009</t>
  </si>
  <si>
    <t>เภสัชกรรมจ่ายยา IPD [CONTINUE](สร้างใบยา) → เภสัชกรรม จ่ายยา → พยาบาล Ward</t>
  </si>
  <si>
    <t>เภสัชกรจ่ายยาผู้ป่วย IPD แยกตามประเภท และ CONTINUE (จ่ายซ้ำทุกวันตาม EMAR) โดยไม่รอการชำระเงิน</t>
  </si>
  <si>
    <t>[1] เภสัชกรเข้าเมนู "ห้องยาผู้ป่วยใน" → "ผู้ป่วยใน" → "รับ Continue Order ประจำวัน"
[2] ค้นหา และ เลือกหอผู้ป่วย กดปุ่ม ค้นหา → จะแสดงรายการผู้ป่วยที่ต้องการ ที่ tab รายการผู้ป่วย
[3] เลือกผู้ป่วย → กดปุ่ม Generate ที่เลือก (จำนวนที่เลือก) หรือ Generate ผู้ป่วยที่พร้อมทั้งหมด (จำนวนที่มียา Continue)
[4] เภสัชกร กดปุ่ม Generate ที่เลือก (จำนวนที่เลือก)
[5] ระบบแสดง รายการใบยา Continue ที่ tab รายการใบยา Continue
[6] เภสัชกร เลือกรายการยา พร้อม พิมพ์ใบยา และ พิมพ์ฉลากยา
[7] เภสัชกร กดปุ่ม จ่ายยา (ได้ทั้งแบบทีละรายการ และ แบบหลายรายการ)
[8] รายการยาจะไปแสดงที่ e-MAR
[9] พยาบาล Ward ทำการจ่ายยา e-MAR (in development process)</t>
  </si>
  <si>
    <t>- ค้นหาตาม Ward แล้วแสดงเฉพาะผู้ป่วยที่มีรายการยาแบบ Continue ประจำรอบได้ถูกต้อง
- การกดปุ่ม "Generate" สามารถสร้างชุดใบยา Continue ได้ทั้งแบบรายคนและแบบ Batch หลายคนพร้อมกัน
- ระบบยอมให้ดำเนินการจ่ายยาประจำรอบได้ทันทีโดยไม่ต้องรอให้การเงินกดยืนยันชำระเงิน
- พิมพ์ใบยาและฉลากยาได้ถูกต้อง และเมื่อกด "จ่ายยา" ข้อมูลมื้อยาจะไปอัปเดตบนหน้าจอ e-MAR ของหอผู้ป่วย</t>
  </si>
  <si>
    <t>SMK-IPD-010</t>
  </si>
  <si>
    <t>จนท. Lab check-in + ลงผล + แพทย์อ่านผล</t>
  </si>
  <si>
    <t>จนท. Lab ดำเนินการตรวจและบันทึกผลผู้ป่วย IPD แยกตามประเภท Order ONE DAY แล้วแพทย์อ่านผลต่อเนื่อง</t>
  </si>
  <si>
    <t>[1] ระบบส่ง Order เข้าคิว Lab (auto, จาก SC7)
[2] จนท. Lab ชั้น 3เข้าเมนู ห้องปฎิบัติการ → รายการแล็บ: [2a] รายการแล็บ ที่มาจากการ Order ONE DAY
[3] จนท.Lab ชั้น 3 ไปที่ tab รอเช็คอิน
[4] จนท.Lab ชั้น 3 กดเข้าไปที่รายการ lab → ไปที่หน้า Patient Profile → รายละเอียด Lab Task
[5] จนท.Lab ชั้น 3 กดปุ่ม เช็คอิน (รายละเอียด Lab Task)
[6] จนท.Lab ชั้น 3 กดปุ่ม เก็บแล้ว (Container) + พิมพ์สติกเกอร์ ↓(ส่ง Specimens ไปที่ห้อง Lab ชั้น 6)
[7] จนท. Lab ชั้น 6 กดปุ่ม รับแล้ว / ปฎิเสธ (Container) (กดรับผ่านระบบ LIS)
[8] จนท.Lab ชั้น 3 รอผลจากระบบ LIS (ออกผลผ่านระบบ LIS)
[9] แพทย์ ไปที่หน้า Pratient Profile → เมนู Lab result
[10] แพทย์ เลือกรายการอ่าน Lab ที่ Status = เสร็จสิ้น → กดปุ่ม Acknowledge
[11] แพทย์ กดปุ่ม ดาวน์โหลด หรือ พิมพ์ ผล Lab</t>
  </si>
  <si>
    <t>- Order Lab IPD แสดงผลในแท็บ "รอเช็คอิน" ของห้องปฏิบัติการ ชั้น 3 ได้ถูกต้อง
- เช็คอินสำเร็จ สติกเกอร์ Container ถูกสั่งพิมพ์ และเมื่อส่งไปชั้น 6 สามารถกด "รับแล้ว" ผ่านระบบ LIS ได้
- เมื่อระบบ LIS ส่งค่าผลตรวจกลับมา สถานะผล Lab ปรับเป็น "เสร็จสิ้น (Completed)"
- แพทย์เปิดดูผลในเมนู Lab Result และเมื่อกดปุ่ม "Acknowledge" ระบบบันทึกเวลาและชื่อแพทย์ผู้อ่านผลเป็นหลักฐาน
- สามารถดาวน์โหลดหรือสั่งพิมพ์รายงานผลการตรวจทางห้องปฏิบัติการเป็น PDF ได้สมบูรณ์</t>
  </si>
  <si>
    <t>SMK-IPD-011</t>
  </si>
  <si>
    <t>จนท. Xray check-in + ลงผล + แพทย์อ่านผล (ยังไม่รู้ Flow)</t>
  </si>
  <si>
    <t>จนท. Xray ดำเนินการตรวจและบันทึกผลผู้ป่วย IPD แยกตามประเภท Order ONE DAY แล้วแพทย์อ่านผลต่อเนื่อง</t>
  </si>
  <si>
    <t>[1] ระบบส่ง Order เข้าคิว Xray (auto, จาก SC7)
[2] จนท. เข้าเมนู ห้องรังสี → รายงานรังสี: [2a] จาก ONE DAY / [2b] จาก CONTINUE
[3] จนท. ไปที่ tab รอ Check-in
[4] จนท. กดเข้าไปที่รายการ lab → ไปที่หน้า Patient Profile → รายละเอียดรังสี
[5] จนท. กดปุ่ม เช็คอิน (รายละเอียดรังสี) + พิมพ์ใบยินยอม + Status Log = Check-in
[6] จนท. เลือกประเภทการเช็คอิน → กดปุ่ม ยืนยัน (รายละเอียดรังสี) + Status Log = Check-in
[7] จนท. กดปุ่ม เริ่มถ่ายภาพ (รายละเอียดรังสี) + Status Log = เริ่มถ่ายภาพ
[8] จนท. กดปุ่ม ถ่ายภาพแล้ว (รายละเอียดรังสี) + Status Log = ถ่ายภาพเสร็จสิ้น
[9] จนท. เลือกแพทย์ผู้อ่านผล (รายละเอียดรังสี) → Status = รออ่านผล (รายละเอียดรังสี) + Status Log = ถ่ายภาพเสร็จสิ้น
[10] แพทย์. ลงข้อมูล Preparation note + บันทึก
[11] พยาบาล. ลงข้อมูล Nurse note + Imaging nurse note + Assessment (A) + Intervention (I) + Evaluation (E) + บันทึก
[12] พยาบาล. Imaging nurse note + บันทึก
[13] แพทย์. ลงข้อมูล รายงานผลตรวจทางรังสี + บันทึก Status = เสร็จสิ้น (รายละเอียดรังสี) + Status Log = อ่านผล</t>
  </si>
  <si>
    <t>- Order รังสีแสดงในแท็บ "รอ Check-in" ครบถ้วน
- กดเช็คอิน พิมพ์ใบยินยอม (Consent Form) สำเร็จ และ Status Log เปลี่ยนเป็น "Check-in"
- State ของงานรังสีขยับตามขั้นตอนถูกต้อง: จาก เริ่มถ่ายภาพ &gt; ถ่ายภาพเสร็จสิ้น &gt; รออ่านผล
- บันทึก Nurse Note / A-I-E และ Preparation Note ได้ครบถ้วนโดยข้อมูลไม่ทับซ้อนกัน
- แพทย์ลงผลอ่านรังสีวิทยาแล้วกดยืนยัน สถานะของ Task เปลี่ยนเป็น "เสร็จสิ้น" และ Status Log บันทึกเป็น "อ่านผล"</t>
  </si>
  <si>
    <t>SMK-IPD-012</t>
  </si>
  <si>
    <t xml:space="preserve">การเงินเรียกเก็บระหว่างพักรักษา (Interim Billing) </t>
  </si>
  <si>
    <t>ญาติผู้ป่วยชำระค่ารักษาสะสมของผู้ป่วย IPD (ทุก 15 วัน) ตลอดช่วงพักรักษาในโรงพยาบาล</t>
  </si>
  <si>
    <t>[1] การเงิน: เข้าเมนู Cashier ค้นหาข้อมูลผู้ป่วย ดูข้อมูลบัญชีรายการค่าใช้จ่าย (ยา+Lab+Xray+ค่าห้อง) ทุกรอบ 15 วัน นับจากวัน Admit
[2] การเงิน: กดเลือก tab ตามสิทธิ เพื่อตรวจสอบสิทธิ์ + ย้ายรายการ Chage item ไปใช้สิทธิ์ของผู้ป่วย
[3] การเงิน: กดเลือก tab รายการ เลือกรายการที่ต้องชำระ + กดสร้างใบแจ้งหนี้
[4] การเงิน: เลือกสิทธิ์การชำระ และ กดปุ่ม จ่าย + กดปุ่ม ยืนยัน (auto print ใบแจ้งหนี้)
[5] ระบบจะสร้างใบเสร็จ ที่ผูกกับ รหัสใบแจ้งหนี้
[6] ระบบบันทึกยอดที่ชำระแล้ว หักออกจากยอดค้างสะสม → รอบถัดไปเริ่มนับใหม่ (วนซ้ำทุก 15 วัน จนกว่าจะถึง Discharge — รอบสุดท้าย)</t>
  </si>
  <si>
    <t>- เมนู Cashier ดึงยอดสะสมทุกหมวด (ค่าห้อง, อาหาร, ยา, Lab, X-ray) ตามช่วงเวลา 15 วันได้ครบถ้วน
- ย้าย charge-item ไปใช้สิทธิเบิกจ่ายของผู้ป่วยได้ถูกต้องตามเกณฑ์สิทธิ
- ระบบสร้างใบแจ้งหนี้และ Auto-print ใบแจ้งหนี้ (Interim Invoice) ได้สมบูรณ์
- ระบบออกเลขที่ใบเสร็จรับเงินที่ผูกติดกับ Invoice ID อย่างถูกต้อง
- ยอดหนี้สะสมคงค้างของ AN นี้ถูกหักลดลงตามจำนวนเงินที่จ่ายจริง และระบบตั้งรอบนับเวลาเพื่อคำนวณ Interim รอบถัดไป</t>
  </si>
  <si>
    <t>SMK-IPD-013</t>
  </si>
  <si>
    <t>Discharge Process (ปิดยอดครั้งสุดท้าย)</t>
  </si>
  <si>
    <t>แพทย์อนุมัติจำหน่ายผู้ป่วย IPD แล้วจนท.การเงินปิด Bill ยอดคงเหลือทั้งหมดและปลดเตียงคืนระบบ</t>
  </si>
  <si>
    <t>[1] แพทย์บันทึก Discharge Summary + วินิจฉัยสุดท้าย
[2] แพทย์สั่งยากลับบ้าน (Discharge Medication — ใช้ pattern ตะกร้าเดียวกับ SC7/SC9)
[3] แพทย์ยืนยัน Discharge → ลงเอกสาร สรุปจำหน่าย (Discharge Summary)
[4] การเงิน: เปิดรายการ IPD รอปิด Bill (ยอดคงเหลือหลังหักที่จ่ายไปแล้วทุก 3 วันจาก SC11)
[5] การเงิน: ออกใบแจ้งหนี้ยอดสุดท้าย → เลือกสิทธิ์การชำระ และ กดปุ่ม จ่าย + กดปุ่ม ยืนยัน (auto print ใบแจ้งหนี้)
[6] การเงิน: ออกใบเสร็จรับเงิน (พิมพ์ใบเสร็จรับเงิน)
[7] การเงิน: กดปุ่ม ปิด Admission
[8] รายชื่อผู้ป่วยจะถูกย้ายไปที่ tab ผู้ป่วยจำหน่าย + Status ผู้ป่วย = เสร็จสิ้น</t>
  </si>
  <si>
    <t>- บันทึกแบบสรุปจำหน่าย (Discharge Summary) และสั่งยากลับบ้าน (Home Med) สำเร็จ
- ระบบการเงินดึงยอดคงเหลือสุทธิ (Net Balance) หลังหักยอด Interim Billing ที่เคยชำระแล้วได้แม่นยำ
- ออกใบแจ้งหนี้ ออกใบเสร็จรับเงินยอดสุดท้าย และสั่งพิมพ์ได้สมบูรณ์
- เมื่อการเงินกด "ปิด Admission" ระบบทำการปิดเคส AN นั้นอย่างเป็นทางการ
- รายชื่อผู้ป่วยย้ายไปปรากฏในแท็บ "ผู้ป่วยจำหน่าย" โดยมีสถานะเป็น "เสร็จสิ้น (Discharged)"
- ผังเตียง (Bed Management) ปลดล็อกสถานะเตียงเดิมให้กลับมาเป็น "เตียงว่าง (พร้อมทำความสะอาด)" ทันที</t>
  </si>
  <si>
    <t>💡 TIP: คอลัมน์ A ถึง C ก๊อปวางจาก Linear ได้เลย (กด Ctrl+Shift+V เพื่อวางเฉพาะค่า) · F Card Priority และ H TOR กรอกให้ครบก่อนจบ Day 0</t>
  </si>
  <si>
    <t>🛑 G, L–S = สูตร Auto ห้ามแก้ / ห้าม Paste ทับ</t>
  </si>
  <si>
    <t>⬇ TOR: QA Site ระบุตอนดึงการ์ด (Day 0)</t>
  </si>
  <si>
    <t>⬇ ใส่ Version ที่ไม่ผ่าน เช่น v{X}</t>
  </si>
  <si>
    <t>⬇ QA Site ตัดสินผลการ์ด (Known Issue ต้อง QA Lead ยืนยัน)</t>
  </si>
  <si>
    <t>⬇ เหตุผล / Sub-issue ID / ชื่อ QA Lead ที่ยืนยัน</t>
  </si>
  <si>
    <t>Card ID</t>
  </si>
  <si>
    <t>Map to Scenario ID</t>
  </si>
  <si>
    <t>E2E Status (Auto)</t>
  </si>
  <si>
    <t>TOR (Yes/No)</t>
  </si>
  <si>
    <t>Retest from Version</t>
  </si>
  <si>
    <t>Card Result</t>
  </si>
  <si>
    <t>Module (Auto)</t>
  </si>
  <si>
    <t>TC Status (Auto)</t>
  </si>
  <si>
    <t>TC Total</t>
  </si>
  <si>
    <t>TC Passed</t>
  </si>
  <si>
    <t>TC Failed</t>
  </si>
  <si>
    <t>TC Remaining</t>
  </si>
  <si>
    <t>Tester (Auto)</t>
  </si>
  <si>
    <t>💡 1 แถว = 1 Test Case ของการ์ด · Card ID ต้องตรงกับชีต Cards · Failed: สร้าง Sub-issue ใต้การ์ดแล้วใส่ ID ที่ Defect ID</t>
  </si>
  <si>
    <t>🛑 C, D = สูตร Auto ห้ามแก้ · 1 การ์ดมีได้หลาย TC · ผลการ์ดตัดสินที่ Cards › Card Result</t>
  </si>
  <si>
    <t>TC ID</t>
  </si>
  <si>
    <t>Card Title (Auto)</t>
  </si>
  <si>
    <t>Test Case Name</t>
  </si>
  <si>
    <t>Defect ID</t>
  </si>
  <si>
    <t>TC-{Site}-{Card no.}-001 (ไม่ซ้ำ)</t>
  </si>
  <si>
    <t>ต้องตรงกับชีต Cards คอลัมน์ A</t>
  </si>
  <si>
    <t>Formula: คลิกเพื่อกลับไปที่แถวการ์ด</t>
  </si>
  <si>
    <t>Formula: Module ของการ์ด</t>
  </si>
  <si>
    <t>ชื่อ TC (ย่อ) — รายละเอียด Step อยู่ในไฟล์ TC ของการ์ด</t>
  </si>
  <si>
    <t>Dropdown: รายชื่อ Tester</t>
  </si>
  <si>
    <t>Date (yyyy-mm-dd)</t>
  </si>
  <si>
    <t>Sub-issue ID ของการ์ด เมื่อ Failed</t>
  </si>
  <si>
    <t>อาการที่พบ / เหตุผลที่ Blocked</t>
  </si>
  <si>
    <t>Ownership Matrix — ใช้หาทีมเจ้าของบั๊ก</t>
  </si>
  <si>
    <t>กรอกโดย PO / BA · อัปเดตเมื่อมีการย้ายงาน · Module เดียวที่แบ่ง Feature ให้แยกเป็นหลายแถว · ชื่อ Module ต้องตรงกับคอลัมน์ B ในหน้า E2E</t>
  </si>
  <si>
    <t>Feature / Sub-area</t>
  </si>
  <si>
    <t>Linear Team</t>
  </si>
  <si>
    <t>Team Key (Auto)</t>
  </si>
  <si>
    <t>PO</t>
  </si>
  <si>
    <t>BA</t>
  </si>
  <si>
    <t>Dev Lead</t>
  </si>
  <si>
    <t>MS Teams Channel</t>
  </si>
  <si>
    <t>Notes</t>
  </si>
  <si>
    <t>Root Cause = Config / Master Data</t>
  </si>
  <si>
    <t>ส่งให้ทีม</t>
  </si>
  <si>
    <t>(ทั้ง Module)</t>
  </si>
  <si>
    <t>stg-tmh</t>
  </si>
  <si>
    <t>TMH</t>
  </si>
  <si>
    <t>stg-sbh</t>
  </si>
  <si>
    <t>SBH</t>
  </si>
  <si>
    <t>Billing</t>
  </si>
  <si>
    <t>stg-nuh</t>
  </si>
  <si>
    <t>NUH</t>
  </si>
  <si>
    <t>Lab</t>
  </si>
  <si>
    <t>[ระบุ]</t>
  </si>
  <si>
    <t>Pharmacy</t>
  </si>
  <si>
    <t>หาเจ้าของไม่ได้</t>
  </si>
  <si>
    <t>PO / BA triage: [ชื่อ]</t>
  </si>
  <si>
    <t>Radiology</t>
  </si>
  <si>
    <t>Admission Center</t>
  </si>
  <si>
    <t>Grand Dashboard Feed + Risk Items Feed (ย้ายจาก Dashboard O:Y) — ห้ามแทรก/ลบแถวหรือคอลัมน์ ห้ามเปลี่ยนชื่อชีต</t>
  </si>
  <si>
    <t>Status (chart helper)</t>
  </si>
  <si>
    <t>Overall</t>
  </si>
  <si>
    <t>Tester (chart helper)</t>
  </si>
  <si>
    <t>Grand Dashboard Feed (ห้ามย้าย / ห้ามแก้)</t>
  </si>
  <si>
    <t>Risk Items Feed — Urgent / High (ห้ามย้าย / ห้ามแก้)</t>
  </si>
  <si>
    <t>Project / Site</t>
  </si>
  <si>
    <t>Severity × Impact / Card Result</t>
  </si>
  <si>
    <t>Defect ID / Note</t>
  </si>
  <si>
    <t>Gate</t>
  </si>
  <si>
    <t>Sort Key</t>
  </si>
  <si>
    <t>Last Executed Date</t>
  </si>
  <si>
    <t>Release Decision</t>
  </si>
  <si>
    <t>Decision Detail</t>
  </si>
  <si>
    <t>Risk Reason</t>
  </si>
  <si>
    <t>Scenarios (in scope)</t>
  </si>
  <si>
    <t>Open</t>
  </si>
  <si>
    <t>Test Cases (in scope)</t>
  </si>
  <si>
    <t>Scenario % Evaluated</t>
  </si>
  <si>
    <t>Card % With Result</t>
  </si>
  <si>
    <t>Test Case % Evaluated</t>
  </si>
  <si>
    <t>Scenario Pass Rate</t>
  </si>
  <si>
    <t>Test Case Pass Rate</t>
  </si>
  <si>
    <t>Urgent/High Flows Untested (Not Run + Blocked)</t>
  </si>
  <si>
    <t>Cards Pending Result (TOR / Urgent-High)</t>
  </si>
  <si>
    <t>Blocking — E2E</t>
  </si>
  <si>
    <t>Blocking — Cards (Failed / Not Tested)</t>
  </si>
  <si>
    <t>Medium/Low Flows Untested</t>
  </si>
  <si>
    <t>Open E2E Defects — Severity Critical</t>
  </si>
  <si>
    <t>Open E2E Defects — Severity High</t>
  </si>
  <si>
    <t>Open E2E Defects — Severity Medium</t>
  </si>
  <si>
    <t>Open E2E Defects — Severity Low</t>
  </si>
  <si>
    <t>Open E2E Bugs — Priority Urgent</t>
  </si>
  <si>
    <t>Open E2E Bugs — Priority High</t>
  </si>
  <si>
    <t>Open E2E Bugs — Priority Medium</t>
  </si>
  <si>
    <t>Open E2E Bugs — Priority Low</t>
  </si>
  <si>
    <t>Known Issue Cards</t>
  </si>
  <si>
    <t>Carry Over to Next Version</t>
  </si>
  <si>
    <t>Module Risk #1</t>
  </si>
  <si>
    <t>Module Risk #2</t>
  </si>
  <si>
    <t>Module Risk #3</t>
  </si>
  <si>
    <t>Module Risk #4</t>
  </si>
  <si>
    <t>Module Risk #5</t>
  </si>
  <si>
    <t>Module Risk #6</t>
  </si>
  <si>
    <t>Module Risk #7</t>
  </si>
  <si>
    <t>[1] แพทย์เข้าสู่เมนูผู้ป่วยนอก &gt;&gt; เข้าสู่ Service Unit หรือ Location คลินิก
[2] แพทย์เลือกผู้ป่วยที่ถูก Assign หรือ ค้นหาผู้ป่วยตาม HN (ผู้ป่วยอยู่สถานะ "พร้อมตรวจ")
[3] แพทย์ตรวจสอบ ดูประวัติ + Vital Sign และ บันทึกวินิจฉัย (Diagnosis/ICD-10) ด้วย Template OPD Note
[4] แพทย์สั่ง Order (แยก 3 เส้นทางที่อาจเกิดพร้อมกันในเคสเดียว):
     [4a] ค้นหา Item Lab → เลือก Item → เพิ่มลงตะกร้า
     [4b] ค้นหา Item X-ray → เลือก Item → เพิ่มลงตะกร้า
     [4c] ค้นหา Item ยา → เลือก Item → เพิ่มลงตะกร้า
[5] กดปุ่ม "ส่งคำสั่ง" (Submit Order ทั้งตะกร้าพร้อมกัน)
[6] เปลี่ยนสถานะผู้ป่วย = "พักการตรวจ" [กรณีที่แพทย์มีการสั่ง LAB หรือ รังสี]</t>
  </si>
  <si>
    <t>Dx M545 - Low back pain (หรือ K30) · ยา MED0000619 PARACETAMOL 500 MG TABLET (ประเภทการใช้ Home med) · Lab LAB0000001 (Glucose) · X-ray IMG0000194 (LEFT ANKLE)</t>
  </si>
  <si>
    <t>- แพทย์เปิดดูประวัติและ Vital Signs ได้ถูกต้อง และผู้ป่วยอยู่สถานะ "พร้อมตรวจ"
- บันทึกผลวินิจฉัยและรหัสโรค ICD-10 ผ่าน Template OPD Note ได้สมบูรณ์ ข้อมูลไม่สูญหาย
- ตะกร้า Order รวมทั้ง 3 รายการ (Lab, X-ray, ยา) ได้ถูกต้อง และเมื่อกด Submit ระบบสร้าง Order ID แยกตามแผนกอัตโนมัติ
- เนื่องจากมีรายการส่งตรวจ Lab/X-ray สถานะของผู้ป่วยต้องเปลี่ยนเป็น "พักการตรวจ" โดยอัตโนมัติเพื่อรอผลตรวจ</t>
  </si>
  <si>
    <t>บัญชีพยาบาล (role Nurse)</t>
  </si>
  <si>
    <t>ผู้ป่วยไปยังห้องรังสี (X-ray) เพื่อถ่ายภาพ + รังสีแพทย์อ่านผล</t>
  </si>
  <si>
    <t>ผู้ป่วยไปห้องรังสีเพื่อถ่ายภาพ X-ray ตาม Order ที่ชำระเงินแล้ว และรังสีแพทย์รายงานผลกลับเข้า EMR ของผู้ป่วย</t>
  </si>
  <si>
    <t>[1] เจ้าหน้าที่ห้องรังสีเข้าเมนู ห้องรังสี &gt;&gt; เลือกห้อง &gt;&gt; Tab "รอ Check-in" &gt;&gt; ค้นหาผู้ป่วยจาก HN
[2] เจ้าหน้าที่กด "เช็คอิน" &gt;&gt; เลือกประเภทคิว (คิวรังสี) &gt;&gt; กด "ยืนยัน" (+ พิมพ์ใบยินยอม ถ้ามี) &gt;&gt; ได้เลขคิวรังสี
[3] เจ้าหน้าที่กด "เริ่มถ่ายภาพ" &gt;&gt; กด "ถ่ายภาพแล้ว" &gt;&gt; เลือกแพทย์ผู้อ่านผล &gt;&gt; สถานะ "รออ่านผล"
[4] รังสีแพทย์เปิดรายละเอียดรังสี &gt;&gt; บันทึกรายงานผลตรวจทางรังสี (Findings + Impression) &gt;&gt; กด "บันทึก"
[5] ผลรังสีแสดงในระบบของผู้ป่วย (เมนู Imaging result)</t>
  </si>
  <si>
    <t>X-ray IMG0000194 (LEFT ANKLE) · ประเภทคิว คิวรังสี</t>
  </si>
  <si>
    <t>- Order X-ray ที่ชำระเงินแล้วแสดงในแท็บ "รอ Check-in" ของห้องรังสีครบถ้วน
- กดเช็คอินสำเร็จ ได้เลขคิวรังสี และ Status Log เปลี่ยนเป็น "Check-in"
- สถานะงานรังสีเปลี่ยนตามลำดับถูกต้อง: เริ่มถ่ายภาพ &gt; ถ่ายภาพเสร็จสิ้น &gt; รออ่านผล
- รังสีแพทย์บันทึกรายงานผลสำเร็จ สถานะงานเป็น "เสร็จสิ้น" และ Status Log บันทึกเป็น "อ่านผล"
- ผลรังสีแสดงในเมนู Imaging result ของ EMR พร้อมให้แพทย์เปิดดูในห้องตรวจ</t>
  </si>
  <si>
    <t>[1] พยาบาลเรียกคิวพบแพทย์
[2] แพทย์เข้าสู่เมนูผู้ป่วยนอก &gt;&gt; เข้าสู่ Service Unit หรือ Location คลินิก
[3] เลือกข้อมูลผู้ป่วย หรือ ค้นหาผู้ป่วยตาม HN และกดเปลี่ยนสถานะจาก "พักการตรวจ" เป็น "พร้อมตรวจ"
[4] แพทย์เปิดดูผล LAB หรือ ภาพรังสี ที่รายงานผลกลับมา
[5] แพทย์กรอกข้อมูล OPD Note เพิ่มเติม + วินิจฉัยโรค (Diagnosis) ขั้นสุดท้าย
[6] แพทย์สั่งยา (กรณีต้องให้ยาเพิ่ม) และกดส่ง Order
[7] แพทย์สร้างนัดหมายติดตามอาการ (เมนูขวา "สร้างนัดหมาย" &gt;&gt; คลินิก + แพทย์ + ประเภทบริการ + วัน / ช่วงเวลา &gt;&gt; Submit)
[8] แพทย์สร้างใบรับรองแพทย์ (เมนูขวา "ใบรับรองแพทย์" &gt;&gt; เลือกแบบเอกสาร &gt;&gt; กรอกข้อมูล &gt;&gt; บันทึก)
[9] แพทย์เปลี่ยนสถานะผู้ป่วยเป็น "ตรวจเสร็จ"</t>
  </si>
  <si>
    <t>นัดหมาย: ประเภทบริการ ติดตามอาการ · ระยะเวลา 2 สัปดาห์ (คลินิก 00101 · ดร. วิชัย รัตน์ เอื้อเฟื้อ) · ใบรับรองแพทย์ลาป่วย</t>
  </si>
  <si>
    <t>- สถานะผู้ป่วยสามารถเปลี่ยนจาก "พักการตรวจ" กลับมาเป็น "พร้อมตรวจ" ได้สมบูรณ์
- ผลการตรวจ Lab/ภาพรังสี แสดงผลบนจอแพทย์ได้อย่างถูกต้อง ครบถ้วน
- แพทย์บันทึก OPD Note เพิ่มเติม สั่ง Order ยา และกดส่งคำสั่งเข้าสู่ระบบห้องยาได้สำเร็จ
- ข้อมูลการทำนัดหมายถูกบันทึกลงปฏิทินนัด และระบบสามารถสร้างพร้อมพิมพ์ "ใบรับรองแพทย์" ได้ถูกต้องตามเทมเพลต
- เปลี่ยนสถานะเป็น "ตรวจเสร็จ" แล้ว ผู้ป่วยย้ายไปช่องบริการ "หลังตรวจ" ของรายการผู้ป่วยนอก</t>
  </si>
  <si>
    <t>SMK-OPD-009</t>
  </si>
  <si>
    <t>พยาบาลจำหน่าย → เภสัชกรรม (สร้างใบยา) → ชำระเงิน → เภสัชกรรม จ่ายยา → การเงินปิด Visit</t>
  </si>
  <si>
    <t>พยาบาลจำหน่ายผู้ป่วย เภสัชกรสร้างใบยาส่งต่อการเงินชำระเงิน แล้วเภสัชกรจ่ายยา และการเงินปิด Visit ให้ผู้ป่วย OPD</t>
  </si>
  <si>
    <t>พยาบาลจำหน่าย: บัญชี role Nurse · With Approval · ห้องยาชั้น 1 · ห้องการเงินชั้น 1 · ปิดสิทธิ UC ด้วยเลข End Point (ประเภทบัตร 60 · Terminal ID / Trace / End Point เลขสุ่ม) · ยอดเบิกไม่ได้ชำระเงินสด</t>
  </si>
  <si>
    <t>SMK-ER-001</t>
  </si>
  <si>
    <t>ER</t>
  </si>
  <si>
    <t>ลงทะเบียน + เปิด Visit ER</t>
  </si>
  <si>
    <t>ผู้ป่วยมาที่ ER โดยตรง (ไม่ผ่านเวชระเบียน) ลงทะเบียนและเปิด Visit ER จากหน้าคัดกรอง ทั้งผู้ป่วยมี HN / ผู้ป่วยใหม่ / ผู้ป่วยระบุตัวตนไม่ได้</t>
  </si>
  <si>
    <t>[1] พยาบาลคัดกรองเข้าเมนู ห้องฉุกเฉิน &gt;&gt; แดชบอร์ด / คิว &gt;&gt; กดปุ่ม "คัดกรอง"
[2] เลือกประเภทผู้ป่วย:
     [2a] ผู้ป่วยมี HN → ค้นหาด้วย HN หรือชื่อ → เลือกผู้ป่วย
     [2b] ผู้ป่วยใหม่ → ค้นชื่อไม่พบ → กรอกข้อมูลบังคับ → ลงทะเบียน
     [2c] ผู้ป่วยระบุตัวตนไม่ได้ → ชื่อชั่วคราว + อายุโดยประมาณ → ลงทะเบียน (Dummy HN)
[3] หน้าต่าง "เปิด Visit ER" เลือกสิทธิการรักษา → กด "ยืนยันเปิด visit"
[4] ระบบสร้าง VN / EN → เปิดฟอร์ม "คัดกรอง ER" ต่อทันที</t>
  </si>
  <si>
    <t>SBH Prod · สิทธิ H03 - สิทธิ UC (หรือ H35 - UC ER คุณภาพ) · ผู้ป่วยระบุตัวตนไม่ได้: ชื่อชั่วคราว + อายุโดยประมาณ</t>
  </si>
  <si>
    <t>- ผู้ป่วยใหม่: ค้นชื่อแล้วไม่พบ และลงทะเบียนได้ HN ใหม่โดยไม่ต้องออกไปหน้าเวชระเบียน
- ผู้ป่วยระบุตัวตนไม่ได้: ได้ HN (Dummy) และเปิด Visit ER ได้เหมือนผู้ป่วยปกติ
- เปิด Visit ER สำเร็จ ได้ VN + EN และแถบหัวผู้ป่วยแสดง HN / VN / EN / สิทธิที่เลือกถูกต้อง
- ผู้ป่วยปรากฏบน ER Dashboard คอลัมน์ "คัดกรอง" พร้อมป้าย "รอคัดกรอง" และเวลารอ</t>
  </si>
  <si>
    <t>SMK-ER-002</t>
  </si>
  <si>
    <t>พยาบาลคัดกรอง (Triage ESI) + ER Dashboard แยกโซน</t>
  </si>
  <si>
    <t>พยาบาลคัดกรองผู้ป่วย ER ระบุระดับความเร่งด่วน ESI แล้วผู้ป่วยย้ายไปโซนตามระดับความรุนแรง</t>
  </si>
  <si>
    <t>[1] พยาบาลเปิดฟอร์ม "คัดกรอง ER" (ต่อจาก SMK-ER-001 หรือกดการ์ดผู้ป่วยในคอลัมน์คัดกรองของ ER Dashboard)
[2] กรอกวิธีการมาถึง / อุปกรณ์ช่วยเหลือ / ผู้ที่มาด้วย + Chief Complaint + Vital Signs + Pain score + GCS (E / V / M)
[3] เลือกระดับความเร่งด่วน ESI (1–5) → กด "บันทึก"
[4] กด "พิมพ์บัตรคิว" และ "พิมพ์ป้ายปลายเตียง" ในแท็บ Triage
[5] ตรวจผู้ป่วยบน ER Dashboard</t>
  </si>
  <si>
    <t>ESI 3 → โซนเหลือง ER · Vital Signs ครบ (Temp / BP / PR / RR / SpO2) · GCS E4 V5 M6 (AVPU = A)</t>
  </si>
  <si>
    <t>- ระบบคำนวณ Total MEWS / Total GCS จากค่าที่กรอกได้ถูกต้อง และตั้ง AVPU ตาม GCS
- บันทึกสำเร็จ ขึ้นแจ้งเตือน "กรอกข้อมูล คัดกรอง ER สำเร็จ" และหน้าเปลี่ยนเป็น Overview (Clinical Summary แสดง ESI / โซน)
- ผู้ป่วยย้ายจากคอลัมน์ "คัดกรอง" ไปโซนตาม ESI (ESI 1–2 แดง · 3 เหลือง · 4 ห้องสังเกตอาการ · 5 เขียว + ถามส่งต่อคลินิก)
- ลำดับการ์ดในโซนเรียงตามกฎคิว ER (Fast Track → ESI → MEWS → FIFO) และป้ายเวลารอแสดง "เกินเป้าหมาย" เมื่อรอเกินเวลาที่ตั้งค่า
- พิมพ์บัตรคิว / ป้ายปลายเตียงได้ ป้ายปลายเตียงแสดงชื่อ อายุ HN EN และวันเวลารับเข้าถูกต้อง</t>
  </si>
  <si>
    <t>SMK-ER-003</t>
  </si>
  <si>
    <t>แพทย์ตรวจ + วินิจฉัย + สั่ง Order (ยา / Lab / X-ray / หัตถการ)</t>
  </si>
  <si>
    <t>แพทย์รับทราบผู้ป่วย (Acknowledge) บันทึก ER Physician Note และสั่ง One Day Order ให้ผู้ป่วย ER</t>
  </si>
  <si>
    <t>[1] แพทย์เปิดผู้ป่วยจาก ER Dashboard → หน้า Overview
[2] แพทย์กด "Acknowledge" (เริ่มการรักษา)
[3] แพทย์บันทึก ER Physician Note: Present Illness + Vital Signs + Pain Score + Diagnosis (ICD-10 บังคับ) → บันทึก
[4] เมนูขวา "One Day Order" → ค้นหารหัส → เพิ่มลงตะกร้า (แยก 4 เส้นทางที่อาจเกิดพร้อมกันในเคสเดียว):
     [4a] ยา → ระบุ ขนาดยา + Route + ความถี่ → เพิ่มลงตะกร้า
     [4b] Lab → เพิ่มลงตะกร้า
     [4c] X-ray → เพิ่มลงตะกร้า
     [4d] หัตถการ → เพิ่มลงตะกร้า
[5] กด "ส่งคำสั่ง" (เด้งแบบฟอร์ม Imaging → บันทึก แล้วส่งคำสั่งอีกครั้ง · เด้ง Drug Alert / Lab Alert → กรอกเหตุผล แล้วยืนยันการสั่งออเดอร์)</t>
  </si>
  <si>
    <t>Dx K30 (ค้นด้วยรหัส 3 ตัวอักษร) · ยา MED0000260 (Route IntravenousRoute) · Lab LAB0000001 (Glucose) · X-ray IMG0000194 (LEFT ANKLE) · หัตถการ ACT0000062</t>
  </si>
  <si>
    <t>- กด Acknowledge แล้วระบบบันทึกชื่อแพทย์ + เวลา ("Acknowledged โดย …") และเวลารอบนการ์ดหยุดเดิน (Time Stop)
- บันทึก ER Physician Note สำเร็จ และ Clinical Summary แสดง Principal Diagnosis ที่บันทึก
- ส่งคำสั่งสำเร็จ แถวในตะกร้าเปลี่ยนจาก "ยังไม่ส่ง" เป็น "ส่งแล้ว" / "กำลังดำเนินการ" ครบทุกรายการ
- Order Lab / X-ray สร้างงานพยาบาลสถานะ "รอรับงาน" ในรายการงานพยาบาล และค่าใช้จ่ายทุกรายการไปแสดงที่หน้าการเงิน</t>
  </si>
  <si>
    <t>SMK-ER-004</t>
  </si>
  <si>
    <t>พยาบาลรับงาน + บันทึกทางการพยาบาล (Nursing Records)</t>
  </si>
  <si>
    <t>พยาบาล ER รับงานที่เกิดจาก Order บันทึก Nursing Records และคัดกรองซ้ำเมื่ออาการเปลี่ยน</t>
  </si>
  <si>
    <t>[1] พยาบาลเข้าเมนู ห้องฉุกเฉิน &gt;&gt; รายการงานพยาบาล &gt;&gt; เลือกผู้ป่วย
[2] กด "รับงาน" ที่งานที่เกิดจาก Order (Lab / X-ray) → กด "เสร็จ" → กรอก ทำโดย / ทำเมื่อ → บันทึก
[3] เมนูขวา "Nursing Records" → Nurse Focus Note: เพิ่ม Nurse Note (Focus + A-I-E + Perform time) → บันทึก
[4] Nursing Records → Graphical Sheet Record: กด Record → Vital signs + ระดับความรู้สึกตัว → บันทึก
[5] แท็บ Triage → กด "คัดกรองซ้ำ" → กรอกฟอร์มการคัดกรองครั้งใหม่ + เลือก ESI ใหม่ → บันทึก</t>
  </si>
  <si>
    <t>Graphical Sheet: Vital signs + ระดับความรู้สึกตัว Alert · คัดกรองซ้ำ ESI 2</t>
  </si>
  <si>
    <t>- งานจาก Order ขึ้นในรายการงานพยาบาลสถานะ "รอรับงาน" → กดรับงานเป็น "กำลังทำ" → บันทึกการทำงานแล้วเป็น "เสร็จแล้ว" พร้อมชื่อผู้ทำ / เวลา
- บันทึก Nurse Focus Note สำเร็จ และการ์ด Focus แสดง A-I-E ที่บันทึก
- บันทึก Graphical Sheet Record สำเร็จ แถวใหม่ขึ้นในตารางพร้อมค่าที่กรอก
- คัดกรองซ้ำแล้ว Clinical Summary / แถบหัว / ER Dashboard แสดง ESI ใหม่ และ Timeline ของประวัติการรักษามี event "คัดกรองซ้ำ" พร้อมป้าย ESI</t>
  </si>
  <si>
    <t>SMK-ER-005</t>
  </si>
  <si>
    <t>Disposition กลับบ้าน → ใบยา → ชำระเงิน → จ่ายยา → ปิด Visit</t>
  </si>
  <si>
    <t>แพทย์จำหน่ายผู้ป่วย ER กลับบ้าน เภสัชกรสร้างใบยาและจ่ายยา การเงินรับชำระเงินและปิด Visit</t>
  </si>
  <si>
    <t>[1] แพทย์: เมนูขวา "Disposition" → เริ่มบันทึก → สถานะการจำหน่าย + วิธีการจำหน่าย + การวินิจฉัย (ICD-10) + แพทย์ผู้สั่งจำหน่าย + ข้อมูลทางคลินิก → บันทึกฉบับร่าง → กด "ลงนาม"
[2] พยาบาล: หน้ารายการผู้ป่วย ER แท็บ "รอจำหน่าย" → กดปุ่ม "จำหน่าย" → ยืนยัน
[3] เภสัชกรรม: แท็บ "Order รอยืนยัน" → เปิดรายการ → สร้างใบยา (ตรวจสอบ Drug Interaction / Allergy)
[4] การเงิน: ค้นหาผู้ป่วยจาก HN → ปิดสิทธิ (ระบุเลข End Point) → สร้างใบแจ้งหนี้ → รับชำระยอดที่เหลือ → พิมพ์ใบเสร็จ
[5] เภสัชกรรม: ใบยารอจัด → "จัดยาแล้ว" → "ยืนยันรอจ่าย" → ใบรอจ่าย ติ๊กทบทวนยา → กด "จ่ายยา"
[6] การเงิน: กด "ปิด Visit"</t>
  </si>
  <si>
    <t>Disposition: Improved + With Approval · Dx K30 · ห้องยาชั้น 1 · ปิดสิทธิ UC ด้วยเลข End Point (ประเภทบัตร 60 · Terminal ID / Trace / End Point เลขสุ่ม) · ยอดเบิกไม่ได้ชำระเงินสด</t>
  </si>
  <si>
    <t>- ลงนาม Disposition สำเร็จ ผู้ป่วยย้ายไปแท็บ "รอจำหน่าย" พร้อมปุ่ม "จำหน่าย" และประวัติ Disposition แสดงรายการ บันทึกฉบับร่าง / ลงนาม พร้อมชื่อผู้ทำและเวลา
- กดจำหน่ายแล้วขึ้น "ยืนยันการจำหน่ายผู้ป่วยออกจาก ER แล้ว" ผู้ป่วยย้ายไปแท็บ "จำหน่าย" และหายจาก ER Dashboard
- สร้างใบยาได้เลขใบยา และค่ายาไปแสดงที่หน้าการเงิน (คอลัมน์ใบยา "รอจัด")
- ปิดสิทธิ + ชำระเงินสำเร็จ ได้ใบแจ้งหนี้ / ใบเสร็จ และยอดค้างชำระเป็น 0
- จ่ายยาสำเร็จ ใบยาย้ายไปแท็บ "จ่ายยาแล้ว"
- ปิด Visit แล้วหัวบัญชีการเงินเป็น "สถานะ Visit: เสร็จสิ้น" และผู้ป่วยอยู่แท็บ "เสร็จสิ้น" ของรายการผู้ป่วย ER</t>
  </si>
  <si>
    <t>SMK-ER-006</t>
  </si>
  <si>
    <t>ESI 5 ส่งต่อคลินิกผู้ป่วยนอก (OPD)</t>
  </si>
  <si>
    <t>ผู้ป่วย ESI 5 (ไม่เร่งด่วน) ถูกส่งต่อจาก ER ไปตรวจที่คลินิกผู้ป่วยนอก</t>
  </si>
  <si>
    <t>[1] พยาบาลคัดกรองผู้ป่วย (ต่อจาก SMK-ER-001) เลือก ESI 5 → กด "บันทึก"
[2] หน้าต่าง "ส่งต่อไปคลินิก" เลือกคลินิกปลายทาง → กด "ส่งต่อ" (กด "ภายหลัง" = ผู้ป่วยค้างอยู่โซนเขียว)
[3] ตรวจหน้ารายการผู้ป่วย ER แท็บ "ส่งคลินิกอื่น"
[4] ตรวจรายการผู้ป่วยนอกของคลินิกปลายทาง</t>
  </si>
  <si>
    <t>ESI 5 · คลินิกปลายทาง ห้องตรวจโรคอายุรกรรมทั่วไป</t>
  </si>
  <si>
    <t>- บันทึก ESI 5 แล้วระบบถามส่งต่อคลินิกทันที
- ส่งต่อสำเร็จ ผู้ป่วยหายจาก ER Dashboard และอยู่แท็บ "ส่งคลินิกอื่น" สถานะ "ส่งต่อ OPD แล้ว"
- ผู้ป่วยไปปรากฏในรายการผู้ป่วยนอกของคลินิกปลายทาง</t>
  </si>
  <si>
    <t>ขั้น [4] ยังไม่เคยตรวจบนระบบจริง (รอ BA ยืนยันว่าผู้ป่วยต้องไปขึ้นแท็บไหนของ OPD) · หลังส่งต่อ รายการในแท็บ "ส่งคลินิกอื่น" อาจขึ้นช้ากว่า 20 วินาที</t>
  </si>
  <si>
    <t>SMK-ADM-001</t>
  </si>
  <si>
    <t>ER → Admit (Admit Request → สร้าง AN → ส่งหอผู้ป่วย)</t>
  </si>
  <si>
    <t>แพทย์ ER สั่ง Admit ผู้ป่วย และศูนย์จัดการเตียงสร้าง AN ส่งผู้ป่วยเข้ารายการผู้ป่วยเตรียมเข้าของหอผู้ป่วย</t>
  </si>
  <si>
    <t>[1] แพทย์ (ต่อจาก SMK-ER-003): เมนูขวา "สร้าง Admit Order" → การวินิจฉัยเบื้องต้น + อาการสำคัญ → กด "แบบฟอร์ม" → วันที่จะรับไว้รักษา + หอผู้ป่วย + จากแผนก → กด "ส่งคำขอ" → ยืนยันการส่ง Admit Request
[2] ตรวจหน้ารายการผู้ป่วย ER แท็บ "ผู้ป่วยรอเตียง" + ER Dashboard คอลัมน์รอเตียง
[3] แพทย์: เมนูขวา "Disposition" → วิธีการจำหน่าย "รับไว้รักษาต่อIPD" → บันทึกฉบับร่าง → กด "ลงนาม"
[4] ศูนย์จัดการเตียง (Admission Center): เปิด Admit Request ของผู้ป่วย → ระบุ หอผู้ป่วย + แผนก + Admitting Diagnosis + ประเภทการรับ Admit + รับ Admit จาก (+ จองเตียง) → บันทึก → ยืนยันการสร้าง AN
[5] ตรวจหอผู้ป่วยปลายทาง (เมนูผู้ป่วยใน → เลือกหอผู้ป่วย → Tab "ผู้ป่วยเตรียมเข้า") → ต่อ SMK-IPD-001</t>
  </si>
  <si>
    <t>ผู้ป่วยอีกราย (ไม่ใช่รายของ SMK-ER-005) ที่ผ่าน SMK-ER-001 – SMK-ER-003 แล้ว</t>
  </si>
  <si>
    <t>- ส่ง Admit Request สำเร็จ ผู้ป่วยมีสถานะ "รอเตียง" อยู่แท็บ "ผู้ป่วยรอเตียง" และไม่เข้าแท็บ "รอจำหน่าย"
- ลงนาม Disposition แบบรับไว้รักษาต่อได้ โดยผู้ป่วยยังอยู่สถานะรอเตียง
- สร้าง AN สำเร็จ ขึ้นแจ้งเตือน "บันทึกข้อมูลสำเร็จ “AN &lt;เลข&gt;”" และ AN ผูกกับ Admit Request ของ Visit นี้
- ผู้ป่วยปรากฏในแท็บ "ผู้ป่วยเตรียมเข้า" ของหอผู้ป่วยปลายทางพร้อม AN</t>
  </si>
  <si>
    <t>ขั้น [4]–[5] ยังไม่ได้สำรวจหน้าจอศูนย์จัดการเตียง (ทางที่เคยทำคือเมนูขวา "จัดการ Admission" ของหน้า ER ได้ AN แต่ AN ไม่ผูก Admit Request) · การจองเตียงจริงบน Prod ยังไม่ได้ตกลง</t>
  </si>
  <si>
    <t>Flow ยังไม่ชัดเจน — พักไว้ก่อน ยังไม่รันในรอบนี้ (ไฮไลต์สีเทา · รอ QA Site / BA ยืนยัน Flow)</t>
  </si>
  <si>
    <t>[1]  ค้นหา/สร้าง HN
[2]  ลงทะเบียน Visit (ระบบตรวจสอบสิทธิอัตโนมัติ หรือ เลือกสิทธิ + คลินิก+แพทย์หรือไม่ระบุแพทย์) + พิมพ์ใบนำทาง
[3]  ระบบ Generate Visit No. → แสดงรายการที่ Tab "คำขอ Walk-in" หน้า Patient List ของคลินิก</t>
  </si>
  <si>
    <t>SBH Prod · ที่อยู่ทะเบียนบ้าน (บังคับ): ตำบลปากเพรียว อำเภอเมืองสระบุรี จังหวัดสระบุรี 18000 · สิทธิ H03 - สิทธิ UC เป็นลำดับ 1 (ระบบใส่ H02 - เงินสด เบิกได้ มาให้) · คลินิก 00101 - คลินิกอายุรกรรมโรคทั่วไป (Walk-in ได้แถว "คำขอ Walk-in")</t>
  </si>
  <si>
    <t>- ระบบค้นพบประวัติเดิมหรือสร้างรหัส HN ใหม่เข้าระบบได้สำเร็จโดยไม่มี Error
- สิทธิการรักษาของผู้ป่วยถูกตรวจสอบและบันทึกถูกต้อง
- ระบบทำการสร้างเลข Visit No. ประจำวันขึ้นมาใหม่อัตโนมัติ และสั่งพิมพ์ใบนำทาง (Routing Slip) ข้อมูลครบถ้วน
- รายชื่อและ Visit ของผู้ป่วยถูกส่งต่อไปปรากฏทันทีที่หน้า Patient List ของคลินิกเป้าหมาย ภายใต้แท็บ "คำขอ Walk-in"</t>
  </si>
  <si>
    <t>[1]  พยาบาลเข้าสู่เมนูผู้ป่วยนอก &gt;&gt; เข้าสู่ Service Unit หรือ Location คลินิก &gt;&gt;ค้นหารายชื่อผู้ป่วยหรือ ค้นหาผู้ป่วยตาม HN
[2]  พยาบาลตรวจสอบ Tab "คำขอ Walk-in" &gt;&gt; กดปุ่ม "แบบคัดกรอง" ในคอลัมน์คัดกรองของแถวผู้ป่วย
[3]  พยาบาลซักประวัติ และ กรอกฟอร์มคัดกรองบันทึกเอกสารคัดกรอง + สัญญาณชีพ &gt;&gt; บันทึก
[4]  พยาบาลกดปุ่ม "ลงตาราง" &gt;&gt; เลือกแพทย์ + ประเภทบริการ + ช่วงเวลา &gt;&gt; บันทึก (ระบบเช็คอินให้อัตโนมัติ)
[5]  พยาบาลกด "พร้อมตรวจ" ที่หน้ารายการผู้ป่วยนอก
[6] พยาบาลหน้าห้องเรียกคิวผู้ป่วยพบแพทย์</t>
  </si>
  <si>
    <t>หน่วยบริการ แผนกอายุรกรรม · ช่องบริการ ก่อนตรวจ · ลงตาราง: แพทย์ ดร. วิชัย รัตน์ เอื้อเฟื้อ · ประเภทบริการ ตรวจครั้งแรก · ฟอร์มคัดกรอง: Chief Complaint + Present Illness (บังคับ) + Vital Signs ครบ (Temp / BP / PR / RR / SpO2)</t>
  </si>
  <si>
    <t>- ผู้ป่วยแสดงในแท็บ "คำขอ Walk-in" และกดปุ่ม "แบบคัดกรอง" แล้วเปิดฟอร์มคัดกรองได้
- ฟอร์มคัดกรองบันทึกข้อมูลสำเร็จ ค่าสัญญาณชีพ (Vital Signs) ถูกบันทึกลงฐานข้อมูลและแสดงผลในชาร์ต
- ลงตารางแพทย์สำเร็จ ระบบเช็คอินให้อัตโนมัติ ได้เลขคิวพบแพทย์ และรายชื่อผู้ป่วยย้ายจากแท็บ "คำขอ Walk-in" ไปแท็บ "เช็คอิน" ทันที
- เมื่อกด "พร้อมตรวจ" สถานะผู้ป่วยอัปเดตเป็น "พร้อมตรวจ" และไปปรากฏในคิวรอตรวจของห้องตรวจแพทย์
- ระบบคิวแสดงสัญญาณหรือเสียงเรียกคิวผู้ป่วยหน้าห้องตรวจได้ตามลำดับ</t>
  </si>
  <si>
    <t>พยาบาลตรวจสอบ Order และแจ้งผู้ป่วยไปชำระเงิน</t>
  </si>
  <si>
    <t>พยาบาลตรวจสอบ Order ที่แพทย์สั่ง หรือหากมีคำสั่ง รคส [รคส คือการสั่งแทนแพทย์] และแจ้งผู้ป่วยไปชำระเงินก่อนตรวจ LAB / รังสี (เก็บ Specimen ที่ห้องแล็บหลังเช็คอิน — SMK-OPD-006)</t>
  </si>
  <si>
    <t>[1] ค้นหาผู้ป่วยจาก HN
[2] ตรวจสอบข้อมูล &gt;&gt; ทำการปิดสิทธิ UC (ระบุเลข End Point) &gt;&gt; ยอดที่เบิกไม่ได้ชำระเป็นเงินสด
[3] ห้องการเงินรับชำระเงินเฉพาะรายการจาก LAB หรือ รังสี &gt;&gt; เลือกวิธีการชำระเงิน &gt;&gt; กดชำระเงิน
[4] พิมพ์ใบเสร็จรับเงิน</t>
  </si>
  <si>
    <t>สิทธิ H03 - สิทธิ UC + เงินสด · ปิดสิทธิ UC ด้วยเลข End Point (ประเภทบัตร 60 · Terminal ID / Trace / End Point เลขสุ่ม) · ห้องการเงินชั้น 1 · วิธีชำระ เงินสด</t>
  </si>
  <si>
    <t>- ค้นหา HN แล้วพบเฉพาะรายการค่าใช้จ่ายของ Lab และ รังสี ที่ส่งมาจากห้องตรวจถูกต้อง
- ปิดสิทธิ UC ด้วยเลข End Point ได้ถูกต้อง และยอดที่เบิกไม่ได้ชำระเป็นเงินสดได้ (ถ้าสิทธิ UC ครอบคลุมทั้งหมด ยอดต้องชำระเป็น 0)
- เมื่อกดรับชำระเงิน ระบบบันทึกยอดเงินเข้าสู่ระบบ Cashier ได้สำเร็จ และพิมพ์ "ใบเสร็จรับเงิน" ที่มีเลขที่ใบเสร็จถูกต้อง
- สถานะค่าใช้จ่ายของรายการ Lab/X-ray เปลี่ยนเป็น "ชำระเงินแล้ว (Paid)" ซึ่งปลดล็อกให้ห้อง Lab สามารถกดรับตรวจได้</t>
  </si>
  <si>
    <t>[1] ค้นหาผู้ป่วยจาก HN &gt;&gt; เจ้าหน้าที่ Center LAB ชั้น 3 กด "เช็คอิน" (เลือกประเภทคิว) และรับคิว LAB
[2] ผู้ป่วยเก็บ Specimen ที่ Center LAB ชั้น 3 &gt;&gt; เจ้าหน้าที่ LAB พิมพ์สติ๊กเกอร์ติดหลอดเลือด/ปัสสาวะ &gt;&gt; กด "เก็บแล้ว"
[3] เจ้าหน้าที่ Center LAB ชั้น 3 ส่ง Specimen ไปยังห้องปฏิบัติการชั้น 6 &gt;&gt; ห้องปฏิบัติการชั้น 6 กด "รับแล้ว"
[4] เจ้าหน้าที่ห้องปฏิบัติการ ชั้น 6 ตรวจสอบ Specimen และนำเข้าเครื่องวิเคราะห์ &gt;&gt; รายงานผล LAB เอง (ยังไม่เชื่อมต่อระบบ LIS) และกดยืนยันผล (Approve)
[5] ผล LAB แสดงในระบบของผู้ป่วย</t>
  </si>
  <si>
    <t>Lab LAB0000001 (Glucose) · ห้องปฏิบัติการ ชั้น 6 · ยังไม่เชื่อมต่อ LIS — ห้องแล็บลงผลเอง</t>
  </si>
  <si>
    <t>[1] พยาบาล: รายการผู้ป่วยนอก ช่องบริการ "หลังตรวจ" &gt;&gt; กด "จำหน่าย" &gt;&gt; แบบฟอร์ม Discharge (จำหน่ายรูปแบบอื่น With Approval) &gt;&gt; พิมพ์คิวห้องยา / การเงิน &gt;&gt; บันทึก
[2] เภสัชกรรม: เปิดดูรายการใบสั่งยารอสร้างใบยา (Tab "Order รอยืนยัน")
[3] เภสัชกรรม: สร้างใบยา (ตรวจสอบรายการยา + Drug Interaction/Allergy check · ติ๊ก "Print ฉลากยาอัตโนมัติ") → ระบบส่งค่าใช้จ่ายไปห้องการเงิน
[4] เภสัชกรรม: จัดรายการยา ("จัดยาแล้ว"), ตรวจสอบยา และ ยืนยันใบยา ("ยืนยันรอจ่าย")
[5] การเงิน: ค้นหาผู้ป่วยจาก HN หรือ ใบนำทาง
[6] การเงิน: ตรวจสอบรายการค่ายา → รับชำระเงิน / ปิดสิทธิการรักษา → พิมพ์ใบเสร็จ
[7] การเงิน: สถานะการชำระเงินอัปเดตเป็น "ชำระแล้ว" ส่งกลับห้องยา
[8] เภสัชกรรม: เรียกคิวผู้ป่วยรับยา → อธิบายการใช้ยา → ติ๊กทบทวนยา → กด "จ่ายยา" (Dispense)
[9] การเงิน: กด "ปิด Visit" → Visit การรักษาของผู้ป่วย OPD เสร็จสิ้น</t>
  </si>
  <si>
    <t>- พยาบาลจำหน่ายได้ สถานะผู้ป่วยเป็น "จำหน่าย" และพิมพ์คิวห้องยา / การเงินได้
- ระบบแจ้งเตือน Drug Interaction / Allergy ทันทีหากมียาตีกัน หรือผู้ป่วยแพ้ยา
- การสร้างใบยาทำให้เกิดการ ตัดยอดสต็อกยาในระบบคลัง (hiventory) อัตโนมัติ และยอดค่าใช้จ่ายถูกส่งไปที่การเงินทันที
- การเงินสรุปค่าใช้จ่าย ออกใบแจ้งหนี้ รับชำระเงินสำเร็จ และอัปเดตสถานะเป็น "ชำระเงินแล้ว"
- เมื่อกดสร้างใบยา ระบบ Auto-print ฉลากยาออกมาอัตโนมัติ
- หลังการเงินรับชำระ หน้าจอเภสัชกรรมแสดงสถานะ "ชำระเงินแล้ว"
- เมื่อเภสัชกรกดยืนยันจ่ายยา ใบยาย้ายไปแท็บ "จ่ายยาแล้ว"
- เมื่อการเงินกด "ปิด Visit" สถานะ Visit ถูกปรับเป็น "เสร็จสิ้น (Closed Visit)" ถือเป็นการสิ้นสุดกระบวนการ OPD</t>
  </si>
  <si>
    <t>SBH-2785</t>
  </si>
  <si>
    <t>[ER] [บัตรคิว] เพิ่ม Barcode HN</t>
  </si>
  <si>
    <t>Thanadon (Modern)</t>
  </si>
  <si>
    <t>SBH-2629</t>
  </si>
  <si>
    <t>[ER] [ Nurse Focus Note ] เพิ่ม Feature Note template</t>
  </si>
  <si>
    <t>Suchat Chancherngsilapakul</t>
  </si>
  <si>
    <t>SBH-2593</t>
  </si>
  <si>
    <t>[ER] [ Order Summary ] Improve order summary ER</t>
  </si>
  <si>
    <t>SBH-2532</t>
  </si>
  <si>
    <t>[EMR] [CDSS] - Food drug allergy: เช่น Contrast Media-Seafood/Egg-vaccine</t>
  </si>
  <si>
    <t>jetsadaporn (Dew)</t>
  </si>
  <si>
    <t>SBH-2530</t>
  </si>
  <si>
    <t>[ER] [ CPR-Progression ] Improve CPR Progression</t>
  </si>
  <si>
    <t>SBH-2528</t>
  </si>
  <si>
    <t>[Bug][ER][Disposiontion] - ดูประวัติ Disposition</t>
  </si>
  <si>
    <t>SBH-2470</t>
  </si>
  <si>
    <t>[ER] [ Triage หมู่ ] Improve Mass causualty Incident</t>
  </si>
  <si>
    <t>SBH-2457</t>
  </si>
  <si>
    <t>[EMR] [Form] ประกอบและปรับแต่ง Form OPD note/Pre-assessment จากการ Restructure EHR base</t>
  </si>
  <si>
    <t>Puwadon (Pooh)</t>
  </si>
  <si>
    <t>SMK-OPD-002, SMK-OPD-003</t>
  </si>
  <si>
    <t>SBH-2439</t>
  </si>
  <si>
    <t>[Pharmacy] Product set up: หน้าทะเบียนยาไม่มีจุด Set Dispensing unit</t>
  </si>
  <si>
    <t>Chalermrat (Bess)</t>
  </si>
  <si>
    <t>SBH-2438</t>
  </si>
  <si>
    <t>[ER][Refactor] - Refactor ER Component</t>
  </si>
  <si>
    <t>SMK-ER-001, SMK-ER-002, SMK-ER-003</t>
  </si>
  <si>
    <t>SBH-2424</t>
  </si>
  <si>
    <t>[Bug][Appointment][Physician Schedule] Restore open-ended routine availability</t>
  </si>
  <si>
    <t>Panat (Por)</t>
  </si>
  <si>
    <t>SBH-2374</t>
  </si>
  <si>
    <t>[Bug] [ Pharmacy ] Sticker ยาภาษาไทยหายไปจาก SBH PRD</t>
  </si>
  <si>
    <t>SBH-2373</t>
  </si>
  <si>
    <t>[Bug][ER][Triage] - ไม่สามารถบันทึก Form Triage, Physicia_note ได้</t>
  </si>
  <si>
    <t>SMK-ER-002, SMK-ER-003</t>
  </si>
  <si>
    <t>SBH-2372</t>
  </si>
  <si>
    <t>[Pharmacy] ระบบยังไม่สามารถพิมพ์ฉลากยา/ใบยา ที่กำหนดจำนวนเป็น "0" ได้</t>
  </si>
  <si>
    <t>Neranchara Kaewsiri</t>
  </si>
  <si>
    <t>SBH-2371</t>
  </si>
  <si>
    <t>[ER][Registration] - เพิ่ม Field: คำนำหน้าชื่อ + แนบ รูป Profile จากบัตร ประชาชน</t>
  </si>
  <si>
    <t>SBH-2360</t>
  </si>
  <si>
    <t>[Registration] [OPD] ใบนำทาง: Form for SBH &amp; improvement</t>
  </si>
  <si>
    <t>SBH-2247</t>
  </si>
  <si>
    <t>[Pharmacy] Compound medicine Improvement: Work space ห้องผสมยา</t>
  </si>
  <si>
    <t>SBH-2246</t>
  </si>
  <si>
    <t>[Pharmacy] Compound medicine Improvement: Compound set up (สูตรยาผสม)</t>
  </si>
  <si>
    <t>SBH-2245</t>
  </si>
  <si>
    <t>[CPOE] [Order] Compound medicine Improvement: Order Compound from Order note</t>
  </si>
  <si>
    <t>SBH-2236</t>
  </si>
  <si>
    <t>[ER] [ Patient list ] ผู้ป่วยรายชื่อหายไปหลัง เที่ยงคืน</t>
  </si>
  <si>
    <t>SBH-2233</t>
  </si>
  <si>
    <t>[OPD] [Queue] Queue Improvement</t>
  </si>
  <si>
    <t>Nattanan (Frame)</t>
  </si>
  <si>
    <t>SMK-OPD-001, SMK-OPD-009</t>
  </si>
  <si>
    <t>SBH-1732</t>
  </si>
  <si>
    <t>[OPD][Pharmacy] เพิ่มปุ่ม/จุด Print ใบ Refill ยา (ปัจจุบันและย้อนหลัง)</t>
  </si>
  <si>
    <t>SBH-1719</t>
  </si>
  <si>
    <t>[ER] [ QUEUE ] หน้าจอแสดง QUEUE List สำหรับผู้ป่วย</t>
  </si>
  <si>
    <t>SBH-1685</t>
  </si>
  <si>
    <t>[Bug][Pharmacy] [หน้าสร้างใบยา] - ไม่แสดง VN และ ชื่อ Clinic และ ไม่ Default สิทธิ์ให้</t>
  </si>
  <si>
    <t>SBH-1430</t>
  </si>
  <si>
    <t>[Bug] [Cashier] [Account chart item] - รายการยาที่ยกเลิกยังคงค้างอยู่ในAccount_chart_item กรณียกเลิกใบยา</t>
  </si>
  <si>
    <t>SBH-1384</t>
  </si>
  <si>
    <t>[Bug] [OPD] [EMR] - แก้ไขข้อมูลคนไข้แล้วสร้างเอกสาร Refer Out ไม่สำเร็จ</t>
  </si>
  <si>
    <t>SBH-1309</t>
  </si>
  <si>
    <t>[Pharmacy] ฉลากยาภาษาอังกฤษ</t>
  </si>
  <si>
    <t>SBH-1290</t>
  </si>
  <si>
    <t>[Registration] ข้อมูลผู้ป่วย ที่อยู่ เช่น ทะเบียนบ้าน ตำบล ถนน หมู่ ควรแยก field ของตัวเอง เพราะใช้นำส่ง 43 แฟ้ม</t>
  </si>
  <si>
    <t>SBH-1143</t>
  </si>
  <si>
    <t>[OPD] [EMR] Improvement สำหรับ เอกสาร Refer-out</t>
  </si>
  <si>
    <t>SBH-1116</t>
  </si>
  <si>
    <t>[Bug] [EMR] [Activity] ไม่สามารถบันทึกการทำหัตถการได้ในเมนูหัตถการ</t>
  </si>
  <si>
    <t>Jenwich (Pum)</t>
  </si>
  <si>
    <t>SBH-1016</t>
  </si>
  <si>
    <t>[ER][OPD] Integrate MOPH Refer - Refer Out</t>
  </si>
  <si>
    <t>SBH-916</t>
  </si>
  <si>
    <t>[EMR][LAB Result] search by item ได้แล้ว ต้องการ search and filter by Group ด้วย</t>
  </si>
  <si>
    <t>SBH-887</t>
  </si>
  <si>
    <t>[Pre-Assessment] improvement</t>
  </si>
  <si>
    <t>Anirut (Aof)</t>
  </si>
  <si>
    <t>SBH-864</t>
  </si>
  <si>
    <t>[CPOE] [Order] Form เอกสารประกอบการสั่งยา ปรับให้เป็น Prefill ติ๊กตามสิทธิที่เปิดมา</t>
  </si>
  <si>
    <t>SBH-498</t>
  </si>
  <si>
    <t>[EMR] [Patient History] Label แสดงสถานะ "On Warfarin" บน Patient Banner</t>
  </si>
  <si>
    <t>SBH-471</t>
  </si>
  <si>
    <t>[Pharmacy][Refill] Unified prescription review — new orders + active refills shown together</t>
  </si>
  <si>
    <t>SBH-417</t>
  </si>
  <si>
    <t>[CPOE] [order] รวมค่าใช้จ่ายผู้ป่วย</t>
  </si>
  <si>
    <t>SBH-408</t>
  </si>
  <si>
    <t>[EMR] Clinical Summary</t>
  </si>
  <si>
    <t>v2.9.0</t>
  </si>
  <si>
    <t>SMK-OPD-011</t>
  </si>
  <si>
    <t>SMK-OPD-010</t>
  </si>
  <si>
    <t>ส่งตัวผู้ป่วยไปรักษาต่อที่โรงพยาบาลอื่น (Refer out)</t>
  </si>
  <si>
    <t>แพทย์ตรวจและสั่งยา พยาบาลจำหน่ายผู้ป่วยแบบส่งต่อ (By Transfer) พร้อมสร้างเอกสาร Refer out แล้วผู้ป่วยชำระเงินและรับยาก่อนไปโรงพยาบาลปลายทาง</t>
  </si>
  <si>
    <t>[1] ผู้ป่วยผ่าน SMK-OPD-001 – SMK-OPD-003 (แพทย์บันทึก OPD Note + Diagnosis + สั่งยา) &gt;&gt; แพทย์เปลี่ยนสถานะเป็น "ตรวจเสร็จ"
[2] พยาบาล: รายการผู้ป่วยนอก ช่องบริการ "หลังตรวจ" &gt;&gt; กด "จำหน่าย" &gt;&gt; แบบฟอร์ม Discharge เลือก "จำหน่ายรูปแบบอื่น" = By Transfer &gt;&gt; กด "บันทึก"
[3] ระบบแจ้งให้สร้างเอกสารก่อน &gt;&gt; แผง "สร้างเอกสาร" แบบสำหรับส่งผู้ป่วยไปรับการตรวจหรือรักษาต่อ: วันที่ + สถานพยาบาลปลายทาง + ประเภทการส่งต่อ + การวินิจฉัยโรคขั้นต้น + สาเหตุการส่งต่อ &gt;&gt; กด "บันทึก"
[4] พยาบาลกด "บันทึก" แบบฟอร์ม Discharge อีกครั้ง
[5] เปิด EMR ของผู้ป่วย &gt;&gt; เมนู "เอกสาร" &gt;&gt; เปิดดู (View) เอกสารส่งต่อ
[6] ตรวจข้อมูล Refer out ที่ส่งไประบบ MOPH Refer
[7] เภสัชกรรม / การเงิน: สร้างใบยา &gt;&gt; ชำระเงิน &gt;&gt; จ่ายยา &gt;&gt; ปิด Visit (ขั้นเดียวกับ SMK-OPD-009 [2]–[9])</t>
  </si>
  <si>
    <t>ยา MED0000619 PARACETAMOL 500 MG TABLET (หรือ MED0000260) · Dx K30 · สถานพยาบาลปลายทาง โรงพยาบาลพระพุทธบาท · ประเภทการส่งต่อ รับไว้รักษาต่อ · สาเหตุการส่งต่อ ไม่เกิน 85 ตัวอักษร · พยาบาลจำหน่าย: บัญชี role Nurse</t>
  </si>
  <si>
    <t>- เลือก By Transfer แล้วกดบันทึก ระบบแจ้งให้สร้างเอกสารส่งต่อก่อน และเปิดแผงสร้างเอกสารให้
- แบบฟอร์มเติมแพทย์ผู้ลงนาม และการรักษาที่ได้ให้ไว้แล้ว (รายการยาที่สั่ง) ให้อัตโนมัติ
- บันทึกเอกสารสำเร็จ ขึ้นแจ้งเตือน "สร้างแบบสำหรับส่งผู้ป่วยไปรับการตรวจหรือรักษาต่อสำเร็จ" และจำนวน "เอกสารที่สร้างแล้ว" เพิ่มขึ้น
- บันทึก Discharge สำเร็จ สถานะผู้ป่วยเป็น "จำหน่าย" (รูปแบบจำหน่าย By Transfer)
- เมนูเอกสารแสดงเอกสารประเภท "ส่งต่อไปสถานพยาบาลอื่น" และเปิดดู PDF ได้ ข้อมูลผู้ป่วย / ปลายทาง / การวินิจฉัย / สาเหตุการส่งต่อ ถูกต้อง
- ข้อมูล Refer out ปรากฏในระบบ MOPH Refer ตรงกับเอกสารส่งต่อ
- ชำระเงิน / จ่ายยา / ปิด Visit สำเร็จเหมือน SMK-OPD-009</t>
  </si>
  <si>
    <t>ขั้น [6] (MOPH Refer) ยังไม่ได้สำรวจหน้าจอ · ช่องค้นหาสถานพยาบาลปลายทางบน SBH Prod เคยค้นไม่ได้ (422 — 19 ต.ค. 2026) ต้องพิมพ์ชื่อเอง</t>
  </si>
  <si>
    <t>แพทย์สั่งยาพร้อมแผนเติมยา (Refill) → ห้องยาจ่ายยาครั้งนี้ + พิมพ์ใบ Refill → ผู้ป่วยกลับมารับยาตามรอบ</t>
  </si>
  <si>
    <t>แพทย์สั่งยาต่อเนื่องแบบแบ่งจ่ายเป็นรอบ (Refill) เภสัชกรจ่ายยาครั้งนี้และพิมพ์ใบ Refill ให้ผู้ป่วย แล้วผู้ป่วยกลับมารับยารอบถัดไปด้วย Visit "รับยาต่อเนื่อง (Refill)"</t>
  </si>
  <si>
    <t>[1] แพทย์ (ต่อจาก SMK-OPD-002): คำสั่งการรักษา &gt;&gt; ค้นหายา &gt;&gt; ระบุ ขนาดยา + Route + ความถี่ + ระยะเวลา &gt;&gt; เพิ่มลงตะกร้า
[2] กดปุ่ม "refill (n)" &gt;&gt; หน้าต่าง "จัดการการเติมยา (Refill)": ระบุระยะเวลาต่อรอบ &gt;&gt; "+ เพิ่มครั้ง" ตามจำนวนรอบ &gt;&gt; กรอกจำนวนยาแต่ละรอบ &gt;&gt; ยืนยัน
[3] กด "ส่งคำสั่ง" &gt;&gt; กด "พิมพ์ใบค้างจ่ายยา/ใบ Refill ยา" &gt;&gt; แพทย์เปลี่ยนสถานะเป็น "ตรวจเสร็จ"
[4] เภสัชกรรม: Tab "Order รอยืนยัน" &gt;&gt; หน้ารับออเดอร์ (ยาครั้งนี้ + ส่วน "ยา Refill") &gt;&gt; สร้างใบยา &gt;&gt; จัดยาแล้ว &gt;&gt; ยืนยันรอจ่าย
[5] การเงิน: รับชำระเงิน &gt;&gt; เภสัชกรรม: จ่ายยา &gt;&gt; หน้าใบยา "พิมพ์ใบยา ▾" &gt;&gt; "พิมพ์ใบ Refill ยา"
[6] เภสัชกรรม: Tab "Order เติมยา" ตรวจ Task รอบเติมยาของผู้ป่วย
[7] การเงิน: กด "ปิด Visit"
[8] รอบถัดไป: เวชระเบียนเปิด Visit ใหม่ ช่อง "หรือรับบริการ" = รับยาต่อเนื่อง (Refill) &gt;&gt; ห้องยา Tab "Order เติมยา" ติ๊ก Task รอบที่ 1 &gt;&gt; "นำไปสร้างใบยา" &gt;&gt; สร้างใบยา &gt;&gt; ชำระเงิน &gt;&gt; จ่ายยา</t>
  </si>
  <si>
    <t>ยา MED0000619 PARACETAMOL 500 MG TABLET · ตัวอย่างแผน: ยอดรวม 28 = จ่ายครั้งนี้ 7 + Refill 3 รอบ × 7 (ระยะเวลาต่อรอบ 7 วัน)</t>
  </si>
  <si>
    <t>- หน้าต่าง Refill คำนวณ "จ่ายครั้งนี้" = ยอดรวม − ผลรวมทุกรอบ และวันที่ของแต่ละรอบตามระยะเวลาที่ระบุ แล้วบันทึกแผนสำเร็จ
- ตะกร้าแสดงไอคอน Refill + จำนวนจ่ายครั้งนี้ และ tooltip "จ่ายครั้งนี้ / ยอดรวม · Refill 0 of n"
- พิมพ์ใบ Refill ยาได้ทั้งจาก CPOE และหน้าใบยา เอกสารแสดงยา จำนวน และวันที่ให้ยาเติมของแต่ละรอบถูกต้อง
- หน้ารับออเดอร์ของห้องยาแสดงยาครั้งนี้และรอบเติมยาครบ ใบยาออกจำนวนเท่ากับ "จ่ายครั้งนี้"
- Tab "Order เติมยา" มี Task ครบทุกรอบ สถานะ "ยังไม่เติม" พร้อมวันที่มาเติม
- รอบถัดไป: นำ Task ไปสร้างใบยาได้ Task เปลี่ยนเป็น "กำลังเติมยา" → จ่ายยาแล้วเป็น "เติมยาแล้ว" และ CPOE ของ Order ต้นทางแสดง "Refill 1 of n"</t>
  </si>
  <si>
    <t>Flow นี้ทดสอบมาแล้วบน dev-x (การ์ด SBH-841 / 1730–1738 / 2126 / 2127) ยังไม่เคยรันบน SBH Prod · ขั้น [8] ต้องเปิด Visit Refill ของวันเดียวกับที่สร้างใบยา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</si>
</sst>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\ &quot;Scenarios&quot;"/>
    <numFmt numFmtId="166" formatCode="yyyy\-mm\-dd"/>
    <numFmt numFmtId="167" formatCode="#,##0;\(#,##0\);&quot;-&quot;"/>
    <numFmt numFmtId="168" formatCode="0.0%;\(0.0%\);&quot;-&quot;"/>
    <numFmt numFmtId="169" formatCode="#,##0;;&quot;&quot;"/>
    <numFmt numFmtId="170" formatCode="0\ &quot;days&quot;"/>
  </numFmts>
  <fonts count="7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FFFF"/>
      <name val="Aptos"/>
    </font>
    <font>
      <b/>
      <sz val="16"/>
      <color rgb="FFFFFFFF"/>
      <name val="Calibri"/>
      <family val="2"/>
    </font>
    <font>
      <sz val="16"/>
      <color theme="1"/>
      <name val="Calibri"/>
      <family val="2"/>
      <scheme val="minor"/>
    </font>
    <font>
      <i/>
      <sz val="11"/>
      <color theme="0" tint="-0.249977111117893"/>
      <name val="Calibri"/>
      <family val="2"/>
      <scheme val="minor"/>
    </font>
    <font>
      <b/>
      <i/>
      <sz val="10"/>
      <color theme="1" tint="0.499984740745262"/>
      <name val="Aptos"/>
    </font>
    <font>
      <sz val="10"/>
      <color theme="1"/>
      <name val="Calibri"/>
      <family val="2"/>
      <scheme val="minor"/>
    </font>
    <font>
      <i/>
      <sz val="14"/>
      <color theme="2" tint="-0.249977111117893"/>
      <name val="Calibri"/>
      <family val="2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i/>
      <sz val="11"/>
      <color rgb="FF595959"/>
      <name val="Calibri"/>
      <family val="2"/>
      <scheme val="minor"/>
    </font>
    <font>
      <sz val="11"/>
      <color theme="1"/>
      <name val="Calibri"/>
    </font>
    <font>
      <b/>
      <sz val="20"/>
      <color rgb="FF1F3864"/>
      <name val="Calibri"/>
    </font>
    <font>
      <i/>
      <sz val="10"/>
      <color rgb="FF595959"/>
      <name val="Calibri"/>
    </font>
    <font>
      <b/>
      <sz val="13"/>
      <color rgb="FFFFFFFF"/>
      <name val="Calibri"/>
    </font>
    <font>
      <b/>
      <sz val="11"/>
      <color rgb="FF1F3864"/>
      <name val="Calibri"/>
    </font>
    <font>
      <b/>
      <sz val="11"/>
      <color theme="1"/>
      <name val="Calibri"/>
    </font>
    <font>
      <b/>
      <sz val="11"/>
      <color rgb="FF006100"/>
      <name val="Calibri"/>
    </font>
    <font>
      <b/>
      <sz val="11"/>
      <color rgb="FF548235"/>
      <name val="Calibri"/>
    </font>
    <font>
      <b/>
      <sz val="11"/>
      <color rgb="FF9C0006"/>
      <name val="Calibri"/>
    </font>
    <font>
      <b/>
      <sz val="11"/>
      <color rgb="FF9C5700"/>
      <name val="Calibri"/>
    </font>
    <font>
      <b/>
      <sz val="11"/>
      <color rgb="FF595959"/>
      <name val="Calibri"/>
    </font>
    <font>
      <b/>
      <sz val="12"/>
      <color rgb="FFFFFFFF"/>
      <name val="Calibri"/>
      <family val="2"/>
      <scheme val="minor"/>
    </font>
    <font>
      <b/>
      <sz val="30"/>
      <color rgb="FF1F3864"/>
      <name val="Calibri"/>
      <family val="2"/>
      <scheme val="minor"/>
    </font>
    <font>
      <sz val="10"/>
      <color rgb="FF404040"/>
      <name val="Calibri"/>
      <family val="2"/>
      <scheme val="minor"/>
    </font>
    <font>
      <i/>
      <sz val="9"/>
      <color rgb="FF7F7F7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0"/>
      <color rgb="FF595959"/>
      <name val="Calibri"/>
      <family val="2"/>
    </font>
    <font>
      <b/>
      <sz val="16"/>
      <color rgb="FF000000"/>
      <name val="Calibri"/>
      <family val="2"/>
    </font>
    <font>
      <b/>
      <sz val="13"/>
      <color rgb="FF1F3864"/>
      <name val="Calibri"/>
      <family val="2"/>
    </font>
    <font>
      <b/>
      <sz val="13"/>
      <color rgb="FF000000"/>
      <name val="Calibri"/>
      <family val="2"/>
    </font>
    <font>
      <b/>
      <sz val="13"/>
      <color rgb="FFFFFFFF"/>
      <name val="Calibri"/>
      <family val="2"/>
    </font>
    <font>
      <sz val="11"/>
      <color rgb="FF7F6000"/>
      <name val="Calibri"/>
      <family val="2"/>
    </font>
    <font>
      <b/>
      <sz val="11"/>
      <color rgb="FFC00000"/>
      <name val="Calibri"/>
      <family val="2"/>
    </font>
    <font>
      <sz val="11"/>
      <color rgb="FF404040"/>
      <name val="Calibri"/>
      <family val="2"/>
    </font>
    <font>
      <sz val="11"/>
      <color rgb="FF404040"/>
      <name val="Calibri"/>
      <family val="2"/>
    </font>
    <font>
      <sz val="9"/>
      <name val="Tahoma"/>
    </font>
    <font>
      <b/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rgb="FF595959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0"/>
      <color theme="1"/>
      <name val="Calibri"/>
    </font>
    <font>
      <b/>
      <sz val="16"/>
      <color rgb="FF1F3864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theme="1"/>
      <name val="Calibri"/>
    </font>
    <font>
      <sz val="10"/>
      <color rgb="FF008000"/>
      <name val="Calibri"/>
    </font>
    <font>
      <sz val="10"/>
      <color rgb="FF0000FF"/>
      <name val="Calibri"/>
    </font>
    <font>
      <sz val="8"/>
      <color rgb="FF808080"/>
      <name val="Calibri"/>
    </font>
    <font>
      <b/>
      <sz val="10"/>
      <color rgb="FFC00000"/>
      <name val="Calibri"/>
    </font>
    <font>
      <b/>
      <sz val="10"/>
      <color rgb="FF9C5700"/>
      <name val="Calibri"/>
    </font>
    <font>
      <b/>
      <sz val="10"/>
      <color rgb="FF006100"/>
      <name val="Calibri"/>
    </font>
    <font>
      <i/>
      <sz val="8"/>
      <color theme="1"/>
      <name val="Calibri"/>
    </font>
    <font>
      <i/>
      <sz val="8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/>
      <right style="medium">
        <color rgb="FF163B5C"/>
      </right>
      <top style="medium">
        <color rgb="FF163B5C"/>
      </top>
      <bottom/>
      <diagonal/>
    </border>
    <border>
      <left/>
      <right/>
      <top/>
      <bottom style="medium">
        <color rgb="FF1F4E78"/>
      </bottom>
      <diagonal/>
    </border>
    <border>
      <left/>
      <right/>
      <top style="medium">
        <color rgb="FF163B5C"/>
      </top>
      <bottom/>
      <diagonal/>
    </border>
    <border>
      <left/>
      <right/>
      <top/>
      <bottom style="medium">
        <color rgb="FF1F3864"/>
      </bottom>
      <diagonal/>
    </border>
    <border>
      <left/>
      <right/>
      <top style="medium">
        <color rgb="FF1F3864"/>
      </top>
      <bottom/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/>
      <right style="medium">
        <color rgb="FF1F3864"/>
      </right>
      <top/>
      <bottom/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4" fillId="2" borderId="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14" fillId="0" borderId="0" xfId="0" applyFont="1"/>
    <xf numFmtId="0" fontId="14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9" fillId="0" borderId="0" xfId="0" applyFont="1" applyAlignment="1">
      <alignment vertical="center" wrapText="1"/>
    </xf>
    <xf numFmtId="0" fontId="45" fillId="0" borderId="0" xfId="0" applyFont="1" applyAlignment="1">
      <alignment vertical="center" wrapText="1"/>
    </xf>
    <xf numFmtId="0" fontId="0" fillId="0" borderId="0" xfId="0" applyAlignment="1" applyProtection="1">
      <alignment vertical="top"/>
      <protection locked="0"/>
    </xf>
    <xf numFmtId="0" fontId="0" fillId="16" borderId="0" xfId="0" applyFill="1" applyAlignment="1" applyProtection="1">
      <alignment vertical="center"/>
      <protection locked="0"/>
    </xf>
    <xf numFmtId="0" fontId="47" fillId="18" borderId="0" xfId="0" applyFont="1" applyFill="1" applyAlignment="1">
      <alignment vertical="top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2" fillId="0" borderId="0" xfId="0" applyFont="1" applyProtection="1">
      <protection locked="0"/>
    </xf>
    <xf numFmtId="14" fontId="9" fillId="0" borderId="0" xfId="0" applyNumberFormat="1" applyFont="1" applyProtection="1">
      <protection locked="0"/>
    </xf>
    <xf numFmtId="0" fontId="2" fillId="4" borderId="0" xfId="0" applyFont="1" applyFill="1" applyProtection="1">
      <protection locked="0"/>
    </xf>
    <xf numFmtId="0" fontId="2" fillId="4" borderId="0" xfId="0" applyFont="1" applyFill="1" applyAlignment="1" applyProtection="1">
      <alignment horizontal="left"/>
      <protection locked="0"/>
    </xf>
    <xf numFmtId="164" fontId="2" fillId="4" borderId="0" xfId="0" applyNumberFormat="1" applyFont="1" applyFill="1" applyAlignment="1" applyProtection="1">
      <alignment horizontal="left"/>
      <protection locked="0"/>
    </xf>
    <xf numFmtId="0" fontId="4" fillId="2" borderId="2" xfId="0" applyFont="1" applyFill="1" applyBorder="1" applyAlignment="1" applyProtection="1">
      <alignment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6" fillId="0" borderId="0" xfId="0" applyFont="1" applyAlignment="1" applyProtection="1">
      <alignment vertical="top" wrapText="1"/>
      <protection locked="0"/>
    </xf>
    <xf numFmtId="0" fontId="11" fillId="4" borderId="0" xfId="0" applyFont="1" applyFill="1" applyAlignment="1" applyProtection="1">
      <alignment vertical="top" wrapText="1"/>
      <protection locked="0"/>
    </xf>
    <xf numFmtId="0" fontId="0" fillId="0" borderId="0" xfId="0" quotePrefix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top"/>
      <protection locked="0"/>
    </xf>
    <xf numFmtId="0" fontId="10" fillId="0" borderId="0" xfId="0" applyFont="1" applyAlignment="1" applyProtection="1">
      <alignment horizontal="center" vertical="top"/>
      <protection locked="0"/>
    </xf>
    <xf numFmtId="0" fontId="12" fillId="4" borderId="0" xfId="0" applyFont="1" applyFill="1" applyAlignment="1" applyProtection="1">
      <alignment horizontal="center" vertical="top"/>
      <protection locked="0"/>
    </xf>
    <xf numFmtId="0" fontId="1" fillId="4" borderId="0" xfId="0" applyFont="1" applyFill="1" applyAlignment="1" applyProtection="1">
      <alignment horizontal="center" vertical="top"/>
      <protection locked="0"/>
    </xf>
    <xf numFmtId="0" fontId="5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top"/>
      <protection locked="0"/>
    </xf>
    <xf numFmtId="14" fontId="0" fillId="0" borderId="0" xfId="0" applyNumberFormat="1" applyAlignment="1" applyProtection="1">
      <alignment horizontal="center" vertical="top"/>
      <protection locked="0"/>
    </xf>
    <xf numFmtId="0" fontId="38" fillId="13" borderId="13" xfId="0" applyFont="1" applyFill="1" applyBorder="1" applyAlignment="1">
      <alignment vertical="top" wrapText="1"/>
    </xf>
    <xf numFmtId="0" fontId="38" fillId="18" borderId="13" xfId="0" applyFont="1" applyFill="1" applyBorder="1" applyAlignment="1">
      <alignment vertical="top" wrapText="1"/>
    </xf>
    <xf numFmtId="0" fontId="37" fillId="0" borderId="13" xfId="0" applyFont="1" applyBorder="1" applyAlignment="1">
      <alignment vertical="top" wrapText="1"/>
    </xf>
    <xf numFmtId="0" fontId="37" fillId="17" borderId="13" xfId="0" applyFont="1" applyFill="1" applyBorder="1" applyAlignment="1">
      <alignment vertical="top" wrapText="1"/>
    </xf>
    <xf numFmtId="166" fontId="37" fillId="0" borderId="13" xfId="0" applyNumberFormat="1" applyFont="1" applyBorder="1" applyAlignment="1">
      <alignment vertical="top" wrapText="1"/>
    </xf>
    <xf numFmtId="0" fontId="18" fillId="13" borderId="13" xfId="0" applyFont="1" applyFill="1" applyBorder="1" applyAlignment="1">
      <alignment horizontal="center" vertical="center"/>
    </xf>
    <xf numFmtId="0" fontId="20" fillId="5" borderId="13" xfId="0" applyFont="1" applyFill="1" applyBorder="1" applyAlignment="1">
      <alignment vertical="center"/>
    </xf>
    <xf numFmtId="0" fontId="19" fillId="0" borderId="13" xfId="0" applyFont="1" applyBorder="1" applyAlignment="1">
      <alignment horizontal="center" vertical="center"/>
    </xf>
    <xf numFmtId="164" fontId="14" fillId="0" borderId="13" xfId="0" applyNumberFormat="1" applyFont="1" applyBorder="1" applyAlignment="1">
      <alignment horizontal="center" vertical="center"/>
    </xf>
    <xf numFmtId="0" fontId="19" fillId="18" borderId="13" xfId="0" applyFont="1" applyFill="1" applyBorder="1" applyAlignment="1">
      <alignment vertical="center"/>
    </xf>
    <xf numFmtId="0" fontId="19" fillId="18" borderId="13" xfId="0" applyFont="1" applyFill="1" applyBorder="1" applyAlignment="1">
      <alignment horizontal="center" vertical="center"/>
    </xf>
    <xf numFmtId="0" fontId="21" fillId="6" borderId="13" xfId="0" applyFont="1" applyFill="1" applyBorder="1" applyAlignment="1">
      <alignment vertical="center"/>
    </xf>
    <xf numFmtId="0" fontId="22" fillId="7" borderId="13" xfId="0" applyFont="1" applyFill="1" applyBorder="1" applyAlignment="1">
      <alignment vertical="center"/>
    </xf>
    <xf numFmtId="0" fontId="23" fillId="8" borderId="13" xfId="0" applyFont="1" applyFill="1" applyBorder="1" applyAlignment="1">
      <alignment vertical="center"/>
    </xf>
    <xf numFmtId="9" fontId="37" fillId="0" borderId="13" xfId="0" applyNumberFormat="1" applyFont="1" applyBorder="1" applyAlignment="1">
      <alignment vertical="top" wrapText="1"/>
    </xf>
    <xf numFmtId="0" fontId="24" fillId="9" borderId="13" xfId="0" applyFont="1" applyFill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9" fillId="17" borderId="13" xfId="0" applyFont="1" applyFill="1" applyBorder="1" applyAlignment="1">
      <alignment vertical="center"/>
    </xf>
    <xf numFmtId="0" fontId="19" fillId="17" borderId="13" xfId="0" applyFont="1" applyFill="1" applyBorder="1" applyAlignment="1">
      <alignment horizontal="center" vertical="center"/>
    </xf>
    <xf numFmtId="0" fontId="32" fillId="13" borderId="12" xfId="0" applyFont="1" applyFill="1" applyBorder="1" applyAlignment="1">
      <alignment horizontal="center" vertical="center"/>
    </xf>
    <xf numFmtId="0" fontId="33" fillId="7" borderId="13" xfId="0" applyFont="1" applyFill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18" borderId="13" xfId="0" applyFont="1" applyFill="1" applyBorder="1" applyAlignment="1">
      <alignment horizontal="center" vertical="center"/>
    </xf>
    <xf numFmtId="0" fontId="34" fillId="8" borderId="13" xfId="0" applyFont="1" applyFill="1" applyBorder="1" applyAlignment="1">
      <alignment vertical="center"/>
    </xf>
    <xf numFmtId="0" fontId="1" fillId="18" borderId="13" xfId="0" applyFont="1" applyFill="1" applyBorder="1" applyAlignment="1">
      <alignment vertical="center"/>
    </xf>
    <xf numFmtId="0" fontId="35" fillId="10" borderId="13" xfId="0" applyFont="1" applyFill="1" applyBorder="1" applyAlignment="1">
      <alignment vertical="center"/>
    </xf>
    <xf numFmtId="0" fontId="0" fillId="0" borderId="13" xfId="0" applyBorder="1" applyAlignment="1">
      <alignment vertical="center"/>
    </xf>
    <xf numFmtId="0" fontId="40" fillId="14" borderId="2" xfId="0" applyFont="1" applyFill="1" applyBorder="1" applyAlignment="1" applyProtection="1">
      <alignment horizontal="center" vertical="center"/>
      <protection locked="0"/>
    </xf>
    <xf numFmtId="0" fontId="40" fillId="14" borderId="2" xfId="0" applyFont="1" applyFill="1" applyBorder="1" applyAlignment="1" applyProtection="1">
      <alignment vertical="center"/>
      <protection locked="0"/>
    </xf>
    <xf numFmtId="0" fontId="4" fillId="15" borderId="2" xfId="0" applyFont="1" applyFill="1" applyBorder="1" applyAlignment="1" applyProtection="1">
      <alignment horizontal="center" vertical="center"/>
      <protection locked="0"/>
    </xf>
    <xf numFmtId="0" fontId="4" fillId="15" borderId="2" xfId="0" applyFont="1" applyFill="1" applyBorder="1" applyAlignment="1" applyProtection="1">
      <alignment vertical="center"/>
      <protection locked="0"/>
    </xf>
    <xf numFmtId="0" fontId="44" fillId="17" borderId="0" xfId="0" applyFont="1" applyFill="1" applyAlignment="1" applyProtection="1">
      <alignment vertical="center" wrapText="1"/>
      <protection locked="0"/>
    </xf>
    <xf numFmtId="0" fontId="46" fillId="18" borderId="0" xfId="0" applyFont="1" applyFill="1" applyAlignment="1">
      <alignment vertical="top"/>
    </xf>
    <xf numFmtId="0" fontId="41" fillId="13" borderId="13" xfId="0" applyFont="1" applyFill="1" applyBorder="1" applyAlignment="1" applyProtection="1">
      <alignment vertical="center"/>
      <protection locked="0"/>
    </xf>
    <xf numFmtId="0" fontId="42" fillId="14" borderId="13" xfId="0" applyFont="1" applyFill="1" applyBorder="1" applyAlignment="1" applyProtection="1">
      <alignment vertical="center"/>
      <protection locked="0"/>
    </xf>
    <xf numFmtId="0" fontId="42" fillId="14" borderId="13" xfId="0" applyFont="1" applyFill="1" applyBorder="1" applyAlignment="1">
      <alignment vertical="center"/>
    </xf>
    <xf numFmtId="0" fontId="43" fillId="15" borderId="13" xfId="0" applyFont="1" applyFill="1" applyBorder="1" applyAlignment="1">
      <alignment vertical="center"/>
    </xf>
    <xf numFmtId="0" fontId="54" fillId="19" borderId="13" xfId="0" applyFont="1" applyFill="1" applyBorder="1" applyAlignment="1">
      <alignment horizontal="center" vertical="center" wrapText="1"/>
    </xf>
    <xf numFmtId="0" fontId="54" fillId="20" borderId="13" xfId="0" applyFont="1" applyFill="1" applyBorder="1" applyAlignment="1">
      <alignment horizontal="center" vertical="center" wrapText="1"/>
    </xf>
    <xf numFmtId="0" fontId="54" fillId="21" borderId="13" xfId="0" applyFont="1" applyFill="1" applyBorder="1" applyAlignment="1">
      <alignment horizontal="center" vertical="center" wrapText="1"/>
    </xf>
    <xf numFmtId="0" fontId="54" fillId="22" borderId="13" xfId="0" applyFont="1" applyFill="1" applyBorder="1" applyAlignment="1">
      <alignment horizontal="center" vertical="center" wrapText="1"/>
    </xf>
    <xf numFmtId="0" fontId="54" fillId="23" borderId="13" xfId="0" applyFont="1" applyFill="1" applyBorder="1" applyAlignment="1">
      <alignment horizontal="center" vertical="center" wrapText="1"/>
    </xf>
    <xf numFmtId="0" fontId="54" fillId="11" borderId="13" xfId="0" applyFont="1" applyFill="1" applyBorder="1" applyAlignment="1">
      <alignment horizontal="center" vertical="center" wrapText="1"/>
    </xf>
    <xf numFmtId="0" fontId="55" fillId="0" borderId="13" xfId="0" applyFont="1" applyBorder="1" applyAlignment="1">
      <alignment horizontal="left"/>
    </xf>
    <xf numFmtId="0" fontId="55" fillId="0" borderId="13" xfId="0" applyFont="1" applyBorder="1" applyAlignment="1">
      <alignment horizontal="center"/>
    </xf>
    <xf numFmtId="167" fontId="55" fillId="0" borderId="13" xfId="0" applyNumberFormat="1" applyFont="1" applyBorder="1" applyAlignment="1">
      <alignment horizontal="center"/>
    </xf>
    <xf numFmtId="168" fontId="55" fillId="0" borderId="13" xfId="0" applyNumberFormat="1" applyFont="1" applyBorder="1" applyAlignment="1">
      <alignment horizontal="center"/>
    </xf>
    <xf numFmtId="0" fontId="51" fillId="10" borderId="13" xfId="0" applyFont="1" applyFill="1" applyBorder="1" applyAlignment="1">
      <alignment horizontal="left"/>
    </xf>
    <xf numFmtId="167" fontId="51" fillId="10" borderId="13" xfId="0" applyNumberFormat="1" applyFont="1" applyFill="1" applyBorder="1" applyAlignment="1">
      <alignment horizontal="center"/>
    </xf>
    <xf numFmtId="168" fontId="51" fillId="10" borderId="13" xfId="0" applyNumberFormat="1" applyFont="1" applyFill="1" applyBorder="1" applyAlignment="1">
      <alignment horizontal="center"/>
    </xf>
    <xf numFmtId="0" fontId="51" fillId="10" borderId="13" xfId="0" applyFont="1" applyFill="1" applyBorder="1" applyAlignment="1">
      <alignment horizontal="center"/>
    </xf>
    <xf numFmtId="0" fontId="56" fillId="0" borderId="0" xfId="0" applyFont="1"/>
    <xf numFmtId="169" fontId="56" fillId="0" borderId="0" xfId="0" applyNumberFormat="1" applyFont="1"/>
    <xf numFmtId="0" fontId="57" fillId="0" borderId="0" xfId="0" applyFont="1"/>
    <xf numFmtId="0" fontId="58" fillId="0" borderId="0" xfId="0" applyFont="1" applyAlignment="1">
      <alignment vertical="center"/>
    </xf>
    <xf numFmtId="0" fontId="61" fillId="10" borderId="0" xfId="0" applyFont="1" applyFill="1" applyAlignment="1">
      <alignment horizontal="center" vertical="center"/>
    </xf>
    <xf numFmtId="0" fontId="62" fillId="0" borderId="0" xfId="0" applyFont="1" applyAlignment="1">
      <alignment horizontal="left" vertical="center"/>
    </xf>
    <xf numFmtId="166" fontId="62" fillId="0" borderId="0" xfId="0" applyNumberFormat="1" applyFont="1" applyAlignment="1">
      <alignment horizontal="left" vertical="center"/>
    </xf>
    <xf numFmtId="166" fontId="63" fillId="24" borderId="0" xfId="0" applyNumberFormat="1" applyFont="1" applyFill="1" applyAlignment="1">
      <alignment horizontal="left" vertical="center"/>
    </xf>
    <xf numFmtId="170" fontId="63" fillId="24" borderId="0" xfId="0" applyNumberFormat="1" applyFont="1" applyFill="1" applyAlignment="1">
      <alignment horizontal="left" vertical="center"/>
    </xf>
    <xf numFmtId="166" fontId="58" fillId="0" borderId="0" xfId="0" applyNumberFormat="1" applyFont="1" applyAlignment="1">
      <alignment horizontal="left" vertical="center"/>
    </xf>
    <xf numFmtId="0" fontId="58" fillId="0" borderId="0" xfId="0" applyFont="1" applyAlignment="1">
      <alignment horizontal="left" vertical="center"/>
    </xf>
    <xf numFmtId="0" fontId="64" fillId="0" borderId="0" xfId="0" applyFont="1" applyAlignment="1">
      <alignment vertical="center"/>
    </xf>
    <xf numFmtId="0" fontId="61" fillId="0" borderId="0" xfId="0" applyFont="1" applyAlignment="1">
      <alignment vertical="center"/>
    </xf>
    <xf numFmtId="0" fontId="58" fillId="0" borderId="0" xfId="0" applyFont="1" applyAlignment="1">
      <alignment horizontal="center" vertical="center"/>
    </xf>
    <xf numFmtId="0" fontId="65" fillId="0" borderId="0" xfId="0" applyFont="1" applyAlignment="1">
      <alignment vertical="center"/>
    </xf>
    <xf numFmtId="0" fontId="66" fillId="0" borderId="0" xfId="0" applyFont="1" applyAlignment="1">
      <alignment vertical="center"/>
    </xf>
    <xf numFmtId="0" fontId="67" fillId="0" borderId="0" xfId="0" applyFont="1" applyAlignment="1">
      <alignment vertical="center"/>
    </xf>
    <xf numFmtId="164" fontId="58" fillId="0" borderId="0" xfId="0" applyNumberFormat="1" applyFont="1" applyAlignment="1">
      <alignment horizontal="center" vertical="center"/>
    </xf>
    <xf numFmtId="0" fontId="58" fillId="0" borderId="0" xfId="0" applyFont="1" applyAlignment="1">
      <alignment vertical="center" wrapText="1"/>
    </xf>
    <xf numFmtId="0" fontId="61" fillId="0" borderId="0" xfId="0" applyFont="1" applyAlignment="1">
      <alignment vertical="center" wrapText="1"/>
    </xf>
    <xf numFmtId="0" fontId="61" fillId="10" borderId="0" xfId="0" applyFont="1" applyFill="1" applyAlignment="1">
      <alignment horizontal="center" vertical="center" wrapText="1"/>
    </xf>
    <xf numFmtId="0" fontId="62" fillId="0" borderId="0" xfId="0" applyFont="1" applyAlignment="1">
      <alignment vertical="center" wrapText="1"/>
    </xf>
    <xf numFmtId="0" fontId="68" fillId="0" borderId="0" xfId="0" applyFont="1" applyAlignment="1">
      <alignment vertical="center" wrapText="1"/>
    </xf>
    <xf numFmtId="0" fontId="58" fillId="0" borderId="0" xfId="0" applyFont="1" applyAlignment="1">
      <alignment horizontal="center" vertical="center" wrapText="1"/>
    </xf>
    <xf numFmtId="164" fontId="58" fillId="0" borderId="0" xfId="0" applyNumberFormat="1" applyFont="1" applyAlignment="1">
      <alignment horizontal="center" vertical="center" wrapText="1"/>
    </xf>
    <xf numFmtId="164" fontId="63" fillId="24" borderId="0" xfId="0" applyNumberFormat="1" applyFont="1" applyFill="1" applyAlignment="1">
      <alignment horizontal="center" vertical="center"/>
    </xf>
    <xf numFmtId="0" fontId="61" fillId="18" borderId="0" xfId="0" applyFont="1" applyFill="1" applyAlignment="1">
      <alignment horizontal="center" vertical="center"/>
    </xf>
    <xf numFmtId="0" fontId="58" fillId="0" borderId="0" xfId="0" applyFont="1" applyAlignment="1">
      <alignment vertical="top" wrapText="1"/>
    </xf>
    <xf numFmtId="0" fontId="0" fillId="25" borderId="0" xfId="0" applyFill="1" applyAlignment="1" applyProtection="1">
      <alignment vertical="top"/>
      <protection locked="0"/>
    </xf>
    <xf numFmtId="0" fontId="0" fillId="25" borderId="0" xfId="0" applyFill="1" applyAlignment="1" applyProtection="1">
      <alignment vertical="top" wrapText="1"/>
      <protection locked="0"/>
    </xf>
    <xf numFmtId="0" fontId="6" fillId="25" borderId="0" xfId="0" applyFont="1" applyFill="1" applyAlignment="1" applyProtection="1">
      <alignment vertical="top" wrapText="1"/>
      <protection locked="0"/>
    </xf>
    <xf numFmtId="0" fontId="11" fillId="25" borderId="0" xfId="0" applyFont="1" applyFill="1" applyAlignment="1" applyProtection="1">
      <alignment vertical="top" wrapText="1"/>
      <protection locked="0"/>
    </xf>
    <xf numFmtId="0" fontId="0" fillId="25" borderId="0" xfId="0" quotePrefix="1" applyFill="1" applyAlignment="1" applyProtection="1">
      <alignment vertical="top" wrapText="1"/>
      <protection locked="0"/>
    </xf>
    <xf numFmtId="0" fontId="0" fillId="25" borderId="0" xfId="0" applyFill="1" applyAlignment="1" applyProtection="1">
      <alignment horizontal="center" vertical="top"/>
      <protection locked="0"/>
    </xf>
    <xf numFmtId="0" fontId="0" fillId="25" borderId="0" xfId="0" applyFill="1" applyAlignment="1">
      <alignment horizontal="center" vertical="top"/>
    </xf>
    <xf numFmtId="0" fontId="10" fillId="25" borderId="0" xfId="0" applyFont="1" applyFill="1" applyAlignment="1" applyProtection="1">
      <alignment horizontal="center" vertical="top"/>
      <protection locked="0"/>
    </xf>
    <xf numFmtId="14" fontId="0" fillId="25" borderId="0" xfId="0" applyNumberFormat="1" applyFill="1" applyAlignment="1" applyProtection="1">
      <alignment horizontal="center" vertical="top"/>
      <protection locked="0"/>
    </xf>
    <xf numFmtId="0" fontId="12" fillId="25" borderId="0" xfId="0" applyFont="1" applyFill="1" applyAlignment="1" applyProtection="1">
      <alignment horizontal="center" vertical="top"/>
      <protection locked="0"/>
    </xf>
    <xf numFmtId="0" fontId="1" fillId="25" borderId="0" xfId="0" applyFont="1" applyFill="1" applyAlignment="1" applyProtection="1">
      <alignment horizontal="center" vertical="top"/>
      <protection locked="0"/>
    </xf>
    <xf numFmtId="0" fontId="44" fillId="17" borderId="0" xfId="0" applyFont="1" applyFill="1" applyAlignment="1" applyProtection="1">
      <alignment vertical="center" wrapText="1"/>
      <protection locked="0"/>
    </xf>
    <xf numFmtId="0" fontId="4" fillId="11" borderId="0" xfId="0" applyFont="1" applyFill="1" applyAlignment="1">
      <alignment vertical="center" wrapText="1"/>
    </xf>
    <xf numFmtId="0" fontId="39" fillId="0" borderId="0" xfId="0" applyFont="1" applyAlignment="1">
      <alignment vertical="center" wrapText="1"/>
    </xf>
    <xf numFmtId="0" fontId="36" fillId="12" borderId="0" xfId="0" applyFont="1" applyFill="1" applyAlignment="1">
      <alignment vertical="center" wrapText="1"/>
    </xf>
    <xf numFmtId="0" fontId="49" fillId="11" borderId="0" xfId="0" applyFont="1" applyFill="1"/>
    <xf numFmtId="0" fontId="49" fillId="11" borderId="0" xfId="0" applyFont="1" applyFill="1" applyAlignment="1">
      <alignment wrapText="1"/>
    </xf>
    <xf numFmtId="0" fontId="59" fillId="0" borderId="0" xfId="0" applyFont="1"/>
    <xf numFmtId="0" fontId="0" fillId="0" borderId="0" xfId="0"/>
    <xf numFmtId="0" fontId="60" fillId="0" borderId="0" xfId="0" applyFont="1"/>
    <xf numFmtId="0" fontId="69" fillId="0" borderId="0" xfId="0" applyFont="1" applyAlignment="1">
      <alignment wrapText="1"/>
    </xf>
    <xf numFmtId="0" fontId="69" fillId="0" borderId="0" xfId="0" applyFont="1"/>
    <xf numFmtId="0" fontId="49" fillId="11" borderId="0" xfId="0" applyFont="1" applyFill="1" applyAlignment="1">
      <alignment horizontal="center"/>
    </xf>
    <xf numFmtId="0" fontId="1" fillId="18" borderId="0" xfId="0" applyFont="1" applyFill="1"/>
    <xf numFmtId="0" fontId="1" fillId="18" borderId="0" xfId="0" applyFont="1" applyFill="1" applyAlignment="1">
      <alignment horizontal="center"/>
    </xf>
    <xf numFmtId="0" fontId="25" fillId="11" borderId="6" xfId="0" applyFont="1" applyFill="1" applyBorder="1" applyAlignment="1">
      <alignment horizontal="center"/>
    </xf>
    <xf numFmtId="0" fontId="25" fillId="11" borderId="5" xfId="0" applyFont="1" applyFill="1" applyBorder="1" applyAlignment="1">
      <alignment horizontal="center"/>
    </xf>
    <xf numFmtId="165" fontId="26" fillId="0" borderId="7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0" borderId="8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164" fontId="26" fillId="0" borderId="7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5" fillId="11" borderId="9" xfId="0" applyFont="1" applyFill="1" applyBorder="1" applyAlignment="1">
      <alignment horizontal="center"/>
    </xf>
    <xf numFmtId="0" fontId="26" fillId="0" borderId="10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/>
    </xf>
    <xf numFmtId="0" fontId="29" fillId="11" borderId="0" xfId="0" applyFont="1" applyFill="1" applyAlignment="1">
      <alignment vertical="center"/>
    </xf>
    <xf numFmtId="0" fontId="51" fillId="10" borderId="6" xfId="0" applyFont="1" applyFill="1" applyBorder="1" applyAlignment="1">
      <alignment horizontal="center" vertical="center"/>
    </xf>
    <xf numFmtId="0" fontId="51" fillId="10" borderId="5" xfId="0" applyFont="1" applyFill="1" applyBorder="1" applyAlignment="1">
      <alignment horizontal="center" vertical="center"/>
    </xf>
    <xf numFmtId="0" fontId="52" fillId="0" borderId="7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3" fillId="0" borderId="7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8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3" fillId="0" borderId="10" xfId="0" applyFont="1" applyBorder="1" applyAlignment="1">
      <alignment horizontal="center" vertical="center"/>
    </xf>
    <xf numFmtId="0" fontId="53" fillId="0" borderId="11" xfId="0" applyFont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11" borderId="0" xfId="0" applyFont="1" applyFill="1" applyAlignment="1">
      <alignment vertical="center"/>
    </xf>
    <xf numFmtId="0" fontId="49" fillId="11" borderId="0" xfId="0" applyFont="1" applyFill="1" applyAlignment="1">
      <alignment horizontal="left" vertical="center"/>
    </xf>
    <xf numFmtId="0" fontId="25" fillId="11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51" fillId="10" borderId="9" xfId="0" applyFont="1" applyFill="1" applyBorder="1" applyAlignment="1">
      <alignment horizontal="center" vertical="center"/>
    </xf>
    <xf numFmtId="0" fontId="52" fillId="0" borderId="10" xfId="0" applyFont="1" applyBorder="1" applyAlignment="1">
      <alignment horizontal="center" vertical="center"/>
    </xf>
    <xf numFmtId="0" fontId="37" fillId="0" borderId="13" xfId="0" applyFont="1" applyBorder="1" applyAlignment="1">
      <alignment vertical="top" wrapText="1"/>
    </xf>
    <xf numFmtId="0" fontId="38" fillId="13" borderId="13" xfId="0" applyFont="1" applyFill="1" applyBorder="1" applyAlignment="1">
      <alignment vertical="top" wrapText="1"/>
    </xf>
    <xf numFmtId="0" fontId="0" fillId="0" borderId="13" xfId="0" applyBorder="1" applyAlignment="1">
      <alignment vertical="center"/>
    </xf>
    <xf numFmtId="0" fontId="32" fillId="13" borderId="12" xfId="0" applyFont="1" applyFill="1" applyBorder="1" applyAlignment="1">
      <alignment horizontal="center" vertical="center"/>
    </xf>
    <xf numFmtId="0" fontId="1" fillId="18" borderId="13" xfId="0" applyFont="1" applyFill="1" applyBorder="1" applyAlignment="1">
      <alignment vertical="center"/>
    </xf>
    <xf numFmtId="0" fontId="13" fillId="4" borderId="0" xfId="0" applyFont="1" applyFill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3" fillId="2" borderId="3" xfId="0" applyFont="1" applyFill="1" applyBorder="1" applyAlignment="1" applyProtection="1">
      <alignment horizontal="left" vertical="top" wrapText="1"/>
      <protection locked="0"/>
    </xf>
    <xf numFmtId="0" fontId="3" fillId="2" borderId="0" xfId="0" applyFont="1" applyFill="1" applyAlignment="1" applyProtection="1">
      <alignment horizontal="left" vertical="top" wrapText="1"/>
      <protection locked="0"/>
    </xf>
    <xf numFmtId="0" fontId="0" fillId="0" borderId="0" xfId="0" applyAlignment="1" applyProtection="1">
      <alignment vertical="top"/>
      <protection locked="0"/>
    </xf>
    <xf numFmtId="0" fontId="46" fillId="18" borderId="0" xfId="0" applyFont="1" applyFill="1" applyAlignment="1">
      <alignment vertical="top"/>
    </xf>
    <xf numFmtId="0" fontId="0" fillId="0" borderId="0" xfId="0" applyAlignment="1" applyProtection="1">
      <alignment vertical="top" wrapText="1"/>
      <protection locked="0"/>
    </xf>
    <xf numFmtId="0" fontId="45" fillId="0" borderId="0" xfId="0" applyFont="1" applyAlignment="1">
      <alignment vertical="center" wrapText="1"/>
    </xf>
    <xf numFmtId="14" fontId="0" fillId="0" borderId="0" xfId="0" applyNumberFormat="1" applyAlignment="1" applyProtection="1">
      <alignment horizontal="center" vertical="top"/>
      <protection locked="0"/>
    </xf>
    <xf numFmtId="0" fontId="0" fillId="0" borderId="0" xfId="0" applyFill="1" applyAlignment="1" applyProtection="1">
      <alignment vertical="top"/>
      <protection locked="0"/>
    </xf>
    <xf numFmtId="0" fontId="0" fillId="0" borderId="0" xfId="0" applyFill="1" applyAlignment="1" applyProtection="1">
      <alignment vertical="top" wrapText="1"/>
      <protection locked="0"/>
    </xf>
    <xf numFmtId="0" fontId="6" fillId="0" borderId="0" xfId="0" applyFont="1" applyFill="1" applyAlignment="1" applyProtection="1">
      <alignment vertical="top" wrapText="1"/>
      <protection locked="0"/>
    </xf>
    <xf numFmtId="0" fontId="0" fillId="0" borderId="0" xfId="0" quotePrefix="1" applyFill="1" applyAlignment="1" applyProtection="1">
      <alignment vertical="top" wrapText="1"/>
      <protection locked="0"/>
    </xf>
    <xf numFmtId="0" fontId="0" fillId="0" borderId="0" xfId="0" applyFill="1" applyAlignment="1" applyProtection="1">
      <alignment horizontal="center" vertical="top"/>
      <protection locked="0"/>
    </xf>
    <xf numFmtId="0" fontId="0" fillId="0" borderId="0" xfId="0" applyFill="1" applyAlignment="1">
      <alignment horizontal="center" vertical="top"/>
    </xf>
    <xf numFmtId="0" fontId="10" fillId="0" borderId="0" xfId="0" applyFont="1" applyFill="1" applyAlignment="1" applyProtection="1">
      <alignment horizontal="center" vertical="top"/>
      <protection locked="0"/>
    </xf>
    <xf numFmtId="14" fontId="0" fillId="0" borderId="0" xfId="0" applyNumberFormat="1" applyFill="1" applyAlignment="1" applyProtection="1">
      <alignment horizontal="center" vertical="top"/>
      <protection locked="0"/>
    </xf>
  </cellXfs>
  <cellStyles count="1">
    <cellStyle name="Normal" xfId="0" builtinId="0"/>
  </cellStyles>
  <dxfs count="117"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833C0B"/>
      </font>
      <fill>
        <patternFill patternType="solid">
          <fgColor rgb="FFF8CBAD"/>
          <bgColor rgb="FFF8CBAD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833C0B"/>
      </font>
      <fill>
        <patternFill patternType="solid">
          <fgColor rgb="FFF8CBAD"/>
          <bgColor rgb="FFF8CBAD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ill>
        <patternFill>
          <bgColor rgb="FFFFC7CE"/>
        </patternFill>
      </fill>
    </dxf>
    <dxf>
      <font>
        <color rgb="FF595959"/>
      </font>
      <fill>
        <patternFill patternType="solid">
          <fgColor indexed="64"/>
          <bgColor rgb="FFEDEDED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595959"/>
      </font>
      <fill>
        <patternFill patternType="solid">
          <fgColor indexed="64"/>
          <bgColor rgb="FFEDEDED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7F6000"/>
      </font>
      <fill>
        <patternFill>
          <bgColor rgb="FFFFEB9C"/>
        </patternFill>
      </fill>
    </dxf>
    <dxf>
      <font>
        <color rgb="FF7F6000"/>
      </font>
      <fill>
        <patternFill>
          <bgColor rgb="FFFFEB9C"/>
        </patternFill>
      </fill>
    </dxf>
    <dxf>
      <font>
        <color rgb="FF7F6000"/>
      </font>
      <fill>
        <patternFill>
          <bgColor rgb="FFFFEB9C"/>
        </patternFill>
      </fill>
    </dxf>
    <dxf>
      <font>
        <color rgb="FF404040"/>
      </font>
      <fill>
        <patternFill>
          <bgColor rgb="FFD9D9D9"/>
        </patternFill>
      </fill>
    </dxf>
    <dxf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548235"/>
      </font>
      <fill>
        <patternFill patternType="solid">
          <fgColor indexed="64"/>
          <bgColor rgb="FFE2F0D9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595959"/>
      </font>
      <fill>
        <patternFill patternType="solid">
          <fgColor indexed="64"/>
          <bgColor rgb="FFEDEDED"/>
        </patternFill>
      </fill>
    </dxf>
    <dxf>
      <font>
        <b/>
        <i val="0"/>
        <color rgb="FF595959"/>
      </font>
      <fill>
        <patternFill patternType="solid">
          <fgColor indexed="64"/>
          <bgColor rgb="FFEDEDED"/>
        </patternFill>
      </fill>
    </dxf>
    <dxf>
      <font>
        <b/>
        <i val="0"/>
        <color rgb="FF595959"/>
      </font>
      <fill>
        <patternFill patternType="solid">
          <fgColor indexed="64"/>
          <bgColor rgb="FFEDEDED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548235"/>
      </font>
      <fill>
        <patternFill patternType="solid">
          <fgColor indexed="64"/>
          <bgColor rgb="FFE2F0D9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ill>
        <patternFill>
          <bgColor rgb="FFFFC7CE"/>
        </patternFill>
      </fill>
    </dxf>
    <dxf>
      <font>
        <color rgb="FF7F6000"/>
      </font>
      <fill>
        <patternFill>
          <bgColor rgb="FFFFEB9C"/>
        </patternFill>
      </fill>
    </dxf>
    <dxf>
      <font>
        <color rgb="FF404040"/>
      </font>
      <fill>
        <patternFill>
          <bgColor rgb="FFD9D9D9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595959"/>
      </font>
      <fill>
        <patternFill patternType="solid">
          <fgColor indexed="64"/>
          <bgColor rgb="FFEDEDED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548235"/>
      </font>
      <fill>
        <patternFill patternType="solid">
          <fgColor indexed="64"/>
          <bgColor rgb="FFE2F0D9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808080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595959"/>
      </font>
      <fill>
        <patternFill patternType="solid">
          <fgColor indexed="64"/>
          <bgColor rgb="FFEDEDED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548235"/>
      </font>
      <fill>
        <patternFill patternType="solid">
          <fgColor indexed="64"/>
          <bgColor rgb="FFE2F0D9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ont>
        <b/>
        <color rgb="FF833C0B"/>
      </font>
      <fill>
        <patternFill patternType="solid">
          <fgColor rgb="FFF8CBAD"/>
          <bgColor rgb="FFF8CBAD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ont>
        <b/>
        <color rgb="FF833C0B"/>
      </font>
      <fill>
        <patternFill patternType="solid">
          <fgColor rgb="FFF8CBAD"/>
          <bgColor rgb="FFF8CBAD"/>
        </patternFill>
      </fill>
    </dxf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595959"/>
      </font>
      <fill>
        <patternFill patternType="solid">
          <fgColor indexed="64"/>
          <bgColor rgb="FFEDEDED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5700"/>
      </font>
      <fill>
        <patternFill patternType="solid">
          <fgColor indexed="64"/>
          <bgColor rgb="FFFFE0B3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833C0B"/>
      </font>
      <fill>
        <patternFill patternType="solid">
          <fgColor rgb="FFF8CBAD"/>
          <bgColor rgb="FFF8CBAD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0B3"/>
        </patternFill>
      </fill>
    </dxf>
    <dxf>
      <font>
        <color rgb="FF595959"/>
      </font>
      <fill>
        <patternFill patternType="solid">
          <fgColor indexed="64"/>
          <bgColor rgb="FFEDEDED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b/>
        <color rgb="FF833C0B"/>
      </font>
      <fill>
        <patternFill patternType="solid">
          <fgColor rgb="FFF8CBAD"/>
          <bgColor rgb="FFF8CBAD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14532D"/>
      </font>
      <fill>
        <patternFill>
          <bgColor rgb="FFDCFCE7"/>
        </patternFill>
      </fill>
    </dxf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833C0B"/>
      </font>
      <fill>
        <patternFill patternType="solid">
          <fgColor rgb="FFF8CBAD"/>
          <bgColor rgb="FFF8CBAD"/>
        </patternFill>
      </fill>
    </dxf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0B3"/>
        </patternFill>
      </fill>
    </dxf>
    <dxf>
      <font>
        <color rgb="FF595959"/>
      </font>
      <fill>
        <patternFill patternType="solid">
          <fgColor indexed="64"/>
          <bgColor rgb="FFEDEDED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Verdict Distribution (E2E)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Dashboard!$C$60</c:f>
              <c:strCache>
                <c:ptCount val="1"/>
                <c:pt idx="0">
                  <c:v>Count</c:v>
                </c:pt>
              </c:strCache>
            </c:strRef>
          </c:tx>
          <c:dLbls>
            <c:numFmt formatCode="0%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Dashboard!$B$61:$B$65</c:f>
            </c:multiLvlStrRef>
          </c:cat>
          <c:val>
            <c:numRef>
              <c:f>Dashboard!$C$61:$C$65</c:f>
            </c:numRef>
          </c:val>
          <c:extLst>
            <c:ext xmlns:c16="http://schemas.microsoft.com/office/drawing/2014/chart" uri="{C3380CC4-5D6E-409C-BE32-E72D297353CC}">
              <c16:uniqueId val="{00000000-6202-4673-ACCF-784E8EA74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Result (E2E + Cards + TC)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AE</c:v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55-4E49-BFF9-56CA0F17C40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055-4E49-BFF9-56CA0F17C40D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55-4E49-BFF9-56CA0F17C40D}"/>
              </c:ext>
            </c:extLst>
          </c:dPt>
          <c:dPt>
            <c:idx val="3"/>
            <c:bubble3D val="0"/>
            <c:spPr>
              <a:solidFill>
                <a:srgbClr val="FFA5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055-4E49-BFF9-56CA0F17C40D}"/>
              </c:ext>
            </c:extLst>
          </c:dPt>
          <c:dPt>
            <c:idx val="4"/>
            <c:bubble3D val="0"/>
            <c:spPr>
              <a:solidFill>
                <a:srgbClr val="8080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55-4E49-BFF9-56CA0F17C4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Feed'!$AA$2:$AA$6</c:f>
              <c:strCache>
                <c:ptCount val="5"/>
                <c:pt idx="0">
                  <c:v>Passed</c:v>
                </c:pt>
                <c:pt idx="1">
                  <c:v>Cond. Passed / Known Issue</c:v>
                </c:pt>
                <c:pt idx="2">
                  <c:v>Failed</c:v>
                </c:pt>
                <c:pt idx="3">
                  <c:v>Blocked</c:v>
                </c:pt>
                <c:pt idx="4">
                  <c:v>Not Run / Pending</c:v>
                </c:pt>
              </c:strCache>
            </c:strRef>
          </c:cat>
          <c:val>
            <c:numRef>
              <c:f>'Dashboard Feed'!$AE$2:$AE$6</c:f>
              <c:numCache>
                <c:formatCode>#,##0;;""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5-4E49-BFF9-56CA0F17C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E2E Core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AB</c:v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88-4F86-AD6B-2378A736C11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588-4F86-AD6B-2378A736C119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88-4F86-AD6B-2378A736C119}"/>
              </c:ext>
            </c:extLst>
          </c:dPt>
          <c:dPt>
            <c:idx val="3"/>
            <c:bubble3D val="0"/>
            <c:spPr>
              <a:solidFill>
                <a:srgbClr val="FFA5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588-4F86-AD6B-2378A736C119}"/>
              </c:ext>
            </c:extLst>
          </c:dPt>
          <c:dPt>
            <c:idx val="4"/>
            <c:bubble3D val="0"/>
            <c:spPr>
              <a:solidFill>
                <a:srgbClr val="8080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588-4F86-AD6B-2378A736C1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Feed'!$AA$2:$AA$6</c:f>
              <c:strCache>
                <c:ptCount val="5"/>
                <c:pt idx="0">
                  <c:v>Passed</c:v>
                </c:pt>
                <c:pt idx="1">
                  <c:v>Cond. Passed / Known Issue</c:v>
                </c:pt>
                <c:pt idx="2">
                  <c:v>Failed</c:v>
                </c:pt>
                <c:pt idx="3">
                  <c:v>Blocked</c:v>
                </c:pt>
                <c:pt idx="4">
                  <c:v>Not Run / Pending</c:v>
                </c:pt>
              </c:strCache>
            </c:strRef>
          </c:cat>
          <c:val>
            <c:numRef>
              <c:f>'Dashboard Feed'!$AB$2:$AB$6</c:f>
              <c:numCache>
                <c:formatCode>#,##0;;""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8-4F86-AD6B-2378A736C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AC</c:v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ED-427C-91F2-D04B26E5DFE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AED-427C-91F2-D04B26E5DFE9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ED-427C-91F2-D04B26E5DFE9}"/>
              </c:ext>
            </c:extLst>
          </c:dPt>
          <c:dPt>
            <c:idx val="3"/>
            <c:bubble3D val="0"/>
            <c:spPr>
              <a:solidFill>
                <a:srgbClr val="FFA5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AED-427C-91F2-D04B26E5DFE9}"/>
              </c:ext>
            </c:extLst>
          </c:dPt>
          <c:dPt>
            <c:idx val="4"/>
            <c:bubble3D val="0"/>
            <c:spPr>
              <a:solidFill>
                <a:srgbClr val="8080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ED-427C-91F2-D04B26E5DF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Feed'!$AA$2:$AA$6</c:f>
              <c:strCache>
                <c:ptCount val="5"/>
                <c:pt idx="0">
                  <c:v>Passed</c:v>
                </c:pt>
                <c:pt idx="1">
                  <c:v>Cond. Passed / Known Issue</c:v>
                </c:pt>
                <c:pt idx="2">
                  <c:v>Failed</c:v>
                </c:pt>
                <c:pt idx="3">
                  <c:v>Blocked</c:v>
                </c:pt>
                <c:pt idx="4">
                  <c:v>Not Run / Pending</c:v>
                </c:pt>
              </c:strCache>
            </c:strRef>
          </c:cat>
          <c:val>
            <c:numRef>
              <c:f>'Dashboard Feed'!$AC$2:$AC$6</c:f>
              <c:numCache>
                <c:formatCode>#,##0;;""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D-427C-91F2-D04B26E5D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Card Test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AD</c:v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FC-4D6A-8017-F3413F7B865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BFC-4D6A-8017-F3413F7B8657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FC-4D6A-8017-F3413F7B8657}"/>
              </c:ext>
            </c:extLst>
          </c:dPt>
          <c:dPt>
            <c:idx val="3"/>
            <c:bubble3D val="0"/>
            <c:spPr>
              <a:solidFill>
                <a:srgbClr val="FFA5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BFC-4D6A-8017-F3413F7B8657}"/>
              </c:ext>
            </c:extLst>
          </c:dPt>
          <c:dPt>
            <c:idx val="4"/>
            <c:bubble3D val="0"/>
            <c:spPr>
              <a:solidFill>
                <a:srgbClr val="8080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FC-4D6A-8017-F3413F7B86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Feed'!$AA$2:$AA$6</c:f>
              <c:strCache>
                <c:ptCount val="5"/>
                <c:pt idx="0">
                  <c:v>Passed</c:v>
                </c:pt>
                <c:pt idx="1">
                  <c:v>Cond. Passed / Known Issue</c:v>
                </c:pt>
                <c:pt idx="2">
                  <c:v>Failed</c:v>
                </c:pt>
                <c:pt idx="3">
                  <c:v>Blocked</c:v>
                </c:pt>
                <c:pt idx="4">
                  <c:v>Not Run / Pending</c:v>
                </c:pt>
              </c:strCache>
            </c:strRef>
          </c:cat>
          <c:val>
            <c:numRef>
              <c:f>'Dashboard Feed'!$AD$2:$AD$6</c:f>
              <c:numCache>
                <c:formatCode>#,##0;;""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C-4D6A-8017-F3413F7B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 by Area (100%)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'Dashboard Feed'!$AA$2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Feed'!$AB$1:$AD$1</c:f>
              <c:strCache>
                <c:ptCount val="3"/>
                <c:pt idx="0">
                  <c:v>E2E Core Flow</c:v>
                </c:pt>
                <c:pt idx="1">
                  <c:v>Cards</c:v>
                </c:pt>
                <c:pt idx="2">
                  <c:v>Card Test Cases</c:v>
                </c:pt>
              </c:strCache>
            </c:strRef>
          </c:cat>
          <c:val>
            <c:numRef>
              <c:f>'Dashboard Feed'!$AB$2:$AD$2</c:f>
              <c:numCache>
                <c:formatCode>#,##0;;""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5-41F0-A659-B949FEED7CCE}"/>
            </c:ext>
          </c:extLst>
        </c:ser>
        <c:ser>
          <c:idx val="1"/>
          <c:order val="1"/>
          <c:tx>
            <c:strRef>
              <c:f>'Dashboard Feed'!$AA$3</c:f>
              <c:strCache>
                <c:ptCount val="1"/>
                <c:pt idx="0">
                  <c:v>Cond. Passed / Known Issue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Feed'!$AB$1:$AD$1</c:f>
              <c:strCache>
                <c:ptCount val="3"/>
                <c:pt idx="0">
                  <c:v>E2E Core Flow</c:v>
                </c:pt>
                <c:pt idx="1">
                  <c:v>Cards</c:v>
                </c:pt>
                <c:pt idx="2">
                  <c:v>Card Test Cases</c:v>
                </c:pt>
              </c:strCache>
            </c:strRef>
          </c:cat>
          <c:val>
            <c:numRef>
              <c:f>'Dashboard Feed'!$AB$3:$AD$3</c:f>
              <c:numCache>
                <c:formatCode>#,##0;;""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65-41F0-A659-B949FEED7CCE}"/>
            </c:ext>
          </c:extLst>
        </c:ser>
        <c:ser>
          <c:idx val="2"/>
          <c:order val="2"/>
          <c:tx>
            <c:strRef>
              <c:f>'Dashboard Feed'!$AA$4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Feed'!$AB$1:$AD$1</c:f>
              <c:strCache>
                <c:ptCount val="3"/>
                <c:pt idx="0">
                  <c:v>E2E Core Flow</c:v>
                </c:pt>
                <c:pt idx="1">
                  <c:v>Cards</c:v>
                </c:pt>
                <c:pt idx="2">
                  <c:v>Card Test Cases</c:v>
                </c:pt>
              </c:strCache>
            </c:strRef>
          </c:cat>
          <c:val>
            <c:numRef>
              <c:f>'Dashboard Feed'!$AB$4:$AD$4</c:f>
              <c:numCache>
                <c:formatCode>#,##0;;""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65-41F0-A659-B949FEED7CCE}"/>
            </c:ext>
          </c:extLst>
        </c:ser>
        <c:ser>
          <c:idx val="3"/>
          <c:order val="3"/>
          <c:tx>
            <c:strRef>
              <c:f>'Dashboard Feed'!$AA$5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rgbClr val="FFA5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Feed'!$AB$1:$AD$1</c:f>
              <c:strCache>
                <c:ptCount val="3"/>
                <c:pt idx="0">
                  <c:v>E2E Core Flow</c:v>
                </c:pt>
                <c:pt idx="1">
                  <c:v>Cards</c:v>
                </c:pt>
                <c:pt idx="2">
                  <c:v>Card Test Cases</c:v>
                </c:pt>
              </c:strCache>
            </c:strRef>
          </c:cat>
          <c:val>
            <c:numRef>
              <c:f>'Dashboard Feed'!$AB$5:$AD$5</c:f>
              <c:numCache>
                <c:formatCode>#,##0;;""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65-41F0-A659-B949FEED7CCE}"/>
            </c:ext>
          </c:extLst>
        </c:ser>
        <c:ser>
          <c:idx val="4"/>
          <c:order val="4"/>
          <c:tx>
            <c:strRef>
              <c:f>'Dashboard Feed'!$AA$6</c:f>
              <c:strCache>
                <c:ptCount val="1"/>
                <c:pt idx="0">
                  <c:v>Not Run / Pending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Feed'!$AB$1:$AD$1</c:f>
              <c:strCache>
                <c:ptCount val="3"/>
                <c:pt idx="0">
                  <c:v>E2E Core Flow</c:v>
                </c:pt>
                <c:pt idx="1">
                  <c:v>Cards</c:v>
                </c:pt>
                <c:pt idx="2">
                  <c:v>Card Test Cases</c:v>
                </c:pt>
              </c:strCache>
            </c:strRef>
          </c:cat>
          <c:val>
            <c:numRef>
              <c:f>'Dashboard Feed'!$AB$6:$AD$6</c:f>
              <c:numCache>
                <c:formatCode>#,##0;;""</c:formatCode>
                <c:ptCount val="3"/>
                <c:pt idx="0">
                  <c:v>18</c:v>
                </c:pt>
                <c:pt idx="1">
                  <c:v>38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65-41F0-A659-B949FEED7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295565832"/>
        <c:axId val="1295567880"/>
      </c:barChart>
      <c:catAx>
        <c:axId val="1295565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567880"/>
        <c:crosses val="autoZero"/>
        <c:auto val="1"/>
        <c:lblAlgn val="ctr"/>
        <c:lblOffset val="100"/>
        <c:noMultiLvlLbl val="0"/>
      </c:catAx>
      <c:valAx>
        <c:axId val="1295567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565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Evaluated vs Pass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Feed'!$AB$8</c:f>
              <c:strCache>
                <c:ptCount val="1"/>
                <c:pt idx="0">
                  <c:v>% Evaluated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Feed'!$AA$9:$AA$12</c:f>
              <c:strCache>
                <c:ptCount val="4"/>
                <c:pt idx="0">
                  <c:v>E2E Core Flow</c:v>
                </c:pt>
                <c:pt idx="1">
                  <c:v>Cards</c:v>
                </c:pt>
                <c:pt idx="2">
                  <c:v>Card Test Cases</c:v>
                </c:pt>
                <c:pt idx="3">
                  <c:v>Overall (รวม 3 ส่วน)</c:v>
                </c:pt>
              </c:strCache>
            </c:strRef>
          </c:cat>
          <c:val>
            <c:numRef>
              <c:f>'Dashboard Feed'!$AB$9:$AB$12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5-4591-9C5E-FBCE868D1DEA}"/>
            </c:ext>
          </c:extLst>
        </c:ser>
        <c:ser>
          <c:idx val="1"/>
          <c:order val="1"/>
          <c:tx>
            <c:strRef>
              <c:f>'Dashboard Feed'!$AC$8</c:f>
              <c:strCache>
                <c:ptCount val="1"/>
                <c:pt idx="0">
                  <c:v>Pass Rate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Feed'!$AA$9:$AA$12</c:f>
              <c:strCache>
                <c:ptCount val="4"/>
                <c:pt idx="0">
                  <c:v>E2E Core Flow</c:v>
                </c:pt>
                <c:pt idx="1">
                  <c:v>Cards</c:v>
                </c:pt>
                <c:pt idx="2">
                  <c:v>Card Test Cases</c:v>
                </c:pt>
                <c:pt idx="3">
                  <c:v>Overall (รวม 3 ส่วน)</c:v>
                </c:pt>
              </c:strCache>
            </c:strRef>
          </c:cat>
          <c:val>
            <c:numRef>
              <c:f>'Dashboard Feed'!$AC$9:$AC$12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35-4591-9C5E-FBCE868D1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6725512"/>
        <c:axId val="1296727560"/>
      </c:barChart>
      <c:catAx>
        <c:axId val="1296725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727560"/>
        <c:crosses val="autoZero"/>
        <c:auto val="1"/>
        <c:lblAlgn val="ctr"/>
        <c:lblOffset val="100"/>
        <c:noMultiLvlLbl val="0"/>
      </c:catAx>
      <c:valAx>
        <c:axId val="12967275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725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 E2E Bugs by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Feed'!$AB$14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4A-4631-AF91-7C9B6770F950}"/>
              </c:ext>
            </c:extLst>
          </c:dPt>
          <c:dPt>
            <c:idx val="1"/>
            <c:invertIfNegative val="0"/>
            <c:bubble3D val="0"/>
            <c:spPr>
              <a:solidFill>
                <a:srgbClr val="FF6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A4A-4631-AF91-7C9B6770F950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A4A-4631-AF91-7C9B6770F950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A4A-4631-AF91-7C9B6770F9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Feed'!$AA$15:$AA$18</c:f>
              <c:strCache>
                <c:ptCount val="4"/>
                <c:pt idx="0">
                  <c:v>Urgent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'Dashboard Feed'!$AB$15:$AB$18</c:f>
              <c:numCache>
                <c:formatCode>#,##0;;""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A-4631-AF91-7C9B6770F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335816"/>
        <c:axId val="1297337864"/>
      </c:barChart>
      <c:catAx>
        <c:axId val="129733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37864"/>
        <c:crosses val="autoZero"/>
        <c:auto val="1"/>
        <c:lblAlgn val="ctr"/>
        <c:lblOffset val="100"/>
        <c:noMultiLvlLbl val="0"/>
      </c:catAx>
      <c:valAx>
        <c:axId val="12973378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3581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Tester Workload (Scenarios + Test Cases)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Feed'!$AH$1</c:f>
              <c:strCache>
                <c:ptCount val="1"/>
                <c:pt idx="0">
                  <c:v>Scenarios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Feed'!$AG$2:$AG$14</c:f>
              <c:strCache>
                <c:ptCount val="1"/>
                <c:pt idx="0">
                  <c:v>ยังไม่มี Tester</c:v>
                </c:pt>
              </c:strCache>
            </c:strRef>
          </c:cat>
          <c:val>
            <c:numRef>
              <c:f>'Dashboard Feed'!$AH$2:$AH$14</c:f>
              <c:numCache>
                <c:formatCode>#,##0;;""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1-43A7-A9FE-45AA023939A2}"/>
            </c:ext>
          </c:extLst>
        </c:ser>
        <c:ser>
          <c:idx val="1"/>
          <c:order val="1"/>
          <c:tx>
            <c:strRef>
              <c:f>'Dashboard Feed'!$AI$1</c:f>
              <c:strCache>
                <c:ptCount val="1"/>
                <c:pt idx="0">
                  <c:v>Test Cases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Feed'!$AG$2:$AG$14</c:f>
              <c:strCache>
                <c:ptCount val="1"/>
                <c:pt idx="0">
                  <c:v>ยังไม่มี Tester</c:v>
                </c:pt>
              </c:strCache>
            </c:strRef>
          </c:cat>
          <c:val>
            <c:numRef>
              <c:f>'Dashboard Feed'!$AI$2:$AI$14</c:f>
              <c:numCache>
                <c:formatCode>#,##0;;""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01-43A7-A9FE-45AA02393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9916168"/>
        <c:axId val="1429922312"/>
      </c:barChart>
      <c:catAx>
        <c:axId val="14299161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922312"/>
        <c:crosses val="autoZero"/>
        <c:auto val="1"/>
        <c:lblAlgn val="ctr"/>
        <c:lblOffset val="100"/>
        <c:noMultiLvlLbl val="0"/>
      </c:catAx>
      <c:valAx>
        <c:axId val="14299223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916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59</xdr:row>
      <xdr:rowOff>0</xdr:rowOff>
    </xdr:from>
    <xdr:to>
      <xdr:col>7</xdr:col>
      <xdr:colOff>0</xdr:colOff>
      <xdr:row>73</xdr:row>
      <xdr:rowOff>0</xdr:rowOff>
    </xdr:to>
    <xdr:graphicFrame macro="">
      <xdr:nvGraphicFramePr>
        <xdr:cNvPr id="2" name="E2E Verdict Pie">
          <a:extLst>
            <a:ext uri="{FF2B5EF4-FFF2-40B4-BE49-F238E27FC236}">
              <a16:creationId xmlns:a16="http://schemas.microsoft.com/office/drawing/2014/main" id="{726E0BE2-DE1A-D22D-D6E6-8606BB86E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4</xdr:col>
      <xdr:colOff>0</xdr:colOff>
      <xdr:row>40</xdr:row>
      <xdr:rowOff>0</xdr:rowOff>
    </xdr:to>
    <xdr:graphicFrame macro="">
      <xdr:nvGraphicFramePr>
        <xdr:cNvPr id="3" name="RG Overall Doughnut">
          <a:extLst>
            <a:ext uri="{FF2B5EF4-FFF2-40B4-BE49-F238E27FC236}">
              <a16:creationId xmlns:a16="http://schemas.microsoft.com/office/drawing/2014/main" id="{49673FF2-347C-7A0F-10BA-5A9A124104DA}"/>
            </a:ext>
            <a:ext uri="{147F2762-F138-4A5C-976F-8EAC2B608ADB}">
              <a16:predDERef xmlns:a16="http://schemas.microsoft.com/office/drawing/2014/main" pred="{726E0BE2-DE1A-D22D-D6E6-8606BB86E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4</xdr:col>
      <xdr:colOff>0</xdr:colOff>
      <xdr:row>57</xdr:row>
      <xdr:rowOff>0</xdr:rowOff>
    </xdr:to>
    <xdr:graphicFrame macro="">
      <xdr:nvGraphicFramePr>
        <xdr:cNvPr id="4" name="RG E2E Doughnut">
          <a:extLst>
            <a:ext uri="{FF2B5EF4-FFF2-40B4-BE49-F238E27FC236}">
              <a16:creationId xmlns:a16="http://schemas.microsoft.com/office/drawing/2014/main" id="{AAB5A30C-B5D8-50D6-D761-03AE583941E3}"/>
            </a:ext>
            <a:ext uri="{147F2762-F138-4A5C-976F-8EAC2B608ADB}">
              <a16:predDERef xmlns:a16="http://schemas.microsoft.com/office/drawing/2014/main" pred="{49673FF2-347C-7A0F-10BA-5A9A12410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41</xdr:row>
      <xdr:rowOff>0</xdr:rowOff>
    </xdr:from>
    <xdr:to>
      <xdr:col>7</xdr:col>
      <xdr:colOff>0</xdr:colOff>
      <xdr:row>57</xdr:row>
      <xdr:rowOff>0</xdr:rowOff>
    </xdr:to>
    <xdr:graphicFrame macro="">
      <xdr:nvGraphicFramePr>
        <xdr:cNvPr id="5" name="RG Cards Doughnut">
          <a:extLst>
            <a:ext uri="{FF2B5EF4-FFF2-40B4-BE49-F238E27FC236}">
              <a16:creationId xmlns:a16="http://schemas.microsoft.com/office/drawing/2014/main" id="{7F21AAF9-5841-58BB-EAFE-B3D72703ACD1}"/>
            </a:ext>
            <a:ext uri="{147F2762-F138-4A5C-976F-8EAC2B608ADB}">
              <a16:predDERef xmlns:a16="http://schemas.microsoft.com/office/drawing/2014/main" pred="{AAB5A30C-B5D8-50D6-D761-03AE58394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41</xdr:row>
      <xdr:rowOff>0</xdr:rowOff>
    </xdr:from>
    <xdr:to>
      <xdr:col>10</xdr:col>
      <xdr:colOff>0</xdr:colOff>
      <xdr:row>57</xdr:row>
      <xdr:rowOff>0</xdr:rowOff>
    </xdr:to>
    <xdr:graphicFrame macro="">
      <xdr:nvGraphicFramePr>
        <xdr:cNvPr id="6" name="RG TC Doughnut">
          <a:extLst>
            <a:ext uri="{FF2B5EF4-FFF2-40B4-BE49-F238E27FC236}">
              <a16:creationId xmlns:a16="http://schemas.microsoft.com/office/drawing/2014/main" id="{50BC5D2A-1586-6FC8-D44F-6B58F727E337}"/>
            </a:ext>
            <a:ext uri="{147F2762-F138-4A5C-976F-8EAC2B608ADB}">
              <a16:predDERef xmlns:a16="http://schemas.microsoft.com/office/drawing/2014/main" pred="{7F21AAF9-5841-58BB-EAFE-B3D72703A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9</xdr:col>
      <xdr:colOff>0</xdr:colOff>
      <xdr:row>40</xdr:row>
      <xdr:rowOff>0</xdr:rowOff>
    </xdr:to>
    <xdr:graphicFrame macro="">
      <xdr:nvGraphicFramePr>
        <xdr:cNvPr id="7" name="RG Result by Area">
          <a:extLst>
            <a:ext uri="{FF2B5EF4-FFF2-40B4-BE49-F238E27FC236}">
              <a16:creationId xmlns:a16="http://schemas.microsoft.com/office/drawing/2014/main" id="{936E3BA6-17A1-D390-2845-DC08B70E0503}"/>
            </a:ext>
            <a:ext uri="{147F2762-F138-4A5C-976F-8EAC2B608ADB}">
              <a16:predDERef xmlns:a16="http://schemas.microsoft.com/office/drawing/2014/main" pred="{50BC5D2A-1586-6FC8-D44F-6B58F727E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13</xdr:col>
      <xdr:colOff>0</xdr:colOff>
      <xdr:row>40</xdr:row>
      <xdr:rowOff>0</xdr:rowOff>
    </xdr:to>
    <xdr:graphicFrame macro="">
      <xdr:nvGraphicFramePr>
        <xdr:cNvPr id="8" name="RG Eval vs Pass">
          <a:extLst>
            <a:ext uri="{FF2B5EF4-FFF2-40B4-BE49-F238E27FC236}">
              <a16:creationId xmlns:a16="http://schemas.microsoft.com/office/drawing/2014/main" id="{2A9D05BB-0D29-2BD3-BF6C-40898B0DF6C6}"/>
            </a:ext>
            <a:ext uri="{147F2762-F138-4A5C-976F-8EAC2B608ADB}">
              <a16:predDERef xmlns:a16="http://schemas.microsoft.com/office/drawing/2014/main" pred="{936E3BA6-17A1-D390-2845-DC08B70E0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41</xdr:row>
      <xdr:rowOff>0</xdr:rowOff>
    </xdr:from>
    <xdr:to>
      <xdr:col>13</xdr:col>
      <xdr:colOff>0</xdr:colOff>
      <xdr:row>57</xdr:row>
      <xdr:rowOff>0</xdr:rowOff>
    </xdr:to>
    <xdr:graphicFrame macro="">
      <xdr:nvGraphicFramePr>
        <xdr:cNvPr id="9" name="RG Open Bugs">
          <a:extLst>
            <a:ext uri="{FF2B5EF4-FFF2-40B4-BE49-F238E27FC236}">
              <a16:creationId xmlns:a16="http://schemas.microsoft.com/office/drawing/2014/main" id="{0BF4FC41-E577-AF82-5D2E-26A404FE083E}"/>
            </a:ext>
            <a:ext uri="{147F2762-F138-4A5C-976F-8EAC2B608ADB}">
              <a16:predDERef xmlns:a16="http://schemas.microsoft.com/office/drawing/2014/main" pred="{2A9D05BB-0D29-2BD3-BF6C-40898B0DF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0</xdr:colOff>
      <xdr:row>183</xdr:row>
      <xdr:rowOff>0</xdr:rowOff>
    </xdr:from>
    <xdr:to>
      <xdr:col>13</xdr:col>
      <xdr:colOff>0</xdr:colOff>
      <xdr:row>197</xdr:row>
      <xdr:rowOff>0</xdr:rowOff>
    </xdr:to>
    <xdr:graphicFrame macro="">
      <xdr:nvGraphicFramePr>
        <xdr:cNvPr id="10" name="RG Tester Workload">
          <a:extLst>
            <a:ext uri="{FF2B5EF4-FFF2-40B4-BE49-F238E27FC236}">
              <a16:creationId xmlns:a16="http://schemas.microsoft.com/office/drawing/2014/main" id="{6F7FE2B6-2C8E-A7AD-BF19-4A0C2F3AA068}"/>
            </a:ext>
            <a:ext uri="{147F2762-F138-4A5C-976F-8EAC2B608ADB}">
              <a16:predDERef xmlns:a16="http://schemas.microsoft.com/office/drawing/2014/main" pred="{0BF4FC41-E577-AF82-5D2E-26A404FE08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26DE50C-5830-4528-A757-4F95EFF8D80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a7ba53c-fd20-49e0-8f91-a0c527b1692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85881-8C9C-40E6-B93B-F7464A42B039}">
  <sheetPr>
    <tabColor rgb="FFFFC000"/>
    <pageSetUpPr fitToPage="1"/>
  </sheetPr>
  <dimension ref="A1:B116"/>
  <sheetViews>
    <sheetView showGridLines="0" topLeftCell="A13" workbookViewId="0">
      <selection sqref="A1:B1"/>
    </sheetView>
  </sheetViews>
  <sheetFormatPr defaultRowHeight="14.4" x14ac:dyDescent="0.3"/>
  <cols>
    <col min="1" max="1" width="34" customWidth="1"/>
    <col min="2" max="2" width="120" customWidth="1"/>
  </cols>
  <sheetData>
    <row r="1" spans="1:2" ht="30" customHeight="1" x14ac:dyDescent="0.3">
      <c r="A1" s="127" t="s">
        <v>0</v>
      </c>
      <c r="B1" s="127"/>
    </row>
    <row r="2" spans="1:2" ht="18" customHeight="1" x14ac:dyDescent="0.3">
      <c r="A2" s="128" t="s">
        <v>1</v>
      </c>
      <c r="B2" s="128"/>
    </row>
    <row r="3" spans="1:2" ht="8.1" customHeight="1" x14ac:dyDescent="0.3"/>
    <row r="4" spans="1:2" ht="21.9" customHeight="1" x14ac:dyDescent="0.3">
      <c r="A4" s="129" t="s">
        <v>2</v>
      </c>
      <c r="B4" s="129"/>
    </row>
    <row r="5" spans="1:2" ht="18.899999999999999" customHeight="1" x14ac:dyDescent="0.3">
      <c r="A5" s="36" t="s">
        <v>3</v>
      </c>
      <c r="B5" s="36" t="s">
        <v>4</v>
      </c>
    </row>
    <row r="6" spans="1:2" ht="33.9" customHeight="1" x14ac:dyDescent="0.3">
      <c r="A6" s="37" t="s">
        <v>5</v>
      </c>
      <c r="B6" s="38" t="s">
        <v>6</v>
      </c>
    </row>
    <row r="7" spans="1:2" ht="18.899999999999999" customHeight="1" x14ac:dyDescent="0.3">
      <c r="A7" s="37" t="s">
        <v>7</v>
      </c>
      <c r="B7" s="38" t="s">
        <v>8</v>
      </c>
    </row>
    <row r="8" spans="1:2" ht="33.9" customHeight="1" x14ac:dyDescent="0.3">
      <c r="A8" s="37" t="s">
        <v>9</v>
      </c>
      <c r="B8" s="38" t="s">
        <v>10</v>
      </c>
    </row>
    <row r="9" spans="1:2" ht="33.9" customHeight="1" x14ac:dyDescent="0.3">
      <c r="A9" s="37" t="s">
        <v>11</v>
      </c>
      <c r="B9" s="38" t="s">
        <v>12</v>
      </c>
    </row>
    <row r="10" spans="1:2" ht="33.9" customHeight="1" x14ac:dyDescent="0.3">
      <c r="A10" s="37" t="s">
        <v>13</v>
      </c>
      <c r="B10" s="38" t="s">
        <v>14</v>
      </c>
    </row>
    <row r="11" spans="1:2" ht="18.899999999999999" customHeight="1" x14ac:dyDescent="0.3">
      <c r="A11" s="37" t="s">
        <v>15</v>
      </c>
      <c r="B11" s="38" t="s">
        <v>16</v>
      </c>
    </row>
    <row r="12" spans="1:2" ht="8.1" customHeight="1" x14ac:dyDescent="0.3"/>
    <row r="13" spans="1:2" ht="21.9" customHeight="1" x14ac:dyDescent="0.3">
      <c r="A13" s="129" t="s">
        <v>17</v>
      </c>
      <c r="B13" s="129"/>
    </row>
    <row r="14" spans="1:2" ht="18.899999999999999" customHeight="1" x14ac:dyDescent="0.3">
      <c r="A14" s="36" t="s">
        <v>18</v>
      </c>
      <c r="B14" s="36" t="s">
        <v>19</v>
      </c>
    </row>
    <row r="15" spans="1:2" ht="33.9" customHeight="1" x14ac:dyDescent="0.3">
      <c r="A15" s="37" t="s">
        <v>20</v>
      </c>
      <c r="B15" s="38" t="s">
        <v>21</v>
      </c>
    </row>
    <row r="16" spans="1:2" ht="33.9" customHeight="1" x14ac:dyDescent="0.3">
      <c r="A16" s="37" t="s">
        <v>22</v>
      </c>
      <c r="B16" s="38" t="s">
        <v>23</v>
      </c>
    </row>
    <row r="17" spans="1:2" ht="48.9" customHeight="1" x14ac:dyDescent="0.3">
      <c r="A17" s="37" t="s">
        <v>24</v>
      </c>
      <c r="B17" s="38" t="s">
        <v>25</v>
      </c>
    </row>
    <row r="18" spans="1:2" ht="33.9" customHeight="1" x14ac:dyDescent="0.3">
      <c r="A18" s="37" t="s">
        <v>26</v>
      </c>
      <c r="B18" s="38" t="s">
        <v>27</v>
      </c>
    </row>
    <row r="19" spans="1:2" ht="18.899999999999999" customHeight="1" x14ac:dyDescent="0.3">
      <c r="A19" s="37" t="s">
        <v>28</v>
      </c>
      <c r="B19" s="39" t="s">
        <v>29</v>
      </c>
    </row>
    <row r="20" spans="1:2" ht="8.1" customHeight="1" x14ac:dyDescent="0.3"/>
    <row r="21" spans="1:2" ht="21.9" customHeight="1" x14ac:dyDescent="0.3">
      <c r="A21" s="129" t="s">
        <v>30</v>
      </c>
      <c r="B21" s="129"/>
    </row>
    <row r="22" spans="1:2" ht="18.899999999999999" customHeight="1" x14ac:dyDescent="0.3">
      <c r="A22" s="36" t="s">
        <v>31</v>
      </c>
      <c r="B22" s="36" t="s">
        <v>32</v>
      </c>
    </row>
    <row r="23" spans="1:2" ht="33.9" customHeight="1" x14ac:dyDescent="0.3">
      <c r="A23" s="37" t="s">
        <v>33</v>
      </c>
      <c r="B23" s="39" t="s">
        <v>34</v>
      </c>
    </row>
    <row r="24" spans="1:2" ht="48.9" customHeight="1" x14ac:dyDescent="0.3">
      <c r="A24" s="37" t="s">
        <v>35</v>
      </c>
      <c r="B24" s="39" t="s">
        <v>36</v>
      </c>
    </row>
    <row r="25" spans="1:2" ht="18.899999999999999" customHeight="1" x14ac:dyDescent="0.3">
      <c r="A25" s="37" t="s">
        <v>37</v>
      </c>
      <c r="B25" s="39" t="s">
        <v>38</v>
      </c>
    </row>
    <row r="26" spans="1:2" ht="33.9" customHeight="1" x14ac:dyDescent="0.3">
      <c r="A26" s="37" t="s">
        <v>39</v>
      </c>
      <c r="B26" s="38" t="s">
        <v>40</v>
      </c>
    </row>
    <row r="27" spans="1:2" ht="18.899999999999999" customHeight="1" x14ac:dyDescent="0.3">
      <c r="A27" s="37" t="s">
        <v>41</v>
      </c>
      <c r="B27" s="38" t="s">
        <v>42</v>
      </c>
    </row>
    <row r="28" spans="1:2" ht="18.899999999999999" customHeight="1" x14ac:dyDescent="0.3">
      <c r="A28" s="37" t="s">
        <v>43</v>
      </c>
      <c r="B28" s="38" t="s">
        <v>44</v>
      </c>
    </row>
    <row r="29" spans="1:2" ht="48.9" customHeight="1" x14ac:dyDescent="0.3">
      <c r="A29" s="37" t="s">
        <v>45</v>
      </c>
      <c r="B29" s="38" t="s">
        <v>46</v>
      </c>
    </row>
    <row r="30" spans="1:2" ht="48.9" customHeight="1" x14ac:dyDescent="0.3">
      <c r="A30" s="37" t="s">
        <v>47</v>
      </c>
      <c r="B30" s="38" t="s">
        <v>48</v>
      </c>
    </row>
    <row r="31" spans="1:2" ht="8.1" customHeight="1" x14ac:dyDescent="0.3"/>
    <row r="32" spans="1:2" ht="21.9" customHeight="1" x14ac:dyDescent="0.3">
      <c r="A32" s="129" t="s">
        <v>49</v>
      </c>
      <c r="B32" s="129"/>
    </row>
    <row r="33" spans="1:2" ht="18.899999999999999" customHeight="1" x14ac:dyDescent="0.3">
      <c r="A33" s="36" t="s">
        <v>50</v>
      </c>
      <c r="B33" s="36" t="s">
        <v>51</v>
      </c>
    </row>
    <row r="34" spans="1:2" ht="33.9" customHeight="1" x14ac:dyDescent="0.3">
      <c r="A34" s="37" t="s">
        <v>52</v>
      </c>
      <c r="B34" s="38" t="s">
        <v>53</v>
      </c>
    </row>
    <row r="35" spans="1:2" ht="18.899999999999999" customHeight="1" x14ac:dyDescent="0.3">
      <c r="A35" s="37" t="s">
        <v>54</v>
      </c>
      <c r="B35" s="38" t="s">
        <v>55</v>
      </c>
    </row>
    <row r="36" spans="1:2" ht="18.899999999999999" customHeight="1" x14ac:dyDescent="0.3">
      <c r="A36" s="37" t="s">
        <v>56</v>
      </c>
      <c r="B36" s="38" t="s">
        <v>57</v>
      </c>
    </row>
    <row r="37" spans="1:2" ht="48.9" customHeight="1" x14ac:dyDescent="0.3">
      <c r="A37" s="37" t="s">
        <v>58</v>
      </c>
      <c r="B37" s="38" t="s">
        <v>59</v>
      </c>
    </row>
    <row r="38" spans="1:2" ht="48.9" customHeight="1" x14ac:dyDescent="0.3">
      <c r="A38" s="37" t="s">
        <v>60</v>
      </c>
      <c r="B38" s="38" t="s">
        <v>61</v>
      </c>
    </row>
    <row r="39" spans="1:2" ht="33.9" customHeight="1" x14ac:dyDescent="0.3">
      <c r="A39" s="37" t="s">
        <v>62</v>
      </c>
      <c r="B39" s="38" t="s">
        <v>63</v>
      </c>
    </row>
    <row r="40" spans="1:2" ht="33.9" customHeight="1" x14ac:dyDescent="0.3">
      <c r="A40" s="37" t="s">
        <v>64</v>
      </c>
      <c r="B40" s="38" t="s">
        <v>65</v>
      </c>
    </row>
    <row r="41" spans="1:2" ht="18.899999999999999" customHeight="1" x14ac:dyDescent="0.3">
      <c r="A41" s="37" t="s">
        <v>66</v>
      </c>
      <c r="B41" s="38" t="s">
        <v>67</v>
      </c>
    </row>
    <row r="42" spans="1:2" ht="48.9" customHeight="1" x14ac:dyDescent="0.3">
      <c r="A42" s="37" t="s">
        <v>68</v>
      </c>
      <c r="B42" s="38" t="s">
        <v>69</v>
      </c>
    </row>
    <row r="43" spans="1:2" ht="18.899999999999999" customHeight="1" x14ac:dyDescent="0.3">
      <c r="A43" s="37" t="s">
        <v>70</v>
      </c>
      <c r="B43" s="38" t="s">
        <v>71</v>
      </c>
    </row>
    <row r="44" spans="1:2" ht="48.9" customHeight="1" x14ac:dyDescent="0.3">
      <c r="A44" s="37" t="s">
        <v>72</v>
      </c>
      <c r="B44" s="38" t="s">
        <v>73</v>
      </c>
    </row>
    <row r="45" spans="1:2" ht="63.9" customHeight="1" x14ac:dyDescent="0.3">
      <c r="A45" s="37" t="s">
        <v>74</v>
      </c>
      <c r="B45" s="39" t="s">
        <v>75</v>
      </c>
    </row>
    <row r="46" spans="1:2" ht="8.1" customHeight="1" x14ac:dyDescent="0.3"/>
    <row r="47" spans="1:2" ht="21.9" customHeight="1" x14ac:dyDescent="0.3">
      <c r="A47" s="129" t="s">
        <v>76</v>
      </c>
      <c r="B47" s="129"/>
    </row>
    <row r="48" spans="1:2" ht="18.899999999999999" customHeight="1" x14ac:dyDescent="0.3">
      <c r="A48" s="36" t="s">
        <v>50</v>
      </c>
      <c r="B48" s="36" t="s">
        <v>77</v>
      </c>
    </row>
    <row r="49" spans="1:2" ht="33.9" customHeight="1" x14ac:dyDescent="0.3">
      <c r="A49" s="37" t="s">
        <v>78</v>
      </c>
      <c r="B49" s="38" t="s">
        <v>79</v>
      </c>
    </row>
    <row r="50" spans="1:2" ht="33.9" customHeight="1" x14ac:dyDescent="0.3">
      <c r="A50" s="37" t="s">
        <v>80</v>
      </c>
      <c r="B50" s="38" t="s">
        <v>81</v>
      </c>
    </row>
    <row r="51" spans="1:2" ht="18.899999999999999" customHeight="1" x14ac:dyDescent="0.3">
      <c r="A51" s="37" t="s">
        <v>82</v>
      </c>
      <c r="B51" s="38" t="s">
        <v>83</v>
      </c>
    </row>
    <row r="52" spans="1:2" ht="33.9" customHeight="1" x14ac:dyDescent="0.3">
      <c r="A52" s="37" t="s">
        <v>84</v>
      </c>
      <c r="B52" s="38" t="s">
        <v>85</v>
      </c>
    </row>
    <row r="53" spans="1:2" ht="33.9" customHeight="1" x14ac:dyDescent="0.3">
      <c r="A53" s="37" t="s">
        <v>86</v>
      </c>
      <c r="B53" s="39" t="s">
        <v>87</v>
      </c>
    </row>
    <row r="54" spans="1:2" ht="18.899999999999999" customHeight="1" x14ac:dyDescent="0.3">
      <c r="A54" s="37" t="s">
        <v>88</v>
      </c>
      <c r="B54" s="38" t="s">
        <v>89</v>
      </c>
    </row>
    <row r="55" spans="1:2" ht="48.9" customHeight="1" x14ac:dyDescent="0.3">
      <c r="A55" s="37" t="s">
        <v>90</v>
      </c>
      <c r="B55" s="39" t="s">
        <v>91</v>
      </c>
    </row>
    <row r="56" spans="1:2" ht="18.899999999999999" customHeight="1" x14ac:dyDescent="0.3">
      <c r="A56" s="37" t="s">
        <v>92</v>
      </c>
      <c r="B56" s="38" t="s">
        <v>93</v>
      </c>
    </row>
    <row r="57" spans="1:2" ht="78.900000000000006" customHeight="1" x14ac:dyDescent="0.3">
      <c r="A57" s="37" t="s">
        <v>94</v>
      </c>
      <c r="B57" s="39" t="s">
        <v>95</v>
      </c>
    </row>
    <row r="58" spans="1:2" ht="18.899999999999999" customHeight="1" x14ac:dyDescent="0.3">
      <c r="A58" s="37" t="s">
        <v>96</v>
      </c>
      <c r="B58" s="38" t="s">
        <v>97</v>
      </c>
    </row>
    <row r="59" spans="1:2" ht="33.9" customHeight="1" x14ac:dyDescent="0.3">
      <c r="A59" s="37" t="s">
        <v>98</v>
      </c>
      <c r="B59" s="38" t="s">
        <v>99</v>
      </c>
    </row>
    <row r="60" spans="1:2" ht="18.899999999999999" customHeight="1" x14ac:dyDescent="0.3">
      <c r="A60" s="37" t="s">
        <v>100</v>
      </c>
      <c r="B60" s="38" t="s">
        <v>101</v>
      </c>
    </row>
    <row r="61" spans="1:2" ht="8.1" customHeight="1" x14ac:dyDescent="0.3"/>
    <row r="62" spans="1:2" ht="21.9" customHeight="1" x14ac:dyDescent="0.3">
      <c r="A62" s="129" t="s">
        <v>102</v>
      </c>
      <c r="B62" s="129"/>
    </row>
    <row r="63" spans="1:2" ht="18.899999999999999" customHeight="1" x14ac:dyDescent="0.3">
      <c r="A63" s="36" t="s">
        <v>50</v>
      </c>
      <c r="B63" s="36" t="s">
        <v>77</v>
      </c>
    </row>
    <row r="64" spans="1:2" ht="33.9" customHeight="1" x14ac:dyDescent="0.3">
      <c r="A64" s="37" t="s">
        <v>103</v>
      </c>
      <c r="B64" s="38" t="s">
        <v>104</v>
      </c>
    </row>
    <row r="65" spans="1:2" ht="33.9" customHeight="1" x14ac:dyDescent="0.3">
      <c r="A65" s="37" t="s">
        <v>105</v>
      </c>
      <c r="B65" s="38" t="s">
        <v>106</v>
      </c>
    </row>
    <row r="66" spans="1:2" ht="18.899999999999999" customHeight="1" x14ac:dyDescent="0.3">
      <c r="A66" s="37" t="s">
        <v>107</v>
      </c>
      <c r="B66" s="38" t="s">
        <v>108</v>
      </c>
    </row>
    <row r="67" spans="1:2" ht="18.899999999999999" customHeight="1" x14ac:dyDescent="0.3">
      <c r="A67" s="37" t="s">
        <v>109</v>
      </c>
      <c r="B67" s="38" t="s">
        <v>110</v>
      </c>
    </row>
    <row r="68" spans="1:2" ht="18.899999999999999" customHeight="1" x14ac:dyDescent="0.3">
      <c r="A68" s="37" t="s">
        <v>111</v>
      </c>
      <c r="B68" s="38" t="s">
        <v>112</v>
      </c>
    </row>
    <row r="69" spans="1:2" ht="63.9" customHeight="1" x14ac:dyDescent="0.3">
      <c r="A69" s="37" t="s">
        <v>113</v>
      </c>
      <c r="B69" s="39" t="s">
        <v>114</v>
      </c>
    </row>
    <row r="70" spans="1:2" ht="8.1" customHeight="1" x14ac:dyDescent="0.3"/>
    <row r="71" spans="1:2" ht="21.9" customHeight="1" x14ac:dyDescent="0.3">
      <c r="A71" s="129" t="s">
        <v>115</v>
      </c>
      <c r="B71" s="129"/>
    </row>
    <row r="72" spans="1:2" ht="18.899999999999999" customHeight="1" x14ac:dyDescent="0.3">
      <c r="A72" s="36" t="s">
        <v>116</v>
      </c>
      <c r="B72" s="36" t="s">
        <v>117</v>
      </c>
    </row>
    <row r="73" spans="1:2" ht="18.899999999999999" customHeight="1" x14ac:dyDescent="0.3">
      <c r="A73" s="37" t="s">
        <v>118</v>
      </c>
      <c r="B73" s="38" t="s">
        <v>119</v>
      </c>
    </row>
    <row r="74" spans="1:2" ht="33.9" customHeight="1" x14ac:dyDescent="0.3">
      <c r="A74" s="37" t="s">
        <v>120</v>
      </c>
      <c r="B74" s="38" t="s">
        <v>121</v>
      </c>
    </row>
    <row r="75" spans="1:2" ht="33.9" customHeight="1" x14ac:dyDescent="0.3">
      <c r="A75" s="37" t="s">
        <v>122</v>
      </c>
      <c r="B75" s="38" t="s">
        <v>123</v>
      </c>
    </row>
    <row r="76" spans="1:2" ht="33.9" customHeight="1" x14ac:dyDescent="0.3">
      <c r="A76" s="37" t="s">
        <v>124</v>
      </c>
      <c r="B76" s="38" t="s">
        <v>125</v>
      </c>
    </row>
    <row r="77" spans="1:2" ht="33.9" customHeight="1" x14ac:dyDescent="0.3">
      <c r="A77" s="37" t="s">
        <v>126</v>
      </c>
      <c r="B77" s="38" t="s">
        <v>127</v>
      </c>
    </row>
    <row r="78" spans="1:2" ht="33.9" customHeight="1" x14ac:dyDescent="0.3">
      <c r="A78" s="37" t="s">
        <v>128</v>
      </c>
      <c r="B78" s="38" t="s">
        <v>129</v>
      </c>
    </row>
    <row r="79" spans="1:2" ht="18.899999999999999" customHeight="1" x14ac:dyDescent="0.3">
      <c r="A79" s="37" t="s">
        <v>130</v>
      </c>
      <c r="B79" s="38" t="s">
        <v>131</v>
      </c>
    </row>
    <row r="80" spans="1:2" ht="48.9" customHeight="1" x14ac:dyDescent="0.3">
      <c r="A80" s="37" t="s">
        <v>132</v>
      </c>
      <c r="B80" s="38" t="s">
        <v>133</v>
      </c>
    </row>
    <row r="81" spans="1:2" ht="48.9" customHeight="1" x14ac:dyDescent="0.3">
      <c r="A81" s="37" t="s">
        <v>134</v>
      </c>
      <c r="B81" s="38" t="s">
        <v>135</v>
      </c>
    </row>
    <row r="82" spans="1:2" ht="33.9" customHeight="1" x14ac:dyDescent="0.3">
      <c r="A82" s="37" t="s">
        <v>136</v>
      </c>
      <c r="B82" s="38" t="s">
        <v>137</v>
      </c>
    </row>
    <row r="83" spans="1:2" ht="8.1" customHeight="1" x14ac:dyDescent="0.3"/>
    <row r="84" spans="1:2" ht="21.9" customHeight="1" x14ac:dyDescent="0.3">
      <c r="A84" s="129" t="s">
        <v>138</v>
      </c>
      <c r="B84" s="129"/>
    </row>
    <row r="85" spans="1:2" ht="18.899999999999999" customHeight="1" x14ac:dyDescent="0.3">
      <c r="A85" s="36" t="s">
        <v>139</v>
      </c>
      <c r="B85" s="36" t="s">
        <v>140</v>
      </c>
    </row>
    <row r="86" spans="1:2" ht="48.9" customHeight="1" x14ac:dyDescent="0.3">
      <c r="A86" s="37" t="s">
        <v>141</v>
      </c>
      <c r="B86" s="38" t="s">
        <v>142</v>
      </c>
    </row>
    <row r="87" spans="1:2" ht="33.9" customHeight="1" x14ac:dyDescent="0.3">
      <c r="A87" s="37" t="s">
        <v>143</v>
      </c>
      <c r="B87" s="38" t="s">
        <v>144</v>
      </c>
    </row>
    <row r="88" spans="1:2" ht="33.9" customHeight="1" x14ac:dyDescent="0.3">
      <c r="A88" s="37" t="s">
        <v>145</v>
      </c>
      <c r="B88" s="38" t="s">
        <v>146</v>
      </c>
    </row>
    <row r="89" spans="1:2" ht="33.9" customHeight="1" x14ac:dyDescent="0.3">
      <c r="A89" s="37" t="s">
        <v>147</v>
      </c>
      <c r="B89" s="38" t="s">
        <v>148</v>
      </c>
    </row>
    <row r="90" spans="1:2" ht="33.9" customHeight="1" x14ac:dyDescent="0.3">
      <c r="A90" s="37" t="s">
        <v>149</v>
      </c>
      <c r="B90" s="38" t="s">
        <v>150</v>
      </c>
    </row>
    <row r="91" spans="1:2" ht="33.9" customHeight="1" x14ac:dyDescent="0.3">
      <c r="A91" s="37" t="s">
        <v>151</v>
      </c>
      <c r="B91" s="38" t="s">
        <v>152</v>
      </c>
    </row>
    <row r="92" spans="1:2" ht="33.9" customHeight="1" x14ac:dyDescent="0.3">
      <c r="A92" s="37" t="s">
        <v>153</v>
      </c>
      <c r="B92" s="38" t="s">
        <v>154</v>
      </c>
    </row>
    <row r="93" spans="1:2" ht="18.899999999999999" customHeight="1" x14ac:dyDescent="0.3">
      <c r="A93" s="37" t="s">
        <v>155</v>
      </c>
      <c r="B93" s="38" t="s">
        <v>156</v>
      </c>
    </row>
    <row r="94" spans="1:2" ht="33.9" customHeight="1" x14ac:dyDescent="0.3">
      <c r="A94" s="37" t="s">
        <v>157</v>
      </c>
      <c r="B94" s="38" t="s">
        <v>158</v>
      </c>
    </row>
    <row r="95" spans="1:2" ht="8.1" customHeight="1" x14ac:dyDescent="0.3"/>
    <row r="96" spans="1:2" ht="21.9" customHeight="1" x14ac:dyDescent="0.3">
      <c r="A96" s="129" t="s">
        <v>159</v>
      </c>
      <c r="B96" s="129"/>
    </row>
    <row r="97" spans="1:2" ht="18.899999999999999" customHeight="1" x14ac:dyDescent="0.3">
      <c r="A97" s="36" t="s">
        <v>31</v>
      </c>
      <c r="B97" s="36" t="s">
        <v>32</v>
      </c>
    </row>
    <row r="98" spans="1:2" ht="33.9" customHeight="1" x14ac:dyDescent="0.3">
      <c r="A98" s="37" t="s">
        <v>160</v>
      </c>
      <c r="B98" s="39" t="s">
        <v>161</v>
      </c>
    </row>
    <row r="99" spans="1:2" ht="33.9" customHeight="1" x14ac:dyDescent="0.3">
      <c r="A99" s="37" t="s">
        <v>162</v>
      </c>
      <c r="B99" s="39" t="s">
        <v>163</v>
      </c>
    </row>
    <row r="100" spans="1:2" ht="33.9" customHeight="1" x14ac:dyDescent="0.3">
      <c r="A100" s="37" t="s">
        <v>164</v>
      </c>
      <c r="B100" s="39" t="s">
        <v>165</v>
      </c>
    </row>
    <row r="101" spans="1:2" ht="18.899999999999999" customHeight="1" x14ac:dyDescent="0.3">
      <c r="A101" s="37" t="s">
        <v>166</v>
      </c>
      <c r="B101" s="38" t="s">
        <v>167</v>
      </c>
    </row>
    <row r="102" spans="1:2" ht="33.9" customHeight="1" x14ac:dyDescent="0.3">
      <c r="A102" s="37" t="s">
        <v>168</v>
      </c>
      <c r="B102" s="38" t="s">
        <v>169</v>
      </c>
    </row>
    <row r="103" spans="1:2" ht="33.9" customHeight="1" x14ac:dyDescent="0.3">
      <c r="A103" s="37" t="s">
        <v>170</v>
      </c>
      <c r="B103" s="38" t="s">
        <v>171</v>
      </c>
    </row>
    <row r="104" spans="1:2" ht="33.9" customHeight="1" x14ac:dyDescent="0.3">
      <c r="A104" s="37" t="s">
        <v>172</v>
      </c>
      <c r="B104" s="38" t="s">
        <v>173</v>
      </c>
    </row>
    <row r="105" spans="1:2" ht="48.9" customHeight="1" x14ac:dyDescent="0.3">
      <c r="A105" s="37" t="s">
        <v>174</v>
      </c>
      <c r="B105" s="39" t="s">
        <v>175</v>
      </c>
    </row>
    <row r="106" spans="1:2" ht="33.9" customHeight="1" x14ac:dyDescent="0.3">
      <c r="A106" s="37" t="s">
        <v>176</v>
      </c>
      <c r="B106" s="38" t="s">
        <v>177</v>
      </c>
    </row>
    <row r="107" spans="1:2" ht="18.899999999999999" customHeight="1" x14ac:dyDescent="0.3">
      <c r="A107" s="37" t="s">
        <v>178</v>
      </c>
      <c r="B107" s="38" t="s">
        <v>179</v>
      </c>
    </row>
    <row r="108" spans="1:2" ht="8.1" customHeight="1" x14ac:dyDescent="0.3"/>
    <row r="109" spans="1:2" ht="21.9" customHeight="1" x14ac:dyDescent="0.3">
      <c r="A109" s="129" t="s">
        <v>180</v>
      </c>
      <c r="B109" s="129"/>
    </row>
    <row r="110" spans="1:2" ht="18.899999999999999" customHeight="1" x14ac:dyDescent="0.3">
      <c r="A110" s="36" t="s">
        <v>31</v>
      </c>
      <c r="B110" s="36" t="s">
        <v>32</v>
      </c>
    </row>
    <row r="111" spans="1:2" ht="48.9" customHeight="1" x14ac:dyDescent="0.3">
      <c r="A111" s="37" t="s">
        <v>181</v>
      </c>
      <c r="B111" s="39" t="s">
        <v>182</v>
      </c>
    </row>
    <row r="112" spans="1:2" ht="33.9" customHeight="1" x14ac:dyDescent="0.3">
      <c r="A112" s="37" t="s">
        <v>183</v>
      </c>
      <c r="B112" s="38" t="s">
        <v>184</v>
      </c>
    </row>
    <row r="113" spans="1:2" ht="48.9" customHeight="1" x14ac:dyDescent="0.3">
      <c r="A113" s="37" t="s">
        <v>185</v>
      </c>
      <c r="B113" s="39" t="s">
        <v>186</v>
      </c>
    </row>
    <row r="114" spans="1:2" ht="33.9" customHeight="1" x14ac:dyDescent="0.3">
      <c r="A114" s="37" t="s">
        <v>187</v>
      </c>
      <c r="B114" s="38" t="s">
        <v>188</v>
      </c>
    </row>
    <row r="115" spans="1:2" ht="28.8" x14ac:dyDescent="0.3">
      <c r="A115" s="37" t="s">
        <v>189</v>
      </c>
      <c r="B115" s="38" t="s">
        <v>190</v>
      </c>
    </row>
    <row r="116" spans="1:2" ht="28.8" x14ac:dyDescent="0.3">
      <c r="A116" s="37" t="s">
        <v>191</v>
      </c>
      <c r="B116" s="38" t="s">
        <v>192</v>
      </c>
    </row>
  </sheetData>
  <mergeCells count="12">
    <mergeCell ref="A96:B96"/>
    <mergeCell ref="A109:B109"/>
    <mergeCell ref="A32:B32"/>
    <mergeCell ref="A47:B47"/>
    <mergeCell ref="A62:B62"/>
    <mergeCell ref="A71:B71"/>
    <mergeCell ref="A84:B84"/>
    <mergeCell ref="A1:B1"/>
    <mergeCell ref="A2:B2"/>
    <mergeCell ref="A4:B4"/>
    <mergeCell ref="A13:B13"/>
    <mergeCell ref="A21:B21"/>
  </mergeCells>
  <pageMargins left="0.5" right="0.5" top="0.5" bottom="0.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0881-62BC-45C1-9F50-C807F73553FE}">
  <sheetPr>
    <tabColor rgb="FF00B0F0"/>
  </sheetPr>
  <dimension ref="A1:E110"/>
  <sheetViews>
    <sheetView showGridLines="0" workbookViewId="0">
      <pane ySplit="2" topLeftCell="A3" activePane="bottomLeft" state="frozen"/>
      <selection pane="bottomLeft" activeCell="B17" sqref="B17"/>
    </sheetView>
  </sheetViews>
  <sheetFormatPr defaultRowHeight="14.4" x14ac:dyDescent="0.3"/>
  <cols>
    <col min="1" max="1" width="36.109375" customWidth="1"/>
    <col min="2" max="2" width="61" customWidth="1"/>
    <col min="3" max="4" width="28.5546875" customWidth="1"/>
    <col min="5" max="5" width="32.44140625" customWidth="1"/>
  </cols>
  <sheetData>
    <row r="1" spans="1:5" ht="21" x14ac:dyDescent="0.4">
      <c r="A1" s="132" t="str">
        <f>"Regression Plan — "&amp;'E2E core flow'!B1&amp;"  ·  "&amp;'E2E core flow'!B3</f>
        <v>Regression Plan — Cortex HIS (SBH)  ·  v2.9.0</v>
      </c>
      <c r="B1" s="133"/>
      <c r="C1" s="133"/>
      <c r="D1" s="133"/>
      <c r="E1" s="133"/>
    </row>
    <row r="2" spans="1:5" x14ac:dyDescent="0.3">
      <c r="A2" s="134" t="s">
        <v>193</v>
      </c>
      <c r="B2" s="133"/>
      <c r="C2" s="133"/>
      <c r="D2" s="133"/>
      <c r="E2" s="133"/>
    </row>
    <row r="3" spans="1:5" x14ac:dyDescent="0.3">
      <c r="A3" s="130" t="s">
        <v>194</v>
      </c>
      <c r="B3" s="130"/>
      <c r="C3" s="130"/>
      <c r="D3" s="130"/>
      <c r="E3" s="130"/>
    </row>
    <row r="4" spans="1:5" x14ac:dyDescent="0.3">
      <c r="A4" s="91" t="s">
        <v>195</v>
      </c>
      <c r="B4" s="91" t="s">
        <v>196</v>
      </c>
      <c r="C4" s="91" t="s">
        <v>197</v>
      </c>
      <c r="D4" s="91"/>
      <c r="E4" s="91"/>
    </row>
    <row r="5" spans="1:5" x14ac:dyDescent="0.3">
      <c r="A5" s="99" t="s">
        <v>198</v>
      </c>
      <c r="B5" s="92" t="str">
        <f>'E2E core flow'!B1</f>
        <v>Cortex HIS (SBH)</v>
      </c>
      <c r="C5" s="98" t="s">
        <v>199</v>
      </c>
      <c r="D5" s="90"/>
      <c r="E5" s="90"/>
    </row>
    <row r="6" spans="1:5" x14ac:dyDescent="0.3">
      <c r="A6" s="99" t="s">
        <v>200</v>
      </c>
      <c r="B6" s="92" t="str">
        <f>'E2E core flow'!B2</f>
        <v>E2E (Core Flow)</v>
      </c>
      <c r="C6" s="98" t="s">
        <v>201</v>
      </c>
      <c r="D6" s="90"/>
      <c r="E6" s="90"/>
    </row>
    <row r="7" spans="1:5" x14ac:dyDescent="0.3">
      <c r="A7" s="99" t="s">
        <v>202</v>
      </c>
      <c r="B7" s="92" t="str">
        <f>'E2E core flow'!B3</f>
        <v>v2.9.0</v>
      </c>
      <c r="C7" s="98" t="s">
        <v>203</v>
      </c>
      <c r="D7" s="90"/>
      <c r="E7" s="90"/>
    </row>
    <row r="8" spans="1:5" x14ac:dyDescent="0.3">
      <c r="A8" s="99" t="s">
        <v>204</v>
      </c>
      <c r="B8" s="92" t="str">
        <f>'E2E core flow'!B4</f>
        <v>demo-x</v>
      </c>
      <c r="C8" s="98" t="s">
        <v>205</v>
      </c>
      <c r="D8" s="90"/>
      <c r="E8" s="90"/>
    </row>
    <row r="9" spans="1:5" x14ac:dyDescent="0.3">
      <c r="A9" s="99" t="s">
        <v>206</v>
      </c>
      <c r="B9" s="92" t="str">
        <f>'E2E core flow'!B5</f>
        <v>Urgent</v>
      </c>
      <c r="C9" s="98" t="s">
        <v>207</v>
      </c>
      <c r="D9" s="90"/>
      <c r="E9" s="90"/>
    </row>
    <row r="10" spans="1:5" x14ac:dyDescent="0.3">
      <c r="A10" s="99" t="s">
        <v>208</v>
      </c>
      <c r="B10" s="92" t="str">
        <f>IF('E2E core flow'!D1="","(ยังไม่ระบุ)",'E2E core flow'!D1)</f>
        <v>(ยังไม่ระบุ)</v>
      </c>
      <c r="C10" s="98" t="s">
        <v>209</v>
      </c>
      <c r="D10" s="90"/>
      <c r="E10" s="90"/>
    </row>
    <row r="11" spans="1:5" x14ac:dyDescent="0.3">
      <c r="A11" s="99" t="s">
        <v>210</v>
      </c>
      <c r="B11" s="92" t="str">
        <f>IF('E2E core flow'!D2="","(ยังไม่ระบุ)",'E2E core flow'!D2)</f>
        <v>(ยังไม่ระบุ)</v>
      </c>
      <c r="C11" s="98" t="s">
        <v>211</v>
      </c>
      <c r="D11" s="90"/>
      <c r="E11" s="90"/>
    </row>
    <row r="12" spans="1:5" x14ac:dyDescent="0.3">
      <c r="A12" s="99" t="s">
        <v>212</v>
      </c>
      <c r="B12" s="93" t="str">
        <f>IF(OR('E2E core flow'!D3="",'E2E core flow'!D3="yyyy-mm-dd hh:mm"),"(ยังไม่ระบุ)",'E2E core flow'!D3)</f>
        <v>(ยังไม่ระบุ)</v>
      </c>
      <c r="C12" s="98" t="s">
        <v>213</v>
      </c>
      <c r="D12" s="90"/>
      <c r="E12" s="90"/>
    </row>
    <row r="13" spans="1:5" x14ac:dyDescent="0.3">
      <c r="A13" s="99" t="s">
        <v>214</v>
      </c>
      <c r="B13" s="93" t="str">
        <f>'Dashboard Feed'!P8</f>
        <v>-</v>
      </c>
      <c r="C13" s="98" t="s">
        <v>215</v>
      </c>
      <c r="D13" s="90"/>
      <c r="E13" s="90"/>
    </row>
    <row r="14" spans="1:5" x14ac:dyDescent="0.3">
      <c r="A14" s="99" t="s">
        <v>216</v>
      </c>
      <c r="B14" s="94"/>
      <c r="C14" s="98" t="s">
        <v>217</v>
      </c>
      <c r="D14" s="90"/>
      <c r="E14" s="90"/>
    </row>
    <row r="15" spans="1:5" x14ac:dyDescent="0.3">
      <c r="A15" s="99" t="s">
        <v>218</v>
      </c>
      <c r="B15" s="95">
        <v>5</v>
      </c>
      <c r="C15" s="98" t="s">
        <v>219</v>
      </c>
      <c r="D15" s="90"/>
      <c r="E15" s="90"/>
    </row>
    <row r="16" spans="1:5" x14ac:dyDescent="0.3">
      <c r="A16" s="99" t="s">
        <v>220</v>
      </c>
      <c r="B16" s="96" t="str">
        <f>IF(OR(B14="",B15=""),"-",WORKDAY(B14,B15-1))</f>
        <v>-</v>
      </c>
      <c r="C16" s="98" t="s">
        <v>221</v>
      </c>
      <c r="D16" s="90"/>
      <c r="E16" s="90"/>
    </row>
    <row r="17" spans="1:5" x14ac:dyDescent="0.3">
      <c r="A17" s="99" t="s">
        <v>222</v>
      </c>
      <c r="B17" s="97" t="str">
        <f ca="1">IF(OR(B14="",B15=""),"กรอก Start Date",IF(TODAY()&lt;B14,"Not Started",IF(TODAY()&gt;B16,"Ended","In Progress — เหลือ "&amp;NETWORKDAYS(TODAY(),B16)&amp;" วันทำการ")))</f>
        <v>กรอก Start Date</v>
      </c>
      <c r="C17" s="98" t="s">
        <v>223</v>
      </c>
      <c r="D17" s="90"/>
      <c r="E17" s="90"/>
    </row>
    <row r="18" spans="1:5" x14ac:dyDescent="0.3">
      <c r="A18" s="90"/>
      <c r="B18" s="90"/>
      <c r="C18" s="90"/>
      <c r="D18" s="90"/>
      <c r="E18" s="90"/>
    </row>
    <row r="19" spans="1:5" x14ac:dyDescent="0.3">
      <c r="A19" s="130" t="s">
        <v>224</v>
      </c>
      <c r="B19" s="130"/>
      <c r="C19" s="130"/>
      <c r="D19" s="130"/>
      <c r="E19" s="130"/>
    </row>
    <row r="20" spans="1:5" x14ac:dyDescent="0.3">
      <c r="A20" s="91" t="s">
        <v>225</v>
      </c>
      <c r="B20" s="91" t="s">
        <v>226</v>
      </c>
      <c r="C20" s="91" t="s">
        <v>227</v>
      </c>
      <c r="D20" s="91"/>
      <c r="E20" s="91"/>
    </row>
    <row r="21" spans="1:5" x14ac:dyDescent="0.3">
      <c r="A21" s="99" t="s">
        <v>228</v>
      </c>
      <c r="B21" s="100">
        <f>COUNTIFS('E2E core flow'!$A$15:$A$1000,"&lt;&gt;",'E2E core flow'!$B$15:$B$1000,"OPD")</f>
        <v>11</v>
      </c>
      <c r="C21" s="90" t="s">
        <v>229</v>
      </c>
      <c r="D21" s="90"/>
      <c r="E21" s="90"/>
    </row>
    <row r="22" spans="1:5" x14ac:dyDescent="0.3">
      <c r="A22" s="99" t="s">
        <v>230</v>
      </c>
      <c r="B22" s="100">
        <f>COUNTIFS('E2E core flow'!$A$15:$A$1000,"&lt;&gt;",'E2E core flow'!$B$15:$B$1000,"IPD")</f>
        <v>13</v>
      </c>
      <c r="C22" s="90" t="s">
        <v>231</v>
      </c>
      <c r="D22" s="90"/>
      <c r="E22" s="90"/>
    </row>
    <row r="23" spans="1:5" x14ac:dyDescent="0.3">
      <c r="A23" s="99" t="s">
        <v>232</v>
      </c>
      <c r="B23" s="100">
        <f>B24-B21-B22</f>
        <v>7</v>
      </c>
      <c r="C23" s="90" t="s">
        <v>233</v>
      </c>
      <c r="D23" s="90"/>
      <c r="E23" s="90"/>
    </row>
    <row r="24" spans="1:5" x14ac:dyDescent="0.3">
      <c r="A24" s="99" t="s">
        <v>234</v>
      </c>
      <c r="B24" s="100">
        <f>COUNTIF('E2E core flow'!$A$15:$A$1000,"?*")</f>
        <v>31</v>
      </c>
      <c r="C24" s="90" t="s">
        <v>235</v>
      </c>
      <c r="D24" s="90"/>
      <c r="E24" s="90"/>
    </row>
    <row r="25" spans="1:5" x14ac:dyDescent="0.3">
      <c r="A25" s="99" t="s">
        <v>236</v>
      </c>
      <c r="B25" s="100">
        <f>COUNTIF(Cards!$A$4:$A$1000,"?*")</f>
        <v>38</v>
      </c>
      <c r="C25" s="90" t="s">
        <v>237</v>
      </c>
      <c r="D25" s="90"/>
      <c r="E25" s="90"/>
    </row>
    <row r="26" spans="1:5" x14ac:dyDescent="0.3">
      <c r="A26" s="99" t="s">
        <v>11</v>
      </c>
      <c r="B26" s="100">
        <f>COUNTIF('Card Test Cases'!$A$4:$A$1000,"?*")</f>
        <v>0</v>
      </c>
      <c r="C26" s="90" t="s">
        <v>238</v>
      </c>
      <c r="D26" s="90"/>
      <c r="E26" s="90"/>
    </row>
    <row r="27" spans="1:5" x14ac:dyDescent="0.3">
      <c r="A27" s="99" t="s">
        <v>239</v>
      </c>
      <c r="B27" s="100">
        <f>COUNTIF('E2E core flow'!$W$15:$W$1000,"Out of Scope")</f>
        <v>13</v>
      </c>
      <c r="C27" s="90" t="s">
        <v>240</v>
      </c>
      <c r="D27" s="90"/>
      <c r="E27" s="90"/>
    </row>
    <row r="28" spans="1:5" x14ac:dyDescent="0.3">
      <c r="A28" s="99" t="s">
        <v>241</v>
      </c>
      <c r="B28" s="100">
        <f>COUNTIF(Cards!$J$4:$J$1000,"Passed with Known Issue")</f>
        <v>0</v>
      </c>
      <c r="C28" s="90" t="s">
        <v>242</v>
      </c>
      <c r="D28" s="90"/>
      <c r="E28" s="90"/>
    </row>
    <row r="29" spans="1:5" x14ac:dyDescent="0.3">
      <c r="A29" s="90"/>
      <c r="B29" s="90"/>
      <c r="C29" s="90"/>
      <c r="D29" s="90"/>
      <c r="E29" s="90"/>
    </row>
    <row r="30" spans="1:5" x14ac:dyDescent="0.3">
      <c r="A30" s="130" t="s">
        <v>243</v>
      </c>
      <c r="B30" s="130"/>
      <c r="C30" s="130"/>
      <c r="D30" s="130"/>
      <c r="E30" s="130"/>
    </row>
    <row r="31" spans="1:5" x14ac:dyDescent="0.3">
      <c r="A31" s="91" t="s">
        <v>244</v>
      </c>
      <c r="B31" s="91" t="s">
        <v>245</v>
      </c>
      <c r="C31" s="91" t="s">
        <v>246</v>
      </c>
      <c r="D31" s="91"/>
      <c r="E31" s="91"/>
    </row>
    <row r="32" spans="1:5" ht="27.6" x14ac:dyDescent="0.3">
      <c r="A32" s="101" t="s">
        <v>247</v>
      </c>
      <c r="B32" s="105" t="s">
        <v>248</v>
      </c>
      <c r="C32" s="105" t="s">
        <v>249</v>
      </c>
      <c r="D32" s="90"/>
      <c r="E32" s="90"/>
    </row>
    <row r="33" spans="1:5" x14ac:dyDescent="0.3">
      <c r="A33" s="102" t="s">
        <v>250</v>
      </c>
      <c r="B33" s="105" t="s">
        <v>251</v>
      </c>
      <c r="C33" s="105" t="s">
        <v>252</v>
      </c>
      <c r="D33" s="90"/>
      <c r="E33" s="90"/>
    </row>
    <row r="34" spans="1:5" x14ac:dyDescent="0.3">
      <c r="A34" s="103" t="s">
        <v>253</v>
      </c>
      <c r="B34" s="105" t="s">
        <v>254</v>
      </c>
      <c r="C34" s="105" t="s">
        <v>255</v>
      </c>
      <c r="D34" s="90"/>
      <c r="E34" s="90"/>
    </row>
    <row r="35" spans="1:5" x14ac:dyDescent="0.3">
      <c r="A35" s="99" t="s">
        <v>256</v>
      </c>
      <c r="B35" s="106" t="str">
        <f>Dashboard!D12</f>
        <v>NOT READY (NO-GO)</v>
      </c>
      <c r="C35" s="105" t="s">
        <v>257</v>
      </c>
      <c r="D35" s="90"/>
      <c r="E35" s="90"/>
    </row>
    <row r="36" spans="1:5" x14ac:dyDescent="0.3">
      <c r="A36" s="90"/>
      <c r="B36" s="105"/>
      <c r="C36" s="105"/>
      <c r="D36" s="90"/>
      <c r="E36" s="90"/>
    </row>
    <row r="37" spans="1:5" x14ac:dyDescent="0.3">
      <c r="A37" s="130" t="s">
        <v>258</v>
      </c>
      <c r="B37" s="131"/>
      <c r="C37" s="131"/>
      <c r="D37" s="130"/>
      <c r="E37" s="130"/>
    </row>
    <row r="38" spans="1:5" x14ac:dyDescent="0.3">
      <c r="A38" s="91" t="s">
        <v>195</v>
      </c>
      <c r="B38" s="107" t="s">
        <v>196</v>
      </c>
      <c r="C38" s="107" t="s">
        <v>197</v>
      </c>
      <c r="D38" s="91"/>
      <c r="E38" s="91"/>
    </row>
    <row r="39" spans="1:5" ht="41.4" x14ac:dyDescent="0.3">
      <c r="A39" s="99" t="s">
        <v>259</v>
      </c>
      <c r="B39" s="108" t="str">
        <f>'E2E core flow'!B6</f>
        <v>หากพบ Bug Priority Urgent / High ให้ log bug เพื่อแก้ด่วน โดย Developer ต้องส่งมอบแก้ไขภายใน [ระบุเวลา เช่น 2–4 ชม.] มิฉะนั้นจะดำเนินการ Reject Build ทันที</v>
      </c>
      <c r="C39" s="105" t="s">
        <v>260</v>
      </c>
      <c r="D39" s="90"/>
      <c r="E39" s="90"/>
    </row>
    <row r="40" spans="1:5" x14ac:dyDescent="0.3">
      <c r="A40" s="90"/>
      <c r="B40" s="105"/>
      <c r="C40" s="105"/>
      <c r="D40" s="90"/>
      <c r="E40" s="90"/>
    </row>
    <row r="41" spans="1:5" x14ac:dyDescent="0.3">
      <c r="A41" s="130" t="s">
        <v>261</v>
      </c>
      <c r="B41" s="131"/>
      <c r="C41" s="131"/>
      <c r="D41" s="130"/>
      <c r="E41" s="130"/>
    </row>
    <row r="42" spans="1:5" x14ac:dyDescent="0.3">
      <c r="A42" s="91" t="s">
        <v>262</v>
      </c>
      <c r="B42" s="107" t="s">
        <v>263</v>
      </c>
      <c r="C42" s="107" t="s">
        <v>264</v>
      </c>
      <c r="D42" s="91" t="s">
        <v>226</v>
      </c>
      <c r="E42" s="91"/>
    </row>
    <row r="43" spans="1:5" x14ac:dyDescent="0.3">
      <c r="A43" s="99" t="s">
        <v>265</v>
      </c>
      <c r="B43" s="105" t="s">
        <v>266</v>
      </c>
      <c r="C43" s="105" t="s">
        <v>250</v>
      </c>
      <c r="D43" s="100">
        <f>COUNTIF('E2E core flow'!$M$15:$M$1000,A43)</f>
        <v>0</v>
      </c>
      <c r="E43" s="90"/>
    </row>
    <row r="44" spans="1:5" x14ac:dyDescent="0.3">
      <c r="A44" s="99" t="s">
        <v>267</v>
      </c>
      <c r="B44" s="105" t="s">
        <v>268</v>
      </c>
      <c r="C44" s="105" t="s">
        <v>250</v>
      </c>
      <c r="D44" s="100">
        <f>COUNTIF('E2E core flow'!$M$15:$M$1000,A44)</f>
        <v>18</v>
      </c>
      <c r="E44" s="90"/>
    </row>
    <row r="45" spans="1:5" x14ac:dyDescent="0.3">
      <c r="A45" s="99" t="s">
        <v>269</v>
      </c>
      <c r="B45" s="105" t="s">
        <v>270</v>
      </c>
      <c r="C45" s="105" t="s">
        <v>250</v>
      </c>
      <c r="D45" s="100">
        <f>COUNTIF('E2E core flow'!$M$15:$M$1000,A45)</f>
        <v>0</v>
      </c>
      <c r="E45" s="90"/>
    </row>
    <row r="46" spans="1:5" x14ac:dyDescent="0.3">
      <c r="A46" s="99" t="s">
        <v>271</v>
      </c>
      <c r="B46" s="105" t="s">
        <v>272</v>
      </c>
      <c r="C46" s="105" t="s">
        <v>273</v>
      </c>
      <c r="D46" s="100">
        <f>COUNTIF('E2E core flow'!$M$15:$M$1000,A46)</f>
        <v>0</v>
      </c>
      <c r="E46" s="90"/>
    </row>
    <row r="47" spans="1:5" x14ac:dyDescent="0.3">
      <c r="A47" s="99" t="s">
        <v>274</v>
      </c>
      <c r="B47" s="105" t="s">
        <v>275</v>
      </c>
      <c r="C47" s="105" t="s">
        <v>276</v>
      </c>
      <c r="D47" s="100">
        <f>COUNTIF('E2E core flow'!$M$15:$M$1000,A47)</f>
        <v>0</v>
      </c>
      <c r="E47" s="90"/>
    </row>
    <row r="48" spans="1:5" x14ac:dyDescent="0.3">
      <c r="A48" s="99" t="s">
        <v>277</v>
      </c>
      <c r="B48" s="105" t="s">
        <v>278</v>
      </c>
      <c r="C48" s="105" t="s">
        <v>279</v>
      </c>
      <c r="D48" s="100">
        <f>COUNTIF('E2E core flow'!$M$15:$M$1000,A48)</f>
        <v>13</v>
      </c>
      <c r="E48" s="90"/>
    </row>
    <row r="49" spans="1:5" x14ac:dyDescent="0.3">
      <c r="A49" s="99" t="s">
        <v>280</v>
      </c>
      <c r="B49" s="105" t="s">
        <v>281</v>
      </c>
      <c r="C49" s="105" t="s">
        <v>279</v>
      </c>
      <c r="D49" s="100">
        <f>COUNTIF('E2E core flow'!$M$15:$M$1000,A49)</f>
        <v>0</v>
      </c>
      <c r="E49" s="90"/>
    </row>
    <row r="50" spans="1:5" x14ac:dyDescent="0.3">
      <c r="A50" s="99"/>
      <c r="B50" s="105"/>
      <c r="C50" s="105"/>
      <c r="D50" s="100"/>
      <c r="E50" s="90"/>
    </row>
    <row r="51" spans="1:5" x14ac:dyDescent="0.3">
      <c r="A51" s="130" t="s">
        <v>282</v>
      </c>
      <c r="B51" s="131"/>
      <c r="C51" s="131"/>
      <c r="D51" s="137"/>
      <c r="E51" s="130"/>
    </row>
    <row r="52" spans="1:5" x14ac:dyDescent="0.3">
      <c r="A52" s="91" t="s">
        <v>283</v>
      </c>
      <c r="B52" s="107" t="s">
        <v>263</v>
      </c>
      <c r="C52" s="107" t="s">
        <v>246</v>
      </c>
      <c r="D52" s="91" t="s">
        <v>284</v>
      </c>
      <c r="E52" s="91"/>
    </row>
    <row r="53" spans="1:5" ht="27.6" x14ac:dyDescent="0.3">
      <c r="A53" s="99" t="s">
        <v>285</v>
      </c>
      <c r="B53" s="105" t="s">
        <v>286</v>
      </c>
      <c r="C53" s="105" t="s">
        <v>287</v>
      </c>
      <c r="D53" s="100">
        <f>Dashboard!D165</f>
        <v>0</v>
      </c>
      <c r="E53" s="90"/>
    </row>
    <row r="54" spans="1:5" x14ac:dyDescent="0.3">
      <c r="A54" s="99" t="s">
        <v>288</v>
      </c>
      <c r="B54" s="105" t="s">
        <v>289</v>
      </c>
      <c r="C54" s="105" t="s">
        <v>290</v>
      </c>
      <c r="D54" s="100">
        <f>Dashboard!D166</f>
        <v>0</v>
      </c>
      <c r="E54" s="90"/>
    </row>
    <row r="55" spans="1:5" ht="27.6" x14ac:dyDescent="0.3">
      <c r="A55" s="99" t="s">
        <v>291</v>
      </c>
      <c r="B55" s="105" t="s">
        <v>292</v>
      </c>
      <c r="C55" s="105" t="s">
        <v>293</v>
      </c>
      <c r="D55" s="100">
        <f>Dashboard!D167</f>
        <v>0</v>
      </c>
      <c r="E55" s="90"/>
    </row>
    <row r="56" spans="1:5" x14ac:dyDescent="0.3">
      <c r="A56" s="99" t="s">
        <v>294</v>
      </c>
      <c r="B56" s="105" t="s">
        <v>295</v>
      </c>
      <c r="C56" s="105" t="s">
        <v>296</v>
      </c>
      <c r="D56" s="100">
        <f>Dashboard!D168</f>
        <v>0</v>
      </c>
      <c r="E56" s="90"/>
    </row>
    <row r="57" spans="1:5" ht="20.399999999999999" x14ac:dyDescent="0.3">
      <c r="A57" s="99"/>
      <c r="B57" s="109" t="s">
        <v>297</v>
      </c>
      <c r="C57" s="105"/>
      <c r="D57" s="90"/>
      <c r="E57" s="90"/>
    </row>
    <row r="58" spans="1:5" x14ac:dyDescent="0.3">
      <c r="A58" s="99"/>
      <c r="B58" s="105"/>
      <c r="C58" s="105"/>
      <c r="D58" s="90"/>
      <c r="E58" s="90"/>
    </row>
    <row r="59" spans="1:5" x14ac:dyDescent="0.3">
      <c r="A59" s="130" t="s">
        <v>298</v>
      </c>
      <c r="B59" s="131"/>
      <c r="C59" s="131"/>
      <c r="D59" s="130"/>
      <c r="E59" s="130"/>
    </row>
    <row r="60" spans="1:5" x14ac:dyDescent="0.3">
      <c r="A60" s="91" t="s">
        <v>299</v>
      </c>
      <c r="B60" s="107" t="s">
        <v>300</v>
      </c>
      <c r="C60" s="107" t="s">
        <v>50</v>
      </c>
      <c r="D60" s="91"/>
      <c r="E60" s="91"/>
    </row>
    <row r="61" spans="1:5" x14ac:dyDescent="0.3">
      <c r="A61" s="99" t="s">
        <v>301</v>
      </c>
      <c r="B61" s="105" t="s">
        <v>302</v>
      </c>
      <c r="C61" s="105" t="s">
        <v>303</v>
      </c>
      <c r="D61" s="90"/>
      <c r="E61" s="90"/>
    </row>
    <row r="62" spans="1:5" x14ac:dyDescent="0.3">
      <c r="A62" s="99" t="s">
        <v>304</v>
      </c>
      <c r="B62" s="105" t="s">
        <v>305</v>
      </c>
      <c r="C62" s="105" t="s">
        <v>306</v>
      </c>
      <c r="D62" s="90"/>
      <c r="E62" s="90"/>
    </row>
    <row r="63" spans="1:5" x14ac:dyDescent="0.3">
      <c r="A63" s="99" t="s">
        <v>307</v>
      </c>
      <c r="B63" s="105" t="s">
        <v>308</v>
      </c>
      <c r="C63" s="105" t="s">
        <v>309</v>
      </c>
      <c r="D63" s="90"/>
      <c r="E63" s="90"/>
    </row>
    <row r="64" spans="1:5" x14ac:dyDescent="0.3">
      <c r="A64" s="99" t="s">
        <v>310</v>
      </c>
      <c r="B64" s="105" t="s">
        <v>311</v>
      </c>
      <c r="C64" s="105" t="s">
        <v>312</v>
      </c>
      <c r="D64" s="90"/>
      <c r="E64" s="90"/>
    </row>
    <row r="65" spans="1:5" x14ac:dyDescent="0.3">
      <c r="A65" s="99" t="s">
        <v>313</v>
      </c>
      <c r="B65" s="105" t="s">
        <v>314</v>
      </c>
      <c r="C65" s="105" t="s">
        <v>315</v>
      </c>
      <c r="D65" s="90"/>
      <c r="E65" s="90"/>
    </row>
    <row r="66" spans="1:5" x14ac:dyDescent="0.3">
      <c r="A66" s="99" t="s">
        <v>316</v>
      </c>
      <c r="B66" s="105" t="s">
        <v>317</v>
      </c>
      <c r="C66" s="105" t="s">
        <v>318</v>
      </c>
      <c r="D66" s="90"/>
      <c r="E66" s="90"/>
    </row>
    <row r="67" spans="1:5" x14ac:dyDescent="0.3">
      <c r="A67" s="99"/>
      <c r="B67" s="105"/>
      <c r="C67" s="105"/>
      <c r="D67" s="90"/>
      <c r="E67" s="90"/>
    </row>
    <row r="68" spans="1:5" x14ac:dyDescent="0.3">
      <c r="A68" s="130" t="s">
        <v>319</v>
      </c>
      <c r="B68" s="131"/>
      <c r="C68" s="131"/>
      <c r="D68" s="130"/>
      <c r="E68" s="130"/>
    </row>
    <row r="69" spans="1:5" x14ac:dyDescent="0.3">
      <c r="A69" s="91" t="s">
        <v>262</v>
      </c>
      <c r="B69" s="107" t="s">
        <v>226</v>
      </c>
      <c r="C69" s="107" t="s">
        <v>227</v>
      </c>
      <c r="D69" s="91"/>
      <c r="E69" s="91"/>
    </row>
    <row r="70" spans="1:5" x14ac:dyDescent="0.3">
      <c r="A70" s="99" t="s">
        <v>320</v>
      </c>
      <c r="B70" s="110">
        <f>COUNTIF(Cards!$J$4:$J$1000,"Passed")</f>
        <v>0</v>
      </c>
      <c r="C70" s="105" t="s">
        <v>321</v>
      </c>
      <c r="D70" s="90"/>
      <c r="E70" s="90"/>
    </row>
    <row r="71" spans="1:5" ht="27.6" x14ac:dyDescent="0.3">
      <c r="A71" s="99" t="s">
        <v>162</v>
      </c>
      <c r="B71" s="110">
        <f>COUNTIF(Cards!$J$4:$J$1000,"Passed with Known Issue")</f>
        <v>0</v>
      </c>
      <c r="C71" s="105" t="s">
        <v>322</v>
      </c>
      <c r="D71" s="90"/>
      <c r="E71" s="90"/>
    </row>
    <row r="72" spans="1:5" x14ac:dyDescent="0.3">
      <c r="A72" s="99" t="s">
        <v>323</v>
      </c>
      <c r="B72" s="110">
        <f>COUNTIF(Cards!$J$4:$J$1000,"Failed")</f>
        <v>0</v>
      </c>
      <c r="C72" s="105" t="s">
        <v>324</v>
      </c>
      <c r="D72" s="90"/>
      <c r="E72" s="90"/>
    </row>
    <row r="73" spans="1:5" x14ac:dyDescent="0.3">
      <c r="A73" s="99" t="s">
        <v>325</v>
      </c>
      <c r="B73" s="110">
        <f>COUNTIF(Cards!$J$4:$J$1000,"Not Tested")</f>
        <v>0</v>
      </c>
      <c r="C73" s="105" t="s">
        <v>326</v>
      </c>
      <c r="D73" s="90"/>
      <c r="E73" s="90"/>
    </row>
    <row r="74" spans="1:5" x14ac:dyDescent="0.3">
      <c r="A74" s="99" t="s">
        <v>327</v>
      </c>
      <c r="B74" s="110">
        <f>COUNTIFS(Cards!$A$4:$A$1000,"?*",Cards!$J$4:$J$1000,"")</f>
        <v>38</v>
      </c>
      <c r="C74" s="105" t="s">
        <v>328</v>
      </c>
      <c r="D74" s="90"/>
      <c r="E74" s="90"/>
    </row>
    <row r="75" spans="1:5" ht="27.6" x14ac:dyDescent="0.3">
      <c r="A75" s="99" t="s">
        <v>329</v>
      </c>
      <c r="B75" s="111" t="str">
        <f>IFERROR((B70+B71)/(B70+B71+B72),"-")</f>
        <v>-</v>
      </c>
      <c r="C75" s="105" t="s">
        <v>330</v>
      </c>
      <c r="D75" s="90"/>
      <c r="E75" s="90"/>
    </row>
    <row r="76" spans="1:5" x14ac:dyDescent="0.3">
      <c r="A76" s="90"/>
      <c r="B76" s="90"/>
      <c r="C76" s="90"/>
      <c r="D76" s="90"/>
      <c r="E76" s="90"/>
    </row>
    <row r="77" spans="1:5" x14ac:dyDescent="0.3">
      <c r="A77" s="130" t="s">
        <v>331</v>
      </c>
      <c r="B77" s="130"/>
      <c r="C77" s="130"/>
      <c r="D77" s="130"/>
      <c r="E77" s="130"/>
    </row>
    <row r="78" spans="1:5" x14ac:dyDescent="0.3">
      <c r="A78" s="91" t="s">
        <v>332</v>
      </c>
      <c r="B78" s="91" t="s">
        <v>333</v>
      </c>
      <c r="C78" s="91" t="s">
        <v>334</v>
      </c>
      <c r="D78" s="91" t="s">
        <v>335</v>
      </c>
      <c r="E78" s="91" t="s">
        <v>336</v>
      </c>
    </row>
    <row r="79" spans="1:5" x14ac:dyDescent="0.3">
      <c r="A79" s="99" t="s">
        <v>337</v>
      </c>
      <c r="B79" s="112">
        <v>1</v>
      </c>
      <c r="C79" s="104">
        <f>IFERROR((Dashboard!C21+Dashboard!D21)/Dashboard!H21,0)</f>
        <v>0</v>
      </c>
      <c r="D79" s="100" t="str">
        <f>(Dashboard!C21+Dashboard!D21)&amp;" / "&amp;Dashboard!H21</f>
        <v>0 / 18</v>
      </c>
      <c r="E79" s="100" t="str">
        <f>IF(C79&gt;=B79,"PASS","FAIL")</f>
        <v>FAIL</v>
      </c>
    </row>
    <row r="80" spans="1:5" x14ac:dyDescent="0.3">
      <c r="A80" s="99" t="s">
        <v>338</v>
      </c>
      <c r="B80" s="112">
        <v>0.9</v>
      </c>
      <c r="C80" s="104">
        <f>IFERROR(B70/(B25-B71),0)</f>
        <v>0</v>
      </c>
      <c r="D80" s="100" t="str">
        <f>B70&amp;" / "&amp;(B25-B71)</f>
        <v>0 / 38</v>
      </c>
      <c r="E80" s="100" t="str">
        <f>IF(C80&gt;=B80,"PASS","FAIL")</f>
        <v>FAIL</v>
      </c>
    </row>
    <row r="81" spans="1:5" x14ac:dyDescent="0.3">
      <c r="A81" s="99" t="s">
        <v>11</v>
      </c>
      <c r="B81" s="112">
        <v>0.9</v>
      </c>
      <c r="C81" s="104">
        <f>IFERROR(Dashboard!C23/Dashboard!H23,0)</f>
        <v>0</v>
      </c>
      <c r="D81" s="100" t="str">
        <f>Dashboard!C23&amp;" / "&amp;Dashboard!H23</f>
        <v>0 / 0</v>
      </c>
      <c r="E81" s="100" t="str">
        <f>IF(C81&gt;=B81,"PASS","FAIL")</f>
        <v>FAIL</v>
      </c>
    </row>
    <row r="82" spans="1:5" x14ac:dyDescent="0.3">
      <c r="A82" s="99" t="s">
        <v>339</v>
      </c>
      <c r="B82" s="112">
        <v>0.1</v>
      </c>
      <c r="C82" s="104">
        <f>IFERROR(B71/B25,0)</f>
        <v>0</v>
      </c>
      <c r="D82" s="100" t="str">
        <f>B71&amp;" / "&amp;B25&amp;" cards"</f>
        <v>0 / 38 cards</v>
      </c>
      <c r="E82" s="100" t="str">
        <f>IF(C82&lt;=B82,"PASS","FAIL")</f>
        <v>PASS</v>
      </c>
    </row>
    <row r="83" spans="1:5" x14ac:dyDescent="0.3">
      <c r="A83" s="138" t="s">
        <v>340</v>
      </c>
      <c r="B83" s="139"/>
      <c r="C83" s="139"/>
      <c r="D83" s="139"/>
      <c r="E83" s="113" t="str">
        <f>IF(COUNTIF(E79:E82,"PASS")=4,"PASS (Accept)","FAIL (Not Accept)")</f>
        <v>FAIL (Not Accept)</v>
      </c>
    </row>
    <row r="84" spans="1:5" ht="27.75" customHeight="1" x14ac:dyDescent="0.3">
      <c r="A84" s="135" t="s">
        <v>341</v>
      </c>
      <c r="B84" s="133"/>
      <c r="C84" s="133"/>
      <c r="D84" s="133"/>
      <c r="E84" s="133"/>
    </row>
    <row r="85" spans="1:5" x14ac:dyDescent="0.3">
      <c r="A85" s="90"/>
      <c r="B85" s="90"/>
      <c r="C85" s="90"/>
      <c r="D85" s="90"/>
      <c r="E85" s="90"/>
    </row>
    <row r="86" spans="1:5" x14ac:dyDescent="0.3">
      <c r="A86" s="130" t="s">
        <v>342</v>
      </c>
      <c r="B86" s="130"/>
      <c r="C86" s="130"/>
      <c r="D86" s="130"/>
      <c r="E86" s="130"/>
    </row>
    <row r="87" spans="1:5" x14ac:dyDescent="0.3">
      <c r="A87" s="136" t="s">
        <v>343</v>
      </c>
      <c r="B87" s="133"/>
      <c r="C87" s="133"/>
      <c r="D87" s="133"/>
      <c r="E87" s="133"/>
    </row>
    <row r="88" spans="1:5" x14ac:dyDescent="0.3">
      <c r="A88" s="91" t="s">
        <v>344</v>
      </c>
      <c r="B88" s="91" t="s">
        <v>345</v>
      </c>
      <c r="C88" s="91" t="s">
        <v>346</v>
      </c>
      <c r="D88" s="91" t="s">
        <v>347</v>
      </c>
      <c r="E88" s="91" t="s">
        <v>348</v>
      </c>
    </row>
    <row r="89" spans="1:5" x14ac:dyDescent="0.3">
      <c r="A89" s="114" t="str" cm="1">
        <f t="array" ref="A89">IFERROR(_xlfn._xlws.FILTER(_xlfn.HSTACK(Cards!$A$4:$A$1000,Cards!$B$4:$B$1000,Cards!$C$4:$C$1000,Cards!$F$4:$F$1000,Cards!$K$4:$K$1000),Cards!$J$4:$J$1000="Passed with Known Issue"),"ไม่มีการ์ด Known Issue")</f>
        <v>ไม่มีการ์ด Known Issue</v>
      </c>
      <c r="B89" s="114"/>
      <c r="C89" s="114"/>
      <c r="D89" s="114"/>
      <c r="E89" s="114"/>
    </row>
    <row r="90" spans="1:5" x14ac:dyDescent="0.3">
      <c r="A90" s="114"/>
      <c r="B90" s="114"/>
      <c r="C90" s="114"/>
      <c r="D90" s="114"/>
      <c r="E90" s="114"/>
    </row>
    <row r="91" spans="1:5" x14ac:dyDescent="0.3">
      <c r="A91" s="114"/>
      <c r="B91" s="114"/>
      <c r="C91" s="114"/>
      <c r="D91" s="114"/>
      <c r="E91" s="114"/>
    </row>
    <row r="92" spans="1:5" x14ac:dyDescent="0.3">
      <c r="A92" s="114"/>
      <c r="B92" s="114"/>
      <c r="C92" s="114"/>
      <c r="D92" s="114"/>
      <c r="E92" s="114"/>
    </row>
    <row r="93" spans="1:5" x14ac:dyDescent="0.3">
      <c r="A93" s="114"/>
      <c r="B93" s="114"/>
      <c r="C93" s="114"/>
      <c r="D93" s="114"/>
      <c r="E93" s="114"/>
    </row>
    <row r="94" spans="1:5" x14ac:dyDescent="0.3">
      <c r="A94" s="114"/>
      <c r="B94" s="114"/>
      <c r="C94" s="114"/>
      <c r="D94" s="114"/>
      <c r="E94" s="114"/>
    </row>
    <row r="95" spans="1:5" x14ac:dyDescent="0.3">
      <c r="A95" s="114"/>
      <c r="B95" s="114"/>
      <c r="C95" s="114"/>
      <c r="D95" s="114"/>
      <c r="E95" s="114"/>
    </row>
    <row r="96" spans="1:5" x14ac:dyDescent="0.3">
      <c r="A96" s="114"/>
      <c r="B96" s="114"/>
      <c r="C96" s="114"/>
      <c r="D96" s="114"/>
      <c r="E96" s="114"/>
    </row>
    <row r="97" spans="1:5" x14ac:dyDescent="0.3">
      <c r="A97" s="114"/>
      <c r="B97" s="114"/>
      <c r="C97" s="114"/>
      <c r="D97" s="114"/>
      <c r="E97" s="114"/>
    </row>
    <row r="98" spans="1:5" x14ac:dyDescent="0.3">
      <c r="A98" s="114"/>
      <c r="B98" s="114"/>
      <c r="C98" s="114"/>
      <c r="D98" s="114"/>
      <c r="E98" s="114"/>
    </row>
    <row r="99" spans="1:5" x14ac:dyDescent="0.3">
      <c r="A99" s="114"/>
      <c r="B99" s="114"/>
      <c r="C99" s="114"/>
      <c r="D99" s="114"/>
      <c r="E99" s="114"/>
    </row>
    <row r="100" spans="1:5" x14ac:dyDescent="0.3">
      <c r="A100" s="114"/>
      <c r="B100" s="114"/>
      <c r="C100" s="114"/>
      <c r="D100" s="114"/>
      <c r="E100" s="114"/>
    </row>
    <row r="101" spans="1:5" x14ac:dyDescent="0.3">
      <c r="A101" s="114"/>
      <c r="B101" s="114"/>
      <c r="C101" s="114"/>
      <c r="D101" s="114"/>
      <c r="E101" s="114"/>
    </row>
    <row r="102" spans="1:5" x14ac:dyDescent="0.3">
      <c r="A102" s="114"/>
      <c r="B102" s="114"/>
      <c r="C102" s="114"/>
      <c r="D102" s="114"/>
      <c r="E102" s="114"/>
    </row>
    <row r="103" spans="1:5" x14ac:dyDescent="0.3">
      <c r="A103" s="114"/>
      <c r="B103" s="114"/>
      <c r="C103" s="114"/>
      <c r="D103" s="114"/>
      <c r="E103" s="114"/>
    </row>
    <row r="104" spans="1:5" x14ac:dyDescent="0.3">
      <c r="A104" s="114"/>
      <c r="B104" s="114"/>
      <c r="C104" s="114"/>
      <c r="D104" s="114"/>
      <c r="E104" s="114"/>
    </row>
    <row r="105" spans="1:5" x14ac:dyDescent="0.3">
      <c r="A105" s="114"/>
      <c r="B105" s="114"/>
      <c r="C105" s="114"/>
      <c r="D105" s="114"/>
      <c r="E105" s="114"/>
    </row>
    <row r="106" spans="1:5" x14ac:dyDescent="0.3">
      <c r="A106" s="114"/>
      <c r="B106" s="114"/>
      <c r="C106" s="114"/>
      <c r="D106" s="114"/>
      <c r="E106" s="114"/>
    </row>
    <row r="107" spans="1:5" x14ac:dyDescent="0.3">
      <c r="A107" s="114"/>
      <c r="B107" s="114"/>
      <c r="C107" s="114"/>
      <c r="D107" s="114"/>
      <c r="E107" s="114"/>
    </row>
    <row r="108" spans="1:5" x14ac:dyDescent="0.3">
      <c r="A108" s="114"/>
      <c r="B108" s="114"/>
      <c r="C108" s="114"/>
      <c r="D108" s="114"/>
      <c r="E108" s="114"/>
    </row>
    <row r="109" spans="1:5" x14ac:dyDescent="0.3">
      <c r="A109" s="114"/>
      <c r="B109" s="114"/>
      <c r="C109" s="114"/>
      <c r="D109" s="114"/>
      <c r="E109" s="114"/>
    </row>
    <row r="110" spans="1:5" x14ac:dyDescent="0.3">
      <c r="A110" s="114"/>
      <c r="B110" s="114"/>
      <c r="C110" s="114"/>
      <c r="D110" s="114"/>
      <c r="E110" s="114"/>
    </row>
  </sheetData>
  <mergeCells count="15">
    <mergeCell ref="A84:E84"/>
    <mergeCell ref="A86:E86"/>
    <mergeCell ref="A87:E87"/>
    <mergeCell ref="A41:E41"/>
    <mergeCell ref="A51:E51"/>
    <mergeCell ref="A59:E59"/>
    <mergeCell ref="A68:E68"/>
    <mergeCell ref="A77:E77"/>
    <mergeCell ref="A83:D83"/>
    <mergeCell ref="A37:E37"/>
    <mergeCell ref="A1:E1"/>
    <mergeCell ref="A2:E2"/>
    <mergeCell ref="A3:E3"/>
    <mergeCell ref="A19:E19"/>
    <mergeCell ref="A30:E30"/>
  </mergeCells>
  <conditionalFormatting sqref="E79:E83">
    <cfRule type="beginsWith" dxfId="116" priority="1" operator="beginsWith" text="PASS">
      <formula>LEFT(E79,LEN("PASS"))="PASS"</formula>
    </cfRule>
    <cfRule type="beginsWith" dxfId="115" priority="2" operator="beginsWith" text="FAIL">
      <formula>LEFT(E79,LEN("FAIL"))="FAIL"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2329-8281-4592-9B31-A879E4A78529}">
  <sheetPr>
    <tabColor theme="0" tint="-0.34998626667073579"/>
  </sheetPr>
  <dimension ref="A1:M214"/>
  <sheetViews>
    <sheetView showGridLines="0" zoomScale="70" zoomScaleNormal="70" workbookViewId="0">
      <pane ySplit="3" topLeftCell="A10" activePane="bottomLeft" state="frozen"/>
      <selection pane="bottomLeft" activeCell="D19" sqref="D19"/>
    </sheetView>
  </sheetViews>
  <sheetFormatPr defaultRowHeight="14.4" outlineLevelRow="1" x14ac:dyDescent="0.3"/>
  <cols>
    <col min="1" max="1" width="2.44140625" style="6" customWidth="1"/>
    <col min="2" max="2" width="29.6640625" style="6" customWidth="1"/>
    <col min="3" max="3" width="17.33203125" style="6" customWidth="1"/>
    <col min="4" max="4" width="37.109375" style="6" customWidth="1"/>
    <col min="5" max="6" width="17.33203125" style="6" customWidth="1"/>
    <col min="7" max="7" width="39.5546875" style="6" customWidth="1"/>
    <col min="8" max="8" width="3.6640625" style="6" customWidth="1"/>
    <col min="9" max="9" width="32.109375" style="6" customWidth="1"/>
    <col min="10" max="10" width="37.109375" style="6" customWidth="1"/>
    <col min="11" max="11" width="34.44140625" style="6" bestFit="1" customWidth="1"/>
    <col min="12" max="12" width="19.88671875" style="6" customWidth="1"/>
    <col min="13" max="13" width="49.5546875" style="6" customWidth="1"/>
    <col min="14" max="14" width="3" customWidth="1"/>
    <col min="15" max="15" width="34" customWidth="1"/>
    <col min="16" max="16" width="44" customWidth="1"/>
    <col min="17" max="17" width="3" customWidth="1"/>
    <col min="18" max="18" width="18" customWidth="1"/>
    <col min="19" max="19" width="12" customWidth="1"/>
    <col min="20" max="20" width="40" customWidth="1"/>
    <col min="21" max="21" width="26" customWidth="1"/>
    <col min="22" max="22" width="12" customWidth="1"/>
    <col min="23" max="23" width="18" customWidth="1"/>
    <col min="24" max="24" width="16" customWidth="1"/>
    <col min="25" max="25" width="9" customWidth="1"/>
  </cols>
  <sheetData>
    <row r="1" spans="1:13" ht="25.8" x14ac:dyDescent="0.5">
      <c r="B1" s="167" t="str">
        <f>"Release Dashboard — Regression "&amp;'E2E core flow'!B3&amp;"  ·  "&amp;'E2E core flow'!B1</f>
        <v>Release Dashboard — Regression v2.9.0  ·  Cortex HIS (SBH)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</row>
    <row r="2" spans="1:13" x14ac:dyDescent="0.3">
      <c r="B2" s="168" t="s">
        <v>349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</row>
    <row r="4" spans="1:13" ht="24" customHeight="1" x14ac:dyDescent="0.3">
      <c r="B4" s="155" t="s">
        <v>350</v>
      </c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</row>
    <row r="5" spans="1:13" ht="15.6" hidden="1" outlineLevel="1" x14ac:dyDescent="0.3">
      <c r="B5" s="140" t="s">
        <v>351</v>
      </c>
      <c r="C5" s="141"/>
      <c r="D5" s="140" t="s">
        <v>352</v>
      </c>
      <c r="E5" s="141"/>
      <c r="F5" s="140" t="s">
        <v>353</v>
      </c>
      <c r="G5" s="151"/>
      <c r="H5"/>
      <c r="I5" s="140" t="s">
        <v>354</v>
      </c>
      <c r="J5" s="141"/>
      <c r="K5" s="141"/>
      <c r="L5" s="141"/>
      <c r="M5" s="151"/>
    </row>
    <row r="6" spans="1:13" ht="26.25" hidden="1" customHeight="1" outlineLevel="1" x14ac:dyDescent="0.3">
      <c r="B6" s="142">
        <f>C67-C66</f>
        <v>18</v>
      </c>
      <c r="C6" s="143"/>
      <c r="D6" s="149">
        <f>IFERROR((C86+C87+C90)/B6,0)</f>
        <v>0</v>
      </c>
      <c r="E6" s="143"/>
      <c r="F6" s="149">
        <f>IFERROR(C90/B6,0)</f>
        <v>0</v>
      </c>
      <c r="G6" s="152"/>
      <c r="H6"/>
      <c r="I6" s="149" t="str" cm="1">
        <f t="array" ref="I6">_xlfn.LET(_xlpm.p,COUNTIF('E2E core flow'!$W$15:$W$1000,"Passed"),_xlpm.cp,COUNTIF('E2E core flow'!$W$15:$W$1000,"Conditionally Passed"),_xlpm.f,COUNTIF('E2E core flow'!$W$15:$W$1000,"Failed"),IFERROR((_xlpm.p+_xlpm.cp)/(_xlpm.p+_xlpm.cp+_xlpm.f),"No evaluated cases"))</f>
        <v>No evaluated cases</v>
      </c>
      <c r="J6" s="143"/>
      <c r="K6" s="143"/>
      <c r="L6" s="143"/>
      <c r="M6" s="152"/>
    </row>
    <row r="7" spans="1:13" ht="26.25" hidden="1" customHeight="1" outlineLevel="1" x14ac:dyDescent="0.3">
      <c r="B7" s="144"/>
      <c r="C7" s="143"/>
      <c r="D7" s="144"/>
      <c r="E7" s="143"/>
      <c r="F7" s="144"/>
      <c r="G7" s="152"/>
      <c r="H7"/>
      <c r="I7" s="144"/>
      <c r="J7" s="143"/>
      <c r="K7" s="143"/>
      <c r="L7" s="143"/>
      <c r="M7" s="152"/>
    </row>
    <row r="8" spans="1:13" ht="30" hidden="1" customHeight="1" outlineLevel="1" x14ac:dyDescent="0.3">
      <c r="B8" s="145" t="str">
        <f>"Cards: "&amp;J61&amp;"   |   Test Cases: "&amp;'Dashboard Feed'!P15&amp;"   |   Pending Mapping: "&amp;COUNTIF(Cards!$G$4:$G$1000,"Pending Mapping")&amp;"   |   Out of Scope (excluded): "&amp;C66</f>
        <v>Cards: 38   |   Test Cases: 0   |   Pending Mapping: 5   |   Out of Scope (excluded): 13</v>
      </c>
      <c r="C8" s="146"/>
      <c r="D8" s="145" t="str">
        <f>"Started "&amp;(C86+C87+C90)&amp;" of "&amp;B6&amp;"  (Testing "&amp;C86&amp;" | Blocked "&amp;C87&amp;" | Done "&amp;C90&amp;")"</f>
        <v>Started 0 of 18  (Testing 0 | Blocked 0 | Done 0)</v>
      </c>
      <c r="E8" s="146"/>
      <c r="F8" s="145" t="str">
        <f>"Completed (Done) "&amp;C90&amp;" of "&amp;B6</f>
        <v>Completed (Done) 0 of 18</v>
      </c>
      <c r="G8" s="153"/>
      <c r="H8"/>
      <c r="I8" s="145" t="str" cm="1">
        <f t="array" ref="I8">_xlfn.LET(_xlpm.p,COUNTIF('E2E core flow'!$W$15:$W$1000,"Passed"),_xlpm.cp,COUNTIF('E2E core flow'!$W$15:$W$1000,"Conditionally Passed"),_xlpm.f,COUNTIF('E2E core flow'!$W$15:$W$1000,"Failed"),"Passed "&amp;_xlpm.p&amp;" + Cond. Passed "&amp;_xlpm.cp&amp;" of "&amp;(_xlpm.p+_xlpm.cp+_xlpm.f)&amp;" evaluated (Failed "&amp;_xlpm.f&amp;")")</f>
        <v>Passed 0 + Cond. Passed 0 of 0 evaluated (Failed 0)</v>
      </c>
      <c r="J8" s="146"/>
      <c r="K8" s="146"/>
      <c r="L8" s="146"/>
      <c r="M8" s="153"/>
    </row>
    <row r="9" spans="1:13" hidden="1" outlineLevel="1" x14ac:dyDescent="0.3">
      <c r="B9" s="147" t="s">
        <v>355</v>
      </c>
      <c r="C9" s="148"/>
      <c r="D9" s="147" t="s">
        <v>356</v>
      </c>
      <c r="E9" s="148"/>
      <c r="F9" s="147" t="s">
        <v>357</v>
      </c>
      <c r="G9" s="154"/>
      <c r="H9"/>
      <c r="I9" s="147" t="s">
        <v>358</v>
      </c>
      <c r="J9" s="148"/>
      <c r="K9" s="148"/>
      <c r="L9" s="148"/>
      <c r="M9" s="154"/>
    </row>
    <row r="10" spans="1:13" ht="24" customHeight="1" collapsed="1" x14ac:dyDescent="0.3">
      <c r="B10" s="174" t="str" cm="1">
        <f t="array" ref="B10">_xlfn.LET(_xlpm.ids,'E2E core flow'!$A$15:$A$1000,_xlpm.pri,'E2E core flow'!$L$15:$L$1000,_xlpm.ver,'E2E core flow'!$W$15:$W$1000,_xlpm.gate,'E2E core flow'!$Z$15:$Z$1000,_xlpm.hi,(_xlpm.pri="Urgent")+(_xlpm.pri="High")+((_xlpm.pri="")*(_xlpm.ids&lt;&gt;"")),_xlpm.fe,SUM((_xlpm.ver="Failed")*(_xlpm.gate&lt;&gt;"Accepted (CF)")),_xlpm.fc,J64,_xlpm.hnr,SUM(_xlpm.hi*(_xlpm.ver="Not Run")),_xlpm.hb,SUM(_xlpm.hi*(_xlpm.ver="Blocked")),_xlpm.hcu,'Dashboard Feed'!P22,_xlpm.lu,'Dashboard Feed'!P25,_xlpm.ub,SUM((_xlpm.gate="Blocking")*(_xlpm.ver&lt;&gt;"Failed")),_xlpm.tb,'Dashboard Feed'!P24,_xlpm.cf,'Dashboard Feed'!P35,_xlpm.ki,C62,_xlpm.kt,'Dashboard Feed'!P36,_xlpm.pr,I6,_xlpm.nogo,_xlpm.fe+_xlpm.hnr+_xlpm.hb+_xlpm.hcu+_xlpm.ub+_xlpm.tb&gt;0,_xlpm.msg,IF(_xlpm.nogo,"NOT READY (NO-GO) - "&amp;_xlfn.TEXTJOIN(" | ",TRUE,IF(_xlpm.fe&gt;0,"Failed (Urgent/High): "&amp;_xlpm.fe&amp;" (Cards affected: "&amp;_xlpm.fc&amp;")",""),IF(_xlpm.hnr+_xlpm.hb&gt;0,"Urgent/High Untested: "&amp;_xlpm.hnr&amp;" | Blocked: "&amp;_xlpm.hb,""),IF(_xlpm.hcu&gt;0,"Cards Pending Result (TOR / Urgent-High): "&amp;_xlpm.hcu,""),IF(_xlpm.ub&gt;0,"Open Urgent/High Bug (no CF): "&amp;_xlpm.ub,""),IF(_xlpm.tb&gt;0,"Cards Failed / Not Tested (TOR / Urgent-High, no CF): "&amp;_xlpm.tb,"")),IF(ISNUMBER(_xlpm.pr),"READY TO RELEASE"&amp;IF(_xlpm.lu&gt;0," (Medium/Low Untested: "&amp;_xlpm.lu&amp;")",""),"NOT READY - ยังไม่มีเคสที่ประเมินผล")),"Release Decision: "&amp;_xlpm.msg&amp;IF(_xlpm.cf&gt;0,"     |     Accepted by CF: "&amp;_xlpm.cf,"")&amp;IF(_xlpm.ki+_xlpm.kt&gt;0,"     |     Known Issues: E2E "&amp;_xlpm.ki&amp;" / Cards "&amp;_xlpm.kt,""))</f>
        <v>Release Decision: NOT READY (NO-GO) - Urgent/High Untested: 18 | Blocked: 0 | Cards Pending Result (TOR / Urgent-High): 38</v>
      </c>
      <c r="C10" s="174"/>
      <c r="D10" s="174"/>
      <c r="E10" s="174"/>
      <c r="F10" s="174"/>
      <c r="G10" s="174"/>
      <c r="H10" s="174"/>
      <c r="I10" s="174"/>
      <c r="J10" s="174"/>
      <c r="K10" s="174" t="str">
        <f>"Risk Level: "&amp;'Dashboard Feed'!P11</f>
        <v>Risk Level: Urgent</v>
      </c>
      <c r="L10" s="174"/>
      <c r="M10" s="174"/>
    </row>
    <row r="11" spans="1:13" ht="24" customHeight="1" x14ac:dyDescent="0.3">
      <c r="A11"/>
      <c r="B11" s="170" t="s">
        <v>359</v>
      </c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</row>
    <row r="12" spans="1:13" ht="24" customHeight="1" x14ac:dyDescent="0.3">
      <c r="A12"/>
      <c r="B12" s="171" t="s">
        <v>360</v>
      </c>
      <c r="C12" s="171"/>
      <c r="D12" s="172" t="str">
        <f>'Dashboard Feed'!P9</f>
        <v>NOT READY (NO-GO)</v>
      </c>
      <c r="E12" s="172"/>
      <c r="F12" s="172"/>
      <c r="G12" s="172"/>
      <c r="H12" s="172"/>
      <c r="I12" s="173" t="str">
        <f>"Risk Level: "&amp;'Dashboard Feed'!P11&amp;"  ·  "&amp;'Dashboard Feed'!P12</f>
        <v>Risk Level: Urgent  ·  NO-GO | Not yet evaluated: 18</v>
      </c>
      <c r="J12" s="173"/>
      <c r="K12" s="173"/>
      <c r="L12" s="173"/>
      <c r="M12" s="173"/>
    </row>
    <row r="13" spans="1:13" ht="24" customHeight="1" x14ac:dyDescent="0.3">
      <c r="A13"/>
      <c r="B13" s="171"/>
      <c r="C13" s="171"/>
      <c r="D13" s="172"/>
      <c r="E13" s="172"/>
      <c r="F13" s="172"/>
      <c r="G13" s="172"/>
      <c r="H13" s="172"/>
      <c r="I13" s="173"/>
      <c r="J13" s="173"/>
      <c r="K13" s="173"/>
      <c r="L13" s="173"/>
      <c r="M13" s="173"/>
    </row>
    <row r="14" spans="1:13" ht="24" customHeigh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</row>
    <row r="15" spans="1:13" ht="24" customHeight="1" x14ac:dyDescent="0.3">
      <c r="A15"/>
      <c r="B15" s="156" t="s">
        <v>361</v>
      </c>
      <c r="C15" s="157"/>
      <c r="D15" s="157"/>
      <c r="E15" s="156" t="s">
        <v>362</v>
      </c>
      <c r="F15" s="157"/>
      <c r="G15" s="157"/>
      <c r="H15" s="156" t="s">
        <v>11</v>
      </c>
      <c r="I15" s="157"/>
      <c r="J15" s="157"/>
      <c r="K15" s="156" t="s">
        <v>363</v>
      </c>
      <c r="L15" s="157"/>
      <c r="M15" s="175"/>
    </row>
    <row r="16" spans="1:13" ht="24" customHeight="1" x14ac:dyDescent="0.3">
      <c r="A16"/>
      <c r="B16" s="158" t="str">
        <f>$K$21</f>
        <v>IN PROGRESS</v>
      </c>
      <c r="C16" s="159"/>
      <c r="D16" s="159"/>
      <c r="E16" s="158" t="str">
        <f>$K$22</f>
        <v>IN PROGRESS</v>
      </c>
      <c r="F16" s="159"/>
      <c r="G16" s="159"/>
      <c r="H16" s="158" t="str">
        <f>$K$23</f>
        <v>NO DATA</v>
      </c>
      <c r="I16" s="159"/>
      <c r="J16" s="159"/>
      <c r="K16" s="158" t="str">
        <f>J170&amp;" Open Bugs  ·  "&amp;(C174+C175)&amp;" Blocking"</f>
        <v>0 Open Bugs  ·  0 Blocking</v>
      </c>
      <c r="L16" s="159"/>
      <c r="M16" s="176"/>
    </row>
    <row r="17" spans="1:13" ht="24" customHeight="1" x14ac:dyDescent="0.3">
      <c r="A17"/>
      <c r="B17" s="160" t="str">
        <f>"Pass Rate "&amp;IFERROR(TEXT($J$21,"0.0%"),"-")&amp;"   ·   Evaluated "&amp;TEXT($I$21,"0.0%")</f>
        <v>Pass Rate -   ·   Evaluated 0.0%</v>
      </c>
      <c r="C17" s="161"/>
      <c r="D17" s="161"/>
      <c r="E17" s="160" t="str">
        <f>"Pass Rate "&amp;IFERROR(TEXT($J$22,"0.0%"),"-")&amp;"   ·   Evaluated "&amp;TEXT($I$22,"0.0%")</f>
        <v>Pass Rate -   ·   Evaluated 0.0%</v>
      </c>
      <c r="F17" s="161"/>
      <c r="G17" s="161"/>
      <c r="H17" s="160" t="str">
        <f>"Pass Rate "&amp;IFERROR(TEXT($J$23,"0.0%"),"-")&amp;"   ·   Evaluated "&amp;TEXT($I$23,"0.0%")</f>
        <v>Pass Rate -   ·   Evaluated 0.0%</v>
      </c>
      <c r="I17" s="161"/>
      <c r="J17" s="161"/>
      <c r="K17" s="160" t="str">
        <f>"Urgent "&amp;J165&amp;" · High "&amp;J166&amp;" · Medium "&amp;J167&amp;" · Low "&amp;J168</f>
        <v>Urgent 0 · High 0 · Medium 0 · Low 0</v>
      </c>
      <c r="L17" s="161"/>
      <c r="M17" s="165"/>
    </row>
    <row r="18" spans="1:13" ht="24" customHeight="1" x14ac:dyDescent="0.3">
      <c r="A18"/>
      <c r="B18" s="162" t="str">
        <f>"Passed "&amp;$C$21&amp;" · Cond. "&amp;$D$21&amp;" · Failed "&amp;$E$21&amp;" · Blocked "&amp;$F$21&amp;" · Not Run "&amp;$G$21&amp;"   (of "&amp;$H$21&amp;")"</f>
        <v>Passed 0 · Cond. 0 · Failed 0 · Blocked 0 · Not Run 18   (of 18)</v>
      </c>
      <c r="C18" s="163"/>
      <c r="D18" s="163"/>
      <c r="E18" s="162" t="str">
        <f>"Passed "&amp;$C$22&amp;" · Cond. "&amp;$D$22&amp;" · Failed "&amp;$E$22&amp;" · Blocked "&amp;$F$22&amp;" · Not Run "&amp;$G$22&amp;"   (of "&amp;$H$22&amp;")"</f>
        <v>Passed 0 · Cond. 0 · Failed 0 · Blocked 0 · Not Run 38   (of 38)</v>
      </c>
      <c r="F18" s="163"/>
      <c r="G18" s="163"/>
      <c r="H18" s="162" t="str">
        <f>"Passed "&amp;$C$23&amp;" · Cond. "&amp;$D$23&amp;" · Failed "&amp;$E$23&amp;" · Blocked "&amp;$F$23&amp;" · Not Run "&amp;$G$23&amp;"   (of "&amp;$H$23&amp;")"</f>
        <v>Passed 0 · Cond. 0 · Failed 0 · Blocked 0 · Not Run 0   (of 0)</v>
      </c>
      <c r="I18" s="163"/>
      <c r="J18" s="163"/>
      <c r="K18" s="162" t="str">
        <f>"Blocking: E2E "&amp;C174&amp;" · Cards "&amp;C175&amp;" · Accepted (CF) "&amp;C176</f>
        <v>Blocking: E2E 0 · Cards 0 · Accepted (CF) 0</v>
      </c>
      <c r="L18" s="163"/>
      <c r="M18" s="166"/>
    </row>
    <row r="19" spans="1:13" ht="24" customHeigh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</row>
    <row r="20" spans="1:13" ht="30" customHeight="1" x14ac:dyDescent="0.3">
      <c r="A20"/>
      <c r="B20" s="78" t="s">
        <v>364</v>
      </c>
      <c r="C20" s="73" t="s">
        <v>320</v>
      </c>
      <c r="D20" s="74" t="s">
        <v>365</v>
      </c>
      <c r="E20" s="75" t="s">
        <v>323</v>
      </c>
      <c r="F20" s="76" t="s">
        <v>271</v>
      </c>
      <c r="G20" s="77" t="s">
        <v>366</v>
      </c>
      <c r="H20" s="78" t="s">
        <v>367</v>
      </c>
      <c r="I20" s="78" t="s">
        <v>368</v>
      </c>
      <c r="J20" s="78" t="s">
        <v>369</v>
      </c>
      <c r="K20" s="78" t="s">
        <v>370</v>
      </c>
      <c r="L20"/>
      <c r="M20"/>
    </row>
    <row r="21" spans="1:13" ht="24" customHeight="1" x14ac:dyDescent="0.3">
      <c r="A21"/>
      <c r="B21" s="79" t="s">
        <v>371</v>
      </c>
      <c r="C21" s="81">
        <f>N(D157)</f>
        <v>0</v>
      </c>
      <c r="D21" s="81">
        <f>N(E157)</f>
        <v>0</v>
      </c>
      <c r="E21" s="81">
        <f>N(F157)</f>
        <v>0</v>
      </c>
      <c r="F21" s="81">
        <f>N(G157)</f>
        <v>0</v>
      </c>
      <c r="G21" s="81">
        <f>N(I157)</f>
        <v>18</v>
      </c>
      <c r="H21" s="81">
        <f>N(C157)</f>
        <v>18</v>
      </c>
      <c r="I21" s="82">
        <f>IFERROR((C21+D21+E21)/H21,0)</f>
        <v>0</v>
      </c>
      <c r="J21" s="82" t="str">
        <f>IFERROR((C21+D21)/(C21+D21+E21),"-")</f>
        <v>-</v>
      </c>
      <c r="K21" s="80" t="str" cm="1">
        <f t="array" ref="K21">_xlfn.LET(_xlpm.p,N($C$21),_xlpm.cp,N($D$21),_xlpm.f,N($E$21),_xlpm.b,N($F$21),_xlpm.nr,N($G$21),_xlpm.t,N($H$21),IF(_xlpm.t=0,"NO DATA",IF(_xlpm.f&gt;0,"FAILED",IF(_xlpm.b&gt;0,"BLOCKED",IF(_xlpm.nr&gt;0,"IN PROGRESS",IF(_xlpm.cp&gt;0,"COND. PASSED","PASSED"))))))</f>
        <v>IN PROGRESS</v>
      </c>
      <c r="L21"/>
      <c r="M21"/>
    </row>
    <row r="22" spans="1:13" ht="24" customHeight="1" x14ac:dyDescent="0.3">
      <c r="A22"/>
      <c r="B22" s="79" t="s">
        <v>9</v>
      </c>
      <c r="C22" s="81">
        <f t="shared" ref="C22:F23" si="0">N(D159)</f>
        <v>0</v>
      </c>
      <c r="D22" s="81">
        <f t="shared" si="0"/>
        <v>0</v>
      </c>
      <c r="E22" s="81">
        <f t="shared" si="0"/>
        <v>0</v>
      </c>
      <c r="F22" s="81">
        <f t="shared" si="0"/>
        <v>0</v>
      </c>
      <c r="G22" s="81">
        <f>N(I159)</f>
        <v>38</v>
      </c>
      <c r="H22" s="81">
        <f>N(C159)</f>
        <v>38</v>
      </c>
      <c r="I22" s="82">
        <f>IFERROR((C22+D22+E22)/H22,0)</f>
        <v>0</v>
      </c>
      <c r="J22" s="82" t="str">
        <f>IFERROR((C22+D22)/(C22+D22+E22),"-")</f>
        <v>-</v>
      </c>
      <c r="K22" s="80" t="str" cm="1">
        <f t="array" ref="K22">_xlfn.LET(_xlpm.p,N($C$22),_xlpm.cp,N($D$22),_xlpm.f,N($E$22),_xlpm.b,N($F$22),_xlpm.nr,N($G$22),_xlpm.t,N($H$22),IF(_xlpm.t=0,"NO DATA",IF(_xlpm.f&gt;0,"FAILED",IF(_xlpm.b&gt;0,"BLOCKED",IF(_xlpm.nr&gt;0,"IN PROGRESS",IF(_xlpm.cp&gt;0,"COND. PASSED","PASSED"))))))</f>
        <v>IN PROGRESS</v>
      </c>
      <c r="L22"/>
      <c r="M22"/>
    </row>
    <row r="23" spans="1:13" ht="24" customHeight="1" x14ac:dyDescent="0.3">
      <c r="A23"/>
      <c r="B23" s="79" t="s">
        <v>11</v>
      </c>
      <c r="C23" s="81">
        <f t="shared" si="0"/>
        <v>0</v>
      </c>
      <c r="D23" s="81">
        <f t="shared" si="0"/>
        <v>0</v>
      </c>
      <c r="E23" s="81">
        <f t="shared" si="0"/>
        <v>0</v>
      </c>
      <c r="F23" s="81">
        <f t="shared" si="0"/>
        <v>0</v>
      </c>
      <c r="G23" s="81">
        <f>N(I160)</f>
        <v>0</v>
      </c>
      <c r="H23" s="81">
        <f>N(C160)</f>
        <v>0</v>
      </c>
      <c r="I23" s="82">
        <f>IFERROR((C23+D23+E23)/H23,0)</f>
        <v>0</v>
      </c>
      <c r="J23" s="82" t="str">
        <f>IFERROR((C23+D23)/(C23+D23+E23),"-")</f>
        <v>-</v>
      </c>
      <c r="K23" s="80" t="str" cm="1">
        <f t="array" ref="K23">_xlfn.LET(_xlpm.p,N($C$23),_xlpm.cp,N($D$23),_xlpm.f,N($E$23),_xlpm.b,N($F$23),_xlpm.nr,N($G$23),_xlpm.t,N($H$23),IF(_xlpm.t=0,"NO DATA",IF(_xlpm.f&gt;0,"FAILED",IF(_xlpm.b&gt;0,"BLOCKED",IF(_xlpm.nr&gt;0,"IN PROGRESS",IF(_xlpm.cp&gt;0,"COND. PASSED","PASSED"))))))</f>
        <v>NO DATA</v>
      </c>
      <c r="L23"/>
      <c r="M23"/>
    </row>
    <row r="24" spans="1:13" ht="24" customHeight="1" x14ac:dyDescent="0.3">
      <c r="A24"/>
      <c r="B24" s="83" t="s">
        <v>372</v>
      </c>
      <c r="C24" s="84">
        <f t="shared" ref="C24:H24" si="1">SUM(C21:C23)</f>
        <v>0</v>
      </c>
      <c r="D24" s="84">
        <f t="shared" si="1"/>
        <v>0</v>
      </c>
      <c r="E24" s="84">
        <f t="shared" si="1"/>
        <v>0</v>
      </c>
      <c r="F24" s="84">
        <f t="shared" si="1"/>
        <v>0</v>
      </c>
      <c r="G24" s="84">
        <f t="shared" si="1"/>
        <v>56</v>
      </c>
      <c r="H24" s="84">
        <f t="shared" si="1"/>
        <v>56</v>
      </c>
      <c r="I24" s="85">
        <f>IFERROR((C24+D24+E24)/H24,0)</f>
        <v>0</v>
      </c>
      <c r="J24" s="85" t="str">
        <f>IFERROR((C24+D24)/(C24+D24+E24),"-")</f>
        <v>-</v>
      </c>
      <c r="K24" s="86" t="str">
        <f>IF(LEFT('Dashboard Feed'!P9,9)="NOT READY","NO-GO",IF(ISNUMBER(SEARCH("READY",'Dashboard Feed'!P9)),"GO","IN PROGRESS"))</f>
        <v>NO-GO</v>
      </c>
      <c r="L24"/>
      <c r="M24"/>
    </row>
    <row r="25" spans="1:13" ht="24" customHeigh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3" ht="24" customHeigh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3" ht="24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ht="24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ht="24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ht="24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ht="24" customHeigh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ht="24" customHeigh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</row>
    <row r="33" customFormat="1" ht="24" customHeight="1" x14ac:dyDescent="0.3"/>
    <row r="34" customFormat="1" ht="24" customHeight="1" x14ac:dyDescent="0.3"/>
    <row r="35" customFormat="1" ht="24" customHeight="1" x14ac:dyDescent="0.3"/>
    <row r="36" customFormat="1" ht="24" customHeight="1" x14ac:dyDescent="0.3"/>
    <row r="37" customFormat="1" ht="24" customHeight="1" x14ac:dyDescent="0.3"/>
    <row r="38" customFormat="1" ht="24" customHeight="1" x14ac:dyDescent="0.3"/>
    <row r="39" customFormat="1" ht="24" customHeight="1" x14ac:dyDescent="0.3"/>
    <row r="40" customFormat="1" ht="24" customHeight="1" x14ac:dyDescent="0.3"/>
    <row r="41" customFormat="1" ht="24" customHeight="1" x14ac:dyDescent="0.3"/>
    <row r="42" customFormat="1" ht="24" customHeight="1" x14ac:dyDescent="0.3"/>
    <row r="43" customFormat="1" ht="24" customHeight="1" x14ac:dyDescent="0.3"/>
    <row r="44" customFormat="1" ht="24" customHeight="1" x14ac:dyDescent="0.3"/>
    <row r="45" customFormat="1" ht="24" customHeight="1" x14ac:dyDescent="0.3"/>
    <row r="46" customFormat="1" ht="24" customHeight="1" x14ac:dyDescent="0.3"/>
    <row r="47" customFormat="1" ht="24" customHeight="1" x14ac:dyDescent="0.3"/>
    <row r="48" customFormat="1" ht="24" customHeight="1" x14ac:dyDescent="0.3"/>
    <row r="49" spans="1:13" ht="24" customHeigh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ht="24" customHeigh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ht="24" customHeigh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ht="24" customHeigh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24" customHeigh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ht="24" customHeigh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 ht="24" customHeigh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ht="24" customHeigh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ht="24" customHeigh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ht="24" customHeigh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3" ht="24" customHeight="1" x14ac:dyDescent="0.3">
      <c r="B59" s="169" t="s">
        <v>373</v>
      </c>
      <c r="C59" s="169"/>
      <c r="D59" s="169"/>
      <c r="E59" s="169"/>
      <c r="F59" s="169"/>
      <c r="G59" s="169"/>
      <c r="I59" s="169" t="s">
        <v>374</v>
      </c>
      <c r="J59" s="169"/>
      <c r="K59" s="169"/>
      <c r="L59" s="169"/>
      <c r="M59" s="169"/>
    </row>
    <row r="60" spans="1:13" hidden="1" outlineLevel="1" x14ac:dyDescent="0.3">
      <c r="B60" s="41" t="s">
        <v>375</v>
      </c>
      <c r="C60" s="41" t="s">
        <v>226</v>
      </c>
      <c r="D60" s="41" t="s">
        <v>376</v>
      </c>
      <c r="E60" s="7"/>
      <c r="F60" s="7"/>
      <c r="G60" s="7"/>
      <c r="H60" s="7"/>
      <c r="I60" s="41" t="s">
        <v>377</v>
      </c>
      <c r="J60" s="41" t="s">
        <v>226</v>
      </c>
      <c r="K60" s="41" t="s">
        <v>378</v>
      </c>
      <c r="L60" s="7"/>
      <c r="M60" s="7"/>
    </row>
    <row r="61" spans="1:13" hidden="1" outlineLevel="1" x14ac:dyDescent="0.3">
      <c r="B61" s="42" t="s">
        <v>320</v>
      </c>
      <c r="C61" s="43">
        <f>COUNTIF('E2E core flow'!$W$15:$W$1000,B61)</f>
        <v>0</v>
      </c>
      <c r="D61" s="44">
        <f t="shared" ref="D61:D66" si="2">IFERROR(C61/$C$67,0)</f>
        <v>0</v>
      </c>
      <c r="E61" s="7"/>
      <c r="F61" s="7"/>
      <c r="G61" s="7"/>
      <c r="H61" s="7"/>
      <c r="I61" s="45" t="s">
        <v>379</v>
      </c>
      <c r="J61" s="46">
        <f>COUNTIF(Cards!$A$4:$A$1000,"?*")</f>
        <v>38</v>
      </c>
      <c r="K61" s="46"/>
      <c r="L61" s="7"/>
      <c r="M61" s="7"/>
    </row>
    <row r="62" spans="1:13" hidden="1" outlineLevel="1" x14ac:dyDescent="0.3">
      <c r="B62" s="47" t="s">
        <v>380</v>
      </c>
      <c r="C62" s="43">
        <f>COUNTIF('E2E core flow'!$W$15:$W$1000,B62)</f>
        <v>0</v>
      </c>
      <c r="D62" s="44">
        <f t="shared" si="2"/>
        <v>0</v>
      </c>
      <c r="E62" s="7"/>
      <c r="F62" s="7"/>
      <c r="G62" s="7"/>
      <c r="H62" s="7"/>
      <c r="I62" s="42" t="s">
        <v>381</v>
      </c>
      <c r="J62" s="43">
        <f>COUNTIF(Cards!$G$4:$G$1000,"Passed")</f>
        <v>0</v>
      </c>
      <c r="K62" s="44">
        <f>IFERROR(J62/$J$61,0)</f>
        <v>0</v>
      </c>
      <c r="L62" s="7"/>
      <c r="M62" s="7"/>
    </row>
    <row r="63" spans="1:13" hidden="1" outlineLevel="1" x14ac:dyDescent="0.3">
      <c r="B63" s="48" t="s">
        <v>323</v>
      </c>
      <c r="C63" s="43">
        <f>COUNTIF('E2E core flow'!$W$15:$W$1000,B63)</f>
        <v>0</v>
      </c>
      <c r="D63" s="44">
        <f t="shared" si="2"/>
        <v>0</v>
      </c>
      <c r="E63" s="7"/>
      <c r="F63" s="7"/>
      <c r="G63" s="7"/>
      <c r="H63" s="7"/>
      <c r="I63" s="47" t="s">
        <v>382</v>
      </c>
      <c r="J63" s="43">
        <f>COUNTIF(Cards!$G$4:$G$1000,"Conditionally Passed")</f>
        <v>0</v>
      </c>
      <c r="K63" s="44">
        <f>IFERROR(J63/$J$61,0)</f>
        <v>0</v>
      </c>
      <c r="L63" s="7"/>
      <c r="M63" s="7"/>
    </row>
    <row r="64" spans="1:13" hidden="1" outlineLevel="1" x14ac:dyDescent="0.3">
      <c r="B64" s="49" t="s">
        <v>271</v>
      </c>
      <c r="C64" s="43">
        <f>COUNTIF('E2E core flow'!$W$15:$W$1000,B64)</f>
        <v>0</v>
      </c>
      <c r="D64" s="44">
        <f t="shared" si="2"/>
        <v>0</v>
      </c>
      <c r="E64" s="7"/>
      <c r="F64" s="7"/>
      <c r="G64" s="7"/>
      <c r="H64" s="7"/>
      <c r="I64" s="48" t="s">
        <v>383</v>
      </c>
      <c r="J64" s="43">
        <f>COUNTIF(Cards!$G$4:$G$1000,"Failed")</f>
        <v>0</v>
      </c>
      <c r="K64" s="44">
        <f>IFERROR(J64/$J$61,0)</f>
        <v>0</v>
      </c>
      <c r="L64" s="7"/>
      <c r="M64" s="7"/>
    </row>
    <row r="65" spans="2:13" hidden="1" outlineLevel="1" x14ac:dyDescent="0.3">
      <c r="B65" s="51" t="s">
        <v>384</v>
      </c>
      <c r="C65" s="43">
        <f>COUNTIF('E2E core flow'!$W$15:$W$1000,B65)</f>
        <v>18</v>
      </c>
      <c r="D65" s="44">
        <f t="shared" si="2"/>
        <v>0.58064516129032262</v>
      </c>
      <c r="E65" s="7"/>
      <c r="F65" s="7"/>
      <c r="G65" s="7"/>
      <c r="H65" s="7"/>
      <c r="I65" s="49" t="s">
        <v>385</v>
      </c>
      <c r="J65" s="43">
        <f>COUNTIF(Cards!$G$4:$G$1000,"Blocked")</f>
        <v>0</v>
      </c>
      <c r="K65" s="44">
        <f>IFERROR(J65/$J$61,0)</f>
        <v>0</v>
      </c>
      <c r="L65" s="7"/>
      <c r="M65" s="7"/>
    </row>
    <row r="66" spans="2:13" hidden="1" outlineLevel="1" x14ac:dyDescent="0.3">
      <c r="B66" s="52" t="s">
        <v>386</v>
      </c>
      <c r="C66" s="43">
        <f>COUNTIF('E2E core flow'!$W$15:$W$1000,"Out of Scope")</f>
        <v>13</v>
      </c>
      <c r="D66" s="44">
        <f t="shared" si="2"/>
        <v>0.41935483870967744</v>
      </c>
      <c r="E66" s="7"/>
      <c r="F66" s="7"/>
      <c r="G66" s="7"/>
      <c r="H66" s="7"/>
      <c r="I66" s="51" t="s">
        <v>387</v>
      </c>
      <c r="J66" s="43">
        <f>COUNTIF(Cards!$G$4:$G$1000,"Ready for Testing")+COUNTIF(Cards!$G$4:$G$1000,"Pending Mapping")</f>
        <v>38</v>
      </c>
      <c r="K66" s="44">
        <f>IFERROR(J66/$J$61,0)</f>
        <v>1</v>
      </c>
      <c r="L66" s="7"/>
      <c r="M66" s="7"/>
    </row>
    <row r="67" spans="2:13" hidden="1" outlineLevel="1" x14ac:dyDescent="0.3">
      <c r="B67" s="45" t="s">
        <v>388</v>
      </c>
      <c r="C67" s="46">
        <f>COUNTIF('E2E core flow'!$A$15:$A$1000,"?*")</f>
        <v>31</v>
      </c>
      <c r="D67" s="45"/>
      <c r="E67" s="7"/>
      <c r="F67" s="7"/>
      <c r="G67" s="7"/>
      <c r="H67" s="7"/>
      <c r="I67" s="7"/>
      <c r="J67" s="7"/>
      <c r="K67" s="7"/>
      <c r="L67" s="7"/>
      <c r="M67" s="7"/>
    </row>
    <row r="68" spans="2:13" hidden="1" outlineLevel="1" x14ac:dyDescent="0.3">
      <c r="B68" s="53" t="s">
        <v>389</v>
      </c>
      <c r="C68" s="54">
        <f>G78+G79</f>
        <v>0</v>
      </c>
      <c r="D68" s="53" t="str">
        <f>IF(C68&gt;0,"Open Critical / High bugs — Go/No-Go ตัดสินจาก Release Gate","None")</f>
        <v>None</v>
      </c>
      <c r="E68" s="7"/>
      <c r="F68" s="7"/>
      <c r="G68" s="7"/>
      <c r="H68" s="7"/>
      <c r="I68" s="7"/>
      <c r="J68" s="7"/>
      <c r="K68" s="7"/>
      <c r="L68" s="7"/>
      <c r="M68" s="7"/>
    </row>
    <row r="69" spans="2:13" hidden="1" outlineLevel="1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2:13" hidden="1" outlineLevel="1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2:13" hidden="1" outlineLevel="1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2:13" hidden="1" outlineLevel="1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2:13" hidden="1" outlineLevel="1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2:13" hidden="1" outlineLevel="1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2:13" ht="24" customHeight="1" collapsed="1" x14ac:dyDescent="0.3">
      <c r="B75" s="155" t="s">
        <v>390</v>
      </c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</row>
    <row r="76" spans="2:13" ht="15.6" hidden="1" outlineLevel="1" x14ac:dyDescent="0.3">
      <c r="B76" s="150" t="s">
        <v>391</v>
      </c>
      <c r="C76" s="150"/>
      <c r="D76" s="150"/>
      <c r="E76" s="164"/>
      <c r="F76" s="164"/>
      <c r="G76" s="164"/>
      <c r="H76" s="9"/>
      <c r="I76" s="150" t="s">
        <v>392</v>
      </c>
      <c r="J76" s="150"/>
      <c r="K76" s="150"/>
      <c r="L76" s="150"/>
      <c r="M76" s="150"/>
    </row>
    <row r="77" spans="2:13" hidden="1" outlineLevel="1" x14ac:dyDescent="0.3">
      <c r="B77" s="55" t="s">
        <v>393</v>
      </c>
      <c r="C77" s="55" t="s">
        <v>394</v>
      </c>
      <c r="D77" s="55" t="s">
        <v>395</v>
      </c>
      <c r="E77" s="55" t="s">
        <v>396</v>
      </c>
      <c r="F77" s="55" t="s">
        <v>397</v>
      </c>
      <c r="G77" s="55" t="s">
        <v>398</v>
      </c>
      <c r="H77" s="9"/>
      <c r="I77" s="55" t="s">
        <v>399</v>
      </c>
      <c r="J77" s="55" t="s">
        <v>400</v>
      </c>
      <c r="K77" s="55" t="s">
        <v>262</v>
      </c>
      <c r="L77" s="55" t="s">
        <v>401</v>
      </c>
      <c r="M77" s="55" t="s">
        <v>402</v>
      </c>
    </row>
    <row r="78" spans="2:13" hidden="1" outlineLevel="1" x14ac:dyDescent="0.3">
      <c r="B78" s="56" t="s">
        <v>285</v>
      </c>
      <c r="C78" s="57">
        <f>COUNTIFS('E2E core flow'!$P$15:$P$1000,$B78,'E2E core flow'!$Q$15:$Q$1000,C$77,'E2E core flow'!$W$15:$W$1000,"&lt;&gt;Out of Scope",'E2E core flow'!$T$15:$T$1000,"&lt;&gt;Fixed – Retest Passed")</f>
        <v>0</v>
      </c>
      <c r="D78" s="57">
        <f>COUNTIFS('E2E core flow'!$P$15:$P$1000,$B78,'E2E core flow'!$Q$15:$Q$1000,D$77,'E2E core flow'!$W$15:$W$1000,"&lt;&gt;Out of Scope",'E2E core flow'!$T$15:$T$1000,"&lt;&gt;Fixed – Retest Passed")</f>
        <v>0</v>
      </c>
      <c r="E78" s="57">
        <f>COUNTIFS('E2E core flow'!$P$15:$P$1000,$B78,'E2E core flow'!$Q$15:$Q$1000,E$77,'E2E core flow'!$W$15:$W$1000,"&lt;&gt;Out of Scope",'E2E core flow'!$T$15:$T$1000,"&lt;&gt;Fixed – Retest Passed")</f>
        <v>0</v>
      </c>
      <c r="F78" s="57">
        <f>COUNTIFS('E2E core flow'!$P$15:$P$1000,$B78,'E2E core flow'!$Q$15:$Q$1000,F$77,'E2E core flow'!$W$15:$W$1000,"&lt;&gt;Out of Scope",'E2E core flow'!$T$15:$T$1000,"&lt;&gt;Fixed – Retest Passed")</f>
        <v>0</v>
      </c>
      <c r="G78" s="58">
        <f>SUM(C78:F78)</f>
        <v>0</v>
      </c>
      <c r="H78" s="9"/>
      <c r="I78" s="10" t="str" cm="1">
        <f t="array" ref="I78">_xlfn.LET(_xlpm.ns,SUM(--('E2E core flow'!$M$15:$M$1000="Blocked")),_xlpm.nc,SUM(--(((Cards!$G$4:$G$1000="Failed")+(Cards!$G$4:$G$1000="Blocked"))&gt;0)),IF(_xlpm.ns+_xlpm.nc=0,"No blocked or returned items",IF(_xlpm.ns=0,_xlfn._xlws.FILTER(CHOOSE({1,2,3,4,5},Cards!$A$4:$A$1000,Cards!$B$4:$B$1000,"Card: "&amp;Cards!$G$4:$G$1000,IF(Cards!$C$4:$C$1000="","(Owner not assigned)",Cards!$C$4:$C$1000),"Mapped to "&amp;Cards!$E$4:$E$1000),((Cards!$G$4:$G$1000="Failed")+(Cards!$G$4:$G$1000="Blocked"))),IF(_xlpm.nc=0,_xlfn._xlws.FILTER(CHOOSE({1,2,3,4,5},'E2E core flow'!$A$15:$A$1000,'E2E core flow'!$D$15:$D$1000,"Scenario: "&amp;'E2E core flow'!$M$15:$M$1000,IF('E2E core flow'!$U$15:$U$1000="","(Tester not assigned)",'E2E core flow'!$U$15:$U$1000),IF('E2E core flow'!$X$15:$X$1000&lt;&gt;"",'E2E core flow'!$X$15:$X$1000,IF('E2E core flow'!$N$15:$N$1000&lt;&gt;"",'E2E core flow'!$N$15:$N$1000,"Reason not specified"))),'E2E core flow'!$M$15:$M$1000="Blocked"),_xlfn.VSTACK(_xlfn._xlws.FILTER(CHOOSE({1,2,3,4,5},'E2E core flow'!$A$15:$A$1000,'E2E core flow'!$D$15:$D$1000,"Scenario: "&amp;'E2E core flow'!$M$15:$M$1000,IF('E2E core flow'!$U$15:$U$1000="","(Tester not assigned)",'E2E core flow'!$U$15:$U$1000),IF('E2E core flow'!$X$15:$X$1000&lt;&gt;"",'E2E core flow'!$X$15:$X$1000,IF('E2E core flow'!$N$15:$N$1000&lt;&gt;"",'E2E core flow'!$N$15:$N$1000,"Reason not specified"))),'E2E core flow'!$M$15:$M$1000="Blocked"),_xlfn._xlws.FILTER(CHOOSE({1,2,3,4,5},Cards!$A$4:$A$1000,Cards!$B$4:$B$1000,"Card: "&amp;Cards!$G$4:$G$1000,IF(Cards!$C$4:$C$1000="","(Owner not assigned)",Cards!$C$4:$C$1000),"Mapped to "&amp;Cards!$E$4:$E$1000),((Cards!$G$4:$G$1000="Failed")+(Cards!$G$4:$G$1000="Blocked"))))))))</f>
        <v>No blocked or returned items</v>
      </c>
      <c r="J78" s="10"/>
      <c r="K78" s="10"/>
      <c r="L78" s="10"/>
      <c r="M78" s="10"/>
    </row>
    <row r="79" spans="2:13" hidden="1" outlineLevel="1" x14ac:dyDescent="0.3">
      <c r="B79" s="56" t="s">
        <v>288</v>
      </c>
      <c r="C79" s="57">
        <f>COUNTIFS('E2E core flow'!$P$15:$P$1000,$B79,'E2E core flow'!$Q$15:$Q$1000,C$77,'E2E core flow'!$W$15:$W$1000,"&lt;&gt;Out of Scope",'E2E core flow'!$T$15:$T$1000,"&lt;&gt;Fixed – Retest Passed")</f>
        <v>0</v>
      </c>
      <c r="D79" s="57">
        <f>COUNTIFS('E2E core flow'!$P$15:$P$1000,$B79,'E2E core flow'!$Q$15:$Q$1000,D$77,'E2E core flow'!$W$15:$W$1000,"&lt;&gt;Out of Scope",'E2E core flow'!$T$15:$T$1000,"&lt;&gt;Fixed – Retest Passed")</f>
        <v>0</v>
      </c>
      <c r="E79" s="57">
        <f>COUNTIFS('E2E core flow'!$P$15:$P$1000,$B79,'E2E core flow'!$Q$15:$Q$1000,E$77,'E2E core flow'!$W$15:$W$1000,"&lt;&gt;Out of Scope",'E2E core flow'!$T$15:$T$1000,"&lt;&gt;Fixed – Retest Passed")</f>
        <v>0</v>
      </c>
      <c r="F79" s="57">
        <f>COUNTIFS('E2E core flow'!$P$15:$P$1000,$B79,'E2E core flow'!$Q$15:$Q$1000,F$77,'E2E core flow'!$W$15:$W$1000,"&lt;&gt;Out of Scope",'E2E core flow'!$T$15:$T$1000,"&lt;&gt;Fixed – Retest Passed")</f>
        <v>0</v>
      </c>
      <c r="G79" s="58">
        <f>SUM(C79:F79)</f>
        <v>0</v>
      </c>
      <c r="H79" s="9"/>
      <c r="I79" s="10"/>
      <c r="J79" s="10"/>
      <c r="K79" s="10"/>
      <c r="L79" s="10"/>
      <c r="M79" s="10"/>
    </row>
    <row r="80" spans="2:13" hidden="1" outlineLevel="1" x14ac:dyDescent="0.3">
      <c r="B80" s="59" t="s">
        <v>291</v>
      </c>
      <c r="C80" s="57">
        <f>COUNTIFS('E2E core flow'!$P$15:$P$1000,$B80,'E2E core flow'!$Q$15:$Q$1000,C$77,'E2E core flow'!$W$15:$W$1000,"&lt;&gt;Out of Scope",'E2E core flow'!$T$15:$T$1000,"&lt;&gt;Fixed – Retest Passed")</f>
        <v>0</v>
      </c>
      <c r="D80" s="57">
        <f>COUNTIFS('E2E core flow'!$P$15:$P$1000,$B80,'E2E core flow'!$Q$15:$Q$1000,D$77,'E2E core flow'!$W$15:$W$1000,"&lt;&gt;Out of Scope",'E2E core flow'!$T$15:$T$1000,"&lt;&gt;Fixed – Retest Passed")</f>
        <v>0</v>
      </c>
      <c r="E80" s="57">
        <f>COUNTIFS('E2E core flow'!$P$15:$P$1000,$B80,'E2E core flow'!$Q$15:$Q$1000,E$77,'E2E core flow'!$W$15:$W$1000,"&lt;&gt;Out of Scope",'E2E core flow'!$T$15:$T$1000,"&lt;&gt;Fixed – Retest Passed")</f>
        <v>0</v>
      </c>
      <c r="F80" s="57">
        <f>COUNTIFS('E2E core flow'!$P$15:$P$1000,$B80,'E2E core flow'!$Q$15:$Q$1000,F$77,'E2E core flow'!$W$15:$W$1000,"&lt;&gt;Out of Scope",'E2E core flow'!$T$15:$T$1000,"&lt;&gt;Fixed – Retest Passed")</f>
        <v>0</v>
      </c>
      <c r="G80" s="58">
        <f>SUM(C80:F80)</f>
        <v>0</v>
      </c>
      <c r="H80" s="9"/>
      <c r="I80" s="10"/>
      <c r="J80" s="10"/>
      <c r="K80" s="10"/>
      <c r="L80" s="10"/>
      <c r="M80" s="10"/>
    </row>
    <row r="81" spans="2:13" hidden="1" outlineLevel="1" x14ac:dyDescent="0.3">
      <c r="B81" s="59" t="s">
        <v>294</v>
      </c>
      <c r="C81" s="57">
        <f>COUNTIFS('E2E core flow'!$P$15:$P$1000,$B81,'E2E core flow'!$Q$15:$Q$1000,C$77,'E2E core flow'!$W$15:$W$1000,"&lt;&gt;Out of Scope",'E2E core flow'!$T$15:$T$1000,"&lt;&gt;Fixed – Retest Passed")</f>
        <v>0</v>
      </c>
      <c r="D81" s="57">
        <f>COUNTIFS('E2E core flow'!$P$15:$P$1000,$B81,'E2E core flow'!$Q$15:$Q$1000,D$77,'E2E core flow'!$W$15:$W$1000,"&lt;&gt;Out of Scope",'E2E core flow'!$T$15:$T$1000,"&lt;&gt;Fixed – Retest Passed")</f>
        <v>0</v>
      </c>
      <c r="E81" s="57">
        <f>COUNTIFS('E2E core flow'!$P$15:$P$1000,$B81,'E2E core flow'!$Q$15:$Q$1000,E$77,'E2E core flow'!$W$15:$W$1000,"&lt;&gt;Out of Scope",'E2E core flow'!$T$15:$T$1000,"&lt;&gt;Fixed – Retest Passed")</f>
        <v>0</v>
      </c>
      <c r="F81" s="57">
        <f>COUNTIFS('E2E core flow'!$P$15:$P$1000,$B81,'E2E core flow'!$Q$15:$Q$1000,F$77,'E2E core flow'!$W$15:$W$1000,"&lt;&gt;Out of Scope",'E2E core flow'!$T$15:$T$1000,"&lt;&gt;Fixed – Retest Passed")</f>
        <v>0</v>
      </c>
      <c r="G81" s="58">
        <f>SUM(C81:F81)</f>
        <v>0</v>
      </c>
      <c r="H81" s="9"/>
      <c r="I81" s="10"/>
      <c r="J81" s="10"/>
      <c r="K81" s="10"/>
      <c r="L81" s="10"/>
      <c r="M81" s="10"/>
    </row>
    <row r="82" spans="2:13" hidden="1" outlineLevel="1" x14ac:dyDescent="0.3">
      <c r="B82" s="60" t="s">
        <v>398</v>
      </c>
      <c r="C82" s="58">
        <f>SUM(C78:C81)</f>
        <v>0</v>
      </c>
      <c r="D82" s="58">
        <f>SUM(D78:D81)</f>
        <v>0</v>
      </c>
      <c r="E82" s="58">
        <f>SUM(E78:E81)</f>
        <v>0</v>
      </c>
      <c r="F82" s="58">
        <f>SUM(F78:F81)</f>
        <v>0</v>
      </c>
      <c r="G82" s="58">
        <f>SUM(G78:G81)</f>
        <v>0</v>
      </c>
      <c r="H82" s="9"/>
      <c r="I82" s="10"/>
      <c r="J82" s="10"/>
      <c r="K82" s="10"/>
      <c r="L82" s="10"/>
      <c r="M82" s="10"/>
    </row>
    <row r="83" spans="2:13" hidden="1" outlineLevel="1" x14ac:dyDescent="0.3">
      <c r="B83" s="128" t="s">
        <v>403</v>
      </c>
      <c r="C83" s="128"/>
      <c r="D83" s="128"/>
      <c r="E83" s="128"/>
      <c r="F83" s="128"/>
      <c r="G83" s="128"/>
      <c r="H83" s="9"/>
      <c r="I83" s="10"/>
      <c r="J83" s="10"/>
      <c r="K83" s="10"/>
      <c r="L83" s="10"/>
      <c r="M83" s="10"/>
    </row>
    <row r="84" spans="2:13" ht="15.6" hidden="1" outlineLevel="1" x14ac:dyDescent="0.3">
      <c r="B84" s="150" t="s">
        <v>404</v>
      </c>
      <c r="C84" s="150"/>
      <c r="D84" s="150"/>
      <c r="E84" s="9"/>
      <c r="F84" s="9"/>
      <c r="G84" s="9"/>
      <c r="H84" s="9"/>
      <c r="I84" s="10"/>
      <c r="J84" s="10"/>
      <c r="K84" s="10"/>
      <c r="L84" s="10"/>
      <c r="M84" s="10"/>
    </row>
    <row r="85" spans="2:13" hidden="1" outlineLevel="1" x14ac:dyDescent="0.3">
      <c r="B85" s="55" t="s">
        <v>405</v>
      </c>
      <c r="C85" s="55" t="s">
        <v>406</v>
      </c>
      <c r="D85" s="55" t="s">
        <v>227</v>
      </c>
      <c r="E85" s="9"/>
      <c r="F85" s="9"/>
      <c r="G85" s="9"/>
      <c r="H85" s="9"/>
      <c r="I85" s="10"/>
      <c r="J85" s="10"/>
      <c r="K85" s="10"/>
      <c r="L85" s="10"/>
      <c r="M85" s="10"/>
    </row>
    <row r="86" spans="2:13" hidden="1" outlineLevel="1" x14ac:dyDescent="0.3">
      <c r="B86" s="61" t="s">
        <v>269</v>
      </c>
      <c r="C86" s="57">
        <f>COUNTIF('E2E core flow'!$M$15:$M$1000,B86)</f>
        <v>0</v>
      </c>
      <c r="D86" s="62" t="s">
        <v>407</v>
      </c>
      <c r="E86" s="9"/>
      <c r="F86" s="9"/>
      <c r="G86" s="9"/>
      <c r="H86" s="9"/>
      <c r="I86" s="10"/>
      <c r="J86" s="10"/>
      <c r="K86" s="10"/>
      <c r="L86" s="10"/>
      <c r="M86" s="10"/>
    </row>
    <row r="87" spans="2:13" hidden="1" outlineLevel="1" x14ac:dyDescent="0.3">
      <c r="B87" s="59" t="s">
        <v>271</v>
      </c>
      <c r="C87" s="57">
        <f>COUNTIF('E2E core flow'!$M$15:$M$1000,B87)</f>
        <v>0</v>
      </c>
      <c r="D87" s="62" t="s">
        <v>408</v>
      </c>
      <c r="E87" s="9"/>
      <c r="F87" s="9"/>
      <c r="G87" s="9"/>
      <c r="H87" s="9"/>
      <c r="I87" s="10"/>
      <c r="J87" s="10"/>
      <c r="K87" s="10"/>
      <c r="L87" s="10"/>
      <c r="M87" s="10"/>
    </row>
    <row r="88" spans="2:13" hidden="1" outlineLevel="1" x14ac:dyDescent="0.3">
      <c r="B88" s="62" t="s">
        <v>265</v>
      </c>
      <c r="C88" s="57">
        <f>COUNTIF('E2E core flow'!$M$15:$M$1000,B88)</f>
        <v>0</v>
      </c>
      <c r="D88" s="62"/>
      <c r="E88" s="9"/>
      <c r="F88" s="9"/>
      <c r="G88" s="9"/>
      <c r="H88" s="9"/>
      <c r="I88" s="10"/>
      <c r="J88" s="10"/>
      <c r="K88" s="10"/>
      <c r="L88" s="10"/>
      <c r="M88" s="10"/>
    </row>
    <row r="89" spans="2:13" hidden="1" outlineLevel="1" x14ac:dyDescent="0.3">
      <c r="B89" s="62" t="s">
        <v>267</v>
      </c>
      <c r="C89" s="57">
        <f>COUNTIF('E2E core flow'!$M$15:$M$1000,B89)</f>
        <v>18</v>
      </c>
      <c r="D89" s="62"/>
      <c r="E89" s="9"/>
      <c r="F89" s="9"/>
      <c r="G89" s="9"/>
      <c r="H89" s="9"/>
      <c r="I89" s="10"/>
      <c r="J89" s="10"/>
      <c r="K89" s="10"/>
      <c r="L89" s="10"/>
      <c r="M89" s="10"/>
    </row>
    <row r="90" spans="2:13" hidden="1" outlineLevel="1" x14ac:dyDescent="0.3">
      <c r="B90" s="62" t="s">
        <v>274</v>
      </c>
      <c r="C90" s="57">
        <f>COUNTIF('E2E core flow'!$M$15:$M$1000,B90)</f>
        <v>0</v>
      </c>
      <c r="D90" s="62"/>
      <c r="E90" s="9"/>
      <c r="F90" s="9"/>
      <c r="G90" s="9"/>
      <c r="H90" s="9"/>
      <c r="I90" s="10"/>
      <c r="J90" s="10"/>
      <c r="K90" s="10"/>
      <c r="L90" s="10"/>
      <c r="M90" s="10"/>
    </row>
    <row r="91" spans="2:13" hidden="1" outlineLevel="1" x14ac:dyDescent="0.3">
      <c r="B91" s="62" t="s">
        <v>280</v>
      </c>
      <c r="C91" s="57">
        <f>COUNTIF('E2E core flow'!$M$15:$M$1000,B91)</f>
        <v>0</v>
      </c>
      <c r="D91" s="62" t="s">
        <v>409</v>
      </c>
      <c r="E91" s="9"/>
      <c r="F91" s="9"/>
      <c r="G91" s="9"/>
      <c r="H91" s="9"/>
      <c r="I91" s="10"/>
      <c r="J91" s="10"/>
      <c r="K91" s="10"/>
      <c r="L91" s="10"/>
      <c r="M91" s="10"/>
    </row>
    <row r="92" spans="2:13" hidden="1" outlineLevel="1" x14ac:dyDescent="0.3">
      <c r="B92"/>
      <c r="C92"/>
      <c r="D92"/>
      <c r="E92"/>
      <c r="F92"/>
      <c r="G92"/>
      <c r="H92"/>
      <c r="I92" s="2"/>
      <c r="J92" s="2"/>
      <c r="K92" s="2"/>
      <c r="L92" s="2"/>
      <c r="M92" s="2"/>
    </row>
    <row r="93" spans="2:13" hidden="1" outlineLevel="1" x14ac:dyDescent="0.3">
      <c r="B93"/>
      <c r="C93"/>
      <c r="D93"/>
      <c r="E93"/>
      <c r="F93"/>
      <c r="G93"/>
      <c r="H93"/>
      <c r="I93" s="2"/>
      <c r="J93" s="2"/>
      <c r="K93" s="2"/>
      <c r="L93" s="2"/>
      <c r="M93" s="2"/>
    </row>
    <row r="94" spans="2:13" ht="15.6" collapsed="1" x14ac:dyDescent="0.3">
      <c r="B94" s="129" t="s">
        <v>410</v>
      </c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</row>
    <row r="95" spans="2:13" hidden="1" outlineLevel="1" x14ac:dyDescent="0.3">
      <c r="B95" s="36" t="s">
        <v>204</v>
      </c>
      <c r="C95" s="36" t="s">
        <v>411</v>
      </c>
      <c r="D95" s="36" t="s">
        <v>412</v>
      </c>
      <c r="E95" s="36" t="s">
        <v>413</v>
      </c>
      <c r="F95" s="36" t="s">
        <v>414</v>
      </c>
      <c r="G95" s="36" t="s">
        <v>415</v>
      </c>
      <c r="H95"/>
      <c r="I95" s="36" t="s">
        <v>416</v>
      </c>
      <c r="J95" s="36" t="s">
        <v>417</v>
      </c>
      <c r="K95" s="178" t="s">
        <v>418</v>
      </c>
      <c r="L95" s="178"/>
      <c r="M95" s="178"/>
    </row>
    <row r="96" spans="2:13" hidden="1" outlineLevel="1" x14ac:dyDescent="0.3">
      <c r="B96" s="37" t="str">
        <f>IF('E2E core flow'!B4="","(ระบุ Tested Environment ที่ E2E › B4)",'E2E core flow'!B4)</f>
        <v>demo-x</v>
      </c>
      <c r="C96" s="38"/>
      <c r="D96" s="38"/>
      <c r="E96" s="38"/>
      <c r="F96" s="38"/>
      <c r="G96" s="38"/>
      <c r="H96"/>
      <c r="I96" s="38"/>
      <c r="J96" s="38"/>
      <c r="K96" s="177"/>
      <c r="L96" s="177"/>
      <c r="M96" s="177"/>
    </row>
    <row r="97" spans="2:13" hidden="1" outlineLevel="1" x14ac:dyDescent="0.3"/>
    <row r="98" spans="2:13" hidden="1" outlineLevel="1" x14ac:dyDescent="0.3"/>
    <row r="99" spans="2:13" hidden="1" outlineLevel="1" x14ac:dyDescent="0.3"/>
    <row r="100" spans="2:13" hidden="1" outlineLevel="1" x14ac:dyDescent="0.3">
      <c r="B100"/>
      <c r="C100"/>
      <c r="D100"/>
      <c r="E100"/>
      <c r="F100"/>
      <c r="G100"/>
      <c r="H100"/>
      <c r="I100" s="2"/>
      <c r="J100" s="2"/>
      <c r="K100" s="2"/>
      <c r="L100" s="2"/>
      <c r="M100" s="2"/>
    </row>
    <row r="101" spans="2:13" hidden="1" outlineLevel="1" x14ac:dyDescent="0.3">
      <c r="B101"/>
      <c r="C101"/>
      <c r="D101"/>
      <c r="E101"/>
      <c r="F101"/>
      <c r="G101"/>
      <c r="H101"/>
      <c r="I101" s="2"/>
      <c r="J101" s="2"/>
      <c r="K101" s="2"/>
      <c r="L101" s="2"/>
      <c r="M101" s="2"/>
    </row>
    <row r="102" spans="2:13" ht="15.6" collapsed="1" x14ac:dyDescent="0.3">
      <c r="B102" s="129" t="s">
        <v>419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</row>
    <row r="103" spans="2:13" x14ac:dyDescent="0.3">
      <c r="B103" s="128" t="s">
        <v>420</v>
      </c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</row>
    <row r="104" spans="2:13" ht="28.8" x14ac:dyDescent="0.3">
      <c r="B104" s="36" t="s">
        <v>421</v>
      </c>
      <c r="C104" s="36" t="s">
        <v>422</v>
      </c>
      <c r="D104" s="36" t="s">
        <v>423</v>
      </c>
      <c r="E104" s="36" t="s">
        <v>424</v>
      </c>
      <c r="F104" s="178" t="s">
        <v>425</v>
      </c>
      <c r="G104" s="178"/>
      <c r="H104"/>
      <c r="I104" s="36" t="s">
        <v>426</v>
      </c>
      <c r="J104" s="36" t="s">
        <v>427</v>
      </c>
      <c r="K104" s="36" t="s">
        <v>428</v>
      </c>
      <c r="L104" s="36" t="s">
        <v>429</v>
      </c>
      <c r="M104" s="36" t="s">
        <v>430</v>
      </c>
    </row>
    <row r="105" spans="2:13" x14ac:dyDescent="0.3">
      <c r="B105" s="38"/>
      <c r="C105" s="38"/>
      <c r="D105" s="38"/>
      <c r="E105" s="38"/>
      <c r="F105" s="177"/>
      <c r="G105" s="177"/>
      <c r="H105"/>
      <c r="I105" s="38"/>
      <c r="J105" s="38"/>
      <c r="K105" s="38"/>
      <c r="L105" s="38"/>
      <c r="M105" s="38"/>
    </row>
    <row r="106" spans="2:13" x14ac:dyDescent="0.3">
      <c r="B106" s="38"/>
      <c r="C106" s="38"/>
      <c r="D106" s="38"/>
      <c r="E106" s="38"/>
      <c r="F106" s="177"/>
      <c r="G106" s="177"/>
      <c r="H106"/>
      <c r="I106" s="38"/>
      <c r="J106" s="38"/>
      <c r="K106" s="38"/>
      <c r="L106" s="38"/>
      <c r="M106" s="38"/>
    </row>
    <row r="107" spans="2:13" x14ac:dyDescent="0.3">
      <c r="B107" s="38"/>
      <c r="C107" s="38"/>
      <c r="D107" s="38"/>
      <c r="E107" s="38"/>
      <c r="F107" s="177"/>
      <c r="G107" s="177"/>
      <c r="H107"/>
      <c r="I107" s="38"/>
      <c r="J107" s="38"/>
      <c r="K107" s="38"/>
      <c r="L107" s="38"/>
      <c r="M107" s="38"/>
    </row>
    <row r="108" spans="2:13" x14ac:dyDescent="0.3">
      <c r="B108" s="38"/>
      <c r="C108" s="38"/>
      <c r="D108" s="38"/>
      <c r="E108" s="38"/>
      <c r="F108" s="177"/>
      <c r="G108" s="177"/>
      <c r="H108"/>
      <c r="I108" s="38"/>
      <c r="J108" s="38"/>
      <c r="K108" s="38"/>
      <c r="L108" s="38"/>
      <c r="M108" s="38"/>
    </row>
    <row r="109" spans="2:13" x14ac:dyDescent="0.3">
      <c r="B109" s="38"/>
      <c r="C109" s="38"/>
      <c r="D109" s="38"/>
      <c r="E109" s="38"/>
      <c r="F109" s="177"/>
      <c r="G109" s="177"/>
      <c r="I109" s="38"/>
      <c r="J109" s="38"/>
      <c r="K109" s="38"/>
      <c r="L109" s="38"/>
      <c r="M109" s="38"/>
    </row>
    <row r="110" spans="2:13" x14ac:dyDescent="0.3">
      <c r="B110" s="38"/>
      <c r="C110" s="38"/>
      <c r="D110" s="38"/>
      <c r="E110" s="38"/>
      <c r="F110" s="177"/>
      <c r="G110" s="177"/>
      <c r="I110" s="38"/>
      <c r="J110" s="38"/>
      <c r="K110" s="38"/>
      <c r="L110" s="38"/>
      <c r="M110" s="38"/>
    </row>
    <row r="111" spans="2:13" x14ac:dyDescent="0.3">
      <c r="B111" s="38"/>
      <c r="C111" s="38"/>
      <c r="D111" s="38"/>
      <c r="E111" s="38"/>
      <c r="F111" s="177"/>
      <c r="G111" s="177"/>
      <c r="I111" s="38"/>
      <c r="J111" s="38"/>
      <c r="K111" s="38"/>
      <c r="L111" s="38"/>
      <c r="M111" s="38"/>
    </row>
    <row r="112" spans="2:13" x14ac:dyDescent="0.3">
      <c r="B112" s="38"/>
      <c r="C112" s="38"/>
      <c r="D112" s="38"/>
      <c r="E112" s="38"/>
      <c r="F112" s="177"/>
      <c r="G112" s="177"/>
      <c r="I112" s="38"/>
      <c r="J112" s="38"/>
      <c r="K112" s="38"/>
      <c r="L112" s="38"/>
      <c r="M112" s="38"/>
    </row>
    <row r="113" spans="2:13" x14ac:dyDescent="0.3">
      <c r="B113" s="38"/>
      <c r="C113" s="38"/>
      <c r="D113" s="38"/>
      <c r="E113" s="38"/>
      <c r="F113" s="177"/>
      <c r="G113" s="177"/>
      <c r="I113" s="38"/>
      <c r="J113" s="38"/>
      <c r="K113" s="38"/>
      <c r="L113" s="38"/>
      <c r="M113" s="38"/>
    </row>
    <row r="114" spans="2:13" x14ac:dyDescent="0.3">
      <c r="B114" s="38"/>
      <c r="C114" s="38"/>
      <c r="D114" s="38"/>
      <c r="E114" s="38"/>
      <c r="F114" s="177"/>
      <c r="G114" s="177"/>
      <c r="I114" s="38"/>
      <c r="J114" s="38"/>
      <c r="K114" s="38"/>
      <c r="L114" s="38"/>
      <c r="M114" s="38"/>
    </row>
    <row r="115" spans="2:13" x14ac:dyDescent="0.3">
      <c r="B115" s="38"/>
      <c r="C115" s="38"/>
      <c r="D115" s="38"/>
      <c r="E115" s="38"/>
      <c r="F115" s="177"/>
      <c r="G115" s="177"/>
      <c r="I115" s="38"/>
      <c r="J115" s="38"/>
      <c r="K115" s="38"/>
      <c r="L115" s="38"/>
      <c r="M115" s="38"/>
    </row>
    <row r="116" spans="2:13" x14ac:dyDescent="0.3">
      <c r="B116" s="38"/>
      <c r="C116" s="38"/>
      <c r="D116" s="38"/>
      <c r="E116" s="38"/>
      <c r="F116" s="177"/>
      <c r="G116" s="177"/>
      <c r="I116" s="38"/>
      <c r="J116" s="38"/>
      <c r="K116" s="38"/>
      <c r="L116" s="38"/>
      <c r="M116" s="38"/>
    </row>
    <row r="117" spans="2:13" x14ac:dyDescent="0.3">
      <c r="B117" s="38"/>
      <c r="C117" s="38"/>
      <c r="D117" s="38"/>
      <c r="E117" s="38"/>
      <c r="F117" s="177"/>
      <c r="G117" s="177"/>
      <c r="I117" s="38"/>
      <c r="J117" s="38"/>
      <c r="K117" s="38"/>
      <c r="L117" s="38"/>
      <c r="M117" s="38"/>
    </row>
    <row r="118" spans="2:13" x14ac:dyDescent="0.3">
      <c r="B118" s="38"/>
      <c r="C118" s="38"/>
      <c r="D118" s="38"/>
      <c r="E118" s="38"/>
      <c r="F118" s="177"/>
      <c r="G118" s="177"/>
      <c r="I118" s="38"/>
      <c r="J118" s="38"/>
      <c r="K118" s="38"/>
      <c r="L118" s="38"/>
      <c r="M118" s="38"/>
    </row>
    <row r="119" spans="2:13" x14ac:dyDescent="0.3">
      <c r="B119" s="38"/>
      <c r="C119" s="38"/>
      <c r="D119" s="38"/>
      <c r="E119" s="38"/>
      <c r="F119" s="177"/>
      <c r="G119" s="177"/>
      <c r="I119" s="38"/>
      <c r="J119" s="38"/>
      <c r="K119" s="38"/>
      <c r="L119" s="38"/>
      <c r="M119" s="38"/>
    </row>
    <row r="120" spans="2:13" x14ac:dyDescent="0.3">
      <c r="B120" s="38"/>
      <c r="C120" s="38"/>
      <c r="D120" s="38"/>
      <c r="E120" s="38"/>
      <c r="F120" s="177"/>
      <c r="G120" s="177"/>
      <c r="I120" s="38"/>
      <c r="J120" s="38"/>
      <c r="K120" s="38"/>
      <c r="L120" s="38"/>
      <c r="M120" s="38"/>
    </row>
    <row r="121" spans="2:13" x14ac:dyDescent="0.3">
      <c r="B121" s="38"/>
      <c r="C121" s="38"/>
      <c r="D121" s="38"/>
      <c r="E121" s="38"/>
      <c r="F121" s="177"/>
      <c r="G121" s="177"/>
      <c r="I121" s="38"/>
      <c r="J121" s="38"/>
      <c r="K121" s="38"/>
      <c r="L121" s="38"/>
      <c r="M121" s="38"/>
    </row>
    <row r="122" spans="2:13" x14ac:dyDescent="0.3">
      <c r="B122" s="38"/>
      <c r="C122" s="38"/>
      <c r="D122" s="38"/>
      <c r="E122" s="38"/>
      <c r="F122" s="177"/>
      <c r="G122" s="177"/>
      <c r="I122" s="38"/>
      <c r="J122" s="38"/>
      <c r="K122" s="38"/>
      <c r="L122" s="38"/>
      <c r="M122" s="38"/>
    </row>
    <row r="123" spans="2:13" x14ac:dyDescent="0.3">
      <c r="B123" s="38"/>
      <c r="C123" s="38"/>
      <c r="D123" s="38"/>
      <c r="E123" s="38"/>
      <c r="F123" s="177"/>
      <c r="G123" s="177"/>
      <c r="I123" s="38"/>
      <c r="J123" s="38"/>
      <c r="K123" s="38"/>
      <c r="L123" s="38"/>
      <c r="M123" s="38"/>
    </row>
    <row r="124" spans="2:13" x14ac:dyDescent="0.3">
      <c r="B124" s="38"/>
      <c r="C124" s="38"/>
      <c r="D124" s="38"/>
      <c r="E124" s="38"/>
      <c r="F124" s="177"/>
      <c r="G124" s="177"/>
      <c r="I124" s="38"/>
      <c r="J124" s="38"/>
      <c r="K124" s="38"/>
      <c r="L124" s="38"/>
      <c r="M124" s="38"/>
    </row>
    <row r="127" spans="2:13" ht="15.6" x14ac:dyDescent="0.3">
      <c r="B127" s="129" t="s">
        <v>431</v>
      </c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</row>
    <row r="128" spans="2:13" ht="28.8" x14ac:dyDescent="0.3">
      <c r="B128" s="36" t="s">
        <v>432</v>
      </c>
      <c r="C128" s="36" t="s">
        <v>433</v>
      </c>
      <c r="D128" s="36" t="s">
        <v>400</v>
      </c>
      <c r="E128" s="36" t="s">
        <v>434</v>
      </c>
      <c r="F128" s="36" t="s">
        <v>435</v>
      </c>
      <c r="G128" s="36" t="s">
        <v>436</v>
      </c>
    </row>
    <row r="129" spans="2:7" x14ac:dyDescent="0.3">
      <c r="B129" s="38" t="str" cm="1">
        <f t="array" ref="B129">_xlfn.LET(_xlpm.ne,COUNTIF('E2E core flow'!$Z$15:$Z$1000,"Blocking"),_xlpm.nt,COUNTIF(Cards!$L$4:$L$1000,"Blocking"),IF(_xlpm.ne+_xlpm.nt=0,"ไม่มีรายการ Blocking ค้าง",IF(_xlpm.nt=0,_xlfn._xlws.FILTER(_xlfn.HSTACK('E2E core flow'!$A$15:$A$1000,'E2E core flow'!$O$15:$O$1000,'E2E core flow'!$D$15:$D$1000,'E2E core flow'!$R$15:$R$1000,'E2E core flow'!$U$15:$U$1000,'E2E core flow'!$X$15:$X$1000),'E2E core flow'!$Z$15:$Z$1000="Blocking"),IF(_xlpm.ne=0,_xlfn._xlws.FILTER(_xlfn.HSTACK(Cards!$A$4:$A$1000,Cards!$K$4:$K$1000,Cards!$B$4:$B$1000,Cards!$F$4:$F$1000,Cards!$S$4:$S$1000,Cards!$J$4:$J$1000),Cards!$L$4:$L$1000="Blocking"),_xlfn.VSTACK(_xlfn._xlws.FILTER(_xlfn.HSTACK('E2E core flow'!$A$15:$A$1000,'E2E core flow'!$O$15:$O$1000,'E2E core flow'!$D$15:$D$1000,'E2E core flow'!$R$15:$R$1000,'E2E core flow'!$U$15:$U$1000,'E2E core flow'!$X$15:$X$1000),'E2E core flow'!$Z$15:$Z$1000="Blocking"),_xlfn._xlws.FILTER(_xlfn.HSTACK(Cards!$A$4:$A$1000,Cards!$K$4:$K$1000,Cards!$B$4:$B$1000,Cards!$F$4:$F$1000,Cards!$S$4:$S$1000,Cards!$J$4:$J$1000),Cards!$L$4:$L$1000="Blocking"))))))</f>
        <v>ไม่มีรายการ Blocking ค้าง</v>
      </c>
      <c r="C129" s="38"/>
      <c r="D129" s="38"/>
      <c r="E129" s="38"/>
      <c r="F129" s="38"/>
      <c r="G129" s="38"/>
    </row>
    <row r="130" spans="2:7" x14ac:dyDescent="0.3">
      <c r="B130" s="38"/>
      <c r="C130" s="38"/>
      <c r="D130" s="38"/>
      <c r="E130" s="38"/>
      <c r="F130" s="38"/>
      <c r="G130" s="38"/>
    </row>
    <row r="131" spans="2:7" x14ac:dyDescent="0.3">
      <c r="B131" s="38"/>
      <c r="C131" s="38"/>
      <c r="D131" s="38"/>
      <c r="E131" s="38"/>
      <c r="F131" s="38"/>
      <c r="G131" s="38"/>
    </row>
    <row r="132" spans="2:7" x14ac:dyDescent="0.3">
      <c r="B132" s="38"/>
      <c r="C132" s="38"/>
      <c r="D132" s="38"/>
      <c r="E132" s="38"/>
      <c r="F132" s="38"/>
      <c r="G132" s="38"/>
    </row>
    <row r="133" spans="2:7" x14ac:dyDescent="0.3">
      <c r="B133" s="38"/>
      <c r="C133" s="38"/>
      <c r="D133" s="38"/>
      <c r="E133" s="38"/>
      <c r="F133" s="38"/>
      <c r="G133" s="38"/>
    </row>
    <row r="134" spans="2:7" x14ac:dyDescent="0.3">
      <c r="B134" s="38"/>
      <c r="C134" s="38"/>
      <c r="D134" s="38"/>
      <c r="E134" s="38"/>
      <c r="F134" s="38"/>
      <c r="G134" s="38"/>
    </row>
    <row r="135" spans="2:7" x14ac:dyDescent="0.3">
      <c r="B135" s="38"/>
      <c r="C135" s="38"/>
      <c r="D135" s="38"/>
      <c r="E135" s="38"/>
      <c r="F135" s="38"/>
      <c r="G135" s="38"/>
    </row>
    <row r="136" spans="2:7" x14ac:dyDescent="0.3">
      <c r="B136" s="38"/>
      <c r="C136" s="38"/>
      <c r="D136" s="38"/>
      <c r="E136" s="38"/>
      <c r="F136" s="38"/>
      <c r="G136" s="38"/>
    </row>
    <row r="137" spans="2:7" x14ac:dyDescent="0.3">
      <c r="B137" s="38"/>
      <c r="C137" s="38"/>
      <c r="D137" s="38"/>
      <c r="E137" s="38"/>
      <c r="F137" s="38"/>
      <c r="G137" s="38"/>
    </row>
    <row r="138" spans="2:7" x14ac:dyDescent="0.3">
      <c r="B138" s="38"/>
      <c r="C138" s="38"/>
      <c r="D138" s="38"/>
      <c r="E138" s="38"/>
      <c r="F138" s="38"/>
      <c r="G138" s="38"/>
    </row>
    <row r="139" spans="2:7" x14ac:dyDescent="0.3">
      <c r="B139" s="38"/>
      <c r="C139" s="38"/>
      <c r="D139" s="38"/>
      <c r="E139" s="38"/>
      <c r="F139" s="38"/>
      <c r="G139" s="38"/>
    </row>
    <row r="140" spans="2:7" x14ac:dyDescent="0.3">
      <c r="B140" s="38"/>
      <c r="C140" s="38"/>
      <c r="D140" s="38"/>
      <c r="E140" s="38"/>
      <c r="F140" s="38"/>
      <c r="G140" s="38"/>
    </row>
    <row r="141" spans="2:7" x14ac:dyDescent="0.3">
      <c r="B141" s="38"/>
      <c r="C141" s="38"/>
      <c r="D141" s="38"/>
      <c r="E141" s="38"/>
      <c r="F141" s="38"/>
      <c r="G141" s="38"/>
    </row>
    <row r="142" spans="2:7" x14ac:dyDescent="0.3">
      <c r="B142" s="38"/>
      <c r="C142" s="38"/>
      <c r="D142" s="38"/>
      <c r="E142" s="38"/>
      <c r="F142" s="38"/>
      <c r="G142" s="38"/>
    </row>
    <row r="143" spans="2:7" x14ac:dyDescent="0.3">
      <c r="B143" s="38"/>
      <c r="C143" s="38"/>
      <c r="D143" s="38"/>
      <c r="E143" s="38"/>
      <c r="F143" s="38"/>
      <c r="G143" s="38"/>
    </row>
    <row r="144" spans="2:7" x14ac:dyDescent="0.3">
      <c r="B144" s="38"/>
      <c r="C144" s="38"/>
      <c r="D144" s="38"/>
      <c r="E144" s="38"/>
      <c r="F144" s="38"/>
      <c r="G144" s="38"/>
    </row>
    <row r="145" spans="2:13" x14ac:dyDescent="0.3">
      <c r="B145" s="38"/>
      <c r="C145" s="38"/>
      <c r="D145" s="38"/>
      <c r="E145" s="38"/>
      <c r="F145" s="38"/>
      <c r="G145" s="38"/>
    </row>
    <row r="146" spans="2:13" x14ac:dyDescent="0.3">
      <c r="B146" s="38"/>
      <c r="C146" s="38"/>
      <c r="D146" s="38"/>
      <c r="E146" s="38"/>
      <c r="F146" s="38"/>
      <c r="G146" s="38"/>
    </row>
    <row r="147" spans="2:13" x14ac:dyDescent="0.3">
      <c r="B147" s="38"/>
      <c r="C147" s="38"/>
      <c r="D147" s="38"/>
      <c r="E147" s="38"/>
      <c r="F147" s="38"/>
      <c r="G147" s="38"/>
    </row>
    <row r="148" spans="2:13" x14ac:dyDescent="0.3">
      <c r="B148" s="38"/>
      <c r="C148" s="38"/>
      <c r="D148" s="38"/>
      <c r="E148" s="38"/>
      <c r="F148" s="38"/>
      <c r="G148" s="38"/>
    </row>
    <row r="149" spans="2:13" x14ac:dyDescent="0.3">
      <c r="B149" s="38"/>
      <c r="C149" s="38"/>
      <c r="D149" s="38"/>
      <c r="E149" s="38"/>
      <c r="F149" s="38"/>
      <c r="G149" s="38"/>
    </row>
    <row r="150" spans="2:13" x14ac:dyDescent="0.3">
      <c r="B150" s="38"/>
      <c r="C150" s="38"/>
      <c r="D150" s="38"/>
      <c r="E150" s="38"/>
      <c r="F150" s="38"/>
      <c r="G150" s="38"/>
    </row>
    <row r="151" spans="2:13" x14ac:dyDescent="0.3">
      <c r="B151" s="38"/>
      <c r="C151" s="38"/>
      <c r="D151" s="38"/>
      <c r="E151" s="38"/>
      <c r="F151" s="38"/>
      <c r="G151" s="38"/>
    </row>
    <row r="152" spans="2:13" x14ac:dyDescent="0.3">
      <c r="B152" s="38"/>
      <c r="C152" s="38"/>
      <c r="D152" s="38"/>
      <c r="E152" s="38"/>
      <c r="F152" s="38"/>
      <c r="G152" s="38"/>
    </row>
    <row r="153" spans="2:13" x14ac:dyDescent="0.3">
      <c r="B153" s="38"/>
      <c r="C153" s="38"/>
      <c r="D153" s="38"/>
      <c r="E153" s="38"/>
      <c r="F153" s="38"/>
      <c r="G153" s="38"/>
    </row>
    <row r="155" spans="2:13" ht="15.6" x14ac:dyDescent="0.3">
      <c r="B155" s="129" t="s">
        <v>437</v>
      </c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</row>
    <row r="156" spans="2:13" hidden="1" outlineLevel="1" x14ac:dyDescent="0.3">
      <c r="B156" s="55" t="s">
        <v>364</v>
      </c>
      <c r="C156" s="55" t="s">
        <v>438</v>
      </c>
      <c r="D156" s="55" t="s">
        <v>320</v>
      </c>
      <c r="E156" s="55" t="s">
        <v>365</v>
      </c>
      <c r="F156" s="55" t="s">
        <v>323</v>
      </c>
      <c r="G156" s="55" t="s">
        <v>271</v>
      </c>
      <c r="I156" s="55" t="s">
        <v>366</v>
      </c>
      <c r="J156" s="55" t="s">
        <v>277</v>
      </c>
      <c r="K156" s="55" t="s">
        <v>368</v>
      </c>
      <c r="L156" s="55" t="s">
        <v>369</v>
      </c>
      <c r="M156" s="55" t="s">
        <v>439</v>
      </c>
    </row>
    <row r="157" spans="2:13" hidden="1" outlineLevel="1" x14ac:dyDescent="0.3">
      <c r="B157" s="62" t="s">
        <v>440</v>
      </c>
      <c r="C157" s="57">
        <f>C67-C66</f>
        <v>18</v>
      </c>
      <c r="D157" s="57">
        <f>C61</f>
        <v>0</v>
      </c>
      <c r="E157" s="57">
        <f>C62</f>
        <v>0</v>
      </c>
      <c r="F157" s="57">
        <f>C63</f>
        <v>0</v>
      </c>
      <c r="G157" s="57">
        <f>C64</f>
        <v>0</v>
      </c>
      <c r="I157" s="57">
        <f>C65</f>
        <v>18</v>
      </c>
      <c r="J157" s="57">
        <f>C66</f>
        <v>13</v>
      </c>
      <c r="K157" s="44">
        <f>IFERROR((D157+E157+F157)/C157,0)</f>
        <v>0</v>
      </c>
      <c r="L157" s="44" t="str">
        <f>IFERROR((D157+E157)/(D157+E157+F157),"-")</f>
        <v>-</v>
      </c>
      <c r="M157" s="57">
        <f>'Dashboard Feed'!P21</f>
        <v>18</v>
      </c>
    </row>
    <row r="158" spans="2:13" hidden="1" outlineLevel="1" x14ac:dyDescent="0.3">
      <c r="B158" s="62" t="s">
        <v>441</v>
      </c>
      <c r="C158" s="57">
        <f>J61-J158</f>
        <v>38</v>
      </c>
      <c r="D158" s="57">
        <f>J62</f>
        <v>0</v>
      </c>
      <c r="E158" s="57">
        <f>J63</f>
        <v>0</v>
      </c>
      <c r="F158" s="57">
        <f>J64</f>
        <v>0</v>
      </c>
      <c r="G158" s="57">
        <f>J65</f>
        <v>0</v>
      </c>
      <c r="I158" s="57">
        <f>C158-D158-E158-F158-G158</f>
        <v>38</v>
      </c>
      <c r="J158" s="57">
        <f>COUNTIF(Cards!$G$4:$G$1000,"Out of Scope")</f>
        <v>0</v>
      </c>
      <c r="K158" s="44">
        <f>IFERROR((D158+E158+F158)/C158,0)</f>
        <v>0</v>
      </c>
      <c r="L158" s="44" t="str">
        <f>IFERROR((D158+E158)/(D158+E158+F158),"-")</f>
        <v>-</v>
      </c>
      <c r="M158" s="57" t="s">
        <v>442</v>
      </c>
    </row>
    <row r="159" spans="2:13" hidden="1" outlineLevel="1" x14ac:dyDescent="0.3">
      <c r="B159" s="62" t="s">
        <v>443</v>
      </c>
      <c r="C159" s="57">
        <f>J61</f>
        <v>38</v>
      </c>
      <c r="D159" s="57">
        <f>COUNTIF(Cards!$J$4:$J$1000,"Passed")</f>
        <v>0</v>
      </c>
      <c r="E159" s="57">
        <f>COUNTIF(Cards!$J$4:$J$1000,"Passed with Known Issue")</f>
        <v>0</v>
      </c>
      <c r="F159" s="57">
        <f>COUNTIF(Cards!$J$4:$J$1000,"Failed")</f>
        <v>0</v>
      </c>
      <c r="G159" s="57" t="s">
        <v>442</v>
      </c>
      <c r="I159" s="57">
        <f>C159-D159-E159-F159</f>
        <v>38</v>
      </c>
      <c r="J159" s="57" t="s">
        <v>442</v>
      </c>
      <c r="K159" s="44">
        <f>IFERROR((D159+E159+F159)/C159,0)</f>
        <v>0</v>
      </c>
      <c r="L159" s="44" t="str">
        <f>IFERROR((D159+E159)/(D159+E159+F159),"-")</f>
        <v>-</v>
      </c>
      <c r="M159" s="57">
        <f>'Dashboard Feed'!P22</f>
        <v>38</v>
      </c>
    </row>
    <row r="160" spans="2:13" hidden="1" outlineLevel="1" x14ac:dyDescent="0.3">
      <c r="B160" s="62" t="str">
        <f>"Test Cases (ไม่มี TC: "&amp;COUNTIF(Cards!$N$4:$N$1000,"No TC")&amp;" การ์ด)"</f>
        <v>Test Cases (ไม่มี TC: 38 การ์ด)</v>
      </c>
      <c r="C160" s="57">
        <f>COUNTIFS('Card Test Cases'!$A$4:$A$1000,"?*",'Card Test Cases'!$F$4:$F$1000,"&lt;&gt;Out of Scope")</f>
        <v>0</v>
      </c>
      <c r="D160" s="57">
        <f>COUNTIFS('Card Test Cases'!$A$4:$A$1000,"?*",'Card Test Cases'!$F$4:$F$1000,"Passed")</f>
        <v>0</v>
      </c>
      <c r="E160" s="57" t="s">
        <v>442</v>
      </c>
      <c r="F160" s="57">
        <f>COUNTIFS('Card Test Cases'!$A$4:$A$1000,"?*",'Card Test Cases'!$F$4:$F$1000,"Failed")</f>
        <v>0</v>
      </c>
      <c r="G160" s="57">
        <f>COUNTIFS('Card Test Cases'!$A$4:$A$1000,"?*",'Card Test Cases'!$F$4:$F$1000,"Blocked")</f>
        <v>0</v>
      </c>
      <c r="I160" s="57">
        <f>C160-D160-F160-G160</f>
        <v>0</v>
      </c>
      <c r="J160" s="57">
        <f>COUNTIFS('Card Test Cases'!$A$4:$A$1000,"?*",'Card Test Cases'!$F$4:$F$1000,"Out of Scope")</f>
        <v>0</v>
      </c>
      <c r="K160" s="44">
        <f>IFERROR((D160+F160)/C160,0)</f>
        <v>0</v>
      </c>
      <c r="L160" s="44" t="str">
        <f>IFERROR(D160/(D160+F160),"-")</f>
        <v>-</v>
      </c>
      <c r="M160" s="57" t="s">
        <v>442</v>
      </c>
    </row>
    <row r="161" spans="2:13" hidden="1" outlineLevel="1" x14ac:dyDescent="0.3"/>
    <row r="162" spans="2:13" ht="15.6" collapsed="1" x14ac:dyDescent="0.3">
      <c r="B162" s="129" t="s">
        <v>444</v>
      </c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</row>
    <row r="163" spans="2:13" ht="15.6" x14ac:dyDescent="0.3">
      <c r="B163" s="8" t="s">
        <v>445</v>
      </c>
      <c r="I163" s="8" t="s">
        <v>446</v>
      </c>
    </row>
    <row r="164" spans="2:13" x14ac:dyDescent="0.3">
      <c r="B164" s="55" t="s">
        <v>283</v>
      </c>
      <c r="C164" s="55" t="s">
        <v>447</v>
      </c>
      <c r="D164" s="55" t="s">
        <v>448</v>
      </c>
      <c r="I164" s="55" t="s">
        <v>423</v>
      </c>
      <c r="J164" s="55" t="s">
        <v>448</v>
      </c>
      <c r="K164" s="180" t="s">
        <v>449</v>
      </c>
      <c r="L164" s="180"/>
      <c r="M164" s="180"/>
    </row>
    <row r="165" spans="2:13" x14ac:dyDescent="0.3">
      <c r="B165" s="56" t="s">
        <v>285</v>
      </c>
      <c r="C165" s="57">
        <f>COUNTIFS('E2E core flow'!$P$15:$P$1000,$B165,'E2E core flow'!$W$15:$W$1000,"&lt;&gt;Out of Scope")</f>
        <v>0</v>
      </c>
      <c r="D165" s="57">
        <f>COUNTIFS('E2E core flow'!$P$15:$P$1000,$B165,'E2E core flow'!$W$15:$W$1000,"&lt;&gt;Out of Scope",'E2E core flow'!$T$15:$T$1000,"&lt;&gt;Fixed – Retest Passed")</f>
        <v>0</v>
      </c>
      <c r="I165" s="56" t="s">
        <v>450</v>
      </c>
      <c r="J165" s="57">
        <f>COUNTIFS('E2E core flow'!$R$15:$R$1000,"Urgent",'E2E core flow'!$W$15:$W$1000,"&lt;&gt;Out of Scope",'E2E core flow'!$T$15:$T$1000,"&lt;&gt;Fixed – Retest Passed")</f>
        <v>0</v>
      </c>
      <c r="K165" s="179" t="s">
        <v>451</v>
      </c>
      <c r="L165" s="179"/>
      <c r="M165" s="179"/>
    </row>
    <row r="166" spans="2:13" x14ac:dyDescent="0.3">
      <c r="B166" s="56" t="s">
        <v>288</v>
      </c>
      <c r="C166" s="57">
        <f>COUNTIFS('E2E core flow'!$P$15:$P$1000,$B166,'E2E core flow'!$W$15:$W$1000,"&lt;&gt;Out of Scope")</f>
        <v>0</v>
      </c>
      <c r="D166" s="57">
        <f>COUNTIFS('E2E core flow'!$P$15:$P$1000,$B166,'E2E core flow'!$W$15:$W$1000,"&lt;&gt;Out of Scope",'E2E core flow'!$T$15:$T$1000,"&lt;&gt;Fixed – Retest Passed")</f>
        <v>0</v>
      </c>
      <c r="I166" s="56" t="s">
        <v>288</v>
      </c>
      <c r="J166" s="57">
        <f>COUNTIFS('E2E core flow'!$R$15:$R$1000,"High",'E2E core flow'!$W$15:$W$1000,"&lt;&gt;Out of Scope",'E2E core flow'!$T$15:$T$1000,"&lt;&gt;Fixed – Retest Passed")</f>
        <v>0</v>
      </c>
      <c r="K166" s="179" t="s">
        <v>452</v>
      </c>
      <c r="L166" s="179"/>
      <c r="M166" s="179"/>
    </row>
    <row r="167" spans="2:13" x14ac:dyDescent="0.3">
      <c r="B167" s="59" t="s">
        <v>291</v>
      </c>
      <c r="C167" s="57">
        <f>COUNTIFS('E2E core flow'!$P$15:$P$1000,$B167,'E2E core flow'!$W$15:$W$1000,"&lt;&gt;Out of Scope")</f>
        <v>0</v>
      </c>
      <c r="D167" s="57">
        <f>COUNTIFS('E2E core flow'!$P$15:$P$1000,$B167,'E2E core flow'!$W$15:$W$1000,"&lt;&gt;Out of Scope",'E2E core flow'!$T$15:$T$1000,"&lt;&gt;Fixed – Retest Passed")</f>
        <v>0</v>
      </c>
      <c r="I167" s="59" t="s">
        <v>291</v>
      </c>
      <c r="J167" s="57">
        <f>COUNTIFS('E2E core flow'!$R$15:$R$1000,"Medium",'E2E core flow'!$W$15:$W$1000,"&lt;&gt;Out of Scope",'E2E core flow'!$T$15:$T$1000,"&lt;&gt;Fixed – Retest Passed")</f>
        <v>0</v>
      </c>
      <c r="K167" s="179" t="s">
        <v>453</v>
      </c>
      <c r="L167" s="179"/>
      <c r="M167" s="179"/>
    </row>
    <row r="168" spans="2:13" x14ac:dyDescent="0.3">
      <c r="B168" s="59" t="s">
        <v>294</v>
      </c>
      <c r="C168" s="57">
        <f>COUNTIFS('E2E core flow'!$P$15:$P$1000,$B168,'E2E core flow'!$W$15:$W$1000,"&lt;&gt;Out of Scope")</f>
        <v>0</v>
      </c>
      <c r="D168" s="57">
        <f>COUNTIFS('E2E core flow'!$P$15:$P$1000,$B168,'E2E core flow'!$W$15:$W$1000,"&lt;&gt;Out of Scope",'E2E core flow'!$T$15:$T$1000,"&lt;&gt;Fixed – Retest Passed")</f>
        <v>0</v>
      </c>
      <c r="I168" s="59" t="s">
        <v>294</v>
      </c>
      <c r="J168" s="57">
        <f>COUNTIFS('E2E core flow'!$R$15:$R$1000,"Low",'E2E core flow'!$W$15:$W$1000,"&lt;&gt;Out of Scope",'E2E core flow'!$T$15:$T$1000,"&lt;&gt;Fixed – Retest Passed")</f>
        <v>0</v>
      </c>
      <c r="K168" s="179" t="s">
        <v>454</v>
      </c>
      <c r="L168" s="179"/>
      <c r="M168" s="179"/>
    </row>
    <row r="169" spans="2:13" x14ac:dyDescent="0.3">
      <c r="B169" s="60" t="s">
        <v>367</v>
      </c>
      <c r="C169" s="58">
        <f>SUM(C165:C168)</f>
        <v>0</v>
      </c>
      <c r="D169" s="58">
        <f>SUM(D165:D168)</f>
        <v>0</v>
      </c>
      <c r="I169" s="59" t="s">
        <v>455</v>
      </c>
      <c r="J169" s="57">
        <f>COUNTIFS('E2E core flow'!$R$15:$R$1000,"ระบุ Severity + Impact",'E2E core flow'!$W$15:$W$1000,"&lt;&gt;Out of Scope",'E2E core flow'!$T$15:$T$1000,"&lt;&gt;Fixed – Retest Passed")</f>
        <v>0</v>
      </c>
      <c r="K169" s="179" t="s">
        <v>456</v>
      </c>
      <c r="L169" s="179"/>
      <c r="M169" s="179"/>
    </row>
    <row r="170" spans="2:13" x14ac:dyDescent="0.3">
      <c r="I170" s="60" t="s">
        <v>367</v>
      </c>
      <c r="J170" s="58">
        <f>SUM(J165:J169)</f>
        <v>0</v>
      </c>
      <c r="K170" s="181"/>
      <c r="L170" s="181"/>
      <c r="M170" s="181"/>
    </row>
    <row r="172" spans="2:13" ht="15.6" x14ac:dyDescent="0.3">
      <c r="B172" s="8" t="s">
        <v>457</v>
      </c>
      <c r="I172" s="8" t="s">
        <v>458</v>
      </c>
    </row>
    <row r="173" spans="2:13" x14ac:dyDescent="0.3">
      <c r="B173" s="55" t="s">
        <v>195</v>
      </c>
      <c r="C173" s="55" t="s">
        <v>226</v>
      </c>
      <c r="D173" s="180" t="s">
        <v>227</v>
      </c>
      <c r="E173" s="180"/>
      <c r="F173" s="180"/>
      <c r="G173" s="180"/>
      <c r="I173" s="55" t="s">
        <v>316</v>
      </c>
      <c r="J173" s="55" t="s">
        <v>448</v>
      </c>
    </row>
    <row r="174" spans="2:13" x14ac:dyDescent="0.3">
      <c r="B174" s="62" t="s">
        <v>459</v>
      </c>
      <c r="C174" s="57">
        <f>COUNTIF('E2E core flow'!$Z$15:$Z$1000,"Blocking")</f>
        <v>0</v>
      </c>
      <c r="D174" s="179" t="s">
        <v>460</v>
      </c>
      <c r="E174" s="179"/>
      <c r="F174" s="179"/>
      <c r="G174" s="179"/>
      <c r="I174" s="62" t="s">
        <v>461</v>
      </c>
      <c r="J174" s="57">
        <f>COUNTIFS('E2E core flow'!$S$15:$S$1000,$I174,'E2E core flow'!$W$15:$W$1000,"&lt;&gt;Out of Scope",'E2E core flow'!$T$15:$T$1000,"&lt;&gt;Fixed – Retest Passed")</f>
        <v>0</v>
      </c>
    </row>
    <row r="175" spans="2:13" x14ac:dyDescent="0.3">
      <c r="B175" s="62" t="s">
        <v>462</v>
      </c>
      <c r="C175" s="57">
        <f>COUNTIF(Cards!$L$4:$L$1000,"Blocking")</f>
        <v>0</v>
      </c>
      <c r="D175" s="179" t="s">
        <v>463</v>
      </c>
      <c r="E175" s="179"/>
      <c r="F175" s="179"/>
      <c r="G175" s="179"/>
      <c r="I175" s="62" t="s">
        <v>464</v>
      </c>
      <c r="J175" s="57">
        <f>COUNTIFS('E2E core flow'!$S$15:$S$1000,$I175,'E2E core flow'!$W$15:$W$1000,"&lt;&gt;Out of Scope",'E2E core flow'!$T$15:$T$1000,"&lt;&gt;Fixed – Retest Passed")</f>
        <v>0</v>
      </c>
    </row>
    <row r="176" spans="2:13" x14ac:dyDescent="0.3">
      <c r="B176" s="62" t="s">
        <v>465</v>
      </c>
      <c r="C176" s="57">
        <f>COUNTIF('E2E core flow'!$Z$15:$Z$1000,"Accepted (CF)")+COUNTIF(Cards!$L$4:$L$1000,"Accepted (CF)")</f>
        <v>0</v>
      </c>
      <c r="D176" s="179" t="s">
        <v>466</v>
      </c>
      <c r="E176" s="179"/>
      <c r="F176" s="179"/>
      <c r="G176" s="179"/>
      <c r="I176" s="62" t="s">
        <v>467</v>
      </c>
      <c r="J176" s="57">
        <f>COUNTIFS('E2E core flow'!$S$15:$S$1000,$I176,'E2E core flow'!$W$15:$W$1000,"&lt;&gt;Out of Scope",'E2E core flow'!$T$15:$T$1000,"&lt;&gt;Fixed – Retest Passed")</f>
        <v>0</v>
      </c>
    </row>
    <row r="177" spans="2:13" x14ac:dyDescent="0.3">
      <c r="B177" s="62" t="s">
        <v>468</v>
      </c>
      <c r="C177" s="57">
        <f>COUNTIF('E2E core flow'!$Z$15:$Z$1000,"Deferrable")+COUNTIF(Cards!$L$4:$L$1000,"Deferrable")</f>
        <v>0</v>
      </c>
      <c r="D177" s="179" t="s">
        <v>469</v>
      </c>
      <c r="E177" s="179"/>
      <c r="F177" s="179"/>
      <c r="G177" s="179"/>
      <c r="I177" s="59" t="s">
        <v>470</v>
      </c>
      <c r="J177" s="57">
        <f>SUMPRODUCT((LEN(TRIM('E2E core flow'!$O$15:$O$1000))&gt;0)*('E2E core flow'!$S$15:$S$1000="")*('E2E core flow'!$W$15:$W$1000&lt;&gt;"Out of Scope")*('E2E core flow'!$T$15:$T$1000&lt;&gt;"Fixed – Retest Passed"))</f>
        <v>0</v>
      </c>
    </row>
    <row r="178" spans="2:13" x14ac:dyDescent="0.3">
      <c r="B178" s="62" t="s">
        <v>471</v>
      </c>
      <c r="C178" s="57">
        <f>SUMPRODUCT(('E2E core flow'!$Z$15:$Z$1000="Deferrable")*(COUNTIF($B$105:$B$124,'E2E core flow'!$O$15:$O$1000)=0))+SUMPRODUCT((Cards!$L$4:$L$1000="Deferrable")*(COUNTIF($B$105:$B$124,Cards!$A$4:$A$1000)=0))</f>
        <v>0</v>
      </c>
      <c r="D178" s="179" t="s">
        <v>472</v>
      </c>
      <c r="E178" s="179"/>
      <c r="F178" s="179"/>
      <c r="G178" s="179"/>
    </row>
    <row r="179" spans="2:13" x14ac:dyDescent="0.3">
      <c r="B179" s="62" t="s">
        <v>473</v>
      </c>
      <c r="C179" s="57">
        <f>COUNTIF(Cards!$L$4:$L$1000,"Known Issue")</f>
        <v>0</v>
      </c>
      <c r="D179" s="179" t="s">
        <v>474</v>
      </c>
      <c r="E179" s="179"/>
      <c r="F179" s="179"/>
      <c r="G179" s="179"/>
    </row>
    <row r="180" spans="2:13" x14ac:dyDescent="0.3">
      <c r="B180" s="62" t="s">
        <v>475</v>
      </c>
      <c r="C180" s="57">
        <f>COUNTIF(Cards!$L$4:$L$1000,"Carry Over")</f>
        <v>0</v>
      </c>
      <c r="D180" s="179" t="s">
        <v>476</v>
      </c>
      <c r="E180" s="179"/>
      <c r="F180" s="179"/>
      <c r="G180" s="179"/>
    </row>
    <row r="181" spans="2:13" x14ac:dyDescent="0.3">
      <c r="B181" s="62" t="s">
        <v>477</v>
      </c>
      <c r="C181" s="57">
        <f>COUNTIF(Cards!$I$4:$I$1000,"?*")</f>
        <v>0</v>
      </c>
      <c r="D181" s="179" t="s">
        <v>478</v>
      </c>
      <c r="E181" s="179"/>
      <c r="F181" s="179"/>
      <c r="G181" s="179"/>
    </row>
    <row r="183" spans="2:13" ht="15.6" x14ac:dyDescent="0.3">
      <c r="B183" s="129" t="s">
        <v>479</v>
      </c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</row>
    <row r="184" spans="2:13" x14ac:dyDescent="0.3">
      <c r="B184" s="55" t="s">
        <v>435</v>
      </c>
      <c r="C184" s="55" t="s">
        <v>406</v>
      </c>
      <c r="D184" s="55" t="s">
        <v>480</v>
      </c>
      <c r="E184" s="55" t="s">
        <v>481</v>
      </c>
      <c r="F184" s="55" t="s">
        <v>482</v>
      </c>
      <c r="G184" s="55" t="s">
        <v>483</v>
      </c>
    </row>
    <row r="185" spans="2:13" x14ac:dyDescent="0.3">
      <c r="B185" s="62" t="str" cm="1">
        <f t="array" ref="B185">_xlfn.LET(_xlpm.ual,_xlfn.VSTACK('E2E core flow'!$U$15:$U$1000,'Card Test Cases'!$G$4:$G$1000),_xlpm.tst,_xlfn._xlws.SORT(_xlfn.UNIQUE(_xlfn._xlws.FILTER(_xlpm.ual,_xlpm.ual&lt;&gt;""))),IFERROR(_xlfn.HSTACK(_xlpm.tst,COUNTIFS('E2E core flow'!$U$15:$U$1000,_xlpm.tst,'E2E core flow'!$A$15:$A$1000,"?*",'E2E core flow'!$W$15:$W$1000,"&lt;&gt;Out of Scope"),COUNTIFS('E2E core flow'!$U$15:$U$1000,_xlpm.tst,'E2E core flow'!$W$15:$W$1000,"Passed")+COUNTIFS('E2E core flow'!$U$15:$U$1000,_xlpm.tst,'E2E core flow'!$W$15:$W$1000,"Conditionally Passed")+COUNTIFS('E2E core flow'!$U$15:$U$1000,_xlpm.tst,'E2E core flow'!$W$15:$W$1000,"Failed"),COUNTIFS('Card Test Cases'!$G$4:$G$1000,_xlpm.tst,'Card Test Cases'!$A$4:$A$1000,"?*",'Card Test Cases'!$F$4:$F$1000,"&lt;&gt;Out of Scope"),COUNTIFS('Card Test Cases'!$G$4:$G$1000,_xlpm.tst,'Card Test Cases'!$A$4:$A$1000,"?*",'Card Test Cases'!$F$4:$F$1000,"Passed")+COUNTIFS('Card Test Cases'!$G$4:$G$1000,_xlpm.tst,'Card Test Cases'!$A$4:$A$1000,"?*",'Card Test Cases'!$F$4:$F$1000,"Failed"),COUNTIFS('E2E core flow'!$U$15:$U$1000,_xlpm.tst,'E2E core flow'!$O$15:$O$1000,"?*",'E2E core flow'!$W$15:$W$1000,"&lt;&gt;Out of Scope",'E2E core flow'!$T$15:$T$1000,"&lt;&gt;Fixed – Retest Passed")+COUNTIFS('Card Test Cases'!$G$4:$G$1000,_xlpm.tst,'Card Test Cases'!$F$4:$F$1000,"Failed",'Card Test Cases'!$I$4:$I$1000,"?*")),"ยังไม่มี Tester"))</f>
        <v>ยังไม่มี Tester</v>
      </c>
      <c r="C185" s="57"/>
      <c r="D185" s="57"/>
      <c r="E185" s="57"/>
      <c r="F185" s="57"/>
      <c r="G185" s="57"/>
    </row>
    <row r="186" spans="2:13" x14ac:dyDescent="0.3">
      <c r="B186" s="62"/>
      <c r="C186" s="57"/>
      <c r="D186" s="57"/>
      <c r="E186" s="57"/>
      <c r="F186" s="57"/>
      <c r="G186" s="57"/>
    </row>
    <row r="187" spans="2:13" x14ac:dyDescent="0.3">
      <c r="B187" s="62"/>
      <c r="C187" s="57"/>
      <c r="D187" s="57"/>
      <c r="E187" s="57"/>
      <c r="F187" s="57"/>
      <c r="G187" s="57"/>
    </row>
    <row r="188" spans="2:13" x14ac:dyDescent="0.3">
      <c r="B188" s="62"/>
      <c r="C188" s="57"/>
      <c r="D188" s="57"/>
      <c r="E188" s="57"/>
      <c r="F188" s="57"/>
      <c r="G188" s="57"/>
    </row>
    <row r="189" spans="2:13" x14ac:dyDescent="0.3">
      <c r="B189" s="62"/>
      <c r="C189" s="57"/>
      <c r="D189" s="57"/>
      <c r="E189" s="57"/>
      <c r="F189" s="57"/>
      <c r="G189" s="57"/>
    </row>
    <row r="190" spans="2:13" x14ac:dyDescent="0.3">
      <c r="B190" s="62"/>
      <c r="C190" s="57"/>
      <c r="D190" s="57"/>
      <c r="E190" s="57"/>
      <c r="F190" s="57"/>
      <c r="G190" s="57"/>
    </row>
    <row r="191" spans="2:13" x14ac:dyDescent="0.3">
      <c r="B191" s="62"/>
      <c r="C191" s="57"/>
      <c r="D191" s="57"/>
      <c r="E191" s="57"/>
      <c r="F191" s="57"/>
      <c r="G191" s="57"/>
    </row>
    <row r="192" spans="2:13" x14ac:dyDescent="0.3">
      <c r="B192" s="62"/>
      <c r="C192" s="57"/>
      <c r="D192" s="57"/>
      <c r="E192" s="57"/>
      <c r="F192" s="57"/>
      <c r="G192" s="57"/>
    </row>
    <row r="193" spans="2:13" x14ac:dyDescent="0.3">
      <c r="B193" s="62"/>
      <c r="C193" s="57"/>
      <c r="D193" s="57"/>
      <c r="E193" s="57"/>
      <c r="F193" s="57"/>
      <c r="G193" s="57"/>
    </row>
    <row r="194" spans="2:13" x14ac:dyDescent="0.3">
      <c r="B194" s="62"/>
      <c r="C194" s="57"/>
      <c r="D194" s="57"/>
      <c r="E194" s="57"/>
      <c r="F194" s="57"/>
      <c r="G194" s="57"/>
    </row>
    <row r="195" spans="2:13" x14ac:dyDescent="0.3">
      <c r="B195" s="62"/>
      <c r="C195" s="57"/>
      <c r="D195" s="57"/>
      <c r="E195" s="57"/>
      <c r="F195" s="57"/>
      <c r="G195" s="57"/>
    </row>
    <row r="196" spans="2:13" x14ac:dyDescent="0.3">
      <c r="B196" s="62"/>
      <c r="C196" s="57"/>
      <c r="D196" s="57"/>
      <c r="E196" s="57"/>
      <c r="F196" s="57"/>
      <c r="G196" s="57"/>
    </row>
    <row r="198" spans="2:13" ht="15.6" x14ac:dyDescent="0.3">
      <c r="B198" s="129" t="s">
        <v>484</v>
      </c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</row>
    <row r="199" spans="2:13" x14ac:dyDescent="0.3">
      <c r="B199" s="55" t="s">
        <v>485</v>
      </c>
      <c r="C199" s="55" t="s">
        <v>406</v>
      </c>
      <c r="D199" s="55" t="s">
        <v>9</v>
      </c>
      <c r="E199" s="55" t="s">
        <v>481</v>
      </c>
      <c r="F199" s="55" t="s">
        <v>368</v>
      </c>
      <c r="G199" s="55" t="s">
        <v>486</v>
      </c>
      <c r="H199" s="55"/>
      <c r="I199" s="55" t="s">
        <v>487</v>
      </c>
      <c r="J199" s="55" t="s">
        <v>488</v>
      </c>
      <c r="K199" s="55" t="s">
        <v>489</v>
      </c>
      <c r="L199" s="55" t="s">
        <v>490</v>
      </c>
      <c r="M199" s="55" t="s">
        <v>132</v>
      </c>
    </row>
    <row r="200" spans="2:13" x14ac:dyDescent="0.3">
      <c r="B200" s="62" t="str" cm="1">
        <f t="array" ref="B200:M207">_xlfn.LET(_xlpm.om,'Ownership Matrix'!$A$5:$A$200,_xlpm.mods,_xlfn.UNIQUE(_xlfn._xlws.FILTER(_xlpm.om,_xlpm.om&lt;&gt;"")),_xlpm.sc,COUNTIFS('E2E core flow'!$B$15:$B$1000,_xlpm.mods,'E2E core flow'!$A$15:$A$1000,"?*",'E2E core flow'!$W$15:$W$1000,"&lt;&gt;Out of Scope"),_xlpm.cd,COUNTIFS(Cards!$M$4:$M$1000,_xlpm.mods),_xlpm.tc,COUNTIFS('Card Test Cases'!$D$4:$D$1000,_xlpm.mods,'Card Test Cases'!$A$4:$A$1000,"?*",'Card Test Cases'!$F$4:$F$1000,"&lt;&gt;Out of Scope"),_xlpm.ev,COUNTIFS('E2E core flow'!$B$15:$B$1000,_xlpm.mods,'E2E core flow'!$W$15:$W$1000,"Passed")+COUNTIFS('E2E core flow'!$B$15:$B$1000,_xlpm.mods,'E2E core flow'!$W$15:$W$1000,"Conditionally Passed")+COUNTIFS('E2E core flow'!$B$15:$B$1000,_xlpm.mods,'E2E core flow'!$W$15:$W$1000,"Failed")+COUNTIFS('Card Test Cases'!$D$4:$D$1000,_xlpm.mods,'Card Test Cases'!$A$4:$A$1000,"?*",'Card Test Cases'!$F$4:$F$1000,"Passed")+COUNTIFS('Card Test Cases'!$D$4:$D$1000,_xlpm.mods,'Card Test Cases'!$A$4:$A$1000,"?*",'Card Test Cases'!$F$4:$F$1000,"Failed"),_xlpm.ou,COUNTIFS('E2E core flow'!$B$15:$B$1000,_xlpm.mods,'E2E core flow'!$R$15:$R$1000,"Urgent",'E2E core flow'!$W$15:$W$1000,"&lt;&gt;Out of Scope",'E2E core flow'!$T$15:$T$1000,"&lt;&gt;Fixed – Retest Passed"),_xlpm.oh,COUNTIFS('E2E core flow'!$B$15:$B$1000,_xlpm.mods,'E2E core flow'!$R$15:$R$1000,"High",'E2E core flow'!$W$15:$W$1000,"&lt;&gt;Out of Scope",'E2E core flow'!$T$15:$T$1000,"&lt;&gt;Fixed – Retest Passed"),_xlpm.omd,COUNTIFS('E2E core flow'!$B$15:$B$1000,_xlpm.mods,'E2E core flow'!$R$15:$R$1000,"Medium",'E2E core flow'!$W$15:$W$1000,"&lt;&gt;Out of Scope",'E2E core flow'!$T$15:$T$1000,"&lt;&gt;Fixed – Retest Passed"),_xlpm.ol,COUNTIFS('E2E core flow'!$B$15:$B$1000,_xlpm.mods,'E2E core flow'!$R$15:$R$1000,"Low",'E2E core flow'!$W$15:$W$1000,"&lt;&gt;Out of Scope",'E2E core flow'!$T$15:$T$1000,"&lt;&gt;Fixed – Retest Passed"),_xlpm.bl,COUNTIFS('E2E core flow'!$B$15:$B$1000,_xlpm.mods,'E2E core flow'!$Z$15:$Z$1000,"Blocking")+COUNTIFS(Cards!$M$4:$M$1000,_xlpm.mods,Cards!$L$4:$L$1000,"Blocking"),_xlpm.cf,COUNTIFS('E2E core flow'!$B$15:$B$1000,_xlpm.mods,'E2E core flow'!$Z$15:$Z$1000,"Accepted (CF)")+COUNTIFS(Cards!$M$4:$M$1000,_xlpm.mods,Cards!$L$4:$L$1000,"Accepted (CF)"),_xlpm.ki,COUNTIFS(Cards!$M$4:$M$1000,_xlpm.mods,Cards!$L$4:$L$1000,"Known Issue"),_xlpm.rk,IF(_xlpm.sc+_xlpm.tc=0,"No Test",IF(_xlpm.bl+_xlpm.ou&gt;0,"Urgent",IF(_xlpm.oh+_xlpm.cf&gt;0,"High",IF(_xlpm.omd+_xlpm.ki+(_xlpm.ev&lt;_xlpm.sc+_xlpm.tc)&gt;0,"Medium","Low")))),IFERROR(_xlfn.HSTACK(_xlpm.mods,_xlpm.sc,_xlpm.cd,_xlpm.tc,IF(_xlpm.sc+_xlpm.tc=0,"-",_xlpm.ev/(_xlpm.sc+_xlpm.tc)),_xlpm.ou,IF(_xlpm.sc&gt;=0,""),_xlpm.oh,_xlpm.omd,_xlpm.ol,_xlpm.bl&amp;" / "&amp;_xlpm.cf,_xlpm.rk),"ยังไม่มี Module ใน Ownership Matrix"))</f>
        <v>OPD</v>
      </c>
      <c r="C200" s="57">
        <v>11</v>
      </c>
      <c r="D200" s="57">
        <v>23</v>
      </c>
      <c r="E200" s="57">
        <v>0</v>
      </c>
      <c r="F200" s="44">
        <v>0</v>
      </c>
      <c r="G200" s="57">
        <v>0</v>
      </c>
      <c r="H200" s="57" t="str">
        <v/>
      </c>
      <c r="I200" s="57">
        <v>0</v>
      </c>
      <c r="J200" s="57">
        <v>0</v>
      </c>
      <c r="K200" s="57">
        <v>0</v>
      </c>
      <c r="L200" s="57" t="str">
        <v>0 / 0</v>
      </c>
      <c r="M200" s="57" t="str">
        <v>Medium</v>
      </c>
    </row>
    <row r="201" spans="2:13" x14ac:dyDescent="0.3">
      <c r="B201" s="62" t="str">
        <v>IPD</v>
      </c>
      <c r="C201" s="57">
        <v>0</v>
      </c>
      <c r="D201" s="57">
        <v>0</v>
      </c>
      <c r="E201" s="57">
        <v>0</v>
      </c>
      <c r="F201" s="44" t="str">
        <v>-</v>
      </c>
      <c r="G201" s="57">
        <v>0</v>
      </c>
      <c r="H201" s="57" t="str">
        <v/>
      </c>
      <c r="I201" s="57">
        <v>0</v>
      </c>
      <c r="J201" s="57">
        <v>0</v>
      </c>
      <c r="K201" s="57">
        <v>0</v>
      </c>
      <c r="L201" s="57" t="str">
        <v>0 / 0</v>
      </c>
      <c r="M201" s="57" t="str">
        <v>No Test</v>
      </c>
    </row>
    <row r="202" spans="2:13" x14ac:dyDescent="0.3">
      <c r="B202" s="62" t="str">
        <v>Billing</v>
      </c>
      <c r="C202" s="57">
        <v>0</v>
      </c>
      <c r="D202" s="57">
        <v>0</v>
      </c>
      <c r="E202" s="57">
        <v>0</v>
      </c>
      <c r="F202" s="44" t="str">
        <v>-</v>
      </c>
      <c r="G202" s="57">
        <v>0</v>
      </c>
      <c r="H202" s="57" t="str">
        <v/>
      </c>
      <c r="I202" s="57">
        <v>0</v>
      </c>
      <c r="J202" s="57">
        <v>0</v>
      </c>
      <c r="K202" s="57">
        <v>0</v>
      </c>
      <c r="L202" s="57" t="str">
        <v>0 / 0</v>
      </c>
      <c r="M202" s="57" t="str">
        <v>No Test</v>
      </c>
    </row>
    <row r="203" spans="2:13" x14ac:dyDescent="0.3">
      <c r="B203" s="62" t="str">
        <v>Lab</v>
      </c>
      <c r="C203" s="57">
        <v>0</v>
      </c>
      <c r="D203" s="57">
        <v>0</v>
      </c>
      <c r="E203" s="57">
        <v>0</v>
      </c>
      <c r="F203" s="44" t="str">
        <v>-</v>
      </c>
      <c r="G203" s="57">
        <v>0</v>
      </c>
      <c r="H203" s="57" t="str">
        <v/>
      </c>
      <c r="I203" s="57">
        <v>0</v>
      </c>
      <c r="J203" s="57">
        <v>0</v>
      </c>
      <c r="K203" s="57">
        <v>0</v>
      </c>
      <c r="L203" s="57" t="str">
        <v>0 / 0</v>
      </c>
      <c r="M203" s="57" t="str">
        <v>No Test</v>
      </c>
    </row>
    <row r="204" spans="2:13" x14ac:dyDescent="0.3">
      <c r="B204" s="62" t="str">
        <v>Pharmacy</v>
      </c>
      <c r="C204" s="57">
        <v>0</v>
      </c>
      <c r="D204" s="57">
        <v>0</v>
      </c>
      <c r="E204" s="57">
        <v>0</v>
      </c>
      <c r="F204" s="44" t="str">
        <v>-</v>
      </c>
      <c r="G204" s="57">
        <v>0</v>
      </c>
      <c r="H204" s="57" t="str">
        <v/>
      </c>
      <c r="I204" s="57">
        <v>0</v>
      </c>
      <c r="J204" s="57">
        <v>0</v>
      </c>
      <c r="K204" s="57">
        <v>0</v>
      </c>
      <c r="L204" s="57" t="str">
        <v>0 / 0</v>
      </c>
      <c r="M204" s="57" t="str">
        <v>No Test</v>
      </c>
    </row>
    <row r="205" spans="2:13" x14ac:dyDescent="0.3">
      <c r="B205" s="62" t="str">
        <v>Radiology</v>
      </c>
      <c r="C205" s="57">
        <v>0</v>
      </c>
      <c r="D205" s="57">
        <v>0</v>
      </c>
      <c r="E205" s="57">
        <v>0</v>
      </c>
      <c r="F205" s="44" t="str">
        <v>-</v>
      </c>
      <c r="G205" s="57">
        <v>0</v>
      </c>
      <c r="H205" s="57" t="str">
        <v/>
      </c>
      <c r="I205" s="57">
        <v>0</v>
      </c>
      <c r="J205" s="57">
        <v>0</v>
      </c>
      <c r="K205" s="57">
        <v>0</v>
      </c>
      <c r="L205" s="57" t="str">
        <v>0 / 0</v>
      </c>
      <c r="M205" s="57" t="str">
        <v>No Test</v>
      </c>
    </row>
    <row r="206" spans="2:13" x14ac:dyDescent="0.3">
      <c r="B206" s="62" t="str">
        <v>Admission Center</v>
      </c>
      <c r="C206" s="57">
        <v>1</v>
      </c>
      <c r="D206" s="57">
        <v>0</v>
      </c>
      <c r="E206" s="57">
        <v>0</v>
      </c>
      <c r="F206" s="44">
        <v>0</v>
      </c>
      <c r="G206" s="57">
        <v>0</v>
      </c>
      <c r="H206" s="57" t="str">
        <v/>
      </c>
      <c r="I206" s="57">
        <v>0</v>
      </c>
      <c r="J206" s="57">
        <v>0</v>
      </c>
      <c r="K206" s="57">
        <v>0</v>
      </c>
      <c r="L206" s="57" t="str">
        <v>0 / 0</v>
      </c>
      <c r="M206" s="57" t="str">
        <v>Medium</v>
      </c>
    </row>
    <row r="207" spans="2:13" x14ac:dyDescent="0.3">
      <c r="B207" s="62" t="str">
        <v>ER</v>
      </c>
      <c r="C207" s="57">
        <v>6</v>
      </c>
      <c r="D207" s="57">
        <v>10</v>
      </c>
      <c r="E207" s="57">
        <v>0</v>
      </c>
      <c r="F207" s="44">
        <v>0</v>
      </c>
      <c r="G207" s="57">
        <v>0</v>
      </c>
      <c r="H207" s="57" t="str">
        <v/>
      </c>
      <c r="I207" s="57">
        <v>0</v>
      </c>
      <c r="J207" s="57">
        <v>0</v>
      </c>
      <c r="K207" s="57">
        <v>0</v>
      </c>
      <c r="L207" s="57" t="str">
        <v>0 / 0</v>
      </c>
      <c r="M207" s="57" t="str">
        <v>Medium</v>
      </c>
    </row>
    <row r="208" spans="2:13" x14ac:dyDescent="0.3">
      <c r="B208" s="62"/>
      <c r="C208" s="57"/>
      <c r="D208" s="57"/>
      <c r="E208" s="57"/>
      <c r="F208" s="44"/>
      <c r="G208" s="57"/>
      <c r="H208" s="57"/>
      <c r="I208" s="57"/>
      <c r="J208" s="57"/>
      <c r="K208" s="57"/>
      <c r="L208" s="57"/>
      <c r="M208" s="57"/>
    </row>
    <row r="209" spans="2:13" x14ac:dyDescent="0.3">
      <c r="B209" s="62"/>
      <c r="C209" s="57"/>
      <c r="D209" s="57"/>
      <c r="E209" s="57"/>
      <c r="F209" s="44"/>
      <c r="G209" s="57"/>
      <c r="H209" s="57"/>
      <c r="I209" s="57"/>
      <c r="J209" s="57"/>
      <c r="K209" s="57"/>
      <c r="L209" s="57"/>
      <c r="M209" s="57"/>
    </row>
    <row r="210" spans="2:13" x14ac:dyDescent="0.3">
      <c r="B210" s="62"/>
      <c r="C210" s="57"/>
      <c r="D210" s="57"/>
      <c r="E210" s="57"/>
      <c r="F210" s="44"/>
      <c r="G210" s="57"/>
      <c r="H210" s="57"/>
      <c r="I210" s="57"/>
      <c r="J210" s="57"/>
      <c r="K210" s="57"/>
      <c r="L210" s="57"/>
      <c r="M210" s="57"/>
    </row>
    <row r="211" spans="2:13" x14ac:dyDescent="0.3">
      <c r="B211" s="62"/>
      <c r="C211" s="57"/>
      <c r="D211" s="57"/>
      <c r="E211" s="57"/>
      <c r="F211" s="44"/>
      <c r="G211" s="57"/>
      <c r="H211" s="57"/>
      <c r="I211" s="57"/>
      <c r="J211" s="57"/>
      <c r="K211" s="57"/>
      <c r="L211" s="57"/>
      <c r="M211" s="57"/>
    </row>
    <row r="212" spans="2:13" x14ac:dyDescent="0.3">
      <c r="B212" s="62"/>
      <c r="C212" s="57"/>
      <c r="D212" s="57"/>
      <c r="E212" s="57"/>
      <c r="F212" s="44"/>
      <c r="G212" s="57"/>
      <c r="H212" s="57"/>
      <c r="I212" s="57"/>
      <c r="J212" s="57"/>
      <c r="K212" s="57"/>
      <c r="L212" s="57"/>
      <c r="M212" s="57"/>
    </row>
    <row r="213" spans="2:13" x14ac:dyDescent="0.3">
      <c r="B213" s="62"/>
      <c r="C213" s="57"/>
      <c r="D213" s="57"/>
      <c r="E213" s="57"/>
      <c r="F213" s="44"/>
      <c r="G213" s="57"/>
      <c r="H213" s="57"/>
      <c r="I213" s="57"/>
      <c r="J213" s="57"/>
      <c r="K213" s="57"/>
      <c r="L213" s="57"/>
      <c r="M213" s="57"/>
    </row>
    <row r="214" spans="2:13" x14ac:dyDescent="0.3">
      <c r="B214" s="62"/>
      <c r="C214" s="57"/>
      <c r="D214" s="57"/>
      <c r="E214" s="57"/>
      <c r="F214" s="44"/>
      <c r="G214" s="57"/>
      <c r="H214" s="57"/>
      <c r="I214" s="57"/>
      <c r="J214" s="57"/>
      <c r="K214" s="57"/>
      <c r="L214" s="57"/>
      <c r="M214" s="57"/>
    </row>
  </sheetData>
  <mergeCells count="95">
    <mergeCell ref="E17:G17"/>
    <mergeCell ref="E18:G18"/>
    <mergeCell ref="H15:J15"/>
    <mergeCell ref="H16:J16"/>
    <mergeCell ref="H17:J17"/>
    <mergeCell ref="H18:J18"/>
    <mergeCell ref="E15:G15"/>
    <mergeCell ref="E16:G16"/>
    <mergeCell ref="B183:M183"/>
    <mergeCell ref="K167:M167"/>
    <mergeCell ref="K168:M168"/>
    <mergeCell ref="K169:M169"/>
    <mergeCell ref="K170:M170"/>
    <mergeCell ref="D173:G173"/>
    <mergeCell ref="F124:G124"/>
    <mergeCell ref="B198:M198"/>
    <mergeCell ref="D174:G174"/>
    <mergeCell ref="D175:G175"/>
    <mergeCell ref="D176:G176"/>
    <mergeCell ref="D177:G177"/>
    <mergeCell ref="D178:G178"/>
    <mergeCell ref="B127:M127"/>
    <mergeCell ref="B155:M155"/>
    <mergeCell ref="B162:M162"/>
    <mergeCell ref="K164:M164"/>
    <mergeCell ref="K165:M165"/>
    <mergeCell ref="K166:M166"/>
    <mergeCell ref="D179:G179"/>
    <mergeCell ref="D180:G180"/>
    <mergeCell ref="D181:G181"/>
    <mergeCell ref="B83:G83"/>
    <mergeCell ref="F119:G119"/>
    <mergeCell ref="F109:G109"/>
    <mergeCell ref="F110:G110"/>
    <mergeCell ref="F111:G111"/>
    <mergeCell ref="F112:G112"/>
    <mergeCell ref="F113:G113"/>
    <mergeCell ref="F104:G104"/>
    <mergeCell ref="F105:G105"/>
    <mergeCell ref="F106:G106"/>
    <mergeCell ref="F107:G107"/>
    <mergeCell ref="F108:G108"/>
    <mergeCell ref="B94:M94"/>
    <mergeCell ref="B84:D84"/>
    <mergeCell ref="K95:M95"/>
    <mergeCell ref="K96:M96"/>
    <mergeCell ref="F120:G120"/>
    <mergeCell ref="F121:G121"/>
    <mergeCell ref="F122:G122"/>
    <mergeCell ref="F123:G123"/>
    <mergeCell ref="F114:G114"/>
    <mergeCell ref="F115:G115"/>
    <mergeCell ref="F116:G116"/>
    <mergeCell ref="F117:G117"/>
    <mergeCell ref="F118:G118"/>
    <mergeCell ref="B1:M1"/>
    <mergeCell ref="B2:M2"/>
    <mergeCell ref="B4:M4"/>
    <mergeCell ref="B59:G59"/>
    <mergeCell ref="I59:M59"/>
    <mergeCell ref="I5:M5"/>
    <mergeCell ref="I6:M7"/>
    <mergeCell ref="I8:M8"/>
    <mergeCell ref="B11:M11"/>
    <mergeCell ref="B12:C13"/>
    <mergeCell ref="D12:H13"/>
    <mergeCell ref="I12:M13"/>
    <mergeCell ref="B10:J10"/>
    <mergeCell ref="K10:M10"/>
    <mergeCell ref="K15:M15"/>
    <mergeCell ref="K16:M16"/>
    <mergeCell ref="B102:M102"/>
    <mergeCell ref="B103:M103"/>
    <mergeCell ref="I76:M76"/>
    <mergeCell ref="F5:G5"/>
    <mergeCell ref="F6:G7"/>
    <mergeCell ref="F8:G8"/>
    <mergeCell ref="F9:G9"/>
    <mergeCell ref="I9:M9"/>
    <mergeCell ref="B75:M75"/>
    <mergeCell ref="B15:D15"/>
    <mergeCell ref="B16:D16"/>
    <mergeCell ref="B17:D17"/>
    <mergeCell ref="B18:D18"/>
    <mergeCell ref="B76:G76"/>
    <mergeCell ref="K17:M17"/>
    <mergeCell ref="K18:M18"/>
    <mergeCell ref="B5:C5"/>
    <mergeCell ref="B6:C7"/>
    <mergeCell ref="B8:C8"/>
    <mergeCell ref="B9:C9"/>
    <mergeCell ref="D5:E5"/>
    <mergeCell ref="D6:E7"/>
    <mergeCell ref="D8:E8"/>
    <mergeCell ref="D9:E9"/>
  </mergeCells>
  <conditionalFormatting sqref="B10:J10">
    <cfRule type="expression" dxfId="114" priority="9">
      <formula>ISNUMBER(SEARCH("NO-GO",$B$10))</formula>
    </cfRule>
    <cfRule type="expression" dxfId="113" priority="10">
      <formula>ISNUMBER(SEARCH("Decision: NOT READY",$B$10))</formula>
    </cfRule>
    <cfRule type="expression" dxfId="112" priority="11">
      <formula>ISNUMBER(SEARCH("READY TO RELEASE",$B$10))</formula>
    </cfRule>
  </conditionalFormatting>
  <conditionalFormatting sqref="B16:J16">
    <cfRule type="containsText" dxfId="111" priority="75" operator="containsText" text="COND. PASSED">
      <formula>NOT(ISERROR(SEARCH("COND. PASSED",B16)))</formula>
    </cfRule>
    <cfRule type="beginsWith" dxfId="110" priority="78" operator="beginsWith" text="GO">
      <formula>LEFT(B16,LEN("GO"))="GO"</formula>
    </cfRule>
    <cfRule type="containsText" dxfId="109" priority="74" operator="containsText" text="NO DATA">
      <formula>NOT(ISERROR(SEARCH("NO DATA",B16)))</formula>
    </cfRule>
    <cfRule type="containsText" dxfId="108" priority="72" operator="containsText" text="BLOCKED">
      <formula>NOT(ISERROR(SEARCH("BLOCKED",B16)))</formula>
    </cfRule>
    <cfRule type="containsText" dxfId="107" priority="71" operator="containsText" text="FAILED">
      <formula>NOT(ISERROR(SEARCH("FAILED",B16)))</formula>
    </cfRule>
    <cfRule type="containsText" dxfId="106" priority="70" operator="containsText" text="NOT READY">
      <formula>NOT(ISERROR(SEARCH("NOT READY",B16)))</formula>
    </cfRule>
    <cfRule type="containsText" dxfId="105" priority="69" operator="containsText" text="NO-GO">
      <formula>NOT(ISERROR(SEARCH("NO-GO",B16)))</formula>
    </cfRule>
    <cfRule type="containsText" dxfId="104" priority="73" operator="containsText" text="IN PROGRESS">
      <formula>NOT(ISERROR(SEARCH("IN PROGRESS",B16)))</formula>
    </cfRule>
    <cfRule type="containsText" dxfId="103" priority="77" operator="containsText" text="READY">
      <formula>NOT(ISERROR(SEARCH("READY",B16)))</formula>
    </cfRule>
    <cfRule type="beginsWith" dxfId="102" priority="76" operator="beginsWith" text="PASSED">
      <formula>LEFT(B16,LEN("PASSED"))="PASSED"</formula>
    </cfRule>
  </conditionalFormatting>
  <conditionalFormatting sqref="C68">
    <cfRule type="cellIs" dxfId="101" priority="6" operator="greaterThan">
      <formula>0</formula>
    </cfRule>
  </conditionalFormatting>
  <conditionalFormatting sqref="C78:C79">
    <cfRule type="expression" dxfId="100" priority="24">
      <formula>TRUE</formula>
    </cfRule>
  </conditionalFormatting>
  <conditionalFormatting sqref="C87">
    <cfRule type="cellIs" dxfId="99" priority="17" operator="greaterThan">
      <formula>0</formula>
    </cfRule>
  </conditionalFormatting>
  <conditionalFormatting sqref="C174:C175">
    <cfRule type="expression" dxfId="98" priority="43">
      <formula>C174&gt;0</formula>
    </cfRule>
  </conditionalFormatting>
  <conditionalFormatting sqref="C178">
    <cfRule type="expression" dxfId="97" priority="44">
      <formula>C178&gt;0</formula>
    </cfRule>
  </conditionalFormatting>
  <conditionalFormatting sqref="C80:D80">
    <cfRule type="expression" dxfId="96" priority="32">
      <formula>TRUE</formula>
    </cfRule>
  </conditionalFormatting>
  <conditionalFormatting sqref="C81:D81">
    <cfRule type="expression" dxfId="95" priority="36">
      <formula>TRUE</formula>
    </cfRule>
  </conditionalFormatting>
  <conditionalFormatting sqref="C96:G96">
    <cfRule type="cellIs" dxfId="94" priority="18" operator="equal">
      <formula>"Ready"</formula>
    </cfRule>
    <cfRule type="cellIs" dxfId="93" priority="19" operator="equal">
      <formula>"Not Ready"</formula>
    </cfRule>
  </conditionalFormatting>
  <conditionalFormatting sqref="D78">
    <cfRule type="expression" dxfId="92" priority="25">
      <formula>TRUE</formula>
    </cfRule>
  </conditionalFormatting>
  <conditionalFormatting sqref="D79:E79">
    <cfRule type="expression" dxfId="91" priority="29">
      <formula>TRUE</formula>
    </cfRule>
  </conditionalFormatting>
  <conditionalFormatting sqref="D12:H13">
    <cfRule type="containsText" dxfId="90" priority="65" operator="containsText" text="COND. PASSED">
      <formula>NOT(ISERROR(SEARCH("COND. PASSED",D12)))</formula>
    </cfRule>
    <cfRule type="containsText" dxfId="89" priority="64" operator="containsText" text="NO DATA">
      <formula>NOT(ISERROR(SEARCH("NO DATA",D12)))</formula>
    </cfRule>
    <cfRule type="containsText" dxfId="88" priority="62" operator="containsText" text="BLOCKED">
      <formula>NOT(ISERROR(SEARCH("BLOCKED",D12)))</formula>
    </cfRule>
    <cfRule type="containsText" dxfId="87" priority="61" operator="containsText" text="FAILED">
      <formula>NOT(ISERROR(SEARCH("FAILED",D12)))</formula>
    </cfRule>
    <cfRule type="containsText" dxfId="86" priority="60" operator="containsText" text="NOT READY">
      <formula>NOT(ISERROR(SEARCH("NOT READY",D12)))</formula>
    </cfRule>
    <cfRule type="containsText" dxfId="85" priority="59" operator="containsText" text="NO-GO">
      <formula>NOT(ISERROR(SEARCH("NO-GO",D12)))</formula>
    </cfRule>
    <cfRule type="containsText" dxfId="84" priority="67" operator="containsText" text="READY">
      <formula>NOT(ISERROR(SEARCH("READY",D12)))</formula>
    </cfRule>
    <cfRule type="beginsWith" dxfId="83" priority="66" operator="beginsWith" text="PASSED">
      <formula>LEFT(D12,LEN("PASSED"))="PASSED"</formula>
    </cfRule>
    <cfRule type="containsText" dxfId="82" priority="63" operator="containsText" text="IN PROGRESS">
      <formula>NOT(ISERROR(SEARCH("IN PROGRESS",D12)))</formula>
    </cfRule>
    <cfRule type="beginsWith" dxfId="81" priority="68" operator="beginsWith" text="GO">
      <formula>LEFT(D12,LEN("GO"))="GO"</formula>
    </cfRule>
  </conditionalFormatting>
  <conditionalFormatting sqref="E78:F78">
    <cfRule type="expression" dxfId="80" priority="26">
      <formula>TRUE</formula>
    </cfRule>
  </conditionalFormatting>
  <conditionalFormatting sqref="E80:F80">
    <cfRule type="expression" dxfId="79" priority="34">
      <formula>TRUE</formula>
    </cfRule>
  </conditionalFormatting>
  <conditionalFormatting sqref="E81:F81">
    <cfRule type="expression" dxfId="78" priority="38">
      <formula>TRUE</formula>
    </cfRule>
  </conditionalFormatting>
  <conditionalFormatting sqref="F79">
    <cfRule type="expression" dxfId="77" priority="31">
      <formula>TRUE</formula>
    </cfRule>
  </conditionalFormatting>
  <conditionalFormatting sqref="F157:F160">
    <cfRule type="expression" dxfId="76" priority="41">
      <formula>AND(ISNUMBER(F157),F157&gt;0)</formula>
    </cfRule>
  </conditionalFormatting>
  <conditionalFormatting sqref="I6:M7">
    <cfRule type="expression" dxfId="75" priority="13">
      <formula>AND(ISNUMBER($I$6),OR($I$6&lt;0.95,$C$68&gt;0))</formula>
    </cfRule>
    <cfRule type="expression" dxfId="74" priority="12">
      <formula>AND(ISNUMBER($I$6),$I$6&gt;=0.95,$C$68=0)</formula>
    </cfRule>
  </conditionalFormatting>
  <conditionalFormatting sqref="J64">
    <cfRule type="cellIs" dxfId="73" priority="8" operator="greaterThan">
      <formula>0</formula>
    </cfRule>
  </conditionalFormatting>
  <conditionalFormatting sqref="J165:J166">
    <cfRule type="expression" dxfId="72" priority="42">
      <formula>J165&gt;0</formula>
    </cfRule>
  </conditionalFormatting>
  <conditionalFormatting sqref="K21:K24">
    <cfRule type="containsText" dxfId="71" priority="81" operator="containsText" text="FAILED">
      <formula>NOT(ISERROR(SEARCH("FAILED",K21)))</formula>
    </cfRule>
    <cfRule type="containsText" dxfId="70" priority="79" operator="containsText" text="NO-GO">
      <formula>NOT(ISERROR(SEARCH("NO-GO",K21)))</formula>
    </cfRule>
    <cfRule type="containsText" dxfId="69" priority="80" operator="containsText" text="NOT READY">
      <formula>NOT(ISERROR(SEARCH("NOT READY",K21)))</formula>
    </cfRule>
    <cfRule type="containsText" dxfId="68" priority="82" operator="containsText" text="BLOCKED">
      <formula>NOT(ISERROR(SEARCH("BLOCKED",K21)))</formula>
    </cfRule>
    <cfRule type="containsText" dxfId="67" priority="83" operator="containsText" text="IN PROGRESS">
      <formula>NOT(ISERROR(SEARCH("IN PROGRESS",K21)))</formula>
    </cfRule>
    <cfRule type="containsText" dxfId="66" priority="84" operator="containsText" text="NO DATA">
      <formula>NOT(ISERROR(SEARCH("NO DATA",K21)))</formula>
    </cfRule>
    <cfRule type="containsText" dxfId="65" priority="85" operator="containsText" text="COND. PASSED">
      <formula>NOT(ISERROR(SEARCH("COND. PASSED",K21)))</formula>
    </cfRule>
    <cfRule type="beginsWith" dxfId="64" priority="86" operator="beginsWith" text="PASSED">
      <formula>LEFT(K21,LEN("PASSED"))="PASSED"</formula>
    </cfRule>
    <cfRule type="containsText" dxfId="63" priority="87" operator="containsText" text="READY">
      <formula>NOT(ISERROR(SEARCH("READY",K21)))</formula>
    </cfRule>
    <cfRule type="beginsWith" dxfId="62" priority="88" operator="beginsWith" text="GO">
      <formula>LEFT(K21,LEN("GO"))="GO"</formula>
    </cfRule>
  </conditionalFormatting>
  <conditionalFormatting sqref="M157:M160">
    <cfRule type="expression" dxfId="57" priority="40">
      <formula>AND(ISNUMBER(M157),M157&gt;0)</formula>
    </cfRule>
  </conditionalFormatting>
  <conditionalFormatting sqref="M200:M214">
    <cfRule type="expression" dxfId="56" priority="48">
      <formula>$M200="High"</formula>
    </cfRule>
    <cfRule type="expression" dxfId="55" priority="45">
      <formula>$M200="Urgent"</formula>
    </cfRule>
    <cfRule type="expression" dxfId="54" priority="54">
      <formula>$M200="Low"</formula>
    </cfRule>
    <cfRule type="expression" dxfId="53" priority="51">
      <formula>$M200="Medium"</formula>
    </cfRule>
  </conditionalFormatting>
  <dataValidations count="3">
    <dataValidation type="list" allowBlank="1" showInputMessage="1" showErrorMessage="1" sqref="C96:G96" xr:uid="{00000000-0002-0000-0100-000000000000}">
      <formula1>"Ready,Not Ready,N/A"</formula1>
    </dataValidation>
    <dataValidation type="list" allowBlank="1" showInputMessage="1" showErrorMessage="1" sqref="D105:D124" xr:uid="{00000000-0002-0000-0100-000001000000}">
      <formula1>"Urgent,High,Medium,Low"</formula1>
    </dataValidation>
    <dataValidation type="list" allowBlank="1" showInputMessage="1" showErrorMessage="1" sqref="I105:I124" xr:uid="{00000000-0002-0000-0100-000002000000}">
      <formula1>"PO,CAB"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8" id="{00000000-000E-0000-0100-000017000000}">
            <xm:f>'Dashboard Feed'!$P$11="Low"</xm:f>
            <x14:dxf>
              <font>
                <b/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14:cfRule type="expression" priority="57" id="{00000000-000E-0000-0100-000016000000}">
            <xm:f>'Dashboard Feed'!$P$11="Medium"</xm:f>
            <x14:dxf>
              <font>
                <b/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14:cfRule type="expression" priority="56" id="{00000000-000E-0000-0100-000015000000}">
            <xm:f>'Dashboard Feed'!$P$11="High"</xm:f>
            <x14:dxf>
              <font>
                <b/>
                <color rgb="FF833C0B"/>
              </font>
              <fill>
                <patternFill patternType="solid">
                  <fgColor rgb="FFF8CBAD"/>
                  <bgColor rgb="FFF8CBAD"/>
                </patternFill>
              </fill>
            </x14:dxf>
          </x14:cfRule>
          <x14:cfRule type="expression" priority="55" id="{00000000-000E-0000-0100-000014000000}">
            <xm:f>'Dashboard Feed'!$P$11="Urgent"</xm:f>
            <x14:dxf>
              <font>
                <b/>
                <color rgb="FFFFFFFF"/>
              </font>
              <fill>
                <patternFill patternType="solid">
                  <fgColor rgb="FFC00000"/>
                  <bgColor rgb="FFC00000"/>
                </patternFill>
              </fill>
            </x14:dxf>
          </x14:cfRule>
          <xm:sqref>K10:M10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4F6A-9099-464B-A4D1-99B5D48AEABD}">
  <sheetPr>
    <tabColor rgb="FF00B050"/>
  </sheetPr>
  <dimension ref="A1:Z1000"/>
  <sheetViews>
    <sheetView topLeftCell="A16" zoomScale="55" zoomScaleNormal="55" workbookViewId="0">
      <selection activeCell="B6" sqref="B6:B10"/>
    </sheetView>
  </sheetViews>
  <sheetFormatPr defaultColWidth="9.109375" defaultRowHeight="14.4" x14ac:dyDescent="0.3"/>
  <cols>
    <col min="1" max="1" width="35.88671875" style="13" bestFit="1" customWidth="1"/>
    <col min="2" max="2" width="46.44140625" style="13" customWidth="1"/>
    <col min="3" max="3" width="45.5546875" style="13" customWidth="1"/>
    <col min="4" max="4" width="93.5546875" style="13" customWidth="1"/>
    <col min="5" max="5" width="105.33203125" style="13" bestFit="1" customWidth="1"/>
    <col min="6" max="6" width="31.33203125" style="13" bestFit="1" customWidth="1"/>
    <col min="7" max="7" width="60" style="13" customWidth="1"/>
    <col min="8" max="8" width="109.5546875" style="13" customWidth="1"/>
    <col min="9" max="11" width="27.88671875" style="29" customWidth="1"/>
    <col min="12" max="12" width="20" style="3" customWidth="1"/>
    <col min="13" max="13" width="27.88671875" style="29" customWidth="1"/>
    <col min="14" max="14" width="31.88671875" style="13" customWidth="1"/>
    <col min="15" max="15" width="28" style="13" bestFit="1" customWidth="1"/>
    <col min="16" max="16" width="40.33203125" style="29" customWidth="1"/>
    <col min="17" max="17" width="18" style="29" customWidth="1"/>
    <col min="18" max="18" width="16" style="29" customWidth="1"/>
    <col min="19" max="20" width="24" style="29" customWidth="1"/>
    <col min="21" max="21" width="29.88671875" style="29" customWidth="1"/>
    <col min="22" max="22" width="29.33203125" style="35" bestFit="1" customWidth="1"/>
    <col min="23" max="23" width="44.88671875" style="29" customWidth="1"/>
    <col min="24" max="24" width="86.33203125" style="13" customWidth="1"/>
    <col min="25" max="25" width="28" style="13" customWidth="1"/>
    <col min="26" max="26" width="18" style="13" customWidth="1"/>
    <col min="27" max="16384" width="9.109375" style="13"/>
  </cols>
  <sheetData>
    <row r="1" spans="1:26" ht="21" x14ac:dyDescent="0.35">
      <c r="A1" s="16" t="s">
        <v>491</v>
      </c>
      <c r="B1" s="17" t="s">
        <v>492</v>
      </c>
      <c r="C1" s="16" t="s">
        <v>493</v>
      </c>
      <c r="D1" s="17"/>
    </row>
    <row r="2" spans="1:26" ht="21" x14ac:dyDescent="0.35">
      <c r="A2" s="16" t="s">
        <v>494</v>
      </c>
      <c r="B2" s="17" t="s">
        <v>495</v>
      </c>
      <c r="C2" s="16" t="s">
        <v>496</v>
      </c>
      <c r="D2" s="17"/>
    </row>
    <row r="3" spans="1:26" ht="21" x14ac:dyDescent="0.35">
      <c r="A3" s="16" t="s">
        <v>497</v>
      </c>
      <c r="B3" s="17" t="s">
        <v>913</v>
      </c>
      <c r="C3" s="16" t="s">
        <v>498</v>
      </c>
      <c r="D3" s="18" t="s">
        <v>499</v>
      </c>
    </row>
    <row r="4" spans="1:26" ht="21" x14ac:dyDescent="0.35">
      <c r="A4" s="16" t="s">
        <v>500</v>
      </c>
      <c r="B4" s="17" t="s">
        <v>501</v>
      </c>
      <c r="C4" s="16" t="s">
        <v>502</v>
      </c>
      <c r="D4" s="19" t="str">
        <f>"Passed: "&amp;COUNTIF($W$15:$W$1000,"Passed")&amp;" | Cond. Passed: "&amp;COUNTIF($W$15:$W$1000,"Conditionally Passed")&amp;" | Failed: "&amp;COUNTIF($W$15:$W$1000,"Failed")&amp;" | Blocked: "&amp;COUNTIF($W$15:$W$1000,"Blocked")&amp;" | Not Run: "&amp;COUNTIF($W$15:$W$1000,"Not Run")&amp;" | Out of Scope: "&amp;COUNTIF($W$15:$W$1000,"Out of Scope")</f>
        <v>Passed: 0 | Cond. Passed: 0 | Failed: 0 | Blocked: 0 | Not Run: 18 | Out of Scope: 13</v>
      </c>
    </row>
    <row r="5" spans="1:26" ht="21" x14ac:dyDescent="0.35">
      <c r="A5" s="16" t="s">
        <v>503</v>
      </c>
      <c r="B5" s="17" t="s">
        <v>450</v>
      </c>
      <c r="C5" s="16" t="s">
        <v>504</v>
      </c>
      <c r="D5" s="20" t="str" cm="1">
        <f t="array" ref="D5">_xlfn.LET(_xlpm.p,COUNTIF($W$15:$W$1000,"Passed"),_xlpm.cp,COUNTIF($W$15:$W$1000,"Conditionally Passed"),_xlpm.f,COUNTIF($W$15:$W$1000,"Failed"),_xlpm.b,COUNTIF($W$15:$W$1000,"Blocked"),_xlpm.nr,COUNTIF($W$15:$W$1000,"Not Run"),
IF(_xlpm.f&gt;0,"Failed",IF(_xlpm.b&gt;0,"Blocked",IF(OR(_xlpm.nr&gt;0,_xlpm.p+_xlpm.cp=0),"Not Run",IF(_xlpm.cp&gt;0,"Conditionally Passed","Passed")))))</f>
        <v>Not Run</v>
      </c>
    </row>
    <row r="6" spans="1:26" ht="27" customHeight="1" x14ac:dyDescent="0.35">
      <c r="A6" s="184" t="s">
        <v>505</v>
      </c>
      <c r="B6" s="183" t="s">
        <v>506</v>
      </c>
      <c r="C6" s="16" t="s">
        <v>507</v>
      </c>
      <c r="D6" s="21">
        <f>IFERROR((COUNTIF($W$15:$W$1000,"Passed")+COUNTIF($W$15:$W$1000,"Conditionally Passed"))/(COUNTIF($W$15:$W$1000,"Passed")+COUNTIF($W$15:$W$1000,"Conditionally Passed")+COUNTIF($W$15:$W$1000,"Failed")),0)</f>
        <v>0</v>
      </c>
    </row>
    <row r="7" spans="1:26" ht="27" customHeight="1" x14ac:dyDescent="0.3">
      <c r="A7" s="185"/>
      <c r="B7" s="183"/>
    </row>
    <row r="8" spans="1:26" x14ac:dyDescent="0.3">
      <c r="A8" s="185"/>
      <c r="B8" s="183"/>
    </row>
    <row r="9" spans="1:26" x14ac:dyDescent="0.3">
      <c r="A9" s="185"/>
      <c r="B9" s="183"/>
    </row>
    <row r="10" spans="1:26" x14ac:dyDescent="0.3">
      <c r="A10" s="185"/>
      <c r="B10" s="183"/>
    </row>
    <row r="11" spans="1:26" x14ac:dyDescent="0.3">
      <c r="A11" s="182" t="s">
        <v>508</v>
      </c>
      <c r="B11" s="182"/>
    </row>
    <row r="12" spans="1:26" ht="18" x14ac:dyDescent="0.35">
      <c r="A12" s="182" t="str">
        <f>IF(LEFT(TRIM(C12),4)="http",HYPERLINK(TRIM(C12),"🔗 อ่านกฎการลงผล (SOP)"),"🔗 SOP: ยังไม่ได้ใส่ลิงก์ (วาง URL ที่ C12)")</f>
        <v>🔗 SOP: ยังไม่ได้ใส่ลิงก์ (วาง URL ที่ C12)</v>
      </c>
      <c r="B12" s="182"/>
      <c r="C12" s="17" t="s">
        <v>509</v>
      </c>
    </row>
    <row r="13" spans="1:26" s="33" customFormat="1" ht="38.25" customHeight="1" x14ac:dyDescent="0.3">
      <c r="A13" s="22" t="s">
        <v>510</v>
      </c>
      <c r="B13" s="22" t="s">
        <v>511</v>
      </c>
      <c r="C13" s="22" t="s">
        <v>512</v>
      </c>
      <c r="D13" s="22" t="s">
        <v>513</v>
      </c>
      <c r="E13" s="22" t="s">
        <v>514</v>
      </c>
      <c r="F13" s="22" t="s">
        <v>515</v>
      </c>
      <c r="G13" s="22" t="s">
        <v>516</v>
      </c>
      <c r="H13" s="22" t="s">
        <v>517</v>
      </c>
      <c r="I13" s="23" t="s">
        <v>301</v>
      </c>
      <c r="J13" s="23" t="s">
        <v>304</v>
      </c>
      <c r="K13" s="23" t="s">
        <v>307</v>
      </c>
      <c r="L13" s="4" t="s">
        <v>310</v>
      </c>
      <c r="M13" s="63" t="s">
        <v>405</v>
      </c>
      <c r="N13" s="64" t="s">
        <v>518</v>
      </c>
      <c r="O13" s="64" t="s">
        <v>519</v>
      </c>
      <c r="P13" s="63" t="s">
        <v>520</v>
      </c>
      <c r="Q13" s="63" t="s">
        <v>313</v>
      </c>
      <c r="R13" s="65" t="s">
        <v>521</v>
      </c>
      <c r="S13" s="63" t="s">
        <v>316</v>
      </c>
      <c r="T13" s="63" t="s">
        <v>522</v>
      </c>
      <c r="U13" s="63" t="s">
        <v>435</v>
      </c>
      <c r="V13" s="63" t="s">
        <v>523</v>
      </c>
      <c r="W13" s="65" t="s">
        <v>524</v>
      </c>
      <c r="X13" s="66" t="s">
        <v>525</v>
      </c>
      <c r="Y13" s="65" t="s">
        <v>526</v>
      </c>
      <c r="Z13" s="65" t="s">
        <v>527</v>
      </c>
    </row>
    <row r="14" spans="1:26" s="34" customFormat="1" ht="31.5" customHeight="1" x14ac:dyDescent="0.3">
      <c r="A14" s="24"/>
      <c r="B14" s="24" t="s">
        <v>528</v>
      </c>
      <c r="C14" s="24" t="s">
        <v>529</v>
      </c>
      <c r="D14" s="24" t="s">
        <v>530</v>
      </c>
      <c r="E14" s="24" t="s">
        <v>531</v>
      </c>
      <c r="F14" s="24" t="s">
        <v>532</v>
      </c>
      <c r="G14" s="24" t="s">
        <v>533</v>
      </c>
      <c r="H14" s="24" t="s">
        <v>534</v>
      </c>
      <c r="I14" s="24" t="s">
        <v>535</v>
      </c>
      <c r="J14" s="24" t="s">
        <v>536</v>
      </c>
      <c r="K14" s="24" t="s">
        <v>537</v>
      </c>
      <c r="L14" s="5" t="s">
        <v>538</v>
      </c>
      <c r="M14" s="24" t="s">
        <v>539</v>
      </c>
      <c r="N14" s="24" t="s">
        <v>540</v>
      </c>
      <c r="O14" s="24" t="s">
        <v>541</v>
      </c>
      <c r="P14" s="24" t="s">
        <v>542</v>
      </c>
      <c r="Q14" s="24" t="s">
        <v>543</v>
      </c>
      <c r="R14" s="24" t="s">
        <v>544</v>
      </c>
      <c r="S14" s="24" t="s">
        <v>545</v>
      </c>
      <c r="T14" s="24" t="s">
        <v>546</v>
      </c>
      <c r="U14" s="24" t="s">
        <v>547</v>
      </c>
      <c r="V14" s="24" t="s">
        <v>548</v>
      </c>
      <c r="W14" s="24" t="s">
        <v>549</v>
      </c>
      <c r="X14" s="24"/>
      <c r="Y14" s="24" t="s">
        <v>550</v>
      </c>
      <c r="Z14" s="24" t="s">
        <v>551</v>
      </c>
    </row>
    <row r="15" spans="1:26" ht="144" x14ac:dyDescent="0.3">
      <c r="A15" s="13" t="s">
        <v>552</v>
      </c>
      <c r="B15" s="13" t="s">
        <v>553</v>
      </c>
      <c r="C15" s="25" t="s">
        <v>554</v>
      </c>
      <c r="D15" s="25" t="s">
        <v>555</v>
      </c>
      <c r="E15" s="25" t="s">
        <v>808</v>
      </c>
      <c r="F15" s="26" t="s">
        <v>809</v>
      </c>
      <c r="G15" s="27" t="str" cm="1">
        <f t="array" ref="G15">IF($A15="","",IFERROR(_xlfn.TEXTJOIN(CHAR(10)&amp;CHAR(10),TRUE,_xlfn._xlws.FILTER("•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"&amp;Cards!$L$4:$L$1000),(Cards!$A$4:$A$1000&lt;&gt;"")*ISNUMBER(SEARCH($A15,Cards!$E$4:$E$1000)))),"-"))</f>
        <v>• SBH-2360 - [Registration] [OPD] ใบนำทาง: Form for SBH &amp; improvement
   Urgent · TOR? | Result: Pending | TC 0/0 | Gate: Pending Result
• SBH-2233 - [OPD] [Queue] Queue Improvement
   Urgent · TOR? | Result: Pending | TC 0/0 | Gate: Pending Result
• SBH-1290 - [Registration] ข้อมูลผู้ป่วย ที่อยู่ เช่น ทะเบียนบ้าน ตำบล ถนน หมู่ ควรแยก field ของตัวเอง เพราะใช้นำส่ง 43 แฟ้ม
   Medium · TOR? | Result: Pending | TC 0/0 | Gate: Pending Result</v>
      </c>
      <c r="H15" s="28" t="s">
        <v>810</v>
      </c>
      <c r="I15" s="29" t="s">
        <v>556</v>
      </c>
      <c r="J15" s="29" t="s">
        <v>557</v>
      </c>
      <c r="K15" s="29" t="s">
        <v>558</v>
      </c>
      <c r="M15" s="29" t="s">
        <v>267</v>
      </c>
      <c r="P15" s="30"/>
      <c r="Q15" s="30"/>
      <c r="R15" s="27" t="str">
        <f>IF(OR($A15="",LEN(TRIM($O15))=0),"",IF(OR($P15="",$Q15=""),"ระบุ Severity + Impact",IFERROR(INDEX({"Urgent","Urgent","High","High";"Urgent","High","High","Medium";"High","High","Medium","Medium";"Medium","Medium","Low","Low"},MATCH($P15,{"Critical","High","Medium","Low"},0),MATCH($Q15,{"Extensive","Significant","Moderate","Minor"},0)),"-")))</f>
        <v/>
      </c>
      <c r="S15" s="30"/>
      <c r="T15" s="30"/>
      <c r="W15" s="31" t="str">
        <f>IF($A15="","",IF(OR($M15="Out of Scope",$M15="Canceled"),"Out of Scope",IF($M15="Blocked","Blocked",IF(AND($T15&lt;&gt;"Fixed – Retest Passed",OR(LEN(TRIM($O15))&gt;0,LEN(TRIM($P15))&gt;0)),IF(AND(OR($L15="Medium",$L15="Low"),SUMPRODUCT((Cards!$A$4:$A$1000&lt;&gt;"")*ISNUMBER(SEARCH($A15,Cards!$E$4:$E$1000))*(Cards!$F$4:$F$1000&lt;&gt;"Medium")*(Cards!$F$4:$F$1000&lt;&gt;"Low"))=0),"Conditionally Passed","Failed"),IF($M15="Done","Passed","Not Run")))))</f>
        <v>Not Run</v>
      </c>
      <c r="X15" s="25"/>
      <c r="Y15" s="27" t="str" cm="1">
        <f t="array" ref="Y15">IF($A15="","",IF(TRIM($B15)="","-",IFERROR(_xlfn.TEXTJOIN(" / ",TRUE,_xlfn.UNIQUE(_xlfn._xlws.FILTER('Ownership Matrix'!$C$5:$C$200,('Ownership Matrix'!$A$5:$A$200=TRIM($B15))*('Ownership Matrix'!$C$5:$C$200&lt;&gt;"")))),"ไม่พบใน Ownership Matrix")))</f>
        <v>ไม่พบใน Ownership Matrix</v>
      </c>
      <c r="Z15" s="31" t="str">
        <f>IF(NOT(AND($A15&lt;&gt;"",$M15&lt;&gt;"Out of Scope",$M15&lt;&gt;"Canceled",$T15&lt;&gt;"Fixed – Retest Passed",OR(LEN(TRIM($O15))&gt;0,LEN(TRIM($P15))&gt;0))),"",IF(OR($W15="Failed",$R15="Urgent",$R15="High",$R15="ระบุ Severity + Impact"),IF(COUNTIFS(Dashboard!$B$105:$B$124,$O15,Dashboard!$I$105:$I$124,"CAB")&gt;0,"Accepted (CF)","Blocking"),"Deferrable"))</f>
        <v/>
      </c>
    </row>
    <row r="16" spans="1:26" ht="144" x14ac:dyDescent="0.3">
      <c r="A16" s="13" t="s">
        <v>559</v>
      </c>
      <c r="B16" s="13" t="s">
        <v>553</v>
      </c>
      <c r="C16" s="25" t="s">
        <v>560</v>
      </c>
      <c r="D16" s="25" t="s">
        <v>561</v>
      </c>
      <c r="E16" s="25" t="s">
        <v>811</v>
      </c>
      <c r="F16" s="26" t="s">
        <v>812</v>
      </c>
      <c r="G16" s="27" t="str" cm="1">
        <f t="array" ref="G16">IF($A16="","",IFERROR(_xlfn.TEXTJOIN(CHAR(10)&amp;CHAR(10),TRUE,_xlfn._xlws.FILTER("•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"&amp;Cards!$L$4:$L$1000),(Cards!$A$4:$A$1000&lt;&gt;"")*ISNUMBER(SEARCH($A16,Cards!$E$4:$E$1000)))),"-"))</f>
        <v>• SBH-2457 - [EMR] [Form] ประกอบและปรับแต่ง Form OPD note/Pre-assessment จากการ Restructure EHR base
   Urgent · TOR? | Result: Pending | TC 0/0 | Gate: Pending Result
• SBH-2424 - [Bug][Appointment][Physician Schedule] Restore open-ended routine availability
   High · TOR? | Result: Pending | TC 0/0 | Gate: Pending Result
• SBH-887 - [Pre-Assessment] improvement
   Urgent · TOR? | Result: Pending | TC 0/0 | Gate: Pending Result</v>
      </c>
      <c r="H16" s="28" t="s">
        <v>813</v>
      </c>
      <c r="I16" s="29" t="s">
        <v>556</v>
      </c>
      <c r="J16" s="29" t="s">
        <v>557</v>
      </c>
      <c r="K16" s="29" t="s">
        <v>558</v>
      </c>
      <c r="M16" s="29" t="s">
        <v>267</v>
      </c>
      <c r="P16" s="30"/>
      <c r="Q16" s="30"/>
      <c r="R16" s="27" t="str">
        <f>IF(OR($A16="",LEN(TRIM($O16))=0),"",IF(OR($P16="",$Q16=""),"ระบุ Severity + Impact",IFERROR(INDEX({"Urgent","Urgent","High","High";"Urgent","High","High","Medium";"High","High","Medium","Medium";"Medium","Medium","Low","Low"},MATCH($P16,{"Critical","High","Medium","Low"},0),MATCH($Q16,{"Extensive","Significant","Moderate","Minor"},0)),"-")))</f>
        <v/>
      </c>
      <c r="S16" s="30"/>
      <c r="T16" s="30"/>
      <c r="W16" s="31" t="str">
        <f>IF($A16="","",IF(OR($M16="Out of Scope",$M16="Canceled"),"Out of Scope",IF($M16="Blocked","Blocked",IF(AND($T16&lt;&gt;"Fixed – Retest Passed",OR(LEN(TRIM($O16))&gt;0,LEN(TRIM($P16))&gt;0)),IF(AND(OR($L16="Medium",$L16="Low"),SUMPRODUCT((Cards!$A$4:$A$1000&lt;&gt;"")*ISNUMBER(SEARCH($A16,Cards!$E$4:$E$1000))*(Cards!$F$4:$F$1000&lt;&gt;"Medium")*(Cards!$F$4:$F$1000&lt;&gt;"Low"))=0),"Conditionally Passed","Failed"),IF($M16="Done","Passed","Not Run")))))</f>
        <v>Not Run</v>
      </c>
      <c r="X16" s="25"/>
      <c r="Y16" s="27" t="str" cm="1">
        <f t="array" ref="Y16">IF($A16="","",IF(TRIM($B16)="","-",IFERROR(_xlfn.TEXTJOIN(" / ",TRUE,_xlfn.UNIQUE(_xlfn._xlws.FILTER('Ownership Matrix'!$C$5:$C$200,('Ownership Matrix'!$A$5:$A$200=TRIM($B16))*('Ownership Matrix'!$C$5:$C$200&lt;&gt;"")))),"ไม่พบใน Ownership Matrix")))</f>
        <v>ไม่พบใน Ownership Matrix</v>
      </c>
      <c r="Z16" s="31" t="str">
        <f>IF(NOT(AND($A16&lt;&gt;"",$M16&lt;&gt;"Out of Scope",$M16&lt;&gt;"Canceled",$T16&lt;&gt;"Fixed – Retest Passed",OR(LEN(TRIM($O16))&gt;0,LEN(TRIM($P16))&gt;0))),"",IF(OR($W16="Failed",$R16="Urgent",$R16="High",$R16="ระบุ Severity + Impact"),IF(COUNTIFS(Dashboard!$B$105:$B$124,$O16,Dashboard!$I$105:$I$124,"CAB")&gt;0,"Accepted (CF)","Blocking"),"Deferrable"))</f>
        <v/>
      </c>
    </row>
    <row r="17" spans="1:26" ht="302.39999999999998" x14ac:dyDescent="0.3">
      <c r="A17" s="13" t="s">
        <v>562</v>
      </c>
      <c r="B17" s="13" t="s">
        <v>553</v>
      </c>
      <c r="C17" s="25" t="s">
        <v>563</v>
      </c>
      <c r="D17" s="25" t="s">
        <v>564</v>
      </c>
      <c r="E17" s="25" t="s">
        <v>746</v>
      </c>
      <c r="F17" s="26" t="s">
        <v>747</v>
      </c>
      <c r="G17" s="27" t="str" cm="1">
        <f t="array" ref="G17">IF($A17="","",IFERROR(_xlfn.TEXTJOIN(CHAR(10)&amp;CHAR(10),TRUE,_xlfn._xlws.FILTER("•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"&amp;Cards!$L$4:$L$1000),(Cards!$A$4:$A$1000&lt;&gt;"")*ISNUMBER(SEARCH($A17,Cards!$E$4:$E$1000)))),"-"))</f>
        <v>• SBH-2532 - [EMR] [CDSS] - Food drug allergy: เช่น Contrast Media-Seafood/Egg-vaccine
   Medium · TOR? | Result: Pending | TC 0/0 | Gate: Pending Result
• SBH-2457 - [EMR] [Form] ประกอบและปรับแต่ง Form OPD note/Pre-assessment จากการ Restructure EHR base
   Urgent · TOR? | Result: Pending | TC 0/0 | Gate: Pending Result
• SBH-864 - [CPOE] [Order] Form เอกสารประกอบการสั่งยา ปรับให้เป็น Prefill ติ๊กตามสิทธิที่เปิดมา
   Medium · TOR? | Result: Pending | TC 0/0 | Gate: Pending Result
• SBH-498 - [EMR] [Patient History] Label แสดงสถานะ "On Warfarin" บน Patient Banner
   Medium · TOR? | Result: Pending | TC 0/0 | Gate: Pending Result
• SBH-417 - [CPOE] [order] รวมค่าใช้จ่ายผู้ป่วย
   Urgent · TOR? | Result: Pending | TC 0/0 | Gate: Pending Result
• SBH-408 - [EMR] Clinical Summary
   High · TOR? | Result: Pending | TC 0/0 | Gate: Pending Result</v>
      </c>
      <c r="H17" s="28" t="s">
        <v>748</v>
      </c>
      <c r="I17" s="29" t="s">
        <v>556</v>
      </c>
      <c r="J17" s="29" t="s">
        <v>557</v>
      </c>
      <c r="K17" s="29" t="s">
        <v>558</v>
      </c>
      <c r="M17" s="29" t="s">
        <v>267</v>
      </c>
      <c r="P17" s="30"/>
      <c r="Q17" s="30"/>
      <c r="R17" s="27" t="str">
        <f>IF(OR($A17="",LEN(TRIM($O17))=0),"",IF(OR($P17="",$Q17=""),"ระบุ Severity + Impact",IFERROR(INDEX({"Urgent","Urgent","High","High";"Urgent","High","High","Medium";"High","High","Medium","Medium";"Medium","Medium","Low","Low"},MATCH($P17,{"Critical","High","Medium","Low"},0),MATCH($Q17,{"Extensive","Significant","Moderate","Minor"},0)),"-")))</f>
        <v/>
      </c>
      <c r="S17" s="30"/>
      <c r="T17" s="30"/>
      <c r="W17" s="31" t="str">
        <f>IF($A17="","",IF(OR($M17="Out of Scope",$M17="Canceled"),"Out of Scope",IF($M17="Blocked","Blocked",IF(AND($T17&lt;&gt;"Fixed – Retest Passed",OR(LEN(TRIM($O17))&gt;0,LEN(TRIM($P17))&gt;0)),IF(AND(OR($L17="Medium",$L17="Low"),SUMPRODUCT((Cards!$A$4:$A$1000&lt;&gt;"")*ISNUMBER(SEARCH($A17,Cards!$E$4:$E$1000))*(Cards!$F$4:$F$1000&lt;&gt;"Medium")*(Cards!$F$4:$F$1000&lt;&gt;"Low"))=0),"Conditionally Passed","Failed"),IF($M17="Done","Passed","Not Run")))))</f>
        <v>Not Run</v>
      </c>
      <c r="X17" s="25"/>
      <c r="Y17" s="27" t="str" cm="1">
        <f t="array" ref="Y17">IF($A17="","",IF(TRIM($B17)="","-",IFERROR(_xlfn.TEXTJOIN(" / ",TRUE,_xlfn.UNIQUE(_xlfn._xlws.FILTER('Ownership Matrix'!$C$5:$C$200,('Ownership Matrix'!$A$5:$A$200=TRIM($B17))*('Ownership Matrix'!$C$5:$C$200&lt;&gt;"")))),"ไม่พบใน Ownership Matrix")))</f>
        <v>ไม่พบใน Ownership Matrix</v>
      </c>
      <c r="Z17" s="31" t="str">
        <f>IF(NOT(AND($A17&lt;&gt;"",$M17&lt;&gt;"Out of Scope",$M17&lt;&gt;"Canceled",$T17&lt;&gt;"Fixed – Retest Passed",OR(LEN(TRIM($O17))&gt;0,LEN(TRIM($P17))&gt;0))),"",IF(OR($W17="Failed",$R17="Urgent",$R17="High",$R17="ระบุ Severity + Impact"),IF(COUNTIFS(Dashboard!$B$105:$B$124,$O17,Dashboard!$I$105:$I$124,"CAB")&gt;0,"Accepted (CF)","Blocking"),"Deferrable"))</f>
        <v/>
      </c>
    </row>
    <row r="18" spans="1:26" ht="57.6" x14ac:dyDescent="0.3">
      <c r="A18" s="13" t="s">
        <v>565</v>
      </c>
      <c r="B18" s="13" t="s">
        <v>553</v>
      </c>
      <c r="C18" s="25" t="s">
        <v>814</v>
      </c>
      <c r="D18" s="25" t="s">
        <v>815</v>
      </c>
      <c r="E18" s="25" t="s">
        <v>566</v>
      </c>
      <c r="F18" s="26" t="s">
        <v>749</v>
      </c>
      <c r="G18" s="27" t="str" cm="1">
        <f t="array" ref="G18">IF($A18="","",IFERROR(_xlfn.TEXTJOIN(CHAR(10)&amp;CHAR(10),TRUE,_xlfn._xlws.FILTER("•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"&amp;Cards!$L$4:$L$1000),(Cards!$A$4:$A$1000&lt;&gt;"")*ISNUMBER(SEARCH($A18,Cards!$E$4:$E$1000)))),"-"))</f>
        <v>-</v>
      </c>
      <c r="H18" s="28" t="s">
        <v>567</v>
      </c>
      <c r="I18" s="29" t="s">
        <v>556</v>
      </c>
      <c r="J18" s="29" t="s">
        <v>557</v>
      </c>
      <c r="K18" s="29" t="s">
        <v>558</v>
      </c>
      <c r="M18" s="29" t="s">
        <v>267</v>
      </c>
      <c r="P18" s="30"/>
      <c r="Q18" s="30"/>
      <c r="R18" s="27" t="str">
        <f>IF(OR($A18="",LEN(TRIM($O18))=0),"",IF(OR($P18="",$Q18=""),"ระบุ Severity + Impact",IFERROR(INDEX({"Urgent","Urgent","High","High";"Urgent","High","High","Medium";"High","High","Medium","Medium";"Medium","Medium","Low","Low"},MATCH($P18,{"Critical","High","Medium","Low"},0),MATCH($Q18,{"Extensive","Significant","Moderate","Minor"},0)),"-")))</f>
        <v/>
      </c>
      <c r="S18" s="30"/>
      <c r="T18" s="30"/>
      <c r="W18" s="31" t="str">
        <f>IF($A18="","",IF(OR($M18="Out of Scope",$M18="Canceled"),"Out of Scope",IF($M18="Blocked","Blocked",IF(AND($T18&lt;&gt;"Fixed – Retest Passed",OR(LEN(TRIM($O18))&gt;0,LEN(TRIM($P18))&gt;0)),IF(AND(OR($L18="Medium",$L18="Low"),SUMPRODUCT((Cards!$A$4:$A$1000&lt;&gt;"")*ISNUMBER(SEARCH($A18,Cards!$E$4:$E$1000))*(Cards!$F$4:$F$1000&lt;&gt;"Medium")*(Cards!$F$4:$F$1000&lt;&gt;"Low"))=0),"Conditionally Passed","Failed"),IF($M18="Done","Passed","Not Run")))))</f>
        <v>Not Run</v>
      </c>
      <c r="X18" s="25"/>
      <c r="Y18" s="27" t="str" cm="1">
        <f t="array" ref="Y18">IF($A18="","",IF(TRIM($B18)="","-",IFERROR(_xlfn.TEXTJOIN(" / ",TRUE,_xlfn.UNIQUE(_xlfn._xlws.FILTER('Ownership Matrix'!$C$5:$C$200,('Ownership Matrix'!$A$5:$A$200=TRIM($B18))*('Ownership Matrix'!$C$5:$C$200&lt;&gt;"")))),"ไม่พบใน Ownership Matrix")))</f>
        <v>ไม่พบใน Ownership Matrix</v>
      </c>
      <c r="Z18" s="31" t="str">
        <f>IF(NOT(AND($A18&lt;&gt;"",$M18&lt;&gt;"Out of Scope",$M18&lt;&gt;"Canceled",$T18&lt;&gt;"Fixed – Retest Passed",OR(LEN(TRIM($O18))&gt;0,LEN(TRIM($P18))&gt;0))),"",IF(OR($W18="Failed",$R18="Urgent",$R18="High",$R18="ระบุ Severity + Impact"),IF(COUNTIFS(Dashboard!$B$105:$B$124,$O18,Dashboard!$I$105:$I$124,"CAB")&gt;0,"Accepted (CF)","Blocking"),"Deferrable"))</f>
        <v/>
      </c>
    </row>
    <row r="19" spans="1:26" ht="72" x14ac:dyDescent="0.3">
      <c r="A19" s="13" t="s">
        <v>568</v>
      </c>
      <c r="B19" s="13" t="s">
        <v>553</v>
      </c>
      <c r="C19" s="25" t="s">
        <v>569</v>
      </c>
      <c r="D19" s="25" t="s">
        <v>570</v>
      </c>
      <c r="E19" s="25" t="s">
        <v>816</v>
      </c>
      <c r="F19" s="26" t="s">
        <v>817</v>
      </c>
      <c r="G19" s="27" t="str" cm="1">
        <f t="array" ref="G19">IF($A19="","",IFERROR(_xlfn.TEXTJOIN(CHAR(10)&amp;CHAR(10),TRUE,_xlfn._xlws.FILTER("•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"&amp;Cards!$L$4:$L$1000),(Cards!$A$4:$A$1000&lt;&gt;"")*ISNUMBER(SEARCH($A19,Cards!$E$4:$E$1000)))),"-"))</f>
        <v>-</v>
      </c>
      <c r="H19" s="28" t="s">
        <v>818</v>
      </c>
      <c r="I19" s="29" t="s">
        <v>556</v>
      </c>
      <c r="J19" s="29" t="s">
        <v>557</v>
      </c>
      <c r="K19" s="29" t="s">
        <v>558</v>
      </c>
      <c r="M19" s="29" t="s">
        <v>267</v>
      </c>
      <c r="P19" s="30"/>
      <c r="Q19" s="30"/>
      <c r="R19" s="27" t="str">
        <f>IF(OR($A19="",LEN(TRIM($O19))=0),"",IF(OR($P19="",$Q19=""),"ระบุ Severity + Impact",IFERROR(INDEX({"Urgent","Urgent","High","High";"Urgent","High","High","Medium";"High","High","Medium","Medium";"Medium","Medium","Low","Low"},MATCH($P19,{"Critical","High","Medium","Low"},0),MATCH($Q19,{"Extensive","Significant","Moderate","Minor"},0)),"-")))</f>
        <v/>
      </c>
      <c r="S19" s="30"/>
      <c r="T19" s="30"/>
      <c r="W19" s="31" t="str">
        <f>IF($A19="","",IF(OR($M19="Out of Scope",$M19="Canceled"),"Out of Scope",IF($M19="Blocked","Blocked",IF(AND($T19&lt;&gt;"Fixed – Retest Passed",OR(LEN(TRIM($O19))&gt;0,LEN(TRIM($P19))&gt;0)),IF(AND(OR($L19="Medium",$L19="Low"),SUMPRODUCT((Cards!$A$4:$A$1000&lt;&gt;"")*ISNUMBER(SEARCH($A19,Cards!$E$4:$E$1000))*(Cards!$F$4:$F$1000&lt;&gt;"Medium")*(Cards!$F$4:$F$1000&lt;&gt;"Low"))=0),"Conditionally Passed","Failed"),IF($M19="Done","Passed","Not Run")))))</f>
        <v>Not Run</v>
      </c>
      <c r="X19" s="25"/>
      <c r="Y19" s="27" t="str" cm="1">
        <f t="array" ref="Y19">IF($A19="","",IF(TRIM($B19)="","-",IFERROR(_xlfn.TEXTJOIN(" / ",TRUE,_xlfn.UNIQUE(_xlfn._xlws.FILTER('Ownership Matrix'!$C$5:$C$200,('Ownership Matrix'!$A$5:$A$200=TRIM($B19))*('Ownership Matrix'!$C$5:$C$200&lt;&gt;"")))),"ไม่พบใน Ownership Matrix")))</f>
        <v>ไม่พบใน Ownership Matrix</v>
      </c>
      <c r="Z19" s="31" t="str">
        <f>IF(NOT(AND($A19&lt;&gt;"",$M19&lt;&gt;"Out of Scope",$M19&lt;&gt;"Canceled",$T19&lt;&gt;"Fixed – Retest Passed",OR(LEN(TRIM($O19))&gt;0,LEN(TRIM($P19))&gt;0))),"",IF(OR($W19="Failed",$R19="Urgent",$R19="High",$R19="ระบุ Severity + Impact"),IF(COUNTIFS(Dashboard!$B$105:$B$124,$O19,Dashboard!$I$105:$I$124,"CAB")&gt;0,"Accepted (CF)","Blocking"),"Deferrable"))</f>
        <v/>
      </c>
    </row>
    <row r="20" spans="1:26" ht="86.4" x14ac:dyDescent="0.3">
      <c r="A20" s="13" t="s">
        <v>571</v>
      </c>
      <c r="B20" s="13" t="s">
        <v>553</v>
      </c>
      <c r="C20" s="25" t="s">
        <v>572</v>
      </c>
      <c r="D20" s="25" t="s">
        <v>573</v>
      </c>
      <c r="E20" s="25" t="s">
        <v>819</v>
      </c>
      <c r="F20" s="26" t="s">
        <v>820</v>
      </c>
      <c r="G20" s="27" t="str" cm="1">
        <f t="array" ref="G20">IF($A20="","",IFERROR(_xlfn.TEXTJOIN(CHAR(10)&amp;CHAR(10),TRUE,_xlfn._xlws.FILTER("•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"&amp;Cards!$L$4:$L$1000),(Cards!$A$4:$A$1000&lt;&gt;"")*ISNUMBER(SEARCH($A20,Cards!$E$4:$E$1000)))),"-"))</f>
        <v>-</v>
      </c>
      <c r="H20" s="28" t="s">
        <v>574</v>
      </c>
      <c r="I20" s="29" t="s">
        <v>556</v>
      </c>
      <c r="J20" s="29" t="s">
        <v>557</v>
      </c>
      <c r="K20" s="29" t="s">
        <v>558</v>
      </c>
      <c r="M20" s="29" t="s">
        <v>267</v>
      </c>
      <c r="P20" s="30"/>
      <c r="Q20" s="30"/>
      <c r="R20" s="27" t="str">
        <f>IF(OR($A20="",LEN(TRIM($O20))=0),"",IF(OR($P20="",$Q20=""),"ระบุ Severity + Impact",IFERROR(INDEX({"Urgent","Urgent","High","High";"Urgent","High","High","Medium";"High","High","Medium","Medium";"Medium","Medium","Low","Low"},MATCH($P20,{"Critical","High","Medium","Low"},0),MATCH($Q20,{"Extensive","Significant","Moderate","Minor"},0)),"-")))</f>
        <v/>
      </c>
      <c r="S20" s="30"/>
      <c r="T20" s="30"/>
      <c r="W20" s="31" t="str">
        <f>IF($A20="","",IF(OR($M20="Out of Scope",$M20="Canceled"),"Out of Scope",IF($M20="Blocked","Blocked",IF(AND($T20&lt;&gt;"Fixed – Retest Passed",OR(LEN(TRIM($O20))&gt;0,LEN(TRIM($P20))&gt;0)),IF(AND(OR($L20="Medium",$L20="Low"),SUMPRODUCT((Cards!$A$4:$A$1000&lt;&gt;"")*ISNUMBER(SEARCH($A20,Cards!$E$4:$E$1000))*(Cards!$F$4:$F$1000&lt;&gt;"Medium")*(Cards!$F$4:$F$1000&lt;&gt;"Low"))=0),"Conditionally Passed","Failed"),IF($M20="Done","Passed","Not Run")))))</f>
        <v>Not Run</v>
      </c>
      <c r="X20" s="25"/>
      <c r="Y20" s="27" t="str" cm="1">
        <f t="array" ref="Y20">IF($A20="","",IF(TRIM($B20)="","-",IFERROR(_xlfn.TEXTJOIN(" / ",TRUE,_xlfn.UNIQUE(_xlfn._xlws.FILTER('Ownership Matrix'!$C$5:$C$200,('Ownership Matrix'!$A$5:$A$200=TRIM($B20))*('Ownership Matrix'!$C$5:$C$200&lt;&gt;"")))),"ไม่พบใน Ownership Matrix")))</f>
        <v>ไม่พบใน Ownership Matrix</v>
      </c>
      <c r="Z20" s="31" t="str">
        <f>IF(NOT(AND($A20&lt;&gt;"",$M20&lt;&gt;"Out of Scope",$M20&lt;&gt;"Canceled",$T20&lt;&gt;"Fixed – Retest Passed",OR(LEN(TRIM($O20))&gt;0,LEN(TRIM($P20))&gt;0))),"",IF(OR($W20="Failed",$R20="Urgent",$R20="High",$R20="ระบุ Severity + Impact"),IF(COUNTIFS(Dashboard!$B$105:$B$124,$O20,Dashboard!$I$105:$I$124,"CAB")&gt;0,"Accepted (CF)","Blocking"),"Deferrable"))</f>
        <v/>
      </c>
    </row>
    <row r="21" spans="1:26" ht="72" x14ac:dyDescent="0.3">
      <c r="A21" s="13" t="s">
        <v>575</v>
      </c>
      <c r="B21" s="13" t="s">
        <v>553</v>
      </c>
      <c r="C21" s="25" t="s">
        <v>750</v>
      </c>
      <c r="D21" s="25" t="s">
        <v>751</v>
      </c>
      <c r="E21" s="25" t="s">
        <v>752</v>
      </c>
      <c r="F21" s="26" t="s">
        <v>753</v>
      </c>
      <c r="G21" s="27" t="str" cm="1">
        <f t="array" ref="G21">IF($A21="","",IFERROR(_xlfn.TEXTJOIN(CHAR(10)&amp;CHAR(10),TRUE,_xlfn._xlws.FILTER("•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"&amp;Cards!$L$4:$L$1000),(Cards!$A$4:$A$1000&lt;&gt;"")*ISNUMBER(SEARCH($A21,Cards!$E$4:$E$1000)))),"-"))</f>
        <v>-</v>
      </c>
      <c r="H21" s="28" t="s">
        <v>754</v>
      </c>
      <c r="I21" s="29" t="s">
        <v>556</v>
      </c>
      <c r="J21" s="29" t="s">
        <v>557</v>
      </c>
      <c r="K21" s="29" t="s">
        <v>558</v>
      </c>
      <c r="M21" s="29" t="s">
        <v>267</v>
      </c>
      <c r="P21" s="30"/>
      <c r="Q21" s="30"/>
      <c r="R21" s="27" t="str">
        <f>IF(OR($A21="",LEN(TRIM($O21))=0),"",IF(OR($P21="",$Q21=""),"ระบุ Severity + Impact",IFERROR(INDEX({"Urgent","Urgent","High","High";"Urgent","High","High","Medium";"High","High","Medium","Medium";"Medium","Medium","Low","Low"},MATCH($P21,{"Critical","High","Medium","Low"},0),MATCH($Q21,{"Extensive","Significant","Moderate","Minor"},0)),"-")))</f>
        <v/>
      </c>
      <c r="S21" s="30"/>
      <c r="T21" s="30"/>
      <c r="W21" s="31" t="str">
        <f>IF($A21="","",IF(OR($M21="Out of Scope",$M21="Canceled"),"Out of Scope",IF($M21="Blocked","Blocked",IF(AND($T21&lt;&gt;"Fixed – Retest Passed",OR(LEN(TRIM($O21))&gt;0,LEN(TRIM($P21))&gt;0)),IF(AND(OR($L21="Medium",$L21="Low"),SUMPRODUCT((Cards!$A$4:$A$1000&lt;&gt;"")*ISNUMBER(SEARCH($A21,Cards!$E$4:$E$1000))*(Cards!$F$4:$F$1000&lt;&gt;"Medium")*(Cards!$F$4:$F$1000&lt;&gt;"Low"))=0),"Conditionally Passed","Failed"),IF($M21="Done","Passed","Not Run")))))</f>
        <v>Not Run</v>
      </c>
      <c r="X21" s="25"/>
      <c r="Y21" s="27" t="str" cm="1">
        <f t="array" ref="Y21">IF($A21="","",IF(TRIM($B21)="","-",IFERROR(_xlfn.TEXTJOIN(" / ",TRUE,_xlfn.UNIQUE(_xlfn._xlws.FILTER('Ownership Matrix'!$C$5:$C$200,('Ownership Matrix'!$A$5:$A$200=TRIM($B21))*('Ownership Matrix'!$C$5:$C$200&lt;&gt;"")))),"ไม่พบใน Ownership Matrix")))</f>
        <v>ไม่พบใน Ownership Matrix</v>
      </c>
      <c r="Z21" s="31" t="str">
        <f>IF(NOT(AND($A21&lt;&gt;"",$M21&lt;&gt;"Out of Scope",$M21&lt;&gt;"Canceled",$T21&lt;&gt;"Fixed – Retest Passed",OR(LEN(TRIM($O21))&gt;0,LEN(TRIM($P21))&gt;0))),"",IF(OR($W21="Failed",$R21="Urgent",$R21="High",$R21="ระบุ Severity + Impact"),IF(COUNTIFS(Dashboard!$B$105:$B$124,$O21,Dashboard!$I$105:$I$124,"CAB")&gt;0,"Accepted (CF)","Blocking"),"Deferrable"))</f>
        <v/>
      </c>
    </row>
    <row r="22" spans="1:26" ht="144" x14ac:dyDescent="0.3">
      <c r="A22" s="13" t="s">
        <v>578</v>
      </c>
      <c r="B22" s="13" t="s">
        <v>553</v>
      </c>
      <c r="C22" s="25" t="s">
        <v>576</v>
      </c>
      <c r="D22" s="25" t="s">
        <v>577</v>
      </c>
      <c r="E22" s="25" t="s">
        <v>755</v>
      </c>
      <c r="F22" s="26" t="s">
        <v>756</v>
      </c>
      <c r="G22" s="27" t="str" cm="1">
        <f t="array" ref="G22">IF($A22="","",IFERROR(_xlfn.TEXTJOIN(CHAR(10)&amp;CHAR(10),TRUE,_xlfn._xlws.FILTER("•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"&amp;Cards!$L$4:$L$1000),(Cards!$A$4:$A$1000&lt;&gt;"")*ISNUMBER(SEARCH($A22,Cards!$E$4:$E$1000)))),"-"))</f>
        <v>• SBH-916 - [EMR][LAB Result] search by item ได้แล้ว ต้องการ search and filter by Group ด้วย
   Low · TOR? | Result: Pending | TC 0/0 | Gate: Pending Result</v>
      </c>
      <c r="H22" s="28" t="s">
        <v>757</v>
      </c>
      <c r="I22" s="29" t="s">
        <v>556</v>
      </c>
      <c r="J22" s="29" t="s">
        <v>557</v>
      </c>
      <c r="K22" s="29" t="s">
        <v>558</v>
      </c>
      <c r="M22" s="29" t="s">
        <v>267</v>
      </c>
      <c r="P22" s="30"/>
      <c r="Q22" s="30"/>
      <c r="R22" s="27" t="str">
        <f>IF(OR($A22="",LEN(TRIM($O22))=0),"",IF(OR($P22="",$Q22=""),"ระบุ Severity + Impact",IFERROR(INDEX({"Urgent","Urgent","High","High";"Urgent","High","High","Medium";"High","High","Medium","Medium";"Medium","Medium","Low","Low"},MATCH($P22,{"Critical","High","Medium","Low"},0),MATCH($Q22,{"Extensive","Significant","Moderate","Minor"},0)),"-")))</f>
        <v/>
      </c>
      <c r="S22" s="30"/>
      <c r="T22" s="30"/>
      <c r="W22" s="31" t="str">
        <f>IF($A22="","",IF(OR($M22="Out of Scope",$M22="Canceled"),"Out of Scope",IF($M22="Blocked","Blocked",IF(AND($T22&lt;&gt;"Fixed – Retest Passed",OR(LEN(TRIM($O22))&gt;0,LEN(TRIM($P22))&gt;0)),IF(AND(OR($L22="Medium",$L22="Low"),SUMPRODUCT((Cards!$A$4:$A$1000&lt;&gt;"")*ISNUMBER(SEARCH($A22,Cards!$E$4:$E$1000))*(Cards!$F$4:$F$1000&lt;&gt;"Medium")*(Cards!$F$4:$F$1000&lt;&gt;"Low"))=0),"Conditionally Passed","Failed"),IF($M22="Done","Passed","Not Run")))))</f>
        <v>Not Run</v>
      </c>
      <c r="X22" s="25"/>
      <c r="Y22" s="27" t="str" cm="1">
        <f t="array" ref="Y22">IF($A22="","",IF(TRIM($B22)="","-",IFERROR(_xlfn.TEXTJOIN(" / ",TRUE,_xlfn.UNIQUE(_xlfn._xlws.FILTER('Ownership Matrix'!$C$5:$C$200,('Ownership Matrix'!$A$5:$A$200=TRIM($B22))*('Ownership Matrix'!$C$5:$C$200&lt;&gt;"")))),"ไม่พบใน Ownership Matrix")))</f>
        <v>ไม่พบใน Ownership Matrix</v>
      </c>
      <c r="Z22" s="31" t="str">
        <f>IF(NOT(AND($A22&lt;&gt;"",$M22&lt;&gt;"Out of Scope",$M22&lt;&gt;"Canceled",$T22&lt;&gt;"Fixed – Retest Passed",OR(LEN(TRIM($O22))&gt;0,LEN(TRIM($P22))&gt;0))),"",IF(OR($W22="Failed",$R22="Urgent",$R22="High",$R22="ระบุ Severity + Impact"),IF(COUNTIFS(Dashboard!$B$105:$B$124,$O22,Dashboard!$I$105:$I$124,"CAB")&gt;0,"Accepted (CF)","Blocking"),"Deferrable"))</f>
        <v/>
      </c>
    </row>
    <row r="23" spans="1:26" ht="409.6" x14ac:dyDescent="0.3">
      <c r="A23" s="13" t="s">
        <v>758</v>
      </c>
      <c r="B23" s="13" t="s">
        <v>553</v>
      </c>
      <c r="C23" s="25" t="s">
        <v>759</v>
      </c>
      <c r="D23" s="25" t="s">
        <v>760</v>
      </c>
      <c r="E23" s="25" t="s">
        <v>821</v>
      </c>
      <c r="F23" s="26" t="s">
        <v>761</v>
      </c>
      <c r="G23" s="27" t="str" cm="1">
        <f t="array" ref="G23">IF($A23="","",IFERROR(_xlfn.TEXTJOIN(CHAR(10)&amp;CHAR(10),TRUE,_xlfn._xlws.FILTER("•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"&amp;Cards!$L$4:$L$1000),(Cards!$A$4:$A$1000&lt;&gt;"")*ISNUMBER(SEARCH($A23,Cards!$E$4:$E$1000)))),"-"))</f>
        <v>• SBH-2439 - [Pharmacy] Product set up: หน้าทะเบียนยาไม่มีจุด Set Dispensing unit
   High · TOR? | Result: Pending | TC 0/0 | Gate: Pending Result
• SBH-2374 - [Bug] [ Pharmacy ] Sticker ยาภาษาไทยหายไปจาก SBH PRD
   Medium · TOR? | Result: Pending | TC 0/0 | Gate: Pending Result
• SBH-2372 - [Pharmacy] ระบบยังไม่สามารถพิมพ์ฉลากยา/ใบยา ที่กำหนดจำนวนเป็น "0" ได้
   Urgent · TOR? | Result: Pending | TC 0/0 | Gate: Pending Result
• SBH-2233 - [OPD] [Queue] Queue Improvement
   Urgent · TOR? | Result: Pending | TC 0/0 | Gate: Pending Result
• SBH-1685 - [Bug][Pharmacy] [หน้าสร้างใบยา] - ไม่แสดง VN และ ชื่อ Clinic และ ไม่ Default สิทธิ์ให้
   Medium · TOR? | Result: Pending | TC 0/0 | Gate: Pending Result
• SBH-1430 - [Bug] [Cashier] [Account chart item] - รายการยาที่ยกเลิกยังคงค้างอยู่ในAccount_chart_item กรณียกเลิกใบยา
   Urgent · TOR? | Result: Pending | TC 0/0 | Gate: Pending Result
• SBH-1309 - [Pharmacy] ฉลากยาภาษาอังกฤษ
   Medium · TOR? | Result: Pending | TC 0/0 | Gate: Pending Result
• SBH-471 - [Pharmacy][Refill] Unified prescription review — new orders + active refills shown together
   Medium · TOR? | Result: Pending | TC 0/0 | Gate: Pending Result</v>
      </c>
      <c r="H23" s="28" t="s">
        <v>822</v>
      </c>
      <c r="I23" s="29" t="s">
        <v>556</v>
      </c>
      <c r="J23" s="29" t="s">
        <v>557</v>
      </c>
      <c r="K23" s="29" t="s">
        <v>558</v>
      </c>
      <c r="M23" s="29" t="s">
        <v>267</v>
      </c>
      <c r="P23" s="30"/>
      <c r="Q23" s="30"/>
      <c r="R23" s="27" t="str">
        <f>IF(OR($A23="",LEN(TRIM($O23))=0),"",IF(OR($P23="",$Q23=""),"ระบุ Severity + Impact",IFERROR(INDEX({"Urgent","Urgent","High","High";"Urgent","High","High","Medium";"High","High","Medium","Medium";"Medium","Medium","Low","Low"},MATCH($P23,{"Critical","High","Medium","Low"},0),MATCH($Q23,{"Extensive","Significant","Moderate","Minor"},0)),"-")))</f>
        <v/>
      </c>
      <c r="S23" s="30"/>
      <c r="T23" s="30"/>
      <c r="W23" s="31" t="str">
        <f>IF($A23="","",IF(OR($M23="Out of Scope",$M23="Canceled"),"Out of Scope",IF($M23="Blocked","Blocked",IF(AND($T23&lt;&gt;"Fixed – Retest Passed",OR(LEN(TRIM($O23))&gt;0,LEN(TRIM($P23))&gt;0)),IF(AND(OR($L23="Medium",$L23="Low"),SUMPRODUCT((Cards!$A$4:$A$1000&lt;&gt;"")*ISNUMBER(SEARCH($A23,Cards!$E$4:$E$1000))*(Cards!$F$4:$F$1000&lt;&gt;"Medium")*(Cards!$F$4:$F$1000&lt;&gt;"Low"))=0),"Conditionally Passed","Failed"),IF($M23="Done","Passed","Not Run")))))</f>
        <v>Not Run</v>
      </c>
      <c r="X23" s="25"/>
      <c r="Y23" s="27" t="str" cm="1">
        <f t="array" ref="Y23">IF($A23="","",IF(TRIM($B23)="","-",IFERROR(_xlfn.TEXTJOIN(" / ",TRUE,_xlfn.UNIQUE(_xlfn._xlws.FILTER('Ownership Matrix'!$C$5:$C$200,('Ownership Matrix'!$A$5:$A$200=TRIM($B23))*('Ownership Matrix'!$C$5:$C$200&lt;&gt;"")))),"ไม่พบใน Ownership Matrix")))</f>
        <v>ไม่พบใน Ownership Matrix</v>
      </c>
      <c r="Z23" s="31" t="str">
        <f>IF(NOT(AND($A23&lt;&gt;"",$M23&lt;&gt;"Out of Scope",$M23&lt;&gt;"Canceled",$T23&lt;&gt;"Fixed – Retest Passed",OR(LEN(TRIM($O23))&gt;0,LEN(TRIM($P23))&gt;0))),"",IF(OR($W23="Failed",$R23="Urgent",$R23="High",$R23="ระบุ Severity + Impact"),IF(COUNTIFS(Dashboard!$B$105:$B$124,$O23,Dashboard!$I$105:$I$124,"CAB")&gt;0,"Accepted (CF)","Blocking"),"Deferrable"))</f>
        <v/>
      </c>
    </row>
    <row r="24" spans="1:26" ht="144" x14ac:dyDescent="0.3">
      <c r="A24" s="13" t="s">
        <v>915</v>
      </c>
      <c r="B24" s="13" t="s">
        <v>553</v>
      </c>
      <c r="C24" s="25" t="s">
        <v>916</v>
      </c>
      <c r="D24" s="25" t="s">
        <v>917</v>
      </c>
      <c r="E24" s="25" t="s">
        <v>918</v>
      </c>
      <c r="F24" s="26" t="s">
        <v>919</v>
      </c>
      <c r="G24" s="27" t="str" cm="1">
        <f t="array" ref="G24">IF($A24="","",IFERROR(_xlfn.TEXTJOIN(CHAR(10)&amp;CHAR(10),TRUE,_xlfn._xlws.FILTER("•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"&amp;Cards!$L$4:$L$1000),(Cards!$A$4:$A$1000&lt;&gt;"")*ISNUMBER(SEARCH($A24,Cards!$E$4:$E$1000)))),"-"))</f>
        <v>• SBH-1384 - [Bug] [OPD] [EMR] - แก้ไขข้อมูลคนไข้แล้วสร้างเอกสาร Refer Out ไม่สำเร็จ
   Urgent · TOR? | Result: Pending | TC 0/0 | Gate: Pending Result
• SBH-1143 - [OPD] [EMR] Improvement สำหรับ เอกสาร Refer-out
   Urgent · TOR? | Result: Pending | TC 0/0 | Gate: Pending Result
• SBH-1016 - [ER][OPD] Integrate MOPH Refer - Refer Out
   High · TOR? | Result: Pending | TC 0/0 | Gate: Pending Result</v>
      </c>
      <c r="H24" s="25" t="s">
        <v>920</v>
      </c>
      <c r="I24" s="29" t="s">
        <v>556</v>
      </c>
      <c r="J24" s="29" t="s">
        <v>557</v>
      </c>
      <c r="K24" s="29" t="s">
        <v>558</v>
      </c>
      <c r="M24" s="29" t="s">
        <v>267</v>
      </c>
      <c r="P24" s="30"/>
      <c r="Q24" s="30"/>
      <c r="R24" s="27" t="str">
        <f>IF(OR($A24="",LEN(TRIM($O24))=0),"",IF(OR($P24="",$Q24=""),"ระบุ Severity + Impact",IFERROR(INDEX({"Urgent","Urgent","High","High";"Urgent","High","High","Medium";"High","High","Medium","Medium";"Medium","Medium","Low","Low"},MATCH($P24,{"Critical","High","Medium","Low"},0),MATCH($Q24,{"Extensive","Significant","Moderate","Minor"},0)),"-")))</f>
        <v/>
      </c>
      <c r="S24" s="30"/>
      <c r="T24" s="30"/>
      <c r="W24" s="31" t="str">
        <f>IF($A24="","",IF(OR($M24="Out of Scope",$M24="Canceled"),"Out of Scope",IF($M24="Blocked","Blocked",IF(AND($T24&lt;&gt;"Fixed – Retest Passed",OR(LEN(TRIM($O24))&gt;0,LEN(TRIM($P24))&gt;0)),IF(AND(OR($L24="Medium",$L24="Low"),SUMPRODUCT((Cards!$A$4:$A$1000&lt;&gt;"")*ISNUMBER(SEARCH($A24,Cards!$E$4:$E$1000))*(Cards!$F$4:$F$1000&lt;&gt;"Medium")*(Cards!$F$4:$F$1000&lt;&gt;"Low"))=0),"Conditionally Passed","Failed"),IF($M24="Done","Passed","Not Run")))))</f>
        <v>Not Run</v>
      </c>
      <c r="X24" s="25" t="s">
        <v>921</v>
      </c>
      <c r="Y24" s="27" t="str" cm="1">
        <f t="array" ref="Y24">IF($A24="","",IF(TRIM($B24)="","-",IFERROR(_xlfn.TEXTJOIN(" / ",TRUE,_xlfn.UNIQUE(_xlfn._xlws.FILTER('Ownership Matrix'!$C$5:$C$200,('Ownership Matrix'!$A$5:$A$200=TRIM($B24))*('Ownership Matrix'!$C$5:$C$200&lt;&gt;"")))),"ไม่พบใน Ownership Matrix")))</f>
        <v>ไม่พบใน Ownership Matrix</v>
      </c>
      <c r="Z24" s="31" t="str">
        <f>IF(NOT(AND($A24&lt;&gt;"",$M24&lt;&gt;"Out of Scope",$M24&lt;&gt;"Canceled",$T24&lt;&gt;"Fixed – Retest Passed",OR(LEN(TRIM($O24))&gt;0,LEN(TRIM($P24))&gt;0))),"",IF(OR($W24="Failed",$R24="Urgent",$R24="High",$R24="ระบุ Severity + Impact"),IF(COUNTIFS(Dashboard!$B$105:$B$124,$O24,Dashboard!$I$105:$I$124,"CAB")&gt;0,"Accepted (CF)","Blocking"),"Deferrable"))</f>
        <v/>
      </c>
    </row>
    <row r="25" spans="1:26" ht="144" x14ac:dyDescent="0.3">
      <c r="A25" s="13" t="s">
        <v>914</v>
      </c>
      <c r="B25" s="13" t="s">
        <v>553</v>
      </c>
      <c r="C25" s="25" t="s">
        <v>922</v>
      </c>
      <c r="D25" s="25" t="s">
        <v>923</v>
      </c>
      <c r="E25" s="25" t="s">
        <v>924</v>
      </c>
      <c r="F25" s="26" t="s">
        <v>925</v>
      </c>
      <c r="G25" s="27" t="str" cm="1">
        <f t="array" ref="G25">IF($A25="","",IFERROR(_xlfn.TEXTJOIN(CHAR(10)&amp;CHAR(10),TRUE,_xlfn._xlws.FILTER("•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"&amp;Cards!$L$4:$L$1000),(Cards!$A$4:$A$1000&lt;&gt;"")*ISNUMBER(SEARCH($A25,Cards!$E$4:$E$1000)))),"-"))</f>
        <v>• SBH-1732 - [OPD][Pharmacy] เพิ่มปุ่ม/จุด Print ใบ Refill ยา (ปัจจุบันและย้อนหลัง)
   Urgent · TOR? | Result: Pending | TC 0/0 | Gate: Pending Result</v>
      </c>
      <c r="H25" s="25" t="s">
        <v>926</v>
      </c>
      <c r="I25" s="29" t="s">
        <v>556</v>
      </c>
      <c r="J25" s="29" t="s">
        <v>557</v>
      </c>
      <c r="K25" s="29" t="s">
        <v>558</v>
      </c>
      <c r="M25" s="29" t="s">
        <v>267</v>
      </c>
      <c r="P25" s="30"/>
      <c r="Q25" s="30"/>
      <c r="R25" s="27" t="str">
        <f>IF(OR($A25="",LEN(TRIM($O25))=0),"",IF(OR($P25="",$Q25=""),"ระบุ Severity + Impact",IFERROR(INDEX({"Urgent","Urgent","High","High";"Urgent","High","High","Medium";"High","High","Medium","Medium";"Medium","Medium","Low","Low"},MATCH($P25,{"Critical","High","Medium","Low"},0),MATCH($Q25,{"Extensive","Significant","Moderate","Minor"},0)),"-")))</f>
        <v/>
      </c>
      <c r="S25" s="30"/>
      <c r="T25" s="30"/>
      <c r="W25" s="31" t="str">
        <f>IF($A25="","",IF(OR($M25="Out of Scope",$M25="Canceled"),"Out of Scope",IF($M25="Blocked","Blocked",IF(AND($T25&lt;&gt;"Fixed – Retest Passed",OR(LEN(TRIM($O25))&gt;0,LEN(TRIM($P25))&gt;0)),IF(AND(OR($L25="Medium",$L25="Low"),SUMPRODUCT((Cards!$A$4:$A$1000&lt;&gt;"")*ISNUMBER(SEARCH($A25,Cards!$E$4:$E$1000))*(Cards!$F$4:$F$1000&lt;&gt;"Medium")*(Cards!$F$4:$F$1000&lt;&gt;"Low"))=0),"Conditionally Passed","Failed"),IF($M25="Done","Passed","Not Run")))))</f>
        <v>Not Run</v>
      </c>
      <c r="X25" s="25" t="s">
        <v>927</v>
      </c>
      <c r="Y25" s="27" t="str" cm="1">
        <f t="array" ref="Y25">IF($A25="","",IF(TRIM($B25)="","-",IFERROR(_xlfn.TEXTJOIN(" / ",TRUE,_xlfn.UNIQUE(_xlfn._xlws.FILTER('Ownership Matrix'!$C$5:$C$200,('Ownership Matrix'!$A$5:$A$200=TRIM($B25))*('Ownership Matrix'!$C$5:$C$200&lt;&gt;"")))),"ไม่พบใน Ownership Matrix")))</f>
        <v>ไม่พบใน Ownership Matrix</v>
      </c>
      <c r="Z25" s="31" t="str">
        <f>IF(NOT(AND($A25&lt;&gt;"",$M25&lt;&gt;"Out of Scope",$M25&lt;&gt;"Canceled",$T25&lt;&gt;"Fixed – Retest Passed",OR(LEN(TRIM($O25))&gt;0,LEN(TRIM($P25))&gt;0))),"",IF(OR($W25="Failed",$R25="Urgent",$R25="High",$R25="ระบุ Severity + Impact"),IF(COUNTIFS(Dashboard!$B$105:$B$124,$O25,Dashboard!$I$105:$I$124,"CAB")&gt;0,"Accepted (CF)","Blocking"),"Deferrable"))</f>
        <v/>
      </c>
    </row>
    <row r="26" spans="1:26" ht="100.8" x14ac:dyDescent="0.3">
      <c r="A26" s="13" t="s">
        <v>762</v>
      </c>
      <c r="B26" s="13" t="s">
        <v>763</v>
      </c>
      <c r="C26" s="25" t="s">
        <v>764</v>
      </c>
      <c r="D26" s="25" t="s">
        <v>765</v>
      </c>
      <c r="E26" s="25" t="s">
        <v>766</v>
      </c>
      <c r="F26" s="26" t="s">
        <v>767</v>
      </c>
      <c r="G26" s="27" t="str" cm="1">
        <f t="array" ref="G26">IF($A26="","",IFERROR(_xlfn.TEXTJOIN(CHAR(10)&amp;CHAR(10),TRUE,_xlfn._xlws.FILTER("•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"&amp;Cards!$L$4:$L$1000),(Cards!$A$4:$A$1000&lt;&gt;"")*ISNUMBER(SEARCH($A26,Cards!$E$4:$E$1000)))),"-"))</f>
        <v>• SBH-2438 - [ER][Refactor] - Refactor ER Component
   High · TOR? | Result: Pending | TC 0/0 | Gate: Pending Result
• SBH-2371 - [ER][Registration] - เพิ่ม Field: คำนำหน้าชื่อ + แนบ รูป Profile จากบัตร ประชาชน
   Medium · TOR? | Result: Pending | TC 0/0 | Gate: Pending Result</v>
      </c>
      <c r="H26" s="25" t="s">
        <v>768</v>
      </c>
      <c r="I26" s="29" t="s">
        <v>556</v>
      </c>
      <c r="J26" s="29" t="s">
        <v>557</v>
      </c>
      <c r="K26" s="29" t="s">
        <v>558</v>
      </c>
      <c r="M26" s="29" t="s">
        <v>267</v>
      </c>
      <c r="P26" s="30"/>
      <c r="Q26" s="30"/>
      <c r="R26" s="27" t="str">
        <f>IF(OR($A26="",LEN(TRIM($O26))=0),"",IF(OR($P26="",$Q26=""),"ระบุ Severity + Impact",IFERROR(INDEX({"Urgent","Urgent","High","High";"Urgent","High","High","Medium";"High","High","Medium","Medium";"Medium","Medium","Low","Low"},MATCH($P26,{"Critical","High","Medium","Low"},0),MATCH($Q26,{"Extensive","Significant","Moderate","Minor"},0)),"-")))</f>
        <v/>
      </c>
      <c r="S26" s="30"/>
      <c r="T26" s="30"/>
      <c r="W26" s="31" t="str">
        <f>IF($A26="","",IF(OR($M26="Out of Scope",$M26="Canceled"),"Out of Scope",IF($M26="Blocked","Blocked",IF(AND($T26&lt;&gt;"Fixed – Retest Passed",OR(LEN(TRIM($O26))&gt;0,LEN(TRIM($P26))&gt;0)),IF(AND(OR($L26="Medium",$L26="Low"),SUMPRODUCT((Cards!$A$4:$A$1000&lt;&gt;"")*ISNUMBER(SEARCH($A26,Cards!$E$4:$E$1000))*(Cards!$F$4:$F$1000&lt;&gt;"Medium")*(Cards!$F$4:$F$1000&lt;&gt;"Low"))=0),"Conditionally Passed","Failed"),IF($M26="Done","Passed","Not Run")))))</f>
        <v>Not Run</v>
      </c>
      <c r="X26" s="25"/>
      <c r="Y26" s="27" t="str" cm="1">
        <f t="array" ref="Y26">IF($A26="","",IF(TRIM($B26)="","-",IFERROR(_xlfn.TEXTJOIN(" / ",TRUE,_xlfn.UNIQUE(_xlfn._xlws.FILTER('Ownership Matrix'!$C$5:$C$200,('Ownership Matrix'!$A$5:$A$200=TRIM($B26))*('Ownership Matrix'!$C$5:$C$200&lt;&gt;"")))),"ไม่พบใน Ownership Matrix")))</f>
        <v>ไม่พบใน Ownership Matrix</v>
      </c>
      <c r="Z26" s="31" t="str">
        <f>IF(NOT(AND($A26&lt;&gt;"",$M26&lt;&gt;"Out of Scope",$M26&lt;&gt;"Canceled",$T26&lt;&gt;"Fixed – Retest Passed",OR(LEN(TRIM($O26))&gt;0,LEN(TRIM($P26))&gt;0))),"",IF(OR($W26="Failed",$R26="Urgent",$R26="High",$R26="ระบุ Severity + Impact"),IF(COUNTIFS(Dashboard!$B$105:$B$124,$O26,Dashboard!$I$105:$I$124,"CAB")&gt;0,"Accepted (CF)","Blocking"),"Deferrable"))</f>
        <v/>
      </c>
    </row>
    <row r="27" spans="1:26" ht="172.8" x14ac:dyDescent="0.3">
      <c r="A27" s="13" t="s">
        <v>769</v>
      </c>
      <c r="B27" s="13" t="s">
        <v>763</v>
      </c>
      <c r="C27" s="25" t="s">
        <v>770</v>
      </c>
      <c r="D27" s="25" t="s">
        <v>771</v>
      </c>
      <c r="E27" s="25" t="s">
        <v>772</v>
      </c>
      <c r="F27" s="26" t="s">
        <v>773</v>
      </c>
      <c r="G27" s="27" t="str" cm="1">
        <f t="array" ref="G27">IF($A27="","",IFERROR(_xlfn.TEXTJOIN(CHAR(10)&amp;CHAR(10),TRUE,_xlfn._xlws.FILTER("•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"&amp;Cards!$L$4:$L$1000),(Cards!$A$4:$A$1000&lt;&gt;"")*ISNUMBER(SEARCH($A27,Cards!$E$4:$E$1000)))),"-"))</f>
        <v>• SBH-2785 - [ER] [บัตรคิว] เพิ่ม Barcode HN
   Priority ? · TOR? | Result: Pending | TC 0/0 | Gate: Pending Result
• SBH-2438 - [ER][Refactor] - Refactor ER Component
   High · TOR? | Result: Pending | TC 0/0 | Gate: Pending Result
• SBH-2373 - [Bug][ER][Triage] - ไม่สามารถบันทึก Form Triage, Physicia_note ได้
   Urgent · TOR? | Result: Pending | TC 0/0 | Gate: Pending Result
• SBH-1719 - [ER] [ QUEUE ] หน้าจอแสดง QUEUE List สำหรับผู้ป่วย
   Urgent · TOR? | Result: Pending | TC 0/0 | Gate: Pending Result</v>
      </c>
      <c r="H27" s="25" t="s">
        <v>774</v>
      </c>
      <c r="I27" s="29" t="s">
        <v>556</v>
      </c>
      <c r="J27" s="29" t="s">
        <v>557</v>
      </c>
      <c r="K27" s="29" t="s">
        <v>558</v>
      </c>
      <c r="M27" s="29" t="s">
        <v>267</v>
      </c>
      <c r="P27" s="30"/>
      <c r="Q27" s="30"/>
      <c r="R27" s="27" t="str">
        <f>IF(OR($A27="",LEN(TRIM($O27))=0),"",IF(OR($P27="",$Q27=""),"ระบุ Severity + Impact",IFERROR(INDEX({"Urgent","Urgent","High","High";"Urgent","High","High","Medium";"High","High","Medium","Medium";"Medium","Medium","Low","Low"},MATCH($P27,{"Critical","High","Medium","Low"},0),MATCH($Q27,{"Extensive","Significant","Moderate","Minor"},0)),"-")))</f>
        <v/>
      </c>
      <c r="S27" s="30"/>
      <c r="T27" s="30"/>
      <c r="W27" s="31" t="str">
        <f>IF($A27="","",IF(OR($M27="Out of Scope",$M27="Canceled"),"Out of Scope",IF($M27="Blocked","Blocked",IF(AND($T27&lt;&gt;"Fixed – Retest Passed",OR(LEN(TRIM($O27))&gt;0,LEN(TRIM($P27))&gt;0)),IF(AND(OR($L27="Medium",$L27="Low"),SUMPRODUCT((Cards!$A$4:$A$1000&lt;&gt;"")*ISNUMBER(SEARCH($A27,Cards!$E$4:$E$1000))*(Cards!$F$4:$F$1000&lt;&gt;"Medium")*(Cards!$F$4:$F$1000&lt;&gt;"Low"))=0),"Conditionally Passed","Failed"),IF($M27="Done","Passed","Not Run")))))</f>
        <v>Not Run</v>
      </c>
      <c r="X27" s="25"/>
      <c r="Y27" s="27" t="str" cm="1">
        <f t="array" ref="Y27">IF($A27="","",IF(TRIM($B27)="","-",IFERROR(_xlfn.TEXTJOIN(" / ",TRUE,_xlfn.UNIQUE(_xlfn._xlws.FILTER('Ownership Matrix'!$C$5:$C$200,('Ownership Matrix'!$A$5:$A$200=TRIM($B27))*('Ownership Matrix'!$C$5:$C$200&lt;&gt;"")))),"ไม่พบใน Ownership Matrix")))</f>
        <v>ไม่พบใน Ownership Matrix</v>
      </c>
      <c r="Z27" s="31" t="str">
        <f>IF(NOT(AND($A27&lt;&gt;"",$M27&lt;&gt;"Out of Scope",$M27&lt;&gt;"Canceled",$T27&lt;&gt;"Fixed – Retest Passed",OR(LEN(TRIM($O27))&gt;0,LEN(TRIM($P27))&gt;0))),"",IF(OR($W27="Failed",$R27="Urgent",$R27="High",$R27="ระบุ Severity + Impact"),IF(COUNTIFS(Dashboard!$B$105:$B$124,$O27,Dashboard!$I$105:$I$124,"CAB")&gt;0,"Accepted (CF)","Blocking"),"Deferrable"))</f>
        <v/>
      </c>
    </row>
    <row r="28" spans="1:26" ht="187.2" x14ac:dyDescent="0.3">
      <c r="A28" s="13" t="s">
        <v>775</v>
      </c>
      <c r="B28" s="13" t="s">
        <v>763</v>
      </c>
      <c r="C28" s="25" t="s">
        <v>776</v>
      </c>
      <c r="D28" s="25" t="s">
        <v>777</v>
      </c>
      <c r="E28" s="25" t="s">
        <v>778</v>
      </c>
      <c r="F28" s="26" t="s">
        <v>779</v>
      </c>
      <c r="G28" s="27" t="str" cm="1">
        <f t="array" ref="G28">IF($A28="","",IFERROR(_xlfn.TEXTJOIN(CHAR(10)&amp;CHAR(10),TRUE,_xlfn._xlws.FILTER("•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"&amp;Cards!$L$4:$L$1000),(Cards!$A$4:$A$1000&lt;&gt;"")*ISNUMBER(SEARCH($A28,Cards!$E$4:$E$1000)))),"-"))</f>
        <v>• SBH-2593 - [ER] [ Order Summary ] Improve order summary ER
   Priority ? · TOR? | Result: Pending | TC 0/0 | Gate: Pending Result
• SBH-2438 - [ER][Refactor] - Refactor ER Component
   High · TOR? | Result: Pending | TC 0/0 | Gate: Pending Result
• SBH-2373 - [Bug][ER][Triage] - ไม่สามารถบันทึก Form Triage, Physicia_note ได้
   Urgent · TOR? | Result: Pending | TC 0/0 | Gate: Pending Result
• SBH-1116 - [Bug] [EMR] [Activity] ไม่สามารถบันทึกการทำหัตถการได้ในเมนูหัตถการ
   Urgent · TOR? | Result: Pending | TC 0/0 | Gate: Pending Result</v>
      </c>
      <c r="H28" s="28" t="s">
        <v>780</v>
      </c>
      <c r="I28" s="29" t="s">
        <v>556</v>
      </c>
      <c r="J28" s="29" t="s">
        <v>557</v>
      </c>
      <c r="K28" s="29" t="s">
        <v>558</v>
      </c>
      <c r="M28" s="29" t="s">
        <v>267</v>
      </c>
      <c r="P28" s="30"/>
      <c r="Q28" s="30"/>
      <c r="R28" s="27" t="str">
        <f>IF(OR($A28="",LEN(TRIM($O28))=0),"",IF(OR($P28="",$Q28=""),"ระบุ Severity + Impact",IFERROR(INDEX({"Urgent","Urgent","High","High";"Urgent","High","High","Medium";"High","High","Medium","Medium";"Medium","Medium","Low","Low"},MATCH($P28,{"Critical","High","Medium","Low"},0),MATCH($Q28,{"Extensive","Significant","Moderate","Minor"},0)),"-")))</f>
        <v/>
      </c>
      <c r="S28" s="30"/>
      <c r="T28" s="30"/>
      <c r="W28" s="31" t="str">
        <f>IF($A28="","",IF(OR($M28="Out of Scope",$M28="Canceled"),"Out of Scope",IF($M28="Blocked","Blocked",IF(AND($T28&lt;&gt;"Fixed – Retest Passed",OR(LEN(TRIM($O28))&gt;0,LEN(TRIM($P28))&gt;0)),IF(AND(OR($L28="Medium",$L28="Low"),SUMPRODUCT((Cards!$A$4:$A$1000&lt;&gt;"")*ISNUMBER(SEARCH($A28,Cards!$E$4:$E$1000))*(Cards!$F$4:$F$1000&lt;&gt;"Medium")*(Cards!$F$4:$F$1000&lt;&gt;"Low"))=0),"Conditionally Passed","Failed"),IF($M28="Done","Passed","Not Run")))))</f>
        <v>Not Run</v>
      </c>
      <c r="X28" s="25"/>
      <c r="Y28" s="27" t="str" cm="1">
        <f t="array" ref="Y28">IF($A28="","",IF(TRIM($B28)="","-",IFERROR(_xlfn.TEXTJOIN(" / ",TRUE,_xlfn.UNIQUE(_xlfn._xlws.FILTER('Ownership Matrix'!$C$5:$C$200,('Ownership Matrix'!$A$5:$A$200=TRIM($B28))*('Ownership Matrix'!$C$5:$C$200&lt;&gt;"")))),"ไม่พบใน Ownership Matrix")))</f>
        <v>ไม่พบใน Ownership Matrix</v>
      </c>
      <c r="Z28" s="31" t="str">
        <f>IF(NOT(AND($A28&lt;&gt;"",$M28&lt;&gt;"Out of Scope",$M28&lt;&gt;"Canceled",$T28&lt;&gt;"Fixed – Retest Passed",OR(LEN(TRIM($O28))&gt;0,LEN(TRIM($P28))&gt;0))),"",IF(OR($W28="Failed",$R28="Urgent",$R28="High",$R28="ระบุ Severity + Impact"),IF(COUNTIFS(Dashboard!$B$105:$B$124,$O28,Dashboard!$I$105:$I$124,"CAB")&gt;0,"Accepted (CF)","Blocking"),"Deferrable"))</f>
        <v/>
      </c>
    </row>
    <row r="29" spans="1:26" ht="86.4" x14ac:dyDescent="0.3">
      <c r="A29" s="13" t="s">
        <v>781</v>
      </c>
      <c r="B29" s="13" t="s">
        <v>763</v>
      </c>
      <c r="C29" s="25" t="s">
        <v>782</v>
      </c>
      <c r="D29" s="25" t="s">
        <v>783</v>
      </c>
      <c r="E29" s="25" t="s">
        <v>784</v>
      </c>
      <c r="F29" s="26" t="s">
        <v>785</v>
      </c>
      <c r="G29" s="27" t="str" cm="1">
        <f t="array" ref="G29">IF($A29="","",IFERROR(_xlfn.TEXTJOIN(CHAR(10)&amp;CHAR(10),TRUE,_xlfn._xlws.FILTER("•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"&amp;Cards!$L$4:$L$1000),(Cards!$A$4:$A$1000&lt;&gt;"")*ISNUMBER(SEARCH($A29,Cards!$E$4:$E$1000)))),"-"))</f>
        <v>• SBH-2629 - [ER] [ Nurse Focus Note ] เพิ่ม Feature Note template
   High · TOR? | Result: Pending | TC 0/0 | Gate: Pending Result</v>
      </c>
      <c r="H29" s="28" t="s">
        <v>786</v>
      </c>
      <c r="I29" s="29" t="s">
        <v>556</v>
      </c>
      <c r="J29" s="29" t="s">
        <v>557</v>
      </c>
      <c r="K29" s="29" t="s">
        <v>558</v>
      </c>
      <c r="M29" s="29" t="s">
        <v>267</v>
      </c>
      <c r="P29" s="30"/>
      <c r="Q29" s="30"/>
      <c r="R29" s="27" t="str">
        <f>IF(OR($A29="",LEN(TRIM($O29))=0),"",IF(OR($P29="",$Q29=""),"ระบุ Severity + Impact",IFERROR(INDEX({"Urgent","Urgent","High","High";"Urgent","High","High","Medium";"High","High","Medium","Medium";"Medium","Medium","Low","Low"},MATCH($P29,{"Critical","High","Medium","Low"},0),MATCH($Q29,{"Extensive","Significant","Moderate","Minor"},0)),"-")))</f>
        <v/>
      </c>
      <c r="S29" s="30"/>
      <c r="T29" s="30"/>
      <c r="W29" s="31" t="str">
        <f>IF($A29="","",IF(OR($M29="Out of Scope",$M29="Canceled"),"Out of Scope",IF($M29="Blocked","Blocked",IF(AND($T29&lt;&gt;"Fixed – Retest Passed",OR(LEN(TRIM($O29))&gt;0,LEN(TRIM($P29))&gt;0)),IF(AND(OR($L29="Medium",$L29="Low"),SUMPRODUCT((Cards!$A$4:$A$1000&lt;&gt;"")*ISNUMBER(SEARCH($A29,Cards!$E$4:$E$1000))*(Cards!$F$4:$F$1000&lt;&gt;"Medium")*(Cards!$F$4:$F$1000&lt;&gt;"Low"))=0),"Conditionally Passed","Failed"),IF($M29="Done","Passed","Not Run")))))</f>
        <v>Not Run</v>
      </c>
      <c r="X29" s="25"/>
      <c r="Y29" s="27" t="str" cm="1">
        <f t="array" ref="Y29">IF($A29="","",IF(TRIM($B29)="","-",IFERROR(_xlfn.TEXTJOIN(" / ",TRUE,_xlfn.UNIQUE(_xlfn._xlws.FILTER('Ownership Matrix'!$C$5:$C$200,('Ownership Matrix'!$A$5:$A$200=TRIM($B29))*('Ownership Matrix'!$C$5:$C$200&lt;&gt;"")))),"ไม่พบใน Ownership Matrix")))</f>
        <v>ไม่พบใน Ownership Matrix</v>
      </c>
      <c r="Z29" s="31" t="str">
        <f>IF(NOT(AND($A29&lt;&gt;"",$M29&lt;&gt;"Out of Scope",$M29&lt;&gt;"Canceled",$T29&lt;&gt;"Fixed – Retest Passed",OR(LEN(TRIM($O29))&gt;0,LEN(TRIM($P29))&gt;0))),"",IF(OR($W29="Failed",$R29="Urgent",$R29="High",$R29="ระบุ Severity + Impact"),IF(COUNTIFS(Dashboard!$B$105:$B$124,$O29,Dashboard!$I$105:$I$124,"CAB")&gt;0,"Accepted (CF)","Blocking"),"Deferrable"))</f>
        <v/>
      </c>
    </row>
    <row r="30" spans="1:26" ht="100.8" x14ac:dyDescent="0.3">
      <c r="A30" s="13" t="s">
        <v>787</v>
      </c>
      <c r="B30" s="13" t="s">
        <v>763</v>
      </c>
      <c r="C30" s="25" t="s">
        <v>788</v>
      </c>
      <c r="D30" s="25" t="s">
        <v>789</v>
      </c>
      <c r="E30" s="25" t="s">
        <v>790</v>
      </c>
      <c r="F30" s="26" t="s">
        <v>791</v>
      </c>
      <c r="G30" s="27" t="str" cm="1">
        <f t="array" ref="G30">IF($A30="","",IFERROR(_xlfn.TEXTJOIN(CHAR(10)&amp;CHAR(10),TRUE,_xlfn._xlws.FILTER("•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"&amp;Cards!$L$4:$L$1000),(Cards!$A$4:$A$1000&lt;&gt;"")*ISNUMBER(SEARCH($A30,Cards!$E$4:$E$1000)))),"-"))</f>
        <v>• SBH-2528 - [Bug][ER][Disposiontion] - ดูประวัติ Disposition
   High · TOR? | Result: Pending | TC 0/0 | Gate: Pending Result
• SBH-2236 - [ER] [ Patient list ] ผู้ป่วยรายชื่อหายไปหลัง เที่ยงคืน
   Priority ? · TOR? | Result: Pending | TC 0/0 | Gate: Pending Result</v>
      </c>
      <c r="H30" s="28" t="s">
        <v>792</v>
      </c>
      <c r="I30" s="29" t="s">
        <v>556</v>
      </c>
      <c r="J30" s="29" t="s">
        <v>557</v>
      </c>
      <c r="K30" s="29" t="s">
        <v>558</v>
      </c>
      <c r="M30" s="29" t="s">
        <v>267</v>
      </c>
      <c r="P30" s="30"/>
      <c r="Q30" s="30"/>
      <c r="R30" s="27" t="str">
        <f>IF(OR($A30="",LEN(TRIM($O30))=0),"",IF(OR($P30="",$Q30=""),"ระบุ Severity + Impact",IFERROR(INDEX({"Urgent","Urgent","High","High";"Urgent","High","High","Medium";"High","High","Medium","Medium";"Medium","Medium","Low","Low"},MATCH($P30,{"Critical","High","Medium","Low"},0),MATCH($Q30,{"Extensive","Significant","Moderate","Minor"},0)),"-")))</f>
        <v/>
      </c>
      <c r="S30" s="30"/>
      <c r="T30" s="30"/>
      <c r="W30" s="31" t="str">
        <f>IF($A30="","",IF(OR($M30="Out of Scope",$M30="Canceled"),"Out of Scope",IF($M30="Blocked","Blocked",IF(AND($T30&lt;&gt;"Fixed – Retest Passed",OR(LEN(TRIM($O30))&gt;0,LEN(TRIM($P30))&gt;0)),IF(AND(OR($L30="Medium",$L30="Low"),SUMPRODUCT((Cards!$A$4:$A$1000&lt;&gt;"")*ISNUMBER(SEARCH($A30,Cards!$E$4:$E$1000))*(Cards!$F$4:$F$1000&lt;&gt;"Medium")*(Cards!$F$4:$F$1000&lt;&gt;"Low"))=0),"Conditionally Passed","Failed"),IF($M30="Done","Passed","Not Run")))))</f>
        <v>Not Run</v>
      </c>
      <c r="X30" s="25"/>
      <c r="Y30" s="27" t="str" cm="1">
        <f t="array" ref="Y30">IF($A30="","",IF(TRIM($B30)="","-",IFERROR(_xlfn.TEXTJOIN(" / ",TRUE,_xlfn.UNIQUE(_xlfn._xlws.FILTER('Ownership Matrix'!$C$5:$C$200,('Ownership Matrix'!$A$5:$A$200=TRIM($B30))*('Ownership Matrix'!$C$5:$C$200&lt;&gt;"")))),"ไม่พบใน Ownership Matrix")))</f>
        <v>ไม่พบใน Ownership Matrix</v>
      </c>
      <c r="Z30" s="31" t="str">
        <f>IF(NOT(AND($A30&lt;&gt;"",$M30&lt;&gt;"Out of Scope",$M30&lt;&gt;"Canceled",$T30&lt;&gt;"Fixed – Retest Passed",OR(LEN(TRIM($O30))&gt;0,LEN(TRIM($P30))&gt;0))),"",IF(OR($W30="Failed",$R30="Urgent",$R30="High",$R30="ระบุ Severity + Impact"),IF(COUNTIFS(Dashboard!$B$105:$B$124,$O30,Dashboard!$I$105:$I$124,"CAB")&gt;0,"Accepted (CF)","Blocking"),"Deferrable"))</f>
        <v/>
      </c>
    </row>
    <row r="31" spans="1:26" ht="57.6" x14ac:dyDescent="0.3">
      <c r="A31" s="191" t="s">
        <v>793</v>
      </c>
      <c r="B31" s="191" t="s">
        <v>763</v>
      </c>
      <c r="C31" s="192" t="s">
        <v>794</v>
      </c>
      <c r="D31" s="192" t="s">
        <v>795</v>
      </c>
      <c r="E31" s="192" t="s">
        <v>796</v>
      </c>
      <c r="F31" s="193" t="s">
        <v>797</v>
      </c>
      <c r="G31" s="27" t="str" cm="1">
        <f t="array" ref="G31">IF($A31="","",IFERROR(_xlfn.TEXTJOIN(CHAR(10)&amp;CHAR(10),TRUE,_xlfn._xlws.FILTER("•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"&amp;Cards!$L$4:$L$1000),(Cards!$A$4:$A$1000&lt;&gt;"")*ISNUMBER(SEARCH($A31,Cards!$E$4:$E$1000)))),"-"))</f>
        <v>-</v>
      </c>
      <c r="H31" s="194" t="s">
        <v>798</v>
      </c>
      <c r="I31" s="195" t="s">
        <v>556</v>
      </c>
      <c r="J31" s="195" t="s">
        <v>557</v>
      </c>
      <c r="K31" s="195" t="s">
        <v>558</v>
      </c>
      <c r="L31" s="196"/>
      <c r="M31" s="195" t="s">
        <v>267</v>
      </c>
      <c r="N31" s="191"/>
      <c r="O31" s="191"/>
      <c r="P31" s="197"/>
      <c r="Q31" s="197"/>
      <c r="R31" s="27" t="str">
        <f>IF(OR($A31="",LEN(TRIM($O31))=0),"",IF(OR($P31="",$Q31=""),"ระบุ Severity + Impact",IFERROR(INDEX({"Urgent","Urgent","High","High";"Urgent","High","High","Medium";"High","High","Medium","Medium";"Medium","Medium","Low","Low"},MATCH($P31,{"Critical","High","Medium","Low"},0),MATCH($Q31,{"Extensive","Significant","Moderate","Minor"},0)),"-")))</f>
        <v/>
      </c>
      <c r="S31" s="197"/>
      <c r="T31" s="197"/>
      <c r="U31" s="195"/>
      <c r="V31" s="198"/>
      <c r="W31" s="31" t="str">
        <f>IF($A31="","",IF(OR($M31="Out of Scope",$M31="Canceled"),"Out of Scope",IF($M31="Blocked","Blocked",IF(AND($T31&lt;&gt;"Fixed – Retest Passed",OR(LEN(TRIM($O31))&gt;0,LEN(TRIM($P31))&gt;0)),IF(AND(OR($L31="Medium",$L31="Low"),SUMPRODUCT((Cards!$A$4:$A$1000&lt;&gt;"")*ISNUMBER(SEARCH($A31,Cards!$E$4:$E$1000))*(Cards!$F$4:$F$1000&lt;&gt;"Medium")*(Cards!$F$4:$F$1000&lt;&gt;"Low"))=0),"Conditionally Passed","Failed"),IF($M31="Done","Passed","Not Run")))))</f>
        <v>Not Run</v>
      </c>
      <c r="X31" s="192" t="s">
        <v>799</v>
      </c>
      <c r="Y31" s="27" t="str" cm="1">
        <f t="array" ref="Y31">IF($A31="","",IF(TRIM($B31)="","-",IFERROR(_xlfn.TEXTJOIN(" / ",TRUE,_xlfn.UNIQUE(_xlfn._xlws.FILTER('Ownership Matrix'!$C$5:$C$200,('Ownership Matrix'!$A$5:$A$200=TRIM($B31))*('Ownership Matrix'!$C$5:$C$200&lt;&gt;"")))),"ไม่พบใน Ownership Matrix")))</f>
        <v>ไม่พบใน Ownership Matrix</v>
      </c>
      <c r="Z31" s="31" t="str">
        <f>IF(NOT(AND($A31&lt;&gt;"",$M31&lt;&gt;"Out of Scope",$M31&lt;&gt;"Canceled",$T31&lt;&gt;"Fixed – Retest Passed",OR(LEN(TRIM($O31))&gt;0,LEN(TRIM($P31))&gt;0))),"",IF(OR($W31="Failed",$R31="Urgent",$R31="High",$R31="ระบุ Severity + Impact"),IF(COUNTIFS(Dashboard!$B$105:$B$124,$O31,Dashboard!$I$105:$I$124,"CAB")&gt;0,"Accepted (CF)","Blocking"),"Deferrable"))</f>
        <v/>
      </c>
    </row>
    <row r="32" spans="1:26" ht="100.8" x14ac:dyDescent="0.3">
      <c r="A32" s="191" t="s">
        <v>800</v>
      </c>
      <c r="B32" s="191" t="s">
        <v>700</v>
      </c>
      <c r="C32" s="192" t="s">
        <v>801</v>
      </c>
      <c r="D32" s="192" t="s">
        <v>802</v>
      </c>
      <c r="E32" s="192" t="s">
        <v>803</v>
      </c>
      <c r="F32" s="193" t="s">
        <v>804</v>
      </c>
      <c r="G32" s="27" t="str" cm="1">
        <f t="array" ref="G32">IF($A32="","",IFERROR(_xlfn.TEXTJOIN(CHAR(10)&amp;CHAR(10),TRUE,_xlfn._xlws.FILTER("•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"&amp;Cards!$L$4:$L$1000),(Cards!$A$4:$A$1000&lt;&gt;"")*ISNUMBER(SEARCH($A32,Cards!$E$4:$E$1000)))),"-"))</f>
        <v>-</v>
      </c>
      <c r="H32" s="194" t="s">
        <v>805</v>
      </c>
      <c r="I32" s="195" t="s">
        <v>556</v>
      </c>
      <c r="J32" s="195" t="s">
        <v>557</v>
      </c>
      <c r="K32" s="195" t="s">
        <v>558</v>
      </c>
      <c r="L32" s="196"/>
      <c r="M32" s="195" t="s">
        <v>267</v>
      </c>
      <c r="N32" s="191"/>
      <c r="O32" s="191"/>
      <c r="P32" s="197"/>
      <c r="Q32" s="197"/>
      <c r="R32" s="27" t="str">
        <f>IF(OR($A32="",LEN(TRIM($O32))=0),"",IF(OR($P32="",$Q32=""),"ระบุ Severity + Impact",IFERROR(INDEX({"Urgent","Urgent","High","High";"Urgent","High","High","Medium";"High","High","Medium","Medium";"Medium","Medium","Low","Low"},MATCH($P32,{"Critical","High","Medium","Low"},0),MATCH($Q32,{"Extensive","Significant","Moderate","Minor"},0)),"-")))</f>
        <v/>
      </c>
      <c r="S32" s="197"/>
      <c r="T32" s="197"/>
      <c r="U32" s="195"/>
      <c r="V32" s="198"/>
      <c r="W32" s="31" t="str">
        <f>IF($A32="","",IF(OR($M32="Out of Scope",$M32="Canceled"),"Out of Scope",IF($M32="Blocked","Blocked",IF(AND($T32&lt;&gt;"Fixed – Retest Passed",OR(LEN(TRIM($O32))&gt;0,LEN(TRIM($P32))&gt;0)),IF(AND(OR($L32="Medium",$L32="Low"),SUMPRODUCT((Cards!$A$4:$A$1000&lt;&gt;"")*ISNUMBER(SEARCH($A32,Cards!$E$4:$E$1000))*(Cards!$F$4:$F$1000&lt;&gt;"Medium")*(Cards!$F$4:$F$1000&lt;&gt;"Low"))=0),"Conditionally Passed","Failed"),IF($M32="Done","Passed","Not Run")))))</f>
        <v>Not Run</v>
      </c>
      <c r="X32" s="192" t="s">
        <v>806</v>
      </c>
      <c r="Y32" s="27" t="str" cm="1">
        <f t="array" ref="Y32">IF($A32="","",IF(TRIM($B32)="","-",IFERROR(_xlfn.TEXTJOIN(" / ",TRUE,_xlfn.UNIQUE(_xlfn._xlws.FILTER('Ownership Matrix'!$C$5:$C$200,('Ownership Matrix'!$A$5:$A$200=TRIM($B32))*('Ownership Matrix'!$C$5:$C$200&lt;&gt;"")))),"ไม่พบใน Ownership Matrix")))</f>
        <v>ไม่พบใน Ownership Matrix</v>
      </c>
      <c r="Z32" s="31" t="str">
        <f>IF(NOT(AND($A32&lt;&gt;"",$M32&lt;&gt;"Out of Scope",$M32&lt;&gt;"Canceled",$T32&lt;&gt;"Fixed – Retest Passed",OR(LEN(TRIM($O32))&gt;0,LEN(TRIM($P32))&gt;0))),"",IF(OR($W32="Failed",$R32="Urgent",$R32="High",$R32="ระบุ Severity + Impact"),IF(COUNTIFS(Dashboard!$B$105:$B$124,$O32,Dashboard!$I$105:$I$124,"CAB")&gt;0,"Accepted (CF)","Blocking"),"Deferrable"))</f>
        <v/>
      </c>
    </row>
    <row r="33" spans="1:26" ht="72" x14ac:dyDescent="0.3">
      <c r="A33" s="115" t="s">
        <v>579</v>
      </c>
      <c r="B33" s="115" t="s">
        <v>580</v>
      </c>
      <c r="C33" s="116" t="s">
        <v>581</v>
      </c>
      <c r="D33" s="116" t="s">
        <v>582</v>
      </c>
      <c r="E33" s="116" t="s">
        <v>583</v>
      </c>
      <c r="F33" s="117"/>
      <c r="G33" s="118" t="str" cm="1">
        <f t="array" ref="G33">IF($A33="","",IFERROR(_xlfn.TEXTJOIN(CHAR(10)&amp;CHAR(10),TRUE,_xlfn._xlws.FILTER("•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"&amp;Cards!$L$4:$L$1000),(Cards!$A$4:$A$1000&lt;&gt;"")*ISNUMBER(SEARCH($A33,Cards!$E$4:$E$1000)))),"-"))</f>
        <v>-</v>
      </c>
      <c r="H33" s="119" t="s">
        <v>584</v>
      </c>
      <c r="I33" s="120" t="s">
        <v>556</v>
      </c>
      <c r="J33" s="120" t="s">
        <v>557</v>
      </c>
      <c r="K33" s="120" t="s">
        <v>558</v>
      </c>
      <c r="L33" s="121"/>
      <c r="M33" s="120" t="s">
        <v>277</v>
      </c>
      <c r="N33" s="115"/>
      <c r="O33" s="115"/>
      <c r="P33" s="122"/>
      <c r="Q33" s="122"/>
      <c r="R33" s="118" t="str">
        <f>IF(OR($A33="",LEN(TRIM($O33))=0),"",IF(OR($P33="",$Q33=""),"ระบุ Severity + Impact",IFERROR(INDEX({"Urgent","Urgent","High","High";"Urgent","High","High","Medium";"High","High","Medium","Medium";"Medium","Medium","Low","Low"},MATCH($P33,{"Critical","High","Medium","Low"},0),MATCH($Q33,{"Extensive","Significant","Moderate","Minor"},0)),"-")))</f>
        <v/>
      </c>
      <c r="S33" s="122"/>
      <c r="T33" s="122"/>
      <c r="U33" s="120"/>
      <c r="V33" s="123"/>
      <c r="W33" s="124" t="str">
        <f>IF($A33="","",IF(OR($M33="Out of Scope",$M33="Canceled"),"Out of Scope",IF($M33="Blocked","Blocked",IF(AND($T33&lt;&gt;"Fixed – Retest Passed",OR(LEN(TRIM($O33))&gt;0,LEN(TRIM($P33))&gt;0)),IF(AND(OR($L33="Medium",$L33="Low"),SUMPRODUCT((Cards!$A$4:$A$1000&lt;&gt;"")*ISNUMBER(SEARCH($A33,Cards!$E$4:$E$1000))*(Cards!$F$4:$F$1000&lt;&gt;"Medium")*(Cards!$F$4:$F$1000&lt;&gt;"Low"))=0),"Conditionally Passed","Failed"),IF($M33="Done","Passed","Not Run")))))</f>
        <v>Out of Scope</v>
      </c>
      <c r="X33" s="116" t="s">
        <v>807</v>
      </c>
      <c r="Y33" s="118" t="str" cm="1">
        <f t="array" ref="Y33">IF($A33="","",IF(TRIM($B33)="","-",IFERROR(_xlfn.TEXTJOIN(" / ",TRUE,_xlfn.UNIQUE(_xlfn._xlws.FILTER('Ownership Matrix'!$C$5:$C$200,('Ownership Matrix'!$A$5:$A$200=TRIM($B33))*('Ownership Matrix'!$C$5:$C$200&lt;&gt;"")))),"ไม่พบใน Ownership Matrix")))</f>
        <v>ไม่พบใน Ownership Matrix</v>
      </c>
      <c r="Z33" s="124" t="str">
        <f>IF(NOT(AND($A33&lt;&gt;"",$M33&lt;&gt;"Out of Scope",$M33&lt;&gt;"Canceled",$T33&lt;&gt;"Fixed – Retest Passed",OR(LEN(TRIM($O33))&gt;0,LEN(TRIM($P33))&gt;0))),"",IF(OR($W33="Failed",$R33="Urgent",$R33="High",$R33="ระบุ Severity + Impact"),IF(COUNTIFS(Dashboard!$B$105:$B$124,$O33,Dashboard!$I$105:$I$124,"CAB")&gt;0,"Accepted (CF)","Blocking"),"Deferrable"))</f>
        <v/>
      </c>
    </row>
    <row r="34" spans="1:26" ht="28.8" x14ac:dyDescent="0.3">
      <c r="A34" s="115" t="s">
        <v>585</v>
      </c>
      <c r="B34" s="115" t="s">
        <v>580</v>
      </c>
      <c r="C34" s="116" t="s">
        <v>586</v>
      </c>
      <c r="D34" s="116" t="s">
        <v>587</v>
      </c>
      <c r="E34" s="116" t="s">
        <v>588</v>
      </c>
      <c r="F34" s="117"/>
      <c r="G34" s="118" t="str" cm="1">
        <f t="array" ref="G34">IF($A34="","",IFERROR(_xlfn.TEXTJOIN(CHAR(10)&amp;CHAR(10),TRUE,_xlfn._xlws.FILTER("•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"&amp;Cards!$L$4:$L$1000),(Cards!$A$4:$A$1000&lt;&gt;"")*ISNUMBER(SEARCH($A34,Cards!$E$4:$E$1000)))),"-"))</f>
        <v>-</v>
      </c>
      <c r="H34" s="119"/>
      <c r="I34" s="120" t="s">
        <v>556</v>
      </c>
      <c r="J34" s="120" t="s">
        <v>557</v>
      </c>
      <c r="K34" s="120" t="s">
        <v>558</v>
      </c>
      <c r="L34" s="121"/>
      <c r="M34" s="120" t="s">
        <v>277</v>
      </c>
      <c r="N34" s="115"/>
      <c r="O34" s="115"/>
      <c r="P34" s="122"/>
      <c r="Q34" s="122"/>
      <c r="R34" s="118" t="str">
        <f>IF(OR($A34="",LEN(TRIM($O34))=0),"",IF(OR($P34="",$Q34=""),"ระบุ Severity + Impact",IFERROR(INDEX({"Urgent","Urgent","High","High";"Urgent","High","High","Medium";"High","High","Medium","Medium";"Medium","Medium","Low","Low"},MATCH($P34,{"Critical","High","Medium","Low"},0),MATCH($Q34,{"Extensive","Significant","Moderate","Minor"},0)),"-")))</f>
        <v/>
      </c>
      <c r="S34" s="122"/>
      <c r="T34" s="122"/>
      <c r="U34" s="120"/>
      <c r="V34" s="123"/>
      <c r="W34" s="124" t="str">
        <f>IF($A34="","",IF(OR($M34="Out of Scope",$M34="Canceled"),"Out of Scope",IF($M34="Blocked","Blocked",IF(AND($T34&lt;&gt;"Fixed – Retest Passed",OR(LEN(TRIM($O34))&gt;0,LEN(TRIM($P34))&gt;0)),IF(AND(OR($L34="Medium",$L34="Low"),SUMPRODUCT((Cards!$A$4:$A$1000&lt;&gt;"")*ISNUMBER(SEARCH($A34,Cards!$E$4:$E$1000))*(Cards!$F$4:$F$1000&lt;&gt;"Medium")*(Cards!$F$4:$F$1000&lt;&gt;"Low"))=0),"Conditionally Passed","Failed"),IF($M34="Done","Passed","Not Run")))))</f>
        <v>Out of Scope</v>
      </c>
      <c r="X34" s="116" t="s">
        <v>807</v>
      </c>
      <c r="Y34" s="118" t="str" cm="1">
        <f t="array" ref="Y34">IF($A34="","",IF(TRIM($B34)="","-",IFERROR(_xlfn.TEXTJOIN(" / ",TRUE,_xlfn.UNIQUE(_xlfn._xlws.FILTER('Ownership Matrix'!$C$5:$C$200,('Ownership Matrix'!$A$5:$A$200=TRIM($B34))*('Ownership Matrix'!$C$5:$C$200&lt;&gt;"")))),"ไม่พบใน Ownership Matrix")))</f>
        <v>ไม่พบใน Ownership Matrix</v>
      </c>
      <c r="Z34" s="124" t="str">
        <f>IF(NOT(AND($A34&lt;&gt;"",$M34&lt;&gt;"Out of Scope",$M34&lt;&gt;"Canceled",$T34&lt;&gt;"Fixed – Retest Passed",OR(LEN(TRIM($O34))&gt;0,LEN(TRIM($P34))&gt;0))),"",IF(OR($W34="Failed",$R34="Urgent",$R34="High",$R34="ระบุ Severity + Impact"),IF(COUNTIFS(Dashboard!$B$105:$B$124,$O34,Dashboard!$I$105:$I$124,"CAB")&gt;0,"Accepted (CF)","Blocking"),"Deferrable"))</f>
        <v/>
      </c>
    </row>
    <row r="35" spans="1:26" ht="28.8" x14ac:dyDescent="0.3">
      <c r="A35" s="115" t="s">
        <v>589</v>
      </c>
      <c r="B35" s="115" t="s">
        <v>580</v>
      </c>
      <c r="C35" s="116" t="s">
        <v>590</v>
      </c>
      <c r="D35" s="116" t="s">
        <v>591</v>
      </c>
      <c r="E35" s="116" t="s">
        <v>592</v>
      </c>
      <c r="F35" s="117"/>
      <c r="G35" s="118" t="str" cm="1">
        <f t="array" ref="G35">IF($A35="","",IFERROR(_xlfn.TEXTJOIN(CHAR(10)&amp;CHAR(10),TRUE,_xlfn._xlws.FILTER("•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"&amp;Cards!$L$4:$L$1000),(Cards!$A$4:$A$1000&lt;&gt;"")*ISNUMBER(SEARCH($A35,Cards!$E$4:$E$1000)))),"-"))</f>
        <v>-</v>
      </c>
      <c r="H35" s="119"/>
      <c r="I35" s="120" t="s">
        <v>556</v>
      </c>
      <c r="J35" s="120" t="s">
        <v>557</v>
      </c>
      <c r="K35" s="120" t="s">
        <v>558</v>
      </c>
      <c r="L35" s="121"/>
      <c r="M35" s="120" t="s">
        <v>277</v>
      </c>
      <c r="N35" s="115"/>
      <c r="O35" s="115"/>
      <c r="P35" s="122"/>
      <c r="Q35" s="122"/>
      <c r="R35" s="118" t="str">
        <f>IF(OR($A35="",LEN(TRIM($O35))=0),"",IF(OR($P35="",$Q35=""),"ระบุ Severity + Impact",IFERROR(INDEX({"Urgent","Urgent","High","High";"Urgent","High","High","Medium";"High","High","Medium","Medium";"Medium","Medium","Low","Low"},MATCH($P35,{"Critical","High","Medium","Low"},0),MATCH($Q35,{"Extensive","Significant","Moderate","Minor"},0)),"-")))</f>
        <v/>
      </c>
      <c r="S35" s="122"/>
      <c r="T35" s="122"/>
      <c r="U35" s="120"/>
      <c r="V35" s="123"/>
      <c r="W35" s="124" t="str">
        <f>IF($A35="","",IF(OR($M35="Out of Scope",$M35="Canceled"),"Out of Scope",IF($M35="Blocked","Blocked",IF(AND($T35&lt;&gt;"Fixed – Retest Passed",OR(LEN(TRIM($O35))&gt;0,LEN(TRIM($P35))&gt;0)),IF(AND(OR($L35="Medium",$L35="Low"),SUMPRODUCT((Cards!$A$4:$A$1000&lt;&gt;"")*ISNUMBER(SEARCH($A35,Cards!$E$4:$E$1000))*(Cards!$F$4:$F$1000&lt;&gt;"Medium")*(Cards!$F$4:$F$1000&lt;&gt;"Low"))=0),"Conditionally Passed","Failed"),IF($M35="Done","Passed","Not Run")))))</f>
        <v>Out of Scope</v>
      </c>
      <c r="X35" s="116" t="s">
        <v>807</v>
      </c>
      <c r="Y35" s="118" t="str" cm="1">
        <f t="array" ref="Y35">IF($A35="","",IF(TRIM($B35)="","-",IFERROR(_xlfn.TEXTJOIN(" / ",TRUE,_xlfn.UNIQUE(_xlfn._xlws.FILTER('Ownership Matrix'!$C$5:$C$200,('Ownership Matrix'!$A$5:$A$200=TRIM($B35))*('Ownership Matrix'!$C$5:$C$200&lt;&gt;"")))),"ไม่พบใน Ownership Matrix")))</f>
        <v>ไม่พบใน Ownership Matrix</v>
      </c>
      <c r="Z35" s="124" t="str">
        <f>IF(NOT(AND($A35&lt;&gt;"",$M35&lt;&gt;"Out of Scope",$M35&lt;&gt;"Canceled",$T35&lt;&gt;"Fixed – Retest Passed",OR(LEN(TRIM($O35))&gt;0,LEN(TRIM($P35))&gt;0))),"",IF(OR($W35="Failed",$R35="Urgent",$R35="High",$R35="ระบุ Severity + Impact"),IF(COUNTIFS(Dashboard!$B$105:$B$124,$O35,Dashboard!$I$105:$I$124,"CAB")&gt;0,"Accepted (CF)","Blocking"),"Deferrable"))</f>
        <v/>
      </c>
    </row>
    <row r="36" spans="1:26" ht="28.8" x14ac:dyDescent="0.3">
      <c r="A36" s="115" t="s">
        <v>593</v>
      </c>
      <c r="B36" s="115" t="s">
        <v>580</v>
      </c>
      <c r="C36" s="116" t="s">
        <v>594</v>
      </c>
      <c r="D36" s="116" t="s">
        <v>595</v>
      </c>
      <c r="E36" s="116" t="s">
        <v>596</v>
      </c>
      <c r="F36" s="116"/>
      <c r="G36" s="118" t="str" cm="1">
        <f t="array" ref="G36">IF($A36="","",IFERROR(_xlfn.TEXTJOIN(CHAR(10)&amp;CHAR(10),TRUE,_xlfn._xlws.FILTER("•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"&amp;Cards!$L$4:$L$1000),(Cards!$A$4:$A$1000&lt;&gt;"")*ISNUMBER(SEARCH($A36,Cards!$E$4:$E$1000)))),"-"))</f>
        <v>-</v>
      </c>
      <c r="H36" s="119"/>
      <c r="I36" s="120" t="s">
        <v>556</v>
      </c>
      <c r="J36" s="120" t="s">
        <v>557</v>
      </c>
      <c r="K36" s="120" t="s">
        <v>558</v>
      </c>
      <c r="L36" s="121"/>
      <c r="M36" s="120" t="s">
        <v>277</v>
      </c>
      <c r="N36" s="115"/>
      <c r="O36" s="115"/>
      <c r="P36" s="120"/>
      <c r="Q36" s="122"/>
      <c r="R36" s="118" t="str">
        <f>IF(OR($A36="",LEN(TRIM($O36))=0),"",IF(OR($P36="",$Q36=""),"ระบุ Severity + Impact",IFERROR(INDEX({"Urgent","Urgent","High","High";"Urgent","High","High","Medium";"High","High","Medium","Medium";"Medium","Medium","Low","Low"},MATCH($P36,{"Critical","High","Medium","Low"},0),MATCH($Q36,{"Extensive","Significant","Moderate","Minor"},0)),"-")))</f>
        <v/>
      </c>
      <c r="S36" s="122"/>
      <c r="T36" s="122"/>
      <c r="U36" s="120"/>
      <c r="V36" s="123"/>
      <c r="W36" s="125" t="str">
        <f>IF($A36="","",IF(OR($M36="Out of Scope",$M36="Canceled"),"Out of Scope",IF($M36="Blocked","Blocked",IF(AND($T36&lt;&gt;"Fixed – Retest Passed",OR(LEN(TRIM($O36))&gt;0,LEN(TRIM($P36))&gt;0)),IF(AND(OR($L36="Medium",$L36="Low"),SUMPRODUCT((Cards!$A$4:$A$1000&lt;&gt;"")*ISNUMBER(SEARCH($A36,Cards!$E$4:$E$1000))*(Cards!$F$4:$F$1000&lt;&gt;"Medium")*(Cards!$F$4:$F$1000&lt;&gt;"Low"))=0),"Conditionally Passed","Failed"),IF($M36="Done","Passed","Not Run")))))</f>
        <v>Out of Scope</v>
      </c>
      <c r="X36" s="116" t="s">
        <v>807</v>
      </c>
      <c r="Y36" s="118" t="str" cm="1">
        <f t="array" ref="Y36">IF($A36="","",IF(TRIM($B36)="","-",IFERROR(_xlfn.TEXTJOIN(" / ",TRUE,_xlfn.UNIQUE(_xlfn._xlws.FILTER('Ownership Matrix'!$C$5:$C$200,('Ownership Matrix'!$A$5:$A$200=TRIM($B36))*('Ownership Matrix'!$C$5:$C$200&lt;&gt;"")))),"ไม่พบใน Ownership Matrix")))</f>
        <v>ไม่พบใน Ownership Matrix</v>
      </c>
      <c r="Z36" s="124" t="str">
        <f>IF(NOT(AND($A36&lt;&gt;"",$M36&lt;&gt;"Out of Scope",$M36&lt;&gt;"Canceled",$T36&lt;&gt;"Fixed – Retest Passed",OR(LEN(TRIM($O36))&gt;0,LEN(TRIM($P36))&gt;0))),"",IF(OR($W36="Failed",$R36="Urgent",$R36="High",$R36="ระบุ Severity + Impact"),IF(COUNTIFS(Dashboard!$B$105:$B$124,$O36,Dashboard!$I$105:$I$124,"CAB")&gt;0,"Accepted (CF)","Blocking"),"Deferrable"))</f>
        <v/>
      </c>
    </row>
    <row r="37" spans="1:26" ht="28.8" x14ac:dyDescent="0.3">
      <c r="A37" s="115" t="s">
        <v>597</v>
      </c>
      <c r="B37" s="115" t="s">
        <v>580</v>
      </c>
      <c r="C37" s="116" t="s">
        <v>598</v>
      </c>
      <c r="D37" s="116" t="s">
        <v>599</v>
      </c>
      <c r="E37" s="116" t="s">
        <v>600</v>
      </c>
      <c r="F37" s="116"/>
      <c r="G37" s="118" t="str" cm="1">
        <f t="array" ref="G37">IF($A37="","",IFERROR(_xlfn.TEXTJOIN(CHAR(10)&amp;CHAR(10),TRUE,_xlfn._xlws.FILTER("•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"&amp;Cards!$L$4:$L$1000),(Cards!$A$4:$A$1000&lt;&gt;"")*ISNUMBER(SEARCH($A37,Cards!$E$4:$E$1000)))),"-"))</f>
        <v>-</v>
      </c>
      <c r="H37" s="119"/>
      <c r="I37" s="120" t="s">
        <v>556</v>
      </c>
      <c r="J37" s="120" t="s">
        <v>557</v>
      </c>
      <c r="K37" s="120" t="s">
        <v>558</v>
      </c>
      <c r="L37" s="121"/>
      <c r="M37" s="120" t="s">
        <v>277</v>
      </c>
      <c r="N37" s="115"/>
      <c r="O37" s="115"/>
      <c r="P37" s="120"/>
      <c r="Q37" s="122"/>
      <c r="R37" s="118" t="str">
        <f>IF(OR($A37="",LEN(TRIM($O37))=0),"",IF(OR($P37="",$Q37=""),"ระบุ Severity + Impact",IFERROR(INDEX({"Urgent","Urgent","High","High";"Urgent","High","High","Medium";"High","High","Medium","Medium";"Medium","Medium","Low","Low"},MATCH($P37,{"Critical","High","Medium","Low"},0),MATCH($Q37,{"Extensive","Significant","Moderate","Minor"},0)),"-")))</f>
        <v/>
      </c>
      <c r="S37" s="122"/>
      <c r="T37" s="122"/>
      <c r="U37" s="120"/>
      <c r="V37" s="123"/>
      <c r="W37" s="125" t="str">
        <f>IF($A37="","",IF(OR($M37="Out of Scope",$M37="Canceled"),"Out of Scope",IF($M37="Blocked","Blocked",IF(AND($T37&lt;&gt;"Fixed – Retest Passed",OR(LEN(TRIM($O37))&gt;0,LEN(TRIM($P37))&gt;0)),IF(AND(OR($L37="Medium",$L37="Low"),SUMPRODUCT((Cards!$A$4:$A$1000&lt;&gt;"")*ISNUMBER(SEARCH($A37,Cards!$E$4:$E$1000))*(Cards!$F$4:$F$1000&lt;&gt;"Medium")*(Cards!$F$4:$F$1000&lt;&gt;"Low"))=0),"Conditionally Passed","Failed"),IF($M37="Done","Passed","Not Run")))))</f>
        <v>Out of Scope</v>
      </c>
      <c r="X37" s="116" t="s">
        <v>807</v>
      </c>
      <c r="Y37" s="118" t="str" cm="1">
        <f t="array" ref="Y37">IF($A37="","",IF(TRIM($B37)="","-",IFERROR(_xlfn.TEXTJOIN(" / ",TRUE,_xlfn.UNIQUE(_xlfn._xlws.FILTER('Ownership Matrix'!$C$5:$C$200,('Ownership Matrix'!$A$5:$A$200=TRIM($B37))*('Ownership Matrix'!$C$5:$C$200&lt;&gt;"")))),"ไม่พบใน Ownership Matrix")))</f>
        <v>ไม่พบใน Ownership Matrix</v>
      </c>
      <c r="Z37" s="124" t="str">
        <f>IF(NOT(AND($A37&lt;&gt;"",$M37&lt;&gt;"Out of Scope",$M37&lt;&gt;"Canceled",$T37&lt;&gt;"Fixed – Retest Passed",OR(LEN(TRIM($O37))&gt;0,LEN(TRIM($P37))&gt;0))),"",IF(OR($W37="Failed",$R37="Urgent",$R37="High",$R37="ระบุ Severity + Impact"),IF(COUNTIFS(Dashboard!$B$105:$B$124,$O37,Dashboard!$I$105:$I$124,"CAB")&gt;0,"Accepted (CF)","Blocking"),"Deferrable"))</f>
        <v/>
      </c>
    </row>
    <row r="38" spans="1:26" ht="172.8" x14ac:dyDescent="0.3">
      <c r="A38" s="115" t="s">
        <v>601</v>
      </c>
      <c r="B38" s="115" t="s">
        <v>580</v>
      </c>
      <c r="C38" s="116" t="s">
        <v>563</v>
      </c>
      <c r="D38" s="116" t="s">
        <v>602</v>
      </c>
      <c r="E38" s="116" t="s">
        <v>603</v>
      </c>
      <c r="F38" s="116"/>
      <c r="G38" s="118" t="str" cm="1">
        <f t="array" ref="G38">IF($A38="","",IFERROR(_xlfn.TEXTJOIN(CHAR(10)&amp;CHAR(10),TRUE,_xlfn._xlws.FILTER("•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"&amp;Cards!$L$4:$L$1000),(Cards!$A$4:$A$1000&lt;&gt;"")*ISNUMBER(SEARCH($A38,Cards!$E$4:$E$1000)))),"-"))</f>
        <v>-</v>
      </c>
      <c r="H38" s="119" t="s">
        <v>604</v>
      </c>
      <c r="I38" s="120" t="s">
        <v>556</v>
      </c>
      <c r="J38" s="120" t="s">
        <v>557</v>
      </c>
      <c r="K38" s="120" t="s">
        <v>558</v>
      </c>
      <c r="L38" s="121"/>
      <c r="M38" s="120" t="s">
        <v>277</v>
      </c>
      <c r="N38" s="115"/>
      <c r="O38" s="115"/>
      <c r="P38" s="120"/>
      <c r="Q38" s="122"/>
      <c r="R38" s="118" t="str">
        <f>IF(OR($A38="",LEN(TRIM($O38))=0),"",IF(OR($P38="",$Q38=""),"ระบุ Severity + Impact",IFERROR(INDEX({"Urgent","Urgent","High","High";"Urgent","High","High","Medium";"High","High","Medium","Medium";"Medium","Medium","Low","Low"},MATCH($P38,{"Critical","High","Medium","Low"},0),MATCH($Q38,{"Extensive","Significant","Moderate","Minor"},0)),"-")))</f>
        <v/>
      </c>
      <c r="S38" s="122"/>
      <c r="T38" s="122"/>
      <c r="U38" s="120"/>
      <c r="V38" s="123"/>
      <c r="W38" s="125" t="str">
        <f>IF($A38="","",IF(OR($M38="Out of Scope",$M38="Canceled"),"Out of Scope",IF($M38="Blocked","Blocked",IF(AND($T38&lt;&gt;"Fixed – Retest Passed",OR(LEN(TRIM($O38))&gt;0,LEN(TRIM($P38))&gt;0)),IF(AND(OR($L38="Medium",$L38="Low"),SUMPRODUCT((Cards!$A$4:$A$1000&lt;&gt;"")*ISNUMBER(SEARCH($A38,Cards!$E$4:$E$1000))*(Cards!$F$4:$F$1000&lt;&gt;"Medium")*(Cards!$F$4:$F$1000&lt;&gt;"Low"))=0),"Conditionally Passed","Failed"),IF($M38="Done","Passed","Not Run")))))</f>
        <v>Out of Scope</v>
      </c>
      <c r="X38" s="116" t="s">
        <v>807</v>
      </c>
      <c r="Y38" s="118" t="str" cm="1">
        <f t="array" ref="Y38">IF($A38="","",IF(TRIM($B38)="","-",IFERROR(_xlfn.TEXTJOIN(" / ",TRUE,_xlfn.UNIQUE(_xlfn._xlws.FILTER('Ownership Matrix'!$C$5:$C$200,('Ownership Matrix'!$A$5:$A$200=TRIM($B38))*('Ownership Matrix'!$C$5:$C$200&lt;&gt;"")))),"ไม่พบใน Ownership Matrix")))</f>
        <v>ไม่พบใน Ownership Matrix</v>
      </c>
      <c r="Z38" s="124" t="str">
        <f>IF(NOT(AND($A38&lt;&gt;"",$M38&lt;&gt;"Out of Scope",$M38&lt;&gt;"Canceled",$T38&lt;&gt;"Fixed – Retest Passed",OR(LEN(TRIM($O38))&gt;0,LEN(TRIM($P38))&gt;0))),"",IF(OR($W38="Failed",$R38="Urgent",$R38="High",$R38="ระบุ Severity + Impact"),IF(COUNTIFS(Dashboard!$B$105:$B$124,$O38,Dashboard!$I$105:$I$124,"CAB")&gt;0,"Accepted (CF)","Blocking"),"Deferrable"))</f>
        <v/>
      </c>
    </row>
    <row r="39" spans="1:26" ht="115.2" x14ac:dyDescent="0.3">
      <c r="A39" s="115" t="s">
        <v>605</v>
      </c>
      <c r="B39" s="115" t="s">
        <v>580</v>
      </c>
      <c r="C39" s="116" t="s">
        <v>606</v>
      </c>
      <c r="D39" s="116" t="s">
        <v>607</v>
      </c>
      <c r="E39" s="116" t="s">
        <v>608</v>
      </c>
      <c r="F39" s="116"/>
      <c r="G39" s="118" t="str" cm="1">
        <f t="array" ref="G39">IF($A39="","",IFERROR(_xlfn.TEXTJOIN(CHAR(10)&amp;CHAR(10),TRUE,_xlfn._xlws.FILTER("•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"&amp;Cards!$L$4:$L$1000),(Cards!$A$4:$A$1000&lt;&gt;"")*ISNUMBER(SEARCH($A39,Cards!$E$4:$E$1000)))),"-"))</f>
        <v>-</v>
      </c>
      <c r="H39" s="119" t="s">
        <v>609</v>
      </c>
      <c r="I39" s="120" t="s">
        <v>556</v>
      </c>
      <c r="J39" s="120" t="s">
        <v>557</v>
      </c>
      <c r="K39" s="120" t="s">
        <v>558</v>
      </c>
      <c r="L39" s="121"/>
      <c r="M39" s="120" t="s">
        <v>277</v>
      </c>
      <c r="N39" s="115"/>
      <c r="O39" s="115"/>
      <c r="P39" s="120"/>
      <c r="Q39" s="122"/>
      <c r="R39" s="118" t="str">
        <f>IF(OR($A39="",LEN(TRIM($O39))=0),"",IF(OR($P39="",$Q39=""),"ระบุ Severity + Impact",IFERROR(INDEX({"Urgent","Urgent","High","High";"Urgent","High","High","Medium";"High","High","Medium","Medium";"Medium","Medium","Low","Low"},MATCH($P39,{"Critical","High","Medium","Low"},0),MATCH($Q39,{"Extensive","Significant","Moderate","Minor"},0)),"-")))</f>
        <v/>
      </c>
      <c r="S39" s="122"/>
      <c r="T39" s="122"/>
      <c r="U39" s="120"/>
      <c r="V39" s="123"/>
      <c r="W39" s="125" t="str">
        <f>IF($A39="","",IF(OR($M39="Out of Scope",$M39="Canceled"),"Out of Scope",IF($M39="Blocked","Blocked",IF(AND($T39&lt;&gt;"Fixed – Retest Passed",OR(LEN(TRIM($O39))&gt;0,LEN(TRIM($P39))&gt;0)),IF(AND(OR($L39="Medium",$L39="Low"),SUMPRODUCT((Cards!$A$4:$A$1000&lt;&gt;"")*ISNUMBER(SEARCH($A39,Cards!$E$4:$E$1000))*(Cards!$F$4:$F$1000&lt;&gt;"Medium")*(Cards!$F$4:$F$1000&lt;&gt;"Low"))=0),"Conditionally Passed","Failed"),IF($M39="Done","Passed","Not Run")))))</f>
        <v>Out of Scope</v>
      </c>
      <c r="X39" s="116" t="s">
        <v>807</v>
      </c>
      <c r="Y39" s="118" t="str" cm="1">
        <f t="array" ref="Y39">IF($A39="","",IF(TRIM($B39)="","-",IFERROR(_xlfn.TEXTJOIN(" / ",TRUE,_xlfn.UNIQUE(_xlfn._xlws.FILTER('Ownership Matrix'!$C$5:$C$200,('Ownership Matrix'!$A$5:$A$200=TRIM($B39))*('Ownership Matrix'!$C$5:$C$200&lt;&gt;"")))),"ไม่พบใน Ownership Matrix")))</f>
        <v>ไม่พบใน Ownership Matrix</v>
      </c>
      <c r="Z39" s="124" t="str">
        <f>IF(NOT(AND($A39&lt;&gt;"",$M39&lt;&gt;"Out of Scope",$M39&lt;&gt;"Canceled",$T39&lt;&gt;"Fixed – Retest Passed",OR(LEN(TRIM($O39))&gt;0,LEN(TRIM($P39))&gt;0))),"",IF(OR($W39="Failed",$R39="Urgent",$R39="High",$R39="ระบุ Severity + Impact"),IF(COUNTIFS(Dashboard!$B$105:$B$124,$O39,Dashboard!$I$105:$I$124,"CAB")&gt;0,"Accepted (CF)","Blocking"),"Deferrable"))</f>
        <v/>
      </c>
    </row>
    <row r="40" spans="1:26" ht="216" x14ac:dyDescent="0.3">
      <c r="A40" s="115" t="s">
        <v>610</v>
      </c>
      <c r="B40" s="115" t="s">
        <v>580</v>
      </c>
      <c r="C40" s="116" t="s">
        <v>611</v>
      </c>
      <c r="D40" s="116" t="s">
        <v>612</v>
      </c>
      <c r="E40" s="116" t="s">
        <v>613</v>
      </c>
      <c r="F40" s="116"/>
      <c r="G40" s="118" t="str" cm="1">
        <f t="array" ref="G40">IF($A40="","",IFERROR(_xlfn.TEXTJOIN(CHAR(10)&amp;CHAR(10),TRUE,_xlfn._xlws.FILTER("•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"&amp;Cards!$L$4:$L$1000),(Cards!$A$4:$A$1000&lt;&gt;"")*ISNUMBER(SEARCH($A40,Cards!$E$4:$E$1000)))),"-"))</f>
        <v>-</v>
      </c>
      <c r="H40" s="119" t="s">
        <v>614</v>
      </c>
      <c r="I40" s="120" t="s">
        <v>556</v>
      </c>
      <c r="J40" s="120" t="s">
        <v>557</v>
      </c>
      <c r="K40" s="120" t="s">
        <v>558</v>
      </c>
      <c r="L40" s="121"/>
      <c r="M40" s="120" t="s">
        <v>277</v>
      </c>
      <c r="N40" s="115"/>
      <c r="O40" s="115"/>
      <c r="P40" s="120"/>
      <c r="Q40" s="122"/>
      <c r="R40" s="118" t="str">
        <f>IF(OR($A40="",LEN(TRIM($O40))=0),"",IF(OR($P40="",$Q40=""),"ระบุ Severity + Impact",IFERROR(INDEX({"Urgent","Urgent","High","High";"Urgent","High","High","Medium";"High","High","Medium","Medium";"Medium","Medium","Low","Low"},MATCH($P40,{"Critical","High","Medium","Low"},0),MATCH($Q40,{"Extensive","Significant","Moderate","Minor"},0)),"-")))</f>
        <v/>
      </c>
      <c r="S40" s="122"/>
      <c r="T40" s="122"/>
      <c r="U40" s="120"/>
      <c r="V40" s="123"/>
      <c r="W40" s="125" t="str">
        <f>IF($A40="","",IF(OR($M40="Out of Scope",$M40="Canceled"),"Out of Scope",IF($M40="Blocked","Blocked",IF(AND($T40&lt;&gt;"Fixed – Retest Passed",OR(LEN(TRIM($O40))&gt;0,LEN(TRIM($P40))&gt;0)),IF(AND(OR($L40="Medium",$L40="Low"),SUMPRODUCT((Cards!$A$4:$A$1000&lt;&gt;"")*ISNUMBER(SEARCH($A40,Cards!$E$4:$E$1000))*(Cards!$F$4:$F$1000&lt;&gt;"Medium")*(Cards!$F$4:$F$1000&lt;&gt;"Low"))=0),"Conditionally Passed","Failed"),IF($M40="Done","Passed","Not Run")))))</f>
        <v>Out of Scope</v>
      </c>
      <c r="X40" s="116" t="s">
        <v>807</v>
      </c>
      <c r="Y40" s="118" t="str" cm="1">
        <f t="array" ref="Y40">IF($A40="","",IF(TRIM($B40)="","-",IFERROR(_xlfn.TEXTJOIN(" / ",TRUE,_xlfn.UNIQUE(_xlfn._xlws.FILTER('Ownership Matrix'!$C$5:$C$200,('Ownership Matrix'!$A$5:$A$200=TRIM($B40))*('Ownership Matrix'!$C$5:$C$200&lt;&gt;"")))),"ไม่พบใน Ownership Matrix")))</f>
        <v>ไม่พบใน Ownership Matrix</v>
      </c>
      <c r="Z40" s="124" t="str">
        <f>IF(NOT(AND($A40&lt;&gt;"",$M40&lt;&gt;"Out of Scope",$M40&lt;&gt;"Canceled",$T40&lt;&gt;"Fixed – Retest Passed",OR(LEN(TRIM($O40))&gt;0,LEN(TRIM($P40))&gt;0))),"",IF(OR($W40="Failed",$R40="Urgent",$R40="High",$R40="ระบุ Severity + Impact"),IF(COUNTIFS(Dashboard!$B$105:$B$124,$O40,Dashboard!$I$105:$I$124,"CAB")&gt;0,"Accepted (CF)","Blocking"),"Deferrable"))</f>
        <v/>
      </c>
    </row>
    <row r="41" spans="1:26" ht="129.6" x14ac:dyDescent="0.3">
      <c r="A41" s="115" t="s">
        <v>615</v>
      </c>
      <c r="B41" s="115" t="s">
        <v>580</v>
      </c>
      <c r="C41" s="116" t="s">
        <v>616</v>
      </c>
      <c r="D41" s="116" t="s">
        <v>617</v>
      </c>
      <c r="E41" s="116" t="s">
        <v>618</v>
      </c>
      <c r="F41" s="116"/>
      <c r="G41" s="118" t="str" cm="1">
        <f t="array" ref="G41">IF($A41="","",IFERROR(_xlfn.TEXTJOIN(CHAR(10)&amp;CHAR(10),TRUE,_xlfn._xlws.FILTER("•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"&amp;Cards!$L$4:$L$1000),(Cards!$A$4:$A$1000&lt;&gt;"")*ISNUMBER(SEARCH($A41,Cards!$E$4:$E$1000)))),"-"))</f>
        <v>-</v>
      </c>
      <c r="H41" s="119" t="s">
        <v>619</v>
      </c>
      <c r="I41" s="120" t="s">
        <v>556</v>
      </c>
      <c r="J41" s="120" t="s">
        <v>557</v>
      </c>
      <c r="K41" s="120" t="s">
        <v>558</v>
      </c>
      <c r="L41" s="121"/>
      <c r="M41" s="120" t="s">
        <v>277</v>
      </c>
      <c r="N41" s="115"/>
      <c r="O41" s="115"/>
      <c r="P41" s="120"/>
      <c r="Q41" s="122"/>
      <c r="R41" s="118" t="str">
        <f>IF(OR($A41="",LEN(TRIM($O41))=0),"",IF(OR($P41="",$Q41=""),"ระบุ Severity + Impact",IFERROR(INDEX({"Urgent","Urgent","High","High";"Urgent","High","High","Medium";"High","High","Medium","Medium";"Medium","Medium","Low","Low"},MATCH($P41,{"Critical","High","Medium","Low"},0),MATCH($Q41,{"Extensive","Significant","Moderate","Minor"},0)),"-")))</f>
        <v/>
      </c>
      <c r="S41" s="122"/>
      <c r="T41" s="122"/>
      <c r="U41" s="120"/>
      <c r="V41" s="123"/>
      <c r="W41" s="125" t="str">
        <f>IF($A41="","",IF(OR($M41="Out of Scope",$M41="Canceled"),"Out of Scope",IF($M41="Blocked","Blocked",IF(AND($T41&lt;&gt;"Fixed – Retest Passed",OR(LEN(TRIM($O41))&gt;0,LEN(TRIM($P41))&gt;0)),IF(AND(OR($L41="Medium",$L41="Low"),SUMPRODUCT((Cards!$A$4:$A$1000&lt;&gt;"")*ISNUMBER(SEARCH($A41,Cards!$E$4:$E$1000))*(Cards!$F$4:$F$1000&lt;&gt;"Medium")*(Cards!$F$4:$F$1000&lt;&gt;"Low"))=0),"Conditionally Passed","Failed"),IF($M41="Done","Passed","Not Run")))))</f>
        <v>Out of Scope</v>
      </c>
      <c r="X41" s="116" t="s">
        <v>807</v>
      </c>
      <c r="Y41" s="118" t="str" cm="1">
        <f t="array" ref="Y41">IF($A41="","",IF(TRIM($B41)="","-",IFERROR(_xlfn.TEXTJOIN(" / ",TRUE,_xlfn.UNIQUE(_xlfn._xlws.FILTER('Ownership Matrix'!$C$5:$C$200,('Ownership Matrix'!$A$5:$A$200=TRIM($B41))*('Ownership Matrix'!$C$5:$C$200&lt;&gt;"")))),"ไม่พบใน Ownership Matrix")))</f>
        <v>ไม่พบใน Ownership Matrix</v>
      </c>
      <c r="Z41" s="124" t="str">
        <f>IF(NOT(AND($A41&lt;&gt;"",$M41&lt;&gt;"Out of Scope",$M41&lt;&gt;"Canceled",$T41&lt;&gt;"Fixed – Retest Passed",OR(LEN(TRIM($O41))&gt;0,LEN(TRIM($P41))&gt;0))),"",IF(OR($W41="Failed",$R41="Urgent",$R41="High",$R41="ระบุ Severity + Impact"),IF(COUNTIFS(Dashboard!$B$105:$B$124,$O41,Dashboard!$I$105:$I$124,"CAB")&gt;0,"Accepted (CF)","Blocking"),"Deferrable"))</f>
        <v/>
      </c>
    </row>
    <row r="42" spans="1:26" ht="158.4" x14ac:dyDescent="0.3">
      <c r="A42" s="115" t="s">
        <v>620</v>
      </c>
      <c r="B42" s="115" t="s">
        <v>580</v>
      </c>
      <c r="C42" s="116" t="s">
        <v>621</v>
      </c>
      <c r="D42" s="116" t="s">
        <v>622</v>
      </c>
      <c r="E42" s="116" t="s">
        <v>623</v>
      </c>
      <c r="F42" s="116"/>
      <c r="G42" s="118" t="str" cm="1">
        <f t="array" ref="G42">IF($A42="","",IFERROR(_xlfn.TEXTJOIN(CHAR(10)&amp;CHAR(10),TRUE,_xlfn._xlws.FILTER("•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"&amp;Cards!$L$4:$L$1000),(Cards!$A$4:$A$1000&lt;&gt;"")*ISNUMBER(SEARCH($A42,Cards!$E$4:$E$1000)))),"-"))</f>
        <v>-</v>
      </c>
      <c r="H42" s="119" t="s">
        <v>624</v>
      </c>
      <c r="I42" s="120" t="s">
        <v>556</v>
      </c>
      <c r="J42" s="120" t="s">
        <v>557</v>
      </c>
      <c r="K42" s="120" t="s">
        <v>558</v>
      </c>
      <c r="L42" s="121"/>
      <c r="M42" s="120" t="s">
        <v>277</v>
      </c>
      <c r="N42" s="115"/>
      <c r="O42" s="115"/>
      <c r="P42" s="120"/>
      <c r="Q42" s="122"/>
      <c r="R42" s="118" t="str">
        <f>IF(OR($A42="",LEN(TRIM($O42))=0),"",IF(OR($P42="",$Q42=""),"ระบุ Severity + Impact",IFERROR(INDEX({"Urgent","Urgent","High","High";"Urgent","High","High","Medium";"High","High","Medium","Medium";"Medium","Medium","Low","Low"},MATCH($P42,{"Critical","High","Medium","Low"},0),MATCH($Q42,{"Extensive","Significant","Moderate","Minor"},0)),"-")))</f>
        <v/>
      </c>
      <c r="S42" s="122"/>
      <c r="T42" s="122"/>
      <c r="U42" s="120"/>
      <c r="V42" s="123"/>
      <c r="W42" s="125" t="str">
        <f>IF($A42="","",IF(OR($M42="Out of Scope",$M42="Canceled"),"Out of Scope",IF($M42="Blocked","Blocked",IF(AND($T42&lt;&gt;"Fixed – Retest Passed",OR(LEN(TRIM($O42))&gt;0,LEN(TRIM($P42))&gt;0)),IF(AND(OR($L42="Medium",$L42="Low"),SUMPRODUCT((Cards!$A$4:$A$1000&lt;&gt;"")*ISNUMBER(SEARCH($A42,Cards!$E$4:$E$1000))*(Cards!$F$4:$F$1000&lt;&gt;"Medium")*(Cards!$F$4:$F$1000&lt;&gt;"Low"))=0),"Conditionally Passed","Failed"),IF($M42="Done","Passed","Not Run")))))</f>
        <v>Out of Scope</v>
      </c>
      <c r="X42" s="116" t="s">
        <v>807</v>
      </c>
      <c r="Y42" s="118" t="str" cm="1">
        <f t="array" ref="Y42">IF($A42="","",IF(TRIM($B42)="","-",IFERROR(_xlfn.TEXTJOIN(" / ",TRUE,_xlfn.UNIQUE(_xlfn._xlws.FILTER('Ownership Matrix'!$C$5:$C$200,('Ownership Matrix'!$A$5:$A$200=TRIM($B42))*('Ownership Matrix'!$C$5:$C$200&lt;&gt;"")))),"ไม่พบใน Ownership Matrix")))</f>
        <v>ไม่พบใน Ownership Matrix</v>
      </c>
      <c r="Z42" s="124" t="str">
        <f>IF(NOT(AND($A42&lt;&gt;"",$M42&lt;&gt;"Out of Scope",$M42&lt;&gt;"Canceled",$T42&lt;&gt;"Fixed – Retest Passed",OR(LEN(TRIM($O42))&gt;0,LEN(TRIM($P42))&gt;0))),"",IF(OR($W42="Failed",$R42="Urgent",$R42="High",$R42="ระบุ Severity + Impact"),IF(COUNTIFS(Dashboard!$B$105:$B$124,$O42,Dashboard!$I$105:$I$124,"CAB")&gt;0,"Accepted (CF)","Blocking"),"Deferrable"))</f>
        <v/>
      </c>
    </row>
    <row r="43" spans="1:26" ht="187.2" x14ac:dyDescent="0.3">
      <c r="A43" s="115" t="s">
        <v>625</v>
      </c>
      <c r="B43" s="115" t="s">
        <v>580</v>
      </c>
      <c r="C43" s="116" t="s">
        <v>626</v>
      </c>
      <c r="D43" s="116" t="s">
        <v>627</v>
      </c>
      <c r="E43" s="116" t="s">
        <v>628</v>
      </c>
      <c r="F43" s="116"/>
      <c r="G43" s="118" t="str" cm="1">
        <f t="array" ref="G43">IF($A43="","",IFERROR(_xlfn.TEXTJOIN(CHAR(10)&amp;CHAR(10),TRUE,_xlfn._xlws.FILTER("•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"&amp;Cards!$L$4:$L$1000),(Cards!$A$4:$A$1000&lt;&gt;"")*ISNUMBER(SEARCH($A43,Cards!$E$4:$E$1000)))),"-"))</f>
        <v>-</v>
      </c>
      <c r="H43" s="119" t="s">
        <v>629</v>
      </c>
      <c r="I43" s="120" t="s">
        <v>556</v>
      </c>
      <c r="J43" s="120" t="s">
        <v>557</v>
      </c>
      <c r="K43" s="120" t="s">
        <v>558</v>
      </c>
      <c r="L43" s="121"/>
      <c r="M43" s="120" t="s">
        <v>277</v>
      </c>
      <c r="N43" s="115"/>
      <c r="O43" s="115"/>
      <c r="P43" s="120"/>
      <c r="Q43" s="122"/>
      <c r="R43" s="118" t="str">
        <f>IF(OR($A43="",LEN(TRIM($O43))=0),"",IF(OR($P43="",$Q43=""),"ระบุ Severity + Impact",IFERROR(INDEX({"Urgent","Urgent","High","High";"Urgent","High","High","Medium";"High","High","Medium","Medium";"Medium","Medium","Low","Low"},MATCH($P43,{"Critical","High","Medium","Low"},0),MATCH($Q43,{"Extensive","Significant","Moderate","Minor"},0)),"-")))</f>
        <v/>
      </c>
      <c r="S43" s="122"/>
      <c r="T43" s="122"/>
      <c r="U43" s="120"/>
      <c r="V43" s="123"/>
      <c r="W43" s="125" t="str">
        <f>IF($A43="","",IF(OR($M43="Out of Scope",$M43="Canceled"),"Out of Scope",IF($M43="Blocked","Blocked",IF(AND($T43&lt;&gt;"Fixed – Retest Passed",OR(LEN(TRIM($O43))&gt;0,LEN(TRIM($P43))&gt;0)),IF(AND(OR($L43="Medium",$L43="Low"),SUMPRODUCT((Cards!$A$4:$A$1000&lt;&gt;"")*ISNUMBER(SEARCH($A43,Cards!$E$4:$E$1000))*(Cards!$F$4:$F$1000&lt;&gt;"Medium")*(Cards!$F$4:$F$1000&lt;&gt;"Low"))=0),"Conditionally Passed","Failed"),IF($M43="Done","Passed","Not Run")))))</f>
        <v>Out of Scope</v>
      </c>
      <c r="X43" s="116" t="s">
        <v>807</v>
      </c>
      <c r="Y43" s="118" t="str" cm="1">
        <f t="array" ref="Y43">IF($A43="","",IF(TRIM($B43)="","-",IFERROR(_xlfn.TEXTJOIN(" / ",TRUE,_xlfn.UNIQUE(_xlfn._xlws.FILTER('Ownership Matrix'!$C$5:$C$200,('Ownership Matrix'!$A$5:$A$200=TRIM($B43))*('Ownership Matrix'!$C$5:$C$200&lt;&gt;"")))),"ไม่พบใน Ownership Matrix")))</f>
        <v>ไม่พบใน Ownership Matrix</v>
      </c>
      <c r="Z43" s="124" t="str">
        <f>IF(NOT(AND($A43&lt;&gt;"",$M43&lt;&gt;"Out of Scope",$M43&lt;&gt;"Canceled",$T43&lt;&gt;"Fixed – Retest Passed",OR(LEN(TRIM($O43))&gt;0,LEN(TRIM($P43))&gt;0))),"",IF(OR($W43="Failed",$R43="Urgent",$R43="High",$R43="ระบุ Severity + Impact"),IF(COUNTIFS(Dashboard!$B$105:$B$124,$O43,Dashboard!$I$105:$I$124,"CAB")&gt;0,"Accepted (CF)","Blocking"),"Deferrable"))</f>
        <v/>
      </c>
    </row>
    <row r="44" spans="1:26" ht="115.2" x14ac:dyDescent="0.3">
      <c r="A44" s="115" t="s">
        <v>630</v>
      </c>
      <c r="B44" s="115" t="s">
        <v>580</v>
      </c>
      <c r="C44" s="116" t="s">
        <v>631</v>
      </c>
      <c r="D44" s="116" t="s">
        <v>632</v>
      </c>
      <c r="E44" s="116" t="s">
        <v>633</v>
      </c>
      <c r="F44" s="116"/>
      <c r="G44" s="118" t="str" cm="1">
        <f t="array" ref="G44">IF($A44="","",IFERROR(_xlfn.TEXTJOIN(CHAR(10)&amp;CHAR(10),TRUE,_xlfn._xlws.FILTER("•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"&amp;Cards!$L$4:$L$1000),(Cards!$A$4:$A$1000&lt;&gt;"")*ISNUMBER(SEARCH($A44,Cards!$E$4:$E$1000)))),"-"))</f>
        <v>-</v>
      </c>
      <c r="H44" s="119" t="s">
        <v>634</v>
      </c>
      <c r="I44" s="120" t="s">
        <v>556</v>
      </c>
      <c r="J44" s="120" t="s">
        <v>557</v>
      </c>
      <c r="K44" s="120" t="s">
        <v>558</v>
      </c>
      <c r="L44" s="121"/>
      <c r="M44" s="120" t="s">
        <v>277</v>
      </c>
      <c r="N44" s="115"/>
      <c r="O44" s="115"/>
      <c r="P44" s="120"/>
      <c r="Q44" s="122"/>
      <c r="R44" s="118" t="str">
        <f>IF(OR($A44="",LEN(TRIM($O44))=0),"",IF(OR($P44="",$Q44=""),"ระบุ Severity + Impact",IFERROR(INDEX({"Urgent","Urgent","High","High";"Urgent","High","High","Medium";"High","High","Medium","Medium";"Medium","Medium","Low","Low"},MATCH($P44,{"Critical","High","Medium","Low"},0),MATCH($Q44,{"Extensive","Significant","Moderate","Minor"},0)),"-")))</f>
        <v/>
      </c>
      <c r="S44" s="122"/>
      <c r="T44" s="122"/>
      <c r="U44" s="120"/>
      <c r="V44" s="123"/>
      <c r="W44" s="125" t="str">
        <f>IF($A44="","",IF(OR($M44="Out of Scope",$M44="Canceled"),"Out of Scope",IF($M44="Blocked","Blocked",IF(AND($T44&lt;&gt;"Fixed – Retest Passed",OR(LEN(TRIM($O44))&gt;0,LEN(TRIM($P44))&gt;0)),IF(AND(OR($L44="Medium",$L44="Low"),SUMPRODUCT((Cards!$A$4:$A$1000&lt;&gt;"")*ISNUMBER(SEARCH($A44,Cards!$E$4:$E$1000))*(Cards!$F$4:$F$1000&lt;&gt;"Medium")*(Cards!$F$4:$F$1000&lt;&gt;"Low"))=0),"Conditionally Passed","Failed"),IF($M44="Done","Passed","Not Run")))))</f>
        <v>Out of Scope</v>
      </c>
      <c r="X44" s="116" t="s">
        <v>807</v>
      </c>
      <c r="Y44" s="118" t="str" cm="1">
        <f t="array" ref="Y44">IF($A44="","",IF(TRIM($B44)="","-",IFERROR(_xlfn.TEXTJOIN(" / ",TRUE,_xlfn.UNIQUE(_xlfn._xlws.FILTER('Ownership Matrix'!$C$5:$C$200,('Ownership Matrix'!$A$5:$A$200=TRIM($B44))*('Ownership Matrix'!$C$5:$C$200&lt;&gt;"")))),"ไม่พบใน Ownership Matrix")))</f>
        <v>ไม่พบใน Ownership Matrix</v>
      </c>
      <c r="Z44" s="124" t="str">
        <f>IF(NOT(AND($A44&lt;&gt;"",$M44&lt;&gt;"Out of Scope",$M44&lt;&gt;"Canceled",$T44&lt;&gt;"Fixed – Retest Passed",OR(LEN(TRIM($O44))&gt;0,LEN(TRIM($P44))&gt;0))),"",IF(OR($W44="Failed",$R44="Urgent",$R44="High",$R44="ระบุ Severity + Impact"),IF(COUNTIFS(Dashboard!$B$105:$B$124,$O44,Dashboard!$I$105:$I$124,"CAB")&gt;0,"Accepted (CF)","Blocking"),"Deferrable"))</f>
        <v/>
      </c>
    </row>
    <row r="45" spans="1:26" ht="115.2" x14ac:dyDescent="0.3">
      <c r="A45" s="115" t="s">
        <v>635</v>
      </c>
      <c r="B45" s="115" t="s">
        <v>580</v>
      </c>
      <c r="C45" s="116" t="s">
        <v>636</v>
      </c>
      <c r="D45" s="116" t="s">
        <v>637</v>
      </c>
      <c r="E45" s="116" t="s">
        <v>638</v>
      </c>
      <c r="F45" s="116"/>
      <c r="G45" s="118" t="str" cm="1">
        <f t="array" ref="G45">IF($A45="","",IFERROR(_xlfn.TEXTJOIN(CHAR(10)&amp;CHAR(10),TRUE,_xlfn._xlws.FILTER("•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"&amp;Cards!$L$4:$L$1000),(Cards!$A$4:$A$1000&lt;&gt;"")*ISNUMBER(SEARCH($A45,Cards!$E$4:$E$1000)))),"-"))</f>
        <v>-</v>
      </c>
      <c r="H45" s="119" t="s">
        <v>639</v>
      </c>
      <c r="I45" s="120" t="s">
        <v>556</v>
      </c>
      <c r="J45" s="120" t="s">
        <v>557</v>
      </c>
      <c r="K45" s="120" t="s">
        <v>558</v>
      </c>
      <c r="L45" s="121"/>
      <c r="M45" s="120" t="s">
        <v>277</v>
      </c>
      <c r="N45" s="115"/>
      <c r="O45" s="115"/>
      <c r="P45" s="120"/>
      <c r="Q45" s="122"/>
      <c r="R45" s="118" t="str">
        <f>IF(OR($A45="",LEN(TRIM($O45))=0),"",IF(OR($P45="",$Q45=""),"ระบุ Severity + Impact",IFERROR(INDEX({"Urgent","Urgent","High","High";"Urgent","High","High","Medium";"High","High","Medium","Medium";"Medium","Medium","Low","Low"},MATCH($P45,{"Critical","High","Medium","Low"},0),MATCH($Q45,{"Extensive","Significant","Moderate","Minor"},0)),"-")))</f>
        <v/>
      </c>
      <c r="S45" s="122"/>
      <c r="T45" s="122"/>
      <c r="U45" s="120"/>
      <c r="V45" s="123"/>
      <c r="W45" s="125" t="str">
        <f>IF($A45="","",IF(OR($M45="Out of Scope",$M45="Canceled"),"Out of Scope",IF($M45="Blocked","Blocked",IF(AND($T45&lt;&gt;"Fixed – Retest Passed",OR(LEN(TRIM($O45))&gt;0,LEN(TRIM($P45))&gt;0)),IF(AND(OR($L45="Medium",$L45="Low"),SUMPRODUCT((Cards!$A$4:$A$1000&lt;&gt;"")*ISNUMBER(SEARCH($A45,Cards!$E$4:$E$1000))*(Cards!$F$4:$F$1000&lt;&gt;"Medium")*(Cards!$F$4:$F$1000&lt;&gt;"Low"))=0),"Conditionally Passed","Failed"),IF($M45="Done","Passed","Not Run")))))</f>
        <v>Out of Scope</v>
      </c>
      <c r="X45" s="116" t="s">
        <v>807</v>
      </c>
      <c r="Y45" s="118" t="str" cm="1">
        <f t="array" ref="Y45">IF($A45="","",IF(TRIM($B45)="","-",IFERROR(_xlfn.TEXTJOIN(" / ",TRUE,_xlfn.UNIQUE(_xlfn._xlws.FILTER('Ownership Matrix'!$C$5:$C$200,('Ownership Matrix'!$A$5:$A$200=TRIM($B45))*('Ownership Matrix'!$C$5:$C$200&lt;&gt;"")))),"ไม่พบใน Ownership Matrix")))</f>
        <v>ไม่พบใน Ownership Matrix</v>
      </c>
      <c r="Z45" s="124" t="str">
        <f>IF(NOT(AND($A45&lt;&gt;"",$M45&lt;&gt;"Out of Scope",$M45&lt;&gt;"Canceled",$T45&lt;&gt;"Fixed – Retest Passed",OR(LEN(TRIM($O45))&gt;0,LEN(TRIM($P45))&gt;0))),"",IF(OR($W45="Failed",$R45="Urgent",$R45="High",$R45="ระบุ Severity + Impact"),IF(COUNTIFS(Dashboard!$B$105:$B$124,$O45,Dashboard!$I$105:$I$124,"CAB")&gt;0,"Accepted (CF)","Blocking"),"Deferrable"))</f>
        <v/>
      </c>
    </row>
    <row r="46" spans="1:26" x14ac:dyDescent="0.3">
      <c r="G46" s="27" t="str" cm="1">
        <f t="array" ref="G46">IF($A46="","",IFERROR(_xlfn.TEXTJOIN(CHAR(10)&amp;CHAR(10),TRUE,_xlfn._xlws.FILTER("•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"&amp;Cards!$L$4:$L$1000),(Cards!$A$4:$A$1000&lt;&gt;"")*ISNUMBER(SEARCH($A46,Cards!$E$4:$E$1000)))),"-"))</f>
        <v/>
      </c>
      <c r="Q46" s="30"/>
      <c r="R46" s="27" t="str">
        <f>IF(OR($A46="",LEN(TRIM($O46))=0),"",IF(OR($P46="",$Q46=""),"ระบุ Severity + Impact",IFERROR(INDEX({"Urgent","Urgent","High","High";"Urgent","High","High","Medium";"High","High","Medium","Medium";"Medium","Medium","Low","Low"},MATCH($P46,{"Critical","High","Medium","Low"},0),MATCH($Q46,{"Extensive","Significant","Moderate","Minor"},0)),"-")))</f>
        <v/>
      </c>
      <c r="S46" s="30"/>
      <c r="T46" s="30"/>
      <c r="W46" s="32" t="str">
        <f>IF($A46="","",IF(OR($M46="Out of Scope",$M46="Canceled"),"Out of Scope",IF($M46="Blocked","Blocked",IF(AND($T46&lt;&gt;"Fixed – Retest Passed",OR(LEN(TRIM($O46))&gt;0,LEN(TRIM($P46))&gt;0)),IF(AND(OR($L46="Medium",$L46="Low"),SUMPRODUCT((Cards!$A$4:$A$1000&lt;&gt;"")*ISNUMBER(SEARCH($A46,Cards!$E$4:$E$1000))*(Cards!$F$4:$F$1000&lt;&gt;"Medium")*(Cards!$F$4:$F$1000&lt;&gt;"Low"))=0),"Conditionally Passed","Failed"),IF($M46="Done","Passed","Not Run")))))</f>
        <v/>
      </c>
      <c r="Y46" s="27" t="str" cm="1">
        <f t="array" ref="Y46">IF($A46="","",IF(TRIM($B46)="","-",IFERROR(_xlfn.TEXTJOIN(" / ",TRUE,_xlfn.UNIQUE(_xlfn._xlws.FILTER('Ownership Matrix'!$C$5:$C$200,('Ownership Matrix'!$A$5:$A$200=TRIM($B46))*('Ownership Matrix'!$C$5:$C$200&lt;&gt;"")))),"ไม่พบใน Ownership Matrix")))</f>
        <v/>
      </c>
      <c r="Z46" s="31" t="str">
        <f>IF(NOT(AND($A46&lt;&gt;"",$M46&lt;&gt;"Out of Scope",$M46&lt;&gt;"Canceled",$T46&lt;&gt;"Fixed – Retest Passed",OR(LEN(TRIM($O46))&gt;0,LEN(TRIM($P46))&gt;0))),"",IF(OR($W46="Failed",$R46="Urgent",$R46="High",$R46="ระบุ Severity + Impact"),IF(COUNTIFS(Dashboard!$B$105:$B$124,$O46,Dashboard!$I$105:$I$124,"CAB")&gt;0,"Accepted (CF)","Blocking"),"Deferrable"))</f>
        <v/>
      </c>
    </row>
    <row r="47" spans="1:26" x14ac:dyDescent="0.3">
      <c r="G47" s="27" t="str" cm="1">
        <f t="array" ref="G47">IF($A47="","",IFERROR(_xlfn.TEXTJOIN(CHAR(10)&amp;CHAR(10),TRUE,_xlfn._xlws.FILTER("•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"&amp;Cards!$L$4:$L$1000),(Cards!$A$4:$A$1000&lt;&gt;"")*ISNUMBER(SEARCH($A47,Cards!$E$4:$E$1000)))),"-"))</f>
        <v/>
      </c>
      <c r="Q47" s="30"/>
      <c r="R47" s="27" t="str">
        <f>IF(OR($A47="",LEN(TRIM($O47))=0),"",IF(OR($P47="",$Q47=""),"ระบุ Severity + Impact",IFERROR(INDEX({"Urgent","Urgent","High","High";"Urgent","High","High","Medium";"High","High","Medium","Medium";"Medium","Medium","Low","Low"},MATCH($P47,{"Critical","High","Medium","Low"},0),MATCH($Q47,{"Extensive","Significant","Moderate","Minor"},0)),"-")))</f>
        <v/>
      </c>
      <c r="S47" s="30"/>
      <c r="T47" s="30"/>
      <c r="W47" s="32" t="str">
        <f>IF($A47="","",IF(OR($M47="Out of Scope",$M47="Canceled"),"Out of Scope",IF($M47="Blocked","Blocked",IF(AND($T47&lt;&gt;"Fixed – Retest Passed",OR(LEN(TRIM($O47))&gt;0,LEN(TRIM($P47))&gt;0)),IF(AND(OR($L47="Medium",$L47="Low"),SUMPRODUCT((Cards!$A$4:$A$1000&lt;&gt;"")*ISNUMBER(SEARCH($A47,Cards!$E$4:$E$1000))*(Cards!$F$4:$F$1000&lt;&gt;"Medium")*(Cards!$F$4:$F$1000&lt;&gt;"Low"))=0),"Conditionally Passed","Failed"),IF($M47="Done","Passed","Not Run")))))</f>
        <v/>
      </c>
      <c r="Y47" s="27" t="str" cm="1">
        <f t="array" ref="Y47">IF($A47="","",IF(TRIM($B47)="","-",IFERROR(_xlfn.TEXTJOIN(" / ",TRUE,_xlfn.UNIQUE(_xlfn._xlws.FILTER('Ownership Matrix'!$C$5:$C$200,('Ownership Matrix'!$A$5:$A$200=TRIM($B47))*('Ownership Matrix'!$C$5:$C$200&lt;&gt;"")))),"ไม่พบใน Ownership Matrix")))</f>
        <v/>
      </c>
      <c r="Z47" s="31" t="str">
        <f>IF(NOT(AND($A47&lt;&gt;"",$M47&lt;&gt;"Out of Scope",$M47&lt;&gt;"Canceled",$T47&lt;&gt;"Fixed – Retest Passed",OR(LEN(TRIM($O47))&gt;0,LEN(TRIM($P47))&gt;0))),"",IF(OR($W47="Failed",$R47="Urgent",$R47="High",$R47="ระบุ Severity + Impact"),IF(COUNTIFS(Dashboard!$B$105:$B$124,$O47,Dashboard!$I$105:$I$124,"CAB")&gt;0,"Accepted (CF)","Blocking"),"Deferrable"))</f>
        <v/>
      </c>
    </row>
    <row r="48" spans="1:26" x14ac:dyDescent="0.3">
      <c r="G48" s="27" t="str" cm="1">
        <f t="array" ref="G48">IF($A48="","",IFERROR(_xlfn.TEXTJOIN(CHAR(10)&amp;CHAR(10),TRUE,_xlfn._xlws.FILTER("•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"&amp;Cards!$L$4:$L$1000),(Cards!$A$4:$A$1000&lt;&gt;"")*ISNUMBER(SEARCH($A48,Cards!$E$4:$E$1000)))),"-"))</f>
        <v/>
      </c>
      <c r="Q48" s="30"/>
      <c r="R48" s="27" t="str">
        <f>IF(OR($A48="",LEN(TRIM($O48))=0),"",IF(OR($P48="",$Q48=""),"ระบุ Severity + Impact",IFERROR(INDEX({"Urgent","Urgent","High","High";"Urgent","High","High","Medium";"High","High","Medium","Medium";"Medium","Medium","Low","Low"},MATCH($P48,{"Critical","High","Medium","Low"},0),MATCH($Q48,{"Extensive","Significant","Moderate","Minor"},0)),"-")))</f>
        <v/>
      </c>
      <c r="S48" s="30"/>
      <c r="T48" s="30"/>
      <c r="W48" s="32" t="str">
        <f>IF($A48="","",IF(OR($M48="Out of Scope",$M48="Canceled"),"Out of Scope",IF($M48="Blocked","Blocked",IF(AND($T48&lt;&gt;"Fixed – Retest Passed",OR(LEN(TRIM($O48))&gt;0,LEN(TRIM($P48))&gt;0)),IF(AND(OR($L48="Medium",$L48="Low"),SUMPRODUCT((Cards!$A$4:$A$1000&lt;&gt;"")*ISNUMBER(SEARCH($A48,Cards!$E$4:$E$1000))*(Cards!$F$4:$F$1000&lt;&gt;"Medium")*(Cards!$F$4:$F$1000&lt;&gt;"Low"))=0),"Conditionally Passed","Failed"),IF($M48="Done","Passed","Not Run")))))</f>
        <v/>
      </c>
      <c r="Y48" s="27" t="str" cm="1">
        <f t="array" ref="Y48">IF($A48="","",IF(TRIM($B48)="","-",IFERROR(_xlfn.TEXTJOIN(" / ",TRUE,_xlfn.UNIQUE(_xlfn._xlws.FILTER('Ownership Matrix'!$C$5:$C$200,('Ownership Matrix'!$A$5:$A$200=TRIM($B48))*('Ownership Matrix'!$C$5:$C$200&lt;&gt;"")))),"ไม่พบใน Ownership Matrix")))</f>
        <v/>
      </c>
      <c r="Z48" s="31" t="str">
        <f>IF(NOT(AND($A48&lt;&gt;"",$M48&lt;&gt;"Out of Scope",$M48&lt;&gt;"Canceled",$T48&lt;&gt;"Fixed – Retest Passed",OR(LEN(TRIM($O48))&gt;0,LEN(TRIM($P48))&gt;0))),"",IF(OR($W48="Failed",$R48="Urgent",$R48="High",$R48="ระบุ Severity + Impact"),IF(COUNTIFS(Dashboard!$B$105:$B$124,$O48,Dashboard!$I$105:$I$124,"CAB")&gt;0,"Accepted (CF)","Blocking"),"Deferrable"))</f>
        <v/>
      </c>
    </row>
    <row r="49" spans="7:26" x14ac:dyDescent="0.3">
      <c r="G49" s="27" t="str" cm="1">
        <f t="array" ref="G49">IF($A49="","",IFERROR(_xlfn.TEXTJOIN(CHAR(10)&amp;CHAR(10),TRUE,_xlfn._xlws.FILTER("•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"&amp;Cards!$L$4:$L$1000),(Cards!$A$4:$A$1000&lt;&gt;"")*ISNUMBER(SEARCH($A49,Cards!$E$4:$E$1000)))),"-"))</f>
        <v/>
      </c>
      <c r="Q49" s="30"/>
      <c r="R49" s="27" t="str">
        <f>IF(OR($A49="",LEN(TRIM($O49))=0),"",IF(OR($P49="",$Q49=""),"ระบุ Severity + Impact",IFERROR(INDEX({"Urgent","Urgent","High","High";"Urgent","High","High","Medium";"High","High","Medium","Medium";"Medium","Medium","Low","Low"},MATCH($P49,{"Critical","High","Medium","Low"},0),MATCH($Q49,{"Extensive","Significant","Moderate","Minor"},0)),"-")))</f>
        <v/>
      </c>
      <c r="S49" s="30"/>
      <c r="T49" s="30"/>
      <c r="W49" s="32" t="str">
        <f>IF($A49="","",IF(OR($M49="Out of Scope",$M49="Canceled"),"Out of Scope",IF($M49="Blocked","Blocked",IF(AND($T49&lt;&gt;"Fixed – Retest Passed",OR(LEN(TRIM($O49))&gt;0,LEN(TRIM($P49))&gt;0)),IF(AND(OR($L49="Medium",$L49="Low"),SUMPRODUCT((Cards!$A$4:$A$1000&lt;&gt;"")*ISNUMBER(SEARCH($A49,Cards!$E$4:$E$1000))*(Cards!$F$4:$F$1000&lt;&gt;"Medium")*(Cards!$F$4:$F$1000&lt;&gt;"Low"))=0),"Conditionally Passed","Failed"),IF($M49="Done","Passed","Not Run")))))</f>
        <v/>
      </c>
      <c r="Y49" s="27" t="str" cm="1">
        <f t="array" ref="Y49">IF($A49="","",IF(TRIM($B49)="","-",IFERROR(_xlfn.TEXTJOIN(" / ",TRUE,_xlfn.UNIQUE(_xlfn._xlws.FILTER('Ownership Matrix'!$C$5:$C$200,('Ownership Matrix'!$A$5:$A$200=TRIM($B49))*('Ownership Matrix'!$C$5:$C$200&lt;&gt;"")))),"ไม่พบใน Ownership Matrix")))</f>
        <v/>
      </c>
      <c r="Z49" s="31" t="str">
        <f>IF(NOT(AND($A49&lt;&gt;"",$M49&lt;&gt;"Out of Scope",$M49&lt;&gt;"Canceled",$T49&lt;&gt;"Fixed – Retest Passed",OR(LEN(TRIM($O49))&gt;0,LEN(TRIM($P49))&gt;0))),"",IF(OR($W49="Failed",$R49="Urgent",$R49="High",$R49="ระบุ Severity + Impact"),IF(COUNTIFS(Dashboard!$B$105:$B$124,$O49,Dashboard!$I$105:$I$124,"CAB")&gt;0,"Accepted (CF)","Blocking"),"Deferrable"))</f>
        <v/>
      </c>
    </row>
    <row r="50" spans="7:26" x14ac:dyDescent="0.3">
      <c r="G50" s="27" t="str" cm="1">
        <f t="array" ref="G50">IF($A50="","",IFERROR(_xlfn.TEXTJOIN(CHAR(10)&amp;CHAR(10),TRUE,_xlfn._xlws.FILTER("•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"&amp;Cards!$L$4:$L$1000),(Cards!$A$4:$A$1000&lt;&gt;"")*ISNUMBER(SEARCH($A50,Cards!$E$4:$E$1000)))),"-"))</f>
        <v/>
      </c>
      <c r="Q50" s="30"/>
      <c r="R50" s="27" t="str">
        <f>IF(OR($A50="",LEN(TRIM($O50))=0),"",IF(OR($P50="",$Q50=""),"ระบุ Severity + Impact",IFERROR(INDEX({"Urgent","Urgent","High","High";"Urgent","High","High","Medium";"High","High","Medium","Medium";"Medium","Medium","Low","Low"},MATCH($P50,{"Critical","High","Medium","Low"},0),MATCH($Q50,{"Extensive","Significant","Moderate","Minor"},0)),"-")))</f>
        <v/>
      </c>
      <c r="S50" s="30"/>
      <c r="T50" s="30"/>
      <c r="W50" s="32" t="str">
        <f>IF($A50="","",IF(OR($M50="Out of Scope",$M50="Canceled"),"Out of Scope",IF($M50="Blocked","Blocked",IF(AND($T50&lt;&gt;"Fixed – Retest Passed",OR(LEN(TRIM($O50))&gt;0,LEN(TRIM($P50))&gt;0)),IF(AND(OR($L50="Medium",$L50="Low"),SUMPRODUCT((Cards!$A$4:$A$1000&lt;&gt;"")*ISNUMBER(SEARCH($A50,Cards!$E$4:$E$1000))*(Cards!$F$4:$F$1000&lt;&gt;"Medium")*(Cards!$F$4:$F$1000&lt;&gt;"Low"))=0),"Conditionally Passed","Failed"),IF($M50="Done","Passed","Not Run")))))</f>
        <v/>
      </c>
      <c r="Y50" s="27" t="str" cm="1">
        <f t="array" ref="Y50">IF($A50="","",IF(TRIM($B50)="","-",IFERROR(_xlfn.TEXTJOIN(" / ",TRUE,_xlfn.UNIQUE(_xlfn._xlws.FILTER('Ownership Matrix'!$C$5:$C$200,('Ownership Matrix'!$A$5:$A$200=TRIM($B50))*('Ownership Matrix'!$C$5:$C$200&lt;&gt;"")))),"ไม่พบใน Ownership Matrix")))</f>
        <v/>
      </c>
      <c r="Z50" s="31" t="str">
        <f>IF(NOT(AND($A50&lt;&gt;"",$M50&lt;&gt;"Out of Scope",$M50&lt;&gt;"Canceled",$T50&lt;&gt;"Fixed – Retest Passed",OR(LEN(TRIM($O50))&gt;0,LEN(TRIM($P50))&gt;0))),"",IF(OR($W50="Failed",$R50="Urgent",$R50="High",$R50="ระบุ Severity + Impact"),IF(COUNTIFS(Dashboard!$B$105:$B$124,$O50,Dashboard!$I$105:$I$124,"CAB")&gt;0,"Accepted (CF)","Blocking"),"Deferrable"))</f>
        <v/>
      </c>
    </row>
    <row r="51" spans="7:26" x14ac:dyDescent="0.3">
      <c r="G51" s="27" t="str" cm="1">
        <f t="array" ref="G51">IF($A51="","",IFERROR(_xlfn.TEXTJOIN(CHAR(10)&amp;CHAR(10),TRUE,_xlfn._xlws.FILTER("•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"&amp;Cards!$L$4:$L$1000),(Cards!$A$4:$A$1000&lt;&gt;"")*ISNUMBER(SEARCH($A51,Cards!$E$4:$E$1000)))),"-"))</f>
        <v/>
      </c>
      <c r="Q51" s="30"/>
      <c r="R51" s="27" t="str">
        <f>IF(OR($A51="",LEN(TRIM($O51))=0),"",IF(OR($P51="",$Q51=""),"ระบุ Severity + Impact",IFERROR(INDEX({"Urgent","Urgent","High","High";"Urgent","High","High","Medium";"High","High","Medium","Medium";"Medium","Medium","Low","Low"},MATCH($P51,{"Critical","High","Medium","Low"},0),MATCH($Q51,{"Extensive","Significant","Moderate","Minor"},0)),"-")))</f>
        <v/>
      </c>
      <c r="S51" s="30"/>
      <c r="T51" s="30"/>
      <c r="W51" s="32" t="str">
        <f>IF($A51="","",IF(OR($M51="Out of Scope",$M51="Canceled"),"Out of Scope",IF($M51="Blocked","Blocked",IF(AND($T51&lt;&gt;"Fixed – Retest Passed",OR(LEN(TRIM($O51))&gt;0,LEN(TRIM($P51))&gt;0)),IF(AND(OR($L51="Medium",$L51="Low"),SUMPRODUCT((Cards!$A$4:$A$1000&lt;&gt;"")*ISNUMBER(SEARCH($A51,Cards!$E$4:$E$1000))*(Cards!$F$4:$F$1000&lt;&gt;"Medium")*(Cards!$F$4:$F$1000&lt;&gt;"Low"))=0),"Conditionally Passed","Failed"),IF($M51="Done","Passed","Not Run")))))</f>
        <v/>
      </c>
      <c r="Y51" s="27" t="str" cm="1">
        <f t="array" ref="Y51">IF($A51="","",IF(TRIM($B51)="","-",IFERROR(_xlfn.TEXTJOIN(" / ",TRUE,_xlfn.UNIQUE(_xlfn._xlws.FILTER('Ownership Matrix'!$C$5:$C$200,('Ownership Matrix'!$A$5:$A$200=TRIM($B51))*('Ownership Matrix'!$C$5:$C$200&lt;&gt;"")))),"ไม่พบใน Ownership Matrix")))</f>
        <v/>
      </c>
      <c r="Z51" s="31" t="str">
        <f>IF(NOT(AND($A51&lt;&gt;"",$M51&lt;&gt;"Out of Scope",$M51&lt;&gt;"Canceled",$T51&lt;&gt;"Fixed – Retest Passed",OR(LEN(TRIM($O51))&gt;0,LEN(TRIM($P51))&gt;0))),"",IF(OR($W51="Failed",$R51="Urgent",$R51="High",$R51="ระบุ Severity + Impact"),IF(COUNTIFS(Dashboard!$B$105:$B$124,$O51,Dashboard!$I$105:$I$124,"CAB")&gt;0,"Accepted (CF)","Blocking"),"Deferrable"))</f>
        <v/>
      </c>
    </row>
    <row r="52" spans="7:26" x14ac:dyDescent="0.3">
      <c r="G52" s="27" t="str" cm="1">
        <f t="array" ref="G52">IF($A52="","",IFERROR(_xlfn.TEXTJOIN(CHAR(10)&amp;CHAR(10),TRUE,_xlfn._xlws.FILTER("•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"&amp;Cards!$L$4:$L$1000),(Cards!$A$4:$A$1000&lt;&gt;"")*ISNUMBER(SEARCH($A52,Cards!$E$4:$E$1000)))),"-"))</f>
        <v/>
      </c>
      <c r="Q52" s="30"/>
      <c r="R52" s="27" t="str">
        <f>IF(OR($A52="",LEN(TRIM($O52))=0),"",IF(OR($P52="",$Q52=""),"ระบุ Severity + Impact",IFERROR(INDEX({"Urgent","Urgent","High","High";"Urgent","High","High","Medium";"High","High","Medium","Medium";"Medium","Medium","Low","Low"},MATCH($P52,{"Critical","High","Medium","Low"},0),MATCH($Q52,{"Extensive","Significant","Moderate","Minor"},0)),"-")))</f>
        <v/>
      </c>
      <c r="S52" s="30"/>
      <c r="T52" s="30"/>
      <c r="W52" s="32" t="str">
        <f>IF($A52="","",IF(OR($M52="Out of Scope",$M52="Canceled"),"Out of Scope",IF($M52="Blocked","Blocked",IF(AND($T52&lt;&gt;"Fixed – Retest Passed",OR(LEN(TRIM($O52))&gt;0,LEN(TRIM($P52))&gt;0)),IF(AND(OR($L52="Medium",$L52="Low"),SUMPRODUCT((Cards!$A$4:$A$1000&lt;&gt;"")*ISNUMBER(SEARCH($A52,Cards!$E$4:$E$1000))*(Cards!$F$4:$F$1000&lt;&gt;"Medium")*(Cards!$F$4:$F$1000&lt;&gt;"Low"))=0),"Conditionally Passed","Failed"),IF($M52="Done","Passed","Not Run")))))</f>
        <v/>
      </c>
      <c r="Y52" s="27" t="str" cm="1">
        <f t="array" ref="Y52">IF($A52="","",IF(TRIM($B52)="","-",IFERROR(_xlfn.TEXTJOIN(" / ",TRUE,_xlfn.UNIQUE(_xlfn._xlws.FILTER('Ownership Matrix'!$C$5:$C$200,('Ownership Matrix'!$A$5:$A$200=TRIM($B52))*('Ownership Matrix'!$C$5:$C$200&lt;&gt;"")))),"ไม่พบใน Ownership Matrix")))</f>
        <v/>
      </c>
      <c r="Z52" s="31" t="str">
        <f>IF(NOT(AND($A52&lt;&gt;"",$M52&lt;&gt;"Out of Scope",$M52&lt;&gt;"Canceled",$T52&lt;&gt;"Fixed – Retest Passed",OR(LEN(TRIM($O52))&gt;0,LEN(TRIM($P52))&gt;0))),"",IF(OR($W52="Failed",$R52="Urgent",$R52="High",$R52="ระบุ Severity + Impact"),IF(COUNTIFS(Dashboard!$B$105:$B$124,$O52,Dashboard!$I$105:$I$124,"CAB")&gt;0,"Accepted (CF)","Blocking"),"Deferrable"))</f>
        <v/>
      </c>
    </row>
    <row r="53" spans="7:26" x14ac:dyDescent="0.3">
      <c r="G53" s="27" t="str" cm="1">
        <f t="array" ref="G53">IF($A53="","",IFERROR(_xlfn.TEXTJOIN(CHAR(10)&amp;CHAR(10),TRUE,_xlfn._xlws.FILTER("•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"&amp;Cards!$L$4:$L$1000),(Cards!$A$4:$A$1000&lt;&gt;"")*ISNUMBER(SEARCH($A53,Cards!$E$4:$E$1000)))),"-"))</f>
        <v/>
      </c>
      <c r="Q53" s="30"/>
      <c r="R53" s="27" t="str">
        <f>IF(OR($A53="",LEN(TRIM($O53))=0),"",IF(OR($P53="",$Q53=""),"ระบุ Severity + Impact",IFERROR(INDEX({"Urgent","Urgent","High","High";"Urgent","High","High","Medium";"High","High","Medium","Medium";"Medium","Medium","Low","Low"},MATCH($P53,{"Critical","High","Medium","Low"},0),MATCH($Q53,{"Extensive","Significant","Moderate","Minor"},0)),"-")))</f>
        <v/>
      </c>
      <c r="S53" s="30"/>
      <c r="T53" s="30"/>
      <c r="W53" s="32" t="str">
        <f>IF($A53="","",IF(OR($M53="Out of Scope",$M53="Canceled"),"Out of Scope",IF($M53="Blocked","Blocked",IF(AND($T53&lt;&gt;"Fixed – Retest Passed",OR(LEN(TRIM($O53))&gt;0,LEN(TRIM($P53))&gt;0)),IF(AND(OR($L53="Medium",$L53="Low"),SUMPRODUCT((Cards!$A$4:$A$1000&lt;&gt;"")*ISNUMBER(SEARCH($A53,Cards!$E$4:$E$1000))*(Cards!$F$4:$F$1000&lt;&gt;"Medium")*(Cards!$F$4:$F$1000&lt;&gt;"Low"))=0),"Conditionally Passed","Failed"),IF($M53="Done","Passed","Not Run")))))</f>
        <v/>
      </c>
      <c r="Y53" s="27" t="str" cm="1">
        <f t="array" ref="Y53">IF($A53="","",IF(TRIM($B53)="","-",IFERROR(_xlfn.TEXTJOIN(" / ",TRUE,_xlfn.UNIQUE(_xlfn._xlws.FILTER('Ownership Matrix'!$C$5:$C$200,('Ownership Matrix'!$A$5:$A$200=TRIM($B53))*('Ownership Matrix'!$C$5:$C$200&lt;&gt;"")))),"ไม่พบใน Ownership Matrix")))</f>
        <v/>
      </c>
      <c r="Z53" s="31" t="str">
        <f>IF(NOT(AND($A53&lt;&gt;"",$M53&lt;&gt;"Out of Scope",$M53&lt;&gt;"Canceled",$T53&lt;&gt;"Fixed – Retest Passed",OR(LEN(TRIM($O53))&gt;0,LEN(TRIM($P53))&gt;0))),"",IF(OR($W53="Failed",$R53="Urgent",$R53="High",$R53="ระบุ Severity + Impact"),IF(COUNTIFS(Dashboard!$B$105:$B$124,$O53,Dashboard!$I$105:$I$124,"CAB")&gt;0,"Accepted (CF)","Blocking"),"Deferrable"))</f>
        <v/>
      </c>
    </row>
    <row r="54" spans="7:26" x14ac:dyDescent="0.3">
      <c r="G54" s="27" t="str" cm="1">
        <f t="array" ref="G54">IF($A54="","",IFERROR(_xlfn.TEXTJOIN(CHAR(10)&amp;CHAR(10),TRUE,_xlfn._xlws.FILTER("•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"&amp;Cards!$L$4:$L$1000),(Cards!$A$4:$A$1000&lt;&gt;"")*ISNUMBER(SEARCH($A54,Cards!$E$4:$E$1000)))),"-"))</f>
        <v/>
      </c>
      <c r="Q54" s="30"/>
      <c r="R54" s="27" t="str">
        <f>IF(OR($A54="",LEN(TRIM($O54))=0),"",IF(OR($P54="",$Q54=""),"ระบุ Severity + Impact",IFERROR(INDEX({"Urgent","Urgent","High","High";"Urgent","High","High","Medium";"High","High","Medium","Medium";"Medium","Medium","Low","Low"},MATCH($P54,{"Critical","High","Medium","Low"},0),MATCH($Q54,{"Extensive","Significant","Moderate","Minor"},0)),"-")))</f>
        <v/>
      </c>
      <c r="S54" s="30"/>
      <c r="T54" s="30"/>
      <c r="W54" s="32" t="str">
        <f>IF($A54="","",IF(OR($M54="Out of Scope",$M54="Canceled"),"Out of Scope",IF($M54="Blocked","Blocked",IF(AND($T54&lt;&gt;"Fixed – Retest Passed",OR(LEN(TRIM($O54))&gt;0,LEN(TRIM($P54))&gt;0)),IF(AND(OR($L54="Medium",$L54="Low"),SUMPRODUCT((Cards!$A$4:$A$1000&lt;&gt;"")*ISNUMBER(SEARCH($A54,Cards!$E$4:$E$1000))*(Cards!$F$4:$F$1000&lt;&gt;"Medium")*(Cards!$F$4:$F$1000&lt;&gt;"Low"))=0),"Conditionally Passed","Failed"),IF($M54="Done","Passed","Not Run")))))</f>
        <v/>
      </c>
      <c r="Y54" s="27" t="str" cm="1">
        <f t="array" ref="Y54">IF($A54="","",IF(TRIM($B54)="","-",IFERROR(_xlfn.TEXTJOIN(" / ",TRUE,_xlfn.UNIQUE(_xlfn._xlws.FILTER('Ownership Matrix'!$C$5:$C$200,('Ownership Matrix'!$A$5:$A$200=TRIM($B54))*('Ownership Matrix'!$C$5:$C$200&lt;&gt;"")))),"ไม่พบใน Ownership Matrix")))</f>
        <v/>
      </c>
      <c r="Z54" s="31" t="str">
        <f>IF(NOT(AND($A54&lt;&gt;"",$M54&lt;&gt;"Out of Scope",$M54&lt;&gt;"Canceled",$T54&lt;&gt;"Fixed – Retest Passed",OR(LEN(TRIM($O54))&gt;0,LEN(TRIM($P54))&gt;0))),"",IF(OR($W54="Failed",$R54="Urgent",$R54="High",$R54="ระบุ Severity + Impact"),IF(COUNTIFS(Dashboard!$B$105:$B$124,$O54,Dashboard!$I$105:$I$124,"CAB")&gt;0,"Accepted (CF)","Blocking"),"Deferrable"))</f>
        <v/>
      </c>
    </row>
    <row r="55" spans="7:26" x14ac:dyDescent="0.3">
      <c r="G55" s="27" t="str" cm="1">
        <f t="array" ref="G55">IF($A55="","",IFERROR(_xlfn.TEXTJOIN(CHAR(10)&amp;CHAR(10),TRUE,_xlfn._xlws.FILTER("•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"&amp;Cards!$L$4:$L$1000),(Cards!$A$4:$A$1000&lt;&gt;"")*ISNUMBER(SEARCH($A55,Cards!$E$4:$E$1000)))),"-"))</f>
        <v/>
      </c>
      <c r="Q55" s="30"/>
      <c r="R55" s="27" t="str">
        <f>IF(OR($A55="",LEN(TRIM($O55))=0),"",IF(OR($P55="",$Q55=""),"ระบุ Severity + Impact",IFERROR(INDEX({"Urgent","Urgent","High","High";"Urgent","High","High","Medium";"High","High","Medium","Medium";"Medium","Medium","Low","Low"},MATCH($P55,{"Critical","High","Medium","Low"},0),MATCH($Q55,{"Extensive","Significant","Moderate","Minor"},0)),"-")))</f>
        <v/>
      </c>
      <c r="S55" s="30"/>
      <c r="T55" s="30"/>
      <c r="W55" s="32" t="str">
        <f>IF($A55="","",IF(OR($M55="Out of Scope",$M55="Canceled"),"Out of Scope",IF($M55="Blocked","Blocked",IF(AND($T55&lt;&gt;"Fixed – Retest Passed",OR(LEN(TRIM($O55))&gt;0,LEN(TRIM($P55))&gt;0)),IF(AND(OR($L55="Medium",$L55="Low"),SUMPRODUCT((Cards!$A$4:$A$1000&lt;&gt;"")*ISNUMBER(SEARCH($A55,Cards!$E$4:$E$1000))*(Cards!$F$4:$F$1000&lt;&gt;"Medium")*(Cards!$F$4:$F$1000&lt;&gt;"Low"))=0),"Conditionally Passed","Failed"),IF($M55="Done","Passed","Not Run")))))</f>
        <v/>
      </c>
      <c r="Y55" s="27" t="str" cm="1">
        <f t="array" ref="Y55">IF($A55="","",IF(TRIM($B55)="","-",IFERROR(_xlfn.TEXTJOIN(" / ",TRUE,_xlfn.UNIQUE(_xlfn._xlws.FILTER('Ownership Matrix'!$C$5:$C$200,('Ownership Matrix'!$A$5:$A$200=TRIM($B55))*('Ownership Matrix'!$C$5:$C$200&lt;&gt;"")))),"ไม่พบใน Ownership Matrix")))</f>
        <v/>
      </c>
      <c r="Z55" s="31" t="str">
        <f>IF(NOT(AND($A55&lt;&gt;"",$M55&lt;&gt;"Out of Scope",$M55&lt;&gt;"Canceled",$T55&lt;&gt;"Fixed – Retest Passed",OR(LEN(TRIM($O55))&gt;0,LEN(TRIM($P55))&gt;0))),"",IF(OR($W55="Failed",$R55="Urgent",$R55="High",$R55="ระบุ Severity + Impact"),IF(COUNTIFS(Dashboard!$B$105:$B$124,$O55,Dashboard!$I$105:$I$124,"CAB")&gt;0,"Accepted (CF)","Blocking"),"Deferrable"))</f>
        <v/>
      </c>
    </row>
    <row r="56" spans="7:26" x14ac:dyDescent="0.3">
      <c r="G56" s="27" t="str" cm="1">
        <f t="array" ref="G56">IF($A56="","",IFERROR(_xlfn.TEXTJOIN(CHAR(10)&amp;CHAR(10),TRUE,_xlfn._xlws.FILTER("•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"&amp;Cards!$L$4:$L$1000),(Cards!$A$4:$A$1000&lt;&gt;"")*ISNUMBER(SEARCH($A56,Cards!$E$4:$E$1000)))),"-"))</f>
        <v/>
      </c>
      <c r="Q56" s="30"/>
      <c r="R56" s="27" t="str">
        <f>IF(OR($A56="",LEN(TRIM($O56))=0),"",IF(OR($P56="",$Q56=""),"ระบุ Severity + Impact",IFERROR(INDEX({"Urgent","Urgent","High","High";"Urgent","High","High","Medium";"High","High","Medium","Medium";"Medium","Medium","Low","Low"},MATCH($P56,{"Critical","High","Medium","Low"},0),MATCH($Q56,{"Extensive","Significant","Moderate","Minor"},0)),"-")))</f>
        <v/>
      </c>
      <c r="S56" s="30"/>
      <c r="T56" s="30"/>
      <c r="W56" s="32" t="str">
        <f>IF($A56="","",IF(OR($M56="Out of Scope",$M56="Canceled"),"Out of Scope",IF($M56="Blocked","Blocked",IF(AND($T56&lt;&gt;"Fixed – Retest Passed",OR(LEN(TRIM($O56))&gt;0,LEN(TRIM($P56))&gt;0)),IF(AND(OR($L56="Medium",$L56="Low"),SUMPRODUCT((Cards!$A$4:$A$1000&lt;&gt;"")*ISNUMBER(SEARCH($A56,Cards!$E$4:$E$1000))*(Cards!$F$4:$F$1000&lt;&gt;"Medium")*(Cards!$F$4:$F$1000&lt;&gt;"Low"))=0),"Conditionally Passed","Failed"),IF($M56="Done","Passed","Not Run")))))</f>
        <v/>
      </c>
      <c r="Y56" s="27" t="str" cm="1">
        <f t="array" ref="Y56">IF($A56="","",IF(TRIM($B56)="","-",IFERROR(_xlfn.TEXTJOIN(" / ",TRUE,_xlfn.UNIQUE(_xlfn._xlws.FILTER('Ownership Matrix'!$C$5:$C$200,('Ownership Matrix'!$A$5:$A$200=TRIM($B56))*('Ownership Matrix'!$C$5:$C$200&lt;&gt;"")))),"ไม่พบใน Ownership Matrix")))</f>
        <v/>
      </c>
      <c r="Z56" s="31" t="str">
        <f>IF(NOT(AND($A56&lt;&gt;"",$M56&lt;&gt;"Out of Scope",$M56&lt;&gt;"Canceled",$T56&lt;&gt;"Fixed – Retest Passed",OR(LEN(TRIM($O56))&gt;0,LEN(TRIM($P56))&gt;0))),"",IF(OR($W56="Failed",$R56="Urgent",$R56="High",$R56="ระบุ Severity + Impact"),IF(COUNTIFS(Dashboard!$B$105:$B$124,$O56,Dashboard!$I$105:$I$124,"CAB")&gt;0,"Accepted (CF)","Blocking"),"Deferrable"))</f>
        <v/>
      </c>
    </row>
    <row r="57" spans="7:26" x14ac:dyDescent="0.3">
      <c r="G57" s="27" t="str" cm="1">
        <f t="array" ref="G57">IF($A57="","",IFERROR(_xlfn.TEXTJOIN(CHAR(10)&amp;CHAR(10),TRUE,_xlfn._xlws.FILTER("•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"&amp;Cards!$L$4:$L$1000),(Cards!$A$4:$A$1000&lt;&gt;"")*ISNUMBER(SEARCH($A57,Cards!$E$4:$E$1000)))),"-"))</f>
        <v/>
      </c>
      <c r="Q57" s="30"/>
      <c r="R57" s="27" t="str">
        <f>IF(OR($A57="",LEN(TRIM($O57))=0),"",IF(OR($P57="",$Q57=""),"ระบุ Severity + Impact",IFERROR(INDEX({"Urgent","Urgent","High","High";"Urgent","High","High","Medium";"High","High","Medium","Medium";"Medium","Medium","Low","Low"},MATCH($P57,{"Critical","High","Medium","Low"},0),MATCH($Q57,{"Extensive","Significant","Moderate","Minor"},0)),"-")))</f>
        <v/>
      </c>
      <c r="S57" s="30"/>
      <c r="T57" s="30"/>
      <c r="W57" s="32" t="str">
        <f>IF($A57="","",IF(OR($M57="Out of Scope",$M57="Canceled"),"Out of Scope",IF($M57="Blocked","Blocked",IF(AND($T57&lt;&gt;"Fixed – Retest Passed",OR(LEN(TRIM($O57))&gt;0,LEN(TRIM($P57))&gt;0)),IF(AND(OR($L57="Medium",$L57="Low"),SUMPRODUCT((Cards!$A$4:$A$1000&lt;&gt;"")*ISNUMBER(SEARCH($A57,Cards!$E$4:$E$1000))*(Cards!$F$4:$F$1000&lt;&gt;"Medium")*(Cards!$F$4:$F$1000&lt;&gt;"Low"))=0),"Conditionally Passed","Failed"),IF($M57="Done","Passed","Not Run")))))</f>
        <v/>
      </c>
      <c r="Y57" s="27" t="str" cm="1">
        <f t="array" ref="Y57">IF($A57="","",IF(TRIM($B57)="","-",IFERROR(_xlfn.TEXTJOIN(" / ",TRUE,_xlfn.UNIQUE(_xlfn._xlws.FILTER('Ownership Matrix'!$C$5:$C$200,('Ownership Matrix'!$A$5:$A$200=TRIM($B57))*('Ownership Matrix'!$C$5:$C$200&lt;&gt;"")))),"ไม่พบใน Ownership Matrix")))</f>
        <v/>
      </c>
      <c r="Z57" s="31" t="str">
        <f>IF(NOT(AND($A57&lt;&gt;"",$M57&lt;&gt;"Out of Scope",$M57&lt;&gt;"Canceled",$T57&lt;&gt;"Fixed – Retest Passed",OR(LEN(TRIM($O57))&gt;0,LEN(TRIM($P57))&gt;0))),"",IF(OR($W57="Failed",$R57="Urgent",$R57="High",$R57="ระบุ Severity + Impact"),IF(COUNTIFS(Dashboard!$B$105:$B$124,$O57,Dashboard!$I$105:$I$124,"CAB")&gt;0,"Accepted (CF)","Blocking"),"Deferrable"))</f>
        <v/>
      </c>
    </row>
    <row r="58" spans="7:26" x14ac:dyDescent="0.3">
      <c r="G58" s="27" t="str" cm="1">
        <f t="array" ref="G58">IF($A58="","",IFERROR(_xlfn.TEXTJOIN(CHAR(10)&amp;CHAR(10),TRUE,_xlfn._xlws.FILTER("•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"&amp;Cards!$L$4:$L$1000),(Cards!$A$4:$A$1000&lt;&gt;"")*ISNUMBER(SEARCH($A58,Cards!$E$4:$E$1000)))),"-"))</f>
        <v/>
      </c>
      <c r="Q58" s="30"/>
      <c r="R58" s="27" t="str">
        <f>IF(OR($A58="",LEN(TRIM($O58))=0),"",IF(OR($P58="",$Q58=""),"ระบุ Severity + Impact",IFERROR(INDEX({"Urgent","Urgent","High","High";"Urgent","High","High","Medium";"High","High","Medium","Medium";"Medium","Medium","Low","Low"},MATCH($P58,{"Critical","High","Medium","Low"},0),MATCH($Q58,{"Extensive","Significant","Moderate","Minor"},0)),"-")))</f>
        <v/>
      </c>
      <c r="S58" s="30"/>
      <c r="T58" s="30"/>
      <c r="W58" s="32" t="str">
        <f>IF($A58="","",IF(OR($M58="Out of Scope",$M58="Canceled"),"Out of Scope",IF($M58="Blocked","Blocked",IF(AND($T58&lt;&gt;"Fixed – Retest Passed",OR(LEN(TRIM($O58))&gt;0,LEN(TRIM($P58))&gt;0)),IF(AND(OR($L58="Medium",$L58="Low"),SUMPRODUCT((Cards!$A$4:$A$1000&lt;&gt;"")*ISNUMBER(SEARCH($A58,Cards!$E$4:$E$1000))*(Cards!$F$4:$F$1000&lt;&gt;"Medium")*(Cards!$F$4:$F$1000&lt;&gt;"Low"))=0),"Conditionally Passed","Failed"),IF($M58="Done","Passed","Not Run")))))</f>
        <v/>
      </c>
      <c r="Y58" s="27" t="str" cm="1">
        <f t="array" ref="Y58">IF($A58="","",IF(TRIM($B58)="","-",IFERROR(_xlfn.TEXTJOIN(" / ",TRUE,_xlfn.UNIQUE(_xlfn._xlws.FILTER('Ownership Matrix'!$C$5:$C$200,('Ownership Matrix'!$A$5:$A$200=TRIM($B58))*('Ownership Matrix'!$C$5:$C$200&lt;&gt;"")))),"ไม่พบใน Ownership Matrix")))</f>
        <v/>
      </c>
      <c r="Z58" s="31" t="str">
        <f>IF(NOT(AND($A58&lt;&gt;"",$M58&lt;&gt;"Out of Scope",$M58&lt;&gt;"Canceled",$T58&lt;&gt;"Fixed – Retest Passed",OR(LEN(TRIM($O58))&gt;0,LEN(TRIM($P58))&gt;0))),"",IF(OR($W58="Failed",$R58="Urgent",$R58="High",$R58="ระบุ Severity + Impact"),IF(COUNTIFS(Dashboard!$B$105:$B$124,$O58,Dashboard!$I$105:$I$124,"CAB")&gt;0,"Accepted (CF)","Blocking"),"Deferrable"))</f>
        <v/>
      </c>
    </row>
    <row r="59" spans="7:26" x14ac:dyDescent="0.3">
      <c r="G59" s="27" t="str" cm="1">
        <f t="array" ref="G59">IF($A59="","",IFERROR(_xlfn.TEXTJOIN(CHAR(10)&amp;CHAR(10),TRUE,_xlfn._xlws.FILTER("•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"&amp;Cards!$L$4:$L$1000),(Cards!$A$4:$A$1000&lt;&gt;"")*ISNUMBER(SEARCH($A59,Cards!$E$4:$E$1000)))),"-"))</f>
        <v/>
      </c>
      <c r="Q59" s="30"/>
      <c r="R59" s="27" t="str">
        <f>IF(OR($A59="",LEN(TRIM($O59))=0),"",IF(OR($P59="",$Q59=""),"ระบุ Severity + Impact",IFERROR(INDEX({"Urgent","Urgent","High","High";"Urgent","High","High","Medium";"High","High","Medium","Medium";"Medium","Medium","Low","Low"},MATCH($P59,{"Critical","High","Medium","Low"},0),MATCH($Q59,{"Extensive","Significant","Moderate","Minor"},0)),"-")))</f>
        <v/>
      </c>
      <c r="S59" s="30"/>
      <c r="T59" s="30"/>
      <c r="W59" s="32" t="str">
        <f>IF($A59="","",IF(OR($M59="Out of Scope",$M59="Canceled"),"Out of Scope",IF($M59="Blocked","Blocked",IF(AND($T59&lt;&gt;"Fixed – Retest Passed",OR(LEN(TRIM($O59))&gt;0,LEN(TRIM($P59))&gt;0)),IF(AND(OR($L59="Medium",$L59="Low"),SUMPRODUCT((Cards!$A$4:$A$1000&lt;&gt;"")*ISNUMBER(SEARCH($A59,Cards!$E$4:$E$1000))*(Cards!$F$4:$F$1000&lt;&gt;"Medium")*(Cards!$F$4:$F$1000&lt;&gt;"Low"))=0),"Conditionally Passed","Failed"),IF($M59="Done","Passed","Not Run")))))</f>
        <v/>
      </c>
      <c r="Y59" s="27" t="str" cm="1">
        <f t="array" ref="Y59">IF($A59="","",IF(TRIM($B59)="","-",IFERROR(_xlfn.TEXTJOIN(" / ",TRUE,_xlfn.UNIQUE(_xlfn._xlws.FILTER('Ownership Matrix'!$C$5:$C$200,('Ownership Matrix'!$A$5:$A$200=TRIM($B59))*('Ownership Matrix'!$C$5:$C$200&lt;&gt;"")))),"ไม่พบใน Ownership Matrix")))</f>
        <v/>
      </c>
      <c r="Z59" s="31" t="str">
        <f>IF(NOT(AND($A59&lt;&gt;"",$M59&lt;&gt;"Out of Scope",$M59&lt;&gt;"Canceled",$T59&lt;&gt;"Fixed – Retest Passed",OR(LEN(TRIM($O59))&gt;0,LEN(TRIM($P59))&gt;0))),"",IF(OR($W59="Failed",$R59="Urgent",$R59="High",$R59="ระบุ Severity + Impact"),IF(COUNTIFS(Dashboard!$B$105:$B$124,$O59,Dashboard!$I$105:$I$124,"CAB")&gt;0,"Accepted (CF)","Blocking"),"Deferrable"))</f>
        <v/>
      </c>
    </row>
    <row r="60" spans="7:26" x14ac:dyDescent="0.3">
      <c r="G60" s="27" t="str" cm="1">
        <f t="array" ref="G60">IF($A60="","",IFERROR(_xlfn.TEXTJOIN(CHAR(10)&amp;CHAR(10),TRUE,_xlfn._xlws.FILTER("•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"&amp;Cards!$L$4:$L$1000),(Cards!$A$4:$A$1000&lt;&gt;"")*ISNUMBER(SEARCH($A60,Cards!$E$4:$E$1000)))),"-"))</f>
        <v/>
      </c>
      <c r="Q60" s="30"/>
      <c r="R60" s="27" t="str">
        <f>IF(OR($A60="",LEN(TRIM($O60))=0),"",IF(OR($P60="",$Q60=""),"ระบุ Severity + Impact",IFERROR(INDEX({"Urgent","Urgent","High","High";"Urgent","High","High","Medium";"High","High","Medium","Medium";"Medium","Medium","Low","Low"},MATCH($P60,{"Critical","High","Medium","Low"},0),MATCH($Q60,{"Extensive","Significant","Moderate","Minor"},0)),"-")))</f>
        <v/>
      </c>
      <c r="S60" s="30"/>
      <c r="T60" s="30"/>
      <c r="W60" s="32" t="str">
        <f>IF($A60="","",IF(OR($M60="Out of Scope",$M60="Canceled"),"Out of Scope",IF($M60="Blocked","Blocked",IF(AND($T60&lt;&gt;"Fixed – Retest Passed",OR(LEN(TRIM($O60))&gt;0,LEN(TRIM($P60))&gt;0)),IF(AND(OR($L60="Medium",$L60="Low"),SUMPRODUCT((Cards!$A$4:$A$1000&lt;&gt;"")*ISNUMBER(SEARCH($A60,Cards!$E$4:$E$1000))*(Cards!$F$4:$F$1000&lt;&gt;"Medium")*(Cards!$F$4:$F$1000&lt;&gt;"Low"))=0),"Conditionally Passed","Failed"),IF($M60="Done","Passed","Not Run")))))</f>
        <v/>
      </c>
      <c r="Y60" s="27" t="str" cm="1">
        <f t="array" ref="Y60">IF($A60="","",IF(TRIM($B60)="","-",IFERROR(_xlfn.TEXTJOIN(" / ",TRUE,_xlfn.UNIQUE(_xlfn._xlws.FILTER('Ownership Matrix'!$C$5:$C$200,('Ownership Matrix'!$A$5:$A$200=TRIM($B60))*('Ownership Matrix'!$C$5:$C$200&lt;&gt;"")))),"ไม่พบใน Ownership Matrix")))</f>
        <v/>
      </c>
      <c r="Z60" s="31" t="str">
        <f>IF(NOT(AND($A60&lt;&gt;"",$M60&lt;&gt;"Out of Scope",$M60&lt;&gt;"Canceled",$T60&lt;&gt;"Fixed – Retest Passed",OR(LEN(TRIM($O60))&gt;0,LEN(TRIM($P60))&gt;0))),"",IF(OR($W60="Failed",$R60="Urgent",$R60="High",$R60="ระบุ Severity + Impact"),IF(COUNTIFS(Dashboard!$B$105:$B$124,$O60,Dashboard!$I$105:$I$124,"CAB")&gt;0,"Accepted (CF)","Blocking"),"Deferrable"))</f>
        <v/>
      </c>
    </row>
    <row r="61" spans="7:26" x14ac:dyDescent="0.3">
      <c r="G61" s="27" t="str" cm="1">
        <f t="array" ref="G61">IF($A61="","",IFERROR(_xlfn.TEXTJOIN(CHAR(10)&amp;CHAR(10),TRUE,_xlfn._xlws.FILTER("•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"&amp;Cards!$L$4:$L$1000),(Cards!$A$4:$A$1000&lt;&gt;"")*ISNUMBER(SEARCH($A61,Cards!$E$4:$E$1000)))),"-"))</f>
        <v/>
      </c>
      <c r="Q61" s="30"/>
      <c r="R61" s="27" t="str">
        <f>IF(OR($A61="",LEN(TRIM($O61))=0),"",IF(OR($P61="",$Q61=""),"ระบุ Severity + Impact",IFERROR(INDEX({"Urgent","Urgent","High","High";"Urgent","High","High","Medium";"High","High","Medium","Medium";"Medium","Medium","Low","Low"},MATCH($P61,{"Critical","High","Medium","Low"},0),MATCH($Q61,{"Extensive","Significant","Moderate","Minor"},0)),"-")))</f>
        <v/>
      </c>
      <c r="S61" s="30"/>
      <c r="T61" s="30"/>
      <c r="W61" s="32" t="str">
        <f>IF($A61="","",IF(OR($M61="Out of Scope",$M61="Canceled"),"Out of Scope",IF($M61="Blocked","Blocked",IF(AND($T61&lt;&gt;"Fixed – Retest Passed",OR(LEN(TRIM($O61))&gt;0,LEN(TRIM($P61))&gt;0)),IF(AND(OR($L61="Medium",$L61="Low"),SUMPRODUCT((Cards!$A$4:$A$1000&lt;&gt;"")*ISNUMBER(SEARCH($A61,Cards!$E$4:$E$1000))*(Cards!$F$4:$F$1000&lt;&gt;"Medium")*(Cards!$F$4:$F$1000&lt;&gt;"Low"))=0),"Conditionally Passed","Failed"),IF($M61="Done","Passed","Not Run")))))</f>
        <v/>
      </c>
      <c r="Y61" s="27" t="str" cm="1">
        <f t="array" ref="Y61">IF($A61="","",IF(TRIM($B61)="","-",IFERROR(_xlfn.TEXTJOIN(" / ",TRUE,_xlfn.UNIQUE(_xlfn._xlws.FILTER('Ownership Matrix'!$C$5:$C$200,('Ownership Matrix'!$A$5:$A$200=TRIM($B61))*('Ownership Matrix'!$C$5:$C$200&lt;&gt;"")))),"ไม่พบใน Ownership Matrix")))</f>
        <v/>
      </c>
      <c r="Z61" s="31" t="str">
        <f>IF(NOT(AND($A61&lt;&gt;"",$M61&lt;&gt;"Out of Scope",$M61&lt;&gt;"Canceled",$T61&lt;&gt;"Fixed – Retest Passed",OR(LEN(TRIM($O61))&gt;0,LEN(TRIM($P61))&gt;0))),"",IF(OR($W61="Failed",$R61="Urgent",$R61="High",$R61="ระบุ Severity + Impact"),IF(COUNTIFS(Dashboard!$B$105:$B$124,$O61,Dashboard!$I$105:$I$124,"CAB")&gt;0,"Accepted (CF)","Blocking"),"Deferrable"))</f>
        <v/>
      </c>
    </row>
    <row r="62" spans="7:26" x14ac:dyDescent="0.3">
      <c r="G62" s="27" t="str" cm="1">
        <f t="array" ref="G62">IF($A62="","",IFERROR(_xlfn.TEXTJOIN(CHAR(10)&amp;CHAR(10),TRUE,_xlfn._xlws.FILTER("•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"&amp;Cards!$L$4:$L$1000),(Cards!$A$4:$A$1000&lt;&gt;"")*ISNUMBER(SEARCH($A62,Cards!$E$4:$E$1000)))),"-"))</f>
        <v/>
      </c>
      <c r="Q62" s="30"/>
      <c r="R62" s="27" t="str">
        <f>IF(OR($A62="",LEN(TRIM($O62))=0),"",IF(OR($P62="",$Q62=""),"ระบุ Severity + Impact",IFERROR(INDEX({"Urgent","Urgent","High","High";"Urgent","High","High","Medium";"High","High","Medium","Medium";"Medium","Medium","Low","Low"},MATCH($P62,{"Critical","High","Medium","Low"},0),MATCH($Q62,{"Extensive","Significant","Moderate","Minor"},0)),"-")))</f>
        <v/>
      </c>
      <c r="S62" s="30"/>
      <c r="T62" s="30"/>
      <c r="W62" s="32" t="str">
        <f>IF($A62="","",IF(OR($M62="Out of Scope",$M62="Canceled"),"Out of Scope",IF($M62="Blocked","Blocked",IF(AND($T62&lt;&gt;"Fixed – Retest Passed",OR(LEN(TRIM($O62))&gt;0,LEN(TRIM($P62))&gt;0)),IF(AND(OR($L62="Medium",$L62="Low"),SUMPRODUCT((Cards!$A$4:$A$1000&lt;&gt;"")*ISNUMBER(SEARCH($A62,Cards!$E$4:$E$1000))*(Cards!$F$4:$F$1000&lt;&gt;"Medium")*(Cards!$F$4:$F$1000&lt;&gt;"Low"))=0),"Conditionally Passed","Failed"),IF($M62="Done","Passed","Not Run")))))</f>
        <v/>
      </c>
      <c r="Y62" s="27" t="str" cm="1">
        <f t="array" ref="Y62">IF($A62="","",IF(TRIM($B62)="","-",IFERROR(_xlfn.TEXTJOIN(" / ",TRUE,_xlfn.UNIQUE(_xlfn._xlws.FILTER('Ownership Matrix'!$C$5:$C$200,('Ownership Matrix'!$A$5:$A$200=TRIM($B62))*('Ownership Matrix'!$C$5:$C$200&lt;&gt;"")))),"ไม่พบใน Ownership Matrix")))</f>
        <v/>
      </c>
      <c r="Z62" s="31" t="str">
        <f>IF(NOT(AND($A62&lt;&gt;"",$M62&lt;&gt;"Out of Scope",$M62&lt;&gt;"Canceled",$T62&lt;&gt;"Fixed – Retest Passed",OR(LEN(TRIM($O62))&gt;0,LEN(TRIM($P62))&gt;0))),"",IF(OR($W62="Failed",$R62="Urgent",$R62="High",$R62="ระบุ Severity + Impact"),IF(COUNTIFS(Dashboard!$B$105:$B$124,$O62,Dashboard!$I$105:$I$124,"CAB")&gt;0,"Accepted (CF)","Blocking"),"Deferrable"))</f>
        <v/>
      </c>
    </row>
    <row r="63" spans="7:26" x14ac:dyDescent="0.3">
      <c r="G63" s="27" t="str" cm="1">
        <f t="array" ref="G63">IF($A63="","",IFERROR(_xlfn.TEXTJOIN(CHAR(10)&amp;CHAR(10),TRUE,_xlfn._xlws.FILTER("•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"&amp;Cards!$L$4:$L$1000),(Cards!$A$4:$A$1000&lt;&gt;"")*ISNUMBER(SEARCH($A63,Cards!$E$4:$E$1000)))),"-"))</f>
        <v/>
      </c>
      <c r="Q63" s="30"/>
      <c r="R63" s="27" t="str">
        <f>IF(OR($A63="",LEN(TRIM($O63))=0),"",IF(OR($P63="",$Q63=""),"ระบุ Severity + Impact",IFERROR(INDEX({"Urgent","Urgent","High","High";"Urgent","High","High","Medium";"High","High","Medium","Medium";"Medium","Medium","Low","Low"},MATCH($P63,{"Critical","High","Medium","Low"},0),MATCH($Q63,{"Extensive","Significant","Moderate","Minor"},0)),"-")))</f>
        <v/>
      </c>
      <c r="S63" s="30"/>
      <c r="T63" s="30"/>
      <c r="W63" s="32" t="str">
        <f>IF($A63="","",IF(OR($M63="Out of Scope",$M63="Canceled"),"Out of Scope",IF($M63="Blocked","Blocked",IF(AND($T63&lt;&gt;"Fixed – Retest Passed",OR(LEN(TRIM($O63))&gt;0,LEN(TRIM($P63))&gt;0)),IF(AND(OR($L63="Medium",$L63="Low"),SUMPRODUCT((Cards!$A$4:$A$1000&lt;&gt;"")*ISNUMBER(SEARCH($A63,Cards!$E$4:$E$1000))*(Cards!$F$4:$F$1000&lt;&gt;"Medium")*(Cards!$F$4:$F$1000&lt;&gt;"Low"))=0),"Conditionally Passed","Failed"),IF($M63="Done","Passed","Not Run")))))</f>
        <v/>
      </c>
      <c r="Y63" s="27" t="str" cm="1">
        <f t="array" ref="Y63">IF($A63="","",IF(TRIM($B63)="","-",IFERROR(_xlfn.TEXTJOIN(" / ",TRUE,_xlfn.UNIQUE(_xlfn._xlws.FILTER('Ownership Matrix'!$C$5:$C$200,('Ownership Matrix'!$A$5:$A$200=TRIM($B63))*('Ownership Matrix'!$C$5:$C$200&lt;&gt;"")))),"ไม่พบใน Ownership Matrix")))</f>
        <v/>
      </c>
      <c r="Z63" s="31" t="str">
        <f>IF(NOT(AND($A63&lt;&gt;"",$M63&lt;&gt;"Out of Scope",$M63&lt;&gt;"Canceled",$T63&lt;&gt;"Fixed – Retest Passed",OR(LEN(TRIM($O63))&gt;0,LEN(TRIM($P63))&gt;0))),"",IF(OR($W63="Failed",$R63="Urgent",$R63="High",$R63="ระบุ Severity + Impact"),IF(COUNTIFS(Dashboard!$B$105:$B$124,$O63,Dashboard!$I$105:$I$124,"CAB")&gt;0,"Accepted (CF)","Blocking"),"Deferrable"))</f>
        <v/>
      </c>
    </row>
    <row r="64" spans="7:26" x14ac:dyDescent="0.3">
      <c r="G64" s="27" t="str" cm="1">
        <f t="array" ref="G64">IF($A64="","",IFERROR(_xlfn.TEXTJOIN(CHAR(10)&amp;CHAR(10),TRUE,_xlfn._xlws.FILTER("•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"&amp;Cards!$L$4:$L$1000),(Cards!$A$4:$A$1000&lt;&gt;"")*ISNUMBER(SEARCH($A64,Cards!$E$4:$E$1000)))),"-"))</f>
        <v/>
      </c>
      <c r="Q64" s="30"/>
      <c r="R64" s="27" t="str">
        <f>IF(OR($A64="",LEN(TRIM($O64))=0),"",IF(OR($P64="",$Q64=""),"ระบุ Severity + Impact",IFERROR(INDEX({"Urgent","Urgent","High","High";"Urgent","High","High","Medium";"High","High","Medium","Medium";"Medium","Medium","Low","Low"},MATCH($P64,{"Critical","High","Medium","Low"},0),MATCH($Q64,{"Extensive","Significant","Moderate","Minor"},0)),"-")))</f>
        <v/>
      </c>
      <c r="S64" s="30"/>
      <c r="T64" s="30"/>
      <c r="W64" s="32" t="str">
        <f>IF($A64="","",IF(OR($M64="Out of Scope",$M64="Canceled"),"Out of Scope",IF($M64="Blocked","Blocked",IF(AND($T64&lt;&gt;"Fixed – Retest Passed",OR(LEN(TRIM($O64))&gt;0,LEN(TRIM($P64))&gt;0)),IF(AND(OR($L64="Medium",$L64="Low"),SUMPRODUCT((Cards!$A$4:$A$1000&lt;&gt;"")*ISNUMBER(SEARCH($A64,Cards!$E$4:$E$1000))*(Cards!$F$4:$F$1000&lt;&gt;"Medium")*(Cards!$F$4:$F$1000&lt;&gt;"Low"))=0),"Conditionally Passed","Failed"),IF($M64="Done","Passed","Not Run")))))</f>
        <v/>
      </c>
      <c r="Y64" s="27" t="str" cm="1">
        <f t="array" ref="Y64">IF($A64="","",IF(TRIM($B64)="","-",IFERROR(_xlfn.TEXTJOIN(" / ",TRUE,_xlfn.UNIQUE(_xlfn._xlws.FILTER('Ownership Matrix'!$C$5:$C$200,('Ownership Matrix'!$A$5:$A$200=TRIM($B64))*('Ownership Matrix'!$C$5:$C$200&lt;&gt;"")))),"ไม่พบใน Ownership Matrix")))</f>
        <v/>
      </c>
      <c r="Z64" s="31" t="str">
        <f>IF(NOT(AND($A64&lt;&gt;"",$M64&lt;&gt;"Out of Scope",$M64&lt;&gt;"Canceled",$T64&lt;&gt;"Fixed – Retest Passed",OR(LEN(TRIM($O64))&gt;0,LEN(TRIM($P64))&gt;0))),"",IF(OR($W64="Failed",$R64="Urgent",$R64="High",$R64="ระบุ Severity + Impact"),IF(COUNTIFS(Dashboard!$B$105:$B$124,$O64,Dashboard!$I$105:$I$124,"CAB")&gt;0,"Accepted (CF)","Blocking"),"Deferrable"))</f>
        <v/>
      </c>
    </row>
    <row r="65" spans="7:26" x14ac:dyDescent="0.3">
      <c r="G65" s="27" t="str" cm="1">
        <f t="array" ref="G65">IF($A65="","",IFERROR(_xlfn.TEXTJOIN(CHAR(10)&amp;CHAR(10),TRUE,_xlfn._xlws.FILTER("•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"&amp;Cards!$L$4:$L$1000),(Cards!$A$4:$A$1000&lt;&gt;"")*ISNUMBER(SEARCH($A65,Cards!$E$4:$E$1000)))),"-"))</f>
        <v/>
      </c>
      <c r="Q65" s="30"/>
      <c r="R65" s="27" t="str">
        <f>IF(OR($A65="",LEN(TRIM($O65))=0),"",IF(OR($P65="",$Q65=""),"ระบุ Severity + Impact",IFERROR(INDEX({"Urgent","Urgent","High","High";"Urgent","High","High","Medium";"High","High","Medium","Medium";"Medium","Medium","Low","Low"},MATCH($P65,{"Critical","High","Medium","Low"},0),MATCH($Q65,{"Extensive","Significant","Moderate","Minor"},0)),"-")))</f>
        <v/>
      </c>
      <c r="S65" s="30"/>
      <c r="T65" s="30"/>
      <c r="W65" s="32" t="str">
        <f>IF($A65="","",IF(OR($M65="Out of Scope",$M65="Canceled"),"Out of Scope",IF($M65="Blocked","Blocked",IF(AND($T65&lt;&gt;"Fixed – Retest Passed",OR(LEN(TRIM($O65))&gt;0,LEN(TRIM($P65))&gt;0)),IF(AND(OR($L65="Medium",$L65="Low"),SUMPRODUCT((Cards!$A$4:$A$1000&lt;&gt;"")*ISNUMBER(SEARCH($A65,Cards!$E$4:$E$1000))*(Cards!$F$4:$F$1000&lt;&gt;"Medium")*(Cards!$F$4:$F$1000&lt;&gt;"Low"))=0),"Conditionally Passed","Failed"),IF($M65="Done","Passed","Not Run")))))</f>
        <v/>
      </c>
      <c r="Y65" s="27" t="str" cm="1">
        <f t="array" ref="Y65">IF($A65="","",IF(TRIM($B65)="","-",IFERROR(_xlfn.TEXTJOIN(" / ",TRUE,_xlfn.UNIQUE(_xlfn._xlws.FILTER('Ownership Matrix'!$C$5:$C$200,('Ownership Matrix'!$A$5:$A$200=TRIM($B65))*('Ownership Matrix'!$C$5:$C$200&lt;&gt;"")))),"ไม่พบใน Ownership Matrix")))</f>
        <v/>
      </c>
      <c r="Z65" s="31" t="str">
        <f>IF(NOT(AND($A65&lt;&gt;"",$M65&lt;&gt;"Out of Scope",$M65&lt;&gt;"Canceled",$T65&lt;&gt;"Fixed – Retest Passed",OR(LEN(TRIM($O65))&gt;0,LEN(TRIM($P65))&gt;0))),"",IF(OR($W65="Failed",$R65="Urgent",$R65="High",$R65="ระบุ Severity + Impact"),IF(COUNTIFS(Dashboard!$B$105:$B$124,$O65,Dashboard!$I$105:$I$124,"CAB")&gt;0,"Accepted (CF)","Blocking"),"Deferrable"))</f>
        <v/>
      </c>
    </row>
    <row r="66" spans="7:26" x14ac:dyDescent="0.3">
      <c r="G66" s="27" t="str" cm="1">
        <f t="array" ref="G66">IF($A66="","",IFERROR(_xlfn.TEXTJOIN(CHAR(10)&amp;CHAR(10),TRUE,_xlfn._xlws.FILTER("•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"&amp;Cards!$L$4:$L$1000),(Cards!$A$4:$A$1000&lt;&gt;"")*ISNUMBER(SEARCH($A66,Cards!$E$4:$E$1000)))),"-"))</f>
        <v/>
      </c>
      <c r="Q66" s="30"/>
      <c r="R66" s="27" t="str">
        <f>IF(OR($A66="",LEN(TRIM($O66))=0),"",IF(OR($P66="",$Q66=""),"ระบุ Severity + Impact",IFERROR(INDEX({"Urgent","Urgent","High","High";"Urgent","High","High","Medium";"High","High","Medium","Medium";"Medium","Medium","Low","Low"},MATCH($P66,{"Critical","High","Medium","Low"},0),MATCH($Q66,{"Extensive","Significant","Moderate","Minor"},0)),"-")))</f>
        <v/>
      </c>
      <c r="S66" s="30"/>
      <c r="T66" s="30"/>
      <c r="W66" s="32" t="str">
        <f>IF($A66="","",IF(OR($M66="Out of Scope",$M66="Canceled"),"Out of Scope",IF($M66="Blocked","Blocked",IF(AND($T66&lt;&gt;"Fixed – Retest Passed",OR(LEN(TRIM($O66))&gt;0,LEN(TRIM($P66))&gt;0)),IF(AND(OR($L66="Medium",$L66="Low"),SUMPRODUCT((Cards!$A$4:$A$1000&lt;&gt;"")*ISNUMBER(SEARCH($A66,Cards!$E$4:$E$1000))*(Cards!$F$4:$F$1000&lt;&gt;"Medium")*(Cards!$F$4:$F$1000&lt;&gt;"Low"))=0),"Conditionally Passed","Failed"),IF($M66="Done","Passed","Not Run")))))</f>
        <v/>
      </c>
      <c r="Y66" s="27" t="str" cm="1">
        <f t="array" ref="Y66">IF($A66="","",IF(TRIM($B66)="","-",IFERROR(_xlfn.TEXTJOIN(" / ",TRUE,_xlfn.UNIQUE(_xlfn._xlws.FILTER('Ownership Matrix'!$C$5:$C$200,('Ownership Matrix'!$A$5:$A$200=TRIM($B66))*('Ownership Matrix'!$C$5:$C$200&lt;&gt;"")))),"ไม่พบใน Ownership Matrix")))</f>
        <v/>
      </c>
      <c r="Z66" s="31" t="str">
        <f>IF(NOT(AND($A66&lt;&gt;"",$M66&lt;&gt;"Out of Scope",$M66&lt;&gt;"Canceled",$T66&lt;&gt;"Fixed – Retest Passed",OR(LEN(TRIM($O66))&gt;0,LEN(TRIM($P66))&gt;0))),"",IF(OR($W66="Failed",$R66="Urgent",$R66="High",$R66="ระบุ Severity + Impact"),IF(COUNTIFS(Dashboard!$B$105:$B$124,$O66,Dashboard!$I$105:$I$124,"CAB")&gt;0,"Accepted (CF)","Blocking"),"Deferrable"))</f>
        <v/>
      </c>
    </row>
    <row r="67" spans="7:26" x14ac:dyDescent="0.3">
      <c r="G67" s="27" t="str" cm="1">
        <f t="array" ref="G67">IF($A67="","",IFERROR(_xlfn.TEXTJOIN(CHAR(10)&amp;CHAR(10),TRUE,_xlfn._xlws.FILTER("•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"&amp;Cards!$L$4:$L$1000),(Cards!$A$4:$A$1000&lt;&gt;"")*ISNUMBER(SEARCH($A67,Cards!$E$4:$E$1000)))),"-"))</f>
        <v/>
      </c>
      <c r="Q67" s="30"/>
      <c r="R67" s="27" t="str">
        <f>IF(OR($A67="",LEN(TRIM($O67))=0),"",IF(OR($P67="",$Q67=""),"ระบุ Severity + Impact",IFERROR(INDEX({"Urgent","Urgent","High","High";"Urgent","High","High","Medium";"High","High","Medium","Medium";"Medium","Medium","Low","Low"},MATCH($P67,{"Critical","High","Medium","Low"},0),MATCH($Q67,{"Extensive","Significant","Moderate","Minor"},0)),"-")))</f>
        <v/>
      </c>
      <c r="S67" s="30"/>
      <c r="T67" s="30"/>
      <c r="W67" s="32" t="str">
        <f>IF($A67="","",IF(OR($M67="Out of Scope",$M67="Canceled"),"Out of Scope",IF($M67="Blocked","Blocked",IF(AND($T67&lt;&gt;"Fixed – Retest Passed",OR(LEN(TRIM($O67))&gt;0,LEN(TRIM($P67))&gt;0)),IF(AND(OR($L67="Medium",$L67="Low"),SUMPRODUCT((Cards!$A$4:$A$1000&lt;&gt;"")*ISNUMBER(SEARCH($A67,Cards!$E$4:$E$1000))*(Cards!$F$4:$F$1000&lt;&gt;"Medium")*(Cards!$F$4:$F$1000&lt;&gt;"Low"))=0),"Conditionally Passed","Failed"),IF($M67="Done","Passed","Not Run")))))</f>
        <v/>
      </c>
      <c r="Y67" s="27" t="str" cm="1">
        <f t="array" ref="Y67">IF($A67="","",IF(TRIM($B67)="","-",IFERROR(_xlfn.TEXTJOIN(" / ",TRUE,_xlfn.UNIQUE(_xlfn._xlws.FILTER('Ownership Matrix'!$C$5:$C$200,('Ownership Matrix'!$A$5:$A$200=TRIM($B67))*('Ownership Matrix'!$C$5:$C$200&lt;&gt;"")))),"ไม่พบใน Ownership Matrix")))</f>
        <v/>
      </c>
      <c r="Z67" s="31" t="str">
        <f>IF(NOT(AND($A67&lt;&gt;"",$M67&lt;&gt;"Out of Scope",$M67&lt;&gt;"Canceled",$T67&lt;&gt;"Fixed – Retest Passed",OR(LEN(TRIM($O67))&gt;0,LEN(TRIM($P67))&gt;0))),"",IF(OR($W67="Failed",$R67="Urgent",$R67="High",$R67="ระบุ Severity + Impact"),IF(COUNTIFS(Dashboard!$B$105:$B$124,$O67,Dashboard!$I$105:$I$124,"CAB")&gt;0,"Accepted (CF)","Blocking"),"Deferrable"))</f>
        <v/>
      </c>
    </row>
    <row r="68" spans="7:26" x14ac:dyDescent="0.3">
      <c r="G68" s="27" t="str" cm="1">
        <f t="array" ref="G68">IF($A68="","",IFERROR(_xlfn.TEXTJOIN(CHAR(10)&amp;CHAR(10),TRUE,_xlfn._xlws.FILTER("•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"&amp;Cards!$L$4:$L$1000),(Cards!$A$4:$A$1000&lt;&gt;"")*ISNUMBER(SEARCH($A68,Cards!$E$4:$E$1000)))),"-"))</f>
        <v/>
      </c>
      <c r="Q68" s="30"/>
      <c r="R68" s="27" t="str">
        <f>IF(OR($A68="",LEN(TRIM($O68))=0),"",IF(OR($P68="",$Q68=""),"ระบุ Severity + Impact",IFERROR(INDEX({"Urgent","Urgent","High","High";"Urgent","High","High","Medium";"High","High","Medium","Medium";"Medium","Medium","Low","Low"},MATCH($P68,{"Critical","High","Medium","Low"},0),MATCH($Q68,{"Extensive","Significant","Moderate","Minor"},0)),"-")))</f>
        <v/>
      </c>
      <c r="S68" s="30"/>
      <c r="T68" s="30"/>
      <c r="W68" s="32" t="str">
        <f>IF($A68="","",IF(OR($M68="Out of Scope",$M68="Canceled"),"Out of Scope",IF($M68="Blocked","Blocked",IF(AND($T68&lt;&gt;"Fixed – Retest Passed",OR(LEN(TRIM($O68))&gt;0,LEN(TRIM($P68))&gt;0)),IF(AND(OR($L68="Medium",$L68="Low"),SUMPRODUCT((Cards!$A$4:$A$1000&lt;&gt;"")*ISNUMBER(SEARCH($A68,Cards!$E$4:$E$1000))*(Cards!$F$4:$F$1000&lt;&gt;"Medium")*(Cards!$F$4:$F$1000&lt;&gt;"Low"))=0),"Conditionally Passed","Failed"),IF($M68="Done","Passed","Not Run")))))</f>
        <v/>
      </c>
      <c r="Y68" s="27" t="str" cm="1">
        <f t="array" ref="Y68">IF($A68="","",IF(TRIM($B68)="","-",IFERROR(_xlfn.TEXTJOIN(" / ",TRUE,_xlfn.UNIQUE(_xlfn._xlws.FILTER('Ownership Matrix'!$C$5:$C$200,('Ownership Matrix'!$A$5:$A$200=TRIM($B68))*('Ownership Matrix'!$C$5:$C$200&lt;&gt;"")))),"ไม่พบใน Ownership Matrix")))</f>
        <v/>
      </c>
      <c r="Z68" s="31" t="str">
        <f>IF(NOT(AND($A68&lt;&gt;"",$M68&lt;&gt;"Out of Scope",$M68&lt;&gt;"Canceled",$T68&lt;&gt;"Fixed – Retest Passed",OR(LEN(TRIM($O68))&gt;0,LEN(TRIM($P68))&gt;0))),"",IF(OR($W68="Failed",$R68="Urgent",$R68="High",$R68="ระบุ Severity + Impact"),IF(COUNTIFS(Dashboard!$B$105:$B$124,$O68,Dashboard!$I$105:$I$124,"CAB")&gt;0,"Accepted (CF)","Blocking"),"Deferrable"))</f>
        <v/>
      </c>
    </row>
    <row r="69" spans="7:26" x14ac:dyDescent="0.3">
      <c r="G69" s="27" t="str" cm="1">
        <f t="array" ref="G69">IF($A69="","",IFERROR(_xlfn.TEXTJOIN(CHAR(10)&amp;CHAR(10),TRUE,_xlfn._xlws.FILTER("•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"&amp;Cards!$L$4:$L$1000),(Cards!$A$4:$A$1000&lt;&gt;"")*ISNUMBER(SEARCH($A69,Cards!$E$4:$E$1000)))),"-"))</f>
        <v/>
      </c>
      <c r="Q69" s="30"/>
      <c r="R69" s="27" t="str">
        <f>IF(OR($A69="",LEN(TRIM($O69))=0),"",IF(OR($P69="",$Q69=""),"ระบุ Severity + Impact",IFERROR(INDEX({"Urgent","Urgent","High","High";"Urgent","High","High","Medium";"High","High","Medium","Medium";"Medium","Medium","Low","Low"},MATCH($P69,{"Critical","High","Medium","Low"},0),MATCH($Q69,{"Extensive","Significant","Moderate","Minor"},0)),"-")))</f>
        <v/>
      </c>
      <c r="S69" s="30"/>
      <c r="T69" s="30"/>
      <c r="W69" s="32" t="str">
        <f>IF($A69="","",IF(OR($M69="Out of Scope",$M69="Canceled"),"Out of Scope",IF($M69="Blocked","Blocked",IF(AND($T69&lt;&gt;"Fixed – Retest Passed",OR(LEN(TRIM($O69))&gt;0,LEN(TRIM($P69))&gt;0)),IF(AND(OR($L69="Medium",$L69="Low"),SUMPRODUCT((Cards!$A$4:$A$1000&lt;&gt;"")*ISNUMBER(SEARCH($A69,Cards!$E$4:$E$1000))*(Cards!$F$4:$F$1000&lt;&gt;"Medium")*(Cards!$F$4:$F$1000&lt;&gt;"Low"))=0),"Conditionally Passed","Failed"),IF($M69="Done","Passed","Not Run")))))</f>
        <v/>
      </c>
      <c r="Y69" s="27" t="str" cm="1">
        <f t="array" ref="Y69">IF($A69="","",IF(TRIM($B69)="","-",IFERROR(_xlfn.TEXTJOIN(" / ",TRUE,_xlfn.UNIQUE(_xlfn._xlws.FILTER('Ownership Matrix'!$C$5:$C$200,('Ownership Matrix'!$A$5:$A$200=TRIM($B69))*('Ownership Matrix'!$C$5:$C$200&lt;&gt;"")))),"ไม่พบใน Ownership Matrix")))</f>
        <v/>
      </c>
      <c r="Z69" s="31" t="str">
        <f>IF(NOT(AND($A69&lt;&gt;"",$M69&lt;&gt;"Out of Scope",$M69&lt;&gt;"Canceled",$T69&lt;&gt;"Fixed – Retest Passed",OR(LEN(TRIM($O69))&gt;0,LEN(TRIM($P69))&gt;0))),"",IF(OR($W69="Failed",$R69="Urgent",$R69="High",$R69="ระบุ Severity + Impact"),IF(COUNTIFS(Dashboard!$B$105:$B$124,$O69,Dashboard!$I$105:$I$124,"CAB")&gt;0,"Accepted (CF)","Blocking"),"Deferrable"))</f>
        <v/>
      </c>
    </row>
    <row r="70" spans="7:26" x14ac:dyDescent="0.3">
      <c r="G70" s="27" t="str" cm="1">
        <f t="array" ref="G70">IF($A70="","",IFERROR(_xlfn.TEXTJOIN(CHAR(10)&amp;CHAR(10),TRUE,_xlfn._xlws.FILTER("•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"&amp;Cards!$L$4:$L$1000),(Cards!$A$4:$A$1000&lt;&gt;"")*ISNUMBER(SEARCH($A70,Cards!$E$4:$E$1000)))),"-"))</f>
        <v/>
      </c>
      <c r="Q70" s="30"/>
      <c r="R70" s="27" t="str">
        <f>IF(OR($A70="",LEN(TRIM($O70))=0),"",IF(OR($P70="",$Q70=""),"ระบุ Severity + Impact",IFERROR(INDEX({"Urgent","Urgent","High","High";"Urgent","High","High","Medium";"High","High","Medium","Medium";"Medium","Medium","Low","Low"},MATCH($P70,{"Critical","High","Medium","Low"},0),MATCH($Q70,{"Extensive","Significant","Moderate","Minor"},0)),"-")))</f>
        <v/>
      </c>
      <c r="S70" s="30"/>
      <c r="T70" s="30"/>
      <c r="W70" s="32" t="str">
        <f>IF($A70="","",IF(OR($M70="Out of Scope",$M70="Canceled"),"Out of Scope",IF($M70="Blocked","Blocked",IF(AND($T70&lt;&gt;"Fixed – Retest Passed",OR(LEN(TRIM($O70))&gt;0,LEN(TRIM($P70))&gt;0)),IF(AND(OR($L70="Medium",$L70="Low"),SUMPRODUCT((Cards!$A$4:$A$1000&lt;&gt;"")*ISNUMBER(SEARCH($A70,Cards!$E$4:$E$1000))*(Cards!$F$4:$F$1000&lt;&gt;"Medium")*(Cards!$F$4:$F$1000&lt;&gt;"Low"))=0),"Conditionally Passed","Failed"),IF($M70="Done","Passed","Not Run")))))</f>
        <v/>
      </c>
      <c r="Y70" s="27" t="str" cm="1">
        <f t="array" ref="Y70">IF($A70="","",IF(TRIM($B70)="","-",IFERROR(_xlfn.TEXTJOIN(" / ",TRUE,_xlfn.UNIQUE(_xlfn._xlws.FILTER('Ownership Matrix'!$C$5:$C$200,('Ownership Matrix'!$A$5:$A$200=TRIM($B70))*('Ownership Matrix'!$C$5:$C$200&lt;&gt;"")))),"ไม่พบใน Ownership Matrix")))</f>
        <v/>
      </c>
      <c r="Z70" s="31" t="str">
        <f>IF(NOT(AND($A70&lt;&gt;"",$M70&lt;&gt;"Out of Scope",$M70&lt;&gt;"Canceled",$T70&lt;&gt;"Fixed – Retest Passed",OR(LEN(TRIM($O70))&gt;0,LEN(TRIM($P70))&gt;0))),"",IF(OR($W70="Failed",$R70="Urgent",$R70="High",$R70="ระบุ Severity + Impact"),IF(COUNTIFS(Dashboard!$B$105:$B$124,$O70,Dashboard!$I$105:$I$124,"CAB")&gt;0,"Accepted (CF)","Blocking"),"Deferrable"))</f>
        <v/>
      </c>
    </row>
    <row r="71" spans="7:26" x14ac:dyDescent="0.3">
      <c r="G71" s="27" t="str" cm="1">
        <f t="array" ref="G71">IF($A71="","",IFERROR(_xlfn.TEXTJOIN(CHAR(10)&amp;CHAR(10),TRUE,_xlfn._xlws.FILTER("•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"&amp;Cards!$L$4:$L$1000),(Cards!$A$4:$A$1000&lt;&gt;"")*ISNUMBER(SEARCH($A71,Cards!$E$4:$E$1000)))),"-"))</f>
        <v/>
      </c>
      <c r="Q71" s="30"/>
      <c r="R71" s="27" t="str">
        <f>IF(OR($A71="",LEN(TRIM($O71))=0),"",IF(OR($P71="",$Q71=""),"ระบุ Severity + Impact",IFERROR(INDEX({"Urgent","Urgent","High","High";"Urgent","High","High","Medium";"High","High","Medium","Medium";"Medium","Medium","Low","Low"},MATCH($P71,{"Critical","High","Medium","Low"},0),MATCH($Q71,{"Extensive","Significant","Moderate","Minor"},0)),"-")))</f>
        <v/>
      </c>
      <c r="S71" s="30"/>
      <c r="T71" s="30"/>
      <c r="W71" s="32" t="str">
        <f>IF($A71="","",IF(OR($M71="Out of Scope",$M71="Canceled"),"Out of Scope",IF($M71="Blocked","Blocked",IF(AND($T71&lt;&gt;"Fixed – Retest Passed",OR(LEN(TRIM($O71))&gt;0,LEN(TRIM($P71))&gt;0)),IF(AND(OR($L71="Medium",$L71="Low"),SUMPRODUCT((Cards!$A$4:$A$1000&lt;&gt;"")*ISNUMBER(SEARCH($A71,Cards!$E$4:$E$1000))*(Cards!$F$4:$F$1000&lt;&gt;"Medium")*(Cards!$F$4:$F$1000&lt;&gt;"Low"))=0),"Conditionally Passed","Failed"),IF($M71="Done","Passed","Not Run")))))</f>
        <v/>
      </c>
      <c r="Y71" s="27" t="str" cm="1">
        <f t="array" ref="Y71">IF($A71="","",IF(TRIM($B71)="","-",IFERROR(_xlfn.TEXTJOIN(" / ",TRUE,_xlfn.UNIQUE(_xlfn._xlws.FILTER('Ownership Matrix'!$C$5:$C$200,('Ownership Matrix'!$A$5:$A$200=TRIM($B71))*('Ownership Matrix'!$C$5:$C$200&lt;&gt;"")))),"ไม่พบใน Ownership Matrix")))</f>
        <v/>
      </c>
      <c r="Z71" s="31" t="str">
        <f>IF(NOT(AND($A71&lt;&gt;"",$M71&lt;&gt;"Out of Scope",$M71&lt;&gt;"Canceled",$T71&lt;&gt;"Fixed – Retest Passed",OR(LEN(TRIM($O71))&gt;0,LEN(TRIM($P71))&gt;0))),"",IF(OR($W71="Failed",$R71="Urgent",$R71="High",$R71="ระบุ Severity + Impact"),IF(COUNTIFS(Dashboard!$B$105:$B$124,$O71,Dashboard!$I$105:$I$124,"CAB")&gt;0,"Accepted (CF)","Blocking"),"Deferrable"))</f>
        <v/>
      </c>
    </row>
    <row r="72" spans="7:26" x14ac:dyDescent="0.3">
      <c r="G72" s="27" t="str" cm="1">
        <f t="array" ref="G72">IF($A72="","",IFERROR(_xlfn.TEXTJOIN(CHAR(10)&amp;CHAR(10),TRUE,_xlfn._xlws.FILTER("•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"&amp;Cards!$L$4:$L$1000),(Cards!$A$4:$A$1000&lt;&gt;"")*ISNUMBER(SEARCH($A72,Cards!$E$4:$E$1000)))),"-"))</f>
        <v/>
      </c>
      <c r="Q72" s="30"/>
      <c r="R72" s="27" t="str">
        <f>IF(OR($A72="",LEN(TRIM($O72))=0),"",IF(OR($P72="",$Q72=""),"ระบุ Severity + Impact",IFERROR(INDEX({"Urgent","Urgent","High","High";"Urgent","High","High","Medium";"High","High","Medium","Medium";"Medium","Medium","Low","Low"},MATCH($P72,{"Critical","High","Medium","Low"},0),MATCH($Q72,{"Extensive","Significant","Moderate","Minor"},0)),"-")))</f>
        <v/>
      </c>
      <c r="S72" s="30"/>
      <c r="T72" s="30"/>
      <c r="W72" s="32" t="str">
        <f>IF($A72="","",IF(OR($M72="Out of Scope",$M72="Canceled"),"Out of Scope",IF($M72="Blocked","Blocked",IF(AND($T72&lt;&gt;"Fixed – Retest Passed",OR(LEN(TRIM($O72))&gt;0,LEN(TRIM($P72))&gt;0)),IF(AND(OR($L72="Medium",$L72="Low"),SUMPRODUCT((Cards!$A$4:$A$1000&lt;&gt;"")*ISNUMBER(SEARCH($A72,Cards!$E$4:$E$1000))*(Cards!$F$4:$F$1000&lt;&gt;"Medium")*(Cards!$F$4:$F$1000&lt;&gt;"Low"))=0),"Conditionally Passed","Failed"),IF($M72="Done","Passed","Not Run")))))</f>
        <v/>
      </c>
      <c r="Y72" s="27" t="str" cm="1">
        <f t="array" ref="Y72">IF($A72="","",IF(TRIM($B72)="","-",IFERROR(_xlfn.TEXTJOIN(" / ",TRUE,_xlfn.UNIQUE(_xlfn._xlws.FILTER('Ownership Matrix'!$C$5:$C$200,('Ownership Matrix'!$A$5:$A$200=TRIM($B72))*('Ownership Matrix'!$C$5:$C$200&lt;&gt;"")))),"ไม่พบใน Ownership Matrix")))</f>
        <v/>
      </c>
      <c r="Z72" s="31" t="str">
        <f>IF(NOT(AND($A72&lt;&gt;"",$M72&lt;&gt;"Out of Scope",$M72&lt;&gt;"Canceled",$T72&lt;&gt;"Fixed – Retest Passed",OR(LEN(TRIM($O72))&gt;0,LEN(TRIM($P72))&gt;0))),"",IF(OR($W72="Failed",$R72="Urgent",$R72="High",$R72="ระบุ Severity + Impact"),IF(COUNTIFS(Dashboard!$B$105:$B$124,$O72,Dashboard!$I$105:$I$124,"CAB")&gt;0,"Accepted (CF)","Blocking"),"Deferrable"))</f>
        <v/>
      </c>
    </row>
    <row r="73" spans="7:26" x14ac:dyDescent="0.3">
      <c r="G73" s="27" t="str" cm="1">
        <f t="array" ref="G73">IF($A73="","",IFERROR(_xlfn.TEXTJOIN(CHAR(10)&amp;CHAR(10),TRUE,_xlfn._xlws.FILTER("•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"&amp;Cards!$L$4:$L$1000),(Cards!$A$4:$A$1000&lt;&gt;"")*ISNUMBER(SEARCH($A73,Cards!$E$4:$E$1000)))),"-"))</f>
        <v/>
      </c>
      <c r="Q73" s="30"/>
      <c r="R73" s="27" t="str">
        <f>IF(OR($A73="",LEN(TRIM($O73))=0),"",IF(OR($P73="",$Q73=""),"ระบุ Severity + Impact",IFERROR(INDEX({"Urgent","Urgent","High","High";"Urgent","High","High","Medium";"High","High","Medium","Medium";"Medium","Medium","Low","Low"},MATCH($P73,{"Critical","High","Medium","Low"},0),MATCH($Q73,{"Extensive","Significant","Moderate","Minor"},0)),"-")))</f>
        <v/>
      </c>
      <c r="S73" s="30"/>
      <c r="T73" s="30"/>
      <c r="W73" s="32" t="str">
        <f>IF($A73="","",IF(OR($M73="Out of Scope",$M73="Canceled"),"Out of Scope",IF($M73="Blocked","Blocked",IF(AND($T73&lt;&gt;"Fixed – Retest Passed",OR(LEN(TRIM($O73))&gt;0,LEN(TRIM($P73))&gt;0)),IF(AND(OR($L73="Medium",$L73="Low"),SUMPRODUCT((Cards!$A$4:$A$1000&lt;&gt;"")*ISNUMBER(SEARCH($A73,Cards!$E$4:$E$1000))*(Cards!$F$4:$F$1000&lt;&gt;"Medium")*(Cards!$F$4:$F$1000&lt;&gt;"Low"))=0),"Conditionally Passed","Failed"),IF($M73="Done","Passed","Not Run")))))</f>
        <v/>
      </c>
      <c r="Y73" s="27" t="str" cm="1">
        <f t="array" ref="Y73">IF($A73="","",IF(TRIM($B73)="","-",IFERROR(_xlfn.TEXTJOIN(" / ",TRUE,_xlfn.UNIQUE(_xlfn._xlws.FILTER('Ownership Matrix'!$C$5:$C$200,('Ownership Matrix'!$A$5:$A$200=TRIM($B73))*('Ownership Matrix'!$C$5:$C$200&lt;&gt;"")))),"ไม่พบใน Ownership Matrix")))</f>
        <v/>
      </c>
      <c r="Z73" s="31" t="str">
        <f>IF(NOT(AND($A73&lt;&gt;"",$M73&lt;&gt;"Out of Scope",$M73&lt;&gt;"Canceled",$T73&lt;&gt;"Fixed – Retest Passed",OR(LEN(TRIM($O73))&gt;0,LEN(TRIM($P73))&gt;0))),"",IF(OR($W73="Failed",$R73="Urgent",$R73="High",$R73="ระบุ Severity + Impact"),IF(COUNTIFS(Dashboard!$B$105:$B$124,$O73,Dashboard!$I$105:$I$124,"CAB")&gt;0,"Accepted (CF)","Blocking"),"Deferrable"))</f>
        <v/>
      </c>
    </row>
    <row r="74" spans="7:26" x14ac:dyDescent="0.3">
      <c r="G74" s="27" t="str" cm="1">
        <f t="array" ref="G74">IF($A74="","",IFERROR(_xlfn.TEXTJOIN(CHAR(10)&amp;CHAR(10),TRUE,_xlfn._xlws.FILTER("•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"&amp;Cards!$L$4:$L$1000),(Cards!$A$4:$A$1000&lt;&gt;"")*ISNUMBER(SEARCH($A74,Cards!$E$4:$E$1000)))),"-"))</f>
        <v/>
      </c>
      <c r="Q74" s="30"/>
      <c r="R74" s="27" t="str">
        <f>IF(OR($A74="",LEN(TRIM($O74))=0),"",IF(OR($P74="",$Q74=""),"ระบุ Severity + Impact",IFERROR(INDEX({"Urgent","Urgent","High","High";"Urgent","High","High","Medium";"High","High","Medium","Medium";"Medium","Medium","Low","Low"},MATCH($P74,{"Critical","High","Medium","Low"},0),MATCH($Q74,{"Extensive","Significant","Moderate","Minor"},0)),"-")))</f>
        <v/>
      </c>
      <c r="S74" s="30"/>
      <c r="T74" s="30"/>
      <c r="W74" s="32" t="str">
        <f>IF($A74="","",IF(OR($M74="Out of Scope",$M74="Canceled"),"Out of Scope",IF($M74="Blocked","Blocked",IF(AND($T74&lt;&gt;"Fixed – Retest Passed",OR(LEN(TRIM($O74))&gt;0,LEN(TRIM($P74))&gt;0)),IF(AND(OR($L74="Medium",$L74="Low"),SUMPRODUCT((Cards!$A$4:$A$1000&lt;&gt;"")*ISNUMBER(SEARCH($A74,Cards!$E$4:$E$1000))*(Cards!$F$4:$F$1000&lt;&gt;"Medium")*(Cards!$F$4:$F$1000&lt;&gt;"Low"))=0),"Conditionally Passed","Failed"),IF($M74="Done","Passed","Not Run")))))</f>
        <v/>
      </c>
      <c r="Y74" s="27" t="str" cm="1">
        <f t="array" ref="Y74">IF($A74="","",IF(TRIM($B74)="","-",IFERROR(_xlfn.TEXTJOIN(" / ",TRUE,_xlfn.UNIQUE(_xlfn._xlws.FILTER('Ownership Matrix'!$C$5:$C$200,('Ownership Matrix'!$A$5:$A$200=TRIM($B74))*('Ownership Matrix'!$C$5:$C$200&lt;&gt;"")))),"ไม่พบใน Ownership Matrix")))</f>
        <v/>
      </c>
      <c r="Z74" s="31" t="str">
        <f>IF(NOT(AND($A74&lt;&gt;"",$M74&lt;&gt;"Out of Scope",$M74&lt;&gt;"Canceled",$T74&lt;&gt;"Fixed – Retest Passed",OR(LEN(TRIM($O74))&gt;0,LEN(TRIM($P74))&gt;0))),"",IF(OR($W74="Failed",$R74="Urgent",$R74="High",$R74="ระบุ Severity + Impact"),IF(COUNTIFS(Dashboard!$B$105:$B$124,$O74,Dashboard!$I$105:$I$124,"CAB")&gt;0,"Accepted (CF)","Blocking"),"Deferrable"))</f>
        <v/>
      </c>
    </row>
    <row r="75" spans="7:26" x14ac:dyDescent="0.3">
      <c r="G75" s="27" t="str" cm="1">
        <f t="array" ref="G75">IF($A75="","",IFERROR(_xlfn.TEXTJOIN(CHAR(10)&amp;CHAR(10),TRUE,_xlfn._xlws.FILTER("•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"&amp;Cards!$L$4:$L$1000),(Cards!$A$4:$A$1000&lt;&gt;"")*ISNUMBER(SEARCH($A75,Cards!$E$4:$E$1000)))),"-"))</f>
        <v/>
      </c>
      <c r="Q75" s="30"/>
      <c r="R75" s="27" t="str">
        <f>IF(OR($A75="",LEN(TRIM($O75))=0),"",IF(OR($P75="",$Q75=""),"ระบุ Severity + Impact",IFERROR(INDEX({"Urgent","Urgent","High","High";"Urgent","High","High","Medium";"High","High","Medium","Medium";"Medium","Medium","Low","Low"},MATCH($P75,{"Critical","High","Medium","Low"},0),MATCH($Q75,{"Extensive","Significant","Moderate","Minor"},0)),"-")))</f>
        <v/>
      </c>
      <c r="S75" s="30"/>
      <c r="T75" s="30"/>
      <c r="W75" s="32" t="str">
        <f>IF($A75="","",IF(OR($M75="Out of Scope",$M75="Canceled"),"Out of Scope",IF($M75="Blocked","Blocked",IF(AND($T75&lt;&gt;"Fixed – Retest Passed",OR(LEN(TRIM($O75))&gt;0,LEN(TRIM($P75))&gt;0)),IF(AND(OR($L75="Medium",$L75="Low"),SUMPRODUCT((Cards!$A$4:$A$1000&lt;&gt;"")*ISNUMBER(SEARCH($A75,Cards!$E$4:$E$1000))*(Cards!$F$4:$F$1000&lt;&gt;"Medium")*(Cards!$F$4:$F$1000&lt;&gt;"Low"))=0),"Conditionally Passed","Failed"),IF($M75="Done","Passed","Not Run")))))</f>
        <v/>
      </c>
      <c r="Y75" s="27" t="str" cm="1">
        <f t="array" ref="Y75">IF($A75="","",IF(TRIM($B75)="","-",IFERROR(_xlfn.TEXTJOIN(" / ",TRUE,_xlfn.UNIQUE(_xlfn._xlws.FILTER('Ownership Matrix'!$C$5:$C$200,('Ownership Matrix'!$A$5:$A$200=TRIM($B75))*('Ownership Matrix'!$C$5:$C$200&lt;&gt;"")))),"ไม่พบใน Ownership Matrix")))</f>
        <v/>
      </c>
      <c r="Z75" s="31" t="str">
        <f>IF(NOT(AND($A75&lt;&gt;"",$M75&lt;&gt;"Out of Scope",$M75&lt;&gt;"Canceled",$T75&lt;&gt;"Fixed – Retest Passed",OR(LEN(TRIM($O75))&gt;0,LEN(TRIM($P75))&gt;0))),"",IF(OR($W75="Failed",$R75="Urgent",$R75="High",$R75="ระบุ Severity + Impact"),IF(COUNTIFS(Dashboard!$B$105:$B$124,$O75,Dashboard!$I$105:$I$124,"CAB")&gt;0,"Accepted (CF)","Blocking"),"Deferrable"))</f>
        <v/>
      </c>
    </row>
    <row r="76" spans="7:26" x14ac:dyDescent="0.3">
      <c r="G76" s="27" t="str" cm="1">
        <f t="array" ref="G76">IF($A76="","",IFERROR(_xlfn.TEXTJOIN(CHAR(10)&amp;CHAR(10),TRUE,_xlfn._xlws.FILTER("•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"&amp;Cards!$L$4:$L$1000),(Cards!$A$4:$A$1000&lt;&gt;"")*ISNUMBER(SEARCH($A76,Cards!$E$4:$E$1000)))),"-"))</f>
        <v/>
      </c>
      <c r="Q76" s="30"/>
      <c r="R76" s="27" t="str">
        <f>IF(OR($A76="",LEN(TRIM($O76))=0),"",IF(OR($P76="",$Q76=""),"ระบุ Severity + Impact",IFERROR(INDEX({"Urgent","Urgent","High","High";"Urgent","High","High","Medium";"High","High","Medium","Medium";"Medium","Medium","Low","Low"},MATCH($P76,{"Critical","High","Medium","Low"},0),MATCH($Q76,{"Extensive","Significant","Moderate","Minor"},0)),"-")))</f>
        <v/>
      </c>
      <c r="S76" s="30"/>
      <c r="T76" s="30"/>
      <c r="W76" s="32" t="str">
        <f>IF($A76="","",IF(OR($M76="Out of Scope",$M76="Canceled"),"Out of Scope",IF($M76="Blocked","Blocked",IF(AND($T76&lt;&gt;"Fixed – Retest Passed",OR(LEN(TRIM($O76))&gt;0,LEN(TRIM($P76))&gt;0)),IF(AND(OR($L76="Medium",$L76="Low"),SUMPRODUCT((Cards!$A$4:$A$1000&lt;&gt;"")*ISNUMBER(SEARCH($A76,Cards!$E$4:$E$1000))*(Cards!$F$4:$F$1000&lt;&gt;"Medium")*(Cards!$F$4:$F$1000&lt;&gt;"Low"))=0),"Conditionally Passed","Failed"),IF($M76="Done","Passed","Not Run")))))</f>
        <v/>
      </c>
      <c r="Y76" s="27" t="str" cm="1">
        <f t="array" ref="Y76">IF($A76="","",IF(TRIM($B76)="","-",IFERROR(_xlfn.TEXTJOIN(" / ",TRUE,_xlfn.UNIQUE(_xlfn._xlws.FILTER('Ownership Matrix'!$C$5:$C$200,('Ownership Matrix'!$A$5:$A$200=TRIM($B76))*('Ownership Matrix'!$C$5:$C$200&lt;&gt;"")))),"ไม่พบใน Ownership Matrix")))</f>
        <v/>
      </c>
      <c r="Z76" s="31" t="str">
        <f>IF(NOT(AND($A76&lt;&gt;"",$M76&lt;&gt;"Out of Scope",$M76&lt;&gt;"Canceled",$T76&lt;&gt;"Fixed – Retest Passed",OR(LEN(TRIM($O76))&gt;0,LEN(TRIM($P76))&gt;0))),"",IF(OR($W76="Failed",$R76="Urgent",$R76="High",$R76="ระบุ Severity + Impact"),IF(COUNTIFS(Dashboard!$B$105:$B$124,$O76,Dashboard!$I$105:$I$124,"CAB")&gt;0,"Accepted (CF)","Blocking"),"Deferrable"))</f>
        <v/>
      </c>
    </row>
    <row r="77" spans="7:26" x14ac:dyDescent="0.3">
      <c r="G77" s="27" t="str" cm="1">
        <f t="array" ref="G77">IF($A77="","",IFERROR(_xlfn.TEXTJOIN(CHAR(10)&amp;CHAR(10),TRUE,_xlfn._xlws.FILTER("•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"&amp;Cards!$L$4:$L$1000),(Cards!$A$4:$A$1000&lt;&gt;"")*ISNUMBER(SEARCH($A77,Cards!$E$4:$E$1000)))),"-"))</f>
        <v/>
      </c>
      <c r="Q77" s="30"/>
      <c r="R77" s="27" t="str">
        <f>IF(OR($A77="",LEN(TRIM($O77))=0),"",IF(OR($P77="",$Q77=""),"ระบุ Severity + Impact",IFERROR(INDEX({"Urgent","Urgent","High","High";"Urgent","High","High","Medium";"High","High","Medium","Medium";"Medium","Medium","Low","Low"},MATCH($P77,{"Critical","High","Medium","Low"},0),MATCH($Q77,{"Extensive","Significant","Moderate","Minor"},0)),"-")))</f>
        <v/>
      </c>
      <c r="S77" s="30"/>
      <c r="T77" s="30"/>
      <c r="W77" s="32" t="str">
        <f>IF($A77="","",IF(OR($M77="Out of Scope",$M77="Canceled"),"Out of Scope",IF($M77="Blocked","Blocked",IF(AND($T77&lt;&gt;"Fixed – Retest Passed",OR(LEN(TRIM($O77))&gt;0,LEN(TRIM($P77))&gt;0)),IF(AND(OR($L77="Medium",$L77="Low"),SUMPRODUCT((Cards!$A$4:$A$1000&lt;&gt;"")*ISNUMBER(SEARCH($A77,Cards!$E$4:$E$1000))*(Cards!$F$4:$F$1000&lt;&gt;"Medium")*(Cards!$F$4:$F$1000&lt;&gt;"Low"))=0),"Conditionally Passed","Failed"),IF($M77="Done","Passed","Not Run")))))</f>
        <v/>
      </c>
      <c r="Y77" s="27" t="str" cm="1">
        <f t="array" ref="Y77">IF($A77="","",IF(TRIM($B77)="","-",IFERROR(_xlfn.TEXTJOIN(" / ",TRUE,_xlfn.UNIQUE(_xlfn._xlws.FILTER('Ownership Matrix'!$C$5:$C$200,('Ownership Matrix'!$A$5:$A$200=TRIM($B77))*('Ownership Matrix'!$C$5:$C$200&lt;&gt;"")))),"ไม่พบใน Ownership Matrix")))</f>
        <v/>
      </c>
      <c r="Z77" s="31" t="str">
        <f>IF(NOT(AND($A77&lt;&gt;"",$M77&lt;&gt;"Out of Scope",$M77&lt;&gt;"Canceled",$T77&lt;&gt;"Fixed – Retest Passed",OR(LEN(TRIM($O77))&gt;0,LEN(TRIM($P77))&gt;0))),"",IF(OR($W77="Failed",$R77="Urgent",$R77="High",$R77="ระบุ Severity + Impact"),IF(COUNTIFS(Dashboard!$B$105:$B$124,$O77,Dashboard!$I$105:$I$124,"CAB")&gt;0,"Accepted (CF)","Blocking"),"Deferrable"))</f>
        <v/>
      </c>
    </row>
    <row r="78" spans="7:26" x14ac:dyDescent="0.3">
      <c r="G78" s="27" t="str" cm="1">
        <f t="array" ref="G78">IF($A78="","",IFERROR(_xlfn.TEXTJOIN(CHAR(10)&amp;CHAR(10),TRUE,_xlfn._xlws.FILTER("•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"&amp;Cards!$L$4:$L$1000),(Cards!$A$4:$A$1000&lt;&gt;"")*ISNUMBER(SEARCH($A78,Cards!$E$4:$E$1000)))),"-"))</f>
        <v/>
      </c>
      <c r="Q78" s="30"/>
      <c r="R78" s="27" t="str">
        <f>IF(OR($A78="",LEN(TRIM($O78))=0),"",IF(OR($P78="",$Q78=""),"ระบุ Severity + Impact",IFERROR(INDEX({"Urgent","Urgent","High","High";"Urgent","High","High","Medium";"High","High","Medium","Medium";"Medium","Medium","Low","Low"},MATCH($P78,{"Critical","High","Medium","Low"},0),MATCH($Q78,{"Extensive","Significant","Moderate","Minor"},0)),"-")))</f>
        <v/>
      </c>
      <c r="S78" s="30"/>
      <c r="T78" s="30"/>
      <c r="W78" s="32" t="str">
        <f>IF($A78="","",IF(OR($M78="Out of Scope",$M78="Canceled"),"Out of Scope",IF($M78="Blocked","Blocked",IF(AND($T78&lt;&gt;"Fixed – Retest Passed",OR(LEN(TRIM($O78))&gt;0,LEN(TRIM($P78))&gt;0)),IF(AND(OR($L78="Medium",$L78="Low"),SUMPRODUCT((Cards!$A$4:$A$1000&lt;&gt;"")*ISNUMBER(SEARCH($A78,Cards!$E$4:$E$1000))*(Cards!$F$4:$F$1000&lt;&gt;"Medium")*(Cards!$F$4:$F$1000&lt;&gt;"Low"))=0),"Conditionally Passed","Failed"),IF($M78="Done","Passed","Not Run")))))</f>
        <v/>
      </c>
      <c r="Y78" s="27" t="str" cm="1">
        <f t="array" ref="Y78">IF($A78="","",IF(TRIM($B78)="","-",IFERROR(_xlfn.TEXTJOIN(" / ",TRUE,_xlfn.UNIQUE(_xlfn._xlws.FILTER('Ownership Matrix'!$C$5:$C$200,('Ownership Matrix'!$A$5:$A$200=TRIM($B78))*('Ownership Matrix'!$C$5:$C$200&lt;&gt;"")))),"ไม่พบใน Ownership Matrix")))</f>
        <v/>
      </c>
      <c r="Z78" s="31" t="str">
        <f>IF(NOT(AND($A78&lt;&gt;"",$M78&lt;&gt;"Out of Scope",$M78&lt;&gt;"Canceled",$T78&lt;&gt;"Fixed – Retest Passed",OR(LEN(TRIM($O78))&gt;0,LEN(TRIM($P78))&gt;0))),"",IF(OR($W78="Failed",$R78="Urgent",$R78="High",$R78="ระบุ Severity + Impact"),IF(COUNTIFS(Dashboard!$B$105:$B$124,$O78,Dashboard!$I$105:$I$124,"CAB")&gt;0,"Accepted (CF)","Blocking"),"Deferrable"))</f>
        <v/>
      </c>
    </row>
    <row r="79" spans="7:26" x14ac:dyDescent="0.3">
      <c r="G79" s="27" t="str" cm="1">
        <f t="array" ref="G79">IF($A79="","",IFERROR(_xlfn.TEXTJOIN(CHAR(10)&amp;CHAR(10),TRUE,_xlfn._xlws.FILTER("•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"&amp;Cards!$L$4:$L$1000),(Cards!$A$4:$A$1000&lt;&gt;"")*ISNUMBER(SEARCH($A79,Cards!$E$4:$E$1000)))),"-"))</f>
        <v/>
      </c>
      <c r="Q79" s="30"/>
      <c r="R79" s="27" t="str">
        <f>IF(OR($A79="",LEN(TRIM($O79))=0),"",IF(OR($P79="",$Q79=""),"ระบุ Severity + Impact",IFERROR(INDEX({"Urgent","Urgent","High","High";"Urgent","High","High","Medium";"High","High","Medium","Medium";"Medium","Medium","Low","Low"},MATCH($P79,{"Critical","High","Medium","Low"},0),MATCH($Q79,{"Extensive","Significant","Moderate","Minor"},0)),"-")))</f>
        <v/>
      </c>
      <c r="S79" s="30"/>
      <c r="T79" s="30"/>
      <c r="W79" s="32" t="str">
        <f>IF($A79="","",IF(OR($M79="Out of Scope",$M79="Canceled"),"Out of Scope",IF($M79="Blocked","Blocked",IF(AND($T79&lt;&gt;"Fixed – Retest Passed",OR(LEN(TRIM($O79))&gt;0,LEN(TRIM($P79))&gt;0)),IF(AND(OR($L79="Medium",$L79="Low"),SUMPRODUCT((Cards!$A$4:$A$1000&lt;&gt;"")*ISNUMBER(SEARCH($A79,Cards!$E$4:$E$1000))*(Cards!$F$4:$F$1000&lt;&gt;"Medium")*(Cards!$F$4:$F$1000&lt;&gt;"Low"))=0),"Conditionally Passed","Failed"),IF($M79="Done","Passed","Not Run")))))</f>
        <v/>
      </c>
      <c r="Y79" s="27" t="str" cm="1">
        <f t="array" ref="Y79">IF($A79="","",IF(TRIM($B79)="","-",IFERROR(_xlfn.TEXTJOIN(" / ",TRUE,_xlfn.UNIQUE(_xlfn._xlws.FILTER('Ownership Matrix'!$C$5:$C$200,('Ownership Matrix'!$A$5:$A$200=TRIM($B79))*('Ownership Matrix'!$C$5:$C$200&lt;&gt;"")))),"ไม่พบใน Ownership Matrix")))</f>
        <v/>
      </c>
      <c r="Z79" s="31" t="str">
        <f>IF(NOT(AND($A79&lt;&gt;"",$M79&lt;&gt;"Out of Scope",$M79&lt;&gt;"Canceled",$T79&lt;&gt;"Fixed – Retest Passed",OR(LEN(TRIM($O79))&gt;0,LEN(TRIM($P79))&gt;0))),"",IF(OR($W79="Failed",$R79="Urgent",$R79="High",$R79="ระบุ Severity + Impact"),IF(COUNTIFS(Dashboard!$B$105:$B$124,$O79,Dashboard!$I$105:$I$124,"CAB")&gt;0,"Accepted (CF)","Blocking"),"Deferrable"))</f>
        <v/>
      </c>
    </row>
    <row r="80" spans="7:26" x14ac:dyDescent="0.3">
      <c r="G80" s="27" t="str" cm="1">
        <f t="array" ref="G80">IF($A80="","",IFERROR(_xlfn.TEXTJOIN(CHAR(10)&amp;CHAR(10),TRUE,_xlfn._xlws.FILTER("•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"&amp;Cards!$L$4:$L$1000),(Cards!$A$4:$A$1000&lt;&gt;"")*ISNUMBER(SEARCH($A80,Cards!$E$4:$E$1000)))),"-"))</f>
        <v/>
      </c>
      <c r="Q80" s="30"/>
      <c r="R80" s="27" t="str">
        <f>IF(OR($A80="",LEN(TRIM($O80))=0),"",IF(OR($P80="",$Q80=""),"ระบุ Severity + Impact",IFERROR(INDEX({"Urgent","Urgent","High","High";"Urgent","High","High","Medium";"High","High","Medium","Medium";"Medium","Medium","Low","Low"},MATCH($P80,{"Critical","High","Medium","Low"},0),MATCH($Q80,{"Extensive","Significant","Moderate","Minor"},0)),"-")))</f>
        <v/>
      </c>
      <c r="S80" s="30"/>
      <c r="T80" s="30"/>
      <c r="W80" s="32" t="str">
        <f>IF($A80="","",IF(OR($M80="Out of Scope",$M80="Canceled"),"Out of Scope",IF($M80="Blocked","Blocked",IF(AND($T80&lt;&gt;"Fixed – Retest Passed",OR(LEN(TRIM($O80))&gt;0,LEN(TRIM($P80))&gt;0)),IF(AND(OR($L80="Medium",$L80="Low"),SUMPRODUCT((Cards!$A$4:$A$1000&lt;&gt;"")*ISNUMBER(SEARCH($A80,Cards!$E$4:$E$1000))*(Cards!$F$4:$F$1000&lt;&gt;"Medium")*(Cards!$F$4:$F$1000&lt;&gt;"Low"))=0),"Conditionally Passed","Failed"),IF($M80="Done","Passed","Not Run")))))</f>
        <v/>
      </c>
      <c r="Y80" s="27" t="str" cm="1">
        <f t="array" ref="Y80">IF($A80="","",IF(TRIM($B80)="","-",IFERROR(_xlfn.TEXTJOIN(" / ",TRUE,_xlfn.UNIQUE(_xlfn._xlws.FILTER('Ownership Matrix'!$C$5:$C$200,('Ownership Matrix'!$A$5:$A$200=TRIM($B80))*('Ownership Matrix'!$C$5:$C$200&lt;&gt;"")))),"ไม่พบใน Ownership Matrix")))</f>
        <v/>
      </c>
      <c r="Z80" s="31" t="str">
        <f>IF(NOT(AND($A80&lt;&gt;"",$M80&lt;&gt;"Out of Scope",$M80&lt;&gt;"Canceled",$T80&lt;&gt;"Fixed – Retest Passed",OR(LEN(TRIM($O80))&gt;0,LEN(TRIM($P80))&gt;0))),"",IF(OR($W80="Failed",$R80="Urgent",$R80="High",$R80="ระบุ Severity + Impact"),IF(COUNTIFS(Dashboard!$B$105:$B$124,$O80,Dashboard!$I$105:$I$124,"CAB")&gt;0,"Accepted (CF)","Blocking"),"Deferrable"))</f>
        <v/>
      </c>
    </row>
    <row r="81" spans="7:26" x14ac:dyDescent="0.3">
      <c r="G81" s="27" t="str" cm="1">
        <f t="array" ref="G81">IF($A81="","",IFERROR(_xlfn.TEXTJOIN(CHAR(10)&amp;CHAR(10),TRUE,_xlfn._xlws.FILTER("•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"&amp;Cards!$L$4:$L$1000),(Cards!$A$4:$A$1000&lt;&gt;"")*ISNUMBER(SEARCH($A81,Cards!$E$4:$E$1000)))),"-"))</f>
        <v/>
      </c>
      <c r="Q81" s="30"/>
      <c r="R81" s="27" t="str">
        <f>IF(OR($A81="",LEN(TRIM($O81))=0),"",IF(OR($P81="",$Q81=""),"ระบุ Severity + Impact",IFERROR(INDEX({"Urgent","Urgent","High","High";"Urgent","High","High","Medium";"High","High","Medium","Medium";"Medium","Medium","Low","Low"},MATCH($P81,{"Critical","High","Medium","Low"},0),MATCH($Q81,{"Extensive","Significant","Moderate","Minor"},0)),"-")))</f>
        <v/>
      </c>
      <c r="S81" s="30"/>
      <c r="T81" s="30"/>
      <c r="W81" s="32" t="str">
        <f>IF($A81="","",IF(OR($M81="Out of Scope",$M81="Canceled"),"Out of Scope",IF($M81="Blocked","Blocked",IF(AND($T81&lt;&gt;"Fixed – Retest Passed",OR(LEN(TRIM($O81))&gt;0,LEN(TRIM($P81))&gt;0)),IF(AND(OR($L81="Medium",$L81="Low"),SUMPRODUCT((Cards!$A$4:$A$1000&lt;&gt;"")*ISNUMBER(SEARCH($A81,Cards!$E$4:$E$1000))*(Cards!$F$4:$F$1000&lt;&gt;"Medium")*(Cards!$F$4:$F$1000&lt;&gt;"Low"))=0),"Conditionally Passed","Failed"),IF($M81="Done","Passed","Not Run")))))</f>
        <v/>
      </c>
      <c r="Y81" s="27" t="str" cm="1">
        <f t="array" ref="Y81">IF($A81="","",IF(TRIM($B81)="","-",IFERROR(_xlfn.TEXTJOIN(" / ",TRUE,_xlfn.UNIQUE(_xlfn._xlws.FILTER('Ownership Matrix'!$C$5:$C$200,('Ownership Matrix'!$A$5:$A$200=TRIM($B81))*('Ownership Matrix'!$C$5:$C$200&lt;&gt;"")))),"ไม่พบใน Ownership Matrix")))</f>
        <v/>
      </c>
      <c r="Z81" s="31" t="str">
        <f>IF(NOT(AND($A81&lt;&gt;"",$M81&lt;&gt;"Out of Scope",$M81&lt;&gt;"Canceled",$T81&lt;&gt;"Fixed – Retest Passed",OR(LEN(TRIM($O81))&gt;0,LEN(TRIM($P81))&gt;0))),"",IF(OR($W81="Failed",$R81="Urgent",$R81="High",$R81="ระบุ Severity + Impact"),IF(COUNTIFS(Dashboard!$B$105:$B$124,$O81,Dashboard!$I$105:$I$124,"CAB")&gt;0,"Accepted (CF)","Blocking"),"Deferrable"))</f>
        <v/>
      </c>
    </row>
    <row r="82" spans="7:26" x14ac:dyDescent="0.3">
      <c r="G82" s="27" t="str" cm="1">
        <f t="array" ref="G82">IF($A82="","",IFERROR(_xlfn.TEXTJOIN(CHAR(10)&amp;CHAR(10),TRUE,_xlfn._xlws.FILTER("•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"&amp;Cards!$L$4:$L$1000),(Cards!$A$4:$A$1000&lt;&gt;"")*ISNUMBER(SEARCH($A82,Cards!$E$4:$E$1000)))),"-"))</f>
        <v/>
      </c>
      <c r="Q82" s="30"/>
      <c r="R82" s="27" t="str">
        <f>IF(OR($A82="",LEN(TRIM($O82))=0),"",IF(OR($P82="",$Q82=""),"ระบุ Severity + Impact",IFERROR(INDEX({"Urgent","Urgent","High","High";"Urgent","High","High","Medium";"High","High","Medium","Medium";"Medium","Medium","Low","Low"},MATCH($P82,{"Critical","High","Medium","Low"},0),MATCH($Q82,{"Extensive","Significant","Moderate","Minor"},0)),"-")))</f>
        <v/>
      </c>
      <c r="S82" s="30"/>
      <c r="T82" s="30"/>
      <c r="W82" s="32" t="str">
        <f>IF($A82="","",IF(OR($M82="Out of Scope",$M82="Canceled"),"Out of Scope",IF($M82="Blocked","Blocked",IF(AND($T82&lt;&gt;"Fixed – Retest Passed",OR(LEN(TRIM($O82))&gt;0,LEN(TRIM($P82))&gt;0)),IF(AND(OR($L82="Medium",$L82="Low"),SUMPRODUCT((Cards!$A$4:$A$1000&lt;&gt;"")*ISNUMBER(SEARCH($A82,Cards!$E$4:$E$1000))*(Cards!$F$4:$F$1000&lt;&gt;"Medium")*(Cards!$F$4:$F$1000&lt;&gt;"Low"))=0),"Conditionally Passed","Failed"),IF($M82="Done","Passed","Not Run")))))</f>
        <v/>
      </c>
      <c r="Y82" s="27" t="str" cm="1">
        <f t="array" ref="Y82">IF($A82="","",IF(TRIM($B82)="","-",IFERROR(_xlfn.TEXTJOIN(" / ",TRUE,_xlfn.UNIQUE(_xlfn._xlws.FILTER('Ownership Matrix'!$C$5:$C$200,('Ownership Matrix'!$A$5:$A$200=TRIM($B82))*('Ownership Matrix'!$C$5:$C$200&lt;&gt;"")))),"ไม่พบใน Ownership Matrix")))</f>
        <v/>
      </c>
      <c r="Z82" s="31" t="str">
        <f>IF(NOT(AND($A82&lt;&gt;"",$M82&lt;&gt;"Out of Scope",$M82&lt;&gt;"Canceled",$T82&lt;&gt;"Fixed – Retest Passed",OR(LEN(TRIM($O82))&gt;0,LEN(TRIM($P82))&gt;0))),"",IF(OR($W82="Failed",$R82="Urgent",$R82="High",$R82="ระบุ Severity + Impact"),IF(COUNTIFS(Dashboard!$B$105:$B$124,$O82,Dashboard!$I$105:$I$124,"CAB")&gt;0,"Accepted (CF)","Blocking"),"Deferrable"))</f>
        <v/>
      </c>
    </row>
    <row r="83" spans="7:26" x14ac:dyDescent="0.3">
      <c r="G83" s="27" t="str" cm="1">
        <f t="array" ref="G83">IF($A83="","",IFERROR(_xlfn.TEXTJOIN(CHAR(10)&amp;CHAR(10),TRUE,_xlfn._xlws.FILTER("•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"&amp;Cards!$L$4:$L$1000),(Cards!$A$4:$A$1000&lt;&gt;"")*ISNUMBER(SEARCH($A83,Cards!$E$4:$E$1000)))),"-"))</f>
        <v/>
      </c>
      <c r="Q83" s="30"/>
      <c r="R83" s="27" t="str">
        <f>IF(OR($A83="",LEN(TRIM($O83))=0),"",IF(OR($P83="",$Q83=""),"ระบุ Severity + Impact",IFERROR(INDEX({"Urgent","Urgent","High","High";"Urgent","High","High","Medium";"High","High","Medium","Medium";"Medium","Medium","Low","Low"},MATCH($P83,{"Critical","High","Medium","Low"},0),MATCH($Q83,{"Extensive","Significant","Moderate","Minor"},0)),"-")))</f>
        <v/>
      </c>
      <c r="S83" s="30"/>
      <c r="T83" s="30"/>
      <c r="W83" s="32" t="str">
        <f>IF($A83="","",IF(OR($M83="Out of Scope",$M83="Canceled"),"Out of Scope",IF($M83="Blocked","Blocked",IF(AND($T83&lt;&gt;"Fixed – Retest Passed",OR(LEN(TRIM($O83))&gt;0,LEN(TRIM($P83))&gt;0)),IF(AND(OR($L83="Medium",$L83="Low"),SUMPRODUCT((Cards!$A$4:$A$1000&lt;&gt;"")*ISNUMBER(SEARCH($A83,Cards!$E$4:$E$1000))*(Cards!$F$4:$F$1000&lt;&gt;"Medium")*(Cards!$F$4:$F$1000&lt;&gt;"Low"))=0),"Conditionally Passed","Failed"),IF($M83="Done","Passed","Not Run")))))</f>
        <v/>
      </c>
      <c r="Y83" s="27" t="str" cm="1">
        <f t="array" ref="Y83">IF($A83="","",IF(TRIM($B83)="","-",IFERROR(_xlfn.TEXTJOIN(" / ",TRUE,_xlfn.UNIQUE(_xlfn._xlws.FILTER('Ownership Matrix'!$C$5:$C$200,('Ownership Matrix'!$A$5:$A$200=TRIM($B83))*('Ownership Matrix'!$C$5:$C$200&lt;&gt;"")))),"ไม่พบใน Ownership Matrix")))</f>
        <v/>
      </c>
      <c r="Z83" s="31" t="str">
        <f>IF(NOT(AND($A83&lt;&gt;"",$M83&lt;&gt;"Out of Scope",$M83&lt;&gt;"Canceled",$T83&lt;&gt;"Fixed – Retest Passed",OR(LEN(TRIM($O83))&gt;0,LEN(TRIM($P83))&gt;0))),"",IF(OR($W83="Failed",$R83="Urgent",$R83="High",$R83="ระบุ Severity + Impact"),IF(COUNTIFS(Dashboard!$B$105:$B$124,$O83,Dashboard!$I$105:$I$124,"CAB")&gt;0,"Accepted (CF)","Blocking"),"Deferrable"))</f>
        <v/>
      </c>
    </row>
    <row r="84" spans="7:26" x14ac:dyDescent="0.3">
      <c r="G84" s="27" t="str" cm="1">
        <f t="array" ref="G84">IF($A84="","",IFERROR(_xlfn.TEXTJOIN(CHAR(10)&amp;CHAR(10),TRUE,_xlfn._xlws.FILTER("•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"&amp;Cards!$L$4:$L$1000),(Cards!$A$4:$A$1000&lt;&gt;"")*ISNUMBER(SEARCH($A84,Cards!$E$4:$E$1000)))),"-"))</f>
        <v/>
      </c>
      <c r="Q84" s="30"/>
      <c r="R84" s="27" t="str">
        <f>IF(OR($A84="",LEN(TRIM($O84))=0),"",IF(OR($P84="",$Q84=""),"ระบุ Severity + Impact",IFERROR(INDEX({"Urgent","Urgent","High","High";"Urgent","High","High","Medium";"High","High","Medium","Medium";"Medium","Medium","Low","Low"},MATCH($P84,{"Critical","High","Medium","Low"},0),MATCH($Q84,{"Extensive","Significant","Moderate","Minor"},0)),"-")))</f>
        <v/>
      </c>
      <c r="S84" s="30"/>
      <c r="T84" s="30"/>
      <c r="W84" s="32" t="str">
        <f>IF($A84="","",IF(OR($M84="Out of Scope",$M84="Canceled"),"Out of Scope",IF($M84="Blocked","Blocked",IF(AND($T84&lt;&gt;"Fixed – Retest Passed",OR(LEN(TRIM($O84))&gt;0,LEN(TRIM($P84))&gt;0)),IF(AND(OR($L84="Medium",$L84="Low"),SUMPRODUCT((Cards!$A$4:$A$1000&lt;&gt;"")*ISNUMBER(SEARCH($A84,Cards!$E$4:$E$1000))*(Cards!$F$4:$F$1000&lt;&gt;"Medium")*(Cards!$F$4:$F$1000&lt;&gt;"Low"))=0),"Conditionally Passed","Failed"),IF($M84="Done","Passed","Not Run")))))</f>
        <v/>
      </c>
      <c r="Y84" s="27" t="str" cm="1">
        <f t="array" ref="Y84">IF($A84="","",IF(TRIM($B84)="","-",IFERROR(_xlfn.TEXTJOIN(" / ",TRUE,_xlfn.UNIQUE(_xlfn._xlws.FILTER('Ownership Matrix'!$C$5:$C$200,('Ownership Matrix'!$A$5:$A$200=TRIM($B84))*('Ownership Matrix'!$C$5:$C$200&lt;&gt;"")))),"ไม่พบใน Ownership Matrix")))</f>
        <v/>
      </c>
      <c r="Z84" s="31" t="str">
        <f>IF(NOT(AND($A84&lt;&gt;"",$M84&lt;&gt;"Out of Scope",$M84&lt;&gt;"Canceled",$T84&lt;&gt;"Fixed – Retest Passed",OR(LEN(TRIM($O84))&gt;0,LEN(TRIM($P84))&gt;0))),"",IF(OR($W84="Failed",$R84="Urgent",$R84="High",$R84="ระบุ Severity + Impact"),IF(COUNTIFS(Dashboard!$B$105:$B$124,$O84,Dashboard!$I$105:$I$124,"CAB")&gt;0,"Accepted (CF)","Blocking"),"Deferrable"))</f>
        <v/>
      </c>
    </row>
    <row r="85" spans="7:26" x14ac:dyDescent="0.3">
      <c r="G85" s="27" t="str" cm="1">
        <f t="array" ref="G85">IF($A85="","",IFERROR(_xlfn.TEXTJOIN(CHAR(10)&amp;CHAR(10),TRUE,_xlfn._xlws.FILTER("•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"&amp;Cards!$L$4:$L$1000),(Cards!$A$4:$A$1000&lt;&gt;"")*ISNUMBER(SEARCH($A85,Cards!$E$4:$E$1000)))),"-"))</f>
        <v/>
      </c>
      <c r="Q85" s="30"/>
      <c r="R85" s="27" t="str">
        <f>IF(OR($A85="",LEN(TRIM($O85))=0),"",IF(OR($P85="",$Q85=""),"ระบุ Severity + Impact",IFERROR(INDEX({"Urgent","Urgent","High","High";"Urgent","High","High","Medium";"High","High","Medium","Medium";"Medium","Medium","Low","Low"},MATCH($P85,{"Critical","High","Medium","Low"},0),MATCH($Q85,{"Extensive","Significant","Moderate","Minor"},0)),"-")))</f>
        <v/>
      </c>
      <c r="S85" s="30"/>
      <c r="T85" s="30"/>
      <c r="W85" s="32" t="str">
        <f>IF($A85="","",IF(OR($M85="Out of Scope",$M85="Canceled"),"Out of Scope",IF($M85="Blocked","Blocked",IF(AND($T85&lt;&gt;"Fixed – Retest Passed",OR(LEN(TRIM($O85))&gt;0,LEN(TRIM($P85))&gt;0)),IF(AND(OR($L85="Medium",$L85="Low"),SUMPRODUCT((Cards!$A$4:$A$1000&lt;&gt;"")*ISNUMBER(SEARCH($A85,Cards!$E$4:$E$1000))*(Cards!$F$4:$F$1000&lt;&gt;"Medium")*(Cards!$F$4:$F$1000&lt;&gt;"Low"))=0),"Conditionally Passed","Failed"),IF($M85="Done","Passed","Not Run")))))</f>
        <v/>
      </c>
      <c r="Y85" s="27" t="str" cm="1">
        <f t="array" ref="Y85">IF($A85="","",IF(TRIM($B85)="","-",IFERROR(_xlfn.TEXTJOIN(" / ",TRUE,_xlfn.UNIQUE(_xlfn._xlws.FILTER('Ownership Matrix'!$C$5:$C$200,('Ownership Matrix'!$A$5:$A$200=TRIM($B85))*('Ownership Matrix'!$C$5:$C$200&lt;&gt;"")))),"ไม่พบใน Ownership Matrix")))</f>
        <v/>
      </c>
      <c r="Z85" s="31" t="str">
        <f>IF(NOT(AND($A85&lt;&gt;"",$M85&lt;&gt;"Out of Scope",$M85&lt;&gt;"Canceled",$T85&lt;&gt;"Fixed – Retest Passed",OR(LEN(TRIM($O85))&gt;0,LEN(TRIM($P85))&gt;0))),"",IF(OR($W85="Failed",$R85="Urgent",$R85="High",$R85="ระบุ Severity + Impact"),IF(COUNTIFS(Dashboard!$B$105:$B$124,$O85,Dashboard!$I$105:$I$124,"CAB")&gt;0,"Accepted (CF)","Blocking"),"Deferrable"))</f>
        <v/>
      </c>
    </row>
    <row r="86" spans="7:26" x14ac:dyDescent="0.3">
      <c r="G86" s="27" t="str" cm="1">
        <f t="array" ref="G86">IF($A86="","",IFERROR(_xlfn.TEXTJOIN(CHAR(10)&amp;CHAR(10),TRUE,_xlfn._xlws.FILTER("•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"&amp;Cards!$L$4:$L$1000),(Cards!$A$4:$A$1000&lt;&gt;"")*ISNUMBER(SEARCH($A86,Cards!$E$4:$E$1000)))),"-"))</f>
        <v/>
      </c>
      <c r="Q86" s="30"/>
      <c r="R86" s="27" t="str">
        <f>IF(OR($A86="",LEN(TRIM($O86))=0),"",IF(OR($P86="",$Q86=""),"ระบุ Severity + Impact",IFERROR(INDEX({"Urgent","Urgent","High","High";"Urgent","High","High","Medium";"High","High","Medium","Medium";"Medium","Medium","Low","Low"},MATCH($P86,{"Critical","High","Medium","Low"},0),MATCH($Q86,{"Extensive","Significant","Moderate","Minor"},0)),"-")))</f>
        <v/>
      </c>
      <c r="S86" s="30"/>
      <c r="T86" s="30"/>
      <c r="W86" s="32" t="str">
        <f>IF($A86="","",IF(OR($M86="Out of Scope",$M86="Canceled"),"Out of Scope",IF($M86="Blocked","Blocked",IF(AND($T86&lt;&gt;"Fixed – Retest Passed",OR(LEN(TRIM($O86))&gt;0,LEN(TRIM($P86))&gt;0)),IF(AND(OR($L86="Medium",$L86="Low"),SUMPRODUCT((Cards!$A$4:$A$1000&lt;&gt;"")*ISNUMBER(SEARCH($A86,Cards!$E$4:$E$1000))*(Cards!$F$4:$F$1000&lt;&gt;"Medium")*(Cards!$F$4:$F$1000&lt;&gt;"Low"))=0),"Conditionally Passed","Failed"),IF($M86="Done","Passed","Not Run")))))</f>
        <v/>
      </c>
      <c r="Y86" s="27" t="str" cm="1">
        <f t="array" ref="Y86">IF($A86="","",IF(TRIM($B86)="","-",IFERROR(_xlfn.TEXTJOIN(" / ",TRUE,_xlfn.UNIQUE(_xlfn._xlws.FILTER('Ownership Matrix'!$C$5:$C$200,('Ownership Matrix'!$A$5:$A$200=TRIM($B86))*('Ownership Matrix'!$C$5:$C$200&lt;&gt;"")))),"ไม่พบใน Ownership Matrix")))</f>
        <v/>
      </c>
      <c r="Z86" s="31" t="str">
        <f>IF(NOT(AND($A86&lt;&gt;"",$M86&lt;&gt;"Out of Scope",$M86&lt;&gt;"Canceled",$T86&lt;&gt;"Fixed – Retest Passed",OR(LEN(TRIM($O86))&gt;0,LEN(TRIM($P86))&gt;0))),"",IF(OR($W86="Failed",$R86="Urgent",$R86="High",$R86="ระบุ Severity + Impact"),IF(COUNTIFS(Dashboard!$B$105:$B$124,$O86,Dashboard!$I$105:$I$124,"CAB")&gt;0,"Accepted (CF)","Blocking"),"Deferrable"))</f>
        <v/>
      </c>
    </row>
    <row r="87" spans="7:26" x14ac:dyDescent="0.3">
      <c r="G87" s="27" t="str" cm="1">
        <f t="array" ref="G87">IF($A87="","",IFERROR(_xlfn.TEXTJOIN(CHAR(10)&amp;CHAR(10),TRUE,_xlfn._xlws.FILTER("•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"&amp;Cards!$L$4:$L$1000),(Cards!$A$4:$A$1000&lt;&gt;"")*ISNUMBER(SEARCH($A87,Cards!$E$4:$E$1000)))),"-"))</f>
        <v/>
      </c>
      <c r="Q87" s="30"/>
      <c r="R87" s="27" t="str">
        <f>IF(OR($A87="",LEN(TRIM($O87))=0),"",IF(OR($P87="",$Q87=""),"ระบุ Severity + Impact",IFERROR(INDEX({"Urgent","Urgent","High","High";"Urgent","High","High","Medium";"High","High","Medium","Medium";"Medium","Medium","Low","Low"},MATCH($P87,{"Critical","High","Medium","Low"},0),MATCH($Q87,{"Extensive","Significant","Moderate","Minor"},0)),"-")))</f>
        <v/>
      </c>
      <c r="S87" s="30"/>
      <c r="T87" s="30"/>
      <c r="W87" s="32" t="str">
        <f>IF($A87="","",IF(OR($M87="Out of Scope",$M87="Canceled"),"Out of Scope",IF($M87="Blocked","Blocked",IF(AND($T87&lt;&gt;"Fixed – Retest Passed",OR(LEN(TRIM($O87))&gt;0,LEN(TRIM($P87))&gt;0)),IF(AND(OR($L87="Medium",$L87="Low"),SUMPRODUCT((Cards!$A$4:$A$1000&lt;&gt;"")*ISNUMBER(SEARCH($A87,Cards!$E$4:$E$1000))*(Cards!$F$4:$F$1000&lt;&gt;"Medium")*(Cards!$F$4:$F$1000&lt;&gt;"Low"))=0),"Conditionally Passed","Failed"),IF($M87="Done","Passed","Not Run")))))</f>
        <v/>
      </c>
      <c r="Y87" s="27" t="str" cm="1">
        <f t="array" ref="Y87">IF($A87="","",IF(TRIM($B87)="","-",IFERROR(_xlfn.TEXTJOIN(" / ",TRUE,_xlfn.UNIQUE(_xlfn._xlws.FILTER('Ownership Matrix'!$C$5:$C$200,('Ownership Matrix'!$A$5:$A$200=TRIM($B87))*('Ownership Matrix'!$C$5:$C$200&lt;&gt;"")))),"ไม่พบใน Ownership Matrix")))</f>
        <v/>
      </c>
      <c r="Z87" s="31" t="str">
        <f>IF(NOT(AND($A87&lt;&gt;"",$M87&lt;&gt;"Out of Scope",$M87&lt;&gt;"Canceled",$T87&lt;&gt;"Fixed – Retest Passed",OR(LEN(TRIM($O87))&gt;0,LEN(TRIM($P87))&gt;0))),"",IF(OR($W87="Failed",$R87="Urgent",$R87="High",$R87="ระบุ Severity + Impact"),IF(COUNTIFS(Dashboard!$B$105:$B$124,$O87,Dashboard!$I$105:$I$124,"CAB")&gt;0,"Accepted (CF)","Blocking"),"Deferrable"))</f>
        <v/>
      </c>
    </row>
    <row r="88" spans="7:26" x14ac:dyDescent="0.3">
      <c r="G88" s="27" t="str" cm="1">
        <f t="array" ref="G88">IF($A88="","",IFERROR(_xlfn.TEXTJOIN(CHAR(10)&amp;CHAR(10),TRUE,_xlfn._xlws.FILTER("•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"&amp;Cards!$L$4:$L$1000),(Cards!$A$4:$A$1000&lt;&gt;"")*ISNUMBER(SEARCH($A88,Cards!$E$4:$E$1000)))),"-"))</f>
        <v/>
      </c>
      <c r="Q88" s="30"/>
      <c r="R88" s="27" t="str">
        <f>IF(OR($A88="",LEN(TRIM($O88))=0),"",IF(OR($P88="",$Q88=""),"ระบุ Severity + Impact",IFERROR(INDEX({"Urgent","Urgent","High","High";"Urgent","High","High","Medium";"High","High","Medium","Medium";"Medium","Medium","Low","Low"},MATCH($P88,{"Critical","High","Medium","Low"},0),MATCH($Q88,{"Extensive","Significant","Moderate","Minor"},0)),"-")))</f>
        <v/>
      </c>
      <c r="S88" s="30"/>
      <c r="T88" s="30"/>
      <c r="W88" s="32" t="str">
        <f>IF($A88="","",IF(OR($M88="Out of Scope",$M88="Canceled"),"Out of Scope",IF($M88="Blocked","Blocked",IF(AND($T88&lt;&gt;"Fixed – Retest Passed",OR(LEN(TRIM($O88))&gt;0,LEN(TRIM($P88))&gt;0)),IF(AND(OR($L88="Medium",$L88="Low"),SUMPRODUCT((Cards!$A$4:$A$1000&lt;&gt;"")*ISNUMBER(SEARCH($A88,Cards!$E$4:$E$1000))*(Cards!$F$4:$F$1000&lt;&gt;"Medium")*(Cards!$F$4:$F$1000&lt;&gt;"Low"))=0),"Conditionally Passed","Failed"),IF($M88="Done","Passed","Not Run")))))</f>
        <v/>
      </c>
      <c r="Y88" s="27" t="str" cm="1">
        <f t="array" ref="Y88">IF($A88="","",IF(TRIM($B88)="","-",IFERROR(_xlfn.TEXTJOIN(" / ",TRUE,_xlfn.UNIQUE(_xlfn._xlws.FILTER('Ownership Matrix'!$C$5:$C$200,('Ownership Matrix'!$A$5:$A$200=TRIM($B88))*('Ownership Matrix'!$C$5:$C$200&lt;&gt;"")))),"ไม่พบใน Ownership Matrix")))</f>
        <v/>
      </c>
      <c r="Z88" s="31" t="str">
        <f>IF(NOT(AND($A88&lt;&gt;"",$M88&lt;&gt;"Out of Scope",$M88&lt;&gt;"Canceled",$T88&lt;&gt;"Fixed – Retest Passed",OR(LEN(TRIM($O88))&gt;0,LEN(TRIM($P88))&gt;0))),"",IF(OR($W88="Failed",$R88="Urgent",$R88="High",$R88="ระบุ Severity + Impact"),IF(COUNTIFS(Dashboard!$B$105:$B$124,$O88,Dashboard!$I$105:$I$124,"CAB")&gt;0,"Accepted (CF)","Blocking"),"Deferrable"))</f>
        <v/>
      </c>
    </row>
    <row r="89" spans="7:26" x14ac:dyDescent="0.3">
      <c r="G89" s="27" t="str" cm="1">
        <f t="array" ref="G89">IF($A89="","",IFERROR(_xlfn.TEXTJOIN(CHAR(10)&amp;CHAR(10),TRUE,_xlfn._xlws.FILTER("•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"&amp;Cards!$L$4:$L$1000),(Cards!$A$4:$A$1000&lt;&gt;"")*ISNUMBER(SEARCH($A89,Cards!$E$4:$E$1000)))),"-"))</f>
        <v/>
      </c>
      <c r="Q89" s="30"/>
      <c r="R89" s="27" t="str">
        <f>IF(OR($A89="",LEN(TRIM($O89))=0),"",IF(OR($P89="",$Q89=""),"ระบุ Severity + Impact",IFERROR(INDEX({"Urgent","Urgent","High","High";"Urgent","High","High","Medium";"High","High","Medium","Medium";"Medium","Medium","Low","Low"},MATCH($P89,{"Critical","High","Medium","Low"},0),MATCH($Q89,{"Extensive","Significant","Moderate","Minor"},0)),"-")))</f>
        <v/>
      </c>
      <c r="S89" s="30"/>
      <c r="T89" s="30"/>
      <c r="W89" s="32" t="str">
        <f>IF($A89="","",IF(OR($M89="Out of Scope",$M89="Canceled"),"Out of Scope",IF($M89="Blocked","Blocked",IF(AND($T89&lt;&gt;"Fixed – Retest Passed",OR(LEN(TRIM($O89))&gt;0,LEN(TRIM($P89))&gt;0)),IF(AND(OR($L89="Medium",$L89="Low"),SUMPRODUCT((Cards!$A$4:$A$1000&lt;&gt;"")*ISNUMBER(SEARCH($A89,Cards!$E$4:$E$1000))*(Cards!$F$4:$F$1000&lt;&gt;"Medium")*(Cards!$F$4:$F$1000&lt;&gt;"Low"))=0),"Conditionally Passed","Failed"),IF($M89="Done","Passed","Not Run")))))</f>
        <v/>
      </c>
      <c r="Y89" s="27" t="str" cm="1">
        <f t="array" ref="Y89">IF($A89="","",IF(TRIM($B89)="","-",IFERROR(_xlfn.TEXTJOIN(" / ",TRUE,_xlfn.UNIQUE(_xlfn._xlws.FILTER('Ownership Matrix'!$C$5:$C$200,('Ownership Matrix'!$A$5:$A$200=TRIM($B89))*('Ownership Matrix'!$C$5:$C$200&lt;&gt;"")))),"ไม่พบใน Ownership Matrix")))</f>
        <v/>
      </c>
      <c r="Z89" s="31" t="str">
        <f>IF(NOT(AND($A89&lt;&gt;"",$M89&lt;&gt;"Out of Scope",$M89&lt;&gt;"Canceled",$T89&lt;&gt;"Fixed – Retest Passed",OR(LEN(TRIM($O89))&gt;0,LEN(TRIM($P89))&gt;0))),"",IF(OR($W89="Failed",$R89="Urgent",$R89="High",$R89="ระบุ Severity + Impact"),IF(COUNTIFS(Dashboard!$B$105:$B$124,$O89,Dashboard!$I$105:$I$124,"CAB")&gt;0,"Accepted (CF)","Blocking"),"Deferrable"))</f>
        <v/>
      </c>
    </row>
    <row r="90" spans="7:26" x14ac:dyDescent="0.3">
      <c r="G90" s="27" t="str" cm="1">
        <f t="array" ref="G90">IF($A90="","",IFERROR(_xlfn.TEXTJOIN(CHAR(10)&amp;CHAR(10),TRUE,_xlfn._xlws.FILTER("•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"&amp;Cards!$L$4:$L$1000),(Cards!$A$4:$A$1000&lt;&gt;"")*ISNUMBER(SEARCH($A90,Cards!$E$4:$E$1000)))),"-"))</f>
        <v/>
      </c>
      <c r="Q90" s="30"/>
      <c r="R90" s="27" t="str">
        <f>IF(OR($A90="",LEN(TRIM($O90))=0),"",IF(OR($P90="",$Q90=""),"ระบุ Severity + Impact",IFERROR(INDEX({"Urgent","Urgent","High","High";"Urgent","High","High","Medium";"High","High","Medium","Medium";"Medium","Medium","Low","Low"},MATCH($P90,{"Critical","High","Medium","Low"},0),MATCH($Q90,{"Extensive","Significant","Moderate","Minor"},0)),"-")))</f>
        <v/>
      </c>
      <c r="S90" s="30"/>
      <c r="T90" s="30"/>
      <c r="W90" s="32" t="str">
        <f>IF($A90="","",IF(OR($M90="Out of Scope",$M90="Canceled"),"Out of Scope",IF($M90="Blocked","Blocked",IF(AND($T90&lt;&gt;"Fixed – Retest Passed",OR(LEN(TRIM($O90))&gt;0,LEN(TRIM($P90))&gt;0)),IF(AND(OR($L90="Medium",$L90="Low"),SUMPRODUCT((Cards!$A$4:$A$1000&lt;&gt;"")*ISNUMBER(SEARCH($A90,Cards!$E$4:$E$1000))*(Cards!$F$4:$F$1000&lt;&gt;"Medium")*(Cards!$F$4:$F$1000&lt;&gt;"Low"))=0),"Conditionally Passed","Failed"),IF($M90="Done","Passed","Not Run")))))</f>
        <v/>
      </c>
      <c r="Y90" s="27" t="str" cm="1">
        <f t="array" ref="Y90">IF($A90="","",IF(TRIM($B90)="","-",IFERROR(_xlfn.TEXTJOIN(" / ",TRUE,_xlfn.UNIQUE(_xlfn._xlws.FILTER('Ownership Matrix'!$C$5:$C$200,('Ownership Matrix'!$A$5:$A$200=TRIM($B90))*('Ownership Matrix'!$C$5:$C$200&lt;&gt;"")))),"ไม่พบใน Ownership Matrix")))</f>
        <v/>
      </c>
      <c r="Z90" s="31" t="str">
        <f>IF(NOT(AND($A90&lt;&gt;"",$M90&lt;&gt;"Out of Scope",$M90&lt;&gt;"Canceled",$T90&lt;&gt;"Fixed – Retest Passed",OR(LEN(TRIM($O90))&gt;0,LEN(TRIM($P90))&gt;0))),"",IF(OR($W90="Failed",$R90="Urgent",$R90="High",$R90="ระบุ Severity + Impact"),IF(COUNTIFS(Dashboard!$B$105:$B$124,$O90,Dashboard!$I$105:$I$124,"CAB")&gt;0,"Accepted (CF)","Blocking"),"Deferrable"))</f>
        <v/>
      </c>
    </row>
    <row r="91" spans="7:26" x14ac:dyDescent="0.3">
      <c r="G91" s="27" t="str" cm="1">
        <f t="array" ref="G91">IF($A91="","",IFERROR(_xlfn.TEXTJOIN(CHAR(10)&amp;CHAR(10),TRUE,_xlfn._xlws.FILTER("•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"&amp;Cards!$L$4:$L$1000),(Cards!$A$4:$A$1000&lt;&gt;"")*ISNUMBER(SEARCH($A91,Cards!$E$4:$E$1000)))),"-"))</f>
        <v/>
      </c>
      <c r="Q91" s="30"/>
      <c r="R91" s="27" t="str">
        <f>IF(OR($A91="",LEN(TRIM($O91))=0),"",IF(OR($P91="",$Q91=""),"ระบุ Severity + Impact",IFERROR(INDEX({"Urgent","Urgent","High","High";"Urgent","High","High","Medium";"High","High","Medium","Medium";"Medium","Medium","Low","Low"},MATCH($P91,{"Critical","High","Medium","Low"},0),MATCH($Q91,{"Extensive","Significant","Moderate","Minor"},0)),"-")))</f>
        <v/>
      </c>
      <c r="S91" s="30"/>
      <c r="T91" s="30"/>
      <c r="W91" s="32" t="str">
        <f>IF($A91="","",IF(OR($M91="Out of Scope",$M91="Canceled"),"Out of Scope",IF($M91="Blocked","Blocked",IF(AND($T91&lt;&gt;"Fixed – Retest Passed",OR(LEN(TRIM($O91))&gt;0,LEN(TRIM($P91))&gt;0)),IF(AND(OR($L91="Medium",$L91="Low"),SUMPRODUCT((Cards!$A$4:$A$1000&lt;&gt;"")*ISNUMBER(SEARCH($A91,Cards!$E$4:$E$1000))*(Cards!$F$4:$F$1000&lt;&gt;"Medium")*(Cards!$F$4:$F$1000&lt;&gt;"Low"))=0),"Conditionally Passed","Failed"),IF($M91="Done","Passed","Not Run")))))</f>
        <v/>
      </c>
      <c r="Y91" s="27" t="str" cm="1">
        <f t="array" ref="Y91">IF($A91="","",IF(TRIM($B91)="","-",IFERROR(_xlfn.TEXTJOIN(" / ",TRUE,_xlfn.UNIQUE(_xlfn._xlws.FILTER('Ownership Matrix'!$C$5:$C$200,('Ownership Matrix'!$A$5:$A$200=TRIM($B91))*('Ownership Matrix'!$C$5:$C$200&lt;&gt;"")))),"ไม่พบใน Ownership Matrix")))</f>
        <v/>
      </c>
      <c r="Z91" s="31" t="str">
        <f>IF(NOT(AND($A91&lt;&gt;"",$M91&lt;&gt;"Out of Scope",$M91&lt;&gt;"Canceled",$T91&lt;&gt;"Fixed – Retest Passed",OR(LEN(TRIM($O91))&gt;0,LEN(TRIM($P91))&gt;0))),"",IF(OR($W91="Failed",$R91="Urgent",$R91="High",$R91="ระบุ Severity + Impact"),IF(COUNTIFS(Dashboard!$B$105:$B$124,$O91,Dashboard!$I$105:$I$124,"CAB")&gt;0,"Accepted (CF)","Blocking"),"Deferrable"))</f>
        <v/>
      </c>
    </row>
    <row r="92" spans="7:26" x14ac:dyDescent="0.3">
      <c r="G92" s="27" t="str" cm="1">
        <f t="array" ref="G92">IF($A92="","",IFERROR(_xlfn.TEXTJOIN(CHAR(10)&amp;CHAR(10),TRUE,_xlfn._xlws.FILTER("•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"&amp;Cards!$L$4:$L$1000),(Cards!$A$4:$A$1000&lt;&gt;"")*ISNUMBER(SEARCH($A92,Cards!$E$4:$E$1000)))),"-"))</f>
        <v/>
      </c>
      <c r="Q92" s="30"/>
      <c r="R92" s="27" t="str">
        <f>IF(OR($A92="",LEN(TRIM($O92))=0),"",IF(OR($P92="",$Q92=""),"ระบุ Severity + Impact",IFERROR(INDEX({"Urgent","Urgent","High","High";"Urgent","High","High","Medium";"High","High","Medium","Medium";"Medium","Medium","Low","Low"},MATCH($P92,{"Critical","High","Medium","Low"},0),MATCH($Q92,{"Extensive","Significant","Moderate","Minor"},0)),"-")))</f>
        <v/>
      </c>
      <c r="S92" s="30"/>
      <c r="T92" s="30"/>
      <c r="W92" s="32" t="str">
        <f>IF($A92="","",IF(OR($M92="Out of Scope",$M92="Canceled"),"Out of Scope",IF($M92="Blocked","Blocked",IF(AND($T92&lt;&gt;"Fixed – Retest Passed",OR(LEN(TRIM($O92))&gt;0,LEN(TRIM($P92))&gt;0)),IF(AND(OR($L92="Medium",$L92="Low"),SUMPRODUCT((Cards!$A$4:$A$1000&lt;&gt;"")*ISNUMBER(SEARCH($A92,Cards!$E$4:$E$1000))*(Cards!$F$4:$F$1000&lt;&gt;"Medium")*(Cards!$F$4:$F$1000&lt;&gt;"Low"))=0),"Conditionally Passed","Failed"),IF($M92="Done","Passed","Not Run")))))</f>
        <v/>
      </c>
      <c r="Y92" s="27" t="str" cm="1">
        <f t="array" ref="Y92">IF($A92="","",IF(TRIM($B92)="","-",IFERROR(_xlfn.TEXTJOIN(" / ",TRUE,_xlfn.UNIQUE(_xlfn._xlws.FILTER('Ownership Matrix'!$C$5:$C$200,('Ownership Matrix'!$A$5:$A$200=TRIM($B92))*('Ownership Matrix'!$C$5:$C$200&lt;&gt;"")))),"ไม่พบใน Ownership Matrix")))</f>
        <v/>
      </c>
      <c r="Z92" s="31" t="str">
        <f>IF(NOT(AND($A92&lt;&gt;"",$M92&lt;&gt;"Out of Scope",$M92&lt;&gt;"Canceled",$T92&lt;&gt;"Fixed – Retest Passed",OR(LEN(TRIM($O92))&gt;0,LEN(TRIM($P92))&gt;0))),"",IF(OR($W92="Failed",$R92="Urgent",$R92="High",$R92="ระบุ Severity + Impact"),IF(COUNTIFS(Dashboard!$B$105:$B$124,$O92,Dashboard!$I$105:$I$124,"CAB")&gt;0,"Accepted (CF)","Blocking"),"Deferrable"))</f>
        <v/>
      </c>
    </row>
    <row r="93" spans="7:26" x14ac:dyDescent="0.3">
      <c r="G93" s="27" t="str" cm="1">
        <f t="array" ref="G93">IF($A93="","",IFERROR(_xlfn.TEXTJOIN(CHAR(10)&amp;CHAR(10),TRUE,_xlfn._xlws.FILTER("•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"&amp;Cards!$L$4:$L$1000),(Cards!$A$4:$A$1000&lt;&gt;"")*ISNUMBER(SEARCH($A93,Cards!$E$4:$E$1000)))),"-"))</f>
        <v/>
      </c>
      <c r="Q93" s="30"/>
      <c r="R93" s="27" t="str">
        <f>IF(OR($A93="",LEN(TRIM($O93))=0),"",IF(OR($P93="",$Q93=""),"ระบุ Severity + Impact",IFERROR(INDEX({"Urgent","Urgent","High","High";"Urgent","High","High","Medium";"High","High","Medium","Medium";"Medium","Medium","Low","Low"},MATCH($P93,{"Critical","High","Medium","Low"},0),MATCH($Q93,{"Extensive","Significant","Moderate","Minor"},0)),"-")))</f>
        <v/>
      </c>
      <c r="S93" s="30"/>
      <c r="T93" s="30"/>
      <c r="W93" s="32" t="str">
        <f>IF($A93="","",IF(OR($M93="Out of Scope",$M93="Canceled"),"Out of Scope",IF($M93="Blocked","Blocked",IF(AND($T93&lt;&gt;"Fixed – Retest Passed",OR(LEN(TRIM($O93))&gt;0,LEN(TRIM($P93))&gt;0)),IF(AND(OR($L93="Medium",$L93="Low"),SUMPRODUCT((Cards!$A$4:$A$1000&lt;&gt;"")*ISNUMBER(SEARCH($A93,Cards!$E$4:$E$1000))*(Cards!$F$4:$F$1000&lt;&gt;"Medium")*(Cards!$F$4:$F$1000&lt;&gt;"Low"))=0),"Conditionally Passed","Failed"),IF($M93="Done","Passed","Not Run")))))</f>
        <v/>
      </c>
      <c r="Y93" s="27" t="str" cm="1">
        <f t="array" ref="Y93">IF($A93="","",IF(TRIM($B93)="","-",IFERROR(_xlfn.TEXTJOIN(" / ",TRUE,_xlfn.UNIQUE(_xlfn._xlws.FILTER('Ownership Matrix'!$C$5:$C$200,('Ownership Matrix'!$A$5:$A$200=TRIM($B93))*('Ownership Matrix'!$C$5:$C$200&lt;&gt;"")))),"ไม่พบใน Ownership Matrix")))</f>
        <v/>
      </c>
      <c r="Z93" s="31" t="str">
        <f>IF(NOT(AND($A93&lt;&gt;"",$M93&lt;&gt;"Out of Scope",$M93&lt;&gt;"Canceled",$T93&lt;&gt;"Fixed – Retest Passed",OR(LEN(TRIM($O93))&gt;0,LEN(TRIM($P93))&gt;0))),"",IF(OR($W93="Failed",$R93="Urgent",$R93="High",$R93="ระบุ Severity + Impact"),IF(COUNTIFS(Dashboard!$B$105:$B$124,$O93,Dashboard!$I$105:$I$124,"CAB")&gt;0,"Accepted (CF)","Blocking"),"Deferrable"))</f>
        <v/>
      </c>
    </row>
    <row r="94" spans="7:26" x14ac:dyDescent="0.3">
      <c r="G94" s="27" t="str" cm="1">
        <f t="array" ref="G94">IF($A94="","",IFERROR(_xlfn.TEXTJOIN(CHAR(10)&amp;CHAR(10),TRUE,_xlfn._xlws.FILTER("•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"&amp;Cards!$L$4:$L$1000),(Cards!$A$4:$A$1000&lt;&gt;"")*ISNUMBER(SEARCH($A94,Cards!$E$4:$E$1000)))),"-"))</f>
        <v/>
      </c>
      <c r="Q94" s="30"/>
      <c r="R94" s="27" t="str">
        <f>IF(OR($A94="",LEN(TRIM($O94))=0),"",IF(OR($P94="",$Q94=""),"ระบุ Severity + Impact",IFERROR(INDEX({"Urgent","Urgent","High","High";"Urgent","High","High","Medium";"High","High","Medium","Medium";"Medium","Medium","Low","Low"},MATCH($P94,{"Critical","High","Medium","Low"},0),MATCH($Q94,{"Extensive","Significant","Moderate","Minor"},0)),"-")))</f>
        <v/>
      </c>
      <c r="S94" s="30"/>
      <c r="T94" s="30"/>
      <c r="W94" s="32" t="str">
        <f>IF($A94="","",IF(OR($M94="Out of Scope",$M94="Canceled"),"Out of Scope",IF($M94="Blocked","Blocked",IF(AND($T94&lt;&gt;"Fixed – Retest Passed",OR(LEN(TRIM($O94))&gt;0,LEN(TRIM($P94))&gt;0)),IF(AND(OR($L94="Medium",$L94="Low"),SUMPRODUCT((Cards!$A$4:$A$1000&lt;&gt;"")*ISNUMBER(SEARCH($A94,Cards!$E$4:$E$1000))*(Cards!$F$4:$F$1000&lt;&gt;"Medium")*(Cards!$F$4:$F$1000&lt;&gt;"Low"))=0),"Conditionally Passed","Failed"),IF($M94="Done","Passed","Not Run")))))</f>
        <v/>
      </c>
      <c r="Y94" s="27" t="str" cm="1">
        <f t="array" ref="Y94">IF($A94="","",IF(TRIM($B94)="","-",IFERROR(_xlfn.TEXTJOIN(" / ",TRUE,_xlfn.UNIQUE(_xlfn._xlws.FILTER('Ownership Matrix'!$C$5:$C$200,('Ownership Matrix'!$A$5:$A$200=TRIM($B94))*('Ownership Matrix'!$C$5:$C$200&lt;&gt;"")))),"ไม่พบใน Ownership Matrix")))</f>
        <v/>
      </c>
      <c r="Z94" s="31" t="str">
        <f>IF(NOT(AND($A94&lt;&gt;"",$M94&lt;&gt;"Out of Scope",$M94&lt;&gt;"Canceled",$T94&lt;&gt;"Fixed – Retest Passed",OR(LEN(TRIM($O94))&gt;0,LEN(TRIM($P94))&gt;0))),"",IF(OR($W94="Failed",$R94="Urgent",$R94="High",$R94="ระบุ Severity + Impact"),IF(COUNTIFS(Dashboard!$B$105:$B$124,$O94,Dashboard!$I$105:$I$124,"CAB")&gt;0,"Accepted (CF)","Blocking"),"Deferrable"))</f>
        <v/>
      </c>
    </row>
    <row r="95" spans="7:26" x14ac:dyDescent="0.3">
      <c r="G95" s="27" t="str" cm="1">
        <f t="array" ref="G95">IF($A95="","",IFERROR(_xlfn.TEXTJOIN(CHAR(10)&amp;CHAR(10),TRUE,_xlfn._xlws.FILTER("•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"&amp;Cards!$L$4:$L$1000),(Cards!$A$4:$A$1000&lt;&gt;"")*ISNUMBER(SEARCH($A95,Cards!$E$4:$E$1000)))),"-"))</f>
        <v/>
      </c>
      <c r="Q95" s="30"/>
      <c r="R95" s="27" t="str">
        <f>IF(OR($A95="",LEN(TRIM($O95))=0),"",IF(OR($P95="",$Q95=""),"ระบุ Severity + Impact",IFERROR(INDEX({"Urgent","Urgent","High","High";"Urgent","High","High","Medium";"High","High","Medium","Medium";"Medium","Medium","Low","Low"},MATCH($P95,{"Critical","High","Medium","Low"},0),MATCH($Q95,{"Extensive","Significant","Moderate","Minor"},0)),"-")))</f>
        <v/>
      </c>
      <c r="S95" s="30"/>
      <c r="T95" s="30"/>
      <c r="W95" s="32" t="str">
        <f>IF($A95="","",IF(OR($M95="Out of Scope",$M95="Canceled"),"Out of Scope",IF($M95="Blocked","Blocked",IF(AND($T95&lt;&gt;"Fixed – Retest Passed",OR(LEN(TRIM($O95))&gt;0,LEN(TRIM($P95))&gt;0)),IF(AND(OR($L95="Medium",$L95="Low"),SUMPRODUCT((Cards!$A$4:$A$1000&lt;&gt;"")*ISNUMBER(SEARCH($A95,Cards!$E$4:$E$1000))*(Cards!$F$4:$F$1000&lt;&gt;"Medium")*(Cards!$F$4:$F$1000&lt;&gt;"Low"))=0),"Conditionally Passed","Failed"),IF($M95="Done","Passed","Not Run")))))</f>
        <v/>
      </c>
      <c r="Y95" s="27" t="str" cm="1">
        <f t="array" ref="Y95">IF($A95="","",IF(TRIM($B95)="","-",IFERROR(_xlfn.TEXTJOIN(" / ",TRUE,_xlfn.UNIQUE(_xlfn._xlws.FILTER('Ownership Matrix'!$C$5:$C$200,('Ownership Matrix'!$A$5:$A$200=TRIM($B95))*('Ownership Matrix'!$C$5:$C$200&lt;&gt;"")))),"ไม่พบใน Ownership Matrix")))</f>
        <v/>
      </c>
      <c r="Z95" s="31" t="str">
        <f>IF(NOT(AND($A95&lt;&gt;"",$M95&lt;&gt;"Out of Scope",$M95&lt;&gt;"Canceled",$T95&lt;&gt;"Fixed – Retest Passed",OR(LEN(TRIM($O95))&gt;0,LEN(TRIM($P95))&gt;0))),"",IF(OR($W95="Failed",$R95="Urgent",$R95="High",$R95="ระบุ Severity + Impact"),IF(COUNTIFS(Dashboard!$B$105:$B$124,$O95,Dashboard!$I$105:$I$124,"CAB")&gt;0,"Accepted (CF)","Blocking"),"Deferrable"))</f>
        <v/>
      </c>
    </row>
    <row r="96" spans="7:26" x14ac:dyDescent="0.3">
      <c r="G96" s="27" t="str" cm="1">
        <f t="array" ref="G96">IF($A96="","",IFERROR(_xlfn.TEXTJOIN(CHAR(10)&amp;CHAR(10),TRUE,_xlfn._xlws.FILTER("•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"&amp;Cards!$L$4:$L$1000),(Cards!$A$4:$A$1000&lt;&gt;"")*ISNUMBER(SEARCH($A96,Cards!$E$4:$E$1000)))),"-"))</f>
        <v/>
      </c>
      <c r="Q96" s="30"/>
      <c r="R96" s="27" t="str">
        <f>IF(OR($A96="",LEN(TRIM($O96))=0),"",IF(OR($P96="",$Q96=""),"ระบุ Severity + Impact",IFERROR(INDEX({"Urgent","Urgent","High","High";"Urgent","High","High","Medium";"High","High","Medium","Medium";"Medium","Medium","Low","Low"},MATCH($P96,{"Critical","High","Medium","Low"},0),MATCH($Q96,{"Extensive","Significant","Moderate","Minor"},0)),"-")))</f>
        <v/>
      </c>
      <c r="S96" s="30"/>
      <c r="T96" s="30"/>
      <c r="W96" s="32" t="str">
        <f>IF($A96="","",IF(OR($M96="Out of Scope",$M96="Canceled"),"Out of Scope",IF($M96="Blocked","Blocked",IF(AND($T96&lt;&gt;"Fixed – Retest Passed",OR(LEN(TRIM($O96))&gt;0,LEN(TRIM($P96))&gt;0)),IF(AND(OR($L96="Medium",$L96="Low"),SUMPRODUCT((Cards!$A$4:$A$1000&lt;&gt;"")*ISNUMBER(SEARCH($A96,Cards!$E$4:$E$1000))*(Cards!$F$4:$F$1000&lt;&gt;"Medium")*(Cards!$F$4:$F$1000&lt;&gt;"Low"))=0),"Conditionally Passed","Failed"),IF($M96="Done","Passed","Not Run")))))</f>
        <v/>
      </c>
      <c r="Y96" s="27" t="str" cm="1">
        <f t="array" ref="Y96">IF($A96="","",IF(TRIM($B96)="","-",IFERROR(_xlfn.TEXTJOIN(" / ",TRUE,_xlfn.UNIQUE(_xlfn._xlws.FILTER('Ownership Matrix'!$C$5:$C$200,('Ownership Matrix'!$A$5:$A$200=TRIM($B96))*('Ownership Matrix'!$C$5:$C$200&lt;&gt;"")))),"ไม่พบใน Ownership Matrix")))</f>
        <v/>
      </c>
      <c r="Z96" s="31" t="str">
        <f>IF(NOT(AND($A96&lt;&gt;"",$M96&lt;&gt;"Out of Scope",$M96&lt;&gt;"Canceled",$T96&lt;&gt;"Fixed – Retest Passed",OR(LEN(TRIM($O96))&gt;0,LEN(TRIM($P96))&gt;0))),"",IF(OR($W96="Failed",$R96="Urgent",$R96="High",$R96="ระบุ Severity + Impact"),IF(COUNTIFS(Dashboard!$B$105:$B$124,$O96,Dashboard!$I$105:$I$124,"CAB")&gt;0,"Accepted (CF)","Blocking"),"Deferrable"))</f>
        <v/>
      </c>
    </row>
    <row r="97" spans="7:26" x14ac:dyDescent="0.3">
      <c r="G97" s="27" t="str" cm="1">
        <f t="array" ref="G97">IF($A97="","",IFERROR(_xlfn.TEXTJOIN(CHAR(10)&amp;CHAR(10),TRUE,_xlfn._xlws.FILTER("•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"&amp;Cards!$L$4:$L$1000),(Cards!$A$4:$A$1000&lt;&gt;"")*ISNUMBER(SEARCH($A97,Cards!$E$4:$E$1000)))),"-"))</f>
        <v/>
      </c>
      <c r="Q97" s="30"/>
      <c r="R97" s="27" t="str">
        <f>IF(OR($A97="",LEN(TRIM($O97))=0),"",IF(OR($P97="",$Q97=""),"ระบุ Severity + Impact",IFERROR(INDEX({"Urgent","Urgent","High","High";"Urgent","High","High","Medium";"High","High","Medium","Medium";"Medium","Medium","Low","Low"},MATCH($P97,{"Critical","High","Medium","Low"},0),MATCH($Q97,{"Extensive","Significant","Moderate","Minor"},0)),"-")))</f>
        <v/>
      </c>
      <c r="S97" s="30"/>
      <c r="T97" s="30"/>
      <c r="W97" s="32" t="str">
        <f>IF($A97="","",IF(OR($M97="Out of Scope",$M97="Canceled"),"Out of Scope",IF($M97="Blocked","Blocked",IF(AND($T97&lt;&gt;"Fixed – Retest Passed",OR(LEN(TRIM($O97))&gt;0,LEN(TRIM($P97))&gt;0)),IF(AND(OR($L97="Medium",$L97="Low"),SUMPRODUCT((Cards!$A$4:$A$1000&lt;&gt;"")*ISNUMBER(SEARCH($A97,Cards!$E$4:$E$1000))*(Cards!$F$4:$F$1000&lt;&gt;"Medium")*(Cards!$F$4:$F$1000&lt;&gt;"Low"))=0),"Conditionally Passed","Failed"),IF($M97="Done","Passed","Not Run")))))</f>
        <v/>
      </c>
      <c r="Y97" s="27" t="str" cm="1">
        <f t="array" ref="Y97">IF($A97="","",IF(TRIM($B97)="","-",IFERROR(_xlfn.TEXTJOIN(" / ",TRUE,_xlfn.UNIQUE(_xlfn._xlws.FILTER('Ownership Matrix'!$C$5:$C$200,('Ownership Matrix'!$A$5:$A$200=TRIM($B97))*('Ownership Matrix'!$C$5:$C$200&lt;&gt;"")))),"ไม่พบใน Ownership Matrix")))</f>
        <v/>
      </c>
      <c r="Z97" s="31" t="str">
        <f>IF(NOT(AND($A97&lt;&gt;"",$M97&lt;&gt;"Out of Scope",$M97&lt;&gt;"Canceled",$T97&lt;&gt;"Fixed – Retest Passed",OR(LEN(TRIM($O97))&gt;0,LEN(TRIM($P97))&gt;0))),"",IF(OR($W97="Failed",$R97="Urgent",$R97="High",$R97="ระบุ Severity + Impact"),IF(COUNTIFS(Dashboard!$B$105:$B$124,$O97,Dashboard!$I$105:$I$124,"CAB")&gt;0,"Accepted (CF)","Blocking"),"Deferrable"))</f>
        <v/>
      </c>
    </row>
    <row r="98" spans="7:26" x14ac:dyDescent="0.3">
      <c r="G98" s="27" t="str" cm="1">
        <f t="array" ref="G98">IF($A98="","",IFERROR(_xlfn.TEXTJOIN(CHAR(10)&amp;CHAR(10),TRUE,_xlfn._xlws.FILTER("•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"&amp;Cards!$L$4:$L$1000),(Cards!$A$4:$A$1000&lt;&gt;"")*ISNUMBER(SEARCH($A98,Cards!$E$4:$E$1000)))),"-"))</f>
        <v/>
      </c>
      <c r="Q98" s="30"/>
      <c r="R98" s="27" t="str">
        <f>IF(OR($A98="",LEN(TRIM($O98))=0),"",IF(OR($P98="",$Q98=""),"ระบุ Severity + Impact",IFERROR(INDEX({"Urgent","Urgent","High","High";"Urgent","High","High","Medium";"High","High","Medium","Medium";"Medium","Medium","Low","Low"},MATCH($P98,{"Critical","High","Medium","Low"},0),MATCH($Q98,{"Extensive","Significant","Moderate","Minor"},0)),"-")))</f>
        <v/>
      </c>
      <c r="S98" s="30"/>
      <c r="T98" s="30"/>
      <c r="W98" s="32" t="str">
        <f>IF($A98="","",IF(OR($M98="Out of Scope",$M98="Canceled"),"Out of Scope",IF($M98="Blocked","Blocked",IF(AND($T98&lt;&gt;"Fixed – Retest Passed",OR(LEN(TRIM($O98))&gt;0,LEN(TRIM($P98))&gt;0)),IF(AND(OR($L98="Medium",$L98="Low"),SUMPRODUCT((Cards!$A$4:$A$1000&lt;&gt;"")*ISNUMBER(SEARCH($A98,Cards!$E$4:$E$1000))*(Cards!$F$4:$F$1000&lt;&gt;"Medium")*(Cards!$F$4:$F$1000&lt;&gt;"Low"))=0),"Conditionally Passed","Failed"),IF($M98="Done","Passed","Not Run")))))</f>
        <v/>
      </c>
      <c r="Y98" s="27" t="str" cm="1">
        <f t="array" ref="Y98">IF($A98="","",IF(TRIM($B98)="","-",IFERROR(_xlfn.TEXTJOIN(" / ",TRUE,_xlfn.UNIQUE(_xlfn._xlws.FILTER('Ownership Matrix'!$C$5:$C$200,('Ownership Matrix'!$A$5:$A$200=TRIM($B98))*('Ownership Matrix'!$C$5:$C$200&lt;&gt;"")))),"ไม่พบใน Ownership Matrix")))</f>
        <v/>
      </c>
      <c r="Z98" s="31" t="str">
        <f>IF(NOT(AND($A98&lt;&gt;"",$M98&lt;&gt;"Out of Scope",$M98&lt;&gt;"Canceled",$T98&lt;&gt;"Fixed – Retest Passed",OR(LEN(TRIM($O98))&gt;0,LEN(TRIM($P98))&gt;0))),"",IF(OR($W98="Failed",$R98="Urgent",$R98="High",$R98="ระบุ Severity + Impact"),IF(COUNTIFS(Dashboard!$B$105:$B$124,$O98,Dashboard!$I$105:$I$124,"CAB")&gt;0,"Accepted (CF)","Blocking"),"Deferrable"))</f>
        <v/>
      </c>
    </row>
    <row r="99" spans="7:26" x14ac:dyDescent="0.3">
      <c r="G99" s="27" t="str" cm="1">
        <f t="array" ref="G99">IF($A99="","",IFERROR(_xlfn.TEXTJOIN(CHAR(10)&amp;CHAR(10),TRUE,_xlfn._xlws.FILTER("•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"&amp;Cards!$L$4:$L$1000),(Cards!$A$4:$A$1000&lt;&gt;"")*ISNUMBER(SEARCH($A99,Cards!$E$4:$E$1000)))),"-"))</f>
        <v/>
      </c>
      <c r="Q99" s="30"/>
      <c r="R99" s="27" t="str">
        <f>IF(OR($A99="",LEN(TRIM($O99))=0),"",IF(OR($P99="",$Q99=""),"ระบุ Severity + Impact",IFERROR(INDEX({"Urgent","Urgent","High","High";"Urgent","High","High","Medium";"High","High","Medium","Medium";"Medium","Medium","Low","Low"},MATCH($P99,{"Critical","High","Medium","Low"},0),MATCH($Q99,{"Extensive","Significant","Moderate","Minor"},0)),"-")))</f>
        <v/>
      </c>
      <c r="S99" s="30"/>
      <c r="T99" s="30"/>
      <c r="W99" s="32" t="str">
        <f>IF($A99="","",IF(OR($M99="Out of Scope",$M99="Canceled"),"Out of Scope",IF($M99="Blocked","Blocked",IF(AND($T99&lt;&gt;"Fixed – Retest Passed",OR(LEN(TRIM($O99))&gt;0,LEN(TRIM($P99))&gt;0)),IF(AND(OR($L99="Medium",$L99="Low"),SUMPRODUCT((Cards!$A$4:$A$1000&lt;&gt;"")*ISNUMBER(SEARCH($A99,Cards!$E$4:$E$1000))*(Cards!$F$4:$F$1000&lt;&gt;"Medium")*(Cards!$F$4:$F$1000&lt;&gt;"Low"))=0),"Conditionally Passed","Failed"),IF($M99="Done","Passed","Not Run")))))</f>
        <v/>
      </c>
      <c r="Y99" s="27" t="str" cm="1">
        <f t="array" ref="Y99">IF($A99="","",IF(TRIM($B99)="","-",IFERROR(_xlfn.TEXTJOIN(" / ",TRUE,_xlfn.UNIQUE(_xlfn._xlws.FILTER('Ownership Matrix'!$C$5:$C$200,('Ownership Matrix'!$A$5:$A$200=TRIM($B99))*('Ownership Matrix'!$C$5:$C$200&lt;&gt;"")))),"ไม่พบใน Ownership Matrix")))</f>
        <v/>
      </c>
      <c r="Z99" s="31" t="str">
        <f>IF(NOT(AND($A99&lt;&gt;"",$M99&lt;&gt;"Out of Scope",$M99&lt;&gt;"Canceled",$T99&lt;&gt;"Fixed – Retest Passed",OR(LEN(TRIM($O99))&gt;0,LEN(TRIM($P99))&gt;0))),"",IF(OR($W99="Failed",$R99="Urgent",$R99="High",$R99="ระบุ Severity + Impact"),IF(COUNTIFS(Dashboard!$B$105:$B$124,$O99,Dashboard!$I$105:$I$124,"CAB")&gt;0,"Accepted (CF)","Blocking"),"Deferrable"))</f>
        <v/>
      </c>
    </row>
    <row r="100" spans="7:26" x14ac:dyDescent="0.3">
      <c r="G100" s="27" t="str" cm="1">
        <f t="array" ref="G100">IF($A100="","",IFERROR(_xlfn.TEXTJOIN(CHAR(10)&amp;CHAR(10),TRUE,_xlfn._xlws.FILTER("•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"&amp;Cards!$L$4:$L$1000),(Cards!$A$4:$A$1000&lt;&gt;"")*ISNUMBER(SEARCH($A100,Cards!$E$4:$E$1000)))),"-"))</f>
        <v/>
      </c>
      <c r="Q100" s="30"/>
      <c r="R100" s="27" t="str">
        <f>IF(OR($A100="",LEN(TRIM($O100))=0),"",IF(OR($P100="",$Q100=""),"ระบุ Severity + Impact",IFERROR(INDEX({"Urgent","Urgent","High","High";"Urgent","High","High","Medium";"High","High","Medium","Medium";"Medium","Medium","Low","Low"},MATCH($P100,{"Critical","High","Medium","Low"},0),MATCH($Q100,{"Extensive","Significant","Moderate","Minor"},0)),"-")))</f>
        <v/>
      </c>
      <c r="S100" s="30"/>
      <c r="T100" s="30"/>
      <c r="W100" s="32" t="str">
        <f>IF($A100="","",IF(OR($M100="Out of Scope",$M100="Canceled"),"Out of Scope",IF($M100="Blocked","Blocked",IF(AND($T100&lt;&gt;"Fixed – Retest Passed",OR(LEN(TRIM($O100))&gt;0,LEN(TRIM($P100))&gt;0)),IF(AND(OR($L100="Medium",$L100="Low"),SUMPRODUCT((Cards!$A$4:$A$1000&lt;&gt;"")*ISNUMBER(SEARCH($A100,Cards!$E$4:$E$1000))*(Cards!$F$4:$F$1000&lt;&gt;"Medium")*(Cards!$F$4:$F$1000&lt;&gt;"Low"))=0),"Conditionally Passed","Failed"),IF($M100="Done","Passed","Not Run")))))</f>
        <v/>
      </c>
      <c r="Y100" s="27" t="str" cm="1">
        <f t="array" ref="Y100">IF($A100="","",IF(TRIM($B100)="","-",IFERROR(_xlfn.TEXTJOIN(" / ",TRUE,_xlfn.UNIQUE(_xlfn._xlws.FILTER('Ownership Matrix'!$C$5:$C$200,('Ownership Matrix'!$A$5:$A$200=TRIM($B100))*('Ownership Matrix'!$C$5:$C$200&lt;&gt;"")))),"ไม่พบใน Ownership Matrix")))</f>
        <v/>
      </c>
      <c r="Z100" s="31" t="str">
        <f>IF(NOT(AND($A100&lt;&gt;"",$M100&lt;&gt;"Out of Scope",$M100&lt;&gt;"Canceled",$T100&lt;&gt;"Fixed – Retest Passed",OR(LEN(TRIM($O100))&gt;0,LEN(TRIM($P100))&gt;0))),"",IF(OR($W100="Failed",$R100="Urgent",$R100="High",$R100="ระบุ Severity + Impact"),IF(COUNTIFS(Dashboard!$B$105:$B$124,$O100,Dashboard!$I$105:$I$124,"CAB")&gt;0,"Accepted (CF)","Blocking"),"Deferrable"))</f>
        <v/>
      </c>
    </row>
    <row r="101" spans="7:26" x14ac:dyDescent="0.3">
      <c r="G101" s="27" t="str" cm="1">
        <f t="array" ref="G101">IF($A101="","",IFERROR(_xlfn.TEXTJOIN(CHAR(10)&amp;CHAR(10),TRUE,_xlfn._xlws.FILTER("•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"&amp;Cards!$L$4:$L$1000),(Cards!$A$4:$A$1000&lt;&gt;"")*ISNUMBER(SEARCH($A101,Cards!$E$4:$E$1000)))),"-"))</f>
        <v/>
      </c>
      <c r="Q101" s="30"/>
      <c r="R101" s="27" t="str">
        <f>IF(OR($A101="",LEN(TRIM($O101))=0),"",IF(OR($P101="",$Q101=""),"ระบุ Severity + Impact",IFERROR(INDEX({"Urgent","Urgent","High","High";"Urgent","High","High","Medium";"High","High","Medium","Medium";"Medium","Medium","Low","Low"},MATCH($P101,{"Critical","High","Medium","Low"},0),MATCH($Q101,{"Extensive","Significant","Moderate","Minor"},0)),"-")))</f>
        <v/>
      </c>
      <c r="S101" s="30"/>
      <c r="T101" s="30"/>
      <c r="W101" s="32" t="str">
        <f>IF($A101="","",IF(OR($M101="Out of Scope",$M101="Canceled"),"Out of Scope",IF($M101="Blocked","Blocked",IF(AND($T101&lt;&gt;"Fixed – Retest Passed",OR(LEN(TRIM($O101))&gt;0,LEN(TRIM($P101))&gt;0)),IF(AND(OR($L101="Medium",$L101="Low"),SUMPRODUCT((Cards!$A$4:$A$1000&lt;&gt;"")*ISNUMBER(SEARCH($A101,Cards!$E$4:$E$1000))*(Cards!$F$4:$F$1000&lt;&gt;"Medium")*(Cards!$F$4:$F$1000&lt;&gt;"Low"))=0),"Conditionally Passed","Failed"),IF($M101="Done","Passed","Not Run")))))</f>
        <v/>
      </c>
      <c r="Y101" s="27" t="str" cm="1">
        <f t="array" ref="Y101">IF($A101="","",IF(TRIM($B101)="","-",IFERROR(_xlfn.TEXTJOIN(" / ",TRUE,_xlfn.UNIQUE(_xlfn._xlws.FILTER('Ownership Matrix'!$C$5:$C$200,('Ownership Matrix'!$A$5:$A$200=TRIM($B101))*('Ownership Matrix'!$C$5:$C$200&lt;&gt;"")))),"ไม่พบใน Ownership Matrix")))</f>
        <v/>
      </c>
      <c r="Z101" s="31" t="str">
        <f>IF(NOT(AND($A101&lt;&gt;"",$M101&lt;&gt;"Out of Scope",$M101&lt;&gt;"Canceled",$T101&lt;&gt;"Fixed – Retest Passed",OR(LEN(TRIM($O101))&gt;0,LEN(TRIM($P101))&gt;0))),"",IF(OR($W101="Failed",$R101="Urgent",$R101="High",$R101="ระบุ Severity + Impact"),IF(COUNTIFS(Dashboard!$B$105:$B$124,$O101,Dashboard!$I$105:$I$124,"CAB")&gt;0,"Accepted (CF)","Blocking"),"Deferrable"))</f>
        <v/>
      </c>
    </row>
    <row r="102" spans="7:26" x14ac:dyDescent="0.3">
      <c r="G102" s="27" t="str" cm="1">
        <f t="array" ref="G102">IF($A102="","",IFERROR(_xlfn.TEXTJOIN(CHAR(10)&amp;CHAR(10),TRUE,_xlfn._xlws.FILTER("•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"&amp;Cards!$L$4:$L$1000),(Cards!$A$4:$A$1000&lt;&gt;"")*ISNUMBER(SEARCH($A102,Cards!$E$4:$E$1000)))),"-"))</f>
        <v/>
      </c>
      <c r="Q102" s="30"/>
      <c r="R102" s="27" t="str">
        <f>IF(OR($A102="",LEN(TRIM($O102))=0),"",IF(OR($P102="",$Q102=""),"ระบุ Severity + Impact",IFERROR(INDEX({"Urgent","Urgent","High","High";"Urgent","High","High","Medium";"High","High","Medium","Medium";"Medium","Medium","Low","Low"},MATCH($P102,{"Critical","High","Medium","Low"},0),MATCH($Q102,{"Extensive","Significant","Moderate","Minor"},0)),"-")))</f>
        <v/>
      </c>
      <c r="S102" s="30"/>
      <c r="T102" s="30"/>
      <c r="W102" s="32" t="str">
        <f>IF($A102="","",IF(OR($M102="Out of Scope",$M102="Canceled"),"Out of Scope",IF($M102="Blocked","Blocked",IF(AND($T102&lt;&gt;"Fixed – Retest Passed",OR(LEN(TRIM($O102))&gt;0,LEN(TRIM($P102))&gt;0)),IF(AND(OR($L102="Medium",$L102="Low"),SUMPRODUCT((Cards!$A$4:$A$1000&lt;&gt;"")*ISNUMBER(SEARCH($A102,Cards!$E$4:$E$1000))*(Cards!$F$4:$F$1000&lt;&gt;"Medium")*(Cards!$F$4:$F$1000&lt;&gt;"Low"))=0),"Conditionally Passed","Failed"),IF($M102="Done","Passed","Not Run")))))</f>
        <v/>
      </c>
      <c r="Y102" s="27" t="str" cm="1">
        <f t="array" ref="Y102">IF($A102="","",IF(TRIM($B102)="","-",IFERROR(_xlfn.TEXTJOIN(" / ",TRUE,_xlfn.UNIQUE(_xlfn._xlws.FILTER('Ownership Matrix'!$C$5:$C$200,('Ownership Matrix'!$A$5:$A$200=TRIM($B102))*('Ownership Matrix'!$C$5:$C$200&lt;&gt;"")))),"ไม่พบใน Ownership Matrix")))</f>
        <v/>
      </c>
      <c r="Z102" s="31" t="str">
        <f>IF(NOT(AND($A102&lt;&gt;"",$M102&lt;&gt;"Out of Scope",$M102&lt;&gt;"Canceled",$T102&lt;&gt;"Fixed – Retest Passed",OR(LEN(TRIM($O102))&gt;0,LEN(TRIM($P102))&gt;0))),"",IF(OR($W102="Failed",$R102="Urgent",$R102="High",$R102="ระบุ Severity + Impact"),IF(COUNTIFS(Dashboard!$B$105:$B$124,$O102,Dashboard!$I$105:$I$124,"CAB")&gt;0,"Accepted (CF)","Blocking"),"Deferrable"))</f>
        <v/>
      </c>
    </row>
    <row r="103" spans="7:26" x14ac:dyDescent="0.3">
      <c r="G103" s="27" t="str" cm="1">
        <f t="array" ref="G103">IF($A103="","",IFERROR(_xlfn.TEXTJOIN(CHAR(10)&amp;CHAR(10),TRUE,_xlfn._xlws.FILTER("•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"&amp;Cards!$L$4:$L$1000),(Cards!$A$4:$A$1000&lt;&gt;"")*ISNUMBER(SEARCH($A103,Cards!$E$4:$E$1000)))),"-"))</f>
        <v/>
      </c>
      <c r="Q103" s="30"/>
      <c r="R103" s="27" t="str">
        <f>IF(OR($A103="",LEN(TRIM($O103))=0),"",IF(OR($P103="",$Q103=""),"ระบุ Severity + Impact",IFERROR(INDEX({"Urgent","Urgent","High","High";"Urgent","High","High","Medium";"High","High","Medium","Medium";"Medium","Medium","Low","Low"},MATCH($P103,{"Critical","High","Medium","Low"},0),MATCH($Q103,{"Extensive","Significant","Moderate","Minor"},0)),"-")))</f>
        <v/>
      </c>
      <c r="S103" s="30"/>
      <c r="T103" s="30"/>
      <c r="W103" s="32" t="str">
        <f>IF($A103="","",IF(OR($M103="Out of Scope",$M103="Canceled"),"Out of Scope",IF($M103="Blocked","Blocked",IF(AND($T103&lt;&gt;"Fixed – Retest Passed",OR(LEN(TRIM($O103))&gt;0,LEN(TRIM($P103))&gt;0)),IF(AND(OR($L103="Medium",$L103="Low"),SUMPRODUCT((Cards!$A$4:$A$1000&lt;&gt;"")*ISNUMBER(SEARCH($A103,Cards!$E$4:$E$1000))*(Cards!$F$4:$F$1000&lt;&gt;"Medium")*(Cards!$F$4:$F$1000&lt;&gt;"Low"))=0),"Conditionally Passed","Failed"),IF($M103="Done","Passed","Not Run")))))</f>
        <v/>
      </c>
      <c r="Y103" s="27" t="str" cm="1">
        <f t="array" ref="Y103">IF($A103="","",IF(TRIM($B103)="","-",IFERROR(_xlfn.TEXTJOIN(" / ",TRUE,_xlfn.UNIQUE(_xlfn._xlws.FILTER('Ownership Matrix'!$C$5:$C$200,('Ownership Matrix'!$A$5:$A$200=TRIM($B103))*('Ownership Matrix'!$C$5:$C$200&lt;&gt;"")))),"ไม่พบใน Ownership Matrix")))</f>
        <v/>
      </c>
      <c r="Z103" s="31" t="str">
        <f>IF(NOT(AND($A103&lt;&gt;"",$M103&lt;&gt;"Out of Scope",$M103&lt;&gt;"Canceled",$T103&lt;&gt;"Fixed – Retest Passed",OR(LEN(TRIM($O103))&gt;0,LEN(TRIM($P103))&gt;0))),"",IF(OR($W103="Failed",$R103="Urgent",$R103="High",$R103="ระบุ Severity + Impact"),IF(COUNTIFS(Dashboard!$B$105:$B$124,$O103,Dashboard!$I$105:$I$124,"CAB")&gt;0,"Accepted (CF)","Blocking"),"Deferrable"))</f>
        <v/>
      </c>
    </row>
    <row r="104" spans="7:26" x14ac:dyDescent="0.3">
      <c r="G104" s="27" t="str" cm="1">
        <f t="array" ref="G104">IF($A104="","",IFERROR(_xlfn.TEXTJOIN(CHAR(10)&amp;CHAR(10),TRUE,_xlfn._xlws.FILTER("•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"&amp;Cards!$L$4:$L$1000),(Cards!$A$4:$A$1000&lt;&gt;"")*ISNUMBER(SEARCH($A104,Cards!$E$4:$E$1000)))),"-"))</f>
        <v/>
      </c>
      <c r="Q104" s="30"/>
      <c r="R104" s="27" t="str">
        <f>IF(OR($A104="",LEN(TRIM($O104))=0),"",IF(OR($P104="",$Q104=""),"ระบุ Severity + Impact",IFERROR(INDEX({"Urgent","Urgent","High","High";"Urgent","High","High","Medium";"High","High","Medium","Medium";"Medium","Medium","Low","Low"},MATCH($P104,{"Critical","High","Medium","Low"},0),MATCH($Q104,{"Extensive","Significant","Moderate","Minor"},0)),"-")))</f>
        <v/>
      </c>
      <c r="S104" s="30"/>
      <c r="T104" s="30"/>
      <c r="W104" s="32" t="str">
        <f>IF($A104="","",IF(OR($M104="Out of Scope",$M104="Canceled"),"Out of Scope",IF($M104="Blocked","Blocked",IF(AND($T104&lt;&gt;"Fixed – Retest Passed",OR(LEN(TRIM($O104))&gt;0,LEN(TRIM($P104))&gt;0)),IF(AND(OR($L104="Medium",$L104="Low"),SUMPRODUCT((Cards!$A$4:$A$1000&lt;&gt;"")*ISNUMBER(SEARCH($A104,Cards!$E$4:$E$1000))*(Cards!$F$4:$F$1000&lt;&gt;"Medium")*(Cards!$F$4:$F$1000&lt;&gt;"Low"))=0),"Conditionally Passed","Failed"),IF($M104="Done","Passed","Not Run")))))</f>
        <v/>
      </c>
      <c r="Y104" s="27" t="str" cm="1">
        <f t="array" ref="Y104">IF($A104="","",IF(TRIM($B104)="","-",IFERROR(_xlfn.TEXTJOIN(" / ",TRUE,_xlfn.UNIQUE(_xlfn._xlws.FILTER('Ownership Matrix'!$C$5:$C$200,('Ownership Matrix'!$A$5:$A$200=TRIM($B104))*('Ownership Matrix'!$C$5:$C$200&lt;&gt;"")))),"ไม่พบใน Ownership Matrix")))</f>
        <v/>
      </c>
      <c r="Z104" s="31" t="str">
        <f>IF(NOT(AND($A104&lt;&gt;"",$M104&lt;&gt;"Out of Scope",$M104&lt;&gt;"Canceled",$T104&lt;&gt;"Fixed – Retest Passed",OR(LEN(TRIM($O104))&gt;0,LEN(TRIM($P104))&gt;0))),"",IF(OR($W104="Failed",$R104="Urgent",$R104="High",$R104="ระบุ Severity + Impact"),IF(COUNTIFS(Dashboard!$B$105:$B$124,$O104,Dashboard!$I$105:$I$124,"CAB")&gt;0,"Accepted (CF)","Blocking"),"Deferrable"))</f>
        <v/>
      </c>
    </row>
    <row r="105" spans="7:26" x14ac:dyDescent="0.3">
      <c r="G105" s="27" t="str" cm="1">
        <f t="array" ref="G105">IF($A105="","",IFERROR(_xlfn.TEXTJOIN(CHAR(10)&amp;CHAR(10),TRUE,_xlfn._xlws.FILTER("•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"&amp;Cards!$L$4:$L$1000),(Cards!$A$4:$A$1000&lt;&gt;"")*ISNUMBER(SEARCH($A105,Cards!$E$4:$E$1000)))),"-"))</f>
        <v/>
      </c>
      <c r="Q105" s="30"/>
      <c r="R105" s="27" t="str">
        <f>IF(OR($A105="",LEN(TRIM($O105))=0),"",IF(OR($P105="",$Q105=""),"ระบุ Severity + Impact",IFERROR(INDEX({"Urgent","Urgent","High","High";"Urgent","High","High","Medium";"High","High","Medium","Medium";"Medium","Medium","Low","Low"},MATCH($P105,{"Critical","High","Medium","Low"},0),MATCH($Q105,{"Extensive","Significant","Moderate","Minor"},0)),"-")))</f>
        <v/>
      </c>
      <c r="S105" s="30"/>
      <c r="T105" s="30"/>
      <c r="W105" s="32" t="str">
        <f>IF($A105="","",IF(OR($M105="Out of Scope",$M105="Canceled"),"Out of Scope",IF($M105="Blocked","Blocked",IF(AND($T105&lt;&gt;"Fixed – Retest Passed",OR(LEN(TRIM($O105))&gt;0,LEN(TRIM($P105))&gt;0)),IF(AND(OR($L105="Medium",$L105="Low"),SUMPRODUCT((Cards!$A$4:$A$1000&lt;&gt;"")*ISNUMBER(SEARCH($A105,Cards!$E$4:$E$1000))*(Cards!$F$4:$F$1000&lt;&gt;"Medium")*(Cards!$F$4:$F$1000&lt;&gt;"Low"))=0),"Conditionally Passed","Failed"),IF($M105="Done","Passed","Not Run")))))</f>
        <v/>
      </c>
      <c r="Y105" s="27" t="str" cm="1">
        <f t="array" ref="Y105">IF($A105="","",IF(TRIM($B105)="","-",IFERROR(_xlfn.TEXTJOIN(" / ",TRUE,_xlfn.UNIQUE(_xlfn._xlws.FILTER('Ownership Matrix'!$C$5:$C$200,('Ownership Matrix'!$A$5:$A$200=TRIM($B105))*('Ownership Matrix'!$C$5:$C$200&lt;&gt;"")))),"ไม่พบใน Ownership Matrix")))</f>
        <v/>
      </c>
      <c r="Z105" s="31" t="str">
        <f>IF(NOT(AND($A105&lt;&gt;"",$M105&lt;&gt;"Out of Scope",$M105&lt;&gt;"Canceled",$T105&lt;&gt;"Fixed – Retest Passed",OR(LEN(TRIM($O105))&gt;0,LEN(TRIM($P105))&gt;0))),"",IF(OR($W105="Failed",$R105="Urgent",$R105="High",$R105="ระบุ Severity + Impact"),IF(COUNTIFS(Dashboard!$B$105:$B$124,$O105,Dashboard!$I$105:$I$124,"CAB")&gt;0,"Accepted (CF)","Blocking"),"Deferrable"))</f>
        <v/>
      </c>
    </row>
    <row r="106" spans="7:26" x14ac:dyDescent="0.3">
      <c r="G106" s="27" t="str" cm="1">
        <f t="array" ref="G106">IF($A106="","",IFERROR(_xlfn.TEXTJOIN(CHAR(10)&amp;CHAR(10),TRUE,_xlfn._xlws.FILTER("•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"&amp;Cards!$L$4:$L$1000),(Cards!$A$4:$A$1000&lt;&gt;"")*ISNUMBER(SEARCH($A106,Cards!$E$4:$E$1000)))),"-"))</f>
        <v/>
      </c>
      <c r="Q106" s="30"/>
      <c r="R106" s="27" t="str">
        <f>IF(OR($A106="",LEN(TRIM($O106))=0),"",IF(OR($P106="",$Q106=""),"ระบุ Severity + Impact",IFERROR(INDEX({"Urgent","Urgent","High","High";"Urgent","High","High","Medium";"High","High","Medium","Medium";"Medium","Medium","Low","Low"},MATCH($P106,{"Critical","High","Medium","Low"},0),MATCH($Q106,{"Extensive","Significant","Moderate","Minor"},0)),"-")))</f>
        <v/>
      </c>
      <c r="S106" s="30"/>
      <c r="T106" s="30"/>
      <c r="W106" s="32" t="str">
        <f>IF($A106="","",IF(OR($M106="Out of Scope",$M106="Canceled"),"Out of Scope",IF($M106="Blocked","Blocked",IF(AND($T106&lt;&gt;"Fixed – Retest Passed",OR(LEN(TRIM($O106))&gt;0,LEN(TRIM($P106))&gt;0)),IF(AND(OR($L106="Medium",$L106="Low"),SUMPRODUCT((Cards!$A$4:$A$1000&lt;&gt;"")*ISNUMBER(SEARCH($A106,Cards!$E$4:$E$1000))*(Cards!$F$4:$F$1000&lt;&gt;"Medium")*(Cards!$F$4:$F$1000&lt;&gt;"Low"))=0),"Conditionally Passed","Failed"),IF($M106="Done","Passed","Not Run")))))</f>
        <v/>
      </c>
      <c r="Y106" s="27" t="str" cm="1">
        <f t="array" ref="Y106">IF($A106="","",IF(TRIM($B106)="","-",IFERROR(_xlfn.TEXTJOIN(" / ",TRUE,_xlfn.UNIQUE(_xlfn._xlws.FILTER('Ownership Matrix'!$C$5:$C$200,('Ownership Matrix'!$A$5:$A$200=TRIM($B106))*('Ownership Matrix'!$C$5:$C$200&lt;&gt;"")))),"ไม่พบใน Ownership Matrix")))</f>
        <v/>
      </c>
      <c r="Z106" s="31" t="str">
        <f>IF(NOT(AND($A106&lt;&gt;"",$M106&lt;&gt;"Out of Scope",$M106&lt;&gt;"Canceled",$T106&lt;&gt;"Fixed – Retest Passed",OR(LEN(TRIM($O106))&gt;0,LEN(TRIM($P106))&gt;0))),"",IF(OR($W106="Failed",$R106="Urgent",$R106="High",$R106="ระบุ Severity + Impact"),IF(COUNTIFS(Dashboard!$B$105:$B$124,$O106,Dashboard!$I$105:$I$124,"CAB")&gt;0,"Accepted (CF)","Blocking"),"Deferrable"))</f>
        <v/>
      </c>
    </row>
    <row r="107" spans="7:26" x14ac:dyDescent="0.3">
      <c r="G107" s="27" t="str" cm="1">
        <f t="array" ref="G107">IF($A107="","",IFERROR(_xlfn.TEXTJOIN(CHAR(10)&amp;CHAR(10),TRUE,_xlfn._xlws.FILTER("•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"&amp;Cards!$L$4:$L$1000),(Cards!$A$4:$A$1000&lt;&gt;"")*ISNUMBER(SEARCH($A107,Cards!$E$4:$E$1000)))),"-"))</f>
        <v/>
      </c>
      <c r="Q107" s="30"/>
      <c r="R107" s="27" t="str">
        <f>IF(OR($A107="",LEN(TRIM($O107))=0),"",IF(OR($P107="",$Q107=""),"ระบุ Severity + Impact",IFERROR(INDEX({"Urgent","Urgent","High","High";"Urgent","High","High","Medium";"High","High","Medium","Medium";"Medium","Medium","Low","Low"},MATCH($P107,{"Critical","High","Medium","Low"},0),MATCH($Q107,{"Extensive","Significant","Moderate","Minor"},0)),"-")))</f>
        <v/>
      </c>
      <c r="S107" s="30"/>
      <c r="T107" s="30"/>
      <c r="W107" s="32" t="str">
        <f>IF($A107="","",IF(OR($M107="Out of Scope",$M107="Canceled"),"Out of Scope",IF($M107="Blocked","Blocked",IF(AND($T107&lt;&gt;"Fixed – Retest Passed",OR(LEN(TRIM($O107))&gt;0,LEN(TRIM($P107))&gt;0)),IF(AND(OR($L107="Medium",$L107="Low"),SUMPRODUCT((Cards!$A$4:$A$1000&lt;&gt;"")*ISNUMBER(SEARCH($A107,Cards!$E$4:$E$1000))*(Cards!$F$4:$F$1000&lt;&gt;"Medium")*(Cards!$F$4:$F$1000&lt;&gt;"Low"))=0),"Conditionally Passed","Failed"),IF($M107="Done","Passed","Not Run")))))</f>
        <v/>
      </c>
      <c r="Y107" s="27" t="str" cm="1">
        <f t="array" ref="Y107">IF($A107="","",IF(TRIM($B107)="","-",IFERROR(_xlfn.TEXTJOIN(" / ",TRUE,_xlfn.UNIQUE(_xlfn._xlws.FILTER('Ownership Matrix'!$C$5:$C$200,('Ownership Matrix'!$A$5:$A$200=TRIM($B107))*('Ownership Matrix'!$C$5:$C$200&lt;&gt;"")))),"ไม่พบใน Ownership Matrix")))</f>
        <v/>
      </c>
      <c r="Z107" s="31" t="str">
        <f>IF(NOT(AND($A107&lt;&gt;"",$M107&lt;&gt;"Out of Scope",$M107&lt;&gt;"Canceled",$T107&lt;&gt;"Fixed – Retest Passed",OR(LEN(TRIM($O107))&gt;0,LEN(TRIM($P107))&gt;0))),"",IF(OR($W107="Failed",$R107="Urgent",$R107="High",$R107="ระบุ Severity + Impact"),IF(COUNTIFS(Dashboard!$B$105:$B$124,$O107,Dashboard!$I$105:$I$124,"CAB")&gt;0,"Accepted (CF)","Blocking"),"Deferrable"))</f>
        <v/>
      </c>
    </row>
    <row r="108" spans="7:26" x14ac:dyDescent="0.3">
      <c r="G108" s="27" t="str" cm="1">
        <f t="array" ref="G108">IF($A108="","",IFERROR(_xlfn.TEXTJOIN(CHAR(10)&amp;CHAR(10),TRUE,_xlfn._xlws.FILTER("•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"&amp;Cards!$L$4:$L$1000),(Cards!$A$4:$A$1000&lt;&gt;"")*ISNUMBER(SEARCH($A108,Cards!$E$4:$E$1000)))),"-"))</f>
        <v/>
      </c>
      <c r="Q108" s="30"/>
      <c r="R108" s="27" t="str">
        <f>IF(OR($A108="",LEN(TRIM($O108))=0),"",IF(OR($P108="",$Q108=""),"ระบุ Severity + Impact",IFERROR(INDEX({"Urgent","Urgent","High","High";"Urgent","High","High","Medium";"High","High","Medium","Medium";"Medium","Medium","Low","Low"},MATCH($P108,{"Critical","High","Medium","Low"},0),MATCH($Q108,{"Extensive","Significant","Moderate","Minor"},0)),"-")))</f>
        <v/>
      </c>
      <c r="S108" s="30"/>
      <c r="T108" s="30"/>
      <c r="W108" s="32" t="str">
        <f>IF($A108="","",IF(OR($M108="Out of Scope",$M108="Canceled"),"Out of Scope",IF($M108="Blocked","Blocked",IF(AND($T108&lt;&gt;"Fixed – Retest Passed",OR(LEN(TRIM($O108))&gt;0,LEN(TRIM($P108))&gt;0)),IF(AND(OR($L108="Medium",$L108="Low"),SUMPRODUCT((Cards!$A$4:$A$1000&lt;&gt;"")*ISNUMBER(SEARCH($A108,Cards!$E$4:$E$1000))*(Cards!$F$4:$F$1000&lt;&gt;"Medium")*(Cards!$F$4:$F$1000&lt;&gt;"Low"))=0),"Conditionally Passed","Failed"),IF($M108="Done","Passed","Not Run")))))</f>
        <v/>
      </c>
      <c r="Y108" s="27" t="str" cm="1">
        <f t="array" ref="Y108">IF($A108="","",IF(TRIM($B108)="","-",IFERROR(_xlfn.TEXTJOIN(" / ",TRUE,_xlfn.UNIQUE(_xlfn._xlws.FILTER('Ownership Matrix'!$C$5:$C$200,('Ownership Matrix'!$A$5:$A$200=TRIM($B108))*('Ownership Matrix'!$C$5:$C$200&lt;&gt;"")))),"ไม่พบใน Ownership Matrix")))</f>
        <v/>
      </c>
      <c r="Z108" s="31" t="str">
        <f>IF(NOT(AND($A108&lt;&gt;"",$M108&lt;&gt;"Out of Scope",$M108&lt;&gt;"Canceled",$T108&lt;&gt;"Fixed – Retest Passed",OR(LEN(TRIM($O108))&gt;0,LEN(TRIM($P108))&gt;0))),"",IF(OR($W108="Failed",$R108="Urgent",$R108="High",$R108="ระบุ Severity + Impact"),IF(COUNTIFS(Dashboard!$B$105:$B$124,$O108,Dashboard!$I$105:$I$124,"CAB")&gt;0,"Accepted (CF)","Blocking"),"Deferrable"))</f>
        <v/>
      </c>
    </row>
    <row r="109" spans="7:26" x14ac:dyDescent="0.3">
      <c r="G109" s="27" t="str" cm="1">
        <f t="array" ref="G109">IF($A109="","",IFERROR(_xlfn.TEXTJOIN(CHAR(10)&amp;CHAR(10),TRUE,_xlfn._xlws.FILTER("•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"&amp;Cards!$L$4:$L$1000),(Cards!$A$4:$A$1000&lt;&gt;"")*ISNUMBER(SEARCH($A109,Cards!$E$4:$E$1000)))),"-"))</f>
        <v/>
      </c>
      <c r="Q109" s="30"/>
      <c r="R109" s="27" t="str">
        <f>IF(OR($A109="",LEN(TRIM($O109))=0),"",IF(OR($P109="",$Q109=""),"ระบุ Severity + Impact",IFERROR(INDEX({"Urgent","Urgent","High","High";"Urgent","High","High","Medium";"High","High","Medium","Medium";"Medium","Medium","Low","Low"},MATCH($P109,{"Critical","High","Medium","Low"},0),MATCH($Q109,{"Extensive","Significant","Moderate","Minor"},0)),"-")))</f>
        <v/>
      </c>
      <c r="S109" s="30"/>
      <c r="T109" s="30"/>
      <c r="W109" s="32" t="str">
        <f>IF($A109="","",IF(OR($M109="Out of Scope",$M109="Canceled"),"Out of Scope",IF($M109="Blocked","Blocked",IF(AND($T109&lt;&gt;"Fixed – Retest Passed",OR(LEN(TRIM($O109))&gt;0,LEN(TRIM($P109))&gt;0)),IF(AND(OR($L109="Medium",$L109="Low"),SUMPRODUCT((Cards!$A$4:$A$1000&lt;&gt;"")*ISNUMBER(SEARCH($A109,Cards!$E$4:$E$1000))*(Cards!$F$4:$F$1000&lt;&gt;"Medium")*(Cards!$F$4:$F$1000&lt;&gt;"Low"))=0),"Conditionally Passed","Failed"),IF($M109="Done","Passed","Not Run")))))</f>
        <v/>
      </c>
      <c r="Y109" s="27" t="str" cm="1">
        <f t="array" ref="Y109">IF($A109="","",IF(TRIM($B109)="","-",IFERROR(_xlfn.TEXTJOIN(" / ",TRUE,_xlfn.UNIQUE(_xlfn._xlws.FILTER('Ownership Matrix'!$C$5:$C$200,('Ownership Matrix'!$A$5:$A$200=TRIM($B109))*('Ownership Matrix'!$C$5:$C$200&lt;&gt;"")))),"ไม่พบใน Ownership Matrix")))</f>
        <v/>
      </c>
      <c r="Z109" s="31" t="str">
        <f>IF(NOT(AND($A109&lt;&gt;"",$M109&lt;&gt;"Out of Scope",$M109&lt;&gt;"Canceled",$T109&lt;&gt;"Fixed – Retest Passed",OR(LEN(TRIM($O109))&gt;0,LEN(TRIM($P109))&gt;0))),"",IF(OR($W109="Failed",$R109="Urgent",$R109="High",$R109="ระบุ Severity + Impact"),IF(COUNTIFS(Dashboard!$B$105:$B$124,$O109,Dashboard!$I$105:$I$124,"CAB")&gt;0,"Accepted (CF)","Blocking"),"Deferrable"))</f>
        <v/>
      </c>
    </row>
    <row r="110" spans="7:26" x14ac:dyDescent="0.3">
      <c r="G110" s="27" t="str" cm="1">
        <f t="array" ref="G110">IF($A110="","",IFERROR(_xlfn.TEXTJOIN(CHAR(10)&amp;CHAR(10),TRUE,_xlfn._xlws.FILTER("•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"&amp;Cards!$L$4:$L$1000),(Cards!$A$4:$A$1000&lt;&gt;"")*ISNUMBER(SEARCH($A110,Cards!$E$4:$E$1000)))),"-"))</f>
        <v/>
      </c>
      <c r="Q110" s="30"/>
      <c r="R110" s="27" t="str">
        <f>IF(OR($A110="",LEN(TRIM($O110))=0),"",IF(OR($P110="",$Q110=""),"ระบุ Severity + Impact",IFERROR(INDEX({"Urgent","Urgent","High","High";"Urgent","High","High","Medium";"High","High","Medium","Medium";"Medium","Medium","Low","Low"},MATCH($P110,{"Critical","High","Medium","Low"},0),MATCH($Q110,{"Extensive","Significant","Moderate","Minor"},0)),"-")))</f>
        <v/>
      </c>
      <c r="S110" s="30"/>
      <c r="T110" s="30"/>
      <c r="W110" s="32" t="str">
        <f>IF($A110="","",IF(OR($M110="Out of Scope",$M110="Canceled"),"Out of Scope",IF($M110="Blocked","Blocked",IF(AND($T110&lt;&gt;"Fixed – Retest Passed",OR(LEN(TRIM($O110))&gt;0,LEN(TRIM($P110))&gt;0)),IF(AND(OR($L110="Medium",$L110="Low"),SUMPRODUCT((Cards!$A$4:$A$1000&lt;&gt;"")*ISNUMBER(SEARCH($A110,Cards!$E$4:$E$1000))*(Cards!$F$4:$F$1000&lt;&gt;"Medium")*(Cards!$F$4:$F$1000&lt;&gt;"Low"))=0),"Conditionally Passed","Failed"),IF($M110="Done","Passed","Not Run")))))</f>
        <v/>
      </c>
      <c r="Y110" s="27" t="str" cm="1">
        <f t="array" ref="Y110">IF($A110="","",IF(TRIM($B110)="","-",IFERROR(_xlfn.TEXTJOIN(" / ",TRUE,_xlfn.UNIQUE(_xlfn._xlws.FILTER('Ownership Matrix'!$C$5:$C$200,('Ownership Matrix'!$A$5:$A$200=TRIM($B110))*('Ownership Matrix'!$C$5:$C$200&lt;&gt;"")))),"ไม่พบใน Ownership Matrix")))</f>
        <v/>
      </c>
      <c r="Z110" s="31" t="str">
        <f>IF(NOT(AND($A110&lt;&gt;"",$M110&lt;&gt;"Out of Scope",$M110&lt;&gt;"Canceled",$T110&lt;&gt;"Fixed – Retest Passed",OR(LEN(TRIM($O110))&gt;0,LEN(TRIM($P110))&gt;0))),"",IF(OR($W110="Failed",$R110="Urgent",$R110="High",$R110="ระบุ Severity + Impact"),IF(COUNTIFS(Dashboard!$B$105:$B$124,$O110,Dashboard!$I$105:$I$124,"CAB")&gt;0,"Accepted (CF)","Blocking"),"Deferrable"))</f>
        <v/>
      </c>
    </row>
    <row r="111" spans="7:26" x14ac:dyDescent="0.3">
      <c r="G111" s="27" t="str" cm="1">
        <f t="array" ref="G111">IF($A111="","",IFERROR(_xlfn.TEXTJOIN(CHAR(10)&amp;CHAR(10),TRUE,_xlfn._xlws.FILTER("•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"&amp;Cards!$L$4:$L$1000),(Cards!$A$4:$A$1000&lt;&gt;"")*ISNUMBER(SEARCH($A111,Cards!$E$4:$E$1000)))),"-"))</f>
        <v/>
      </c>
      <c r="Q111" s="30"/>
      <c r="R111" s="27" t="str">
        <f>IF(OR($A111="",LEN(TRIM($O111))=0),"",IF(OR($P111="",$Q111=""),"ระบุ Severity + Impact",IFERROR(INDEX({"Urgent","Urgent","High","High";"Urgent","High","High","Medium";"High","High","Medium","Medium";"Medium","Medium","Low","Low"},MATCH($P111,{"Critical","High","Medium","Low"},0),MATCH($Q111,{"Extensive","Significant","Moderate","Minor"},0)),"-")))</f>
        <v/>
      </c>
      <c r="S111" s="30"/>
      <c r="T111" s="30"/>
      <c r="W111" s="32" t="str">
        <f>IF($A111="","",IF(OR($M111="Out of Scope",$M111="Canceled"),"Out of Scope",IF($M111="Blocked","Blocked",IF(AND($T111&lt;&gt;"Fixed – Retest Passed",OR(LEN(TRIM($O111))&gt;0,LEN(TRIM($P111))&gt;0)),IF(AND(OR($L111="Medium",$L111="Low"),SUMPRODUCT((Cards!$A$4:$A$1000&lt;&gt;"")*ISNUMBER(SEARCH($A111,Cards!$E$4:$E$1000))*(Cards!$F$4:$F$1000&lt;&gt;"Medium")*(Cards!$F$4:$F$1000&lt;&gt;"Low"))=0),"Conditionally Passed","Failed"),IF($M111="Done","Passed","Not Run")))))</f>
        <v/>
      </c>
      <c r="Y111" s="27" t="str" cm="1">
        <f t="array" ref="Y111">IF($A111="","",IF(TRIM($B111)="","-",IFERROR(_xlfn.TEXTJOIN(" / ",TRUE,_xlfn.UNIQUE(_xlfn._xlws.FILTER('Ownership Matrix'!$C$5:$C$200,('Ownership Matrix'!$A$5:$A$200=TRIM($B111))*('Ownership Matrix'!$C$5:$C$200&lt;&gt;"")))),"ไม่พบใน Ownership Matrix")))</f>
        <v/>
      </c>
      <c r="Z111" s="31" t="str">
        <f>IF(NOT(AND($A111&lt;&gt;"",$M111&lt;&gt;"Out of Scope",$M111&lt;&gt;"Canceled",$T111&lt;&gt;"Fixed – Retest Passed",OR(LEN(TRIM($O111))&gt;0,LEN(TRIM($P111))&gt;0))),"",IF(OR($W111="Failed",$R111="Urgent",$R111="High",$R111="ระบุ Severity + Impact"),IF(COUNTIFS(Dashboard!$B$105:$B$124,$O111,Dashboard!$I$105:$I$124,"CAB")&gt;0,"Accepted (CF)","Blocking"),"Deferrable"))</f>
        <v/>
      </c>
    </row>
    <row r="112" spans="7:26" x14ac:dyDescent="0.3">
      <c r="G112" s="27" t="str" cm="1">
        <f t="array" ref="G112">IF($A112="","",IFERROR(_xlfn.TEXTJOIN(CHAR(10)&amp;CHAR(10),TRUE,_xlfn._xlws.FILTER("•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"&amp;Cards!$L$4:$L$1000),(Cards!$A$4:$A$1000&lt;&gt;"")*ISNUMBER(SEARCH($A112,Cards!$E$4:$E$1000)))),"-"))</f>
        <v/>
      </c>
      <c r="Q112" s="30"/>
      <c r="R112" s="27" t="str">
        <f>IF(OR($A112="",LEN(TRIM($O112))=0),"",IF(OR($P112="",$Q112=""),"ระบุ Severity + Impact",IFERROR(INDEX({"Urgent","Urgent","High","High";"Urgent","High","High","Medium";"High","High","Medium","Medium";"Medium","Medium","Low","Low"},MATCH($P112,{"Critical","High","Medium","Low"},0),MATCH($Q112,{"Extensive","Significant","Moderate","Minor"},0)),"-")))</f>
        <v/>
      </c>
      <c r="S112" s="30"/>
      <c r="T112" s="30"/>
      <c r="W112" s="32" t="str">
        <f>IF($A112="","",IF(OR($M112="Out of Scope",$M112="Canceled"),"Out of Scope",IF($M112="Blocked","Blocked",IF(AND($T112&lt;&gt;"Fixed – Retest Passed",OR(LEN(TRIM($O112))&gt;0,LEN(TRIM($P112))&gt;0)),IF(AND(OR($L112="Medium",$L112="Low"),SUMPRODUCT((Cards!$A$4:$A$1000&lt;&gt;"")*ISNUMBER(SEARCH($A112,Cards!$E$4:$E$1000))*(Cards!$F$4:$F$1000&lt;&gt;"Medium")*(Cards!$F$4:$F$1000&lt;&gt;"Low"))=0),"Conditionally Passed","Failed"),IF($M112="Done","Passed","Not Run")))))</f>
        <v/>
      </c>
      <c r="Y112" s="27" t="str" cm="1">
        <f t="array" ref="Y112">IF($A112="","",IF(TRIM($B112)="","-",IFERROR(_xlfn.TEXTJOIN(" / ",TRUE,_xlfn.UNIQUE(_xlfn._xlws.FILTER('Ownership Matrix'!$C$5:$C$200,('Ownership Matrix'!$A$5:$A$200=TRIM($B112))*('Ownership Matrix'!$C$5:$C$200&lt;&gt;"")))),"ไม่พบใน Ownership Matrix")))</f>
        <v/>
      </c>
      <c r="Z112" s="31" t="str">
        <f>IF(NOT(AND($A112&lt;&gt;"",$M112&lt;&gt;"Out of Scope",$M112&lt;&gt;"Canceled",$T112&lt;&gt;"Fixed – Retest Passed",OR(LEN(TRIM($O112))&gt;0,LEN(TRIM($P112))&gt;0))),"",IF(OR($W112="Failed",$R112="Urgent",$R112="High",$R112="ระบุ Severity + Impact"),IF(COUNTIFS(Dashboard!$B$105:$B$124,$O112,Dashboard!$I$105:$I$124,"CAB")&gt;0,"Accepted (CF)","Blocking"),"Deferrable"))</f>
        <v/>
      </c>
    </row>
    <row r="113" spans="7:26" x14ac:dyDescent="0.3">
      <c r="G113" s="27" t="str" cm="1">
        <f t="array" ref="G113">IF($A113="","",IFERROR(_xlfn.TEXTJOIN(CHAR(10)&amp;CHAR(10),TRUE,_xlfn._xlws.FILTER("•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"&amp;Cards!$L$4:$L$1000),(Cards!$A$4:$A$1000&lt;&gt;"")*ISNUMBER(SEARCH($A113,Cards!$E$4:$E$1000)))),"-"))</f>
        <v/>
      </c>
      <c r="Q113" s="30"/>
      <c r="R113" s="27" t="str">
        <f>IF(OR($A113="",LEN(TRIM($O113))=0),"",IF(OR($P113="",$Q113=""),"ระบุ Severity + Impact",IFERROR(INDEX({"Urgent","Urgent","High","High";"Urgent","High","High","Medium";"High","High","Medium","Medium";"Medium","Medium","Low","Low"},MATCH($P113,{"Critical","High","Medium","Low"},0),MATCH($Q113,{"Extensive","Significant","Moderate","Minor"},0)),"-")))</f>
        <v/>
      </c>
      <c r="S113" s="30"/>
      <c r="T113" s="30"/>
      <c r="W113" s="32" t="str">
        <f>IF($A113="","",IF(OR($M113="Out of Scope",$M113="Canceled"),"Out of Scope",IF($M113="Blocked","Blocked",IF(AND($T113&lt;&gt;"Fixed – Retest Passed",OR(LEN(TRIM($O113))&gt;0,LEN(TRIM($P113))&gt;0)),IF(AND(OR($L113="Medium",$L113="Low"),SUMPRODUCT((Cards!$A$4:$A$1000&lt;&gt;"")*ISNUMBER(SEARCH($A113,Cards!$E$4:$E$1000))*(Cards!$F$4:$F$1000&lt;&gt;"Medium")*(Cards!$F$4:$F$1000&lt;&gt;"Low"))=0),"Conditionally Passed","Failed"),IF($M113="Done","Passed","Not Run")))))</f>
        <v/>
      </c>
      <c r="Y113" s="27" t="str" cm="1">
        <f t="array" ref="Y113">IF($A113="","",IF(TRIM($B113)="","-",IFERROR(_xlfn.TEXTJOIN(" / ",TRUE,_xlfn.UNIQUE(_xlfn._xlws.FILTER('Ownership Matrix'!$C$5:$C$200,('Ownership Matrix'!$A$5:$A$200=TRIM($B113))*('Ownership Matrix'!$C$5:$C$200&lt;&gt;"")))),"ไม่พบใน Ownership Matrix")))</f>
        <v/>
      </c>
      <c r="Z113" s="31" t="str">
        <f>IF(NOT(AND($A113&lt;&gt;"",$M113&lt;&gt;"Out of Scope",$M113&lt;&gt;"Canceled",$T113&lt;&gt;"Fixed – Retest Passed",OR(LEN(TRIM($O113))&gt;0,LEN(TRIM($P113))&gt;0))),"",IF(OR($W113="Failed",$R113="Urgent",$R113="High",$R113="ระบุ Severity + Impact"),IF(COUNTIFS(Dashboard!$B$105:$B$124,$O113,Dashboard!$I$105:$I$124,"CAB")&gt;0,"Accepted (CF)","Blocking"),"Deferrable"))</f>
        <v/>
      </c>
    </row>
    <row r="114" spans="7:26" x14ac:dyDescent="0.3">
      <c r="G114" s="27" t="str" cm="1">
        <f t="array" ref="G114">IF($A114="","",IFERROR(_xlfn.TEXTJOIN(CHAR(10)&amp;CHAR(10),TRUE,_xlfn._xlws.FILTER("•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"&amp;Cards!$L$4:$L$1000),(Cards!$A$4:$A$1000&lt;&gt;"")*ISNUMBER(SEARCH($A114,Cards!$E$4:$E$1000)))),"-"))</f>
        <v/>
      </c>
      <c r="Q114" s="30"/>
      <c r="R114" s="27" t="str">
        <f>IF(OR($A114="",LEN(TRIM($O114))=0),"",IF(OR($P114="",$Q114=""),"ระบุ Severity + Impact",IFERROR(INDEX({"Urgent","Urgent","High","High";"Urgent","High","High","Medium";"High","High","Medium","Medium";"Medium","Medium","Low","Low"},MATCH($P114,{"Critical","High","Medium","Low"},0),MATCH($Q114,{"Extensive","Significant","Moderate","Minor"},0)),"-")))</f>
        <v/>
      </c>
      <c r="S114" s="30"/>
      <c r="T114" s="30"/>
      <c r="W114" s="32" t="str">
        <f>IF($A114="","",IF(OR($M114="Out of Scope",$M114="Canceled"),"Out of Scope",IF($M114="Blocked","Blocked",IF(AND($T114&lt;&gt;"Fixed – Retest Passed",OR(LEN(TRIM($O114))&gt;0,LEN(TRIM($P114))&gt;0)),IF(AND(OR($L114="Medium",$L114="Low"),SUMPRODUCT((Cards!$A$4:$A$1000&lt;&gt;"")*ISNUMBER(SEARCH($A114,Cards!$E$4:$E$1000))*(Cards!$F$4:$F$1000&lt;&gt;"Medium")*(Cards!$F$4:$F$1000&lt;&gt;"Low"))=0),"Conditionally Passed","Failed"),IF($M114="Done","Passed","Not Run")))))</f>
        <v/>
      </c>
      <c r="Y114" s="27" t="str" cm="1">
        <f t="array" ref="Y114">IF($A114="","",IF(TRIM($B114)="","-",IFERROR(_xlfn.TEXTJOIN(" / ",TRUE,_xlfn.UNIQUE(_xlfn._xlws.FILTER('Ownership Matrix'!$C$5:$C$200,('Ownership Matrix'!$A$5:$A$200=TRIM($B114))*('Ownership Matrix'!$C$5:$C$200&lt;&gt;"")))),"ไม่พบใน Ownership Matrix")))</f>
        <v/>
      </c>
      <c r="Z114" s="31" t="str">
        <f>IF(NOT(AND($A114&lt;&gt;"",$M114&lt;&gt;"Out of Scope",$M114&lt;&gt;"Canceled",$T114&lt;&gt;"Fixed – Retest Passed",OR(LEN(TRIM($O114))&gt;0,LEN(TRIM($P114))&gt;0))),"",IF(OR($W114="Failed",$R114="Urgent",$R114="High",$R114="ระบุ Severity + Impact"),IF(COUNTIFS(Dashboard!$B$105:$B$124,$O114,Dashboard!$I$105:$I$124,"CAB")&gt;0,"Accepted (CF)","Blocking"),"Deferrable"))</f>
        <v/>
      </c>
    </row>
    <row r="115" spans="7:26" x14ac:dyDescent="0.3">
      <c r="G115" s="27" t="str" cm="1">
        <f t="array" ref="G115">IF($A115="","",IFERROR(_xlfn.TEXTJOIN(CHAR(10)&amp;CHAR(10),TRUE,_xlfn._xlws.FILTER("•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"&amp;Cards!$L$4:$L$1000),(Cards!$A$4:$A$1000&lt;&gt;"")*ISNUMBER(SEARCH($A115,Cards!$E$4:$E$1000)))),"-"))</f>
        <v/>
      </c>
      <c r="Q115" s="30"/>
      <c r="R115" s="27" t="str">
        <f>IF(OR($A115="",LEN(TRIM($O115))=0),"",IF(OR($P115="",$Q115=""),"ระบุ Severity + Impact",IFERROR(INDEX({"Urgent","Urgent","High","High";"Urgent","High","High","Medium";"High","High","Medium","Medium";"Medium","Medium","Low","Low"},MATCH($P115,{"Critical","High","Medium","Low"},0),MATCH($Q115,{"Extensive","Significant","Moderate","Minor"},0)),"-")))</f>
        <v/>
      </c>
      <c r="S115" s="30"/>
      <c r="T115" s="30"/>
      <c r="W115" s="32" t="str">
        <f>IF($A115="","",IF(OR($M115="Out of Scope",$M115="Canceled"),"Out of Scope",IF($M115="Blocked","Blocked",IF(AND($T115&lt;&gt;"Fixed – Retest Passed",OR(LEN(TRIM($O115))&gt;0,LEN(TRIM($P115))&gt;0)),IF(AND(OR($L115="Medium",$L115="Low"),SUMPRODUCT((Cards!$A$4:$A$1000&lt;&gt;"")*ISNUMBER(SEARCH($A115,Cards!$E$4:$E$1000))*(Cards!$F$4:$F$1000&lt;&gt;"Medium")*(Cards!$F$4:$F$1000&lt;&gt;"Low"))=0),"Conditionally Passed","Failed"),IF($M115="Done","Passed","Not Run")))))</f>
        <v/>
      </c>
      <c r="Y115" s="27" t="str" cm="1">
        <f t="array" ref="Y115">IF($A115="","",IF(TRIM($B115)="","-",IFERROR(_xlfn.TEXTJOIN(" / ",TRUE,_xlfn.UNIQUE(_xlfn._xlws.FILTER('Ownership Matrix'!$C$5:$C$200,('Ownership Matrix'!$A$5:$A$200=TRIM($B115))*('Ownership Matrix'!$C$5:$C$200&lt;&gt;"")))),"ไม่พบใน Ownership Matrix")))</f>
        <v/>
      </c>
      <c r="Z115" s="31" t="str">
        <f>IF(NOT(AND($A115&lt;&gt;"",$M115&lt;&gt;"Out of Scope",$M115&lt;&gt;"Canceled",$T115&lt;&gt;"Fixed – Retest Passed",OR(LEN(TRIM($O115))&gt;0,LEN(TRIM($P115))&gt;0))),"",IF(OR($W115="Failed",$R115="Urgent",$R115="High",$R115="ระบุ Severity + Impact"),IF(COUNTIFS(Dashboard!$B$105:$B$124,$O115,Dashboard!$I$105:$I$124,"CAB")&gt;0,"Accepted (CF)","Blocking"),"Deferrable"))</f>
        <v/>
      </c>
    </row>
    <row r="116" spans="7:26" x14ac:dyDescent="0.3">
      <c r="G116" s="27" t="str" cm="1">
        <f t="array" ref="G116">IF($A116="","",IFERROR(_xlfn.TEXTJOIN(CHAR(10)&amp;CHAR(10),TRUE,_xlfn._xlws.FILTER("•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"&amp;Cards!$L$4:$L$1000),(Cards!$A$4:$A$1000&lt;&gt;"")*ISNUMBER(SEARCH($A116,Cards!$E$4:$E$1000)))),"-"))</f>
        <v/>
      </c>
      <c r="Q116" s="30"/>
      <c r="R116" s="27" t="str">
        <f>IF(OR($A116="",LEN(TRIM($O116))=0),"",IF(OR($P116="",$Q116=""),"ระบุ Severity + Impact",IFERROR(INDEX({"Urgent","Urgent","High","High";"Urgent","High","High","Medium";"High","High","Medium","Medium";"Medium","Medium","Low","Low"},MATCH($P116,{"Critical","High","Medium","Low"},0),MATCH($Q116,{"Extensive","Significant","Moderate","Minor"},0)),"-")))</f>
        <v/>
      </c>
      <c r="S116" s="30"/>
      <c r="T116" s="30"/>
      <c r="W116" s="32" t="str">
        <f>IF($A116="","",IF(OR($M116="Out of Scope",$M116="Canceled"),"Out of Scope",IF($M116="Blocked","Blocked",IF(AND($T116&lt;&gt;"Fixed – Retest Passed",OR(LEN(TRIM($O116))&gt;0,LEN(TRIM($P116))&gt;0)),IF(AND(OR($L116="Medium",$L116="Low"),SUMPRODUCT((Cards!$A$4:$A$1000&lt;&gt;"")*ISNUMBER(SEARCH($A116,Cards!$E$4:$E$1000))*(Cards!$F$4:$F$1000&lt;&gt;"Medium")*(Cards!$F$4:$F$1000&lt;&gt;"Low"))=0),"Conditionally Passed","Failed"),IF($M116="Done","Passed","Not Run")))))</f>
        <v/>
      </c>
      <c r="Y116" s="27" t="str" cm="1">
        <f t="array" ref="Y116">IF($A116="","",IF(TRIM($B116)="","-",IFERROR(_xlfn.TEXTJOIN(" / ",TRUE,_xlfn.UNIQUE(_xlfn._xlws.FILTER('Ownership Matrix'!$C$5:$C$200,('Ownership Matrix'!$A$5:$A$200=TRIM($B116))*('Ownership Matrix'!$C$5:$C$200&lt;&gt;"")))),"ไม่พบใน Ownership Matrix")))</f>
        <v/>
      </c>
      <c r="Z116" s="31" t="str">
        <f>IF(NOT(AND($A116&lt;&gt;"",$M116&lt;&gt;"Out of Scope",$M116&lt;&gt;"Canceled",$T116&lt;&gt;"Fixed – Retest Passed",OR(LEN(TRIM($O116))&gt;0,LEN(TRIM($P116))&gt;0))),"",IF(OR($W116="Failed",$R116="Urgent",$R116="High",$R116="ระบุ Severity + Impact"),IF(COUNTIFS(Dashboard!$B$105:$B$124,$O116,Dashboard!$I$105:$I$124,"CAB")&gt;0,"Accepted (CF)","Blocking"),"Deferrable"))</f>
        <v/>
      </c>
    </row>
    <row r="117" spans="7:26" x14ac:dyDescent="0.3">
      <c r="G117" s="27" t="str" cm="1">
        <f t="array" ref="G117">IF($A117="","",IFERROR(_xlfn.TEXTJOIN(CHAR(10)&amp;CHAR(10),TRUE,_xlfn._xlws.FILTER("•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"&amp;Cards!$L$4:$L$1000),(Cards!$A$4:$A$1000&lt;&gt;"")*ISNUMBER(SEARCH($A117,Cards!$E$4:$E$1000)))),"-"))</f>
        <v/>
      </c>
      <c r="Q117" s="30"/>
      <c r="R117" s="27" t="str">
        <f>IF(OR($A117="",LEN(TRIM($O117))=0),"",IF(OR($P117="",$Q117=""),"ระบุ Severity + Impact",IFERROR(INDEX({"Urgent","Urgent","High","High";"Urgent","High","High","Medium";"High","High","Medium","Medium";"Medium","Medium","Low","Low"},MATCH($P117,{"Critical","High","Medium","Low"},0),MATCH($Q117,{"Extensive","Significant","Moderate","Minor"},0)),"-")))</f>
        <v/>
      </c>
      <c r="S117" s="30"/>
      <c r="T117" s="30"/>
      <c r="W117" s="32" t="str">
        <f>IF($A117="","",IF(OR($M117="Out of Scope",$M117="Canceled"),"Out of Scope",IF($M117="Blocked","Blocked",IF(AND($T117&lt;&gt;"Fixed – Retest Passed",OR(LEN(TRIM($O117))&gt;0,LEN(TRIM($P117))&gt;0)),IF(AND(OR($L117="Medium",$L117="Low"),SUMPRODUCT((Cards!$A$4:$A$1000&lt;&gt;"")*ISNUMBER(SEARCH($A117,Cards!$E$4:$E$1000))*(Cards!$F$4:$F$1000&lt;&gt;"Medium")*(Cards!$F$4:$F$1000&lt;&gt;"Low"))=0),"Conditionally Passed","Failed"),IF($M117="Done","Passed","Not Run")))))</f>
        <v/>
      </c>
      <c r="Y117" s="27" t="str" cm="1">
        <f t="array" ref="Y117">IF($A117="","",IF(TRIM($B117)="","-",IFERROR(_xlfn.TEXTJOIN(" / ",TRUE,_xlfn.UNIQUE(_xlfn._xlws.FILTER('Ownership Matrix'!$C$5:$C$200,('Ownership Matrix'!$A$5:$A$200=TRIM($B117))*('Ownership Matrix'!$C$5:$C$200&lt;&gt;"")))),"ไม่พบใน Ownership Matrix")))</f>
        <v/>
      </c>
      <c r="Z117" s="31" t="str">
        <f>IF(NOT(AND($A117&lt;&gt;"",$M117&lt;&gt;"Out of Scope",$M117&lt;&gt;"Canceled",$T117&lt;&gt;"Fixed – Retest Passed",OR(LEN(TRIM($O117))&gt;0,LEN(TRIM($P117))&gt;0))),"",IF(OR($W117="Failed",$R117="Urgent",$R117="High",$R117="ระบุ Severity + Impact"),IF(COUNTIFS(Dashboard!$B$105:$B$124,$O117,Dashboard!$I$105:$I$124,"CAB")&gt;0,"Accepted (CF)","Blocking"),"Deferrable"))</f>
        <v/>
      </c>
    </row>
    <row r="118" spans="7:26" x14ac:dyDescent="0.3">
      <c r="G118" s="27" t="str" cm="1">
        <f t="array" ref="G118">IF($A118="","",IFERROR(_xlfn.TEXTJOIN(CHAR(10)&amp;CHAR(10),TRUE,_xlfn._xlws.FILTER("•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"&amp;Cards!$L$4:$L$1000),(Cards!$A$4:$A$1000&lt;&gt;"")*ISNUMBER(SEARCH($A118,Cards!$E$4:$E$1000)))),"-"))</f>
        <v/>
      </c>
      <c r="Q118" s="30"/>
      <c r="R118" s="27" t="str">
        <f>IF(OR($A118="",LEN(TRIM($O118))=0),"",IF(OR($P118="",$Q118=""),"ระบุ Severity + Impact",IFERROR(INDEX({"Urgent","Urgent","High","High";"Urgent","High","High","Medium";"High","High","Medium","Medium";"Medium","Medium","Low","Low"},MATCH($P118,{"Critical","High","Medium","Low"},0),MATCH($Q118,{"Extensive","Significant","Moderate","Minor"},0)),"-")))</f>
        <v/>
      </c>
      <c r="S118" s="30"/>
      <c r="T118" s="30"/>
      <c r="W118" s="32" t="str">
        <f>IF($A118="","",IF(OR($M118="Out of Scope",$M118="Canceled"),"Out of Scope",IF($M118="Blocked","Blocked",IF(AND($T118&lt;&gt;"Fixed – Retest Passed",OR(LEN(TRIM($O118))&gt;0,LEN(TRIM($P118))&gt;0)),IF(AND(OR($L118="Medium",$L118="Low"),SUMPRODUCT((Cards!$A$4:$A$1000&lt;&gt;"")*ISNUMBER(SEARCH($A118,Cards!$E$4:$E$1000))*(Cards!$F$4:$F$1000&lt;&gt;"Medium")*(Cards!$F$4:$F$1000&lt;&gt;"Low"))=0),"Conditionally Passed","Failed"),IF($M118="Done","Passed","Not Run")))))</f>
        <v/>
      </c>
      <c r="Y118" s="27" t="str" cm="1">
        <f t="array" ref="Y118">IF($A118="","",IF(TRIM($B118)="","-",IFERROR(_xlfn.TEXTJOIN(" / ",TRUE,_xlfn.UNIQUE(_xlfn._xlws.FILTER('Ownership Matrix'!$C$5:$C$200,('Ownership Matrix'!$A$5:$A$200=TRIM($B118))*('Ownership Matrix'!$C$5:$C$200&lt;&gt;"")))),"ไม่พบใน Ownership Matrix")))</f>
        <v/>
      </c>
      <c r="Z118" s="31" t="str">
        <f>IF(NOT(AND($A118&lt;&gt;"",$M118&lt;&gt;"Out of Scope",$M118&lt;&gt;"Canceled",$T118&lt;&gt;"Fixed – Retest Passed",OR(LEN(TRIM($O118))&gt;0,LEN(TRIM($P118))&gt;0))),"",IF(OR($W118="Failed",$R118="Urgent",$R118="High",$R118="ระบุ Severity + Impact"),IF(COUNTIFS(Dashboard!$B$105:$B$124,$O118,Dashboard!$I$105:$I$124,"CAB")&gt;0,"Accepted (CF)","Blocking"),"Deferrable"))</f>
        <v/>
      </c>
    </row>
    <row r="119" spans="7:26" x14ac:dyDescent="0.3">
      <c r="G119" s="27" t="str" cm="1">
        <f t="array" ref="G119">IF($A119="","",IFERROR(_xlfn.TEXTJOIN(CHAR(10)&amp;CHAR(10),TRUE,_xlfn._xlws.FILTER("•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"&amp;Cards!$L$4:$L$1000),(Cards!$A$4:$A$1000&lt;&gt;"")*ISNUMBER(SEARCH($A119,Cards!$E$4:$E$1000)))),"-"))</f>
        <v/>
      </c>
      <c r="Q119" s="30"/>
      <c r="R119" s="27" t="str">
        <f>IF(OR($A119="",LEN(TRIM($O119))=0),"",IF(OR($P119="",$Q119=""),"ระบุ Severity + Impact",IFERROR(INDEX({"Urgent","Urgent","High","High";"Urgent","High","High","Medium";"High","High","Medium","Medium";"Medium","Medium","Low","Low"},MATCH($P119,{"Critical","High","Medium","Low"},0),MATCH($Q119,{"Extensive","Significant","Moderate","Minor"},0)),"-")))</f>
        <v/>
      </c>
      <c r="S119" s="30"/>
      <c r="T119" s="30"/>
      <c r="W119" s="32" t="str">
        <f>IF($A119="","",IF(OR($M119="Out of Scope",$M119="Canceled"),"Out of Scope",IF($M119="Blocked","Blocked",IF(AND($T119&lt;&gt;"Fixed – Retest Passed",OR(LEN(TRIM($O119))&gt;0,LEN(TRIM($P119))&gt;0)),IF(AND(OR($L119="Medium",$L119="Low"),SUMPRODUCT((Cards!$A$4:$A$1000&lt;&gt;"")*ISNUMBER(SEARCH($A119,Cards!$E$4:$E$1000))*(Cards!$F$4:$F$1000&lt;&gt;"Medium")*(Cards!$F$4:$F$1000&lt;&gt;"Low"))=0),"Conditionally Passed","Failed"),IF($M119="Done","Passed","Not Run")))))</f>
        <v/>
      </c>
      <c r="Y119" s="27" t="str" cm="1">
        <f t="array" ref="Y119">IF($A119="","",IF(TRIM($B119)="","-",IFERROR(_xlfn.TEXTJOIN(" / ",TRUE,_xlfn.UNIQUE(_xlfn._xlws.FILTER('Ownership Matrix'!$C$5:$C$200,('Ownership Matrix'!$A$5:$A$200=TRIM($B119))*('Ownership Matrix'!$C$5:$C$200&lt;&gt;"")))),"ไม่พบใน Ownership Matrix")))</f>
        <v/>
      </c>
      <c r="Z119" s="31" t="str">
        <f>IF(NOT(AND($A119&lt;&gt;"",$M119&lt;&gt;"Out of Scope",$M119&lt;&gt;"Canceled",$T119&lt;&gt;"Fixed – Retest Passed",OR(LEN(TRIM($O119))&gt;0,LEN(TRIM($P119))&gt;0))),"",IF(OR($W119="Failed",$R119="Urgent",$R119="High",$R119="ระบุ Severity + Impact"),IF(COUNTIFS(Dashboard!$B$105:$B$124,$O119,Dashboard!$I$105:$I$124,"CAB")&gt;0,"Accepted (CF)","Blocking"),"Deferrable"))</f>
        <v/>
      </c>
    </row>
    <row r="120" spans="7:26" x14ac:dyDescent="0.3">
      <c r="G120" s="27" t="str" cm="1">
        <f t="array" ref="G120">IF($A120="","",IFERROR(_xlfn.TEXTJOIN(CHAR(10)&amp;CHAR(10),TRUE,_xlfn._xlws.FILTER("•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"&amp;Cards!$L$4:$L$1000),(Cards!$A$4:$A$1000&lt;&gt;"")*ISNUMBER(SEARCH($A120,Cards!$E$4:$E$1000)))),"-"))</f>
        <v/>
      </c>
      <c r="Q120" s="30"/>
      <c r="R120" s="27" t="str">
        <f>IF(OR($A120="",LEN(TRIM($O120))=0),"",IF(OR($P120="",$Q120=""),"ระบุ Severity + Impact",IFERROR(INDEX({"Urgent","Urgent","High","High";"Urgent","High","High","Medium";"High","High","Medium","Medium";"Medium","Medium","Low","Low"},MATCH($P120,{"Critical","High","Medium","Low"},0),MATCH($Q120,{"Extensive","Significant","Moderate","Minor"},0)),"-")))</f>
        <v/>
      </c>
      <c r="S120" s="30"/>
      <c r="T120" s="30"/>
      <c r="W120" s="32" t="str">
        <f>IF($A120="","",IF(OR($M120="Out of Scope",$M120="Canceled"),"Out of Scope",IF($M120="Blocked","Blocked",IF(AND($T120&lt;&gt;"Fixed – Retest Passed",OR(LEN(TRIM($O120))&gt;0,LEN(TRIM($P120))&gt;0)),IF(AND(OR($L120="Medium",$L120="Low"),SUMPRODUCT((Cards!$A$4:$A$1000&lt;&gt;"")*ISNUMBER(SEARCH($A120,Cards!$E$4:$E$1000))*(Cards!$F$4:$F$1000&lt;&gt;"Medium")*(Cards!$F$4:$F$1000&lt;&gt;"Low"))=0),"Conditionally Passed","Failed"),IF($M120="Done","Passed","Not Run")))))</f>
        <v/>
      </c>
      <c r="Y120" s="27" t="str" cm="1">
        <f t="array" ref="Y120">IF($A120="","",IF(TRIM($B120)="","-",IFERROR(_xlfn.TEXTJOIN(" / ",TRUE,_xlfn.UNIQUE(_xlfn._xlws.FILTER('Ownership Matrix'!$C$5:$C$200,('Ownership Matrix'!$A$5:$A$200=TRIM($B120))*('Ownership Matrix'!$C$5:$C$200&lt;&gt;"")))),"ไม่พบใน Ownership Matrix")))</f>
        <v/>
      </c>
      <c r="Z120" s="31" t="str">
        <f>IF(NOT(AND($A120&lt;&gt;"",$M120&lt;&gt;"Out of Scope",$M120&lt;&gt;"Canceled",$T120&lt;&gt;"Fixed – Retest Passed",OR(LEN(TRIM($O120))&gt;0,LEN(TRIM($P120))&gt;0))),"",IF(OR($W120="Failed",$R120="Urgent",$R120="High",$R120="ระบุ Severity + Impact"),IF(COUNTIFS(Dashboard!$B$105:$B$124,$O120,Dashboard!$I$105:$I$124,"CAB")&gt;0,"Accepted (CF)","Blocking"),"Deferrable"))</f>
        <v/>
      </c>
    </row>
    <row r="121" spans="7:26" x14ac:dyDescent="0.3">
      <c r="G121" s="27" t="str" cm="1">
        <f t="array" ref="G121">IF($A121="","",IFERROR(_xlfn.TEXTJOIN(CHAR(10)&amp;CHAR(10),TRUE,_xlfn._xlws.FILTER("•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"&amp;Cards!$L$4:$L$1000),(Cards!$A$4:$A$1000&lt;&gt;"")*ISNUMBER(SEARCH($A121,Cards!$E$4:$E$1000)))),"-"))</f>
        <v/>
      </c>
      <c r="Q121" s="30"/>
      <c r="R121" s="27" t="str">
        <f>IF(OR($A121="",LEN(TRIM($O121))=0),"",IF(OR($P121="",$Q121=""),"ระบุ Severity + Impact",IFERROR(INDEX({"Urgent","Urgent","High","High";"Urgent","High","High","Medium";"High","High","Medium","Medium";"Medium","Medium","Low","Low"},MATCH($P121,{"Critical","High","Medium","Low"},0),MATCH($Q121,{"Extensive","Significant","Moderate","Minor"},0)),"-")))</f>
        <v/>
      </c>
      <c r="S121" s="30"/>
      <c r="T121" s="30"/>
      <c r="W121" s="32" t="str">
        <f>IF($A121="","",IF(OR($M121="Out of Scope",$M121="Canceled"),"Out of Scope",IF($M121="Blocked","Blocked",IF(AND($T121&lt;&gt;"Fixed – Retest Passed",OR(LEN(TRIM($O121))&gt;0,LEN(TRIM($P121))&gt;0)),IF(AND(OR($L121="Medium",$L121="Low"),SUMPRODUCT((Cards!$A$4:$A$1000&lt;&gt;"")*ISNUMBER(SEARCH($A121,Cards!$E$4:$E$1000))*(Cards!$F$4:$F$1000&lt;&gt;"Medium")*(Cards!$F$4:$F$1000&lt;&gt;"Low"))=0),"Conditionally Passed","Failed"),IF($M121="Done","Passed","Not Run")))))</f>
        <v/>
      </c>
      <c r="Y121" s="27" t="str" cm="1">
        <f t="array" ref="Y121">IF($A121="","",IF(TRIM($B121)="","-",IFERROR(_xlfn.TEXTJOIN(" / ",TRUE,_xlfn.UNIQUE(_xlfn._xlws.FILTER('Ownership Matrix'!$C$5:$C$200,('Ownership Matrix'!$A$5:$A$200=TRIM($B121))*('Ownership Matrix'!$C$5:$C$200&lt;&gt;"")))),"ไม่พบใน Ownership Matrix")))</f>
        <v/>
      </c>
      <c r="Z121" s="31" t="str">
        <f>IF(NOT(AND($A121&lt;&gt;"",$M121&lt;&gt;"Out of Scope",$M121&lt;&gt;"Canceled",$T121&lt;&gt;"Fixed – Retest Passed",OR(LEN(TRIM($O121))&gt;0,LEN(TRIM($P121))&gt;0))),"",IF(OR($W121="Failed",$R121="Urgent",$R121="High",$R121="ระบุ Severity + Impact"),IF(COUNTIFS(Dashboard!$B$105:$B$124,$O121,Dashboard!$I$105:$I$124,"CAB")&gt;0,"Accepted (CF)","Blocking"),"Deferrable"))</f>
        <v/>
      </c>
    </row>
    <row r="122" spans="7:26" x14ac:dyDescent="0.3">
      <c r="G122" s="27" t="str" cm="1">
        <f t="array" ref="G122">IF($A122="","",IFERROR(_xlfn.TEXTJOIN(CHAR(10)&amp;CHAR(10),TRUE,_xlfn._xlws.FILTER("•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"&amp;Cards!$L$4:$L$1000),(Cards!$A$4:$A$1000&lt;&gt;"")*ISNUMBER(SEARCH($A122,Cards!$E$4:$E$1000)))),"-"))</f>
        <v/>
      </c>
      <c r="Q122" s="30"/>
      <c r="R122" s="27" t="str">
        <f>IF(OR($A122="",LEN(TRIM($O122))=0),"",IF(OR($P122="",$Q122=""),"ระบุ Severity + Impact",IFERROR(INDEX({"Urgent","Urgent","High","High";"Urgent","High","High","Medium";"High","High","Medium","Medium";"Medium","Medium","Low","Low"},MATCH($P122,{"Critical","High","Medium","Low"},0),MATCH($Q122,{"Extensive","Significant","Moderate","Minor"},0)),"-")))</f>
        <v/>
      </c>
      <c r="S122" s="30"/>
      <c r="T122" s="30"/>
      <c r="W122" s="32" t="str">
        <f>IF($A122="","",IF(OR($M122="Out of Scope",$M122="Canceled"),"Out of Scope",IF($M122="Blocked","Blocked",IF(AND($T122&lt;&gt;"Fixed – Retest Passed",OR(LEN(TRIM($O122))&gt;0,LEN(TRIM($P122))&gt;0)),IF(AND(OR($L122="Medium",$L122="Low"),SUMPRODUCT((Cards!$A$4:$A$1000&lt;&gt;"")*ISNUMBER(SEARCH($A122,Cards!$E$4:$E$1000))*(Cards!$F$4:$F$1000&lt;&gt;"Medium")*(Cards!$F$4:$F$1000&lt;&gt;"Low"))=0),"Conditionally Passed","Failed"),IF($M122="Done","Passed","Not Run")))))</f>
        <v/>
      </c>
      <c r="Y122" s="27" t="str" cm="1">
        <f t="array" ref="Y122">IF($A122="","",IF(TRIM($B122)="","-",IFERROR(_xlfn.TEXTJOIN(" / ",TRUE,_xlfn.UNIQUE(_xlfn._xlws.FILTER('Ownership Matrix'!$C$5:$C$200,('Ownership Matrix'!$A$5:$A$200=TRIM($B122))*('Ownership Matrix'!$C$5:$C$200&lt;&gt;"")))),"ไม่พบใน Ownership Matrix")))</f>
        <v/>
      </c>
      <c r="Z122" s="31" t="str">
        <f>IF(NOT(AND($A122&lt;&gt;"",$M122&lt;&gt;"Out of Scope",$M122&lt;&gt;"Canceled",$T122&lt;&gt;"Fixed – Retest Passed",OR(LEN(TRIM($O122))&gt;0,LEN(TRIM($P122))&gt;0))),"",IF(OR($W122="Failed",$R122="Urgent",$R122="High",$R122="ระบุ Severity + Impact"),IF(COUNTIFS(Dashboard!$B$105:$B$124,$O122,Dashboard!$I$105:$I$124,"CAB")&gt;0,"Accepted (CF)","Blocking"),"Deferrable"))</f>
        <v/>
      </c>
    </row>
    <row r="123" spans="7:26" x14ac:dyDescent="0.3">
      <c r="G123" s="27" t="str" cm="1">
        <f t="array" ref="G123">IF($A123="","",IFERROR(_xlfn.TEXTJOIN(CHAR(10)&amp;CHAR(10),TRUE,_xlfn._xlws.FILTER("•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"&amp;Cards!$L$4:$L$1000),(Cards!$A$4:$A$1000&lt;&gt;"")*ISNUMBER(SEARCH($A123,Cards!$E$4:$E$1000)))),"-"))</f>
        <v/>
      </c>
      <c r="Q123" s="30"/>
      <c r="R123" s="27" t="str">
        <f>IF(OR($A123="",LEN(TRIM($O123))=0),"",IF(OR($P123="",$Q123=""),"ระบุ Severity + Impact",IFERROR(INDEX({"Urgent","Urgent","High","High";"Urgent","High","High","Medium";"High","High","Medium","Medium";"Medium","Medium","Low","Low"},MATCH($P123,{"Critical","High","Medium","Low"},0),MATCH($Q123,{"Extensive","Significant","Moderate","Minor"},0)),"-")))</f>
        <v/>
      </c>
      <c r="S123" s="30"/>
      <c r="T123" s="30"/>
      <c r="W123" s="32" t="str">
        <f>IF($A123="","",IF(OR($M123="Out of Scope",$M123="Canceled"),"Out of Scope",IF($M123="Blocked","Blocked",IF(AND($T123&lt;&gt;"Fixed – Retest Passed",OR(LEN(TRIM($O123))&gt;0,LEN(TRIM($P123))&gt;0)),IF(AND(OR($L123="Medium",$L123="Low"),SUMPRODUCT((Cards!$A$4:$A$1000&lt;&gt;"")*ISNUMBER(SEARCH($A123,Cards!$E$4:$E$1000))*(Cards!$F$4:$F$1000&lt;&gt;"Medium")*(Cards!$F$4:$F$1000&lt;&gt;"Low"))=0),"Conditionally Passed","Failed"),IF($M123="Done","Passed","Not Run")))))</f>
        <v/>
      </c>
      <c r="Y123" s="27" t="str" cm="1">
        <f t="array" ref="Y123">IF($A123="","",IF(TRIM($B123)="","-",IFERROR(_xlfn.TEXTJOIN(" / ",TRUE,_xlfn.UNIQUE(_xlfn._xlws.FILTER('Ownership Matrix'!$C$5:$C$200,('Ownership Matrix'!$A$5:$A$200=TRIM($B123))*('Ownership Matrix'!$C$5:$C$200&lt;&gt;"")))),"ไม่พบใน Ownership Matrix")))</f>
        <v/>
      </c>
      <c r="Z123" s="31" t="str">
        <f>IF(NOT(AND($A123&lt;&gt;"",$M123&lt;&gt;"Out of Scope",$M123&lt;&gt;"Canceled",$T123&lt;&gt;"Fixed – Retest Passed",OR(LEN(TRIM($O123))&gt;0,LEN(TRIM($P123))&gt;0))),"",IF(OR($W123="Failed",$R123="Urgent",$R123="High",$R123="ระบุ Severity + Impact"),IF(COUNTIFS(Dashboard!$B$105:$B$124,$O123,Dashboard!$I$105:$I$124,"CAB")&gt;0,"Accepted (CF)","Blocking"),"Deferrable"))</f>
        <v/>
      </c>
    </row>
    <row r="124" spans="7:26" x14ac:dyDescent="0.3">
      <c r="G124" s="27" t="str" cm="1">
        <f t="array" ref="G124">IF($A124="","",IFERROR(_xlfn.TEXTJOIN(CHAR(10)&amp;CHAR(10),TRUE,_xlfn._xlws.FILTER("•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"&amp;Cards!$L$4:$L$1000),(Cards!$A$4:$A$1000&lt;&gt;"")*ISNUMBER(SEARCH($A124,Cards!$E$4:$E$1000)))),"-"))</f>
        <v/>
      </c>
      <c r="Q124" s="30"/>
      <c r="R124" s="27" t="str">
        <f>IF(OR($A124="",LEN(TRIM($O124))=0),"",IF(OR($P124="",$Q124=""),"ระบุ Severity + Impact",IFERROR(INDEX({"Urgent","Urgent","High","High";"Urgent","High","High","Medium";"High","High","Medium","Medium";"Medium","Medium","Low","Low"},MATCH($P124,{"Critical","High","Medium","Low"},0),MATCH($Q124,{"Extensive","Significant","Moderate","Minor"},0)),"-")))</f>
        <v/>
      </c>
      <c r="S124" s="30"/>
      <c r="T124" s="30"/>
      <c r="W124" s="32" t="str">
        <f>IF($A124="","",IF(OR($M124="Out of Scope",$M124="Canceled"),"Out of Scope",IF($M124="Blocked","Blocked",IF(AND($T124&lt;&gt;"Fixed – Retest Passed",OR(LEN(TRIM($O124))&gt;0,LEN(TRIM($P124))&gt;0)),IF(AND(OR($L124="Medium",$L124="Low"),SUMPRODUCT((Cards!$A$4:$A$1000&lt;&gt;"")*ISNUMBER(SEARCH($A124,Cards!$E$4:$E$1000))*(Cards!$F$4:$F$1000&lt;&gt;"Medium")*(Cards!$F$4:$F$1000&lt;&gt;"Low"))=0),"Conditionally Passed","Failed"),IF($M124="Done","Passed","Not Run")))))</f>
        <v/>
      </c>
      <c r="Y124" s="27" t="str" cm="1">
        <f t="array" ref="Y124">IF($A124="","",IF(TRIM($B124)="","-",IFERROR(_xlfn.TEXTJOIN(" / ",TRUE,_xlfn.UNIQUE(_xlfn._xlws.FILTER('Ownership Matrix'!$C$5:$C$200,('Ownership Matrix'!$A$5:$A$200=TRIM($B124))*('Ownership Matrix'!$C$5:$C$200&lt;&gt;"")))),"ไม่พบใน Ownership Matrix")))</f>
        <v/>
      </c>
      <c r="Z124" s="31" t="str">
        <f>IF(NOT(AND($A124&lt;&gt;"",$M124&lt;&gt;"Out of Scope",$M124&lt;&gt;"Canceled",$T124&lt;&gt;"Fixed – Retest Passed",OR(LEN(TRIM($O124))&gt;0,LEN(TRIM($P124))&gt;0))),"",IF(OR($W124="Failed",$R124="Urgent",$R124="High",$R124="ระบุ Severity + Impact"),IF(COUNTIFS(Dashboard!$B$105:$B$124,$O124,Dashboard!$I$105:$I$124,"CAB")&gt;0,"Accepted (CF)","Blocking"),"Deferrable"))</f>
        <v/>
      </c>
    </row>
    <row r="125" spans="7:26" x14ac:dyDescent="0.3">
      <c r="G125" s="27" t="str" cm="1">
        <f t="array" ref="G125">IF($A125="","",IFERROR(_xlfn.TEXTJOIN(CHAR(10)&amp;CHAR(10),TRUE,_xlfn._xlws.FILTER("•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"&amp;Cards!$L$4:$L$1000),(Cards!$A$4:$A$1000&lt;&gt;"")*ISNUMBER(SEARCH($A125,Cards!$E$4:$E$1000)))),"-"))</f>
        <v/>
      </c>
      <c r="Q125" s="30"/>
      <c r="R125" s="27" t="str">
        <f>IF(OR($A125="",LEN(TRIM($O125))=0),"",IF(OR($P125="",$Q125=""),"ระบุ Severity + Impact",IFERROR(INDEX({"Urgent","Urgent","High","High";"Urgent","High","High","Medium";"High","High","Medium","Medium";"Medium","Medium","Low","Low"},MATCH($P125,{"Critical","High","Medium","Low"},0),MATCH($Q125,{"Extensive","Significant","Moderate","Minor"},0)),"-")))</f>
        <v/>
      </c>
      <c r="S125" s="30"/>
      <c r="T125" s="30"/>
      <c r="W125" s="32" t="str">
        <f>IF($A125="","",IF(OR($M125="Out of Scope",$M125="Canceled"),"Out of Scope",IF($M125="Blocked","Blocked",IF(AND($T125&lt;&gt;"Fixed – Retest Passed",OR(LEN(TRIM($O125))&gt;0,LEN(TRIM($P125))&gt;0)),IF(AND(OR($L125="Medium",$L125="Low"),SUMPRODUCT((Cards!$A$4:$A$1000&lt;&gt;"")*ISNUMBER(SEARCH($A125,Cards!$E$4:$E$1000))*(Cards!$F$4:$F$1000&lt;&gt;"Medium")*(Cards!$F$4:$F$1000&lt;&gt;"Low"))=0),"Conditionally Passed","Failed"),IF($M125="Done","Passed","Not Run")))))</f>
        <v/>
      </c>
      <c r="Y125" s="27" t="str" cm="1">
        <f t="array" ref="Y125">IF($A125="","",IF(TRIM($B125)="","-",IFERROR(_xlfn.TEXTJOIN(" / ",TRUE,_xlfn.UNIQUE(_xlfn._xlws.FILTER('Ownership Matrix'!$C$5:$C$200,('Ownership Matrix'!$A$5:$A$200=TRIM($B125))*('Ownership Matrix'!$C$5:$C$200&lt;&gt;"")))),"ไม่พบใน Ownership Matrix")))</f>
        <v/>
      </c>
      <c r="Z125" s="31" t="str">
        <f>IF(NOT(AND($A125&lt;&gt;"",$M125&lt;&gt;"Out of Scope",$M125&lt;&gt;"Canceled",$T125&lt;&gt;"Fixed – Retest Passed",OR(LEN(TRIM($O125))&gt;0,LEN(TRIM($P125))&gt;0))),"",IF(OR($W125="Failed",$R125="Urgent",$R125="High",$R125="ระบุ Severity + Impact"),IF(COUNTIFS(Dashboard!$B$105:$B$124,$O125,Dashboard!$I$105:$I$124,"CAB")&gt;0,"Accepted (CF)","Blocking"),"Deferrable"))</f>
        <v/>
      </c>
    </row>
    <row r="126" spans="7:26" x14ac:dyDescent="0.3">
      <c r="G126" s="27" t="str" cm="1">
        <f t="array" ref="G126">IF($A126="","",IFERROR(_xlfn.TEXTJOIN(CHAR(10)&amp;CHAR(10),TRUE,_xlfn._xlws.FILTER("•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"&amp;Cards!$L$4:$L$1000),(Cards!$A$4:$A$1000&lt;&gt;"")*ISNUMBER(SEARCH($A126,Cards!$E$4:$E$1000)))),"-"))</f>
        <v/>
      </c>
      <c r="Q126" s="30"/>
      <c r="R126" s="27" t="str">
        <f>IF(OR($A126="",LEN(TRIM($O126))=0),"",IF(OR($P126="",$Q126=""),"ระบุ Severity + Impact",IFERROR(INDEX({"Urgent","Urgent","High","High";"Urgent","High","High","Medium";"High","High","Medium","Medium";"Medium","Medium","Low","Low"},MATCH($P126,{"Critical","High","Medium","Low"},0),MATCH($Q126,{"Extensive","Significant","Moderate","Minor"},0)),"-")))</f>
        <v/>
      </c>
      <c r="S126" s="30"/>
      <c r="T126" s="30"/>
      <c r="W126" s="32" t="str">
        <f>IF($A126="","",IF(OR($M126="Out of Scope",$M126="Canceled"),"Out of Scope",IF($M126="Blocked","Blocked",IF(AND($T126&lt;&gt;"Fixed – Retest Passed",OR(LEN(TRIM($O126))&gt;0,LEN(TRIM($P126))&gt;0)),IF(AND(OR($L126="Medium",$L126="Low"),SUMPRODUCT((Cards!$A$4:$A$1000&lt;&gt;"")*ISNUMBER(SEARCH($A126,Cards!$E$4:$E$1000))*(Cards!$F$4:$F$1000&lt;&gt;"Medium")*(Cards!$F$4:$F$1000&lt;&gt;"Low"))=0),"Conditionally Passed","Failed"),IF($M126="Done","Passed","Not Run")))))</f>
        <v/>
      </c>
      <c r="Y126" s="27" t="str" cm="1">
        <f t="array" ref="Y126">IF($A126="","",IF(TRIM($B126)="","-",IFERROR(_xlfn.TEXTJOIN(" / ",TRUE,_xlfn.UNIQUE(_xlfn._xlws.FILTER('Ownership Matrix'!$C$5:$C$200,('Ownership Matrix'!$A$5:$A$200=TRIM($B126))*('Ownership Matrix'!$C$5:$C$200&lt;&gt;"")))),"ไม่พบใน Ownership Matrix")))</f>
        <v/>
      </c>
      <c r="Z126" s="31" t="str">
        <f>IF(NOT(AND($A126&lt;&gt;"",$M126&lt;&gt;"Out of Scope",$M126&lt;&gt;"Canceled",$T126&lt;&gt;"Fixed – Retest Passed",OR(LEN(TRIM($O126))&gt;0,LEN(TRIM($P126))&gt;0))),"",IF(OR($W126="Failed",$R126="Urgent",$R126="High",$R126="ระบุ Severity + Impact"),IF(COUNTIFS(Dashboard!$B$105:$B$124,$O126,Dashboard!$I$105:$I$124,"CAB")&gt;0,"Accepted (CF)","Blocking"),"Deferrable"))</f>
        <v/>
      </c>
    </row>
    <row r="127" spans="7:26" x14ac:dyDescent="0.3">
      <c r="G127" s="27" t="str" cm="1">
        <f t="array" ref="G127">IF($A127="","",IFERROR(_xlfn.TEXTJOIN(CHAR(10)&amp;CHAR(10),TRUE,_xlfn._xlws.FILTER("•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"&amp;Cards!$L$4:$L$1000),(Cards!$A$4:$A$1000&lt;&gt;"")*ISNUMBER(SEARCH($A127,Cards!$E$4:$E$1000)))),"-"))</f>
        <v/>
      </c>
      <c r="Q127" s="30"/>
      <c r="R127" s="27" t="str">
        <f>IF(OR($A127="",LEN(TRIM($O127))=0),"",IF(OR($P127="",$Q127=""),"ระบุ Severity + Impact",IFERROR(INDEX({"Urgent","Urgent","High","High";"Urgent","High","High","Medium";"High","High","Medium","Medium";"Medium","Medium","Low","Low"},MATCH($P127,{"Critical","High","Medium","Low"},0),MATCH($Q127,{"Extensive","Significant","Moderate","Minor"},0)),"-")))</f>
        <v/>
      </c>
      <c r="S127" s="30"/>
      <c r="T127" s="30"/>
      <c r="W127" s="32" t="str">
        <f>IF($A127="","",IF(OR($M127="Out of Scope",$M127="Canceled"),"Out of Scope",IF($M127="Blocked","Blocked",IF(AND($T127&lt;&gt;"Fixed – Retest Passed",OR(LEN(TRIM($O127))&gt;0,LEN(TRIM($P127))&gt;0)),IF(AND(OR($L127="Medium",$L127="Low"),SUMPRODUCT((Cards!$A$4:$A$1000&lt;&gt;"")*ISNUMBER(SEARCH($A127,Cards!$E$4:$E$1000))*(Cards!$F$4:$F$1000&lt;&gt;"Medium")*(Cards!$F$4:$F$1000&lt;&gt;"Low"))=0),"Conditionally Passed","Failed"),IF($M127="Done","Passed","Not Run")))))</f>
        <v/>
      </c>
      <c r="Y127" s="27" t="str" cm="1">
        <f t="array" ref="Y127">IF($A127="","",IF(TRIM($B127)="","-",IFERROR(_xlfn.TEXTJOIN(" / ",TRUE,_xlfn.UNIQUE(_xlfn._xlws.FILTER('Ownership Matrix'!$C$5:$C$200,('Ownership Matrix'!$A$5:$A$200=TRIM($B127))*('Ownership Matrix'!$C$5:$C$200&lt;&gt;"")))),"ไม่พบใน Ownership Matrix")))</f>
        <v/>
      </c>
      <c r="Z127" s="31" t="str">
        <f>IF(NOT(AND($A127&lt;&gt;"",$M127&lt;&gt;"Out of Scope",$M127&lt;&gt;"Canceled",$T127&lt;&gt;"Fixed – Retest Passed",OR(LEN(TRIM($O127))&gt;0,LEN(TRIM($P127))&gt;0))),"",IF(OR($W127="Failed",$R127="Urgent",$R127="High",$R127="ระบุ Severity + Impact"),IF(COUNTIFS(Dashboard!$B$105:$B$124,$O127,Dashboard!$I$105:$I$124,"CAB")&gt;0,"Accepted (CF)","Blocking"),"Deferrable"))</f>
        <v/>
      </c>
    </row>
    <row r="128" spans="7:26" x14ac:dyDescent="0.3">
      <c r="G128" s="27" t="str" cm="1">
        <f t="array" ref="G128">IF($A128="","",IFERROR(_xlfn.TEXTJOIN(CHAR(10)&amp;CHAR(10),TRUE,_xlfn._xlws.FILTER("•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"&amp;Cards!$L$4:$L$1000),(Cards!$A$4:$A$1000&lt;&gt;"")*ISNUMBER(SEARCH($A128,Cards!$E$4:$E$1000)))),"-"))</f>
        <v/>
      </c>
      <c r="Q128" s="30"/>
      <c r="R128" s="27" t="str">
        <f>IF(OR($A128="",LEN(TRIM($O128))=0),"",IF(OR($P128="",$Q128=""),"ระบุ Severity + Impact",IFERROR(INDEX({"Urgent","Urgent","High","High";"Urgent","High","High","Medium";"High","High","Medium","Medium";"Medium","Medium","Low","Low"},MATCH($P128,{"Critical","High","Medium","Low"},0),MATCH($Q128,{"Extensive","Significant","Moderate","Minor"},0)),"-")))</f>
        <v/>
      </c>
      <c r="S128" s="30"/>
      <c r="T128" s="30"/>
      <c r="W128" s="32" t="str">
        <f>IF($A128="","",IF(OR($M128="Out of Scope",$M128="Canceled"),"Out of Scope",IF($M128="Blocked","Blocked",IF(AND($T128&lt;&gt;"Fixed – Retest Passed",OR(LEN(TRIM($O128))&gt;0,LEN(TRIM($P128))&gt;0)),IF(AND(OR($L128="Medium",$L128="Low"),SUMPRODUCT((Cards!$A$4:$A$1000&lt;&gt;"")*ISNUMBER(SEARCH($A128,Cards!$E$4:$E$1000))*(Cards!$F$4:$F$1000&lt;&gt;"Medium")*(Cards!$F$4:$F$1000&lt;&gt;"Low"))=0),"Conditionally Passed","Failed"),IF($M128="Done","Passed","Not Run")))))</f>
        <v/>
      </c>
      <c r="Y128" s="27" t="str" cm="1">
        <f t="array" ref="Y128">IF($A128="","",IF(TRIM($B128)="","-",IFERROR(_xlfn.TEXTJOIN(" / ",TRUE,_xlfn.UNIQUE(_xlfn._xlws.FILTER('Ownership Matrix'!$C$5:$C$200,('Ownership Matrix'!$A$5:$A$200=TRIM($B128))*('Ownership Matrix'!$C$5:$C$200&lt;&gt;"")))),"ไม่พบใน Ownership Matrix")))</f>
        <v/>
      </c>
      <c r="Z128" s="31" t="str">
        <f>IF(NOT(AND($A128&lt;&gt;"",$M128&lt;&gt;"Out of Scope",$M128&lt;&gt;"Canceled",$T128&lt;&gt;"Fixed – Retest Passed",OR(LEN(TRIM($O128))&gt;0,LEN(TRIM($P128))&gt;0))),"",IF(OR($W128="Failed",$R128="Urgent",$R128="High",$R128="ระบุ Severity + Impact"),IF(COUNTIFS(Dashboard!$B$105:$B$124,$O128,Dashboard!$I$105:$I$124,"CAB")&gt;0,"Accepted (CF)","Blocking"),"Deferrable"))</f>
        <v/>
      </c>
    </row>
    <row r="129" spans="7:26" x14ac:dyDescent="0.3">
      <c r="G129" s="27" t="str" cm="1">
        <f t="array" ref="G129">IF($A129="","",IFERROR(_xlfn.TEXTJOIN(CHAR(10)&amp;CHAR(10),TRUE,_xlfn._xlws.FILTER("•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"&amp;Cards!$L$4:$L$1000),(Cards!$A$4:$A$1000&lt;&gt;"")*ISNUMBER(SEARCH($A129,Cards!$E$4:$E$1000)))),"-"))</f>
        <v/>
      </c>
      <c r="Q129" s="30"/>
      <c r="R129" s="27" t="str">
        <f>IF(OR($A129="",LEN(TRIM($O129))=0),"",IF(OR($P129="",$Q129=""),"ระบุ Severity + Impact",IFERROR(INDEX({"Urgent","Urgent","High","High";"Urgent","High","High","Medium";"High","High","Medium","Medium";"Medium","Medium","Low","Low"},MATCH($P129,{"Critical","High","Medium","Low"},0),MATCH($Q129,{"Extensive","Significant","Moderate","Minor"},0)),"-")))</f>
        <v/>
      </c>
      <c r="S129" s="30"/>
      <c r="T129" s="30"/>
      <c r="W129" s="32" t="str">
        <f>IF($A129="","",IF(OR($M129="Out of Scope",$M129="Canceled"),"Out of Scope",IF($M129="Blocked","Blocked",IF(AND($T129&lt;&gt;"Fixed – Retest Passed",OR(LEN(TRIM($O129))&gt;0,LEN(TRIM($P129))&gt;0)),IF(AND(OR($L129="Medium",$L129="Low"),SUMPRODUCT((Cards!$A$4:$A$1000&lt;&gt;"")*ISNUMBER(SEARCH($A129,Cards!$E$4:$E$1000))*(Cards!$F$4:$F$1000&lt;&gt;"Medium")*(Cards!$F$4:$F$1000&lt;&gt;"Low"))=0),"Conditionally Passed","Failed"),IF($M129="Done","Passed","Not Run")))))</f>
        <v/>
      </c>
      <c r="Y129" s="27" t="str" cm="1">
        <f t="array" ref="Y129">IF($A129="","",IF(TRIM($B129)="","-",IFERROR(_xlfn.TEXTJOIN(" / ",TRUE,_xlfn.UNIQUE(_xlfn._xlws.FILTER('Ownership Matrix'!$C$5:$C$200,('Ownership Matrix'!$A$5:$A$200=TRIM($B129))*('Ownership Matrix'!$C$5:$C$200&lt;&gt;"")))),"ไม่พบใน Ownership Matrix")))</f>
        <v/>
      </c>
      <c r="Z129" s="31" t="str">
        <f>IF(NOT(AND($A129&lt;&gt;"",$M129&lt;&gt;"Out of Scope",$M129&lt;&gt;"Canceled",$T129&lt;&gt;"Fixed – Retest Passed",OR(LEN(TRIM($O129))&gt;0,LEN(TRIM($P129))&gt;0))),"",IF(OR($W129="Failed",$R129="Urgent",$R129="High",$R129="ระบุ Severity + Impact"),IF(COUNTIFS(Dashboard!$B$105:$B$124,$O129,Dashboard!$I$105:$I$124,"CAB")&gt;0,"Accepted (CF)","Blocking"),"Deferrable"))</f>
        <v/>
      </c>
    </row>
    <row r="130" spans="7:26" x14ac:dyDescent="0.3">
      <c r="G130" s="27" t="str" cm="1">
        <f t="array" ref="G130">IF($A130="","",IFERROR(_xlfn.TEXTJOIN(CHAR(10)&amp;CHAR(10),TRUE,_xlfn._xlws.FILTER("•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"&amp;Cards!$L$4:$L$1000),(Cards!$A$4:$A$1000&lt;&gt;"")*ISNUMBER(SEARCH($A130,Cards!$E$4:$E$1000)))),"-"))</f>
        <v/>
      </c>
      <c r="Q130" s="30"/>
      <c r="R130" s="27" t="str">
        <f>IF(OR($A130="",LEN(TRIM($O130))=0),"",IF(OR($P130="",$Q130=""),"ระบุ Severity + Impact",IFERROR(INDEX({"Urgent","Urgent","High","High";"Urgent","High","High","Medium";"High","High","Medium","Medium";"Medium","Medium","Low","Low"},MATCH($P130,{"Critical","High","Medium","Low"},0),MATCH($Q130,{"Extensive","Significant","Moderate","Minor"},0)),"-")))</f>
        <v/>
      </c>
      <c r="S130" s="30"/>
      <c r="T130" s="30"/>
      <c r="W130" s="32" t="str">
        <f>IF($A130="","",IF(OR($M130="Out of Scope",$M130="Canceled"),"Out of Scope",IF($M130="Blocked","Blocked",IF(AND($T130&lt;&gt;"Fixed – Retest Passed",OR(LEN(TRIM($O130))&gt;0,LEN(TRIM($P130))&gt;0)),IF(AND(OR($L130="Medium",$L130="Low"),SUMPRODUCT((Cards!$A$4:$A$1000&lt;&gt;"")*ISNUMBER(SEARCH($A130,Cards!$E$4:$E$1000))*(Cards!$F$4:$F$1000&lt;&gt;"Medium")*(Cards!$F$4:$F$1000&lt;&gt;"Low"))=0),"Conditionally Passed","Failed"),IF($M130="Done","Passed","Not Run")))))</f>
        <v/>
      </c>
      <c r="Y130" s="27" t="str" cm="1">
        <f t="array" ref="Y130">IF($A130="","",IF(TRIM($B130)="","-",IFERROR(_xlfn.TEXTJOIN(" / ",TRUE,_xlfn.UNIQUE(_xlfn._xlws.FILTER('Ownership Matrix'!$C$5:$C$200,('Ownership Matrix'!$A$5:$A$200=TRIM($B130))*('Ownership Matrix'!$C$5:$C$200&lt;&gt;"")))),"ไม่พบใน Ownership Matrix")))</f>
        <v/>
      </c>
      <c r="Z130" s="31" t="str">
        <f>IF(NOT(AND($A130&lt;&gt;"",$M130&lt;&gt;"Out of Scope",$M130&lt;&gt;"Canceled",$T130&lt;&gt;"Fixed – Retest Passed",OR(LEN(TRIM($O130))&gt;0,LEN(TRIM($P130))&gt;0))),"",IF(OR($W130="Failed",$R130="Urgent",$R130="High",$R130="ระบุ Severity + Impact"),IF(COUNTIFS(Dashboard!$B$105:$B$124,$O130,Dashboard!$I$105:$I$124,"CAB")&gt;0,"Accepted (CF)","Blocking"),"Deferrable"))</f>
        <v/>
      </c>
    </row>
    <row r="131" spans="7:26" x14ac:dyDescent="0.3">
      <c r="G131" s="27" t="str" cm="1">
        <f t="array" ref="G131">IF($A131="","",IFERROR(_xlfn.TEXTJOIN(CHAR(10)&amp;CHAR(10),TRUE,_xlfn._xlws.FILTER("•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"&amp;Cards!$L$4:$L$1000),(Cards!$A$4:$A$1000&lt;&gt;"")*ISNUMBER(SEARCH($A131,Cards!$E$4:$E$1000)))),"-"))</f>
        <v/>
      </c>
      <c r="Q131" s="30"/>
      <c r="R131" s="27" t="str">
        <f>IF(OR($A131="",LEN(TRIM($O131))=0),"",IF(OR($P131="",$Q131=""),"ระบุ Severity + Impact",IFERROR(INDEX({"Urgent","Urgent","High","High";"Urgent","High","High","Medium";"High","High","Medium","Medium";"Medium","Medium","Low","Low"},MATCH($P131,{"Critical","High","Medium","Low"},0),MATCH($Q131,{"Extensive","Significant","Moderate","Minor"},0)),"-")))</f>
        <v/>
      </c>
      <c r="S131" s="30"/>
      <c r="T131" s="30"/>
      <c r="W131" s="32" t="str">
        <f>IF($A131="","",IF(OR($M131="Out of Scope",$M131="Canceled"),"Out of Scope",IF($M131="Blocked","Blocked",IF(AND($T131&lt;&gt;"Fixed – Retest Passed",OR(LEN(TRIM($O131))&gt;0,LEN(TRIM($P131))&gt;0)),IF(AND(OR($L131="Medium",$L131="Low"),SUMPRODUCT((Cards!$A$4:$A$1000&lt;&gt;"")*ISNUMBER(SEARCH($A131,Cards!$E$4:$E$1000))*(Cards!$F$4:$F$1000&lt;&gt;"Medium")*(Cards!$F$4:$F$1000&lt;&gt;"Low"))=0),"Conditionally Passed","Failed"),IF($M131="Done","Passed","Not Run")))))</f>
        <v/>
      </c>
      <c r="Y131" s="27" t="str" cm="1">
        <f t="array" ref="Y131">IF($A131="","",IF(TRIM($B131)="","-",IFERROR(_xlfn.TEXTJOIN(" / ",TRUE,_xlfn.UNIQUE(_xlfn._xlws.FILTER('Ownership Matrix'!$C$5:$C$200,('Ownership Matrix'!$A$5:$A$200=TRIM($B131))*('Ownership Matrix'!$C$5:$C$200&lt;&gt;"")))),"ไม่พบใน Ownership Matrix")))</f>
        <v/>
      </c>
      <c r="Z131" s="31" t="str">
        <f>IF(NOT(AND($A131&lt;&gt;"",$M131&lt;&gt;"Out of Scope",$M131&lt;&gt;"Canceled",$T131&lt;&gt;"Fixed – Retest Passed",OR(LEN(TRIM($O131))&gt;0,LEN(TRIM($P131))&gt;0))),"",IF(OR($W131="Failed",$R131="Urgent",$R131="High",$R131="ระบุ Severity + Impact"),IF(COUNTIFS(Dashboard!$B$105:$B$124,$O131,Dashboard!$I$105:$I$124,"CAB")&gt;0,"Accepted (CF)","Blocking"),"Deferrable"))</f>
        <v/>
      </c>
    </row>
    <row r="132" spans="7:26" x14ac:dyDescent="0.3">
      <c r="G132" s="27" t="str" cm="1">
        <f t="array" ref="G132">IF($A132="","",IFERROR(_xlfn.TEXTJOIN(CHAR(10)&amp;CHAR(10),TRUE,_xlfn._xlws.FILTER("•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"&amp;Cards!$L$4:$L$1000),(Cards!$A$4:$A$1000&lt;&gt;"")*ISNUMBER(SEARCH($A132,Cards!$E$4:$E$1000)))),"-"))</f>
        <v/>
      </c>
      <c r="Q132" s="30"/>
      <c r="R132" s="27" t="str">
        <f>IF(OR($A132="",LEN(TRIM($O132))=0),"",IF(OR($P132="",$Q132=""),"ระบุ Severity + Impact",IFERROR(INDEX({"Urgent","Urgent","High","High";"Urgent","High","High","Medium";"High","High","Medium","Medium";"Medium","Medium","Low","Low"},MATCH($P132,{"Critical","High","Medium","Low"},0),MATCH($Q132,{"Extensive","Significant","Moderate","Minor"},0)),"-")))</f>
        <v/>
      </c>
      <c r="S132" s="30"/>
      <c r="T132" s="30"/>
      <c r="W132" s="32" t="str">
        <f>IF($A132="","",IF(OR($M132="Out of Scope",$M132="Canceled"),"Out of Scope",IF($M132="Blocked","Blocked",IF(AND($T132&lt;&gt;"Fixed – Retest Passed",OR(LEN(TRIM($O132))&gt;0,LEN(TRIM($P132))&gt;0)),IF(AND(OR($L132="Medium",$L132="Low"),SUMPRODUCT((Cards!$A$4:$A$1000&lt;&gt;"")*ISNUMBER(SEARCH($A132,Cards!$E$4:$E$1000))*(Cards!$F$4:$F$1000&lt;&gt;"Medium")*(Cards!$F$4:$F$1000&lt;&gt;"Low"))=0),"Conditionally Passed","Failed"),IF($M132="Done","Passed","Not Run")))))</f>
        <v/>
      </c>
      <c r="Y132" s="27" t="str" cm="1">
        <f t="array" ref="Y132">IF($A132="","",IF(TRIM($B132)="","-",IFERROR(_xlfn.TEXTJOIN(" / ",TRUE,_xlfn.UNIQUE(_xlfn._xlws.FILTER('Ownership Matrix'!$C$5:$C$200,('Ownership Matrix'!$A$5:$A$200=TRIM($B132))*('Ownership Matrix'!$C$5:$C$200&lt;&gt;"")))),"ไม่พบใน Ownership Matrix")))</f>
        <v/>
      </c>
      <c r="Z132" s="31" t="str">
        <f>IF(NOT(AND($A132&lt;&gt;"",$M132&lt;&gt;"Out of Scope",$M132&lt;&gt;"Canceled",$T132&lt;&gt;"Fixed – Retest Passed",OR(LEN(TRIM($O132))&gt;0,LEN(TRIM($P132))&gt;0))),"",IF(OR($W132="Failed",$R132="Urgent",$R132="High",$R132="ระบุ Severity + Impact"),IF(COUNTIFS(Dashboard!$B$105:$B$124,$O132,Dashboard!$I$105:$I$124,"CAB")&gt;0,"Accepted (CF)","Blocking"),"Deferrable"))</f>
        <v/>
      </c>
    </row>
    <row r="133" spans="7:26" x14ac:dyDescent="0.3">
      <c r="G133" s="27" t="str" cm="1">
        <f t="array" ref="G133">IF($A133="","",IFERROR(_xlfn.TEXTJOIN(CHAR(10)&amp;CHAR(10),TRUE,_xlfn._xlws.FILTER("•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"&amp;Cards!$L$4:$L$1000),(Cards!$A$4:$A$1000&lt;&gt;"")*ISNUMBER(SEARCH($A133,Cards!$E$4:$E$1000)))),"-"))</f>
        <v/>
      </c>
      <c r="Q133" s="30"/>
      <c r="R133" s="27" t="str">
        <f>IF(OR($A133="",LEN(TRIM($O133))=0),"",IF(OR($P133="",$Q133=""),"ระบุ Severity + Impact",IFERROR(INDEX({"Urgent","Urgent","High","High";"Urgent","High","High","Medium";"High","High","Medium","Medium";"Medium","Medium","Low","Low"},MATCH($P133,{"Critical","High","Medium","Low"},0),MATCH($Q133,{"Extensive","Significant","Moderate","Minor"},0)),"-")))</f>
        <v/>
      </c>
      <c r="S133" s="30"/>
      <c r="T133" s="30"/>
      <c r="W133" s="32" t="str">
        <f>IF($A133="","",IF(OR($M133="Out of Scope",$M133="Canceled"),"Out of Scope",IF($M133="Blocked","Blocked",IF(AND($T133&lt;&gt;"Fixed – Retest Passed",OR(LEN(TRIM($O133))&gt;0,LEN(TRIM($P133))&gt;0)),IF(AND(OR($L133="Medium",$L133="Low"),SUMPRODUCT((Cards!$A$4:$A$1000&lt;&gt;"")*ISNUMBER(SEARCH($A133,Cards!$E$4:$E$1000))*(Cards!$F$4:$F$1000&lt;&gt;"Medium")*(Cards!$F$4:$F$1000&lt;&gt;"Low"))=0),"Conditionally Passed","Failed"),IF($M133="Done","Passed","Not Run")))))</f>
        <v/>
      </c>
      <c r="Y133" s="27" t="str" cm="1">
        <f t="array" ref="Y133">IF($A133="","",IF(TRIM($B133)="","-",IFERROR(_xlfn.TEXTJOIN(" / ",TRUE,_xlfn.UNIQUE(_xlfn._xlws.FILTER('Ownership Matrix'!$C$5:$C$200,('Ownership Matrix'!$A$5:$A$200=TRIM($B133))*('Ownership Matrix'!$C$5:$C$200&lt;&gt;"")))),"ไม่พบใน Ownership Matrix")))</f>
        <v/>
      </c>
      <c r="Z133" s="31" t="str">
        <f>IF(NOT(AND($A133&lt;&gt;"",$M133&lt;&gt;"Out of Scope",$M133&lt;&gt;"Canceled",$T133&lt;&gt;"Fixed – Retest Passed",OR(LEN(TRIM($O133))&gt;0,LEN(TRIM($P133))&gt;0))),"",IF(OR($W133="Failed",$R133="Urgent",$R133="High",$R133="ระบุ Severity + Impact"),IF(COUNTIFS(Dashboard!$B$105:$B$124,$O133,Dashboard!$I$105:$I$124,"CAB")&gt;0,"Accepted (CF)","Blocking"),"Deferrable"))</f>
        <v/>
      </c>
    </row>
    <row r="134" spans="7:26" x14ac:dyDescent="0.3">
      <c r="G134" s="27" t="str" cm="1">
        <f t="array" ref="G134">IF($A134="","",IFERROR(_xlfn.TEXTJOIN(CHAR(10)&amp;CHAR(10),TRUE,_xlfn._xlws.FILTER("•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"&amp;Cards!$L$4:$L$1000),(Cards!$A$4:$A$1000&lt;&gt;"")*ISNUMBER(SEARCH($A134,Cards!$E$4:$E$1000)))),"-"))</f>
        <v/>
      </c>
      <c r="Q134" s="30"/>
      <c r="R134" s="27" t="str">
        <f>IF(OR($A134="",LEN(TRIM($O134))=0),"",IF(OR($P134="",$Q134=""),"ระบุ Severity + Impact",IFERROR(INDEX({"Urgent","Urgent","High","High";"Urgent","High","High","Medium";"High","High","Medium","Medium";"Medium","Medium","Low","Low"},MATCH($P134,{"Critical","High","Medium","Low"},0),MATCH($Q134,{"Extensive","Significant","Moderate","Minor"},0)),"-")))</f>
        <v/>
      </c>
      <c r="S134" s="30"/>
      <c r="T134" s="30"/>
      <c r="W134" s="32" t="str">
        <f>IF($A134="","",IF(OR($M134="Out of Scope",$M134="Canceled"),"Out of Scope",IF($M134="Blocked","Blocked",IF(AND($T134&lt;&gt;"Fixed – Retest Passed",OR(LEN(TRIM($O134))&gt;0,LEN(TRIM($P134))&gt;0)),IF(AND(OR($L134="Medium",$L134="Low"),SUMPRODUCT((Cards!$A$4:$A$1000&lt;&gt;"")*ISNUMBER(SEARCH($A134,Cards!$E$4:$E$1000))*(Cards!$F$4:$F$1000&lt;&gt;"Medium")*(Cards!$F$4:$F$1000&lt;&gt;"Low"))=0),"Conditionally Passed","Failed"),IF($M134="Done","Passed","Not Run")))))</f>
        <v/>
      </c>
      <c r="Y134" s="27" t="str" cm="1">
        <f t="array" ref="Y134">IF($A134="","",IF(TRIM($B134)="","-",IFERROR(_xlfn.TEXTJOIN(" / ",TRUE,_xlfn.UNIQUE(_xlfn._xlws.FILTER('Ownership Matrix'!$C$5:$C$200,('Ownership Matrix'!$A$5:$A$200=TRIM($B134))*('Ownership Matrix'!$C$5:$C$200&lt;&gt;"")))),"ไม่พบใน Ownership Matrix")))</f>
        <v/>
      </c>
      <c r="Z134" s="31" t="str">
        <f>IF(NOT(AND($A134&lt;&gt;"",$M134&lt;&gt;"Out of Scope",$M134&lt;&gt;"Canceled",$T134&lt;&gt;"Fixed – Retest Passed",OR(LEN(TRIM($O134))&gt;0,LEN(TRIM($P134))&gt;0))),"",IF(OR($W134="Failed",$R134="Urgent",$R134="High",$R134="ระบุ Severity + Impact"),IF(COUNTIFS(Dashboard!$B$105:$B$124,$O134,Dashboard!$I$105:$I$124,"CAB")&gt;0,"Accepted (CF)","Blocking"),"Deferrable"))</f>
        <v/>
      </c>
    </row>
    <row r="135" spans="7:26" x14ac:dyDescent="0.3">
      <c r="G135" s="27" t="str" cm="1">
        <f t="array" ref="G135">IF($A135="","",IFERROR(_xlfn.TEXTJOIN(CHAR(10)&amp;CHAR(10),TRUE,_xlfn._xlws.FILTER("•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"&amp;Cards!$L$4:$L$1000),(Cards!$A$4:$A$1000&lt;&gt;"")*ISNUMBER(SEARCH($A135,Cards!$E$4:$E$1000)))),"-"))</f>
        <v/>
      </c>
      <c r="Q135" s="30"/>
      <c r="R135" s="27" t="str">
        <f>IF(OR($A135="",LEN(TRIM($O135))=0),"",IF(OR($P135="",$Q135=""),"ระบุ Severity + Impact",IFERROR(INDEX({"Urgent","Urgent","High","High";"Urgent","High","High","Medium";"High","High","Medium","Medium";"Medium","Medium","Low","Low"},MATCH($P135,{"Critical","High","Medium","Low"},0),MATCH($Q135,{"Extensive","Significant","Moderate","Minor"},0)),"-")))</f>
        <v/>
      </c>
      <c r="S135" s="30"/>
      <c r="T135" s="30"/>
      <c r="W135" s="32" t="str">
        <f>IF($A135="","",IF(OR($M135="Out of Scope",$M135="Canceled"),"Out of Scope",IF($M135="Blocked","Blocked",IF(AND($T135&lt;&gt;"Fixed – Retest Passed",OR(LEN(TRIM($O135))&gt;0,LEN(TRIM($P135))&gt;0)),IF(AND(OR($L135="Medium",$L135="Low"),SUMPRODUCT((Cards!$A$4:$A$1000&lt;&gt;"")*ISNUMBER(SEARCH($A135,Cards!$E$4:$E$1000))*(Cards!$F$4:$F$1000&lt;&gt;"Medium")*(Cards!$F$4:$F$1000&lt;&gt;"Low"))=0),"Conditionally Passed","Failed"),IF($M135="Done","Passed","Not Run")))))</f>
        <v/>
      </c>
      <c r="Y135" s="27" t="str" cm="1">
        <f t="array" ref="Y135">IF($A135="","",IF(TRIM($B135)="","-",IFERROR(_xlfn.TEXTJOIN(" / ",TRUE,_xlfn.UNIQUE(_xlfn._xlws.FILTER('Ownership Matrix'!$C$5:$C$200,('Ownership Matrix'!$A$5:$A$200=TRIM($B135))*('Ownership Matrix'!$C$5:$C$200&lt;&gt;"")))),"ไม่พบใน Ownership Matrix")))</f>
        <v/>
      </c>
      <c r="Z135" s="31" t="str">
        <f>IF(NOT(AND($A135&lt;&gt;"",$M135&lt;&gt;"Out of Scope",$M135&lt;&gt;"Canceled",$T135&lt;&gt;"Fixed – Retest Passed",OR(LEN(TRIM($O135))&gt;0,LEN(TRIM($P135))&gt;0))),"",IF(OR($W135="Failed",$R135="Urgent",$R135="High",$R135="ระบุ Severity + Impact"),IF(COUNTIFS(Dashboard!$B$105:$B$124,$O135,Dashboard!$I$105:$I$124,"CAB")&gt;0,"Accepted (CF)","Blocking"),"Deferrable"))</f>
        <v/>
      </c>
    </row>
    <row r="136" spans="7:26" x14ac:dyDescent="0.3">
      <c r="G136" s="27" t="str" cm="1">
        <f t="array" ref="G136">IF($A136="","",IFERROR(_xlfn.TEXTJOIN(CHAR(10)&amp;CHAR(10),TRUE,_xlfn._xlws.FILTER("•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"&amp;Cards!$L$4:$L$1000),(Cards!$A$4:$A$1000&lt;&gt;"")*ISNUMBER(SEARCH($A136,Cards!$E$4:$E$1000)))),"-"))</f>
        <v/>
      </c>
      <c r="Q136" s="30"/>
      <c r="R136" s="27" t="str">
        <f>IF(OR($A136="",LEN(TRIM($O136))=0),"",IF(OR($P136="",$Q136=""),"ระบุ Severity + Impact",IFERROR(INDEX({"Urgent","Urgent","High","High";"Urgent","High","High","Medium";"High","High","Medium","Medium";"Medium","Medium","Low","Low"},MATCH($P136,{"Critical","High","Medium","Low"},0),MATCH($Q136,{"Extensive","Significant","Moderate","Minor"},0)),"-")))</f>
        <v/>
      </c>
      <c r="S136" s="30"/>
      <c r="T136" s="30"/>
      <c r="W136" s="32" t="str">
        <f>IF($A136="","",IF(OR($M136="Out of Scope",$M136="Canceled"),"Out of Scope",IF($M136="Blocked","Blocked",IF(AND($T136&lt;&gt;"Fixed – Retest Passed",OR(LEN(TRIM($O136))&gt;0,LEN(TRIM($P136))&gt;0)),IF(AND(OR($L136="Medium",$L136="Low"),SUMPRODUCT((Cards!$A$4:$A$1000&lt;&gt;"")*ISNUMBER(SEARCH($A136,Cards!$E$4:$E$1000))*(Cards!$F$4:$F$1000&lt;&gt;"Medium")*(Cards!$F$4:$F$1000&lt;&gt;"Low"))=0),"Conditionally Passed","Failed"),IF($M136="Done","Passed","Not Run")))))</f>
        <v/>
      </c>
      <c r="Y136" s="27" t="str" cm="1">
        <f t="array" ref="Y136">IF($A136="","",IF(TRIM($B136)="","-",IFERROR(_xlfn.TEXTJOIN(" / ",TRUE,_xlfn.UNIQUE(_xlfn._xlws.FILTER('Ownership Matrix'!$C$5:$C$200,('Ownership Matrix'!$A$5:$A$200=TRIM($B136))*('Ownership Matrix'!$C$5:$C$200&lt;&gt;"")))),"ไม่พบใน Ownership Matrix")))</f>
        <v/>
      </c>
      <c r="Z136" s="31" t="str">
        <f>IF(NOT(AND($A136&lt;&gt;"",$M136&lt;&gt;"Out of Scope",$M136&lt;&gt;"Canceled",$T136&lt;&gt;"Fixed – Retest Passed",OR(LEN(TRIM($O136))&gt;0,LEN(TRIM($P136))&gt;0))),"",IF(OR($W136="Failed",$R136="Urgent",$R136="High",$R136="ระบุ Severity + Impact"),IF(COUNTIFS(Dashboard!$B$105:$B$124,$O136,Dashboard!$I$105:$I$124,"CAB")&gt;0,"Accepted (CF)","Blocking"),"Deferrable"))</f>
        <v/>
      </c>
    </row>
    <row r="137" spans="7:26" x14ac:dyDescent="0.3">
      <c r="G137" s="27" t="str" cm="1">
        <f t="array" ref="G137">IF($A137="","",IFERROR(_xlfn.TEXTJOIN(CHAR(10)&amp;CHAR(10),TRUE,_xlfn._xlws.FILTER("•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"&amp;Cards!$L$4:$L$1000),(Cards!$A$4:$A$1000&lt;&gt;"")*ISNUMBER(SEARCH($A137,Cards!$E$4:$E$1000)))),"-"))</f>
        <v/>
      </c>
      <c r="Q137" s="30"/>
      <c r="R137" s="27" t="str">
        <f>IF(OR($A137="",LEN(TRIM($O137))=0),"",IF(OR($P137="",$Q137=""),"ระบุ Severity + Impact",IFERROR(INDEX({"Urgent","Urgent","High","High";"Urgent","High","High","Medium";"High","High","Medium","Medium";"Medium","Medium","Low","Low"},MATCH($P137,{"Critical","High","Medium","Low"},0),MATCH($Q137,{"Extensive","Significant","Moderate","Minor"},0)),"-")))</f>
        <v/>
      </c>
      <c r="S137" s="30"/>
      <c r="T137" s="30"/>
      <c r="W137" s="32" t="str">
        <f>IF($A137="","",IF(OR($M137="Out of Scope",$M137="Canceled"),"Out of Scope",IF($M137="Blocked","Blocked",IF(AND($T137&lt;&gt;"Fixed – Retest Passed",OR(LEN(TRIM($O137))&gt;0,LEN(TRIM($P137))&gt;0)),IF(AND(OR($L137="Medium",$L137="Low"),SUMPRODUCT((Cards!$A$4:$A$1000&lt;&gt;"")*ISNUMBER(SEARCH($A137,Cards!$E$4:$E$1000))*(Cards!$F$4:$F$1000&lt;&gt;"Medium")*(Cards!$F$4:$F$1000&lt;&gt;"Low"))=0),"Conditionally Passed","Failed"),IF($M137="Done","Passed","Not Run")))))</f>
        <v/>
      </c>
      <c r="Y137" s="27" t="str" cm="1">
        <f t="array" ref="Y137">IF($A137="","",IF(TRIM($B137)="","-",IFERROR(_xlfn.TEXTJOIN(" / ",TRUE,_xlfn.UNIQUE(_xlfn._xlws.FILTER('Ownership Matrix'!$C$5:$C$200,('Ownership Matrix'!$A$5:$A$200=TRIM($B137))*('Ownership Matrix'!$C$5:$C$200&lt;&gt;"")))),"ไม่พบใน Ownership Matrix")))</f>
        <v/>
      </c>
      <c r="Z137" s="31" t="str">
        <f>IF(NOT(AND($A137&lt;&gt;"",$M137&lt;&gt;"Out of Scope",$M137&lt;&gt;"Canceled",$T137&lt;&gt;"Fixed – Retest Passed",OR(LEN(TRIM($O137))&gt;0,LEN(TRIM($P137))&gt;0))),"",IF(OR($W137="Failed",$R137="Urgent",$R137="High",$R137="ระบุ Severity + Impact"),IF(COUNTIFS(Dashboard!$B$105:$B$124,$O137,Dashboard!$I$105:$I$124,"CAB")&gt;0,"Accepted (CF)","Blocking"),"Deferrable"))</f>
        <v/>
      </c>
    </row>
    <row r="138" spans="7:26" x14ac:dyDescent="0.3">
      <c r="G138" s="27" t="str" cm="1">
        <f t="array" ref="G138">IF($A138="","",IFERROR(_xlfn.TEXTJOIN(CHAR(10)&amp;CHAR(10),TRUE,_xlfn._xlws.FILTER("•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"&amp;Cards!$L$4:$L$1000),(Cards!$A$4:$A$1000&lt;&gt;"")*ISNUMBER(SEARCH($A138,Cards!$E$4:$E$1000)))),"-"))</f>
        <v/>
      </c>
      <c r="Q138" s="30"/>
      <c r="R138" s="27" t="str">
        <f>IF(OR($A138="",LEN(TRIM($O138))=0),"",IF(OR($P138="",$Q138=""),"ระบุ Severity + Impact",IFERROR(INDEX({"Urgent","Urgent","High","High";"Urgent","High","High","Medium";"High","High","Medium","Medium";"Medium","Medium","Low","Low"},MATCH($P138,{"Critical","High","Medium","Low"},0),MATCH($Q138,{"Extensive","Significant","Moderate","Minor"},0)),"-")))</f>
        <v/>
      </c>
      <c r="S138" s="30"/>
      <c r="T138" s="30"/>
      <c r="W138" s="32" t="str">
        <f>IF($A138="","",IF(OR($M138="Out of Scope",$M138="Canceled"),"Out of Scope",IF($M138="Blocked","Blocked",IF(AND($T138&lt;&gt;"Fixed – Retest Passed",OR(LEN(TRIM($O138))&gt;0,LEN(TRIM($P138))&gt;0)),IF(AND(OR($L138="Medium",$L138="Low"),SUMPRODUCT((Cards!$A$4:$A$1000&lt;&gt;"")*ISNUMBER(SEARCH($A138,Cards!$E$4:$E$1000))*(Cards!$F$4:$F$1000&lt;&gt;"Medium")*(Cards!$F$4:$F$1000&lt;&gt;"Low"))=0),"Conditionally Passed","Failed"),IF($M138="Done","Passed","Not Run")))))</f>
        <v/>
      </c>
      <c r="Y138" s="27" t="str" cm="1">
        <f t="array" ref="Y138">IF($A138="","",IF(TRIM($B138)="","-",IFERROR(_xlfn.TEXTJOIN(" / ",TRUE,_xlfn.UNIQUE(_xlfn._xlws.FILTER('Ownership Matrix'!$C$5:$C$200,('Ownership Matrix'!$A$5:$A$200=TRIM($B138))*('Ownership Matrix'!$C$5:$C$200&lt;&gt;"")))),"ไม่พบใน Ownership Matrix")))</f>
        <v/>
      </c>
      <c r="Z138" s="31" t="str">
        <f>IF(NOT(AND($A138&lt;&gt;"",$M138&lt;&gt;"Out of Scope",$M138&lt;&gt;"Canceled",$T138&lt;&gt;"Fixed – Retest Passed",OR(LEN(TRIM($O138))&gt;0,LEN(TRIM($P138))&gt;0))),"",IF(OR($W138="Failed",$R138="Urgent",$R138="High",$R138="ระบุ Severity + Impact"),IF(COUNTIFS(Dashboard!$B$105:$B$124,$O138,Dashboard!$I$105:$I$124,"CAB")&gt;0,"Accepted (CF)","Blocking"),"Deferrable"))</f>
        <v/>
      </c>
    </row>
    <row r="139" spans="7:26" x14ac:dyDescent="0.3">
      <c r="G139" s="27" t="str" cm="1">
        <f t="array" ref="G139">IF($A139="","",IFERROR(_xlfn.TEXTJOIN(CHAR(10)&amp;CHAR(10),TRUE,_xlfn._xlws.FILTER("•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"&amp;Cards!$L$4:$L$1000),(Cards!$A$4:$A$1000&lt;&gt;"")*ISNUMBER(SEARCH($A139,Cards!$E$4:$E$1000)))),"-"))</f>
        <v/>
      </c>
      <c r="Q139" s="30"/>
      <c r="R139" s="27" t="str">
        <f>IF(OR($A139="",LEN(TRIM($O139))=0),"",IF(OR($P139="",$Q139=""),"ระบุ Severity + Impact",IFERROR(INDEX({"Urgent","Urgent","High","High";"Urgent","High","High","Medium";"High","High","Medium","Medium";"Medium","Medium","Low","Low"},MATCH($P139,{"Critical","High","Medium","Low"},0),MATCH($Q139,{"Extensive","Significant","Moderate","Minor"},0)),"-")))</f>
        <v/>
      </c>
      <c r="S139" s="30"/>
      <c r="T139" s="30"/>
      <c r="W139" s="32" t="str">
        <f>IF($A139="","",IF(OR($M139="Out of Scope",$M139="Canceled"),"Out of Scope",IF($M139="Blocked","Blocked",IF(AND($T139&lt;&gt;"Fixed – Retest Passed",OR(LEN(TRIM($O139))&gt;0,LEN(TRIM($P139))&gt;0)),IF(AND(OR($L139="Medium",$L139="Low"),SUMPRODUCT((Cards!$A$4:$A$1000&lt;&gt;"")*ISNUMBER(SEARCH($A139,Cards!$E$4:$E$1000))*(Cards!$F$4:$F$1000&lt;&gt;"Medium")*(Cards!$F$4:$F$1000&lt;&gt;"Low"))=0),"Conditionally Passed","Failed"),IF($M139="Done","Passed","Not Run")))))</f>
        <v/>
      </c>
      <c r="Y139" s="27" t="str" cm="1">
        <f t="array" ref="Y139">IF($A139="","",IF(TRIM($B139)="","-",IFERROR(_xlfn.TEXTJOIN(" / ",TRUE,_xlfn.UNIQUE(_xlfn._xlws.FILTER('Ownership Matrix'!$C$5:$C$200,('Ownership Matrix'!$A$5:$A$200=TRIM($B139))*('Ownership Matrix'!$C$5:$C$200&lt;&gt;"")))),"ไม่พบใน Ownership Matrix")))</f>
        <v/>
      </c>
      <c r="Z139" s="31" t="str">
        <f>IF(NOT(AND($A139&lt;&gt;"",$M139&lt;&gt;"Out of Scope",$M139&lt;&gt;"Canceled",$T139&lt;&gt;"Fixed – Retest Passed",OR(LEN(TRIM($O139))&gt;0,LEN(TRIM($P139))&gt;0))),"",IF(OR($W139="Failed",$R139="Urgent",$R139="High",$R139="ระบุ Severity + Impact"),IF(COUNTIFS(Dashboard!$B$105:$B$124,$O139,Dashboard!$I$105:$I$124,"CAB")&gt;0,"Accepted (CF)","Blocking"),"Deferrable"))</f>
        <v/>
      </c>
    </row>
    <row r="140" spans="7:26" x14ac:dyDescent="0.3">
      <c r="G140" s="27" t="str" cm="1">
        <f t="array" ref="G140">IF($A140="","",IFERROR(_xlfn.TEXTJOIN(CHAR(10)&amp;CHAR(10),TRUE,_xlfn._xlws.FILTER("•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"&amp;Cards!$L$4:$L$1000),(Cards!$A$4:$A$1000&lt;&gt;"")*ISNUMBER(SEARCH($A140,Cards!$E$4:$E$1000)))),"-"))</f>
        <v/>
      </c>
      <c r="Q140" s="30"/>
      <c r="R140" s="27" t="str">
        <f>IF(OR($A140="",LEN(TRIM($O140))=0),"",IF(OR($P140="",$Q140=""),"ระบุ Severity + Impact",IFERROR(INDEX({"Urgent","Urgent","High","High";"Urgent","High","High","Medium";"High","High","Medium","Medium";"Medium","Medium","Low","Low"},MATCH($P140,{"Critical","High","Medium","Low"},0),MATCH($Q140,{"Extensive","Significant","Moderate","Minor"},0)),"-")))</f>
        <v/>
      </c>
      <c r="S140" s="30"/>
      <c r="T140" s="30"/>
      <c r="W140" s="32" t="str">
        <f>IF($A140="","",IF(OR($M140="Out of Scope",$M140="Canceled"),"Out of Scope",IF($M140="Blocked","Blocked",IF(AND($T140&lt;&gt;"Fixed – Retest Passed",OR(LEN(TRIM($O140))&gt;0,LEN(TRIM($P140))&gt;0)),IF(AND(OR($L140="Medium",$L140="Low"),SUMPRODUCT((Cards!$A$4:$A$1000&lt;&gt;"")*ISNUMBER(SEARCH($A140,Cards!$E$4:$E$1000))*(Cards!$F$4:$F$1000&lt;&gt;"Medium")*(Cards!$F$4:$F$1000&lt;&gt;"Low"))=0),"Conditionally Passed","Failed"),IF($M140="Done","Passed","Not Run")))))</f>
        <v/>
      </c>
      <c r="Y140" s="27" t="str" cm="1">
        <f t="array" ref="Y140">IF($A140="","",IF(TRIM($B140)="","-",IFERROR(_xlfn.TEXTJOIN(" / ",TRUE,_xlfn.UNIQUE(_xlfn._xlws.FILTER('Ownership Matrix'!$C$5:$C$200,('Ownership Matrix'!$A$5:$A$200=TRIM($B140))*('Ownership Matrix'!$C$5:$C$200&lt;&gt;"")))),"ไม่พบใน Ownership Matrix")))</f>
        <v/>
      </c>
      <c r="Z140" s="31" t="str">
        <f>IF(NOT(AND($A140&lt;&gt;"",$M140&lt;&gt;"Out of Scope",$M140&lt;&gt;"Canceled",$T140&lt;&gt;"Fixed – Retest Passed",OR(LEN(TRIM($O140))&gt;0,LEN(TRIM($P140))&gt;0))),"",IF(OR($W140="Failed",$R140="Urgent",$R140="High",$R140="ระบุ Severity + Impact"),IF(COUNTIFS(Dashboard!$B$105:$B$124,$O140,Dashboard!$I$105:$I$124,"CAB")&gt;0,"Accepted (CF)","Blocking"),"Deferrable"))</f>
        <v/>
      </c>
    </row>
    <row r="141" spans="7:26" x14ac:dyDescent="0.3">
      <c r="G141" s="27" t="str" cm="1">
        <f t="array" ref="G141">IF($A141="","",IFERROR(_xlfn.TEXTJOIN(CHAR(10)&amp;CHAR(10),TRUE,_xlfn._xlws.FILTER("•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"&amp;Cards!$L$4:$L$1000),(Cards!$A$4:$A$1000&lt;&gt;"")*ISNUMBER(SEARCH($A141,Cards!$E$4:$E$1000)))),"-"))</f>
        <v/>
      </c>
      <c r="Q141" s="30"/>
      <c r="R141" s="27" t="str">
        <f>IF(OR($A141="",LEN(TRIM($O141))=0),"",IF(OR($P141="",$Q141=""),"ระบุ Severity + Impact",IFERROR(INDEX({"Urgent","Urgent","High","High";"Urgent","High","High","Medium";"High","High","Medium","Medium";"Medium","Medium","Low","Low"},MATCH($P141,{"Critical","High","Medium","Low"},0),MATCH($Q141,{"Extensive","Significant","Moderate","Minor"},0)),"-")))</f>
        <v/>
      </c>
      <c r="S141" s="30"/>
      <c r="T141" s="30"/>
      <c r="W141" s="32" t="str">
        <f>IF($A141="","",IF(OR($M141="Out of Scope",$M141="Canceled"),"Out of Scope",IF($M141="Blocked","Blocked",IF(AND($T141&lt;&gt;"Fixed – Retest Passed",OR(LEN(TRIM($O141))&gt;0,LEN(TRIM($P141))&gt;0)),IF(AND(OR($L141="Medium",$L141="Low"),SUMPRODUCT((Cards!$A$4:$A$1000&lt;&gt;"")*ISNUMBER(SEARCH($A141,Cards!$E$4:$E$1000))*(Cards!$F$4:$F$1000&lt;&gt;"Medium")*(Cards!$F$4:$F$1000&lt;&gt;"Low"))=0),"Conditionally Passed","Failed"),IF($M141="Done","Passed","Not Run")))))</f>
        <v/>
      </c>
      <c r="Y141" s="27" t="str" cm="1">
        <f t="array" ref="Y141">IF($A141="","",IF(TRIM($B141)="","-",IFERROR(_xlfn.TEXTJOIN(" / ",TRUE,_xlfn.UNIQUE(_xlfn._xlws.FILTER('Ownership Matrix'!$C$5:$C$200,('Ownership Matrix'!$A$5:$A$200=TRIM($B141))*('Ownership Matrix'!$C$5:$C$200&lt;&gt;"")))),"ไม่พบใน Ownership Matrix")))</f>
        <v/>
      </c>
      <c r="Z141" s="31" t="str">
        <f>IF(NOT(AND($A141&lt;&gt;"",$M141&lt;&gt;"Out of Scope",$M141&lt;&gt;"Canceled",$T141&lt;&gt;"Fixed – Retest Passed",OR(LEN(TRIM($O141))&gt;0,LEN(TRIM($P141))&gt;0))),"",IF(OR($W141="Failed",$R141="Urgent",$R141="High",$R141="ระบุ Severity + Impact"),IF(COUNTIFS(Dashboard!$B$105:$B$124,$O141,Dashboard!$I$105:$I$124,"CAB")&gt;0,"Accepted (CF)","Blocking"),"Deferrable"))</f>
        <v/>
      </c>
    </row>
    <row r="142" spans="7:26" x14ac:dyDescent="0.3">
      <c r="G142" s="27" t="str" cm="1">
        <f t="array" ref="G142">IF($A142="","",IFERROR(_xlfn.TEXTJOIN(CHAR(10)&amp;CHAR(10),TRUE,_xlfn._xlws.FILTER("•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"&amp;Cards!$L$4:$L$1000),(Cards!$A$4:$A$1000&lt;&gt;"")*ISNUMBER(SEARCH($A142,Cards!$E$4:$E$1000)))),"-"))</f>
        <v/>
      </c>
      <c r="Q142" s="30"/>
      <c r="R142" s="27" t="str">
        <f>IF(OR($A142="",LEN(TRIM($O142))=0),"",IF(OR($P142="",$Q142=""),"ระบุ Severity + Impact",IFERROR(INDEX({"Urgent","Urgent","High","High";"Urgent","High","High","Medium";"High","High","Medium","Medium";"Medium","Medium","Low","Low"},MATCH($P142,{"Critical","High","Medium","Low"},0),MATCH($Q142,{"Extensive","Significant","Moderate","Minor"},0)),"-")))</f>
        <v/>
      </c>
      <c r="S142" s="30"/>
      <c r="T142" s="30"/>
      <c r="W142" s="32" t="str">
        <f>IF($A142="","",IF(OR($M142="Out of Scope",$M142="Canceled"),"Out of Scope",IF($M142="Blocked","Blocked",IF(AND($T142&lt;&gt;"Fixed – Retest Passed",OR(LEN(TRIM($O142))&gt;0,LEN(TRIM($P142))&gt;0)),IF(AND(OR($L142="Medium",$L142="Low"),SUMPRODUCT((Cards!$A$4:$A$1000&lt;&gt;"")*ISNUMBER(SEARCH($A142,Cards!$E$4:$E$1000))*(Cards!$F$4:$F$1000&lt;&gt;"Medium")*(Cards!$F$4:$F$1000&lt;&gt;"Low"))=0),"Conditionally Passed","Failed"),IF($M142="Done","Passed","Not Run")))))</f>
        <v/>
      </c>
      <c r="Y142" s="27" t="str" cm="1">
        <f t="array" ref="Y142">IF($A142="","",IF(TRIM($B142)="","-",IFERROR(_xlfn.TEXTJOIN(" / ",TRUE,_xlfn.UNIQUE(_xlfn._xlws.FILTER('Ownership Matrix'!$C$5:$C$200,('Ownership Matrix'!$A$5:$A$200=TRIM($B142))*('Ownership Matrix'!$C$5:$C$200&lt;&gt;"")))),"ไม่พบใน Ownership Matrix")))</f>
        <v/>
      </c>
      <c r="Z142" s="31" t="str">
        <f>IF(NOT(AND($A142&lt;&gt;"",$M142&lt;&gt;"Out of Scope",$M142&lt;&gt;"Canceled",$T142&lt;&gt;"Fixed – Retest Passed",OR(LEN(TRIM($O142))&gt;0,LEN(TRIM($P142))&gt;0))),"",IF(OR($W142="Failed",$R142="Urgent",$R142="High",$R142="ระบุ Severity + Impact"),IF(COUNTIFS(Dashboard!$B$105:$B$124,$O142,Dashboard!$I$105:$I$124,"CAB")&gt;0,"Accepted (CF)","Blocking"),"Deferrable"))</f>
        <v/>
      </c>
    </row>
    <row r="143" spans="7:26" x14ac:dyDescent="0.3">
      <c r="G143" s="27" t="str" cm="1">
        <f t="array" ref="G143">IF($A143="","",IFERROR(_xlfn.TEXTJOIN(CHAR(10)&amp;CHAR(10),TRUE,_xlfn._xlws.FILTER("•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"&amp;Cards!$L$4:$L$1000),(Cards!$A$4:$A$1000&lt;&gt;"")*ISNUMBER(SEARCH($A143,Cards!$E$4:$E$1000)))),"-"))</f>
        <v/>
      </c>
      <c r="Q143" s="30"/>
      <c r="R143" s="27" t="str">
        <f>IF(OR($A143="",LEN(TRIM($O143))=0),"",IF(OR($P143="",$Q143=""),"ระบุ Severity + Impact",IFERROR(INDEX({"Urgent","Urgent","High","High";"Urgent","High","High","Medium";"High","High","Medium","Medium";"Medium","Medium","Low","Low"},MATCH($P143,{"Critical","High","Medium","Low"},0),MATCH($Q143,{"Extensive","Significant","Moderate","Minor"},0)),"-")))</f>
        <v/>
      </c>
      <c r="S143" s="30"/>
      <c r="T143" s="30"/>
      <c r="W143" s="32" t="str">
        <f>IF($A143="","",IF(OR($M143="Out of Scope",$M143="Canceled"),"Out of Scope",IF($M143="Blocked","Blocked",IF(AND($T143&lt;&gt;"Fixed – Retest Passed",OR(LEN(TRIM($O143))&gt;0,LEN(TRIM($P143))&gt;0)),IF(AND(OR($L143="Medium",$L143="Low"),SUMPRODUCT((Cards!$A$4:$A$1000&lt;&gt;"")*ISNUMBER(SEARCH($A143,Cards!$E$4:$E$1000))*(Cards!$F$4:$F$1000&lt;&gt;"Medium")*(Cards!$F$4:$F$1000&lt;&gt;"Low"))=0),"Conditionally Passed","Failed"),IF($M143="Done","Passed","Not Run")))))</f>
        <v/>
      </c>
      <c r="Y143" s="27" t="str" cm="1">
        <f t="array" ref="Y143">IF($A143="","",IF(TRIM($B143)="","-",IFERROR(_xlfn.TEXTJOIN(" / ",TRUE,_xlfn.UNIQUE(_xlfn._xlws.FILTER('Ownership Matrix'!$C$5:$C$200,('Ownership Matrix'!$A$5:$A$200=TRIM($B143))*('Ownership Matrix'!$C$5:$C$200&lt;&gt;"")))),"ไม่พบใน Ownership Matrix")))</f>
        <v/>
      </c>
      <c r="Z143" s="31" t="str">
        <f>IF(NOT(AND($A143&lt;&gt;"",$M143&lt;&gt;"Out of Scope",$M143&lt;&gt;"Canceled",$T143&lt;&gt;"Fixed – Retest Passed",OR(LEN(TRIM($O143))&gt;0,LEN(TRIM($P143))&gt;0))),"",IF(OR($W143="Failed",$R143="Urgent",$R143="High",$R143="ระบุ Severity + Impact"),IF(COUNTIFS(Dashboard!$B$105:$B$124,$O143,Dashboard!$I$105:$I$124,"CAB")&gt;0,"Accepted (CF)","Blocking"),"Deferrable"))</f>
        <v/>
      </c>
    </row>
    <row r="144" spans="7:26" x14ac:dyDescent="0.3">
      <c r="G144" s="27" t="str" cm="1">
        <f t="array" ref="G144">IF($A144="","",IFERROR(_xlfn.TEXTJOIN(CHAR(10)&amp;CHAR(10),TRUE,_xlfn._xlws.FILTER("•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"&amp;Cards!$L$4:$L$1000),(Cards!$A$4:$A$1000&lt;&gt;"")*ISNUMBER(SEARCH($A144,Cards!$E$4:$E$1000)))),"-"))</f>
        <v/>
      </c>
      <c r="Q144" s="30"/>
      <c r="R144" s="27" t="str">
        <f>IF(OR($A144="",LEN(TRIM($O144))=0),"",IF(OR($P144="",$Q144=""),"ระบุ Severity + Impact",IFERROR(INDEX({"Urgent","Urgent","High","High";"Urgent","High","High","Medium";"High","High","Medium","Medium";"Medium","Medium","Low","Low"},MATCH($P144,{"Critical","High","Medium","Low"},0),MATCH($Q144,{"Extensive","Significant","Moderate","Minor"},0)),"-")))</f>
        <v/>
      </c>
      <c r="S144" s="30"/>
      <c r="T144" s="30"/>
      <c r="W144" s="32" t="str">
        <f>IF($A144="","",IF(OR($M144="Out of Scope",$M144="Canceled"),"Out of Scope",IF($M144="Blocked","Blocked",IF(AND($T144&lt;&gt;"Fixed – Retest Passed",OR(LEN(TRIM($O144))&gt;0,LEN(TRIM($P144))&gt;0)),IF(AND(OR($L144="Medium",$L144="Low"),SUMPRODUCT((Cards!$A$4:$A$1000&lt;&gt;"")*ISNUMBER(SEARCH($A144,Cards!$E$4:$E$1000))*(Cards!$F$4:$F$1000&lt;&gt;"Medium")*(Cards!$F$4:$F$1000&lt;&gt;"Low"))=0),"Conditionally Passed","Failed"),IF($M144="Done","Passed","Not Run")))))</f>
        <v/>
      </c>
      <c r="Y144" s="27" t="str" cm="1">
        <f t="array" ref="Y144">IF($A144="","",IF(TRIM($B144)="","-",IFERROR(_xlfn.TEXTJOIN(" / ",TRUE,_xlfn.UNIQUE(_xlfn._xlws.FILTER('Ownership Matrix'!$C$5:$C$200,('Ownership Matrix'!$A$5:$A$200=TRIM($B144))*('Ownership Matrix'!$C$5:$C$200&lt;&gt;"")))),"ไม่พบใน Ownership Matrix")))</f>
        <v/>
      </c>
      <c r="Z144" s="31" t="str">
        <f>IF(NOT(AND($A144&lt;&gt;"",$M144&lt;&gt;"Out of Scope",$M144&lt;&gt;"Canceled",$T144&lt;&gt;"Fixed – Retest Passed",OR(LEN(TRIM($O144))&gt;0,LEN(TRIM($P144))&gt;0))),"",IF(OR($W144="Failed",$R144="Urgent",$R144="High",$R144="ระบุ Severity + Impact"),IF(COUNTIFS(Dashboard!$B$105:$B$124,$O144,Dashboard!$I$105:$I$124,"CAB")&gt;0,"Accepted (CF)","Blocking"),"Deferrable"))</f>
        <v/>
      </c>
    </row>
    <row r="145" spans="7:26" x14ac:dyDescent="0.3">
      <c r="G145" s="27" t="str" cm="1">
        <f t="array" ref="G145">IF($A145="","",IFERROR(_xlfn.TEXTJOIN(CHAR(10)&amp;CHAR(10),TRUE,_xlfn._xlws.FILTER("•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"&amp;Cards!$L$4:$L$1000),(Cards!$A$4:$A$1000&lt;&gt;"")*ISNUMBER(SEARCH($A145,Cards!$E$4:$E$1000)))),"-"))</f>
        <v/>
      </c>
      <c r="Q145" s="30"/>
      <c r="R145" s="27" t="str">
        <f>IF(OR($A145="",LEN(TRIM($O145))=0),"",IF(OR($P145="",$Q145=""),"ระบุ Severity + Impact",IFERROR(INDEX({"Urgent","Urgent","High","High";"Urgent","High","High","Medium";"High","High","Medium","Medium";"Medium","Medium","Low","Low"},MATCH($P145,{"Critical","High","Medium","Low"},0),MATCH($Q145,{"Extensive","Significant","Moderate","Minor"},0)),"-")))</f>
        <v/>
      </c>
      <c r="S145" s="30"/>
      <c r="T145" s="30"/>
      <c r="W145" s="32" t="str">
        <f>IF($A145="","",IF(OR($M145="Out of Scope",$M145="Canceled"),"Out of Scope",IF($M145="Blocked","Blocked",IF(AND($T145&lt;&gt;"Fixed – Retest Passed",OR(LEN(TRIM($O145))&gt;0,LEN(TRIM($P145))&gt;0)),IF(AND(OR($L145="Medium",$L145="Low"),SUMPRODUCT((Cards!$A$4:$A$1000&lt;&gt;"")*ISNUMBER(SEARCH($A145,Cards!$E$4:$E$1000))*(Cards!$F$4:$F$1000&lt;&gt;"Medium")*(Cards!$F$4:$F$1000&lt;&gt;"Low"))=0),"Conditionally Passed","Failed"),IF($M145="Done","Passed","Not Run")))))</f>
        <v/>
      </c>
      <c r="Y145" s="27" t="str" cm="1">
        <f t="array" ref="Y145">IF($A145="","",IF(TRIM($B145)="","-",IFERROR(_xlfn.TEXTJOIN(" / ",TRUE,_xlfn.UNIQUE(_xlfn._xlws.FILTER('Ownership Matrix'!$C$5:$C$200,('Ownership Matrix'!$A$5:$A$200=TRIM($B145))*('Ownership Matrix'!$C$5:$C$200&lt;&gt;"")))),"ไม่พบใน Ownership Matrix")))</f>
        <v/>
      </c>
      <c r="Z145" s="31" t="str">
        <f>IF(NOT(AND($A145&lt;&gt;"",$M145&lt;&gt;"Out of Scope",$M145&lt;&gt;"Canceled",$T145&lt;&gt;"Fixed – Retest Passed",OR(LEN(TRIM($O145))&gt;0,LEN(TRIM($P145))&gt;0))),"",IF(OR($W145="Failed",$R145="Urgent",$R145="High",$R145="ระบุ Severity + Impact"),IF(COUNTIFS(Dashboard!$B$105:$B$124,$O145,Dashboard!$I$105:$I$124,"CAB")&gt;0,"Accepted (CF)","Blocking"),"Deferrable"))</f>
        <v/>
      </c>
    </row>
    <row r="146" spans="7:26" x14ac:dyDescent="0.3">
      <c r="G146" s="27" t="str" cm="1">
        <f t="array" ref="G146">IF($A146="","",IFERROR(_xlfn.TEXTJOIN(CHAR(10)&amp;CHAR(10),TRUE,_xlfn._xlws.FILTER("•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"&amp;Cards!$L$4:$L$1000),(Cards!$A$4:$A$1000&lt;&gt;"")*ISNUMBER(SEARCH($A146,Cards!$E$4:$E$1000)))),"-"))</f>
        <v/>
      </c>
      <c r="Q146" s="30"/>
      <c r="R146" s="27" t="str">
        <f>IF(OR($A146="",LEN(TRIM($O146))=0),"",IF(OR($P146="",$Q146=""),"ระบุ Severity + Impact",IFERROR(INDEX({"Urgent","Urgent","High","High";"Urgent","High","High","Medium";"High","High","Medium","Medium";"Medium","Medium","Low","Low"},MATCH($P146,{"Critical","High","Medium","Low"},0),MATCH($Q146,{"Extensive","Significant","Moderate","Minor"},0)),"-")))</f>
        <v/>
      </c>
      <c r="S146" s="30"/>
      <c r="T146" s="30"/>
      <c r="W146" s="32" t="str">
        <f>IF($A146="","",IF(OR($M146="Out of Scope",$M146="Canceled"),"Out of Scope",IF($M146="Blocked","Blocked",IF(AND($T146&lt;&gt;"Fixed – Retest Passed",OR(LEN(TRIM($O146))&gt;0,LEN(TRIM($P146))&gt;0)),IF(AND(OR($L146="Medium",$L146="Low"),SUMPRODUCT((Cards!$A$4:$A$1000&lt;&gt;"")*ISNUMBER(SEARCH($A146,Cards!$E$4:$E$1000))*(Cards!$F$4:$F$1000&lt;&gt;"Medium")*(Cards!$F$4:$F$1000&lt;&gt;"Low"))=0),"Conditionally Passed","Failed"),IF($M146="Done","Passed","Not Run")))))</f>
        <v/>
      </c>
      <c r="Y146" s="27" t="str" cm="1">
        <f t="array" ref="Y146">IF($A146="","",IF(TRIM($B146)="","-",IFERROR(_xlfn.TEXTJOIN(" / ",TRUE,_xlfn.UNIQUE(_xlfn._xlws.FILTER('Ownership Matrix'!$C$5:$C$200,('Ownership Matrix'!$A$5:$A$200=TRIM($B146))*('Ownership Matrix'!$C$5:$C$200&lt;&gt;"")))),"ไม่พบใน Ownership Matrix")))</f>
        <v/>
      </c>
      <c r="Z146" s="31" t="str">
        <f>IF(NOT(AND($A146&lt;&gt;"",$M146&lt;&gt;"Out of Scope",$M146&lt;&gt;"Canceled",$T146&lt;&gt;"Fixed – Retest Passed",OR(LEN(TRIM($O146))&gt;0,LEN(TRIM($P146))&gt;0))),"",IF(OR($W146="Failed",$R146="Urgent",$R146="High",$R146="ระบุ Severity + Impact"),IF(COUNTIFS(Dashboard!$B$105:$B$124,$O146,Dashboard!$I$105:$I$124,"CAB")&gt;0,"Accepted (CF)","Blocking"),"Deferrable"))</f>
        <v/>
      </c>
    </row>
    <row r="147" spans="7:26" x14ac:dyDescent="0.3">
      <c r="G147" s="27" t="str" cm="1">
        <f t="array" ref="G147">IF($A147="","",IFERROR(_xlfn.TEXTJOIN(CHAR(10)&amp;CHAR(10),TRUE,_xlfn._xlws.FILTER("•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"&amp;Cards!$L$4:$L$1000),(Cards!$A$4:$A$1000&lt;&gt;"")*ISNUMBER(SEARCH($A147,Cards!$E$4:$E$1000)))),"-"))</f>
        <v/>
      </c>
      <c r="Q147" s="30"/>
      <c r="R147" s="27" t="str">
        <f>IF(OR($A147="",LEN(TRIM($O147))=0),"",IF(OR($P147="",$Q147=""),"ระบุ Severity + Impact",IFERROR(INDEX({"Urgent","Urgent","High","High";"Urgent","High","High","Medium";"High","High","Medium","Medium";"Medium","Medium","Low","Low"},MATCH($P147,{"Critical","High","Medium","Low"},0),MATCH($Q147,{"Extensive","Significant","Moderate","Minor"},0)),"-")))</f>
        <v/>
      </c>
      <c r="S147" s="30"/>
      <c r="T147" s="30"/>
      <c r="W147" s="32" t="str">
        <f>IF($A147="","",IF(OR($M147="Out of Scope",$M147="Canceled"),"Out of Scope",IF($M147="Blocked","Blocked",IF(AND($T147&lt;&gt;"Fixed – Retest Passed",OR(LEN(TRIM($O147))&gt;0,LEN(TRIM($P147))&gt;0)),IF(AND(OR($L147="Medium",$L147="Low"),SUMPRODUCT((Cards!$A$4:$A$1000&lt;&gt;"")*ISNUMBER(SEARCH($A147,Cards!$E$4:$E$1000))*(Cards!$F$4:$F$1000&lt;&gt;"Medium")*(Cards!$F$4:$F$1000&lt;&gt;"Low"))=0),"Conditionally Passed","Failed"),IF($M147="Done","Passed","Not Run")))))</f>
        <v/>
      </c>
      <c r="Y147" s="27" t="str" cm="1">
        <f t="array" ref="Y147">IF($A147="","",IF(TRIM($B147)="","-",IFERROR(_xlfn.TEXTJOIN(" / ",TRUE,_xlfn.UNIQUE(_xlfn._xlws.FILTER('Ownership Matrix'!$C$5:$C$200,('Ownership Matrix'!$A$5:$A$200=TRIM($B147))*('Ownership Matrix'!$C$5:$C$200&lt;&gt;"")))),"ไม่พบใน Ownership Matrix")))</f>
        <v/>
      </c>
      <c r="Z147" s="31" t="str">
        <f>IF(NOT(AND($A147&lt;&gt;"",$M147&lt;&gt;"Out of Scope",$M147&lt;&gt;"Canceled",$T147&lt;&gt;"Fixed – Retest Passed",OR(LEN(TRIM($O147))&gt;0,LEN(TRIM($P147))&gt;0))),"",IF(OR($W147="Failed",$R147="Urgent",$R147="High",$R147="ระบุ Severity + Impact"),IF(COUNTIFS(Dashboard!$B$105:$B$124,$O147,Dashboard!$I$105:$I$124,"CAB")&gt;0,"Accepted (CF)","Blocking"),"Deferrable"))</f>
        <v/>
      </c>
    </row>
    <row r="148" spans="7:26" x14ac:dyDescent="0.3">
      <c r="G148" s="27" t="str" cm="1">
        <f t="array" ref="G148">IF($A148="","",IFERROR(_xlfn.TEXTJOIN(CHAR(10)&amp;CHAR(10),TRUE,_xlfn._xlws.FILTER("•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"&amp;Cards!$L$4:$L$1000),(Cards!$A$4:$A$1000&lt;&gt;"")*ISNUMBER(SEARCH($A148,Cards!$E$4:$E$1000)))),"-"))</f>
        <v/>
      </c>
      <c r="Q148" s="30"/>
      <c r="R148" s="27" t="str">
        <f>IF(OR($A148="",LEN(TRIM($O148))=0),"",IF(OR($P148="",$Q148=""),"ระบุ Severity + Impact",IFERROR(INDEX({"Urgent","Urgent","High","High";"Urgent","High","High","Medium";"High","High","Medium","Medium";"Medium","Medium","Low","Low"},MATCH($P148,{"Critical","High","Medium","Low"},0),MATCH($Q148,{"Extensive","Significant","Moderate","Minor"},0)),"-")))</f>
        <v/>
      </c>
      <c r="S148" s="30"/>
      <c r="T148" s="30"/>
      <c r="W148" s="32" t="str">
        <f>IF($A148="","",IF(OR($M148="Out of Scope",$M148="Canceled"),"Out of Scope",IF($M148="Blocked","Blocked",IF(AND($T148&lt;&gt;"Fixed – Retest Passed",OR(LEN(TRIM($O148))&gt;0,LEN(TRIM($P148))&gt;0)),IF(AND(OR($L148="Medium",$L148="Low"),SUMPRODUCT((Cards!$A$4:$A$1000&lt;&gt;"")*ISNUMBER(SEARCH($A148,Cards!$E$4:$E$1000))*(Cards!$F$4:$F$1000&lt;&gt;"Medium")*(Cards!$F$4:$F$1000&lt;&gt;"Low"))=0),"Conditionally Passed","Failed"),IF($M148="Done","Passed","Not Run")))))</f>
        <v/>
      </c>
      <c r="Y148" s="27" t="str" cm="1">
        <f t="array" ref="Y148">IF($A148="","",IF(TRIM($B148)="","-",IFERROR(_xlfn.TEXTJOIN(" / ",TRUE,_xlfn.UNIQUE(_xlfn._xlws.FILTER('Ownership Matrix'!$C$5:$C$200,('Ownership Matrix'!$A$5:$A$200=TRIM($B148))*('Ownership Matrix'!$C$5:$C$200&lt;&gt;"")))),"ไม่พบใน Ownership Matrix")))</f>
        <v/>
      </c>
      <c r="Z148" s="31" t="str">
        <f>IF(NOT(AND($A148&lt;&gt;"",$M148&lt;&gt;"Out of Scope",$M148&lt;&gt;"Canceled",$T148&lt;&gt;"Fixed – Retest Passed",OR(LEN(TRIM($O148))&gt;0,LEN(TRIM($P148))&gt;0))),"",IF(OR($W148="Failed",$R148="Urgent",$R148="High",$R148="ระบุ Severity + Impact"),IF(COUNTIFS(Dashboard!$B$105:$B$124,$O148,Dashboard!$I$105:$I$124,"CAB")&gt;0,"Accepted (CF)","Blocking"),"Deferrable"))</f>
        <v/>
      </c>
    </row>
    <row r="149" spans="7:26" x14ac:dyDescent="0.3">
      <c r="G149" s="27" t="str" cm="1">
        <f t="array" ref="G149">IF($A149="","",IFERROR(_xlfn.TEXTJOIN(CHAR(10)&amp;CHAR(10),TRUE,_xlfn._xlws.FILTER("•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"&amp;Cards!$L$4:$L$1000),(Cards!$A$4:$A$1000&lt;&gt;"")*ISNUMBER(SEARCH($A149,Cards!$E$4:$E$1000)))),"-"))</f>
        <v/>
      </c>
      <c r="Q149" s="30"/>
      <c r="R149" s="27" t="str">
        <f>IF(OR($A149="",LEN(TRIM($O149))=0),"",IF(OR($P149="",$Q149=""),"ระบุ Severity + Impact",IFERROR(INDEX({"Urgent","Urgent","High","High";"Urgent","High","High","Medium";"High","High","Medium","Medium";"Medium","Medium","Low","Low"},MATCH($P149,{"Critical","High","Medium","Low"},0),MATCH($Q149,{"Extensive","Significant","Moderate","Minor"},0)),"-")))</f>
        <v/>
      </c>
      <c r="S149" s="30"/>
      <c r="T149" s="30"/>
      <c r="W149" s="32" t="str">
        <f>IF($A149="","",IF(OR($M149="Out of Scope",$M149="Canceled"),"Out of Scope",IF($M149="Blocked","Blocked",IF(AND($T149&lt;&gt;"Fixed – Retest Passed",OR(LEN(TRIM($O149))&gt;0,LEN(TRIM($P149))&gt;0)),IF(AND(OR($L149="Medium",$L149="Low"),SUMPRODUCT((Cards!$A$4:$A$1000&lt;&gt;"")*ISNUMBER(SEARCH($A149,Cards!$E$4:$E$1000))*(Cards!$F$4:$F$1000&lt;&gt;"Medium")*(Cards!$F$4:$F$1000&lt;&gt;"Low"))=0),"Conditionally Passed","Failed"),IF($M149="Done","Passed","Not Run")))))</f>
        <v/>
      </c>
      <c r="Y149" s="27" t="str" cm="1">
        <f t="array" ref="Y149">IF($A149="","",IF(TRIM($B149)="","-",IFERROR(_xlfn.TEXTJOIN(" / ",TRUE,_xlfn.UNIQUE(_xlfn._xlws.FILTER('Ownership Matrix'!$C$5:$C$200,('Ownership Matrix'!$A$5:$A$200=TRIM($B149))*('Ownership Matrix'!$C$5:$C$200&lt;&gt;"")))),"ไม่พบใน Ownership Matrix")))</f>
        <v/>
      </c>
      <c r="Z149" s="31" t="str">
        <f>IF(NOT(AND($A149&lt;&gt;"",$M149&lt;&gt;"Out of Scope",$M149&lt;&gt;"Canceled",$T149&lt;&gt;"Fixed – Retest Passed",OR(LEN(TRIM($O149))&gt;0,LEN(TRIM($P149))&gt;0))),"",IF(OR($W149="Failed",$R149="Urgent",$R149="High",$R149="ระบุ Severity + Impact"),IF(COUNTIFS(Dashboard!$B$105:$B$124,$O149,Dashboard!$I$105:$I$124,"CAB")&gt;0,"Accepted (CF)","Blocking"),"Deferrable"))</f>
        <v/>
      </c>
    </row>
    <row r="150" spans="7:26" x14ac:dyDescent="0.3">
      <c r="G150" s="27" t="str" cm="1">
        <f t="array" ref="G150">IF($A150="","",IFERROR(_xlfn.TEXTJOIN(CHAR(10)&amp;CHAR(10),TRUE,_xlfn._xlws.FILTER("•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"&amp;Cards!$L$4:$L$1000),(Cards!$A$4:$A$1000&lt;&gt;"")*ISNUMBER(SEARCH($A150,Cards!$E$4:$E$1000)))),"-"))</f>
        <v/>
      </c>
      <c r="Q150" s="30"/>
      <c r="R150" s="27" t="str">
        <f>IF(OR($A150="",LEN(TRIM($O150))=0),"",IF(OR($P150="",$Q150=""),"ระบุ Severity + Impact",IFERROR(INDEX({"Urgent","Urgent","High","High";"Urgent","High","High","Medium";"High","High","Medium","Medium";"Medium","Medium","Low","Low"},MATCH($P150,{"Critical","High","Medium","Low"},0),MATCH($Q150,{"Extensive","Significant","Moderate","Minor"},0)),"-")))</f>
        <v/>
      </c>
      <c r="S150" s="30"/>
      <c r="T150" s="30"/>
      <c r="W150" s="32" t="str">
        <f>IF($A150="","",IF(OR($M150="Out of Scope",$M150="Canceled"),"Out of Scope",IF($M150="Blocked","Blocked",IF(AND($T150&lt;&gt;"Fixed – Retest Passed",OR(LEN(TRIM($O150))&gt;0,LEN(TRIM($P150))&gt;0)),IF(AND(OR($L150="Medium",$L150="Low"),SUMPRODUCT((Cards!$A$4:$A$1000&lt;&gt;"")*ISNUMBER(SEARCH($A150,Cards!$E$4:$E$1000))*(Cards!$F$4:$F$1000&lt;&gt;"Medium")*(Cards!$F$4:$F$1000&lt;&gt;"Low"))=0),"Conditionally Passed","Failed"),IF($M150="Done","Passed","Not Run")))))</f>
        <v/>
      </c>
      <c r="Y150" s="27" t="str" cm="1">
        <f t="array" ref="Y150">IF($A150="","",IF(TRIM($B150)="","-",IFERROR(_xlfn.TEXTJOIN(" / ",TRUE,_xlfn.UNIQUE(_xlfn._xlws.FILTER('Ownership Matrix'!$C$5:$C$200,('Ownership Matrix'!$A$5:$A$200=TRIM($B150))*('Ownership Matrix'!$C$5:$C$200&lt;&gt;"")))),"ไม่พบใน Ownership Matrix")))</f>
        <v/>
      </c>
      <c r="Z150" s="31" t="str">
        <f>IF(NOT(AND($A150&lt;&gt;"",$M150&lt;&gt;"Out of Scope",$M150&lt;&gt;"Canceled",$T150&lt;&gt;"Fixed – Retest Passed",OR(LEN(TRIM($O150))&gt;0,LEN(TRIM($P150))&gt;0))),"",IF(OR($W150="Failed",$R150="Urgent",$R150="High",$R150="ระบุ Severity + Impact"),IF(COUNTIFS(Dashboard!$B$105:$B$124,$O150,Dashboard!$I$105:$I$124,"CAB")&gt;0,"Accepted (CF)","Blocking"),"Deferrable"))</f>
        <v/>
      </c>
    </row>
    <row r="151" spans="7:26" x14ac:dyDescent="0.3">
      <c r="G151" s="27" t="str" cm="1">
        <f t="array" ref="G151">IF($A151="","",IFERROR(_xlfn.TEXTJOIN(CHAR(10)&amp;CHAR(10),TRUE,_xlfn._xlws.FILTER("•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"&amp;Cards!$L$4:$L$1000),(Cards!$A$4:$A$1000&lt;&gt;"")*ISNUMBER(SEARCH($A151,Cards!$E$4:$E$1000)))),"-"))</f>
        <v/>
      </c>
      <c r="Q151" s="30"/>
      <c r="R151" s="27" t="str">
        <f>IF(OR($A151="",LEN(TRIM($O151))=0),"",IF(OR($P151="",$Q151=""),"ระบุ Severity + Impact",IFERROR(INDEX({"Urgent","Urgent","High","High";"Urgent","High","High","Medium";"High","High","Medium","Medium";"Medium","Medium","Low","Low"},MATCH($P151,{"Critical","High","Medium","Low"},0),MATCH($Q151,{"Extensive","Significant","Moderate","Minor"},0)),"-")))</f>
        <v/>
      </c>
      <c r="S151" s="30"/>
      <c r="T151" s="30"/>
      <c r="W151" s="32" t="str">
        <f>IF($A151="","",IF(OR($M151="Out of Scope",$M151="Canceled"),"Out of Scope",IF($M151="Blocked","Blocked",IF(AND($T151&lt;&gt;"Fixed – Retest Passed",OR(LEN(TRIM($O151))&gt;0,LEN(TRIM($P151))&gt;0)),IF(AND(OR($L151="Medium",$L151="Low"),SUMPRODUCT((Cards!$A$4:$A$1000&lt;&gt;"")*ISNUMBER(SEARCH($A151,Cards!$E$4:$E$1000))*(Cards!$F$4:$F$1000&lt;&gt;"Medium")*(Cards!$F$4:$F$1000&lt;&gt;"Low"))=0),"Conditionally Passed","Failed"),IF($M151="Done","Passed","Not Run")))))</f>
        <v/>
      </c>
      <c r="Y151" s="27" t="str" cm="1">
        <f t="array" ref="Y151">IF($A151="","",IF(TRIM($B151)="","-",IFERROR(_xlfn.TEXTJOIN(" / ",TRUE,_xlfn.UNIQUE(_xlfn._xlws.FILTER('Ownership Matrix'!$C$5:$C$200,('Ownership Matrix'!$A$5:$A$200=TRIM($B151))*('Ownership Matrix'!$C$5:$C$200&lt;&gt;"")))),"ไม่พบใน Ownership Matrix")))</f>
        <v/>
      </c>
      <c r="Z151" s="31" t="str">
        <f>IF(NOT(AND($A151&lt;&gt;"",$M151&lt;&gt;"Out of Scope",$M151&lt;&gt;"Canceled",$T151&lt;&gt;"Fixed – Retest Passed",OR(LEN(TRIM($O151))&gt;0,LEN(TRIM($P151))&gt;0))),"",IF(OR($W151="Failed",$R151="Urgent",$R151="High",$R151="ระบุ Severity + Impact"),IF(COUNTIFS(Dashboard!$B$105:$B$124,$O151,Dashboard!$I$105:$I$124,"CAB")&gt;0,"Accepted (CF)","Blocking"),"Deferrable"))</f>
        <v/>
      </c>
    </row>
    <row r="152" spans="7:26" x14ac:dyDescent="0.3">
      <c r="G152" s="27" t="str" cm="1">
        <f t="array" ref="G152">IF($A152="","",IFERROR(_xlfn.TEXTJOIN(CHAR(10)&amp;CHAR(10),TRUE,_xlfn._xlws.FILTER("•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"&amp;Cards!$L$4:$L$1000),(Cards!$A$4:$A$1000&lt;&gt;"")*ISNUMBER(SEARCH($A152,Cards!$E$4:$E$1000)))),"-"))</f>
        <v/>
      </c>
      <c r="Q152" s="30"/>
      <c r="R152" s="27" t="str">
        <f>IF(OR($A152="",LEN(TRIM($O152))=0),"",IF(OR($P152="",$Q152=""),"ระบุ Severity + Impact",IFERROR(INDEX({"Urgent","Urgent","High","High";"Urgent","High","High","Medium";"High","High","Medium","Medium";"Medium","Medium","Low","Low"},MATCH($P152,{"Critical","High","Medium","Low"},0),MATCH($Q152,{"Extensive","Significant","Moderate","Minor"},0)),"-")))</f>
        <v/>
      </c>
      <c r="S152" s="30"/>
      <c r="T152" s="30"/>
      <c r="W152" s="32" t="str">
        <f>IF($A152="","",IF(OR($M152="Out of Scope",$M152="Canceled"),"Out of Scope",IF($M152="Blocked","Blocked",IF(AND($T152&lt;&gt;"Fixed – Retest Passed",OR(LEN(TRIM($O152))&gt;0,LEN(TRIM($P152))&gt;0)),IF(AND(OR($L152="Medium",$L152="Low"),SUMPRODUCT((Cards!$A$4:$A$1000&lt;&gt;"")*ISNUMBER(SEARCH($A152,Cards!$E$4:$E$1000))*(Cards!$F$4:$F$1000&lt;&gt;"Medium")*(Cards!$F$4:$F$1000&lt;&gt;"Low"))=0),"Conditionally Passed","Failed"),IF($M152="Done","Passed","Not Run")))))</f>
        <v/>
      </c>
      <c r="Y152" s="27" t="str" cm="1">
        <f t="array" ref="Y152">IF($A152="","",IF(TRIM($B152)="","-",IFERROR(_xlfn.TEXTJOIN(" / ",TRUE,_xlfn.UNIQUE(_xlfn._xlws.FILTER('Ownership Matrix'!$C$5:$C$200,('Ownership Matrix'!$A$5:$A$200=TRIM($B152))*('Ownership Matrix'!$C$5:$C$200&lt;&gt;"")))),"ไม่พบใน Ownership Matrix")))</f>
        <v/>
      </c>
      <c r="Z152" s="31" t="str">
        <f>IF(NOT(AND($A152&lt;&gt;"",$M152&lt;&gt;"Out of Scope",$M152&lt;&gt;"Canceled",$T152&lt;&gt;"Fixed – Retest Passed",OR(LEN(TRIM($O152))&gt;0,LEN(TRIM($P152))&gt;0))),"",IF(OR($W152="Failed",$R152="Urgent",$R152="High",$R152="ระบุ Severity + Impact"),IF(COUNTIFS(Dashboard!$B$105:$B$124,$O152,Dashboard!$I$105:$I$124,"CAB")&gt;0,"Accepted (CF)","Blocking"),"Deferrable"))</f>
        <v/>
      </c>
    </row>
    <row r="153" spans="7:26" x14ac:dyDescent="0.3">
      <c r="G153" s="27" t="str" cm="1">
        <f t="array" ref="G153">IF($A153="","",IFERROR(_xlfn.TEXTJOIN(CHAR(10)&amp;CHAR(10),TRUE,_xlfn._xlws.FILTER("•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"&amp;Cards!$L$4:$L$1000),(Cards!$A$4:$A$1000&lt;&gt;"")*ISNUMBER(SEARCH($A153,Cards!$E$4:$E$1000)))),"-"))</f>
        <v/>
      </c>
      <c r="Q153" s="30"/>
      <c r="R153" s="27" t="str">
        <f>IF(OR($A153="",LEN(TRIM($O153))=0),"",IF(OR($P153="",$Q153=""),"ระบุ Severity + Impact",IFERROR(INDEX({"Urgent","Urgent","High","High";"Urgent","High","High","Medium";"High","High","Medium","Medium";"Medium","Medium","Low","Low"},MATCH($P153,{"Critical","High","Medium","Low"},0),MATCH($Q153,{"Extensive","Significant","Moderate","Minor"},0)),"-")))</f>
        <v/>
      </c>
      <c r="S153" s="30"/>
      <c r="T153" s="30"/>
      <c r="W153" s="32" t="str">
        <f>IF($A153="","",IF(OR($M153="Out of Scope",$M153="Canceled"),"Out of Scope",IF($M153="Blocked","Blocked",IF(AND($T153&lt;&gt;"Fixed – Retest Passed",OR(LEN(TRIM($O153))&gt;0,LEN(TRIM($P153))&gt;0)),IF(AND(OR($L153="Medium",$L153="Low"),SUMPRODUCT((Cards!$A$4:$A$1000&lt;&gt;"")*ISNUMBER(SEARCH($A153,Cards!$E$4:$E$1000))*(Cards!$F$4:$F$1000&lt;&gt;"Medium")*(Cards!$F$4:$F$1000&lt;&gt;"Low"))=0),"Conditionally Passed","Failed"),IF($M153="Done","Passed","Not Run")))))</f>
        <v/>
      </c>
      <c r="Y153" s="27" t="str" cm="1">
        <f t="array" ref="Y153">IF($A153="","",IF(TRIM($B153)="","-",IFERROR(_xlfn.TEXTJOIN(" / ",TRUE,_xlfn.UNIQUE(_xlfn._xlws.FILTER('Ownership Matrix'!$C$5:$C$200,('Ownership Matrix'!$A$5:$A$200=TRIM($B153))*('Ownership Matrix'!$C$5:$C$200&lt;&gt;"")))),"ไม่พบใน Ownership Matrix")))</f>
        <v/>
      </c>
      <c r="Z153" s="31" t="str">
        <f>IF(NOT(AND($A153&lt;&gt;"",$M153&lt;&gt;"Out of Scope",$M153&lt;&gt;"Canceled",$T153&lt;&gt;"Fixed – Retest Passed",OR(LEN(TRIM($O153))&gt;0,LEN(TRIM($P153))&gt;0))),"",IF(OR($W153="Failed",$R153="Urgent",$R153="High",$R153="ระบุ Severity + Impact"),IF(COUNTIFS(Dashboard!$B$105:$B$124,$O153,Dashboard!$I$105:$I$124,"CAB")&gt;0,"Accepted (CF)","Blocking"),"Deferrable"))</f>
        <v/>
      </c>
    </row>
    <row r="154" spans="7:26" x14ac:dyDescent="0.3">
      <c r="G154" s="27" t="str" cm="1">
        <f t="array" ref="G154">IF($A154="","",IFERROR(_xlfn.TEXTJOIN(CHAR(10)&amp;CHAR(10),TRUE,_xlfn._xlws.FILTER("•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"&amp;Cards!$L$4:$L$1000),(Cards!$A$4:$A$1000&lt;&gt;"")*ISNUMBER(SEARCH($A154,Cards!$E$4:$E$1000)))),"-"))</f>
        <v/>
      </c>
      <c r="Q154" s="30"/>
      <c r="R154" s="27" t="str">
        <f>IF(OR($A154="",LEN(TRIM($O154))=0),"",IF(OR($P154="",$Q154=""),"ระบุ Severity + Impact",IFERROR(INDEX({"Urgent","Urgent","High","High";"Urgent","High","High","Medium";"High","High","Medium","Medium";"Medium","Medium","Low","Low"},MATCH($P154,{"Critical","High","Medium","Low"},0),MATCH($Q154,{"Extensive","Significant","Moderate","Minor"},0)),"-")))</f>
        <v/>
      </c>
      <c r="S154" s="30"/>
      <c r="T154" s="30"/>
      <c r="W154" s="32" t="str">
        <f>IF($A154="","",IF(OR($M154="Out of Scope",$M154="Canceled"),"Out of Scope",IF($M154="Blocked","Blocked",IF(AND($T154&lt;&gt;"Fixed – Retest Passed",OR(LEN(TRIM($O154))&gt;0,LEN(TRIM($P154))&gt;0)),IF(AND(OR($L154="Medium",$L154="Low"),SUMPRODUCT((Cards!$A$4:$A$1000&lt;&gt;"")*ISNUMBER(SEARCH($A154,Cards!$E$4:$E$1000))*(Cards!$F$4:$F$1000&lt;&gt;"Medium")*(Cards!$F$4:$F$1000&lt;&gt;"Low"))=0),"Conditionally Passed","Failed"),IF($M154="Done","Passed","Not Run")))))</f>
        <v/>
      </c>
      <c r="Y154" s="27" t="str" cm="1">
        <f t="array" ref="Y154">IF($A154="","",IF(TRIM($B154)="","-",IFERROR(_xlfn.TEXTJOIN(" / ",TRUE,_xlfn.UNIQUE(_xlfn._xlws.FILTER('Ownership Matrix'!$C$5:$C$200,('Ownership Matrix'!$A$5:$A$200=TRIM($B154))*('Ownership Matrix'!$C$5:$C$200&lt;&gt;"")))),"ไม่พบใน Ownership Matrix")))</f>
        <v/>
      </c>
      <c r="Z154" s="31" t="str">
        <f>IF(NOT(AND($A154&lt;&gt;"",$M154&lt;&gt;"Out of Scope",$M154&lt;&gt;"Canceled",$T154&lt;&gt;"Fixed – Retest Passed",OR(LEN(TRIM($O154))&gt;0,LEN(TRIM($P154))&gt;0))),"",IF(OR($W154="Failed",$R154="Urgent",$R154="High",$R154="ระบุ Severity + Impact"),IF(COUNTIFS(Dashboard!$B$105:$B$124,$O154,Dashboard!$I$105:$I$124,"CAB")&gt;0,"Accepted (CF)","Blocking"),"Deferrable"))</f>
        <v/>
      </c>
    </row>
    <row r="155" spans="7:26" x14ac:dyDescent="0.3">
      <c r="G155" s="27" t="str" cm="1">
        <f t="array" ref="G155">IF($A155="","",IFERROR(_xlfn.TEXTJOIN(CHAR(10)&amp;CHAR(10),TRUE,_xlfn._xlws.FILTER("•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"&amp;Cards!$L$4:$L$1000),(Cards!$A$4:$A$1000&lt;&gt;"")*ISNUMBER(SEARCH($A155,Cards!$E$4:$E$1000)))),"-"))</f>
        <v/>
      </c>
      <c r="Q155" s="30"/>
      <c r="R155" s="27" t="str">
        <f>IF(OR($A155="",LEN(TRIM($O155))=0),"",IF(OR($P155="",$Q155=""),"ระบุ Severity + Impact",IFERROR(INDEX({"Urgent","Urgent","High","High";"Urgent","High","High","Medium";"High","High","Medium","Medium";"Medium","Medium","Low","Low"},MATCH($P155,{"Critical","High","Medium","Low"},0),MATCH($Q155,{"Extensive","Significant","Moderate","Minor"},0)),"-")))</f>
        <v/>
      </c>
      <c r="S155" s="30"/>
      <c r="T155" s="30"/>
      <c r="W155" s="32" t="str">
        <f>IF($A155="","",IF(OR($M155="Out of Scope",$M155="Canceled"),"Out of Scope",IF($M155="Blocked","Blocked",IF(AND($T155&lt;&gt;"Fixed – Retest Passed",OR(LEN(TRIM($O155))&gt;0,LEN(TRIM($P155))&gt;0)),IF(AND(OR($L155="Medium",$L155="Low"),SUMPRODUCT((Cards!$A$4:$A$1000&lt;&gt;"")*ISNUMBER(SEARCH($A155,Cards!$E$4:$E$1000))*(Cards!$F$4:$F$1000&lt;&gt;"Medium")*(Cards!$F$4:$F$1000&lt;&gt;"Low"))=0),"Conditionally Passed","Failed"),IF($M155="Done","Passed","Not Run")))))</f>
        <v/>
      </c>
      <c r="Y155" s="27" t="str" cm="1">
        <f t="array" ref="Y155">IF($A155="","",IF(TRIM($B155)="","-",IFERROR(_xlfn.TEXTJOIN(" / ",TRUE,_xlfn.UNIQUE(_xlfn._xlws.FILTER('Ownership Matrix'!$C$5:$C$200,('Ownership Matrix'!$A$5:$A$200=TRIM($B155))*('Ownership Matrix'!$C$5:$C$200&lt;&gt;"")))),"ไม่พบใน Ownership Matrix")))</f>
        <v/>
      </c>
      <c r="Z155" s="31" t="str">
        <f>IF(NOT(AND($A155&lt;&gt;"",$M155&lt;&gt;"Out of Scope",$M155&lt;&gt;"Canceled",$T155&lt;&gt;"Fixed – Retest Passed",OR(LEN(TRIM($O155))&gt;0,LEN(TRIM($P155))&gt;0))),"",IF(OR($W155="Failed",$R155="Urgent",$R155="High",$R155="ระบุ Severity + Impact"),IF(COUNTIFS(Dashboard!$B$105:$B$124,$O155,Dashboard!$I$105:$I$124,"CAB")&gt;0,"Accepted (CF)","Blocking"),"Deferrable"))</f>
        <v/>
      </c>
    </row>
    <row r="156" spans="7:26" x14ac:dyDescent="0.3">
      <c r="G156" s="27" t="str" cm="1">
        <f t="array" ref="G156">IF($A156="","",IFERROR(_xlfn.TEXTJOIN(CHAR(10)&amp;CHAR(10),TRUE,_xlfn._xlws.FILTER("•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"&amp;Cards!$L$4:$L$1000),(Cards!$A$4:$A$1000&lt;&gt;"")*ISNUMBER(SEARCH($A156,Cards!$E$4:$E$1000)))),"-"))</f>
        <v/>
      </c>
      <c r="Q156" s="30"/>
      <c r="R156" s="27" t="str">
        <f>IF(OR($A156="",LEN(TRIM($O156))=0),"",IF(OR($P156="",$Q156=""),"ระบุ Severity + Impact",IFERROR(INDEX({"Urgent","Urgent","High","High";"Urgent","High","High","Medium";"High","High","Medium","Medium";"Medium","Medium","Low","Low"},MATCH($P156,{"Critical","High","Medium","Low"},0),MATCH($Q156,{"Extensive","Significant","Moderate","Minor"},0)),"-")))</f>
        <v/>
      </c>
      <c r="S156" s="30"/>
      <c r="T156" s="30"/>
      <c r="W156" s="32" t="str">
        <f>IF($A156="","",IF(OR($M156="Out of Scope",$M156="Canceled"),"Out of Scope",IF($M156="Blocked","Blocked",IF(AND($T156&lt;&gt;"Fixed – Retest Passed",OR(LEN(TRIM($O156))&gt;0,LEN(TRIM($P156))&gt;0)),IF(AND(OR($L156="Medium",$L156="Low"),SUMPRODUCT((Cards!$A$4:$A$1000&lt;&gt;"")*ISNUMBER(SEARCH($A156,Cards!$E$4:$E$1000))*(Cards!$F$4:$F$1000&lt;&gt;"Medium")*(Cards!$F$4:$F$1000&lt;&gt;"Low"))=0),"Conditionally Passed","Failed"),IF($M156="Done","Passed","Not Run")))))</f>
        <v/>
      </c>
      <c r="Y156" s="27" t="str" cm="1">
        <f t="array" ref="Y156">IF($A156="","",IF(TRIM($B156)="","-",IFERROR(_xlfn.TEXTJOIN(" / ",TRUE,_xlfn.UNIQUE(_xlfn._xlws.FILTER('Ownership Matrix'!$C$5:$C$200,('Ownership Matrix'!$A$5:$A$200=TRIM($B156))*('Ownership Matrix'!$C$5:$C$200&lt;&gt;"")))),"ไม่พบใน Ownership Matrix")))</f>
        <v/>
      </c>
      <c r="Z156" s="31" t="str">
        <f>IF(NOT(AND($A156&lt;&gt;"",$M156&lt;&gt;"Out of Scope",$M156&lt;&gt;"Canceled",$T156&lt;&gt;"Fixed – Retest Passed",OR(LEN(TRIM($O156))&gt;0,LEN(TRIM($P156))&gt;0))),"",IF(OR($W156="Failed",$R156="Urgent",$R156="High",$R156="ระบุ Severity + Impact"),IF(COUNTIFS(Dashboard!$B$105:$B$124,$O156,Dashboard!$I$105:$I$124,"CAB")&gt;0,"Accepted (CF)","Blocking"),"Deferrable"))</f>
        <v/>
      </c>
    </row>
    <row r="157" spans="7:26" x14ac:dyDescent="0.3">
      <c r="G157" s="27" t="str" cm="1">
        <f t="array" ref="G157">IF($A157="","",IFERROR(_xlfn.TEXTJOIN(CHAR(10)&amp;CHAR(10),TRUE,_xlfn._xlws.FILTER("•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"&amp;Cards!$L$4:$L$1000),(Cards!$A$4:$A$1000&lt;&gt;"")*ISNUMBER(SEARCH($A157,Cards!$E$4:$E$1000)))),"-"))</f>
        <v/>
      </c>
      <c r="Q157" s="30"/>
      <c r="R157" s="27" t="str">
        <f>IF(OR($A157="",LEN(TRIM($O157))=0),"",IF(OR($P157="",$Q157=""),"ระบุ Severity + Impact",IFERROR(INDEX({"Urgent","Urgent","High","High";"Urgent","High","High","Medium";"High","High","Medium","Medium";"Medium","Medium","Low","Low"},MATCH($P157,{"Critical","High","Medium","Low"},0),MATCH($Q157,{"Extensive","Significant","Moderate","Minor"},0)),"-")))</f>
        <v/>
      </c>
      <c r="S157" s="30"/>
      <c r="T157" s="30"/>
      <c r="W157" s="32" t="str">
        <f>IF($A157="","",IF(OR($M157="Out of Scope",$M157="Canceled"),"Out of Scope",IF($M157="Blocked","Blocked",IF(AND($T157&lt;&gt;"Fixed – Retest Passed",OR(LEN(TRIM($O157))&gt;0,LEN(TRIM($P157))&gt;0)),IF(AND(OR($L157="Medium",$L157="Low"),SUMPRODUCT((Cards!$A$4:$A$1000&lt;&gt;"")*ISNUMBER(SEARCH($A157,Cards!$E$4:$E$1000))*(Cards!$F$4:$F$1000&lt;&gt;"Medium")*(Cards!$F$4:$F$1000&lt;&gt;"Low"))=0),"Conditionally Passed","Failed"),IF($M157="Done","Passed","Not Run")))))</f>
        <v/>
      </c>
      <c r="Y157" s="27" t="str" cm="1">
        <f t="array" ref="Y157">IF($A157="","",IF(TRIM($B157)="","-",IFERROR(_xlfn.TEXTJOIN(" / ",TRUE,_xlfn.UNIQUE(_xlfn._xlws.FILTER('Ownership Matrix'!$C$5:$C$200,('Ownership Matrix'!$A$5:$A$200=TRIM($B157))*('Ownership Matrix'!$C$5:$C$200&lt;&gt;"")))),"ไม่พบใน Ownership Matrix")))</f>
        <v/>
      </c>
      <c r="Z157" s="31" t="str">
        <f>IF(NOT(AND($A157&lt;&gt;"",$M157&lt;&gt;"Out of Scope",$M157&lt;&gt;"Canceled",$T157&lt;&gt;"Fixed – Retest Passed",OR(LEN(TRIM($O157))&gt;0,LEN(TRIM($P157))&gt;0))),"",IF(OR($W157="Failed",$R157="Urgent",$R157="High",$R157="ระบุ Severity + Impact"),IF(COUNTIFS(Dashboard!$B$105:$B$124,$O157,Dashboard!$I$105:$I$124,"CAB")&gt;0,"Accepted (CF)","Blocking"),"Deferrable"))</f>
        <v/>
      </c>
    </row>
    <row r="158" spans="7:26" x14ac:dyDescent="0.3">
      <c r="G158" s="27" t="str" cm="1">
        <f t="array" ref="G158">IF($A158="","",IFERROR(_xlfn.TEXTJOIN(CHAR(10)&amp;CHAR(10),TRUE,_xlfn._xlws.FILTER("•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"&amp;Cards!$L$4:$L$1000),(Cards!$A$4:$A$1000&lt;&gt;"")*ISNUMBER(SEARCH($A158,Cards!$E$4:$E$1000)))),"-"))</f>
        <v/>
      </c>
      <c r="Q158" s="30"/>
      <c r="R158" s="27" t="str">
        <f>IF(OR($A158="",LEN(TRIM($O158))=0),"",IF(OR($P158="",$Q158=""),"ระบุ Severity + Impact",IFERROR(INDEX({"Urgent","Urgent","High","High";"Urgent","High","High","Medium";"High","High","Medium","Medium";"Medium","Medium","Low","Low"},MATCH($P158,{"Critical","High","Medium","Low"},0),MATCH($Q158,{"Extensive","Significant","Moderate","Minor"},0)),"-")))</f>
        <v/>
      </c>
      <c r="S158" s="30"/>
      <c r="T158" s="30"/>
      <c r="W158" s="32" t="str">
        <f>IF($A158="","",IF(OR($M158="Out of Scope",$M158="Canceled"),"Out of Scope",IF($M158="Blocked","Blocked",IF(AND($T158&lt;&gt;"Fixed – Retest Passed",OR(LEN(TRIM($O158))&gt;0,LEN(TRIM($P158))&gt;0)),IF(AND(OR($L158="Medium",$L158="Low"),SUMPRODUCT((Cards!$A$4:$A$1000&lt;&gt;"")*ISNUMBER(SEARCH($A158,Cards!$E$4:$E$1000))*(Cards!$F$4:$F$1000&lt;&gt;"Medium")*(Cards!$F$4:$F$1000&lt;&gt;"Low"))=0),"Conditionally Passed","Failed"),IF($M158="Done","Passed","Not Run")))))</f>
        <v/>
      </c>
      <c r="Y158" s="27" t="str" cm="1">
        <f t="array" ref="Y158">IF($A158="","",IF(TRIM($B158)="","-",IFERROR(_xlfn.TEXTJOIN(" / ",TRUE,_xlfn.UNIQUE(_xlfn._xlws.FILTER('Ownership Matrix'!$C$5:$C$200,('Ownership Matrix'!$A$5:$A$200=TRIM($B158))*('Ownership Matrix'!$C$5:$C$200&lt;&gt;"")))),"ไม่พบใน Ownership Matrix")))</f>
        <v/>
      </c>
      <c r="Z158" s="31" t="str">
        <f>IF(NOT(AND($A158&lt;&gt;"",$M158&lt;&gt;"Out of Scope",$M158&lt;&gt;"Canceled",$T158&lt;&gt;"Fixed – Retest Passed",OR(LEN(TRIM($O158))&gt;0,LEN(TRIM($P158))&gt;0))),"",IF(OR($W158="Failed",$R158="Urgent",$R158="High",$R158="ระบุ Severity + Impact"),IF(COUNTIFS(Dashboard!$B$105:$B$124,$O158,Dashboard!$I$105:$I$124,"CAB")&gt;0,"Accepted (CF)","Blocking"),"Deferrable"))</f>
        <v/>
      </c>
    </row>
    <row r="159" spans="7:26" x14ac:dyDescent="0.3">
      <c r="G159" s="27" t="str" cm="1">
        <f t="array" ref="G159">IF($A159="","",IFERROR(_xlfn.TEXTJOIN(CHAR(10)&amp;CHAR(10),TRUE,_xlfn._xlws.FILTER("•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"&amp;Cards!$L$4:$L$1000),(Cards!$A$4:$A$1000&lt;&gt;"")*ISNUMBER(SEARCH($A159,Cards!$E$4:$E$1000)))),"-"))</f>
        <v/>
      </c>
      <c r="Q159" s="30"/>
      <c r="R159" s="27" t="str">
        <f>IF(OR($A159="",LEN(TRIM($O159))=0),"",IF(OR($P159="",$Q159=""),"ระบุ Severity + Impact",IFERROR(INDEX({"Urgent","Urgent","High","High";"Urgent","High","High","Medium";"High","High","Medium","Medium";"Medium","Medium","Low","Low"},MATCH($P159,{"Critical","High","Medium","Low"},0),MATCH($Q159,{"Extensive","Significant","Moderate","Minor"},0)),"-")))</f>
        <v/>
      </c>
      <c r="S159" s="30"/>
      <c r="T159" s="30"/>
      <c r="W159" s="32" t="str">
        <f>IF($A159="","",IF(OR($M159="Out of Scope",$M159="Canceled"),"Out of Scope",IF($M159="Blocked","Blocked",IF(AND($T159&lt;&gt;"Fixed – Retest Passed",OR(LEN(TRIM($O159))&gt;0,LEN(TRIM($P159))&gt;0)),IF(AND(OR($L159="Medium",$L159="Low"),SUMPRODUCT((Cards!$A$4:$A$1000&lt;&gt;"")*ISNUMBER(SEARCH($A159,Cards!$E$4:$E$1000))*(Cards!$F$4:$F$1000&lt;&gt;"Medium")*(Cards!$F$4:$F$1000&lt;&gt;"Low"))=0),"Conditionally Passed","Failed"),IF($M159="Done","Passed","Not Run")))))</f>
        <v/>
      </c>
      <c r="Y159" s="27" t="str" cm="1">
        <f t="array" ref="Y159">IF($A159="","",IF(TRIM($B159)="","-",IFERROR(_xlfn.TEXTJOIN(" / ",TRUE,_xlfn.UNIQUE(_xlfn._xlws.FILTER('Ownership Matrix'!$C$5:$C$200,('Ownership Matrix'!$A$5:$A$200=TRIM($B159))*('Ownership Matrix'!$C$5:$C$200&lt;&gt;"")))),"ไม่พบใน Ownership Matrix")))</f>
        <v/>
      </c>
      <c r="Z159" s="31" t="str">
        <f>IF(NOT(AND($A159&lt;&gt;"",$M159&lt;&gt;"Out of Scope",$M159&lt;&gt;"Canceled",$T159&lt;&gt;"Fixed – Retest Passed",OR(LEN(TRIM($O159))&gt;0,LEN(TRIM($P159))&gt;0))),"",IF(OR($W159="Failed",$R159="Urgent",$R159="High",$R159="ระบุ Severity + Impact"),IF(COUNTIFS(Dashboard!$B$105:$B$124,$O159,Dashboard!$I$105:$I$124,"CAB")&gt;0,"Accepted (CF)","Blocking"),"Deferrable"))</f>
        <v/>
      </c>
    </row>
    <row r="160" spans="7:26" x14ac:dyDescent="0.3">
      <c r="G160" s="27" t="str" cm="1">
        <f t="array" ref="G160">IF($A160="","",IFERROR(_xlfn.TEXTJOIN(CHAR(10)&amp;CHAR(10),TRUE,_xlfn._xlws.FILTER("•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"&amp;Cards!$L$4:$L$1000),(Cards!$A$4:$A$1000&lt;&gt;"")*ISNUMBER(SEARCH($A160,Cards!$E$4:$E$1000)))),"-"))</f>
        <v/>
      </c>
      <c r="Q160" s="30"/>
      <c r="R160" s="27" t="str">
        <f>IF(OR($A160="",LEN(TRIM($O160))=0),"",IF(OR($P160="",$Q160=""),"ระบุ Severity + Impact",IFERROR(INDEX({"Urgent","Urgent","High","High";"Urgent","High","High","Medium";"High","High","Medium","Medium";"Medium","Medium","Low","Low"},MATCH($P160,{"Critical","High","Medium","Low"},0),MATCH($Q160,{"Extensive","Significant","Moderate","Minor"},0)),"-")))</f>
        <v/>
      </c>
      <c r="S160" s="30"/>
      <c r="T160" s="30"/>
      <c r="W160" s="32" t="str">
        <f>IF($A160="","",IF(OR($M160="Out of Scope",$M160="Canceled"),"Out of Scope",IF($M160="Blocked","Blocked",IF(AND($T160&lt;&gt;"Fixed – Retest Passed",OR(LEN(TRIM($O160))&gt;0,LEN(TRIM($P160))&gt;0)),IF(AND(OR($L160="Medium",$L160="Low"),SUMPRODUCT((Cards!$A$4:$A$1000&lt;&gt;"")*ISNUMBER(SEARCH($A160,Cards!$E$4:$E$1000))*(Cards!$F$4:$F$1000&lt;&gt;"Medium")*(Cards!$F$4:$F$1000&lt;&gt;"Low"))=0),"Conditionally Passed","Failed"),IF($M160="Done","Passed","Not Run")))))</f>
        <v/>
      </c>
      <c r="Y160" s="27" t="str" cm="1">
        <f t="array" ref="Y160">IF($A160="","",IF(TRIM($B160)="","-",IFERROR(_xlfn.TEXTJOIN(" / ",TRUE,_xlfn.UNIQUE(_xlfn._xlws.FILTER('Ownership Matrix'!$C$5:$C$200,('Ownership Matrix'!$A$5:$A$200=TRIM($B160))*('Ownership Matrix'!$C$5:$C$200&lt;&gt;"")))),"ไม่พบใน Ownership Matrix")))</f>
        <v/>
      </c>
      <c r="Z160" s="31" t="str">
        <f>IF(NOT(AND($A160&lt;&gt;"",$M160&lt;&gt;"Out of Scope",$M160&lt;&gt;"Canceled",$T160&lt;&gt;"Fixed – Retest Passed",OR(LEN(TRIM($O160))&gt;0,LEN(TRIM($P160))&gt;0))),"",IF(OR($W160="Failed",$R160="Urgent",$R160="High",$R160="ระบุ Severity + Impact"),IF(COUNTIFS(Dashboard!$B$105:$B$124,$O160,Dashboard!$I$105:$I$124,"CAB")&gt;0,"Accepted (CF)","Blocking"),"Deferrable"))</f>
        <v/>
      </c>
    </row>
    <row r="161" spans="7:26" x14ac:dyDescent="0.3">
      <c r="G161" s="27" t="str" cm="1">
        <f t="array" ref="G161">IF($A161="","",IFERROR(_xlfn.TEXTJOIN(CHAR(10)&amp;CHAR(10),TRUE,_xlfn._xlws.FILTER("•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"&amp;Cards!$L$4:$L$1000),(Cards!$A$4:$A$1000&lt;&gt;"")*ISNUMBER(SEARCH($A161,Cards!$E$4:$E$1000)))),"-"))</f>
        <v/>
      </c>
      <c r="Q161" s="30"/>
      <c r="R161" s="27" t="str">
        <f>IF(OR($A161="",LEN(TRIM($O161))=0),"",IF(OR($P161="",$Q161=""),"ระบุ Severity + Impact",IFERROR(INDEX({"Urgent","Urgent","High","High";"Urgent","High","High","Medium";"High","High","Medium","Medium";"Medium","Medium","Low","Low"},MATCH($P161,{"Critical","High","Medium","Low"},0),MATCH($Q161,{"Extensive","Significant","Moderate","Minor"},0)),"-")))</f>
        <v/>
      </c>
      <c r="S161" s="30"/>
      <c r="T161" s="30"/>
      <c r="W161" s="32" t="str">
        <f>IF($A161="","",IF(OR($M161="Out of Scope",$M161="Canceled"),"Out of Scope",IF($M161="Blocked","Blocked",IF(AND($T161&lt;&gt;"Fixed – Retest Passed",OR(LEN(TRIM($O161))&gt;0,LEN(TRIM($P161))&gt;0)),IF(AND(OR($L161="Medium",$L161="Low"),SUMPRODUCT((Cards!$A$4:$A$1000&lt;&gt;"")*ISNUMBER(SEARCH($A161,Cards!$E$4:$E$1000))*(Cards!$F$4:$F$1000&lt;&gt;"Medium")*(Cards!$F$4:$F$1000&lt;&gt;"Low"))=0),"Conditionally Passed","Failed"),IF($M161="Done","Passed","Not Run")))))</f>
        <v/>
      </c>
      <c r="Y161" s="27" t="str" cm="1">
        <f t="array" ref="Y161">IF($A161="","",IF(TRIM($B161)="","-",IFERROR(_xlfn.TEXTJOIN(" / ",TRUE,_xlfn.UNIQUE(_xlfn._xlws.FILTER('Ownership Matrix'!$C$5:$C$200,('Ownership Matrix'!$A$5:$A$200=TRIM($B161))*('Ownership Matrix'!$C$5:$C$200&lt;&gt;"")))),"ไม่พบใน Ownership Matrix")))</f>
        <v/>
      </c>
      <c r="Z161" s="31" t="str">
        <f>IF(NOT(AND($A161&lt;&gt;"",$M161&lt;&gt;"Out of Scope",$M161&lt;&gt;"Canceled",$T161&lt;&gt;"Fixed – Retest Passed",OR(LEN(TRIM($O161))&gt;0,LEN(TRIM($P161))&gt;0))),"",IF(OR($W161="Failed",$R161="Urgent",$R161="High",$R161="ระบุ Severity + Impact"),IF(COUNTIFS(Dashboard!$B$105:$B$124,$O161,Dashboard!$I$105:$I$124,"CAB")&gt;0,"Accepted (CF)","Blocking"),"Deferrable"))</f>
        <v/>
      </c>
    </row>
    <row r="162" spans="7:26" x14ac:dyDescent="0.3">
      <c r="G162" s="27" t="str" cm="1">
        <f t="array" ref="G162">IF($A162="","",IFERROR(_xlfn.TEXTJOIN(CHAR(10)&amp;CHAR(10),TRUE,_xlfn._xlws.FILTER("•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"&amp;Cards!$L$4:$L$1000),(Cards!$A$4:$A$1000&lt;&gt;"")*ISNUMBER(SEARCH($A162,Cards!$E$4:$E$1000)))),"-"))</f>
        <v/>
      </c>
      <c r="Q162" s="30"/>
      <c r="R162" s="27" t="str">
        <f>IF(OR($A162="",LEN(TRIM($O162))=0),"",IF(OR($P162="",$Q162=""),"ระบุ Severity + Impact",IFERROR(INDEX({"Urgent","Urgent","High","High";"Urgent","High","High","Medium";"High","High","Medium","Medium";"Medium","Medium","Low","Low"},MATCH($P162,{"Critical","High","Medium","Low"},0),MATCH($Q162,{"Extensive","Significant","Moderate","Minor"},0)),"-")))</f>
        <v/>
      </c>
      <c r="S162" s="30"/>
      <c r="T162" s="30"/>
      <c r="W162" s="32" t="str">
        <f>IF($A162="","",IF(OR($M162="Out of Scope",$M162="Canceled"),"Out of Scope",IF($M162="Blocked","Blocked",IF(AND($T162&lt;&gt;"Fixed – Retest Passed",OR(LEN(TRIM($O162))&gt;0,LEN(TRIM($P162))&gt;0)),IF(AND(OR($L162="Medium",$L162="Low"),SUMPRODUCT((Cards!$A$4:$A$1000&lt;&gt;"")*ISNUMBER(SEARCH($A162,Cards!$E$4:$E$1000))*(Cards!$F$4:$F$1000&lt;&gt;"Medium")*(Cards!$F$4:$F$1000&lt;&gt;"Low"))=0),"Conditionally Passed","Failed"),IF($M162="Done","Passed","Not Run")))))</f>
        <v/>
      </c>
      <c r="Y162" s="27" t="str" cm="1">
        <f t="array" ref="Y162">IF($A162="","",IF(TRIM($B162)="","-",IFERROR(_xlfn.TEXTJOIN(" / ",TRUE,_xlfn.UNIQUE(_xlfn._xlws.FILTER('Ownership Matrix'!$C$5:$C$200,('Ownership Matrix'!$A$5:$A$200=TRIM($B162))*('Ownership Matrix'!$C$5:$C$200&lt;&gt;"")))),"ไม่พบใน Ownership Matrix")))</f>
        <v/>
      </c>
      <c r="Z162" s="31" t="str">
        <f>IF(NOT(AND($A162&lt;&gt;"",$M162&lt;&gt;"Out of Scope",$M162&lt;&gt;"Canceled",$T162&lt;&gt;"Fixed – Retest Passed",OR(LEN(TRIM($O162))&gt;0,LEN(TRIM($P162))&gt;0))),"",IF(OR($W162="Failed",$R162="Urgent",$R162="High",$R162="ระบุ Severity + Impact"),IF(COUNTIFS(Dashboard!$B$105:$B$124,$O162,Dashboard!$I$105:$I$124,"CAB")&gt;0,"Accepted (CF)","Blocking"),"Deferrable"))</f>
        <v/>
      </c>
    </row>
    <row r="163" spans="7:26" x14ac:dyDescent="0.3">
      <c r="G163" s="27" t="str" cm="1">
        <f t="array" ref="G163">IF($A163="","",IFERROR(_xlfn.TEXTJOIN(CHAR(10)&amp;CHAR(10),TRUE,_xlfn._xlws.FILTER("•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"&amp;Cards!$L$4:$L$1000),(Cards!$A$4:$A$1000&lt;&gt;"")*ISNUMBER(SEARCH($A163,Cards!$E$4:$E$1000)))),"-"))</f>
        <v/>
      </c>
      <c r="Q163" s="30"/>
      <c r="R163" s="27" t="str">
        <f>IF(OR($A163="",LEN(TRIM($O163))=0),"",IF(OR($P163="",$Q163=""),"ระบุ Severity + Impact",IFERROR(INDEX({"Urgent","Urgent","High","High";"Urgent","High","High","Medium";"High","High","Medium","Medium";"Medium","Medium","Low","Low"},MATCH($P163,{"Critical","High","Medium","Low"},0),MATCH($Q163,{"Extensive","Significant","Moderate","Minor"},0)),"-")))</f>
        <v/>
      </c>
      <c r="S163" s="30"/>
      <c r="T163" s="30"/>
      <c r="W163" s="32" t="str">
        <f>IF($A163="","",IF(OR($M163="Out of Scope",$M163="Canceled"),"Out of Scope",IF($M163="Blocked","Blocked",IF(AND($T163&lt;&gt;"Fixed – Retest Passed",OR(LEN(TRIM($O163))&gt;0,LEN(TRIM($P163))&gt;0)),IF(AND(OR($L163="Medium",$L163="Low"),SUMPRODUCT((Cards!$A$4:$A$1000&lt;&gt;"")*ISNUMBER(SEARCH($A163,Cards!$E$4:$E$1000))*(Cards!$F$4:$F$1000&lt;&gt;"Medium")*(Cards!$F$4:$F$1000&lt;&gt;"Low"))=0),"Conditionally Passed","Failed"),IF($M163="Done","Passed","Not Run")))))</f>
        <v/>
      </c>
      <c r="Y163" s="27" t="str" cm="1">
        <f t="array" ref="Y163">IF($A163="","",IF(TRIM($B163)="","-",IFERROR(_xlfn.TEXTJOIN(" / ",TRUE,_xlfn.UNIQUE(_xlfn._xlws.FILTER('Ownership Matrix'!$C$5:$C$200,('Ownership Matrix'!$A$5:$A$200=TRIM($B163))*('Ownership Matrix'!$C$5:$C$200&lt;&gt;"")))),"ไม่พบใน Ownership Matrix")))</f>
        <v/>
      </c>
      <c r="Z163" s="31" t="str">
        <f>IF(NOT(AND($A163&lt;&gt;"",$M163&lt;&gt;"Out of Scope",$M163&lt;&gt;"Canceled",$T163&lt;&gt;"Fixed – Retest Passed",OR(LEN(TRIM($O163))&gt;0,LEN(TRIM($P163))&gt;0))),"",IF(OR($W163="Failed",$R163="Urgent",$R163="High",$R163="ระบุ Severity + Impact"),IF(COUNTIFS(Dashboard!$B$105:$B$124,$O163,Dashboard!$I$105:$I$124,"CAB")&gt;0,"Accepted (CF)","Blocking"),"Deferrable"))</f>
        <v/>
      </c>
    </row>
    <row r="164" spans="7:26" x14ac:dyDescent="0.3">
      <c r="G164" s="27" t="str" cm="1">
        <f t="array" ref="G164">IF($A164="","",IFERROR(_xlfn.TEXTJOIN(CHAR(10)&amp;CHAR(10),TRUE,_xlfn._xlws.FILTER("•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"&amp;Cards!$L$4:$L$1000),(Cards!$A$4:$A$1000&lt;&gt;"")*ISNUMBER(SEARCH($A164,Cards!$E$4:$E$1000)))),"-"))</f>
        <v/>
      </c>
      <c r="Q164" s="30"/>
      <c r="R164" s="27" t="str">
        <f>IF(OR($A164="",LEN(TRIM($O164))=0),"",IF(OR($P164="",$Q164=""),"ระบุ Severity + Impact",IFERROR(INDEX({"Urgent","Urgent","High","High";"Urgent","High","High","Medium";"High","High","Medium","Medium";"Medium","Medium","Low","Low"},MATCH($P164,{"Critical","High","Medium","Low"},0),MATCH($Q164,{"Extensive","Significant","Moderate","Minor"},0)),"-")))</f>
        <v/>
      </c>
      <c r="S164" s="30"/>
      <c r="T164" s="30"/>
      <c r="W164" s="32" t="str">
        <f>IF($A164="","",IF(OR($M164="Out of Scope",$M164="Canceled"),"Out of Scope",IF($M164="Blocked","Blocked",IF(AND($T164&lt;&gt;"Fixed – Retest Passed",OR(LEN(TRIM($O164))&gt;0,LEN(TRIM($P164))&gt;0)),IF(AND(OR($L164="Medium",$L164="Low"),SUMPRODUCT((Cards!$A$4:$A$1000&lt;&gt;"")*ISNUMBER(SEARCH($A164,Cards!$E$4:$E$1000))*(Cards!$F$4:$F$1000&lt;&gt;"Medium")*(Cards!$F$4:$F$1000&lt;&gt;"Low"))=0),"Conditionally Passed","Failed"),IF($M164="Done","Passed","Not Run")))))</f>
        <v/>
      </c>
      <c r="Y164" s="27" t="str" cm="1">
        <f t="array" ref="Y164">IF($A164="","",IF(TRIM($B164)="","-",IFERROR(_xlfn.TEXTJOIN(" / ",TRUE,_xlfn.UNIQUE(_xlfn._xlws.FILTER('Ownership Matrix'!$C$5:$C$200,('Ownership Matrix'!$A$5:$A$200=TRIM($B164))*('Ownership Matrix'!$C$5:$C$200&lt;&gt;"")))),"ไม่พบใน Ownership Matrix")))</f>
        <v/>
      </c>
      <c r="Z164" s="31" t="str">
        <f>IF(NOT(AND($A164&lt;&gt;"",$M164&lt;&gt;"Out of Scope",$M164&lt;&gt;"Canceled",$T164&lt;&gt;"Fixed – Retest Passed",OR(LEN(TRIM($O164))&gt;0,LEN(TRIM($P164))&gt;0))),"",IF(OR($W164="Failed",$R164="Urgent",$R164="High",$R164="ระบุ Severity + Impact"),IF(COUNTIFS(Dashboard!$B$105:$B$124,$O164,Dashboard!$I$105:$I$124,"CAB")&gt;0,"Accepted (CF)","Blocking"),"Deferrable"))</f>
        <v/>
      </c>
    </row>
    <row r="165" spans="7:26" x14ac:dyDescent="0.3">
      <c r="G165" s="27" t="str" cm="1">
        <f t="array" ref="G165">IF($A165="","",IFERROR(_xlfn.TEXTJOIN(CHAR(10)&amp;CHAR(10),TRUE,_xlfn._xlws.FILTER("•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"&amp;Cards!$L$4:$L$1000),(Cards!$A$4:$A$1000&lt;&gt;"")*ISNUMBER(SEARCH($A165,Cards!$E$4:$E$1000)))),"-"))</f>
        <v/>
      </c>
      <c r="Q165" s="30"/>
      <c r="R165" s="27" t="str">
        <f>IF(OR($A165="",LEN(TRIM($O165))=0),"",IF(OR($P165="",$Q165=""),"ระบุ Severity + Impact",IFERROR(INDEX({"Urgent","Urgent","High","High";"Urgent","High","High","Medium";"High","High","Medium","Medium";"Medium","Medium","Low","Low"},MATCH($P165,{"Critical","High","Medium","Low"},0),MATCH($Q165,{"Extensive","Significant","Moderate","Minor"},0)),"-")))</f>
        <v/>
      </c>
      <c r="S165" s="30"/>
      <c r="T165" s="30"/>
      <c r="W165" s="32" t="str">
        <f>IF($A165="","",IF(OR($M165="Out of Scope",$M165="Canceled"),"Out of Scope",IF($M165="Blocked","Blocked",IF(AND($T165&lt;&gt;"Fixed – Retest Passed",OR(LEN(TRIM($O165))&gt;0,LEN(TRIM($P165))&gt;0)),IF(AND(OR($L165="Medium",$L165="Low"),SUMPRODUCT((Cards!$A$4:$A$1000&lt;&gt;"")*ISNUMBER(SEARCH($A165,Cards!$E$4:$E$1000))*(Cards!$F$4:$F$1000&lt;&gt;"Medium")*(Cards!$F$4:$F$1000&lt;&gt;"Low"))=0),"Conditionally Passed","Failed"),IF($M165="Done","Passed","Not Run")))))</f>
        <v/>
      </c>
      <c r="Y165" s="27" t="str" cm="1">
        <f t="array" ref="Y165">IF($A165="","",IF(TRIM($B165)="","-",IFERROR(_xlfn.TEXTJOIN(" / ",TRUE,_xlfn.UNIQUE(_xlfn._xlws.FILTER('Ownership Matrix'!$C$5:$C$200,('Ownership Matrix'!$A$5:$A$200=TRIM($B165))*('Ownership Matrix'!$C$5:$C$200&lt;&gt;"")))),"ไม่พบใน Ownership Matrix")))</f>
        <v/>
      </c>
      <c r="Z165" s="31" t="str">
        <f>IF(NOT(AND($A165&lt;&gt;"",$M165&lt;&gt;"Out of Scope",$M165&lt;&gt;"Canceled",$T165&lt;&gt;"Fixed – Retest Passed",OR(LEN(TRIM($O165))&gt;0,LEN(TRIM($P165))&gt;0))),"",IF(OR($W165="Failed",$R165="Urgent",$R165="High",$R165="ระบุ Severity + Impact"),IF(COUNTIFS(Dashboard!$B$105:$B$124,$O165,Dashboard!$I$105:$I$124,"CAB")&gt;0,"Accepted (CF)","Blocking"),"Deferrable"))</f>
        <v/>
      </c>
    </row>
    <row r="166" spans="7:26" x14ac:dyDescent="0.3">
      <c r="G166" s="27" t="str" cm="1">
        <f t="array" ref="G166">IF($A166="","",IFERROR(_xlfn.TEXTJOIN(CHAR(10)&amp;CHAR(10),TRUE,_xlfn._xlws.FILTER("•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"&amp;Cards!$L$4:$L$1000),(Cards!$A$4:$A$1000&lt;&gt;"")*ISNUMBER(SEARCH($A166,Cards!$E$4:$E$1000)))),"-"))</f>
        <v/>
      </c>
      <c r="Q166" s="30"/>
      <c r="R166" s="27" t="str">
        <f>IF(OR($A166="",LEN(TRIM($O166))=0),"",IF(OR($P166="",$Q166=""),"ระบุ Severity + Impact",IFERROR(INDEX({"Urgent","Urgent","High","High";"Urgent","High","High","Medium";"High","High","Medium","Medium";"Medium","Medium","Low","Low"},MATCH($P166,{"Critical","High","Medium","Low"},0),MATCH($Q166,{"Extensive","Significant","Moderate","Minor"},0)),"-")))</f>
        <v/>
      </c>
      <c r="S166" s="30"/>
      <c r="T166" s="30"/>
      <c r="W166" s="32" t="str">
        <f>IF($A166="","",IF(OR($M166="Out of Scope",$M166="Canceled"),"Out of Scope",IF($M166="Blocked","Blocked",IF(AND($T166&lt;&gt;"Fixed – Retest Passed",OR(LEN(TRIM($O166))&gt;0,LEN(TRIM($P166))&gt;0)),IF(AND(OR($L166="Medium",$L166="Low"),SUMPRODUCT((Cards!$A$4:$A$1000&lt;&gt;"")*ISNUMBER(SEARCH($A166,Cards!$E$4:$E$1000))*(Cards!$F$4:$F$1000&lt;&gt;"Medium")*(Cards!$F$4:$F$1000&lt;&gt;"Low"))=0),"Conditionally Passed","Failed"),IF($M166="Done","Passed","Not Run")))))</f>
        <v/>
      </c>
      <c r="Y166" s="27" t="str" cm="1">
        <f t="array" ref="Y166">IF($A166="","",IF(TRIM($B166)="","-",IFERROR(_xlfn.TEXTJOIN(" / ",TRUE,_xlfn.UNIQUE(_xlfn._xlws.FILTER('Ownership Matrix'!$C$5:$C$200,('Ownership Matrix'!$A$5:$A$200=TRIM($B166))*('Ownership Matrix'!$C$5:$C$200&lt;&gt;"")))),"ไม่พบใน Ownership Matrix")))</f>
        <v/>
      </c>
      <c r="Z166" s="31" t="str">
        <f>IF(NOT(AND($A166&lt;&gt;"",$M166&lt;&gt;"Out of Scope",$M166&lt;&gt;"Canceled",$T166&lt;&gt;"Fixed – Retest Passed",OR(LEN(TRIM($O166))&gt;0,LEN(TRIM($P166))&gt;0))),"",IF(OR($W166="Failed",$R166="Urgent",$R166="High",$R166="ระบุ Severity + Impact"),IF(COUNTIFS(Dashboard!$B$105:$B$124,$O166,Dashboard!$I$105:$I$124,"CAB")&gt;0,"Accepted (CF)","Blocking"),"Deferrable"))</f>
        <v/>
      </c>
    </row>
    <row r="167" spans="7:26" x14ac:dyDescent="0.3">
      <c r="G167" s="27" t="str" cm="1">
        <f t="array" ref="G167">IF($A167="","",IFERROR(_xlfn.TEXTJOIN(CHAR(10)&amp;CHAR(10),TRUE,_xlfn._xlws.FILTER("•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"&amp;Cards!$L$4:$L$1000),(Cards!$A$4:$A$1000&lt;&gt;"")*ISNUMBER(SEARCH($A167,Cards!$E$4:$E$1000)))),"-"))</f>
        <v/>
      </c>
      <c r="Q167" s="30"/>
      <c r="R167" s="27" t="str">
        <f>IF(OR($A167="",LEN(TRIM($O167))=0),"",IF(OR($P167="",$Q167=""),"ระบุ Severity + Impact",IFERROR(INDEX({"Urgent","Urgent","High","High";"Urgent","High","High","Medium";"High","High","Medium","Medium";"Medium","Medium","Low","Low"},MATCH($P167,{"Critical","High","Medium","Low"},0),MATCH($Q167,{"Extensive","Significant","Moderate","Minor"},0)),"-")))</f>
        <v/>
      </c>
      <c r="S167" s="30"/>
      <c r="T167" s="30"/>
      <c r="W167" s="32" t="str">
        <f>IF($A167="","",IF(OR($M167="Out of Scope",$M167="Canceled"),"Out of Scope",IF($M167="Blocked","Blocked",IF(AND($T167&lt;&gt;"Fixed – Retest Passed",OR(LEN(TRIM($O167))&gt;0,LEN(TRIM($P167))&gt;0)),IF(AND(OR($L167="Medium",$L167="Low"),SUMPRODUCT((Cards!$A$4:$A$1000&lt;&gt;"")*ISNUMBER(SEARCH($A167,Cards!$E$4:$E$1000))*(Cards!$F$4:$F$1000&lt;&gt;"Medium")*(Cards!$F$4:$F$1000&lt;&gt;"Low"))=0),"Conditionally Passed","Failed"),IF($M167="Done","Passed","Not Run")))))</f>
        <v/>
      </c>
      <c r="Y167" s="27" t="str" cm="1">
        <f t="array" ref="Y167">IF($A167="","",IF(TRIM($B167)="","-",IFERROR(_xlfn.TEXTJOIN(" / ",TRUE,_xlfn.UNIQUE(_xlfn._xlws.FILTER('Ownership Matrix'!$C$5:$C$200,('Ownership Matrix'!$A$5:$A$200=TRIM($B167))*('Ownership Matrix'!$C$5:$C$200&lt;&gt;"")))),"ไม่พบใน Ownership Matrix")))</f>
        <v/>
      </c>
      <c r="Z167" s="31" t="str">
        <f>IF(NOT(AND($A167&lt;&gt;"",$M167&lt;&gt;"Out of Scope",$M167&lt;&gt;"Canceled",$T167&lt;&gt;"Fixed – Retest Passed",OR(LEN(TRIM($O167))&gt;0,LEN(TRIM($P167))&gt;0))),"",IF(OR($W167="Failed",$R167="Urgent",$R167="High",$R167="ระบุ Severity + Impact"),IF(COUNTIFS(Dashboard!$B$105:$B$124,$O167,Dashboard!$I$105:$I$124,"CAB")&gt;0,"Accepted (CF)","Blocking"),"Deferrable"))</f>
        <v/>
      </c>
    </row>
    <row r="168" spans="7:26" x14ac:dyDescent="0.3">
      <c r="G168" s="27" t="str" cm="1">
        <f t="array" ref="G168">IF($A168="","",IFERROR(_xlfn.TEXTJOIN(CHAR(10)&amp;CHAR(10),TRUE,_xlfn._xlws.FILTER("•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"&amp;Cards!$L$4:$L$1000),(Cards!$A$4:$A$1000&lt;&gt;"")*ISNUMBER(SEARCH($A168,Cards!$E$4:$E$1000)))),"-"))</f>
        <v/>
      </c>
      <c r="Q168" s="30"/>
      <c r="R168" s="27" t="str">
        <f>IF(OR($A168="",LEN(TRIM($O168))=0),"",IF(OR($P168="",$Q168=""),"ระบุ Severity + Impact",IFERROR(INDEX({"Urgent","Urgent","High","High";"Urgent","High","High","Medium";"High","High","Medium","Medium";"Medium","Medium","Low","Low"},MATCH($P168,{"Critical","High","Medium","Low"},0),MATCH($Q168,{"Extensive","Significant","Moderate","Minor"},0)),"-")))</f>
        <v/>
      </c>
      <c r="S168" s="30"/>
      <c r="T168" s="30"/>
      <c r="W168" s="32" t="str">
        <f>IF($A168="","",IF(OR($M168="Out of Scope",$M168="Canceled"),"Out of Scope",IF($M168="Blocked","Blocked",IF(AND($T168&lt;&gt;"Fixed – Retest Passed",OR(LEN(TRIM($O168))&gt;0,LEN(TRIM($P168))&gt;0)),IF(AND(OR($L168="Medium",$L168="Low"),SUMPRODUCT((Cards!$A$4:$A$1000&lt;&gt;"")*ISNUMBER(SEARCH($A168,Cards!$E$4:$E$1000))*(Cards!$F$4:$F$1000&lt;&gt;"Medium")*(Cards!$F$4:$F$1000&lt;&gt;"Low"))=0),"Conditionally Passed","Failed"),IF($M168="Done","Passed","Not Run")))))</f>
        <v/>
      </c>
      <c r="Y168" s="27" t="str" cm="1">
        <f t="array" ref="Y168">IF($A168="","",IF(TRIM($B168)="","-",IFERROR(_xlfn.TEXTJOIN(" / ",TRUE,_xlfn.UNIQUE(_xlfn._xlws.FILTER('Ownership Matrix'!$C$5:$C$200,('Ownership Matrix'!$A$5:$A$200=TRIM($B168))*('Ownership Matrix'!$C$5:$C$200&lt;&gt;"")))),"ไม่พบใน Ownership Matrix")))</f>
        <v/>
      </c>
      <c r="Z168" s="31" t="str">
        <f>IF(NOT(AND($A168&lt;&gt;"",$M168&lt;&gt;"Out of Scope",$M168&lt;&gt;"Canceled",$T168&lt;&gt;"Fixed – Retest Passed",OR(LEN(TRIM($O168))&gt;0,LEN(TRIM($P168))&gt;0))),"",IF(OR($W168="Failed",$R168="Urgent",$R168="High",$R168="ระบุ Severity + Impact"),IF(COUNTIFS(Dashboard!$B$105:$B$124,$O168,Dashboard!$I$105:$I$124,"CAB")&gt;0,"Accepted (CF)","Blocking"),"Deferrable"))</f>
        <v/>
      </c>
    </row>
    <row r="169" spans="7:26" x14ac:dyDescent="0.3">
      <c r="G169" s="27" t="str" cm="1">
        <f t="array" ref="G169">IF($A169="","",IFERROR(_xlfn.TEXTJOIN(CHAR(10)&amp;CHAR(10),TRUE,_xlfn._xlws.FILTER("•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"&amp;Cards!$L$4:$L$1000),(Cards!$A$4:$A$1000&lt;&gt;"")*ISNUMBER(SEARCH($A169,Cards!$E$4:$E$1000)))),"-"))</f>
        <v/>
      </c>
      <c r="Q169" s="30"/>
      <c r="R169" s="27" t="str">
        <f>IF(OR($A169="",LEN(TRIM($O169))=0),"",IF(OR($P169="",$Q169=""),"ระบุ Severity + Impact",IFERROR(INDEX({"Urgent","Urgent","High","High";"Urgent","High","High","Medium";"High","High","Medium","Medium";"Medium","Medium","Low","Low"},MATCH($P169,{"Critical","High","Medium","Low"},0),MATCH($Q169,{"Extensive","Significant","Moderate","Minor"},0)),"-")))</f>
        <v/>
      </c>
      <c r="S169" s="30"/>
      <c r="T169" s="30"/>
      <c r="W169" s="32" t="str">
        <f>IF($A169="","",IF(OR($M169="Out of Scope",$M169="Canceled"),"Out of Scope",IF($M169="Blocked","Blocked",IF(AND($T169&lt;&gt;"Fixed – Retest Passed",OR(LEN(TRIM($O169))&gt;0,LEN(TRIM($P169))&gt;0)),IF(AND(OR($L169="Medium",$L169="Low"),SUMPRODUCT((Cards!$A$4:$A$1000&lt;&gt;"")*ISNUMBER(SEARCH($A169,Cards!$E$4:$E$1000))*(Cards!$F$4:$F$1000&lt;&gt;"Medium")*(Cards!$F$4:$F$1000&lt;&gt;"Low"))=0),"Conditionally Passed","Failed"),IF($M169="Done","Passed","Not Run")))))</f>
        <v/>
      </c>
      <c r="Y169" s="27" t="str" cm="1">
        <f t="array" ref="Y169">IF($A169="","",IF(TRIM($B169)="","-",IFERROR(_xlfn.TEXTJOIN(" / ",TRUE,_xlfn.UNIQUE(_xlfn._xlws.FILTER('Ownership Matrix'!$C$5:$C$200,('Ownership Matrix'!$A$5:$A$200=TRIM($B169))*('Ownership Matrix'!$C$5:$C$200&lt;&gt;"")))),"ไม่พบใน Ownership Matrix")))</f>
        <v/>
      </c>
      <c r="Z169" s="31" t="str">
        <f>IF(NOT(AND($A169&lt;&gt;"",$M169&lt;&gt;"Out of Scope",$M169&lt;&gt;"Canceled",$T169&lt;&gt;"Fixed – Retest Passed",OR(LEN(TRIM($O169))&gt;0,LEN(TRIM($P169))&gt;0))),"",IF(OR($W169="Failed",$R169="Urgent",$R169="High",$R169="ระบุ Severity + Impact"),IF(COUNTIFS(Dashboard!$B$105:$B$124,$O169,Dashboard!$I$105:$I$124,"CAB")&gt;0,"Accepted (CF)","Blocking"),"Deferrable"))</f>
        <v/>
      </c>
    </row>
    <row r="170" spans="7:26" x14ac:dyDescent="0.3">
      <c r="G170" s="27" t="str" cm="1">
        <f t="array" ref="G170">IF($A170="","",IFERROR(_xlfn.TEXTJOIN(CHAR(10)&amp;CHAR(10),TRUE,_xlfn._xlws.FILTER("•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"&amp;Cards!$L$4:$L$1000),(Cards!$A$4:$A$1000&lt;&gt;"")*ISNUMBER(SEARCH($A170,Cards!$E$4:$E$1000)))),"-"))</f>
        <v/>
      </c>
      <c r="Q170" s="30"/>
      <c r="R170" s="27" t="str">
        <f>IF(OR($A170="",LEN(TRIM($O170))=0),"",IF(OR($P170="",$Q170=""),"ระบุ Severity + Impact",IFERROR(INDEX({"Urgent","Urgent","High","High";"Urgent","High","High","Medium";"High","High","Medium","Medium";"Medium","Medium","Low","Low"},MATCH($P170,{"Critical","High","Medium","Low"},0),MATCH($Q170,{"Extensive","Significant","Moderate","Minor"},0)),"-")))</f>
        <v/>
      </c>
      <c r="S170" s="30"/>
      <c r="T170" s="30"/>
      <c r="W170" s="32" t="str">
        <f>IF($A170="","",IF(OR($M170="Out of Scope",$M170="Canceled"),"Out of Scope",IF($M170="Blocked","Blocked",IF(AND($T170&lt;&gt;"Fixed – Retest Passed",OR(LEN(TRIM($O170))&gt;0,LEN(TRIM($P170))&gt;0)),IF(AND(OR($L170="Medium",$L170="Low"),SUMPRODUCT((Cards!$A$4:$A$1000&lt;&gt;"")*ISNUMBER(SEARCH($A170,Cards!$E$4:$E$1000))*(Cards!$F$4:$F$1000&lt;&gt;"Medium")*(Cards!$F$4:$F$1000&lt;&gt;"Low"))=0),"Conditionally Passed","Failed"),IF($M170="Done","Passed","Not Run")))))</f>
        <v/>
      </c>
      <c r="Y170" s="27" t="str" cm="1">
        <f t="array" ref="Y170">IF($A170="","",IF(TRIM($B170)="","-",IFERROR(_xlfn.TEXTJOIN(" / ",TRUE,_xlfn.UNIQUE(_xlfn._xlws.FILTER('Ownership Matrix'!$C$5:$C$200,('Ownership Matrix'!$A$5:$A$200=TRIM($B170))*('Ownership Matrix'!$C$5:$C$200&lt;&gt;"")))),"ไม่พบใน Ownership Matrix")))</f>
        <v/>
      </c>
      <c r="Z170" s="31" t="str">
        <f>IF(NOT(AND($A170&lt;&gt;"",$M170&lt;&gt;"Out of Scope",$M170&lt;&gt;"Canceled",$T170&lt;&gt;"Fixed – Retest Passed",OR(LEN(TRIM($O170))&gt;0,LEN(TRIM($P170))&gt;0))),"",IF(OR($W170="Failed",$R170="Urgent",$R170="High",$R170="ระบุ Severity + Impact"),IF(COUNTIFS(Dashboard!$B$105:$B$124,$O170,Dashboard!$I$105:$I$124,"CAB")&gt;0,"Accepted (CF)","Blocking"),"Deferrable"))</f>
        <v/>
      </c>
    </row>
    <row r="171" spans="7:26" x14ac:dyDescent="0.3">
      <c r="G171" s="27" t="str" cm="1">
        <f t="array" ref="G171">IF($A171="","",IFERROR(_xlfn.TEXTJOIN(CHAR(10)&amp;CHAR(10),TRUE,_xlfn._xlws.FILTER("•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"&amp;Cards!$L$4:$L$1000),(Cards!$A$4:$A$1000&lt;&gt;"")*ISNUMBER(SEARCH($A171,Cards!$E$4:$E$1000)))),"-"))</f>
        <v/>
      </c>
      <c r="Q171" s="30"/>
      <c r="R171" s="27" t="str">
        <f>IF(OR($A171="",LEN(TRIM($O171))=0),"",IF(OR($P171="",$Q171=""),"ระบุ Severity + Impact",IFERROR(INDEX({"Urgent","Urgent","High","High";"Urgent","High","High","Medium";"High","High","Medium","Medium";"Medium","Medium","Low","Low"},MATCH($P171,{"Critical","High","Medium","Low"},0),MATCH($Q171,{"Extensive","Significant","Moderate","Minor"},0)),"-")))</f>
        <v/>
      </c>
      <c r="S171" s="30"/>
      <c r="T171" s="30"/>
      <c r="W171" s="32" t="str">
        <f>IF($A171="","",IF(OR($M171="Out of Scope",$M171="Canceled"),"Out of Scope",IF($M171="Blocked","Blocked",IF(AND($T171&lt;&gt;"Fixed – Retest Passed",OR(LEN(TRIM($O171))&gt;0,LEN(TRIM($P171))&gt;0)),IF(AND(OR($L171="Medium",$L171="Low"),SUMPRODUCT((Cards!$A$4:$A$1000&lt;&gt;"")*ISNUMBER(SEARCH($A171,Cards!$E$4:$E$1000))*(Cards!$F$4:$F$1000&lt;&gt;"Medium")*(Cards!$F$4:$F$1000&lt;&gt;"Low"))=0),"Conditionally Passed","Failed"),IF($M171="Done","Passed","Not Run")))))</f>
        <v/>
      </c>
      <c r="Y171" s="27" t="str" cm="1">
        <f t="array" ref="Y171">IF($A171="","",IF(TRIM($B171)="","-",IFERROR(_xlfn.TEXTJOIN(" / ",TRUE,_xlfn.UNIQUE(_xlfn._xlws.FILTER('Ownership Matrix'!$C$5:$C$200,('Ownership Matrix'!$A$5:$A$200=TRIM($B171))*('Ownership Matrix'!$C$5:$C$200&lt;&gt;"")))),"ไม่พบใน Ownership Matrix")))</f>
        <v/>
      </c>
      <c r="Z171" s="31" t="str">
        <f>IF(NOT(AND($A171&lt;&gt;"",$M171&lt;&gt;"Out of Scope",$M171&lt;&gt;"Canceled",$T171&lt;&gt;"Fixed – Retest Passed",OR(LEN(TRIM($O171))&gt;0,LEN(TRIM($P171))&gt;0))),"",IF(OR($W171="Failed",$R171="Urgent",$R171="High",$R171="ระบุ Severity + Impact"),IF(COUNTIFS(Dashboard!$B$105:$B$124,$O171,Dashboard!$I$105:$I$124,"CAB")&gt;0,"Accepted (CF)","Blocking"),"Deferrable"))</f>
        <v/>
      </c>
    </row>
    <row r="172" spans="7:26" x14ac:dyDescent="0.3">
      <c r="G172" s="27" t="str" cm="1">
        <f t="array" ref="G172">IF($A172="","",IFERROR(_xlfn.TEXTJOIN(CHAR(10)&amp;CHAR(10),TRUE,_xlfn._xlws.FILTER("•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"&amp;Cards!$L$4:$L$1000),(Cards!$A$4:$A$1000&lt;&gt;"")*ISNUMBER(SEARCH($A172,Cards!$E$4:$E$1000)))),"-"))</f>
        <v/>
      </c>
      <c r="Q172" s="30"/>
      <c r="R172" s="27" t="str">
        <f>IF(OR($A172="",LEN(TRIM($O172))=0),"",IF(OR($P172="",$Q172=""),"ระบุ Severity + Impact",IFERROR(INDEX({"Urgent","Urgent","High","High";"Urgent","High","High","Medium";"High","High","Medium","Medium";"Medium","Medium","Low","Low"},MATCH($P172,{"Critical","High","Medium","Low"},0),MATCH($Q172,{"Extensive","Significant","Moderate","Minor"},0)),"-")))</f>
        <v/>
      </c>
      <c r="S172" s="30"/>
      <c r="T172" s="30"/>
      <c r="W172" s="32" t="str">
        <f>IF($A172="","",IF(OR($M172="Out of Scope",$M172="Canceled"),"Out of Scope",IF($M172="Blocked","Blocked",IF(AND($T172&lt;&gt;"Fixed – Retest Passed",OR(LEN(TRIM($O172))&gt;0,LEN(TRIM($P172))&gt;0)),IF(AND(OR($L172="Medium",$L172="Low"),SUMPRODUCT((Cards!$A$4:$A$1000&lt;&gt;"")*ISNUMBER(SEARCH($A172,Cards!$E$4:$E$1000))*(Cards!$F$4:$F$1000&lt;&gt;"Medium")*(Cards!$F$4:$F$1000&lt;&gt;"Low"))=0),"Conditionally Passed","Failed"),IF($M172="Done","Passed","Not Run")))))</f>
        <v/>
      </c>
      <c r="Y172" s="27" t="str" cm="1">
        <f t="array" ref="Y172">IF($A172="","",IF(TRIM($B172)="","-",IFERROR(_xlfn.TEXTJOIN(" / ",TRUE,_xlfn.UNIQUE(_xlfn._xlws.FILTER('Ownership Matrix'!$C$5:$C$200,('Ownership Matrix'!$A$5:$A$200=TRIM($B172))*('Ownership Matrix'!$C$5:$C$200&lt;&gt;"")))),"ไม่พบใน Ownership Matrix")))</f>
        <v/>
      </c>
      <c r="Z172" s="31" t="str">
        <f>IF(NOT(AND($A172&lt;&gt;"",$M172&lt;&gt;"Out of Scope",$M172&lt;&gt;"Canceled",$T172&lt;&gt;"Fixed – Retest Passed",OR(LEN(TRIM($O172))&gt;0,LEN(TRIM($P172))&gt;0))),"",IF(OR($W172="Failed",$R172="Urgent",$R172="High",$R172="ระบุ Severity + Impact"),IF(COUNTIFS(Dashboard!$B$105:$B$124,$O172,Dashboard!$I$105:$I$124,"CAB")&gt;0,"Accepted (CF)","Blocking"),"Deferrable"))</f>
        <v/>
      </c>
    </row>
    <row r="173" spans="7:26" x14ac:dyDescent="0.3">
      <c r="G173" s="27" t="str" cm="1">
        <f t="array" ref="G173">IF($A173="","",IFERROR(_xlfn.TEXTJOIN(CHAR(10)&amp;CHAR(10),TRUE,_xlfn._xlws.FILTER("•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"&amp;Cards!$L$4:$L$1000),(Cards!$A$4:$A$1000&lt;&gt;"")*ISNUMBER(SEARCH($A173,Cards!$E$4:$E$1000)))),"-"))</f>
        <v/>
      </c>
      <c r="Q173" s="30"/>
      <c r="R173" s="27" t="str">
        <f>IF(OR($A173="",LEN(TRIM($O173))=0),"",IF(OR($P173="",$Q173=""),"ระบุ Severity + Impact",IFERROR(INDEX({"Urgent","Urgent","High","High";"Urgent","High","High","Medium";"High","High","Medium","Medium";"Medium","Medium","Low","Low"},MATCH($P173,{"Critical","High","Medium","Low"},0),MATCH($Q173,{"Extensive","Significant","Moderate","Minor"},0)),"-")))</f>
        <v/>
      </c>
      <c r="S173" s="30"/>
      <c r="T173" s="30"/>
      <c r="W173" s="32" t="str">
        <f>IF($A173="","",IF(OR($M173="Out of Scope",$M173="Canceled"),"Out of Scope",IF($M173="Blocked","Blocked",IF(AND($T173&lt;&gt;"Fixed – Retest Passed",OR(LEN(TRIM($O173))&gt;0,LEN(TRIM($P173))&gt;0)),IF(AND(OR($L173="Medium",$L173="Low"),SUMPRODUCT((Cards!$A$4:$A$1000&lt;&gt;"")*ISNUMBER(SEARCH($A173,Cards!$E$4:$E$1000))*(Cards!$F$4:$F$1000&lt;&gt;"Medium")*(Cards!$F$4:$F$1000&lt;&gt;"Low"))=0),"Conditionally Passed","Failed"),IF($M173="Done","Passed","Not Run")))))</f>
        <v/>
      </c>
      <c r="Y173" s="27" t="str" cm="1">
        <f t="array" ref="Y173">IF($A173="","",IF(TRIM($B173)="","-",IFERROR(_xlfn.TEXTJOIN(" / ",TRUE,_xlfn.UNIQUE(_xlfn._xlws.FILTER('Ownership Matrix'!$C$5:$C$200,('Ownership Matrix'!$A$5:$A$200=TRIM($B173))*('Ownership Matrix'!$C$5:$C$200&lt;&gt;"")))),"ไม่พบใน Ownership Matrix")))</f>
        <v/>
      </c>
      <c r="Z173" s="31" t="str">
        <f>IF(NOT(AND($A173&lt;&gt;"",$M173&lt;&gt;"Out of Scope",$M173&lt;&gt;"Canceled",$T173&lt;&gt;"Fixed – Retest Passed",OR(LEN(TRIM($O173))&gt;0,LEN(TRIM($P173))&gt;0))),"",IF(OR($W173="Failed",$R173="Urgent",$R173="High",$R173="ระบุ Severity + Impact"),IF(COUNTIFS(Dashboard!$B$105:$B$124,$O173,Dashboard!$I$105:$I$124,"CAB")&gt;0,"Accepted (CF)","Blocking"),"Deferrable"))</f>
        <v/>
      </c>
    </row>
    <row r="174" spans="7:26" x14ac:dyDescent="0.3">
      <c r="G174" s="27" t="str" cm="1">
        <f t="array" ref="G174">IF($A174="","",IFERROR(_xlfn.TEXTJOIN(CHAR(10)&amp;CHAR(10),TRUE,_xlfn._xlws.FILTER("•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"&amp;Cards!$L$4:$L$1000),(Cards!$A$4:$A$1000&lt;&gt;"")*ISNUMBER(SEARCH($A174,Cards!$E$4:$E$1000)))),"-"))</f>
        <v/>
      </c>
      <c r="Q174" s="30"/>
      <c r="R174" s="27" t="str">
        <f>IF(OR($A174="",LEN(TRIM($O174))=0),"",IF(OR($P174="",$Q174=""),"ระบุ Severity + Impact",IFERROR(INDEX({"Urgent","Urgent","High","High";"Urgent","High","High","Medium";"High","High","Medium","Medium";"Medium","Medium","Low","Low"},MATCH($P174,{"Critical","High","Medium","Low"},0),MATCH($Q174,{"Extensive","Significant","Moderate","Minor"},0)),"-")))</f>
        <v/>
      </c>
      <c r="S174" s="30"/>
      <c r="T174" s="30"/>
      <c r="W174" s="32" t="str">
        <f>IF($A174="","",IF(OR($M174="Out of Scope",$M174="Canceled"),"Out of Scope",IF($M174="Blocked","Blocked",IF(AND($T174&lt;&gt;"Fixed – Retest Passed",OR(LEN(TRIM($O174))&gt;0,LEN(TRIM($P174))&gt;0)),IF(AND(OR($L174="Medium",$L174="Low"),SUMPRODUCT((Cards!$A$4:$A$1000&lt;&gt;"")*ISNUMBER(SEARCH($A174,Cards!$E$4:$E$1000))*(Cards!$F$4:$F$1000&lt;&gt;"Medium")*(Cards!$F$4:$F$1000&lt;&gt;"Low"))=0),"Conditionally Passed","Failed"),IF($M174="Done","Passed","Not Run")))))</f>
        <v/>
      </c>
      <c r="Y174" s="27" t="str" cm="1">
        <f t="array" ref="Y174">IF($A174="","",IF(TRIM($B174)="","-",IFERROR(_xlfn.TEXTJOIN(" / ",TRUE,_xlfn.UNIQUE(_xlfn._xlws.FILTER('Ownership Matrix'!$C$5:$C$200,('Ownership Matrix'!$A$5:$A$200=TRIM($B174))*('Ownership Matrix'!$C$5:$C$200&lt;&gt;"")))),"ไม่พบใน Ownership Matrix")))</f>
        <v/>
      </c>
      <c r="Z174" s="31" t="str">
        <f>IF(NOT(AND($A174&lt;&gt;"",$M174&lt;&gt;"Out of Scope",$M174&lt;&gt;"Canceled",$T174&lt;&gt;"Fixed – Retest Passed",OR(LEN(TRIM($O174))&gt;0,LEN(TRIM($P174))&gt;0))),"",IF(OR($W174="Failed",$R174="Urgent",$R174="High",$R174="ระบุ Severity + Impact"),IF(COUNTIFS(Dashboard!$B$105:$B$124,$O174,Dashboard!$I$105:$I$124,"CAB")&gt;0,"Accepted (CF)","Blocking"),"Deferrable"))</f>
        <v/>
      </c>
    </row>
    <row r="175" spans="7:26" x14ac:dyDescent="0.3">
      <c r="G175" s="27" t="str" cm="1">
        <f t="array" ref="G175">IF($A175="","",IFERROR(_xlfn.TEXTJOIN(CHAR(10)&amp;CHAR(10),TRUE,_xlfn._xlws.FILTER("•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"&amp;Cards!$L$4:$L$1000),(Cards!$A$4:$A$1000&lt;&gt;"")*ISNUMBER(SEARCH($A175,Cards!$E$4:$E$1000)))),"-"))</f>
        <v/>
      </c>
      <c r="Q175" s="30"/>
      <c r="R175" s="27" t="str">
        <f>IF(OR($A175="",LEN(TRIM($O175))=0),"",IF(OR($P175="",$Q175=""),"ระบุ Severity + Impact",IFERROR(INDEX({"Urgent","Urgent","High","High";"Urgent","High","High","Medium";"High","High","Medium","Medium";"Medium","Medium","Low","Low"},MATCH($P175,{"Critical","High","Medium","Low"},0),MATCH($Q175,{"Extensive","Significant","Moderate","Minor"},0)),"-")))</f>
        <v/>
      </c>
      <c r="S175" s="30"/>
      <c r="T175" s="30"/>
      <c r="W175" s="32" t="str">
        <f>IF($A175="","",IF(OR($M175="Out of Scope",$M175="Canceled"),"Out of Scope",IF($M175="Blocked","Blocked",IF(AND($T175&lt;&gt;"Fixed – Retest Passed",OR(LEN(TRIM($O175))&gt;0,LEN(TRIM($P175))&gt;0)),IF(AND(OR($L175="Medium",$L175="Low"),SUMPRODUCT((Cards!$A$4:$A$1000&lt;&gt;"")*ISNUMBER(SEARCH($A175,Cards!$E$4:$E$1000))*(Cards!$F$4:$F$1000&lt;&gt;"Medium")*(Cards!$F$4:$F$1000&lt;&gt;"Low"))=0),"Conditionally Passed","Failed"),IF($M175="Done","Passed","Not Run")))))</f>
        <v/>
      </c>
      <c r="Y175" s="27" t="str" cm="1">
        <f t="array" ref="Y175">IF($A175="","",IF(TRIM($B175)="","-",IFERROR(_xlfn.TEXTJOIN(" / ",TRUE,_xlfn.UNIQUE(_xlfn._xlws.FILTER('Ownership Matrix'!$C$5:$C$200,('Ownership Matrix'!$A$5:$A$200=TRIM($B175))*('Ownership Matrix'!$C$5:$C$200&lt;&gt;"")))),"ไม่พบใน Ownership Matrix")))</f>
        <v/>
      </c>
      <c r="Z175" s="31" t="str">
        <f>IF(NOT(AND($A175&lt;&gt;"",$M175&lt;&gt;"Out of Scope",$M175&lt;&gt;"Canceled",$T175&lt;&gt;"Fixed – Retest Passed",OR(LEN(TRIM($O175))&gt;0,LEN(TRIM($P175))&gt;0))),"",IF(OR($W175="Failed",$R175="Urgent",$R175="High",$R175="ระบุ Severity + Impact"),IF(COUNTIFS(Dashboard!$B$105:$B$124,$O175,Dashboard!$I$105:$I$124,"CAB")&gt;0,"Accepted (CF)","Blocking"),"Deferrable"))</f>
        <v/>
      </c>
    </row>
    <row r="176" spans="7:26" x14ac:dyDescent="0.3">
      <c r="G176" s="27" t="str" cm="1">
        <f t="array" ref="G176">IF($A176="","",IFERROR(_xlfn.TEXTJOIN(CHAR(10)&amp;CHAR(10),TRUE,_xlfn._xlws.FILTER("•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"&amp;Cards!$L$4:$L$1000),(Cards!$A$4:$A$1000&lt;&gt;"")*ISNUMBER(SEARCH($A176,Cards!$E$4:$E$1000)))),"-"))</f>
        <v/>
      </c>
      <c r="Q176" s="30"/>
      <c r="R176" s="27" t="str">
        <f>IF(OR($A176="",LEN(TRIM($O176))=0),"",IF(OR($P176="",$Q176=""),"ระบุ Severity + Impact",IFERROR(INDEX({"Urgent","Urgent","High","High";"Urgent","High","High","Medium";"High","High","Medium","Medium";"Medium","Medium","Low","Low"},MATCH($P176,{"Critical","High","Medium","Low"},0),MATCH($Q176,{"Extensive","Significant","Moderate","Minor"},0)),"-")))</f>
        <v/>
      </c>
      <c r="S176" s="30"/>
      <c r="T176" s="30"/>
      <c r="W176" s="32" t="str">
        <f>IF($A176="","",IF(OR($M176="Out of Scope",$M176="Canceled"),"Out of Scope",IF($M176="Blocked","Blocked",IF(AND($T176&lt;&gt;"Fixed – Retest Passed",OR(LEN(TRIM($O176))&gt;0,LEN(TRIM($P176))&gt;0)),IF(AND(OR($L176="Medium",$L176="Low"),SUMPRODUCT((Cards!$A$4:$A$1000&lt;&gt;"")*ISNUMBER(SEARCH($A176,Cards!$E$4:$E$1000))*(Cards!$F$4:$F$1000&lt;&gt;"Medium")*(Cards!$F$4:$F$1000&lt;&gt;"Low"))=0),"Conditionally Passed","Failed"),IF($M176="Done","Passed","Not Run")))))</f>
        <v/>
      </c>
      <c r="Y176" s="27" t="str" cm="1">
        <f t="array" ref="Y176">IF($A176="","",IF(TRIM($B176)="","-",IFERROR(_xlfn.TEXTJOIN(" / ",TRUE,_xlfn.UNIQUE(_xlfn._xlws.FILTER('Ownership Matrix'!$C$5:$C$200,('Ownership Matrix'!$A$5:$A$200=TRIM($B176))*('Ownership Matrix'!$C$5:$C$200&lt;&gt;"")))),"ไม่พบใน Ownership Matrix")))</f>
        <v/>
      </c>
      <c r="Z176" s="31" t="str">
        <f>IF(NOT(AND($A176&lt;&gt;"",$M176&lt;&gt;"Out of Scope",$M176&lt;&gt;"Canceled",$T176&lt;&gt;"Fixed – Retest Passed",OR(LEN(TRIM($O176))&gt;0,LEN(TRIM($P176))&gt;0))),"",IF(OR($W176="Failed",$R176="Urgent",$R176="High",$R176="ระบุ Severity + Impact"),IF(COUNTIFS(Dashboard!$B$105:$B$124,$O176,Dashboard!$I$105:$I$124,"CAB")&gt;0,"Accepted (CF)","Blocking"),"Deferrable"))</f>
        <v/>
      </c>
    </row>
    <row r="177" spans="7:26" x14ac:dyDescent="0.3">
      <c r="G177" s="27" t="str" cm="1">
        <f t="array" ref="G177">IF($A177="","",IFERROR(_xlfn.TEXTJOIN(CHAR(10)&amp;CHAR(10),TRUE,_xlfn._xlws.FILTER("•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"&amp;Cards!$L$4:$L$1000),(Cards!$A$4:$A$1000&lt;&gt;"")*ISNUMBER(SEARCH($A177,Cards!$E$4:$E$1000)))),"-"))</f>
        <v/>
      </c>
      <c r="Q177" s="30"/>
      <c r="R177" s="27" t="str">
        <f>IF(OR($A177="",LEN(TRIM($O177))=0),"",IF(OR($P177="",$Q177=""),"ระบุ Severity + Impact",IFERROR(INDEX({"Urgent","Urgent","High","High";"Urgent","High","High","Medium";"High","High","Medium","Medium";"Medium","Medium","Low","Low"},MATCH($P177,{"Critical","High","Medium","Low"},0),MATCH($Q177,{"Extensive","Significant","Moderate","Minor"},0)),"-")))</f>
        <v/>
      </c>
      <c r="S177" s="30"/>
      <c r="T177" s="30"/>
      <c r="W177" s="32" t="str">
        <f>IF($A177="","",IF(OR($M177="Out of Scope",$M177="Canceled"),"Out of Scope",IF($M177="Blocked","Blocked",IF(AND($T177&lt;&gt;"Fixed – Retest Passed",OR(LEN(TRIM($O177))&gt;0,LEN(TRIM($P177))&gt;0)),IF(AND(OR($L177="Medium",$L177="Low"),SUMPRODUCT((Cards!$A$4:$A$1000&lt;&gt;"")*ISNUMBER(SEARCH($A177,Cards!$E$4:$E$1000))*(Cards!$F$4:$F$1000&lt;&gt;"Medium")*(Cards!$F$4:$F$1000&lt;&gt;"Low"))=0),"Conditionally Passed","Failed"),IF($M177="Done","Passed","Not Run")))))</f>
        <v/>
      </c>
      <c r="Y177" s="27" t="str" cm="1">
        <f t="array" ref="Y177">IF($A177="","",IF(TRIM($B177)="","-",IFERROR(_xlfn.TEXTJOIN(" / ",TRUE,_xlfn.UNIQUE(_xlfn._xlws.FILTER('Ownership Matrix'!$C$5:$C$200,('Ownership Matrix'!$A$5:$A$200=TRIM($B177))*('Ownership Matrix'!$C$5:$C$200&lt;&gt;"")))),"ไม่พบใน Ownership Matrix")))</f>
        <v/>
      </c>
      <c r="Z177" s="31" t="str">
        <f>IF(NOT(AND($A177&lt;&gt;"",$M177&lt;&gt;"Out of Scope",$M177&lt;&gt;"Canceled",$T177&lt;&gt;"Fixed – Retest Passed",OR(LEN(TRIM($O177))&gt;0,LEN(TRIM($P177))&gt;0))),"",IF(OR($W177="Failed",$R177="Urgent",$R177="High",$R177="ระบุ Severity + Impact"),IF(COUNTIFS(Dashboard!$B$105:$B$124,$O177,Dashboard!$I$105:$I$124,"CAB")&gt;0,"Accepted (CF)","Blocking"),"Deferrable"))</f>
        <v/>
      </c>
    </row>
    <row r="178" spans="7:26" x14ac:dyDescent="0.3">
      <c r="G178" s="27" t="str" cm="1">
        <f t="array" ref="G178">IF($A178="","",IFERROR(_xlfn.TEXTJOIN(CHAR(10)&amp;CHAR(10),TRUE,_xlfn._xlws.FILTER("•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"&amp;Cards!$L$4:$L$1000),(Cards!$A$4:$A$1000&lt;&gt;"")*ISNUMBER(SEARCH($A178,Cards!$E$4:$E$1000)))),"-"))</f>
        <v/>
      </c>
      <c r="Q178" s="30"/>
      <c r="R178" s="27" t="str">
        <f>IF(OR($A178="",LEN(TRIM($O178))=0),"",IF(OR($P178="",$Q178=""),"ระบุ Severity + Impact",IFERROR(INDEX({"Urgent","Urgent","High","High";"Urgent","High","High","Medium";"High","High","Medium","Medium";"Medium","Medium","Low","Low"},MATCH($P178,{"Critical","High","Medium","Low"},0),MATCH($Q178,{"Extensive","Significant","Moderate","Minor"},0)),"-")))</f>
        <v/>
      </c>
      <c r="S178" s="30"/>
      <c r="T178" s="30"/>
      <c r="W178" s="32" t="str">
        <f>IF($A178="","",IF(OR($M178="Out of Scope",$M178="Canceled"),"Out of Scope",IF($M178="Blocked","Blocked",IF(AND($T178&lt;&gt;"Fixed – Retest Passed",OR(LEN(TRIM($O178))&gt;0,LEN(TRIM($P178))&gt;0)),IF(AND(OR($L178="Medium",$L178="Low"),SUMPRODUCT((Cards!$A$4:$A$1000&lt;&gt;"")*ISNUMBER(SEARCH($A178,Cards!$E$4:$E$1000))*(Cards!$F$4:$F$1000&lt;&gt;"Medium")*(Cards!$F$4:$F$1000&lt;&gt;"Low"))=0),"Conditionally Passed","Failed"),IF($M178="Done","Passed","Not Run")))))</f>
        <v/>
      </c>
      <c r="Y178" s="27" t="str" cm="1">
        <f t="array" ref="Y178">IF($A178="","",IF(TRIM($B178)="","-",IFERROR(_xlfn.TEXTJOIN(" / ",TRUE,_xlfn.UNIQUE(_xlfn._xlws.FILTER('Ownership Matrix'!$C$5:$C$200,('Ownership Matrix'!$A$5:$A$200=TRIM($B178))*('Ownership Matrix'!$C$5:$C$200&lt;&gt;"")))),"ไม่พบใน Ownership Matrix")))</f>
        <v/>
      </c>
      <c r="Z178" s="31" t="str">
        <f>IF(NOT(AND($A178&lt;&gt;"",$M178&lt;&gt;"Out of Scope",$M178&lt;&gt;"Canceled",$T178&lt;&gt;"Fixed – Retest Passed",OR(LEN(TRIM($O178))&gt;0,LEN(TRIM($P178))&gt;0))),"",IF(OR($W178="Failed",$R178="Urgent",$R178="High",$R178="ระบุ Severity + Impact"),IF(COUNTIFS(Dashboard!$B$105:$B$124,$O178,Dashboard!$I$105:$I$124,"CAB")&gt;0,"Accepted (CF)","Blocking"),"Deferrable"))</f>
        <v/>
      </c>
    </row>
    <row r="179" spans="7:26" x14ac:dyDescent="0.3">
      <c r="G179" s="27" t="str" cm="1">
        <f t="array" ref="G179">IF($A179="","",IFERROR(_xlfn.TEXTJOIN(CHAR(10)&amp;CHAR(10),TRUE,_xlfn._xlws.FILTER("•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"&amp;Cards!$L$4:$L$1000),(Cards!$A$4:$A$1000&lt;&gt;"")*ISNUMBER(SEARCH($A179,Cards!$E$4:$E$1000)))),"-"))</f>
        <v/>
      </c>
      <c r="Q179" s="30"/>
      <c r="R179" s="27" t="str">
        <f>IF(OR($A179="",LEN(TRIM($O179))=0),"",IF(OR($P179="",$Q179=""),"ระบุ Severity + Impact",IFERROR(INDEX({"Urgent","Urgent","High","High";"Urgent","High","High","Medium";"High","High","Medium","Medium";"Medium","Medium","Low","Low"},MATCH($P179,{"Critical","High","Medium","Low"},0),MATCH($Q179,{"Extensive","Significant","Moderate","Minor"},0)),"-")))</f>
        <v/>
      </c>
      <c r="S179" s="30"/>
      <c r="T179" s="30"/>
      <c r="W179" s="32" t="str">
        <f>IF($A179="","",IF(OR($M179="Out of Scope",$M179="Canceled"),"Out of Scope",IF($M179="Blocked","Blocked",IF(AND($T179&lt;&gt;"Fixed – Retest Passed",OR(LEN(TRIM($O179))&gt;0,LEN(TRIM($P179))&gt;0)),IF(AND(OR($L179="Medium",$L179="Low"),SUMPRODUCT((Cards!$A$4:$A$1000&lt;&gt;"")*ISNUMBER(SEARCH($A179,Cards!$E$4:$E$1000))*(Cards!$F$4:$F$1000&lt;&gt;"Medium")*(Cards!$F$4:$F$1000&lt;&gt;"Low"))=0),"Conditionally Passed","Failed"),IF($M179="Done","Passed","Not Run")))))</f>
        <v/>
      </c>
      <c r="Y179" s="27" t="str" cm="1">
        <f t="array" ref="Y179">IF($A179="","",IF(TRIM($B179)="","-",IFERROR(_xlfn.TEXTJOIN(" / ",TRUE,_xlfn.UNIQUE(_xlfn._xlws.FILTER('Ownership Matrix'!$C$5:$C$200,('Ownership Matrix'!$A$5:$A$200=TRIM($B179))*('Ownership Matrix'!$C$5:$C$200&lt;&gt;"")))),"ไม่พบใน Ownership Matrix")))</f>
        <v/>
      </c>
      <c r="Z179" s="31" t="str">
        <f>IF(NOT(AND($A179&lt;&gt;"",$M179&lt;&gt;"Out of Scope",$M179&lt;&gt;"Canceled",$T179&lt;&gt;"Fixed – Retest Passed",OR(LEN(TRIM($O179))&gt;0,LEN(TRIM($P179))&gt;0))),"",IF(OR($W179="Failed",$R179="Urgent",$R179="High",$R179="ระบุ Severity + Impact"),IF(COUNTIFS(Dashboard!$B$105:$B$124,$O179,Dashboard!$I$105:$I$124,"CAB")&gt;0,"Accepted (CF)","Blocking"),"Deferrable"))</f>
        <v/>
      </c>
    </row>
    <row r="180" spans="7:26" x14ac:dyDescent="0.3">
      <c r="G180" s="27" t="str" cm="1">
        <f t="array" ref="G180">IF($A180="","",IFERROR(_xlfn.TEXTJOIN(CHAR(10)&amp;CHAR(10),TRUE,_xlfn._xlws.FILTER("•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"&amp;Cards!$L$4:$L$1000),(Cards!$A$4:$A$1000&lt;&gt;"")*ISNUMBER(SEARCH($A180,Cards!$E$4:$E$1000)))),"-"))</f>
        <v/>
      </c>
      <c r="Q180" s="30"/>
      <c r="R180" s="27" t="str">
        <f>IF(OR($A180="",LEN(TRIM($O180))=0),"",IF(OR($P180="",$Q180=""),"ระบุ Severity + Impact",IFERROR(INDEX({"Urgent","Urgent","High","High";"Urgent","High","High","Medium";"High","High","Medium","Medium";"Medium","Medium","Low","Low"},MATCH($P180,{"Critical","High","Medium","Low"},0),MATCH($Q180,{"Extensive","Significant","Moderate","Minor"},0)),"-")))</f>
        <v/>
      </c>
      <c r="S180" s="30"/>
      <c r="T180" s="30"/>
      <c r="W180" s="32" t="str">
        <f>IF($A180="","",IF(OR($M180="Out of Scope",$M180="Canceled"),"Out of Scope",IF($M180="Blocked","Blocked",IF(AND($T180&lt;&gt;"Fixed – Retest Passed",OR(LEN(TRIM($O180))&gt;0,LEN(TRIM($P180))&gt;0)),IF(AND(OR($L180="Medium",$L180="Low"),SUMPRODUCT((Cards!$A$4:$A$1000&lt;&gt;"")*ISNUMBER(SEARCH($A180,Cards!$E$4:$E$1000))*(Cards!$F$4:$F$1000&lt;&gt;"Medium")*(Cards!$F$4:$F$1000&lt;&gt;"Low"))=0),"Conditionally Passed","Failed"),IF($M180="Done","Passed","Not Run")))))</f>
        <v/>
      </c>
      <c r="Y180" s="27" t="str" cm="1">
        <f t="array" ref="Y180">IF($A180="","",IF(TRIM($B180)="","-",IFERROR(_xlfn.TEXTJOIN(" / ",TRUE,_xlfn.UNIQUE(_xlfn._xlws.FILTER('Ownership Matrix'!$C$5:$C$200,('Ownership Matrix'!$A$5:$A$200=TRIM($B180))*('Ownership Matrix'!$C$5:$C$200&lt;&gt;"")))),"ไม่พบใน Ownership Matrix")))</f>
        <v/>
      </c>
      <c r="Z180" s="31" t="str">
        <f>IF(NOT(AND($A180&lt;&gt;"",$M180&lt;&gt;"Out of Scope",$M180&lt;&gt;"Canceled",$T180&lt;&gt;"Fixed – Retest Passed",OR(LEN(TRIM($O180))&gt;0,LEN(TRIM($P180))&gt;0))),"",IF(OR($W180="Failed",$R180="Urgent",$R180="High",$R180="ระบุ Severity + Impact"),IF(COUNTIFS(Dashboard!$B$105:$B$124,$O180,Dashboard!$I$105:$I$124,"CAB")&gt;0,"Accepted (CF)","Blocking"),"Deferrable"))</f>
        <v/>
      </c>
    </row>
    <row r="181" spans="7:26" x14ac:dyDescent="0.3">
      <c r="G181" s="27" t="str" cm="1">
        <f t="array" ref="G181">IF($A181="","",IFERROR(_xlfn.TEXTJOIN(CHAR(10)&amp;CHAR(10),TRUE,_xlfn._xlws.FILTER("•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"&amp;Cards!$L$4:$L$1000),(Cards!$A$4:$A$1000&lt;&gt;"")*ISNUMBER(SEARCH($A181,Cards!$E$4:$E$1000)))),"-"))</f>
        <v/>
      </c>
      <c r="Q181" s="30"/>
      <c r="R181" s="27" t="str">
        <f>IF(OR($A181="",LEN(TRIM($O181))=0),"",IF(OR($P181="",$Q181=""),"ระบุ Severity + Impact",IFERROR(INDEX({"Urgent","Urgent","High","High";"Urgent","High","High","Medium";"High","High","Medium","Medium";"Medium","Medium","Low","Low"},MATCH($P181,{"Critical","High","Medium","Low"},0),MATCH($Q181,{"Extensive","Significant","Moderate","Minor"},0)),"-")))</f>
        <v/>
      </c>
      <c r="S181" s="30"/>
      <c r="T181" s="30"/>
      <c r="W181" s="32" t="str">
        <f>IF($A181="","",IF(OR($M181="Out of Scope",$M181="Canceled"),"Out of Scope",IF($M181="Blocked","Blocked",IF(AND($T181&lt;&gt;"Fixed – Retest Passed",OR(LEN(TRIM($O181))&gt;0,LEN(TRIM($P181))&gt;0)),IF(AND(OR($L181="Medium",$L181="Low"),SUMPRODUCT((Cards!$A$4:$A$1000&lt;&gt;"")*ISNUMBER(SEARCH($A181,Cards!$E$4:$E$1000))*(Cards!$F$4:$F$1000&lt;&gt;"Medium")*(Cards!$F$4:$F$1000&lt;&gt;"Low"))=0),"Conditionally Passed","Failed"),IF($M181="Done","Passed","Not Run")))))</f>
        <v/>
      </c>
      <c r="Y181" s="27" t="str" cm="1">
        <f t="array" ref="Y181">IF($A181="","",IF(TRIM($B181)="","-",IFERROR(_xlfn.TEXTJOIN(" / ",TRUE,_xlfn.UNIQUE(_xlfn._xlws.FILTER('Ownership Matrix'!$C$5:$C$200,('Ownership Matrix'!$A$5:$A$200=TRIM($B181))*('Ownership Matrix'!$C$5:$C$200&lt;&gt;"")))),"ไม่พบใน Ownership Matrix")))</f>
        <v/>
      </c>
      <c r="Z181" s="31" t="str">
        <f>IF(NOT(AND($A181&lt;&gt;"",$M181&lt;&gt;"Out of Scope",$M181&lt;&gt;"Canceled",$T181&lt;&gt;"Fixed – Retest Passed",OR(LEN(TRIM($O181))&gt;0,LEN(TRIM($P181))&gt;0))),"",IF(OR($W181="Failed",$R181="Urgent",$R181="High",$R181="ระบุ Severity + Impact"),IF(COUNTIFS(Dashboard!$B$105:$B$124,$O181,Dashboard!$I$105:$I$124,"CAB")&gt;0,"Accepted (CF)","Blocking"),"Deferrable"))</f>
        <v/>
      </c>
    </row>
    <row r="182" spans="7:26" x14ac:dyDescent="0.3">
      <c r="G182" s="27" t="str" cm="1">
        <f t="array" ref="G182">IF($A182="","",IFERROR(_xlfn.TEXTJOIN(CHAR(10)&amp;CHAR(10),TRUE,_xlfn._xlws.FILTER("•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"&amp;Cards!$L$4:$L$1000),(Cards!$A$4:$A$1000&lt;&gt;"")*ISNUMBER(SEARCH($A182,Cards!$E$4:$E$1000)))),"-"))</f>
        <v/>
      </c>
      <c r="Q182" s="30"/>
      <c r="R182" s="27" t="str">
        <f>IF(OR($A182="",LEN(TRIM($O182))=0),"",IF(OR($P182="",$Q182=""),"ระบุ Severity + Impact",IFERROR(INDEX({"Urgent","Urgent","High","High";"Urgent","High","High","Medium";"High","High","Medium","Medium";"Medium","Medium","Low","Low"},MATCH($P182,{"Critical","High","Medium","Low"},0),MATCH($Q182,{"Extensive","Significant","Moderate","Minor"},0)),"-")))</f>
        <v/>
      </c>
      <c r="S182" s="30"/>
      <c r="T182" s="30"/>
      <c r="W182" s="32" t="str">
        <f>IF($A182="","",IF(OR($M182="Out of Scope",$M182="Canceled"),"Out of Scope",IF($M182="Blocked","Blocked",IF(AND($T182&lt;&gt;"Fixed – Retest Passed",OR(LEN(TRIM($O182))&gt;0,LEN(TRIM($P182))&gt;0)),IF(AND(OR($L182="Medium",$L182="Low"),SUMPRODUCT((Cards!$A$4:$A$1000&lt;&gt;"")*ISNUMBER(SEARCH($A182,Cards!$E$4:$E$1000))*(Cards!$F$4:$F$1000&lt;&gt;"Medium")*(Cards!$F$4:$F$1000&lt;&gt;"Low"))=0),"Conditionally Passed","Failed"),IF($M182="Done","Passed","Not Run")))))</f>
        <v/>
      </c>
      <c r="Y182" s="27" t="str" cm="1">
        <f t="array" ref="Y182">IF($A182="","",IF(TRIM($B182)="","-",IFERROR(_xlfn.TEXTJOIN(" / ",TRUE,_xlfn.UNIQUE(_xlfn._xlws.FILTER('Ownership Matrix'!$C$5:$C$200,('Ownership Matrix'!$A$5:$A$200=TRIM($B182))*('Ownership Matrix'!$C$5:$C$200&lt;&gt;"")))),"ไม่พบใน Ownership Matrix")))</f>
        <v/>
      </c>
      <c r="Z182" s="31" t="str">
        <f>IF(NOT(AND($A182&lt;&gt;"",$M182&lt;&gt;"Out of Scope",$M182&lt;&gt;"Canceled",$T182&lt;&gt;"Fixed – Retest Passed",OR(LEN(TRIM($O182))&gt;0,LEN(TRIM($P182))&gt;0))),"",IF(OR($W182="Failed",$R182="Urgent",$R182="High",$R182="ระบุ Severity + Impact"),IF(COUNTIFS(Dashboard!$B$105:$B$124,$O182,Dashboard!$I$105:$I$124,"CAB")&gt;0,"Accepted (CF)","Blocking"),"Deferrable"))</f>
        <v/>
      </c>
    </row>
    <row r="183" spans="7:26" x14ac:dyDescent="0.3">
      <c r="G183" s="27" t="str" cm="1">
        <f t="array" ref="G183">IF($A183="","",IFERROR(_xlfn.TEXTJOIN(CHAR(10)&amp;CHAR(10),TRUE,_xlfn._xlws.FILTER("•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"&amp;Cards!$L$4:$L$1000),(Cards!$A$4:$A$1000&lt;&gt;"")*ISNUMBER(SEARCH($A183,Cards!$E$4:$E$1000)))),"-"))</f>
        <v/>
      </c>
      <c r="Q183" s="30"/>
      <c r="R183" s="27" t="str">
        <f>IF(OR($A183="",LEN(TRIM($O183))=0),"",IF(OR($P183="",$Q183=""),"ระบุ Severity + Impact",IFERROR(INDEX({"Urgent","Urgent","High","High";"Urgent","High","High","Medium";"High","High","Medium","Medium";"Medium","Medium","Low","Low"},MATCH($P183,{"Critical","High","Medium","Low"},0),MATCH($Q183,{"Extensive","Significant","Moderate","Minor"},0)),"-")))</f>
        <v/>
      </c>
      <c r="S183" s="30"/>
      <c r="T183" s="30"/>
      <c r="W183" s="32" t="str">
        <f>IF($A183="","",IF(OR($M183="Out of Scope",$M183="Canceled"),"Out of Scope",IF($M183="Blocked","Blocked",IF(AND($T183&lt;&gt;"Fixed – Retest Passed",OR(LEN(TRIM($O183))&gt;0,LEN(TRIM($P183))&gt;0)),IF(AND(OR($L183="Medium",$L183="Low"),SUMPRODUCT((Cards!$A$4:$A$1000&lt;&gt;"")*ISNUMBER(SEARCH($A183,Cards!$E$4:$E$1000))*(Cards!$F$4:$F$1000&lt;&gt;"Medium")*(Cards!$F$4:$F$1000&lt;&gt;"Low"))=0),"Conditionally Passed","Failed"),IF($M183="Done","Passed","Not Run")))))</f>
        <v/>
      </c>
      <c r="Y183" s="27" t="str" cm="1">
        <f t="array" ref="Y183">IF($A183="","",IF(TRIM($B183)="","-",IFERROR(_xlfn.TEXTJOIN(" / ",TRUE,_xlfn.UNIQUE(_xlfn._xlws.FILTER('Ownership Matrix'!$C$5:$C$200,('Ownership Matrix'!$A$5:$A$200=TRIM($B183))*('Ownership Matrix'!$C$5:$C$200&lt;&gt;"")))),"ไม่พบใน Ownership Matrix")))</f>
        <v/>
      </c>
      <c r="Z183" s="31" t="str">
        <f>IF(NOT(AND($A183&lt;&gt;"",$M183&lt;&gt;"Out of Scope",$M183&lt;&gt;"Canceled",$T183&lt;&gt;"Fixed – Retest Passed",OR(LEN(TRIM($O183))&gt;0,LEN(TRIM($P183))&gt;0))),"",IF(OR($W183="Failed",$R183="Urgent",$R183="High",$R183="ระบุ Severity + Impact"),IF(COUNTIFS(Dashboard!$B$105:$B$124,$O183,Dashboard!$I$105:$I$124,"CAB")&gt;0,"Accepted (CF)","Blocking"),"Deferrable"))</f>
        <v/>
      </c>
    </row>
    <row r="184" spans="7:26" x14ac:dyDescent="0.3">
      <c r="G184" s="27" t="str" cm="1">
        <f t="array" ref="G184">IF($A184="","",IFERROR(_xlfn.TEXTJOIN(CHAR(10)&amp;CHAR(10),TRUE,_xlfn._xlws.FILTER("•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"&amp;Cards!$L$4:$L$1000),(Cards!$A$4:$A$1000&lt;&gt;"")*ISNUMBER(SEARCH($A184,Cards!$E$4:$E$1000)))),"-"))</f>
        <v/>
      </c>
      <c r="Q184" s="30"/>
      <c r="R184" s="27" t="str">
        <f>IF(OR($A184="",LEN(TRIM($O184))=0),"",IF(OR($P184="",$Q184=""),"ระบุ Severity + Impact",IFERROR(INDEX({"Urgent","Urgent","High","High";"Urgent","High","High","Medium";"High","High","Medium","Medium";"Medium","Medium","Low","Low"},MATCH($P184,{"Critical","High","Medium","Low"},0),MATCH($Q184,{"Extensive","Significant","Moderate","Minor"},0)),"-")))</f>
        <v/>
      </c>
      <c r="S184" s="30"/>
      <c r="T184" s="30"/>
      <c r="W184" s="32" t="str">
        <f>IF($A184="","",IF(OR($M184="Out of Scope",$M184="Canceled"),"Out of Scope",IF($M184="Blocked","Blocked",IF(AND($T184&lt;&gt;"Fixed – Retest Passed",OR(LEN(TRIM($O184))&gt;0,LEN(TRIM($P184))&gt;0)),IF(AND(OR($L184="Medium",$L184="Low"),SUMPRODUCT((Cards!$A$4:$A$1000&lt;&gt;"")*ISNUMBER(SEARCH($A184,Cards!$E$4:$E$1000))*(Cards!$F$4:$F$1000&lt;&gt;"Medium")*(Cards!$F$4:$F$1000&lt;&gt;"Low"))=0),"Conditionally Passed","Failed"),IF($M184="Done","Passed","Not Run")))))</f>
        <v/>
      </c>
      <c r="Y184" s="27" t="str" cm="1">
        <f t="array" ref="Y184">IF($A184="","",IF(TRIM($B184)="","-",IFERROR(_xlfn.TEXTJOIN(" / ",TRUE,_xlfn.UNIQUE(_xlfn._xlws.FILTER('Ownership Matrix'!$C$5:$C$200,('Ownership Matrix'!$A$5:$A$200=TRIM($B184))*('Ownership Matrix'!$C$5:$C$200&lt;&gt;"")))),"ไม่พบใน Ownership Matrix")))</f>
        <v/>
      </c>
      <c r="Z184" s="31" t="str">
        <f>IF(NOT(AND($A184&lt;&gt;"",$M184&lt;&gt;"Out of Scope",$M184&lt;&gt;"Canceled",$T184&lt;&gt;"Fixed – Retest Passed",OR(LEN(TRIM($O184))&gt;0,LEN(TRIM($P184))&gt;0))),"",IF(OR($W184="Failed",$R184="Urgent",$R184="High",$R184="ระบุ Severity + Impact"),IF(COUNTIFS(Dashboard!$B$105:$B$124,$O184,Dashboard!$I$105:$I$124,"CAB")&gt;0,"Accepted (CF)","Blocking"),"Deferrable"))</f>
        <v/>
      </c>
    </row>
    <row r="185" spans="7:26" x14ac:dyDescent="0.3">
      <c r="G185" s="27" t="str" cm="1">
        <f t="array" ref="G185">IF($A185="","",IFERROR(_xlfn.TEXTJOIN(CHAR(10)&amp;CHAR(10),TRUE,_xlfn._xlws.FILTER("•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"&amp;Cards!$L$4:$L$1000),(Cards!$A$4:$A$1000&lt;&gt;"")*ISNUMBER(SEARCH($A185,Cards!$E$4:$E$1000)))),"-"))</f>
        <v/>
      </c>
      <c r="Q185" s="30"/>
      <c r="R185" s="27" t="str">
        <f>IF(OR($A185="",LEN(TRIM($O185))=0),"",IF(OR($P185="",$Q185=""),"ระบุ Severity + Impact",IFERROR(INDEX({"Urgent","Urgent","High","High";"Urgent","High","High","Medium";"High","High","Medium","Medium";"Medium","Medium","Low","Low"},MATCH($P185,{"Critical","High","Medium","Low"},0),MATCH($Q185,{"Extensive","Significant","Moderate","Minor"},0)),"-")))</f>
        <v/>
      </c>
      <c r="S185" s="30"/>
      <c r="T185" s="30"/>
      <c r="W185" s="32" t="str">
        <f>IF($A185="","",IF(OR($M185="Out of Scope",$M185="Canceled"),"Out of Scope",IF($M185="Blocked","Blocked",IF(AND($T185&lt;&gt;"Fixed – Retest Passed",OR(LEN(TRIM($O185))&gt;0,LEN(TRIM($P185))&gt;0)),IF(AND(OR($L185="Medium",$L185="Low"),SUMPRODUCT((Cards!$A$4:$A$1000&lt;&gt;"")*ISNUMBER(SEARCH($A185,Cards!$E$4:$E$1000))*(Cards!$F$4:$F$1000&lt;&gt;"Medium")*(Cards!$F$4:$F$1000&lt;&gt;"Low"))=0),"Conditionally Passed","Failed"),IF($M185="Done","Passed","Not Run")))))</f>
        <v/>
      </c>
      <c r="Y185" s="27" t="str" cm="1">
        <f t="array" ref="Y185">IF($A185="","",IF(TRIM($B185)="","-",IFERROR(_xlfn.TEXTJOIN(" / ",TRUE,_xlfn.UNIQUE(_xlfn._xlws.FILTER('Ownership Matrix'!$C$5:$C$200,('Ownership Matrix'!$A$5:$A$200=TRIM($B185))*('Ownership Matrix'!$C$5:$C$200&lt;&gt;"")))),"ไม่พบใน Ownership Matrix")))</f>
        <v/>
      </c>
      <c r="Z185" s="31" t="str">
        <f>IF(NOT(AND($A185&lt;&gt;"",$M185&lt;&gt;"Out of Scope",$M185&lt;&gt;"Canceled",$T185&lt;&gt;"Fixed – Retest Passed",OR(LEN(TRIM($O185))&gt;0,LEN(TRIM($P185))&gt;0))),"",IF(OR($W185="Failed",$R185="Urgent",$R185="High",$R185="ระบุ Severity + Impact"),IF(COUNTIFS(Dashboard!$B$105:$B$124,$O185,Dashboard!$I$105:$I$124,"CAB")&gt;0,"Accepted (CF)","Blocking"),"Deferrable"))</f>
        <v/>
      </c>
    </row>
    <row r="186" spans="7:26" x14ac:dyDescent="0.3">
      <c r="G186" s="27" t="str" cm="1">
        <f t="array" ref="G186">IF($A186="","",IFERROR(_xlfn.TEXTJOIN(CHAR(10)&amp;CHAR(10),TRUE,_xlfn._xlws.FILTER("•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"&amp;Cards!$L$4:$L$1000),(Cards!$A$4:$A$1000&lt;&gt;"")*ISNUMBER(SEARCH($A186,Cards!$E$4:$E$1000)))),"-"))</f>
        <v/>
      </c>
      <c r="Q186" s="30"/>
      <c r="R186" s="27" t="str">
        <f>IF(OR($A186="",LEN(TRIM($O186))=0),"",IF(OR($P186="",$Q186=""),"ระบุ Severity + Impact",IFERROR(INDEX({"Urgent","Urgent","High","High";"Urgent","High","High","Medium";"High","High","Medium","Medium";"Medium","Medium","Low","Low"},MATCH($P186,{"Critical","High","Medium","Low"},0),MATCH($Q186,{"Extensive","Significant","Moderate","Minor"},0)),"-")))</f>
        <v/>
      </c>
      <c r="S186" s="30"/>
      <c r="T186" s="30"/>
      <c r="W186" s="32" t="str">
        <f>IF($A186="","",IF(OR($M186="Out of Scope",$M186="Canceled"),"Out of Scope",IF($M186="Blocked","Blocked",IF(AND($T186&lt;&gt;"Fixed – Retest Passed",OR(LEN(TRIM($O186))&gt;0,LEN(TRIM($P186))&gt;0)),IF(AND(OR($L186="Medium",$L186="Low"),SUMPRODUCT((Cards!$A$4:$A$1000&lt;&gt;"")*ISNUMBER(SEARCH($A186,Cards!$E$4:$E$1000))*(Cards!$F$4:$F$1000&lt;&gt;"Medium")*(Cards!$F$4:$F$1000&lt;&gt;"Low"))=0),"Conditionally Passed","Failed"),IF($M186="Done","Passed","Not Run")))))</f>
        <v/>
      </c>
      <c r="Y186" s="27" t="str" cm="1">
        <f t="array" ref="Y186">IF($A186="","",IF(TRIM($B186)="","-",IFERROR(_xlfn.TEXTJOIN(" / ",TRUE,_xlfn.UNIQUE(_xlfn._xlws.FILTER('Ownership Matrix'!$C$5:$C$200,('Ownership Matrix'!$A$5:$A$200=TRIM($B186))*('Ownership Matrix'!$C$5:$C$200&lt;&gt;"")))),"ไม่พบใน Ownership Matrix")))</f>
        <v/>
      </c>
      <c r="Z186" s="31" t="str">
        <f>IF(NOT(AND($A186&lt;&gt;"",$M186&lt;&gt;"Out of Scope",$M186&lt;&gt;"Canceled",$T186&lt;&gt;"Fixed – Retest Passed",OR(LEN(TRIM($O186))&gt;0,LEN(TRIM($P186))&gt;0))),"",IF(OR($W186="Failed",$R186="Urgent",$R186="High",$R186="ระบุ Severity + Impact"),IF(COUNTIFS(Dashboard!$B$105:$B$124,$O186,Dashboard!$I$105:$I$124,"CAB")&gt;0,"Accepted (CF)","Blocking"),"Deferrable"))</f>
        <v/>
      </c>
    </row>
    <row r="187" spans="7:26" x14ac:dyDescent="0.3">
      <c r="G187" s="27" t="str" cm="1">
        <f t="array" ref="G187">IF($A187="","",IFERROR(_xlfn.TEXTJOIN(CHAR(10)&amp;CHAR(10),TRUE,_xlfn._xlws.FILTER("•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"&amp;Cards!$L$4:$L$1000),(Cards!$A$4:$A$1000&lt;&gt;"")*ISNUMBER(SEARCH($A187,Cards!$E$4:$E$1000)))),"-"))</f>
        <v/>
      </c>
      <c r="Q187" s="30"/>
      <c r="R187" s="27" t="str">
        <f>IF(OR($A187="",LEN(TRIM($O187))=0),"",IF(OR($P187="",$Q187=""),"ระบุ Severity + Impact",IFERROR(INDEX({"Urgent","Urgent","High","High";"Urgent","High","High","Medium";"High","High","Medium","Medium";"Medium","Medium","Low","Low"},MATCH($P187,{"Critical","High","Medium","Low"},0),MATCH($Q187,{"Extensive","Significant","Moderate","Minor"},0)),"-")))</f>
        <v/>
      </c>
      <c r="S187" s="30"/>
      <c r="T187" s="30"/>
      <c r="W187" s="32" t="str">
        <f>IF($A187="","",IF(OR($M187="Out of Scope",$M187="Canceled"),"Out of Scope",IF($M187="Blocked","Blocked",IF(AND($T187&lt;&gt;"Fixed – Retest Passed",OR(LEN(TRIM($O187))&gt;0,LEN(TRIM($P187))&gt;0)),IF(AND(OR($L187="Medium",$L187="Low"),SUMPRODUCT((Cards!$A$4:$A$1000&lt;&gt;"")*ISNUMBER(SEARCH($A187,Cards!$E$4:$E$1000))*(Cards!$F$4:$F$1000&lt;&gt;"Medium")*(Cards!$F$4:$F$1000&lt;&gt;"Low"))=0),"Conditionally Passed","Failed"),IF($M187="Done","Passed","Not Run")))))</f>
        <v/>
      </c>
      <c r="Y187" s="27" t="str" cm="1">
        <f t="array" ref="Y187">IF($A187="","",IF(TRIM($B187)="","-",IFERROR(_xlfn.TEXTJOIN(" / ",TRUE,_xlfn.UNIQUE(_xlfn._xlws.FILTER('Ownership Matrix'!$C$5:$C$200,('Ownership Matrix'!$A$5:$A$200=TRIM($B187))*('Ownership Matrix'!$C$5:$C$200&lt;&gt;"")))),"ไม่พบใน Ownership Matrix")))</f>
        <v/>
      </c>
      <c r="Z187" s="31" t="str">
        <f>IF(NOT(AND($A187&lt;&gt;"",$M187&lt;&gt;"Out of Scope",$M187&lt;&gt;"Canceled",$T187&lt;&gt;"Fixed – Retest Passed",OR(LEN(TRIM($O187))&gt;0,LEN(TRIM($P187))&gt;0))),"",IF(OR($W187="Failed",$R187="Urgent",$R187="High",$R187="ระบุ Severity + Impact"),IF(COUNTIFS(Dashboard!$B$105:$B$124,$O187,Dashboard!$I$105:$I$124,"CAB")&gt;0,"Accepted (CF)","Blocking"),"Deferrable"))</f>
        <v/>
      </c>
    </row>
    <row r="188" spans="7:26" x14ac:dyDescent="0.3">
      <c r="G188" s="27" t="str" cm="1">
        <f t="array" ref="G188">IF($A188="","",IFERROR(_xlfn.TEXTJOIN(CHAR(10)&amp;CHAR(10),TRUE,_xlfn._xlws.FILTER("•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"&amp;Cards!$L$4:$L$1000),(Cards!$A$4:$A$1000&lt;&gt;"")*ISNUMBER(SEARCH($A188,Cards!$E$4:$E$1000)))),"-"))</f>
        <v/>
      </c>
      <c r="Q188" s="30"/>
      <c r="R188" s="27" t="str">
        <f>IF(OR($A188="",LEN(TRIM($O188))=0),"",IF(OR($P188="",$Q188=""),"ระบุ Severity + Impact",IFERROR(INDEX({"Urgent","Urgent","High","High";"Urgent","High","High","Medium";"High","High","Medium","Medium";"Medium","Medium","Low","Low"},MATCH($P188,{"Critical","High","Medium","Low"},0),MATCH($Q188,{"Extensive","Significant","Moderate","Minor"},0)),"-")))</f>
        <v/>
      </c>
      <c r="S188" s="30"/>
      <c r="T188" s="30"/>
      <c r="W188" s="32" t="str">
        <f>IF($A188="","",IF(OR($M188="Out of Scope",$M188="Canceled"),"Out of Scope",IF($M188="Blocked","Blocked",IF(AND($T188&lt;&gt;"Fixed – Retest Passed",OR(LEN(TRIM($O188))&gt;0,LEN(TRIM($P188))&gt;0)),IF(AND(OR($L188="Medium",$L188="Low"),SUMPRODUCT((Cards!$A$4:$A$1000&lt;&gt;"")*ISNUMBER(SEARCH($A188,Cards!$E$4:$E$1000))*(Cards!$F$4:$F$1000&lt;&gt;"Medium")*(Cards!$F$4:$F$1000&lt;&gt;"Low"))=0),"Conditionally Passed","Failed"),IF($M188="Done","Passed","Not Run")))))</f>
        <v/>
      </c>
      <c r="Y188" s="27" t="str" cm="1">
        <f t="array" ref="Y188">IF($A188="","",IF(TRIM($B188)="","-",IFERROR(_xlfn.TEXTJOIN(" / ",TRUE,_xlfn.UNIQUE(_xlfn._xlws.FILTER('Ownership Matrix'!$C$5:$C$200,('Ownership Matrix'!$A$5:$A$200=TRIM($B188))*('Ownership Matrix'!$C$5:$C$200&lt;&gt;"")))),"ไม่พบใน Ownership Matrix")))</f>
        <v/>
      </c>
      <c r="Z188" s="31" t="str">
        <f>IF(NOT(AND($A188&lt;&gt;"",$M188&lt;&gt;"Out of Scope",$M188&lt;&gt;"Canceled",$T188&lt;&gt;"Fixed – Retest Passed",OR(LEN(TRIM($O188))&gt;0,LEN(TRIM($P188))&gt;0))),"",IF(OR($W188="Failed",$R188="Urgent",$R188="High",$R188="ระบุ Severity + Impact"),IF(COUNTIFS(Dashboard!$B$105:$B$124,$O188,Dashboard!$I$105:$I$124,"CAB")&gt;0,"Accepted (CF)","Blocking"),"Deferrable"))</f>
        <v/>
      </c>
    </row>
    <row r="189" spans="7:26" x14ac:dyDescent="0.3">
      <c r="G189" s="27" t="str" cm="1">
        <f t="array" ref="G189">IF($A189="","",IFERROR(_xlfn.TEXTJOIN(CHAR(10)&amp;CHAR(10),TRUE,_xlfn._xlws.FILTER("•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"&amp;Cards!$L$4:$L$1000),(Cards!$A$4:$A$1000&lt;&gt;"")*ISNUMBER(SEARCH($A189,Cards!$E$4:$E$1000)))),"-"))</f>
        <v/>
      </c>
      <c r="Q189" s="30"/>
      <c r="R189" s="27" t="str">
        <f>IF(OR($A189="",LEN(TRIM($O189))=0),"",IF(OR($P189="",$Q189=""),"ระบุ Severity + Impact",IFERROR(INDEX({"Urgent","Urgent","High","High";"Urgent","High","High","Medium";"High","High","Medium","Medium";"Medium","Medium","Low","Low"},MATCH($P189,{"Critical","High","Medium","Low"},0),MATCH($Q189,{"Extensive","Significant","Moderate","Minor"},0)),"-")))</f>
        <v/>
      </c>
      <c r="S189" s="30"/>
      <c r="T189" s="30"/>
      <c r="W189" s="32" t="str">
        <f>IF($A189="","",IF(OR($M189="Out of Scope",$M189="Canceled"),"Out of Scope",IF($M189="Blocked","Blocked",IF(AND($T189&lt;&gt;"Fixed – Retest Passed",OR(LEN(TRIM($O189))&gt;0,LEN(TRIM($P189))&gt;0)),IF(AND(OR($L189="Medium",$L189="Low"),SUMPRODUCT((Cards!$A$4:$A$1000&lt;&gt;"")*ISNUMBER(SEARCH($A189,Cards!$E$4:$E$1000))*(Cards!$F$4:$F$1000&lt;&gt;"Medium")*(Cards!$F$4:$F$1000&lt;&gt;"Low"))=0),"Conditionally Passed","Failed"),IF($M189="Done","Passed","Not Run")))))</f>
        <v/>
      </c>
      <c r="Y189" s="27" t="str" cm="1">
        <f t="array" ref="Y189">IF($A189="","",IF(TRIM($B189)="","-",IFERROR(_xlfn.TEXTJOIN(" / ",TRUE,_xlfn.UNIQUE(_xlfn._xlws.FILTER('Ownership Matrix'!$C$5:$C$200,('Ownership Matrix'!$A$5:$A$200=TRIM($B189))*('Ownership Matrix'!$C$5:$C$200&lt;&gt;"")))),"ไม่พบใน Ownership Matrix")))</f>
        <v/>
      </c>
      <c r="Z189" s="31" t="str">
        <f>IF(NOT(AND($A189&lt;&gt;"",$M189&lt;&gt;"Out of Scope",$M189&lt;&gt;"Canceled",$T189&lt;&gt;"Fixed – Retest Passed",OR(LEN(TRIM($O189))&gt;0,LEN(TRIM($P189))&gt;0))),"",IF(OR($W189="Failed",$R189="Urgent",$R189="High",$R189="ระบุ Severity + Impact"),IF(COUNTIFS(Dashboard!$B$105:$B$124,$O189,Dashboard!$I$105:$I$124,"CAB")&gt;0,"Accepted (CF)","Blocking"),"Deferrable"))</f>
        <v/>
      </c>
    </row>
    <row r="190" spans="7:26" x14ac:dyDescent="0.3">
      <c r="G190" s="27" t="str" cm="1">
        <f t="array" ref="G190">IF($A190="","",IFERROR(_xlfn.TEXTJOIN(CHAR(10)&amp;CHAR(10),TRUE,_xlfn._xlws.FILTER("•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"&amp;Cards!$L$4:$L$1000),(Cards!$A$4:$A$1000&lt;&gt;"")*ISNUMBER(SEARCH($A190,Cards!$E$4:$E$1000)))),"-"))</f>
        <v/>
      </c>
      <c r="Q190" s="30"/>
      <c r="R190" s="27" t="str">
        <f>IF(OR($A190="",LEN(TRIM($O190))=0),"",IF(OR($P190="",$Q190=""),"ระบุ Severity + Impact",IFERROR(INDEX({"Urgent","Urgent","High","High";"Urgent","High","High","Medium";"High","High","Medium","Medium";"Medium","Medium","Low","Low"},MATCH($P190,{"Critical","High","Medium","Low"},0),MATCH($Q190,{"Extensive","Significant","Moderate","Minor"},0)),"-")))</f>
        <v/>
      </c>
      <c r="S190" s="30"/>
      <c r="T190" s="30"/>
      <c r="W190" s="32" t="str">
        <f>IF($A190="","",IF(OR($M190="Out of Scope",$M190="Canceled"),"Out of Scope",IF($M190="Blocked","Blocked",IF(AND($T190&lt;&gt;"Fixed – Retest Passed",OR(LEN(TRIM($O190))&gt;0,LEN(TRIM($P190))&gt;0)),IF(AND(OR($L190="Medium",$L190="Low"),SUMPRODUCT((Cards!$A$4:$A$1000&lt;&gt;"")*ISNUMBER(SEARCH($A190,Cards!$E$4:$E$1000))*(Cards!$F$4:$F$1000&lt;&gt;"Medium")*(Cards!$F$4:$F$1000&lt;&gt;"Low"))=0),"Conditionally Passed","Failed"),IF($M190="Done","Passed","Not Run")))))</f>
        <v/>
      </c>
      <c r="Y190" s="27" t="str" cm="1">
        <f t="array" ref="Y190">IF($A190="","",IF(TRIM($B190)="","-",IFERROR(_xlfn.TEXTJOIN(" / ",TRUE,_xlfn.UNIQUE(_xlfn._xlws.FILTER('Ownership Matrix'!$C$5:$C$200,('Ownership Matrix'!$A$5:$A$200=TRIM($B190))*('Ownership Matrix'!$C$5:$C$200&lt;&gt;"")))),"ไม่พบใน Ownership Matrix")))</f>
        <v/>
      </c>
      <c r="Z190" s="31" t="str">
        <f>IF(NOT(AND($A190&lt;&gt;"",$M190&lt;&gt;"Out of Scope",$M190&lt;&gt;"Canceled",$T190&lt;&gt;"Fixed – Retest Passed",OR(LEN(TRIM($O190))&gt;0,LEN(TRIM($P190))&gt;0))),"",IF(OR($W190="Failed",$R190="Urgent",$R190="High",$R190="ระบุ Severity + Impact"),IF(COUNTIFS(Dashboard!$B$105:$B$124,$O190,Dashboard!$I$105:$I$124,"CAB")&gt;0,"Accepted (CF)","Blocking"),"Deferrable"))</f>
        <v/>
      </c>
    </row>
    <row r="191" spans="7:26" x14ac:dyDescent="0.3">
      <c r="G191" s="27" t="str" cm="1">
        <f t="array" ref="G191">IF($A191="","",IFERROR(_xlfn.TEXTJOIN(CHAR(10)&amp;CHAR(10),TRUE,_xlfn._xlws.FILTER("•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"&amp;Cards!$L$4:$L$1000),(Cards!$A$4:$A$1000&lt;&gt;"")*ISNUMBER(SEARCH($A191,Cards!$E$4:$E$1000)))),"-"))</f>
        <v/>
      </c>
      <c r="Q191" s="30"/>
      <c r="R191" s="27" t="str">
        <f>IF(OR($A191="",LEN(TRIM($O191))=0),"",IF(OR($P191="",$Q191=""),"ระบุ Severity + Impact",IFERROR(INDEX({"Urgent","Urgent","High","High";"Urgent","High","High","Medium";"High","High","Medium","Medium";"Medium","Medium","Low","Low"},MATCH($P191,{"Critical","High","Medium","Low"},0),MATCH($Q191,{"Extensive","Significant","Moderate","Minor"},0)),"-")))</f>
        <v/>
      </c>
      <c r="S191" s="30"/>
      <c r="T191" s="30"/>
      <c r="W191" s="32" t="str">
        <f>IF($A191="","",IF(OR($M191="Out of Scope",$M191="Canceled"),"Out of Scope",IF($M191="Blocked","Blocked",IF(AND($T191&lt;&gt;"Fixed – Retest Passed",OR(LEN(TRIM($O191))&gt;0,LEN(TRIM($P191))&gt;0)),IF(AND(OR($L191="Medium",$L191="Low"),SUMPRODUCT((Cards!$A$4:$A$1000&lt;&gt;"")*ISNUMBER(SEARCH($A191,Cards!$E$4:$E$1000))*(Cards!$F$4:$F$1000&lt;&gt;"Medium")*(Cards!$F$4:$F$1000&lt;&gt;"Low"))=0),"Conditionally Passed","Failed"),IF($M191="Done","Passed","Not Run")))))</f>
        <v/>
      </c>
      <c r="Y191" s="27" t="str" cm="1">
        <f t="array" ref="Y191">IF($A191="","",IF(TRIM($B191)="","-",IFERROR(_xlfn.TEXTJOIN(" / ",TRUE,_xlfn.UNIQUE(_xlfn._xlws.FILTER('Ownership Matrix'!$C$5:$C$200,('Ownership Matrix'!$A$5:$A$200=TRIM($B191))*('Ownership Matrix'!$C$5:$C$200&lt;&gt;"")))),"ไม่พบใน Ownership Matrix")))</f>
        <v/>
      </c>
      <c r="Z191" s="31" t="str">
        <f>IF(NOT(AND($A191&lt;&gt;"",$M191&lt;&gt;"Out of Scope",$M191&lt;&gt;"Canceled",$T191&lt;&gt;"Fixed – Retest Passed",OR(LEN(TRIM($O191))&gt;0,LEN(TRIM($P191))&gt;0))),"",IF(OR($W191="Failed",$R191="Urgent",$R191="High",$R191="ระบุ Severity + Impact"),IF(COUNTIFS(Dashboard!$B$105:$B$124,$O191,Dashboard!$I$105:$I$124,"CAB")&gt;0,"Accepted (CF)","Blocking"),"Deferrable"))</f>
        <v/>
      </c>
    </row>
    <row r="192" spans="7:26" x14ac:dyDescent="0.3">
      <c r="G192" s="27" t="str" cm="1">
        <f t="array" ref="G192">IF($A192="","",IFERROR(_xlfn.TEXTJOIN(CHAR(10)&amp;CHAR(10),TRUE,_xlfn._xlws.FILTER("•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"&amp;Cards!$L$4:$L$1000),(Cards!$A$4:$A$1000&lt;&gt;"")*ISNUMBER(SEARCH($A192,Cards!$E$4:$E$1000)))),"-"))</f>
        <v/>
      </c>
      <c r="Q192" s="30"/>
      <c r="R192" s="27" t="str">
        <f>IF(OR($A192="",LEN(TRIM($O192))=0),"",IF(OR($P192="",$Q192=""),"ระบุ Severity + Impact",IFERROR(INDEX({"Urgent","Urgent","High","High";"Urgent","High","High","Medium";"High","High","Medium","Medium";"Medium","Medium","Low","Low"},MATCH($P192,{"Critical","High","Medium","Low"},0),MATCH($Q192,{"Extensive","Significant","Moderate","Minor"},0)),"-")))</f>
        <v/>
      </c>
      <c r="S192" s="30"/>
      <c r="T192" s="30"/>
      <c r="W192" s="32" t="str">
        <f>IF($A192="","",IF(OR($M192="Out of Scope",$M192="Canceled"),"Out of Scope",IF($M192="Blocked","Blocked",IF(AND($T192&lt;&gt;"Fixed – Retest Passed",OR(LEN(TRIM($O192))&gt;0,LEN(TRIM($P192))&gt;0)),IF(AND(OR($L192="Medium",$L192="Low"),SUMPRODUCT((Cards!$A$4:$A$1000&lt;&gt;"")*ISNUMBER(SEARCH($A192,Cards!$E$4:$E$1000))*(Cards!$F$4:$F$1000&lt;&gt;"Medium")*(Cards!$F$4:$F$1000&lt;&gt;"Low"))=0),"Conditionally Passed","Failed"),IF($M192="Done","Passed","Not Run")))))</f>
        <v/>
      </c>
      <c r="Y192" s="27" t="str" cm="1">
        <f t="array" ref="Y192">IF($A192="","",IF(TRIM($B192)="","-",IFERROR(_xlfn.TEXTJOIN(" / ",TRUE,_xlfn.UNIQUE(_xlfn._xlws.FILTER('Ownership Matrix'!$C$5:$C$200,('Ownership Matrix'!$A$5:$A$200=TRIM($B192))*('Ownership Matrix'!$C$5:$C$200&lt;&gt;"")))),"ไม่พบใน Ownership Matrix")))</f>
        <v/>
      </c>
      <c r="Z192" s="31" t="str">
        <f>IF(NOT(AND($A192&lt;&gt;"",$M192&lt;&gt;"Out of Scope",$M192&lt;&gt;"Canceled",$T192&lt;&gt;"Fixed – Retest Passed",OR(LEN(TRIM($O192))&gt;0,LEN(TRIM($P192))&gt;0))),"",IF(OR($W192="Failed",$R192="Urgent",$R192="High",$R192="ระบุ Severity + Impact"),IF(COUNTIFS(Dashboard!$B$105:$B$124,$O192,Dashboard!$I$105:$I$124,"CAB")&gt;0,"Accepted (CF)","Blocking"),"Deferrable"))</f>
        <v/>
      </c>
    </row>
    <row r="193" spans="7:26" x14ac:dyDescent="0.3">
      <c r="G193" s="27" t="str" cm="1">
        <f t="array" ref="G193">IF($A193="","",IFERROR(_xlfn.TEXTJOIN(CHAR(10)&amp;CHAR(10),TRUE,_xlfn._xlws.FILTER("•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"&amp;Cards!$L$4:$L$1000),(Cards!$A$4:$A$1000&lt;&gt;"")*ISNUMBER(SEARCH($A193,Cards!$E$4:$E$1000)))),"-"))</f>
        <v/>
      </c>
      <c r="Q193" s="30"/>
      <c r="R193" s="27" t="str">
        <f>IF(OR($A193="",LEN(TRIM($O193))=0),"",IF(OR($P193="",$Q193=""),"ระบุ Severity + Impact",IFERROR(INDEX({"Urgent","Urgent","High","High";"Urgent","High","High","Medium";"High","High","Medium","Medium";"Medium","Medium","Low","Low"},MATCH($P193,{"Critical","High","Medium","Low"},0),MATCH($Q193,{"Extensive","Significant","Moderate","Minor"},0)),"-")))</f>
        <v/>
      </c>
      <c r="S193" s="30"/>
      <c r="T193" s="30"/>
      <c r="W193" s="32" t="str">
        <f>IF($A193="","",IF(OR($M193="Out of Scope",$M193="Canceled"),"Out of Scope",IF($M193="Blocked","Blocked",IF(AND($T193&lt;&gt;"Fixed – Retest Passed",OR(LEN(TRIM($O193))&gt;0,LEN(TRIM($P193))&gt;0)),IF(AND(OR($L193="Medium",$L193="Low"),SUMPRODUCT((Cards!$A$4:$A$1000&lt;&gt;"")*ISNUMBER(SEARCH($A193,Cards!$E$4:$E$1000))*(Cards!$F$4:$F$1000&lt;&gt;"Medium")*(Cards!$F$4:$F$1000&lt;&gt;"Low"))=0),"Conditionally Passed","Failed"),IF($M193="Done","Passed","Not Run")))))</f>
        <v/>
      </c>
      <c r="Y193" s="27" t="str" cm="1">
        <f t="array" ref="Y193">IF($A193="","",IF(TRIM($B193)="","-",IFERROR(_xlfn.TEXTJOIN(" / ",TRUE,_xlfn.UNIQUE(_xlfn._xlws.FILTER('Ownership Matrix'!$C$5:$C$200,('Ownership Matrix'!$A$5:$A$200=TRIM($B193))*('Ownership Matrix'!$C$5:$C$200&lt;&gt;"")))),"ไม่พบใน Ownership Matrix")))</f>
        <v/>
      </c>
      <c r="Z193" s="31" t="str">
        <f>IF(NOT(AND($A193&lt;&gt;"",$M193&lt;&gt;"Out of Scope",$M193&lt;&gt;"Canceled",$T193&lt;&gt;"Fixed – Retest Passed",OR(LEN(TRIM($O193))&gt;0,LEN(TRIM($P193))&gt;0))),"",IF(OR($W193="Failed",$R193="Urgent",$R193="High",$R193="ระบุ Severity + Impact"),IF(COUNTIFS(Dashboard!$B$105:$B$124,$O193,Dashboard!$I$105:$I$124,"CAB")&gt;0,"Accepted (CF)","Blocking"),"Deferrable"))</f>
        <v/>
      </c>
    </row>
    <row r="194" spans="7:26" x14ac:dyDescent="0.3">
      <c r="G194" s="27" t="str" cm="1">
        <f t="array" ref="G194">IF($A194="","",IFERROR(_xlfn.TEXTJOIN(CHAR(10)&amp;CHAR(10),TRUE,_xlfn._xlws.FILTER("•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"&amp;Cards!$L$4:$L$1000),(Cards!$A$4:$A$1000&lt;&gt;"")*ISNUMBER(SEARCH($A194,Cards!$E$4:$E$1000)))),"-"))</f>
        <v/>
      </c>
      <c r="Q194" s="30"/>
      <c r="R194" s="27" t="str">
        <f>IF(OR($A194="",LEN(TRIM($O194))=0),"",IF(OR($P194="",$Q194=""),"ระบุ Severity + Impact",IFERROR(INDEX({"Urgent","Urgent","High","High";"Urgent","High","High","Medium";"High","High","Medium","Medium";"Medium","Medium","Low","Low"},MATCH($P194,{"Critical","High","Medium","Low"},0),MATCH($Q194,{"Extensive","Significant","Moderate","Minor"},0)),"-")))</f>
        <v/>
      </c>
      <c r="S194" s="30"/>
      <c r="T194" s="30"/>
      <c r="W194" s="32" t="str">
        <f>IF($A194="","",IF(OR($M194="Out of Scope",$M194="Canceled"),"Out of Scope",IF($M194="Blocked","Blocked",IF(AND($T194&lt;&gt;"Fixed – Retest Passed",OR(LEN(TRIM($O194))&gt;0,LEN(TRIM($P194))&gt;0)),IF(AND(OR($L194="Medium",$L194="Low"),SUMPRODUCT((Cards!$A$4:$A$1000&lt;&gt;"")*ISNUMBER(SEARCH($A194,Cards!$E$4:$E$1000))*(Cards!$F$4:$F$1000&lt;&gt;"Medium")*(Cards!$F$4:$F$1000&lt;&gt;"Low"))=0),"Conditionally Passed","Failed"),IF($M194="Done","Passed","Not Run")))))</f>
        <v/>
      </c>
      <c r="Y194" s="27" t="str" cm="1">
        <f t="array" ref="Y194">IF($A194="","",IF(TRIM($B194)="","-",IFERROR(_xlfn.TEXTJOIN(" / ",TRUE,_xlfn.UNIQUE(_xlfn._xlws.FILTER('Ownership Matrix'!$C$5:$C$200,('Ownership Matrix'!$A$5:$A$200=TRIM($B194))*('Ownership Matrix'!$C$5:$C$200&lt;&gt;"")))),"ไม่พบใน Ownership Matrix")))</f>
        <v/>
      </c>
      <c r="Z194" s="31" t="str">
        <f>IF(NOT(AND($A194&lt;&gt;"",$M194&lt;&gt;"Out of Scope",$M194&lt;&gt;"Canceled",$T194&lt;&gt;"Fixed – Retest Passed",OR(LEN(TRIM($O194))&gt;0,LEN(TRIM($P194))&gt;0))),"",IF(OR($W194="Failed",$R194="Urgent",$R194="High",$R194="ระบุ Severity + Impact"),IF(COUNTIFS(Dashboard!$B$105:$B$124,$O194,Dashboard!$I$105:$I$124,"CAB")&gt;0,"Accepted (CF)","Blocking"),"Deferrable"))</f>
        <v/>
      </c>
    </row>
    <row r="195" spans="7:26" x14ac:dyDescent="0.3">
      <c r="G195" s="27" t="str" cm="1">
        <f t="array" ref="G195">IF($A195="","",IFERROR(_xlfn.TEXTJOIN(CHAR(10)&amp;CHAR(10),TRUE,_xlfn._xlws.FILTER("•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"&amp;Cards!$L$4:$L$1000),(Cards!$A$4:$A$1000&lt;&gt;"")*ISNUMBER(SEARCH($A195,Cards!$E$4:$E$1000)))),"-"))</f>
        <v/>
      </c>
      <c r="Q195" s="30"/>
      <c r="R195" s="27" t="str">
        <f>IF(OR($A195="",LEN(TRIM($O195))=0),"",IF(OR($P195="",$Q195=""),"ระบุ Severity + Impact",IFERROR(INDEX({"Urgent","Urgent","High","High";"Urgent","High","High","Medium";"High","High","Medium","Medium";"Medium","Medium","Low","Low"},MATCH($P195,{"Critical","High","Medium","Low"},0),MATCH($Q195,{"Extensive","Significant","Moderate","Minor"},0)),"-")))</f>
        <v/>
      </c>
      <c r="S195" s="30"/>
      <c r="T195" s="30"/>
      <c r="W195" s="32" t="str">
        <f>IF($A195="","",IF(OR($M195="Out of Scope",$M195="Canceled"),"Out of Scope",IF($M195="Blocked","Blocked",IF(AND($T195&lt;&gt;"Fixed – Retest Passed",OR(LEN(TRIM($O195))&gt;0,LEN(TRIM($P195))&gt;0)),IF(AND(OR($L195="Medium",$L195="Low"),SUMPRODUCT((Cards!$A$4:$A$1000&lt;&gt;"")*ISNUMBER(SEARCH($A195,Cards!$E$4:$E$1000))*(Cards!$F$4:$F$1000&lt;&gt;"Medium")*(Cards!$F$4:$F$1000&lt;&gt;"Low"))=0),"Conditionally Passed","Failed"),IF($M195="Done","Passed","Not Run")))))</f>
        <v/>
      </c>
      <c r="Y195" s="27" t="str" cm="1">
        <f t="array" ref="Y195">IF($A195="","",IF(TRIM($B195)="","-",IFERROR(_xlfn.TEXTJOIN(" / ",TRUE,_xlfn.UNIQUE(_xlfn._xlws.FILTER('Ownership Matrix'!$C$5:$C$200,('Ownership Matrix'!$A$5:$A$200=TRIM($B195))*('Ownership Matrix'!$C$5:$C$200&lt;&gt;"")))),"ไม่พบใน Ownership Matrix")))</f>
        <v/>
      </c>
      <c r="Z195" s="31" t="str">
        <f>IF(NOT(AND($A195&lt;&gt;"",$M195&lt;&gt;"Out of Scope",$M195&lt;&gt;"Canceled",$T195&lt;&gt;"Fixed – Retest Passed",OR(LEN(TRIM($O195))&gt;0,LEN(TRIM($P195))&gt;0))),"",IF(OR($W195="Failed",$R195="Urgent",$R195="High",$R195="ระบุ Severity + Impact"),IF(COUNTIFS(Dashboard!$B$105:$B$124,$O195,Dashboard!$I$105:$I$124,"CAB")&gt;0,"Accepted (CF)","Blocking"),"Deferrable"))</f>
        <v/>
      </c>
    </row>
    <row r="196" spans="7:26" x14ac:dyDescent="0.3">
      <c r="G196" s="27" t="str" cm="1">
        <f t="array" ref="G196">IF($A196="","",IFERROR(_xlfn.TEXTJOIN(CHAR(10)&amp;CHAR(10),TRUE,_xlfn._xlws.FILTER("•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"&amp;Cards!$L$4:$L$1000),(Cards!$A$4:$A$1000&lt;&gt;"")*ISNUMBER(SEARCH($A196,Cards!$E$4:$E$1000)))),"-"))</f>
        <v/>
      </c>
      <c r="Q196" s="30"/>
      <c r="R196" s="27" t="str">
        <f>IF(OR($A196="",LEN(TRIM($O196))=0),"",IF(OR($P196="",$Q196=""),"ระบุ Severity + Impact",IFERROR(INDEX({"Urgent","Urgent","High","High";"Urgent","High","High","Medium";"High","High","Medium","Medium";"Medium","Medium","Low","Low"},MATCH($P196,{"Critical","High","Medium","Low"},0),MATCH($Q196,{"Extensive","Significant","Moderate","Minor"},0)),"-")))</f>
        <v/>
      </c>
      <c r="S196" s="30"/>
      <c r="T196" s="30"/>
      <c r="W196" s="32" t="str">
        <f>IF($A196="","",IF(OR($M196="Out of Scope",$M196="Canceled"),"Out of Scope",IF($M196="Blocked","Blocked",IF(AND($T196&lt;&gt;"Fixed – Retest Passed",OR(LEN(TRIM($O196))&gt;0,LEN(TRIM($P196))&gt;0)),IF(AND(OR($L196="Medium",$L196="Low"),SUMPRODUCT((Cards!$A$4:$A$1000&lt;&gt;"")*ISNUMBER(SEARCH($A196,Cards!$E$4:$E$1000))*(Cards!$F$4:$F$1000&lt;&gt;"Medium")*(Cards!$F$4:$F$1000&lt;&gt;"Low"))=0),"Conditionally Passed","Failed"),IF($M196="Done","Passed","Not Run")))))</f>
        <v/>
      </c>
      <c r="Y196" s="27" t="str" cm="1">
        <f t="array" ref="Y196">IF($A196="","",IF(TRIM($B196)="","-",IFERROR(_xlfn.TEXTJOIN(" / ",TRUE,_xlfn.UNIQUE(_xlfn._xlws.FILTER('Ownership Matrix'!$C$5:$C$200,('Ownership Matrix'!$A$5:$A$200=TRIM($B196))*('Ownership Matrix'!$C$5:$C$200&lt;&gt;"")))),"ไม่พบใน Ownership Matrix")))</f>
        <v/>
      </c>
      <c r="Z196" s="31" t="str">
        <f>IF(NOT(AND($A196&lt;&gt;"",$M196&lt;&gt;"Out of Scope",$M196&lt;&gt;"Canceled",$T196&lt;&gt;"Fixed – Retest Passed",OR(LEN(TRIM($O196))&gt;0,LEN(TRIM($P196))&gt;0))),"",IF(OR($W196="Failed",$R196="Urgent",$R196="High",$R196="ระบุ Severity + Impact"),IF(COUNTIFS(Dashboard!$B$105:$B$124,$O196,Dashboard!$I$105:$I$124,"CAB")&gt;0,"Accepted (CF)","Blocking"),"Deferrable"))</f>
        <v/>
      </c>
    </row>
    <row r="197" spans="7:26" x14ac:dyDescent="0.3">
      <c r="G197" s="27" t="str" cm="1">
        <f t="array" ref="G197">IF($A197="","",IFERROR(_xlfn.TEXTJOIN(CHAR(10)&amp;CHAR(10),TRUE,_xlfn._xlws.FILTER("•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"&amp;Cards!$L$4:$L$1000),(Cards!$A$4:$A$1000&lt;&gt;"")*ISNUMBER(SEARCH($A197,Cards!$E$4:$E$1000)))),"-"))</f>
        <v/>
      </c>
      <c r="Q197" s="30"/>
      <c r="R197" s="27" t="str">
        <f>IF(OR($A197="",LEN(TRIM($O197))=0),"",IF(OR($P197="",$Q197=""),"ระบุ Severity + Impact",IFERROR(INDEX({"Urgent","Urgent","High","High";"Urgent","High","High","Medium";"High","High","Medium","Medium";"Medium","Medium","Low","Low"},MATCH($P197,{"Critical","High","Medium","Low"},0),MATCH($Q197,{"Extensive","Significant","Moderate","Minor"},0)),"-")))</f>
        <v/>
      </c>
      <c r="S197" s="30"/>
      <c r="T197" s="30"/>
      <c r="W197" s="32" t="str">
        <f>IF($A197="","",IF(OR($M197="Out of Scope",$M197="Canceled"),"Out of Scope",IF($M197="Blocked","Blocked",IF(AND($T197&lt;&gt;"Fixed – Retest Passed",OR(LEN(TRIM($O197))&gt;0,LEN(TRIM($P197))&gt;0)),IF(AND(OR($L197="Medium",$L197="Low"),SUMPRODUCT((Cards!$A$4:$A$1000&lt;&gt;"")*ISNUMBER(SEARCH($A197,Cards!$E$4:$E$1000))*(Cards!$F$4:$F$1000&lt;&gt;"Medium")*(Cards!$F$4:$F$1000&lt;&gt;"Low"))=0),"Conditionally Passed","Failed"),IF($M197="Done","Passed","Not Run")))))</f>
        <v/>
      </c>
      <c r="Y197" s="27" t="str" cm="1">
        <f t="array" ref="Y197">IF($A197="","",IF(TRIM($B197)="","-",IFERROR(_xlfn.TEXTJOIN(" / ",TRUE,_xlfn.UNIQUE(_xlfn._xlws.FILTER('Ownership Matrix'!$C$5:$C$200,('Ownership Matrix'!$A$5:$A$200=TRIM($B197))*('Ownership Matrix'!$C$5:$C$200&lt;&gt;"")))),"ไม่พบใน Ownership Matrix")))</f>
        <v/>
      </c>
      <c r="Z197" s="31" t="str">
        <f>IF(NOT(AND($A197&lt;&gt;"",$M197&lt;&gt;"Out of Scope",$M197&lt;&gt;"Canceled",$T197&lt;&gt;"Fixed – Retest Passed",OR(LEN(TRIM($O197))&gt;0,LEN(TRIM($P197))&gt;0))),"",IF(OR($W197="Failed",$R197="Urgent",$R197="High",$R197="ระบุ Severity + Impact"),IF(COUNTIFS(Dashboard!$B$105:$B$124,$O197,Dashboard!$I$105:$I$124,"CAB")&gt;0,"Accepted (CF)","Blocking"),"Deferrable"))</f>
        <v/>
      </c>
    </row>
    <row r="198" spans="7:26" x14ac:dyDescent="0.3">
      <c r="G198" s="27" t="str" cm="1">
        <f t="array" ref="G198">IF($A198="","",IFERROR(_xlfn.TEXTJOIN(CHAR(10)&amp;CHAR(10),TRUE,_xlfn._xlws.FILTER("•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"&amp;Cards!$L$4:$L$1000),(Cards!$A$4:$A$1000&lt;&gt;"")*ISNUMBER(SEARCH($A198,Cards!$E$4:$E$1000)))),"-"))</f>
        <v/>
      </c>
      <c r="Q198" s="30"/>
      <c r="R198" s="27" t="str">
        <f>IF(OR($A198="",LEN(TRIM($O198))=0),"",IF(OR($P198="",$Q198=""),"ระบุ Severity + Impact",IFERROR(INDEX({"Urgent","Urgent","High","High";"Urgent","High","High","Medium";"High","High","Medium","Medium";"Medium","Medium","Low","Low"},MATCH($P198,{"Critical","High","Medium","Low"},0),MATCH($Q198,{"Extensive","Significant","Moderate","Minor"},0)),"-")))</f>
        <v/>
      </c>
      <c r="S198" s="30"/>
      <c r="T198" s="30"/>
      <c r="W198" s="32" t="str">
        <f>IF($A198="","",IF(OR($M198="Out of Scope",$M198="Canceled"),"Out of Scope",IF($M198="Blocked","Blocked",IF(AND($T198&lt;&gt;"Fixed – Retest Passed",OR(LEN(TRIM($O198))&gt;0,LEN(TRIM($P198))&gt;0)),IF(AND(OR($L198="Medium",$L198="Low"),SUMPRODUCT((Cards!$A$4:$A$1000&lt;&gt;"")*ISNUMBER(SEARCH($A198,Cards!$E$4:$E$1000))*(Cards!$F$4:$F$1000&lt;&gt;"Medium")*(Cards!$F$4:$F$1000&lt;&gt;"Low"))=0),"Conditionally Passed","Failed"),IF($M198="Done","Passed","Not Run")))))</f>
        <v/>
      </c>
      <c r="Y198" s="27" t="str" cm="1">
        <f t="array" ref="Y198">IF($A198="","",IF(TRIM($B198)="","-",IFERROR(_xlfn.TEXTJOIN(" / ",TRUE,_xlfn.UNIQUE(_xlfn._xlws.FILTER('Ownership Matrix'!$C$5:$C$200,('Ownership Matrix'!$A$5:$A$200=TRIM($B198))*('Ownership Matrix'!$C$5:$C$200&lt;&gt;"")))),"ไม่พบใน Ownership Matrix")))</f>
        <v/>
      </c>
      <c r="Z198" s="31" t="str">
        <f>IF(NOT(AND($A198&lt;&gt;"",$M198&lt;&gt;"Out of Scope",$M198&lt;&gt;"Canceled",$T198&lt;&gt;"Fixed – Retest Passed",OR(LEN(TRIM($O198))&gt;0,LEN(TRIM($P198))&gt;0))),"",IF(OR($W198="Failed",$R198="Urgent",$R198="High",$R198="ระบุ Severity + Impact"),IF(COUNTIFS(Dashboard!$B$105:$B$124,$O198,Dashboard!$I$105:$I$124,"CAB")&gt;0,"Accepted (CF)","Blocking"),"Deferrable"))</f>
        <v/>
      </c>
    </row>
    <row r="199" spans="7:26" x14ac:dyDescent="0.3">
      <c r="G199" s="27" t="str" cm="1">
        <f t="array" ref="G199">IF($A199="","",IFERROR(_xlfn.TEXTJOIN(CHAR(10)&amp;CHAR(10),TRUE,_xlfn._xlws.FILTER("•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"&amp;Cards!$L$4:$L$1000),(Cards!$A$4:$A$1000&lt;&gt;"")*ISNUMBER(SEARCH($A199,Cards!$E$4:$E$1000)))),"-"))</f>
        <v/>
      </c>
      <c r="Q199" s="30"/>
      <c r="R199" s="27" t="str">
        <f>IF(OR($A199="",LEN(TRIM($O199))=0),"",IF(OR($P199="",$Q199=""),"ระบุ Severity + Impact",IFERROR(INDEX({"Urgent","Urgent","High","High";"Urgent","High","High","Medium";"High","High","Medium","Medium";"Medium","Medium","Low","Low"},MATCH($P199,{"Critical","High","Medium","Low"},0),MATCH($Q199,{"Extensive","Significant","Moderate","Minor"},0)),"-")))</f>
        <v/>
      </c>
      <c r="S199" s="30"/>
      <c r="T199" s="30"/>
      <c r="W199" s="32" t="str">
        <f>IF($A199="","",IF(OR($M199="Out of Scope",$M199="Canceled"),"Out of Scope",IF($M199="Blocked","Blocked",IF(AND($T199&lt;&gt;"Fixed – Retest Passed",OR(LEN(TRIM($O199))&gt;0,LEN(TRIM($P199))&gt;0)),IF(AND(OR($L199="Medium",$L199="Low"),SUMPRODUCT((Cards!$A$4:$A$1000&lt;&gt;"")*ISNUMBER(SEARCH($A199,Cards!$E$4:$E$1000))*(Cards!$F$4:$F$1000&lt;&gt;"Medium")*(Cards!$F$4:$F$1000&lt;&gt;"Low"))=0),"Conditionally Passed","Failed"),IF($M199="Done","Passed","Not Run")))))</f>
        <v/>
      </c>
      <c r="Y199" s="27" t="str" cm="1">
        <f t="array" ref="Y199">IF($A199="","",IF(TRIM($B199)="","-",IFERROR(_xlfn.TEXTJOIN(" / ",TRUE,_xlfn.UNIQUE(_xlfn._xlws.FILTER('Ownership Matrix'!$C$5:$C$200,('Ownership Matrix'!$A$5:$A$200=TRIM($B199))*('Ownership Matrix'!$C$5:$C$200&lt;&gt;"")))),"ไม่พบใน Ownership Matrix")))</f>
        <v/>
      </c>
      <c r="Z199" s="31" t="str">
        <f>IF(NOT(AND($A199&lt;&gt;"",$M199&lt;&gt;"Out of Scope",$M199&lt;&gt;"Canceled",$T199&lt;&gt;"Fixed – Retest Passed",OR(LEN(TRIM($O199))&gt;0,LEN(TRIM($P199))&gt;0))),"",IF(OR($W199="Failed",$R199="Urgent",$R199="High",$R199="ระบุ Severity + Impact"),IF(COUNTIFS(Dashboard!$B$105:$B$124,$O199,Dashboard!$I$105:$I$124,"CAB")&gt;0,"Accepted (CF)","Blocking"),"Deferrable"))</f>
        <v/>
      </c>
    </row>
    <row r="200" spans="7:26" x14ac:dyDescent="0.3">
      <c r="G200" s="27" t="str" cm="1">
        <f t="array" ref="G200">IF($A200="","",IFERROR(_xlfn.TEXTJOIN(CHAR(10)&amp;CHAR(10),TRUE,_xlfn._xlws.FILTER("•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"&amp;Cards!$L$4:$L$1000),(Cards!$A$4:$A$1000&lt;&gt;"")*ISNUMBER(SEARCH($A200,Cards!$E$4:$E$1000)))),"-"))</f>
        <v/>
      </c>
      <c r="Q200" s="30"/>
      <c r="R200" s="27" t="str">
        <f>IF(OR($A200="",LEN(TRIM($O200))=0),"",IF(OR($P200="",$Q200=""),"ระบุ Severity + Impact",IFERROR(INDEX({"Urgent","Urgent","High","High";"Urgent","High","High","Medium";"High","High","Medium","Medium";"Medium","Medium","Low","Low"},MATCH($P200,{"Critical","High","Medium","Low"},0),MATCH($Q200,{"Extensive","Significant","Moderate","Minor"},0)),"-")))</f>
        <v/>
      </c>
      <c r="S200" s="30"/>
      <c r="T200" s="30"/>
      <c r="W200" s="32" t="str">
        <f>IF($A200="","",IF(OR($M200="Out of Scope",$M200="Canceled"),"Out of Scope",IF($M200="Blocked","Blocked",IF(AND($T200&lt;&gt;"Fixed – Retest Passed",OR(LEN(TRIM($O200))&gt;0,LEN(TRIM($P200))&gt;0)),IF(AND(OR($L200="Medium",$L200="Low"),SUMPRODUCT((Cards!$A$4:$A$1000&lt;&gt;"")*ISNUMBER(SEARCH($A200,Cards!$E$4:$E$1000))*(Cards!$F$4:$F$1000&lt;&gt;"Medium")*(Cards!$F$4:$F$1000&lt;&gt;"Low"))=0),"Conditionally Passed","Failed"),IF($M200="Done","Passed","Not Run")))))</f>
        <v/>
      </c>
      <c r="Y200" s="27" t="str" cm="1">
        <f t="array" ref="Y200">IF($A200="","",IF(TRIM($B200)="","-",IFERROR(_xlfn.TEXTJOIN(" / ",TRUE,_xlfn.UNIQUE(_xlfn._xlws.FILTER('Ownership Matrix'!$C$5:$C$200,('Ownership Matrix'!$A$5:$A$200=TRIM($B200))*('Ownership Matrix'!$C$5:$C$200&lt;&gt;"")))),"ไม่พบใน Ownership Matrix")))</f>
        <v/>
      </c>
      <c r="Z200" s="31" t="str">
        <f>IF(NOT(AND($A200&lt;&gt;"",$M200&lt;&gt;"Out of Scope",$M200&lt;&gt;"Canceled",$T200&lt;&gt;"Fixed – Retest Passed",OR(LEN(TRIM($O200))&gt;0,LEN(TRIM($P200))&gt;0))),"",IF(OR($W200="Failed",$R200="Urgent",$R200="High",$R200="ระบุ Severity + Impact"),IF(COUNTIFS(Dashboard!$B$105:$B$124,$O200,Dashboard!$I$105:$I$124,"CAB")&gt;0,"Accepted (CF)","Blocking"),"Deferrable"))</f>
        <v/>
      </c>
    </row>
    <row r="201" spans="7:26" x14ac:dyDescent="0.3">
      <c r="G201" s="27" t="str" cm="1">
        <f t="array" ref="G201">IF($A201="","",IFERROR(_xlfn.TEXTJOIN(CHAR(10)&amp;CHAR(10),TRUE,_xlfn._xlws.FILTER("•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"&amp;Cards!$L$4:$L$1000),(Cards!$A$4:$A$1000&lt;&gt;"")*ISNUMBER(SEARCH($A201,Cards!$E$4:$E$1000)))),"-"))</f>
        <v/>
      </c>
      <c r="Q201" s="30"/>
      <c r="R201" s="27" t="str">
        <f>IF(OR($A201="",LEN(TRIM($O201))=0),"",IF(OR($P201="",$Q201=""),"ระบุ Severity + Impact",IFERROR(INDEX({"Urgent","Urgent","High","High";"Urgent","High","High","Medium";"High","High","Medium","Medium";"Medium","Medium","Low","Low"},MATCH($P201,{"Critical","High","Medium","Low"},0),MATCH($Q201,{"Extensive","Significant","Moderate","Minor"},0)),"-")))</f>
        <v/>
      </c>
      <c r="S201" s="30"/>
      <c r="T201" s="30"/>
      <c r="W201" s="32" t="str">
        <f>IF($A201="","",IF(OR($M201="Out of Scope",$M201="Canceled"),"Out of Scope",IF($M201="Blocked","Blocked",IF(AND($T201&lt;&gt;"Fixed – Retest Passed",OR(LEN(TRIM($O201))&gt;0,LEN(TRIM($P201))&gt;0)),IF(AND(OR($L201="Medium",$L201="Low"),SUMPRODUCT((Cards!$A$4:$A$1000&lt;&gt;"")*ISNUMBER(SEARCH($A201,Cards!$E$4:$E$1000))*(Cards!$F$4:$F$1000&lt;&gt;"Medium")*(Cards!$F$4:$F$1000&lt;&gt;"Low"))=0),"Conditionally Passed","Failed"),IF($M201="Done","Passed","Not Run")))))</f>
        <v/>
      </c>
      <c r="Y201" s="27" t="str" cm="1">
        <f t="array" ref="Y201">IF($A201="","",IF(TRIM($B201)="","-",IFERROR(_xlfn.TEXTJOIN(" / ",TRUE,_xlfn.UNIQUE(_xlfn._xlws.FILTER('Ownership Matrix'!$C$5:$C$200,('Ownership Matrix'!$A$5:$A$200=TRIM($B201))*('Ownership Matrix'!$C$5:$C$200&lt;&gt;"")))),"ไม่พบใน Ownership Matrix")))</f>
        <v/>
      </c>
      <c r="Z201" s="31" t="str">
        <f>IF(NOT(AND($A201&lt;&gt;"",$M201&lt;&gt;"Out of Scope",$M201&lt;&gt;"Canceled",$T201&lt;&gt;"Fixed – Retest Passed",OR(LEN(TRIM($O201))&gt;0,LEN(TRIM($P201))&gt;0))),"",IF(OR($W201="Failed",$R201="Urgent",$R201="High",$R201="ระบุ Severity + Impact"),IF(COUNTIFS(Dashboard!$B$105:$B$124,$O201,Dashboard!$I$105:$I$124,"CAB")&gt;0,"Accepted (CF)","Blocking"),"Deferrable"))</f>
        <v/>
      </c>
    </row>
    <row r="202" spans="7:26" x14ac:dyDescent="0.3">
      <c r="G202" s="27" t="str" cm="1">
        <f t="array" ref="G202">IF($A202="","",IFERROR(_xlfn.TEXTJOIN(CHAR(10)&amp;CHAR(10),TRUE,_xlfn._xlws.FILTER("•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"&amp;Cards!$L$4:$L$1000),(Cards!$A$4:$A$1000&lt;&gt;"")*ISNUMBER(SEARCH($A202,Cards!$E$4:$E$1000)))),"-"))</f>
        <v/>
      </c>
      <c r="Q202" s="30"/>
      <c r="R202" s="27" t="str">
        <f>IF(OR($A202="",LEN(TRIM($O202))=0),"",IF(OR($P202="",$Q202=""),"ระบุ Severity + Impact",IFERROR(INDEX({"Urgent","Urgent","High","High";"Urgent","High","High","Medium";"High","High","Medium","Medium";"Medium","Medium","Low","Low"},MATCH($P202,{"Critical","High","Medium","Low"},0),MATCH($Q202,{"Extensive","Significant","Moderate","Minor"},0)),"-")))</f>
        <v/>
      </c>
      <c r="S202" s="30"/>
      <c r="T202" s="30"/>
      <c r="W202" s="32" t="str">
        <f>IF($A202="","",IF(OR($M202="Out of Scope",$M202="Canceled"),"Out of Scope",IF($M202="Blocked","Blocked",IF(AND($T202&lt;&gt;"Fixed – Retest Passed",OR(LEN(TRIM($O202))&gt;0,LEN(TRIM($P202))&gt;0)),IF(AND(OR($L202="Medium",$L202="Low"),SUMPRODUCT((Cards!$A$4:$A$1000&lt;&gt;"")*ISNUMBER(SEARCH($A202,Cards!$E$4:$E$1000))*(Cards!$F$4:$F$1000&lt;&gt;"Medium")*(Cards!$F$4:$F$1000&lt;&gt;"Low"))=0),"Conditionally Passed","Failed"),IF($M202="Done","Passed","Not Run")))))</f>
        <v/>
      </c>
      <c r="Y202" s="27" t="str" cm="1">
        <f t="array" ref="Y202">IF($A202="","",IF(TRIM($B202)="","-",IFERROR(_xlfn.TEXTJOIN(" / ",TRUE,_xlfn.UNIQUE(_xlfn._xlws.FILTER('Ownership Matrix'!$C$5:$C$200,('Ownership Matrix'!$A$5:$A$200=TRIM($B202))*('Ownership Matrix'!$C$5:$C$200&lt;&gt;"")))),"ไม่พบใน Ownership Matrix")))</f>
        <v/>
      </c>
      <c r="Z202" s="31" t="str">
        <f>IF(NOT(AND($A202&lt;&gt;"",$M202&lt;&gt;"Out of Scope",$M202&lt;&gt;"Canceled",$T202&lt;&gt;"Fixed – Retest Passed",OR(LEN(TRIM($O202))&gt;0,LEN(TRIM($P202))&gt;0))),"",IF(OR($W202="Failed",$R202="Urgent",$R202="High",$R202="ระบุ Severity + Impact"),IF(COUNTIFS(Dashboard!$B$105:$B$124,$O202,Dashboard!$I$105:$I$124,"CAB")&gt;0,"Accepted (CF)","Blocking"),"Deferrable"))</f>
        <v/>
      </c>
    </row>
    <row r="203" spans="7:26" x14ac:dyDescent="0.3">
      <c r="G203" s="27" t="str" cm="1">
        <f t="array" ref="G203">IF($A203="","",IFERROR(_xlfn.TEXTJOIN(CHAR(10)&amp;CHAR(10),TRUE,_xlfn._xlws.FILTER("•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"&amp;Cards!$L$4:$L$1000),(Cards!$A$4:$A$1000&lt;&gt;"")*ISNUMBER(SEARCH($A203,Cards!$E$4:$E$1000)))),"-"))</f>
        <v/>
      </c>
      <c r="Q203" s="30"/>
      <c r="R203" s="27" t="str">
        <f>IF(OR($A203="",LEN(TRIM($O203))=0),"",IF(OR($P203="",$Q203=""),"ระบุ Severity + Impact",IFERROR(INDEX({"Urgent","Urgent","High","High";"Urgent","High","High","Medium";"High","High","Medium","Medium";"Medium","Medium","Low","Low"},MATCH($P203,{"Critical","High","Medium","Low"},0),MATCH($Q203,{"Extensive","Significant","Moderate","Minor"},0)),"-")))</f>
        <v/>
      </c>
      <c r="S203" s="30"/>
      <c r="T203" s="30"/>
      <c r="W203" s="32" t="str">
        <f>IF($A203="","",IF(OR($M203="Out of Scope",$M203="Canceled"),"Out of Scope",IF($M203="Blocked","Blocked",IF(AND($T203&lt;&gt;"Fixed – Retest Passed",OR(LEN(TRIM($O203))&gt;0,LEN(TRIM($P203))&gt;0)),IF(AND(OR($L203="Medium",$L203="Low"),SUMPRODUCT((Cards!$A$4:$A$1000&lt;&gt;"")*ISNUMBER(SEARCH($A203,Cards!$E$4:$E$1000))*(Cards!$F$4:$F$1000&lt;&gt;"Medium")*(Cards!$F$4:$F$1000&lt;&gt;"Low"))=0),"Conditionally Passed","Failed"),IF($M203="Done","Passed","Not Run")))))</f>
        <v/>
      </c>
      <c r="Y203" s="27" t="str" cm="1">
        <f t="array" ref="Y203">IF($A203="","",IF(TRIM($B203)="","-",IFERROR(_xlfn.TEXTJOIN(" / ",TRUE,_xlfn.UNIQUE(_xlfn._xlws.FILTER('Ownership Matrix'!$C$5:$C$200,('Ownership Matrix'!$A$5:$A$200=TRIM($B203))*('Ownership Matrix'!$C$5:$C$200&lt;&gt;"")))),"ไม่พบใน Ownership Matrix")))</f>
        <v/>
      </c>
      <c r="Z203" s="31" t="str">
        <f>IF(NOT(AND($A203&lt;&gt;"",$M203&lt;&gt;"Out of Scope",$M203&lt;&gt;"Canceled",$T203&lt;&gt;"Fixed – Retest Passed",OR(LEN(TRIM($O203))&gt;0,LEN(TRIM($P203))&gt;0))),"",IF(OR($W203="Failed",$R203="Urgent",$R203="High",$R203="ระบุ Severity + Impact"),IF(COUNTIFS(Dashboard!$B$105:$B$124,$O203,Dashboard!$I$105:$I$124,"CAB")&gt;0,"Accepted (CF)","Blocking"),"Deferrable"))</f>
        <v/>
      </c>
    </row>
    <row r="204" spans="7:26" x14ac:dyDescent="0.3">
      <c r="G204" s="27" t="str" cm="1">
        <f t="array" ref="G204">IF($A204="","",IFERROR(_xlfn.TEXTJOIN(CHAR(10)&amp;CHAR(10),TRUE,_xlfn._xlws.FILTER("•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"&amp;Cards!$L$4:$L$1000),(Cards!$A$4:$A$1000&lt;&gt;"")*ISNUMBER(SEARCH($A204,Cards!$E$4:$E$1000)))),"-"))</f>
        <v/>
      </c>
      <c r="Q204" s="30"/>
      <c r="R204" s="27" t="str">
        <f>IF(OR($A204="",LEN(TRIM($O204))=0),"",IF(OR($P204="",$Q204=""),"ระบุ Severity + Impact",IFERROR(INDEX({"Urgent","Urgent","High","High";"Urgent","High","High","Medium";"High","High","Medium","Medium";"Medium","Medium","Low","Low"},MATCH($P204,{"Critical","High","Medium","Low"},0),MATCH($Q204,{"Extensive","Significant","Moderate","Minor"},0)),"-")))</f>
        <v/>
      </c>
      <c r="S204" s="30"/>
      <c r="T204" s="30"/>
      <c r="W204" s="32" t="str">
        <f>IF($A204="","",IF(OR($M204="Out of Scope",$M204="Canceled"),"Out of Scope",IF($M204="Blocked","Blocked",IF(AND($T204&lt;&gt;"Fixed – Retest Passed",OR(LEN(TRIM($O204))&gt;0,LEN(TRIM($P204))&gt;0)),IF(AND(OR($L204="Medium",$L204="Low"),SUMPRODUCT((Cards!$A$4:$A$1000&lt;&gt;"")*ISNUMBER(SEARCH($A204,Cards!$E$4:$E$1000))*(Cards!$F$4:$F$1000&lt;&gt;"Medium")*(Cards!$F$4:$F$1000&lt;&gt;"Low"))=0),"Conditionally Passed","Failed"),IF($M204="Done","Passed","Not Run")))))</f>
        <v/>
      </c>
      <c r="Y204" s="27" t="str" cm="1">
        <f t="array" ref="Y204">IF($A204="","",IF(TRIM($B204)="","-",IFERROR(_xlfn.TEXTJOIN(" / ",TRUE,_xlfn.UNIQUE(_xlfn._xlws.FILTER('Ownership Matrix'!$C$5:$C$200,('Ownership Matrix'!$A$5:$A$200=TRIM($B204))*('Ownership Matrix'!$C$5:$C$200&lt;&gt;"")))),"ไม่พบใน Ownership Matrix")))</f>
        <v/>
      </c>
      <c r="Z204" s="31" t="str">
        <f>IF(NOT(AND($A204&lt;&gt;"",$M204&lt;&gt;"Out of Scope",$M204&lt;&gt;"Canceled",$T204&lt;&gt;"Fixed – Retest Passed",OR(LEN(TRIM($O204))&gt;0,LEN(TRIM($P204))&gt;0))),"",IF(OR($W204="Failed",$R204="Urgent",$R204="High",$R204="ระบุ Severity + Impact"),IF(COUNTIFS(Dashboard!$B$105:$B$124,$O204,Dashboard!$I$105:$I$124,"CAB")&gt;0,"Accepted (CF)","Blocking"),"Deferrable"))</f>
        <v/>
      </c>
    </row>
    <row r="205" spans="7:26" x14ac:dyDescent="0.3">
      <c r="G205" s="27" t="str" cm="1">
        <f t="array" ref="G205">IF($A205="","",IFERROR(_xlfn.TEXTJOIN(CHAR(10)&amp;CHAR(10),TRUE,_xlfn._xlws.FILTER("•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"&amp;Cards!$L$4:$L$1000),(Cards!$A$4:$A$1000&lt;&gt;"")*ISNUMBER(SEARCH($A205,Cards!$E$4:$E$1000)))),"-"))</f>
        <v/>
      </c>
      <c r="Q205" s="30"/>
      <c r="R205" s="27" t="str">
        <f>IF(OR($A205="",LEN(TRIM($O205))=0),"",IF(OR($P205="",$Q205=""),"ระบุ Severity + Impact",IFERROR(INDEX({"Urgent","Urgent","High","High";"Urgent","High","High","Medium";"High","High","Medium","Medium";"Medium","Medium","Low","Low"},MATCH($P205,{"Critical","High","Medium","Low"},0),MATCH($Q205,{"Extensive","Significant","Moderate","Minor"},0)),"-")))</f>
        <v/>
      </c>
      <c r="S205" s="30"/>
      <c r="T205" s="30"/>
      <c r="W205" s="32" t="str">
        <f>IF($A205="","",IF(OR($M205="Out of Scope",$M205="Canceled"),"Out of Scope",IF($M205="Blocked","Blocked",IF(AND($T205&lt;&gt;"Fixed – Retest Passed",OR(LEN(TRIM($O205))&gt;0,LEN(TRIM($P205))&gt;0)),IF(AND(OR($L205="Medium",$L205="Low"),SUMPRODUCT((Cards!$A$4:$A$1000&lt;&gt;"")*ISNUMBER(SEARCH($A205,Cards!$E$4:$E$1000))*(Cards!$F$4:$F$1000&lt;&gt;"Medium")*(Cards!$F$4:$F$1000&lt;&gt;"Low"))=0),"Conditionally Passed","Failed"),IF($M205="Done","Passed","Not Run")))))</f>
        <v/>
      </c>
      <c r="Y205" s="27" t="str" cm="1">
        <f t="array" ref="Y205">IF($A205="","",IF(TRIM($B205)="","-",IFERROR(_xlfn.TEXTJOIN(" / ",TRUE,_xlfn.UNIQUE(_xlfn._xlws.FILTER('Ownership Matrix'!$C$5:$C$200,('Ownership Matrix'!$A$5:$A$200=TRIM($B205))*('Ownership Matrix'!$C$5:$C$200&lt;&gt;"")))),"ไม่พบใน Ownership Matrix")))</f>
        <v/>
      </c>
      <c r="Z205" s="31" t="str">
        <f>IF(NOT(AND($A205&lt;&gt;"",$M205&lt;&gt;"Out of Scope",$M205&lt;&gt;"Canceled",$T205&lt;&gt;"Fixed – Retest Passed",OR(LEN(TRIM($O205))&gt;0,LEN(TRIM($P205))&gt;0))),"",IF(OR($W205="Failed",$R205="Urgent",$R205="High",$R205="ระบุ Severity + Impact"),IF(COUNTIFS(Dashboard!$B$105:$B$124,$O205,Dashboard!$I$105:$I$124,"CAB")&gt;0,"Accepted (CF)","Blocking"),"Deferrable"))</f>
        <v/>
      </c>
    </row>
    <row r="206" spans="7:26" x14ac:dyDescent="0.3">
      <c r="G206" s="27" t="str" cm="1">
        <f t="array" ref="G206">IF($A206="","",IFERROR(_xlfn.TEXTJOIN(CHAR(10)&amp;CHAR(10),TRUE,_xlfn._xlws.FILTER("•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"&amp;Cards!$L$4:$L$1000),(Cards!$A$4:$A$1000&lt;&gt;"")*ISNUMBER(SEARCH($A206,Cards!$E$4:$E$1000)))),"-"))</f>
        <v/>
      </c>
      <c r="Q206" s="30"/>
      <c r="R206" s="27" t="str">
        <f>IF(OR($A206="",LEN(TRIM($O206))=0),"",IF(OR($P206="",$Q206=""),"ระบุ Severity + Impact",IFERROR(INDEX({"Urgent","Urgent","High","High";"Urgent","High","High","Medium";"High","High","Medium","Medium";"Medium","Medium","Low","Low"},MATCH($P206,{"Critical","High","Medium","Low"},0),MATCH($Q206,{"Extensive","Significant","Moderate","Minor"},0)),"-")))</f>
        <v/>
      </c>
      <c r="S206" s="30"/>
      <c r="T206" s="30"/>
      <c r="W206" s="32" t="str">
        <f>IF($A206="","",IF(OR($M206="Out of Scope",$M206="Canceled"),"Out of Scope",IF($M206="Blocked","Blocked",IF(AND($T206&lt;&gt;"Fixed – Retest Passed",OR(LEN(TRIM($O206))&gt;0,LEN(TRIM($P206))&gt;0)),IF(AND(OR($L206="Medium",$L206="Low"),SUMPRODUCT((Cards!$A$4:$A$1000&lt;&gt;"")*ISNUMBER(SEARCH($A206,Cards!$E$4:$E$1000))*(Cards!$F$4:$F$1000&lt;&gt;"Medium")*(Cards!$F$4:$F$1000&lt;&gt;"Low"))=0),"Conditionally Passed","Failed"),IF($M206="Done","Passed","Not Run")))))</f>
        <v/>
      </c>
      <c r="Y206" s="27" t="str" cm="1">
        <f t="array" ref="Y206">IF($A206="","",IF(TRIM($B206)="","-",IFERROR(_xlfn.TEXTJOIN(" / ",TRUE,_xlfn.UNIQUE(_xlfn._xlws.FILTER('Ownership Matrix'!$C$5:$C$200,('Ownership Matrix'!$A$5:$A$200=TRIM($B206))*('Ownership Matrix'!$C$5:$C$200&lt;&gt;"")))),"ไม่พบใน Ownership Matrix")))</f>
        <v/>
      </c>
      <c r="Z206" s="31" t="str">
        <f>IF(NOT(AND($A206&lt;&gt;"",$M206&lt;&gt;"Out of Scope",$M206&lt;&gt;"Canceled",$T206&lt;&gt;"Fixed – Retest Passed",OR(LEN(TRIM($O206))&gt;0,LEN(TRIM($P206))&gt;0))),"",IF(OR($W206="Failed",$R206="Urgent",$R206="High",$R206="ระบุ Severity + Impact"),IF(COUNTIFS(Dashboard!$B$105:$B$124,$O206,Dashboard!$I$105:$I$124,"CAB")&gt;0,"Accepted (CF)","Blocking"),"Deferrable"))</f>
        <v/>
      </c>
    </row>
    <row r="207" spans="7:26" x14ac:dyDescent="0.3">
      <c r="G207" s="27" t="str" cm="1">
        <f t="array" ref="G207">IF($A207="","",IFERROR(_xlfn.TEXTJOIN(CHAR(10)&amp;CHAR(10),TRUE,_xlfn._xlws.FILTER("•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"&amp;Cards!$L$4:$L$1000),(Cards!$A$4:$A$1000&lt;&gt;"")*ISNUMBER(SEARCH($A207,Cards!$E$4:$E$1000)))),"-"))</f>
        <v/>
      </c>
      <c r="Q207" s="30"/>
      <c r="R207" s="27" t="str">
        <f>IF(OR($A207="",LEN(TRIM($O207))=0),"",IF(OR($P207="",$Q207=""),"ระบุ Severity + Impact",IFERROR(INDEX({"Urgent","Urgent","High","High";"Urgent","High","High","Medium";"High","High","Medium","Medium";"Medium","Medium","Low","Low"},MATCH($P207,{"Critical","High","Medium","Low"},0),MATCH($Q207,{"Extensive","Significant","Moderate","Minor"},0)),"-")))</f>
        <v/>
      </c>
      <c r="S207" s="30"/>
      <c r="T207" s="30"/>
      <c r="W207" s="32" t="str">
        <f>IF($A207="","",IF(OR($M207="Out of Scope",$M207="Canceled"),"Out of Scope",IF($M207="Blocked","Blocked",IF(AND($T207&lt;&gt;"Fixed – Retest Passed",OR(LEN(TRIM($O207))&gt;0,LEN(TRIM($P207))&gt;0)),IF(AND(OR($L207="Medium",$L207="Low"),SUMPRODUCT((Cards!$A$4:$A$1000&lt;&gt;"")*ISNUMBER(SEARCH($A207,Cards!$E$4:$E$1000))*(Cards!$F$4:$F$1000&lt;&gt;"Medium")*(Cards!$F$4:$F$1000&lt;&gt;"Low"))=0),"Conditionally Passed","Failed"),IF($M207="Done","Passed","Not Run")))))</f>
        <v/>
      </c>
      <c r="Y207" s="27" t="str" cm="1">
        <f t="array" ref="Y207">IF($A207="","",IF(TRIM($B207)="","-",IFERROR(_xlfn.TEXTJOIN(" / ",TRUE,_xlfn.UNIQUE(_xlfn._xlws.FILTER('Ownership Matrix'!$C$5:$C$200,('Ownership Matrix'!$A$5:$A$200=TRIM($B207))*('Ownership Matrix'!$C$5:$C$200&lt;&gt;"")))),"ไม่พบใน Ownership Matrix")))</f>
        <v/>
      </c>
      <c r="Z207" s="31" t="str">
        <f>IF(NOT(AND($A207&lt;&gt;"",$M207&lt;&gt;"Out of Scope",$M207&lt;&gt;"Canceled",$T207&lt;&gt;"Fixed – Retest Passed",OR(LEN(TRIM($O207))&gt;0,LEN(TRIM($P207))&gt;0))),"",IF(OR($W207="Failed",$R207="Urgent",$R207="High",$R207="ระบุ Severity + Impact"),IF(COUNTIFS(Dashboard!$B$105:$B$124,$O207,Dashboard!$I$105:$I$124,"CAB")&gt;0,"Accepted (CF)","Blocking"),"Deferrable"))</f>
        <v/>
      </c>
    </row>
    <row r="208" spans="7:26" x14ac:dyDescent="0.3">
      <c r="G208" s="27" t="str" cm="1">
        <f t="array" ref="G208">IF($A208="","",IFERROR(_xlfn.TEXTJOIN(CHAR(10)&amp;CHAR(10),TRUE,_xlfn._xlws.FILTER("•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"&amp;Cards!$L$4:$L$1000),(Cards!$A$4:$A$1000&lt;&gt;"")*ISNUMBER(SEARCH($A208,Cards!$E$4:$E$1000)))),"-"))</f>
        <v/>
      </c>
      <c r="Q208" s="30"/>
      <c r="R208" s="27" t="str">
        <f>IF(OR($A208="",LEN(TRIM($O208))=0),"",IF(OR($P208="",$Q208=""),"ระบุ Severity + Impact",IFERROR(INDEX({"Urgent","Urgent","High","High";"Urgent","High","High","Medium";"High","High","Medium","Medium";"Medium","Medium","Low","Low"},MATCH($P208,{"Critical","High","Medium","Low"},0),MATCH($Q208,{"Extensive","Significant","Moderate","Minor"},0)),"-")))</f>
        <v/>
      </c>
      <c r="S208" s="30"/>
      <c r="T208" s="30"/>
      <c r="W208" s="32" t="str">
        <f>IF($A208="","",IF(OR($M208="Out of Scope",$M208="Canceled"),"Out of Scope",IF($M208="Blocked","Blocked",IF(AND($T208&lt;&gt;"Fixed – Retest Passed",OR(LEN(TRIM($O208))&gt;0,LEN(TRIM($P208))&gt;0)),IF(AND(OR($L208="Medium",$L208="Low"),SUMPRODUCT((Cards!$A$4:$A$1000&lt;&gt;"")*ISNUMBER(SEARCH($A208,Cards!$E$4:$E$1000))*(Cards!$F$4:$F$1000&lt;&gt;"Medium")*(Cards!$F$4:$F$1000&lt;&gt;"Low"))=0),"Conditionally Passed","Failed"),IF($M208="Done","Passed","Not Run")))))</f>
        <v/>
      </c>
      <c r="Y208" s="27" t="str" cm="1">
        <f t="array" ref="Y208">IF($A208="","",IF(TRIM($B208)="","-",IFERROR(_xlfn.TEXTJOIN(" / ",TRUE,_xlfn.UNIQUE(_xlfn._xlws.FILTER('Ownership Matrix'!$C$5:$C$200,('Ownership Matrix'!$A$5:$A$200=TRIM($B208))*('Ownership Matrix'!$C$5:$C$200&lt;&gt;"")))),"ไม่พบใน Ownership Matrix")))</f>
        <v/>
      </c>
      <c r="Z208" s="31" t="str">
        <f>IF(NOT(AND($A208&lt;&gt;"",$M208&lt;&gt;"Out of Scope",$M208&lt;&gt;"Canceled",$T208&lt;&gt;"Fixed – Retest Passed",OR(LEN(TRIM($O208))&gt;0,LEN(TRIM($P208))&gt;0))),"",IF(OR($W208="Failed",$R208="Urgent",$R208="High",$R208="ระบุ Severity + Impact"),IF(COUNTIFS(Dashboard!$B$105:$B$124,$O208,Dashboard!$I$105:$I$124,"CAB")&gt;0,"Accepted (CF)","Blocking"),"Deferrable"))</f>
        <v/>
      </c>
    </row>
    <row r="209" spans="7:26" x14ac:dyDescent="0.3">
      <c r="G209" s="27" t="str" cm="1">
        <f t="array" ref="G209">IF($A209="","",IFERROR(_xlfn.TEXTJOIN(CHAR(10)&amp;CHAR(10),TRUE,_xlfn._xlws.FILTER("•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"&amp;Cards!$L$4:$L$1000),(Cards!$A$4:$A$1000&lt;&gt;"")*ISNUMBER(SEARCH($A209,Cards!$E$4:$E$1000)))),"-"))</f>
        <v/>
      </c>
      <c r="Q209" s="30"/>
      <c r="R209" s="27" t="str">
        <f>IF(OR($A209="",LEN(TRIM($O209))=0),"",IF(OR($P209="",$Q209=""),"ระบุ Severity + Impact",IFERROR(INDEX({"Urgent","Urgent","High","High";"Urgent","High","High","Medium";"High","High","Medium","Medium";"Medium","Medium","Low","Low"},MATCH($P209,{"Critical","High","Medium","Low"},0),MATCH($Q209,{"Extensive","Significant","Moderate","Minor"},0)),"-")))</f>
        <v/>
      </c>
      <c r="S209" s="30"/>
      <c r="T209" s="30"/>
      <c r="W209" s="32" t="str">
        <f>IF($A209="","",IF(OR($M209="Out of Scope",$M209="Canceled"),"Out of Scope",IF($M209="Blocked","Blocked",IF(AND($T209&lt;&gt;"Fixed – Retest Passed",OR(LEN(TRIM($O209))&gt;0,LEN(TRIM($P209))&gt;0)),IF(AND(OR($L209="Medium",$L209="Low"),SUMPRODUCT((Cards!$A$4:$A$1000&lt;&gt;"")*ISNUMBER(SEARCH($A209,Cards!$E$4:$E$1000))*(Cards!$F$4:$F$1000&lt;&gt;"Medium")*(Cards!$F$4:$F$1000&lt;&gt;"Low"))=0),"Conditionally Passed","Failed"),IF($M209="Done","Passed","Not Run")))))</f>
        <v/>
      </c>
      <c r="Y209" s="27" t="str" cm="1">
        <f t="array" ref="Y209">IF($A209="","",IF(TRIM($B209)="","-",IFERROR(_xlfn.TEXTJOIN(" / ",TRUE,_xlfn.UNIQUE(_xlfn._xlws.FILTER('Ownership Matrix'!$C$5:$C$200,('Ownership Matrix'!$A$5:$A$200=TRIM($B209))*('Ownership Matrix'!$C$5:$C$200&lt;&gt;"")))),"ไม่พบใน Ownership Matrix")))</f>
        <v/>
      </c>
      <c r="Z209" s="31" t="str">
        <f>IF(NOT(AND($A209&lt;&gt;"",$M209&lt;&gt;"Out of Scope",$M209&lt;&gt;"Canceled",$T209&lt;&gt;"Fixed – Retest Passed",OR(LEN(TRIM($O209))&gt;0,LEN(TRIM($P209))&gt;0))),"",IF(OR($W209="Failed",$R209="Urgent",$R209="High",$R209="ระบุ Severity + Impact"),IF(COUNTIFS(Dashboard!$B$105:$B$124,$O209,Dashboard!$I$105:$I$124,"CAB")&gt;0,"Accepted (CF)","Blocking"),"Deferrable"))</f>
        <v/>
      </c>
    </row>
    <row r="210" spans="7:26" x14ac:dyDescent="0.3">
      <c r="G210" s="27" t="str" cm="1">
        <f t="array" ref="G210">IF($A210="","",IFERROR(_xlfn.TEXTJOIN(CHAR(10)&amp;CHAR(10),TRUE,_xlfn._xlws.FILTER("•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"&amp;Cards!$L$4:$L$1000),(Cards!$A$4:$A$1000&lt;&gt;"")*ISNUMBER(SEARCH($A210,Cards!$E$4:$E$1000)))),"-"))</f>
        <v/>
      </c>
      <c r="Q210" s="30"/>
      <c r="R210" s="27" t="str">
        <f>IF(OR($A210="",LEN(TRIM($O210))=0),"",IF(OR($P210="",$Q210=""),"ระบุ Severity + Impact",IFERROR(INDEX({"Urgent","Urgent","High","High";"Urgent","High","High","Medium";"High","High","Medium","Medium";"Medium","Medium","Low","Low"},MATCH($P210,{"Critical","High","Medium","Low"},0),MATCH($Q210,{"Extensive","Significant","Moderate","Minor"},0)),"-")))</f>
        <v/>
      </c>
      <c r="S210" s="30"/>
      <c r="T210" s="30"/>
      <c r="W210" s="32" t="str">
        <f>IF($A210="","",IF(OR($M210="Out of Scope",$M210="Canceled"),"Out of Scope",IF($M210="Blocked","Blocked",IF(AND($T210&lt;&gt;"Fixed – Retest Passed",OR(LEN(TRIM($O210))&gt;0,LEN(TRIM($P210))&gt;0)),IF(AND(OR($L210="Medium",$L210="Low"),SUMPRODUCT((Cards!$A$4:$A$1000&lt;&gt;"")*ISNUMBER(SEARCH($A210,Cards!$E$4:$E$1000))*(Cards!$F$4:$F$1000&lt;&gt;"Medium")*(Cards!$F$4:$F$1000&lt;&gt;"Low"))=0),"Conditionally Passed","Failed"),IF($M210="Done","Passed","Not Run")))))</f>
        <v/>
      </c>
      <c r="Y210" s="27" t="str" cm="1">
        <f t="array" ref="Y210">IF($A210="","",IF(TRIM($B210)="","-",IFERROR(_xlfn.TEXTJOIN(" / ",TRUE,_xlfn.UNIQUE(_xlfn._xlws.FILTER('Ownership Matrix'!$C$5:$C$200,('Ownership Matrix'!$A$5:$A$200=TRIM($B210))*('Ownership Matrix'!$C$5:$C$200&lt;&gt;"")))),"ไม่พบใน Ownership Matrix")))</f>
        <v/>
      </c>
      <c r="Z210" s="31" t="str">
        <f>IF(NOT(AND($A210&lt;&gt;"",$M210&lt;&gt;"Out of Scope",$M210&lt;&gt;"Canceled",$T210&lt;&gt;"Fixed – Retest Passed",OR(LEN(TRIM($O210))&gt;0,LEN(TRIM($P210))&gt;0))),"",IF(OR($W210="Failed",$R210="Urgent",$R210="High",$R210="ระบุ Severity + Impact"),IF(COUNTIFS(Dashboard!$B$105:$B$124,$O210,Dashboard!$I$105:$I$124,"CAB")&gt;0,"Accepted (CF)","Blocking"),"Deferrable"))</f>
        <v/>
      </c>
    </row>
    <row r="211" spans="7:26" x14ac:dyDescent="0.3">
      <c r="G211" s="27" t="str" cm="1">
        <f t="array" ref="G211">IF($A211="","",IFERROR(_xlfn.TEXTJOIN(CHAR(10)&amp;CHAR(10),TRUE,_xlfn._xlws.FILTER("•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"&amp;Cards!$L$4:$L$1000),(Cards!$A$4:$A$1000&lt;&gt;"")*ISNUMBER(SEARCH($A211,Cards!$E$4:$E$1000)))),"-"))</f>
        <v/>
      </c>
      <c r="Q211" s="30"/>
      <c r="R211" s="27" t="str">
        <f>IF(OR($A211="",LEN(TRIM($O211))=0),"",IF(OR($P211="",$Q211=""),"ระบุ Severity + Impact",IFERROR(INDEX({"Urgent","Urgent","High","High";"Urgent","High","High","Medium";"High","High","Medium","Medium";"Medium","Medium","Low","Low"},MATCH($P211,{"Critical","High","Medium","Low"},0),MATCH($Q211,{"Extensive","Significant","Moderate","Minor"},0)),"-")))</f>
        <v/>
      </c>
      <c r="S211" s="30"/>
      <c r="T211" s="30"/>
      <c r="W211" s="32" t="str">
        <f>IF($A211="","",IF(OR($M211="Out of Scope",$M211="Canceled"),"Out of Scope",IF($M211="Blocked","Blocked",IF(AND($T211&lt;&gt;"Fixed – Retest Passed",OR(LEN(TRIM($O211))&gt;0,LEN(TRIM($P211))&gt;0)),IF(AND(OR($L211="Medium",$L211="Low"),SUMPRODUCT((Cards!$A$4:$A$1000&lt;&gt;"")*ISNUMBER(SEARCH($A211,Cards!$E$4:$E$1000))*(Cards!$F$4:$F$1000&lt;&gt;"Medium")*(Cards!$F$4:$F$1000&lt;&gt;"Low"))=0),"Conditionally Passed","Failed"),IF($M211="Done","Passed","Not Run")))))</f>
        <v/>
      </c>
      <c r="Y211" s="27" t="str" cm="1">
        <f t="array" ref="Y211">IF($A211="","",IF(TRIM($B211)="","-",IFERROR(_xlfn.TEXTJOIN(" / ",TRUE,_xlfn.UNIQUE(_xlfn._xlws.FILTER('Ownership Matrix'!$C$5:$C$200,('Ownership Matrix'!$A$5:$A$200=TRIM($B211))*('Ownership Matrix'!$C$5:$C$200&lt;&gt;"")))),"ไม่พบใน Ownership Matrix")))</f>
        <v/>
      </c>
      <c r="Z211" s="31" t="str">
        <f>IF(NOT(AND($A211&lt;&gt;"",$M211&lt;&gt;"Out of Scope",$M211&lt;&gt;"Canceled",$T211&lt;&gt;"Fixed – Retest Passed",OR(LEN(TRIM($O211))&gt;0,LEN(TRIM($P211))&gt;0))),"",IF(OR($W211="Failed",$R211="Urgent",$R211="High",$R211="ระบุ Severity + Impact"),IF(COUNTIFS(Dashboard!$B$105:$B$124,$O211,Dashboard!$I$105:$I$124,"CAB")&gt;0,"Accepted (CF)","Blocking"),"Deferrable"))</f>
        <v/>
      </c>
    </row>
    <row r="212" spans="7:26" x14ac:dyDescent="0.3">
      <c r="G212" s="27" t="str" cm="1">
        <f t="array" ref="G212">IF($A212="","",IFERROR(_xlfn.TEXTJOIN(CHAR(10)&amp;CHAR(10),TRUE,_xlfn._xlws.FILTER("•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"&amp;Cards!$L$4:$L$1000),(Cards!$A$4:$A$1000&lt;&gt;"")*ISNUMBER(SEARCH($A212,Cards!$E$4:$E$1000)))),"-"))</f>
        <v/>
      </c>
      <c r="Q212" s="30"/>
      <c r="R212" s="27" t="str">
        <f>IF(OR($A212="",LEN(TRIM($O212))=0),"",IF(OR($P212="",$Q212=""),"ระบุ Severity + Impact",IFERROR(INDEX({"Urgent","Urgent","High","High";"Urgent","High","High","Medium";"High","High","Medium","Medium";"Medium","Medium","Low","Low"},MATCH($P212,{"Critical","High","Medium","Low"},0),MATCH($Q212,{"Extensive","Significant","Moderate","Minor"},0)),"-")))</f>
        <v/>
      </c>
      <c r="S212" s="30"/>
      <c r="T212" s="30"/>
      <c r="W212" s="32" t="str">
        <f>IF($A212="","",IF(OR($M212="Out of Scope",$M212="Canceled"),"Out of Scope",IF($M212="Blocked","Blocked",IF(AND($T212&lt;&gt;"Fixed – Retest Passed",OR(LEN(TRIM($O212))&gt;0,LEN(TRIM($P212))&gt;0)),IF(AND(OR($L212="Medium",$L212="Low"),SUMPRODUCT((Cards!$A$4:$A$1000&lt;&gt;"")*ISNUMBER(SEARCH($A212,Cards!$E$4:$E$1000))*(Cards!$F$4:$F$1000&lt;&gt;"Medium")*(Cards!$F$4:$F$1000&lt;&gt;"Low"))=0),"Conditionally Passed","Failed"),IF($M212="Done","Passed","Not Run")))))</f>
        <v/>
      </c>
      <c r="Y212" s="27" t="str" cm="1">
        <f t="array" ref="Y212">IF($A212="","",IF(TRIM($B212)="","-",IFERROR(_xlfn.TEXTJOIN(" / ",TRUE,_xlfn.UNIQUE(_xlfn._xlws.FILTER('Ownership Matrix'!$C$5:$C$200,('Ownership Matrix'!$A$5:$A$200=TRIM($B212))*('Ownership Matrix'!$C$5:$C$200&lt;&gt;"")))),"ไม่พบใน Ownership Matrix")))</f>
        <v/>
      </c>
      <c r="Z212" s="31" t="str">
        <f>IF(NOT(AND($A212&lt;&gt;"",$M212&lt;&gt;"Out of Scope",$M212&lt;&gt;"Canceled",$T212&lt;&gt;"Fixed – Retest Passed",OR(LEN(TRIM($O212))&gt;0,LEN(TRIM($P212))&gt;0))),"",IF(OR($W212="Failed",$R212="Urgent",$R212="High",$R212="ระบุ Severity + Impact"),IF(COUNTIFS(Dashboard!$B$105:$B$124,$O212,Dashboard!$I$105:$I$124,"CAB")&gt;0,"Accepted (CF)","Blocking"),"Deferrable"))</f>
        <v/>
      </c>
    </row>
    <row r="213" spans="7:26" x14ac:dyDescent="0.3">
      <c r="G213" s="27" t="str" cm="1">
        <f t="array" ref="G213">IF($A213="","",IFERROR(_xlfn.TEXTJOIN(CHAR(10)&amp;CHAR(10),TRUE,_xlfn._xlws.FILTER("•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"&amp;Cards!$L$4:$L$1000),(Cards!$A$4:$A$1000&lt;&gt;"")*ISNUMBER(SEARCH($A213,Cards!$E$4:$E$1000)))),"-"))</f>
        <v/>
      </c>
      <c r="Q213" s="30"/>
      <c r="R213" s="27" t="str">
        <f>IF(OR($A213="",LEN(TRIM($O213))=0),"",IF(OR($P213="",$Q213=""),"ระบุ Severity + Impact",IFERROR(INDEX({"Urgent","Urgent","High","High";"Urgent","High","High","Medium";"High","High","Medium","Medium";"Medium","Medium","Low","Low"},MATCH($P213,{"Critical","High","Medium","Low"},0),MATCH($Q213,{"Extensive","Significant","Moderate","Minor"},0)),"-")))</f>
        <v/>
      </c>
      <c r="S213" s="30"/>
      <c r="T213" s="30"/>
      <c r="W213" s="32" t="str">
        <f>IF($A213="","",IF(OR($M213="Out of Scope",$M213="Canceled"),"Out of Scope",IF($M213="Blocked","Blocked",IF(AND($T213&lt;&gt;"Fixed – Retest Passed",OR(LEN(TRIM($O213))&gt;0,LEN(TRIM($P213))&gt;0)),IF(AND(OR($L213="Medium",$L213="Low"),SUMPRODUCT((Cards!$A$4:$A$1000&lt;&gt;"")*ISNUMBER(SEARCH($A213,Cards!$E$4:$E$1000))*(Cards!$F$4:$F$1000&lt;&gt;"Medium")*(Cards!$F$4:$F$1000&lt;&gt;"Low"))=0),"Conditionally Passed","Failed"),IF($M213="Done","Passed","Not Run")))))</f>
        <v/>
      </c>
      <c r="Y213" s="27" t="str" cm="1">
        <f t="array" ref="Y213">IF($A213="","",IF(TRIM($B213)="","-",IFERROR(_xlfn.TEXTJOIN(" / ",TRUE,_xlfn.UNIQUE(_xlfn._xlws.FILTER('Ownership Matrix'!$C$5:$C$200,('Ownership Matrix'!$A$5:$A$200=TRIM($B213))*('Ownership Matrix'!$C$5:$C$200&lt;&gt;"")))),"ไม่พบใน Ownership Matrix")))</f>
        <v/>
      </c>
      <c r="Z213" s="31" t="str">
        <f>IF(NOT(AND($A213&lt;&gt;"",$M213&lt;&gt;"Out of Scope",$M213&lt;&gt;"Canceled",$T213&lt;&gt;"Fixed – Retest Passed",OR(LEN(TRIM($O213))&gt;0,LEN(TRIM($P213))&gt;0))),"",IF(OR($W213="Failed",$R213="Urgent",$R213="High",$R213="ระบุ Severity + Impact"),IF(COUNTIFS(Dashboard!$B$105:$B$124,$O213,Dashboard!$I$105:$I$124,"CAB")&gt;0,"Accepted (CF)","Blocking"),"Deferrable"))</f>
        <v/>
      </c>
    </row>
    <row r="214" spans="7:26" x14ac:dyDescent="0.3">
      <c r="G214" s="27" t="str" cm="1">
        <f t="array" ref="G214">IF($A214="","",IFERROR(_xlfn.TEXTJOIN(CHAR(10)&amp;CHAR(10),TRUE,_xlfn._xlws.FILTER("•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"&amp;Cards!$L$4:$L$1000),(Cards!$A$4:$A$1000&lt;&gt;"")*ISNUMBER(SEARCH($A214,Cards!$E$4:$E$1000)))),"-"))</f>
        <v/>
      </c>
      <c r="Q214" s="30"/>
      <c r="R214" s="27" t="str">
        <f>IF(OR($A214="",LEN(TRIM($O214))=0),"",IF(OR($P214="",$Q214=""),"ระบุ Severity + Impact",IFERROR(INDEX({"Urgent","Urgent","High","High";"Urgent","High","High","Medium";"High","High","Medium","Medium";"Medium","Medium","Low","Low"},MATCH($P214,{"Critical","High","Medium","Low"},0),MATCH($Q214,{"Extensive","Significant","Moderate","Minor"},0)),"-")))</f>
        <v/>
      </c>
      <c r="S214" s="30"/>
      <c r="T214" s="30"/>
      <c r="W214" s="32" t="str">
        <f>IF($A214="","",IF(OR($M214="Out of Scope",$M214="Canceled"),"Out of Scope",IF($M214="Blocked","Blocked",IF(AND($T214&lt;&gt;"Fixed – Retest Passed",OR(LEN(TRIM($O214))&gt;0,LEN(TRIM($P214))&gt;0)),IF(AND(OR($L214="Medium",$L214="Low"),SUMPRODUCT((Cards!$A$4:$A$1000&lt;&gt;"")*ISNUMBER(SEARCH($A214,Cards!$E$4:$E$1000))*(Cards!$F$4:$F$1000&lt;&gt;"Medium")*(Cards!$F$4:$F$1000&lt;&gt;"Low"))=0),"Conditionally Passed","Failed"),IF($M214="Done","Passed","Not Run")))))</f>
        <v/>
      </c>
      <c r="Y214" s="27" t="str" cm="1">
        <f t="array" ref="Y214">IF($A214="","",IF(TRIM($B214)="","-",IFERROR(_xlfn.TEXTJOIN(" / ",TRUE,_xlfn.UNIQUE(_xlfn._xlws.FILTER('Ownership Matrix'!$C$5:$C$200,('Ownership Matrix'!$A$5:$A$200=TRIM($B214))*('Ownership Matrix'!$C$5:$C$200&lt;&gt;"")))),"ไม่พบใน Ownership Matrix")))</f>
        <v/>
      </c>
      <c r="Z214" s="31" t="str">
        <f>IF(NOT(AND($A214&lt;&gt;"",$M214&lt;&gt;"Out of Scope",$M214&lt;&gt;"Canceled",$T214&lt;&gt;"Fixed – Retest Passed",OR(LEN(TRIM($O214))&gt;0,LEN(TRIM($P214))&gt;0))),"",IF(OR($W214="Failed",$R214="Urgent",$R214="High",$R214="ระบุ Severity + Impact"),IF(COUNTIFS(Dashboard!$B$105:$B$124,$O214,Dashboard!$I$105:$I$124,"CAB")&gt;0,"Accepted (CF)","Blocking"),"Deferrable"))</f>
        <v/>
      </c>
    </row>
    <row r="215" spans="7:26" x14ac:dyDescent="0.3">
      <c r="G215" s="27" t="str" cm="1">
        <f t="array" ref="G215">IF($A215="","",IFERROR(_xlfn.TEXTJOIN(CHAR(10)&amp;CHAR(10),TRUE,_xlfn._xlws.FILTER("•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"&amp;Cards!$L$4:$L$1000),(Cards!$A$4:$A$1000&lt;&gt;"")*ISNUMBER(SEARCH($A215,Cards!$E$4:$E$1000)))),"-"))</f>
        <v/>
      </c>
      <c r="Q215" s="30"/>
      <c r="R215" s="27" t="str">
        <f>IF(OR($A215="",LEN(TRIM($O215))=0),"",IF(OR($P215="",$Q215=""),"ระบุ Severity + Impact",IFERROR(INDEX({"Urgent","Urgent","High","High";"Urgent","High","High","Medium";"High","High","Medium","Medium";"Medium","Medium","Low","Low"},MATCH($P215,{"Critical","High","Medium","Low"},0),MATCH($Q215,{"Extensive","Significant","Moderate","Minor"},0)),"-")))</f>
        <v/>
      </c>
      <c r="S215" s="30"/>
      <c r="T215" s="30"/>
      <c r="W215" s="32" t="str">
        <f>IF($A215="","",IF(OR($M215="Out of Scope",$M215="Canceled"),"Out of Scope",IF($M215="Blocked","Blocked",IF(AND($T215&lt;&gt;"Fixed – Retest Passed",OR(LEN(TRIM($O215))&gt;0,LEN(TRIM($P215))&gt;0)),IF(AND(OR($L215="Medium",$L215="Low"),SUMPRODUCT((Cards!$A$4:$A$1000&lt;&gt;"")*ISNUMBER(SEARCH($A215,Cards!$E$4:$E$1000))*(Cards!$F$4:$F$1000&lt;&gt;"Medium")*(Cards!$F$4:$F$1000&lt;&gt;"Low"))=0),"Conditionally Passed","Failed"),IF($M215="Done","Passed","Not Run")))))</f>
        <v/>
      </c>
      <c r="Y215" s="27" t="str" cm="1">
        <f t="array" ref="Y215">IF($A215="","",IF(TRIM($B215)="","-",IFERROR(_xlfn.TEXTJOIN(" / ",TRUE,_xlfn.UNIQUE(_xlfn._xlws.FILTER('Ownership Matrix'!$C$5:$C$200,('Ownership Matrix'!$A$5:$A$200=TRIM($B215))*('Ownership Matrix'!$C$5:$C$200&lt;&gt;"")))),"ไม่พบใน Ownership Matrix")))</f>
        <v/>
      </c>
      <c r="Z215" s="31" t="str">
        <f>IF(NOT(AND($A215&lt;&gt;"",$M215&lt;&gt;"Out of Scope",$M215&lt;&gt;"Canceled",$T215&lt;&gt;"Fixed – Retest Passed",OR(LEN(TRIM($O215))&gt;0,LEN(TRIM($P215))&gt;0))),"",IF(OR($W215="Failed",$R215="Urgent",$R215="High",$R215="ระบุ Severity + Impact"),IF(COUNTIFS(Dashboard!$B$105:$B$124,$O215,Dashboard!$I$105:$I$124,"CAB")&gt;0,"Accepted (CF)","Blocking"),"Deferrable"))</f>
        <v/>
      </c>
    </row>
    <row r="216" spans="7:26" x14ac:dyDescent="0.3">
      <c r="G216" s="27" t="str" cm="1">
        <f t="array" ref="G216">IF($A216="","",IFERROR(_xlfn.TEXTJOIN(CHAR(10)&amp;CHAR(10),TRUE,_xlfn._xlws.FILTER("•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"&amp;Cards!$L$4:$L$1000),(Cards!$A$4:$A$1000&lt;&gt;"")*ISNUMBER(SEARCH($A216,Cards!$E$4:$E$1000)))),"-"))</f>
        <v/>
      </c>
      <c r="Q216" s="30"/>
      <c r="R216" s="27" t="str">
        <f>IF(OR($A216="",LEN(TRIM($O216))=0),"",IF(OR($P216="",$Q216=""),"ระบุ Severity + Impact",IFERROR(INDEX({"Urgent","Urgent","High","High";"Urgent","High","High","Medium";"High","High","Medium","Medium";"Medium","Medium","Low","Low"},MATCH($P216,{"Critical","High","Medium","Low"},0),MATCH($Q216,{"Extensive","Significant","Moderate","Minor"},0)),"-")))</f>
        <v/>
      </c>
      <c r="S216" s="30"/>
      <c r="T216" s="30"/>
      <c r="W216" s="32" t="str">
        <f>IF($A216="","",IF(OR($M216="Out of Scope",$M216="Canceled"),"Out of Scope",IF($M216="Blocked","Blocked",IF(AND($T216&lt;&gt;"Fixed – Retest Passed",OR(LEN(TRIM($O216))&gt;0,LEN(TRIM($P216))&gt;0)),IF(AND(OR($L216="Medium",$L216="Low"),SUMPRODUCT((Cards!$A$4:$A$1000&lt;&gt;"")*ISNUMBER(SEARCH($A216,Cards!$E$4:$E$1000))*(Cards!$F$4:$F$1000&lt;&gt;"Medium")*(Cards!$F$4:$F$1000&lt;&gt;"Low"))=0),"Conditionally Passed","Failed"),IF($M216="Done","Passed","Not Run")))))</f>
        <v/>
      </c>
      <c r="Y216" s="27" t="str" cm="1">
        <f t="array" ref="Y216">IF($A216="","",IF(TRIM($B216)="","-",IFERROR(_xlfn.TEXTJOIN(" / ",TRUE,_xlfn.UNIQUE(_xlfn._xlws.FILTER('Ownership Matrix'!$C$5:$C$200,('Ownership Matrix'!$A$5:$A$200=TRIM($B216))*('Ownership Matrix'!$C$5:$C$200&lt;&gt;"")))),"ไม่พบใน Ownership Matrix")))</f>
        <v/>
      </c>
      <c r="Z216" s="31" t="str">
        <f>IF(NOT(AND($A216&lt;&gt;"",$M216&lt;&gt;"Out of Scope",$M216&lt;&gt;"Canceled",$T216&lt;&gt;"Fixed – Retest Passed",OR(LEN(TRIM($O216))&gt;0,LEN(TRIM($P216))&gt;0))),"",IF(OR($W216="Failed",$R216="Urgent",$R216="High",$R216="ระบุ Severity + Impact"),IF(COUNTIFS(Dashboard!$B$105:$B$124,$O216,Dashboard!$I$105:$I$124,"CAB")&gt;0,"Accepted (CF)","Blocking"),"Deferrable"))</f>
        <v/>
      </c>
    </row>
    <row r="217" spans="7:26" x14ac:dyDescent="0.3">
      <c r="G217" s="27" t="str" cm="1">
        <f t="array" ref="G217">IF($A217="","",IFERROR(_xlfn.TEXTJOIN(CHAR(10)&amp;CHAR(10),TRUE,_xlfn._xlws.FILTER("•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"&amp;Cards!$L$4:$L$1000),(Cards!$A$4:$A$1000&lt;&gt;"")*ISNUMBER(SEARCH($A217,Cards!$E$4:$E$1000)))),"-"))</f>
        <v/>
      </c>
      <c r="Q217" s="30"/>
      <c r="R217" s="27" t="str">
        <f>IF(OR($A217="",LEN(TRIM($O217))=0),"",IF(OR($P217="",$Q217=""),"ระบุ Severity + Impact",IFERROR(INDEX({"Urgent","Urgent","High","High";"Urgent","High","High","Medium";"High","High","Medium","Medium";"Medium","Medium","Low","Low"},MATCH($P217,{"Critical","High","Medium","Low"},0),MATCH($Q217,{"Extensive","Significant","Moderate","Minor"},0)),"-")))</f>
        <v/>
      </c>
      <c r="S217" s="30"/>
      <c r="T217" s="30"/>
      <c r="W217" s="32" t="str">
        <f>IF($A217="","",IF(OR($M217="Out of Scope",$M217="Canceled"),"Out of Scope",IF($M217="Blocked","Blocked",IF(AND($T217&lt;&gt;"Fixed – Retest Passed",OR(LEN(TRIM($O217))&gt;0,LEN(TRIM($P217))&gt;0)),IF(AND(OR($L217="Medium",$L217="Low"),SUMPRODUCT((Cards!$A$4:$A$1000&lt;&gt;"")*ISNUMBER(SEARCH($A217,Cards!$E$4:$E$1000))*(Cards!$F$4:$F$1000&lt;&gt;"Medium")*(Cards!$F$4:$F$1000&lt;&gt;"Low"))=0),"Conditionally Passed","Failed"),IF($M217="Done","Passed","Not Run")))))</f>
        <v/>
      </c>
      <c r="Y217" s="27" t="str" cm="1">
        <f t="array" ref="Y217">IF($A217="","",IF(TRIM($B217)="","-",IFERROR(_xlfn.TEXTJOIN(" / ",TRUE,_xlfn.UNIQUE(_xlfn._xlws.FILTER('Ownership Matrix'!$C$5:$C$200,('Ownership Matrix'!$A$5:$A$200=TRIM($B217))*('Ownership Matrix'!$C$5:$C$200&lt;&gt;"")))),"ไม่พบใน Ownership Matrix")))</f>
        <v/>
      </c>
      <c r="Z217" s="31" t="str">
        <f>IF(NOT(AND($A217&lt;&gt;"",$M217&lt;&gt;"Out of Scope",$M217&lt;&gt;"Canceled",$T217&lt;&gt;"Fixed – Retest Passed",OR(LEN(TRIM($O217))&gt;0,LEN(TRIM($P217))&gt;0))),"",IF(OR($W217="Failed",$R217="Urgent",$R217="High",$R217="ระบุ Severity + Impact"),IF(COUNTIFS(Dashboard!$B$105:$B$124,$O217,Dashboard!$I$105:$I$124,"CAB")&gt;0,"Accepted (CF)","Blocking"),"Deferrable"))</f>
        <v/>
      </c>
    </row>
    <row r="218" spans="7:26" x14ac:dyDescent="0.3">
      <c r="G218" s="27" t="str" cm="1">
        <f t="array" ref="G218">IF($A218="","",IFERROR(_xlfn.TEXTJOIN(CHAR(10)&amp;CHAR(10),TRUE,_xlfn._xlws.FILTER("•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"&amp;Cards!$L$4:$L$1000),(Cards!$A$4:$A$1000&lt;&gt;"")*ISNUMBER(SEARCH($A218,Cards!$E$4:$E$1000)))),"-"))</f>
        <v/>
      </c>
      <c r="Q218" s="30"/>
      <c r="R218" s="27" t="str">
        <f>IF(OR($A218="",LEN(TRIM($O218))=0),"",IF(OR($P218="",$Q218=""),"ระบุ Severity + Impact",IFERROR(INDEX({"Urgent","Urgent","High","High";"Urgent","High","High","Medium";"High","High","Medium","Medium";"Medium","Medium","Low","Low"},MATCH($P218,{"Critical","High","Medium","Low"},0),MATCH($Q218,{"Extensive","Significant","Moderate","Minor"},0)),"-")))</f>
        <v/>
      </c>
      <c r="S218" s="30"/>
      <c r="T218" s="30"/>
      <c r="W218" s="32" t="str">
        <f>IF($A218="","",IF(OR($M218="Out of Scope",$M218="Canceled"),"Out of Scope",IF($M218="Blocked","Blocked",IF(AND($T218&lt;&gt;"Fixed – Retest Passed",OR(LEN(TRIM($O218))&gt;0,LEN(TRIM($P218))&gt;0)),IF(AND(OR($L218="Medium",$L218="Low"),SUMPRODUCT((Cards!$A$4:$A$1000&lt;&gt;"")*ISNUMBER(SEARCH($A218,Cards!$E$4:$E$1000))*(Cards!$F$4:$F$1000&lt;&gt;"Medium")*(Cards!$F$4:$F$1000&lt;&gt;"Low"))=0),"Conditionally Passed","Failed"),IF($M218="Done","Passed","Not Run")))))</f>
        <v/>
      </c>
      <c r="Y218" s="27" t="str" cm="1">
        <f t="array" ref="Y218">IF($A218="","",IF(TRIM($B218)="","-",IFERROR(_xlfn.TEXTJOIN(" / ",TRUE,_xlfn.UNIQUE(_xlfn._xlws.FILTER('Ownership Matrix'!$C$5:$C$200,('Ownership Matrix'!$A$5:$A$200=TRIM($B218))*('Ownership Matrix'!$C$5:$C$200&lt;&gt;"")))),"ไม่พบใน Ownership Matrix")))</f>
        <v/>
      </c>
      <c r="Z218" s="31" t="str">
        <f>IF(NOT(AND($A218&lt;&gt;"",$M218&lt;&gt;"Out of Scope",$M218&lt;&gt;"Canceled",$T218&lt;&gt;"Fixed – Retest Passed",OR(LEN(TRIM($O218))&gt;0,LEN(TRIM($P218))&gt;0))),"",IF(OR($W218="Failed",$R218="Urgent",$R218="High",$R218="ระบุ Severity + Impact"),IF(COUNTIFS(Dashboard!$B$105:$B$124,$O218,Dashboard!$I$105:$I$124,"CAB")&gt;0,"Accepted (CF)","Blocking"),"Deferrable"))</f>
        <v/>
      </c>
    </row>
    <row r="219" spans="7:26" x14ac:dyDescent="0.3">
      <c r="G219" s="27" t="str" cm="1">
        <f t="array" ref="G219">IF($A219="","",IFERROR(_xlfn.TEXTJOIN(CHAR(10)&amp;CHAR(10),TRUE,_xlfn._xlws.FILTER("•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"&amp;Cards!$L$4:$L$1000),(Cards!$A$4:$A$1000&lt;&gt;"")*ISNUMBER(SEARCH($A219,Cards!$E$4:$E$1000)))),"-"))</f>
        <v/>
      </c>
      <c r="Q219" s="30"/>
      <c r="R219" s="27" t="str">
        <f>IF(OR($A219="",LEN(TRIM($O219))=0),"",IF(OR($P219="",$Q219=""),"ระบุ Severity + Impact",IFERROR(INDEX({"Urgent","Urgent","High","High";"Urgent","High","High","Medium";"High","High","Medium","Medium";"Medium","Medium","Low","Low"},MATCH($P219,{"Critical","High","Medium","Low"},0),MATCH($Q219,{"Extensive","Significant","Moderate","Minor"},0)),"-")))</f>
        <v/>
      </c>
      <c r="S219" s="30"/>
      <c r="T219" s="30"/>
      <c r="W219" s="32" t="str">
        <f>IF($A219="","",IF(OR($M219="Out of Scope",$M219="Canceled"),"Out of Scope",IF($M219="Blocked","Blocked",IF(AND($T219&lt;&gt;"Fixed – Retest Passed",OR(LEN(TRIM($O219))&gt;0,LEN(TRIM($P219))&gt;0)),IF(AND(OR($L219="Medium",$L219="Low"),SUMPRODUCT((Cards!$A$4:$A$1000&lt;&gt;"")*ISNUMBER(SEARCH($A219,Cards!$E$4:$E$1000))*(Cards!$F$4:$F$1000&lt;&gt;"Medium")*(Cards!$F$4:$F$1000&lt;&gt;"Low"))=0),"Conditionally Passed","Failed"),IF($M219="Done","Passed","Not Run")))))</f>
        <v/>
      </c>
      <c r="Y219" s="27" t="str" cm="1">
        <f t="array" ref="Y219">IF($A219="","",IF(TRIM($B219)="","-",IFERROR(_xlfn.TEXTJOIN(" / ",TRUE,_xlfn.UNIQUE(_xlfn._xlws.FILTER('Ownership Matrix'!$C$5:$C$200,('Ownership Matrix'!$A$5:$A$200=TRIM($B219))*('Ownership Matrix'!$C$5:$C$200&lt;&gt;"")))),"ไม่พบใน Ownership Matrix")))</f>
        <v/>
      </c>
      <c r="Z219" s="31" t="str">
        <f>IF(NOT(AND($A219&lt;&gt;"",$M219&lt;&gt;"Out of Scope",$M219&lt;&gt;"Canceled",$T219&lt;&gt;"Fixed – Retest Passed",OR(LEN(TRIM($O219))&gt;0,LEN(TRIM($P219))&gt;0))),"",IF(OR($W219="Failed",$R219="Urgent",$R219="High",$R219="ระบุ Severity + Impact"),IF(COUNTIFS(Dashboard!$B$105:$B$124,$O219,Dashboard!$I$105:$I$124,"CAB")&gt;0,"Accepted (CF)","Blocking"),"Deferrable"))</f>
        <v/>
      </c>
    </row>
    <row r="220" spans="7:26" x14ac:dyDescent="0.3">
      <c r="G220" s="27" t="str" cm="1">
        <f t="array" ref="G220">IF($A220="","",IFERROR(_xlfn.TEXTJOIN(CHAR(10)&amp;CHAR(10),TRUE,_xlfn._xlws.FILTER("•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"&amp;Cards!$L$4:$L$1000),(Cards!$A$4:$A$1000&lt;&gt;"")*ISNUMBER(SEARCH($A220,Cards!$E$4:$E$1000)))),"-"))</f>
        <v/>
      </c>
      <c r="Q220" s="30"/>
      <c r="R220" s="27" t="str">
        <f>IF(OR($A220="",LEN(TRIM($O220))=0),"",IF(OR($P220="",$Q220=""),"ระบุ Severity + Impact",IFERROR(INDEX({"Urgent","Urgent","High","High";"Urgent","High","High","Medium";"High","High","Medium","Medium";"Medium","Medium","Low","Low"},MATCH($P220,{"Critical","High","Medium","Low"},0),MATCH($Q220,{"Extensive","Significant","Moderate","Minor"},0)),"-")))</f>
        <v/>
      </c>
      <c r="S220" s="30"/>
      <c r="T220" s="30"/>
      <c r="W220" s="32" t="str">
        <f>IF($A220="","",IF(OR($M220="Out of Scope",$M220="Canceled"),"Out of Scope",IF($M220="Blocked","Blocked",IF(AND($T220&lt;&gt;"Fixed – Retest Passed",OR(LEN(TRIM($O220))&gt;0,LEN(TRIM($P220))&gt;0)),IF(AND(OR($L220="Medium",$L220="Low"),SUMPRODUCT((Cards!$A$4:$A$1000&lt;&gt;"")*ISNUMBER(SEARCH($A220,Cards!$E$4:$E$1000))*(Cards!$F$4:$F$1000&lt;&gt;"Medium")*(Cards!$F$4:$F$1000&lt;&gt;"Low"))=0),"Conditionally Passed","Failed"),IF($M220="Done","Passed","Not Run")))))</f>
        <v/>
      </c>
      <c r="Y220" s="27" t="str" cm="1">
        <f t="array" ref="Y220">IF($A220="","",IF(TRIM($B220)="","-",IFERROR(_xlfn.TEXTJOIN(" / ",TRUE,_xlfn.UNIQUE(_xlfn._xlws.FILTER('Ownership Matrix'!$C$5:$C$200,('Ownership Matrix'!$A$5:$A$200=TRIM($B220))*('Ownership Matrix'!$C$5:$C$200&lt;&gt;"")))),"ไม่พบใน Ownership Matrix")))</f>
        <v/>
      </c>
      <c r="Z220" s="31" t="str">
        <f>IF(NOT(AND($A220&lt;&gt;"",$M220&lt;&gt;"Out of Scope",$M220&lt;&gt;"Canceled",$T220&lt;&gt;"Fixed – Retest Passed",OR(LEN(TRIM($O220))&gt;0,LEN(TRIM($P220))&gt;0))),"",IF(OR($W220="Failed",$R220="Urgent",$R220="High",$R220="ระบุ Severity + Impact"),IF(COUNTIFS(Dashboard!$B$105:$B$124,$O220,Dashboard!$I$105:$I$124,"CAB")&gt;0,"Accepted (CF)","Blocking"),"Deferrable"))</f>
        <v/>
      </c>
    </row>
    <row r="221" spans="7:26" x14ac:dyDescent="0.3">
      <c r="G221" s="27" t="str" cm="1">
        <f t="array" ref="G221">IF($A221="","",IFERROR(_xlfn.TEXTJOIN(CHAR(10)&amp;CHAR(10),TRUE,_xlfn._xlws.FILTER("•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"&amp;Cards!$L$4:$L$1000),(Cards!$A$4:$A$1000&lt;&gt;"")*ISNUMBER(SEARCH($A221,Cards!$E$4:$E$1000)))),"-"))</f>
        <v/>
      </c>
      <c r="Q221" s="30"/>
      <c r="R221" s="27" t="str">
        <f>IF(OR($A221="",LEN(TRIM($O221))=0),"",IF(OR($P221="",$Q221=""),"ระบุ Severity + Impact",IFERROR(INDEX({"Urgent","Urgent","High","High";"Urgent","High","High","Medium";"High","High","Medium","Medium";"Medium","Medium","Low","Low"},MATCH($P221,{"Critical","High","Medium","Low"},0),MATCH($Q221,{"Extensive","Significant","Moderate","Minor"},0)),"-")))</f>
        <v/>
      </c>
      <c r="S221" s="30"/>
      <c r="T221" s="30"/>
      <c r="W221" s="32" t="str">
        <f>IF($A221="","",IF(OR($M221="Out of Scope",$M221="Canceled"),"Out of Scope",IF($M221="Blocked","Blocked",IF(AND($T221&lt;&gt;"Fixed – Retest Passed",OR(LEN(TRIM($O221))&gt;0,LEN(TRIM($P221))&gt;0)),IF(AND(OR($L221="Medium",$L221="Low"),SUMPRODUCT((Cards!$A$4:$A$1000&lt;&gt;"")*ISNUMBER(SEARCH($A221,Cards!$E$4:$E$1000))*(Cards!$F$4:$F$1000&lt;&gt;"Medium")*(Cards!$F$4:$F$1000&lt;&gt;"Low"))=0),"Conditionally Passed","Failed"),IF($M221="Done","Passed","Not Run")))))</f>
        <v/>
      </c>
      <c r="Y221" s="27" t="str" cm="1">
        <f t="array" ref="Y221">IF($A221="","",IF(TRIM($B221)="","-",IFERROR(_xlfn.TEXTJOIN(" / ",TRUE,_xlfn.UNIQUE(_xlfn._xlws.FILTER('Ownership Matrix'!$C$5:$C$200,('Ownership Matrix'!$A$5:$A$200=TRIM($B221))*('Ownership Matrix'!$C$5:$C$200&lt;&gt;"")))),"ไม่พบใน Ownership Matrix")))</f>
        <v/>
      </c>
      <c r="Z221" s="31" t="str">
        <f>IF(NOT(AND($A221&lt;&gt;"",$M221&lt;&gt;"Out of Scope",$M221&lt;&gt;"Canceled",$T221&lt;&gt;"Fixed – Retest Passed",OR(LEN(TRIM($O221))&gt;0,LEN(TRIM($P221))&gt;0))),"",IF(OR($W221="Failed",$R221="Urgent",$R221="High",$R221="ระบุ Severity + Impact"),IF(COUNTIFS(Dashboard!$B$105:$B$124,$O221,Dashboard!$I$105:$I$124,"CAB")&gt;0,"Accepted (CF)","Blocking"),"Deferrable"))</f>
        <v/>
      </c>
    </row>
    <row r="222" spans="7:26" x14ac:dyDescent="0.3">
      <c r="G222" s="27" t="str" cm="1">
        <f t="array" ref="G222">IF($A222="","",IFERROR(_xlfn.TEXTJOIN(CHAR(10)&amp;CHAR(10),TRUE,_xlfn._xlws.FILTER("•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"&amp;Cards!$L$4:$L$1000),(Cards!$A$4:$A$1000&lt;&gt;"")*ISNUMBER(SEARCH($A222,Cards!$E$4:$E$1000)))),"-"))</f>
        <v/>
      </c>
      <c r="Q222" s="30"/>
      <c r="R222" s="27" t="str">
        <f>IF(OR($A222="",LEN(TRIM($O222))=0),"",IF(OR($P222="",$Q222=""),"ระบุ Severity + Impact",IFERROR(INDEX({"Urgent","Urgent","High","High";"Urgent","High","High","Medium";"High","High","Medium","Medium";"Medium","Medium","Low","Low"},MATCH($P222,{"Critical","High","Medium","Low"},0),MATCH($Q222,{"Extensive","Significant","Moderate","Minor"},0)),"-")))</f>
        <v/>
      </c>
      <c r="S222" s="30"/>
      <c r="T222" s="30"/>
      <c r="W222" s="32" t="str">
        <f>IF($A222="","",IF(OR($M222="Out of Scope",$M222="Canceled"),"Out of Scope",IF($M222="Blocked","Blocked",IF(AND($T222&lt;&gt;"Fixed – Retest Passed",OR(LEN(TRIM($O222))&gt;0,LEN(TRIM($P222))&gt;0)),IF(AND(OR($L222="Medium",$L222="Low"),SUMPRODUCT((Cards!$A$4:$A$1000&lt;&gt;"")*ISNUMBER(SEARCH($A222,Cards!$E$4:$E$1000))*(Cards!$F$4:$F$1000&lt;&gt;"Medium")*(Cards!$F$4:$F$1000&lt;&gt;"Low"))=0),"Conditionally Passed","Failed"),IF($M222="Done","Passed","Not Run")))))</f>
        <v/>
      </c>
      <c r="Y222" s="27" t="str" cm="1">
        <f t="array" ref="Y222">IF($A222="","",IF(TRIM($B222)="","-",IFERROR(_xlfn.TEXTJOIN(" / ",TRUE,_xlfn.UNIQUE(_xlfn._xlws.FILTER('Ownership Matrix'!$C$5:$C$200,('Ownership Matrix'!$A$5:$A$200=TRIM($B222))*('Ownership Matrix'!$C$5:$C$200&lt;&gt;"")))),"ไม่พบใน Ownership Matrix")))</f>
        <v/>
      </c>
      <c r="Z222" s="31" t="str">
        <f>IF(NOT(AND($A222&lt;&gt;"",$M222&lt;&gt;"Out of Scope",$M222&lt;&gt;"Canceled",$T222&lt;&gt;"Fixed – Retest Passed",OR(LEN(TRIM($O222))&gt;0,LEN(TRIM($P222))&gt;0))),"",IF(OR($W222="Failed",$R222="Urgent",$R222="High",$R222="ระบุ Severity + Impact"),IF(COUNTIFS(Dashboard!$B$105:$B$124,$O222,Dashboard!$I$105:$I$124,"CAB")&gt;0,"Accepted (CF)","Blocking"),"Deferrable"))</f>
        <v/>
      </c>
    </row>
    <row r="223" spans="7:26" x14ac:dyDescent="0.3">
      <c r="G223" s="27" t="str" cm="1">
        <f t="array" ref="G223">IF($A223="","",IFERROR(_xlfn.TEXTJOIN(CHAR(10)&amp;CHAR(10),TRUE,_xlfn._xlws.FILTER("•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"&amp;Cards!$L$4:$L$1000),(Cards!$A$4:$A$1000&lt;&gt;"")*ISNUMBER(SEARCH($A223,Cards!$E$4:$E$1000)))),"-"))</f>
        <v/>
      </c>
      <c r="Q223" s="30"/>
      <c r="R223" s="27" t="str">
        <f>IF(OR($A223="",LEN(TRIM($O223))=0),"",IF(OR($P223="",$Q223=""),"ระบุ Severity + Impact",IFERROR(INDEX({"Urgent","Urgent","High","High";"Urgent","High","High","Medium";"High","High","Medium","Medium";"Medium","Medium","Low","Low"},MATCH($P223,{"Critical","High","Medium","Low"},0),MATCH($Q223,{"Extensive","Significant","Moderate","Minor"},0)),"-")))</f>
        <v/>
      </c>
      <c r="S223" s="30"/>
      <c r="T223" s="30"/>
      <c r="W223" s="32" t="str">
        <f>IF($A223="","",IF(OR($M223="Out of Scope",$M223="Canceled"),"Out of Scope",IF($M223="Blocked","Blocked",IF(AND($T223&lt;&gt;"Fixed – Retest Passed",OR(LEN(TRIM($O223))&gt;0,LEN(TRIM($P223))&gt;0)),IF(AND(OR($L223="Medium",$L223="Low"),SUMPRODUCT((Cards!$A$4:$A$1000&lt;&gt;"")*ISNUMBER(SEARCH($A223,Cards!$E$4:$E$1000))*(Cards!$F$4:$F$1000&lt;&gt;"Medium")*(Cards!$F$4:$F$1000&lt;&gt;"Low"))=0),"Conditionally Passed","Failed"),IF($M223="Done","Passed","Not Run")))))</f>
        <v/>
      </c>
      <c r="Y223" s="27" t="str" cm="1">
        <f t="array" ref="Y223">IF($A223="","",IF(TRIM($B223)="","-",IFERROR(_xlfn.TEXTJOIN(" / ",TRUE,_xlfn.UNIQUE(_xlfn._xlws.FILTER('Ownership Matrix'!$C$5:$C$200,('Ownership Matrix'!$A$5:$A$200=TRIM($B223))*('Ownership Matrix'!$C$5:$C$200&lt;&gt;"")))),"ไม่พบใน Ownership Matrix")))</f>
        <v/>
      </c>
      <c r="Z223" s="31" t="str">
        <f>IF(NOT(AND($A223&lt;&gt;"",$M223&lt;&gt;"Out of Scope",$M223&lt;&gt;"Canceled",$T223&lt;&gt;"Fixed – Retest Passed",OR(LEN(TRIM($O223))&gt;0,LEN(TRIM($P223))&gt;0))),"",IF(OR($W223="Failed",$R223="Urgent",$R223="High",$R223="ระบุ Severity + Impact"),IF(COUNTIFS(Dashboard!$B$105:$B$124,$O223,Dashboard!$I$105:$I$124,"CAB")&gt;0,"Accepted (CF)","Blocking"),"Deferrable"))</f>
        <v/>
      </c>
    </row>
    <row r="224" spans="7:26" x14ac:dyDescent="0.3">
      <c r="G224" s="27" t="str" cm="1">
        <f t="array" ref="G224">IF($A224="","",IFERROR(_xlfn.TEXTJOIN(CHAR(10)&amp;CHAR(10),TRUE,_xlfn._xlws.FILTER("•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"&amp;Cards!$L$4:$L$1000),(Cards!$A$4:$A$1000&lt;&gt;"")*ISNUMBER(SEARCH($A224,Cards!$E$4:$E$1000)))),"-"))</f>
        <v/>
      </c>
      <c r="Q224" s="30"/>
      <c r="R224" s="27" t="str">
        <f>IF(OR($A224="",LEN(TRIM($O224))=0),"",IF(OR($P224="",$Q224=""),"ระบุ Severity + Impact",IFERROR(INDEX({"Urgent","Urgent","High","High";"Urgent","High","High","Medium";"High","High","Medium","Medium";"Medium","Medium","Low","Low"},MATCH($P224,{"Critical","High","Medium","Low"},0),MATCH($Q224,{"Extensive","Significant","Moderate","Minor"},0)),"-")))</f>
        <v/>
      </c>
      <c r="S224" s="30"/>
      <c r="T224" s="30"/>
      <c r="W224" s="32" t="str">
        <f>IF($A224="","",IF(OR($M224="Out of Scope",$M224="Canceled"),"Out of Scope",IF($M224="Blocked","Blocked",IF(AND($T224&lt;&gt;"Fixed – Retest Passed",OR(LEN(TRIM($O224))&gt;0,LEN(TRIM($P224))&gt;0)),IF(AND(OR($L224="Medium",$L224="Low"),SUMPRODUCT((Cards!$A$4:$A$1000&lt;&gt;"")*ISNUMBER(SEARCH($A224,Cards!$E$4:$E$1000))*(Cards!$F$4:$F$1000&lt;&gt;"Medium")*(Cards!$F$4:$F$1000&lt;&gt;"Low"))=0),"Conditionally Passed","Failed"),IF($M224="Done","Passed","Not Run")))))</f>
        <v/>
      </c>
      <c r="Y224" s="27" t="str" cm="1">
        <f t="array" ref="Y224">IF($A224="","",IF(TRIM($B224)="","-",IFERROR(_xlfn.TEXTJOIN(" / ",TRUE,_xlfn.UNIQUE(_xlfn._xlws.FILTER('Ownership Matrix'!$C$5:$C$200,('Ownership Matrix'!$A$5:$A$200=TRIM($B224))*('Ownership Matrix'!$C$5:$C$200&lt;&gt;"")))),"ไม่พบใน Ownership Matrix")))</f>
        <v/>
      </c>
      <c r="Z224" s="31" t="str">
        <f>IF(NOT(AND($A224&lt;&gt;"",$M224&lt;&gt;"Out of Scope",$M224&lt;&gt;"Canceled",$T224&lt;&gt;"Fixed – Retest Passed",OR(LEN(TRIM($O224))&gt;0,LEN(TRIM($P224))&gt;0))),"",IF(OR($W224="Failed",$R224="Urgent",$R224="High",$R224="ระบุ Severity + Impact"),IF(COUNTIFS(Dashboard!$B$105:$B$124,$O224,Dashboard!$I$105:$I$124,"CAB")&gt;0,"Accepted (CF)","Blocking"),"Deferrable"))</f>
        <v/>
      </c>
    </row>
    <row r="225" spans="7:26" x14ac:dyDescent="0.3">
      <c r="G225" s="27" t="str" cm="1">
        <f t="array" ref="G225">IF($A225="","",IFERROR(_xlfn.TEXTJOIN(CHAR(10)&amp;CHAR(10),TRUE,_xlfn._xlws.FILTER("•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"&amp;Cards!$L$4:$L$1000),(Cards!$A$4:$A$1000&lt;&gt;"")*ISNUMBER(SEARCH($A225,Cards!$E$4:$E$1000)))),"-"))</f>
        <v/>
      </c>
      <c r="Q225" s="30"/>
      <c r="R225" s="27" t="str">
        <f>IF(OR($A225="",LEN(TRIM($O225))=0),"",IF(OR($P225="",$Q225=""),"ระบุ Severity + Impact",IFERROR(INDEX({"Urgent","Urgent","High","High";"Urgent","High","High","Medium";"High","High","Medium","Medium";"Medium","Medium","Low","Low"},MATCH($P225,{"Critical","High","Medium","Low"},0),MATCH($Q225,{"Extensive","Significant","Moderate","Minor"},0)),"-")))</f>
        <v/>
      </c>
      <c r="S225" s="30"/>
      <c r="T225" s="30"/>
      <c r="W225" s="32" t="str">
        <f>IF($A225="","",IF(OR($M225="Out of Scope",$M225="Canceled"),"Out of Scope",IF($M225="Blocked","Blocked",IF(AND($T225&lt;&gt;"Fixed – Retest Passed",OR(LEN(TRIM($O225))&gt;0,LEN(TRIM($P225))&gt;0)),IF(AND(OR($L225="Medium",$L225="Low"),SUMPRODUCT((Cards!$A$4:$A$1000&lt;&gt;"")*ISNUMBER(SEARCH($A225,Cards!$E$4:$E$1000))*(Cards!$F$4:$F$1000&lt;&gt;"Medium")*(Cards!$F$4:$F$1000&lt;&gt;"Low"))=0),"Conditionally Passed","Failed"),IF($M225="Done","Passed","Not Run")))))</f>
        <v/>
      </c>
      <c r="Y225" s="27" t="str" cm="1">
        <f t="array" ref="Y225">IF($A225="","",IF(TRIM($B225)="","-",IFERROR(_xlfn.TEXTJOIN(" / ",TRUE,_xlfn.UNIQUE(_xlfn._xlws.FILTER('Ownership Matrix'!$C$5:$C$200,('Ownership Matrix'!$A$5:$A$200=TRIM($B225))*('Ownership Matrix'!$C$5:$C$200&lt;&gt;"")))),"ไม่พบใน Ownership Matrix")))</f>
        <v/>
      </c>
      <c r="Z225" s="31" t="str">
        <f>IF(NOT(AND($A225&lt;&gt;"",$M225&lt;&gt;"Out of Scope",$M225&lt;&gt;"Canceled",$T225&lt;&gt;"Fixed – Retest Passed",OR(LEN(TRIM($O225))&gt;0,LEN(TRIM($P225))&gt;0))),"",IF(OR($W225="Failed",$R225="Urgent",$R225="High",$R225="ระบุ Severity + Impact"),IF(COUNTIFS(Dashboard!$B$105:$B$124,$O225,Dashboard!$I$105:$I$124,"CAB")&gt;0,"Accepted (CF)","Blocking"),"Deferrable"))</f>
        <v/>
      </c>
    </row>
    <row r="226" spans="7:26" x14ac:dyDescent="0.3">
      <c r="G226" s="27" t="str" cm="1">
        <f t="array" ref="G226">IF($A226="","",IFERROR(_xlfn.TEXTJOIN(CHAR(10)&amp;CHAR(10),TRUE,_xlfn._xlws.FILTER("•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"&amp;Cards!$L$4:$L$1000),(Cards!$A$4:$A$1000&lt;&gt;"")*ISNUMBER(SEARCH($A226,Cards!$E$4:$E$1000)))),"-"))</f>
        <v/>
      </c>
      <c r="Q226" s="30"/>
      <c r="R226" s="27" t="str">
        <f>IF(OR($A226="",LEN(TRIM($O226))=0),"",IF(OR($P226="",$Q226=""),"ระบุ Severity + Impact",IFERROR(INDEX({"Urgent","Urgent","High","High";"Urgent","High","High","Medium";"High","High","Medium","Medium";"Medium","Medium","Low","Low"},MATCH($P226,{"Critical","High","Medium","Low"},0),MATCH($Q226,{"Extensive","Significant","Moderate","Minor"},0)),"-")))</f>
        <v/>
      </c>
      <c r="S226" s="30"/>
      <c r="T226" s="30"/>
      <c r="W226" s="32" t="str">
        <f>IF($A226="","",IF(OR($M226="Out of Scope",$M226="Canceled"),"Out of Scope",IF($M226="Blocked","Blocked",IF(AND($T226&lt;&gt;"Fixed – Retest Passed",OR(LEN(TRIM($O226))&gt;0,LEN(TRIM($P226))&gt;0)),IF(AND(OR($L226="Medium",$L226="Low"),SUMPRODUCT((Cards!$A$4:$A$1000&lt;&gt;"")*ISNUMBER(SEARCH($A226,Cards!$E$4:$E$1000))*(Cards!$F$4:$F$1000&lt;&gt;"Medium")*(Cards!$F$4:$F$1000&lt;&gt;"Low"))=0),"Conditionally Passed","Failed"),IF($M226="Done","Passed","Not Run")))))</f>
        <v/>
      </c>
      <c r="Y226" s="27" t="str" cm="1">
        <f t="array" ref="Y226">IF($A226="","",IF(TRIM($B226)="","-",IFERROR(_xlfn.TEXTJOIN(" / ",TRUE,_xlfn.UNIQUE(_xlfn._xlws.FILTER('Ownership Matrix'!$C$5:$C$200,('Ownership Matrix'!$A$5:$A$200=TRIM($B226))*('Ownership Matrix'!$C$5:$C$200&lt;&gt;"")))),"ไม่พบใน Ownership Matrix")))</f>
        <v/>
      </c>
      <c r="Z226" s="31" t="str">
        <f>IF(NOT(AND($A226&lt;&gt;"",$M226&lt;&gt;"Out of Scope",$M226&lt;&gt;"Canceled",$T226&lt;&gt;"Fixed – Retest Passed",OR(LEN(TRIM($O226))&gt;0,LEN(TRIM($P226))&gt;0))),"",IF(OR($W226="Failed",$R226="Urgent",$R226="High",$R226="ระบุ Severity + Impact"),IF(COUNTIFS(Dashboard!$B$105:$B$124,$O226,Dashboard!$I$105:$I$124,"CAB")&gt;0,"Accepted (CF)","Blocking"),"Deferrable"))</f>
        <v/>
      </c>
    </row>
    <row r="227" spans="7:26" x14ac:dyDescent="0.3">
      <c r="G227" s="27" t="str" cm="1">
        <f t="array" ref="G227">IF($A227="","",IFERROR(_xlfn.TEXTJOIN(CHAR(10)&amp;CHAR(10),TRUE,_xlfn._xlws.FILTER("•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"&amp;Cards!$L$4:$L$1000),(Cards!$A$4:$A$1000&lt;&gt;"")*ISNUMBER(SEARCH($A227,Cards!$E$4:$E$1000)))),"-"))</f>
        <v/>
      </c>
      <c r="Q227" s="30"/>
      <c r="R227" s="27" t="str">
        <f>IF(OR($A227="",LEN(TRIM($O227))=0),"",IF(OR($P227="",$Q227=""),"ระบุ Severity + Impact",IFERROR(INDEX({"Urgent","Urgent","High","High";"Urgent","High","High","Medium";"High","High","Medium","Medium";"Medium","Medium","Low","Low"},MATCH($P227,{"Critical","High","Medium","Low"},0),MATCH($Q227,{"Extensive","Significant","Moderate","Minor"},0)),"-")))</f>
        <v/>
      </c>
      <c r="S227" s="30"/>
      <c r="T227" s="30"/>
      <c r="W227" s="32" t="str">
        <f>IF($A227="","",IF(OR($M227="Out of Scope",$M227="Canceled"),"Out of Scope",IF($M227="Blocked","Blocked",IF(AND($T227&lt;&gt;"Fixed – Retest Passed",OR(LEN(TRIM($O227))&gt;0,LEN(TRIM($P227))&gt;0)),IF(AND(OR($L227="Medium",$L227="Low"),SUMPRODUCT((Cards!$A$4:$A$1000&lt;&gt;"")*ISNUMBER(SEARCH($A227,Cards!$E$4:$E$1000))*(Cards!$F$4:$F$1000&lt;&gt;"Medium")*(Cards!$F$4:$F$1000&lt;&gt;"Low"))=0),"Conditionally Passed","Failed"),IF($M227="Done","Passed","Not Run")))))</f>
        <v/>
      </c>
      <c r="Y227" s="27" t="str" cm="1">
        <f t="array" ref="Y227">IF($A227="","",IF(TRIM($B227)="","-",IFERROR(_xlfn.TEXTJOIN(" / ",TRUE,_xlfn.UNIQUE(_xlfn._xlws.FILTER('Ownership Matrix'!$C$5:$C$200,('Ownership Matrix'!$A$5:$A$200=TRIM($B227))*('Ownership Matrix'!$C$5:$C$200&lt;&gt;"")))),"ไม่พบใน Ownership Matrix")))</f>
        <v/>
      </c>
      <c r="Z227" s="31" t="str">
        <f>IF(NOT(AND($A227&lt;&gt;"",$M227&lt;&gt;"Out of Scope",$M227&lt;&gt;"Canceled",$T227&lt;&gt;"Fixed – Retest Passed",OR(LEN(TRIM($O227))&gt;0,LEN(TRIM($P227))&gt;0))),"",IF(OR($W227="Failed",$R227="Urgent",$R227="High",$R227="ระบุ Severity + Impact"),IF(COUNTIFS(Dashboard!$B$105:$B$124,$O227,Dashboard!$I$105:$I$124,"CAB")&gt;0,"Accepted (CF)","Blocking"),"Deferrable"))</f>
        <v/>
      </c>
    </row>
    <row r="228" spans="7:26" x14ac:dyDescent="0.3">
      <c r="G228" s="27" t="str" cm="1">
        <f t="array" ref="G228">IF($A228="","",IFERROR(_xlfn.TEXTJOIN(CHAR(10)&amp;CHAR(10),TRUE,_xlfn._xlws.FILTER("•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"&amp;Cards!$L$4:$L$1000),(Cards!$A$4:$A$1000&lt;&gt;"")*ISNUMBER(SEARCH($A228,Cards!$E$4:$E$1000)))),"-"))</f>
        <v/>
      </c>
      <c r="Q228" s="30"/>
      <c r="R228" s="27" t="str">
        <f>IF(OR($A228="",LEN(TRIM($O228))=0),"",IF(OR($P228="",$Q228=""),"ระบุ Severity + Impact",IFERROR(INDEX({"Urgent","Urgent","High","High";"Urgent","High","High","Medium";"High","High","Medium","Medium";"Medium","Medium","Low","Low"},MATCH($P228,{"Critical","High","Medium","Low"},0),MATCH($Q228,{"Extensive","Significant","Moderate","Minor"},0)),"-")))</f>
        <v/>
      </c>
      <c r="S228" s="30"/>
      <c r="T228" s="30"/>
      <c r="W228" s="32" t="str">
        <f>IF($A228="","",IF(OR($M228="Out of Scope",$M228="Canceled"),"Out of Scope",IF($M228="Blocked","Blocked",IF(AND($T228&lt;&gt;"Fixed – Retest Passed",OR(LEN(TRIM($O228))&gt;0,LEN(TRIM($P228))&gt;0)),IF(AND(OR($L228="Medium",$L228="Low"),SUMPRODUCT((Cards!$A$4:$A$1000&lt;&gt;"")*ISNUMBER(SEARCH($A228,Cards!$E$4:$E$1000))*(Cards!$F$4:$F$1000&lt;&gt;"Medium")*(Cards!$F$4:$F$1000&lt;&gt;"Low"))=0),"Conditionally Passed","Failed"),IF($M228="Done","Passed","Not Run")))))</f>
        <v/>
      </c>
      <c r="Y228" s="27" t="str" cm="1">
        <f t="array" ref="Y228">IF($A228="","",IF(TRIM($B228)="","-",IFERROR(_xlfn.TEXTJOIN(" / ",TRUE,_xlfn.UNIQUE(_xlfn._xlws.FILTER('Ownership Matrix'!$C$5:$C$200,('Ownership Matrix'!$A$5:$A$200=TRIM($B228))*('Ownership Matrix'!$C$5:$C$200&lt;&gt;"")))),"ไม่พบใน Ownership Matrix")))</f>
        <v/>
      </c>
      <c r="Z228" s="31" t="str">
        <f>IF(NOT(AND($A228&lt;&gt;"",$M228&lt;&gt;"Out of Scope",$M228&lt;&gt;"Canceled",$T228&lt;&gt;"Fixed – Retest Passed",OR(LEN(TRIM($O228))&gt;0,LEN(TRIM($P228))&gt;0))),"",IF(OR($W228="Failed",$R228="Urgent",$R228="High",$R228="ระบุ Severity + Impact"),IF(COUNTIFS(Dashboard!$B$105:$B$124,$O228,Dashboard!$I$105:$I$124,"CAB")&gt;0,"Accepted (CF)","Blocking"),"Deferrable"))</f>
        <v/>
      </c>
    </row>
    <row r="229" spans="7:26" x14ac:dyDescent="0.3">
      <c r="G229" s="27" t="str" cm="1">
        <f t="array" ref="G229">IF($A229="","",IFERROR(_xlfn.TEXTJOIN(CHAR(10)&amp;CHAR(10),TRUE,_xlfn._xlws.FILTER("•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"&amp;Cards!$L$4:$L$1000),(Cards!$A$4:$A$1000&lt;&gt;"")*ISNUMBER(SEARCH($A229,Cards!$E$4:$E$1000)))),"-"))</f>
        <v/>
      </c>
      <c r="Q229" s="30"/>
      <c r="R229" s="27" t="str">
        <f>IF(OR($A229="",LEN(TRIM($O229))=0),"",IF(OR($P229="",$Q229=""),"ระบุ Severity + Impact",IFERROR(INDEX({"Urgent","Urgent","High","High";"Urgent","High","High","Medium";"High","High","Medium","Medium";"Medium","Medium","Low","Low"},MATCH($P229,{"Critical","High","Medium","Low"},0),MATCH($Q229,{"Extensive","Significant","Moderate","Minor"},0)),"-")))</f>
        <v/>
      </c>
      <c r="S229" s="30"/>
      <c r="T229" s="30"/>
      <c r="W229" s="32" t="str">
        <f>IF($A229="","",IF(OR($M229="Out of Scope",$M229="Canceled"),"Out of Scope",IF($M229="Blocked","Blocked",IF(AND($T229&lt;&gt;"Fixed – Retest Passed",OR(LEN(TRIM($O229))&gt;0,LEN(TRIM($P229))&gt;0)),IF(AND(OR($L229="Medium",$L229="Low"),SUMPRODUCT((Cards!$A$4:$A$1000&lt;&gt;"")*ISNUMBER(SEARCH($A229,Cards!$E$4:$E$1000))*(Cards!$F$4:$F$1000&lt;&gt;"Medium")*(Cards!$F$4:$F$1000&lt;&gt;"Low"))=0),"Conditionally Passed","Failed"),IF($M229="Done","Passed","Not Run")))))</f>
        <v/>
      </c>
      <c r="Y229" s="27" t="str" cm="1">
        <f t="array" ref="Y229">IF($A229="","",IF(TRIM($B229)="","-",IFERROR(_xlfn.TEXTJOIN(" / ",TRUE,_xlfn.UNIQUE(_xlfn._xlws.FILTER('Ownership Matrix'!$C$5:$C$200,('Ownership Matrix'!$A$5:$A$200=TRIM($B229))*('Ownership Matrix'!$C$5:$C$200&lt;&gt;"")))),"ไม่พบใน Ownership Matrix")))</f>
        <v/>
      </c>
      <c r="Z229" s="31" t="str">
        <f>IF(NOT(AND($A229&lt;&gt;"",$M229&lt;&gt;"Out of Scope",$M229&lt;&gt;"Canceled",$T229&lt;&gt;"Fixed – Retest Passed",OR(LEN(TRIM($O229))&gt;0,LEN(TRIM($P229))&gt;0))),"",IF(OR($W229="Failed",$R229="Urgent",$R229="High",$R229="ระบุ Severity + Impact"),IF(COUNTIFS(Dashboard!$B$105:$B$124,$O229,Dashboard!$I$105:$I$124,"CAB")&gt;0,"Accepted (CF)","Blocking"),"Deferrable"))</f>
        <v/>
      </c>
    </row>
    <row r="230" spans="7:26" x14ac:dyDescent="0.3">
      <c r="G230" s="27" t="str" cm="1">
        <f t="array" ref="G230">IF($A230="","",IFERROR(_xlfn.TEXTJOIN(CHAR(10)&amp;CHAR(10),TRUE,_xlfn._xlws.FILTER("•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"&amp;Cards!$L$4:$L$1000),(Cards!$A$4:$A$1000&lt;&gt;"")*ISNUMBER(SEARCH($A230,Cards!$E$4:$E$1000)))),"-"))</f>
        <v/>
      </c>
      <c r="Q230" s="30"/>
      <c r="R230" s="27" t="str">
        <f>IF(OR($A230="",LEN(TRIM($O230))=0),"",IF(OR($P230="",$Q230=""),"ระบุ Severity + Impact",IFERROR(INDEX({"Urgent","Urgent","High","High";"Urgent","High","High","Medium";"High","High","Medium","Medium";"Medium","Medium","Low","Low"},MATCH($P230,{"Critical","High","Medium","Low"},0),MATCH($Q230,{"Extensive","Significant","Moderate","Minor"},0)),"-")))</f>
        <v/>
      </c>
      <c r="S230" s="30"/>
      <c r="T230" s="30"/>
      <c r="W230" s="32" t="str">
        <f>IF($A230="","",IF(OR($M230="Out of Scope",$M230="Canceled"),"Out of Scope",IF($M230="Blocked","Blocked",IF(AND($T230&lt;&gt;"Fixed – Retest Passed",OR(LEN(TRIM($O230))&gt;0,LEN(TRIM($P230))&gt;0)),IF(AND(OR($L230="Medium",$L230="Low"),SUMPRODUCT((Cards!$A$4:$A$1000&lt;&gt;"")*ISNUMBER(SEARCH($A230,Cards!$E$4:$E$1000))*(Cards!$F$4:$F$1000&lt;&gt;"Medium")*(Cards!$F$4:$F$1000&lt;&gt;"Low"))=0),"Conditionally Passed","Failed"),IF($M230="Done","Passed","Not Run")))))</f>
        <v/>
      </c>
      <c r="Y230" s="27" t="str" cm="1">
        <f t="array" ref="Y230">IF($A230="","",IF(TRIM($B230)="","-",IFERROR(_xlfn.TEXTJOIN(" / ",TRUE,_xlfn.UNIQUE(_xlfn._xlws.FILTER('Ownership Matrix'!$C$5:$C$200,('Ownership Matrix'!$A$5:$A$200=TRIM($B230))*('Ownership Matrix'!$C$5:$C$200&lt;&gt;"")))),"ไม่พบใน Ownership Matrix")))</f>
        <v/>
      </c>
      <c r="Z230" s="31" t="str">
        <f>IF(NOT(AND($A230&lt;&gt;"",$M230&lt;&gt;"Out of Scope",$M230&lt;&gt;"Canceled",$T230&lt;&gt;"Fixed – Retest Passed",OR(LEN(TRIM($O230))&gt;0,LEN(TRIM($P230))&gt;0))),"",IF(OR($W230="Failed",$R230="Urgent",$R230="High",$R230="ระบุ Severity + Impact"),IF(COUNTIFS(Dashboard!$B$105:$B$124,$O230,Dashboard!$I$105:$I$124,"CAB")&gt;0,"Accepted (CF)","Blocking"),"Deferrable"))</f>
        <v/>
      </c>
    </row>
    <row r="231" spans="7:26" x14ac:dyDescent="0.3">
      <c r="G231" s="27" t="str" cm="1">
        <f t="array" ref="G231">IF($A231="","",IFERROR(_xlfn.TEXTJOIN(CHAR(10)&amp;CHAR(10),TRUE,_xlfn._xlws.FILTER("•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"&amp;Cards!$L$4:$L$1000),(Cards!$A$4:$A$1000&lt;&gt;"")*ISNUMBER(SEARCH($A231,Cards!$E$4:$E$1000)))),"-"))</f>
        <v/>
      </c>
      <c r="Q231" s="30"/>
      <c r="R231" s="27" t="str">
        <f>IF(OR($A231="",LEN(TRIM($O231))=0),"",IF(OR($P231="",$Q231=""),"ระบุ Severity + Impact",IFERROR(INDEX({"Urgent","Urgent","High","High";"Urgent","High","High","Medium";"High","High","Medium","Medium";"Medium","Medium","Low","Low"},MATCH($P231,{"Critical","High","Medium","Low"},0),MATCH($Q231,{"Extensive","Significant","Moderate","Minor"},0)),"-")))</f>
        <v/>
      </c>
      <c r="S231" s="30"/>
      <c r="T231" s="30"/>
      <c r="W231" s="32" t="str">
        <f>IF($A231="","",IF(OR($M231="Out of Scope",$M231="Canceled"),"Out of Scope",IF($M231="Blocked","Blocked",IF(AND($T231&lt;&gt;"Fixed – Retest Passed",OR(LEN(TRIM($O231))&gt;0,LEN(TRIM($P231))&gt;0)),IF(AND(OR($L231="Medium",$L231="Low"),SUMPRODUCT((Cards!$A$4:$A$1000&lt;&gt;"")*ISNUMBER(SEARCH($A231,Cards!$E$4:$E$1000))*(Cards!$F$4:$F$1000&lt;&gt;"Medium")*(Cards!$F$4:$F$1000&lt;&gt;"Low"))=0),"Conditionally Passed","Failed"),IF($M231="Done","Passed","Not Run")))))</f>
        <v/>
      </c>
      <c r="Y231" s="27" t="str" cm="1">
        <f t="array" ref="Y231">IF($A231="","",IF(TRIM($B231)="","-",IFERROR(_xlfn.TEXTJOIN(" / ",TRUE,_xlfn.UNIQUE(_xlfn._xlws.FILTER('Ownership Matrix'!$C$5:$C$200,('Ownership Matrix'!$A$5:$A$200=TRIM($B231))*('Ownership Matrix'!$C$5:$C$200&lt;&gt;"")))),"ไม่พบใน Ownership Matrix")))</f>
        <v/>
      </c>
      <c r="Z231" s="31" t="str">
        <f>IF(NOT(AND($A231&lt;&gt;"",$M231&lt;&gt;"Out of Scope",$M231&lt;&gt;"Canceled",$T231&lt;&gt;"Fixed – Retest Passed",OR(LEN(TRIM($O231))&gt;0,LEN(TRIM($P231))&gt;0))),"",IF(OR($W231="Failed",$R231="Urgent",$R231="High",$R231="ระบุ Severity + Impact"),IF(COUNTIFS(Dashboard!$B$105:$B$124,$O231,Dashboard!$I$105:$I$124,"CAB")&gt;0,"Accepted (CF)","Blocking"),"Deferrable"))</f>
        <v/>
      </c>
    </row>
    <row r="232" spans="7:26" x14ac:dyDescent="0.3">
      <c r="G232" s="27" t="str" cm="1">
        <f t="array" ref="G232">IF($A232="","",IFERROR(_xlfn.TEXTJOIN(CHAR(10)&amp;CHAR(10),TRUE,_xlfn._xlws.FILTER("•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"&amp;Cards!$L$4:$L$1000),(Cards!$A$4:$A$1000&lt;&gt;"")*ISNUMBER(SEARCH($A232,Cards!$E$4:$E$1000)))),"-"))</f>
        <v/>
      </c>
      <c r="Q232" s="30"/>
      <c r="R232" s="27" t="str">
        <f>IF(OR($A232="",LEN(TRIM($O232))=0),"",IF(OR($P232="",$Q232=""),"ระบุ Severity + Impact",IFERROR(INDEX({"Urgent","Urgent","High","High";"Urgent","High","High","Medium";"High","High","Medium","Medium";"Medium","Medium","Low","Low"},MATCH($P232,{"Critical","High","Medium","Low"},0),MATCH($Q232,{"Extensive","Significant","Moderate","Minor"},0)),"-")))</f>
        <v/>
      </c>
      <c r="S232" s="30"/>
      <c r="T232" s="30"/>
      <c r="W232" s="32" t="str">
        <f>IF($A232="","",IF(OR($M232="Out of Scope",$M232="Canceled"),"Out of Scope",IF($M232="Blocked","Blocked",IF(AND($T232&lt;&gt;"Fixed – Retest Passed",OR(LEN(TRIM($O232))&gt;0,LEN(TRIM($P232))&gt;0)),IF(AND(OR($L232="Medium",$L232="Low"),SUMPRODUCT((Cards!$A$4:$A$1000&lt;&gt;"")*ISNUMBER(SEARCH($A232,Cards!$E$4:$E$1000))*(Cards!$F$4:$F$1000&lt;&gt;"Medium")*(Cards!$F$4:$F$1000&lt;&gt;"Low"))=0),"Conditionally Passed","Failed"),IF($M232="Done","Passed","Not Run")))))</f>
        <v/>
      </c>
      <c r="Y232" s="27" t="str" cm="1">
        <f t="array" ref="Y232">IF($A232="","",IF(TRIM($B232)="","-",IFERROR(_xlfn.TEXTJOIN(" / ",TRUE,_xlfn.UNIQUE(_xlfn._xlws.FILTER('Ownership Matrix'!$C$5:$C$200,('Ownership Matrix'!$A$5:$A$200=TRIM($B232))*('Ownership Matrix'!$C$5:$C$200&lt;&gt;"")))),"ไม่พบใน Ownership Matrix")))</f>
        <v/>
      </c>
      <c r="Z232" s="31" t="str">
        <f>IF(NOT(AND($A232&lt;&gt;"",$M232&lt;&gt;"Out of Scope",$M232&lt;&gt;"Canceled",$T232&lt;&gt;"Fixed – Retest Passed",OR(LEN(TRIM($O232))&gt;0,LEN(TRIM($P232))&gt;0))),"",IF(OR($W232="Failed",$R232="Urgent",$R232="High",$R232="ระบุ Severity + Impact"),IF(COUNTIFS(Dashboard!$B$105:$B$124,$O232,Dashboard!$I$105:$I$124,"CAB")&gt;0,"Accepted (CF)","Blocking"),"Deferrable"))</f>
        <v/>
      </c>
    </row>
    <row r="233" spans="7:26" x14ac:dyDescent="0.3">
      <c r="G233" s="27" t="str" cm="1">
        <f t="array" ref="G233">IF($A233="","",IFERROR(_xlfn.TEXTJOIN(CHAR(10)&amp;CHAR(10),TRUE,_xlfn._xlws.FILTER("•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"&amp;Cards!$L$4:$L$1000),(Cards!$A$4:$A$1000&lt;&gt;"")*ISNUMBER(SEARCH($A233,Cards!$E$4:$E$1000)))),"-"))</f>
        <v/>
      </c>
      <c r="Q233" s="30"/>
      <c r="R233" s="27" t="str">
        <f>IF(OR($A233="",LEN(TRIM($O233))=0),"",IF(OR($P233="",$Q233=""),"ระบุ Severity + Impact",IFERROR(INDEX({"Urgent","Urgent","High","High";"Urgent","High","High","Medium";"High","High","Medium","Medium";"Medium","Medium","Low","Low"},MATCH($P233,{"Critical","High","Medium","Low"},0),MATCH($Q233,{"Extensive","Significant","Moderate","Minor"},0)),"-")))</f>
        <v/>
      </c>
      <c r="S233" s="30"/>
      <c r="T233" s="30"/>
      <c r="W233" s="32" t="str">
        <f>IF($A233="","",IF(OR($M233="Out of Scope",$M233="Canceled"),"Out of Scope",IF($M233="Blocked","Blocked",IF(AND($T233&lt;&gt;"Fixed – Retest Passed",OR(LEN(TRIM($O233))&gt;0,LEN(TRIM($P233))&gt;0)),IF(AND(OR($L233="Medium",$L233="Low"),SUMPRODUCT((Cards!$A$4:$A$1000&lt;&gt;"")*ISNUMBER(SEARCH($A233,Cards!$E$4:$E$1000))*(Cards!$F$4:$F$1000&lt;&gt;"Medium")*(Cards!$F$4:$F$1000&lt;&gt;"Low"))=0),"Conditionally Passed","Failed"),IF($M233="Done","Passed","Not Run")))))</f>
        <v/>
      </c>
      <c r="Y233" s="27" t="str" cm="1">
        <f t="array" ref="Y233">IF($A233="","",IF(TRIM($B233)="","-",IFERROR(_xlfn.TEXTJOIN(" / ",TRUE,_xlfn.UNIQUE(_xlfn._xlws.FILTER('Ownership Matrix'!$C$5:$C$200,('Ownership Matrix'!$A$5:$A$200=TRIM($B233))*('Ownership Matrix'!$C$5:$C$200&lt;&gt;"")))),"ไม่พบใน Ownership Matrix")))</f>
        <v/>
      </c>
      <c r="Z233" s="31" t="str">
        <f>IF(NOT(AND($A233&lt;&gt;"",$M233&lt;&gt;"Out of Scope",$M233&lt;&gt;"Canceled",$T233&lt;&gt;"Fixed – Retest Passed",OR(LEN(TRIM($O233))&gt;0,LEN(TRIM($P233))&gt;0))),"",IF(OR($W233="Failed",$R233="Urgent",$R233="High",$R233="ระบุ Severity + Impact"),IF(COUNTIFS(Dashboard!$B$105:$B$124,$O233,Dashboard!$I$105:$I$124,"CAB")&gt;0,"Accepted (CF)","Blocking"),"Deferrable"))</f>
        <v/>
      </c>
    </row>
    <row r="234" spans="7:26" x14ac:dyDescent="0.3">
      <c r="G234" s="27" t="str" cm="1">
        <f t="array" ref="G234">IF($A234="","",IFERROR(_xlfn.TEXTJOIN(CHAR(10)&amp;CHAR(10),TRUE,_xlfn._xlws.FILTER("•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"&amp;Cards!$L$4:$L$1000),(Cards!$A$4:$A$1000&lt;&gt;"")*ISNUMBER(SEARCH($A234,Cards!$E$4:$E$1000)))),"-"))</f>
        <v/>
      </c>
      <c r="Q234" s="30"/>
      <c r="R234" s="27" t="str">
        <f>IF(OR($A234="",LEN(TRIM($O234))=0),"",IF(OR($P234="",$Q234=""),"ระบุ Severity + Impact",IFERROR(INDEX({"Urgent","Urgent","High","High";"Urgent","High","High","Medium";"High","High","Medium","Medium";"Medium","Medium","Low","Low"},MATCH($P234,{"Critical","High","Medium","Low"},0),MATCH($Q234,{"Extensive","Significant","Moderate","Minor"},0)),"-")))</f>
        <v/>
      </c>
      <c r="S234" s="30"/>
      <c r="T234" s="30"/>
      <c r="W234" s="32" t="str">
        <f>IF($A234="","",IF(OR($M234="Out of Scope",$M234="Canceled"),"Out of Scope",IF($M234="Blocked","Blocked",IF(AND($T234&lt;&gt;"Fixed – Retest Passed",OR(LEN(TRIM($O234))&gt;0,LEN(TRIM($P234))&gt;0)),IF(AND(OR($L234="Medium",$L234="Low"),SUMPRODUCT((Cards!$A$4:$A$1000&lt;&gt;"")*ISNUMBER(SEARCH($A234,Cards!$E$4:$E$1000))*(Cards!$F$4:$F$1000&lt;&gt;"Medium")*(Cards!$F$4:$F$1000&lt;&gt;"Low"))=0),"Conditionally Passed","Failed"),IF($M234="Done","Passed","Not Run")))))</f>
        <v/>
      </c>
      <c r="Y234" s="27" t="str" cm="1">
        <f t="array" ref="Y234">IF($A234="","",IF(TRIM($B234)="","-",IFERROR(_xlfn.TEXTJOIN(" / ",TRUE,_xlfn.UNIQUE(_xlfn._xlws.FILTER('Ownership Matrix'!$C$5:$C$200,('Ownership Matrix'!$A$5:$A$200=TRIM($B234))*('Ownership Matrix'!$C$5:$C$200&lt;&gt;"")))),"ไม่พบใน Ownership Matrix")))</f>
        <v/>
      </c>
      <c r="Z234" s="31" t="str">
        <f>IF(NOT(AND($A234&lt;&gt;"",$M234&lt;&gt;"Out of Scope",$M234&lt;&gt;"Canceled",$T234&lt;&gt;"Fixed – Retest Passed",OR(LEN(TRIM($O234))&gt;0,LEN(TRIM($P234))&gt;0))),"",IF(OR($W234="Failed",$R234="Urgent",$R234="High",$R234="ระบุ Severity + Impact"),IF(COUNTIFS(Dashboard!$B$105:$B$124,$O234,Dashboard!$I$105:$I$124,"CAB")&gt;0,"Accepted (CF)","Blocking"),"Deferrable"))</f>
        <v/>
      </c>
    </row>
    <row r="235" spans="7:26" x14ac:dyDescent="0.3">
      <c r="G235" s="27" t="str" cm="1">
        <f t="array" ref="G235">IF($A235="","",IFERROR(_xlfn.TEXTJOIN(CHAR(10)&amp;CHAR(10),TRUE,_xlfn._xlws.FILTER("•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"&amp;Cards!$L$4:$L$1000),(Cards!$A$4:$A$1000&lt;&gt;"")*ISNUMBER(SEARCH($A235,Cards!$E$4:$E$1000)))),"-"))</f>
        <v/>
      </c>
      <c r="Q235" s="30"/>
      <c r="R235" s="27" t="str">
        <f>IF(OR($A235="",LEN(TRIM($O235))=0),"",IF(OR($P235="",$Q235=""),"ระบุ Severity + Impact",IFERROR(INDEX({"Urgent","Urgent","High","High";"Urgent","High","High","Medium";"High","High","Medium","Medium";"Medium","Medium","Low","Low"},MATCH($P235,{"Critical","High","Medium","Low"},0),MATCH($Q235,{"Extensive","Significant","Moderate","Minor"},0)),"-")))</f>
        <v/>
      </c>
      <c r="S235" s="30"/>
      <c r="T235" s="30"/>
      <c r="W235" s="32" t="str">
        <f>IF($A235="","",IF(OR($M235="Out of Scope",$M235="Canceled"),"Out of Scope",IF($M235="Blocked","Blocked",IF(AND($T235&lt;&gt;"Fixed – Retest Passed",OR(LEN(TRIM($O235))&gt;0,LEN(TRIM($P235))&gt;0)),IF(AND(OR($L235="Medium",$L235="Low"),SUMPRODUCT((Cards!$A$4:$A$1000&lt;&gt;"")*ISNUMBER(SEARCH($A235,Cards!$E$4:$E$1000))*(Cards!$F$4:$F$1000&lt;&gt;"Medium")*(Cards!$F$4:$F$1000&lt;&gt;"Low"))=0),"Conditionally Passed","Failed"),IF($M235="Done","Passed","Not Run")))))</f>
        <v/>
      </c>
      <c r="Y235" s="27" t="str" cm="1">
        <f t="array" ref="Y235">IF($A235="","",IF(TRIM($B235)="","-",IFERROR(_xlfn.TEXTJOIN(" / ",TRUE,_xlfn.UNIQUE(_xlfn._xlws.FILTER('Ownership Matrix'!$C$5:$C$200,('Ownership Matrix'!$A$5:$A$200=TRIM($B235))*('Ownership Matrix'!$C$5:$C$200&lt;&gt;"")))),"ไม่พบใน Ownership Matrix")))</f>
        <v/>
      </c>
      <c r="Z235" s="31" t="str">
        <f>IF(NOT(AND($A235&lt;&gt;"",$M235&lt;&gt;"Out of Scope",$M235&lt;&gt;"Canceled",$T235&lt;&gt;"Fixed – Retest Passed",OR(LEN(TRIM($O235))&gt;0,LEN(TRIM($P235))&gt;0))),"",IF(OR($W235="Failed",$R235="Urgent",$R235="High",$R235="ระบุ Severity + Impact"),IF(COUNTIFS(Dashboard!$B$105:$B$124,$O235,Dashboard!$I$105:$I$124,"CAB")&gt;0,"Accepted (CF)","Blocking"),"Deferrable"))</f>
        <v/>
      </c>
    </row>
    <row r="236" spans="7:26" x14ac:dyDescent="0.3">
      <c r="G236" s="27" t="str" cm="1">
        <f t="array" ref="G236">IF($A236="","",IFERROR(_xlfn.TEXTJOIN(CHAR(10)&amp;CHAR(10),TRUE,_xlfn._xlws.FILTER("•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"&amp;Cards!$L$4:$L$1000),(Cards!$A$4:$A$1000&lt;&gt;"")*ISNUMBER(SEARCH($A236,Cards!$E$4:$E$1000)))),"-"))</f>
        <v/>
      </c>
      <c r="Q236" s="30"/>
      <c r="R236" s="27" t="str">
        <f>IF(OR($A236="",LEN(TRIM($O236))=0),"",IF(OR($P236="",$Q236=""),"ระบุ Severity + Impact",IFERROR(INDEX({"Urgent","Urgent","High","High";"Urgent","High","High","Medium";"High","High","Medium","Medium";"Medium","Medium","Low","Low"},MATCH($P236,{"Critical","High","Medium","Low"},0),MATCH($Q236,{"Extensive","Significant","Moderate","Minor"},0)),"-")))</f>
        <v/>
      </c>
      <c r="S236" s="30"/>
      <c r="T236" s="30"/>
      <c r="W236" s="32" t="str">
        <f>IF($A236="","",IF(OR($M236="Out of Scope",$M236="Canceled"),"Out of Scope",IF($M236="Blocked","Blocked",IF(AND($T236&lt;&gt;"Fixed – Retest Passed",OR(LEN(TRIM($O236))&gt;0,LEN(TRIM($P236))&gt;0)),IF(AND(OR($L236="Medium",$L236="Low"),SUMPRODUCT((Cards!$A$4:$A$1000&lt;&gt;"")*ISNUMBER(SEARCH($A236,Cards!$E$4:$E$1000))*(Cards!$F$4:$F$1000&lt;&gt;"Medium")*(Cards!$F$4:$F$1000&lt;&gt;"Low"))=0),"Conditionally Passed","Failed"),IF($M236="Done","Passed","Not Run")))))</f>
        <v/>
      </c>
      <c r="Y236" s="27" t="str" cm="1">
        <f t="array" ref="Y236">IF($A236="","",IF(TRIM($B236)="","-",IFERROR(_xlfn.TEXTJOIN(" / ",TRUE,_xlfn.UNIQUE(_xlfn._xlws.FILTER('Ownership Matrix'!$C$5:$C$200,('Ownership Matrix'!$A$5:$A$200=TRIM($B236))*('Ownership Matrix'!$C$5:$C$200&lt;&gt;"")))),"ไม่พบใน Ownership Matrix")))</f>
        <v/>
      </c>
      <c r="Z236" s="31" t="str">
        <f>IF(NOT(AND($A236&lt;&gt;"",$M236&lt;&gt;"Out of Scope",$M236&lt;&gt;"Canceled",$T236&lt;&gt;"Fixed – Retest Passed",OR(LEN(TRIM($O236))&gt;0,LEN(TRIM($P236))&gt;0))),"",IF(OR($W236="Failed",$R236="Urgent",$R236="High",$R236="ระบุ Severity + Impact"),IF(COUNTIFS(Dashboard!$B$105:$B$124,$O236,Dashboard!$I$105:$I$124,"CAB")&gt;0,"Accepted (CF)","Blocking"),"Deferrable"))</f>
        <v/>
      </c>
    </row>
    <row r="237" spans="7:26" x14ac:dyDescent="0.3">
      <c r="G237" s="27" t="str" cm="1">
        <f t="array" ref="G237">IF($A237="","",IFERROR(_xlfn.TEXTJOIN(CHAR(10)&amp;CHAR(10),TRUE,_xlfn._xlws.FILTER("•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"&amp;Cards!$L$4:$L$1000),(Cards!$A$4:$A$1000&lt;&gt;"")*ISNUMBER(SEARCH($A237,Cards!$E$4:$E$1000)))),"-"))</f>
        <v/>
      </c>
      <c r="Q237" s="30"/>
      <c r="R237" s="27" t="str">
        <f>IF(OR($A237="",LEN(TRIM($O237))=0),"",IF(OR($P237="",$Q237=""),"ระบุ Severity + Impact",IFERROR(INDEX({"Urgent","Urgent","High","High";"Urgent","High","High","Medium";"High","High","Medium","Medium";"Medium","Medium","Low","Low"},MATCH($P237,{"Critical","High","Medium","Low"},0),MATCH($Q237,{"Extensive","Significant","Moderate","Minor"},0)),"-")))</f>
        <v/>
      </c>
      <c r="S237" s="30"/>
      <c r="T237" s="30"/>
      <c r="W237" s="32" t="str">
        <f>IF($A237="","",IF(OR($M237="Out of Scope",$M237="Canceled"),"Out of Scope",IF($M237="Blocked","Blocked",IF(AND($T237&lt;&gt;"Fixed – Retest Passed",OR(LEN(TRIM($O237))&gt;0,LEN(TRIM($P237))&gt;0)),IF(AND(OR($L237="Medium",$L237="Low"),SUMPRODUCT((Cards!$A$4:$A$1000&lt;&gt;"")*ISNUMBER(SEARCH($A237,Cards!$E$4:$E$1000))*(Cards!$F$4:$F$1000&lt;&gt;"Medium")*(Cards!$F$4:$F$1000&lt;&gt;"Low"))=0),"Conditionally Passed","Failed"),IF($M237="Done","Passed","Not Run")))))</f>
        <v/>
      </c>
      <c r="Y237" s="27" t="str" cm="1">
        <f t="array" ref="Y237">IF($A237="","",IF(TRIM($B237)="","-",IFERROR(_xlfn.TEXTJOIN(" / ",TRUE,_xlfn.UNIQUE(_xlfn._xlws.FILTER('Ownership Matrix'!$C$5:$C$200,('Ownership Matrix'!$A$5:$A$200=TRIM($B237))*('Ownership Matrix'!$C$5:$C$200&lt;&gt;"")))),"ไม่พบใน Ownership Matrix")))</f>
        <v/>
      </c>
      <c r="Z237" s="31" t="str">
        <f>IF(NOT(AND($A237&lt;&gt;"",$M237&lt;&gt;"Out of Scope",$M237&lt;&gt;"Canceled",$T237&lt;&gt;"Fixed – Retest Passed",OR(LEN(TRIM($O237))&gt;0,LEN(TRIM($P237))&gt;0))),"",IF(OR($W237="Failed",$R237="Urgent",$R237="High",$R237="ระบุ Severity + Impact"),IF(COUNTIFS(Dashboard!$B$105:$B$124,$O237,Dashboard!$I$105:$I$124,"CAB")&gt;0,"Accepted (CF)","Blocking"),"Deferrable"))</f>
        <v/>
      </c>
    </row>
    <row r="238" spans="7:26" x14ac:dyDescent="0.3">
      <c r="G238" s="27" t="str" cm="1">
        <f t="array" ref="G238">IF($A238="","",IFERROR(_xlfn.TEXTJOIN(CHAR(10)&amp;CHAR(10),TRUE,_xlfn._xlws.FILTER("•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"&amp;Cards!$L$4:$L$1000),(Cards!$A$4:$A$1000&lt;&gt;"")*ISNUMBER(SEARCH($A238,Cards!$E$4:$E$1000)))),"-"))</f>
        <v/>
      </c>
      <c r="Q238" s="30"/>
      <c r="R238" s="27" t="str">
        <f>IF(OR($A238="",LEN(TRIM($O238))=0),"",IF(OR($P238="",$Q238=""),"ระบุ Severity + Impact",IFERROR(INDEX({"Urgent","Urgent","High","High";"Urgent","High","High","Medium";"High","High","Medium","Medium";"Medium","Medium","Low","Low"},MATCH($P238,{"Critical","High","Medium","Low"},0),MATCH($Q238,{"Extensive","Significant","Moderate","Minor"},0)),"-")))</f>
        <v/>
      </c>
      <c r="S238" s="30"/>
      <c r="T238" s="30"/>
      <c r="W238" s="32" t="str">
        <f>IF($A238="","",IF(OR($M238="Out of Scope",$M238="Canceled"),"Out of Scope",IF($M238="Blocked","Blocked",IF(AND($T238&lt;&gt;"Fixed – Retest Passed",OR(LEN(TRIM($O238))&gt;0,LEN(TRIM($P238))&gt;0)),IF(AND(OR($L238="Medium",$L238="Low"),SUMPRODUCT((Cards!$A$4:$A$1000&lt;&gt;"")*ISNUMBER(SEARCH($A238,Cards!$E$4:$E$1000))*(Cards!$F$4:$F$1000&lt;&gt;"Medium")*(Cards!$F$4:$F$1000&lt;&gt;"Low"))=0),"Conditionally Passed","Failed"),IF($M238="Done","Passed","Not Run")))))</f>
        <v/>
      </c>
      <c r="Y238" s="27" t="str" cm="1">
        <f t="array" ref="Y238">IF($A238="","",IF(TRIM($B238)="","-",IFERROR(_xlfn.TEXTJOIN(" / ",TRUE,_xlfn.UNIQUE(_xlfn._xlws.FILTER('Ownership Matrix'!$C$5:$C$200,('Ownership Matrix'!$A$5:$A$200=TRIM($B238))*('Ownership Matrix'!$C$5:$C$200&lt;&gt;"")))),"ไม่พบใน Ownership Matrix")))</f>
        <v/>
      </c>
      <c r="Z238" s="31" t="str">
        <f>IF(NOT(AND($A238&lt;&gt;"",$M238&lt;&gt;"Out of Scope",$M238&lt;&gt;"Canceled",$T238&lt;&gt;"Fixed – Retest Passed",OR(LEN(TRIM($O238))&gt;0,LEN(TRIM($P238))&gt;0))),"",IF(OR($W238="Failed",$R238="Urgent",$R238="High",$R238="ระบุ Severity + Impact"),IF(COUNTIFS(Dashboard!$B$105:$B$124,$O238,Dashboard!$I$105:$I$124,"CAB")&gt;0,"Accepted (CF)","Blocking"),"Deferrable"))</f>
        <v/>
      </c>
    </row>
    <row r="239" spans="7:26" x14ac:dyDescent="0.3">
      <c r="G239" s="27" t="str" cm="1">
        <f t="array" ref="G239">IF($A239="","",IFERROR(_xlfn.TEXTJOIN(CHAR(10)&amp;CHAR(10),TRUE,_xlfn._xlws.FILTER("•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"&amp;Cards!$L$4:$L$1000),(Cards!$A$4:$A$1000&lt;&gt;"")*ISNUMBER(SEARCH($A239,Cards!$E$4:$E$1000)))),"-"))</f>
        <v/>
      </c>
      <c r="Q239" s="30"/>
      <c r="R239" s="27" t="str">
        <f>IF(OR($A239="",LEN(TRIM($O239))=0),"",IF(OR($P239="",$Q239=""),"ระบุ Severity + Impact",IFERROR(INDEX({"Urgent","Urgent","High","High";"Urgent","High","High","Medium";"High","High","Medium","Medium";"Medium","Medium","Low","Low"},MATCH($P239,{"Critical","High","Medium","Low"},0),MATCH($Q239,{"Extensive","Significant","Moderate","Minor"},0)),"-")))</f>
        <v/>
      </c>
      <c r="S239" s="30"/>
      <c r="T239" s="30"/>
      <c r="W239" s="32" t="str">
        <f>IF($A239="","",IF(OR($M239="Out of Scope",$M239="Canceled"),"Out of Scope",IF($M239="Blocked","Blocked",IF(AND($T239&lt;&gt;"Fixed – Retest Passed",OR(LEN(TRIM($O239))&gt;0,LEN(TRIM($P239))&gt;0)),IF(AND(OR($L239="Medium",$L239="Low"),SUMPRODUCT((Cards!$A$4:$A$1000&lt;&gt;"")*ISNUMBER(SEARCH($A239,Cards!$E$4:$E$1000))*(Cards!$F$4:$F$1000&lt;&gt;"Medium")*(Cards!$F$4:$F$1000&lt;&gt;"Low"))=0),"Conditionally Passed","Failed"),IF($M239="Done","Passed","Not Run")))))</f>
        <v/>
      </c>
      <c r="Y239" s="27" t="str" cm="1">
        <f t="array" ref="Y239">IF($A239="","",IF(TRIM($B239)="","-",IFERROR(_xlfn.TEXTJOIN(" / ",TRUE,_xlfn.UNIQUE(_xlfn._xlws.FILTER('Ownership Matrix'!$C$5:$C$200,('Ownership Matrix'!$A$5:$A$200=TRIM($B239))*('Ownership Matrix'!$C$5:$C$200&lt;&gt;"")))),"ไม่พบใน Ownership Matrix")))</f>
        <v/>
      </c>
      <c r="Z239" s="31" t="str">
        <f>IF(NOT(AND($A239&lt;&gt;"",$M239&lt;&gt;"Out of Scope",$M239&lt;&gt;"Canceled",$T239&lt;&gt;"Fixed – Retest Passed",OR(LEN(TRIM($O239))&gt;0,LEN(TRIM($P239))&gt;0))),"",IF(OR($W239="Failed",$R239="Urgent",$R239="High",$R239="ระบุ Severity + Impact"),IF(COUNTIFS(Dashboard!$B$105:$B$124,$O239,Dashboard!$I$105:$I$124,"CAB")&gt;0,"Accepted (CF)","Blocking"),"Deferrable"))</f>
        <v/>
      </c>
    </row>
    <row r="240" spans="7:26" x14ac:dyDescent="0.3">
      <c r="G240" s="27" t="str" cm="1">
        <f t="array" ref="G240">IF($A240="","",IFERROR(_xlfn.TEXTJOIN(CHAR(10)&amp;CHAR(10),TRUE,_xlfn._xlws.FILTER("•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"&amp;Cards!$L$4:$L$1000),(Cards!$A$4:$A$1000&lt;&gt;"")*ISNUMBER(SEARCH($A240,Cards!$E$4:$E$1000)))),"-"))</f>
        <v/>
      </c>
      <c r="Q240" s="30"/>
      <c r="R240" s="27" t="str">
        <f>IF(OR($A240="",LEN(TRIM($O240))=0),"",IF(OR($P240="",$Q240=""),"ระบุ Severity + Impact",IFERROR(INDEX({"Urgent","Urgent","High","High";"Urgent","High","High","Medium";"High","High","Medium","Medium";"Medium","Medium","Low","Low"},MATCH($P240,{"Critical","High","Medium","Low"},0),MATCH($Q240,{"Extensive","Significant","Moderate","Minor"},0)),"-")))</f>
        <v/>
      </c>
      <c r="S240" s="30"/>
      <c r="T240" s="30"/>
      <c r="W240" s="32" t="str">
        <f>IF($A240="","",IF(OR($M240="Out of Scope",$M240="Canceled"),"Out of Scope",IF($M240="Blocked","Blocked",IF(AND($T240&lt;&gt;"Fixed – Retest Passed",OR(LEN(TRIM($O240))&gt;0,LEN(TRIM($P240))&gt;0)),IF(AND(OR($L240="Medium",$L240="Low"),SUMPRODUCT((Cards!$A$4:$A$1000&lt;&gt;"")*ISNUMBER(SEARCH($A240,Cards!$E$4:$E$1000))*(Cards!$F$4:$F$1000&lt;&gt;"Medium")*(Cards!$F$4:$F$1000&lt;&gt;"Low"))=0),"Conditionally Passed","Failed"),IF($M240="Done","Passed","Not Run")))))</f>
        <v/>
      </c>
      <c r="Y240" s="27" t="str" cm="1">
        <f t="array" ref="Y240">IF($A240="","",IF(TRIM($B240)="","-",IFERROR(_xlfn.TEXTJOIN(" / ",TRUE,_xlfn.UNIQUE(_xlfn._xlws.FILTER('Ownership Matrix'!$C$5:$C$200,('Ownership Matrix'!$A$5:$A$200=TRIM($B240))*('Ownership Matrix'!$C$5:$C$200&lt;&gt;"")))),"ไม่พบใน Ownership Matrix")))</f>
        <v/>
      </c>
      <c r="Z240" s="31" t="str">
        <f>IF(NOT(AND($A240&lt;&gt;"",$M240&lt;&gt;"Out of Scope",$M240&lt;&gt;"Canceled",$T240&lt;&gt;"Fixed – Retest Passed",OR(LEN(TRIM($O240))&gt;0,LEN(TRIM($P240))&gt;0))),"",IF(OR($W240="Failed",$R240="Urgent",$R240="High",$R240="ระบุ Severity + Impact"),IF(COUNTIFS(Dashboard!$B$105:$B$124,$O240,Dashboard!$I$105:$I$124,"CAB")&gt;0,"Accepted (CF)","Blocking"),"Deferrable"))</f>
        <v/>
      </c>
    </row>
    <row r="241" spans="7:26" x14ac:dyDescent="0.3">
      <c r="G241" s="27" t="str" cm="1">
        <f t="array" ref="G241">IF($A241="","",IFERROR(_xlfn.TEXTJOIN(CHAR(10)&amp;CHAR(10),TRUE,_xlfn._xlws.FILTER("•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"&amp;Cards!$L$4:$L$1000),(Cards!$A$4:$A$1000&lt;&gt;"")*ISNUMBER(SEARCH($A241,Cards!$E$4:$E$1000)))),"-"))</f>
        <v/>
      </c>
      <c r="Q241" s="30"/>
      <c r="R241" s="27" t="str">
        <f>IF(OR($A241="",LEN(TRIM($O241))=0),"",IF(OR($P241="",$Q241=""),"ระบุ Severity + Impact",IFERROR(INDEX({"Urgent","Urgent","High","High";"Urgent","High","High","Medium";"High","High","Medium","Medium";"Medium","Medium","Low","Low"},MATCH($P241,{"Critical","High","Medium","Low"},0),MATCH($Q241,{"Extensive","Significant","Moderate","Minor"},0)),"-")))</f>
        <v/>
      </c>
      <c r="S241" s="30"/>
      <c r="T241" s="30"/>
      <c r="W241" s="32" t="str">
        <f>IF($A241="","",IF(OR($M241="Out of Scope",$M241="Canceled"),"Out of Scope",IF($M241="Blocked","Blocked",IF(AND($T241&lt;&gt;"Fixed – Retest Passed",OR(LEN(TRIM($O241))&gt;0,LEN(TRIM($P241))&gt;0)),IF(AND(OR($L241="Medium",$L241="Low"),SUMPRODUCT((Cards!$A$4:$A$1000&lt;&gt;"")*ISNUMBER(SEARCH($A241,Cards!$E$4:$E$1000))*(Cards!$F$4:$F$1000&lt;&gt;"Medium")*(Cards!$F$4:$F$1000&lt;&gt;"Low"))=0),"Conditionally Passed","Failed"),IF($M241="Done","Passed","Not Run")))))</f>
        <v/>
      </c>
      <c r="Y241" s="27" t="str" cm="1">
        <f t="array" ref="Y241">IF($A241="","",IF(TRIM($B241)="","-",IFERROR(_xlfn.TEXTJOIN(" / ",TRUE,_xlfn.UNIQUE(_xlfn._xlws.FILTER('Ownership Matrix'!$C$5:$C$200,('Ownership Matrix'!$A$5:$A$200=TRIM($B241))*('Ownership Matrix'!$C$5:$C$200&lt;&gt;"")))),"ไม่พบใน Ownership Matrix")))</f>
        <v/>
      </c>
      <c r="Z241" s="31" t="str">
        <f>IF(NOT(AND($A241&lt;&gt;"",$M241&lt;&gt;"Out of Scope",$M241&lt;&gt;"Canceled",$T241&lt;&gt;"Fixed – Retest Passed",OR(LEN(TRIM($O241))&gt;0,LEN(TRIM($P241))&gt;0))),"",IF(OR($W241="Failed",$R241="Urgent",$R241="High",$R241="ระบุ Severity + Impact"),IF(COUNTIFS(Dashboard!$B$105:$B$124,$O241,Dashboard!$I$105:$I$124,"CAB")&gt;0,"Accepted (CF)","Blocking"),"Deferrable"))</f>
        <v/>
      </c>
    </row>
    <row r="242" spans="7:26" x14ac:dyDescent="0.3">
      <c r="G242" s="27" t="str" cm="1">
        <f t="array" ref="G242">IF($A242="","",IFERROR(_xlfn.TEXTJOIN(CHAR(10)&amp;CHAR(10),TRUE,_xlfn._xlws.FILTER("•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"&amp;Cards!$L$4:$L$1000),(Cards!$A$4:$A$1000&lt;&gt;"")*ISNUMBER(SEARCH($A242,Cards!$E$4:$E$1000)))),"-"))</f>
        <v/>
      </c>
      <c r="Q242" s="30"/>
      <c r="R242" s="27" t="str">
        <f>IF(OR($A242="",LEN(TRIM($O242))=0),"",IF(OR($P242="",$Q242=""),"ระบุ Severity + Impact",IFERROR(INDEX({"Urgent","Urgent","High","High";"Urgent","High","High","Medium";"High","High","Medium","Medium";"Medium","Medium","Low","Low"},MATCH($P242,{"Critical","High","Medium","Low"},0),MATCH($Q242,{"Extensive","Significant","Moderate","Minor"},0)),"-")))</f>
        <v/>
      </c>
      <c r="S242" s="30"/>
      <c r="T242" s="30"/>
      <c r="W242" s="32" t="str">
        <f>IF($A242="","",IF(OR($M242="Out of Scope",$M242="Canceled"),"Out of Scope",IF($M242="Blocked","Blocked",IF(AND($T242&lt;&gt;"Fixed – Retest Passed",OR(LEN(TRIM($O242))&gt;0,LEN(TRIM($P242))&gt;0)),IF(AND(OR($L242="Medium",$L242="Low"),SUMPRODUCT((Cards!$A$4:$A$1000&lt;&gt;"")*ISNUMBER(SEARCH($A242,Cards!$E$4:$E$1000))*(Cards!$F$4:$F$1000&lt;&gt;"Medium")*(Cards!$F$4:$F$1000&lt;&gt;"Low"))=0),"Conditionally Passed","Failed"),IF($M242="Done","Passed","Not Run")))))</f>
        <v/>
      </c>
      <c r="Y242" s="27" t="str" cm="1">
        <f t="array" ref="Y242">IF($A242="","",IF(TRIM($B242)="","-",IFERROR(_xlfn.TEXTJOIN(" / ",TRUE,_xlfn.UNIQUE(_xlfn._xlws.FILTER('Ownership Matrix'!$C$5:$C$200,('Ownership Matrix'!$A$5:$A$200=TRIM($B242))*('Ownership Matrix'!$C$5:$C$200&lt;&gt;"")))),"ไม่พบใน Ownership Matrix")))</f>
        <v/>
      </c>
      <c r="Z242" s="31" t="str">
        <f>IF(NOT(AND($A242&lt;&gt;"",$M242&lt;&gt;"Out of Scope",$M242&lt;&gt;"Canceled",$T242&lt;&gt;"Fixed – Retest Passed",OR(LEN(TRIM($O242))&gt;0,LEN(TRIM($P242))&gt;0))),"",IF(OR($W242="Failed",$R242="Urgent",$R242="High",$R242="ระบุ Severity + Impact"),IF(COUNTIFS(Dashboard!$B$105:$B$124,$O242,Dashboard!$I$105:$I$124,"CAB")&gt;0,"Accepted (CF)","Blocking"),"Deferrable"))</f>
        <v/>
      </c>
    </row>
    <row r="243" spans="7:26" x14ac:dyDescent="0.3">
      <c r="G243" s="27" t="str" cm="1">
        <f t="array" ref="G243">IF($A243="","",IFERROR(_xlfn.TEXTJOIN(CHAR(10)&amp;CHAR(10),TRUE,_xlfn._xlws.FILTER("•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"&amp;Cards!$L$4:$L$1000),(Cards!$A$4:$A$1000&lt;&gt;"")*ISNUMBER(SEARCH($A243,Cards!$E$4:$E$1000)))),"-"))</f>
        <v/>
      </c>
      <c r="Q243" s="30"/>
      <c r="R243" s="27" t="str">
        <f>IF(OR($A243="",LEN(TRIM($O243))=0),"",IF(OR($P243="",$Q243=""),"ระบุ Severity + Impact",IFERROR(INDEX({"Urgent","Urgent","High","High";"Urgent","High","High","Medium";"High","High","Medium","Medium";"Medium","Medium","Low","Low"},MATCH($P243,{"Critical","High","Medium","Low"},0),MATCH($Q243,{"Extensive","Significant","Moderate","Minor"},0)),"-")))</f>
        <v/>
      </c>
      <c r="S243" s="30"/>
      <c r="T243" s="30"/>
      <c r="W243" s="32" t="str">
        <f>IF($A243="","",IF(OR($M243="Out of Scope",$M243="Canceled"),"Out of Scope",IF($M243="Blocked","Blocked",IF(AND($T243&lt;&gt;"Fixed – Retest Passed",OR(LEN(TRIM($O243))&gt;0,LEN(TRIM($P243))&gt;0)),IF(AND(OR($L243="Medium",$L243="Low"),SUMPRODUCT((Cards!$A$4:$A$1000&lt;&gt;"")*ISNUMBER(SEARCH($A243,Cards!$E$4:$E$1000))*(Cards!$F$4:$F$1000&lt;&gt;"Medium")*(Cards!$F$4:$F$1000&lt;&gt;"Low"))=0),"Conditionally Passed","Failed"),IF($M243="Done","Passed","Not Run")))))</f>
        <v/>
      </c>
      <c r="Y243" s="27" t="str" cm="1">
        <f t="array" ref="Y243">IF($A243="","",IF(TRIM($B243)="","-",IFERROR(_xlfn.TEXTJOIN(" / ",TRUE,_xlfn.UNIQUE(_xlfn._xlws.FILTER('Ownership Matrix'!$C$5:$C$200,('Ownership Matrix'!$A$5:$A$200=TRIM($B243))*('Ownership Matrix'!$C$5:$C$200&lt;&gt;"")))),"ไม่พบใน Ownership Matrix")))</f>
        <v/>
      </c>
      <c r="Z243" s="31" t="str">
        <f>IF(NOT(AND($A243&lt;&gt;"",$M243&lt;&gt;"Out of Scope",$M243&lt;&gt;"Canceled",$T243&lt;&gt;"Fixed – Retest Passed",OR(LEN(TRIM($O243))&gt;0,LEN(TRIM($P243))&gt;0))),"",IF(OR($W243="Failed",$R243="Urgent",$R243="High",$R243="ระบุ Severity + Impact"),IF(COUNTIFS(Dashboard!$B$105:$B$124,$O243,Dashboard!$I$105:$I$124,"CAB")&gt;0,"Accepted (CF)","Blocking"),"Deferrable"))</f>
        <v/>
      </c>
    </row>
    <row r="244" spans="7:26" x14ac:dyDescent="0.3">
      <c r="G244" s="27" t="str" cm="1">
        <f t="array" ref="G244">IF($A244="","",IFERROR(_xlfn.TEXTJOIN(CHAR(10)&amp;CHAR(10),TRUE,_xlfn._xlws.FILTER("•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"&amp;Cards!$L$4:$L$1000),(Cards!$A$4:$A$1000&lt;&gt;"")*ISNUMBER(SEARCH($A244,Cards!$E$4:$E$1000)))),"-"))</f>
        <v/>
      </c>
      <c r="Q244" s="30"/>
      <c r="R244" s="27" t="str">
        <f>IF(OR($A244="",LEN(TRIM($O244))=0),"",IF(OR($P244="",$Q244=""),"ระบุ Severity + Impact",IFERROR(INDEX({"Urgent","Urgent","High","High";"Urgent","High","High","Medium";"High","High","Medium","Medium";"Medium","Medium","Low","Low"},MATCH($P244,{"Critical","High","Medium","Low"},0),MATCH($Q244,{"Extensive","Significant","Moderate","Minor"},0)),"-")))</f>
        <v/>
      </c>
      <c r="S244" s="30"/>
      <c r="T244" s="30"/>
      <c r="W244" s="32" t="str">
        <f>IF($A244="","",IF(OR($M244="Out of Scope",$M244="Canceled"),"Out of Scope",IF($M244="Blocked","Blocked",IF(AND($T244&lt;&gt;"Fixed – Retest Passed",OR(LEN(TRIM($O244))&gt;0,LEN(TRIM($P244))&gt;0)),IF(AND(OR($L244="Medium",$L244="Low"),SUMPRODUCT((Cards!$A$4:$A$1000&lt;&gt;"")*ISNUMBER(SEARCH($A244,Cards!$E$4:$E$1000))*(Cards!$F$4:$F$1000&lt;&gt;"Medium")*(Cards!$F$4:$F$1000&lt;&gt;"Low"))=0),"Conditionally Passed","Failed"),IF($M244="Done","Passed","Not Run")))))</f>
        <v/>
      </c>
      <c r="Y244" s="27" t="str" cm="1">
        <f t="array" ref="Y244">IF($A244="","",IF(TRIM($B244)="","-",IFERROR(_xlfn.TEXTJOIN(" / ",TRUE,_xlfn.UNIQUE(_xlfn._xlws.FILTER('Ownership Matrix'!$C$5:$C$200,('Ownership Matrix'!$A$5:$A$200=TRIM($B244))*('Ownership Matrix'!$C$5:$C$200&lt;&gt;"")))),"ไม่พบใน Ownership Matrix")))</f>
        <v/>
      </c>
      <c r="Z244" s="31" t="str">
        <f>IF(NOT(AND($A244&lt;&gt;"",$M244&lt;&gt;"Out of Scope",$M244&lt;&gt;"Canceled",$T244&lt;&gt;"Fixed – Retest Passed",OR(LEN(TRIM($O244))&gt;0,LEN(TRIM($P244))&gt;0))),"",IF(OR($W244="Failed",$R244="Urgent",$R244="High",$R244="ระบุ Severity + Impact"),IF(COUNTIFS(Dashboard!$B$105:$B$124,$O244,Dashboard!$I$105:$I$124,"CAB")&gt;0,"Accepted (CF)","Blocking"),"Deferrable"))</f>
        <v/>
      </c>
    </row>
    <row r="245" spans="7:26" x14ac:dyDescent="0.3">
      <c r="G245" s="27" t="str" cm="1">
        <f t="array" ref="G245">IF($A245="","",IFERROR(_xlfn.TEXTJOIN(CHAR(10)&amp;CHAR(10),TRUE,_xlfn._xlws.FILTER("•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"&amp;Cards!$L$4:$L$1000),(Cards!$A$4:$A$1000&lt;&gt;"")*ISNUMBER(SEARCH($A245,Cards!$E$4:$E$1000)))),"-"))</f>
        <v/>
      </c>
      <c r="Q245" s="30"/>
      <c r="R245" s="27" t="str">
        <f>IF(OR($A245="",LEN(TRIM($O245))=0),"",IF(OR($P245="",$Q245=""),"ระบุ Severity + Impact",IFERROR(INDEX({"Urgent","Urgent","High","High";"Urgent","High","High","Medium";"High","High","Medium","Medium";"Medium","Medium","Low","Low"},MATCH($P245,{"Critical","High","Medium","Low"},0),MATCH($Q245,{"Extensive","Significant","Moderate","Minor"},0)),"-")))</f>
        <v/>
      </c>
      <c r="S245" s="30"/>
      <c r="T245" s="30"/>
      <c r="W245" s="32" t="str">
        <f>IF($A245="","",IF(OR($M245="Out of Scope",$M245="Canceled"),"Out of Scope",IF($M245="Blocked","Blocked",IF(AND($T245&lt;&gt;"Fixed – Retest Passed",OR(LEN(TRIM($O245))&gt;0,LEN(TRIM($P245))&gt;0)),IF(AND(OR($L245="Medium",$L245="Low"),SUMPRODUCT((Cards!$A$4:$A$1000&lt;&gt;"")*ISNUMBER(SEARCH($A245,Cards!$E$4:$E$1000))*(Cards!$F$4:$F$1000&lt;&gt;"Medium")*(Cards!$F$4:$F$1000&lt;&gt;"Low"))=0),"Conditionally Passed","Failed"),IF($M245="Done","Passed","Not Run")))))</f>
        <v/>
      </c>
      <c r="Y245" s="27" t="str" cm="1">
        <f t="array" ref="Y245">IF($A245="","",IF(TRIM($B245)="","-",IFERROR(_xlfn.TEXTJOIN(" / ",TRUE,_xlfn.UNIQUE(_xlfn._xlws.FILTER('Ownership Matrix'!$C$5:$C$200,('Ownership Matrix'!$A$5:$A$200=TRIM($B245))*('Ownership Matrix'!$C$5:$C$200&lt;&gt;"")))),"ไม่พบใน Ownership Matrix")))</f>
        <v/>
      </c>
      <c r="Z245" s="31" t="str">
        <f>IF(NOT(AND($A245&lt;&gt;"",$M245&lt;&gt;"Out of Scope",$M245&lt;&gt;"Canceled",$T245&lt;&gt;"Fixed – Retest Passed",OR(LEN(TRIM($O245))&gt;0,LEN(TRIM($P245))&gt;0))),"",IF(OR($W245="Failed",$R245="Urgent",$R245="High",$R245="ระบุ Severity + Impact"),IF(COUNTIFS(Dashboard!$B$105:$B$124,$O245,Dashboard!$I$105:$I$124,"CAB")&gt;0,"Accepted (CF)","Blocking"),"Deferrable"))</f>
        <v/>
      </c>
    </row>
    <row r="246" spans="7:26" x14ac:dyDescent="0.3">
      <c r="G246" s="27" t="str" cm="1">
        <f t="array" ref="G246">IF($A246="","",IFERROR(_xlfn.TEXTJOIN(CHAR(10)&amp;CHAR(10),TRUE,_xlfn._xlws.FILTER("•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"&amp;Cards!$L$4:$L$1000),(Cards!$A$4:$A$1000&lt;&gt;"")*ISNUMBER(SEARCH($A246,Cards!$E$4:$E$1000)))),"-"))</f>
        <v/>
      </c>
      <c r="Q246" s="30"/>
      <c r="R246" s="27" t="str">
        <f>IF(OR($A246="",LEN(TRIM($O246))=0),"",IF(OR($P246="",$Q246=""),"ระบุ Severity + Impact",IFERROR(INDEX({"Urgent","Urgent","High","High";"Urgent","High","High","Medium";"High","High","Medium","Medium";"Medium","Medium","Low","Low"},MATCH($P246,{"Critical","High","Medium","Low"},0),MATCH($Q246,{"Extensive","Significant","Moderate","Minor"},0)),"-")))</f>
        <v/>
      </c>
      <c r="S246" s="30"/>
      <c r="T246" s="30"/>
      <c r="W246" s="32" t="str">
        <f>IF($A246="","",IF(OR($M246="Out of Scope",$M246="Canceled"),"Out of Scope",IF($M246="Blocked","Blocked",IF(AND($T246&lt;&gt;"Fixed – Retest Passed",OR(LEN(TRIM($O246))&gt;0,LEN(TRIM($P246))&gt;0)),IF(AND(OR($L246="Medium",$L246="Low"),SUMPRODUCT((Cards!$A$4:$A$1000&lt;&gt;"")*ISNUMBER(SEARCH($A246,Cards!$E$4:$E$1000))*(Cards!$F$4:$F$1000&lt;&gt;"Medium")*(Cards!$F$4:$F$1000&lt;&gt;"Low"))=0),"Conditionally Passed","Failed"),IF($M246="Done","Passed","Not Run")))))</f>
        <v/>
      </c>
      <c r="Y246" s="27" t="str" cm="1">
        <f t="array" ref="Y246">IF($A246="","",IF(TRIM($B246)="","-",IFERROR(_xlfn.TEXTJOIN(" / ",TRUE,_xlfn.UNIQUE(_xlfn._xlws.FILTER('Ownership Matrix'!$C$5:$C$200,('Ownership Matrix'!$A$5:$A$200=TRIM($B246))*('Ownership Matrix'!$C$5:$C$200&lt;&gt;"")))),"ไม่พบใน Ownership Matrix")))</f>
        <v/>
      </c>
      <c r="Z246" s="31" t="str">
        <f>IF(NOT(AND($A246&lt;&gt;"",$M246&lt;&gt;"Out of Scope",$M246&lt;&gt;"Canceled",$T246&lt;&gt;"Fixed – Retest Passed",OR(LEN(TRIM($O246))&gt;0,LEN(TRIM($P246))&gt;0))),"",IF(OR($W246="Failed",$R246="Urgent",$R246="High",$R246="ระบุ Severity + Impact"),IF(COUNTIFS(Dashboard!$B$105:$B$124,$O246,Dashboard!$I$105:$I$124,"CAB")&gt;0,"Accepted (CF)","Blocking"),"Deferrable"))</f>
        <v/>
      </c>
    </row>
    <row r="247" spans="7:26" x14ac:dyDescent="0.3">
      <c r="G247" s="27" t="str" cm="1">
        <f t="array" ref="G247">IF($A247="","",IFERROR(_xlfn.TEXTJOIN(CHAR(10)&amp;CHAR(10),TRUE,_xlfn._xlws.FILTER("•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"&amp;Cards!$L$4:$L$1000),(Cards!$A$4:$A$1000&lt;&gt;"")*ISNUMBER(SEARCH($A247,Cards!$E$4:$E$1000)))),"-"))</f>
        <v/>
      </c>
      <c r="Q247" s="30"/>
      <c r="R247" s="27" t="str">
        <f>IF(OR($A247="",LEN(TRIM($O247))=0),"",IF(OR($P247="",$Q247=""),"ระบุ Severity + Impact",IFERROR(INDEX({"Urgent","Urgent","High","High";"Urgent","High","High","Medium";"High","High","Medium","Medium";"Medium","Medium","Low","Low"},MATCH($P247,{"Critical","High","Medium","Low"},0),MATCH($Q247,{"Extensive","Significant","Moderate","Minor"},0)),"-")))</f>
        <v/>
      </c>
      <c r="S247" s="30"/>
      <c r="T247" s="30"/>
      <c r="W247" s="32" t="str">
        <f>IF($A247="","",IF(OR($M247="Out of Scope",$M247="Canceled"),"Out of Scope",IF($M247="Blocked","Blocked",IF(AND($T247&lt;&gt;"Fixed – Retest Passed",OR(LEN(TRIM($O247))&gt;0,LEN(TRIM($P247))&gt;0)),IF(AND(OR($L247="Medium",$L247="Low"),SUMPRODUCT((Cards!$A$4:$A$1000&lt;&gt;"")*ISNUMBER(SEARCH($A247,Cards!$E$4:$E$1000))*(Cards!$F$4:$F$1000&lt;&gt;"Medium")*(Cards!$F$4:$F$1000&lt;&gt;"Low"))=0),"Conditionally Passed","Failed"),IF($M247="Done","Passed","Not Run")))))</f>
        <v/>
      </c>
      <c r="Y247" s="27" t="str" cm="1">
        <f t="array" ref="Y247">IF($A247="","",IF(TRIM($B247)="","-",IFERROR(_xlfn.TEXTJOIN(" / ",TRUE,_xlfn.UNIQUE(_xlfn._xlws.FILTER('Ownership Matrix'!$C$5:$C$200,('Ownership Matrix'!$A$5:$A$200=TRIM($B247))*('Ownership Matrix'!$C$5:$C$200&lt;&gt;"")))),"ไม่พบใน Ownership Matrix")))</f>
        <v/>
      </c>
      <c r="Z247" s="31" t="str">
        <f>IF(NOT(AND($A247&lt;&gt;"",$M247&lt;&gt;"Out of Scope",$M247&lt;&gt;"Canceled",$T247&lt;&gt;"Fixed – Retest Passed",OR(LEN(TRIM($O247))&gt;0,LEN(TRIM($P247))&gt;0))),"",IF(OR($W247="Failed",$R247="Urgent",$R247="High",$R247="ระบุ Severity + Impact"),IF(COUNTIFS(Dashboard!$B$105:$B$124,$O247,Dashboard!$I$105:$I$124,"CAB")&gt;0,"Accepted (CF)","Blocking"),"Deferrable"))</f>
        <v/>
      </c>
    </row>
    <row r="248" spans="7:26" x14ac:dyDescent="0.3">
      <c r="G248" s="27" t="str" cm="1">
        <f t="array" ref="G248">IF($A248="","",IFERROR(_xlfn.TEXTJOIN(CHAR(10)&amp;CHAR(10),TRUE,_xlfn._xlws.FILTER("•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"&amp;Cards!$L$4:$L$1000),(Cards!$A$4:$A$1000&lt;&gt;"")*ISNUMBER(SEARCH($A248,Cards!$E$4:$E$1000)))),"-"))</f>
        <v/>
      </c>
      <c r="Q248" s="30"/>
      <c r="R248" s="27" t="str">
        <f>IF(OR($A248="",LEN(TRIM($O248))=0),"",IF(OR($P248="",$Q248=""),"ระบุ Severity + Impact",IFERROR(INDEX({"Urgent","Urgent","High","High";"Urgent","High","High","Medium";"High","High","Medium","Medium";"Medium","Medium","Low","Low"},MATCH($P248,{"Critical","High","Medium","Low"},0),MATCH($Q248,{"Extensive","Significant","Moderate","Minor"},0)),"-")))</f>
        <v/>
      </c>
      <c r="S248" s="30"/>
      <c r="T248" s="30"/>
      <c r="W248" s="32" t="str">
        <f>IF($A248="","",IF(OR($M248="Out of Scope",$M248="Canceled"),"Out of Scope",IF($M248="Blocked","Blocked",IF(AND($T248&lt;&gt;"Fixed – Retest Passed",OR(LEN(TRIM($O248))&gt;0,LEN(TRIM($P248))&gt;0)),IF(AND(OR($L248="Medium",$L248="Low"),SUMPRODUCT((Cards!$A$4:$A$1000&lt;&gt;"")*ISNUMBER(SEARCH($A248,Cards!$E$4:$E$1000))*(Cards!$F$4:$F$1000&lt;&gt;"Medium")*(Cards!$F$4:$F$1000&lt;&gt;"Low"))=0),"Conditionally Passed","Failed"),IF($M248="Done","Passed","Not Run")))))</f>
        <v/>
      </c>
      <c r="Y248" s="27" t="str" cm="1">
        <f t="array" ref="Y248">IF($A248="","",IF(TRIM($B248)="","-",IFERROR(_xlfn.TEXTJOIN(" / ",TRUE,_xlfn.UNIQUE(_xlfn._xlws.FILTER('Ownership Matrix'!$C$5:$C$200,('Ownership Matrix'!$A$5:$A$200=TRIM($B248))*('Ownership Matrix'!$C$5:$C$200&lt;&gt;"")))),"ไม่พบใน Ownership Matrix")))</f>
        <v/>
      </c>
      <c r="Z248" s="31" t="str">
        <f>IF(NOT(AND($A248&lt;&gt;"",$M248&lt;&gt;"Out of Scope",$M248&lt;&gt;"Canceled",$T248&lt;&gt;"Fixed – Retest Passed",OR(LEN(TRIM($O248))&gt;0,LEN(TRIM($P248))&gt;0))),"",IF(OR($W248="Failed",$R248="Urgent",$R248="High",$R248="ระบุ Severity + Impact"),IF(COUNTIFS(Dashboard!$B$105:$B$124,$O248,Dashboard!$I$105:$I$124,"CAB")&gt;0,"Accepted (CF)","Blocking"),"Deferrable"))</f>
        <v/>
      </c>
    </row>
    <row r="249" spans="7:26" x14ac:dyDescent="0.3">
      <c r="G249" s="27" t="str" cm="1">
        <f t="array" ref="G249">IF($A249="","",IFERROR(_xlfn.TEXTJOIN(CHAR(10)&amp;CHAR(10),TRUE,_xlfn._xlws.FILTER("•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"&amp;Cards!$L$4:$L$1000),(Cards!$A$4:$A$1000&lt;&gt;"")*ISNUMBER(SEARCH($A249,Cards!$E$4:$E$1000)))),"-"))</f>
        <v/>
      </c>
      <c r="Q249" s="30"/>
      <c r="R249" s="27" t="str">
        <f>IF(OR($A249="",LEN(TRIM($O249))=0),"",IF(OR($P249="",$Q249=""),"ระบุ Severity + Impact",IFERROR(INDEX({"Urgent","Urgent","High","High";"Urgent","High","High","Medium";"High","High","Medium","Medium";"Medium","Medium","Low","Low"},MATCH($P249,{"Critical","High","Medium","Low"},0),MATCH($Q249,{"Extensive","Significant","Moderate","Minor"},0)),"-")))</f>
        <v/>
      </c>
      <c r="S249" s="30"/>
      <c r="T249" s="30"/>
      <c r="W249" s="32" t="str">
        <f>IF($A249="","",IF(OR($M249="Out of Scope",$M249="Canceled"),"Out of Scope",IF($M249="Blocked","Blocked",IF(AND($T249&lt;&gt;"Fixed – Retest Passed",OR(LEN(TRIM($O249))&gt;0,LEN(TRIM($P249))&gt;0)),IF(AND(OR($L249="Medium",$L249="Low"),SUMPRODUCT((Cards!$A$4:$A$1000&lt;&gt;"")*ISNUMBER(SEARCH($A249,Cards!$E$4:$E$1000))*(Cards!$F$4:$F$1000&lt;&gt;"Medium")*(Cards!$F$4:$F$1000&lt;&gt;"Low"))=0),"Conditionally Passed","Failed"),IF($M249="Done","Passed","Not Run")))))</f>
        <v/>
      </c>
      <c r="Y249" s="27" t="str" cm="1">
        <f t="array" ref="Y249">IF($A249="","",IF(TRIM($B249)="","-",IFERROR(_xlfn.TEXTJOIN(" / ",TRUE,_xlfn.UNIQUE(_xlfn._xlws.FILTER('Ownership Matrix'!$C$5:$C$200,('Ownership Matrix'!$A$5:$A$200=TRIM($B249))*('Ownership Matrix'!$C$5:$C$200&lt;&gt;"")))),"ไม่พบใน Ownership Matrix")))</f>
        <v/>
      </c>
      <c r="Z249" s="31" t="str">
        <f>IF(NOT(AND($A249&lt;&gt;"",$M249&lt;&gt;"Out of Scope",$M249&lt;&gt;"Canceled",$T249&lt;&gt;"Fixed – Retest Passed",OR(LEN(TRIM($O249))&gt;0,LEN(TRIM($P249))&gt;0))),"",IF(OR($W249="Failed",$R249="Urgent",$R249="High",$R249="ระบุ Severity + Impact"),IF(COUNTIFS(Dashboard!$B$105:$B$124,$O249,Dashboard!$I$105:$I$124,"CAB")&gt;0,"Accepted (CF)","Blocking"),"Deferrable"))</f>
        <v/>
      </c>
    </row>
    <row r="250" spans="7:26" x14ac:dyDescent="0.3">
      <c r="G250" s="27" t="str" cm="1">
        <f t="array" ref="G250">IF($A250="","",IFERROR(_xlfn.TEXTJOIN(CHAR(10)&amp;CHAR(10),TRUE,_xlfn._xlws.FILTER("•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"&amp;Cards!$L$4:$L$1000),(Cards!$A$4:$A$1000&lt;&gt;"")*ISNUMBER(SEARCH($A250,Cards!$E$4:$E$1000)))),"-"))</f>
        <v/>
      </c>
      <c r="Q250" s="30"/>
      <c r="R250" s="27" t="str">
        <f>IF(OR($A250="",LEN(TRIM($O250))=0),"",IF(OR($P250="",$Q250=""),"ระบุ Severity + Impact",IFERROR(INDEX({"Urgent","Urgent","High","High";"Urgent","High","High","Medium";"High","High","Medium","Medium";"Medium","Medium","Low","Low"},MATCH($P250,{"Critical","High","Medium","Low"},0),MATCH($Q250,{"Extensive","Significant","Moderate","Minor"},0)),"-")))</f>
        <v/>
      </c>
      <c r="S250" s="30"/>
      <c r="T250" s="30"/>
      <c r="W250" s="32" t="str">
        <f>IF($A250="","",IF(OR($M250="Out of Scope",$M250="Canceled"),"Out of Scope",IF($M250="Blocked","Blocked",IF(AND($T250&lt;&gt;"Fixed – Retest Passed",OR(LEN(TRIM($O250))&gt;0,LEN(TRIM($P250))&gt;0)),IF(AND(OR($L250="Medium",$L250="Low"),SUMPRODUCT((Cards!$A$4:$A$1000&lt;&gt;"")*ISNUMBER(SEARCH($A250,Cards!$E$4:$E$1000))*(Cards!$F$4:$F$1000&lt;&gt;"Medium")*(Cards!$F$4:$F$1000&lt;&gt;"Low"))=0),"Conditionally Passed","Failed"),IF($M250="Done","Passed","Not Run")))))</f>
        <v/>
      </c>
      <c r="Y250" s="27" t="str" cm="1">
        <f t="array" ref="Y250">IF($A250="","",IF(TRIM($B250)="","-",IFERROR(_xlfn.TEXTJOIN(" / ",TRUE,_xlfn.UNIQUE(_xlfn._xlws.FILTER('Ownership Matrix'!$C$5:$C$200,('Ownership Matrix'!$A$5:$A$200=TRIM($B250))*('Ownership Matrix'!$C$5:$C$200&lt;&gt;"")))),"ไม่พบใน Ownership Matrix")))</f>
        <v/>
      </c>
      <c r="Z250" s="31" t="str">
        <f>IF(NOT(AND($A250&lt;&gt;"",$M250&lt;&gt;"Out of Scope",$M250&lt;&gt;"Canceled",$T250&lt;&gt;"Fixed – Retest Passed",OR(LEN(TRIM($O250))&gt;0,LEN(TRIM($P250))&gt;0))),"",IF(OR($W250="Failed",$R250="Urgent",$R250="High",$R250="ระบุ Severity + Impact"),IF(COUNTIFS(Dashboard!$B$105:$B$124,$O250,Dashboard!$I$105:$I$124,"CAB")&gt;0,"Accepted (CF)","Blocking"),"Deferrable"))</f>
        <v/>
      </c>
    </row>
    <row r="251" spans="7:26" x14ac:dyDescent="0.3">
      <c r="G251" s="27" t="str" cm="1">
        <f t="array" ref="G251">IF($A251="","",IFERROR(_xlfn.TEXTJOIN(CHAR(10)&amp;CHAR(10),TRUE,_xlfn._xlws.FILTER("•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"&amp;Cards!$L$4:$L$1000),(Cards!$A$4:$A$1000&lt;&gt;"")*ISNUMBER(SEARCH($A251,Cards!$E$4:$E$1000)))),"-"))</f>
        <v/>
      </c>
      <c r="Q251" s="30"/>
      <c r="R251" s="27" t="str">
        <f>IF(OR($A251="",LEN(TRIM($O251))=0),"",IF(OR($P251="",$Q251=""),"ระบุ Severity + Impact",IFERROR(INDEX({"Urgent","Urgent","High","High";"Urgent","High","High","Medium";"High","High","Medium","Medium";"Medium","Medium","Low","Low"},MATCH($P251,{"Critical","High","Medium","Low"},0),MATCH($Q251,{"Extensive","Significant","Moderate","Minor"},0)),"-")))</f>
        <v/>
      </c>
      <c r="S251" s="30"/>
      <c r="T251" s="30"/>
      <c r="W251" s="32" t="str">
        <f>IF($A251="","",IF(OR($M251="Out of Scope",$M251="Canceled"),"Out of Scope",IF($M251="Blocked","Blocked",IF(AND($T251&lt;&gt;"Fixed – Retest Passed",OR(LEN(TRIM($O251))&gt;0,LEN(TRIM($P251))&gt;0)),IF(AND(OR($L251="Medium",$L251="Low"),SUMPRODUCT((Cards!$A$4:$A$1000&lt;&gt;"")*ISNUMBER(SEARCH($A251,Cards!$E$4:$E$1000))*(Cards!$F$4:$F$1000&lt;&gt;"Medium")*(Cards!$F$4:$F$1000&lt;&gt;"Low"))=0),"Conditionally Passed","Failed"),IF($M251="Done","Passed","Not Run")))))</f>
        <v/>
      </c>
      <c r="Y251" s="27" t="str" cm="1">
        <f t="array" ref="Y251">IF($A251="","",IF(TRIM($B251)="","-",IFERROR(_xlfn.TEXTJOIN(" / ",TRUE,_xlfn.UNIQUE(_xlfn._xlws.FILTER('Ownership Matrix'!$C$5:$C$200,('Ownership Matrix'!$A$5:$A$200=TRIM($B251))*('Ownership Matrix'!$C$5:$C$200&lt;&gt;"")))),"ไม่พบใน Ownership Matrix")))</f>
        <v/>
      </c>
      <c r="Z251" s="31" t="str">
        <f>IF(NOT(AND($A251&lt;&gt;"",$M251&lt;&gt;"Out of Scope",$M251&lt;&gt;"Canceled",$T251&lt;&gt;"Fixed – Retest Passed",OR(LEN(TRIM($O251))&gt;0,LEN(TRIM($P251))&gt;0))),"",IF(OR($W251="Failed",$R251="Urgent",$R251="High",$R251="ระบุ Severity + Impact"),IF(COUNTIFS(Dashboard!$B$105:$B$124,$O251,Dashboard!$I$105:$I$124,"CAB")&gt;0,"Accepted (CF)","Blocking"),"Deferrable"))</f>
        <v/>
      </c>
    </row>
    <row r="252" spans="7:26" x14ac:dyDescent="0.3">
      <c r="G252" s="27" t="str" cm="1">
        <f t="array" ref="G252">IF($A252="","",IFERROR(_xlfn.TEXTJOIN(CHAR(10)&amp;CHAR(10),TRUE,_xlfn._xlws.FILTER("•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"&amp;Cards!$L$4:$L$1000),(Cards!$A$4:$A$1000&lt;&gt;"")*ISNUMBER(SEARCH($A252,Cards!$E$4:$E$1000)))),"-"))</f>
        <v/>
      </c>
      <c r="Q252" s="30"/>
      <c r="R252" s="27" t="str">
        <f>IF(OR($A252="",LEN(TRIM($O252))=0),"",IF(OR($P252="",$Q252=""),"ระบุ Severity + Impact",IFERROR(INDEX({"Urgent","Urgent","High","High";"Urgent","High","High","Medium";"High","High","Medium","Medium";"Medium","Medium","Low","Low"},MATCH($P252,{"Critical","High","Medium","Low"},0),MATCH($Q252,{"Extensive","Significant","Moderate","Minor"},0)),"-")))</f>
        <v/>
      </c>
      <c r="S252" s="30"/>
      <c r="T252" s="30"/>
      <c r="W252" s="32" t="str">
        <f>IF($A252="","",IF(OR($M252="Out of Scope",$M252="Canceled"),"Out of Scope",IF($M252="Blocked","Blocked",IF(AND($T252&lt;&gt;"Fixed – Retest Passed",OR(LEN(TRIM($O252))&gt;0,LEN(TRIM($P252))&gt;0)),IF(AND(OR($L252="Medium",$L252="Low"),SUMPRODUCT((Cards!$A$4:$A$1000&lt;&gt;"")*ISNUMBER(SEARCH($A252,Cards!$E$4:$E$1000))*(Cards!$F$4:$F$1000&lt;&gt;"Medium")*(Cards!$F$4:$F$1000&lt;&gt;"Low"))=0),"Conditionally Passed","Failed"),IF($M252="Done","Passed","Not Run")))))</f>
        <v/>
      </c>
      <c r="Y252" s="27" t="str" cm="1">
        <f t="array" ref="Y252">IF($A252="","",IF(TRIM($B252)="","-",IFERROR(_xlfn.TEXTJOIN(" / ",TRUE,_xlfn.UNIQUE(_xlfn._xlws.FILTER('Ownership Matrix'!$C$5:$C$200,('Ownership Matrix'!$A$5:$A$200=TRIM($B252))*('Ownership Matrix'!$C$5:$C$200&lt;&gt;"")))),"ไม่พบใน Ownership Matrix")))</f>
        <v/>
      </c>
      <c r="Z252" s="31" t="str">
        <f>IF(NOT(AND($A252&lt;&gt;"",$M252&lt;&gt;"Out of Scope",$M252&lt;&gt;"Canceled",$T252&lt;&gt;"Fixed – Retest Passed",OR(LEN(TRIM($O252))&gt;0,LEN(TRIM($P252))&gt;0))),"",IF(OR($W252="Failed",$R252="Urgent",$R252="High",$R252="ระบุ Severity + Impact"),IF(COUNTIFS(Dashboard!$B$105:$B$124,$O252,Dashboard!$I$105:$I$124,"CAB")&gt;0,"Accepted (CF)","Blocking"),"Deferrable"))</f>
        <v/>
      </c>
    </row>
    <row r="253" spans="7:26" x14ac:dyDescent="0.3">
      <c r="G253" s="27" t="str" cm="1">
        <f t="array" ref="G253">IF($A253="","",IFERROR(_xlfn.TEXTJOIN(CHAR(10)&amp;CHAR(10),TRUE,_xlfn._xlws.FILTER("•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"&amp;Cards!$L$4:$L$1000),(Cards!$A$4:$A$1000&lt;&gt;"")*ISNUMBER(SEARCH($A253,Cards!$E$4:$E$1000)))),"-"))</f>
        <v/>
      </c>
      <c r="Q253" s="30"/>
      <c r="R253" s="27" t="str">
        <f>IF(OR($A253="",LEN(TRIM($O253))=0),"",IF(OR($P253="",$Q253=""),"ระบุ Severity + Impact",IFERROR(INDEX({"Urgent","Urgent","High","High";"Urgent","High","High","Medium";"High","High","Medium","Medium";"Medium","Medium","Low","Low"},MATCH($P253,{"Critical","High","Medium","Low"},0),MATCH($Q253,{"Extensive","Significant","Moderate","Minor"},0)),"-")))</f>
        <v/>
      </c>
      <c r="S253" s="30"/>
      <c r="T253" s="30"/>
      <c r="W253" s="32" t="str">
        <f>IF($A253="","",IF(OR($M253="Out of Scope",$M253="Canceled"),"Out of Scope",IF($M253="Blocked","Blocked",IF(AND($T253&lt;&gt;"Fixed – Retest Passed",OR(LEN(TRIM($O253))&gt;0,LEN(TRIM($P253))&gt;0)),IF(AND(OR($L253="Medium",$L253="Low"),SUMPRODUCT((Cards!$A$4:$A$1000&lt;&gt;"")*ISNUMBER(SEARCH($A253,Cards!$E$4:$E$1000))*(Cards!$F$4:$F$1000&lt;&gt;"Medium")*(Cards!$F$4:$F$1000&lt;&gt;"Low"))=0),"Conditionally Passed","Failed"),IF($M253="Done","Passed","Not Run")))))</f>
        <v/>
      </c>
      <c r="Y253" s="27" t="str" cm="1">
        <f t="array" ref="Y253">IF($A253="","",IF(TRIM($B253)="","-",IFERROR(_xlfn.TEXTJOIN(" / ",TRUE,_xlfn.UNIQUE(_xlfn._xlws.FILTER('Ownership Matrix'!$C$5:$C$200,('Ownership Matrix'!$A$5:$A$200=TRIM($B253))*('Ownership Matrix'!$C$5:$C$200&lt;&gt;"")))),"ไม่พบใน Ownership Matrix")))</f>
        <v/>
      </c>
      <c r="Z253" s="31" t="str">
        <f>IF(NOT(AND($A253&lt;&gt;"",$M253&lt;&gt;"Out of Scope",$M253&lt;&gt;"Canceled",$T253&lt;&gt;"Fixed – Retest Passed",OR(LEN(TRIM($O253))&gt;0,LEN(TRIM($P253))&gt;0))),"",IF(OR($W253="Failed",$R253="Urgent",$R253="High",$R253="ระบุ Severity + Impact"),IF(COUNTIFS(Dashboard!$B$105:$B$124,$O253,Dashboard!$I$105:$I$124,"CAB")&gt;0,"Accepted (CF)","Blocking"),"Deferrable"))</f>
        <v/>
      </c>
    </row>
    <row r="254" spans="7:26" x14ac:dyDescent="0.3">
      <c r="G254" s="27" t="str" cm="1">
        <f t="array" ref="G254">IF($A254="","",IFERROR(_xlfn.TEXTJOIN(CHAR(10)&amp;CHAR(10),TRUE,_xlfn._xlws.FILTER("•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"&amp;Cards!$L$4:$L$1000),(Cards!$A$4:$A$1000&lt;&gt;"")*ISNUMBER(SEARCH($A254,Cards!$E$4:$E$1000)))),"-"))</f>
        <v/>
      </c>
      <c r="Q254" s="30"/>
      <c r="R254" s="27" t="str">
        <f>IF(OR($A254="",LEN(TRIM($O254))=0),"",IF(OR($P254="",$Q254=""),"ระบุ Severity + Impact",IFERROR(INDEX({"Urgent","Urgent","High","High";"Urgent","High","High","Medium";"High","High","Medium","Medium";"Medium","Medium","Low","Low"},MATCH($P254,{"Critical","High","Medium","Low"},0),MATCH($Q254,{"Extensive","Significant","Moderate","Minor"},0)),"-")))</f>
        <v/>
      </c>
      <c r="S254" s="30"/>
      <c r="T254" s="30"/>
      <c r="W254" s="32" t="str">
        <f>IF($A254="","",IF(OR($M254="Out of Scope",$M254="Canceled"),"Out of Scope",IF($M254="Blocked","Blocked",IF(AND($T254&lt;&gt;"Fixed – Retest Passed",OR(LEN(TRIM($O254))&gt;0,LEN(TRIM($P254))&gt;0)),IF(AND(OR($L254="Medium",$L254="Low"),SUMPRODUCT((Cards!$A$4:$A$1000&lt;&gt;"")*ISNUMBER(SEARCH($A254,Cards!$E$4:$E$1000))*(Cards!$F$4:$F$1000&lt;&gt;"Medium")*(Cards!$F$4:$F$1000&lt;&gt;"Low"))=0),"Conditionally Passed","Failed"),IF($M254="Done","Passed","Not Run")))))</f>
        <v/>
      </c>
      <c r="Y254" s="27" t="str" cm="1">
        <f t="array" ref="Y254">IF($A254="","",IF(TRIM($B254)="","-",IFERROR(_xlfn.TEXTJOIN(" / ",TRUE,_xlfn.UNIQUE(_xlfn._xlws.FILTER('Ownership Matrix'!$C$5:$C$200,('Ownership Matrix'!$A$5:$A$200=TRIM($B254))*('Ownership Matrix'!$C$5:$C$200&lt;&gt;"")))),"ไม่พบใน Ownership Matrix")))</f>
        <v/>
      </c>
      <c r="Z254" s="31" t="str">
        <f>IF(NOT(AND($A254&lt;&gt;"",$M254&lt;&gt;"Out of Scope",$M254&lt;&gt;"Canceled",$T254&lt;&gt;"Fixed – Retest Passed",OR(LEN(TRIM($O254))&gt;0,LEN(TRIM($P254))&gt;0))),"",IF(OR($W254="Failed",$R254="Urgent",$R254="High",$R254="ระบุ Severity + Impact"),IF(COUNTIFS(Dashboard!$B$105:$B$124,$O254,Dashboard!$I$105:$I$124,"CAB")&gt;0,"Accepted (CF)","Blocking"),"Deferrable"))</f>
        <v/>
      </c>
    </row>
    <row r="255" spans="7:26" x14ac:dyDescent="0.3">
      <c r="G255" s="27" t="str" cm="1">
        <f t="array" ref="G255">IF($A255="","",IFERROR(_xlfn.TEXTJOIN(CHAR(10)&amp;CHAR(10),TRUE,_xlfn._xlws.FILTER("•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"&amp;Cards!$L$4:$L$1000),(Cards!$A$4:$A$1000&lt;&gt;"")*ISNUMBER(SEARCH($A255,Cards!$E$4:$E$1000)))),"-"))</f>
        <v/>
      </c>
      <c r="Q255" s="30"/>
      <c r="R255" s="27" t="str">
        <f>IF(OR($A255="",LEN(TRIM($O255))=0),"",IF(OR($P255="",$Q255=""),"ระบุ Severity + Impact",IFERROR(INDEX({"Urgent","Urgent","High","High";"Urgent","High","High","Medium";"High","High","Medium","Medium";"Medium","Medium","Low","Low"},MATCH($P255,{"Critical","High","Medium","Low"},0),MATCH($Q255,{"Extensive","Significant","Moderate","Minor"},0)),"-")))</f>
        <v/>
      </c>
      <c r="S255" s="30"/>
      <c r="T255" s="30"/>
      <c r="W255" s="32" t="str">
        <f>IF($A255="","",IF(OR($M255="Out of Scope",$M255="Canceled"),"Out of Scope",IF($M255="Blocked","Blocked",IF(AND($T255&lt;&gt;"Fixed – Retest Passed",OR(LEN(TRIM($O255))&gt;0,LEN(TRIM($P255))&gt;0)),IF(AND(OR($L255="Medium",$L255="Low"),SUMPRODUCT((Cards!$A$4:$A$1000&lt;&gt;"")*ISNUMBER(SEARCH($A255,Cards!$E$4:$E$1000))*(Cards!$F$4:$F$1000&lt;&gt;"Medium")*(Cards!$F$4:$F$1000&lt;&gt;"Low"))=0),"Conditionally Passed","Failed"),IF($M255="Done","Passed","Not Run")))))</f>
        <v/>
      </c>
      <c r="Y255" s="27" t="str" cm="1">
        <f t="array" ref="Y255">IF($A255="","",IF(TRIM($B255)="","-",IFERROR(_xlfn.TEXTJOIN(" / ",TRUE,_xlfn.UNIQUE(_xlfn._xlws.FILTER('Ownership Matrix'!$C$5:$C$200,('Ownership Matrix'!$A$5:$A$200=TRIM($B255))*('Ownership Matrix'!$C$5:$C$200&lt;&gt;"")))),"ไม่พบใน Ownership Matrix")))</f>
        <v/>
      </c>
      <c r="Z255" s="31" t="str">
        <f>IF(NOT(AND($A255&lt;&gt;"",$M255&lt;&gt;"Out of Scope",$M255&lt;&gt;"Canceled",$T255&lt;&gt;"Fixed – Retest Passed",OR(LEN(TRIM($O255))&gt;0,LEN(TRIM($P255))&gt;0))),"",IF(OR($W255="Failed",$R255="Urgent",$R255="High",$R255="ระบุ Severity + Impact"),IF(COUNTIFS(Dashboard!$B$105:$B$124,$O255,Dashboard!$I$105:$I$124,"CAB")&gt;0,"Accepted (CF)","Blocking"),"Deferrable"))</f>
        <v/>
      </c>
    </row>
    <row r="256" spans="7:26" x14ac:dyDescent="0.3">
      <c r="G256" s="27" t="str" cm="1">
        <f t="array" ref="G256">IF($A256="","",IFERROR(_xlfn.TEXTJOIN(CHAR(10)&amp;CHAR(10),TRUE,_xlfn._xlws.FILTER("•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"&amp;Cards!$L$4:$L$1000),(Cards!$A$4:$A$1000&lt;&gt;"")*ISNUMBER(SEARCH($A256,Cards!$E$4:$E$1000)))),"-"))</f>
        <v/>
      </c>
      <c r="Q256" s="30"/>
      <c r="R256" s="27" t="str">
        <f>IF(OR($A256="",LEN(TRIM($O256))=0),"",IF(OR($P256="",$Q256=""),"ระบุ Severity + Impact",IFERROR(INDEX({"Urgent","Urgent","High","High";"Urgent","High","High","Medium";"High","High","Medium","Medium";"Medium","Medium","Low","Low"},MATCH($P256,{"Critical","High","Medium","Low"},0),MATCH($Q256,{"Extensive","Significant","Moderate","Minor"},0)),"-")))</f>
        <v/>
      </c>
      <c r="S256" s="30"/>
      <c r="T256" s="30"/>
      <c r="W256" s="32" t="str">
        <f>IF($A256="","",IF(OR($M256="Out of Scope",$M256="Canceled"),"Out of Scope",IF($M256="Blocked","Blocked",IF(AND($T256&lt;&gt;"Fixed – Retest Passed",OR(LEN(TRIM($O256))&gt;0,LEN(TRIM($P256))&gt;0)),IF(AND(OR($L256="Medium",$L256="Low"),SUMPRODUCT((Cards!$A$4:$A$1000&lt;&gt;"")*ISNUMBER(SEARCH($A256,Cards!$E$4:$E$1000))*(Cards!$F$4:$F$1000&lt;&gt;"Medium")*(Cards!$F$4:$F$1000&lt;&gt;"Low"))=0),"Conditionally Passed","Failed"),IF($M256="Done","Passed","Not Run")))))</f>
        <v/>
      </c>
      <c r="Y256" s="27" t="str" cm="1">
        <f t="array" ref="Y256">IF($A256="","",IF(TRIM($B256)="","-",IFERROR(_xlfn.TEXTJOIN(" / ",TRUE,_xlfn.UNIQUE(_xlfn._xlws.FILTER('Ownership Matrix'!$C$5:$C$200,('Ownership Matrix'!$A$5:$A$200=TRIM($B256))*('Ownership Matrix'!$C$5:$C$200&lt;&gt;"")))),"ไม่พบใน Ownership Matrix")))</f>
        <v/>
      </c>
      <c r="Z256" s="31" t="str">
        <f>IF(NOT(AND($A256&lt;&gt;"",$M256&lt;&gt;"Out of Scope",$M256&lt;&gt;"Canceled",$T256&lt;&gt;"Fixed – Retest Passed",OR(LEN(TRIM($O256))&gt;0,LEN(TRIM($P256))&gt;0))),"",IF(OR($W256="Failed",$R256="Urgent",$R256="High",$R256="ระบุ Severity + Impact"),IF(COUNTIFS(Dashboard!$B$105:$B$124,$O256,Dashboard!$I$105:$I$124,"CAB")&gt;0,"Accepted (CF)","Blocking"),"Deferrable"))</f>
        <v/>
      </c>
    </row>
    <row r="257" spans="7:26" x14ac:dyDescent="0.3">
      <c r="G257" s="27" t="str" cm="1">
        <f t="array" ref="G257">IF($A257="","",IFERROR(_xlfn.TEXTJOIN(CHAR(10)&amp;CHAR(10),TRUE,_xlfn._xlws.FILTER("•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"&amp;Cards!$L$4:$L$1000),(Cards!$A$4:$A$1000&lt;&gt;"")*ISNUMBER(SEARCH($A257,Cards!$E$4:$E$1000)))),"-"))</f>
        <v/>
      </c>
      <c r="Q257" s="30"/>
      <c r="R257" s="27" t="str">
        <f>IF(OR($A257="",LEN(TRIM($O257))=0),"",IF(OR($P257="",$Q257=""),"ระบุ Severity + Impact",IFERROR(INDEX({"Urgent","Urgent","High","High";"Urgent","High","High","Medium";"High","High","Medium","Medium";"Medium","Medium","Low","Low"},MATCH($P257,{"Critical","High","Medium","Low"},0),MATCH($Q257,{"Extensive","Significant","Moderate","Minor"},0)),"-")))</f>
        <v/>
      </c>
      <c r="S257" s="30"/>
      <c r="T257" s="30"/>
      <c r="W257" s="32" t="str">
        <f>IF($A257="","",IF(OR($M257="Out of Scope",$M257="Canceled"),"Out of Scope",IF($M257="Blocked","Blocked",IF(AND($T257&lt;&gt;"Fixed – Retest Passed",OR(LEN(TRIM($O257))&gt;0,LEN(TRIM($P257))&gt;0)),IF(AND(OR($L257="Medium",$L257="Low"),SUMPRODUCT((Cards!$A$4:$A$1000&lt;&gt;"")*ISNUMBER(SEARCH($A257,Cards!$E$4:$E$1000))*(Cards!$F$4:$F$1000&lt;&gt;"Medium")*(Cards!$F$4:$F$1000&lt;&gt;"Low"))=0),"Conditionally Passed","Failed"),IF($M257="Done","Passed","Not Run")))))</f>
        <v/>
      </c>
      <c r="Y257" s="27" t="str" cm="1">
        <f t="array" ref="Y257">IF($A257="","",IF(TRIM($B257)="","-",IFERROR(_xlfn.TEXTJOIN(" / ",TRUE,_xlfn.UNIQUE(_xlfn._xlws.FILTER('Ownership Matrix'!$C$5:$C$200,('Ownership Matrix'!$A$5:$A$200=TRIM($B257))*('Ownership Matrix'!$C$5:$C$200&lt;&gt;"")))),"ไม่พบใน Ownership Matrix")))</f>
        <v/>
      </c>
      <c r="Z257" s="31" t="str">
        <f>IF(NOT(AND($A257&lt;&gt;"",$M257&lt;&gt;"Out of Scope",$M257&lt;&gt;"Canceled",$T257&lt;&gt;"Fixed – Retest Passed",OR(LEN(TRIM($O257))&gt;0,LEN(TRIM($P257))&gt;0))),"",IF(OR($W257="Failed",$R257="Urgent",$R257="High",$R257="ระบุ Severity + Impact"),IF(COUNTIFS(Dashboard!$B$105:$B$124,$O257,Dashboard!$I$105:$I$124,"CAB")&gt;0,"Accepted (CF)","Blocking"),"Deferrable"))</f>
        <v/>
      </c>
    </row>
    <row r="258" spans="7:26" x14ac:dyDescent="0.3">
      <c r="G258" s="27" t="str" cm="1">
        <f t="array" ref="G258">IF($A258="","",IFERROR(_xlfn.TEXTJOIN(CHAR(10)&amp;CHAR(10),TRUE,_xlfn._xlws.FILTER("•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"&amp;Cards!$L$4:$L$1000),(Cards!$A$4:$A$1000&lt;&gt;"")*ISNUMBER(SEARCH($A258,Cards!$E$4:$E$1000)))),"-"))</f>
        <v/>
      </c>
      <c r="Q258" s="30"/>
      <c r="R258" s="27" t="str">
        <f>IF(OR($A258="",LEN(TRIM($O258))=0),"",IF(OR($P258="",$Q258=""),"ระบุ Severity + Impact",IFERROR(INDEX({"Urgent","Urgent","High","High";"Urgent","High","High","Medium";"High","High","Medium","Medium";"Medium","Medium","Low","Low"},MATCH($P258,{"Critical","High","Medium","Low"},0),MATCH($Q258,{"Extensive","Significant","Moderate","Minor"},0)),"-")))</f>
        <v/>
      </c>
      <c r="S258" s="30"/>
      <c r="T258" s="30"/>
      <c r="W258" s="32" t="str">
        <f>IF($A258="","",IF(OR($M258="Out of Scope",$M258="Canceled"),"Out of Scope",IF($M258="Blocked","Blocked",IF(AND($T258&lt;&gt;"Fixed – Retest Passed",OR(LEN(TRIM($O258))&gt;0,LEN(TRIM($P258))&gt;0)),IF(AND(OR($L258="Medium",$L258="Low"),SUMPRODUCT((Cards!$A$4:$A$1000&lt;&gt;"")*ISNUMBER(SEARCH($A258,Cards!$E$4:$E$1000))*(Cards!$F$4:$F$1000&lt;&gt;"Medium")*(Cards!$F$4:$F$1000&lt;&gt;"Low"))=0),"Conditionally Passed","Failed"),IF($M258="Done","Passed","Not Run")))))</f>
        <v/>
      </c>
      <c r="Y258" s="27" t="str" cm="1">
        <f t="array" ref="Y258">IF($A258="","",IF(TRIM($B258)="","-",IFERROR(_xlfn.TEXTJOIN(" / ",TRUE,_xlfn.UNIQUE(_xlfn._xlws.FILTER('Ownership Matrix'!$C$5:$C$200,('Ownership Matrix'!$A$5:$A$200=TRIM($B258))*('Ownership Matrix'!$C$5:$C$200&lt;&gt;"")))),"ไม่พบใน Ownership Matrix")))</f>
        <v/>
      </c>
      <c r="Z258" s="31" t="str">
        <f>IF(NOT(AND($A258&lt;&gt;"",$M258&lt;&gt;"Out of Scope",$M258&lt;&gt;"Canceled",$T258&lt;&gt;"Fixed – Retest Passed",OR(LEN(TRIM($O258))&gt;0,LEN(TRIM($P258))&gt;0))),"",IF(OR($W258="Failed",$R258="Urgent",$R258="High",$R258="ระบุ Severity + Impact"),IF(COUNTIFS(Dashboard!$B$105:$B$124,$O258,Dashboard!$I$105:$I$124,"CAB")&gt;0,"Accepted (CF)","Blocking"),"Deferrable"))</f>
        <v/>
      </c>
    </row>
    <row r="259" spans="7:26" x14ac:dyDescent="0.3">
      <c r="G259" s="27" t="str" cm="1">
        <f t="array" ref="G259">IF($A259="","",IFERROR(_xlfn.TEXTJOIN(CHAR(10)&amp;CHAR(10),TRUE,_xlfn._xlws.FILTER("•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"&amp;Cards!$L$4:$L$1000),(Cards!$A$4:$A$1000&lt;&gt;"")*ISNUMBER(SEARCH($A259,Cards!$E$4:$E$1000)))),"-"))</f>
        <v/>
      </c>
      <c r="Q259" s="30"/>
      <c r="R259" s="27" t="str">
        <f>IF(OR($A259="",LEN(TRIM($O259))=0),"",IF(OR($P259="",$Q259=""),"ระบุ Severity + Impact",IFERROR(INDEX({"Urgent","Urgent","High","High";"Urgent","High","High","Medium";"High","High","Medium","Medium";"Medium","Medium","Low","Low"},MATCH($P259,{"Critical","High","Medium","Low"},0),MATCH($Q259,{"Extensive","Significant","Moderate","Minor"},0)),"-")))</f>
        <v/>
      </c>
      <c r="S259" s="30"/>
      <c r="T259" s="30"/>
      <c r="W259" s="32" t="str">
        <f>IF($A259="","",IF(OR($M259="Out of Scope",$M259="Canceled"),"Out of Scope",IF($M259="Blocked","Blocked",IF(AND($T259&lt;&gt;"Fixed – Retest Passed",OR(LEN(TRIM($O259))&gt;0,LEN(TRIM($P259))&gt;0)),IF(AND(OR($L259="Medium",$L259="Low"),SUMPRODUCT((Cards!$A$4:$A$1000&lt;&gt;"")*ISNUMBER(SEARCH($A259,Cards!$E$4:$E$1000))*(Cards!$F$4:$F$1000&lt;&gt;"Medium")*(Cards!$F$4:$F$1000&lt;&gt;"Low"))=0),"Conditionally Passed","Failed"),IF($M259="Done","Passed","Not Run")))))</f>
        <v/>
      </c>
      <c r="Y259" s="27" t="str" cm="1">
        <f t="array" ref="Y259">IF($A259="","",IF(TRIM($B259)="","-",IFERROR(_xlfn.TEXTJOIN(" / ",TRUE,_xlfn.UNIQUE(_xlfn._xlws.FILTER('Ownership Matrix'!$C$5:$C$200,('Ownership Matrix'!$A$5:$A$200=TRIM($B259))*('Ownership Matrix'!$C$5:$C$200&lt;&gt;"")))),"ไม่พบใน Ownership Matrix")))</f>
        <v/>
      </c>
      <c r="Z259" s="31" t="str">
        <f>IF(NOT(AND($A259&lt;&gt;"",$M259&lt;&gt;"Out of Scope",$M259&lt;&gt;"Canceled",$T259&lt;&gt;"Fixed – Retest Passed",OR(LEN(TRIM($O259))&gt;0,LEN(TRIM($P259))&gt;0))),"",IF(OR($W259="Failed",$R259="Urgent",$R259="High",$R259="ระบุ Severity + Impact"),IF(COUNTIFS(Dashboard!$B$105:$B$124,$O259,Dashboard!$I$105:$I$124,"CAB")&gt;0,"Accepted (CF)","Blocking"),"Deferrable"))</f>
        <v/>
      </c>
    </row>
    <row r="260" spans="7:26" x14ac:dyDescent="0.3">
      <c r="G260" s="27" t="str" cm="1">
        <f t="array" ref="G260">IF($A260="","",IFERROR(_xlfn.TEXTJOIN(CHAR(10)&amp;CHAR(10),TRUE,_xlfn._xlws.FILTER("•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"&amp;Cards!$L$4:$L$1000),(Cards!$A$4:$A$1000&lt;&gt;"")*ISNUMBER(SEARCH($A260,Cards!$E$4:$E$1000)))),"-"))</f>
        <v/>
      </c>
      <c r="Q260" s="30"/>
      <c r="R260" s="27" t="str">
        <f>IF(OR($A260="",LEN(TRIM($O260))=0),"",IF(OR($P260="",$Q260=""),"ระบุ Severity + Impact",IFERROR(INDEX({"Urgent","Urgent","High","High";"Urgent","High","High","Medium";"High","High","Medium","Medium";"Medium","Medium","Low","Low"},MATCH($P260,{"Critical","High","Medium","Low"},0),MATCH($Q260,{"Extensive","Significant","Moderate","Minor"},0)),"-")))</f>
        <v/>
      </c>
      <c r="S260" s="30"/>
      <c r="T260" s="30"/>
      <c r="W260" s="32" t="str">
        <f>IF($A260="","",IF(OR($M260="Out of Scope",$M260="Canceled"),"Out of Scope",IF($M260="Blocked","Blocked",IF(AND($T260&lt;&gt;"Fixed – Retest Passed",OR(LEN(TRIM($O260))&gt;0,LEN(TRIM($P260))&gt;0)),IF(AND(OR($L260="Medium",$L260="Low"),SUMPRODUCT((Cards!$A$4:$A$1000&lt;&gt;"")*ISNUMBER(SEARCH($A260,Cards!$E$4:$E$1000))*(Cards!$F$4:$F$1000&lt;&gt;"Medium")*(Cards!$F$4:$F$1000&lt;&gt;"Low"))=0),"Conditionally Passed","Failed"),IF($M260="Done","Passed","Not Run")))))</f>
        <v/>
      </c>
      <c r="Y260" s="27" t="str" cm="1">
        <f t="array" ref="Y260">IF($A260="","",IF(TRIM($B260)="","-",IFERROR(_xlfn.TEXTJOIN(" / ",TRUE,_xlfn.UNIQUE(_xlfn._xlws.FILTER('Ownership Matrix'!$C$5:$C$200,('Ownership Matrix'!$A$5:$A$200=TRIM($B260))*('Ownership Matrix'!$C$5:$C$200&lt;&gt;"")))),"ไม่พบใน Ownership Matrix")))</f>
        <v/>
      </c>
      <c r="Z260" s="31" t="str">
        <f>IF(NOT(AND($A260&lt;&gt;"",$M260&lt;&gt;"Out of Scope",$M260&lt;&gt;"Canceled",$T260&lt;&gt;"Fixed – Retest Passed",OR(LEN(TRIM($O260))&gt;0,LEN(TRIM($P260))&gt;0))),"",IF(OR($W260="Failed",$R260="Urgent",$R260="High",$R260="ระบุ Severity + Impact"),IF(COUNTIFS(Dashboard!$B$105:$B$124,$O260,Dashboard!$I$105:$I$124,"CAB")&gt;0,"Accepted (CF)","Blocking"),"Deferrable"))</f>
        <v/>
      </c>
    </row>
    <row r="261" spans="7:26" x14ac:dyDescent="0.3">
      <c r="G261" s="27" t="str" cm="1">
        <f t="array" ref="G261">IF($A261="","",IFERROR(_xlfn.TEXTJOIN(CHAR(10)&amp;CHAR(10),TRUE,_xlfn._xlws.FILTER("•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"&amp;Cards!$L$4:$L$1000),(Cards!$A$4:$A$1000&lt;&gt;"")*ISNUMBER(SEARCH($A261,Cards!$E$4:$E$1000)))),"-"))</f>
        <v/>
      </c>
      <c r="Q261" s="30"/>
      <c r="R261" s="27" t="str">
        <f>IF(OR($A261="",LEN(TRIM($O261))=0),"",IF(OR($P261="",$Q261=""),"ระบุ Severity + Impact",IFERROR(INDEX({"Urgent","Urgent","High","High";"Urgent","High","High","Medium";"High","High","Medium","Medium";"Medium","Medium","Low","Low"},MATCH($P261,{"Critical","High","Medium","Low"},0),MATCH($Q261,{"Extensive","Significant","Moderate","Minor"},0)),"-")))</f>
        <v/>
      </c>
      <c r="S261" s="30"/>
      <c r="T261" s="30"/>
      <c r="W261" s="32" t="str">
        <f>IF($A261="","",IF(OR($M261="Out of Scope",$M261="Canceled"),"Out of Scope",IF($M261="Blocked","Blocked",IF(AND($T261&lt;&gt;"Fixed – Retest Passed",OR(LEN(TRIM($O261))&gt;0,LEN(TRIM($P261))&gt;0)),IF(AND(OR($L261="Medium",$L261="Low"),SUMPRODUCT((Cards!$A$4:$A$1000&lt;&gt;"")*ISNUMBER(SEARCH($A261,Cards!$E$4:$E$1000))*(Cards!$F$4:$F$1000&lt;&gt;"Medium")*(Cards!$F$4:$F$1000&lt;&gt;"Low"))=0),"Conditionally Passed","Failed"),IF($M261="Done","Passed","Not Run")))))</f>
        <v/>
      </c>
      <c r="Y261" s="27" t="str" cm="1">
        <f t="array" ref="Y261">IF($A261="","",IF(TRIM($B261)="","-",IFERROR(_xlfn.TEXTJOIN(" / ",TRUE,_xlfn.UNIQUE(_xlfn._xlws.FILTER('Ownership Matrix'!$C$5:$C$200,('Ownership Matrix'!$A$5:$A$200=TRIM($B261))*('Ownership Matrix'!$C$5:$C$200&lt;&gt;"")))),"ไม่พบใน Ownership Matrix")))</f>
        <v/>
      </c>
      <c r="Z261" s="31" t="str">
        <f>IF(NOT(AND($A261&lt;&gt;"",$M261&lt;&gt;"Out of Scope",$M261&lt;&gt;"Canceled",$T261&lt;&gt;"Fixed – Retest Passed",OR(LEN(TRIM($O261))&gt;0,LEN(TRIM($P261))&gt;0))),"",IF(OR($W261="Failed",$R261="Urgent",$R261="High",$R261="ระบุ Severity + Impact"),IF(COUNTIFS(Dashboard!$B$105:$B$124,$O261,Dashboard!$I$105:$I$124,"CAB")&gt;0,"Accepted (CF)","Blocking"),"Deferrable"))</f>
        <v/>
      </c>
    </row>
    <row r="262" spans="7:26" x14ac:dyDescent="0.3">
      <c r="G262" s="27" t="str" cm="1">
        <f t="array" ref="G262">IF($A262="","",IFERROR(_xlfn.TEXTJOIN(CHAR(10)&amp;CHAR(10),TRUE,_xlfn._xlws.FILTER("•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"&amp;Cards!$L$4:$L$1000),(Cards!$A$4:$A$1000&lt;&gt;"")*ISNUMBER(SEARCH($A262,Cards!$E$4:$E$1000)))),"-"))</f>
        <v/>
      </c>
      <c r="Q262" s="30"/>
      <c r="R262" s="27" t="str">
        <f>IF(OR($A262="",LEN(TRIM($O262))=0),"",IF(OR($P262="",$Q262=""),"ระบุ Severity + Impact",IFERROR(INDEX({"Urgent","Urgent","High","High";"Urgent","High","High","Medium";"High","High","Medium","Medium";"Medium","Medium","Low","Low"},MATCH($P262,{"Critical","High","Medium","Low"},0),MATCH($Q262,{"Extensive","Significant","Moderate","Minor"},0)),"-")))</f>
        <v/>
      </c>
      <c r="S262" s="30"/>
      <c r="T262" s="30"/>
      <c r="W262" s="32" t="str">
        <f>IF($A262="","",IF(OR($M262="Out of Scope",$M262="Canceled"),"Out of Scope",IF($M262="Blocked","Blocked",IF(AND($T262&lt;&gt;"Fixed – Retest Passed",OR(LEN(TRIM($O262))&gt;0,LEN(TRIM($P262))&gt;0)),IF(AND(OR($L262="Medium",$L262="Low"),SUMPRODUCT((Cards!$A$4:$A$1000&lt;&gt;"")*ISNUMBER(SEARCH($A262,Cards!$E$4:$E$1000))*(Cards!$F$4:$F$1000&lt;&gt;"Medium")*(Cards!$F$4:$F$1000&lt;&gt;"Low"))=0),"Conditionally Passed","Failed"),IF($M262="Done","Passed","Not Run")))))</f>
        <v/>
      </c>
      <c r="Y262" s="27" t="str" cm="1">
        <f t="array" ref="Y262">IF($A262="","",IF(TRIM($B262)="","-",IFERROR(_xlfn.TEXTJOIN(" / ",TRUE,_xlfn.UNIQUE(_xlfn._xlws.FILTER('Ownership Matrix'!$C$5:$C$200,('Ownership Matrix'!$A$5:$A$200=TRIM($B262))*('Ownership Matrix'!$C$5:$C$200&lt;&gt;"")))),"ไม่พบใน Ownership Matrix")))</f>
        <v/>
      </c>
      <c r="Z262" s="31" t="str">
        <f>IF(NOT(AND($A262&lt;&gt;"",$M262&lt;&gt;"Out of Scope",$M262&lt;&gt;"Canceled",$T262&lt;&gt;"Fixed – Retest Passed",OR(LEN(TRIM($O262))&gt;0,LEN(TRIM($P262))&gt;0))),"",IF(OR($W262="Failed",$R262="Urgent",$R262="High",$R262="ระบุ Severity + Impact"),IF(COUNTIFS(Dashboard!$B$105:$B$124,$O262,Dashboard!$I$105:$I$124,"CAB")&gt;0,"Accepted (CF)","Blocking"),"Deferrable"))</f>
        <v/>
      </c>
    </row>
    <row r="263" spans="7:26" x14ac:dyDescent="0.3">
      <c r="G263" s="27" t="str" cm="1">
        <f t="array" ref="G263">IF($A263="","",IFERROR(_xlfn.TEXTJOIN(CHAR(10)&amp;CHAR(10),TRUE,_xlfn._xlws.FILTER("•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"&amp;Cards!$L$4:$L$1000),(Cards!$A$4:$A$1000&lt;&gt;"")*ISNUMBER(SEARCH($A263,Cards!$E$4:$E$1000)))),"-"))</f>
        <v/>
      </c>
      <c r="Q263" s="30"/>
      <c r="R263" s="27" t="str">
        <f>IF(OR($A263="",LEN(TRIM($O263))=0),"",IF(OR($P263="",$Q263=""),"ระบุ Severity + Impact",IFERROR(INDEX({"Urgent","Urgent","High","High";"Urgent","High","High","Medium";"High","High","Medium","Medium";"Medium","Medium","Low","Low"},MATCH($P263,{"Critical","High","Medium","Low"},0),MATCH($Q263,{"Extensive","Significant","Moderate","Minor"},0)),"-")))</f>
        <v/>
      </c>
      <c r="S263" s="30"/>
      <c r="T263" s="30"/>
      <c r="W263" s="32" t="str">
        <f>IF($A263="","",IF(OR($M263="Out of Scope",$M263="Canceled"),"Out of Scope",IF($M263="Blocked","Blocked",IF(AND($T263&lt;&gt;"Fixed – Retest Passed",OR(LEN(TRIM($O263))&gt;0,LEN(TRIM($P263))&gt;0)),IF(AND(OR($L263="Medium",$L263="Low"),SUMPRODUCT((Cards!$A$4:$A$1000&lt;&gt;"")*ISNUMBER(SEARCH($A263,Cards!$E$4:$E$1000))*(Cards!$F$4:$F$1000&lt;&gt;"Medium")*(Cards!$F$4:$F$1000&lt;&gt;"Low"))=0),"Conditionally Passed","Failed"),IF($M263="Done","Passed","Not Run")))))</f>
        <v/>
      </c>
      <c r="Y263" s="27" t="str" cm="1">
        <f t="array" ref="Y263">IF($A263="","",IF(TRIM($B263)="","-",IFERROR(_xlfn.TEXTJOIN(" / ",TRUE,_xlfn.UNIQUE(_xlfn._xlws.FILTER('Ownership Matrix'!$C$5:$C$200,('Ownership Matrix'!$A$5:$A$200=TRIM($B263))*('Ownership Matrix'!$C$5:$C$200&lt;&gt;"")))),"ไม่พบใน Ownership Matrix")))</f>
        <v/>
      </c>
      <c r="Z263" s="31" t="str">
        <f>IF(NOT(AND($A263&lt;&gt;"",$M263&lt;&gt;"Out of Scope",$M263&lt;&gt;"Canceled",$T263&lt;&gt;"Fixed – Retest Passed",OR(LEN(TRIM($O263))&gt;0,LEN(TRIM($P263))&gt;0))),"",IF(OR($W263="Failed",$R263="Urgent",$R263="High",$R263="ระบุ Severity + Impact"),IF(COUNTIFS(Dashboard!$B$105:$B$124,$O263,Dashboard!$I$105:$I$124,"CAB")&gt;0,"Accepted (CF)","Blocking"),"Deferrable"))</f>
        <v/>
      </c>
    </row>
    <row r="264" spans="7:26" x14ac:dyDescent="0.3">
      <c r="G264" s="27" t="str" cm="1">
        <f t="array" ref="G264">IF($A264="","",IFERROR(_xlfn.TEXTJOIN(CHAR(10)&amp;CHAR(10),TRUE,_xlfn._xlws.FILTER("•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"&amp;Cards!$L$4:$L$1000),(Cards!$A$4:$A$1000&lt;&gt;"")*ISNUMBER(SEARCH($A264,Cards!$E$4:$E$1000)))),"-"))</f>
        <v/>
      </c>
      <c r="Q264" s="30"/>
      <c r="R264" s="27" t="str">
        <f>IF(OR($A264="",LEN(TRIM($O264))=0),"",IF(OR($P264="",$Q264=""),"ระบุ Severity + Impact",IFERROR(INDEX({"Urgent","Urgent","High","High";"Urgent","High","High","Medium";"High","High","Medium","Medium";"Medium","Medium","Low","Low"},MATCH($P264,{"Critical","High","Medium","Low"},0),MATCH($Q264,{"Extensive","Significant","Moderate","Minor"},0)),"-")))</f>
        <v/>
      </c>
      <c r="S264" s="30"/>
      <c r="T264" s="30"/>
      <c r="W264" s="32" t="str">
        <f>IF($A264="","",IF(OR($M264="Out of Scope",$M264="Canceled"),"Out of Scope",IF($M264="Blocked","Blocked",IF(AND($T264&lt;&gt;"Fixed – Retest Passed",OR(LEN(TRIM($O264))&gt;0,LEN(TRIM($P264))&gt;0)),IF(AND(OR($L264="Medium",$L264="Low"),SUMPRODUCT((Cards!$A$4:$A$1000&lt;&gt;"")*ISNUMBER(SEARCH($A264,Cards!$E$4:$E$1000))*(Cards!$F$4:$F$1000&lt;&gt;"Medium")*(Cards!$F$4:$F$1000&lt;&gt;"Low"))=0),"Conditionally Passed","Failed"),IF($M264="Done","Passed","Not Run")))))</f>
        <v/>
      </c>
      <c r="Y264" s="27" t="str" cm="1">
        <f t="array" ref="Y264">IF($A264="","",IF(TRIM($B264)="","-",IFERROR(_xlfn.TEXTJOIN(" / ",TRUE,_xlfn.UNIQUE(_xlfn._xlws.FILTER('Ownership Matrix'!$C$5:$C$200,('Ownership Matrix'!$A$5:$A$200=TRIM($B264))*('Ownership Matrix'!$C$5:$C$200&lt;&gt;"")))),"ไม่พบใน Ownership Matrix")))</f>
        <v/>
      </c>
      <c r="Z264" s="31" t="str">
        <f>IF(NOT(AND($A264&lt;&gt;"",$M264&lt;&gt;"Out of Scope",$M264&lt;&gt;"Canceled",$T264&lt;&gt;"Fixed – Retest Passed",OR(LEN(TRIM($O264))&gt;0,LEN(TRIM($P264))&gt;0))),"",IF(OR($W264="Failed",$R264="Urgent",$R264="High",$R264="ระบุ Severity + Impact"),IF(COUNTIFS(Dashboard!$B$105:$B$124,$O264,Dashboard!$I$105:$I$124,"CAB")&gt;0,"Accepted (CF)","Blocking"),"Deferrable"))</f>
        <v/>
      </c>
    </row>
    <row r="265" spans="7:26" x14ac:dyDescent="0.3">
      <c r="G265" s="27" t="str" cm="1">
        <f t="array" ref="G265">IF($A265="","",IFERROR(_xlfn.TEXTJOIN(CHAR(10)&amp;CHAR(10),TRUE,_xlfn._xlws.FILTER("•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"&amp;Cards!$L$4:$L$1000),(Cards!$A$4:$A$1000&lt;&gt;"")*ISNUMBER(SEARCH($A265,Cards!$E$4:$E$1000)))),"-"))</f>
        <v/>
      </c>
      <c r="Q265" s="30"/>
      <c r="R265" s="27" t="str">
        <f>IF(OR($A265="",LEN(TRIM($O265))=0),"",IF(OR($P265="",$Q265=""),"ระบุ Severity + Impact",IFERROR(INDEX({"Urgent","Urgent","High","High";"Urgent","High","High","Medium";"High","High","Medium","Medium";"Medium","Medium","Low","Low"},MATCH($P265,{"Critical","High","Medium","Low"},0),MATCH($Q265,{"Extensive","Significant","Moderate","Minor"},0)),"-")))</f>
        <v/>
      </c>
      <c r="S265" s="30"/>
      <c r="T265" s="30"/>
      <c r="W265" s="32" t="str">
        <f>IF($A265="","",IF(OR($M265="Out of Scope",$M265="Canceled"),"Out of Scope",IF($M265="Blocked","Blocked",IF(AND($T265&lt;&gt;"Fixed – Retest Passed",OR(LEN(TRIM($O265))&gt;0,LEN(TRIM($P265))&gt;0)),IF(AND(OR($L265="Medium",$L265="Low"),SUMPRODUCT((Cards!$A$4:$A$1000&lt;&gt;"")*ISNUMBER(SEARCH($A265,Cards!$E$4:$E$1000))*(Cards!$F$4:$F$1000&lt;&gt;"Medium")*(Cards!$F$4:$F$1000&lt;&gt;"Low"))=0),"Conditionally Passed","Failed"),IF($M265="Done","Passed","Not Run")))))</f>
        <v/>
      </c>
      <c r="Y265" s="27" t="str" cm="1">
        <f t="array" ref="Y265">IF($A265="","",IF(TRIM($B265)="","-",IFERROR(_xlfn.TEXTJOIN(" / ",TRUE,_xlfn.UNIQUE(_xlfn._xlws.FILTER('Ownership Matrix'!$C$5:$C$200,('Ownership Matrix'!$A$5:$A$200=TRIM($B265))*('Ownership Matrix'!$C$5:$C$200&lt;&gt;"")))),"ไม่พบใน Ownership Matrix")))</f>
        <v/>
      </c>
      <c r="Z265" s="31" t="str">
        <f>IF(NOT(AND($A265&lt;&gt;"",$M265&lt;&gt;"Out of Scope",$M265&lt;&gt;"Canceled",$T265&lt;&gt;"Fixed – Retest Passed",OR(LEN(TRIM($O265))&gt;0,LEN(TRIM($P265))&gt;0))),"",IF(OR($W265="Failed",$R265="Urgent",$R265="High",$R265="ระบุ Severity + Impact"),IF(COUNTIFS(Dashboard!$B$105:$B$124,$O265,Dashboard!$I$105:$I$124,"CAB")&gt;0,"Accepted (CF)","Blocking"),"Deferrable"))</f>
        <v/>
      </c>
    </row>
    <row r="266" spans="7:26" x14ac:dyDescent="0.3">
      <c r="G266" s="27" t="str" cm="1">
        <f t="array" ref="G266">IF($A266="","",IFERROR(_xlfn.TEXTJOIN(CHAR(10)&amp;CHAR(10),TRUE,_xlfn._xlws.FILTER("•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"&amp;Cards!$L$4:$L$1000),(Cards!$A$4:$A$1000&lt;&gt;"")*ISNUMBER(SEARCH($A266,Cards!$E$4:$E$1000)))),"-"))</f>
        <v/>
      </c>
      <c r="Q266" s="30"/>
      <c r="R266" s="27" t="str">
        <f>IF(OR($A266="",LEN(TRIM($O266))=0),"",IF(OR($P266="",$Q266=""),"ระบุ Severity + Impact",IFERROR(INDEX({"Urgent","Urgent","High","High";"Urgent","High","High","Medium";"High","High","Medium","Medium";"Medium","Medium","Low","Low"},MATCH($P266,{"Critical","High","Medium","Low"},0),MATCH($Q266,{"Extensive","Significant","Moderate","Minor"},0)),"-")))</f>
        <v/>
      </c>
      <c r="S266" s="30"/>
      <c r="T266" s="30"/>
      <c r="W266" s="32" t="str">
        <f>IF($A266="","",IF(OR($M266="Out of Scope",$M266="Canceled"),"Out of Scope",IF($M266="Blocked","Blocked",IF(AND($T266&lt;&gt;"Fixed – Retest Passed",OR(LEN(TRIM($O266))&gt;0,LEN(TRIM($P266))&gt;0)),IF(AND(OR($L266="Medium",$L266="Low"),SUMPRODUCT((Cards!$A$4:$A$1000&lt;&gt;"")*ISNUMBER(SEARCH($A266,Cards!$E$4:$E$1000))*(Cards!$F$4:$F$1000&lt;&gt;"Medium")*(Cards!$F$4:$F$1000&lt;&gt;"Low"))=0),"Conditionally Passed","Failed"),IF($M266="Done","Passed","Not Run")))))</f>
        <v/>
      </c>
      <c r="Y266" s="27" t="str" cm="1">
        <f t="array" ref="Y266">IF($A266="","",IF(TRIM($B266)="","-",IFERROR(_xlfn.TEXTJOIN(" / ",TRUE,_xlfn.UNIQUE(_xlfn._xlws.FILTER('Ownership Matrix'!$C$5:$C$200,('Ownership Matrix'!$A$5:$A$200=TRIM($B266))*('Ownership Matrix'!$C$5:$C$200&lt;&gt;"")))),"ไม่พบใน Ownership Matrix")))</f>
        <v/>
      </c>
      <c r="Z266" s="31" t="str">
        <f>IF(NOT(AND($A266&lt;&gt;"",$M266&lt;&gt;"Out of Scope",$M266&lt;&gt;"Canceled",$T266&lt;&gt;"Fixed – Retest Passed",OR(LEN(TRIM($O266))&gt;0,LEN(TRIM($P266))&gt;0))),"",IF(OR($W266="Failed",$R266="Urgent",$R266="High",$R266="ระบุ Severity + Impact"),IF(COUNTIFS(Dashboard!$B$105:$B$124,$O266,Dashboard!$I$105:$I$124,"CAB")&gt;0,"Accepted (CF)","Blocking"),"Deferrable"))</f>
        <v/>
      </c>
    </row>
    <row r="267" spans="7:26" x14ac:dyDescent="0.3">
      <c r="G267" s="27" t="str" cm="1">
        <f t="array" ref="G267">IF($A267="","",IFERROR(_xlfn.TEXTJOIN(CHAR(10)&amp;CHAR(10),TRUE,_xlfn._xlws.FILTER("•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"&amp;Cards!$L$4:$L$1000),(Cards!$A$4:$A$1000&lt;&gt;"")*ISNUMBER(SEARCH($A267,Cards!$E$4:$E$1000)))),"-"))</f>
        <v/>
      </c>
      <c r="Q267" s="30"/>
      <c r="R267" s="27" t="str">
        <f>IF(OR($A267="",LEN(TRIM($O267))=0),"",IF(OR($P267="",$Q267=""),"ระบุ Severity + Impact",IFERROR(INDEX({"Urgent","Urgent","High","High";"Urgent","High","High","Medium";"High","High","Medium","Medium";"Medium","Medium","Low","Low"},MATCH($P267,{"Critical","High","Medium","Low"},0),MATCH($Q267,{"Extensive","Significant","Moderate","Minor"},0)),"-")))</f>
        <v/>
      </c>
      <c r="S267" s="30"/>
      <c r="T267" s="30"/>
      <c r="W267" s="32" t="str">
        <f>IF($A267="","",IF(OR($M267="Out of Scope",$M267="Canceled"),"Out of Scope",IF($M267="Blocked","Blocked",IF(AND($T267&lt;&gt;"Fixed – Retest Passed",OR(LEN(TRIM($O267))&gt;0,LEN(TRIM($P267))&gt;0)),IF(AND(OR($L267="Medium",$L267="Low"),SUMPRODUCT((Cards!$A$4:$A$1000&lt;&gt;"")*ISNUMBER(SEARCH($A267,Cards!$E$4:$E$1000))*(Cards!$F$4:$F$1000&lt;&gt;"Medium")*(Cards!$F$4:$F$1000&lt;&gt;"Low"))=0),"Conditionally Passed","Failed"),IF($M267="Done","Passed","Not Run")))))</f>
        <v/>
      </c>
      <c r="Y267" s="27" t="str" cm="1">
        <f t="array" ref="Y267">IF($A267="","",IF(TRIM($B267)="","-",IFERROR(_xlfn.TEXTJOIN(" / ",TRUE,_xlfn.UNIQUE(_xlfn._xlws.FILTER('Ownership Matrix'!$C$5:$C$200,('Ownership Matrix'!$A$5:$A$200=TRIM($B267))*('Ownership Matrix'!$C$5:$C$200&lt;&gt;"")))),"ไม่พบใน Ownership Matrix")))</f>
        <v/>
      </c>
      <c r="Z267" s="31" t="str">
        <f>IF(NOT(AND($A267&lt;&gt;"",$M267&lt;&gt;"Out of Scope",$M267&lt;&gt;"Canceled",$T267&lt;&gt;"Fixed – Retest Passed",OR(LEN(TRIM($O267))&gt;0,LEN(TRIM($P267))&gt;0))),"",IF(OR($W267="Failed",$R267="Urgent",$R267="High",$R267="ระบุ Severity + Impact"),IF(COUNTIFS(Dashboard!$B$105:$B$124,$O267,Dashboard!$I$105:$I$124,"CAB")&gt;0,"Accepted (CF)","Blocking"),"Deferrable"))</f>
        <v/>
      </c>
    </row>
    <row r="268" spans="7:26" x14ac:dyDescent="0.3">
      <c r="G268" s="27" t="str" cm="1">
        <f t="array" ref="G268">IF($A268="","",IFERROR(_xlfn.TEXTJOIN(CHAR(10)&amp;CHAR(10),TRUE,_xlfn._xlws.FILTER("•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"&amp;Cards!$L$4:$L$1000),(Cards!$A$4:$A$1000&lt;&gt;"")*ISNUMBER(SEARCH($A268,Cards!$E$4:$E$1000)))),"-"))</f>
        <v/>
      </c>
      <c r="Q268" s="30"/>
      <c r="R268" s="27" t="str">
        <f>IF(OR($A268="",LEN(TRIM($O268))=0),"",IF(OR($P268="",$Q268=""),"ระบุ Severity + Impact",IFERROR(INDEX({"Urgent","Urgent","High","High";"Urgent","High","High","Medium";"High","High","Medium","Medium";"Medium","Medium","Low","Low"},MATCH($P268,{"Critical","High","Medium","Low"},0),MATCH($Q268,{"Extensive","Significant","Moderate","Minor"},0)),"-")))</f>
        <v/>
      </c>
      <c r="S268" s="30"/>
      <c r="T268" s="30"/>
      <c r="W268" s="32" t="str">
        <f>IF($A268="","",IF(OR($M268="Out of Scope",$M268="Canceled"),"Out of Scope",IF($M268="Blocked","Blocked",IF(AND($T268&lt;&gt;"Fixed – Retest Passed",OR(LEN(TRIM($O268))&gt;0,LEN(TRIM($P268))&gt;0)),IF(AND(OR($L268="Medium",$L268="Low"),SUMPRODUCT((Cards!$A$4:$A$1000&lt;&gt;"")*ISNUMBER(SEARCH($A268,Cards!$E$4:$E$1000))*(Cards!$F$4:$F$1000&lt;&gt;"Medium")*(Cards!$F$4:$F$1000&lt;&gt;"Low"))=0),"Conditionally Passed","Failed"),IF($M268="Done","Passed","Not Run")))))</f>
        <v/>
      </c>
      <c r="Y268" s="27" t="str" cm="1">
        <f t="array" ref="Y268">IF($A268="","",IF(TRIM($B268)="","-",IFERROR(_xlfn.TEXTJOIN(" / ",TRUE,_xlfn.UNIQUE(_xlfn._xlws.FILTER('Ownership Matrix'!$C$5:$C$200,('Ownership Matrix'!$A$5:$A$200=TRIM($B268))*('Ownership Matrix'!$C$5:$C$200&lt;&gt;"")))),"ไม่พบใน Ownership Matrix")))</f>
        <v/>
      </c>
      <c r="Z268" s="31" t="str">
        <f>IF(NOT(AND($A268&lt;&gt;"",$M268&lt;&gt;"Out of Scope",$M268&lt;&gt;"Canceled",$T268&lt;&gt;"Fixed – Retest Passed",OR(LEN(TRIM($O268))&gt;0,LEN(TRIM($P268))&gt;0))),"",IF(OR($W268="Failed",$R268="Urgent",$R268="High",$R268="ระบุ Severity + Impact"),IF(COUNTIFS(Dashboard!$B$105:$B$124,$O268,Dashboard!$I$105:$I$124,"CAB")&gt;0,"Accepted (CF)","Blocking"),"Deferrable"))</f>
        <v/>
      </c>
    </row>
    <row r="269" spans="7:26" x14ac:dyDescent="0.3">
      <c r="G269" s="27" t="str" cm="1">
        <f t="array" ref="G269">IF($A269="","",IFERROR(_xlfn.TEXTJOIN(CHAR(10)&amp;CHAR(10),TRUE,_xlfn._xlws.FILTER("•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"&amp;Cards!$L$4:$L$1000),(Cards!$A$4:$A$1000&lt;&gt;"")*ISNUMBER(SEARCH($A269,Cards!$E$4:$E$1000)))),"-"))</f>
        <v/>
      </c>
      <c r="Q269" s="30"/>
      <c r="R269" s="27" t="str">
        <f>IF(OR($A269="",LEN(TRIM($O269))=0),"",IF(OR($P269="",$Q269=""),"ระบุ Severity + Impact",IFERROR(INDEX({"Urgent","Urgent","High","High";"Urgent","High","High","Medium";"High","High","Medium","Medium";"Medium","Medium","Low","Low"},MATCH($P269,{"Critical","High","Medium","Low"},0),MATCH($Q269,{"Extensive","Significant","Moderate","Minor"},0)),"-")))</f>
        <v/>
      </c>
      <c r="S269" s="30"/>
      <c r="T269" s="30"/>
      <c r="W269" s="32" t="str">
        <f>IF($A269="","",IF(OR($M269="Out of Scope",$M269="Canceled"),"Out of Scope",IF($M269="Blocked","Blocked",IF(AND($T269&lt;&gt;"Fixed – Retest Passed",OR(LEN(TRIM($O269))&gt;0,LEN(TRIM($P269))&gt;0)),IF(AND(OR($L269="Medium",$L269="Low"),SUMPRODUCT((Cards!$A$4:$A$1000&lt;&gt;"")*ISNUMBER(SEARCH($A269,Cards!$E$4:$E$1000))*(Cards!$F$4:$F$1000&lt;&gt;"Medium")*(Cards!$F$4:$F$1000&lt;&gt;"Low"))=0),"Conditionally Passed","Failed"),IF($M269="Done","Passed","Not Run")))))</f>
        <v/>
      </c>
      <c r="Y269" s="27" t="str" cm="1">
        <f t="array" ref="Y269">IF($A269="","",IF(TRIM($B269)="","-",IFERROR(_xlfn.TEXTJOIN(" / ",TRUE,_xlfn.UNIQUE(_xlfn._xlws.FILTER('Ownership Matrix'!$C$5:$C$200,('Ownership Matrix'!$A$5:$A$200=TRIM($B269))*('Ownership Matrix'!$C$5:$C$200&lt;&gt;"")))),"ไม่พบใน Ownership Matrix")))</f>
        <v/>
      </c>
      <c r="Z269" s="31" t="str">
        <f>IF(NOT(AND($A269&lt;&gt;"",$M269&lt;&gt;"Out of Scope",$M269&lt;&gt;"Canceled",$T269&lt;&gt;"Fixed – Retest Passed",OR(LEN(TRIM($O269))&gt;0,LEN(TRIM($P269))&gt;0))),"",IF(OR($W269="Failed",$R269="Urgent",$R269="High",$R269="ระบุ Severity + Impact"),IF(COUNTIFS(Dashboard!$B$105:$B$124,$O269,Dashboard!$I$105:$I$124,"CAB")&gt;0,"Accepted (CF)","Blocking"),"Deferrable"))</f>
        <v/>
      </c>
    </row>
    <row r="270" spans="7:26" x14ac:dyDescent="0.3">
      <c r="G270" s="27" t="str" cm="1">
        <f t="array" ref="G270">IF($A270="","",IFERROR(_xlfn.TEXTJOIN(CHAR(10)&amp;CHAR(10),TRUE,_xlfn._xlws.FILTER("•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"&amp;Cards!$L$4:$L$1000),(Cards!$A$4:$A$1000&lt;&gt;"")*ISNUMBER(SEARCH($A270,Cards!$E$4:$E$1000)))),"-"))</f>
        <v/>
      </c>
      <c r="Q270" s="30"/>
      <c r="R270" s="27" t="str">
        <f>IF(OR($A270="",LEN(TRIM($O270))=0),"",IF(OR($P270="",$Q270=""),"ระบุ Severity + Impact",IFERROR(INDEX({"Urgent","Urgent","High","High";"Urgent","High","High","Medium";"High","High","Medium","Medium";"Medium","Medium","Low","Low"},MATCH($P270,{"Critical","High","Medium","Low"},0),MATCH($Q270,{"Extensive","Significant","Moderate","Minor"},0)),"-")))</f>
        <v/>
      </c>
      <c r="S270" s="30"/>
      <c r="T270" s="30"/>
      <c r="W270" s="32" t="str">
        <f>IF($A270="","",IF(OR($M270="Out of Scope",$M270="Canceled"),"Out of Scope",IF($M270="Blocked","Blocked",IF(AND($T270&lt;&gt;"Fixed – Retest Passed",OR(LEN(TRIM($O270))&gt;0,LEN(TRIM($P270))&gt;0)),IF(AND(OR($L270="Medium",$L270="Low"),SUMPRODUCT((Cards!$A$4:$A$1000&lt;&gt;"")*ISNUMBER(SEARCH($A270,Cards!$E$4:$E$1000))*(Cards!$F$4:$F$1000&lt;&gt;"Medium")*(Cards!$F$4:$F$1000&lt;&gt;"Low"))=0),"Conditionally Passed","Failed"),IF($M270="Done","Passed","Not Run")))))</f>
        <v/>
      </c>
      <c r="Y270" s="27" t="str" cm="1">
        <f t="array" ref="Y270">IF($A270="","",IF(TRIM($B270)="","-",IFERROR(_xlfn.TEXTJOIN(" / ",TRUE,_xlfn.UNIQUE(_xlfn._xlws.FILTER('Ownership Matrix'!$C$5:$C$200,('Ownership Matrix'!$A$5:$A$200=TRIM($B270))*('Ownership Matrix'!$C$5:$C$200&lt;&gt;"")))),"ไม่พบใน Ownership Matrix")))</f>
        <v/>
      </c>
      <c r="Z270" s="31" t="str">
        <f>IF(NOT(AND($A270&lt;&gt;"",$M270&lt;&gt;"Out of Scope",$M270&lt;&gt;"Canceled",$T270&lt;&gt;"Fixed – Retest Passed",OR(LEN(TRIM($O270))&gt;0,LEN(TRIM($P270))&gt;0))),"",IF(OR($W270="Failed",$R270="Urgent",$R270="High",$R270="ระบุ Severity + Impact"),IF(COUNTIFS(Dashboard!$B$105:$B$124,$O270,Dashboard!$I$105:$I$124,"CAB")&gt;0,"Accepted (CF)","Blocking"),"Deferrable"))</f>
        <v/>
      </c>
    </row>
    <row r="271" spans="7:26" x14ac:dyDescent="0.3">
      <c r="G271" s="27" t="str" cm="1">
        <f t="array" ref="G271">IF($A271="","",IFERROR(_xlfn.TEXTJOIN(CHAR(10)&amp;CHAR(10),TRUE,_xlfn._xlws.FILTER("•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"&amp;Cards!$L$4:$L$1000),(Cards!$A$4:$A$1000&lt;&gt;"")*ISNUMBER(SEARCH($A271,Cards!$E$4:$E$1000)))),"-"))</f>
        <v/>
      </c>
      <c r="Q271" s="30"/>
      <c r="R271" s="27" t="str">
        <f>IF(OR($A271="",LEN(TRIM($O271))=0),"",IF(OR($P271="",$Q271=""),"ระบุ Severity + Impact",IFERROR(INDEX({"Urgent","Urgent","High","High";"Urgent","High","High","Medium";"High","High","Medium","Medium";"Medium","Medium","Low","Low"},MATCH($P271,{"Critical","High","Medium","Low"},0),MATCH($Q271,{"Extensive","Significant","Moderate","Minor"},0)),"-")))</f>
        <v/>
      </c>
      <c r="S271" s="30"/>
      <c r="T271" s="30"/>
      <c r="W271" s="32" t="str">
        <f>IF($A271="","",IF(OR($M271="Out of Scope",$M271="Canceled"),"Out of Scope",IF($M271="Blocked","Blocked",IF(AND($T271&lt;&gt;"Fixed – Retest Passed",OR(LEN(TRIM($O271))&gt;0,LEN(TRIM($P271))&gt;0)),IF(AND(OR($L271="Medium",$L271="Low"),SUMPRODUCT((Cards!$A$4:$A$1000&lt;&gt;"")*ISNUMBER(SEARCH($A271,Cards!$E$4:$E$1000))*(Cards!$F$4:$F$1000&lt;&gt;"Medium")*(Cards!$F$4:$F$1000&lt;&gt;"Low"))=0),"Conditionally Passed","Failed"),IF($M271="Done","Passed","Not Run")))))</f>
        <v/>
      </c>
      <c r="Y271" s="27" t="str" cm="1">
        <f t="array" ref="Y271">IF($A271="","",IF(TRIM($B271)="","-",IFERROR(_xlfn.TEXTJOIN(" / ",TRUE,_xlfn.UNIQUE(_xlfn._xlws.FILTER('Ownership Matrix'!$C$5:$C$200,('Ownership Matrix'!$A$5:$A$200=TRIM($B271))*('Ownership Matrix'!$C$5:$C$200&lt;&gt;"")))),"ไม่พบใน Ownership Matrix")))</f>
        <v/>
      </c>
      <c r="Z271" s="31" t="str">
        <f>IF(NOT(AND($A271&lt;&gt;"",$M271&lt;&gt;"Out of Scope",$M271&lt;&gt;"Canceled",$T271&lt;&gt;"Fixed – Retest Passed",OR(LEN(TRIM($O271))&gt;0,LEN(TRIM($P271))&gt;0))),"",IF(OR($W271="Failed",$R271="Urgent",$R271="High",$R271="ระบุ Severity + Impact"),IF(COUNTIFS(Dashboard!$B$105:$B$124,$O271,Dashboard!$I$105:$I$124,"CAB")&gt;0,"Accepted (CF)","Blocking"),"Deferrable"))</f>
        <v/>
      </c>
    </row>
    <row r="272" spans="7:26" x14ac:dyDescent="0.3">
      <c r="G272" s="27" t="str" cm="1">
        <f t="array" ref="G272">IF($A272="","",IFERROR(_xlfn.TEXTJOIN(CHAR(10)&amp;CHAR(10),TRUE,_xlfn._xlws.FILTER("•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"&amp;Cards!$L$4:$L$1000),(Cards!$A$4:$A$1000&lt;&gt;"")*ISNUMBER(SEARCH($A272,Cards!$E$4:$E$1000)))),"-"))</f>
        <v/>
      </c>
      <c r="Q272" s="30"/>
      <c r="R272" s="27" t="str">
        <f>IF(OR($A272="",LEN(TRIM($O272))=0),"",IF(OR($P272="",$Q272=""),"ระบุ Severity + Impact",IFERROR(INDEX({"Urgent","Urgent","High","High";"Urgent","High","High","Medium";"High","High","Medium","Medium";"Medium","Medium","Low","Low"},MATCH($P272,{"Critical","High","Medium","Low"},0),MATCH($Q272,{"Extensive","Significant","Moderate","Minor"},0)),"-")))</f>
        <v/>
      </c>
      <c r="S272" s="30"/>
      <c r="T272" s="30"/>
      <c r="W272" s="32" t="str">
        <f>IF($A272="","",IF(OR($M272="Out of Scope",$M272="Canceled"),"Out of Scope",IF($M272="Blocked","Blocked",IF(AND($T272&lt;&gt;"Fixed – Retest Passed",OR(LEN(TRIM($O272))&gt;0,LEN(TRIM($P272))&gt;0)),IF(AND(OR($L272="Medium",$L272="Low"),SUMPRODUCT((Cards!$A$4:$A$1000&lt;&gt;"")*ISNUMBER(SEARCH($A272,Cards!$E$4:$E$1000))*(Cards!$F$4:$F$1000&lt;&gt;"Medium")*(Cards!$F$4:$F$1000&lt;&gt;"Low"))=0),"Conditionally Passed","Failed"),IF($M272="Done","Passed","Not Run")))))</f>
        <v/>
      </c>
      <c r="Y272" s="27" t="str" cm="1">
        <f t="array" ref="Y272">IF($A272="","",IF(TRIM($B272)="","-",IFERROR(_xlfn.TEXTJOIN(" / ",TRUE,_xlfn.UNIQUE(_xlfn._xlws.FILTER('Ownership Matrix'!$C$5:$C$200,('Ownership Matrix'!$A$5:$A$200=TRIM($B272))*('Ownership Matrix'!$C$5:$C$200&lt;&gt;"")))),"ไม่พบใน Ownership Matrix")))</f>
        <v/>
      </c>
      <c r="Z272" s="31" t="str">
        <f>IF(NOT(AND($A272&lt;&gt;"",$M272&lt;&gt;"Out of Scope",$M272&lt;&gt;"Canceled",$T272&lt;&gt;"Fixed – Retest Passed",OR(LEN(TRIM($O272))&gt;0,LEN(TRIM($P272))&gt;0))),"",IF(OR($W272="Failed",$R272="Urgent",$R272="High",$R272="ระบุ Severity + Impact"),IF(COUNTIFS(Dashboard!$B$105:$B$124,$O272,Dashboard!$I$105:$I$124,"CAB")&gt;0,"Accepted (CF)","Blocking"),"Deferrable"))</f>
        <v/>
      </c>
    </row>
    <row r="273" spans="7:26" x14ac:dyDescent="0.3">
      <c r="G273" s="27" t="str" cm="1">
        <f t="array" ref="G273">IF($A273="","",IFERROR(_xlfn.TEXTJOIN(CHAR(10)&amp;CHAR(10),TRUE,_xlfn._xlws.FILTER("•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"&amp;Cards!$L$4:$L$1000),(Cards!$A$4:$A$1000&lt;&gt;"")*ISNUMBER(SEARCH($A273,Cards!$E$4:$E$1000)))),"-"))</f>
        <v/>
      </c>
      <c r="Q273" s="30"/>
      <c r="R273" s="27" t="str">
        <f>IF(OR($A273="",LEN(TRIM($O273))=0),"",IF(OR($P273="",$Q273=""),"ระบุ Severity + Impact",IFERROR(INDEX({"Urgent","Urgent","High","High";"Urgent","High","High","Medium";"High","High","Medium","Medium";"Medium","Medium","Low","Low"},MATCH($P273,{"Critical","High","Medium","Low"},0),MATCH($Q273,{"Extensive","Significant","Moderate","Minor"},0)),"-")))</f>
        <v/>
      </c>
      <c r="S273" s="30"/>
      <c r="T273" s="30"/>
      <c r="W273" s="32" t="str">
        <f>IF($A273="","",IF(OR($M273="Out of Scope",$M273="Canceled"),"Out of Scope",IF($M273="Blocked","Blocked",IF(AND($T273&lt;&gt;"Fixed – Retest Passed",OR(LEN(TRIM($O273))&gt;0,LEN(TRIM($P273))&gt;0)),IF(AND(OR($L273="Medium",$L273="Low"),SUMPRODUCT((Cards!$A$4:$A$1000&lt;&gt;"")*ISNUMBER(SEARCH($A273,Cards!$E$4:$E$1000))*(Cards!$F$4:$F$1000&lt;&gt;"Medium")*(Cards!$F$4:$F$1000&lt;&gt;"Low"))=0),"Conditionally Passed","Failed"),IF($M273="Done","Passed","Not Run")))))</f>
        <v/>
      </c>
      <c r="Y273" s="27" t="str" cm="1">
        <f t="array" ref="Y273">IF($A273="","",IF(TRIM($B273)="","-",IFERROR(_xlfn.TEXTJOIN(" / ",TRUE,_xlfn.UNIQUE(_xlfn._xlws.FILTER('Ownership Matrix'!$C$5:$C$200,('Ownership Matrix'!$A$5:$A$200=TRIM($B273))*('Ownership Matrix'!$C$5:$C$200&lt;&gt;"")))),"ไม่พบใน Ownership Matrix")))</f>
        <v/>
      </c>
      <c r="Z273" s="31" t="str">
        <f>IF(NOT(AND($A273&lt;&gt;"",$M273&lt;&gt;"Out of Scope",$M273&lt;&gt;"Canceled",$T273&lt;&gt;"Fixed – Retest Passed",OR(LEN(TRIM($O273))&gt;0,LEN(TRIM($P273))&gt;0))),"",IF(OR($W273="Failed",$R273="Urgent",$R273="High",$R273="ระบุ Severity + Impact"),IF(COUNTIFS(Dashboard!$B$105:$B$124,$O273,Dashboard!$I$105:$I$124,"CAB")&gt;0,"Accepted (CF)","Blocking"),"Deferrable"))</f>
        <v/>
      </c>
    </row>
    <row r="274" spans="7:26" x14ac:dyDescent="0.3">
      <c r="G274" s="27" t="str" cm="1">
        <f t="array" ref="G274">IF($A274="","",IFERROR(_xlfn.TEXTJOIN(CHAR(10)&amp;CHAR(10),TRUE,_xlfn._xlws.FILTER("•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"&amp;Cards!$L$4:$L$1000),(Cards!$A$4:$A$1000&lt;&gt;"")*ISNUMBER(SEARCH($A274,Cards!$E$4:$E$1000)))),"-"))</f>
        <v/>
      </c>
      <c r="Q274" s="30"/>
      <c r="R274" s="27" t="str">
        <f>IF(OR($A274="",LEN(TRIM($O274))=0),"",IF(OR($P274="",$Q274=""),"ระบุ Severity + Impact",IFERROR(INDEX({"Urgent","Urgent","High","High";"Urgent","High","High","Medium";"High","High","Medium","Medium";"Medium","Medium","Low","Low"},MATCH($P274,{"Critical","High","Medium","Low"},0),MATCH($Q274,{"Extensive","Significant","Moderate","Minor"},0)),"-")))</f>
        <v/>
      </c>
      <c r="S274" s="30"/>
      <c r="T274" s="30"/>
      <c r="W274" s="32" t="str">
        <f>IF($A274="","",IF(OR($M274="Out of Scope",$M274="Canceled"),"Out of Scope",IF($M274="Blocked","Blocked",IF(AND($T274&lt;&gt;"Fixed – Retest Passed",OR(LEN(TRIM($O274))&gt;0,LEN(TRIM($P274))&gt;0)),IF(AND(OR($L274="Medium",$L274="Low"),SUMPRODUCT((Cards!$A$4:$A$1000&lt;&gt;"")*ISNUMBER(SEARCH($A274,Cards!$E$4:$E$1000))*(Cards!$F$4:$F$1000&lt;&gt;"Medium")*(Cards!$F$4:$F$1000&lt;&gt;"Low"))=0),"Conditionally Passed","Failed"),IF($M274="Done","Passed","Not Run")))))</f>
        <v/>
      </c>
      <c r="Y274" s="27" t="str" cm="1">
        <f t="array" ref="Y274">IF($A274="","",IF(TRIM($B274)="","-",IFERROR(_xlfn.TEXTJOIN(" / ",TRUE,_xlfn.UNIQUE(_xlfn._xlws.FILTER('Ownership Matrix'!$C$5:$C$200,('Ownership Matrix'!$A$5:$A$200=TRIM($B274))*('Ownership Matrix'!$C$5:$C$200&lt;&gt;"")))),"ไม่พบใน Ownership Matrix")))</f>
        <v/>
      </c>
      <c r="Z274" s="31" t="str">
        <f>IF(NOT(AND($A274&lt;&gt;"",$M274&lt;&gt;"Out of Scope",$M274&lt;&gt;"Canceled",$T274&lt;&gt;"Fixed – Retest Passed",OR(LEN(TRIM($O274))&gt;0,LEN(TRIM($P274))&gt;0))),"",IF(OR($W274="Failed",$R274="Urgent",$R274="High",$R274="ระบุ Severity + Impact"),IF(COUNTIFS(Dashboard!$B$105:$B$124,$O274,Dashboard!$I$105:$I$124,"CAB")&gt;0,"Accepted (CF)","Blocking"),"Deferrable"))</f>
        <v/>
      </c>
    </row>
    <row r="275" spans="7:26" x14ac:dyDescent="0.3">
      <c r="G275" s="27" t="str" cm="1">
        <f t="array" ref="G275">IF($A275="","",IFERROR(_xlfn.TEXTJOIN(CHAR(10)&amp;CHAR(10),TRUE,_xlfn._xlws.FILTER("•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"&amp;Cards!$L$4:$L$1000),(Cards!$A$4:$A$1000&lt;&gt;"")*ISNUMBER(SEARCH($A275,Cards!$E$4:$E$1000)))),"-"))</f>
        <v/>
      </c>
      <c r="Q275" s="30"/>
      <c r="R275" s="27" t="str">
        <f>IF(OR($A275="",LEN(TRIM($O275))=0),"",IF(OR($P275="",$Q275=""),"ระบุ Severity + Impact",IFERROR(INDEX({"Urgent","Urgent","High","High";"Urgent","High","High","Medium";"High","High","Medium","Medium";"Medium","Medium","Low","Low"},MATCH($P275,{"Critical","High","Medium","Low"},0),MATCH($Q275,{"Extensive","Significant","Moderate","Minor"},0)),"-")))</f>
        <v/>
      </c>
      <c r="S275" s="30"/>
      <c r="T275" s="30"/>
      <c r="W275" s="32" t="str">
        <f>IF($A275="","",IF(OR($M275="Out of Scope",$M275="Canceled"),"Out of Scope",IF($M275="Blocked","Blocked",IF(AND($T275&lt;&gt;"Fixed – Retest Passed",OR(LEN(TRIM($O275))&gt;0,LEN(TRIM($P275))&gt;0)),IF(AND(OR($L275="Medium",$L275="Low"),SUMPRODUCT((Cards!$A$4:$A$1000&lt;&gt;"")*ISNUMBER(SEARCH($A275,Cards!$E$4:$E$1000))*(Cards!$F$4:$F$1000&lt;&gt;"Medium")*(Cards!$F$4:$F$1000&lt;&gt;"Low"))=0),"Conditionally Passed","Failed"),IF($M275="Done","Passed","Not Run")))))</f>
        <v/>
      </c>
      <c r="Y275" s="27" t="str" cm="1">
        <f t="array" ref="Y275">IF($A275="","",IF(TRIM($B275)="","-",IFERROR(_xlfn.TEXTJOIN(" / ",TRUE,_xlfn.UNIQUE(_xlfn._xlws.FILTER('Ownership Matrix'!$C$5:$C$200,('Ownership Matrix'!$A$5:$A$200=TRIM($B275))*('Ownership Matrix'!$C$5:$C$200&lt;&gt;"")))),"ไม่พบใน Ownership Matrix")))</f>
        <v/>
      </c>
      <c r="Z275" s="31" t="str">
        <f>IF(NOT(AND($A275&lt;&gt;"",$M275&lt;&gt;"Out of Scope",$M275&lt;&gt;"Canceled",$T275&lt;&gt;"Fixed – Retest Passed",OR(LEN(TRIM($O275))&gt;0,LEN(TRIM($P275))&gt;0))),"",IF(OR($W275="Failed",$R275="Urgent",$R275="High",$R275="ระบุ Severity + Impact"),IF(COUNTIFS(Dashboard!$B$105:$B$124,$O275,Dashboard!$I$105:$I$124,"CAB")&gt;0,"Accepted (CF)","Blocking"),"Deferrable"))</f>
        <v/>
      </c>
    </row>
    <row r="276" spans="7:26" x14ac:dyDescent="0.3">
      <c r="G276" s="27" t="str" cm="1">
        <f t="array" ref="G276">IF($A276="","",IFERROR(_xlfn.TEXTJOIN(CHAR(10)&amp;CHAR(10),TRUE,_xlfn._xlws.FILTER("•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"&amp;Cards!$L$4:$L$1000),(Cards!$A$4:$A$1000&lt;&gt;"")*ISNUMBER(SEARCH($A276,Cards!$E$4:$E$1000)))),"-"))</f>
        <v/>
      </c>
      <c r="Q276" s="30"/>
      <c r="R276" s="27" t="str">
        <f>IF(OR($A276="",LEN(TRIM($O276))=0),"",IF(OR($P276="",$Q276=""),"ระบุ Severity + Impact",IFERROR(INDEX({"Urgent","Urgent","High","High";"Urgent","High","High","Medium";"High","High","Medium","Medium";"Medium","Medium","Low","Low"},MATCH($P276,{"Critical","High","Medium","Low"},0),MATCH($Q276,{"Extensive","Significant","Moderate","Minor"},0)),"-")))</f>
        <v/>
      </c>
      <c r="S276" s="30"/>
      <c r="T276" s="30"/>
      <c r="W276" s="32" t="str">
        <f>IF($A276="","",IF(OR($M276="Out of Scope",$M276="Canceled"),"Out of Scope",IF($M276="Blocked","Blocked",IF(AND($T276&lt;&gt;"Fixed – Retest Passed",OR(LEN(TRIM($O276))&gt;0,LEN(TRIM($P276))&gt;0)),IF(AND(OR($L276="Medium",$L276="Low"),SUMPRODUCT((Cards!$A$4:$A$1000&lt;&gt;"")*ISNUMBER(SEARCH($A276,Cards!$E$4:$E$1000))*(Cards!$F$4:$F$1000&lt;&gt;"Medium")*(Cards!$F$4:$F$1000&lt;&gt;"Low"))=0),"Conditionally Passed","Failed"),IF($M276="Done","Passed","Not Run")))))</f>
        <v/>
      </c>
      <c r="Y276" s="27" t="str" cm="1">
        <f t="array" ref="Y276">IF($A276="","",IF(TRIM($B276)="","-",IFERROR(_xlfn.TEXTJOIN(" / ",TRUE,_xlfn.UNIQUE(_xlfn._xlws.FILTER('Ownership Matrix'!$C$5:$C$200,('Ownership Matrix'!$A$5:$A$200=TRIM($B276))*('Ownership Matrix'!$C$5:$C$200&lt;&gt;"")))),"ไม่พบใน Ownership Matrix")))</f>
        <v/>
      </c>
      <c r="Z276" s="31" t="str">
        <f>IF(NOT(AND($A276&lt;&gt;"",$M276&lt;&gt;"Out of Scope",$M276&lt;&gt;"Canceled",$T276&lt;&gt;"Fixed – Retest Passed",OR(LEN(TRIM($O276))&gt;0,LEN(TRIM($P276))&gt;0))),"",IF(OR($W276="Failed",$R276="Urgent",$R276="High",$R276="ระบุ Severity + Impact"),IF(COUNTIFS(Dashboard!$B$105:$B$124,$O276,Dashboard!$I$105:$I$124,"CAB")&gt;0,"Accepted (CF)","Blocking"),"Deferrable"))</f>
        <v/>
      </c>
    </row>
    <row r="277" spans="7:26" x14ac:dyDescent="0.3">
      <c r="G277" s="27" t="str" cm="1">
        <f t="array" ref="G277">IF($A277="","",IFERROR(_xlfn.TEXTJOIN(CHAR(10)&amp;CHAR(10),TRUE,_xlfn._xlws.FILTER("•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"&amp;Cards!$L$4:$L$1000),(Cards!$A$4:$A$1000&lt;&gt;"")*ISNUMBER(SEARCH($A277,Cards!$E$4:$E$1000)))),"-"))</f>
        <v/>
      </c>
      <c r="Q277" s="30"/>
      <c r="R277" s="27" t="str">
        <f>IF(OR($A277="",LEN(TRIM($O277))=0),"",IF(OR($P277="",$Q277=""),"ระบุ Severity + Impact",IFERROR(INDEX({"Urgent","Urgent","High","High";"Urgent","High","High","Medium";"High","High","Medium","Medium";"Medium","Medium","Low","Low"},MATCH($P277,{"Critical","High","Medium","Low"},0),MATCH($Q277,{"Extensive","Significant","Moderate","Minor"},0)),"-")))</f>
        <v/>
      </c>
      <c r="S277" s="30"/>
      <c r="T277" s="30"/>
      <c r="W277" s="32" t="str">
        <f>IF($A277="","",IF(OR($M277="Out of Scope",$M277="Canceled"),"Out of Scope",IF($M277="Blocked","Blocked",IF(AND($T277&lt;&gt;"Fixed – Retest Passed",OR(LEN(TRIM($O277))&gt;0,LEN(TRIM($P277))&gt;0)),IF(AND(OR($L277="Medium",$L277="Low"),SUMPRODUCT((Cards!$A$4:$A$1000&lt;&gt;"")*ISNUMBER(SEARCH($A277,Cards!$E$4:$E$1000))*(Cards!$F$4:$F$1000&lt;&gt;"Medium")*(Cards!$F$4:$F$1000&lt;&gt;"Low"))=0),"Conditionally Passed","Failed"),IF($M277="Done","Passed","Not Run")))))</f>
        <v/>
      </c>
      <c r="Y277" s="27" t="str" cm="1">
        <f t="array" ref="Y277">IF($A277="","",IF(TRIM($B277)="","-",IFERROR(_xlfn.TEXTJOIN(" / ",TRUE,_xlfn.UNIQUE(_xlfn._xlws.FILTER('Ownership Matrix'!$C$5:$C$200,('Ownership Matrix'!$A$5:$A$200=TRIM($B277))*('Ownership Matrix'!$C$5:$C$200&lt;&gt;"")))),"ไม่พบใน Ownership Matrix")))</f>
        <v/>
      </c>
      <c r="Z277" s="31" t="str">
        <f>IF(NOT(AND($A277&lt;&gt;"",$M277&lt;&gt;"Out of Scope",$M277&lt;&gt;"Canceled",$T277&lt;&gt;"Fixed – Retest Passed",OR(LEN(TRIM($O277))&gt;0,LEN(TRIM($P277))&gt;0))),"",IF(OR($W277="Failed",$R277="Urgent",$R277="High",$R277="ระบุ Severity + Impact"),IF(COUNTIFS(Dashboard!$B$105:$B$124,$O277,Dashboard!$I$105:$I$124,"CAB")&gt;0,"Accepted (CF)","Blocking"),"Deferrable"))</f>
        <v/>
      </c>
    </row>
    <row r="278" spans="7:26" x14ac:dyDescent="0.3">
      <c r="G278" s="27" t="str" cm="1">
        <f t="array" ref="G278">IF($A278="","",IFERROR(_xlfn.TEXTJOIN(CHAR(10)&amp;CHAR(10),TRUE,_xlfn._xlws.FILTER("•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"&amp;Cards!$L$4:$L$1000),(Cards!$A$4:$A$1000&lt;&gt;"")*ISNUMBER(SEARCH($A278,Cards!$E$4:$E$1000)))),"-"))</f>
        <v/>
      </c>
      <c r="Q278" s="30"/>
      <c r="R278" s="27" t="str">
        <f>IF(OR($A278="",LEN(TRIM($O278))=0),"",IF(OR($P278="",$Q278=""),"ระบุ Severity + Impact",IFERROR(INDEX({"Urgent","Urgent","High","High";"Urgent","High","High","Medium";"High","High","Medium","Medium";"Medium","Medium","Low","Low"},MATCH($P278,{"Critical","High","Medium","Low"},0),MATCH($Q278,{"Extensive","Significant","Moderate","Minor"},0)),"-")))</f>
        <v/>
      </c>
      <c r="S278" s="30"/>
      <c r="T278" s="30"/>
      <c r="W278" s="32" t="str">
        <f>IF($A278="","",IF(OR($M278="Out of Scope",$M278="Canceled"),"Out of Scope",IF($M278="Blocked","Blocked",IF(AND($T278&lt;&gt;"Fixed – Retest Passed",OR(LEN(TRIM($O278))&gt;0,LEN(TRIM($P278))&gt;0)),IF(AND(OR($L278="Medium",$L278="Low"),SUMPRODUCT((Cards!$A$4:$A$1000&lt;&gt;"")*ISNUMBER(SEARCH($A278,Cards!$E$4:$E$1000))*(Cards!$F$4:$F$1000&lt;&gt;"Medium")*(Cards!$F$4:$F$1000&lt;&gt;"Low"))=0),"Conditionally Passed","Failed"),IF($M278="Done","Passed","Not Run")))))</f>
        <v/>
      </c>
      <c r="Y278" s="27" t="str" cm="1">
        <f t="array" ref="Y278">IF($A278="","",IF(TRIM($B278)="","-",IFERROR(_xlfn.TEXTJOIN(" / ",TRUE,_xlfn.UNIQUE(_xlfn._xlws.FILTER('Ownership Matrix'!$C$5:$C$200,('Ownership Matrix'!$A$5:$A$200=TRIM($B278))*('Ownership Matrix'!$C$5:$C$200&lt;&gt;"")))),"ไม่พบใน Ownership Matrix")))</f>
        <v/>
      </c>
      <c r="Z278" s="31" t="str">
        <f>IF(NOT(AND($A278&lt;&gt;"",$M278&lt;&gt;"Out of Scope",$M278&lt;&gt;"Canceled",$T278&lt;&gt;"Fixed – Retest Passed",OR(LEN(TRIM($O278))&gt;0,LEN(TRIM($P278))&gt;0))),"",IF(OR($W278="Failed",$R278="Urgent",$R278="High",$R278="ระบุ Severity + Impact"),IF(COUNTIFS(Dashboard!$B$105:$B$124,$O278,Dashboard!$I$105:$I$124,"CAB")&gt;0,"Accepted (CF)","Blocking"),"Deferrable"))</f>
        <v/>
      </c>
    </row>
    <row r="279" spans="7:26" x14ac:dyDescent="0.3">
      <c r="G279" s="27" t="str" cm="1">
        <f t="array" ref="G279">IF($A279="","",IFERROR(_xlfn.TEXTJOIN(CHAR(10)&amp;CHAR(10),TRUE,_xlfn._xlws.FILTER("•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"&amp;Cards!$L$4:$L$1000),(Cards!$A$4:$A$1000&lt;&gt;"")*ISNUMBER(SEARCH($A279,Cards!$E$4:$E$1000)))),"-"))</f>
        <v/>
      </c>
      <c r="Q279" s="30"/>
      <c r="R279" s="27" t="str">
        <f>IF(OR($A279="",LEN(TRIM($O279))=0),"",IF(OR($P279="",$Q279=""),"ระบุ Severity + Impact",IFERROR(INDEX({"Urgent","Urgent","High","High";"Urgent","High","High","Medium";"High","High","Medium","Medium";"Medium","Medium","Low","Low"},MATCH($P279,{"Critical","High","Medium","Low"},0),MATCH($Q279,{"Extensive","Significant","Moderate","Minor"},0)),"-")))</f>
        <v/>
      </c>
      <c r="S279" s="30"/>
      <c r="T279" s="30"/>
      <c r="W279" s="32" t="str">
        <f>IF($A279="","",IF(OR($M279="Out of Scope",$M279="Canceled"),"Out of Scope",IF($M279="Blocked","Blocked",IF(AND($T279&lt;&gt;"Fixed – Retest Passed",OR(LEN(TRIM($O279))&gt;0,LEN(TRIM($P279))&gt;0)),IF(AND(OR($L279="Medium",$L279="Low"),SUMPRODUCT((Cards!$A$4:$A$1000&lt;&gt;"")*ISNUMBER(SEARCH($A279,Cards!$E$4:$E$1000))*(Cards!$F$4:$F$1000&lt;&gt;"Medium")*(Cards!$F$4:$F$1000&lt;&gt;"Low"))=0),"Conditionally Passed","Failed"),IF($M279="Done","Passed","Not Run")))))</f>
        <v/>
      </c>
      <c r="Y279" s="27" t="str" cm="1">
        <f t="array" ref="Y279">IF($A279="","",IF(TRIM($B279)="","-",IFERROR(_xlfn.TEXTJOIN(" / ",TRUE,_xlfn.UNIQUE(_xlfn._xlws.FILTER('Ownership Matrix'!$C$5:$C$200,('Ownership Matrix'!$A$5:$A$200=TRIM($B279))*('Ownership Matrix'!$C$5:$C$200&lt;&gt;"")))),"ไม่พบใน Ownership Matrix")))</f>
        <v/>
      </c>
      <c r="Z279" s="31" t="str">
        <f>IF(NOT(AND($A279&lt;&gt;"",$M279&lt;&gt;"Out of Scope",$M279&lt;&gt;"Canceled",$T279&lt;&gt;"Fixed – Retest Passed",OR(LEN(TRIM($O279))&gt;0,LEN(TRIM($P279))&gt;0))),"",IF(OR($W279="Failed",$R279="Urgent",$R279="High",$R279="ระบุ Severity + Impact"),IF(COUNTIFS(Dashboard!$B$105:$B$124,$O279,Dashboard!$I$105:$I$124,"CAB")&gt;0,"Accepted (CF)","Blocking"),"Deferrable"))</f>
        <v/>
      </c>
    </row>
    <row r="280" spans="7:26" x14ac:dyDescent="0.3">
      <c r="G280" s="27" t="str" cm="1">
        <f t="array" ref="G280">IF($A280="","",IFERROR(_xlfn.TEXTJOIN(CHAR(10)&amp;CHAR(10),TRUE,_xlfn._xlws.FILTER("•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"&amp;Cards!$L$4:$L$1000),(Cards!$A$4:$A$1000&lt;&gt;"")*ISNUMBER(SEARCH($A280,Cards!$E$4:$E$1000)))),"-"))</f>
        <v/>
      </c>
      <c r="Q280" s="30"/>
      <c r="R280" s="27" t="str">
        <f>IF(OR($A280="",LEN(TRIM($O280))=0),"",IF(OR($P280="",$Q280=""),"ระบุ Severity + Impact",IFERROR(INDEX({"Urgent","Urgent","High","High";"Urgent","High","High","Medium";"High","High","Medium","Medium";"Medium","Medium","Low","Low"},MATCH($P280,{"Critical","High","Medium","Low"},0),MATCH($Q280,{"Extensive","Significant","Moderate","Minor"},0)),"-")))</f>
        <v/>
      </c>
      <c r="S280" s="30"/>
      <c r="T280" s="30"/>
      <c r="W280" s="32" t="str">
        <f>IF($A280="","",IF(OR($M280="Out of Scope",$M280="Canceled"),"Out of Scope",IF($M280="Blocked","Blocked",IF(AND($T280&lt;&gt;"Fixed – Retest Passed",OR(LEN(TRIM($O280))&gt;0,LEN(TRIM($P280))&gt;0)),IF(AND(OR($L280="Medium",$L280="Low"),SUMPRODUCT((Cards!$A$4:$A$1000&lt;&gt;"")*ISNUMBER(SEARCH($A280,Cards!$E$4:$E$1000))*(Cards!$F$4:$F$1000&lt;&gt;"Medium")*(Cards!$F$4:$F$1000&lt;&gt;"Low"))=0),"Conditionally Passed","Failed"),IF($M280="Done","Passed","Not Run")))))</f>
        <v/>
      </c>
      <c r="Y280" s="27" t="str" cm="1">
        <f t="array" ref="Y280">IF($A280="","",IF(TRIM($B280)="","-",IFERROR(_xlfn.TEXTJOIN(" / ",TRUE,_xlfn.UNIQUE(_xlfn._xlws.FILTER('Ownership Matrix'!$C$5:$C$200,('Ownership Matrix'!$A$5:$A$200=TRIM($B280))*('Ownership Matrix'!$C$5:$C$200&lt;&gt;"")))),"ไม่พบใน Ownership Matrix")))</f>
        <v/>
      </c>
      <c r="Z280" s="31" t="str">
        <f>IF(NOT(AND($A280&lt;&gt;"",$M280&lt;&gt;"Out of Scope",$M280&lt;&gt;"Canceled",$T280&lt;&gt;"Fixed – Retest Passed",OR(LEN(TRIM($O280))&gt;0,LEN(TRIM($P280))&gt;0))),"",IF(OR($W280="Failed",$R280="Urgent",$R280="High",$R280="ระบุ Severity + Impact"),IF(COUNTIFS(Dashboard!$B$105:$B$124,$O280,Dashboard!$I$105:$I$124,"CAB")&gt;0,"Accepted (CF)","Blocking"),"Deferrable"))</f>
        <v/>
      </c>
    </row>
    <row r="281" spans="7:26" x14ac:dyDescent="0.3">
      <c r="G281" s="27" t="str" cm="1">
        <f t="array" ref="G281">IF($A281="","",IFERROR(_xlfn.TEXTJOIN(CHAR(10)&amp;CHAR(10),TRUE,_xlfn._xlws.FILTER("•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"&amp;Cards!$L$4:$L$1000),(Cards!$A$4:$A$1000&lt;&gt;"")*ISNUMBER(SEARCH($A281,Cards!$E$4:$E$1000)))),"-"))</f>
        <v/>
      </c>
      <c r="Q281" s="30"/>
      <c r="R281" s="27" t="str">
        <f>IF(OR($A281="",LEN(TRIM($O281))=0),"",IF(OR($P281="",$Q281=""),"ระบุ Severity + Impact",IFERROR(INDEX({"Urgent","Urgent","High","High";"Urgent","High","High","Medium";"High","High","Medium","Medium";"Medium","Medium","Low","Low"},MATCH($P281,{"Critical","High","Medium","Low"},0),MATCH($Q281,{"Extensive","Significant","Moderate","Minor"},0)),"-")))</f>
        <v/>
      </c>
      <c r="S281" s="30"/>
      <c r="T281" s="30"/>
      <c r="W281" s="32" t="str">
        <f>IF($A281="","",IF(OR($M281="Out of Scope",$M281="Canceled"),"Out of Scope",IF($M281="Blocked","Blocked",IF(AND($T281&lt;&gt;"Fixed – Retest Passed",OR(LEN(TRIM($O281))&gt;0,LEN(TRIM($P281))&gt;0)),IF(AND(OR($L281="Medium",$L281="Low"),SUMPRODUCT((Cards!$A$4:$A$1000&lt;&gt;"")*ISNUMBER(SEARCH($A281,Cards!$E$4:$E$1000))*(Cards!$F$4:$F$1000&lt;&gt;"Medium")*(Cards!$F$4:$F$1000&lt;&gt;"Low"))=0),"Conditionally Passed","Failed"),IF($M281="Done","Passed","Not Run")))))</f>
        <v/>
      </c>
      <c r="Y281" s="27" t="str" cm="1">
        <f t="array" ref="Y281">IF($A281="","",IF(TRIM($B281)="","-",IFERROR(_xlfn.TEXTJOIN(" / ",TRUE,_xlfn.UNIQUE(_xlfn._xlws.FILTER('Ownership Matrix'!$C$5:$C$200,('Ownership Matrix'!$A$5:$A$200=TRIM($B281))*('Ownership Matrix'!$C$5:$C$200&lt;&gt;"")))),"ไม่พบใน Ownership Matrix")))</f>
        <v/>
      </c>
      <c r="Z281" s="31" t="str">
        <f>IF(NOT(AND($A281&lt;&gt;"",$M281&lt;&gt;"Out of Scope",$M281&lt;&gt;"Canceled",$T281&lt;&gt;"Fixed – Retest Passed",OR(LEN(TRIM($O281))&gt;0,LEN(TRIM($P281))&gt;0))),"",IF(OR($W281="Failed",$R281="Urgent",$R281="High",$R281="ระบุ Severity + Impact"),IF(COUNTIFS(Dashboard!$B$105:$B$124,$O281,Dashboard!$I$105:$I$124,"CAB")&gt;0,"Accepted (CF)","Blocking"),"Deferrable"))</f>
        <v/>
      </c>
    </row>
    <row r="282" spans="7:26" x14ac:dyDescent="0.3">
      <c r="G282" s="27" t="str" cm="1">
        <f t="array" ref="G282">IF($A282="","",IFERROR(_xlfn.TEXTJOIN(CHAR(10)&amp;CHAR(10),TRUE,_xlfn._xlws.FILTER("•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"&amp;Cards!$L$4:$L$1000),(Cards!$A$4:$A$1000&lt;&gt;"")*ISNUMBER(SEARCH($A282,Cards!$E$4:$E$1000)))),"-"))</f>
        <v/>
      </c>
      <c r="Q282" s="30"/>
      <c r="R282" s="27" t="str">
        <f>IF(OR($A282="",LEN(TRIM($O282))=0),"",IF(OR($P282="",$Q282=""),"ระบุ Severity + Impact",IFERROR(INDEX({"Urgent","Urgent","High","High";"Urgent","High","High","Medium";"High","High","Medium","Medium";"Medium","Medium","Low","Low"},MATCH($P282,{"Critical","High","Medium","Low"},0),MATCH($Q282,{"Extensive","Significant","Moderate","Minor"},0)),"-")))</f>
        <v/>
      </c>
      <c r="S282" s="30"/>
      <c r="T282" s="30"/>
      <c r="W282" s="32" t="str">
        <f>IF($A282="","",IF(OR($M282="Out of Scope",$M282="Canceled"),"Out of Scope",IF($M282="Blocked","Blocked",IF(AND($T282&lt;&gt;"Fixed – Retest Passed",OR(LEN(TRIM($O282))&gt;0,LEN(TRIM($P282))&gt;0)),IF(AND(OR($L282="Medium",$L282="Low"),SUMPRODUCT((Cards!$A$4:$A$1000&lt;&gt;"")*ISNUMBER(SEARCH($A282,Cards!$E$4:$E$1000))*(Cards!$F$4:$F$1000&lt;&gt;"Medium")*(Cards!$F$4:$F$1000&lt;&gt;"Low"))=0),"Conditionally Passed","Failed"),IF($M282="Done","Passed","Not Run")))))</f>
        <v/>
      </c>
      <c r="Y282" s="27" t="str" cm="1">
        <f t="array" ref="Y282">IF($A282="","",IF(TRIM($B282)="","-",IFERROR(_xlfn.TEXTJOIN(" / ",TRUE,_xlfn.UNIQUE(_xlfn._xlws.FILTER('Ownership Matrix'!$C$5:$C$200,('Ownership Matrix'!$A$5:$A$200=TRIM($B282))*('Ownership Matrix'!$C$5:$C$200&lt;&gt;"")))),"ไม่พบใน Ownership Matrix")))</f>
        <v/>
      </c>
      <c r="Z282" s="31" t="str">
        <f>IF(NOT(AND($A282&lt;&gt;"",$M282&lt;&gt;"Out of Scope",$M282&lt;&gt;"Canceled",$T282&lt;&gt;"Fixed – Retest Passed",OR(LEN(TRIM($O282))&gt;0,LEN(TRIM($P282))&gt;0))),"",IF(OR($W282="Failed",$R282="Urgent",$R282="High",$R282="ระบุ Severity + Impact"),IF(COUNTIFS(Dashboard!$B$105:$B$124,$O282,Dashboard!$I$105:$I$124,"CAB")&gt;0,"Accepted (CF)","Blocking"),"Deferrable"))</f>
        <v/>
      </c>
    </row>
    <row r="283" spans="7:26" x14ac:dyDescent="0.3">
      <c r="G283" s="27" t="str" cm="1">
        <f t="array" ref="G283">IF($A283="","",IFERROR(_xlfn.TEXTJOIN(CHAR(10)&amp;CHAR(10),TRUE,_xlfn._xlws.FILTER("•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"&amp;Cards!$L$4:$L$1000),(Cards!$A$4:$A$1000&lt;&gt;"")*ISNUMBER(SEARCH($A283,Cards!$E$4:$E$1000)))),"-"))</f>
        <v/>
      </c>
      <c r="Q283" s="30"/>
      <c r="R283" s="27" t="str">
        <f>IF(OR($A283="",LEN(TRIM($O283))=0),"",IF(OR($P283="",$Q283=""),"ระบุ Severity + Impact",IFERROR(INDEX({"Urgent","Urgent","High","High";"Urgent","High","High","Medium";"High","High","Medium","Medium";"Medium","Medium","Low","Low"},MATCH($P283,{"Critical","High","Medium","Low"},0),MATCH($Q283,{"Extensive","Significant","Moderate","Minor"},0)),"-")))</f>
        <v/>
      </c>
      <c r="S283" s="30"/>
      <c r="T283" s="30"/>
      <c r="W283" s="32" t="str">
        <f>IF($A283="","",IF(OR($M283="Out of Scope",$M283="Canceled"),"Out of Scope",IF($M283="Blocked","Blocked",IF(AND($T283&lt;&gt;"Fixed – Retest Passed",OR(LEN(TRIM($O283))&gt;0,LEN(TRIM($P283))&gt;0)),IF(AND(OR($L283="Medium",$L283="Low"),SUMPRODUCT((Cards!$A$4:$A$1000&lt;&gt;"")*ISNUMBER(SEARCH($A283,Cards!$E$4:$E$1000))*(Cards!$F$4:$F$1000&lt;&gt;"Medium")*(Cards!$F$4:$F$1000&lt;&gt;"Low"))=0),"Conditionally Passed","Failed"),IF($M283="Done","Passed","Not Run")))))</f>
        <v/>
      </c>
      <c r="Y283" s="27" t="str" cm="1">
        <f t="array" ref="Y283">IF($A283="","",IF(TRIM($B283)="","-",IFERROR(_xlfn.TEXTJOIN(" / ",TRUE,_xlfn.UNIQUE(_xlfn._xlws.FILTER('Ownership Matrix'!$C$5:$C$200,('Ownership Matrix'!$A$5:$A$200=TRIM($B283))*('Ownership Matrix'!$C$5:$C$200&lt;&gt;"")))),"ไม่พบใน Ownership Matrix")))</f>
        <v/>
      </c>
      <c r="Z283" s="31" t="str">
        <f>IF(NOT(AND($A283&lt;&gt;"",$M283&lt;&gt;"Out of Scope",$M283&lt;&gt;"Canceled",$T283&lt;&gt;"Fixed – Retest Passed",OR(LEN(TRIM($O283))&gt;0,LEN(TRIM($P283))&gt;0))),"",IF(OR($W283="Failed",$R283="Urgent",$R283="High",$R283="ระบุ Severity + Impact"),IF(COUNTIFS(Dashboard!$B$105:$B$124,$O283,Dashboard!$I$105:$I$124,"CAB")&gt;0,"Accepted (CF)","Blocking"),"Deferrable"))</f>
        <v/>
      </c>
    </row>
    <row r="284" spans="7:26" x14ac:dyDescent="0.3">
      <c r="G284" s="27" t="str" cm="1">
        <f t="array" ref="G284">IF($A284="","",IFERROR(_xlfn.TEXTJOIN(CHAR(10)&amp;CHAR(10),TRUE,_xlfn._xlws.FILTER("•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"&amp;Cards!$L$4:$L$1000),(Cards!$A$4:$A$1000&lt;&gt;"")*ISNUMBER(SEARCH($A284,Cards!$E$4:$E$1000)))),"-"))</f>
        <v/>
      </c>
      <c r="Q284" s="30"/>
      <c r="R284" s="27" t="str">
        <f>IF(OR($A284="",LEN(TRIM($O284))=0),"",IF(OR($P284="",$Q284=""),"ระบุ Severity + Impact",IFERROR(INDEX({"Urgent","Urgent","High","High";"Urgent","High","High","Medium";"High","High","Medium","Medium";"Medium","Medium","Low","Low"},MATCH($P284,{"Critical","High","Medium","Low"},0),MATCH($Q284,{"Extensive","Significant","Moderate","Minor"},0)),"-")))</f>
        <v/>
      </c>
      <c r="S284" s="30"/>
      <c r="T284" s="30"/>
      <c r="W284" s="32" t="str">
        <f>IF($A284="","",IF(OR($M284="Out of Scope",$M284="Canceled"),"Out of Scope",IF($M284="Blocked","Blocked",IF(AND($T284&lt;&gt;"Fixed – Retest Passed",OR(LEN(TRIM($O284))&gt;0,LEN(TRIM($P284))&gt;0)),IF(AND(OR($L284="Medium",$L284="Low"),SUMPRODUCT((Cards!$A$4:$A$1000&lt;&gt;"")*ISNUMBER(SEARCH($A284,Cards!$E$4:$E$1000))*(Cards!$F$4:$F$1000&lt;&gt;"Medium")*(Cards!$F$4:$F$1000&lt;&gt;"Low"))=0),"Conditionally Passed","Failed"),IF($M284="Done","Passed","Not Run")))))</f>
        <v/>
      </c>
      <c r="Y284" s="27" t="str" cm="1">
        <f t="array" ref="Y284">IF($A284="","",IF(TRIM($B284)="","-",IFERROR(_xlfn.TEXTJOIN(" / ",TRUE,_xlfn.UNIQUE(_xlfn._xlws.FILTER('Ownership Matrix'!$C$5:$C$200,('Ownership Matrix'!$A$5:$A$200=TRIM($B284))*('Ownership Matrix'!$C$5:$C$200&lt;&gt;"")))),"ไม่พบใน Ownership Matrix")))</f>
        <v/>
      </c>
      <c r="Z284" s="31" t="str">
        <f>IF(NOT(AND($A284&lt;&gt;"",$M284&lt;&gt;"Out of Scope",$M284&lt;&gt;"Canceled",$T284&lt;&gt;"Fixed – Retest Passed",OR(LEN(TRIM($O284))&gt;0,LEN(TRIM($P284))&gt;0))),"",IF(OR($W284="Failed",$R284="Urgent",$R284="High",$R284="ระบุ Severity + Impact"),IF(COUNTIFS(Dashboard!$B$105:$B$124,$O284,Dashboard!$I$105:$I$124,"CAB")&gt;0,"Accepted (CF)","Blocking"),"Deferrable"))</f>
        <v/>
      </c>
    </row>
    <row r="285" spans="7:26" x14ac:dyDescent="0.3">
      <c r="G285" s="27" t="str" cm="1">
        <f t="array" ref="G285">IF($A285="","",IFERROR(_xlfn.TEXTJOIN(CHAR(10)&amp;CHAR(10),TRUE,_xlfn._xlws.FILTER("•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"&amp;Cards!$L$4:$L$1000),(Cards!$A$4:$A$1000&lt;&gt;"")*ISNUMBER(SEARCH($A285,Cards!$E$4:$E$1000)))),"-"))</f>
        <v/>
      </c>
      <c r="Q285" s="30"/>
      <c r="R285" s="27" t="str">
        <f>IF(OR($A285="",LEN(TRIM($O285))=0),"",IF(OR($P285="",$Q285=""),"ระบุ Severity + Impact",IFERROR(INDEX({"Urgent","Urgent","High","High";"Urgent","High","High","Medium";"High","High","Medium","Medium";"Medium","Medium","Low","Low"},MATCH($P285,{"Critical","High","Medium","Low"},0),MATCH($Q285,{"Extensive","Significant","Moderate","Minor"},0)),"-")))</f>
        <v/>
      </c>
      <c r="S285" s="30"/>
      <c r="T285" s="30"/>
      <c r="W285" s="32" t="str">
        <f>IF($A285="","",IF(OR($M285="Out of Scope",$M285="Canceled"),"Out of Scope",IF($M285="Blocked","Blocked",IF(AND($T285&lt;&gt;"Fixed – Retest Passed",OR(LEN(TRIM($O285))&gt;0,LEN(TRIM($P285))&gt;0)),IF(AND(OR($L285="Medium",$L285="Low"),SUMPRODUCT((Cards!$A$4:$A$1000&lt;&gt;"")*ISNUMBER(SEARCH($A285,Cards!$E$4:$E$1000))*(Cards!$F$4:$F$1000&lt;&gt;"Medium")*(Cards!$F$4:$F$1000&lt;&gt;"Low"))=0),"Conditionally Passed","Failed"),IF($M285="Done","Passed","Not Run")))))</f>
        <v/>
      </c>
      <c r="Y285" s="27" t="str" cm="1">
        <f t="array" ref="Y285">IF($A285="","",IF(TRIM($B285)="","-",IFERROR(_xlfn.TEXTJOIN(" / ",TRUE,_xlfn.UNIQUE(_xlfn._xlws.FILTER('Ownership Matrix'!$C$5:$C$200,('Ownership Matrix'!$A$5:$A$200=TRIM($B285))*('Ownership Matrix'!$C$5:$C$200&lt;&gt;"")))),"ไม่พบใน Ownership Matrix")))</f>
        <v/>
      </c>
      <c r="Z285" s="31" t="str">
        <f>IF(NOT(AND($A285&lt;&gt;"",$M285&lt;&gt;"Out of Scope",$M285&lt;&gt;"Canceled",$T285&lt;&gt;"Fixed – Retest Passed",OR(LEN(TRIM($O285))&gt;0,LEN(TRIM($P285))&gt;0))),"",IF(OR($W285="Failed",$R285="Urgent",$R285="High",$R285="ระบุ Severity + Impact"),IF(COUNTIFS(Dashboard!$B$105:$B$124,$O285,Dashboard!$I$105:$I$124,"CAB")&gt;0,"Accepted (CF)","Blocking"),"Deferrable"))</f>
        <v/>
      </c>
    </row>
    <row r="286" spans="7:26" x14ac:dyDescent="0.3">
      <c r="G286" s="27" t="str" cm="1">
        <f t="array" ref="G286">IF($A286="","",IFERROR(_xlfn.TEXTJOIN(CHAR(10)&amp;CHAR(10),TRUE,_xlfn._xlws.FILTER("•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"&amp;Cards!$L$4:$L$1000),(Cards!$A$4:$A$1000&lt;&gt;"")*ISNUMBER(SEARCH($A286,Cards!$E$4:$E$1000)))),"-"))</f>
        <v/>
      </c>
      <c r="Q286" s="30"/>
      <c r="R286" s="27" t="str">
        <f>IF(OR($A286="",LEN(TRIM($O286))=0),"",IF(OR($P286="",$Q286=""),"ระบุ Severity + Impact",IFERROR(INDEX({"Urgent","Urgent","High","High";"Urgent","High","High","Medium";"High","High","Medium","Medium";"Medium","Medium","Low","Low"},MATCH($P286,{"Critical","High","Medium","Low"},0),MATCH($Q286,{"Extensive","Significant","Moderate","Minor"},0)),"-")))</f>
        <v/>
      </c>
      <c r="S286" s="30"/>
      <c r="T286" s="30"/>
      <c r="W286" s="32" t="str">
        <f>IF($A286="","",IF(OR($M286="Out of Scope",$M286="Canceled"),"Out of Scope",IF($M286="Blocked","Blocked",IF(AND($T286&lt;&gt;"Fixed – Retest Passed",OR(LEN(TRIM($O286))&gt;0,LEN(TRIM($P286))&gt;0)),IF(AND(OR($L286="Medium",$L286="Low"),SUMPRODUCT((Cards!$A$4:$A$1000&lt;&gt;"")*ISNUMBER(SEARCH($A286,Cards!$E$4:$E$1000))*(Cards!$F$4:$F$1000&lt;&gt;"Medium")*(Cards!$F$4:$F$1000&lt;&gt;"Low"))=0),"Conditionally Passed","Failed"),IF($M286="Done","Passed","Not Run")))))</f>
        <v/>
      </c>
      <c r="Y286" s="27" t="str" cm="1">
        <f t="array" ref="Y286">IF($A286="","",IF(TRIM($B286)="","-",IFERROR(_xlfn.TEXTJOIN(" / ",TRUE,_xlfn.UNIQUE(_xlfn._xlws.FILTER('Ownership Matrix'!$C$5:$C$200,('Ownership Matrix'!$A$5:$A$200=TRIM($B286))*('Ownership Matrix'!$C$5:$C$200&lt;&gt;"")))),"ไม่พบใน Ownership Matrix")))</f>
        <v/>
      </c>
      <c r="Z286" s="31" t="str">
        <f>IF(NOT(AND($A286&lt;&gt;"",$M286&lt;&gt;"Out of Scope",$M286&lt;&gt;"Canceled",$T286&lt;&gt;"Fixed – Retest Passed",OR(LEN(TRIM($O286))&gt;0,LEN(TRIM($P286))&gt;0))),"",IF(OR($W286="Failed",$R286="Urgent",$R286="High",$R286="ระบุ Severity + Impact"),IF(COUNTIFS(Dashboard!$B$105:$B$124,$O286,Dashboard!$I$105:$I$124,"CAB")&gt;0,"Accepted (CF)","Blocking"),"Deferrable"))</f>
        <v/>
      </c>
    </row>
    <row r="287" spans="7:26" x14ac:dyDescent="0.3">
      <c r="G287" s="27" t="str" cm="1">
        <f t="array" ref="G287">IF($A287="","",IFERROR(_xlfn.TEXTJOIN(CHAR(10)&amp;CHAR(10),TRUE,_xlfn._xlws.FILTER("•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"&amp;Cards!$L$4:$L$1000),(Cards!$A$4:$A$1000&lt;&gt;"")*ISNUMBER(SEARCH($A287,Cards!$E$4:$E$1000)))),"-"))</f>
        <v/>
      </c>
      <c r="Q287" s="30"/>
      <c r="R287" s="27" t="str">
        <f>IF(OR($A287="",LEN(TRIM($O287))=0),"",IF(OR($P287="",$Q287=""),"ระบุ Severity + Impact",IFERROR(INDEX({"Urgent","Urgent","High","High";"Urgent","High","High","Medium";"High","High","Medium","Medium";"Medium","Medium","Low","Low"},MATCH($P287,{"Critical","High","Medium","Low"},0),MATCH($Q287,{"Extensive","Significant","Moderate","Minor"},0)),"-")))</f>
        <v/>
      </c>
      <c r="S287" s="30"/>
      <c r="T287" s="30"/>
      <c r="W287" s="32" t="str">
        <f>IF($A287="","",IF(OR($M287="Out of Scope",$M287="Canceled"),"Out of Scope",IF($M287="Blocked","Blocked",IF(AND($T287&lt;&gt;"Fixed – Retest Passed",OR(LEN(TRIM($O287))&gt;0,LEN(TRIM($P287))&gt;0)),IF(AND(OR($L287="Medium",$L287="Low"),SUMPRODUCT((Cards!$A$4:$A$1000&lt;&gt;"")*ISNUMBER(SEARCH($A287,Cards!$E$4:$E$1000))*(Cards!$F$4:$F$1000&lt;&gt;"Medium")*(Cards!$F$4:$F$1000&lt;&gt;"Low"))=0),"Conditionally Passed","Failed"),IF($M287="Done","Passed","Not Run")))))</f>
        <v/>
      </c>
      <c r="Y287" s="27" t="str" cm="1">
        <f t="array" ref="Y287">IF($A287="","",IF(TRIM($B287)="","-",IFERROR(_xlfn.TEXTJOIN(" / ",TRUE,_xlfn.UNIQUE(_xlfn._xlws.FILTER('Ownership Matrix'!$C$5:$C$200,('Ownership Matrix'!$A$5:$A$200=TRIM($B287))*('Ownership Matrix'!$C$5:$C$200&lt;&gt;"")))),"ไม่พบใน Ownership Matrix")))</f>
        <v/>
      </c>
      <c r="Z287" s="31" t="str">
        <f>IF(NOT(AND($A287&lt;&gt;"",$M287&lt;&gt;"Out of Scope",$M287&lt;&gt;"Canceled",$T287&lt;&gt;"Fixed – Retest Passed",OR(LEN(TRIM($O287))&gt;0,LEN(TRIM($P287))&gt;0))),"",IF(OR($W287="Failed",$R287="Urgent",$R287="High",$R287="ระบุ Severity + Impact"),IF(COUNTIFS(Dashboard!$B$105:$B$124,$O287,Dashboard!$I$105:$I$124,"CAB")&gt;0,"Accepted (CF)","Blocking"),"Deferrable"))</f>
        <v/>
      </c>
    </row>
    <row r="288" spans="7:26" x14ac:dyDescent="0.3">
      <c r="G288" s="27" t="str" cm="1">
        <f t="array" ref="G288">IF($A288="","",IFERROR(_xlfn.TEXTJOIN(CHAR(10)&amp;CHAR(10),TRUE,_xlfn._xlws.FILTER("•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"&amp;Cards!$L$4:$L$1000),(Cards!$A$4:$A$1000&lt;&gt;"")*ISNUMBER(SEARCH($A288,Cards!$E$4:$E$1000)))),"-"))</f>
        <v/>
      </c>
      <c r="Q288" s="30"/>
      <c r="R288" s="27" t="str">
        <f>IF(OR($A288="",LEN(TRIM($O288))=0),"",IF(OR($P288="",$Q288=""),"ระบุ Severity + Impact",IFERROR(INDEX({"Urgent","Urgent","High","High";"Urgent","High","High","Medium";"High","High","Medium","Medium";"Medium","Medium","Low","Low"},MATCH($P288,{"Critical","High","Medium","Low"},0),MATCH($Q288,{"Extensive","Significant","Moderate","Minor"},0)),"-")))</f>
        <v/>
      </c>
      <c r="S288" s="30"/>
      <c r="T288" s="30"/>
      <c r="W288" s="32" t="str">
        <f>IF($A288="","",IF(OR($M288="Out of Scope",$M288="Canceled"),"Out of Scope",IF($M288="Blocked","Blocked",IF(AND($T288&lt;&gt;"Fixed – Retest Passed",OR(LEN(TRIM($O288))&gt;0,LEN(TRIM($P288))&gt;0)),IF(AND(OR($L288="Medium",$L288="Low"),SUMPRODUCT((Cards!$A$4:$A$1000&lt;&gt;"")*ISNUMBER(SEARCH($A288,Cards!$E$4:$E$1000))*(Cards!$F$4:$F$1000&lt;&gt;"Medium")*(Cards!$F$4:$F$1000&lt;&gt;"Low"))=0),"Conditionally Passed","Failed"),IF($M288="Done","Passed","Not Run")))))</f>
        <v/>
      </c>
      <c r="Y288" s="27" t="str" cm="1">
        <f t="array" ref="Y288">IF($A288="","",IF(TRIM($B288)="","-",IFERROR(_xlfn.TEXTJOIN(" / ",TRUE,_xlfn.UNIQUE(_xlfn._xlws.FILTER('Ownership Matrix'!$C$5:$C$200,('Ownership Matrix'!$A$5:$A$200=TRIM($B288))*('Ownership Matrix'!$C$5:$C$200&lt;&gt;"")))),"ไม่พบใน Ownership Matrix")))</f>
        <v/>
      </c>
      <c r="Z288" s="31" t="str">
        <f>IF(NOT(AND($A288&lt;&gt;"",$M288&lt;&gt;"Out of Scope",$M288&lt;&gt;"Canceled",$T288&lt;&gt;"Fixed – Retest Passed",OR(LEN(TRIM($O288))&gt;0,LEN(TRIM($P288))&gt;0))),"",IF(OR($W288="Failed",$R288="Urgent",$R288="High",$R288="ระบุ Severity + Impact"),IF(COUNTIFS(Dashboard!$B$105:$B$124,$O288,Dashboard!$I$105:$I$124,"CAB")&gt;0,"Accepted (CF)","Blocking"),"Deferrable"))</f>
        <v/>
      </c>
    </row>
    <row r="289" spans="7:26" x14ac:dyDescent="0.3">
      <c r="G289" s="27" t="str" cm="1">
        <f t="array" ref="G289">IF($A289="","",IFERROR(_xlfn.TEXTJOIN(CHAR(10)&amp;CHAR(10),TRUE,_xlfn._xlws.FILTER("•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"&amp;Cards!$L$4:$L$1000),(Cards!$A$4:$A$1000&lt;&gt;"")*ISNUMBER(SEARCH($A289,Cards!$E$4:$E$1000)))),"-"))</f>
        <v/>
      </c>
      <c r="Q289" s="30"/>
      <c r="R289" s="27" t="str">
        <f>IF(OR($A289="",LEN(TRIM($O289))=0),"",IF(OR($P289="",$Q289=""),"ระบุ Severity + Impact",IFERROR(INDEX({"Urgent","Urgent","High","High";"Urgent","High","High","Medium";"High","High","Medium","Medium";"Medium","Medium","Low","Low"},MATCH($P289,{"Critical","High","Medium","Low"},0),MATCH($Q289,{"Extensive","Significant","Moderate","Minor"},0)),"-")))</f>
        <v/>
      </c>
      <c r="S289" s="30"/>
      <c r="T289" s="30"/>
      <c r="W289" s="32" t="str">
        <f>IF($A289="","",IF(OR($M289="Out of Scope",$M289="Canceled"),"Out of Scope",IF($M289="Blocked","Blocked",IF(AND($T289&lt;&gt;"Fixed – Retest Passed",OR(LEN(TRIM($O289))&gt;0,LEN(TRIM($P289))&gt;0)),IF(AND(OR($L289="Medium",$L289="Low"),SUMPRODUCT((Cards!$A$4:$A$1000&lt;&gt;"")*ISNUMBER(SEARCH($A289,Cards!$E$4:$E$1000))*(Cards!$F$4:$F$1000&lt;&gt;"Medium")*(Cards!$F$4:$F$1000&lt;&gt;"Low"))=0),"Conditionally Passed","Failed"),IF($M289="Done","Passed","Not Run")))))</f>
        <v/>
      </c>
      <c r="Y289" s="27" t="str" cm="1">
        <f t="array" ref="Y289">IF($A289="","",IF(TRIM($B289)="","-",IFERROR(_xlfn.TEXTJOIN(" / ",TRUE,_xlfn.UNIQUE(_xlfn._xlws.FILTER('Ownership Matrix'!$C$5:$C$200,('Ownership Matrix'!$A$5:$A$200=TRIM($B289))*('Ownership Matrix'!$C$5:$C$200&lt;&gt;"")))),"ไม่พบใน Ownership Matrix")))</f>
        <v/>
      </c>
      <c r="Z289" s="31" t="str">
        <f>IF(NOT(AND($A289&lt;&gt;"",$M289&lt;&gt;"Out of Scope",$M289&lt;&gt;"Canceled",$T289&lt;&gt;"Fixed – Retest Passed",OR(LEN(TRIM($O289))&gt;0,LEN(TRIM($P289))&gt;0))),"",IF(OR($W289="Failed",$R289="Urgent",$R289="High",$R289="ระบุ Severity + Impact"),IF(COUNTIFS(Dashboard!$B$105:$B$124,$O289,Dashboard!$I$105:$I$124,"CAB")&gt;0,"Accepted (CF)","Blocking"),"Deferrable"))</f>
        <v/>
      </c>
    </row>
    <row r="290" spans="7:26" x14ac:dyDescent="0.3">
      <c r="G290" s="27" t="str" cm="1">
        <f t="array" ref="G290">IF($A290="","",IFERROR(_xlfn.TEXTJOIN(CHAR(10)&amp;CHAR(10),TRUE,_xlfn._xlws.FILTER("•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"&amp;Cards!$L$4:$L$1000),(Cards!$A$4:$A$1000&lt;&gt;"")*ISNUMBER(SEARCH($A290,Cards!$E$4:$E$1000)))),"-"))</f>
        <v/>
      </c>
      <c r="Q290" s="30"/>
      <c r="R290" s="27" t="str">
        <f>IF(OR($A290="",LEN(TRIM($O290))=0),"",IF(OR($P290="",$Q290=""),"ระบุ Severity + Impact",IFERROR(INDEX({"Urgent","Urgent","High","High";"Urgent","High","High","Medium";"High","High","Medium","Medium";"Medium","Medium","Low","Low"},MATCH($P290,{"Critical","High","Medium","Low"},0),MATCH($Q290,{"Extensive","Significant","Moderate","Minor"},0)),"-")))</f>
        <v/>
      </c>
      <c r="S290" s="30"/>
      <c r="T290" s="30"/>
      <c r="W290" s="32" t="str">
        <f>IF($A290="","",IF(OR($M290="Out of Scope",$M290="Canceled"),"Out of Scope",IF($M290="Blocked","Blocked",IF(AND($T290&lt;&gt;"Fixed – Retest Passed",OR(LEN(TRIM($O290))&gt;0,LEN(TRIM($P290))&gt;0)),IF(AND(OR($L290="Medium",$L290="Low"),SUMPRODUCT((Cards!$A$4:$A$1000&lt;&gt;"")*ISNUMBER(SEARCH($A290,Cards!$E$4:$E$1000))*(Cards!$F$4:$F$1000&lt;&gt;"Medium")*(Cards!$F$4:$F$1000&lt;&gt;"Low"))=0),"Conditionally Passed","Failed"),IF($M290="Done","Passed","Not Run")))))</f>
        <v/>
      </c>
      <c r="Y290" s="27" t="str" cm="1">
        <f t="array" ref="Y290">IF($A290="","",IF(TRIM($B290)="","-",IFERROR(_xlfn.TEXTJOIN(" / ",TRUE,_xlfn.UNIQUE(_xlfn._xlws.FILTER('Ownership Matrix'!$C$5:$C$200,('Ownership Matrix'!$A$5:$A$200=TRIM($B290))*('Ownership Matrix'!$C$5:$C$200&lt;&gt;"")))),"ไม่พบใน Ownership Matrix")))</f>
        <v/>
      </c>
      <c r="Z290" s="31" t="str">
        <f>IF(NOT(AND($A290&lt;&gt;"",$M290&lt;&gt;"Out of Scope",$M290&lt;&gt;"Canceled",$T290&lt;&gt;"Fixed – Retest Passed",OR(LEN(TRIM($O290))&gt;0,LEN(TRIM($P290))&gt;0))),"",IF(OR($W290="Failed",$R290="Urgent",$R290="High",$R290="ระบุ Severity + Impact"),IF(COUNTIFS(Dashboard!$B$105:$B$124,$O290,Dashboard!$I$105:$I$124,"CAB")&gt;0,"Accepted (CF)","Blocking"),"Deferrable"))</f>
        <v/>
      </c>
    </row>
    <row r="291" spans="7:26" x14ac:dyDescent="0.3">
      <c r="G291" s="27" t="str" cm="1">
        <f t="array" ref="G291">IF($A291="","",IFERROR(_xlfn.TEXTJOIN(CHAR(10)&amp;CHAR(10),TRUE,_xlfn._xlws.FILTER("•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"&amp;Cards!$L$4:$L$1000),(Cards!$A$4:$A$1000&lt;&gt;"")*ISNUMBER(SEARCH($A291,Cards!$E$4:$E$1000)))),"-"))</f>
        <v/>
      </c>
      <c r="Q291" s="30"/>
      <c r="R291" s="27" t="str">
        <f>IF(OR($A291="",LEN(TRIM($O291))=0),"",IF(OR($P291="",$Q291=""),"ระบุ Severity + Impact",IFERROR(INDEX({"Urgent","Urgent","High","High";"Urgent","High","High","Medium";"High","High","Medium","Medium";"Medium","Medium","Low","Low"},MATCH($P291,{"Critical","High","Medium","Low"},0),MATCH($Q291,{"Extensive","Significant","Moderate","Minor"},0)),"-")))</f>
        <v/>
      </c>
      <c r="S291" s="30"/>
      <c r="T291" s="30"/>
      <c r="W291" s="32" t="str">
        <f>IF($A291="","",IF(OR($M291="Out of Scope",$M291="Canceled"),"Out of Scope",IF($M291="Blocked","Blocked",IF(AND($T291&lt;&gt;"Fixed – Retest Passed",OR(LEN(TRIM($O291))&gt;0,LEN(TRIM($P291))&gt;0)),IF(AND(OR($L291="Medium",$L291="Low"),SUMPRODUCT((Cards!$A$4:$A$1000&lt;&gt;"")*ISNUMBER(SEARCH($A291,Cards!$E$4:$E$1000))*(Cards!$F$4:$F$1000&lt;&gt;"Medium")*(Cards!$F$4:$F$1000&lt;&gt;"Low"))=0),"Conditionally Passed","Failed"),IF($M291="Done","Passed","Not Run")))))</f>
        <v/>
      </c>
      <c r="Y291" s="27" t="str" cm="1">
        <f t="array" ref="Y291">IF($A291="","",IF(TRIM($B291)="","-",IFERROR(_xlfn.TEXTJOIN(" / ",TRUE,_xlfn.UNIQUE(_xlfn._xlws.FILTER('Ownership Matrix'!$C$5:$C$200,('Ownership Matrix'!$A$5:$A$200=TRIM($B291))*('Ownership Matrix'!$C$5:$C$200&lt;&gt;"")))),"ไม่พบใน Ownership Matrix")))</f>
        <v/>
      </c>
      <c r="Z291" s="31" t="str">
        <f>IF(NOT(AND($A291&lt;&gt;"",$M291&lt;&gt;"Out of Scope",$M291&lt;&gt;"Canceled",$T291&lt;&gt;"Fixed – Retest Passed",OR(LEN(TRIM($O291))&gt;0,LEN(TRIM($P291))&gt;0))),"",IF(OR($W291="Failed",$R291="Urgent",$R291="High",$R291="ระบุ Severity + Impact"),IF(COUNTIFS(Dashboard!$B$105:$B$124,$O291,Dashboard!$I$105:$I$124,"CAB")&gt;0,"Accepted (CF)","Blocking"),"Deferrable"))</f>
        <v/>
      </c>
    </row>
    <row r="292" spans="7:26" x14ac:dyDescent="0.3">
      <c r="G292" s="27" t="str" cm="1">
        <f t="array" ref="G292">IF($A292="","",IFERROR(_xlfn.TEXTJOIN(CHAR(10)&amp;CHAR(10),TRUE,_xlfn._xlws.FILTER("•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"&amp;Cards!$L$4:$L$1000),(Cards!$A$4:$A$1000&lt;&gt;"")*ISNUMBER(SEARCH($A292,Cards!$E$4:$E$1000)))),"-"))</f>
        <v/>
      </c>
      <c r="Q292" s="30"/>
      <c r="R292" s="27" t="str">
        <f>IF(OR($A292="",LEN(TRIM($O292))=0),"",IF(OR($P292="",$Q292=""),"ระบุ Severity + Impact",IFERROR(INDEX({"Urgent","Urgent","High","High";"Urgent","High","High","Medium";"High","High","Medium","Medium";"Medium","Medium","Low","Low"},MATCH($P292,{"Critical","High","Medium","Low"},0),MATCH($Q292,{"Extensive","Significant","Moderate","Minor"},0)),"-")))</f>
        <v/>
      </c>
      <c r="S292" s="30"/>
      <c r="T292" s="30"/>
      <c r="W292" s="32" t="str">
        <f>IF($A292="","",IF(OR($M292="Out of Scope",$M292="Canceled"),"Out of Scope",IF($M292="Blocked","Blocked",IF(AND($T292&lt;&gt;"Fixed – Retest Passed",OR(LEN(TRIM($O292))&gt;0,LEN(TRIM($P292))&gt;0)),IF(AND(OR($L292="Medium",$L292="Low"),SUMPRODUCT((Cards!$A$4:$A$1000&lt;&gt;"")*ISNUMBER(SEARCH($A292,Cards!$E$4:$E$1000))*(Cards!$F$4:$F$1000&lt;&gt;"Medium")*(Cards!$F$4:$F$1000&lt;&gt;"Low"))=0),"Conditionally Passed","Failed"),IF($M292="Done","Passed","Not Run")))))</f>
        <v/>
      </c>
      <c r="Y292" s="27" t="str" cm="1">
        <f t="array" ref="Y292">IF($A292="","",IF(TRIM($B292)="","-",IFERROR(_xlfn.TEXTJOIN(" / ",TRUE,_xlfn.UNIQUE(_xlfn._xlws.FILTER('Ownership Matrix'!$C$5:$C$200,('Ownership Matrix'!$A$5:$A$200=TRIM($B292))*('Ownership Matrix'!$C$5:$C$200&lt;&gt;"")))),"ไม่พบใน Ownership Matrix")))</f>
        <v/>
      </c>
      <c r="Z292" s="31" t="str">
        <f>IF(NOT(AND($A292&lt;&gt;"",$M292&lt;&gt;"Out of Scope",$M292&lt;&gt;"Canceled",$T292&lt;&gt;"Fixed – Retest Passed",OR(LEN(TRIM($O292))&gt;0,LEN(TRIM($P292))&gt;0))),"",IF(OR($W292="Failed",$R292="Urgent",$R292="High",$R292="ระบุ Severity + Impact"),IF(COUNTIFS(Dashboard!$B$105:$B$124,$O292,Dashboard!$I$105:$I$124,"CAB")&gt;0,"Accepted (CF)","Blocking"),"Deferrable"))</f>
        <v/>
      </c>
    </row>
    <row r="293" spans="7:26" x14ac:dyDescent="0.3">
      <c r="G293" s="27" t="str" cm="1">
        <f t="array" ref="G293">IF($A293="","",IFERROR(_xlfn.TEXTJOIN(CHAR(10)&amp;CHAR(10),TRUE,_xlfn._xlws.FILTER("•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"&amp;Cards!$L$4:$L$1000),(Cards!$A$4:$A$1000&lt;&gt;"")*ISNUMBER(SEARCH($A293,Cards!$E$4:$E$1000)))),"-"))</f>
        <v/>
      </c>
      <c r="Q293" s="30"/>
      <c r="R293" s="27" t="str">
        <f>IF(OR($A293="",LEN(TRIM($O293))=0),"",IF(OR($P293="",$Q293=""),"ระบุ Severity + Impact",IFERROR(INDEX({"Urgent","Urgent","High","High";"Urgent","High","High","Medium";"High","High","Medium","Medium";"Medium","Medium","Low","Low"},MATCH($P293,{"Critical","High","Medium","Low"},0),MATCH($Q293,{"Extensive","Significant","Moderate","Minor"},0)),"-")))</f>
        <v/>
      </c>
      <c r="S293" s="30"/>
      <c r="T293" s="30"/>
      <c r="W293" s="32" t="str">
        <f>IF($A293="","",IF(OR($M293="Out of Scope",$M293="Canceled"),"Out of Scope",IF($M293="Blocked","Blocked",IF(AND($T293&lt;&gt;"Fixed – Retest Passed",OR(LEN(TRIM($O293))&gt;0,LEN(TRIM($P293))&gt;0)),IF(AND(OR($L293="Medium",$L293="Low"),SUMPRODUCT((Cards!$A$4:$A$1000&lt;&gt;"")*ISNUMBER(SEARCH($A293,Cards!$E$4:$E$1000))*(Cards!$F$4:$F$1000&lt;&gt;"Medium")*(Cards!$F$4:$F$1000&lt;&gt;"Low"))=0),"Conditionally Passed","Failed"),IF($M293="Done","Passed","Not Run")))))</f>
        <v/>
      </c>
      <c r="Y293" s="27" t="str" cm="1">
        <f t="array" ref="Y293">IF($A293="","",IF(TRIM($B293)="","-",IFERROR(_xlfn.TEXTJOIN(" / ",TRUE,_xlfn.UNIQUE(_xlfn._xlws.FILTER('Ownership Matrix'!$C$5:$C$200,('Ownership Matrix'!$A$5:$A$200=TRIM($B293))*('Ownership Matrix'!$C$5:$C$200&lt;&gt;"")))),"ไม่พบใน Ownership Matrix")))</f>
        <v/>
      </c>
      <c r="Z293" s="31" t="str">
        <f>IF(NOT(AND($A293&lt;&gt;"",$M293&lt;&gt;"Out of Scope",$M293&lt;&gt;"Canceled",$T293&lt;&gt;"Fixed – Retest Passed",OR(LEN(TRIM($O293))&gt;0,LEN(TRIM($P293))&gt;0))),"",IF(OR($W293="Failed",$R293="Urgent",$R293="High",$R293="ระบุ Severity + Impact"),IF(COUNTIFS(Dashboard!$B$105:$B$124,$O293,Dashboard!$I$105:$I$124,"CAB")&gt;0,"Accepted (CF)","Blocking"),"Deferrable"))</f>
        <v/>
      </c>
    </row>
    <row r="294" spans="7:26" x14ac:dyDescent="0.3">
      <c r="G294" s="27" t="str" cm="1">
        <f t="array" ref="G294">IF($A294="","",IFERROR(_xlfn.TEXTJOIN(CHAR(10)&amp;CHAR(10),TRUE,_xlfn._xlws.FILTER("•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"&amp;Cards!$L$4:$L$1000),(Cards!$A$4:$A$1000&lt;&gt;"")*ISNUMBER(SEARCH($A294,Cards!$E$4:$E$1000)))),"-"))</f>
        <v/>
      </c>
      <c r="Q294" s="30"/>
      <c r="R294" s="27" t="str">
        <f>IF(OR($A294="",LEN(TRIM($O294))=0),"",IF(OR($P294="",$Q294=""),"ระบุ Severity + Impact",IFERROR(INDEX({"Urgent","Urgent","High","High";"Urgent","High","High","Medium";"High","High","Medium","Medium";"Medium","Medium","Low","Low"},MATCH($P294,{"Critical","High","Medium","Low"},0),MATCH($Q294,{"Extensive","Significant","Moderate","Minor"},0)),"-")))</f>
        <v/>
      </c>
      <c r="S294" s="30"/>
      <c r="T294" s="30"/>
      <c r="W294" s="32" t="str">
        <f>IF($A294="","",IF(OR($M294="Out of Scope",$M294="Canceled"),"Out of Scope",IF($M294="Blocked","Blocked",IF(AND($T294&lt;&gt;"Fixed – Retest Passed",OR(LEN(TRIM($O294))&gt;0,LEN(TRIM($P294))&gt;0)),IF(AND(OR($L294="Medium",$L294="Low"),SUMPRODUCT((Cards!$A$4:$A$1000&lt;&gt;"")*ISNUMBER(SEARCH($A294,Cards!$E$4:$E$1000))*(Cards!$F$4:$F$1000&lt;&gt;"Medium")*(Cards!$F$4:$F$1000&lt;&gt;"Low"))=0),"Conditionally Passed","Failed"),IF($M294="Done","Passed","Not Run")))))</f>
        <v/>
      </c>
      <c r="Y294" s="27" t="str" cm="1">
        <f t="array" ref="Y294">IF($A294="","",IF(TRIM($B294)="","-",IFERROR(_xlfn.TEXTJOIN(" / ",TRUE,_xlfn.UNIQUE(_xlfn._xlws.FILTER('Ownership Matrix'!$C$5:$C$200,('Ownership Matrix'!$A$5:$A$200=TRIM($B294))*('Ownership Matrix'!$C$5:$C$200&lt;&gt;"")))),"ไม่พบใน Ownership Matrix")))</f>
        <v/>
      </c>
      <c r="Z294" s="31" t="str">
        <f>IF(NOT(AND($A294&lt;&gt;"",$M294&lt;&gt;"Out of Scope",$M294&lt;&gt;"Canceled",$T294&lt;&gt;"Fixed – Retest Passed",OR(LEN(TRIM($O294))&gt;0,LEN(TRIM($P294))&gt;0))),"",IF(OR($W294="Failed",$R294="Urgent",$R294="High",$R294="ระบุ Severity + Impact"),IF(COUNTIFS(Dashboard!$B$105:$B$124,$O294,Dashboard!$I$105:$I$124,"CAB")&gt;0,"Accepted (CF)","Blocking"),"Deferrable"))</f>
        <v/>
      </c>
    </row>
    <row r="295" spans="7:26" x14ac:dyDescent="0.3">
      <c r="G295" s="27" t="str" cm="1">
        <f t="array" ref="G295">IF($A295="","",IFERROR(_xlfn.TEXTJOIN(CHAR(10)&amp;CHAR(10),TRUE,_xlfn._xlws.FILTER("•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"&amp;Cards!$L$4:$L$1000),(Cards!$A$4:$A$1000&lt;&gt;"")*ISNUMBER(SEARCH($A295,Cards!$E$4:$E$1000)))),"-"))</f>
        <v/>
      </c>
      <c r="Q295" s="30"/>
      <c r="R295" s="27" t="str">
        <f>IF(OR($A295="",LEN(TRIM($O295))=0),"",IF(OR($P295="",$Q295=""),"ระบุ Severity + Impact",IFERROR(INDEX({"Urgent","Urgent","High","High";"Urgent","High","High","Medium";"High","High","Medium","Medium";"Medium","Medium","Low","Low"},MATCH($P295,{"Critical","High","Medium","Low"},0),MATCH($Q295,{"Extensive","Significant","Moderate","Minor"},0)),"-")))</f>
        <v/>
      </c>
      <c r="S295" s="30"/>
      <c r="T295" s="30"/>
      <c r="W295" s="32" t="str">
        <f>IF($A295="","",IF(OR($M295="Out of Scope",$M295="Canceled"),"Out of Scope",IF($M295="Blocked","Blocked",IF(AND($T295&lt;&gt;"Fixed – Retest Passed",OR(LEN(TRIM($O295))&gt;0,LEN(TRIM($P295))&gt;0)),IF(AND(OR($L295="Medium",$L295="Low"),SUMPRODUCT((Cards!$A$4:$A$1000&lt;&gt;"")*ISNUMBER(SEARCH($A295,Cards!$E$4:$E$1000))*(Cards!$F$4:$F$1000&lt;&gt;"Medium")*(Cards!$F$4:$F$1000&lt;&gt;"Low"))=0),"Conditionally Passed","Failed"),IF($M295="Done","Passed","Not Run")))))</f>
        <v/>
      </c>
      <c r="Y295" s="27" t="str" cm="1">
        <f t="array" ref="Y295">IF($A295="","",IF(TRIM($B295)="","-",IFERROR(_xlfn.TEXTJOIN(" / ",TRUE,_xlfn.UNIQUE(_xlfn._xlws.FILTER('Ownership Matrix'!$C$5:$C$200,('Ownership Matrix'!$A$5:$A$200=TRIM($B295))*('Ownership Matrix'!$C$5:$C$200&lt;&gt;"")))),"ไม่พบใน Ownership Matrix")))</f>
        <v/>
      </c>
      <c r="Z295" s="31" t="str">
        <f>IF(NOT(AND($A295&lt;&gt;"",$M295&lt;&gt;"Out of Scope",$M295&lt;&gt;"Canceled",$T295&lt;&gt;"Fixed – Retest Passed",OR(LEN(TRIM($O295))&gt;0,LEN(TRIM($P295))&gt;0))),"",IF(OR($W295="Failed",$R295="Urgent",$R295="High",$R295="ระบุ Severity + Impact"),IF(COUNTIFS(Dashboard!$B$105:$B$124,$O295,Dashboard!$I$105:$I$124,"CAB")&gt;0,"Accepted (CF)","Blocking"),"Deferrable"))</f>
        <v/>
      </c>
    </row>
    <row r="296" spans="7:26" x14ac:dyDescent="0.3">
      <c r="G296" s="27" t="str" cm="1">
        <f t="array" ref="G296">IF($A296="","",IFERROR(_xlfn.TEXTJOIN(CHAR(10)&amp;CHAR(10),TRUE,_xlfn._xlws.FILTER("•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"&amp;Cards!$L$4:$L$1000),(Cards!$A$4:$A$1000&lt;&gt;"")*ISNUMBER(SEARCH($A296,Cards!$E$4:$E$1000)))),"-"))</f>
        <v/>
      </c>
      <c r="Q296" s="30"/>
      <c r="R296" s="27" t="str">
        <f>IF(OR($A296="",LEN(TRIM($O296))=0),"",IF(OR($P296="",$Q296=""),"ระบุ Severity + Impact",IFERROR(INDEX({"Urgent","Urgent","High","High";"Urgent","High","High","Medium";"High","High","Medium","Medium";"Medium","Medium","Low","Low"},MATCH($P296,{"Critical","High","Medium","Low"},0),MATCH($Q296,{"Extensive","Significant","Moderate","Minor"},0)),"-")))</f>
        <v/>
      </c>
      <c r="S296" s="30"/>
      <c r="T296" s="30"/>
      <c r="W296" s="32" t="str">
        <f>IF($A296="","",IF(OR($M296="Out of Scope",$M296="Canceled"),"Out of Scope",IF($M296="Blocked","Blocked",IF(AND($T296&lt;&gt;"Fixed – Retest Passed",OR(LEN(TRIM($O296))&gt;0,LEN(TRIM($P296))&gt;0)),IF(AND(OR($L296="Medium",$L296="Low"),SUMPRODUCT((Cards!$A$4:$A$1000&lt;&gt;"")*ISNUMBER(SEARCH($A296,Cards!$E$4:$E$1000))*(Cards!$F$4:$F$1000&lt;&gt;"Medium")*(Cards!$F$4:$F$1000&lt;&gt;"Low"))=0),"Conditionally Passed","Failed"),IF($M296="Done","Passed","Not Run")))))</f>
        <v/>
      </c>
      <c r="Y296" s="27" t="str" cm="1">
        <f t="array" ref="Y296">IF($A296="","",IF(TRIM($B296)="","-",IFERROR(_xlfn.TEXTJOIN(" / ",TRUE,_xlfn.UNIQUE(_xlfn._xlws.FILTER('Ownership Matrix'!$C$5:$C$200,('Ownership Matrix'!$A$5:$A$200=TRIM($B296))*('Ownership Matrix'!$C$5:$C$200&lt;&gt;"")))),"ไม่พบใน Ownership Matrix")))</f>
        <v/>
      </c>
      <c r="Z296" s="31" t="str">
        <f>IF(NOT(AND($A296&lt;&gt;"",$M296&lt;&gt;"Out of Scope",$M296&lt;&gt;"Canceled",$T296&lt;&gt;"Fixed – Retest Passed",OR(LEN(TRIM($O296))&gt;0,LEN(TRIM($P296))&gt;0))),"",IF(OR($W296="Failed",$R296="Urgent",$R296="High",$R296="ระบุ Severity + Impact"),IF(COUNTIFS(Dashboard!$B$105:$B$124,$O296,Dashboard!$I$105:$I$124,"CAB")&gt;0,"Accepted (CF)","Blocking"),"Deferrable"))</f>
        <v/>
      </c>
    </row>
    <row r="297" spans="7:26" x14ac:dyDescent="0.3">
      <c r="G297" s="27" t="str" cm="1">
        <f t="array" ref="G297">IF($A297="","",IFERROR(_xlfn.TEXTJOIN(CHAR(10)&amp;CHAR(10),TRUE,_xlfn._xlws.FILTER("•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"&amp;Cards!$L$4:$L$1000),(Cards!$A$4:$A$1000&lt;&gt;"")*ISNUMBER(SEARCH($A297,Cards!$E$4:$E$1000)))),"-"))</f>
        <v/>
      </c>
      <c r="Q297" s="30"/>
      <c r="R297" s="27" t="str">
        <f>IF(OR($A297="",LEN(TRIM($O297))=0),"",IF(OR($P297="",$Q297=""),"ระบุ Severity + Impact",IFERROR(INDEX({"Urgent","Urgent","High","High";"Urgent","High","High","Medium";"High","High","Medium","Medium";"Medium","Medium","Low","Low"},MATCH($P297,{"Critical","High","Medium","Low"},0),MATCH($Q297,{"Extensive","Significant","Moderate","Minor"},0)),"-")))</f>
        <v/>
      </c>
      <c r="S297" s="30"/>
      <c r="T297" s="30"/>
      <c r="W297" s="32" t="str">
        <f>IF($A297="","",IF(OR($M297="Out of Scope",$M297="Canceled"),"Out of Scope",IF($M297="Blocked","Blocked",IF(AND($T297&lt;&gt;"Fixed – Retest Passed",OR(LEN(TRIM($O297))&gt;0,LEN(TRIM($P297))&gt;0)),IF(AND(OR($L297="Medium",$L297="Low"),SUMPRODUCT((Cards!$A$4:$A$1000&lt;&gt;"")*ISNUMBER(SEARCH($A297,Cards!$E$4:$E$1000))*(Cards!$F$4:$F$1000&lt;&gt;"Medium")*(Cards!$F$4:$F$1000&lt;&gt;"Low"))=0),"Conditionally Passed","Failed"),IF($M297="Done","Passed","Not Run")))))</f>
        <v/>
      </c>
      <c r="Y297" s="27" t="str" cm="1">
        <f t="array" ref="Y297">IF($A297="","",IF(TRIM($B297)="","-",IFERROR(_xlfn.TEXTJOIN(" / ",TRUE,_xlfn.UNIQUE(_xlfn._xlws.FILTER('Ownership Matrix'!$C$5:$C$200,('Ownership Matrix'!$A$5:$A$200=TRIM($B297))*('Ownership Matrix'!$C$5:$C$200&lt;&gt;"")))),"ไม่พบใน Ownership Matrix")))</f>
        <v/>
      </c>
      <c r="Z297" s="31" t="str">
        <f>IF(NOT(AND($A297&lt;&gt;"",$M297&lt;&gt;"Out of Scope",$M297&lt;&gt;"Canceled",$T297&lt;&gt;"Fixed – Retest Passed",OR(LEN(TRIM($O297))&gt;0,LEN(TRIM($P297))&gt;0))),"",IF(OR($W297="Failed",$R297="Urgent",$R297="High",$R297="ระบุ Severity + Impact"),IF(COUNTIFS(Dashboard!$B$105:$B$124,$O297,Dashboard!$I$105:$I$124,"CAB")&gt;0,"Accepted (CF)","Blocking"),"Deferrable"))</f>
        <v/>
      </c>
    </row>
    <row r="298" spans="7:26" x14ac:dyDescent="0.3">
      <c r="G298" s="27" t="str" cm="1">
        <f t="array" ref="G298">IF($A298="","",IFERROR(_xlfn.TEXTJOIN(CHAR(10)&amp;CHAR(10),TRUE,_xlfn._xlws.FILTER("•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"&amp;Cards!$L$4:$L$1000),(Cards!$A$4:$A$1000&lt;&gt;"")*ISNUMBER(SEARCH($A298,Cards!$E$4:$E$1000)))),"-"))</f>
        <v/>
      </c>
      <c r="Q298" s="30"/>
      <c r="R298" s="27" t="str">
        <f>IF(OR($A298="",LEN(TRIM($O298))=0),"",IF(OR($P298="",$Q298=""),"ระบุ Severity + Impact",IFERROR(INDEX({"Urgent","Urgent","High","High";"Urgent","High","High","Medium";"High","High","Medium","Medium";"Medium","Medium","Low","Low"},MATCH($P298,{"Critical","High","Medium","Low"},0),MATCH($Q298,{"Extensive","Significant","Moderate","Minor"},0)),"-")))</f>
        <v/>
      </c>
      <c r="S298" s="30"/>
      <c r="T298" s="30"/>
      <c r="W298" s="32" t="str">
        <f>IF($A298="","",IF(OR($M298="Out of Scope",$M298="Canceled"),"Out of Scope",IF($M298="Blocked","Blocked",IF(AND($T298&lt;&gt;"Fixed – Retest Passed",OR(LEN(TRIM($O298))&gt;0,LEN(TRIM($P298))&gt;0)),IF(AND(OR($L298="Medium",$L298="Low"),SUMPRODUCT((Cards!$A$4:$A$1000&lt;&gt;"")*ISNUMBER(SEARCH($A298,Cards!$E$4:$E$1000))*(Cards!$F$4:$F$1000&lt;&gt;"Medium")*(Cards!$F$4:$F$1000&lt;&gt;"Low"))=0),"Conditionally Passed","Failed"),IF($M298="Done","Passed","Not Run")))))</f>
        <v/>
      </c>
      <c r="Y298" s="27" t="str" cm="1">
        <f t="array" ref="Y298">IF($A298="","",IF(TRIM($B298)="","-",IFERROR(_xlfn.TEXTJOIN(" / ",TRUE,_xlfn.UNIQUE(_xlfn._xlws.FILTER('Ownership Matrix'!$C$5:$C$200,('Ownership Matrix'!$A$5:$A$200=TRIM($B298))*('Ownership Matrix'!$C$5:$C$200&lt;&gt;"")))),"ไม่พบใน Ownership Matrix")))</f>
        <v/>
      </c>
      <c r="Z298" s="31" t="str">
        <f>IF(NOT(AND($A298&lt;&gt;"",$M298&lt;&gt;"Out of Scope",$M298&lt;&gt;"Canceled",$T298&lt;&gt;"Fixed – Retest Passed",OR(LEN(TRIM($O298))&gt;0,LEN(TRIM($P298))&gt;0))),"",IF(OR($W298="Failed",$R298="Urgent",$R298="High",$R298="ระบุ Severity + Impact"),IF(COUNTIFS(Dashboard!$B$105:$B$124,$O298,Dashboard!$I$105:$I$124,"CAB")&gt;0,"Accepted (CF)","Blocking"),"Deferrable"))</f>
        <v/>
      </c>
    </row>
    <row r="299" spans="7:26" x14ac:dyDescent="0.3">
      <c r="G299" s="27" t="str" cm="1">
        <f t="array" ref="G299">IF($A299="","",IFERROR(_xlfn.TEXTJOIN(CHAR(10)&amp;CHAR(10),TRUE,_xlfn._xlws.FILTER("•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"&amp;Cards!$L$4:$L$1000),(Cards!$A$4:$A$1000&lt;&gt;"")*ISNUMBER(SEARCH($A299,Cards!$E$4:$E$1000)))),"-"))</f>
        <v/>
      </c>
      <c r="Q299" s="30"/>
      <c r="R299" s="27" t="str">
        <f>IF(OR($A299="",LEN(TRIM($O299))=0),"",IF(OR($P299="",$Q299=""),"ระบุ Severity + Impact",IFERROR(INDEX({"Urgent","Urgent","High","High";"Urgent","High","High","Medium";"High","High","Medium","Medium";"Medium","Medium","Low","Low"},MATCH($P299,{"Critical","High","Medium","Low"},0),MATCH($Q299,{"Extensive","Significant","Moderate","Minor"},0)),"-")))</f>
        <v/>
      </c>
      <c r="S299" s="30"/>
      <c r="T299" s="30"/>
      <c r="W299" s="32" t="str">
        <f>IF($A299="","",IF(OR($M299="Out of Scope",$M299="Canceled"),"Out of Scope",IF($M299="Blocked","Blocked",IF(AND($T299&lt;&gt;"Fixed – Retest Passed",OR(LEN(TRIM($O299))&gt;0,LEN(TRIM($P299))&gt;0)),IF(AND(OR($L299="Medium",$L299="Low"),SUMPRODUCT((Cards!$A$4:$A$1000&lt;&gt;"")*ISNUMBER(SEARCH($A299,Cards!$E$4:$E$1000))*(Cards!$F$4:$F$1000&lt;&gt;"Medium")*(Cards!$F$4:$F$1000&lt;&gt;"Low"))=0),"Conditionally Passed","Failed"),IF($M299="Done","Passed","Not Run")))))</f>
        <v/>
      </c>
      <c r="Y299" s="27" t="str" cm="1">
        <f t="array" ref="Y299">IF($A299="","",IF(TRIM($B299)="","-",IFERROR(_xlfn.TEXTJOIN(" / ",TRUE,_xlfn.UNIQUE(_xlfn._xlws.FILTER('Ownership Matrix'!$C$5:$C$200,('Ownership Matrix'!$A$5:$A$200=TRIM($B299))*('Ownership Matrix'!$C$5:$C$200&lt;&gt;"")))),"ไม่พบใน Ownership Matrix")))</f>
        <v/>
      </c>
      <c r="Z299" s="31" t="str">
        <f>IF(NOT(AND($A299&lt;&gt;"",$M299&lt;&gt;"Out of Scope",$M299&lt;&gt;"Canceled",$T299&lt;&gt;"Fixed – Retest Passed",OR(LEN(TRIM($O299))&gt;0,LEN(TRIM($P299))&gt;0))),"",IF(OR($W299="Failed",$R299="Urgent",$R299="High",$R299="ระบุ Severity + Impact"),IF(COUNTIFS(Dashboard!$B$105:$B$124,$O299,Dashboard!$I$105:$I$124,"CAB")&gt;0,"Accepted (CF)","Blocking"),"Deferrable"))</f>
        <v/>
      </c>
    </row>
    <row r="300" spans="7:26" x14ac:dyDescent="0.3">
      <c r="G300" s="27" t="str" cm="1">
        <f t="array" ref="G300">IF($A300="","",IFERROR(_xlfn.TEXTJOIN(CHAR(10)&amp;CHAR(10),TRUE,_xlfn._xlws.FILTER("•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"&amp;Cards!$L$4:$L$1000),(Cards!$A$4:$A$1000&lt;&gt;"")*ISNUMBER(SEARCH($A300,Cards!$E$4:$E$1000)))),"-"))</f>
        <v/>
      </c>
      <c r="Q300" s="30"/>
      <c r="R300" s="27" t="str">
        <f>IF(OR($A300="",LEN(TRIM($O300))=0),"",IF(OR($P300="",$Q300=""),"ระบุ Severity + Impact",IFERROR(INDEX({"Urgent","Urgent","High","High";"Urgent","High","High","Medium";"High","High","Medium","Medium";"Medium","Medium","Low","Low"},MATCH($P300,{"Critical","High","Medium","Low"},0),MATCH($Q300,{"Extensive","Significant","Moderate","Minor"},0)),"-")))</f>
        <v/>
      </c>
      <c r="S300" s="30"/>
      <c r="T300" s="30"/>
      <c r="W300" s="32" t="str">
        <f>IF($A300="","",IF(OR($M300="Out of Scope",$M300="Canceled"),"Out of Scope",IF($M300="Blocked","Blocked",IF(AND($T300&lt;&gt;"Fixed – Retest Passed",OR(LEN(TRIM($O300))&gt;0,LEN(TRIM($P300))&gt;0)),IF(AND(OR($L300="Medium",$L300="Low"),SUMPRODUCT((Cards!$A$4:$A$1000&lt;&gt;"")*ISNUMBER(SEARCH($A300,Cards!$E$4:$E$1000))*(Cards!$F$4:$F$1000&lt;&gt;"Medium")*(Cards!$F$4:$F$1000&lt;&gt;"Low"))=0),"Conditionally Passed","Failed"),IF($M300="Done","Passed","Not Run")))))</f>
        <v/>
      </c>
      <c r="Y300" s="27" t="str" cm="1">
        <f t="array" ref="Y300">IF($A300="","",IF(TRIM($B300)="","-",IFERROR(_xlfn.TEXTJOIN(" / ",TRUE,_xlfn.UNIQUE(_xlfn._xlws.FILTER('Ownership Matrix'!$C$5:$C$200,('Ownership Matrix'!$A$5:$A$200=TRIM($B300))*('Ownership Matrix'!$C$5:$C$200&lt;&gt;"")))),"ไม่พบใน Ownership Matrix")))</f>
        <v/>
      </c>
      <c r="Z300" s="31" t="str">
        <f>IF(NOT(AND($A300&lt;&gt;"",$M300&lt;&gt;"Out of Scope",$M300&lt;&gt;"Canceled",$T300&lt;&gt;"Fixed – Retest Passed",OR(LEN(TRIM($O300))&gt;0,LEN(TRIM($P300))&gt;0))),"",IF(OR($W300="Failed",$R300="Urgent",$R300="High",$R300="ระบุ Severity + Impact"),IF(COUNTIFS(Dashboard!$B$105:$B$124,$O300,Dashboard!$I$105:$I$124,"CAB")&gt;0,"Accepted (CF)","Blocking"),"Deferrable"))</f>
        <v/>
      </c>
    </row>
    <row r="301" spans="7:26" x14ac:dyDescent="0.3">
      <c r="G301" s="27" t="str" cm="1">
        <f t="array" ref="G301">IF($A301="","",IFERROR(_xlfn.TEXTJOIN(CHAR(10)&amp;CHAR(10),TRUE,_xlfn._xlws.FILTER("•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"&amp;Cards!$L$4:$L$1000),(Cards!$A$4:$A$1000&lt;&gt;"")*ISNUMBER(SEARCH($A301,Cards!$E$4:$E$1000)))),"-"))</f>
        <v/>
      </c>
      <c r="Q301" s="30"/>
      <c r="R301" s="27" t="str">
        <f>IF(OR($A301="",LEN(TRIM($O301))=0),"",IF(OR($P301="",$Q301=""),"ระบุ Severity + Impact",IFERROR(INDEX({"Urgent","Urgent","High","High";"Urgent","High","High","Medium";"High","High","Medium","Medium";"Medium","Medium","Low","Low"},MATCH($P301,{"Critical","High","Medium","Low"},0),MATCH($Q301,{"Extensive","Significant","Moderate","Minor"},0)),"-")))</f>
        <v/>
      </c>
      <c r="S301" s="30"/>
      <c r="T301" s="30"/>
      <c r="W301" s="32" t="str">
        <f>IF($A301="","",IF(OR($M301="Out of Scope",$M301="Canceled"),"Out of Scope",IF($M301="Blocked","Blocked",IF(AND($T301&lt;&gt;"Fixed – Retest Passed",OR(LEN(TRIM($O301))&gt;0,LEN(TRIM($P301))&gt;0)),IF(AND(OR($L301="Medium",$L301="Low"),SUMPRODUCT((Cards!$A$4:$A$1000&lt;&gt;"")*ISNUMBER(SEARCH($A301,Cards!$E$4:$E$1000))*(Cards!$F$4:$F$1000&lt;&gt;"Medium")*(Cards!$F$4:$F$1000&lt;&gt;"Low"))=0),"Conditionally Passed","Failed"),IF($M301="Done","Passed","Not Run")))))</f>
        <v/>
      </c>
      <c r="Y301" s="27" t="str" cm="1">
        <f t="array" ref="Y301">IF($A301="","",IF(TRIM($B301)="","-",IFERROR(_xlfn.TEXTJOIN(" / ",TRUE,_xlfn.UNIQUE(_xlfn._xlws.FILTER('Ownership Matrix'!$C$5:$C$200,('Ownership Matrix'!$A$5:$A$200=TRIM($B301))*('Ownership Matrix'!$C$5:$C$200&lt;&gt;"")))),"ไม่พบใน Ownership Matrix")))</f>
        <v/>
      </c>
      <c r="Z301" s="31" t="str">
        <f>IF(NOT(AND($A301&lt;&gt;"",$M301&lt;&gt;"Out of Scope",$M301&lt;&gt;"Canceled",$T301&lt;&gt;"Fixed – Retest Passed",OR(LEN(TRIM($O301))&gt;0,LEN(TRIM($P301))&gt;0))),"",IF(OR($W301="Failed",$R301="Urgent",$R301="High",$R301="ระบุ Severity + Impact"),IF(COUNTIFS(Dashboard!$B$105:$B$124,$O301,Dashboard!$I$105:$I$124,"CAB")&gt;0,"Accepted (CF)","Blocking"),"Deferrable"))</f>
        <v/>
      </c>
    </row>
    <row r="302" spans="7:26" x14ac:dyDescent="0.3">
      <c r="G302" s="27" t="str" cm="1">
        <f t="array" ref="G302">IF($A302="","",IFERROR(_xlfn.TEXTJOIN(CHAR(10)&amp;CHAR(10),TRUE,_xlfn._xlws.FILTER("•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"&amp;Cards!$L$4:$L$1000),(Cards!$A$4:$A$1000&lt;&gt;"")*ISNUMBER(SEARCH($A302,Cards!$E$4:$E$1000)))),"-"))</f>
        <v/>
      </c>
      <c r="Q302" s="30"/>
      <c r="R302" s="27" t="str">
        <f>IF(OR($A302="",LEN(TRIM($O302))=0),"",IF(OR($P302="",$Q302=""),"ระบุ Severity + Impact",IFERROR(INDEX({"Urgent","Urgent","High","High";"Urgent","High","High","Medium";"High","High","Medium","Medium";"Medium","Medium","Low","Low"},MATCH($P302,{"Critical","High","Medium","Low"},0),MATCH($Q302,{"Extensive","Significant","Moderate","Minor"},0)),"-")))</f>
        <v/>
      </c>
      <c r="S302" s="30"/>
      <c r="T302" s="30"/>
      <c r="W302" s="32" t="str">
        <f>IF($A302="","",IF(OR($M302="Out of Scope",$M302="Canceled"),"Out of Scope",IF($M302="Blocked","Blocked",IF(AND($T302&lt;&gt;"Fixed – Retest Passed",OR(LEN(TRIM($O302))&gt;0,LEN(TRIM($P302))&gt;0)),IF(AND(OR($L302="Medium",$L302="Low"),SUMPRODUCT((Cards!$A$4:$A$1000&lt;&gt;"")*ISNUMBER(SEARCH($A302,Cards!$E$4:$E$1000))*(Cards!$F$4:$F$1000&lt;&gt;"Medium")*(Cards!$F$4:$F$1000&lt;&gt;"Low"))=0),"Conditionally Passed","Failed"),IF($M302="Done","Passed","Not Run")))))</f>
        <v/>
      </c>
      <c r="Y302" s="27" t="str" cm="1">
        <f t="array" ref="Y302">IF($A302="","",IF(TRIM($B302)="","-",IFERROR(_xlfn.TEXTJOIN(" / ",TRUE,_xlfn.UNIQUE(_xlfn._xlws.FILTER('Ownership Matrix'!$C$5:$C$200,('Ownership Matrix'!$A$5:$A$200=TRIM($B302))*('Ownership Matrix'!$C$5:$C$200&lt;&gt;"")))),"ไม่พบใน Ownership Matrix")))</f>
        <v/>
      </c>
      <c r="Z302" s="31" t="str">
        <f>IF(NOT(AND($A302&lt;&gt;"",$M302&lt;&gt;"Out of Scope",$M302&lt;&gt;"Canceled",$T302&lt;&gt;"Fixed – Retest Passed",OR(LEN(TRIM($O302))&gt;0,LEN(TRIM($P302))&gt;0))),"",IF(OR($W302="Failed",$R302="Urgent",$R302="High",$R302="ระบุ Severity + Impact"),IF(COUNTIFS(Dashboard!$B$105:$B$124,$O302,Dashboard!$I$105:$I$124,"CAB")&gt;0,"Accepted (CF)","Blocking"),"Deferrable"))</f>
        <v/>
      </c>
    </row>
    <row r="303" spans="7:26" x14ac:dyDescent="0.3">
      <c r="G303" s="27" t="str" cm="1">
        <f t="array" ref="G303">IF($A303="","",IFERROR(_xlfn.TEXTJOIN(CHAR(10)&amp;CHAR(10),TRUE,_xlfn._xlws.FILTER("•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"&amp;Cards!$L$4:$L$1000),(Cards!$A$4:$A$1000&lt;&gt;"")*ISNUMBER(SEARCH($A303,Cards!$E$4:$E$1000)))),"-"))</f>
        <v/>
      </c>
      <c r="Q303" s="30"/>
      <c r="R303" s="27" t="str">
        <f>IF(OR($A303="",LEN(TRIM($O303))=0),"",IF(OR($P303="",$Q303=""),"ระบุ Severity + Impact",IFERROR(INDEX({"Urgent","Urgent","High","High";"Urgent","High","High","Medium";"High","High","Medium","Medium";"Medium","Medium","Low","Low"},MATCH($P303,{"Critical","High","Medium","Low"},0),MATCH($Q303,{"Extensive","Significant","Moderate","Minor"},0)),"-")))</f>
        <v/>
      </c>
      <c r="S303" s="30"/>
      <c r="T303" s="30"/>
      <c r="W303" s="32" t="str">
        <f>IF($A303="","",IF(OR($M303="Out of Scope",$M303="Canceled"),"Out of Scope",IF($M303="Blocked","Blocked",IF(AND($T303&lt;&gt;"Fixed – Retest Passed",OR(LEN(TRIM($O303))&gt;0,LEN(TRIM($P303))&gt;0)),IF(AND(OR($L303="Medium",$L303="Low"),SUMPRODUCT((Cards!$A$4:$A$1000&lt;&gt;"")*ISNUMBER(SEARCH($A303,Cards!$E$4:$E$1000))*(Cards!$F$4:$F$1000&lt;&gt;"Medium")*(Cards!$F$4:$F$1000&lt;&gt;"Low"))=0),"Conditionally Passed","Failed"),IF($M303="Done","Passed","Not Run")))))</f>
        <v/>
      </c>
      <c r="Y303" s="27" t="str" cm="1">
        <f t="array" ref="Y303">IF($A303="","",IF(TRIM($B303)="","-",IFERROR(_xlfn.TEXTJOIN(" / ",TRUE,_xlfn.UNIQUE(_xlfn._xlws.FILTER('Ownership Matrix'!$C$5:$C$200,('Ownership Matrix'!$A$5:$A$200=TRIM($B303))*('Ownership Matrix'!$C$5:$C$200&lt;&gt;"")))),"ไม่พบใน Ownership Matrix")))</f>
        <v/>
      </c>
      <c r="Z303" s="31" t="str">
        <f>IF(NOT(AND($A303&lt;&gt;"",$M303&lt;&gt;"Out of Scope",$M303&lt;&gt;"Canceled",$T303&lt;&gt;"Fixed – Retest Passed",OR(LEN(TRIM($O303))&gt;0,LEN(TRIM($P303))&gt;0))),"",IF(OR($W303="Failed",$R303="Urgent",$R303="High",$R303="ระบุ Severity + Impact"),IF(COUNTIFS(Dashboard!$B$105:$B$124,$O303,Dashboard!$I$105:$I$124,"CAB")&gt;0,"Accepted (CF)","Blocking"),"Deferrable"))</f>
        <v/>
      </c>
    </row>
    <row r="304" spans="7:26" x14ac:dyDescent="0.3">
      <c r="G304" s="27" t="str" cm="1">
        <f t="array" ref="G304">IF($A304="","",IFERROR(_xlfn.TEXTJOIN(CHAR(10)&amp;CHAR(10),TRUE,_xlfn._xlws.FILTER("•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"&amp;Cards!$L$4:$L$1000),(Cards!$A$4:$A$1000&lt;&gt;"")*ISNUMBER(SEARCH($A304,Cards!$E$4:$E$1000)))),"-"))</f>
        <v/>
      </c>
      <c r="Q304" s="30"/>
      <c r="R304" s="27" t="str">
        <f>IF(OR($A304="",LEN(TRIM($O304))=0),"",IF(OR($P304="",$Q304=""),"ระบุ Severity + Impact",IFERROR(INDEX({"Urgent","Urgent","High","High";"Urgent","High","High","Medium";"High","High","Medium","Medium";"Medium","Medium","Low","Low"},MATCH($P304,{"Critical","High","Medium","Low"},0),MATCH($Q304,{"Extensive","Significant","Moderate","Minor"},0)),"-")))</f>
        <v/>
      </c>
      <c r="S304" s="30"/>
      <c r="T304" s="30"/>
      <c r="W304" s="32" t="str">
        <f>IF($A304="","",IF(OR($M304="Out of Scope",$M304="Canceled"),"Out of Scope",IF($M304="Blocked","Blocked",IF(AND($T304&lt;&gt;"Fixed – Retest Passed",OR(LEN(TRIM($O304))&gt;0,LEN(TRIM($P304))&gt;0)),IF(AND(OR($L304="Medium",$L304="Low"),SUMPRODUCT((Cards!$A$4:$A$1000&lt;&gt;"")*ISNUMBER(SEARCH($A304,Cards!$E$4:$E$1000))*(Cards!$F$4:$F$1000&lt;&gt;"Medium")*(Cards!$F$4:$F$1000&lt;&gt;"Low"))=0),"Conditionally Passed","Failed"),IF($M304="Done","Passed","Not Run")))))</f>
        <v/>
      </c>
      <c r="Y304" s="27" t="str" cm="1">
        <f t="array" ref="Y304">IF($A304="","",IF(TRIM($B304)="","-",IFERROR(_xlfn.TEXTJOIN(" / ",TRUE,_xlfn.UNIQUE(_xlfn._xlws.FILTER('Ownership Matrix'!$C$5:$C$200,('Ownership Matrix'!$A$5:$A$200=TRIM($B304))*('Ownership Matrix'!$C$5:$C$200&lt;&gt;"")))),"ไม่พบใน Ownership Matrix")))</f>
        <v/>
      </c>
      <c r="Z304" s="31" t="str">
        <f>IF(NOT(AND($A304&lt;&gt;"",$M304&lt;&gt;"Out of Scope",$M304&lt;&gt;"Canceled",$T304&lt;&gt;"Fixed – Retest Passed",OR(LEN(TRIM($O304))&gt;0,LEN(TRIM($P304))&gt;0))),"",IF(OR($W304="Failed",$R304="Urgent",$R304="High",$R304="ระบุ Severity + Impact"),IF(COUNTIFS(Dashboard!$B$105:$B$124,$O304,Dashboard!$I$105:$I$124,"CAB")&gt;0,"Accepted (CF)","Blocking"),"Deferrable"))</f>
        <v/>
      </c>
    </row>
    <row r="305" spans="7:26" x14ac:dyDescent="0.3">
      <c r="G305" s="27" t="str" cm="1">
        <f t="array" ref="G305">IF($A305="","",IFERROR(_xlfn.TEXTJOIN(CHAR(10)&amp;CHAR(10),TRUE,_xlfn._xlws.FILTER("•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"&amp;Cards!$L$4:$L$1000),(Cards!$A$4:$A$1000&lt;&gt;"")*ISNUMBER(SEARCH($A305,Cards!$E$4:$E$1000)))),"-"))</f>
        <v/>
      </c>
      <c r="Q305" s="30"/>
      <c r="R305" s="27" t="str">
        <f>IF(OR($A305="",LEN(TRIM($O305))=0),"",IF(OR($P305="",$Q305=""),"ระบุ Severity + Impact",IFERROR(INDEX({"Urgent","Urgent","High","High";"Urgent","High","High","Medium";"High","High","Medium","Medium";"Medium","Medium","Low","Low"},MATCH($P305,{"Critical","High","Medium","Low"},0),MATCH($Q305,{"Extensive","Significant","Moderate","Minor"},0)),"-")))</f>
        <v/>
      </c>
      <c r="S305" s="30"/>
      <c r="T305" s="30"/>
      <c r="W305" s="32" t="str">
        <f>IF($A305="","",IF(OR($M305="Out of Scope",$M305="Canceled"),"Out of Scope",IF($M305="Blocked","Blocked",IF(AND($T305&lt;&gt;"Fixed – Retest Passed",OR(LEN(TRIM($O305))&gt;0,LEN(TRIM($P305))&gt;0)),IF(AND(OR($L305="Medium",$L305="Low"),SUMPRODUCT((Cards!$A$4:$A$1000&lt;&gt;"")*ISNUMBER(SEARCH($A305,Cards!$E$4:$E$1000))*(Cards!$F$4:$F$1000&lt;&gt;"Medium")*(Cards!$F$4:$F$1000&lt;&gt;"Low"))=0),"Conditionally Passed","Failed"),IF($M305="Done","Passed","Not Run")))))</f>
        <v/>
      </c>
      <c r="Y305" s="27" t="str" cm="1">
        <f t="array" ref="Y305">IF($A305="","",IF(TRIM($B305)="","-",IFERROR(_xlfn.TEXTJOIN(" / ",TRUE,_xlfn.UNIQUE(_xlfn._xlws.FILTER('Ownership Matrix'!$C$5:$C$200,('Ownership Matrix'!$A$5:$A$200=TRIM($B305))*('Ownership Matrix'!$C$5:$C$200&lt;&gt;"")))),"ไม่พบใน Ownership Matrix")))</f>
        <v/>
      </c>
      <c r="Z305" s="31" t="str">
        <f>IF(NOT(AND($A305&lt;&gt;"",$M305&lt;&gt;"Out of Scope",$M305&lt;&gt;"Canceled",$T305&lt;&gt;"Fixed – Retest Passed",OR(LEN(TRIM($O305))&gt;0,LEN(TRIM($P305))&gt;0))),"",IF(OR($W305="Failed",$R305="Urgent",$R305="High",$R305="ระบุ Severity + Impact"),IF(COUNTIFS(Dashboard!$B$105:$B$124,$O305,Dashboard!$I$105:$I$124,"CAB")&gt;0,"Accepted (CF)","Blocking"),"Deferrable"))</f>
        <v/>
      </c>
    </row>
    <row r="306" spans="7:26" x14ac:dyDescent="0.3">
      <c r="G306" s="27" t="str" cm="1">
        <f t="array" ref="G306">IF($A306="","",IFERROR(_xlfn.TEXTJOIN(CHAR(10)&amp;CHAR(10),TRUE,_xlfn._xlws.FILTER("•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"&amp;Cards!$L$4:$L$1000),(Cards!$A$4:$A$1000&lt;&gt;"")*ISNUMBER(SEARCH($A306,Cards!$E$4:$E$1000)))),"-"))</f>
        <v/>
      </c>
      <c r="Q306" s="30"/>
      <c r="R306" s="27" t="str">
        <f>IF(OR($A306="",LEN(TRIM($O306))=0),"",IF(OR($P306="",$Q306=""),"ระบุ Severity + Impact",IFERROR(INDEX({"Urgent","Urgent","High","High";"Urgent","High","High","Medium";"High","High","Medium","Medium";"Medium","Medium","Low","Low"},MATCH($P306,{"Critical","High","Medium","Low"},0),MATCH($Q306,{"Extensive","Significant","Moderate","Minor"},0)),"-")))</f>
        <v/>
      </c>
      <c r="S306" s="30"/>
      <c r="T306" s="30"/>
      <c r="W306" s="32" t="str">
        <f>IF($A306="","",IF(OR($M306="Out of Scope",$M306="Canceled"),"Out of Scope",IF($M306="Blocked","Blocked",IF(AND($T306&lt;&gt;"Fixed – Retest Passed",OR(LEN(TRIM($O306))&gt;0,LEN(TRIM($P306))&gt;0)),IF(AND(OR($L306="Medium",$L306="Low"),SUMPRODUCT((Cards!$A$4:$A$1000&lt;&gt;"")*ISNUMBER(SEARCH($A306,Cards!$E$4:$E$1000))*(Cards!$F$4:$F$1000&lt;&gt;"Medium")*(Cards!$F$4:$F$1000&lt;&gt;"Low"))=0),"Conditionally Passed","Failed"),IF($M306="Done","Passed","Not Run")))))</f>
        <v/>
      </c>
      <c r="Y306" s="27" t="str" cm="1">
        <f t="array" ref="Y306">IF($A306="","",IF(TRIM($B306)="","-",IFERROR(_xlfn.TEXTJOIN(" / ",TRUE,_xlfn.UNIQUE(_xlfn._xlws.FILTER('Ownership Matrix'!$C$5:$C$200,('Ownership Matrix'!$A$5:$A$200=TRIM($B306))*('Ownership Matrix'!$C$5:$C$200&lt;&gt;"")))),"ไม่พบใน Ownership Matrix")))</f>
        <v/>
      </c>
      <c r="Z306" s="31" t="str">
        <f>IF(NOT(AND($A306&lt;&gt;"",$M306&lt;&gt;"Out of Scope",$M306&lt;&gt;"Canceled",$T306&lt;&gt;"Fixed – Retest Passed",OR(LEN(TRIM($O306))&gt;0,LEN(TRIM($P306))&gt;0))),"",IF(OR($W306="Failed",$R306="Urgent",$R306="High",$R306="ระบุ Severity + Impact"),IF(COUNTIFS(Dashboard!$B$105:$B$124,$O306,Dashboard!$I$105:$I$124,"CAB")&gt;0,"Accepted (CF)","Blocking"),"Deferrable"))</f>
        <v/>
      </c>
    </row>
    <row r="307" spans="7:26" x14ac:dyDescent="0.3">
      <c r="G307" s="27" t="str" cm="1">
        <f t="array" ref="G307">IF($A307="","",IFERROR(_xlfn.TEXTJOIN(CHAR(10)&amp;CHAR(10),TRUE,_xlfn._xlws.FILTER("•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"&amp;Cards!$L$4:$L$1000),(Cards!$A$4:$A$1000&lt;&gt;"")*ISNUMBER(SEARCH($A307,Cards!$E$4:$E$1000)))),"-"))</f>
        <v/>
      </c>
      <c r="Q307" s="30"/>
      <c r="R307" s="27" t="str">
        <f>IF(OR($A307="",LEN(TRIM($O307))=0),"",IF(OR($P307="",$Q307=""),"ระบุ Severity + Impact",IFERROR(INDEX({"Urgent","Urgent","High","High";"Urgent","High","High","Medium";"High","High","Medium","Medium";"Medium","Medium","Low","Low"},MATCH($P307,{"Critical","High","Medium","Low"},0),MATCH($Q307,{"Extensive","Significant","Moderate","Minor"},0)),"-")))</f>
        <v/>
      </c>
      <c r="S307" s="30"/>
      <c r="T307" s="30"/>
      <c r="W307" s="32" t="str">
        <f>IF($A307="","",IF(OR($M307="Out of Scope",$M307="Canceled"),"Out of Scope",IF($M307="Blocked","Blocked",IF(AND($T307&lt;&gt;"Fixed – Retest Passed",OR(LEN(TRIM($O307))&gt;0,LEN(TRIM($P307))&gt;0)),IF(AND(OR($L307="Medium",$L307="Low"),SUMPRODUCT((Cards!$A$4:$A$1000&lt;&gt;"")*ISNUMBER(SEARCH($A307,Cards!$E$4:$E$1000))*(Cards!$F$4:$F$1000&lt;&gt;"Medium")*(Cards!$F$4:$F$1000&lt;&gt;"Low"))=0),"Conditionally Passed","Failed"),IF($M307="Done","Passed","Not Run")))))</f>
        <v/>
      </c>
      <c r="Y307" s="27" t="str" cm="1">
        <f t="array" ref="Y307">IF($A307="","",IF(TRIM($B307)="","-",IFERROR(_xlfn.TEXTJOIN(" / ",TRUE,_xlfn.UNIQUE(_xlfn._xlws.FILTER('Ownership Matrix'!$C$5:$C$200,('Ownership Matrix'!$A$5:$A$200=TRIM($B307))*('Ownership Matrix'!$C$5:$C$200&lt;&gt;"")))),"ไม่พบใน Ownership Matrix")))</f>
        <v/>
      </c>
      <c r="Z307" s="31" t="str">
        <f>IF(NOT(AND($A307&lt;&gt;"",$M307&lt;&gt;"Out of Scope",$M307&lt;&gt;"Canceled",$T307&lt;&gt;"Fixed – Retest Passed",OR(LEN(TRIM($O307))&gt;0,LEN(TRIM($P307))&gt;0))),"",IF(OR($W307="Failed",$R307="Urgent",$R307="High",$R307="ระบุ Severity + Impact"),IF(COUNTIFS(Dashboard!$B$105:$B$124,$O307,Dashboard!$I$105:$I$124,"CAB")&gt;0,"Accepted (CF)","Blocking"),"Deferrable"))</f>
        <v/>
      </c>
    </row>
    <row r="308" spans="7:26" x14ac:dyDescent="0.3">
      <c r="G308" s="27" t="str" cm="1">
        <f t="array" ref="G308">IF($A308="","",IFERROR(_xlfn.TEXTJOIN(CHAR(10)&amp;CHAR(10),TRUE,_xlfn._xlws.FILTER("•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"&amp;Cards!$L$4:$L$1000),(Cards!$A$4:$A$1000&lt;&gt;"")*ISNUMBER(SEARCH($A308,Cards!$E$4:$E$1000)))),"-"))</f>
        <v/>
      </c>
      <c r="Q308" s="30"/>
      <c r="R308" s="27" t="str">
        <f>IF(OR($A308="",LEN(TRIM($O308))=0),"",IF(OR($P308="",$Q308=""),"ระบุ Severity + Impact",IFERROR(INDEX({"Urgent","Urgent","High","High";"Urgent","High","High","Medium";"High","High","Medium","Medium";"Medium","Medium","Low","Low"},MATCH($P308,{"Critical","High","Medium","Low"},0),MATCH($Q308,{"Extensive","Significant","Moderate","Minor"},0)),"-")))</f>
        <v/>
      </c>
      <c r="S308" s="30"/>
      <c r="T308" s="30"/>
      <c r="W308" s="32" t="str">
        <f>IF($A308="","",IF(OR($M308="Out of Scope",$M308="Canceled"),"Out of Scope",IF($M308="Blocked","Blocked",IF(AND($T308&lt;&gt;"Fixed – Retest Passed",OR(LEN(TRIM($O308))&gt;0,LEN(TRIM($P308))&gt;0)),IF(AND(OR($L308="Medium",$L308="Low"),SUMPRODUCT((Cards!$A$4:$A$1000&lt;&gt;"")*ISNUMBER(SEARCH($A308,Cards!$E$4:$E$1000))*(Cards!$F$4:$F$1000&lt;&gt;"Medium")*(Cards!$F$4:$F$1000&lt;&gt;"Low"))=0),"Conditionally Passed","Failed"),IF($M308="Done","Passed","Not Run")))))</f>
        <v/>
      </c>
      <c r="Y308" s="27" t="str" cm="1">
        <f t="array" ref="Y308">IF($A308="","",IF(TRIM($B308)="","-",IFERROR(_xlfn.TEXTJOIN(" / ",TRUE,_xlfn.UNIQUE(_xlfn._xlws.FILTER('Ownership Matrix'!$C$5:$C$200,('Ownership Matrix'!$A$5:$A$200=TRIM($B308))*('Ownership Matrix'!$C$5:$C$200&lt;&gt;"")))),"ไม่พบใน Ownership Matrix")))</f>
        <v/>
      </c>
      <c r="Z308" s="31" t="str">
        <f>IF(NOT(AND($A308&lt;&gt;"",$M308&lt;&gt;"Out of Scope",$M308&lt;&gt;"Canceled",$T308&lt;&gt;"Fixed – Retest Passed",OR(LEN(TRIM($O308))&gt;0,LEN(TRIM($P308))&gt;0))),"",IF(OR($W308="Failed",$R308="Urgent",$R308="High",$R308="ระบุ Severity + Impact"),IF(COUNTIFS(Dashboard!$B$105:$B$124,$O308,Dashboard!$I$105:$I$124,"CAB")&gt;0,"Accepted (CF)","Blocking"),"Deferrable"))</f>
        <v/>
      </c>
    </row>
    <row r="309" spans="7:26" x14ac:dyDescent="0.3">
      <c r="G309" s="27" t="str" cm="1">
        <f t="array" ref="G309">IF($A309="","",IFERROR(_xlfn.TEXTJOIN(CHAR(10)&amp;CHAR(10),TRUE,_xlfn._xlws.FILTER("•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"&amp;Cards!$L$4:$L$1000),(Cards!$A$4:$A$1000&lt;&gt;"")*ISNUMBER(SEARCH($A309,Cards!$E$4:$E$1000)))),"-"))</f>
        <v/>
      </c>
      <c r="Q309" s="30"/>
      <c r="R309" s="27" t="str">
        <f>IF(OR($A309="",LEN(TRIM($O309))=0),"",IF(OR($P309="",$Q309=""),"ระบุ Severity + Impact",IFERROR(INDEX({"Urgent","Urgent","High","High";"Urgent","High","High","Medium";"High","High","Medium","Medium";"Medium","Medium","Low","Low"},MATCH($P309,{"Critical","High","Medium","Low"},0),MATCH($Q309,{"Extensive","Significant","Moderate","Minor"},0)),"-")))</f>
        <v/>
      </c>
      <c r="S309" s="30"/>
      <c r="T309" s="30"/>
      <c r="W309" s="32" t="str">
        <f>IF($A309="","",IF(OR($M309="Out of Scope",$M309="Canceled"),"Out of Scope",IF($M309="Blocked","Blocked",IF(AND($T309&lt;&gt;"Fixed – Retest Passed",OR(LEN(TRIM($O309))&gt;0,LEN(TRIM($P309))&gt;0)),IF(AND(OR($L309="Medium",$L309="Low"),SUMPRODUCT((Cards!$A$4:$A$1000&lt;&gt;"")*ISNUMBER(SEARCH($A309,Cards!$E$4:$E$1000))*(Cards!$F$4:$F$1000&lt;&gt;"Medium")*(Cards!$F$4:$F$1000&lt;&gt;"Low"))=0),"Conditionally Passed","Failed"),IF($M309="Done","Passed","Not Run")))))</f>
        <v/>
      </c>
      <c r="Y309" s="27" t="str" cm="1">
        <f t="array" ref="Y309">IF($A309="","",IF(TRIM($B309)="","-",IFERROR(_xlfn.TEXTJOIN(" / ",TRUE,_xlfn.UNIQUE(_xlfn._xlws.FILTER('Ownership Matrix'!$C$5:$C$200,('Ownership Matrix'!$A$5:$A$200=TRIM($B309))*('Ownership Matrix'!$C$5:$C$200&lt;&gt;"")))),"ไม่พบใน Ownership Matrix")))</f>
        <v/>
      </c>
      <c r="Z309" s="31" t="str">
        <f>IF(NOT(AND($A309&lt;&gt;"",$M309&lt;&gt;"Out of Scope",$M309&lt;&gt;"Canceled",$T309&lt;&gt;"Fixed – Retest Passed",OR(LEN(TRIM($O309))&gt;0,LEN(TRIM($P309))&gt;0))),"",IF(OR($W309="Failed",$R309="Urgent",$R309="High",$R309="ระบุ Severity + Impact"),IF(COUNTIFS(Dashboard!$B$105:$B$124,$O309,Dashboard!$I$105:$I$124,"CAB")&gt;0,"Accepted (CF)","Blocking"),"Deferrable"))</f>
        <v/>
      </c>
    </row>
    <row r="310" spans="7:26" x14ac:dyDescent="0.3">
      <c r="G310" s="27" t="str" cm="1">
        <f t="array" ref="G310">IF($A310="","",IFERROR(_xlfn.TEXTJOIN(CHAR(10)&amp;CHAR(10),TRUE,_xlfn._xlws.FILTER("•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"&amp;Cards!$L$4:$L$1000),(Cards!$A$4:$A$1000&lt;&gt;"")*ISNUMBER(SEARCH($A310,Cards!$E$4:$E$1000)))),"-"))</f>
        <v/>
      </c>
      <c r="Q310" s="30"/>
      <c r="R310" s="27" t="str">
        <f>IF(OR($A310="",LEN(TRIM($O310))=0),"",IF(OR($P310="",$Q310=""),"ระบุ Severity + Impact",IFERROR(INDEX({"Urgent","Urgent","High","High";"Urgent","High","High","Medium";"High","High","Medium","Medium";"Medium","Medium","Low","Low"},MATCH($P310,{"Critical","High","Medium","Low"},0),MATCH($Q310,{"Extensive","Significant","Moderate","Minor"},0)),"-")))</f>
        <v/>
      </c>
      <c r="S310" s="30"/>
      <c r="T310" s="30"/>
      <c r="W310" s="32" t="str">
        <f>IF($A310="","",IF(OR($M310="Out of Scope",$M310="Canceled"),"Out of Scope",IF($M310="Blocked","Blocked",IF(AND($T310&lt;&gt;"Fixed – Retest Passed",OR(LEN(TRIM($O310))&gt;0,LEN(TRIM($P310))&gt;0)),IF(AND(OR($L310="Medium",$L310="Low"),SUMPRODUCT((Cards!$A$4:$A$1000&lt;&gt;"")*ISNUMBER(SEARCH($A310,Cards!$E$4:$E$1000))*(Cards!$F$4:$F$1000&lt;&gt;"Medium")*(Cards!$F$4:$F$1000&lt;&gt;"Low"))=0),"Conditionally Passed","Failed"),IF($M310="Done","Passed","Not Run")))))</f>
        <v/>
      </c>
      <c r="Y310" s="27" t="str" cm="1">
        <f t="array" ref="Y310">IF($A310="","",IF(TRIM($B310)="","-",IFERROR(_xlfn.TEXTJOIN(" / ",TRUE,_xlfn.UNIQUE(_xlfn._xlws.FILTER('Ownership Matrix'!$C$5:$C$200,('Ownership Matrix'!$A$5:$A$200=TRIM($B310))*('Ownership Matrix'!$C$5:$C$200&lt;&gt;"")))),"ไม่พบใน Ownership Matrix")))</f>
        <v/>
      </c>
      <c r="Z310" s="31" t="str">
        <f>IF(NOT(AND($A310&lt;&gt;"",$M310&lt;&gt;"Out of Scope",$M310&lt;&gt;"Canceled",$T310&lt;&gt;"Fixed – Retest Passed",OR(LEN(TRIM($O310))&gt;0,LEN(TRIM($P310))&gt;0))),"",IF(OR($W310="Failed",$R310="Urgent",$R310="High",$R310="ระบุ Severity + Impact"),IF(COUNTIFS(Dashboard!$B$105:$B$124,$O310,Dashboard!$I$105:$I$124,"CAB")&gt;0,"Accepted (CF)","Blocking"),"Deferrable"))</f>
        <v/>
      </c>
    </row>
    <row r="311" spans="7:26" x14ac:dyDescent="0.3">
      <c r="G311" s="27" t="str" cm="1">
        <f t="array" ref="G311">IF($A311="","",IFERROR(_xlfn.TEXTJOIN(CHAR(10)&amp;CHAR(10),TRUE,_xlfn._xlws.FILTER("•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"&amp;Cards!$L$4:$L$1000),(Cards!$A$4:$A$1000&lt;&gt;"")*ISNUMBER(SEARCH($A311,Cards!$E$4:$E$1000)))),"-"))</f>
        <v/>
      </c>
      <c r="Q311" s="30"/>
      <c r="R311" s="27" t="str">
        <f>IF(OR($A311="",LEN(TRIM($O311))=0),"",IF(OR($P311="",$Q311=""),"ระบุ Severity + Impact",IFERROR(INDEX({"Urgent","Urgent","High","High";"Urgent","High","High","Medium";"High","High","Medium","Medium";"Medium","Medium","Low","Low"},MATCH($P311,{"Critical","High","Medium","Low"},0),MATCH($Q311,{"Extensive","Significant","Moderate","Minor"},0)),"-")))</f>
        <v/>
      </c>
      <c r="S311" s="30"/>
      <c r="T311" s="30"/>
      <c r="W311" s="32" t="str">
        <f>IF($A311="","",IF(OR($M311="Out of Scope",$M311="Canceled"),"Out of Scope",IF($M311="Blocked","Blocked",IF(AND($T311&lt;&gt;"Fixed – Retest Passed",OR(LEN(TRIM($O311))&gt;0,LEN(TRIM($P311))&gt;0)),IF(AND(OR($L311="Medium",$L311="Low"),SUMPRODUCT((Cards!$A$4:$A$1000&lt;&gt;"")*ISNUMBER(SEARCH($A311,Cards!$E$4:$E$1000))*(Cards!$F$4:$F$1000&lt;&gt;"Medium")*(Cards!$F$4:$F$1000&lt;&gt;"Low"))=0),"Conditionally Passed","Failed"),IF($M311="Done","Passed","Not Run")))))</f>
        <v/>
      </c>
      <c r="Y311" s="27" t="str" cm="1">
        <f t="array" ref="Y311">IF($A311="","",IF(TRIM($B311)="","-",IFERROR(_xlfn.TEXTJOIN(" / ",TRUE,_xlfn.UNIQUE(_xlfn._xlws.FILTER('Ownership Matrix'!$C$5:$C$200,('Ownership Matrix'!$A$5:$A$200=TRIM($B311))*('Ownership Matrix'!$C$5:$C$200&lt;&gt;"")))),"ไม่พบใน Ownership Matrix")))</f>
        <v/>
      </c>
      <c r="Z311" s="31" t="str">
        <f>IF(NOT(AND($A311&lt;&gt;"",$M311&lt;&gt;"Out of Scope",$M311&lt;&gt;"Canceled",$T311&lt;&gt;"Fixed – Retest Passed",OR(LEN(TRIM($O311))&gt;0,LEN(TRIM($P311))&gt;0))),"",IF(OR($W311="Failed",$R311="Urgent",$R311="High",$R311="ระบุ Severity + Impact"),IF(COUNTIFS(Dashboard!$B$105:$B$124,$O311,Dashboard!$I$105:$I$124,"CAB")&gt;0,"Accepted (CF)","Blocking"),"Deferrable"))</f>
        <v/>
      </c>
    </row>
    <row r="312" spans="7:26" x14ac:dyDescent="0.3">
      <c r="G312" s="27" t="str" cm="1">
        <f t="array" ref="G312">IF($A312="","",IFERROR(_xlfn.TEXTJOIN(CHAR(10)&amp;CHAR(10),TRUE,_xlfn._xlws.FILTER("•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"&amp;Cards!$L$4:$L$1000),(Cards!$A$4:$A$1000&lt;&gt;"")*ISNUMBER(SEARCH($A312,Cards!$E$4:$E$1000)))),"-"))</f>
        <v/>
      </c>
      <c r="Q312" s="30"/>
      <c r="R312" s="27" t="str">
        <f>IF(OR($A312="",LEN(TRIM($O312))=0),"",IF(OR($P312="",$Q312=""),"ระบุ Severity + Impact",IFERROR(INDEX({"Urgent","Urgent","High","High";"Urgent","High","High","Medium";"High","High","Medium","Medium";"Medium","Medium","Low","Low"},MATCH($P312,{"Critical","High","Medium","Low"},0),MATCH($Q312,{"Extensive","Significant","Moderate","Minor"},0)),"-")))</f>
        <v/>
      </c>
      <c r="S312" s="30"/>
      <c r="T312" s="30"/>
      <c r="W312" s="32" t="str">
        <f>IF($A312="","",IF(OR($M312="Out of Scope",$M312="Canceled"),"Out of Scope",IF($M312="Blocked","Blocked",IF(AND($T312&lt;&gt;"Fixed – Retest Passed",OR(LEN(TRIM($O312))&gt;0,LEN(TRIM($P312))&gt;0)),IF(AND(OR($L312="Medium",$L312="Low"),SUMPRODUCT((Cards!$A$4:$A$1000&lt;&gt;"")*ISNUMBER(SEARCH($A312,Cards!$E$4:$E$1000))*(Cards!$F$4:$F$1000&lt;&gt;"Medium")*(Cards!$F$4:$F$1000&lt;&gt;"Low"))=0),"Conditionally Passed","Failed"),IF($M312="Done","Passed","Not Run")))))</f>
        <v/>
      </c>
      <c r="Y312" s="27" t="str" cm="1">
        <f t="array" ref="Y312">IF($A312="","",IF(TRIM($B312)="","-",IFERROR(_xlfn.TEXTJOIN(" / ",TRUE,_xlfn.UNIQUE(_xlfn._xlws.FILTER('Ownership Matrix'!$C$5:$C$200,('Ownership Matrix'!$A$5:$A$200=TRIM($B312))*('Ownership Matrix'!$C$5:$C$200&lt;&gt;"")))),"ไม่พบใน Ownership Matrix")))</f>
        <v/>
      </c>
      <c r="Z312" s="31" t="str">
        <f>IF(NOT(AND($A312&lt;&gt;"",$M312&lt;&gt;"Out of Scope",$M312&lt;&gt;"Canceled",$T312&lt;&gt;"Fixed – Retest Passed",OR(LEN(TRIM($O312))&gt;0,LEN(TRIM($P312))&gt;0))),"",IF(OR($W312="Failed",$R312="Urgent",$R312="High",$R312="ระบุ Severity + Impact"),IF(COUNTIFS(Dashboard!$B$105:$B$124,$O312,Dashboard!$I$105:$I$124,"CAB")&gt;0,"Accepted (CF)","Blocking"),"Deferrable"))</f>
        <v/>
      </c>
    </row>
    <row r="313" spans="7:26" x14ac:dyDescent="0.3">
      <c r="G313" s="27" t="str" cm="1">
        <f t="array" ref="G313">IF($A313="","",IFERROR(_xlfn.TEXTJOIN(CHAR(10)&amp;CHAR(10),TRUE,_xlfn._xlws.FILTER("•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"&amp;Cards!$L$4:$L$1000),(Cards!$A$4:$A$1000&lt;&gt;"")*ISNUMBER(SEARCH($A313,Cards!$E$4:$E$1000)))),"-"))</f>
        <v/>
      </c>
      <c r="Q313" s="30"/>
      <c r="R313" s="27" t="str">
        <f>IF(OR($A313="",LEN(TRIM($O313))=0),"",IF(OR($P313="",$Q313=""),"ระบุ Severity + Impact",IFERROR(INDEX({"Urgent","Urgent","High","High";"Urgent","High","High","Medium";"High","High","Medium","Medium";"Medium","Medium","Low","Low"},MATCH($P313,{"Critical","High","Medium","Low"},0),MATCH($Q313,{"Extensive","Significant","Moderate","Minor"},0)),"-")))</f>
        <v/>
      </c>
      <c r="S313" s="30"/>
      <c r="T313" s="30"/>
      <c r="W313" s="32" t="str">
        <f>IF($A313="","",IF(OR($M313="Out of Scope",$M313="Canceled"),"Out of Scope",IF($M313="Blocked","Blocked",IF(AND($T313&lt;&gt;"Fixed – Retest Passed",OR(LEN(TRIM($O313))&gt;0,LEN(TRIM($P313))&gt;0)),IF(AND(OR($L313="Medium",$L313="Low"),SUMPRODUCT((Cards!$A$4:$A$1000&lt;&gt;"")*ISNUMBER(SEARCH($A313,Cards!$E$4:$E$1000))*(Cards!$F$4:$F$1000&lt;&gt;"Medium")*(Cards!$F$4:$F$1000&lt;&gt;"Low"))=0),"Conditionally Passed","Failed"),IF($M313="Done","Passed","Not Run")))))</f>
        <v/>
      </c>
      <c r="Y313" s="27" t="str" cm="1">
        <f t="array" ref="Y313">IF($A313="","",IF(TRIM($B313)="","-",IFERROR(_xlfn.TEXTJOIN(" / ",TRUE,_xlfn.UNIQUE(_xlfn._xlws.FILTER('Ownership Matrix'!$C$5:$C$200,('Ownership Matrix'!$A$5:$A$200=TRIM($B313))*('Ownership Matrix'!$C$5:$C$200&lt;&gt;"")))),"ไม่พบใน Ownership Matrix")))</f>
        <v/>
      </c>
      <c r="Z313" s="31" t="str">
        <f>IF(NOT(AND($A313&lt;&gt;"",$M313&lt;&gt;"Out of Scope",$M313&lt;&gt;"Canceled",$T313&lt;&gt;"Fixed – Retest Passed",OR(LEN(TRIM($O313))&gt;0,LEN(TRIM($P313))&gt;0))),"",IF(OR($W313="Failed",$R313="Urgent",$R313="High",$R313="ระบุ Severity + Impact"),IF(COUNTIFS(Dashboard!$B$105:$B$124,$O313,Dashboard!$I$105:$I$124,"CAB")&gt;0,"Accepted (CF)","Blocking"),"Deferrable"))</f>
        <v/>
      </c>
    </row>
    <row r="314" spans="7:26" x14ac:dyDescent="0.3">
      <c r="G314" s="27" t="str" cm="1">
        <f t="array" ref="G314">IF($A314="","",IFERROR(_xlfn.TEXTJOIN(CHAR(10)&amp;CHAR(10),TRUE,_xlfn._xlws.FILTER("•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"&amp;Cards!$L$4:$L$1000),(Cards!$A$4:$A$1000&lt;&gt;"")*ISNUMBER(SEARCH($A314,Cards!$E$4:$E$1000)))),"-"))</f>
        <v/>
      </c>
      <c r="Q314" s="30"/>
      <c r="R314" s="27" t="str">
        <f>IF(OR($A314="",LEN(TRIM($O314))=0),"",IF(OR($P314="",$Q314=""),"ระบุ Severity + Impact",IFERROR(INDEX({"Urgent","Urgent","High","High";"Urgent","High","High","Medium";"High","High","Medium","Medium";"Medium","Medium","Low","Low"},MATCH($P314,{"Critical","High","Medium","Low"},0),MATCH($Q314,{"Extensive","Significant","Moderate","Minor"},0)),"-")))</f>
        <v/>
      </c>
      <c r="S314" s="30"/>
      <c r="T314" s="30"/>
      <c r="W314" s="32" t="str">
        <f>IF($A314="","",IF(OR($M314="Out of Scope",$M314="Canceled"),"Out of Scope",IF($M314="Blocked","Blocked",IF(AND($T314&lt;&gt;"Fixed – Retest Passed",OR(LEN(TRIM($O314))&gt;0,LEN(TRIM($P314))&gt;0)),IF(AND(OR($L314="Medium",$L314="Low"),SUMPRODUCT((Cards!$A$4:$A$1000&lt;&gt;"")*ISNUMBER(SEARCH($A314,Cards!$E$4:$E$1000))*(Cards!$F$4:$F$1000&lt;&gt;"Medium")*(Cards!$F$4:$F$1000&lt;&gt;"Low"))=0),"Conditionally Passed","Failed"),IF($M314="Done","Passed","Not Run")))))</f>
        <v/>
      </c>
      <c r="Y314" s="27" t="str" cm="1">
        <f t="array" ref="Y314">IF($A314="","",IF(TRIM($B314)="","-",IFERROR(_xlfn.TEXTJOIN(" / ",TRUE,_xlfn.UNIQUE(_xlfn._xlws.FILTER('Ownership Matrix'!$C$5:$C$200,('Ownership Matrix'!$A$5:$A$200=TRIM($B314))*('Ownership Matrix'!$C$5:$C$200&lt;&gt;"")))),"ไม่พบใน Ownership Matrix")))</f>
        <v/>
      </c>
      <c r="Z314" s="31" t="str">
        <f>IF(NOT(AND($A314&lt;&gt;"",$M314&lt;&gt;"Out of Scope",$M314&lt;&gt;"Canceled",$T314&lt;&gt;"Fixed – Retest Passed",OR(LEN(TRIM($O314))&gt;0,LEN(TRIM($P314))&gt;0))),"",IF(OR($W314="Failed",$R314="Urgent",$R314="High",$R314="ระบุ Severity + Impact"),IF(COUNTIFS(Dashboard!$B$105:$B$124,$O314,Dashboard!$I$105:$I$124,"CAB")&gt;0,"Accepted (CF)","Blocking"),"Deferrable"))</f>
        <v/>
      </c>
    </row>
    <row r="315" spans="7:26" x14ac:dyDescent="0.3">
      <c r="G315" s="27" t="str" cm="1">
        <f t="array" ref="G315">IF($A315="","",IFERROR(_xlfn.TEXTJOIN(CHAR(10)&amp;CHAR(10),TRUE,_xlfn._xlws.FILTER("•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"&amp;Cards!$L$4:$L$1000),(Cards!$A$4:$A$1000&lt;&gt;"")*ISNUMBER(SEARCH($A315,Cards!$E$4:$E$1000)))),"-"))</f>
        <v/>
      </c>
      <c r="Q315" s="30"/>
      <c r="R315" s="27" t="str">
        <f>IF(OR($A315="",LEN(TRIM($O315))=0),"",IF(OR($P315="",$Q315=""),"ระบุ Severity + Impact",IFERROR(INDEX({"Urgent","Urgent","High","High";"Urgent","High","High","Medium";"High","High","Medium","Medium";"Medium","Medium","Low","Low"},MATCH($P315,{"Critical","High","Medium","Low"},0),MATCH($Q315,{"Extensive","Significant","Moderate","Minor"},0)),"-")))</f>
        <v/>
      </c>
      <c r="S315" s="30"/>
      <c r="T315" s="30"/>
      <c r="W315" s="32" t="str">
        <f>IF($A315="","",IF(OR($M315="Out of Scope",$M315="Canceled"),"Out of Scope",IF($M315="Blocked","Blocked",IF(AND($T315&lt;&gt;"Fixed – Retest Passed",OR(LEN(TRIM($O315))&gt;0,LEN(TRIM($P315))&gt;0)),IF(AND(OR($L315="Medium",$L315="Low"),SUMPRODUCT((Cards!$A$4:$A$1000&lt;&gt;"")*ISNUMBER(SEARCH($A315,Cards!$E$4:$E$1000))*(Cards!$F$4:$F$1000&lt;&gt;"Medium")*(Cards!$F$4:$F$1000&lt;&gt;"Low"))=0),"Conditionally Passed","Failed"),IF($M315="Done","Passed","Not Run")))))</f>
        <v/>
      </c>
      <c r="Y315" s="27" t="str" cm="1">
        <f t="array" ref="Y315">IF($A315="","",IF(TRIM($B315)="","-",IFERROR(_xlfn.TEXTJOIN(" / ",TRUE,_xlfn.UNIQUE(_xlfn._xlws.FILTER('Ownership Matrix'!$C$5:$C$200,('Ownership Matrix'!$A$5:$A$200=TRIM($B315))*('Ownership Matrix'!$C$5:$C$200&lt;&gt;"")))),"ไม่พบใน Ownership Matrix")))</f>
        <v/>
      </c>
      <c r="Z315" s="31" t="str">
        <f>IF(NOT(AND($A315&lt;&gt;"",$M315&lt;&gt;"Out of Scope",$M315&lt;&gt;"Canceled",$T315&lt;&gt;"Fixed – Retest Passed",OR(LEN(TRIM($O315))&gt;0,LEN(TRIM($P315))&gt;0))),"",IF(OR($W315="Failed",$R315="Urgent",$R315="High",$R315="ระบุ Severity + Impact"),IF(COUNTIFS(Dashboard!$B$105:$B$124,$O315,Dashboard!$I$105:$I$124,"CAB")&gt;0,"Accepted (CF)","Blocking"),"Deferrable"))</f>
        <v/>
      </c>
    </row>
    <row r="316" spans="7:26" x14ac:dyDescent="0.3">
      <c r="G316" s="27" t="str" cm="1">
        <f t="array" ref="G316">IF($A316="","",IFERROR(_xlfn.TEXTJOIN(CHAR(10)&amp;CHAR(10),TRUE,_xlfn._xlws.FILTER("•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"&amp;Cards!$L$4:$L$1000),(Cards!$A$4:$A$1000&lt;&gt;"")*ISNUMBER(SEARCH($A316,Cards!$E$4:$E$1000)))),"-"))</f>
        <v/>
      </c>
      <c r="Q316" s="30"/>
      <c r="R316" s="27" t="str">
        <f>IF(OR($A316="",LEN(TRIM($O316))=0),"",IF(OR($P316="",$Q316=""),"ระบุ Severity + Impact",IFERROR(INDEX({"Urgent","Urgent","High","High";"Urgent","High","High","Medium";"High","High","Medium","Medium";"Medium","Medium","Low","Low"},MATCH($P316,{"Critical","High","Medium","Low"},0),MATCH($Q316,{"Extensive","Significant","Moderate","Minor"},0)),"-")))</f>
        <v/>
      </c>
      <c r="S316" s="30"/>
      <c r="T316" s="30"/>
      <c r="W316" s="32" t="str">
        <f>IF($A316="","",IF(OR($M316="Out of Scope",$M316="Canceled"),"Out of Scope",IF($M316="Blocked","Blocked",IF(AND($T316&lt;&gt;"Fixed – Retest Passed",OR(LEN(TRIM($O316))&gt;0,LEN(TRIM($P316))&gt;0)),IF(AND(OR($L316="Medium",$L316="Low"),SUMPRODUCT((Cards!$A$4:$A$1000&lt;&gt;"")*ISNUMBER(SEARCH($A316,Cards!$E$4:$E$1000))*(Cards!$F$4:$F$1000&lt;&gt;"Medium")*(Cards!$F$4:$F$1000&lt;&gt;"Low"))=0),"Conditionally Passed","Failed"),IF($M316="Done","Passed","Not Run")))))</f>
        <v/>
      </c>
      <c r="Y316" s="27" t="str" cm="1">
        <f t="array" ref="Y316">IF($A316="","",IF(TRIM($B316)="","-",IFERROR(_xlfn.TEXTJOIN(" / ",TRUE,_xlfn.UNIQUE(_xlfn._xlws.FILTER('Ownership Matrix'!$C$5:$C$200,('Ownership Matrix'!$A$5:$A$200=TRIM($B316))*('Ownership Matrix'!$C$5:$C$200&lt;&gt;"")))),"ไม่พบใน Ownership Matrix")))</f>
        <v/>
      </c>
      <c r="Z316" s="31" t="str">
        <f>IF(NOT(AND($A316&lt;&gt;"",$M316&lt;&gt;"Out of Scope",$M316&lt;&gt;"Canceled",$T316&lt;&gt;"Fixed – Retest Passed",OR(LEN(TRIM($O316))&gt;0,LEN(TRIM($P316))&gt;0))),"",IF(OR($W316="Failed",$R316="Urgent",$R316="High",$R316="ระบุ Severity + Impact"),IF(COUNTIFS(Dashboard!$B$105:$B$124,$O316,Dashboard!$I$105:$I$124,"CAB")&gt;0,"Accepted (CF)","Blocking"),"Deferrable"))</f>
        <v/>
      </c>
    </row>
    <row r="317" spans="7:26" x14ac:dyDescent="0.3">
      <c r="G317" s="27" t="str" cm="1">
        <f t="array" ref="G317">IF($A317="","",IFERROR(_xlfn.TEXTJOIN(CHAR(10)&amp;CHAR(10),TRUE,_xlfn._xlws.FILTER("•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"&amp;Cards!$L$4:$L$1000),(Cards!$A$4:$A$1000&lt;&gt;"")*ISNUMBER(SEARCH($A317,Cards!$E$4:$E$1000)))),"-"))</f>
        <v/>
      </c>
      <c r="Q317" s="30"/>
      <c r="R317" s="27" t="str">
        <f>IF(OR($A317="",LEN(TRIM($O317))=0),"",IF(OR($P317="",$Q317=""),"ระบุ Severity + Impact",IFERROR(INDEX({"Urgent","Urgent","High","High";"Urgent","High","High","Medium";"High","High","Medium","Medium";"Medium","Medium","Low","Low"},MATCH($P317,{"Critical","High","Medium","Low"},0),MATCH($Q317,{"Extensive","Significant","Moderate","Minor"},0)),"-")))</f>
        <v/>
      </c>
      <c r="S317" s="30"/>
      <c r="T317" s="30"/>
      <c r="W317" s="32" t="str">
        <f>IF($A317="","",IF(OR($M317="Out of Scope",$M317="Canceled"),"Out of Scope",IF($M317="Blocked","Blocked",IF(AND($T317&lt;&gt;"Fixed – Retest Passed",OR(LEN(TRIM($O317))&gt;0,LEN(TRIM($P317))&gt;0)),IF(AND(OR($L317="Medium",$L317="Low"),SUMPRODUCT((Cards!$A$4:$A$1000&lt;&gt;"")*ISNUMBER(SEARCH($A317,Cards!$E$4:$E$1000))*(Cards!$F$4:$F$1000&lt;&gt;"Medium")*(Cards!$F$4:$F$1000&lt;&gt;"Low"))=0),"Conditionally Passed","Failed"),IF($M317="Done","Passed","Not Run")))))</f>
        <v/>
      </c>
      <c r="Y317" s="27" t="str" cm="1">
        <f t="array" ref="Y317">IF($A317="","",IF(TRIM($B317)="","-",IFERROR(_xlfn.TEXTJOIN(" / ",TRUE,_xlfn.UNIQUE(_xlfn._xlws.FILTER('Ownership Matrix'!$C$5:$C$200,('Ownership Matrix'!$A$5:$A$200=TRIM($B317))*('Ownership Matrix'!$C$5:$C$200&lt;&gt;"")))),"ไม่พบใน Ownership Matrix")))</f>
        <v/>
      </c>
      <c r="Z317" s="31" t="str">
        <f>IF(NOT(AND($A317&lt;&gt;"",$M317&lt;&gt;"Out of Scope",$M317&lt;&gt;"Canceled",$T317&lt;&gt;"Fixed – Retest Passed",OR(LEN(TRIM($O317))&gt;0,LEN(TRIM($P317))&gt;0))),"",IF(OR($W317="Failed",$R317="Urgent",$R317="High",$R317="ระบุ Severity + Impact"),IF(COUNTIFS(Dashboard!$B$105:$B$124,$O317,Dashboard!$I$105:$I$124,"CAB")&gt;0,"Accepted (CF)","Blocking"),"Deferrable"))</f>
        <v/>
      </c>
    </row>
    <row r="318" spans="7:26" x14ac:dyDescent="0.3">
      <c r="G318" s="27" t="str" cm="1">
        <f t="array" ref="G318">IF($A318="","",IFERROR(_xlfn.TEXTJOIN(CHAR(10)&amp;CHAR(10),TRUE,_xlfn._xlws.FILTER("•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"&amp;Cards!$L$4:$L$1000),(Cards!$A$4:$A$1000&lt;&gt;"")*ISNUMBER(SEARCH($A318,Cards!$E$4:$E$1000)))),"-"))</f>
        <v/>
      </c>
      <c r="Q318" s="30"/>
      <c r="R318" s="27" t="str">
        <f>IF(OR($A318="",LEN(TRIM($O318))=0),"",IF(OR($P318="",$Q318=""),"ระบุ Severity + Impact",IFERROR(INDEX({"Urgent","Urgent","High","High";"Urgent","High","High","Medium";"High","High","Medium","Medium";"Medium","Medium","Low","Low"},MATCH($P318,{"Critical","High","Medium","Low"},0),MATCH($Q318,{"Extensive","Significant","Moderate","Minor"},0)),"-")))</f>
        <v/>
      </c>
      <c r="S318" s="30"/>
      <c r="T318" s="30"/>
      <c r="W318" s="32" t="str">
        <f>IF($A318="","",IF(OR($M318="Out of Scope",$M318="Canceled"),"Out of Scope",IF($M318="Blocked","Blocked",IF(AND($T318&lt;&gt;"Fixed – Retest Passed",OR(LEN(TRIM($O318))&gt;0,LEN(TRIM($P318))&gt;0)),IF(AND(OR($L318="Medium",$L318="Low"),SUMPRODUCT((Cards!$A$4:$A$1000&lt;&gt;"")*ISNUMBER(SEARCH($A318,Cards!$E$4:$E$1000))*(Cards!$F$4:$F$1000&lt;&gt;"Medium")*(Cards!$F$4:$F$1000&lt;&gt;"Low"))=0),"Conditionally Passed","Failed"),IF($M318="Done","Passed","Not Run")))))</f>
        <v/>
      </c>
      <c r="Y318" s="27" t="str" cm="1">
        <f t="array" ref="Y318">IF($A318="","",IF(TRIM($B318)="","-",IFERROR(_xlfn.TEXTJOIN(" / ",TRUE,_xlfn.UNIQUE(_xlfn._xlws.FILTER('Ownership Matrix'!$C$5:$C$200,('Ownership Matrix'!$A$5:$A$200=TRIM($B318))*('Ownership Matrix'!$C$5:$C$200&lt;&gt;"")))),"ไม่พบใน Ownership Matrix")))</f>
        <v/>
      </c>
      <c r="Z318" s="31" t="str">
        <f>IF(NOT(AND($A318&lt;&gt;"",$M318&lt;&gt;"Out of Scope",$M318&lt;&gt;"Canceled",$T318&lt;&gt;"Fixed – Retest Passed",OR(LEN(TRIM($O318))&gt;0,LEN(TRIM($P318))&gt;0))),"",IF(OR($W318="Failed",$R318="Urgent",$R318="High",$R318="ระบุ Severity + Impact"),IF(COUNTIFS(Dashboard!$B$105:$B$124,$O318,Dashboard!$I$105:$I$124,"CAB")&gt;0,"Accepted (CF)","Blocking"),"Deferrable"))</f>
        <v/>
      </c>
    </row>
    <row r="319" spans="7:26" x14ac:dyDescent="0.3">
      <c r="G319" s="27" t="str" cm="1">
        <f t="array" ref="G319">IF($A319="","",IFERROR(_xlfn.TEXTJOIN(CHAR(10)&amp;CHAR(10),TRUE,_xlfn._xlws.FILTER("•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"&amp;Cards!$L$4:$L$1000),(Cards!$A$4:$A$1000&lt;&gt;"")*ISNUMBER(SEARCH($A319,Cards!$E$4:$E$1000)))),"-"))</f>
        <v/>
      </c>
      <c r="Q319" s="30"/>
      <c r="R319" s="27" t="str">
        <f>IF(OR($A319="",LEN(TRIM($O319))=0),"",IF(OR($P319="",$Q319=""),"ระบุ Severity + Impact",IFERROR(INDEX({"Urgent","Urgent","High","High";"Urgent","High","High","Medium";"High","High","Medium","Medium";"Medium","Medium","Low","Low"},MATCH($P319,{"Critical","High","Medium","Low"},0),MATCH($Q319,{"Extensive","Significant","Moderate","Minor"},0)),"-")))</f>
        <v/>
      </c>
      <c r="S319" s="30"/>
      <c r="T319" s="30"/>
      <c r="W319" s="32" t="str">
        <f>IF($A319="","",IF(OR($M319="Out of Scope",$M319="Canceled"),"Out of Scope",IF($M319="Blocked","Blocked",IF(AND($T319&lt;&gt;"Fixed – Retest Passed",OR(LEN(TRIM($O319))&gt;0,LEN(TRIM($P319))&gt;0)),IF(AND(OR($L319="Medium",$L319="Low"),SUMPRODUCT((Cards!$A$4:$A$1000&lt;&gt;"")*ISNUMBER(SEARCH($A319,Cards!$E$4:$E$1000))*(Cards!$F$4:$F$1000&lt;&gt;"Medium")*(Cards!$F$4:$F$1000&lt;&gt;"Low"))=0),"Conditionally Passed","Failed"),IF($M319="Done","Passed","Not Run")))))</f>
        <v/>
      </c>
      <c r="Y319" s="27" t="str" cm="1">
        <f t="array" ref="Y319">IF($A319="","",IF(TRIM($B319)="","-",IFERROR(_xlfn.TEXTJOIN(" / ",TRUE,_xlfn.UNIQUE(_xlfn._xlws.FILTER('Ownership Matrix'!$C$5:$C$200,('Ownership Matrix'!$A$5:$A$200=TRIM($B319))*('Ownership Matrix'!$C$5:$C$200&lt;&gt;"")))),"ไม่พบใน Ownership Matrix")))</f>
        <v/>
      </c>
      <c r="Z319" s="31" t="str">
        <f>IF(NOT(AND($A319&lt;&gt;"",$M319&lt;&gt;"Out of Scope",$M319&lt;&gt;"Canceled",$T319&lt;&gt;"Fixed – Retest Passed",OR(LEN(TRIM($O319))&gt;0,LEN(TRIM($P319))&gt;0))),"",IF(OR($W319="Failed",$R319="Urgent",$R319="High",$R319="ระบุ Severity + Impact"),IF(COUNTIFS(Dashboard!$B$105:$B$124,$O319,Dashboard!$I$105:$I$124,"CAB")&gt;0,"Accepted (CF)","Blocking"),"Deferrable"))</f>
        <v/>
      </c>
    </row>
    <row r="320" spans="7:26" x14ac:dyDescent="0.3">
      <c r="G320" s="27" t="str" cm="1">
        <f t="array" ref="G320">IF($A320="","",IFERROR(_xlfn.TEXTJOIN(CHAR(10)&amp;CHAR(10),TRUE,_xlfn._xlws.FILTER("•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"&amp;Cards!$L$4:$L$1000),(Cards!$A$4:$A$1000&lt;&gt;"")*ISNUMBER(SEARCH($A320,Cards!$E$4:$E$1000)))),"-"))</f>
        <v/>
      </c>
      <c r="Q320" s="30"/>
      <c r="R320" s="27" t="str">
        <f>IF(OR($A320="",LEN(TRIM($O320))=0),"",IF(OR($P320="",$Q320=""),"ระบุ Severity + Impact",IFERROR(INDEX({"Urgent","Urgent","High","High";"Urgent","High","High","Medium";"High","High","Medium","Medium";"Medium","Medium","Low","Low"},MATCH($P320,{"Critical","High","Medium","Low"},0),MATCH($Q320,{"Extensive","Significant","Moderate","Minor"},0)),"-")))</f>
        <v/>
      </c>
      <c r="S320" s="30"/>
      <c r="T320" s="30"/>
      <c r="W320" s="32" t="str">
        <f>IF($A320="","",IF(OR($M320="Out of Scope",$M320="Canceled"),"Out of Scope",IF($M320="Blocked","Blocked",IF(AND($T320&lt;&gt;"Fixed – Retest Passed",OR(LEN(TRIM($O320))&gt;0,LEN(TRIM($P320))&gt;0)),IF(AND(OR($L320="Medium",$L320="Low"),SUMPRODUCT((Cards!$A$4:$A$1000&lt;&gt;"")*ISNUMBER(SEARCH($A320,Cards!$E$4:$E$1000))*(Cards!$F$4:$F$1000&lt;&gt;"Medium")*(Cards!$F$4:$F$1000&lt;&gt;"Low"))=0),"Conditionally Passed","Failed"),IF($M320="Done","Passed","Not Run")))))</f>
        <v/>
      </c>
      <c r="Y320" s="27" t="str" cm="1">
        <f t="array" ref="Y320">IF($A320="","",IF(TRIM($B320)="","-",IFERROR(_xlfn.TEXTJOIN(" / ",TRUE,_xlfn.UNIQUE(_xlfn._xlws.FILTER('Ownership Matrix'!$C$5:$C$200,('Ownership Matrix'!$A$5:$A$200=TRIM($B320))*('Ownership Matrix'!$C$5:$C$200&lt;&gt;"")))),"ไม่พบใน Ownership Matrix")))</f>
        <v/>
      </c>
      <c r="Z320" s="31" t="str">
        <f>IF(NOT(AND($A320&lt;&gt;"",$M320&lt;&gt;"Out of Scope",$M320&lt;&gt;"Canceled",$T320&lt;&gt;"Fixed – Retest Passed",OR(LEN(TRIM($O320))&gt;0,LEN(TRIM($P320))&gt;0))),"",IF(OR($W320="Failed",$R320="Urgent",$R320="High",$R320="ระบุ Severity + Impact"),IF(COUNTIFS(Dashboard!$B$105:$B$124,$O320,Dashboard!$I$105:$I$124,"CAB")&gt;0,"Accepted (CF)","Blocking"),"Deferrable"))</f>
        <v/>
      </c>
    </row>
    <row r="321" spans="7:26" x14ac:dyDescent="0.3">
      <c r="G321" s="27" t="str" cm="1">
        <f t="array" ref="G321">IF($A321="","",IFERROR(_xlfn.TEXTJOIN(CHAR(10)&amp;CHAR(10),TRUE,_xlfn._xlws.FILTER("•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"&amp;Cards!$L$4:$L$1000),(Cards!$A$4:$A$1000&lt;&gt;"")*ISNUMBER(SEARCH($A321,Cards!$E$4:$E$1000)))),"-"))</f>
        <v/>
      </c>
      <c r="Q321" s="30"/>
      <c r="R321" s="27" t="str">
        <f>IF(OR($A321="",LEN(TRIM($O321))=0),"",IF(OR($P321="",$Q321=""),"ระบุ Severity + Impact",IFERROR(INDEX({"Urgent","Urgent","High","High";"Urgent","High","High","Medium";"High","High","Medium","Medium";"Medium","Medium","Low","Low"},MATCH($P321,{"Critical","High","Medium","Low"},0),MATCH($Q321,{"Extensive","Significant","Moderate","Minor"},0)),"-")))</f>
        <v/>
      </c>
      <c r="S321" s="30"/>
      <c r="T321" s="30"/>
      <c r="W321" s="32" t="str">
        <f>IF($A321="","",IF(OR($M321="Out of Scope",$M321="Canceled"),"Out of Scope",IF($M321="Blocked","Blocked",IF(AND($T321&lt;&gt;"Fixed – Retest Passed",OR(LEN(TRIM($O321))&gt;0,LEN(TRIM($P321))&gt;0)),IF(AND(OR($L321="Medium",$L321="Low"),SUMPRODUCT((Cards!$A$4:$A$1000&lt;&gt;"")*ISNUMBER(SEARCH($A321,Cards!$E$4:$E$1000))*(Cards!$F$4:$F$1000&lt;&gt;"Medium")*(Cards!$F$4:$F$1000&lt;&gt;"Low"))=0),"Conditionally Passed","Failed"),IF($M321="Done","Passed","Not Run")))))</f>
        <v/>
      </c>
      <c r="Y321" s="27" t="str" cm="1">
        <f t="array" ref="Y321">IF($A321="","",IF(TRIM($B321)="","-",IFERROR(_xlfn.TEXTJOIN(" / ",TRUE,_xlfn.UNIQUE(_xlfn._xlws.FILTER('Ownership Matrix'!$C$5:$C$200,('Ownership Matrix'!$A$5:$A$200=TRIM($B321))*('Ownership Matrix'!$C$5:$C$200&lt;&gt;"")))),"ไม่พบใน Ownership Matrix")))</f>
        <v/>
      </c>
      <c r="Z321" s="31" t="str">
        <f>IF(NOT(AND($A321&lt;&gt;"",$M321&lt;&gt;"Out of Scope",$M321&lt;&gt;"Canceled",$T321&lt;&gt;"Fixed – Retest Passed",OR(LEN(TRIM($O321))&gt;0,LEN(TRIM($P321))&gt;0))),"",IF(OR($W321="Failed",$R321="Urgent",$R321="High",$R321="ระบุ Severity + Impact"),IF(COUNTIFS(Dashboard!$B$105:$B$124,$O321,Dashboard!$I$105:$I$124,"CAB")&gt;0,"Accepted (CF)","Blocking"),"Deferrable"))</f>
        <v/>
      </c>
    </row>
    <row r="322" spans="7:26" x14ac:dyDescent="0.3">
      <c r="G322" s="27" t="str" cm="1">
        <f t="array" ref="G322">IF($A322="","",IFERROR(_xlfn.TEXTJOIN(CHAR(10)&amp;CHAR(10),TRUE,_xlfn._xlws.FILTER("•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"&amp;Cards!$L$4:$L$1000),(Cards!$A$4:$A$1000&lt;&gt;"")*ISNUMBER(SEARCH($A322,Cards!$E$4:$E$1000)))),"-"))</f>
        <v/>
      </c>
      <c r="Q322" s="30"/>
      <c r="R322" s="27" t="str">
        <f>IF(OR($A322="",LEN(TRIM($O322))=0),"",IF(OR($P322="",$Q322=""),"ระบุ Severity + Impact",IFERROR(INDEX({"Urgent","Urgent","High","High";"Urgent","High","High","Medium";"High","High","Medium","Medium";"Medium","Medium","Low","Low"},MATCH($P322,{"Critical","High","Medium","Low"},0),MATCH($Q322,{"Extensive","Significant","Moderate","Minor"},0)),"-")))</f>
        <v/>
      </c>
      <c r="S322" s="30"/>
      <c r="T322" s="30"/>
      <c r="W322" s="32" t="str">
        <f>IF($A322="","",IF(OR($M322="Out of Scope",$M322="Canceled"),"Out of Scope",IF($M322="Blocked","Blocked",IF(AND($T322&lt;&gt;"Fixed – Retest Passed",OR(LEN(TRIM($O322))&gt;0,LEN(TRIM($P322))&gt;0)),IF(AND(OR($L322="Medium",$L322="Low"),SUMPRODUCT((Cards!$A$4:$A$1000&lt;&gt;"")*ISNUMBER(SEARCH($A322,Cards!$E$4:$E$1000))*(Cards!$F$4:$F$1000&lt;&gt;"Medium")*(Cards!$F$4:$F$1000&lt;&gt;"Low"))=0),"Conditionally Passed","Failed"),IF($M322="Done","Passed","Not Run")))))</f>
        <v/>
      </c>
      <c r="Y322" s="27" t="str" cm="1">
        <f t="array" ref="Y322">IF($A322="","",IF(TRIM($B322)="","-",IFERROR(_xlfn.TEXTJOIN(" / ",TRUE,_xlfn.UNIQUE(_xlfn._xlws.FILTER('Ownership Matrix'!$C$5:$C$200,('Ownership Matrix'!$A$5:$A$200=TRIM($B322))*('Ownership Matrix'!$C$5:$C$200&lt;&gt;"")))),"ไม่พบใน Ownership Matrix")))</f>
        <v/>
      </c>
      <c r="Z322" s="31" t="str">
        <f>IF(NOT(AND($A322&lt;&gt;"",$M322&lt;&gt;"Out of Scope",$M322&lt;&gt;"Canceled",$T322&lt;&gt;"Fixed – Retest Passed",OR(LEN(TRIM($O322))&gt;0,LEN(TRIM($P322))&gt;0))),"",IF(OR($W322="Failed",$R322="Urgent",$R322="High",$R322="ระบุ Severity + Impact"),IF(COUNTIFS(Dashboard!$B$105:$B$124,$O322,Dashboard!$I$105:$I$124,"CAB")&gt;0,"Accepted (CF)","Blocking"),"Deferrable"))</f>
        <v/>
      </c>
    </row>
    <row r="323" spans="7:26" x14ac:dyDescent="0.3">
      <c r="G323" s="27" t="str" cm="1">
        <f t="array" ref="G323">IF($A323="","",IFERROR(_xlfn.TEXTJOIN(CHAR(10)&amp;CHAR(10),TRUE,_xlfn._xlws.FILTER("•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"&amp;Cards!$L$4:$L$1000),(Cards!$A$4:$A$1000&lt;&gt;"")*ISNUMBER(SEARCH($A323,Cards!$E$4:$E$1000)))),"-"))</f>
        <v/>
      </c>
      <c r="Q323" s="30"/>
      <c r="R323" s="27" t="str">
        <f>IF(OR($A323="",LEN(TRIM($O323))=0),"",IF(OR($P323="",$Q323=""),"ระบุ Severity + Impact",IFERROR(INDEX({"Urgent","Urgent","High","High";"Urgent","High","High","Medium";"High","High","Medium","Medium";"Medium","Medium","Low","Low"},MATCH($P323,{"Critical","High","Medium","Low"},0),MATCH($Q323,{"Extensive","Significant","Moderate","Minor"},0)),"-")))</f>
        <v/>
      </c>
      <c r="S323" s="30"/>
      <c r="T323" s="30"/>
      <c r="W323" s="32" t="str">
        <f>IF($A323="","",IF(OR($M323="Out of Scope",$M323="Canceled"),"Out of Scope",IF($M323="Blocked","Blocked",IF(AND($T323&lt;&gt;"Fixed – Retest Passed",OR(LEN(TRIM($O323))&gt;0,LEN(TRIM($P323))&gt;0)),IF(AND(OR($L323="Medium",$L323="Low"),SUMPRODUCT((Cards!$A$4:$A$1000&lt;&gt;"")*ISNUMBER(SEARCH($A323,Cards!$E$4:$E$1000))*(Cards!$F$4:$F$1000&lt;&gt;"Medium")*(Cards!$F$4:$F$1000&lt;&gt;"Low"))=0),"Conditionally Passed","Failed"),IF($M323="Done","Passed","Not Run")))))</f>
        <v/>
      </c>
      <c r="Y323" s="27" t="str" cm="1">
        <f t="array" ref="Y323">IF($A323="","",IF(TRIM($B323)="","-",IFERROR(_xlfn.TEXTJOIN(" / ",TRUE,_xlfn.UNIQUE(_xlfn._xlws.FILTER('Ownership Matrix'!$C$5:$C$200,('Ownership Matrix'!$A$5:$A$200=TRIM($B323))*('Ownership Matrix'!$C$5:$C$200&lt;&gt;"")))),"ไม่พบใน Ownership Matrix")))</f>
        <v/>
      </c>
      <c r="Z323" s="31" t="str">
        <f>IF(NOT(AND($A323&lt;&gt;"",$M323&lt;&gt;"Out of Scope",$M323&lt;&gt;"Canceled",$T323&lt;&gt;"Fixed – Retest Passed",OR(LEN(TRIM($O323))&gt;0,LEN(TRIM($P323))&gt;0))),"",IF(OR($W323="Failed",$R323="Urgent",$R323="High",$R323="ระบุ Severity + Impact"),IF(COUNTIFS(Dashboard!$B$105:$B$124,$O323,Dashboard!$I$105:$I$124,"CAB")&gt;0,"Accepted (CF)","Blocking"),"Deferrable"))</f>
        <v/>
      </c>
    </row>
    <row r="324" spans="7:26" x14ac:dyDescent="0.3">
      <c r="G324" s="27" t="str" cm="1">
        <f t="array" ref="G324">IF($A324="","",IFERROR(_xlfn.TEXTJOIN(CHAR(10)&amp;CHAR(10),TRUE,_xlfn._xlws.FILTER("•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"&amp;Cards!$L$4:$L$1000),(Cards!$A$4:$A$1000&lt;&gt;"")*ISNUMBER(SEARCH($A324,Cards!$E$4:$E$1000)))),"-"))</f>
        <v/>
      </c>
      <c r="Q324" s="30"/>
      <c r="R324" s="27" t="str">
        <f>IF(OR($A324="",LEN(TRIM($O324))=0),"",IF(OR($P324="",$Q324=""),"ระบุ Severity + Impact",IFERROR(INDEX({"Urgent","Urgent","High","High";"Urgent","High","High","Medium";"High","High","Medium","Medium";"Medium","Medium","Low","Low"},MATCH($P324,{"Critical","High","Medium","Low"},0),MATCH($Q324,{"Extensive","Significant","Moderate","Minor"},0)),"-")))</f>
        <v/>
      </c>
      <c r="S324" s="30"/>
      <c r="T324" s="30"/>
      <c r="W324" s="32" t="str">
        <f>IF($A324="","",IF(OR($M324="Out of Scope",$M324="Canceled"),"Out of Scope",IF($M324="Blocked","Blocked",IF(AND($T324&lt;&gt;"Fixed – Retest Passed",OR(LEN(TRIM($O324))&gt;0,LEN(TRIM($P324))&gt;0)),IF(AND(OR($L324="Medium",$L324="Low"),SUMPRODUCT((Cards!$A$4:$A$1000&lt;&gt;"")*ISNUMBER(SEARCH($A324,Cards!$E$4:$E$1000))*(Cards!$F$4:$F$1000&lt;&gt;"Medium")*(Cards!$F$4:$F$1000&lt;&gt;"Low"))=0),"Conditionally Passed","Failed"),IF($M324="Done","Passed","Not Run")))))</f>
        <v/>
      </c>
      <c r="Y324" s="27" t="str" cm="1">
        <f t="array" ref="Y324">IF($A324="","",IF(TRIM($B324)="","-",IFERROR(_xlfn.TEXTJOIN(" / ",TRUE,_xlfn.UNIQUE(_xlfn._xlws.FILTER('Ownership Matrix'!$C$5:$C$200,('Ownership Matrix'!$A$5:$A$200=TRIM($B324))*('Ownership Matrix'!$C$5:$C$200&lt;&gt;"")))),"ไม่พบใน Ownership Matrix")))</f>
        <v/>
      </c>
      <c r="Z324" s="31" t="str">
        <f>IF(NOT(AND($A324&lt;&gt;"",$M324&lt;&gt;"Out of Scope",$M324&lt;&gt;"Canceled",$T324&lt;&gt;"Fixed – Retest Passed",OR(LEN(TRIM($O324))&gt;0,LEN(TRIM($P324))&gt;0))),"",IF(OR($W324="Failed",$R324="Urgent",$R324="High",$R324="ระบุ Severity + Impact"),IF(COUNTIFS(Dashboard!$B$105:$B$124,$O324,Dashboard!$I$105:$I$124,"CAB")&gt;0,"Accepted (CF)","Blocking"),"Deferrable"))</f>
        <v/>
      </c>
    </row>
    <row r="325" spans="7:26" x14ac:dyDescent="0.3">
      <c r="G325" s="27" t="str" cm="1">
        <f t="array" ref="G325">IF($A325="","",IFERROR(_xlfn.TEXTJOIN(CHAR(10)&amp;CHAR(10),TRUE,_xlfn._xlws.FILTER("•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"&amp;Cards!$L$4:$L$1000),(Cards!$A$4:$A$1000&lt;&gt;"")*ISNUMBER(SEARCH($A325,Cards!$E$4:$E$1000)))),"-"))</f>
        <v/>
      </c>
      <c r="Q325" s="30"/>
      <c r="R325" s="27" t="str">
        <f>IF(OR($A325="",LEN(TRIM($O325))=0),"",IF(OR($P325="",$Q325=""),"ระบุ Severity + Impact",IFERROR(INDEX({"Urgent","Urgent","High","High";"Urgent","High","High","Medium";"High","High","Medium","Medium";"Medium","Medium","Low","Low"},MATCH($P325,{"Critical","High","Medium","Low"},0),MATCH($Q325,{"Extensive","Significant","Moderate","Minor"},0)),"-")))</f>
        <v/>
      </c>
      <c r="S325" s="30"/>
      <c r="T325" s="30"/>
      <c r="W325" s="32" t="str">
        <f>IF($A325="","",IF(OR($M325="Out of Scope",$M325="Canceled"),"Out of Scope",IF($M325="Blocked","Blocked",IF(AND($T325&lt;&gt;"Fixed – Retest Passed",OR(LEN(TRIM($O325))&gt;0,LEN(TRIM($P325))&gt;0)),IF(AND(OR($L325="Medium",$L325="Low"),SUMPRODUCT((Cards!$A$4:$A$1000&lt;&gt;"")*ISNUMBER(SEARCH($A325,Cards!$E$4:$E$1000))*(Cards!$F$4:$F$1000&lt;&gt;"Medium")*(Cards!$F$4:$F$1000&lt;&gt;"Low"))=0),"Conditionally Passed","Failed"),IF($M325="Done","Passed","Not Run")))))</f>
        <v/>
      </c>
      <c r="Y325" s="27" t="str" cm="1">
        <f t="array" ref="Y325">IF($A325="","",IF(TRIM($B325)="","-",IFERROR(_xlfn.TEXTJOIN(" / ",TRUE,_xlfn.UNIQUE(_xlfn._xlws.FILTER('Ownership Matrix'!$C$5:$C$200,('Ownership Matrix'!$A$5:$A$200=TRIM($B325))*('Ownership Matrix'!$C$5:$C$200&lt;&gt;"")))),"ไม่พบใน Ownership Matrix")))</f>
        <v/>
      </c>
      <c r="Z325" s="31" t="str">
        <f>IF(NOT(AND($A325&lt;&gt;"",$M325&lt;&gt;"Out of Scope",$M325&lt;&gt;"Canceled",$T325&lt;&gt;"Fixed – Retest Passed",OR(LEN(TRIM($O325))&gt;0,LEN(TRIM($P325))&gt;0))),"",IF(OR($W325="Failed",$R325="Urgent",$R325="High",$R325="ระบุ Severity + Impact"),IF(COUNTIFS(Dashboard!$B$105:$B$124,$O325,Dashboard!$I$105:$I$124,"CAB")&gt;0,"Accepted (CF)","Blocking"),"Deferrable"))</f>
        <v/>
      </c>
    </row>
    <row r="326" spans="7:26" x14ac:dyDescent="0.3">
      <c r="G326" s="27" t="str" cm="1">
        <f t="array" ref="G326">IF($A326="","",IFERROR(_xlfn.TEXTJOIN(CHAR(10)&amp;CHAR(10),TRUE,_xlfn._xlws.FILTER("•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"&amp;Cards!$L$4:$L$1000),(Cards!$A$4:$A$1000&lt;&gt;"")*ISNUMBER(SEARCH($A326,Cards!$E$4:$E$1000)))),"-"))</f>
        <v/>
      </c>
      <c r="Q326" s="30"/>
      <c r="R326" s="27" t="str">
        <f>IF(OR($A326="",LEN(TRIM($O326))=0),"",IF(OR($P326="",$Q326=""),"ระบุ Severity + Impact",IFERROR(INDEX({"Urgent","Urgent","High","High";"Urgent","High","High","Medium";"High","High","Medium","Medium";"Medium","Medium","Low","Low"},MATCH($P326,{"Critical","High","Medium","Low"},0),MATCH($Q326,{"Extensive","Significant","Moderate","Minor"},0)),"-")))</f>
        <v/>
      </c>
      <c r="S326" s="30"/>
      <c r="T326" s="30"/>
      <c r="W326" s="32" t="str">
        <f>IF($A326="","",IF(OR($M326="Out of Scope",$M326="Canceled"),"Out of Scope",IF($M326="Blocked","Blocked",IF(AND($T326&lt;&gt;"Fixed – Retest Passed",OR(LEN(TRIM($O326))&gt;0,LEN(TRIM($P326))&gt;0)),IF(AND(OR($L326="Medium",$L326="Low"),SUMPRODUCT((Cards!$A$4:$A$1000&lt;&gt;"")*ISNUMBER(SEARCH($A326,Cards!$E$4:$E$1000))*(Cards!$F$4:$F$1000&lt;&gt;"Medium")*(Cards!$F$4:$F$1000&lt;&gt;"Low"))=0),"Conditionally Passed","Failed"),IF($M326="Done","Passed","Not Run")))))</f>
        <v/>
      </c>
      <c r="Y326" s="27" t="str" cm="1">
        <f t="array" ref="Y326">IF($A326="","",IF(TRIM($B326)="","-",IFERROR(_xlfn.TEXTJOIN(" / ",TRUE,_xlfn.UNIQUE(_xlfn._xlws.FILTER('Ownership Matrix'!$C$5:$C$200,('Ownership Matrix'!$A$5:$A$200=TRIM($B326))*('Ownership Matrix'!$C$5:$C$200&lt;&gt;"")))),"ไม่พบใน Ownership Matrix")))</f>
        <v/>
      </c>
      <c r="Z326" s="31" t="str">
        <f>IF(NOT(AND($A326&lt;&gt;"",$M326&lt;&gt;"Out of Scope",$M326&lt;&gt;"Canceled",$T326&lt;&gt;"Fixed – Retest Passed",OR(LEN(TRIM($O326))&gt;0,LEN(TRIM($P326))&gt;0))),"",IF(OR($W326="Failed",$R326="Urgent",$R326="High",$R326="ระบุ Severity + Impact"),IF(COUNTIFS(Dashboard!$B$105:$B$124,$O326,Dashboard!$I$105:$I$124,"CAB")&gt;0,"Accepted (CF)","Blocking"),"Deferrable"))</f>
        <v/>
      </c>
    </row>
    <row r="327" spans="7:26" x14ac:dyDescent="0.3">
      <c r="G327" s="27" t="str" cm="1">
        <f t="array" ref="G327">IF($A327="","",IFERROR(_xlfn.TEXTJOIN(CHAR(10)&amp;CHAR(10),TRUE,_xlfn._xlws.FILTER("•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"&amp;Cards!$L$4:$L$1000),(Cards!$A$4:$A$1000&lt;&gt;"")*ISNUMBER(SEARCH($A327,Cards!$E$4:$E$1000)))),"-"))</f>
        <v/>
      </c>
      <c r="Q327" s="30"/>
      <c r="R327" s="27" t="str">
        <f>IF(OR($A327="",LEN(TRIM($O327))=0),"",IF(OR($P327="",$Q327=""),"ระบุ Severity + Impact",IFERROR(INDEX({"Urgent","Urgent","High","High";"Urgent","High","High","Medium";"High","High","Medium","Medium";"Medium","Medium","Low","Low"},MATCH($P327,{"Critical","High","Medium","Low"},0),MATCH($Q327,{"Extensive","Significant","Moderate","Minor"},0)),"-")))</f>
        <v/>
      </c>
      <c r="S327" s="30"/>
      <c r="T327" s="30"/>
      <c r="W327" s="32" t="str">
        <f>IF($A327="","",IF(OR($M327="Out of Scope",$M327="Canceled"),"Out of Scope",IF($M327="Blocked","Blocked",IF(AND($T327&lt;&gt;"Fixed – Retest Passed",OR(LEN(TRIM($O327))&gt;0,LEN(TRIM($P327))&gt;0)),IF(AND(OR($L327="Medium",$L327="Low"),SUMPRODUCT((Cards!$A$4:$A$1000&lt;&gt;"")*ISNUMBER(SEARCH($A327,Cards!$E$4:$E$1000))*(Cards!$F$4:$F$1000&lt;&gt;"Medium")*(Cards!$F$4:$F$1000&lt;&gt;"Low"))=0),"Conditionally Passed","Failed"),IF($M327="Done","Passed","Not Run")))))</f>
        <v/>
      </c>
      <c r="Y327" s="27" t="str" cm="1">
        <f t="array" ref="Y327">IF($A327="","",IF(TRIM($B327)="","-",IFERROR(_xlfn.TEXTJOIN(" / ",TRUE,_xlfn.UNIQUE(_xlfn._xlws.FILTER('Ownership Matrix'!$C$5:$C$200,('Ownership Matrix'!$A$5:$A$200=TRIM($B327))*('Ownership Matrix'!$C$5:$C$200&lt;&gt;"")))),"ไม่พบใน Ownership Matrix")))</f>
        <v/>
      </c>
      <c r="Z327" s="31" t="str">
        <f>IF(NOT(AND($A327&lt;&gt;"",$M327&lt;&gt;"Out of Scope",$M327&lt;&gt;"Canceled",$T327&lt;&gt;"Fixed – Retest Passed",OR(LEN(TRIM($O327))&gt;0,LEN(TRIM($P327))&gt;0))),"",IF(OR($W327="Failed",$R327="Urgent",$R327="High",$R327="ระบุ Severity + Impact"),IF(COUNTIFS(Dashboard!$B$105:$B$124,$O327,Dashboard!$I$105:$I$124,"CAB")&gt;0,"Accepted (CF)","Blocking"),"Deferrable"))</f>
        <v/>
      </c>
    </row>
    <row r="328" spans="7:26" x14ac:dyDescent="0.3">
      <c r="G328" s="27" t="str" cm="1">
        <f t="array" ref="G328">IF($A328="","",IFERROR(_xlfn.TEXTJOIN(CHAR(10)&amp;CHAR(10),TRUE,_xlfn._xlws.FILTER("•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"&amp;Cards!$L$4:$L$1000),(Cards!$A$4:$A$1000&lt;&gt;"")*ISNUMBER(SEARCH($A328,Cards!$E$4:$E$1000)))),"-"))</f>
        <v/>
      </c>
      <c r="Q328" s="30"/>
      <c r="R328" s="27" t="str">
        <f>IF(OR($A328="",LEN(TRIM($O328))=0),"",IF(OR($P328="",$Q328=""),"ระบุ Severity + Impact",IFERROR(INDEX({"Urgent","Urgent","High","High";"Urgent","High","High","Medium";"High","High","Medium","Medium";"Medium","Medium","Low","Low"},MATCH($P328,{"Critical","High","Medium","Low"},0),MATCH($Q328,{"Extensive","Significant","Moderate","Minor"},0)),"-")))</f>
        <v/>
      </c>
      <c r="S328" s="30"/>
      <c r="T328" s="30"/>
      <c r="W328" s="32" t="str">
        <f>IF($A328="","",IF(OR($M328="Out of Scope",$M328="Canceled"),"Out of Scope",IF($M328="Blocked","Blocked",IF(AND($T328&lt;&gt;"Fixed – Retest Passed",OR(LEN(TRIM($O328))&gt;0,LEN(TRIM($P328))&gt;0)),IF(AND(OR($L328="Medium",$L328="Low"),SUMPRODUCT((Cards!$A$4:$A$1000&lt;&gt;"")*ISNUMBER(SEARCH($A328,Cards!$E$4:$E$1000))*(Cards!$F$4:$F$1000&lt;&gt;"Medium")*(Cards!$F$4:$F$1000&lt;&gt;"Low"))=0),"Conditionally Passed","Failed"),IF($M328="Done","Passed","Not Run")))))</f>
        <v/>
      </c>
      <c r="Y328" s="27" t="str" cm="1">
        <f t="array" ref="Y328">IF($A328="","",IF(TRIM($B328)="","-",IFERROR(_xlfn.TEXTJOIN(" / ",TRUE,_xlfn.UNIQUE(_xlfn._xlws.FILTER('Ownership Matrix'!$C$5:$C$200,('Ownership Matrix'!$A$5:$A$200=TRIM($B328))*('Ownership Matrix'!$C$5:$C$200&lt;&gt;"")))),"ไม่พบใน Ownership Matrix")))</f>
        <v/>
      </c>
      <c r="Z328" s="31" t="str">
        <f>IF(NOT(AND($A328&lt;&gt;"",$M328&lt;&gt;"Out of Scope",$M328&lt;&gt;"Canceled",$T328&lt;&gt;"Fixed – Retest Passed",OR(LEN(TRIM($O328))&gt;0,LEN(TRIM($P328))&gt;0))),"",IF(OR($W328="Failed",$R328="Urgent",$R328="High",$R328="ระบุ Severity + Impact"),IF(COUNTIFS(Dashboard!$B$105:$B$124,$O328,Dashboard!$I$105:$I$124,"CAB")&gt;0,"Accepted (CF)","Blocking"),"Deferrable"))</f>
        <v/>
      </c>
    </row>
    <row r="329" spans="7:26" x14ac:dyDescent="0.3">
      <c r="G329" s="27" t="str" cm="1">
        <f t="array" ref="G329">IF($A329="","",IFERROR(_xlfn.TEXTJOIN(CHAR(10)&amp;CHAR(10),TRUE,_xlfn._xlws.FILTER("•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"&amp;Cards!$L$4:$L$1000),(Cards!$A$4:$A$1000&lt;&gt;"")*ISNUMBER(SEARCH($A329,Cards!$E$4:$E$1000)))),"-"))</f>
        <v/>
      </c>
      <c r="Q329" s="30"/>
      <c r="R329" s="27" t="str">
        <f>IF(OR($A329="",LEN(TRIM($O329))=0),"",IF(OR($P329="",$Q329=""),"ระบุ Severity + Impact",IFERROR(INDEX({"Urgent","Urgent","High","High";"Urgent","High","High","Medium";"High","High","Medium","Medium";"Medium","Medium","Low","Low"},MATCH($P329,{"Critical","High","Medium","Low"},0),MATCH($Q329,{"Extensive","Significant","Moderate","Minor"},0)),"-")))</f>
        <v/>
      </c>
      <c r="S329" s="30"/>
      <c r="T329" s="30"/>
      <c r="W329" s="32" t="str">
        <f>IF($A329="","",IF(OR($M329="Out of Scope",$M329="Canceled"),"Out of Scope",IF($M329="Blocked","Blocked",IF(AND($T329&lt;&gt;"Fixed – Retest Passed",OR(LEN(TRIM($O329))&gt;0,LEN(TRIM($P329))&gt;0)),IF(AND(OR($L329="Medium",$L329="Low"),SUMPRODUCT((Cards!$A$4:$A$1000&lt;&gt;"")*ISNUMBER(SEARCH($A329,Cards!$E$4:$E$1000))*(Cards!$F$4:$F$1000&lt;&gt;"Medium")*(Cards!$F$4:$F$1000&lt;&gt;"Low"))=0),"Conditionally Passed","Failed"),IF($M329="Done","Passed","Not Run")))))</f>
        <v/>
      </c>
      <c r="Y329" s="27" t="str" cm="1">
        <f t="array" ref="Y329">IF($A329="","",IF(TRIM($B329)="","-",IFERROR(_xlfn.TEXTJOIN(" / ",TRUE,_xlfn.UNIQUE(_xlfn._xlws.FILTER('Ownership Matrix'!$C$5:$C$200,('Ownership Matrix'!$A$5:$A$200=TRIM($B329))*('Ownership Matrix'!$C$5:$C$200&lt;&gt;"")))),"ไม่พบใน Ownership Matrix")))</f>
        <v/>
      </c>
      <c r="Z329" s="31" t="str">
        <f>IF(NOT(AND($A329&lt;&gt;"",$M329&lt;&gt;"Out of Scope",$M329&lt;&gt;"Canceled",$T329&lt;&gt;"Fixed – Retest Passed",OR(LEN(TRIM($O329))&gt;0,LEN(TRIM($P329))&gt;0))),"",IF(OR($W329="Failed",$R329="Urgent",$R329="High",$R329="ระบุ Severity + Impact"),IF(COUNTIFS(Dashboard!$B$105:$B$124,$O329,Dashboard!$I$105:$I$124,"CAB")&gt;0,"Accepted (CF)","Blocking"),"Deferrable"))</f>
        <v/>
      </c>
    </row>
    <row r="330" spans="7:26" x14ac:dyDescent="0.3">
      <c r="G330" s="27" t="str" cm="1">
        <f t="array" ref="G330">IF($A330="","",IFERROR(_xlfn.TEXTJOIN(CHAR(10)&amp;CHAR(10),TRUE,_xlfn._xlws.FILTER("•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"&amp;Cards!$L$4:$L$1000),(Cards!$A$4:$A$1000&lt;&gt;"")*ISNUMBER(SEARCH($A330,Cards!$E$4:$E$1000)))),"-"))</f>
        <v/>
      </c>
      <c r="Q330" s="30"/>
      <c r="R330" s="27" t="str">
        <f>IF(OR($A330="",LEN(TRIM($O330))=0),"",IF(OR($P330="",$Q330=""),"ระบุ Severity + Impact",IFERROR(INDEX({"Urgent","Urgent","High","High";"Urgent","High","High","Medium";"High","High","Medium","Medium";"Medium","Medium","Low","Low"},MATCH($P330,{"Critical","High","Medium","Low"},0),MATCH($Q330,{"Extensive","Significant","Moderate","Minor"},0)),"-")))</f>
        <v/>
      </c>
      <c r="S330" s="30"/>
      <c r="T330" s="30"/>
      <c r="W330" s="32" t="str">
        <f>IF($A330="","",IF(OR($M330="Out of Scope",$M330="Canceled"),"Out of Scope",IF($M330="Blocked","Blocked",IF(AND($T330&lt;&gt;"Fixed – Retest Passed",OR(LEN(TRIM($O330))&gt;0,LEN(TRIM($P330))&gt;0)),IF(AND(OR($L330="Medium",$L330="Low"),SUMPRODUCT((Cards!$A$4:$A$1000&lt;&gt;"")*ISNUMBER(SEARCH($A330,Cards!$E$4:$E$1000))*(Cards!$F$4:$F$1000&lt;&gt;"Medium")*(Cards!$F$4:$F$1000&lt;&gt;"Low"))=0),"Conditionally Passed","Failed"),IF($M330="Done","Passed","Not Run")))))</f>
        <v/>
      </c>
      <c r="Y330" s="27" t="str" cm="1">
        <f t="array" ref="Y330">IF($A330="","",IF(TRIM($B330)="","-",IFERROR(_xlfn.TEXTJOIN(" / ",TRUE,_xlfn.UNIQUE(_xlfn._xlws.FILTER('Ownership Matrix'!$C$5:$C$200,('Ownership Matrix'!$A$5:$A$200=TRIM($B330))*('Ownership Matrix'!$C$5:$C$200&lt;&gt;"")))),"ไม่พบใน Ownership Matrix")))</f>
        <v/>
      </c>
      <c r="Z330" s="31" t="str">
        <f>IF(NOT(AND($A330&lt;&gt;"",$M330&lt;&gt;"Out of Scope",$M330&lt;&gt;"Canceled",$T330&lt;&gt;"Fixed – Retest Passed",OR(LEN(TRIM($O330))&gt;0,LEN(TRIM($P330))&gt;0))),"",IF(OR($W330="Failed",$R330="Urgent",$R330="High",$R330="ระบุ Severity + Impact"),IF(COUNTIFS(Dashboard!$B$105:$B$124,$O330,Dashboard!$I$105:$I$124,"CAB")&gt;0,"Accepted (CF)","Blocking"),"Deferrable"))</f>
        <v/>
      </c>
    </row>
    <row r="331" spans="7:26" x14ac:dyDescent="0.3">
      <c r="G331" s="27" t="str" cm="1">
        <f t="array" ref="G331">IF($A331="","",IFERROR(_xlfn.TEXTJOIN(CHAR(10)&amp;CHAR(10),TRUE,_xlfn._xlws.FILTER("•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"&amp;Cards!$L$4:$L$1000),(Cards!$A$4:$A$1000&lt;&gt;"")*ISNUMBER(SEARCH($A331,Cards!$E$4:$E$1000)))),"-"))</f>
        <v/>
      </c>
      <c r="Q331" s="30"/>
      <c r="R331" s="27" t="str">
        <f>IF(OR($A331="",LEN(TRIM($O331))=0),"",IF(OR($P331="",$Q331=""),"ระบุ Severity + Impact",IFERROR(INDEX({"Urgent","Urgent","High","High";"Urgent","High","High","Medium";"High","High","Medium","Medium";"Medium","Medium","Low","Low"},MATCH($P331,{"Critical","High","Medium","Low"},0),MATCH($Q331,{"Extensive","Significant","Moderate","Minor"},0)),"-")))</f>
        <v/>
      </c>
      <c r="S331" s="30"/>
      <c r="T331" s="30"/>
      <c r="W331" s="32" t="str">
        <f>IF($A331="","",IF(OR($M331="Out of Scope",$M331="Canceled"),"Out of Scope",IF($M331="Blocked","Blocked",IF(AND($T331&lt;&gt;"Fixed – Retest Passed",OR(LEN(TRIM($O331))&gt;0,LEN(TRIM($P331))&gt;0)),IF(AND(OR($L331="Medium",$L331="Low"),SUMPRODUCT((Cards!$A$4:$A$1000&lt;&gt;"")*ISNUMBER(SEARCH($A331,Cards!$E$4:$E$1000))*(Cards!$F$4:$F$1000&lt;&gt;"Medium")*(Cards!$F$4:$F$1000&lt;&gt;"Low"))=0),"Conditionally Passed","Failed"),IF($M331="Done","Passed","Not Run")))))</f>
        <v/>
      </c>
      <c r="Y331" s="27" t="str" cm="1">
        <f t="array" ref="Y331">IF($A331="","",IF(TRIM($B331)="","-",IFERROR(_xlfn.TEXTJOIN(" / ",TRUE,_xlfn.UNIQUE(_xlfn._xlws.FILTER('Ownership Matrix'!$C$5:$C$200,('Ownership Matrix'!$A$5:$A$200=TRIM($B331))*('Ownership Matrix'!$C$5:$C$200&lt;&gt;"")))),"ไม่พบใน Ownership Matrix")))</f>
        <v/>
      </c>
      <c r="Z331" s="31" t="str">
        <f>IF(NOT(AND($A331&lt;&gt;"",$M331&lt;&gt;"Out of Scope",$M331&lt;&gt;"Canceled",$T331&lt;&gt;"Fixed – Retest Passed",OR(LEN(TRIM($O331))&gt;0,LEN(TRIM($P331))&gt;0))),"",IF(OR($W331="Failed",$R331="Urgent",$R331="High",$R331="ระบุ Severity + Impact"),IF(COUNTIFS(Dashboard!$B$105:$B$124,$O331,Dashboard!$I$105:$I$124,"CAB")&gt;0,"Accepted (CF)","Blocking"),"Deferrable"))</f>
        <v/>
      </c>
    </row>
    <row r="332" spans="7:26" x14ac:dyDescent="0.3">
      <c r="G332" s="27" t="str" cm="1">
        <f t="array" ref="G332">IF($A332="","",IFERROR(_xlfn.TEXTJOIN(CHAR(10)&amp;CHAR(10),TRUE,_xlfn._xlws.FILTER("•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"&amp;Cards!$L$4:$L$1000),(Cards!$A$4:$A$1000&lt;&gt;"")*ISNUMBER(SEARCH($A332,Cards!$E$4:$E$1000)))),"-"))</f>
        <v/>
      </c>
      <c r="Q332" s="30"/>
      <c r="R332" s="27" t="str">
        <f>IF(OR($A332="",LEN(TRIM($O332))=0),"",IF(OR($P332="",$Q332=""),"ระบุ Severity + Impact",IFERROR(INDEX({"Urgent","Urgent","High","High";"Urgent","High","High","Medium";"High","High","Medium","Medium";"Medium","Medium","Low","Low"},MATCH($P332,{"Critical","High","Medium","Low"},0),MATCH($Q332,{"Extensive","Significant","Moderate","Minor"},0)),"-")))</f>
        <v/>
      </c>
      <c r="S332" s="30"/>
      <c r="T332" s="30"/>
      <c r="W332" s="32" t="str">
        <f>IF($A332="","",IF(OR($M332="Out of Scope",$M332="Canceled"),"Out of Scope",IF($M332="Blocked","Blocked",IF(AND($T332&lt;&gt;"Fixed – Retest Passed",OR(LEN(TRIM($O332))&gt;0,LEN(TRIM($P332))&gt;0)),IF(AND(OR($L332="Medium",$L332="Low"),SUMPRODUCT((Cards!$A$4:$A$1000&lt;&gt;"")*ISNUMBER(SEARCH($A332,Cards!$E$4:$E$1000))*(Cards!$F$4:$F$1000&lt;&gt;"Medium")*(Cards!$F$4:$F$1000&lt;&gt;"Low"))=0),"Conditionally Passed","Failed"),IF($M332="Done","Passed","Not Run")))))</f>
        <v/>
      </c>
      <c r="Y332" s="27" t="str" cm="1">
        <f t="array" ref="Y332">IF($A332="","",IF(TRIM($B332)="","-",IFERROR(_xlfn.TEXTJOIN(" / ",TRUE,_xlfn.UNIQUE(_xlfn._xlws.FILTER('Ownership Matrix'!$C$5:$C$200,('Ownership Matrix'!$A$5:$A$200=TRIM($B332))*('Ownership Matrix'!$C$5:$C$200&lt;&gt;"")))),"ไม่พบใน Ownership Matrix")))</f>
        <v/>
      </c>
      <c r="Z332" s="31" t="str">
        <f>IF(NOT(AND($A332&lt;&gt;"",$M332&lt;&gt;"Out of Scope",$M332&lt;&gt;"Canceled",$T332&lt;&gt;"Fixed – Retest Passed",OR(LEN(TRIM($O332))&gt;0,LEN(TRIM($P332))&gt;0))),"",IF(OR($W332="Failed",$R332="Urgent",$R332="High",$R332="ระบุ Severity + Impact"),IF(COUNTIFS(Dashboard!$B$105:$B$124,$O332,Dashboard!$I$105:$I$124,"CAB")&gt;0,"Accepted (CF)","Blocking"),"Deferrable"))</f>
        <v/>
      </c>
    </row>
    <row r="333" spans="7:26" x14ac:dyDescent="0.3">
      <c r="G333" s="27" t="str" cm="1">
        <f t="array" ref="G333">IF($A333="","",IFERROR(_xlfn.TEXTJOIN(CHAR(10)&amp;CHAR(10),TRUE,_xlfn._xlws.FILTER("•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"&amp;Cards!$L$4:$L$1000),(Cards!$A$4:$A$1000&lt;&gt;"")*ISNUMBER(SEARCH($A333,Cards!$E$4:$E$1000)))),"-"))</f>
        <v/>
      </c>
      <c r="Q333" s="30"/>
      <c r="R333" s="27" t="str">
        <f>IF(OR($A333="",LEN(TRIM($O333))=0),"",IF(OR($P333="",$Q333=""),"ระบุ Severity + Impact",IFERROR(INDEX({"Urgent","Urgent","High","High";"Urgent","High","High","Medium";"High","High","Medium","Medium";"Medium","Medium","Low","Low"},MATCH($P333,{"Critical","High","Medium","Low"},0),MATCH($Q333,{"Extensive","Significant","Moderate","Minor"},0)),"-")))</f>
        <v/>
      </c>
      <c r="S333" s="30"/>
      <c r="T333" s="30"/>
      <c r="W333" s="32" t="str">
        <f>IF($A333="","",IF(OR($M333="Out of Scope",$M333="Canceled"),"Out of Scope",IF($M333="Blocked","Blocked",IF(AND($T333&lt;&gt;"Fixed – Retest Passed",OR(LEN(TRIM($O333))&gt;0,LEN(TRIM($P333))&gt;0)),IF(AND(OR($L333="Medium",$L333="Low"),SUMPRODUCT((Cards!$A$4:$A$1000&lt;&gt;"")*ISNUMBER(SEARCH($A333,Cards!$E$4:$E$1000))*(Cards!$F$4:$F$1000&lt;&gt;"Medium")*(Cards!$F$4:$F$1000&lt;&gt;"Low"))=0),"Conditionally Passed","Failed"),IF($M333="Done","Passed","Not Run")))))</f>
        <v/>
      </c>
      <c r="Y333" s="27" t="str" cm="1">
        <f t="array" ref="Y333">IF($A333="","",IF(TRIM($B333)="","-",IFERROR(_xlfn.TEXTJOIN(" / ",TRUE,_xlfn.UNIQUE(_xlfn._xlws.FILTER('Ownership Matrix'!$C$5:$C$200,('Ownership Matrix'!$A$5:$A$200=TRIM($B333))*('Ownership Matrix'!$C$5:$C$200&lt;&gt;"")))),"ไม่พบใน Ownership Matrix")))</f>
        <v/>
      </c>
      <c r="Z333" s="31" t="str">
        <f>IF(NOT(AND($A333&lt;&gt;"",$M333&lt;&gt;"Out of Scope",$M333&lt;&gt;"Canceled",$T333&lt;&gt;"Fixed – Retest Passed",OR(LEN(TRIM($O333))&gt;0,LEN(TRIM($P333))&gt;0))),"",IF(OR($W333="Failed",$R333="Urgent",$R333="High",$R333="ระบุ Severity + Impact"),IF(COUNTIFS(Dashboard!$B$105:$B$124,$O333,Dashboard!$I$105:$I$124,"CAB")&gt;0,"Accepted (CF)","Blocking"),"Deferrable"))</f>
        <v/>
      </c>
    </row>
    <row r="334" spans="7:26" x14ac:dyDescent="0.3">
      <c r="G334" s="27" t="str" cm="1">
        <f t="array" ref="G334">IF($A334="","",IFERROR(_xlfn.TEXTJOIN(CHAR(10)&amp;CHAR(10),TRUE,_xlfn._xlws.FILTER("•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"&amp;Cards!$L$4:$L$1000),(Cards!$A$4:$A$1000&lt;&gt;"")*ISNUMBER(SEARCH($A334,Cards!$E$4:$E$1000)))),"-"))</f>
        <v/>
      </c>
      <c r="Q334" s="30"/>
      <c r="R334" s="27" t="str">
        <f>IF(OR($A334="",LEN(TRIM($O334))=0),"",IF(OR($P334="",$Q334=""),"ระบุ Severity + Impact",IFERROR(INDEX({"Urgent","Urgent","High","High";"Urgent","High","High","Medium";"High","High","Medium","Medium";"Medium","Medium","Low","Low"},MATCH($P334,{"Critical","High","Medium","Low"},0),MATCH($Q334,{"Extensive","Significant","Moderate","Minor"},0)),"-")))</f>
        <v/>
      </c>
      <c r="S334" s="30"/>
      <c r="T334" s="30"/>
      <c r="W334" s="32" t="str">
        <f>IF($A334="","",IF(OR($M334="Out of Scope",$M334="Canceled"),"Out of Scope",IF($M334="Blocked","Blocked",IF(AND($T334&lt;&gt;"Fixed – Retest Passed",OR(LEN(TRIM($O334))&gt;0,LEN(TRIM($P334))&gt;0)),IF(AND(OR($L334="Medium",$L334="Low"),SUMPRODUCT((Cards!$A$4:$A$1000&lt;&gt;"")*ISNUMBER(SEARCH($A334,Cards!$E$4:$E$1000))*(Cards!$F$4:$F$1000&lt;&gt;"Medium")*(Cards!$F$4:$F$1000&lt;&gt;"Low"))=0),"Conditionally Passed","Failed"),IF($M334="Done","Passed","Not Run")))))</f>
        <v/>
      </c>
      <c r="Y334" s="27" t="str" cm="1">
        <f t="array" ref="Y334">IF($A334="","",IF(TRIM($B334)="","-",IFERROR(_xlfn.TEXTJOIN(" / ",TRUE,_xlfn.UNIQUE(_xlfn._xlws.FILTER('Ownership Matrix'!$C$5:$C$200,('Ownership Matrix'!$A$5:$A$200=TRIM($B334))*('Ownership Matrix'!$C$5:$C$200&lt;&gt;"")))),"ไม่พบใน Ownership Matrix")))</f>
        <v/>
      </c>
      <c r="Z334" s="31" t="str">
        <f>IF(NOT(AND($A334&lt;&gt;"",$M334&lt;&gt;"Out of Scope",$M334&lt;&gt;"Canceled",$T334&lt;&gt;"Fixed – Retest Passed",OR(LEN(TRIM($O334))&gt;0,LEN(TRIM($P334))&gt;0))),"",IF(OR($W334="Failed",$R334="Urgent",$R334="High",$R334="ระบุ Severity + Impact"),IF(COUNTIFS(Dashboard!$B$105:$B$124,$O334,Dashboard!$I$105:$I$124,"CAB")&gt;0,"Accepted (CF)","Blocking"),"Deferrable"))</f>
        <v/>
      </c>
    </row>
    <row r="335" spans="7:26" x14ac:dyDescent="0.3">
      <c r="G335" s="27" t="str" cm="1">
        <f t="array" ref="G335">IF($A335="","",IFERROR(_xlfn.TEXTJOIN(CHAR(10)&amp;CHAR(10),TRUE,_xlfn._xlws.FILTER("•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"&amp;Cards!$L$4:$L$1000),(Cards!$A$4:$A$1000&lt;&gt;"")*ISNUMBER(SEARCH($A335,Cards!$E$4:$E$1000)))),"-"))</f>
        <v/>
      </c>
      <c r="Q335" s="30"/>
      <c r="R335" s="27" t="str">
        <f>IF(OR($A335="",LEN(TRIM($O335))=0),"",IF(OR($P335="",$Q335=""),"ระบุ Severity + Impact",IFERROR(INDEX({"Urgent","Urgent","High","High";"Urgent","High","High","Medium";"High","High","Medium","Medium";"Medium","Medium","Low","Low"},MATCH($P335,{"Critical","High","Medium","Low"},0),MATCH($Q335,{"Extensive","Significant","Moderate","Minor"},0)),"-")))</f>
        <v/>
      </c>
      <c r="S335" s="30"/>
      <c r="T335" s="30"/>
      <c r="W335" s="32" t="str">
        <f>IF($A335="","",IF(OR($M335="Out of Scope",$M335="Canceled"),"Out of Scope",IF($M335="Blocked","Blocked",IF(AND($T335&lt;&gt;"Fixed – Retest Passed",OR(LEN(TRIM($O335))&gt;0,LEN(TRIM($P335))&gt;0)),IF(AND(OR($L335="Medium",$L335="Low"),SUMPRODUCT((Cards!$A$4:$A$1000&lt;&gt;"")*ISNUMBER(SEARCH($A335,Cards!$E$4:$E$1000))*(Cards!$F$4:$F$1000&lt;&gt;"Medium")*(Cards!$F$4:$F$1000&lt;&gt;"Low"))=0),"Conditionally Passed","Failed"),IF($M335="Done","Passed","Not Run")))))</f>
        <v/>
      </c>
      <c r="Y335" s="27" t="str" cm="1">
        <f t="array" ref="Y335">IF($A335="","",IF(TRIM($B335)="","-",IFERROR(_xlfn.TEXTJOIN(" / ",TRUE,_xlfn.UNIQUE(_xlfn._xlws.FILTER('Ownership Matrix'!$C$5:$C$200,('Ownership Matrix'!$A$5:$A$200=TRIM($B335))*('Ownership Matrix'!$C$5:$C$200&lt;&gt;"")))),"ไม่พบใน Ownership Matrix")))</f>
        <v/>
      </c>
      <c r="Z335" s="31" t="str">
        <f>IF(NOT(AND($A335&lt;&gt;"",$M335&lt;&gt;"Out of Scope",$M335&lt;&gt;"Canceled",$T335&lt;&gt;"Fixed – Retest Passed",OR(LEN(TRIM($O335))&gt;0,LEN(TRIM($P335))&gt;0))),"",IF(OR($W335="Failed",$R335="Urgent",$R335="High",$R335="ระบุ Severity + Impact"),IF(COUNTIFS(Dashboard!$B$105:$B$124,$O335,Dashboard!$I$105:$I$124,"CAB")&gt;0,"Accepted (CF)","Blocking"),"Deferrable"))</f>
        <v/>
      </c>
    </row>
    <row r="336" spans="7:26" x14ac:dyDescent="0.3">
      <c r="G336" s="27" t="str" cm="1">
        <f t="array" ref="G336">IF($A336="","",IFERROR(_xlfn.TEXTJOIN(CHAR(10)&amp;CHAR(10),TRUE,_xlfn._xlws.FILTER("•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"&amp;Cards!$L$4:$L$1000),(Cards!$A$4:$A$1000&lt;&gt;"")*ISNUMBER(SEARCH($A336,Cards!$E$4:$E$1000)))),"-"))</f>
        <v/>
      </c>
      <c r="Q336" s="30"/>
      <c r="R336" s="27" t="str">
        <f>IF(OR($A336="",LEN(TRIM($O336))=0),"",IF(OR($P336="",$Q336=""),"ระบุ Severity + Impact",IFERROR(INDEX({"Urgent","Urgent","High","High";"Urgent","High","High","Medium";"High","High","Medium","Medium";"Medium","Medium","Low","Low"},MATCH($P336,{"Critical","High","Medium","Low"},0),MATCH($Q336,{"Extensive","Significant","Moderate","Minor"},0)),"-")))</f>
        <v/>
      </c>
      <c r="S336" s="30"/>
      <c r="T336" s="30"/>
      <c r="W336" s="32" t="str">
        <f>IF($A336="","",IF(OR($M336="Out of Scope",$M336="Canceled"),"Out of Scope",IF($M336="Blocked","Blocked",IF(AND($T336&lt;&gt;"Fixed – Retest Passed",OR(LEN(TRIM($O336))&gt;0,LEN(TRIM($P336))&gt;0)),IF(AND(OR($L336="Medium",$L336="Low"),SUMPRODUCT((Cards!$A$4:$A$1000&lt;&gt;"")*ISNUMBER(SEARCH($A336,Cards!$E$4:$E$1000))*(Cards!$F$4:$F$1000&lt;&gt;"Medium")*(Cards!$F$4:$F$1000&lt;&gt;"Low"))=0),"Conditionally Passed","Failed"),IF($M336="Done","Passed","Not Run")))))</f>
        <v/>
      </c>
      <c r="Y336" s="27" t="str" cm="1">
        <f t="array" ref="Y336">IF($A336="","",IF(TRIM($B336)="","-",IFERROR(_xlfn.TEXTJOIN(" / ",TRUE,_xlfn.UNIQUE(_xlfn._xlws.FILTER('Ownership Matrix'!$C$5:$C$200,('Ownership Matrix'!$A$5:$A$200=TRIM($B336))*('Ownership Matrix'!$C$5:$C$200&lt;&gt;"")))),"ไม่พบใน Ownership Matrix")))</f>
        <v/>
      </c>
      <c r="Z336" s="31" t="str">
        <f>IF(NOT(AND($A336&lt;&gt;"",$M336&lt;&gt;"Out of Scope",$M336&lt;&gt;"Canceled",$T336&lt;&gt;"Fixed – Retest Passed",OR(LEN(TRIM($O336))&gt;0,LEN(TRIM($P336))&gt;0))),"",IF(OR($W336="Failed",$R336="Urgent",$R336="High",$R336="ระบุ Severity + Impact"),IF(COUNTIFS(Dashboard!$B$105:$B$124,$O336,Dashboard!$I$105:$I$124,"CAB")&gt;0,"Accepted (CF)","Blocking"),"Deferrable"))</f>
        <v/>
      </c>
    </row>
    <row r="337" spans="7:26" x14ac:dyDescent="0.3">
      <c r="G337" s="27" t="str" cm="1">
        <f t="array" ref="G337">IF($A337="","",IFERROR(_xlfn.TEXTJOIN(CHAR(10)&amp;CHAR(10),TRUE,_xlfn._xlws.FILTER("•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"&amp;Cards!$L$4:$L$1000),(Cards!$A$4:$A$1000&lt;&gt;"")*ISNUMBER(SEARCH($A337,Cards!$E$4:$E$1000)))),"-"))</f>
        <v/>
      </c>
      <c r="Q337" s="30"/>
      <c r="R337" s="27" t="str">
        <f>IF(OR($A337="",LEN(TRIM($O337))=0),"",IF(OR($P337="",$Q337=""),"ระบุ Severity + Impact",IFERROR(INDEX({"Urgent","Urgent","High","High";"Urgent","High","High","Medium";"High","High","Medium","Medium";"Medium","Medium","Low","Low"},MATCH($P337,{"Critical","High","Medium","Low"},0),MATCH($Q337,{"Extensive","Significant","Moderate","Minor"},0)),"-")))</f>
        <v/>
      </c>
      <c r="S337" s="30"/>
      <c r="T337" s="30"/>
      <c r="W337" s="32" t="str">
        <f>IF($A337="","",IF(OR($M337="Out of Scope",$M337="Canceled"),"Out of Scope",IF($M337="Blocked","Blocked",IF(AND($T337&lt;&gt;"Fixed – Retest Passed",OR(LEN(TRIM($O337))&gt;0,LEN(TRIM($P337))&gt;0)),IF(AND(OR($L337="Medium",$L337="Low"),SUMPRODUCT((Cards!$A$4:$A$1000&lt;&gt;"")*ISNUMBER(SEARCH($A337,Cards!$E$4:$E$1000))*(Cards!$F$4:$F$1000&lt;&gt;"Medium")*(Cards!$F$4:$F$1000&lt;&gt;"Low"))=0),"Conditionally Passed","Failed"),IF($M337="Done","Passed","Not Run")))))</f>
        <v/>
      </c>
      <c r="Y337" s="27" t="str" cm="1">
        <f t="array" ref="Y337">IF($A337="","",IF(TRIM($B337)="","-",IFERROR(_xlfn.TEXTJOIN(" / ",TRUE,_xlfn.UNIQUE(_xlfn._xlws.FILTER('Ownership Matrix'!$C$5:$C$200,('Ownership Matrix'!$A$5:$A$200=TRIM($B337))*('Ownership Matrix'!$C$5:$C$200&lt;&gt;"")))),"ไม่พบใน Ownership Matrix")))</f>
        <v/>
      </c>
      <c r="Z337" s="31" t="str">
        <f>IF(NOT(AND($A337&lt;&gt;"",$M337&lt;&gt;"Out of Scope",$M337&lt;&gt;"Canceled",$T337&lt;&gt;"Fixed – Retest Passed",OR(LEN(TRIM($O337))&gt;0,LEN(TRIM($P337))&gt;0))),"",IF(OR($W337="Failed",$R337="Urgent",$R337="High",$R337="ระบุ Severity + Impact"),IF(COUNTIFS(Dashboard!$B$105:$B$124,$O337,Dashboard!$I$105:$I$124,"CAB")&gt;0,"Accepted (CF)","Blocking"),"Deferrable"))</f>
        <v/>
      </c>
    </row>
    <row r="338" spans="7:26" x14ac:dyDescent="0.3">
      <c r="G338" s="27" t="str" cm="1">
        <f t="array" ref="G338">IF($A338="","",IFERROR(_xlfn.TEXTJOIN(CHAR(10)&amp;CHAR(10),TRUE,_xlfn._xlws.FILTER("•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"&amp;Cards!$L$4:$L$1000),(Cards!$A$4:$A$1000&lt;&gt;"")*ISNUMBER(SEARCH($A338,Cards!$E$4:$E$1000)))),"-"))</f>
        <v/>
      </c>
      <c r="Q338" s="30"/>
      <c r="R338" s="27" t="str">
        <f>IF(OR($A338="",LEN(TRIM($O338))=0),"",IF(OR($P338="",$Q338=""),"ระบุ Severity + Impact",IFERROR(INDEX({"Urgent","Urgent","High","High";"Urgent","High","High","Medium";"High","High","Medium","Medium";"Medium","Medium","Low","Low"},MATCH($P338,{"Critical","High","Medium","Low"},0),MATCH($Q338,{"Extensive","Significant","Moderate","Minor"},0)),"-")))</f>
        <v/>
      </c>
      <c r="S338" s="30"/>
      <c r="T338" s="30"/>
      <c r="W338" s="32" t="str">
        <f>IF($A338="","",IF(OR($M338="Out of Scope",$M338="Canceled"),"Out of Scope",IF($M338="Blocked","Blocked",IF(AND($T338&lt;&gt;"Fixed – Retest Passed",OR(LEN(TRIM($O338))&gt;0,LEN(TRIM($P338))&gt;0)),IF(AND(OR($L338="Medium",$L338="Low"),SUMPRODUCT((Cards!$A$4:$A$1000&lt;&gt;"")*ISNUMBER(SEARCH($A338,Cards!$E$4:$E$1000))*(Cards!$F$4:$F$1000&lt;&gt;"Medium")*(Cards!$F$4:$F$1000&lt;&gt;"Low"))=0),"Conditionally Passed","Failed"),IF($M338="Done","Passed","Not Run")))))</f>
        <v/>
      </c>
      <c r="Y338" s="27" t="str" cm="1">
        <f t="array" ref="Y338">IF($A338="","",IF(TRIM($B338)="","-",IFERROR(_xlfn.TEXTJOIN(" / ",TRUE,_xlfn.UNIQUE(_xlfn._xlws.FILTER('Ownership Matrix'!$C$5:$C$200,('Ownership Matrix'!$A$5:$A$200=TRIM($B338))*('Ownership Matrix'!$C$5:$C$200&lt;&gt;"")))),"ไม่พบใน Ownership Matrix")))</f>
        <v/>
      </c>
      <c r="Z338" s="31" t="str">
        <f>IF(NOT(AND($A338&lt;&gt;"",$M338&lt;&gt;"Out of Scope",$M338&lt;&gt;"Canceled",$T338&lt;&gt;"Fixed – Retest Passed",OR(LEN(TRIM($O338))&gt;0,LEN(TRIM($P338))&gt;0))),"",IF(OR($W338="Failed",$R338="Urgent",$R338="High",$R338="ระบุ Severity + Impact"),IF(COUNTIFS(Dashboard!$B$105:$B$124,$O338,Dashboard!$I$105:$I$124,"CAB")&gt;0,"Accepted (CF)","Blocking"),"Deferrable"))</f>
        <v/>
      </c>
    </row>
    <row r="339" spans="7:26" x14ac:dyDescent="0.3">
      <c r="G339" s="27" t="str" cm="1">
        <f t="array" ref="G339">IF($A339="","",IFERROR(_xlfn.TEXTJOIN(CHAR(10)&amp;CHAR(10),TRUE,_xlfn._xlws.FILTER("•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"&amp;Cards!$L$4:$L$1000),(Cards!$A$4:$A$1000&lt;&gt;"")*ISNUMBER(SEARCH($A339,Cards!$E$4:$E$1000)))),"-"))</f>
        <v/>
      </c>
      <c r="Q339" s="30"/>
      <c r="R339" s="27" t="str">
        <f>IF(OR($A339="",LEN(TRIM($O339))=0),"",IF(OR($P339="",$Q339=""),"ระบุ Severity + Impact",IFERROR(INDEX({"Urgent","Urgent","High","High";"Urgent","High","High","Medium";"High","High","Medium","Medium";"Medium","Medium","Low","Low"},MATCH($P339,{"Critical","High","Medium","Low"},0),MATCH($Q339,{"Extensive","Significant","Moderate","Minor"},0)),"-")))</f>
        <v/>
      </c>
      <c r="S339" s="30"/>
      <c r="T339" s="30"/>
      <c r="W339" s="32" t="str">
        <f>IF($A339="","",IF(OR($M339="Out of Scope",$M339="Canceled"),"Out of Scope",IF($M339="Blocked","Blocked",IF(AND($T339&lt;&gt;"Fixed – Retest Passed",OR(LEN(TRIM($O339))&gt;0,LEN(TRIM($P339))&gt;0)),IF(AND(OR($L339="Medium",$L339="Low"),SUMPRODUCT((Cards!$A$4:$A$1000&lt;&gt;"")*ISNUMBER(SEARCH($A339,Cards!$E$4:$E$1000))*(Cards!$F$4:$F$1000&lt;&gt;"Medium")*(Cards!$F$4:$F$1000&lt;&gt;"Low"))=0),"Conditionally Passed","Failed"),IF($M339="Done","Passed","Not Run")))))</f>
        <v/>
      </c>
      <c r="Y339" s="27" t="str" cm="1">
        <f t="array" ref="Y339">IF($A339="","",IF(TRIM($B339)="","-",IFERROR(_xlfn.TEXTJOIN(" / ",TRUE,_xlfn.UNIQUE(_xlfn._xlws.FILTER('Ownership Matrix'!$C$5:$C$200,('Ownership Matrix'!$A$5:$A$200=TRIM($B339))*('Ownership Matrix'!$C$5:$C$200&lt;&gt;"")))),"ไม่พบใน Ownership Matrix")))</f>
        <v/>
      </c>
      <c r="Z339" s="31" t="str">
        <f>IF(NOT(AND($A339&lt;&gt;"",$M339&lt;&gt;"Out of Scope",$M339&lt;&gt;"Canceled",$T339&lt;&gt;"Fixed – Retest Passed",OR(LEN(TRIM($O339))&gt;0,LEN(TRIM($P339))&gt;0))),"",IF(OR($W339="Failed",$R339="Urgent",$R339="High",$R339="ระบุ Severity + Impact"),IF(COUNTIFS(Dashboard!$B$105:$B$124,$O339,Dashboard!$I$105:$I$124,"CAB")&gt;0,"Accepted (CF)","Blocking"),"Deferrable"))</f>
        <v/>
      </c>
    </row>
    <row r="340" spans="7:26" x14ac:dyDescent="0.3">
      <c r="G340" s="27" t="str" cm="1">
        <f t="array" ref="G340">IF($A340="","",IFERROR(_xlfn.TEXTJOIN(CHAR(10)&amp;CHAR(10),TRUE,_xlfn._xlws.FILTER("•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"&amp;Cards!$L$4:$L$1000),(Cards!$A$4:$A$1000&lt;&gt;"")*ISNUMBER(SEARCH($A340,Cards!$E$4:$E$1000)))),"-"))</f>
        <v/>
      </c>
      <c r="Q340" s="30"/>
      <c r="R340" s="27" t="str">
        <f>IF(OR($A340="",LEN(TRIM($O340))=0),"",IF(OR($P340="",$Q340=""),"ระบุ Severity + Impact",IFERROR(INDEX({"Urgent","Urgent","High","High";"Urgent","High","High","Medium";"High","High","Medium","Medium";"Medium","Medium","Low","Low"},MATCH($P340,{"Critical","High","Medium","Low"},0),MATCH($Q340,{"Extensive","Significant","Moderate","Minor"},0)),"-")))</f>
        <v/>
      </c>
      <c r="S340" s="30"/>
      <c r="T340" s="30"/>
      <c r="W340" s="32" t="str">
        <f>IF($A340="","",IF(OR($M340="Out of Scope",$M340="Canceled"),"Out of Scope",IF($M340="Blocked","Blocked",IF(AND($T340&lt;&gt;"Fixed – Retest Passed",OR(LEN(TRIM($O340))&gt;0,LEN(TRIM($P340))&gt;0)),IF(AND(OR($L340="Medium",$L340="Low"),SUMPRODUCT((Cards!$A$4:$A$1000&lt;&gt;"")*ISNUMBER(SEARCH($A340,Cards!$E$4:$E$1000))*(Cards!$F$4:$F$1000&lt;&gt;"Medium")*(Cards!$F$4:$F$1000&lt;&gt;"Low"))=0),"Conditionally Passed","Failed"),IF($M340="Done","Passed","Not Run")))))</f>
        <v/>
      </c>
      <c r="Y340" s="27" t="str" cm="1">
        <f t="array" ref="Y340">IF($A340="","",IF(TRIM($B340)="","-",IFERROR(_xlfn.TEXTJOIN(" / ",TRUE,_xlfn.UNIQUE(_xlfn._xlws.FILTER('Ownership Matrix'!$C$5:$C$200,('Ownership Matrix'!$A$5:$A$200=TRIM($B340))*('Ownership Matrix'!$C$5:$C$200&lt;&gt;"")))),"ไม่พบใน Ownership Matrix")))</f>
        <v/>
      </c>
      <c r="Z340" s="31" t="str">
        <f>IF(NOT(AND($A340&lt;&gt;"",$M340&lt;&gt;"Out of Scope",$M340&lt;&gt;"Canceled",$T340&lt;&gt;"Fixed – Retest Passed",OR(LEN(TRIM($O340))&gt;0,LEN(TRIM($P340))&gt;0))),"",IF(OR($W340="Failed",$R340="Urgent",$R340="High",$R340="ระบุ Severity + Impact"),IF(COUNTIFS(Dashboard!$B$105:$B$124,$O340,Dashboard!$I$105:$I$124,"CAB")&gt;0,"Accepted (CF)","Blocking"),"Deferrable"))</f>
        <v/>
      </c>
    </row>
    <row r="341" spans="7:26" x14ac:dyDescent="0.3">
      <c r="G341" s="27" t="str" cm="1">
        <f t="array" ref="G341">IF($A341="","",IFERROR(_xlfn.TEXTJOIN(CHAR(10)&amp;CHAR(10),TRUE,_xlfn._xlws.FILTER("•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"&amp;Cards!$L$4:$L$1000),(Cards!$A$4:$A$1000&lt;&gt;"")*ISNUMBER(SEARCH($A341,Cards!$E$4:$E$1000)))),"-"))</f>
        <v/>
      </c>
      <c r="Q341" s="30"/>
      <c r="R341" s="27" t="str">
        <f>IF(OR($A341="",LEN(TRIM($O341))=0),"",IF(OR($P341="",$Q341=""),"ระบุ Severity + Impact",IFERROR(INDEX({"Urgent","Urgent","High","High";"Urgent","High","High","Medium";"High","High","Medium","Medium";"Medium","Medium","Low","Low"},MATCH($P341,{"Critical","High","Medium","Low"},0),MATCH($Q341,{"Extensive","Significant","Moderate","Minor"},0)),"-")))</f>
        <v/>
      </c>
      <c r="S341" s="30"/>
      <c r="T341" s="30"/>
      <c r="W341" s="32" t="str">
        <f>IF($A341="","",IF(OR($M341="Out of Scope",$M341="Canceled"),"Out of Scope",IF($M341="Blocked","Blocked",IF(AND($T341&lt;&gt;"Fixed – Retest Passed",OR(LEN(TRIM($O341))&gt;0,LEN(TRIM($P341))&gt;0)),IF(AND(OR($L341="Medium",$L341="Low"),SUMPRODUCT((Cards!$A$4:$A$1000&lt;&gt;"")*ISNUMBER(SEARCH($A341,Cards!$E$4:$E$1000))*(Cards!$F$4:$F$1000&lt;&gt;"Medium")*(Cards!$F$4:$F$1000&lt;&gt;"Low"))=0),"Conditionally Passed","Failed"),IF($M341="Done","Passed","Not Run")))))</f>
        <v/>
      </c>
      <c r="Y341" s="27" t="str" cm="1">
        <f t="array" ref="Y341">IF($A341="","",IF(TRIM($B341)="","-",IFERROR(_xlfn.TEXTJOIN(" / ",TRUE,_xlfn.UNIQUE(_xlfn._xlws.FILTER('Ownership Matrix'!$C$5:$C$200,('Ownership Matrix'!$A$5:$A$200=TRIM($B341))*('Ownership Matrix'!$C$5:$C$200&lt;&gt;"")))),"ไม่พบใน Ownership Matrix")))</f>
        <v/>
      </c>
      <c r="Z341" s="31" t="str">
        <f>IF(NOT(AND($A341&lt;&gt;"",$M341&lt;&gt;"Out of Scope",$M341&lt;&gt;"Canceled",$T341&lt;&gt;"Fixed – Retest Passed",OR(LEN(TRIM($O341))&gt;0,LEN(TRIM($P341))&gt;0))),"",IF(OR($W341="Failed",$R341="Urgent",$R341="High",$R341="ระบุ Severity + Impact"),IF(COUNTIFS(Dashboard!$B$105:$B$124,$O341,Dashboard!$I$105:$I$124,"CAB")&gt;0,"Accepted (CF)","Blocking"),"Deferrable"))</f>
        <v/>
      </c>
    </row>
    <row r="342" spans="7:26" x14ac:dyDescent="0.3">
      <c r="G342" s="27" t="str" cm="1">
        <f t="array" ref="G342">IF($A342="","",IFERROR(_xlfn.TEXTJOIN(CHAR(10)&amp;CHAR(10),TRUE,_xlfn._xlws.FILTER("•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"&amp;Cards!$L$4:$L$1000),(Cards!$A$4:$A$1000&lt;&gt;"")*ISNUMBER(SEARCH($A342,Cards!$E$4:$E$1000)))),"-"))</f>
        <v/>
      </c>
      <c r="Q342" s="30"/>
      <c r="R342" s="27" t="str">
        <f>IF(OR($A342="",LEN(TRIM($O342))=0),"",IF(OR($P342="",$Q342=""),"ระบุ Severity + Impact",IFERROR(INDEX({"Urgent","Urgent","High","High";"Urgent","High","High","Medium";"High","High","Medium","Medium";"Medium","Medium","Low","Low"},MATCH($P342,{"Critical","High","Medium","Low"},0),MATCH($Q342,{"Extensive","Significant","Moderate","Minor"},0)),"-")))</f>
        <v/>
      </c>
      <c r="S342" s="30"/>
      <c r="T342" s="30"/>
      <c r="W342" s="32" t="str">
        <f>IF($A342="","",IF(OR($M342="Out of Scope",$M342="Canceled"),"Out of Scope",IF($M342="Blocked","Blocked",IF(AND($T342&lt;&gt;"Fixed – Retest Passed",OR(LEN(TRIM($O342))&gt;0,LEN(TRIM($P342))&gt;0)),IF(AND(OR($L342="Medium",$L342="Low"),SUMPRODUCT((Cards!$A$4:$A$1000&lt;&gt;"")*ISNUMBER(SEARCH($A342,Cards!$E$4:$E$1000))*(Cards!$F$4:$F$1000&lt;&gt;"Medium")*(Cards!$F$4:$F$1000&lt;&gt;"Low"))=0),"Conditionally Passed","Failed"),IF($M342="Done","Passed","Not Run")))))</f>
        <v/>
      </c>
      <c r="Y342" s="27" t="str" cm="1">
        <f t="array" ref="Y342">IF($A342="","",IF(TRIM($B342)="","-",IFERROR(_xlfn.TEXTJOIN(" / ",TRUE,_xlfn.UNIQUE(_xlfn._xlws.FILTER('Ownership Matrix'!$C$5:$C$200,('Ownership Matrix'!$A$5:$A$200=TRIM($B342))*('Ownership Matrix'!$C$5:$C$200&lt;&gt;"")))),"ไม่พบใน Ownership Matrix")))</f>
        <v/>
      </c>
      <c r="Z342" s="31" t="str">
        <f>IF(NOT(AND($A342&lt;&gt;"",$M342&lt;&gt;"Out of Scope",$M342&lt;&gt;"Canceled",$T342&lt;&gt;"Fixed – Retest Passed",OR(LEN(TRIM($O342))&gt;0,LEN(TRIM($P342))&gt;0))),"",IF(OR($W342="Failed",$R342="Urgent",$R342="High",$R342="ระบุ Severity + Impact"),IF(COUNTIFS(Dashboard!$B$105:$B$124,$O342,Dashboard!$I$105:$I$124,"CAB")&gt;0,"Accepted (CF)","Blocking"),"Deferrable"))</f>
        <v/>
      </c>
    </row>
    <row r="343" spans="7:26" x14ac:dyDescent="0.3">
      <c r="G343" s="27" t="str" cm="1">
        <f t="array" ref="G343">IF($A343="","",IFERROR(_xlfn.TEXTJOIN(CHAR(10)&amp;CHAR(10),TRUE,_xlfn._xlws.FILTER("•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"&amp;Cards!$L$4:$L$1000),(Cards!$A$4:$A$1000&lt;&gt;"")*ISNUMBER(SEARCH($A343,Cards!$E$4:$E$1000)))),"-"))</f>
        <v/>
      </c>
      <c r="Q343" s="30"/>
      <c r="R343" s="27" t="str">
        <f>IF(OR($A343="",LEN(TRIM($O343))=0),"",IF(OR($P343="",$Q343=""),"ระบุ Severity + Impact",IFERROR(INDEX({"Urgent","Urgent","High","High";"Urgent","High","High","Medium";"High","High","Medium","Medium";"Medium","Medium","Low","Low"},MATCH($P343,{"Critical","High","Medium","Low"},0),MATCH($Q343,{"Extensive","Significant","Moderate","Minor"},0)),"-")))</f>
        <v/>
      </c>
      <c r="S343" s="30"/>
      <c r="T343" s="30"/>
      <c r="W343" s="32" t="str">
        <f>IF($A343="","",IF(OR($M343="Out of Scope",$M343="Canceled"),"Out of Scope",IF($M343="Blocked","Blocked",IF(AND($T343&lt;&gt;"Fixed – Retest Passed",OR(LEN(TRIM($O343))&gt;0,LEN(TRIM($P343))&gt;0)),IF(AND(OR($L343="Medium",$L343="Low"),SUMPRODUCT((Cards!$A$4:$A$1000&lt;&gt;"")*ISNUMBER(SEARCH($A343,Cards!$E$4:$E$1000))*(Cards!$F$4:$F$1000&lt;&gt;"Medium")*(Cards!$F$4:$F$1000&lt;&gt;"Low"))=0),"Conditionally Passed","Failed"),IF($M343="Done","Passed","Not Run")))))</f>
        <v/>
      </c>
      <c r="Y343" s="27" t="str" cm="1">
        <f t="array" ref="Y343">IF($A343="","",IF(TRIM($B343)="","-",IFERROR(_xlfn.TEXTJOIN(" / ",TRUE,_xlfn.UNIQUE(_xlfn._xlws.FILTER('Ownership Matrix'!$C$5:$C$200,('Ownership Matrix'!$A$5:$A$200=TRIM($B343))*('Ownership Matrix'!$C$5:$C$200&lt;&gt;"")))),"ไม่พบใน Ownership Matrix")))</f>
        <v/>
      </c>
      <c r="Z343" s="31" t="str">
        <f>IF(NOT(AND($A343&lt;&gt;"",$M343&lt;&gt;"Out of Scope",$M343&lt;&gt;"Canceled",$T343&lt;&gt;"Fixed – Retest Passed",OR(LEN(TRIM($O343))&gt;0,LEN(TRIM($P343))&gt;0))),"",IF(OR($W343="Failed",$R343="Urgent",$R343="High",$R343="ระบุ Severity + Impact"),IF(COUNTIFS(Dashboard!$B$105:$B$124,$O343,Dashboard!$I$105:$I$124,"CAB")&gt;0,"Accepted (CF)","Blocking"),"Deferrable"))</f>
        <v/>
      </c>
    </row>
    <row r="344" spans="7:26" x14ac:dyDescent="0.3">
      <c r="G344" s="27" t="str" cm="1">
        <f t="array" ref="G344">IF($A344="","",IFERROR(_xlfn.TEXTJOIN(CHAR(10)&amp;CHAR(10),TRUE,_xlfn._xlws.FILTER("•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"&amp;Cards!$L$4:$L$1000),(Cards!$A$4:$A$1000&lt;&gt;"")*ISNUMBER(SEARCH($A344,Cards!$E$4:$E$1000)))),"-"))</f>
        <v/>
      </c>
      <c r="Q344" s="30"/>
      <c r="R344" s="27" t="str">
        <f>IF(OR($A344="",LEN(TRIM($O344))=0),"",IF(OR($P344="",$Q344=""),"ระบุ Severity + Impact",IFERROR(INDEX({"Urgent","Urgent","High","High";"Urgent","High","High","Medium";"High","High","Medium","Medium";"Medium","Medium","Low","Low"},MATCH($P344,{"Critical","High","Medium","Low"},0),MATCH($Q344,{"Extensive","Significant","Moderate","Minor"},0)),"-")))</f>
        <v/>
      </c>
      <c r="S344" s="30"/>
      <c r="T344" s="30"/>
      <c r="W344" s="32" t="str">
        <f>IF($A344="","",IF(OR($M344="Out of Scope",$M344="Canceled"),"Out of Scope",IF($M344="Blocked","Blocked",IF(AND($T344&lt;&gt;"Fixed – Retest Passed",OR(LEN(TRIM($O344))&gt;0,LEN(TRIM($P344))&gt;0)),IF(AND(OR($L344="Medium",$L344="Low"),SUMPRODUCT((Cards!$A$4:$A$1000&lt;&gt;"")*ISNUMBER(SEARCH($A344,Cards!$E$4:$E$1000))*(Cards!$F$4:$F$1000&lt;&gt;"Medium")*(Cards!$F$4:$F$1000&lt;&gt;"Low"))=0),"Conditionally Passed","Failed"),IF($M344="Done","Passed","Not Run")))))</f>
        <v/>
      </c>
      <c r="Y344" s="27" t="str" cm="1">
        <f t="array" ref="Y344">IF($A344="","",IF(TRIM($B344)="","-",IFERROR(_xlfn.TEXTJOIN(" / ",TRUE,_xlfn.UNIQUE(_xlfn._xlws.FILTER('Ownership Matrix'!$C$5:$C$200,('Ownership Matrix'!$A$5:$A$200=TRIM($B344))*('Ownership Matrix'!$C$5:$C$200&lt;&gt;"")))),"ไม่พบใน Ownership Matrix")))</f>
        <v/>
      </c>
      <c r="Z344" s="31" t="str">
        <f>IF(NOT(AND($A344&lt;&gt;"",$M344&lt;&gt;"Out of Scope",$M344&lt;&gt;"Canceled",$T344&lt;&gt;"Fixed – Retest Passed",OR(LEN(TRIM($O344))&gt;0,LEN(TRIM($P344))&gt;0))),"",IF(OR($W344="Failed",$R344="Urgent",$R344="High",$R344="ระบุ Severity + Impact"),IF(COUNTIFS(Dashboard!$B$105:$B$124,$O344,Dashboard!$I$105:$I$124,"CAB")&gt;0,"Accepted (CF)","Blocking"),"Deferrable"))</f>
        <v/>
      </c>
    </row>
    <row r="345" spans="7:26" x14ac:dyDescent="0.3">
      <c r="G345" s="27" t="str" cm="1">
        <f t="array" ref="G345">IF($A345="","",IFERROR(_xlfn.TEXTJOIN(CHAR(10)&amp;CHAR(10),TRUE,_xlfn._xlws.FILTER("•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"&amp;Cards!$L$4:$L$1000),(Cards!$A$4:$A$1000&lt;&gt;"")*ISNUMBER(SEARCH($A345,Cards!$E$4:$E$1000)))),"-"))</f>
        <v/>
      </c>
      <c r="Q345" s="30"/>
      <c r="R345" s="27" t="str">
        <f>IF(OR($A345="",LEN(TRIM($O345))=0),"",IF(OR($P345="",$Q345=""),"ระบุ Severity + Impact",IFERROR(INDEX({"Urgent","Urgent","High","High";"Urgent","High","High","Medium";"High","High","Medium","Medium";"Medium","Medium","Low","Low"},MATCH($P345,{"Critical","High","Medium","Low"},0),MATCH($Q345,{"Extensive","Significant","Moderate","Minor"},0)),"-")))</f>
        <v/>
      </c>
      <c r="S345" s="30"/>
      <c r="T345" s="30"/>
      <c r="W345" s="32" t="str">
        <f>IF($A345="","",IF(OR($M345="Out of Scope",$M345="Canceled"),"Out of Scope",IF($M345="Blocked","Blocked",IF(AND($T345&lt;&gt;"Fixed – Retest Passed",OR(LEN(TRIM($O345))&gt;0,LEN(TRIM($P345))&gt;0)),IF(AND(OR($L345="Medium",$L345="Low"),SUMPRODUCT((Cards!$A$4:$A$1000&lt;&gt;"")*ISNUMBER(SEARCH($A345,Cards!$E$4:$E$1000))*(Cards!$F$4:$F$1000&lt;&gt;"Medium")*(Cards!$F$4:$F$1000&lt;&gt;"Low"))=0),"Conditionally Passed","Failed"),IF($M345="Done","Passed","Not Run")))))</f>
        <v/>
      </c>
      <c r="Y345" s="27" t="str" cm="1">
        <f t="array" ref="Y345">IF($A345="","",IF(TRIM($B345)="","-",IFERROR(_xlfn.TEXTJOIN(" / ",TRUE,_xlfn.UNIQUE(_xlfn._xlws.FILTER('Ownership Matrix'!$C$5:$C$200,('Ownership Matrix'!$A$5:$A$200=TRIM($B345))*('Ownership Matrix'!$C$5:$C$200&lt;&gt;"")))),"ไม่พบใน Ownership Matrix")))</f>
        <v/>
      </c>
      <c r="Z345" s="31" t="str">
        <f>IF(NOT(AND($A345&lt;&gt;"",$M345&lt;&gt;"Out of Scope",$M345&lt;&gt;"Canceled",$T345&lt;&gt;"Fixed – Retest Passed",OR(LEN(TRIM($O345))&gt;0,LEN(TRIM($P345))&gt;0))),"",IF(OR($W345="Failed",$R345="Urgent",$R345="High",$R345="ระบุ Severity + Impact"),IF(COUNTIFS(Dashboard!$B$105:$B$124,$O345,Dashboard!$I$105:$I$124,"CAB")&gt;0,"Accepted (CF)","Blocking"),"Deferrable"))</f>
        <v/>
      </c>
    </row>
    <row r="346" spans="7:26" x14ac:dyDescent="0.3">
      <c r="G346" s="27" t="str" cm="1">
        <f t="array" ref="G346">IF($A346="","",IFERROR(_xlfn.TEXTJOIN(CHAR(10)&amp;CHAR(10),TRUE,_xlfn._xlws.FILTER("•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"&amp;Cards!$L$4:$L$1000),(Cards!$A$4:$A$1000&lt;&gt;"")*ISNUMBER(SEARCH($A346,Cards!$E$4:$E$1000)))),"-"))</f>
        <v/>
      </c>
      <c r="Q346" s="30"/>
      <c r="R346" s="27" t="str">
        <f>IF(OR($A346="",LEN(TRIM($O346))=0),"",IF(OR($P346="",$Q346=""),"ระบุ Severity + Impact",IFERROR(INDEX({"Urgent","Urgent","High","High";"Urgent","High","High","Medium";"High","High","Medium","Medium";"Medium","Medium","Low","Low"},MATCH($P346,{"Critical","High","Medium","Low"},0),MATCH($Q346,{"Extensive","Significant","Moderate","Minor"},0)),"-")))</f>
        <v/>
      </c>
      <c r="S346" s="30"/>
      <c r="T346" s="30"/>
      <c r="W346" s="32" t="str">
        <f>IF($A346="","",IF(OR($M346="Out of Scope",$M346="Canceled"),"Out of Scope",IF($M346="Blocked","Blocked",IF(AND($T346&lt;&gt;"Fixed – Retest Passed",OR(LEN(TRIM($O346))&gt;0,LEN(TRIM($P346))&gt;0)),IF(AND(OR($L346="Medium",$L346="Low"),SUMPRODUCT((Cards!$A$4:$A$1000&lt;&gt;"")*ISNUMBER(SEARCH($A346,Cards!$E$4:$E$1000))*(Cards!$F$4:$F$1000&lt;&gt;"Medium")*(Cards!$F$4:$F$1000&lt;&gt;"Low"))=0),"Conditionally Passed","Failed"),IF($M346="Done","Passed","Not Run")))))</f>
        <v/>
      </c>
      <c r="Y346" s="27" t="str" cm="1">
        <f t="array" ref="Y346">IF($A346="","",IF(TRIM($B346)="","-",IFERROR(_xlfn.TEXTJOIN(" / ",TRUE,_xlfn.UNIQUE(_xlfn._xlws.FILTER('Ownership Matrix'!$C$5:$C$200,('Ownership Matrix'!$A$5:$A$200=TRIM($B346))*('Ownership Matrix'!$C$5:$C$200&lt;&gt;"")))),"ไม่พบใน Ownership Matrix")))</f>
        <v/>
      </c>
      <c r="Z346" s="31" t="str">
        <f>IF(NOT(AND($A346&lt;&gt;"",$M346&lt;&gt;"Out of Scope",$M346&lt;&gt;"Canceled",$T346&lt;&gt;"Fixed – Retest Passed",OR(LEN(TRIM($O346))&gt;0,LEN(TRIM($P346))&gt;0))),"",IF(OR($W346="Failed",$R346="Urgent",$R346="High",$R346="ระบุ Severity + Impact"),IF(COUNTIFS(Dashboard!$B$105:$B$124,$O346,Dashboard!$I$105:$I$124,"CAB")&gt;0,"Accepted (CF)","Blocking"),"Deferrable"))</f>
        <v/>
      </c>
    </row>
    <row r="347" spans="7:26" x14ac:dyDescent="0.3">
      <c r="G347" s="27" t="str" cm="1">
        <f t="array" ref="G347">IF($A347="","",IFERROR(_xlfn.TEXTJOIN(CHAR(10)&amp;CHAR(10),TRUE,_xlfn._xlws.FILTER("•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"&amp;Cards!$L$4:$L$1000),(Cards!$A$4:$A$1000&lt;&gt;"")*ISNUMBER(SEARCH($A347,Cards!$E$4:$E$1000)))),"-"))</f>
        <v/>
      </c>
      <c r="Q347" s="30"/>
      <c r="R347" s="27" t="str">
        <f>IF(OR($A347="",LEN(TRIM($O347))=0),"",IF(OR($P347="",$Q347=""),"ระบุ Severity + Impact",IFERROR(INDEX({"Urgent","Urgent","High","High";"Urgent","High","High","Medium";"High","High","Medium","Medium";"Medium","Medium","Low","Low"},MATCH($P347,{"Critical","High","Medium","Low"},0),MATCH($Q347,{"Extensive","Significant","Moderate","Minor"},0)),"-")))</f>
        <v/>
      </c>
      <c r="S347" s="30"/>
      <c r="T347" s="30"/>
      <c r="W347" s="32" t="str">
        <f>IF($A347="","",IF(OR($M347="Out of Scope",$M347="Canceled"),"Out of Scope",IF($M347="Blocked","Blocked",IF(AND($T347&lt;&gt;"Fixed – Retest Passed",OR(LEN(TRIM($O347))&gt;0,LEN(TRIM($P347))&gt;0)),IF(AND(OR($L347="Medium",$L347="Low"),SUMPRODUCT((Cards!$A$4:$A$1000&lt;&gt;"")*ISNUMBER(SEARCH($A347,Cards!$E$4:$E$1000))*(Cards!$F$4:$F$1000&lt;&gt;"Medium")*(Cards!$F$4:$F$1000&lt;&gt;"Low"))=0),"Conditionally Passed","Failed"),IF($M347="Done","Passed","Not Run")))))</f>
        <v/>
      </c>
      <c r="Y347" s="27" t="str" cm="1">
        <f t="array" ref="Y347">IF($A347="","",IF(TRIM($B347)="","-",IFERROR(_xlfn.TEXTJOIN(" / ",TRUE,_xlfn.UNIQUE(_xlfn._xlws.FILTER('Ownership Matrix'!$C$5:$C$200,('Ownership Matrix'!$A$5:$A$200=TRIM($B347))*('Ownership Matrix'!$C$5:$C$200&lt;&gt;"")))),"ไม่พบใน Ownership Matrix")))</f>
        <v/>
      </c>
      <c r="Z347" s="31" t="str">
        <f>IF(NOT(AND($A347&lt;&gt;"",$M347&lt;&gt;"Out of Scope",$M347&lt;&gt;"Canceled",$T347&lt;&gt;"Fixed – Retest Passed",OR(LEN(TRIM($O347))&gt;0,LEN(TRIM($P347))&gt;0))),"",IF(OR($W347="Failed",$R347="Urgent",$R347="High",$R347="ระบุ Severity + Impact"),IF(COUNTIFS(Dashboard!$B$105:$B$124,$O347,Dashboard!$I$105:$I$124,"CAB")&gt;0,"Accepted (CF)","Blocking"),"Deferrable"))</f>
        <v/>
      </c>
    </row>
    <row r="348" spans="7:26" x14ac:dyDescent="0.3">
      <c r="G348" s="27" t="str" cm="1">
        <f t="array" ref="G348">IF($A348="","",IFERROR(_xlfn.TEXTJOIN(CHAR(10)&amp;CHAR(10),TRUE,_xlfn._xlws.FILTER("•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"&amp;Cards!$L$4:$L$1000),(Cards!$A$4:$A$1000&lt;&gt;"")*ISNUMBER(SEARCH($A348,Cards!$E$4:$E$1000)))),"-"))</f>
        <v/>
      </c>
      <c r="Q348" s="30"/>
      <c r="R348" s="27" t="str">
        <f>IF(OR($A348="",LEN(TRIM($O348))=0),"",IF(OR($P348="",$Q348=""),"ระบุ Severity + Impact",IFERROR(INDEX({"Urgent","Urgent","High","High";"Urgent","High","High","Medium";"High","High","Medium","Medium";"Medium","Medium","Low","Low"},MATCH($P348,{"Critical","High","Medium","Low"},0),MATCH($Q348,{"Extensive","Significant","Moderate","Minor"},0)),"-")))</f>
        <v/>
      </c>
      <c r="S348" s="30"/>
      <c r="T348" s="30"/>
      <c r="W348" s="32" t="str">
        <f>IF($A348="","",IF(OR($M348="Out of Scope",$M348="Canceled"),"Out of Scope",IF($M348="Blocked","Blocked",IF(AND($T348&lt;&gt;"Fixed – Retest Passed",OR(LEN(TRIM($O348))&gt;0,LEN(TRIM($P348))&gt;0)),IF(AND(OR($L348="Medium",$L348="Low"),SUMPRODUCT((Cards!$A$4:$A$1000&lt;&gt;"")*ISNUMBER(SEARCH($A348,Cards!$E$4:$E$1000))*(Cards!$F$4:$F$1000&lt;&gt;"Medium")*(Cards!$F$4:$F$1000&lt;&gt;"Low"))=0),"Conditionally Passed","Failed"),IF($M348="Done","Passed","Not Run")))))</f>
        <v/>
      </c>
      <c r="Y348" s="27" t="str" cm="1">
        <f t="array" ref="Y348">IF($A348="","",IF(TRIM($B348)="","-",IFERROR(_xlfn.TEXTJOIN(" / ",TRUE,_xlfn.UNIQUE(_xlfn._xlws.FILTER('Ownership Matrix'!$C$5:$C$200,('Ownership Matrix'!$A$5:$A$200=TRIM($B348))*('Ownership Matrix'!$C$5:$C$200&lt;&gt;"")))),"ไม่พบใน Ownership Matrix")))</f>
        <v/>
      </c>
      <c r="Z348" s="31" t="str">
        <f>IF(NOT(AND($A348&lt;&gt;"",$M348&lt;&gt;"Out of Scope",$M348&lt;&gt;"Canceled",$T348&lt;&gt;"Fixed – Retest Passed",OR(LEN(TRIM($O348))&gt;0,LEN(TRIM($P348))&gt;0))),"",IF(OR($W348="Failed",$R348="Urgent",$R348="High",$R348="ระบุ Severity + Impact"),IF(COUNTIFS(Dashboard!$B$105:$B$124,$O348,Dashboard!$I$105:$I$124,"CAB")&gt;0,"Accepted (CF)","Blocking"),"Deferrable"))</f>
        <v/>
      </c>
    </row>
    <row r="349" spans="7:26" x14ac:dyDescent="0.3">
      <c r="G349" s="27" t="str" cm="1">
        <f t="array" ref="G349">IF($A349="","",IFERROR(_xlfn.TEXTJOIN(CHAR(10)&amp;CHAR(10),TRUE,_xlfn._xlws.FILTER("•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"&amp;Cards!$L$4:$L$1000),(Cards!$A$4:$A$1000&lt;&gt;"")*ISNUMBER(SEARCH($A349,Cards!$E$4:$E$1000)))),"-"))</f>
        <v/>
      </c>
      <c r="Q349" s="30"/>
      <c r="R349" s="27" t="str">
        <f>IF(OR($A349="",LEN(TRIM($O349))=0),"",IF(OR($P349="",$Q349=""),"ระบุ Severity + Impact",IFERROR(INDEX({"Urgent","Urgent","High","High";"Urgent","High","High","Medium";"High","High","Medium","Medium";"Medium","Medium","Low","Low"},MATCH($P349,{"Critical","High","Medium","Low"},0),MATCH($Q349,{"Extensive","Significant","Moderate","Minor"},0)),"-")))</f>
        <v/>
      </c>
      <c r="S349" s="30"/>
      <c r="T349" s="30"/>
      <c r="W349" s="32" t="str">
        <f>IF($A349="","",IF(OR($M349="Out of Scope",$M349="Canceled"),"Out of Scope",IF($M349="Blocked","Blocked",IF(AND($T349&lt;&gt;"Fixed – Retest Passed",OR(LEN(TRIM($O349))&gt;0,LEN(TRIM($P349))&gt;0)),IF(AND(OR($L349="Medium",$L349="Low"),SUMPRODUCT((Cards!$A$4:$A$1000&lt;&gt;"")*ISNUMBER(SEARCH($A349,Cards!$E$4:$E$1000))*(Cards!$F$4:$F$1000&lt;&gt;"Medium")*(Cards!$F$4:$F$1000&lt;&gt;"Low"))=0),"Conditionally Passed","Failed"),IF($M349="Done","Passed","Not Run")))))</f>
        <v/>
      </c>
      <c r="Y349" s="27" t="str" cm="1">
        <f t="array" ref="Y349">IF($A349="","",IF(TRIM($B349)="","-",IFERROR(_xlfn.TEXTJOIN(" / ",TRUE,_xlfn.UNIQUE(_xlfn._xlws.FILTER('Ownership Matrix'!$C$5:$C$200,('Ownership Matrix'!$A$5:$A$200=TRIM($B349))*('Ownership Matrix'!$C$5:$C$200&lt;&gt;"")))),"ไม่พบใน Ownership Matrix")))</f>
        <v/>
      </c>
      <c r="Z349" s="31" t="str">
        <f>IF(NOT(AND($A349&lt;&gt;"",$M349&lt;&gt;"Out of Scope",$M349&lt;&gt;"Canceled",$T349&lt;&gt;"Fixed – Retest Passed",OR(LEN(TRIM($O349))&gt;0,LEN(TRIM($P349))&gt;0))),"",IF(OR($W349="Failed",$R349="Urgent",$R349="High",$R349="ระบุ Severity + Impact"),IF(COUNTIFS(Dashboard!$B$105:$B$124,$O349,Dashboard!$I$105:$I$124,"CAB")&gt;0,"Accepted (CF)","Blocking"),"Deferrable"))</f>
        <v/>
      </c>
    </row>
    <row r="350" spans="7:26" x14ac:dyDescent="0.3">
      <c r="G350" s="27" t="str" cm="1">
        <f t="array" ref="G350">IF($A350="","",IFERROR(_xlfn.TEXTJOIN(CHAR(10)&amp;CHAR(10),TRUE,_xlfn._xlws.FILTER("•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"&amp;Cards!$L$4:$L$1000),(Cards!$A$4:$A$1000&lt;&gt;"")*ISNUMBER(SEARCH($A350,Cards!$E$4:$E$1000)))),"-"))</f>
        <v/>
      </c>
      <c r="Q350" s="30"/>
      <c r="R350" s="27" t="str">
        <f>IF(OR($A350="",LEN(TRIM($O350))=0),"",IF(OR($P350="",$Q350=""),"ระบุ Severity + Impact",IFERROR(INDEX({"Urgent","Urgent","High","High";"Urgent","High","High","Medium";"High","High","Medium","Medium";"Medium","Medium","Low","Low"},MATCH($P350,{"Critical","High","Medium","Low"},0),MATCH($Q350,{"Extensive","Significant","Moderate","Minor"},0)),"-")))</f>
        <v/>
      </c>
      <c r="S350" s="30"/>
      <c r="T350" s="30"/>
      <c r="W350" s="32" t="str">
        <f>IF($A350="","",IF(OR($M350="Out of Scope",$M350="Canceled"),"Out of Scope",IF($M350="Blocked","Blocked",IF(AND($T350&lt;&gt;"Fixed – Retest Passed",OR(LEN(TRIM($O350))&gt;0,LEN(TRIM($P350))&gt;0)),IF(AND(OR($L350="Medium",$L350="Low"),SUMPRODUCT((Cards!$A$4:$A$1000&lt;&gt;"")*ISNUMBER(SEARCH($A350,Cards!$E$4:$E$1000))*(Cards!$F$4:$F$1000&lt;&gt;"Medium")*(Cards!$F$4:$F$1000&lt;&gt;"Low"))=0),"Conditionally Passed","Failed"),IF($M350="Done","Passed","Not Run")))))</f>
        <v/>
      </c>
      <c r="Y350" s="27" t="str" cm="1">
        <f t="array" ref="Y350">IF($A350="","",IF(TRIM($B350)="","-",IFERROR(_xlfn.TEXTJOIN(" / ",TRUE,_xlfn.UNIQUE(_xlfn._xlws.FILTER('Ownership Matrix'!$C$5:$C$200,('Ownership Matrix'!$A$5:$A$200=TRIM($B350))*('Ownership Matrix'!$C$5:$C$200&lt;&gt;"")))),"ไม่พบใน Ownership Matrix")))</f>
        <v/>
      </c>
      <c r="Z350" s="31" t="str">
        <f>IF(NOT(AND($A350&lt;&gt;"",$M350&lt;&gt;"Out of Scope",$M350&lt;&gt;"Canceled",$T350&lt;&gt;"Fixed – Retest Passed",OR(LEN(TRIM($O350))&gt;0,LEN(TRIM($P350))&gt;0))),"",IF(OR($W350="Failed",$R350="Urgent",$R350="High",$R350="ระบุ Severity + Impact"),IF(COUNTIFS(Dashboard!$B$105:$B$124,$O350,Dashboard!$I$105:$I$124,"CAB")&gt;0,"Accepted (CF)","Blocking"),"Deferrable"))</f>
        <v/>
      </c>
    </row>
    <row r="351" spans="7:26" x14ac:dyDescent="0.3">
      <c r="G351" s="27" t="str" cm="1">
        <f t="array" ref="G351">IF($A351="","",IFERROR(_xlfn.TEXTJOIN(CHAR(10)&amp;CHAR(10),TRUE,_xlfn._xlws.FILTER("•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"&amp;Cards!$L$4:$L$1000),(Cards!$A$4:$A$1000&lt;&gt;"")*ISNUMBER(SEARCH($A351,Cards!$E$4:$E$1000)))),"-"))</f>
        <v/>
      </c>
      <c r="Q351" s="30"/>
      <c r="R351" s="27" t="str">
        <f>IF(OR($A351="",LEN(TRIM($O351))=0),"",IF(OR($P351="",$Q351=""),"ระบุ Severity + Impact",IFERROR(INDEX({"Urgent","Urgent","High","High";"Urgent","High","High","Medium";"High","High","Medium","Medium";"Medium","Medium","Low","Low"},MATCH($P351,{"Critical","High","Medium","Low"},0),MATCH($Q351,{"Extensive","Significant","Moderate","Minor"},0)),"-")))</f>
        <v/>
      </c>
      <c r="S351" s="30"/>
      <c r="T351" s="30"/>
      <c r="W351" s="32" t="str">
        <f>IF($A351="","",IF(OR($M351="Out of Scope",$M351="Canceled"),"Out of Scope",IF($M351="Blocked","Blocked",IF(AND($T351&lt;&gt;"Fixed – Retest Passed",OR(LEN(TRIM($O351))&gt;0,LEN(TRIM($P351))&gt;0)),IF(AND(OR($L351="Medium",$L351="Low"),SUMPRODUCT((Cards!$A$4:$A$1000&lt;&gt;"")*ISNUMBER(SEARCH($A351,Cards!$E$4:$E$1000))*(Cards!$F$4:$F$1000&lt;&gt;"Medium")*(Cards!$F$4:$F$1000&lt;&gt;"Low"))=0),"Conditionally Passed","Failed"),IF($M351="Done","Passed","Not Run")))))</f>
        <v/>
      </c>
      <c r="Y351" s="27" t="str" cm="1">
        <f t="array" ref="Y351">IF($A351="","",IF(TRIM($B351)="","-",IFERROR(_xlfn.TEXTJOIN(" / ",TRUE,_xlfn.UNIQUE(_xlfn._xlws.FILTER('Ownership Matrix'!$C$5:$C$200,('Ownership Matrix'!$A$5:$A$200=TRIM($B351))*('Ownership Matrix'!$C$5:$C$200&lt;&gt;"")))),"ไม่พบใน Ownership Matrix")))</f>
        <v/>
      </c>
      <c r="Z351" s="31" t="str">
        <f>IF(NOT(AND($A351&lt;&gt;"",$M351&lt;&gt;"Out of Scope",$M351&lt;&gt;"Canceled",$T351&lt;&gt;"Fixed – Retest Passed",OR(LEN(TRIM($O351))&gt;0,LEN(TRIM($P351))&gt;0))),"",IF(OR($W351="Failed",$R351="Urgent",$R351="High",$R351="ระบุ Severity + Impact"),IF(COUNTIFS(Dashboard!$B$105:$B$124,$O351,Dashboard!$I$105:$I$124,"CAB")&gt;0,"Accepted (CF)","Blocking"),"Deferrable"))</f>
        <v/>
      </c>
    </row>
    <row r="352" spans="7:26" x14ac:dyDescent="0.3">
      <c r="G352" s="27" t="str" cm="1">
        <f t="array" ref="G352">IF($A352="","",IFERROR(_xlfn.TEXTJOIN(CHAR(10)&amp;CHAR(10),TRUE,_xlfn._xlws.FILTER("•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"&amp;Cards!$L$4:$L$1000),(Cards!$A$4:$A$1000&lt;&gt;"")*ISNUMBER(SEARCH($A352,Cards!$E$4:$E$1000)))),"-"))</f>
        <v/>
      </c>
      <c r="Q352" s="30"/>
      <c r="R352" s="27" t="str">
        <f>IF(OR($A352="",LEN(TRIM($O352))=0),"",IF(OR($P352="",$Q352=""),"ระบุ Severity + Impact",IFERROR(INDEX({"Urgent","Urgent","High","High";"Urgent","High","High","Medium";"High","High","Medium","Medium";"Medium","Medium","Low","Low"},MATCH($P352,{"Critical","High","Medium","Low"},0),MATCH($Q352,{"Extensive","Significant","Moderate","Minor"},0)),"-")))</f>
        <v/>
      </c>
      <c r="S352" s="30"/>
      <c r="T352" s="30"/>
      <c r="W352" s="32" t="str">
        <f>IF($A352="","",IF(OR($M352="Out of Scope",$M352="Canceled"),"Out of Scope",IF($M352="Blocked","Blocked",IF(AND($T352&lt;&gt;"Fixed – Retest Passed",OR(LEN(TRIM($O352))&gt;0,LEN(TRIM($P352))&gt;0)),IF(AND(OR($L352="Medium",$L352="Low"),SUMPRODUCT((Cards!$A$4:$A$1000&lt;&gt;"")*ISNUMBER(SEARCH($A352,Cards!$E$4:$E$1000))*(Cards!$F$4:$F$1000&lt;&gt;"Medium")*(Cards!$F$4:$F$1000&lt;&gt;"Low"))=0),"Conditionally Passed","Failed"),IF($M352="Done","Passed","Not Run")))))</f>
        <v/>
      </c>
      <c r="Y352" s="27" t="str" cm="1">
        <f t="array" ref="Y352">IF($A352="","",IF(TRIM($B352)="","-",IFERROR(_xlfn.TEXTJOIN(" / ",TRUE,_xlfn.UNIQUE(_xlfn._xlws.FILTER('Ownership Matrix'!$C$5:$C$200,('Ownership Matrix'!$A$5:$A$200=TRIM($B352))*('Ownership Matrix'!$C$5:$C$200&lt;&gt;"")))),"ไม่พบใน Ownership Matrix")))</f>
        <v/>
      </c>
      <c r="Z352" s="31" t="str">
        <f>IF(NOT(AND($A352&lt;&gt;"",$M352&lt;&gt;"Out of Scope",$M352&lt;&gt;"Canceled",$T352&lt;&gt;"Fixed – Retest Passed",OR(LEN(TRIM($O352))&gt;0,LEN(TRIM($P352))&gt;0))),"",IF(OR($W352="Failed",$R352="Urgent",$R352="High",$R352="ระบุ Severity + Impact"),IF(COUNTIFS(Dashboard!$B$105:$B$124,$O352,Dashboard!$I$105:$I$124,"CAB")&gt;0,"Accepted (CF)","Blocking"),"Deferrable"))</f>
        <v/>
      </c>
    </row>
    <row r="353" spans="7:26" x14ac:dyDescent="0.3">
      <c r="G353" s="27" t="str" cm="1">
        <f t="array" ref="G353">IF($A353="","",IFERROR(_xlfn.TEXTJOIN(CHAR(10)&amp;CHAR(10),TRUE,_xlfn._xlws.FILTER("•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"&amp;Cards!$L$4:$L$1000),(Cards!$A$4:$A$1000&lt;&gt;"")*ISNUMBER(SEARCH($A353,Cards!$E$4:$E$1000)))),"-"))</f>
        <v/>
      </c>
      <c r="Q353" s="30"/>
      <c r="R353" s="27" t="str">
        <f>IF(OR($A353="",LEN(TRIM($O353))=0),"",IF(OR($P353="",$Q353=""),"ระบุ Severity + Impact",IFERROR(INDEX({"Urgent","Urgent","High","High";"Urgent","High","High","Medium";"High","High","Medium","Medium";"Medium","Medium","Low","Low"},MATCH($P353,{"Critical","High","Medium","Low"},0),MATCH($Q353,{"Extensive","Significant","Moderate","Minor"},0)),"-")))</f>
        <v/>
      </c>
      <c r="S353" s="30"/>
      <c r="T353" s="30"/>
      <c r="W353" s="32" t="str">
        <f>IF($A353="","",IF(OR($M353="Out of Scope",$M353="Canceled"),"Out of Scope",IF($M353="Blocked","Blocked",IF(AND($T353&lt;&gt;"Fixed – Retest Passed",OR(LEN(TRIM($O353))&gt;0,LEN(TRIM($P353))&gt;0)),IF(AND(OR($L353="Medium",$L353="Low"),SUMPRODUCT((Cards!$A$4:$A$1000&lt;&gt;"")*ISNUMBER(SEARCH($A353,Cards!$E$4:$E$1000))*(Cards!$F$4:$F$1000&lt;&gt;"Medium")*(Cards!$F$4:$F$1000&lt;&gt;"Low"))=0),"Conditionally Passed","Failed"),IF($M353="Done","Passed","Not Run")))))</f>
        <v/>
      </c>
      <c r="Y353" s="27" t="str" cm="1">
        <f t="array" ref="Y353">IF($A353="","",IF(TRIM($B353)="","-",IFERROR(_xlfn.TEXTJOIN(" / ",TRUE,_xlfn.UNIQUE(_xlfn._xlws.FILTER('Ownership Matrix'!$C$5:$C$200,('Ownership Matrix'!$A$5:$A$200=TRIM($B353))*('Ownership Matrix'!$C$5:$C$200&lt;&gt;"")))),"ไม่พบใน Ownership Matrix")))</f>
        <v/>
      </c>
      <c r="Z353" s="31" t="str">
        <f>IF(NOT(AND($A353&lt;&gt;"",$M353&lt;&gt;"Out of Scope",$M353&lt;&gt;"Canceled",$T353&lt;&gt;"Fixed – Retest Passed",OR(LEN(TRIM($O353))&gt;0,LEN(TRIM($P353))&gt;0))),"",IF(OR($W353="Failed",$R353="Urgent",$R353="High",$R353="ระบุ Severity + Impact"),IF(COUNTIFS(Dashboard!$B$105:$B$124,$O353,Dashboard!$I$105:$I$124,"CAB")&gt;0,"Accepted (CF)","Blocking"),"Deferrable"))</f>
        <v/>
      </c>
    </row>
    <row r="354" spans="7:26" x14ac:dyDescent="0.3">
      <c r="G354" s="27" t="str" cm="1">
        <f t="array" ref="G354">IF($A354="","",IFERROR(_xlfn.TEXTJOIN(CHAR(10)&amp;CHAR(10),TRUE,_xlfn._xlws.FILTER("•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"&amp;Cards!$L$4:$L$1000),(Cards!$A$4:$A$1000&lt;&gt;"")*ISNUMBER(SEARCH($A354,Cards!$E$4:$E$1000)))),"-"))</f>
        <v/>
      </c>
      <c r="Q354" s="30"/>
      <c r="R354" s="27" t="str">
        <f>IF(OR($A354="",LEN(TRIM($O354))=0),"",IF(OR($P354="",$Q354=""),"ระบุ Severity + Impact",IFERROR(INDEX({"Urgent","Urgent","High","High";"Urgent","High","High","Medium";"High","High","Medium","Medium";"Medium","Medium","Low","Low"},MATCH($P354,{"Critical","High","Medium","Low"},0),MATCH($Q354,{"Extensive","Significant","Moderate","Minor"},0)),"-")))</f>
        <v/>
      </c>
      <c r="S354" s="30"/>
      <c r="T354" s="30"/>
      <c r="W354" s="32" t="str">
        <f>IF($A354="","",IF(OR($M354="Out of Scope",$M354="Canceled"),"Out of Scope",IF($M354="Blocked","Blocked",IF(AND($T354&lt;&gt;"Fixed – Retest Passed",OR(LEN(TRIM($O354))&gt;0,LEN(TRIM($P354))&gt;0)),IF(AND(OR($L354="Medium",$L354="Low"),SUMPRODUCT((Cards!$A$4:$A$1000&lt;&gt;"")*ISNUMBER(SEARCH($A354,Cards!$E$4:$E$1000))*(Cards!$F$4:$F$1000&lt;&gt;"Medium")*(Cards!$F$4:$F$1000&lt;&gt;"Low"))=0),"Conditionally Passed","Failed"),IF($M354="Done","Passed","Not Run")))))</f>
        <v/>
      </c>
      <c r="Y354" s="27" t="str" cm="1">
        <f t="array" ref="Y354">IF($A354="","",IF(TRIM($B354)="","-",IFERROR(_xlfn.TEXTJOIN(" / ",TRUE,_xlfn.UNIQUE(_xlfn._xlws.FILTER('Ownership Matrix'!$C$5:$C$200,('Ownership Matrix'!$A$5:$A$200=TRIM($B354))*('Ownership Matrix'!$C$5:$C$200&lt;&gt;"")))),"ไม่พบใน Ownership Matrix")))</f>
        <v/>
      </c>
      <c r="Z354" s="31" t="str">
        <f>IF(NOT(AND($A354&lt;&gt;"",$M354&lt;&gt;"Out of Scope",$M354&lt;&gt;"Canceled",$T354&lt;&gt;"Fixed – Retest Passed",OR(LEN(TRIM($O354))&gt;0,LEN(TRIM($P354))&gt;0))),"",IF(OR($W354="Failed",$R354="Urgent",$R354="High",$R354="ระบุ Severity + Impact"),IF(COUNTIFS(Dashboard!$B$105:$B$124,$O354,Dashboard!$I$105:$I$124,"CAB")&gt;0,"Accepted (CF)","Blocking"),"Deferrable"))</f>
        <v/>
      </c>
    </row>
    <row r="355" spans="7:26" x14ac:dyDescent="0.3">
      <c r="G355" s="27" t="str" cm="1">
        <f t="array" ref="G355">IF($A355="","",IFERROR(_xlfn.TEXTJOIN(CHAR(10)&amp;CHAR(10),TRUE,_xlfn._xlws.FILTER("•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"&amp;Cards!$L$4:$L$1000),(Cards!$A$4:$A$1000&lt;&gt;"")*ISNUMBER(SEARCH($A355,Cards!$E$4:$E$1000)))),"-"))</f>
        <v/>
      </c>
      <c r="Q355" s="30"/>
      <c r="R355" s="27" t="str">
        <f>IF(OR($A355="",LEN(TRIM($O355))=0),"",IF(OR($P355="",$Q355=""),"ระบุ Severity + Impact",IFERROR(INDEX({"Urgent","Urgent","High","High";"Urgent","High","High","Medium";"High","High","Medium","Medium";"Medium","Medium","Low","Low"},MATCH($P355,{"Critical","High","Medium","Low"},0),MATCH($Q355,{"Extensive","Significant","Moderate","Minor"},0)),"-")))</f>
        <v/>
      </c>
      <c r="S355" s="30"/>
      <c r="T355" s="30"/>
      <c r="W355" s="32" t="str">
        <f>IF($A355="","",IF(OR($M355="Out of Scope",$M355="Canceled"),"Out of Scope",IF($M355="Blocked","Blocked",IF(AND($T355&lt;&gt;"Fixed – Retest Passed",OR(LEN(TRIM($O355))&gt;0,LEN(TRIM($P355))&gt;0)),IF(AND(OR($L355="Medium",$L355="Low"),SUMPRODUCT((Cards!$A$4:$A$1000&lt;&gt;"")*ISNUMBER(SEARCH($A355,Cards!$E$4:$E$1000))*(Cards!$F$4:$F$1000&lt;&gt;"Medium")*(Cards!$F$4:$F$1000&lt;&gt;"Low"))=0),"Conditionally Passed","Failed"),IF($M355="Done","Passed","Not Run")))))</f>
        <v/>
      </c>
      <c r="Y355" s="27" t="str" cm="1">
        <f t="array" ref="Y355">IF($A355="","",IF(TRIM($B355)="","-",IFERROR(_xlfn.TEXTJOIN(" / ",TRUE,_xlfn.UNIQUE(_xlfn._xlws.FILTER('Ownership Matrix'!$C$5:$C$200,('Ownership Matrix'!$A$5:$A$200=TRIM($B355))*('Ownership Matrix'!$C$5:$C$200&lt;&gt;"")))),"ไม่พบใน Ownership Matrix")))</f>
        <v/>
      </c>
      <c r="Z355" s="31" t="str">
        <f>IF(NOT(AND($A355&lt;&gt;"",$M355&lt;&gt;"Out of Scope",$M355&lt;&gt;"Canceled",$T355&lt;&gt;"Fixed – Retest Passed",OR(LEN(TRIM($O355))&gt;0,LEN(TRIM($P355))&gt;0))),"",IF(OR($W355="Failed",$R355="Urgent",$R355="High",$R355="ระบุ Severity + Impact"),IF(COUNTIFS(Dashboard!$B$105:$B$124,$O355,Dashboard!$I$105:$I$124,"CAB")&gt;0,"Accepted (CF)","Blocking"),"Deferrable"))</f>
        <v/>
      </c>
    </row>
    <row r="356" spans="7:26" x14ac:dyDescent="0.3">
      <c r="G356" s="27" t="str" cm="1">
        <f t="array" ref="G356">IF($A356="","",IFERROR(_xlfn.TEXTJOIN(CHAR(10)&amp;CHAR(10),TRUE,_xlfn._xlws.FILTER("•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"&amp;Cards!$L$4:$L$1000),(Cards!$A$4:$A$1000&lt;&gt;"")*ISNUMBER(SEARCH($A356,Cards!$E$4:$E$1000)))),"-"))</f>
        <v/>
      </c>
      <c r="Q356" s="30"/>
      <c r="R356" s="27" t="str">
        <f>IF(OR($A356="",LEN(TRIM($O356))=0),"",IF(OR($P356="",$Q356=""),"ระบุ Severity + Impact",IFERROR(INDEX({"Urgent","Urgent","High","High";"Urgent","High","High","Medium";"High","High","Medium","Medium";"Medium","Medium","Low","Low"},MATCH($P356,{"Critical","High","Medium","Low"},0),MATCH($Q356,{"Extensive","Significant","Moderate","Minor"},0)),"-")))</f>
        <v/>
      </c>
      <c r="S356" s="30"/>
      <c r="T356" s="30"/>
      <c r="W356" s="32" t="str">
        <f>IF($A356="","",IF(OR($M356="Out of Scope",$M356="Canceled"),"Out of Scope",IF($M356="Blocked","Blocked",IF(AND($T356&lt;&gt;"Fixed – Retest Passed",OR(LEN(TRIM($O356))&gt;0,LEN(TRIM($P356))&gt;0)),IF(AND(OR($L356="Medium",$L356="Low"),SUMPRODUCT((Cards!$A$4:$A$1000&lt;&gt;"")*ISNUMBER(SEARCH($A356,Cards!$E$4:$E$1000))*(Cards!$F$4:$F$1000&lt;&gt;"Medium")*(Cards!$F$4:$F$1000&lt;&gt;"Low"))=0),"Conditionally Passed","Failed"),IF($M356="Done","Passed","Not Run")))))</f>
        <v/>
      </c>
      <c r="Y356" s="27" t="str" cm="1">
        <f t="array" ref="Y356">IF($A356="","",IF(TRIM($B356)="","-",IFERROR(_xlfn.TEXTJOIN(" / ",TRUE,_xlfn.UNIQUE(_xlfn._xlws.FILTER('Ownership Matrix'!$C$5:$C$200,('Ownership Matrix'!$A$5:$A$200=TRIM($B356))*('Ownership Matrix'!$C$5:$C$200&lt;&gt;"")))),"ไม่พบใน Ownership Matrix")))</f>
        <v/>
      </c>
      <c r="Z356" s="31" t="str">
        <f>IF(NOT(AND($A356&lt;&gt;"",$M356&lt;&gt;"Out of Scope",$M356&lt;&gt;"Canceled",$T356&lt;&gt;"Fixed – Retest Passed",OR(LEN(TRIM($O356))&gt;0,LEN(TRIM($P356))&gt;0))),"",IF(OR($W356="Failed",$R356="Urgent",$R356="High",$R356="ระบุ Severity + Impact"),IF(COUNTIFS(Dashboard!$B$105:$B$124,$O356,Dashboard!$I$105:$I$124,"CAB")&gt;0,"Accepted (CF)","Blocking"),"Deferrable"))</f>
        <v/>
      </c>
    </row>
    <row r="357" spans="7:26" x14ac:dyDescent="0.3">
      <c r="G357" s="27" t="str" cm="1">
        <f t="array" ref="G357">IF($A357="","",IFERROR(_xlfn.TEXTJOIN(CHAR(10)&amp;CHAR(10),TRUE,_xlfn._xlws.FILTER("•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"&amp;Cards!$L$4:$L$1000),(Cards!$A$4:$A$1000&lt;&gt;"")*ISNUMBER(SEARCH($A357,Cards!$E$4:$E$1000)))),"-"))</f>
        <v/>
      </c>
      <c r="Q357" s="30"/>
      <c r="R357" s="27" t="str">
        <f>IF(OR($A357="",LEN(TRIM($O357))=0),"",IF(OR($P357="",$Q357=""),"ระบุ Severity + Impact",IFERROR(INDEX({"Urgent","Urgent","High","High";"Urgent","High","High","Medium";"High","High","Medium","Medium";"Medium","Medium","Low","Low"},MATCH($P357,{"Critical","High","Medium","Low"},0),MATCH($Q357,{"Extensive","Significant","Moderate","Minor"},0)),"-")))</f>
        <v/>
      </c>
      <c r="S357" s="30"/>
      <c r="T357" s="30"/>
      <c r="W357" s="32" t="str">
        <f>IF($A357="","",IF(OR($M357="Out of Scope",$M357="Canceled"),"Out of Scope",IF($M357="Blocked","Blocked",IF(AND($T357&lt;&gt;"Fixed – Retest Passed",OR(LEN(TRIM($O357))&gt;0,LEN(TRIM($P357))&gt;0)),IF(AND(OR($L357="Medium",$L357="Low"),SUMPRODUCT((Cards!$A$4:$A$1000&lt;&gt;"")*ISNUMBER(SEARCH($A357,Cards!$E$4:$E$1000))*(Cards!$F$4:$F$1000&lt;&gt;"Medium")*(Cards!$F$4:$F$1000&lt;&gt;"Low"))=0),"Conditionally Passed","Failed"),IF($M357="Done","Passed","Not Run")))))</f>
        <v/>
      </c>
      <c r="Y357" s="27" t="str" cm="1">
        <f t="array" ref="Y357">IF($A357="","",IF(TRIM($B357)="","-",IFERROR(_xlfn.TEXTJOIN(" / ",TRUE,_xlfn.UNIQUE(_xlfn._xlws.FILTER('Ownership Matrix'!$C$5:$C$200,('Ownership Matrix'!$A$5:$A$200=TRIM($B357))*('Ownership Matrix'!$C$5:$C$200&lt;&gt;"")))),"ไม่พบใน Ownership Matrix")))</f>
        <v/>
      </c>
      <c r="Z357" s="31" t="str">
        <f>IF(NOT(AND($A357&lt;&gt;"",$M357&lt;&gt;"Out of Scope",$M357&lt;&gt;"Canceled",$T357&lt;&gt;"Fixed – Retest Passed",OR(LEN(TRIM($O357))&gt;0,LEN(TRIM($P357))&gt;0))),"",IF(OR($W357="Failed",$R357="Urgent",$R357="High",$R357="ระบุ Severity + Impact"),IF(COUNTIFS(Dashboard!$B$105:$B$124,$O357,Dashboard!$I$105:$I$124,"CAB")&gt;0,"Accepted (CF)","Blocking"),"Deferrable"))</f>
        <v/>
      </c>
    </row>
    <row r="358" spans="7:26" x14ac:dyDescent="0.3">
      <c r="G358" s="27" t="str" cm="1">
        <f t="array" ref="G358">IF($A358="","",IFERROR(_xlfn.TEXTJOIN(CHAR(10)&amp;CHAR(10),TRUE,_xlfn._xlws.FILTER("•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"&amp;Cards!$L$4:$L$1000),(Cards!$A$4:$A$1000&lt;&gt;"")*ISNUMBER(SEARCH($A358,Cards!$E$4:$E$1000)))),"-"))</f>
        <v/>
      </c>
      <c r="Q358" s="30"/>
      <c r="R358" s="27" t="str">
        <f>IF(OR($A358="",LEN(TRIM($O358))=0),"",IF(OR($P358="",$Q358=""),"ระบุ Severity + Impact",IFERROR(INDEX({"Urgent","Urgent","High","High";"Urgent","High","High","Medium";"High","High","Medium","Medium";"Medium","Medium","Low","Low"},MATCH($P358,{"Critical","High","Medium","Low"},0),MATCH($Q358,{"Extensive","Significant","Moderate","Minor"},0)),"-")))</f>
        <v/>
      </c>
      <c r="S358" s="30"/>
      <c r="T358" s="30"/>
      <c r="W358" s="32" t="str">
        <f>IF($A358="","",IF(OR($M358="Out of Scope",$M358="Canceled"),"Out of Scope",IF($M358="Blocked","Blocked",IF(AND($T358&lt;&gt;"Fixed – Retest Passed",OR(LEN(TRIM($O358))&gt;0,LEN(TRIM($P358))&gt;0)),IF(AND(OR($L358="Medium",$L358="Low"),SUMPRODUCT((Cards!$A$4:$A$1000&lt;&gt;"")*ISNUMBER(SEARCH($A358,Cards!$E$4:$E$1000))*(Cards!$F$4:$F$1000&lt;&gt;"Medium")*(Cards!$F$4:$F$1000&lt;&gt;"Low"))=0),"Conditionally Passed","Failed"),IF($M358="Done","Passed","Not Run")))))</f>
        <v/>
      </c>
      <c r="Y358" s="27" t="str" cm="1">
        <f t="array" ref="Y358">IF($A358="","",IF(TRIM($B358)="","-",IFERROR(_xlfn.TEXTJOIN(" / ",TRUE,_xlfn.UNIQUE(_xlfn._xlws.FILTER('Ownership Matrix'!$C$5:$C$200,('Ownership Matrix'!$A$5:$A$200=TRIM($B358))*('Ownership Matrix'!$C$5:$C$200&lt;&gt;"")))),"ไม่พบใน Ownership Matrix")))</f>
        <v/>
      </c>
      <c r="Z358" s="31" t="str">
        <f>IF(NOT(AND($A358&lt;&gt;"",$M358&lt;&gt;"Out of Scope",$M358&lt;&gt;"Canceled",$T358&lt;&gt;"Fixed – Retest Passed",OR(LEN(TRIM($O358))&gt;0,LEN(TRIM($P358))&gt;0))),"",IF(OR($W358="Failed",$R358="Urgent",$R358="High",$R358="ระบุ Severity + Impact"),IF(COUNTIFS(Dashboard!$B$105:$B$124,$O358,Dashboard!$I$105:$I$124,"CAB")&gt;0,"Accepted (CF)","Blocking"),"Deferrable"))</f>
        <v/>
      </c>
    </row>
    <row r="359" spans="7:26" x14ac:dyDescent="0.3">
      <c r="G359" s="27" t="str" cm="1">
        <f t="array" ref="G359">IF($A359="","",IFERROR(_xlfn.TEXTJOIN(CHAR(10)&amp;CHAR(10),TRUE,_xlfn._xlws.FILTER("•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"&amp;Cards!$L$4:$L$1000),(Cards!$A$4:$A$1000&lt;&gt;"")*ISNUMBER(SEARCH($A359,Cards!$E$4:$E$1000)))),"-"))</f>
        <v/>
      </c>
      <c r="Q359" s="30"/>
      <c r="R359" s="27" t="str">
        <f>IF(OR($A359="",LEN(TRIM($O359))=0),"",IF(OR($P359="",$Q359=""),"ระบุ Severity + Impact",IFERROR(INDEX({"Urgent","Urgent","High","High";"Urgent","High","High","Medium";"High","High","Medium","Medium";"Medium","Medium","Low","Low"},MATCH($P359,{"Critical","High","Medium","Low"},0),MATCH($Q359,{"Extensive","Significant","Moderate","Minor"},0)),"-")))</f>
        <v/>
      </c>
      <c r="S359" s="30"/>
      <c r="T359" s="30"/>
      <c r="W359" s="32" t="str">
        <f>IF($A359="","",IF(OR($M359="Out of Scope",$M359="Canceled"),"Out of Scope",IF($M359="Blocked","Blocked",IF(AND($T359&lt;&gt;"Fixed – Retest Passed",OR(LEN(TRIM($O359))&gt;0,LEN(TRIM($P359))&gt;0)),IF(AND(OR($L359="Medium",$L359="Low"),SUMPRODUCT((Cards!$A$4:$A$1000&lt;&gt;"")*ISNUMBER(SEARCH($A359,Cards!$E$4:$E$1000))*(Cards!$F$4:$F$1000&lt;&gt;"Medium")*(Cards!$F$4:$F$1000&lt;&gt;"Low"))=0),"Conditionally Passed","Failed"),IF($M359="Done","Passed","Not Run")))))</f>
        <v/>
      </c>
      <c r="Y359" s="27" t="str" cm="1">
        <f t="array" ref="Y359">IF($A359="","",IF(TRIM($B359)="","-",IFERROR(_xlfn.TEXTJOIN(" / ",TRUE,_xlfn.UNIQUE(_xlfn._xlws.FILTER('Ownership Matrix'!$C$5:$C$200,('Ownership Matrix'!$A$5:$A$200=TRIM($B359))*('Ownership Matrix'!$C$5:$C$200&lt;&gt;"")))),"ไม่พบใน Ownership Matrix")))</f>
        <v/>
      </c>
      <c r="Z359" s="31" t="str">
        <f>IF(NOT(AND($A359&lt;&gt;"",$M359&lt;&gt;"Out of Scope",$M359&lt;&gt;"Canceled",$T359&lt;&gt;"Fixed – Retest Passed",OR(LEN(TRIM($O359))&gt;0,LEN(TRIM($P359))&gt;0))),"",IF(OR($W359="Failed",$R359="Urgent",$R359="High",$R359="ระบุ Severity + Impact"),IF(COUNTIFS(Dashboard!$B$105:$B$124,$O359,Dashboard!$I$105:$I$124,"CAB")&gt;0,"Accepted (CF)","Blocking"),"Deferrable"))</f>
        <v/>
      </c>
    </row>
    <row r="360" spans="7:26" x14ac:dyDescent="0.3">
      <c r="G360" s="27" t="str" cm="1">
        <f t="array" ref="G360">IF($A360="","",IFERROR(_xlfn.TEXTJOIN(CHAR(10)&amp;CHAR(10),TRUE,_xlfn._xlws.FILTER("•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"&amp;Cards!$L$4:$L$1000),(Cards!$A$4:$A$1000&lt;&gt;"")*ISNUMBER(SEARCH($A360,Cards!$E$4:$E$1000)))),"-"))</f>
        <v/>
      </c>
      <c r="Q360" s="30"/>
      <c r="R360" s="27" t="str">
        <f>IF(OR($A360="",LEN(TRIM($O360))=0),"",IF(OR($P360="",$Q360=""),"ระบุ Severity + Impact",IFERROR(INDEX({"Urgent","Urgent","High","High";"Urgent","High","High","Medium";"High","High","Medium","Medium";"Medium","Medium","Low","Low"},MATCH($P360,{"Critical","High","Medium","Low"},0),MATCH($Q360,{"Extensive","Significant","Moderate","Minor"},0)),"-")))</f>
        <v/>
      </c>
      <c r="S360" s="30"/>
      <c r="T360" s="30"/>
      <c r="W360" s="32" t="str">
        <f>IF($A360="","",IF(OR($M360="Out of Scope",$M360="Canceled"),"Out of Scope",IF($M360="Blocked","Blocked",IF(AND($T360&lt;&gt;"Fixed – Retest Passed",OR(LEN(TRIM($O360))&gt;0,LEN(TRIM($P360))&gt;0)),IF(AND(OR($L360="Medium",$L360="Low"),SUMPRODUCT((Cards!$A$4:$A$1000&lt;&gt;"")*ISNUMBER(SEARCH($A360,Cards!$E$4:$E$1000))*(Cards!$F$4:$F$1000&lt;&gt;"Medium")*(Cards!$F$4:$F$1000&lt;&gt;"Low"))=0),"Conditionally Passed","Failed"),IF($M360="Done","Passed","Not Run")))))</f>
        <v/>
      </c>
      <c r="Y360" s="27" t="str" cm="1">
        <f t="array" ref="Y360">IF($A360="","",IF(TRIM($B360)="","-",IFERROR(_xlfn.TEXTJOIN(" / ",TRUE,_xlfn.UNIQUE(_xlfn._xlws.FILTER('Ownership Matrix'!$C$5:$C$200,('Ownership Matrix'!$A$5:$A$200=TRIM($B360))*('Ownership Matrix'!$C$5:$C$200&lt;&gt;"")))),"ไม่พบใน Ownership Matrix")))</f>
        <v/>
      </c>
      <c r="Z360" s="31" t="str">
        <f>IF(NOT(AND($A360&lt;&gt;"",$M360&lt;&gt;"Out of Scope",$M360&lt;&gt;"Canceled",$T360&lt;&gt;"Fixed – Retest Passed",OR(LEN(TRIM($O360))&gt;0,LEN(TRIM($P360))&gt;0))),"",IF(OR($W360="Failed",$R360="Urgent",$R360="High",$R360="ระบุ Severity + Impact"),IF(COUNTIFS(Dashboard!$B$105:$B$124,$O360,Dashboard!$I$105:$I$124,"CAB")&gt;0,"Accepted (CF)","Blocking"),"Deferrable"))</f>
        <v/>
      </c>
    </row>
    <row r="361" spans="7:26" x14ac:dyDescent="0.3">
      <c r="G361" s="27" t="str" cm="1">
        <f t="array" ref="G361">IF($A361="","",IFERROR(_xlfn.TEXTJOIN(CHAR(10)&amp;CHAR(10),TRUE,_xlfn._xlws.FILTER("•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"&amp;Cards!$L$4:$L$1000),(Cards!$A$4:$A$1000&lt;&gt;"")*ISNUMBER(SEARCH($A361,Cards!$E$4:$E$1000)))),"-"))</f>
        <v/>
      </c>
      <c r="Q361" s="30"/>
      <c r="R361" s="27" t="str">
        <f>IF(OR($A361="",LEN(TRIM($O361))=0),"",IF(OR($P361="",$Q361=""),"ระบุ Severity + Impact",IFERROR(INDEX({"Urgent","Urgent","High","High";"Urgent","High","High","Medium";"High","High","Medium","Medium";"Medium","Medium","Low","Low"},MATCH($P361,{"Critical","High","Medium","Low"},0),MATCH($Q361,{"Extensive","Significant","Moderate","Minor"},0)),"-")))</f>
        <v/>
      </c>
      <c r="S361" s="30"/>
      <c r="T361" s="30"/>
      <c r="W361" s="32" t="str">
        <f>IF($A361="","",IF(OR($M361="Out of Scope",$M361="Canceled"),"Out of Scope",IF($M361="Blocked","Blocked",IF(AND($T361&lt;&gt;"Fixed – Retest Passed",OR(LEN(TRIM($O361))&gt;0,LEN(TRIM($P361))&gt;0)),IF(AND(OR($L361="Medium",$L361="Low"),SUMPRODUCT((Cards!$A$4:$A$1000&lt;&gt;"")*ISNUMBER(SEARCH($A361,Cards!$E$4:$E$1000))*(Cards!$F$4:$F$1000&lt;&gt;"Medium")*(Cards!$F$4:$F$1000&lt;&gt;"Low"))=0),"Conditionally Passed","Failed"),IF($M361="Done","Passed","Not Run")))))</f>
        <v/>
      </c>
      <c r="Y361" s="27" t="str" cm="1">
        <f t="array" ref="Y361">IF($A361="","",IF(TRIM($B361)="","-",IFERROR(_xlfn.TEXTJOIN(" / ",TRUE,_xlfn.UNIQUE(_xlfn._xlws.FILTER('Ownership Matrix'!$C$5:$C$200,('Ownership Matrix'!$A$5:$A$200=TRIM($B361))*('Ownership Matrix'!$C$5:$C$200&lt;&gt;"")))),"ไม่พบใน Ownership Matrix")))</f>
        <v/>
      </c>
      <c r="Z361" s="31" t="str">
        <f>IF(NOT(AND($A361&lt;&gt;"",$M361&lt;&gt;"Out of Scope",$M361&lt;&gt;"Canceled",$T361&lt;&gt;"Fixed – Retest Passed",OR(LEN(TRIM($O361))&gt;0,LEN(TRIM($P361))&gt;0))),"",IF(OR($W361="Failed",$R361="Urgent",$R361="High",$R361="ระบุ Severity + Impact"),IF(COUNTIFS(Dashboard!$B$105:$B$124,$O361,Dashboard!$I$105:$I$124,"CAB")&gt;0,"Accepted (CF)","Blocking"),"Deferrable"))</f>
        <v/>
      </c>
    </row>
    <row r="362" spans="7:26" x14ac:dyDescent="0.3">
      <c r="G362" s="27" t="str" cm="1">
        <f t="array" ref="G362">IF($A362="","",IFERROR(_xlfn.TEXTJOIN(CHAR(10)&amp;CHAR(10),TRUE,_xlfn._xlws.FILTER("•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"&amp;Cards!$L$4:$L$1000),(Cards!$A$4:$A$1000&lt;&gt;"")*ISNUMBER(SEARCH($A362,Cards!$E$4:$E$1000)))),"-"))</f>
        <v/>
      </c>
      <c r="Q362" s="30"/>
      <c r="R362" s="27" t="str">
        <f>IF(OR($A362="",LEN(TRIM($O362))=0),"",IF(OR($P362="",$Q362=""),"ระบุ Severity + Impact",IFERROR(INDEX({"Urgent","Urgent","High","High";"Urgent","High","High","Medium";"High","High","Medium","Medium";"Medium","Medium","Low","Low"},MATCH($P362,{"Critical","High","Medium","Low"},0),MATCH($Q362,{"Extensive","Significant","Moderate","Minor"},0)),"-")))</f>
        <v/>
      </c>
      <c r="S362" s="30"/>
      <c r="T362" s="30"/>
      <c r="W362" s="32" t="str">
        <f>IF($A362="","",IF(OR($M362="Out of Scope",$M362="Canceled"),"Out of Scope",IF($M362="Blocked","Blocked",IF(AND($T362&lt;&gt;"Fixed – Retest Passed",OR(LEN(TRIM($O362))&gt;0,LEN(TRIM($P362))&gt;0)),IF(AND(OR($L362="Medium",$L362="Low"),SUMPRODUCT((Cards!$A$4:$A$1000&lt;&gt;"")*ISNUMBER(SEARCH($A362,Cards!$E$4:$E$1000))*(Cards!$F$4:$F$1000&lt;&gt;"Medium")*(Cards!$F$4:$F$1000&lt;&gt;"Low"))=0),"Conditionally Passed","Failed"),IF($M362="Done","Passed","Not Run")))))</f>
        <v/>
      </c>
      <c r="Y362" s="27" t="str" cm="1">
        <f t="array" ref="Y362">IF($A362="","",IF(TRIM($B362)="","-",IFERROR(_xlfn.TEXTJOIN(" / ",TRUE,_xlfn.UNIQUE(_xlfn._xlws.FILTER('Ownership Matrix'!$C$5:$C$200,('Ownership Matrix'!$A$5:$A$200=TRIM($B362))*('Ownership Matrix'!$C$5:$C$200&lt;&gt;"")))),"ไม่พบใน Ownership Matrix")))</f>
        <v/>
      </c>
      <c r="Z362" s="31" t="str">
        <f>IF(NOT(AND($A362&lt;&gt;"",$M362&lt;&gt;"Out of Scope",$M362&lt;&gt;"Canceled",$T362&lt;&gt;"Fixed – Retest Passed",OR(LEN(TRIM($O362))&gt;0,LEN(TRIM($P362))&gt;0))),"",IF(OR($W362="Failed",$R362="Urgent",$R362="High",$R362="ระบุ Severity + Impact"),IF(COUNTIFS(Dashboard!$B$105:$B$124,$O362,Dashboard!$I$105:$I$124,"CAB")&gt;0,"Accepted (CF)","Blocking"),"Deferrable"))</f>
        <v/>
      </c>
    </row>
    <row r="363" spans="7:26" x14ac:dyDescent="0.3">
      <c r="G363" s="27" t="str" cm="1">
        <f t="array" ref="G363">IF($A363="","",IFERROR(_xlfn.TEXTJOIN(CHAR(10)&amp;CHAR(10),TRUE,_xlfn._xlws.FILTER("•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"&amp;Cards!$L$4:$L$1000),(Cards!$A$4:$A$1000&lt;&gt;"")*ISNUMBER(SEARCH($A363,Cards!$E$4:$E$1000)))),"-"))</f>
        <v/>
      </c>
      <c r="Q363" s="30"/>
      <c r="R363" s="27" t="str">
        <f>IF(OR($A363="",LEN(TRIM($O363))=0),"",IF(OR($P363="",$Q363=""),"ระบุ Severity + Impact",IFERROR(INDEX({"Urgent","Urgent","High","High";"Urgent","High","High","Medium";"High","High","Medium","Medium";"Medium","Medium","Low","Low"},MATCH($P363,{"Critical","High","Medium","Low"},0),MATCH($Q363,{"Extensive","Significant","Moderate","Minor"},0)),"-")))</f>
        <v/>
      </c>
      <c r="S363" s="30"/>
      <c r="T363" s="30"/>
      <c r="W363" s="32" t="str">
        <f>IF($A363="","",IF(OR($M363="Out of Scope",$M363="Canceled"),"Out of Scope",IF($M363="Blocked","Blocked",IF(AND($T363&lt;&gt;"Fixed – Retest Passed",OR(LEN(TRIM($O363))&gt;0,LEN(TRIM($P363))&gt;0)),IF(AND(OR($L363="Medium",$L363="Low"),SUMPRODUCT((Cards!$A$4:$A$1000&lt;&gt;"")*ISNUMBER(SEARCH($A363,Cards!$E$4:$E$1000))*(Cards!$F$4:$F$1000&lt;&gt;"Medium")*(Cards!$F$4:$F$1000&lt;&gt;"Low"))=0),"Conditionally Passed","Failed"),IF($M363="Done","Passed","Not Run")))))</f>
        <v/>
      </c>
      <c r="Y363" s="27" t="str" cm="1">
        <f t="array" ref="Y363">IF($A363="","",IF(TRIM($B363)="","-",IFERROR(_xlfn.TEXTJOIN(" / ",TRUE,_xlfn.UNIQUE(_xlfn._xlws.FILTER('Ownership Matrix'!$C$5:$C$200,('Ownership Matrix'!$A$5:$A$200=TRIM($B363))*('Ownership Matrix'!$C$5:$C$200&lt;&gt;"")))),"ไม่พบใน Ownership Matrix")))</f>
        <v/>
      </c>
      <c r="Z363" s="31" t="str">
        <f>IF(NOT(AND($A363&lt;&gt;"",$M363&lt;&gt;"Out of Scope",$M363&lt;&gt;"Canceled",$T363&lt;&gt;"Fixed – Retest Passed",OR(LEN(TRIM($O363))&gt;0,LEN(TRIM($P363))&gt;0))),"",IF(OR($W363="Failed",$R363="Urgent",$R363="High",$R363="ระบุ Severity + Impact"),IF(COUNTIFS(Dashboard!$B$105:$B$124,$O363,Dashboard!$I$105:$I$124,"CAB")&gt;0,"Accepted (CF)","Blocking"),"Deferrable"))</f>
        <v/>
      </c>
    </row>
    <row r="364" spans="7:26" x14ac:dyDescent="0.3">
      <c r="G364" s="27" t="str" cm="1">
        <f t="array" ref="G364">IF($A364="","",IFERROR(_xlfn.TEXTJOIN(CHAR(10)&amp;CHAR(10),TRUE,_xlfn._xlws.FILTER("•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"&amp;Cards!$L$4:$L$1000),(Cards!$A$4:$A$1000&lt;&gt;"")*ISNUMBER(SEARCH($A364,Cards!$E$4:$E$1000)))),"-"))</f>
        <v/>
      </c>
      <c r="Q364" s="30"/>
      <c r="R364" s="27" t="str">
        <f>IF(OR($A364="",LEN(TRIM($O364))=0),"",IF(OR($P364="",$Q364=""),"ระบุ Severity + Impact",IFERROR(INDEX({"Urgent","Urgent","High","High";"Urgent","High","High","Medium";"High","High","Medium","Medium";"Medium","Medium","Low","Low"},MATCH($P364,{"Critical","High","Medium","Low"},0),MATCH($Q364,{"Extensive","Significant","Moderate","Minor"},0)),"-")))</f>
        <v/>
      </c>
      <c r="S364" s="30"/>
      <c r="T364" s="30"/>
      <c r="W364" s="32" t="str">
        <f>IF($A364="","",IF(OR($M364="Out of Scope",$M364="Canceled"),"Out of Scope",IF($M364="Blocked","Blocked",IF(AND($T364&lt;&gt;"Fixed – Retest Passed",OR(LEN(TRIM($O364))&gt;0,LEN(TRIM($P364))&gt;0)),IF(AND(OR($L364="Medium",$L364="Low"),SUMPRODUCT((Cards!$A$4:$A$1000&lt;&gt;"")*ISNUMBER(SEARCH($A364,Cards!$E$4:$E$1000))*(Cards!$F$4:$F$1000&lt;&gt;"Medium")*(Cards!$F$4:$F$1000&lt;&gt;"Low"))=0),"Conditionally Passed","Failed"),IF($M364="Done","Passed","Not Run")))))</f>
        <v/>
      </c>
      <c r="Y364" s="27" t="str" cm="1">
        <f t="array" ref="Y364">IF($A364="","",IF(TRIM($B364)="","-",IFERROR(_xlfn.TEXTJOIN(" / ",TRUE,_xlfn.UNIQUE(_xlfn._xlws.FILTER('Ownership Matrix'!$C$5:$C$200,('Ownership Matrix'!$A$5:$A$200=TRIM($B364))*('Ownership Matrix'!$C$5:$C$200&lt;&gt;"")))),"ไม่พบใน Ownership Matrix")))</f>
        <v/>
      </c>
      <c r="Z364" s="31" t="str">
        <f>IF(NOT(AND($A364&lt;&gt;"",$M364&lt;&gt;"Out of Scope",$M364&lt;&gt;"Canceled",$T364&lt;&gt;"Fixed – Retest Passed",OR(LEN(TRIM($O364))&gt;0,LEN(TRIM($P364))&gt;0))),"",IF(OR($W364="Failed",$R364="Urgent",$R364="High",$R364="ระบุ Severity + Impact"),IF(COUNTIFS(Dashboard!$B$105:$B$124,$O364,Dashboard!$I$105:$I$124,"CAB")&gt;0,"Accepted (CF)","Blocking"),"Deferrable"))</f>
        <v/>
      </c>
    </row>
    <row r="365" spans="7:26" x14ac:dyDescent="0.3">
      <c r="G365" s="27" t="str" cm="1">
        <f t="array" ref="G365">IF($A365="","",IFERROR(_xlfn.TEXTJOIN(CHAR(10)&amp;CHAR(10),TRUE,_xlfn._xlws.FILTER("•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"&amp;Cards!$L$4:$L$1000),(Cards!$A$4:$A$1000&lt;&gt;"")*ISNUMBER(SEARCH($A365,Cards!$E$4:$E$1000)))),"-"))</f>
        <v/>
      </c>
      <c r="Q365" s="30"/>
      <c r="R365" s="27" t="str">
        <f>IF(OR($A365="",LEN(TRIM($O365))=0),"",IF(OR($P365="",$Q365=""),"ระบุ Severity + Impact",IFERROR(INDEX({"Urgent","Urgent","High","High";"Urgent","High","High","Medium";"High","High","Medium","Medium";"Medium","Medium","Low","Low"},MATCH($P365,{"Critical","High","Medium","Low"},0),MATCH($Q365,{"Extensive","Significant","Moderate","Minor"},0)),"-")))</f>
        <v/>
      </c>
      <c r="S365" s="30"/>
      <c r="T365" s="30"/>
      <c r="W365" s="32" t="str">
        <f>IF($A365="","",IF(OR($M365="Out of Scope",$M365="Canceled"),"Out of Scope",IF($M365="Blocked","Blocked",IF(AND($T365&lt;&gt;"Fixed – Retest Passed",OR(LEN(TRIM($O365))&gt;0,LEN(TRIM($P365))&gt;0)),IF(AND(OR($L365="Medium",$L365="Low"),SUMPRODUCT((Cards!$A$4:$A$1000&lt;&gt;"")*ISNUMBER(SEARCH($A365,Cards!$E$4:$E$1000))*(Cards!$F$4:$F$1000&lt;&gt;"Medium")*(Cards!$F$4:$F$1000&lt;&gt;"Low"))=0),"Conditionally Passed","Failed"),IF($M365="Done","Passed","Not Run")))))</f>
        <v/>
      </c>
      <c r="Y365" s="27" t="str" cm="1">
        <f t="array" ref="Y365">IF($A365="","",IF(TRIM($B365)="","-",IFERROR(_xlfn.TEXTJOIN(" / ",TRUE,_xlfn.UNIQUE(_xlfn._xlws.FILTER('Ownership Matrix'!$C$5:$C$200,('Ownership Matrix'!$A$5:$A$200=TRIM($B365))*('Ownership Matrix'!$C$5:$C$200&lt;&gt;"")))),"ไม่พบใน Ownership Matrix")))</f>
        <v/>
      </c>
      <c r="Z365" s="31" t="str">
        <f>IF(NOT(AND($A365&lt;&gt;"",$M365&lt;&gt;"Out of Scope",$M365&lt;&gt;"Canceled",$T365&lt;&gt;"Fixed – Retest Passed",OR(LEN(TRIM($O365))&gt;0,LEN(TRIM($P365))&gt;0))),"",IF(OR($W365="Failed",$R365="Urgent",$R365="High",$R365="ระบุ Severity + Impact"),IF(COUNTIFS(Dashboard!$B$105:$B$124,$O365,Dashboard!$I$105:$I$124,"CAB")&gt;0,"Accepted (CF)","Blocking"),"Deferrable"))</f>
        <v/>
      </c>
    </row>
    <row r="366" spans="7:26" x14ac:dyDescent="0.3">
      <c r="G366" s="27" t="str" cm="1">
        <f t="array" ref="G366">IF($A366="","",IFERROR(_xlfn.TEXTJOIN(CHAR(10)&amp;CHAR(10),TRUE,_xlfn._xlws.FILTER("•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"&amp;Cards!$L$4:$L$1000),(Cards!$A$4:$A$1000&lt;&gt;"")*ISNUMBER(SEARCH($A366,Cards!$E$4:$E$1000)))),"-"))</f>
        <v/>
      </c>
      <c r="Q366" s="30"/>
      <c r="R366" s="27" t="str">
        <f>IF(OR($A366="",LEN(TRIM($O366))=0),"",IF(OR($P366="",$Q366=""),"ระบุ Severity + Impact",IFERROR(INDEX({"Urgent","Urgent","High","High";"Urgent","High","High","Medium";"High","High","Medium","Medium";"Medium","Medium","Low","Low"},MATCH($P366,{"Critical","High","Medium","Low"},0),MATCH($Q366,{"Extensive","Significant","Moderate","Minor"},0)),"-")))</f>
        <v/>
      </c>
      <c r="S366" s="30"/>
      <c r="T366" s="30"/>
      <c r="W366" s="32" t="str">
        <f>IF($A366="","",IF(OR($M366="Out of Scope",$M366="Canceled"),"Out of Scope",IF($M366="Blocked","Blocked",IF(AND($T366&lt;&gt;"Fixed – Retest Passed",OR(LEN(TRIM($O366))&gt;0,LEN(TRIM($P366))&gt;0)),IF(AND(OR($L366="Medium",$L366="Low"),SUMPRODUCT((Cards!$A$4:$A$1000&lt;&gt;"")*ISNUMBER(SEARCH($A366,Cards!$E$4:$E$1000))*(Cards!$F$4:$F$1000&lt;&gt;"Medium")*(Cards!$F$4:$F$1000&lt;&gt;"Low"))=0),"Conditionally Passed","Failed"),IF($M366="Done","Passed","Not Run")))))</f>
        <v/>
      </c>
      <c r="Y366" s="27" t="str" cm="1">
        <f t="array" ref="Y366">IF($A366="","",IF(TRIM($B366)="","-",IFERROR(_xlfn.TEXTJOIN(" / ",TRUE,_xlfn.UNIQUE(_xlfn._xlws.FILTER('Ownership Matrix'!$C$5:$C$200,('Ownership Matrix'!$A$5:$A$200=TRIM($B366))*('Ownership Matrix'!$C$5:$C$200&lt;&gt;"")))),"ไม่พบใน Ownership Matrix")))</f>
        <v/>
      </c>
      <c r="Z366" s="31" t="str">
        <f>IF(NOT(AND($A366&lt;&gt;"",$M366&lt;&gt;"Out of Scope",$M366&lt;&gt;"Canceled",$T366&lt;&gt;"Fixed – Retest Passed",OR(LEN(TRIM($O366))&gt;0,LEN(TRIM($P366))&gt;0))),"",IF(OR($W366="Failed",$R366="Urgent",$R366="High",$R366="ระบุ Severity + Impact"),IF(COUNTIFS(Dashboard!$B$105:$B$124,$O366,Dashboard!$I$105:$I$124,"CAB")&gt;0,"Accepted (CF)","Blocking"),"Deferrable"))</f>
        <v/>
      </c>
    </row>
    <row r="367" spans="7:26" x14ac:dyDescent="0.3">
      <c r="G367" s="27" t="str" cm="1">
        <f t="array" ref="G367">IF($A367="","",IFERROR(_xlfn.TEXTJOIN(CHAR(10)&amp;CHAR(10),TRUE,_xlfn._xlws.FILTER("•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"&amp;Cards!$L$4:$L$1000),(Cards!$A$4:$A$1000&lt;&gt;"")*ISNUMBER(SEARCH($A367,Cards!$E$4:$E$1000)))),"-"))</f>
        <v/>
      </c>
      <c r="Q367" s="30"/>
      <c r="R367" s="27" t="str">
        <f>IF(OR($A367="",LEN(TRIM($O367))=0),"",IF(OR($P367="",$Q367=""),"ระบุ Severity + Impact",IFERROR(INDEX({"Urgent","Urgent","High","High";"Urgent","High","High","Medium";"High","High","Medium","Medium";"Medium","Medium","Low","Low"},MATCH($P367,{"Critical","High","Medium","Low"},0),MATCH($Q367,{"Extensive","Significant","Moderate","Minor"},0)),"-")))</f>
        <v/>
      </c>
      <c r="S367" s="30"/>
      <c r="T367" s="30"/>
      <c r="W367" s="32" t="str">
        <f>IF($A367="","",IF(OR($M367="Out of Scope",$M367="Canceled"),"Out of Scope",IF($M367="Blocked","Blocked",IF(AND($T367&lt;&gt;"Fixed – Retest Passed",OR(LEN(TRIM($O367))&gt;0,LEN(TRIM($P367))&gt;0)),IF(AND(OR($L367="Medium",$L367="Low"),SUMPRODUCT((Cards!$A$4:$A$1000&lt;&gt;"")*ISNUMBER(SEARCH($A367,Cards!$E$4:$E$1000))*(Cards!$F$4:$F$1000&lt;&gt;"Medium")*(Cards!$F$4:$F$1000&lt;&gt;"Low"))=0),"Conditionally Passed","Failed"),IF($M367="Done","Passed","Not Run")))))</f>
        <v/>
      </c>
      <c r="Y367" s="27" t="str" cm="1">
        <f t="array" ref="Y367">IF($A367="","",IF(TRIM($B367)="","-",IFERROR(_xlfn.TEXTJOIN(" / ",TRUE,_xlfn.UNIQUE(_xlfn._xlws.FILTER('Ownership Matrix'!$C$5:$C$200,('Ownership Matrix'!$A$5:$A$200=TRIM($B367))*('Ownership Matrix'!$C$5:$C$200&lt;&gt;"")))),"ไม่พบใน Ownership Matrix")))</f>
        <v/>
      </c>
      <c r="Z367" s="31" t="str">
        <f>IF(NOT(AND($A367&lt;&gt;"",$M367&lt;&gt;"Out of Scope",$M367&lt;&gt;"Canceled",$T367&lt;&gt;"Fixed – Retest Passed",OR(LEN(TRIM($O367))&gt;0,LEN(TRIM($P367))&gt;0))),"",IF(OR($W367="Failed",$R367="Urgent",$R367="High",$R367="ระบุ Severity + Impact"),IF(COUNTIFS(Dashboard!$B$105:$B$124,$O367,Dashboard!$I$105:$I$124,"CAB")&gt;0,"Accepted (CF)","Blocking"),"Deferrable"))</f>
        <v/>
      </c>
    </row>
    <row r="368" spans="7:26" x14ac:dyDescent="0.3">
      <c r="G368" s="27" t="str" cm="1">
        <f t="array" ref="G368">IF($A368="","",IFERROR(_xlfn.TEXTJOIN(CHAR(10)&amp;CHAR(10),TRUE,_xlfn._xlws.FILTER("•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"&amp;Cards!$L$4:$L$1000),(Cards!$A$4:$A$1000&lt;&gt;"")*ISNUMBER(SEARCH($A368,Cards!$E$4:$E$1000)))),"-"))</f>
        <v/>
      </c>
      <c r="Q368" s="30"/>
      <c r="R368" s="27" t="str">
        <f>IF(OR($A368="",LEN(TRIM($O368))=0),"",IF(OR($P368="",$Q368=""),"ระบุ Severity + Impact",IFERROR(INDEX({"Urgent","Urgent","High","High";"Urgent","High","High","Medium";"High","High","Medium","Medium";"Medium","Medium","Low","Low"},MATCH($P368,{"Critical","High","Medium","Low"},0),MATCH($Q368,{"Extensive","Significant","Moderate","Minor"},0)),"-")))</f>
        <v/>
      </c>
      <c r="S368" s="30"/>
      <c r="T368" s="30"/>
      <c r="W368" s="32" t="str">
        <f>IF($A368="","",IF(OR($M368="Out of Scope",$M368="Canceled"),"Out of Scope",IF($M368="Blocked","Blocked",IF(AND($T368&lt;&gt;"Fixed – Retest Passed",OR(LEN(TRIM($O368))&gt;0,LEN(TRIM($P368))&gt;0)),IF(AND(OR($L368="Medium",$L368="Low"),SUMPRODUCT((Cards!$A$4:$A$1000&lt;&gt;"")*ISNUMBER(SEARCH($A368,Cards!$E$4:$E$1000))*(Cards!$F$4:$F$1000&lt;&gt;"Medium")*(Cards!$F$4:$F$1000&lt;&gt;"Low"))=0),"Conditionally Passed","Failed"),IF($M368="Done","Passed","Not Run")))))</f>
        <v/>
      </c>
      <c r="Y368" s="27" t="str" cm="1">
        <f t="array" ref="Y368">IF($A368="","",IF(TRIM($B368)="","-",IFERROR(_xlfn.TEXTJOIN(" / ",TRUE,_xlfn.UNIQUE(_xlfn._xlws.FILTER('Ownership Matrix'!$C$5:$C$200,('Ownership Matrix'!$A$5:$A$200=TRIM($B368))*('Ownership Matrix'!$C$5:$C$200&lt;&gt;"")))),"ไม่พบใน Ownership Matrix")))</f>
        <v/>
      </c>
      <c r="Z368" s="31" t="str">
        <f>IF(NOT(AND($A368&lt;&gt;"",$M368&lt;&gt;"Out of Scope",$M368&lt;&gt;"Canceled",$T368&lt;&gt;"Fixed – Retest Passed",OR(LEN(TRIM($O368))&gt;0,LEN(TRIM($P368))&gt;0))),"",IF(OR($W368="Failed",$R368="Urgent",$R368="High",$R368="ระบุ Severity + Impact"),IF(COUNTIFS(Dashboard!$B$105:$B$124,$O368,Dashboard!$I$105:$I$124,"CAB")&gt;0,"Accepted (CF)","Blocking"),"Deferrable"))</f>
        <v/>
      </c>
    </row>
    <row r="369" spans="7:26" x14ac:dyDescent="0.3">
      <c r="G369" s="27" t="str" cm="1">
        <f t="array" ref="G369">IF($A369="","",IFERROR(_xlfn.TEXTJOIN(CHAR(10)&amp;CHAR(10),TRUE,_xlfn._xlws.FILTER("•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"&amp;Cards!$L$4:$L$1000),(Cards!$A$4:$A$1000&lt;&gt;"")*ISNUMBER(SEARCH($A369,Cards!$E$4:$E$1000)))),"-"))</f>
        <v/>
      </c>
      <c r="Q369" s="30"/>
      <c r="R369" s="27" t="str">
        <f>IF(OR($A369="",LEN(TRIM($O369))=0),"",IF(OR($P369="",$Q369=""),"ระบุ Severity + Impact",IFERROR(INDEX({"Urgent","Urgent","High","High";"Urgent","High","High","Medium";"High","High","Medium","Medium";"Medium","Medium","Low","Low"},MATCH($P369,{"Critical","High","Medium","Low"},0),MATCH($Q369,{"Extensive","Significant","Moderate","Minor"},0)),"-")))</f>
        <v/>
      </c>
      <c r="S369" s="30"/>
      <c r="T369" s="30"/>
      <c r="W369" s="32" t="str">
        <f>IF($A369="","",IF(OR($M369="Out of Scope",$M369="Canceled"),"Out of Scope",IF($M369="Blocked","Blocked",IF(AND($T369&lt;&gt;"Fixed – Retest Passed",OR(LEN(TRIM($O369))&gt;0,LEN(TRIM($P369))&gt;0)),IF(AND(OR($L369="Medium",$L369="Low"),SUMPRODUCT((Cards!$A$4:$A$1000&lt;&gt;"")*ISNUMBER(SEARCH($A369,Cards!$E$4:$E$1000))*(Cards!$F$4:$F$1000&lt;&gt;"Medium")*(Cards!$F$4:$F$1000&lt;&gt;"Low"))=0),"Conditionally Passed","Failed"),IF($M369="Done","Passed","Not Run")))))</f>
        <v/>
      </c>
      <c r="Y369" s="27" t="str" cm="1">
        <f t="array" ref="Y369">IF($A369="","",IF(TRIM($B369)="","-",IFERROR(_xlfn.TEXTJOIN(" / ",TRUE,_xlfn.UNIQUE(_xlfn._xlws.FILTER('Ownership Matrix'!$C$5:$C$200,('Ownership Matrix'!$A$5:$A$200=TRIM($B369))*('Ownership Matrix'!$C$5:$C$200&lt;&gt;"")))),"ไม่พบใน Ownership Matrix")))</f>
        <v/>
      </c>
      <c r="Z369" s="31" t="str">
        <f>IF(NOT(AND($A369&lt;&gt;"",$M369&lt;&gt;"Out of Scope",$M369&lt;&gt;"Canceled",$T369&lt;&gt;"Fixed – Retest Passed",OR(LEN(TRIM($O369))&gt;0,LEN(TRIM($P369))&gt;0))),"",IF(OR($W369="Failed",$R369="Urgent",$R369="High",$R369="ระบุ Severity + Impact"),IF(COUNTIFS(Dashboard!$B$105:$B$124,$O369,Dashboard!$I$105:$I$124,"CAB")&gt;0,"Accepted (CF)","Blocking"),"Deferrable"))</f>
        <v/>
      </c>
    </row>
    <row r="370" spans="7:26" x14ac:dyDescent="0.3">
      <c r="G370" s="27" t="str" cm="1">
        <f t="array" ref="G370">IF($A370="","",IFERROR(_xlfn.TEXTJOIN(CHAR(10)&amp;CHAR(10),TRUE,_xlfn._xlws.FILTER("•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"&amp;Cards!$L$4:$L$1000),(Cards!$A$4:$A$1000&lt;&gt;"")*ISNUMBER(SEARCH($A370,Cards!$E$4:$E$1000)))),"-"))</f>
        <v/>
      </c>
      <c r="Q370" s="30"/>
      <c r="R370" s="27" t="str">
        <f>IF(OR($A370="",LEN(TRIM($O370))=0),"",IF(OR($P370="",$Q370=""),"ระบุ Severity + Impact",IFERROR(INDEX({"Urgent","Urgent","High","High";"Urgent","High","High","Medium";"High","High","Medium","Medium";"Medium","Medium","Low","Low"},MATCH($P370,{"Critical","High","Medium","Low"},0),MATCH($Q370,{"Extensive","Significant","Moderate","Minor"},0)),"-")))</f>
        <v/>
      </c>
      <c r="S370" s="30"/>
      <c r="T370" s="30"/>
      <c r="W370" s="32" t="str">
        <f>IF($A370="","",IF(OR($M370="Out of Scope",$M370="Canceled"),"Out of Scope",IF($M370="Blocked","Blocked",IF(AND($T370&lt;&gt;"Fixed – Retest Passed",OR(LEN(TRIM($O370))&gt;0,LEN(TRIM($P370))&gt;0)),IF(AND(OR($L370="Medium",$L370="Low"),SUMPRODUCT((Cards!$A$4:$A$1000&lt;&gt;"")*ISNUMBER(SEARCH($A370,Cards!$E$4:$E$1000))*(Cards!$F$4:$F$1000&lt;&gt;"Medium")*(Cards!$F$4:$F$1000&lt;&gt;"Low"))=0),"Conditionally Passed","Failed"),IF($M370="Done","Passed","Not Run")))))</f>
        <v/>
      </c>
      <c r="Y370" s="27" t="str" cm="1">
        <f t="array" ref="Y370">IF($A370="","",IF(TRIM($B370)="","-",IFERROR(_xlfn.TEXTJOIN(" / ",TRUE,_xlfn.UNIQUE(_xlfn._xlws.FILTER('Ownership Matrix'!$C$5:$C$200,('Ownership Matrix'!$A$5:$A$200=TRIM($B370))*('Ownership Matrix'!$C$5:$C$200&lt;&gt;"")))),"ไม่พบใน Ownership Matrix")))</f>
        <v/>
      </c>
      <c r="Z370" s="31" t="str">
        <f>IF(NOT(AND($A370&lt;&gt;"",$M370&lt;&gt;"Out of Scope",$M370&lt;&gt;"Canceled",$T370&lt;&gt;"Fixed – Retest Passed",OR(LEN(TRIM($O370))&gt;0,LEN(TRIM($P370))&gt;0))),"",IF(OR($W370="Failed",$R370="Urgent",$R370="High",$R370="ระบุ Severity + Impact"),IF(COUNTIFS(Dashboard!$B$105:$B$124,$O370,Dashboard!$I$105:$I$124,"CAB")&gt;0,"Accepted (CF)","Blocking"),"Deferrable"))</f>
        <v/>
      </c>
    </row>
    <row r="371" spans="7:26" x14ac:dyDescent="0.3">
      <c r="G371" s="27" t="str" cm="1">
        <f t="array" ref="G371">IF($A371="","",IFERROR(_xlfn.TEXTJOIN(CHAR(10)&amp;CHAR(10),TRUE,_xlfn._xlws.FILTER("•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"&amp;Cards!$L$4:$L$1000),(Cards!$A$4:$A$1000&lt;&gt;"")*ISNUMBER(SEARCH($A371,Cards!$E$4:$E$1000)))),"-"))</f>
        <v/>
      </c>
      <c r="Q371" s="30"/>
      <c r="R371" s="27" t="str">
        <f>IF(OR($A371="",LEN(TRIM($O371))=0),"",IF(OR($P371="",$Q371=""),"ระบุ Severity + Impact",IFERROR(INDEX({"Urgent","Urgent","High","High";"Urgent","High","High","Medium";"High","High","Medium","Medium";"Medium","Medium","Low","Low"},MATCH($P371,{"Critical","High","Medium","Low"},0),MATCH($Q371,{"Extensive","Significant","Moderate","Minor"},0)),"-")))</f>
        <v/>
      </c>
      <c r="S371" s="30"/>
      <c r="T371" s="30"/>
      <c r="W371" s="32" t="str">
        <f>IF($A371="","",IF(OR($M371="Out of Scope",$M371="Canceled"),"Out of Scope",IF($M371="Blocked","Blocked",IF(AND($T371&lt;&gt;"Fixed – Retest Passed",OR(LEN(TRIM($O371))&gt;0,LEN(TRIM($P371))&gt;0)),IF(AND(OR($L371="Medium",$L371="Low"),SUMPRODUCT((Cards!$A$4:$A$1000&lt;&gt;"")*ISNUMBER(SEARCH($A371,Cards!$E$4:$E$1000))*(Cards!$F$4:$F$1000&lt;&gt;"Medium")*(Cards!$F$4:$F$1000&lt;&gt;"Low"))=0),"Conditionally Passed","Failed"),IF($M371="Done","Passed","Not Run")))))</f>
        <v/>
      </c>
      <c r="Y371" s="27" t="str" cm="1">
        <f t="array" ref="Y371">IF($A371="","",IF(TRIM($B371)="","-",IFERROR(_xlfn.TEXTJOIN(" / ",TRUE,_xlfn.UNIQUE(_xlfn._xlws.FILTER('Ownership Matrix'!$C$5:$C$200,('Ownership Matrix'!$A$5:$A$200=TRIM($B371))*('Ownership Matrix'!$C$5:$C$200&lt;&gt;"")))),"ไม่พบใน Ownership Matrix")))</f>
        <v/>
      </c>
      <c r="Z371" s="31" t="str">
        <f>IF(NOT(AND($A371&lt;&gt;"",$M371&lt;&gt;"Out of Scope",$M371&lt;&gt;"Canceled",$T371&lt;&gt;"Fixed – Retest Passed",OR(LEN(TRIM($O371))&gt;0,LEN(TRIM($P371))&gt;0))),"",IF(OR($W371="Failed",$R371="Urgent",$R371="High",$R371="ระบุ Severity + Impact"),IF(COUNTIFS(Dashboard!$B$105:$B$124,$O371,Dashboard!$I$105:$I$124,"CAB")&gt;0,"Accepted (CF)","Blocking"),"Deferrable"))</f>
        <v/>
      </c>
    </row>
    <row r="372" spans="7:26" x14ac:dyDescent="0.3">
      <c r="G372" s="27" t="str" cm="1">
        <f t="array" ref="G372">IF($A372="","",IFERROR(_xlfn.TEXTJOIN(CHAR(10)&amp;CHAR(10),TRUE,_xlfn._xlws.FILTER("•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"&amp;Cards!$L$4:$L$1000),(Cards!$A$4:$A$1000&lt;&gt;"")*ISNUMBER(SEARCH($A372,Cards!$E$4:$E$1000)))),"-"))</f>
        <v/>
      </c>
      <c r="Q372" s="30"/>
      <c r="R372" s="27" t="str">
        <f>IF(OR($A372="",LEN(TRIM($O372))=0),"",IF(OR($P372="",$Q372=""),"ระบุ Severity + Impact",IFERROR(INDEX({"Urgent","Urgent","High","High";"Urgent","High","High","Medium";"High","High","Medium","Medium";"Medium","Medium","Low","Low"},MATCH($P372,{"Critical","High","Medium","Low"},0),MATCH($Q372,{"Extensive","Significant","Moderate","Minor"},0)),"-")))</f>
        <v/>
      </c>
      <c r="S372" s="30"/>
      <c r="T372" s="30"/>
      <c r="W372" s="32" t="str">
        <f>IF($A372="","",IF(OR($M372="Out of Scope",$M372="Canceled"),"Out of Scope",IF($M372="Blocked","Blocked",IF(AND($T372&lt;&gt;"Fixed – Retest Passed",OR(LEN(TRIM($O372))&gt;0,LEN(TRIM($P372))&gt;0)),IF(AND(OR($L372="Medium",$L372="Low"),SUMPRODUCT((Cards!$A$4:$A$1000&lt;&gt;"")*ISNUMBER(SEARCH($A372,Cards!$E$4:$E$1000))*(Cards!$F$4:$F$1000&lt;&gt;"Medium")*(Cards!$F$4:$F$1000&lt;&gt;"Low"))=0),"Conditionally Passed","Failed"),IF($M372="Done","Passed","Not Run")))))</f>
        <v/>
      </c>
      <c r="Y372" s="27" t="str" cm="1">
        <f t="array" ref="Y372">IF($A372="","",IF(TRIM($B372)="","-",IFERROR(_xlfn.TEXTJOIN(" / ",TRUE,_xlfn.UNIQUE(_xlfn._xlws.FILTER('Ownership Matrix'!$C$5:$C$200,('Ownership Matrix'!$A$5:$A$200=TRIM($B372))*('Ownership Matrix'!$C$5:$C$200&lt;&gt;"")))),"ไม่พบใน Ownership Matrix")))</f>
        <v/>
      </c>
      <c r="Z372" s="31" t="str">
        <f>IF(NOT(AND($A372&lt;&gt;"",$M372&lt;&gt;"Out of Scope",$M372&lt;&gt;"Canceled",$T372&lt;&gt;"Fixed – Retest Passed",OR(LEN(TRIM($O372))&gt;0,LEN(TRIM($P372))&gt;0))),"",IF(OR($W372="Failed",$R372="Urgent",$R372="High",$R372="ระบุ Severity + Impact"),IF(COUNTIFS(Dashboard!$B$105:$B$124,$O372,Dashboard!$I$105:$I$124,"CAB")&gt;0,"Accepted (CF)","Blocking"),"Deferrable"))</f>
        <v/>
      </c>
    </row>
    <row r="373" spans="7:26" x14ac:dyDescent="0.3">
      <c r="G373" s="27" t="str" cm="1">
        <f t="array" ref="G373">IF($A373="","",IFERROR(_xlfn.TEXTJOIN(CHAR(10)&amp;CHAR(10),TRUE,_xlfn._xlws.FILTER("•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"&amp;Cards!$L$4:$L$1000),(Cards!$A$4:$A$1000&lt;&gt;"")*ISNUMBER(SEARCH($A373,Cards!$E$4:$E$1000)))),"-"))</f>
        <v/>
      </c>
      <c r="Q373" s="30"/>
      <c r="R373" s="27" t="str">
        <f>IF(OR($A373="",LEN(TRIM($O373))=0),"",IF(OR($P373="",$Q373=""),"ระบุ Severity + Impact",IFERROR(INDEX({"Urgent","Urgent","High","High";"Urgent","High","High","Medium";"High","High","Medium","Medium";"Medium","Medium","Low","Low"},MATCH($P373,{"Critical","High","Medium","Low"},0),MATCH($Q373,{"Extensive","Significant","Moderate","Minor"},0)),"-")))</f>
        <v/>
      </c>
      <c r="S373" s="30"/>
      <c r="T373" s="30"/>
      <c r="W373" s="32" t="str">
        <f>IF($A373="","",IF(OR($M373="Out of Scope",$M373="Canceled"),"Out of Scope",IF($M373="Blocked","Blocked",IF(AND($T373&lt;&gt;"Fixed – Retest Passed",OR(LEN(TRIM($O373))&gt;0,LEN(TRIM($P373))&gt;0)),IF(AND(OR($L373="Medium",$L373="Low"),SUMPRODUCT((Cards!$A$4:$A$1000&lt;&gt;"")*ISNUMBER(SEARCH($A373,Cards!$E$4:$E$1000))*(Cards!$F$4:$F$1000&lt;&gt;"Medium")*(Cards!$F$4:$F$1000&lt;&gt;"Low"))=0),"Conditionally Passed","Failed"),IF($M373="Done","Passed","Not Run")))))</f>
        <v/>
      </c>
      <c r="Y373" s="27" t="str" cm="1">
        <f t="array" ref="Y373">IF($A373="","",IF(TRIM($B373)="","-",IFERROR(_xlfn.TEXTJOIN(" / ",TRUE,_xlfn.UNIQUE(_xlfn._xlws.FILTER('Ownership Matrix'!$C$5:$C$200,('Ownership Matrix'!$A$5:$A$200=TRIM($B373))*('Ownership Matrix'!$C$5:$C$200&lt;&gt;"")))),"ไม่พบใน Ownership Matrix")))</f>
        <v/>
      </c>
      <c r="Z373" s="31" t="str">
        <f>IF(NOT(AND($A373&lt;&gt;"",$M373&lt;&gt;"Out of Scope",$M373&lt;&gt;"Canceled",$T373&lt;&gt;"Fixed – Retest Passed",OR(LEN(TRIM($O373))&gt;0,LEN(TRIM($P373))&gt;0))),"",IF(OR($W373="Failed",$R373="Urgent",$R373="High",$R373="ระบุ Severity + Impact"),IF(COUNTIFS(Dashboard!$B$105:$B$124,$O373,Dashboard!$I$105:$I$124,"CAB")&gt;0,"Accepted (CF)","Blocking"),"Deferrable"))</f>
        <v/>
      </c>
    </row>
    <row r="374" spans="7:26" x14ac:dyDescent="0.3">
      <c r="G374" s="27" t="str" cm="1">
        <f t="array" ref="G374">IF($A374="","",IFERROR(_xlfn.TEXTJOIN(CHAR(10)&amp;CHAR(10),TRUE,_xlfn._xlws.FILTER("•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"&amp;Cards!$L$4:$L$1000),(Cards!$A$4:$A$1000&lt;&gt;"")*ISNUMBER(SEARCH($A374,Cards!$E$4:$E$1000)))),"-"))</f>
        <v/>
      </c>
      <c r="Q374" s="30"/>
      <c r="R374" s="27" t="str">
        <f>IF(OR($A374="",LEN(TRIM($O374))=0),"",IF(OR($P374="",$Q374=""),"ระบุ Severity + Impact",IFERROR(INDEX({"Urgent","Urgent","High","High";"Urgent","High","High","Medium";"High","High","Medium","Medium";"Medium","Medium","Low","Low"},MATCH($P374,{"Critical","High","Medium","Low"},0),MATCH($Q374,{"Extensive","Significant","Moderate","Minor"},0)),"-")))</f>
        <v/>
      </c>
      <c r="S374" s="30"/>
      <c r="T374" s="30"/>
      <c r="W374" s="32" t="str">
        <f>IF($A374="","",IF(OR($M374="Out of Scope",$M374="Canceled"),"Out of Scope",IF($M374="Blocked","Blocked",IF(AND($T374&lt;&gt;"Fixed – Retest Passed",OR(LEN(TRIM($O374))&gt;0,LEN(TRIM($P374))&gt;0)),IF(AND(OR($L374="Medium",$L374="Low"),SUMPRODUCT((Cards!$A$4:$A$1000&lt;&gt;"")*ISNUMBER(SEARCH($A374,Cards!$E$4:$E$1000))*(Cards!$F$4:$F$1000&lt;&gt;"Medium")*(Cards!$F$4:$F$1000&lt;&gt;"Low"))=0),"Conditionally Passed","Failed"),IF($M374="Done","Passed","Not Run")))))</f>
        <v/>
      </c>
      <c r="Y374" s="27" t="str" cm="1">
        <f t="array" ref="Y374">IF($A374="","",IF(TRIM($B374)="","-",IFERROR(_xlfn.TEXTJOIN(" / ",TRUE,_xlfn.UNIQUE(_xlfn._xlws.FILTER('Ownership Matrix'!$C$5:$C$200,('Ownership Matrix'!$A$5:$A$200=TRIM($B374))*('Ownership Matrix'!$C$5:$C$200&lt;&gt;"")))),"ไม่พบใน Ownership Matrix")))</f>
        <v/>
      </c>
      <c r="Z374" s="31" t="str">
        <f>IF(NOT(AND($A374&lt;&gt;"",$M374&lt;&gt;"Out of Scope",$M374&lt;&gt;"Canceled",$T374&lt;&gt;"Fixed – Retest Passed",OR(LEN(TRIM($O374))&gt;0,LEN(TRIM($P374))&gt;0))),"",IF(OR($W374="Failed",$R374="Urgent",$R374="High",$R374="ระบุ Severity + Impact"),IF(COUNTIFS(Dashboard!$B$105:$B$124,$O374,Dashboard!$I$105:$I$124,"CAB")&gt;0,"Accepted (CF)","Blocking"),"Deferrable"))</f>
        <v/>
      </c>
    </row>
    <row r="375" spans="7:26" x14ac:dyDescent="0.3">
      <c r="G375" s="27" t="str" cm="1">
        <f t="array" ref="G375">IF($A375="","",IFERROR(_xlfn.TEXTJOIN(CHAR(10)&amp;CHAR(10),TRUE,_xlfn._xlws.FILTER("•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"&amp;Cards!$L$4:$L$1000),(Cards!$A$4:$A$1000&lt;&gt;"")*ISNUMBER(SEARCH($A375,Cards!$E$4:$E$1000)))),"-"))</f>
        <v/>
      </c>
      <c r="Q375" s="30"/>
      <c r="R375" s="27" t="str">
        <f>IF(OR($A375="",LEN(TRIM($O375))=0),"",IF(OR($P375="",$Q375=""),"ระบุ Severity + Impact",IFERROR(INDEX({"Urgent","Urgent","High","High";"Urgent","High","High","Medium";"High","High","Medium","Medium";"Medium","Medium","Low","Low"},MATCH($P375,{"Critical","High","Medium","Low"},0),MATCH($Q375,{"Extensive","Significant","Moderate","Minor"},0)),"-")))</f>
        <v/>
      </c>
      <c r="S375" s="30"/>
      <c r="T375" s="30"/>
      <c r="W375" s="32" t="str">
        <f>IF($A375="","",IF(OR($M375="Out of Scope",$M375="Canceled"),"Out of Scope",IF($M375="Blocked","Blocked",IF(AND($T375&lt;&gt;"Fixed – Retest Passed",OR(LEN(TRIM($O375))&gt;0,LEN(TRIM($P375))&gt;0)),IF(AND(OR($L375="Medium",$L375="Low"),SUMPRODUCT((Cards!$A$4:$A$1000&lt;&gt;"")*ISNUMBER(SEARCH($A375,Cards!$E$4:$E$1000))*(Cards!$F$4:$F$1000&lt;&gt;"Medium")*(Cards!$F$4:$F$1000&lt;&gt;"Low"))=0),"Conditionally Passed","Failed"),IF($M375="Done","Passed","Not Run")))))</f>
        <v/>
      </c>
      <c r="Y375" s="27" t="str" cm="1">
        <f t="array" ref="Y375">IF($A375="","",IF(TRIM($B375)="","-",IFERROR(_xlfn.TEXTJOIN(" / ",TRUE,_xlfn.UNIQUE(_xlfn._xlws.FILTER('Ownership Matrix'!$C$5:$C$200,('Ownership Matrix'!$A$5:$A$200=TRIM($B375))*('Ownership Matrix'!$C$5:$C$200&lt;&gt;"")))),"ไม่พบใน Ownership Matrix")))</f>
        <v/>
      </c>
      <c r="Z375" s="31" t="str">
        <f>IF(NOT(AND($A375&lt;&gt;"",$M375&lt;&gt;"Out of Scope",$M375&lt;&gt;"Canceled",$T375&lt;&gt;"Fixed – Retest Passed",OR(LEN(TRIM($O375))&gt;0,LEN(TRIM($P375))&gt;0))),"",IF(OR($W375="Failed",$R375="Urgent",$R375="High",$R375="ระบุ Severity + Impact"),IF(COUNTIFS(Dashboard!$B$105:$B$124,$O375,Dashboard!$I$105:$I$124,"CAB")&gt;0,"Accepted (CF)","Blocking"),"Deferrable"))</f>
        <v/>
      </c>
    </row>
    <row r="376" spans="7:26" x14ac:dyDescent="0.3">
      <c r="G376" s="27" t="str" cm="1">
        <f t="array" ref="G376">IF($A376="","",IFERROR(_xlfn.TEXTJOIN(CHAR(10)&amp;CHAR(10),TRUE,_xlfn._xlws.FILTER("•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"&amp;Cards!$L$4:$L$1000),(Cards!$A$4:$A$1000&lt;&gt;"")*ISNUMBER(SEARCH($A376,Cards!$E$4:$E$1000)))),"-"))</f>
        <v/>
      </c>
      <c r="Q376" s="30"/>
      <c r="R376" s="27" t="str">
        <f>IF(OR($A376="",LEN(TRIM($O376))=0),"",IF(OR($P376="",$Q376=""),"ระบุ Severity + Impact",IFERROR(INDEX({"Urgent","Urgent","High","High";"Urgent","High","High","Medium";"High","High","Medium","Medium";"Medium","Medium","Low","Low"},MATCH($P376,{"Critical","High","Medium","Low"},0),MATCH($Q376,{"Extensive","Significant","Moderate","Minor"},0)),"-")))</f>
        <v/>
      </c>
      <c r="S376" s="30"/>
      <c r="T376" s="30"/>
      <c r="W376" s="32" t="str">
        <f>IF($A376="","",IF(OR($M376="Out of Scope",$M376="Canceled"),"Out of Scope",IF($M376="Blocked","Blocked",IF(AND($T376&lt;&gt;"Fixed – Retest Passed",OR(LEN(TRIM($O376))&gt;0,LEN(TRIM($P376))&gt;0)),IF(AND(OR($L376="Medium",$L376="Low"),SUMPRODUCT((Cards!$A$4:$A$1000&lt;&gt;"")*ISNUMBER(SEARCH($A376,Cards!$E$4:$E$1000))*(Cards!$F$4:$F$1000&lt;&gt;"Medium")*(Cards!$F$4:$F$1000&lt;&gt;"Low"))=0),"Conditionally Passed","Failed"),IF($M376="Done","Passed","Not Run")))))</f>
        <v/>
      </c>
      <c r="Y376" s="27" t="str" cm="1">
        <f t="array" ref="Y376">IF($A376="","",IF(TRIM($B376)="","-",IFERROR(_xlfn.TEXTJOIN(" / ",TRUE,_xlfn.UNIQUE(_xlfn._xlws.FILTER('Ownership Matrix'!$C$5:$C$200,('Ownership Matrix'!$A$5:$A$200=TRIM($B376))*('Ownership Matrix'!$C$5:$C$200&lt;&gt;"")))),"ไม่พบใน Ownership Matrix")))</f>
        <v/>
      </c>
      <c r="Z376" s="31" t="str">
        <f>IF(NOT(AND($A376&lt;&gt;"",$M376&lt;&gt;"Out of Scope",$M376&lt;&gt;"Canceled",$T376&lt;&gt;"Fixed – Retest Passed",OR(LEN(TRIM($O376))&gt;0,LEN(TRIM($P376))&gt;0))),"",IF(OR($W376="Failed",$R376="Urgent",$R376="High",$R376="ระบุ Severity + Impact"),IF(COUNTIFS(Dashboard!$B$105:$B$124,$O376,Dashboard!$I$105:$I$124,"CAB")&gt;0,"Accepted (CF)","Blocking"),"Deferrable"))</f>
        <v/>
      </c>
    </row>
    <row r="377" spans="7:26" x14ac:dyDescent="0.3">
      <c r="G377" s="27" t="str" cm="1">
        <f t="array" ref="G377">IF($A377="","",IFERROR(_xlfn.TEXTJOIN(CHAR(10)&amp;CHAR(10),TRUE,_xlfn._xlws.FILTER("•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"&amp;Cards!$L$4:$L$1000),(Cards!$A$4:$A$1000&lt;&gt;"")*ISNUMBER(SEARCH($A377,Cards!$E$4:$E$1000)))),"-"))</f>
        <v/>
      </c>
      <c r="Q377" s="30"/>
      <c r="R377" s="27" t="str">
        <f>IF(OR($A377="",LEN(TRIM($O377))=0),"",IF(OR($P377="",$Q377=""),"ระบุ Severity + Impact",IFERROR(INDEX({"Urgent","Urgent","High","High";"Urgent","High","High","Medium";"High","High","Medium","Medium";"Medium","Medium","Low","Low"},MATCH($P377,{"Critical","High","Medium","Low"},0),MATCH($Q377,{"Extensive","Significant","Moderate","Minor"},0)),"-")))</f>
        <v/>
      </c>
      <c r="S377" s="30"/>
      <c r="T377" s="30"/>
      <c r="W377" s="32" t="str">
        <f>IF($A377="","",IF(OR($M377="Out of Scope",$M377="Canceled"),"Out of Scope",IF($M377="Blocked","Blocked",IF(AND($T377&lt;&gt;"Fixed – Retest Passed",OR(LEN(TRIM($O377))&gt;0,LEN(TRIM($P377))&gt;0)),IF(AND(OR($L377="Medium",$L377="Low"),SUMPRODUCT((Cards!$A$4:$A$1000&lt;&gt;"")*ISNUMBER(SEARCH($A377,Cards!$E$4:$E$1000))*(Cards!$F$4:$F$1000&lt;&gt;"Medium")*(Cards!$F$4:$F$1000&lt;&gt;"Low"))=0),"Conditionally Passed","Failed"),IF($M377="Done","Passed","Not Run")))))</f>
        <v/>
      </c>
      <c r="Y377" s="27" t="str" cm="1">
        <f t="array" ref="Y377">IF($A377="","",IF(TRIM($B377)="","-",IFERROR(_xlfn.TEXTJOIN(" / ",TRUE,_xlfn.UNIQUE(_xlfn._xlws.FILTER('Ownership Matrix'!$C$5:$C$200,('Ownership Matrix'!$A$5:$A$200=TRIM($B377))*('Ownership Matrix'!$C$5:$C$200&lt;&gt;"")))),"ไม่พบใน Ownership Matrix")))</f>
        <v/>
      </c>
      <c r="Z377" s="31" t="str">
        <f>IF(NOT(AND($A377&lt;&gt;"",$M377&lt;&gt;"Out of Scope",$M377&lt;&gt;"Canceled",$T377&lt;&gt;"Fixed – Retest Passed",OR(LEN(TRIM($O377))&gt;0,LEN(TRIM($P377))&gt;0))),"",IF(OR($W377="Failed",$R377="Urgent",$R377="High",$R377="ระบุ Severity + Impact"),IF(COUNTIFS(Dashboard!$B$105:$B$124,$O377,Dashboard!$I$105:$I$124,"CAB")&gt;0,"Accepted (CF)","Blocking"),"Deferrable"))</f>
        <v/>
      </c>
    </row>
    <row r="378" spans="7:26" x14ac:dyDescent="0.3">
      <c r="G378" s="27" t="str" cm="1">
        <f t="array" ref="G378">IF($A378="","",IFERROR(_xlfn.TEXTJOIN(CHAR(10)&amp;CHAR(10),TRUE,_xlfn._xlws.FILTER("•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"&amp;Cards!$L$4:$L$1000),(Cards!$A$4:$A$1000&lt;&gt;"")*ISNUMBER(SEARCH($A378,Cards!$E$4:$E$1000)))),"-"))</f>
        <v/>
      </c>
      <c r="Q378" s="30"/>
      <c r="R378" s="27" t="str">
        <f>IF(OR($A378="",LEN(TRIM($O378))=0),"",IF(OR($P378="",$Q378=""),"ระบุ Severity + Impact",IFERROR(INDEX({"Urgent","Urgent","High","High";"Urgent","High","High","Medium";"High","High","Medium","Medium";"Medium","Medium","Low","Low"},MATCH($P378,{"Critical","High","Medium","Low"},0),MATCH($Q378,{"Extensive","Significant","Moderate","Minor"},0)),"-")))</f>
        <v/>
      </c>
      <c r="S378" s="30"/>
      <c r="T378" s="30"/>
      <c r="W378" s="32" t="str">
        <f>IF($A378="","",IF(OR($M378="Out of Scope",$M378="Canceled"),"Out of Scope",IF($M378="Blocked","Blocked",IF(AND($T378&lt;&gt;"Fixed – Retest Passed",OR(LEN(TRIM($O378))&gt;0,LEN(TRIM($P378))&gt;0)),IF(AND(OR($L378="Medium",$L378="Low"),SUMPRODUCT((Cards!$A$4:$A$1000&lt;&gt;"")*ISNUMBER(SEARCH($A378,Cards!$E$4:$E$1000))*(Cards!$F$4:$F$1000&lt;&gt;"Medium")*(Cards!$F$4:$F$1000&lt;&gt;"Low"))=0),"Conditionally Passed","Failed"),IF($M378="Done","Passed","Not Run")))))</f>
        <v/>
      </c>
      <c r="Y378" s="27" t="str" cm="1">
        <f t="array" ref="Y378">IF($A378="","",IF(TRIM($B378)="","-",IFERROR(_xlfn.TEXTJOIN(" / ",TRUE,_xlfn.UNIQUE(_xlfn._xlws.FILTER('Ownership Matrix'!$C$5:$C$200,('Ownership Matrix'!$A$5:$A$200=TRIM($B378))*('Ownership Matrix'!$C$5:$C$200&lt;&gt;"")))),"ไม่พบใน Ownership Matrix")))</f>
        <v/>
      </c>
      <c r="Z378" s="31" t="str">
        <f>IF(NOT(AND($A378&lt;&gt;"",$M378&lt;&gt;"Out of Scope",$M378&lt;&gt;"Canceled",$T378&lt;&gt;"Fixed – Retest Passed",OR(LEN(TRIM($O378))&gt;0,LEN(TRIM($P378))&gt;0))),"",IF(OR($W378="Failed",$R378="Urgent",$R378="High",$R378="ระบุ Severity + Impact"),IF(COUNTIFS(Dashboard!$B$105:$B$124,$O378,Dashboard!$I$105:$I$124,"CAB")&gt;0,"Accepted (CF)","Blocking"),"Deferrable"))</f>
        <v/>
      </c>
    </row>
    <row r="379" spans="7:26" x14ac:dyDescent="0.3">
      <c r="G379" s="27" t="str" cm="1">
        <f t="array" ref="G379">IF($A379="","",IFERROR(_xlfn.TEXTJOIN(CHAR(10)&amp;CHAR(10),TRUE,_xlfn._xlws.FILTER("•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"&amp;Cards!$L$4:$L$1000),(Cards!$A$4:$A$1000&lt;&gt;"")*ISNUMBER(SEARCH($A379,Cards!$E$4:$E$1000)))),"-"))</f>
        <v/>
      </c>
      <c r="Q379" s="30"/>
      <c r="R379" s="27" t="str">
        <f>IF(OR($A379="",LEN(TRIM($O379))=0),"",IF(OR($P379="",$Q379=""),"ระบุ Severity + Impact",IFERROR(INDEX({"Urgent","Urgent","High","High";"Urgent","High","High","Medium";"High","High","Medium","Medium";"Medium","Medium","Low","Low"},MATCH($P379,{"Critical","High","Medium","Low"},0),MATCH($Q379,{"Extensive","Significant","Moderate","Minor"},0)),"-")))</f>
        <v/>
      </c>
      <c r="S379" s="30"/>
      <c r="T379" s="30"/>
      <c r="W379" s="32" t="str">
        <f>IF($A379="","",IF(OR($M379="Out of Scope",$M379="Canceled"),"Out of Scope",IF($M379="Blocked","Blocked",IF(AND($T379&lt;&gt;"Fixed – Retest Passed",OR(LEN(TRIM($O379))&gt;0,LEN(TRIM($P379))&gt;0)),IF(AND(OR($L379="Medium",$L379="Low"),SUMPRODUCT((Cards!$A$4:$A$1000&lt;&gt;"")*ISNUMBER(SEARCH($A379,Cards!$E$4:$E$1000))*(Cards!$F$4:$F$1000&lt;&gt;"Medium")*(Cards!$F$4:$F$1000&lt;&gt;"Low"))=0),"Conditionally Passed","Failed"),IF($M379="Done","Passed","Not Run")))))</f>
        <v/>
      </c>
      <c r="Y379" s="27" t="str" cm="1">
        <f t="array" ref="Y379">IF($A379="","",IF(TRIM($B379)="","-",IFERROR(_xlfn.TEXTJOIN(" / ",TRUE,_xlfn.UNIQUE(_xlfn._xlws.FILTER('Ownership Matrix'!$C$5:$C$200,('Ownership Matrix'!$A$5:$A$200=TRIM($B379))*('Ownership Matrix'!$C$5:$C$200&lt;&gt;"")))),"ไม่พบใน Ownership Matrix")))</f>
        <v/>
      </c>
      <c r="Z379" s="31" t="str">
        <f>IF(NOT(AND($A379&lt;&gt;"",$M379&lt;&gt;"Out of Scope",$M379&lt;&gt;"Canceled",$T379&lt;&gt;"Fixed – Retest Passed",OR(LEN(TRIM($O379))&gt;0,LEN(TRIM($P379))&gt;0))),"",IF(OR($W379="Failed",$R379="Urgent",$R379="High",$R379="ระบุ Severity + Impact"),IF(COUNTIFS(Dashboard!$B$105:$B$124,$O379,Dashboard!$I$105:$I$124,"CAB")&gt;0,"Accepted (CF)","Blocking"),"Deferrable"))</f>
        <v/>
      </c>
    </row>
    <row r="380" spans="7:26" x14ac:dyDescent="0.3">
      <c r="G380" s="27" t="str" cm="1">
        <f t="array" ref="G380">IF($A380="","",IFERROR(_xlfn.TEXTJOIN(CHAR(10)&amp;CHAR(10),TRUE,_xlfn._xlws.FILTER("•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"&amp;Cards!$L$4:$L$1000),(Cards!$A$4:$A$1000&lt;&gt;"")*ISNUMBER(SEARCH($A380,Cards!$E$4:$E$1000)))),"-"))</f>
        <v/>
      </c>
      <c r="Q380" s="30"/>
      <c r="R380" s="27" t="str">
        <f>IF(OR($A380="",LEN(TRIM($O380))=0),"",IF(OR($P380="",$Q380=""),"ระบุ Severity + Impact",IFERROR(INDEX({"Urgent","Urgent","High","High";"Urgent","High","High","Medium";"High","High","Medium","Medium";"Medium","Medium","Low","Low"},MATCH($P380,{"Critical","High","Medium","Low"},0),MATCH($Q380,{"Extensive","Significant","Moderate","Minor"},0)),"-")))</f>
        <v/>
      </c>
      <c r="S380" s="30"/>
      <c r="T380" s="30"/>
      <c r="W380" s="32" t="str">
        <f>IF($A380="","",IF(OR($M380="Out of Scope",$M380="Canceled"),"Out of Scope",IF($M380="Blocked","Blocked",IF(AND($T380&lt;&gt;"Fixed – Retest Passed",OR(LEN(TRIM($O380))&gt;0,LEN(TRIM($P380))&gt;0)),IF(AND(OR($L380="Medium",$L380="Low"),SUMPRODUCT((Cards!$A$4:$A$1000&lt;&gt;"")*ISNUMBER(SEARCH($A380,Cards!$E$4:$E$1000))*(Cards!$F$4:$F$1000&lt;&gt;"Medium")*(Cards!$F$4:$F$1000&lt;&gt;"Low"))=0),"Conditionally Passed","Failed"),IF($M380="Done","Passed","Not Run")))))</f>
        <v/>
      </c>
      <c r="Y380" s="27" t="str" cm="1">
        <f t="array" ref="Y380">IF($A380="","",IF(TRIM($B380)="","-",IFERROR(_xlfn.TEXTJOIN(" / ",TRUE,_xlfn.UNIQUE(_xlfn._xlws.FILTER('Ownership Matrix'!$C$5:$C$200,('Ownership Matrix'!$A$5:$A$200=TRIM($B380))*('Ownership Matrix'!$C$5:$C$200&lt;&gt;"")))),"ไม่พบใน Ownership Matrix")))</f>
        <v/>
      </c>
      <c r="Z380" s="31" t="str">
        <f>IF(NOT(AND($A380&lt;&gt;"",$M380&lt;&gt;"Out of Scope",$M380&lt;&gt;"Canceled",$T380&lt;&gt;"Fixed – Retest Passed",OR(LEN(TRIM($O380))&gt;0,LEN(TRIM($P380))&gt;0))),"",IF(OR($W380="Failed",$R380="Urgent",$R380="High",$R380="ระบุ Severity + Impact"),IF(COUNTIFS(Dashboard!$B$105:$B$124,$O380,Dashboard!$I$105:$I$124,"CAB")&gt;0,"Accepted (CF)","Blocking"),"Deferrable"))</f>
        <v/>
      </c>
    </row>
    <row r="381" spans="7:26" x14ac:dyDescent="0.3">
      <c r="G381" s="27" t="str" cm="1">
        <f t="array" ref="G381">IF($A381="","",IFERROR(_xlfn.TEXTJOIN(CHAR(10)&amp;CHAR(10),TRUE,_xlfn._xlws.FILTER("•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"&amp;Cards!$L$4:$L$1000),(Cards!$A$4:$A$1000&lt;&gt;"")*ISNUMBER(SEARCH($A381,Cards!$E$4:$E$1000)))),"-"))</f>
        <v/>
      </c>
      <c r="Q381" s="30"/>
      <c r="R381" s="27" t="str">
        <f>IF(OR($A381="",LEN(TRIM($O381))=0),"",IF(OR($P381="",$Q381=""),"ระบุ Severity + Impact",IFERROR(INDEX({"Urgent","Urgent","High","High";"Urgent","High","High","Medium";"High","High","Medium","Medium";"Medium","Medium","Low","Low"},MATCH($P381,{"Critical","High","Medium","Low"},0),MATCH($Q381,{"Extensive","Significant","Moderate","Minor"},0)),"-")))</f>
        <v/>
      </c>
      <c r="S381" s="30"/>
      <c r="T381" s="30"/>
      <c r="W381" s="32" t="str">
        <f>IF($A381="","",IF(OR($M381="Out of Scope",$M381="Canceled"),"Out of Scope",IF($M381="Blocked","Blocked",IF(AND($T381&lt;&gt;"Fixed – Retest Passed",OR(LEN(TRIM($O381))&gt;0,LEN(TRIM($P381))&gt;0)),IF(AND(OR($L381="Medium",$L381="Low"),SUMPRODUCT((Cards!$A$4:$A$1000&lt;&gt;"")*ISNUMBER(SEARCH($A381,Cards!$E$4:$E$1000))*(Cards!$F$4:$F$1000&lt;&gt;"Medium")*(Cards!$F$4:$F$1000&lt;&gt;"Low"))=0),"Conditionally Passed","Failed"),IF($M381="Done","Passed","Not Run")))))</f>
        <v/>
      </c>
      <c r="Y381" s="27" t="str" cm="1">
        <f t="array" ref="Y381">IF($A381="","",IF(TRIM($B381)="","-",IFERROR(_xlfn.TEXTJOIN(" / ",TRUE,_xlfn.UNIQUE(_xlfn._xlws.FILTER('Ownership Matrix'!$C$5:$C$200,('Ownership Matrix'!$A$5:$A$200=TRIM($B381))*('Ownership Matrix'!$C$5:$C$200&lt;&gt;"")))),"ไม่พบใน Ownership Matrix")))</f>
        <v/>
      </c>
      <c r="Z381" s="31" t="str">
        <f>IF(NOT(AND($A381&lt;&gt;"",$M381&lt;&gt;"Out of Scope",$M381&lt;&gt;"Canceled",$T381&lt;&gt;"Fixed – Retest Passed",OR(LEN(TRIM($O381))&gt;0,LEN(TRIM($P381))&gt;0))),"",IF(OR($W381="Failed",$R381="Urgent",$R381="High",$R381="ระบุ Severity + Impact"),IF(COUNTIFS(Dashboard!$B$105:$B$124,$O381,Dashboard!$I$105:$I$124,"CAB")&gt;0,"Accepted (CF)","Blocking"),"Deferrable"))</f>
        <v/>
      </c>
    </row>
    <row r="382" spans="7:26" x14ac:dyDescent="0.3">
      <c r="G382" s="27" t="str" cm="1">
        <f t="array" ref="G382">IF($A382="","",IFERROR(_xlfn.TEXTJOIN(CHAR(10)&amp;CHAR(10),TRUE,_xlfn._xlws.FILTER("•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"&amp;Cards!$L$4:$L$1000),(Cards!$A$4:$A$1000&lt;&gt;"")*ISNUMBER(SEARCH($A382,Cards!$E$4:$E$1000)))),"-"))</f>
        <v/>
      </c>
      <c r="Q382" s="30"/>
      <c r="R382" s="27" t="str">
        <f>IF(OR($A382="",LEN(TRIM($O382))=0),"",IF(OR($P382="",$Q382=""),"ระบุ Severity + Impact",IFERROR(INDEX({"Urgent","Urgent","High","High";"Urgent","High","High","Medium";"High","High","Medium","Medium";"Medium","Medium","Low","Low"},MATCH($P382,{"Critical","High","Medium","Low"},0),MATCH($Q382,{"Extensive","Significant","Moderate","Minor"},0)),"-")))</f>
        <v/>
      </c>
      <c r="S382" s="30"/>
      <c r="T382" s="30"/>
      <c r="W382" s="32" t="str">
        <f>IF($A382="","",IF(OR($M382="Out of Scope",$M382="Canceled"),"Out of Scope",IF($M382="Blocked","Blocked",IF(AND($T382&lt;&gt;"Fixed – Retest Passed",OR(LEN(TRIM($O382))&gt;0,LEN(TRIM($P382))&gt;0)),IF(AND(OR($L382="Medium",$L382="Low"),SUMPRODUCT((Cards!$A$4:$A$1000&lt;&gt;"")*ISNUMBER(SEARCH($A382,Cards!$E$4:$E$1000))*(Cards!$F$4:$F$1000&lt;&gt;"Medium")*(Cards!$F$4:$F$1000&lt;&gt;"Low"))=0),"Conditionally Passed","Failed"),IF($M382="Done","Passed","Not Run")))))</f>
        <v/>
      </c>
      <c r="Y382" s="27" t="str" cm="1">
        <f t="array" ref="Y382">IF($A382="","",IF(TRIM($B382)="","-",IFERROR(_xlfn.TEXTJOIN(" / ",TRUE,_xlfn.UNIQUE(_xlfn._xlws.FILTER('Ownership Matrix'!$C$5:$C$200,('Ownership Matrix'!$A$5:$A$200=TRIM($B382))*('Ownership Matrix'!$C$5:$C$200&lt;&gt;"")))),"ไม่พบใน Ownership Matrix")))</f>
        <v/>
      </c>
      <c r="Z382" s="31" t="str">
        <f>IF(NOT(AND($A382&lt;&gt;"",$M382&lt;&gt;"Out of Scope",$M382&lt;&gt;"Canceled",$T382&lt;&gt;"Fixed – Retest Passed",OR(LEN(TRIM($O382))&gt;0,LEN(TRIM($P382))&gt;0))),"",IF(OR($W382="Failed",$R382="Urgent",$R382="High",$R382="ระบุ Severity + Impact"),IF(COUNTIFS(Dashboard!$B$105:$B$124,$O382,Dashboard!$I$105:$I$124,"CAB")&gt;0,"Accepted (CF)","Blocking"),"Deferrable"))</f>
        <v/>
      </c>
    </row>
    <row r="383" spans="7:26" x14ac:dyDescent="0.3">
      <c r="G383" s="27" t="str" cm="1">
        <f t="array" ref="G383">IF($A383="","",IFERROR(_xlfn.TEXTJOIN(CHAR(10)&amp;CHAR(10),TRUE,_xlfn._xlws.FILTER("•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"&amp;Cards!$L$4:$L$1000),(Cards!$A$4:$A$1000&lt;&gt;"")*ISNUMBER(SEARCH($A383,Cards!$E$4:$E$1000)))),"-"))</f>
        <v/>
      </c>
      <c r="Q383" s="30"/>
      <c r="R383" s="27" t="str">
        <f>IF(OR($A383="",LEN(TRIM($O383))=0),"",IF(OR($P383="",$Q383=""),"ระบุ Severity + Impact",IFERROR(INDEX({"Urgent","Urgent","High","High";"Urgent","High","High","Medium";"High","High","Medium","Medium";"Medium","Medium","Low","Low"},MATCH($P383,{"Critical","High","Medium","Low"},0),MATCH($Q383,{"Extensive","Significant","Moderate","Minor"},0)),"-")))</f>
        <v/>
      </c>
      <c r="S383" s="30"/>
      <c r="T383" s="30"/>
      <c r="W383" s="32" t="str">
        <f>IF($A383="","",IF(OR($M383="Out of Scope",$M383="Canceled"),"Out of Scope",IF($M383="Blocked","Blocked",IF(AND($T383&lt;&gt;"Fixed – Retest Passed",OR(LEN(TRIM($O383))&gt;0,LEN(TRIM($P383))&gt;0)),IF(AND(OR($L383="Medium",$L383="Low"),SUMPRODUCT((Cards!$A$4:$A$1000&lt;&gt;"")*ISNUMBER(SEARCH($A383,Cards!$E$4:$E$1000))*(Cards!$F$4:$F$1000&lt;&gt;"Medium")*(Cards!$F$4:$F$1000&lt;&gt;"Low"))=0),"Conditionally Passed","Failed"),IF($M383="Done","Passed","Not Run")))))</f>
        <v/>
      </c>
      <c r="Y383" s="27" t="str" cm="1">
        <f t="array" ref="Y383">IF($A383="","",IF(TRIM($B383)="","-",IFERROR(_xlfn.TEXTJOIN(" / ",TRUE,_xlfn.UNIQUE(_xlfn._xlws.FILTER('Ownership Matrix'!$C$5:$C$200,('Ownership Matrix'!$A$5:$A$200=TRIM($B383))*('Ownership Matrix'!$C$5:$C$200&lt;&gt;"")))),"ไม่พบใน Ownership Matrix")))</f>
        <v/>
      </c>
      <c r="Z383" s="31" t="str">
        <f>IF(NOT(AND($A383&lt;&gt;"",$M383&lt;&gt;"Out of Scope",$M383&lt;&gt;"Canceled",$T383&lt;&gt;"Fixed – Retest Passed",OR(LEN(TRIM($O383))&gt;0,LEN(TRIM($P383))&gt;0))),"",IF(OR($W383="Failed",$R383="Urgent",$R383="High",$R383="ระบุ Severity + Impact"),IF(COUNTIFS(Dashboard!$B$105:$B$124,$O383,Dashboard!$I$105:$I$124,"CAB")&gt;0,"Accepted (CF)","Blocking"),"Deferrable"))</f>
        <v/>
      </c>
    </row>
    <row r="384" spans="7:26" x14ac:dyDescent="0.3">
      <c r="G384" s="27" t="str" cm="1">
        <f t="array" ref="G384">IF($A384="","",IFERROR(_xlfn.TEXTJOIN(CHAR(10)&amp;CHAR(10),TRUE,_xlfn._xlws.FILTER("•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"&amp;Cards!$L$4:$L$1000),(Cards!$A$4:$A$1000&lt;&gt;"")*ISNUMBER(SEARCH($A384,Cards!$E$4:$E$1000)))),"-"))</f>
        <v/>
      </c>
      <c r="Q384" s="30"/>
      <c r="R384" s="27" t="str">
        <f>IF(OR($A384="",LEN(TRIM($O384))=0),"",IF(OR($P384="",$Q384=""),"ระบุ Severity + Impact",IFERROR(INDEX({"Urgent","Urgent","High","High";"Urgent","High","High","Medium";"High","High","Medium","Medium";"Medium","Medium","Low","Low"},MATCH($P384,{"Critical","High","Medium","Low"},0),MATCH($Q384,{"Extensive","Significant","Moderate","Minor"},0)),"-")))</f>
        <v/>
      </c>
      <c r="S384" s="30"/>
      <c r="T384" s="30"/>
      <c r="W384" s="32" t="str">
        <f>IF($A384="","",IF(OR($M384="Out of Scope",$M384="Canceled"),"Out of Scope",IF($M384="Blocked","Blocked",IF(AND($T384&lt;&gt;"Fixed – Retest Passed",OR(LEN(TRIM($O384))&gt;0,LEN(TRIM($P384))&gt;0)),IF(AND(OR($L384="Medium",$L384="Low"),SUMPRODUCT((Cards!$A$4:$A$1000&lt;&gt;"")*ISNUMBER(SEARCH($A384,Cards!$E$4:$E$1000))*(Cards!$F$4:$F$1000&lt;&gt;"Medium")*(Cards!$F$4:$F$1000&lt;&gt;"Low"))=0),"Conditionally Passed","Failed"),IF($M384="Done","Passed","Not Run")))))</f>
        <v/>
      </c>
      <c r="Y384" s="27" t="str" cm="1">
        <f t="array" ref="Y384">IF($A384="","",IF(TRIM($B384)="","-",IFERROR(_xlfn.TEXTJOIN(" / ",TRUE,_xlfn.UNIQUE(_xlfn._xlws.FILTER('Ownership Matrix'!$C$5:$C$200,('Ownership Matrix'!$A$5:$A$200=TRIM($B384))*('Ownership Matrix'!$C$5:$C$200&lt;&gt;"")))),"ไม่พบใน Ownership Matrix")))</f>
        <v/>
      </c>
      <c r="Z384" s="31" t="str">
        <f>IF(NOT(AND($A384&lt;&gt;"",$M384&lt;&gt;"Out of Scope",$M384&lt;&gt;"Canceled",$T384&lt;&gt;"Fixed – Retest Passed",OR(LEN(TRIM($O384))&gt;0,LEN(TRIM($P384))&gt;0))),"",IF(OR($W384="Failed",$R384="Urgent",$R384="High",$R384="ระบุ Severity + Impact"),IF(COUNTIFS(Dashboard!$B$105:$B$124,$O384,Dashboard!$I$105:$I$124,"CAB")&gt;0,"Accepted (CF)","Blocking"),"Deferrable"))</f>
        <v/>
      </c>
    </row>
    <row r="385" spans="7:26" x14ac:dyDescent="0.3">
      <c r="G385" s="27" t="str" cm="1">
        <f t="array" ref="G385">IF($A385="","",IFERROR(_xlfn.TEXTJOIN(CHAR(10)&amp;CHAR(10),TRUE,_xlfn._xlws.FILTER("•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"&amp;Cards!$L$4:$L$1000),(Cards!$A$4:$A$1000&lt;&gt;"")*ISNUMBER(SEARCH($A385,Cards!$E$4:$E$1000)))),"-"))</f>
        <v/>
      </c>
      <c r="Q385" s="30"/>
      <c r="R385" s="27" t="str">
        <f>IF(OR($A385="",LEN(TRIM($O385))=0),"",IF(OR($P385="",$Q385=""),"ระบุ Severity + Impact",IFERROR(INDEX({"Urgent","Urgent","High","High";"Urgent","High","High","Medium";"High","High","Medium","Medium";"Medium","Medium","Low","Low"},MATCH($P385,{"Critical","High","Medium","Low"},0),MATCH($Q385,{"Extensive","Significant","Moderate","Minor"},0)),"-")))</f>
        <v/>
      </c>
      <c r="S385" s="30"/>
      <c r="T385" s="30"/>
      <c r="W385" s="32" t="str">
        <f>IF($A385="","",IF(OR($M385="Out of Scope",$M385="Canceled"),"Out of Scope",IF($M385="Blocked","Blocked",IF(AND($T385&lt;&gt;"Fixed – Retest Passed",OR(LEN(TRIM($O385))&gt;0,LEN(TRIM($P385))&gt;0)),IF(AND(OR($L385="Medium",$L385="Low"),SUMPRODUCT((Cards!$A$4:$A$1000&lt;&gt;"")*ISNUMBER(SEARCH($A385,Cards!$E$4:$E$1000))*(Cards!$F$4:$F$1000&lt;&gt;"Medium")*(Cards!$F$4:$F$1000&lt;&gt;"Low"))=0),"Conditionally Passed","Failed"),IF($M385="Done","Passed","Not Run")))))</f>
        <v/>
      </c>
      <c r="Y385" s="27" t="str" cm="1">
        <f t="array" ref="Y385">IF($A385="","",IF(TRIM($B385)="","-",IFERROR(_xlfn.TEXTJOIN(" / ",TRUE,_xlfn.UNIQUE(_xlfn._xlws.FILTER('Ownership Matrix'!$C$5:$C$200,('Ownership Matrix'!$A$5:$A$200=TRIM($B385))*('Ownership Matrix'!$C$5:$C$200&lt;&gt;"")))),"ไม่พบใน Ownership Matrix")))</f>
        <v/>
      </c>
      <c r="Z385" s="31" t="str">
        <f>IF(NOT(AND($A385&lt;&gt;"",$M385&lt;&gt;"Out of Scope",$M385&lt;&gt;"Canceled",$T385&lt;&gt;"Fixed – Retest Passed",OR(LEN(TRIM($O385))&gt;0,LEN(TRIM($P385))&gt;0))),"",IF(OR($W385="Failed",$R385="Urgent",$R385="High",$R385="ระบุ Severity + Impact"),IF(COUNTIFS(Dashboard!$B$105:$B$124,$O385,Dashboard!$I$105:$I$124,"CAB")&gt;0,"Accepted (CF)","Blocking"),"Deferrable"))</f>
        <v/>
      </c>
    </row>
    <row r="386" spans="7:26" x14ac:dyDescent="0.3">
      <c r="G386" s="27" t="str" cm="1">
        <f t="array" ref="G386">IF($A386="","",IFERROR(_xlfn.TEXTJOIN(CHAR(10)&amp;CHAR(10),TRUE,_xlfn._xlws.FILTER("•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"&amp;Cards!$L$4:$L$1000),(Cards!$A$4:$A$1000&lt;&gt;"")*ISNUMBER(SEARCH($A386,Cards!$E$4:$E$1000)))),"-"))</f>
        <v/>
      </c>
      <c r="Q386" s="30"/>
      <c r="R386" s="27" t="str">
        <f>IF(OR($A386="",LEN(TRIM($O386))=0),"",IF(OR($P386="",$Q386=""),"ระบุ Severity + Impact",IFERROR(INDEX({"Urgent","Urgent","High","High";"Urgent","High","High","Medium";"High","High","Medium","Medium";"Medium","Medium","Low","Low"},MATCH($P386,{"Critical","High","Medium","Low"},0),MATCH($Q386,{"Extensive","Significant","Moderate","Minor"},0)),"-")))</f>
        <v/>
      </c>
      <c r="S386" s="30"/>
      <c r="T386" s="30"/>
      <c r="W386" s="32" t="str">
        <f>IF($A386="","",IF(OR($M386="Out of Scope",$M386="Canceled"),"Out of Scope",IF($M386="Blocked","Blocked",IF(AND($T386&lt;&gt;"Fixed – Retest Passed",OR(LEN(TRIM($O386))&gt;0,LEN(TRIM($P386))&gt;0)),IF(AND(OR($L386="Medium",$L386="Low"),SUMPRODUCT((Cards!$A$4:$A$1000&lt;&gt;"")*ISNUMBER(SEARCH($A386,Cards!$E$4:$E$1000))*(Cards!$F$4:$F$1000&lt;&gt;"Medium")*(Cards!$F$4:$F$1000&lt;&gt;"Low"))=0),"Conditionally Passed","Failed"),IF($M386="Done","Passed","Not Run")))))</f>
        <v/>
      </c>
      <c r="Y386" s="27" t="str" cm="1">
        <f t="array" ref="Y386">IF($A386="","",IF(TRIM($B386)="","-",IFERROR(_xlfn.TEXTJOIN(" / ",TRUE,_xlfn.UNIQUE(_xlfn._xlws.FILTER('Ownership Matrix'!$C$5:$C$200,('Ownership Matrix'!$A$5:$A$200=TRIM($B386))*('Ownership Matrix'!$C$5:$C$200&lt;&gt;"")))),"ไม่พบใน Ownership Matrix")))</f>
        <v/>
      </c>
      <c r="Z386" s="31" t="str">
        <f>IF(NOT(AND($A386&lt;&gt;"",$M386&lt;&gt;"Out of Scope",$M386&lt;&gt;"Canceled",$T386&lt;&gt;"Fixed – Retest Passed",OR(LEN(TRIM($O386))&gt;0,LEN(TRIM($P386))&gt;0))),"",IF(OR($W386="Failed",$R386="Urgent",$R386="High",$R386="ระบุ Severity + Impact"),IF(COUNTIFS(Dashboard!$B$105:$B$124,$O386,Dashboard!$I$105:$I$124,"CAB")&gt;0,"Accepted (CF)","Blocking"),"Deferrable"))</f>
        <v/>
      </c>
    </row>
    <row r="387" spans="7:26" x14ac:dyDescent="0.3">
      <c r="G387" s="27" t="str" cm="1">
        <f t="array" ref="G387">IF($A387="","",IFERROR(_xlfn.TEXTJOIN(CHAR(10)&amp;CHAR(10),TRUE,_xlfn._xlws.FILTER("•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"&amp;Cards!$L$4:$L$1000),(Cards!$A$4:$A$1000&lt;&gt;"")*ISNUMBER(SEARCH($A387,Cards!$E$4:$E$1000)))),"-"))</f>
        <v/>
      </c>
      <c r="Q387" s="30"/>
      <c r="R387" s="27" t="str">
        <f>IF(OR($A387="",LEN(TRIM($O387))=0),"",IF(OR($P387="",$Q387=""),"ระบุ Severity + Impact",IFERROR(INDEX({"Urgent","Urgent","High","High";"Urgent","High","High","Medium";"High","High","Medium","Medium";"Medium","Medium","Low","Low"},MATCH($P387,{"Critical","High","Medium","Low"},0),MATCH($Q387,{"Extensive","Significant","Moderate","Minor"},0)),"-")))</f>
        <v/>
      </c>
      <c r="S387" s="30"/>
      <c r="T387" s="30"/>
      <c r="W387" s="32" t="str">
        <f>IF($A387="","",IF(OR($M387="Out of Scope",$M387="Canceled"),"Out of Scope",IF($M387="Blocked","Blocked",IF(AND($T387&lt;&gt;"Fixed – Retest Passed",OR(LEN(TRIM($O387))&gt;0,LEN(TRIM($P387))&gt;0)),IF(AND(OR($L387="Medium",$L387="Low"),SUMPRODUCT((Cards!$A$4:$A$1000&lt;&gt;"")*ISNUMBER(SEARCH($A387,Cards!$E$4:$E$1000))*(Cards!$F$4:$F$1000&lt;&gt;"Medium")*(Cards!$F$4:$F$1000&lt;&gt;"Low"))=0),"Conditionally Passed","Failed"),IF($M387="Done","Passed","Not Run")))))</f>
        <v/>
      </c>
      <c r="Y387" s="27" t="str" cm="1">
        <f t="array" ref="Y387">IF($A387="","",IF(TRIM($B387)="","-",IFERROR(_xlfn.TEXTJOIN(" / ",TRUE,_xlfn.UNIQUE(_xlfn._xlws.FILTER('Ownership Matrix'!$C$5:$C$200,('Ownership Matrix'!$A$5:$A$200=TRIM($B387))*('Ownership Matrix'!$C$5:$C$200&lt;&gt;"")))),"ไม่พบใน Ownership Matrix")))</f>
        <v/>
      </c>
      <c r="Z387" s="31" t="str">
        <f>IF(NOT(AND($A387&lt;&gt;"",$M387&lt;&gt;"Out of Scope",$M387&lt;&gt;"Canceled",$T387&lt;&gt;"Fixed – Retest Passed",OR(LEN(TRIM($O387))&gt;0,LEN(TRIM($P387))&gt;0))),"",IF(OR($W387="Failed",$R387="Urgent",$R387="High",$R387="ระบุ Severity + Impact"),IF(COUNTIFS(Dashboard!$B$105:$B$124,$O387,Dashboard!$I$105:$I$124,"CAB")&gt;0,"Accepted (CF)","Blocking"),"Deferrable"))</f>
        <v/>
      </c>
    </row>
    <row r="388" spans="7:26" x14ac:dyDescent="0.3">
      <c r="G388" s="27" t="str" cm="1">
        <f t="array" ref="G388">IF($A388="","",IFERROR(_xlfn.TEXTJOIN(CHAR(10)&amp;CHAR(10),TRUE,_xlfn._xlws.FILTER("•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"&amp;Cards!$L$4:$L$1000),(Cards!$A$4:$A$1000&lt;&gt;"")*ISNUMBER(SEARCH($A388,Cards!$E$4:$E$1000)))),"-"))</f>
        <v/>
      </c>
      <c r="Q388" s="30"/>
      <c r="R388" s="27" t="str">
        <f>IF(OR($A388="",LEN(TRIM($O388))=0),"",IF(OR($P388="",$Q388=""),"ระบุ Severity + Impact",IFERROR(INDEX({"Urgent","Urgent","High","High";"Urgent","High","High","Medium";"High","High","Medium","Medium";"Medium","Medium","Low","Low"},MATCH($P388,{"Critical","High","Medium","Low"},0),MATCH($Q388,{"Extensive","Significant","Moderate","Minor"},0)),"-")))</f>
        <v/>
      </c>
      <c r="S388" s="30"/>
      <c r="T388" s="30"/>
      <c r="W388" s="32" t="str">
        <f>IF($A388="","",IF(OR($M388="Out of Scope",$M388="Canceled"),"Out of Scope",IF($M388="Blocked","Blocked",IF(AND($T388&lt;&gt;"Fixed – Retest Passed",OR(LEN(TRIM($O388))&gt;0,LEN(TRIM($P388))&gt;0)),IF(AND(OR($L388="Medium",$L388="Low"),SUMPRODUCT((Cards!$A$4:$A$1000&lt;&gt;"")*ISNUMBER(SEARCH($A388,Cards!$E$4:$E$1000))*(Cards!$F$4:$F$1000&lt;&gt;"Medium")*(Cards!$F$4:$F$1000&lt;&gt;"Low"))=0),"Conditionally Passed","Failed"),IF($M388="Done","Passed","Not Run")))))</f>
        <v/>
      </c>
      <c r="Y388" s="27" t="str" cm="1">
        <f t="array" ref="Y388">IF($A388="","",IF(TRIM($B388)="","-",IFERROR(_xlfn.TEXTJOIN(" / ",TRUE,_xlfn.UNIQUE(_xlfn._xlws.FILTER('Ownership Matrix'!$C$5:$C$200,('Ownership Matrix'!$A$5:$A$200=TRIM($B388))*('Ownership Matrix'!$C$5:$C$200&lt;&gt;"")))),"ไม่พบใน Ownership Matrix")))</f>
        <v/>
      </c>
      <c r="Z388" s="31" t="str">
        <f>IF(NOT(AND($A388&lt;&gt;"",$M388&lt;&gt;"Out of Scope",$M388&lt;&gt;"Canceled",$T388&lt;&gt;"Fixed – Retest Passed",OR(LEN(TRIM($O388))&gt;0,LEN(TRIM($P388))&gt;0))),"",IF(OR($W388="Failed",$R388="Urgent",$R388="High",$R388="ระบุ Severity + Impact"),IF(COUNTIFS(Dashboard!$B$105:$B$124,$O388,Dashboard!$I$105:$I$124,"CAB")&gt;0,"Accepted (CF)","Blocking"),"Deferrable"))</f>
        <v/>
      </c>
    </row>
    <row r="389" spans="7:26" x14ac:dyDescent="0.3">
      <c r="G389" s="27" t="str" cm="1">
        <f t="array" ref="G389">IF($A389="","",IFERROR(_xlfn.TEXTJOIN(CHAR(10)&amp;CHAR(10),TRUE,_xlfn._xlws.FILTER("•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"&amp;Cards!$L$4:$L$1000),(Cards!$A$4:$A$1000&lt;&gt;"")*ISNUMBER(SEARCH($A389,Cards!$E$4:$E$1000)))),"-"))</f>
        <v/>
      </c>
      <c r="Q389" s="30"/>
      <c r="R389" s="27" t="str">
        <f>IF(OR($A389="",LEN(TRIM($O389))=0),"",IF(OR($P389="",$Q389=""),"ระบุ Severity + Impact",IFERROR(INDEX({"Urgent","Urgent","High","High";"Urgent","High","High","Medium";"High","High","Medium","Medium";"Medium","Medium","Low","Low"},MATCH($P389,{"Critical","High","Medium","Low"},0),MATCH($Q389,{"Extensive","Significant","Moderate","Minor"},0)),"-")))</f>
        <v/>
      </c>
      <c r="S389" s="30"/>
      <c r="T389" s="30"/>
      <c r="W389" s="32" t="str">
        <f>IF($A389="","",IF(OR($M389="Out of Scope",$M389="Canceled"),"Out of Scope",IF($M389="Blocked","Blocked",IF(AND($T389&lt;&gt;"Fixed – Retest Passed",OR(LEN(TRIM($O389))&gt;0,LEN(TRIM($P389))&gt;0)),IF(AND(OR($L389="Medium",$L389="Low"),SUMPRODUCT((Cards!$A$4:$A$1000&lt;&gt;"")*ISNUMBER(SEARCH($A389,Cards!$E$4:$E$1000))*(Cards!$F$4:$F$1000&lt;&gt;"Medium")*(Cards!$F$4:$F$1000&lt;&gt;"Low"))=0),"Conditionally Passed","Failed"),IF($M389="Done","Passed","Not Run")))))</f>
        <v/>
      </c>
      <c r="Y389" s="27" t="str" cm="1">
        <f t="array" ref="Y389">IF($A389="","",IF(TRIM($B389)="","-",IFERROR(_xlfn.TEXTJOIN(" / ",TRUE,_xlfn.UNIQUE(_xlfn._xlws.FILTER('Ownership Matrix'!$C$5:$C$200,('Ownership Matrix'!$A$5:$A$200=TRIM($B389))*('Ownership Matrix'!$C$5:$C$200&lt;&gt;"")))),"ไม่พบใน Ownership Matrix")))</f>
        <v/>
      </c>
      <c r="Z389" s="31" t="str">
        <f>IF(NOT(AND($A389&lt;&gt;"",$M389&lt;&gt;"Out of Scope",$M389&lt;&gt;"Canceled",$T389&lt;&gt;"Fixed – Retest Passed",OR(LEN(TRIM($O389))&gt;0,LEN(TRIM($P389))&gt;0))),"",IF(OR($W389="Failed",$R389="Urgent",$R389="High",$R389="ระบุ Severity + Impact"),IF(COUNTIFS(Dashboard!$B$105:$B$124,$O389,Dashboard!$I$105:$I$124,"CAB")&gt;0,"Accepted (CF)","Blocking"),"Deferrable"))</f>
        <v/>
      </c>
    </row>
    <row r="390" spans="7:26" x14ac:dyDescent="0.3">
      <c r="G390" s="27" t="str" cm="1">
        <f t="array" ref="G390">IF($A390="","",IFERROR(_xlfn.TEXTJOIN(CHAR(10)&amp;CHAR(10),TRUE,_xlfn._xlws.FILTER("•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"&amp;Cards!$L$4:$L$1000),(Cards!$A$4:$A$1000&lt;&gt;"")*ISNUMBER(SEARCH($A390,Cards!$E$4:$E$1000)))),"-"))</f>
        <v/>
      </c>
      <c r="Q390" s="30"/>
      <c r="R390" s="27" t="str">
        <f>IF(OR($A390="",LEN(TRIM($O390))=0),"",IF(OR($P390="",$Q390=""),"ระบุ Severity + Impact",IFERROR(INDEX({"Urgent","Urgent","High","High";"Urgent","High","High","Medium";"High","High","Medium","Medium";"Medium","Medium","Low","Low"},MATCH($P390,{"Critical","High","Medium","Low"},0),MATCH($Q390,{"Extensive","Significant","Moderate","Minor"},0)),"-")))</f>
        <v/>
      </c>
      <c r="S390" s="30"/>
      <c r="T390" s="30"/>
      <c r="W390" s="32" t="str">
        <f>IF($A390="","",IF(OR($M390="Out of Scope",$M390="Canceled"),"Out of Scope",IF($M390="Blocked","Blocked",IF(AND($T390&lt;&gt;"Fixed – Retest Passed",OR(LEN(TRIM($O390))&gt;0,LEN(TRIM($P390))&gt;0)),IF(AND(OR($L390="Medium",$L390="Low"),SUMPRODUCT((Cards!$A$4:$A$1000&lt;&gt;"")*ISNUMBER(SEARCH($A390,Cards!$E$4:$E$1000))*(Cards!$F$4:$F$1000&lt;&gt;"Medium")*(Cards!$F$4:$F$1000&lt;&gt;"Low"))=0),"Conditionally Passed","Failed"),IF($M390="Done","Passed","Not Run")))))</f>
        <v/>
      </c>
      <c r="Y390" s="27" t="str" cm="1">
        <f t="array" ref="Y390">IF($A390="","",IF(TRIM($B390)="","-",IFERROR(_xlfn.TEXTJOIN(" / ",TRUE,_xlfn.UNIQUE(_xlfn._xlws.FILTER('Ownership Matrix'!$C$5:$C$200,('Ownership Matrix'!$A$5:$A$200=TRIM($B390))*('Ownership Matrix'!$C$5:$C$200&lt;&gt;"")))),"ไม่พบใน Ownership Matrix")))</f>
        <v/>
      </c>
      <c r="Z390" s="31" t="str">
        <f>IF(NOT(AND($A390&lt;&gt;"",$M390&lt;&gt;"Out of Scope",$M390&lt;&gt;"Canceled",$T390&lt;&gt;"Fixed – Retest Passed",OR(LEN(TRIM($O390))&gt;0,LEN(TRIM($P390))&gt;0))),"",IF(OR($W390="Failed",$R390="Urgent",$R390="High",$R390="ระบุ Severity + Impact"),IF(COUNTIFS(Dashboard!$B$105:$B$124,$O390,Dashboard!$I$105:$I$124,"CAB")&gt;0,"Accepted (CF)","Blocking"),"Deferrable"))</f>
        <v/>
      </c>
    </row>
    <row r="391" spans="7:26" x14ac:dyDescent="0.3">
      <c r="G391" s="27" t="str" cm="1">
        <f t="array" ref="G391">IF($A391="","",IFERROR(_xlfn.TEXTJOIN(CHAR(10)&amp;CHAR(10),TRUE,_xlfn._xlws.FILTER("•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"&amp;Cards!$L$4:$L$1000),(Cards!$A$4:$A$1000&lt;&gt;"")*ISNUMBER(SEARCH($A391,Cards!$E$4:$E$1000)))),"-"))</f>
        <v/>
      </c>
      <c r="Q391" s="30"/>
      <c r="R391" s="27" t="str">
        <f>IF(OR($A391="",LEN(TRIM($O391))=0),"",IF(OR($P391="",$Q391=""),"ระบุ Severity + Impact",IFERROR(INDEX({"Urgent","Urgent","High","High";"Urgent","High","High","Medium";"High","High","Medium","Medium";"Medium","Medium","Low","Low"},MATCH($P391,{"Critical","High","Medium","Low"},0),MATCH($Q391,{"Extensive","Significant","Moderate","Minor"},0)),"-")))</f>
        <v/>
      </c>
      <c r="S391" s="30"/>
      <c r="T391" s="30"/>
      <c r="W391" s="32" t="str">
        <f>IF($A391="","",IF(OR($M391="Out of Scope",$M391="Canceled"),"Out of Scope",IF($M391="Blocked","Blocked",IF(AND($T391&lt;&gt;"Fixed – Retest Passed",OR(LEN(TRIM($O391))&gt;0,LEN(TRIM($P391))&gt;0)),IF(AND(OR($L391="Medium",$L391="Low"),SUMPRODUCT((Cards!$A$4:$A$1000&lt;&gt;"")*ISNUMBER(SEARCH($A391,Cards!$E$4:$E$1000))*(Cards!$F$4:$F$1000&lt;&gt;"Medium")*(Cards!$F$4:$F$1000&lt;&gt;"Low"))=0),"Conditionally Passed","Failed"),IF($M391="Done","Passed","Not Run")))))</f>
        <v/>
      </c>
      <c r="Y391" s="27" t="str" cm="1">
        <f t="array" ref="Y391">IF($A391="","",IF(TRIM($B391)="","-",IFERROR(_xlfn.TEXTJOIN(" / ",TRUE,_xlfn.UNIQUE(_xlfn._xlws.FILTER('Ownership Matrix'!$C$5:$C$200,('Ownership Matrix'!$A$5:$A$200=TRIM($B391))*('Ownership Matrix'!$C$5:$C$200&lt;&gt;"")))),"ไม่พบใน Ownership Matrix")))</f>
        <v/>
      </c>
      <c r="Z391" s="31" t="str">
        <f>IF(NOT(AND($A391&lt;&gt;"",$M391&lt;&gt;"Out of Scope",$M391&lt;&gt;"Canceled",$T391&lt;&gt;"Fixed – Retest Passed",OR(LEN(TRIM($O391))&gt;0,LEN(TRIM($P391))&gt;0))),"",IF(OR($W391="Failed",$R391="Urgent",$R391="High",$R391="ระบุ Severity + Impact"),IF(COUNTIFS(Dashboard!$B$105:$B$124,$O391,Dashboard!$I$105:$I$124,"CAB")&gt;0,"Accepted (CF)","Blocking"),"Deferrable"))</f>
        <v/>
      </c>
    </row>
    <row r="392" spans="7:26" x14ac:dyDescent="0.3">
      <c r="G392" s="27" t="str" cm="1">
        <f t="array" ref="G392">IF($A392="","",IFERROR(_xlfn.TEXTJOIN(CHAR(10)&amp;CHAR(10),TRUE,_xlfn._xlws.FILTER("•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"&amp;Cards!$L$4:$L$1000),(Cards!$A$4:$A$1000&lt;&gt;"")*ISNUMBER(SEARCH($A392,Cards!$E$4:$E$1000)))),"-"))</f>
        <v/>
      </c>
      <c r="Q392" s="30"/>
      <c r="R392" s="27" t="str">
        <f>IF(OR($A392="",LEN(TRIM($O392))=0),"",IF(OR($P392="",$Q392=""),"ระบุ Severity + Impact",IFERROR(INDEX({"Urgent","Urgent","High","High";"Urgent","High","High","Medium";"High","High","Medium","Medium";"Medium","Medium","Low","Low"},MATCH($P392,{"Critical","High","Medium","Low"},0),MATCH($Q392,{"Extensive","Significant","Moderate","Minor"},0)),"-")))</f>
        <v/>
      </c>
      <c r="S392" s="30"/>
      <c r="T392" s="30"/>
      <c r="W392" s="32" t="str">
        <f>IF($A392="","",IF(OR($M392="Out of Scope",$M392="Canceled"),"Out of Scope",IF($M392="Blocked","Blocked",IF(AND($T392&lt;&gt;"Fixed – Retest Passed",OR(LEN(TRIM($O392))&gt;0,LEN(TRIM($P392))&gt;0)),IF(AND(OR($L392="Medium",$L392="Low"),SUMPRODUCT((Cards!$A$4:$A$1000&lt;&gt;"")*ISNUMBER(SEARCH($A392,Cards!$E$4:$E$1000))*(Cards!$F$4:$F$1000&lt;&gt;"Medium")*(Cards!$F$4:$F$1000&lt;&gt;"Low"))=0),"Conditionally Passed","Failed"),IF($M392="Done","Passed","Not Run")))))</f>
        <v/>
      </c>
      <c r="Y392" s="27" t="str" cm="1">
        <f t="array" ref="Y392">IF($A392="","",IF(TRIM($B392)="","-",IFERROR(_xlfn.TEXTJOIN(" / ",TRUE,_xlfn.UNIQUE(_xlfn._xlws.FILTER('Ownership Matrix'!$C$5:$C$200,('Ownership Matrix'!$A$5:$A$200=TRIM($B392))*('Ownership Matrix'!$C$5:$C$200&lt;&gt;"")))),"ไม่พบใน Ownership Matrix")))</f>
        <v/>
      </c>
      <c r="Z392" s="31" t="str">
        <f>IF(NOT(AND($A392&lt;&gt;"",$M392&lt;&gt;"Out of Scope",$M392&lt;&gt;"Canceled",$T392&lt;&gt;"Fixed – Retest Passed",OR(LEN(TRIM($O392))&gt;0,LEN(TRIM($P392))&gt;0))),"",IF(OR($W392="Failed",$R392="Urgent",$R392="High",$R392="ระบุ Severity + Impact"),IF(COUNTIFS(Dashboard!$B$105:$B$124,$O392,Dashboard!$I$105:$I$124,"CAB")&gt;0,"Accepted (CF)","Blocking"),"Deferrable"))</f>
        <v/>
      </c>
    </row>
    <row r="393" spans="7:26" x14ac:dyDescent="0.3">
      <c r="G393" s="27" t="str" cm="1">
        <f t="array" ref="G393">IF($A393="","",IFERROR(_xlfn.TEXTJOIN(CHAR(10)&amp;CHAR(10),TRUE,_xlfn._xlws.FILTER("•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"&amp;Cards!$L$4:$L$1000),(Cards!$A$4:$A$1000&lt;&gt;"")*ISNUMBER(SEARCH($A393,Cards!$E$4:$E$1000)))),"-"))</f>
        <v/>
      </c>
      <c r="Q393" s="30"/>
      <c r="R393" s="27" t="str">
        <f>IF(OR($A393="",LEN(TRIM($O393))=0),"",IF(OR($P393="",$Q393=""),"ระบุ Severity + Impact",IFERROR(INDEX({"Urgent","Urgent","High","High";"Urgent","High","High","Medium";"High","High","Medium","Medium";"Medium","Medium","Low","Low"},MATCH($P393,{"Critical","High","Medium","Low"},0),MATCH($Q393,{"Extensive","Significant","Moderate","Minor"},0)),"-")))</f>
        <v/>
      </c>
      <c r="S393" s="30"/>
      <c r="T393" s="30"/>
      <c r="W393" s="32" t="str">
        <f>IF($A393="","",IF(OR($M393="Out of Scope",$M393="Canceled"),"Out of Scope",IF($M393="Blocked","Blocked",IF(AND($T393&lt;&gt;"Fixed – Retest Passed",OR(LEN(TRIM($O393))&gt;0,LEN(TRIM($P393))&gt;0)),IF(AND(OR($L393="Medium",$L393="Low"),SUMPRODUCT((Cards!$A$4:$A$1000&lt;&gt;"")*ISNUMBER(SEARCH($A393,Cards!$E$4:$E$1000))*(Cards!$F$4:$F$1000&lt;&gt;"Medium")*(Cards!$F$4:$F$1000&lt;&gt;"Low"))=0),"Conditionally Passed","Failed"),IF($M393="Done","Passed","Not Run")))))</f>
        <v/>
      </c>
      <c r="Y393" s="27" t="str" cm="1">
        <f t="array" ref="Y393">IF($A393="","",IF(TRIM($B393)="","-",IFERROR(_xlfn.TEXTJOIN(" / ",TRUE,_xlfn.UNIQUE(_xlfn._xlws.FILTER('Ownership Matrix'!$C$5:$C$200,('Ownership Matrix'!$A$5:$A$200=TRIM($B393))*('Ownership Matrix'!$C$5:$C$200&lt;&gt;"")))),"ไม่พบใน Ownership Matrix")))</f>
        <v/>
      </c>
      <c r="Z393" s="31" t="str">
        <f>IF(NOT(AND($A393&lt;&gt;"",$M393&lt;&gt;"Out of Scope",$M393&lt;&gt;"Canceled",$T393&lt;&gt;"Fixed – Retest Passed",OR(LEN(TRIM($O393))&gt;0,LEN(TRIM($P393))&gt;0))),"",IF(OR($W393="Failed",$R393="Urgent",$R393="High",$R393="ระบุ Severity + Impact"),IF(COUNTIFS(Dashboard!$B$105:$B$124,$O393,Dashboard!$I$105:$I$124,"CAB")&gt;0,"Accepted (CF)","Blocking"),"Deferrable"))</f>
        <v/>
      </c>
    </row>
    <row r="394" spans="7:26" x14ac:dyDescent="0.3">
      <c r="G394" s="27" t="str" cm="1">
        <f t="array" ref="G394">IF($A394="","",IFERROR(_xlfn.TEXTJOIN(CHAR(10)&amp;CHAR(10),TRUE,_xlfn._xlws.FILTER("•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"&amp;Cards!$L$4:$L$1000),(Cards!$A$4:$A$1000&lt;&gt;"")*ISNUMBER(SEARCH($A394,Cards!$E$4:$E$1000)))),"-"))</f>
        <v/>
      </c>
      <c r="Q394" s="30"/>
      <c r="R394" s="27" t="str">
        <f>IF(OR($A394="",LEN(TRIM($O394))=0),"",IF(OR($P394="",$Q394=""),"ระบุ Severity + Impact",IFERROR(INDEX({"Urgent","Urgent","High","High";"Urgent","High","High","Medium";"High","High","Medium","Medium";"Medium","Medium","Low","Low"},MATCH($P394,{"Critical","High","Medium","Low"},0),MATCH($Q394,{"Extensive","Significant","Moderate","Minor"},0)),"-")))</f>
        <v/>
      </c>
      <c r="S394" s="30"/>
      <c r="T394" s="30"/>
      <c r="W394" s="32" t="str">
        <f>IF($A394="","",IF(OR($M394="Out of Scope",$M394="Canceled"),"Out of Scope",IF($M394="Blocked","Blocked",IF(AND($T394&lt;&gt;"Fixed – Retest Passed",OR(LEN(TRIM($O394))&gt;0,LEN(TRIM($P394))&gt;0)),IF(AND(OR($L394="Medium",$L394="Low"),SUMPRODUCT((Cards!$A$4:$A$1000&lt;&gt;"")*ISNUMBER(SEARCH($A394,Cards!$E$4:$E$1000))*(Cards!$F$4:$F$1000&lt;&gt;"Medium")*(Cards!$F$4:$F$1000&lt;&gt;"Low"))=0),"Conditionally Passed","Failed"),IF($M394="Done","Passed","Not Run")))))</f>
        <v/>
      </c>
      <c r="Y394" s="27" t="str" cm="1">
        <f t="array" ref="Y394">IF($A394="","",IF(TRIM($B394)="","-",IFERROR(_xlfn.TEXTJOIN(" / ",TRUE,_xlfn.UNIQUE(_xlfn._xlws.FILTER('Ownership Matrix'!$C$5:$C$200,('Ownership Matrix'!$A$5:$A$200=TRIM($B394))*('Ownership Matrix'!$C$5:$C$200&lt;&gt;"")))),"ไม่พบใน Ownership Matrix")))</f>
        <v/>
      </c>
      <c r="Z394" s="31" t="str">
        <f>IF(NOT(AND($A394&lt;&gt;"",$M394&lt;&gt;"Out of Scope",$M394&lt;&gt;"Canceled",$T394&lt;&gt;"Fixed – Retest Passed",OR(LEN(TRIM($O394))&gt;0,LEN(TRIM($P394))&gt;0))),"",IF(OR($W394="Failed",$R394="Urgent",$R394="High",$R394="ระบุ Severity + Impact"),IF(COUNTIFS(Dashboard!$B$105:$B$124,$O394,Dashboard!$I$105:$I$124,"CAB")&gt;0,"Accepted (CF)","Blocking"),"Deferrable"))</f>
        <v/>
      </c>
    </row>
    <row r="395" spans="7:26" x14ac:dyDescent="0.3">
      <c r="G395" s="27" t="str" cm="1">
        <f t="array" ref="G395">IF($A395="","",IFERROR(_xlfn.TEXTJOIN(CHAR(10)&amp;CHAR(10),TRUE,_xlfn._xlws.FILTER("•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"&amp;Cards!$L$4:$L$1000),(Cards!$A$4:$A$1000&lt;&gt;"")*ISNUMBER(SEARCH($A395,Cards!$E$4:$E$1000)))),"-"))</f>
        <v/>
      </c>
      <c r="Q395" s="30"/>
      <c r="R395" s="27" t="str">
        <f>IF(OR($A395="",LEN(TRIM($O395))=0),"",IF(OR($P395="",$Q395=""),"ระบุ Severity + Impact",IFERROR(INDEX({"Urgent","Urgent","High","High";"Urgent","High","High","Medium";"High","High","Medium","Medium";"Medium","Medium","Low","Low"},MATCH($P395,{"Critical","High","Medium","Low"},0),MATCH($Q395,{"Extensive","Significant","Moderate","Minor"},0)),"-")))</f>
        <v/>
      </c>
      <c r="S395" s="30"/>
      <c r="T395" s="30"/>
      <c r="W395" s="32" t="str">
        <f>IF($A395="","",IF(OR($M395="Out of Scope",$M395="Canceled"),"Out of Scope",IF($M395="Blocked","Blocked",IF(AND($T395&lt;&gt;"Fixed – Retest Passed",OR(LEN(TRIM($O395))&gt;0,LEN(TRIM($P395))&gt;0)),IF(AND(OR($L395="Medium",$L395="Low"),SUMPRODUCT((Cards!$A$4:$A$1000&lt;&gt;"")*ISNUMBER(SEARCH($A395,Cards!$E$4:$E$1000))*(Cards!$F$4:$F$1000&lt;&gt;"Medium")*(Cards!$F$4:$F$1000&lt;&gt;"Low"))=0),"Conditionally Passed","Failed"),IF($M395="Done","Passed","Not Run")))))</f>
        <v/>
      </c>
      <c r="Y395" s="27" t="str" cm="1">
        <f t="array" ref="Y395">IF($A395="","",IF(TRIM($B395)="","-",IFERROR(_xlfn.TEXTJOIN(" / ",TRUE,_xlfn.UNIQUE(_xlfn._xlws.FILTER('Ownership Matrix'!$C$5:$C$200,('Ownership Matrix'!$A$5:$A$200=TRIM($B395))*('Ownership Matrix'!$C$5:$C$200&lt;&gt;"")))),"ไม่พบใน Ownership Matrix")))</f>
        <v/>
      </c>
      <c r="Z395" s="31" t="str">
        <f>IF(NOT(AND($A395&lt;&gt;"",$M395&lt;&gt;"Out of Scope",$M395&lt;&gt;"Canceled",$T395&lt;&gt;"Fixed – Retest Passed",OR(LEN(TRIM($O395))&gt;0,LEN(TRIM($P395))&gt;0))),"",IF(OR($W395="Failed",$R395="Urgent",$R395="High",$R395="ระบุ Severity + Impact"),IF(COUNTIFS(Dashboard!$B$105:$B$124,$O395,Dashboard!$I$105:$I$124,"CAB")&gt;0,"Accepted (CF)","Blocking"),"Deferrable"))</f>
        <v/>
      </c>
    </row>
    <row r="396" spans="7:26" x14ac:dyDescent="0.3">
      <c r="G396" s="27" t="str" cm="1">
        <f t="array" ref="G396">IF($A396="","",IFERROR(_xlfn.TEXTJOIN(CHAR(10)&amp;CHAR(10),TRUE,_xlfn._xlws.FILTER("•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"&amp;Cards!$L$4:$L$1000),(Cards!$A$4:$A$1000&lt;&gt;"")*ISNUMBER(SEARCH($A396,Cards!$E$4:$E$1000)))),"-"))</f>
        <v/>
      </c>
      <c r="Q396" s="30"/>
      <c r="R396" s="27" t="str">
        <f>IF(OR($A396="",LEN(TRIM($O396))=0),"",IF(OR($P396="",$Q396=""),"ระบุ Severity + Impact",IFERROR(INDEX({"Urgent","Urgent","High","High";"Urgent","High","High","Medium";"High","High","Medium","Medium";"Medium","Medium","Low","Low"},MATCH($P396,{"Critical","High","Medium","Low"},0),MATCH($Q396,{"Extensive","Significant","Moderate","Minor"},0)),"-")))</f>
        <v/>
      </c>
      <c r="S396" s="30"/>
      <c r="T396" s="30"/>
      <c r="W396" s="32" t="str">
        <f>IF($A396="","",IF(OR($M396="Out of Scope",$M396="Canceled"),"Out of Scope",IF($M396="Blocked","Blocked",IF(AND($T396&lt;&gt;"Fixed – Retest Passed",OR(LEN(TRIM($O396))&gt;0,LEN(TRIM($P396))&gt;0)),IF(AND(OR($L396="Medium",$L396="Low"),SUMPRODUCT((Cards!$A$4:$A$1000&lt;&gt;"")*ISNUMBER(SEARCH($A396,Cards!$E$4:$E$1000))*(Cards!$F$4:$F$1000&lt;&gt;"Medium")*(Cards!$F$4:$F$1000&lt;&gt;"Low"))=0),"Conditionally Passed","Failed"),IF($M396="Done","Passed","Not Run")))))</f>
        <v/>
      </c>
      <c r="Y396" s="27" t="str" cm="1">
        <f t="array" ref="Y396">IF($A396="","",IF(TRIM($B396)="","-",IFERROR(_xlfn.TEXTJOIN(" / ",TRUE,_xlfn.UNIQUE(_xlfn._xlws.FILTER('Ownership Matrix'!$C$5:$C$200,('Ownership Matrix'!$A$5:$A$200=TRIM($B396))*('Ownership Matrix'!$C$5:$C$200&lt;&gt;"")))),"ไม่พบใน Ownership Matrix")))</f>
        <v/>
      </c>
      <c r="Z396" s="31" t="str">
        <f>IF(NOT(AND($A396&lt;&gt;"",$M396&lt;&gt;"Out of Scope",$M396&lt;&gt;"Canceled",$T396&lt;&gt;"Fixed – Retest Passed",OR(LEN(TRIM($O396))&gt;0,LEN(TRIM($P396))&gt;0))),"",IF(OR($W396="Failed",$R396="Urgent",$R396="High",$R396="ระบุ Severity + Impact"),IF(COUNTIFS(Dashboard!$B$105:$B$124,$O396,Dashboard!$I$105:$I$124,"CAB")&gt;0,"Accepted (CF)","Blocking"),"Deferrable"))</f>
        <v/>
      </c>
    </row>
    <row r="397" spans="7:26" x14ac:dyDescent="0.3">
      <c r="G397" s="27" t="str" cm="1">
        <f t="array" ref="G397">IF($A397="","",IFERROR(_xlfn.TEXTJOIN(CHAR(10)&amp;CHAR(10),TRUE,_xlfn._xlws.FILTER("•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"&amp;Cards!$L$4:$L$1000),(Cards!$A$4:$A$1000&lt;&gt;"")*ISNUMBER(SEARCH($A397,Cards!$E$4:$E$1000)))),"-"))</f>
        <v/>
      </c>
      <c r="Q397" s="30"/>
      <c r="R397" s="27" t="str">
        <f>IF(OR($A397="",LEN(TRIM($O397))=0),"",IF(OR($P397="",$Q397=""),"ระบุ Severity + Impact",IFERROR(INDEX({"Urgent","Urgent","High","High";"Urgent","High","High","Medium";"High","High","Medium","Medium";"Medium","Medium","Low","Low"},MATCH($P397,{"Critical","High","Medium","Low"},0),MATCH($Q397,{"Extensive","Significant","Moderate","Minor"},0)),"-")))</f>
        <v/>
      </c>
      <c r="S397" s="30"/>
      <c r="T397" s="30"/>
      <c r="W397" s="32" t="str">
        <f>IF($A397="","",IF(OR($M397="Out of Scope",$M397="Canceled"),"Out of Scope",IF($M397="Blocked","Blocked",IF(AND($T397&lt;&gt;"Fixed – Retest Passed",OR(LEN(TRIM($O397))&gt;0,LEN(TRIM($P397))&gt;0)),IF(AND(OR($L397="Medium",$L397="Low"),SUMPRODUCT((Cards!$A$4:$A$1000&lt;&gt;"")*ISNUMBER(SEARCH($A397,Cards!$E$4:$E$1000))*(Cards!$F$4:$F$1000&lt;&gt;"Medium")*(Cards!$F$4:$F$1000&lt;&gt;"Low"))=0),"Conditionally Passed","Failed"),IF($M397="Done","Passed","Not Run")))))</f>
        <v/>
      </c>
      <c r="Y397" s="27" t="str" cm="1">
        <f t="array" ref="Y397">IF($A397="","",IF(TRIM($B397)="","-",IFERROR(_xlfn.TEXTJOIN(" / ",TRUE,_xlfn.UNIQUE(_xlfn._xlws.FILTER('Ownership Matrix'!$C$5:$C$200,('Ownership Matrix'!$A$5:$A$200=TRIM($B397))*('Ownership Matrix'!$C$5:$C$200&lt;&gt;"")))),"ไม่พบใน Ownership Matrix")))</f>
        <v/>
      </c>
      <c r="Z397" s="31" t="str">
        <f>IF(NOT(AND($A397&lt;&gt;"",$M397&lt;&gt;"Out of Scope",$M397&lt;&gt;"Canceled",$T397&lt;&gt;"Fixed – Retest Passed",OR(LEN(TRIM($O397))&gt;0,LEN(TRIM($P397))&gt;0))),"",IF(OR($W397="Failed",$R397="Urgent",$R397="High",$R397="ระบุ Severity + Impact"),IF(COUNTIFS(Dashboard!$B$105:$B$124,$O397,Dashboard!$I$105:$I$124,"CAB")&gt;0,"Accepted (CF)","Blocking"),"Deferrable"))</f>
        <v/>
      </c>
    </row>
    <row r="398" spans="7:26" x14ac:dyDescent="0.3">
      <c r="G398" s="27" t="str" cm="1">
        <f t="array" ref="G398">IF($A398="","",IFERROR(_xlfn.TEXTJOIN(CHAR(10)&amp;CHAR(10),TRUE,_xlfn._xlws.FILTER("•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"&amp;Cards!$L$4:$L$1000),(Cards!$A$4:$A$1000&lt;&gt;"")*ISNUMBER(SEARCH($A398,Cards!$E$4:$E$1000)))),"-"))</f>
        <v/>
      </c>
      <c r="Q398" s="30"/>
      <c r="R398" s="27" t="str">
        <f>IF(OR($A398="",LEN(TRIM($O398))=0),"",IF(OR($P398="",$Q398=""),"ระบุ Severity + Impact",IFERROR(INDEX({"Urgent","Urgent","High","High";"Urgent","High","High","Medium";"High","High","Medium","Medium";"Medium","Medium","Low","Low"},MATCH($P398,{"Critical","High","Medium","Low"},0),MATCH($Q398,{"Extensive","Significant","Moderate","Minor"},0)),"-")))</f>
        <v/>
      </c>
      <c r="S398" s="30"/>
      <c r="T398" s="30"/>
      <c r="W398" s="32" t="str">
        <f>IF($A398="","",IF(OR($M398="Out of Scope",$M398="Canceled"),"Out of Scope",IF($M398="Blocked","Blocked",IF(AND($T398&lt;&gt;"Fixed – Retest Passed",OR(LEN(TRIM($O398))&gt;0,LEN(TRIM($P398))&gt;0)),IF(AND(OR($L398="Medium",$L398="Low"),SUMPRODUCT((Cards!$A$4:$A$1000&lt;&gt;"")*ISNUMBER(SEARCH($A398,Cards!$E$4:$E$1000))*(Cards!$F$4:$F$1000&lt;&gt;"Medium")*(Cards!$F$4:$F$1000&lt;&gt;"Low"))=0),"Conditionally Passed","Failed"),IF($M398="Done","Passed","Not Run")))))</f>
        <v/>
      </c>
      <c r="Y398" s="27" t="str" cm="1">
        <f t="array" ref="Y398">IF($A398="","",IF(TRIM($B398)="","-",IFERROR(_xlfn.TEXTJOIN(" / ",TRUE,_xlfn.UNIQUE(_xlfn._xlws.FILTER('Ownership Matrix'!$C$5:$C$200,('Ownership Matrix'!$A$5:$A$200=TRIM($B398))*('Ownership Matrix'!$C$5:$C$200&lt;&gt;"")))),"ไม่พบใน Ownership Matrix")))</f>
        <v/>
      </c>
      <c r="Z398" s="31" t="str">
        <f>IF(NOT(AND($A398&lt;&gt;"",$M398&lt;&gt;"Out of Scope",$M398&lt;&gt;"Canceled",$T398&lt;&gt;"Fixed – Retest Passed",OR(LEN(TRIM($O398))&gt;0,LEN(TRIM($P398))&gt;0))),"",IF(OR($W398="Failed",$R398="Urgent",$R398="High",$R398="ระบุ Severity + Impact"),IF(COUNTIFS(Dashboard!$B$105:$B$124,$O398,Dashboard!$I$105:$I$124,"CAB")&gt;0,"Accepted (CF)","Blocking"),"Deferrable"))</f>
        <v/>
      </c>
    </row>
    <row r="399" spans="7:26" x14ac:dyDescent="0.3">
      <c r="G399" s="27" t="str" cm="1">
        <f t="array" ref="G399">IF($A399="","",IFERROR(_xlfn.TEXTJOIN(CHAR(10)&amp;CHAR(10),TRUE,_xlfn._xlws.FILTER("•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"&amp;Cards!$L$4:$L$1000),(Cards!$A$4:$A$1000&lt;&gt;"")*ISNUMBER(SEARCH($A399,Cards!$E$4:$E$1000)))),"-"))</f>
        <v/>
      </c>
      <c r="Q399" s="30"/>
      <c r="R399" s="27" t="str">
        <f>IF(OR($A399="",LEN(TRIM($O399))=0),"",IF(OR($P399="",$Q399=""),"ระบุ Severity + Impact",IFERROR(INDEX({"Urgent","Urgent","High","High";"Urgent","High","High","Medium";"High","High","Medium","Medium";"Medium","Medium","Low","Low"},MATCH($P399,{"Critical","High","Medium","Low"},0),MATCH($Q399,{"Extensive","Significant","Moderate","Minor"},0)),"-")))</f>
        <v/>
      </c>
      <c r="S399" s="30"/>
      <c r="T399" s="30"/>
      <c r="W399" s="32" t="str">
        <f>IF($A399="","",IF(OR($M399="Out of Scope",$M399="Canceled"),"Out of Scope",IF($M399="Blocked","Blocked",IF(AND($T399&lt;&gt;"Fixed – Retest Passed",OR(LEN(TRIM($O399))&gt;0,LEN(TRIM($P399))&gt;0)),IF(AND(OR($L399="Medium",$L399="Low"),SUMPRODUCT((Cards!$A$4:$A$1000&lt;&gt;"")*ISNUMBER(SEARCH($A399,Cards!$E$4:$E$1000))*(Cards!$F$4:$F$1000&lt;&gt;"Medium")*(Cards!$F$4:$F$1000&lt;&gt;"Low"))=0),"Conditionally Passed","Failed"),IF($M399="Done","Passed","Not Run")))))</f>
        <v/>
      </c>
      <c r="Y399" s="27" t="str" cm="1">
        <f t="array" ref="Y399">IF($A399="","",IF(TRIM($B399)="","-",IFERROR(_xlfn.TEXTJOIN(" / ",TRUE,_xlfn.UNIQUE(_xlfn._xlws.FILTER('Ownership Matrix'!$C$5:$C$200,('Ownership Matrix'!$A$5:$A$200=TRIM($B399))*('Ownership Matrix'!$C$5:$C$200&lt;&gt;"")))),"ไม่พบใน Ownership Matrix")))</f>
        <v/>
      </c>
      <c r="Z399" s="31" t="str">
        <f>IF(NOT(AND($A399&lt;&gt;"",$M399&lt;&gt;"Out of Scope",$M399&lt;&gt;"Canceled",$T399&lt;&gt;"Fixed – Retest Passed",OR(LEN(TRIM($O399))&gt;0,LEN(TRIM($P399))&gt;0))),"",IF(OR($W399="Failed",$R399="Urgent",$R399="High",$R399="ระบุ Severity + Impact"),IF(COUNTIFS(Dashboard!$B$105:$B$124,$O399,Dashboard!$I$105:$I$124,"CAB")&gt;0,"Accepted (CF)","Blocking"),"Deferrable"))</f>
        <v/>
      </c>
    </row>
    <row r="400" spans="7:26" x14ac:dyDescent="0.3">
      <c r="G400" s="27" t="str" cm="1">
        <f t="array" ref="G400">IF($A400="","",IFERROR(_xlfn.TEXTJOIN(CHAR(10)&amp;CHAR(10),TRUE,_xlfn._xlws.FILTER("•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"&amp;Cards!$L$4:$L$1000),(Cards!$A$4:$A$1000&lt;&gt;"")*ISNUMBER(SEARCH($A400,Cards!$E$4:$E$1000)))),"-"))</f>
        <v/>
      </c>
      <c r="Q400" s="30"/>
      <c r="R400" s="27" t="str">
        <f>IF(OR($A400="",LEN(TRIM($O400))=0),"",IF(OR($P400="",$Q400=""),"ระบุ Severity + Impact",IFERROR(INDEX({"Urgent","Urgent","High","High";"Urgent","High","High","Medium";"High","High","Medium","Medium";"Medium","Medium","Low","Low"},MATCH($P400,{"Critical","High","Medium","Low"},0),MATCH($Q400,{"Extensive","Significant","Moderate","Minor"},0)),"-")))</f>
        <v/>
      </c>
      <c r="S400" s="30"/>
      <c r="T400" s="30"/>
      <c r="W400" s="32" t="str">
        <f>IF($A400="","",IF(OR($M400="Out of Scope",$M400="Canceled"),"Out of Scope",IF($M400="Blocked","Blocked",IF(AND($T400&lt;&gt;"Fixed – Retest Passed",OR(LEN(TRIM($O400))&gt;0,LEN(TRIM($P400))&gt;0)),IF(AND(OR($L400="Medium",$L400="Low"),SUMPRODUCT((Cards!$A$4:$A$1000&lt;&gt;"")*ISNUMBER(SEARCH($A400,Cards!$E$4:$E$1000))*(Cards!$F$4:$F$1000&lt;&gt;"Medium")*(Cards!$F$4:$F$1000&lt;&gt;"Low"))=0),"Conditionally Passed","Failed"),IF($M400="Done","Passed","Not Run")))))</f>
        <v/>
      </c>
      <c r="Y400" s="27" t="str" cm="1">
        <f t="array" ref="Y400">IF($A400="","",IF(TRIM($B400)="","-",IFERROR(_xlfn.TEXTJOIN(" / ",TRUE,_xlfn.UNIQUE(_xlfn._xlws.FILTER('Ownership Matrix'!$C$5:$C$200,('Ownership Matrix'!$A$5:$A$200=TRIM($B400))*('Ownership Matrix'!$C$5:$C$200&lt;&gt;"")))),"ไม่พบใน Ownership Matrix")))</f>
        <v/>
      </c>
      <c r="Z400" s="31" t="str">
        <f>IF(NOT(AND($A400&lt;&gt;"",$M400&lt;&gt;"Out of Scope",$M400&lt;&gt;"Canceled",$T400&lt;&gt;"Fixed – Retest Passed",OR(LEN(TRIM($O400))&gt;0,LEN(TRIM($P400))&gt;0))),"",IF(OR($W400="Failed",$R400="Urgent",$R400="High",$R400="ระบุ Severity + Impact"),IF(COUNTIFS(Dashboard!$B$105:$B$124,$O400,Dashboard!$I$105:$I$124,"CAB")&gt;0,"Accepted (CF)","Blocking"),"Deferrable"))</f>
        <v/>
      </c>
    </row>
    <row r="401" spans="7:26" x14ac:dyDescent="0.3">
      <c r="G401" s="27" t="str" cm="1">
        <f t="array" ref="G401">IF($A401="","",IFERROR(_xlfn.TEXTJOIN(CHAR(10)&amp;CHAR(10),TRUE,_xlfn._xlws.FILTER("•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"&amp;Cards!$L$4:$L$1000),(Cards!$A$4:$A$1000&lt;&gt;"")*ISNUMBER(SEARCH($A401,Cards!$E$4:$E$1000)))),"-"))</f>
        <v/>
      </c>
      <c r="Q401" s="30"/>
      <c r="R401" s="27" t="str">
        <f>IF(OR($A401="",LEN(TRIM($O401))=0),"",IF(OR($P401="",$Q401=""),"ระบุ Severity + Impact",IFERROR(INDEX({"Urgent","Urgent","High","High";"Urgent","High","High","Medium";"High","High","Medium","Medium";"Medium","Medium","Low","Low"},MATCH($P401,{"Critical","High","Medium","Low"},0),MATCH($Q401,{"Extensive","Significant","Moderate","Minor"},0)),"-")))</f>
        <v/>
      </c>
      <c r="S401" s="30"/>
      <c r="T401" s="30"/>
      <c r="W401" s="32" t="str">
        <f>IF($A401="","",IF(OR($M401="Out of Scope",$M401="Canceled"),"Out of Scope",IF($M401="Blocked","Blocked",IF(AND($T401&lt;&gt;"Fixed – Retest Passed",OR(LEN(TRIM($O401))&gt;0,LEN(TRIM($P401))&gt;0)),IF(AND(OR($L401="Medium",$L401="Low"),SUMPRODUCT((Cards!$A$4:$A$1000&lt;&gt;"")*ISNUMBER(SEARCH($A401,Cards!$E$4:$E$1000))*(Cards!$F$4:$F$1000&lt;&gt;"Medium")*(Cards!$F$4:$F$1000&lt;&gt;"Low"))=0),"Conditionally Passed","Failed"),IF($M401="Done","Passed","Not Run")))))</f>
        <v/>
      </c>
      <c r="Y401" s="27" t="str" cm="1">
        <f t="array" ref="Y401">IF($A401="","",IF(TRIM($B401)="","-",IFERROR(_xlfn.TEXTJOIN(" / ",TRUE,_xlfn.UNIQUE(_xlfn._xlws.FILTER('Ownership Matrix'!$C$5:$C$200,('Ownership Matrix'!$A$5:$A$200=TRIM($B401))*('Ownership Matrix'!$C$5:$C$200&lt;&gt;"")))),"ไม่พบใน Ownership Matrix")))</f>
        <v/>
      </c>
      <c r="Z401" s="31" t="str">
        <f>IF(NOT(AND($A401&lt;&gt;"",$M401&lt;&gt;"Out of Scope",$M401&lt;&gt;"Canceled",$T401&lt;&gt;"Fixed – Retest Passed",OR(LEN(TRIM($O401))&gt;0,LEN(TRIM($P401))&gt;0))),"",IF(OR($W401="Failed",$R401="Urgent",$R401="High",$R401="ระบุ Severity + Impact"),IF(COUNTIFS(Dashboard!$B$105:$B$124,$O401,Dashboard!$I$105:$I$124,"CAB")&gt;0,"Accepted (CF)","Blocking"),"Deferrable"))</f>
        <v/>
      </c>
    </row>
    <row r="402" spans="7:26" x14ac:dyDescent="0.3">
      <c r="G402" s="27" t="str" cm="1">
        <f t="array" ref="G402">IF($A402="","",IFERROR(_xlfn.TEXTJOIN(CHAR(10)&amp;CHAR(10),TRUE,_xlfn._xlws.FILTER("•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"&amp;Cards!$L$4:$L$1000),(Cards!$A$4:$A$1000&lt;&gt;"")*ISNUMBER(SEARCH($A402,Cards!$E$4:$E$1000)))),"-"))</f>
        <v/>
      </c>
      <c r="Q402" s="30"/>
      <c r="R402" s="27" t="str">
        <f>IF(OR($A402="",LEN(TRIM($O402))=0),"",IF(OR($P402="",$Q402=""),"ระบุ Severity + Impact",IFERROR(INDEX({"Urgent","Urgent","High","High";"Urgent","High","High","Medium";"High","High","Medium","Medium";"Medium","Medium","Low","Low"},MATCH($P402,{"Critical","High","Medium","Low"},0),MATCH($Q402,{"Extensive","Significant","Moderate","Minor"},0)),"-")))</f>
        <v/>
      </c>
      <c r="S402" s="30"/>
      <c r="T402" s="30"/>
      <c r="W402" s="32" t="str">
        <f>IF($A402="","",IF(OR($M402="Out of Scope",$M402="Canceled"),"Out of Scope",IF($M402="Blocked","Blocked",IF(AND($T402&lt;&gt;"Fixed – Retest Passed",OR(LEN(TRIM($O402))&gt;0,LEN(TRIM($P402))&gt;0)),IF(AND(OR($L402="Medium",$L402="Low"),SUMPRODUCT((Cards!$A$4:$A$1000&lt;&gt;"")*ISNUMBER(SEARCH($A402,Cards!$E$4:$E$1000))*(Cards!$F$4:$F$1000&lt;&gt;"Medium")*(Cards!$F$4:$F$1000&lt;&gt;"Low"))=0),"Conditionally Passed","Failed"),IF($M402="Done","Passed","Not Run")))))</f>
        <v/>
      </c>
      <c r="Y402" s="27" t="str" cm="1">
        <f t="array" ref="Y402">IF($A402="","",IF(TRIM($B402)="","-",IFERROR(_xlfn.TEXTJOIN(" / ",TRUE,_xlfn.UNIQUE(_xlfn._xlws.FILTER('Ownership Matrix'!$C$5:$C$200,('Ownership Matrix'!$A$5:$A$200=TRIM($B402))*('Ownership Matrix'!$C$5:$C$200&lt;&gt;"")))),"ไม่พบใน Ownership Matrix")))</f>
        <v/>
      </c>
      <c r="Z402" s="31" t="str">
        <f>IF(NOT(AND($A402&lt;&gt;"",$M402&lt;&gt;"Out of Scope",$M402&lt;&gt;"Canceled",$T402&lt;&gt;"Fixed – Retest Passed",OR(LEN(TRIM($O402))&gt;0,LEN(TRIM($P402))&gt;0))),"",IF(OR($W402="Failed",$R402="Urgent",$R402="High",$R402="ระบุ Severity + Impact"),IF(COUNTIFS(Dashboard!$B$105:$B$124,$O402,Dashboard!$I$105:$I$124,"CAB")&gt;0,"Accepted (CF)","Blocking"),"Deferrable"))</f>
        <v/>
      </c>
    </row>
    <row r="403" spans="7:26" x14ac:dyDescent="0.3">
      <c r="G403" s="27" t="str" cm="1">
        <f t="array" ref="G403">IF($A403="","",IFERROR(_xlfn.TEXTJOIN(CHAR(10)&amp;CHAR(10),TRUE,_xlfn._xlws.FILTER("•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"&amp;Cards!$L$4:$L$1000),(Cards!$A$4:$A$1000&lt;&gt;"")*ISNUMBER(SEARCH($A403,Cards!$E$4:$E$1000)))),"-"))</f>
        <v/>
      </c>
      <c r="Q403" s="30"/>
      <c r="R403" s="27" t="str">
        <f>IF(OR($A403="",LEN(TRIM($O403))=0),"",IF(OR($P403="",$Q403=""),"ระบุ Severity + Impact",IFERROR(INDEX({"Urgent","Urgent","High","High";"Urgent","High","High","Medium";"High","High","Medium","Medium";"Medium","Medium","Low","Low"},MATCH($P403,{"Critical","High","Medium","Low"},0),MATCH($Q403,{"Extensive","Significant","Moderate","Minor"},0)),"-")))</f>
        <v/>
      </c>
      <c r="S403" s="30"/>
      <c r="T403" s="30"/>
      <c r="W403" s="32" t="str">
        <f>IF($A403="","",IF(OR($M403="Out of Scope",$M403="Canceled"),"Out of Scope",IF($M403="Blocked","Blocked",IF(AND($T403&lt;&gt;"Fixed – Retest Passed",OR(LEN(TRIM($O403))&gt;0,LEN(TRIM($P403))&gt;0)),IF(AND(OR($L403="Medium",$L403="Low"),SUMPRODUCT((Cards!$A$4:$A$1000&lt;&gt;"")*ISNUMBER(SEARCH($A403,Cards!$E$4:$E$1000))*(Cards!$F$4:$F$1000&lt;&gt;"Medium")*(Cards!$F$4:$F$1000&lt;&gt;"Low"))=0),"Conditionally Passed","Failed"),IF($M403="Done","Passed","Not Run")))))</f>
        <v/>
      </c>
      <c r="Y403" s="27" t="str" cm="1">
        <f t="array" ref="Y403">IF($A403="","",IF(TRIM($B403)="","-",IFERROR(_xlfn.TEXTJOIN(" / ",TRUE,_xlfn.UNIQUE(_xlfn._xlws.FILTER('Ownership Matrix'!$C$5:$C$200,('Ownership Matrix'!$A$5:$A$200=TRIM($B403))*('Ownership Matrix'!$C$5:$C$200&lt;&gt;"")))),"ไม่พบใน Ownership Matrix")))</f>
        <v/>
      </c>
      <c r="Z403" s="31" t="str">
        <f>IF(NOT(AND($A403&lt;&gt;"",$M403&lt;&gt;"Out of Scope",$M403&lt;&gt;"Canceled",$T403&lt;&gt;"Fixed – Retest Passed",OR(LEN(TRIM($O403))&gt;0,LEN(TRIM($P403))&gt;0))),"",IF(OR($W403="Failed",$R403="Urgent",$R403="High",$R403="ระบุ Severity + Impact"),IF(COUNTIFS(Dashboard!$B$105:$B$124,$O403,Dashboard!$I$105:$I$124,"CAB")&gt;0,"Accepted (CF)","Blocking"),"Deferrable"))</f>
        <v/>
      </c>
    </row>
    <row r="404" spans="7:26" x14ac:dyDescent="0.3">
      <c r="G404" s="27" t="str" cm="1">
        <f t="array" ref="G404">IF($A404="","",IFERROR(_xlfn.TEXTJOIN(CHAR(10)&amp;CHAR(10),TRUE,_xlfn._xlws.FILTER("•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"&amp;Cards!$L$4:$L$1000),(Cards!$A$4:$A$1000&lt;&gt;"")*ISNUMBER(SEARCH($A404,Cards!$E$4:$E$1000)))),"-"))</f>
        <v/>
      </c>
      <c r="Q404" s="30"/>
      <c r="R404" s="27" t="str">
        <f>IF(OR($A404="",LEN(TRIM($O404))=0),"",IF(OR($P404="",$Q404=""),"ระบุ Severity + Impact",IFERROR(INDEX({"Urgent","Urgent","High","High";"Urgent","High","High","Medium";"High","High","Medium","Medium";"Medium","Medium","Low","Low"},MATCH($P404,{"Critical","High","Medium","Low"},0),MATCH($Q404,{"Extensive","Significant","Moderate","Minor"},0)),"-")))</f>
        <v/>
      </c>
      <c r="S404" s="30"/>
      <c r="T404" s="30"/>
      <c r="W404" s="32" t="str">
        <f>IF($A404="","",IF(OR($M404="Out of Scope",$M404="Canceled"),"Out of Scope",IF($M404="Blocked","Blocked",IF(AND($T404&lt;&gt;"Fixed – Retest Passed",OR(LEN(TRIM($O404))&gt;0,LEN(TRIM($P404))&gt;0)),IF(AND(OR($L404="Medium",$L404="Low"),SUMPRODUCT((Cards!$A$4:$A$1000&lt;&gt;"")*ISNUMBER(SEARCH($A404,Cards!$E$4:$E$1000))*(Cards!$F$4:$F$1000&lt;&gt;"Medium")*(Cards!$F$4:$F$1000&lt;&gt;"Low"))=0),"Conditionally Passed","Failed"),IF($M404="Done","Passed","Not Run")))))</f>
        <v/>
      </c>
      <c r="Y404" s="27" t="str" cm="1">
        <f t="array" ref="Y404">IF($A404="","",IF(TRIM($B404)="","-",IFERROR(_xlfn.TEXTJOIN(" / ",TRUE,_xlfn.UNIQUE(_xlfn._xlws.FILTER('Ownership Matrix'!$C$5:$C$200,('Ownership Matrix'!$A$5:$A$200=TRIM($B404))*('Ownership Matrix'!$C$5:$C$200&lt;&gt;"")))),"ไม่พบใน Ownership Matrix")))</f>
        <v/>
      </c>
      <c r="Z404" s="31" t="str">
        <f>IF(NOT(AND($A404&lt;&gt;"",$M404&lt;&gt;"Out of Scope",$M404&lt;&gt;"Canceled",$T404&lt;&gt;"Fixed – Retest Passed",OR(LEN(TRIM($O404))&gt;0,LEN(TRIM($P404))&gt;0))),"",IF(OR($W404="Failed",$R404="Urgent",$R404="High",$R404="ระบุ Severity + Impact"),IF(COUNTIFS(Dashboard!$B$105:$B$124,$O404,Dashboard!$I$105:$I$124,"CAB")&gt;0,"Accepted (CF)","Blocking"),"Deferrable"))</f>
        <v/>
      </c>
    </row>
    <row r="405" spans="7:26" x14ac:dyDescent="0.3">
      <c r="G405" s="27" t="str" cm="1">
        <f t="array" ref="G405">IF($A405="","",IFERROR(_xlfn.TEXTJOIN(CHAR(10)&amp;CHAR(10),TRUE,_xlfn._xlws.FILTER("•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"&amp;Cards!$L$4:$L$1000),(Cards!$A$4:$A$1000&lt;&gt;"")*ISNUMBER(SEARCH($A405,Cards!$E$4:$E$1000)))),"-"))</f>
        <v/>
      </c>
      <c r="Q405" s="30"/>
      <c r="R405" s="27" t="str">
        <f>IF(OR($A405="",LEN(TRIM($O405))=0),"",IF(OR($P405="",$Q405=""),"ระบุ Severity + Impact",IFERROR(INDEX({"Urgent","Urgent","High","High";"Urgent","High","High","Medium";"High","High","Medium","Medium";"Medium","Medium","Low","Low"},MATCH($P405,{"Critical","High","Medium","Low"},0),MATCH($Q405,{"Extensive","Significant","Moderate","Minor"},0)),"-")))</f>
        <v/>
      </c>
      <c r="S405" s="30"/>
      <c r="T405" s="30"/>
      <c r="W405" s="32" t="str">
        <f>IF($A405="","",IF(OR($M405="Out of Scope",$M405="Canceled"),"Out of Scope",IF($M405="Blocked","Blocked",IF(AND($T405&lt;&gt;"Fixed – Retest Passed",OR(LEN(TRIM($O405))&gt;0,LEN(TRIM($P405))&gt;0)),IF(AND(OR($L405="Medium",$L405="Low"),SUMPRODUCT((Cards!$A$4:$A$1000&lt;&gt;"")*ISNUMBER(SEARCH($A405,Cards!$E$4:$E$1000))*(Cards!$F$4:$F$1000&lt;&gt;"Medium")*(Cards!$F$4:$F$1000&lt;&gt;"Low"))=0),"Conditionally Passed","Failed"),IF($M405="Done","Passed","Not Run")))))</f>
        <v/>
      </c>
      <c r="Y405" s="27" t="str" cm="1">
        <f t="array" ref="Y405">IF($A405="","",IF(TRIM($B405)="","-",IFERROR(_xlfn.TEXTJOIN(" / ",TRUE,_xlfn.UNIQUE(_xlfn._xlws.FILTER('Ownership Matrix'!$C$5:$C$200,('Ownership Matrix'!$A$5:$A$200=TRIM($B405))*('Ownership Matrix'!$C$5:$C$200&lt;&gt;"")))),"ไม่พบใน Ownership Matrix")))</f>
        <v/>
      </c>
      <c r="Z405" s="31" t="str">
        <f>IF(NOT(AND($A405&lt;&gt;"",$M405&lt;&gt;"Out of Scope",$M405&lt;&gt;"Canceled",$T405&lt;&gt;"Fixed – Retest Passed",OR(LEN(TRIM($O405))&gt;0,LEN(TRIM($P405))&gt;0))),"",IF(OR($W405="Failed",$R405="Urgent",$R405="High",$R405="ระบุ Severity + Impact"),IF(COUNTIFS(Dashboard!$B$105:$B$124,$O405,Dashboard!$I$105:$I$124,"CAB")&gt;0,"Accepted (CF)","Blocking"),"Deferrable"))</f>
        <v/>
      </c>
    </row>
    <row r="406" spans="7:26" x14ac:dyDescent="0.3">
      <c r="G406" s="27" t="str" cm="1">
        <f t="array" ref="G406">IF($A406="","",IFERROR(_xlfn.TEXTJOIN(CHAR(10)&amp;CHAR(10),TRUE,_xlfn._xlws.FILTER("•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"&amp;Cards!$L$4:$L$1000),(Cards!$A$4:$A$1000&lt;&gt;"")*ISNUMBER(SEARCH($A406,Cards!$E$4:$E$1000)))),"-"))</f>
        <v/>
      </c>
      <c r="Q406" s="30"/>
      <c r="R406" s="27" t="str">
        <f>IF(OR($A406="",LEN(TRIM($O406))=0),"",IF(OR($P406="",$Q406=""),"ระบุ Severity + Impact",IFERROR(INDEX({"Urgent","Urgent","High","High";"Urgent","High","High","Medium";"High","High","Medium","Medium";"Medium","Medium","Low","Low"},MATCH($P406,{"Critical","High","Medium","Low"},0),MATCH($Q406,{"Extensive","Significant","Moderate","Minor"},0)),"-")))</f>
        <v/>
      </c>
      <c r="S406" s="30"/>
      <c r="T406" s="30"/>
      <c r="W406" s="32" t="str">
        <f>IF($A406="","",IF(OR($M406="Out of Scope",$M406="Canceled"),"Out of Scope",IF($M406="Blocked","Blocked",IF(AND($T406&lt;&gt;"Fixed – Retest Passed",OR(LEN(TRIM($O406))&gt;0,LEN(TRIM($P406))&gt;0)),IF(AND(OR($L406="Medium",$L406="Low"),SUMPRODUCT((Cards!$A$4:$A$1000&lt;&gt;"")*ISNUMBER(SEARCH($A406,Cards!$E$4:$E$1000))*(Cards!$F$4:$F$1000&lt;&gt;"Medium")*(Cards!$F$4:$F$1000&lt;&gt;"Low"))=0),"Conditionally Passed","Failed"),IF($M406="Done","Passed","Not Run")))))</f>
        <v/>
      </c>
      <c r="Y406" s="27" t="str" cm="1">
        <f t="array" ref="Y406">IF($A406="","",IF(TRIM($B406)="","-",IFERROR(_xlfn.TEXTJOIN(" / ",TRUE,_xlfn.UNIQUE(_xlfn._xlws.FILTER('Ownership Matrix'!$C$5:$C$200,('Ownership Matrix'!$A$5:$A$200=TRIM($B406))*('Ownership Matrix'!$C$5:$C$200&lt;&gt;"")))),"ไม่พบใน Ownership Matrix")))</f>
        <v/>
      </c>
      <c r="Z406" s="31" t="str">
        <f>IF(NOT(AND($A406&lt;&gt;"",$M406&lt;&gt;"Out of Scope",$M406&lt;&gt;"Canceled",$T406&lt;&gt;"Fixed – Retest Passed",OR(LEN(TRIM($O406))&gt;0,LEN(TRIM($P406))&gt;0))),"",IF(OR($W406="Failed",$R406="Urgent",$R406="High",$R406="ระบุ Severity + Impact"),IF(COUNTIFS(Dashboard!$B$105:$B$124,$O406,Dashboard!$I$105:$I$124,"CAB")&gt;0,"Accepted (CF)","Blocking"),"Deferrable"))</f>
        <v/>
      </c>
    </row>
    <row r="407" spans="7:26" x14ac:dyDescent="0.3">
      <c r="G407" s="27" t="str" cm="1">
        <f t="array" ref="G407">IF($A407="","",IFERROR(_xlfn.TEXTJOIN(CHAR(10)&amp;CHAR(10),TRUE,_xlfn._xlws.FILTER("•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"&amp;Cards!$L$4:$L$1000),(Cards!$A$4:$A$1000&lt;&gt;"")*ISNUMBER(SEARCH($A407,Cards!$E$4:$E$1000)))),"-"))</f>
        <v/>
      </c>
      <c r="Q407" s="30"/>
      <c r="R407" s="27" t="str">
        <f>IF(OR($A407="",LEN(TRIM($O407))=0),"",IF(OR($P407="",$Q407=""),"ระบุ Severity + Impact",IFERROR(INDEX({"Urgent","Urgent","High","High";"Urgent","High","High","Medium";"High","High","Medium","Medium";"Medium","Medium","Low","Low"},MATCH($P407,{"Critical","High","Medium","Low"},0),MATCH($Q407,{"Extensive","Significant","Moderate","Minor"},0)),"-")))</f>
        <v/>
      </c>
      <c r="S407" s="30"/>
      <c r="T407" s="30"/>
      <c r="W407" s="32" t="str">
        <f>IF($A407="","",IF(OR($M407="Out of Scope",$M407="Canceled"),"Out of Scope",IF($M407="Blocked","Blocked",IF(AND($T407&lt;&gt;"Fixed – Retest Passed",OR(LEN(TRIM($O407))&gt;0,LEN(TRIM($P407))&gt;0)),IF(AND(OR($L407="Medium",$L407="Low"),SUMPRODUCT((Cards!$A$4:$A$1000&lt;&gt;"")*ISNUMBER(SEARCH($A407,Cards!$E$4:$E$1000))*(Cards!$F$4:$F$1000&lt;&gt;"Medium")*(Cards!$F$4:$F$1000&lt;&gt;"Low"))=0),"Conditionally Passed","Failed"),IF($M407="Done","Passed","Not Run")))))</f>
        <v/>
      </c>
      <c r="Y407" s="27" t="str" cm="1">
        <f t="array" ref="Y407">IF($A407="","",IF(TRIM($B407)="","-",IFERROR(_xlfn.TEXTJOIN(" / ",TRUE,_xlfn.UNIQUE(_xlfn._xlws.FILTER('Ownership Matrix'!$C$5:$C$200,('Ownership Matrix'!$A$5:$A$200=TRIM($B407))*('Ownership Matrix'!$C$5:$C$200&lt;&gt;"")))),"ไม่พบใน Ownership Matrix")))</f>
        <v/>
      </c>
      <c r="Z407" s="31" t="str">
        <f>IF(NOT(AND($A407&lt;&gt;"",$M407&lt;&gt;"Out of Scope",$M407&lt;&gt;"Canceled",$T407&lt;&gt;"Fixed – Retest Passed",OR(LEN(TRIM($O407))&gt;0,LEN(TRIM($P407))&gt;0))),"",IF(OR($W407="Failed",$R407="Urgent",$R407="High",$R407="ระบุ Severity + Impact"),IF(COUNTIFS(Dashboard!$B$105:$B$124,$O407,Dashboard!$I$105:$I$124,"CAB")&gt;0,"Accepted (CF)","Blocking"),"Deferrable"))</f>
        <v/>
      </c>
    </row>
    <row r="408" spans="7:26" x14ac:dyDescent="0.3">
      <c r="G408" s="27" t="str" cm="1">
        <f t="array" ref="G408">IF($A408="","",IFERROR(_xlfn.TEXTJOIN(CHAR(10)&amp;CHAR(10),TRUE,_xlfn._xlws.FILTER("•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"&amp;Cards!$L$4:$L$1000),(Cards!$A$4:$A$1000&lt;&gt;"")*ISNUMBER(SEARCH($A408,Cards!$E$4:$E$1000)))),"-"))</f>
        <v/>
      </c>
      <c r="Q408" s="30"/>
      <c r="R408" s="27" t="str">
        <f>IF(OR($A408="",LEN(TRIM($O408))=0),"",IF(OR($P408="",$Q408=""),"ระบุ Severity + Impact",IFERROR(INDEX({"Urgent","Urgent","High","High";"Urgent","High","High","Medium";"High","High","Medium","Medium";"Medium","Medium","Low","Low"},MATCH($P408,{"Critical","High","Medium","Low"},0),MATCH($Q408,{"Extensive","Significant","Moderate","Minor"},0)),"-")))</f>
        <v/>
      </c>
      <c r="S408" s="30"/>
      <c r="T408" s="30"/>
      <c r="W408" s="32" t="str">
        <f>IF($A408="","",IF(OR($M408="Out of Scope",$M408="Canceled"),"Out of Scope",IF($M408="Blocked","Blocked",IF(AND($T408&lt;&gt;"Fixed – Retest Passed",OR(LEN(TRIM($O408))&gt;0,LEN(TRIM($P408))&gt;0)),IF(AND(OR($L408="Medium",$L408="Low"),SUMPRODUCT((Cards!$A$4:$A$1000&lt;&gt;"")*ISNUMBER(SEARCH($A408,Cards!$E$4:$E$1000))*(Cards!$F$4:$F$1000&lt;&gt;"Medium")*(Cards!$F$4:$F$1000&lt;&gt;"Low"))=0),"Conditionally Passed","Failed"),IF($M408="Done","Passed","Not Run")))))</f>
        <v/>
      </c>
      <c r="Y408" s="27" t="str" cm="1">
        <f t="array" ref="Y408">IF($A408="","",IF(TRIM($B408)="","-",IFERROR(_xlfn.TEXTJOIN(" / ",TRUE,_xlfn.UNIQUE(_xlfn._xlws.FILTER('Ownership Matrix'!$C$5:$C$200,('Ownership Matrix'!$A$5:$A$200=TRIM($B408))*('Ownership Matrix'!$C$5:$C$200&lt;&gt;"")))),"ไม่พบใน Ownership Matrix")))</f>
        <v/>
      </c>
      <c r="Z408" s="31" t="str">
        <f>IF(NOT(AND($A408&lt;&gt;"",$M408&lt;&gt;"Out of Scope",$M408&lt;&gt;"Canceled",$T408&lt;&gt;"Fixed – Retest Passed",OR(LEN(TRIM($O408))&gt;0,LEN(TRIM($P408))&gt;0))),"",IF(OR($W408="Failed",$R408="Urgent",$R408="High",$R408="ระบุ Severity + Impact"),IF(COUNTIFS(Dashboard!$B$105:$B$124,$O408,Dashboard!$I$105:$I$124,"CAB")&gt;0,"Accepted (CF)","Blocking"),"Deferrable"))</f>
        <v/>
      </c>
    </row>
    <row r="409" spans="7:26" x14ac:dyDescent="0.3">
      <c r="G409" s="27" t="str" cm="1">
        <f t="array" ref="G409">IF($A409="","",IFERROR(_xlfn.TEXTJOIN(CHAR(10)&amp;CHAR(10),TRUE,_xlfn._xlws.FILTER("•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"&amp;Cards!$L$4:$L$1000),(Cards!$A$4:$A$1000&lt;&gt;"")*ISNUMBER(SEARCH($A409,Cards!$E$4:$E$1000)))),"-"))</f>
        <v/>
      </c>
      <c r="Q409" s="30"/>
      <c r="R409" s="27" t="str">
        <f>IF(OR($A409="",LEN(TRIM($O409))=0),"",IF(OR($P409="",$Q409=""),"ระบุ Severity + Impact",IFERROR(INDEX({"Urgent","Urgent","High","High";"Urgent","High","High","Medium";"High","High","Medium","Medium";"Medium","Medium","Low","Low"},MATCH($P409,{"Critical","High","Medium","Low"},0),MATCH($Q409,{"Extensive","Significant","Moderate","Minor"},0)),"-")))</f>
        <v/>
      </c>
      <c r="S409" s="30"/>
      <c r="T409" s="30"/>
      <c r="W409" s="32" t="str">
        <f>IF($A409="","",IF(OR($M409="Out of Scope",$M409="Canceled"),"Out of Scope",IF($M409="Blocked","Blocked",IF(AND($T409&lt;&gt;"Fixed – Retest Passed",OR(LEN(TRIM($O409))&gt;0,LEN(TRIM($P409))&gt;0)),IF(AND(OR($L409="Medium",$L409="Low"),SUMPRODUCT((Cards!$A$4:$A$1000&lt;&gt;"")*ISNUMBER(SEARCH($A409,Cards!$E$4:$E$1000))*(Cards!$F$4:$F$1000&lt;&gt;"Medium")*(Cards!$F$4:$F$1000&lt;&gt;"Low"))=0),"Conditionally Passed","Failed"),IF($M409="Done","Passed","Not Run")))))</f>
        <v/>
      </c>
      <c r="Y409" s="27" t="str" cm="1">
        <f t="array" ref="Y409">IF($A409="","",IF(TRIM($B409)="","-",IFERROR(_xlfn.TEXTJOIN(" / ",TRUE,_xlfn.UNIQUE(_xlfn._xlws.FILTER('Ownership Matrix'!$C$5:$C$200,('Ownership Matrix'!$A$5:$A$200=TRIM($B409))*('Ownership Matrix'!$C$5:$C$200&lt;&gt;"")))),"ไม่พบใน Ownership Matrix")))</f>
        <v/>
      </c>
      <c r="Z409" s="31" t="str">
        <f>IF(NOT(AND($A409&lt;&gt;"",$M409&lt;&gt;"Out of Scope",$M409&lt;&gt;"Canceled",$T409&lt;&gt;"Fixed – Retest Passed",OR(LEN(TRIM($O409))&gt;0,LEN(TRIM($P409))&gt;0))),"",IF(OR($W409="Failed",$R409="Urgent",$R409="High",$R409="ระบุ Severity + Impact"),IF(COUNTIFS(Dashboard!$B$105:$B$124,$O409,Dashboard!$I$105:$I$124,"CAB")&gt;0,"Accepted (CF)","Blocking"),"Deferrable"))</f>
        <v/>
      </c>
    </row>
    <row r="410" spans="7:26" x14ac:dyDescent="0.3">
      <c r="G410" s="27" t="str" cm="1">
        <f t="array" ref="G410">IF($A410="","",IFERROR(_xlfn.TEXTJOIN(CHAR(10)&amp;CHAR(10),TRUE,_xlfn._xlws.FILTER("•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"&amp;Cards!$L$4:$L$1000),(Cards!$A$4:$A$1000&lt;&gt;"")*ISNUMBER(SEARCH($A410,Cards!$E$4:$E$1000)))),"-"))</f>
        <v/>
      </c>
      <c r="Q410" s="30"/>
      <c r="R410" s="27" t="str">
        <f>IF(OR($A410="",LEN(TRIM($O410))=0),"",IF(OR($P410="",$Q410=""),"ระบุ Severity + Impact",IFERROR(INDEX({"Urgent","Urgent","High","High";"Urgent","High","High","Medium";"High","High","Medium","Medium";"Medium","Medium","Low","Low"},MATCH($P410,{"Critical","High","Medium","Low"},0),MATCH($Q410,{"Extensive","Significant","Moderate","Minor"},0)),"-")))</f>
        <v/>
      </c>
      <c r="S410" s="30"/>
      <c r="T410" s="30"/>
      <c r="W410" s="32" t="str">
        <f>IF($A410="","",IF(OR($M410="Out of Scope",$M410="Canceled"),"Out of Scope",IF($M410="Blocked","Blocked",IF(AND($T410&lt;&gt;"Fixed – Retest Passed",OR(LEN(TRIM($O410))&gt;0,LEN(TRIM($P410))&gt;0)),IF(AND(OR($L410="Medium",$L410="Low"),SUMPRODUCT((Cards!$A$4:$A$1000&lt;&gt;"")*ISNUMBER(SEARCH($A410,Cards!$E$4:$E$1000))*(Cards!$F$4:$F$1000&lt;&gt;"Medium")*(Cards!$F$4:$F$1000&lt;&gt;"Low"))=0),"Conditionally Passed","Failed"),IF($M410="Done","Passed","Not Run")))))</f>
        <v/>
      </c>
      <c r="Y410" s="27" t="str" cm="1">
        <f t="array" ref="Y410">IF($A410="","",IF(TRIM($B410)="","-",IFERROR(_xlfn.TEXTJOIN(" / ",TRUE,_xlfn.UNIQUE(_xlfn._xlws.FILTER('Ownership Matrix'!$C$5:$C$200,('Ownership Matrix'!$A$5:$A$200=TRIM($B410))*('Ownership Matrix'!$C$5:$C$200&lt;&gt;"")))),"ไม่พบใน Ownership Matrix")))</f>
        <v/>
      </c>
      <c r="Z410" s="31" t="str">
        <f>IF(NOT(AND($A410&lt;&gt;"",$M410&lt;&gt;"Out of Scope",$M410&lt;&gt;"Canceled",$T410&lt;&gt;"Fixed – Retest Passed",OR(LEN(TRIM($O410))&gt;0,LEN(TRIM($P410))&gt;0))),"",IF(OR($W410="Failed",$R410="Urgent",$R410="High",$R410="ระบุ Severity + Impact"),IF(COUNTIFS(Dashboard!$B$105:$B$124,$O410,Dashboard!$I$105:$I$124,"CAB")&gt;0,"Accepted (CF)","Blocking"),"Deferrable"))</f>
        <v/>
      </c>
    </row>
    <row r="411" spans="7:26" x14ac:dyDescent="0.3">
      <c r="G411" s="27" t="str" cm="1">
        <f t="array" ref="G411">IF($A411="","",IFERROR(_xlfn.TEXTJOIN(CHAR(10)&amp;CHAR(10),TRUE,_xlfn._xlws.FILTER("•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"&amp;Cards!$L$4:$L$1000),(Cards!$A$4:$A$1000&lt;&gt;"")*ISNUMBER(SEARCH($A411,Cards!$E$4:$E$1000)))),"-"))</f>
        <v/>
      </c>
      <c r="Q411" s="30"/>
      <c r="R411" s="27" t="str">
        <f>IF(OR($A411="",LEN(TRIM($O411))=0),"",IF(OR($P411="",$Q411=""),"ระบุ Severity + Impact",IFERROR(INDEX({"Urgent","Urgent","High","High";"Urgent","High","High","Medium";"High","High","Medium","Medium";"Medium","Medium","Low","Low"},MATCH($P411,{"Critical","High","Medium","Low"},0),MATCH($Q411,{"Extensive","Significant","Moderate","Minor"},0)),"-")))</f>
        <v/>
      </c>
      <c r="S411" s="30"/>
      <c r="T411" s="30"/>
      <c r="W411" s="32" t="str">
        <f>IF($A411="","",IF(OR($M411="Out of Scope",$M411="Canceled"),"Out of Scope",IF($M411="Blocked","Blocked",IF(AND($T411&lt;&gt;"Fixed – Retest Passed",OR(LEN(TRIM($O411))&gt;0,LEN(TRIM($P411))&gt;0)),IF(AND(OR($L411="Medium",$L411="Low"),SUMPRODUCT((Cards!$A$4:$A$1000&lt;&gt;"")*ISNUMBER(SEARCH($A411,Cards!$E$4:$E$1000))*(Cards!$F$4:$F$1000&lt;&gt;"Medium")*(Cards!$F$4:$F$1000&lt;&gt;"Low"))=0),"Conditionally Passed","Failed"),IF($M411="Done","Passed","Not Run")))))</f>
        <v/>
      </c>
      <c r="Y411" s="27" t="str" cm="1">
        <f t="array" ref="Y411">IF($A411="","",IF(TRIM($B411)="","-",IFERROR(_xlfn.TEXTJOIN(" / ",TRUE,_xlfn.UNIQUE(_xlfn._xlws.FILTER('Ownership Matrix'!$C$5:$C$200,('Ownership Matrix'!$A$5:$A$200=TRIM($B411))*('Ownership Matrix'!$C$5:$C$200&lt;&gt;"")))),"ไม่พบใน Ownership Matrix")))</f>
        <v/>
      </c>
      <c r="Z411" s="31" t="str">
        <f>IF(NOT(AND($A411&lt;&gt;"",$M411&lt;&gt;"Out of Scope",$M411&lt;&gt;"Canceled",$T411&lt;&gt;"Fixed – Retest Passed",OR(LEN(TRIM($O411))&gt;0,LEN(TRIM($P411))&gt;0))),"",IF(OR($W411="Failed",$R411="Urgent",$R411="High",$R411="ระบุ Severity + Impact"),IF(COUNTIFS(Dashboard!$B$105:$B$124,$O411,Dashboard!$I$105:$I$124,"CAB")&gt;0,"Accepted (CF)","Blocking"),"Deferrable"))</f>
        <v/>
      </c>
    </row>
    <row r="412" spans="7:26" x14ac:dyDescent="0.3">
      <c r="G412" s="27" t="str" cm="1">
        <f t="array" ref="G412">IF($A412="","",IFERROR(_xlfn.TEXTJOIN(CHAR(10)&amp;CHAR(10),TRUE,_xlfn._xlws.FILTER("•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"&amp;Cards!$L$4:$L$1000),(Cards!$A$4:$A$1000&lt;&gt;"")*ISNUMBER(SEARCH($A412,Cards!$E$4:$E$1000)))),"-"))</f>
        <v/>
      </c>
      <c r="Q412" s="30"/>
      <c r="R412" s="27" t="str">
        <f>IF(OR($A412="",LEN(TRIM($O412))=0),"",IF(OR($P412="",$Q412=""),"ระบุ Severity + Impact",IFERROR(INDEX({"Urgent","Urgent","High","High";"Urgent","High","High","Medium";"High","High","Medium","Medium";"Medium","Medium","Low","Low"},MATCH($P412,{"Critical","High","Medium","Low"},0),MATCH($Q412,{"Extensive","Significant","Moderate","Minor"},0)),"-")))</f>
        <v/>
      </c>
      <c r="S412" s="30"/>
      <c r="T412" s="30"/>
      <c r="W412" s="32" t="str">
        <f>IF($A412="","",IF(OR($M412="Out of Scope",$M412="Canceled"),"Out of Scope",IF($M412="Blocked","Blocked",IF(AND($T412&lt;&gt;"Fixed – Retest Passed",OR(LEN(TRIM($O412))&gt;0,LEN(TRIM($P412))&gt;0)),IF(AND(OR($L412="Medium",$L412="Low"),SUMPRODUCT((Cards!$A$4:$A$1000&lt;&gt;"")*ISNUMBER(SEARCH($A412,Cards!$E$4:$E$1000))*(Cards!$F$4:$F$1000&lt;&gt;"Medium")*(Cards!$F$4:$F$1000&lt;&gt;"Low"))=0),"Conditionally Passed","Failed"),IF($M412="Done","Passed","Not Run")))))</f>
        <v/>
      </c>
      <c r="Y412" s="27" t="str" cm="1">
        <f t="array" ref="Y412">IF($A412="","",IF(TRIM($B412)="","-",IFERROR(_xlfn.TEXTJOIN(" / ",TRUE,_xlfn.UNIQUE(_xlfn._xlws.FILTER('Ownership Matrix'!$C$5:$C$200,('Ownership Matrix'!$A$5:$A$200=TRIM($B412))*('Ownership Matrix'!$C$5:$C$200&lt;&gt;"")))),"ไม่พบใน Ownership Matrix")))</f>
        <v/>
      </c>
      <c r="Z412" s="31" t="str">
        <f>IF(NOT(AND($A412&lt;&gt;"",$M412&lt;&gt;"Out of Scope",$M412&lt;&gt;"Canceled",$T412&lt;&gt;"Fixed – Retest Passed",OR(LEN(TRIM($O412))&gt;0,LEN(TRIM($P412))&gt;0))),"",IF(OR($W412="Failed",$R412="Urgent",$R412="High",$R412="ระบุ Severity + Impact"),IF(COUNTIFS(Dashboard!$B$105:$B$124,$O412,Dashboard!$I$105:$I$124,"CAB")&gt;0,"Accepted (CF)","Blocking"),"Deferrable"))</f>
        <v/>
      </c>
    </row>
    <row r="413" spans="7:26" x14ac:dyDescent="0.3">
      <c r="G413" s="27" t="str" cm="1">
        <f t="array" ref="G413">IF($A413="","",IFERROR(_xlfn.TEXTJOIN(CHAR(10)&amp;CHAR(10),TRUE,_xlfn._xlws.FILTER("•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"&amp;Cards!$L$4:$L$1000),(Cards!$A$4:$A$1000&lt;&gt;"")*ISNUMBER(SEARCH($A413,Cards!$E$4:$E$1000)))),"-"))</f>
        <v/>
      </c>
      <c r="Q413" s="30"/>
      <c r="R413" s="27" t="str">
        <f>IF(OR($A413="",LEN(TRIM($O413))=0),"",IF(OR($P413="",$Q413=""),"ระบุ Severity + Impact",IFERROR(INDEX({"Urgent","Urgent","High","High";"Urgent","High","High","Medium";"High","High","Medium","Medium";"Medium","Medium","Low","Low"},MATCH($P413,{"Critical","High","Medium","Low"},0),MATCH($Q413,{"Extensive","Significant","Moderate","Minor"},0)),"-")))</f>
        <v/>
      </c>
      <c r="S413" s="30"/>
      <c r="T413" s="30"/>
      <c r="W413" s="32" t="str">
        <f>IF($A413="","",IF(OR($M413="Out of Scope",$M413="Canceled"),"Out of Scope",IF($M413="Blocked","Blocked",IF(AND($T413&lt;&gt;"Fixed – Retest Passed",OR(LEN(TRIM($O413))&gt;0,LEN(TRIM($P413))&gt;0)),IF(AND(OR($L413="Medium",$L413="Low"),SUMPRODUCT((Cards!$A$4:$A$1000&lt;&gt;"")*ISNUMBER(SEARCH($A413,Cards!$E$4:$E$1000))*(Cards!$F$4:$F$1000&lt;&gt;"Medium")*(Cards!$F$4:$F$1000&lt;&gt;"Low"))=0),"Conditionally Passed","Failed"),IF($M413="Done","Passed","Not Run")))))</f>
        <v/>
      </c>
      <c r="Y413" s="27" t="str" cm="1">
        <f t="array" ref="Y413">IF($A413="","",IF(TRIM($B413)="","-",IFERROR(_xlfn.TEXTJOIN(" / ",TRUE,_xlfn.UNIQUE(_xlfn._xlws.FILTER('Ownership Matrix'!$C$5:$C$200,('Ownership Matrix'!$A$5:$A$200=TRIM($B413))*('Ownership Matrix'!$C$5:$C$200&lt;&gt;"")))),"ไม่พบใน Ownership Matrix")))</f>
        <v/>
      </c>
      <c r="Z413" s="31" t="str">
        <f>IF(NOT(AND($A413&lt;&gt;"",$M413&lt;&gt;"Out of Scope",$M413&lt;&gt;"Canceled",$T413&lt;&gt;"Fixed – Retest Passed",OR(LEN(TRIM($O413))&gt;0,LEN(TRIM($P413))&gt;0))),"",IF(OR($W413="Failed",$R413="Urgent",$R413="High",$R413="ระบุ Severity + Impact"),IF(COUNTIFS(Dashboard!$B$105:$B$124,$O413,Dashboard!$I$105:$I$124,"CAB")&gt;0,"Accepted (CF)","Blocking"),"Deferrable"))</f>
        <v/>
      </c>
    </row>
    <row r="414" spans="7:26" x14ac:dyDescent="0.3">
      <c r="G414" s="27" t="str" cm="1">
        <f t="array" ref="G414">IF($A414="","",IFERROR(_xlfn.TEXTJOIN(CHAR(10)&amp;CHAR(10),TRUE,_xlfn._xlws.FILTER("•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"&amp;Cards!$L$4:$L$1000),(Cards!$A$4:$A$1000&lt;&gt;"")*ISNUMBER(SEARCH($A414,Cards!$E$4:$E$1000)))),"-"))</f>
        <v/>
      </c>
      <c r="Q414" s="30"/>
      <c r="R414" s="27" t="str">
        <f>IF(OR($A414="",LEN(TRIM($O414))=0),"",IF(OR($P414="",$Q414=""),"ระบุ Severity + Impact",IFERROR(INDEX({"Urgent","Urgent","High","High";"Urgent","High","High","Medium";"High","High","Medium","Medium";"Medium","Medium","Low","Low"},MATCH($P414,{"Critical","High","Medium","Low"},0),MATCH($Q414,{"Extensive","Significant","Moderate","Minor"},0)),"-")))</f>
        <v/>
      </c>
      <c r="S414" s="30"/>
      <c r="T414" s="30"/>
      <c r="W414" s="32" t="str">
        <f>IF($A414="","",IF(OR($M414="Out of Scope",$M414="Canceled"),"Out of Scope",IF($M414="Blocked","Blocked",IF(AND($T414&lt;&gt;"Fixed – Retest Passed",OR(LEN(TRIM($O414))&gt;0,LEN(TRIM($P414))&gt;0)),IF(AND(OR($L414="Medium",$L414="Low"),SUMPRODUCT((Cards!$A$4:$A$1000&lt;&gt;"")*ISNUMBER(SEARCH($A414,Cards!$E$4:$E$1000))*(Cards!$F$4:$F$1000&lt;&gt;"Medium")*(Cards!$F$4:$F$1000&lt;&gt;"Low"))=0),"Conditionally Passed","Failed"),IF($M414="Done","Passed","Not Run")))))</f>
        <v/>
      </c>
      <c r="Y414" s="27" t="str" cm="1">
        <f t="array" ref="Y414">IF($A414="","",IF(TRIM($B414)="","-",IFERROR(_xlfn.TEXTJOIN(" / ",TRUE,_xlfn.UNIQUE(_xlfn._xlws.FILTER('Ownership Matrix'!$C$5:$C$200,('Ownership Matrix'!$A$5:$A$200=TRIM($B414))*('Ownership Matrix'!$C$5:$C$200&lt;&gt;"")))),"ไม่พบใน Ownership Matrix")))</f>
        <v/>
      </c>
      <c r="Z414" s="31" t="str">
        <f>IF(NOT(AND($A414&lt;&gt;"",$M414&lt;&gt;"Out of Scope",$M414&lt;&gt;"Canceled",$T414&lt;&gt;"Fixed – Retest Passed",OR(LEN(TRIM($O414))&gt;0,LEN(TRIM($P414))&gt;0))),"",IF(OR($W414="Failed",$R414="Urgent",$R414="High",$R414="ระบุ Severity + Impact"),IF(COUNTIFS(Dashboard!$B$105:$B$124,$O414,Dashboard!$I$105:$I$124,"CAB")&gt;0,"Accepted (CF)","Blocking"),"Deferrable"))</f>
        <v/>
      </c>
    </row>
    <row r="415" spans="7:26" x14ac:dyDescent="0.3">
      <c r="G415" s="27" t="str" cm="1">
        <f t="array" ref="G415">IF($A415="","",IFERROR(_xlfn.TEXTJOIN(CHAR(10)&amp;CHAR(10),TRUE,_xlfn._xlws.FILTER("•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"&amp;Cards!$L$4:$L$1000),(Cards!$A$4:$A$1000&lt;&gt;"")*ISNUMBER(SEARCH($A415,Cards!$E$4:$E$1000)))),"-"))</f>
        <v/>
      </c>
      <c r="Q415" s="30"/>
      <c r="R415" s="27" t="str">
        <f>IF(OR($A415="",LEN(TRIM($O415))=0),"",IF(OR($P415="",$Q415=""),"ระบุ Severity + Impact",IFERROR(INDEX({"Urgent","Urgent","High","High";"Urgent","High","High","Medium";"High","High","Medium","Medium";"Medium","Medium","Low","Low"},MATCH($P415,{"Critical","High","Medium","Low"},0),MATCH($Q415,{"Extensive","Significant","Moderate","Minor"},0)),"-")))</f>
        <v/>
      </c>
      <c r="S415" s="30"/>
      <c r="T415" s="30"/>
      <c r="W415" s="32" t="str">
        <f>IF($A415="","",IF(OR($M415="Out of Scope",$M415="Canceled"),"Out of Scope",IF($M415="Blocked","Blocked",IF(AND($T415&lt;&gt;"Fixed – Retest Passed",OR(LEN(TRIM($O415))&gt;0,LEN(TRIM($P415))&gt;0)),IF(AND(OR($L415="Medium",$L415="Low"),SUMPRODUCT((Cards!$A$4:$A$1000&lt;&gt;"")*ISNUMBER(SEARCH($A415,Cards!$E$4:$E$1000))*(Cards!$F$4:$F$1000&lt;&gt;"Medium")*(Cards!$F$4:$F$1000&lt;&gt;"Low"))=0),"Conditionally Passed","Failed"),IF($M415="Done","Passed","Not Run")))))</f>
        <v/>
      </c>
      <c r="Y415" s="27" t="str" cm="1">
        <f t="array" ref="Y415">IF($A415="","",IF(TRIM($B415)="","-",IFERROR(_xlfn.TEXTJOIN(" / ",TRUE,_xlfn.UNIQUE(_xlfn._xlws.FILTER('Ownership Matrix'!$C$5:$C$200,('Ownership Matrix'!$A$5:$A$200=TRIM($B415))*('Ownership Matrix'!$C$5:$C$200&lt;&gt;"")))),"ไม่พบใน Ownership Matrix")))</f>
        <v/>
      </c>
      <c r="Z415" s="31" t="str">
        <f>IF(NOT(AND($A415&lt;&gt;"",$M415&lt;&gt;"Out of Scope",$M415&lt;&gt;"Canceled",$T415&lt;&gt;"Fixed – Retest Passed",OR(LEN(TRIM($O415))&gt;0,LEN(TRIM($P415))&gt;0))),"",IF(OR($W415="Failed",$R415="Urgent",$R415="High",$R415="ระบุ Severity + Impact"),IF(COUNTIFS(Dashboard!$B$105:$B$124,$O415,Dashboard!$I$105:$I$124,"CAB")&gt;0,"Accepted (CF)","Blocking"),"Deferrable"))</f>
        <v/>
      </c>
    </row>
    <row r="416" spans="7:26" x14ac:dyDescent="0.3">
      <c r="G416" s="27" t="str" cm="1">
        <f t="array" ref="G416">IF($A416="","",IFERROR(_xlfn.TEXTJOIN(CHAR(10)&amp;CHAR(10),TRUE,_xlfn._xlws.FILTER("•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"&amp;Cards!$L$4:$L$1000),(Cards!$A$4:$A$1000&lt;&gt;"")*ISNUMBER(SEARCH($A416,Cards!$E$4:$E$1000)))),"-"))</f>
        <v/>
      </c>
      <c r="Q416" s="30"/>
      <c r="R416" s="27" t="str">
        <f>IF(OR($A416="",LEN(TRIM($O416))=0),"",IF(OR($P416="",$Q416=""),"ระบุ Severity + Impact",IFERROR(INDEX({"Urgent","Urgent","High","High";"Urgent","High","High","Medium";"High","High","Medium","Medium";"Medium","Medium","Low","Low"},MATCH($P416,{"Critical","High","Medium","Low"},0),MATCH($Q416,{"Extensive","Significant","Moderate","Minor"},0)),"-")))</f>
        <v/>
      </c>
      <c r="S416" s="30"/>
      <c r="T416" s="30"/>
      <c r="W416" s="32" t="str">
        <f>IF($A416="","",IF(OR($M416="Out of Scope",$M416="Canceled"),"Out of Scope",IF($M416="Blocked","Blocked",IF(AND($T416&lt;&gt;"Fixed – Retest Passed",OR(LEN(TRIM($O416))&gt;0,LEN(TRIM($P416))&gt;0)),IF(AND(OR($L416="Medium",$L416="Low"),SUMPRODUCT((Cards!$A$4:$A$1000&lt;&gt;"")*ISNUMBER(SEARCH($A416,Cards!$E$4:$E$1000))*(Cards!$F$4:$F$1000&lt;&gt;"Medium")*(Cards!$F$4:$F$1000&lt;&gt;"Low"))=0),"Conditionally Passed","Failed"),IF($M416="Done","Passed","Not Run")))))</f>
        <v/>
      </c>
      <c r="Y416" s="27" t="str" cm="1">
        <f t="array" ref="Y416">IF($A416="","",IF(TRIM($B416)="","-",IFERROR(_xlfn.TEXTJOIN(" / ",TRUE,_xlfn.UNIQUE(_xlfn._xlws.FILTER('Ownership Matrix'!$C$5:$C$200,('Ownership Matrix'!$A$5:$A$200=TRIM($B416))*('Ownership Matrix'!$C$5:$C$200&lt;&gt;"")))),"ไม่พบใน Ownership Matrix")))</f>
        <v/>
      </c>
      <c r="Z416" s="31" t="str">
        <f>IF(NOT(AND($A416&lt;&gt;"",$M416&lt;&gt;"Out of Scope",$M416&lt;&gt;"Canceled",$T416&lt;&gt;"Fixed – Retest Passed",OR(LEN(TRIM($O416))&gt;0,LEN(TRIM($P416))&gt;0))),"",IF(OR($W416="Failed",$R416="Urgent",$R416="High",$R416="ระบุ Severity + Impact"),IF(COUNTIFS(Dashboard!$B$105:$B$124,$O416,Dashboard!$I$105:$I$124,"CAB")&gt;0,"Accepted (CF)","Blocking"),"Deferrable"))</f>
        <v/>
      </c>
    </row>
    <row r="417" spans="7:26" x14ac:dyDescent="0.3">
      <c r="G417" s="27" t="str" cm="1">
        <f t="array" ref="G417">IF($A417="","",IFERROR(_xlfn.TEXTJOIN(CHAR(10)&amp;CHAR(10),TRUE,_xlfn._xlws.FILTER("•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"&amp;Cards!$L$4:$L$1000),(Cards!$A$4:$A$1000&lt;&gt;"")*ISNUMBER(SEARCH($A417,Cards!$E$4:$E$1000)))),"-"))</f>
        <v/>
      </c>
      <c r="Q417" s="30"/>
      <c r="R417" s="27" t="str">
        <f>IF(OR($A417="",LEN(TRIM($O417))=0),"",IF(OR($P417="",$Q417=""),"ระบุ Severity + Impact",IFERROR(INDEX({"Urgent","Urgent","High","High";"Urgent","High","High","Medium";"High","High","Medium","Medium";"Medium","Medium","Low","Low"},MATCH($P417,{"Critical","High","Medium","Low"},0),MATCH($Q417,{"Extensive","Significant","Moderate","Minor"},0)),"-")))</f>
        <v/>
      </c>
      <c r="S417" s="30"/>
      <c r="T417" s="30"/>
      <c r="W417" s="32" t="str">
        <f>IF($A417="","",IF(OR($M417="Out of Scope",$M417="Canceled"),"Out of Scope",IF($M417="Blocked","Blocked",IF(AND($T417&lt;&gt;"Fixed – Retest Passed",OR(LEN(TRIM($O417))&gt;0,LEN(TRIM($P417))&gt;0)),IF(AND(OR($L417="Medium",$L417="Low"),SUMPRODUCT((Cards!$A$4:$A$1000&lt;&gt;"")*ISNUMBER(SEARCH($A417,Cards!$E$4:$E$1000))*(Cards!$F$4:$F$1000&lt;&gt;"Medium")*(Cards!$F$4:$F$1000&lt;&gt;"Low"))=0),"Conditionally Passed","Failed"),IF($M417="Done","Passed","Not Run")))))</f>
        <v/>
      </c>
      <c r="Y417" s="27" t="str" cm="1">
        <f t="array" ref="Y417">IF($A417="","",IF(TRIM($B417)="","-",IFERROR(_xlfn.TEXTJOIN(" / ",TRUE,_xlfn.UNIQUE(_xlfn._xlws.FILTER('Ownership Matrix'!$C$5:$C$200,('Ownership Matrix'!$A$5:$A$200=TRIM($B417))*('Ownership Matrix'!$C$5:$C$200&lt;&gt;"")))),"ไม่พบใน Ownership Matrix")))</f>
        <v/>
      </c>
      <c r="Z417" s="31" t="str">
        <f>IF(NOT(AND($A417&lt;&gt;"",$M417&lt;&gt;"Out of Scope",$M417&lt;&gt;"Canceled",$T417&lt;&gt;"Fixed – Retest Passed",OR(LEN(TRIM($O417))&gt;0,LEN(TRIM($P417))&gt;0))),"",IF(OR($W417="Failed",$R417="Urgent",$R417="High",$R417="ระบุ Severity + Impact"),IF(COUNTIFS(Dashboard!$B$105:$B$124,$O417,Dashboard!$I$105:$I$124,"CAB")&gt;0,"Accepted (CF)","Blocking"),"Deferrable"))</f>
        <v/>
      </c>
    </row>
    <row r="418" spans="7:26" x14ac:dyDescent="0.3">
      <c r="G418" s="27" t="str" cm="1">
        <f t="array" ref="G418">IF($A418="","",IFERROR(_xlfn.TEXTJOIN(CHAR(10)&amp;CHAR(10),TRUE,_xlfn._xlws.FILTER("•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"&amp;Cards!$L$4:$L$1000),(Cards!$A$4:$A$1000&lt;&gt;"")*ISNUMBER(SEARCH($A418,Cards!$E$4:$E$1000)))),"-"))</f>
        <v/>
      </c>
      <c r="Q418" s="30"/>
      <c r="R418" s="27" t="str">
        <f>IF(OR($A418="",LEN(TRIM($O418))=0),"",IF(OR($P418="",$Q418=""),"ระบุ Severity + Impact",IFERROR(INDEX({"Urgent","Urgent","High","High";"Urgent","High","High","Medium";"High","High","Medium","Medium";"Medium","Medium","Low","Low"},MATCH($P418,{"Critical","High","Medium","Low"},0),MATCH($Q418,{"Extensive","Significant","Moderate","Minor"},0)),"-")))</f>
        <v/>
      </c>
      <c r="S418" s="30"/>
      <c r="T418" s="30"/>
      <c r="W418" s="32" t="str">
        <f>IF($A418="","",IF(OR($M418="Out of Scope",$M418="Canceled"),"Out of Scope",IF($M418="Blocked","Blocked",IF(AND($T418&lt;&gt;"Fixed – Retest Passed",OR(LEN(TRIM($O418))&gt;0,LEN(TRIM($P418))&gt;0)),IF(AND(OR($L418="Medium",$L418="Low"),SUMPRODUCT((Cards!$A$4:$A$1000&lt;&gt;"")*ISNUMBER(SEARCH($A418,Cards!$E$4:$E$1000))*(Cards!$F$4:$F$1000&lt;&gt;"Medium")*(Cards!$F$4:$F$1000&lt;&gt;"Low"))=0),"Conditionally Passed","Failed"),IF($M418="Done","Passed","Not Run")))))</f>
        <v/>
      </c>
      <c r="Y418" s="27" t="str" cm="1">
        <f t="array" ref="Y418">IF($A418="","",IF(TRIM($B418)="","-",IFERROR(_xlfn.TEXTJOIN(" / ",TRUE,_xlfn.UNIQUE(_xlfn._xlws.FILTER('Ownership Matrix'!$C$5:$C$200,('Ownership Matrix'!$A$5:$A$200=TRIM($B418))*('Ownership Matrix'!$C$5:$C$200&lt;&gt;"")))),"ไม่พบใน Ownership Matrix")))</f>
        <v/>
      </c>
      <c r="Z418" s="31" t="str">
        <f>IF(NOT(AND($A418&lt;&gt;"",$M418&lt;&gt;"Out of Scope",$M418&lt;&gt;"Canceled",$T418&lt;&gt;"Fixed – Retest Passed",OR(LEN(TRIM($O418))&gt;0,LEN(TRIM($P418))&gt;0))),"",IF(OR($W418="Failed",$R418="Urgent",$R418="High",$R418="ระบุ Severity + Impact"),IF(COUNTIFS(Dashboard!$B$105:$B$124,$O418,Dashboard!$I$105:$I$124,"CAB")&gt;0,"Accepted (CF)","Blocking"),"Deferrable"))</f>
        <v/>
      </c>
    </row>
    <row r="419" spans="7:26" x14ac:dyDescent="0.3">
      <c r="G419" s="27" t="str" cm="1">
        <f t="array" ref="G419">IF($A419="","",IFERROR(_xlfn.TEXTJOIN(CHAR(10)&amp;CHAR(10),TRUE,_xlfn._xlws.FILTER("•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"&amp;Cards!$L$4:$L$1000),(Cards!$A$4:$A$1000&lt;&gt;"")*ISNUMBER(SEARCH($A419,Cards!$E$4:$E$1000)))),"-"))</f>
        <v/>
      </c>
      <c r="Q419" s="30"/>
      <c r="R419" s="27" t="str">
        <f>IF(OR($A419="",LEN(TRIM($O419))=0),"",IF(OR($P419="",$Q419=""),"ระบุ Severity + Impact",IFERROR(INDEX({"Urgent","Urgent","High","High";"Urgent","High","High","Medium";"High","High","Medium","Medium";"Medium","Medium","Low","Low"},MATCH($P419,{"Critical","High","Medium","Low"},0),MATCH($Q419,{"Extensive","Significant","Moderate","Minor"},0)),"-")))</f>
        <v/>
      </c>
      <c r="S419" s="30"/>
      <c r="T419" s="30"/>
      <c r="W419" s="32" t="str">
        <f>IF($A419="","",IF(OR($M419="Out of Scope",$M419="Canceled"),"Out of Scope",IF($M419="Blocked","Blocked",IF(AND($T419&lt;&gt;"Fixed – Retest Passed",OR(LEN(TRIM($O419))&gt;0,LEN(TRIM($P419))&gt;0)),IF(AND(OR($L419="Medium",$L419="Low"),SUMPRODUCT((Cards!$A$4:$A$1000&lt;&gt;"")*ISNUMBER(SEARCH($A419,Cards!$E$4:$E$1000))*(Cards!$F$4:$F$1000&lt;&gt;"Medium")*(Cards!$F$4:$F$1000&lt;&gt;"Low"))=0),"Conditionally Passed","Failed"),IF($M419="Done","Passed","Not Run")))))</f>
        <v/>
      </c>
      <c r="Y419" s="27" t="str" cm="1">
        <f t="array" ref="Y419">IF($A419="","",IF(TRIM($B419)="","-",IFERROR(_xlfn.TEXTJOIN(" / ",TRUE,_xlfn.UNIQUE(_xlfn._xlws.FILTER('Ownership Matrix'!$C$5:$C$200,('Ownership Matrix'!$A$5:$A$200=TRIM($B419))*('Ownership Matrix'!$C$5:$C$200&lt;&gt;"")))),"ไม่พบใน Ownership Matrix")))</f>
        <v/>
      </c>
      <c r="Z419" s="31" t="str">
        <f>IF(NOT(AND($A419&lt;&gt;"",$M419&lt;&gt;"Out of Scope",$M419&lt;&gt;"Canceled",$T419&lt;&gt;"Fixed – Retest Passed",OR(LEN(TRIM($O419))&gt;0,LEN(TRIM($P419))&gt;0))),"",IF(OR($W419="Failed",$R419="Urgent",$R419="High",$R419="ระบุ Severity + Impact"),IF(COUNTIFS(Dashboard!$B$105:$B$124,$O419,Dashboard!$I$105:$I$124,"CAB")&gt;0,"Accepted (CF)","Blocking"),"Deferrable"))</f>
        <v/>
      </c>
    </row>
    <row r="420" spans="7:26" x14ac:dyDescent="0.3">
      <c r="G420" s="27" t="str" cm="1">
        <f t="array" ref="G420">IF($A420="","",IFERROR(_xlfn.TEXTJOIN(CHAR(10)&amp;CHAR(10),TRUE,_xlfn._xlws.FILTER("•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"&amp;Cards!$L$4:$L$1000),(Cards!$A$4:$A$1000&lt;&gt;"")*ISNUMBER(SEARCH($A420,Cards!$E$4:$E$1000)))),"-"))</f>
        <v/>
      </c>
      <c r="Q420" s="30"/>
      <c r="R420" s="27" t="str">
        <f>IF(OR($A420="",LEN(TRIM($O420))=0),"",IF(OR($P420="",$Q420=""),"ระบุ Severity + Impact",IFERROR(INDEX({"Urgent","Urgent","High","High";"Urgent","High","High","Medium";"High","High","Medium","Medium";"Medium","Medium","Low","Low"},MATCH($P420,{"Critical","High","Medium","Low"},0),MATCH($Q420,{"Extensive","Significant","Moderate","Minor"},0)),"-")))</f>
        <v/>
      </c>
      <c r="S420" s="30"/>
      <c r="T420" s="30"/>
      <c r="W420" s="32" t="str">
        <f>IF($A420="","",IF(OR($M420="Out of Scope",$M420="Canceled"),"Out of Scope",IF($M420="Blocked","Blocked",IF(AND($T420&lt;&gt;"Fixed – Retest Passed",OR(LEN(TRIM($O420))&gt;0,LEN(TRIM($P420))&gt;0)),IF(AND(OR($L420="Medium",$L420="Low"),SUMPRODUCT((Cards!$A$4:$A$1000&lt;&gt;"")*ISNUMBER(SEARCH($A420,Cards!$E$4:$E$1000))*(Cards!$F$4:$F$1000&lt;&gt;"Medium")*(Cards!$F$4:$F$1000&lt;&gt;"Low"))=0),"Conditionally Passed","Failed"),IF($M420="Done","Passed","Not Run")))))</f>
        <v/>
      </c>
      <c r="Y420" s="27" t="str" cm="1">
        <f t="array" ref="Y420">IF($A420="","",IF(TRIM($B420)="","-",IFERROR(_xlfn.TEXTJOIN(" / ",TRUE,_xlfn.UNIQUE(_xlfn._xlws.FILTER('Ownership Matrix'!$C$5:$C$200,('Ownership Matrix'!$A$5:$A$200=TRIM($B420))*('Ownership Matrix'!$C$5:$C$200&lt;&gt;"")))),"ไม่พบใน Ownership Matrix")))</f>
        <v/>
      </c>
      <c r="Z420" s="31" t="str">
        <f>IF(NOT(AND($A420&lt;&gt;"",$M420&lt;&gt;"Out of Scope",$M420&lt;&gt;"Canceled",$T420&lt;&gt;"Fixed – Retest Passed",OR(LEN(TRIM($O420))&gt;0,LEN(TRIM($P420))&gt;0))),"",IF(OR($W420="Failed",$R420="Urgent",$R420="High",$R420="ระบุ Severity + Impact"),IF(COUNTIFS(Dashboard!$B$105:$B$124,$O420,Dashboard!$I$105:$I$124,"CAB")&gt;0,"Accepted (CF)","Blocking"),"Deferrable"))</f>
        <v/>
      </c>
    </row>
    <row r="421" spans="7:26" x14ac:dyDescent="0.3">
      <c r="G421" s="27" t="str" cm="1">
        <f t="array" ref="G421">IF($A421="","",IFERROR(_xlfn.TEXTJOIN(CHAR(10)&amp;CHAR(10),TRUE,_xlfn._xlws.FILTER("•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"&amp;Cards!$L$4:$L$1000),(Cards!$A$4:$A$1000&lt;&gt;"")*ISNUMBER(SEARCH($A421,Cards!$E$4:$E$1000)))),"-"))</f>
        <v/>
      </c>
      <c r="Q421" s="30"/>
      <c r="R421" s="27" t="str">
        <f>IF(OR($A421="",LEN(TRIM($O421))=0),"",IF(OR($P421="",$Q421=""),"ระบุ Severity + Impact",IFERROR(INDEX({"Urgent","Urgent","High","High";"Urgent","High","High","Medium";"High","High","Medium","Medium";"Medium","Medium","Low","Low"},MATCH($P421,{"Critical","High","Medium","Low"},0),MATCH($Q421,{"Extensive","Significant","Moderate","Minor"},0)),"-")))</f>
        <v/>
      </c>
      <c r="S421" s="30"/>
      <c r="T421" s="30"/>
      <c r="W421" s="32" t="str">
        <f>IF($A421="","",IF(OR($M421="Out of Scope",$M421="Canceled"),"Out of Scope",IF($M421="Blocked","Blocked",IF(AND($T421&lt;&gt;"Fixed – Retest Passed",OR(LEN(TRIM($O421))&gt;0,LEN(TRIM($P421))&gt;0)),IF(AND(OR($L421="Medium",$L421="Low"),SUMPRODUCT((Cards!$A$4:$A$1000&lt;&gt;"")*ISNUMBER(SEARCH($A421,Cards!$E$4:$E$1000))*(Cards!$F$4:$F$1000&lt;&gt;"Medium")*(Cards!$F$4:$F$1000&lt;&gt;"Low"))=0),"Conditionally Passed","Failed"),IF($M421="Done","Passed","Not Run")))))</f>
        <v/>
      </c>
      <c r="Y421" s="27" t="str" cm="1">
        <f t="array" ref="Y421">IF($A421="","",IF(TRIM($B421)="","-",IFERROR(_xlfn.TEXTJOIN(" / ",TRUE,_xlfn.UNIQUE(_xlfn._xlws.FILTER('Ownership Matrix'!$C$5:$C$200,('Ownership Matrix'!$A$5:$A$200=TRIM($B421))*('Ownership Matrix'!$C$5:$C$200&lt;&gt;"")))),"ไม่พบใน Ownership Matrix")))</f>
        <v/>
      </c>
      <c r="Z421" s="31" t="str">
        <f>IF(NOT(AND($A421&lt;&gt;"",$M421&lt;&gt;"Out of Scope",$M421&lt;&gt;"Canceled",$T421&lt;&gt;"Fixed – Retest Passed",OR(LEN(TRIM($O421))&gt;0,LEN(TRIM($P421))&gt;0))),"",IF(OR($W421="Failed",$R421="Urgent",$R421="High",$R421="ระบุ Severity + Impact"),IF(COUNTIFS(Dashboard!$B$105:$B$124,$O421,Dashboard!$I$105:$I$124,"CAB")&gt;0,"Accepted (CF)","Blocking"),"Deferrable"))</f>
        <v/>
      </c>
    </row>
    <row r="422" spans="7:26" x14ac:dyDescent="0.3">
      <c r="G422" s="27" t="str" cm="1">
        <f t="array" ref="G422">IF($A422="","",IFERROR(_xlfn.TEXTJOIN(CHAR(10)&amp;CHAR(10),TRUE,_xlfn._xlws.FILTER("•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"&amp;Cards!$L$4:$L$1000),(Cards!$A$4:$A$1000&lt;&gt;"")*ISNUMBER(SEARCH($A422,Cards!$E$4:$E$1000)))),"-"))</f>
        <v/>
      </c>
      <c r="Q422" s="30"/>
      <c r="R422" s="27" t="str">
        <f>IF(OR($A422="",LEN(TRIM($O422))=0),"",IF(OR($P422="",$Q422=""),"ระบุ Severity + Impact",IFERROR(INDEX({"Urgent","Urgent","High","High";"Urgent","High","High","Medium";"High","High","Medium","Medium";"Medium","Medium","Low","Low"},MATCH($P422,{"Critical","High","Medium","Low"},0),MATCH($Q422,{"Extensive","Significant","Moderate","Minor"},0)),"-")))</f>
        <v/>
      </c>
      <c r="S422" s="30"/>
      <c r="T422" s="30"/>
      <c r="W422" s="32" t="str">
        <f>IF($A422="","",IF(OR($M422="Out of Scope",$M422="Canceled"),"Out of Scope",IF($M422="Blocked","Blocked",IF(AND($T422&lt;&gt;"Fixed – Retest Passed",OR(LEN(TRIM($O422))&gt;0,LEN(TRIM($P422))&gt;0)),IF(AND(OR($L422="Medium",$L422="Low"),SUMPRODUCT((Cards!$A$4:$A$1000&lt;&gt;"")*ISNUMBER(SEARCH($A422,Cards!$E$4:$E$1000))*(Cards!$F$4:$F$1000&lt;&gt;"Medium")*(Cards!$F$4:$F$1000&lt;&gt;"Low"))=0),"Conditionally Passed","Failed"),IF($M422="Done","Passed","Not Run")))))</f>
        <v/>
      </c>
      <c r="Y422" s="27" t="str" cm="1">
        <f t="array" ref="Y422">IF($A422="","",IF(TRIM($B422)="","-",IFERROR(_xlfn.TEXTJOIN(" / ",TRUE,_xlfn.UNIQUE(_xlfn._xlws.FILTER('Ownership Matrix'!$C$5:$C$200,('Ownership Matrix'!$A$5:$A$200=TRIM($B422))*('Ownership Matrix'!$C$5:$C$200&lt;&gt;"")))),"ไม่พบใน Ownership Matrix")))</f>
        <v/>
      </c>
      <c r="Z422" s="31" t="str">
        <f>IF(NOT(AND($A422&lt;&gt;"",$M422&lt;&gt;"Out of Scope",$M422&lt;&gt;"Canceled",$T422&lt;&gt;"Fixed – Retest Passed",OR(LEN(TRIM($O422))&gt;0,LEN(TRIM($P422))&gt;0))),"",IF(OR($W422="Failed",$R422="Urgent",$R422="High",$R422="ระบุ Severity + Impact"),IF(COUNTIFS(Dashboard!$B$105:$B$124,$O422,Dashboard!$I$105:$I$124,"CAB")&gt;0,"Accepted (CF)","Blocking"),"Deferrable"))</f>
        <v/>
      </c>
    </row>
    <row r="423" spans="7:26" x14ac:dyDescent="0.3">
      <c r="G423" s="27" t="str" cm="1">
        <f t="array" ref="G423">IF($A423="","",IFERROR(_xlfn.TEXTJOIN(CHAR(10)&amp;CHAR(10),TRUE,_xlfn._xlws.FILTER("•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"&amp;Cards!$L$4:$L$1000),(Cards!$A$4:$A$1000&lt;&gt;"")*ISNUMBER(SEARCH($A423,Cards!$E$4:$E$1000)))),"-"))</f>
        <v/>
      </c>
      <c r="Q423" s="30"/>
      <c r="R423" s="27" t="str">
        <f>IF(OR($A423="",LEN(TRIM($O423))=0),"",IF(OR($P423="",$Q423=""),"ระบุ Severity + Impact",IFERROR(INDEX({"Urgent","Urgent","High","High";"Urgent","High","High","Medium";"High","High","Medium","Medium";"Medium","Medium","Low","Low"},MATCH($P423,{"Critical","High","Medium","Low"},0),MATCH($Q423,{"Extensive","Significant","Moderate","Minor"},0)),"-")))</f>
        <v/>
      </c>
      <c r="S423" s="30"/>
      <c r="T423" s="30"/>
      <c r="W423" s="32" t="str">
        <f>IF($A423="","",IF(OR($M423="Out of Scope",$M423="Canceled"),"Out of Scope",IF($M423="Blocked","Blocked",IF(AND($T423&lt;&gt;"Fixed – Retest Passed",OR(LEN(TRIM($O423))&gt;0,LEN(TRIM($P423))&gt;0)),IF(AND(OR($L423="Medium",$L423="Low"),SUMPRODUCT((Cards!$A$4:$A$1000&lt;&gt;"")*ISNUMBER(SEARCH($A423,Cards!$E$4:$E$1000))*(Cards!$F$4:$F$1000&lt;&gt;"Medium")*(Cards!$F$4:$F$1000&lt;&gt;"Low"))=0),"Conditionally Passed","Failed"),IF($M423="Done","Passed","Not Run")))))</f>
        <v/>
      </c>
      <c r="Y423" s="27" t="str" cm="1">
        <f t="array" ref="Y423">IF($A423="","",IF(TRIM($B423)="","-",IFERROR(_xlfn.TEXTJOIN(" / ",TRUE,_xlfn.UNIQUE(_xlfn._xlws.FILTER('Ownership Matrix'!$C$5:$C$200,('Ownership Matrix'!$A$5:$A$200=TRIM($B423))*('Ownership Matrix'!$C$5:$C$200&lt;&gt;"")))),"ไม่พบใน Ownership Matrix")))</f>
        <v/>
      </c>
      <c r="Z423" s="31" t="str">
        <f>IF(NOT(AND($A423&lt;&gt;"",$M423&lt;&gt;"Out of Scope",$M423&lt;&gt;"Canceled",$T423&lt;&gt;"Fixed – Retest Passed",OR(LEN(TRIM($O423))&gt;0,LEN(TRIM($P423))&gt;0))),"",IF(OR($W423="Failed",$R423="Urgent",$R423="High",$R423="ระบุ Severity + Impact"),IF(COUNTIFS(Dashboard!$B$105:$B$124,$O423,Dashboard!$I$105:$I$124,"CAB")&gt;0,"Accepted (CF)","Blocking"),"Deferrable"))</f>
        <v/>
      </c>
    </row>
    <row r="424" spans="7:26" x14ac:dyDescent="0.3">
      <c r="G424" s="27" t="str" cm="1">
        <f t="array" ref="G424">IF($A424="","",IFERROR(_xlfn.TEXTJOIN(CHAR(10)&amp;CHAR(10),TRUE,_xlfn._xlws.FILTER("•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"&amp;Cards!$L$4:$L$1000),(Cards!$A$4:$A$1000&lt;&gt;"")*ISNUMBER(SEARCH($A424,Cards!$E$4:$E$1000)))),"-"))</f>
        <v/>
      </c>
      <c r="Q424" s="30"/>
      <c r="R424" s="27" t="str">
        <f>IF(OR($A424="",LEN(TRIM($O424))=0),"",IF(OR($P424="",$Q424=""),"ระบุ Severity + Impact",IFERROR(INDEX({"Urgent","Urgent","High","High";"Urgent","High","High","Medium";"High","High","Medium","Medium";"Medium","Medium","Low","Low"},MATCH($P424,{"Critical","High","Medium","Low"},0),MATCH($Q424,{"Extensive","Significant","Moderate","Minor"},0)),"-")))</f>
        <v/>
      </c>
      <c r="S424" s="30"/>
      <c r="T424" s="30"/>
      <c r="W424" s="32" t="str">
        <f>IF($A424="","",IF(OR($M424="Out of Scope",$M424="Canceled"),"Out of Scope",IF($M424="Blocked","Blocked",IF(AND($T424&lt;&gt;"Fixed – Retest Passed",OR(LEN(TRIM($O424))&gt;0,LEN(TRIM($P424))&gt;0)),IF(AND(OR($L424="Medium",$L424="Low"),SUMPRODUCT((Cards!$A$4:$A$1000&lt;&gt;"")*ISNUMBER(SEARCH($A424,Cards!$E$4:$E$1000))*(Cards!$F$4:$F$1000&lt;&gt;"Medium")*(Cards!$F$4:$F$1000&lt;&gt;"Low"))=0),"Conditionally Passed","Failed"),IF($M424="Done","Passed","Not Run")))))</f>
        <v/>
      </c>
      <c r="Y424" s="27" t="str" cm="1">
        <f t="array" ref="Y424">IF($A424="","",IF(TRIM($B424)="","-",IFERROR(_xlfn.TEXTJOIN(" / ",TRUE,_xlfn.UNIQUE(_xlfn._xlws.FILTER('Ownership Matrix'!$C$5:$C$200,('Ownership Matrix'!$A$5:$A$200=TRIM($B424))*('Ownership Matrix'!$C$5:$C$200&lt;&gt;"")))),"ไม่พบใน Ownership Matrix")))</f>
        <v/>
      </c>
      <c r="Z424" s="31" t="str">
        <f>IF(NOT(AND($A424&lt;&gt;"",$M424&lt;&gt;"Out of Scope",$M424&lt;&gt;"Canceled",$T424&lt;&gt;"Fixed – Retest Passed",OR(LEN(TRIM($O424))&gt;0,LEN(TRIM($P424))&gt;0))),"",IF(OR($W424="Failed",$R424="Urgent",$R424="High",$R424="ระบุ Severity + Impact"),IF(COUNTIFS(Dashboard!$B$105:$B$124,$O424,Dashboard!$I$105:$I$124,"CAB")&gt;0,"Accepted (CF)","Blocking"),"Deferrable"))</f>
        <v/>
      </c>
    </row>
    <row r="425" spans="7:26" x14ac:dyDescent="0.3">
      <c r="G425" s="27" t="str" cm="1">
        <f t="array" ref="G425">IF($A425="","",IFERROR(_xlfn.TEXTJOIN(CHAR(10)&amp;CHAR(10),TRUE,_xlfn._xlws.FILTER("•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"&amp;Cards!$L$4:$L$1000),(Cards!$A$4:$A$1000&lt;&gt;"")*ISNUMBER(SEARCH($A425,Cards!$E$4:$E$1000)))),"-"))</f>
        <v/>
      </c>
      <c r="Q425" s="30"/>
      <c r="R425" s="27" t="str">
        <f>IF(OR($A425="",LEN(TRIM($O425))=0),"",IF(OR($P425="",$Q425=""),"ระบุ Severity + Impact",IFERROR(INDEX({"Urgent","Urgent","High","High";"Urgent","High","High","Medium";"High","High","Medium","Medium";"Medium","Medium","Low","Low"},MATCH($P425,{"Critical","High","Medium","Low"},0),MATCH($Q425,{"Extensive","Significant","Moderate","Minor"},0)),"-")))</f>
        <v/>
      </c>
      <c r="S425" s="30"/>
      <c r="T425" s="30"/>
      <c r="W425" s="32" t="str">
        <f>IF($A425="","",IF(OR($M425="Out of Scope",$M425="Canceled"),"Out of Scope",IF($M425="Blocked","Blocked",IF(AND($T425&lt;&gt;"Fixed – Retest Passed",OR(LEN(TRIM($O425))&gt;0,LEN(TRIM($P425))&gt;0)),IF(AND(OR($L425="Medium",$L425="Low"),SUMPRODUCT((Cards!$A$4:$A$1000&lt;&gt;"")*ISNUMBER(SEARCH($A425,Cards!$E$4:$E$1000))*(Cards!$F$4:$F$1000&lt;&gt;"Medium")*(Cards!$F$4:$F$1000&lt;&gt;"Low"))=0),"Conditionally Passed","Failed"),IF($M425="Done","Passed","Not Run")))))</f>
        <v/>
      </c>
      <c r="Y425" s="27" t="str" cm="1">
        <f t="array" ref="Y425">IF($A425="","",IF(TRIM($B425)="","-",IFERROR(_xlfn.TEXTJOIN(" / ",TRUE,_xlfn.UNIQUE(_xlfn._xlws.FILTER('Ownership Matrix'!$C$5:$C$200,('Ownership Matrix'!$A$5:$A$200=TRIM($B425))*('Ownership Matrix'!$C$5:$C$200&lt;&gt;"")))),"ไม่พบใน Ownership Matrix")))</f>
        <v/>
      </c>
      <c r="Z425" s="31" t="str">
        <f>IF(NOT(AND($A425&lt;&gt;"",$M425&lt;&gt;"Out of Scope",$M425&lt;&gt;"Canceled",$T425&lt;&gt;"Fixed – Retest Passed",OR(LEN(TRIM($O425))&gt;0,LEN(TRIM($P425))&gt;0))),"",IF(OR($W425="Failed",$R425="Urgent",$R425="High",$R425="ระบุ Severity + Impact"),IF(COUNTIFS(Dashboard!$B$105:$B$124,$O425,Dashboard!$I$105:$I$124,"CAB")&gt;0,"Accepted (CF)","Blocking"),"Deferrable"))</f>
        <v/>
      </c>
    </row>
    <row r="426" spans="7:26" x14ac:dyDescent="0.3">
      <c r="G426" s="27" t="str" cm="1">
        <f t="array" ref="G426">IF($A426="","",IFERROR(_xlfn.TEXTJOIN(CHAR(10)&amp;CHAR(10),TRUE,_xlfn._xlws.FILTER("•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"&amp;Cards!$L$4:$L$1000),(Cards!$A$4:$A$1000&lt;&gt;"")*ISNUMBER(SEARCH($A426,Cards!$E$4:$E$1000)))),"-"))</f>
        <v/>
      </c>
      <c r="Q426" s="30"/>
      <c r="R426" s="27" t="str">
        <f>IF(OR($A426="",LEN(TRIM($O426))=0),"",IF(OR($P426="",$Q426=""),"ระบุ Severity + Impact",IFERROR(INDEX({"Urgent","Urgent","High","High";"Urgent","High","High","Medium";"High","High","Medium","Medium";"Medium","Medium","Low","Low"},MATCH($P426,{"Critical","High","Medium","Low"},0),MATCH($Q426,{"Extensive","Significant","Moderate","Minor"},0)),"-")))</f>
        <v/>
      </c>
      <c r="S426" s="30"/>
      <c r="T426" s="30"/>
      <c r="W426" s="32" t="str">
        <f>IF($A426="","",IF(OR($M426="Out of Scope",$M426="Canceled"),"Out of Scope",IF($M426="Blocked","Blocked",IF(AND($T426&lt;&gt;"Fixed – Retest Passed",OR(LEN(TRIM($O426))&gt;0,LEN(TRIM($P426))&gt;0)),IF(AND(OR($L426="Medium",$L426="Low"),SUMPRODUCT((Cards!$A$4:$A$1000&lt;&gt;"")*ISNUMBER(SEARCH($A426,Cards!$E$4:$E$1000))*(Cards!$F$4:$F$1000&lt;&gt;"Medium")*(Cards!$F$4:$F$1000&lt;&gt;"Low"))=0),"Conditionally Passed","Failed"),IF($M426="Done","Passed","Not Run")))))</f>
        <v/>
      </c>
      <c r="Y426" s="27" t="str" cm="1">
        <f t="array" ref="Y426">IF($A426="","",IF(TRIM($B426)="","-",IFERROR(_xlfn.TEXTJOIN(" / ",TRUE,_xlfn.UNIQUE(_xlfn._xlws.FILTER('Ownership Matrix'!$C$5:$C$200,('Ownership Matrix'!$A$5:$A$200=TRIM($B426))*('Ownership Matrix'!$C$5:$C$200&lt;&gt;"")))),"ไม่พบใน Ownership Matrix")))</f>
        <v/>
      </c>
      <c r="Z426" s="31" t="str">
        <f>IF(NOT(AND($A426&lt;&gt;"",$M426&lt;&gt;"Out of Scope",$M426&lt;&gt;"Canceled",$T426&lt;&gt;"Fixed – Retest Passed",OR(LEN(TRIM($O426))&gt;0,LEN(TRIM($P426))&gt;0))),"",IF(OR($W426="Failed",$R426="Urgent",$R426="High",$R426="ระบุ Severity + Impact"),IF(COUNTIFS(Dashboard!$B$105:$B$124,$O426,Dashboard!$I$105:$I$124,"CAB")&gt;0,"Accepted (CF)","Blocking"),"Deferrable"))</f>
        <v/>
      </c>
    </row>
    <row r="427" spans="7:26" x14ac:dyDescent="0.3">
      <c r="G427" s="27" t="str" cm="1">
        <f t="array" ref="G427">IF($A427="","",IFERROR(_xlfn.TEXTJOIN(CHAR(10)&amp;CHAR(10),TRUE,_xlfn._xlws.FILTER("•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"&amp;Cards!$L$4:$L$1000),(Cards!$A$4:$A$1000&lt;&gt;"")*ISNUMBER(SEARCH($A427,Cards!$E$4:$E$1000)))),"-"))</f>
        <v/>
      </c>
      <c r="Q427" s="30"/>
      <c r="R427" s="27" t="str">
        <f>IF(OR($A427="",LEN(TRIM($O427))=0),"",IF(OR($P427="",$Q427=""),"ระบุ Severity + Impact",IFERROR(INDEX({"Urgent","Urgent","High","High";"Urgent","High","High","Medium";"High","High","Medium","Medium";"Medium","Medium","Low","Low"},MATCH($P427,{"Critical","High","Medium","Low"},0),MATCH($Q427,{"Extensive","Significant","Moderate","Minor"},0)),"-")))</f>
        <v/>
      </c>
      <c r="S427" s="30"/>
      <c r="T427" s="30"/>
      <c r="W427" s="32" t="str">
        <f>IF($A427="","",IF(OR($M427="Out of Scope",$M427="Canceled"),"Out of Scope",IF($M427="Blocked","Blocked",IF(AND($T427&lt;&gt;"Fixed – Retest Passed",OR(LEN(TRIM($O427))&gt;0,LEN(TRIM($P427))&gt;0)),IF(AND(OR($L427="Medium",$L427="Low"),SUMPRODUCT((Cards!$A$4:$A$1000&lt;&gt;"")*ISNUMBER(SEARCH($A427,Cards!$E$4:$E$1000))*(Cards!$F$4:$F$1000&lt;&gt;"Medium")*(Cards!$F$4:$F$1000&lt;&gt;"Low"))=0),"Conditionally Passed","Failed"),IF($M427="Done","Passed","Not Run")))))</f>
        <v/>
      </c>
      <c r="Y427" s="27" t="str" cm="1">
        <f t="array" ref="Y427">IF($A427="","",IF(TRIM($B427)="","-",IFERROR(_xlfn.TEXTJOIN(" / ",TRUE,_xlfn.UNIQUE(_xlfn._xlws.FILTER('Ownership Matrix'!$C$5:$C$200,('Ownership Matrix'!$A$5:$A$200=TRIM($B427))*('Ownership Matrix'!$C$5:$C$200&lt;&gt;"")))),"ไม่พบใน Ownership Matrix")))</f>
        <v/>
      </c>
      <c r="Z427" s="31" t="str">
        <f>IF(NOT(AND($A427&lt;&gt;"",$M427&lt;&gt;"Out of Scope",$M427&lt;&gt;"Canceled",$T427&lt;&gt;"Fixed – Retest Passed",OR(LEN(TRIM($O427))&gt;0,LEN(TRIM($P427))&gt;0))),"",IF(OR($W427="Failed",$R427="Urgent",$R427="High",$R427="ระบุ Severity + Impact"),IF(COUNTIFS(Dashboard!$B$105:$B$124,$O427,Dashboard!$I$105:$I$124,"CAB")&gt;0,"Accepted (CF)","Blocking"),"Deferrable"))</f>
        <v/>
      </c>
    </row>
    <row r="428" spans="7:26" x14ac:dyDescent="0.3">
      <c r="G428" s="27" t="str" cm="1">
        <f t="array" ref="G428">IF($A428="","",IFERROR(_xlfn.TEXTJOIN(CHAR(10)&amp;CHAR(10),TRUE,_xlfn._xlws.FILTER("•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"&amp;Cards!$L$4:$L$1000),(Cards!$A$4:$A$1000&lt;&gt;"")*ISNUMBER(SEARCH($A428,Cards!$E$4:$E$1000)))),"-"))</f>
        <v/>
      </c>
      <c r="Q428" s="30"/>
      <c r="R428" s="27" t="str">
        <f>IF(OR($A428="",LEN(TRIM($O428))=0),"",IF(OR($P428="",$Q428=""),"ระบุ Severity + Impact",IFERROR(INDEX({"Urgent","Urgent","High","High";"Urgent","High","High","Medium";"High","High","Medium","Medium";"Medium","Medium","Low","Low"},MATCH($P428,{"Critical","High","Medium","Low"},0),MATCH($Q428,{"Extensive","Significant","Moderate","Minor"},0)),"-")))</f>
        <v/>
      </c>
      <c r="S428" s="30"/>
      <c r="T428" s="30"/>
      <c r="W428" s="32" t="str">
        <f>IF($A428="","",IF(OR($M428="Out of Scope",$M428="Canceled"),"Out of Scope",IF($M428="Blocked","Blocked",IF(AND($T428&lt;&gt;"Fixed – Retest Passed",OR(LEN(TRIM($O428))&gt;0,LEN(TRIM($P428))&gt;0)),IF(AND(OR($L428="Medium",$L428="Low"),SUMPRODUCT((Cards!$A$4:$A$1000&lt;&gt;"")*ISNUMBER(SEARCH($A428,Cards!$E$4:$E$1000))*(Cards!$F$4:$F$1000&lt;&gt;"Medium")*(Cards!$F$4:$F$1000&lt;&gt;"Low"))=0),"Conditionally Passed","Failed"),IF($M428="Done","Passed","Not Run")))))</f>
        <v/>
      </c>
      <c r="Y428" s="27" t="str" cm="1">
        <f t="array" ref="Y428">IF($A428="","",IF(TRIM($B428)="","-",IFERROR(_xlfn.TEXTJOIN(" / ",TRUE,_xlfn.UNIQUE(_xlfn._xlws.FILTER('Ownership Matrix'!$C$5:$C$200,('Ownership Matrix'!$A$5:$A$200=TRIM($B428))*('Ownership Matrix'!$C$5:$C$200&lt;&gt;"")))),"ไม่พบใน Ownership Matrix")))</f>
        <v/>
      </c>
      <c r="Z428" s="31" t="str">
        <f>IF(NOT(AND($A428&lt;&gt;"",$M428&lt;&gt;"Out of Scope",$M428&lt;&gt;"Canceled",$T428&lt;&gt;"Fixed – Retest Passed",OR(LEN(TRIM($O428))&gt;0,LEN(TRIM($P428))&gt;0))),"",IF(OR($W428="Failed",$R428="Urgent",$R428="High",$R428="ระบุ Severity + Impact"),IF(COUNTIFS(Dashboard!$B$105:$B$124,$O428,Dashboard!$I$105:$I$124,"CAB")&gt;0,"Accepted (CF)","Blocking"),"Deferrable"))</f>
        <v/>
      </c>
    </row>
    <row r="429" spans="7:26" x14ac:dyDescent="0.3">
      <c r="G429" s="27" t="str" cm="1">
        <f t="array" ref="G429">IF($A429="","",IFERROR(_xlfn.TEXTJOIN(CHAR(10)&amp;CHAR(10),TRUE,_xlfn._xlws.FILTER("•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"&amp;Cards!$L$4:$L$1000),(Cards!$A$4:$A$1000&lt;&gt;"")*ISNUMBER(SEARCH($A429,Cards!$E$4:$E$1000)))),"-"))</f>
        <v/>
      </c>
      <c r="Q429" s="30"/>
      <c r="R429" s="27" t="str">
        <f>IF(OR($A429="",LEN(TRIM($O429))=0),"",IF(OR($P429="",$Q429=""),"ระบุ Severity + Impact",IFERROR(INDEX({"Urgent","Urgent","High","High";"Urgent","High","High","Medium";"High","High","Medium","Medium";"Medium","Medium","Low","Low"},MATCH($P429,{"Critical","High","Medium","Low"},0),MATCH($Q429,{"Extensive","Significant","Moderate","Minor"},0)),"-")))</f>
        <v/>
      </c>
      <c r="S429" s="30"/>
      <c r="T429" s="30"/>
      <c r="W429" s="32" t="str">
        <f>IF($A429="","",IF(OR($M429="Out of Scope",$M429="Canceled"),"Out of Scope",IF($M429="Blocked","Blocked",IF(AND($T429&lt;&gt;"Fixed – Retest Passed",OR(LEN(TRIM($O429))&gt;0,LEN(TRIM($P429))&gt;0)),IF(AND(OR($L429="Medium",$L429="Low"),SUMPRODUCT((Cards!$A$4:$A$1000&lt;&gt;"")*ISNUMBER(SEARCH($A429,Cards!$E$4:$E$1000))*(Cards!$F$4:$F$1000&lt;&gt;"Medium")*(Cards!$F$4:$F$1000&lt;&gt;"Low"))=0),"Conditionally Passed","Failed"),IF($M429="Done","Passed","Not Run")))))</f>
        <v/>
      </c>
      <c r="Y429" s="27" t="str" cm="1">
        <f t="array" ref="Y429">IF($A429="","",IF(TRIM($B429)="","-",IFERROR(_xlfn.TEXTJOIN(" / ",TRUE,_xlfn.UNIQUE(_xlfn._xlws.FILTER('Ownership Matrix'!$C$5:$C$200,('Ownership Matrix'!$A$5:$A$200=TRIM($B429))*('Ownership Matrix'!$C$5:$C$200&lt;&gt;"")))),"ไม่พบใน Ownership Matrix")))</f>
        <v/>
      </c>
      <c r="Z429" s="31" t="str">
        <f>IF(NOT(AND($A429&lt;&gt;"",$M429&lt;&gt;"Out of Scope",$M429&lt;&gt;"Canceled",$T429&lt;&gt;"Fixed – Retest Passed",OR(LEN(TRIM($O429))&gt;0,LEN(TRIM($P429))&gt;0))),"",IF(OR($W429="Failed",$R429="Urgent",$R429="High",$R429="ระบุ Severity + Impact"),IF(COUNTIFS(Dashboard!$B$105:$B$124,$O429,Dashboard!$I$105:$I$124,"CAB")&gt;0,"Accepted (CF)","Blocking"),"Deferrable"))</f>
        <v/>
      </c>
    </row>
    <row r="430" spans="7:26" x14ac:dyDescent="0.3">
      <c r="G430" s="27" t="str" cm="1">
        <f t="array" ref="G430">IF($A430="","",IFERROR(_xlfn.TEXTJOIN(CHAR(10)&amp;CHAR(10),TRUE,_xlfn._xlws.FILTER("•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"&amp;Cards!$L$4:$L$1000),(Cards!$A$4:$A$1000&lt;&gt;"")*ISNUMBER(SEARCH($A430,Cards!$E$4:$E$1000)))),"-"))</f>
        <v/>
      </c>
      <c r="Q430" s="30"/>
      <c r="R430" s="27" t="str">
        <f>IF(OR($A430="",LEN(TRIM($O430))=0),"",IF(OR($P430="",$Q430=""),"ระบุ Severity + Impact",IFERROR(INDEX({"Urgent","Urgent","High","High";"Urgent","High","High","Medium";"High","High","Medium","Medium";"Medium","Medium","Low","Low"},MATCH($P430,{"Critical","High","Medium","Low"},0),MATCH($Q430,{"Extensive","Significant","Moderate","Minor"},0)),"-")))</f>
        <v/>
      </c>
      <c r="S430" s="30"/>
      <c r="T430" s="30"/>
      <c r="W430" s="32" t="str">
        <f>IF($A430="","",IF(OR($M430="Out of Scope",$M430="Canceled"),"Out of Scope",IF($M430="Blocked","Blocked",IF(AND($T430&lt;&gt;"Fixed – Retest Passed",OR(LEN(TRIM($O430))&gt;0,LEN(TRIM($P430))&gt;0)),IF(AND(OR($L430="Medium",$L430="Low"),SUMPRODUCT((Cards!$A$4:$A$1000&lt;&gt;"")*ISNUMBER(SEARCH($A430,Cards!$E$4:$E$1000))*(Cards!$F$4:$F$1000&lt;&gt;"Medium")*(Cards!$F$4:$F$1000&lt;&gt;"Low"))=0),"Conditionally Passed","Failed"),IF($M430="Done","Passed","Not Run")))))</f>
        <v/>
      </c>
      <c r="Y430" s="27" t="str" cm="1">
        <f t="array" ref="Y430">IF($A430="","",IF(TRIM($B430)="","-",IFERROR(_xlfn.TEXTJOIN(" / ",TRUE,_xlfn.UNIQUE(_xlfn._xlws.FILTER('Ownership Matrix'!$C$5:$C$200,('Ownership Matrix'!$A$5:$A$200=TRIM($B430))*('Ownership Matrix'!$C$5:$C$200&lt;&gt;"")))),"ไม่พบใน Ownership Matrix")))</f>
        <v/>
      </c>
      <c r="Z430" s="31" t="str">
        <f>IF(NOT(AND($A430&lt;&gt;"",$M430&lt;&gt;"Out of Scope",$M430&lt;&gt;"Canceled",$T430&lt;&gt;"Fixed – Retest Passed",OR(LEN(TRIM($O430))&gt;0,LEN(TRIM($P430))&gt;0))),"",IF(OR($W430="Failed",$R430="Urgent",$R430="High",$R430="ระบุ Severity + Impact"),IF(COUNTIFS(Dashboard!$B$105:$B$124,$O430,Dashboard!$I$105:$I$124,"CAB")&gt;0,"Accepted (CF)","Blocking"),"Deferrable"))</f>
        <v/>
      </c>
    </row>
    <row r="431" spans="7:26" x14ac:dyDescent="0.3">
      <c r="G431" s="27" t="str" cm="1">
        <f t="array" ref="G431">IF($A431="","",IFERROR(_xlfn.TEXTJOIN(CHAR(10)&amp;CHAR(10),TRUE,_xlfn._xlws.FILTER("•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"&amp;Cards!$L$4:$L$1000),(Cards!$A$4:$A$1000&lt;&gt;"")*ISNUMBER(SEARCH($A431,Cards!$E$4:$E$1000)))),"-"))</f>
        <v/>
      </c>
      <c r="Q431" s="30"/>
      <c r="R431" s="27" t="str">
        <f>IF(OR($A431="",LEN(TRIM($O431))=0),"",IF(OR($P431="",$Q431=""),"ระบุ Severity + Impact",IFERROR(INDEX({"Urgent","Urgent","High","High";"Urgent","High","High","Medium";"High","High","Medium","Medium";"Medium","Medium","Low","Low"},MATCH($P431,{"Critical","High","Medium","Low"},0),MATCH($Q431,{"Extensive","Significant","Moderate","Minor"},0)),"-")))</f>
        <v/>
      </c>
      <c r="S431" s="30"/>
      <c r="T431" s="30"/>
      <c r="W431" s="32" t="str">
        <f>IF($A431="","",IF(OR($M431="Out of Scope",$M431="Canceled"),"Out of Scope",IF($M431="Blocked","Blocked",IF(AND($T431&lt;&gt;"Fixed – Retest Passed",OR(LEN(TRIM($O431))&gt;0,LEN(TRIM($P431))&gt;0)),IF(AND(OR($L431="Medium",$L431="Low"),SUMPRODUCT((Cards!$A$4:$A$1000&lt;&gt;"")*ISNUMBER(SEARCH($A431,Cards!$E$4:$E$1000))*(Cards!$F$4:$F$1000&lt;&gt;"Medium")*(Cards!$F$4:$F$1000&lt;&gt;"Low"))=0),"Conditionally Passed","Failed"),IF($M431="Done","Passed","Not Run")))))</f>
        <v/>
      </c>
      <c r="Y431" s="27" t="str" cm="1">
        <f t="array" ref="Y431">IF($A431="","",IF(TRIM($B431)="","-",IFERROR(_xlfn.TEXTJOIN(" / ",TRUE,_xlfn.UNIQUE(_xlfn._xlws.FILTER('Ownership Matrix'!$C$5:$C$200,('Ownership Matrix'!$A$5:$A$200=TRIM($B431))*('Ownership Matrix'!$C$5:$C$200&lt;&gt;"")))),"ไม่พบใน Ownership Matrix")))</f>
        <v/>
      </c>
      <c r="Z431" s="31" t="str">
        <f>IF(NOT(AND($A431&lt;&gt;"",$M431&lt;&gt;"Out of Scope",$M431&lt;&gt;"Canceled",$T431&lt;&gt;"Fixed – Retest Passed",OR(LEN(TRIM($O431))&gt;0,LEN(TRIM($P431))&gt;0))),"",IF(OR($W431="Failed",$R431="Urgent",$R431="High",$R431="ระบุ Severity + Impact"),IF(COUNTIFS(Dashboard!$B$105:$B$124,$O431,Dashboard!$I$105:$I$124,"CAB")&gt;0,"Accepted (CF)","Blocking"),"Deferrable"))</f>
        <v/>
      </c>
    </row>
    <row r="432" spans="7:26" x14ac:dyDescent="0.3">
      <c r="G432" s="27" t="str" cm="1">
        <f t="array" ref="G432">IF($A432="","",IFERROR(_xlfn.TEXTJOIN(CHAR(10)&amp;CHAR(10),TRUE,_xlfn._xlws.FILTER("•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"&amp;Cards!$L$4:$L$1000),(Cards!$A$4:$A$1000&lt;&gt;"")*ISNUMBER(SEARCH($A432,Cards!$E$4:$E$1000)))),"-"))</f>
        <v/>
      </c>
      <c r="Q432" s="30"/>
      <c r="R432" s="27" t="str">
        <f>IF(OR($A432="",LEN(TRIM($O432))=0),"",IF(OR($P432="",$Q432=""),"ระบุ Severity + Impact",IFERROR(INDEX({"Urgent","Urgent","High","High";"Urgent","High","High","Medium";"High","High","Medium","Medium";"Medium","Medium","Low","Low"},MATCH($P432,{"Critical","High","Medium","Low"},0),MATCH($Q432,{"Extensive","Significant","Moderate","Minor"},0)),"-")))</f>
        <v/>
      </c>
      <c r="S432" s="30"/>
      <c r="T432" s="30"/>
      <c r="W432" s="32" t="str">
        <f>IF($A432="","",IF(OR($M432="Out of Scope",$M432="Canceled"),"Out of Scope",IF($M432="Blocked","Blocked",IF(AND($T432&lt;&gt;"Fixed – Retest Passed",OR(LEN(TRIM($O432))&gt;0,LEN(TRIM($P432))&gt;0)),IF(AND(OR($L432="Medium",$L432="Low"),SUMPRODUCT((Cards!$A$4:$A$1000&lt;&gt;"")*ISNUMBER(SEARCH($A432,Cards!$E$4:$E$1000))*(Cards!$F$4:$F$1000&lt;&gt;"Medium")*(Cards!$F$4:$F$1000&lt;&gt;"Low"))=0),"Conditionally Passed","Failed"),IF($M432="Done","Passed","Not Run")))))</f>
        <v/>
      </c>
      <c r="Y432" s="27" t="str" cm="1">
        <f t="array" ref="Y432">IF($A432="","",IF(TRIM($B432)="","-",IFERROR(_xlfn.TEXTJOIN(" / ",TRUE,_xlfn.UNIQUE(_xlfn._xlws.FILTER('Ownership Matrix'!$C$5:$C$200,('Ownership Matrix'!$A$5:$A$200=TRIM($B432))*('Ownership Matrix'!$C$5:$C$200&lt;&gt;"")))),"ไม่พบใน Ownership Matrix")))</f>
        <v/>
      </c>
      <c r="Z432" s="31" t="str">
        <f>IF(NOT(AND($A432&lt;&gt;"",$M432&lt;&gt;"Out of Scope",$M432&lt;&gt;"Canceled",$T432&lt;&gt;"Fixed – Retest Passed",OR(LEN(TRIM($O432))&gt;0,LEN(TRIM($P432))&gt;0))),"",IF(OR($W432="Failed",$R432="Urgent",$R432="High",$R432="ระบุ Severity + Impact"),IF(COUNTIFS(Dashboard!$B$105:$B$124,$O432,Dashboard!$I$105:$I$124,"CAB")&gt;0,"Accepted (CF)","Blocking"),"Deferrable"))</f>
        <v/>
      </c>
    </row>
    <row r="433" spans="7:26" x14ac:dyDescent="0.3">
      <c r="G433" s="27" t="str" cm="1">
        <f t="array" ref="G433">IF($A433="","",IFERROR(_xlfn.TEXTJOIN(CHAR(10)&amp;CHAR(10),TRUE,_xlfn._xlws.FILTER("•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"&amp;Cards!$L$4:$L$1000),(Cards!$A$4:$A$1000&lt;&gt;"")*ISNUMBER(SEARCH($A433,Cards!$E$4:$E$1000)))),"-"))</f>
        <v/>
      </c>
      <c r="Q433" s="30"/>
      <c r="R433" s="27" t="str">
        <f>IF(OR($A433="",LEN(TRIM($O433))=0),"",IF(OR($P433="",$Q433=""),"ระบุ Severity + Impact",IFERROR(INDEX({"Urgent","Urgent","High","High";"Urgent","High","High","Medium";"High","High","Medium","Medium";"Medium","Medium","Low","Low"},MATCH($P433,{"Critical","High","Medium","Low"},0),MATCH($Q433,{"Extensive","Significant","Moderate","Minor"},0)),"-")))</f>
        <v/>
      </c>
      <c r="S433" s="30"/>
      <c r="T433" s="30"/>
      <c r="W433" s="32" t="str">
        <f>IF($A433="","",IF(OR($M433="Out of Scope",$M433="Canceled"),"Out of Scope",IF($M433="Blocked","Blocked",IF(AND($T433&lt;&gt;"Fixed – Retest Passed",OR(LEN(TRIM($O433))&gt;0,LEN(TRIM($P433))&gt;0)),IF(AND(OR($L433="Medium",$L433="Low"),SUMPRODUCT((Cards!$A$4:$A$1000&lt;&gt;"")*ISNUMBER(SEARCH($A433,Cards!$E$4:$E$1000))*(Cards!$F$4:$F$1000&lt;&gt;"Medium")*(Cards!$F$4:$F$1000&lt;&gt;"Low"))=0),"Conditionally Passed","Failed"),IF($M433="Done","Passed","Not Run")))))</f>
        <v/>
      </c>
      <c r="Y433" s="27" t="str" cm="1">
        <f t="array" ref="Y433">IF($A433="","",IF(TRIM($B433)="","-",IFERROR(_xlfn.TEXTJOIN(" / ",TRUE,_xlfn.UNIQUE(_xlfn._xlws.FILTER('Ownership Matrix'!$C$5:$C$200,('Ownership Matrix'!$A$5:$A$200=TRIM($B433))*('Ownership Matrix'!$C$5:$C$200&lt;&gt;"")))),"ไม่พบใน Ownership Matrix")))</f>
        <v/>
      </c>
      <c r="Z433" s="31" t="str">
        <f>IF(NOT(AND($A433&lt;&gt;"",$M433&lt;&gt;"Out of Scope",$M433&lt;&gt;"Canceled",$T433&lt;&gt;"Fixed – Retest Passed",OR(LEN(TRIM($O433))&gt;0,LEN(TRIM($P433))&gt;0))),"",IF(OR($W433="Failed",$R433="Urgent",$R433="High",$R433="ระบุ Severity + Impact"),IF(COUNTIFS(Dashboard!$B$105:$B$124,$O433,Dashboard!$I$105:$I$124,"CAB")&gt;0,"Accepted (CF)","Blocking"),"Deferrable"))</f>
        <v/>
      </c>
    </row>
    <row r="434" spans="7:26" x14ac:dyDescent="0.3">
      <c r="G434" s="27" t="str" cm="1">
        <f t="array" ref="G434">IF($A434="","",IFERROR(_xlfn.TEXTJOIN(CHAR(10)&amp;CHAR(10),TRUE,_xlfn._xlws.FILTER("•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"&amp;Cards!$L$4:$L$1000),(Cards!$A$4:$A$1000&lt;&gt;"")*ISNUMBER(SEARCH($A434,Cards!$E$4:$E$1000)))),"-"))</f>
        <v/>
      </c>
      <c r="Q434" s="30"/>
      <c r="R434" s="27" t="str">
        <f>IF(OR($A434="",LEN(TRIM($O434))=0),"",IF(OR($P434="",$Q434=""),"ระบุ Severity + Impact",IFERROR(INDEX({"Urgent","Urgent","High","High";"Urgent","High","High","Medium";"High","High","Medium","Medium";"Medium","Medium","Low","Low"},MATCH($P434,{"Critical","High","Medium","Low"},0),MATCH($Q434,{"Extensive","Significant","Moderate","Minor"},0)),"-")))</f>
        <v/>
      </c>
      <c r="S434" s="30"/>
      <c r="T434" s="30"/>
      <c r="W434" s="32" t="str">
        <f>IF($A434="","",IF(OR($M434="Out of Scope",$M434="Canceled"),"Out of Scope",IF($M434="Blocked","Blocked",IF(AND($T434&lt;&gt;"Fixed – Retest Passed",OR(LEN(TRIM($O434))&gt;0,LEN(TRIM($P434))&gt;0)),IF(AND(OR($L434="Medium",$L434="Low"),SUMPRODUCT((Cards!$A$4:$A$1000&lt;&gt;"")*ISNUMBER(SEARCH($A434,Cards!$E$4:$E$1000))*(Cards!$F$4:$F$1000&lt;&gt;"Medium")*(Cards!$F$4:$F$1000&lt;&gt;"Low"))=0),"Conditionally Passed","Failed"),IF($M434="Done","Passed","Not Run")))))</f>
        <v/>
      </c>
      <c r="Y434" s="27" t="str" cm="1">
        <f t="array" ref="Y434">IF($A434="","",IF(TRIM($B434)="","-",IFERROR(_xlfn.TEXTJOIN(" / ",TRUE,_xlfn.UNIQUE(_xlfn._xlws.FILTER('Ownership Matrix'!$C$5:$C$200,('Ownership Matrix'!$A$5:$A$200=TRIM($B434))*('Ownership Matrix'!$C$5:$C$200&lt;&gt;"")))),"ไม่พบใน Ownership Matrix")))</f>
        <v/>
      </c>
      <c r="Z434" s="31" t="str">
        <f>IF(NOT(AND($A434&lt;&gt;"",$M434&lt;&gt;"Out of Scope",$M434&lt;&gt;"Canceled",$T434&lt;&gt;"Fixed – Retest Passed",OR(LEN(TRIM($O434))&gt;0,LEN(TRIM($P434))&gt;0))),"",IF(OR($W434="Failed",$R434="Urgent",$R434="High",$R434="ระบุ Severity + Impact"),IF(COUNTIFS(Dashboard!$B$105:$B$124,$O434,Dashboard!$I$105:$I$124,"CAB")&gt;0,"Accepted (CF)","Blocking"),"Deferrable"))</f>
        <v/>
      </c>
    </row>
    <row r="435" spans="7:26" x14ac:dyDescent="0.3">
      <c r="G435" s="27" t="str" cm="1">
        <f t="array" ref="G435">IF($A435="","",IFERROR(_xlfn.TEXTJOIN(CHAR(10)&amp;CHAR(10),TRUE,_xlfn._xlws.FILTER("•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"&amp;Cards!$L$4:$L$1000),(Cards!$A$4:$A$1000&lt;&gt;"")*ISNUMBER(SEARCH($A435,Cards!$E$4:$E$1000)))),"-"))</f>
        <v/>
      </c>
      <c r="Q435" s="30"/>
      <c r="R435" s="27" t="str">
        <f>IF(OR($A435="",LEN(TRIM($O435))=0),"",IF(OR($P435="",$Q435=""),"ระบุ Severity + Impact",IFERROR(INDEX({"Urgent","Urgent","High","High";"Urgent","High","High","Medium";"High","High","Medium","Medium";"Medium","Medium","Low","Low"},MATCH($P435,{"Critical","High","Medium","Low"},0),MATCH($Q435,{"Extensive","Significant","Moderate","Minor"},0)),"-")))</f>
        <v/>
      </c>
      <c r="S435" s="30"/>
      <c r="T435" s="30"/>
      <c r="W435" s="32" t="str">
        <f>IF($A435="","",IF(OR($M435="Out of Scope",$M435="Canceled"),"Out of Scope",IF($M435="Blocked","Blocked",IF(AND($T435&lt;&gt;"Fixed – Retest Passed",OR(LEN(TRIM($O435))&gt;0,LEN(TRIM($P435))&gt;0)),IF(AND(OR($L435="Medium",$L435="Low"),SUMPRODUCT((Cards!$A$4:$A$1000&lt;&gt;"")*ISNUMBER(SEARCH($A435,Cards!$E$4:$E$1000))*(Cards!$F$4:$F$1000&lt;&gt;"Medium")*(Cards!$F$4:$F$1000&lt;&gt;"Low"))=0),"Conditionally Passed","Failed"),IF($M435="Done","Passed","Not Run")))))</f>
        <v/>
      </c>
      <c r="Y435" s="27" t="str" cm="1">
        <f t="array" ref="Y435">IF($A435="","",IF(TRIM($B435)="","-",IFERROR(_xlfn.TEXTJOIN(" / ",TRUE,_xlfn.UNIQUE(_xlfn._xlws.FILTER('Ownership Matrix'!$C$5:$C$200,('Ownership Matrix'!$A$5:$A$200=TRIM($B435))*('Ownership Matrix'!$C$5:$C$200&lt;&gt;"")))),"ไม่พบใน Ownership Matrix")))</f>
        <v/>
      </c>
      <c r="Z435" s="31" t="str">
        <f>IF(NOT(AND($A435&lt;&gt;"",$M435&lt;&gt;"Out of Scope",$M435&lt;&gt;"Canceled",$T435&lt;&gt;"Fixed – Retest Passed",OR(LEN(TRIM($O435))&gt;0,LEN(TRIM($P435))&gt;0))),"",IF(OR($W435="Failed",$R435="Urgent",$R435="High",$R435="ระบุ Severity + Impact"),IF(COUNTIFS(Dashboard!$B$105:$B$124,$O435,Dashboard!$I$105:$I$124,"CAB")&gt;0,"Accepted (CF)","Blocking"),"Deferrable"))</f>
        <v/>
      </c>
    </row>
    <row r="436" spans="7:26" x14ac:dyDescent="0.3">
      <c r="G436" s="27" t="str" cm="1">
        <f t="array" ref="G436">IF($A436="","",IFERROR(_xlfn.TEXTJOIN(CHAR(10)&amp;CHAR(10),TRUE,_xlfn._xlws.FILTER("•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"&amp;Cards!$L$4:$L$1000),(Cards!$A$4:$A$1000&lt;&gt;"")*ISNUMBER(SEARCH($A436,Cards!$E$4:$E$1000)))),"-"))</f>
        <v/>
      </c>
      <c r="Q436" s="30"/>
      <c r="R436" s="27" t="str">
        <f>IF(OR($A436="",LEN(TRIM($O436))=0),"",IF(OR($P436="",$Q436=""),"ระบุ Severity + Impact",IFERROR(INDEX({"Urgent","Urgent","High","High";"Urgent","High","High","Medium";"High","High","Medium","Medium";"Medium","Medium","Low","Low"},MATCH($P436,{"Critical","High","Medium","Low"},0),MATCH($Q436,{"Extensive","Significant","Moderate","Minor"},0)),"-")))</f>
        <v/>
      </c>
      <c r="S436" s="30"/>
      <c r="T436" s="30"/>
      <c r="W436" s="32" t="str">
        <f>IF($A436="","",IF(OR($M436="Out of Scope",$M436="Canceled"),"Out of Scope",IF($M436="Blocked","Blocked",IF(AND($T436&lt;&gt;"Fixed – Retest Passed",OR(LEN(TRIM($O436))&gt;0,LEN(TRIM($P436))&gt;0)),IF(AND(OR($L436="Medium",$L436="Low"),SUMPRODUCT((Cards!$A$4:$A$1000&lt;&gt;"")*ISNUMBER(SEARCH($A436,Cards!$E$4:$E$1000))*(Cards!$F$4:$F$1000&lt;&gt;"Medium")*(Cards!$F$4:$F$1000&lt;&gt;"Low"))=0),"Conditionally Passed","Failed"),IF($M436="Done","Passed","Not Run")))))</f>
        <v/>
      </c>
      <c r="Y436" s="27" t="str" cm="1">
        <f t="array" ref="Y436">IF($A436="","",IF(TRIM($B436)="","-",IFERROR(_xlfn.TEXTJOIN(" / ",TRUE,_xlfn.UNIQUE(_xlfn._xlws.FILTER('Ownership Matrix'!$C$5:$C$200,('Ownership Matrix'!$A$5:$A$200=TRIM($B436))*('Ownership Matrix'!$C$5:$C$200&lt;&gt;"")))),"ไม่พบใน Ownership Matrix")))</f>
        <v/>
      </c>
      <c r="Z436" s="31" t="str">
        <f>IF(NOT(AND($A436&lt;&gt;"",$M436&lt;&gt;"Out of Scope",$M436&lt;&gt;"Canceled",$T436&lt;&gt;"Fixed – Retest Passed",OR(LEN(TRIM($O436))&gt;0,LEN(TRIM($P436))&gt;0))),"",IF(OR($W436="Failed",$R436="Urgent",$R436="High",$R436="ระบุ Severity + Impact"),IF(COUNTIFS(Dashboard!$B$105:$B$124,$O436,Dashboard!$I$105:$I$124,"CAB")&gt;0,"Accepted (CF)","Blocking"),"Deferrable"))</f>
        <v/>
      </c>
    </row>
    <row r="437" spans="7:26" x14ac:dyDescent="0.3">
      <c r="G437" s="27" t="str" cm="1">
        <f t="array" ref="G437">IF($A437="","",IFERROR(_xlfn.TEXTJOIN(CHAR(10)&amp;CHAR(10),TRUE,_xlfn._xlws.FILTER("•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"&amp;Cards!$L$4:$L$1000),(Cards!$A$4:$A$1000&lt;&gt;"")*ISNUMBER(SEARCH($A437,Cards!$E$4:$E$1000)))),"-"))</f>
        <v/>
      </c>
      <c r="Q437" s="30"/>
      <c r="R437" s="27" t="str">
        <f>IF(OR($A437="",LEN(TRIM($O437))=0),"",IF(OR($P437="",$Q437=""),"ระบุ Severity + Impact",IFERROR(INDEX({"Urgent","Urgent","High","High";"Urgent","High","High","Medium";"High","High","Medium","Medium";"Medium","Medium","Low","Low"},MATCH($P437,{"Critical","High","Medium","Low"},0),MATCH($Q437,{"Extensive","Significant","Moderate","Minor"},0)),"-")))</f>
        <v/>
      </c>
      <c r="S437" s="30"/>
      <c r="T437" s="30"/>
      <c r="W437" s="32" t="str">
        <f>IF($A437="","",IF(OR($M437="Out of Scope",$M437="Canceled"),"Out of Scope",IF($M437="Blocked","Blocked",IF(AND($T437&lt;&gt;"Fixed – Retest Passed",OR(LEN(TRIM($O437))&gt;0,LEN(TRIM($P437))&gt;0)),IF(AND(OR($L437="Medium",$L437="Low"),SUMPRODUCT((Cards!$A$4:$A$1000&lt;&gt;"")*ISNUMBER(SEARCH($A437,Cards!$E$4:$E$1000))*(Cards!$F$4:$F$1000&lt;&gt;"Medium")*(Cards!$F$4:$F$1000&lt;&gt;"Low"))=0),"Conditionally Passed","Failed"),IF($M437="Done","Passed","Not Run")))))</f>
        <v/>
      </c>
      <c r="Y437" s="27" t="str" cm="1">
        <f t="array" ref="Y437">IF($A437="","",IF(TRIM($B437)="","-",IFERROR(_xlfn.TEXTJOIN(" / ",TRUE,_xlfn.UNIQUE(_xlfn._xlws.FILTER('Ownership Matrix'!$C$5:$C$200,('Ownership Matrix'!$A$5:$A$200=TRIM($B437))*('Ownership Matrix'!$C$5:$C$200&lt;&gt;"")))),"ไม่พบใน Ownership Matrix")))</f>
        <v/>
      </c>
      <c r="Z437" s="31" t="str">
        <f>IF(NOT(AND($A437&lt;&gt;"",$M437&lt;&gt;"Out of Scope",$M437&lt;&gt;"Canceled",$T437&lt;&gt;"Fixed – Retest Passed",OR(LEN(TRIM($O437))&gt;0,LEN(TRIM($P437))&gt;0))),"",IF(OR($W437="Failed",$R437="Urgent",$R437="High",$R437="ระบุ Severity + Impact"),IF(COUNTIFS(Dashboard!$B$105:$B$124,$O437,Dashboard!$I$105:$I$124,"CAB")&gt;0,"Accepted (CF)","Blocking"),"Deferrable"))</f>
        <v/>
      </c>
    </row>
    <row r="438" spans="7:26" x14ac:dyDescent="0.3">
      <c r="G438" s="27" t="str" cm="1">
        <f t="array" ref="G438">IF($A438="","",IFERROR(_xlfn.TEXTJOIN(CHAR(10)&amp;CHAR(10),TRUE,_xlfn._xlws.FILTER("•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"&amp;Cards!$L$4:$L$1000),(Cards!$A$4:$A$1000&lt;&gt;"")*ISNUMBER(SEARCH($A438,Cards!$E$4:$E$1000)))),"-"))</f>
        <v/>
      </c>
      <c r="Q438" s="30"/>
      <c r="R438" s="27" t="str">
        <f>IF(OR($A438="",LEN(TRIM($O438))=0),"",IF(OR($P438="",$Q438=""),"ระบุ Severity + Impact",IFERROR(INDEX({"Urgent","Urgent","High","High";"Urgent","High","High","Medium";"High","High","Medium","Medium";"Medium","Medium","Low","Low"},MATCH($P438,{"Critical","High","Medium","Low"},0),MATCH($Q438,{"Extensive","Significant","Moderate","Minor"},0)),"-")))</f>
        <v/>
      </c>
      <c r="S438" s="30"/>
      <c r="T438" s="30"/>
      <c r="W438" s="32" t="str">
        <f>IF($A438="","",IF(OR($M438="Out of Scope",$M438="Canceled"),"Out of Scope",IF($M438="Blocked","Blocked",IF(AND($T438&lt;&gt;"Fixed – Retest Passed",OR(LEN(TRIM($O438))&gt;0,LEN(TRIM($P438))&gt;0)),IF(AND(OR($L438="Medium",$L438="Low"),SUMPRODUCT((Cards!$A$4:$A$1000&lt;&gt;"")*ISNUMBER(SEARCH($A438,Cards!$E$4:$E$1000))*(Cards!$F$4:$F$1000&lt;&gt;"Medium")*(Cards!$F$4:$F$1000&lt;&gt;"Low"))=0),"Conditionally Passed","Failed"),IF($M438="Done","Passed","Not Run")))))</f>
        <v/>
      </c>
      <c r="Y438" s="27" t="str" cm="1">
        <f t="array" ref="Y438">IF($A438="","",IF(TRIM($B438)="","-",IFERROR(_xlfn.TEXTJOIN(" / ",TRUE,_xlfn.UNIQUE(_xlfn._xlws.FILTER('Ownership Matrix'!$C$5:$C$200,('Ownership Matrix'!$A$5:$A$200=TRIM($B438))*('Ownership Matrix'!$C$5:$C$200&lt;&gt;"")))),"ไม่พบใน Ownership Matrix")))</f>
        <v/>
      </c>
      <c r="Z438" s="31" t="str">
        <f>IF(NOT(AND($A438&lt;&gt;"",$M438&lt;&gt;"Out of Scope",$M438&lt;&gt;"Canceled",$T438&lt;&gt;"Fixed – Retest Passed",OR(LEN(TRIM($O438))&gt;0,LEN(TRIM($P438))&gt;0))),"",IF(OR($W438="Failed",$R438="Urgent",$R438="High",$R438="ระบุ Severity + Impact"),IF(COUNTIFS(Dashboard!$B$105:$B$124,$O438,Dashboard!$I$105:$I$124,"CAB")&gt;0,"Accepted (CF)","Blocking"),"Deferrable"))</f>
        <v/>
      </c>
    </row>
    <row r="439" spans="7:26" x14ac:dyDescent="0.3">
      <c r="G439" s="27" t="str" cm="1">
        <f t="array" ref="G439">IF($A439="","",IFERROR(_xlfn.TEXTJOIN(CHAR(10)&amp;CHAR(10),TRUE,_xlfn._xlws.FILTER("•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"&amp;Cards!$L$4:$L$1000),(Cards!$A$4:$A$1000&lt;&gt;"")*ISNUMBER(SEARCH($A439,Cards!$E$4:$E$1000)))),"-"))</f>
        <v/>
      </c>
      <c r="Q439" s="30"/>
      <c r="R439" s="27" t="str">
        <f>IF(OR($A439="",LEN(TRIM($O439))=0),"",IF(OR($P439="",$Q439=""),"ระบุ Severity + Impact",IFERROR(INDEX({"Urgent","Urgent","High","High";"Urgent","High","High","Medium";"High","High","Medium","Medium";"Medium","Medium","Low","Low"},MATCH($P439,{"Critical","High","Medium","Low"},0),MATCH($Q439,{"Extensive","Significant","Moderate","Minor"},0)),"-")))</f>
        <v/>
      </c>
      <c r="S439" s="30"/>
      <c r="T439" s="30"/>
      <c r="W439" s="32" t="str">
        <f>IF($A439="","",IF(OR($M439="Out of Scope",$M439="Canceled"),"Out of Scope",IF($M439="Blocked","Blocked",IF(AND($T439&lt;&gt;"Fixed – Retest Passed",OR(LEN(TRIM($O439))&gt;0,LEN(TRIM($P439))&gt;0)),IF(AND(OR($L439="Medium",$L439="Low"),SUMPRODUCT((Cards!$A$4:$A$1000&lt;&gt;"")*ISNUMBER(SEARCH($A439,Cards!$E$4:$E$1000))*(Cards!$F$4:$F$1000&lt;&gt;"Medium")*(Cards!$F$4:$F$1000&lt;&gt;"Low"))=0),"Conditionally Passed","Failed"),IF($M439="Done","Passed","Not Run")))))</f>
        <v/>
      </c>
      <c r="Y439" s="27" t="str" cm="1">
        <f t="array" ref="Y439">IF($A439="","",IF(TRIM($B439)="","-",IFERROR(_xlfn.TEXTJOIN(" / ",TRUE,_xlfn.UNIQUE(_xlfn._xlws.FILTER('Ownership Matrix'!$C$5:$C$200,('Ownership Matrix'!$A$5:$A$200=TRIM($B439))*('Ownership Matrix'!$C$5:$C$200&lt;&gt;"")))),"ไม่พบใน Ownership Matrix")))</f>
        <v/>
      </c>
      <c r="Z439" s="31" t="str">
        <f>IF(NOT(AND($A439&lt;&gt;"",$M439&lt;&gt;"Out of Scope",$M439&lt;&gt;"Canceled",$T439&lt;&gt;"Fixed – Retest Passed",OR(LEN(TRIM($O439))&gt;0,LEN(TRIM($P439))&gt;0))),"",IF(OR($W439="Failed",$R439="Urgent",$R439="High",$R439="ระบุ Severity + Impact"),IF(COUNTIFS(Dashboard!$B$105:$B$124,$O439,Dashboard!$I$105:$I$124,"CAB")&gt;0,"Accepted (CF)","Blocking"),"Deferrable"))</f>
        <v/>
      </c>
    </row>
    <row r="440" spans="7:26" x14ac:dyDescent="0.3">
      <c r="G440" s="27" t="str" cm="1">
        <f t="array" ref="G440">IF($A440="","",IFERROR(_xlfn.TEXTJOIN(CHAR(10)&amp;CHAR(10),TRUE,_xlfn._xlws.FILTER("•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"&amp;Cards!$L$4:$L$1000),(Cards!$A$4:$A$1000&lt;&gt;"")*ISNUMBER(SEARCH($A440,Cards!$E$4:$E$1000)))),"-"))</f>
        <v/>
      </c>
      <c r="Q440" s="30"/>
      <c r="R440" s="27" t="str">
        <f>IF(OR($A440="",LEN(TRIM($O440))=0),"",IF(OR($P440="",$Q440=""),"ระบุ Severity + Impact",IFERROR(INDEX({"Urgent","Urgent","High","High";"Urgent","High","High","Medium";"High","High","Medium","Medium";"Medium","Medium","Low","Low"},MATCH($P440,{"Critical","High","Medium","Low"},0),MATCH($Q440,{"Extensive","Significant","Moderate","Minor"},0)),"-")))</f>
        <v/>
      </c>
      <c r="S440" s="30"/>
      <c r="T440" s="30"/>
      <c r="W440" s="32" t="str">
        <f>IF($A440="","",IF(OR($M440="Out of Scope",$M440="Canceled"),"Out of Scope",IF($M440="Blocked","Blocked",IF(AND($T440&lt;&gt;"Fixed – Retest Passed",OR(LEN(TRIM($O440))&gt;0,LEN(TRIM($P440))&gt;0)),IF(AND(OR($L440="Medium",$L440="Low"),SUMPRODUCT((Cards!$A$4:$A$1000&lt;&gt;"")*ISNUMBER(SEARCH($A440,Cards!$E$4:$E$1000))*(Cards!$F$4:$F$1000&lt;&gt;"Medium")*(Cards!$F$4:$F$1000&lt;&gt;"Low"))=0),"Conditionally Passed","Failed"),IF($M440="Done","Passed","Not Run")))))</f>
        <v/>
      </c>
      <c r="Y440" s="27" t="str" cm="1">
        <f t="array" ref="Y440">IF($A440="","",IF(TRIM($B440)="","-",IFERROR(_xlfn.TEXTJOIN(" / ",TRUE,_xlfn.UNIQUE(_xlfn._xlws.FILTER('Ownership Matrix'!$C$5:$C$200,('Ownership Matrix'!$A$5:$A$200=TRIM($B440))*('Ownership Matrix'!$C$5:$C$200&lt;&gt;"")))),"ไม่พบใน Ownership Matrix")))</f>
        <v/>
      </c>
      <c r="Z440" s="31" t="str">
        <f>IF(NOT(AND($A440&lt;&gt;"",$M440&lt;&gt;"Out of Scope",$M440&lt;&gt;"Canceled",$T440&lt;&gt;"Fixed – Retest Passed",OR(LEN(TRIM($O440))&gt;0,LEN(TRIM($P440))&gt;0))),"",IF(OR($W440="Failed",$R440="Urgent",$R440="High",$R440="ระบุ Severity + Impact"),IF(COUNTIFS(Dashboard!$B$105:$B$124,$O440,Dashboard!$I$105:$I$124,"CAB")&gt;0,"Accepted (CF)","Blocking"),"Deferrable"))</f>
        <v/>
      </c>
    </row>
    <row r="441" spans="7:26" x14ac:dyDescent="0.3">
      <c r="G441" s="27" t="str" cm="1">
        <f t="array" ref="G441">IF($A441="","",IFERROR(_xlfn.TEXTJOIN(CHAR(10)&amp;CHAR(10),TRUE,_xlfn._xlws.FILTER("•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"&amp;Cards!$L$4:$L$1000),(Cards!$A$4:$A$1000&lt;&gt;"")*ISNUMBER(SEARCH($A441,Cards!$E$4:$E$1000)))),"-"))</f>
        <v/>
      </c>
      <c r="Q441" s="30"/>
      <c r="R441" s="27" t="str">
        <f>IF(OR($A441="",LEN(TRIM($O441))=0),"",IF(OR($P441="",$Q441=""),"ระบุ Severity + Impact",IFERROR(INDEX({"Urgent","Urgent","High","High";"Urgent","High","High","Medium";"High","High","Medium","Medium";"Medium","Medium","Low","Low"},MATCH($P441,{"Critical","High","Medium","Low"},0),MATCH($Q441,{"Extensive","Significant","Moderate","Minor"},0)),"-")))</f>
        <v/>
      </c>
      <c r="S441" s="30"/>
      <c r="T441" s="30"/>
      <c r="W441" s="32" t="str">
        <f>IF($A441="","",IF(OR($M441="Out of Scope",$M441="Canceled"),"Out of Scope",IF($M441="Blocked","Blocked",IF(AND($T441&lt;&gt;"Fixed – Retest Passed",OR(LEN(TRIM($O441))&gt;0,LEN(TRIM($P441))&gt;0)),IF(AND(OR($L441="Medium",$L441="Low"),SUMPRODUCT((Cards!$A$4:$A$1000&lt;&gt;"")*ISNUMBER(SEARCH($A441,Cards!$E$4:$E$1000))*(Cards!$F$4:$F$1000&lt;&gt;"Medium")*(Cards!$F$4:$F$1000&lt;&gt;"Low"))=0),"Conditionally Passed","Failed"),IF($M441="Done","Passed","Not Run")))))</f>
        <v/>
      </c>
      <c r="Y441" s="27" t="str" cm="1">
        <f t="array" ref="Y441">IF($A441="","",IF(TRIM($B441)="","-",IFERROR(_xlfn.TEXTJOIN(" / ",TRUE,_xlfn.UNIQUE(_xlfn._xlws.FILTER('Ownership Matrix'!$C$5:$C$200,('Ownership Matrix'!$A$5:$A$200=TRIM($B441))*('Ownership Matrix'!$C$5:$C$200&lt;&gt;"")))),"ไม่พบใน Ownership Matrix")))</f>
        <v/>
      </c>
      <c r="Z441" s="31" t="str">
        <f>IF(NOT(AND($A441&lt;&gt;"",$M441&lt;&gt;"Out of Scope",$M441&lt;&gt;"Canceled",$T441&lt;&gt;"Fixed – Retest Passed",OR(LEN(TRIM($O441))&gt;0,LEN(TRIM($P441))&gt;0))),"",IF(OR($W441="Failed",$R441="Urgent",$R441="High",$R441="ระบุ Severity + Impact"),IF(COUNTIFS(Dashboard!$B$105:$B$124,$O441,Dashboard!$I$105:$I$124,"CAB")&gt;0,"Accepted (CF)","Blocking"),"Deferrable"))</f>
        <v/>
      </c>
    </row>
    <row r="442" spans="7:26" x14ac:dyDescent="0.3">
      <c r="G442" s="27" t="str" cm="1">
        <f t="array" ref="G442">IF($A442="","",IFERROR(_xlfn.TEXTJOIN(CHAR(10)&amp;CHAR(10),TRUE,_xlfn._xlws.FILTER("•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"&amp;Cards!$L$4:$L$1000),(Cards!$A$4:$A$1000&lt;&gt;"")*ISNUMBER(SEARCH($A442,Cards!$E$4:$E$1000)))),"-"))</f>
        <v/>
      </c>
      <c r="Q442" s="30"/>
      <c r="R442" s="27" t="str">
        <f>IF(OR($A442="",LEN(TRIM($O442))=0),"",IF(OR($P442="",$Q442=""),"ระบุ Severity + Impact",IFERROR(INDEX({"Urgent","Urgent","High","High";"Urgent","High","High","Medium";"High","High","Medium","Medium";"Medium","Medium","Low","Low"},MATCH($P442,{"Critical","High","Medium","Low"},0),MATCH($Q442,{"Extensive","Significant","Moderate","Minor"},0)),"-")))</f>
        <v/>
      </c>
      <c r="S442" s="30"/>
      <c r="T442" s="30"/>
      <c r="W442" s="32" t="str">
        <f>IF($A442="","",IF(OR($M442="Out of Scope",$M442="Canceled"),"Out of Scope",IF($M442="Blocked","Blocked",IF(AND($T442&lt;&gt;"Fixed – Retest Passed",OR(LEN(TRIM($O442))&gt;0,LEN(TRIM($P442))&gt;0)),IF(AND(OR($L442="Medium",$L442="Low"),SUMPRODUCT((Cards!$A$4:$A$1000&lt;&gt;"")*ISNUMBER(SEARCH($A442,Cards!$E$4:$E$1000))*(Cards!$F$4:$F$1000&lt;&gt;"Medium")*(Cards!$F$4:$F$1000&lt;&gt;"Low"))=0),"Conditionally Passed","Failed"),IF($M442="Done","Passed","Not Run")))))</f>
        <v/>
      </c>
      <c r="Y442" s="27" t="str" cm="1">
        <f t="array" ref="Y442">IF($A442="","",IF(TRIM($B442)="","-",IFERROR(_xlfn.TEXTJOIN(" / ",TRUE,_xlfn.UNIQUE(_xlfn._xlws.FILTER('Ownership Matrix'!$C$5:$C$200,('Ownership Matrix'!$A$5:$A$200=TRIM($B442))*('Ownership Matrix'!$C$5:$C$200&lt;&gt;"")))),"ไม่พบใน Ownership Matrix")))</f>
        <v/>
      </c>
      <c r="Z442" s="31" t="str">
        <f>IF(NOT(AND($A442&lt;&gt;"",$M442&lt;&gt;"Out of Scope",$M442&lt;&gt;"Canceled",$T442&lt;&gt;"Fixed – Retest Passed",OR(LEN(TRIM($O442))&gt;0,LEN(TRIM($P442))&gt;0))),"",IF(OR($W442="Failed",$R442="Urgent",$R442="High",$R442="ระบุ Severity + Impact"),IF(COUNTIFS(Dashboard!$B$105:$B$124,$O442,Dashboard!$I$105:$I$124,"CAB")&gt;0,"Accepted (CF)","Blocking"),"Deferrable"))</f>
        <v/>
      </c>
    </row>
    <row r="443" spans="7:26" x14ac:dyDescent="0.3">
      <c r="G443" s="27" t="str" cm="1">
        <f t="array" ref="G443">IF($A443="","",IFERROR(_xlfn.TEXTJOIN(CHAR(10)&amp;CHAR(10),TRUE,_xlfn._xlws.FILTER("•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"&amp;Cards!$L$4:$L$1000),(Cards!$A$4:$A$1000&lt;&gt;"")*ISNUMBER(SEARCH($A443,Cards!$E$4:$E$1000)))),"-"))</f>
        <v/>
      </c>
      <c r="Q443" s="30"/>
      <c r="R443" s="27" t="str">
        <f>IF(OR($A443="",LEN(TRIM($O443))=0),"",IF(OR($P443="",$Q443=""),"ระบุ Severity + Impact",IFERROR(INDEX({"Urgent","Urgent","High","High";"Urgent","High","High","Medium";"High","High","Medium","Medium";"Medium","Medium","Low","Low"},MATCH($P443,{"Critical","High","Medium","Low"},0),MATCH($Q443,{"Extensive","Significant","Moderate","Minor"},0)),"-")))</f>
        <v/>
      </c>
      <c r="S443" s="30"/>
      <c r="T443" s="30"/>
      <c r="W443" s="32" t="str">
        <f>IF($A443="","",IF(OR($M443="Out of Scope",$M443="Canceled"),"Out of Scope",IF($M443="Blocked","Blocked",IF(AND($T443&lt;&gt;"Fixed – Retest Passed",OR(LEN(TRIM($O443))&gt;0,LEN(TRIM($P443))&gt;0)),IF(AND(OR($L443="Medium",$L443="Low"),SUMPRODUCT((Cards!$A$4:$A$1000&lt;&gt;"")*ISNUMBER(SEARCH($A443,Cards!$E$4:$E$1000))*(Cards!$F$4:$F$1000&lt;&gt;"Medium")*(Cards!$F$4:$F$1000&lt;&gt;"Low"))=0),"Conditionally Passed","Failed"),IF($M443="Done","Passed","Not Run")))))</f>
        <v/>
      </c>
      <c r="Y443" s="27" t="str" cm="1">
        <f t="array" ref="Y443">IF($A443="","",IF(TRIM($B443)="","-",IFERROR(_xlfn.TEXTJOIN(" / ",TRUE,_xlfn.UNIQUE(_xlfn._xlws.FILTER('Ownership Matrix'!$C$5:$C$200,('Ownership Matrix'!$A$5:$A$200=TRIM($B443))*('Ownership Matrix'!$C$5:$C$200&lt;&gt;"")))),"ไม่พบใน Ownership Matrix")))</f>
        <v/>
      </c>
      <c r="Z443" s="31" t="str">
        <f>IF(NOT(AND($A443&lt;&gt;"",$M443&lt;&gt;"Out of Scope",$M443&lt;&gt;"Canceled",$T443&lt;&gt;"Fixed – Retest Passed",OR(LEN(TRIM($O443))&gt;0,LEN(TRIM($P443))&gt;0))),"",IF(OR($W443="Failed",$R443="Urgent",$R443="High",$R443="ระบุ Severity + Impact"),IF(COUNTIFS(Dashboard!$B$105:$B$124,$O443,Dashboard!$I$105:$I$124,"CAB")&gt;0,"Accepted (CF)","Blocking"),"Deferrable"))</f>
        <v/>
      </c>
    </row>
    <row r="444" spans="7:26" x14ac:dyDescent="0.3">
      <c r="G444" s="27" t="str" cm="1">
        <f t="array" ref="G444">IF($A444="","",IFERROR(_xlfn.TEXTJOIN(CHAR(10)&amp;CHAR(10),TRUE,_xlfn._xlws.FILTER("•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"&amp;Cards!$L$4:$L$1000),(Cards!$A$4:$A$1000&lt;&gt;"")*ISNUMBER(SEARCH($A444,Cards!$E$4:$E$1000)))),"-"))</f>
        <v/>
      </c>
      <c r="Q444" s="30"/>
      <c r="R444" s="27" t="str">
        <f>IF(OR($A444="",LEN(TRIM($O444))=0),"",IF(OR($P444="",$Q444=""),"ระบุ Severity + Impact",IFERROR(INDEX({"Urgent","Urgent","High","High";"Urgent","High","High","Medium";"High","High","Medium","Medium";"Medium","Medium","Low","Low"},MATCH($P444,{"Critical","High","Medium","Low"},0),MATCH($Q444,{"Extensive","Significant","Moderate","Minor"},0)),"-")))</f>
        <v/>
      </c>
      <c r="S444" s="30"/>
      <c r="T444" s="30"/>
      <c r="W444" s="32" t="str">
        <f>IF($A444="","",IF(OR($M444="Out of Scope",$M444="Canceled"),"Out of Scope",IF($M444="Blocked","Blocked",IF(AND($T444&lt;&gt;"Fixed – Retest Passed",OR(LEN(TRIM($O444))&gt;0,LEN(TRIM($P444))&gt;0)),IF(AND(OR($L444="Medium",$L444="Low"),SUMPRODUCT((Cards!$A$4:$A$1000&lt;&gt;"")*ISNUMBER(SEARCH($A444,Cards!$E$4:$E$1000))*(Cards!$F$4:$F$1000&lt;&gt;"Medium")*(Cards!$F$4:$F$1000&lt;&gt;"Low"))=0),"Conditionally Passed","Failed"),IF($M444="Done","Passed","Not Run")))))</f>
        <v/>
      </c>
      <c r="Y444" s="27" t="str" cm="1">
        <f t="array" ref="Y444">IF($A444="","",IF(TRIM($B444)="","-",IFERROR(_xlfn.TEXTJOIN(" / ",TRUE,_xlfn.UNIQUE(_xlfn._xlws.FILTER('Ownership Matrix'!$C$5:$C$200,('Ownership Matrix'!$A$5:$A$200=TRIM($B444))*('Ownership Matrix'!$C$5:$C$200&lt;&gt;"")))),"ไม่พบใน Ownership Matrix")))</f>
        <v/>
      </c>
      <c r="Z444" s="31" t="str">
        <f>IF(NOT(AND($A444&lt;&gt;"",$M444&lt;&gt;"Out of Scope",$M444&lt;&gt;"Canceled",$T444&lt;&gt;"Fixed – Retest Passed",OR(LEN(TRIM($O444))&gt;0,LEN(TRIM($P444))&gt;0))),"",IF(OR($W444="Failed",$R444="Urgent",$R444="High",$R444="ระบุ Severity + Impact"),IF(COUNTIFS(Dashboard!$B$105:$B$124,$O444,Dashboard!$I$105:$I$124,"CAB")&gt;0,"Accepted (CF)","Blocking"),"Deferrable"))</f>
        <v/>
      </c>
    </row>
    <row r="445" spans="7:26" x14ac:dyDescent="0.3">
      <c r="G445" s="27" t="str" cm="1">
        <f t="array" ref="G445">IF($A445="","",IFERROR(_xlfn.TEXTJOIN(CHAR(10)&amp;CHAR(10),TRUE,_xlfn._xlws.FILTER("•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"&amp;Cards!$L$4:$L$1000),(Cards!$A$4:$A$1000&lt;&gt;"")*ISNUMBER(SEARCH($A445,Cards!$E$4:$E$1000)))),"-"))</f>
        <v/>
      </c>
      <c r="Q445" s="30"/>
      <c r="R445" s="27" t="str">
        <f>IF(OR($A445="",LEN(TRIM($O445))=0),"",IF(OR($P445="",$Q445=""),"ระบุ Severity + Impact",IFERROR(INDEX({"Urgent","Urgent","High","High";"Urgent","High","High","Medium";"High","High","Medium","Medium";"Medium","Medium","Low","Low"},MATCH($P445,{"Critical","High","Medium","Low"},0),MATCH($Q445,{"Extensive","Significant","Moderate","Minor"},0)),"-")))</f>
        <v/>
      </c>
      <c r="S445" s="30"/>
      <c r="T445" s="30"/>
      <c r="W445" s="32" t="str">
        <f>IF($A445="","",IF(OR($M445="Out of Scope",$M445="Canceled"),"Out of Scope",IF($M445="Blocked","Blocked",IF(AND($T445&lt;&gt;"Fixed – Retest Passed",OR(LEN(TRIM($O445))&gt;0,LEN(TRIM($P445))&gt;0)),IF(AND(OR($L445="Medium",$L445="Low"),SUMPRODUCT((Cards!$A$4:$A$1000&lt;&gt;"")*ISNUMBER(SEARCH($A445,Cards!$E$4:$E$1000))*(Cards!$F$4:$F$1000&lt;&gt;"Medium")*(Cards!$F$4:$F$1000&lt;&gt;"Low"))=0),"Conditionally Passed","Failed"),IF($M445="Done","Passed","Not Run")))))</f>
        <v/>
      </c>
      <c r="Y445" s="27" t="str" cm="1">
        <f t="array" ref="Y445">IF($A445="","",IF(TRIM($B445)="","-",IFERROR(_xlfn.TEXTJOIN(" / ",TRUE,_xlfn.UNIQUE(_xlfn._xlws.FILTER('Ownership Matrix'!$C$5:$C$200,('Ownership Matrix'!$A$5:$A$200=TRIM($B445))*('Ownership Matrix'!$C$5:$C$200&lt;&gt;"")))),"ไม่พบใน Ownership Matrix")))</f>
        <v/>
      </c>
      <c r="Z445" s="31" t="str">
        <f>IF(NOT(AND($A445&lt;&gt;"",$M445&lt;&gt;"Out of Scope",$M445&lt;&gt;"Canceled",$T445&lt;&gt;"Fixed – Retest Passed",OR(LEN(TRIM($O445))&gt;0,LEN(TRIM($P445))&gt;0))),"",IF(OR($W445="Failed",$R445="Urgent",$R445="High",$R445="ระบุ Severity + Impact"),IF(COUNTIFS(Dashboard!$B$105:$B$124,$O445,Dashboard!$I$105:$I$124,"CAB")&gt;0,"Accepted (CF)","Blocking"),"Deferrable"))</f>
        <v/>
      </c>
    </row>
    <row r="446" spans="7:26" x14ac:dyDescent="0.3">
      <c r="G446" s="27" t="str" cm="1">
        <f t="array" ref="G446">IF($A446="","",IFERROR(_xlfn.TEXTJOIN(CHAR(10)&amp;CHAR(10),TRUE,_xlfn._xlws.FILTER("•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"&amp;Cards!$L$4:$L$1000),(Cards!$A$4:$A$1000&lt;&gt;"")*ISNUMBER(SEARCH($A446,Cards!$E$4:$E$1000)))),"-"))</f>
        <v/>
      </c>
      <c r="Q446" s="30"/>
      <c r="R446" s="27" t="str">
        <f>IF(OR($A446="",LEN(TRIM($O446))=0),"",IF(OR($P446="",$Q446=""),"ระบุ Severity + Impact",IFERROR(INDEX({"Urgent","Urgent","High","High";"Urgent","High","High","Medium";"High","High","Medium","Medium";"Medium","Medium","Low","Low"},MATCH($P446,{"Critical","High","Medium","Low"},0),MATCH($Q446,{"Extensive","Significant","Moderate","Minor"},0)),"-")))</f>
        <v/>
      </c>
      <c r="S446" s="30"/>
      <c r="T446" s="30"/>
      <c r="W446" s="32" t="str">
        <f>IF($A446="","",IF(OR($M446="Out of Scope",$M446="Canceled"),"Out of Scope",IF($M446="Blocked","Blocked",IF(AND($T446&lt;&gt;"Fixed – Retest Passed",OR(LEN(TRIM($O446))&gt;0,LEN(TRIM($P446))&gt;0)),IF(AND(OR($L446="Medium",$L446="Low"),SUMPRODUCT((Cards!$A$4:$A$1000&lt;&gt;"")*ISNUMBER(SEARCH($A446,Cards!$E$4:$E$1000))*(Cards!$F$4:$F$1000&lt;&gt;"Medium")*(Cards!$F$4:$F$1000&lt;&gt;"Low"))=0),"Conditionally Passed","Failed"),IF($M446="Done","Passed","Not Run")))))</f>
        <v/>
      </c>
      <c r="Y446" s="27" t="str" cm="1">
        <f t="array" ref="Y446">IF($A446="","",IF(TRIM($B446)="","-",IFERROR(_xlfn.TEXTJOIN(" / ",TRUE,_xlfn.UNIQUE(_xlfn._xlws.FILTER('Ownership Matrix'!$C$5:$C$200,('Ownership Matrix'!$A$5:$A$200=TRIM($B446))*('Ownership Matrix'!$C$5:$C$200&lt;&gt;"")))),"ไม่พบใน Ownership Matrix")))</f>
        <v/>
      </c>
      <c r="Z446" s="31" t="str">
        <f>IF(NOT(AND($A446&lt;&gt;"",$M446&lt;&gt;"Out of Scope",$M446&lt;&gt;"Canceled",$T446&lt;&gt;"Fixed – Retest Passed",OR(LEN(TRIM($O446))&gt;0,LEN(TRIM($P446))&gt;0))),"",IF(OR($W446="Failed",$R446="Urgent",$R446="High",$R446="ระบุ Severity + Impact"),IF(COUNTIFS(Dashboard!$B$105:$B$124,$O446,Dashboard!$I$105:$I$124,"CAB")&gt;0,"Accepted (CF)","Blocking"),"Deferrable"))</f>
        <v/>
      </c>
    </row>
    <row r="447" spans="7:26" x14ac:dyDescent="0.3">
      <c r="G447" s="27" t="str" cm="1">
        <f t="array" ref="G447">IF($A447="","",IFERROR(_xlfn.TEXTJOIN(CHAR(10)&amp;CHAR(10),TRUE,_xlfn._xlws.FILTER("•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"&amp;Cards!$L$4:$L$1000),(Cards!$A$4:$A$1000&lt;&gt;"")*ISNUMBER(SEARCH($A447,Cards!$E$4:$E$1000)))),"-"))</f>
        <v/>
      </c>
      <c r="Q447" s="30"/>
      <c r="R447" s="27" t="str">
        <f>IF(OR($A447="",LEN(TRIM($O447))=0),"",IF(OR($P447="",$Q447=""),"ระบุ Severity + Impact",IFERROR(INDEX({"Urgent","Urgent","High","High";"Urgent","High","High","Medium";"High","High","Medium","Medium";"Medium","Medium","Low","Low"},MATCH($P447,{"Critical","High","Medium","Low"},0),MATCH($Q447,{"Extensive","Significant","Moderate","Minor"},0)),"-")))</f>
        <v/>
      </c>
      <c r="S447" s="30"/>
      <c r="T447" s="30"/>
      <c r="W447" s="32" t="str">
        <f>IF($A447="","",IF(OR($M447="Out of Scope",$M447="Canceled"),"Out of Scope",IF($M447="Blocked","Blocked",IF(AND($T447&lt;&gt;"Fixed – Retest Passed",OR(LEN(TRIM($O447))&gt;0,LEN(TRIM($P447))&gt;0)),IF(AND(OR($L447="Medium",$L447="Low"),SUMPRODUCT((Cards!$A$4:$A$1000&lt;&gt;"")*ISNUMBER(SEARCH($A447,Cards!$E$4:$E$1000))*(Cards!$F$4:$F$1000&lt;&gt;"Medium")*(Cards!$F$4:$F$1000&lt;&gt;"Low"))=0),"Conditionally Passed","Failed"),IF($M447="Done","Passed","Not Run")))))</f>
        <v/>
      </c>
      <c r="Y447" s="27" t="str" cm="1">
        <f t="array" ref="Y447">IF($A447="","",IF(TRIM($B447)="","-",IFERROR(_xlfn.TEXTJOIN(" / ",TRUE,_xlfn.UNIQUE(_xlfn._xlws.FILTER('Ownership Matrix'!$C$5:$C$200,('Ownership Matrix'!$A$5:$A$200=TRIM($B447))*('Ownership Matrix'!$C$5:$C$200&lt;&gt;"")))),"ไม่พบใน Ownership Matrix")))</f>
        <v/>
      </c>
      <c r="Z447" s="31" t="str">
        <f>IF(NOT(AND($A447&lt;&gt;"",$M447&lt;&gt;"Out of Scope",$M447&lt;&gt;"Canceled",$T447&lt;&gt;"Fixed – Retest Passed",OR(LEN(TRIM($O447))&gt;0,LEN(TRIM($P447))&gt;0))),"",IF(OR($W447="Failed",$R447="Urgent",$R447="High",$R447="ระบุ Severity + Impact"),IF(COUNTIFS(Dashboard!$B$105:$B$124,$O447,Dashboard!$I$105:$I$124,"CAB")&gt;0,"Accepted (CF)","Blocking"),"Deferrable"))</f>
        <v/>
      </c>
    </row>
    <row r="448" spans="7:26" x14ac:dyDescent="0.3">
      <c r="G448" s="27" t="str" cm="1">
        <f t="array" ref="G448">IF($A448="","",IFERROR(_xlfn.TEXTJOIN(CHAR(10)&amp;CHAR(10),TRUE,_xlfn._xlws.FILTER("•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"&amp;Cards!$L$4:$L$1000),(Cards!$A$4:$A$1000&lt;&gt;"")*ISNUMBER(SEARCH($A448,Cards!$E$4:$E$1000)))),"-"))</f>
        <v/>
      </c>
      <c r="Q448" s="30"/>
      <c r="R448" s="27" t="str">
        <f>IF(OR($A448="",LEN(TRIM($O448))=0),"",IF(OR($P448="",$Q448=""),"ระบุ Severity + Impact",IFERROR(INDEX({"Urgent","Urgent","High","High";"Urgent","High","High","Medium";"High","High","Medium","Medium";"Medium","Medium","Low","Low"},MATCH($P448,{"Critical","High","Medium","Low"},0),MATCH($Q448,{"Extensive","Significant","Moderate","Minor"},0)),"-")))</f>
        <v/>
      </c>
      <c r="S448" s="30"/>
      <c r="T448" s="30"/>
      <c r="W448" s="32" t="str">
        <f>IF($A448="","",IF(OR($M448="Out of Scope",$M448="Canceled"),"Out of Scope",IF($M448="Blocked","Blocked",IF(AND($T448&lt;&gt;"Fixed – Retest Passed",OR(LEN(TRIM($O448))&gt;0,LEN(TRIM($P448))&gt;0)),IF(AND(OR($L448="Medium",$L448="Low"),SUMPRODUCT((Cards!$A$4:$A$1000&lt;&gt;"")*ISNUMBER(SEARCH($A448,Cards!$E$4:$E$1000))*(Cards!$F$4:$F$1000&lt;&gt;"Medium")*(Cards!$F$4:$F$1000&lt;&gt;"Low"))=0),"Conditionally Passed","Failed"),IF($M448="Done","Passed","Not Run")))))</f>
        <v/>
      </c>
      <c r="Y448" s="27" t="str" cm="1">
        <f t="array" ref="Y448">IF($A448="","",IF(TRIM($B448)="","-",IFERROR(_xlfn.TEXTJOIN(" / ",TRUE,_xlfn.UNIQUE(_xlfn._xlws.FILTER('Ownership Matrix'!$C$5:$C$200,('Ownership Matrix'!$A$5:$A$200=TRIM($B448))*('Ownership Matrix'!$C$5:$C$200&lt;&gt;"")))),"ไม่พบใน Ownership Matrix")))</f>
        <v/>
      </c>
      <c r="Z448" s="31" t="str">
        <f>IF(NOT(AND($A448&lt;&gt;"",$M448&lt;&gt;"Out of Scope",$M448&lt;&gt;"Canceled",$T448&lt;&gt;"Fixed – Retest Passed",OR(LEN(TRIM($O448))&gt;0,LEN(TRIM($P448))&gt;0))),"",IF(OR($W448="Failed",$R448="Urgent",$R448="High",$R448="ระบุ Severity + Impact"),IF(COUNTIFS(Dashboard!$B$105:$B$124,$O448,Dashboard!$I$105:$I$124,"CAB")&gt;0,"Accepted (CF)","Blocking"),"Deferrable"))</f>
        <v/>
      </c>
    </row>
    <row r="449" spans="7:26" x14ac:dyDescent="0.3">
      <c r="G449" s="27" t="str" cm="1">
        <f t="array" ref="G449">IF($A449="","",IFERROR(_xlfn.TEXTJOIN(CHAR(10)&amp;CHAR(10),TRUE,_xlfn._xlws.FILTER("•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"&amp;Cards!$L$4:$L$1000),(Cards!$A$4:$A$1000&lt;&gt;"")*ISNUMBER(SEARCH($A449,Cards!$E$4:$E$1000)))),"-"))</f>
        <v/>
      </c>
      <c r="Q449" s="30"/>
      <c r="R449" s="27" t="str">
        <f>IF(OR($A449="",LEN(TRIM($O449))=0),"",IF(OR($P449="",$Q449=""),"ระบุ Severity + Impact",IFERROR(INDEX({"Urgent","Urgent","High","High";"Urgent","High","High","Medium";"High","High","Medium","Medium";"Medium","Medium","Low","Low"},MATCH($P449,{"Critical","High","Medium","Low"},0),MATCH($Q449,{"Extensive","Significant","Moderate","Minor"},0)),"-")))</f>
        <v/>
      </c>
      <c r="S449" s="30"/>
      <c r="T449" s="30"/>
      <c r="W449" s="32" t="str">
        <f>IF($A449="","",IF(OR($M449="Out of Scope",$M449="Canceled"),"Out of Scope",IF($M449="Blocked","Blocked",IF(AND($T449&lt;&gt;"Fixed – Retest Passed",OR(LEN(TRIM($O449))&gt;0,LEN(TRIM($P449))&gt;0)),IF(AND(OR($L449="Medium",$L449="Low"),SUMPRODUCT((Cards!$A$4:$A$1000&lt;&gt;"")*ISNUMBER(SEARCH($A449,Cards!$E$4:$E$1000))*(Cards!$F$4:$F$1000&lt;&gt;"Medium")*(Cards!$F$4:$F$1000&lt;&gt;"Low"))=0),"Conditionally Passed","Failed"),IF($M449="Done","Passed","Not Run")))))</f>
        <v/>
      </c>
      <c r="Y449" s="27" t="str" cm="1">
        <f t="array" ref="Y449">IF($A449="","",IF(TRIM($B449)="","-",IFERROR(_xlfn.TEXTJOIN(" / ",TRUE,_xlfn.UNIQUE(_xlfn._xlws.FILTER('Ownership Matrix'!$C$5:$C$200,('Ownership Matrix'!$A$5:$A$200=TRIM($B449))*('Ownership Matrix'!$C$5:$C$200&lt;&gt;"")))),"ไม่พบใน Ownership Matrix")))</f>
        <v/>
      </c>
      <c r="Z449" s="31" t="str">
        <f>IF(NOT(AND($A449&lt;&gt;"",$M449&lt;&gt;"Out of Scope",$M449&lt;&gt;"Canceled",$T449&lt;&gt;"Fixed – Retest Passed",OR(LEN(TRIM($O449))&gt;0,LEN(TRIM($P449))&gt;0))),"",IF(OR($W449="Failed",$R449="Urgent",$R449="High",$R449="ระบุ Severity + Impact"),IF(COUNTIFS(Dashboard!$B$105:$B$124,$O449,Dashboard!$I$105:$I$124,"CAB")&gt;0,"Accepted (CF)","Blocking"),"Deferrable"))</f>
        <v/>
      </c>
    </row>
    <row r="450" spans="7:26" x14ac:dyDescent="0.3">
      <c r="G450" s="27" t="str" cm="1">
        <f t="array" ref="G450">IF($A450="","",IFERROR(_xlfn.TEXTJOIN(CHAR(10)&amp;CHAR(10),TRUE,_xlfn._xlws.FILTER("•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"&amp;Cards!$L$4:$L$1000),(Cards!$A$4:$A$1000&lt;&gt;"")*ISNUMBER(SEARCH($A450,Cards!$E$4:$E$1000)))),"-"))</f>
        <v/>
      </c>
      <c r="Q450" s="30"/>
      <c r="R450" s="27" t="str">
        <f>IF(OR($A450="",LEN(TRIM($O450))=0),"",IF(OR($P450="",$Q450=""),"ระบุ Severity + Impact",IFERROR(INDEX({"Urgent","Urgent","High","High";"Urgent","High","High","Medium";"High","High","Medium","Medium";"Medium","Medium","Low","Low"},MATCH($P450,{"Critical","High","Medium","Low"},0),MATCH($Q450,{"Extensive","Significant","Moderate","Minor"},0)),"-")))</f>
        <v/>
      </c>
      <c r="S450" s="30"/>
      <c r="T450" s="30"/>
      <c r="W450" s="32" t="str">
        <f>IF($A450="","",IF(OR($M450="Out of Scope",$M450="Canceled"),"Out of Scope",IF($M450="Blocked","Blocked",IF(AND($T450&lt;&gt;"Fixed – Retest Passed",OR(LEN(TRIM($O450))&gt;0,LEN(TRIM($P450))&gt;0)),IF(AND(OR($L450="Medium",$L450="Low"),SUMPRODUCT((Cards!$A$4:$A$1000&lt;&gt;"")*ISNUMBER(SEARCH($A450,Cards!$E$4:$E$1000))*(Cards!$F$4:$F$1000&lt;&gt;"Medium")*(Cards!$F$4:$F$1000&lt;&gt;"Low"))=0),"Conditionally Passed","Failed"),IF($M450="Done","Passed","Not Run")))))</f>
        <v/>
      </c>
      <c r="Y450" s="27" t="str" cm="1">
        <f t="array" ref="Y450">IF($A450="","",IF(TRIM($B450)="","-",IFERROR(_xlfn.TEXTJOIN(" / ",TRUE,_xlfn.UNIQUE(_xlfn._xlws.FILTER('Ownership Matrix'!$C$5:$C$200,('Ownership Matrix'!$A$5:$A$200=TRIM($B450))*('Ownership Matrix'!$C$5:$C$200&lt;&gt;"")))),"ไม่พบใน Ownership Matrix")))</f>
        <v/>
      </c>
      <c r="Z450" s="31" t="str">
        <f>IF(NOT(AND($A450&lt;&gt;"",$M450&lt;&gt;"Out of Scope",$M450&lt;&gt;"Canceled",$T450&lt;&gt;"Fixed – Retest Passed",OR(LEN(TRIM($O450))&gt;0,LEN(TRIM($P450))&gt;0))),"",IF(OR($W450="Failed",$R450="Urgent",$R450="High",$R450="ระบุ Severity + Impact"),IF(COUNTIFS(Dashboard!$B$105:$B$124,$O450,Dashboard!$I$105:$I$124,"CAB")&gt;0,"Accepted (CF)","Blocking"),"Deferrable"))</f>
        <v/>
      </c>
    </row>
    <row r="451" spans="7:26" x14ac:dyDescent="0.3">
      <c r="G451" s="27" t="str" cm="1">
        <f t="array" ref="G451">IF($A451="","",IFERROR(_xlfn.TEXTJOIN(CHAR(10)&amp;CHAR(10),TRUE,_xlfn._xlws.FILTER("•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"&amp;Cards!$L$4:$L$1000),(Cards!$A$4:$A$1000&lt;&gt;"")*ISNUMBER(SEARCH($A451,Cards!$E$4:$E$1000)))),"-"))</f>
        <v/>
      </c>
      <c r="Q451" s="30"/>
      <c r="R451" s="27" t="str">
        <f>IF(OR($A451="",LEN(TRIM($O451))=0),"",IF(OR($P451="",$Q451=""),"ระบุ Severity + Impact",IFERROR(INDEX({"Urgent","Urgent","High","High";"Urgent","High","High","Medium";"High","High","Medium","Medium";"Medium","Medium","Low","Low"},MATCH($P451,{"Critical","High","Medium","Low"},0),MATCH($Q451,{"Extensive","Significant","Moderate","Minor"},0)),"-")))</f>
        <v/>
      </c>
      <c r="S451" s="30"/>
      <c r="T451" s="30"/>
      <c r="W451" s="32" t="str">
        <f>IF($A451="","",IF(OR($M451="Out of Scope",$M451="Canceled"),"Out of Scope",IF($M451="Blocked","Blocked",IF(AND($T451&lt;&gt;"Fixed – Retest Passed",OR(LEN(TRIM($O451))&gt;0,LEN(TRIM($P451))&gt;0)),IF(AND(OR($L451="Medium",$L451="Low"),SUMPRODUCT((Cards!$A$4:$A$1000&lt;&gt;"")*ISNUMBER(SEARCH($A451,Cards!$E$4:$E$1000))*(Cards!$F$4:$F$1000&lt;&gt;"Medium")*(Cards!$F$4:$F$1000&lt;&gt;"Low"))=0),"Conditionally Passed","Failed"),IF($M451="Done","Passed","Not Run")))))</f>
        <v/>
      </c>
      <c r="Y451" s="27" t="str" cm="1">
        <f t="array" ref="Y451">IF($A451="","",IF(TRIM($B451)="","-",IFERROR(_xlfn.TEXTJOIN(" / ",TRUE,_xlfn.UNIQUE(_xlfn._xlws.FILTER('Ownership Matrix'!$C$5:$C$200,('Ownership Matrix'!$A$5:$A$200=TRIM($B451))*('Ownership Matrix'!$C$5:$C$200&lt;&gt;"")))),"ไม่พบใน Ownership Matrix")))</f>
        <v/>
      </c>
      <c r="Z451" s="31" t="str">
        <f>IF(NOT(AND($A451&lt;&gt;"",$M451&lt;&gt;"Out of Scope",$M451&lt;&gt;"Canceled",$T451&lt;&gt;"Fixed – Retest Passed",OR(LEN(TRIM($O451))&gt;0,LEN(TRIM($P451))&gt;0))),"",IF(OR($W451="Failed",$R451="Urgent",$R451="High",$R451="ระบุ Severity + Impact"),IF(COUNTIFS(Dashboard!$B$105:$B$124,$O451,Dashboard!$I$105:$I$124,"CAB")&gt;0,"Accepted (CF)","Blocking"),"Deferrable"))</f>
        <v/>
      </c>
    </row>
    <row r="452" spans="7:26" x14ac:dyDescent="0.3">
      <c r="G452" s="27" t="str" cm="1">
        <f t="array" ref="G452">IF($A452="","",IFERROR(_xlfn.TEXTJOIN(CHAR(10)&amp;CHAR(10),TRUE,_xlfn._xlws.FILTER("•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"&amp;Cards!$L$4:$L$1000),(Cards!$A$4:$A$1000&lt;&gt;"")*ISNUMBER(SEARCH($A452,Cards!$E$4:$E$1000)))),"-"))</f>
        <v/>
      </c>
      <c r="Q452" s="30"/>
      <c r="R452" s="27" t="str">
        <f>IF(OR($A452="",LEN(TRIM($O452))=0),"",IF(OR($P452="",$Q452=""),"ระบุ Severity + Impact",IFERROR(INDEX({"Urgent","Urgent","High","High";"Urgent","High","High","Medium";"High","High","Medium","Medium";"Medium","Medium","Low","Low"},MATCH($P452,{"Critical","High","Medium","Low"},0),MATCH($Q452,{"Extensive","Significant","Moderate","Minor"},0)),"-")))</f>
        <v/>
      </c>
      <c r="S452" s="30"/>
      <c r="T452" s="30"/>
      <c r="W452" s="32" t="str">
        <f>IF($A452="","",IF(OR($M452="Out of Scope",$M452="Canceled"),"Out of Scope",IF($M452="Blocked","Blocked",IF(AND($T452&lt;&gt;"Fixed – Retest Passed",OR(LEN(TRIM($O452))&gt;0,LEN(TRIM($P452))&gt;0)),IF(AND(OR($L452="Medium",$L452="Low"),SUMPRODUCT((Cards!$A$4:$A$1000&lt;&gt;"")*ISNUMBER(SEARCH($A452,Cards!$E$4:$E$1000))*(Cards!$F$4:$F$1000&lt;&gt;"Medium")*(Cards!$F$4:$F$1000&lt;&gt;"Low"))=0),"Conditionally Passed","Failed"),IF($M452="Done","Passed","Not Run")))))</f>
        <v/>
      </c>
      <c r="Y452" s="27" t="str" cm="1">
        <f t="array" ref="Y452">IF($A452="","",IF(TRIM($B452)="","-",IFERROR(_xlfn.TEXTJOIN(" / ",TRUE,_xlfn.UNIQUE(_xlfn._xlws.FILTER('Ownership Matrix'!$C$5:$C$200,('Ownership Matrix'!$A$5:$A$200=TRIM($B452))*('Ownership Matrix'!$C$5:$C$200&lt;&gt;"")))),"ไม่พบใน Ownership Matrix")))</f>
        <v/>
      </c>
      <c r="Z452" s="31" t="str">
        <f>IF(NOT(AND($A452&lt;&gt;"",$M452&lt;&gt;"Out of Scope",$M452&lt;&gt;"Canceled",$T452&lt;&gt;"Fixed – Retest Passed",OR(LEN(TRIM($O452))&gt;0,LEN(TRIM($P452))&gt;0))),"",IF(OR($W452="Failed",$R452="Urgent",$R452="High",$R452="ระบุ Severity + Impact"),IF(COUNTIFS(Dashboard!$B$105:$B$124,$O452,Dashboard!$I$105:$I$124,"CAB")&gt;0,"Accepted (CF)","Blocking"),"Deferrable"))</f>
        <v/>
      </c>
    </row>
    <row r="453" spans="7:26" x14ac:dyDescent="0.3">
      <c r="G453" s="27" t="str" cm="1">
        <f t="array" ref="G453">IF($A453="","",IFERROR(_xlfn.TEXTJOIN(CHAR(10)&amp;CHAR(10),TRUE,_xlfn._xlws.FILTER("•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"&amp;Cards!$L$4:$L$1000),(Cards!$A$4:$A$1000&lt;&gt;"")*ISNUMBER(SEARCH($A453,Cards!$E$4:$E$1000)))),"-"))</f>
        <v/>
      </c>
      <c r="Q453" s="30"/>
      <c r="R453" s="27" t="str">
        <f>IF(OR($A453="",LEN(TRIM($O453))=0),"",IF(OR($P453="",$Q453=""),"ระบุ Severity + Impact",IFERROR(INDEX({"Urgent","Urgent","High","High";"Urgent","High","High","Medium";"High","High","Medium","Medium";"Medium","Medium","Low","Low"},MATCH($P453,{"Critical","High","Medium","Low"},0),MATCH($Q453,{"Extensive","Significant","Moderate","Minor"},0)),"-")))</f>
        <v/>
      </c>
      <c r="S453" s="30"/>
      <c r="T453" s="30"/>
      <c r="W453" s="32" t="str">
        <f>IF($A453="","",IF(OR($M453="Out of Scope",$M453="Canceled"),"Out of Scope",IF($M453="Blocked","Blocked",IF(AND($T453&lt;&gt;"Fixed – Retest Passed",OR(LEN(TRIM($O453))&gt;0,LEN(TRIM($P453))&gt;0)),IF(AND(OR($L453="Medium",$L453="Low"),SUMPRODUCT((Cards!$A$4:$A$1000&lt;&gt;"")*ISNUMBER(SEARCH($A453,Cards!$E$4:$E$1000))*(Cards!$F$4:$F$1000&lt;&gt;"Medium")*(Cards!$F$4:$F$1000&lt;&gt;"Low"))=0),"Conditionally Passed","Failed"),IF($M453="Done","Passed","Not Run")))))</f>
        <v/>
      </c>
      <c r="Y453" s="27" t="str" cm="1">
        <f t="array" ref="Y453">IF($A453="","",IF(TRIM($B453)="","-",IFERROR(_xlfn.TEXTJOIN(" / ",TRUE,_xlfn.UNIQUE(_xlfn._xlws.FILTER('Ownership Matrix'!$C$5:$C$200,('Ownership Matrix'!$A$5:$A$200=TRIM($B453))*('Ownership Matrix'!$C$5:$C$200&lt;&gt;"")))),"ไม่พบใน Ownership Matrix")))</f>
        <v/>
      </c>
      <c r="Z453" s="31" t="str">
        <f>IF(NOT(AND($A453&lt;&gt;"",$M453&lt;&gt;"Out of Scope",$M453&lt;&gt;"Canceled",$T453&lt;&gt;"Fixed – Retest Passed",OR(LEN(TRIM($O453))&gt;0,LEN(TRIM($P453))&gt;0))),"",IF(OR($W453="Failed",$R453="Urgent",$R453="High",$R453="ระบุ Severity + Impact"),IF(COUNTIFS(Dashboard!$B$105:$B$124,$O453,Dashboard!$I$105:$I$124,"CAB")&gt;0,"Accepted (CF)","Blocking"),"Deferrable"))</f>
        <v/>
      </c>
    </row>
    <row r="454" spans="7:26" x14ac:dyDescent="0.3">
      <c r="G454" s="27" t="str" cm="1">
        <f t="array" ref="G454">IF($A454="","",IFERROR(_xlfn.TEXTJOIN(CHAR(10)&amp;CHAR(10),TRUE,_xlfn._xlws.FILTER("•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"&amp;Cards!$L$4:$L$1000),(Cards!$A$4:$A$1000&lt;&gt;"")*ISNUMBER(SEARCH($A454,Cards!$E$4:$E$1000)))),"-"))</f>
        <v/>
      </c>
      <c r="Q454" s="30"/>
      <c r="R454" s="27" t="str">
        <f>IF(OR($A454="",LEN(TRIM($O454))=0),"",IF(OR($P454="",$Q454=""),"ระบุ Severity + Impact",IFERROR(INDEX({"Urgent","Urgent","High","High";"Urgent","High","High","Medium";"High","High","Medium","Medium";"Medium","Medium","Low","Low"},MATCH($P454,{"Critical","High","Medium","Low"},0),MATCH($Q454,{"Extensive","Significant","Moderate","Minor"},0)),"-")))</f>
        <v/>
      </c>
      <c r="S454" s="30"/>
      <c r="T454" s="30"/>
      <c r="W454" s="32" t="str">
        <f>IF($A454="","",IF(OR($M454="Out of Scope",$M454="Canceled"),"Out of Scope",IF($M454="Blocked","Blocked",IF(AND($T454&lt;&gt;"Fixed – Retest Passed",OR(LEN(TRIM($O454))&gt;0,LEN(TRIM($P454))&gt;0)),IF(AND(OR($L454="Medium",$L454="Low"),SUMPRODUCT((Cards!$A$4:$A$1000&lt;&gt;"")*ISNUMBER(SEARCH($A454,Cards!$E$4:$E$1000))*(Cards!$F$4:$F$1000&lt;&gt;"Medium")*(Cards!$F$4:$F$1000&lt;&gt;"Low"))=0),"Conditionally Passed","Failed"),IF($M454="Done","Passed","Not Run")))))</f>
        <v/>
      </c>
      <c r="Y454" s="27" t="str" cm="1">
        <f t="array" ref="Y454">IF($A454="","",IF(TRIM($B454)="","-",IFERROR(_xlfn.TEXTJOIN(" / ",TRUE,_xlfn.UNIQUE(_xlfn._xlws.FILTER('Ownership Matrix'!$C$5:$C$200,('Ownership Matrix'!$A$5:$A$200=TRIM($B454))*('Ownership Matrix'!$C$5:$C$200&lt;&gt;"")))),"ไม่พบใน Ownership Matrix")))</f>
        <v/>
      </c>
      <c r="Z454" s="31" t="str">
        <f>IF(NOT(AND($A454&lt;&gt;"",$M454&lt;&gt;"Out of Scope",$M454&lt;&gt;"Canceled",$T454&lt;&gt;"Fixed – Retest Passed",OR(LEN(TRIM($O454))&gt;0,LEN(TRIM($P454))&gt;0))),"",IF(OR($W454="Failed",$R454="Urgent",$R454="High",$R454="ระบุ Severity + Impact"),IF(COUNTIFS(Dashboard!$B$105:$B$124,$O454,Dashboard!$I$105:$I$124,"CAB")&gt;0,"Accepted (CF)","Blocking"),"Deferrable"))</f>
        <v/>
      </c>
    </row>
    <row r="455" spans="7:26" x14ac:dyDescent="0.3">
      <c r="G455" s="27" t="str" cm="1">
        <f t="array" ref="G455">IF($A455="","",IFERROR(_xlfn.TEXTJOIN(CHAR(10)&amp;CHAR(10),TRUE,_xlfn._xlws.FILTER("•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"&amp;Cards!$L$4:$L$1000),(Cards!$A$4:$A$1000&lt;&gt;"")*ISNUMBER(SEARCH($A455,Cards!$E$4:$E$1000)))),"-"))</f>
        <v/>
      </c>
      <c r="Q455" s="30"/>
      <c r="R455" s="27" t="str">
        <f>IF(OR($A455="",LEN(TRIM($O455))=0),"",IF(OR($P455="",$Q455=""),"ระบุ Severity + Impact",IFERROR(INDEX({"Urgent","Urgent","High","High";"Urgent","High","High","Medium";"High","High","Medium","Medium";"Medium","Medium","Low","Low"},MATCH($P455,{"Critical","High","Medium","Low"},0),MATCH($Q455,{"Extensive","Significant","Moderate","Minor"},0)),"-")))</f>
        <v/>
      </c>
      <c r="S455" s="30"/>
      <c r="T455" s="30"/>
      <c r="W455" s="32" t="str">
        <f>IF($A455="","",IF(OR($M455="Out of Scope",$M455="Canceled"),"Out of Scope",IF($M455="Blocked","Blocked",IF(AND($T455&lt;&gt;"Fixed – Retest Passed",OR(LEN(TRIM($O455))&gt;0,LEN(TRIM($P455))&gt;0)),IF(AND(OR($L455="Medium",$L455="Low"),SUMPRODUCT((Cards!$A$4:$A$1000&lt;&gt;"")*ISNUMBER(SEARCH($A455,Cards!$E$4:$E$1000))*(Cards!$F$4:$F$1000&lt;&gt;"Medium")*(Cards!$F$4:$F$1000&lt;&gt;"Low"))=0),"Conditionally Passed","Failed"),IF($M455="Done","Passed","Not Run")))))</f>
        <v/>
      </c>
      <c r="Y455" s="27" t="str" cm="1">
        <f t="array" ref="Y455">IF($A455="","",IF(TRIM($B455)="","-",IFERROR(_xlfn.TEXTJOIN(" / ",TRUE,_xlfn.UNIQUE(_xlfn._xlws.FILTER('Ownership Matrix'!$C$5:$C$200,('Ownership Matrix'!$A$5:$A$200=TRIM($B455))*('Ownership Matrix'!$C$5:$C$200&lt;&gt;"")))),"ไม่พบใน Ownership Matrix")))</f>
        <v/>
      </c>
      <c r="Z455" s="31" t="str">
        <f>IF(NOT(AND($A455&lt;&gt;"",$M455&lt;&gt;"Out of Scope",$M455&lt;&gt;"Canceled",$T455&lt;&gt;"Fixed – Retest Passed",OR(LEN(TRIM($O455))&gt;0,LEN(TRIM($P455))&gt;0))),"",IF(OR($W455="Failed",$R455="Urgent",$R455="High",$R455="ระบุ Severity + Impact"),IF(COUNTIFS(Dashboard!$B$105:$B$124,$O455,Dashboard!$I$105:$I$124,"CAB")&gt;0,"Accepted (CF)","Blocking"),"Deferrable"))</f>
        <v/>
      </c>
    </row>
    <row r="456" spans="7:26" x14ac:dyDescent="0.3">
      <c r="G456" s="27" t="str" cm="1">
        <f t="array" ref="G456">IF($A456="","",IFERROR(_xlfn.TEXTJOIN(CHAR(10)&amp;CHAR(10),TRUE,_xlfn._xlws.FILTER("•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"&amp;Cards!$L$4:$L$1000),(Cards!$A$4:$A$1000&lt;&gt;"")*ISNUMBER(SEARCH($A456,Cards!$E$4:$E$1000)))),"-"))</f>
        <v/>
      </c>
      <c r="Q456" s="30"/>
      <c r="R456" s="27" t="str">
        <f>IF(OR($A456="",LEN(TRIM($O456))=0),"",IF(OR($P456="",$Q456=""),"ระบุ Severity + Impact",IFERROR(INDEX({"Urgent","Urgent","High","High";"Urgent","High","High","Medium";"High","High","Medium","Medium";"Medium","Medium","Low","Low"},MATCH($P456,{"Critical","High","Medium","Low"},0),MATCH($Q456,{"Extensive","Significant","Moderate","Minor"},0)),"-")))</f>
        <v/>
      </c>
      <c r="S456" s="30"/>
      <c r="T456" s="30"/>
      <c r="W456" s="32" t="str">
        <f>IF($A456="","",IF(OR($M456="Out of Scope",$M456="Canceled"),"Out of Scope",IF($M456="Blocked","Blocked",IF(AND($T456&lt;&gt;"Fixed – Retest Passed",OR(LEN(TRIM($O456))&gt;0,LEN(TRIM($P456))&gt;0)),IF(AND(OR($L456="Medium",$L456="Low"),SUMPRODUCT((Cards!$A$4:$A$1000&lt;&gt;"")*ISNUMBER(SEARCH($A456,Cards!$E$4:$E$1000))*(Cards!$F$4:$F$1000&lt;&gt;"Medium")*(Cards!$F$4:$F$1000&lt;&gt;"Low"))=0),"Conditionally Passed","Failed"),IF($M456="Done","Passed","Not Run")))))</f>
        <v/>
      </c>
      <c r="Y456" s="27" t="str" cm="1">
        <f t="array" ref="Y456">IF($A456="","",IF(TRIM($B456)="","-",IFERROR(_xlfn.TEXTJOIN(" / ",TRUE,_xlfn.UNIQUE(_xlfn._xlws.FILTER('Ownership Matrix'!$C$5:$C$200,('Ownership Matrix'!$A$5:$A$200=TRIM($B456))*('Ownership Matrix'!$C$5:$C$200&lt;&gt;"")))),"ไม่พบใน Ownership Matrix")))</f>
        <v/>
      </c>
      <c r="Z456" s="31" t="str">
        <f>IF(NOT(AND($A456&lt;&gt;"",$M456&lt;&gt;"Out of Scope",$M456&lt;&gt;"Canceled",$T456&lt;&gt;"Fixed – Retest Passed",OR(LEN(TRIM($O456))&gt;0,LEN(TRIM($P456))&gt;0))),"",IF(OR($W456="Failed",$R456="Urgent",$R456="High",$R456="ระบุ Severity + Impact"),IF(COUNTIFS(Dashboard!$B$105:$B$124,$O456,Dashboard!$I$105:$I$124,"CAB")&gt;0,"Accepted (CF)","Blocking"),"Deferrable"))</f>
        <v/>
      </c>
    </row>
    <row r="457" spans="7:26" x14ac:dyDescent="0.3">
      <c r="G457" s="27" t="str" cm="1">
        <f t="array" ref="G457">IF($A457="","",IFERROR(_xlfn.TEXTJOIN(CHAR(10)&amp;CHAR(10),TRUE,_xlfn._xlws.FILTER("•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"&amp;Cards!$L$4:$L$1000),(Cards!$A$4:$A$1000&lt;&gt;"")*ISNUMBER(SEARCH($A457,Cards!$E$4:$E$1000)))),"-"))</f>
        <v/>
      </c>
      <c r="Q457" s="30"/>
      <c r="R457" s="27" t="str">
        <f>IF(OR($A457="",LEN(TRIM($O457))=0),"",IF(OR($P457="",$Q457=""),"ระบุ Severity + Impact",IFERROR(INDEX({"Urgent","Urgent","High","High";"Urgent","High","High","Medium";"High","High","Medium","Medium";"Medium","Medium","Low","Low"},MATCH($P457,{"Critical","High","Medium","Low"},0),MATCH($Q457,{"Extensive","Significant","Moderate","Minor"},0)),"-")))</f>
        <v/>
      </c>
      <c r="S457" s="30"/>
      <c r="T457" s="30"/>
      <c r="W457" s="32" t="str">
        <f>IF($A457="","",IF(OR($M457="Out of Scope",$M457="Canceled"),"Out of Scope",IF($M457="Blocked","Blocked",IF(AND($T457&lt;&gt;"Fixed – Retest Passed",OR(LEN(TRIM($O457))&gt;0,LEN(TRIM($P457))&gt;0)),IF(AND(OR($L457="Medium",$L457="Low"),SUMPRODUCT((Cards!$A$4:$A$1000&lt;&gt;"")*ISNUMBER(SEARCH($A457,Cards!$E$4:$E$1000))*(Cards!$F$4:$F$1000&lt;&gt;"Medium")*(Cards!$F$4:$F$1000&lt;&gt;"Low"))=0),"Conditionally Passed","Failed"),IF($M457="Done","Passed","Not Run")))))</f>
        <v/>
      </c>
      <c r="Y457" s="27" t="str" cm="1">
        <f t="array" ref="Y457">IF($A457="","",IF(TRIM($B457)="","-",IFERROR(_xlfn.TEXTJOIN(" / ",TRUE,_xlfn.UNIQUE(_xlfn._xlws.FILTER('Ownership Matrix'!$C$5:$C$200,('Ownership Matrix'!$A$5:$A$200=TRIM($B457))*('Ownership Matrix'!$C$5:$C$200&lt;&gt;"")))),"ไม่พบใน Ownership Matrix")))</f>
        <v/>
      </c>
      <c r="Z457" s="31" t="str">
        <f>IF(NOT(AND($A457&lt;&gt;"",$M457&lt;&gt;"Out of Scope",$M457&lt;&gt;"Canceled",$T457&lt;&gt;"Fixed – Retest Passed",OR(LEN(TRIM($O457))&gt;0,LEN(TRIM($P457))&gt;0))),"",IF(OR($W457="Failed",$R457="Urgent",$R457="High",$R457="ระบุ Severity + Impact"),IF(COUNTIFS(Dashboard!$B$105:$B$124,$O457,Dashboard!$I$105:$I$124,"CAB")&gt;0,"Accepted (CF)","Blocking"),"Deferrable"))</f>
        <v/>
      </c>
    </row>
    <row r="458" spans="7:26" x14ac:dyDescent="0.3">
      <c r="G458" s="27" t="str" cm="1">
        <f t="array" ref="G458">IF($A458="","",IFERROR(_xlfn.TEXTJOIN(CHAR(10)&amp;CHAR(10),TRUE,_xlfn._xlws.FILTER("•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"&amp;Cards!$L$4:$L$1000),(Cards!$A$4:$A$1000&lt;&gt;"")*ISNUMBER(SEARCH($A458,Cards!$E$4:$E$1000)))),"-"))</f>
        <v/>
      </c>
      <c r="Q458" s="30"/>
      <c r="R458" s="27" t="str">
        <f>IF(OR($A458="",LEN(TRIM($O458))=0),"",IF(OR($P458="",$Q458=""),"ระบุ Severity + Impact",IFERROR(INDEX({"Urgent","Urgent","High","High";"Urgent","High","High","Medium";"High","High","Medium","Medium";"Medium","Medium","Low","Low"},MATCH($P458,{"Critical","High","Medium","Low"},0),MATCH($Q458,{"Extensive","Significant","Moderate","Minor"},0)),"-")))</f>
        <v/>
      </c>
      <c r="S458" s="30"/>
      <c r="T458" s="30"/>
      <c r="W458" s="32" t="str">
        <f>IF($A458="","",IF(OR($M458="Out of Scope",$M458="Canceled"),"Out of Scope",IF($M458="Blocked","Blocked",IF(AND($T458&lt;&gt;"Fixed – Retest Passed",OR(LEN(TRIM($O458))&gt;0,LEN(TRIM($P458))&gt;0)),IF(AND(OR($L458="Medium",$L458="Low"),SUMPRODUCT((Cards!$A$4:$A$1000&lt;&gt;"")*ISNUMBER(SEARCH($A458,Cards!$E$4:$E$1000))*(Cards!$F$4:$F$1000&lt;&gt;"Medium")*(Cards!$F$4:$F$1000&lt;&gt;"Low"))=0),"Conditionally Passed","Failed"),IF($M458="Done","Passed","Not Run")))))</f>
        <v/>
      </c>
      <c r="Y458" s="27" t="str" cm="1">
        <f t="array" ref="Y458">IF($A458="","",IF(TRIM($B458)="","-",IFERROR(_xlfn.TEXTJOIN(" / ",TRUE,_xlfn.UNIQUE(_xlfn._xlws.FILTER('Ownership Matrix'!$C$5:$C$200,('Ownership Matrix'!$A$5:$A$200=TRIM($B458))*('Ownership Matrix'!$C$5:$C$200&lt;&gt;"")))),"ไม่พบใน Ownership Matrix")))</f>
        <v/>
      </c>
      <c r="Z458" s="31" t="str">
        <f>IF(NOT(AND($A458&lt;&gt;"",$M458&lt;&gt;"Out of Scope",$M458&lt;&gt;"Canceled",$T458&lt;&gt;"Fixed – Retest Passed",OR(LEN(TRIM($O458))&gt;0,LEN(TRIM($P458))&gt;0))),"",IF(OR($W458="Failed",$R458="Urgent",$R458="High",$R458="ระบุ Severity + Impact"),IF(COUNTIFS(Dashboard!$B$105:$B$124,$O458,Dashboard!$I$105:$I$124,"CAB")&gt;0,"Accepted (CF)","Blocking"),"Deferrable"))</f>
        <v/>
      </c>
    </row>
    <row r="459" spans="7:26" x14ac:dyDescent="0.3">
      <c r="G459" s="27" t="str" cm="1">
        <f t="array" ref="G459">IF($A459="","",IFERROR(_xlfn.TEXTJOIN(CHAR(10)&amp;CHAR(10),TRUE,_xlfn._xlws.FILTER("•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"&amp;Cards!$L$4:$L$1000),(Cards!$A$4:$A$1000&lt;&gt;"")*ISNUMBER(SEARCH($A459,Cards!$E$4:$E$1000)))),"-"))</f>
        <v/>
      </c>
      <c r="Q459" s="30"/>
      <c r="R459" s="27" t="str">
        <f>IF(OR($A459="",LEN(TRIM($O459))=0),"",IF(OR($P459="",$Q459=""),"ระบุ Severity + Impact",IFERROR(INDEX({"Urgent","Urgent","High","High";"Urgent","High","High","Medium";"High","High","Medium","Medium";"Medium","Medium","Low","Low"},MATCH($P459,{"Critical","High","Medium","Low"},0),MATCH($Q459,{"Extensive","Significant","Moderate","Minor"},0)),"-")))</f>
        <v/>
      </c>
      <c r="S459" s="30"/>
      <c r="T459" s="30"/>
      <c r="W459" s="32" t="str">
        <f>IF($A459="","",IF(OR($M459="Out of Scope",$M459="Canceled"),"Out of Scope",IF($M459="Blocked","Blocked",IF(AND($T459&lt;&gt;"Fixed – Retest Passed",OR(LEN(TRIM($O459))&gt;0,LEN(TRIM($P459))&gt;0)),IF(AND(OR($L459="Medium",$L459="Low"),SUMPRODUCT((Cards!$A$4:$A$1000&lt;&gt;"")*ISNUMBER(SEARCH($A459,Cards!$E$4:$E$1000))*(Cards!$F$4:$F$1000&lt;&gt;"Medium")*(Cards!$F$4:$F$1000&lt;&gt;"Low"))=0),"Conditionally Passed","Failed"),IF($M459="Done","Passed","Not Run")))))</f>
        <v/>
      </c>
      <c r="Y459" s="27" t="str" cm="1">
        <f t="array" ref="Y459">IF($A459="","",IF(TRIM($B459)="","-",IFERROR(_xlfn.TEXTJOIN(" / ",TRUE,_xlfn.UNIQUE(_xlfn._xlws.FILTER('Ownership Matrix'!$C$5:$C$200,('Ownership Matrix'!$A$5:$A$200=TRIM($B459))*('Ownership Matrix'!$C$5:$C$200&lt;&gt;"")))),"ไม่พบใน Ownership Matrix")))</f>
        <v/>
      </c>
      <c r="Z459" s="31" t="str">
        <f>IF(NOT(AND($A459&lt;&gt;"",$M459&lt;&gt;"Out of Scope",$M459&lt;&gt;"Canceled",$T459&lt;&gt;"Fixed – Retest Passed",OR(LEN(TRIM($O459))&gt;0,LEN(TRIM($P459))&gt;0))),"",IF(OR($W459="Failed",$R459="Urgent",$R459="High",$R459="ระบุ Severity + Impact"),IF(COUNTIFS(Dashboard!$B$105:$B$124,$O459,Dashboard!$I$105:$I$124,"CAB")&gt;0,"Accepted (CF)","Blocking"),"Deferrable"))</f>
        <v/>
      </c>
    </row>
    <row r="460" spans="7:26" x14ac:dyDescent="0.3">
      <c r="G460" s="27" t="str" cm="1">
        <f t="array" ref="G460">IF($A460="","",IFERROR(_xlfn.TEXTJOIN(CHAR(10)&amp;CHAR(10),TRUE,_xlfn._xlws.FILTER("•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"&amp;Cards!$L$4:$L$1000),(Cards!$A$4:$A$1000&lt;&gt;"")*ISNUMBER(SEARCH($A460,Cards!$E$4:$E$1000)))),"-"))</f>
        <v/>
      </c>
      <c r="Q460" s="30"/>
      <c r="R460" s="27" t="str">
        <f>IF(OR($A460="",LEN(TRIM($O460))=0),"",IF(OR($P460="",$Q460=""),"ระบุ Severity + Impact",IFERROR(INDEX({"Urgent","Urgent","High","High";"Urgent","High","High","Medium";"High","High","Medium","Medium";"Medium","Medium","Low","Low"},MATCH($P460,{"Critical","High","Medium","Low"},0),MATCH($Q460,{"Extensive","Significant","Moderate","Minor"},0)),"-")))</f>
        <v/>
      </c>
      <c r="S460" s="30"/>
      <c r="T460" s="30"/>
      <c r="W460" s="32" t="str">
        <f>IF($A460="","",IF(OR($M460="Out of Scope",$M460="Canceled"),"Out of Scope",IF($M460="Blocked","Blocked",IF(AND($T460&lt;&gt;"Fixed – Retest Passed",OR(LEN(TRIM($O460))&gt;0,LEN(TRIM($P460))&gt;0)),IF(AND(OR($L460="Medium",$L460="Low"),SUMPRODUCT((Cards!$A$4:$A$1000&lt;&gt;"")*ISNUMBER(SEARCH($A460,Cards!$E$4:$E$1000))*(Cards!$F$4:$F$1000&lt;&gt;"Medium")*(Cards!$F$4:$F$1000&lt;&gt;"Low"))=0),"Conditionally Passed","Failed"),IF($M460="Done","Passed","Not Run")))))</f>
        <v/>
      </c>
      <c r="Y460" s="27" t="str" cm="1">
        <f t="array" ref="Y460">IF($A460="","",IF(TRIM($B460)="","-",IFERROR(_xlfn.TEXTJOIN(" / ",TRUE,_xlfn.UNIQUE(_xlfn._xlws.FILTER('Ownership Matrix'!$C$5:$C$200,('Ownership Matrix'!$A$5:$A$200=TRIM($B460))*('Ownership Matrix'!$C$5:$C$200&lt;&gt;"")))),"ไม่พบใน Ownership Matrix")))</f>
        <v/>
      </c>
      <c r="Z460" s="31" t="str">
        <f>IF(NOT(AND($A460&lt;&gt;"",$M460&lt;&gt;"Out of Scope",$M460&lt;&gt;"Canceled",$T460&lt;&gt;"Fixed – Retest Passed",OR(LEN(TRIM($O460))&gt;0,LEN(TRIM($P460))&gt;0))),"",IF(OR($W460="Failed",$R460="Urgent",$R460="High",$R460="ระบุ Severity + Impact"),IF(COUNTIFS(Dashboard!$B$105:$B$124,$O460,Dashboard!$I$105:$I$124,"CAB")&gt;0,"Accepted (CF)","Blocking"),"Deferrable"))</f>
        <v/>
      </c>
    </row>
    <row r="461" spans="7:26" x14ac:dyDescent="0.3">
      <c r="G461" s="27" t="str" cm="1">
        <f t="array" ref="G461">IF($A461="","",IFERROR(_xlfn.TEXTJOIN(CHAR(10)&amp;CHAR(10),TRUE,_xlfn._xlws.FILTER("•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"&amp;Cards!$L$4:$L$1000),(Cards!$A$4:$A$1000&lt;&gt;"")*ISNUMBER(SEARCH($A461,Cards!$E$4:$E$1000)))),"-"))</f>
        <v/>
      </c>
      <c r="Q461" s="30"/>
      <c r="R461" s="27" t="str">
        <f>IF(OR($A461="",LEN(TRIM($O461))=0),"",IF(OR($P461="",$Q461=""),"ระบุ Severity + Impact",IFERROR(INDEX({"Urgent","Urgent","High","High";"Urgent","High","High","Medium";"High","High","Medium","Medium";"Medium","Medium","Low","Low"},MATCH($P461,{"Critical","High","Medium","Low"},0),MATCH($Q461,{"Extensive","Significant","Moderate","Minor"},0)),"-")))</f>
        <v/>
      </c>
      <c r="S461" s="30"/>
      <c r="T461" s="30"/>
      <c r="W461" s="32" t="str">
        <f>IF($A461="","",IF(OR($M461="Out of Scope",$M461="Canceled"),"Out of Scope",IF($M461="Blocked","Blocked",IF(AND($T461&lt;&gt;"Fixed – Retest Passed",OR(LEN(TRIM($O461))&gt;0,LEN(TRIM($P461))&gt;0)),IF(AND(OR($L461="Medium",$L461="Low"),SUMPRODUCT((Cards!$A$4:$A$1000&lt;&gt;"")*ISNUMBER(SEARCH($A461,Cards!$E$4:$E$1000))*(Cards!$F$4:$F$1000&lt;&gt;"Medium")*(Cards!$F$4:$F$1000&lt;&gt;"Low"))=0),"Conditionally Passed","Failed"),IF($M461="Done","Passed","Not Run")))))</f>
        <v/>
      </c>
      <c r="Y461" s="27" t="str" cm="1">
        <f t="array" ref="Y461">IF($A461="","",IF(TRIM($B461)="","-",IFERROR(_xlfn.TEXTJOIN(" / ",TRUE,_xlfn.UNIQUE(_xlfn._xlws.FILTER('Ownership Matrix'!$C$5:$C$200,('Ownership Matrix'!$A$5:$A$200=TRIM($B461))*('Ownership Matrix'!$C$5:$C$200&lt;&gt;"")))),"ไม่พบใน Ownership Matrix")))</f>
        <v/>
      </c>
      <c r="Z461" s="31" t="str">
        <f>IF(NOT(AND($A461&lt;&gt;"",$M461&lt;&gt;"Out of Scope",$M461&lt;&gt;"Canceled",$T461&lt;&gt;"Fixed – Retest Passed",OR(LEN(TRIM($O461))&gt;0,LEN(TRIM($P461))&gt;0))),"",IF(OR($W461="Failed",$R461="Urgent",$R461="High",$R461="ระบุ Severity + Impact"),IF(COUNTIFS(Dashboard!$B$105:$B$124,$O461,Dashboard!$I$105:$I$124,"CAB")&gt;0,"Accepted (CF)","Blocking"),"Deferrable"))</f>
        <v/>
      </c>
    </row>
    <row r="462" spans="7:26" x14ac:dyDescent="0.3">
      <c r="G462" s="27" t="str" cm="1">
        <f t="array" ref="G462">IF($A462="","",IFERROR(_xlfn.TEXTJOIN(CHAR(10)&amp;CHAR(10),TRUE,_xlfn._xlws.FILTER("•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"&amp;Cards!$L$4:$L$1000),(Cards!$A$4:$A$1000&lt;&gt;"")*ISNUMBER(SEARCH($A462,Cards!$E$4:$E$1000)))),"-"))</f>
        <v/>
      </c>
      <c r="Q462" s="30"/>
      <c r="R462" s="27" t="str">
        <f>IF(OR($A462="",LEN(TRIM($O462))=0),"",IF(OR($P462="",$Q462=""),"ระบุ Severity + Impact",IFERROR(INDEX({"Urgent","Urgent","High","High";"Urgent","High","High","Medium";"High","High","Medium","Medium";"Medium","Medium","Low","Low"},MATCH($P462,{"Critical","High","Medium","Low"},0),MATCH($Q462,{"Extensive","Significant","Moderate","Minor"},0)),"-")))</f>
        <v/>
      </c>
      <c r="S462" s="30"/>
      <c r="T462" s="30"/>
      <c r="W462" s="32" t="str">
        <f>IF($A462="","",IF(OR($M462="Out of Scope",$M462="Canceled"),"Out of Scope",IF($M462="Blocked","Blocked",IF(AND($T462&lt;&gt;"Fixed – Retest Passed",OR(LEN(TRIM($O462))&gt;0,LEN(TRIM($P462))&gt;0)),IF(AND(OR($L462="Medium",$L462="Low"),SUMPRODUCT((Cards!$A$4:$A$1000&lt;&gt;"")*ISNUMBER(SEARCH($A462,Cards!$E$4:$E$1000))*(Cards!$F$4:$F$1000&lt;&gt;"Medium")*(Cards!$F$4:$F$1000&lt;&gt;"Low"))=0),"Conditionally Passed","Failed"),IF($M462="Done","Passed","Not Run")))))</f>
        <v/>
      </c>
      <c r="Y462" s="27" t="str" cm="1">
        <f t="array" ref="Y462">IF($A462="","",IF(TRIM($B462)="","-",IFERROR(_xlfn.TEXTJOIN(" / ",TRUE,_xlfn.UNIQUE(_xlfn._xlws.FILTER('Ownership Matrix'!$C$5:$C$200,('Ownership Matrix'!$A$5:$A$200=TRIM($B462))*('Ownership Matrix'!$C$5:$C$200&lt;&gt;"")))),"ไม่พบใน Ownership Matrix")))</f>
        <v/>
      </c>
      <c r="Z462" s="31" t="str">
        <f>IF(NOT(AND($A462&lt;&gt;"",$M462&lt;&gt;"Out of Scope",$M462&lt;&gt;"Canceled",$T462&lt;&gt;"Fixed – Retest Passed",OR(LEN(TRIM($O462))&gt;0,LEN(TRIM($P462))&gt;0))),"",IF(OR($W462="Failed",$R462="Urgent",$R462="High",$R462="ระบุ Severity + Impact"),IF(COUNTIFS(Dashboard!$B$105:$B$124,$O462,Dashboard!$I$105:$I$124,"CAB")&gt;0,"Accepted (CF)","Blocking"),"Deferrable"))</f>
        <v/>
      </c>
    </row>
    <row r="463" spans="7:26" x14ac:dyDescent="0.3">
      <c r="G463" s="27" t="str" cm="1">
        <f t="array" ref="G463">IF($A463="","",IFERROR(_xlfn.TEXTJOIN(CHAR(10)&amp;CHAR(10),TRUE,_xlfn._xlws.FILTER("•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"&amp;Cards!$L$4:$L$1000),(Cards!$A$4:$A$1000&lt;&gt;"")*ISNUMBER(SEARCH($A463,Cards!$E$4:$E$1000)))),"-"))</f>
        <v/>
      </c>
      <c r="Q463" s="30"/>
      <c r="R463" s="27" t="str">
        <f>IF(OR($A463="",LEN(TRIM($O463))=0),"",IF(OR($P463="",$Q463=""),"ระบุ Severity + Impact",IFERROR(INDEX({"Urgent","Urgent","High","High";"Urgent","High","High","Medium";"High","High","Medium","Medium";"Medium","Medium","Low","Low"},MATCH($P463,{"Critical","High","Medium","Low"},0),MATCH($Q463,{"Extensive","Significant","Moderate","Minor"},0)),"-")))</f>
        <v/>
      </c>
      <c r="S463" s="30"/>
      <c r="T463" s="30"/>
      <c r="W463" s="32" t="str">
        <f>IF($A463="","",IF(OR($M463="Out of Scope",$M463="Canceled"),"Out of Scope",IF($M463="Blocked","Blocked",IF(AND($T463&lt;&gt;"Fixed – Retest Passed",OR(LEN(TRIM($O463))&gt;0,LEN(TRIM($P463))&gt;0)),IF(AND(OR($L463="Medium",$L463="Low"),SUMPRODUCT((Cards!$A$4:$A$1000&lt;&gt;"")*ISNUMBER(SEARCH($A463,Cards!$E$4:$E$1000))*(Cards!$F$4:$F$1000&lt;&gt;"Medium")*(Cards!$F$4:$F$1000&lt;&gt;"Low"))=0),"Conditionally Passed","Failed"),IF($M463="Done","Passed","Not Run")))))</f>
        <v/>
      </c>
      <c r="Y463" s="27" t="str" cm="1">
        <f t="array" ref="Y463">IF($A463="","",IF(TRIM($B463)="","-",IFERROR(_xlfn.TEXTJOIN(" / ",TRUE,_xlfn.UNIQUE(_xlfn._xlws.FILTER('Ownership Matrix'!$C$5:$C$200,('Ownership Matrix'!$A$5:$A$200=TRIM($B463))*('Ownership Matrix'!$C$5:$C$200&lt;&gt;"")))),"ไม่พบใน Ownership Matrix")))</f>
        <v/>
      </c>
      <c r="Z463" s="31" t="str">
        <f>IF(NOT(AND($A463&lt;&gt;"",$M463&lt;&gt;"Out of Scope",$M463&lt;&gt;"Canceled",$T463&lt;&gt;"Fixed – Retest Passed",OR(LEN(TRIM($O463))&gt;0,LEN(TRIM($P463))&gt;0))),"",IF(OR($W463="Failed",$R463="Urgent",$R463="High",$R463="ระบุ Severity + Impact"),IF(COUNTIFS(Dashboard!$B$105:$B$124,$O463,Dashboard!$I$105:$I$124,"CAB")&gt;0,"Accepted (CF)","Blocking"),"Deferrable"))</f>
        <v/>
      </c>
    </row>
    <row r="464" spans="7:26" x14ac:dyDescent="0.3">
      <c r="G464" s="27" t="str" cm="1">
        <f t="array" ref="G464">IF($A464="","",IFERROR(_xlfn.TEXTJOIN(CHAR(10)&amp;CHAR(10),TRUE,_xlfn._xlws.FILTER("•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"&amp;Cards!$L$4:$L$1000),(Cards!$A$4:$A$1000&lt;&gt;"")*ISNUMBER(SEARCH($A464,Cards!$E$4:$E$1000)))),"-"))</f>
        <v/>
      </c>
      <c r="Q464" s="30"/>
      <c r="R464" s="27" t="str">
        <f>IF(OR($A464="",LEN(TRIM($O464))=0),"",IF(OR($P464="",$Q464=""),"ระบุ Severity + Impact",IFERROR(INDEX({"Urgent","Urgent","High","High";"Urgent","High","High","Medium";"High","High","Medium","Medium";"Medium","Medium","Low","Low"},MATCH($P464,{"Critical","High","Medium","Low"},0),MATCH($Q464,{"Extensive","Significant","Moderate","Minor"},0)),"-")))</f>
        <v/>
      </c>
      <c r="S464" s="30"/>
      <c r="T464" s="30"/>
      <c r="W464" s="32" t="str">
        <f>IF($A464="","",IF(OR($M464="Out of Scope",$M464="Canceled"),"Out of Scope",IF($M464="Blocked","Blocked",IF(AND($T464&lt;&gt;"Fixed – Retest Passed",OR(LEN(TRIM($O464))&gt;0,LEN(TRIM($P464))&gt;0)),IF(AND(OR($L464="Medium",$L464="Low"),SUMPRODUCT((Cards!$A$4:$A$1000&lt;&gt;"")*ISNUMBER(SEARCH($A464,Cards!$E$4:$E$1000))*(Cards!$F$4:$F$1000&lt;&gt;"Medium")*(Cards!$F$4:$F$1000&lt;&gt;"Low"))=0),"Conditionally Passed","Failed"),IF($M464="Done","Passed","Not Run")))))</f>
        <v/>
      </c>
      <c r="Y464" s="27" t="str" cm="1">
        <f t="array" ref="Y464">IF($A464="","",IF(TRIM($B464)="","-",IFERROR(_xlfn.TEXTJOIN(" / ",TRUE,_xlfn.UNIQUE(_xlfn._xlws.FILTER('Ownership Matrix'!$C$5:$C$200,('Ownership Matrix'!$A$5:$A$200=TRIM($B464))*('Ownership Matrix'!$C$5:$C$200&lt;&gt;"")))),"ไม่พบใน Ownership Matrix")))</f>
        <v/>
      </c>
      <c r="Z464" s="31" t="str">
        <f>IF(NOT(AND($A464&lt;&gt;"",$M464&lt;&gt;"Out of Scope",$M464&lt;&gt;"Canceled",$T464&lt;&gt;"Fixed – Retest Passed",OR(LEN(TRIM($O464))&gt;0,LEN(TRIM($P464))&gt;0))),"",IF(OR($W464="Failed",$R464="Urgent",$R464="High",$R464="ระบุ Severity + Impact"),IF(COUNTIFS(Dashboard!$B$105:$B$124,$O464,Dashboard!$I$105:$I$124,"CAB")&gt;0,"Accepted (CF)","Blocking"),"Deferrable"))</f>
        <v/>
      </c>
    </row>
    <row r="465" spans="7:26" x14ac:dyDescent="0.3">
      <c r="G465" s="27" t="str" cm="1">
        <f t="array" ref="G465">IF($A465="","",IFERROR(_xlfn.TEXTJOIN(CHAR(10)&amp;CHAR(10),TRUE,_xlfn._xlws.FILTER("•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"&amp;Cards!$L$4:$L$1000),(Cards!$A$4:$A$1000&lt;&gt;"")*ISNUMBER(SEARCH($A465,Cards!$E$4:$E$1000)))),"-"))</f>
        <v/>
      </c>
      <c r="Q465" s="30"/>
      <c r="R465" s="27" t="str">
        <f>IF(OR($A465="",LEN(TRIM($O465))=0),"",IF(OR($P465="",$Q465=""),"ระบุ Severity + Impact",IFERROR(INDEX({"Urgent","Urgent","High","High";"Urgent","High","High","Medium";"High","High","Medium","Medium";"Medium","Medium","Low","Low"},MATCH($P465,{"Critical","High","Medium","Low"},0),MATCH($Q465,{"Extensive","Significant","Moderate","Minor"},0)),"-")))</f>
        <v/>
      </c>
      <c r="S465" s="30"/>
      <c r="T465" s="30"/>
      <c r="W465" s="32" t="str">
        <f>IF($A465="","",IF(OR($M465="Out of Scope",$M465="Canceled"),"Out of Scope",IF($M465="Blocked","Blocked",IF(AND($T465&lt;&gt;"Fixed – Retest Passed",OR(LEN(TRIM($O465))&gt;0,LEN(TRIM($P465))&gt;0)),IF(AND(OR($L465="Medium",$L465="Low"),SUMPRODUCT((Cards!$A$4:$A$1000&lt;&gt;"")*ISNUMBER(SEARCH($A465,Cards!$E$4:$E$1000))*(Cards!$F$4:$F$1000&lt;&gt;"Medium")*(Cards!$F$4:$F$1000&lt;&gt;"Low"))=0),"Conditionally Passed","Failed"),IF($M465="Done","Passed","Not Run")))))</f>
        <v/>
      </c>
      <c r="Y465" s="27" t="str" cm="1">
        <f t="array" ref="Y465">IF($A465="","",IF(TRIM($B465)="","-",IFERROR(_xlfn.TEXTJOIN(" / ",TRUE,_xlfn.UNIQUE(_xlfn._xlws.FILTER('Ownership Matrix'!$C$5:$C$200,('Ownership Matrix'!$A$5:$A$200=TRIM($B465))*('Ownership Matrix'!$C$5:$C$200&lt;&gt;"")))),"ไม่พบใน Ownership Matrix")))</f>
        <v/>
      </c>
      <c r="Z465" s="31" t="str">
        <f>IF(NOT(AND($A465&lt;&gt;"",$M465&lt;&gt;"Out of Scope",$M465&lt;&gt;"Canceled",$T465&lt;&gt;"Fixed – Retest Passed",OR(LEN(TRIM($O465))&gt;0,LEN(TRIM($P465))&gt;0))),"",IF(OR($W465="Failed",$R465="Urgent",$R465="High",$R465="ระบุ Severity + Impact"),IF(COUNTIFS(Dashboard!$B$105:$B$124,$O465,Dashboard!$I$105:$I$124,"CAB")&gt;0,"Accepted (CF)","Blocking"),"Deferrable"))</f>
        <v/>
      </c>
    </row>
    <row r="466" spans="7:26" x14ac:dyDescent="0.3">
      <c r="G466" s="27" t="str" cm="1">
        <f t="array" ref="G466">IF($A466="","",IFERROR(_xlfn.TEXTJOIN(CHAR(10)&amp;CHAR(10),TRUE,_xlfn._xlws.FILTER("•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"&amp;Cards!$L$4:$L$1000),(Cards!$A$4:$A$1000&lt;&gt;"")*ISNUMBER(SEARCH($A466,Cards!$E$4:$E$1000)))),"-"))</f>
        <v/>
      </c>
      <c r="Q466" s="30"/>
      <c r="R466" s="27" t="str">
        <f>IF(OR($A466="",LEN(TRIM($O466))=0),"",IF(OR($P466="",$Q466=""),"ระบุ Severity + Impact",IFERROR(INDEX({"Urgent","Urgent","High","High";"Urgent","High","High","Medium";"High","High","Medium","Medium";"Medium","Medium","Low","Low"},MATCH($P466,{"Critical","High","Medium","Low"},0),MATCH($Q466,{"Extensive","Significant","Moderate","Minor"},0)),"-")))</f>
        <v/>
      </c>
      <c r="S466" s="30"/>
      <c r="T466" s="30"/>
      <c r="W466" s="32" t="str">
        <f>IF($A466="","",IF(OR($M466="Out of Scope",$M466="Canceled"),"Out of Scope",IF($M466="Blocked","Blocked",IF(AND($T466&lt;&gt;"Fixed – Retest Passed",OR(LEN(TRIM($O466))&gt;0,LEN(TRIM($P466))&gt;0)),IF(AND(OR($L466="Medium",$L466="Low"),SUMPRODUCT((Cards!$A$4:$A$1000&lt;&gt;"")*ISNUMBER(SEARCH($A466,Cards!$E$4:$E$1000))*(Cards!$F$4:$F$1000&lt;&gt;"Medium")*(Cards!$F$4:$F$1000&lt;&gt;"Low"))=0),"Conditionally Passed","Failed"),IF($M466="Done","Passed","Not Run")))))</f>
        <v/>
      </c>
      <c r="Y466" s="27" t="str" cm="1">
        <f t="array" ref="Y466">IF($A466="","",IF(TRIM($B466)="","-",IFERROR(_xlfn.TEXTJOIN(" / ",TRUE,_xlfn.UNIQUE(_xlfn._xlws.FILTER('Ownership Matrix'!$C$5:$C$200,('Ownership Matrix'!$A$5:$A$200=TRIM($B466))*('Ownership Matrix'!$C$5:$C$200&lt;&gt;"")))),"ไม่พบใน Ownership Matrix")))</f>
        <v/>
      </c>
      <c r="Z466" s="31" t="str">
        <f>IF(NOT(AND($A466&lt;&gt;"",$M466&lt;&gt;"Out of Scope",$M466&lt;&gt;"Canceled",$T466&lt;&gt;"Fixed – Retest Passed",OR(LEN(TRIM($O466))&gt;0,LEN(TRIM($P466))&gt;0))),"",IF(OR($W466="Failed",$R466="Urgent",$R466="High",$R466="ระบุ Severity + Impact"),IF(COUNTIFS(Dashboard!$B$105:$B$124,$O466,Dashboard!$I$105:$I$124,"CAB")&gt;0,"Accepted (CF)","Blocking"),"Deferrable"))</f>
        <v/>
      </c>
    </row>
    <row r="467" spans="7:26" x14ac:dyDescent="0.3">
      <c r="G467" s="27" t="str" cm="1">
        <f t="array" ref="G467">IF($A467="","",IFERROR(_xlfn.TEXTJOIN(CHAR(10)&amp;CHAR(10),TRUE,_xlfn._xlws.FILTER("•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"&amp;Cards!$L$4:$L$1000),(Cards!$A$4:$A$1000&lt;&gt;"")*ISNUMBER(SEARCH($A467,Cards!$E$4:$E$1000)))),"-"))</f>
        <v/>
      </c>
      <c r="Q467" s="30"/>
      <c r="R467" s="27" t="str">
        <f>IF(OR($A467="",LEN(TRIM($O467))=0),"",IF(OR($P467="",$Q467=""),"ระบุ Severity + Impact",IFERROR(INDEX({"Urgent","Urgent","High","High";"Urgent","High","High","Medium";"High","High","Medium","Medium";"Medium","Medium","Low","Low"},MATCH($P467,{"Critical","High","Medium","Low"},0),MATCH($Q467,{"Extensive","Significant","Moderate","Minor"},0)),"-")))</f>
        <v/>
      </c>
      <c r="S467" s="30"/>
      <c r="T467" s="30"/>
      <c r="W467" s="32" t="str">
        <f>IF($A467="","",IF(OR($M467="Out of Scope",$M467="Canceled"),"Out of Scope",IF($M467="Blocked","Blocked",IF(AND($T467&lt;&gt;"Fixed – Retest Passed",OR(LEN(TRIM($O467))&gt;0,LEN(TRIM($P467))&gt;0)),IF(AND(OR($L467="Medium",$L467="Low"),SUMPRODUCT((Cards!$A$4:$A$1000&lt;&gt;"")*ISNUMBER(SEARCH($A467,Cards!$E$4:$E$1000))*(Cards!$F$4:$F$1000&lt;&gt;"Medium")*(Cards!$F$4:$F$1000&lt;&gt;"Low"))=0),"Conditionally Passed","Failed"),IF($M467="Done","Passed","Not Run")))))</f>
        <v/>
      </c>
      <c r="Y467" s="27" t="str" cm="1">
        <f t="array" ref="Y467">IF($A467="","",IF(TRIM($B467)="","-",IFERROR(_xlfn.TEXTJOIN(" / ",TRUE,_xlfn.UNIQUE(_xlfn._xlws.FILTER('Ownership Matrix'!$C$5:$C$200,('Ownership Matrix'!$A$5:$A$200=TRIM($B467))*('Ownership Matrix'!$C$5:$C$200&lt;&gt;"")))),"ไม่พบใน Ownership Matrix")))</f>
        <v/>
      </c>
      <c r="Z467" s="31" t="str">
        <f>IF(NOT(AND($A467&lt;&gt;"",$M467&lt;&gt;"Out of Scope",$M467&lt;&gt;"Canceled",$T467&lt;&gt;"Fixed – Retest Passed",OR(LEN(TRIM($O467))&gt;0,LEN(TRIM($P467))&gt;0))),"",IF(OR($W467="Failed",$R467="Urgent",$R467="High",$R467="ระบุ Severity + Impact"),IF(COUNTIFS(Dashboard!$B$105:$B$124,$O467,Dashboard!$I$105:$I$124,"CAB")&gt;0,"Accepted (CF)","Blocking"),"Deferrable"))</f>
        <v/>
      </c>
    </row>
    <row r="468" spans="7:26" x14ac:dyDescent="0.3">
      <c r="G468" s="27" t="str" cm="1">
        <f t="array" ref="G468">IF($A468="","",IFERROR(_xlfn.TEXTJOIN(CHAR(10)&amp;CHAR(10),TRUE,_xlfn._xlws.FILTER("•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"&amp;Cards!$L$4:$L$1000),(Cards!$A$4:$A$1000&lt;&gt;"")*ISNUMBER(SEARCH($A468,Cards!$E$4:$E$1000)))),"-"))</f>
        <v/>
      </c>
      <c r="Q468" s="30"/>
      <c r="R468" s="27" t="str">
        <f>IF(OR($A468="",LEN(TRIM($O468))=0),"",IF(OR($P468="",$Q468=""),"ระบุ Severity + Impact",IFERROR(INDEX({"Urgent","Urgent","High","High";"Urgent","High","High","Medium";"High","High","Medium","Medium";"Medium","Medium","Low","Low"},MATCH($P468,{"Critical","High","Medium","Low"},0),MATCH($Q468,{"Extensive","Significant","Moderate","Minor"},0)),"-")))</f>
        <v/>
      </c>
      <c r="S468" s="30"/>
      <c r="T468" s="30"/>
      <c r="W468" s="32" t="str">
        <f>IF($A468="","",IF(OR($M468="Out of Scope",$M468="Canceled"),"Out of Scope",IF($M468="Blocked","Blocked",IF(AND($T468&lt;&gt;"Fixed – Retest Passed",OR(LEN(TRIM($O468))&gt;0,LEN(TRIM($P468))&gt;0)),IF(AND(OR($L468="Medium",$L468="Low"),SUMPRODUCT((Cards!$A$4:$A$1000&lt;&gt;"")*ISNUMBER(SEARCH($A468,Cards!$E$4:$E$1000))*(Cards!$F$4:$F$1000&lt;&gt;"Medium")*(Cards!$F$4:$F$1000&lt;&gt;"Low"))=0),"Conditionally Passed","Failed"),IF($M468="Done","Passed","Not Run")))))</f>
        <v/>
      </c>
      <c r="Y468" s="27" t="str" cm="1">
        <f t="array" ref="Y468">IF($A468="","",IF(TRIM($B468)="","-",IFERROR(_xlfn.TEXTJOIN(" / ",TRUE,_xlfn.UNIQUE(_xlfn._xlws.FILTER('Ownership Matrix'!$C$5:$C$200,('Ownership Matrix'!$A$5:$A$200=TRIM($B468))*('Ownership Matrix'!$C$5:$C$200&lt;&gt;"")))),"ไม่พบใน Ownership Matrix")))</f>
        <v/>
      </c>
      <c r="Z468" s="31" t="str">
        <f>IF(NOT(AND($A468&lt;&gt;"",$M468&lt;&gt;"Out of Scope",$M468&lt;&gt;"Canceled",$T468&lt;&gt;"Fixed – Retest Passed",OR(LEN(TRIM($O468))&gt;0,LEN(TRIM($P468))&gt;0))),"",IF(OR($W468="Failed",$R468="Urgent",$R468="High",$R468="ระบุ Severity + Impact"),IF(COUNTIFS(Dashboard!$B$105:$B$124,$O468,Dashboard!$I$105:$I$124,"CAB")&gt;0,"Accepted (CF)","Blocking"),"Deferrable"))</f>
        <v/>
      </c>
    </row>
    <row r="469" spans="7:26" x14ac:dyDescent="0.3">
      <c r="G469" s="27" t="str" cm="1">
        <f t="array" ref="G469">IF($A469="","",IFERROR(_xlfn.TEXTJOIN(CHAR(10)&amp;CHAR(10),TRUE,_xlfn._xlws.FILTER("•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"&amp;Cards!$L$4:$L$1000),(Cards!$A$4:$A$1000&lt;&gt;"")*ISNUMBER(SEARCH($A469,Cards!$E$4:$E$1000)))),"-"))</f>
        <v/>
      </c>
      <c r="Q469" s="30"/>
      <c r="R469" s="27" t="str">
        <f>IF(OR($A469="",LEN(TRIM($O469))=0),"",IF(OR($P469="",$Q469=""),"ระบุ Severity + Impact",IFERROR(INDEX({"Urgent","Urgent","High","High";"Urgent","High","High","Medium";"High","High","Medium","Medium";"Medium","Medium","Low","Low"},MATCH($P469,{"Critical","High","Medium","Low"},0),MATCH($Q469,{"Extensive","Significant","Moderate","Minor"},0)),"-")))</f>
        <v/>
      </c>
      <c r="S469" s="30"/>
      <c r="T469" s="30"/>
      <c r="W469" s="32" t="str">
        <f>IF($A469="","",IF(OR($M469="Out of Scope",$M469="Canceled"),"Out of Scope",IF($M469="Blocked","Blocked",IF(AND($T469&lt;&gt;"Fixed – Retest Passed",OR(LEN(TRIM($O469))&gt;0,LEN(TRIM($P469))&gt;0)),IF(AND(OR($L469="Medium",$L469="Low"),SUMPRODUCT((Cards!$A$4:$A$1000&lt;&gt;"")*ISNUMBER(SEARCH($A469,Cards!$E$4:$E$1000))*(Cards!$F$4:$F$1000&lt;&gt;"Medium")*(Cards!$F$4:$F$1000&lt;&gt;"Low"))=0),"Conditionally Passed","Failed"),IF($M469="Done","Passed","Not Run")))))</f>
        <v/>
      </c>
      <c r="Y469" s="27" t="str" cm="1">
        <f t="array" ref="Y469">IF($A469="","",IF(TRIM($B469)="","-",IFERROR(_xlfn.TEXTJOIN(" / ",TRUE,_xlfn.UNIQUE(_xlfn._xlws.FILTER('Ownership Matrix'!$C$5:$C$200,('Ownership Matrix'!$A$5:$A$200=TRIM($B469))*('Ownership Matrix'!$C$5:$C$200&lt;&gt;"")))),"ไม่พบใน Ownership Matrix")))</f>
        <v/>
      </c>
      <c r="Z469" s="31" t="str">
        <f>IF(NOT(AND($A469&lt;&gt;"",$M469&lt;&gt;"Out of Scope",$M469&lt;&gt;"Canceled",$T469&lt;&gt;"Fixed – Retest Passed",OR(LEN(TRIM($O469))&gt;0,LEN(TRIM($P469))&gt;0))),"",IF(OR($W469="Failed",$R469="Urgent",$R469="High",$R469="ระบุ Severity + Impact"),IF(COUNTIFS(Dashboard!$B$105:$B$124,$O469,Dashboard!$I$105:$I$124,"CAB")&gt;0,"Accepted (CF)","Blocking"),"Deferrable"))</f>
        <v/>
      </c>
    </row>
    <row r="470" spans="7:26" x14ac:dyDescent="0.3">
      <c r="G470" s="27" t="str" cm="1">
        <f t="array" ref="G470">IF($A470="","",IFERROR(_xlfn.TEXTJOIN(CHAR(10)&amp;CHAR(10),TRUE,_xlfn._xlws.FILTER("•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"&amp;Cards!$L$4:$L$1000),(Cards!$A$4:$A$1000&lt;&gt;"")*ISNUMBER(SEARCH($A470,Cards!$E$4:$E$1000)))),"-"))</f>
        <v/>
      </c>
      <c r="Q470" s="30"/>
      <c r="R470" s="27" t="str">
        <f>IF(OR($A470="",LEN(TRIM($O470))=0),"",IF(OR($P470="",$Q470=""),"ระบุ Severity + Impact",IFERROR(INDEX({"Urgent","Urgent","High","High";"Urgent","High","High","Medium";"High","High","Medium","Medium";"Medium","Medium","Low","Low"},MATCH($P470,{"Critical","High","Medium","Low"},0),MATCH($Q470,{"Extensive","Significant","Moderate","Minor"},0)),"-")))</f>
        <v/>
      </c>
      <c r="S470" s="30"/>
      <c r="T470" s="30"/>
      <c r="W470" s="32" t="str">
        <f>IF($A470="","",IF(OR($M470="Out of Scope",$M470="Canceled"),"Out of Scope",IF($M470="Blocked","Blocked",IF(AND($T470&lt;&gt;"Fixed – Retest Passed",OR(LEN(TRIM($O470))&gt;0,LEN(TRIM($P470))&gt;0)),IF(AND(OR($L470="Medium",$L470="Low"),SUMPRODUCT((Cards!$A$4:$A$1000&lt;&gt;"")*ISNUMBER(SEARCH($A470,Cards!$E$4:$E$1000))*(Cards!$F$4:$F$1000&lt;&gt;"Medium")*(Cards!$F$4:$F$1000&lt;&gt;"Low"))=0),"Conditionally Passed","Failed"),IF($M470="Done","Passed","Not Run")))))</f>
        <v/>
      </c>
      <c r="Y470" s="27" t="str" cm="1">
        <f t="array" ref="Y470">IF($A470="","",IF(TRIM($B470)="","-",IFERROR(_xlfn.TEXTJOIN(" / ",TRUE,_xlfn.UNIQUE(_xlfn._xlws.FILTER('Ownership Matrix'!$C$5:$C$200,('Ownership Matrix'!$A$5:$A$200=TRIM($B470))*('Ownership Matrix'!$C$5:$C$200&lt;&gt;"")))),"ไม่พบใน Ownership Matrix")))</f>
        <v/>
      </c>
      <c r="Z470" s="31" t="str">
        <f>IF(NOT(AND($A470&lt;&gt;"",$M470&lt;&gt;"Out of Scope",$M470&lt;&gt;"Canceled",$T470&lt;&gt;"Fixed – Retest Passed",OR(LEN(TRIM($O470))&gt;0,LEN(TRIM($P470))&gt;0))),"",IF(OR($W470="Failed",$R470="Urgent",$R470="High",$R470="ระบุ Severity + Impact"),IF(COUNTIFS(Dashboard!$B$105:$B$124,$O470,Dashboard!$I$105:$I$124,"CAB")&gt;0,"Accepted (CF)","Blocking"),"Deferrable"))</f>
        <v/>
      </c>
    </row>
    <row r="471" spans="7:26" x14ac:dyDescent="0.3">
      <c r="G471" s="27" t="str" cm="1">
        <f t="array" ref="G471">IF($A471="","",IFERROR(_xlfn.TEXTJOIN(CHAR(10)&amp;CHAR(10),TRUE,_xlfn._xlws.FILTER("•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"&amp;Cards!$L$4:$L$1000),(Cards!$A$4:$A$1000&lt;&gt;"")*ISNUMBER(SEARCH($A471,Cards!$E$4:$E$1000)))),"-"))</f>
        <v/>
      </c>
      <c r="Q471" s="30"/>
      <c r="R471" s="27" t="str">
        <f>IF(OR($A471="",LEN(TRIM($O471))=0),"",IF(OR($P471="",$Q471=""),"ระบุ Severity + Impact",IFERROR(INDEX({"Urgent","Urgent","High","High";"Urgent","High","High","Medium";"High","High","Medium","Medium";"Medium","Medium","Low","Low"},MATCH($P471,{"Critical","High","Medium","Low"},0),MATCH($Q471,{"Extensive","Significant","Moderate","Minor"},0)),"-")))</f>
        <v/>
      </c>
      <c r="S471" s="30"/>
      <c r="T471" s="30"/>
      <c r="W471" s="32" t="str">
        <f>IF($A471="","",IF(OR($M471="Out of Scope",$M471="Canceled"),"Out of Scope",IF($M471="Blocked","Blocked",IF(AND($T471&lt;&gt;"Fixed – Retest Passed",OR(LEN(TRIM($O471))&gt;0,LEN(TRIM($P471))&gt;0)),IF(AND(OR($L471="Medium",$L471="Low"),SUMPRODUCT((Cards!$A$4:$A$1000&lt;&gt;"")*ISNUMBER(SEARCH($A471,Cards!$E$4:$E$1000))*(Cards!$F$4:$F$1000&lt;&gt;"Medium")*(Cards!$F$4:$F$1000&lt;&gt;"Low"))=0),"Conditionally Passed","Failed"),IF($M471="Done","Passed","Not Run")))))</f>
        <v/>
      </c>
      <c r="Y471" s="27" t="str" cm="1">
        <f t="array" ref="Y471">IF($A471="","",IF(TRIM($B471)="","-",IFERROR(_xlfn.TEXTJOIN(" / ",TRUE,_xlfn.UNIQUE(_xlfn._xlws.FILTER('Ownership Matrix'!$C$5:$C$200,('Ownership Matrix'!$A$5:$A$200=TRIM($B471))*('Ownership Matrix'!$C$5:$C$200&lt;&gt;"")))),"ไม่พบใน Ownership Matrix")))</f>
        <v/>
      </c>
      <c r="Z471" s="31" t="str">
        <f>IF(NOT(AND($A471&lt;&gt;"",$M471&lt;&gt;"Out of Scope",$M471&lt;&gt;"Canceled",$T471&lt;&gt;"Fixed – Retest Passed",OR(LEN(TRIM($O471))&gt;0,LEN(TRIM($P471))&gt;0))),"",IF(OR($W471="Failed",$R471="Urgent",$R471="High",$R471="ระบุ Severity + Impact"),IF(COUNTIFS(Dashboard!$B$105:$B$124,$O471,Dashboard!$I$105:$I$124,"CAB")&gt;0,"Accepted (CF)","Blocking"),"Deferrable"))</f>
        <v/>
      </c>
    </row>
    <row r="472" spans="7:26" x14ac:dyDescent="0.3">
      <c r="G472" s="27" t="str" cm="1">
        <f t="array" ref="G472">IF($A472="","",IFERROR(_xlfn.TEXTJOIN(CHAR(10)&amp;CHAR(10),TRUE,_xlfn._xlws.FILTER("•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"&amp;Cards!$L$4:$L$1000),(Cards!$A$4:$A$1000&lt;&gt;"")*ISNUMBER(SEARCH($A472,Cards!$E$4:$E$1000)))),"-"))</f>
        <v/>
      </c>
      <c r="Q472" s="30"/>
      <c r="R472" s="27" t="str">
        <f>IF(OR($A472="",LEN(TRIM($O472))=0),"",IF(OR($P472="",$Q472=""),"ระบุ Severity + Impact",IFERROR(INDEX({"Urgent","Urgent","High","High";"Urgent","High","High","Medium";"High","High","Medium","Medium";"Medium","Medium","Low","Low"},MATCH($P472,{"Critical","High","Medium","Low"},0),MATCH($Q472,{"Extensive","Significant","Moderate","Minor"},0)),"-")))</f>
        <v/>
      </c>
      <c r="S472" s="30"/>
      <c r="T472" s="30"/>
      <c r="W472" s="32" t="str">
        <f>IF($A472="","",IF(OR($M472="Out of Scope",$M472="Canceled"),"Out of Scope",IF($M472="Blocked","Blocked",IF(AND($T472&lt;&gt;"Fixed – Retest Passed",OR(LEN(TRIM($O472))&gt;0,LEN(TRIM($P472))&gt;0)),IF(AND(OR($L472="Medium",$L472="Low"),SUMPRODUCT((Cards!$A$4:$A$1000&lt;&gt;"")*ISNUMBER(SEARCH($A472,Cards!$E$4:$E$1000))*(Cards!$F$4:$F$1000&lt;&gt;"Medium")*(Cards!$F$4:$F$1000&lt;&gt;"Low"))=0),"Conditionally Passed","Failed"),IF($M472="Done","Passed","Not Run")))))</f>
        <v/>
      </c>
      <c r="Y472" s="27" t="str" cm="1">
        <f t="array" ref="Y472">IF($A472="","",IF(TRIM($B472)="","-",IFERROR(_xlfn.TEXTJOIN(" / ",TRUE,_xlfn.UNIQUE(_xlfn._xlws.FILTER('Ownership Matrix'!$C$5:$C$200,('Ownership Matrix'!$A$5:$A$200=TRIM($B472))*('Ownership Matrix'!$C$5:$C$200&lt;&gt;"")))),"ไม่พบใน Ownership Matrix")))</f>
        <v/>
      </c>
      <c r="Z472" s="31" t="str">
        <f>IF(NOT(AND($A472&lt;&gt;"",$M472&lt;&gt;"Out of Scope",$M472&lt;&gt;"Canceled",$T472&lt;&gt;"Fixed – Retest Passed",OR(LEN(TRIM($O472))&gt;0,LEN(TRIM($P472))&gt;0))),"",IF(OR($W472="Failed",$R472="Urgent",$R472="High",$R472="ระบุ Severity + Impact"),IF(COUNTIFS(Dashboard!$B$105:$B$124,$O472,Dashboard!$I$105:$I$124,"CAB")&gt;0,"Accepted (CF)","Blocking"),"Deferrable"))</f>
        <v/>
      </c>
    </row>
    <row r="473" spans="7:26" x14ac:dyDescent="0.3">
      <c r="G473" s="27" t="str" cm="1">
        <f t="array" ref="G473">IF($A473="","",IFERROR(_xlfn.TEXTJOIN(CHAR(10)&amp;CHAR(10),TRUE,_xlfn._xlws.FILTER("•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"&amp;Cards!$L$4:$L$1000),(Cards!$A$4:$A$1000&lt;&gt;"")*ISNUMBER(SEARCH($A473,Cards!$E$4:$E$1000)))),"-"))</f>
        <v/>
      </c>
      <c r="Q473" s="30"/>
      <c r="R473" s="27" t="str">
        <f>IF(OR($A473="",LEN(TRIM($O473))=0),"",IF(OR($P473="",$Q473=""),"ระบุ Severity + Impact",IFERROR(INDEX({"Urgent","Urgent","High","High";"Urgent","High","High","Medium";"High","High","Medium","Medium";"Medium","Medium","Low","Low"},MATCH($P473,{"Critical","High","Medium","Low"},0),MATCH($Q473,{"Extensive","Significant","Moderate","Minor"},0)),"-")))</f>
        <v/>
      </c>
      <c r="S473" s="30"/>
      <c r="T473" s="30"/>
      <c r="W473" s="32" t="str">
        <f>IF($A473="","",IF(OR($M473="Out of Scope",$M473="Canceled"),"Out of Scope",IF($M473="Blocked","Blocked",IF(AND($T473&lt;&gt;"Fixed – Retest Passed",OR(LEN(TRIM($O473))&gt;0,LEN(TRIM($P473))&gt;0)),IF(AND(OR($L473="Medium",$L473="Low"),SUMPRODUCT((Cards!$A$4:$A$1000&lt;&gt;"")*ISNUMBER(SEARCH($A473,Cards!$E$4:$E$1000))*(Cards!$F$4:$F$1000&lt;&gt;"Medium")*(Cards!$F$4:$F$1000&lt;&gt;"Low"))=0),"Conditionally Passed","Failed"),IF($M473="Done","Passed","Not Run")))))</f>
        <v/>
      </c>
      <c r="Y473" s="27" t="str" cm="1">
        <f t="array" ref="Y473">IF($A473="","",IF(TRIM($B473)="","-",IFERROR(_xlfn.TEXTJOIN(" / ",TRUE,_xlfn.UNIQUE(_xlfn._xlws.FILTER('Ownership Matrix'!$C$5:$C$200,('Ownership Matrix'!$A$5:$A$200=TRIM($B473))*('Ownership Matrix'!$C$5:$C$200&lt;&gt;"")))),"ไม่พบใน Ownership Matrix")))</f>
        <v/>
      </c>
      <c r="Z473" s="31" t="str">
        <f>IF(NOT(AND($A473&lt;&gt;"",$M473&lt;&gt;"Out of Scope",$M473&lt;&gt;"Canceled",$T473&lt;&gt;"Fixed – Retest Passed",OR(LEN(TRIM($O473))&gt;0,LEN(TRIM($P473))&gt;0))),"",IF(OR($W473="Failed",$R473="Urgent",$R473="High",$R473="ระบุ Severity + Impact"),IF(COUNTIFS(Dashboard!$B$105:$B$124,$O473,Dashboard!$I$105:$I$124,"CAB")&gt;0,"Accepted (CF)","Blocking"),"Deferrable"))</f>
        <v/>
      </c>
    </row>
    <row r="474" spans="7:26" x14ac:dyDescent="0.3">
      <c r="G474" s="27" t="str" cm="1">
        <f t="array" ref="G474">IF($A474="","",IFERROR(_xlfn.TEXTJOIN(CHAR(10)&amp;CHAR(10),TRUE,_xlfn._xlws.FILTER("•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"&amp;Cards!$L$4:$L$1000),(Cards!$A$4:$A$1000&lt;&gt;"")*ISNUMBER(SEARCH($A474,Cards!$E$4:$E$1000)))),"-"))</f>
        <v/>
      </c>
      <c r="Q474" s="30"/>
      <c r="R474" s="27" t="str">
        <f>IF(OR($A474="",LEN(TRIM($O474))=0),"",IF(OR($P474="",$Q474=""),"ระบุ Severity + Impact",IFERROR(INDEX({"Urgent","Urgent","High","High";"Urgent","High","High","Medium";"High","High","Medium","Medium";"Medium","Medium","Low","Low"},MATCH($P474,{"Critical","High","Medium","Low"},0),MATCH($Q474,{"Extensive","Significant","Moderate","Minor"},0)),"-")))</f>
        <v/>
      </c>
      <c r="S474" s="30"/>
      <c r="T474" s="30"/>
      <c r="W474" s="32" t="str">
        <f>IF($A474="","",IF(OR($M474="Out of Scope",$M474="Canceled"),"Out of Scope",IF($M474="Blocked","Blocked",IF(AND($T474&lt;&gt;"Fixed – Retest Passed",OR(LEN(TRIM($O474))&gt;0,LEN(TRIM($P474))&gt;0)),IF(AND(OR($L474="Medium",$L474="Low"),SUMPRODUCT((Cards!$A$4:$A$1000&lt;&gt;"")*ISNUMBER(SEARCH($A474,Cards!$E$4:$E$1000))*(Cards!$F$4:$F$1000&lt;&gt;"Medium")*(Cards!$F$4:$F$1000&lt;&gt;"Low"))=0),"Conditionally Passed","Failed"),IF($M474="Done","Passed","Not Run")))))</f>
        <v/>
      </c>
      <c r="Y474" s="27" t="str" cm="1">
        <f t="array" ref="Y474">IF($A474="","",IF(TRIM($B474)="","-",IFERROR(_xlfn.TEXTJOIN(" / ",TRUE,_xlfn.UNIQUE(_xlfn._xlws.FILTER('Ownership Matrix'!$C$5:$C$200,('Ownership Matrix'!$A$5:$A$200=TRIM($B474))*('Ownership Matrix'!$C$5:$C$200&lt;&gt;"")))),"ไม่พบใน Ownership Matrix")))</f>
        <v/>
      </c>
      <c r="Z474" s="31" t="str">
        <f>IF(NOT(AND($A474&lt;&gt;"",$M474&lt;&gt;"Out of Scope",$M474&lt;&gt;"Canceled",$T474&lt;&gt;"Fixed – Retest Passed",OR(LEN(TRIM($O474))&gt;0,LEN(TRIM($P474))&gt;0))),"",IF(OR($W474="Failed",$R474="Urgent",$R474="High",$R474="ระบุ Severity + Impact"),IF(COUNTIFS(Dashboard!$B$105:$B$124,$O474,Dashboard!$I$105:$I$124,"CAB")&gt;0,"Accepted (CF)","Blocking"),"Deferrable"))</f>
        <v/>
      </c>
    </row>
    <row r="475" spans="7:26" x14ac:dyDescent="0.3">
      <c r="G475" s="27" t="str" cm="1">
        <f t="array" ref="G475">IF($A475="","",IFERROR(_xlfn.TEXTJOIN(CHAR(10)&amp;CHAR(10),TRUE,_xlfn._xlws.FILTER("•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"&amp;Cards!$L$4:$L$1000),(Cards!$A$4:$A$1000&lt;&gt;"")*ISNUMBER(SEARCH($A475,Cards!$E$4:$E$1000)))),"-"))</f>
        <v/>
      </c>
      <c r="Q475" s="30"/>
      <c r="R475" s="27" t="str">
        <f>IF(OR($A475="",LEN(TRIM($O475))=0),"",IF(OR($P475="",$Q475=""),"ระบุ Severity + Impact",IFERROR(INDEX({"Urgent","Urgent","High","High";"Urgent","High","High","Medium";"High","High","Medium","Medium";"Medium","Medium","Low","Low"},MATCH($P475,{"Critical","High","Medium","Low"},0),MATCH($Q475,{"Extensive","Significant","Moderate","Minor"},0)),"-")))</f>
        <v/>
      </c>
      <c r="S475" s="30"/>
      <c r="T475" s="30"/>
      <c r="W475" s="32" t="str">
        <f>IF($A475="","",IF(OR($M475="Out of Scope",$M475="Canceled"),"Out of Scope",IF($M475="Blocked","Blocked",IF(AND($T475&lt;&gt;"Fixed – Retest Passed",OR(LEN(TRIM($O475))&gt;0,LEN(TRIM($P475))&gt;0)),IF(AND(OR($L475="Medium",$L475="Low"),SUMPRODUCT((Cards!$A$4:$A$1000&lt;&gt;"")*ISNUMBER(SEARCH($A475,Cards!$E$4:$E$1000))*(Cards!$F$4:$F$1000&lt;&gt;"Medium")*(Cards!$F$4:$F$1000&lt;&gt;"Low"))=0),"Conditionally Passed","Failed"),IF($M475="Done","Passed","Not Run")))))</f>
        <v/>
      </c>
      <c r="Y475" s="27" t="str" cm="1">
        <f t="array" ref="Y475">IF($A475="","",IF(TRIM($B475)="","-",IFERROR(_xlfn.TEXTJOIN(" / ",TRUE,_xlfn.UNIQUE(_xlfn._xlws.FILTER('Ownership Matrix'!$C$5:$C$200,('Ownership Matrix'!$A$5:$A$200=TRIM($B475))*('Ownership Matrix'!$C$5:$C$200&lt;&gt;"")))),"ไม่พบใน Ownership Matrix")))</f>
        <v/>
      </c>
      <c r="Z475" s="31" t="str">
        <f>IF(NOT(AND($A475&lt;&gt;"",$M475&lt;&gt;"Out of Scope",$M475&lt;&gt;"Canceled",$T475&lt;&gt;"Fixed – Retest Passed",OR(LEN(TRIM($O475))&gt;0,LEN(TRIM($P475))&gt;0))),"",IF(OR($W475="Failed",$R475="Urgent",$R475="High",$R475="ระบุ Severity + Impact"),IF(COUNTIFS(Dashboard!$B$105:$B$124,$O475,Dashboard!$I$105:$I$124,"CAB")&gt;0,"Accepted (CF)","Blocking"),"Deferrable"))</f>
        <v/>
      </c>
    </row>
    <row r="476" spans="7:26" x14ac:dyDescent="0.3">
      <c r="G476" s="27" t="str" cm="1">
        <f t="array" ref="G476">IF($A476="","",IFERROR(_xlfn.TEXTJOIN(CHAR(10)&amp;CHAR(10),TRUE,_xlfn._xlws.FILTER("•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"&amp;Cards!$L$4:$L$1000),(Cards!$A$4:$A$1000&lt;&gt;"")*ISNUMBER(SEARCH($A476,Cards!$E$4:$E$1000)))),"-"))</f>
        <v/>
      </c>
      <c r="Q476" s="30"/>
      <c r="R476" s="27" t="str">
        <f>IF(OR($A476="",LEN(TRIM($O476))=0),"",IF(OR($P476="",$Q476=""),"ระบุ Severity + Impact",IFERROR(INDEX({"Urgent","Urgent","High","High";"Urgent","High","High","Medium";"High","High","Medium","Medium";"Medium","Medium","Low","Low"},MATCH($P476,{"Critical","High","Medium","Low"},0),MATCH($Q476,{"Extensive","Significant","Moderate","Minor"},0)),"-")))</f>
        <v/>
      </c>
      <c r="S476" s="30"/>
      <c r="T476" s="30"/>
      <c r="W476" s="32" t="str">
        <f>IF($A476="","",IF(OR($M476="Out of Scope",$M476="Canceled"),"Out of Scope",IF($M476="Blocked","Blocked",IF(AND($T476&lt;&gt;"Fixed – Retest Passed",OR(LEN(TRIM($O476))&gt;0,LEN(TRIM($P476))&gt;0)),IF(AND(OR($L476="Medium",$L476="Low"),SUMPRODUCT((Cards!$A$4:$A$1000&lt;&gt;"")*ISNUMBER(SEARCH($A476,Cards!$E$4:$E$1000))*(Cards!$F$4:$F$1000&lt;&gt;"Medium")*(Cards!$F$4:$F$1000&lt;&gt;"Low"))=0),"Conditionally Passed","Failed"),IF($M476="Done","Passed","Not Run")))))</f>
        <v/>
      </c>
      <c r="Y476" s="27" t="str" cm="1">
        <f t="array" ref="Y476">IF($A476="","",IF(TRIM($B476)="","-",IFERROR(_xlfn.TEXTJOIN(" / ",TRUE,_xlfn.UNIQUE(_xlfn._xlws.FILTER('Ownership Matrix'!$C$5:$C$200,('Ownership Matrix'!$A$5:$A$200=TRIM($B476))*('Ownership Matrix'!$C$5:$C$200&lt;&gt;"")))),"ไม่พบใน Ownership Matrix")))</f>
        <v/>
      </c>
      <c r="Z476" s="31" t="str">
        <f>IF(NOT(AND($A476&lt;&gt;"",$M476&lt;&gt;"Out of Scope",$M476&lt;&gt;"Canceled",$T476&lt;&gt;"Fixed – Retest Passed",OR(LEN(TRIM($O476))&gt;0,LEN(TRIM($P476))&gt;0))),"",IF(OR($W476="Failed",$R476="Urgent",$R476="High",$R476="ระบุ Severity + Impact"),IF(COUNTIFS(Dashboard!$B$105:$B$124,$O476,Dashboard!$I$105:$I$124,"CAB")&gt;0,"Accepted (CF)","Blocking"),"Deferrable"))</f>
        <v/>
      </c>
    </row>
    <row r="477" spans="7:26" x14ac:dyDescent="0.3">
      <c r="G477" s="27" t="str" cm="1">
        <f t="array" ref="G477">IF($A477="","",IFERROR(_xlfn.TEXTJOIN(CHAR(10)&amp;CHAR(10),TRUE,_xlfn._xlws.FILTER("•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"&amp;Cards!$L$4:$L$1000),(Cards!$A$4:$A$1000&lt;&gt;"")*ISNUMBER(SEARCH($A477,Cards!$E$4:$E$1000)))),"-"))</f>
        <v/>
      </c>
      <c r="Q477" s="30"/>
      <c r="R477" s="27" t="str">
        <f>IF(OR($A477="",LEN(TRIM($O477))=0),"",IF(OR($P477="",$Q477=""),"ระบุ Severity + Impact",IFERROR(INDEX({"Urgent","Urgent","High","High";"Urgent","High","High","Medium";"High","High","Medium","Medium";"Medium","Medium","Low","Low"},MATCH($P477,{"Critical","High","Medium","Low"},0),MATCH($Q477,{"Extensive","Significant","Moderate","Minor"},0)),"-")))</f>
        <v/>
      </c>
      <c r="S477" s="30"/>
      <c r="T477" s="30"/>
      <c r="W477" s="32" t="str">
        <f>IF($A477="","",IF(OR($M477="Out of Scope",$M477="Canceled"),"Out of Scope",IF($M477="Blocked","Blocked",IF(AND($T477&lt;&gt;"Fixed – Retest Passed",OR(LEN(TRIM($O477))&gt;0,LEN(TRIM($P477))&gt;0)),IF(AND(OR($L477="Medium",$L477="Low"),SUMPRODUCT((Cards!$A$4:$A$1000&lt;&gt;"")*ISNUMBER(SEARCH($A477,Cards!$E$4:$E$1000))*(Cards!$F$4:$F$1000&lt;&gt;"Medium")*(Cards!$F$4:$F$1000&lt;&gt;"Low"))=0),"Conditionally Passed","Failed"),IF($M477="Done","Passed","Not Run")))))</f>
        <v/>
      </c>
      <c r="Y477" s="27" t="str" cm="1">
        <f t="array" ref="Y477">IF($A477="","",IF(TRIM($B477)="","-",IFERROR(_xlfn.TEXTJOIN(" / ",TRUE,_xlfn.UNIQUE(_xlfn._xlws.FILTER('Ownership Matrix'!$C$5:$C$200,('Ownership Matrix'!$A$5:$A$200=TRIM($B477))*('Ownership Matrix'!$C$5:$C$200&lt;&gt;"")))),"ไม่พบใน Ownership Matrix")))</f>
        <v/>
      </c>
      <c r="Z477" s="31" t="str">
        <f>IF(NOT(AND($A477&lt;&gt;"",$M477&lt;&gt;"Out of Scope",$M477&lt;&gt;"Canceled",$T477&lt;&gt;"Fixed – Retest Passed",OR(LEN(TRIM($O477))&gt;0,LEN(TRIM($P477))&gt;0))),"",IF(OR($W477="Failed",$R477="Urgent",$R477="High",$R477="ระบุ Severity + Impact"),IF(COUNTIFS(Dashboard!$B$105:$B$124,$O477,Dashboard!$I$105:$I$124,"CAB")&gt;0,"Accepted (CF)","Blocking"),"Deferrable"))</f>
        <v/>
      </c>
    </row>
    <row r="478" spans="7:26" x14ac:dyDescent="0.3">
      <c r="G478" s="27" t="str" cm="1">
        <f t="array" ref="G478">IF($A478="","",IFERROR(_xlfn.TEXTJOIN(CHAR(10)&amp;CHAR(10),TRUE,_xlfn._xlws.FILTER("•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"&amp;Cards!$L$4:$L$1000),(Cards!$A$4:$A$1000&lt;&gt;"")*ISNUMBER(SEARCH($A478,Cards!$E$4:$E$1000)))),"-"))</f>
        <v/>
      </c>
      <c r="Q478" s="30"/>
      <c r="R478" s="27" t="str">
        <f>IF(OR($A478="",LEN(TRIM($O478))=0),"",IF(OR($P478="",$Q478=""),"ระบุ Severity + Impact",IFERROR(INDEX({"Urgent","Urgent","High","High";"Urgent","High","High","Medium";"High","High","Medium","Medium";"Medium","Medium","Low","Low"},MATCH($P478,{"Critical","High","Medium","Low"},0),MATCH($Q478,{"Extensive","Significant","Moderate","Minor"},0)),"-")))</f>
        <v/>
      </c>
      <c r="S478" s="30"/>
      <c r="T478" s="30"/>
      <c r="W478" s="32" t="str">
        <f>IF($A478="","",IF(OR($M478="Out of Scope",$M478="Canceled"),"Out of Scope",IF($M478="Blocked","Blocked",IF(AND($T478&lt;&gt;"Fixed – Retest Passed",OR(LEN(TRIM($O478))&gt;0,LEN(TRIM($P478))&gt;0)),IF(AND(OR($L478="Medium",$L478="Low"),SUMPRODUCT((Cards!$A$4:$A$1000&lt;&gt;"")*ISNUMBER(SEARCH($A478,Cards!$E$4:$E$1000))*(Cards!$F$4:$F$1000&lt;&gt;"Medium")*(Cards!$F$4:$F$1000&lt;&gt;"Low"))=0),"Conditionally Passed","Failed"),IF($M478="Done","Passed","Not Run")))))</f>
        <v/>
      </c>
      <c r="Y478" s="27" t="str" cm="1">
        <f t="array" ref="Y478">IF($A478="","",IF(TRIM($B478)="","-",IFERROR(_xlfn.TEXTJOIN(" / ",TRUE,_xlfn.UNIQUE(_xlfn._xlws.FILTER('Ownership Matrix'!$C$5:$C$200,('Ownership Matrix'!$A$5:$A$200=TRIM($B478))*('Ownership Matrix'!$C$5:$C$200&lt;&gt;"")))),"ไม่พบใน Ownership Matrix")))</f>
        <v/>
      </c>
      <c r="Z478" s="31" t="str">
        <f>IF(NOT(AND($A478&lt;&gt;"",$M478&lt;&gt;"Out of Scope",$M478&lt;&gt;"Canceled",$T478&lt;&gt;"Fixed – Retest Passed",OR(LEN(TRIM($O478))&gt;0,LEN(TRIM($P478))&gt;0))),"",IF(OR($W478="Failed",$R478="Urgent",$R478="High",$R478="ระบุ Severity + Impact"),IF(COUNTIFS(Dashboard!$B$105:$B$124,$O478,Dashboard!$I$105:$I$124,"CAB")&gt;0,"Accepted (CF)","Blocking"),"Deferrable"))</f>
        <v/>
      </c>
    </row>
    <row r="479" spans="7:26" x14ac:dyDescent="0.3">
      <c r="G479" s="27" t="str" cm="1">
        <f t="array" ref="G479">IF($A479="","",IFERROR(_xlfn.TEXTJOIN(CHAR(10)&amp;CHAR(10),TRUE,_xlfn._xlws.FILTER("•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"&amp;Cards!$L$4:$L$1000),(Cards!$A$4:$A$1000&lt;&gt;"")*ISNUMBER(SEARCH($A479,Cards!$E$4:$E$1000)))),"-"))</f>
        <v/>
      </c>
      <c r="Q479" s="30"/>
      <c r="R479" s="27" t="str">
        <f>IF(OR($A479="",LEN(TRIM($O479))=0),"",IF(OR($P479="",$Q479=""),"ระบุ Severity + Impact",IFERROR(INDEX({"Urgent","Urgent","High","High";"Urgent","High","High","Medium";"High","High","Medium","Medium";"Medium","Medium","Low","Low"},MATCH($P479,{"Critical","High","Medium","Low"},0),MATCH($Q479,{"Extensive","Significant","Moderate","Minor"},0)),"-")))</f>
        <v/>
      </c>
      <c r="S479" s="30"/>
      <c r="T479" s="30"/>
      <c r="W479" s="32" t="str">
        <f>IF($A479="","",IF(OR($M479="Out of Scope",$M479="Canceled"),"Out of Scope",IF($M479="Blocked","Blocked",IF(AND($T479&lt;&gt;"Fixed – Retest Passed",OR(LEN(TRIM($O479))&gt;0,LEN(TRIM($P479))&gt;0)),IF(AND(OR($L479="Medium",$L479="Low"),SUMPRODUCT((Cards!$A$4:$A$1000&lt;&gt;"")*ISNUMBER(SEARCH($A479,Cards!$E$4:$E$1000))*(Cards!$F$4:$F$1000&lt;&gt;"Medium")*(Cards!$F$4:$F$1000&lt;&gt;"Low"))=0),"Conditionally Passed","Failed"),IF($M479="Done","Passed","Not Run")))))</f>
        <v/>
      </c>
      <c r="Y479" s="27" t="str" cm="1">
        <f t="array" ref="Y479">IF($A479="","",IF(TRIM($B479)="","-",IFERROR(_xlfn.TEXTJOIN(" / ",TRUE,_xlfn.UNIQUE(_xlfn._xlws.FILTER('Ownership Matrix'!$C$5:$C$200,('Ownership Matrix'!$A$5:$A$200=TRIM($B479))*('Ownership Matrix'!$C$5:$C$200&lt;&gt;"")))),"ไม่พบใน Ownership Matrix")))</f>
        <v/>
      </c>
      <c r="Z479" s="31" t="str">
        <f>IF(NOT(AND($A479&lt;&gt;"",$M479&lt;&gt;"Out of Scope",$M479&lt;&gt;"Canceled",$T479&lt;&gt;"Fixed – Retest Passed",OR(LEN(TRIM($O479))&gt;0,LEN(TRIM($P479))&gt;0))),"",IF(OR($W479="Failed",$R479="Urgent",$R479="High",$R479="ระบุ Severity + Impact"),IF(COUNTIFS(Dashboard!$B$105:$B$124,$O479,Dashboard!$I$105:$I$124,"CAB")&gt;0,"Accepted (CF)","Blocking"),"Deferrable"))</f>
        <v/>
      </c>
    </row>
    <row r="480" spans="7:26" x14ac:dyDescent="0.3">
      <c r="G480" s="27" t="str" cm="1">
        <f t="array" ref="G480">IF($A480="","",IFERROR(_xlfn.TEXTJOIN(CHAR(10)&amp;CHAR(10),TRUE,_xlfn._xlws.FILTER("•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"&amp;Cards!$L$4:$L$1000),(Cards!$A$4:$A$1000&lt;&gt;"")*ISNUMBER(SEARCH($A480,Cards!$E$4:$E$1000)))),"-"))</f>
        <v/>
      </c>
      <c r="Q480" s="30"/>
      <c r="R480" s="27" t="str">
        <f>IF(OR($A480="",LEN(TRIM($O480))=0),"",IF(OR($P480="",$Q480=""),"ระบุ Severity + Impact",IFERROR(INDEX({"Urgent","Urgent","High","High";"Urgent","High","High","Medium";"High","High","Medium","Medium";"Medium","Medium","Low","Low"},MATCH($P480,{"Critical","High","Medium","Low"},0),MATCH($Q480,{"Extensive","Significant","Moderate","Minor"},0)),"-")))</f>
        <v/>
      </c>
      <c r="S480" s="30"/>
      <c r="T480" s="30"/>
      <c r="W480" s="32" t="str">
        <f>IF($A480="","",IF(OR($M480="Out of Scope",$M480="Canceled"),"Out of Scope",IF($M480="Blocked","Blocked",IF(AND($T480&lt;&gt;"Fixed – Retest Passed",OR(LEN(TRIM($O480))&gt;0,LEN(TRIM($P480))&gt;0)),IF(AND(OR($L480="Medium",$L480="Low"),SUMPRODUCT((Cards!$A$4:$A$1000&lt;&gt;"")*ISNUMBER(SEARCH($A480,Cards!$E$4:$E$1000))*(Cards!$F$4:$F$1000&lt;&gt;"Medium")*(Cards!$F$4:$F$1000&lt;&gt;"Low"))=0),"Conditionally Passed","Failed"),IF($M480="Done","Passed","Not Run")))))</f>
        <v/>
      </c>
      <c r="Y480" s="27" t="str" cm="1">
        <f t="array" ref="Y480">IF($A480="","",IF(TRIM($B480)="","-",IFERROR(_xlfn.TEXTJOIN(" / ",TRUE,_xlfn.UNIQUE(_xlfn._xlws.FILTER('Ownership Matrix'!$C$5:$C$200,('Ownership Matrix'!$A$5:$A$200=TRIM($B480))*('Ownership Matrix'!$C$5:$C$200&lt;&gt;"")))),"ไม่พบใน Ownership Matrix")))</f>
        <v/>
      </c>
      <c r="Z480" s="31" t="str">
        <f>IF(NOT(AND($A480&lt;&gt;"",$M480&lt;&gt;"Out of Scope",$M480&lt;&gt;"Canceled",$T480&lt;&gt;"Fixed – Retest Passed",OR(LEN(TRIM($O480))&gt;0,LEN(TRIM($P480))&gt;0))),"",IF(OR($W480="Failed",$R480="Urgent",$R480="High",$R480="ระบุ Severity + Impact"),IF(COUNTIFS(Dashboard!$B$105:$B$124,$O480,Dashboard!$I$105:$I$124,"CAB")&gt;0,"Accepted (CF)","Blocking"),"Deferrable"))</f>
        <v/>
      </c>
    </row>
    <row r="481" spans="7:26" x14ac:dyDescent="0.3">
      <c r="G481" s="27" t="str" cm="1">
        <f t="array" ref="G481">IF($A481="","",IFERROR(_xlfn.TEXTJOIN(CHAR(10)&amp;CHAR(10),TRUE,_xlfn._xlws.FILTER("•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"&amp;Cards!$L$4:$L$1000),(Cards!$A$4:$A$1000&lt;&gt;"")*ISNUMBER(SEARCH($A481,Cards!$E$4:$E$1000)))),"-"))</f>
        <v/>
      </c>
      <c r="Q481" s="30"/>
      <c r="R481" s="27" t="str">
        <f>IF(OR($A481="",LEN(TRIM($O481))=0),"",IF(OR($P481="",$Q481=""),"ระบุ Severity + Impact",IFERROR(INDEX({"Urgent","Urgent","High","High";"Urgent","High","High","Medium";"High","High","Medium","Medium";"Medium","Medium","Low","Low"},MATCH($P481,{"Critical","High","Medium","Low"},0),MATCH($Q481,{"Extensive","Significant","Moderate","Minor"},0)),"-")))</f>
        <v/>
      </c>
      <c r="S481" s="30"/>
      <c r="T481" s="30"/>
      <c r="W481" s="32" t="str">
        <f>IF($A481="","",IF(OR($M481="Out of Scope",$M481="Canceled"),"Out of Scope",IF($M481="Blocked","Blocked",IF(AND($T481&lt;&gt;"Fixed – Retest Passed",OR(LEN(TRIM($O481))&gt;0,LEN(TRIM($P481))&gt;0)),IF(AND(OR($L481="Medium",$L481="Low"),SUMPRODUCT((Cards!$A$4:$A$1000&lt;&gt;"")*ISNUMBER(SEARCH($A481,Cards!$E$4:$E$1000))*(Cards!$F$4:$F$1000&lt;&gt;"Medium")*(Cards!$F$4:$F$1000&lt;&gt;"Low"))=0),"Conditionally Passed","Failed"),IF($M481="Done","Passed","Not Run")))))</f>
        <v/>
      </c>
      <c r="Y481" s="27" t="str" cm="1">
        <f t="array" ref="Y481">IF($A481="","",IF(TRIM($B481)="","-",IFERROR(_xlfn.TEXTJOIN(" / ",TRUE,_xlfn.UNIQUE(_xlfn._xlws.FILTER('Ownership Matrix'!$C$5:$C$200,('Ownership Matrix'!$A$5:$A$200=TRIM($B481))*('Ownership Matrix'!$C$5:$C$200&lt;&gt;"")))),"ไม่พบใน Ownership Matrix")))</f>
        <v/>
      </c>
      <c r="Z481" s="31" t="str">
        <f>IF(NOT(AND($A481&lt;&gt;"",$M481&lt;&gt;"Out of Scope",$M481&lt;&gt;"Canceled",$T481&lt;&gt;"Fixed – Retest Passed",OR(LEN(TRIM($O481))&gt;0,LEN(TRIM($P481))&gt;0))),"",IF(OR($W481="Failed",$R481="Urgent",$R481="High",$R481="ระบุ Severity + Impact"),IF(COUNTIFS(Dashboard!$B$105:$B$124,$O481,Dashboard!$I$105:$I$124,"CAB")&gt;0,"Accepted (CF)","Blocking"),"Deferrable"))</f>
        <v/>
      </c>
    </row>
    <row r="482" spans="7:26" x14ac:dyDescent="0.3">
      <c r="G482" s="27" t="str" cm="1">
        <f t="array" ref="G482">IF($A482="","",IFERROR(_xlfn.TEXTJOIN(CHAR(10)&amp;CHAR(10),TRUE,_xlfn._xlws.FILTER("•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"&amp;Cards!$L$4:$L$1000),(Cards!$A$4:$A$1000&lt;&gt;"")*ISNUMBER(SEARCH($A482,Cards!$E$4:$E$1000)))),"-"))</f>
        <v/>
      </c>
      <c r="Q482" s="30"/>
      <c r="R482" s="27" t="str">
        <f>IF(OR($A482="",LEN(TRIM($O482))=0),"",IF(OR($P482="",$Q482=""),"ระบุ Severity + Impact",IFERROR(INDEX({"Urgent","Urgent","High","High";"Urgent","High","High","Medium";"High","High","Medium","Medium";"Medium","Medium","Low","Low"},MATCH($P482,{"Critical","High","Medium","Low"},0),MATCH($Q482,{"Extensive","Significant","Moderate","Minor"},0)),"-")))</f>
        <v/>
      </c>
      <c r="S482" s="30"/>
      <c r="T482" s="30"/>
      <c r="W482" s="32" t="str">
        <f>IF($A482="","",IF(OR($M482="Out of Scope",$M482="Canceled"),"Out of Scope",IF($M482="Blocked","Blocked",IF(AND($T482&lt;&gt;"Fixed – Retest Passed",OR(LEN(TRIM($O482))&gt;0,LEN(TRIM($P482))&gt;0)),IF(AND(OR($L482="Medium",$L482="Low"),SUMPRODUCT((Cards!$A$4:$A$1000&lt;&gt;"")*ISNUMBER(SEARCH($A482,Cards!$E$4:$E$1000))*(Cards!$F$4:$F$1000&lt;&gt;"Medium")*(Cards!$F$4:$F$1000&lt;&gt;"Low"))=0),"Conditionally Passed","Failed"),IF($M482="Done","Passed","Not Run")))))</f>
        <v/>
      </c>
      <c r="Y482" s="27" t="str" cm="1">
        <f t="array" ref="Y482">IF($A482="","",IF(TRIM($B482)="","-",IFERROR(_xlfn.TEXTJOIN(" / ",TRUE,_xlfn.UNIQUE(_xlfn._xlws.FILTER('Ownership Matrix'!$C$5:$C$200,('Ownership Matrix'!$A$5:$A$200=TRIM($B482))*('Ownership Matrix'!$C$5:$C$200&lt;&gt;"")))),"ไม่พบใน Ownership Matrix")))</f>
        <v/>
      </c>
      <c r="Z482" s="31" t="str">
        <f>IF(NOT(AND($A482&lt;&gt;"",$M482&lt;&gt;"Out of Scope",$M482&lt;&gt;"Canceled",$T482&lt;&gt;"Fixed – Retest Passed",OR(LEN(TRIM($O482))&gt;0,LEN(TRIM($P482))&gt;0))),"",IF(OR($W482="Failed",$R482="Urgent",$R482="High",$R482="ระบุ Severity + Impact"),IF(COUNTIFS(Dashboard!$B$105:$B$124,$O482,Dashboard!$I$105:$I$124,"CAB")&gt;0,"Accepted (CF)","Blocking"),"Deferrable"))</f>
        <v/>
      </c>
    </row>
    <row r="483" spans="7:26" x14ac:dyDescent="0.3">
      <c r="G483" s="27" t="str" cm="1">
        <f t="array" ref="G483">IF($A483="","",IFERROR(_xlfn.TEXTJOIN(CHAR(10)&amp;CHAR(10),TRUE,_xlfn._xlws.FILTER("•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"&amp;Cards!$L$4:$L$1000),(Cards!$A$4:$A$1000&lt;&gt;"")*ISNUMBER(SEARCH($A483,Cards!$E$4:$E$1000)))),"-"))</f>
        <v/>
      </c>
      <c r="Q483" s="30"/>
      <c r="R483" s="27" t="str">
        <f>IF(OR($A483="",LEN(TRIM($O483))=0),"",IF(OR($P483="",$Q483=""),"ระบุ Severity + Impact",IFERROR(INDEX({"Urgent","Urgent","High","High";"Urgent","High","High","Medium";"High","High","Medium","Medium";"Medium","Medium","Low","Low"},MATCH($P483,{"Critical","High","Medium","Low"},0),MATCH($Q483,{"Extensive","Significant","Moderate","Minor"},0)),"-")))</f>
        <v/>
      </c>
      <c r="S483" s="30"/>
      <c r="T483" s="30"/>
      <c r="W483" s="32" t="str">
        <f>IF($A483="","",IF(OR($M483="Out of Scope",$M483="Canceled"),"Out of Scope",IF($M483="Blocked","Blocked",IF(AND($T483&lt;&gt;"Fixed – Retest Passed",OR(LEN(TRIM($O483))&gt;0,LEN(TRIM($P483))&gt;0)),IF(AND(OR($L483="Medium",$L483="Low"),SUMPRODUCT((Cards!$A$4:$A$1000&lt;&gt;"")*ISNUMBER(SEARCH($A483,Cards!$E$4:$E$1000))*(Cards!$F$4:$F$1000&lt;&gt;"Medium")*(Cards!$F$4:$F$1000&lt;&gt;"Low"))=0),"Conditionally Passed","Failed"),IF($M483="Done","Passed","Not Run")))))</f>
        <v/>
      </c>
      <c r="Y483" s="27" t="str" cm="1">
        <f t="array" ref="Y483">IF($A483="","",IF(TRIM($B483)="","-",IFERROR(_xlfn.TEXTJOIN(" / ",TRUE,_xlfn.UNIQUE(_xlfn._xlws.FILTER('Ownership Matrix'!$C$5:$C$200,('Ownership Matrix'!$A$5:$A$200=TRIM($B483))*('Ownership Matrix'!$C$5:$C$200&lt;&gt;"")))),"ไม่พบใน Ownership Matrix")))</f>
        <v/>
      </c>
      <c r="Z483" s="31" t="str">
        <f>IF(NOT(AND($A483&lt;&gt;"",$M483&lt;&gt;"Out of Scope",$M483&lt;&gt;"Canceled",$T483&lt;&gt;"Fixed – Retest Passed",OR(LEN(TRIM($O483))&gt;0,LEN(TRIM($P483))&gt;0))),"",IF(OR($W483="Failed",$R483="Urgent",$R483="High",$R483="ระบุ Severity + Impact"),IF(COUNTIFS(Dashboard!$B$105:$B$124,$O483,Dashboard!$I$105:$I$124,"CAB")&gt;0,"Accepted (CF)","Blocking"),"Deferrable"))</f>
        <v/>
      </c>
    </row>
    <row r="484" spans="7:26" x14ac:dyDescent="0.3">
      <c r="G484" s="27" t="str" cm="1">
        <f t="array" ref="G484">IF($A484="","",IFERROR(_xlfn.TEXTJOIN(CHAR(10)&amp;CHAR(10),TRUE,_xlfn._xlws.FILTER("•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"&amp;Cards!$L$4:$L$1000),(Cards!$A$4:$A$1000&lt;&gt;"")*ISNUMBER(SEARCH($A484,Cards!$E$4:$E$1000)))),"-"))</f>
        <v/>
      </c>
      <c r="Q484" s="30"/>
      <c r="R484" s="27" t="str">
        <f>IF(OR($A484="",LEN(TRIM($O484))=0),"",IF(OR($P484="",$Q484=""),"ระบุ Severity + Impact",IFERROR(INDEX({"Urgent","Urgent","High","High";"Urgent","High","High","Medium";"High","High","Medium","Medium";"Medium","Medium","Low","Low"},MATCH($P484,{"Critical","High","Medium","Low"},0),MATCH($Q484,{"Extensive","Significant","Moderate","Minor"},0)),"-")))</f>
        <v/>
      </c>
      <c r="S484" s="30"/>
      <c r="T484" s="30"/>
      <c r="W484" s="32" t="str">
        <f>IF($A484="","",IF(OR($M484="Out of Scope",$M484="Canceled"),"Out of Scope",IF($M484="Blocked","Blocked",IF(AND($T484&lt;&gt;"Fixed – Retest Passed",OR(LEN(TRIM($O484))&gt;0,LEN(TRIM($P484))&gt;0)),IF(AND(OR($L484="Medium",$L484="Low"),SUMPRODUCT((Cards!$A$4:$A$1000&lt;&gt;"")*ISNUMBER(SEARCH($A484,Cards!$E$4:$E$1000))*(Cards!$F$4:$F$1000&lt;&gt;"Medium")*(Cards!$F$4:$F$1000&lt;&gt;"Low"))=0),"Conditionally Passed","Failed"),IF($M484="Done","Passed","Not Run")))))</f>
        <v/>
      </c>
      <c r="Y484" s="27" t="str" cm="1">
        <f t="array" ref="Y484">IF($A484="","",IF(TRIM($B484)="","-",IFERROR(_xlfn.TEXTJOIN(" / ",TRUE,_xlfn.UNIQUE(_xlfn._xlws.FILTER('Ownership Matrix'!$C$5:$C$200,('Ownership Matrix'!$A$5:$A$200=TRIM($B484))*('Ownership Matrix'!$C$5:$C$200&lt;&gt;"")))),"ไม่พบใน Ownership Matrix")))</f>
        <v/>
      </c>
      <c r="Z484" s="31" t="str">
        <f>IF(NOT(AND($A484&lt;&gt;"",$M484&lt;&gt;"Out of Scope",$M484&lt;&gt;"Canceled",$T484&lt;&gt;"Fixed – Retest Passed",OR(LEN(TRIM($O484))&gt;0,LEN(TRIM($P484))&gt;0))),"",IF(OR($W484="Failed",$R484="Urgent",$R484="High",$R484="ระบุ Severity + Impact"),IF(COUNTIFS(Dashboard!$B$105:$B$124,$O484,Dashboard!$I$105:$I$124,"CAB")&gt;0,"Accepted (CF)","Blocking"),"Deferrable"))</f>
        <v/>
      </c>
    </row>
    <row r="485" spans="7:26" x14ac:dyDescent="0.3">
      <c r="G485" s="27" t="str" cm="1">
        <f t="array" ref="G485">IF($A485="","",IFERROR(_xlfn.TEXTJOIN(CHAR(10)&amp;CHAR(10),TRUE,_xlfn._xlws.FILTER("•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"&amp;Cards!$L$4:$L$1000),(Cards!$A$4:$A$1000&lt;&gt;"")*ISNUMBER(SEARCH($A485,Cards!$E$4:$E$1000)))),"-"))</f>
        <v/>
      </c>
      <c r="Q485" s="30"/>
      <c r="R485" s="27" t="str">
        <f>IF(OR($A485="",LEN(TRIM($O485))=0),"",IF(OR($P485="",$Q485=""),"ระบุ Severity + Impact",IFERROR(INDEX({"Urgent","Urgent","High","High";"Urgent","High","High","Medium";"High","High","Medium","Medium";"Medium","Medium","Low","Low"},MATCH($P485,{"Critical","High","Medium","Low"},0),MATCH($Q485,{"Extensive","Significant","Moderate","Minor"},0)),"-")))</f>
        <v/>
      </c>
      <c r="S485" s="30"/>
      <c r="T485" s="30"/>
      <c r="W485" s="32" t="str">
        <f>IF($A485="","",IF(OR($M485="Out of Scope",$M485="Canceled"),"Out of Scope",IF($M485="Blocked","Blocked",IF(AND($T485&lt;&gt;"Fixed – Retest Passed",OR(LEN(TRIM($O485))&gt;0,LEN(TRIM($P485))&gt;0)),IF(AND(OR($L485="Medium",$L485="Low"),SUMPRODUCT((Cards!$A$4:$A$1000&lt;&gt;"")*ISNUMBER(SEARCH($A485,Cards!$E$4:$E$1000))*(Cards!$F$4:$F$1000&lt;&gt;"Medium")*(Cards!$F$4:$F$1000&lt;&gt;"Low"))=0),"Conditionally Passed","Failed"),IF($M485="Done","Passed","Not Run")))))</f>
        <v/>
      </c>
      <c r="Y485" s="27" t="str" cm="1">
        <f t="array" ref="Y485">IF($A485="","",IF(TRIM($B485)="","-",IFERROR(_xlfn.TEXTJOIN(" / ",TRUE,_xlfn.UNIQUE(_xlfn._xlws.FILTER('Ownership Matrix'!$C$5:$C$200,('Ownership Matrix'!$A$5:$A$200=TRIM($B485))*('Ownership Matrix'!$C$5:$C$200&lt;&gt;"")))),"ไม่พบใน Ownership Matrix")))</f>
        <v/>
      </c>
      <c r="Z485" s="31" t="str">
        <f>IF(NOT(AND($A485&lt;&gt;"",$M485&lt;&gt;"Out of Scope",$M485&lt;&gt;"Canceled",$T485&lt;&gt;"Fixed – Retest Passed",OR(LEN(TRIM($O485))&gt;0,LEN(TRIM($P485))&gt;0))),"",IF(OR($W485="Failed",$R485="Urgent",$R485="High",$R485="ระบุ Severity + Impact"),IF(COUNTIFS(Dashboard!$B$105:$B$124,$O485,Dashboard!$I$105:$I$124,"CAB")&gt;0,"Accepted (CF)","Blocking"),"Deferrable"))</f>
        <v/>
      </c>
    </row>
    <row r="486" spans="7:26" x14ac:dyDescent="0.3">
      <c r="G486" s="27" t="str" cm="1">
        <f t="array" ref="G486">IF($A486="","",IFERROR(_xlfn.TEXTJOIN(CHAR(10)&amp;CHAR(10),TRUE,_xlfn._xlws.FILTER("•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"&amp;Cards!$L$4:$L$1000),(Cards!$A$4:$A$1000&lt;&gt;"")*ISNUMBER(SEARCH($A486,Cards!$E$4:$E$1000)))),"-"))</f>
        <v/>
      </c>
      <c r="Q486" s="30"/>
      <c r="R486" s="27" t="str">
        <f>IF(OR($A486="",LEN(TRIM($O486))=0),"",IF(OR($P486="",$Q486=""),"ระบุ Severity + Impact",IFERROR(INDEX({"Urgent","Urgent","High","High";"Urgent","High","High","Medium";"High","High","Medium","Medium";"Medium","Medium","Low","Low"},MATCH($P486,{"Critical","High","Medium","Low"},0),MATCH($Q486,{"Extensive","Significant","Moderate","Minor"},0)),"-")))</f>
        <v/>
      </c>
      <c r="S486" s="30"/>
      <c r="T486" s="30"/>
      <c r="W486" s="32" t="str">
        <f>IF($A486="","",IF(OR($M486="Out of Scope",$M486="Canceled"),"Out of Scope",IF($M486="Blocked","Blocked",IF(AND($T486&lt;&gt;"Fixed – Retest Passed",OR(LEN(TRIM($O486))&gt;0,LEN(TRIM($P486))&gt;0)),IF(AND(OR($L486="Medium",$L486="Low"),SUMPRODUCT((Cards!$A$4:$A$1000&lt;&gt;"")*ISNUMBER(SEARCH($A486,Cards!$E$4:$E$1000))*(Cards!$F$4:$F$1000&lt;&gt;"Medium")*(Cards!$F$4:$F$1000&lt;&gt;"Low"))=0),"Conditionally Passed","Failed"),IF($M486="Done","Passed","Not Run")))))</f>
        <v/>
      </c>
      <c r="Y486" s="27" t="str" cm="1">
        <f t="array" ref="Y486">IF($A486="","",IF(TRIM($B486)="","-",IFERROR(_xlfn.TEXTJOIN(" / ",TRUE,_xlfn.UNIQUE(_xlfn._xlws.FILTER('Ownership Matrix'!$C$5:$C$200,('Ownership Matrix'!$A$5:$A$200=TRIM($B486))*('Ownership Matrix'!$C$5:$C$200&lt;&gt;"")))),"ไม่พบใน Ownership Matrix")))</f>
        <v/>
      </c>
      <c r="Z486" s="31" t="str">
        <f>IF(NOT(AND($A486&lt;&gt;"",$M486&lt;&gt;"Out of Scope",$M486&lt;&gt;"Canceled",$T486&lt;&gt;"Fixed – Retest Passed",OR(LEN(TRIM($O486))&gt;0,LEN(TRIM($P486))&gt;0))),"",IF(OR($W486="Failed",$R486="Urgent",$R486="High",$R486="ระบุ Severity + Impact"),IF(COUNTIFS(Dashboard!$B$105:$B$124,$O486,Dashboard!$I$105:$I$124,"CAB")&gt;0,"Accepted (CF)","Blocking"),"Deferrable"))</f>
        <v/>
      </c>
    </row>
    <row r="487" spans="7:26" x14ac:dyDescent="0.3">
      <c r="G487" s="27" t="str" cm="1">
        <f t="array" ref="G487">IF($A487="","",IFERROR(_xlfn.TEXTJOIN(CHAR(10)&amp;CHAR(10),TRUE,_xlfn._xlws.FILTER("•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"&amp;Cards!$L$4:$L$1000),(Cards!$A$4:$A$1000&lt;&gt;"")*ISNUMBER(SEARCH($A487,Cards!$E$4:$E$1000)))),"-"))</f>
        <v/>
      </c>
      <c r="Q487" s="30"/>
      <c r="R487" s="27" t="str">
        <f>IF(OR($A487="",LEN(TRIM($O487))=0),"",IF(OR($P487="",$Q487=""),"ระบุ Severity + Impact",IFERROR(INDEX({"Urgent","Urgent","High","High";"Urgent","High","High","Medium";"High","High","Medium","Medium";"Medium","Medium","Low","Low"},MATCH($P487,{"Critical","High","Medium","Low"},0),MATCH($Q487,{"Extensive","Significant","Moderate","Minor"},0)),"-")))</f>
        <v/>
      </c>
      <c r="S487" s="30"/>
      <c r="T487" s="30"/>
      <c r="W487" s="32" t="str">
        <f>IF($A487="","",IF(OR($M487="Out of Scope",$M487="Canceled"),"Out of Scope",IF($M487="Blocked","Blocked",IF(AND($T487&lt;&gt;"Fixed – Retest Passed",OR(LEN(TRIM($O487))&gt;0,LEN(TRIM($P487))&gt;0)),IF(AND(OR($L487="Medium",$L487="Low"),SUMPRODUCT((Cards!$A$4:$A$1000&lt;&gt;"")*ISNUMBER(SEARCH($A487,Cards!$E$4:$E$1000))*(Cards!$F$4:$F$1000&lt;&gt;"Medium")*(Cards!$F$4:$F$1000&lt;&gt;"Low"))=0),"Conditionally Passed","Failed"),IF($M487="Done","Passed","Not Run")))))</f>
        <v/>
      </c>
      <c r="Y487" s="27" t="str" cm="1">
        <f t="array" ref="Y487">IF($A487="","",IF(TRIM($B487)="","-",IFERROR(_xlfn.TEXTJOIN(" / ",TRUE,_xlfn.UNIQUE(_xlfn._xlws.FILTER('Ownership Matrix'!$C$5:$C$200,('Ownership Matrix'!$A$5:$A$200=TRIM($B487))*('Ownership Matrix'!$C$5:$C$200&lt;&gt;"")))),"ไม่พบใน Ownership Matrix")))</f>
        <v/>
      </c>
      <c r="Z487" s="31" t="str">
        <f>IF(NOT(AND($A487&lt;&gt;"",$M487&lt;&gt;"Out of Scope",$M487&lt;&gt;"Canceled",$T487&lt;&gt;"Fixed – Retest Passed",OR(LEN(TRIM($O487))&gt;0,LEN(TRIM($P487))&gt;0))),"",IF(OR($W487="Failed",$R487="Urgent",$R487="High",$R487="ระบุ Severity + Impact"),IF(COUNTIFS(Dashboard!$B$105:$B$124,$O487,Dashboard!$I$105:$I$124,"CAB")&gt;0,"Accepted (CF)","Blocking"),"Deferrable"))</f>
        <v/>
      </c>
    </row>
    <row r="488" spans="7:26" x14ac:dyDescent="0.3">
      <c r="G488" s="27" t="str" cm="1">
        <f t="array" ref="G488">IF($A488="","",IFERROR(_xlfn.TEXTJOIN(CHAR(10)&amp;CHAR(10),TRUE,_xlfn._xlws.FILTER("•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"&amp;Cards!$L$4:$L$1000),(Cards!$A$4:$A$1000&lt;&gt;"")*ISNUMBER(SEARCH($A488,Cards!$E$4:$E$1000)))),"-"))</f>
        <v/>
      </c>
      <c r="Q488" s="30"/>
      <c r="R488" s="27" t="str">
        <f>IF(OR($A488="",LEN(TRIM($O488))=0),"",IF(OR($P488="",$Q488=""),"ระบุ Severity + Impact",IFERROR(INDEX({"Urgent","Urgent","High","High";"Urgent","High","High","Medium";"High","High","Medium","Medium";"Medium","Medium","Low","Low"},MATCH($P488,{"Critical","High","Medium","Low"},0),MATCH($Q488,{"Extensive","Significant","Moderate","Minor"},0)),"-")))</f>
        <v/>
      </c>
      <c r="S488" s="30"/>
      <c r="T488" s="30"/>
      <c r="W488" s="32" t="str">
        <f>IF($A488="","",IF(OR($M488="Out of Scope",$M488="Canceled"),"Out of Scope",IF($M488="Blocked","Blocked",IF(AND($T488&lt;&gt;"Fixed – Retest Passed",OR(LEN(TRIM($O488))&gt;0,LEN(TRIM($P488))&gt;0)),IF(AND(OR($L488="Medium",$L488="Low"),SUMPRODUCT((Cards!$A$4:$A$1000&lt;&gt;"")*ISNUMBER(SEARCH($A488,Cards!$E$4:$E$1000))*(Cards!$F$4:$F$1000&lt;&gt;"Medium")*(Cards!$F$4:$F$1000&lt;&gt;"Low"))=0),"Conditionally Passed","Failed"),IF($M488="Done","Passed","Not Run")))))</f>
        <v/>
      </c>
      <c r="Y488" s="27" t="str" cm="1">
        <f t="array" ref="Y488">IF($A488="","",IF(TRIM($B488)="","-",IFERROR(_xlfn.TEXTJOIN(" / ",TRUE,_xlfn.UNIQUE(_xlfn._xlws.FILTER('Ownership Matrix'!$C$5:$C$200,('Ownership Matrix'!$A$5:$A$200=TRIM($B488))*('Ownership Matrix'!$C$5:$C$200&lt;&gt;"")))),"ไม่พบใน Ownership Matrix")))</f>
        <v/>
      </c>
      <c r="Z488" s="31" t="str">
        <f>IF(NOT(AND($A488&lt;&gt;"",$M488&lt;&gt;"Out of Scope",$M488&lt;&gt;"Canceled",$T488&lt;&gt;"Fixed – Retest Passed",OR(LEN(TRIM($O488))&gt;0,LEN(TRIM($P488))&gt;0))),"",IF(OR($W488="Failed",$R488="Urgent",$R488="High",$R488="ระบุ Severity + Impact"),IF(COUNTIFS(Dashboard!$B$105:$B$124,$O488,Dashboard!$I$105:$I$124,"CAB")&gt;0,"Accepted (CF)","Blocking"),"Deferrable"))</f>
        <v/>
      </c>
    </row>
    <row r="489" spans="7:26" x14ac:dyDescent="0.3">
      <c r="G489" s="27" t="str" cm="1">
        <f t="array" ref="G489">IF($A489="","",IFERROR(_xlfn.TEXTJOIN(CHAR(10)&amp;CHAR(10),TRUE,_xlfn._xlws.FILTER("•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"&amp;Cards!$L$4:$L$1000),(Cards!$A$4:$A$1000&lt;&gt;"")*ISNUMBER(SEARCH($A489,Cards!$E$4:$E$1000)))),"-"))</f>
        <v/>
      </c>
      <c r="Q489" s="30"/>
      <c r="R489" s="27" t="str">
        <f>IF(OR($A489="",LEN(TRIM($O489))=0),"",IF(OR($P489="",$Q489=""),"ระบุ Severity + Impact",IFERROR(INDEX({"Urgent","Urgent","High","High";"Urgent","High","High","Medium";"High","High","Medium","Medium";"Medium","Medium","Low","Low"},MATCH($P489,{"Critical","High","Medium","Low"},0),MATCH($Q489,{"Extensive","Significant","Moderate","Minor"},0)),"-")))</f>
        <v/>
      </c>
      <c r="S489" s="30"/>
      <c r="T489" s="30"/>
      <c r="W489" s="32" t="str">
        <f>IF($A489="","",IF(OR($M489="Out of Scope",$M489="Canceled"),"Out of Scope",IF($M489="Blocked","Blocked",IF(AND($T489&lt;&gt;"Fixed – Retest Passed",OR(LEN(TRIM($O489))&gt;0,LEN(TRIM($P489))&gt;0)),IF(AND(OR($L489="Medium",$L489="Low"),SUMPRODUCT((Cards!$A$4:$A$1000&lt;&gt;"")*ISNUMBER(SEARCH($A489,Cards!$E$4:$E$1000))*(Cards!$F$4:$F$1000&lt;&gt;"Medium")*(Cards!$F$4:$F$1000&lt;&gt;"Low"))=0),"Conditionally Passed","Failed"),IF($M489="Done","Passed","Not Run")))))</f>
        <v/>
      </c>
      <c r="Y489" s="27" t="str" cm="1">
        <f t="array" ref="Y489">IF($A489="","",IF(TRIM($B489)="","-",IFERROR(_xlfn.TEXTJOIN(" / ",TRUE,_xlfn.UNIQUE(_xlfn._xlws.FILTER('Ownership Matrix'!$C$5:$C$200,('Ownership Matrix'!$A$5:$A$200=TRIM($B489))*('Ownership Matrix'!$C$5:$C$200&lt;&gt;"")))),"ไม่พบใน Ownership Matrix")))</f>
        <v/>
      </c>
      <c r="Z489" s="31" t="str">
        <f>IF(NOT(AND($A489&lt;&gt;"",$M489&lt;&gt;"Out of Scope",$M489&lt;&gt;"Canceled",$T489&lt;&gt;"Fixed – Retest Passed",OR(LEN(TRIM($O489))&gt;0,LEN(TRIM($P489))&gt;0))),"",IF(OR($W489="Failed",$R489="Urgent",$R489="High",$R489="ระบุ Severity + Impact"),IF(COUNTIFS(Dashboard!$B$105:$B$124,$O489,Dashboard!$I$105:$I$124,"CAB")&gt;0,"Accepted (CF)","Blocking"),"Deferrable"))</f>
        <v/>
      </c>
    </row>
    <row r="490" spans="7:26" x14ac:dyDescent="0.3">
      <c r="G490" s="27" t="str" cm="1">
        <f t="array" ref="G490">IF($A490="","",IFERROR(_xlfn.TEXTJOIN(CHAR(10)&amp;CHAR(10),TRUE,_xlfn._xlws.FILTER("•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"&amp;Cards!$L$4:$L$1000),(Cards!$A$4:$A$1000&lt;&gt;"")*ISNUMBER(SEARCH($A490,Cards!$E$4:$E$1000)))),"-"))</f>
        <v/>
      </c>
      <c r="Q490" s="30"/>
      <c r="R490" s="27" t="str">
        <f>IF(OR($A490="",LEN(TRIM($O490))=0),"",IF(OR($P490="",$Q490=""),"ระบุ Severity + Impact",IFERROR(INDEX({"Urgent","Urgent","High","High";"Urgent","High","High","Medium";"High","High","Medium","Medium";"Medium","Medium","Low","Low"},MATCH($P490,{"Critical","High","Medium","Low"},0),MATCH($Q490,{"Extensive","Significant","Moderate","Minor"},0)),"-")))</f>
        <v/>
      </c>
      <c r="S490" s="30"/>
      <c r="T490" s="30"/>
      <c r="W490" s="32" t="str">
        <f>IF($A490="","",IF(OR($M490="Out of Scope",$M490="Canceled"),"Out of Scope",IF($M490="Blocked","Blocked",IF(AND($T490&lt;&gt;"Fixed – Retest Passed",OR(LEN(TRIM($O490))&gt;0,LEN(TRIM($P490))&gt;0)),IF(AND(OR($L490="Medium",$L490="Low"),SUMPRODUCT((Cards!$A$4:$A$1000&lt;&gt;"")*ISNUMBER(SEARCH($A490,Cards!$E$4:$E$1000))*(Cards!$F$4:$F$1000&lt;&gt;"Medium")*(Cards!$F$4:$F$1000&lt;&gt;"Low"))=0),"Conditionally Passed","Failed"),IF($M490="Done","Passed","Not Run")))))</f>
        <v/>
      </c>
      <c r="Y490" s="27" t="str" cm="1">
        <f t="array" ref="Y490">IF($A490="","",IF(TRIM($B490)="","-",IFERROR(_xlfn.TEXTJOIN(" / ",TRUE,_xlfn.UNIQUE(_xlfn._xlws.FILTER('Ownership Matrix'!$C$5:$C$200,('Ownership Matrix'!$A$5:$A$200=TRIM($B490))*('Ownership Matrix'!$C$5:$C$200&lt;&gt;"")))),"ไม่พบใน Ownership Matrix")))</f>
        <v/>
      </c>
      <c r="Z490" s="31" t="str">
        <f>IF(NOT(AND($A490&lt;&gt;"",$M490&lt;&gt;"Out of Scope",$M490&lt;&gt;"Canceled",$T490&lt;&gt;"Fixed – Retest Passed",OR(LEN(TRIM($O490))&gt;0,LEN(TRIM($P490))&gt;0))),"",IF(OR($W490="Failed",$R490="Urgent",$R490="High",$R490="ระบุ Severity + Impact"),IF(COUNTIFS(Dashboard!$B$105:$B$124,$O490,Dashboard!$I$105:$I$124,"CAB")&gt;0,"Accepted (CF)","Blocking"),"Deferrable"))</f>
        <v/>
      </c>
    </row>
    <row r="491" spans="7:26" x14ac:dyDescent="0.3">
      <c r="G491" s="27" t="str" cm="1">
        <f t="array" ref="G491">IF($A491="","",IFERROR(_xlfn.TEXTJOIN(CHAR(10)&amp;CHAR(10),TRUE,_xlfn._xlws.FILTER("•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"&amp;Cards!$L$4:$L$1000),(Cards!$A$4:$A$1000&lt;&gt;"")*ISNUMBER(SEARCH($A491,Cards!$E$4:$E$1000)))),"-"))</f>
        <v/>
      </c>
      <c r="Q491" s="30"/>
      <c r="R491" s="27" t="str">
        <f>IF(OR($A491="",LEN(TRIM($O491))=0),"",IF(OR($P491="",$Q491=""),"ระบุ Severity + Impact",IFERROR(INDEX({"Urgent","Urgent","High","High";"Urgent","High","High","Medium";"High","High","Medium","Medium";"Medium","Medium","Low","Low"},MATCH($P491,{"Critical","High","Medium","Low"},0),MATCH($Q491,{"Extensive","Significant","Moderate","Minor"},0)),"-")))</f>
        <v/>
      </c>
      <c r="S491" s="30"/>
      <c r="T491" s="30"/>
      <c r="W491" s="32" t="str">
        <f>IF($A491="","",IF(OR($M491="Out of Scope",$M491="Canceled"),"Out of Scope",IF($M491="Blocked","Blocked",IF(AND($T491&lt;&gt;"Fixed – Retest Passed",OR(LEN(TRIM($O491))&gt;0,LEN(TRIM($P491))&gt;0)),IF(AND(OR($L491="Medium",$L491="Low"),SUMPRODUCT((Cards!$A$4:$A$1000&lt;&gt;"")*ISNUMBER(SEARCH($A491,Cards!$E$4:$E$1000))*(Cards!$F$4:$F$1000&lt;&gt;"Medium")*(Cards!$F$4:$F$1000&lt;&gt;"Low"))=0),"Conditionally Passed","Failed"),IF($M491="Done","Passed","Not Run")))))</f>
        <v/>
      </c>
      <c r="Y491" s="27" t="str" cm="1">
        <f t="array" ref="Y491">IF($A491="","",IF(TRIM($B491)="","-",IFERROR(_xlfn.TEXTJOIN(" / ",TRUE,_xlfn.UNIQUE(_xlfn._xlws.FILTER('Ownership Matrix'!$C$5:$C$200,('Ownership Matrix'!$A$5:$A$200=TRIM($B491))*('Ownership Matrix'!$C$5:$C$200&lt;&gt;"")))),"ไม่พบใน Ownership Matrix")))</f>
        <v/>
      </c>
      <c r="Z491" s="31" t="str">
        <f>IF(NOT(AND($A491&lt;&gt;"",$M491&lt;&gt;"Out of Scope",$M491&lt;&gt;"Canceled",$T491&lt;&gt;"Fixed – Retest Passed",OR(LEN(TRIM($O491))&gt;0,LEN(TRIM($P491))&gt;0))),"",IF(OR($W491="Failed",$R491="Urgent",$R491="High",$R491="ระบุ Severity + Impact"),IF(COUNTIFS(Dashboard!$B$105:$B$124,$O491,Dashboard!$I$105:$I$124,"CAB")&gt;0,"Accepted (CF)","Blocking"),"Deferrable"))</f>
        <v/>
      </c>
    </row>
    <row r="492" spans="7:26" x14ac:dyDescent="0.3">
      <c r="G492" s="27" t="str" cm="1">
        <f t="array" ref="G492">IF($A492="","",IFERROR(_xlfn.TEXTJOIN(CHAR(10)&amp;CHAR(10),TRUE,_xlfn._xlws.FILTER("•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"&amp;Cards!$L$4:$L$1000),(Cards!$A$4:$A$1000&lt;&gt;"")*ISNUMBER(SEARCH($A492,Cards!$E$4:$E$1000)))),"-"))</f>
        <v/>
      </c>
      <c r="Q492" s="30"/>
      <c r="R492" s="27" t="str">
        <f>IF(OR($A492="",LEN(TRIM($O492))=0),"",IF(OR($P492="",$Q492=""),"ระบุ Severity + Impact",IFERROR(INDEX({"Urgent","Urgent","High","High";"Urgent","High","High","Medium";"High","High","Medium","Medium";"Medium","Medium","Low","Low"},MATCH($P492,{"Critical","High","Medium","Low"},0),MATCH($Q492,{"Extensive","Significant","Moderate","Minor"},0)),"-")))</f>
        <v/>
      </c>
      <c r="S492" s="30"/>
      <c r="T492" s="30"/>
      <c r="W492" s="32" t="str">
        <f>IF($A492="","",IF(OR($M492="Out of Scope",$M492="Canceled"),"Out of Scope",IF($M492="Blocked","Blocked",IF(AND($T492&lt;&gt;"Fixed – Retest Passed",OR(LEN(TRIM($O492))&gt;0,LEN(TRIM($P492))&gt;0)),IF(AND(OR($L492="Medium",$L492="Low"),SUMPRODUCT((Cards!$A$4:$A$1000&lt;&gt;"")*ISNUMBER(SEARCH($A492,Cards!$E$4:$E$1000))*(Cards!$F$4:$F$1000&lt;&gt;"Medium")*(Cards!$F$4:$F$1000&lt;&gt;"Low"))=0),"Conditionally Passed","Failed"),IF($M492="Done","Passed","Not Run")))))</f>
        <v/>
      </c>
      <c r="Y492" s="27" t="str" cm="1">
        <f t="array" ref="Y492">IF($A492="","",IF(TRIM($B492)="","-",IFERROR(_xlfn.TEXTJOIN(" / ",TRUE,_xlfn.UNIQUE(_xlfn._xlws.FILTER('Ownership Matrix'!$C$5:$C$200,('Ownership Matrix'!$A$5:$A$200=TRIM($B492))*('Ownership Matrix'!$C$5:$C$200&lt;&gt;"")))),"ไม่พบใน Ownership Matrix")))</f>
        <v/>
      </c>
      <c r="Z492" s="31" t="str">
        <f>IF(NOT(AND($A492&lt;&gt;"",$M492&lt;&gt;"Out of Scope",$M492&lt;&gt;"Canceled",$T492&lt;&gt;"Fixed – Retest Passed",OR(LEN(TRIM($O492))&gt;0,LEN(TRIM($P492))&gt;0))),"",IF(OR($W492="Failed",$R492="Urgent",$R492="High",$R492="ระบุ Severity + Impact"),IF(COUNTIFS(Dashboard!$B$105:$B$124,$O492,Dashboard!$I$105:$I$124,"CAB")&gt;0,"Accepted (CF)","Blocking"),"Deferrable"))</f>
        <v/>
      </c>
    </row>
    <row r="493" spans="7:26" x14ac:dyDescent="0.3">
      <c r="G493" s="27" t="str" cm="1">
        <f t="array" ref="G493">IF($A493="","",IFERROR(_xlfn.TEXTJOIN(CHAR(10)&amp;CHAR(10),TRUE,_xlfn._xlws.FILTER("•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"&amp;Cards!$L$4:$L$1000),(Cards!$A$4:$A$1000&lt;&gt;"")*ISNUMBER(SEARCH($A493,Cards!$E$4:$E$1000)))),"-"))</f>
        <v/>
      </c>
      <c r="Q493" s="30"/>
      <c r="R493" s="27" t="str">
        <f>IF(OR($A493="",LEN(TRIM($O493))=0),"",IF(OR($P493="",$Q493=""),"ระบุ Severity + Impact",IFERROR(INDEX({"Urgent","Urgent","High","High";"Urgent","High","High","Medium";"High","High","Medium","Medium";"Medium","Medium","Low","Low"},MATCH($P493,{"Critical","High","Medium","Low"},0),MATCH($Q493,{"Extensive","Significant","Moderate","Minor"},0)),"-")))</f>
        <v/>
      </c>
      <c r="S493" s="30"/>
      <c r="T493" s="30"/>
      <c r="W493" s="32" t="str">
        <f>IF($A493="","",IF(OR($M493="Out of Scope",$M493="Canceled"),"Out of Scope",IF($M493="Blocked","Blocked",IF(AND($T493&lt;&gt;"Fixed – Retest Passed",OR(LEN(TRIM($O493))&gt;0,LEN(TRIM($P493))&gt;0)),IF(AND(OR($L493="Medium",$L493="Low"),SUMPRODUCT((Cards!$A$4:$A$1000&lt;&gt;"")*ISNUMBER(SEARCH($A493,Cards!$E$4:$E$1000))*(Cards!$F$4:$F$1000&lt;&gt;"Medium")*(Cards!$F$4:$F$1000&lt;&gt;"Low"))=0),"Conditionally Passed","Failed"),IF($M493="Done","Passed","Not Run")))))</f>
        <v/>
      </c>
      <c r="Y493" s="27" t="str" cm="1">
        <f t="array" ref="Y493">IF($A493="","",IF(TRIM($B493)="","-",IFERROR(_xlfn.TEXTJOIN(" / ",TRUE,_xlfn.UNIQUE(_xlfn._xlws.FILTER('Ownership Matrix'!$C$5:$C$200,('Ownership Matrix'!$A$5:$A$200=TRIM($B493))*('Ownership Matrix'!$C$5:$C$200&lt;&gt;"")))),"ไม่พบใน Ownership Matrix")))</f>
        <v/>
      </c>
      <c r="Z493" s="31" t="str">
        <f>IF(NOT(AND($A493&lt;&gt;"",$M493&lt;&gt;"Out of Scope",$M493&lt;&gt;"Canceled",$T493&lt;&gt;"Fixed – Retest Passed",OR(LEN(TRIM($O493))&gt;0,LEN(TRIM($P493))&gt;0))),"",IF(OR($W493="Failed",$R493="Urgent",$R493="High",$R493="ระบุ Severity + Impact"),IF(COUNTIFS(Dashboard!$B$105:$B$124,$O493,Dashboard!$I$105:$I$124,"CAB")&gt;0,"Accepted (CF)","Blocking"),"Deferrable"))</f>
        <v/>
      </c>
    </row>
    <row r="494" spans="7:26" x14ac:dyDescent="0.3">
      <c r="G494" s="27" t="str" cm="1">
        <f t="array" ref="G494">IF($A494="","",IFERROR(_xlfn.TEXTJOIN(CHAR(10)&amp;CHAR(10),TRUE,_xlfn._xlws.FILTER("•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"&amp;Cards!$L$4:$L$1000),(Cards!$A$4:$A$1000&lt;&gt;"")*ISNUMBER(SEARCH($A494,Cards!$E$4:$E$1000)))),"-"))</f>
        <v/>
      </c>
      <c r="Q494" s="30"/>
      <c r="R494" s="27" t="str">
        <f>IF(OR($A494="",LEN(TRIM($O494))=0),"",IF(OR($P494="",$Q494=""),"ระบุ Severity + Impact",IFERROR(INDEX({"Urgent","Urgent","High","High";"Urgent","High","High","Medium";"High","High","Medium","Medium";"Medium","Medium","Low","Low"},MATCH($P494,{"Critical","High","Medium","Low"},0),MATCH($Q494,{"Extensive","Significant","Moderate","Minor"},0)),"-")))</f>
        <v/>
      </c>
      <c r="S494" s="30"/>
      <c r="T494" s="30"/>
      <c r="W494" s="32" t="str">
        <f>IF($A494="","",IF(OR($M494="Out of Scope",$M494="Canceled"),"Out of Scope",IF($M494="Blocked","Blocked",IF(AND($T494&lt;&gt;"Fixed – Retest Passed",OR(LEN(TRIM($O494))&gt;0,LEN(TRIM($P494))&gt;0)),IF(AND(OR($L494="Medium",$L494="Low"),SUMPRODUCT((Cards!$A$4:$A$1000&lt;&gt;"")*ISNUMBER(SEARCH($A494,Cards!$E$4:$E$1000))*(Cards!$F$4:$F$1000&lt;&gt;"Medium")*(Cards!$F$4:$F$1000&lt;&gt;"Low"))=0),"Conditionally Passed","Failed"),IF($M494="Done","Passed","Not Run")))))</f>
        <v/>
      </c>
      <c r="Y494" s="27" t="str" cm="1">
        <f t="array" ref="Y494">IF($A494="","",IF(TRIM($B494)="","-",IFERROR(_xlfn.TEXTJOIN(" / ",TRUE,_xlfn.UNIQUE(_xlfn._xlws.FILTER('Ownership Matrix'!$C$5:$C$200,('Ownership Matrix'!$A$5:$A$200=TRIM($B494))*('Ownership Matrix'!$C$5:$C$200&lt;&gt;"")))),"ไม่พบใน Ownership Matrix")))</f>
        <v/>
      </c>
      <c r="Z494" s="31" t="str">
        <f>IF(NOT(AND($A494&lt;&gt;"",$M494&lt;&gt;"Out of Scope",$M494&lt;&gt;"Canceled",$T494&lt;&gt;"Fixed – Retest Passed",OR(LEN(TRIM($O494))&gt;0,LEN(TRIM($P494))&gt;0))),"",IF(OR($W494="Failed",$R494="Urgent",$R494="High",$R494="ระบุ Severity + Impact"),IF(COUNTIFS(Dashboard!$B$105:$B$124,$O494,Dashboard!$I$105:$I$124,"CAB")&gt;0,"Accepted (CF)","Blocking"),"Deferrable"))</f>
        <v/>
      </c>
    </row>
    <row r="495" spans="7:26" x14ac:dyDescent="0.3">
      <c r="G495" s="27" t="str" cm="1">
        <f t="array" ref="G495">IF($A495="","",IFERROR(_xlfn.TEXTJOIN(CHAR(10)&amp;CHAR(10),TRUE,_xlfn._xlws.FILTER("•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"&amp;Cards!$L$4:$L$1000),(Cards!$A$4:$A$1000&lt;&gt;"")*ISNUMBER(SEARCH($A495,Cards!$E$4:$E$1000)))),"-"))</f>
        <v/>
      </c>
      <c r="Q495" s="30"/>
      <c r="R495" s="27" t="str">
        <f>IF(OR($A495="",LEN(TRIM($O495))=0),"",IF(OR($P495="",$Q495=""),"ระบุ Severity + Impact",IFERROR(INDEX({"Urgent","Urgent","High","High";"Urgent","High","High","Medium";"High","High","Medium","Medium";"Medium","Medium","Low","Low"},MATCH($P495,{"Critical","High","Medium","Low"},0),MATCH($Q495,{"Extensive","Significant","Moderate","Minor"},0)),"-")))</f>
        <v/>
      </c>
      <c r="S495" s="30"/>
      <c r="T495" s="30"/>
      <c r="W495" s="32" t="str">
        <f>IF($A495="","",IF(OR($M495="Out of Scope",$M495="Canceled"),"Out of Scope",IF($M495="Blocked","Blocked",IF(AND($T495&lt;&gt;"Fixed – Retest Passed",OR(LEN(TRIM($O495))&gt;0,LEN(TRIM($P495))&gt;0)),IF(AND(OR($L495="Medium",$L495="Low"),SUMPRODUCT((Cards!$A$4:$A$1000&lt;&gt;"")*ISNUMBER(SEARCH($A495,Cards!$E$4:$E$1000))*(Cards!$F$4:$F$1000&lt;&gt;"Medium")*(Cards!$F$4:$F$1000&lt;&gt;"Low"))=0),"Conditionally Passed","Failed"),IF($M495="Done","Passed","Not Run")))))</f>
        <v/>
      </c>
      <c r="Y495" s="27" t="str" cm="1">
        <f t="array" ref="Y495">IF($A495="","",IF(TRIM($B495)="","-",IFERROR(_xlfn.TEXTJOIN(" / ",TRUE,_xlfn.UNIQUE(_xlfn._xlws.FILTER('Ownership Matrix'!$C$5:$C$200,('Ownership Matrix'!$A$5:$A$200=TRIM($B495))*('Ownership Matrix'!$C$5:$C$200&lt;&gt;"")))),"ไม่พบใน Ownership Matrix")))</f>
        <v/>
      </c>
      <c r="Z495" s="31" t="str">
        <f>IF(NOT(AND($A495&lt;&gt;"",$M495&lt;&gt;"Out of Scope",$M495&lt;&gt;"Canceled",$T495&lt;&gt;"Fixed – Retest Passed",OR(LEN(TRIM($O495))&gt;0,LEN(TRIM($P495))&gt;0))),"",IF(OR($W495="Failed",$R495="Urgent",$R495="High",$R495="ระบุ Severity + Impact"),IF(COUNTIFS(Dashboard!$B$105:$B$124,$O495,Dashboard!$I$105:$I$124,"CAB")&gt;0,"Accepted (CF)","Blocking"),"Deferrable"))</f>
        <v/>
      </c>
    </row>
    <row r="496" spans="7:26" x14ac:dyDescent="0.3">
      <c r="G496" s="27" t="str" cm="1">
        <f t="array" ref="G496">IF($A496="","",IFERROR(_xlfn.TEXTJOIN(CHAR(10)&amp;CHAR(10),TRUE,_xlfn._xlws.FILTER("•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"&amp;Cards!$L$4:$L$1000),(Cards!$A$4:$A$1000&lt;&gt;"")*ISNUMBER(SEARCH($A496,Cards!$E$4:$E$1000)))),"-"))</f>
        <v/>
      </c>
      <c r="Q496" s="30"/>
      <c r="R496" s="27" t="str">
        <f>IF(OR($A496="",LEN(TRIM($O496))=0),"",IF(OR($P496="",$Q496=""),"ระบุ Severity + Impact",IFERROR(INDEX({"Urgent","Urgent","High","High";"Urgent","High","High","Medium";"High","High","Medium","Medium";"Medium","Medium","Low","Low"},MATCH($P496,{"Critical","High","Medium","Low"},0),MATCH($Q496,{"Extensive","Significant","Moderate","Minor"},0)),"-")))</f>
        <v/>
      </c>
      <c r="S496" s="30"/>
      <c r="T496" s="30"/>
      <c r="W496" s="32" t="str">
        <f>IF($A496="","",IF(OR($M496="Out of Scope",$M496="Canceled"),"Out of Scope",IF($M496="Blocked","Blocked",IF(AND($T496&lt;&gt;"Fixed – Retest Passed",OR(LEN(TRIM($O496))&gt;0,LEN(TRIM($P496))&gt;0)),IF(AND(OR($L496="Medium",$L496="Low"),SUMPRODUCT((Cards!$A$4:$A$1000&lt;&gt;"")*ISNUMBER(SEARCH($A496,Cards!$E$4:$E$1000))*(Cards!$F$4:$F$1000&lt;&gt;"Medium")*(Cards!$F$4:$F$1000&lt;&gt;"Low"))=0),"Conditionally Passed","Failed"),IF($M496="Done","Passed","Not Run")))))</f>
        <v/>
      </c>
      <c r="Y496" s="27" t="str" cm="1">
        <f t="array" ref="Y496">IF($A496="","",IF(TRIM($B496)="","-",IFERROR(_xlfn.TEXTJOIN(" / ",TRUE,_xlfn.UNIQUE(_xlfn._xlws.FILTER('Ownership Matrix'!$C$5:$C$200,('Ownership Matrix'!$A$5:$A$200=TRIM($B496))*('Ownership Matrix'!$C$5:$C$200&lt;&gt;"")))),"ไม่พบใน Ownership Matrix")))</f>
        <v/>
      </c>
      <c r="Z496" s="31" t="str">
        <f>IF(NOT(AND($A496&lt;&gt;"",$M496&lt;&gt;"Out of Scope",$M496&lt;&gt;"Canceled",$T496&lt;&gt;"Fixed – Retest Passed",OR(LEN(TRIM($O496))&gt;0,LEN(TRIM($P496))&gt;0))),"",IF(OR($W496="Failed",$R496="Urgent",$R496="High",$R496="ระบุ Severity + Impact"),IF(COUNTIFS(Dashboard!$B$105:$B$124,$O496,Dashboard!$I$105:$I$124,"CAB")&gt;0,"Accepted (CF)","Blocking"),"Deferrable"))</f>
        <v/>
      </c>
    </row>
    <row r="497" spans="7:26" x14ac:dyDescent="0.3">
      <c r="G497" s="27" t="str" cm="1">
        <f t="array" ref="G497">IF($A497="","",IFERROR(_xlfn.TEXTJOIN(CHAR(10)&amp;CHAR(10),TRUE,_xlfn._xlws.FILTER("•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"&amp;Cards!$L$4:$L$1000),(Cards!$A$4:$A$1000&lt;&gt;"")*ISNUMBER(SEARCH($A497,Cards!$E$4:$E$1000)))),"-"))</f>
        <v/>
      </c>
      <c r="Q497" s="30"/>
      <c r="R497" s="27" t="str">
        <f>IF(OR($A497="",LEN(TRIM($O497))=0),"",IF(OR($P497="",$Q497=""),"ระบุ Severity + Impact",IFERROR(INDEX({"Urgent","Urgent","High","High";"Urgent","High","High","Medium";"High","High","Medium","Medium";"Medium","Medium","Low","Low"},MATCH($P497,{"Critical","High","Medium","Low"},0),MATCH($Q497,{"Extensive","Significant","Moderate","Minor"},0)),"-")))</f>
        <v/>
      </c>
      <c r="S497" s="30"/>
      <c r="T497" s="30"/>
      <c r="W497" s="32" t="str">
        <f>IF($A497="","",IF(OR($M497="Out of Scope",$M497="Canceled"),"Out of Scope",IF($M497="Blocked","Blocked",IF(AND($T497&lt;&gt;"Fixed – Retest Passed",OR(LEN(TRIM($O497))&gt;0,LEN(TRIM($P497))&gt;0)),IF(AND(OR($L497="Medium",$L497="Low"),SUMPRODUCT((Cards!$A$4:$A$1000&lt;&gt;"")*ISNUMBER(SEARCH($A497,Cards!$E$4:$E$1000))*(Cards!$F$4:$F$1000&lt;&gt;"Medium")*(Cards!$F$4:$F$1000&lt;&gt;"Low"))=0),"Conditionally Passed","Failed"),IF($M497="Done","Passed","Not Run")))))</f>
        <v/>
      </c>
      <c r="Y497" s="27" t="str" cm="1">
        <f t="array" ref="Y497">IF($A497="","",IF(TRIM($B497)="","-",IFERROR(_xlfn.TEXTJOIN(" / ",TRUE,_xlfn.UNIQUE(_xlfn._xlws.FILTER('Ownership Matrix'!$C$5:$C$200,('Ownership Matrix'!$A$5:$A$200=TRIM($B497))*('Ownership Matrix'!$C$5:$C$200&lt;&gt;"")))),"ไม่พบใน Ownership Matrix")))</f>
        <v/>
      </c>
      <c r="Z497" s="31" t="str">
        <f>IF(NOT(AND($A497&lt;&gt;"",$M497&lt;&gt;"Out of Scope",$M497&lt;&gt;"Canceled",$T497&lt;&gt;"Fixed – Retest Passed",OR(LEN(TRIM($O497))&gt;0,LEN(TRIM($P497))&gt;0))),"",IF(OR($W497="Failed",$R497="Urgent",$R497="High",$R497="ระบุ Severity + Impact"),IF(COUNTIFS(Dashboard!$B$105:$B$124,$O497,Dashboard!$I$105:$I$124,"CAB")&gt;0,"Accepted (CF)","Blocking"),"Deferrable"))</f>
        <v/>
      </c>
    </row>
    <row r="498" spans="7:26" x14ac:dyDescent="0.3">
      <c r="G498" s="27" t="str" cm="1">
        <f t="array" ref="G498">IF($A498="","",IFERROR(_xlfn.TEXTJOIN(CHAR(10)&amp;CHAR(10),TRUE,_xlfn._xlws.FILTER("•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"&amp;Cards!$L$4:$L$1000),(Cards!$A$4:$A$1000&lt;&gt;"")*ISNUMBER(SEARCH($A498,Cards!$E$4:$E$1000)))),"-"))</f>
        <v/>
      </c>
      <c r="Q498" s="30"/>
      <c r="R498" s="27" t="str">
        <f>IF(OR($A498="",LEN(TRIM($O498))=0),"",IF(OR($P498="",$Q498=""),"ระบุ Severity + Impact",IFERROR(INDEX({"Urgent","Urgent","High","High";"Urgent","High","High","Medium";"High","High","Medium","Medium";"Medium","Medium","Low","Low"},MATCH($P498,{"Critical","High","Medium","Low"},0),MATCH($Q498,{"Extensive","Significant","Moderate","Minor"},0)),"-")))</f>
        <v/>
      </c>
      <c r="S498" s="30"/>
      <c r="T498" s="30"/>
      <c r="W498" s="32" t="str">
        <f>IF($A498="","",IF(OR($M498="Out of Scope",$M498="Canceled"),"Out of Scope",IF($M498="Blocked","Blocked",IF(AND($T498&lt;&gt;"Fixed – Retest Passed",OR(LEN(TRIM($O498))&gt;0,LEN(TRIM($P498))&gt;0)),IF(AND(OR($L498="Medium",$L498="Low"),SUMPRODUCT((Cards!$A$4:$A$1000&lt;&gt;"")*ISNUMBER(SEARCH($A498,Cards!$E$4:$E$1000))*(Cards!$F$4:$F$1000&lt;&gt;"Medium")*(Cards!$F$4:$F$1000&lt;&gt;"Low"))=0),"Conditionally Passed","Failed"),IF($M498="Done","Passed","Not Run")))))</f>
        <v/>
      </c>
      <c r="Y498" s="27" t="str" cm="1">
        <f t="array" ref="Y498">IF($A498="","",IF(TRIM($B498)="","-",IFERROR(_xlfn.TEXTJOIN(" / ",TRUE,_xlfn.UNIQUE(_xlfn._xlws.FILTER('Ownership Matrix'!$C$5:$C$200,('Ownership Matrix'!$A$5:$A$200=TRIM($B498))*('Ownership Matrix'!$C$5:$C$200&lt;&gt;"")))),"ไม่พบใน Ownership Matrix")))</f>
        <v/>
      </c>
      <c r="Z498" s="31" t="str">
        <f>IF(NOT(AND($A498&lt;&gt;"",$M498&lt;&gt;"Out of Scope",$M498&lt;&gt;"Canceled",$T498&lt;&gt;"Fixed – Retest Passed",OR(LEN(TRIM($O498))&gt;0,LEN(TRIM($P498))&gt;0))),"",IF(OR($W498="Failed",$R498="Urgent",$R498="High",$R498="ระบุ Severity + Impact"),IF(COUNTIFS(Dashboard!$B$105:$B$124,$O498,Dashboard!$I$105:$I$124,"CAB")&gt;0,"Accepted (CF)","Blocking"),"Deferrable"))</f>
        <v/>
      </c>
    </row>
    <row r="499" spans="7:26" x14ac:dyDescent="0.3">
      <c r="G499" s="27" t="str" cm="1">
        <f t="array" ref="G499">IF($A499="","",IFERROR(_xlfn.TEXTJOIN(CHAR(10)&amp;CHAR(10),TRUE,_xlfn._xlws.FILTER("•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"&amp;Cards!$L$4:$L$1000),(Cards!$A$4:$A$1000&lt;&gt;"")*ISNUMBER(SEARCH($A499,Cards!$E$4:$E$1000)))),"-"))</f>
        <v/>
      </c>
      <c r="Q499" s="30"/>
      <c r="R499" s="27" t="str">
        <f>IF(OR($A499="",LEN(TRIM($O499))=0),"",IF(OR($P499="",$Q499=""),"ระบุ Severity + Impact",IFERROR(INDEX({"Urgent","Urgent","High","High";"Urgent","High","High","Medium";"High","High","Medium","Medium";"Medium","Medium","Low","Low"},MATCH($P499,{"Critical","High","Medium","Low"},0),MATCH($Q499,{"Extensive","Significant","Moderate","Minor"},0)),"-")))</f>
        <v/>
      </c>
      <c r="S499" s="30"/>
      <c r="T499" s="30"/>
      <c r="W499" s="32" t="str">
        <f>IF($A499="","",IF(OR($M499="Out of Scope",$M499="Canceled"),"Out of Scope",IF($M499="Blocked","Blocked",IF(AND($T499&lt;&gt;"Fixed – Retest Passed",OR(LEN(TRIM($O499))&gt;0,LEN(TRIM($P499))&gt;0)),IF(AND(OR($L499="Medium",$L499="Low"),SUMPRODUCT((Cards!$A$4:$A$1000&lt;&gt;"")*ISNUMBER(SEARCH($A499,Cards!$E$4:$E$1000))*(Cards!$F$4:$F$1000&lt;&gt;"Medium")*(Cards!$F$4:$F$1000&lt;&gt;"Low"))=0),"Conditionally Passed","Failed"),IF($M499="Done","Passed","Not Run")))))</f>
        <v/>
      </c>
      <c r="Y499" s="27" t="str" cm="1">
        <f t="array" ref="Y499">IF($A499="","",IF(TRIM($B499)="","-",IFERROR(_xlfn.TEXTJOIN(" / ",TRUE,_xlfn.UNIQUE(_xlfn._xlws.FILTER('Ownership Matrix'!$C$5:$C$200,('Ownership Matrix'!$A$5:$A$200=TRIM($B499))*('Ownership Matrix'!$C$5:$C$200&lt;&gt;"")))),"ไม่พบใน Ownership Matrix")))</f>
        <v/>
      </c>
      <c r="Z499" s="31" t="str">
        <f>IF(NOT(AND($A499&lt;&gt;"",$M499&lt;&gt;"Out of Scope",$M499&lt;&gt;"Canceled",$T499&lt;&gt;"Fixed – Retest Passed",OR(LEN(TRIM($O499))&gt;0,LEN(TRIM($P499))&gt;0))),"",IF(OR($W499="Failed",$R499="Urgent",$R499="High",$R499="ระบุ Severity + Impact"),IF(COUNTIFS(Dashboard!$B$105:$B$124,$O499,Dashboard!$I$105:$I$124,"CAB")&gt;0,"Accepted (CF)","Blocking"),"Deferrable"))</f>
        <v/>
      </c>
    </row>
    <row r="500" spans="7:26" x14ac:dyDescent="0.3">
      <c r="G500" s="27" t="str" cm="1">
        <f t="array" ref="G500">IF($A500="","",IFERROR(_xlfn.TEXTJOIN(CHAR(10)&amp;CHAR(10),TRUE,_xlfn._xlws.FILTER("•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"&amp;Cards!$L$4:$L$1000),(Cards!$A$4:$A$1000&lt;&gt;"")*ISNUMBER(SEARCH($A500,Cards!$E$4:$E$1000)))),"-"))</f>
        <v/>
      </c>
      <c r="Q500" s="30"/>
      <c r="R500" s="27" t="str">
        <f>IF(OR($A500="",LEN(TRIM($O500))=0),"",IF(OR($P500="",$Q500=""),"ระบุ Severity + Impact",IFERROR(INDEX({"Urgent","Urgent","High","High";"Urgent","High","High","Medium";"High","High","Medium","Medium";"Medium","Medium","Low","Low"},MATCH($P500,{"Critical","High","Medium","Low"},0),MATCH($Q500,{"Extensive","Significant","Moderate","Minor"},0)),"-")))</f>
        <v/>
      </c>
      <c r="S500" s="30"/>
      <c r="T500" s="30"/>
      <c r="W500" s="32" t="str">
        <f>IF($A500="","",IF(OR($M500="Out of Scope",$M500="Canceled"),"Out of Scope",IF($M500="Blocked","Blocked",IF(AND($T500&lt;&gt;"Fixed – Retest Passed",OR(LEN(TRIM($O500))&gt;0,LEN(TRIM($P500))&gt;0)),IF(AND(OR($L500="Medium",$L500="Low"),SUMPRODUCT((Cards!$A$4:$A$1000&lt;&gt;"")*ISNUMBER(SEARCH($A500,Cards!$E$4:$E$1000))*(Cards!$F$4:$F$1000&lt;&gt;"Medium")*(Cards!$F$4:$F$1000&lt;&gt;"Low"))=0),"Conditionally Passed","Failed"),IF($M500="Done","Passed","Not Run")))))</f>
        <v/>
      </c>
      <c r="Y500" s="27" t="str" cm="1">
        <f t="array" ref="Y500">IF($A500="","",IF(TRIM($B500)="","-",IFERROR(_xlfn.TEXTJOIN(" / ",TRUE,_xlfn.UNIQUE(_xlfn._xlws.FILTER('Ownership Matrix'!$C$5:$C$200,('Ownership Matrix'!$A$5:$A$200=TRIM($B500))*('Ownership Matrix'!$C$5:$C$200&lt;&gt;"")))),"ไม่พบใน Ownership Matrix")))</f>
        <v/>
      </c>
      <c r="Z500" s="31" t="str">
        <f>IF(NOT(AND($A500&lt;&gt;"",$M500&lt;&gt;"Out of Scope",$M500&lt;&gt;"Canceled",$T500&lt;&gt;"Fixed – Retest Passed",OR(LEN(TRIM($O500))&gt;0,LEN(TRIM($P500))&gt;0))),"",IF(OR($W500="Failed",$R500="Urgent",$R500="High",$R500="ระบุ Severity + Impact"),IF(COUNTIFS(Dashboard!$B$105:$B$124,$O500,Dashboard!$I$105:$I$124,"CAB")&gt;0,"Accepted (CF)","Blocking"),"Deferrable"))</f>
        <v/>
      </c>
    </row>
    <row r="501" spans="7:26" x14ac:dyDescent="0.3">
      <c r="G501" s="27" t="str" cm="1">
        <f t="array" ref="G501">IF($A501="","",IFERROR(_xlfn.TEXTJOIN(CHAR(10)&amp;CHAR(10),TRUE,_xlfn._xlws.FILTER("•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"&amp;Cards!$L$4:$L$1000),(Cards!$A$4:$A$1000&lt;&gt;"")*ISNUMBER(SEARCH($A501,Cards!$E$4:$E$1000)))),"-"))</f>
        <v/>
      </c>
      <c r="Q501" s="30"/>
      <c r="R501" s="27" t="str">
        <f>IF(OR($A501="",LEN(TRIM($O501))=0),"",IF(OR($P501="",$Q501=""),"ระบุ Severity + Impact",IFERROR(INDEX({"Urgent","Urgent","High","High";"Urgent","High","High","Medium";"High","High","Medium","Medium";"Medium","Medium","Low","Low"},MATCH($P501,{"Critical","High","Medium","Low"},0),MATCH($Q501,{"Extensive","Significant","Moderate","Minor"},0)),"-")))</f>
        <v/>
      </c>
      <c r="S501" s="30"/>
      <c r="T501" s="30"/>
      <c r="W501" s="32" t="str">
        <f>IF($A501="","",IF(OR($M501="Out of Scope",$M501="Canceled"),"Out of Scope",IF($M501="Blocked","Blocked",IF(AND($T501&lt;&gt;"Fixed – Retest Passed",OR(LEN(TRIM($O501))&gt;0,LEN(TRIM($P501))&gt;0)),IF(AND(OR($L501="Medium",$L501="Low"),SUMPRODUCT((Cards!$A$4:$A$1000&lt;&gt;"")*ISNUMBER(SEARCH($A501,Cards!$E$4:$E$1000))*(Cards!$F$4:$F$1000&lt;&gt;"Medium")*(Cards!$F$4:$F$1000&lt;&gt;"Low"))=0),"Conditionally Passed","Failed"),IF($M501="Done","Passed","Not Run")))))</f>
        <v/>
      </c>
      <c r="Y501" s="27" t="str" cm="1">
        <f t="array" ref="Y501">IF($A501="","",IF(TRIM($B501)="","-",IFERROR(_xlfn.TEXTJOIN(" / ",TRUE,_xlfn.UNIQUE(_xlfn._xlws.FILTER('Ownership Matrix'!$C$5:$C$200,('Ownership Matrix'!$A$5:$A$200=TRIM($B501))*('Ownership Matrix'!$C$5:$C$200&lt;&gt;"")))),"ไม่พบใน Ownership Matrix")))</f>
        <v/>
      </c>
      <c r="Z501" s="31" t="str">
        <f>IF(NOT(AND($A501&lt;&gt;"",$M501&lt;&gt;"Out of Scope",$M501&lt;&gt;"Canceled",$T501&lt;&gt;"Fixed – Retest Passed",OR(LEN(TRIM($O501))&gt;0,LEN(TRIM($P501))&gt;0))),"",IF(OR($W501="Failed",$R501="Urgent",$R501="High",$R501="ระบุ Severity + Impact"),IF(COUNTIFS(Dashboard!$B$105:$B$124,$O501,Dashboard!$I$105:$I$124,"CAB")&gt;0,"Accepted (CF)","Blocking"),"Deferrable"))</f>
        <v/>
      </c>
    </row>
    <row r="502" spans="7:26" x14ac:dyDescent="0.3">
      <c r="G502" s="27" t="str" cm="1">
        <f t="array" ref="G502">IF($A502="","",IFERROR(_xlfn.TEXTJOIN(CHAR(10)&amp;CHAR(10),TRUE,_xlfn._xlws.FILTER("•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"&amp;Cards!$L$4:$L$1000),(Cards!$A$4:$A$1000&lt;&gt;"")*ISNUMBER(SEARCH($A502,Cards!$E$4:$E$1000)))),"-"))</f>
        <v/>
      </c>
      <c r="Q502" s="30"/>
      <c r="R502" s="27" t="str">
        <f>IF(OR($A502="",LEN(TRIM($O502))=0),"",IF(OR($P502="",$Q502=""),"ระบุ Severity + Impact",IFERROR(INDEX({"Urgent","Urgent","High","High";"Urgent","High","High","Medium";"High","High","Medium","Medium";"Medium","Medium","Low","Low"},MATCH($P502,{"Critical","High","Medium","Low"},0),MATCH($Q502,{"Extensive","Significant","Moderate","Minor"},0)),"-")))</f>
        <v/>
      </c>
      <c r="S502" s="30"/>
      <c r="T502" s="30"/>
      <c r="W502" s="32" t="str">
        <f>IF($A502="","",IF(OR($M502="Out of Scope",$M502="Canceled"),"Out of Scope",IF($M502="Blocked","Blocked",IF(AND($T502&lt;&gt;"Fixed – Retest Passed",OR(LEN(TRIM($O502))&gt;0,LEN(TRIM($P502))&gt;0)),IF(AND(OR($L502="Medium",$L502="Low"),SUMPRODUCT((Cards!$A$4:$A$1000&lt;&gt;"")*ISNUMBER(SEARCH($A502,Cards!$E$4:$E$1000))*(Cards!$F$4:$F$1000&lt;&gt;"Medium")*(Cards!$F$4:$F$1000&lt;&gt;"Low"))=0),"Conditionally Passed","Failed"),IF($M502="Done","Passed","Not Run")))))</f>
        <v/>
      </c>
      <c r="Y502" s="27" t="str" cm="1">
        <f t="array" ref="Y502">IF($A502="","",IF(TRIM($B502)="","-",IFERROR(_xlfn.TEXTJOIN(" / ",TRUE,_xlfn.UNIQUE(_xlfn._xlws.FILTER('Ownership Matrix'!$C$5:$C$200,('Ownership Matrix'!$A$5:$A$200=TRIM($B502))*('Ownership Matrix'!$C$5:$C$200&lt;&gt;"")))),"ไม่พบใน Ownership Matrix")))</f>
        <v/>
      </c>
      <c r="Z502" s="31" t="str">
        <f>IF(NOT(AND($A502&lt;&gt;"",$M502&lt;&gt;"Out of Scope",$M502&lt;&gt;"Canceled",$T502&lt;&gt;"Fixed – Retest Passed",OR(LEN(TRIM($O502))&gt;0,LEN(TRIM($P502))&gt;0))),"",IF(OR($W502="Failed",$R502="Urgent",$R502="High",$R502="ระบุ Severity + Impact"),IF(COUNTIFS(Dashboard!$B$105:$B$124,$O502,Dashboard!$I$105:$I$124,"CAB")&gt;0,"Accepted (CF)","Blocking"),"Deferrable"))</f>
        <v/>
      </c>
    </row>
    <row r="503" spans="7:26" x14ac:dyDescent="0.3">
      <c r="G503" s="27" t="str" cm="1">
        <f t="array" ref="G503">IF($A503="","",IFERROR(_xlfn.TEXTJOIN(CHAR(10)&amp;CHAR(10),TRUE,_xlfn._xlws.FILTER("•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"&amp;Cards!$L$4:$L$1000),(Cards!$A$4:$A$1000&lt;&gt;"")*ISNUMBER(SEARCH($A503,Cards!$E$4:$E$1000)))),"-"))</f>
        <v/>
      </c>
      <c r="Q503" s="30"/>
      <c r="R503" s="27" t="str">
        <f>IF(OR($A503="",LEN(TRIM($O503))=0),"",IF(OR($P503="",$Q503=""),"ระบุ Severity + Impact",IFERROR(INDEX({"Urgent","Urgent","High","High";"Urgent","High","High","Medium";"High","High","Medium","Medium";"Medium","Medium","Low","Low"},MATCH($P503,{"Critical","High","Medium","Low"},0),MATCH($Q503,{"Extensive","Significant","Moderate","Minor"},0)),"-")))</f>
        <v/>
      </c>
      <c r="S503" s="30"/>
      <c r="T503" s="30"/>
      <c r="W503" s="32" t="str">
        <f>IF($A503="","",IF(OR($M503="Out of Scope",$M503="Canceled"),"Out of Scope",IF($M503="Blocked","Blocked",IF(AND($T503&lt;&gt;"Fixed – Retest Passed",OR(LEN(TRIM($O503))&gt;0,LEN(TRIM($P503))&gt;0)),IF(AND(OR($L503="Medium",$L503="Low"),SUMPRODUCT((Cards!$A$4:$A$1000&lt;&gt;"")*ISNUMBER(SEARCH($A503,Cards!$E$4:$E$1000))*(Cards!$F$4:$F$1000&lt;&gt;"Medium")*(Cards!$F$4:$F$1000&lt;&gt;"Low"))=0),"Conditionally Passed","Failed"),IF($M503="Done","Passed","Not Run")))))</f>
        <v/>
      </c>
      <c r="Y503" s="27" t="str" cm="1">
        <f t="array" ref="Y503">IF($A503="","",IF(TRIM($B503)="","-",IFERROR(_xlfn.TEXTJOIN(" / ",TRUE,_xlfn.UNIQUE(_xlfn._xlws.FILTER('Ownership Matrix'!$C$5:$C$200,('Ownership Matrix'!$A$5:$A$200=TRIM($B503))*('Ownership Matrix'!$C$5:$C$200&lt;&gt;"")))),"ไม่พบใน Ownership Matrix")))</f>
        <v/>
      </c>
      <c r="Z503" s="31" t="str">
        <f>IF(NOT(AND($A503&lt;&gt;"",$M503&lt;&gt;"Out of Scope",$M503&lt;&gt;"Canceled",$T503&lt;&gt;"Fixed – Retest Passed",OR(LEN(TRIM($O503))&gt;0,LEN(TRIM($P503))&gt;0))),"",IF(OR($W503="Failed",$R503="Urgent",$R503="High",$R503="ระบุ Severity + Impact"),IF(COUNTIFS(Dashboard!$B$105:$B$124,$O503,Dashboard!$I$105:$I$124,"CAB")&gt;0,"Accepted (CF)","Blocking"),"Deferrable"))</f>
        <v/>
      </c>
    </row>
    <row r="504" spans="7:26" x14ac:dyDescent="0.3">
      <c r="G504" s="27" t="str" cm="1">
        <f t="array" ref="G504">IF($A504="","",IFERROR(_xlfn.TEXTJOIN(CHAR(10)&amp;CHAR(10),TRUE,_xlfn._xlws.FILTER("•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"&amp;Cards!$L$4:$L$1000),(Cards!$A$4:$A$1000&lt;&gt;"")*ISNUMBER(SEARCH($A504,Cards!$E$4:$E$1000)))),"-"))</f>
        <v/>
      </c>
      <c r="Q504" s="30"/>
      <c r="R504" s="27" t="str">
        <f>IF(OR($A504="",LEN(TRIM($O504))=0),"",IF(OR($P504="",$Q504=""),"ระบุ Severity + Impact",IFERROR(INDEX({"Urgent","Urgent","High","High";"Urgent","High","High","Medium";"High","High","Medium","Medium";"Medium","Medium","Low","Low"},MATCH($P504,{"Critical","High","Medium","Low"},0),MATCH($Q504,{"Extensive","Significant","Moderate","Minor"},0)),"-")))</f>
        <v/>
      </c>
      <c r="S504" s="30"/>
      <c r="T504" s="30"/>
      <c r="W504" s="32" t="str">
        <f>IF($A504="","",IF(OR($M504="Out of Scope",$M504="Canceled"),"Out of Scope",IF($M504="Blocked","Blocked",IF(AND($T504&lt;&gt;"Fixed – Retest Passed",OR(LEN(TRIM($O504))&gt;0,LEN(TRIM($P504))&gt;0)),IF(AND(OR($L504="Medium",$L504="Low"),SUMPRODUCT((Cards!$A$4:$A$1000&lt;&gt;"")*ISNUMBER(SEARCH($A504,Cards!$E$4:$E$1000))*(Cards!$F$4:$F$1000&lt;&gt;"Medium")*(Cards!$F$4:$F$1000&lt;&gt;"Low"))=0),"Conditionally Passed","Failed"),IF($M504="Done","Passed","Not Run")))))</f>
        <v/>
      </c>
      <c r="Y504" s="27" t="str" cm="1">
        <f t="array" ref="Y504">IF($A504="","",IF(TRIM($B504)="","-",IFERROR(_xlfn.TEXTJOIN(" / ",TRUE,_xlfn.UNIQUE(_xlfn._xlws.FILTER('Ownership Matrix'!$C$5:$C$200,('Ownership Matrix'!$A$5:$A$200=TRIM($B504))*('Ownership Matrix'!$C$5:$C$200&lt;&gt;"")))),"ไม่พบใน Ownership Matrix")))</f>
        <v/>
      </c>
      <c r="Z504" s="31" t="str">
        <f>IF(NOT(AND($A504&lt;&gt;"",$M504&lt;&gt;"Out of Scope",$M504&lt;&gt;"Canceled",$T504&lt;&gt;"Fixed – Retest Passed",OR(LEN(TRIM($O504))&gt;0,LEN(TRIM($P504))&gt;0))),"",IF(OR($W504="Failed",$R504="Urgent",$R504="High",$R504="ระบุ Severity + Impact"),IF(COUNTIFS(Dashboard!$B$105:$B$124,$O504,Dashboard!$I$105:$I$124,"CAB")&gt;0,"Accepted (CF)","Blocking"),"Deferrable"))</f>
        <v/>
      </c>
    </row>
    <row r="505" spans="7:26" x14ac:dyDescent="0.3">
      <c r="G505" s="27" t="str" cm="1">
        <f t="array" ref="G505">IF($A505="","",IFERROR(_xlfn.TEXTJOIN(CHAR(10)&amp;CHAR(10),TRUE,_xlfn._xlws.FILTER("•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"&amp;Cards!$L$4:$L$1000),(Cards!$A$4:$A$1000&lt;&gt;"")*ISNUMBER(SEARCH($A505,Cards!$E$4:$E$1000)))),"-"))</f>
        <v/>
      </c>
      <c r="Q505" s="30"/>
      <c r="R505" s="27" t="str">
        <f>IF(OR($A505="",LEN(TRIM($O505))=0),"",IF(OR($P505="",$Q505=""),"ระบุ Severity + Impact",IFERROR(INDEX({"Urgent","Urgent","High","High";"Urgent","High","High","Medium";"High","High","Medium","Medium";"Medium","Medium","Low","Low"},MATCH($P505,{"Critical","High","Medium","Low"},0),MATCH($Q505,{"Extensive","Significant","Moderate","Minor"},0)),"-")))</f>
        <v/>
      </c>
      <c r="S505" s="30"/>
      <c r="T505" s="30"/>
      <c r="W505" s="32" t="str">
        <f>IF($A505="","",IF(OR($M505="Out of Scope",$M505="Canceled"),"Out of Scope",IF($M505="Blocked","Blocked",IF(AND($T505&lt;&gt;"Fixed – Retest Passed",OR(LEN(TRIM($O505))&gt;0,LEN(TRIM($P505))&gt;0)),IF(AND(OR($L505="Medium",$L505="Low"),SUMPRODUCT((Cards!$A$4:$A$1000&lt;&gt;"")*ISNUMBER(SEARCH($A505,Cards!$E$4:$E$1000))*(Cards!$F$4:$F$1000&lt;&gt;"Medium")*(Cards!$F$4:$F$1000&lt;&gt;"Low"))=0),"Conditionally Passed","Failed"),IF($M505="Done","Passed","Not Run")))))</f>
        <v/>
      </c>
      <c r="Y505" s="27" t="str" cm="1">
        <f t="array" ref="Y505">IF($A505="","",IF(TRIM($B505)="","-",IFERROR(_xlfn.TEXTJOIN(" / ",TRUE,_xlfn.UNIQUE(_xlfn._xlws.FILTER('Ownership Matrix'!$C$5:$C$200,('Ownership Matrix'!$A$5:$A$200=TRIM($B505))*('Ownership Matrix'!$C$5:$C$200&lt;&gt;"")))),"ไม่พบใน Ownership Matrix")))</f>
        <v/>
      </c>
      <c r="Z505" s="31" t="str">
        <f>IF(NOT(AND($A505&lt;&gt;"",$M505&lt;&gt;"Out of Scope",$M505&lt;&gt;"Canceled",$T505&lt;&gt;"Fixed – Retest Passed",OR(LEN(TRIM($O505))&gt;0,LEN(TRIM($P505))&gt;0))),"",IF(OR($W505="Failed",$R505="Urgent",$R505="High",$R505="ระบุ Severity + Impact"),IF(COUNTIFS(Dashboard!$B$105:$B$124,$O505,Dashboard!$I$105:$I$124,"CAB")&gt;0,"Accepted (CF)","Blocking"),"Deferrable"))</f>
        <v/>
      </c>
    </row>
    <row r="506" spans="7:26" x14ac:dyDescent="0.3">
      <c r="G506" s="27" t="str" cm="1">
        <f t="array" ref="G506">IF($A506="","",IFERROR(_xlfn.TEXTJOIN(CHAR(10)&amp;CHAR(10),TRUE,_xlfn._xlws.FILTER("•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"&amp;Cards!$L$4:$L$1000),(Cards!$A$4:$A$1000&lt;&gt;"")*ISNUMBER(SEARCH($A506,Cards!$E$4:$E$1000)))),"-"))</f>
        <v/>
      </c>
      <c r="Q506" s="30"/>
      <c r="R506" s="27" t="str">
        <f>IF(OR($A506="",LEN(TRIM($O506))=0),"",IF(OR($P506="",$Q506=""),"ระบุ Severity + Impact",IFERROR(INDEX({"Urgent","Urgent","High","High";"Urgent","High","High","Medium";"High","High","Medium","Medium";"Medium","Medium","Low","Low"},MATCH($P506,{"Critical","High","Medium","Low"},0),MATCH($Q506,{"Extensive","Significant","Moderate","Minor"},0)),"-")))</f>
        <v/>
      </c>
      <c r="S506" s="30"/>
      <c r="T506" s="30"/>
      <c r="W506" s="32" t="str">
        <f>IF($A506="","",IF(OR($M506="Out of Scope",$M506="Canceled"),"Out of Scope",IF($M506="Blocked","Blocked",IF(AND($T506&lt;&gt;"Fixed – Retest Passed",OR(LEN(TRIM($O506))&gt;0,LEN(TRIM($P506))&gt;0)),IF(AND(OR($L506="Medium",$L506="Low"),SUMPRODUCT((Cards!$A$4:$A$1000&lt;&gt;"")*ISNUMBER(SEARCH($A506,Cards!$E$4:$E$1000))*(Cards!$F$4:$F$1000&lt;&gt;"Medium")*(Cards!$F$4:$F$1000&lt;&gt;"Low"))=0),"Conditionally Passed","Failed"),IF($M506="Done","Passed","Not Run")))))</f>
        <v/>
      </c>
      <c r="Y506" s="27" t="str" cm="1">
        <f t="array" ref="Y506">IF($A506="","",IF(TRIM($B506)="","-",IFERROR(_xlfn.TEXTJOIN(" / ",TRUE,_xlfn.UNIQUE(_xlfn._xlws.FILTER('Ownership Matrix'!$C$5:$C$200,('Ownership Matrix'!$A$5:$A$200=TRIM($B506))*('Ownership Matrix'!$C$5:$C$200&lt;&gt;"")))),"ไม่พบใน Ownership Matrix")))</f>
        <v/>
      </c>
      <c r="Z506" s="31" t="str">
        <f>IF(NOT(AND($A506&lt;&gt;"",$M506&lt;&gt;"Out of Scope",$M506&lt;&gt;"Canceled",$T506&lt;&gt;"Fixed – Retest Passed",OR(LEN(TRIM($O506))&gt;0,LEN(TRIM($P506))&gt;0))),"",IF(OR($W506="Failed",$R506="Urgent",$R506="High",$R506="ระบุ Severity + Impact"),IF(COUNTIFS(Dashboard!$B$105:$B$124,$O506,Dashboard!$I$105:$I$124,"CAB")&gt;0,"Accepted (CF)","Blocking"),"Deferrable"))</f>
        <v/>
      </c>
    </row>
    <row r="507" spans="7:26" x14ac:dyDescent="0.3">
      <c r="G507" s="27" t="str" cm="1">
        <f t="array" ref="G507">IF($A507="","",IFERROR(_xlfn.TEXTJOIN(CHAR(10)&amp;CHAR(10),TRUE,_xlfn._xlws.FILTER("•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"&amp;Cards!$L$4:$L$1000),(Cards!$A$4:$A$1000&lt;&gt;"")*ISNUMBER(SEARCH($A507,Cards!$E$4:$E$1000)))),"-"))</f>
        <v/>
      </c>
      <c r="Q507" s="30"/>
      <c r="R507" s="27" t="str">
        <f>IF(OR($A507="",LEN(TRIM($O507))=0),"",IF(OR($P507="",$Q507=""),"ระบุ Severity + Impact",IFERROR(INDEX({"Urgent","Urgent","High","High";"Urgent","High","High","Medium";"High","High","Medium","Medium";"Medium","Medium","Low","Low"},MATCH($P507,{"Critical","High","Medium","Low"},0),MATCH($Q507,{"Extensive","Significant","Moderate","Minor"},0)),"-")))</f>
        <v/>
      </c>
      <c r="S507" s="30"/>
      <c r="T507" s="30"/>
      <c r="W507" s="32" t="str">
        <f>IF($A507="","",IF(OR($M507="Out of Scope",$M507="Canceled"),"Out of Scope",IF($M507="Blocked","Blocked",IF(AND($T507&lt;&gt;"Fixed – Retest Passed",OR(LEN(TRIM($O507))&gt;0,LEN(TRIM($P507))&gt;0)),IF(AND(OR($L507="Medium",$L507="Low"),SUMPRODUCT((Cards!$A$4:$A$1000&lt;&gt;"")*ISNUMBER(SEARCH($A507,Cards!$E$4:$E$1000))*(Cards!$F$4:$F$1000&lt;&gt;"Medium")*(Cards!$F$4:$F$1000&lt;&gt;"Low"))=0),"Conditionally Passed","Failed"),IF($M507="Done","Passed","Not Run")))))</f>
        <v/>
      </c>
      <c r="Y507" s="27" t="str" cm="1">
        <f t="array" ref="Y507">IF($A507="","",IF(TRIM($B507)="","-",IFERROR(_xlfn.TEXTJOIN(" / ",TRUE,_xlfn.UNIQUE(_xlfn._xlws.FILTER('Ownership Matrix'!$C$5:$C$200,('Ownership Matrix'!$A$5:$A$200=TRIM($B507))*('Ownership Matrix'!$C$5:$C$200&lt;&gt;"")))),"ไม่พบใน Ownership Matrix")))</f>
        <v/>
      </c>
      <c r="Z507" s="31" t="str">
        <f>IF(NOT(AND($A507&lt;&gt;"",$M507&lt;&gt;"Out of Scope",$M507&lt;&gt;"Canceled",$T507&lt;&gt;"Fixed – Retest Passed",OR(LEN(TRIM($O507))&gt;0,LEN(TRIM($P507))&gt;0))),"",IF(OR($W507="Failed",$R507="Urgent",$R507="High",$R507="ระบุ Severity + Impact"),IF(COUNTIFS(Dashboard!$B$105:$B$124,$O507,Dashboard!$I$105:$I$124,"CAB")&gt;0,"Accepted (CF)","Blocking"),"Deferrable"))</f>
        <v/>
      </c>
    </row>
    <row r="508" spans="7:26" x14ac:dyDescent="0.3">
      <c r="G508" s="27" t="str" cm="1">
        <f t="array" ref="G508">IF($A508="","",IFERROR(_xlfn.TEXTJOIN(CHAR(10)&amp;CHAR(10),TRUE,_xlfn._xlws.FILTER("•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"&amp;Cards!$L$4:$L$1000),(Cards!$A$4:$A$1000&lt;&gt;"")*ISNUMBER(SEARCH($A508,Cards!$E$4:$E$1000)))),"-"))</f>
        <v/>
      </c>
      <c r="Q508" s="30"/>
      <c r="R508" s="27" t="str">
        <f>IF(OR($A508="",LEN(TRIM($O508))=0),"",IF(OR($P508="",$Q508=""),"ระบุ Severity + Impact",IFERROR(INDEX({"Urgent","Urgent","High","High";"Urgent","High","High","Medium";"High","High","Medium","Medium";"Medium","Medium","Low","Low"},MATCH($P508,{"Critical","High","Medium","Low"},0),MATCH($Q508,{"Extensive","Significant","Moderate","Minor"},0)),"-")))</f>
        <v/>
      </c>
      <c r="S508" s="30"/>
      <c r="T508" s="30"/>
      <c r="W508" s="32" t="str">
        <f>IF($A508="","",IF(OR($M508="Out of Scope",$M508="Canceled"),"Out of Scope",IF($M508="Blocked","Blocked",IF(AND($T508&lt;&gt;"Fixed – Retest Passed",OR(LEN(TRIM($O508))&gt;0,LEN(TRIM($P508))&gt;0)),IF(AND(OR($L508="Medium",$L508="Low"),SUMPRODUCT((Cards!$A$4:$A$1000&lt;&gt;"")*ISNUMBER(SEARCH($A508,Cards!$E$4:$E$1000))*(Cards!$F$4:$F$1000&lt;&gt;"Medium")*(Cards!$F$4:$F$1000&lt;&gt;"Low"))=0),"Conditionally Passed","Failed"),IF($M508="Done","Passed","Not Run")))))</f>
        <v/>
      </c>
      <c r="Y508" s="27" t="str" cm="1">
        <f t="array" ref="Y508">IF($A508="","",IF(TRIM($B508)="","-",IFERROR(_xlfn.TEXTJOIN(" / ",TRUE,_xlfn.UNIQUE(_xlfn._xlws.FILTER('Ownership Matrix'!$C$5:$C$200,('Ownership Matrix'!$A$5:$A$200=TRIM($B508))*('Ownership Matrix'!$C$5:$C$200&lt;&gt;"")))),"ไม่พบใน Ownership Matrix")))</f>
        <v/>
      </c>
      <c r="Z508" s="31" t="str">
        <f>IF(NOT(AND($A508&lt;&gt;"",$M508&lt;&gt;"Out of Scope",$M508&lt;&gt;"Canceled",$T508&lt;&gt;"Fixed – Retest Passed",OR(LEN(TRIM($O508))&gt;0,LEN(TRIM($P508))&gt;0))),"",IF(OR($W508="Failed",$R508="Urgent",$R508="High",$R508="ระบุ Severity + Impact"),IF(COUNTIFS(Dashboard!$B$105:$B$124,$O508,Dashboard!$I$105:$I$124,"CAB")&gt;0,"Accepted (CF)","Blocking"),"Deferrable"))</f>
        <v/>
      </c>
    </row>
    <row r="509" spans="7:26" x14ac:dyDescent="0.3">
      <c r="G509" s="27" t="str" cm="1">
        <f t="array" ref="G509">IF($A509="","",IFERROR(_xlfn.TEXTJOIN(CHAR(10)&amp;CHAR(10),TRUE,_xlfn._xlws.FILTER("•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"&amp;Cards!$L$4:$L$1000),(Cards!$A$4:$A$1000&lt;&gt;"")*ISNUMBER(SEARCH($A509,Cards!$E$4:$E$1000)))),"-"))</f>
        <v/>
      </c>
      <c r="Q509" s="30"/>
      <c r="R509" s="27" t="str">
        <f>IF(OR($A509="",LEN(TRIM($O509))=0),"",IF(OR($P509="",$Q509=""),"ระบุ Severity + Impact",IFERROR(INDEX({"Urgent","Urgent","High","High";"Urgent","High","High","Medium";"High","High","Medium","Medium";"Medium","Medium","Low","Low"},MATCH($P509,{"Critical","High","Medium","Low"},0),MATCH($Q509,{"Extensive","Significant","Moderate","Minor"},0)),"-")))</f>
        <v/>
      </c>
      <c r="S509" s="30"/>
      <c r="T509" s="30"/>
      <c r="W509" s="32" t="str">
        <f>IF($A509="","",IF(OR($M509="Out of Scope",$M509="Canceled"),"Out of Scope",IF($M509="Blocked","Blocked",IF(AND($T509&lt;&gt;"Fixed – Retest Passed",OR(LEN(TRIM($O509))&gt;0,LEN(TRIM($P509))&gt;0)),IF(AND(OR($L509="Medium",$L509="Low"),SUMPRODUCT((Cards!$A$4:$A$1000&lt;&gt;"")*ISNUMBER(SEARCH($A509,Cards!$E$4:$E$1000))*(Cards!$F$4:$F$1000&lt;&gt;"Medium")*(Cards!$F$4:$F$1000&lt;&gt;"Low"))=0),"Conditionally Passed","Failed"),IF($M509="Done","Passed","Not Run")))))</f>
        <v/>
      </c>
      <c r="Y509" s="27" t="str" cm="1">
        <f t="array" ref="Y509">IF($A509="","",IF(TRIM($B509)="","-",IFERROR(_xlfn.TEXTJOIN(" / ",TRUE,_xlfn.UNIQUE(_xlfn._xlws.FILTER('Ownership Matrix'!$C$5:$C$200,('Ownership Matrix'!$A$5:$A$200=TRIM($B509))*('Ownership Matrix'!$C$5:$C$200&lt;&gt;"")))),"ไม่พบใน Ownership Matrix")))</f>
        <v/>
      </c>
      <c r="Z509" s="31" t="str">
        <f>IF(NOT(AND($A509&lt;&gt;"",$M509&lt;&gt;"Out of Scope",$M509&lt;&gt;"Canceled",$T509&lt;&gt;"Fixed – Retest Passed",OR(LEN(TRIM($O509))&gt;0,LEN(TRIM($P509))&gt;0))),"",IF(OR($W509="Failed",$R509="Urgent",$R509="High",$R509="ระบุ Severity + Impact"),IF(COUNTIFS(Dashboard!$B$105:$B$124,$O509,Dashboard!$I$105:$I$124,"CAB")&gt;0,"Accepted (CF)","Blocking"),"Deferrable"))</f>
        <v/>
      </c>
    </row>
    <row r="510" spans="7:26" x14ac:dyDescent="0.3">
      <c r="G510" s="27" t="str" cm="1">
        <f t="array" ref="G510">IF($A510="","",IFERROR(_xlfn.TEXTJOIN(CHAR(10)&amp;CHAR(10),TRUE,_xlfn._xlws.FILTER("•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"&amp;Cards!$L$4:$L$1000),(Cards!$A$4:$A$1000&lt;&gt;"")*ISNUMBER(SEARCH($A510,Cards!$E$4:$E$1000)))),"-"))</f>
        <v/>
      </c>
      <c r="Q510" s="30"/>
      <c r="R510" s="27" t="str">
        <f>IF(OR($A510="",LEN(TRIM($O510))=0),"",IF(OR($P510="",$Q510=""),"ระบุ Severity + Impact",IFERROR(INDEX({"Urgent","Urgent","High","High";"Urgent","High","High","Medium";"High","High","Medium","Medium";"Medium","Medium","Low","Low"},MATCH($P510,{"Critical","High","Medium","Low"},0),MATCH($Q510,{"Extensive","Significant","Moderate","Minor"},0)),"-")))</f>
        <v/>
      </c>
      <c r="S510" s="30"/>
      <c r="T510" s="30"/>
      <c r="W510" s="32" t="str">
        <f>IF($A510="","",IF(OR($M510="Out of Scope",$M510="Canceled"),"Out of Scope",IF($M510="Blocked","Blocked",IF(AND($T510&lt;&gt;"Fixed – Retest Passed",OR(LEN(TRIM($O510))&gt;0,LEN(TRIM($P510))&gt;0)),IF(AND(OR($L510="Medium",$L510="Low"),SUMPRODUCT((Cards!$A$4:$A$1000&lt;&gt;"")*ISNUMBER(SEARCH($A510,Cards!$E$4:$E$1000))*(Cards!$F$4:$F$1000&lt;&gt;"Medium")*(Cards!$F$4:$F$1000&lt;&gt;"Low"))=0),"Conditionally Passed","Failed"),IF($M510="Done","Passed","Not Run")))))</f>
        <v/>
      </c>
      <c r="Y510" s="27" t="str" cm="1">
        <f t="array" ref="Y510">IF($A510="","",IF(TRIM($B510)="","-",IFERROR(_xlfn.TEXTJOIN(" / ",TRUE,_xlfn.UNIQUE(_xlfn._xlws.FILTER('Ownership Matrix'!$C$5:$C$200,('Ownership Matrix'!$A$5:$A$200=TRIM($B510))*('Ownership Matrix'!$C$5:$C$200&lt;&gt;"")))),"ไม่พบใน Ownership Matrix")))</f>
        <v/>
      </c>
      <c r="Z510" s="31" t="str">
        <f>IF(NOT(AND($A510&lt;&gt;"",$M510&lt;&gt;"Out of Scope",$M510&lt;&gt;"Canceled",$T510&lt;&gt;"Fixed – Retest Passed",OR(LEN(TRIM($O510))&gt;0,LEN(TRIM($P510))&gt;0))),"",IF(OR($W510="Failed",$R510="Urgent",$R510="High",$R510="ระบุ Severity + Impact"),IF(COUNTIFS(Dashboard!$B$105:$B$124,$O510,Dashboard!$I$105:$I$124,"CAB")&gt;0,"Accepted (CF)","Blocking"),"Deferrable"))</f>
        <v/>
      </c>
    </row>
    <row r="511" spans="7:26" x14ac:dyDescent="0.3">
      <c r="G511" s="27" t="str" cm="1">
        <f t="array" ref="G511">IF($A511="","",IFERROR(_xlfn.TEXTJOIN(CHAR(10)&amp;CHAR(10),TRUE,_xlfn._xlws.FILTER("•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"&amp;Cards!$L$4:$L$1000),(Cards!$A$4:$A$1000&lt;&gt;"")*ISNUMBER(SEARCH($A511,Cards!$E$4:$E$1000)))),"-"))</f>
        <v/>
      </c>
      <c r="Q511" s="30"/>
      <c r="R511" s="27" t="str">
        <f>IF(OR($A511="",LEN(TRIM($O511))=0),"",IF(OR($P511="",$Q511=""),"ระบุ Severity + Impact",IFERROR(INDEX({"Urgent","Urgent","High","High";"Urgent","High","High","Medium";"High","High","Medium","Medium";"Medium","Medium","Low","Low"},MATCH($P511,{"Critical","High","Medium","Low"},0),MATCH($Q511,{"Extensive","Significant","Moderate","Minor"},0)),"-")))</f>
        <v/>
      </c>
      <c r="S511" s="30"/>
      <c r="T511" s="30"/>
      <c r="W511" s="32" t="str">
        <f>IF($A511="","",IF(OR($M511="Out of Scope",$M511="Canceled"),"Out of Scope",IF($M511="Blocked","Blocked",IF(AND($T511&lt;&gt;"Fixed – Retest Passed",OR(LEN(TRIM($O511))&gt;0,LEN(TRIM($P511))&gt;0)),IF(AND(OR($L511="Medium",$L511="Low"),SUMPRODUCT((Cards!$A$4:$A$1000&lt;&gt;"")*ISNUMBER(SEARCH($A511,Cards!$E$4:$E$1000))*(Cards!$F$4:$F$1000&lt;&gt;"Medium")*(Cards!$F$4:$F$1000&lt;&gt;"Low"))=0),"Conditionally Passed","Failed"),IF($M511="Done","Passed","Not Run")))))</f>
        <v/>
      </c>
      <c r="Y511" s="27" t="str" cm="1">
        <f t="array" ref="Y511">IF($A511="","",IF(TRIM($B511)="","-",IFERROR(_xlfn.TEXTJOIN(" / ",TRUE,_xlfn.UNIQUE(_xlfn._xlws.FILTER('Ownership Matrix'!$C$5:$C$200,('Ownership Matrix'!$A$5:$A$200=TRIM($B511))*('Ownership Matrix'!$C$5:$C$200&lt;&gt;"")))),"ไม่พบใน Ownership Matrix")))</f>
        <v/>
      </c>
      <c r="Z511" s="31" t="str">
        <f>IF(NOT(AND($A511&lt;&gt;"",$M511&lt;&gt;"Out of Scope",$M511&lt;&gt;"Canceled",$T511&lt;&gt;"Fixed – Retest Passed",OR(LEN(TRIM($O511))&gt;0,LEN(TRIM($P511))&gt;0))),"",IF(OR($W511="Failed",$R511="Urgent",$R511="High",$R511="ระบุ Severity + Impact"),IF(COUNTIFS(Dashboard!$B$105:$B$124,$O511,Dashboard!$I$105:$I$124,"CAB")&gt;0,"Accepted (CF)","Blocking"),"Deferrable"))</f>
        <v/>
      </c>
    </row>
    <row r="512" spans="7:26" x14ac:dyDescent="0.3">
      <c r="G512" s="27" t="str" cm="1">
        <f t="array" ref="G512">IF($A512="","",IFERROR(_xlfn.TEXTJOIN(CHAR(10)&amp;CHAR(10),TRUE,_xlfn._xlws.FILTER("•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"&amp;Cards!$L$4:$L$1000),(Cards!$A$4:$A$1000&lt;&gt;"")*ISNUMBER(SEARCH($A512,Cards!$E$4:$E$1000)))),"-"))</f>
        <v/>
      </c>
      <c r="Q512" s="30"/>
      <c r="R512" s="27" t="str">
        <f>IF(OR($A512="",LEN(TRIM($O512))=0),"",IF(OR($P512="",$Q512=""),"ระบุ Severity + Impact",IFERROR(INDEX({"Urgent","Urgent","High","High";"Urgent","High","High","Medium";"High","High","Medium","Medium";"Medium","Medium","Low","Low"},MATCH($P512,{"Critical","High","Medium","Low"},0),MATCH($Q512,{"Extensive","Significant","Moderate","Minor"},0)),"-")))</f>
        <v/>
      </c>
      <c r="S512" s="30"/>
      <c r="T512" s="30"/>
      <c r="W512" s="32" t="str">
        <f>IF($A512="","",IF(OR($M512="Out of Scope",$M512="Canceled"),"Out of Scope",IF($M512="Blocked","Blocked",IF(AND($T512&lt;&gt;"Fixed – Retest Passed",OR(LEN(TRIM($O512))&gt;0,LEN(TRIM($P512))&gt;0)),IF(AND(OR($L512="Medium",$L512="Low"),SUMPRODUCT((Cards!$A$4:$A$1000&lt;&gt;"")*ISNUMBER(SEARCH($A512,Cards!$E$4:$E$1000))*(Cards!$F$4:$F$1000&lt;&gt;"Medium")*(Cards!$F$4:$F$1000&lt;&gt;"Low"))=0),"Conditionally Passed","Failed"),IF($M512="Done","Passed","Not Run")))))</f>
        <v/>
      </c>
      <c r="Y512" s="27" t="str" cm="1">
        <f t="array" ref="Y512">IF($A512="","",IF(TRIM($B512)="","-",IFERROR(_xlfn.TEXTJOIN(" / ",TRUE,_xlfn.UNIQUE(_xlfn._xlws.FILTER('Ownership Matrix'!$C$5:$C$200,('Ownership Matrix'!$A$5:$A$200=TRIM($B512))*('Ownership Matrix'!$C$5:$C$200&lt;&gt;"")))),"ไม่พบใน Ownership Matrix")))</f>
        <v/>
      </c>
      <c r="Z512" s="31" t="str">
        <f>IF(NOT(AND($A512&lt;&gt;"",$M512&lt;&gt;"Out of Scope",$M512&lt;&gt;"Canceled",$T512&lt;&gt;"Fixed – Retest Passed",OR(LEN(TRIM($O512))&gt;0,LEN(TRIM($P512))&gt;0))),"",IF(OR($W512="Failed",$R512="Urgent",$R512="High",$R512="ระบุ Severity + Impact"),IF(COUNTIFS(Dashboard!$B$105:$B$124,$O512,Dashboard!$I$105:$I$124,"CAB")&gt;0,"Accepted (CF)","Blocking"),"Deferrable"))</f>
        <v/>
      </c>
    </row>
    <row r="513" spans="7:26" x14ac:dyDescent="0.3">
      <c r="G513" s="27" t="str" cm="1">
        <f t="array" ref="G513">IF($A513="","",IFERROR(_xlfn.TEXTJOIN(CHAR(10)&amp;CHAR(10),TRUE,_xlfn._xlws.FILTER("•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"&amp;Cards!$L$4:$L$1000),(Cards!$A$4:$A$1000&lt;&gt;"")*ISNUMBER(SEARCH($A513,Cards!$E$4:$E$1000)))),"-"))</f>
        <v/>
      </c>
      <c r="Q513" s="30"/>
      <c r="R513" s="27" t="str">
        <f>IF(OR($A513="",LEN(TRIM($O513))=0),"",IF(OR($P513="",$Q513=""),"ระบุ Severity + Impact",IFERROR(INDEX({"Urgent","Urgent","High","High";"Urgent","High","High","Medium";"High","High","Medium","Medium";"Medium","Medium","Low","Low"},MATCH($P513,{"Critical","High","Medium","Low"},0),MATCH($Q513,{"Extensive","Significant","Moderate","Minor"},0)),"-")))</f>
        <v/>
      </c>
      <c r="S513" s="30"/>
      <c r="T513" s="30"/>
      <c r="W513" s="32" t="str">
        <f>IF($A513="","",IF(OR($M513="Out of Scope",$M513="Canceled"),"Out of Scope",IF($M513="Blocked","Blocked",IF(AND($T513&lt;&gt;"Fixed – Retest Passed",OR(LEN(TRIM($O513))&gt;0,LEN(TRIM($P513))&gt;0)),IF(AND(OR($L513="Medium",$L513="Low"),SUMPRODUCT((Cards!$A$4:$A$1000&lt;&gt;"")*ISNUMBER(SEARCH($A513,Cards!$E$4:$E$1000))*(Cards!$F$4:$F$1000&lt;&gt;"Medium")*(Cards!$F$4:$F$1000&lt;&gt;"Low"))=0),"Conditionally Passed","Failed"),IF($M513="Done","Passed","Not Run")))))</f>
        <v/>
      </c>
      <c r="Y513" s="27" t="str" cm="1">
        <f t="array" ref="Y513">IF($A513="","",IF(TRIM($B513)="","-",IFERROR(_xlfn.TEXTJOIN(" / ",TRUE,_xlfn.UNIQUE(_xlfn._xlws.FILTER('Ownership Matrix'!$C$5:$C$200,('Ownership Matrix'!$A$5:$A$200=TRIM($B513))*('Ownership Matrix'!$C$5:$C$200&lt;&gt;"")))),"ไม่พบใน Ownership Matrix")))</f>
        <v/>
      </c>
      <c r="Z513" s="31" t="str">
        <f>IF(NOT(AND($A513&lt;&gt;"",$M513&lt;&gt;"Out of Scope",$M513&lt;&gt;"Canceled",$T513&lt;&gt;"Fixed – Retest Passed",OR(LEN(TRIM($O513))&gt;0,LEN(TRIM($P513))&gt;0))),"",IF(OR($W513="Failed",$R513="Urgent",$R513="High",$R513="ระบุ Severity + Impact"),IF(COUNTIFS(Dashboard!$B$105:$B$124,$O513,Dashboard!$I$105:$I$124,"CAB")&gt;0,"Accepted (CF)","Blocking"),"Deferrable"))</f>
        <v/>
      </c>
    </row>
    <row r="514" spans="7:26" x14ac:dyDescent="0.3">
      <c r="G514" s="27" t="str" cm="1">
        <f t="array" ref="G514">IF($A514="","",IFERROR(_xlfn.TEXTJOIN(CHAR(10)&amp;CHAR(10),TRUE,_xlfn._xlws.FILTER("•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"&amp;Cards!$L$4:$L$1000),(Cards!$A$4:$A$1000&lt;&gt;"")*ISNUMBER(SEARCH($A514,Cards!$E$4:$E$1000)))),"-"))</f>
        <v/>
      </c>
      <c r="Q514" s="30"/>
      <c r="R514" s="27" t="str">
        <f>IF(OR($A514="",LEN(TRIM($O514))=0),"",IF(OR($P514="",$Q514=""),"ระบุ Severity + Impact",IFERROR(INDEX({"Urgent","Urgent","High","High";"Urgent","High","High","Medium";"High","High","Medium","Medium";"Medium","Medium","Low","Low"},MATCH($P514,{"Critical","High","Medium","Low"},0),MATCH($Q514,{"Extensive","Significant","Moderate","Minor"},0)),"-")))</f>
        <v/>
      </c>
      <c r="S514" s="30"/>
      <c r="T514" s="30"/>
      <c r="W514" s="32" t="str">
        <f>IF($A514="","",IF(OR($M514="Out of Scope",$M514="Canceled"),"Out of Scope",IF($M514="Blocked","Blocked",IF(AND($T514&lt;&gt;"Fixed – Retest Passed",OR(LEN(TRIM($O514))&gt;0,LEN(TRIM($P514))&gt;0)),IF(AND(OR($L514="Medium",$L514="Low"),SUMPRODUCT((Cards!$A$4:$A$1000&lt;&gt;"")*ISNUMBER(SEARCH($A514,Cards!$E$4:$E$1000))*(Cards!$F$4:$F$1000&lt;&gt;"Medium")*(Cards!$F$4:$F$1000&lt;&gt;"Low"))=0),"Conditionally Passed","Failed"),IF($M514="Done","Passed","Not Run")))))</f>
        <v/>
      </c>
      <c r="Y514" s="27" t="str" cm="1">
        <f t="array" ref="Y514">IF($A514="","",IF(TRIM($B514)="","-",IFERROR(_xlfn.TEXTJOIN(" / ",TRUE,_xlfn.UNIQUE(_xlfn._xlws.FILTER('Ownership Matrix'!$C$5:$C$200,('Ownership Matrix'!$A$5:$A$200=TRIM($B514))*('Ownership Matrix'!$C$5:$C$200&lt;&gt;"")))),"ไม่พบใน Ownership Matrix")))</f>
        <v/>
      </c>
      <c r="Z514" s="31" t="str">
        <f>IF(NOT(AND($A514&lt;&gt;"",$M514&lt;&gt;"Out of Scope",$M514&lt;&gt;"Canceled",$T514&lt;&gt;"Fixed – Retest Passed",OR(LEN(TRIM($O514))&gt;0,LEN(TRIM($P514))&gt;0))),"",IF(OR($W514="Failed",$R514="Urgent",$R514="High",$R514="ระบุ Severity + Impact"),IF(COUNTIFS(Dashboard!$B$105:$B$124,$O514,Dashboard!$I$105:$I$124,"CAB")&gt;0,"Accepted (CF)","Blocking"),"Deferrable"))</f>
        <v/>
      </c>
    </row>
    <row r="515" spans="7:26" x14ac:dyDescent="0.3">
      <c r="G515" s="27" t="str" cm="1">
        <f t="array" ref="G515">IF($A515="","",IFERROR(_xlfn.TEXTJOIN(CHAR(10)&amp;CHAR(10),TRUE,_xlfn._xlws.FILTER("•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"&amp;Cards!$L$4:$L$1000),(Cards!$A$4:$A$1000&lt;&gt;"")*ISNUMBER(SEARCH($A515,Cards!$E$4:$E$1000)))),"-"))</f>
        <v/>
      </c>
      <c r="Q515" s="30"/>
      <c r="R515" s="27" t="str">
        <f>IF(OR($A515="",LEN(TRIM($O515))=0),"",IF(OR($P515="",$Q515=""),"ระบุ Severity + Impact",IFERROR(INDEX({"Urgent","Urgent","High","High";"Urgent","High","High","Medium";"High","High","Medium","Medium";"Medium","Medium","Low","Low"},MATCH($P515,{"Critical","High","Medium","Low"},0),MATCH($Q515,{"Extensive","Significant","Moderate","Minor"},0)),"-")))</f>
        <v/>
      </c>
      <c r="S515" s="30"/>
      <c r="T515" s="30"/>
      <c r="W515" s="32" t="str">
        <f>IF($A515="","",IF(OR($M515="Out of Scope",$M515="Canceled"),"Out of Scope",IF($M515="Blocked","Blocked",IF(AND($T515&lt;&gt;"Fixed – Retest Passed",OR(LEN(TRIM($O515))&gt;0,LEN(TRIM($P515))&gt;0)),IF(AND(OR($L515="Medium",$L515="Low"),SUMPRODUCT((Cards!$A$4:$A$1000&lt;&gt;"")*ISNUMBER(SEARCH($A515,Cards!$E$4:$E$1000))*(Cards!$F$4:$F$1000&lt;&gt;"Medium")*(Cards!$F$4:$F$1000&lt;&gt;"Low"))=0),"Conditionally Passed","Failed"),IF($M515="Done","Passed","Not Run")))))</f>
        <v/>
      </c>
      <c r="Y515" s="27" t="str" cm="1">
        <f t="array" ref="Y515">IF($A515="","",IF(TRIM($B515)="","-",IFERROR(_xlfn.TEXTJOIN(" / ",TRUE,_xlfn.UNIQUE(_xlfn._xlws.FILTER('Ownership Matrix'!$C$5:$C$200,('Ownership Matrix'!$A$5:$A$200=TRIM($B515))*('Ownership Matrix'!$C$5:$C$200&lt;&gt;"")))),"ไม่พบใน Ownership Matrix")))</f>
        <v/>
      </c>
      <c r="Z515" s="31" t="str">
        <f>IF(NOT(AND($A515&lt;&gt;"",$M515&lt;&gt;"Out of Scope",$M515&lt;&gt;"Canceled",$T515&lt;&gt;"Fixed – Retest Passed",OR(LEN(TRIM($O515))&gt;0,LEN(TRIM($P515))&gt;0))),"",IF(OR($W515="Failed",$R515="Urgent",$R515="High",$R515="ระบุ Severity + Impact"),IF(COUNTIFS(Dashboard!$B$105:$B$124,$O515,Dashboard!$I$105:$I$124,"CAB")&gt;0,"Accepted (CF)","Blocking"),"Deferrable"))</f>
        <v/>
      </c>
    </row>
    <row r="516" spans="7:26" x14ac:dyDescent="0.3">
      <c r="G516" s="27" t="str" cm="1">
        <f t="array" ref="G516">IF($A516="","",IFERROR(_xlfn.TEXTJOIN(CHAR(10)&amp;CHAR(10),TRUE,_xlfn._xlws.FILTER("•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"&amp;Cards!$L$4:$L$1000),(Cards!$A$4:$A$1000&lt;&gt;"")*ISNUMBER(SEARCH($A516,Cards!$E$4:$E$1000)))),"-"))</f>
        <v/>
      </c>
      <c r="Q516" s="30"/>
      <c r="R516" s="27" t="str">
        <f>IF(OR($A516="",LEN(TRIM($O516))=0),"",IF(OR($P516="",$Q516=""),"ระบุ Severity + Impact",IFERROR(INDEX({"Urgent","Urgent","High","High";"Urgent","High","High","Medium";"High","High","Medium","Medium";"Medium","Medium","Low","Low"},MATCH($P516,{"Critical","High","Medium","Low"},0),MATCH($Q516,{"Extensive","Significant","Moderate","Minor"},0)),"-")))</f>
        <v/>
      </c>
      <c r="S516" s="30"/>
      <c r="T516" s="30"/>
      <c r="W516" s="32" t="str">
        <f>IF($A516="","",IF(OR($M516="Out of Scope",$M516="Canceled"),"Out of Scope",IF($M516="Blocked","Blocked",IF(AND($T516&lt;&gt;"Fixed – Retest Passed",OR(LEN(TRIM($O516))&gt;0,LEN(TRIM($P516))&gt;0)),IF(AND(OR($L516="Medium",$L516="Low"),SUMPRODUCT((Cards!$A$4:$A$1000&lt;&gt;"")*ISNUMBER(SEARCH($A516,Cards!$E$4:$E$1000))*(Cards!$F$4:$F$1000&lt;&gt;"Medium")*(Cards!$F$4:$F$1000&lt;&gt;"Low"))=0),"Conditionally Passed","Failed"),IF($M516="Done","Passed","Not Run")))))</f>
        <v/>
      </c>
      <c r="Y516" s="27" t="str" cm="1">
        <f t="array" ref="Y516">IF($A516="","",IF(TRIM($B516)="","-",IFERROR(_xlfn.TEXTJOIN(" / ",TRUE,_xlfn.UNIQUE(_xlfn._xlws.FILTER('Ownership Matrix'!$C$5:$C$200,('Ownership Matrix'!$A$5:$A$200=TRIM($B516))*('Ownership Matrix'!$C$5:$C$200&lt;&gt;"")))),"ไม่พบใน Ownership Matrix")))</f>
        <v/>
      </c>
      <c r="Z516" s="31" t="str">
        <f>IF(NOT(AND($A516&lt;&gt;"",$M516&lt;&gt;"Out of Scope",$M516&lt;&gt;"Canceled",$T516&lt;&gt;"Fixed – Retest Passed",OR(LEN(TRIM($O516))&gt;0,LEN(TRIM($P516))&gt;0))),"",IF(OR($W516="Failed",$R516="Urgent",$R516="High",$R516="ระบุ Severity + Impact"),IF(COUNTIFS(Dashboard!$B$105:$B$124,$O516,Dashboard!$I$105:$I$124,"CAB")&gt;0,"Accepted (CF)","Blocking"),"Deferrable"))</f>
        <v/>
      </c>
    </row>
    <row r="517" spans="7:26" x14ac:dyDescent="0.3">
      <c r="G517" s="27" t="str" cm="1">
        <f t="array" ref="G517">IF($A517="","",IFERROR(_xlfn.TEXTJOIN(CHAR(10)&amp;CHAR(10),TRUE,_xlfn._xlws.FILTER("•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"&amp;Cards!$L$4:$L$1000),(Cards!$A$4:$A$1000&lt;&gt;"")*ISNUMBER(SEARCH($A517,Cards!$E$4:$E$1000)))),"-"))</f>
        <v/>
      </c>
      <c r="Q517" s="30"/>
      <c r="R517" s="27" t="str">
        <f>IF(OR($A517="",LEN(TRIM($O517))=0),"",IF(OR($P517="",$Q517=""),"ระบุ Severity + Impact",IFERROR(INDEX({"Urgent","Urgent","High","High";"Urgent","High","High","Medium";"High","High","Medium","Medium";"Medium","Medium","Low","Low"},MATCH($P517,{"Critical","High","Medium","Low"},0),MATCH($Q517,{"Extensive","Significant","Moderate","Minor"},0)),"-")))</f>
        <v/>
      </c>
      <c r="S517" s="30"/>
      <c r="T517" s="30"/>
      <c r="W517" s="32" t="str">
        <f>IF($A517="","",IF(OR($M517="Out of Scope",$M517="Canceled"),"Out of Scope",IF($M517="Blocked","Blocked",IF(AND($T517&lt;&gt;"Fixed – Retest Passed",OR(LEN(TRIM($O517))&gt;0,LEN(TRIM($P517))&gt;0)),IF(AND(OR($L517="Medium",$L517="Low"),SUMPRODUCT((Cards!$A$4:$A$1000&lt;&gt;"")*ISNUMBER(SEARCH($A517,Cards!$E$4:$E$1000))*(Cards!$F$4:$F$1000&lt;&gt;"Medium")*(Cards!$F$4:$F$1000&lt;&gt;"Low"))=0),"Conditionally Passed","Failed"),IF($M517="Done","Passed","Not Run")))))</f>
        <v/>
      </c>
      <c r="Y517" s="27" t="str" cm="1">
        <f t="array" ref="Y517">IF($A517="","",IF(TRIM($B517)="","-",IFERROR(_xlfn.TEXTJOIN(" / ",TRUE,_xlfn.UNIQUE(_xlfn._xlws.FILTER('Ownership Matrix'!$C$5:$C$200,('Ownership Matrix'!$A$5:$A$200=TRIM($B517))*('Ownership Matrix'!$C$5:$C$200&lt;&gt;"")))),"ไม่พบใน Ownership Matrix")))</f>
        <v/>
      </c>
      <c r="Z517" s="31" t="str">
        <f>IF(NOT(AND($A517&lt;&gt;"",$M517&lt;&gt;"Out of Scope",$M517&lt;&gt;"Canceled",$T517&lt;&gt;"Fixed – Retest Passed",OR(LEN(TRIM($O517))&gt;0,LEN(TRIM($P517))&gt;0))),"",IF(OR($W517="Failed",$R517="Urgent",$R517="High",$R517="ระบุ Severity + Impact"),IF(COUNTIFS(Dashboard!$B$105:$B$124,$O517,Dashboard!$I$105:$I$124,"CAB")&gt;0,"Accepted (CF)","Blocking"),"Deferrable"))</f>
        <v/>
      </c>
    </row>
    <row r="518" spans="7:26" x14ac:dyDescent="0.3">
      <c r="G518" s="27" t="str" cm="1">
        <f t="array" ref="G518">IF($A518="","",IFERROR(_xlfn.TEXTJOIN(CHAR(10)&amp;CHAR(10),TRUE,_xlfn._xlws.FILTER("•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"&amp;Cards!$L$4:$L$1000),(Cards!$A$4:$A$1000&lt;&gt;"")*ISNUMBER(SEARCH($A518,Cards!$E$4:$E$1000)))),"-"))</f>
        <v/>
      </c>
      <c r="Q518" s="30"/>
      <c r="R518" s="27" t="str">
        <f>IF(OR($A518="",LEN(TRIM($O518))=0),"",IF(OR($P518="",$Q518=""),"ระบุ Severity + Impact",IFERROR(INDEX({"Urgent","Urgent","High","High";"Urgent","High","High","Medium";"High","High","Medium","Medium";"Medium","Medium","Low","Low"},MATCH($P518,{"Critical","High","Medium","Low"},0),MATCH($Q518,{"Extensive","Significant","Moderate","Minor"},0)),"-")))</f>
        <v/>
      </c>
      <c r="S518" s="30"/>
      <c r="T518" s="30"/>
      <c r="W518" s="32" t="str">
        <f>IF($A518="","",IF(OR($M518="Out of Scope",$M518="Canceled"),"Out of Scope",IF($M518="Blocked","Blocked",IF(AND($T518&lt;&gt;"Fixed – Retest Passed",OR(LEN(TRIM($O518))&gt;0,LEN(TRIM($P518))&gt;0)),IF(AND(OR($L518="Medium",$L518="Low"),SUMPRODUCT((Cards!$A$4:$A$1000&lt;&gt;"")*ISNUMBER(SEARCH($A518,Cards!$E$4:$E$1000))*(Cards!$F$4:$F$1000&lt;&gt;"Medium")*(Cards!$F$4:$F$1000&lt;&gt;"Low"))=0),"Conditionally Passed","Failed"),IF($M518="Done","Passed","Not Run")))))</f>
        <v/>
      </c>
      <c r="Y518" s="27" t="str" cm="1">
        <f t="array" ref="Y518">IF($A518="","",IF(TRIM($B518)="","-",IFERROR(_xlfn.TEXTJOIN(" / ",TRUE,_xlfn.UNIQUE(_xlfn._xlws.FILTER('Ownership Matrix'!$C$5:$C$200,('Ownership Matrix'!$A$5:$A$200=TRIM($B518))*('Ownership Matrix'!$C$5:$C$200&lt;&gt;"")))),"ไม่พบใน Ownership Matrix")))</f>
        <v/>
      </c>
      <c r="Z518" s="31" t="str">
        <f>IF(NOT(AND($A518&lt;&gt;"",$M518&lt;&gt;"Out of Scope",$M518&lt;&gt;"Canceled",$T518&lt;&gt;"Fixed – Retest Passed",OR(LEN(TRIM($O518))&gt;0,LEN(TRIM($P518))&gt;0))),"",IF(OR($W518="Failed",$R518="Urgent",$R518="High",$R518="ระบุ Severity + Impact"),IF(COUNTIFS(Dashboard!$B$105:$B$124,$O518,Dashboard!$I$105:$I$124,"CAB")&gt;0,"Accepted (CF)","Blocking"),"Deferrable"))</f>
        <v/>
      </c>
    </row>
    <row r="519" spans="7:26" x14ac:dyDescent="0.3">
      <c r="G519" s="27" t="str" cm="1">
        <f t="array" ref="G519">IF($A519="","",IFERROR(_xlfn.TEXTJOIN(CHAR(10)&amp;CHAR(10),TRUE,_xlfn._xlws.FILTER("•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"&amp;Cards!$L$4:$L$1000),(Cards!$A$4:$A$1000&lt;&gt;"")*ISNUMBER(SEARCH($A519,Cards!$E$4:$E$1000)))),"-"))</f>
        <v/>
      </c>
      <c r="Q519" s="30"/>
      <c r="R519" s="27" t="str">
        <f>IF(OR($A519="",LEN(TRIM($O519))=0),"",IF(OR($P519="",$Q519=""),"ระบุ Severity + Impact",IFERROR(INDEX({"Urgent","Urgent","High","High";"Urgent","High","High","Medium";"High","High","Medium","Medium";"Medium","Medium","Low","Low"},MATCH($P519,{"Critical","High","Medium","Low"},0),MATCH($Q519,{"Extensive","Significant","Moderate","Minor"},0)),"-")))</f>
        <v/>
      </c>
      <c r="S519" s="30"/>
      <c r="T519" s="30"/>
      <c r="W519" s="32" t="str">
        <f>IF($A519="","",IF(OR($M519="Out of Scope",$M519="Canceled"),"Out of Scope",IF($M519="Blocked","Blocked",IF(AND($T519&lt;&gt;"Fixed – Retest Passed",OR(LEN(TRIM($O519))&gt;0,LEN(TRIM($P519))&gt;0)),IF(AND(OR($L519="Medium",$L519="Low"),SUMPRODUCT((Cards!$A$4:$A$1000&lt;&gt;"")*ISNUMBER(SEARCH($A519,Cards!$E$4:$E$1000))*(Cards!$F$4:$F$1000&lt;&gt;"Medium")*(Cards!$F$4:$F$1000&lt;&gt;"Low"))=0),"Conditionally Passed","Failed"),IF($M519="Done","Passed","Not Run")))))</f>
        <v/>
      </c>
      <c r="Y519" s="27" t="str" cm="1">
        <f t="array" ref="Y519">IF($A519="","",IF(TRIM($B519)="","-",IFERROR(_xlfn.TEXTJOIN(" / ",TRUE,_xlfn.UNIQUE(_xlfn._xlws.FILTER('Ownership Matrix'!$C$5:$C$200,('Ownership Matrix'!$A$5:$A$200=TRIM($B519))*('Ownership Matrix'!$C$5:$C$200&lt;&gt;"")))),"ไม่พบใน Ownership Matrix")))</f>
        <v/>
      </c>
      <c r="Z519" s="31" t="str">
        <f>IF(NOT(AND($A519&lt;&gt;"",$M519&lt;&gt;"Out of Scope",$M519&lt;&gt;"Canceled",$T519&lt;&gt;"Fixed – Retest Passed",OR(LEN(TRIM($O519))&gt;0,LEN(TRIM($P519))&gt;0))),"",IF(OR($W519="Failed",$R519="Urgent",$R519="High",$R519="ระบุ Severity + Impact"),IF(COUNTIFS(Dashboard!$B$105:$B$124,$O519,Dashboard!$I$105:$I$124,"CAB")&gt;0,"Accepted (CF)","Blocking"),"Deferrable"))</f>
        <v/>
      </c>
    </row>
    <row r="520" spans="7:26" x14ac:dyDescent="0.3">
      <c r="G520" s="27" t="str" cm="1">
        <f t="array" ref="G520">IF($A520="","",IFERROR(_xlfn.TEXTJOIN(CHAR(10)&amp;CHAR(10),TRUE,_xlfn._xlws.FILTER("•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"&amp;Cards!$L$4:$L$1000),(Cards!$A$4:$A$1000&lt;&gt;"")*ISNUMBER(SEARCH($A520,Cards!$E$4:$E$1000)))),"-"))</f>
        <v/>
      </c>
      <c r="Q520" s="30"/>
      <c r="R520" s="27" t="str">
        <f>IF(OR($A520="",LEN(TRIM($O520))=0),"",IF(OR($P520="",$Q520=""),"ระบุ Severity + Impact",IFERROR(INDEX({"Urgent","Urgent","High","High";"Urgent","High","High","Medium";"High","High","Medium","Medium";"Medium","Medium","Low","Low"},MATCH($P520,{"Critical","High","Medium","Low"},0),MATCH($Q520,{"Extensive","Significant","Moderate","Minor"},0)),"-")))</f>
        <v/>
      </c>
      <c r="S520" s="30"/>
      <c r="T520" s="30"/>
      <c r="W520" s="32" t="str">
        <f>IF($A520="","",IF(OR($M520="Out of Scope",$M520="Canceled"),"Out of Scope",IF($M520="Blocked","Blocked",IF(AND($T520&lt;&gt;"Fixed – Retest Passed",OR(LEN(TRIM($O520))&gt;0,LEN(TRIM($P520))&gt;0)),IF(AND(OR($L520="Medium",$L520="Low"),SUMPRODUCT((Cards!$A$4:$A$1000&lt;&gt;"")*ISNUMBER(SEARCH($A520,Cards!$E$4:$E$1000))*(Cards!$F$4:$F$1000&lt;&gt;"Medium")*(Cards!$F$4:$F$1000&lt;&gt;"Low"))=0),"Conditionally Passed","Failed"),IF($M520="Done","Passed","Not Run")))))</f>
        <v/>
      </c>
      <c r="Y520" s="27" t="str" cm="1">
        <f t="array" ref="Y520">IF($A520="","",IF(TRIM($B520)="","-",IFERROR(_xlfn.TEXTJOIN(" / ",TRUE,_xlfn.UNIQUE(_xlfn._xlws.FILTER('Ownership Matrix'!$C$5:$C$200,('Ownership Matrix'!$A$5:$A$200=TRIM($B520))*('Ownership Matrix'!$C$5:$C$200&lt;&gt;"")))),"ไม่พบใน Ownership Matrix")))</f>
        <v/>
      </c>
      <c r="Z520" s="31" t="str">
        <f>IF(NOT(AND($A520&lt;&gt;"",$M520&lt;&gt;"Out of Scope",$M520&lt;&gt;"Canceled",$T520&lt;&gt;"Fixed – Retest Passed",OR(LEN(TRIM($O520))&gt;0,LEN(TRIM($P520))&gt;0))),"",IF(OR($W520="Failed",$R520="Urgent",$R520="High",$R520="ระบุ Severity + Impact"),IF(COUNTIFS(Dashboard!$B$105:$B$124,$O520,Dashboard!$I$105:$I$124,"CAB")&gt;0,"Accepted (CF)","Blocking"),"Deferrable"))</f>
        <v/>
      </c>
    </row>
    <row r="521" spans="7:26" x14ac:dyDescent="0.3">
      <c r="G521" s="27" t="str" cm="1">
        <f t="array" ref="G521">IF($A521="","",IFERROR(_xlfn.TEXTJOIN(CHAR(10)&amp;CHAR(10),TRUE,_xlfn._xlws.FILTER("•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"&amp;Cards!$L$4:$L$1000),(Cards!$A$4:$A$1000&lt;&gt;"")*ISNUMBER(SEARCH($A521,Cards!$E$4:$E$1000)))),"-"))</f>
        <v/>
      </c>
      <c r="Q521" s="30"/>
      <c r="R521" s="27" t="str">
        <f>IF(OR($A521="",LEN(TRIM($O521))=0),"",IF(OR($P521="",$Q521=""),"ระบุ Severity + Impact",IFERROR(INDEX({"Urgent","Urgent","High","High";"Urgent","High","High","Medium";"High","High","Medium","Medium";"Medium","Medium","Low","Low"},MATCH($P521,{"Critical","High","Medium","Low"},0),MATCH($Q521,{"Extensive","Significant","Moderate","Minor"},0)),"-")))</f>
        <v/>
      </c>
      <c r="S521" s="30"/>
      <c r="T521" s="30"/>
      <c r="W521" s="32" t="str">
        <f>IF($A521="","",IF(OR($M521="Out of Scope",$M521="Canceled"),"Out of Scope",IF($M521="Blocked","Blocked",IF(AND($T521&lt;&gt;"Fixed – Retest Passed",OR(LEN(TRIM($O521))&gt;0,LEN(TRIM($P521))&gt;0)),IF(AND(OR($L521="Medium",$L521="Low"),SUMPRODUCT((Cards!$A$4:$A$1000&lt;&gt;"")*ISNUMBER(SEARCH($A521,Cards!$E$4:$E$1000))*(Cards!$F$4:$F$1000&lt;&gt;"Medium")*(Cards!$F$4:$F$1000&lt;&gt;"Low"))=0),"Conditionally Passed","Failed"),IF($M521="Done","Passed","Not Run")))))</f>
        <v/>
      </c>
      <c r="Y521" s="27" t="str" cm="1">
        <f t="array" ref="Y521">IF($A521="","",IF(TRIM($B521)="","-",IFERROR(_xlfn.TEXTJOIN(" / ",TRUE,_xlfn.UNIQUE(_xlfn._xlws.FILTER('Ownership Matrix'!$C$5:$C$200,('Ownership Matrix'!$A$5:$A$200=TRIM($B521))*('Ownership Matrix'!$C$5:$C$200&lt;&gt;"")))),"ไม่พบใน Ownership Matrix")))</f>
        <v/>
      </c>
      <c r="Z521" s="31" t="str">
        <f>IF(NOT(AND($A521&lt;&gt;"",$M521&lt;&gt;"Out of Scope",$M521&lt;&gt;"Canceled",$T521&lt;&gt;"Fixed – Retest Passed",OR(LEN(TRIM($O521))&gt;0,LEN(TRIM($P521))&gt;0))),"",IF(OR($W521="Failed",$R521="Urgent",$R521="High",$R521="ระบุ Severity + Impact"),IF(COUNTIFS(Dashboard!$B$105:$B$124,$O521,Dashboard!$I$105:$I$124,"CAB")&gt;0,"Accepted (CF)","Blocking"),"Deferrable"))</f>
        <v/>
      </c>
    </row>
    <row r="522" spans="7:26" x14ac:dyDescent="0.3">
      <c r="G522" s="27" t="str" cm="1">
        <f t="array" ref="G522">IF($A522="","",IFERROR(_xlfn.TEXTJOIN(CHAR(10)&amp;CHAR(10),TRUE,_xlfn._xlws.FILTER("•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"&amp;Cards!$L$4:$L$1000),(Cards!$A$4:$A$1000&lt;&gt;"")*ISNUMBER(SEARCH($A522,Cards!$E$4:$E$1000)))),"-"))</f>
        <v/>
      </c>
      <c r="Q522" s="30"/>
      <c r="R522" s="27" t="str">
        <f>IF(OR($A522="",LEN(TRIM($O522))=0),"",IF(OR($P522="",$Q522=""),"ระบุ Severity + Impact",IFERROR(INDEX({"Urgent","Urgent","High","High";"Urgent","High","High","Medium";"High","High","Medium","Medium";"Medium","Medium","Low","Low"},MATCH($P522,{"Critical","High","Medium","Low"},0),MATCH($Q522,{"Extensive","Significant","Moderate","Minor"},0)),"-")))</f>
        <v/>
      </c>
      <c r="S522" s="30"/>
      <c r="T522" s="30"/>
      <c r="W522" s="32" t="str">
        <f>IF($A522="","",IF(OR($M522="Out of Scope",$M522="Canceled"),"Out of Scope",IF($M522="Blocked","Blocked",IF(AND($T522&lt;&gt;"Fixed – Retest Passed",OR(LEN(TRIM($O522))&gt;0,LEN(TRIM($P522))&gt;0)),IF(AND(OR($L522="Medium",$L522="Low"),SUMPRODUCT((Cards!$A$4:$A$1000&lt;&gt;"")*ISNUMBER(SEARCH($A522,Cards!$E$4:$E$1000))*(Cards!$F$4:$F$1000&lt;&gt;"Medium")*(Cards!$F$4:$F$1000&lt;&gt;"Low"))=0),"Conditionally Passed","Failed"),IF($M522="Done","Passed","Not Run")))))</f>
        <v/>
      </c>
      <c r="Y522" s="27" t="str" cm="1">
        <f t="array" ref="Y522">IF($A522="","",IF(TRIM($B522)="","-",IFERROR(_xlfn.TEXTJOIN(" / ",TRUE,_xlfn.UNIQUE(_xlfn._xlws.FILTER('Ownership Matrix'!$C$5:$C$200,('Ownership Matrix'!$A$5:$A$200=TRIM($B522))*('Ownership Matrix'!$C$5:$C$200&lt;&gt;"")))),"ไม่พบใน Ownership Matrix")))</f>
        <v/>
      </c>
      <c r="Z522" s="31" t="str">
        <f>IF(NOT(AND($A522&lt;&gt;"",$M522&lt;&gt;"Out of Scope",$M522&lt;&gt;"Canceled",$T522&lt;&gt;"Fixed – Retest Passed",OR(LEN(TRIM($O522))&gt;0,LEN(TRIM($P522))&gt;0))),"",IF(OR($W522="Failed",$R522="Urgent",$R522="High",$R522="ระบุ Severity + Impact"),IF(COUNTIFS(Dashboard!$B$105:$B$124,$O522,Dashboard!$I$105:$I$124,"CAB")&gt;0,"Accepted (CF)","Blocking"),"Deferrable"))</f>
        <v/>
      </c>
    </row>
    <row r="523" spans="7:26" x14ac:dyDescent="0.3">
      <c r="G523" s="27" t="str" cm="1">
        <f t="array" ref="G523">IF($A523="","",IFERROR(_xlfn.TEXTJOIN(CHAR(10)&amp;CHAR(10),TRUE,_xlfn._xlws.FILTER("•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"&amp;Cards!$L$4:$L$1000),(Cards!$A$4:$A$1000&lt;&gt;"")*ISNUMBER(SEARCH($A523,Cards!$E$4:$E$1000)))),"-"))</f>
        <v/>
      </c>
      <c r="Q523" s="30"/>
      <c r="R523" s="27" t="str">
        <f>IF(OR($A523="",LEN(TRIM($O523))=0),"",IF(OR($P523="",$Q523=""),"ระบุ Severity + Impact",IFERROR(INDEX({"Urgent","Urgent","High","High";"Urgent","High","High","Medium";"High","High","Medium","Medium";"Medium","Medium","Low","Low"},MATCH($P523,{"Critical","High","Medium","Low"},0),MATCH($Q523,{"Extensive","Significant","Moderate","Minor"},0)),"-")))</f>
        <v/>
      </c>
      <c r="S523" s="30"/>
      <c r="T523" s="30"/>
      <c r="W523" s="32" t="str">
        <f>IF($A523="","",IF(OR($M523="Out of Scope",$M523="Canceled"),"Out of Scope",IF($M523="Blocked","Blocked",IF(AND($T523&lt;&gt;"Fixed – Retest Passed",OR(LEN(TRIM($O523))&gt;0,LEN(TRIM($P523))&gt;0)),IF(AND(OR($L523="Medium",$L523="Low"),SUMPRODUCT((Cards!$A$4:$A$1000&lt;&gt;"")*ISNUMBER(SEARCH($A523,Cards!$E$4:$E$1000))*(Cards!$F$4:$F$1000&lt;&gt;"Medium")*(Cards!$F$4:$F$1000&lt;&gt;"Low"))=0),"Conditionally Passed","Failed"),IF($M523="Done","Passed","Not Run")))))</f>
        <v/>
      </c>
      <c r="Y523" s="27" t="str" cm="1">
        <f t="array" ref="Y523">IF($A523="","",IF(TRIM($B523)="","-",IFERROR(_xlfn.TEXTJOIN(" / ",TRUE,_xlfn.UNIQUE(_xlfn._xlws.FILTER('Ownership Matrix'!$C$5:$C$200,('Ownership Matrix'!$A$5:$A$200=TRIM($B523))*('Ownership Matrix'!$C$5:$C$200&lt;&gt;"")))),"ไม่พบใน Ownership Matrix")))</f>
        <v/>
      </c>
      <c r="Z523" s="31" t="str">
        <f>IF(NOT(AND($A523&lt;&gt;"",$M523&lt;&gt;"Out of Scope",$M523&lt;&gt;"Canceled",$T523&lt;&gt;"Fixed – Retest Passed",OR(LEN(TRIM($O523))&gt;0,LEN(TRIM($P523))&gt;0))),"",IF(OR($W523="Failed",$R523="Urgent",$R523="High",$R523="ระบุ Severity + Impact"),IF(COUNTIFS(Dashboard!$B$105:$B$124,$O523,Dashboard!$I$105:$I$124,"CAB")&gt;0,"Accepted (CF)","Blocking"),"Deferrable"))</f>
        <v/>
      </c>
    </row>
    <row r="524" spans="7:26" x14ac:dyDescent="0.3">
      <c r="G524" s="27" t="str" cm="1">
        <f t="array" ref="G524">IF($A524="","",IFERROR(_xlfn.TEXTJOIN(CHAR(10)&amp;CHAR(10),TRUE,_xlfn._xlws.FILTER("•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"&amp;Cards!$L$4:$L$1000),(Cards!$A$4:$A$1000&lt;&gt;"")*ISNUMBER(SEARCH($A524,Cards!$E$4:$E$1000)))),"-"))</f>
        <v/>
      </c>
      <c r="Q524" s="30"/>
      <c r="R524" s="27" t="str">
        <f>IF(OR($A524="",LEN(TRIM($O524))=0),"",IF(OR($P524="",$Q524=""),"ระบุ Severity + Impact",IFERROR(INDEX({"Urgent","Urgent","High","High";"Urgent","High","High","Medium";"High","High","Medium","Medium";"Medium","Medium","Low","Low"},MATCH($P524,{"Critical","High","Medium","Low"},0),MATCH($Q524,{"Extensive","Significant","Moderate","Minor"},0)),"-")))</f>
        <v/>
      </c>
      <c r="S524" s="30"/>
      <c r="T524" s="30"/>
      <c r="W524" s="32" t="str">
        <f>IF($A524="","",IF(OR($M524="Out of Scope",$M524="Canceled"),"Out of Scope",IF($M524="Blocked","Blocked",IF(AND($T524&lt;&gt;"Fixed – Retest Passed",OR(LEN(TRIM($O524))&gt;0,LEN(TRIM($P524))&gt;0)),IF(AND(OR($L524="Medium",$L524="Low"),SUMPRODUCT((Cards!$A$4:$A$1000&lt;&gt;"")*ISNUMBER(SEARCH($A524,Cards!$E$4:$E$1000))*(Cards!$F$4:$F$1000&lt;&gt;"Medium")*(Cards!$F$4:$F$1000&lt;&gt;"Low"))=0),"Conditionally Passed","Failed"),IF($M524="Done","Passed","Not Run")))))</f>
        <v/>
      </c>
      <c r="Y524" s="27" t="str" cm="1">
        <f t="array" ref="Y524">IF($A524="","",IF(TRIM($B524)="","-",IFERROR(_xlfn.TEXTJOIN(" / ",TRUE,_xlfn.UNIQUE(_xlfn._xlws.FILTER('Ownership Matrix'!$C$5:$C$200,('Ownership Matrix'!$A$5:$A$200=TRIM($B524))*('Ownership Matrix'!$C$5:$C$200&lt;&gt;"")))),"ไม่พบใน Ownership Matrix")))</f>
        <v/>
      </c>
      <c r="Z524" s="31" t="str">
        <f>IF(NOT(AND($A524&lt;&gt;"",$M524&lt;&gt;"Out of Scope",$M524&lt;&gt;"Canceled",$T524&lt;&gt;"Fixed – Retest Passed",OR(LEN(TRIM($O524))&gt;0,LEN(TRIM($P524))&gt;0))),"",IF(OR($W524="Failed",$R524="Urgent",$R524="High",$R524="ระบุ Severity + Impact"),IF(COUNTIFS(Dashboard!$B$105:$B$124,$O524,Dashboard!$I$105:$I$124,"CAB")&gt;0,"Accepted (CF)","Blocking"),"Deferrable"))</f>
        <v/>
      </c>
    </row>
    <row r="525" spans="7:26" x14ac:dyDescent="0.3">
      <c r="G525" s="27" t="str" cm="1">
        <f t="array" ref="G525">IF($A525="","",IFERROR(_xlfn.TEXTJOIN(CHAR(10)&amp;CHAR(10),TRUE,_xlfn._xlws.FILTER("•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"&amp;Cards!$L$4:$L$1000),(Cards!$A$4:$A$1000&lt;&gt;"")*ISNUMBER(SEARCH($A525,Cards!$E$4:$E$1000)))),"-"))</f>
        <v/>
      </c>
      <c r="Q525" s="30"/>
      <c r="R525" s="27" t="str">
        <f>IF(OR($A525="",LEN(TRIM($O525))=0),"",IF(OR($P525="",$Q525=""),"ระบุ Severity + Impact",IFERROR(INDEX({"Urgent","Urgent","High","High";"Urgent","High","High","Medium";"High","High","Medium","Medium";"Medium","Medium","Low","Low"},MATCH($P525,{"Critical","High","Medium","Low"},0),MATCH($Q525,{"Extensive","Significant","Moderate","Minor"},0)),"-")))</f>
        <v/>
      </c>
      <c r="S525" s="30"/>
      <c r="T525" s="30"/>
      <c r="W525" s="32" t="str">
        <f>IF($A525="","",IF(OR($M525="Out of Scope",$M525="Canceled"),"Out of Scope",IF($M525="Blocked","Blocked",IF(AND($T525&lt;&gt;"Fixed – Retest Passed",OR(LEN(TRIM($O525))&gt;0,LEN(TRIM($P525))&gt;0)),IF(AND(OR($L525="Medium",$L525="Low"),SUMPRODUCT((Cards!$A$4:$A$1000&lt;&gt;"")*ISNUMBER(SEARCH($A525,Cards!$E$4:$E$1000))*(Cards!$F$4:$F$1000&lt;&gt;"Medium")*(Cards!$F$4:$F$1000&lt;&gt;"Low"))=0),"Conditionally Passed","Failed"),IF($M525="Done","Passed","Not Run")))))</f>
        <v/>
      </c>
      <c r="Y525" s="27" t="str" cm="1">
        <f t="array" ref="Y525">IF($A525="","",IF(TRIM($B525)="","-",IFERROR(_xlfn.TEXTJOIN(" / ",TRUE,_xlfn.UNIQUE(_xlfn._xlws.FILTER('Ownership Matrix'!$C$5:$C$200,('Ownership Matrix'!$A$5:$A$200=TRIM($B525))*('Ownership Matrix'!$C$5:$C$200&lt;&gt;"")))),"ไม่พบใน Ownership Matrix")))</f>
        <v/>
      </c>
      <c r="Z525" s="31" t="str">
        <f>IF(NOT(AND($A525&lt;&gt;"",$M525&lt;&gt;"Out of Scope",$M525&lt;&gt;"Canceled",$T525&lt;&gt;"Fixed – Retest Passed",OR(LEN(TRIM($O525))&gt;0,LEN(TRIM($P525))&gt;0))),"",IF(OR($W525="Failed",$R525="Urgent",$R525="High",$R525="ระบุ Severity + Impact"),IF(COUNTIFS(Dashboard!$B$105:$B$124,$O525,Dashboard!$I$105:$I$124,"CAB")&gt;0,"Accepted (CF)","Blocking"),"Deferrable"))</f>
        <v/>
      </c>
    </row>
    <row r="526" spans="7:26" x14ac:dyDescent="0.3">
      <c r="G526" s="27" t="str" cm="1">
        <f t="array" ref="G526">IF($A526="","",IFERROR(_xlfn.TEXTJOIN(CHAR(10)&amp;CHAR(10),TRUE,_xlfn._xlws.FILTER("•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"&amp;Cards!$L$4:$L$1000),(Cards!$A$4:$A$1000&lt;&gt;"")*ISNUMBER(SEARCH($A526,Cards!$E$4:$E$1000)))),"-"))</f>
        <v/>
      </c>
      <c r="Q526" s="30"/>
      <c r="R526" s="27" t="str">
        <f>IF(OR($A526="",LEN(TRIM($O526))=0),"",IF(OR($P526="",$Q526=""),"ระบุ Severity + Impact",IFERROR(INDEX({"Urgent","Urgent","High","High";"Urgent","High","High","Medium";"High","High","Medium","Medium";"Medium","Medium","Low","Low"},MATCH($P526,{"Critical","High","Medium","Low"},0),MATCH($Q526,{"Extensive","Significant","Moderate","Minor"},0)),"-")))</f>
        <v/>
      </c>
      <c r="S526" s="30"/>
      <c r="T526" s="30"/>
      <c r="W526" s="32" t="str">
        <f>IF($A526="","",IF(OR($M526="Out of Scope",$M526="Canceled"),"Out of Scope",IF($M526="Blocked","Blocked",IF(AND($T526&lt;&gt;"Fixed – Retest Passed",OR(LEN(TRIM($O526))&gt;0,LEN(TRIM($P526))&gt;0)),IF(AND(OR($L526="Medium",$L526="Low"),SUMPRODUCT((Cards!$A$4:$A$1000&lt;&gt;"")*ISNUMBER(SEARCH($A526,Cards!$E$4:$E$1000))*(Cards!$F$4:$F$1000&lt;&gt;"Medium")*(Cards!$F$4:$F$1000&lt;&gt;"Low"))=0),"Conditionally Passed","Failed"),IF($M526="Done","Passed","Not Run")))))</f>
        <v/>
      </c>
      <c r="Y526" s="27" t="str" cm="1">
        <f t="array" ref="Y526">IF($A526="","",IF(TRIM($B526)="","-",IFERROR(_xlfn.TEXTJOIN(" / ",TRUE,_xlfn.UNIQUE(_xlfn._xlws.FILTER('Ownership Matrix'!$C$5:$C$200,('Ownership Matrix'!$A$5:$A$200=TRIM($B526))*('Ownership Matrix'!$C$5:$C$200&lt;&gt;"")))),"ไม่พบใน Ownership Matrix")))</f>
        <v/>
      </c>
      <c r="Z526" s="31" t="str">
        <f>IF(NOT(AND($A526&lt;&gt;"",$M526&lt;&gt;"Out of Scope",$M526&lt;&gt;"Canceled",$T526&lt;&gt;"Fixed – Retest Passed",OR(LEN(TRIM($O526))&gt;0,LEN(TRIM($P526))&gt;0))),"",IF(OR($W526="Failed",$R526="Urgent",$R526="High",$R526="ระบุ Severity + Impact"),IF(COUNTIFS(Dashboard!$B$105:$B$124,$O526,Dashboard!$I$105:$I$124,"CAB")&gt;0,"Accepted (CF)","Blocking"),"Deferrable"))</f>
        <v/>
      </c>
    </row>
    <row r="527" spans="7:26" x14ac:dyDescent="0.3">
      <c r="G527" s="27" t="str" cm="1">
        <f t="array" ref="G527">IF($A527="","",IFERROR(_xlfn.TEXTJOIN(CHAR(10)&amp;CHAR(10),TRUE,_xlfn._xlws.FILTER("•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"&amp;Cards!$L$4:$L$1000),(Cards!$A$4:$A$1000&lt;&gt;"")*ISNUMBER(SEARCH($A527,Cards!$E$4:$E$1000)))),"-"))</f>
        <v/>
      </c>
      <c r="Q527" s="30"/>
      <c r="R527" s="27" t="str">
        <f>IF(OR($A527="",LEN(TRIM($O527))=0),"",IF(OR($P527="",$Q527=""),"ระบุ Severity + Impact",IFERROR(INDEX({"Urgent","Urgent","High","High";"Urgent","High","High","Medium";"High","High","Medium","Medium";"Medium","Medium","Low","Low"},MATCH($P527,{"Critical","High","Medium","Low"},0),MATCH($Q527,{"Extensive","Significant","Moderate","Minor"},0)),"-")))</f>
        <v/>
      </c>
      <c r="S527" s="30"/>
      <c r="T527" s="30"/>
      <c r="W527" s="32" t="str">
        <f>IF($A527="","",IF(OR($M527="Out of Scope",$M527="Canceled"),"Out of Scope",IF($M527="Blocked","Blocked",IF(AND($T527&lt;&gt;"Fixed – Retest Passed",OR(LEN(TRIM($O527))&gt;0,LEN(TRIM($P527))&gt;0)),IF(AND(OR($L527="Medium",$L527="Low"),SUMPRODUCT((Cards!$A$4:$A$1000&lt;&gt;"")*ISNUMBER(SEARCH($A527,Cards!$E$4:$E$1000))*(Cards!$F$4:$F$1000&lt;&gt;"Medium")*(Cards!$F$4:$F$1000&lt;&gt;"Low"))=0),"Conditionally Passed","Failed"),IF($M527="Done","Passed","Not Run")))))</f>
        <v/>
      </c>
      <c r="Y527" s="27" t="str" cm="1">
        <f t="array" ref="Y527">IF($A527="","",IF(TRIM($B527)="","-",IFERROR(_xlfn.TEXTJOIN(" / ",TRUE,_xlfn.UNIQUE(_xlfn._xlws.FILTER('Ownership Matrix'!$C$5:$C$200,('Ownership Matrix'!$A$5:$A$200=TRIM($B527))*('Ownership Matrix'!$C$5:$C$200&lt;&gt;"")))),"ไม่พบใน Ownership Matrix")))</f>
        <v/>
      </c>
      <c r="Z527" s="31" t="str">
        <f>IF(NOT(AND($A527&lt;&gt;"",$M527&lt;&gt;"Out of Scope",$M527&lt;&gt;"Canceled",$T527&lt;&gt;"Fixed – Retest Passed",OR(LEN(TRIM($O527))&gt;0,LEN(TRIM($P527))&gt;0))),"",IF(OR($W527="Failed",$R527="Urgent",$R527="High",$R527="ระบุ Severity + Impact"),IF(COUNTIFS(Dashboard!$B$105:$B$124,$O527,Dashboard!$I$105:$I$124,"CAB")&gt;0,"Accepted (CF)","Blocking"),"Deferrable"))</f>
        <v/>
      </c>
    </row>
    <row r="528" spans="7:26" x14ac:dyDescent="0.3">
      <c r="G528" s="27" t="str" cm="1">
        <f t="array" ref="G528">IF($A528="","",IFERROR(_xlfn.TEXTJOIN(CHAR(10)&amp;CHAR(10),TRUE,_xlfn._xlws.FILTER("•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"&amp;Cards!$L$4:$L$1000),(Cards!$A$4:$A$1000&lt;&gt;"")*ISNUMBER(SEARCH($A528,Cards!$E$4:$E$1000)))),"-"))</f>
        <v/>
      </c>
      <c r="Q528" s="30"/>
      <c r="R528" s="27" t="str">
        <f>IF(OR($A528="",LEN(TRIM($O528))=0),"",IF(OR($P528="",$Q528=""),"ระบุ Severity + Impact",IFERROR(INDEX({"Urgent","Urgent","High","High";"Urgent","High","High","Medium";"High","High","Medium","Medium";"Medium","Medium","Low","Low"},MATCH($P528,{"Critical","High","Medium","Low"},0),MATCH($Q528,{"Extensive","Significant","Moderate","Minor"},0)),"-")))</f>
        <v/>
      </c>
      <c r="S528" s="30"/>
      <c r="T528" s="30"/>
      <c r="W528" s="32" t="str">
        <f>IF($A528="","",IF(OR($M528="Out of Scope",$M528="Canceled"),"Out of Scope",IF($M528="Blocked","Blocked",IF(AND($T528&lt;&gt;"Fixed – Retest Passed",OR(LEN(TRIM($O528))&gt;0,LEN(TRIM($P528))&gt;0)),IF(AND(OR($L528="Medium",$L528="Low"),SUMPRODUCT((Cards!$A$4:$A$1000&lt;&gt;"")*ISNUMBER(SEARCH($A528,Cards!$E$4:$E$1000))*(Cards!$F$4:$F$1000&lt;&gt;"Medium")*(Cards!$F$4:$F$1000&lt;&gt;"Low"))=0),"Conditionally Passed","Failed"),IF($M528="Done","Passed","Not Run")))))</f>
        <v/>
      </c>
      <c r="Y528" s="27" t="str" cm="1">
        <f t="array" ref="Y528">IF($A528="","",IF(TRIM($B528)="","-",IFERROR(_xlfn.TEXTJOIN(" / ",TRUE,_xlfn.UNIQUE(_xlfn._xlws.FILTER('Ownership Matrix'!$C$5:$C$200,('Ownership Matrix'!$A$5:$A$200=TRIM($B528))*('Ownership Matrix'!$C$5:$C$200&lt;&gt;"")))),"ไม่พบใน Ownership Matrix")))</f>
        <v/>
      </c>
      <c r="Z528" s="31" t="str">
        <f>IF(NOT(AND($A528&lt;&gt;"",$M528&lt;&gt;"Out of Scope",$M528&lt;&gt;"Canceled",$T528&lt;&gt;"Fixed – Retest Passed",OR(LEN(TRIM($O528))&gt;0,LEN(TRIM($P528))&gt;0))),"",IF(OR($W528="Failed",$R528="Urgent",$R528="High",$R528="ระบุ Severity + Impact"),IF(COUNTIFS(Dashboard!$B$105:$B$124,$O528,Dashboard!$I$105:$I$124,"CAB")&gt;0,"Accepted (CF)","Blocking"),"Deferrable"))</f>
        <v/>
      </c>
    </row>
    <row r="529" spans="7:26" x14ac:dyDescent="0.3">
      <c r="G529" s="27" t="str" cm="1">
        <f t="array" ref="G529">IF($A529="","",IFERROR(_xlfn.TEXTJOIN(CHAR(10)&amp;CHAR(10),TRUE,_xlfn._xlws.FILTER("•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"&amp;Cards!$L$4:$L$1000),(Cards!$A$4:$A$1000&lt;&gt;"")*ISNUMBER(SEARCH($A529,Cards!$E$4:$E$1000)))),"-"))</f>
        <v/>
      </c>
      <c r="Q529" s="30"/>
      <c r="R529" s="27" t="str">
        <f>IF(OR($A529="",LEN(TRIM($O529))=0),"",IF(OR($P529="",$Q529=""),"ระบุ Severity + Impact",IFERROR(INDEX({"Urgent","Urgent","High","High";"Urgent","High","High","Medium";"High","High","Medium","Medium";"Medium","Medium","Low","Low"},MATCH($P529,{"Critical","High","Medium","Low"},0),MATCH($Q529,{"Extensive","Significant","Moderate","Minor"},0)),"-")))</f>
        <v/>
      </c>
      <c r="S529" s="30"/>
      <c r="T529" s="30"/>
      <c r="W529" s="32" t="str">
        <f>IF($A529="","",IF(OR($M529="Out of Scope",$M529="Canceled"),"Out of Scope",IF($M529="Blocked","Blocked",IF(AND($T529&lt;&gt;"Fixed – Retest Passed",OR(LEN(TRIM($O529))&gt;0,LEN(TRIM($P529))&gt;0)),IF(AND(OR($L529="Medium",$L529="Low"),SUMPRODUCT((Cards!$A$4:$A$1000&lt;&gt;"")*ISNUMBER(SEARCH($A529,Cards!$E$4:$E$1000))*(Cards!$F$4:$F$1000&lt;&gt;"Medium")*(Cards!$F$4:$F$1000&lt;&gt;"Low"))=0),"Conditionally Passed","Failed"),IF($M529="Done","Passed","Not Run")))))</f>
        <v/>
      </c>
      <c r="Y529" s="27" t="str" cm="1">
        <f t="array" ref="Y529">IF($A529="","",IF(TRIM($B529)="","-",IFERROR(_xlfn.TEXTJOIN(" / ",TRUE,_xlfn.UNIQUE(_xlfn._xlws.FILTER('Ownership Matrix'!$C$5:$C$200,('Ownership Matrix'!$A$5:$A$200=TRIM($B529))*('Ownership Matrix'!$C$5:$C$200&lt;&gt;"")))),"ไม่พบใน Ownership Matrix")))</f>
        <v/>
      </c>
      <c r="Z529" s="31" t="str">
        <f>IF(NOT(AND($A529&lt;&gt;"",$M529&lt;&gt;"Out of Scope",$M529&lt;&gt;"Canceled",$T529&lt;&gt;"Fixed – Retest Passed",OR(LEN(TRIM($O529))&gt;0,LEN(TRIM($P529))&gt;0))),"",IF(OR($W529="Failed",$R529="Urgent",$R529="High",$R529="ระบุ Severity + Impact"),IF(COUNTIFS(Dashboard!$B$105:$B$124,$O529,Dashboard!$I$105:$I$124,"CAB")&gt;0,"Accepted (CF)","Blocking"),"Deferrable"))</f>
        <v/>
      </c>
    </row>
    <row r="530" spans="7:26" x14ac:dyDescent="0.3">
      <c r="G530" s="27" t="str" cm="1">
        <f t="array" ref="G530">IF($A530="","",IFERROR(_xlfn.TEXTJOIN(CHAR(10)&amp;CHAR(10),TRUE,_xlfn._xlws.FILTER("•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"&amp;Cards!$L$4:$L$1000),(Cards!$A$4:$A$1000&lt;&gt;"")*ISNUMBER(SEARCH($A530,Cards!$E$4:$E$1000)))),"-"))</f>
        <v/>
      </c>
      <c r="Q530" s="30"/>
      <c r="R530" s="27" t="str">
        <f>IF(OR($A530="",LEN(TRIM($O530))=0),"",IF(OR($P530="",$Q530=""),"ระบุ Severity + Impact",IFERROR(INDEX({"Urgent","Urgent","High","High";"Urgent","High","High","Medium";"High","High","Medium","Medium";"Medium","Medium","Low","Low"},MATCH($P530,{"Critical","High","Medium","Low"},0),MATCH($Q530,{"Extensive","Significant","Moderate","Minor"},0)),"-")))</f>
        <v/>
      </c>
      <c r="S530" s="30"/>
      <c r="T530" s="30"/>
      <c r="W530" s="32" t="str">
        <f>IF($A530="","",IF(OR($M530="Out of Scope",$M530="Canceled"),"Out of Scope",IF($M530="Blocked","Blocked",IF(AND($T530&lt;&gt;"Fixed – Retest Passed",OR(LEN(TRIM($O530))&gt;0,LEN(TRIM($P530))&gt;0)),IF(AND(OR($L530="Medium",$L530="Low"),SUMPRODUCT((Cards!$A$4:$A$1000&lt;&gt;"")*ISNUMBER(SEARCH($A530,Cards!$E$4:$E$1000))*(Cards!$F$4:$F$1000&lt;&gt;"Medium")*(Cards!$F$4:$F$1000&lt;&gt;"Low"))=0),"Conditionally Passed","Failed"),IF($M530="Done","Passed","Not Run")))))</f>
        <v/>
      </c>
      <c r="Y530" s="27" t="str" cm="1">
        <f t="array" ref="Y530">IF($A530="","",IF(TRIM($B530)="","-",IFERROR(_xlfn.TEXTJOIN(" / ",TRUE,_xlfn.UNIQUE(_xlfn._xlws.FILTER('Ownership Matrix'!$C$5:$C$200,('Ownership Matrix'!$A$5:$A$200=TRIM($B530))*('Ownership Matrix'!$C$5:$C$200&lt;&gt;"")))),"ไม่พบใน Ownership Matrix")))</f>
        <v/>
      </c>
      <c r="Z530" s="31" t="str">
        <f>IF(NOT(AND($A530&lt;&gt;"",$M530&lt;&gt;"Out of Scope",$M530&lt;&gt;"Canceled",$T530&lt;&gt;"Fixed – Retest Passed",OR(LEN(TRIM($O530))&gt;0,LEN(TRIM($P530))&gt;0))),"",IF(OR($W530="Failed",$R530="Urgent",$R530="High",$R530="ระบุ Severity + Impact"),IF(COUNTIFS(Dashboard!$B$105:$B$124,$O530,Dashboard!$I$105:$I$124,"CAB")&gt;0,"Accepted (CF)","Blocking"),"Deferrable"))</f>
        <v/>
      </c>
    </row>
    <row r="531" spans="7:26" x14ac:dyDescent="0.3">
      <c r="G531" s="27" t="str" cm="1">
        <f t="array" ref="G531">IF($A531="","",IFERROR(_xlfn.TEXTJOIN(CHAR(10)&amp;CHAR(10),TRUE,_xlfn._xlws.FILTER("•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"&amp;Cards!$L$4:$L$1000),(Cards!$A$4:$A$1000&lt;&gt;"")*ISNUMBER(SEARCH($A531,Cards!$E$4:$E$1000)))),"-"))</f>
        <v/>
      </c>
      <c r="Q531" s="30"/>
      <c r="R531" s="27" t="str">
        <f>IF(OR($A531="",LEN(TRIM($O531))=0),"",IF(OR($P531="",$Q531=""),"ระบุ Severity + Impact",IFERROR(INDEX({"Urgent","Urgent","High","High";"Urgent","High","High","Medium";"High","High","Medium","Medium";"Medium","Medium","Low","Low"},MATCH($P531,{"Critical","High","Medium","Low"},0),MATCH($Q531,{"Extensive","Significant","Moderate","Minor"},0)),"-")))</f>
        <v/>
      </c>
      <c r="S531" s="30"/>
      <c r="T531" s="30"/>
      <c r="W531" s="32" t="str">
        <f>IF($A531="","",IF(OR($M531="Out of Scope",$M531="Canceled"),"Out of Scope",IF($M531="Blocked","Blocked",IF(AND($T531&lt;&gt;"Fixed – Retest Passed",OR(LEN(TRIM($O531))&gt;0,LEN(TRIM($P531))&gt;0)),IF(AND(OR($L531="Medium",$L531="Low"),SUMPRODUCT((Cards!$A$4:$A$1000&lt;&gt;"")*ISNUMBER(SEARCH($A531,Cards!$E$4:$E$1000))*(Cards!$F$4:$F$1000&lt;&gt;"Medium")*(Cards!$F$4:$F$1000&lt;&gt;"Low"))=0),"Conditionally Passed","Failed"),IF($M531="Done","Passed","Not Run")))))</f>
        <v/>
      </c>
      <c r="Y531" s="27" t="str" cm="1">
        <f t="array" ref="Y531">IF($A531="","",IF(TRIM($B531)="","-",IFERROR(_xlfn.TEXTJOIN(" / ",TRUE,_xlfn.UNIQUE(_xlfn._xlws.FILTER('Ownership Matrix'!$C$5:$C$200,('Ownership Matrix'!$A$5:$A$200=TRIM($B531))*('Ownership Matrix'!$C$5:$C$200&lt;&gt;"")))),"ไม่พบใน Ownership Matrix")))</f>
        <v/>
      </c>
      <c r="Z531" s="31" t="str">
        <f>IF(NOT(AND($A531&lt;&gt;"",$M531&lt;&gt;"Out of Scope",$M531&lt;&gt;"Canceled",$T531&lt;&gt;"Fixed – Retest Passed",OR(LEN(TRIM($O531))&gt;0,LEN(TRIM($P531))&gt;0))),"",IF(OR($W531="Failed",$R531="Urgent",$R531="High",$R531="ระบุ Severity + Impact"),IF(COUNTIFS(Dashboard!$B$105:$B$124,$O531,Dashboard!$I$105:$I$124,"CAB")&gt;0,"Accepted (CF)","Blocking"),"Deferrable"))</f>
        <v/>
      </c>
    </row>
    <row r="532" spans="7:26" x14ac:dyDescent="0.3">
      <c r="G532" s="27" t="str" cm="1">
        <f t="array" ref="G532">IF($A532="","",IFERROR(_xlfn.TEXTJOIN(CHAR(10)&amp;CHAR(10),TRUE,_xlfn._xlws.FILTER("•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"&amp;Cards!$L$4:$L$1000),(Cards!$A$4:$A$1000&lt;&gt;"")*ISNUMBER(SEARCH($A532,Cards!$E$4:$E$1000)))),"-"))</f>
        <v/>
      </c>
      <c r="Q532" s="30"/>
      <c r="R532" s="27" t="str">
        <f>IF(OR($A532="",LEN(TRIM($O532))=0),"",IF(OR($P532="",$Q532=""),"ระบุ Severity + Impact",IFERROR(INDEX({"Urgent","Urgent","High","High";"Urgent","High","High","Medium";"High","High","Medium","Medium";"Medium","Medium","Low","Low"},MATCH($P532,{"Critical","High","Medium","Low"},0),MATCH($Q532,{"Extensive","Significant","Moderate","Minor"},0)),"-")))</f>
        <v/>
      </c>
      <c r="S532" s="30"/>
      <c r="T532" s="30"/>
      <c r="W532" s="32" t="str">
        <f>IF($A532="","",IF(OR($M532="Out of Scope",$M532="Canceled"),"Out of Scope",IF($M532="Blocked","Blocked",IF(AND($T532&lt;&gt;"Fixed – Retest Passed",OR(LEN(TRIM($O532))&gt;0,LEN(TRIM($P532))&gt;0)),IF(AND(OR($L532="Medium",$L532="Low"),SUMPRODUCT((Cards!$A$4:$A$1000&lt;&gt;"")*ISNUMBER(SEARCH($A532,Cards!$E$4:$E$1000))*(Cards!$F$4:$F$1000&lt;&gt;"Medium")*(Cards!$F$4:$F$1000&lt;&gt;"Low"))=0),"Conditionally Passed","Failed"),IF($M532="Done","Passed","Not Run")))))</f>
        <v/>
      </c>
      <c r="Y532" s="27" t="str" cm="1">
        <f t="array" ref="Y532">IF($A532="","",IF(TRIM($B532)="","-",IFERROR(_xlfn.TEXTJOIN(" / ",TRUE,_xlfn.UNIQUE(_xlfn._xlws.FILTER('Ownership Matrix'!$C$5:$C$200,('Ownership Matrix'!$A$5:$A$200=TRIM($B532))*('Ownership Matrix'!$C$5:$C$200&lt;&gt;"")))),"ไม่พบใน Ownership Matrix")))</f>
        <v/>
      </c>
      <c r="Z532" s="31" t="str">
        <f>IF(NOT(AND($A532&lt;&gt;"",$M532&lt;&gt;"Out of Scope",$M532&lt;&gt;"Canceled",$T532&lt;&gt;"Fixed – Retest Passed",OR(LEN(TRIM($O532))&gt;0,LEN(TRIM($P532))&gt;0))),"",IF(OR($W532="Failed",$R532="Urgent",$R532="High",$R532="ระบุ Severity + Impact"),IF(COUNTIFS(Dashboard!$B$105:$B$124,$O532,Dashboard!$I$105:$I$124,"CAB")&gt;0,"Accepted (CF)","Blocking"),"Deferrable"))</f>
        <v/>
      </c>
    </row>
    <row r="533" spans="7:26" x14ac:dyDescent="0.3">
      <c r="G533" s="27" t="str" cm="1">
        <f t="array" ref="G533">IF($A533="","",IFERROR(_xlfn.TEXTJOIN(CHAR(10)&amp;CHAR(10),TRUE,_xlfn._xlws.FILTER("•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"&amp;Cards!$L$4:$L$1000),(Cards!$A$4:$A$1000&lt;&gt;"")*ISNUMBER(SEARCH($A533,Cards!$E$4:$E$1000)))),"-"))</f>
        <v/>
      </c>
      <c r="Q533" s="30"/>
      <c r="R533" s="27" t="str">
        <f>IF(OR($A533="",LEN(TRIM($O533))=0),"",IF(OR($P533="",$Q533=""),"ระบุ Severity + Impact",IFERROR(INDEX({"Urgent","Urgent","High","High";"Urgent","High","High","Medium";"High","High","Medium","Medium";"Medium","Medium","Low","Low"},MATCH($P533,{"Critical","High","Medium","Low"},0),MATCH($Q533,{"Extensive","Significant","Moderate","Minor"},0)),"-")))</f>
        <v/>
      </c>
      <c r="S533" s="30"/>
      <c r="T533" s="30"/>
      <c r="W533" s="32" t="str">
        <f>IF($A533="","",IF(OR($M533="Out of Scope",$M533="Canceled"),"Out of Scope",IF($M533="Blocked","Blocked",IF(AND($T533&lt;&gt;"Fixed – Retest Passed",OR(LEN(TRIM($O533))&gt;0,LEN(TRIM($P533))&gt;0)),IF(AND(OR($L533="Medium",$L533="Low"),SUMPRODUCT((Cards!$A$4:$A$1000&lt;&gt;"")*ISNUMBER(SEARCH($A533,Cards!$E$4:$E$1000))*(Cards!$F$4:$F$1000&lt;&gt;"Medium")*(Cards!$F$4:$F$1000&lt;&gt;"Low"))=0),"Conditionally Passed","Failed"),IF($M533="Done","Passed","Not Run")))))</f>
        <v/>
      </c>
      <c r="Y533" s="27" t="str" cm="1">
        <f t="array" ref="Y533">IF($A533="","",IF(TRIM($B533)="","-",IFERROR(_xlfn.TEXTJOIN(" / ",TRUE,_xlfn.UNIQUE(_xlfn._xlws.FILTER('Ownership Matrix'!$C$5:$C$200,('Ownership Matrix'!$A$5:$A$200=TRIM($B533))*('Ownership Matrix'!$C$5:$C$200&lt;&gt;"")))),"ไม่พบใน Ownership Matrix")))</f>
        <v/>
      </c>
      <c r="Z533" s="31" t="str">
        <f>IF(NOT(AND($A533&lt;&gt;"",$M533&lt;&gt;"Out of Scope",$M533&lt;&gt;"Canceled",$T533&lt;&gt;"Fixed – Retest Passed",OR(LEN(TRIM($O533))&gt;0,LEN(TRIM($P533))&gt;0))),"",IF(OR($W533="Failed",$R533="Urgent",$R533="High",$R533="ระบุ Severity + Impact"),IF(COUNTIFS(Dashboard!$B$105:$B$124,$O533,Dashboard!$I$105:$I$124,"CAB")&gt;0,"Accepted (CF)","Blocking"),"Deferrable"))</f>
        <v/>
      </c>
    </row>
    <row r="534" spans="7:26" x14ac:dyDescent="0.3">
      <c r="G534" s="27" t="str" cm="1">
        <f t="array" ref="G534">IF($A534="","",IFERROR(_xlfn.TEXTJOIN(CHAR(10)&amp;CHAR(10),TRUE,_xlfn._xlws.FILTER("•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"&amp;Cards!$L$4:$L$1000),(Cards!$A$4:$A$1000&lt;&gt;"")*ISNUMBER(SEARCH($A534,Cards!$E$4:$E$1000)))),"-"))</f>
        <v/>
      </c>
      <c r="Q534" s="30"/>
      <c r="R534" s="27" t="str">
        <f>IF(OR($A534="",LEN(TRIM($O534))=0),"",IF(OR($P534="",$Q534=""),"ระบุ Severity + Impact",IFERROR(INDEX({"Urgent","Urgent","High","High";"Urgent","High","High","Medium";"High","High","Medium","Medium";"Medium","Medium","Low","Low"},MATCH($P534,{"Critical","High","Medium","Low"},0),MATCH($Q534,{"Extensive","Significant","Moderate","Minor"},0)),"-")))</f>
        <v/>
      </c>
      <c r="S534" s="30"/>
      <c r="T534" s="30"/>
      <c r="W534" s="32" t="str">
        <f>IF($A534="","",IF(OR($M534="Out of Scope",$M534="Canceled"),"Out of Scope",IF($M534="Blocked","Blocked",IF(AND($T534&lt;&gt;"Fixed – Retest Passed",OR(LEN(TRIM($O534))&gt;0,LEN(TRIM($P534))&gt;0)),IF(AND(OR($L534="Medium",$L534="Low"),SUMPRODUCT((Cards!$A$4:$A$1000&lt;&gt;"")*ISNUMBER(SEARCH($A534,Cards!$E$4:$E$1000))*(Cards!$F$4:$F$1000&lt;&gt;"Medium")*(Cards!$F$4:$F$1000&lt;&gt;"Low"))=0),"Conditionally Passed","Failed"),IF($M534="Done","Passed","Not Run")))))</f>
        <v/>
      </c>
      <c r="Y534" s="27" t="str" cm="1">
        <f t="array" ref="Y534">IF($A534="","",IF(TRIM($B534)="","-",IFERROR(_xlfn.TEXTJOIN(" / ",TRUE,_xlfn.UNIQUE(_xlfn._xlws.FILTER('Ownership Matrix'!$C$5:$C$200,('Ownership Matrix'!$A$5:$A$200=TRIM($B534))*('Ownership Matrix'!$C$5:$C$200&lt;&gt;"")))),"ไม่พบใน Ownership Matrix")))</f>
        <v/>
      </c>
      <c r="Z534" s="31" t="str">
        <f>IF(NOT(AND($A534&lt;&gt;"",$M534&lt;&gt;"Out of Scope",$M534&lt;&gt;"Canceled",$T534&lt;&gt;"Fixed – Retest Passed",OR(LEN(TRIM($O534))&gt;0,LEN(TRIM($P534))&gt;0))),"",IF(OR($W534="Failed",$R534="Urgent",$R534="High",$R534="ระบุ Severity + Impact"),IF(COUNTIFS(Dashboard!$B$105:$B$124,$O534,Dashboard!$I$105:$I$124,"CAB")&gt;0,"Accepted (CF)","Blocking"),"Deferrable"))</f>
        <v/>
      </c>
    </row>
    <row r="535" spans="7:26" x14ac:dyDescent="0.3">
      <c r="G535" s="27" t="str" cm="1">
        <f t="array" ref="G535">IF($A535="","",IFERROR(_xlfn.TEXTJOIN(CHAR(10)&amp;CHAR(10),TRUE,_xlfn._xlws.FILTER("•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"&amp;Cards!$L$4:$L$1000),(Cards!$A$4:$A$1000&lt;&gt;"")*ISNUMBER(SEARCH($A535,Cards!$E$4:$E$1000)))),"-"))</f>
        <v/>
      </c>
      <c r="Q535" s="30"/>
      <c r="R535" s="27" t="str">
        <f>IF(OR($A535="",LEN(TRIM($O535))=0),"",IF(OR($P535="",$Q535=""),"ระบุ Severity + Impact",IFERROR(INDEX({"Urgent","Urgent","High","High";"Urgent","High","High","Medium";"High","High","Medium","Medium";"Medium","Medium","Low","Low"},MATCH($P535,{"Critical","High","Medium","Low"},0),MATCH($Q535,{"Extensive","Significant","Moderate","Minor"},0)),"-")))</f>
        <v/>
      </c>
      <c r="S535" s="30"/>
      <c r="T535" s="30"/>
      <c r="W535" s="32" t="str">
        <f>IF($A535="","",IF(OR($M535="Out of Scope",$M535="Canceled"),"Out of Scope",IF($M535="Blocked","Blocked",IF(AND($T535&lt;&gt;"Fixed – Retest Passed",OR(LEN(TRIM($O535))&gt;0,LEN(TRIM($P535))&gt;0)),IF(AND(OR($L535="Medium",$L535="Low"),SUMPRODUCT((Cards!$A$4:$A$1000&lt;&gt;"")*ISNUMBER(SEARCH($A535,Cards!$E$4:$E$1000))*(Cards!$F$4:$F$1000&lt;&gt;"Medium")*(Cards!$F$4:$F$1000&lt;&gt;"Low"))=0),"Conditionally Passed","Failed"),IF($M535="Done","Passed","Not Run")))))</f>
        <v/>
      </c>
      <c r="Y535" s="27" t="str" cm="1">
        <f t="array" ref="Y535">IF($A535="","",IF(TRIM($B535)="","-",IFERROR(_xlfn.TEXTJOIN(" / ",TRUE,_xlfn.UNIQUE(_xlfn._xlws.FILTER('Ownership Matrix'!$C$5:$C$200,('Ownership Matrix'!$A$5:$A$200=TRIM($B535))*('Ownership Matrix'!$C$5:$C$200&lt;&gt;"")))),"ไม่พบใน Ownership Matrix")))</f>
        <v/>
      </c>
      <c r="Z535" s="31" t="str">
        <f>IF(NOT(AND($A535&lt;&gt;"",$M535&lt;&gt;"Out of Scope",$M535&lt;&gt;"Canceled",$T535&lt;&gt;"Fixed – Retest Passed",OR(LEN(TRIM($O535))&gt;0,LEN(TRIM($P535))&gt;0))),"",IF(OR($W535="Failed",$R535="Urgent",$R535="High",$R535="ระบุ Severity + Impact"),IF(COUNTIFS(Dashboard!$B$105:$B$124,$O535,Dashboard!$I$105:$I$124,"CAB")&gt;0,"Accepted (CF)","Blocking"),"Deferrable"))</f>
        <v/>
      </c>
    </row>
    <row r="536" spans="7:26" x14ac:dyDescent="0.3">
      <c r="G536" s="27" t="str" cm="1">
        <f t="array" ref="G536">IF($A536="","",IFERROR(_xlfn.TEXTJOIN(CHAR(10)&amp;CHAR(10),TRUE,_xlfn._xlws.FILTER("•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"&amp;Cards!$L$4:$L$1000),(Cards!$A$4:$A$1000&lt;&gt;"")*ISNUMBER(SEARCH($A536,Cards!$E$4:$E$1000)))),"-"))</f>
        <v/>
      </c>
      <c r="Q536" s="30"/>
      <c r="R536" s="27" t="str">
        <f>IF(OR($A536="",LEN(TRIM($O536))=0),"",IF(OR($P536="",$Q536=""),"ระบุ Severity + Impact",IFERROR(INDEX({"Urgent","Urgent","High","High";"Urgent","High","High","Medium";"High","High","Medium","Medium";"Medium","Medium","Low","Low"},MATCH($P536,{"Critical","High","Medium","Low"},0),MATCH($Q536,{"Extensive","Significant","Moderate","Minor"},0)),"-")))</f>
        <v/>
      </c>
      <c r="S536" s="30"/>
      <c r="T536" s="30"/>
      <c r="W536" s="32" t="str">
        <f>IF($A536="","",IF(OR($M536="Out of Scope",$M536="Canceled"),"Out of Scope",IF($M536="Blocked","Blocked",IF(AND($T536&lt;&gt;"Fixed – Retest Passed",OR(LEN(TRIM($O536))&gt;0,LEN(TRIM($P536))&gt;0)),IF(AND(OR($L536="Medium",$L536="Low"),SUMPRODUCT((Cards!$A$4:$A$1000&lt;&gt;"")*ISNUMBER(SEARCH($A536,Cards!$E$4:$E$1000))*(Cards!$F$4:$F$1000&lt;&gt;"Medium")*(Cards!$F$4:$F$1000&lt;&gt;"Low"))=0),"Conditionally Passed","Failed"),IF($M536="Done","Passed","Not Run")))))</f>
        <v/>
      </c>
      <c r="Y536" s="27" t="str" cm="1">
        <f t="array" ref="Y536">IF($A536="","",IF(TRIM($B536)="","-",IFERROR(_xlfn.TEXTJOIN(" / ",TRUE,_xlfn.UNIQUE(_xlfn._xlws.FILTER('Ownership Matrix'!$C$5:$C$200,('Ownership Matrix'!$A$5:$A$200=TRIM($B536))*('Ownership Matrix'!$C$5:$C$200&lt;&gt;"")))),"ไม่พบใน Ownership Matrix")))</f>
        <v/>
      </c>
      <c r="Z536" s="31" t="str">
        <f>IF(NOT(AND($A536&lt;&gt;"",$M536&lt;&gt;"Out of Scope",$M536&lt;&gt;"Canceled",$T536&lt;&gt;"Fixed – Retest Passed",OR(LEN(TRIM($O536))&gt;0,LEN(TRIM($P536))&gt;0))),"",IF(OR($W536="Failed",$R536="Urgent",$R536="High",$R536="ระบุ Severity + Impact"),IF(COUNTIFS(Dashboard!$B$105:$B$124,$O536,Dashboard!$I$105:$I$124,"CAB")&gt;0,"Accepted (CF)","Blocking"),"Deferrable"))</f>
        <v/>
      </c>
    </row>
    <row r="537" spans="7:26" x14ac:dyDescent="0.3">
      <c r="G537" s="27" t="str" cm="1">
        <f t="array" ref="G537">IF($A537="","",IFERROR(_xlfn.TEXTJOIN(CHAR(10)&amp;CHAR(10),TRUE,_xlfn._xlws.FILTER("•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"&amp;Cards!$L$4:$L$1000),(Cards!$A$4:$A$1000&lt;&gt;"")*ISNUMBER(SEARCH($A537,Cards!$E$4:$E$1000)))),"-"))</f>
        <v/>
      </c>
      <c r="Q537" s="30"/>
      <c r="R537" s="27" t="str">
        <f>IF(OR($A537="",LEN(TRIM($O537))=0),"",IF(OR($P537="",$Q537=""),"ระบุ Severity + Impact",IFERROR(INDEX({"Urgent","Urgent","High","High";"Urgent","High","High","Medium";"High","High","Medium","Medium";"Medium","Medium","Low","Low"},MATCH($P537,{"Critical","High","Medium","Low"},0),MATCH($Q537,{"Extensive","Significant","Moderate","Minor"},0)),"-")))</f>
        <v/>
      </c>
      <c r="S537" s="30"/>
      <c r="T537" s="30"/>
      <c r="W537" s="32" t="str">
        <f>IF($A537="","",IF(OR($M537="Out of Scope",$M537="Canceled"),"Out of Scope",IF($M537="Blocked","Blocked",IF(AND($T537&lt;&gt;"Fixed – Retest Passed",OR(LEN(TRIM($O537))&gt;0,LEN(TRIM($P537))&gt;0)),IF(AND(OR($L537="Medium",$L537="Low"),SUMPRODUCT((Cards!$A$4:$A$1000&lt;&gt;"")*ISNUMBER(SEARCH($A537,Cards!$E$4:$E$1000))*(Cards!$F$4:$F$1000&lt;&gt;"Medium")*(Cards!$F$4:$F$1000&lt;&gt;"Low"))=0),"Conditionally Passed","Failed"),IF($M537="Done","Passed","Not Run")))))</f>
        <v/>
      </c>
      <c r="Y537" s="27" t="str" cm="1">
        <f t="array" ref="Y537">IF($A537="","",IF(TRIM($B537)="","-",IFERROR(_xlfn.TEXTJOIN(" / ",TRUE,_xlfn.UNIQUE(_xlfn._xlws.FILTER('Ownership Matrix'!$C$5:$C$200,('Ownership Matrix'!$A$5:$A$200=TRIM($B537))*('Ownership Matrix'!$C$5:$C$200&lt;&gt;"")))),"ไม่พบใน Ownership Matrix")))</f>
        <v/>
      </c>
      <c r="Z537" s="31" t="str">
        <f>IF(NOT(AND($A537&lt;&gt;"",$M537&lt;&gt;"Out of Scope",$M537&lt;&gt;"Canceled",$T537&lt;&gt;"Fixed – Retest Passed",OR(LEN(TRIM($O537))&gt;0,LEN(TRIM($P537))&gt;0))),"",IF(OR($W537="Failed",$R537="Urgent",$R537="High",$R537="ระบุ Severity + Impact"),IF(COUNTIFS(Dashboard!$B$105:$B$124,$O537,Dashboard!$I$105:$I$124,"CAB")&gt;0,"Accepted (CF)","Blocking"),"Deferrable"))</f>
        <v/>
      </c>
    </row>
    <row r="538" spans="7:26" x14ac:dyDescent="0.3">
      <c r="G538" s="27" t="str" cm="1">
        <f t="array" ref="G538">IF($A538="","",IFERROR(_xlfn.TEXTJOIN(CHAR(10)&amp;CHAR(10),TRUE,_xlfn._xlws.FILTER("•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"&amp;Cards!$L$4:$L$1000),(Cards!$A$4:$A$1000&lt;&gt;"")*ISNUMBER(SEARCH($A538,Cards!$E$4:$E$1000)))),"-"))</f>
        <v/>
      </c>
      <c r="Q538" s="30"/>
      <c r="R538" s="27" t="str">
        <f>IF(OR($A538="",LEN(TRIM($O538))=0),"",IF(OR($P538="",$Q538=""),"ระบุ Severity + Impact",IFERROR(INDEX({"Urgent","Urgent","High","High";"Urgent","High","High","Medium";"High","High","Medium","Medium";"Medium","Medium","Low","Low"},MATCH($P538,{"Critical","High","Medium","Low"},0),MATCH($Q538,{"Extensive","Significant","Moderate","Minor"},0)),"-")))</f>
        <v/>
      </c>
      <c r="S538" s="30"/>
      <c r="T538" s="30"/>
      <c r="W538" s="32" t="str">
        <f>IF($A538="","",IF(OR($M538="Out of Scope",$M538="Canceled"),"Out of Scope",IF($M538="Blocked","Blocked",IF(AND($T538&lt;&gt;"Fixed – Retest Passed",OR(LEN(TRIM($O538))&gt;0,LEN(TRIM($P538))&gt;0)),IF(AND(OR($L538="Medium",$L538="Low"),SUMPRODUCT((Cards!$A$4:$A$1000&lt;&gt;"")*ISNUMBER(SEARCH($A538,Cards!$E$4:$E$1000))*(Cards!$F$4:$F$1000&lt;&gt;"Medium")*(Cards!$F$4:$F$1000&lt;&gt;"Low"))=0),"Conditionally Passed","Failed"),IF($M538="Done","Passed","Not Run")))))</f>
        <v/>
      </c>
      <c r="Y538" s="27" t="str" cm="1">
        <f t="array" ref="Y538">IF($A538="","",IF(TRIM($B538)="","-",IFERROR(_xlfn.TEXTJOIN(" / ",TRUE,_xlfn.UNIQUE(_xlfn._xlws.FILTER('Ownership Matrix'!$C$5:$C$200,('Ownership Matrix'!$A$5:$A$200=TRIM($B538))*('Ownership Matrix'!$C$5:$C$200&lt;&gt;"")))),"ไม่พบใน Ownership Matrix")))</f>
        <v/>
      </c>
      <c r="Z538" s="31" t="str">
        <f>IF(NOT(AND($A538&lt;&gt;"",$M538&lt;&gt;"Out of Scope",$M538&lt;&gt;"Canceled",$T538&lt;&gt;"Fixed – Retest Passed",OR(LEN(TRIM($O538))&gt;0,LEN(TRIM($P538))&gt;0))),"",IF(OR($W538="Failed",$R538="Urgent",$R538="High",$R538="ระบุ Severity + Impact"),IF(COUNTIFS(Dashboard!$B$105:$B$124,$O538,Dashboard!$I$105:$I$124,"CAB")&gt;0,"Accepted (CF)","Blocking"),"Deferrable"))</f>
        <v/>
      </c>
    </row>
    <row r="539" spans="7:26" x14ac:dyDescent="0.3">
      <c r="G539" s="27" t="str" cm="1">
        <f t="array" ref="G539">IF($A539="","",IFERROR(_xlfn.TEXTJOIN(CHAR(10)&amp;CHAR(10),TRUE,_xlfn._xlws.FILTER("•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"&amp;Cards!$L$4:$L$1000),(Cards!$A$4:$A$1000&lt;&gt;"")*ISNUMBER(SEARCH($A539,Cards!$E$4:$E$1000)))),"-"))</f>
        <v/>
      </c>
      <c r="Q539" s="30"/>
      <c r="R539" s="27" t="str">
        <f>IF(OR($A539="",LEN(TRIM($O539))=0),"",IF(OR($P539="",$Q539=""),"ระบุ Severity + Impact",IFERROR(INDEX({"Urgent","Urgent","High","High";"Urgent","High","High","Medium";"High","High","Medium","Medium";"Medium","Medium","Low","Low"},MATCH($P539,{"Critical","High","Medium","Low"},0),MATCH($Q539,{"Extensive","Significant","Moderate","Minor"},0)),"-")))</f>
        <v/>
      </c>
      <c r="S539" s="30"/>
      <c r="T539" s="30"/>
      <c r="W539" s="32" t="str">
        <f>IF($A539="","",IF(OR($M539="Out of Scope",$M539="Canceled"),"Out of Scope",IF($M539="Blocked","Blocked",IF(AND($T539&lt;&gt;"Fixed – Retest Passed",OR(LEN(TRIM($O539))&gt;0,LEN(TRIM($P539))&gt;0)),IF(AND(OR($L539="Medium",$L539="Low"),SUMPRODUCT((Cards!$A$4:$A$1000&lt;&gt;"")*ISNUMBER(SEARCH($A539,Cards!$E$4:$E$1000))*(Cards!$F$4:$F$1000&lt;&gt;"Medium")*(Cards!$F$4:$F$1000&lt;&gt;"Low"))=0),"Conditionally Passed","Failed"),IF($M539="Done","Passed","Not Run")))))</f>
        <v/>
      </c>
      <c r="Y539" s="27" t="str" cm="1">
        <f t="array" ref="Y539">IF($A539="","",IF(TRIM($B539)="","-",IFERROR(_xlfn.TEXTJOIN(" / ",TRUE,_xlfn.UNIQUE(_xlfn._xlws.FILTER('Ownership Matrix'!$C$5:$C$200,('Ownership Matrix'!$A$5:$A$200=TRIM($B539))*('Ownership Matrix'!$C$5:$C$200&lt;&gt;"")))),"ไม่พบใน Ownership Matrix")))</f>
        <v/>
      </c>
      <c r="Z539" s="31" t="str">
        <f>IF(NOT(AND($A539&lt;&gt;"",$M539&lt;&gt;"Out of Scope",$M539&lt;&gt;"Canceled",$T539&lt;&gt;"Fixed – Retest Passed",OR(LEN(TRIM($O539))&gt;0,LEN(TRIM($P539))&gt;0))),"",IF(OR($W539="Failed",$R539="Urgent",$R539="High",$R539="ระบุ Severity + Impact"),IF(COUNTIFS(Dashboard!$B$105:$B$124,$O539,Dashboard!$I$105:$I$124,"CAB")&gt;0,"Accepted (CF)","Blocking"),"Deferrable"))</f>
        <v/>
      </c>
    </row>
    <row r="540" spans="7:26" x14ac:dyDescent="0.3">
      <c r="G540" s="27" t="str" cm="1">
        <f t="array" ref="G540">IF($A540="","",IFERROR(_xlfn.TEXTJOIN(CHAR(10)&amp;CHAR(10),TRUE,_xlfn._xlws.FILTER("•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"&amp;Cards!$L$4:$L$1000),(Cards!$A$4:$A$1000&lt;&gt;"")*ISNUMBER(SEARCH($A540,Cards!$E$4:$E$1000)))),"-"))</f>
        <v/>
      </c>
      <c r="Q540" s="30"/>
      <c r="R540" s="27" t="str">
        <f>IF(OR($A540="",LEN(TRIM($O540))=0),"",IF(OR($P540="",$Q540=""),"ระบุ Severity + Impact",IFERROR(INDEX({"Urgent","Urgent","High","High";"Urgent","High","High","Medium";"High","High","Medium","Medium";"Medium","Medium","Low","Low"},MATCH($P540,{"Critical","High","Medium","Low"},0),MATCH($Q540,{"Extensive","Significant","Moderate","Minor"},0)),"-")))</f>
        <v/>
      </c>
      <c r="S540" s="30"/>
      <c r="T540" s="30"/>
      <c r="W540" s="32" t="str">
        <f>IF($A540="","",IF(OR($M540="Out of Scope",$M540="Canceled"),"Out of Scope",IF($M540="Blocked","Blocked",IF(AND($T540&lt;&gt;"Fixed – Retest Passed",OR(LEN(TRIM($O540))&gt;0,LEN(TRIM($P540))&gt;0)),IF(AND(OR($L540="Medium",$L540="Low"),SUMPRODUCT((Cards!$A$4:$A$1000&lt;&gt;"")*ISNUMBER(SEARCH($A540,Cards!$E$4:$E$1000))*(Cards!$F$4:$F$1000&lt;&gt;"Medium")*(Cards!$F$4:$F$1000&lt;&gt;"Low"))=0),"Conditionally Passed","Failed"),IF($M540="Done","Passed","Not Run")))))</f>
        <v/>
      </c>
      <c r="Y540" s="27" t="str" cm="1">
        <f t="array" ref="Y540">IF($A540="","",IF(TRIM($B540)="","-",IFERROR(_xlfn.TEXTJOIN(" / ",TRUE,_xlfn.UNIQUE(_xlfn._xlws.FILTER('Ownership Matrix'!$C$5:$C$200,('Ownership Matrix'!$A$5:$A$200=TRIM($B540))*('Ownership Matrix'!$C$5:$C$200&lt;&gt;"")))),"ไม่พบใน Ownership Matrix")))</f>
        <v/>
      </c>
      <c r="Z540" s="31" t="str">
        <f>IF(NOT(AND($A540&lt;&gt;"",$M540&lt;&gt;"Out of Scope",$M540&lt;&gt;"Canceled",$T540&lt;&gt;"Fixed – Retest Passed",OR(LEN(TRIM($O540))&gt;0,LEN(TRIM($P540))&gt;0))),"",IF(OR($W540="Failed",$R540="Urgent",$R540="High",$R540="ระบุ Severity + Impact"),IF(COUNTIFS(Dashboard!$B$105:$B$124,$O540,Dashboard!$I$105:$I$124,"CAB")&gt;0,"Accepted (CF)","Blocking"),"Deferrable"))</f>
        <v/>
      </c>
    </row>
    <row r="541" spans="7:26" x14ac:dyDescent="0.3">
      <c r="G541" s="27" t="str" cm="1">
        <f t="array" ref="G541">IF($A541="","",IFERROR(_xlfn.TEXTJOIN(CHAR(10)&amp;CHAR(10),TRUE,_xlfn._xlws.FILTER("•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"&amp;Cards!$L$4:$L$1000),(Cards!$A$4:$A$1000&lt;&gt;"")*ISNUMBER(SEARCH($A541,Cards!$E$4:$E$1000)))),"-"))</f>
        <v/>
      </c>
      <c r="Q541" s="30"/>
      <c r="R541" s="27" t="str">
        <f>IF(OR($A541="",LEN(TRIM($O541))=0),"",IF(OR($P541="",$Q541=""),"ระบุ Severity + Impact",IFERROR(INDEX({"Urgent","Urgent","High","High";"Urgent","High","High","Medium";"High","High","Medium","Medium";"Medium","Medium","Low","Low"},MATCH($P541,{"Critical","High","Medium","Low"},0),MATCH($Q541,{"Extensive","Significant","Moderate","Minor"},0)),"-")))</f>
        <v/>
      </c>
      <c r="S541" s="30"/>
      <c r="T541" s="30"/>
      <c r="W541" s="32" t="str">
        <f>IF($A541="","",IF(OR($M541="Out of Scope",$M541="Canceled"),"Out of Scope",IF($M541="Blocked","Blocked",IF(AND($T541&lt;&gt;"Fixed – Retest Passed",OR(LEN(TRIM($O541))&gt;0,LEN(TRIM($P541))&gt;0)),IF(AND(OR($L541="Medium",$L541="Low"),SUMPRODUCT((Cards!$A$4:$A$1000&lt;&gt;"")*ISNUMBER(SEARCH($A541,Cards!$E$4:$E$1000))*(Cards!$F$4:$F$1000&lt;&gt;"Medium")*(Cards!$F$4:$F$1000&lt;&gt;"Low"))=0),"Conditionally Passed","Failed"),IF($M541="Done","Passed","Not Run")))))</f>
        <v/>
      </c>
      <c r="Y541" s="27" t="str" cm="1">
        <f t="array" ref="Y541">IF($A541="","",IF(TRIM($B541)="","-",IFERROR(_xlfn.TEXTJOIN(" / ",TRUE,_xlfn.UNIQUE(_xlfn._xlws.FILTER('Ownership Matrix'!$C$5:$C$200,('Ownership Matrix'!$A$5:$A$200=TRIM($B541))*('Ownership Matrix'!$C$5:$C$200&lt;&gt;"")))),"ไม่พบใน Ownership Matrix")))</f>
        <v/>
      </c>
      <c r="Z541" s="31" t="str">
        <f>IF(NOT(AND($A541&lt;&gt;"",$M541&lt;&gt;"Out of Scope",$M541&lt;&gt;"Canceled",$T541&lt;&gt;"Fixed – Retest Passed",OR(LEN(TRIM($O541))&gt;0,LEN(TRIM($P541))&gt;0))),"",IF(OR($W541="Failed",$R541="Urgent",$R541="High",$R541="ระบุ Severity + Impact"),IF(COUNTIFS(Dashboard!$B$105:$B$124,$O541,Dashboard!$I$105:$I$124,"CAB")&gt;0,"Accepted (CF)","Blocking"),"Deferrable"))</f>
        <v/>
      </c>
    </row>
    <row r="542" spans="7:26" x14ac:dyDescent="0.3">
      <c r="G542" s="27" t="str" cm="1">
        <f t="array" ref="G542">IF($A542="","",IFERROR(_xlfn.TEXTJOIN(CHAR(10)&amp;CHAR(10),TRUE,_xlfn._xlws.FILTER("•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"&amp;Cards!$L$4:$L$1000),(Cards!$A$4:$A$1000&lt;&gt;"")*ISNUMBER(SEARCH($A542,Cards!$E$4:$E$1000)))),"-"))</f>
        <v/>
      </c>
      <c r="Q542" s="30"/>
      <c r="R542" s="27" t="str">
        <f>IF(OR($A542="",LEN(TRIM($O542))=0),"",IF(OR($P542="",$Q542=""),"ระบุ Severity + Impact",IFERROR(INDEX({"Urgent","Urgent","High","High";"Urgent","High","High","Medium";"High","High","Medium","Medium";"Medium","Medium","Low","Low"},MATCH($P542,{"Critical","High","Medium","Low"},0),MATCH($Q542,{"Extensive","Significant","Moderate","Minor"},0)),"-")))</f>
        <v/>
      </c>
      <c r="S542" s="30"/>
      <c r="T542" s="30"/>
      <c r="W542" s="32" t="str">
        <f>IF($A542="","",IF(OR($M542="Out of Scope",$M542="Canceled"),"Out of Scope",IF($M542="Blocked","Blocked",IF(AND($T542&lt;&gt;"Fixed – Retest Passed",OR(LEN(TRIM($O542))&gt;0,LEN(TRIM($P542))&gt;0)),IF(AND(OR($L542="Medium",$L542="Low"),SUMPRODUCT((Cards!$A$4:$A$1000&lt;&gt;"")*ISNUMBER(SEARCH($A542,Cards!$E$4:$E$1000))*(Cards!$F$4:$F$1000&lt;&gt;"Medium")*(Cards!$F$4:$F$1000&lt;&gt;"Low"))=0),"Conditionally Passed","Failed"),IF($M542="Done","Passed","Not Run")))))</f>
        <v/>
      </c>
      <c r="Y542" s="27" t="str" cm="1">
        <f t="array" ref="Y542">IF($A542="","",IF(TRIM($B542)="","-",IFERROR(_xlfn.TEXTJOIN(" / ",TRUE,_xlfn.UNIQUE(_xlfn._xlws.FILTER('Ownership Matrix'!$C$5:$C$200,('Ownership Matrix'!$A$5:$A$200=TRIM($B542))*('Ownership Matrix'!$C$5:$C$200&lt;&gt;"")))),"ไม่พบใน Ownership Matrix")))</f>
        <v/>
      </c>
      <c r="Z542" s="31" t="str">
        <f>IF(NOT(AND($A542&lt;&gt;"",$M542&lt;&gt;"Out of Scope",$M542&lt;&gt;"Canceled",$T542&lt;&gt;"Fixed – Retest Passed",OR(LEN(TRIM($O542))&gt;0,LEN(TRIM($P542))&gt;0))),"",IF(OR($W542="Failed",$R542="Urgent",$R542="High",$R542="ระบุ Severity + Impact"),IF(COUNTIFS(Dashboard!$B$105:$B$124,$O542,Dashboard!$I$105:$I$124,"CAB")&gt;0,"Accepted (CF)","Blocking"),"Deferrable"))</f>
        <v/>
      </c>
    </row>
    <row r="543" spans="7:26" x14ac:dyDescent="0.3">
      <c r="G543" s="27" t="str" cm="1">
        <f t="array" ref="G543">IF($A543="","",IFERROR(_xlfn.TEXTJOIN(CHAR(10)&amp;CHAR(10),TRUE,_xlfn._xlws.FILTER("•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"&amp;Cards!$L$4:$L$1000),(Cards!$A$4:$A$1000&lt;&gt;"")*ISNUMBER(SEARCH($A543,Cards!$E$4:$E$1000)))),"-"))</f>
        <v/>
      </c>
      <c r="Q543" s="30"/>
      <c r="R543" s="27" t="str">
        <f>IF(OR($A543="",LEN(TRIM($O543))=0),"",IF(OR($P543="",$Q543=""),"ระบุ Severity + Impact",IFERROR(INDEX({"Urgent","Urgent","High","High";"Urgent","High","High","Medium";"High","High","Medium","Medium";"Medium","Medium","Low","Low"},MATCH($P543,{"Critical","High","Medium","Low"},0),MATCH($Q543,{"Extensive","Significant","Moderate","Minor"},0)),"-")))</f>
        <v/>
      </c>
      <c r="S543" s="30"/>
      <c r="T543" s="30"/>
      <c r="W543" s="32" t="str">
        <f>IF($A543="","",IF(OR($M543="Out of Scope",$M543="Canceled"),"Out of Scope",IF($M543="Blocked","Blocked",IF(AND($T543&lt;&gt;"Fixed – Retest Passed",OR(LEN(TRIM($O543))&gt;0,LEN(TRIM($P543))&gt;0)),IF(AND(OR($L543="Medium",$L543="Low"),SUMPRODUCT((Cards!$A$4:$A$1000&lt;&gt;"")*ISNUMBER(SEARCH($A543,Cards!$E$4:$E$1000))*(Cards!$F$4:$F$1000&lt;&gt;"Medium")*(Cards!$F$4:$F$1000&lt;&gt;"Low"))=0),"Conditionally Passed","Failed"),IF($M543="Done","Passed","Not Run")))))</f>
        <v/>
      </c>
      <c r="Y543" s="27" t="str" cm="1">
        <f t="array" ref="Y543">IF($A543="","",IF(TRIM($B543)="","-",IFERROR(_xlfn.TEXTJOIN(" / ",TRUE,_xlfn.UNIQUE(_xlfn._xlws.FILTER('Ownership Matrix'!$C$5:$C$200,('Ownership Matrix'!$A$5:$A$200=TRIM($B543))*('Ownership Matrix'!$C$5:$C$200&lt;&gt;"")))),"ไม่พบใน Ownership Matrix")))</f>
        <v/>
      </c>
      <c r="Z543" s="31" t="str">
        <f>IF(NOT(AND($A543&lt;&gt;"",$M543&lt;&gt;"Out of Scope",$M543&lt;&gt;"Canceled",$T543&lt;&gt;"Fixed – Retest Passed",OR(LEN(TRIM($O543))&gt;0,LEN(TRIM($P543))&gt;0))),"",IF(OR($W543="Failed",$R543="Urgent",$R543="High",$R543="ระบุ Severity + Impact"),IF(COUNTIFS(Dashboard!$B$105:$B$124,$O543,Dashboard!$I$105:$I$124,"CAB")&gt;0,"Accepted (CF)","Blocking"),"Deferrable"))</f>
        <v/>
      </c>
    </row>
    <row r="544" spans="7:26" x14ac:dyDescent="0.3">
      <c r="G544" s="27" t="str" cm="1">
        <f t="array" ref="G544">IF($A544="","",IFERROR(_xlfn.TEXTJOIN(CHAR(10)&amp;CHAR(10),TRUE,_xlfn._xlws.FILTER("•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"&amp;Cards!$L$4:$L$1000),(Cards!$A$4:$A$1000&lt;&gt;"")*ISNUMBER(SEARCH($A544,Cards!$E$4:$E$1000)))),"-"))</f>
        <v/>
      </c>
      <c r="Q544" s="30"/>
      <c r="R544" s="27" t="str">
        <f>IF(OR($A544="",LEN(TRIM($O544))=0),"",IF(OR($P544="",$Q544=""),"ระบุ Severity + Impact",IFERROR(INDEX({"Urgent","Urgent","High","High";"Urgent","High","High","Medium";"High","High","Medium","Medium";"Medium","Medium","Low","Low"},MATCH($P544,{"Critical","High","Medium","Low"},0),MATCH($Q544,{"Extensive","Significant","Moderate","Minor"},0)),"-")))</f>
        <v/>
      </c>
      <c r="S544" s="30"/>
      <c r="T544" s="30"/>
      <c r="W544" s="32" t="str">
        <f>IF($A544="","",IF(OR($M544="Out of Scope",$M544="Canceled"),"Out of Scope",IF($M544="Blocked","Blocked",IF(AND($T544&lt;&gt;"Fixed – Retest Passed",OR(LEN(TRIM($O544))&gt;0,LEN(TRIM($P544))&gt;0)),IF(AND(OR($L544="Medium",$L544="Low"),SUMPRODUCT((Cards!$A$4:$A$1000&lt;&gt;"")*ISNUMBER(SEARCH($A544,Cards!$E$4:$E$1000))*(Cards!$F$4:$F$1000&lt;&gt;"Medium")*(Cards!$F$4:$F$1000&lt;&gt;"Low"))=0),"Conditionally Passed","Failed"),IF($M544="Done","Passed","Not Run")))))</f>
        <v/>
      </c>
      <c r="Y544" s="27" t="str" cm="1">
        <f t="array" ref="Y544">IF($A544="","",IF(TRIM($B544)="","-",IFERROR(_xlfn.TEXTJOIN(" / ",TRUE,_xlfn.UNIQUE(_xlfn._xlws.FILTER('Ownership Matrix'!$C$5:$C$200,('Ownership Matrix'!$A$5:$A$200=TRIM($B544))*('Ownership Matrix'!$C$5:$C$200&lt;&gt;"")))),"ไม่พบใน Ownership Matrix")))</f>
        <v/>
      </c>
      <c r="Z544" s="31" t="str">
        <f>IF(NOT(AND($A544&lt;&gt;"",$M544&lt;&gt;"Out of Scope",$M544&lt;&gt;"Canceled",$T544&lt;&gt;"Fixed – Retest Passed",OR(LEN(TRIM($O544))&gt;0,LEN(TRIM($P544))&gt;0))),"",IF(OR($W544="Failed",$R544="Urgent",$R544="High",$R544="ระบุ Severity + Impact"),IF(COUNTIFS(Dashboard!$B$105:$B$124,$O544,Dashboard!$I$105:$I$124,"CAB")&gt;0,"Accepted (CF)","Blocking"),"Deferrable"))</f>
        <v/>
      </c>
    </row>
    <row r="545" spans="7:26" x14ac:dyDescent="0.3">
      <c r="G545" s="27" t="str" cm="1">
        <f t="array" ref="G545">IF($A545="","",IFERROR(_xlfn.TEXTJOIN(CHAR(10)&amp;CHAR(10),TRUE,_xlfn._xlws.FILTER("•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"&amp;Cards!$L$4:$L$1000),(Cards!$A$4:$A$1000&lt;&gt;"")*ISNUMBER(SEARCH($A545,Cards!$E$4:$E$1000)))),"-"))</f>
        <v/>
      </c>
      <c r="Q545" s="30"/>
      <c r="R545" s="27" t="str">
        <f>IF(OR($A545="",LEN(TRIM($O545))=0),"",IF(OR($P545="",$Q545=""),"ระบุ Severity + Impact",IFERROR(INDEX({"Urgent","Urgent","High","High";"Urgent","High","High","Medium";"High","High","Medium","Medium";"Medium","Medium","Low","Low"},MATCH($P545,{"Critical","High","Medium","Low"},0),MATCH($Q545,{"Extensive","Significant","Moderate","Minor"},0)),"-")))</f>
        <v/>
      </c>
      <c r="S545" s="30"/>
      <c r="T545" s="30"/>
      <c r="W545" s="32" t="str">
        <f>IF($A545="","",IF(OR($M545="Out of Scope",$M545="Canceled"),"Out of Scope",IF($M545="Blocked","Blocked",IF(AND($T545&lt;&gt;"Fixed – Retest Passed",OR(LEN(TRIM($O545))&gt;0,LEN(TRIM($P545))&gt;0)),IF(AND(OR($L545="Medium",$L545="Low"),SUMPRODUCT((Cards!$A$4:$A$1000&lt;&gt;"")*ISNUMBER(SEARCH($A545,Cards!$E$4:$E$1000))*(Cards!$F$4:$F$1000&lt;&gt;"Medium")*(Cards!$F$4:$F$1000&lt;&gt;"Low"))=0),"Conditionally Passed","Failed"),IF($M545="Done","Passed","Not Run")))))</f>
        <v/>
      </c>
      <c r="Y545" s="27" t="str" cm="1">
        <f t="array" ref="Y545">IF($A545="","",IF(TRIM($B545)="","-",IFERROR(_xlfn.TEXTJOIN(" / ",TRUE,_xlfn.UNIQUE(_xlfn._xlws.FILTER('Ownership Matrix'!$C$5:$C$200,('Ownership Matrix'!$A$5:$A$200=TRIM($B545))*('Ownership Matrix'!$C$5:$C$200&lt;&gt;"")))),"ไม่พบใน Ownership Matrix")))</f>
        <v/>
      </c>
      <c r="Z545" s="31" t="str">
        <f>IF(NOT(AND($A545&lt;&gt;"",$M545&lt;&gt;"Out of Scope",$M545&lt;&gt;"Canceled",$T545&lt;&gt;"Fixed – Retest Passed",OR(LEN(TRIM($O545))&gt;0,LEN(TRIM($P545))&gt;0))),"",IF(OR($W545="Failed",$R545="Urgent",$R545="High",$R545="ระบุ Severity + Impact"),IF(COUNTIFS(Dashboard!$B$105:$B$124,$O545,Dashboard!$I$105:$I$124,"CAB")&gt;0,"Accepted (CF)","Blocking"),"Deferrable"))</f>
        <v/>
      </c>
    </row>
    <row r="546" spans="7:26" x14ac:dyDescent="0.3">
      <c r="G546" s="27" t="str" cm="1">
        <f t="array" ref="G546">IF($A546="","",IFERROR(_xlfn.TEXTJOIN(CHAR(10)&amp;CHAR(10),TRUE,_xlfn._xlws.FILTER("•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"&amp;Cards!$L$4:$L$1000),(Cards!$A$4:$A$1000&lt;&gt;"")*ISNUMBER(SEARCH($A546,Cards!$E$4:$E$1000)))),"-"))</f>
        <v/>
      </c>
      <c r="Q546" s="30"/>
      <c r="R546" s="27" t="str">
        <f>IF(OR($A546="",LEN(TRIM($O546))=0),"",IF(OR($P546="",$Q546=""),"ระบุ Severity + Impact",IFERROR(INDEX({"Urgent","Urgent","High","High";"Urgent","High","High","Medium";"High","High","Medium","Medium";"Medium","Medium","Low","Low"},MATCH($P546,{"Critical","High","Medium","Low"},0),MATCH($Q546,{"Extensive","Significant","Moderate","Minor"},0)),"-")))</f>
        <v/>
      </c>
      <c r="S546" s="30"/>
      <c r="T546" s="30"/>
      <c r="W546" s="32" t="str">
        <f>IF($A546="","",IF(OR($M546="Out of Scope",$M546="Canceled"),"Out of Scope",IF($M546="Blocked","Blocked",IF(AND($T546&lt;&gt;"Fixed – Retest Passed",OR(LEN(TRIM($O546))&gt;0,LEN(TRIM($P546))&gt;0)),IF(AND(OR($L546="Medium",$L546="Low"),SUMPRODUCT((Cards!$A$4:$A$1000&lt;&gt;"")*ISNUMBER(SEARCH($A546,Cards!$E$4:$E$1000))*(Cards!$F$4:$F$1000&lt;&gt;"Medium")*(Cards!$F$4:$F$1000&lt;&gt;"Low"))=0),"Conditionally Passed","Failed"),IF($M546="Done","Passed","Not Run")))))</f>
        <v/>
      </c>
      <c r="Y546" s="27" t="str" cm="1">
        <f t="array" ref="Y546">IF($A546="","",IF(TRIM($B546)="","-",IFERROR(_xlfn.TEXTJOIN(" / ",TRUE,_xlfn.UNIQUE(_xlfn._xlws.FILTER('Ownership Matrix'!$C$5:$C$200,('Ownership Matrix'!$A$5:$A$200=TRIM($B546))*('Ownership Matrix'!$C$5:$C$200&lt;&gt;"")))),"ไม่พบใน Ownership Matrix")))</f>
        <v/>
      </c>
      <c r="Z546" s="31" t="str">
        <f>IF(NOT(AND($A546&lt;&gt;"",$M546&lt;&gt;"Out of Scope",$M546&lt;&gt;"Canceled",$T546&lt;&gt;"Fixed – Retest Passed",OR(LEN(TRIM($O546))&gt;0,LEN(TRIM($P546))&gt;0))),"",IF(OR($W546="Failed",$R546="Urgent",$R546="High",$R546="ระบุ Severity + Impact"),IF(COUNTIFS(Dashboard!$B$105:$B$124,$O546,Dashboard!$I$105:$I$124,"CAB")&gt;0,"Accepted (CF)","Blocking"),"Deferrable"))</f>
        <v/>
      </c>
    </row>
    <row r="547" spans="7:26" x14ac:dyDescent="0.3">
      <c r="G547" s="27" t="str" cm="1">
        <f t="array" ref="G547">IF($A547="","",IFERROR(_xlfn.TEXTJOIN(CHAR(10)&amp;CHAR(10),TRUE,_xlfn._xlws.FILTER("•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"&amp;Cards!$L$4:$L$1000),(Cards!$A$4:$A$1000&lt;&gt;"")*ISNUMBER(SEARCH($A547,Cards!$E$4:$E$1000)))),"-"))</f>
        <v/>
      </c>
      <c r="Q547" s="30"/>
      <c r="R547" s="27" t="str">
        <f>IF(OR($A547="",LEN(TRIM($O547))=0),"",IF(OR($P547="",$Q547=""),"ระบุ Severity + Impact",IFERROR(INDEX({"Urgent","Urgent","High","High";"Urgent","High","High","Medium";"High","High","Medium","Medium";"Medium","Medium","Low","Low"},MATCH($P547,{"Critical","High","Medium","Low"},0),MATCH($Q547,{"Extensive","Significant","Moderate","Minor"},0)),"-")))</f>
        <v/>
      </c>
      <c r="S547" s="30"/>
      <c r="T547" s="30"/>
      <c r="W547" s="32" t="str">
        <f>IF($A547="","",IF(OR($M547="Out of Scope",$M547="Canceled"),"Out of Scope",IF($M547="Blocked","Blocked",IF(AND($T547&lt;&gt;"Fixed – Retest Passed",OR(LEN(TRIM($O547))&gt;0,LEN(TRIM($P547))&gt;0)),IF(AND(OR($L547="Medium",$L547="Low"),SUMPRODUCT((Cards!$A$4:$A$1000&lt;&gt;"")*ISNUMBER(SEARCH($A547,Cards!$E$4:$E$1000))*(Cards!$F$4:$F$1000&lt;&gt;"Medium")*(Cards!$F$4:$F$1000&lt;&gt;"Low"))=0),"Conditionally Passed","Failed"),IF($M547="Done","Passed","Not Run")))))</f>
        <v/>
      </c>
      <c r="Y547" s="27" t="str" cm="1">
        <f t="array" ref="Y547">IF($A547="","",IF(TRIM($B547)="","-",IFERROR(_xlfn.TEXTJOIN(" / ",TRUE,_xlfn.UNIQUE(_xlfn._xlws.FILTER('Ownership Matrix'!$C$5:$C$200,('Ownership Matrix'!$A$5:$A$200=TRIM($B547))*('Ownership Matrix'!$C$5:$C$200&lt;&gt;"")))),"ไม่พบใน Ownership Matrix")))</f>
        <v/>
      </c>
      <c r="Z547" s="31" t="str">
        <f>IF(NOT(AND($A547&lt;&gt;"",$M547&lt;&gt;"Out of Scope",$M547&lt;&gt;"Canceled",$T547&lt;&gt;"Fixed – Retest Passed",OR(LEN(TRIM($O547))&gt;0,LEN(TRIM($P547))&gt;0))),"",IF(OR($W547="Failed",$R547="Urgent",$R547="High",$R547="ระบุ Severity + Impact"),IF(COUNTIFS(Dashboard!$B$105:$B$124,$O547,Dashboard!$I$105:$I$124,"CAB")&gt;0,"Accepted (CF)","Blocking"),"Deferrable"))</f>
        <v/>
      </c>
    </row>
    <row r="548" spans="7:26" x14ac:dyDescent="0.3">
      <c r="G548" s="27" t="str" cm="1">
        <f t="array" ref="G548">IF($A548="","",IFERROR(_xlfn.TEXTJOIN(CHAR(10)&amp;CHAR(10),TRUE,_xlfn._xlws.FILTER("•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"&amp;Cards!$L$4:$L$1000),(Cards!$A$4:$A$1000&lt;&gt;"")*ISNUMBER(SEARCH($A548,Cards!$E$4:$E$1000)))),"-"))</f>
        <v/>
      </c>
      <c r="Q548" s="30"/>
      <c r="R548" s="27" t="str">
        <f>IF(OR($A548="",LEN(TRIM($O548))=0),"",IF(OR($P548="",$Q548=""),"ระบุ Severity + Impact",IFERROR(INDEX({"Urgent","Urgent","High","High";"Urgent","High","High","Medium";"High","High","Medium","Medium";"Medium","Medium","Low","Low"},MATCH($P548,{"Critical","High","Medium","Low"},0),MATCH($Q548,{"Extensive","Significant","Moderate","Minor"},0)),"-")))</f>
        <v/>
      </c>
      <c r="S548" s="30"/>
      <c r="T548" s="30"/>
      <c r="W548" s="32" t="str">
        <f>IF($A548="","",IF(OR($M548="Out of Scope",$M548="Canceled"),"Out of Scope",IF($M548="Blocked","Blocked",IF(AND($T548&lt;&gt;"Fixed – Retest Passed",OR(LEN(TRIM($O548))&gt;0,LEN(TRIM($P548))&gt;0)),IF(AND(OR($L548="Medium",$L548="Low"),SUMPRODUCT((Cards!$A$4:$A$1000&lt;&gt;"")*ISNUMBER(SEARCH($A548,Cards!$E$4:$E$1000))*(Cards!$F$4:$F$1000&lt;&gt;"Medium")*(Cards!$F$4:$F$1000&lt;&gt;"Low"))=0),"Conditionally Passed","Failed"),IF($M548="Done","Passed","Not Run")))))</f>
        <v/>
      </c>
      <c r="Y548" s="27" t="str" cm="1">
        <f t="array" ref="Y548">IF($A548="","",IF(TRIM($B548)="","-",IFERROR(_xlfn.TEXTJOIN(" / ",TRUE,_xlfn.UNIQUE(_xlfn._xlws.FILTER('Ownership Matrix'!$C$5:$C$200,('Ownership Matrix'!$A$5:$A$200=TRIM($B548))*('Ownership Matrix'!$C$5:$C$200&lt;&gt;"")))),"ไม่พบใน Ownership Matrix")))</f>
        <v/>
      </c>
      <c r="Z548" s="31" t="str">
        <f>IF(NOT(AND($A548&lt;&gt;"",$M548&lt;&gt;"Out of Scope",$M548&lt;&gt;"Canceled",$T548&lt;&gt;"Fixed – Retest Passed",OR(LEN(TRIM($O548))&gt;0,LEN(TRIM($P548))&gt;0))),"",IF(OR($W548="Failed",$R548="Urgent",$R548="High",$R548="ระบุ Severity + Impact"),IF(COUNTIFS(Dashboard!$B$105:$B$124,$O548,Dashboard!$I$105:$I$124,"CAB")&gt;0,"Accepted (CF)","Blocking"),"Deferrable"))</f>
        <v/>
      </c>
    </row>
    <row r="549" spans="7:26" x14ac:dyDescent="0.3">
      <c r="G549" s="27" t="str" cm="1">
        <f t="array" ref="G549">IF($A549="","",IFERROR(_xlfn.TEXTJOIN(CHAR(10)&amp;CHAR(10),TRUE,_xlfn._xlws.FILTER("•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"&amp;Cards!$L$4:$L$1000),(Cards!$A$4:$A$1000&lt;&gt;"")*ISNUMBER(SEARCH($A549,Cards!$E$4:$E$1000)))),"-"))</f>
        <v/>
      </c>
      <c r="Q549" s="30"/>
      <c r="R549" s="27" t="str">
        <f>IF(OR($A549="",LEN(TRIM($O549))=0),"",IF(OR($P549="",$Q549=""),"ระบุ Severity + Impact",IFERROR(INDEX({"Urgent","Urgent","High","High";"Urgent","High","High","Medium";"High","High","Medium","Medium";"Medium","Medium","Low","Low"},MATCH($P549,{"Critical","High","Medium","Low"},0),MATCH($Q549,{"Extensive","Significant","Moderate","Minor"},0)),"-")))</f>
        <v/>
      </c>
      <c r="S549" s="30"/>
      <c r="T549" s="30"/>
      <c r="W549" s="32" t="str">
        <f>IF($A549="","",IF(OR($M549="Out of Scope",$M549="Canceled"),"Out of Scope",IF($M549="Blocked","Blocked",IF(AND($T549&lt;&gt;"Fixed – Retest Passed",OR(LEN(TRIM($O549))&gt;0,LEN(TRIM($P549))&gt;0)),IF(AND(OR($L549="Medium",$L549="Low"),SUMPRODUCT((Cards!$A$4:$A$1000&lt;&gt;"")*ISNUMBER(SEARCH($A549,Cards!$E$4:$E$1000))*(Cards!$F$4:$F$1000&lt;&gt;"Medium")*(Cards!$F$4:$F$1000&lt;&gt;"Low"))=0),"Conditionally Passed","Failed"),IF($M549="Done","Passed","Not Run")))))</f>
        <v/>
      </c>
      <c r="Y549" s="27" t="str" cm="1">
        <f t="array" ref="Y549">IF($A549="","",IF(TRIM($B549)="","-",IFERROR(_xlfn.TEXTJOIN(" / ",TRUE,_xlfn.UNIQUE(_xlfn._xlws.FILTER('Ownership Matrix'!$C$5:$C$200,('Ownership Matrix'!$A$5:$A$200=TRIM($B549))*('Ownership Matrix'!$C$5:$C$200&lt;&gt;"")))),"ไม่พบใน Ownership Matrix")))</f>
        <v/>
      </c>
      <c r="Z549" s="31" t="str">
        <f>IF(NOT(AND($A549&lt;&gt;"",$M549&lt;&gt;"Out of Scope",$M549&lt;&gt;"Canceled",$T549&lt;&gt;"Fixed – Retest Passed",OR(LEN(TRIM($O549))&gt;0,LEN(TRIM($P549))&gt;0))),"",IF(OR($W549="Failed",$R549="Urgent",$R549="High",$R549="ระบุ Severity + Impact"),IF(COUNTIFS(Dashboard!$B$105:$B$124,$O549,Dashboard!$I$105:$I$124,"CAB")&gt;0,"Accepted (CF)","Blocking"),"Deferrable"))</f>
        <v/>
      </c>
    </row>
    <row r="550" spans="7:26" x14ac:dyDescent="0.3">
      <c r="G550" s="27" t="str" cm="1">
        <f t="array" ref="G550">IF($A550="","",IFERROR(_xlfn.TEXTJOIN(CHAR(10)&amp;CHAR(10),TRUE,_xlfn._xlws.FILTER("•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"&amp;Cards!$L$4:$L$1000),(Cards!$A$4:$A$1000&lt;&gt;"")*ISNUMBER(SEARCH($A550,Cards!$E$4:$E$1000)))),"-"))</f>
        <v/>
      </c>
      <c r="Q550" s="30"/>
      <c r="R550" s="27" t="str">
        <f>IF(OR($A550="",LEN(TRIM($O550))=0),"",IF(OR($P550="",$Q550=""),"ระบุ Severity + Impact",IFERROR(INDEX({"Urgent","Urgent","High","High";"Urgent","High","High","Medium";"High","High","Medium","Medium";"Medium","Medium","Low","Low"},MATCH($P550,{"Critical","High","Medium","Low"},0),MATCH($Q550,{"Extensive","Significant","Moderate","Minor"},0)),"-")))</f>
        <v/>
      </c>
      <c r="S550" s="30"/>
      <c r="T550" s="30"/>
      <c r="W550" s="32" t="str">
        <f>IF($A550="","",IF(OR($M550="Out of Scope",$M550="Canceled"),"Out of Scope",IF($M550="Blocked","Blocked",IF(AND($T550&lt;&gt;"Fixed – Retest Passed",OR(LEN(TRIM($O550))&gt;0,LEN(TRIM($P550))&gt;0)),IF(AND(OR($L550="Medium",$L550="Low"),SUMPRODUCT((Cards!$A$4:$A$1000&lt;&gt;"")*ISNUMBER(SEARCH($A550,Cards!$E$4:$E$1000))*(Cards!$F$4:$F$1000&lt;&gt;"Medium")*(Cards!$F$4:$F$1000&lt;&gt;"Low"))=0),"Conditionally Passed","Failed"),IF($M550="Done","Passed","Not Run")))))</f>
        <v/>
      </c>
      <c r="Y550" s="27" t="str" cm="1">
        <f t="array" ref="Y550">IF($A550="","",IF(TRIM($B550)="","-",IFERROR(_xlfn.TEXTJOIN(" / ",TRUE,_xlfn.UNIQUE(_xlfn._xlws.FILTER('Ownership Matrix'!$C$5:$C$200,('Ownership Matrix'!$A$5:$A$200=TRIM($B550))*('Ownership Matrix'!$C$5:$C$200&lt;&gt;"")))),"ไม่พบใน Ownership Matrix")))</f>
        <v/>
      </c>
      <c r="Z550" s="31" t="str">
        <f>IF(NOT(AND($A550&lt;&gt;"",$M550&lt;&gt;"Out of Scope",$M550&lt;&gt;"Canceled",$T550&lt;&gt;"Fixed – Retest Passed",OR(LEN(TRIM($O550))&gt;0,LEN(TRIM($P550))&gt;0))),"",IF(OR($W550="Failed",$R550="Urgent",$R550="High",$R550="ระบุ Severity + Impact"),IF(COUNTIFS(Dashboard!$B$105:$B$124,$O550,Dashboard!$I$105:$I$124,"CAB")&gt;0,"Accepted (CF)","Blocking"),"Deferrable"))</f>
        <v/>
      </c>
    </row>
    <row r="551" spans="7:26" x14ac:dyDescent="0.3">
      <c r="G551" s="27" t="str" cm="1">
        <f t="array" ref="G551">IF($A551="","",IFERROR(_xlfn.TEXTJOIN(CHAR(10)&amp;CHAR(10),TRUE,_xlfn._xlws.FILTER("•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"&amp;Cards!$L$4:$L$1000),(Cards!$A$4:$A$1000&lt;&gt;"")*ISNUMBER(SEARCH($A551,Cards!$E$4:$E$1000)))),"-"))</f>
        <v/>
      </c>
      <c r="Q551" s="30"/>
      <c r="R551" s="27" t="str">
        <f>IF(OR($A551="",LEN(TRIM($O551))=0),"",IF(OR($P551="",$Q551=""),"ระบุ Severity + Impact",IFERROR(INDEX({"Urgent","Urgent","High","High";"Urgent","High","High","Medium";"High","High","Medium","Medium";"Medium","Medium","Low","Low"},MATCH($P551,{"Critical","High","Medium","Low"},0),MATCH($Q551,{"Extensive","Significant","Moderate","Minor"},0)),"-")))</f>
        <v/>
      </c>
      <c r="S551" s="30"/>
      <c r="T551" s="30"/>
      <c r="W551" s="32" t="str">
        <f>IF($A551="","",IF(OR($M551="Out of Scope",$M551="Canceled"),"Out of Scope",IF($M551="Blocked","Blocked",IF(AND($T551&lt;&gt;"Fixed – Retest Passed",OR(LEN(TRIM($O551))&gt;0,LEN(TRIM($P551))&gt;0)),IF(AND(OR($L551="Medium",$L551="Low"),SUMPRODUCT((Cards!$A$4:$A$1000&lt;&gt;"")*ISNUMBER(SEARCH($A551,Cards!$E$4:$E$1000))*(Cards!$F$4:$F$1000&lt;&gt;"Medium")*(Cards!$F$4:$F$1000&lt;&gt;"Low"))=0),"Conditionally Passed","Failed"),IF($M551="Done","Passed","Not Run")))))</f>
        <v/>
      </c>
      <c r="Y551" s="27" t="str" cm="1">
        <f t="array" ref="Y551">IF($A551="","",IF(TRIM($B551)="","-",IFERROR(_xlfn.TEXTJOIN(" / ",TRUE,_xlfn.UNIQUE(_xlfn._xlws.FILTER('Ownership Matrix'!$C$5:$C$200,('Ownership Matrix'!$A$5:$A$200=TRIM($B551))*('Ownership Matrix'!$C$5:$C$200&lt;&gt;"")))),"ไม่พบใน Ownership Matrix")))</f>
        <v/>
      </c>
      <c r="Z551" s="31" t="str">
        <f>IF(NOT(AND($A551&lt;&gt;"",$M551&lt;&gt;"Out of Scope",$M551&lt;&gt;"Canceled",$T551&lt;&gt;"Fixed – Retest Passed",OR(LEN(TRIM($O551))&gt;0,LEN(TRIM($P551))&gt;0))),"",IF(OR($W551="Failed",$R551="Urgent",$R551="High",$R551="ระบุ Severity + Impact"),IF(COUNTIFS(Dashboard!$B$105:$B$124,$O551,Dashboard!$I$105:$I$124,"CAB")&gt;0,"Accepted (CF)","Blocking"),"Deferrable"))</f>
        <v/>
      </c>
    </row>
    <row r="552" spans="7:26" x14ac:dyDescent="0.3">
      <c r="G552" s="27" t="str" cm="1">
        <f t="array" ref="G552">IF($A552="","",IFERROR(_xlfn.TEXTJOIN(CHAR(10)&amp;CHAR(10),TRUE,_xlfn._xlws.FILTER("•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"&amp;Cards!$L$4:$L$1000),(Cards!$A$4:$A$1000&lt;&gt;"")*ISNUMBER(SEARCH($A552,Cards!$E$4:$E$1000)))),"-"))</f>
        <v/>
      </c>
      <c r="Q552" s="30"/>
      <c r="R552" s="27" t="str">
        <f>IF(OR($A552="",LEN(TRIM($O552))=0),"",IF(OR($P552="",$Q552=""),"ระบุ Severity + Impact",IFERROR(INDEX({"Urgent","Urgent","High","High";"Urgent","High","High","Medium";"High","High","Medium","Medium";"Medium","Medium","Low","Low"},MATCH($P552,{"Critical","High","Medium","Low"},0),MATCH($Q552,{"Extensive","Significant","Moderate","Minor"},0)),"-")))</f>
        <v/>
      </c>
      <c r="S552" s="30"/>
      <c r="T552" s="30"/>
      <c r="W552" s="32" t="str">
        <f>IF($A552="","",IF(OR($M552="Out of Scope",$M552="Canceled"),"Out of Scope",IF($M552="Blocked","Blocked",IF(AND($T552&lt;&gt;"Fixed – Retest Passed",OR(LEN(TRIM($O552))&gt;0,LEN(TRIM($P552))&gt;0)),IF(AND(OR($L552="Medium",$L552="Low"),SUMPRODUCT((Cards!$A$4:$A$1000&lt;&gt;"")*ISNUMBER(SEARCH($A552,Cards!$E$4:$E$1000))*(Cards!$F$4:$F$1000&lt;&gt;"Medium")*(Cards!$F$4:$F$1000&lt;&gt;"Low"))=0),"Conditionally Passed","Failed"),IF($M552="Done","Passed","Not Run")))))</f>
        <v/>
      </c>
      <c r="Y552" s="27" t="str" cm="1">
        <f t="array" ref="Y552">IF($A552="","",IF(TRIM($B552)="","-",IFERROR(_xlfn.TEXTJOIN(" / ",TRUE,_xlfn.UNIQUE(_xlfn._xlws.FILTER('Ownership Matrix'!$C$5:$C$200,('Ownership Matrix'!$A$5:$A$200=TRIM($B552))*('Ownership Matrix'!$C$5:$C$200&lt;&gt;"")))),"ไม่พบใน Ownership Matrix")))</f>
        <v/>
      </c>
      <c r="Z552" s="31" t="str">
        <f>IF(NOT(AND($A552&lt;&gt;"",$M552&lt;&gt;"Out of Scope",$M552&lt;&gt;"Canceled",$T552&lt;&gt;"Fixed – Retest Passed",OR(LEN(TRIM($O552))&gt;0,LEN(TRIM($P552))&gt;0))),"",IF(OR($W552="Failed",$R552="Urgent",$R552="High",$R552="ระบุ Severity + Impact"),IF(COUNTIFS(Dashboard!$B$105:$B$124,$O552,Dashboard!$I$105:$I$124,"CAB")&gt;0,"Accepted (CF)","Blocking"),"Deferrable"))</f>
        <v/>
      </c>
    </row>
    <row r="553" spans="7:26" x14ac:dyDescent="0.3">
      <c r="G553" s="27" t="str" cm="1">
        <f t="array" ref="G553">IF($A553="","",IFERROR(_xlfn.TEXTJOIN(CHAR(10)&amp;CHAR(10),TRUE,_xlfn._xlws.FILTER("•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"&amp;Cards!$L$4:$L$1000),(Cards!$A$4:$A$1000&lt;&gt;"")*ISNUMBER(SEARCH($A553,Cards!$E$4:$E$1000)))),"-"))</f>
        <v/>
      </c>
      <c r="Q553" s="30"/>
      <c r="R553" s="27" t="str">
        <f>IF(OR($A553="",LEN(TRIM($O553))=0),"",IF(OR($P553="",$Q553=""),"ระบุ Severity + Impact",IFERROR(INDEX({"Urgent","Urgent","High","High";"Urgent","High","High","Medium";"High","High","Medium","Medium";"Medium","Medium","Low","Low"},MATCH($P553,{"Critical","High","Medium","Low"},0),MATCH($Q553,{"Extensive","Significant","Moderate","Minor"},0)),"-")))</f>
        <v/>
      </c>
      <c r="S553" s="30"/>
      <c r="T553" s="30"/>
      <c r="W553" s="32" t="str">
        <f>IF($A553="","",IF(OR($M553="Out of Scope",$M553="Canceled"),"Out of Scope",IF($M553="Blocked","Blocked",IF(AND($T553&lt;&gt;"Fixed – Retest Passed",OR(LEN(TRIM($O553))&gt;0,LEN(TRIM($P553))&gt;0)),IF(AND(OR($L553="Medium",$L553="Low"),SUMPRODUCT((Cards!$A$4:$A$1000&lt;&gt;"")*ISNUMBER(SEARCH($A553,Cards!$E$4:$E$1000))*(Cards!$F$4:$F$1000&lt;&gt;"Medium")*(Cards!$F$4:$F$1000&lt;&gt;"Low"))=0),"Conditionally Passed","Failed"),IF($M553="Done","Passed","Not Run")))))</f>
        <v/>
      </c>
      <c r="Y553" s="27" t="str" cm="1">
        <f t="array" ref="Y553">IF($A553="","",IF(TRIM($B553)="","-",IFERROR(_xlfn.TEXTJOIN(" / ",TRUE,_xlfn.UNIQUE(_xlfn._xlws.FILTER('Ownership Matrix'!$C$5:$C$200,('Ownership Matrix'!$A$5:$A$200=TRIM($B553))*('Ownership Matrix'!$C$5:$C$200&lt;&gt;"")))),"ไม่พบใน Ownership Matrix")))</f>
        <v/>
      </c>
      <c r="Z553" s="31" t="str">
        <f>IF(NOT(AND($A553&lt;&gt;"",$M553&lt;&gt;"Out of Scope",$M553&lt;&gt;"Canceled",$T553&lt;&gt;"Fixed – Retest Passed",OR(LEN(TRIM($O553))&gt;0,LEN(TRIM($P553))&gt;0))),"",IF(OR($W553="Failed",$R553="Urgent",$R553="High",$R553="ระบุ Severity + Impact"),IF(COUNTIFS(Dashboard!$B$105:$B$124,$O553,Dashboard!$I$105:$I$124,"CAB")&gt;0,"Accepted (CF)","Blocking"),"Deferrable"))</f>
        <v/>
      </c>
    </row>
    <row r="554" spans="7:26" x14ac:dyDescent="0.3">
      <c r="G554" s="27" t="str" cm="1">
        <f t="array" ref="G554">IF($A554="","",IFERROR(_xlfn.TEXTJOIN(CHAR(10)&amp;CHAR(10),TRUE,_xlfn._xlws.FILTER("•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"&amp;Cards!$L$4:$L$1000),(Cards!$A$4:$A$1000&lt;&gt;"")*ISNUMBER(SEARCH($A554,Cards!$E$4:$E$1000)))),"-"))</f>
        <v/>
      </c>
      <c r="Q554" s="30"/>
      <c r="R554" s="27" t="str">
        <f>IF(OR($A554="",LEN(TRIM($O554))=0),"",IF(OR($P554="",$Q554=""),"ระบุ Severity + Impact",IFERROR(INDEX({"Urgent","Urgent","High","High";"Urgent","High","High","Medium";"High","High","Medium","Medium";"Medium","Medium","Low","Low"},MATCH($P554,{"Critical","High","Medium","Low"},0),MATCH($Q554,{"Extensive","Significant","Moderate","Minor"},0)),"-")))</f>
        <v/>
      </c>
      <c r="S554" s="30"/>
      <c r="T554" s="30"/>
      <c r="W554" s="32" t="str">
        <f>IF($A554="","",IF(OR($M554="Out of Scope",$M554="Canceled"),"Out of Scope",IF($M554="Blocked","Blocked",IF(AND($T554&lt;&gt;"Fixed – Retest Passed",OR(LEN(TRIM($O554))&gt;0,LEN(TRIM($P554))&gt;0)),IF(AND(OR($L554="Medium",$L554="Low"),SUMPRODUCT((Cards!$A$4:$A$1000&lt;&gt;"")*ISNUMBER(SEARCH($A554,Cards!$E$4:$E$1000))*(Cards!$F$4:$F$1000&lt;&gt;"Medium")*(Cards!$F$4:$F$1000&lt;&gt;"Low"))=0),"Conditionally Passed","Failed"),IF($M554="Done","Passed","Not Run")))))</f>
        <v/>
      </c>
      <c r="Y554" s="27" t="str" cm="1">
        <f t="array" ref="Y554">IF($A554="","",IF(TRIM($B554)="","-",IFERROR(_xlfn.TEXTJOIN(" / ",TRUE,_xlfn.UNIQUE(_xlfn._xlws.FILTER('Ownership Matrix'!$C$5:$C$200,('Ownership Matrix'!$A$5:$A$200=TRIM($B554))*('Ownership Matrix'!$C$5:$C$200&lt;&gt;"")))),"ไม่พบใน Ownership Matrix")))</f>
        <v/>
      </c>
      <c r="Z554" s="31" t="str">
        <f>IF(NOT(AND($A554&lt;&gt;"",$M554&lt;&gt;"Out of Scope",$M554&lt;&gt;"Canceled",$T554&lt;&gt;"Fixed – Retest Passed",OR(LEN(TRIM($O554))&gt;0,LEN(TRIM($P554))&gt;0))),"",IF(OR($W554="Failed",$R554="Urgent",$R554="High",$R554="ระบุ Severity + Impact"),IF(COUNTIFS(Dashboard!$B$105:$B$124,$O554,Dashboard!$I$105:$I$124,"CAB")&gt;0,"Accepted (CF)","Blocking"),"Deferrable"))</f>
        <v/>
      </c>
    </row>
    <row r="555" spans="7:26" x14ac:dyDescent="0.3">
      <c r="G555" s="27" t="str" cm="1">
        <f t="array" ref="G555">IF($A555="","",IFERROR(_xlfn.TEXTJOIN(CHAR(10)&amp;CHAR(10),TRUE,_xlfn._xlws.FILTER("•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"&amp;Cards!$L$4:$L$1000),(Cards!$A$4:$A$1000&lt;&gt;"")*ISNUMBER(SEARCH($A555,Cards!$E$4:$E$1000)))),"-"))</f>
        <v/>
      </c>
      <c r="Q555" s="30"/>
      <c r="R555" s="27" t="str">
        <f>IF(OR($A555="",LEN(TRIM($O555))=0),"",IF(OR($P555="",$Q555=""),"ระบุ Severity + Impact",IFERROR(INDEX({"Urgent","Urgent","High","High";"Urgent","High","High","Medium";"High","High","Medium","Medium";"Medium","Medium","Low","Low"},MATCH($P555,{"Critical","High","Medium","Low"},0),MATCH($Q555,{"Extensive","Significant","Moderate","Minor"},0)),"-")))</f>
        <v/>
      </c>
      <c r="S555" s="30"/>
      <c r="T555" s="30"/>
      <c r="W555" s="32" t="str">
        <f>IF($A555="","",IF(OR($M555="Out of Scope",$M555="Canceled"),"Out of Scope",IF($M555="Blocked","Blocked",IF(AND($T555&lt;&gt;"Fixed – Retest Passed",OR(LEN(TRIM($O555))&gt;0,LEN(TRIM($P555))&gt;0)),IF(AND(OR($L555="Medium",$L555="Low"),SUMPRODUCT((Cards!$A$4:$A$1000&lt;&gt;"")*ISNUMBER(SEARCH($A555,Cards!$E$4:$E$1000))*(Cards!$F$4:$F$1000&lt;&gt;"Medium")*(Cards!$F$4:$F$1000&lt;&gt;"Low"))=0),"Conditionally Passed","Failed"),IF($M555="Done","Passed","Not Run")))))</f>
        <v/>
      </c>
      <c r="Y555" s="27" t="str" cm="1">
        <f t="array" ref="Y555">IF($A555="","",IF(TRIM($B555)="","-",IFERROR(_xlfn.TEXTJOIN(" / ",TRUE,_xlfn.UNIQUE(_xlfn._xlws.FILTER('Ownership Matrix'!$C$5:$C$200,('Ownership Matrix'!$A$5:$A$200=TRIM($B555))*('Ownership Matrix'!$C$5:$C$200&lt;&gt;"")))),"ไม่พบใน Ownership Matrix")))</f>
        <v/>
      </c>
      <c r="Z555" s="31" t="str">
        <f>IF(NOT(AND($A555&lt;&gt;"",$M555&lt;&gt;"Out of Scope",$M555&lt;&gt;"Canceled",$T555&lt;&gt;"Fixed – Retest Passed",OR(LEN(TRIM($O555))&gt;0,LEN(TRIM($P555))&gt;0))),"",IF(OR($W555="Failed",$R555="Urgent",$R555="High",$R555="ระบุ Severity + Impact"),IF(COUNTIFS(Dashboard!$B$105:$B$124,$O555,Dashboard!$I$105:$I$124,"CAB")&gt;0,"Accepted (CF)","Blocking"),"Deferrable"))</f>
        <v/>
      </c>
    </row>
    <row r="556" spans="7:26" x14ac:dyDescent="0.3">
      <c r="G556" s="27" t="str" cm="1">
        <f t="array" ref="G556">IF($A556="","",IFERROR(_xlfn.TEXTJOIN(CHAR(10)&amp;CHAR(10),TRUE,_xlfn._xlws.FILTER("•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"&amp;Cards!$L$4:$L$1000),(Cards!$A$4:$A$1000&lt;&gt;"")*ISNUMBER(SEARCH($A556,Cards!$E$4:$E$1000)))),"-"))</f>
        <v/>
      </c>
      <c r="Q556" s="30"/>
      <c r="R556" s="27" t="str">
        <f>IF(OR($A556="",LEN(TRIM($O556))=0),"",IF(OR($P556="",$Q556=""),"ระบุ Severity + Impact",IFERROR(INDEX({"Urgent","Urgent","High","High";"Urgent","High","High","Medium";"High","High","Medium","Medium";"Medium","Medium","Low","Low"},MATCH($P556,{"Critical","High","Medium","Low"},0),MATCH($Q556,{"Extensive","Significant","Moderate","Minor"},0)),"-")))</f>
        <v/>
      </c>
      <c r="S556" s="30"/>
      <c r="T556" s="30"/>
      <c r="W556" s="32" t="str">
        <f>IF($A556="","",IF(OR($M556="Out of Scope",$M556="Canceled"),"Out of Scope",IF($M556="Blocked","Blocked",IF(AND($T556&lt;&gt;"Fixed – Retest Passed",OR(LEN(TRIM($O556))&gt;0,LEN(TRIM($P556))&gt;0)),IF(AND(OR($L556="Medium",$L556="Low"),SUMPRODUCT((Cards!$A$4:$A$1000&lt;&gt;"")*ISNUMBER(SEARCH($A556,Cards!$E$4:$E$1000))*(Cards!$F$4:$F$1000&lt;&gt;"Medium")*(Cards!$F$4:$F$1000&lt;&gt;"Low"))=0),"Conditionally Passed","Failed"),IF($M556="Done","Passed","Not Run")))))</f>
        <v/>
      </c>
      <c r="Y556" s="27" t="str" cm="1">
        <f t="array" ref="Y556">IF($A556="","",IF(TRIM($B556)="","-",IFERROR(_xlfn.TEXTJOIN(" / ",TRUE,_xlfn.UNIQUE(_xlfn._xlws.FILTER('Ownership Matrix'!$C$5:$C$200,('Ownership Matrix'!$A$5:$A$200=TRIM($B556))*('Ownership Matrix'!$C$5:$C$200&lt;&gt;"")))),"ไม่พบใน Ownership Matrix")))</f>
        <v/>
      </c>
      <c r="Z556" s="31" t="str">
        <f>IF(NOT(AND($A556&lt;&gt;"",$M556&lt;&gt;"Out of Scope",$M556&lt;&gt;"Canceled",$T556&lt;&gt;"Fixed – Retest Passed",OR(LEN(TRIM($O556))&gt;0,LEN(TRIM($P556))&gt;0))),"",IF(OR($W556="Failed",$R556="Urgent",$R556="High",$R556="ระบุ Severity + Impact"),IF(COUNTIFS(Dashboard!$B$105:$B$124,$O556,Dashboard!$I$105:$I$124,"CAB")&gt;0,"Accepted (CF)","Blocking"),"Deferrable"))</f>
        <v/>
      </c>
    </row>
    <row r="557" spans="7:26" x14ac:dyDescent="0.3">
      <c r="G557" s="27" t="str" cm="1">
        <f t="array" ref="G557">IF($A557="","",IFERROR(_xlfn.TEXTJOIN(CHAR(10)&amp;CHAR(10),TRUE,_xlfn._xlws.FILTER("•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"&amp;Cards!$L$4:$L$1000),(Cards!$A$4:$A$1000&lt;&gt;"")*ISNUMBER(SEARCH($A557,Cards!$E$4:$E$1000)))),"-"))</f>
        <v/>
      </c>
      <c r="Q557" s="30"/>
      <c r="R557" s="27" t="str">
        <f>IF(OR($A557="",LEN(TRIM($O557))=0),"",IF(OR($P557="",$Q557=""),"ระบุ Severity + Impact",IFERROR(INDEX({"Urgent","Urgent","High","High";"Urgent","High","High","Medium";"High","High","Medium","Medium";"Medium","Medium","Low","Low"},MATCH($P557,{"Critical","High","Medium","Low"},0),MATCH($Q557,{"Extensive","Significant","Moderate","Minor"},0)),"-")))</f>
        <v/>
      </c>
      <c r="S557" s="30"/>
      <c r="T557" s="30"/>
      <c r="W557" s="32" t="str">
        <f>IF($A557="","",IF(OR($M557="Out of Scope",$M557="Canceled"),"Out of Scope",IF($M557="Blocked","Blocked",IF(AND($T557&lt;&gt;"Fixed – Retest Passed",OR(LEN(TRIM($O557))&gt;0,LEN(TRIM($P557))&gt;0)),IF(AND(OR($L557="Medium",$L557="Low"),SUMPRODUCT((Cards!$A$4:$A$1000&lt;&gt;"")*ISNUMBER(SEARCH($A557,Cards!$E$4:$E$1000))*(Cards!$F$4:$F$1000&lt;&gt;"Medium")*(Cards!$F$4:$F$1000&lt;&gt;"Low"))=0),"Conditionally Passed","Failed"),IF($M557="Done","Passed","Not Run")))))</f>
        <v/>
      </c>
      <c r="Y557" s="27" t="str" cm="1">
        <f t="array" ref="Y557">IF($A557="","",IF(TRIM($B557)="","-",IFERROR(_xlfn.TEXTJOIN(" / ",TRUE,_xlfn.UNIQUE(_xlfn._xlws.FILTER('Ownership Matrix'!$C$5:$C$200,('Ownership Matrix'!$A$5:$A$200=TRIM($B557))*('Ownership Matrix'!$C$5:$C$200&lt;&gt;"")))),"ไม่พบใน Ownership Matrix")))</f>
        <v/>
      </c>
      <c r="Z557" s="31" t="str">
        <f>IF(NOT(AND($A557&lt;&gt;"",$M557&lt;&gt;"Out of Scope",$M557&lt;&gt;"Canceled",$T557&lt;&gt;"Fixed – Retest Passed",OR(LEN(TRIM($O557))&gt;0,LEN(TRIM($P557))&gt;0))),"",IF(OR($W557="Failed",$R557="Urgent",$R557="High",$R557="ระบุ Severity + Impact"),IF(COUNTIFS(Dashboard!$B$105:$B$124,$O557,Dashboard!$I$105:$I$124,"CAB")&gt;0,"Accepted (CF)","Blocking"),"Deferrable"))</f>
        <v/>
      </c>
    </row>
    <row r="558" spans="7:26" x14ac:dyDescent="0.3">
      <c r="G558" s="27" t="str" cm="1">
        <f t="array" ref="G558">IF($A558="","",IFERROR(_xlfn.TEXTJOIN(CHAR(10)&amp;CHAR(10),TRUE,_xlfn._xlws.FILTER("•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"&amp;Cards!$L$4:$L$1000),(Cards!$A$4:$A$1000&lt;&gt;"")*ISNUMBER(SEARCH($A558,Cards!$E$4:$E$1000)))),"-"))</f>
        <v/>
      </c>
      <c r="Q558" s="30"/>
      <c r="R558" s="27" t="str">
        <f>IF(OR($A558="",LEN(TRIM($O558))=0),"",IF(OR($P558="",$Q558=""),"ระบุ Severity + Impact",IFERROR(INDEX({"Urgent","Urgent","High","High";"Urgent","High","High","Medium";"High","High","Medium","Medium";"Medium","Medium","Low","Low"},MATCH($P558,{"Critical","High","Medium","Low"},0),MATCH($Q558,{"Extensive","Significant","Moderate","Minor"},0)),"-")))</f>
        <v/>
      </c>
      <c r="S558" s="30"/>
      <c r="T558" s="30"/>
      <c r="W558" s="32" t="str">
        <f>IF($A558="","",IF(OR($M558="Out of Scope",$M558="Canceled"),"Out of Scope",IF($M558="Blocked","Blocked",IF(AND($T558&lt;&gt;"Fixed – Retest Passed",OR(LEN(TRIM($O558))&gt;0,LEN(TRIM($P558))&gt;0)),IF(AND(OR($L558="Medium",$L558="Low"),SUMPRODUCT((Cards!$A$4:$A$1000&lt;&gt;"")*ISNUMBER(SEARCH($A558,Cards!$E$4:$E$1000))*(Cards!$F$4:$F$1000&lt;&gt;"Medium")*(Cards!$F$4:$F$1000&lt;&gt;"Low"))=0),"Conditionally Passed","Failed"),IF($M558="Done","Passed","Not Run")))))</f>
        <v/>
      </c>
      <c r="Y558" s="27" t="str" cm="1">
        <f t="array" ref="Y558">IF($A558="","",IF(TRIM($B558)="","-",IFERROR(_xlfn.TEXTJOIN(" / ",TRUE,_xlfn.UNIQUE(_xlfn._xlws.FILTER('Ownership Matrix'!$C$5:$C$200,('Ownership Matrix'!$A$5:$A$200=TRIM($B558))*('Ownership Matrix'!$C$5:$C$200&lt;&gt;"")))),"ไม่พบใน Ownership Matrix")))</f>
        <v/>
      </c>
      <c r="Z558" s="31" t="str">
        <f>IF(NOT(AND($A558&lt;&gt;"",$M558&lt;&gt;"Out of Scope",$M558&lt;&gt;"Canceled",$T558&lt;&gt;"Fixed – Retest Passed",OR(LEN(TRIM($O558))&gt;0,LEN(TRIM($P558))&gt;0))),"",IF(OR($W558="Failed",$R558="Urgent",$R558="High",$R558="ระบุ Severity + Impact"),IF(COUNTIFS(Dashboard!$B$105:$B$124,$O558,Dashboard!$I$105:$I$124,"CAB")&gt;0,"Accepted (CF)","Blocking"),"Deferrable"))</f>
        <v/>
      </c>
    </row>
    <row r="559" spans="7:26" x14ac:dyDescent="0.3">
      <c r="G559" s="27" t="str" cm="1">
        <f t="array" ref="G559">IF($A559="","",IFERROR(_xlfn.TEXTJOIN(CHAR(10)&amp;CHAR(10),TRUE,_xlfn._xlws.FILTER("•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"&amp;Cards!$L$4:$L$1000),(Cards!$A$4:$A$1000&lt;&gt;"")*ISNUMBER(SEARCH($A559,Cards!$E$4:$E$1000)))),"-"))</f>
        <v/>
      </c>
      <c r="Q559" s="30"/>
      <c r="R559" s="27" t="str">
        <f>IF(OR($A559="",LEN(TRIM($O559))=0),"",IF(OR($P559="",$Q559=""),"ระบุ Severity + Impact",IFERROR(INDEX({"Urgent","Urgent","High","High";"Urgent","High","High","Medium";"High","High","Medium","Medium";"Medium","Medium","Low","Low"},MATCH($P559,{"Critical","High","Medium","Low"},0),MATCH($Q559,{"Extensive","Significant","Moderate","Minor"},0)),"-")))</f>
        <v/>
      </c>
      <c r="S559" s="30"/>
      <c r="T559" s="30"/>
      <c r="W559" s="32" t="str">
        <f>IF($A559="","",IF(OR($M559="Out of Scope",$M559="Canceled"),"Out of Scope",IF($M559="Blocked","Blocked",IF(AND($T559&lt;&gt;"Fixed – Retest Passed",OR(LEN(TRIM($O559))&gt;0,LEN(TRIM($P559))&gt;0)),IF(AND(OR($L559="Medium",$L559="Low"),SUMPRODUCT((Cards!$A$4:$A$1000&lt;&gt;"")*ISNUMBER(SEARCH($A559,Cards!$E$4:$E$1000))*(Cards!$F$4:$F$1000&lt;&gt;"Medium")*(Cards!$F$4:$F$1000&lt;&gt;"Low"))=0),"Conditionally Passed","Failed"),IF($M559="Done","Passed","Not Run")))))</f>
        <v/>
      </c>
      <c r="Y559" s="27" t="str" cm="1">
        <f t="array" ref="Y559">IF($A559="","",IF(TRIM($B559)="","-",IFERROR(_xlfn.TEXTJOIN(" / ",TRUE,_xlfn.UNIQUE(_xlfn._xlws.FILTER('Ownership Matrix'!$C$5:$C$200,('Ownership Matrix'!$A$5:$A$200=TRIM($B559))*('Ownership Matrix'!$C$5:$C$200&lt;&gt;"")))),"ไม่พบใน Ownership Matrix")))</f>
        <v/>
      </c>
      <c r="Z559" s="31" t="str">
        <f>IF(NOT(AND($A559&lt;&gt;"",$M559&lt;&gt;"Out of Scope",$M559&lt;&gt;"Canceled",$T559&lt;&gt;"Fixed – Retest Passed",OR(LEN(TRIM($O559))&gt;0,LEN(TRIM($P559))&gt;0))),"",IF(OR($W559="Failed",$R559="Urgent",$R559="High",$R559="ระบุ Severity + Impact"),IF(COUNTIFS(Dashboard!$B$105:$B$124,$O559,Dashboard!$I$105:$I$124,"CAB")&gt;0,"Accepted (CF)","Blocking"),"Deferrable"))</f>
        <v/>
      </c>
    </row>
    <row r="560" spans="7:26" x14ac:dyDescent="0.3">
      <c r="G560" s="27" t="str" cm="1">
        <f t="array" ref="G560">IF($A560="","",IFERROR(_xlfn.TEXTJOIN(CHAR(10)&amp;CHAR(10),TRUE,_xlfn._xlws.FILTER("•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"&amp;Cards!$L$4:$L$1000),(Cards!$A$4:$A$1000&lt;&gt;"")*ISNUMBER(SEARCH($A560,Cards!$E$4:$E$1000)))),"-"))</f>
        <v/>
      </c>
      <c r="Q560" s="30"/>
      <c r="R560" s="27" t="str">
        <f>IF(OR($A560="",LEN(TRIM($O560))=0),"",IF(OR($P560="",$Q560=""),"ระบุ Severity + Impact",IFERROR(INDEX({"Urgent","Urgent","High","High";"Urgent","High","High","Medium";"High","High","Medium","Medium";"Medium","Medium","Low","Low"},MATCH($P560,{"Critical","High","Medium","Low"},0),MATCH($Q560,{"Extensive","Significant","Moderate","Minor"},0)),"-")))</f>
        <v/>
      </c>
      <c r="S560" s="30"/>
      <c r="T560" s="30"/>
      <c r="W560" s="32" t="str">
        <f>IF($A560="","",IF(OR($M560="Out of Scope",$M560="Canceled"),"Out of Scope",IF($M560="Blocked","Blocked",IF(AND($T560&lt;&gt;"Fixed – Retest Passed",OR(LEN(TRIM($O560))&gt;0,LEN(TRIM($P560))&gt;0)),IF(AND(OR($L560="Medium",$L560="Low"),SUMPRODUCT((Cards!$A$4:$A$1000&lt;&gt;"")*ISNUMBER(SEARCH($A560,Cards!$E$4:$E$1000))*(Cards!$F$4:$F$1000&lt;&gt;"Medium")*(Cards!$F$4:$F$1000&lt;&gt;"Low"))=0),"Conditionally Passed","Failed"),IF($M560="Done","Passed","Not Run")))))</f>
        <v/>
      </c>
      <c r="Y560" s="27" t="str" cm="1">
        <f t="array" ref="Y560">IF($A560="","",IF(TRIM($B560)="","-",IFERROR(_xlfn.TEXTJOIN(" / ",TRUE,_xlfn.UNIQUE(_xlfn._xlws.FILTER('Ownership Matrix'!$C$5:$C$200,('Ownership Matrix'!$A$5:$A$200=TRIM($B560))*('Ownership Matrix'!$C$5:$C$200&lt;&gt;"")))),"ไม่พบใน Ownership Matrix")))</f>
        <v/>
      </c>
      <c r="Z560" s="31" t="str">
        <f>IF(NOT(AND($A560&lt;&gt;"",$M560&lt;&gt;"Out of Scope",$M560&lt;&gt;"Canceled",$T560&lt;&gt;"Fixed – Retest Passed",OR(LEN(TRIM($O560))&gt;0,LEN(TRIM($P560))&gt;0))),"",IF(OR($W560="Failed",$R560="Urgent",$R560="High",$R560="ระบุ Severity + Impact"),IF(COUNTIFS(Dashboard!$B$105:$B$124,$O560,Dashboard!$I$105:$I$124,"CAB")&gt;0,"Accepted (CF)","Blocking"),"Deferrable"))</f>
        <v/>
      </c>
    </row>
    <row r="561" spans="7:26" x14ac:dyDescent="0.3">
      <c r="G561" s="27" t="str" cm="1">
        <f t="array" ref="G561">IF($A561="","",IFERROR(_xlfn.TEXTJOIN(CHAR(10)&amp;CHAR(10),TRUE,_xlfn._xlws.FILTER("•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"&amp;Cards!$L$4:$L$1000),(Cards!$A$4:$A$1000&lt;&gt;"")*ISNUMBER(SEARCH($A561,Cards!$E$4:$E$1000)))),"-"))</f>
        <v/>
      </c>
      <c r="Q561" s="30"/>
      <c r="R561" s="27" t="str">
        <f>IF(OR($A561="",LEN(TRIM($O561))=0),"",IF(OR($P561="",$Q561=""),"ระบุ Severity + Impact",IFERROR(INDEX({"Urgent","Urgent","High","High";"Urgent","High","High","Medium";"High","High","Medium","Medium";"Medium","Medium","Low","Low"},MATCH($P561,{"Critical","High","Medium","Low"},0),MATCH($Q561,{"Extensive","Significant","Moderate","Minor"},0)),"-")))</f>
        <v/>
      </c>
      <c r="S561" s="30"/>
      <c r="T561" s="30"/>
      <c r="W561" s="32" t="str">
        <f>IF($A561="","",IF(OR($M561="Out of Scope",$M561="Canceled"),"Out of Scope",IF($M561="Blocked","Blocked",IF(AND($T561&lt;&gt;"Fixed – Retest Passed",OR(LEN(TRIM($O561))&gt;0,LEN(TRIM($P561))&gt;0)),IF(AND(OR($L561="Medium",$L561="Low"),SUMPRODUCT((Cards!$A$4:$A$1000&lt;&gt;"")*ISNUMBER(SEARCH($A561,Cards!$E$4:$E$1000))*(Cards!$F$4:$F$1000&lt;&gt;"Medium")*(Cards!$F$4:$F$1000&lt;&gt;"Low"))=0),"Conditionally Passed","Failed"),IF($M561="Done","Passed","Not Run")))))</f>
        <v/>
      </c>
      <c r="Y561" s="27" t="str" cm="1">
        <f t="array" ref="Y561">IF($A561="","",IF(TRIM($B561)="","-",IFERROR(_xlfn.TEXTJOIN(" / ",TRUE,_xlfn.UNIQUE(_xlfn._xlws.FILTER('Ownership Matrix'!$C$5:$C$200,('Ownership Matrix'!$A$5:$A$200=TRIM($B561))*('Ownership Matrix'!$C$5:$C$200&lt;&gt;"")))),"ไม่พบใน Ownership Matrix")))</f>
        <v/>
      </c>
      <c r="Z561" s="31" t="str">
        <f>IF(NOT(AND($A561&lt;&gt;"",$M561&lt;&gt;"Out of Scope",$M561&lt;&gt;"Canceled",$T561&lt;&gt;"Fixed – Retest Passed",OR(LEN(TRIM($O561))&gt;0,LEN(TRIM($P561))&gt;0))),"",IF(OR($W561="Failed",$R561="Urgent",$R561="High",$R561="ระบุ Severity + Impact"),IF(COUNTIFS(Dashboard!$B$105:$B$124,$O561,Dashboard!$I$105:$I$124,"CAB")&gt;0,"Accepted (CF)","Blocking"),"Deferrable"))</f>
        <v/>
      </c>
    </row>
    <row r="562" spans="7:26" x14ac:dyDescent="0.3">
      <c r="G562" s="27" t="str" cm="1">
        <f t="array" ref="G562">IF($A562="","",IFERROR(_xlfn.TEXTJOIN(CHAR(10)&amp;CHAR(10),TRUE,_xlfn._xlws.FILTER("•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"&amp;Cards!$L$4:$L$1000),(Cards!$A$4:$A$1000&lt;&gt;"")*ISNUMBER(SEARCH($A562,Cards!$E$4:$E$1000)))),"-"))</f>
        <v/>
      </c>
      <c r="Q562" s="30"/>
      <c r="R562" s="27" t="str">
        <f>IF(OR($A562="",LEN(TRIM($O562))=0),"",IF(OR($P562="",$Q562=""),"ระบุ Severity + Impact",IFERROR(INDEX({"Urgent","Urgent","High","High";"Urgent","High","High","Medium";"High","High","Medium","Medium";"Medium","Medium","Low","Low"},MATCH($P562,{"Critical","High","Medium","Low"},0),MATCH($Q562,{"Extensive","Significant","Moderate","Minor"},0)),"-")))</f>
        <v/>
      </c>
      <c r="S562" s="30"/>
      <c r="T562" s="30"/>
      <c r="W562" s="32" t="str">
        <f>IF($A562="","",IF(OR($M562="Out of Scope",$M562="Canceled"),"Out of Scope",IF($M562="Blocked","Blocked",IF(AND($T562&lt;&gt;"Fixed – Retest Passed",OR(LEN(TRIM($O562))&gt;0,LEN(TRIM($P562))&gt;0)),IF(AND(OR($L562="Medium",$L562="Low"),SUMPRODUCT((Cards!$A$4:$A$1000&lt;&gt;"")*ISNUMBER(SEARCH($A562,Cards!$E$4:$E$1000))*(Cards!$F$4:$F$1000&lt;&gt;"Medium")*(Cards!$F$4:$F$1000&lt;&gt;"Low"))=0),"Conditionally Passed","Failed"),IF($M562="Done","Passed","Not Run")))))</f>
        <v/>
      </c>
      <c r="Y562" s="27" t="str" cm="1">
        <f t="array" ref="Y562">IF($A562="","",IF(TRIM($B562)="","-",IFERROR(_xlfn.TEXTJOIN(" / ",TRUE,_xlfn.UNIQUE(_xlfn._xlws.FILTER('Ownership Matrix'!$C$5:$C$200,('Ownership Matrix'!$A$5:$A$200=TRIM($B562))*('Ownership Matrix'!$C$5:$C$200&lt;&gt;"")))),"ไม่พบใน Ownership Matrix")))</f>
        <v/>
      </c>
      <c r="Z562" s="31" t="str">
        <f>IF(NOT(AND($A562&lt;&gt;"",$M562&lt;&gt;"Out of Scope",$M562&lt;&gt;"Canceled",$T562&lt;&gt;"Fixed – Retest Passed",OR(LEN(TRIM($O562))&gt;0,LEN(TRIM($P562))&gt;0))),"",IF(OR($W562="Failed",$R562="Urgent",$R562="High",$R562="ระบุ Severity + Impact"),IF(COUNTIFS(Dashboard!$B$105:$B$124,$O562,Dashboard!$I$105:$I$124,"CAB")&gt;0,"Accepted (CF)","Blocking"),"Deferrable"))</f>
        <v/>
      </c>
    </row>
    <row r="563" spans="7:26" x14ac:dyDescent="0.3">
      <c r="G563" s="27" t="str" cm="1">
        <f t="array" ref="G563">IF($A563="","",IFERROR(_xlfn.TEXTJOIN(CHAR(10)&amp;CHAR(10),TRUE,_xlfn._xlws.FILTER("•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"&amp;Cards!$L$4:$L$1000),(Cards!$A$4:$A$1000&lt;&gt;"")*ISNUMBER(SEARCH($A563,Cards!$E$4:$E$1000)))),"-"))</f>
        <v/>
      </c>
      <c r="Q563" s="30"/>
      <c r="R563" s="27" t="str">
        <f>IF(OR($A563="",LEN(TRIM($O563))=0),"",IF(OR($P563="",$Q563=""),"ระบุ Severity + Impact",IFERROR(INDEX({"Urgent","Urgent","High","High";"Urgent","High","High","Medium";"High","High","Medium","Medium";"Medium","Medium","Low","Low"},MATCH($P563,{"Critical","High","Medium","Low"},0),MATCH($Q563,{"Extensive","Significant","Moderate","Minor"},0)),"-")))</f>
        <v/>
      </c>
      <c r="S563" s="30"/>
      <c r="T563" s="30"/>
      <c r="W563" s="32" t="str">
        <f>IF($A563="","",IF(OR($M563="Out of Scope",$M563="Canceled"),"Out of Scope",IF($M563="Blocked","Blocked",IF(AND($T563&lt;&gt;"Fixed – Retest Passed",OR(LEN(TRIM($O563))&gt;0,LEN(TRIM($P563))&gt;0)),IF(AND(OR($L563="Medium",$L563="Low"),SUMPRODUCT((Cards!$A$4:$A$1000&lt;&gt;"")*ISNUMBER(SEARCH($A563,Cards!$E$4:$E$1000))*(Cards!$F$4:$F$1000&lt;&gt;"Medium")*(Cards!$F$4:$F$1000&lt;&gt;"Low"))=0),"Conditionally Passed","Failed"),IF($M563="Done","Passed","Not Run")))))</f>
        <v/>
      </c>
      <c r="Y563" s="27" t="str" cm="1">
        <f t="array" ref="Y563">IF($A563="","",IF(TRIM($B563)="","-",IFERROR(_xlfn.TEXTJOIN(" / ",TRUE,_xlfn.UNIQUE(_xlfn._xlws.FILTER('Ownership Matrix'!$C$5:$C$200,('Ownership Matrix'!$A$5:$A$200=TRIM($B563))*('Ownership Matrix'!$C$5:$C$200&lt;&gt;"")))),"ไม่พบใน Ownership Matrix")))</f>
        <v/>
      </c>
      <c r="Z563" s="31" t="str">
        <f>IF(NOT(AND($A563&lt;&gt;"",$M563&lt;&gt;"Out of Scope",$M563&lt;&gt;"Canceled",$T563&lt;&gt;"Fixed – Retest Passed",OR(LEN(TRIM($O563))&gt;0,LEN(TRIM($P563))&gt;0))),"",IF(OR($W563="Failed",$R563="Urgent",$R563="High",$R563="ระบุ Severity + Impact"),IF(COUNTIFS(Dashboard!$B$105:$B$124,$O563,Dashboard!$I$105:$I$124,"CAB")&gt;0,"Accepted (CF)","Blocking"),"Deferrable"))</f>
        <v/>
      </c>
    </row>
    <row r="564" spans="7:26" x14ac:dyDescent="0.3">
      <c r="G564" s="27" t="str" cm="1">
        <f t="array" ref="G564">IF($A564="","",IFERROR(_xlfn.TEXTJOIN(CHAR(10)&amp;CHAR(10),TRUE,_xlfn._xlws.FILTER("•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"&amp;Cards!$L$4:$L$1000),(Cards!$A$4:$A$1000&lt;&gt;"")*ISNUMBER(SEARCH($A564,Cards!$E$4:$E$1000)))),"-"))</f>
        <v/>
      </c>
      <c r="Q564" s="30"/>
      <c r="R564" s="27" t="str">
        <f>IF(OR($A564="",LEN(TRIM($O564))=0),"",IF(OR($P564="",$Q564=""),"ระบุ Severity + Impact",IFERROR(INDEX({"Urgent","Urgent","High","High";"Urgent","High","High","Medium";"High","High","Medium","Medium";"Medium","Medium","Low","Low"},MATCH($P564,{"Critical","High","Medium","Low"},0),MATCH($Q564,{"Extensive","Significant","Moderate","Minor"},0)),"-")))</f>
        <v/>
      </c>
      <c r="S564" s="30"/>
      <c r="T564" s="30"/>
      <c r="W564" s="32" t="str">
        <f>IF($A564="","",IF(OR($M564="Out of Scope",$M564="Canceled"),"Out of Scope",IF($M564="Blocked","Blocked",IF(AND($T564&lt;&gt;"Fixed – Retest Passed",OR(LEN(TRIM($O564))&gt;0,LEN(TRIM($P564))&gt;0)),IF(AND(OR($L564="Medium",$L564="Low"),SUMPRODUCT((Cards!$A$4:$A$1000&lt;&gt;"")*ISNUMBER(SEARCH($A564,Cards!$E$4:$E$1000))*(Cards!$F$4:$F$1000&lt;&gt;"Medium")*(Cards!$F$4:$F$1000&lt;&gt;"Low"))=0),"Conditionally Passed","Failed"),IF($M564="Done","Passed","Not Run")))))</f>
        <v/>
      </c>
      <c r="Y564" s="27" t="str" cm="1">
        <f t="array" ref="Y564">IF($A564="","",IF(TRIM($B564)="","-",IFERROR(_xlfn.TEXTJOIN(" / ",TRUE,_xlfn.UNIQUE(_xlfn._xlws.FILTER('Ownership Matrix'!$C$5:$C$200,('Ownership Matrix'!$A$5:$A$200=TRIM($B564))*('Ownership Matrix'!$C$5:$C$200&lt;&gt;"")))),"ไม่พบใน Ownership Matrix")))</f>
        <v/>
      </c>
      <c r="Z564" s="31" t="str">
        <f>IF(NOT(AND($A564&lt;&gt;"",$M564&lt;&gt;"Out of Scope",$M564&lt;&gt;"Canceled",$T564&lt;&gt;"Fixed – Retest Passed",OR(LEN(TRIM($O564))&gt;0,LEN(TRIM($P564))&gt;0))),"",IF(OR($W564="Failed",$R564="Urgent",$R564="High",$R564="ระบุ Severity + Impact"),IF(COUNTIFS(Dashboard!$B$105:$B$124,$O564,Dashboard!$I$105:$I$124,"CAB")&gt;0,"Accepted (CF)","Blocking"),"Deferrable"))</f>
        <v/>
      </c>
    </row>
    <row r="565" spans="7:26" x14ac:dyDescent="0.3">
      <c r="G565" s="27" t="str" cm="1">
        <f t="array" ref="G565">IF($A565="","",IFERROR(_xlfn.TEXTJOIN(CHAR(10)&amp;CHAR(10),TRUE,_xlfn._xlws.FILTER("•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"&amp;Cards!$L$4:$L$1000),(Cards!$A$4:$A$1000&lt;&gt;"")*ISNUMBER(SEARCH($A565,Cards!$E$4:$E$1000)))),"-"))</f>
        <v/>
      </c>
      <c r="Q565" s="30"/>
      <c r="R565" s="27" t="str">
        <f>IF(OR($A565="",LEN(TRIM($O565))=0),"",IF(OR($P565="",$Q565=""),"ระบุ Severity + Impact",IFERROR(INDEX({"Urgent","Urgent","High","High";"Urgent","High","High","Medium";"High","High","Medium","Medium";"Medium","Medium","Low","Low"},MATCH($P565,{"Critical","High","Medium","Low"},0),MATCH($Q565,{"Extensive","Significant","Moderate","Minor"},0)),"-")))</f>
        <v/>
      </c>
      <c r="S565" s="30"/>
      <c r="T565" s="30"/>
      <c r="W565" s="32" t="str">
        <f>IF($A565="","",IF(OR($M565="Out of Scope",$M565="Canceled"),"Out of Scope",IF($M565="Blocked","Blocked",IF(AND($T565&lt;&gt;"Fixed – Retest Passed",OR(LEN(TRIM($O565))&gt;0,LEN(TRIM($P565))&gt;0)),IF(AND(OR($L565="Medium",$L565="Low"),SUMPRODUCT((Cards!$A$4:$A$1000&lt;&gt;"")*ISNUMBER(SEARCH($A565,Cards!$E$4:$E$1000))*(Cards!$F$4:$F$1000&lt;&gt;"Medium")*(Cards!$F$4:$F$1000&lt;&gt;"Low"))=0),"Conditionally Passed","Failed"),IF($M565="Done","Passed","Not Run")))))</f>
        <v/>
      </c>
      <c r="Y565" s="27" t="str" cm="1">
        <f t="array" ref="Y565">IF($A565="","",IF(TRIM($B565)="","-",IFERROR(_xlfn.TEXTJOIN(" / ",TRUE,_xlfn.UNIQUE(_xlfn._xlws.FILTER('Ownership Matrix'!$C$5:$C$200,('Ownership Matrix'!$A$5:$A$200=TRIM($B565))*('Ownership Matrix'!$C$5:$C$200&lt;&gt;"")))),"ไม่พบใน Ownership Matrix")))</f>
        <v/>
      </c>
      <c r="Z565" s="31" t="str">
        <f>IF(NOT(AND($A565&lt;&gt;"",$M565&lt;&gt;"Out of Scope",$M565&lt;&gt;"Canceled",$T565&lt;&gt;"Fixed – Retest Passed",OR(LEN(TRIM($O565))&gt;0,LEN(TRIM($P565))&gt;0))),"",IF(OR($W565="Failed",$R565="Urgent",$R565="High",$R565="ระบุ Severity + Impact"),IF(COUNTIFS(Dashboard!$B$105:$B$124,$O565,Dashboard!$I$105:$I$124,"CAB")&gt;0,"Accepted (CF)","Blocking"),"Deferrable"))</f>
        <v/>
      </c>
    </row>
    <row r="566" spans="7:26" x14ac:dyDescent="0.3">
      <c r="G566" s="27" t="str" cm="1">
        <f t="array" ref="G566">IF($A566="","",IFERROR(_xlfn.TEXTJOIN(CHAR(10)&amp;CHAR(10),TRUE,_xlfn._xlws.FILTER("•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"&amp;Cards!$L$4:$L$1000),(Cards!$A$4:$A$1000&lt;&gt;"")*ISNUMBER(SEARCH($A566,Cards!$E$4:$E$1000)))),"-"))</f>
        <v/>
      </c>
      <c r="Q566" s="30"/>
      <c r="R566" s="27" t="str">
        <f>IF(OR($A566="",LEN(TRIM($O566))=0),"",IF(OR($P566="",$Q566=""),"ระบุ Severity + Impact",IFERROR(INDEX({"Urgent","Urgent","High","High";"Urgent","High","High","Medium";"High","High","Medium","Medium";"Medium","Medium","Low","Low"},MATCH($P566,{"Critical","High","Medium","Low"},0),MATCH($Q566,{"Extensive","Significant","Moderate","Minor"},0)),"-")))</f>
        <v/>
      </c>
      <c r="S566" s="30"/>
      <c r="T566" s="30"/>
      <c r="W566" s="32" t="str">
        <f>IF($A566="","",IF(OR($M566="Out of Scope",$M566="Canceled"),"Out of Scope",IF($M566="Blocked","Blocked",IF(AND($T566&lt;&gt;"Fixed – Retest Passed",OR(LEN(TRIM($O566))&gt;0,LEN(TRIM($P566))&gt;0)),IF(AND(OR($L566="Medium",$L566="Low"),SUMPRODUCT((Cards!$A$4:$A$1000&lt;&gt;"")*ISNUMBER(SEARCH($A566,Cards!$E$4:$E$1000))*(Cards!$F$4:$F$1000&lt;&gt;"Medium")*(Cards!$F$4:$F$1000&lt;&gt;"Low"))=0),"Conditionally Passed","Failed"),IF($M566="Done","Passed","Not Run")))))</f>
        <v/>
      </c>
      <c r="Y566" s="27" t="str" cm="1">
        <f t="array" ref="Y566">IF($A566="","",IF(TRIM($B566)="","-",IFERROR(_xlfn.TEXTJOIN(" / ",TRUE,_xlfn.UNIQUE(_xlfn._xlws.FILTER('Ownership Matrix'!$C$5:$C$200,('Ownership Matrix'!$A$5:$A$200=TRIM($B566))*('Ownership Matrix'!$C$5:$C$200&lt;&gt;"")))),"ไม่พบใน Ownership Matrix")))</f>
        <v/>
      </c>
      <c r="Z566" s="31" t="str">
        <f>IF(NOT(AND($A566&lt;&gt;"",$M566&lt;&gt;"Out of Scope",$M566&lt;&gt;"Canceled",$T566&lt;&gt;"Fixed – Retest Passed",OR(LEN(TRIM($O566))&gt;0,LEN(TRIM($P566))&gt;0))),"",IF(OR($W566="Failed",$R566="Urgent",$R566="High",$R566="ระบุ Severity + Impact"),IF(COUNTIFS(Dashboard!$B$105:$B$124,$O566,Dashboard!$I$105:$I$124,"CAB")&gt;0,"Accepted (CF)","Blocking"),"Deferrable"))</f>
        <v/>
      </c>
    </row>
    <row r="567" spans="7:26" x14ac:dyDescent="0.3">
      <c r="G567" s="27" t="str" cm="1">
        <f t="array" ref="G567">IF($A567="","",IFERROR(_xlfn.TEXTJOIN(CHAR(10)&amp;CHAR(10),TRUE,_xlfn._xlws.FILTER("•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"&amp;Cards!$L$4:$L$1000),(Cards!$A$4:$A$1000&lt;&gt;"")*ISNUMBER(SEARCH($A567,Cards!$E$4:$E$1000)))),"-"))</f>
        <v/>
      </c>
      <c r="Q567" s="30"/>
      <c r="R567" s="27" t="str">
        <f>IF(OR($A567="",LEN(TRIM($O567))=0),"",IF(OR($P567="",$Q567=""),"ระบุ Severity + Impact",IFERROR(INDEX({"Urgent","Urgent","High","High";"Urgent","High","High","Medium";"High","High","Medium","Medium";"Medium","Medium","Low","Low"},MATCH($P567,{"Critical","High","Medium","Low"},0),MATCH($Q567,{"Extensive","Significant","Moderate","Minor"},0)),"-")))</f>
        <v/>
      </c>
      <c r="S567" s="30"/>
      <c r="T567" s="30"/>
      <c r="W567" s="32" t="str">
        <f>IF($A567="","",IF(OR($M567="Out of Scope",$M567="Canceled"),"Out of Scope",IF($M567="Blocked","Blocked",IF(AND($T567&lt;&gt;"Fixed – Retest Passed",OR(LEN(TRIM($O567))&gt;0,LEN(TRIM($P567))&gt;0)),IF(AND(OR($L567="Medium",$L567="Low"),SUMPRODUCT((Cards!$A$4:$A$1000&lt;&gt;"")*ISNUMBER(SEARCH($A567,Cards!$E$4:$E$1000))*(Cards!$F$4:$F$1000&lt;&gt;"Medium")*(Cards!$F$4:$F$1000&lt;&gt;"Low"))=0),"Conditionally Passed","Failed"),IF($M567="Done","Passed","Not Run")))))</f>
        <v/>
      </c>
      <c r="Y567" s="27" t="str" cm="1">
        <f t="array" ref="Y567">IF($A567="","",IF(TRIM($B567)="","-",IFERROR(_xlfn.TEXTJOIN(" / ",TRUE,_xlfn.UNIQUE(_xlfn._xlws.FILTER('Ownership Matrix'!$C$5:$C$200,('Ownership Matrix'!$A$5:$A$200=TRIM($B567))*('Ownership Matrix'!$C$5:$C$200&lt;&gt;"")))),"ไม่พบใน Ownership Matrix")))</f>
        <v/>
      </c>
      <c r="Z567" s="31" t="str">
        <f>IF(NOT(AND($A567&lt;&gt;"",$M567&lt;&gt;"Out of Scope",$M567&lt;&gt;"Canceled",$T567&lt;&gt;"Fixed – Retest Passed",OR(LEN(TRIM($O567))&gt;0,LEN(TRIM($P567))&gt;0))),"",IF(OR($W567="Failed",$R567="Urgent",$R567="High",$R567="ระบุ Severity + Impact"),IF(COUNTIFS(Dashboard!$B$105:$B$124,$O567,Dashboard!$I$105:$I$124,"CAB")&gt;0,"Accepted (CF)","Blocking"),"Deferrable"))</f>
        <v/>
      </c>
    </row>
    <row r="568" spans="7:26" x14ac:dyDescent="0.3">
      <c r="G568" s="27" t="str" cm="1">
        <f t="array" ref="G568">IF($A568="","",IFERROR(_xlfn.TEXTJOIN(CHAR(10)&amp;CHAR(10),TRUE,_xlfn._xlws.FILTER("•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"&amp;Cards!$L$4:$L$1000),(Cards!$A$4:$A$1000&lt;&gt;"")*ISNUMBER(SEARCH($A568,Cards!$E$4:$E$1000)))),"-"))</f>
        <v/>
      </c>
      <c r="Q568" s="30"/>
      <c r="R568" s="27" t="str">
        <f>IF(OR($A568="",LEN(TRIM($O568))=0),"",IF(OR($P568="",$Q568=""),"ระบุ Severity + Impact",IFERROR(INDEX({"Urgent","Urgent","High","High";"Urgent","High","High","Medium";"High","High","Medium","Medium";"Medium","Medium","Low","Low"},MATCH($P568,{"Critical","High","Medium","Low"},0),MATCH($Q568,{"Extensive","Significant","Moderate","Minor"},0)),"-")))</f>
        <v/>
      </c>
      <c r="S568" s="30"/>
      <c r="T568" s="30"/>
      <c r="W568" s="32" t="str">
        <f>IF($A568="","",IF(OR($M568="Out of Scope",$M568="Canceled"),"Out of Scope",IF($M568="Blocked","Blocked",IF(AND($T568&lt;&gt;"Fixed – Retest Passed",OR(LEN(TRIM($O568))&gt;0,LEN(TRIM($P568))&gt;0)),IF(AND(OR($L568="Medium",$L568="Low"),SUMPRODUCT((Cards!$A$4:$A$1000&lt;&gt;"")*ISNUMBER(SEARCH($A568,Cards!$E$4:$E$1000))*(Cards!$F$4:$F$1000&lt;&gt;"Medium")*(Cards!$F$4:$F$1000&lt;&gt;"Low"))=0),"Conditionally Passed","Failed"),IF($M568="Done","Passed","Not Run")))))</f>
        <v/>
      </c>
      <c r="Y568" s="27" t="str" cm="1">
        <f t="array" ref="Y568">IF($A568="","",IF(TRIM($B568)="","-",IFERROR(_xlfn.TEXTJOIN(" / ",TRUE,_xlfn.UNIQUE(_xlfn._xlws.FILTER('Ownership Matrix'!$C$5:$C$200,('Ownership Matrix'!$A$5:$A$200=TRIM($B568))*('Ownership Matrix'!$C$5:$C$200&lt;&gt;"")))),"ไม่พบใน Ownership Matrix")))</f>
        <v/>
      </c>
      <c r="Z568" s="31" t="str">
        <f>IF(NOT(AND($A568&lt;&gt;"",$M568&lt;&gt;"Out of Scope",$M568&lt;&gt;"Canceled",$T568&lt;&gt;"Fixed – Retest Passed",OR(LEN(TRIM($O568))&gt;0,LEN(TRIM($P568))&gt;0))),"",IF(OR($W568="Failed",$R568="Urgent",$R568="High",$R568="ระบุ Severity + Impact"),IF(COUNTIFS(Dashboard!$B$105:$B$124,$O568,Dashboard!$I$105:$I$124,"CAB")&gt;0,"Accepted (CF)","Blocking"),"Deferrable"))</f>
        <v/>
      </c>
    </row>
    <row r="569" spans="7:26" x14ac:dyDescent="0.3">
      <c r="G569" s="27" t="str" cm="1">
        <f t="array" ref="G569">IF($A569="","",IFERROR(_xlfn.TEXTJOIN(CHAR(10)&amp;CHAR(10),TRUE,_xlfn._xlws.FILTER("•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"&amp;Cards!$L$4:$L$1000),(Cards!$A$4:$A$1000&lt;&gt;"")*ISNUMBER(SEARCH($A569,Cards!$E$4:$E$1000)))),"-"))</f>
        <v/>
      </c>
      <c r="Q569" s="30"/>
      <c r="R569" s="27" t="str">
        <f>IF(OR($A569="",LEN(TRIM($O569))=0),"",IF(OR($P569="",$Q569=""),"ระบุ Severity + Impact",IFERROR(INDEX({"Urgent","Urgent","High","High";"Urgent","High","High","Medium";"High","High","Medium","Medium";"Medium","Medium","Low","Low"},MATCH($P569,{"Critical","High","Medium","Low"},0),MATCH($Q569,{"Extensive","Significant","Moderate","Minor"},0)),"-")))</f>
        <v/>
      </c>
      <c r="S569" s="30"/>
      <c r="T569" s="30"/>
      <c r="W569" s="32" t="str">
        <f>IF($A569="","",IF(OR($M569="Out of Scope",$M569="Canceled"),"Out of Scope",IF($M569="Blocked","Blocked",IF(AND($T569&lt;&gt;"Fixed – Retest Passed",OR(LEN(TRIM($O569))&gt;0,LEN(TRIM($P569))&gt;0)),IF(AND(OR($L569="Medium",$L569="Low"),SUMPRODUCT((Cards!$A$4:$A$1000&lt;&gt;"")*ISNUMBER(SEARCH($A569,Cards!$E$4:$E$1000))*(Cards!$F$4:$F$1000&lt;&gt;"Medium")*(Cards!$F$4:$F$1000&lt;&gt;"Low"))=0),"Conditionally Passed","Failed"),IF($M569="Done","Passed","Not Run")))))</f>
        <v/>
      </c>
      <c r="Y569" s="27" t="str" cm="1">
        <f t="array" ref="Y569">IF($A569="","",IF(TRIM($B569)="","-",IFERROR(_xlfn.TEXTJOIN(" / ",TRUE,_xlfn.UNIQUE(_xlfn._xlws.FILTER('Ownership Matrix'!$C$5:$C$200,('Ownership Matrix'!$A$5:$A$200=TRIM($B569))*('Ownership Matrix'!$C$5:$C$200&lt;&gt;"")))),"ไม่พบใน Ownership Matrix")))</f>
        <v/>
      </c>
      <c r="Z569" s="31" t="str">
        <f>IF(NOT(AND($A569&lt;&gt;"",$M569&lt;&gt;"Out of Scope",$M569&lt;&gt;"Canceled",$T569&lt;&gt;"Fixed – Retest Passed",OR(LEN(TRIM($O569))&gt;0,LEN(TRIM($P569))&gt;0))),"",IF(OR($W569="Failed",$R569="Urgent",$R569="High",$R569="ระบุ Severity + Impact"),IF(COUNTIFS(Dashboard!$B$105:$B$124,$O569,Dashboard!$I$105:$I$124,"CAB")&gt;0,"Accepted (CF)","Blocking"),"Deferrable"))</f>
        <v/>
      </c>
    </row>
    <row r="570" spans="7:26" x14ac:dyDescent="0.3">
      <c r="G570" s="27" t="str" cm="1">
        <f t="array" ref="G570">IF($A570="","",IFERROR(_xlfn.TEXTJOIN(CHAR(10)&amp;CHAR(10),TRUE,_xlfn._xlws.FILTER("•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"&amp;Cards!$L$4:$L$1000),(Cards!$A$4:$A$1000&lt;&gt;"")*ISNUMBER(SEARCH($A570,Cards!$E$4:$E$1000)))),"-"))</f>
        <v/>
      </c>
      <c r="Q570" s="30"/>
      <c r="R570" s="27" t="str">
        <f>IF(OR($A570="",LEN(TRIM($O570))=0),"",IF(OR($P570="",$Q570=""),"ระบุ Severity + Impact",IFERROR(INDEX({"Urgent","Urgent","High","High";"Urgent","High","High","Medium";"High","High","Medium","Medium";"Medium","Medium","Low","Low"},MATCH($P570,{"Critical","High","Medium","Low"},0),MATCH($Q570,{"Extensive","Significant","Moderate","Minor"},0)),"-")))</f>
        <v/>
      </c>
      <c r="S570" s="30"/>
      <c r="T570" s="30"/>
      <c r="W570" s="32" t="str">
        <f>IF($A570="","",IF(OR($M570="Out of Scope",$M570="Canceled"),"Out of Scope",IF($M570="Blocked","Blocked",IF(AND($T570&lt;&gt;"Fixed – Retest Passed",OR(LEN(TRIM($O570))&gt;0,LEN(TRIM($P570))&gt;0)),IF(AND(OR($L570="Medium",$L570="Low"),SUMPRODUCT((Cards!$A$4:$A$1000&lt;&gt;"")*ISNUMBER(SEARCH($A570,Cards!$E$4:$E$1000))*(Cards!$F$4:$F$1000&lt;&gt;"Medium")*(Cards!$F$4:$F$1000&lt;&gt;"Low"))=0),"Conditionally Passed","Failed"),IF($M570="Done","Passed","Not Run")))))</f>
        <v/>
      </c>
      <c r="Y570" s="27" t="str" cm="1">
        <f t="array" ref="Y570">IF($A570="","",IF(TRIM($B570)="","-",IFERROR(_xlfn.TEXTJOIN(" / ",TRUE,_xlfn.UNIQUE(_xlfn._xlws.FILTER('Ownership Matrix'!$C$5:$C$200,('Ownership Matrix'!$A$5:$A$200=TRIM($B570))*('Ownership Matrix'!$C$5:$C$200&lt;&gt;"")))),"ไม่พบใน Ownership Matrix")))</f>
        <v/>
      </c>
      <c r="Z570" s="31" t="str">
        <f>IF(NOT(AND($A570&lt;&gt;"",$M570&lt;&gt;"Out of Scope",$M570&lt;&gt;"Canceled",$T570&lt;&gt;"Fixed – Retest Passed",OR(LEN(TRIM($O570))&gt;0,LEN(TRIM($P570))&gt;0))),"",IF(OR($W570="Failed",$R570="Urgent",$R570="High",$R570="ระบุ Severity + Impact"),IF(COUNTIFS(Dashboard!$B$105:$B$124,$O570,Dashboard!$I$105:$I$124,"CAB")&gt;0,"Accepted (CF)","Blocking"),"Deferrable"))</f>
        <v/>
      </c>
    </row>
    <row r="571" spans="7:26" x14ac:dyDescent="0.3">
      <c r="G571" s="27" t="str" cm="1">
        <f t="array" ref="G571">IF($A571="","",IFERROR(_xlfn.TEXTJOIN(CHAR(10)&amp;CHAR(10),TRUE,_xlfn._xlws.FILTER("•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"&amp;Cards!$L$4:$L$1000),(Cards!$A$4:$A$1000&lt;&gt;"")*ISNUMBER(SEARCH($A571,Cards!$E$4:$E$1000)))),"-"))</f>
        <v/>
      </c>
      <c r="Q571" s="30"/>
      <c r="R571" s="27" t="str">
        <f>IF(OR($A571="",LEN(TRIM($O571))=0),"",IF(OR($P571="",$Q571=""),"ระบุ Severity + Impact",IFERROR(INDEX({"Urgent","Urgent","High","High";"Urgent","High","High","Medium";"High","High","Medium","Medium";"Medium","Medium","Low","Low"},MATCH($P571,{"Critical","High","Medium","Low"},0),MATCH($Q571,{"Extensive","Significant","Moderate","Minor"},0)),"-")))</f>
        <v/>
      </c>
      <c r="S571" s="30"/>
      <c r="T571" s="30"/>
      <c r="W571" s="32" t="str">
        <f>IF($A571="","",IF(OR($M571="Out of Scope",$M571="Canceled"),"Out of Scope",IF($M571="Blocked","Blocked",IF(AND($T571&lt;&gt;"Fixed – Retest Passed",OR(LEN(TRIM($O571))&gt;0,LEN(TRIM($P571))&gt;0)),IF(AND(OR($L571="Medium",$L571="Low"),SUMPRODUCT((Cards!$A$4:$A$1000&lt;&gt;"")*ISNUMBER(SEARCH($A571,Cards!$E$4:$E$1000))*(Cards!$F$4:$F$1000&lt;&gt;"Medium")*(Cards!$F$4:$F$1000&lt;&gt;"Low"))=0),"Conditionally Passed","Failed"),IF($M571="Done","Passed","Not Run")))))</f>
        <v/>
      </c>
      <c r="Y571" s="27" t="str" cm="1">
        <f t="array" ref="Y571">IF($A571="","",IF(TRIM($B571)="","-",IFERROR(_xlfn.TEXTJOIN(" / ",TRUE,_xlfn.UNIQUE(_xlfn._xlws.FILTER('Ownership Matrix'!$C$5:$C$200,('Ownership Matrix'!$A$5:$A$200=TRIM($B571))*('Ownership Matrix'!$C$5:$C$200&lt;&gt;"")))),"ไม่พบใน Ownership Matrix")))</f>
        <v/>
      </c>
      <c r="Z571" s="31" t="str">
        <f>IF(NOT(AND($A571&lt;&gt;"",$M571&lt;&gt;"Out of Scope",$M571&lt;&gt;"Canceled",$T571&lt;&gt;"Fixed – Retest Passed",OR(LEN(TRIM($O571))&gt;0,LEN(TRIM($P571))&gt;0))),"",IF(OR($W571="Failed",$R571="Urgent",$R571="High",$R571="ระบุ Severity + Impact"),IF(COUNTIFS(Dashboard!$B$105:$B$124,$O571,Dashboard!$I$105:$I$124,"CAB")&gt;0,"Accepted (CF)","Blocking"),"Deferrable"))</f>
        <v/>
      </c>
    </row>
    <row r="572" spans="7:26" x14ac:dyDescent="0.3">
      <c r="G572" s="27" t="str" cm="1">
        <f t="array" ref="G572">IF($A572="","",IFERROR(_xlfn.TEXTJOIN(CHAR(10)&amp;CHAR(10),TRUE,_xlfn._xlws.FILTER("•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"&amp;Cards!$L$4:$L$1000),(Cards!$A$4:$A$1000&lt;&gt;"")*ISNUMBER(SEARCH($A572,Cards!$E$4:$E$1000)))),"-"))</f>
        <v/>
      </c>
      <c r="Q572" s="30"/>
      <c r="R572" s="27" t="str">
        <f>IF(OR($A572="",LEN(TRIM($O572))=0),"",IF(OR($P572="",$Q572=""),"ระบุ Severity + Impact",IFERROR(INDEX({"Urgent","Urgent","High","High";"Urgent","High","High","Medium";"High","High","Medium","Medium";"Medium","Medium","Low","Low"},MATCH($P572,{"Critical","High","Medium","Low"},0),MATCH($Q572,{"Extensive","Significant","Moderate","Minor"},0)),"-")))</f>
        <v/>
      </c>
      <c r="S572" s="30"/>
      <c r="T572" s="30"/>
      <c r="W572" s="32" t="str">
        <f>IF($A572="","",IF(OR($M572="Out of Scope",$M572="Canceled"),"Out of Scope",IF($M572="Blocked","Blocked",IF(AND($T572&lt;&gt;"Fixed – Retest Passed",OR(LEN(TRIM($O572))&gt;0,LEN(TRIM($P572))&gt;0)),IF(AND(OR($L572="Medium",$L572="Low"),SUMPRODUCT((Cards!$A$4:$A$1000&lt;&gt;"")*ISNUMBER(SEARCH($A572,Cards!$E$4:$E$1000))*(Cards!$F$4:$F$1000&lt;&gt;"Medium")*(Cards!$F$4:$F$1000&lt;&gt;"Low"))=0),"Conditionally Passed","Failed"),IF($M572="Done","Passed","Not Run")))))</f>
        <v/>
      </c>
      <c r="Y572" s="27" t="str" cm="1">
        <f t="array" ref="Y572">IF($A572="","",IF(TRIM($B572)="","-",IFERROR(_xlfn.TEXTJOIN(" / ",TRUE,_xlfn.UNIQUE(_xlfn._xlws.FILTER('Ownership Matrix'!$C$5:$C$200,('Ownership Matrix'!$A$5:$A$200=TRIM($B572))*('Ownership Matrix'!$C$5:$C$200&lt;&gt;"")))),"ไม่พบใน Ownership Matrix")))</f>
        <v/>
      </c>
      <c r="Z572" s="31" t="str">
        <f>IF(NOT(AND($A572&lt;&gt;"",$M572&lt;&gt;"Out of Scope",$M572&lt;&gt;"Canceled",$T572&lt;&gt;"Fixed – Retest Passed",OR(LEN(TRIM($O572))&gt;0,LEN(TRIM($P572))&gt;0))),"",IF(OR($W572="Failed",$R572="Urgent",$R572="High",$R572="ระบุ Severity + Impact"),IF(COUNTIFS(Dashboard!$B$105:$B$124,$O572,Dashboard!$I$105:$I$124,"CAB")&gt;0,"Accepted (CF)","Blocking"),"Deferrable"))</f>
        <v/>
      </c>
    </row>
    <row r="573" spans="7:26" x14ac:dyDescent="0.3">
      <c r="G573" s="27" t="str" cm="1">
        <f t="array" ref="G573">IF($A573="","",IFERROR(_xlfn.TEXTJOIN(CHAR(10)&amp;CHAR(10),TRUE,_xlfn._xlws.FILTER("•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"&amp;Cards!$L$4:$L$1000),(Cards!$A$4:$A$1000&lt;&gt;"")*ISNUMBER(SEARCH($A573,Cards!$E$4:$E$1000)))),"-"))</f>
        <v/>
      </c>
      <c r="Q573" s="30"/>
      <c r="R573" s="27" t="str">
        <f>IF(OR($A573="",LEN(TRIM($O573))=0),"",IF(OR($P573="",$Q573=""),"ระบุ Severity + Impact",IFERROR(INDEX({"Urgent","Urgent","High","High";"Urgent","High","High","Medium";"High","High","Medium","Medium";"Medium","Medium","Low","Low"},MATCH($P573,{"Critical","High","Medium","Low"},0),MATCH($Q573,{"Extensive","Significant","Moderate","Minor"},0)),"-")))</f>
        <v/>
      </c>
      <c r="S573" s="30"/>
      <c r="T573" s="30"/>
      <c r="W573" s="32" t="str">
        <f>IF($A573="","",IF(OR($M573="Out of Scope",$M573="Canceled"),"Out of Scope",IF($M573="Blocked","Blocked",IF(AND($T573&lt;&gt;"Fixed – Retest Passed",OR(LEN(TRIM($O573))&gt;0,LEN(TRIM($P573))&gt;0)),IF(AND(OR($L573="Medium",$L573="Low"),SUMPRODUCT((Cards!$A$4:$A$1000&lt;&gt;"")*ISNUMBER(SEARCH($A573,Cards!$E$4:$E$1000))*(Cards!$F$4:$F$1000&lt;&gt;"Medium")*(Cards!$F$4:$F$1000&lt;&gt;"Low"))=0),"Conditionally Passed","Failed"),IF($M573="Done","Passed","Not Run")))))</f>
        <v/>
      </c>
      <c r="Y573" s="27" t="str" cm="1">
        <f t="array" ref="Y573">IF($A573="","",IF(TRIM($B573)="","-",IFERROR(_xlfn.TEXTJOIN(" / ",TRUE,_xlfn.UNIQUE(_xlfn._xlws.FILTER('Ownership Matrix'!$C$5:$C$200,('Ownership Matrix'!$A$5:$A$200=TRIM($B573))*('Ownership Matrix'!$C$5:$C$200&lt;&gt;"")))),"ไม่พบใน Ownership Matrix")))</f>
        <v/>
      </c>
      <c r="Z573" s="31" t="str">
        <f>IF(NOT(AND($A573&lt;&gt;"",$M573&lt;&gt;"Out of Scope",$M573&lt;&gt;"Canceled",$T573&lt;&gt;"Fixed – Retest Passed",OR(LEN(TRIM($O573))&gt;0,LEN(TRIM($P573))&gt;0))),"",IF(OR($W573="Failed",$R573="Urgent",$R573="High",$R573="ระบุ Severity + Impact"),IF(COUNTIFS(Dashboard!$B$105:$B$124,$O573,Dashboard!$I$105:$I$124,"CAB")&gt;0,"Accepted (CF)","Blocking"),"Deferrable"))</f>
        <v/>
      </c>
    </row>
    <row r="574" spans="7:26" x14ac:dyDescent="0.3">
      <c r="G574" s="27" t="str" cm="1">
        <f t="array" ref="G574">IF($A574="","",IFERROR(_xlfn.TEXTJOIN(CHAR(10)&amp;CHAR(10),TRUE,_xlfn._xlws.FILTER("•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"&amp;Cards!$L$4:$L$1000),(Cards!$A$4:$A$1000&lt;&gt;"")*ISNUMBER(SEARCH($A574,Cards!$E$4:$E$1000)))),"-"))</f>
        <v/>
      </c>
      <c r="Q574" s="30"/>
      <c r="R574" s="27" t="str">
        <f>IF(OR($A574="",LEN(TRIM($O574))=0),"",IF(OR($P574="",$Q574=""),"ระบุ Severity + Impact",IFERROR(INDEX({"Urgent","Urgent","High","High";"Urgent","High","High","Medium";"High","High","Medium","Medium";"Medium","Medium","Low","Low"},MATCH($P574,{"Critical","High","Medium","Low"},0),MATCH($Q574,{"Extensive","Significant","Moderate","Minor"},0)),"-")))</f>
        <v/>
      </c>
      <c r="S574" s="30"/>
      <c r="T574" s="30"/>
      <c r="W574" s="32" t="str">
        <f>IF($A574="","",IF(OR($M574="Out of Scope",$M574="Canceled"),"Out of Scope",IF($M574="Blocked","Blocked",IF(AND($T574&lt;&gt;"Fixed – Retest Passed",OR(LEN(TRIM($O574))&gt;0,LEN(TRIM($P574))&gt;0)),IF(AND(OR($L574="Medium",$L574="Low"),SUMPRODUCT((Cards!$A$4:$A$1000&lt;&gt;"")*ISNUMBER(SEARCH($A574,Cards!$E$4:$E$1000))*(Cards!$F$4:$F$1000&lt;&gt;"Medium")*(Cards!$F$4:$F$1000&lt;&gt;"Low"))=0),"Conditionally Passed","Failed"),IF($M574="Done","Passed","Not Run")))))</f>
        <v/>
      </c>
      <c r="Y574" s="27" t="str" cm="1">
        <f t="array" ref="Y574">IF($A574="","",IF(TRIM($B574)="","-",IFERROR(_xlfn.TEXTJOIN(" / ",TRUE,_xlfn.UNIQUE(_xlfn._xlws.FILTER('Ownership Matrix'!$C$5:$C$200,('Ownership Matrix'!$A$5:$A$200=TRIM($B574))*('Ownership Matrix'!$C$5:$C$200&lt;&gt;"")))),"ไม่พบใน Ownership Matrix")))</f>
        <v/>
      </c>
      <c r="Z574" s="31" t="str">
        <f>IF(NOT(AND($A574&lt;&gt;"",$M574&lt;&gt;"Out of Scope",$M574&lt;&gt;"Canceled",$T574&lt;&gt;"Fixed – Retest Passed",OR(LEN(TRIM($O574))&gt;0,LEN(TRIM($P574))&gt;0))),"",IF(OR($W574="Failed",$R574="Urgent",$R574="High",$R574="ระบุ Severity + Impact"),IF(COUNTIFS(Dashboard!$B$105:$B$124,$O574,Dashboard!$I$105:$I$124,"CAB")&gt;0,"Accepted (CF)","Blocking"),"Deferrable"))</f>
        <v/>
      </c>
    </row>
    <row r="575" spans="7:26" x14ac:dyDescent="0.3">
      <c r="G575" s="27" t="str" cm="1">
        <f t="array" ref="G575">IF($A575="","",IFERROR(_xlfn.TEXTJOIN(CHAR(10)&amp;CHAR(10),TRUE,_xlfn._xlws.FILTER("•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"&amp;Cards!$L$4:$L$1000),(Cards!$A$4:$A$1000&lt;&gt;"")*ISNUMBER(SEARCH($A575,Cards!$E$4:$E$1000)))),"-"))</f>
        <v/>
      </c>
      <c r="Q575" s="30"/>
      <c r="R575" s="27" t="str">
        <f>IF(OR($A575="",LEN(TRIM($O575))=0),"",IF(OR($P575="",$Q575=""),"ระบุ Severity + Impact",IFERROR(INDEX({"Urgent","Urgent","High","High";"Urgent","High","High","Medium";"High","High","Medium","Medium";"Medium","Medium","Low","Low"},MATCH($P575,{"Critical","High","Medium","Low"},0),MATCH($Q575,{"Extensive","Significant","Moderate","Minor"},0)),"-")))</f>
        <v/>
      </c>
      <c r="S575" s="30"/>
      <c r="T575" s="30"/>
      <c r="W575" s="32" t="str">
        <f>IF($A575="","",IF(OR($M575="Out of Scope",$M575="Canceled"),"Out of Scope",IF($M575="Blocked","Blocked",IF(AND($T575&lt;&gt;"Fixed – Retest Passed",OR(LEN(TRIM($O575))&gt;0,LEN(TRIM($P575))&gt;0)),IF(AND(OR($L575="Medium",$L575="Low"),SUMPRODUCT((Cards!$A$4:$A$1000&lt;&gt;"")*ISNUMBER(SEARCH($A575,Cards!$E$4:$E$1000))*(Cards!$F$4:$F$1000&lt;&gt;"Medium")*(Cards!$F$4:$F$1000&lt;&gt;"Low"))=0),"Conditionally Passed","Failed"),IF($M575="Done","Passed","Not Run")))))</f>
        <v/>
      </c>
      <c r="Y575" s="27" t="str" cm="1">
        <f t="array" ref="Y575">IF($A575="","",IF(TRIM($B575)="","-",IFERROR(_xlfn.TEXTJOIN(" / ",TRUE,_xlfn.UNIQUE(_xlfn._xlws.FILTER('Ownership Matrix'!$C$5:$C$200,('Ownership Matrix'!$A$5:$A$200=TRIM($B575))*('Ownership Matrix'!$C$5:$C$200&lt;&gt;"")))),"ไม่พบใน Ownership Matrix")))</f>
        <v/>
      </c>
      <c r="Z575" s="31" t="str">
        <f>IF(NOT(AND($A575&lt;&gt;"",$M575&lt;&gt;"Out of Scope",$M575&lt;&gt;"Canceled",$T575&lt;&gt;"Fixed – Retest Passed",OR(LEN(TRIM($O575))&gt;0,LEN(TRIM($P575))&gt;0))),"",IF(OR($W575="Failed",$R575="Urgent",$R575="High",$R575="ระบุ Severity + Impact"),IF(COUNTIFS(Dashboard!$B$105:$B$124,$O575,Dashboard!$I$105:$I$124,"CAB")&gt;0,"Accepted (CF)","Blocking"),"Deferrable"))</f>
        <v/>
      </c>
    </row>
    <row r="576" spans="7:26" x14ac:dyDescent="0.3">
      <c r="G576" s="27" t="str" cm="1">
        <f t="array" ref="G576">IF($A576="","",IFERROR(_xlfn.TEXTJOIN(CHAR(10)&amp;CHAR(10),TRUE,_xlfn._xlws.FILTER("•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"&amp;Cards!$L$4:$L$1000),(Cards!$A$4:$A$1000&lt;&gt;"")*ISNUMBER(SEARCH($A576,Cards!$E$4:$E$1000)))),"-"))</f>
        <v/>
      </c>
      <c r="Q576" s="30"/>
      <c r="R576" s="27" t="str">
        <f>IF(OR($A576="",LEN(TRIM($O576))=0),"",IF(OR($P576="",$Q576=""),"ระบุ Severity + Impact",IFERROR(INDEX({"Urgent","Urgent","High","High";"Urgent","High","High","Medium";"High","High","Medium","Medium";"Medium","Medium","Low","Low"},MATCH($P576,{"Critical","High","Medium","Low"},0),MATCH($Q576,{"Extensive","Significant","Moderate","Minor"},0)),"-")))</f>
        <v/>
      </c>
      <c r="S576" s="30"/>
      <c r="T576" s="30"/>
      <c r="W576" s="32" t="str">
        <f>IF($A576="","",IF(OR($M576="Out of Scope",$M576="Canceled"),"Out of Scope",IF($M576="Blocked","Blocked",IF(AND($T576&lt;&gt;"Fixed – Retest Passed",OR(LEN(TRIM($O576))&gt;0,LEN(TRIM($P576))&gt;0)),IF(AND(OR($L576="Medium",$L576="Low"),SUMPRODUCT((Cards!$A$4:$A$1000&lt;&gt;"")*ISNUMBER(SEARCH($A576,Cards!$E$4:$E$1000))*(Cards!$F$4:$F$1000&lt;&gt;"Medium")*(Cards!$F$4:$F$1000&lt;&gt;"Low"))=0),"Conditionally Passed","Failed"),IF($M576="Done","Passed","Not Run")))))</f>
        <v/>
      </c>
      <c r="Y576" s="27" t="str" cm="1">
        <f t="array" ref="Y576">IF($A576="","",IF(TRIM($B576)="","-",IFERROR(_xlfn.TEXTJOIN(" / ",TRUE,_xlfn.UNIQUE(_xlfn._xlws.FILTER('Ownership Matrix'!$C$5:$C$200,('Ownership Matrix'!$A$5:$A$200=TRIM($B576))*('Ownership Matrix'!$C$5:$C$200&lt;&gt;"")))),"ไม่พบใน Ownership Matrix")))</f>
        <v/>
      </c>
      <c r="Z576" s="31" t="str">
        <f>IF(NOT(AND($A576&lt;&gt;"",$M576&lt;&gt;"Out of Scope",$M576&lt;&gt;"Canceled",$T576&lt;&gt;"Fixed – Retest Passed",OR(LEN(TRIM($O576))&gt;0,LEN(TRIM($P576))&gt;0))),"",IF(OR($W576="Failed",$R576="Urgent",$R576="High",$R576="ระบุ Severity + Impact"),IF(COUNTIFS(Dashboard!$B$105:$B$124,$O576,Dashboard!$I$105:$I$124,"CAB")&gt;0,"Accepted (CF)","Blocking"),"Deferrable"))</f>
        <v/>
      </c>
    </row>
    <row r="577" spans="7:26" x14ac:dyDescent="0.3">
      <c r="G577" s="27" t="str" cm="1">
        <f t="array" ref="G577">IF($A577="","",IFERROR(_xlfn.TEXTJOIN(CHAR(10)&amp;CHAR(10),TRUE,_xlfn._xlws.FILTER("•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"&amp;Cards!$L$4:$L$1000),(Cards!$A$4:$A$1000&lt;&gt;"")*ISNUMBER(SEARCH($A577,Cards!$E$4:$E$1000)))),"-"))</f>
        <v/>
      </c>
      <c r="Q577" s="30"/>
      <c r="R577" s="27" t="str">
        <f>IF(OR($A577="",LEN(TRIM($O577))=0),"",IF(OR($P577="",$Q577=""),"ระบุ Severity + Impact",IFERROR(INDEX({"Urgent","Urgent","High","High";"Urgent","High","High","Medium";"High","High","Medium","Medium";"Medium","Medium","Low","Low"},MATCH($P577,{"Critical","High","Medium","Low"},0),MATCH($Q577,{"Extensive","Significant","Moderate","Minor"},0)),"-")))</f>
        <v/>
      </c>
      <c r="S577" s="30"/>
      <c r="T577" s="30"/>
      <c r="W577" s="32" t="str">
        <f>IF($A577="","",IF(OR($M577="Out of Scope",$M577="Canceled"),"Out of Scope",IF($M577="Blocked","Blocked",IF(AND($T577&lt;&gt;"Fixed – Retest Passed",OR(LEN(TRIM($O577))&gt;0,LEN(TRIM($P577))&gt;0)),IF(AND(OR($L577="Medium",$L577="Low"),SUMPRODUCT((Cards!$A$4:$A$1000&lt;&gt;"")*ISNUMBER(SEARCH($A577,Cards!$E$4:$E$1000))*(Cards!$F$4:$F$1000&lt;&gt;"Medium")*(Cards!$F$4:$F$1000&lt;&gt;"Low"))=0),"Conditionally Passed","Failed"),IF($M577="Done","Passed","Not Run")))))</f>
        <v/>
      </c>
      <c r="Y577" s="27" t="str" cm="1">
        <f t="array" ref="Y577">IF($A577="","",IF(TRIM($B577)="","-",IFERROR(_xlfn.TEXTJOIN(" / ",TRUE,_xlfn.UNIQUE(_xlfn._xlws.FILTER('Ownership Matrix'!$C$5:$C$200,('Ownership Matrix'!$A$5:$A$200=TRIM($B577))*('Ownership Matrix'!$C$5:$C$200&lt;&gt;"")))),"ไม่พบใน Ownership Matrix")))</f>
        <v/>
      </c>
      <c r="Z577" s="31" t="str">
        <f>IF(NOT(AND($A577&lt;&gt;"",$M577&lt;&gt;"Out of Scope",$M577&lt;&gt;"Canceled",$T577&lt;&gt;"Fixed – Retest Passed",OR(LEN(TRIM($O577))&gt;0,LEN(TRIM($P577))&gt;0))),"",IF(OR($W577="Failed",$R577="Urgent",$R577="High",$R577="ระบุ Severity + Impact"),IF(COUNTIFS(Dashboard!$B$105:$B$124,$O577,Dashboard!$I$105:$I$124,"CAB")&gt;0,"Accepted (CF)","Blocking"),"Deferrable"))</f>
        <v/>
      </c>
    </row>
    <row r="578" spans="7:26" x14ac:dyDescent="0.3">
      <c r="G578" s="27" t="str" cm="1">
        <f t="array" ref="G578">IF($A578="","",IFERROR(_xlfn.TEXTJOIN(CHAR(10)&amp;CHAR(10),TRUE,_xlfn._xlws.FILTER("•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"&amp;Cards!$L$4:$L$1000),(Cards!$A$4:$A$1000&lt;&gt;"")*ISNUMBER(SEARCH($A578,Cards!$E$4:$E$1000)))),"-"))</f>
        <v/>
      </c>
      <c r="Q578" s="30"/>
      <c r="R578" s="27" t="str">
        <f>IF(OR($A578="",LEN(TRIM($O578))=0),"",IF(OR($P578="",$Q578=""),"ระบุ Severity + Impact",IFERROR(INDEX({"Urgent","Urgent","High","High";"Urgent","High","High","Medium";"High","High","Medium","Medium";"Medium","Medium","Low","Low"},MATCH($P578,{"Critical","High","Medium","Low"},0),MATCH($Q578,{"Extensive","Significant","Moderate","Minor"},0)),"-")))</f>
        <v/>
      </c>
      <c r="S578" s="30"/>
      <c r="T578" s="30"/>
      <c r="W578" s="32" t="str">
        <f>IF($A578="","",IF(OR($M578="Out of Scope",$M578="Canceled"),"Out of Scope",IF($M578="Blocked","Blocked",IF(AND($T578&lt;&gt;"Fixed – Retest Passed",OR(LEN(TRIM($O578))&gt;0,LEN(TRIM($P578))&gt;0)),IF(AND(OR($L578="Medium",$L578="Low"),SUMPRODUCT((Cards!$A$4:$A$1000&lt;&gt;"")*ISNUMBER(SEARCH($A578,Cards!$E$4:$E$1000))*(Cards!$F$4:$F$1000&lt;&gt;"Medium")*(Cards!$F$4:$F$1000&lt;&gt;"Low"))=0),"Conditionally Passed","Failed"),IF($M578="Done","Passed","Not Run")))))</f>
        <v/>
      </c>
      <c r="Y578" s="27" t="str" cm="1">
        <f t="array" ref="Y578">IF($A578="","",IF(TRIM($B578)="","-",IFERROR(_xlfn.TEXTJOIN(" / ",TRUE,_xlfn.UNIQUE(_xlfn._xlws.FILTER('Ownership Matrix'!$C$5:$C$200,('Ownership Matrix'!$A$5:$A$200=TRIM($B578))*('Ownership Matrix'!$C$5:$C$200&lt;&gt;"")))),"ไม่พบใน Ownership Matrix")))</f>
        <v/>
      </c>
      <c r="Z578" s="31" t="str">
        <f>IF(NOT(AND($A578&lt;&gt;"",$M578&lt;&gt;"Out of Scope",$M578&lt;&gt;"Canceled",$T578&lt;&gt;"Fixed – Retest Passed",OR(LEN(TRIM($O578))&gt;0,LEN(TRIM($P578))&gt;0))),"",IF(OR($W578="Failed",$R578="Urgent",$R578="High",$R578="ระบุ Severity + Impact"),IF(COUNTIFS(Dashboard!$B$105:$B$124,$O578,Dashboard!$I$105:$I$124,"CAB")&gt;0,"Accepted (CF)","Blocking"),"Deferrable"))</f>
        <v/>
      </c>
    </row>
    <row r="579" spans="7:26" x14ac:dyDescent="0.3">
      <c r="G579" s="27" t="str" cm="1">
        <f t="array" ref="G579">IF($A579="","",IFERROR(_xlfn.TEXTJOIN(CHAR(10)&amp;CHAR(10),TRUE,_xlfn._xlws.FILTER("•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"&amp;Cards!$L$4:$L$1000),(Cards!$A$4:$A$1000&lt;&gt;"")*ISNUMBER(SEARCH($A579,Cards!$E$4:$E$1000)))),"-"))</f>
        <v/>
      </c>
      <c r="Q579" s="30"/>
      <c r="R579" s="27" t="str">
        <f>IF(OR($A579="",LEN(TRIM($O579))=0),"",IF(OR($P579="",$Q579=""),"ระบุ Severity + Impact",IFERROR(INDEX({"Urgent","Urgent","High","High";"Urgent","High","High","Medium";"High","High","Medium","Medium";"Medium","Medium","Low","Low"},MATCH($P579,{"Critical","High","Medium","Low"},0),MATCH($Q579,{"Extensive","Significant","Moderate","Minor"},0)),"-")))</f>
        <v/>
      </c>
      <c r="S579" s="30"/>
      <c r="T579" s="30"/>
      <c r="W579" s="32" t="str">
        <f>IF($A579="","",IF(OR($M579="Out of Scope",$M579="Canceled"),"Out of Scope",IF($M579="Blocked","Blocked",IF(AND($T579&lt;&gt;"Fixed – Retest Passed",OR(LEN(TRIM($O579))&gt;0,LEN(TRIM($P579))&gt;0)),IF(AND(OR($L579="Medium",$L579="Low"),SUMPRODUCT((Cards!$A$4:$A$1000&lt;&gt;"")*ISNUMBER(SEARCH($A579,Cards!$E$4:$E$1000))*(Cards!$F$4:$F$1000&lt;&gt;"Medium")*(Cards!$F$4:$F$1000&lt;&gt;"Low"))=0),"Conditionally Passed","Failed"),IF($M579="Done","Passed","Not Run")))))</f>
        <v/>
      </c>
      <c r="Y579" s="27" t="str" cm="1">
        <f t="array" ref="Y579">IF($A579="","",IF(TRIM($B579)="","-",IFERROR(_xlfn.TEXTJOIN(" / ",TRUE,_xlfn.UNIQUE(_xlfn._xlws.FILTER('Ownership Matrix'!$C$5:$C$200,('Ownership Matrix'!$A$5:$A$200=TRIM($B579))*('Ownership Matrix'!$C$5:$C$200&lt;&gt;"")))),"ไม่พบใน Ownership Matrix")))</f>
        <v/>
      </c>
      <c r="Z579" s="31" t="str">
        <f>IF(NOT(AND($A579&lt;&gt;"",$M579&lt;&gt;"Out of Scope",$M579&lt;&gt;"Canceled",$T579&lt;&gt;"Fixed – Retest Passed",OR(LEN(TRIM($O579))&gt;0,LEN(TRIM($P579))&gt;0))),"",IF(OR($W579="Failed",$R579="Urgent",$R579="High",$R579="ระบุ Severity + Impact"),IF(COUNTIFS(Dashboard!$B$105:$B$124,$O579,Dashboard!$I$105:$I$124,"CAB")&gt;0,"Accepted (CF)","Blocking"),"Deferrable"))</f>
        <v/>
      </c>
    </row>
    <row r="580" spans="7:26" x14ac:dyDescent="0.3">
      <c r="G580" s="27" t="str" cm="1">
        <f t="array" ref="G580">IF($A580="","",IFERROR(_xlfn.TEXTJOIN(CHAR(10)&amp;CHAR(10),TRUE,_xlfn._xlws.FILTER("•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"&amp;Cards!$L$4:$L$1000),(Cards!$A$4:$A$1000&lt;&gt;"")*ISNUMBER(SEARCH($A580,Cards!$E$4:$E$1000)))),"-"))</f>
        <v/>
      </c>
      <c r="Q580" s="30"/>
      <c r="R580" s="27" t="str">
        <f>IF(OR($A580="",LEN(TRIM($O580))=0),"",IF(OR($P580="",$Q580=""),"ระบุ Severity + Impact",IFERROR(INDEX({"Urgent","Urgent","High","High";"Urgent","High","High","Medium";"High","High","Medium","Medium";"Medium","Medium","Low","Low"},MATCH($P580,{"Critical","High","Medium","Low"},0),MATCH($Q580,{"Extensive","Significant","Moderate","Minor"},0)),"-")))</f>
        <v/>
      </c>
      <c r="S580" s="30"/>
      <c r="T580" s="30"/>
      <c r="W580" s="32" t="str">
        <f>IF($A580="","",IF(OR($M580="Out of Scope",$M580="Canceled"),"Out of Scope",IF($M580="Blocked","Blocked",IF(AND($T580&lt;&gt;"Fixed – Retest Passed",OR(LEN(TRIM($O580))&gt;0,LEN(TRIM($P580))&gt;0)),IF(AND(OR($L580="Medium",$L580="Low"),SUMPRODUCT((Cards!$A$4:$A$1000&lt;&gt;"")*ISNUMBER(SEARCH($A580,Cards!$E$4:$E$1000))*(Cards!$F$4:$F$1000&lt;&gt;"Medium")*(Cards!$F$4:$F$1000&lt;&gt;"Low"))=0),"Conditionally Passed","Failed"),IF($M580="Done","Passed","Not Run")))))</f>
        <v/>
      </c>
      <c r="Y580" s="27" t="str" cm="1">
        <f t="array" ref="Y580">IF($A580="","",IF(TRIM($B580)="","-",IFERROR(_xlfn.TEXTJOIN(" / ",TRUE,_xlfn.UNIQUE(_xlfn._xlws.FILTER('Ownership Matrix'!$C$5:$C$200,('Ownership Matrix'!$A$5:$A$200=TRIM($B580))*('Ownership Matrix'!$C$5:$C$200&lt;&gt;"")))),"ไม่พบใน Ownership Matrix")))</f>
        <v/>
      </c>
      <c r="Z580" s="31" t="str">
        <f>IF(NOT(AND($A580&lt;&gt;"",$M580&lt;&gt;"Out of Scope",$M580&lt;&gt;"Canceled",$T580&lt;&gt;"Fixed – Retest Passed",OR(LEN(TRIM($O580))&gt;0,LEN(TRIM($P580))&gt;0))),"",IF(OR($W580="Failed",$R580="Urgent",$R580="High",$R580="ระบุ Severity + Impact"),IF(COUNTIFS(Dashboard!$B$105:$B$124,$O580,Dashboard!$I$105:$I$124,"CAB")&gt;0,"Accepted (CF)","Blocking"),"Deferrable"))</f>
        <v/>
      </c>
    </row>
    <row r="581" spans="7:26" x14ac:dyDescent="0.3">
      <c r="G581" s="27" t="str" cm="1">
        <f t="array" ref="G581">IF($A581="","",IFERROR(_xlfn.TEXTJOIN(CHAR(10)&amp;CHAR(10),TRUE,_xlfn._xlws.FILTER("•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"&amp;Cards!$L$4:$L$1000),(Cards!$A$4:$A$1000&lt;&gt;"")*ISNUMBER(SEARCH($A581,Cards!$E$4:$E$1000)))),"-"))</f>
        <v/>
      </c>
      <c r="Q581" s="30"/>
      <c r="R581" s="27" t="str">
        <f>IF(OR($A581="",LEN(TRIM($O581))=0),"",IF(OR($P581="",$Q581=""),"ระบุ Severity + Impact",IFERROR(INDEX({"Urgent","Urgent","High","High";"Urgent","High","High","Medium";"High","High","Medium","Medium";"Medium","Medium","Low","Low"},MATCH($P581,{"Critical","High","Medium","Low"},0),MATCH($Q581,{"Extensive","Significant","Moderate","Minor"},0)),"-")))</f>
        <v/>
      </c>
      <c r="S581" s="30"/>
      <c r="T581" s="30"/>
      <c r="W581" s="32" t="str">
        <f>IF($A581="","",IF(OR($M581="Out of Scope",$M581="Canceled"),"Out of Scope",IF($M581="Blocked","Blocked",IF(AND($T581&lt;&gt;"Fixed – Retest Passed",OR(LEN(TRIM($O581))&gt;0,LEN(TRIM($P581))&gt;0)),IF(AND(OR($L581="Medium",$L581="Low"),SUMPRODUCT((Cards!$A$4:$A$1000&lt;&gt;"")*ISNUMBER(SEARCH($A581,Cards!$E$4:$E$1000))*(Cards!$F$4:$F$1000&lt;&gt;"Medium")*(Cards!$F$4:$F$1000&lt;&gt;"Low"))=0),"Conditionally Passed","Failed"),IF($M581="Done","Passed","Not Run")))))</f>
        <v/>
      </c>
      <c r="Y581" s="27" t="str" cm="1">
        <f t="array" ref="Y581">IF($A581="","",IF(TRIM($B581)="","-",IFERROR(_xlfn.TEXTJOIN(" / ",TRUE,_xlfn.UNIQUE(_xlfn._xlws.FILTER('Ownership Matrix'!$C$5:$C$200,('Ownership Matrix'!$A$5:$A$200=TRIM($B581))*('Ownership Matrix'!$C$5:$C$200&lt;&gt;"")))),"ไม่พบใน Ownership Matrix")))</f>
        <v/>
      </c>
      <c r="Z581" s="31" t="str">
        <f>IF(NOT(AND($A581&lt;&gt;"",$M581&lt;&gt;"Out of Scope",$M581&lt;&gt;"Canceled",$T581&lt;&gt;"Fixed – Retest Passed",OR(LEN(TRIM($O581))&gt;0,LEN(TRIM($P581))&gt;0))),"",IF(OR($W581="Failed",$R581="Urgent",$R581="High",$R581="ระบุ Severity + Impact"),IF(COUNTIFS(Dashboard!$B$105:$B$124,$O581,Dashboard!$I$105:$I$124,"CAB")&gt;0,"Accepted (CF)","Blocking"),"Deferrable"))</f>
        <v/>
      </c>
    </row>
    <row r="582" spans="7:26" x14ac:dyDescent="0.3">
      <c r="G582" s="27" t="str" cm="1">
        <f t="array" ref="G582">IF($A582="","",IFERROR(_xlfn.TEXTJOIN(CHAR(10)&amp;CHAR(10),TRUE,_xlfn._xlws.FILTER("•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"&amp;Cards!$L$4:$L$1000),(Cards!$A$4:$A$1000&lt;&gt;"")*ISNUMBER(SEARCH($A582,Cards!$E$4:$E$1000)))),"-"))</f>
        <v/>
      </c>
      <c r="Q582" s="30"/>
      <c r="R582" s="27" t="str">
        <f>IF(OR($A582="",LEN(TRIM($O582))=0),"",IF(OR($P582="",$Q582=""),"ระบุ Severity + Impact",IFERROR(INDEX({"Urgent","Urgent","High","High";"Urgent","High","High","Medium";"High","High","Medium","Medium";"Medium","Medium","Low","Low"},MATCH($P582,{"Critical","High","Medium","Low"},0),MATCH($Q582,{"Extensive","Significant","Moderate","Minor"},0)),"-")))</f>
        <v/>
      </c>
      <c r="S582" s="30"/>
      <c r="T582" s="30"/>
      <c r="W582" s="32" t="str">
        <f>IF($A582="","",IF(OR($M582="Out of Scope",$M582="Canceled"),"Out of Scope",IF($M582="Blocked","Blocked",IF(AND($T582&lt;&gt;"Fixed – Retest Passed",OR(LEN(TRIM($O582))&gt;0,LEN(TRIM($P582))&gt;0)),IF(AND(OR($L582="Medium",$L582="Low"),SUMPRODUCT((Cards!$A$4:$A$1000&lt;&gt;"")*ISNUMBER(SEARCH($A582,Cards!$E$4:$E$1000))*(Cards!$F$4:$F$1000&lt;&gt;"Medium")*(Cards!$F$4:$F$1000&lt;&gt;"Low"))=0),"Conditionally Passed","Failed"),IF($M582="Done","Passed","Not Run")))))</f>
        <v/>
      </c>
      <c r="Y582" s="27" t="str" cm="1">
        <f t="array" ref="Y582">IF($A582="","",IF(TRIM($B582)="","-",IFERROR(_xlfn.TEXTJOIN(" / ",TRUE,_xlfn.UNIQUE(_xlfn._xlws.FILTER('Ownership Matrix'!$C$5:$C$200,('Ownership Matrix'!$A$5:$A$200=TRIM($B582))*('Ownership Matrix'!$C$5:$C$200&lt;&gt;"")))),"ไม่พบใน Ownership Matrix")))</f>
        <v/>
      </c>
      <c r="Z582" s="31" t="str">
        <f>IF(NOT(AND($A582&lt;&gt;"",$M582&lt;&gt;"Out of Scope",$M582&lt;&gt;"Canceled",$T582&lt;&gt;"Fixed – Retest Passed",OR(LEN(TRIM($O582))&gt;0,LEN(TRIM($P582))&gt;0))),"",IF(OR($W582="Failed",$R582="Urgent",$R582="High",$R582="ระบุ Severity + Impact"),IF(COUNTIFS(Dashboard!$B$105:$B$124,$O582,Dashboard!$I$105:$I$124,"CAB")&gt;0,"Accepted (CF)","Blocking"),"Deferrable"))</f>
        <v/>
      </c>
    </row>
    <row r="583" spans="7:26" x14ac:dyDescent="0.3">
      <c r="G583" s="27" t="str" cm="1">
        <f t="array" ref="G583">IF($A583="","",IFERROR(_xlfn.TEXTJOIN(CHAR(10)&amp;CHAR(10),TRUE,_xlfn._xlws.FILTER("•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"&amp;Cards!$L$4:$L$1000),(Cards!$A$4:$A$1000&lt;&gt;"")*ISNUMBER(SEARCH($A583,Cards!$E$4:$E$1000)))),"-"))</f>
        <v/>
      </c>
      <c r="Q583" s="30"/>
      <c r="R583" s="27" t="str">
        <f>IF(OR($A583="",LEN(TRIM($O583))=0),"",IF(OR($P583="",$Q583=""),"ระบุ Severity + Impact",IFERROR(INDEX({"Urgent","Urgent","High","High";"Urgent","High","High","Medium";"High","High","Medium","Medium";"Medium","Medium","Low","Low"},MATCH($P583,{"Critical","High","Medium","Low"},0),MATCH($Q583,{"Extensive","Significant","Moderate","Minor"},0)),"-")))</f>
        <v/>
      </c>
      <c r="S583" s="30"/>
      <c r="T583" s="30"/>
      <c r="W583" s="32" t="str">
        <f>IF($A583="","",IF(OR($M583="Out of Scope",$M583="Canceled"),"Out of Scope",IF($M583="Blocked","Blocked",IF(AND($T583&lt;&gt;"Fixed – Retest Passed",OR(LEN(TRIM($O583))&gt;0,LEN(TRIM($P583))&gt;0)),IF(AND(OR($L583="Medium",$L583="Low"),SUMPRODUCT((Cards!$A$4:$A$1000&lt;&gt;"")*ISNUMBER(SEARCH($A583,Cards!$E$4:$E$1000))*(Cards!$F$4:$F$1000&lt;&gt;"Medium")*(Cards!$F$4:$F$1000&lt;&gt;"Low"))=0),"Conditionally Passed","Failed"),IF($M583="Done","Passed","Not Run")))))</f>
        <v/>
      </c>
      <c r="Y583" s="27" t="str" cm="1">
        <f t="array" ref="Y583">IF($A583="","",IF(TRIM($B583)="","-",IFERROR(_xlfn.TEXTJOIN(" / ",TRUE,_xlfn.UNIQUE(_xlfn._xlws.FILTER('Ownership Matrix'!$C$5:$C$200,('Ownership Matrix'!$A$5:$A$200=TRIM($B583))*('Ownership Matrix'!$C$5:$C$200&lt;&gt;"")))),"ไม่พบใน Ownership Matrix")))</f>
        <v/>
      </c>
      <c r="Z583" s="31" t="str">
        <f>IF(NOT(AND($A583&lt;&gt;"",$M583&lt;&gt;"Out of Scope",$M583&lt;&gt;"Canceled",$T583&lt;&gt;"Fixed – Retest Passed",OR(LEN(TRIM($O583))&gt;0,LEN(TRIM($P583))&gt;0))),"",IF(OR($W583="Failed",$R583="Urgent",$R583="High",$R583="ระบุ Severity + Impact"),IF(COUNTIFS(Dashboard!$B$105:$B$124,$O583,Dashboard!$I$105:$I$124,"CAB")&gt;0,"Accepted (CF)","Blocking"),"Deferrable"))</f>
        <v/>
      </c>
    </row>
    <row r="584" spans="7:26" x14ac:dyDescent="0.3">
      <c r="G584" s="27" t="str" cm="1">
        <f t="array" ref="G584">IF($A584="","",IFERROR(_xlfn.TEXTJOIN(CHAR(10)&amp;CHAR(10),TRUE,_xlfn._xlws.FILTER("•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"&amp;Cards!$L$4:$L$1000),(Cards!$A$4:$A$1000&lt;&gt;"")*ISNUMBER(SEARCH($A584,Cards!$E$4:$E$1000)))),"-"))</f>
        <v/>
      </c>
      <c r="Q584" s="30"/>
      <c r="R584" s="27" t="str">
        <f>IF(OR($A584="",LEN(TRIM($O584))=0),"",IF(OR($P584="",$Q584=""),"ระบุ Severity + Impact",IFERROR(INDEX({"Urgent","Urgent","High","High";"Urgent","High","High","Medium";"High","High","Medium","Medium";"Medium","Medium","Low","Low"},MATCH($P584,{"Critical","High","Medium","Low"},0),MATCH($Q584,{"Extensive","Significant","Moderate","Minor"},0)),"-")))</f>
        <v/>
      </c>
      <c r="S584" s="30"/>
      <c r="T584" s="30"/>
      <c r="W584" s="32" t="str">
        <f>IF($A584="","",IF(OR($M584="Out of Scope",$M584="Canceled"),"Out of Scope",IF($M584="Blocked","Blocked",IF(AND($T584&lt;&gt;"Fixed – Retest Passed",OR(LEN(TRIM($O584))&gt;0,LEN(TRIM($P584))&gt;0)),IF(AND(OR($L584="Medium",$L584="Low"),SUMPRODUCT((Cards!$A$4:$A$1000&lt;&gt;"")*ISNUMBER(SEARCH($A584,Cards!$E$4:$E$1000))*(Cards!$F$4:$F$1000&lt;&gt;"Medium")*(Cards!$F$4:$F$1000&lt;&gt;"Low"))=0),"Conditionally Passed","Failed"),IF($M584="Done","Passed","Not Run")))))</f>
        <v/>
      </c>
      <c r="Y584" s="27" t="str" cm="1">
        <f t="array" ref="Y584">IF($A584="","",IF(TRIM($B584)="","-",IFERROR(_xlfn.TEXTJOIN(" / ",TRUE,_xlfn.UNIQUE(_xlfn._xlws.FILTER('Ownership Matrix'!$C$5:$C$200,('Ownership Matrix'!$A$5:$A$200=TRIM($B584))*('Ownership Matrix'!$C$5:$C$200&lt;&gt;"")))),"ไม่พบใน Ownership Matrix")))</f>
        <v/>
      </c>
      <c r="Z584" s="31" t="str">
        <f>IF(NOT(AND($A584&lt;&gt;"",$M584&lt;&gt;"Out of Scope",$M584&lt;&gt;"Canceled",$T584&lt;&gt;"Fixed – Retest Passed",OR(LEN(TRIM($O584))&gt;0,LEN(TRIM($P584))&gt;0))),"",IF(OR($W584="Failed",$R584="Urgent",$R584="High",$R584="ระบุ Severity + Impact"),IF(COUNTIFS(Dashboard!$B$105:$B$124,$O584,Dashboard!$I$105:$I$124,"CAB")&gt;0,"Accepted (CF)","Blocking"),"Deferrable"))</f>
        <v/>
      </c>
    </row>
    <row r="585" spans="7:26" x14ac:dyDescent="0.3">
      <c r="G585" s="27" t="str" cm="1">
        <f t="array" ref="G585">IF($A585="","",IFERROR(_xlfn.TEXTJOIN(CHAR(10)&amp;CHAR(10),TRUE,_xlfn._xlws.FILTER("•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"&amp;Cards!$L$4:$L$1000),(Cards!$A$4:$A$1000&lt;&gt;"")*ISNUMBER(SEARCH($A585,Cards!$E$4:$E$1000)))),"-"))</f>
        <v/>
      </c>
      <c r="Q585" s="30"/>
      <c r="R585" s="27" t="str">
        <f>IF(OR($A585="",LEN(TRIM($O585))=0),"",IF(OR($P585="",$Q585=""),"ระบุ Severity + Impact",IFERROR(INDEX({"Urgent","Urgent","High","High";"Urgent","High","High","Medium";"High","High","Medium","Medium";"Medium","Medium","Low","Low"},MATCH($P585,{"Critical","High","Medium","Low"},0),MATCH($Q585,{"Extensive","Significant","Moderate","Minor"},0)),"-")))</f>
        <v/>
      </c>
      <c r="S585" s="30"/>
      <c r="T585" s="30"/>
      <c r="W585" s="32" t="str">
        <f>IF($A585="","",IF(OR($M585="Out of Scope",$M585="Canceled"),"Out of Scope",IF($M585="Blocked","Blocked",IF(AND($T585&lt;&gt;"Fixed – Retest Passed",OR(LEN(TRIM($O585))&gt;0,LEN(TRIM($P585))&gt;0)),IF(AND(OR($L585="Medium",$L585="Low"),SUMPRODUCT((Cards!$A$4:$A$1000&lt;&gt;"")*ISNUMBER(SEARCH($A585,Cards!$E$4:$E$1000))*(Cards!$F$4:$F$1000&lt;&gt;"Medium")*(Cards!$F$4:$F$1000&lt;&gt;"Low"))=0),"Conditionally Passed","Failed"),IF($M585="Done","Passed","Not Run")))))</f>
        <v/>
      </c>
      <c r="Y585" s="27" t="str" cm="1">
        <f t="array" ref="Y585">IF($A585="","",IF(TRIM($B585)="","-",IFERROR(_xlfn.TEXTJOIN(" / ",TRUE,_xlfn.UNIQUE(_xlfn._xlws.FILTER('Ownership Matrix'!$C$5:$C$200,('Ownership Matrix'!$A$5:$A$200=TRIM($B585))*('Ownership Matrix'!$C$5:$C$200&lt;&gt;"")))),"ไม่พบใน Ownership Matrix")))</f>
        <v/>
      </c>
      <c r="Z585" s="31" t="str">
        <f>IF(NOT(AND($A585&lt;&gt;"",$M585&lt;&gt;"Out of Scope",$M585&lt;&gt;"Canceled",$T585&lt;&gt;"Fixed – Retest Passed",OR(LEN(TRIM($O585))&gt;0,LEN(TRIM($P585))&gt;0))),"",IF(OR($W585="Failed",$R585="Urgent",$R585="High",$R585="ระบุ Severity + Impact"),IF(COUNTIFS(Dashboard!$B$105:$B$124,$O585,Dashboard!$I$105:$I$124,"CAB")&gt;0,"Accepted (CF)","Blocking"),"Deferrable"))</f>
        <v/>
      </c>
    </row>
    <row r="586" spans="7:26" x14ac:dyDescent="0.3">
      <c r="G586" s="27" t="str" cm="1">
        <f t="array" ref="G586">IF($A586="","",IFERROR(_xlfn.TEXTJOIN(CHAR(10)&amp;CHAR(10),TRUE,_xlfn._xlws.FILTER("•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"&amp;Cards!$L$4:$L$1000),(Cards!$A$4:$A$1000&lt;&gt;"")*ISNUMBER(SEARCH($A586,Cards!$E$4:$E$1000)))),"-"))</f>
        <v/>
      </c>
      <c r="Q586" s="30"/>
      <c r="R586" s="27" t="str">
        <f>IF(OR($A586="",LEN(TRIM($O586))=0),"",IF(OR($P586="",$Q586=""),"ระบุ Severity + Impact",IFERROR(INDEX({"Urgent","Urgent","High","High";"Urgent","High","High","Medium";"High","High","Medium","Medium";"Medium","Medium","Low","Low"},MATCH($P586,{"Critical","High","Medium","Low"},0),MATCH($Q586,{"Extensive","Significant","Moderate","Minor"},0)),"-")))</f>
        <v/>
      </c>
      <c r="S586" s="30"/>
      <c r="T586" s="30"/>
      <c r="W586" s="32" t="str">
        <f>IF($A586="","",IF(OR($M586="Out of Scope",$M586="Canceled"),"Out of Scope",IF($M586="Blocked","Blocked",IF(AND($T586&lt;&gt;"Fixed – Retest Passed",OR(LEN(TRIM($O586))&gt;0,LEN(TRIM($P586))&gt;0)),IF(AND(OR($L586="Medium",$L586="Low"),SUMPRODUCT((Cards!$A$4:$A$1000&lt;&gt;"")*ISNUMBER(SEARCH($A586,Cards!$E$4:$E$1000))*(Cards!$F$4:$F$1000&lt;&gt;"Medium")*(Cards!$F$4:$F$1000&lt;&gt;"Low"))=0),"Conditionally Passed","Failed"),IF($M586="Done","Passed","Not Run")))))</f>
        <v/>
      </c>
      <c r="Y586" s="27" t="str" cm="1">
        <f t="array" ref="Y586">IF($A586="","",IF(TRIM($B586)="","-",IFERROR(_xlfn.TEXTJOIN(" / ",TRUE,_xlfn.UNIQUE(_xlfn._xlws.FILTER('Ownership Matrix'!$C$5:$C$200,('Ownership Matrix'!$A$5:$A$200=TRIM($B586))*('Ownership Matrix'!$C$5:$C$200&lt;&gt;"")))),"ไม่พบใน Ownership Matrix")))</f>
        <v/>
      </c>
      <c r="Z586" s="31" t="str">
        <f>IF(NOT(AND($A586&lt;&gt;"",$M586&lt;&gt;"Out of Scope",$M586&lt;&gt;"Canceled",$T586&lt;&gt;"Fixed – Retest Passed",OR(LEN(TRIM($O586))&gt;0,LEN(TRIM($P586))&gt;0))),"",IF(OR($W586="Failed",$R586="Urgent",$R586="High",$R586="ระบุ Severity + Impact"),IF(COUNTIFS(Dashboard!$B$105:$B$124,$O586,Dashboard!$I$105:$I$124,"CAB")&gt;0,"Accepted (CF)","Blocking"),"Deferrable"))</f>
        <v/>
      </c>
    </row>
    <row r="587" spans="7:26" x14ac:dyDescent="0.3">
      <c r="G587" s="27" t="str" cm="1">
        <f t="array" ref="G587">IF($A587="","",IFERROR(_xlfn.TEXTJOIN(CHAR(10)&amp;CHAR(10),TRUE,_xlfn._xlws.FILTER("•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"&amp;Cards!$L$4:$L$1000),(Cards!$A$4:$A$1000&lt;&gt;"")*ISNUMBER(SEARCH($A587,Cards!$E$4:$E$1000)))),"-"))</f>
        <v/>
      </c>
      <c r="Q587" s="30"/>
      <c r="R587" s="27" t="str">
        <f>IF(OR($A587="",LEN(TRIM($O587))=0),"",IF(OR($P587="",$Q587=""),"ระบุ Severity + Impact",IFERROR(INDEX({"Urgent","Urgent","High","High";"Urgent","High","High","Medium";"High","High","Medium","Medium";"Medium","Medium","Low","Low"},MATCH($P587,{"Critical","High","Medium","Low"},0),MATCH($Q587,{"Extensive","Significant","Moderate","Minor"},0)),"-")))</f>
        <v/>
      </c>
      <c r="S587" s="30"/>
      <c r="T587" s="30"/>
      <c r="W587" s="32" t="str">
        <f>IF($A587="","",IF(OR($M587="Out of Scope",$M587="Canceled"),"Out of Scope",IF($M587="Blocked","Blocked",IF(AND($T587&lt;&gt;"Fixed – Retest Passed",OR(LEN(TRIM($O587))&gt;0,LEN(TRIM($P587))&gt;0)),IF(AND(OR($L587="Medium",$L587="Low"),SUMPRODUCT((Cards!$A$4:$A$1000&lt;&gt;"")*ISNUMBER(SEARCH($A587,Cards!$E$4:$E$1000))*(Cards!$F$4:$F$1000&lt;&gt;"Medium")*(Cards!$F$4:$F$1000&lt;&gt;"Low"))=0),"Conditionally Passed","Failed"),IF($M587="Done","Passed","Not Run")))))</f>
        <v/>
      </c>
      <c r="Y587" s="27" t="str" cm="1">
        <f t="array" ref="Y587">IF($A587="","",IF(TRIM($B587)="","-",IFERROR(_xlfn.TEXTJOIN(" / ",TRUE,_xlfn.UNIQUE(_xlfn._xlws.FILTER('Ownership Matrix'!$C$5:$C$200,('Ownership Matrix'!$A$5:$A$200=TRIM($B587))*('Ownership Matrix'!$C$5:$C$200&lt;&gt;"")))),"ไม่พบใน Ownership Matrix")))</f>
        <v/>
      </c>
      <c r="Z587" s="31" t="str">
        <f>IF(NOT(AND($A587&lt;&gt;"",$M587&lt;&gt;"Out of Scope",$M587&lt;&gt;"Canceled",$T587&lt;&gt;"Fixed – Retest Passed",OR(LEN(TRIM($O587))&gt;0,LEN(TRIM($P587))&gt;0))),"",IF(OR($W587="Failed",$R587="Urgent",$R587="High",$R587="ระบุ Severity + Impact"),IF(COUNTIFS(Dashboard!$B$105:$B$124,$O587,Dashboard!$I$105:$I$124,"CAB")&gt;0,"Accepted (CF)","Blocking"),"Deferrable"))</f>
        <v/>
      </c>
    </row>
    <row r="588" spans="7:26" x14ac:dyDescent="0.3">
      <c r="G588" s="27" t="str" cm="1">
        <f t="array" ref="G588">IF($A588="","",IFERROR(_xlfn.TEXTJOIN(CHAR(10)&amp;CHAR(10),TRUE,_xlfn._xlws.FILTER("•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"&amp;Cards!$L$4:$L$1000),(Cards!$A$4:$A$1000&lt;&gt;"")*ISNUMBER(SEARCH($A588,Cards!$E$4:$E$1000)))),"-"))</f>
        <v/>
      </c>
      <c r="Q588" s="30"/>
      <c r="R588" s="27" t="str">
        <f>IF(OR($A588="",LEN(TRIM($O588))=0),"",IF(OR($P588="",$Q588=""),"ระบุ Severity + Impact",IFERROR(INDEX({"Urgent","Urgent","High","High";"Urgent","High","High","Medium";"High","High","Medium","Medium";"Medium","Medium","Low","Low"},MATCH($P588,{"Critical","High","Medium","Low"},0),MATCH($Q588,{"Extensive","Significant","Moderate","Minor"},0)),"-")))</f>
        <v/>
      </c>
      <c r="S588" s="30"/>
      <c r="T588" s="30"/>
      <c r="W588" s="32" t="str">
        <f>IF($A588="","",IF(OR($M588="Out of Scope",$M588="Canceled"),"Out of Scope",IF($M588="Blocked","Blocked",IF(AND($T588&lt;&gt;"Fixed – Retest Passed",OR(LEN(TRIM($O588))&gt;0,LEN(TRIM($P588))&gt;0)),IF(AND(OR($L588="Medium",$L588="Low"),SUMPRODUCT((Cards!$A$4:$A$1000&lt;&gt;"")*ISNUMBER(SEARCH($A588,Cards!$E$4:$E$1000))*(Cards!$F$4:$F$1000&lt;&gt;"Medium")*(Cards!$F$4:$F$1000&lt;&gt;"Low"))=0),"Conditionally Passed","Failed"),IF($M588="Done","Passed","Not Run")))))</f>
        <v/>
      </c>
      <c r="Y588" s="27" t="str" cm="1">
        <f t="array" ref="Y588">IF($A588="","",IF(TRIM($B588)="","-",IFERROR(_xlfn.TEXTJOIN(" / ",TRUE,_xlfn.UNIQUE(_xlfn._xlws.FILTER('Ownership Matrix'!$C$5:$C$200,('Ownership Matrix'!$A$5:$A$200=TRIM($B588))*('Ownership Matrix'!$C$5:$C$200&lt;&gt;"")))),"ไม่พบใน Ownership Matrix")))</f>
        <v/>
      </c>
      <c r="Z588" s="31" t="str">
        <f>IF(NOT(AND($A588&lt;&gt;"",$M588&lt;&gt;"Out of Scope",$M588&lt;&gt;"Canceled",$T588&lt;&gt;"Fixed – Retest Passed",OR(LEN(TRIM($O588))&gt;0,LEN(TRIM($P588))&gt;0))),"",IF(OR($W588="Failed",$R588="Urgent",$R588="High",$R588="ระบุ Severity + Impact"),IF(COUNTIFS(Dashboard!$B$105:$B$124,$O588,Dashboard!$I$105:$I$124,"CAB")&gt;0,"Accepted (CF)","Blocking"),"Deferrable"))</f>
        <v/>
      </c>
    </row>
    <row r="589" spans="7:26" x14ac:dyDescent="0.3">
      <c r="G589" s="27" t="str" cm="1">
        <f t="array" ref="G589">IF($A589="","",IFERROR(_xlfn.TEXTJOIN(CHAR(10)&amp;CHAR(10),TRUE,_xlfn._xlws.FILTER("•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"&amp;Cards!$L$4:$L$1000),(Cards!$A$4:$A$1000&lt;&gt;"")*ISNUMBER(SEARCH($A589,Cards!$E$4:$E$1000)))),"-"))</f>
        <v/>
      </c>
      <c r="Q589" s="30"/>
      <c r="R589" s="27" t="str">
        <f>IF(OR($A589="",LEN(TRIM($O589))=0),"",IF(OR($P589="",$Q589=""),"ระบุ Severity + Impact",IFERROR(INDEX({"Urgent","Urgent","High","High";"Urgent","High","High","Medium";"High","High","Medium","Medium";"Medium","Medium","Low","Low"},MATCH($P589,{"Critical","High","Medium","Low"},0),MATCH($Q589,{"Extensive","Significant","Moderate","Minor"},0)),"-")))</f>
        <v/>
      </c>
      <c r="S589" s="30"/>
      <c r="T589" s="30"/>
      <c r="W589" s="32" t="str">
        <f>IF($A589="","",IF(OR($M589="Out of Scope",$M589="Canceled"),"Out of Scope",IF($M589="Blocked","Blocked",IF(AND($T589&lt;&gt;"Fixed – Retest Passed",OR(LEN(TRIM($O589))&gt;0,LEN(TRIM($P589))&gt;0)),IF(AND(OR($L589="Medium",$L589="Low"),SUMPRODUCT((Cards!$A$4:$A$1000&lt;&gt;"")*ISNUMBER(SEARCH($A589,Cards!$E$4:$E$1000))*(Cards!$F$4:$F$1000&lt;&gt;"Medium")*(Cards!$F$4:$F$1000&lt;&gt;"Low"))=0),"Conditionally Passed","Failed"),IF($M589="Done","Passed","Not Run")))))</f>
        <v/>
      </c>
      <c r="Y589" s="27" t="str" cm="1">
        <f t="array" ref="Y589">IF($A589="","",IF(TRIM($B589)="","-",IFERROR(_xlfn.TEXTJOIN(" / ",TRUE,_xlfn.UNIQUE(_xlfn._xlws.FILTER('Ownership Matrix'!$C$5:$C$200,('Ownership Matrix'!$A$5:$A$200=TRIM($B589))*('Ownership Matrix'!$C$5:$C$200&lt;&gt;"")))),"ไม่พบใน Ownership Matrix")))</f>
        <v/>
      </c>
      <c r="Z589" s="31" t="str">
        <f>IF(NOT(AND($A589&lt;&gt;"",$M589&lt;&gt;"Out of Scope",$M589&lt;&gt;"Canceled",$T589&lt;&gt;"Fixed – Retest Passed",OR(LEN(TRIM($O589))&gt;0,LEN(TRIM($P589))&gt;0))),"",IF(OR($W589="Failed",$R589="Urgent",$R589="High",$R589="ระบุ Severity + Impact"),IF(COUNTIFS(Dashboard!$B$105:$B$124,$O589,Dashboard!$I$105:$I$124,"CAB")&gt;0,"Accepted (CF)","Blocking"),"Deferrable"))</f>
        <v/>
      </c>
    </row>
    <row r="590" spans="7:26" x14ac:dyDescent="0.3">
      <c r="G590" s="27" t="str" cm="1">
        <f t="array" ref="G590">IF($A590="","",IFERROR(_xlfn.TEXTJOIN(CHAR(10)&amp;CHAR(10),TRUE,_xlfn._xlws.FILTER("•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"&amp;Cards!$L$4:$L$1000),(Cards!$A$4:$A$1000&lt;&gt;"")*ISNUMBER(SEARCH($A590,Cards!$E$4:$E$1000)))),"-"))</f>
        <v/>
      </c>
      <c r="Q590" s="30"/>
      <c r="R590" s="27" t="str">
        <f>IF(OR($A590="",LEN(TRIM($O590))=0),"",IF(OR($P590="",$Q590=""),"ระบุ Severity + Impact",IFERROR(INDEX({"Urgent","Urgent","High","High";"Urgent","High","High","Medium";"High","High","Medium","Medium";"Medium","Medium","Low","Low"},MATCH($P590,{"Critical","High","Medium","Low"},0),MATCH($Q590,{"Extensive","Significant","Moderate","Minor"},0)),"-")))</f>
        <v/>
      </c>
      <c r="S590" s="30"/>
      <c r="T590" s="30"/>
      <c r="W590" s="32" t="str">
        <f>IF($A590="","",IF(OR($M590="Out of Scope",$M590="Canceled"),"Out of Scope",IF($M590="Blocked","Blocked",IF(AND($T590&lt;&gt;"Fixed – Retest Passed",OR(LEN(TRIM($O590))&gt;0,LEN(TRIM($P590))&gt;0)),IF(AND(OR($L590="Medium",$L590="Low"),SUMPRODUCT((Cards!$A$4:$A$1000&lt;&gt;"")*ISNUMBER(SEARCH($A590,Cards!$E$4:$E$1000))*(Cards!$F$4:$F$1000&lt;&gt;"Medium")*(Cards!$F$4:$F$1000&lt;&gt;"Low"))=0),"Conditionally Passed","Failed"),IF($M590="Done","Passed","Not Run")))))</f>
        <v/>
      </c>
      <c r="Y590" s="27" t="str" cm="1">
        <f t="array" ref="Y590">IF($A590="","",IF(TRIM($B590)="","-",IFERROR(_xlfn.TEXTJOIN(" / ",TRUE,_xlfn.UNIQUE(_xlfn._xlws.FILTER('Ownership Matrix'!$C$5:$C$200,('Ownership Matrix'!$A$5:$A$200=TRIM($B590))*('Ownership Matrix'!$C$5:$C$200&lt;&gt;"")))),"ไม่พบใน Ownership Matrix")))</f>
        <v/>
      </c>
      <c r="Z590" s="31" t="str">
        <f>IF(NOT(AND($A590&lt;&gt;"",$M590&lt;&gt;"Out of Scope",$M590&lt;&gt;"Canceled",$T590&lt;&gt;"Fixed – Retest Passed",OR(LEN(TRIM($O590))&gt;0,LEN(TRIM($P590))&gt;0))),"",IF(OR($W590="Failed",$R590="Urgent",$R590="High",$R590="ระบุ Severity + Impact"),IF(COUNTIFS(Dashboard!$B$105:$B$124,$O590,Dashboard!$I$105:$I$124,"CAB")&gt;0,"Accepted (CF)","Blocking"),"Deferrable"))</f>
        <v/>
      </c>
    </row>
    <row r="591" spans="7:26" x14ac:dyDescent="0.3">
      <c r="G591" s="27" t="str" cm="1">
        <f t="array" ref="G591">IF($A591="","",IFERROR(_xlfn.TEXTJOIN(CHAR(10)&amp;CHAR(10),TRUE,_xlfn._xlws.FILTER("•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"&amp;Cards!$L$4:$L$1000),(Cards!$A$4:$A$1000&lt;&gt;"")*ISNUMBER(SEARCH($A591,Cards!$E$4:$E$1000)))),"-"))</f>
        <v/>
      </c>
      <c r="Q591" s="30"/>
      <c r="R591" s="27" t="str">
        <f>IF(OR($A591="",LEN(TRIM($O591))=0),"",IF(OR($P591="",$Q591=""),"ระบุ Severity + Impact",IFERROR(INDEX({"Urgent","Urgent","High","High";"Urgent","High","High","Medium";"High","High","Medium","Medium";"Medium","Medium","Low","Low"},MATCH($P591,{"Critical","High","Medium","Low"},0),MATCH($Q591,{"Extensive","Significant","Moderate","Minor"},0)),"-")))</f>
        <v/>
      </c>
      <c r="S591" s="30"/>
      <c r="T591" s="30"/>
      <c r="W591" s="32" t="str">
        <f>IF($A591="","",IF(OR($M591="Out of Scope",$M591="Canceled"),"Out of Scope",IF($M591="Blocked","Blocked",IF(AND($T591&lt;&gt;"Fixed – Retest Passed",OR(LEN(TRIM($O591))&gt;0,LEN(TRIM($P591))&gt;0)),IF(AND(OR($L591="Medium",$L591="Low"),SUMPRODUCT((Cards!$A$4:$A$1000&lt;&gt;"")*ISNUMBER(SEARCH($A591,Cards!$E$4:$E$1000))*(Cards!$F$4:$F$1000&lt;&gt;"Medium")*(Cards!$F$4:$F$1000&lt;&gt;"Low"))=0),"Conditionally Passed","Failed"),IF($M591="Done","Passed","Not Run")))))</f>
        <v/>
      </c>
      <c r="Y591" s="27" t="str" cm="1">
        <f t="array" ref="Y591">IF($A591="","",IF(TRIM($B591)="","-",IFERROR(_xlfn.TEXTJOIN(" / ",TRUE,_xlfn.UNIQUE(_xlfn._xlws.FILTER('Ownership Matrix'!$C$5:$C$200,('Ownership Matrix'!$A$5:$A$200=TRIM($B591))*('Ownership Matrix'!$C$5:$C$200&lt;&gt;"")))),"ไม่พบใน Ownership Matrix")))</f>
        <v/>
      </c>
      <c r="Z591" s="31" t="str">
        <f>IF(NOT(AND($A591&lt;&gt;"",$M591&lt;&gt;"Out of Scope",$M591&lt;&gt;"Canceled",$T591&lt;&gt;"Fixed – Retest Passed",OR(LEN(TRIM($O591))&gt;0,LEN(TRIM($P591))&gt;0))),"",IF(OR($W591="Failed",$R591="Urgent",$R591="High",$R591="ระบุ Severity + Impact"),IF(COUNTIFS(Dashboard!$B$105:$B$124,$O591,Dashboard!$I$105:$I$124,"CAB")&gt;0,"Accepted (CF)","Blocking"),"Deferrable"))</f>
        <v/>
      </c>
    </row>
    <row r="592" spans="7:26" x14ac:dyDescent="0.3">
      <c r="G592" s="27" t="str" cm="1">
        <f t="array" ref="G592">IF($A592="","",IFERROR(_xlfn.TEXTJOIN(CHAR(10)&amp;CHAR(10),TRUE,_xlfn._xlws.FILTER("•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"&amp;Cards!$L$4:$L$1000),(Cards!$A$4:$A$1000&lt;&gt;"")*ISNUMBER(SEARCH($A592,Cards!$E$4:$E$1000)))),"-"))</f>
        <v/>
      </c>
      <c r="Q592" s="30"/>
      <c r="R592" s="27" t="str">
        <f>IF(OR($A592="",LEN(TRIM($O592))=0),"",IF(OR($P592="",$Q592=""),"ระบุ Severity + Impact",IFERROR(INDEX({"Urgent","Urgent","High","High";"Urgent","High","High","Medium";"High","High","Medium","Medium";"Medium","Medium","Low","Low"},MATCH($P592,{"Critical","High","Medium","Low"},0),MATCH($Q592,{"Extensive","Significant","Moderate","Minor"},0)),"-")))</f>
        <v/>
      </c>
      <c r="S592" s="30"/>
      <c r="T592" s="30"/>
      <c r="W592" s="32" t="str">
        <f>IF($A592="","",IF(OR($M592="Out of Scope",$M592="Canceled"),"Out of Scope",IF($M592="Blocked","Blocked",IF(AND($T592&lt;&gt;"Fixed – Retest Passed",OR(LEN(TRIM($O592))&gt;0,LEN(TRIM($P592))&gt;0)),IF(AND(OR($L592="Medium",$L592="Low"),SUMPRODUCT((Cards!$A$4:$A$1000&lt;&gt;"")*ISNUMBER(SEARCH($A592,Cards!$E$4:$E$1000))*(Cards!$F$4:$F$1000&lt;&gt;"Medium")*(Cards!$F$4:$F$1000&lt;&gt;"Low"))=0),"Conditionally Passed","Failed"),IF($M592="Done","Passed","Not Run")))))</f>
        <v/>
      </c>
      <c r="Y592" s="27" t="str" cm="1">
        <f t="array" ref="Y592">IF($A592="","",IF(TRIM($B592)="","-",IFERROR(_xlfn.TEXTJOIN(" / ",TRUE,_xlfn.UNIQUE(_xlfn._xlws.FILTER('Ownership Matrix'!$C$5:$C$200,('Ownership Matrix'!$A$5:$A$200=TRIM($B592))*('Ownership Matrix'!$C$5:$C$200&lt;&gt;"")))),"ไม่พบใน Ownership Matrix")))</f>
        <v/>
      </c>
      <c r="Z592" s="31" t="str">
        <f>IF(NOT(AND($A592&lt;&gt;"",$M592&lt;&gt;"Out of Scope",$M592&lt;&gt;"Canceled",$T592&lt;&gt;"Fixed – Retest Passed",OR(LEN(TRIM($O592))&gt;0,LEN(TRIM($P592))&gt;0))),"",IF(OR($W592="Failed",$R592="Urgent",$R592="High",$R592="ระบุ Severity + Impact"),IF(COUNTIFS(Dashboard!$B$105:$B$124,$O592,Dashboard!$I$105:$I$124,"CAB")&gt;0,"Accepted (CF)","Blocking"),"Deferrable"))</f>
        <v/>
      </c>
    </row>
    <row r="593" spans="7:26" x14ac:dyDescent="0.3">
      <c r="G593" s="27" t="str" cm="1">
        <f t="array" ref="G593">IF($A593="","",IFERROR(_xlfn.TEXTJOIN(CHAR(10)&amp;CHAR(10),TRUE,_xlfn._xlws.FILTER("•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"&amp;Cards!$L$4:$L$1000),(Cards!$A$4:$A$1000&lt;&gt;"")*ISNUMBER(SEARCH($A593,Cards!$E$4:$E$1000)))),"-"))</f>
        <v/>
      </c>
      <c r="Q593" s="30"/>
      <c r="R593" s="27" t="str">
        <f>IF(OR($A593="",LEN(TRIM($O593))=0),"",IF(OR($P593="",$Q593=""),"ระบุ Severity + Impact",IFERROR(INDEX({"Urgent","Urgent","High","High";"Urgent","High","High","Medium";"High","High","Medium","Medium";"Medium","Medium","Low","Low"},MATCH($P593,{"Critical","High","Medium","Low"},0),MATCH($Q593,{"Extensive","Significant","Moderate","Minor"},0)),"-")))</f>
        <v/>
      </c>
      <c r="S593" s="30"/>
      <c r="T593" s="30"/>
      <c r="W593" s="32" t="str">
        <f>IF($A593="","",IF(OR($M593="Out of Scope",$M593="Canceled"),"Out of Scope",IF($M593="Blocked","Blocked",IF(AND($T593&lt;&gt;"Fixed – Retest Passed",OR(LEN(TRIM($O593))&gt;0,LEN(TRIM($P593))&gt;0)),IF(AND(OR($L593="Medium",$L593="Low"),SUMPRODUCT((Cards!$A$4:$A$1000&lt;&gt;"")*ISNUMBER(SEARCH($A593,Cards!$E$4:$E$1000))*(Cards!$F$4:$F$1000&lt;&gt;"Medium")*(Cards!$F$4:$F$1000&lt;&gt;"Low"))=0),"Conditionally Passed","Failed"),IF($M593="Done","Passed","Not Run")))))</f>
        <v/>
      </c>
      <c r="Y593" s="27" t="str" cm="1">
        <f t="array" ref="Y593">IF($A593="","",IF(TRIM($B593)="","-",IFERROR(_xlfn.TEXTJOIN(" / ",TRUE,_xlfn.UNIQUE(_xlfn._xlws.FILTER('Ownership Matrix'!$C$5:$C$200,('Ownership Matrix'!$A$5:$A$200=TRIM($B593))*('Ownership Matrix'!$C$5:$C$200&lt;&gt;"")))),"ไม่พบใน Ownership Matrix")))</f>
        <v/>
      </c>
      <c r="Z593" s="31" t="str">
        <f>IF(NOT(AND($A593&lt;&gt;"",$M593&lt;&gt;"Out of Scope",$M593&lt;&gt;"Canceled",$T593&lt;&gt;"Fixed – Retest Passed",OR(LEN(TRIM($O593))&gt;0,LEN(TRIM($P593))&gt;0))),"",IF(OR($W593="Failed",$R593="Urgent",$R593="High",$R593="ระบุ Severity + Impact"),IF(COUNTIFS(Dashboard!$B$105:$B$124,$O593,Dashboard!$I$105:$I$124,"CAB")&gt;0,"Accepted (CF)","Blocking"),"Deferrable"))</f>
        <v/>
      </c>
    </row>
    <row r="594" spans="7:26" x14ac:dyDescent="0.3">
      <c r="G594" s="27" t="str" cm="1">
        <f t="array" ref="G594">IF($A594="","",IFERROR(_xlfn.TEXTJOIN(CHAR(10)&amp;CHAR(10),TRUE,_xlfn._xlws.FILTER("•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"&amp;Cards!$L$4:$L$1000),(Cards!$A$4:$A$1000&lt;&gt;"")*ISNUMBER(SEARCH($A594,Cards!$E$4:$E$1000)))),"-"))</f>
        <v/>
      </c>
      <c r="Q594" s="30"/>
      <c r="R594" s="27" t="str">
        <f>IF(OR($A594="",LEN(TRIM($O594))=0),"",IF(OR($P594="",$Q594=""),"ระบุ Severity + Impact",IFERROR(INDEX({"Urgent","Urgent","High","High";"Urgent","High","High","Medium";"High","High","Medium","Medium";"Medium","Medium","Low","Low"},MATCH($P594,{"Critical","High","Medium","Low"},0),MATCH($Q594,{"Extensive","Significant","Moderate","Minor"},0)),"-")))</f>
        <v/>
      </c>
      <c r="S594" s="30"/>
      <c r="T594" s="30"/>
      <c r="W594" s="32" t="str">
        <f>IF($A594="","",IF(OR($M594="Out of Scope",$M594="Canceled"),"Out of Scope",IF($M594="Blocked","Blocked",IF(AND($T594&lt;&gt;"Fixed – Retest Passed",OR(LEN(TRIM($O594))&gt;0,LEN(TRIM($P594))&gt;0)),IF(AND(OR($L594="Medium",$L594="Low"),SUMPRODUCT((Cards!$A$4:$A$1000&lt;&gt;"")*ISNUMBER(SEARCH($A594,Cards!$E$4:$E$1000))*(Cards!$F$4:$F$1000&lt;&gt;"Medium")*(Cards!$F$4:$F$1000&lt;&gt;"Low"))=0),"Conditionally Passed","Failed"),IF($M594="Done","Passed","Not Run")))))</f>
        <v/>
      </c>
      <c r="Y594" s="27" t="str" cm="1">
        <f t="array" ref="Y594">IF($A594="","",IF(TRIM($B594)="","-",IFERROR(_xlfn.TEXTJOIN(" / ",TRUE,_xlfn.UNIQUE(_xlfn._xlws.FILTER('Ownership Matrix'!$C$5:$C$200,('Ownership Matrix'!$A$5:$A$200=TRIM($B594))*('Ownership Matrix'!$C$5:$C$200&lt;&gt;"")))),"ไม่พบใน Ownership Matrix")))</f>
        <v/>
      </c>
      <c r="Z594" s="31" t="str">
        <f>IF(NOT(AND($A594&lt;&gt;"",$M594&lt;&gt;"Out of Scope",$M594&lt;&gt;"Canceled",$T594&lt;&gt;"Fixed – Retest Passed",OR(LEN(TRIM($O594))&gt;0,LEN(TRIM($P594))&gt;0))),"",IF(OR($W594="Failed",$R594="Urgent",$R594="High",$R594="ระบุ Severity + Impact"),IF(COUNTIFS(Dashboard!$B$105:$B$124,$O594,Dashboard!$I$105:$I$124,"CAB")&gt;0,"Accepted (CF)","Blocking"),"Deferrable"))</f>
        <v/>
      </c>
    </row>
    <row r="595" spans="7:26" x14ac:dyDescent="0.3">
      <c r="G595" s="27" t="str" cm="1">
        <f t="array" ref="G595">IF($A595="","",IFERROR(_xlfn.TEXTJOIN(CHAR(10)&amp;CHAR(10),TRUE,_xlfn._xlws.FILTER("•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"&amp;Cards!$L$4:$L$1000),(Cards!$A$4:$A$1000&lt;&gt;"")*ISNUMBER(SEARCH($A595,Cards!$E$4:$E$1000)))),"-"))</f>
        <v/>
      </c>
      <c r="Q595" s="30"/>
      <c r="R595" s="27" t="str">
        <f>IF(OR($A595="",LEN(TRIM($O595))=0),"",IF(OR($P595="",$Q595=""),"ระบุ Severity + Impact",IFERROR(INDEX({"Urgent","Urgent","High","High";"Urgent","High","High","Medium";"High","High","Medium","Medium";"Medium","Medium","Low","Low"},MATCH($P595,{"Critical","High","Medium","Low"},0),MATCH($Q595,{"Extensive","Significant","Moderate","Minor"},0)),"-")))</f>
        <v/>
      </c>
      <c r="S595" s="30"/>
      <c r="T595" s="30"/>
      <c r="W595" s="32" t="str">
        <f>IF($A595="","",IF(OR($M595="Out of Scope",$M595="Canceled"),"Out of Scope",IF($M595="Blocked","Blocked",IF(AND($T595&lt;&gt;"Fixed – Retest Passed",OR(LEN(TRIM($O595))&gt;0,LEN(TRIM($P595))&gt;0)),IF(AND(OR($L595="Medium",$L595="Low"),SUMPRODUCT((Cards!$A$4:$A$1000&lt;&gt;"")*ISNUMBER(SEARCH($A595,Cards!$E$4:$E$1000))*(Cards!$F$4:$F$1000&lt;&gt;"Medium")*(Cards!$F$4:$F$1000&lt;&gt;"Low"))=0),"Conditionally Passed","Failed"),IF($M595="Done","Passed","Not Run")))))</f>
        <v/>
      </c>
      <c r="Y595" s="27" t="str" cm="1">
        <f t="array" ref="Y595">IF($A595="","",IF(TRIM($B595)="","-",IFERROR(_xlfn.TEXTJOIN(" / ",TRUE,_xlfn.UNIQUE(_xlfn._xlws.FILTER('Ownership Matrix'!$C$5:$C$200,('Ownership Matrix'!$A$5:$A$200=TRIM($B595))*('Ownership Matrix'!$C$5:$C$200&lt;&gt;"")))),"ไม่พบใน Ownership Matrix")))</f>
        <v/>
      </c>
      <c r="Z595" s="31" t="str">
        <f>IF(NOT(AND($A595&lt;&gt;"",$M595&lt;&gt;"Out of Scope",$M595&lt;&gt;"Canceled",$T595&lt;&gt;"Fixed – Retest Passed",OR(LEN(TRIM($O595))&gt;0,LEN(TRIM($P595))&gt;0))),"",IF(OR($W595="Failed",$R595="Urgent",$R595="High",$R595="ระบุ Severity + Impact"),IF(COUNTIFS(Dashboard!$B$105:$B$124,$O595,Dashboard!$I$105:$I$124,"CAB")&gt;0,"Accepted (CF)","Blocking"),"Deferrable"))</f>
        <v/>
      </c>
    </row>
    <row r="596" spans="7:26" x14ac:dyDescent="0.3">
      <c r="G596" s="27" t="str" cm="1">
        <f t="array" ref="G596">IF($A596="","",IFERROR(_xlfn.TEXTJOIN(CHAR(10)&amp;CHAR(10),TRUE,_xlfn._xlws.FILTER("•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"&amp;Cards!$L$4:$L$1000),(Cards!$A$4:$A$1000&lt;&gt;"")*ISNUMBER(SEARCH($A596,Cards!$E$4:$E$1000)))),"-"))</f>
        <v/>
      </c>
      <c r="Q596" s="30"/>
      <c r="R596" s="27" t="str">
        <f>IF(OR($A596="",LEN(TRIM($O596))=0),"",IF(OR($P596="",$Q596=""),"ระบุ Severity + Impact",IFERROR(INDEX({"Urgent","Urgent","High","High";"Urgent","High","High","Medium";"High","High","Medium","Medium";"Medium","Medium","Low","Low"},MATCH($P596,{"Critical","High","Medium","Low"},0),MATCH($Q596,{"Extensive","Significant","Moderate","Minor"},0)),"-")))</f>
        <v/>
      </c>
      <c r="S596" s="30"/>
      <c r="T596" s="30"/>
      <c r="W596" s="32" t="str">
        <f>IF($A596="","",IF(OR($M596="Out of Scope",$M596="Canceled"),"Out of Scope",IF($M596="Blocked","Blocked",IF(AND($T596&lt;&gt;"Fixed – Retest Passed",OR(LEN(TRIM($O596))&gt;0,LEN(TRIM($P596))&gt;0)),IF(AND(OR($L596="Medium",$L596="Low"),SUMPRODUCT((Cards!$A$4:$A$1000&lt;&gt;"")*ISNUMBER(SEARCH($A596,Cards!$E$4:$E$1000))*(Cards!$F$4:$F$1000&lt;&gt;"Medium")*(Cards!$F$4:$F$1000&lt;&gt;"Low"))=0),"Conditionally Passed","Failed"),IF($M596="Done","Passed","Not Run")))))</f>
        <v/>
      </c>
      <c r="Y596" s="27" t="str" cm="1">
        <f t="array" ref="Y596">IF($A596="","",IF(TRIM($B596)="","-",IFERROR(_xlfn.TEXTJOIN(" / ",TRUE,_xlfn.UNIQUE(_xlfn._xlws.FILTER('Ownership Matrix'!$C$5:$C$200,('Ownership Matrix'!$A$5:$A$200=TRIM($B596))*('Ownership Matrix'!$C$5:$C$200&lt;&gt;"")))),"ไม่พบใน Ownership Matrix")))</f>
        <v/>
      </c>
      <c r="Z596" s="31" t="str">
        <f>IF(NOT(AND($A596&lt;&gt;"",$M596&lt;&gt;"Out of Scope",$M596&lt;&gt;"Canceled",$T596&lt;&gt;"Fixed – Retest Passed",OR(LEN(TRIM($O596))&gt;0,LEN(TRIM($P596))&gt;0))),"",IF(OR($W596="Failed",$R596="Urgent",$R596="High",$R596="ระบุ Severity + Impact"),IF(COUNTIFS(Dashboard!$B$105:$B$124,$O596,Dashboard!$I$105:$I$124,"CAB")&gt;0,"Accepted (CF)","Blocking"),"Deferrable"))</f>
        <v/>
      </c>
    </row>
    <row r="597" spans="7:26" x14ac:dyDescent="0.3">
      <c r="G597" s="27" t="str" cm="1">
        <f t="array" ref="G597">IF($A597="","",IFERROR(_xlfn.TEXTJOIN(CHAR(10)&amp;CHAR(10),TRUE,_xlfn._xlws.FILTER("•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"&amp;Cards!$L$4:$L$1000),(Cards!$A$4:$A$1000&lt;&gt;"")*ISNUMBER(SEARCH($A597,Cards!$E$4:$E$1000)))),"-"))</f>
        <v/>
      </c>
      <c r="Q597" s="30"/>
      <c r="R597" s="27" t="str">
        <f>IF(OR($A597="",LEN(TRIM($O597))=0),"",IF(OR($P597="",$Q597=""),"ระบุ Severity + Impact",IFERROR(INDEX({"Urgent","Urgent","High","High";"Urgent","High","High","Medium";"High","High","Medium","Medium";"Medium","Medium","Low","Low"},MATCH($P597,{"Critical","High","Medium","Low"},0),MATCH($Q597,{"Extensive","Significant","Moderate","Minor"},0)),"-")))</f>
        <v/>
      </c>
      <c r="S597" s="30"/>
      <c r="T597" s="30"/>
      <c r="W597" s="32" t="str">
        <f>IF($A597="","",IF(OR($M597="Out of Scope",$M597="Canceled"),"Out of Scope",IF($M597="Blocked","Blocked",IF(AND($T597&lt;&gt;"Fixed – Retest Passed",OR(LEN(TRIM($O597))&gt;0,LEN(TRIM($P597))&gt;0)),IF(AND(OR($L597="Medium",$L597="Low"),SUMPRODUCT((Cards!$A$4:$A$1000&lt;&gt;"")*ISNUMBER(SEARCH($A597,Cards!$E$4:$E$1000))*(Cards!$F$4:$F$1000&lt;&gt;"Medium")*(Cards!$F$4:$F$1000&lt;&gt;"Low"))=0),"Conditionally Passed","Failed"),IF($M597="Done","Passed","Not Run")))))</f>
        <v/>
      </c>
      <c r="Y597" s="27" t="str" cm="1">
        <f t="array" ref="Y597">IF($A597="","",IF(TRIM($B597)="","-",IFERROR(_xlfn.TEXTJOIN(" / ",TRUE,_xlfn.UNIQUE(_xlfn._xlws.FILTER('Ownership Matrix'!$C$5:$C$200,('Ownership Matrix'!$A$5:$A$200=TRIM($B597))*('Ownership Matrix'!$C$5:$C$200&lt;&gt;"")))),"ไม่พบใน Ownership Matrix")))</f>
        <v/>
      </c>
      <c r="Z597" s="31" t="str">
        <f>IF(NOT(AND($A597&lt;&gt;"",$M597&lt;&gt;"Out of Scope",$M597&lt;&gt;"Canceled",$T597&lt;&gt;"Fixed – Retest Passed",OR(LEN(TRIM($O597))&gt;0,LEN(TRIM($P597))&gt;0))),"",IF(OR($W597="Failed",$R597="Urgent",$R597="High",$R597="ระบุ Severity + Impact"),IF(COUNTIFS(Dashboard!$B$105:$B$124,$O597,Dashboard!$I$105:$I$124,"CAB")&gt;0,"Accepted (CF)","Blocking"),"Deferrable"))</f>
        <v/>
      </c>
    </row>
    <row r="598" spans="7:26" x14ac:dyDescent="0.3">
      <c r="G598" s="27" t="str" cm="1">
        <f t="array" ref="G598">IF($A598="","",IFERROR(_xlfn.TEXTJOIN(CHAR(10)&amp;CHAR(10),TRUE,_xlfn._xlws.FILTER("•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"&amp;Cards!$L$4:$L$1000),(Cards!$A$4:$A$1000&lt;&gt;"")*ISNUMBER(SEARCH($A598,Cards!$E$4:$E$1000)))),"-"))</f>
        <v/>
      </c>
      <c r="Q598" s="30"/>
      <c r="R598" s="27" t="str">
        <f>IF(OR($A598="",LEN(TRIM($O598))=0),"",IF(OR($P598="",$Q598=""),"ระบุ Severity + Impact",IFERROR(INDEX({"Urgent","Urgent","High","High";"Urgent","High","High","Medium";"High","High","Medium","Medium";"Medium","Medium","Low","Low"},MATCH($P598,{"Critical","High","Medium","Low"},0),MATCH($Q598,{"Extensive","Significant","Moderate","Minor"},0)),"-")))</f>
        <v/>
      </c>
      <c r="S598" s="30"/>
      <c r="T598" s="30"/>
      <c r="W598" s="32" t="str">
        <f>IF($A598="","",IF(OR($M598="Out of Scope",$M598="Canceled"),"Out of Scope",IF($M598="Blocked","Blocked",IF(AND($T598&lt;&gt;"Fixed – Retest Passed",OR(LEN(TRIM($O598))&gt;0,LEN(TRIM($P598))&gt;0)),IF(AND(OR($L598="Medium",$L598="Low"),SUMPRODUCT((Cards!$A$4:$A$1000&lt;&gt;"")*ISNUMBER(SEARCH($A598,Cards!$E$4:$E$1000))*(Cards!$F$4:$F$1000&lt;&gt;"Medium")*(Cards!$F$4:$F$1000&lt;&gt;"Low"))=0),"Conditionally Passed","Failed"),IF($M598="Done","Passed","Not Run")))))</f>
        <v/>
      </c>
      <c r="Y598" s="27" t="str" cm="1">
        <f t="array" ref="Y598">IF($A598="","",IF(TRIM($B598)="","-",IFERROR(_xlfn.TEXTJOIN(" / ",TRUE,_xlfn.UNIQUE(_xlfn._xlws.FILTER('Ownership Matrix'!$C$5:$C$200,('Ownership Matrix'!$A$5:$A$200=TRIM($B598))*('Ownership Matrix'!$C$5:$C$200&lt;&gt;"")))),"ไม่พบใน Ownership Matrix")))</f>
        <v/>
      </c>
      <c r="Z598" s="31" t="str">
        <f>IF(NOT(AND($A598&lt;&gt;"",$M598&lt;&gt;"Out of Scope",$M598&lt;&gt;"Canceled",$T598&lt;&gt;"Fixed – Retest Passed",OR(LEN(TRIM($O598))&gt;0,LEN(TRIM($P598))&gt;0))),"",IF(OR($W598="Failed",$R598="Urgent",$R598="High",$R598="ระบุ Severity + Impact"),IF(COUNTIFS(Dashboard!$B$105:$B$124,$O598,Dashboard!$I$105:$I$124,"CAB")&gt;0,"Accepted (CF)","Blocking"),"Deferrable"))</f>
        <v/>
      </c>
    </row>
    <row r="599" spans="7:26" x14ac:dyDescent="0.3">
      <c r="G599" s="27" t="str" cm="1">
        <f t="array" ref="G599">IF($A599="","",IFERROR(_xlfn.TEXTJOIN(CHAR(10)&amp;CHAR(10),TRUE,_xlfn._xlws.FILTER("•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"&amp;Cards!$L$4:$L$1000),(Cards!$A$4:$A$1000&lt;&gt;"")*ISNUMBER(SEARCH($A599,Cards!$E$4:$E$1000)))),"-"))</f>
        <v/>
      </c>
      <c r="Q599" s="30"/>
      <c r="R599" s="27" t="str">
        <f>IF(OR($A599="",LEN(TRIM($O599))=0),"",IF(OR($P599="",$Q599=""),"ระบุ Severity + Impact",IFERROR(INDEX({"Urgent","Urgent","High","High";"Urgent","High","High","Medium";"High","High","Medium","Medium";"Medium","Medium","Low","Low"},MATCH($P599,{"Critical","High","Medium","Low"},0),MATCH($Q599,{"Extensive","Significant","Moderate","Minor"},0)),"-")))</f>
        <v/>
      </c>
      <c r="S599" s="30"/>
      <c r="T599" s="30"/>
      <c r="W599" s="32" t="str">
        <f>IF($A599="","",IF(OR($M599="Out of Scope",$M599="Canceled"),"Out of Scope",IF($M599="Blocked","Blocked",IF(AND($T599&lt;&gt;"Fixed – Retest Passed",OR(LEN(TRIM($O599))&gt;0,LEN(TRIM($P599))&gt;0)),IF(AND(OR($L599="Medium",$L599="Low"),SUMPRODUCT((Cards!$A$4:$A$1000&lt;&gt;"")*ISNUMBER(SEARCH($A599,Cards!$E$4:$E$1000))*(Cards!$F$4:$F$1000&lt;&gt;"Medium")*(Cards!$F$4:$F$1000&lt;&gt;"Low"))=0),"Conditionally Passed","Failed"),IF($M599="Done","Passed","Not Run")))))</f>
        <v/>
      </c>
      <c r="Y599" s="27" t="str" cm="1">
        <f t="array" ref="Y599">IF($A599="","",IF(TRIM($B599)="","-",IFERROR(_xlfn.TEXTJOIN(" / ",TRUE,_xlfn.UNIQUE(_xlfn._xlws.FILTER('Ownership Matrix'!$C$5:$C$200,('Ownership Matrix'!$A$5:$A$200=TRIM($B599))*('Ownership Matrix'!$C$5:$C$200&lt;&gt;"")))),"ไม่พบใน Ownership Matrix")))</f>
        <v/>
      </c>
      <c r="Z599" s="31" t="str">
        <f>IF(NOT(AND($A599&lt;&gt;"",$M599&lt;&gt;"Out of Scope",$M599&lt;&gt;"Canceled",$T599&lt;&gt;"Fixed – Retest Passed",OR(LEN(TRIM($O599))&gt;0,LEN(TRIM($P599))&gt;0))),"",IF(OR($W599="Failed",$R599="Urgent",$R599="High",$R599="ระบุ Severity + Impact"),IF(COUNTIFS(Dashboard!$B$105:$B$124,$O599,Dashboard!$I$105:$I$124,"CAB")&gt;0,"Accepted (CF)","Blocking"),"Deferrable"))</f>
        <v/>
      </c>
    </row>
    <row r="600" spans="7:26" x14ac:dyDescent="0.3">
      <c r="G600" s="27" t="str" cm="1">
        <f t="array" ref="G600">IF($A600="","",IFERROR(_xlfn.TEXTJOIN(CHAR(10)&amp;CHAR(10),TRUE,_xlfn._xlws.FILTER("•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"&amp;Cards!$L$4:$L$1000),(Cards!$A$4:$A$1000&lt;&gt;"")*ISNUMBER(SEARCH($A600,Cards!$E$4:$E$1000)))),"-"))</f>
        <v/>
      </c>
      <c r="Q600" s="30"/>
      <c r="R600" s="27" t="str">
        <f>IF(OR($A600="",LEN(TRIM($O600))=0),"",IF(OR($P600="",$Q600=""),"ระบุ Severity + Impact",IFERROR(INDEX({"Urgent","Urgent","High","High";"Urgent","High","High","Medium";"High","High","Medium","Medium";"Medium","Medium","Low","Low"},MATCH($P600,{"Critical","High","Medium","Low"},0),MATCH($Q600,{"Extensive","Significant","Moderate","Minor"},0)),"-")))</f>
        <v/>
      </c>
      <c r="S600" s="30"/>
      <c r="T600" s="30"/>
      <c r="W600" s="32" t="str">
        <f>IF($A600="","",IF(OR($M600="Out of Scope",$M600="Canceled"),"Out of Scope",IF($M600="Blocked","Blocked",IF(AND($T600&lt;&gt;"Fixed – Retest Passed",OR(LEN(TRIM($O600))&gt;0,LEN(TRIM($P600))&gt;0)),IF(AND(OR($L600="Medium",$L600="Low"),SUMPRODUCT((Cards!$A$4:$A$1000&lt;&gt;"")*ISNUMBER(SEARCH($A600,Cards!$E$4:$E$1000))*(Cards!$F$4:$F$1000&lt;&gt;"Medium")*(Cards!$F$4:$F$1000&lt;&gt;"Low"))=0),"Conditionally Passed","Failed"),IF($M600="Done","Passed","Not Run")))))</f>
        <v/>
      </c>
      <c r="Y600" s="27" t="str" cm="1">
        <f t="array" ref="Y600">IF($A600="","",IF(TRIM($B600)="","-",IFERROR(_xlfn.TEXTJOIN(" / ",TRUE,_xlfn.UNIQUE(_xlfn._xlws.FILTER('Ownership Matrix'!$C$5:$C$200,('Ownership Matrix'!$A$5:$A$200=TRIM($B600))*('Ownership Matrix'!$C$5:$C$200&lt;&gt;"")))),"ไม่พบใน Ownership Matrix")))</f>
        <v/>
      </c>
      <c r="Z600" s="31" t="str">
        <f>IF(NOT(AND($A600&lt;&gt;"",$M600&lt;&gt;"Out of Scope",$M600&lt;&gt;"Canceled",$T600&lt;&gt;"Fixed – Retest Passed",OR(LEN(TRIM($O600))&gt;0,LEN(TRIM($P600))&gt;0))),"",IF(OR($W600="Failed",$R600="Urgent",$R600="High",$R600="ระบุ Severity + Impact"),IF(COUNTIFS(Dashboard!$B$105:$B$124,$O600,Dashboard!$I$105:$I$124,"CAB")&gt;0,"Accepted (CF)","Blocking"),"Deferrable"))</f>
        <v/>
      </c>
    </row>
    <row r="601" spans="7:26" x14ac:dyDescent="0.3">
      <c r="G601" s="27" t="str" cm="1">
        <f t="array" ref="G601">IF($A601="","",IFERROR(_xlfn.TEXTJOIN(CHAR(10)&amp;CHAR(10),TRUE,_xlfn._xlws.FILTER("•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"&amp;Cards!$L$4:$L$1000),(Cards!$A$4:$A$1000&lt;&gt;"")*ISNUMBER(SEARCH($A601,Cards!$E$4:$E$1000)))),"-"))</f>
        <v/>
      </c>
      <c r="Q601" s="30"/>
      <c r="R601" s="27" t="str">
        <f>IF(OR($A601="",LEN(TRIM($O601))=0),"",IF(OR($P601="",$Q601=""),"ระบุ Severity + Impact",IFERROR(INDEX({"Urgent","Urgent","High","High";"Urgent","High","High","Medium";"High","High","Medium","Medium";"Medium","Medium","Low","Low"},MATCH($P601,{"Critical","High","Medium","Low"},0),MATCH($Q601,{"Extensive","Significant","Moderate","Minor"},0)),"-")))</f>
        <v/>
      </c>
      <c r="S601" s="30"/>
      <c r="T601" s="30"/>
      <c r="W601" s="32" t="str">
        <f>IF($A601="","",IF(OR($M601="Out of Scope",$M601="Canceled"),"Out of Scope",IF($M601="Blocked","Blocked",IF(AND($T601&lt;&gt;"Fixed – Retest Passed",OR(LEN(TRIM($O601))&gt;0,LEN(TRIM($P601))&gt;0)),IF(AND(OR($L601="Medium",$L601="Low"),SUMPRODUCT((Cards!$A$4:$A$1000&lt;&gt;"")*ISNUMBER(SEARCH($A601,Cards!$E$4:$E$1000))*(Cards!$F$4:$F$1000&lt;&gt;"Medium")*(Cards!$F$4:$F$1000&lt;&gt;"Low"))=0),"Conditionally Passed","Failed"),IF($M601="Done","Passed","Not Run")))))</f>
        <v/>
      </c>
      <c r="Y601" s="27" t="str" cm="1">
        <f t="array" ref="Y601">IF($A601="","",IF(TRIM($B601)="","-",IFERROR(_xlfn.TEXTJOIN(" / ",TRUE,_xlfn.UNIQUE(_xlfn._xlws.FILTER('Ownership Matrix'!$C$5:$C$200,('Ownership Matrix'!$A$5:$A$200=TRIM($B601))*('Ownership Matrix'!$C$5:$C$200&lt;&gt;"")))),"ไม่พบใน Ownership Matrix")))</f>
        <v/>
      </c>
      <c r="Z601" s="31" t="str">
        <f>IF(NOT(AND($A601&lt;&gt;"",$M601&lt;&gt;"Out of Scope",$M601&lt;&gt;"Canceled",$T601&lt;&gt;"Fixed – Retest Passed",OR(LEN(TRIM($O601))&gt;0,LEN(TRIM($P601))&gt;0))),"",IF(OR($W601="Failed",$R601="Urgent",$R601="High",$R601="ระบุ Severity + Impact"),IF(COUNTIFS(Dashboard!$B$105:$B$124,$O601,Dashboard!$I$105:$I$124,"CAB")&gt;0,"Accepted (CF)","Blocking"),"Deferrable"))</f>
        <v/>
      </c>
    </row>
    <row r="602" spans="7:26" x14ac:dyDescent="0.3">
      <c r="G602" s="27" t="str" cm="1">
        <f t="array" ref="G602">IF($A602="","",IFERROR(_xlfn.TEXTJOIN(CHAR(10)&amp;CHAR(10),TRUE,_xlfn._xlws.FILTER("•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"&amp;Cards!$L$4:$L$1000),(Cards!$A$4:$A$1000&lt;&gt;"")*ISNUMBER(SEARCH($A602,Cards!$E$4:$E$1000)))),"-"))</f>
        <v/>
      </c>
      <c r="Q602" s="30"/>
      <c r="R602" s="27" t="str">
        <f>IF(OR($A602="",LEN(TRIM($O602))=0),"",IF(OR($P602="",$Q602=""),"ระบุ Severity + Impact",IFERROR(INDEX({"Urgent","Urgent","High","High";"Urgent","High","High","Medium";"High","High","Medium","Medium";"Medium","Medium","Low","Low"},MATCH($P602,{"Critical","High","Medium","Low"},0),MATCH($Q602,{"Extensive","Significant","Moderate","Minor"},0)),"-")))</f>
        <v/>
      </c>
      <c r="S602" s="30"/>
      <c r="T602" s="30"/>
      <c r="W602" s="32" t="str">
        <f>IF($A602="","",IF(OR($M602="Out of Scope",$M602="Canceled"),"Out of Scope",IF($M602="Blocked","Blocked",IF(AND($T602&lt;&gt;"Fixed – Retest Passed",OR(LEN(TRIM($O602))&gt;0,LEN(TRIM($P602))&gt;0)),IF(AND(OR($L602="Medium",$L602="Low"),SUMPRODUCT((Cards!$A$4:$A$1000&lt;&gt;"")*ISNUMBER(SEARCH($A602,Cards!$E$4:$E$1000))*(Cards!$F$4:$F$1000&lt;&gt;"Medium")*(Cards!$F$4:$F$1000&lt;&gt;"Low"))=0),"Conditionally Passed","Failed"),IF($M602="Done","Passed","Not Run")))))</f>
        <v/>
      </c>
      <c r="Y602" s="27" t="str" cm="1">
        <f t="array" ref="Y602">IF($A602="","",IF(TRIM($B602)="","-",IFERROR(_xlfn.TEXTJOIN(" / ",TRUE,_xlfn.UNIQUE(_xlfn._xlws.FILTER('Ownership Matrix'!$C$5:$C$200,('Ownership Matrix'!$A$5:$A$200=TRIM($B602))*('Ownership Matrix'!$C$5:$C$200&lt;&gt;"")))),"ไม่พบใน Ownership Matrix")))</f>
        <v/>
      </c>
      <c r="Z602" s="31" t="str">
        <f>IF(NOT(AND($A602&lt;&gt;"",$M602&lt;&gt;"Out of Scope",$M602&lt;&gt;"Canceled",$T602&lt;&gt;"Fixed – Retest Passed",OR(LEN(TRIM($O602))&gt;0,LEN(TRIM($P602))&gt;0))),"",IF(OR($W602="Failed",$R602="Urgent",$R602="High",$R602="ระบุ Severity + Impact"),IF(COUNTIFS(Dashboard!$B$105:$B$124,$O602,Dashboard!$I$105:$I$124,"CAB")&gt;0,"Accepted (CF)","Blocking"),"Deferrable"))</f>
        <v/>
      </c>
    </row>
    <row r="603" spans="7:26" x14ac:dyDescent="0.3">
      <c r="G603" s="27" t="str" cm="1">
        <f t="array" ref="G603">IF($A603="","",IFERROR(_xlfn.TEXTJOIN(CHAR(10)&amp;CHAR(10),TRUE,_xlfn._xlws.FILTER("•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"&amp;Cards!$L$4:$L$1000),(Cards!$A$4:$A$1000&lt;&gt;"")*ISNUMBER(SEARCH($A603,Cards!$E$4:$E$1000)))),"-"))</f>
        <v/>
      </c>
      <c r="Q603" s="30"/>
      <c r="R603" s="27" t="str">
        <f>IF(OR($A603="",LEN(TRIM($O603))=0),"",IF(OR($P603="",$Q603=""),"ระบุ Severity + Impact",IFERROR(INDEX({"Urgent","Urgent","High","High";"Urgent","High","High","Medium";"High","High","Medium","Medium";"Medium","Medium","Low","Low"},MATCH($P603,{"Critical","High","Medium","Low"},0),MATCH($Q603,{"Extensive","Significant","Moderate","Minor"},0)),"-")))</f>
        <v/>
      </c>
      <c r="S603" s="30"/>
      <c r="T603" s="30"/>
      <c r="W603" s="32" t="str">
        <f>IF($A603="","",IF(OR($M603="Out of Scope",$M603="Canceled"),"Out of Scope",IF($M603="Blocked","Blocked",IF(AND($T603&lt;&gt;"Fixed – Retest Passed",OR(LEN(TRIM($O603))&gt;0,LEN(TRIM($P603))&gt;0)),IF(AND(OR($L603="Medium",$L603="Low"),SUMPRODUCT((Cards!$A$4:$A$1000&lt;&gt;"")*ISNUMBER(SEARCH($A603,Cards!$E$4:$E$1000))*(Cards!$F$4:$F$1000&lt;&gt;"Medium")*(Cards!$F$4:$F$1000&lt;&gt;"Low"))=0),"Conditionally Passed","Failed"),IF($M603="Done","Passed","Not Run")))))</f>
        <v/>
      </c>
      <c r="Y603" s="27" t="str" cm="1">
        <f t="array" ref="Y603">IF($A603="","",IF(TRIM($B603)="","-",IFERROR(_xlfn.TEXTJOIN(" / ",TRUE,_xlfn.UNIQUE(_xlfn._xlws.FILTER('Ownership Matrix'!$C$5:$C$200,('Ownership Matrix'!$A$5:$A$200=TRIM($B603))*('Ownership Matrix'!$C$5:$C$200&lt;&gt;"")))),"ไม่พบใน Ownership Matrix")))</f>
        <v/>
      </c>
      <c r="Z603" s="31" t="str">
        <f>IF(NOT(AND($A603&lt;&gt;"",$M603&lt;&gt;"Out of Scope",$M603&lt;&gt;"Canceled",$T603&lt;&gt;"Fixed – Retest Passed",OR(LEN(TRIM($O603))&gt;0,LEN(TRIM($P603))&gt;0))),"",IF(OR($W603="Failed",$R603="Urgent",$R603="High",$R603="ระบุ Severity + Impact"),IF(COUNTIFS(Dashboard!$B$105:$B$124,$O603,Dashboard!$I$105:$I$124,"CAB")&gt;0,"Accepted (CF)","Blocking"),"Deferrable"))</f>
        <v/>
      </c>
    </row>
    <row r="604" spans="7:26" x14ac:dyDescent="0.3">
      <c r="G604" s="27" t="str" cm="1">
        <f t="array" ref="G604">IF($A604="","",IFERROR(_xlfn.TEXTJOIN(CHAR(10)&amp;CHAR(10),TRUE,_xlfn._xlws.FILTER("•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"&amp;Cards!$L$4:$L$1000),(Cards!$A$4:$A$1000&lt;&gt;"")*ISNUMBER(SEARCH($A604,Cards!$E$4:$E$1000)))),"-"))</f>
        <v/>
      </c>
      <c r="Q604" s="30"/>
      <c r="R604" s="27" t="str">
        <f>IF(OR($A604="",LEN(TRIM($O604))=0),"",IF(OR($P604="",$Q604=""),"ระบุ Severity + Impact",IFERROR(INDEX({"Urgent","Urgent","High","High";"Urgent","High","High","Medium";"High","High","Medium","Medium";"Medium","Medium","Low","Low"},MATCH($P604,{"Critical","High","Medium","Low"},0),MATCH($Q604,{"Extensive","Significant","Moderate","Minor"},0)),"-")))</f>
        <v/>
      </c>
      <c r="S604" s="30"/>
      <c r="T604" s="30"/>
      <c r="W604" s="32" t="str">
        <f>IF($A604="","",IF(OR($M604="Out of Scope",$M604="Canceled"),"Out of Scope",IF($M604="Blocked","Blocked",IF(AND($T604&lt;&gt;"Fixed – Retest Passed",OR(LEN(TRIM($O604))&gt;0,LEN(TRIM($P604))&gt;0)),IF(AND(OR($L604="Medium",$L604="Low"),SUMPRODUCT((Cards!$A$4:$A$1000&lt;&gt;"")*ISNUMBER(SEARCH($A604,Cards!$E$4:$E$1000))*(Cards!$F$4:$F$1000&lt;&gt;"Medium")*(Cards!$F$4:$F$1000&lt;&gt;"Low"))=0),"Conditionally Passed","Failed"),IF($M604="Done","Passed","Not Run")))))</f>
        <v/>
      </c>
      <c r="Y604" s="27" t="str" cm="1">
        <f t="array" ref="Y604">IF($A604="","",IF(TRIM($B604)="","-",IFERROR(_xlfn.TEXTJOIN(" / ",TRUE,_xlfn.UNIQUE(_xlfn._xlws.FILTER('Ownership Matrix'!$C$5:$C$200,('Ownership Matrix'!$A$5:$A$200=TRIM($B604))*('Ownership Matrix'!$C$5:$C$200&lt;&gt;"")))),"ไม่พบใน Ownership Matrix")))</f>
        <v/>
      </c>
      <c r="Z604" s="31" t="str">
        <f>IF(NOT(AND($A604&lt;&gt;"",$M604&lt;&gt;"Out of Scope",$M604&lt;&gt;"Canceled",$T604&lt;&gt;"Fixed – Retest Passed",OR(LEN(TRIM($O604))&gt;0,LEN(TRIM($P604))&gt;0))),"",IF(OR($W604="Failed",$R604="Urgent",$R604="High",$R604="ระบุ Severity + Impact"),IF(COUNTIFS(Dashboard!$B$105:$B$124,$O604,Dashboard!$I$105:$I$124,"CAB")&gt;0,"Accepted (CF)","Blocking"),"Deferrable"))</f>
        <v/>
      </c>
    </row>
    <row r="605" spans="7:26" x14ac:dyDescent="0.3">
      <c r="G605" s="27" t="str" cm="1">
        <f t="array" ref="G605">IF($A605="","",IFERROR(_xlfn.TEXTJOIN(CHAR(10)&amp;CHAR(10),TRUE,_xlfn._xlws.FILTER("•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"&amp;Cards!$L$4:$L$1000),(Cards!$A$4:$A$1000&lt;&gt;"")*ISNUMBER(SEARCH($A605,Cards!$E$4:$E$1000)))),"-"))</f>
        <v/>
      </c>
      <c r="Q605" s="30"/>
      <c r="R605" s="27" t="str">
        <f>IF(OR($A605="",LEN(TRIM($O605))=0),"",IF(OR($P605="",$Q605=""),"ระบุ Severity + Impact",IFERROR(INDEX({"Urgent","Urgent","High","High";"Urgent","High","High","Medium";"High","High","Medium","Medium";"Medium","Medium","Low","Low"},MATCH($P605,{"Critical","High","Medium","Low"},0),MATCH($Q605,{"Extensive","Significant","Moderate","Minor"},0)),"-")))</f>
        <v/>
      </c>
      <c r="S605" s="30"/>
      <c r="T605" s="30"/>
      <c r="W605" s="32" t="str">
        <f>IF($A605="","",IF(OR($M605="Out of Scope",$M605="Canceled"),"Out of Scope",IF($M605="Blocked","Blocked",IF(AND($T605&lt;&gt;"Fixed – Retest Passed",OR(LEN(TRIM($O605))&gt;0,LEN(TRIM($P605))&gt;0)),IF(AND(OR($L605="Medium",$L605="Low"),SUMPRODUCT((Cards!$A$4:$A$1000&lt;&gt;"")*ISNUMBER(SEARCH($A605,Cards!$E$4:$E$1000))*(Cards!$F$4:$F$1000&lt;&gt;"Medium")*(Cards!$F$4:$F$1000&lt;&gt;"Low"))=0),"Conditionally Passed","Failed"),IF($M605="Done","Passed","Not Run")))))</f>
        <v/>
      </c>
      <c r="Y605" s="27" t="str" cm="1">
        <f t="array" ref="Y605">IF($A605="","",IF(TRIM($B605)="","-",IFERROR(_xlfn.TEXTJOIN(" / ",TRUE,_xlfn.UNIQUE(_xlfn._xlws.FILTER('Ownership Matrix'!$C$5:$C$200,('Ownership Matrix'!$A$5:$A$200=TRIM($B605))*('Ownership Matrix'!$C$5:$C$200&lt;&gt;"")))),"ไม่พบใน Ownership Matrix")))</f>
        <v/>
      </c>
      <c r="Z605" s="31" t="str">
        <f>IF(NOT(AND($A605&lt;&gt;"",$M605&lt;&gt;"Out of Scope",$M605&lt;&gt;"Canceled",$T605&lt;&gt;"Fixed – Retest Passed",OR(LEN(TRIM($O605))&gt;0,LEN(TRIM($P605))&gt;0))),"",IF(OR($W605="Failed",$R605="Urgent",$R605="High",$R605="ระบุ Severity + Impact"),IF(COUNTIFS(Dashboard!$B$105:$B$124,$O605,Dashboard!$I$105:$I$124,"CAB")&gt;0,"Accepted (CF)","Blocking"),"Deferrable"))</f>
        <v/>
      </c>
    </row>
    <row r="606" spans="7:26" x14ac:dyDescent="0.3">
      <c r="G606" s="27" t="str" cm="1">
        <f t="array" ref="G606">IF($A606="","",IFERROR(_xlfn.TEXTJOIN(CHAR(10)&amp;CHAR(10),TRUE,_xlfn._xlws.FILTER("•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"&amp;Cards!$L$4:$L$1000),(Cards!$A$4:$A$1000&lt;&gt;"")*ISNUMBER(SEARCH($A606,Cards!$E$4:$E$1000)))),"-"))</f>
        <v/>
      </c>
      <c r="Q606" s="30"/>
      <c r="R606" s="27" t="str">
        <f>IF(OR($A606="",LEN(TRIM($O606))=0),"",IF(OR($P606="",$Q606=""),"ระบุ Severity + Impact",IFERROR(INDEX({"Urgent","Urgent","High","High";"Urgent","High","High","Medium";"High","High","Medium","Medium";"Medium","Medium","Low","Low"},MATCH($P606,{"Critical","High","Medium","Low"},0),MATCH($Q606,{"Extensive","Significant","Moderate","Minor"},0)),"-")))</f>
        <v/>
      </c>
      <c r="S606" s="30"/>
      <c r="T606" s="30"/>
      <c r="W606" s="32" t="str">
        <f>IF($A606="","",IF(OR($M606="Out of Scope",$M606="Canceled"),"Out of Scope",IF($M606="Blocked","Blocked",IF(AND($T606&lt;&gt;"Fixed – Retest Passed",OR(LEN(TRIM($O606))&gt;0,LEN(TRIM($P606))&gt;0)),IF(AND(OR($L606="Medium",$L606="Low"),SUMPRODUCT((Cards!$A$4:$A$1000&lt;&gt;"")*ISNUMBER(SEARCH($A606,Cards!$E$4:$E$1000))*(Cards!$F$4:$F$1000&lt;&gt;"Medium")*(Cards!$F$4:$F$1000&lt;&gt;"Low"))=0),"Conditionally Passed","Failed"),IF($M606="Done","Passed","Not Run")))))</f>
        <v/>
      </c>
      <c r="Y606" s="27" t="str" cm="1">
        <f t="array" ref="Y606">IF($A606="","",IF(TRIM($B606)="","-",IFERROR(_xlfn.TEXTJOIN(" / ",TRUE,_xlfn.UNIQUE(_xlfn._xlws.FILTER('Ownership Matrix'!$C$5:$C$200,('Ownership Matrix'!$A$5:$A$200=TRIM($B606))*('Ownership Matrix'!$C$5:$C$200&lt;&gt;"")))),"ไม่พบใน Ownership Matrix")))</f>
        <v/>
      </c>
      <c r="Z606" s="31" t="str">
        <f>IF(NOT(AND($A606&lt;&gt;"",$M606&lt;&gt;"Out of Scope",$M606&lt;&gt;"Canceled",$T606&lt;&gt;"Fixed – Retest Passed",OR(LEN(TRIM($O606))&gt;0,LEN(TRIM($P606))&gt;0))),"",IF(OR($W606="Failed",$R606="Urgent",$R606="High",$R606="ระบุ Severity + Impact"),IF(COUNTIFS(Dashboard!$B$105:$B$124,$O606,Dashboard!$I$105:$I$124,"CAB")&gt;0,"Accepted (CF)","Blocking"),"Deferrable"))</f>
        <v/>
      </c>
    </row>
    <row r="607" spans="7:26" x14ac:dyDescent="0.3">
      <c r="G607" s="27" t="str" cm="1">
        <f t="array" ref="G607">IF($A607="","",IFERROR(_xlfn.TEXTJOIN(CHAR(10)&amp;CHAR(10),TRUE,_xlfn._xlws.FILTER("•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"&amp;Cards!$L$4:$L$1000),(Cards!$A$4:$A$1000&lt;&gt;"")*ISNUMBER(SEARCH($A607,Cards!$E$4:$E$1000)))),"-"))</f>
        <v/>
      </c>
      <c r="Q607" s="30"/>
      <c r="R607" s="27" t="str">
        <f>IF(OR($A607="",LEN(TRIM($O607))=0),"",IF(OR($P607="",$Q607=""),"ระบุ Severity + Impact",IFERROR(INDEX({"Urgent","Urgent","High","High";"Urgent","High","High","Medium";"High","High","Medium","Medium";"Medium","Medium","Low","Low"},MATCH($P607,{"Critical","High","Medium","Low"},0),MATCH($Q607,{"Extensive","Significant","Moderate","Minor"},0)),"-")))</f>
        <v/>
      </c>
      <c r="S607" s="30"/>
      <c r="T607" s="30"/>
      <c r="W607" s="32" t="str">
        <f>IF($A607="","",IF(OR($M607="Out of Scope",$M607="Canceled"),"Out of Scope",IF($M607="Blocked","Blocked",IF(AND($T607&lt;&gt;"Fixed – Retest Passed",OR(LEN(TRIM($O607))&gt;0,LEN(TRIM($P607))&gt;0)),IF(AND(OR($L607="Medium",$L607="Low"),SUMPRODUCT((Cards!$A$4:$A$1000&lt;&gt;"")*ISNUMBER(SEARCH($A607,Cards!$E$4:$E$1000))*(Cards!$F$4:$F$1000&lt;&gt;"Medium")*(Cards!$F$4:$F$1000&lt;&gt;"Low"))=0),"Conditionally Passed","Failed"),IF($M607="Done","Passed","Not Run")))))</f>
        <v/>
      </c>
      <c r="Y607" s="27" t="str" cm="1">
        <f t="array" ref="Y607">IF($A607="","",IF(TRIM($B607)="","-",IFERROR(_xlfn.TEXTJOIN(" / ",TRUE,_xlfn.UNIQUE(_xlfn._xlws.FILTER('Ownership Matrix'!$C$5:$C$200,('Ownership Matrix'!$A$5:$A$200=TRIM($B607))*('Ownership Matrix'!$C$5:$C$200&lt;&gt;"")))),"ไม่พบใน Ownership Matrix")))</f>
        <v/>
      </c>
      <c r="Z607" s="31" t="str">
        <f>IF(NOT(AND($A607&lt;&gt;"",$M607&lt;&gt;"Out of Scope",$M607&lt;&gt;"Canceled",$T607&lt;&gt;"Fixed – Retest Passed",OR(LEN(TRIM($O607))&gt;0,LEN(TRIM($P607))&gt;0))),"",IF(OR($W607="Failed",$R607="Urgent",$R607="High",$R607="ระบุ Severity + Impact"),IF(COUNTIFS(Dashboard!$B$105:$B$124,$O607,Dashboard!$I$105:$I$124,"CAB")&gt;0,"Accepted (CF)","Blocking"),"Deferrable"))</f>
        <v/>
      </c>
    </row>
    <row r="608" spans="7:26" x14ac:dyDescent="0.3">
      <c r="G608" s="27" t="str" cm="1">
        <f t="array" ref="G608">IF($A608="","",IFERROR(_xlfn.TEXTJOIN(CHAR(10)&amp;CHAR(10),TRUE,_xlfn._xlws.FILTER("•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"&amp;Cards!$L$4:$L$1000),(Cards!$A$4:$A$1000&lt;&gt;"")*ISNUMBER(SEARCH($A608,Cards!$E$4:$E$1000)))),"-"))</f>
        <v/>
      </c>
      <c r="Q608" s="30"/>
      <c r="R608" s="27" t="str">
        <f>IF(OR($A608="",LEN(TRIM($O608))=0),"",IF(OR($P608="",$Q608=""),"ระบุ Severity + Impact",IFERROR(INDEX({"Urgent","Urgent","High","High";"Urgent","High","High","Medium";"High","High","Medium","Medium";"Medium","Medium","Low","Low"},MATCH($P608,{"Critical","High","Medium","Low"},0),MATCH($Q608,{"Extensive","Significant","Moderate","Minor"},0)),"-")))</f>
        <v/>
      </c>
      <c r="S608" s="30"/>
      <c r="T608" s="30"/>
      <c r="W608" s="32" t="str">
        <f>IF($A608="","",IF(OR($M608="Out of Scope",$M608="Canceled"),"Out of Scope",IF($M608="Blocked","Blocked",IF(AND($T608&lt;&gt;"Fixed – Retest Passed",OR(LEN(TRIM($O608))&gt;0,LEN(TRIM($P608))&gt;0)),IF(AND(OR($L608="Medium",$L608="Low"),SUMPRODUCT((Cards!$A$4:$A$1000&lt;&gt;"")*ISNUMBER(SEARCH($A608,Cards!$E$4:$E$1000))*(Cards!$F$4:$F$1000&lt;&gt;"Medium")*(Cards!$F$4:$F$1000&lt;&gt;"Low"))=0),"Conditionally Passed","Failed"),IF($M608="Done","Passed","Not Run")))))</f>
        <v/>
      </c>
      <c r="Y608" s="27" t="str" cm="1">
        <f t="array" ref="Y608">IF($A608="","",IF(TRIM($B608)="","-",IFERROR(_xlfn.TEXTJOIN(" / ",TRUE,_xlfn.UNIQUE(_xlfn._xlws.FILTER('Ownership Matrix'!$C$5:$C$200,('Ownership Matrix'!$A$5:$A$200=TRIM($B608))*('Ownership Matrix'!$C$5:$C$200&lt;&gt;"")))),"ไม่พบใน Ownership Matrix")))</f>
        <v/>
      </c>
      <c r="Z608" s="31" t="str">
        <f>IF(NOT(AND($A608&lt;&gt;"",$M608&lt;&gt;"Out of Scope",$M608&lt;&gt;"Canceled",$T608&lt;&gt;"Fixed – Retest Passed",OR(LEN(TRIM($O608))&gt;0,LEN(TRIM($P608))&gt;0))),"",IF(OR($W608="Failed",$R608="Urgent",$R608="High",$R608="ระบุ Severity + Impact"),IF(COUNTIFS(Dashboard!$B$105:$B$124,$O608,Dashboard!$I$105:$I$124,"CAB")&gt;0,"Accepted (CF)","Blocking"),"Deferrable"))</f>
        <v/>
      </c>
    </row>
    <row r="609" spans="7:26" x14ac:dyDescent="0.3">
      <c r="G609" s="27" t="str" cm="1">
        <f t="array" ref="G609">IF($A609="","",IFERROR(_xlfn.TEXTJOIN(CHAR(10)&amp;CHAR(10),TRUE,_xlfn._xlws.FILTER("•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"&amp;Cards!$L$4:$L$1000),(Cards!$A$4:$A$1000&lt;&gt;"")*ISNUMBER(SEARCH($A609,Cards!$E$4:$E$1000)))),"-"))</f>
        <v/>
      </c>
      <c r="Q609" s="30"/>
      <c r="R609" s="27" t="str">
        <f>IF(OR($A609="",LEN(TRIM($O609))=0),"",IF(OR($P609="",$Q609=""),"ระบุ Severity + Impact",IFERROR(INDEX({"Urgent","Urgent","High","High";"Urgent","High","High","Medium";"High","High","Medium","Medium";"Medium","Medium","Low","Low"},MATCH($P609,{"Critical","High","Medium","Low"},0),MATCH($Q609,{"Extensive","Significant","Moderate","Minor"},0)),"-")))</f>
        <v/>
      </c>
      <c r="S609" s="30"/>
      <c r="T609" s="30"/>
      <c r="W609" s="32" t="str">
        <f>IF($A609="","",IF(OR($M609="Out of Scope",$M609="Canceled"),"Out of Scope",IF($M609="Blocked","Blocked",IF(AND($T609&lt;&gt;"Fixed – Retest Passed",OR(LEN(TRIM($O609))&gt;0,LEN(TRIM($P609))&gt;0)),IF(AND(OR($L609="Medium",$L609="Low"),SUMPRODUCT((Cards!$A$4:$A$1000&lt;&gt;"")*ISNUMBER(SEARCH($A609,Cards!$E$4:$E$1000))*(Cards!$F$4:$F$1000&lt;&gt;"Medium")*(Cards!$F$4:$F$1000&lt;&gt;"Low"))=0),"Conditionally Passed","Failed"),IF($M609="Done","Passed","Not Run")))))</f>
        <v/>
      </c>
      <c r="Y609" s="27" t="str" cm="1">
        <f t="array" ref="Y609">IF($A609="","",IF(TRIM($B609)="","-",IFERROR(_xlfn.TEXTJOIN(" / ",TRUE,_xlfn.UNIQUE(_xlfn._xlws.FILTER('Ownership Matrix'!$C$5:$C$200,('Ownership Matrix'!$A$5:$A$200=TRIM($B609))*('Ownership Matrix'!$C$5:$C$200&lt;&gt;"")))),"ไม่พบใน Ownership Matrix")))</f>
        <v/>
      </c>
      <c r="Z609" s="31" t="str">
        <f>IF(NOT(AND($A609&lt;&gt;"",$M609&lt;&gt;"Out of Scope",$M609&lt;&gt;"Canceled",$T609&lt;&gt;"Fixed – Retest Passed",OR(LEN(TRIM($O609))&gt;0,LEN(TRIM($P609))&gt;0))),"",IF(OR($W609="Failed",$R609="Urgent",$R609="High",$R609="ระบุ Severity + Impact"),IF(COUNTIFS(Dashboard!$B$105:$B$124,$O609,Dashboard!$I$105:$I$124,"CAB")&gt;0,"Accepted (CF)","Blocking"),"Deferrable"))</f>
        <v/>
      </c>
    </row>
    <row r="610" spans="7:26" x14ac:dyDescent="0.3">
      <c r="G610" s="27" t="str" cm="1">
        <f t="array" ref="G610">IF($A610="","",IFERROR(_xlfn.TEXTJOIN(CHAR(10)&amp;CHAR(10),TRUE,_xlfn._xlws.FILTER("•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"&amp;Cards!$L$4:$L$1000),(Cards!$A$4:$A$1000&lt;&gt;"")*ISNUMBER(SEARCH($A610,Cards!$E$4:$E$1000)))),"-"))</f>
        <v/>
      </c>
      <c r="Q610" s="30"/>
      <c r="R610" s="27" t="str">
        <f>IF(OR($A610="",LEN(TRIM($O610))=0),"",IF(OR($P610="",$Q610=""),"ระบุ Severity + Impact",IFERROR(INDEX({"Urgent","Urgent","High","High";"Urgent","High","High","Medium";"High","High","Medium","Medium";"Medium","Medium","Low","Low"},MATCH($P610,{"Critical","High","Medium","Low"},0),MATCH($Q610,{"Extensive","Significant","Moderate","Minor"},0)),"-")))</f>
        <v/>
      </c>
      <c r="S610" s="30"/>
      <c r="T610" s="30"/>
      <c r="W610" s="32" t="str">
        <f>IF($A610="","",IF(OR($M610="Out of Scope",$M610="Canceled"),"Out of Scope",IF($M610="Blocked","Blocked",IF(AND($T610&lt;&gt;"Fixed – Retest Passed",OR(LEN(TRIM($O610))&gt;0,LEN(TRIM($P610))&gt;0)),IF(AND(OR($L610="Medium",$L610="Low"),SUMPRODUCT((Cards!$A$4:$A$1000&lt;&gt;"")*ISNUMBER(SEARCH($A610,Cards!$E$4:$E$1000))*(Cards!$F$4:$F$1000&lt;&gt;"Medium")*(Cards!$F$4:$F$1000&lt;&gt;"Low"))=0),"Conditionally Passed","Failed"),IF($M610="Done","Passed","Not Run")))))</f>
        <v/>
      </c>
      <c r="Y610" s="27" t="str" cm="1">
        <f t="array" ref="Y610">IF($A610="","",IF(TRIM($B610)="","-",IFERROR(_xlfn.TEXTJOIN(" / ",TRUE,_xlfn.UNIQUE(_xlfn._xlws.FILTER('Ownership Matrix'!$C$5:$C$200,('Ownership Matrix'!$A$5:$A$200=TRIM($B610))*('Ownership Matrix'!$C$5:$C$200&lt;&gt;"")))),"ไม่พบใน Ownership Matrix")))</f>
        <v/>
      </c>
      <c r="Z610" s="31" t="str">
        <f>IF(NOT(AND($A610&lt;&gt;"",$M610&lt;&gt;"Out of Scope",$M610&lt;&gt;"Canceled",$T610&lt;&gt;"Fixed – Retest Passed",OR(LEN(TRIM($O610))&gt;0,LEN(TRIM($P610))&gt;0))),"",IF(OR($W610="Failed",$R610="Urgent",$R610="High",$R610="ระบุ Severity + Impact"),IF(COUNTIFS(Dashboard!$B$105:$B$124,$O610,Dashboard!$I$105:$I$124,"CAB")&gt;0,"Accepted (CF)","Blocking"),"Deferrable"))</f>
        <v/>
      </c>
    </row>
    <row r="611" spans="7:26" x14ac:dyDescent="0.3">
      <c r="G611" s="27" t="str" cm="1">
        <f t="array" ref="G611">IF($A611="","",IFERROR(_xlfn.TEXTJOIN(CHAR(10)&amp;CHAR(10),TRUE,_xlfn._xlws.FILTER("•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"&amp;Cards!$L$4:$L$1000),(Cards!$A$4:$A$1000&lt;&gt;"")*ISNUMBER(SEARCH($A611,Cards!$E$4:$E$1000)))),"-"))</f>
        <v/>
      </c>
      <c r="Q611" s="30"/>
      <c r="R611" s="27" t="str">
        <f>IF(OR($A611="",LEN(TRIM($O611))=0),"",IF(OR($P611="",$Q611=""),"ระบุ Severity + Impact",IFERROR(INDEX({"Urgent","Urgent","High","High";"Urgent","High","High","Medium";"High","High","Medium","Medium";"Medium","Medium","Low","Low"},MATCH($P611,{"Critical","High","Medium","Low"},0),MATCH($Q611,{"Extensive","Significant","Moderate","Minor"},0)),"-")))</f>
        <v/>
      </c>
      <c r="S611" s="30"/>
      <c r="T611" s="30"/>
      <c r="W611" s="32" t="str">
        <f>IF($A611="","",IF(OR($M611="Out of Scope",$M611="Canceled"),"Out of Scope",IF($M611="Blocked","Blocked",IF(AND($T611&lt;&gt;"Fixed – Retest Passed",OR(LEN(TRIM($O611))&gt;0,LEN(TRIM($P611))&gt;0)),IF(AND(OR($L611="Medium",$L611="Low"),SUMPRODUCT((Cards!$A$4:$A$1000&lt;&gt;"")*ISNUMBER(SEARCH($A611,Cards!$E$4:$E$1000))*(Cards!$F$4:$F$1000&lt;&gt;"Medium")*(Cards!$F$4:$F$1000&lt;&gt;"Low"))=0),"Conditionally Passed","Failed"),IF($M611="Done","Passed","Not Run")))))</f>
        <v/>
      </c>
      <c r="Y611" s="27" t="str" cm="1">
        <f t="array" ref="Y611">IF($A611="","",IF(TRIM($B611)="","-",IFERROR(_xlfn.TEXTJOIN(" / ",TRUE,_xlfn.UNIQUE(_xlfn._xlws.FILTER('Ownership Matrix'!$C$5:$C$200,('Ownership Matrix'!$A$5:$A$200=TRIM($B611))*('Ownership Matrix'!$C$5:$C$200&lt;&gt;"")))),"ไม่พบใน Ownership Matrix")))</f>
        <v/>
      </c>
      <c r="Z611" s="31" t="str">
        <f>IF(NOT(AND($A611&lt;&gt;"",$M611&lt;&gt;"Out of Scope",$M611&lt;&gt;"Canceled",$T611&lt;&gt;"Fixed – Retest Passed",OR(LEN(TRIM($O611))&gt;0,LEN(TRIM($P611))&gt;0))),"",IF(OR($W611="Failed",$R611="Urgent",$R611="High",$R611="ระบุ Severity + Impact"),IF(COUNTIFS(Dashboard!$B$105:$B$124,$O611,Dashboard!$I$105:$I$124,"CAB")&gt;0,"Accepted (CF)","Blocking"),"Deferrable"))</f>
        <v/>
      </c>
    </row>
    <row r="612" spans="7:26" x14ac:dyDescent="0.3">
      <c r="G612" s="27" t="str" cm="1">
        <f t="array" ref="G612">IF($A612="","",IFERROR(_xlfn.TEXTJOIN(CHAR(10)&amp;CHAR(10),TRUE,_xlfn._xlws.FILTER("•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"&amp;Cards!$L$4:$L$1000),(Cards!$A$4:$A$1000&lt;&gt;"")*ISNUMBER(SEARCH($A612,Cards!$E$4:$E$1000)))),"-"))</f>
        <v/>
      </c>
      <c r="Q612" s="30"/>
      <c r="R612" s="27" t="str">
        <f>IF(OR($A612="",LEN(TRIM($O612))=0),"",IF(OR($P612="",$Q612=""),"ระบุ Severity + Impact",IFERROR(INDEX({"Urgent","Urgent","High","High";"Urgent","High","High","Medium";"High","High","Medium","Medium";"Medium","Medium","Low","Low"},MATCH($P612,{"Critical","High","Medium","Low"},0),MATCH($Q612,{"Extensive","Significant","Moderate","Minor"},0)),"-")))</f>
        <v/>
      </c>
      <c r="S612" s="30"/>
      <c r="T612" s="30"/>
      <c r="W612" s="32" t="str">
        <f>IF($A612="","",IF(OR($M612="Out of Scope",$M612="Canceled"),"Out of Scope",IF($M612="Blocked","Blocked",IF(AND($T612&lt;&gt;"Fixed – Retest Passed",OR(LEN(TRIM($O612))&gt;0,LEN(TRIM($P612))&gt;0)),IF(AND(OR($L612="Medium",$L612="Low"),SUMPRODUCT((Cards!$A$4:$A$1000&lt;&gt;"")*ISNUMBER(SEARCH($A612,Cards!$E$4:$E$1000))*(Cards!$F$4:$F$1000&lt;&gt;"Medium")*(Cards!$F$4:$F$1000&lt;&gt;"Low"))=0),"Conditionally Passed","Failed"),IF($M612="Done","Passed","Not Run")))))</f>
        <v/>
      </c>
      <c r="Y612" s="27" t="str" cm="1">
        <f t="array" ref="Y612">IF($A612="","",IF(TRIM($B612)="","-",IFERROR(_xlfn.TEXTJOIN(" / ",TRUE,_xlfn.UNIQUE(_xlfn._xlws.FILTER('Ownership Matrix'!$C$5:$C$200,('Ownership Matrix'!$A$5:$A$200=TRIM($B612))*('Ownership Matrix'!$C$5:$C$200&lt;&gt;"")))),"ไม่พบใน Ownership Matrix")))</f>
        <v/>
      </c>
      <c r="Z612" s="31" t="str">
        <f>IF(NOT(AND($A612&lt;&gt;"",$M612&lt;&gt;"Out of Scope",$M612&lt;&gt;"Canceled",$T612&lt;&gt;"Fixed – Retest Passed",OR(LEN(TRIM($O612))&gt;0,LEN(TRIM($P612))&gt;0))),"",IF(OR($W612="Failed",$R612="Urgent",$R612="High",$R612="ระบุ Severity + Impact"),IF(COUNTIFS(Dashboard!$B$105:$B$124,$O612,Dashboard!$I$105:$I$124,"CAB")&gt;0,"Accepted (CF)","Blocking"),"Deferrable"))</f>
        <v/>
      </c>
    </row>
    <row r="613" spans="7:26" x14ac:dyDescent="0.3">
      <c r="G613" s="27" t="str" cm="1">
        <f t="array" ref="G613">IF($A613="","",IFERROR(_xlfn.TEXTJOIN(CHAR(10)&amp;CHAR(10),TRUE,_xlfn._xlws.FILTER("•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"&amp;Cards!$L$4:$L$1000),(Cards!$A$4:$A$1000&lt;&gt;"")*ISNUMBER(SEARCH($A613,Cards!$E$4:$E$1000)))),"-"))</f>
        <v/>
      </c>
      <c r="Q613" s="30"/>
      <c r="R613" s="27" t="str">
        <f>IF(OR($A613="",LEN(TRIM($O613))=0),"",IF(OR($P613="",$Q613=""),"ระบุ Severity + Impact",IFERROR(INDEX({"Urgent","Urgent","High","High";"Urgent","High","High","Medium";"High","High","Medium","Medium";"Medium","Medium","Low","Low"},MATCH($P613,{"Critical","High","Medium","Low"},0),MATCH($Q613,{"Extensive","Significant","Moderate","Minor"},0)),"-")))</f>
        <v/>
      </c>
      <c r="S613" s="30"/>
      <c r="T613" s="30"/>
      <c r="W613" s="32" t="str">
        <f>IF($A613="","",IF(OR($M613="Out of Scope",$M613="Canceled"),"Out of Scope",IF($M613="Blocked","Blocked",IF(AND($T613&lt;&gt;"Fixed – Retest Passed",OR(LEN(TRIM($O613))&gt;0,LEN(TRIM($P613))&gt;0)),IF(AND(OR($L613="Medium",$L613="Low"),SUMPRODUCT((Cards!$A$4:$A$1000&lt;&gt;"")*ISNUMBER(SEARCH($A613,Cards!$E$4:$E$1000))*(Cards!$F$4:$F$1000&lt;&gt;"Medium")*(Cards!$F$4:$F$1000&lt;&gt;"Low"))=0),"Conditionally Passed","Failed"),IF($M613="Done","Passed","Not Run")))))</f>
        <v/>
      </c>
      <c r="Y613" s="27" t="str" cm="1">
        <f t="array" ref="Y613">IF($A613="","",IF(TRIM($B613)="","-",IFERROR(_xlfn.TEXTJOIN(" / ",TRUE,_xlfn.UNIQUE(_xlfn._xlws.FILTER('Ownership Matrix'!$C$5:$C$200,('Ownership Matrix'!$A$5:$A$200=TRIM($B613))*('Ownership Matrix'!$C$5:$C$200&lt;&gt;"")))),"ไม่พบใน Ownership Matrix")))</f>
        <v/>
      </c>
      <c r="Z613" s="31" t="str">
        <f>IF(NOT(AND($A613&lt;&gt;"",$M613&lt;&gt;"Out of Scope",$M613&lt;&gt;"Canceled",$T613&lt;&gt;"Fixed – Retest Passed",OR(LEN(TRIM($O613))&gt;0,LEN(TRIM($P613))&gt;0))),"",IF(OR($W613="Failed",$R613="Urgent",$R613="High",$R613="ระบุ Severity + Impact"),IF(COUNTIFS(Dashboard!$B$105:$B$124,$O613,Dashboard!$I$105:$I$124,"CAB")&gt;0,"Accepted (CF)","Blocking"),"Deferrable"))</f>
        <v/>
      </c>
    </row>
    <row r="614" spans="7:26" x14ac:dyDescent="0.3">
      <c r="G614" s="27" t="str" cm="1">
        <f t="array" ref="G614">IF($A614="","",IFERROR(_xlfn.TEXTJOIN(CHAR(10)&amp;CHAR(10),TRUE,_xlfn._xlws.FILTER("•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"&amp;Cards!$L$4:$L$1000),(Cards!$A$4:$A$1000&lt;&gt;"")*ISNUMBER(SEARCH($A614,Cards!$E$4:$E$1000)))),"-"))</f>
        <v/>
      </c>
      <c r="Q614" s="30"/>
      <c r="R614" s="27" t="str">
        <f>IF(OR($A614="",LEN(TRIM($O614))=0),"",IF(OR($P614="",$Q614=""),"ระบุ Severity + Impact",IFERROR(INDEX({"Urgent","Urgent","High","High";"Urgent","High","High","Medium";"High","High","Medium","Medium";"Medium","Medium","Low","Low"},MATCH($P614,{"Critical","High","Medium","Low"},0),MATCH($Q614,{"Extensive","Significant","Moderate","Minor"},0)),"-")))</f>
        <v/>
      </c>
      <c r="S614" s="30"/>
      <c r="T614" s="30"/>
      <c r="W614" s="32" t="str">
        <f>IF($A614="","",IF(OR($M614="Out of Scope",$M614="Canceled"),"Out of Scope",IF($M614="Blocked","Blocked",IF(AND($T614&lt;&gt;"Fixed – Retest Passed",OR(LEN(TRIM($O614))&gt;0,LEN(TRIM($P614))&gt;0)),IF(AND(OR($L614="Medium",$L614="Low"),SUMPRODUCT((Cards!$A$4:$A$1000&lt;&gt;"")*ISNUMBER(SEARCH($A614,Cards!$E$4:$E$1000))*(Cards!$F$4:$F$1000&lt;&gt;"Medium")*(Cards!$F$4:$F$1000&lt;&gt;"Low"))=0),"Conditionally Passed","Failed"),IF($M614="Done","Passed","Not Run")))))</f>
        <v/>
      </c>
      <c r="Y614" s="27" t="str" cm="1">
        <f t="array" ref="Y614">IF($A614="","",IF(TRIM($B614)="","-",IFERROR(_xlfn.TEXTJOIN(" / ",TRUE,_xlfn.UNIQUE(_xlfn._xlws.FILTER('Ownership Matrix'!$C$5:$C$200,('Ownership Matrix'!$A$5:$A$200=TRIM($B614))*('Ownership Matrix'!$C$5:$C$200&lt;&gt;"")))),"ไม่พบใน Ownership Matrix")))</f>
        <v/>
      </c>
      <c r="Z614" s="31" t="str">
        <f>IF(NOT(AND($A614&lt;&gt;"",$M614&lt;&gt;"Out of Scope",$M614&lt;&gt;"Canceled",$T614&lt;&gt;"Fixed – Retest Passed",OR(LEN(TRIM($O614))&gt;0,LEN(TRIM($P614))&gt;0))),"",IF(OR($W614="Failed",$R614="Urgent",$R614="High",$R614="ระบุ Severity + Impact"),IF(COUNTIFS(Dashboard!$B$105:$B$124,$O614,Dashboard!$I$105:$I$124,"CAB")&gt;0,"Accepted (CF)","Blocking"),"Deferrable"))</f>
        <v/>
      </c>
    </row>
    <row r="615" spans="7:26" x14ac:dyDescent="0.3">
      <c r="G615" s="27" t="str" cm="1">
        <f t="array" ref="G615">IF($A615="","",IFERROR(_xlfn.TEXTJOIN(CHAR(10)&amp;CHAR(10),TRUE,_xlfn._xlws.FILTER("•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"&amp;Cards!$L$4:$L$1000),(Cards!$A$4:$A$1000&lt;&gt;"")*ISNUMBER(SEARCH($A615,Cards!$E$4:$E$1000)))),"-"))</f>
        <v/>
      </c>
      <c r="Q615" s="30"/>
      <c r="R615" s="27" t="str">
        <f>IF(OR($A615="",LEN(TRIM($O615))=0),"",IF(OR($P615="",$Q615=""),"ระบุ Severity + Impact",IFERROR(INDEX({"Urgent","Urgent","High","High";"Urgent","High","High","Medium";"High","High","Medium","Medium";"Medium","Medium","Low","Low"},MATCH($P615,{"Critical","High","Medium","Low"},0),MATCH($Q615,{"Extensive","Significant","Moderate","Minor"},0)),"-")))</f>
        <v/>
      </c>
      <c r="S615" s="30"/>
      <c r="T615" s="30"/>
      <c r="W615" s="32" t="str">
        <f>IF($A615="","",IF(OR($M615="Out of Scope",$M615="Canceled"),"Out of Scope",IF($M615="Blocked","Blocked",IF(AND($T615&lt;&gt;"Fixed – Retest Passed",OR(LEN(TRIM($O615))&gt;0,LEN(TRIM($P615))&gt;0)),IF(AND(OR($L615="Medium",$L615="Low"),SUMPRODUCT((Cards!$A$4:$A$1000&lt;&gt;"")*ISNUMBER(SEARCH($A615,Cards!$E$4:$E$1000))*(Cards!$F$4:$F$1000&lt;&gt;"Medium")*(Cards!$F$4:$F$1000&lt;&gt;"Low"))=0),"Conditionally Passed","Failed"),IF($M615="Done","Passed","Not Run")))))</f>
        <v/>
      </c>
      <c r="Y615" s="27" t="str" cm="1">
        <f t="array" ref="Y615">IF($A615="","",IF(TRIM($B615)="","-",IFERROR(_xlfn.TEXTJOIN(" / ",TRUE,_xlfn.UNIQUE(_xlfn._xlws.FILTER('Ownership Matrix'!$C$5:$C$200,('Ownership Matrix'!$A$5:$A$200=TRIM($B615))*('Ownership Matrix'!$C$5:$C$200&lt;&gt;"")))),"ไม่พบใน Ownership Matrix")))</f>
        <v/>
      </c>
      <c r="Z615" s="31" t="str">
        <f>IF(NOT(AND($A615&lt;&gt;"",$M615&lt;&gt;"Out of Scope",$M615&lt;&gt;"Canceled",$T615&lt;&gt;"Fixed – Retest Passed",OR(LEN(TRIM($O615))&gt;0,LEN(TRIM($P615))&gt;0))),"",IF(OR($W615="Failed",$R615="Urgent",$R615="High",$R615="ระบุ Severity + Impact"),IF(COUNTIFS(Dashboard!$B$105:$B$124,$O615,Dashboard!$I$105:$I$124,"CAB")&gt;0,"Accepted (CF)","Blocking"),"Deferrable"))</f>
        <v/>
      </c>
    </row>
    <row r="616" spans="7:26" x14ac:dyDescent="0.3">
      <c r="G616" s="27" t="str" cm="1">
        <f t="array" ref="G616">IF($A616="","",IFERROR(_xlfn.TEXTJOIN(CHAR(10)&amp;CHAR(10),TRUE,_xlfn._xlws.FILTER("•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"&amp;Cards!$L$4:$L$1000),(Cards!$A$4:$A$1000&lt;&gt;"")*ISNUMBER(SEARCH($A616,Cards!$E$4:$E$1000)))),"-"))</f>
        <v/>
      </c>
      <c r="Q616" s="30"/>
      <c r="R616" s="27" t="str">
        <f>IF(OR($A616="",LEN(TRIM($O616))=0),"",IF(OR($P616="",$Q616=""),"ระบุ Severity + Impact",IFERROR(INDEX({"Urgent","Urgent","High","High";"Urgent","High","High","Medium";"High","High","Medium","Medium";"Medium","Medium","Low","Low"},MATCH($P616,{"Critical","High","Medium","Low"},0),MATCH($Q616,{"Extensive","Significant","Moderate","Minor"},0)),"-")))</f>
        <v/>
      </c>
      <c r="S616" s="30"/>
      <c r="T616" s="30"/>
      <c r="W616" s="32" t="str">
        <f>IF($A616="","",IF(OR($M616="Out of Scope",$M616="Canceled"),"Out of Scope",IF($M616="Blocked","Blocked",IF(AND($T616&lt;&gt;"Fixed – Retest Passed",OR(LEN(TRIM($O616))&gt;0,LEN(TRIM($P616))&gt;0)),IF(AND(OR($L616="Medium",$L616="Low"),SUMPRODUCT((Cards!$A$4:$A$1000&lt;&gt;"")*ISNUMBER(SEARCH($A616,Cards!$E$4:$E$1000))*(Cards!$F$4:$F$1000&lt;&gt;"Medium")*(Cards!$F$4:$F$1000&lt;&gt;"Low"))=0),"Conditionally Passed","Failed"),IF($M616="Done","Passed","Not Run")))))</f>
        <v/>
      </c>
      <c r="Y616" s="27" t="str" cm="1">
        <f t="array" ref="Y616">IF($A616="","",IF(TRIM($B616)="","-",IFERROR(_xlfn.TEXTJOIN(" / ",TRUE,_xlfn.UNIQUE(_xlfn._xlws.FILTER('Ownership Matrix'!$C$5:$C$200,('Ownership Matrix'!$A$5:$A$200=TRIM($B616))*('Ownership Matrix'!$C$5:$C$200&lt;&gt;"")))),"ไม่พบใน Ownership Matrix")))</f>
        <v/>
      </c>
      <c r="Z616" s="31" t="str">
        <f>IF(NOT(AND($A616&lt;&gt;"",$M616&lt;&gt;"Out of Scope",$M616&lt;&gt;"Canceled",$T616&lt;&gt;"Fixed – Retest Passed",OR(LEN(TRIM($O616))&gt;0,LEN(TRIM($P616))&gt;0))),"",IF(OR($W616="Failed",$R616="Urgent",$R616="High",$R616="ระบุ Severity + Impact"),IF(COUNTIFS(Dashboard!$B$105:$B$124,$O616,Dashboard!$I$105:$I$124,"CAB")&gt;0,"Accepted (CF)","Blocking"),"Deferrable"))</f>
        <v/>
      </c>
    </row>
    <row r="617" spans="7:26" x14ac:dyDescent="0.3">
      <c r="G617" s="27" t="str" cm="1">
        <f t="array" ref="G617">IF($A617="","",IFERROR(_xlfn.TEXTJOIN(CHAR(10)&amp;CHAR(10),TRUE,_xlfn._xlws.FILTER("•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"&amp;Cards!$L$4:$L$1000),(Cards!$A$4:$A$1000&lt;&gt;"")*ISNUMBER(SEARCH($A617,Cards!$E$4:$E$1000)))),"-"))</f>
        <v/>
      </c>
      <c r="Q617" s="30"/>
      <c r="R617" s="27" t="str">
        <f>IF(OR($A617="",LEN(TRIM($O617))=0),"",IF(OR($P617="",$Q617=""),"ระบุ Severity + Impact",IFERROR(INDEX({"Urgent","Urgent","High","High";"Urgent","High","High","Medium";"High","High","Medium","Medium";"Medium","Medium","Low","Low"},MATCH($P617,{"Critical","High","Medium","Low"},0),MATCH($Q617,{"Extensive","Significant","Moderate","Minor"},0)),"-")))</f>
        <v/>
      </c>
      <c r="S617" s="30"/>
      <c r="T617" s="30"/>
      <c r="W617" s="32" t="str">
        <f>IF($A617="","",IF(OR($M617="Out of Scope",$M617="Canceled"),"Out of Scope",IF($M617="Blocked","Blocked",IF(AND($T617&lt;&gt;"Fixed – Retest Passed",OR(LEN(TRIM($O617))&gt;0,LEN(TRIM($P617))&gt;0)),IF(AND(OR($L617="Medium",$L617="Low"),SUMPRODUCT((Cards!$A$4:$A$1000&lt;&gt;"")*ISNUMBER(SEARCH($A617,Cards!$E$4:$E$1000))*(Cards!$F$4:$F$1000&lt;&gt;"Medium")*(Cards!$F$4:$F$1000&lt;&gt;"Low"))=0),"Conditionally Passed","Failed"),IF($M617="Done","Passed","Not Run")))))</f>
        <v/>
      </c>
      <c r="Y617" s="27" t="str" cm="1">
        <f t="array" ref="Y617">IF($A617="","",IF(TRIM($B617)="","-",IFERROR(_xlfn.TEXTJOIN(" / ",TRUE,_xlfn.UNIQUE(_xlfn._xlws.FILTER('Ownership Matrix'!$C$5:$C$200,('Ownership Matrix'!$A$5:$A$200=TRIM($B617))*('Ownership Matrix'!$C$5:$C$200&lt;&gt;"")))),"ไม่พบใน Ownership Matrix")))</f>
        <v/>
      </c>
      <c r="Z617" s="31" t="str">
        <f>IF(NOT(AND($A617&lt;&gt;"",$M617&lt;&gt;"Out of Scope",$M617&lt;&gt;"Canceled",$T617&lt;&gt;"Fixed – Retest Passed",OR(LEN(TRIM($O617))&gt;0,LEN(TRIM($P617))&gt;0))),"",IF(OR($W617="Failed",$R617="Urgent",$R617="High",$R617="ระบุ Severity + Impact"),IF(COUNTIFS(Dashboard!$B$105:$B$124,$O617,Dashboard!$I$105:$I$124,"CAB")&gt;0,"Accepted (CF)","Blocking"),"Deferrable"))</f>
        <v/>
      </c>
    </row>
    <row r="618" spans="7:26" x14ac:dyDescent="0.3">
      <c r="G618" s="27" t="str" cm="1">
        <f t="array" ref="G618">IF($A618="","",IFERROR(_xlfn.TEXTJOIN(CHAR(10)&amp;CHAR(10),TRUE,_xlfn._xlws.FILTER("•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"&amp;Cards!$L$4:$L$1000),(Cards!$A$4:$A$1000&lt;&gt;"")*ISNUMBER(SEARCH($A618,Cards!$E$4:$E$1000)))),"-"))</f>
        <v/>
      </c>
      <c r="Q618" s="30"/>
      <c r="R618" s="27" t="str">
        <f>IF(OR($A618="",LEN(TRIM($O618))=0),"",IF(OR($P618="",$Q618=""),"ระบุ Severity + Impact",IFERROR(INDEX({"Urgent","Urgent","High","High";"Urgent","High","High","Medium";"High","High","Medium","Medium";"Medium","Medium","Low","Low"},MATCH($P618,{"Critical","High","Medium","Low"},0),MATCH($Q618,{"Extensive","Significant","Moderate","Minor"},0)),"-")))</f>
        <v/>
      </c>
      <c r="S618" s="30"/>
      <c r="T618" s="30"/>
      <c r="W618" s="32" t="str">
        <f>IF($A618="","",IF(OR($M618="Out of Scope",$M618="Canceled"),"Out of Scope",IF($M618="Blocked","Blocked",IF(AND($T618&lt;&gt;"Fixed – Retest Passed",OR(LEN(TRIM($O618))&gt;0,LEN(TRIM($P618))&gt;0)),IF(AND(OR($L618="Medium",$L618="Low"),SUMPRODUCT((Cards!$A$4:$A$1000&lt;&gt;"")*ISNUMBER(SEARCH($A618,Cards!$E$4:$E$1000))*(Cards!$F$4:$F$1000&lt;&gt;"Medium")*(Cards!$F$4:$F$1000&lt;&gt;"Low"))=0),"Conditionally Passed","Failed"),IF($M618="Done","Passed","Not Run")))))</f>
        <v/>
      </c>
      <c r="Y618" s="27" t="str" cm="1">
        <f t="array" ref="Y618">IF($A618="","",IF(TRIM($B618)="","-",IFERROR(_xlfn.TEXTJOIN(" / ",TRUE,_xlfn.UNIQUE(_xlfn._xlws.FILTER('Ownership Matrix'!$C$5:$C$200,('Ownership Matrix'!$A$5:$A$200=TRIM($B618))*('Ownership Matrix'!$C$5:$C$200&lt;&gt;"")))),"ไม่พบใน Ownership Matrix")))</f>
        <v/>
      </c>
      <c r="Z618" s="31" t="str">
        <f>IF(NOT(AND($A618&lt;&gt;"",$M618&lt;&gt;"Out of Scope",$M618&lt;&gt;"Canceled",$T618&lt;&gt;"Fixed – Retest Passed",OR(LEN(TRIM($O618))&gt;0,LEN(TRIM($P618))&gt;0))),"",IF(OR($W618="Failed",$R618="Urgent",$R618="High",$R618="ระบุ Severity + Impact"),IF(COUNTIFS(Dashboard!$B$105:$B$124,$O618,Dashboard!$I$105:$I$124,"CAB")&gt;0,"Accepted (CF)","Blocking"),"Deferrable"))</f>
        <v/>
      </c>
    </row>
    <row r="619" spans="7:26" x14ac:dyDescent="0.3">
      <c r="G619" s="27" t="str" cm="1">
        <f t="array" ref="G619">IF($A619="","",IFERROR(_xlfn.TEXTJOIN(CHAR(10)&amp;CHAR(10),TRUE,_xlfn._xlws.FILTER("•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"&amp;Cards!$L$4:$L$1000),(Cards!$A$4:$A$1000&lt;&gt;"")*ISNUMBER(SEARCH($A619,Cards!$E$4:$E$1000)))),"-"))</f>
        <v/>
      </c>
      <c r="Q619" s="30"/>
      <c r="R619" s="27" t="str">
        <f>IF(OR($A619="",LEN(TRIM($O619))=0),"",IF(OR($P619="",$Q619=""),"ระบุ Severity + Impact",IFERROR(INDEX({"Urgent","Urgent","High","High";"Urgent","High","High","Medium";"High","High","Medium","Medium";"Medium","Medium","Low","Low"},MATCH($P619,{"Critical","High","Medium","Low"},0),MATCH($Q619,{"Extensive","Significant","Moderate","Minor"},0)),"-")))</f>
        <v/>
      </c>
      <c r="S619" s="30"/>
      <c r="T619" s="30"/>
      <c r="W619" s="32" t="str">
        <f>IF($A619="","",IF(OR($M619="Out of Scope",$M619="Canceled"),"Out of Scope",IF($M619="Blocked","Blocked",IF(AND($T619&lt;&gt;"Fixed – Retest Passed",OR(LEN(TRIM($O619))&gt;0,LEN(TRIM($P619))&gt;0)),IF(AND(OR($L619="Medium",$L619="Low"),SUMPRODUCT((Cards!$A$4:$A$1000&lt;&gt;"")*ISNUMBER(SEARCH($A619,Cards!$E$4:$E$1000))*(Cards!$F$4:$F$1000&lt;&gt;"Medium")*(Cards!$F$4:$F$1000&lt;&gt;"Low"))=0),"Conditionally Passed","Failed"),IF($M619="Done","Passed","Not Run")))))</f>
        <v/>
      </c>
      <c r="Y619" s="27" t="str" cm="1">
        <f t="array" ref="Y619">IF($A619="","",IF(TRIM($B619)="","-",IFERROR(_xlfn.TEXTJOIN(" / ",TRUE,_xlfn.UNIQUE(_xlfn._xlws.FILTER('Ownership Matrix'!$C$5:$C$200,('Ownership Matrix'!$A$5:$A$200=TRIM($B619))*('Ownership Matrix'!$C$5:$C$200&lt;&gt;"")))),"ไม่พบใน Ownership Matrix")))</f>
        <v/>
      </c>
      <c r="Z619" s="31" t="str">
        <f>IF(NOT(AND($A619&lt;&gt;"",$M619&lt;&gt;"Out of Scope",$M619&lt;&gt;"Canceled",$T619&lt;&gt;"Fixed – Retest Passed",OR(LEN(TRIM($O619))&gt;0,LEN(TRIM($P619))&gt;0))),"",IF(OR($W619="Failed",$R619="Urgent",$R619="High",$R619="ระบุ Severity + Impact"),IF(COUNTIFS(Dashboard!$B$105:$B$124,$O619,Dashboard!$I$105:$I$124,"CAB")&gt;0,"Accepted (CF)","Blocking"),"Deferrable"))</f>
        <v/>
      </c>
    </row>
    <row r="620" spans="7:26" x14ac:dyDescent="0.3">
      <c r="G620" s="27" t="str" cm="1">
        <f t="array" ref="G620">IF($A620="","",IFERROR(_xlfn.TEXTJOIN(CHAR(10)&amp;CHAR(10),TRUE,_xlfn._xlws.FILTER("•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"&amp;Cards!$L$4:$L$1000),(Cards!$A$4:$A$1000&lt;&gt;"")*ISNUMBER(SEARCH($A620,Cards!$E$4:$E$1000)))),"-"))</f>
        <v/>
      </c>
      <c r="Q620" s="30"/>
      <c r="R620" s="27" t="str">
        <f>IF(OR($A620="",LEN(TRIM($O620))=0),"",IF(OR($P620="",$Q620=""),"ระบุ Severity + Impact",IFERROR(INDEX({"Urgent","Urgent","High","High";"Urgent","High","High","Medium";"High","High","Medium","Medium";"Medium","Medium","Low","Low"},MATCH($P620,{"Critical","High","Medium","Low"},0),MATCH($Q620,{"Extensive","Significant","Moderate","Minor"},0)),"-")))</f>
        <v/>
      </c>
      <c r="S620" s="30"/>
      <c r="T620" s="30"/>
      <c r="W620" s="32" t="str">
        <f>IF($A620="","",IF(OR($M620="Out of Scope",$M620="Canceled"),"Out of Scope",IF($M620="Blocked","Blocked",IF(AND($T620&lt;&gt;"Fixed – Retest Passed",OR(LEN(TRIM($O620))&gt;0,LEN(TRIM($P620))&gt;0)),IF(AND(OR($L620="Medium",$L620="Low"),SUMPRODUCT((Cards!$A$4:$A$1000&lt;&gt;"")*ISNUMBER(SEARCH($A620,Cards!$E$4:$E$1000))*(Cards!$F$4:$F$1000&lt;&gt;"Medium")*(Cards!$F$4:$F$1000&lt;&gt;"Low"))=0),"Conditionally Passed","Failed"),IF($M620="Done","Passed","Not Run")))))</f>
        <v/>
      </c>
      <c r="Y620" s="27" t="str" cm="1">
        <f t="array" ref="Y620">IF($A620="","",IF(TRIM($B620)="","-",IFERROR(_xlfn.TEXTJOIN(" / ",TRUE,_xlfn.UNIQUE(_xlfn._xlws.FILTER('Ownership Matrix'!$C$5:$C$200,('Ownership Matrix'!$A$5:$A$200=TRIM($B620))*('Ownership Matrix'!$C$5:$C$200&lt;&gt;"")))),"ไม่พบใน Ownership Matrix")))</f>
        <v/>
      </c>
      <c r="Z620" s="31" t="str">
        <f>IF(NOT(AND($A620&lt;&gt;"",$M620&lt;&gt;"Out of Scope",$M620&lt;&gt;"Canceled",$T620&lt;&gt;"Fixed – Retest Passed",OR(LEN(TRIM($O620))&gt;0,LEN(TRIM($P620))&gt;0))),"",IF(OR($W620="Failed",$R620="Urgent",$R620="High",$R620="ระบุ Severity + Impact"),IF(COUNTIFS(Dashboard!$B$105:$B$124,$O620,Dashboard!$I$105:$I$124,"CAB")&gt;0,"Accepted (CF)","Blocking"),"Deferrable"))</f>
        <v/>
      </c>
    </row>
    <row r="621" spans="7:26" x14ac:dyDescent="0.3">
      <c r="G621" s="27" t="str" cm="1">
        <f t="array" ref="G621">IF($A621="","",IFERROR(_xlfn.TEXTJOIN(CHAR(10)&amp;CHAR(10),TRUE,_xlfn._xlws.FILTER("•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"&amp;Cards!$L$4:$L$1000),(Cards!$A$4:$A$1000&lt;&gt;"")*ISNUMBER(SEARCH($A621,Cards!$E$4:$E$1000)))),"-"))</f>
        <v/>
      </c>
      <c r="Q621" s="30"/>
      <c r="R621" s="27" t="str">
        <f>IF(OR($A621="",LEN(TRIM($O621))=0),"",IF(OR($P621="",$Q621=""),"ระบุ Severity + Impact",IFERROR(INDEX({"Urgent","Urgent","High","High";"Urgent","High","High","Medium";"High","High","Medium","Medium";"Medium","Medium","Low","Low"},MATCH($P621,{"Critical","High","Medium","Low"},0),MATCH($Q621,{"Extensive","Significant","Moderate","Minor"},0)),"-")))</f>
        <v/>
      </c>
      <c r="S621" s="30"/>
      <c r="T621" s="30"/>
      <c r="W621" s="32" t="str">
        <f>IF($A621="","",IF(OR($M621="Out of Scope",$M621="Canceled"),"Out of Scope",IF($M621="Blocked","Blocked",IF(AND($T621&lt;&gt;"Fixed – Retest Passed",OR(LEN(TRIM($O621))&gt;0,LEN(TRIM($P621))&gt;0)),IF(AND(OR($L621="Medium",$L621="Low"),SUMPRODUCT((Cards!$A$4:$A$1000&lt;&gt;"")*ISNUMBER(SEARCH($A621,Cards!$E$4:$E$1000))*(Cards!$F$4:$F$1000&lt;&gt;"Medium")*(Cards!$F$4:$F$1000&lt;&gt;"Low"))=0),"Conditionally Passed","Failed"),IF($M621="Done","Passed","Not Run")))))</f>
        <v/>
      </c>
      <c r="Y621" s="27" t="str" cm="1">
        <f t="array" ref="Y621">IF($A621="","",IF(TRIM($B621)="","-",IFERROR(_xlfn.TEXTJOIN(" / ",TRUE,_xlfn.UNIQUE(_xlfn._xlws.FILTER('Ownership Matrix'!$C$5:$C$200,('Ownership Matrix'!$A$5:$A$200=TRIM($B621))*('Ownership Matrix'!$C$5:$C$200&lt;&gt;"")))),"ไม่พบใน Ownership Matrix")))</f>
        <v/>
      </c>
      <c r="Z621" s="31" t="str">
        <f>IF(NOT(AND($A621&lt;&gt;"",$M621&lt;&gt;"Out of Scope",$M621&lt;&gt;"Canceled",$T621&lt;&gt;"Fixed – Retest Passed",OR(LEN(TRIM($O621))&gt;0,LEN(TRIM($P621))&gt;0))),"",IF(OR($W621="Failed",$R621="Urgent",$R621="High",$R621="ระบุ Severity + Impact"),IF(COUNTIFS(Dashboard!$B$105:$B$124,$O621,Dashboard!$I$105:$I$124,"CAB")&gt;0,"Accepted (CF)","Blocking"),"Deferrable"))</f>
        <v/>
      </c>
    </row>
    <row r="622" spans="7:26" x14ac:dyDescent="0.3">
      <c r="G622" s="27" t="str" cm="1">
        <f t="array" ref="G622">IF($A622="","",IFERROR(_xlfn.TEXTJOIN(CHAR(10)&amp;CHAR(10),TRUE,_xlfn._xlws.FILTER("•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"&amp;Cards!$L$4:$L$1000),(Cards!$A$4:$A$1000&lt;&gt;"")*ISNUMBER(SEARCH($A622,Cards!$E$4:$E$1000)))),"-"))</f>
        <v/>
      </c>
      <c r="Q622" s="30"/>
      <c r="R622" s="27" t="str">
        <f>IF(OR($A622="",LEN(TRIM($O622))=0),"",IF(OR($P622="",$Q622=""),"ระบุ Severity + Impact",IFERROR(INDEX({"Urgent","Urgent","High","High";"Urgent","High","High","Medium";"High","High","Medium","Medium";"Medium","Medium","Low","Low"},MATCH($P622,{"Critical","High","Medium","Low"},0),MATCH($Q622,{"Extensive","Significant","Moderate","Minor"},0)),"-")))</f>
        <v/>
      </c>
      <c r="S622" s="30"/>
      <c r="T622" s="30"/>
      <c r="W622" s="32" t="str">
        <f>IF($A622="","",IF(OR($M622="Out of Scope",$M622="Canceled"),"Out of Scope",IF($M622="Blocked","Blocked",IF(AND($T622&lt;&gt;"Fixed – Retest Passed",OR(LEN(TRIM($O622))&gt;0,LEN(TRIM($P622))&gt;0)),IF(AND(OR($L622="Medium",$L622="Low"),SUMPRODUCT((Cards!$A$4:$A$1000&lt;&gt;"")*ISNUMBER(SEARCH($A622,Cards!$E$4:$E$1000))*(Cards!$F$4:$F$1000&lt;&gt;"Medium")*(Cards!$F$4:$F$1000&lt;&gt;"Low"))=0),"Conditionally Passed","Failed"),IF($M622="Done","Passed","Not Run")))))</f>
        <v/>
      </c>
      <c r="Y622" s="27" t="str" cm="1">
        <f t="array" ref="Y622">IF($A622="","",IF(TRIM($B622)="","-",IFERROR(_xlfn.TEXTJOIN(" / ",TRUE,_xlfn.UNIQUE(_xlfn._xlws.FILTER('Ownership Matrix'!$C$5:$C$200,('Ownership Matrix'!$A$5:$A$200=TRIM($B622))*('Ownership Matrix'!$C$5:$C$200&lt;&gt;"")))),"ไม่พบใน Ownership Matrix")))</f>
        <v/>
      </c>
      <c r="Z622" s="31" t="str">
        <f>IF(NOT(AND($A622&lt;&gt;"",$M622&lt;&gt;"Out of Scope",$M622&lt;&gt;"Canceled",$T622&lt;&gt;"Fixed – Retest Passed",OR(LEN(TRIM($O622))&gt;0,LEN(TRIM($P622))&gt;0))),"",IF(OR($W622="Failed",$R622="Urgent",$R622="High",$R622="ระบุ Severity + Impact"),IF(COUNTIFS(Dashboard!$B$105:$B$124,$O622,Dashboard!$I$105:$I$124,"CAB")&gt;0,"Accepted (CF)","Blocking"),"Deferrable"))</f>
        <v/>
      </c>
    </row>
    <row r="623" spans="7:26" x14ac:dyDescent="0.3">
      <c r="G623" s="27" t="str" cm="1">
        <f t="array" ref="G623">IF($A623="","",IFERROR(_xlfn.TEXTJOIN(CHAR(10)&amp;CHAR(10),TRUE,_xlfn._xlws.FILTER("•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"&amp;Cards!$L$4:$L$1000),(Cards!$A$4:$A$1000&lt;&gt;"")*ISNUMBER(SEARCH($A623,Cards!$E$4:$E$1000)))),"-"))</f>
        <v/>
      </c>
      <c r="Q623" s="30"/>
      <c r="R623" s="27" t="str">
        <f>IF(OR($A623="",LEN(TRIM($O623))=0),"",IF(OR($P623="",$Q623=""),"ระบุ Severity + Impact",IFERROR(INDEX({"Urgent","Urgent","High","High";"Urgent","High","High","Medium";"High","High","Medium","Medium";"Medium","Medium","Low","Low"},MATCH($P623,{"Critical","High","Medium","Low"},0),MATCH($Q623,{"Extensive","Significant","Moderate","Minor"},0)),"-")))</f>
        <v/>
      </c>
      <c r="S623" s="30"/>
      <c r="T623" s="30"/>
      <c r="W623" s="32" t="str">
        <f>IF($A623="","",IF(OR($M623="Out of Scope",$M623="Canceled"),"Out of Scope",IF($M623="Blocked","Blocked",IF(AND($T623&lt;&gt;"Fixed – Retest Passed",OR(LEN(TRIM($O623))&gt;0,LEN(TRIM($P623))&gt;0)),IF(AND(OR($L623="Medium",$L623="Low"),SUMPRODUCT((Cards!$A$4:$A$1000&lt;&gt;"")*ISNUMBER(SEARCH($A623,Cards!$E$4:$E$1000))*(Cards!$F$4:$F$1000&lt;&gt;"Medium")*(Cards!$F$4:$F$1000&lt;&gt;"Low"))=0),"Conditionally Passed","Failed"),IF($M623="Done","Passed","Not Run")))))</f>
        <v/>
      </c>
      <c r="Y623" s="27" t="str" cm="1">
        <f t="array" ref="Y623">IF($A623="","",IF(TRIM($B623)="","-",IFERROR(_xlfn.TEXTJOIN(" / ",TRUE,_xlfn.UNIQUE(_xlfn._xlws.FILTER('Ownership Matrix'!$C$5:$C$200,('Ownership Matrix'!$A$5:$A$200=TRIM($B623))*('Ownership Matrix'!$C$5:$C$200&lt;&gt;"")))),"ไม่พบใน Ownership Matrix")))</f>
        <v/>
      </c>
      <c r="Z623" s="31" t="str">
        <f>IF(NOT(AND($A623&lt;&gt;"",$M623&lt;&gt;"Out of Scope",$M623&lt;&gt;"Canceled",$T623&lt;&gt;"Fixed – Retest Passed",OR(LEN(TRIM($O623))&gt;0,LEN(TRIM($P623))&gt;0))),"",IF(OR($W623="Failed",$R623="Urgent",$R623="High",$R623="ระบุ Severity + Impact"),IF(COUNTIFS(Dashboard!$B$105:$B$124,$O623,Dashboard!$I$105:$I$124,"CAB")&gt;0,"Accepted (CF)","Blocking"),"Deferrable"))</f>
        <v/>
      </c>
    </row>
    <row r="624" spans="7:26" x14ac:dyDescent="0.3">
      <c r="G624" s="27" t="str" cm="1">
        <f t="array" ref="G624">IF($A624="","",IFERROR(_xlfn.TEXTJOIN(CHAR(10)&amp;CHAR(10),TRUE,_xlfn._xlws.FILTER("•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"&amp;Cards!$L$4:$L$1000),(Cards!$A$4:$A$1000&lt;&gt;"")*ISNUMBER(SEARCH($A624,Cards!$E$4:$E$1000)))),"-"))</f>
        <v/>
      </c>
      <c r="Q624" s="30"/>
      <c r="R624" s="27" t="str">
        <f>IF(OR($A624="",LEN(TRIM($O624))=0),"",IF(OR($P624="",$Q624=""),"ระบุ Severity + Impact",IFERROR(INDEX({"Urgent","Urgent","High","High";"Urgent","High","High","Medium";"High","High","Medium","Medium";"Medium","Medium","Low","Low"},MATCH($P624,{"Critical","High","Medium","Low"},0),MATCH($Q624,{"Extensive","Significant","Moderate","Minor"},0)),"-")))</f>
        <v/>
      </c>
      <c r="S624" s="30"/>
      <c r="T624" s="30"/>
      <c r="W624" s="32" t="str">
        <f>IF($A624="","",IF(OR($M624="Out of Scope",$M624="Canceled"),"Out of Scope",IF($M624="Blocked","Blocked",IF(AND($T624&lt;&gt;"Fixed – Retest Passed",OR(LEN(TRIM($O624))&gt;0,LEN(TRIM($P624))&gt;0)),IF(AND(OR($L624="Medium",$L624="Low"),SUMPRODUCT((Cards!$A$4:$A$1000&lt;&gt;"")*ISNUMBER(SEARCH($A624,Cards!$E$4:$E$1000))*(Cards!$F$4:$F$1000&lt;&gt;"Medium")*(Cards!$F$4:$F$1000&lt;&gt;"Low"))=0),"Conditionally Passed","Failed"),IF($M624="Done","Passed","Not Run")))))</f>
        <v/>
      </c>
      <c r="Y624" s="27" t="str" cm="1">
        <f t="array" ref="Y624">IF($A624="","",IF(TRIM($B624)="","-",IFERROR(_xlfn.TEXTJOIN(" / ",TRUE,_xlfn.UNIQUE(_xlfn._xlws.FILTER('Ownership Matrix'!$C$5:$C$200,('Ownership Matrix'!$A$5:$A$200=TRIM($B624))*('Ownership Matrix'!$C$5:$C$200&lt;&gt;"")))),"ไม่พบใน Ownership Matrix")))</f>
        <v/>
      </c>
      <c r="Z624" s="31" t="str">
        <f>IF(NOT(AND($A624&lt;&gt;"",$M624&lt;&gt;"Out of Scope",$M624&lt;&gt;"Canceled",$T624&lt;&gt;"Fixed – Retest Passed",OR(LEN(TRIM($O624))&gt;0,LEN(TRIM($P624))&gt;0))),"",IF(OR($W624="Failed",$R624="Urgent",$R624="High",$R624="ระบุ Severity + Impact"),IF(COUNTIFS(Dashboard!$B$105:$B$124,$O624,Dashboard!$I$105:$I$124,"CAB")&gt;0,"Accepted (CF)","Blocking"),"Deferrable"))</f>
        <v/>
      </c>
    </row>
    <row r="625" spans="7:26" x14ac:dyDescent="0.3">
      <c r="G625" s="27" t="str" cm="1">
        <f t="array" ref="G625">IF($A625="","",IFERROR(_xlfn.TEXTJOIN(CHAR(10)&amp;CHAR(10),TRUE,_xlfn._xlws.FILTER("•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"&amp;Cards!$L$4:$L$1000),(Cards!$A$4:$A$1000&lt;&gt;"")*ISNUMBER(SEARCH($A625,Cards!$E$4:$E$1000)))),"-"))</f>
        <v/>
      </c>
      <c r="Q625" s="30"/>
      <c r="R625" s="27" t="str">
        <f>IF(OR($A625="",LEN(TRIM($O625))=0),"",IF(OR($P625="",$Q625=""),"ระบุ Severity + Impact",IFERROR(INDEX({"Urgent","Urgent","High","High";"Urgent","High","High","Medium";"High","High","Medium","Medium";"Medium","Medium","Low","Low"},MATCH($P625,{"Critical","High","Medium","Low"},0),MATCH($Q625,{"Extensive","Significant","Moderate","Minor"},0)),"-")))</f>
        <v/>
      </c>
      <c r="S625" s="30"/>
      <c r="T625" s="30"/>
      <c r="W625" s="32" t="str">
        <f>IF($A625="","",IF(OR($M625="Out of Scope",$M625="Canceled"),"Out of Scope",IF($M625="Blocked","Blocked",IF(AND($T625&lt;&gt;"Fixed – Retest Passed",OR(LEN(TRIM($O625))&gt;0,LEN(TRIM($P625))&gt;0)),IF(AND(OR($L625="Medium",$L625="Low"),SUMPRODUCT((Cards!$A$4:$A$1000&lt;&gt;"")*ISNUMBER(SEARCH($A625,Cards!$E$4:$E$1000))*(Cards!$F$4:$F$1000&lt;&gt;"Medium")*(Cards!$F$4:$F$1000&lt;&gt;"Low"))=0),"Conditionally Passed","Failed"),IF($M625="Done","Passed","Not Run")))))</f>
        <v/>
      </c>
      <c r="Y625" s="27" t="str" cm="1">
        <f t="array" ref="Y625">IF($A625="","",IF(TRIM($B625)="","-",IFERROR(_xlfn.TEXTJOIN(" / ",TRUE,_xlfn.UNIQUE(_xlfn._xlws.FILTER('Ownership Matrix'!$C$5:$C$200,('Ownership Matrix'!$A$5:$A$200=TRIM($B625))*('Ownership Matrix'!$C$5:$C$200&lt;&gt;"")))),"ไม่พบใน Ownership Matrix")))</f>
        <v/>
      </c>
      <c r="Z625" s="31" t="str">
        <f>IF(NOT(AND($A625&lt;&gt;"",$M625&lt;&gt;"Out of Scope",$M625&lt;&gt;"Canceled",$T625&lt;&gt;"Fixed – Retest Passed",OR(LEN(TRIM($O625))&gt;0,LEN(TRIM($P625))&gt;0))),"",IF(OR($W625="Failed",$R625="Urgent",$R625="High",$R625="ระบุ Severity + Impact"),IF(COUNTIFS(Dashboard!$B$105:$B$124,$O625,Dashboard!$I$105:$I$124,"CAB")&gt;0,"Accepted (CF)","Blocking"),"Deferrable"))</f>
        <v/>
      </c>
    </row>
    <row r="626" spans="7:26" x14ac:dyDescent="0.3">
      <c r="G626" s="27" t="str" cm="1">
        <f t="array" ref="G626">IF($A626="","",IFERROR(_xlfn.TEXTJOIN(CHAR(10)&amp;CHAR(10),TRUE,_xlfn._xlws.FILTER("•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"&amp;Cards!$L$4:$L$1000),(Cards!$A$4:$A$1000&lt;&gt;"")*ISNUMBER(SEARCH($A626,Cards!$E$4:$E$1000)))),"-"))</f>
        <v/>
      </c>
      <c r="Q626" s="30"/>
      <c r="R626" s="27" t="str">
        <f>IF(OR($A626="",LEN(TRIM($O626))=0),"",IF(OR($P626="",$Q626=""),"ระบุ Severity + Impact",IFERROR(INDEX({"Urgent","Urgent","High","High";"Urgent","High","High","Medium";"High","High","Medium","Medium";"Medium","Medium","Low","Low"},MATCH($P626,{"Critical","High","Medium","Low"},0),MATCH($Q626,{"Extensive","Significant","Moderate","Minor"},0)),"-")))</f>
        <v/>
      </c>
      <c r="S626" s="30"/>
      <c r="T626" s="30"/>
      <c r="W626" s="32" t="str">
        <f>IF($A626="","",IF(OR($M626="Out of Scope",$M626="Canceled"),"Out of Scope",IF($M626="Blocked","Blocked",IF(AND($T626&lt;&gt;"Fixed – Retest Passed",OR(LEN(TRIM($O626))&gt;0,LEN(TRIM($P626))&gt;0)),IF(AND(OR($L626="Medium",$L626="Low"),SUMPRODUCT((Cards!$A$4:$A$1000&lt;&gt;"")*ISNUMBER(SEARCH($A626,Cards!$E$4:$E$1000))*(Cards!$F$4:$F$1000&lt;&gt;"Medium")*(Cards!$F$4:$F$1000&lt;&gt;"Low"))=0),"Conditionally Passed","Failed"),IF($M626="Done","Passed","Not Run")))))</f>
        <v/>
      </c>
      <c r="Y626" s="27" t="str" cm="1">
        <f t="array" ref="Y626">IF($A626="","",IF(TRIM($B626)="","-",IFERROR(_xlfn.TEXTJOIN(" / ",TRUE,_xlfn.UNIQUE(_xlfn._xlws.FILTER('Ownership Matrix'!$C$5:$C$200,('Ownership Matrix'!$A$5:$A$200=TRIM($B626))*('Ownership Matrix'!$C$5:$C$200&lt;&gt;"")))),"ไม่พบใน Ownership Matrix")))</f>
        <v/>
      </c>
      <c r="Z626" s="31" t="str">
        <f>IF(NOT(AND($A626&lt;&gt;"",$M626&lt;&gt;"Out of Scope",$M626&lt;&gt;"Canceled",$T626&lt;&gt;"Fixed – Retest Passed",OR(LEN(TRIM($O626))&gt;0,LEN(TRIM($P626))&gt;0))),"",IF(OR($W626="Failed",$R626="Urgent",$R626="High",$R626="ระบุ Severity + Impact"),IF(COUNTIFS(Dashboard!$B$105:$B$124,$O626,Dashboard!$I$105:$I$124,"CAB")&gt;0,"Accepted (CF)","Blocking"),"Deferrable"))</f>
        <v/>
      </c>
    </row>
    <row r="627" spans="7:26" x14ac:dyDescent="0.3">
      <c r="G627" s="27" t="str" cm="1">
        <f t="array" ref="G627">IF($A627="","",IFERROR(_xlfn.TEXTJOIN(CHAR(10)&amp;CHAR(10),TRUE,_xlfn._xlws.FILTER("•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"&amp;Cards!$L$4:$L$1000),(Cards!$A$4:$A$1000&lt;&gt;"")*ISNUMBER(SEARCH($A627,Cards!$E$4:$E$1000)))),"-"))</f>
        <v/>
      </c>
      <c r="Q627" s="30"/>
      <c r="R627" s="27" t="str">
        <f>IF(OR($A627="",LEN(TRIM($O627))=0),"",IF(OR($P627="",$Q627=""),"ระบุ Severity + Impact",IFERROR(INDEX({"Urgent","Urgent","High","High";"Urgent","High","High","Medium";"High","High","Medium","Medium";"Medium","Medium","Low","Low"},MATCH($P627,{"Critical","High","Medium","Low"},0),MATCH($Q627,{"Extensive","Significant","Moderate","Minor"},0)),"-")))</f>
        <v/>
      </c>
      <c r="S627" s="30"/>
      <c r="T627" s="30"/>
      <c r="W627" s="32" t="str">
        <f>IF($A627="","",IF(OR($M627="Out of Scope",$M627="Canceled"),"Out of Scope",IF($M627="Blocked","Blocked",IF(AND($T627&lt;&gt;"Fixed – Retest Passed",OR(LEN(TRIM($O627))&gt;0,LEN(TRIM($P627))&gt;0)),IF(AND(OR($L627="Medium",$L627="Low"),SUMPRODUCT((Cards!$A$4:$A$1000&lt;&gt;"")*ISNUMBER(SEARCH($A627,Cards!$E$4:$E$1000))*(Cards!$F$4:$F$1000&lt;&gt;"Medium")*(Cards!$F$4:$F$1000&lt;&gt;"Low"))=0),"Conditionally Passed","Failed"),IF($M627="Done","Passed","Not Run")))))</f>
        <v/>
      </c>
      <c r="Y627" s="27" t="str" cm="1">
        <f t="array" ref="Y627">IF($A627="","",IF(TRIM($B627)="","-",IFERROR(_xlfn.TEXTJOIN(" / ",TRUE,_xlfn.UNIQUE(_xlfn._xlws.FILTER('Ownership Matrix'!$C$5:$C$200,('Ownership Matrix'!$A$5:$A$200=TRIM($B627))*('Ownership Matrix'!$C$5:$C$200&lt;&gt;"")))),"ไม่พบใน Ownership Matrix")))</f>
        <v/>
      </c>
      <c r="Z627" s="31" t="str">
        <f>IF(NOT(AND($A627&lt;&gt;"",$M627&lt;&gt;"Out of Scope",$M627&lt;&gt;"Canceled",$T627&lt;&gt;"Fixed – Retest Passed",OR(LEN(TRIM($O627))&gt;0,LEN(TRIM($P627))&gt;0))),"",IF(OR($W627="Failed",$R627="Urgent",$R627="High",$R627="ระบุ Severity + Impact"),IF(COUNTIFS(Dashboard!$B$105:$B$124,$O627,Dashboard!$I$105:$I$124,"CAB")&gt;0,"Accepted (CF)","Blocking"),"Deferrable"))</f>
        <v/>
      </c>
    </row>
    <row r="628" spans="7:26" x14ac:dyDescent="0.3">
      <c r="G628" s="27" t="str" cm="1">
        <f t="array" ref="G628">IF($A628="","",IFERROR(_xlfn.TEXTJOIN(CHAR(10)&amp;CHAR(10),TRUE,_xlfn._xlws.FILTER("•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"&amp;Cards!$L$4:$L$1000),(Cards!$A$4:$A$1000&lt;&gt;"")*ISNUMBER(SEARCH($A628,Cards!$E$4:$E$1000)))),"-"))</f>
        <v/>
      </c>
      <c r="Q628" s="30"/>
      <c r="R628" s="27" t="str">
        <f>IF(OR($A628="",LEN(TRIM($O628))=0),"",IF(OR($P628="",$Q628=""),"ระบุ Severity + Impact",IFERROR(INDEX({"Urgent","Urgent","High","High";"Urgent","High","High","Medium";"High","High","Medium","Medium";"Medium","Medium","Low","Low"},MATCH($P628,{"Critical","High","Medium","Low"},0),MATCH($Q628,{"Extensive","Significant","Moderate","Minor"},0)),"-")))</f>
        <v/>
      </c>
      <c r="S628" s="30"/>
      <c r="T628" s="30"/>
      <c r="W628" s="32" t="str">
        <f>IF($A628="","",IF(OR($M628="Out of Scope",$M628="Canceled"),"Out of Scope",IF($M628="Blocked","Blocked",IF(AND($T628&lt;&gt;"Fixed – Retest Passed",OR(LEN(TRIM($O628))&gt;0,LEN(TRIM($P628))&gt;0)),IF(AND(OR($L628="Medium",$L628="Low"),SUMPRODUCT((Cards!$A$4:$A$1000&lt;&gt;"")*ISNUMBER(SEARCH($A628,Cards!$E$4:$E$1000))*(Cards!$F$4:$F$1000&lt;&gt;"Medium")*(Cards!$F$4:$F$1000&lt;&gt;"Low"))=0),"Conditionally Passed","Failed"),IF($M628="Done","Passed","Not Run")))))</f>
        <v/>
      </c>
      <c r="Y628" s="27" t="str" cm="1">
        <f t="array" ref="Y628">IF($A628="","",IF(TRIM($B628)="","-",IFERROR(_xlfn.TEXTJOIN(" / ",TRUE,_xlfn.UNIQUE(_xlfn._xlws.FILTER('Ownership Matrix'!$C$5:$C$200,('Ownership Matrix'!$A$5:$A$200=TRIM($B628))*('Ownership Matrix'!$C$5:$C$200&lt;&gt;"")))),"ไม่พบใน Ownership Matrix")))</f>
        <v/>
      </c>
      <c r="Z628" s="31" t="str">
        <f>IF(NOT(AND($A628&lt;&gt;"",$M628&lt;&gt;"Out of Scope",$M628&lt;&gt;"Canceled",$T628&lt;&gt;"Fixed – Retest Passed",OR(LEN(TRIM($O628))&gt;0,LEN(TRIM($P628))&gt;0))),"",IF(OR($W628="Failed",$R628="Urgent",$R628="High",$R628="ระบุ Severity + Impact"),IF(COUNTIFS(Dashboard!$B$105:$B$124,$O628,Dashboard!$I$105:$I$124,"CAB")&gt;0,"Accepted (CF)","Blocking"),"Deferrable"))</f>
        <v/>
      </c>
    </row>
    <row r="629" spans="7:26" x14ac:dyDescent="0.3">
      <c r="G629" s="27" t="str" cm="1">
        <f t="array" ref="G629">IF($A629="","",IFERROR(_xlfn.TEXTJOIN(CHAR(10)&amp;CHAR(10),TRUE,_xlfn._xlws.FILTER("•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"&amp;Cards!$L$4:$L$1000),(Cards!$A$4:$A$1000&lt;&gt;"")*ISNUMBER(SEARCH($A629,Cards!$E$4:$E$1000)))),"-"))</f>
        <v/>
      </c>
      <c r="Q629" s="30"/>
      <c r="R629" s="27" t="str">
        <f>IF(OR($A629="",LEN(TRIM($O629))=0),"",IF(OR($P629="",$Q629=""),"ระบุ Severity + Impact",IFERROR(INDEX({"Urgent","Urgent","High","High";"Urgent","High","High","Medium";"High","High","Medium","Medium";"Medium","Medium","Low","Low"},MATCH($P629,{"Critical","High","Medium","Low"},0),MATCH($Q629,{"Extensive","Significant","Moderate","Minor"},0)),"-")))</f>
        <v/>
      </c>
      <c r="S629" s="30"/>
      <c r="T629" s="30"/>
      <c r="W629" s="32" t="str">
        <f>IF($A629="","",IF(OR($M629="Out of Scope",$M629="Canceled"),"Out of Scope",IF($M629="Blocked","Blocked",IF(AND($T629&lt;&gt;"Fixed – Retest Passed",OR(LEN(TRIM($O629))&gt;0,LEN(TRIM($P629))&gt;0)),IF(AND(OR($L629="Medium",$L629="Low"),SUMPRODUCT((Cards!$A$4:$A$1000&lt;&gt;"")*ISNUMBER(SEARCH($A629,Cards!$E$4:$E$1000))*(Cards!$F$4:$F$1000&lt;&gt;"Medium")*(Cards!$F$4:$F$1000&lt;&gt;"Low"))=0),"Conditionally Passed","Failed"),IF($M629="Done","Passed","Not Run")))))</f>
        <v/>
      </c>
      <c r="Y629" s="27" t="str" cm="1">
        <f t="array" ref="Y629">IF($A629="","",IF(TRIM($B629)="","-",IFERROR(_xlfn.TEXTJOIN(" / ",TRUE,_xlfn.UNIQUE(_xlfn._xlws.FILTER('Ownership Matrix'!$C$5:$C$200,('Ownership Matrix'!$A$5:$A$200=TRIM($B629))*('Ownership Matrix'!$C$5:$C$200&lt;&gt;"")))),"ไม่พบใน Ownership Matrix")))</f>
        <v/>
      </c>
      <c r="Z629" s="31" t="str">
        <f>IF(NOT(AND($A629&lt;&gt;"",$M629&lt;&gt;"Out of Scope",$M629&lt;&gt;"Canceled",$T629&lt;&gt;"Fixed – Retest Passed",OR(LEN(TRIM($O629))&gt;0,LEN(TRIM($P629))&gt;0))),"",IF(OR($W629="Failed",$R629="Urgent",$R629="High",$R629="ระบุ Severity + Impact"),IF(COUNTIFS(Dashboard!$B$105:$B$124,$O629,Dashboard!$I$105:$I$124,"CAB")&gt;0,"Accepted (CF)","Blocking"),"Deferrable"))</f>
        <v/>
      </c>
    </row>
    <row r="630" spans="7:26" x14ac:dyDescent="0.3">
      <c r="G630" s="27" t="str" cm="1">
        <f t="array" ref="G630">IF($A630="","",IFERROR(_xlfn.TEXTJOIN(CHAR(10)&amp;CHAR(10),TRUE,_xlfn._xlws.FILTER("•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"&amp;Cards!$L$4:$L$1000),(Cards!$A$4:$A$1000&lt;&gt;"")*ISNUMBER(SEARCH($A630,Cards!$E$4:$E$1000)))),"-"))</f>
        <v/>
      </c>
      <c r="Q630" s="30"/>
      <c r="R630" s="27" t="str">
        <f>IF(OR($A630="",LEN(TRIM($O630))=0),"",IF(OR($P630="",$Q630=""),"ระบุ Severity + Impact",IFERROR(INDEX({"Urgent","Urgent","High","High";"Urgent","High","High","Medium";"High","High","Medium","Medium";"Medium","Medium","Low","Low"},MATCH($P630,{"Critical","High","Medium","Low"},0),MATCH($Q630,{"Extensive","Significant","Moderate","Minor"},0)),"-")))</f>
        <v/>
      </c>
      <c r="S630" s="30"/>
      <c r="T630" s="30"/>
      <c r="W630" s="32" t="str">
        <f>IF($A630="","",IF(OR($M630="Out of Scope",$M630="Canceled"),"Out of Scope",IF($M630="Blocked","Blocked",IF(AND($T630&lt;&gt;"Fixed – Retest Passed",OR(LEN(TRIM($O630))&gt;0,LEN(TRIM($P630))&gt;0)),IF(AND(OR($L630="Medium",$L630="Low"),SUMPRODUCT((Cards!$A$4:$A$1000&lt;&gt;"")*ISNUMBER(SEARCH($A630,Cards!$E$4:$E$1000))*(Cards!$F$4:$F$1000&lt;&gt;"Medium")*(Cards!$F$4:$F$1000&lt;&gt;"Low"))=0),"Conditionally Passed","Failed"),IF($M630="Done","Passed","Not Run")))))</f>
        <v/>
      </c>
      <c r="Y630" s="27" t="str" cm="1">
        <f t="array" ref="Y630">IF($A630="","",IF(TRIM($B630)="","-",IFERROR(_xlfn.TEXTJOIN(" / ",TRUE,_xlfn.UNIQUE(_xlfn._xlws.FILTER('Ownership Matrix'!$C$5:$C$200,('Ownership Matrix'!$A$5:$A$200=TRIM($B630))*('Ownership Matrix'!$C$5:$C$200&lt;&gt;"")))),"ไม่พบใน Ownership Matrix")))</f>
        <v/>
      </c>
      <c r="Z630" s="31" t="str">
        <f>IF(NOT(AND($A630&lt;&gt;"",$M630&lt;&gt;"Out of Scope",$M630&lt;&gt;"Canceled",$T630&lt;&gt;"Fixed – Retest Passed",OR(LEN(TRIM($O630))&gt;0,LEN(TRIM($P630))&gt;0))),"",IF(OR($W630="Failed",$R630="Urgent",$R630="High",$R630="ระบุ Severity + Impact"),IF(COUNTIFS(Dashboard!$B$105:$B$124,$O630,Dashboard!$I$105:$I$124,"CAB")&gt;0,"Accepted (CF)","Blocking"),"Deferrable"))</f>
        <v/>
      </c>
    </row>
    <row r="631" spans="7:26" x14ac:dyDescent="0.3">
      <c r="G631" s="27" t="str" cm="1">
        <f t="array" ref="G631">IF($A631="","",IFERROR(_xlfn.TEXTJOIN(CHAR(10)&amp;CHAR(10),TRUE,_xlfn._xlws.FILTER("•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"&amp;Cards!$L$4:$L$1000),(Cards!$A$4:$A$1000&lt;&gt;"")*ISNUMBER(SEARCH($A631,Cards!$E$4:$E$1000)))),"-"))</f>
        <v/>
      </c>
      <c r="Q631" s="30"/>
      <c r="R631" s="27" t="str">
        <f>IF(OR($A631="",LEN(TRIM($O631))=0),"",IF(OR($P631="",$Q631=""),"ระบุ Severity + Impact",IFERROR(INDEX({"Urgent","Urgent","High","High";"Urgent","High","High","Medium";"High","High","Medium","Medium";"Medium","Medium","Low","Low"},MATCH($P631,{"Critical","High","Medium","Low"},0),MATCH($Q631,{"Extensive","Significant","Moderate","Minor"},0)),"-")))</f>
        <v/>
      </c>
      <c r="S631" s="30"/>
      <c r="T631" s="30"/>
      <c r="W631" s="32" t="str">
        <f>IF($A631="","",IF(OR($M631="Out of Scope",$M631="Canceled"),"Out of Scope",IF($M631="Blocked","Blocked",IF(AND($T631&lt;&gt;"Fixed – Retest Passed",OR(LEN(TRIM($O631))&gt;0,LEN(TRIM($P631))&gt;0)),IF(AND(OR($L631="Medium",$L631="Low"),SUMPRODUCT((Cards!$A$4:$A$1000&lt;&gt;"")*ISNUMBER(SEARCH($A631,Cards!$E$4:$E$1000))*(Cards!$F$4:$F$1000&lt;&gt;"Medium")*(Cards!$F$4:$F$1000&lt;&gt;"Low"))=0),"Conditionally Passed","Failed"),IF($M631="Done","Passed","Not Run")))))</f>
        <v/>
      </c>
      <c r="Y631" s="27" t="str" cm="1">
        <f t="array" ref="Y631">IF($A631="","",IF(TRIM($B631)="","-",IFERROR(_xlfn.TEXTJOIN(" / ",TRUE,_xlfn.UNIQUE(_xlfn._xlws.FILTER('Ownership Matrix'!$C$5:$C$200,('Ownership Matrix'!$A$5:$A$200=TRIM($B631))*('Ownership Matrix'!$C$5:$C$200&lt;&gt;"")))),"ไม่พบใน Ownership Matrix")))</f>
        <v/>
      </c>
      <c r="Z631" s="31" t="str">
        <f>IF(NOT(AND($A631&lt;&gt;"",$M631&lt;&gt;"Out of Scope",$M631&lt;&gt;"Canceled",$T631&lt;&gt;"Fixed – Retest Passed",OR(LEN(TRIM($O631))&gt;0,LEN(TRIM($P631))&gt;0))),"",IF(OR($W631="Failed",$R631="Urgent",$R631="High",$R631="ระบุ Severity + Impact"),IF(COUNTIFS(Dashboard!$B$105:$B$124,$O631,Dashboard!$I$105:$I$124,"CAB")&gt;0,"Accepted (CF)","Blocking"),"Deferrable"))</f>
        <v/>
      </c>
    </row>
    <row r="632" spans="7:26" x14ac:dyDescent="0.3">
      <c r="G632" s="27" t="str" cm="1">
        <f t="array" ref="G632">IF($A632="","",IFERROR(_xlfn.TEXTJOIN(CHAR(10)&amp;CHAR(10),TRUE,_xlfn._xlws.FILTER("•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"&amp;Cards!$L$4:$L$1000),(Cards!$A$4:$A$1000&lt;&gt;"")*ISNUMBER(SEARCH($A632,Cards!$E$4:$E$1000)))),"-"))</f>
        <v/>
      </c>
      <c r="Q632" s="30"/>
      <c r="R632" s="27" t="str">
        <f>IF(OR($A632="",LEN(TRIM($O632))=0),"",IF(OR($P632="",$Q632=""),"ระบุ Severity + Impact",IFERROR(INDEX({"Urgent","Urgent","High","High";"Urgent","High","High","Medium";"High","High","Medium","Medium";"Medium","Medium","Low","Low"},MATCH($P632,{"Critical","High","Medium","Low"},0),MATCH($Q632,{"Extensive","Significant","Moderate","Minor"},0)),"-")))</f>
        <v/>
      </c>
      <c r="S632" s="30"/>
      <c r="T632" s="30"/>
      <c r="W632" s="32" t="str">
        <f>IF($A632="","",IF(OR($M632="Out of Scope",$M632="Canceled"),"Out of Scope",IF($M632="Blocked","Blocked",IF(AND($T632&lt;&gt;"Fixed – Retest Passed",OR(LEN(TRIM($O632))&gt;0,LEN(TRIM($P632))&gt;0)),IF(AND(OR($L632="Medium",$L632="Low"),SUMPRODUCT((Cards!$A$4:$A$1000&lt;&gt;"")*ISNUMBER(SEARCH($A632,Cards!$E$4:$E$1000))*(Cards!$F$4:$F$1000&lt;&gt;"Medium")*(Cards!$F$4:$F$1000&lt;&gt;"Low"))=0),"Conditionally Passed","Failed"),IF($M632="Done","Passed","Not Run")))))</f>
        <v/>
      </c>
      <c r="Y632" s="27" t="str" cm="1">
        <f t="array" ref="Y632">IF($A632="","",IF(TRIM($B632)="","-",IFERROR(_xlfn.TEXTJOIN(" / ",TRUE,_xlfn.UNIQUE(_xlfn._xlws.FILTER('Ownership Matrix'!$C$5:$C$200,('Ownership Matrix'!$A$5:$A$200=TRIM($B632))*('Ownership Matrix'!$C$5:$C$200&lt;&gt;"")))),"ไม่พบใน Ownership Matrix")))</f>
        <v/>
      </c>
      <c r="Z632" s="31" t="str">
        <f>IF(NOT(AND($A632&lt;&gt;"",$M632&lt;&gt;"Out of Scope",$M632&lt;&gt;"Canceled",$T632&lt;&gt;"Fixed – Retest Passed",OR(LEN(TRIM($O632))&gt;0,LEN(TRIM($P632))&gt;0))),"",IF(OR($W632="Failed",$R632="Urgent",$R632="High",$R632="ระบุ Severity + Impact"),IF(COUNTIFS(Dashboard!$B$105:$B$124,$O632,Dashboard!$I$105:$I$124,"CAB")&gt;0,"Accepted (CF)","Blocking"),"Deferrable"))</f>
        <v/>
      </c>
    </row>
    <row r="633" spans="7:26" x14ac:dyDescent="0.3">
      <c r="G633" s="27" t="str" cm="1">
        <f t="array" ref="G633">IF($A633="","",IFERROR(_xlfn.TEXTJOIN(CHAR(10)&amp;CHAR(10),TRUE,_xlfn._xlws.FILTER("•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"&amp;Cards!$L$4:$L$1000),(Cards!$A$4:$A$1000&lt;&gt;"")*ISNUMBER(SEARCH($A633,Cards!$E$4:$E$1000)))),"-"))</f>
        <v/>
      </c>
      <c r="Q633" s="30"/>
      <c r="R633" s="27" t="str">
        <f>IF(OR($A633="",LEN(TRIM($O633))=0),"",IF(OR($P633="",$Q633=""),"ระบุ Severity + Impact",IFERROR(INDEX({"Urgent","Urgent","High","High";"Urgent","High","High","Medium";"High","High","Medium","Medium";"Medium","Medium","Low","Low"},MATCH($P633,{"Critical","High","Medium","Low"},0),MATCH($Q633,{"Extensive","Significant","Moderate","Minor"},0)),"-")))</f>
        <v/>
      </c>
      <c r="S633" s="30"/>
      <c r="T633" s="30"/>
      <c r="W633" s="32" t="str">
        <f>IF($A633="","",IF(OR($M633="Out of Scope",$M633="Canceled"),"Out of Scope",IF($M633="Blocked","Blocked",IF(AND($T633&lt;&gt;"Fixed – Retest Passed",OR(LEN(TRIM($O633))&gt;0,LEN(TRIM($P633))&gt;0)),IF(AND(OR($L633="Medium",$L633="Low"),SUMPRODUCT((Cards!$A$4:$A$1000&lt;&gt;"")*ISNUMBER(SEARCH($A633,Cards!$E$4:$E$1000))*(Cards!$F$4:$F$1000&lt;&gt;"Medium")*(Cards!$F$4:$F$1000&lt;&gt;"Low"))=0),"Conditionally Passed","Failed"),IF($M633="Done","Passed","Not Run")))))</f>
        <v/>
      </c>
      <c r="Y633" s="27" t="str" cm="1">
        <f t="array" ref="Y633">IF($A633="","",IF(TRIM($B633)="","-",IFERROR(_xlfn.TEXTJOIN(" / ",TRUE,_xlfn.UNIQUE(_xlfn._xlws.FILTER('Ownership Matrix'!$C$5:$C$200,('Ownership Matrix'!$A$5:$A$200=TRIM($B633))*('Ownership Matrix'!$C$5:$C$200&lt;&gt;"")))),"ไม่พบใน Ownership Matrix")))</f>
        <v/>
      </c>
      <c r="Z633" s="31" t="str">
        <f>IF(NOT(AND($A633&lt;&gt;"",$M633&lt;&gt;"Out of Scope",$M633&lt;&gt;"Canceled",$T633&lt;&gt;"Fixed – Retest Passed",OR(LEN(TRIM($O633))&gt;0,LEN(TRIM($P633))&gt;0))),"",IF(OR($W633="Failed",$R633="Urgent",$R633="High",$R633="ระบุ Severity + Impact"),IF(COUNTIFS(Dashboard!$B$105:$B$124,$O633,Dashboard!$I$105:$I$124,"CAB")&gt;0,"Accepted (CF)","Blocking"),"Deferrable"))</f>
        <v/>
      </c>
    </row>
    <row r="634" spans="7:26" x14ac:dyDescent="0.3">
      <c r="G634" s="27" t="str" cm="1">
        <f t="array" ref="G634">IF($A634="","",IFERROR(_xlfn.TEXTJOIN(CHAR(10)&amp;CHAR(10),TRUE,_xlfn._xlws.FILTER("•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"&amp;Cards!$L$4:$L$1000),(Cards!$A$4:$A$1000&lt;&gt;"")*ISNUMBER(SEARCH($A634,Cards!$E$4:$E$1000)))),"-"))</f>
        <v/>
      </c>
      <c r="Q634" s="30"/>
      <c r="R634" s="27" t="str">
        <f>IF(OR($A634="",LEN(TRIM($O634))=0),"",IF(OR($P634="",$Q634=""),"ระบุ Severity + Impact",IFERROR(INDEX({"Urgent","Urgent","High","High";"Urgent","High","High","Medium";"High","High","Medium","Medium";"Medium","Medium","Low","Low"},MATCH($P634,{"Critical","High","Medium","Low"},0),MATCH($Q634,{"Extensive","Significant","Moderate","Minor"},0)),"-")))</f>
        <v/>
      </c>
      <c r="S634" s="30"/>
      <c r="T634" s="30"/>
      <c r="W634" s="32" t="str">
        <f>IF($A634="","",IF(OR($M634="Out of Scope",$M634="Canceled"),"Out of Scope",IF($M634="Blocked","Blocked",IF(AND($T634&lt;&gt;"Fixed – Retest Passed",OR(LEN(TRIM($O634))&gt;0,LEN(TRIM($P634))&gt;0)),IF(AND(OR($L634="Medium",$L634="Low"),SUMPRODUCT((Cards!$A$4:$A$1000&lt;&gt;"")*ISNUMBER(SEARCH($A634,Cards!$E$4:$E$1000))*(Cards!$F$4:$F$1000&lt;&gt;"Medium")*(Cards!$F$4:$F$1000&lt;&gt;"Low"))=0),"Conditionally Passed","Failed"),IF($M634="Done","Passed","Not Run")))))</f>
        <v/>
      </c>
      <c r="Y634" s="27" t="str" cm="1">
        <f t="array" ref="Y634">IF($A634="","",IF(TRIM($B634)="","-",IFERROR(_xlfn.TEXTJOIN(" / ",TRUE,_xlfn.UNIQUE(_xlfn._xlws.FILTER('Ownership Matrix'!$C$5:$C$200,('Ownership Matrix'!$A$5:$A$200=TRIM($B634))*('Ownership Matrix'!$C$5:$C$200&lt;&gt;"")))),"ไม่พบใน Ownership Matrix")))</f>
        <v/>
      </c>
      <c r="Z634" s="31" t="str">
        <f>IF(NOT(AND($A634&lt;&gt;"",$M634&lt;&gt;"Out of Scope",$M634&lt;&gt;"Canceled",$T634&lt;&gt;"Fixed – Retest Passed",OR(LEN(TRIM($O634))&gt;0,LEN(TRIM($P634))&gt;0))),"",IF(OR($W634="Failed",$R634="Urgent",$R634="High",$R634="ระบุ Severity + Impact"),IF(COUNTIFS(Dashboard!$B$105:$B$124,$O634,Dashboard!$I$105:$I$124,"CAB")&gt;0,"Accepted (CF)","Blocking"),"Deferrable"))</f>
        <v/>
      </c>
    </row>
    <row r="635" spans="7:26" x14ac:dyDescent="0.3">
      <c r="G635" s="27" t="str" cm="1">
        <f t="array" ref="G635">IF($A635="","",IFERROR(_xlfn.TEXTJOIN(CHAR(10)&amp;CHAR(10),TRUE,_xlfn._xlws.FILTER("•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"&amp;Cards!$L$4:$L$1000),(Cards!$A$4:$A$1000&lt;&gt;"")*ISNUMBER(SEARCH($A635,Cards!$E$4:$E$1000)))),"-"))</f>
        <v/>
      </c>
      <c r="Q635" s="30"/>
      <c r="R635" s="27" t="str">
        <f>IF(OR($A635="",LEN(TRIM($O635))=0),"",IF(OR($P635="",$Q635=""),"ระบุ Severity + Impact",IFERROR(INDEX({"Urgent","Urgent","High","High";"Urgent","High","High","Medium";"High","High","Medium","Medium";"Medium","Medium","Low","Low"},MATCH($P635,{"Critical","High","Medium","Low"},0),MATCH($Q635,{"Extensive","Significant","Moderate","Minor"},0)),"-")))</f>
        <v/>
      </c>
      <c r="S635" s="30"/>
      <c r="T635" s="30"/>
      <c r="W635" s="32" t="str">
        <f>IF($A635="","",IF(OR($M635="Out of Scope",$M635="Canceled"),"Out of Scope",IF($M635="Blocked","Blocked",IF(AND($T635&lt;&gt;"Fixed – Retest Passed",OR(LEN(TRIM($O635))&gt;0,LEN(TRIM($P635))&gt;0)),IF(AND(OR($L635="Medium",$L635="Low"),SUMPRODUCT((Cards!$A$4:$A$1000&lt;&gt;"")*ISNUMBER(SEARCH($A635,Cards!$E$4:$E$1000))*(Cards!$F$4:$F$1000&lt;&gt;"Medium")*(Cards!$F$4:$F$1000&lt;&gt;"Low"))=0),"Conditionally Passed","Failed"),IF($M635="Done","Passed","Not Run")))))</f>
        <v/>
      </c>
      <c r="Y635" s="27" t="str" cm="1">
        <f t="array" ref="Y635">IF($A635="","",IF(TRIM($B635)="","-",IFERROR(_xlfn.TEXTJOIN(" / ",TRUE,_xlfn.UNIQUE(_xlfn._xlws.FILTER('Ownership Matrix'!$C$5:$C$200,('Ownership Matrix'!$A$5:$A$200=TRIM($B635))*('Ownership Matrix'!$C$5:$C$200&lt;&gt;"")))),"ไม่พบใน Ownership Matrix")))</f>
        <v/>
      </c>
      <c r="Z635" s="31" t="str">
        <f>IF(NOT(AND($A635&lt;&gt;"",$M635&lt;&gt;"Out of Scope",$M635&lt;&gt;"Canceled",$T635&lt;&gt;"Fixed – Retest Passed",OR(LEN(TRIM($O635))&gt;0,LEN(TRIM($P635))&gt;0))),"",IF(OR($W635="Failed",$R635="Urgent",$R635="High",$R635="ระบุ Severity + Impact"),IF(COUNTIFS(Dashboard!$B$105:$B$124,$O635,Dashboard!$I$105:$I$124,"CAB")&gt;0,"Accepted (CF)","Blocking"),"Deferrable"))</f>
        <v/>
      </c>
    </row>
    <row r="636" spans="7:26" x14ac:dyDescent="0.3">
      <c r="G636" s="27" t="str" cm="1">
        <f t="array" ref="G636">IF($A636="","",IFERROR(_xlfn.TEXTJOIN(CHAR(10)&amp;CHAR(10),TRUE,_xlfn._xlws.FILTER("•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"&amp;Cards!$L$4:$L$1000),(Cards!$A$4:$A$1000&lt;&gt;"")*ISNUMBER(SEARCH($A636,Cards!$E$4:$E$1000)))),"-"))</f>
        <v/>
      </c>
      <c r="Q636" s="30"/>
      <c r="R636" s="27" t="str">
        <f>IF(OR($A636="",LEN(TRIM($O636))=0),"",IF(OR($P636="",$Q636=""),"ระบุ Severity + Impact",IFERROR(INDEX({"Urgent","Urgent","High","High";"Urgent","High","High","Medium";"High","High","Medium","Medium";"Medium","Medium","Low","Low"},MATCH($P636,{"Critical","High","Medium","Low"},0),MATCH($Q636,{"Extensive","Significant","Moderate","Minor"},0)),"-")))</f>
        <v/>
      </c>
      <c r="S636" s="30"/>
      <c r="T636" s="30"/>
      <c r="W636" s="32" t="str">
        <f>IF($A636="","",IF(OR($M636="Out of Scope",$M636="Canceled"),"Out of Scope",IF($M636="Blocked","Blocked",IF(AND($T636&lt;&gt;"Fixed – Retest Passed",OR(LEN(TRIM($O636))&gt;0,LEN(TRIM($P636))&gt;0)),IF(AND(OR($L636="Medium",$L636="Low"),SUMPRODUCT((Cards!$A$4:$A$1000&lt;&gt;"")*ISNUMBER(SEARCH($A636,Cards!$E$4:$E$1000))*(Cards!$F$4:$F$1000&lt;&gt;"Medium")*(Cards!$F$4:$F$1000&lt;&gt;"Low"))=0),"Conditionally Passed","Failed"),IF($M636="Done","Passed","Not Run")))))</f>
        <v/>
      </c>
      <c r="Y636" s="27" t="str" cm="1">
        <f t="array" ref="Y636">IF($A636="","",IF(TRIM($B636)="","-",IFERROR(_xlfn.TEXTJOIN(" / ",TRUE,_xlfn.UNIQUE(_xlfn._xlws.FILTER('Ownership Matrix'!$C$5:$C$200,('Ownership Matrix'!$A$5:$A$200=TRIM($B636))*('Ownership Matrix'!$C$5:$C$200&lt;&gt;"")))),"ไม่พบใน Ownership Matrix")))</f>
        <v/>
      </c>
      <c r="Z636" s="31" t="str">
        <f>IF(NOT(AND($A636&lt;&gt;"",$M636&lt;&gt;"Out of Scope",$M636&lt;&gt;"Canceled",$T636&lt;&gt;"Fixed – Retest Passed",OR(LEN(TRIM($O636))&gt;0,LEN(TRIM($P636))&gt;0))),"",IF(OR($W636="Failed",$R636="Urgent",$R636="High",$R636="ระบุ Severity + Impact"),IF(COUNTIFS(Dashboard!$B$105:$B$124,$O636,Dashboard!$I$105:$I$124,"CAB")&gt;0,"Accepted (CF)","Blocking"),"Deferrable"))</f>
        <v/>
      </c>
    </row>
    <row r="637" spans="7:26" x14ac:dyDescent="0.3">
      <c r="G637" s="27" t="str" cm="1">
        <f t="array" ref="G637">IF($A637="","",IFERROR(_xlfn.TEXTJOIN(CHAR(10)&amp;CHAR(10),TRUE,_xlfn._xlws.FILTER("•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"&amp;Cards!$L$4:$L$1000),(Cards!$A$4:$A$1000&lt;&gt;"")*ISNUMBER(SEARCH($A637,Cards!$E$4:$E$1000)))),"-"))</f>
        <v/>
      </c>
      <c r="Q637" s="30"/>
      <c r="R637" s="27" t="str">
        <f>IF(OR($A637="",LEN(TRIM($O637))=0),"",IF(OR($P637="",$Q637=""),"ระบุ Severity + Impact",IFERROR(INDEX({"Urgent","Urgent","High","High";"Urgent","High","High","Medium";"High","High","Medium","Medium";"Medium","Medium","Low","Low"},MATCH($P637,{"Critical","High","Medium","Low"},0),MATCH($Q637,{"Extensive","Significant","Moderate","Minor"},0)),"-")))</f>
        <v/>
      </c>
      <c r="S637" s="30"/>
      <c r="T637" s="30"/>
      <c r="W637" s="32" t="str">
        <f>IF($A637="","",IF(OR($M637="Out of Scope",$M637="Canceled"),"Out of Scope",IF($M637="Blocked","Blocked",IF(AND($T637&lt;&gt;"Fixed – Retest Passed",OR(LEN(TRIM($O637))&gt;0,LEN(TRIM($P637))&gt;0)),IF(AND(OR($L637="Medium",$L637="Low"),SUMPRODUCT((Cards!$A$4:$A$1000&lt;&gt;"")*ISNUMBER(SEARCH($A637,Cards!$E$4:$E$1000))*(Cards!$F$4:$F$1000&lt;&gt;"Medium")*(Cards!$F$4:$F$1000&lt;&gt;"Low"))=0),"Conditionally Passed","Failed"),IF($M637="Done","Passed","Not Run")))))</f>
        <v/>
      </c>
      <c r="Y637" s="27" t="str" cm="1">
        <f t="array" ref="Y637">IF($A637="","",IF(TRIM($B637)="","-",IFERROR(_xlfn.TEXTJOIN(" / ",TRUE,_xlfn.UNIQUE(_xlfn._xlws.FILTER('Ownership Matrix'!$C$5:$C$200,('Ownership Matrix'!$A$5:$A$200=TRIM($B637))*('Ownership Matrix'!$C$5:$C$200&lt;&gt;"")))),"ไม่พบใน Ownership Matrix")))</f>
        <v/>
      </c>
      <c r="Z637" s="31" t="str">
        <f>IF(NOT(AND($A637&lt;&gt;"",$M637&lt;&gt;"Out of Scope",$M637&lt;&gt;"Canceled",$T637&lt;&gt;"Fixed – Retest Passed",OR(LEN(TRIM($O637))&gt;0,LEN(TRIM($P637))&gt;0))),"",IF(OR($W637="Failed",$R637="Urgent",$R637="High",$R637="ระบุ Severity + Impact"),IF(COUNTIFS(Dashboard!$B$105:$B$124,$O637,Dashboard!$I$105:$I$124,"CAB")&gt;0,"Accepted (CF)","Blocking"),"Deferrable"))</f>
        <v/>
      </c>
    </row>
    <row r="638" spans="7:26" x14ac:dyDescent="0.3">
      <c r="G638" s="27" t="str" cm="1">
        <f t="array" ref="G638">IF($A638="","",IFERROR(_xlfn.TEXTJOIN(CHAR(10)&amp;CHAR(10),TRUE,_xlfn._xlws.FILTER("•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"&amp;Cards!$L$4:$L$1000),(Cards!$A$4:$A$1000&lt;&gt;"")*ISNUMBER(SEARCH($A638,Cards!$E$4:$E$1000)))),"-"))</f>
        <v/>
      </c>
      <c r="Q638" s="30"/>
      <c r="R638" s="27" t="str">
        <f>IF(OR($A638="",LEN(TRIM($O638))=0),"",IF(OR($P638="",$Q638=""),"ระบุ Severity + Impact",IFERROR(INDEX({"Urgent","Urgent","High","High";"Urgent","High","High","Medium";"High","High","Medium","Medium";"Medium","Medium","Low","Low"},MATCH($P638,{"Critical","High","Medium","Low"},0),MATCH($Q638,{"Extensive","Significant","Moderate","Minor"},0)),"-")))</f>
        <v/>
      </c>
      <c r="S638" s="30"/>
      <c r="T638" s="30"/>
      <c r="W638" s="32" t="str">
        <f>IF($A638="","",IF(OR($M638="Out of Scope",$M638="Canceled"),"Out of Scope",IF($M638="Blocked","Blocked",IF(AND($T638&lt;&gt;"Fixed – Retest Passed",OR(LEN(TRIM($O638))&gt;0,LEN(TRIM($P638))&gt;0)),IF(AND(OR($L638="Medium",$L638="Low"),SUMPRODUCT((Cards!$A$4:$A$1000&lt;&gt;"")*ISNUMBER(SEARCH($A638,Cards!$E$4:$E$1000))*(Cards!$F$4:$F$1000&lt;&gt;"Medium")*(Cards!$F$4:$F$1000&lt;&gt;"Low"))=0),"Conditionally Passed","Failed"),IF($M638="Done","Passed","Not Run")))))</f>
        <v/>
      </c>
      <c r="Y638" s="27" t="str" cm="1">
        <f t="array" ref="Y638">IF($A638="","",IF(TRIM($B638)="","-",IFERROR(_xlfn.TEXTJOIN(" / ",TRUE,_xlfn.UNIQUE(_xlfn._xlws.FILTER('Ownership Matrix'!$C$5:$C$200,('Ownership Matrix'!$A$5:$A$200=TRIM($B638))*('Ownership Matrix'!$C$5:$C$200&lt;&gt;"")))),"ไม่พบใน Ownership Matrix")))</f>
        <v/>
      </c>
      <c r="Z638" s="31" t="str">
        <f>IF(NOT(AND($A638&lt;&gt;"",$M638&lt;&gt;"Out of Scope",$M638&lt;&gt;"Canceled",$T638&lt;&gt;"Fixed – Retest Passed",OR(LEN(TRIM($O638))&gt;0,LEN(TRIM($P638))&gt;0))),"",IF(OR($W638="Failed",$R638="Urgent",$R638="High",$R638="ระบุ Severity + Impact"),IF(COUNTIFS(Dashboard!$B$105:$B$124,$O638,Dashboard!$I$105:$I$124,"CAB")&gt;0,"Accepted (CF)","Blocking"),"Deferrable"))</f>
        <v/>
      </c>
    </row>
    <row r="639" spans="7:26" x14ac:dyDescent="0.3">
      <c r="G639" s="27" t="str" cm="1">
        <f t="array" ref="G639">IF($A639="","",IFERROR(_xlfn.TEXTJOIN(CHAR(10)&amp;CHAR(10),TRUE,_xlfn._xlws.FILTER("•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"&amp;Cards!$L$4:$L$1000),(Cards!$A$4:$A$1000&lt;&gt;"")*ISNUMBER(SEARCH($A639,Cards!$E$4:$E$1000)))),"-"))</f>
        <v/>
      </c>
      <c r="Q639" s="30"/>
      <c r="R639" s="27" t="str">
        <f>IF(OR($A639="",LEN(TRIM($O639))=0),"",IF(OR($P639="",$Q639=""),"ระบุ Severity + Impact",IFERROR(INDEX({"Urgent","Urgent","High","High";"Urgent","High","High","Medium";"High","High","Medium","Medium";"Medium","Medium","Low","Low"},MATCH($P639,{"Critical","High","Medium","Low"},0),MATCH($Q639,{"Extensive","Significant","Moderate","Minor"},0)),"-")))</f>
        <v/>
      </c>
      <c r="S639" s="30"/>
      <c r="T639" s="30"/>
      <c r="W639" s="32" t="str">
        <f>IF($A639="","",IF(OR($M639="Out of Scope",$M639="Canceled"),"Out of Scope",IF($M639="Blocked","Blocked",IF(AND($T639&lt;&gt;"Fixed – Retest Passed",OR(LEN(TRIM($O639))&gt;0,LEN(TRIM($P639))&gt;0)),IF(AND(OR($L639="Medium",$L639="Low"),SUMPRODUCT((Cards!$A$4:$A$1000&lt;&gt;"")*ISNUMBER(SEARCH($A639,Cards!$E$4:$E$1000))*(Cards!$F$4:$F$1000&lt;&gt;"Medium")*(Cards!$F$4:$F$1000&lt;&gt;"Low"))=0),"Conditionally Passed","Failed"),IF($M639="Done","Passed","Not Run")))))</f>
        <v/>
      </c>
      <c r="Y639" s="27" t="str" cm="1">
        <f t="array" ref="Y639">IF($A639="","",IF(TRIM($B639)="","-",IFERROR(_xlfn.TEXTJOIN(" / ",TRUE,_xlfn.UNIQUE(_xlfn._xlws.FILTER('Ownership Matrix'!$C$5:$C$200,('Ownership Matrix'!$A$5:$A$200=TRIM($B639))*('Ownership Matrix'!$C$5:$C$200&lt;&gt;"")))),"ไม่พบใน Ownership Matrix")))</f>
        <v/>
      </c>
      <c r="Z639" s="31" t="str">
        <f>IF(NOT(AND($A639&lt;&gt;"",$M639&lt;&gt;"Out of Scope",$M639&lt;&gt;"Canceled",$T639&lt;&gt;"Fixed – Retest Passed",OR(LEN(TRIM($O639))&gt;0,LEN(TRIM($P639))&gt;0))),"",IF(OR($W639="Failed",$R639="Urgent",$R639="High",$R639="ระบุ Severity + Impact"),IF(COUNTIFS(Dashboard!$B$105:$B$124,$O639,Dashboard!$I$105:$I$124,"CAB")&gt;0,"Accepted (CF)","Blocking"),"Deferrable"))</f>
        <v/>
      </c>
    </row>
    <row r="640" spans="7:26" x14ac:dyDescent="0.3">
      <c r="G640" s="27" t="str" cm="1">
        <f t="array" ref="G640">IF($A640="","",IFERROR(_xlfn.TEXTJOIN(CHAR(10)&amp;CHAR(10),TRUE,_xlfn._xlws.FILTER("•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"&amp;Cards!$L$4:$L$1000),(Cards!$A$4:$A$1000&lt;&gt;"")*ISNUMBER(SEARCH($A640,Cards!$E$4:$E$1000)))),"-"))</f>
        <v/>
      </c>
      <c r="Q640" s="30"/>
      <c r="R640" s="27" t="str">
        <f>IF(OR($A640="",LEN(TRIM($O640))=0),"",IF(OR($P640="",$Q640=""),"ระบุ Severity + Impact",IFERROR(INDEX({"Urgent","Urgent","High","High";"Urgent","High","High","Medium";"High","High","Medium","Medium";"Medium","Medium","Low","Low"},MATCH($P640,{"Critical","High","Medium","Low"},0),MATCH($Q640,{"Extensive","Significant","Moderate","Minor"},0)),"-")))</f>
        <v/>
      </c>
      <c r="S640" s="30"/>
      <c r="T640" s="30"/>
      <c r="W640" s="32" t="str">
        <f>IF($A640="","",IF(OR($M640="Out of Scope",$M640="Canceled"),"Out of Scope",IF($M640="Blocked","Blocked",IF(AND($T640&lt;&gt;"Fixed – Retest Passed",OR(LEN(TRIM($O640))&gt;0,LEN(TRIM($P640))&gt;0)),IF(AND(OR($L640="Medium",$L640="Low"),SUMPRODUCT((Cards!$A$4:$A$1000&lt;&gt;"")*ISNUMBER(SEARCH($A640,Cards!$E$4:$E$1000))*(Cards!$F$4:$F$1000&lt;&gt;"Medium")*(Cards!$F$4:$F$1000&lt;&gt;"Low"))=0),"Conditionally Passed","Failed"),IF($M640="Done","Passed","Not Run")))))</f>
        <v/>
      </c>
      <c r="Y640" s="27" t="str" cm="1">
        <f t="array" ref="Y640">IF($A640="","",IF(TRIM($B640)="","-",IFERROR(_xlfn.TEXTJOIN(" / ",TRUE,_xlfn.UNIQUE(_xlfn._xlws.FILTER('Ownership Matrix'!$C$5:$C$200,('Ownership Matrix'!$A$5:$A$200=TRIM($B640))*('Ownership Matrix'!$C$5:$C$200&lt;&gt;"")))),"ไม่พบใน Ownership Matrix")))</f>
        <v/>
      </c>
      <c r="Z640" s="31" t="str">
        <f>IF(NOT(AND($A640&lt;&gt;"",$M640&lt;&gt;"Out of Scope",$M640&lt;&gt;"Canceled",$T640&lt;&gt;"Fixed – Retest Passed",OR(LEN(TRIM($O640))&gt;0,LEN(TRIM($P640))&gt;0))),"",IF(OR($W640="Failed",$R640="Urgent",$R640="High",$R640="ระบุ Severity + Impact"),IF(COUNTIFS(Dashboard!$B$105:$B$124,$O640,Dashboard!$I$105:$I$124,"CAB")&gt;0,"Accepted (CF)","Blocking"),"Deferrable"))</f>
        <v/>
      </c>
    </row>
    <row r="641" spans="7:26" x14ac:dyDescent="0.3">
      <c r="G641" s="27" t="str" cm="1">
        <f t="array" ref="G641">IF($A641="","",IFERROR(_xlfn.TEXTJOIN(CHAR(10)&amp;CHAR(10),TRUE,_xlfn._xlws.FILTER("•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"&amp;Cards!$L$4:$L$1000),(Cards!$A$4:$A$1000&lt;&gt;"")*ISNUMBER(SEARCH($A641,Cards!$E$4:$E$1000)))),"-"))</f>
        <v/>
      </c>
      <c r="Q641" s="30"/>
      <c r="R641" s="27" t="str">
        <f>IF(OR($A641="",LEN(TRIM($O641))=0),"",IF(OR($P641="",$Q641=""),"ระบุ Severity + Impact",IFERROR(INDEX({"Urgent","Urgent","High","High";"Urgent","High","High","Medium";"High","High","Medium","Medium";"Medium","Medium","Low","Low"},MATCH($P641,{"Critical","High","Medium","Low"},0),MATCH($Q641,{"Extensive","Significant","Moderate","Minor"},0)),"-")))</f>
        <v/>
      </c>
      <c r="S641" s="30"/>
      <c r="T641" s="30"/>
      <c r="W641" s="32" t="str">
        <f>IF($A641="","",IF(OR($M641="Out of Scope",$M641="Canceled"),"Out of Scope",IF($M641="Blocked","Blocked",IF(AND($T641&lt;&gt;"Fixed – Retest Passed",OR(LEN(TRIM($O641))&gt;0,LEN(TRIM($P641))&gt;0)),IF(AND(OR($L641="Medium",$L641="Low"),SUMPRODUCT((Cards!$A$4:$A$1000&lt;&gt;"")*ISNUMBER(SEARCH($A641,Cards!$E$4:$E$1000))*(Cards!$F$4:$F$1000&lt;&gt;"Medium")*(Cards!$F$4:$F$1000&lt;&gt;"Low"))=0),"Conditionally Passed","Failed"),IF($M641="Done","Passed","Not Run")))))</f>
        <v/>
      </c>
      <c r="Y641" s="27" t="str" cm="1">
        <f t="array" ref="Y641">IF($A641="","",IF(TRIM($B641)="","-",IFERROR(_xlfn.TEXTJOIN(" / ",TRUE,_xlfn.UNIQUE(_xlfn._xlws.FILTER('Ownership Matrix'!$C$5:$C$200,('Ownership Matrix'!$A$5:$A$200=TRIM($B641))*('Ownership Matrix'!$C$5:$C$200&lt;&gt;"")))),"ไม่พบใน Ownership Matrix")))</f>
        <v/>
      </c>
      <c r="Z641" s="31" t="str">
        <f>IF(NOT(AND($A641&lt;&gt;"",$M641&lt;&gt;"Out of Scope",$M641&lt;&gt;"Canceled",$T641&lt;&gt;"Fixed – Retest Passed",OR(LEN(TRIM($O641))&gt;0,LEN(TRIM($P641))&gt;0))),"",IF(OR($W641="Failed",$R641="Urgent",$R641="High",$R641="ระบุ Severity + Impact"),IF(COUNTIFS(Dashboard!$B$105:$B$124,$O641,Dashboard!$I$105:$I$124,"CAB")&gt;0,"Accepted (CF)","Blocking"),"Deferrable"))</f>
        <v/>
      </c>
    </row>
    <row r="642" spans="7:26" x14ac:dyDescent="0.3">
      <c r="G642" s="27" t="str" cm="1">
        <f t="array" ref="G642">IF($A642="","",IFERROR(_xlfn.TEXTJOIN(CHAR(10)&amp;CHAR(10),TRUE,_xlfn._xlws.FILTER("•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"&amp;Cards!$L$4:$L$1000),(Cards!$A$4:$A$1000&lt;&gt;"")*ISNUMBER(SEARCH($A642,Cards!$E$4:$E$1000)))),"-"))</f>
        <v/>
      </c>
      <c r="Q642" s="30"/>
      <c r="R642" s="27" t="str">
        <f>IF(OR($A642="",LEN(TRIM($O642))=0),"",IF(OR($P642="",$Q642=""),"ระบุ Severity + Impact",IFERROR(INDEX({"Urgent","Urgent","High","High";"Urgent","High","High","Medium";"High","High","Medium","Medium";"Medium","Medium","Low","Low"},MATCH($P642,{"Critical","High","Medium","Low"},0),MATCH($Q642,{"Extensive","Significant","Moderate","Minor"},0)),"-")))</f>
        <v/>
      </c>
      <c r="S642" s="30"/>
      <c r="T642" s="30"/>
      <c r="W642" s="32" t="str">
        <f>IF($A642="","",IF(OR($M642="Out of Scope",$M642="Canceled"),"Out of Scope",IF($M642="Blocked","Blocked",IF(AND($T642&lt;&gt;"Fixed – Retest Passed",OR(LEN(TRIM($O642))&gt;0,LEN(TRIM($P642))&gt;0)),IF(AND(OR($L642="Medium",$L642="Low"),SUMPRODUCT((Cards!$A$4:$A$1000&lt;&gt;"")*ISNUMBER(SEARCH($A642,Cards!$E$4:$E$1000))*(Cards!$F$4:$F$1000&lt;&gt;"Medium")*(Cards!$F$4:$F$1000&lt;&gt;"Low"))=0),"Conditionally Passed","Failed"),IF($M642="Done","Passed","Not Run")))))</f>
        <v/>
      </c>
      <c r="Y642" s="27" t="str" cm="1">
        <f t="array" ref="Y642">IF($A642="","",IF(TRIM($B642)="","-",IFERROR(_xlfn.TEXTJOIN(" / ",TRUE,_xlfn.UNIQUE(_xlfn._xlws.FILTER('Ownership Matrix'!$C$5:$C$200,('Ownership Matrix'!$A$5:$A$200=TRIM($B642))*('Ownership Matrix'!$C$5:$C$200&lt;&gt;"")))),"ไม่พบใน Ownership Matrix")))</f>
        <v/>
      </c>
      <c r="Z642" s="31" t="str">
        <f>IF(NOT(AND($A642&lt;&gt;"",$M642&lt;&gt;"Out of Scope",$M642&lt;&gt;"Canceled",$T642&lt;&gt;"Fixed – Retest Passed",OR(LEN(TRIM($O642))&gt;0,LEN(TRIM($P642))&gt;0))),"",IF(OR($W642="Failed",$R642="Urgent",$R642="High",$R642="ระบุ Severity + Impact"),IF(COUNTIFS(Dashboard!$B$105:$B$124,$O642,Dashboard!$I$105:$I$124,"CAB")&gt;0,"Accepted (CF)","Blocking"),"Deferrable"))</f>
        <v/>
      </c>
    </row>
    <row r="643" spans="7:26" x14ac:dyDescent="0.3">
      <c r="G643" s="27" t="str" cm="1">
        <f t="array" ref="G643">IF($A643="","",IFERROR(_xlfn.TEXTJOIN(CHAR(10)&amp;CHAR(10),TRUE,_xlfn._xlws.FILTER("•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"&amp;Cards!$L$4:$L$1000),(Cards!$A$4:$A$1000&lt;&gt;"")*ISNUMBER(SEARCH($A643,Cards!$E$4:$E$1000)))),"-"))</f>
        <v/>
      </c>
      <c r="Q643" s="30"/>
      <c r="R643" s="27" t="str">
        <f>IF(OR($A643="",LEN(TRIM($O643))=0),"",IF(OR($P643="",$Q643=""),"ระบุ Severity + Impact",IFERROR(INDEX({"Urgent","Urgent","High","High";"Urgent","High","High","Medium";"High","High","Medium","Medium";"Medium","Medium","Low","Low"},MATCH($P643,{"Critical","High","Medium","Low"},0),MATCH($Q643,{"Extensive","Significant","Moderate","Minor"},0)),"-")))</f>
        <v/>
      </c>
      <c r="S643" s="30"/>
      <c r="T643" s="30"/>
      <c r="W643" s="32" t="str">
        <f>IF($A643="","",IF(OR($M643="Out of Scope",$M643="Canceled"),"Out of Scope",IF($M643="Blocked","Blocked",IF(AND($T643&lt;&gt;"Fixed – Retest Passed",OR(LEN(TRIM($O643))&gt;0,LEN(TRIM($P643))&gt;0)),IF(AND(OR($L643="Medium",$L643="Low"),SUMPRODUCT((Cards!$A$4:$A$1000&lt;&gt;"")*ISNUMBER(SEARCH($A643,Cards!$E$4:$E$1000))*(Cards!$F$4:$F$1000&lt;&gt;"Medium")*(Cards!$F$4:$F$1000&lt;&gt;"Low"))=0),"Conditionally Passed","Failed"),IF($M643="Done","Passed","Not Run")))))</f>
        <v/>
      </c>
      <c r="Y643" s="27" t="str" cm="1">
        <f t="array" ref="Y643">IF($A643="","",IF(TRIM($B643)="","-",IFERROR(_xlfn.TEXTJOIN(" / ",TRUE,_xlfn.UNIQUE(_xlfn._xlws.FILTER('Ownership Matrix'!$C$5:$C$200,('Ownership Matrix'!$A$5:$A$200=TRIM($B643))*('Ownership Matrix'!$C$5:$C$200&lt;&gt;"")))),"ไม่พบใน Ownership Matrix")))</f>
        <v/>
      </c>
      <c r="Z643" s="31" t="str">
        <f>IF(NOT(AND($A643&lt;&gt;"",$M643&lt;&gt;"Out of Scope",$M643&lt;&gt;"Canceled",$T643&lt;&gt;"Fixed – Retest Passed",OR(LEN(TRIM($O643))&gt;0,LEN(TRIM($P643))&gt;0))),"",IF(OR($W643="Failed",$R643="Urgent",$R643="High",$R643="ระบุ Severity + Impact"),IF(COUNTIFS(Dashboard!$B$105:$B$124,$O643,Dashboard!$I$105:$I$124,"CAB")&gt;0,"Accepted (CF)","Blocking"),"Deferrable"))</f>
        <v/>
      </c>
    </row>
    <row r="644" spans="7:26" x14ac:dyDescent="0.3">
      <c r="G644" s="27" t="str" cm="1">
        <f t="array" ref="G644">IF($A644="","",IFERROR(_xlfn.TEXTJOIN(CHAR(10)&amp;CHAR(10),TRUE,_xlfn._xlws.FILTER("•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"&amp;Cards!$L$4:$L$1000),(Cards!$A$4:$A$1000&lt;&gt;"")*ISNUMBER(SEARCH($A644,Cards!$E$4:$E$1000)))),"-"))</f>
        <v/>
      </c>
      <c r="Q644" s="30"/>
      <c r="R644" s="27" t="str">
        <f>IF(OR($A644="",LEN(TRIM($O644))=0),"",IF(OR($P644="",$Q644=""),"ระบุ Severity + Impact",IFERROR(INDEX({"Urgent","Urgent","High","High";"Urgent","High","High","Medium";"High","High","Medium","Medium";"Medium","Medium","Low","Low"},MATCH($P644,{"Critical","High","Medium","Low"},0),MATCH($Q644,{"Extensive","Significant","Moderate","Minor"},0)),"-")))</f>
        <v/>
      </c>
      <c r="S644" s="30"/>
      <c r="T644" s="30"/>
      <c r="W644" s="32" t="str">
        <f>IF($A644="","",IF(OR($M644="Out of Scope",$M644="Canceled"),"Out of Scope",IF($M644="Blocked","Blocked",IF(AND($T644&lt;&gt;"Fixed – Retest Passed",OR(LEN(TRIM($O644))&gt;0,LEN(TRIM($P644))&gt;0)),IF(AND(OR($L644="Medium",$L644="Low"),SUMPRODUCT((Cards!$A$4:$A$1000&lt;&gt;"")*ISNUMBER(SEARCH($A644,Cards!$E$4:$E$1000))*(Cards!$F$4:$F$1000&lt;&gt;"Medium")*(Cards!$F$4:$F$1000&lt;&gt;"Low"))=0),"Conditionally Passed","Failed"),IF($M644="Done","Passed","Not Run")))))</f>
        <v/>
      </c>
      <c r="Y644" s="27" t="str" cm="1">
        <f t="array" ref="Y644">IF($A644="","",IF(TRIM($B644)="","-",IFERROR(_xlfn.TEXTJOIN(" / ",TRUE,_xlfn.UNIQUE(_xlfn._xlws.FILTER('Ownership Matrix'!$C$5:$C$200,('Ownership Matrix'!$A$5:$A$200=TRIM($B644))*('Ownership Matrix'!$C$5:$C$200&lt;&gt;"")))),"ไม่พบใน Ownership Matrix")))</f>
        <v/>
      </c>
      <c r="Z644" s="31" t="str">
        <f>IF(NOT(AND($A644&lt;&gt;"",$M644&lt;&gt;"Out of Scope",$M644&lt;&gt;"Canceled",$T644&lt;&gt;"Fixed – Retest Passed",OR(LEN(TRIM($O644))&gt;0,LEN(TRIM($P644))&gt;0))),"",IF(OR($W644="Failed",$R644="Urgent",$R644="High",$R644="ระบุ Severity + Impact"),IF(COUNTIFS(Dashboard!$B$105:$B$124,$O644,Dashboard!$I$105:$I$124,"CAB")&gt;0,"Accepted (CF)","Blocking"),"Deferrable"))</f>
        <v/>
      </c>
    </row>
    <row r="645" spans="7:26" x14ac:dyDescent="0.3">
      <c r="G645" s="27" t="str" cm="1">
        <f t="array" ref="G645">IF($A645="","",IFERROR(_xlfn.TEXTJOIN(CHAR(10)&amp;CHAR(10),TRUE,_xlfn._xlws.FILTER("•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"&amp;Cards!$L$4:$L$1000),(Cards!$A$4:$A$1000&lt;&gt;"")*ISNUMBER(SEARCH($A645,Cards!$E$4:$E$1000)))),"-"))</f>
        <v/>
      </c>
      <c r="Q645" s="30"/>
      <c r="R645" s="27" t="str">
        <f>IF(OR($A645="",LEN(TRIM($O645))=0),"",IF(OR($P645="",$Q645=""),"ระบุ Severity + Impact",IFERROR(INDEX({"Urgent","Urgent","High","High";"Urgent","High","High","Medium";"High","High","Medium","Medium";"Medium","Medium","Low","Low"},MATCH($P645,{"Critical","High","Medium","Low"},0),MATCH($Q645,{"Extensive","Significant","Moderate","Minor"},0)),"-")))</f>
        <v/>
      </c>
      <c r="S645" s="30"/>
      <c r="T645" s="30"/>
      <c r="W645" s="32" t="str">
        <f>IF($A645="","",IF(OR($M645="Out of Scope",$M645="Canceled"),"Out of Scope",IF($M645="Blocked","Blocked",IF(AND($T645&lt;&gt;"Fixed – Retest Passed",OR(LEN(TRIM($O645))&gt;0,LEN(TRIM($P645))&gt;0)),IF(AND(OR($L645="Medium",$L645="Low"),SUMPRODUCT((Cards!$A$4:$A$1000&lt;&gt;"")*ISNUMBER(SEARCH($A645,Cards!$E$4:$E$1000))*(Cards!$F$4:$F$1000&lt;&gt;"Medium")*(Cards!$F$4:$F$1000&lt;&gt;"Low"))=0),"Conditionally Passed","Failed"),IF($M645="Done","Passed","Not Run")))))</f>
        <v/>
      </c>
      <c r="Y645" s="27" t="str" cm="1">
        <f t="array" ref="Y645">IF($A645="","",IF(TRIM($B645)="","-",IFERROR(_xlfn.TEXTJOIN(" / ",TRUE,_xlfn.UNIQUE(_xlfn._xlws.FILTER('Ownership Matrix'!$C$5:$C$200,('Ownership Matrix'!$A$5:$A$200=TRIM($B645))*('Ownership Matrix'!$C$5:$C$200&lt;&gt;"")))),"ไม่พบใน Ownership Matrix")))</f>
        <v/>
      </c>
      <c r="Z645" s="31" t="str">
        <f>IF(NOT(AND($A645&lt;&gt;"",$M645&lt;&gt;"Out of Scope",$M645&lt;&gt;"Canceled",$T645&lt;&gt;"Fixed – Retest Passed",OR(LEN(TRIM($O645))&gt;0,LEN(TRIM($P645))&gt;0))),"",IF(OR($W645="Failed",$R645="Urgent",$R645="High",$R645="ระบุ Severity + Impact"),IF(COUNTIFS(Dashboard!$B$105:$B$124,$O645,Dashboard!$I$105:$I$124,"CAB")&gt;0,"Accepted (CF)","Blocking"),"Deferrable"))</f>
        <v/>
      </c>
    </row>
    <row r="646" spans="7:26" x14ac:dyDescent="0.3">
      <c r="G646" s="27" t="str" cm="1">
        <f t="array" ref="G646">IF($A646="","",IFERROR(_xlfn.TEXTJOIN(CHAR(10)&amp;CHAR(10),TRUE,_xlfn._xlws.FILTER("•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"&amp;Cards!$L$4:$L$1000),(Cards!$A$4:$A$1000&lt;&gt;"")*ISNUMBER(SEARCH($A646,Cards!$E$4:$E$1000)))),"-"))</f>
        <v/>
      </c>
      <c r="Q646" s="30"/>
      <c r="R646" s="27" t="str">
        <f>IF(OR($A646="",LEN(TRIM($O646))=0),"",IF(OR($P646="",$Q646=""),"ระบุ Severity + Impact",IFERROR(INDEX({"Urgent","Urgent","High","High";"Urgent","High","High","Medium";"High","High","Medium","Medium";"Medium","Medium","Low","Low"},MATCH($P646,{"Critical","High","Medium","Low"},0),MATCH($Q646,{"Extensive","Significant","Moderate","Minor"},0)),"-")))</f>
        <v/>
      </c>
      <c r="S646" s="30"/>
      <c r="T646" s="30"/>
      <c r="W646" s="32" t="str">
        <f>IF($A646="","",IF(OR($M646="Out of Scope",$M646="Canceled"),"Out of Scope",IF($M646="Blocked","Blocked",IF(AND($T646&lt;&gt;"Fixed – Retest Passed",OR(LEN(TRIM($O646))&gt;0,LEN(TRIM($P646))&gt;0)),IF(AND(OR($L646="Medium",$L646="Low"),SUMPRODUCT((Cards!$A$4:$A$1000&lt;&gt;"")*ISNUMBER(SEARCH($A646,Cards!$E$4:$E$1000))*(Cards!$F$4:$F$1000&lt;&gt;"Medium")*(Cards!$F$4:$F$1000&lt;&gt;"Low"))=0),"Conditionally Passed","Failed"),IF($M646="Done","Passed","Not Run")))))</f>
        <v/>
      </c>
      <c r="Y646" s="27" t="str" cm="1">
        <f t="array" ref="Y646">IF($A646="","",IF(TRIM($B646)="","-",IFERROR(_xlfn.TEXTJOIN(" / ",TRUE,_xlfn.UNIQUE(_xlfn._xlws.FILTER('Ownership Matrix'!$C$5:$C$200,('Ownership Matrix'!$A$5:$A$200=TRIM($B646))*('Ownership Matrix'!$C$5:$C$200&lt;&gt;"")))),"ไม่พบใน Ownership Matrix")))</f>
        <v/>
      </c>
      <c r="Z646" s="31" t="str">
        <f>IF(NOT(AND($A646&lt;&gt;"",$M646&lt;&gt;"Out of Scope",$M646&lt;&gt;"Canceled",$T646&lt;&gt;"Fixed – Retest Passed",OR(LEN(TRIM($O646))&gt;0,LEN(TRIM($P646))&gt;0))),"",IF(OR($W646="Failed",$R646="Urgent",$R646="High",$R646="ระบุ Severity + Impact"),IF(COUNTIFS(Dashboard!$B$105:$B$124,$O646,Dashboard!$I$105:$I$124,"CAB")&gt;0,"Accepted (CF)","Blocking"),"Deferrable"))</f>
        <v/>
      </c>
    </row>
    <row r="647" spans="7:26" x14ac:dyDescent="0.3">
      <c r="G647" s="27" t="str" cm="1">
        <f t="array" ref="G647">IF($A647="","",IFERROR(_xlfn.TEXTJOIN(CHAR(10)&amp;CHAR(10),TRUE,_xlfn._xlws.FILTER("•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"&amp;Cards!$L$4:$L$1000),(Cards!$A$4:$A$1000&lt;&gt;"")*ISNUMBER(SEARCH($A647,Cards!$E$4:$E$1000)))),"-"))</f>
        <v/>
      </c>
      <c r="Q647" s="30"/>
      <c r="R647" s="27" t="str">
        <f>IF(OR($A647="",LEN(TRIM($O647))=0),"",IF(OR($P647="",$Q647=""),"ระบุ Severity + Impact",IFERROR(INDEX({"Urgent","Urgent","High","High";"Urgent","High","High","Medium";"High","High","Medium","Medium";"Medium","Medium","Low","Low"},MATCH($P647,{"Critical","High","Medium","Low"},0),MATCH($Q647,{"Extensive","Significant","Moderate","Minor"},0)),"-")))</f>
        <v/>
      </c>
      <c r="S647" s="30"/>
      <c r="T647" s="30"/>
      <c r="W647" s="32" t="str">
        <f>IF($A647="","",IF(OR($M647="Out of Scope",$M647="Canceled"),"Out of Scope",IF($M647="Blocked","Blocked",IF(AND($T647&lt;&gt;"Fixed – Retest Passed",OR(LEN(TRIM($O647))&gt;0,LEN(TRIM($P647))&gt;0)),IF(AND(OR($L647="Medium",$L647="Low"),SUMPRODUCT((Cards!$A$4:$A$1000&lt;&gt;"")*ISNUMBER(SEARCH($A647,Cards!$E$4:$E$1000))*(Cards!$F$4:$F$1000&lt;&gt;"Medium")*(Cards!$F$4:$F$1000&lt;&gt;"Low"))=0),"Conditionally Passed","Failed"),IF($M647="Done","Passed","Not Run")))))</f>
        <v/>
      </c>
      <c r="Y647" s="27" t="str" cm="1">
        <f t="array" ref="Y647">IF($A647="","",IF(TRIM($B647)="","-",IFERROR(_xlfn.TEXTJOIN(" / ",TRUE,_xlfn.UNIQUE(_xlfn._xlws.FILTER('Ownership Matrix'!$C$5:$C$200,('Ownership Matrix'!$A$5:$A$200=TRIM($B647))*('Ownership Matrix'!$C$5:$C$200&lt;&gt;"")))),"ไม่พบใน Ownership Matrix")))</f>
        <v/>
      </c>
      <c r="Z647" s="31" t="str">
        <f>IF(NOT(AND($A647&lt;&gt;"",$M647&lt;&gt;"Out of Scope",$M647&lt;&gt;"Canceled",$T647&lt;&gt;"Fixed – Retest Passed",OR(LEN(TRIM($O647))&gt;0,LEN(TRIM($P647))&gt;0))),"",IF(OR($W647="Failed",$R647="Urgent",$R647="High",$R647="ระบุ Severity + Impact"),IF(COUNTIFS(Dashboard!$B$105:$B$124,$O647,Dashboard!$I$105:$I$124,"CAB")&gt;0,"Accepted (CF)","Blocking"),"Deferrable"))</f>
        <v/>
      </c>
    </row>
    <row r="648" spans="7:26" x14ac:dyDescent="0.3">
      <c r="G648" s="27" t="str" cm="1">
        <f t="array" ref="G648">IF($A648="","",IFERROR(_xlfn.TEXTJOIN(CHAR(10)&amp;CHAR(10),TRUE,_xlfn._xlws.FILTER("•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"&amp;Cards!$L$4:$L$1000),(Cards!$A$4:$A$1000&lt;&gt;"")*ISNUMBER(SEARCH($A648,Cards!$E$4:$E$1000)))),"-"))</f>
        <v/>
      </c>
      <c r="Q648" s="30"/>
      <c r="R648" s="27" t="str">
        <f>IF(OR($A648="",LEN(TRIM($O648))=0),"",IF(OR($P648="",$Q648=""),"ระบุ Severity + Impact",IFERROR(INDEX({"Urgent","Urgent","High","High";"Urgent","High","High","Medium";"High","High","Medium","Medium";"Medium","Medium","Low","Low"},MATCH($P648,{"Critical","High","Medium","Low"},0),MATCH($Q648,{"Extensive","Significant","Moderate","Minor"},0)),"-")))</f>
        <v/>
      </c>
      <c r="S648" s="30"/>
      <c r="T648" s="30"/>
      <c r="W648" s="32" t="str">
        <f>IF($A648="","",IF(OR($M648="Out of Scope",$M648="Canceled"),"Out of Scope",IF($M648="Blocked","Blocked",IF(AND($T648&lt;&gt;"Fixed – Retest Passed",OR(LEN(TRIM($O648))&gt;0,LEN(TRIM($P648))&gt;0)),IF(AND(OR($L648="Medium",$L648="Low"),SUMPRODUCT((Cards!$A$4:$A$1000&lt;&gt;"")*ISNUMBER(SEARCH($A648,Cards!$E$4:$E$1000))*(Cards!$F$4:$F$1000&lt;&gt;"Medium")*(Cards!$F$4:$F$1000&lt;&gt;"Low"))=0),"Conditionally Passed","Failed"),IF($M648="Done","Passed","Not Run")))))</f>
        <v/>
      </c>
      <c r="Y648" s="27" t="str" cm="1">
        <f t="array" ref="Y648">IF($A648="","",IF(TRIM($B648)="","-",IFERROR(_xlfn.TEXTJOIN(" / ",TRUE,_xlfn.UNIQUE(_xlfn._xlws.FILTER('Ownership Matrix'!$C$5:$C$200,('Ownership Matrix'!$A$5:$A$200=TRIM($B648))*('Ownership Matrix'!$C$5:$C$200&lt;&gt;"")))),"ไม่พบใน Ownership Matrix")))</f>
        <v/>
      </c>
      <c r="Z648" s="31" t="str">
        <f>IF(NOT(AND($A648&lt;&gt;"",$M648&lt;&gt;"Out of Scope",$M648&lt;&gt;"Canceled",$T648&lt;&gt;"Fixed – Retest Passed",OR(LEN(TRIM($O648))&gt;0,LEN(TRIM($P648))&gt;0))),"",IF(OR($W648="Failed",$R648="Urgent",$R648="High",$R648="ระบุ Severity + Impact"),IF(COUNTIFS(Dashboard!$B$105:$B$124,$O648,Dashboard!$I$105:$I$124,"CAB")&gt;0,"Accepted (CF)","Blocking"),"Deferrable"))</f>
        <v/>
      </c>
    </row>
    <row r="649" spans="7:26" x14ac:dyDescent="0.3">
      <c r="G649" s="27" t="str" cm="1">
        <f t="array" ref="G649">IF($A649="","",IFERROR(_xlfn.TEXTJOIN(CHAR(10)&amp;CHAR(10),TRUE,_xlfn._xlws.FILTER("•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"&amp;Cards!$L$4:$L$1000),(Cards!$A$4:$A$1000&lt;&gt;"")*ISNUMBER(SEARCH($A649,Cards!$E$4:$E$1000)))),"-"))</f>
        <v/>
      </c>
      <c r="Q649" s="30"/>
      <c r="R649" s="27" t="str">
        <f>IF(OR($A649="",LEN(TRIM($O649))=0),"",IF(OR($P649="",$Q649=""),"ระบุ Severity + Impact",IFERROR(INDEX({"Urgent","Urgent","High","High";"Urgent","High","High","Medium";"High","High","Medium","Medium";"Medium","Medium","Low","Low"},MATCH($P649,{"Critical","High","Medium","Low"},0),MATCH($Q649,{"Extensive","Significant","Moderate","Minor"},0)),"-")))</f>
        <v/>
      </c>
      <c r="S649" s="30"/>
      <c r="T649" s="30"/>
      <c r="W649" s="32" t="str">
        <f>IF($A649="","",IF(OR($M649="Out of Scope",$M649="Canceled"),"Out of Scope",IF($M649="Blocked","Blocked",IF(AND($T649&lt;&gt;"Fixed – Retest Passed",OR(LEN(TRIM($O649))&gt;0,LEN(TRIM($P649))&gt;0)),IF(AND(OR($L649="Medium",$L649="Low"),SUMPRODUCT((Cards!$A$4:$A$1000&lt;&gt;"")*ISNUMBER(SEARCH($A649,Cards!$E$4:$E$1000))*(Cards!$F$4:$F$1000&lt;&gt;"Medium")*(Cards!$F$4:$F$1000&lt;&gt;"Low"))=0),"Conditionally Passed","Failed"),IF($M649="Done","Passed","Not Run")))))</f>
        <v/>
      </c>
      <c r="Y649" s="27" t="str" cm="1">
        <f t="array" ref="Y649">IF($A649="","",IF(TRIM($B649)="","-",IFERROR(_xlfn.TEXTJOIN(" / ",TRUE,_xlfn.UNIQUE(_xlfn._xlws.FILTER('Ownership Matrix'!$C$5:$C$200,('Ownership Matrix'!$A$5:$A$200=TRIM($B649))*('Ownership Matrix'!$C$5:$C$200&lt;&gt;"")))),"ไม่พบใน Ownership Matrix")))</f>
        <v/>
      </c>
      <c r="Z649" s="31" t="str">
        <f>IF(NOT(AND($A649&lt;&gt;"",$M649&lt;&gt;"Out of Scope",$M649&lt;&gt;"Canceled",$T649&lt;&gt;"Fixed – Retest Passed",OR(LEN(TRIM($O649))&gt;0,LEN(TRIM($P649))&gt;0))),"",IF(OR($W649="Failed",$R649="Urgent",$R649="High",$R649="ระบุ Severity + Impact"),IF(COUNTIFS(Dashboard!$B$105:$B$124,$O649,Dashboard!$I$105:$I$124,"CAB")&gt;0,"Accepted (CF)","Blocking"),"Deferrable"))</f>
        <v/>
      </c>
    </row>
    <row r="650" spans="7:26" x14ac:dyDescent="0.3">
      <c r="G650" s="27" t="str" cm="1">
        <f t="array" ref="G650">IF($A650="","",IFERROR(_xlfn.TEXTJOIN(CHAR(10)&amp;CHAR(10),TRUE,_xlfn._xlws.FILTER("•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"&amp;Cards!$L$4:$L$1000),(Cards!$A$4:$A$1000&lt;&gt;"")*ISNUMBER(SEARCH($A650,Cards!$E$4:$E$1000)))),"-"))</f>
        <v/>
      </c>
      <c r="Q650" s="30"/>
      <c r="R650" s="27" t="str">
        <f>IF(OR($A650="",LEN(TRIM($O650))=0),"",IF(OR($P650="",$Q650=""),"ระบุ Severity + Impact",IFERROR(INDEX({"Urgent","Urgent","High","High";"Urgent","High","High","Medium";"High","High","Medium","Medium";"Medium","Medium","Low","Low"},MATCH($P650,{"Critical","High","Medium","Low"},0),MATCH($Q650,{"Extensive","Significant","Moderate","Minor"},0)),"-")))</f>
        <v/>
      </c>
      <c r="S650" s="30"/>
      <c r="T650" s="30"/>
      <c r="W650" s="32" t="str">
        <f>IF($A650="","",IF(OR($M650="Out of Scope",$M650="Canceled"),"Out of Scope",IF($M650="Blocked","Blocked",IF(AND($T650&lt;&gt;"Fixed – Retest Passed",OR(LEN(TRIM($O650))&gt;0,LEN(TRIM($P650))&gt;0)),IF(AND(OR($L650="Medium",$L650="Low"),SUMPRODUCT((Cards!$A$4:$A$1000&lt;&gt;"")*ISNUMBER(SEARCH($A650,Cards!$E$4:$E$1000))*(Cards!$F$4:$F$1000&lt;&gt;"Medium")*(Cards!$F$4:$F$1000&lt;&gt;"Low"))=0),"Conditionally Passed","Failed"),IF($M650="Done","Passed","Not Run")))))</f>
        <v/>
      </c>
      <c r="Y650" s="27" t="str" cm="1">
        <f t="array" ref="Y650">IF($A650="","",IF(TRIM($B650)="","-",IFERROR(_xlfn.TEXTJOIN(" / ",TRUE,_xlfn.UNIQUE(_xlfn._xlws.FILTER('Ownership Matrix'!$C$5:$C$200,('Ownership Matrix'!$A$5:$A$200=TRIM($B650))*('Ownership Matrix'!$C$5:$C$200&lt;&gt;"")))),"ไม่พบใน Ownership Matrix")))</f>
        <v/>
      </c>
      <c r="Z650" s="31" t="str">
        <f>IF(NOT(AND($A650&lt;&gt;"",$M650&lt;&gt;"Out of Scope",$M650&lt;&gt;"Canceled",$T650&lt;&gt;"Fixed – Retest Passed",OR(LEN(TRIM($O650))&gt;0,LEN(TRIM($P650))&gt;0))),"",IF(OR($W650="Failed",$R650="Urgent",$R650="High",$R650="ระบุ Severity + Impact"),IF(COUNTIFS(Dashboard!$B$105:$B$124,$O650,Dashboard!$I$105:$I$124,"CAB")&gt;0,"Accepted (CF)","Blocking"),"Deferrable"))</f>
        <v/>
      </c>
    </row>
    <row r="651" spans="7:26" x14ac:dyDescent="0.3">
      <c r="G651" s="27" t="str" cm="1">
        <f t="array" ref="G651">IF($A651="","",IFERROR(_xlfn.TEXTJOIN(CHAR(10)&amp;CHAR(10),TRUE,_xlfn._xlws.FILTER("•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"&amp;Cards!$L$4:$L$1000),(Cards!$A$4:$A$1000&lt;&gt;"")*ISNUMBER(SEARCH($A651,Cards!$E$4:$E$1000)))),"-"))</f>
        <v/>
      </c>
      <c r="Q651" s="30"/>
      <c r="R651" s="27" t="str">
        <f>IF(OR($A651="",LEN(TRIM($O651))=0),"",IF(OR($P651="",$Q651=""),"ระบุ Severity + Impact",IFERROR(INDEX({"Urgent","Urgent","High","High";"Urgent","High","High","Medium";"High","High","Medium","Medium";"Medium","Medium","Low","Low"},MATCH($P651,{"Critical","High","Medium","Low"},0),MATCH($Q651,{"Extensive","Significant","Moderate","Minor"},0)),"-")))</f>
        <v/>
      </c>
      <c r="S651" s="30"/>
      <c r="T651" s="30"/>
      <c r="W651" s="32" t="str">
        <f>IF($A651="","",IF(OR($M651="Out of Scope",$M651="Canceled"),"Out of Scope",IF($M651="Blocked","Blocked",IF(AND($T651&lt;&gt;"Fixed – Retest Passed",OR(LEN(TRIM($O651))&gt;0,LEN(TRIM($P651))&gt;0)),IF(AND(OR($L651="Medium",$L651="Low"),SUMPRODUCT((Cards!$A$4:$A$1000&lt;&gt;"")*ISNUMBER(SEARCH($A651,Cards!$E$4:$E$1000))*(Cards!$F$4:$F$1000&lt;&gt;"Medium")*(Cards!$F$4:$F$1000&lt;&gt;"Low"))=0),"Conditionally Passed","Failed"),IF($M651="Done","Passed","Not Run")))))</f>
        <v/>
      </c>
      <c r="Y651" s="27" t="str" cm="1">
        <f t="array" ref="Y651">IF($A651="","",IF(TRIM($B651)="","-",IFERROR(_xlfn.TEXTJOIN(" / ",TRUE,_xlfn.UNIQUE(_xlfn._xlws.FILTER('Ownership Matrix'!$C$5:$C$200,('Ownership Matrix'!$A$5:$A$200=TRIM($B651))*('Ownership Matrix'!$C$5:$C$200&lt;&gt;"")))),"ไม่พบใน Ownership Matrix")))</f>
        <v/>
      </c>
      <c r="Z651" s="31" t="str">
        <f>IF(NOT(AND($A651&lt;&gt;"",$M651&lt;&gt;"Out of Scope",$M651&lt;&gt;"Canceled",$T651&lt;&gt;"Fixed – Retest Passed",OR(LEN(TRIM($O651))&gt;0,LEN(TRIM($P651))&gt;0))),"",IF(OR($W651="Failed",$R651="Urgent",$R651="High",$R651="ระบุ Severity + Impact"),IF(COUNTIFS(Dashboard!$B$105:$B$124,$O651,Dashboard!$I$105:$I$124,"CAB")&gt;0,"Accepted (CF)","Blocking"),"Deferrable"))</f>
        <v/>
      </c>
    </row>
    <row r="652" spans="7:26" x14ac:dyDescent="0.3">
      <c r="G652" s="27" t="str" cm="1">
        <f t="array" ref="G652">IF($A652="","",IFERROR(_xlfn.TEXTJOIN(CHAR(10)&amp;CHAR(10),TRUE,_xlfn._xlws.FILTER("•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"&amp;Cards!$L$4:$L$1000),(Cards!$A$4:$A$1000&lt;&gt;"")*ISNUMBER(SEARCH($A652,Cards!$E$4:$E$1000)))),"-"))</f>
        <v/>
      </c>
      <c r="Q652" s="30"/>
      <c r="R652" s="27" t="str">
        <f>IF(OR($A652="",LEN(TRIM($O652))=0),"",IF(OR($P652="",$Q652=""),"ระบุ Severity + Impact",IFERROR(INDEX({"Urgent","Urgent","High","High";"Urgent","High","High","Medium";"High","High","Medium","Medium";"Medium","Medium","Low","Low"},MATCH($P652,{"Critical","High","Medium","Low"},0),MATCH($Q652,{"Extensive","Significant","Moderate","Minor"},0)),"-")))</f>
        <v/>
      </c>
      <c r="S652" s="30"/>
      <c r="T652" s="30"/>
      <c r="W652" s="32" t="str">
        <f>IF($A652="","",IF(OR($M652="Out of Scope",$M652="Canceled"),"Out of Scope",IF($M652="Blocked","Blocked",IF(AND($T652&lt;&gt;"Fixed – Retest Passed",OR(LEN(TRIM($O652))&gt;0,LEN(TRIM($P652))&gt;0)),IF(AND(OR($L652="Medium",$L652="Low"),SUMPRODUCT((Cards!$A$4:$A$1000&lt;&gt;"")*ISNUMBER(SEARCH($A652,Cards!$E$4:$E$1000))*(Cards!$F$4:$F$1000&lt;&gt;"Medium")*(Cards!$F$4:$F$1000&lt;&gt;"Low"))=0),"Conditionally Passed","Failed"),IF($M652="Done","Passed","Not Run")))))</f>
        <v/>
      </c>
      <c r="Y652" s="27" t="str" cm="1">
        <f t="array" ref="Y652">IF($A652="","",IF(TRIM($B652)="","-",IFERROR(_xlfn.TEXTJOIN(" / ",TRUE,_xlfn.UNIQUE(_xlfn._xlws.FILTER('Ownership Matrix'!$C$5:$C$200,('Ownership Matrix'!$A$5:$A$200=TRIM($B652))*('Ownership Matrix'!$C$5:$C$200&lt;&gt;"")))),"ไม่พบใน Ownership Matrix")))</f>
        <v/>
      </c>
      <c r="Z652" s="31" t="str">
        <f>IF(NOT(AND($A652&lt;&gt;"",$M652&lt;&gt;"Out of Scope",$M652&lt;&gt;"Canceled",$T652&lt;&gt;"Fixed – Retest Passed",OR(LEN(TRIM($O652))&gt;0,LEN(TRIM($P652))&gt;0))),"",IF(OR($W652="Failed",$R652="Urgent",$R652="High",$R652="ระบุ Severity + Impact"),IF(COUNTIFS(Dashboard!$B$105:$B$124,$O652,Dashboard!$I$105:$I$124,"CAB")&gt;0,"Accepted (CF)","Blocking"),"Deferrable"))</f>
        <v/>
      </c>
    </row>
    <row r="653" spans="7:26" x14ac:dyDescent="0.3">
      <c r="G653" s="27" t="str" cm="1">
        <f t="array" ref="G653">IF($A653="","",IFERROR(_xlfn.TEXTJOIN(CHAR(10)&amp;CHAR(10),TRUE,_xlfn._xlws.FILTER("•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"&amp;Cards!$L$4:$L$1000),(Cards!$A$4:$A$1000&lt;&gt;"")*ISNUMBER(SEARCH($A653,Cards!$E$4:$E$1000)))),"-"))</f>
        <v/>
      </c>
      <c r="Q653" s="30"/>
      <c r="R653" s="27" t="str">
        <f>IF(OR($A653="",LEN(TRIM($O653))=0),"",IF(OR($P653="",$Q653=""),"ระบุ Severity + Impact",IFERROR(INDEX({"Urgent","Urgent","High","High";"Urgent","High","High","Medium";"High","High","Medium","Medium";"Medium","Medium","Low","Low"},MATCH($P653,{"Critical","High","Medium","Low"},0),MATCH($Q653,{"Extensive","Significant","Moderate","Minor"},0)),"-")))</f>
        <v/>
      </c>
      <c r="S653" s="30"/>
      <c r="T653" s="30"/>
      <c r="W653" s="32" t="str">
        <f>IF($A653="","",IF(OR($M653="Out of Scope",$M653="Canceled"),"Out of Scope",IF($M653="Blocked","Blocked",IF(AND($T653&lt;&gt;"Fixed – Retest Passed",OR(LEN(TRIM($O653))&gt;0,LEN(TRIM($P653))&gt;0)),IF(AND(OR($L653="Medium",$L653="Low"),SUMPRODUCT((Cards!$A$4:$A$1000&lt;&gt;"")*ISNUMBER(SEARCH($A653,Cards!$E$4:$E$1000))*(Cards!$F$4:$F$1000&lt;&gt;"Medium")*(Cards!$F$4:$F$1000&lt;&gt;"Low"))=0),"Conditionally Passed","Failed"),IF($M653="Done","Passed","Not Run")))))</f>
        <v/>
      </c>
      <c r="Y653" s="27" t="str" cm="1">
        <f t="array" ref="Y653">IF($A653="","",IF(TRIM($B653)="","-",IFERROR(_xlfn.TEXTJOIN(" / ",TRUE,_xlfn.UNIQUE(_xlfn._xlws.FILTER('Ownership Matrix'!$C$5:$C$200,('Ownership Matrix'!$A$5:$A$200=TRIM($B653))*('Ownership Matrix'!$C$5:$C$200&lt;&gt;"")))),"ไม่พบใน Ownership Matrix")))</f>
        <v/>
      </c>
      <c r="Z653" s="31" t="str">
        <f>IF(NOT(AND($A653&lt;&gt;"",$M653&lt;&gt;"Out of Scope",$M653&lt;&gt;"Canceled",$T653&lt;&gt;"Fixed – Retest Passed",OR(LEN(TRIM($O653))&gt;0,LEN(TRIM($P653))&gt;0))),"",IF(OR($W653="Failed",$R653="Urgent",$R653="High",$R653="ระบุ Severity + Impact"),IF(COUNTIFS(Dashboard!$B$105:$B$124,$O653,Dashboard!$I$105:$I$124,"CAB")&gt;0,"Accepted (CF)","Blocking"),"Deferrable"))</f>
        <v/>
      </c>
    </row>
    <row r="654" spans="7:26" x14ac:dyDescent="0.3">
      <c r="G654" s="27" t="str" cm="1">
        <f t="array" ref="G654">IF($A654="","",IFERROR(_xlfn.TEXTJOIN(CHAR(10)&amp;CHAR(10),TRUE,_xlfn._xlws.FILTER("•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"&amp;Cards!$L$4:$L$1000),(Cards!$A$4:$A$1000&lt;&gt;"")*ISNUMBER(SEARCH($A654,Cards!$E$4:$E$1000)))),"-"))</f>
        <v/>
      </c>
      <c r="Q654" s="30"/>
      <c r="R654" s="27" t="str">
        <f>IF(OR($A654="",LEN(TRIM($O654))=0),"",IF(OR($P654="",$Q654=""),"ระบุ Severity + Impact",IFERROR(INDEX({"Urgent","Urgent","High","High";"Urgent","High","High","Medium";"High","High","Medium","Medium";"Medium","Medium","Low","Low"},MATCH($P654,{"Critical","High","Medium","Low"},0),MATCH($Q654,{"Extensive","Significant","Moderate","Minor"},0)),"-")))</f>
        <v/>
      </c>
      <c r="S654" s="30"/>
      <c r="T654" s="30"/>
      <c r="W654" s="32" t="str">
        <f>IF($A654="","",IF(OR($M654="Out of Scope",$M654="Canceled"),"Out of Scope",IF($M654="Blocked","Blocked",IF(AND($T654&lt;&gt;"Fixed – Retest Passed",OR(LEN(TRIM($O654))&gt;0,LEN(TRIM($P654))&gt;0)),IF(AND(OR($L654="Medium",$L654="Low"),SUMPRODUCT((Cards!$A$4:$A$1000&lt;&gt;"")*ISNUMBER(SEARCH($A654,Cards!$E$4:$E$1000))*(Cards!$F$4:$F$1000&lt;&gt;"Medium")*(Cards!$F$4:$F$1000&lt;&gt;"Low"))=0),"Conditionally Passed","Failed"),IF($M654="Done","Passed","Not Run")))))</f>
        <v/>
      </c>
      <c r="Y654" s="27" t="str" cm="1">
        <f t="array" ref="Y654">IF($A654="","",IF(TRIM($B654)="","-",IFERROR(_xlfn.TEXTJOIN(" / ",TRUE,_xlfn.UNIQUE(_xlfn._xlws.FILTER('Ownership Matrix'!$C$5:$C$200,('Ownership Matrix'!$A$5:$A$200=TRIM($B654))*('Ownership Matrix'!$C$5:$C$200&lt;&gt;"")))),"ไม่พบใน Ownership Matrix")))</f>
        <v/>
      </c>
      <c r="Z654" s="31" t="str">
        <f>IF(NOT(AND($A654&lt;&gt;"",$M654&lt;&gt;"Out of Scope",$M654&lt;&gt;"Canceled",$T654&lt;&gt;"Fixed – Retest Passed",OR(LEN(TRIM($O654))&gt;0,LEN(TRIM($P654))&gt;0))),"",IF(OR($W654="Failed",$R654="Urgent",$R654="High",$R654="ระบุ Severity + Impact"),IF(COUNTIFS(Dashboard!$B$105:$B$124,$O654,Dashboard!$I$105:$I$124,"CAB")&gt;0,"Accepted (CF)","Blocking"),"Deferrable"))</f>
        <v/>
      </c>
    </row>
    <row r="655" spans="7:26" x14ac:dyDescent="0.3">
      <c r="G655" s="27" t="str" cm="1">
        <f t="array" ref="G655">IF($A655="","",IFERROR(_xlfn.TEXTJOIN(CHAR(10)&amp;CHAR(10),TRUE,_xlfn._xlws.FILTER("•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"&amp;Cards!$L$4:$L$1000),(Cards!$A$4:$A$1000&lt;&gt;"")*ISNUMBER(SEARCH($A655,Cards!$E$4:$E$1000)))),"-"))</f>
        <v/>
      </c>
      <c r="Q655" s="30"/>
      <c r="R655" s="27" t="str">
        <f>IF(OR($A655="",LEN(TRIM($O655))=0),"",IF(OR($P655="",$Q655=""),"ระบุ Severity + Impact",IFERROR(INDEX({"Urgent","Urgent","High","High";"Urgent","High","High","Medium";"High","High","Medium","Medium";"Medium","Medium","Low","Low"},MATCH($P655,{"Critical","High","Medium","Low"},0),MATCH($Q655,{"Extensive","Significant","Moderate","Minor"},0)),"-")))</f>
        <v/>
      </c>
      <c r="S655" s="30"/>
      <c r="T655" s="30"/>
      <c r="W655" s="32" t="str">
        <f>IF($A655="","",IF(OR($M655="Out of Scope",$M655="Canceled"),"Out of Scope",IF($M655="Blocked","Blocked",IF(AND($T655&lt;&gt;"Fixed – Retest Passed",OR(LEN(TRIM($O655))&gt;0,LEN(TRIM($P655))&gt;0)),IF(AND(OR($L655="Medium",$L655="Low"),SUMPRODUCT((Cards!$A$4:$A$1000&lt;&gt;"")*ISNUMBER(SEARCH($A655,Cards!$E$4:$E$1000))*(Cards!$F$4:$F$1000&lt;&gt;"Medium")*(Cards!$F$4:$F$1000&lt;&gt;"Low"))=0),"Conditionally Passed","Failed"),IF($M655="Done","Passed","Not Run")))))</f>
        <v/>
      </c>
      <c r="Y655" s="27" t="str" cm="1">
        <f t="array" ref="Y655">IF($A655="","",IF(TRIM($B655)="","-",IFERROR(_xlfn.TEXTJOIN(" / ",TRUE,_xlfn.UNIQUE(_xlfn._xlws.FILTER('Ownership Matrix'!$C$5:$C$200,('Ownership Matrix'!$A$5:$A$200=TRIM($B655))*('Ownership Matrix'!$C$5:$C$200&lt;&gt;"")))),"ไม่พบใน Ownership Matrix")))</f>
        <v/>
      </c>
      <c r="Z655" s="31" t="str">
        <f>IF(NOT(AND($A655&lt;&gt;"",$M655&lt;&gt;"Out of Scope",$M655&lt;&gt;"Canceled",$T655&lt;&gt;"Fixed – Retest Passed",OR(LEN(TRIM($O655))&gt;0,LEN(TRIM($P655))&gt;0))),"",IF(OR($W655="Failed",$R655="Urgent",$R655="High",$R655="ระบุ Severity + Impact"),IF(COUNTIFS(Dashboard!$B$105:$B$124,$O655,Dashboard!$I$105:$I$124,"CAB")&gt;0,"Accepted (CF)","Blocking"),"Deferrable"))</f>
        <v/>
      </c>
    </row>
    <row r="656" spans="7:26" x14ac:dyDescent="0.3">
      <c r="G656" s="27" t="str" cm="1">
        <f t="array" ref="G656">IF($A656="","",IFERROR(_xlfn.TEXTJOIN(CHAR(10)&amp;CHAR(10),TRUE,_xlfn._xlws.FILTER("•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"&amp;Cards!$L$4:$L$1000),(Cards!$A$4:$A$1000&lt;&gt;"")*ISNUMBER(SEARCH($A656,Cards!$E$4:$E$1000)))),"-"))</f>
        <v/>
      </c>
      <c r="Q656" s="30"/>
      <c r="R656" s="27" t="str">
        <f>IF(OR($A656="",LEN(TRIM($O656))=0),"",IF(OR($P656="",$Q656=""),"ระบุ Severity + Impact",IFERROR(INDEX({"Urgent","Urgent","High","High";"Urgent","High","High","Medium";"High","High","Medium","Medium";"Medium","Medium","Low","Low"},MATCH($P656,{"Critical","High","Medium","Low"},0),MATCH($Q656,{"Extensive","Significant","Moderate","Minor"},0)),"-")))</f>
        <v/>
      </c>
      <c r="S656" s="30"/>
      <c r="T656" s="30"/>
      <c r="W656" s="32" t="str">
        <f>IF($A656="","",IF(OR($M656="Out of Scope",$M656="Canceled"),"Out of Scope",IF($M656="Blocked","Blocked",IF(AND($T656&lt;&gt;"Fixed – Retest Passed",OR(LEN(TRIM($O656))&gt;0,LEN(TRIM($P656))&gt;0)),IF(AND(OR($L656="Medium",$L656="Low"),SUMPRODUCT((Cards!$A$4:$A$1000&lt;&gt;"")*ISNUMBER(SEARCH($A656,Cards!$E$4:$E$1000))*(Cards!$F$4:$F$1000&lt;&gt;"Medium")*(Cards!$F$4:$F$1000&lt;&gt;"Low"))=0),"Conditionally Passed","Failed"),IF($M656="Done","Passed","Not Run")))))</f>
        <v/>
      </c>
      <c r="Y656" s="27" t="str" cm="1">
        <f t="array" ref="Y656">IF($A656="","",IF(TRIM($B656)="","-",IFERROR(_xlfn.TEXTJOIN(" / ",TRUE,_xlfn.UNIQUE(_xlfn._xlws.FILTER('Ownership Matrix'!$C$5:$C$200,('Ownership Matrix'!$A$5:$A$200=TRIM($B656))*('Ownership Matrix'!$C$5:$C$200&lt;&gt;"")))),"ไม่พบใน Ownership Matrix")))</f>
        <v/>
      </c>
      <c r="Z656" s="31" t="str">
        <f>IF(NOT(AND($A656&lt;&gt;"",$M656&lt;&gt;"Out of Scope",$M656&lt;&gt;"Canceled",$T656&lt;&gt;"Fixed – Retest Passed",OR(LEN(TRIM($O656))&gt;0,LEN(TRIM($P656))&gt;0))),"",IF(OR($W656="Failed",$R656="Urgent",$R656="High",$R656="ระบุ Severity + Impact"),IF(COUNTIFS(Dashboard!$B$105:$B$124,$O656,Dashboard!$I$105:$I$124,"CAB")&gt;0,"Accepted (CF)","Blocking"),"Deferrable"))</f>
        <v/>
      </c>
    </row>
    <row r="657" spans="7:26" x14ac:dyDescent="0.3">
      <c r="G657" s="27" t="str" cm="1">
        <f t="array" ref="G657">IF($A657="","",IFERROR(_xlfn.TEXTJOIN(CHAR(10)&amp;CHAR(10),TRUE,_xlfn._xlws.FILTER("•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"&amp;Cards!$L$4:$L$1000),(Cards!$A$4:$A$1000&lt;&gt;"")*ISNUMBER(SEARCH($A657,Cards!$E$4:$E$1000)))),"-"))</f>
        <v/>
      </c>
      <c r="Q657" s="30"/>
      <c r="R657" s="27" t="str">
        <f>IF(OR($A657="",LEN(TRIM($O657))=0),"",IF(OR($P657="",$Q657=""),"ระบุ Severity + Impact",IFERROR(INDEX({"Urgent","Urgent","High","High";"Urgent","High","High","Medium";"High","High","Medium","Medium";"Medium","Medium","Low","Low"},MATCH($P657,{"Critical","High","Medium","Low"},0),MATCH($Q657,{"Extensive","Significant","Moderate","Minor"},0)),"-")))</f>
        <v/>
      </c>
      <c r="S657" s="30"/>
      <c r="T657" s="30"/>
      <c r="W657" s="32" t="str">
        <f>IF($A657="","",IF(OR($M657="Out of Scope",$M657="Canceled"),"Out of Scope",IF($M657="Blocked","Blocked",IF(AND($T657&lt;&gt;"Fixed – Retest Passed",OR(LEN(TRIM($O657))&gt;0,LEN(TRIM($P657))&gt;0)),IF(AND(OR($L657="Medium",$L657="Low"),SUMPRODUCT((Cards!$A$4:$A$1000&lt;&gt;"")*ISNUMBER(SEARCH($A657,Cards!$E$4:$E$1000))*(Cards!$F$4:$F$1000&lt;&gt;"Medium")*(Cards!$F$4:$F$1000&lt;&gt;"Low"))=0),"Conditionally Passed","Failed"),IF($M657="Done","Passed","Not Run")))))</f>
        <v/>
      </c>
      <c r="Y657" s="27" t="str" cm="1">
        <f t="array" ref="Y657">IF($A657="","",IF(TRIM($B657)="","-",IFERROR(_xlfn.TEXTJOIN(" / ",TRUE,_xlfn.UNIQUE(_xlfn._xlws.FILTER('Ownership Matrix'!$C$5:$C$200,('Ownership Matrix'!$A$5:$A$200=TRIM($B657))*('Ownership Matrix'!$C$5:$C$200&lt;&gt;"")))),"ไม่พบใน Ownership Matrix")))</f>
        <v/>
      </c>
      <c r="Z657" s="31" t="str">
        <f>IF(NOT(AND($A657&lt;&gt;"",$M657&lt;&gt;"Out of Scope",$M657&lt;&gt;"Canceled",$T657&lt;&gt;"Fixed – Retest Passed",OR(LEN(TRIM($O657))&gt;0,LEN(TRIM($P657))&gt;0))),"",IF(OR($W657="Failed",$R657="Urgent",$R657="High",$R657="ระบุ Severity + Impact"),IF(COUNTIFS(Dashboard!$B$105:$B$124,$O657,Dashboard!$I$105:$I$124,"CAB")&gt;0,"Accepted (CF)","Blocking"),"Deferrable"))</f>
        <v/>
      </c>
    </row>
    <row r="658" spans="7:26" x14ac:dyDescent="0.3">
      <c r="G658" s="27" t="str" cm="1">
        <f t="array" ref="G658">IF($A658="","",IFERROR(_xlfn.TEXTJOIN(CHAR(10)&amp;CHAR(10),TRUE,_xlfn._xlws.FILTER("•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"&amp;Cards!$L$4:$L$1000),(Cards!$A$4:$A$1000&lt;&gt;"")*ISNUMBER(SEARCH($A658,Cards!$E$4:$E$1000)))),"-"))</f>
        <v/>
      </c>
      <c r="Q658" s="30"/>
      <c r="R658" s="27" t="str">
        <f>IF(OR($A658="",LEN(TRIM($O658))=0),"",IF(OR($P658="",$Q658=""),"ระบุ Severity + Impact",IFERROR(INDEX({"Urgent","Urgent","High","High";"Urgent","High","High","Medium";"High","High","Medium","Medium";"Medium","Medium","Low","Low"},MATCH($P658,{"Critical","High","Medium","Low"},0),MATCH($Q658,{"Extensive","Significant","Moderate","Minor"},0)),"-")))</f>
        <v/>
      </c>
      <c r="S658" s="30"/>
      <c r="T658" s="30"/>
      <c r="W658" s="32" t="str">
        <f>IF($A658="","",IF(OR($M658="Out of Scope",$M658="Canceled"),"Out of Scope",IF($M658="Blocked","Blocked",IF(AND($T658&lt;&gt;"Fixed – Retest Passed",OR(LEN(TRIM($O658))&gt;0,LEN(TRIM($P658))&gt;0)),IF(AND(OR($L658="Medium",$L658="Low"),SUMPRODUCT((Cards!$A$4:$A$1000&lt;&gt;"")*ISNUMBER(SEARCH($A658,Cards!$E$4:$E$1000))*(Cards!$F$4:$F$1000&lt;&gt;"Medium")*(Cards!$F$4:$F$1000&lt;&gt;"Low"))=0),"Conditionally Passed","Failed"),IF($M658="Done","Passed","Not Run")))))</f>
        <v/>
      </c>
      <c r="Y658" s="27" t="str" cm="1">
        <f t="array" ref="Y658">IF($A658="","",IF(TRIM($B658)="","-",IFERROR(_xlfn.TEXTJOIN(" / ",TRUE,_xlfn.UNIQUE(_xlfn._xlws.FILTER('Ownership Matrix'!$C$5:$C$200,('Ownership Matrix'!$A$5:$A$200=TRIM($B658))*('Ownership Matrix'!$C$5:$C$200&lt;&gt;"")))),"ไม่พบใน Ownership Matrix")))</f>
        <v/>
      </c>
      <c r="Z658" s="31" t="str">
        <f>IF(NOT(AND($A658&lt;&gt;"",$M658&lt;&gt;"Out of Scope",$M658&lt;&gt;"Canceled",$T658&lt;&gt;"Fixed – Retest Passed",OR(LEN(TRIM($O658))&gt;0,LEN(TRIM($P658))&gt;0))),"",IF(OR($W658="Failed",$R658="Urgent",$R658="High",$R658="ระบุ Severity + Impact"),IF(COUNTIFS(Dashboard!$B$105:$B$124,$O658,Dashboard!$I$105:$I$124,"CAB")&gt;0,"Accepted (CF)","Blocking"),"Deferrable"))</f>
        <v/>
      </c>
    </row>
    <row r="659" spans="7:26" x14ac:dyDescent="0.3">
      <c r="G659" s="27" t="str" cm="1">
        <f t="array" ref="G659">IF($A659="","",IFERROR(_xlfn.TEXTJOIN(CHAR(10)&amp;CHAR(10),TRUE,_xlfn._xlws.FILTER("•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"&amp;Cards!$L$4:$L$1000),(Cards!$A$4:$A$1000&lt;&gt;"")*ISNUMBER(SEARCH($A659,Cards!$E$4:$E$1000)))),"-"))</f>
        <v/>
      </c>
      <c r="Q659" s="30"/>
      <c r="R659" s="27" t="str">
        <f>IF(OR($A659="",LEN(TRIM($O659))=0),"",IF(OR($P659="",$Q659=""),"ระบุ Severity + Impact",IFERROR(INDEX({"Urgent","Urgent","High","High";"Urgent","High","High","Medium";"High","High","Medium","Medium";"Medium","Medium","Low","Low"},MATCH($P659,{"Critical","High","Medium","Low"},0),MATCH($Q659,{"Extensive","Significant","Moderate","Minor"},0)),"-")))</f>
        <v/>
      </c>
      <c r="S659" s="30"/>
      <c r="T659" s="30"/>
      <c r="W659" s="32" t="str">
        <f>IF($A659="","",IF(OR($M659="Out of Scope",$M659="Canceled"),"Out of Scope",IF($M659="Blocked","Blocked",IF(AND($T659&lt;&gt;"Fixed – Retest Passed",OR(LEN(TRIM($O659))&gt;0,LEN(TRIM($P659))&gt;0)),IF(AND(OR($L659="Medium",$L659="Low"),SUMPRODUCT((Cards!$A$4:$A$1000&lt;&gt;"")*ISNUMBER(SEARCH($A659,Cards!$E$4:$E$1000))*(Cards!$F$4:$F$1000&lt;&gt;"Medium")*(Cards!$F$4:$F$1000&lt;&gt;"Low"))=0),"Conditionally Passed","Failed"),IF($M659="Done","Passed","Not Run")))))</f>
        <v/>
      </c>
      <c r="Y659" s="27" t="str" cm="1">
        <f t="array" ref="Y659">IF($A659="","",IF(TRIM($B659)="","-",IFERROR(_xlfn.TEXTJOIN(" / ",TRUE,_xlfn.UNIQUE(_xlfn._xlws.FILTER('Ownership Matrix'!$C$5:$C$200,('Ownership Matrix'!$A$5:$A$200=TRIM($B659))*('Ownership Matrix'!$C$5:$C$200&lt;&gt;"")))),"ไม่พบใน Ownership Matrix")))</f>
        <v/>
      </c>
      <c r="Z659" s="31" t="str">
        <f>IF(NOT(AND($A659&lt;&gt;"",$M659&lt;&gt;"Out of Scope",$M659&lt;&gt;"Canceled",$T659&lt;&gt;"Fixed – Retest Passed",OR(LEN(TRIM($O659))&gt;0,LEN(TRIM($P659))&gt;0))),"",IF(OR($W659="Failed",$R659="Urgent",$R659="High",$R659="ระบุ Severity + Impact"),IF(COUNTIFS(Dashboard!$B$105:$B$124,$O659,Dashboard!$I$105:$I$124,"CAB")&gt;0,"Accepted (CF)","Blocking"),"Deferrable"))</f>
        <v/>
      </c>
    </row>
    <row r="660" spans="7:26" x14ac:dyDescent="0.3">
      <c r="G660" s="27" t="str" cm="1">
        <f t="array" ref="G660">IF($A660="","",IFERROR(_xlfn.TEXTJOIN(CHAR(10)&amp;CHAR(10),TRUE,_xlfn._xlws.FILTER("•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"&amp;Cards!$L$4:$L$1000),(Cards!$A$4:$A$1000&lt;&gt;"")*ISNUMBER(SEARCH($A660,Cards!$E$4:$E$1000)))),"-"))</f>
        <v/>
      </c>
      <c r="Q660" s="30"/>
      <c r="R660" s="27" t="str">
        <f>IF(OR($A660="",LEN(TRIM($O660))=0),"",IF(OR($P660="",$Q660=""),"ระบุ Severity + Impact",IFERROR(INDEX({"Urgent","Urgent","High","High";"Urgent","High","High","Medium";"High","High","Medium","Medium";"Medium","Medium","Low","Low"},MATCH($P660,{"Critical","High","Medium","Low"},0),MATCH($Q660,{"Extensive","Significant","Moderate","Minor"},0)),"-")))</f>
        <v/>
      </c>
      <c r="S660" s="30"/>
      <c r="T660" s="30"/>
      <c r="W660" s="32" t="str">
        <f>IF($A660="","",IF(OR($M660="Out of Scope",$M660="Canceled"),"Out of Scope",IF($M660="Blocked","Blocked",IF(AND($T660&lt;&gt;"Fixed – Retest Passed",OR(LEN(TRIM($O660))&gt;0,LEN(TRIM($P660))&gt;0)),IF(AND(OR($L660="Medium",$L660="Low"),SUMPRODUCT((Cards!$A$4:$A$1000&lt;&gt;"")*ISNUMBER(SEARCH($A660,Cards!$E$4:$E$1000))*(Cards!$F$4:$F$1000&lt;&gt;"Medium")*(Cards!$F$4:$F$1000&lt;&gt;"Low"))=0),"Conditionally Passed","Failed"),IF($M660="Done","Passed","Not Run")))))</f>
        <v/>
      </c>
      <c r="Y660" s="27" t="str" cm="1">
        <f t="array" ref="Y660">IF($A660="","",IF(TRIM($B660)="","-",IFERROR(_xlfn.TEXTJOIN(" / ",TRUE,_xlfn.UNIQUE(_xlfn._xlws.FILTER('Ownership Matrix'!$C$5:$C$200,('Ownership Matrix'!$A$5:$A$200=TRIM($B660))*('Ownership Matrix'!$C$5:$C$200&lt;&gt;"")))),"ไม่พบใน Ownership Matrix")))</f>
        <v/>
      </c>
      <c r="Z660" s="31" t="str">
        <f>IF(NOT(AND($A660&lt;&gt;"",$M660&lt;&gt;"Out of Scope",$M660&lt;&gt;"Canceled",$T660&lt;&gt;"Fixed – Retest Passed",OR(LEN(TRIM($O660))&gt;0,LEN(TRIM($P660))&gt;0))),"",IF(OR($W660="Failed",$R660="Urgent",$R660="High",$R660="ระบุ Severity + Impact"),IF(COUNTIFS(Dashboard!$B$105:$B$124,$O660,Dashboard!$I$105:$I$124,"CAB")&gt;0,"Accepted (CF)","Blocking"),"Deferrable"))</f>
        <v/>
      </c>
    </row>
    <row r="661" spans="7:26" x14ac:dyDescent="0.3">
      <c r="G661" s="27" t="str" cm="1">
        <f t="array" ref="G661">IF($A661="","",IFERROR(_xlfn.TEXTJOIN(CHAR(10)&amp;CHAR(10),TRUE,_xlfn._xlws.FILTER("•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"&amp;Cards!$L$4:$L$1000),(Cards!$A$4:$A$1000&lt;&gt;"")*ISNUMBER(SEARCH($A661,Cards!$E$4:$E$1000)))),"-"))</f>
        <v/>
      </c>
      <c r="Q661" s="30"/>
      <c r="R661" s="27" t="str">
        <f>IF(OR($A661="",LEN(TRIM($O661))=0),"",IF(OR($P661="",$Q661=""),"ระบุ Severity + Impact",IFERROR(INDEX({"Urgent","Urgent","High","High";"Urgent","High","High","Medium";"High","High","Medium","Medium";"Medium","Medium","Low","Low"},MATCH($P661,{"Critical","High","Medium","Low"},0),MATCH($Q661,{"Extensive","Significant","Moderate","Minor"},0)),"-")))</f>
        <v/>
      </c>
      <c r="S661" s="30"/>
      <c r="T661" s="30"/>
      <c r="W661" s="32" t="str">
        <f>IF($A661="","",IF(OR($M661="Out of Scope",$M661="Canceled"),"Out of Scope",IF($M661="Blocked","Blocked",IF(AND($T661&lt;&gt;"Fixed – Retest Passed",OR(LEN(TRIM($O661))&gt;0,LEN(TRIM($P661))&gt;0)),IF(AND(OR($L661="Medium",$L661="Low"),SUMPRODUCT((Cards!$A$4:$A$1000&lt;&gt;"")*ISNUMBER(SEARCH($A661,Cards!$E$4:$E$1000))*(Cards!$F$4:$F$1000&lt;&gt;"Medium")*(Cards!$F$4:$F$1000&lt;&gt;"Low"))=0),"Conditionally Passed","Failed"),IF($M661="Done","Passed","Not Run")))))</f>
        <v/>
      </c>
      <c r="Y661" s="27" t="str" cm="1">
        <f t="array" ref="Y661">IF($A661="","",IF(TRIM($B661)="","-",IFERROR(_xlfn.TEXTJOIN(" / ",TRUE,_xlfn.UNIQUE(_xlfn._xlws.FILTER('Ownership Matrix'!$C$5:$C$200,('Ownership Matrix'!$A$5:$A$200=TRIM($B661))*('Ownership Matrix'!$C$5:$C$200&lt;&gt;"")))),"ไม่พบใน Ownership Matrix")))</f>
        <v/>
      </c>
      <c r="Z661" s="31" t="str">
        <f>IF(NOT(AND($A661&lt;&gt;"",$M661&lt;&gt;"Out of Scope",$M661&lt;&gt;"Canceled",$T661&lt;&gt;"Fixed – Retest Passed",OR(LEN(TRIM($O661))&gt;0,LEN(TRIM($P661))&gt;0))),"",IF(OR($W661="Failed",$R661="Urgent",$R661="High",$R661="ระบุ Severity + Impact"),IF(COUNTIFS(Dashboard!$B$105:$B$124,$O661,Dashboard!$I$105:$I$124,"CAB")&gt;0,"Accepted (CF)","Blocking"),"Deferrable"))</f>
        <v/>
      </c>
    </row>
    <row r="662" spans="7:26" x14ac:dyDescent="0.3">
      <c r="G662" s="27" t="str" cm="1">
        <f t="array" ref="G662">IF($A662="","",IFERROR(_xlfn.TEXTJOIN(CHAR(10)&amp;CHAR(10),TRUE,_xlfn._xlws.FILTER("•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"&amp;Cards!$L$4:$L$1000),(Cards!$A$4:$A$1000&lt;&gt;"")*ISNUMBER(SEARCH($A662,Cards!$E$4:$E$1000)))),"-"))</f>
        <v/>
      </c>
      <c r="Q662" s="30"/>
      <c r="R662" s="27" t="str">
        <f>IF(OR($A662="",LEN(TRIM($O662))=0),"",IF(OR($P662="",$Q662=""),"ระบุ Severity + Impact",IFERROR(INDEX({"Urgent","Urgent","High","High";"Urgent","High","High","Medium";"High","High","Medium","Medium";"Medium","Medium","Low","Low"},MATCH($P662,{"Critical","High","Medium","Low"},0),MATCH($Q662,{"Extensive","Significant","Moderate","Minor"},0)),"-")))</f>
        <v/>
      </c>
      <c r="S662" s="30"/>
      <c r="T662" s="30"/>
      <c r="W662" s="32" t="str">
        <f>IF($A662="","",IF(OR($M662="Out of Scope",$M662="Canceled"),"Out of Scope",IF($M662="Blocked","Blocked",IF(AND($T662&lt;&gt;"Fixed – Retest Passed",OR(LEN(TRIM($O662))&gt;0,LEN(TRIM($P662))&gt;0)),IF(AND(OR($L662="Medium",$L662="Low"),SUMPRODUCT((Cards!$A$4:$A$1000&lt;&gt;"")*ISNUMBER(SEARCH($A662,Cards!$E$4:$E$1000))*(Cards!$F$4:$F$1000&lt;&gt;"Medium")*(Cards!$F$4:$F$1000&lt;&gt;"Low"))=0),"Conditionally Passed","Failed"),IF($M662="Done","Passed","Not Run")))))</f>
        <v/>
      </c>
      <c r="Y662" s="27" t="str" cm="1">
        <f t="array" ref="Y662">IF($A662="","",IF(TRIM($B662)="","-",IFERROR(_xlfn.TEXTJOIN(" / ",TRUE,_xlfn.UNIQUE(_xlfn._xlws.FILTER('Ownership Matrix'!$C$5:$C$200,('Ownership Matrix'!$A$5:$A$200=TRIM($B662))*('Ownership Matrix'!$C$5:$C$200&lt;&gt;"")))),"ไม่พบใน Ownership Matrix")))</f>
        <v/>
      </c>
      <c r="Z662" s="31" t="str">
        <f>IF(NOT(AND($A662&lt;&gt;"",$M662&lt;&gt;"Out of Scope",$M662&lt;&gt;"Canceled",$T662&lt;&gt;"Fixed – Retest Passed",OR(LEN(TRIM($O662))&gt;0,LEN(TRIM($P662))&gt;0))),"",IF(OR($W662="Failed",$R662="Urgent",$R662="High",$R662="ระบุ Severity + Impact"),IF(COUNTIFS(Dashboard!$B$105:$B$124,$O662,Dashboard!$I$105:$I$124,"CAB")&gt;0,"Accepted (CF)","Blocking"),"Deferrable"))</f>
        <v/>
      </c>
    </row>
    <row r="663" spans="7:26" x14ac:dyDescent="0.3">
      <c r="G663" s="27" t="str" cm="1">
        <f t="array" ref="G663">IF($A663="","",IFERROR(_xlfn.TEXTJOIN(CHAR(10)&amp;CHAR(10),TRUE,_xlfn._xlws.FILTER("•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"&amp;Cards!$L$4:$L$1000),(Cards!$A$4:$A$1000&lt;&gt;"")*ISNUMBER(SEARCH($A663,Cards!$E$4:$E$1000)))),"-"))</f>
        <v/>
      </c>
      <c r="Q663" s="30"/>
      <c r="R663" s="27" t="str">
        <f>IF(OR($A663="",LEN(TRIM($O663))=0),"",IF(OR($P663="",$Q663=""),"ระบุ Severity + Impact",IFERROR(INDEX({"Urgent","Urgent","High","High";"Urgent","High","High","Medium";"High","High","Medium","Medium";"Medium","Medium","Low","Low"},MATCH($P663,{"Critical","High","Medium","Low"},0),MATCH($Q663,{"Extensive","Significant","Moderate","Minor"},0)),"-")))</f>
        <v/>
      </c>
      <c r="S663" s="30"/>
      <c r="T663" s="30"/>
      <c r="W663" s="32" t="str">
        <f>IF($A663="","",IF(OR($M663="Out of Scope",$M663="Canceled"),"Out of Scope",IF($M663="Blocked","Blocked",IF(AND($T663&lt;&gt;"Fixed – Retest Passed",OR(LEN(TRIM($O663))&gt;0,LEN(TRIM($P663))&gt;0)),IF(AND(OR($L663="Medium",$L663="Low"),SUMPRODUCT((Cards!$A$4:$A$1000&lt;&gt;"")*ISNUMBER(SEARCH($A663,Cards!$E$4:$E$1000))*(Cards!$F$4:$F$1000&lt;&gt;"Medium")*(Cards!$F$4:$F$1000&lt;&gt;"Low"))=0),"Conditionally Passed","Failed"),IF($M663="Done","Passed","Not Run")))))</f>
        <v/>
      </c>
      <c r="Y663" s="27" t="str" cm="1">
        <f t="array" ref="Y663">IF($A663="","",IF(TRIM($B663)="","-",IFERROR(_xlfn.TEXTJOIN(" / ",TRUE,_xlfn.UNIQUE(_xlfn._xlws.FILTER('Ownership Matrix'!$C$5:$C$200,('Ownership Matrix'!$A$5:$A$200=TRIM($B663))*('Ownership Matrix'!$C$5:$C$200&lt;&gt;"")))),"ไม่พบใน Ownership Matrix")))</f>
        <v/>
      </c>
      <c r="Z663" s="31" t="str">
        <f>IF(NOT(AND($A663&lt;&gt;"",$M663&lt;&gt;"Out of Scope",$M663&lt;&gt;"Canceled",$T663&lt;&gt;"Fixed – Retest Passed",OR(LEN(TRIM($O663))&gt;0,LEN(TRIM($P663))&gt;0))),"",IF(OR($W663="Failed",$R663="Urgent",$R663="High",$R663="ระบุ Severity + Impact"),IF(COUNTIFS(Dashboard!$B$105:$B$124,$O663,Dashboard!$I$105:$I$124,"CAB")&gt;0,"Accepted (CF)","Blocking"),"Deferrable"))</f>
        <v/>
      </c>
    </row>
    <row r="664" spans="7:26" x14ac:dyDescent="0.3">
      <c r="G664" s="27" t="str" cm="1">
        <f t="array" ref="G664">IF($A664="","",IFERROR(_xlfn.TEXTJOIN(CHAR(10)&amp;CHAR(10),TRUE,_xlfn._xlws.FILTER("•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"&amp;Cards!$L$4:$L$1000),(Cards!$A$4:$A$1000&lt;&gt;"")*ISNUMBER(SEARCH($A664,Cards!$E$4:$E$1000)))),"-"))</f>
        <v/>
      </c>
      <c r="Q664" s="30"/>
      <c r="R664" s="27" t="str">
        <f>IF(OR($A664="",LEN(TRIM($O664))=0),"",IF(OR($P664="",$Q664=""),"ระบุ Severity + Impact",IFERROR(INDEX({"Urgent","Urgent","High","High";"Urgent","High","High","Medium";"High","High","Medium","Medium";"Medium","Medium","Low","Low"},MATCH($P664,{"Critical","High","Medium","Low"},0),MATCH($Q664,{"Extensive","Significant","Moderate","Minor"},0)),"-")))</f>
        <v/>
      </c>
      <c r="S664" s="30"/>
      <c r="T664" s="30"/>
      <c r="W664" s="32" t="str">
        <f>IF($A664="","",IF(OR($M664="Out of Scope",$M664="Canceled"),"Out of Scope",IF($M664="Blocked","Blocked",IF(AND($T664&lt;&gt;"Fixed – Retest Passed",OR(LEN(TRIM($O664))&gt;0,LEN(TRIM($P664))&gt;0)),IF(AND(OR($L664="Medium",$L664="Low"),SUMPRODUCT((Cards!$A$4:$A$1000&lt;&gt;"")*ISNUMBER(SEARCH($A664,Cards!$E$4:$E$1000))*(Cards!$F$4:$F$1000&lt;&gt;"Medium")*(Cards!$F$4:$F$1000&lt;&gt;"Low"))=0),"Conditionally Passed","Failed"),IF($M664="Done","Passed","Not Run")))))</f>
        <v/>
      </c>
      <c r="Y664" s="27" t="str" cm="1">
        <f t="array" ref="Y664">IF($A664="","",IF(TRIM($B664)="","-",IFERROR(_xlfn.TEXTJOIN(" / ",TRUE,_xlfn.UNIQUE(_xlfn._xlws.FILTER('Ownership Matrix'!$C$5:$C$200,('Ownership Matrix'!$A$5:$A$200=TRIM($B664))*('Ownership Matrix'!$C$5:$C$200&lt;&gt;"")))),"ไม่พบใน Ownership Matrix")))</f>
        <v/>
      </c>
      <c r="Z664" s="31" t="str">
        <f>IF(NOT(AND($A664&lt;&gt;"",$M664&lt;&gt;"Out of Scope",$M664&lt;&gt;"Canceled",$T664&lt;&gt;"Fixed – Retest Passed",OR(LEN(TRIM($O664))&gt;0,LEN(TRIM($P664))&gt;0))),"",IF(OR($W664="Failed",$R664="Urgent",$R664="High",$R664="ระบุ Severity + Impact"),IF(COUNTIFS(Dashboard!$B$105:$B$124,$O664,Dashboard!$I$105:$I$124,"CAB")&gt;0,"Accepted (CF)","Blocking"),"Deferrable"))</f>
        <v/>
      </c>
    </row>
    <row r="665" spans="7:26" x14ac:dyDescent="0.3">
      <c r="G665" s="27" t="str" cm="1">
        <f t="array" ref="G665">IF($A665="","",IFERROR(_xlfn.TEXTJOIN(CHAR(10)&amp;CHAR(10),TRUE,_xlfn._xlws.FILTER("•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"&amp;Cards!$L$4:$L$1000),(Cards!$A$4:$A$1000&lt;&gt;"")*ISNUMBER(SEARCH($A665,Cards!$E$4:$E$1000)))),"-"))</f>
        <v/>
      </c>
      <c r="Q665" s="30"/>
      <c r="R665" s="27" t="str">
        <f>IF(OR($A665="",LEN(TRIM($O665))=0),"",IF(OR($P665="",$Q665=""),"ระบุ Severity + Impact",IFERROR(INDEX({"Urgent","Urgent","High","High";"Urgent","High","High","Medium";"High","High","Medium","Medium";"Medium","Medium","Low","Low"},MATCH($P665,{"Critical","High","Medium","Low"},0),MATCH($Q665,{"Extensive","Significant","Moderate","Minor"},0)),"-")))</f>
        <v/>
      </c>
      <c r="S665" s="30"/>
      <c r="T665" s="30"/>
      <c r="W665" s="32" t="str">
        <f>IF($A665="","",IF(OR($M665="Out of Scope",$M665="Canceled"),"Out of Scope",IF($M665="Blocked","Blocked",IF(AND($T665&lt;&gt;"Fixed – Retest Passed",OR(LEN(TRIM($O665))&gt;0,LEN(TRIM($P665))&gt;0)),IF(AND(OR($L665="Medium",$L665="Low"),SUMPRODUCT((Cards!$A$4:$A$1000&lt;&gt;"")*ISNUMBER(SEARCH($A665,Cards!$E$4:$E$1000))*(Cards!$F$4:$F$1000&lt;&gt;"Medium")*(Cards!$F$4:$F$1000&lt;&gt;"Low"))=0),"Conditionally Passed","Failed"),IF($M665="Done","Passed","Not Run")))))</f>
        <v/>
      </c>
      <c r="Y665" s="27" t="str" cm="1">
        <f t="array" ref="Y665">IF($A665="","",IF(TRIM($B665)="","-",IFERROR(_xlfn.TEXTJOIN(" / ",TRUE,_xlfn.UNIQUE(_xlfn._xlws.FILTER('Ownership Matrix'!$C$5:$C$200,('Ownership Matrix'!$A$5:$A$200=TRIM($B665))*('Ownership Matrix'!$C$5:$C$200&lt;&gt;"")))),"ไม่พบใน Ownership Matrix")))</f>
        <v/>
      </c>
      <c r="Z665" s="31" t="str">
        <f>IF(NOT(AND($A665&lt;&gt;"",$M665&lt;&gt;"Out of Scope",$M665&lt;&gt;"Canceled",$T665&lt;&gt;"Fixed – Retest Passed",OR(LEN(TRIM($O665))&gt;0,LEN(TRIM($P665))&gt;0))),"",IF(OR($W665="Failed",$R665="Urgent",$R665="High",$R665="ระบุ Severity + Impact"),IF(COUNTIFS(Dashboard!$B$105:$B$124,$O665,Dashboard!$I$105:$I$124,"CAB")&gt;0,"Accepted (CF)","Blocking"),"Deferrable"))</f>
        <v/>
      </c>
    </row>
    <row r="666" spans="7:26" x14ac:dyDescent="0.3">
      <c r="G666" s="27" t="str" cm="1">
        <f t="array" ref="G666">IF($A666="","",IFERROR(_xlfn.TEXTJOIN(CHAR(10)&amp;CHAR(10),TRUE,_xlfn._xlws.FILTER("•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"&amp;Cards!$L$4:$L$1000),(Cards!$A$4:$A$1000&lt;&gt;"")*ISNUMBER(SEARCH($A666,Cards!$E$4:$E$1000)))),"-"))</f>
        <v/>
      </c>
      <c r="Q666" s="30"/>
      <c r="R666" s="27" t="str">
        <f>IF(OR($A666="",LEN(TRIM($O666))=0),"",IF(OR($P666="",$Q666=""),"ระบุ Severity + Impact",IFERROR(INDEX({"Urgent","Urgent","High","High";"Urgent","High","High","Medium";"High","High","Medium","Medium";"Medium","Medium","Low","Low"},MATCH($P666,{"Critical","High","Medium","Low"},0),MATCH($Q666,{"Extensive","Significant","Moderate","Minor"},0)),"-")))</f>
        <v/>
      </c>
      <c r="S666" s="30"/>
      <c r="T666" s="30"/>
      <c r="W666" s="32" t="str">
        <f>IF($A666="","",IF(OR($M666="Out of Scope",$M666="Canceled"),"Out of Scope",IF($M666="Blocked","Blocked",IF(AND($T666&lt;&gt;"Fixed – Retest Passed",OR(LEN(TRIM($O666))&gt;0,LEN(TRIM($P666))&gt;0)),IF(AND(OR($L666="Medium",$L666="Low"),SUMPRODUCT((Cards!$A$4:$A$1000&lt;&gt;"")*ISNUMBER(SEARCH($A666,Cards!$E$4:$E$1000))*(Cards!$F$4:$F$1000&lt;&gt;"Medium")*(Cards!$F$4:$F$1000&lt;&gt;"Low"))=0),"Conditionally Passed","Failed"),IF($M666="Done","Passed","Not Run")))))</f>
        <v/>
      </c>
      <c r="Y666" s="27" t="str" cm="1">
        <f t="array" ref="Y666">IF($A666="","",IF(TRIM($B666)="","-",IFERROR(_xlfn.TEXTJOIN(" / ",TRUE,_xlfn.UNIQUE(_xlfn._xlws.FILTER('Ownership Matrix'!$C$5:$C$200,('Ownership Matrix'!$A$5:$A$200=TRIM($B666))*('Ownership Matrix'!$C$5:$C$200&lt;&gt;"")))),"ไม่พบใน Ownership Matrix")))</f>
        <v/>
      </c>
      <c r="Z666" s="31" t="str">
        <f>IF(NOT(AND($A666&lt;&gt;"",$M666&lt;&gt;"Out of Scope",$M666&lt;&gt;"Canceled",$T666&lt;&gt;"Fixed – Retest Passed",OR(LEN(TRIM($O666))&gt;0,LEN(TRIM($P666))&gt;0))),"",IF(OR($W666="Failed",$R666="Urgent",$R666="High",$R666="ระบุ Severity + Impact"),IF(COUNTIFS(Dashboard!$B$105:$B$124,$O666,Dashboard!$I$105:$I$124,"CAB")&gt;0,"Accepted (CF)","Blocking"),"Deferrable"))</f>
        <v/>
      </c>
    </row>
    <row r="667" spans="7:26" x14ac:dyDescent="0.3">
      <c r="G667" s="27" t="str" cm="1">
        <f t="array" ref="G667">IF($A667="","",IFERROR(_xlfn.TEXTJOIN(CHAR(10)&amp;CHAR(10),TRUE,_xlfn._xlws.FILTER("•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"&amp;Cards!$L$4:$L$1000),(Cards!$A$4:$A$1000&lt;&gt;"")*ISNUMBER(SEARCH($A667,Cards!$E$4:$E$1000)))),"-"))</f>
        <v/>
      </c>
      <c r="Q667" s="30"/>
      <c r="R667" s="27" t="str">
        <f>IF(OR($A667="",LEN(TRIM($O667))=0),"",IF(OR($P667="",$Q667=""),"ระบุ Severity + Impact",IFERROR(INDEX({"Urgent","Urgent","High","High";"Urgent","High","High","Medium";"High","High","Medium","Medium";"Medium","Medium","Low","Low"},MATCH($P667,{"Critical","High","Medium","Low"},0),MATCH($Q667,{"Extensive","Significant","Moderate","Minor"},0)),"-")))</f>
        <v/>
      </c>
      <c r="S667" s="30"/>
      <c r="T667" s="30"/>
      <c r="W667" s="32" t="str">
        <f>IF($A667="","",IF(OR($M667="Out of Scope",$M667="Canceled"),"Out of Scope",IF($M667="Blocked","Blocked",IF(AND($T667&lt;&gt;"Fixed – Retest Passed",OR(LEN(TRIM($O667))&gt;0,LEN(TRIM($P667))&gt;0)),IF(AND(OR($L667="Medium",$L667="Low"),SUMPRODUCT((Cards!$A$4:$A$1000&lt;&gt;"")*ISNUMBER(SEARCH($A667,Cards!$E$4:$E$1000))*(Cards!$F$4:$F$1000&lt;&gt;"Medium")*(Cards!$F$4:$F$1000&lt;&gt;"Low"))=0),"Conditionally Passed","Failed"),IF($M667="Done","Passed","Not Run")))))</f>
        <v/>
      </c>
      <c r="Y667" s="27" t="str" cm="1">
        <f t="array" ref="Y667">IF($A667="","",IF(TRIM($B667)="","-",IFERROR(_xlfn.TEXTJOIN(" / ",TRUE,_xlfn.UNIQUE(_xlfn._xlws.FILTER('Ownership Matrix'!$C$5:$C$200,('Ownership Matrix'!$A$5:$A$200=TRIM($B667))*('Ownership Matrix'!$C$5:$C$200&lt;&gt;"")))),"ไม่พบใน Ownership Matrix")))</f>
        <v/>
      </c>
      <c r="Z667" s="31" t="str">
        <f>IF(NOT(AND($A667&lt;&gt;"",$M667&lt;&gt;"Out of Scope",$M667&lt;&gt;"Canceled",$T667&lt;&gt;"Fixed – Retest Passed",OR(LEN(TRIM($O667))&gt;0,LEN(TRIM($P667))&gt;0))),"",IF(OR($W667="Failed",$R667="Urgent",$R667="High",$R667="ระบุ Severity + Impact"),IF(COUNTIFS(Dashboard!$B$105:$B$124,$O667,Dashboard!$I$105:$I$124,"CAB")&gt;0,"Accepted (CF)","Blocking"),"Deferrable"))</f>
        <v/>
      </c>
    </row>
    <row r="668" spans="7:26" x14ac:dyDescent="0.3">
      <c r="G668" s="27" t="str" cm="1">
        <f t="array" ref="G668">IF($A668="","",IFERROR(_xlfn.TEXTJOIN(CHAR(10)&amp;CHAR(10),TRUE,_xlfn._xlws.FILTER("•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"&amp;Cards!$L$4:$L$1000),(Cards!$A$4:$A$1000&lt;&gt;"")*ISNUMBER(SEARCH($A668,Cards!$E$4:$E$1000)))),"-"))</f>
        <v/>
      </c>
      <c r="Q668" s="30"/>
      <c r="R668" s="27" t="str">
        <f>IF(OR($A668="",LEN(TRIM($O668))=0),"",IF(OR($P668="",$Q668=""),"ระบุ Severity + Impact",IFERROR(INDEX({"Urgent","Urgent","High","High";"Urgent","High","High","Medium";"High","High","Medium","Medium";"Medium","Medium","Low","Low"},MATCH($P668,{"Critical","High","Medium","Low"},0),MATCH($Q668,{"Extensive","Significant","Moderate","Minor"},0)),"-")))</f>
        <v/>
      </c>
      <c r="S668" s="30"/>
      <c r="T668" s="30"/>
      <c r="W668" s="32" t="str">
        <f>IF($A668="","",IF(OR($M668="Out of Scope",$M668="Canceled"),"Out of Scope",IF($M668="Blocked","Blocked",IF(AND($T668&lt;&gt;"Fixed – Retest Passed",OR(LEN(TRIM($O668))&gt;0,LEN(TRIM($P668))&gt;0)),IF(AND(OR($L668="Medium",$L668="Low"),SUMPRODUCT((Cards!$A$4:$A$1000&lt;&gt;"")*ISNUMBER(SEARCH($A668,Cards!$E$4:$E$1000))*(Cards!$F$4:$F$1000&lt;&gt;"Medium")*(Cards!$F$4:$F$1000&lt;&gt;"Low"))=0),"Conditionally Passed","Failed"),IF($M668="Done","Passed","Not Run")))))</f>
        <v/>
      </c>
      <c r="Y668" s="27" t="str" cm="1">
        <f t="array" ref="Y668">IF($A668="","",IF(TRIM($B668)="","-",IFERROR(_xlfn.TEXTJOIN(" / ",TRUE,_xlfn.UNIQUE(_xlfn._xlws.FILTER('Ownership Matrix'!$C$5:$C$200,('Ownership Matrix'!$A$5:$A$200=TRIM($B668))*('Ownership Matrix'!$C$5:$C$200&lt;&gt;"")))),"ไม่พบใน Ownership Matrix")))</f>
        <v/>
      </c>
      <c r="Z668" s="31" t="str">
        <f>IF(NOT(AND($A668&lt;&gt;"",$M668&lt;&gt;"Out of Scope",$M668&lt;&gt;"Canceled",$T668&lt;&gt;"Fixed – Retest Passed",OR(LEN(TRIM($O668))&gt;0,LEN(TRIM($P668))&gt;0))),"",IF(OR($W668="Failed",$R668="Urgent",$R668="High",$R668="ระบุ Severity + Impact"),IF(COUNTIFS(Dashboard!$B$105:$B$124,$O668,Dashboard!$I$105:$I$124,"CAB")&gt;0,"Accepted (CF)","Blocking"),"Deferrable"))</f>
        <v/>
      </c>
    </row>
    <row r="669" spans="7:26" x14ac:dyDescent="0.3">
      <c r="G669" s="27" t="str" cm="1">
        <f t="array" ref="G669">IF($A669="","",IFERROR(_xlfn.TEXTJOIN(CHAR(10)&amp;CHAR(10),TRUE,_xlfn._xlws.FILTER("•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"&amp;Cards!$L$4:$L$1000),(Cards!$A$4:$A$1000&lt;&gt;"")*ISNUMBER(SEARCH($A669,Cards!$E$4:$E$1000)))),"-"))</f>
        <v/>
      </c>
      <c r="Q669" s="30"/>
      <c r="R669" s="27" t="str">
        <f>IF(OR($A669="",LEN(TRIM($O669))=0),"",IF(OR($P669="",$Q669=""),"ระบุ Severity + Impact",IFERROR(INDEX({"Urgent","Urgent","High","High";"Urgent","High","High","Medium";"High","High","Medium","Medium";"Medium","Medium","Low","Low"},MATCH($P669,{"Critical","High","Medium","Low"},0),MATCH($Q669,{"Extensive","Significant","Moderate","Minor"},0)),"-")))</f>
        <v/>
      </c>
      <c r="S669" s="30"/>
      <c r="T669" s="30"/>
      <c r="W669" s="32" t="str">
        <f>IF($A669="","",IF(OR($M669="Out of Scope",$M669="Canceled"),"Out of Scope",IF($M669="Blocked","Blocked",IF(AND($T669&lt;&gt;"Fixed – Retest Passed",OR(LEN(TRIM($O669))&gt;0,LEN(TRIM($P669))&gt;0)),IF(AND(OR($L669="Medium",$L669="Low"),SUMPRODUCT((Cards!$A$4:$A$1000&lt;&gt;"")*ISNUMBER(SEARCH($A669,Cards!$E$4:$E$1000))*(Cards!$F$4:$F$1000&lt;&gt;"Medium")*(Cards!$F$4:$F$1000&lt;&gt;"Low"))=0),"Conditionally Passed","Failed"),IF($M669="Done","Passed","Not Run")))))</f>
        <v/>
      </c>
      <c r="Y669" s="27" t="str" cm="1">
        <f t="array" ref="Y669">IF($A669="","",IF(TRIM($B669)="","-",IFERROR(_xlfn.TEXTJOIN(" / ",TRUE,_xlfn.UNIQUE(_xlfn._xlws.FILTER('Ownership Matrix'!$C$5:$C$200,('Ownership Matrix'!$A$5:$A$200=TRIM($B669))*('Ownership Matrix'!$C$5:$C$200&lt;&gt;"")))),"ไม่พบใน Ownership Matrix")))</f>
        <v/>
      </c>
      <c r="Z669" s="31" t="str">
        <f>IF(NOT(AND($A669&lt;&gt;"",$M669&lt;&gt;"Out of Scope",$M669&lt;&gt;"Canceled",$T669&lt;&gt;"Fixed – Retest Passed",OR(LEN(TRIM($O669))&gt;0,LEN(TRIM($P669))&gt;0))),"",IF(OR($W669="Failed",$R669="Urgent",$R669="High",$R669="ระบุ Severity + Impact"),IF(COUNTIFS(Dashboard!$B$105:$B$124,$O669,Dashboard!$I$105:$I$124,"CAB")&gt;0,"Accepted (CF)","Blocking"),"Deferrable"))</f>
        <v/>
      </c>
    </row>
    <row r="670" spans="7:26" x14ac:dyDescent="0.3">
      <c r="G670" s="27" t="str" cm="1">
        <f t="array" ref="G670">IF($A670="","",IFERROR(_xlfn.TEXTJOIN(CHAR(10)&amp;CHAR(10),TRUE,_xlfn._xlws.FILTER("•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"&amp;Cards!$L$4:$L$1000),(Cards!$A$4:$A$1000&lt;&gt;"")*ISNUMBER(SEARCH($A670,Cards!$E$4:$E$1000)))),"-"))</f>
        <v/>
      </c>
      <c r="Q670" s="30"/>
      <c r="R670" s="27" t="str">
        <f>IF(OR($A670="",LEN(TRIM($O670))=0),"",IF(OR($P670="",$Q670=""),"ระบุ Severity + Impact",IFERROR(INDEX({"Urgent","Urgent","High","High";"Urgent","High","High","Medium";"High","High","Medium","Medium";"Medium","Medium","Low","Low"},MATCH($P670,{"Critical","High","Medium","Low"},0),MATCH($Q670,{"Extensive","Significant","Moderate","Minor"},0)),"-")))</f>
        <v/>
      </c>
      <c r="S670" s="30"/>
      <c r="T670" s="30"/>
      <c r="W670" s="32" t="str">
        <f>IF($A670="","",IF(OR($M670="Out of Scope",$M670="Canceled"),"Out of Scope",IF($M670="Blocked","Blocked",IF(AND($T670&lt;&gt;"Fixed – Retest Passed",OR(LEN(TRIM($O670))&gt;0,LEN(TRIM($P670))&gt;0)),IF(AND(OR($L670="Medium",$L670="Low"),SUMPRODUCT((Cards!$A$4:$A$1000&lt;&gt;"")*ISNUMBER(SEARCH($A670,Cards!$E$4:$E$1000))*(Cards!$F$4:$F$1000&lt;&gt;"Medium")*(Cards!$F$4:$F$1000&lt;&gt;"Low"))=0),"Conditionally Passed","Failed"),IF($M670="Done","Passed","Not Run")))))</f>
        <v/>
      </c>
      <c r="Y670" s="27" t="str" cm="1">
        <f t="array" ref="Y670">IF($A670="","",IF(TRIM($B670)="","-",IFERROR(_xlfn.TEXTJOIN(" / ",TRUE,_xlfn.UNIQUE(_xlfn._xlws.FILTER('Ownership Matrix'!$C$5:$C$200,('Ownership Matrix'!$A$5:$A$200=TRIM($B670))*('Ownership Matrix'!$C$5:$C$200&lt;&gt;"")))),"ไม่พบใน Ownership Matrix")))</f>
        <v/>
      </c>
      <c r="Z670" s="31" t="str">
        <f>IF(NOT(AND($A670&lt;&gt;"",$M670&lt;&gt;"Out of Scope",$M670&lt;&gt;"Canceled",$T670&lt;&gt;"Fixed – Retest Passed",OR(LEN(TRIM($O670))&gt;0,LEN(TRIM($P670))&gt;0))),"",IF(OR($W670="Failed",$R670="Urgent",$R670="High",$R670="ระบุ Severity + Impact"),IF(COUNTIFS(Dashboard!$B$105:$B$124,$O670,Dashboard!$I$105:$I$124,"CAB")&gt;0,"Accepted (CF)","Blocking"),"Deferrable"))</f>
        <v/>
      </c>
    </row>
    <row r="671" spans="7:26" x14ac:dyDescent="0.3">
      <c r="G671" s="27" t="str" cm="1">
        <f t="array" ref="G671">IF($A671="","",IFERROR(_xlfn.TEXTJOIN(CHAR(10)&amp;CHAR(10),TRUE,_xlfn._xlws.FILTER("•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"&amp;Cards!$L$4:$L$1000),(Cards!$A$4:$A$1000&lt;&gt;"")*ISNUMBER(SEARCH($A671,Cards!$E$4:$E$1000)))),"-"))</f>
        <v/>
      </c>
      <c r="Q671" s="30"/>
      <c r="R671" s="27" t="str">
        <f>IF(OR($A671="",LEN(TRIM($O671))=0),"",IF(OR($P671="",$Q671=""),"ระบุ Severity + Impact",IFERROR(INDEX({"Urgent","Urgent","High","High";"Urgent","High","High","Medium";"High","High","Medium","Medium";"Medium","Medium","Low","Low"},MATCH($P671,{"Critical","High","Medium","Low"},0),MATCH($Q671,{"Extensive","Significant","Moderate","Minor"},0)),"-")))</f>
        <v/>
      </c>
      <c r="S671" s="30"/>
      <c r="T671" s="30"/>
      <c r="W671" s="32" t="str">
        <f>IF($A671="","",IF(OR($M671="Out of Scope",$M671="Canceled"),"Out of Scope",IF($M671="Blocked","Blocked",IF(AND($T671&lt;&gt;"Fixed – Retest Passed",OR(LEN(TRIM($O671))&gt;0,LEN(TRIM($P671))&gt;0)),IF(AND(OR($L671="Medium",$L671="Low"),SUMPRODUCT((Cards!$A$4:$A$1000&lt;&gt;"")*ISNUMBER(SEARCH($A671,Cards!$E$4:$E$1000))*(Cards!$F$4:$F$1000&lt;&gt;"Medium")*(Cards!$F$4:$F$1000&lt;&gt;"Low"))=0),"Conditionally Passed","Failed"),IF($M671="Done","Passed","Not Run")))))</f>
        <v/>
      </c>
      <c r="Y671" s="27" t="str" cm="1">
        <f t="array" ref="Y671">IF($A671="","",IF(TRIM($B671)="","-",IFERROR(_xlfn.TEXTJOIN(" / ",TRUE,_xlfn.UNIQUE(_xlfn._xlws.FILTER('Ownership Matrix'!$C$5:$C$200,('Ownership Matrix'!$A$5:$A$200=TRIM($B671))*('Ownership Matrix'!$C$5:$C$200&lt;&gt;"")))),"ไม่พบใน Ownership Matrix")))</f>
        <v/>
      </c>
      <c r="Z671" s="31" t="str">
        <f>IF(NOT(AND($A671&lt;&gt;"",$M671&lt;&gt;"Out of Scope",$M671&lt;&gt;"Canceled",$T671&lt;&gt;"Fixed – Retest Passed",OR(LEN(TRIM($O671))&gt;0,LEN(TRIM($P671))&gt;0))),"",IF(OR($W671="Failed",$R671="Urgent",$R671="High",$R671="ระบุ Severity + Impact"),IF(COUNTIFS(Dashboard!$B$105:$B$124,$O671,Dashboard!$I$105:$I$124,"CAB")&gt;0,"Accepted (CF)","Blocking"),"Deferrable"))</f>
        <v/>
      </c>
    </row>
    <row r="672" spans="7:26" x14ac:dyDescent="0.3">
      <c r="G672" s="27" t="str" cm="1">
        <f t="array" ref="G672">IF($A672="","",IFERROR(_xlfn.TEXTJOIN(CHAR(10)&amp;CHAR(10),TRUE,_xlfn._xlws.FILTER("•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"&amp;Cards!$L$4:$L$1000),(Cards!$A$4:$A$1000&lt;&gt;"")*ISNUMBER(SEARCH($A672,Cards!$E$4:$E$1000)))),"-"))</f>
        <v/>
      </c>
      <c r="Q672" s="30"/>
      <c r="R672" s="27" t="str">
        <f>IF(OR($A672="",LEN(TRIM($O672))=0),"",IF(OR($P672="",$Q672=""),"ระบุ Severity + Impact",IFERROR(INDEX({"Urgent","Urgent","High","High";"Urgent","High","High","Medium";"High","High","Medium","Medium";"Medium","Medium","Low","Low"},MATCH($P672,{"Critical","High","Medium","Low"},0),MATCH($Q672,{"Extensive","Significant","Moderate","Minor"},0)),"-")))</f>
        <v/>
      </c>
      <c r="S672" s="30"/>
      <c r="T672" s="30"/>
      <c r="W672" s="32" t="str">
        <f>IF($A672="","",IF(OR($M672="Out of Scope",$M672="Canceled"),"Out of Scope",IF($M672="Blocked","Blocked",IF(AND($T672&lt;&gt;"Fixed – Retest Passed",OR(LEN(TRIM($O672))&gt;0,LEN(TRIM($P672))&gt;0)),IF(AND(OR($L672="Medium",$L672="Low"),SUMPRODUCT((Cards!$A$4:$A$1000&lt;&gt;"")*ISNUMBER(SEARCH($A672,Cards!$E$4:$E$1000))*(Cards!$F$4:$F$1000&lt;&gt;"Medium")*(Cards!$F$4:$F$1000&lt;&gt;"Low"))=0),"Conditionally Passed","Failed"),IF($M672="Done","Passed","Not Run")))))</f>
        <v/>
      </c>
      <c r="Y672" s="27" t="str" cm="1">
        <f t="array" ref="Y672">IF($A672="","",IF(TRIM($B672)="","-",IFERROR(_xlfn.TEXTJOIN(" / ",TRUE,_xlfn.UNIQUE(_xlfn._xlws.FILTER('Ownership Matrix'!$C$5:$C$200,('Ownership Matrix'!$A$5:$A$200=TRIM($B672))*('Ownership Matrix'!$C$5:$C$200&lt;&gt;"")))),"ไม่พบใน Ownership Matrix")))</f>
        <v/>
      </c>
      <c r="Z672" s="31" t="str">
        <f>IF(NOT(AND($A672&lt;&gt;"",$M672&lt;&gt;"Out of Scope",$M672&lt;&gt;"Canceled",$T672&lt;&gt;"Fixed – Retest Passed",OR(LEN(TRIM($O672))&gt;0,LEN(TRIM($P672))&gt;0))),"",IF(OR($W672="Failed",$R672="Urgent",$R672="High",$R672="ระบุ Severity + Impact"),IF(COUNTIFS(Dashboard!$B$105:$B$124,$O672,Dashboard!$I$105:$I$124,"CAB")&gt;0,"Accepted (CF)","Blocking"),"Deferrable"))</f>
        <v/>
      </c>
    </row>
    <row r="673" spans="7:26" x14ac:dyDescent="0.3">
      <c r="G673" s="27" t="str" cm="1">
        <f t="array" ref="G673">IF($A673="","",IFERROR(_xlfn.TEXTJOIN(CHAR(10)&amp;CHAR(10),TRUE,_xlfn._xlws.FILTER("•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"&amp;Cards!$L$4:$L$1000),(Cards!$A$4:$A$1000&lt;&gt;"")*ISNUMBER(SEARCH($A673,Cards!$E$4:$E$1000)))),"-"))</f>
        <v/>
      </c>
      <c r="Q673" s="30"/>
      <c r="R673" s="27" t="str">
        <f>IF(OR($A673="",LEN(TRIM($O673))=0),"",IF(OR($P673="",$Q673=""),"ระบุ Severity + Impact",IFERROR(INDEX({"Urgent","Urgent","High","High";"Urgent","High","High","Medium";"High","High","Medium","Medium";"Medium","Medium","Low","Low"},MATCH($P673,{"Critical","High","Medium","Low"},0),MATCH($Q673,{"Extensive","Significant","Moderate","Minor"},0)),"-")))</f>
        <v/>
      </c>
      <c r="S673" s="30"/>
      <c r="T673" s="30"/>
      <c r="W673" s="32" t="str">
        <f>IF($A673="","",IF(OR($M673="Out of Scope",$M673="Canceled"),"Out of Scope",IF($M673="Blocked","Blocked",IF(AND($T673&lt;&gt;"Fixed – Retest Passed",OR(LEN(TRIM($O673))&gt;0,LEN(TRIM($P673))&gt;0)),IF(AND(OR($L673="Medium",$L673="Low"),SUMPRODUCT((Cards!$A$4:$A$1000&lt;&gt;"")*ISNUMBER(SEARCH($A673,Cards!$E$4:$E$1000))*(Cards!$F$4:$F$1000&lt;&gt;"Medium")*(Cards!$F$4:$F$1000&lt;&gt;"Low"))=0),"Conditionally Passed","Failed"),IF($M673="Done","Passed","Not Run")))))</f>
        <v/>
      </c>
      <c r="Y673" s="27" t="str" cm="1">
        <f t="array" ref="Y673">IF($A673="","",IF(TRIM($B673)="","-",IFERROR(_xlfn.TEXTJOIN(" / ",TRUE,_xlfn.UNIQUE(_xlfn._xlws.FILTER('Ownership Matrix'!$C$5:$C$200,('Ownership Matrix'!$A$5:$A$200=TRIM($B673))*('Ownership Matrix'!$C$5:$C$200&lt;&gt;"")))),"ไม่พบใน Ownership Matrix")))</f>
        <v/>
      </c>
      <c r="Z673" s="31" t="str">
        <f>IF(NOT(AND($A673&lt;&gt;"",$M673&lt;&gt;"Out of Scope",$M673&lt;&gt;"Canceled",$T673&lt;&gt;"Fixed – Retest Passed",OR(LEN(TRIM($O673))&gt;0,LEN(TRIM($P673))&gt;0))),"",IF(OR($W673="Failed",$R673="Urgent",$R673="High",$R673="ระบุ Severity + Impact"),IF(COUNTIFS(Dashboard!$B$105:$B$124,$O673,Dashboard!$I$105:$I$124,"CAB")&gt;0,"Accepted (CF)","Blocking"),"Deferrable"))</f>
        <v/>
      </c>
    </row>
    <row r="674" spans="7:26" x14ac:dyDescent="0.3">
      <c r="G674" s="27" t="str" cm="1">
        <f t="array" ref="G674">IF($A674="","",IFERROR(_xlfn.TEXTJOIN(CHAR(10)&amp;CHAR(10),TRUE,_xlfn._xlws.FILTER("•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"&amp;Cards!$L$4:$L$1000),(Cards!$A$4:$A$1000&lt;&gt;"")*ISNUMBER(SEARCH($A674,Cards!$E$4:$E$1000)))),"-"))</f>
        <v/>
      </c>
      <c r="Q674" s="30"/>
      <c r="R674" s="27" t="str">
        <f>IF(OR($A674="",LEN(TRIM($O674))=0),"",IF(OR($P674="",$Q674=""),"ระบุ Severity + Impact",IFERROR(INDEX({"Urgent","Urgent","High","High";"Urgent","High","High","Medium";"High","High","Medium","Medium";"Medium","Medium","Low","Low"},MATCH($P674,{"Critical","High","Medium","Low"},0),MATCH($Q674,{"Extensive","Significant","Moderate","Minor"},0)),"-")))</f>
        <v/>
      </c>
      <c r="S674" s="30"/>
      <c r="T674" s="30"/>
      <c r="W674" s="32" t="str">
        <f>IF($A674="","",IF(OR($M674="Out of Scope",$M674="Canceled"),"Out of Scope",IF($M674="Blocked","Blocked",IF(AND($T674&lt;&gt;"Fixed – Retest Passed",OR(LEN(TRIM($O674))&gt;0,LEN(TRIM($P674))&gt;0)),IF(AND(OR($L674="Medium",$L674="Low"),SUMPRODUCT((Cards!$A$4:$A$1000&lt;&gt;"")*ISNUMBER(SEARCH($A674,Cards!$E$4:$E$1000))*(Cards!$F$4:$F$1000&lt;&gt;"Medium")*(Cards!$F$4:$F$1000&lt;&gt;"Low"))=0),"Conditionally Passed","Failed"),IF($M674="Done","Passed","Not Run")))))</f>
        <v/>
      </c>
      <c r="Y674" s="27" t="str" cm="1">
        <f t="array" ref="Y674">IF($A674="","",IF(TRIM($B674)="","-",IFERROR(_xlfn.TEXTJOIN(" / ",TRUE,_xlfn.UNIQUE(_xlfn._xlws.FILTER('Ownership Matrix'!$C$5:$C$200,('Ownership Matrix'!$A$5:$A$200=TRIM($B674))*('Ownership Matrix'!$C$5:$C$200&lt;&gt;"")))),"ไม่พบใน Ownership Matrix")))</f>
        <v/>
      </c>
      <c r="Z674" s="31" t="str">
        <f>IF(NOT(AND($A674&lt;&gt;"",$M674&lt;&gt;"Out of Scope",$M674&lt;&gt;"Canceled",$T674&lt;&gt;"Fixed – Retest Passed",OR(LEN(TRIM($O674))&gt;0,LEN(TRIM($P674))&gt;0))),"",IF(OR($W674="Failed",$R674="Urgent",$R674="High",$R674="ระบุ Severity + Impact"),IF(COUNTIFS(Dashboard!$B$105:$B$124,$O674,Dashboard!$I$105:$I$124,"CAB")&gt;0,"Accepted (CF)","Blocking"),"Deferrable"))</f>
        <v/>
      </c>
    </row>
    <row r="675" spans="7:26" x14ac:dyDescent="0.3">
      <c r="G675" s="27" t="str" cm="1">
        <f t="array" ref="G675">IF($A675="","",IFERROR(_xlfn.TEXTJOIN(CHAR(10)&amp;CHAR(10),TRUE,_xlfn._xlws.FILTER("•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"&amp;Cards!$L$4:$L$1000),(Cards!$A$4:$A$1000&lt;&gt;"")*ISNUMBER(SEARCH($A675,Cards!$E$4:$E$1000)))),"-"))</f>
        <v/>
      </c>
      <c r="Q675" s="30"/>
      <c r="R675" s="27" t="str">
        <f>IF(OR($A675="",LEN(TRIM($O675))=0),"",IF(OR($P675="",$Q675=""),"ระบุ Severity + Impact",IFERROR(INDEX({"Urgent","Urgent","High","High";"Urgent","High","High","Medium";"High","High","Medium","Medium";"Medium","Medium","Low","Low"},MATCH($P675,{"Critical","High","Medium","Low"},0),MATCH($Q675,{"Extensive","Significant","Moderate","Minor"},0)),"-")))</f>
        <v/>
      </c>
      <c r="S675" s="30"/>
      <c r="T675" s="30"/>
      <c r="W675" s="32" t="str">
        <f>IF($A675="","",IF(OR($M675="Out of Scope",$M675="Canceled"),"Out of Scope",IF($M675="Blocked","Blocked",IF(AND($T675&lt;&gt;"Fixed – Retest Passed",OR(LEN(TRIM($O675))&gt;0,LEN(TRIM($P675))&gt;0)),IF(AND(OR($L675="Medium",$L675="Low"),SUMPRODUCT((Cards!$A$4:$A$1000&lt;&gt;"")*ISNUMBER(SEARCH($A675,Cards!$E$4:$E$1000))*(Cards!$F$4:$F$1000&lt;&gt;"Medium")*(Cards!$F$4:$F$1000&lt;&gt;"Low"))=0),"Conditionally Passed","Failed"),IF($M675="Done","Passed","Not Run")))))</f>
        <v/>
      </c>
      <c r="Y675" s="27" t="str" cm="1">
        <f t="array" ref="Y675">IF($A675="","",IF(TRIM($B675)="","-",IFERROR(_xlfn.TEXTJOIN(" / ",TRUE,_xlfn.UNIQUE(_xlfn._xlws.FILTER('Ownership Matrix'!$C$5:$C$200,('Ownership Matrix'!$A$5:$A$200=TRIM($B675))*('Ownership Matrix'!$C$5:$C$200&lt;&gt;"")))),"ไม่พบใน Ownership Matrix")))</f>
        <v/>
      </c>
      <c r="Z675" s="31" t="str">
        <f>IF(NOT(AND($A675&lt;&gt;"",$M675&lt;&gt;"Out of Scope",$M675&lt;&gt;"Canceled",$T675&lt;&gt;"Fixed – Retest Passed",OR(LEN(TRIM($O675))&gt;0,LEN(TRIM($P675))&gt;0))),"",IF(OR($W675="Failed",$R675="Urgent",$R675="High",$R675="ระบุ Severity + Impact"),IF(COUNTIFS(Dashboard!$B$105:$B$124,$O675,Dashboard!$I$105:$I$124,"CAB")&gt;0,"Accepted (CF)","Blocking"),"Deferrable"))</f>
        <v/>
      </c>
    </row>
    <row r="676" spans="7:26" x14ac:dyDescent="0.3">
      <c r="G676" s="27" t="str" cm="1">
        <f t="array" ref="G676">IF($A676="","",IFERROR(_xlfn.TEXTJOIN(CHAR(10)&amp;CHAR(10),TRUE,_xlfn._xlws.FILTER("•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"&amp;Cards!$L$4:$L$1000),(Cards!$A$4:$A$1000&lt;&gt;"")*ISNUMBER(SEARCH($A676,Cards!$E$4:$E$1000)))),"-"))</f>
        <v/>
      </c>
      <c r="Q676" s="30"/>
      <c r="R676" s="27" t="str">
        <f>IF(OR($A676="",LEN(TRIM($O676))=0),"",IF(OR($P676="",$Q676=""),"ระบุ Severity + Impact",IFERROR(INDEX({"Urgent","Urgent","High","High";"Urgent","High","High","Medium";"High","High","Medium","Medium";"Medium","Medium","Low","Low"},MATCH($P676,{"Critical","High","Medium","Low"},0),MATCH($Q676,{"Extensive","Significant","Moderate","Minor"},0)),"-")))</f>
        <v/>
      </c>
      <c r="S676" s="30"/>
      <c r="T676" s="30"/>
      <c r="W676" s="32" t="str">
        <f>IF($A676="","",IF(OR($M676="Out of Scope",$M676="Canceled"),"Out of Scope",IF($M676="Blocked","Blocked",IF(AND($T676&lt;&gt;"Fixed – Retest Passed",OR(LEN(TRIM($O676))&gt;0,LEN(TRIM($P676))&gt;0)),IF(AND(OR($L676="Medium",$L676="Low"),SUMPRODUCT((Cards!$A$4:$A$1000&lt;&gt;"")*ISNUMBER(SEARCH($A676,Cards!$E$4:$E$1000))*(Cards!$F$4:$F$1000&lt;&gt;"Medium")*(Cards!$F$4:$F$1000&lt;&gt;"Low"))=0),"Conditionally Passed","Failed"),IF($M676="Done","Passed","Not Run")))))</f>
        <v/>
      </c>
      <c r="Y676" s="27" t="str" cm="1">
        <f t="array" ref="Y676">IF($A676="","",IF(TRIM($B676)="","-",IFERROR(_xlfn.TEXTJOIN(" / ",TRUE,_xlfn.UNIQUE(_xlfn._xlws.FILTER('Ownership Matrix'!$C$5:$C$200,('Ownership Matrix'!$A$5:$A$200=TRIM($B676))*('Ownership Matrix'!$C$5:$C$200&lt;&gt;"")))),"ไม่พบใน Ownership Matrix")))</f>
        <v/>
      </c>
      <c r="Z676" s="31" t="str">
        <f>IF(NOT(AND($A676&lt;&gt;"",$M676&lt;&gt;"Out of Scope",$M676&lt;&gt;"Canceled",$T676&lt;&gt;"Fixed – Retest Passed",OR(LEN(TRIM($O676))&gt;0,LEN(TRIM($P676))&gt;0))),"",IF(OR($W676="Failed",$R676="Urgent",$R676="High",$R676="ระบุ Severity + Impact"),IF(COUNTIFS(Dashboard!$B$105:$B$124,$O676,Dashboard!$I$105:$I$124,"CAB")&gt;0,"Accepted (CF)","Blocking"),"Deferrable"))</f>
        <v/>
      </c>
    </row>
    <row r="677" spans="7:26" x14ac:dyDescent="0.3">
      <c r="G677" s="27" t="str" cm="1">
        <f t="array" ref="G677">IF($A677="","",IFERROR(_xlfn.TEXTJOIN(CHAR(10)&amp;CHAR(10),TRUE,_xlfn._xlws.FILTER("•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"&amp;Cards!$L$4:$L$1000),(Cards!$A$4:$A$1000&lt;&gt;"")*ISNUMBER(SEARCH($A677,Cards!$E$4:$E$1000)))),"-"))</f>
        <v/>
      </c>
      <c r="Q677" s="30"/>
      <c r="R677" s="27" t="str">
        <f>IF(OR($A677="",LEN(TRIM($O677))=0),"",IF(OR($P677="",$Q677=""),"ระบุ Severity + Impact",IFERROR(INDEX({"Urgent","Urgent","High","High";"Urgent","High","High","Medium";"High","High","Medium","Medium";"Medium","Medium","Low","Low"},MATCH($P677,{"Critical","High","Medium","Low"},0),MATCH($Q677,{"Extensive","Significant","Moderate","Minor"},0)),"-")))</f>
        <v/>
      </c>
      <c r="S677" s="30"/>
      <c r="T677" s="30"/>
      <c r="W677" s="32" t="str">
        <f>IF($A677="","",IF(OR($M677="Out of Scope",$M677="Canceled"),"Out of Scope",IF($M677="Blocked","Blocked",IF(AND($T677&lt;&gt;"Fixed – Retest Passed",OR(LEN(TRIM($O677))&gt;0,LEN(TRIM($P677))&gt;0)),IF(AND(OR($L677="Medium",$L677="Low"),SUMPRODUCT((Cards!$A$4:$A$1000&lt;&gt;"")*ISNUMBER(SEARCH($A677,Cards!$E$4:$E$1000))*(Cards!$F$4:$F$1000&lt;&gt;"Medium")*(Cards!$F$4:$F$1000&lt;&gt;"Low"))=0),"Conditionally Passed","Failed"),IF($M677="Done","Passed","Not Run")))))</f>
        <v/>
      </c>
      <c r="Y677" s="27" t="str" cm="1">
        <f t="array" ref="Y677">IF($A677="","",IF(TRIM($B677)="","-",IFERROR(_xlfn.TEXTJOIN(" / ",TRUE,_xlfn.UNIQUE(_xlfn._xlws.FILTER('Ownership Matrix'!$C$5:$C$200,('Ownership Matrix'!$A$5:$A$200=TRIM($B677))*('Ownership Matrix'!$C$5:$C$200&lt;&gt;"")))),"ไม่พบใน Ownership Matrix")))</f>
        <v/>
      </c>
      <c r="Z677" s="31" t="str">
        <f>IF(NOT(AND($A677&lt;&gt;"",$M677&lt;&gt;"Out of Scope",$M677&lt;&gt;"Canceled",$T677&lt;&gt;"Fixed – Retest Passed",OR(LEN(TRIM($O677))&gt;0,LEN(TRIM($P677))&gt;0))),"",IF(OR($W677="Failed",$R677="Urgent",$R677="High",$R677="ระบุ Severity + Impact"),IF(COUNTIFS(Dashboard!$B$105:$B$124,$O677,Dashboard!$I$105:$I$124,"CAB")&gt;0,"Accepted (CF)","Blocking"),"Deferrable"))</f>
        <v/>
      </c>
    </row>
    <row r="678" spans="7:26" x14ac:dyDescent="0.3">
      <c r="G678" s="27" t="str" cm="1">
        <f t="array" ref="G678">IF($A678="","",IFERROR(_xlfn.TEXTJOIN(CHAR(10)&amp;CHAR(10),TRUE,_xlfn._xlws.FILTER("•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"&amp;Cards!$L$4:$L$1000),(Cards!$A$4:$A$1000&lt;&gt;"")*ISNUMBER(SEARCH($A678,Cards!$E$4:$E$1000)))),"-"))</f>
        <v/>
      </c>
      <c r="Q678" s="30"/>
      <c r="R678" s="27" t="str">
        <f>IF(OR($A678="",LEN(TRIM($O678))=0),"",IF(OR($P678="",$Q678=""),"ระบุ Severity + Impact",IFERROR(INDEX({"Urgent","Urgent","High","High";"Urgent","High","High","Medium";"High","High","Medium","Medium";"Medium","Medium","Low","Low"},MATCH($P678,{"Critical","High","Medium","Low"},0),MATCH($Q678,{"Extensive","Significant","Moderate","Minor"},0)),"-")))</f>
        <v/>
      </c>
      <c r="S678" s="30"/>
      <c r="T678" s="30"/>
      <c r="W678" s="32" t="str">
        <f>IF($A678="","",IF(OR($M678="Out of Scope",$M678="Canceled"),"Out of Scope",IF($M678="Blocked","Blocked",IF(AND($T678&lt;&gt;"Fixed – Retest Passed",OR(LEN(TRIM($O678))&gt;0,LEN(TRIM($P678))&gt;0)),IF(AND(OR($L678="Medium",$L678="Low"),SUMPRODUCT((Cards!$A$4:$A$1000&lt;&gt;"")*ISNUMBER(SEARCH($A678,Cards!$E$4:$E$1000))*(Cards!$F$4:$F$1000&lt;&gt;"Medium")*(Cards!$F$4:$F$1000&lt;&gt;"Low"))=0),"Conditionally Passed","Failed"),IF($M678="Done","Passed","Not Run")))))</f>
        <v/>
      </c>
      <c r="Y678" s="27" t="str" cm="1">
        <f t="array" ref="Y678">IF($A678="","",IF(TRIM($B678)="","-",IFERROR(_xlfn.TEXTJOIN(" / ",TRUE,_xlfn.UNIQUE(_xlfn._xlws.FILTER('Ownership Matrix'!$C$5:$C$200,('Ownership Matrix'!$A$5:$A$200=TRIM($B678))*('Ownership Matrix'!$C$5:$C$200&lt;&gt;"")))),"ไม่พบใน Ownership Matrix")))</f>
        <v/>
      </c>
      <c r="Z678" s="31" t="str">
        <f>IF(NOT(AND($A678&lt;&gt;"",$M678&lt;&gt;"Out of Scope",$M678&lt;&gt;"Canceled",$T678&lt;&gt;"Fixed – Retest Passed",OR(LEN(TRIM($O678))&gt;0,LEN(TRIM($P678))&gt;0))),"",IF(OR($W678="Failed",$R678="Urgent",$R678="High",$R678="ระบุ Severity + Impact"),IF(COUNTIFS(Dashboard!$B$105:$B$124,$O678,Dashboard!$I$105:$I$124,"CAB")&gt;0,"Accepted (CF)","Blocking"),"Deferrable"))</f>
        <v/>
      </c>
    </row>
    <row r="679" spans="7:26" x14ac:dyDescent="0.3">
      <c r="G679" s="27" t="str" cm="1">
        <f t="array" ref="G679">IF($A679="","",IFERROR(_xlfn.TEXTJOIN(CHAR(10)&amp;CHAR(10),TRUE,_xlfn._xlws.FILTER("•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"&amp;Cards!$L$4:$L$1000),(Cards!$A$4:$A$1000&lt;&gt;"")*ISNUMBER(SEARCH($A679,Cards!$E$4:$E$1000)))),"-"))</f>
        <v/>
      </c>
      <c r="Q679" s="30"/>
      <c r="R679" s="27" t="str">
        <f>IF(OR($A679="",LEN(TRIM($O679))=0),"",IF(OR($P679="",$Q679=""),"ระบุ Severity + Impact",IFERROR(INDEX({"Urgent","Urgent","High","High";"Urgent","High","High","Medium";"High","High","Medium","Medium";"Medium","Medium","Low","Low"},MATCH($P679,{"Critical","High","Medium","Low"},0),MATCH($Q679,{"Extensive","Significant","Moderate","Minor"},0)),"-")))</f>
        <v/>
      </c>
      <c r="S679" s="30"/>
      <c r="T679" s="30"/>
      <c r="W679" s="32" t="str">
        <f>IF($A679="","",IF(OR($M679="Out of Scope",$M679="Canceled"),"Out of Scope",IF($M679="Blocked","Blocked",IF(AND($T679&lt;&gt;"Fixed – Retest Passed",OR(LEN(TRIM($O679))&gt;0,LEN(TRIM($P679))&gt;0)),IF(AND(OR($L679="Medium",$L679="Low"),SUMPRODUCT((Cards!$A$4:$A$1000&lt;&gt;"")*ISNUMBER(SEARCH($A679,Cards!$E$4:$E$1000))*(Cards!$F$4:$F$1000&lt;&gt;"Medium")*(Cards!$F$4:$F$1000&lt;&gt;"Low"))=0),"Conditionally Passed","Failed"),IF($M679="Done","Passed","Not Run")))))</f>
        <v/>
      </c>
      <c r="Y679" s="27" t="str" cm="1">
        <f t="array" ref="Y679">IF($A679="","",IF(TRIM($B679)="","-",IFERROR(_xlfn.TEXTJOIN(" / ",TRUE,_xlfn.UNIQUE(_xlfn._xlws.FILTER('Ownership Matrix'!$C$5:$C$200,('Ownership Matrix'!$A$5:$A$200=TRIM($B679))*('Ownership Matrix'!$C$5:$C$200&lt;&gt;"")))),"ไม่พบใน Ownership Matrix")))</f>
        <v/>
      </c>
      <c r="Z679" s="31" t="str">
        <f>IF(NOT(AND($A679&lt;&gt;"",$M679&lt;&gt;"Out of Scope",$M679&lt;&gt;"Canceled",$T679&lt;&gt;"Fixed – Retest Passed",OR(LEN(TRIM($O679))&gt;0,LEN(TRIM($P679))&gt;0))),"",IF(OR($W679="Failed",$R679="Urgent",$R679="High",$R679="ระบุ Severity + Impact"),IF(COUNTIFS(Dashboard!$B$105:$B$124,$O679,Dashboard!$I$105:$I$124,"CAB")&gt;0,"Accepted (CF)","Blocking"),"Deferrable"))</f>
        <v/>
      </c>
    </row>
    <row r="680" spans="7:26" x14ac:dyDescent="0.3">
      <c r="G680" s="27" t="str" cm="1">
        <f t="array" ref="G680">IF($A680="","",IFERROR(_xlfn.TEXTJOIN(CHAR(10)&amp;CHAR(10),TRUE,_xlfn._xlws.FILTER("•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"&amp;Cards!$L$4:$L$1000),(Cards!$A$4:$A$1000&lt;&gt;"")*ISNUMBER(SEARCH($A680,Cards!$E$4:$E$1000)))),"-"))</f>
        <v/>
      </c>
      <c r="Q680" s="30"/>
      <c r="R680" s="27" t="str">
        <f>IF(OR($A680="",LEN(TRIM($O680))=0),"",IF(OR($P680="",$Q680=""),"ระบุ Severity + Impact",IFERROR(INDEX({"Urgent","Urgent","High","High";"Urgent","High","High","Medium";"High","High","Medium","Medium";"Medium","Medium","Low","Low"},MATCH($P680,{"Critical","High","Medium","Low"},0),MATCH($Q680,{"Extensive","Significant","Moderate","Minor"},0)),"-")))</f>
        <v/>
      </c>
      <c r="S680" s="30"/>
      <c r="T680" s="30"/>
      <c r="W680" s="32" t="str">
        <f>IF($A680="","",IF(OR($M680="Out of Scope",$M680="Canceled"),"Out of Scope",IF($M680="Blocked","Blocked",IF(AND($T680&lt;&gt;"Fixed – Retest Passed",OR(LEN(TRIM($O680))&gt;0,LEN(TRIM($P680))&gt;0)),IF(AND(OR($L680="Medium",$L680="Low"),SUMPRODUCT((Cards!$A$4:$A$1000&lt;&gt;"")*ISNUMBER(SEARCH($A680,Cards!$E$4:$E$1000))*(Cards!$F$4:$F$1000&lt;&gt;"Medium")*(Cards!$F$4:$F$1000&lt;&gt;"Low"))=0),"Conditionally Passed","Failed"),IF($M680="Done","Passed","Not Run")))))</f>
        <v/>
      </c>
      <c r="Y680" s="27" t="str" cm="1">
        <f t="array" ref="Y680">IF($A680="","",IF(TRIM($B680)="","-",IFERROR(_xlfn.TEXTJOIN(" / ",TRUE,_xlfn.UNIQUE(_xlfn._xlws.FILTER('Ownership Matrix'!$C$5:$C$200,('Ownership Matrix'!$A$5:$A$200=TRIM($B680))*('Ownership Matrix'!$C$5:$C$200&lt;&gt;"")))),"ไม่พบใน Ownership Matrix")))</f>
        <v/>
      </c>
      <c r="Z680" s="31" t="str">
        <f>IF(NOT(AND($A680&lt;&gt;"",$M680&lt;&gt;"Out of Scope",$M680&lt;&gt;"Canceled",$T680&lt;&gt;"Fixed – Retest Passed",OR(LEN(TRIM($O680))&gt;0,LEN(TRIM($P680))&gt;0))),"",IF(OR($W680="Failed",$R680="Urgent",$R680="High",$R680="ระบุ Severity + Impact"),IF(COUNTIFS(Dashboard!$B$105:$B$124,$O680,Dashboard!$I$105:$I$124,"CAB")&gt;0,"Accepted (CF)","Blocking"),"Deferrable"))</f>
        <v/>
      </c>
    </row>
    <row r="681" spans="7:26" x14ac:dyDescent="0.3">
      <c r="G681" s="27" t="str" cm="1">
        <f t="array" ref="G681">IF($A681="","",IFERROR(_xlfn.TEXTJOIN(CHAR(10)&amp;CHAR(10),TRUE,_xlfn._xlws.FILTER("•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"&amp;Cards!$L$4:$L$1000),(Cards!$A$4:$A$1000&lt;&gt;"")*ISNUMBER(SEARCH($A681,Cards!$E$4:$E$1000)))),"-"))</f>
        <v/>
      </c>
      <c r="Q681" s="30"/>
      <c r="R681" s="27" t="str">
        <f>IF(OR($A681="",LEN(TRIM($O681))=0),"",IF(OR($P681="",$Q681=""),"ระบุ Severity + Impact",IFERROR(INDEX({"Urgent","Urgent","High","High";"Urgent","High","High","Medium";"High","High","Medium","Medium";"Medium","Medium","Low","Low"},MATCH($P681,{"Critical","High","Medium","Low"},0),MATCH($Q681,{"Extensive","Significant","Moderate","Minor"},0)),"-")))</f>
        <v/>
      </c>
      <c r="S681" s="30"/>
      <c r="T681" s="30"/>
      <c r="W681" s="32" t="str">
        <f>IF($A681="","",IF(OR($M681="Out of Scope",$M681="Canceled"),"Out of Scope",IF($M681="Blocked","Blocked",IF(AND($T681&lt;&gt;"Fixed – Retest Passed",OR(LEN(TRIM($O681))&gt;0,LEN(TRIM($P681))&gt;0)),IF(AND(OR($L681="Medium",$L681="Low"),SUMPRODUCT((Cards!$A$4:$A$1000&lt;&gt;"")*ISNUMBER(SEARCH($A681,Cards!$E$4:$E$1000))*(Cards!$F$4:$F$1000&lt;&gt;"Medium")*(Cards!$F$4:$F$1000&lt;&gt;"Low"))=0),"Conditionally Passed","Failed"),IF($M681="Done","Passed","Not Run")))))</f>
        <v/>
      </c>
      <c r="Y681" s="27" t="str" cm="1">
        <f t="array" ref="Y681">IF($A681="","",IF(TRIM($B681)="","-",IFERROR(_xlfn.TEXTJOIN(" / ",TRUE,_xlfn.UNIQUE(_xlfn._xlws.FILTER('Ownership Matrix'!$C$5:$C$200,('Ownership Matrix'!$A$5:$A$200=TRIM($B681))*('Ownership Matrix'!$C$5:$C$200&lt;&gt;"")))),"ไม่พบใน Ownership Matrix")))</f>
        <v/>
      </c>
      <c r="Z681" s="31" t="str">
        <f>IF(NOT(AND($A681&lt;&gt;"",$M681&lt;&gt;"Out of Scope",$M681&lt;&gt;"Canceled",$T681&lt;&gt;"Fixed – Retest Passed",OR(LEN(TRIM($O681))&gt;0,LEN(TRIM($P681))&gt;0))),"",IF(OR($W681="Failed",$R681="Urgent",$R681="High",$R681="ระบุ Severity + Impact"),IF(COUNTIFS(Dashboard!$B$105:$B$124,$O681,Dashboard!$I$105:$I$124,"CAB")&gt;0,"Accepted (CF)","Blocking"),"Deferrable"))</f>
        <v/>
      </c>
    </row>
    <row r="682" spans="7:26" x14ac:dyDescent="0.3">
      <c r="G682" s="27" t="str" cm="1">
        <f t="array" ref="G682">IF($A682="","",IFERROR(_xlfn.TEXTJOIN(CHAR(10)&amp;CHAR(10),TRUE,_xlfn._xlws.FILTER("•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"&amp;Cards!$L$4:$L$1000),(Cards!$A$4:$A$1000&lt;&gt;"")*ISNUMBER(SEARCH($A682,Cards!$E$4:$E$1000)))),"-"))</f>
        <v/>
      </c>
      <c r="Q682" s="30"/>
      <c r="R682" s="27" t="str">
        <f>IF(OR($A682="",LEN(TRIM($O682))=0),"",IF(OR($P682="",$Q682=""),"ระบุ Severity + Impact",IFERROR(INDEX({"Urgent","Urgent","High","High";"Urgent","High","High","Medium";"High","High","Medium","Medium";"Medium","Medium","Low","Low"},MATCH($P682,{"Critical","High","Medium","Low"},0),MATCH($Q682,{"Extensive","Significant","Moderate","Minor"},0)),"-")))</f>
        <v/>
      </c>
      <c r="S682" s="30"/>
      <c r="T682" s="30"/>
      <c r="W682" s="32" t="str">
        <f>IF($A682="","",IF(OR($M682="Out of Scope",$M682="Canceled"),"Out of Scope",IF($M682="Blocked","Blocked",IF(AND($T682&lt;&gt;"Fixed – Retest Passed",OR(LEN(TRIM($O682))&gt;0,LEN(TRIM($P682))&gt;0)),IF(AND(OR($L682="Medium",$L682="Low"),SUMPRODUCT((Cards!$A$4:$A$1000&lt;&gt;"")*ISNUMBER(SEARCH($A682,Cards!$E$4:$E$1000))*(Cards!$F$4:$F$1000&lt;&gt;"Medium")*(Cards!$F$4:$F$1000&lt;&gt;"Low"))=0),"Conditionally Passed","Failed"),IF($M682="Done","Passed","Not Run")))))</f>
        <v/>
      </c>
      <c r="Y682" s="27" t="str" cm="1">
        <f t="array" ref="Y682">IF($A682="","",IF(TRIM($B682)="","-",IFERROR(_xlfn.TEXTJOIN(" / ",TRUE,_xlfn.UNIQUE(_xlfn._xlws.FILTER('Ownership Matrix'!$C$5:$C$200,('Ownership Matrix'!$A$5:$A$200=TRIM($B682))*('Ownership Matrix'!$C$5:$C$200&lt;&gt;"")))),"ไม่พบใน Ownership Matrix")))</f>
        <v/>
      </c>
      <c r="Z682" s="31" t="str">
        <f>IF(NOT(AND($A682&lt;&gt;"",$M682&lt;&gt;"Out of Scope",$M682&lt;&gt;"Canceled",$T682&lt;&gt;"Fixed – Retest Passed",OR(LEN(TRIM($O682))&gt;0,LEN(TRIM($P682))&gt;0))),"",IF(OR($W682="Failed",$R682="Urgent",$R682="High",$R682="ระบุ Severity + Impact"),IF(COUNTIFS(Dashboard!$B$105:$B$124,$O682,Dashboard!$I$105:$I$124,"CAB")&gt;0,"Accepted (CF)","Blocking"),"Deferrable"))</f>
        <v/>
      </c>
    </row>
    <row r="683" spans="7:26" x14ac:dyDescent="0.3">
      <c r="G683" s="27" t="str" cm="1">
        <f t="array" ref="G683">IF($A683="","",IFERROR(_xlfn.TEXTJOIN(CHAR(10)&amp;CHAR(10),TRUE,_xlfn._xlws.FILTER("•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"&amp;Cards!$L$4:$L$1000),(Cards!$A$4:$A$1000&lt;&gt;"")*ISNUMBER(SEARCH($A683,Cards!$E$4:$E$1000)))),"-"))</f>
        <v/>
      </c>
      <c r="Q683" s="30"/>
      <c r="R683" s="27" t="str">
        <f>IF(OR($A683="",LEN(TRIM($O683))=0),"",IF(OR($P683="",$Q683=""),"ระบุ Severity + Impact",IFERROR(INDEX({"Urgent","Urgent","High","High";"Urgent","High","High","Medium";"High","High","Medium","Medium";"Medium","Medium","Low","Low"},MATCH($P683,{"Critical","High","Medium","Low"},0),MATCH($Q683,{"Extensive","Significant","Moderate","Minor"},0)),"-")))</f>
        <v/>
      </c>
      <c r="S683" s="30"/>
      <c r="T683" s="30"/>
      <c r="W683" s="32" t="str">
        <f>IF($A683="","",IF(OR($M683="Out of Scope",$M683="Canceled"),"Out of Scope",IF($M683="Blocked","Blocked",IF(AND($T683&lt;&gt;"Fixed – Retest Passed",OR(LEN(TRIM($O683))&gt;0,LEN(TRIM($P683))&gt;0)),IF(AND(OR($L683="Medium",$L683="Low"),SUMPRODUCT((Cards!$A$4:$A$1000&lt;&gt;"")*ISNUMBER(SEARCH($A683,Cards!$E$4:$E$1000))*(Cards!$F$4:$F$1000&lt;&gt;"Medium")*(Cards!$F$4:$F$1000&lt;&gt;"Low"))=0),"Conditionally Passed","Failed"),IF($M683="Done","Passed","Not Run")))))</f>
        <v/>
      </c>
      <c r="Y683" s="27" t="str" cm="1">
        <f t="array" ref="Y683">IF($A683="","",IF(TRIM($B683)="","-",IFERROR(_xlfn.TEXTJOIN(" / ",TRUE,_xlfn.UNIQUE(_xlfn._xlws.FILTER('Ownership Matrix'!$C$5:$C$200,('Ownership Matrix'!$A$5:$A$200=TRIM($B683))*('Ownership Matrix'!$C$5:$C$200&lt;&gt;"")))),"ไม่พบใน Ownership Matrix")))</f>
        <v/>
      </c>
      <c r="Z683" s="31" t="str">
        <f>IF(NOT(AND($A683&lt;&gt;"",$M683&lt;&gt;"Out of Scope",$M683&lt;&gt;"Canceled",$T683&lt;&gt;"Fixed – Retest Passed",OR(LEN(TRIM($O683))&gt;0,LEN(TRIM($P683))&gt;0))),"",IF(OR($W683="Failed",$R683="Urgent",$R683="High",$R683="ระบุ Severity + Impact"),IF(COUNTIFS(Dashboard!$B$105:$B$124,$O683,Dashboard!$I$105:$I$124,"CAB")&gt;0,"Accepted (CF)","Blocking"),"Deferrable"))</f>
        <v/>
      </c>
    </row>
    <row r="684" spans="7:26" x14ac:dyDescent="0.3">
      <c r="G684" s="27" t="str" cm="1">
        <f t="array" ref="G684">IF($A684="","",IFERROR(_xlfn.TEXTJOIN(CHAR(10)&amp;CHAR(10),TRUE,_xlfn._xlws.FILTER("•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"&amp;Cards!$L$4:$L$1000),(Cards!$A$4:$A$1000&lt;&gt;"")*ISNUMBER(SEARCH($A684,Cards!$E$4:$E$1000)))),"-"))</f>
        <v/>
      </c>
      <c r="Q684" s="30"/>
      <c r="R684" s="27" t="str">
        <f>IF(OR($A684="",LEN(TRIM($O684))=0),"",IF(OR($P684="",$Q684=""),"ระบุ Severity + Impact",IFERROR(INDEX({"Urgent","Urgent","High","High";"Urgent","High","High","Medium";"High","High","Medium","Medium";"Medium","Medium","Low","Low"},MATCH($P684,{"Critical","High","Medium","Low"},0),MATCH($Q684,{"Extensive","Significant","Moderate","Minor"},0)),"-")))</f>
        <v/>
      </c>
      <c r="S684" s="30"/>
      <c r="T684" s="30"/>
      <c r="W684" s="32" t="str">
        <f>IF($A684="","",IF(OR($M684="Out of Scope",$M684="Canceled"),"Out of Scope",IF($M684="Blocked","Blocked",IF(AND($T684&lt;&gt;"Fixed – Retest Passed",OR(LEN(TRIM($O684))&gt;0,LEN(TRIM($P684))&gt;0)),IF(AND(OR($L684="Medium",$L684="Low"),SUMPRODUCT((Cards!$A$4:$A$1000&lt;&gt;"")*ISNUMBER(SEARCH($A684,Cards!$E$4:$E$1000))*(Cards!$F$4:$F$1000&lt;&gt;"Medium")*(Cards!$F$4:$F$1000&lt;&gt;"Low"))=0),"Conditionally Passed","Failed"),IF($M684="Done","Passed","Not Run")))))</f>
        <v/>
      </c>
      <c r="Y684" s="27" t="str" cm="1">
        <f t="array" ref="Y684">IF($A684="","",IF(TRIM($B684)="","-",IFERROR(_xlfn.TEXTJOIN(" / ",TRUE,_xlfn.UNIQUE(_xlfn._xlws.FILTER('Ownership Matrix'!$C$5:$C$200,('Ownership Matrix'!$A$5:$A$200=TRIM($B684))*('Ownership Matrix'!$C$5:$C$200&lt;&gt;"")))),"ไม่พบใน Ownership Matrix")))</f>
        <v/>
      </c>
      <c r="Z684" s="31" t="str">
        <f>IF(NOT(AND($A684&lt;&gt;"",$M684&lt;&gt;"Out of Scope",$M684&lt;&gt;"Canceled",$T684&lt;&gt;"Fixed – Retest Passed",OR(LEN(TRIM($O684))&gt;0,LEN(TRIM($P684))&gt;0))),"",IF(OR($W684="Failed",$R684="Urgent",$R684="High",$R684="ระบุ Severity + Impact"),IF(COUNTIFS(Dashboard!$B$105:$B$124,$O684,Dashboard!$I$105:$I$124,"CAB")&gt;0,"Accepted (CF)","Blocking"),"Deferrable"))</f>
        <v/>
      </c>
    </row>
    <row r="685" spans="7:26" x14ac:dyDescent="0.3">
      <c r="G685" s="27" t="str" cm="1">
        <f t="array" ref="G685">IF($A685="","",IFERROR(_xlfn.TEXTJOIN(CHAR(10)&amp;CHAR(10),TRUE,_xlfn._xlws.FILTER("•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"&amp;Cards!$L$4:$L$1000),(Cards!$A$4:$A$1000&lt;&gt;"")*ISNUMBER(SEARCH($A685,Cards!$E$4:$E$1000)))),"-"))</f>
        <v/>
      </c>
      <c r="Q685" s="30"/>
      <c r="R685" s="27" t="str">
        <f>IF(OR($A685="",LEN(TRIM($O685))=0),"",IF(OR($P685="",$Q685=""),"ระบุ Severity + Impact",IFERROR(INDEX({"Urgent","Urgent","High","High";"Urgent","High","High","Medium";"High","High","Medium","Medium";"Medium","Medium","Low","Low"},MATCH($P685,{"Critical","High","Medium","Low"},0),MATCH($Q685,{"Extensive","Significant","Moderate","Minor"},0)),"-")))</f>
        <v/>
      </c>
      <c r="S685" s="30"/>
      <c r="T685" s="30"/>
      <c r="W685" s="32" t="str">
        <f>IF($A685="","",IF(OR($M685="Out of Scope",$M685="Canceled"),"Out of Scope",IF($M685="Blocked","Blocked",IF(AND($T685&lt;&gt;"Fixed – Retest Passed",OR(LEN(TRIM($O685))&gt;0,LEN(TRIM($P685))&gt;0)),IF(AND(OR($L685="Medium",$L685="Low"),SUMPRODUCT((Cards!$A$4:$A$1000&lt;&gt;"")*ISNUMBER(SEARCH($A685,Cards!$E$4:$E$1000))*(Cards!$F$4:$F$1000&lt;&gt;"Medium")*(Cards!$F$4:$F$1000&lt;&gt;"Low"))=0),"Conditionally Passed","Failed"),IF($M685="Done","Passed","Not Run")))))</f>
        <v/>
      </c>
      <c r="Y685" s="27" t="str" cm="1">
        <f t="array" ref="Y685">IF($A685="","",IF(TRIM($B685)="","-",IFERROR(_xlfn.TEXTJOIN(" / ",TRUE,_xlfn.UNIQUE(_xlfn._xlws.FILTER('Ownership Matrix'!$C$5:$C$200,('Ownership Matrix'!$A$5:$A$200=TRIM($B685))*('Ownership Matrix'!$C$5:$C$200&lt;&gt;"")))),"ไม่พบใน Ownership Matrix")))</f>
        <v/>
      </c>
      <c r="Z685" s="31" t="str">
        <f>IF(NOT(AND($A685&lt;&gt;"",$M685&lt;&gt;"Out of Scope",$M685&lt;&gt;"Canceled",$T685&lt;&gt;"Fixed – Retest Passed",OR(LEN(TRIM($O685))&gt;0,LEN(TRIM($P685))&gt;0))),"",IF(OR($W685="Failed",$R685="Urgent",$R685="High",$R685="ระบุ Severity + Impact"),IF(COUNTIFS(Dashboard!$B$105:$B$124,$O685,Dashboard!$I$105:$I$124,"CAB")&gt;0,"Accepted (CF)","Blocking"),"Deferrable"))</f>
        <v/>
      </c>
    </row>
    <row r="686" spans="7:26" x14ac:dyDescent="0.3">
      <c r="G686" s="27" t="str" cm="1">
        <f t="array" ref="G686">IF($A686="","",IFERROR(_xlfn.TEXTJOIN(CHAR(10)&amp;CHAR(10),TRUE,_xlfn._xlws.FILTER("•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"&amp;Cards!$L$4:$L$1000),(Cards!$A$4:$A$1000&lt;&gt;"")*ISNUMBER(SEARCH($A686,Cards!$E$4:$E$1000)))),"-"))</f>
        <v/>
      </c>
      <c r="Q686" s="30"/>
      <c r="R686" s="27" t="str">
        <f>IF(OR($A686="",LEN(TRIM($O686))=0),"",IF(OR($P686="",$Q686=""),"ระบุ Severity + Impact",IFERROR(INDEX({"Urgent","Urgent","High","High";"Urgent","High","High","Medium";"High","High","Medium","Medium";"Medium","Medium","Low","Low"},MATCH($P686,{"Critical","High","Medium","Low"},0),MATCH($Q686,{"Extensive","Significant","Moderate","Minor"},0)),"-")))</f>
        <v/>
      </c>
      <c r="S686" s="30"/>
      <c r="T686" s="30"/>
      <c r="W686" s="32" t="str">
        <f>IF($A686="","",IF(OR($M686="Out of Scope",$M686="Canceled"),"Out of Scope",IF($M686="Blocked","Blocked",IF(AND($T686&lt;&gt;"Fixed – Retest Passed",OR(LEN(TRIM($O686))&gt;0,LEN(TRIM($P686))&gt;0)),IF(AND(OR($L686="Medium",$L686="Low"),SUMPRODUCT((Cards!$A$4:$A$1000&lt;&gt;"")*ISNUMBER(SEARCH($A686,Cards!$E$4:$E$1000))*(Cards!$F$4:$F$1000&lt;&gt;"Medium")*(Cards!$F$4:$F$1000&lt;&gt;"Low"))=0),"Conditionally Passed","Failed"),IF($M686="Done","Passed","Not Run")))))</f>
        <v/>
      </c>
      <c r="Y686" s="27" t="str" cm="1">
        <f t="array" ref="Y686">IF($A686="","",IF(TRIM($B686)="","-",IFERROR(_xlfn.TEXTJOIN(" / ",TRUE,_xlfn.UNIQUE(_xlfn._xlws.FILTER('Ownership Matrix'!$C$5:$C$200,('Ownership Matrix'!$A$5:$A$200=TRIM($B686))*('Ownership Matrix'!$C$5:$C$200&lt;&gt;"")))),"ไม่พบใน Ownership Matrix")))</f>
        <v/>
      </c>
      <c r="Z686" s="31" t="str">
        <f>IF(NOT(AND($A686&lt;&gt;"",$M686&lt;&gt;"Out of Scope",$M686&lt;&gt;"Canceled",$T686&lt;&gt;"Fixed – Retest Passed",OR(LEN(TRIM($O686))&gt;0,LEN(TRIM($P686))&gt;0))),"",IF(OR($W686="Failed",$R686="Urgent",$R686="High",$R686="ระบุ Severity + Impact"),IF(COUNTIFS(Dashboard!$B$105:$B$124,$O686,Dashboard!$I$105:$I$124,"CAB")&gt;0,"Accepted (CF)","Blocking"),"Deferrable"))</f>
        <v/>
      </c>
    </row>
    <row r="687" spans="7:26" x14ac:dyDescent="0.3">
      <c r="G687" s="27" t="str" cm="1">
        <f t="array" ref="G687">IF($A687="","",IFERROR(_xlfn.TEXTJOIN(CHAR(10)&amp;CHAR(10),TRUE,_xlfn._xlws.FILTER("•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"&amp;Cards!$L$4:$L$1000),(Cards!$A$4:$A$1000&lt;&gt;"")*ISNUMBER(SEARCH($A687,Cards!$E$4:$E$1000)))),"-"))</f>
        <v/>
      </c>
      <c r="Q687" s="30"/>
      <c r="R687" s="27" t="str">
        <f>IF(OR($A687="",LEN(TRIM($O687))=0),"",IF(OR($P687="",$Q687=""),"ระบุ Severity + Impact",IFERROR(INDEX({"Urgent","Urgent","High","High";"Urgent","High","High","Medium";"High","High","Medium","Medium";"Medium","Medium","Low","Low"},MATCH($P687,{"Critical","High","Medium","Low"},0),MATCH($Q687,{"Extensive","Significant","Moderate","Minor"},0)),"-")))</f>
        <v/>
      </c>
      <c r="S687" s="30"/>
      <c r="T687" s="30"/>
      <c r="W687" s="32" t="str">
        <f>IF($A687="","",IF(OR($M687="Out of Scope",$M687="Canceled"),"Out of Scope",IF($M687="Blocked","Blocked",IF(AND($T687&lt;&gt;"Fixed – Retest Passed",OR(LEN(TRIM($O687))&gt;0,LEN(TRIM($P687))&gt;0)),IF(AND(OR($L687="Medium",$L687="Low"),SUMPRODUCT((Cards!$A$4:$A$1000&lt;&gt;"")*ISNUMBER(SEARCH($A687,Cards!$E$4:$E$1000))*(Cards!$F$4:$F$1000&lt;&gt;"Medium")*(Cards!$F$4:$F$1000&lt;&gt;"Low"))=0),"Conditionally Passed","Failed"),IF($M687="Done","Passed","Not Run")))))</f>
        <v/>
      </c>
      <c r="Y687" s="27" t="str" cm="1">
        <f t="array" ref="Y687">IF($A687="","",IF(TRIM($B687)="","-",IFERROR(_xlfn.TEXTJOIN(" / ",TRUE,_xlfn.UNIQUE(_xlfn._xlws.FILTER('Ownership Matrix'!$C$5:$C$200,('Ownership Matrix'!$A$5:$A$200=TRIM($B687))*('Ownership Matrix'!$C$5:$C$200&lt;&gt;"")))),"ไม่พบใน Ownership Matrix")))</f>
        <v/>
      </c>
      <c r="Z687" s="31" t="str">
        <f>IF(NOT(AND($A687&lt;&gt;"",$M687&lt;&gt;"Out of Scope",$M687&lt;&gt;"Canceled",$T687&lt;&gt;"Fixed – Retest Passed",OR(LEN(TRIM($O687))&gt;0,LEN(TRIM($P687))&gt;0))),"",IF(OR($W687="Failed",$R687="Urgent",$R687="High",$R687="ระบุ Severity + Impact"),IF(COUNTIFS(Dashboard!$B$105:$B$124,$O687,Dashboard!$I$105:$I$124,"CAB")&gt;0,"Accepted (CF)","Blocking"),"Deferrable"))</f>
        <v/>
      </c>
    </row>
    <row r="688" spans="7:26" x14ac:dyDescent="0.3">
      <c r="G688" s="27" t="str" cm="1">
        <f t="array" ref="G688">IF($A688="","",IFERROR(_xlfn.TEXTJOIN(CHAR(10)&amp;CHAR(10),TRUE,_xlfn._xlws.FILTER("•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"&amp;Cards!$L$4:$L$1000),(Cards!$A$4:$A$1000&lt;&gt;"")*ISNUMBER(SEARCH($A688,Cards!$E$4:$E$1000)))),"-"))</f>
        <v/>
      </c>
      <c r="Q688" s="30"/>
      <c r="R688" s="27" t="str">
        <f>IF(OR($A688="",LEN(TRIM($O688))=0),"",IF(OR($P688="",$Q688=""),"ระบุ Severity + Impact",IFERROR(INDEX({"Urgent","Urgent","High","High";"Urgent","High","High","Medium";"High","High","Medium","Medium";"Medium","Medium","Low","Low"},MATCH($P688,{"Critical","High","Medium","Low"},0),MATCH($Q688,{"Extensive","Significant","Moderate","Minor"},0)),"-")))</f>
        <v/>
      </c>
      <c r="S688" s="30"/>
      <c r="T688" s="30"/>
      <c r="W688" s="32" t="str">
        <f>IF($A688="","",IF(OR($M688="Out of Scope",$M688="Canceled"),"Out of Scope",IF($M688="Blocked","Blocked",IF(AND($T688&lt;&gt;"Fixed – Retest Passed",OR(LEN(TRIM($O688))&gt;0,LEN(TRIM($P688))&gt;0)),IF(AND(OR($L688="Medium",$L688="Low"),SUMPRODUCT((Cards!$A$4:$A$1000&lt;&gt;"")*ISNUMBER(SEARCH($A688,Cards!$E$4:$E$1000))*(Cards!$F$4:$F$1000&lt;&gt;"Medium")*(Cards!$F$4:$F$1000&lt;&gt;"Low"))=0),"Conditionally Passed","Failed"),IF($M688="Done","Passed","Not Run")))))</f>
        <v/>
      </c>
      <c r="Y688" s="27" t="str" cm="1">
        <f t="array" ref="Y688">IF($A688="","",IF(TRIM($B688)="","-",IFERROR(_xlfn.TEXTJOIN(" / ",TRUE,_xlfn.UNIQUE(_xlfn._xlws.FILTER('Ownership Matrix'!$C$5:$C$200,('Ownership Matrix'!$A$5:$A$200=TRIM($B688))*('Ownership Matrix'!$C$5:$C$200&lt;&gt;"")))),"ไม่พบใน Ownership Matrix")))</f>
        <v/>
      </c>
      <c r="Z688" s="31" t="str">
        <f>IF(NOT(AND($A688&lt;&gt;"",$M688&lt;&gt;"Out of Scope",$M688&lt;&gt;"Canceled",$T688&lt;&gt;"Fixed – Retest Passed",OR(LEN(TRIM($O688))&gt;0,LEN(TRIM($P688))&gt;0))),"",IF(OR($W688="Failed",$R688="Urgent",$R688="High",$R688="ระบุ Severity + Impact"),IF(COUNTIFS(Dashboard!$B$105:$B$124,$O688,Dashboard!$I$105:$I$124,"CAB")&gt;0,"Accepted (CF)","Blocking"),"Deferrable"))</f>
        <v/>
      </c>
    </row>
    <row r="689" spans="7:26" x14ac:dyDescent="0.3">
      <c r="G689" s="27" t="str" cm="1">
        <f t="array" ref="G689">IF($A689="","",IFERROR(_xlfn.TEXTJOIN(CHAR(10)&amp;CHAR(10),TRUE,_xlfn._xlws.FILTER("•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"&amp;Cards!$L$4:$L$1000),(Cards!$A$4:$A$1000&lt;&gt;"")*ISNUMBER(SEARCH($A689,Cards!$E$4:$E$1000)))),"-"))</f>
        <v/>
      </c>
      <c r="Q689" s="30"/>
      <c r="R689" s="27" t="str">
        <f>IF(OR($A689="",LEN(TRIM($O689))=0),"",IF(OR($P689="",$Q689=""),"ระบุ Severity + Impact",IFERROR(INDEX({"Urgent","Urgent","High","High";"Urgent","High","High","Medium";"High","High","Medium","Medium";"Medium","Medium","Low","Low"},MATCH($P689,{"Critical","High","Medium","Low"},0),MATCH($Q689,{"Extensive","Significant","Moderate","Minor"},0)),"-")))</f>
        <v/>
      </c>
      <c r="S689" s="30"/>
      <c r="T689" s="30"/>
      <c r="W689" s="32" t="str">
        <f>IF($A689="","",IF(OR($M689="Out of Scope",$M689="Canceled"),"Out of Scope",IF($M689="Blocked","Blocked",IF(AND($T689&lt;&gt;"Fixed – Retest Passed",OR(LEN(TRIM($O689))&gt;0,LEN(TRIM($P689))&gt;0)),IF(AND(OR($L689="Medium",$L689="Low"),SUMPRODUCT((Cards!$A$4:$A$1000&lt;&gt;"")*ISNUMBER(SEARCH($A689,Cards!$E$4:$E$1000))*(Cards!$F$4:$F$1000&lt;&gt;"Medium")*(Cards!$F$4:$F$1000&lt;&gt;"Low"))=0),"Conditionally Passed","Failed"),IF($M689="Done","Passed","Not Run")))))</f>
        <v/>
      </c>
      <c r="Y689" s="27" t="str" cm="1">
        <f t="array" ref="Y689">IF($A689="","",IF(TRIM($B689)="","-",IFERROR(_xlfn.TEXTJOIN(" / ",TRUE,_xlfn.UNIQUE(_xlfn._xlws.FILTER('Ownership Matrix'!$C$5:$C$200,('Ownership Matrix'!$A$5:$A$200=TRIM($B689))*('Ownership Matrix'!$C$5:$C$200&lt;&gt;"")))),"ไม่พบใน Ownership Matrix")))</f>
        <v/>
      </c>
      <c r="Z689" s="31" t="str">
        <f>IF(NOT(AND($A689&lt;&gt;"",$M689&lt;&gt;"Out of Scope",$M689&lt;&gt;"Canceled",$T689&lt;&gt;"Fixed – Retest Passed",OR(LEN(TRIM($O689))&gt;0,LEN(TRIM($P689))&gt;0))),"",IF(OR($W689="Failed",$R689="Urgent",$R689="High",$R689="ระบุ Severity + Impact"),IF(COUNTIFS(Dashboard!$B$105:$B$124,$O689,Dashboard!$I$105:$I$124,"CAB")&gt;0,"Accepted (CF)","Blocking"),"Deferrable"))</f>
        <v/>
      </c>
    </row>
    <row r="690" spans="7:26" x14ac:dyDescent="0.3">
      <c r="G690" s="27" t="str" cm="1">
        <f t="array" ref="G690">IF($A690="","",IFERROR(_xlfn.TEXTJOIN(CHAR(10)&amp;CHAR(10),TRUE,_xlfn._xlws.FILTER("•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"&amp;Cards!$L$4:$L$1000),(Cards!$A$4:$A$1000&lt;&gt;"")*ISNUMBER(SEARCH($A690,Cards!$E$4:$E$1000)))),"-"))</f>
        <v/>
      </c>
      <c r="Q690" s="30"/>
      <c r="R690" s="27" t="str">
        <f>IF(OR($A690="",LEN(TRIM($O690))=0),"",IF(OR($P690="",$Q690=""),"ระบุ Severity + Impact",IFERROR(INDEX({"Urgent","Urgent","High","High";"Urgent","High","High","Medium";"High","High","Medium","Medium";"Medium","Medium","Low","Low"},MATCH($P690,{"Critical","High","Medium","Low"},0),MATCH($Q690,{"Extensive","Significant","Moderate","Minor"},0)),"-")))</f>
        <v/>
      </c>
      <c r="S690" s="30"/>
      <c r="T690" s="30"/>
      <c r="W690" s="32" t="str">
        <f>IF($A690="","",IF(OR($M690="Out of Scope",$M690="Canceled"),"Out of Scope",IF($M690="Blocked","Blocked",IF(AND($T690&lt;&gt;"Fixed – Retest Passed",OR(LEN(TRIM($O690))&gt;0,LEN(TRIM($P690))&gt;0)),IF(AND(OR($L690="Medium",$L690="Low"),SUMPRODUCT((Cards!$A$4:$A$1000&lt;&gt;"")*ISNUMBER(SEARCH($A690,Cards!$E$4:$E$1000))*(Cards!$F$4:$F$1000&lt;&gt;"Medium")*(Cards!$F$4:$F$1000&lt;&gt;"Low"))=0),"Conditionally Passed","Failed"),IF($M690="Done","Passed","Not Run")))))</f>
        <v/>
      </c>
      <c r="Y690" s="27" t="str" cm="1">
        <f t="array" ref="Y690">IF($A690="","",IF(TRIM($B690)="","-",IFERROR(_xlfn.TEXTJOIN(" / ",TRUE,_xlfn.UNIQUE(_xlfn._xlws.FILTER('Ownership Matrix'!$C$5:$C$200,('Ownership Matrix'!$A$5:$A$200=TRIM($B690))*('Ownership Matrix'!$C$5:$C$200&lt;&gt;"")))),"ไม่พบใน Ownership Matrix")))</f>
        <v/>
      </c>
      <c r="Z690" s="31" t="str">
        <f>IF(NOT(AND($A690&lt;&gt;"",$M690&lt;&gt;"Out of Scope",$M690&lt;&gt;"Canceled",$T690&lt;&gt;"Fixed – Retest Passed",OR(LEN(TRIM($O690))&gt;0,LEN(TRIM($P690))&gt;0))),"",IF(OR($W690="Failed",$R690="Urgent",$R690="High",$R690="ระบุ Severity + Impact"),IF(COUNTIFS(Dashboard!$B$105:$B$124,$O690,Dashboard!$I$105:$I$124,"CAB")&gt;0,"Accepted (CF)","Blocking"),"Deferrable"))</f>
        <v/>
      </c>
    </row>
    <row r="691" spans="7:26" x14ac:dyDescent="0.3">
      <c r="G691" s="27" t="str" cm="1">
        <f t="array" ref="G691">IF($A691="","",IFERROR(_xlfn.TEXTJOIN(CHAR(10)&amp;CHAR(10),TRUE,_xlfn._xlws.FILTER("•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"&amp;Cards!$L$4:$L$1000),(Cards!$A$4:$A$1000&lt;&gt;"")*ISNUMBER(SEARCH($A691,Cards!$E$4:$E$1000)))),"-"))</f>
        <v/>
      </c>
      <c r="Q691" s="30"/>
      <c r="R691" s="27" t="str">
        <f>IF(OR($A691="",LEN(TRIM($O691))=0),"",IF(OR($P691="",$Q691=""),"ระบุ Severity + Impact",IFERROR(INDEX({"Urgent","Urgent","High","High";"Urgent","High","High","Medium";"High","High","Medium","Medium";"Medium","Medium","Low","Low"},MATCH($P691,{"Critical","High","Medium","Low"},0),MATCH($Q691,{"Extensive","Significant","Moderate","Minor"},0)),"-")))</f>
        <v/>
      </c>
      <c r="S691" s="30"/>
      <c r="T691" s="30"/>
      <c r="W691" s="32" t="str">
        <f>IF($A691="","",IF(OR($M691="Out of Scope",$M691="Canceled"),"Out of Scope",IF($M691="Blocked","Blocked",IF(AND($T691&lt;&gt;"Fixed – Retest Passed",OR(LEN(TRIM($O691))&gt;0,LEN(TRIM($P691))&gt;0)),IF(AND(OR($L691="Medium",$L691="Low"),SUMPRODUCT((Cards!$A$4:$A$1000&lt;&gt;"")*ISNUMBER(SEARCH($A691,Cards!$E$4:$E$1000))*(Cards!$F$4:$F$1000&lt;&gt;"Medium")*(Cards!$F$4:$F$1000&lt;&gt;"Low"))=0),"Conditionally Passed","Failed"),IF($M691="Done","Passed","Not Run")))))</f>
        <v/>
      </c>
      <c r="Y691" s="27" t="str" cm="1">
        <f t="array" ref="Y691">IF($A691="","",IF(TRIM($B691)="","-",IFERROR(_xlfn.TEXTJOIN(" / ",TRUE,_xlfn.UNIQUE(_xlfn._xlws.FILTER('Ownership Matrix'!$C$5:$C$200,('Ownership Matrix'!$A$5:$A$200=TRIM($B691))*('Ownership Matrix'!$C$5:$C$200&lt;&gt;"")))),"ไม่พบใน Ownership Matrix")))</f>
        <v/>
      </c>
      <c r="Z691" s="31" t="str">
        <f>IF(NOT(AND($A691&lt;&gt;"",$M691&lt;&gt;"Out of Scope",$M691&lt;&gt;"Canceled",$T691&lt;&gt;"Fixed – Retest Passed",OR(LEN(TRIM($O691))&gt;0,LEN(TRIM($P691))&gt;0))),"",IF(OR($W691="Failed",$R691="Urgent",$R691="High",$R691="ระบุ Severity + Impact"),IF(COUNTIFS(Dashboard!$B$105:$B$124,$O691,Dashboard!$I$105:$I$124,"CAB")&gt;0,"Accepted (CF)","Blocking"),"Deferrable"))</f>
        <v/>
      </c>
    </row>
    <row r="692" spans="7:26" x14ac:dyDescent="0.3">
      <c r="G692" s="27" t="str" cm="1">
        <f t="array" ref="G692">IF($A692="","",IFERROR(_xlfn.TEXTJOIN(CHAR(10)&amp;CHAR(10),TRUE,_xlfn._xlws.FILTER("•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"&amp;Cards!$L$4:$L$1000),(Cards!$A$4:$A$1000&lt;&gt;"")*ISNUMBER(SEARCH($A692,Cards!$E$4:$E$1000)))),"-"))</f>
        <v/>
      </c>
      <c r="Q692" s="30"/>
      <c r="R692" s="27" t="str">
        <f>IF(OR($A692="",LEN(TRIM($O692))=0),"",IF(OR($P692="",$Q692=""),"ระบุ Severity + Impact",IFERROR(INDEX({"Urgent","Urgent","High","High";"Urgent","High","High","Medium";"High","High","Medium","Medium";"Medium","Medium","Low","Low"},MATCH($P692,{"Critical","High","Medium","Low"},0),MATCH($Q692,{"Extensive","Significant","Moderate","Minor"},0)),"-")))</f>
        <v/>
      </c>
      <c r="S692" s="30"/>
      <c r="T692" s="30"/>
      <c r="W692" s="32" t="str">
        <f>IF($A692="","",IF(OR($M692="Out of Scope",$M692="Canceled"),"Out of Scope",IF($M692="Blocked","Blocked",IF(AND($T692&lt;&gt;"Fixed – Retest Passed",OR(LEN(TRIM($O692))&gt;0,LEN(TRIM($P692))&gt;0)),IF(AND(OR($L692="Medium",$L692="Low"),SUMPRODUCT((Cards!$A$4:$A$1000&lt;&gt;"")*ISNUMBER(SEARCH($A692,Cards!$E$4:$E$1000))*(Cards!$F$4:$F$1000&lt;&gt;"Medium")*(Cards!$F$4:$F$1000&lt;&gt;"Low"))=0),"Conditionally Passed","Failed"),IF($M692="Done","Passed","Not Run")))))</f>
        <v/>
      </c>
      <c r="Y692" s="27" t="str" cm="1">
        <f t="array" ref="Y692">IF($A692="","",IF(TRIM($B692)="","-",IFERROR(_xlfn.TEXTJOIN(" / ",TRUE,_xlfn.UNIQUE(_xlfn._xlws.FILTER('Ownership Matrix'!$C$5:$C$200,('Ownership Matrix'!$A$5:$A$200=TRIM($B692))*('Ownership Matrix'!$C$5:$C$200&lt;&gt;"")))),"ไม่พบใน Ownership Matrix")))</f>
        <v/>
      </c>
      <c r="Z692" s="31" t="str">
        <f>IF(NOT(AND($A692&lt;&gt;"",$M692&lt;&gt;"Out of Scope",$M692&lt;&gt;"Canceled",$T692&lt;&gt;"Fixed – Retest Passed",OR(LEN(TRIM($O692))&gt;0,LEN(TRIM($P692))&gt;0))),"",IF(OR($W692="Failed",$R692="Urgent",$R692="High",$R692="ระบุ Severity + Impact"),IF(COUNTIFS(Dashboard!$B$105:$B$124,$O692,Dashboard!$I$105:$I$124,"CAB")&gt;0,"Accepted (CF)","Blocking"),"Deferrable"))</f>
        <v/>
      </c>
    </row>
    <row r="693" spans="7:26" x14ac:dyDescent="0.3">
      <c r="G693" s="27" t="str" cm="1">
        <f t="array" ref="G693">IF($A693="","",IFERROR(_xlfn.TEXTJOIN(CHAR(10)&amp;CHAR(10),TRUE,_xlfn._xlws.FILTER("•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"&amp;Cards!$L$4:$L$1000),(Cards!$A$4:$A$1000&lt;&gt;"")*ISNUMBER(SEARCH($A693,Cards!$E$4:$E$1000)))),"-"))</f>
        <v/>
      </c>
      <c r="Q693" s="30"/>
      <c r="R693" s="27" t="str">
        <f>IF(OR($A693="",LEN(TRIM($O693))=0),"",IF(OR($P693="",$Q693=""),"ระบุ Severity + Impact",IFERROR(INDEX({"Urgent","Urgent","High","High";"Urgent","High","High","Medium";"High","High","Medium","Medium";"Medium","Medium","Low","Low"},MATCH($P693,{"Critical","High","Medium","Low"},0),MATCH($Q693,{"Extensive","Significant","Moderate","Minor"},0)),"-")))</f>
        <v/>
      </c>
      <c r="S693" s="30"/>
      <c r="T693" s="30"/>
      <c r="W693" s="32" t="str">
        <f>IF($A693="","",IF(OR($M693="Out of Scope",$M693="Canceled"),"Out of Scope",IF($M693="Blocked","Blocked",IF(AND($T693&lt;&gt;"Fixed – Retest Passed",OR(LEN(TRIM($O693))&gt;0,LEN(TRIM($P693))&gt;0)),IF(AND(OR($L693="Medium",$L693="Low"),SUMPRODUCT((Cards!$A$4:$A$1000&lt;&gt;"")*ISNUMBER(SEARCH($A693,Cards!$E$4:$E$1000))*(Cards!$F$4:$F$1000&lt;&gt;"Medium")*(Cards!$F$4:$F$1000&lt;&gt;"Low"))=0),"Conditionally Passed","Failed"),IF($M693="Done","Passed","Not Run")))))</f>
        <v/>
      </c>
      <c r="Y693" s="27" t="str" cm="1">
        <f t="array" ref="Y693">IF($A693="","",IF(TRIM($B693)="","-",IFERROR(_xlfn.TEXTJOIN(" / ",TRUE,_xlfn.UNIQUE(_xlfn._xlws.FILTER('Ownership Matrix'!$C$5:$C$200,('Ownership Matrix'!$A$5:$A$200=TRIM($B693))*('Ownership Matrix'!$C$5:$C$200&lt;&gt;"")))),"ไม่พบใน Ownership Matrix")))</f>
        <v/>
      </c>
      <c r="Z693" s="31" t="str">
        <f>IF(NOT(AND($A693&lt;&gt;"",$M693&lt;&gt;"Out of Scope",$M693&lt;&gt;"Canceled",$T693&lt;&gt;"Fixed – Retest Passed",OR(LEN(TRIM($O693))&gt;0,LEN(TRIM($P693))&gt;0))),"",IF(OR($W693="Failed",$R693="Urgent",$R693="High",$R693="ระบุ Severity + Impact"),IF(COUNTIFS(Dashboard!$B$105:$B$124,$O693,Dashboard!$I$105:$I$124,"CAB")&gt;0,"Accepted (CF)","Blocking"),"Deferrable"))</f>
        <v/>
      </c>
    </row>
    <row r="694" spans="7:26" x14ac:dyDescent="0.3">
      <c r="G694" s="27" t="str" cm="1">
        <f t="array" ref="G694">IF($A694="","",IFERROR(_xlfn.TEXTJOIN(CHAR(10)&amp;CHAR(10),TRUE,_xlfn._xlws.FILTER("•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"&amp;Cards!$L$4:$L$1000),(Cards!$A$4:$A$1000&lt;&gt;"")*ISNUMBER(SEARCH($A694,Cards!$E$4:$E$1000)))),"-"))</f>
        <v/>
      </c>
      <c r="Q694" s="30"/>
      <c r="R694" s="27" t="str">
        <f>IF(OR($A694="",LEN(TRIM($O694))=0),"",IF(OR($P694="",$Q694=""),"ระบุ Severity + Impact",IFERROR(INDEX({"Urgent","Urgent","High","High";"Urgent","High","High","Medium";"High","High","Medium","Medium";"Medium","Medium","Low","Low"},MATCH($P694,{"Critical","High","Medium","Low"},0),MATCH($Q694,{"Extensive","Significant","Moderate","Minor"},0)),"-")))</f>
        <v/>
      </c>
      <c r="S694" s="30"/>
      <c r="T694" s="30"/>
      <c r="W694" s="32" t="str">
        <f>IF($A694="","",IF(OR($M694="Out of Scope",$M694="Canceled"),"Out of Scope",IF($M694="Blocked","Blocked",IF(AND($T694&lt;&gt;"Fixed – Retest Passed",OR(LEN(TRIM($O694))&gt;0,LEN(TRIM($P694))&gt;0)),IF(AND(OR($L694="Medium",$L694="Low"),SUMPRODUCT((Cards!$A$4:$A$1000&lt;&gt;"")*ISNUMBER(SEARCH($A694,Cards!$E$4:$E$1000))*(Cards!$F$4:$F$1000&lt;&gt;"Medium")*(Cards!$F$4:$F$1000&lt;&gt;"Low"))=0),"Conditionally Passed","Failed"),IF($M694="Done","Passed","Not Run")))))</f>
        <v/>
      </c>
      <c r="Y694" s="27" t="str" cm="1">
        <f t="array" ref="Y694">IF($A694="","",IF(TRIM($B694)="","-",IFERROR(_xlfn.TEXTJOIN(" / ",TRUE,_xlfn.UNIQUE(_xlfn._xlws.FILTER('Ownership Matrix'!$C$5:$C$200,('Ownership Matrix'!$A$5:$A$200=TRIM($B694))*('Ownership Matrix'!$C$5:$C$200&lt;&gt;"")))),"ไม่พบใน Ownership Matrix")))</f>
        <v/>
      </c>
      <c r="Z694" s="31" t="str">
        <f>IF(NOT(AND($A694&lt;&gt;"",$M694&lt;&gt;"Out of Scope",$M694&lt;&gt;"Canceled",$T694&lt;&gt;"Fixed – Retest Passed",OR(LEN(TRIM($O694))&gt;0,LEN(TRIM($P694))&gt;0))),"",IF(OR($W694="Failed",$R694="Urgent",$R694="High",$R694="ระบุ Severity + Impact"),IF(COUNTIFS(Dashboard!$B$105:$B$124,$O694,Dashboard!$I$105:$I$124,"CAB")&gt;0,"Accepted (CF)","Blocking"),"Deferrable"))</f>
        <v/>
      </c>
    </row>
    <row r="695" spans="7:26" x14ac:dyDescent="0.3">
      <c r="G695" s="27" t="str" cm="1">
        <f t="array" ref="G695">IF($A695="","",IFERROR(_xlfn.TEXTJOIN(CHAR(10)&amp;CHAR(10),TRUE,_xlfn._xlws.FILTER("•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"&amp;Cards!$L$4:$L$1000),(Cards!$A$4:$A$1000&lt;&gt;"")*ISNUMBER(SEARCH($A695,Cards!$E$4:$E$1000)))),"-"))</f>
        <v/>
      </c>
      <c r="Q695" s="30"/>
      <c r="R695" s="27" t="str">
        <f>IF(OR($A695="",LEN(TRIM($O695))=0),"",IF(OR($P695="",$Q695=""),"ระบุ Severity + Impact",IFERROR(INDEX({"Urgent","Urgent","High","High";"Urgent","High","High","Medium";"High","High","Medium","Medium";"Medium","Medium","Low","Low"},MATCH($P695,{"Critical","High","Medium","Low"},0),MATCH($Q695,{"Extensive","Significant","Moderate","Minor"},0)),"-")))</f>
        <v/>
      </c>
      <c r="S695" s="30"/>
      <c r="T695" s="30"/>
      <c r="W695" s="32" t="str">
        <f>IF($A695="","",IF(OR($M695="Out of Scope",$M695="Canceled"),"Out of Scope",IF($M695="Blocked","Blocked",IF(AND($T695&lt;&gt;"Fixed – Retest Passed",OR(LEN(TRIM($O695))&gt;0,LEN(TRIM($P695))&gt;0)),IF(AND(OR($L695="Medium",$L695="Low"),SUMPRODUCT((Cards!$A$4:$A$1000&lt;&gt;"")*ISNUMBER(SEARCH($A695,Cards!$E$4:$E$1000))*(Cards!$F$4:$F$1000&lt;&gt;"Medium")*(Cards!$F$4:$F$1000&lt;&gt;"Low"))=0),"Conditionally Passed","Failed"),IF($M695="Done","Passed","Not Run")))))</f>
        <v/>
      </c>
      <c r="Y695" s="27" t="str" cm="1">
        <f t="array" ref="Y695">IF($A695="","",IF(TRIM($B695)="","-",IFERROR(_xlfn.TEXTJOIN(" / ",TRUE,_xlfn.UNIQUE(_xlfn._xlws.FILTER('Ownership Matrix'!$C$5:$C$200,('Ownership Matrix'!$A$5:$A$200=TRIM($B695))*('Ownership Matrix'!$C$5:$C$200&lt;&gt;"")))),"ไม่พบใน Ownership Matrix")))</f>
        <v/>
      </c>
      <c r="Z695" s="31" t="str">
        <f>IF(NOT(AND($A695&lt;&gt;"",$M695&lt;&gt;"Out of Scope",$M695&lt;&gt;"Canceled",$T695&lt;&gt;"Fixed – Retest Passed",OR(LEN(TRIM($O695))&gt;0,LEN(TRIM($P695))&gt;0))),"",IF(OR($W695="Failed",$R695="Urgent",$R695="High",$R695="ระบุ Severity + Impact"),IF(COUNTIFS(Dashboard!$B$105:$B$124,$O695,Dashboard!$I$105:$I$124,"CAB")&gt;0,"Accepted (CF)","Blocking"),"Deferrable"))</f>
        <v/>
      </c>
    </row>
    <row r="696" spans="7:26" x14ac:dyDescent="0.3">
      <c r="G696" s="27" t="str" cm="1">
        <f t="array" ref="G696">IF($A696="","",IFERROR(_xlfn.TEXTJOIN(CHAR(10)&amp;CHAR(10),TRUE,_xlfn._xlws.FILTER("•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"&amp;Cards!$L$4:$L$1000),(Cards!$A$4:$A$1000&lt;&gt;"")*ISNUMBER(SEARCH($A696,Cards!$E$4:$E$1000)))),"-"))</f>
        <v/>
      </c>
      <c r="Q696" s="30"/>
      <c r="R696" s="27" t="str">
        <f>IF(OR($A696="",LEN(TRIM($O696))=0),"",IF(OR($P696="",$Q696=""),"ระบุ Severity + Impact",IFERROR(INDEX({"Urgent","Urgent","High","High";"Urgent","High","High","Medium";"High","High","Medium","Medium";"Medium","Medium","Low","Low"},MATCH($P696,{"Critical","High","Medium","Low"},0),MATCH($Q696,{"Extensive","Significant","Moderate","Minor"},0)),"-")))</f>
        <v/>
      </c>
      <c r="S696" s="30"/>
      <c r="T696" s="30"/>
      <c r="W696" s="32" t="str">
        <f>IF($A696="","",IF(OR($M696="Out of Scope",$M696="Canceled"),"Out of Scope",IF($M696="Blocked","Blocked",IF(AND($T696&lt;&gt;"Fixed – Retest Passed",OR(LEN(TRIM($O696))&gt;0,LEN(TRIM($P696))&gt;0)),IF(AND(OR($L696="Medium",$L696="Low"),SUMPRODUCT((Cards!$A$4:$A$1000&lt;&gt;"")*ISNUMBER(SEARCH($A696,Cards!$E$4:$E$1000))*(Cards!$F$4:$F$1000&lt;&gt;"Medium")*(Cards!$F$4:$F$1000&lt;&gt;"Low"))=0),"Conditionally Passed","Failed"),IF($M696="Done","Passed","Not Run")))))</f>
        <v/>
      </c>
      <c r="Y696" s="27" t="str" cm="1">
        <f t="array" ref="Y696">IF($A696="","",IF(TRIM($B696)="","-",IFERROR(_xlfn.TEXTJOIN(" / ",TRUE,_xlfn.UNIQUE(_xlfn._xlws.FILTER('Ownership Matrix'!$C$5:$C$200,('Ownership Matrix'!$A$5:$A$200=TRIM($B696))*('Ownership Matrix'!$C$5:$C$200&lt;&gt;"")))),"ไม่พบใน Ownership Matrix")))</f>
        <v/>
      </c>
      <c r="Z696" s="31" t="str">
        <f>IF(NOT(AND($A696&lt;&gt;"",$M696&lt;&gt;"Out of Scope",$M696&lt;&gt;"Canceled",$T696&lt;&gt;"Fixed – Retest Passed",OR(LEN(TRIM($O696))&gt;0,LEN(TRIM($P696))&gt;0))),"",IF(OR($W696="Failed",$R696="Urgent",$R696="High",$R696="ระบุ Severity + Impact"),IF(COUNTIFS(Dashboard!$B$105:$B$124,$O696,Dashboard!$I$105:$I$124,"CAB")&gt;0,"Accepted (CF)","Blocking"),"Deferrable"))</f>
        <v/>
      </c>
    </row>
    <row r="697" spans="7:26" x14ac:dyDescent="0.3">
      <c r="G697" s="27" t="str" cm="1">
        <f t="array" ref="G697">IF($A697="","",IFERROR(_xlfn.TEXTJOIN(CHAR(10)&amp;CHAR(10),TRUE,_xlfn._xlws.FILTER("•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"&amp;Cards!$L$4:$L$1000),(Cards!$A$4:$A$1000&lt;&gt;"")*ISNUMBER(SEARCH($A697,Cards!$E$4:$E$1000)))),"-"))</f>
        <v/>
      </c>
      <c r="Q697" s="30"/>
      <c r="R697" s="27" t="str">
        <f>IF(OR($A697="",LEN(TRIM($O697))=0),"",IF(OR($P697="",$Q697=""),"ระบุ Severity + Impact",IFERROR(INDEX({"Urgent","Urgent","High","High";"Urgent","High","High","Medium";"High","High","Medium","Medium";"Medium","Medium","Low","Low"},MATCH($P697,{"Critical","High","Medium","Low"},0),MATCH($Q697,{"Extensive","Significant","Moderate","Minor"},0)),"-")))</f>
        <v/>
      </c>
      <c r="S697" s="30"/>
      <c r="T697" s="30"/>
      <c r="W697" s="32" t="str">
        <f>IF($A697="","",IF(OR($M697="Out of Scope",$M697="Canceled"),"Out of Scope",IF($M697="Blocked","Blocked",IF(AND($T697&lt;&gt;"Fixed – Retest Passed",OR(LEN(TRIM($O697))&gt;0,LEN(TRIM($P697))&gt;0)),IF(AND(OR($L697="Medium",$L697="Low"),SUMPRODUCT((Cards!$A$4:$A$1000&lt;&gt;"")*ISNUMBER(SEARCH($A697,Cards!$E$4:$E$1000))*(Cards!$F$4:$F$1000&lt;&gt;"Medium")*(Cards!$F$4:$F$1000&lt;&gt;"Low"))=0),"Conditionally Passed","Failed"),IF($M697="Done","Passed","Not Run")))))</f>
        <v/>
      </c>
      <c r="Y697" s="27" t="str" cm="1">
        <f t="array" ref="Y697">IF($A697="","",IF(TRIM($B697)="","-",IFERROR(_xlfn.TEXTJOIN(" / ",TRUE,_xlfn.UNIQUE(_xlfn._xlws.FILTER('Ownership Matrix'!$C$5:$C$200,('Ownership Matrix'!$A$5:$A$200=TRIM($B697))*('Ownership Matrix'!$C$5:$C$200&lt;&gt;"")))),"ไม่พบใน Ownership Matrix")))</f>
        <v/>
      </c>
      <c r="Z697" s="31" t="str">
        <f>IF(NOT(AND($A697&lt;&gt;"",$M697&lt;&gt;"Out of Scope",$M697&lt;&gt;"Canceled",$T697&lt;&gt;"Fixed – Retest Passed",OR(LEN(TRIM($O697))&gt;0,LEN(TRIM($P697))&gt;0))),"",IF(OR($W697="Failed",$R697="Urgent",$R697="High",$R697="ระบุ Severity + Impact"),IF(COUNTIFS(Dashboard!$B$105:$B$124,$O697,Dashboard!$I$105:$I$124,"CAB")&gt;0,"Accepted (CF)","Blocking"),"Deferrable"))</f>
        <v/>
      </c>
    </row>
    <row r="698" spans="7:26" x14ac:dyDescent="0.3">
      <c r="G698" s="27" t="str" cm="1">
        <f t="array" ref="G698">IF($A698="","",IFERROR(_xlfn.TEXTJOIN(CHAR(10)&amp;CHAR(10),TRUE,_xlfn._xlws.FILTER("•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"&amp;Cards!$L$4:$L$1000),(Cards!$A$4:$A$1000&lt;&gt;"")*ISNUMBER(SEARCH($A698,Cards!$E$4:$E$1000)))),"-"))</f>
        <v/>
      </c>
      <c r="Q698" s="30"/>
      <c r="R698" s="27" t="str">
        <f>IF(OR($A698="",LEN(TRIM($O698))=0),"",IF(OR($P698="",$Q698=""),"ระบุ Severity + Impact",IFERROR(INDEX({"Urgent","Urgent","High","High";"Urgent","High","High","Medium";"High","High","Medium","Medium";"Medium","Medium","Low","Low"},MATCH($P698,{"Critical","High","Medium","Low"},0),MATCH($Q698,{"Extensive","Significant","Moderate","Minor"},0)),"-")))</f>
        <v/>
      </c>
      <c r="S698" s="30"/>
      <c r="T698" s="30"/>
      <c r="W698" s="32" t="str">
        <f>IF($A698="","",IF(OR($M698="Out of Scope",$M698="Canceled"),"Out of Scope",IF($M698="Blocked","Blocked",IF(AND($T698&lt;&gt;"Fixed – Retest Passed",OR(LEN(TRIM($O698))&gt;0,LEN(TRIM($P698))&gt;0)),IF(AND(OR($L698="Medium",$L698="Low"),SUMPRODUCT((Cards!$A$4:$A$1000&lt;&gt;"")*ISNUMBER(SEARCH($A698,Cards!$E$4:$E$1000))*(Cards!$F$4:$F$1000&lt;&gt;"Medium")*(Cards!$F$4:$F$1000&lt;&gt;"Low"))=0),"Conditionally Passed","Failed"),IF($M698="Done","Passed","Not Run")))))</f>
        <v/>
      </c>
      <c r="Y698" s="27" t="str" cm="1">
        <f t="array" ref="Y698">IF($A698="","",IF(TRIM($B698)="","-",IFERROR(_xlfn.TEXTJOIN(" / ",TRUE,_xlfn.UNIQUE(_xlfn._xlws.FILTER('Ownership Matrix'!$C$5:$C$200,('Ownership Matrix'!$A$5:$A$200=TRIM($B698))*('Ownership Matrix'!$C$5:$C$200&lt;&gt;"")))),"ไม่พบใน Ownership Matrix")))</f>
        <v/>
      </c>
      <c r="Z698" s="31" t="str">
        <f>IF(NOT(AND($A698&lt;&gt;"",$M698&lt;&gt;"Out of Scope",$M698&lt;&gt;"Canceled",$T698&lt;&gt;"Fixed – Retest Passed",OR(LEN(TRIM($O698))&gt;0,LEN(TRIM($P698))&gt;0))),"",IF(OR($W698="Failed",$R698="Urgent",$R698="High",$R698="ระบุ Severity + Impact"),IF(COUNTIFS(Dashboard!$B$105:$B$124,$O698,Dashboard!$I$105:$I$124,"CAB")&gt;0,"Accepted (CF)","Blocking"),"Deferrable"))</f>
        <v/>
      </c>
    </row>
    <row r="699" spans="7:26" x14ac:dyDescent="0.3">
      <c r="G699" s="27" t="str" cm="1">
        <f t="array" ref="G699">IF($A699="","",IFERROR(_xlfn.TEXTJOIN(CHAR(10)&amp;CHAR(10),TRUE,_xlfn._xlws.FILTER("•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"&amp;Cards!$L$4:$L$1000),(Cards!$A$4:$A$1000&lt;&gt;"")*ISNUMBER(SEARCH($A699,Cards!$E$4:$E$1000)))),"-"))</f>
        <v/>
      </c>
      <c r="Q699" s="30"/>
      <c r="R699" s="27" t="str">
        <f>IF(OR($A699="",LEN(TRIM($O699))=0),"",IF(OR($P699="",$Q699=""),"ระบุ Severity + Impact",IFERROR(INDEX({"Urgent","Urgent","High","High";"Urgent","High","High","Medium";"High","High","Medium","Medium";"Medium","Medium","Low","Low"},MATCH($P699,{"Critical","High","Medium","Low"},0),MATCH($Q699,{"Extensive","Significant","Moderate","Minor"},0)),"-")))</f>
        <v/>
      </c>
      <c r="S699" s="30"/>
      <c r="T699" s="30"/>
      <c r="W699" s="32" t="str">
        <f>IF($A699="","",IF(OR($M699="Out of Scope",$M699="Canceled"),"Out of Scope",IF($M699="Blocked","Blocked",IF(AND($T699&lt;&gt;"Fixed – Retest Passed",OR(LEN(TRIM($O699))&gt;0,LEN(TRIM($P699))&gt;0)),IF(AND(OR($L699="Medium",$L699="Low"),SUMPRODUCT((Cards!$A$4:$A$1000&lt;&gt;"")*ISNUMBER(SEARCH($A699,Cards!$E$4:$E$1000))*(Cards!$F$4:$F$1000&lt;&gt;"Medium")*(Cards!$F$4:$F$1000&lt;&gt;"Low"))=0),"Conditionally Passed","Failed"),IF($M699="Done","Passed","Not Run")))))</f>
        <v/>
      </c>
      <c r="Y699" s="27" t="str" cm="1">
        <f t="array" ref="Y699">IF($A699="","",IF(TRIM($B699)="","-",IFERROR(_xlfn.TEXTJOIN(" / ",TRUE,_xlfn.UNIQUE(_xlfn._xlws.FILTER('Ownership Matrix'!$C$5:$C$200,('Ownership Matrix'!$A$5:$A$200=TRIM($B699))*('Ownership Matrix'!$C$5:$C$200&lt;&gt;"")))),"ไม่พบใน Ownership Matrix")))</f>
        <v/>
      </c>
      <c r="Z699" s="31" t="str">
        <f>IF(NOT(AND($A699&lt;&gt;"",$M699&lt;&gt;"Out of Scope",$M699&lt;&gt;"Canceled",$T699&lt;&gt;"Fixed – Retest Passed",OR(LEN(TRIM($O699))&gt;0,LEN(TRIM($P699))&gt;0))),"",IF(OR($W699="Failed",$R699="Urgent",$R699="High",$R699="ระบุ Severity + Impact"),IF(COUNTIFS(Dashboard!$B$105:$B$124,$O699,Dashboard!$I$105:$I$124,"CAB")&gt;0,"Accepted (CF)","Blocking"),"Deferrable"))</f>
        <v/>
      </c>
    </row>
    <row r="700" spans="7:26" x14ac:dyDescent="0.3">
      <c r="G700" s="27" t="str" cm="1">
        <f t="array" ref="G700">IF($A700="","",IFERROR(_xlfn.TEXTJOIN(CHAR(10)&amp;CHAR(10),TRUE,_xlfn._xlws.FILTER("•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"&amp;Cards!$L$4:$L$1000),(Cards!$A$4:$A$1000&lt;&gt;"")*ISNUMBER(SEARCH($A700,Cards!$E$4:$E$1000)))),"-"))</f>
        <v/>
      </c>
      <c r="Q700" s="30"/>
      <c r="R700" s="27" t="str">
        <f>IF(OR($A700="",LEN(TRIM($O700))=0),"",IF(OR($P700="",$Q700=""),"ระบุ Severity + Impact",IFERROR(INDEX({"Urgent","Urgent","High","High";"Urgent","High","High","Medium";"High","High","Medium","Medium";"Medium","Medium","Low","Low"},MATCH($P700,{"Critical","High","Medium","Low"},0),MATCH($Q700,{"Extensive","Significant","Moderate","Minor"},0)),"-")))</f>
        <v/>
      </c>
      <c r="S700" s="30"/>
      <c r="T700" s="30"/>
      <c r="W700" s="32" t="str">
        <f>IF($A700="","",IF(OR($M700="Out of Scope",$M700="Canceled"),"Out of Scope",IF($M700="Blocked","Blocked",IF(AND($T700&lt;&gt;"Fixed – Retest Passed",OR(LEN(TRIM($O700))&gt;0,LEN(TRIM($P700))&gt;0)),IF(AND(OR($L700="Medium",$L700="Low"),SUMPRODUCT((Cards!$A$4:$A$1000&lt;&gt;"")*ISNUMBER(SEARCH($A700,Cards!$E$4:$E$1000))*(Cards!$F$4:$F$1000&lt;&gt;"Medium")*(Cards!$F$4:$F$1000&lt;&gt;"Low"))=0),"Conditionally Passed","Failed"),IF($M700="Done","Passed","Not Run")))))</f>
        <v/>
      </c>
      <c r="Y700" s="27" t="str" cm="1">
        <f t="array" ref="Y700">IF($A700="","",IF(TRIM($B700)="","-",IFERROR(_xlfn.TEXTJOIN(" / ",TRUE,_xlfn.UNIQUE(_xlfn._xlws.FILTER('Ownership Matrix'!$C$5:$C$200,('Ownership Matrix'!$A$5:$A$200=TRIM($B700))*('Ownership Matrix'!$C$5:$C$200&lt;&gt;"")))),"ไม่พบใน Ownership Matrix")))</f>
        <v/>
      </c>
      <c r="Z700" s="31" t="str">
        <f>IF(NOT(AND($A700&lt;&gt;"",$M700&lt;&gt;"Out of Scope",$M700&lt;&gt;"Canceled",$T700&lt;&gt;"Fixed – Retest Passed",OR(LEN(TRIM($O700))&gt;0,LEN(TRIM($P700))&gt;0))),"",IF(OR($W700="Failed",$R700="Urgent",$R700="High",$R700="ระบุ Severity + Impact"),IF(COUNTIFS(Dashboard!$B$105:$B$124,$O700,Dashboard!$I$105:$I$124,"CAB")&gt;0,"Accepted (CF)","Blocking"),"Deferrable"))</f>
        <v/>
      </c>
    </row>
    <row r="701" spans="7:26" x14ac:dyDescent="0.3">
      <c r="G701" s="27" t="str" cm="1">
        <f t="array" ref="G701">IF($A701="","",IFERROR(_xlfn.TEXTJOIN(CHAR(10)&amp;CHAR(10),TRUE,_xlfn._xlws.FILTER("•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"&amp;Cards!$L$4:$L$1000),(Cards!$A$4:$A$1000&lt;&gt;"")*ISNUMBER(SEARCH($A701,Cards!$E$4:$E$1000)))),"-"))</f>
        <v/>
      </c>
      <c r="Q701" s="30"/>
      <c r="R701" s="27" t="str">
        <f>IF(OR($A701="",LEN(TRIM($O701))=0),"",IF(OR($P701="",$Q701=""),"ระบุ Severity + Impact",IFERROR(INDEX({"Urgent","Urgent","High","High";"Urgent","High","High","Medium";"High","High","Medium","Medium";"Medium","Medium","Low","Low"},MATCH($P701,{"Critical","High","Medium","Low"},0),MATCH($Q701,{"Extensive","Significant","Moderate","Minor"},0)),"-")))</f>
        <v/>
      </c>
      <c r="S701" s="30"/>
      <c r="T701" s="30"/>
      <c r="W701" s="32" t="str">
        <f>IF($A701="","",IF(OR($M701="Out of Scope",$M701="Canceled"),"Out of Scope",IF($M701="Blocked","Blocked",IF(AND($T701&lt;&gt;"Fixed – Retest Passed",OR(LEN(TRIM($O701))&gt;0,LEN(TRIM($P701))&gt;0)),IF(AND(OR($L701="Medium",$L701="Low"),SUMPRODUCT((Cards!$A$4:$A$1000&lt;&gt;"")*ISNUMBER(SEARCH($A701,Cards!$E$4:$E$1000))*(Cards!$F$4:$F$1000&lt;&gt;"Medium")*(Cards!$F$4:$F$1000&lt;&gt;"Low"))=0),"Conditionally Passed","Failed"),IF($M701="Done","Passed","Not Run")))))</f>
        <v/>
      </c>
      <c r="Y701" s="27" t="str" cm="1">
        <f t="array" ref="Y701">IF($A701="","",IF(TRIM($B701)="","-",IFERROR(_xlfn.TEXTJOIN(" / ",TRUE,_xlfn.UNIQUE(_xlfn._xlws.FILTER('Ownership Matrix'!$C$5:$C$200,('Ownership Matrix'!$A$5:$A$200=TRIM($B701))*('Ownership Matrix'!$C$5:$C$200&lt;&gt;"")))),"ไม่พบใน Ownership Matrix")))</f>
        <v/>
      </c>
      <c r="Z701" s="31" t="str">
        <f>IF(NOT(AND($A701&lt;&gt;"",$M701&lt;&gt;"Out of Scope",$M701&lt;&gt;"Canceled",$T701&lt;&gt;"Fixed – Retest Passed",OR(LEN(TRIM($O701))&gt;0,LEN(TRIM($P701))&gt;0))),"",IF(OR($W701="Failed",$R701="Urgent",$R701="High",$R701="ระบุ Severity + Impact"),IF(COUNTIFS(Dashboard!$B$105:$B$124,$O701,Dashboard!$I$105:$I$124,"CAB")&gt;0,"Accepted (CF)","Blocking"),"Deferrable"))</f>
        <v/>
      </c>
    </row>
    <row r="702" spans="7:26" x14ac:dyDescent="0.3">
      <c r="G702" s="27" t="str" cm="1">
        <f t="array" ref="G702">IF($A702="","",IFERROR(_xlfn.TEXTJOIN(CHAR(10)&amp;CHAR(10),TRUE,_xlfn._xlws.FILTER("•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"&amp;Cards!$L$4:$L$1000),(Cards!$A$4:$A$1000&lt;&gt;"")*ISNUMBER(SEARCH($A702,Cards!$E$4:$E$1000)))),"-"))</f>
        <v/>
      </c>
      <c r="Q702" s="30"/>
      <c r="R702" s="27" t="str">
        <f>IF(OR($A702="",LEN(TRIM($O702))=0),"",IF(OR($P702="",$Q702=""),"ระบุ Severity + Impact",IFERROR(INDEX({"Urgent","Urgent","High","High";"Urgent","High","High","Medium";"High","High","Medium","Medium";"Medium","Medium","Low","Low"},MATCH($P702,{"Critical","High","Medium","Low"},0),MATCH($Q702,{"Extensive","Significant","Moderate","Minor"},0)),"-")))</f>
        <v/>
      </c>
      <c r="S702" s="30"/>
      <c r="T702" s="30"/>
      <c r="W702" s="32" t="str">
        <f>IF($A702="","",IF(OR($M702="Out of Scope",$M702="Canceled"),"Out of Scope",IF($M702="Blocked","Blocked",IF(AND($T702&lt;&gt;"Fixed – Retest Passed",OR(LEN(TRIM($O702))&gt;0,LEN(TRIM($P702))&gt;0)),IF(AND(OR($L702="Medium",$L702="Low"),SUMPRODUCT((Cards!$A$4:$A$1000&lt;&gt;"")*ISNUMBER(SEARCH($A702,Cards!$E$4:$E$1000))*(Cards!$F$4:$F$1000&lt;&gt;"Medium")*(Cards!$F$4:$F$1000&lt;&gt;"Low"))=0),"Conditionally Passed","Failed"),IF($M702="Done","Passed","Not Run")))))</f>
        <v/>
      </c>
      <c r="Y702" s="27" t="str" cm="1">
        <f t="array" ref="Y702">IF($A702="","",IF(TRIM($B702)="","-",IFERROR(_xlfn.TEXTJOIN(" / ",TRUE,_xlfn.UNIQUE(_xlfn._xlws.FILTER('Ownership Matrix'!$C$5:$C$200,('Ownership Matrix'!$A$5:$A$200=TRIM($B702))*('Ownership Matrix'!$C$5:$C$200&lt;&gt;"")))),"ไม่พบใน Ownership Matrix")))</f>
        <v/>
      </c>
      <c r="Z702" s="31" t="str">
        <f>IF(NOT(AND($A702&lt;&gt;"",$M702&lt;&gt;"Out of Scope",$M702&lt;&gt;"Canceled",$T702&lt;&gt;"Fixed – Retest Passed",OR(LEN(TRIM($O702))&gt;0,LEN(TRIM($P702))&gt;0))),"",IF(OR($W702="Failed",$R702="Urgent",$R702="High",$R702="ระบุ Severity + Impact"),IF(COUNTIFS(Dashboard!$B$105:$B$124,$O702,Dashboard!$I$105:$I$124,"CAB")&gt;0,"Accepted (CF)","Blocking"),"Deferrable"))</f>
        <v/>
      </c>
    </row>
    <row r="703" spans="7:26" x14ac:dyDescent="0.3">
      <c r="G703" s="27" t="str" cm="1">
        <f t="array" ref="G703">IF($A703="","",IFERROR(_xlfn.TEXTJOIN(CHAR(10)&amp;CHAR(10),TRUE,_xlfn._xlws.FILTER("•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"&amp;Cards!$L$4:$L$1000),(Cards!$A$4:$A$1000&lt;&gt;"")*ISNUMBER(SEARCH($A703,Cards!$E$4:$E$1000)))),"-"))</f>
        <v/>
      </c>
      <c r="Q703" s="30"/>
      <c r="R703" s="27" t="str">
        <f>IF(OR($A703="",LEN(TRIM($O703))=0),"",IF(OR($P703="",$Q703=""),"ระบุ Severity + Impact",IFERROR(INDEX({"Urgent","Urgent","High","High";"Urgent","High","High","Medium";"High","High","Medium","Medium";"Medium","Medium","Low","Low"},MATCH($P703,{"Critical","High","Medium","Low"},0),MATCH($Q703,{"Extensive","Significant","Moderate","Minor"},0)),"-")))</f>
        <v/>
      </c>
      <c r="S703" s="30"/>
      <c r="T703" s="30"/>
      <c r="W703" s="32" t="str">
        <f>IF($A703="","",IF(OR($M703="Out of Scope",$M703="Canceled"),"Out of Scope",IF($M703="Blocked","Blocked",IF(AND($T703&lt;&gt;"Fixed – Retest Passed",OR(LEN(TRIM($O703))&gt;0,LEN(TRIM($P703))&gt;0)),IF(AND(OR($L703="Medium",$L703="Low"),SUMPRODUCT((Cards!$A$4:$A$1000&lt;&gt;"")*ISNUMBER(SEARCH($A703,Cards!$E$4:$E$1000))*(Cards!$F$4:$F$1000&lt;&gt;"Medium")*(Cards!$F$4:$F$1000&lt;&gt;"Low"))=0),"Conditionally Passed","Failed"),IF($M703="Done","Passed","Not Run")))))</f>
        <v/>
      </c>
      <c r="Y703" s="27" t="str" cm="1">
        <f t="array" ref="Y703">IF($A703="","",IF(TRIM($B703)="","-",IFERROR(_xlfn.TEXTJOIN(" / ",TRUE,_xlfn.UNIQUE(_xlfn._xlws.FILTER('Ownership Matrix'!$C$5:$C$200,('Ownership Matrix'!$A$5:$A$200=TRIM($B703))*('Ownership Matrix'!$C$5:$C$200&lt;&gt;"")))),"ไม่พบใน Ownership Matrix")))</f>
        <v/>
      </c>
      <c r="Z703" s="31" t="str">
        <f>IF(NOT(AND($A703&lt;&gt;"",$M703&lt;&gt;"Out of Scope",$M703&lt;&gt;"Canceled",$T703&lt;&gt;"Fixed – Retest Passed",OR(LEN(TRIM($O703))&gt;0,LEN(TRIM($P703))&gt;0))),"",IF(OR($W703="Failed",$R703="Urgent",$R703="High",$R703="ระบุ Severity + Impact"),IF(COUNTIFS(Dashboard!$B$105:$B$124,$O703,Dashboard!$I$105:$I$124,"CAB")&gt;0,"Accepted (CF)","Blocking"),"Deferrable"))</f>
        <v/>
      </c>
    </row>
    <row r="704" spans="7:26" x14ac:dyDescent="0.3">
      <c r="G704" s="27" t="str" cm="1">
        <f t="array" ref="G704">IF($A704="","",IFERROR(_xlfn.TEXTJOIN(CHAR(10)&amp;CHAR(10),TRUE,_xlfn._xlws.FILTER("•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"&amp;Cards!$L$4:$L$1000),(Cards!$A$4:$A$1000&lt;&gt;"")*ISNUMBER(SEARCH($A704,Cards!$E$4:$E$1000)))),"-"))</f>
        <v/>
      </c>
      <c r="Q704" s="30"/>
      <c r="R704" s="27" t="str">
        <f>IF(OR($A704="",LEN(TRIM($O704))=0),"",IF(OR($P704="",$Q704=""),"ระบุ Severity + Impact",IFERROR(INDEX({"Urgent","Urgent","High","High";"Urgent","High","High","Medium";"High","High","Medium","Medium";"Medium","Medium","Low","Low"},MATCH($P704,{"Critical","High","Medium","Low"},0),MATCH($Q704,{"Extensive","Significant","Moderate","Minor"},0)),"-")))</f>
        <v/>
      </c>
      <c r="S704" s="30"/>
      <c r="T704" s="30"/>
      <c r="W704" s="32" t="str">
        <f>IF($A704="","",IF(OR($M704="Out of Scope",$M704="Canceled"),"Out of Scope",IF($M704="Blocked","Blocked",IF(AND($T704&lt;&gt;"Fixed – Retest Passed",OR(LEN(TRIM($O704))&gt;0,LEN(TRIM($P704))&gt;0)),IF(AND(OR($L704="Medium",$L704="Low"),SUMPRODUCT((Cards!$A$4:$A$1000&lt;&gt;"")*ISNUMBER(SEARCH($A704,Cards!$E$4:$E$1000))*(Cards!$F$4:$F$1000&lt;&gt;"Medium")*(Cards!$F$4:$F$1000&lt;&gt;"Low"))=0),"Conditionally Passed","Failed"),IF($M704="Done","Passed","Not Run")))))</f>
        <v/>
      </c>
      <c r="Y704" s="27" t="str" cm="1">
        <f t="array" ref="Y704">IF($A704="","",IF(TRIM($B704)="","-",IFERROR(_xlfn.TEXTJOIN(" / ",TRUE,_xlfn.UNIQUE(_xlfn._xlws.FILTER('Ownership Matrix'!$C$5:$C$200,('Ownership Matrix'!$A$5:$A$200=TRIM($B704))*('Ownership Matrix'!$C$5:$C$200&lt;&gt;"")))),"ไม่พบใน Ownership Matrix")))</f>
        <v/>
      </c>
      <c r="Z704" s="31" t="str">
        <f>IF(NOT(AND($A704&lt;&gt;"",$M704&lt;&gt;"Out of Scope",$M704&lt;&gt;"Canceled",$T704&lt;&gt;"Fixed – Retest Passed",OR(LEN(TRIM($O704))&gt;0,LEN(TRIM($P704))&gt;0))),"",IF(OR($W704="Failed",$R704="Urgent",$R704="High",$R704="ระบุ Severity + Impact"),IF(COUNTIFS(Dashboard!$B$105:$B$124,$O704,Dashboard!$I$105:$I$124,"CAB")&gt;0,"Accepted (CF)","Blocking"),"Deferrable"))</f>
        <v/>
      </c>
    </row>
    <row r="705" spans="7:26" x14ac:dyDescent="0.3">
      <c r="G705" s="27" t="str" cm="1">
        <f t="array" ref="G705">IF($A705="","",IFERROR(_xlfn.TEXTJOIN(CHAR(10)&amp;CHAR(10),TRUE,_xlfn._xlws.FILTER("•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"&amp;Cards!$L$4:$L$1000),(Cards!$A$4:$A$1000&lt;&gt;"")*ISNUMBER(SEARCH($A705,Cards!$E$4:$E$1000)))),"-"))</f>
        <v/>
      </c>
      <c r="Q705" s="30"/>
      <c r="R705" s="27" t="str">
        <f>IF(OR($A705="",LEN(TRIM($O705))=0),"",IF(OR($P705="",$Q705=""),"ระบุ Severity + Impact",IFERROR(INDEX({"Urgent","Urgent","High","High";"Urgent","High","High","Medium";"High","High","Medium","Medium";"Medium","Medium","Low","Low"},MATCH($P705,{"Critical","High","Medium","Low"},0),MATCH($Q705,{"Extensive","Significant","Moderate","Minor"},0)),"-")))</f>
        <v/>
      </c>
      <c r="S705" s="30"/>
      <c r="T705" s="30"/>
      <c r="W705" s="32" t="str">
        <f>IF($A705="","",IF(OR($M705="Out of Scope",$M705="Canceled"),"Out of Scope",IF($M705="Blocked","Blocked",IF(AND($T705&lt;&gt;"Fixed – Retest Passed",OR(LEN(TRIM($O705))&gt;0,LEN(TRIM($P705))&gt;0)),IF(AND(OR($L705="Medium",$L705="Low"),SUMPRODUCT((Cards!$A$4:$A$1000&lt;&gt;"")*ISNUMBER(SEARCH($A705,Cards!$E$4:$E$1000))*(Cards!$F$4:$F$1000&lt;&gt;"Medium")*(Cards!$F$4:$F$1000&lt;&gt;"Low"))=0),"Conditionally Passed","Failed"),IF($M705="Done","Passed","Not Run")))))</f>
        <v/>
      </c>
      <c r="Y705" s="27" t="str" cm="1">
        <f t="array" ref="Y705">IF($A705="","",IF(TRIM($B705)="","-",IFERROR(_xlfn.TEXTJOIN(" / ",TRUE,_xlfn.UNIQUE(_xlfn._xlws.FILTER('Ownership Matrix'!$C$5:$C$200,('Ownership Matrix'!$A$5:$A$200=TRIM($B705))*('Ownership Matrix'!$C$5:$C$200&lt;&gt;"")))),"ไม่พบใน Ownership Matrix")))</f>
        <v/>
      </c>
      <c r="Z705" s="31" t="str">
        <f>IF(NOT(AND($A705&lt;&gt;"",$M705&lt;&gt;"Out of Scope",$M705&lt;&gt;"Canceled",$T705&lt;&gt;"Fixed – Retest Passed",OR(LEN(TRIM($O705))&gt;0,LEN(TRIM($P705))&gt;0))),"",IF(OR($W705="Failed",$R705="Urgent",$R705="High",$R705="ระบุ Severity + Impact"),IF(COUNTIFS(Dashboard!$B$105:$B$124,$O705,Dashboard!$I$105:$I$124,"CAB")&gt;0,"Accepted (CF)","Blocking"),"Deferrable"))</f>
        <v/>
      </c>
    </row>
    <row r="706" spans="7:26" x14ac:dyDescent="0.3">
      <c r="G706" s="27" t="str" cm="1">
        <f t="array" ref="G706">IF($A706="","",IFERROR(_xlfn.TEXTJOIN(CHAR(10)&amp;CHAR(10),TRUE,_xlfn._xlws.FILTER("•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"&amp;Cards!$L$4:$L$1000),(Cards!$A$4:$A$1000&lt;&gt;"")*ISNUMBER(SEARCH($A706,Cards!$E$4:$E$1000)))),"-"))</f>
        <v/>
      </c>
      <c r="Q706" s="30"/>
      <c r="R706" s="27" t="str">
        <f>IF(OR($A706="",LEN(TRIM($O706))=0),"",IF(OR($P706="",$Q706=""),"ระบุ Severity + Impact",IFERROR(INDEX({"Urgent","Urgent","High","High";"Urgent","High","High","Medium";"High","High","Medium","Medium";"Medium","Medium","Low","Low"},MATCH($P706,{"Critical","High","Medium","Low"},0),MATCH($Q706,{"Extensive","Significant","Moderate","Minor"},0)),"-")))</f>
        <v/>
      </c>
      <c r="S706" s="30"/>
      <c r="T706" s="30"/>
      <c r="W706" s="32" t="str">
        <f>IF($A706="","",IF(OR($M706="Out of Scope",$M706="Canceled"),"Out of Scope",IF($M706="Blocked","Blocked",IF(AND($T706&lt;&gt;"Fixed – Retest Passed",OR(LEN(TRIM($O706))&gt;0,LEN(TRIM($P706))&gt;0)),IF(AND(OR($L706="Medium",$L706="Low"),SUMPRODUCT((Cards!$A$4:$A$1000&lt;&gt;"")*ISNUMBER(SEARCH($A706,Cards!$E$4:$E$1000))*(Cards!$F$4:$F$1000&lt;&gt;"Medium")*(Cards!$F$4:$F$1000&lt;&gt;"Low"))=0),"Conditionally Passed","Failed"),IF($M706="Done","Passed","Not Run")))))</f>
        <v/>
      </c>
      <c r="Y706" s="27" t="str" cm="1">
        <f t="array" ref="Y706">IF($A706="","",IF(TRIM($B706)="","-",IFERROR(_xlfn.TEXTJOIN(" / ",TRUE,_xlfn.UNIQUE(_xlfn._xlws.FILTER('Ownership Matrix'!$C$5:$C$200,('Ownership Matrix'!$A$5:$A$200=TRIM($B706))*('Ownership Matrix'!$C$5:$C$200&lt;&gt;"")))),"ไม่พบใน Ownership Matrix")))</f>
        <v/>
      </c>
      <c r="Z706" s="31" t="str">
        <f>IF(NOT(AND($A706&lt;&gt;"",$M706&lt;&gt;"Out of Scope",$M706&lt;&gt;"Canceled",$T706&lt;&gt;"Fixed – Retest Passed",OR(LEN(TRIM($O706))&gt;0,LEN(TRIM($P706))&gt;0))),"",IF(OR($W706="Failed",$R706="Urgent",$R706="High",$R706="ระบุ Severity + Impact"),IF(COUNTIFS(Dashboard!$B$105:$B$124,$O706,Dashboard!$I$105:$I$124,"CAB")&gt;0,"Accepted (CF)","Blocking"),"Deferrable"))</f>
        <v/>
      </c>
    </row>
    <row r="707" spans="7:26" x14ac:dyDescent="0.3">
      <c r="G707" s="27" t="str" cm="1">
        <f t="array" ref="G707">IF($A707="","",IFERROR(_xlfn.TEXTJOIN(CHAR(10)&amp;CHAR(10),TRUE,_xlfn._xlws.FILTER("•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"&amp;Cards!$L$4:$L$1000),(Cards!$A$4:$A$1000&lt;&gt;"")*ISNUMBER(SEARCH($A707,Cards!$E$4:$E$1000)))),"-"))</f>
        <v/>
      </c>
      <c r="Q707" s="30"/>
      <c r="R707" s="27" t="str">
        <f>IF(OR($A707="",LEN(TRIM($O707))=0),"",IF(OR($P707="",$Q707=""),"ระบุ Severity + Impact",IFERROR(INDEX({"Urgent","Urgent","High","High";"Urgent","High","High","Medium";"High","High","Medium","Medium";"Medium","Medium","Low","Low"},MATCH($P707,{"Critical","High","Medium","Low"},0),MATCH($Q707,{"Extensive","Significant","Moderate","Minor"},0)),"-")))</f>
        <v/>
      </c>
      <c r="S707" s="30"/>
      <c r="T707" s="30"/>
      <c r="W707" s="32" t="str">
        <f>IF($A707="","",IF(OR($M707="Out of Scope",$M707="Canceled"),"Out of Scope",IF($M707="Blocked","Blocked",IF(AND($T707&lt;&gt;"Fixed – Retest Passed",OR(LEN(TRIM($O707))&gt;0,LEN(TRIM($P707))&gt;0)),IF(AND(OR($L707="Medium",$L707="Low"),SUMPRODUCT((Cards!$A$4:$A$1000&lt;&gt;"")*ISNUMBER(SEARCH($A707,Cards!$E$4:$E$1000))*(Cards!$F$4:$F$1000&lt;&gt;"Medium")*(Cards!$F$4:$F$1000&lt;&gt;"Low"))=0),"Conditionally Passed","Failed"),IF($M707="Done","Passed","Not Run")))))</f>
        <v/>
      </c>
      <c r="Y707" s="27" t="str" cm="1">
        <f t="array" ref="Y707">IF($A707="","",IF(TRIM($B707)="","-",IFERROR(_xlfn.TEXTJOIN(" / ",TRUE,_xlfn.UNIQUE(_xlfn._xlws.FILTER('Ownership Matrix'!$C$5:$C$200,('Ownership Matrix'!$A$5:$A$200=TRIM($B707))*('Ownership Matrix'!$C$5:$C$200&lt;&gt;"")))),"ไม่พบใน Ownership Matrix")))</f>
        <v/>
      </c>
      <c r="Z707" s="31" t="str">
        <f>IF(NOT(AND($A707&lt;&gt;"",$M707&lt;&gt;"Out of Scope",$M707&lt;&gt;"Canceled",$T707&lt;&gt;"Fixed – Retest Passed",OR(LEN(TRIM($O707))&gt;0,LEN(TRIM($P707))&gt;0))),"",IF(OR($W707="Failed",$R707="Urgent",$R707="High",$R707="ระบุ Severity + Impact"),IF(COUNTIFS(Dashboard!$B$105:$B$124,$O707,Dashboard!$I$105:$I$124,"CAB")&gt;0,"Accepted (CF)","Blocking"),"Deferrable"))</f>
        <v/>
      </c>
    </row>
    <row r="708" spans="7:26" x14ac:dyDescent="0.3">
      <c r="G708" s="27" t="str" cm="1">
        <f t="array" ref="G708">IF($A708="","",IFERROR(_xlfn.TEXTJOIN(CHAR(10)&amp;CHAR(10),TRUE,_xlfn._xlws.FILTER("•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"&amp;Cards!$L$4:$L$1000),(Cards!$A$4:$A$1000&lt;&gt;"")*ISNUMBER(SEARCH($A708,Cards!$E$4:$E$1000)))),"-"))</f>
        <v/>
      </c>
      <c r="Q708" s="30"/>
      <c r="R708" s="27" t="str">
        <f>IF(OR($A708="",LEN(TRIM($O708))=0),"",IF(OR($P708="",$Q708=""),"ระบุ Severity + Impact",IFERROR(INDEX({"Urgent","Urgent","High","High";"Urgent","High","High","Medium";"High","High","Medium","Medium";"Medium","Medium","Low","Low"},MATCH($P708,{"Critical","High","Medium","Low"},0),MATCH($Q708,{"Extensive","Significant","Moderate","Minor"},0)),"-")))</f>
        <v/>
      </c>
      <c r="S708" s="30"/>
      <c r="T708" s="30"/>
      <c r="W708" s="32" t="str">
        <f>IF($A708="","",IF(OR($M708="Out of Scope",$M708="Canceled"),"Out of Scope",IF($M708="Blocked","Blocked",IF(AND($T708&lt;&gt;"Fixed – Retest Passed",OR(LEN(TRIM($O708))&gt;0,LEN(TRIM($P708))&gt;0)),IF(AND(OR($L708="Medium",$L708="Low"),SUMPRODUCT((Cards!$A$4:$A$1000&lt;&gt;"")*ISNUMBER(SEARCH($A708,Cards!$E$4:$E$1000))*(Cards!$F$4:$F$1000&lt;&gt;"Medium")*(Cards!$F$4:$F$1000&lt;&gt;"Low"))=0),"Conditionally Passed","Failed"),IF($M708="Done","Passed","Not Run")))))</f>
        <v/>
      </c>
      <c r="Y708" s="27" t="str" cm="1">
        <f t="array" ref="Y708">IF($A708="","",IF(TRIM($B708)="","-",IFERROR(_xlfn.TEXTJOIN(" / ",TRUE,_xlfn.UNIQUE(_xlfn._xlws.FILTER('Ownership Matrix'!$C$5:$C$200,('Ownership Matrix'!$A$5:$A$200=TRIM($B708))*('Ownership Matrix'!$C$5:$C$200&lt;&gt;"")))),"ไม่พบใน Ownership Matrix")))</f>
        <v/>
      </c>
      <c r="Z708" s="31" t="str">
        <f>IF(NOT(AND($A708&lt;&gt;"",$M708&lt;&gt;"Out of Scope",$M708&lt;&gt;"Canceled",$T708&lt;&gt;"Fixed – Retest Passed",OR(LEN(TRIM($O708))&gt;0,LEN(TRIM($P708))&gt;0))),"",IF(OR($W708="Failed",$R708="Urgent",$R708="High",$R708="ระบุ Severity + Impact"),IF(COUNTIFS(Dashboard!$B$105:$B$124,$O708,Dashboard!$I$105:$I$124,"CAB")&gt;0,"Accepted (CF)","Blocking"),"Deferrable"))</f>
        <v/>
      </c>
    </row>
    <row r="709" spans="7:26" x14ac:dyDescent="0.3">
      <c r="G709" s="27" t="str" cm="1">
        <f t="array" ref="G709">IF($A709="","",IFERROR(_xlfn.TEXTJOIN(CHAR(10)&amp;CHAR(10),TRUE,_xlfn._xlws.FILTER("•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"&amp;Cards!$L$4:$L$1000),(Cards!$A$4:$A$1000&lt;&gt;"")*ISNUMBER(SEARCH($A709,Cards!$E$4:$E$1000)))),"-"))</f>
        <v/>
      </c>
      <c r="Q709" s="30"/>
      <c r="R709" s="27" t="str">
        <f>IF(OR($A709="",LEN(TRIM($O709))=0),"",IF(OR($P709="",$Q709=""),"ระบุ Severity + Impact",IFERROR(INDEX({"Urgent","Urgent","High","High";"Urgent","High","High","Medium";"High","High","Medium","Medium";"Medium","Medium","Low","Low"},MATCH($P709,{"Critical","High","Medium","Low"},0),MATCH($Q709,{"Extensive","Significant","Moderate","Minor"},0)),"-")))</f>
        <v/>
      </c>
      <c r="S709" s="30"/>
      <c r="T709" s="30"/>
      <c r="W709" s="32" t="str">
        <f>IF($A709="","",IF(OR($M709="Out of Scope",$M709="Canceled"),"Out of Scope",IF($M709="Blocked","Blocked",IF(AND($T709&lt;&gt;"Fixed – Retest Passed",OR(LEN(TRIM($O709))&gt;0,LEN(TRIM($P709))&gt;0)),IF(AND(OR($L709="Medium",$L709="Low"),SUMPRODUCT((Cards!$A$4:$A$1000&lt;&gt;"")*ISNUMBER(SEARCH($A709,Cards!$E$4:$E$1000))*(Cards!$F$4:$F$1000&lt;&gt;"Medium")*(Cards!$F$4:$F$1000&lt;&gt;"Low"))=0),"Conditionally Passed","Failed"),IF($M709="Done","Passed","Not Run")))))</f>
        <v/>
      </c>
      <c r="Y709" s="27" t="str" cm="1">
        <f t="array" ref="Y709">IF($A709="","",IF(TRIM($B709)="","-",IFERROR(_xlfn.TEXTJOIN(" / ",TRUE,_xlfn.UNIQUE(_xlfn._xlws.FILTER('Ownership Matrix'!$C$5:$C$200,('Ownership Matrix'!$A$5:$A$200=TRIM($B709))*('Ownership Matrix'!$C$5:$C$200&lt;&gt;"")))),"ไม่พบใน Ownership Matrix")))</f>
        <v/>
      </c>
      <c r="Z709" s="31" t="str">
        <f>IF(NOT(AND($A709&lt;&gt;"",$M709&lt;&gt;"Out of Scope",$M709&lt;&gt;"Canceled",$T709&lt;&gt;"Fixed – Retest Passed",OR(LEN(TRIM($O709))&gt;0,LEN(TRIM($P709))&gt;0))),"",IF(OR($W709="Failed",$R709="Urgent",$R709="High",$R709="ระบุ Severity + Impact"),IF(COUNTIFS(Dashboard!$B$105:$B$124,$O709,Dashboard!$I$105:$I$124,"CAB")&gt;0,"Accepted (CF)","Blocking"),"Deferrable"))</f>
        <v/>
      </c>
    </row>
    <row r="710" spans="7:26" x14ac:dyDescent="0.3">
      <c r="G710" s="27" t="str" cm="1">
        <f t="array" ref="G710">IF($A710="","",IFERROR(_xlfn.TEXTJOIN(CHAR(10)&amp;CHAR(10),TRUE,_xlfn._xlws.FILTER("•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"&amp;Cards!$L$4:$L$1000),(Cards!$A$4:$A$1000&lt;&gt;"")*ISNUMBER(SEARCH($A710,Cards!$E$4:$E$1000)))),"-"))</f>
        <v/>
      </c>
      <c r="Q710" s="30"/>
      <c r="R710" s="27" t="str">
        <f>IF(OR($A710="",LEN(TRIM($O710))=0),"",IF(OR($P710="",$Q710=""),"ระบุ Severity + Impact",IFERROR(INDEX({"Urgent","Urgent","High","High";"Urgent","High","High","Medium";"High","High","Medium","Medium";"Medium","Medium","Low","Low"},MATCH($P710,{"Critical","High","Medium","Low"},0),MATCH($Q710,{"Extensive","Significant","Moderate","Minor"},0)),"-")))</f>
        <v/>
      </c>
      <c r="S710" s="30"/>
      <c r="T710" s="30"/>
      <c r="W710" s="32" t="str">
        <f>IF($A710="","",IF(OR($M710="Out of Scope",$M710="Canceled"),"Out of Scope",IF($M710="Blocked","Blocked",IF(AND($T710&lt;&gt;"Fixed – Retest Passed",OR(LEN(TRIM($O710))&gt;0,LEN(TRIM($P710))&gt;0)),IF(AND(OR($L710="Medium",$L710="Low"),SUMPRODUCT((Cards!$A$4:$A$1000&lt;&gt;"")*ISNUMBER(SEARCH($A710,Cards!$E$4:$E$1000))*(Cards!$F$4:$F$1000&lt;&gt;"Medium")*(Cards!$F$4:$F$1000&lt;&gt;"Low"))=0),"Conditionally Passed","Failed"),IF($M710="Done","Passed","Not Run")))))</f>
        <v/>
      </c>
      <c r="Y710" s="27" t="str" cm="1">
        <f t="array" ref="Y710">IF($A710="","",IF(TRIM($B710)="","-",IFERROR(_xlfn.TEXTJOIN(" / ",TRUE,_xlfn.UNIQUE(_xlfn._xlws.FILTER('Ownership Matrix'!$C$5:$C$200,('Ownership Matrix'!$A$5:$A$200=TRIM($B710))*('Ownership Matrix'!$C$5:$C$200&lt;&gt;"")))),"ไม่พบใน Ownership Matrix")))</f>
        <v/>
      </c>
      <c r="Z710" s="31" t="str">
        <f>IF(NOT(AND($A710&lt;&gt;"",$M710&lt;&gt;"Out of Scope",$M710&lt;&gt;"Canceled",$T710&lt;&gt;"Fixed – Retest Passed",OR(LEN(TRIM($O710))&gt;0,LEN(TRIM($P710))&gt;0))),"",IF(OR($W710="Failed",$R710="Urgent",$R710="High",$R710="ระบุ Severity + Impact"),IF(COUNTIFS(Dashboard!$B$105:$B$124,$O710,Dashboard!$I$105:$I$124,"CAB")&gt;0,"Accepted (CF)","Blocking"),"Deferrable"))</f>
        <v/>
      </c>
    </row>
    <row r="711" spans="7:26" x14ac:dyDescent="0.3">
      <c r="G711" s="27" t="str" cm="1">
        <f t="array" ref="G711">IF($A711="","",IFERROR(_xlfn.TEXTJOIN(CHAR(10)&amp;CHAR(10),TRUE,_xlfn._xlws.FILTER("•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"&amp;Cards!$L$4:$L$1000),(Cards!$A$4:$A$1000&lt;&gt;"")*ISNUMBER(SEARCH($A711,Cards!$E$4:$E$1000)))),"-"))</f>
        <v/>
      </c>
      <c r="Q711" s="30"/>
      <c r="R711" s="27" t="str">
        <f>IF(OR($A711="",LEN(TRIM($O711))=0),"",IF(OR($P711="",$Q711=""),"ระบุ Severity + Impact",IFERROR(INDEX({"Urgent","Urgent","High","High";"Urgent","High","High","Medium";"High","High","Medium","Medium";"Medium","Medium","Low","Low"},MATCH($P711,{"Critical","High","Medium","Low"},0),MATCH($Q711,{"Extensive","Significant","Moderate","Minor"},0)),"-")))</f>
        <v/>
      </c>
      <c r="S711" s="30"/>
      <c r="T711" s="30"/>
      <c r="W711" s="32" t="str">
        <f>IF($A711="","",IF(OR($M711="Out of Scope",$M711="Canceled"),"Out of Scope",IF($M711="Blocked","Blocked",IF(AND($T711&lt;&gt;"Fixed – Retest Passed",OR(LEN(TRIM($O711))&gt;0,LEN(TRIM($P711))&gt;0)),IF(AND(OR($L711="Medium",$L711="Low"),SUMPRODUCT((Cards!$A$4:$A$1000&lt;&gt;"")*ISNUMBER(SEARCH($A711,Cards!$E$4:$E$1000))*(Cards!$F$4:$F$1000&lt;&gt;"Medium")*(Cards!$F$4:$F$1000&lt;&gt;"Low"))=0),"Conditionally Passed","Failed"),IF($M711="Done","Passed","Not Run")))))</f>
        <v/>
      </c>
      <c r="Y711" s="27" t="str" cm="1">
        <f t="array" ref="Y711">IF($A711="","",IF(TRIM($B711)="","-",IFERROR(_xlfn.TEXTJOIN(" / ",TRUE,_xlfn.UNIQUE(_xlfn._xlws.FILTER('Ownership Matrix'!$C$5:$C$200,('Ownership Matrix'!$A$5:$A$200=TRIM($B711))*('Ownership Matrix'!$C$5:$C$200&lt;&gt;"")))),"ไม่พบใน Ownership Matrix")))</f>
        <v/>
      </c>
      <c r="Z711" s="31" t="str">
        <f>IF(NOT(AND($A711&lt;&gt;"",$M711&lt;&gt;"Out of Scope",$M711&lt;&gt;"Canceled",$T711&lt;&gt;"Fixed – Retest Passed",OR(LEN(TRIM($O711))&gt;0,LEN(TRIM($P711))&gt;0))),"",IF(OR($W711="Failed",$R711="Urgent",$R711="High",$R711="ระบุ Severity + Impact"),IF(COUNTIFS(Dashboard!$B$105:$B$124,$O711,Dashboard!$I$105:$I$124,"CAB")&gt;0,"Accepted (CF)","Blocking"),"Deferrable"))</f>
        <v/>
      </c>
    </row>
    <row r="712" spans="7:26" x14ac:dyDescent="0.3">
      <c r="G712" s="27" t="str" cm="1">
        <f t="array" ref="G712">IF($A712="","",IFERROR(_xlfn.TEXTJOIN(CHAR(10)&amp;CHAR(10),TRUE,_xlfn._xlws.FILTER("•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"&amp;Cards!$L$4:$L$1000),(Cards!$A$4:$A$1000&lt;&gt;"")*ISNUMBER(SEARCH($A712,Cards!$E$4:$E$1000)))),"-"))</f>
        <v/>
      </c>
      <c r="Q712" s="30"/>
      <c r="R712" s="27" t="str">
        <f>IF(OR($A712="",LEN(TRIM($O712))=0),"",IF(OR($P712="",$Q712=""),"ระบุ Severity + Impact",IFERROR(INDEX({"Urgent","Urgent","High","High";"Urgent","High","High","Medium";"High","High","Medium","Medium";"Medium","Medium","Low","Low"},MATCH($P712,{"Critical","High","Medium","Low"},0),MATCH($Q712,{"Extensive","Significant","Moderate","Minor"},0)),"-")))</f>
        <v/>
      </c>
      <c r="S712" s="30"/>
      <c r="T712" s="30"/>
      <c r="W712" s="32" t="str">
        <f>IF($A712="","",IF(OR($M712="Out of Scope",$M712="Canceled"),"Out of Scope",IF($M712="Blocked","Blocked",IF(AND($T712&lt;&gt;"Fixed – Retest Passed",OR(LEN(TRIM($O712))&gt;0,LEN(TRIM($P712))&gt;0)),IF(AND(OR($L712="Medium",$L712="Low"),SUMPRODUCT((Cards!$A$4:$A$1000&lt;&gt;"")*ISNUMBER(SEARCH($A712,Cards!$E$4:$E$1000))*(Cards!$F$4:$F$1000&lt;&gt;"Medium")*(Cards!$F$4:$F$1000&lt;&gt;"Low"))=0),"Conditionally Passed","Failed"),IF($M712="Done","Passed","Not Run")))))</f>
        <v/>
      </c>
      <c r="Y712" s="27" t="str" cm="1">
        <f t="array" ref="Y712">IF($A712="","",IF(TRIM($B712)="","-",IFERROR(_xlfn.TEXTJOIN(" / ",TRUE,_xlfn.UNIQUE(_xlfn._xlws.FILTER('Ownership Matrix'!$C$5:$C$200,('Ownership Matrix'!$A$5:$A$200=TRIM($B712))*('Ownership Matrix'!$C$5:$C$200&lt;&gt;"")))),"ไม่พบใน Ownership Matrix")))</f>
        <v/>
      </c>
      <c r="Z712" s="31" t="str">
        <f>IF(NOT(AND($A712&lt;&gt;"",$M712&lt;&gt;"Out of Scope",$M712&lt;&gt;"Canceled",$T712&lt;&gt;"Fixed – Retest Passed",OR(LEN(TRIM($O712))&gt;0,LEN(TRIM($P712))&gt;0))),"",IF(OR($W712="Failed",$R712="Urgent",$R712="High",$R712="ระบุ Severity + Impact"),IF(COUNTIFS(Dashboard!$B$105:$B$124,$O712,Dashboard!$I$105:$I$124,"CAB")&gt;0,"Accepted (CF)","Blocking"),"Deferrable"))</f>
        <v/>
      </c>
    </row>
    <row r="713" spans="7:26" x14ac:dyDescent="0.3">
      <c r="G713" s="27" t="str" cm="1">
        <f t="array" ref="G713">IF($A713="","",IFERROR(_xlfn.TEXTJOIN(CHAR(10)&amp;CHAR(10),TRUE,_xlfn._xlws.FILTER("•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"&amp;Cards!$L$4:$L$1000),(Cards!$A$4:$A$1000&lt;&gt;"")*ISNUMBER(SEARCH($A713,Cards!$E$4:$E$1000)))),"-"))</f>
        <v/>
      </c>
      <c r="Q713" s="30"/>
      <c r="R713" s="27" t="str">
        <f>IF(OR($A713="",LEN(TRIM($O713))=0),"",IF(OR($P713="",$Q713=""),"ระบุ Severity + Impact",IFERROR(INDEX({"Urgent","Urgent","High","High";"Urgent","High","High","Medium";"High","High","Medium","Medium";"Medium","Medium","Low","Low"},MATCH($P713,{"Critical","High","Medium","Low"},0),MATCH($Q713,{"Extensive","Significant","Moderate","Minor"},0)),"-")))</f>
        <v/>
      </c>
      <c r="S713" s="30"/>
      <c r="T713" s="30"/>
      <c r="W713" s="32" t="str">
        <f>IF($A713="","",IF(OR($M713="Out of Scope",$M713="Canceled"),"Out of Scope",IF($M713="Blocked","Blocked",IF(AND($T713&lt;&gt;"Fixed – Retest Passed",OR(LEN(TRIM($O713))&gt;0,LEN(TRIM($P713))&gt;0)),IF(AND(OR($L713="Medium",$L713="Low"),SUMPRODUCT((Cards!$A$4:$A$1000&lt;&gt;"")*ISNUMBER(SEARCH($A713,Cards!$E$4:$E$1000))*(Cards!$F$4:$F$1000&lt;&gt;"Medium")*(Cards!$F$4:$F$1000&lt;&gt;"Low"))=0),"Conditionally Passed","Failed"),IF($M713="Done","Passed","Not Run")))))</f>
        <v/>
      </c>
      <c r="Y713" s="27" t="str" cm="1">
        <f t="array" ref="Y713">IF($A713="","",IF(TRIM($B713)="","-",IFERROR(_xlfn.TEXTJOIN(" / ",TRUE,_xlfn.UNIQUE(_xlfn._xlws.FILTER('Ownership Matrix'!$C$5:$C$200,('Ownership Matrix'!$A$5:$A$200=TRIM($B713))*('Ownership Matrix'!$C$5:$C$200&lt;&gt;"")))),"ไม่พบใน Ownership Matrix")))</f>
        <v/>
      </c>
      <c r="Z713" s="31" t="str">
        <f>IF(NOT(AND($A713&lt;&gt;"",$M713&lt;&gt;"Out of Scope",$M713&lt;&gt;"Canceled",$T713&lt;&gt;"Fixed – Retest Passed",OR(LEN(TRIM($O713))&gt;0,LEN(TRIM($P713))&gt;0))),"",IF(OR($W713="Failed",$R713="Urgent",$R713="High",$R713="ระบุ Severity + Impact"),IF(COUNTIFS(Dashboard!$B$105:$B$124,$O713,Dashboard!$I$105:$I$124,"CAB")&gt;0,"Accepted (CF)","Blocking"),"Deferrable"))</f>
        <v/>
      </c>
    </row>
    <row r="714" spans="7:26" x14ac:dyDescent="0.3">
      <c r="G714" s="27" t="str" cm="1">
        <f t="array" ref="G714">IF($A714="","",IFERROR(_xlfn.TEXTJOIN(CHAR(10)&amp;CHAR(10),TRUE,_xlfn._xlws.FILTER("•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"&amp;Cards!$L$4:$L$1000),(Cards!$A$4:$A$1000&lt;&gt;"")*ISNUMBER(SEARCH($A714,Cards!$E$4:$E$1000)))),"-"))</f>
        <v/>
      </c>
      <c r="Q714" s="30"/>
      <c r="R714" s="27" t="str">
        <f>IF(OR($A714="",LEN(TRIM($O714))=0),"",IF(OR($P714="",$Q714=""),"ระบุ Severity + Impact",IFERROR(INDEX({"Urgent","Urgent","High","High";"Urgent","High","High","Medium";"High","High","Medium","Medium";"Medium","Medium","Low","Low"},MATCH($P714,{"Critical","High","Medium","Low"},0),MATCH($Q714,{"Extensive","Significant","Moderate","Minor"},0)),"-")))</f>
        <v/>
      </c>
      <c r="S714" s="30"/>
      <c r="T714" s="30"/>
      <c r="W714" s="32" t="str">
        <f>IF($A714="","",IF(OR($M714="Out of Scope",$M714="Canceled"),"Out of Scope",IF($M714="Blocked","Blocked",IF(AND($T714&lt;&gt;"Fixed – Retest Passed",OR(LEN(TRIM($O714))&gt;0,LEN(TRIM($P714))&gt;0)),IF(AND(OR($L714="Medium",$L714="Low"),SUMPRODUCT((Cards!$A$4:$A$1000&lt;&gt;"")*ISNUMBER(SEARCH($A714,Cards!$E$4:$E$1000))*(Cards!$F$4:$F$1000&lt;&gt;"Medium")*(Cards!$F$4:$F$1000&lt;&gt;"Low"))=0),"Conditionally Passed","Failed"),IF($M714="Done","Passed","Not Run")))))</f>
        <v/>
      </c>
      <c r="Y714" s="27" t="str" cm="1">
        <f t="array" ref="Y714">IF($A714="","",IF(TRIM($B714)="","-",IFERROR(_xlfn.TEXTJOIN(" / ",TRUE,_xlfn.UNIQUE(_xlfn._xlws.FILTER('Ownership Matrix'!$C$5:$C$200,('Ownership Matrix'!$A$5:$A$200=TRIM($B714))*('Ownership Matrix'!$C$5:$C$200&lt;&gt;"")))),"ไม่พบใน Ownership Matrix")))</f>
        <v/>
      </c>
      <c r="Z714" s="31" t="str">
        <f>IF(NOT(AND($A714&lt;&gt;"",$M714&lt;&gt;"Out of Scope",$M714&lt;&gt;"Canceled",$T714&lt;&gt;"Fixed – Retest Passed",OR(LEN(TRIM($O714))&gt;0,LEN(TRIM($P714))&gt;0))),"",IF(OR($W714="Failed",$R714="Urgent",$R714="High",$R714="ระบุ Severity + Impact"),IF(COUNTIFS(Dashboard!$B$105:$B$124,$O714,Dashboard!$I$105:$I$124,"CAB")&gt;0,"Accepted (CF)","Blocking"),"Deferrable"))</f>
        <v/>
      </c>
    </row>
    <row r="715" spans="7:26" x14ac:dyDescent="0.3">
      <c r="G715" s="27" t="str" cm="1">
        <f t="array" ref="G715">IF($A715="","",IFERROR(_xlfn.TEXTJOIN(CHAR(10)&amp;CHAR(10),TRUE,_xlfn._xlws.FILTER("•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"&amp;Cards!$L$4:$L$1000),(Cards!$A$4:$A$1000&lt;&gt;"")*ISNUMBER(SEARCH($A715,Cards!$E$4:$E$1000)))),"-"))</f>
        <v/>
      </c>
      <c r="Q715" s="30"/>
      <c r="R715" s="27" t="str">
        <f>IF(OR($A715="",LEN(TRIM($O715))=0),"",IF(OR($P715="",$Q715=""),"ระบุ Severity + Impact",IFERROR(INDEX({"Urgent","Urgent","High","High";"Urgent","High","High","Medium";"High","High","Medium","Medium";"Medium","Medium","Low","Low"},MATCH($P715,{"Critical","High","Medium","Low"},0),MATCH($Q715,{"Extensive","Significant","Moderate","Minor"},0)),"-")))</f>
        <v/>
      </c>
      <c r="S715" s="30"/>
      <c r="T715" s="30"/>
      <c r="W715" s="32" t="str">
        <f>IF($A715="","",IF(OR($M715="Out of Scope",$M715="Canceled"),"Out of Scope",IF($M715="Blocked","Blocked",IF(AND($T715&lt;&gt;"Fixed – Retest Passed",OR(LEN(TRIM($O715))&gt;0,LEN(TRIM($P715))&gt;0)),IF(AND(OR($L715="Medium",$L715="Low"),SUMPRODUCT((Cards!$A$4:$A$1000&lt;&gt;"")*ISNUMBER(SEARCH($A715,Cards!$E$4:$E$1000))*(Cards!$F$4:$F$1000&lt;&gt;"Medium")*(Cards!$F$4:$F$1000&lt;&gt;"Low"))=0),"Conditionally Passed","Failed"),IF($M715="Done","Passed","Not Run")))))</f>
        <v/>
      </c>
      <c r="Y715" s="27" t="str" cm="1">
        <f t="array" ref="Y715">IF($A715="","",IF(TRIM($B715)="","-",IFERROR(_xlfn.TEXTJOIN(" / ",TRUE,_xlfn.UNIQUE(_xlfn._xlws.FILTER('Ownership Matrix'!$C$5:$C$200,('Ownership Matrix'!$A$5:$A$200=TRIM($B715))*('Ownership Matrix'!$C$5:$C$200&lt;&gt;"")))),"ไม่พบใน Ownership Matrix")))</f>
        <v/>
      </c>
      <c r="Z715" s="31" t="str">
        <f>IF(NOT(AND($A715&lt;&gt;"",$M715&lt;&gt;"Out of Scope",$M715&lt;&gt;"Canceled",$T715&lt;&gt;"Fixed – Retest Passed",OR(LEN(TRIM($O715))&gt;0,LEN(TRIM($P715))&gt;0))),"",IF(OR($W715="Failed",$R715="Urgent",$R715="High",$R715="ระบุ Severity + Impact"),IF(COUNTIFS(Dashboard!$B$105:$B$124,$O715,Dashboard!$I$105:$I$124,"CAB")&gt;0,"Accepted (CF)","Blocking"),"Deferrable"))</f>
        <v/>
      </c>
    </row>
    <row r="716" spans="7:26" x14ac:dyDescent="0.3">
      <c r="G716" s="27" t="str" cm="1">
        <f t="array" ref="G716">IF($A716="","",IFERROR(_xlfn.TEXTJOIN(CHAR(10)&amp;CHAR(10),TRUE,_xlfn._xlws.FILTER("•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"&amp;Cards!$L$4:$L$1000),(Cards!$A$4:$A$1000&lt;&gt;"")*ISNUMBER(SEARCH($A716,Cards!$E$4:$E$1000)))),"-"))</f>
        <v/>
      </c>
      <c r="Q716" s="30"/>
      <c r="R716" s="27" t="str">
        <f>IF(OR($A716="",LEN(TRIM($O716))=0),"",IF(OR($P716="",$Q716=""),"ระบุ Severity + Impact",IFERROR(INDEX({"Urgent","Urgent","High","High";"Urgent","High","High","Medium";"High","High","Medium","Medium";"Medium","Medium","Low","Low"},MATCH($P716,{"Critical","High","Medium","Low"},0),MATCH($Q716,{"Extensive","Significant","Moderate","Minor"},0)),"-")))</f>
        <v/>
      </c>
      <c r="S716" s="30"/>
      <c r="T716" s="30"/>
      <c r="W716" s="32" t="str">
        <f>IF($A716="","",IF(OR($M716="Out of Scope",$M716="Canceled"),"Out of Scope",IF($M716="Blocked","Blocked",IF(AND($T716&lt;&gt;"Fixed – Retest Passed",OR(LEN(TRIM($O716))&gt;0,LEN(TRIM($P716))&gt;0)),IF(AND(OR($L716="Medium",$L716="Low"),SUMPRODUCT((Cards!$A$4:$A$1000&lt;&gt;"")*ISNUMBER(SEARCH($A716,Cards!$E$4:$E$1000))*(Cards!$F$4:$F$1000&lt;&gt;"Medium")*(Cards!$F$4:$F$1000&lt;&gt;"Low"))=0),"Conditionally Passed","Failed"),IF($M716="Done","Passed","Not Run")))))</f>
        <v/>
      </c>
      <c r="Y716" s="27" t="str" cm="1">
        <f t="array" ref="Y716">IF($A716="","",IF(TRIM($B716)="","-",IFERROR(_xlfn.TEXTJOIN(" / ",TRUE,_xlfn.UNIQUE(_xlfn._xlws.FILTER('Ownership Matrix'!$C$5:$C$200,('Ownership Matrix'!$A$5:$A$200=TRIM($B716))*('Ownership Matrix'!$C$5:$C$200&lt;&gt;"")))),"ไม่พบใน Ownership Matrix")))</f>
        <v/>
      </c>
      <c r="Z716" s="31" t="str">
        <f>IF(NOT(AND($A716&lt;&gt;"",$M716&lt;&gt;"Out of Scope",$M716&lt;&gt;"Canceled",$T716&lt;&gt;"Fixed – Retest Passed",OR(LEN(TRIM($O716))&gt;0,LEN(TRIM($P716))&gt;0))),"",IF(OR($W716="Failed",$R716="Urgent",$R716="High",$R716="ระบุ Severity + Impact"),IF(COUNTIFS(Dashboard!$B$105:$B$124,$O716,Dashboard!$I$105:$I$124,"CAB")&gt;0,"Accepted (CF)","Blocking"),"Deferrable"))</f>
        <v/>
      </c>
    </row>
    <row r="717" spans="7:26" x14ac:dyDescent="0.3">
      <c r="G717" s="27" t="str" cm="1">
        <f t="array" ref="G717">IF($A717="","",IFERROR(_xlfn.TEXTJOIN(CHAR(10)&amp;CHAR(10),TRUE,_xlfn._xlws.FILTER("•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"&amp;Cards!$L$4:$L$1000),(Cards!$A$4:$A$1000&lt;&gt;"")*ISNUMBER(SEARCH($A717,Cards!$E$4:$E$1000)))),"-"))</f>
        <v/>
      </c>
      <c r="Q717" s="30"/>
      <c r="R717" s="27" t="str">
        <f>IF(OR($A717="",LEN(TRIM($O717))=0),"",IF(OR($P717="",$Q717=""),"ระบุ Severity + Impact",IFERROR(INDEX({"Urgent","Urgent","High","High";"Urgent","High","High","Medium";"High","High","Medium","Medium";"Medium","Medium","Low","Low"},MATCH($P717,{"Critical","High","Medium","Low"},0),MATCH($Q717,{"Extensive","Significant","Moderate","Minor"},0)),"-")))</f>
        <v/>
      </c>
      <c r="S717" s="30"/>
      <c r="T717" s="30"/>
      <c r="W717" s="32" t="str">
        <f>IF($A717="","",IF(OR($M717="Out of Scope",$M717="Canceled"),"Out of Scope",IF($M717="Blocked","Blocked",IF(AND($T717&lt;&gt;"Fixed – Retest Passed",OR(LEN(TRIM($O717))&gt;0,LEN(TRIM($P717))&gt;0)),IF(AND(OR($L717="Medium",$L717="Low"),SUMPRODUCT((Cards!$A$4:$A$1000&lt;&gt;"")*ISNUMBER(SEARCH($A717,Cards!$E$4:$E$1000))*(Cards!$F$4:$F$1000&lt;&gt;"Medium")*(Cards!$F$4:$F$1000&lt;&gt;"Low"))=0),"Conditionally Passed","Failed"),IF($M717="Done","Passed","Not Run")))))</f>
        <v/>
      </c>
      <c r="Y717" s="27" t="str" cm="1">
        <f t="array" ref="Y717">IF($A717="","",IF(TRIM($B717)="","-",IFERROR(_xlfn.TEXTJOIN(" / ",TRUE,_xlfn.UNIQUE(_xlfn._xlws.FILTER('Ownership Matrix'!$C$5:$C$200,('Ownership Matrix'!$A$5:$A$200=TRIM($B717))*('Ownership Matrix'!$C$5:$C$200&lt;&gt;"")))),"ไม่พบใน Ownership Matrix")))</f>
        <v/>
      </c>
      <c r="Z717" s="31" t="str">
        <f>IF(NOT(AND($A717&lt;&gt;"",$M717&lt;&gt;"Out of Scope",$M717&lt;&gt;"Canceled",$T717&lt;&gt;"Fixed – Retest Passed",OR(LEN(TRIM($O717))&gt;0,LEN(TRIM($P717))&gt;0))),"",IF(OR($W717="Failed",$R717="Urgent",$R717="High",$R717="ระบุ Severity + Impact"),IF(COUNTIFS(Dashboard!$B$105:$B$124,$O717,Dashboard!$I$105:$I$124,"CAB")&gt;0,"Accepted (CF)","Blocking"),"Deferrable"))</f>
        <v/>
      </c>
    </row>
    <row r="718" spans="7:26" x14ac:dyDescent="0.3">
      <c r="G718" s="27" t="str" cm="1">
        <f t="array" ref="G718">IF($A718="","",IFERROR(_xlfn.TEXTJOIN(CHAR(10)&amp;CHAR(10),TRUE,_xlfn._xlws.FILTER("•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"&amp;Cards!$L$4:$L$1000),(Cards!$A$4:$A$1000&lt;&gt;"")*ISNUMBER(SEARCH($A718,Cards!$E$4:$E$1000)))),"-"))</f>
        <v/>
      </c>
      <c r="Q718" s="30"/>
      <c r="R718" s="27" t="str">
        <f>IF(OR($A718="",LEN(TRIM($O718))=0),"",IF(OR($P718="",$Q718=""),"ระบุ Severity + Impact",IFERROR(INDEX({"Urgent","Urgent","High","High";"Urgent","High","High","Medium";"High","High","Medium","Medium";"Medium","Medium","Low","Low"},MATCH($P718,{"Critical","High","Medium","Low"},0),MATCH($Q718,{"Extensive","Significant","Moderate","Minor"},0)),"-")))</f>
        <v/>
      </c>
      <c r="S718" s="30"/>
      <c r="T718" s="30"/>
      <c r="W718" s="32" t="str">
        <f>IF($A718="","",IF(OR($M718="Out of Scope",$M718="Canceled"),"Out of Scope",IF($M718="Blocked","Blocked",IF(AND($T718&lt;&gt;"Fixed – Retest Passed",OR(LEN(TRIM($O718))&gt;0,LEN(TRIM($P718))&gt;0)),IF(AND(OR($L718="Medium",$L718="Low"),SUMPRODUCT((Cards!$A$4:$A$1000&lt;&gt;"")*ISNUMBER(SEARCH($A718,Cards!$E$4:$E$1000))*(Cards!$F$4:$F$1000&lt;&gt;"Medium")*(Cards!$F$4:$F$1000&lt;&gt;"Low"))=0),"Conditionally Passed","Failed"),IF($M718="Done","Passed","Not Run")))))</f>
        <v/>
      </c>
      <c r="Y718" s="27" t="str" cm="1">
        <f t="array" ref="Y718">IF($A718="","",IF(TRIM($B718)="","-",IFERROR(_xlfn.TEXTJOIN(" / ",TRUE,_xlfn.UNIQUE(_xlfn._xlws.FILTER('Ownership Matrix'!$C$5:$C$200,('Ownership Matrix'!$A$5:$A$200=TRIM($B718))*('Ownership Matrix'!$C$5:$C$200&lt;&gt;"")))),"ไม่พบใน Ownership Matrix")))</f>
        <v/>
      </c>
      <c r="Z718" s="31" t="str">
        <f>IF(NOT(AND($A718&lt;&gt;"",$M718&lt;&gt;"Out of Scope",$M718&lt;&gt;"Canceled",$T718&lt;&gt;"Fixed – Retest Passed",OR(LEN(TRIM($O718))&gt;0,LEN(TRIM($P718))&gt;0))),"",IF(OR($W718="Failed",$R718="Urgent",$R718="High",$R718="ระบุ Severity + Impact"),IF(COUNTIFS(Dashboard!$B$105:$B$124,$O718,Dashboard!$I$105:$I$124,"CAB")&gt;0,"Accepted (CF)","Blocking"),"Deferrable"))</f>
        <v/>
      </c>
    </row>
    <row r="719" spans="7:26" x14ac:dyDescent="0.3">
      <c r="G719" s="27" t="str" cm="1">
        <f t="array" ref="G719">IF($A719="","",IFERROR(_xlfn.TEXTJOIN(CHAR(10)&amp;CHAR(10),TRUE,_xlfn._xlws.FILTER("•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"&amp;Cards!$L$4:$L$1000),(Cards!$A$4:$A$1000&lt;&gt;"")*ISNUMBER(SEARCH($A719,Cards!$E$4:$E$1000)))),"-"))</f>
        <v/>
      </c>
      <c r="Q719" s="30"/>
      <c r="R719" s="27" t="str">
        <f>IF(OR($A719="",LEN(TRIM($O719))=0),"",IF(OR($P719="",$Q719=""),"ระบุ Severity + Impact",IFERROR(INDEX({"Urgent","Urgent","High","High";"Urgent","High","High","Medium";"High","High","Medium","Medium";"Medium","Medium","Low","Low"},MATCH($P719,{"Critical","High","Medium","Low"},0),MATCH($Q719,{"Extensive","Significant","Moderate","Minor"},0)),"-")))</f>
        <v/>
      </c>
      <c r="S719" s="30"/>
      <c r="T719" s="30"/>
      <c r="W719" s="32" t="str">
        <f>IF($A719="","",IF(OR($M719="Out of Scope",$M719="Canceled"),"Out of Scope",IF($M719="Blocked","Blocked",IF(AND($T719&lt;&gt;"Fixed – Retest Passed",OR(LEN(TRIM($O719))&gt;0,LEN(TRIM($P719))&gt;0)),IF(AND(OR($L719="Medium",$L719="Low"),SUMPRODUCT((Cards!$A$4:$A$1000&lt;&gt;"")*ISNUMBER(SEARCH($A719,Cards!$E$4:$E$1000))*(Cards!$F$4:$F$1000&lt;&gt;"Medium")*(Cards!$F$4:$F$1000&lt;&gt;"Low"))=0),"Conditionally Passed","Failed"),IF($M719="Done","Passed","Not Run")))))</f>
        <v/>
      </c>
      <c r="Y719" s="27" t="str" cm="1">
        <f t="array" ref="Y719">IF($A719="","",IF(TRIM($B719)="","-",IFERROR(_xlfn.TEXTJOIN(" / ",TRUE,_xlfn.UNIQUE(_xlfn._xlws.FILTER('Ownership Matrix'!$C$5:$C$200,('Ownership Matrix'!$A$5:$A$200=TRIM($B719))*('Ownership Matrix'!$C$5:$C$200&lt;&gt;"")))),"ไม่พบใน Ownership Matrix")))</f>
        <v/>
      </c>
      <c r="Z719" s="31" t="str">
        <f>IF(NOT(AND($A719&lt;&gt;"",$M719&lt;&gt;"Out of Scope",$M719&lt;&gt;"Canceled",$T719&lt;&gt;"Fixed – Retest Passed",OR(LEN(TRIM($O719))&gt;0,LEN(TRIM($P719))&gt;0))),"",IF(OR($W719="Failed",$R719="Urgent",$R719="High",$R719="ระบุ Severity + Impact"),IF(COUNTIFS(Dashboard!$B$105:$B$124,$O719,Dashboard!$I$105:$I$124,"CAB")&gt;0,"Accepted (CF)","Blocking"),"Deferrable"))</f>
        <v/>
      </c>
    </row>
    <row r="720" spans="7:26" x14ac:dyDescent="0.3">
      <c r="G720" s="27" t="str" cm="1">
        <f t="array" ref="G720">IF($A720="","",IFERROR(_xlfn.TEXTJOIN(CHAR(10)&amp;CHAR(10),TRUE,_xlfn._xlws.FILTER("•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"&amp;Cards!$L$4:$L$1000),(Cards!$A$4:$A$1000&lt;&gt;"")*ISNUMBER(SEARCH($A720,Cards!$E$4:$E$1000)))),"-"))</f>
        <v/>
      </c>
      <c r="Q720" s="30"/>
      <c r="R720" s="27" t="str">
        <f>IF(OR($A720="",LEN(TRIM($O720))=0),"",IF(OR($P720="",$Q720=""),"ระบุ Severity + Impact",IFERROR(INDEX({"Urgent","Urgent","High","High";"Urgent","High","High","Medium";"High","High","Medium","Medium";"Medium","Medium","Low","Low"},MATCH($P720,{"Critical","High","Medium","Low"},0),MATCH($Q720,{"Extensive","Significant","Moderate","Minor"},0)),"-")))</f>
        <v/>
      </c>
      <c r="S720" s="30"/>
      <c r="T720" s="30"/>
      <c r="W720" s="32" t="str">
        <f>IF($A720="","",IF(OR($M720="Out of Scope",$M720="Canceled"),"Out of Scope",IF($M720="Blocked","Blocked",IF(AND($T720&lt;&gt;"Fixed – Retest Passed",OR(LEN(TRIM($O720))&gt;0,LEN(TRIM($P720))&gt;0)),IF(AND(OR($L720="Medium",$L720="Low"),SUMPRODUCT((Cards!$A$4:$A$1000&lt;&gt;"")*ISNUMBER(SEARCH($A720,Cards!$E$4:$E$1000))*(Cards!$F$4:$F$1000&lt;&gt;"Medium")*(Cards!$F$4:$F$1000&lt;&gt;"Low"))=0),"Conditionally Passed","Failed"),IF($M720="Done","Passed","Not Run")))))</f>
        <v/>
      </c>
      <c r="Y720" s="27" t="str" cm="1">
        <f t="array" ref="Y720">IF($A720="","",IF(TRIM($B720)="","-",IFERROR(_xlfn.TEXTJOIN(" / ",TRUE,_xlfn.UNIQUE(_xlfn._xlws.FILTER('Ownership Matrix'!$C$5:$C$200,('Ownership Matrix'!$A$5:$A$200=TRIM($B720))*('Ownership Matrix'!$C$5:$C$200&lt;&gt;"")))),"ไม่พบใน Ownership Matrix")))</f>
        <v/>
      </c>
      <c r="Z720" s="31" t="str">
        <f>IF(NOT(AND($A720&lt;&gt;"",$M720&lt;&gt;"Out of Scope",$M720&lt;&gt;"Canceled",$T720&lt;&gt;"Fixed – Retest Passed",OR(LEN(TRIM($O720))&gt;0,LEN(TRIM($P720))&gt;0))),"",IF(OR($W720="Failed",$R720="Urgent",$R720="High",$R720="ระบุ Severity + Impact"),IF(COUNTIFS(Dashboard!$B$105:$B$124,$O720,Dashboard!$I$105:$I$124,"CAB")&gt;0,"Accepted (CF)","Blocking"),"Deferrable"))</f>
        <v/>
      </c>
    </row>
    <row r="721" spans="7:26" x14ac:dyDescent="0.3">
      <c r="G721" s="27" t="str" cm="1">
        <f t="array" ref="G721">IF($A721="","",IFERROR(_xlfn.TEXTJOIN(CHAR(10)&amp;CHAR(10),TRUE,_xlfn._xlws.FILTER("•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"&amp;Cards!$L$4:$L$1000),(Cards!$A$4:$A$1000&lt;&gt;"")*ISNUMBER(SEARCH($A721,Cards!$E$4:$E$1000)))),"-"))</f>
        <v/>
      </c>
      <c r="Q721" s="30"/>
      <c r="R721" s="27" t="str">
        <f>IF(OR($A721="",LEN(TRIM($O721))=0),"",IF(OR($P721="",$Q721=""),"ระบุ Severity + Impact",IFERROR(INDEX({"Urgent","Urgent","High","High";"Urgent","High","High","Medium";"High","High","Medium","Medium";"Medium","Medium","Low","Low"},MATCH($P721,{"Critical","High","Medium","Low"},0),MATCH($Q721,{"Extensive","Significant","Moderate","Minor"},0)),"-")))</f>
        <v/>
      </c>
      <c r="S721" s="30"/>
      <c r="T721" s="30"/>
      <c r="W721" s="32" t="str">
        <f>IF($A721="","",IF(OR($M721="Out of Scope",$M721="Canceled"),"Out of Scope",IF($M721="Blocked","Blocked",IF(AND($T721&lt;&gt;"Fixed – Retest Passed",OR(LEN(TRIM($O721))&gt;0,LEN(TRIM($P721))&gt;0)),IF(AND(OR($L721="Medium",$L721="Low"),SUMPRODUCT((Cards!$A$4:$A$1000&lt;&gt;"")*ISNUMBER(SEARCH($A721,Cards!$E$4:$E$1000))*(Cards!$F$4:$F$1000&lt;&gt;"Medium")*(Cards!$F$4:$F$1000&lt;&gt;"Low"))=0),"Conditionally Passed","Failed"),IF($M721="Done","Passed","Not Run")))))</f>
        <v/>
      </c>
      <c r="Y721" s="27" t="str" cm="1">
        <f t="array" ref="Y721">IF($A721="","",IF(TRIM($B721)="","-",IFERROR(_xlfn.TEXTJOIN(" / ",TRUE,_xlfn.UNIQUE(_xlfn._xlws.FILTER('Ownership Matrix'!$C$5:$C$200,('Ownership Matrix'!$A$5:$A$200=TRIM($B721))*('Ownership Matrix'!$C$5:$C$200&lt;&gt;"")))),"ไม่พบใน Ownership Matrix")))</f>
        <v/>
      </c>
      <c r="Z721" s="31" t="str">
        <f>IF(NOT(AND($A721&lt;&gt;"",$M721&lt;&gt;"Out of Scope",$M721&lt;&gt;"Canceled",$T721&lt;&gt;"Fixed – Retest Passed",OR(LEN(TRIM($O721))&gt;0,LEN(TRIM($P721))&gt;0))),"",IF(OR($W721="Failed",$R721="Urgent",$R721="High",$R721="ระบุ Severity + Impact"),IF(COUNTIFS(Dashboard!$B$105:$B$124,$O721,Dashboard!$I$105:$I$124,"CAB")&gt;0,"Accepted (CF)","Blocking"),"Deferrable"))</f>
        <v/>
      </c>
    </row>
    <row r="722" spans="7:26" x14ac:dyDescent="0.3">
      <c r="G722" s="27" t="str" cm="1">
        <f t="array" ref="G722">IF($A722="","",IFERROR(_xlfn.TEXTJOIN(CHAR(10)&amp;CHAR(10),TRUE,_xlfn._xlws.FILTER("•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"&amp;Cards!$L$4:$L$1000),(Cards!$A$4:$A$1000&lt;&gt;"")*ISNUMBER(SEARCH($A722,Cards!$E$4:$E$1000)))),"-"))</f>
        <v/>
      </c>
      <c r="Q722" s="30"/>
      <c r="R722" s="27" t="str">
        <f>IF(OR($A722="",LEN(TRIM($O722))=0),"",IF(OR($P722="",$Q722=""),"ระบุ Severity + Impact",IFERROR(INDEX({"Urgent","Urgent","High","High";"Urgent","High","High","Medium";"High","High","Medium","Medium";"Medium","Medium","Low","Low"},MATCH($P722,{"Critical","High","Medium","Low"},0),MATCH($Q722,{"Extensive","Significant","Moderate","Minor"},0)),"-")))</f>
        <v/>
      </c>
      <c r="S722" s="30"/>
      <c r="T722" s="30"/>
      <c r="W722" s="32" t="str">
        <f>IF($A722="","",IF(OR($M722="Out of Scope",$M722="Canceled"),"Out of Scope",IF($M722="Blocked","Blocked",IF(AND($T722&lt;&gt;"Fixed – Retest Passed",OR(LEN(TRIM($O722))&gt;0,LEN(TRIM($P722))&gt;0)),IF(AND(OR($L722="Medium",$L722="Low"),SUMPRODUCT((Cards!$A$4:$A$1000&lt;&gt;"")*ISNUMBER(SEARCH($A722,Cards!$E$4:$E$1000))*(Cards!$F$4:$F$1000&lt;&gt;"Medium")*(Cards!$F$4:$F$1000&lt;&gt;"Low"))=0),"Conditionally Passed","Failed"),IF($M722="Done","Passed","Not Run")))))</f>
        <v/>
      </c>
      <c r="Y722" s="27" t="str" cm="1">
        <f t="array" ref="Y722">IF($A722="","",IF(TRIM($B722)="","-",IFERROR(_xlfn.TEXTJOIN(" / ",TRUE,_xlfn.UNIQUE(_xlfn._xlws.FILTER('Ownership Matrix'!$C$5:$C$200,('Ownership Matrix'!$A$5:$A$200=TRIM($B722))*('Ownership Matrix'!$C$5:$C$200&lt;&gt;"")))),"ไม่พบใน Ownership Matrix")))</f>
        <v/>
      </c>
      <c r="Z722" s="31" t="str">
        <f>IF(NOT(AND($A722&lt;&gt;"",$M722&lt;&gt;"Out of Scope",$M722&lt;&gt;"Canceled",$T722&lt;&gt;"Fixed – Retest Passed",OR(LEN(TRIM($O722))&gt;0,LEN(TRIM($P722))&gt;0))),"",IF(OR($W722="Failed",$R722="Urgent",$R722="High",$R722="ระบุ Severity + Impact"),IF(COUNTIFS(Dashboard!$B$105:$B$124,$O722,Dashboard!$I$105:$I$124,"CAB")&gt;0,"Accepted (CF)","Blocking"),"Deferrable"))</f>
        <v/>
      </c>
    </row>
    <row r="723" spans="7:26" x14ac:dyDescent="0.3">
      <c r="G723" s="27" t="str" cm="1">
        <f t="array" ref="G723">IF($A723="","",IFERROR(_xlfn.TEXTJOIN(CHAR(10)&amp;CHAR(10),TRUE,_xlfn._xlws.FILTER("•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"&amp;Cards!$L$4:$L$1000),(Cards!$A$4:$A$1000&lt;&gt;"")*ISNUMBER(SEARCH($A723,Cards!$E$4:$E$1000)))),"-"))</f>
        <v/>
      </c>
      <c r="Q723" s="30"/>
      <c r="R723" s="27" t="str">
        <f>IF(OR($A723="",LEN(TRIM($O723))=0),"",IF(OR($P723="",$Q723=""),"ระบุ Severity + Impact",IFERROR(INDEX({"Urgent","Urgent","High","High";"Urgent","High","High","Medium";"High","High","Medium","Medium";"Medium","Medium","Low","Low"},MATCH($P723,{"Critical","High","Medium","Low"},0),MATCH($Q723,{"Extensive","Significant","Moderate","Minor"},0)),"-")))</f>
        <v/>
      </c>
      <c r="S723" s="30"/>
      <c r="T723" s="30"/>
      <c r="W723" s="32" t="str">
        <f>IF($A723="","",IF(OR($M723="Out of Scope",$M723="Canceled"),"Out of Scope",IF($M723="Blocked","Blocked",IF(AND($T723&lt;&gt;"Fixed – Retest Passed",OR(LEN(TRIM($O723))&gt;0,LEN(TRIM($P723))&gt;0)),IF(AND(OR($L723="Medium",$L723="Low"),SUMPRODUCT((Cards!$A$4:$A$1000&lt;&gt;"")*ISNUMBER(SEARCH($A723,Cards!$E$4:$E$1000))*(Cards!$F$4:$F$1000&lt;&gt;"Medium")*(Cards!$F$4:$F$1000&lt;&gt;"Low"))=0),"Conditionally Passed","Failed"),IF($M723="Done","Passed","Not Run")))))</f>
        <v/>
      </c>
      <c r="Y723" s="27" t="str" cm="1">
        <f t="array" ref="Y723">IF($A723="","",IF(TRIM($B723)="","-",IFERROR(_xlfn.TEXTJOIN(" / ",TRUE,_xlfn.UNIQUE(_xlfn._xlws.FILTER('Ownership Matrix'!$C$5:$C$200,('Ownership Matrix'!$A$5:$A$200=TRIM($B723))*('Ownership Matrix'!$C$5:$C$200&lt;&gt;"")))),"ไม่พบใน Ownership Matrix")))</f>
        <v/>
      </c>
      <c r="Z723" s="31" t="str">
        <f>IF(NOT(AND($A723&lt;&gt;"",$M723&lt;&gt;"Out of Scope",$M723&lt;&gt;"Canceled",$T723&lt;&gt;"Fixed – Retest Passed",OR(LEN(TRIM($O723))&gt;0,LEN(TRIM($P723))&gt;0))),"",IF(OR($W723="Failed",$R723="Urgent",$R723="High",$R723="ระบุ Severity + Impact"),IF(COUNTIFS(Dashboard!$B$105:$B$124,$O723,Dashboard!$I$105:$I$124,"CAB")&gt;0,"Accepted (CF)","Blocking"),"Deferrable"))</f>
        <v/>
      </c>
    </row>
    <row r="724" spans="7:26" x14ac:dyDescent="0.3">
      <c r="G724" s="27" t="str" cm="1">
        <f t="array" ref="G724">IF($A724="","",IFERROR(_xlfn.TEXTJOIN(CHAR(10)&amp;CHAR(10),TRUE,_xlfn._xlws.FILTER("•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"&amp;Cards!$L$4:$L$1000),(Cards!$A$4:$A$1000&lt;&gt;"")*ISNUMBER(SEARCH($A724,Cards!$E$4:$E$1000)))),"-"))</f>
        <v/>
      </c>
      <c r="Q724" s="30"/>
      <c r="R724" s="27" t="str">
        <f>IF(OR($A724="",LEN(TRIM($O724))=0),"",IF(OR($P724="",$Q724=""),"ระบุ Severity + Impact",IFERROR(INDEX({"Urgent","Urgent","High","High";"Urgent","High","High","Medium";"High","High","Medium","Medium";"Medium","Medium","Low","Low"},MATCH($P724,{"Critical","High","Medium","Low"},0),MATCH($Q724,{"Extensive","Significant","Moderate","Minor"},0)),"-")))</f>
        <v/>
      </c>
      <c r="S724" s="30"/>
      <c r="T724" s="30"/>
      <c r="W724" s="32" t="str">
        <f>IF($A724="","",IF(OR($M724="Out of Scope",$M724="Canceled"),"Out of Scope",IF($M724="Blocked","Blocked",IF(AND($T724&lt;&gt;"Fixed – Retest Passed",OR(LEN(TRIM($O724))&gt;0,LEN(TRIM($P724))&gt;0)),IF(AND(OR($L724="Medium",$L724="Low"),SUMPRODUCT((Cards!$A$4:$A$1000&lt;&gt;"")*ISNUMBER(SEARCH($A724,Cards!$E$4:$E$1000))*(Cards!$F$4:$F$1000&lt;&gt;"Medium")*(Cards!$F$4:$F$1000&lt;&gt;"Low"))=0),"Conditionally Passed","Failed"),IF($M724="Done","Passed","Not Run")))))</f>
        <v/>
      </c>
      <c r="Y724" s="27" t="str" cm="1">
        <f t="array" ref="Y724">IF($A724="","",IF(TRIM($B724)="","-",IFERROR(_xlfn.TEXTJOIN(" / ",TRUE,_xlfn.UNIQUE(_xlfn._xlws.FILTER('Ownership Matrix'!$C$5:$C$200,('Ownership Matrix'!$A$5:$A$200=TRIM($B724))*('Ownership Matrix'!$C$5:$C$200&lt;&gt;"")))),"ไม่พบใน Ownership Matrix")))</f>
        <v/>
      </c>
      <c r="Z724" s="31" t="str">
        <f>IF(NOT(AND($A724&lt;&gt;"",$M724&lt;&gt;"Out of Scope",$M724&lt;&gt;"Canceled",$T724&lt;&gt;"Fixed – Retest Passed",OR(LEN(TRIM($O724))&gt;0,LEN(TRIM($P724))&gt;0))),"",IF(OR($W724="Failed",$R724="Urgent",$R724="High",$R724="ระบุ Severity + Impact"),IF(COUNTIFS(Dashboard!$B$105:$B$124,$O724,Dashboard!$I$105:$I$124,"CAB")&gt;0,"Accepted (CF)","Blocking"),"Deferrable"))</f>
        <v/>
      </c>
    </row>
    <row r="725" spans="7:26" x14ac:dyDescent="0.3">
      <c r="G725" s="27" t="str" cm="1">
        <f t="array" ref="G725">IF($A725="","",IFERROR(_xlfn.TEXTJOIN(CHAR(10)&amp;CHAR(10),TRUE,_xlfn._xlws.FILTER("•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"&amp;Cards!$L$4:$L$1000),(Cards!$A$4:$A$1000&lt;&gt;"")*ISNUMBER(SEARCH($A725,Cards!$E$4:$E$1000)))),"-"))</f>
        <v/>
      </c>
      <c r="Q725" s="30"/>
      <c r="R725" s="27" t="str">
        <f>IF(OR($A725="",LEN(TRIM($O725))=0),"",IF(OR($P725="",$Q725=""),"ระบุ Severity + Impact",IFERROR(INDEX({"Urgent","Urgent","High","High";"Urgent","High","High","Medium";"High","High","Medium","Medium";"Medium","Medium","Low","Low"},MATCH($P725,{"Critical","High","Medium","Low"},0),MATCH($Q725,{"Extensive","Significant","Moderate","Minor"},0)),"-")))</f>
        <v/>
      </c>
      <c r="S725" s="30"/>
      <c r="T725" s="30"/>
      <c r="W725" s="32" t="str">
        <f>IF($A725="","",IF(OR($M725="Out of Scope",$M725="Canceled"),"Out of Scope",IF($M725="Blocked","Blocked",IF(AND($T725&lt;&gt;"Fixed – Retest Passed",OR(LEN(TRIM($O725))&gt;0,LEN(TRIM($P725))&gt;0)),IF(AND(OR($L725="Medium",$L725="Low"),SUMPRODUCT((Cards!$A$4:$A$1000&lt;&gt;"")*ISNUMBER(SEARCH($A725,Cards!$E$4:$E$1000))*(Cards!$F$4:$F$1000&lt;&gt;"Medium")*(Cards!$F$4:$F$1000&lt;&gt;"Low"))=0),"Conditionally Passed","Failed"),IF($M725="Done","Passed","Not Run")))))</f>
        <v/>
      </c>
      <c r="Y725" s="27" t="str" cm="1">
        <f t="array" ref="Y725">IF($A725="","",IF(TRIM($B725)="","-",IFERROR(_xlfn.TEXTJOIN(" / ",TRUE,_xlfn.UNIQUE(_xlfn._xlws.FILTER('Ownership Matrix'!$C$5:$C$200,('Ownership Matrix'!$A$5:$A$200=TRIM($B725))*('Ownership Matrix'!$C$5:$C$200&lt;&gt;"")))),"ไม่พบใน Ownership Matrix")))</f>
        <v/>
      </c>
      <c r="Z725" s="31" t="str">
        <f>IF(NOT(AND($A725&lt;&gt;"",$M725&lt;&gt;"Out of Scope",$M725&lt;&gt;"Canceled",$T725&lt;&gt;"Fixed – Retest Passed",OR(LEN(TRIM($O725))&gt;0,LEN(TRIM($P725))&gt;0))),"",IF(OR($W725="Failed",$R725="Urgent",$R725="High",$R725="ระบุ Severity + Impact"),IF(COUNTIFS(Dashboard!$B$105:$B$124,$O725,Dashboard!$I$105:$I$124,"CAB")&gt;0,"Accepted (CF)","Blocking"),"Deferrable"))</f>
        <v/>
      </c>
    </row>
    <row r="726" spans="7:26" x14ac:dyDescent="0.3">
      <c r="G726" s="27" t="str" cm="1">
        <f t="array" ref="G726">IF($A726="","",IFERROR(_xlfn.TEXTJOIN(CHAR(10)&amp;CHAR(10),TRUE,_xlfn._xlws.FILTER("•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"&amp;Cards!$L$4:$L$1000),(Cards!$A$4:$A$1000&lt;&gt;"")*ISNUMBER(SEARCH($A726,Cards!$E$4:$E$1000)))),"-"))</f>
        <v/>
      </c>
      <c r="Q726" s="30"/>
      <c r="R726" s="27" t="str">
        <f>IF(OR($A726="",LEN(TRIM($O726))=0),"",IF(OR($P726="",$Q726=""),"ระบุ Severity + Impact",IFERROR(INDEX({"Urgent","Urgent","High","High";"Urgent","High","High","Medium";"High","High","Medium","Medium";"Medium","Medium","Low","Low"},MATCH($P726,{"Critical","High","Medium","Low"},0),MATCH($Q726,{"Extensive","Significant","Moderate","Minor"},0)),"-")))</f>
        <v/>
      </c>
      <c r="S726" s="30"/>
      <c r="T726" s="30"/>
      <c r="W726" s="32" t="str">
        <f>IF($A726="","",IF(OR($M726="Out of Scope",$M726="Canceled"),"Out of Scope",IF($M726="Blocked","Blocked",IF(AND($T726&lt;&gt;"Fixed – Retest Passed",OR(LEN(TRIM($O726))&gt;0,LEN(TRIM($P726))&gt;0)),IF(AND(OR($L726="Medium",$L726="Low"),SUMPRODUCT((Cards!$A$4:$A$1000&lt;&gt;"")*ISNUMBER(SEARCH($A726,Cards!$E$4:$E$1000))*(Cards!$F$4:$F$1000&lt;&gt;"Medium")*(Cards!$F$4:$F$1000&lt;&gt;"Low"))=0),"Conditionally Passed","Failed"),IF($M726="Done","Passed","Not Run")))))</f>
        <v/>
      </c>
      <c r="Y726" s="27" t="str" cm="1">
        <f t="array" ref="Y726">IF($A726="","",IF(TRIM($B726)="","-",IFERROR(_xlfn.TEXTJOIN(" / ",TRUE,_xlfn.UNIQUE(_xlfn._xlws.FILTER('Ownership Matrix'!$C$5:$C$200,('Ownership Matrix'!$A$5:$A$200=TRIM($B726))*('Ownership Matrix'!$C$5:$C$200&lt;&gt;"")))),"ไม่พบใน Ownership Matrix")))</f>
        <v/>
      </c>
      <c r="Z726" s="31" t="str">
        <f>IF(NOT(AND($A726&lt;&gt;"",$M726&lt;&gt;"Out of Scope",$M726&lt;&gt;"Canceled",$T726&lt;&gt;"Fixed – Retest Passed",OR(LEN(TRIM($O726))&gt;0,LEN(TRIM($P726))&gt;0))),"",IF(OR($W726="Failed",$R726="Urgent",$R726="High",$R726="ระบุ Severity + Impact"),IF(COUNTIFS(Dashboard!$B$105:$B$124,$O726,Dashboard!$I$105:$I$124,"CAB")&gt;0,"Accepted (CF)","Blocking"),"Deferrable"))</f>
        <v/>
      </c>
    </row>
    <row r="727" spans="7:26" x14ac:dyDescent="0.3">
      <c r="G727" s="27" t="str" cm="1">
        <f t="array" ref="G727">IF($A727="","",IFERROR(_xlfn.TEXTJOIN(CHAR(10)&amp;CHAR(10),TRUE,_xlfn._xlws.FILTER("•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"&amp;Cards!$L$4:$L$1000),(Cards!$A$4:$A$1000&lt;&gt;"")*ISNUMBER(SEARCH($A727,Cards!$E$4:$E$1000)))),"-"))</f>
        <v/>
      </c>
      <c r="Q727" s="30"/>
      <c r="R727" s="27" t="str">
        <f>IF(OR($A727="",LEN(TRIM($O727))=0),"",IF(OR($P727="",$Q727=""),"ระบุ Severity + Impact",IFERROR(INDEX({"Urgent","Urgent","High","High";"Urgent","High","High","Medium";"High","High","Medium","Medium";"Medium","Medium","Low","Low"},MATCH($P727,{"Critical","High","Medium","Low"},0),MATCH($Q727,{"Extensive","Significant","Moderate","Minor"},0)),"-")))</f>
        <v/>
      </c>
      <c r="S727" s="30"/>
      <c r="T727" s="30"/>
      <c r="W727" s="32" t="str">
        <f>IF($A727="","",IF(OR($M727="Out of Scope",$M727="Canceled"),"Out of Scope",IF($M727="Blocked","Blocked",IF(AND($T727&lt;&gt;"Fixed – Retest Passed",OR(LEN(TRIM($O727))&gt;0,LEN(TRIM($P727))&gt;0)),IF(AND(OR($L727="Medium",$L727="Low"),SUMPRODUCT((Cards!$A$4:$A$1000&lt;&gt;"")*ISNUMBER(SEARCH($A727,Cards!$E$4:$E$1000))*(Cards!$F$4:$F$1000&lt;&gt;"Medium")*(Cards!$F$4:$F$1000&lt;&gt;"Low"))=0),"Conditionally Passed","Failed"),IF($M727="Done","Passed","Not Run")))))</f>
        <v/>
      </c>
      <c r="Y727" s="27" t="str" cm="1">
        <f t="array" ref="Y727">IF($A727="","",IF(TRIM($B727)="","-",IFERROR(_xlfn.TEXTJOIN(" / ",TRUE,_xlfn.UNIQUE(_xlfn._xlws.FILTER('Ownership Matrix'!$C$5:$C$200,('Ownership Matrix'!$A$5:$A$200=TRIM($B727))*('Ownership Matrix'!$C$5:$C$200&lt;&gt;"")))),"ไม่พบใน Ownership Matrix")))</f>
        <v/>
      </c>
      <c r="Z727" s="31" t="str">
        <f>IF(NOT(AND($A727&lt;&gt;"",$M727&lt;&gt;"Out of Scope",$M727&lt;&gt;"Canceled",$T727&lt;&gt;"Fixed – Retest Passed",OR(LEN(TRIM($O727))&gt;0,LEN(TRIM($P727))&gt;0))),"",IF(OR($W727="Failed",$R727="Urgent",$R727="High",$R727="ระบุ Severity + Impact"),IF(COUNTIFS(Dashboard!$B$105:$B$124,$O727,Dashboard!$I$105:$I$124,"CAB")&gt;0,"Accepted (CF)","Blocking"),"Deferrable"))</f>
        <v/>
      </c>
    </row>
    <row r="728" spans="7:26" x14ac:dyDescent="0.3">
      <c r="G728" s="27" t="str" cm="1">
        <f t="array" ref="G728">IF($A728="","",IFERROR(_xlfn.TEXTJOIN(CHAR(10)&amp;CHAR(10),TRUE,_xlfn._xlws.FILTER("•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"&amp;Cards!$L$4:$L$1000),(Cards!$A$4:$A$1000&lt;&gt;"")*ISNUMBER(SEARCH($A728,Cards!$E$4:$E$1000)))),"-"))</f>
        <v/>
      </c>
      <c r="Q728" s="30"/>
      <c r="R728" s="27" t="str">
        <f>IF(OR($A728="",LEN(TRIM($O728))=0),"",IF(OR($P728="",$Q728=""),"ระบุ Severity + Impact",IFERROR(INDEX({"Urgent","Urgent","High","High";"Urgent","High","High","Medium";"High","High","Medium","Medium";"Medium","Medium","Low","Low"},MATCH($P728,{"Critical","High","Medium","Low"},0),MATCH($Q728,{"Extensive","Significant","Moderate","Minor"},0)),"-")))</f>
        <v/>
      </c>
      <c r="S728" s="30"/>
      <c r="T728" s="30"/>
      <c r="W728" s="32" t="str">
        <f>IF($A728="","",IF(OR($M728="Out of Scope",$M728="Canceled"),"Out of Scope",IF($M728="Blocked","Blocked",IF(AND($T728&lt;&gt;"Fixed – Retest Passed",OR(LEN(TRIM($O728))&gt;0,LEN(TRIM($P728))&gt;0)),IF(AND(OR($L728="Medium",$L728="Low"),SUMPRODUCT((Cards!$A$4:$A$1000&lt;&gt;"")*ISNUMBER(SEARCH($A728,Cards!$E$4:$E$1000))*(Cards!$F$4:$F$1000&lt;&gt;"Medium")*(Cards!$F$4:$F$1000&lt;&gt;"Low"))=0),"Conditionally Passed","Failed"),IF($M728="Done","Passed","Not Run")))))</f>
        <v/>
      </c>
      <c r="Y728" s="27" t="str" cm="1">
        <f t="array" ref="Y728">IF($A728="","",IF(TRIM($B728)="","-",IFERROR(_xlfn.TEXTJOIN(" / ",TRUE,_xlfn.UNIQUE(_xlfn._xlws.FILTER('Ownership Matrix'!$C$5:$C$200,('Ownership Matrix'!$A$5:$A$200=TRIM($B728))*('Ownership Matrix'!$C$5:$C$200&lt;&gt;"")))),"ไม่พบใน Ownership Matrix")))</f>
        <v/>
      </c>
      <c r="Z728" s="31" t="str">
        <f>IF(NOT(AND($A728&lt;&gt;"",$M728&lt;&gt;"Out of Scope",$M728&lt;&gt;"Canceled",$T728&lt;&gt;"Fixed – Retest Passed",OR(LEN(TRIM($O728))&gt;0,LEN(TRIM($P728))&gt;0))),"",IF(OR($W728="Failed",$R728="Urgent",$R728="High",$R728="ระบุ Severity + Impact"),IF(COUNTIFS(Dashboard!$B$105:$B$124,$O728,Dashboard!$I$105:$I$124,"CAB")&gt;0,"Accepted (CF)","Blocking"),"Deferrable"))</f>
        <v/>
      </c>
    </row>
    <row r="729" spans="7:26" x14ac:dyDescent="0.3">
      <c r="G729" s="27" t="str" cm="1">
        <f t="array" ref="G729">IF($A729="","",IFERROR(_xlfn.TEXTJOIN(CHAR(10)&amp;CHAR(10),TRUE,_xlfn._xlws.FILTER("•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"&amp;Cards!$L$4:$L$1000),(Cards!$A$4:$A$1000&lt;&gt;"")*ISNUMBER(SEARCH($A729,Cards!$E$4:$E$1000)))),"-"))</f>
        <v/>
      </c>
      <c r="Q729" s="30"/>
      <c r="R729" s="27" t="str">
        <f>IF(OR($A729="",LEN(TRIM($O729))=0),"",IF(OR($P729="",$Q729=""),"ระบุ Severity + Impact",IFERROR(INDEX({"Urgent","Urgent","High","High";"Urgent","High","High","Medium";"High","High","Medium","Medium";"Medium","Medium","Low","Low"},MATCH($P729,{"Critical","High","Medium","Low"},0),MATCH($Q729,{"Extensive","Significant","Moderate","Minor"},0)),"-")))</f>
        <v/>
      </c>
      <c r="S729" s="30"/>
      <c r="T729" s="30"/>
      <c r="W729" s="32" t="str">
        <f>IF($A729="","",IF(OR($M729="Out of Scope",$M729="Canceled"),"Out of Scope",IF($M729="Blocked","Blocked",IF(AND($T729&lt;&gt;"Fixed – Retest Passed",OR(LEN(TRIM($O729))&gt;0,LEN(TRIM($P729))&gt;0)),IF(AND(OR($L729="Medium",$L729="Low"),SUMPRODUCT((Cards!$A$4:$A$1000&lt;&gt;"")*ISNUMBER(SEARCH($A729,Cards!$E$4:$E$1000))*(Cards!$F$4:$F$1000&lt;&gt;"Medium")*(Cards!$F$4:$F$1000&lt;&gt;"Low"))=0),"Conditionally Passed","Failed"),IF($M729="Done","Passed","Not Run")))))</f>
        <v/>
      </c>
      <c r="Y729" s="27" t="str" cm="1">
        <f t="array" ref="Y729">IF($A729="","",IF(TRIM($B729)="","-",IFERROR(_xlfn.TEXTJOIN(" / ",TRUE,_xlfn.UNIQUE(_xlfn._xlws.FILTER('Ownership Matrix'!$C$5:$C$200,('Ownership Matrix'!$A$5:$A$200=TRIM($B729))*('Ownership Matrix'!$C$5:$C$200&lt;&gt;"")))),"ไม่พบใน Ownership Matrix")))</f>
        <v/>
      </c>
      <c r="Z729" s="31" t="str">
        <f>IF(NOT(AND($A729&lt;&gt;"",$M729&lt;&gt;"Out of Scope",$M729&lt;&gt;"Canceled",$T729&lt;&gt;"Fixed – Retest Passed",OR(LEN(TRIM($O729))&gt;0,LEN(TRIM($P729))&gt;0))),"",IF(OR($W729="Failed",$R729="Urgent",$R729="High",$R729="ระบุ Severity + Impact"),IF(COUNTIFS(Dashboard!$B$105:$B$124,$O729,Dashboard!$I$105:$I$124,"CAB")&gt;0,"Accepted (CF)","Blocking"),"Deferrable"))</f>
        <v/>
      </c>
    </row>
    <row r="730" spans="7:26" x14ac:dyDescent="0.3">
      <c r="G730" s="27" t="str" cm="1">
        <f t="array" ref="G730">IF($A730="","",IFERROR(_xlfn.TEXTJOIN(CHAR(10)&amp;CHAR(10),TRUE,_xlfn._xlws.FILTER("•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"&amp;Cards!$L$4:$L$1000),(Cards!$A$4:$A$1000&lt;&gt;"")*ISNUMBER(SEARCH($A730,Cards!$E$4:$E$1000)))),"-"))</f>
        <v/>
      </c>
      <c r="Q730" s="30"/>
      <c r="R730" s="27" t="str">
        <f>IF(OR($A730="",LEN(TRIM($O730))=0),"",IF(OR($P730="",$Q730=""),"ระบุ Severity + Impact",IFERROR(INDEX({"Urgent","Urgent","High","High";"Urgent","High","High","Medium";"High","High","Medium","Medium";"Medium","Medium","Low","Low"},MATCH($P730,{"Critical","High","Medium","Low"},0),MATCH($Q730,{"Extensive","Significant","Moderate","Minor"},0)),"-")))</f>
        <v/>
      </c>
      <c r="S730" s="30"/>
      <c r="T730" s="30"/>
      <c r="W730" s="32" t="str">
        <f>IF($A730="","",IF(OR($M730="Out of Scope",$M730="Canceled"),"Out of Scope",IF($M730="Blocked","Blocked",IF(AND($T730&lt;&gt;"Fixed – Retest Passed",OR(LEN(TRIM($O730))&gt;0,LEN(TRIM($P730))&gt;0)),IF(AND(OR($L730="Medium",$L730="Low"),SUMPRODUCT((Cards!$A$4:$A$1000&lt;&gt;"")*ISNUMBER(SEARCH($A730,Cards!$E$4:$E$1000))*(Cards!$F$4:$F$1000&lt;&gt;"Medium")*(Cards!$F$4:$F$1000&lt;&gt;"Low"))=0),"Conditionally Passed","Failed"),IF($M730="Done","Passed","Not Run")))))</f>
        <v/>
      </c>
      <c r="Y730" s="27" t="str" cm="1">
        <f t="array" ref="Y730">IF($A730="","",IF(TRIM($B730)="","-",IFERROR(_xlfn.TEXTJOIN(" / ",TRUE,_xlfn.UNIQUE(_xlfn._xlws.FILTER('Ownership Matrix'!$C$5:$C$200,('Ownership Matrix'!$A$5:$A$200=TRIM($B730))*('Ownership Matrix'!$C$5:$C$200&lt;&gt;"")))),"ไม่พบใน Ownership Matrix")))</f>
        <v/>
      </c>
      <c r="Z730" s="31" t="str">
        <f>IF(NOT(AND($A730&lt;&gt;"",$M730&lt;&gt;"Out of Scope",$M730&lt;&gt;"Canceled",$T730&lt;&gt;"Fixed – Retest Passed",OR(LEN(TRIM($O730))&gt;0,LEN(TRIM($P730))&gt;0))),"",IF(OR($W730="Failed",$R730="Urgent",$R730="High",$R730="ระบุ Severity + Impact"),IF(COUNTIFS(Dashboard!$B$105:$B$124,$O730,Dashboard!$I$105:$I$124,"CAB")&gt;0,"Accepted (CF)","Blocking"),"Deferrable"))</f>
        <v/>
      </c>
    </row>
    <row r="731" spans="7:26" x14ac:dyDescent="0.3">
      <c r="G731" s="27" t="str" cm="1">
        <f t="array" ref="G731">IF($A731="","",IFERROR(_xlfn.TEXTJOIN(CHAR(10)&amp;CHAR(10),TRUE,_xlfn._xlws.FILTER("•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"&amp;Cards!$L$4:$L$1000),(Cards!$A$4:$A$1000&lt;&gt;"")*ISNUMBER(SEARCH($A731,Cards!$E$4:$E$1000)))),"-"))</f>
        <v/>
      </c>
      <c r="Q731" s="30"/>
      <c r="R731" s="27" t="str">
        <f>IF(OR($A731="",LEN(TRIM($O731))=0),"",IF(OR($P731="",$Q731=""),"ระบุ Severity + Impact",IFERROR(INDEX({"Urgent","Urgent","High","High";"Urgent","High","High","Medium";"High","High","Medium","Medium";"Medium","Medium","Low","Low"},MATCH($P731,{"Critical","High","Medium","Low"},0),MATCH($Q731,{"Extensive","Significant","Moderate","Minor"},0)),"-")))</f>
        <v/>
      </c>
      <c r="S731" s="30"/>
      <c r="T731" s="30"/>
      <c r="W731" s="32" t="str">
        <f>IF($A731="","",IF(OR($M731="Out of Scope",$M731="Canceled"),"Out of Scope",IF($M731="Blocked","Blocked",IF(AND($T731&lt;&gt;"Fixed – Retest Passed",OR(LEN(TRIM($O731))&gt;0,LEN(TRIM($P731))&gt;0)),IF(AND(OR($L731="Medium",$L731="Low"),SUMPRODUCT((Cards!$A$4:$A$1000&lt;&gt;"")*ISNUMBER(SEARCH($A731,Cards!$E$4:$E$1000))*(Cards!$F$4:$F$1000&lt;&gt;"Medium")*(Cards!$F$4:$F$1000&lt;&gt;"Low"))=0),"Conditionally Passed","Failed"),IF($M731="Done","Passed","Not Run")))))</f>
        <v/>
      </c>
      <c r="Y731" s="27" t="str" cm="1">
        <f t="array" ref="Y731">IF($A731="","",IF(TRIM($B731)="","-",IFERROR(_xlfn.TEXTJOIN(" / ",TRUE,_xlfn.UNIQUE(_xlfn._xlws.FILTER('Ownership Matrix'!$C$5:$C$200,('Ownership Matrix'!$A$5:$A$200=TRIM($B731))*('Ownership Matrix'!$C$5:$C$200&lt;&gt;"")))),"ไม่พบใน Ownership Matrix")))</f>
        <v/>
      </c>
      <c r="Z731" s="31" t="str">
        <f>IF(NOT(AND($A731&lt;&gt;"",$M731&lt;&gt;"Out of Scope",$M731&lt;&gt;"Canceled",$T731&lt;&gt;"Fixed – Retest Passed",OR(LEN(TRIM($O731))&gt;0,LEN(TRIM($P731))&gt;0))),"",IF(OR($W731="Failed",$R731="Urgent",$R731="High",$R731="ระบุ Severity + Impact"),IF(COUNTIFS(Dashboard!$B$105:$B$124,$O731,Dashboard!$I$105:$I$124,"CAB")&gt;0,"Accepted (CF)","Blocking"),"Deferrable"))</f>
        <v/>
      </c>
    </row>
    <row r="732" spans="7:26" x14ac:dyDescent="0.3">
      <c r="G732" s="27" t="str" cm="1">
        <f t="array" ref="G732">IF($A732="","",IFERROR(_xlfn.TEXTJOIN(CHAR(10)&amp;CHAR(10),TRUE,_xlfn._xlws.FILTER("•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"&amp;Cards!$L$4:$L$1000),(Cards!$A$4:$A$1000&lt;&gt;"")*ISNUMBER(SEARCH($A732,Cards!$E$4:$E$1000)))),"-"))</f>
        <v/>
      </c>
      <c r="Q732" s="30"/>
      <c r="R732" s="27" t="str">
        <f>IF(OR($A732="",LEN(TRIM($O732))=0),"",IF(OR($P732="",$Q732=""),"ระบุ Severity + Impact",IFERROR(INDEX({"Urgent","Urgent","High","High";"Urgent","High","High","Medium";"High","High","Medium","Medium";"Medium","Medium","Low","Low"},MATCH($P732,{"Critical","High","Medium","Low"},0),MATCH($Q732,{"Extensive","Significant","Moderate","Minor"},0)),"-")))</f>
        <v/>
      </c>
      <c r="S732" s="30"/>
      <c r="T732" s="30"/>
      <c r="W732" s="32" t="str">
        <f>IF($A732="","",IF(OR($M732="Out of Scope",$M732="Canceled"),"Out of Scope",IF($M732="Blocked","Blocked",IF(AND($T732&lt;&gt;"Fixed – Retest Passed",OR(LEN(TRIM($O732))&gt;0,LEN(TRIM($P732))&gt;0)),IF(AND(OR($L732="Medium",$L732="Low"),SUMPRODUCT((Cards!$A$4:$A$1000&lt;&gt;"")*ISNUMBER(SEARCH($A732,Cards!$E$4:$E$1000))*(Cards!$F$4:$F$1000&lt;&gt;"Medium")*(Cards!$F$4:$F$1000&lt;&gt;"Low"))=0),"Conditionally Passed","Failed"),IF($M732="Done","Passed","Not Run")))))</f>
        <v/>
      </c>
      <c r="Y732" s="27" t="str" cm="1">
        <f t="array" ref="Y732">IF($A732="","",IF(TRIM($B732)="","-",IFERROR(_xlfn.TEXTJOIN(" / ",TRUE,_xlfn.UNIQUE(_xlfn._xlws.FILTER('Ownership Matrix'!$C$5:$C$200,('Ownership Matrix'!$A$5:$A$200=TRIM($B732))*('Ownership Matrix'!$C$5:$C$200&lt;&gt;"")))),"ไม่พบใน Ownership Matrix")))</f>
        <v/>
      </c>
      <c r="Z732" s="31" t="str">
        <f>IF(NOT(AND($A732&lt;&gt;"",$M732&lt;&gt;"Out of Scope",$M732&lt;&gt;"Canceled",$T732&lt;&gt;"Fixed – Retest Passed",OR(LEN(TRIM($O732))&gt;0,LEN(TRIM($P732))&gt;0))),"",IF(OR($W732="Failed",$R732="Urgent",$R732="High",$R732="ระบุ Severity + Impact"),IF(COUNTIFS(Dashboard!$B$105:$B$124,$O732,Dashboard!$I$105:$I$124,"CAB")&gt;0,"Accepted (CF)","Blocking"),"Deferrable"))</f>
        <v/>
      </c>
    </row>
    <row r="733" spans="7:26" x14ac:dyDescent="0.3">
      <c r="G733" s="27" t="str" cm="1">
        <f t="array" ref="G733">IF($A733="","",IFERROR(_xlfn.TEXTJOIN(CHAR(10)&amp;CHAR(10),TRUE,_xlfn._xlws.FILTER("•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"&amp;Cards!$L$4:$L$1000),(Cards!$A$4:$A$1000&lt;&gt;"")*ISNUMBER(SEARCH($A733,Cards!$E$4:$E$1000)))),"-"))</f>
        <v/>
      </c>
      <c r="Q733" s="30"/>
      <c r="R733" s="27" t="str">
        <f>IF(OR($A733="",LEN(TRIM($O733))=0),"",IF(OR($P733="",$Q733=""),"ระบุ Severity + Impact",IFERROR(INDEX({"Urgent","Urgent","High","High";"Urgent","High","High","Medium";"High","High","Medium","Medium";"Medium","Medium","Low","Low"},MATCH($P733,{"Critical","High","Medium","Low"},0),MATCH($Q733,{"Extensive","Significant","Moderate","Minor"},0)),"-")))</f>
        <v/>
      </c>
      <c r="S733" s="30"/>
      <c r="T733" s="30"/>
      <c r="W733" s="32" t="str">
        <f>IF($A733="","",IF(OR($M733="Out of Scope",$M733="Canceled"),"Out of Scope",IF($M733="Blocked","Blocked",IF(AND($T733&lt;&gt;"Fixed – Retest Passed",OR(LEN(TRIM($O733))&gt;0,LEN(TRIM($P733))&gt;0)),IF(AND(OR($L733="Medium",$L733="Low"),SUMPRODUCT((Cards!$A$4:$A$1000&lt;&gt;"")*ISNUMBER(SEARCH($A733,Cards!$E$4:$E$1000))*(Cards!$F$4:$F$1000&lt;&gt;"Medium")*(Cards!$F$4:$F$1000&lt;&gt;"Low"))=0),"Conditionally Passed","Failed"),IF($M733="Done","Passed","Not Run")))))</f>
        <v/>
      </c>
      <c r="Y733" s="27" t="str" cm="1">
        <f t="array" ref="Y733">IF($A733="","",IF(TRIM($B733)="","-",IFERROR(_xlfn.TEXTJOIN(" / ",TRUE,_xlfn.UNIQUE(_xlfn._xlws.FILTER('Ownership Matrix'!$C$5:$C$200,('Ownership Matrix'!$A$5:$A$200=TRIM($B733))*('Ownership Matrix'!$C$5:$C$200&lt;&gt;"")))),"ไม่พบใน Ownership Matrix")))</f>
        <v/>
      </c>
      <c r="Z733" s="31" t="str">
        <f>IF(NOT(AND($A733&lt;&gt;"",$M733&lt;&gt;"Out of Scope",$M733&lt;&gt;"Canceled",$T733&lt;&gt;"Fixed – Retest Passed",OR(LEN(TRIM($O733))&gt;0,LEN(TRIM($P733))&gt;0))),"",IF(OR($W733="Failed",$R733="Urgent",$R733="High",$R733="ระบุ Severity + Impact"),IF(COUNTIFS(Dashboard!$B$105:$B$124,$O733,Dashboard!$I$105:$I$124,"CAB")&gt;0,"Accepted (CF)","Blocking"),"Deferrable"))</f>
        <v/>
      </c>
    </row>
    <row r="734" spans="7:26" x14ac:dyDescent="0.3">
      <c r="G734" s="27" t="str" cm="1">
        <f t="array" ref="G734">IF($A734="","",IFERROR(_xlfn.TEXTJOIN(CHAR(10)&amp;CHAR(10),TRUE,_xlfn._xlws.FILTER("•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"&amp;Cards!$L$4:$L$1000),(Cards!$A$4:$A$1000&lt;&gt;"")*ISNUMBER(SEARCH($A734,Cards!$E$4:$E$1000)))),"-"))</f>
        <v/>
      </c>
      <c r="Q734" s="30"/>
      <c r="R734" s="27" t="str">
        <f>IF(OR($A734="",LEN(TRIM($O734))=0),"",IF(OR($P734="",$Q734=""),"ระบุ Severity + Impact",IFERROR(INDEX({"Urgent","Urgent","High","High";"Urgent","High","High","Medium";"High","High","Medium","Medium";"Medium","Medium","Low","Low"},MATCH($P734,{"Critical","High","Medium","Low"},0),MATCH($Q734,{"Extensive","Significant","Moderate","Minor"},0)),"-")))</f>
        <v/>
      </c>
      <c r="S734" s="30"/>
      <c r="T734" s="30"/>
      <c r="W734" s="32" t="str">
        <f>IF($A734="","",IF(OR($M734="Out of Scope",$M734="Canceled"),"Out of Scope",IF($M734="Blocked","Blocked",IF(AND($T734&lt;&gt;"Fixed – Retest Passed",OR(LEN(TRIM($O734))&gt;0,LEN(TRIM($P734))&gt;0)),IF(AND(OR($L734="Medium",$L734="Low"),SUMPRODUCT((Cards!$A$4:$A$1000&lt;&gt;"")*ISNUMBER(SEARCH($A734,Cards!$E$4:$E$1000))*(Cards!$F$4:$F$1000&lt;&gt;"Medium")*(Cards!$F$4:$F$1000&lt;&gt;"Low"))=0),"Conditionally Passed","Failed"),IF($M734="Done","Passed","Not Run")))))</f>
        <v/>
      </c>
      <c r="Y734" s="27" t="str" cm="1">
        <f t="array" ref="Y734">IF($A734="","",IF(TRIM($B734)="","-",IFERROR(_xlfn.TEXTJOIN(" / ",TRUE,_xlfn.UNIQUE(_xlfn._xlws.FILTER('Ownership Matrix'!$C$5:$C$200,('Ownership Matrix'!$A$5:$A$200=TRIM($B734))*('Ownership Matrix'!$C$5:$C$200&lt;&gt;"")))),"ไม่พบใน Ownership Matrix")))</f>
        <v/>
      </c>
      <c r="Z734" s="31" t="str">
        <f>IF(NOT(AND($A734&lt;&gt;"",$M734&lt;&gt;"Out of Scope",$M734&lt;&gt;"Canceled",$T734&lt;&gt;"Fixed – Retest Passed",OR(LEN(TRIM($O734))&gt;0,LEN(TRIM($P734))&gt;0))),"",IF(OR($W734="Failed",$R734="Urgent",$R734="High",$R734="ระบุ Severity + Impact"),IF(COUNTIFS(Dashboard!$B$105:$B$124,$O734,Dashboard!$I$105:$I$124,"CAB")&gt;0,"Accepted (CF)","Blocking"),"Deferrable"))</f>
        <v/>
      </c>
    </row>
    <row r="735" spans="7:26" x14ac:dyDescent="0.3">
      <c r="G735" s="27" t="str" cm="1">
        <f t="array" ref="G735">IF($A735="","",IFERROR(_xlfn.TEXTJOIN(CHAR(10)&amp;CHAR(10),TRUE,_xlfn._xlws.FILTER("•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"&amp;Cards!$L$4:$L$1000),(Cards!$A$4:$A$1000&lt;&gt;"")*ISNUMBER(SEARCH($A735,Cards!$E$4:$E$1000)))),"-"))</f>
        <v/>
      </c>
      <c r="Q735" s="30"/>
      <c r="R735" s="27" t="str">
        <f>IF(OR($A735="",LEN(TRIM($O735))=0),"",IF(OR($P735="",$Q735=""),"ระบุ Severity + Impact",IFERROR(INDEX({"Urgent","Urgent","High","High";"Urgent","High","High","Medium";"High","High","Medium","Medium";"Medium","Medium","Low","Low"},MATCH($P735,{"Critical","High","Medium","Low"},0),MATCH($Q735,{"Extensive","Significant","Moderate","Minor"},0)),"-")))</f>
        <v/>
      </c>
      <c r="S735" s="30"/>
      <c r="T735" s="30"/>
      <c r="W735" s="32" t="str">
        <f>IF($A735="","",IF(OR($M735="Out of Scope",$M735="Canceled"),"Out of Scope",IF($M735="Blocked","Blocked",IF(AND($T735&lt;&gt;"Fixed – Retest Passed",OR(LEN(TRIM($O735))&gt;0,LEN(TRIM($P735))&gt;0)),IF(AND(OR($L735="Medium",$L735="Low"),SUMPRODUCT((Cards!$A$4:$A$1000&lt;&gt;"")*ISNUMBER(SEARCH($A735,Cards!$E$4:$E$1000))*(Cards!$F$4:$F$1000&lt;&gt;"Medium")*(Cards!$F$4:$F$1000&lt;&gt;"Low"))=0),"Conditionally Passed","Failed"),IF($M735="Done","Passed","Not Run")))))</f>
        <v/>
      </c>
      <c r="Y735" s="27" t="str" cm="1">
        <f t="array" ref="Y735">IF($A735="","",IF(TRIM($B735)="","-",IFERROR(_xlfn.TEXTJOIN(" / ",TRUE,_xlfn.UNIQUE(_xlfn._xlws.FILTER('Ownership Matrix'!$C$5:$C$200,('Ownership Matrix'!$A$5:$A$200=TRIM($B735))*('Ownership Matrix'!$C$5:$C$200&lt;&gt;"")))),"ไม่พบใน Ownership Matrix")))</f>
        <v/>
      </c>
      <c r="Z735" s="31" t="str">
        <f>IF(NOT(AND($A735&lt;&gt;"",$M735&lt;&gt;"Out of Scope",$M735&lt;&gt;"Canceled",$T735&lt;&gt;"Fixed – Retest Passed",OR(LEN(TRIM($O735))&gt;0,LEN(TRIM($P735))&gt;0))),"",IF(OR($W735="Failed",$R735="Urgent",$R735="High",$R735="ระบุ Severity + Impact"),IF(COUNTIFS(Dashboard!$B$105:$B$124,$O735,Dashboard!$I$105:$I$124,"CAB")&gt;0,"Accepted (CF)","Blocking"),"Deferrable"))</f>
        <v/>
      </c>
    </row>
    <row r="736" spans="7:26" x14ac:dyDescent="0.3">
      <c r="G736" s="27" t="str" cm="1">
        <f t="array" ref="G736">IF($A736="","",IFERROR(_xlfn.TEXTJOIN(CHAR(10)&amp;CHAR(10),TRUE,_xlfn._xlws.FILTER("•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"&amp;Cards!$L$4:$L$1000),(Cards!$A$4:$A$1000&lt;&gt;"")*ISNUMBER(SEARCH($A736,Cards!$E$4:$E$1000)))),"-"))</f>
        <v/>
      </c>
      <c r="Q736" s="30"/>
      <c r="R736" s="27" t="str">
        <f>IF(OR($A736="",LEN(TRIM($O736))=0),"",IF(OR($P736="",$Q736=""),"ระบุ Severity + Impact",IFERROR(INDEX({"Urgent","Urgent","High","High";"Urgent","High","High","Medium";"High","High","Medium","Medium";"Medium","Medium","Low","Low"},MATCH($P736,{"Critical","High","Medium","Low"},0),MATCH($Q736,{"Extensive","Significant","Moderate","Minor"},0)),"-")))</f>
        <v/>
      </c>
      <c r="S736" s="30"/>
      <c r="T736" s="30"/>
      <c r="W736" s="32" t="str">
        <f>IF($A736="","",IF(OR($M736="Out of Scope",$M736="Canceled"),"Out of Scope",IF($M736="Blocked","Blocked",IF(AND($T736&lt;&gt;"Fixed – Retest Passed",OR(LEN(TRIM($O736))&gt;0,LEN(TRIM($P736))&gt;0)),IF(AND(OR($L736="Medium",$L736="Low"),SUMPRODUCT((Cards!$A$4:$A$1000&lt;&gt;"")*ISNUMBER(SEARCH($A736,Cards!$E$4:$E$1000))*(Cards!$F$4:$F$1000&lt;&gt;"Medium")*(Cards!$F$4:$F$1000&lt;&gt;"Low"))=0),"Conditionally Passed","Failed"),IF($M736="Done","Passed","Not Run")))))</f>
        <v/>
      </c>
      <c r="Y736" s="27" t="str" cm="1">
        <f t="array" ref="Y736">IF($A736="","",IF(TRIM($B736)="","-",IFERROR(_xlfn.TEXTJOIN(" / ",TRUE,_xlfn.UNIQUE(_xlfn._xlws.FILTER('Ownership Matrix'!$C$5:$C$200,('Ownership Matrix'!$A$5:$A$200=TRIM($B736))*('Ownership Matrix'!$C$5:$C$200&lt;&gt;"")))),"ไม่พบใน Ownership Matrix")))</f>
        <v/>
      </c>
      <c r="Z736" s="31" t="str">
        <f>IF(NOT(AND($A736&lt;&gt;"",$M736&lt;&gt;"Out of Scope",$M736&lt;&gt;"Canceled",$T736&lt;&gt;"Fixed – Retest Passed",OR(LEN(TRIM($O736))&gt;0,LEN(TRIM($P736))&gt;0))),"",IF(OR($W736="Failed",$R736="Urgent",$R736="High",$R736="ระบุ Severity + Impact"),IF(COUNTIFS(Dashboard!$B$105:$B$124,$O736,Dashboard!$I$105:$I$124,"CAB")&gt;0,"Accepted (CF)","Blocking"),"Deferrable"))</f>
        <v/>
      </c>
    </row>
    <row r="737" spans="7:26" x14ac:dyDescent="0.3">
      <c r="G737" s="27" t="str" cm="1">
        <f t="array" ref="G737">IF($A737="","",IFERROR(_xlfn.TEXTJOIN(CHAR(10)&amp;CHAR(10),TRUE,_xlfn._xlws.FILTER("•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"&amp;Cards!$L$4:$L$1000),(Cards!$A$4:$A$1000&lt;&gt;"")*ISNUMBER(SEARCH($A737,Cards!$E$4:$E$1000)))),"-"))</f>
        <v/>
      </c>
      <c r="Q737" s="30"/>
      <c r="R737" s="27" t="str">
        <f>IF(OR($A737="",LEN(TRIM($O737))=0),"",IF(OR($P737="",$Q737=""),"ระบุ Severity + Impact",IFERROR(INDEX({"Urgent","Urgent","High","High";"Urgent","High","High","Medium";"High","High","Medium","Medium";"Medium","Medium","Low","Low"},MATCH($P737,{"Critical","High","Medium","Low"},0),MATCH($Q737,{"Extensive","Significant","Moderate","Minor"},0)),"-")))</f>
        <v/>
      </c>
      <c r="S737" s="30"/>
      <c r="T737" s="30"/>
      <c r="W737" s="32" t="str">
        <f>IF($A737="","",IF(OR($M737="Out of Scope",$M737="Canceled"),"Out of Scope",IF($M737="Blocked","Blocked",IF(AND($T737&lt;&gt;"Fixed – Retest Passed",OR(LEN(TRIM($O737))&gt;0,LEN(TRIM($P737))&gt;0)),IF(AND(OR($L737="Medium",$L737="Low"),SUMPRODUCT((Cards!$A$4:$A$1000&lt;&gt;"")*ISNUMBER(SEARCH($A737,Cards!$E$4:$E$1000))*(Cards!$F$4:$F$1000&lt;&gt;"Medium")*(Cards!$F$4:$F$1000&lt;&gt;"Low"))=0),"Conditionally Passed","Failed"),IF($M737="Done","Passed","Not Run")))))</f>
        <v/>
      </c>
      <c r="Y737" s="27" t="str" cm="1">
        <f t="array" ref="Y737">IF($A737="","",IF(TRIM($B737)="","-",IFERROR(_xlfn.TEXTJOIN(" / ",TRUE,_xlfn.UNIQUE(_xlfn._xlws.FILTER('Ownership Matrix'!$C$5:$C$200,('Ownership Matrix'!$A$5:$A$200=TRIM($B737))*('Ownership Matrix'!$C$5:$C$200&lt;&gt;"")))),"ไม่พบใน Ownership Matrix")))</f>
        <v/>
      </c>
      <c r="Z737" s="31" t="str">
        <f>IF(NOT(AND($A737&lt;&gt;"",$M737&lt;&gt;"Out of Scope",$M737&lt;&gt;"Canceled",$T737&lt;&gt;"Fixed – Retest Passed",OR(LEN(TRIM($O737))&gt;0,LEN(TRIM($P737))&gt;0))),"",IF(OR($W737="Failed",$R737="Urgent",$R737="High",$R737="ระบุ Severity + Impact"),IF(COUNTIFS(Dashboard!$B$105:$B$124,$O737,Dashboard!$I$105:$I$124,"CAB")&gt;0,"Accepted (CF)","Blocking"),"Deferrable"))</f>
        <v/>
      </c>
    </row>
    <row r="738" spans="7:26" x14ac:dyDescent="0.3">
      <c r="G738" s="27" t="str" cm="1">
        <f t="array" ref="G738">IF($A738="","",IFERROR(_xlfn.TEXTJOIN(CHAR(10)&amp;CHAR(10),TRUE,_xlfn._xlws.FILTER("•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"&amp;Cards!$L$4:$L$1000),(Cards!$A$4:$A$1000&lt;&gt;"")*ISNUMBER(SEARCH($A738,Cards!$E$4:$E$1000)))),"-"))</f>
        <v/>
      </c>
      <c r="Q738" s="30"/>
      <c r="R738" s="27" t="str">
        <f>IF(OR($A738="",LEN(TRIM($O738))=0),"",IF(OR($P738="",$Q738=""),"ระบุ Severity + Impact",IFERROR(INDEX({"Urgent","Urgent","High","High";"Urgent","High","High","Medium";"High","High","Medium","Medium";"Medium","Medium","Low","Low"},MATCH($P738,{"Critical","High","Medium","Low"},0),MATCH($Q738,{"Extensive","Significant","Moderate","Minor"},0)),"-")))</f>
        <v/>
      </c>
      <c r="S738" s="30"/>
      <c r="T738" s="30"/>
      <c r="W738" s="32" t="str">
        <f>IF($A738="","",IF(OR($M738="Out of Scope",$M738="Canceled"),"Out of Scope",IF($M738="Blocked","Blocked",IF(AND($T738&lt;&gt;"Fixed – Retest Passed",OR(LEN(TRIM($O738))&gt;0,LEN(TRIM($P738))&gt;0)),IF(AND(OR($L738="Medium",$L738="Low"),SUMPRODUCT((Cards!$A$4:$A$1000&lt;&gt;"")*ISNUMBER(SEARCH($A738,Cards!$E$4:$E$1000))*(Cards!$F$4:$F$1000&lt;&gt;"Medium")*(Cards!$F$4:$F$1000&lt;&gt;"Low"))=0),"Conditionally Passed","Failed"),IF($M738="Done","Passed","Not Run")))))</f>
        <v/>
      </c>
      <c r="Y738" s="27" t="str" cm="1">
        <f t="array" ref="Y738">IF($A738="","",IF(TRIM($B738)="","-",IFERROR(_xlfn.TEXTJOIN(" / ",TRUE,_xlfn.UNIQUE(_xlfn._xlws.FILTER('Ownership Matrix'!$C$5:$C$200,('Ownership Matrix'!$A$5:$A$200=TRIM($B738))*('Ownership Matrix'!$C$5:$C$200&lt;&gt;"")))),"ไม่พบใน Ownership Matrix")))</f>
        <v/>
      </c>
      <c r="Z738" s="31" t="str">
        <f>IF(NOT(AND($A738&lt;&gt;"",$M738&lt;&gt;"Out of Scope",$M738&lt;&gt;"Canceled",$T738&lt;&gt;"Fixed – Retest Passed",OR(LEN(TRIM($O738))&gt;0,LEN(TRIM($P738))&gt;0))),"",IF(OR($W738="Failed",$R738="Urgent",$R738="High",$R738="ระบุ Severity + Impact"),IF(COUNTIFS(Dashboard!$B$105:$B$124,$O738,Dashboard!$I$105:$I$124,"CAB")&gt;0,"Accepted (CF)","Blocking"),"Deferrable"))</f>
        <v/>
      </c>
    </row>
    <row r="739" spans="7:26" x14ac:dyDescent="0.3">
      <c r="G739" s="27" t="str" cm="1">
        <f t="array" ref="G739">IF($A739="","",IFERROR(_xlfn.TEXTJOIN(CHAR(10)&amp;CHAR(10),TRUE,_xlfn._xlws.FILTER("•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"&amp;Cards!$L$4:$L$1000),(Cards!$A$4:$A$1000&lt;&gt;"")*ISNUMBER(SEARCH($A739,Cards!$E$4:$E$1000)))),"-"))</f>
        <v/>
      </c>
      <c r="Q739" s="30"/>
      <c r="R739" s="27" t="str">
        <f>IF(OR($A739="",LEN(TRIM($O739))=0),"",IF(OR($P739="",$Q739=""),"ระบุ Severity + Impact",IFERROR(INDEX({"Urgent","Urgent","High","High";"Urgent","High","High","Medium";"High","High","Medium","Medium";"Medium","Medium","Low","Low"},MATCH($P739,{"Critical","High","Medium","Low"},0),MATCH($Q739,{"Extensive","Significant","Moderate","Minor"},0)),"-")))</f>
        <v/>
      </c>
      <c r="S739" s="30"/>
      <c r="T739" s="30"/>
      <c r="W739" s="32" t="str">
        <f>IF($A739="","",IF(OR($M739="Out of Scope",$M739="Canceled"),"Out of Scope",IF($M739="Blocked","Blocked",IF(AND($T739&lt;&gt;"Fixed – Retest Passed",OR(LEN(TRIM($O739))&gt;0,LEN(TRIM($P739))&gt;0)),IF(AND(OR($L739="Medium",$L739="Low"),SUMPRODUCT((Cards!$A$4:$A$1000&lt;&gt;"")*ISNUMBER(SEARCH($A739,Cards!$E$4:$E$1000))*(Cards!$F$4:$F$1000&lt;&gt;"Medium")*(Cards!$F$4:$F$1000&lt;&gt;"Low"))=0),"Conditionally Passed","Failed"),IF($M739="Done","Passed","Not Run")))))</f>
        <v/>
      </c>
      <c r="Y739" s="27" t="str" cm="1">
        <f t="array" ref="Y739">IF($A739="","",IF(TRIM($B739)="","-",IFERROR(_xlfn.TEXTJOIN(" / ",TRUE,_xlfn.UNIQUE(_xlfn._xlws.FILTER('Ownership Matrix'!$C$5:$C$200,('Ownership Matrix'!$A$5:$A$200=TRIM($B739))*('Ownership Matrix'!$C$5:$C$200&lt;&gt;"")))),"ไม่พบใน Ownership Matrix")))</f>
        <v/>
      </c>
      <c r="Z739" s="31" t="str">
        <f>IF(NOT(AND($A739&lt;&gt;"",$M739&lt;&gt;"Out of Scope",$M739&lt;&gt;"Canceled",$T739&lt;&gt;"Fixed – Retest Passed",OR(LEN(TRIM($O739))&gt;0,LEN(TRIM($P739))&gt;0))),"",IF(OR($W739="Failed",$R739="Urgent",$R739="High",$R739="ระบุ Severity + Impact"),IF(COUNTIFS(Dashboard!$B$105:$B$124,$O739,Dashboard!$I$105:$I$124,"CAB")&gt;0,"Accepted (CF)","Blocking"),"Deferrable"))</f>
        <v/>
      </c>
    </row>
    <row r="740" spans="7:26" x14ac:dyDescent="0.3">
      <c r="G740" s="27" t="str" cm="1">
        <f t="array" ref="G740">IF($A740="","",IFERROR(_xlfn.TEXTJOIN(CHAR(10)&amp;CHAR(10),TRUE,_xlfn._xlws.FILTER("•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"&amp;Cards!$L$4:$L$1000),(Cards!$A$4:$A$1000&lt;&gt;"")*ISNUMBER(SEARCH($A740,Cards!$E$4:$E$1000)))),"-"))</f>
        <v/>
      </c>
      <c r="Q740" s="30"/>
      <c r="R740" s="27" t="str">
        <f>IF(OR($A740="",LEN(TRIM($O740))=0),"",IF(OR($P740="",$Q740=""),"ระบุ Severity + Impact",IFERROR(INDEX({"Urgent","Urgent","High","High";"Urgent","High","High","Medium";"High","High","Medium","Medium";"Medium","Medium","Low","Low"},MATCH($P740,{"Critical","High","Medium","Low"},0),MATCH($Q740,{"Extensive","Significant","Moderate","Minor"},0)),"-")))</f>
        <v/>
      </c>
      <c r="S740" s="30"/>
      <c r="T740" s="30"/>
      <c r="W740" s="32" t="str">
        <f>IF($A740="","",IF(OR($M740="Out of Scope",$M740="Canceled"),"Out of Scope",IF($M740="Blocked","Blocked",IF(AND($T740&lt;&gt;"Fixed – Retest Passed",OR(LEN(TRIM($O740))&gt;0,LEN(TRIM($P740))&gt;0)),IF(AND(OR($L740="Medium",$L740="Low"),SUMPRODUCT((Cards!$A$4:$A$1000&lt;&gt;"")*ISNUMBER(SEARCH($A740,Cards!$E$4:$E$1000))*(Cards!$F$4:$F$1000&lt;&gt;"Medium")*(Cards!$F$4:$F$1000&lt;&gt;"Low"))=0),"Conditionally Passed","Failed"),IF($M740="Done","Passed","Not Run")))))</f>
        <v/>
      </c>
      <c r="Y740" s="27" t="str" cm="1">
        <f t="array" ref="Y740">IF($A740="","",IF(TRIM($B740)="","-",IFERROR(_xlfn.TEXTJOIN(" / ",TRUE,_xlfn.UNIQUE(_xlfn._xlws.FILTER('Ownership Matrix'!$C$5:$C$200,('Ownership Matrix'!$A$5:$A$200=TRIM($B740))*('Ownership Matrix'!$C$5:$C$200&lt;&gt;"")))),"ไม่พบใน Ownership Matrix")))</f>
        <v/>
      </c>
      <c r="Z740" s="31" t="str">
        <f>IF(NOT(AND($A740&lt;&gt;"",$M740&lt;&gt;"Out of Scope",$M740&lt;&gt;"Canceled",$T740&lt;&gt;"Fixed – Retest Passed",OR(LEN(TRIM($O740))&gt;0,LEN(TRIM($P740))&gt;0))),"",IF(OR($W740="Failed",$R740="Urgent",$R740="High",$R740="ระบุ Severity + Impact"),IF(COUNTIFS(Dashboard!$B$105:$B$124,$O740,Dashboard!$I$105:$I$124,"CAB")&gt;0,"Accepted (CF)","Blocking"),"Deferrable"))</f>
        <v/>
      </c>
    </row>
    <row r="741" spans="7:26" x14ac:dyDescent="0.3">
      <c r="G741" s="27" t="str" cm="1">
        <f t="array" ref="G741">IF($A741="","",IFERROR(_xlfn.TEXTJOIN(CHAR(10)&amp;CHAR(10),TRUE,_xlfn._xlws.FILTER("•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"&amp;Cards!$L$4:$L$1000),(Cards!$A$4:$A$1000&lt;&gt;"")*ISNUMBER(SEARCH($A741,Cards!$E$4:$E$1000)))),"-"))</f>
        <v/>
      </c>
      <c r="Q741" s="30"/>
      <c r="R741" s="27" t="str">
        <f>IF(OR($A741="",LEN(TRIM($O741))=0),"",IF(OR($P741="",$Q741=""),"ระบุ Severity + Impact",IFERROR(INDEX({"Urgent","Urgent","High","High";"Urgent","High","High","Medium";"High","High","Medium","Medium";"Medium","Medium","Low","Low"},MATCH($P741,{"Critical","High","Medium","Low"},0),MATCH($Q741,{"Extensive","Significant","Moderate","Minor"},0)),"-")))</f>
        <v/>
      </c>
      <c r="S741" s="30"/>
      <c r="T741" s="30"/>
      <c r="W741" s="32" t="str">
        <f>IF($A741="","",IF(OR($M741="Out of Scope",$M741="Canceled"),"Out of Scope",IF($M741="Blocked","Blocked",IF(AND($T741&lt;&gt;"Fixed – Retest Passed",OR(LEN(TRIM($O741))&gt;0,LEN(TRIM($P741))&gt;0)),IF(AND(OR($L741="Medium",$L741="Low"),SUMPRODUCT((Cards!$A$4:$A$1000&lt;&gt;"")*ISNUMBER(SEARCH($A741,Cards!$E$4:$E$1000))*(Cards!$F$4:$F$1000&lt;&gt;"Medium")*(Cards!$F$4:$F$1000&lt;&gt;"Low"))=0),"Conditionally Passed","Failed"),IF($M741="Done","Passed","Not Run")))))</f>
        <v/>
      </c>
      <c r="Y741" s="27" t="str" cm="1">
        <f t="array" ref="Y741">IF($A741="","",IF(TRIM($B741)="","-",IFERROR(_xlfn.TEXTJOIN(" / ",TRUE,_xlfn.UNIQUE(_xlfn._xlws.FILTER('Ownership Matrix'!$C$5:$C$200,('Ownership Matrix'!$A$5:$A$200=TRIM($B741))*('Ownership Matrix'!$C$5:$C$200&lt;&gt;"")))),"ไม่พบใน Ownership Matrix")))</f>
        <v/>
      </c>
      <c r="Z741" s="31" t="str">
        <f>IF(NOT(AND($A741&lt;&gt;"",$M741&lt;&gt;"Out of Scope",$M741&lt;&gt;"Canceled",$T741&lt;&gt;"Fixed – Retest Passed",OR(LEN(TRIM($O741))&gt;0,LEN(TRIM($P741))&gt;0))),"",IF(OR($W741="Failed",$R741="Urgent",$R741="High",$R741="ระบุ Severity + Impact"),IF(COUNTIFS(Dashboard!$B$105:$B$124,$O741,Dashboard!$I$105:$I$124,"CAB")&gt;0,"Accepted (CF)","Blocking"),"Deferrable"))</f>
        <v/>
      </c>
    </row>
    <row r="742" spans="7:26" x14ac:dyDescent="0.3">
      <c r="G742" s="27" t="str" cm="1">
        <f t="array" ref="G742">IF($A742="","",IFERROR(_xlfn.TEXTJOIN(CHAR(10)&amp;CHAR(10),TRUE,_xlfn._xlws.FILTER("•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"&amp;Cards!$L$4:$L$1000),(Cards!$A$4:$A$1000&lt;&gt;"")*ISNUMBER(SEARCH($A742,Cards!$E$4:$E$1000)))),"-"))</f>
        <v/>
      </c>
      <c r="Q742" s="30"/>
      <c r="R742" s="27" t="str">
        <f>IF(OR($A742="",LEN(TRIM($O742))=0),"",IF(OR($P742="",$Q742=""),"ระบุ Severity + Impact",IFERROR(INDEX({"Urgent","Urgent","High","High";"Urgent","High","High","Medium";"High","High","Medium","Medium";"Medium","Medium","Low","Low"},MATCH($P742,{"Critical","High","Medium","Low"},0),MATCH($Q742,{"Extensive","Significant","Moderate","Minor"},0)),"-")))</f>
        <v/>
      </c>
      <c r="S742" s="30"/>
      <c r="T742" s="30"/>
      <c r="W742" s="32" t="str">
        <f>IF($A742="","",IF(OR($M742="Out of Scope",$M742="Canceled"),"Out of Scope",IF($M742="Blocked","Blocked",IF(AND($T742&lt;&gt;"Fixed – Retest Passed",OR(LEN(TRIM($O742))&gt;0,LEN(TRIM($P742))&gt;0)),IF(AND(OR($L742="Medium",$L742="Low"),SUMPRODUCT((Cards!$A$4:$A$1000&lt;&gt;"")*ISNUMBER(SEARCH($A742,Cards!$E$4:$E$1000))*(Cards!$F$4:$F$1000&lt;&gt;"Medium")*(Cards!$F$4:$F$1000&lt;&gt;"Low"))=0),"Conditionally Passed","Failed"),IF($M742="Done","Passed","Not Run")))))</f>
        <v/>
      </c>
      <c r="Y742" s="27" t="str" cm="1">
        <f t="array" ref="Y742">IF($A742="","",IF(TRIM($B742)="","-",IFERROR(_xlfn.TEXTJOIN(" / ",TRUE,_xlfn.UNIQUE(_xlfn._xlws.FILTER('Ownership Matrix'!$C$5:$C$200,('Ownership Matrix'!$A$5:$A$200=TRIM($B742))*('Ownership Matrix'!$C$5:$C$200&lt;&gt;"")))),"ไม่พบใน Ownership Matrix")))</f>
        <v/>
      </c>
      <c r="Z742" s="31" t="str">
        <f>IF(NOT(AND($A742&lt;&gt;"",$M742&lt;&gt;"Out of Scope",$M742&lt;&gt;"Canceled",$T742&lt;&gt;"Fixed – Retest Passed",OR(LEN(TRIM($O742))&gt;0,LEN(TRIM($P742))&gt;0))),"",IF(OR($W742="Failed",$R742="Urgent",$R742="High",$R742="ระบุ Severity + Impact"),IF(COUNTIFS(Dashboard!$B$105:$B$124,$O742,Dashboard!$I$105:$I$124,"CAB")&gt;0,"Accepted (CF)","Blocking"),"Deferrable"))</f>
        <v/>
      </c>
    </row>
    <row r="743" spans="7:26" x14ac:dyDescent="0.3">
      <c r="G743" s="27" t="str" cm="1">
        <f t="array" ref="G743">IF($A743="","",IFERROR(_xlfn.TEXTJOIN(CHAR(10)&amp;CHAR(10),TRUE,_xlfn._xlws.FILTER("•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"&amp;Cards!$L$4:$L$1000),(Cards!$A$4:$A$1000&lt;&gt;"")*ISNUMBER(SEARCH($A743,Cards!$E$4:$E$1000)))),"-"))</f>
        <v/>
      </c>
      <c r="Q743" s="30"/>
      <c r="R743" s="27" t="str">
        <f>IF(OR($A743="",LEN(TRIM($O743))=0),"",IF(OR($P743="",$Q743=""),"ระบุ Severity + Impact",IFERROR(INDEX({"Urgent","Urgent","High","High";"Urgent","High","High","Medium";"High","High","Medium","Medium";"Medium","Medium","Low","Low"},MATCH($P743,{"Critical","High","Medium","Low"},0),MATCH($Q743,{"Extensive","Significant","Moderate","Minor"},0)),"-")))</f>
        <v/>
      </c>
      <c r="S743" s="30"/>
      <c r="T743" s="30"/>
      <c r="W743" s="32" t="str">
        <f>IF($A743="","",IF(OR($M743="Out of Scope",$M743="Canceled"),"Out of Scope",IF($M743="Blocked","Blocked",IF(AND($T743&lt;&gt;"Fixed – Retest Passed",OR(LEN(TRIM($O743))&gt;0,LEN(TRIM($P743))&gt;0)),IF(AND(OR($L743="Medium",$L743="Low"),SUMPRODUCT((Cards!$A$4:$A$1000&lt;&gt;"")*ISNUMBER(SEARCH($A743,Cards!$E$4:$E$1000))*(Cards!$F$4:$F$1000&lt;&gt;"Medium")*(Cards!$F$4:$F$1000&lt;&gt;"Low"))=0),"Conditionally Passed","Failed"),IF($M743="Done","Passed","Not Run")))))</f>
        <v/>
      </c>
      <c r="Y743" s="27" t="str" cm="1">
        <f t="array" ref="Y743">IF($A743="","",IF(TRIM($B743)="","-",IFERROR(_xlfn.TEXTJOIN(" / ",TRUE,_xlfn.UNIQUE(_xlfn._xlws.FILTER('Ownership Matrix'!$C$5:$C$200,('Ownership Matrix'!$A$5:$A$200=TRIM($B743))*('Ownership Matrix'!$C$5:$C$200&lt;&gt;"")))),"ไม่พบใน Ownership Matrix")))</f>
        <v/>
      </c>
      <c r="Z743" s="31" t="str">
        <f>IF(NOT(AND($A743&lt;&gt;"",$M743&lt;&gt;"Out of Scope",$M743&lt;&gt;"Canceled",$T743&lt;&gt;"Fixed – Retest Passed",OR(LEN(TRIM($O743))&gt;0,LEN(TRIM($P743))&gt;0))),"",IF(OR($W743="Failed",$R743="Urgent",$R743="High",$R743="ระบุ Severity + Impact"),IF(COUNTIFS(Dashboard!$B$105:$B$124,$O743,Dashboard!$I$105:$I$124,"CAB")&gt;0,"Accepted (CF)","Blocking"),"Deferrable"))</f>
        <v/>
      </c>
    </row>
    <row r="744" spans="7:26" x14ac:dyDescent="0.3">
      <c r="G744" s="27" t="str" cm="1">
        <f t="array" ref="G744">IF($A744="","",IFERROR(_xlfn.TEXTJOIN(CHAR(10)&amp;CHAR(10),TRUE,_xlfn._xlws.FILTER("•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"&amp;Cards!$L$4:$L$1000),(Cards!$A$4:$A$1000&lt;&gt;"")*ISNUMBER(SEARCH($A744,Cards!$E$4:$E$1000)))),"-"))</f>
        <v/>
      </c>
      <c r="Q744" s="30"/>
      <c r="R744" s="27" t="str">
        <f>IF(OR($A744="",LEN(TRIM($O744))=0),"",IF(OR($P744="",$Q744=""),"ระบุ Severity + Impact",IFERROR(INDEX({"Urgent","Urgent","High","High";"Urgent","High","High","Medium";"High","High","Medium","Medium";"Medium","Medium","Low","Low"},MATCH($P744,{"Critical","High","Medium","Low"},0),MATCH($Q744,{"Extensive","Significant","Moderate","Minor"},0)),"-")))</f>
        <v/>
      </c>
      <c r="S744" s="30"/>
      <c r="T744" s="30"/>
      <c r="W744" s="32" t="str">
        <f>IF($A744="","",IF(OR($M744="Out of Scope",$M744="Canceled"),"Out of Scope",IF($M744="Blocked","Blocked",IF(AND($T744&lt;&gt;"Fixed – Retest Passed",OR(LEN(TRIM($O744))&gt;0,LEN(TRIM($P744))&gt;0)),IF(AND(OR($L744="Medium",$L744="Low"),SUMPRODUCT((Cards!$A$4:$A$1000&lt;&gt;"")*ISNUMBER(SEARCH($A744,Cards!$E$4:$E$1000))*(Cards!$F$4:$F$1000&lt;&gt;"Medium")*(Cards!$F$4:$F$1000&lt;&gt;"Low"))=0),"Conditionally Passed","Failed"),IF($M744="Done","Passed","Not Run")))))</f>
        <v/>
      </c>
      <c r="Y744" s="27" t="str" cm="1">
        <f t="array" ref="Y744">IF($A744="","",IF(TRIM($B744)="","-",IFERROR(_xlfn.TEXTJOIN(" / ",TRUE,_xlfn.UNIQUE(_xlfn._xlws.FILTER('Ownership Matrix'!$C$5:$C$200,('Ownership Matrix'!$A$5:$A$200=TRIM($B744))*('Ownership Matrix'!$C$5:$C$200&lt;&gt;"")))),"ไม่พบใน Ownership Matrix")))</f>
        <v/>
      </c>
      <c r="Z744" s="31" t="str">
        <f>IF(NOT(AND($A744&lt;&gt;"",$M744&lt;&gt;"Out of Scope",$M744&lt;&gt;"Canceled",$T744&lt;&gt;"Fixed – Retest Passed",OR(LEN(TRIM($O744))&gt;0,LEN(TRIM($P744))&gt;0))),"",IF(OR($W744="Failed",$R744="Urgent",$R744="High",$R744="ระบุ Severity + Impact"),IF(COUNTIFS(Dashboard!$B$105:$B$124,$O744,Dashboard!$I$105:$I$124,"CAB")&gt;0,"Accepted (CF)","Blocking"),"Deferrable"))</f>
        <v/>
      </c>
    </row>
    <row r="745" spans="7:26" x14ac:dyDescent="0.3">
      <c r="G745" s="27" t="str" cm="1">
        <f t="array" ref="G745">IF($A745="","",IFERROR(_xlfn.TEXTJOIN(CHAR(10)&amp;CHAR(10),TRUE,_xlfn._xlws.FILTER("•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"&amp;Cards!$L$4:$L$1000),(Cards!$A$4:$A$1000&lt;&gt;"")*ISNUMBER(SEARCH($A745,Cards!$E$4:$E$1000)))),"-"))</f>
        <v/>
      </c>
      <c r="Q745" s="30"/>
      <c r="R745" s="27" t="str">
        <f>IF(OR($A745="",LEN(TRIM($O745))=0),"",IF(OR($P745="",$Q745=""),"ระบุ Severity + Impact",IFERROR(INDEX({"Urgent","Urgent","High","High";"Urgent","High","High","Medium";"High","High","Medium","Medium";"Medium","Medium","Low","Low"},MATCH($P745,{"Critical","High","Medium","Low"},0),MATCH($Q745,{"Extensive","Significant","Moderate","Minor"},0)),"-")))</f>
        <v/>
      </c>
      <c r="S745" s="30"/>
      <c r="T745" s="30"/>
      <c r="W745" s="32" t="str">
        <f>IF($A745="","",IF(OR($M745="Out of Scope",$M745="Canceled"),"Out of Scope",IF($M745="Blocked","Blocked",IF(AND($T745&lt;&gt;"Fixed – Retest Passed",OR(LEN(TRIM($O745))&gt;0,LEN(TRIM($P745))&gt;0)),IF(AND(OR($L745="Medium",$L745="Low"),SUMPRODUCT((Cards!$A$4:$A$1000&lt;&gt;"")*ISNUMBER(SEARCH($A745,Cards!$E$4:$E$1000))*(Cards!$F$4:$F$1000&lt;&gt;"Medium")*(Cards!$F$4:$F$1000&lt;&gt;"Low"))=0),"Conditionally Passed","Failed"),IF($M745="Done","Passed","Not Run")))))</f>
        <v/>
      </c>
      <c r="Y745" s="27" t="str" cm="1">
        <f t="array" ref="Y745">IF($A745="","",IF(TRIM($B745)="","-",IFERROR(_xlfn.TEXTJOIN(" / ",TRUE,_xlfn.UNIQUE(_xlfn._xlws.FILTER('Ownership Matrix'!$C$5:$C$200,('Ownership Matrix'!$A$5:$A$200=TRIM($B745))*('Ownership Matrix'!$C$5:$C$200&lt;&gt;"")))),"ไม่พบใน Ownership Matrix")))</f>
        <v/>
      </c>
      <c r="Z745" s="31" t="str">
        <f>IF(NOT(AND($A745&lt;&gt;"",$M745&lt;&gt;"Out of Scope",$M745&lt;&gt;"Canceled",$T745&lt;&gt;"Fixed – Retest Passed",OR(LEN(TRIM($O745))&gt;0,LEN(TRIM($P745))&gt;0))),"",IF(OR($W745="Failed",$R745="Urgent",$R745="High",$R745="ระบุ Severity + Impact"),IF(COUNTIFS(Dashboard!$B$105:$B$124,$O745,Dashboard!$I$105:$I$124,"CAB")&gt;0,"Accepted (CF)","Blocking"),"Deferrable"))</f>
        <v/>
      </c>
    </row>
    <row r="746" spans="7:26" x14ac:dyDescent="0.3">
      <c r="G746" s="27" t="str" cm="1">
        <f t="array" ref="G746">IF($A746="","",IFERROR(_xlfn.TEXTJOIN(CHAR(10)&amp;CHAR(10),TRUE,_xlfn._xlws.FILTER("•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"&amp;Cards!$L$4:$L$1000),(Cards!$A$4:$A$1000&lt;&gt;"")*ISNUMBER(SEARCH($A746,Cards!$E$4:$E$1000)))),"-"))</f>
        <v/>
      </c>
      <c r="Q746" s="30"/>
      <c r="R746" s="27" t="str">
        <f>IF(OR($A746="",LEN(TRIM($O746))=0),"",IF(OR($P746="",$Q746=""),"ระบุ Severity + Impact",IFERROR(INDEX({"Urgent","Urgent","High","High";"Urgent","High","High","Medium";"High","High","Medium","Medium";"Medium","Medium","Low","Low"},MATCH($P746,{"Critical","High","Medium","Low"},0),MATCH($Q746,{"Extensive","Significant","Moderate","Minor"},0)),"-")))</f>
        <v/>
      </c>
      <c r="S746" s="30"/>
      <c r="T746" s="30"/>
      <c r="W746" s="32" t="str">
        <f>IF($A746="","",IF(OR($M746="Out of Scope",$M746="Canceled"),"Out of Scope",IF($M746="Blocked","Blocked",IF(AND($T746&lt;&gt;"Fixed – Retest Passed",OR(LEN(TRIM($O746))&gt;0,LEN(TRIM($P746))&gt;0)),IF(AND(OR($L746="Medium",$L746="Low"),SUMPRODUCT((Cards!$A$4:$A$1000&lt;&gt;"")*ISNUMBER(SEARCH($A746,Cards!$E$4:$E$1000))*(Cards!$F$4:$F$1000&lt;&gt;"Medium")*(Cards!$F$4:$F$1000&lt;&gt;"Low"))=0),"Conditionally Passed","Failed"),IF($M746="Done","Passed","Not Run")))))</f>
        <v/>
      </c>
      <c r="Y746" s="27" t="str" cm="1">
        <f t="array" ref="Y746">IF($A746="","",IF(TRIM($B746)="","-",IFERROR(_xlfn.TEXTJOIN(" / ",TRUE,_xlfn.UNIQUE(_xlfn._xlws.FILTER('Ownership Matrix'!$C$5:$C$200,('Ownership Matrix'!$A$5:$A$200=TRIM($B746))*('Ownership Matrix'!$C$5:$C$200&lt;&gt;"")))),"ไม่พบใน Ownership Matrix")))</f>
        <v/>
      </c>
      <c r="Z746" s="31" t="str">
        <f>IF(NOT(AND($A746&lt;&gt;"",$M746&lt;&gt;"Out of Scope",$M746&lt;&gt;"Canceled",$T746&lt;&gt;"Fixed – Retest Passed",OR(LEN(TRIM($O746))&gt;0,LEN(TRIM($P746))&gt;0))),"",IF(OR($W746="Failed",$R746="Urgent",$R746="High",$R746="ระบุ Severity + Impact"),IF(COUNTIFS(Dashboard!$B$105:$B$124,$O746,Dashboard!$I$105:$I$124,"CAB")&gt;0,"Accepted (CF)","Blocking"),"Deferrable"))</f>
        <v/>
      </c>
    </row>
    <row r="747" spans="7:26" x14ac:dyDescent="0.3">
      <c r="G747" s="27" t="str" cm="1">
        <f t="array" ref="G747">IF($A747="","",IFERROR(_xlfn.TEXTJOIN(CHAR(10)&amp;CHAR(10),TRUE,_xlfn._xlws.FILTER("•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"&amp;Cards!$L$4:$L$1000),(Cards!$A$4:$A$1000&lt;&gt;"")*ISNUMBER(SEARCH($A747,Cards!$E$4:$E$1000)))),"-"))</f>
        <v/>
      </c>
      <c r="Q747" s="30"/>
      <c r="R747" s="27" t="str">
        <f>IF(OR($A747="",LEN(TRIM($O747))=0),"",IF(OR($P747="",$Q747=""),"ระบุ Severity + Impact",IFERROR(INDEX({"Urgent","Urgent","High","High";"Urgent","High","High","Medium";"High","High","Medium","Medium";"Medium","Medium","Low","Low"},MATCH($P747,{"Critical","High","Medium","Low"},0),MATCH($Q747,{"Extensive","Significant","Moderate","Minor"},0)),"-")))</f>
        <v/>
      </c>
      <c r="S747" s="30"/>
      <c r="T747" s="30"/>
      <c r="W747" s="32" t="str">
        <f>IF($A747="","",IF(OR($M747="Out of Scope",$M747="Canceled"),"Out of Scope",IF($M747="Blocked","Blocked",IF(AND($T747&lt;&gt;"Fixed – Retest Passed",OR(LEN(TRIM($O747))&gt;0,LEN(TRIM($P747))&gt;0)),IF(AND(OR($L747="Medium",$L747="Low"),SUMPRODUCT((Cards!$A$4:$A$1000&lt;&gt;"")*ISNUMBER(SEARCH($A747,Cards!$E$4:$E$1000))*(Cards!$F$4:$F$1000&lt;&gt;"Medium")*(Cards!$F$4:$F$1000&lt;&gt;"Low"))=0),"Conditionally Passed","Failed"),IF($M747="Done","Passed","Not Run")))))</f>
        <v/>
      </c>
      <c r="Y747" s="27" t="str" cm="1">
        <f t="array" ref="Y747">IF($A747="","",IF(TRIM($B747)="","-",IFERROR(_xlfn.TEXTJOIN(" / ",TRUE,_xlfn.UNIQUE(_xlfn._xlws.FILTER('Ownership Matrix'!$C$5:$C$200,('Ownership Matrix'!$A$5:$A$200=TRIM($B747))*('Ownership Matrix'!$C$5:$C$200&lt;&gt;"")))),"ไม่พบใน Ownership Matrix")))</f>
        <v/>
      </c>
      <c r="Z747" s="31" t="str">
        <f>IF(NOT(AND($A747&lt;&gt;"",$M747&lt;&gt;"Out of Scope",$M747&lt;&gt;"Canceled",$T747&lt;&gt;"Fixed – Retest Passed",OR(LEN(TRIM($O747))&gt;0,LEN(TRIM($P747))&gt;0))),"",IF(OR($W747="Failed",$R747="Urgent",$R747="High",$R747="ระบุ Severity + Impact"),IF(COUNTIFS(Dashboard!$B$105:$B$124,$O747,Dashboard!$I$105:$I$124,"CAB")&gt;0,"Accepted (CF)","Blocking"),"Deferrable"))</f>
        <v/>
      </c>
    </row>
    <row r="748" spans="7:26" x14ac:dyDescent="0.3">
      <c r="G748" s="27" t="str" cm="1">
        <f t="array" ref="G748">IF($A748="","",IFERROR(_xlfn.TEXTJOIN(CHAR(10)&amp;CHAR(10),TRUE,_xlfn._xlws.FILTER("•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"&amp;Cards!$L$4:$L$1000),(Cards!$A$4:$A$1000&lt;&gt;"")*ISNUMBER(SEARCH($A748,Cards!$E$4:$E$1000)))),"-"))</f>
        <v/>
      </c>
      <c r="Q748" s="30"/>
      <c r="R748" s="27" t="str">
        <f>IF(OR($A748="",LEN(TRIM($O748))=0),"",IF(OR($P748="",$Q748=""),"ระบุ Severity + Impact",IFERROR(INDEX({"Urgent","Urgent","High","High";"Urgent","High","High","Medium";"High","High","Medium","Medium";"Medium","Medium","Low","Low"},MATCH($P748,{"Critical","High","Medium","Low"},0),MATCH($Q748,{"Extensive","Significant","Moderate","Minor"},0)),"-")))</f>
        <v/>
      </c>
      <c r="S748" s="30"/>
      <c r="T748" s="30"/>
      <c r="W748" s="32" t="str">
        <f>IF($A748="","",IF(OR($M748="Out of Scope",$M748="Canceled"),"Out of Scope",IF($M748="Blocked","Blocked",IF(AND($T748&lt;&gt;"Fixed – Retest Passed",OR(LEN(TRIM($O748))&gt;0,LEN(TRIM($P748))&gt;0)),IF(AND(OR($L748="Medium",$L748="Low"),SUMPRODUCT((Cards!$A$4:$A$1000&lt;&gt;"")*ISNUMBER(SEARCH($A748,Cards!$E$4:$E$1000))*(Cards!$F$4:$F$1000&lt;&gt;"Medium")*(Cards!$F$4:$F$1000&lt;&gt;"Low"))=0),"Conditionally Passed","Failed"),IF($M748="Done","Passed","Not Run")))))</f>
        <v/>
      </c>
      <c r="Y748" s="27" t="str" cm="1">
        <f t="array" ref="Y748">IF($A748="","",IF(TRIM($B748)="","-",IFERROR(_xlfn.TEXTJOIN(" / ",TRUE,_xlfn.UNIQUE(_xlfn._xlws.FILTER('Ownership Matrix'!$C$5:$C$200,('Ownership Matrix'!$A$5:$A$200=TRIM($B748))*('Ownership Matrix'!$C$5:$C$200&lt;&gt;"")))),"ไม่พบใน Ownership Matrix")))</f>
        <v/>
      </c>
      <c r="Z748" s="31" t="str">
        <f>IF(NOT(AND($A748&lt;&gt;"",$M748&lt;&gt;"Out of Scope",$M748&lt;&gt;"Canceled",$T748&lt;&gt;"Fixed – Retest Passed",OR(LEN(TRIM($O748))&gt;0,LEN(TRIM($P748))&gt;0))),"",IF(OR($W748="Failed",$R748="Urgent",$R748="High",$R748="ระบุ Severity + Impact"),IF(COUNTIFS(Dashboard!$B$105:$B$124,$O748,Dashboard!$I$105:$I$124,"CAB")&gt;0,"Accepted (CF)","Blocking"),"Deferrable"))</f>
        <v/>
      </c>
    </row>
    <row r="749" spans="7:26" x14ac:dyDescent="0.3">
      <c r="G749" s="27" t="str" cm="1">
        <f t="array" ref="G749">IF($A749="","",IFERROR(_xlfn.TEXTJOIN(CHAR(10)&amp;CHAR(10),TRUE,_xlfn._xlws.FILTER("•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"&amp;Cards!$L$4:$L$1000),(Cards!$A$4:$A$1000&lt;&gt;"")*ISNUMBER(SEARCH($A749,Cards!$E$4:$E$1000)))),"-"))</f>
        <v/>
      </c>
      <c r="Q749" s="30"/>
      <c r="R749" s="27" t="str">
        <f>IF(OR($A749="",LEN(TRIM($O749))=0),"",IF(OR($P749="",$Q749=""),"ระบุ Severity + Impact",IFERROR(INDEX({"Urgent","Urgent","High","High";"Urgent","High","High","Medium";"High","High","Medium","Medium";"Medium","Medium","Low","Low"},MATCH($P749,{"Critical","High","Medium","Low"},0),MATCH($Q749,{"Extensive","Significant","Moderate","Minor"},0)),"-")))</f>
        <v/>
      </c>
      <c r="S749" s="30"/>
      <c r="T749" s="30"/>
      <c r="W749" s="32" t="str">
        <f>IF($A749="","",IF(OR($M749="Out of Scope",$M749="Canceled"),"Out of Scope",IF($M749="Blocked","Blocked",IF(AND($T749&lt;&gt;"Fixed – Retest Passed",OR(LEN(TRIM($O749))&gt;0,LEN(TRIM($P749))&gt;0)),IF(AND(OR($L749="Medium",$L749="Low"),SUMPRODUCT((Cards!$A$4:$A$1000&lt;&gt;"")*ISNUMBER(SEARCH($A749,Cards!$E$4:$E$1000))*(Cards!$F$4:$F$1000&lt;&gt;"Medium")*(Cards!$F$4:$F$1000&lt;&gt;"Low"))=0),"Conditionally Passed","Failed"),IF($M749="Done","Passed","Not Run")))))</f>
        <v/>
      </c>
      <c r="Y749" s="27" t="str" cm="1">
        <f t="array" ref="Y749">IF($A749="","",IF(TRIM($B749)="","-",IFERROR(_xlfn.TEXTJOIN(" / ",TRUE,_xlfn.UNIQUE(_xlfn._xlws.FILTER('Ownership Matrix'!$C$5:$C$200,('Ownership Matrix'!$A$5:$A$200=TRIM($B749))*('Ownership Matrix'!$C$5:$C$200&lt;&gt;"")))),"ไม่พบใน Ownership Matrix")))</f>
        <v/>
      </c>
      <c r="Z749" s="31" t="str">
        <f>IF(NOT(AND($A749&lt;&gt;"",$M749&lt;&gt;"Out of Scope",$M749&lt;&gt;"Canceled",$T749&lt;&gt;"Fixed – Retest Passed",OR(LEN(TRIM($O749))&gt;0,LEN(TRIM($P749))&gt;0))),"",IF(OR($W749="Failed",$R749="Urgent",$R749="High",$R749="ระบุ Severity + Impact"),IF(COUNTIFS(Dashboard!$B$105:$B$124,$O749,Dashboard!$I$105:$I$124,"CAB")&gt;0,"Accepted (CF)","Blocking"),"Deferrable"))</f>
        <v/>
      </c>
    </row>
    <row r="750" spans="7:26" x14ac:dyDescent="0.3">
      <c r="G750" s="27" t="str" cm="1">
        <f t="array" ref="G750">IF($A750="","",IFERROR(_xlfn.TEXTJOIN(CHAR(10)&amp;CHAR(10),TRUE,_xlfn._xlws.FILTER("•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"&amp;Cards!$L$4:$L$1000),(Cards!$A$4:$A$1000&lt;&gt;"")*ISNUMBER(SEARCH($A750,Cards!$E$4:$E$1000)))),"-"))</f>
        <v/>
      </c>
      <c r="Q750" s="30"/>
      <c r="R750" s="27" t="str">
        <f>IF(OR($A750="",LEN(TRIM($O750))=0),"",IF(OR($P750="",$Q750=""),"ระบุ Severity + Impact",IFERROR(INDEX({"Urgent","Urgent","High","High";"Urgent","High","High","Medium";"High","High","Medium","Medium";"Medium","Medium","Low","Low"},MATCH($P750,{"Critical","High","Medium","Low"},0),MATCH($Q750,{"Extensive","Significant","Moderate","Minor"},0)),"-")))</f>
        <v/>
      </c>
      <c r="S750" s="30"/>
      <c r="T750" s="30"/>
      <c r="W750" s="32" t="str">
        <f>IF($A750="","",IF(OR($M750="Out of Scope",$M750="Canceled"),"Out of Scope",IF($M750="Blocked","Blocked",IF(AND($T750&lt;&gt;"Fixed – Retest Passed",OR(LEN(TRIM($O750))&gt;0,LEN(TRIM($P750))&gt;0)),IF(AND(OR($L750="Medium",$L750="Low"),SUMPRODUCT((Cards!$A$4:$A$1000&lt;&gt;"")*ISNUMBER(SEARCH($A750,Cards!$E$4:$E$1000))*(Cards!$F$4:$F$1000&lt;&gt;"Medium")*(Cards!$F$4:$F$1000&lt;&gt;"Low"))=0),"Conditionally Passed","Failed"),IF($M750="Done","Passed","Not Run")))))</f>
        <v/>
      </c>
      <c r="Y750" s="27" t="str" cm="1">
        <f t="array" ref="Y750">IF($A750="","",IF(TRIM($B750)="","-",IFERROR(_xlfn.TEXTJOIN(" / ",TRUE,_xlfn.UNIQUE(_xlfn._xlws.FILTER('Ownership Matrix'!$C$5:$C$200,('Ownership Matrix'!$A$5:$A$200=TRIM($B750))*('Ownership Matrix'!$C$5:$C$200&lt;&gt;"")))),"ไม่พบใน Ownership Matrix")))</f>
        <v/>
      </c>
      <c r="Z750" s="31" t="str">
        <f>IF(NOT(AND($A750&lt;&gt;"",$M750&lt;&gt;"Out of Scope",$M750&lt;&gt;"Canceled",$T750&lt;&gt;"Fixed – Retest Passed",OR(LEN(TRIM($O750))&gt;0,LEN(TRIM($P750))&gt;0))),"",IF(OR($W750="Failed",$R750="Urgent",$R750="High",$R750="ระบุ Severity + Impact"),IF(COUNTIFS(Dashboard!$B$105:$B$124,$O750,Dashboard!$I$105:$I$124,"CAB")&gt;0,"Accepted (CF)","Blocking"),"Deferrable"))</f>
        <v/>
      </c>
    </row>
    <row r="751" spans="7:26" x14ac:dyDescent="0.3">
      <c r="G751" s="27" t="str" cm="1">
        <f t="array" ref="G751">IF($A751="","",IFERROR(_xlfn.TEXTJOIN(CHAR(10)&amp;CHAR(10),TRUE,_xlfn._xlws.FILTER("•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"&amp;Cards!$L$4:$L$1000),(Cards!$A$4:$A$1000&lt;&gt;"")*ISNUMBER(SEARCH($A751,Cards!$E$4:$E$1000)))),"-"))</f>
        <v/>
      </c>
      <c r="Q751" s="30"/>
      <c r="R751" s="27" t="str">
        <f>IF(OR($A751="",LEN(TRIM($O751))=0),"",IF(OR($P751="",$Q751=""),"ระบุ Severity + Impact",IFERROR(INDEX({"Urgent","Urgent","High","High";"Urgent","High","High","Medium";"High","High","Medium","Medium";"Medium","Medium","Low","Low"},MATCH($P751,{"Critical","High","Medium","Low"},0),MATCH($Q751,{"Extensive","Significant","Moderate","Minor"},0)),"-")))</f>
        <v/>
      </c>
      <c r="S751" s="30"/>
      <c r="T751" s="30"/>
      <c r="W751" s="32" t="str">
        <f>IF($A751="","",IF(OR($M751="Out of Scope",$M751="Canceled"),"Out of Scope",IF($M751="Blocked","Blocked",IF(AND($T751&lt;&gt;"Fixed – Retest Passed",OR(LEN(TRIM($O751))&gt;0,LEN(TRIM($P751))&gt;0)),IF(AND(OR($L751="Medium",$L751="Low"),SUMPRODUCT((Cards!$A$4:$A$1000&lt;&gt;"")*ISNUMBER(SEARCH($A751,Cards!$E$4:$E$1000))*(Cards!$F$4:$F$1000&lt;&gt;"Medium")*(Cards!$F$4:$F$1000&lt;&gt;"Low"))=0),"Conditionally Passed","Failed"),IF($M751="Done","Passed","Not Run")))))</f>
        <v/>
      </c>
      <c r="Y751" s="27" t="str" cm="1">
        <f t="array" ref="Y751">IF($A751="","",IF(TRIM($B751)="","-",IFERROR(_xlfn.TEXTJOIN(" / ",TRUE,_xlfn.UNIQUE(_xlfn._xlws.FILTER('Ownership Matrix'!$C$5:$C$200,('Ownership Matrix'!$A$5:$A$200=TRIM($B751))*('Ownership Matrix'!$C$5:$C$200&lt;&gt;"")))),"ไม่พบใน Ownership Matrix")))</f>
        <v/>
      </c>
      <c r="Z751" s="31" t="str">
        <f>IF(NOT(AND($A751&lt;&gt;"",$M751&lt;&gt;"Out of Scope",$M751&lt;&gt;"Canceled",$T751&lt;&gt;"Fixed – Retest Passed",OR(LEN(TRIM($O751))&gt;0,LEN(TRIM($P751))&gt;0))),"",IF(OR($W751="Failed",$R751="Urgent",$R751="High",$R751="ระบุ Severity + Impact"),IF(COUNTIFS(Dashboard!$B$105:$B$124,$O751,Dashboard!$I$105:$I$124,"CAB")&gt;0,"Accepted (CF)","Blocking"),"Deferrable"))</f>
        <v/>
      </c>
    </row>
    <row r="752" spans="7:26" x14ac:dyDescent="0.3">
      <c r="G752" s="27" t="str" cm="1">
        <f t="array" ref="G752">IF($A752="","",IFERROR(_xlfn.TEXTJOIN(CHAR(10)&amp;CHAR(10),TRUE,_xlfn._xlws.FILTER("•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"&amp;Cards!$L$4:$L$1000),(Cards!$A$4:$A$1000&lt;&gt;"")*ISNUMBER(SEARCH($A752,Cards!$E$4:$E$1000)))),"-"))</f>
        <v/>
      </c>
      <c r="Q752" s="30"/>
      <c r="R752" s="27" t="str">
        <f>IF(OR($A752="",LEN(TRIM($O752))=0),"",IF(OR($P752="",$Q752=""),"ระบุ Severity + Impact",IFERROR(INDEX({"Urgent","Urgent","High","High";"Urgent","High","High","Medium";"High","High","Medium","Medium";"Medium","Medium","Low","Low"},MATCH($P752,{"Critical","High","Medium","Low"},0),MATCH($Q752,{"Extensive","Significant","Moderate","Minor"},0)),"-")))</f>
        <v/>
      </c>
      <c r="S752" s="30"/>
      <c r="T752" s="30"/>
      <c r="W752" s="32" t="str">
        <f>IF($A752="","",IF(OR($M752="Out of Scope",$M752="Canceled"),"Out of Scope",IF($M752="Blocked","Blocked",IF(AND($T752&lt;&gt;"Fixed – Retest Passed",OR(LEN(TRIM($O752))&gt;0,LEN(TRIM($P752))&gt;0)),IF(AND(OR($L752="Medium",$L752="Low"),SUMPRODUCT((Cards!$A$4:$A$1000&lt;&gt;"")*ISNUMBER(SEARCH($A752,Cards!$E$4:$E$1000))*(Cards!$F$4:$F$1000&lt;&gt;"Medium")*(Cards!$F$4:$F$1000&lt;&gt;"Low"))=0),"Conditionally Passed","Failed"),IF($M752="Done","Passed","Not Run")))))</f>
        <v/>
      </c>
      <c r="Y752" s="27" t="str" cm="1">
        <f t="array" ref="Y752">IF($A752="","",IF(TRIM($B752)="","-",IFERROR(_xlfn.TEXTJOIN(" / ",TRUE,_xlfn.UNIQUE(_xlfn._xlws.FILTER('Ownership Matrix'!$C$5:$C$200,('Ownership Matrix'!$A$5:$A$200=TRIM($B752))*('Ownership Matrix'!$C$5:$C$200&lt;&gt;"")))),"ไม่พบใน Ownership Matrix")))</f>
        <v/>
      </c>
      <c r="Z752" s="31" t="str">
        <f>IF(NOT(AND($A752&lt;&gt;"",$M752&lt;&gt;"Out of Scope",$M752&lt;&gt;"Canceled",$T752&lt;&gt;"Fixed – Retest Passed",OR(LEN(TRIM($O752))&gt;0,LEN(TRIM($P752))&gt;0))),"",IF(OR($W752="Failed",$R752="Urgent",$R752="High",$R752="ระบุ Severity + Impact"),IF(COUNTIFS(Dashboard!$B$105:$B$124,$O752,Dashboard!$I$105:$I$124,"CAB")&gt;0,"Accepted (CF)","Blocking"),"Deferrable"))</f>
        <v/>
      </c>
    </row>
    <row r="753" spans="7:26" x14ac:dyDescent="0.3">
      <c r="G753" s="27" t="str" cm="1">
        <f t="array" ref="G753">IF($A753="","",IFERROR(_xlfn.TEXTJOIN(CHAR(10)&amp;CHAR(10),TRUE,_xlfn._xlws.FILTER("•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"&amp;Cards!$L$4:$L$1000),(Cards!$A$4:$A$1000&lt;&gt;"")*ISNUMBER(SEARCH($A753,Cards!$E$4:$E$1000)))),"-"))</f>
        <v/>
      </c>
      <c r="Q753" s="30"/>
      <c r="R753" s="27" t="str">
        <f>IF(OR($A753="",LEN(TRIM($O753))=0),"",IF(OR($P753="",$Q753=""),"ระบุ Severity + Impact",IFERROR(INDEX({"Urgent","Urgent","High","High";"Urgent","High","High","Medium";"High","High","Medium","Medium";"Medium","Medium","Low","Low"},MATCH($P753,{"Critical","High","Medium","Low"},0),MATCH($Q753,{"Extensive","Significant","Moderate","Minor"},0)),"-")))</f>
        <v/>
      </c>
      <c r="S753" s="30"/>
      <c r="T753" s="30"/>
      <c r="W753" s="32" t="str">
        <f>IF($A753="","",IF(OR($M753="Out of Scope",$M753="Canceled"),"Out of Scope",IF($M753="Blocked","Blocked",IF(AND($T753&lt;&gt;"Fixed – Retest Passed",OR(LEN(TRIM($O753))&gt;0,LEN(TRIM($P753))&gt;0)),IF(AND(OR($L753="Medium",$L753="Low"),SUMPRODUCT((Cards!$A$4:$A$1000&lt;&gt;"")*ISNUMBER(SEARCH($A753,Cards!$E$4:$E$1000))*(Cards!$F$4:$F$1000&lt;&gt;"Medium")*(Cards!$F$4:$F$1000&lt;&gt;"Low"))=0),"Conditionally Passed","Failed"),IF($M753="Done","Passed","Not Run")))))</f>
        <v/>
      </c>
      <c r="Y753" s="27" t="str" cm="1">
        <f t="array" ref="Y753">IF($A753="","",IF(TRIM($B753)="","-",IFERROR(_xlfn.TEXTJOIN(" / ",TRUE,_xlfn.UNIQUE(_xlfn._xlws.FILTER('Ownership Matrix'!$C$5:$C$200,('Ownership Matrix'!$A$5:$A$200=TRIM($B753))*('Ownership Matrix'!$C$5:$C$200&lt;&gt;"")))),"ไม่พบใน Ownership Matrix")))</f>
        <v/>
      </c>
      <c r="Z753" s="31" t="str">
        <f>IF(NOT(AND($A753&lt;&gt;"",$M753&lt;&gt;"Out of Scope",$M753&lt;&gt;"Canceled",$T753&lt;&gt;"Fixed – Retest Passed",OR(LEN(TRIM($O753))&gt;0,LEN(TRIM($P753))&gt;0))),"",IF(OR($W753="Failed",$R753="Urgent",$R753="High",$R753="ระบุ Severity + Impact"),IF(COUNTIFS(Dashboard!$B$105:$B$124,$O753,Dashboard!$I$105:$I$124,"CAB")&gt;0,"Accepted (CF)","Blocking"),"Deferrable"))</f>
        <v/>
      </c>
    </row>
    <row r="754" spans="7:26" x14ac:dyDescent="0.3">
      <c r="G754" s="27" t="str" cm="1">
        <f t="array" ref="G754">IF($A754="","",IFERROR(_xlfn.TEXTJOIN(CHAR(10)&amp;CHAR(10),TRUE,_xlfn._xlws.FILTER("•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"&amp;Cards!$L$4:$L$1000),(Cards!$A$4:$A$1000&lt;&gt;"")*ISNUMBER(SEARCH($A754,Cards!$E$4:$E$1000)))),"-"))</f>
        <v/>
      </c>
      <c r="Q754" s="30"/>
      <c r="R754" s="27" t="str">
        <f>IF(OR($A754="",LEN(TRIM($O754))=0),"",IF(OR($P754="",$Q754=""),"ระบุ Severity + Impact",IFERROR(INDEX({"Urgent","Urgent","High","High";"Urgent","High","High","Medium";"High","High","Medium","Medium";"Medium","Medium","Low","Low"},MATCH($P754,{"Critical","High","Medium","Low"},0),MATCH($Q754,{"Extensive","Significant","Moderate","Minor"},0)),"-")))</f>
        <v/>
      </c>
      <c r="S754" s="30"/>
      <c r="T754" s="30"/>
      <c r="W754" s="32" t="str">
        <f>IF($A754="","",IF(OR($M754="Out of Scope",$M754="Canceled"),"Out of Scope",IF($M754="Blocked","Blocked",IF(AND($T754&lt;&gt;"Fixed – Retest Passed",OR(LEN(TRIM($O754))&gt;0,LEN(TRIM($P754))&gt;0)),IF(AND(OR($L754="Medium",$L754="Low"),SUMPRODUCT((Cards!$A$4:$A$1000&lt;&gt;"")*ISNUMBER(SEARCH($A754,Cards!$E$4:$E$1000))*(Cards!$F$4:$F$1000&lt;&gt;"Medium")*(Cards!$F$4:$F$1000&lt;&gt;"Low"))=0),"Conditionally Passed","Failed"),IF($M754="Done","Passed","Not Run")))))</f>
        <v/>
      </c>
      <c r="Y754" s="27" t="str" cm="1">
        <f t="array" ref="Y754">IF($A754="","",IF(TRIM($B754)="","-",IFERROR(_xlfn.TEXTJOIN(" / ",TRUE,_xlfn.UNIQUE(_xlfn._xlws.FILTER('Ownership Matrix'!$C$5:$C$200,('Ownership Matrix'!$A$5:$A$200=TRIM($B754))*('Ownership Matrix'!$C$5:$C$200&lt;&gt;"")))),"ไม่พบใน Ownership Matrix")))</f>
        <v/>
      </c>
      <c r="Z754" s="31" t="str">
        <f>IF(NOT(AND($A754&lt;&gt;"",$M754&lt;&gt;"Out of Scope",$M754&lt;&gt;"Canceled",$T754&lt;&gt;"Fixed – Retest Passed",OR(LEN(TRIM($O754))&gt;0,LEN(TRIM($P754))&gt;0))),"",IF(OR($W754="Failed",$R754="Urgent",$R754="High",$R754="ระบุ Severity + Impact"),IF(COUNTIFS(Dashboard!$B$105:$B$124,$O754,Dashboard!$I$105:$I$124,"CAB")&gt;0,"Accepted (CF)","Blocking"),"Deferrable"))</f>
        <v/>
      </c>
    </row>
    <row r="755" spans="7:26" x14ac:dyDescent="0.3">
      <c r="G755" s="27" t="str" cm="1">
        <f t="array" ref="G755">IF($A755="","",IFERROR(_xlfn.TEXTJOIN(CHAR(10)&amp;CHAR(10),TRUE,_xlfn._xlws.FILTER("•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"&amp;Cards!$L$4:$L$1000),(Cards!$A$4:$A$1000&lt;&gt;"")*ISNUMBER(SEARCH($A755,Cards!$E$4:$E$1000)))),"-"))</f>
        <v/>
      </c>
      <c r="Q755" s="30"/>
      <c r="R755" s="27" t="str">
        <f>IF(OR($A755="",LEN(TRIM($O755))=0),"",IF(OR($P755="",$Q755=""),"ระบุ Severity + Impact",IFERROR(INDEX({"Urgent","Urgent","High","High";"Urgent","High","High","Medium";"High","High","Medium","Medium";"Medium","Medium","Low","Low"},MATCH($P755,{"Critical","High","Medium","Low"},0),MATCH($Q755,{"Extensive","Significant","Moderate","Minor"},0)),"-")))</f>
        <v/>
      </c>
      <c r="S755" s="30"/>
      <c r="T755" s="30"/>
      <c r="W755" s="32" t="str">
        <f>IF($A755="","",IF(OR($M755="Out of Scope",$M755="Canceled"),"Out of Scope",IF($M755="Blocked","Blocked",IF(AND($T755&lt;&gt;"Fixed – Retest Passed",OR(LEN(TRIM($O755))&gt;0,LEN(TRIM($P755))&gt;0)),IF(AND(OR($L755="Medium",$L755="Low"),SUMPRODUCT((Cards!$A$4:$A$1000&lt;&gt;"")*ISNUMBER(SEARCH($A755,Cards!$E$4:$E$1000))*(Cards!$F$4:$F$1000&lt;&gt;"Medium")*(Cards!$F$4:$F$1000&lt;&gt;"Low"))=0),"Conditionally Passed","Failed"),IF($M755="Done","Passed","Not Run")))))</f>
        <v/>
      </c>
      <c r="Y755" s="27" t="str" cm="1">
        <f t="array" ref="Y755">IF($A755="","",IF(TRIM($B755)="","-",IFERROR(_xlfn.TEXTJOIN(" / ",TRUE,_xlfn.UNIQUE(_xlfn._xlws.FILTER('Ownership Matrix'!$C$5:$C$200,('Ownership Matrix'!$A$5:$A$200=TRIM($B755))*('Ownership Matrix'!$C$5:$C$200&lt;&gt;"")))),"ไม่พบใน Ownership Matrix")))</f>
        <v/>
      </c>
      <c r="Z755" s="31" t="str">
        <f>IF(NOT(AND($A755&lt;&gt;"",$M755&lt;&gt;"Out of Scope",$M755&lt;&gt;"Canceled",$T755&lt;&gt;"Fixed – Retest Passed",OR(LEN(TRIM($O755))&gt;0,LEN(TRIM($P755))&gt;0))),"",IF(OR($W755="Failed",$R755="Urgent",$R755="High",$R755="ระบุ Severity + Impact"),IF(COUNTIFS(Dashboard!$B$105:$B$124,$O755,Dashboard!$I$105:$I$124,"CAB")&gt;0,"Accepted (CF)","Blocking"),"Deferrable"))</f>
        <v/>
      </c>
    </row>
    <row r="756" spans="7:26" x14ac:dyDescent="0.3">
      <c r="G756" s="27" t="str" cm="1">
        <f t="array" ref="G756">IF($A756="","",IFERROR(_xlfn.TEXTJOIN(CHAR(10)&amp;CHAR(10),TRUE,_xlfn._xlws.FILTER("•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"&amp;Cards!$L$4:$L$1000),(Cards!$A$4:$A$1000&lt;&gt;"")*ISNUMBER(SEARCH($A756,Cards!$E$4:$E$1000)))),"-"))</f>
        <v/>
      </c>
      <c r="Q756" s="30"/>
      <c r="R756" s="27" t="str">
        <f>IF(OR($A756="",LEN(TRIM($O756))=0),"",IF(OR($P756="",$Q756=""),"ระบุ Severity + Impact",IFERROR(INDEX({"Urgent","Urgent","High","High";"Urgent","High","High","Medium";"High","High","Medium","Medium";"Medium","Medium","Low","Low"},MATCH($P756,{"Critical","High","Medium","Low"},0),MATCH($Q756,{"Extensive","Significant","Moderate","Minor"},0)),"-")))</f>
        <v/>
      </c>
      <c r="S756" s="30"/>
      <c r="T756" s="30"/>
      <c r="W756" s="32" t="str">
        <f>IF($A756="","",IF(OR($M756="Out of Scope",$M756="Canceled"),"Out of Scope",IF($M756="Blocked","Blocked",IF(AND($T756&lt;&gt;"Fixed – Retest Passed",OR(LEN(TRIM($O756))&gt;0,LEN(TRIM($P756))&gt;0)),IF(AND(OR($L756="Medium",$L756="Low"),SUMPRODUCT((Cards!$A$4:$A$1000&lt;&gt;"")*ISNUMBER(SEARCH($A756,Cards!$E$4:$E$1000))*(Cards!$F$4:$F$1000&lt;&gt;"Medium")*(Cards!$F$4:$F$1000&lt;&gt;"Low"))=0),"Conditionally Passed","Failed"),IF($M756="Done","Passed","Not Run")))))</f>
        <v/>
      </c>
      <c r="Y756" s="27" t="str" cm="1">
        <f t="array" ref="Y756">IF($A756="","",IF(TRIM($B756)="","-",IFERROR(_xlfn.TEXTJOIN(" / ",TRUE,_xlfn.UNIQUE(_xlfn._xlws.FILTER('Ownership Matrix'!$C$5:$C$200,('Ownership Matrix'!$A$5:$A$200=TRIM($B756))*('Ownership Matrix'!$C$5:$C$200&lt;&gt;"")))),"ไม่พบใน Ownership Matrix")))</f>
        <v/>
      </c>
      <c r="Z756" s="31" t="str">
        <f>IF(NOT(AND($A756&lt;&gt;"",$M756&lt;&gt;"Out of Scope",$M756&lt;&gt;"Canceled",$T756&lt;&gt;"Fixed – Retest Passed",OR(LEN(TRIM($O756))&gt;0,LEN(TRIM($P756))&gt;0))),"",IF(OR($W756="Failed",$R756="Urgent",$R756="High",$R756="ระบุ Severity + Impact"),IF(COUNTIFS(Dashboard!$B$105:$B$124,$O756,Dashboard!$I$105:$I$124,"CAB")&gt;0,"Accepted (CF)","Blocking"),"Deferrable"))</f>
        <v/>
      </c>
    </row>
    <row r="757" spans="7:26" x14ac:dyDescent="0.3">
      <c r="G757" s="27" t="str" cm="1">
        <f t="array" ref="G757">IF($A757="","",IFERROR(_xlfn.TEXTJOIN(CHAR(10)&amp;CHAR(10),TRUE,_xlfn._xlws.FILTER("•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"&amp;Cards!$L$4:$L$1000),(Cards!$A$4:$A$1000&lt;&gt;"")*ISNUMBER(SEARCH($A757,Cards!$E$4:$E$1000)))),"-"))</f>
        <v/>
      </c>
      <c r="Q757" s="30"/>
      <c r="R757" s="27" t="str">
        <f>IF(OR($A757="",LEN(TRIM($O757))=0),"",IF(OR($P757="",$Q757=""),"ระบุ Severity + Impact",IFERROR(INDEX({"Urgent","Urgent","High","High";"Urgent","High","High","Medium";"High","High","Medium","Medium";"Medium","Medium","Low","Low"},MATCH($P757,{"Critical","High","Medium","Low"},0),MATCH($Q757,{"Extensive","Significant","Moderate","Minor"},0)),"-")))</f>
        <v/>
      </c>
      <c r="S757" s="30"/>
      <c r="T757" s="30"/>
      <c r="W757" s="32" t="str">
        <f>IF($A757="","",IF(OR($M757="Out of Scope",$M757="Canceled"),"Out of Scope",IF($M757="Blocked","Blocked",IF(AND($T757&lt;&gt;"Fixed – Retest Passed",OR(LEN(TRIM($O757))&gt;0,LEN(TRIM($P757))&gt;0)),IF(AND(OR($L757="Medium",$L757="Low"),SUMPRODUCT((Cards!$A$4:$A$1000&lt;&gt;"")*ISNUMBER(SEARCH($A757,Cards!$E$4:$E$1000))*(Cards!$F$4:$F$1000&lt;&gt;"Medium")*(Cards!$F$4:$F$1000&lt;&gt;"Low"))=0),"Conditionally Passed","Failed"),IF($M757="Done","Passed","Not Run")))))</f>
        <v/>
      </c>
      <c r="Y757" s="27" t="str" cm="1">
        <f t="array" ref="Y757">IF($A757="","",IF(TRIM($B757)="","-",IFERROR(_xlfn.TEXTJOIN(" / ",TRUE,_xlfn.UNIQUE(_xlfn._xlws.FILTER('Ownership Matrix'!$C$5:$C$200,('Ownership Matrix'!$A$5:$A$200=TRIM($B757))*('Ownership Matrix'!$C$5:$C$200&lt;&gt;"")))),"ไม่พบใน Ownership Matrix")))</f>
        <v/>
      </c>
      <c r="Z757" s="31" t="str">
        <f>IF(NOT(AND($A757&lt;&gt;"",$M757&lt;&gt;"Out of Scope",$M757&lt;&gt;"Canceled",$T757&lt;&gt;"Fixed – Retest Passed",OR(LEN(TRIM($O757))&gt;0,LEN(TRIM($P757))&gt;0))),"",IF(OR($W757="Failed",$R757="Urgent",$R757="High",$R757="ระบุ Severity + Impact"),IF(COUNTIFS(Dashboard!$B$105:$B$124,$O757,Dashboard!$I$105:$I$124,"CAB")&gt;0,"Accepted (CF)","Blocking"),"Deferrable"))</f>
        <v/>
      </c>
    </row>
    <row r="758" spans="7:26" x14ac:dyDescent="0.3">
      <c r="G758" s="27" t="str" cm="1">
        <f t="array" ref="G758">IF($A758="","",IFERROR(_xlfn.TEXTJOIN(CHAR(10)&amp;CHAR(10),TRUE,_xlfn._xlws.FILTER("•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"&amp;Cards!$L$4:$L$1000),(Cards!$A$4:$A$1000&lt;&gt;"")*ISNUMBER(SEARCH($A758,Cards!$E$4:$E$1000)))),"-"))</f>
        <v/>
      </c>
      <c r="Q758" s="30"/>
      <c r="R758" s="27" t="str">
        <f>IF(OR($A758="",LEN(TRIM($O758))=0),"",IF(OR($P758="",$Q758=""),"ระบุ Severity + Impact",IFERROR(INDEX({"Urgent","Urgent","High","High";"Urgent","High","High","Medium";"High","High","Medium","Medium";"Medium","Medium","Low","Low"},MATCH($P758,{"Critical","High","Medium","Low"},0),MATCH($Q758,{"Extensive","Significant","Moderate","Minor"},0)),"-")))</f>
        <v/>
      </c>
      <c r="S758" s="30"/>
      <c r="T758" s="30"/>
      <c r="W758" s="32" t="str">
        <f>IF($A758="","",IF(OR($M758="Out of Scope",$M758="Canceled"),"Out of Scope",IF($M758="Blocked","Blocked",IF(AND($T758&lt;&gt;"Fixed – Retest Passed",OR(LEN(TRIM($O758))&gt;0,LEN(TRIM($P758))&gt;0)),IF(AND(OR($L758="Medium",$L758="Low"),SUMPRODUCT((Cards!$A$4:$A$1000&lt;&gt;"")*ISNUMBER(SEARCH($A758,Cards!$E$4:$E$1000))*(Cards!$F$4:$F$1000&lt;&gt;"Medium")*(Cards!$F$4:$F$1000&lt;&gt;"Low"))=0),"Conditionally Passed","Failed"),IF($M758="Done","Passed","Not Run")))))</f>
        <v/>
      </c>
      <c r="Y758" s="27" t="str" cm="1">
        <f t="array" ref="Y758">IF($A758="","",IF(TRIM($B758)="","-",IFERROR(_xlfn.TEXTJOIN(" / ",TRUE,_xlfn.UNIQUE(_xlfn._xlws.FILTER('Ownership Matrix'!$C$5:$C$200,('Ownership Matrix'!$A$5:$A$200=TRIM($B758))*('Ownership Matrix'!$C$5:$C$200&lt;&gt;"")))),"ไม่พบใน Ownership Matrix")))</f>
        <v/>
      </c>
      <c r="Z758" s="31" t="str">
        <f>IF(NOT(AND($A758&lt;&gt;"",$M758&lt;&gt;"Out of Scope",$M758&lt;&gt;"Canceled",$T758&lt;&gt;"Fixed – Retest Passed",OR(LEN(TRIM($O758))&gt;0,LEN(TRIM($P758))&gt;0))),"",IF(OR($W758="Failed",$R758="Urgent",$R758="High",$R758="ระบุ Severity + Impact"),IF(COUNTIFS(Dashboard!$B$105:$B$124,$O758,Dashboard!$I$105:$I$124,"CAB")&gt;0,"Accepted (CF)","Blocking"),"Deferrable"))</f>
        <v/>
      </c>
    </row>
    <row r="759" spans="7:26" x14ac:dyDescent="0.3">
      <c r="G759" s="27" t="str" cm="1">
        <f t="array" ref="G759">IF($A759="","",IFERROR(_xlfn.TEXTJOIN(CHAR(10)&amp;CHAR(10),TRUE,_xlfn._xlws.FILTER("•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"&amp;Cards!$L$4:$L$1000),(Cards!$A$4:$A$1000&lt;&gt;"")*ISNUMBER(SEARCH($A759,Cards!$E$4:$E$1000)))),"-"))</f>
        <v/>
      </c>
      <c r="Q759" s="30"/>
      <c r="R759" s="27" t="str">
        <f>IF(OR($A759="",LEN(TRIM($O759))=0),"",IF(OR($P759="",$Q759=""),"ระบุ Severity + Impact",IFERROR(INDEX({"Urgent","Urgent","High","High";"Urgent","High","High","Medium";"High","High","Medium","Medium";"Medium","Medium","Low","Low"},MATCH($P759,{"Critical","High","Medium","Low"},0),MATCH($Q759,{"Extensive","Significant","Moderate","Minor"},0)),"-")))</f>
        <v/>
      </c>
      <c r="S759" s="30"/>
      <c r="T759" s="30"/>
      <c r="W759" s="32" t="str">
        <f>IF($A759="","",IF(OR($M759="Out of Scope",$M759="Canceled"),"Out of Scope",IF($M759="Blocked","Blocked",IF(AND($T759&lt;&gt;"Fixed – Retest Passed",OR(LEN(TRIM($O759))&gt;0,LEN(TRIM($P759))&gt;0)),IF(AND(OR($L759="Medium",$L759="Low"),SUMPRODUCT((Cards!$A$4:$A$1000&lt;&gt;"")*ISNUMBER(SEARCH($A759,Cards!$E$4:$E$1000))*(Cards!$F$4:$F$1000&lt;&gt;"Medium")*(Cards!$F$4:$F$1000&lt;&gt;"Low"))=0),"Conditionally Passed","Failed"),IF($M759="Done","Passed","Not Run")))))</f>
        <v/>
      </c>
      <c r="Y759" s="27" t="str" cm="1">
        <f t="array" ref="Y759">IF($A759="","",IF(TRIM($B759)="","-",IFERROR(_xlfn.TEXTJOIN(" / ",TRUE,_xlfn.UNIQUE(_xlfn._xlws.FILTER('Ownership Matrix'!$C$5:$C$200,('Ownership Matrix'!$A$5:$A$200=TRIM($B759))*('Ownership Matrix'!$C$5:$C$200&lt;&gt;"")))),"ไม่พบใน Ownership Matrix")))</f>
        <v/>
      </c>
      <c r="Z759" s="31" t="str">
        <f>IF(NOT(AND($A759&lt;&gt;"",$M759&lt;&gt;"Out of Scope",$M759&lt;&gt;"Canceled",$T759&lt;&gt;"Fixed – Retest Passed",OR(LEN(TRIM($O759))&gt;0,LEN(TRIM($P759))&gt;0))),"",IF(OR($W759="Failed",$R759="Urgent",$R759="High",$R759="ระบุ Severity + Impact"),IF(COUNTIFS(Dashboard!$B$105:$B$124,$O759,Dashboard!$I$105:$I$124,"CAB")&gt;0,"Accepted (CF)","Blocking"),"Deferrable"))</f>
        <v/>
      </c>
    </row>
    <row r="760" spans="7:26" x14ac:dyDescent="0.3">
      <c r="G760" s="27" t="str" cm="1">
        <f t="array" ref="G760">IF($A760="","",IFERROR(_xlfn.TEXTJOIN(CHAR(10)&amp;CHAR(10),TRUE,_xlfn._xlws.FILTER("•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"&amp;Cards!$L$4:$L$1000),(Cards!$A$4:$A$1000&lt;&gt;"")*ISNUMBER(SEARCH($A760,Cards!$E$4:$E$1000)))),"-"))</f>
        <v/>
      </c>
      <c r="Q760" s="30"/>
      <c r="R760" s="27" t="str">
        <f>IF(OR($A760="",LEN(TRIM($O760))=0),"",IF(OR($P760="",$Q760=""),"ระบุ Severity + Impact",IFERROR(INDEX({"Urgent","Urgent","High","High";"Urgent","High","High","Medium";"High","High","Medium","Medium";"Medium","Medium","Low","Low"},MATCH($P760,{"Critical","High","Medium","Low"},0),MATCH($Q760,{"Extensive","Significant","Moderate","Minor"},0)),"-")))</f>
        <v/>
      </c>
      <c r="S760" s="30"/>
      <c r="T760" s="30"/>
      <c r="W760" s="32" t="str">
        <f>IF($A760="","",IF(OR($M760="Out of Scope",$M760="Canceled"),"Out of Scope",IF($M760="Blocked","Blocked",IF(AND($T760&lt;&gt;"Fixed – Retest Passed",OR(LEN(TRIM($O760))&gt;0,LEN(TRIM($P760))&gt;0)),IF(AND(OR($L760="Medium",$L760="Low"),SUMPRODUCT((Cards!$A$4:$A$1000&lt;&gt;"")*ISNUMBER(SEARCH($A760,Cards!$E$4:$E$1000))*(Cards!$F$4:$F$1000&lt;&gt;"Medium")*(Cards!$F$4:$F$1000&lt;&gt;"Low"))=0),"Conditionally Passed","Failed"),IF($M760="Done","Passed","Not Run")))))</f>
        <v/>
      </c>
      <c r="Y760" s="27" t="str" cm="1">
        <f t="array" ref="Y760">IF($A760="","",IF(TRIM($B760)="","-",IFERROR(_xlfn.TEXTJOIN(" / ",TRUE,_xlfn.UNIQUE(_xlfn._xlws.FILTER('Ownership Matrix'!$C$5:$C$200,('Ownership Matrix'!$A$5:$A$200=TRIM($B760))*('Ownership Matrix'!$C$5:$C$200&lt;&gt;"")))),"ไม่พบใน Ownership Matrix")))</f>
        <v/>
      </c>
      <c r="Z760" s="31" t="str">
        <f>IF(NOT(AND($A760&lt;&gt;"",$M760&lt;&gt;"Out of Scope",$M760&lt;&gt;"Canceled",$T760&lt;&gt;"Fixed – Retest Passed",OR(LEN(TRIM($O760))&gt;0,LEN(TRIM($P760))&gt;0))),"",IF(OR($W760="Failed",$R760="Urgent",$R760="High",$R760="ระบุ Severity + Impact"),IF(COUNTIFS(Dashboard!$B$105:$B$124,$O760,Dashboard!$I$105:$I$124,"CAB")&gt;0,"Accepted (CF)","Blocking"),"Deferrable"))</f>
        <v/>
      </c>
    </row>
    <row r="761" spans="7:26" x14ac:dyDescent="0.3">
      <c r="G761" s="27" t="str" cm="1">
        <f t="array" ref="G761">IF($A761="","",IFERROR(_xlfn.TEXTJOIN(CHAR(10)&amp;CHAR(10),TRUE,_xlfn._xlws.FILTER("•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"&amp;Cards!$L$4:$L$1000),(Cards!$A$4:$A$1000&lt;&gt;"")*ISNUMBER(SEARCH($A761,Cards!$E$4:$E$1000)))),"-"))</f>
        <v/>
      </c>
      <c r="Q761" s="30"/>
      <c r="R761" s="27" t="str">
        <f>IF(OR($A761="",LEN(TRIM($O761))=0),"",IF(OR($P761="",$Q761=""),"ระบุ Severity + Impact",IFERROR(INDEX({"Urgent","Urgent","High","High";"Urgent","High","High","Medium";"High","High","Medium","Medium";"Medium","Medium","Low","Low"},MATCH($P761,{"Critical","High","Medium","Low"},0),MATCH($Q761,{"Extensive","Significant","Moderate","Minor"},0)),"-")))</f>
        <v/>
      </c>
      <c r="S761" s="30"/>
      <c r="T761" s="30"/>
      <c r="W761" s="32" t="str">
        <f>IF($A761="","",IF(OR($M761="Out of Scope",$M761="Canceled"),"Out of Scope",IF($M761="Blocked","Blocked",IF(AND($T761&lt;&gt;"Fixed – Retest Passed",OR(LEN(TRIM($O761))&gt;0,LEN(TRIM($P761))&gt;0)),IF(AND(OR($L761="Medium",$L761="Low"),SUMPRODUCT((Cards!$A$4:$A$1000&lt;&gt;"")*ISNUMBER(SEARCH($A761,Cards!$E$4:$E$1000))*(Cards!$F$4:$F$1000&lt;&gt;"Medium")*(Cards!$F$4:$F$1000&lt;&gt;"Low"))=0),"Conditionally Passed","Failed"),IF($M761="Done","Passed","Not Run")))))</f>
        <v/>
      </c>
      <c r="Y761" s="27" t="str" cm="1">
        <f t="array" ref="Y761">IF($A761="","",IF(TRIM($B761)="","-",IFERROR(_xlfn.TEXTJOIN(" / ",TRUE,_xlfn.UNIQUE(_xlfn._xlws.FILTER('Ownership Matrix'!$C$5:$C$200,('Ownership Matrix'!$A$5:$A$200=TRIM($B761))*('Ownership Matrix'!$C$5:$C$200&lt;&gt;"")))),"ไม่พบใน Ownership Matrix")))</f>
        <v/>
      </c>
      <c r="Z761" s="31" t="str">
        <f>IF(NOT(AND($A761&lt;&gt;"",$M761&lt;&gt;"Out of Scope",$M761&lt;&gt;"Canceled",$T761&lt;&gt;"Fixed – Retest Passed",OR(LEN(TRIM($O761))&gt;0,LEN(TRIM($P761))&gt;0))),"",IF(OR($W761="Failed",$R761="Urgent",$R761="High",$R761="ระบุ Severity + Impact"),IF(COUNTIFS(Dashboard!$B$105:$B$124,$O761,Dashboard!$I$105:$I$124,"CAB")&gt;0,"Accepted (CF)","Blocking"),"Deferrable"))</f>
        <v/>
      </c>
    </row>
    <row r="762" spans="7:26" x14ac:dyDescent="0.3">
      <c r="G762" s="27" t="str" cm="1">
        <f t="array" ref="G762">IF($A762="","",IFERROR(_xlfn.TEXTJOIN(CHAR(10)&amp;CHAR(10),TRUE,_xlfn._xlws.FILTER("•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"&amp;Cards!$L$4:$L$1000),(Cards!$A$4:$A$1000&lt;&gt;"")*ISNUMBER(SEARCH($A762,Cards!$E$4:$E$1000)))),"-"))</f>
        <v/>
      </c>
      <c r="Q762" s="30"/>
      <c r="R762" s="27" t="str">
        <f>IF(OR($A762="",LEN(TRIM($O762))=0),"",IF(OR($P762="",$Q762=""),"ระบุ Severity + Impact",IFERROR(INDEX({"Urgent","Urgent","High","High";"Urgent","High","High","Medium";"High","High","Medium","Medium";"Medium","Medium","Low","Low"},MATCH($P762,{"Critical","High","Medium","Low"},0),MATCH($Q762,{"Extensive","Significant","Moderate","Minor"},0)),"-")))</f>
        <v/>
      </c>
      <c r="S762" s="30"/>
      <c r="T762" s="30"/>
      <c r="W762" s="32" t="str">
        <f>IF($A762="","",IF(OR($M762="Out of Scope",$M762="Canceled"),"Out of Scope",IF($M762="Blocked","Blocked",IF(AND($T762&lt;&gt;"Fixed – Retest Passed",OR(LEN(TRIM($O762))&gt;0,LEN(TRIM($P762))&gt;0)),IF(AND(OR($L762="Medium",$L762="Low"),SUMPRODUCT((Cards!$A$4:$A$1000&lt;&gt;"")*ISNUMBER(SEARCH($A762,Cards!$E$4:$E$1000))*(Cards!$F$4:$F$1000&lt;&gt;"Medium")*(Cards!$F$4:$F$1000&lt;&gt;"Low"))=0),"Conditionally Passed","Failed"),IF($M762="Done","Passed","Not Run")))))</f>
        <v/>
      </c>
      <c r="Y762" s="27" t="str" cm="1">
        <f t="array" ref="Y762">IF($A762="","",IF(TRIM($B762)="","-",IFERROR(_xlfn.TEXTJOIN(" / ",TRUE,_xlfn.UNIQUE(_xlfn._xlws.FILTER('Ownership Matrix'!$C$5:$C$200,('Ownership Matrix'!$A$5:$A$200=TRIM($B762))*('Ownership Matrix'!$C$5:$C$200&lt;&gt;"")))),"ไม่พบใน Ownership Matrix")))</f>
        <v/>
      </c>
      <c r="Z762" s="31" t="str">
        <f>IF(NOT(AND($A762&lt;&gt;"",$M762&lt;&gt;"Out of Scope",$M762&lt;&gt;"Canceled",$T762&lt;&gt;"Fixed – Retest Passed",OR(LEN(TRIM($O762))&gt;0,LEN(TRIM($P762))&gt;0))),"",IF(OR($W762="Failed",$R762="Urgent",$R762="High",$R762="ระบุ Severity + Impact"),IF(COUNTIFS(Dashboard!$B$105:$B$124,$O762,Dashboard!$I$105:$I$124,"CAB")&gt;0,"Accepted (CF)","Blocking"),"Deferrable"))</f>
        <v/>
      </c>
    </row>
    <row r="763" spans="7:26" x14ac:dyDescent="0.3">
      <c r="G763" s="27" t="str" cm="1">
        <f t="array" ref="G763">IF($A763="","",IFERROR(_xlfn.TEXTJOIN(CHAR(10)&amp;CHAR(10),TRUE,_xlfn._xlws.FILTER("•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"&amp;Cards!$L$4:$L$1000),(Cards!$A$4:$A$1000&lt;&gt;"")*ISNUMBER(SEARCH($A763,Cards!$E$4:$E$1000)))),"-"))</f>
        <v/>
      </c>
      <c r="Q763" s="30"/>
      <c r="R763" s="27" t="str">
        <f>IF(OR($A763="",LEN(TRIM($O763))=0),"",IF(OR($P763="",$Q763=""),"ระบุ Severity + Impact",IFERROR(INDEX({"Urgent","Urgent","High","High";"Urgent","High","High","Medium";"High","High","Medium","Medium";"Medium","Medium","Low","Low"},MATCH($P763,{"Critical","High","Medium","Low"},0),MATCH($Q763,{"Extensive","Significant","Moderate","Minor"},0)),"-")))</f>
        <v/>
      </c>
      <c r="S763" s="30"/>
      <c r="T763" s="30"/>
      <c r="W763" s="32" t="str">
        <f>IF($A763="","",IF(OR($M763="Out of Scope",$M763="Canceled"),"Out of Scope",IF($M763="Blocked","Blocked",IF(AND($T763&lt;&gt;"Fixed – Retest Passed",OR(LEN(TRIM($O763))&gt;0,LEN(TRIM($P763))&gt;0)),IF(AND(OR($L763="Medium",$L763="Low"),SUMPRODUCT((Cards!$A$4:$A$1000&lt;&gt;"")*ISNUMBER(SEARCH($A763,Cards!$E$4:$E$1000))*(Cards!$F$4:$F$1000&lt;&gt;"Medium")*(Cards!$F$4:$F$1000&lt;&gt;"Low"))=0),"Conditionally Passed","Failed"),IF($M763="Done","Passed","Not Run")))))</f>
        <v/>
      </c>
      <c r="Y763" s="27" t="str" cm="1">
        <f t="array" ref="Y763">IF($A763="","",IF(TRIM($B763)="","-",IFERROR(_xlfn.TEXTJOIN(" / ",TRUE,_xlfn.UNIQUE(_xlfn._xlws.FILTER('Ownership Matrix'!$C$5:$C$200,('Ownership Matrix'!$A$5:$A$200=TRIM($B763))*('Ownership Matrix'!$C$5:$C$200&lt;&gt;"")))),"ไม่พบใน Ownership Matrix")))</f>
        <v/>
      </c>
      <c r="Z763" s="31" t="str">
        <f>IF(NOT(AND($A763&lt;&gt;"",$M763&lt;&gt;"Out of Scope",$M763&lt;&gt;"Canceled",$T763&lt;&gt;"Fixed – Retest Passed",OR(LEN(TRIM($O763))&gt;0,LEN(TRIM($P763))&gt;0))),"",IF(OR($W763="Failed",$R763="Urgent",$R763="High",$R763="ระบุ Severity + Impact"),IF(COUNTIFS(Dashboard!$B$105:$B$124,$O763,Dashboard!$I$105:$I$124,"CAB")&gt;0,"Accepted (CF)","Blocking"),"Deferrable"))</f>
        <v/>
      </c>
    </row>
    <row r="764" spans="7:26" x14ac:dyDescent="0.3">
      <c r="G764" s="27" t="str" cm="1">
        <f t="array" ref="G764">IF($A764="","",IFERROR(_xlfn.TEXTJOIN(CHAR(10)&amp;CHAR(10),TRUE,_xlfn._xlws.FILTER("•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"&amp;Cards!$L$4:$L$1000),(Cards!$A$4:$A$1000&lt;&gt;"")*ISNUMBER(SEARCH($A764,Cards!$E$4:$E$1000)))),"-"))</f>
        <v/>
      </c>
      <c r="Q764" s="30"/>
      <c r="R764" s="27" t="str">
        <f>IF(OR($A764="",LEN(TRIM($O764))=0),"",IF(OR($P764="",$Q764=""),"ระบุ Severity + Impact",IFERROR(INDEX({"Urgent","Urgent","High","High";"Urgent","High","High","Medium";"High","High","Medium","Medium";"Medium","Medium","Low","Low"},MATCH($P764,{"Critical","High","Medium","Low"},0),MATCH($Q764,{"Extensive","Significant","Moderate","Minor"},0)),"-")))</f>
        <v/>
      </c>
      <c r="S764" s="30"/>
      <c r="T764" s="30"/>
      <c r="W764" s="32" t="str">
        <f>IF($A764="","",IF(OR($M764="Out of Scope",$M764="Canceled"),"Out of Scope",IF($M764="Blocked","Blocked",IF(AND($T764&lt;&gt;"Fixed – Retest Passed",OR(LEN(TRIM($O764))&gt;0,LEN(TRIM($P764))&gt;0)),IF(AND(OR($L764="Medium",$L764="Low"),SUMPRODUCT((Cards!$A$4:$A$1000&lt;&gt;"")*ISNUMBER(SEARCH($A764,Cards!$E$4:$E$1000))*(Cards!$F$4:$F$1000&lt;&gt;"Medium")*(Cards!$F$4:$F$1000&lt;&gt;"Low"))=0),"Conditionally Passed","Failed"),IF($M764="Done","Passed","Not Run")))))</f>
        <v/>
      </c>
      <c r="Y764" s="27" t="str" cm="1">
        <f t="array" ref="Y764">IF($A764="","",IF(TRIM($B764)="","-",IFERROR(_xlfn.TEXTJOIN(" / ",TRUE,_xlfn.UNIQUE(_xlfn._xlws.FILTER('Ownership Matrix'!$C$5:$C$200,('Ownership Matrix'!$A$5:$A$200=TRIM($B764))*('Ownership Matrix'!$C$5:$C$200&lt;&gt;"")))),"ไม่พบใน Ownership Matrix")))</f>
        <v/>
      </c>
      <c r="Z764" s="31" t="str">
        <f>IF(NOT(AND($A764&lt;&gt;"",$M764&lt;&gt;"Out of Scope",$M764&lt;&gt;"Canceled",$T764&lt;&gt;"Fixed – Retest Passed",OR(LEN(TRIM($O764))&gt;0,LEN(TRIM($P764))&gt;0))),"",IF(OR($W764="Failed",$R764="Urgent",$R764="High",$R764="ระบุ Severity + Impact"),IF(COUNTIFS(Dashboard!$B$105:$B$124,$O764,Dashboard!$I$105:$I$124,"CAB")&gt;0,"Accepted (CF)","Blocking"),"Deferrable"))</f>
        <v/>
      </c>
    </row>
    <row r="765" spans="7:26" x14ac:dyDescent="0.3">
      <c r="G765" s="27" t="str" cm="1">
        <f t="array" ref="G765">IF($A765="","",IFERROR(_xlfn.TEXTJOIN(CHAR(10)&amp;CHAR(10),TRUE,_xlfn._xlws.FILTER("•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"&amp;Cards!$L$4:$L$1000),(Cards!$A$4:$A$1000&lt;&gt;"")*ISNUMBER(SEARCH($A765,Cards!$E$4:$E$1000)))),"-"))</f>
        <v/>
      </c>
      <c r="Q765" s="30"/>
      <c r="R765" s="27" t="str">
        <f>IF(OR($A765="",LEN(TRIM($O765))=0),"",IF(OR($P765="",$Q765=""),"ระบุ Severity + Impact",IFERROR(INDEX({"Urgent","Urgent","High","High";"Urgent","High","High","Medium";"High","High","Medium","Medium";"Medium","Medium","Low","Low"},MATCH($P765,{"Critical","High","Medium","Low"},0),MATCH($Q765,{"Extensive","Significant","Moderate","Minor"},0)),"-")))</f>
        <v/>
      </c>
      <c r="S765" s="30"/>
      <c r="T765" s="30"/>
      <c r="W765" s="32" t="str">
        <f>IF($A765="","",IF(OR($M765="Out of Scope",$M765="Canceled"),"Out of Scope",IF($M765="Blocked","Blocked",IF(AND($T765&lt;&gt;"Fixed – Retest Passed",OR(LEN(TRIM($O765))&gt;0,LEN(TRIM($P765))&gt;0)),IF(AND(OR($L765="Medium",$L765="Low"),SUMPRODUCT((Cards!$A$4:$A$1000&lt;&gt;"")*ISNUMBER(SEARCH($A765,Cards!$E$4:$E$1000))*(Cards!$F$4:$F$1000&lt;&gt;"Medium")*(Cards!$F$4:$F$1000&lt;&gt;"Low"))=0),"Conditionally Passed","Failed"),IF($M765="Done","Passed","Not Run")))))</f>
        <v/>
      </c>
      <c r="Y765" s="27" t="str" cm="1">
        <f t="array" ref="Y765">IF($A765="","",IF(TRIM($B765)="","-",IFERROR(_xlfn.TEXTJOIN(" / ",TRUE,_xlfn.UNIQUE(_xlfn._xlws.FILTER('Ownership Matrix'!$C$5:$C$200,('Ownership Matrix'!$A$5:$A$200=TRIM($B765))*('Ownership Matrix'!$C$5:$C$200&lt;&gt;"")))),"ไม่พบใน Ownership Matrix")))</f>
        <v/>
      </c>
      <c r="Z765" s="31" t="str">
        <f>IF(NOT(AND($A765&lt;&gt;"",$M765&lt;&gt;"Out of Scope",$M765&lt;&gt;"Canceled",$T765&lt;&gt;"Fixed – Retest Passed",OR(LEN(TRIM($O765))&gt;0,LEN(TRIM($P765))&gt;0))),"",IF(OR($W765="Failed",$R765="Urgent",$R765="High",$R765="ระบุ Severity + Impact"),IF(COUNTIFS(Dashboard!$B$105:$B$124,$O765,Dashboard!$I$105:$I$124,"CAB")&gt;0,"Accepted (CF)","Blocking"),"Deferrable"))</f>
        <v/>
      </c>
    </row>
    <row r="766" spans="7:26" x14ac:dyDescent="0.3">
      <c r="G766" s="27" t="str" cm="1">
        <f t="array" ref="G766">IF($A766="","",IFERROR(_xlfn.TEXTJOIN(CHAR(10)&amp;CHAR(10),TRUE,_xlfn._xlws.FILTER("•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"&amp;Cards!$L$4:$L$1000),(Cards!$A$4:$A$1000&lt;&gt;"")*ISNUMBER(SEARCH($A766,Cards!$E$4:$E$1000)))),"-"))</f>
        <v/>
      </c>
      <c r="Q766" s="30"/>
      <c r="R766" s="27" t="str">
        <f>IF(OR($A766="",LEN(TRIM($O766))=0),"",IF(OR($P766="",$Q766=""),"ระบุ Severity + Impact",IFERROR(INDEX({"Urgent","Urgent","High","High";"Urgent","High","High","Medium";"High","High","Medium","Medium";"Medium","Medium","Low","Low"},MATCH($P766,{"Critical","High","Medium","Low"},0),MATCH($Q766,{"Extensive","Significant","Moderate","Minor"},0)),"-")))</f>
        <v/>
      </c>
      <c r="S766" s="30"/>
      <c r="T766" s="30"/>
      <c r="W766" s="32" t="str">
        <f>IF($A766="","",IF(OR($M766="Out of Scope",$M766="Canceled"),"Out of Scope",IF($M766="Blocked","Blocked",IF(AND($T766&lt;&gt;"Fixed – Retest Passed",OR(LEN(TRIM($O766))&gt;0,LEN(TRIM($P766))&gt;0)),IF(AND(OR($L766="Medium",$L766="Low"),SUMPRODUCT((Cards!$A$4:$A$1000&lt;&gt;"")*ISNUMBER(SEARCH($A766,Cards!$E$4:$E$1000))*(Cards!$F$4:$F$1000&lt;&gt;"Medium")*(Cards!$F$4:$F$1000&lt;&gt;"Low"))=0),"Conditionally Passed","Failed"),IF($M766="Done","Passed","Not Run")))))</f>
        <v/>
      </c>
      <c r="Y766" s="27" t="str" cm="1">
        <f t="array" ref="Y766">IF($A766="","",IF(TRIM($B766)="","-",IFERROR(_xlfn.TEXTJOIN(" / ",TRUE,_xlfn.UNIQUE(_xlfn._xlws.FILTER('Ownership Matrix'!$C$5:$C$200,('Ownership Matrix'!$A$5:$A$200=TRIM($B766))*('Ownership Matrix'!$C$5:$C$200&lt;&gt;"")))),"ไม่พบใน Ownership Matrix")))</f>
        <v/>
      </c>
      <c r="Z766" s="31" t="str">
        <f>IF(NOT(AND($A766&lt;&gt;"",$M766&lt;&gt;"Out of Scope",$M766&lt;&gt;"Canceled",$T766&lt;&gt;"Fixed – Retest Passed",OR(LEN(TRIM($O766))&gt;0,LEN(TRIM($P766))&gt;0))),"",IF(OR($W766="Failed",$R766="Urgent",$R766="High",$R766="ระบุ Severity + Impact"),IF(COUNTIFS(Dashboard!$B$105:$B$124,$O766,Dashboard!$I$105:$I$124,"CAB")&gt;0,"Accepted (CF)","Blocking"),"Deferrable"))</f>
        <v/>
      </c>
    </row>
    <row r="767" spans="7:26" x14ac:dyDescent="0.3">
      <c r="G767" s="27" t="str" cm="1">
        <f t="array" ref="G767">IF($A767="","",IFERROR(_xlfn.TEXTJOIN(CHAR(10)&amp;CHAR(10),TRUE,_xlfn._xlws.FILTER("•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"&amp;Cards!$L$4:$L$1000),(Cards!$A$4:$A$1000&lt;&gt;"")*ISNUMBER(SEARCH($A767,Cards!$E$4:$E$1000)))),"-"))</f>
        <v/>
      </c>
      <c r="Q767" s="30"/>
      <c r="R767" s="27" t="str">
        <f>IF(OR($A767="",LEN(TRIM($O767))=0),"",IF(OR($P767="",$Q767=""),"ระบุ Severity + Impact",IFERROR(INDEX({"Urgent","Urgent","High","High";"Urgent","High","High","Medium";"High","High","Medium","Medium";"Medium","Medium","Low","Low"},MATCH($P767,{"Critical","High","Medium","Low"},0),MATCH($Q767,{"Extensive","Significant","Moderate","Minor"},0)),"-")))</f>
        <v/>
      </c>
      <c r="S767" s="30"/>
      <c r="T767" s="30"/>
      <c r="W767" s="32" t="str">
        <f>IF($A767="","",IF(OR($M767="Out of Scope",$M767="Canceled"),"Out of Scope",IF($M767="Blocked","Blocked",IF(AND($T767&lt;&gt;"Fixed – Retest Passed",OR(LEN(TRIM($O767))&gt;0,LEN(TRIM($P767))&gt;0)),IF(AND(OR($L767="Medium",$L767="Low"),SUMPRODUCT((Cards!$A$4:$A$1000&lt;&gt;"")*ISNUMBER(SEARCH($A767,Cards!$E$4:$E$1000))*(Cards!$F$4:$F$1000&lt;&gt;"Medium")*(Cards!$F$4:$F$1000&lt;&gt;"Low"))=0),"Conditionally Passed","Failed"),IF($M767="Done","Passed","Not Run")))))</f>
        <v/>
      </c>
      <c r="Y767" s="27" t="str" cm="1">
        <f t="array" ref="Y767">IF($A767="","",IF(TRIM($B767)="","-",IFERROR(_xlfn.TEXTJOIN(" / ",TRUE,_xlfn.UNIQUE(_xlfn._xlws.FILTER('Ownership Matrix'!$C$5:$C$200,('Ownership Matrix'!$A$5:$A$200=TRIM($B767))*('Ownership Matrix'!$C$5:$C$200&lt;&gt;"")))),"ไม่พบใน Ownership Matrix")))</f>
        <v/>
      </c>
      <c r="Z767" s="31" t="str">
        <f>IF(NOT(AND($A767&lt;&gt;"",$M767&lt;&gt;"Out of Scope",$M767&lt;&gt;"Canceled",$T767&lt;&gt;"Fixed – Retest Passed",OR(LEN(TRIM($O767))&gt;0,LEN(TRIM($P767))&gt;0))),"",IF(OR($W767="Failed",$R767="Urgent",$R767="High",$R767="ระบุ Severity + Impact"),IF(COUNTIFS(Dashboard!$B$105:$B$124,$O767,Dashboard!$I$105:$I$124,"CAB")&gt;0,"Accepted (CF)","Blocking"),"Deferrable"))</f>
        <v/>
      </c>
    </row>
    <row r="768" spans="7:26" x14ac:dyDescent="0.3">
      <c r="G768" s="27" t="str" cm="1">
        <f t="array" ref="G768">IF($A768="","",IFERROR(_xlfn.TEXTJOIN(CHAR(10)&amp;CHAR(10),TRUE,_xlfn._xlws.FILTER("•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"&amp;Cards!$L$4:$L$1000),(Cards!$A$4:$A$1000&lt;&gt;"")*ISNUMBER(SEARCH($A768,Cards!$E$4:$E$1000)))),"-"))</f>
        <v/>
      </c>
      <c r="Q768" s="30"/>
      <c r="R768" s="27" t="str">
        <f>IF(OR($A768="",LEN(TRIM($O768))=0),"",IF(OR($P768="",$Q768=""),"ระบุ Severity + Impact",IFERROR(INDEX({"Urgent","Urgent","High","High";"Urgent","High","High","Medium";"High","High","Medium","Medium";"Medium","Medium","Low","Low"},MATCH($P768,{"Critical","High","Medium","Low"},0),MATCH($Q768,{"Extensive","Significant","Moderate","Minor"},0)),"-")))</f>
        <v/>
      </c>
      <c r="S768" s="30"/>
      <c r="T768" s="30"/>
      <c r="W768" s="32" t="str">
        <f>IF($A768="","",IF(OR($M768="Out of Scope",$M768="Canceled"),"Out of Scope",IF($M768="Blocked","Blocked",IF(AND($T768&lt;&gt;"Fixed – Retest Passed",OR(LEN(TRIM($O768))&gt;0,LEN(TRIM($P768))&gt;0)),IF(AND(OR($L768="Medium",$L768="Low"),SUMPRODUCT((Cards!$A$4:$A$1000&lt;&gt;"")*ISNUMBER(SEARCH($A768,Cards!$E$4:$E$1000))*(Cards!$F$4:$F$1000&lt;&gt;"Medium")*(Cards!$F$4:$F$1000&lt;&gt;"Low"))=0),"Conditionally Passed","Failed"),IF($M768="Done","Passed","Not Run")))))</f>
        <v/>
      </c>
      <c r="Y768" s="27" t="str" cm="1">
        <f t="array" ref="Y768">IF($A768="","",IF(TRIM($B768)="","-",IFERROR(_xlfn.TEXTJOIN(" / ",TRUE,_xlfn.UNIQUE(_xlfn._xlws.FILTER('Ownership Matrix'!$C$5:$C$200,('Ownership Matrix'!$A$5:$A$200=TRIM($B768))*('Ownership Matrix'!$C$5:$C$200&lt;&gt;"")))),"ไม่พบใน Ownership Matrix")))</f>
        <v/>
      </c>
      <c r="Z768" s="31" t="str">
        <f>IF(NOT(AND($A768&lt;&gt;"",$M768&lt;&gt;"Out of Scope",$M768&lt;&gt;"Canceled",$T768&lt;&gt;"Fixed – Retest Passed",OR(LEN(TRIM($O768))&gt;0,LEN(TRIM($P768))&gt;0))),"",IF(OR($W768="Failed",$R768="Urgent",$R768="High",$R768="ระบุ Severity + Impact"),IF(COUNTIFS(Dashboard!$B$105:$B$124,$O768,Dashboard!$I$105:$I$124,"CAB")&gt;0,"Accepted (CF)","Blocking"),"Deferrable"))</f>
        <v/>
      </c>
    </row>
    <row r="769" spans="7:26" x14ac:dyDescent="0.3">
      <c r="G769" s="27" t="str" cm="1">
        <f t="array" ref="G769">IF($A769="","",IFERROR(_xlfn.TEXTJOIN(CHAR(10)&amp;CHAR(10),TRUE,_xlfn._xlws.FILTER("•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"&amp;Cards!$L$4:$L$1000),(Cards!$A$4:$A$1000&lt;&gt;"")*ISNUMBER(SEARCH($A769,Cards!$E$4:$E$1000)))),"-"))</f>
        <v/>
      </c>
      <c r="Q769" s="30"/>
      <c r="R769" s="27" t="str">
        <f>IF(OR($A769="",LEN(TRIM($O769))=0),"",IF(OR($P769="",$Q769=""),"ระบุ Severity + Impact",IFERROR(INDEX({"Urgent","Urgent","High","High";"Urgent","High","High","Medium";"High","High","Medium","Medium";"Medium","Medium","Low","Low"},MATCH($P769,{"Critical","High","Medium","Low"},0),MATCH($Q769,{"Extensive","Significant","Moderate","Minor"},0)),"-")))</f>
        <v/>
      </c>
      <c r="S769" s="30"/>
      <c r="T769" s="30"/>
      <c r="W769" s="32" t="str">
        <f>IF($A769="","",IF(OR($M769="Out of Scope",$M769="Canceled"),"Out of Scope",IF($M769="Blocked","Blocked",IF(AND($T769&lt;&gt;"Fixed – Retest Passed",OR(LEN(TRIM($O769))&gt;0,LEN(TRIM($P769))&gt;0)),IF(AND(OR($L769="Medium",$L769="Low"),SUMPRODUCT((Cards!$A$4:$A$1000&lt;&gt;"")*ISNUMBER(SEARCH($A769,Cards!$E$4:$E$1000))*(Cards!$F$4:$F$1000&lt;&gt;"Medium")*(Cards!$F$4:$F$1000&lt;&gt;"Low"))=0),"Conditionally Passed","Failed"),IF($M769="Done","Passed","Not Run")))))</f>
        <v/>
      </c>
      <c r="Y769" s="27" t="str" cm="1">
        <f t="array" ref="Y769">IF($A769="","",IF(TRIM($B769)="","-",IFERROR(_xlfn.TEXTJOIN(" / ",TRUE,_xlfn.UNIQUE(_xlfn._xlws.FILTER('Ownership Matrix'!$C$5:$C$200,('Ownership Matrix'!$A$5:$A$200=TRIM($B769))*('Ownership Matrix'!$C$5:$C$200&lt;&gt;"")))),"ไม่พบใน Ownership Matrix")))</f>
        <v/>
      </c>
      <c r="Z769" s="31" t="str">
        <f>IF(NOT(AND($A769&lt;&gt;"",$M769&lt;&gt;"Out of Scope",$M769&lt;&gt;"Canceled",$T769&lt;&gt;"Fixed – Retest Passed",OR(LEN(TRIM($O769))&gt;0,LEN(TRIM($P769))&gt;0))),"",IF(OR($W769="Failed",$R769="Urgent",$R769="High",$R769="ระบุ Severity + Impact"),IF(COUNTIFS(Dashboard!$B$105:$B$124,$O769,Dashboard!$I$105:$I$124,"CAB")&gt;0,"Accepted (CF)","Blocking"),"Deferrable"))</f>
        <v/>
      </c>
    </row>
    <row r="770" spans="7:26" x14ac:dyDescent="0.3">
      <c r="G770" s="27" t="str" cm="1">
        <f t="array" ref="G770">IF($A770="","",IFERROR(_xlfn.TEXTJOIN(CHAR(10)&amp;CHAR(10),TRUE,_xlfn._xlws.FILTER("•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"&amp;Cards!$L$4:$L$1000),(Cards!$A$4:$A$1000&lt;&gt;"")*ISNUMBER(SEARCH($A770,Cards!$E$4:$E$1000)))),"-"))</f>
        <v/>
      </c>
      <c r="Q770" s="30"/>
      <c r="R770" s="27" t="str">
        <f>IF(OR($A770="",LEN(TRIM($O770))=0),"",IF(OR($P770="",$Q770=""),"ระบุ Severity + Impact",IFERROR(INDEX({"Urgent","Urgent","High","High";"Urgent","High","High","Medium";"High","High","Medium","Medium";"Medium","Medium","Low","Low"},MATCH($P770,{"Critical","High","Medium","Low"},0),MATCH($Q770,{"Extensive","Significant","Moderate","Minor"},0)),"-")))</f>
        <v/>
      </c>
      <c r="S770" s="30"/>
      <c r="T770" s="30"/>
      <c r="W770" s="32" t="str">
        <f>IF($A770="","",IF(OR($M770="Out of Scope",$M770="Canceled"),"Out of Scope",IF($M770="Blocked","Blocked",IF(AND($T770&lt;&gt;"Fixed – Retest Passed",OR(LEN(TRIM($O770))&gt;0,LEN(TRIM($P770))&gt;0)),IF(AND(OR($L770="Medium",$L770="Low"),SUMPRODUCT((Cards!$A$4:$A$1000&lt;&gt;"")*ISNUMBER(SEARCH($A770,Cards!$E$4:$E$1000))*(Cards!$F$4:$F$1000&lt;&gt;"Medium")*(Cards!$F$4:$F$1000&lt;&gt;"Low"))=0),"Conditionally Passed","Failed"),IF($M770="Done","Passed","Not Run")))))</f>
        <v/>
      </c>
      <c r="Y770" s="27" t="str" cm="1">
        <f t="array" ref="Y770">IF($A770="","",IF(TRIM($B770)="","-",IFERROR(_xlfn.TEXTJOIN(" / ",TRUE,_xlfn.UNIQUE(_xlfn._xlws.FILTER('Ownership Matrix'!$C$5:$C$200,('Ownership Matrix'!$A$5:$A$200=TRIM($B770))*('Ownership Matrix'!$C$5:$C$200&lt;&gt;"")))),"ไม่พบใน Ownership Matrix")))</f>
        <v/>
      </c>
      <c r="Z770" s="31" t="str">
        <f>IF(NOT(AND($A770&lt;&gt;"",$M770&lt;&gt;"Out of Scope",$M770&lt;&gt;"Canceled",$T770&lt;&gt;"Fixed – Retest Passed",OR(LEN(TRIM($O770))&gt;0,LEN(TRIM($P770))&gt;0))),"",IF(OR($W770="Failed",$R770="Urgent",$R770="High",$R770="ระบุ Severity + Impact"),IF(COUNTIFS(Dashboard!$B$105:$B$124,$O770,Dashboard!$I$105:$I$124,"CAB")&gt;0,"Accepted (CF)","Blocking"),"Deferrable"))</f>
        <v/>
      </c>
    </row>
    <row r="771" spans="7:26" x14ac:dyDescent="0.3">
      <c r="G771" s="27" t="str" cm="1">
        <f t="array" ref="G771">IF($A771="","",IFERROR(_xlfn.TEXTJOIN(CHAR(10)&amp;CHAR(10),TRUE,_xlfn._xlws.FILTER("•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"&amp;Cards!$L$4:$L$1000),(Cards!$A$4:$A$1000&lt;&gt;"")*ISNUMBER(SEARCH($A771,Cards!$E$4:$E$1000)))),"-"))</f>
        <v/>
      </c>
      <c r="Q771" s="30"/>
      <c r="R771" s="27" t="str">
        <f>IF(OR($A771="",LEN(TRIM($O771))=0),"",IF(OR($P771="",$Q771=""),"ระบุ Severity + Impact",IFERROR(INDEX({"Urgent","Urgent","High","High";"Urgent","High","High","Medium";"High","High","Medium","Medium";"Medium","Medium","Low","Low"},MATCH($P771,{"Critical","High","Medium","Low"},0),MATCH($Q771,{"Extensive","Significant","Moderate","Minor"},0)),"-")))</f>
        <v/>
      </c>
      <c r="S771" s="30"/>
      <c r="T771" s="30"/>
      <c r="W771" s="32" t="str">
        <f>IF($A771="","",IF(OR($M771="Out of Scope",$M771="Canceled"),"Out of Scope",IF($M771="Blocked","Blocked",IF(AND($T771&lt;&gt;"Fixed – Retest Passed",OR(LEN(TRIM($O771))&gt;0,LEN(TRIM($P771))&gt;0)),IF(AND(OR($L771="Medium",$L771="Low"),SUMPRODUCT((Cards!$A$4:$A$1000&lt;&gt;"")*ISNUMBER(SEARCH($A771,Cards!$E$4:$E$1000))*(Cards!$F$4:$F$1000&lt;&gt;"Medium")*(Cards!$F$4:$F$1000&lt;&gt;"Low"))=0),"Conditionally Passed","Failed"),IF($M771="Done","Passed","Not Run")))))</f>
        <v/>
      </c>
      <c r="Y771" s="27" t="str" cm="1">
        <f t="array" ref="Y771">IF($A771="","",IF(TRIM($B771)="","-",IFERROR(_xlfn.TEXTJOIN(" / ",TRUE,_xlfn.UNIQUE(_xlfn._xlws.FILTER('Ownership Matrix'!$C$5:$C$200,('Ownership Matrix'!$A$5:$A$200=TRIM($B771))*('Ownership Matrix'!$C$5:$C$200&lt;&gt;"")))),"ไม่พบใน Ownership Matrix")))</f>
        <v/>
      </c>
      <c r="Z771" s="31" t="str">
        <f>IF(NOT(AND($A771&lt;&gt;"",$M771&lt;&gt;"Out of Scope",$M771&lt;&gt;"Canceled",$T771&lt;&gt;"Fixed – Retest Passed",OR(LEN(TRIM($O771))&gt;0,LEN(TRIM($P771))&gt;0))),"",IF(OR($W771="Failed",$R771="Urgent",$R771="High",$R771="ระบุ Severity + Impact"),IF(COUNTIFS(Dashboard!$B$105:$B$124,$O771,Dashboard!$I$105:$I$124,"CAB")&gt;0,"Accepted (CF)","Blocking"),"Deferrable"))</f>
        <v/>
      </c>
    </row>
    <row r="772" spans="7:26" x14ac:dyDescent="0.3">
      <c r="G772" s="27" t="str" cm="1">
        <f t="array" ref="G772">IF($A772="","",IFERROR(_xlfn.TEXTJOIN(CHAR(10)&amp;CHAR(10),TRUE,_xlfn._xlws.FILTER("•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"&amp;Cards!$L$4:$L$1000),(Cards!$A$4:$A$1000&lt;&gt;"")*ISNUMBER(SEARCH($A772,Cards!$E$4:$E$1000)))),"-"))</f>
        <v/>
      </c>
      <c r="Q772" s="30"/>
      <c r="R772" s="27" t="str">
        <f>IF(OR($A772="",LEN(TRIM($O772))=0),"",IF(OR($P772="",$Q772=""),"ระบุ Severity + Impact",IFERROR(INDEX({"Urgent","Urgent","High","High";"Urgent","High","High","Medium";"High","High","Medium","Medium";"Medium","Medium","Low","Low"},MATCH($P772,{"Critical","High","Medium","Low"},0),MATCH($Q772,{"Extensive","Significant","Moderate","Minor"},0)),"-")))</f>
        <v/>
      </c>
      <c r="S772" s="30"/>
      <c r="T772" s="30"/>
      <c r="W772" s="32" t="str">
        <f>IF($A772="","",IF(OR($M772="Out of Scope",$M772="Canceled"),"Out of Scope",IF($M772="Blocked","Blocked",IF(AND($T772&lt;&gt;"Fixed – Retest Passed",OR(LEN(TRIM($O772))&gt;0,LEN(TRIM($P772))&gt;0)),IF(AND(OR($L772="Medium",$L772="Low"),SUMPRODUCT((Cards!$A$4:$A$1000&lt;&gt;"")*ISNUMBER(SEARCH($A772,Cards!$E$4:$E$1000))*(Cards!$F$4:$F$1000&lt;&gt;"Medium")*(Cards!$F$4:$F$1000&lt;&gt;"Low"))=0),"Conditionally Passed","Failed"),IF($M772="Done","Passed","Not Run")))))</f>
        <v/>
      </c>
      <c r="Y772" s="27" t="str" cm="1">
        <f t="array" ref="Y772">IF($A772="","",IF(TRIM($B772)="","-",IFERROR(_xlfn.TEXTJOIN(" / ",TRUE,_xlfn.UNIQUE(_xlfn._xlws.FILTER('Ownership Matrix'!$C$5:$C$200,('Ownership Matrix'!$A$5:$A$200=TRIM($B772))*('Ownership Matrix'!$C$5:$C$200&lt;&gt;"")))),"ไม่พบใน Ownership Matrix")))</f>
        <v/>
      </c>
      <c r="Z772" s="31" t="str">
        <f>IF(NOT(AND($A772&lt;&gt;"",$M772&lt;&gt;"Out of Scope",$M772&lt;&gt;"Canceled",$T772&lt;&gt;"Fixed – Retest Passed",OR(LEN(TRIM($O772))&gt;0,LEN(TRIM($P772))&gt;0))),"",IF(OR($W772="Failed",$R772="Urgent",$R772="High",$R772="ระบุ Severity + Impact"),IF(COUNTIFS(Dashboard!$B$105:$B$124,$O772,Dashboard!$I$105:$I$124,"CAB")&gt;0,"Accepted (CF)","Blocking"),"Deferrable"))</f>
        <v/>
      </c>
    </row>
    <row r="773" spans="7:26" x14ac:dyDescent="0.3">
      <c r="G773" s="27" t="str" cm="1">
        <f t="array" ref="G773">IF($A773="","",IFERROR(_xlfn.TEXTJOIN(CHAR(10)&amp;CHAR(10),TRUE,_xlfn._xlws.FILTER("•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"&amp;Cards!$L$4:$L$1000),(Cards!$A$4:$A$1000&lt;&gt;"")*ISNUMBER(SEARCH($A773,Cards!$E$4:$E$1000)))),"-"))</f>
        <v/>
      </c>
      <c r="Q773" s="30"/>
      <c r="R773" s="27" t="str">
        <f>IF(OR($A773="",LEN(TRIM($O773))=0),"",IF(OR($P773="",$Q773=""),"ระบุ Severity + Impact",IFERROR(INDEX({"Urgent","Urgent","High","High";"Urgent","High","High","Medium";"High","High","Medium","Medium";"Medium","Medium","Low","Low"},MATCH($P773,{"Critical","High","Medium","Low"},0),MATCH($Q773,{"Extensive","Significant","Moderate","Minor"},0)),"-")))</f>
        <v/>
      </c>
      <c r="S773" s="30"/>
      <c r="T773" s="30"/>
      <c r="W773" s="32" t="str">
        <f>IF($A773="","",IF(OR($M773="Out of Scope",$M773="Canceled"),"Out of Scope",IF($M773="Blocked","Blocked",IF(AND($T773&lt;&gt;"Fixed – Retest Passed",OR(LEN(TRIM($O773))&gt;0,LEN(TRIM($P773))&gt;0)),IF(AND(OR($L773="Medium",$L773="Low"),SUMPRODUCT((Cards!$A$4:$A$1000&lt;&gt;"")*ISNUMBER(SEARCH($A773,Cards!$E$4:$E$1000))*(Cards!$F$4:$F$1000&lt;&gt;"Medium")*(Cards!$F$4:$F$1000&lt;&gt;"Low"))=0),"Conditionally Passed","Failed"),IF($M773="Done","Passed","Not Run")))))</f>
        <v/>
      </c>
      <c r="Y773" s="27" t="str" cm="1">
        <f t="array" ref="Y773">IF($A773="","",IF(TRIM($B773)="","-",IFERROR(_xlfn.TEXTJOIN(" / ",TRUE,_xlfn.UNIQUE(_xlfn._xlws.FILTER('Ownership Matrix'!$C$5:$C$200,('Ownership Matrix'!$A$5:$A$200=TRIM($B773))*('Ownership Matrix'!$C$5:$C$200&lt;&gt;"")))),"ไม่พบใน Ownership Matrix")))</f>
        <v/>
      </c>
      <c r="Z773" s="31" t="str">
        <f>IF(NOT(AND($A773&lt;&gt;"",$M773&lt;&gt;"Out of Scope",$M773&lt;&gt;"Canceled",$T773&lt;&gt;"Fixed – Retest Passed",OR(LEN(TRIM($O773))&gt;0,LEN(TRIM($P773))&gt;0))),"",IF(OR($W773="Failed",$R773="Urgent",$R773="High",$R773="ระบุ Severity + Impact"),IF(COUNTIFS(Dashboard!$B$105:$B$124,$O773,Dashboard!$I$105:$I$124,"CAB")&gt;0,"Accepted (CF)","Blocking"),"Deferrable"))</f>
        <v/>
      </c>
    </row>
    <row r="774" spans="7:26" x14ac:dyDescent="0.3">
      <c r="G774" s="27" t="str" cm="1">
        <f t="array" ref="G774">IF($A774="","",IFERROR(_xlfn.TEXTJOIN(CHAR(10)&amp;CHAR(10),TRUE,_xlfn._xlws.FILTER("•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"&amp;Cards!$L$4:$L$1000),(Cards!$A$4:$A$1000&lt;&gt;"")*ISNUMBER(SEARCH($A774,Cards!$E$4:$E$1000)))),"-"))</f>
        <v/>
      </c>
      <c r="Q774" s="30"/>
      <c r="R774" s="27" t="str">
        <f>IF(OR($A774="",LEN(TRIM($O774))=0),"",IF(OR($P774="",$Q774=""),"ระบุ Severity + Impact",IFERROR(INDEX({"Urgent","Urgent","High","High";"Urgent","High","High","Medium";"High","High","Medium","Medium";"Medium","Medium","Low","Low"},MATCH($P774,{"Critical","High","Medium","Low"},0),MATCH($Q774,{"Extensive","Significant","Moderate","Minor"},0)),"-")))</f>
        <v/>
      </c>
      <c r="S774" s="30"/>
      <c r="T774" s="30"/>
      <c r="W774" s="32" t="str">
        <f>IF($A774="","",IF(OR($M774="Out of Scope",$M774="Canceled"),"Out of Scope",IF($M774="Blocked","Blocked",IF(AND($T774&lt;&gt;"Fixed – Retest Passed",OR(LEN(TRIM($O774))&gt;0,LEN(TRIM($P774))&gt;0)),IF(AND(OR($L774="Medium",$L774="Low"),SUMPRODUCT((Cards!$A$4:$A$1000&lt;&gt;"")*ISNUMBER(SEARCH($A774,Cards!$E$4:$E$1000))*(Cards!$F$4:$F$1000&lt;&gt;"Medium")*(Cards!$F$4:$F$1000&lt;&gt;"Low"))=0),"Conditionally Passed","Failed"),IF($M774="Done","Passed","Not Run")))))</f>
        <v/>
      </c>
      <c r="Y774" s="27" t="str" cm="1">
        <f t="array" ref="Y774">IF($A774="","",IF(TRIM($B774)="","-",IFERROR(_xlfn.TEXTJOIN(" / ",TRUE,_xlfn.UNIQUE(_xlfn._xlws.FILTER('Ownership Matrix'!$C$5:$C$200,('Ownership Matrix'!$A$5:$A$200=TRIM($B774))*('Ownership Matrix'!$C$5:$C$200&lt;&gt;"")))),"ไม่พบใน Ownership Matrix")))</f>
        <v/>
      </c>
      <c r="Z774" s="31" t="str">
        <f>IF(NOT(AND($A774&lt;&gt;"",$M774&lt;&gt;"Out of Scope",$M774&lt;&gt;"Canceled",$T774&lt;&gt;"Fixed – Retest Passed",OR(LEN(TRIM($O774))&gt;0,LEN(TRIM($P774))&gt;0))),"",IF(OR($W774="Failed",$R774="Urgent",$R774="High",$R774="ระบุ Severity + Impact"),IF(COUNTIFS(Dashboard!$B$105:$B$124,$O774,Dashboard!$I$105:$I$124,"CAB")&gt;0,"Accepted (CF)","Blocking"),"Deferrable"))</f>
        <v/>
      </c>
    </row>
    <row r="775" spans="7:26" x14ac:dyDescent="0.3">
      <c r="G775" s="27" t="str" cm="1">
        <f t="array" ref="G775">IF($A775="","",IFERROR(_xlfn.TEXTJOIN(CHAR(10)&amp;CHAR(10),TRUE,_xlfn._xlws.FILTER("•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"&amp;Cards!$L$4:$L$1000),(Cards!$A$4:$A$1000&lt;&gt;"")*ISNUMBER(SEARCH($A775,Cards!$E$4:$E$1000)))),"-"))</f>
        <v/>
      </c>
      <c r="Q775" s="30"/>
      <c r="R775" s="27" t="str">
        <f>IF(OR($A775="",LEN(TRIM($O775))=0),"",IF(OR($P775="",$Q775=""),"ระบุ Severity + Impact",IFERROR(INDEX({"Urgent","Urgent","High","High";"Urgent","High","High","Medium";"High","High","Medium","Medium";"Medium","Medium","Low","Low"},MATCH($P775,{"Critical","High","Medium","Low"},0),MATCH($Q775,{"Extensive","Significant","Moderate","Minor"},0)),"-")))</f>
        <v/>
      </c>
      <c r="S775" s="30"/>
      <c r="T775" s="30"/>
      <c r="W775" s="32" t="str">
        <f>IF($A775="","",IF(OR($M775="Out of Scope",$M775="Canceled"),"Out of Scope",IF($M775="Blocked","Blocked",IF(AND($T775&lt;&gt;"Fixed – Retest Passed",OR(LEN(TRIM($O775))&gt;0,LEN(TRIM($P775))&gt;0)),IF(AND(OR($L775="Medium",$L775="Low"),SUMPRODUCT((Cards!$A$4:$A$1000&lt;&gt;"")*ISNUMBER(SEARCH($A775,Cards!$E$4:$E$1000))*(Cards!$F$4:$F$1000&lt;&gt;"Medium")*(Cards!$F$4:$F$1000&lt;&gt;"Low"))=0),"Conditionally Passed","Failed"),IF($M775="Done","Passed","Not Run")))))</f>
        <v/>
      </c>
      <c r="Y775" s="27" t="str" cm="1">
        <f t="array" ref="Y775">IF($A775="","",IF(TRIM($B775)="","-",IFERROR(_xlfn.TEXTJOIN(" / ",TRUE,_xlfn.UNIQUE(_xlfn._xlws.FILTER('Ownership Matrix'!$C$5:$C$200,('Ownership Matrix'!$A$5:$A$200=TRIM($B775))*('Ownership Matrix'!$C$5:$C$200&lt;&gt;"")))),"ไม่พบใน Ownership Matrix")))</f>
        <v/>
      </c>
      <c r="Z775" s="31" t="str">
        <f>IF(NOT(AND($A775&lt;&gt;"",$M775&lt;&gt;"Out of Scope",$M775&lt;&gt;"Canceled",$T775&lt;&gt;"Fixed – Retest Passed",OR(LEN(TRIM($O775))&gt;0,LEN(TRIM($P775))&gt;0))),"",IF(OR($W775="Failed",$R775="Urgent",$R775="High",$R775="ระบุ Severity + Impact"),IF(COUNTIFS(Dashboard!$B$105:$B$124,$O775,Dashboard!$I$105:$I$124,"CAB")&gt;0,"Accepted (CF)","Blocking"),"Deferrable"))</f>
        <v/>
      </c>
    </row>
    <row r="776" spans="7:26" x14ac:dyDescent="0.3">
      <c r="G776" s="27" t="str" cm="1">
        <f t="array" ref="G776">IF($A776="","",IFERROR(_xlfn.TEXTJOIN(CHAR(10)&amp;CHAR(10),TRUE,_xlfn._xlws.FILTER("•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"&amp;Cards!$L$4:$L$1000),(Cards!$A$4:$A$1000&lt;&gt;"")*ISNUMBER(SEARCH($A776,Cards!$E$4:$E$1000)))),"-"))</f>
        <v/>
      </c>
      <c r="Q776" s="30"/>
      <c r="R776" s="27" t="str">
        <f>IF(OR($A776="",LEN(TRIM($O776))=0),"",IF(OR($P776="",$Q776=""),"ระบุ Severity + Impact",IFERROR(INDEX({"Urgent","Urgent","High","High";"Urgent","High","High","Medium";"High","High","Medium","Medium";"Medium","Medium","Low","Low"},MATCH($P776,{"Critical","High","Medium","Low"},0),MATCH($Q776,{"Extensive","Significant","Moderate","Minor"},0)),"-")))</f>
        <v/>
      </c>
      <c r="S776" s="30"/>
      <c r="T776" s="30"/>
      <c r="W776" s="32" t="str">
        <f>IF($A776="","",IF(OR($M776="Out of Scope",$M776="Canceled"),"Out of Scope",IF($M776="Blocked","Blocked",IF(AND($T776&lt;&gt;"Fixed – Retest Passed",OR(LEN(TRIM($O776))&gt;0,LEN(TRIM($P776))&gt;0)),IF(AND(OR($L776="Medium",$L776="Low"),SUMPRODUCT((Cards!$A$4:$A$1000&lt;&gt;"")*ISNUMBER(SEARCH($A776,Cards!$E$4:$E$1000))*(Cards!$F$4:$F$1000&lt;&gt;"Medium")*(Cards!$F$4:$F$1000&lt;&gt;"Low"))=0),"Conditionally Passed","Failed"),IF($M776="Done","Passed","Not Run")))))</f>
        <v/>
      </c>
      <c r="Y776" s="27" t="str" cm="1">
        <f t="array" ref="Y776">IF($A776="","",IF(TRIM($B776)="","-",IFERROR(_xlfn.TEXTJOIN(" / ",TRUE,_xlfn.UNIQUE(_xlfn._xlws.FILTER('Ownership Matrix'!$C$5:$C$200,('Ownership Matrix'!$A$5:$A$200=TRIM($B776))*('Ownership Matrix'!$C$5:$C$200&lt;&gt;"")))),"ไม่พบใน Ownership Matrix")))</f>
        <v/>
      </c>
      <c r="Z776" s="31" t="str">
        <f>IF(NOT(AND($A776&lt;&gt;"",$M776&lt;&gt;"Out of Scope",$M776&lt;&gt;"Canceled",$T776&lt;&gt;"Fixed – Retest Passed",OR(LEN(TRIM($O776))&gt;0,LEN(TRIM($P776))&gt;0))),"",IF(OR($W776="Failed",$R776="Urgent",$R776="High",$R776="ระบุ Severity + Impact"),IF(COUNTIFS(Dashboard!$B$105:$B$124,$O776,Dashboard!$I$105:$I$124,"CAB")&gt;0,"Accepted (CF)","Blocking"),"Deferrable"))</f>
        <v/>
      </c>
    </row>
    <row r="777" spans="7:26" x14ac:dyDescent="0.3">
      <c r="G777" s="27" t="str" cm="1">
        <f t="array" ref="G777">IF($A777="","",IFERROR(_xlfn.TEXTJOIN(CHAR(10)&amp;CHAR(10),TRUE,_xlfn._xlws.FILTER("•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"&amp;Cards!$L$4:$L$1000),(Cards!$A$4:$A$1000&lt;&gt;"")*ISNUMBER(SEARCH($A777,Cards!$E$4:$E$1000)))),"-"))</f>
        <v/>
      </c>
      <c r="Q777" s="30"/>
      <c r="R777" s="27" t="str">
        <f>IF(OR($A777="",LEN(TRIM($O777))=0),"",IF(OR($P777="",$Q777=""),"ระบุ Severity + Impact",IFERROR(INDEX({"Urgent","Urgent","High","High";"Urgent","High","High","Medium";"High","High","Medium","Medium";"Medium","Medium","Low","Low"},MATCH($P777,{"Critical","High","Medium","Low"},0),MATCH($Q777,{"Extensive","Significant","Moderate","Minor"},0)),"-")))</f>
        <v/>
      </c>
      <c r="S777" s="30"/>
      <c r="T777" s="30"/>
      <c r="W777" s="32" t="str">
        <f>IF($A777="","",IF(OR($M777="Out of Scope",$M777="Canceled"),"Out of Scope",IF($M777="Blocked","Blocked",IF(AND($T777&lt;&gt;"Fixed – Retest Passed",OR(LEN(TRIM($O777))&gt;0,LEN(TRIM($P777))&gt;0)),IF(AND(OR($L777="Medium",$L777="Low"),SUMPRODUCT((Cards!$A$4:$A$1000&lt;&gt;"")*ISNUMBER(SEARCH($A777,Cards!$E$4:$E$1000))*(Cards!$F$4:$F$1000&lt;&gt;"Medium")*(Cards!$F$4:$F$1000&lt;&gt;"Low"))=0),"Conditionally Passed","Failed"),IF($M777="Done","Passed","Not Run")))))</f>
        <v/>
      </c>
      <c r="Y777" s="27" t="str" cm="1">
        <f t="array" ref="Y777">IF($A777="","",IF(TRIM($B777)="","-",IFERROR(_xlfn.TEXTJOIN(" / ",TRUE,_xlfn.UNIQUE(_xlfn._xlws.FILTER('Ownership Matrix'!$C$5:$C$200,('Ownership Matrix'!$A$5:$A$200=TRIM($B777))*('Ownership Matrix'!$C$5:$C$200&lt;&gt;"")))),"ไม่พบใน Ownership Matrix")))</f>
        <v/>
      </c>
      <c r="Z777" s="31" t="str">
        <f>IF(NOT(AND($A777&lt;&gt;"",$M777&lt;&gt;"Out of Scope",$M777&lt;&gt;"Canceled",$T777&lt;&gt;"Fixed – Retest Passed",OR(LEN(TRIM($O777))&gt;0,LEN(TRIM($P777))&gt;0))),"",IF(OR($W777="Failed",$R777="Urgent",$R777="High",$R777="ระบุ Severity + Impact"),IF(COUNTIFS(Dashboard!$B$105:$B$124,$O777,Dashboard!$I$105:$I$124,"CAB")&gt;0,"Accepted (CF)","Blocking"),"Deferrable"))</f>
        <v/>
      </c>
    </row>
    <row r="778" spans="7:26" x14ac:dyDescent="0.3">
      <c r="G778" s="27" t="str" cm="1">
        <f t="array" ref="G778">IF($A778="","",IFERROR(_xlfn.TEXTJOIN(CHAR(10)&amp;CHAR(10),TRUE,_xlfn._xlws.FILTER("•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"&amp;Cards!$L$4:$L$1000),(Cards!$A$4:$A$1000&lt;&gt;"")*ISNUMBER(SEARCH($A778,Cards!$E$4:$E$1000)))),"-"))</f>
        <v/>
      </c>
      <c r="Q778" s="30"/>
      <c r="R778" s="27" t="str">
        <f>IF(OR($A778="",LEN(TRIM($O778))=0),"",IF(OR($P778="",$Q778=""),"ระบุ Severity + Impact",IFERROR(INDEX({"Urgent","Urgent","High","High";"Urgent","High","High","Medium";"High","High","Medium","Medium";"Medium","Medium","Low","Low"},MATCH($P778,{"Critical","High","Medium","Low"},0),MATCH($Q778,{"Extensive","Significant","Moderate","Minor"},0)),"-")))</f>
        <v/>
      </c>
      <c r="S778" s="30"/>
      <c r="T778" s="30"/>
      <c r="W778" s="32" t="str">
        <f>IF($A778="","",IF(OR($M778="Out of Scope",$M778="Canceled"),"Out of Scope",IF($M778="Blocked","Blocked",IF(AND($T778&lt;&gt;"Fixed – Retest Passed",OR(LEN(TRIM($O778))&gt;0,LEN(TRIM($P778))&gt;0)),IF(AND(OR($L778="Medium",$L778="Low"),SUMPRODUCT((Cards!$A$4:$A$1000&lt;&gt;"")*ISNUMBER(SEARCH($A778,Cards!$E$4:$E$1000))*(Cards!$F$4:$F$1000&lt;&gt;"Medium")*(Cards!$F$4:$F$1000&lt;&gt;"Low"))=0),"Conditionally Passed","Failed"),IF($M778="Done","Passed","Not Run")))))</f>
        <v/>
      </c>
      <c r="Y778" s="27" t="str" cm="1">
        <f t="array" ref="Y778">IF($A778="","",IF(TRIM($B778)="","-",IFERROR(_xlfn.TEXTJOIN(" / ",TRUE,_xlfn.UNIQUE(_xlfn._xlws.FILTER('Ownership Matrix'!$C$5:$C$200,('Ownership Matrix'!$A$5:$A$200=TRIM($B778))*('Ownership Matrix'!$C$5:$C$200&lt;&gt;"")))),"ไม่พบใน Ownership Matrix")))</f>
        <v/>
      </c>
      <c r="Z778" s="31" t="str">
        <f>IF(NOT(AND($A778&lt;&gt;"",$M778&lt;&gt;"Out of Scope",$M778&lt;&gt;"Canceled",$T778&lt;&gt;"Fixed – Retest Passed",OR(LEN(TRIM($O778))&gt;0,LEN(TRIM($P778))&gt;0))),"",IF(OR($W778="Failed",$R778="Urgent",$R778="High",$R778="ระบุ Severity + Impact"),IF(COUNTIFS(Dashboard!$B$105:$B$124,$O778,Dashboard!$I$105:$I$124,"CAB")&gt;0,"Accepted (CF)","Blocking"),"Deferrable"))</f>
        <v/>
      </c>
    </row>
    <row r="779" spans="7:26" x14ac:dyDescent="0.3">
      <c r="G779" s="27" t="str" cm="1">
        <f t="array" ref="G779">IF($A779="","",IFERROR(_xlfn.TEXTJOIN(CHAR(10)&amp;CHAR(10),TRUE,_xlfn._xlws.FILTER("•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"&amp;Cards!$L$4:$L$1000),(Cards!$A$4:$A$1000&lt;&gt;"")*ISNUMBER(SEARCH($A779,Cards!$E$4:$E$1000)))),"-"))</f>
        <v/>
      </c>
      <c r="Q779" s="30"/>
      <c r="R779" s="27" t="str">
        <f>IF(OR($A779="",LEN(TRIM($O779))=0),"",IF(OR($P779="",$Q779=""),"ระบุ Severity + Impact",IFERROR(INDEX({"Urgent","Urgent","High","High";"Urgent","High","High","Medium";"High","High","Medium","Medium";"Medium","Medium","Low","Low"},MATCH($P779,{"Critical","High","Medium","Low"},0),MATCH($Q779,{"Extensive","Significant","Moderate","Minor"},0)),"-")))</f>
        <v/>
      </c>
      <c r="S779" s="30"/>
      <c r="T779" s="30"/>
      <c r="W779" s="32" t="str">
        <f>IF($A779="","",IF(OR($M779="Out of Scope",$M779="Canceled"),"Out of Scope",IF($M779="Blocked","Blocked",IF(AND($T779&lt;&gt;"Fixed – Retest Passed",OR(LEN(TRIM($O779))&gt;0,LEN(TRIM($P779))&gt;0)),IF(AND(OR($L779="Medium",$L779="Low"),SUMPRODUCT((Cards!$A$4:$A$1000&lt;&gt;"")*ISNUMBER(SEARCH($A779,Cards!$E$4:$E$1000))*(Cards!$F$4:$F$1000&lt;&gt;"Medium")*(Cards!$F$4:$F$1000&lt;&gt;"Low"))=0),"Conditionally Passed","Failed"),IF($M779="Done","Passed","Not Run")))))</f>
        <v/>
      </c>
      <c r="Y779" s="27" t="str" cm="1">
        <f t="array" ref="Y779">IF($A779="","",IF(TRIM($B779)="","-",IFERROR(_xlfn.TEXTJOIN(" / ",TRUE,_xlfn.UNIQUE(_xlfn._xlws.FILTER('Ownership Matrix'!$C$5:$C$200,('Ownership Matrix'!$A$5:$A$200=TRIM($B779))*('Ownership Matrix'!$C$5:$C$200&lt;&gt;"")))),"ไม่พบใน Ownership Matrix")))</f>
        <v/>
      </c>
      <c r="Z779" s="31" t="str">
        <f>IF(NOT(AND($A779&lt;&gt;"",$M779&lt;&gt;"Out of Scope",$M779&lt;&gt;"Canceled",$T779&lt;&gt;"Fixed – Retest Passed",OR(LEN(TRIM($O779))&gt;0,LEN(TRIM($P779))&gt;0))),"",IF(OR($W779="Failed",$R779="Urgent",$R779="High",$R779="ระบุ Severity + Impact"),IF(COUNTIFS(Dashboard!$B$105:$B$124,$O779,Dashboard!$I$105:$I$124,"CAB")&gt;0,"Accepted (CF)","Blocking"),"Deferrable"))</f>
        <v/>
      </c>
    </row>
    <row r="780" spans="7:26" x14ac:dyDescent="0.3">
      <c r="G780" s="27" t="str" cm="1">
        <f t="array" ref="G780">IF($A780="","",IFERROR(_xlfn.TEXTJOIN(CHAR(10)&amp;CHAR(10),TRUE,_xlfn._xlws.FILTER("•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"&amp;Cards!$L$4:$L$1000),(Cards!$A$4:$A$1000&lt;&gt;"")*ISNUMBER(SEARCH($A780,Cards!$E$4:$E$1000)))),"-"))</f>
        <v/>
      </c>
      <c r="Q780" s="30"/>
      <c r="R780" s="27" t="str">
        <f>IF(OR($A780="",LEN(TRIM($O780))=0),"",IF(OR($P780="",$Q780=""),"ระบุ Severity + Impact",IFERROR(INDEX({"Urgent","Urgent","High","High";"Urgent","High","High","Medium";"High","High","Medium","Medium";"Medium","Medium","Low","Low"},MATCH($P780,{"Critical","High","Medium","Low"},0),MATCH($Q780,{"Extensive","Significant","Moderate","Minor"},0)),"-")))</f>
        <v/>
      </c>
      <c r="S780" s="30"/>
      <c r="T780" s="30"/>
      <c r="W780" s="32" t="str">
        <f>IF($A780="","",IF(OR($M780="Out of Scope",$M780="Canceled"),"Out of Scope",IF($M780="Blocked","Blocked",IF(AND($T780&lt;&gt;"Fixed – Retest Passed",OR(LEN(TRIM($O780))&gt;0,LEN(TRIM($P780))&gt;0)),IF(AND(OR($L780="Medium",$L780="Low"),SUMPRODUCT((Cards!$A$4:$A$1000&lt;&gt;"")*ISNUMBER(SEARCH($A780,Cards!$E$4:$E$1000))*(Cards!$F$4:$F$1000&lt;&gt;"Medium")*(Cards!$F$4:$F$1000&lt;&gt;"Low"))=0),"Conditionally Passed","Failed"),IF($M780="Done","Passed","Not Run")))))</f>
        <v/>
      </c>
      <c r="Y780" s="27" t="str" cm="1">
        <f t="array" ref="Y780">IF($A780="","",IF(TRIM($B780)="","-",IFERROR(_xlfn.TEXTJOIN(" / ",TRUE,_xlfn.UNIQUE(_xlfn._xlws.FILTER('Ownership Matrix'!$C$5:$C$200,('Ownership Matrix'!$A$5:$A$200=TRIM($B780))*('Ownership Matrix'!$C$5:$C$200&lt;&gt;"")))),"ไม่พบใน Ownership Matrix")))</f>
        <v/>
      </c>
      <c r="Z780" s="31" t="str">
        <f>IF(NOT(AND($A780&lt;&gt;"",$M780&lt;&gt;"Out of Scope",$M780&lt;&gt;"Canceled",$T780&lt;&gt;"Fixed – Retest Passed",OR(LEN(TRIM($O780))&gt;0,LEN(TRIM($P780))&gt;0))),"",IF(OR($W780="Failed",$R780="Urgent",$R780="High",$R780="ระบุ Severity + Impact"),IF(COUNTIFS(Dashboard!$B$105:$B$124,$O780,Dashboard!$I$105:$I$124,"CAB")&gt;0,"Accepted (CF)","Blocking"),"Deferrable"))</f>
        <v/>
      </c>
    </row>
    <row r="781" spans="7:26" x14ac:dyDescent="0.3">
      <c r="G781" s="27" t="str" cm="1">
        <f t="array" ref="G781">IF($A781="","",IFERROR(_xlfn.TEXTJOIN(CHAR(10)&amp;CHAR(10),TRUE,_xlfn._xlws.FILTER("•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"&amp;Cards!$L$4:$L$1000),(Cards!$A$4:$A$1000&lt;&gt;"")*ISNUMBER(SEARCH($A781,Cards!$E$4:$E$1000)))),"-"))</f>
        <v/>
      </c>
      <c r="Q781" s="30"/>
      <c r="R781" s="27" t="str">
        <f>IF(OR($A781="",LEN(TRIM($O781))=0),"",IF(OR($P781="",$Q781=""),"ระบุ Severity + Impact",IFERROR(INDEX({"Urgent","Urgent","High","High";"Urgent","High","High","Medium";"High","High","Medium","Medium";"Medium","Medium","Low","Low"},MATCH($P781,{"Critical","High","Medium","Low"},0),MATCH($Q781,{"Extensive","Significant","Moderate","Minor"},0)),"-")))</f>
        <v/>
      </c>
      <c r="S781" s="30"/>
      <c r="T781" s="30"/>
      <c r="W781" s="32" t="str">
        <f>IF($A781="","",IF(OR($M781="Out of Scope",$M781="Canceled"),"Out of Scope",IF($M781="Blocked","Blocked",IF(AND($T781&lt;&gt;"Fixed – Retest Passed",OR(LEN(TRIM($O781))&gt;0,LEN(TRIM($P781))&gt;0)),IF(AND(OR($L781="Medium",$L781="Low"),SUMPRODUCT((Cards!$A$4:$A$1000&lt;&gt;"")*ISNUMBER(SEARCH($A781,Cards!$E$4:$E$1000))*(Cards!$F$4:$F$1000&lt;&gt;"Medium")*(Cards!$F$4:$F$1000&lt;&gt;"Low"))=0),"Conditionally Passed","Failed"),IF($M781="Done","Passed","Not Run")))))</f>
        <v/>
      </c>
      <c r="Y781" s="27" t="str" cm="1">
        <f t="array" ref="Y781">IF($A781="","",IF(TRIM($B781)="","-",IFERROR(_xlfn.TEXTJOIN(" / ",TRUE,_xlfn.UNIQUE(_xlfn._xlws.FILTER('Ownership Matrix'!$C$5:$C$200,('Ownership Matrix'!$A$5:$A$200=TRIM($B781))*('Ownership Matrix'!$C$5:$C$200&lt;&gt;"")))),"ไม่พบใน Ownership Matrix")))</f>
        <v/>
      </c>
      <c r="Z781" s="31" t="str">
        <f>IF(NOT(AND($A781&lt;&gt;"",$M781&lt;&gt;"Out of Scope",$M781&lt;&gt;"Canceled",$T781&lt;&gt;"Fixed – Retest Passed",OR(LEN(TRIM($O781))&gt;0,LEN(TRIM($P781))&gt;0))),"",IF(OR($W781="Failed",$R781="Urgent",$R781="High",$R781="ระบุ Severity + Impact"),IF(COUNTIFS(Dashboard!$B$105:$B$124,$O781,Dashboard!$I$105:$I$124,"CAB")&gt;0,"Accepted (CF)","Blocking"),"Deferrable"))</f>
        <v/>
      </c>
    </row>
    <row r="782" spans="7:26" x14ac:dyDescent="0.3">
      <c r="G782" s="27" t="str" cm="1">
        <f t="array" ref="G782">IF($A782="","",IFERROR(_xlfn.TEXTJOIN(CHAR(10)&amp;CHAR(10),TRUE,_xlfn._xlws.FILTER("•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"&amp;Cards!$L$4:$L$1000),(Cards!$A$4:$A$1000&lt;&gt;"")*ISNUMBER(SEARCH($A782,Cards!$E$4:$E$1000)))),"-"))</f>
        <v/>
      </c>
      <c r="Q782" s="30"/>
      <c r="R782" s="27" t="str">
        <f>IF(OR($A782="",LEN(TRIM($O782))=0),"",IF(OR($P782="",$Q782=""),"ระบุ Severity + Impact",IFERROR(INDEX({"Urgent","Urgent","High","High";"Urgent","High","High","Medium";"High","High","Medium","Medium";"Medium","Medium","Low","Low"},MATCH($P782,{"Critical","High","Medium","Low"},0),MATCH($Q782,{"Extensive","Significant","Moderate","Minor"},0)),"-")))</f>
        <v/>
      </c>
      <c r="S782" s="30"/>
      <c r="T782" s="30"/>
      <c r="W782" s="32" t="str">
        <f>IF($A782="","",IF(OR($M782="Out of Scope",$M782="Canceled"),"Out of Scope",IF($M782="Blocked","Blocked",IF(AND($T782&lt;&gt;"Fixed – Retest Passed",OR(LEN(TRIM($O782))&gt;0,LEN(TRIM($P782))&gt;0)),IF(AND(OR($L782="Medium",$L782="Low"),SUMPRODUCT((Cards!$A$4:$A$1000&lt;&gt;"")*ISNUMBER(SEARCH($A782,Cards!$E$4:$E$1000))*(Cards!$F$4:$F$1000&lt;&gt;"Medium")*(Cards!$F$4:$F$1000&lt;&gt;"Low"))=0),"Conditionally Passed","Failed"),IF($M782="Done","Passed","Not Run")))))</f>
        <v/>
      </c>
      <c r="Y782" s="27" t="str" cm="1">
        <f t="array" ref="Y782">IF($A782="","",IF(TRIM($B782)="","-",IFERROR(_xlfn.TEXTJOIN(" / ",TRUE,_xlfn.UNIQUE(_xlfn._xlws.FILTER('Ownership Matrix'!$C$5:$C$200,('Ownership Matrix'!$A$5:$A$200=TRIM($B782))*('Ownership Matrix'!$C$5:$C$200&lt;&gt;"")))),"ไม่พบใน Ownership Matrix")))</f>
        <v/>
      </c>
      <c r="Z782" s="31" t="str">
        <f>IF(NOT(AND($A782&lt;&gt;"",$M782&lt;&gt;"Out of Scope",$M782&lt;&gt;"Canceled",$T782&lt;&gt;"Fixed – Retest Passed",OR(LEN(TRIM($O782))&gt;0,LEN(TRIM($P782))&gt;0))),"",IF(OR($W782="Failed",$R782="Urgent",$R782="High",$R782="ระบุ Severity + Impact"),IF(COUNTIFS(Dashboard!$B$105:$B$124,$O782,Dashboard!$I$105:$I$124,"CAB")&gt;0,"Accepted (CF)","Blocking"),"Deferrable"))</f>
        <v/>
      </c>
    </row>
    <row r="783" spans="7:26" x14ac:dyDescent="0.3">
      <c r="G783" s="27" t="str" cm="1">
        <f t="array" ref="G783">IF($A783="","",IFERROR(_xlfn.TEXTJOIN(CHAR(10)&amp;CHAR(10),TRUE,_xlfn._xlws.FILTER("•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"&amp;Cards!$L$4:$L$1000),(Cards!$A$4:$A$1000&lt;&gt;"")*ISNUMBER(SEARCH($A783,Cards!$E$4:$E$1000)))),"-"))</f>
        <v/>
      </c>
      <c r="Q783" s="30"/>
      <c r="R783" s="27" t="str">
        <f>IF(OR($A783="",LEN(TRIM($O783))=0),"",IF(OR($P783="",$Q783=""),"ระบุ Severity + Impact",IFERROR(INDEX({"Urgent","Urgent","High","High";"Urgent","High","High","Medium";"High","High","Medium","Medium";"Medium","Medium","Low","Low"},MATCH($P783,{"Critical","High","Medium","Low"},0),MATCH($Q783,{"Extensive","Significant","Moderate","Minor"},0)),"-")))</f>
        <v/>
      </c>
      <c r="S783" s="30"/>
      <c r="T783" s="30"/>
      <c r="W783" s="32" t="str">
        <f>IF($A783="","",IF(OR($M783="Out of Scope",$M783="Canceled"),"Out of Scope",IF($M783="Blocked","Blocked",IF(AND($T783&lt;&gt;"Fixed – Retest Passed",OR(LEN(TRIM($O783))&gt;0,LEN(TRIM($P783))&gt;0)),IF(AND(OR($L783="Medium",$L783="Low"),SUMPRODUCT((Cards!$A$4:$A$1000&lt;&gt;"")*ISNUMBER(SEARCH($A783,Cards!$E$4:$E$1000))*(Cards!$F$4:$F$1000&lt;&gt;"Medium")*(Cards!$F$4:$F$1000&lt;&gt;"Low"))=0),"Conditionally Passed","Failed"),IF($M783="Done","Passed","Not Run")))))</f>
        <v/>
      </c>
      <c r="Y783" s="27" t="str" cm="1">
        <f t="array" ref="Y783">IF($A783="","",IF(TRIM($B783)="","-",IFERROR(_xlfn.TEXTJOIN(" / ",TRUE,_xlfn.UNIQUE(_xlfn._xlws.FILTER('Ownership Matrix'!$C$5:$C$200,('Ownership Matrix'!$A$5:$A$200=TRIM($B783))*('Ownership Matrix'!$C$5:$C$200&lt;&gt;"")))),"ไม่พบใน Ownership Matrix")))</f>
        <v/>
      </c>
      <c r="Z783" s="31" t="str">
        <f>IF(NOT(AND($A783&lt;&gt;"",$M783&lt;&gt;"Out of Scope",$M783&lt;&gt;"Canceled",$T783&lt;&gt;"Fixed – Retest Passed",OR(LEN(TRIM($O783))&gt;0,LEN(TRIM($P783))&gt;0))),"",IF(OR($W783="Failed",$R783="Urgent",$R783="High",$R783="ระบุ Severity + Impact"),IF(COUNTIFS(Dashboard!$B$105:$B$124,$O783,Dashboard!$I$105:$I$124,"CAB")&gt;0,"Accepted (CF)","Blocking"),"Deferrable"))</f>
        <v/>
      </c>
    </row>
    <row r="784" spans="7:26" x14ac:dyDescent="0.3">
      <c r="G784" s="27" t="str" cm="1">
        <f t="array" ref="G784">IF($A784="","",IFERROR(_xlfn.TEXTJOIN(CHAR(10)&amp;CHAR(10),TRUE,_xlfn._xlws.FILTER("•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"&amp;Cards!$L$4:$L$1000),(Cards!$A$4:$A$1000&lt;&gt;"")*ISNUMBER(SEARCH($A784,Cards!$E$4:$E$1000)))),"-"))</f>
        <v/>
      </c>
      <c r="Q784" s="30"/>
      <c r="R784" s="27" t="str">
        <f>IF(OR($A784="",LEN(TRIM($O784))=0),"",IF(OR($P784="",$Q784=""),"ระบุ Severity + Impact",IFERROR(INDEX({"Urgent","Urgent","High","High";"Urgent","High","High","Medium";"High","High","Medium","Medium";"Medium","Medium","Low","Low"},MATCH($P784,{"Critical","High","Medium","Low"},0),MATCH($Q784,{"Extensive","Significant","Moderate","Minor"},0)),"-")))</f>
        <v/>
      </c>
      <c r="S784" s="30"/>
      <c r="T784" s="30"/>
      <c r="W784" s="32" t="str">
        <f>IF($A784="","",IF(OR($M784="Out of Scope",$M784="Canceled"),"Out of Scope",IF($M784="Blocked","Blocked",IF(AND($T784&lt;&gt;"Fixed – Retest Passed",OR(LEN(TRIM($O784))&gt;0,LEN(TRIM($P784))&gt;0)),IF(AND(OR($L784="Medium",$L784="Low"),SUMPRODUCT((Cards!$A$4:$A$1000&lt;&gt;"")*ISNUMBER(SEARCH($A784,Cards!$E$4:$E$1000))*(Cards!$F$4:$F$1000&lt;&gt;"Medium")*(Cards!$F$4:$F$1000&lt;&gt;"Low"))=0),"Conditionally Passed","Failed"),IF($M784="Done","Passed","Not Run")))))</f>
        <v/>
      </c>
      <c r="Y784" s="27" t="str" cm="1">
        <f t="array" ref="Y784">IF($A784="","",IF(TRIM($B784)="","-",IFERROR(_xlfn.TEXTJOIN(" / ",TRUE,_xlfn.UNIQUE(_xlfn._xlws.FILTER('Ownership Matrix'!$C$5:$C$200,('Ownership Matrix'!$A$5:$A$200=TRIM($B784))*('Ownership Matrix'!$C$5:$C$200&lt;&gt;"")))),"ไม่พบใน Ownership Matrix")))</f>
        <v/>
      </c>
      <c r="Z784" s="31" t="str">
        <f>IF(NOT(AND($A784&lt;&gt;"",$M784&lt;&gt;"Out of Scope",$M784&lt;&gt;"Canceled",$T784&lt;&gt;"Fixed – Retest Passed",OR(LEN(TRIM($O784))&gt;0,LEN(TRIM($P784))&gt;0))),"",IF(OR($W784="Failed",$R784="Urgent",$R784="High",$R784="ระบุ Severity + Impact"),IF(COUNTIFS(Dashboard!$B$105:$B$124,$O784,Dashboard!$I$105:$I$124,"CAB")&gt;0,"Accepted (CF)","Blocking"),"Deferrable"))</f>
        <v/>
      </c>
    </row>
    <row r="785" spans="7:26" x14ac:dyDescent="0.3">
      <c r="G785" s="27" t="str" cm="1">
        <f t="array" ref="G785">IF($A785="","",IFERROR(_xlfn.TEXTJOIN(CHAR(10)&amp;CHAR(10),TRUE,_xlfn._xlws.FILTER("•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"&amp;Cards!$L$4:$L$1000),(Cards!$A$4:$A$1000&lt;&gt;"")*ISNUMBER(SEARCH($A785,Cards!$E$4:$E$1000)))),"-"))</f>
        <v/>
      </c>
      <c r="Q785" s="30"/>
      <c r="R785" s="27" t="str">
        <f>IF(OR($A785="",LEN(TRIM($O785))=0),"",IF(OR($P785="",$Q785=""),"ระบุ Severity + Impact",IFERROR(INDEX({"Urgent","Urgent","High","High";"Urgent","High","High","Medium";"High","High","Medium","Medium";"Medium","Medium","Low","Low"},MATCH($P785,{"Critical","High","Medium","Low"},0),MATCH($Q785,{"Extensive","Significant","Moderate","Minor"},0)),"-")))</f>
        <v/>
      </c>
      <c r="S785" s="30"/>
      <c r="T785" s="30"/>
      <c r="W785" s="32" t="str">
        <f>IF($A785="","",IF(OR($M785="Out of Scope",$M785="Canceled"),"Out of Scope",IF($M785="Blocked","Blocked",IF(AND($T785&lt;&gt;"Fixed – Retest Passed",OR(LEN(TRIM($O785))&gt;0,LEN(TRIM($P785))&gt;0)),IF(AND(OR($L785="Medium",$L785="Low"),SUMPRODUCT((Cards!$A$4:$A$1000&lt;&gt;"")*ISNUMBER(SEARCH($A785,Cards!$E$4:$E$1000))*(Cards!$F$4:$F$1000&lt;&gt;"Medium")*(Cards!$F$4:$F$1000&lt;&gt;"Low"))=0),"Conditionally Passed","Failed"),IF($M785="Done","Passed","Not Run")))))</f>
        <v/>
      </c>
      <c r="Y785" s="27" t="str" cm="1">
        <f t="array" ref="Y785">IF($A785="","",IF(TRIM($B785)="","-",IFERROR(_xlfn.TEXTJOIN(" / ",TRUE,_xlfn.UNIQUE(_xlfn._xlws.FILTER('Ownership Matrix'!$C$5:$C$200,('Ownership Matrix'!$A$5:$A$200=TRIM($B785))*('Ownership Matrix'!$C$5:$C$200&lt;&gt;"")))),"ไม่พบใน Ownership Matrix")))</f>
        <v/>
      </c>
      <c r="Z785" s="31" t="str">
        <f>IF(NOT(AND($A785&lt;&gt;"",$M785&lt;&gt;"Out of Scope",$M785&lt;&gt;"Canceled",$T785&lt;&gt;"Fixed – Retest Passed",OR(LEN(TRIM($O785))&gt;0,LEN(TRIM($P785))&gt;0))),"",IF(OR($W785="Failed",$R785="Urgent",$R785="High",$R785="ระบุ Severity + Impact"),IF(COUNTIFS(Dashboard!$B$105:$B$124,$O785,Dashboard!$I$105:$I$124,"CAB")&gt;0,"Accepted (CF)","Blocking"),"Deferrable"))</f>
        <v/>
      </c>
    </row>
    <row r="786" spans="7:26" x14ac:dyDescent="0.3">
      <c r="G786" s="27" t="str" cm="1">
        <f t="array" ref="G786">IF($A786="","",IFERROR(_xlfn.TEXTJOIN(CHAR(10)&amp;CHAR(10),TRUE,_xlfn._xlws.FILTER("•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"&amp;Cards!$L$4:$L$1000),(Cards!$A$4:$A$1000&lt;&gt;"")*ISNUMBER(SEARCH($A786,Cards!$E$4:$E$1000)))),"-"))</f>
        <v/>
      </c>
      <c r="Q786" s="30"/>
      <c r="R786" s="27" t="str">
        <f>IF(OR($A786="",LEN(TRIM($O786))=0),"",IF(OR($P786="",$Q786=""),"ระบุ Severity + Impact",IFERROR(INDEX({"Urgent","Urgent","High","High";"Urgent","High","High","Medium";"High","High","Medium","Medium";"Medium","Medium","Low","Low"},MATCH($P786,{"Critical","High","Medium","Low"},0),MATCH($Q786,{"Extensive","Significant","Moderate","Minor"},0)),"-")))</f>
        <v/>
      </c>
      <c r="S786" s="30"/>
      <c r="T786" s="30"/>
      <c r="W786" s="32" t="str">
        <f>IF($A786="","",IF(OR($M786="Out of Scope",$M786="Canceled"),"Out of Scope",IF($M786="Blocked","Blocked",IF(AND($T786&lt;&gt;"Fixed – Retest Passed",OR(LEN(TRIM($O786))&gt;0,LEN(TRIM($P786))&gt;0)),IF(AND(OR($L786="Medium",$L786="Low"),SUMPRODUCT((Cards!$A$4:$A$1000&lt;&gt;"")*ISNUMBER(SEARCH($A786,Cards!$E$4:$E$1000))*(Cards!$F$4:$F$1000&lt;&gt;"Medium")*(Cards!$F$4:$F$1000&lt;&gt;"Low"))=0),"Conditionally Passed","Failed"),IF($M786="Done","Passed","Not Run")))))</f>
        <v/>
      </c>
      <c r="Y786" s="27" t="str" cm="1">
        <f t="array" ref="Y786">IF($A786="","",IF(TRIM($B786)="","-",IFERROR(_xlfn.TEXTJOIN(" / ",TRUE,_xlfn.UNIQUE(_xlfn._xlws.FILTER('Ownership Matrix'!$C$5:$C$200,('Ownership Matrix'!$A$5:$A$200=TRIM($B786))*('Ownership Matrix'!$C$5:$C$200&lt;&gt;"")))),"ไม่พบใน Ownership Matrix")))</f>
        <v/>
      </c>
      <c r="Z786" s="31" t="str">
        <f>IF(NOT(AND($A786&lt;&gt;"",$M786&lt;&gt;"Out of Scope",$M786&lt;&gt;"Canceled",$T786&lt;&gt;"Fixed – Retest Passed",OR(LEN(TRIM($O786))&gt;0,LEN(TRIM($P786))&gt;0))),"",IF(OR($W786="Failed",$R786="Urgent",$R786="High",$R786="ระบุ Severity + Impact"),IF(COUNTIFS(Dashboard!$B$105:$B$124,$O786,Dashboard!$I$105:$I$124,"CAB")&gt;0,"Accepted (CF)","Blocking"),"Deferrable"))</f>
        <v/>
      </c>
    </row>
    <row r="787" spans="7:26" x14ac:dyDescent="0.3">
      <c r="G787" s="27" t="str" cm="1">
        <f t="array" ref="G787">IF($A787="","",IFERROR(_xlfn.TEXTJOIN(CHAR(10)&amp;CHAR(10),TRUE,_xlfn._xlws.FILTER("•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"&amp;Cards!$L$4:$L$1000),(Cards!$A$4:$A$1000&lt;&gt;"")*ISNUMBER(SEARCH($A787,Cards!$E$4:$E$1000)))),"-"))</f>
        <v/>
      </c>
      <c r="Q787" s="30"/>
      <c r="R787" s="27" t="str">
        <f>IF(OR($A787="",LEN(TRIM($O787))=0),"",IF(OR($P787="",$Q787=""),"ระบุ Severity + Impact",IFERROR(INDEX({"Urgent","Urgent","High","High";"Urgent","High","High","Medium";"High","High","Medium","Medium";"Medium","Medium","Low","Low"},MATCH($P787,{"Critical","High","Medium","Low"},0),MATCH($Q787,{"Extensive","Significant","Moderate","Minor"},0)),"-")))</f>
        <v/>
      </c>
      <c r="S787" s="30"/>
      <c r="T787" s="30"/>
      <c r="W787" s="32" t="str">
        <f>IF($A787="","",IF(OR($M787="Out of Scope",$M787="Canceled"),"Out of Scope",IF($M787="Blocked","Blocked",IF(AND($T787&lt;&gt;"Fixed – Retest Passed",OR(LEN(TRIM($O787))&gt;0,LEN(TRIM($P787))&gt;0)),IF(AND(OR($L787="Medium",$L787="Low"),SUMPRODUCT((Cards!$A$4:$A$1000&lt;&gt;"")*ISNUMBER(SEARCH($A787,Cards!$E$4:$E$1000))*(Cards!$F$4:$F$1000&lt;&gt;"Medium")*(Cards!$F$4:$F$1000&lt;&gt;"Low"))=0),"Conditionally Passed","Failed"),IF($M787="Done","Passed","Not Run")))))</f>
        <v/>
      </c>
      <c r="Y787" s="27" t="str" cm="1">
        <f t="array" ref="Y787">IF($A787="","",IF(TRIM($B787)="","-",IFERROR(_xlfn.TEXTJOIN(" / ",TRUE,_xlfn.UNIQUE(_xlfn._xlws.FILTER('Ownership Matrix'!$C$5:$C$200,('Ownership Matrix'!$A$5:$A$200=TRIM($B787))*('Ownership Matrix'!$C$5:$C$200&lt;&gt;"")))),"ไม่พบใน Ownership Matrix")))</f>
        <v/>
      </c>
      <c r="Z787" s="31" t="str">
        <f>IF(NOT(AND($A787&lt;&gt;"",$M787&lt;&gt;"Out of Scope",$M787&lt;&gt;"Canceled",$T787&lt;&gt;"Fixed – Retest Passed",OR(LEN(TRIM($O787))&gt;0,LEN(TRIM($P787))&gt;0))),"",IF(OR($W787="Failed",$R787="Urgent",$R787="High",$R787="ระบุ Severity + Impact"),IF(COUNTIFS(Dashboard!$B$105:$B$124,$O787,Dashboard!$I$105:$I$124,"CAB")&gt;0,"Accepted (CF)","Blocking"),"Deferrable"))</f>
        <v/>
      </c>
    </row>
    <row r="788" spans="7:26" x14ac:dyDescent="0.3">
      <c r="G788" s="27" t="str" cm="1">
        <f t="array" ref="G788">IF($A788="","",IFERROR(_xlfn.TEXTJOIN(CHAR(10)&amp;CHAR(10),TRUE,_xlfn._xlws.FILTER("•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"&amp;Cards!$L$4:$L$1000),(Cards!$A$4:$A$1000&lt;&gt;"")*ISNUMBER(SEARCH($A788,Cards!$E$4:$E$1000)))),"-"))</f>
        <v/>
      </c>
      <c r="Q788" s="30"/>
      <c r="R788" s="27" t="str">
        <f>IF(OR($A788="",LEN(TRIM($O788))=0),"",IF(OR($P788="",$Q788=""),"ระบุ Severity + Impact",IFERROR(INDEX({"Urgent","Urgent","High","High";"Urgent","High","High","Medium";"High","High","Medium","Medium";"Medium","Medium","Low","Low"},MATCH($P788,{"Critical","High","Medium","Low"},0),MATCH($Q788,{"Extensive","Significant","Moderate","Minor"},0)),"-")))</f>
        <v/>
      </c>
      <c r="S788" s="30"/>
      <c r="T788" s="30"/>
      <c r="W788" s="32" t="str">
        <f>IF($A788="","",IF(OR($M788="Out of Scope",$M788="Canceled"),"Out of Scope",IF($M788="Blocked","Blocked",IF(AND($T788&lt;&gt;"Fixed – Retest Passed",OR(LEN(TRIM($O788))&gt;0,LEN(TRIM($P788))&gt;0)),IF(AND(OR($L788="Medium",$L788="Low"),SUMPRODUCT((Cards!$A$4:$A$1000&lt;&gt;"")*ISNUMBER(SEARCH($A788,Cards!$E$4:$E$1000))*(Cards!$F$4:$F$1000&lt;&gt;"Medium")*(Cards!$F$4:$F$1000&lt;&gt;"Low"))=0),"Conditionally Passed","Failed"),IF($M788="Done","Passed","Not Run")))))</f>
        <v/>
      </c>
      <c r="Y788" s="27" t="str" cm="1">
        <f t="array" ref="Y788">IF($A788="","",IF(TRIM($B788)="","-",IFERROR(_xlfn.TEXTJOIN(" / ",TRUE,_xlfn.UNIQUE(_xlfn._xlws.FILTER('Ownership Matrix'!$C$5:$C$200,('Ownership Matrix'!$A$5:$A$200=TRIM($B788))*('Ownership Matrix'!$C$5:$C$200&lt;&gt;"")))),"ไม่พบใน Ownership Matrix")))</f>
        <v/>
      </c>
      <c r="Z788" s="31" t="str">
        <f>IF(NOT(AND($A788&lt;&gt;"",$M788&lt;&gt;"Out of Scope",$M788&lt;&gt;"Canceled",$T788&lt;&gt;"Fixed – Retest Passed",OR(LEN(TRIM($O788))&gt;0,LEN(TRIM($P788))&gt;0))),"",IF(OR($W788="Failed",$R788="Urgent",$R788="High",$R788="ระบุ Severity + Impact"),IF(COUNTIFS(Dashboard!$B$105:$B$124,$O788,Dashboard!$I$105:$I$124,"CAB")&gt;0,"Accepted (CF)","Blocking"),"Deferrable"))</f>
        <v/>
      </c>
    </row>
    <row r="789" spans="7:26" x14ac:dyDescent="0.3">
      <c r="G789" s="27" t="str" cm="1">
        <f t="array" ref="G789">IF($A789="","",IFERROR(_xlfn.TEXTJOIN(CHAR(10)&amp;CHAR(10),TRUE,_xlfn._xlws.FILTER("•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"&amp;Cards!$L$4:$L$1000),(Cards!$A$4:$A$1000&lt;&gt;"")*ISNUMBER(SEARCH($A789,Cards!$E$4:$E$1000)))),"-"))</f>
        <v/>
      </c>
      <c r="Q789" s="30"/>
      <c r="R789" s="27" t="str">
        <f>IF(OR($A789="",LEN(TRIM($O789))=0),"",IF(OR($P789="",$Q789=""),"ระบุ Severity + Impact",IFERROR(INDEX({"Urgent","Urgent","High","High";"Urgent","High","High","Medium";"High","High","Medium","Medium";"Medium","Medium","Low","Low"},MATCH($P789,{"Critical","High","Medium","Low"},0),MATCH($Q789,{"Extensive","Significant","Moderate","Minor"},0)),"-")))</f>
        <v/>
      </c>
      <c r="S789" s="30"/>
      <c r="T789" s="30"/>
      <c r="W789" s="32" t="str">
        <f>IF($A789="","",IF(OR($M789="Out of Scope",$M789="Canceled"),"Out of Scope",IF($M789="Blocked","Blocked",IF(AND($T789&lt;&gt;"Fixed – Retest Passed",OR(LEN(TRIM($O789))&gt;0,LEN(TRIM($P789))&gt;0)),IF(AND(OR($L789="Medium",$L789="Low"),SUMPRODUCT((Cards!$A$4:$A$1000&lt;&gt;"")*ISNUMBER(SEARCH($A789,Cards!$E$4:$E$1000))*(Cards!$F$4:$F$1000&lt;&gt;"Medium")*(Cards!$F$4:$F$1000&lt;&gt;"Low"))=0),"Conditionally Passed","Failed"),IF($M789="Done","Passed","Not Run")))))</f>
        <v/>
      </c>
      <c r="Y789" s="27" t="str" cm="1">
        <f t="array" ref="Y789">IF($A789="","",IF(TRIM($B789)="","-",IFERROR(_xlfn.TEXTJOIN(" / ",TRUE,_xlfn.UNIQUE(_xlfn._xlws.FILTER('Ownership Matrix'!$C$5:$C$200,('Ownership Matrix'!$A$5:$A$200=TRIM($B789))*('Ownership Matrix'!$C$5:$C$200&lt;&gt;"")))),"ไม่พบใน Ownership Matrix")))</f>
        <v/>
      </c>
      <c r="Z789" s="31" t="str">
        <f>IF(NOT(AND($A789&lt;&gt;"",$M789&lt;&gt;"Out of Scope",$M789&lt;&gt;"Canceled",$T789&lt;&gt;"Fixed – Retest Passed",OR(LEN(TRIM($O789))&gt;0,LEN(TRIM($P789))&gt;0))),"",IF(OR($W789="Failed",$R789="Urgent",$R789="High",$R789="ระบุ Severity + Impact"),IF(COUNTIFS(Dashboard!$B$105:$B$124,$O789,Dashboard!$I$105:$I$124,"CAB")&gt;0,"Accepted (CF)","Blocking"),"Deferrable"))</f>
        <v/>
      </c>
    </row>
    <row r="790" spans="7:26" x14ac:dyDescent="0.3">
      <c r="G790" s="27" t="str" cm="1">
        <f t="array" ref="G790">IF($A790="","",IFERROR(_xlfn.TEXTJOIN(CHAR(10)&amp;CHAR(10),TRUE,_xlfn._xlws.FILTER("•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"&amp;Cards!$L$4:$L$1000),(Cards!$A$4:$A$1000&lt;&gt;"")*ISNUMBER(SEARCH($A790,Cards!$E$4:$E$1000)))),"-"))</f>
        <v/>
      </c>
      <c r="Q790" s="30"/>
      <c r="R790" s="27" t="str">
        <f>IF(OR($A790="",LEN(TRIM($O790))=0),"",IF(OR($P790="",$Q790=""),"ระบุ Severity + Impact",IFERROR(INDEX({"Urgent","Urgent","High","High";"Urgent","High","High","Medium";"High","High","Medium","Medium";"Medium","Medium","Low","Low"},MATCH($P790,{"Critical","High","Medium","Low"},0),MATCH($Q790,{"Extensive","Significant","Moderate","Minor"},0)),"-")))</f>
        <v/>
      </c>
      <c r="S790" s="30"/>
      <c r="T790" s="30"/>
      <c r="W790" s="32" t="str">
        <f>IF($A790="","",IF(OR($M790="Out of Scope",$M790="Canceled"),"Out of Scope",IF($M790="Blocked","Blocked",IF(AND($T790&lt;&gt;"Fixed – Retest Passed",OR(LEN(TRIM($O790))&gt;0,LEN(TRIM($P790))&gt;0)),IF(AND(OR($L790="Medium",$L790="Low"),SUMPRODUCT((Cards!$A$4:$A$1000&lt;&gt;"")*ISNUMBER(SEARCH($A790,Cards!$E$4:$E$1000))*(Cards!$F$4:$F$1000&lt;&gt;"Medium")*(Cards!$F$4:$F$1000&lt;&gt;"Low"))=0),"Conditionally Passed","Failed"),IF($M790="Done","Passed","Not Run")))))</f>
        <v/>
      </c>
      <c r="Y790" s="27" t="str" cm="1">
        <f t="array" ref="Y790">IF($A790="","",IF(TRIM($B790)="","-",IFERROR(_xlfn.TEXTJOIN(" / ",TRUE,_xlfn.UNIQUE(_xlfn._xlws.FILTER('Ownership Matrix'!$C$5:$C$200,('Ownership Matrix'!$A$5:$A$200=TRIM($B790))*('Ownership Matrix'!$C$5:$C$200&lt;&gt;"")))),"ไม่พบใน Ownership Matrix")))</f>
        <v/>
      </c>
      <c r="Z790" s="31" t="str">
        <f>IF(NOT(AND($A790&lt;&gt;"",$M790&lt;&gt;"Out of Scope",$M790&lt;&gt;"Canceled",$T790&lt;&gt;"Fixed – Retest Passed",OR(LEN(TRIM($O790))&gt;0,LEN(TRIM($P790))&gt;0))),"",IF(OR($W790="Failed",$R790="Urgent",$R790="High",$R790="ระบุ Severity + Impact"),IF(COUNTIFS(Dashboard!$B$105:$B$124,$O790,Dashboard!$I$105:$I$124,"CAB")&gt;0,"Accepted (CF)","Blocking"),"Deferrable"))</f>
        <v/>
      </c>
    </row>
    <row r="791" spans="7:26" x14ac:dyDescent="0.3">
      <c r="G791" s="27" t="str" cm="1">
        <f t="array" ref="G791">IF($A791="","",IFERROR(_xlfn.TEXTJOIN(CHAR(10)&amp;CHAR(10),TRUE,_xlfn._xlws.FILTER("•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"&amp;Cards!$L$4:$L$1000),(Cards!$A$4:$A$1000&lt;&gt;"")*ISNUMBER(SEARCH($A791,Cards!$E$4:$E$1000)))),"-"))</f>
        <v/>
      </c>
      <c r="Q791" s="30"/>
      <c r="R791" s="27" t="str">
        <f>IF(OR($A791="",LEN(TRIM($O791))=0),"",IF(OR($P791="",$Q791=""),"ระบุ Severity + Impact",IFERROR(INDEX({"Urgent","Urgent","High","High";"Urgent","High","High","Medium";"High","High","Medium","Medium";"Medium","Medium","Low","Low"},MATCH($P791,{"Critical","High","Medium","Low"},0),MATCH($Q791,{"Extensive","Significant","Moderate","Minor"},0)),"-")))</f>
        <v/>
      </c>
      <c r="S791" s="30"/>
      <c r="T791" s="30"/>
      <c r="W791" s="32" t="str">
        <f>IF($A791="","",IF(OR($M791="Out of Scope",$M791="Canceled"),"Out of Scope",IF($M791="Blocked","Blocked",IF(AND($T791&lt;&gt;"Fixed – Retest Passed",OR(LEN(TRIM($O791))&gt;0,LEN(TRIM($P791))&gt;0)),IF(AND(OR($L791="Medium",$L791="Low"),SUMPRODUCT((Cards!$A$4:$A$1000&lt;&gt;"")*ISNUMBER(SEARCH($A791,Cards!$E$4:$E$1000))*(Cards!$F$4:$F$1000&lt;&gt;"Medium")*(Cards!$F$4:$F$1000&lt;&gt;"Low"))=0),"Conditionally Passed","Failed"),IF($M791="Done","Passed","Not Run")))))</f>
        <v/>
      </c>
      <c r="Y791" s="27" t="str" cm="1">
        <f t="array" ref="Y791">IF($A791="","",IF(TRIM($B791)="","-",IFERROR(_xlfn.TEXTJOIN(" / ",TRUE,_xlfn.UNIQUE(_xlfn._xlws.FILTER('Ownership Matrix'!$C$5:$C$200,('Ownership Matrix'!$A$5:$A$200=TRIM($B791))*('Ownership Matrix'!$C$5:$C$200&lt;&gt;"")))),"ไม่พบใน Ownership Matrix")))</f>
        <v/>
      </c>
      <c r="Z791" s="31" t="str">
        <f>IF(NOT(AND($A791&lt;&gt;"",$M791&lt;&gt;"Out of Scope",$M791&lt;&gt;"Canceled",$T791&lt;&gt;"Fixed – Retest Passed",OR(LEN(TRIM($O791))&gt;0,LEN(TRIM($P791))&gt;0))),"",IF(OR($W791="Failed",$R791="Urgent",$R791="High",$R791="ระบุ Severity + Impact"),IF(COUNTIFS(Dashboard!$B$105:$B$124,$O791,Dashboard!$I$105:$I$124,"CAB")&gt;0,"Accepted (CF)","Blocking"),"Deferrable"))</f>
        <v/>
      </c>
    </row>
    <row r="792" spans="7:26" x14ac:dyDescent="0.3">
      <c r="G792" s="27" t="str" cm="1">
        <f t="array" ref="G792">IF($A792="","",IFERROR(_xlfn.TEXTJOIN(CHAR(10)&amp;CHAR(10),TRUE,_xlfn._xlws.FILTER("•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"&amp;Cards!$L$4:$L$1000),(Cards!$A$4:$A$1000&lt;&gt;"")*ISNUMBER(SEARCH($A792,Cards!$E$4:$E$1000)))),"-"))</f>
        <v/>
      </c>
      <c r="Q792" s="30"/>
      <c r="R792" s="27" t="str">
        <f>IF(OR($A792="",LEN(TRIM($O792))=0),"",IF(OR($P792="",$Q792=""),"ระบุ Severity + Impact",IFERROR(INDEX({"Urgent","Urgent","High","High";"Urgent","High","High","Medium";"High","High","Medium","Medium";"Medium","Medium","Low","Low"},MATCH($P792,{"Critical","High","Medium","Low"},0),MATCH($Q792,{"Extensive","Significant","Moderate","Minor"},0)),"-")))</f>
        <v/>
      </c>
      <c r="S792" s="30"/>
      <c r="T792" s="30"/>
      <c r="W792" s="32" t="str">
        <f>IF($A792="","",IF(OR($M792="Out of Scope",$M792="Canceled"),"Out of Scope",IF($M792="Blocked","Blocked",IF(AND($T792&lt;&gt;"Fixed – Retest Passed",OR(LEN(TRIM($O792))&gt;0,LEN(TRIM($P792))&gt;0)),IF(AND(OR($L792="Medium",$L792="Low"),SUMPRODUCT((Cards!$A$4:$A$1000&lt;&gt;"")*ISNUMBER(SEARCH($A792,Cards!$E$4:$E$1000))*(Cards!$F$4:$F$1000&lt;&gt;"Medium")*(Cards!$F$4:$F$1000&lt;&gt;"Low"))=0),"Conditionally Passed","Failed"),IF($M792="Done","Passed","Not Run")))))</f>
        <v/>
      </c>
      <c r="Y792" s="27" t="str" cm="1">
        <f t="array" ref="Y792">IF($A792="","",IF(TRIM($B792)="","-",IFERROR(_xlfn.TEXTJOIN(" / ",TRUE,_xlfn.UNIQUE(_xlfn._xlws.FILTER('Ownership Matrix'!$C$5:$C$200,('Ownership Matrix'!$A$5:$A$200=TRIM($B792))*('Ownership Matrix'!$C$5:$C$200&lt;&gt;"")))),"ไม่พบใน Ownership Matrix")))</f>
        <v/>
      </c>
      <c r="Z792" s="31" t="str">
        <f>IF(NOT(AND($A792&lt;&gt;"",$M792&lt;&gt;"Out of Scope",$M792&lt;&gt;"Canceled",$T792&lt;&gt;"Fixed – Retest Passed",OR(LEN(TRIM($O792))&gt;0,LEN(TRIM($P792))&gt;0))),"",IF(OR($W792="Failed",$R792="Urgent",$R792="High",$R792="ระบุ Severity + Impact"),IF(COUNTIFS(Dashboard!$B$105:$B$124,$O792,Dashboard!$I$105:$I$124,"CAB")&gt;0,"Accepted (CF)","Blocking"),"Deferrable"))</f>
        <v/>
      </c>
    </row>
    <row r="793" spans="7:26" x14ac:dyDescent="0.3">
      <c r="G793" s="27" t="str" cm="1">
        <f t="array" ref="G793">IF($A793="","",IFERROR(_xlfn.TEXTJOIN(CHAR(10)&amp;CHAR(10),TRUE,_xlfn._xlws.FILTER("•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"&amp;Cards!$L$4:$L$1000),(Cards!$A$4:$A$1000&lt;&gt;"")*ISNUMBER(SEARCH($A793,Cards!$E$4:$E$1000)))),"-"))</f>
        <v/>
      </c>
      <c r="Q793" s="30"/>
      <c r="R793" s="27" t="str">
        <f>IF(OR($A793="",LEN(TRIM($O793))=0),"",IF(OR($P793="",$Q793=""),"ระบุ Severity + Impact",IFERROR(INDEX({"Urgent","Urgent","High","High";"Urgent","High","High","Medium";"High","High","Medium","Medium";"Medium","Medium","Low","Low"},MATCH($P793,{"Critical","High","Medium","Low"},0),MATCH($Q793,{"Extensive","Significant","Moderate","Minor"},0)),"-")))</f>
        <v/>
      </c>
      <c r="S793" s="30"/>
      <c r="T793" s="30"/>
      <c r="W793" s="32" t="str">
        <f>IF($A793="","",IF(OR($M793="Out of Scope",$M793="Canceled"),"Out of Scope",IF($M793="Blocked","Blocked",IF(AND($T793&lt;&gt;"Fixed – Retest Passed",OR(LEN(TRIM($O793))&gt;0,LEN(TRIM($P793))&gt;0)),IF(AND(OR($L793="Medium",$L793="Low"),SUMPRODUCT((Cards!$A$4:$A$1000&lt;&gt;"")*ISNUMBER(SEARCH($A793,Cards!$E$4:$E$1000))*(Cards!$F$4:$F$1000&lt;&gt;"Medium")*(Cards!$F$4:$F$1000&lt;&gt;"Low"))=0),"Conditionally Passed","Failed"),IF($M793="Done","Passed","Not Run")))))</f>
        <v/>
      </c>
      <c r="Y793" s="27" t="str" cm="1">
        <f t="array" ref="Y793">IF($A793="","",IF(TRIM($B793)="","-",IFERROR(_xlfn.TEXTJOIN(" / ",TRUE,_xlfn.UNIQUE(_xlfn._xlws.FILTER('Ownership Matrix'!$C$5:$C$200,('Ownership Matrix'!$A$5:$A$200=TRIM($B793))*('Ownership Matrix'!$C$5:$C$200&lt;&gt;"")))),"ไม่พบใน Ownership Matrix")))</f>
        <v/>
      </c>
      <c r="Z793" s="31" t="str">
        <f>IF(NOT(AND($A793&lt;&gt;"",$M793&lt;&gt;"Out of Scope",$M793&lt;&gt;"Canceled",$T793&lt;&gt;"Fixed – Retest Passed",OR(LEN(TRIM($O793))&gt;0,LEN(TRIM($P793))&gt;0))),"",IF(OR($W793="Failed",$R793="Urgent",$R793="High",$R793="ระบุ Severity + Impact"),IF(COUNTIFS(Dashboard!$B$105:$B$124,$O793,Dashboard!$I$105:$I$124,"CAB")&gt;0,"Accepted (CF)","Blocking"),"Deferrable"))</f>
        <v/>
      </c>
    </row>
    <row r="794" spans="7:26" x14ac:dyDescent="0.3">
      <c r="G794" s="27" t="str" cm="1">
        <f t="array" ref="G794">IF($A794="","",IFERROR(_xlfn.TEXTJOIN(CHAR(10)&amp;CHAR(10),TRUE,_xlfn._xlws.FILTER("•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"&amp;Cards!$L$4:$L$1000),(Cards!$A$4:$A$1000&lt;&gt;"")*ISNUMBER(SEARCH($A794,Cards!$E$4:$E$1000)))),"-"))</f>
        <v/>
      </c>
      <c r="Q794" s="30"/>
      <c r="R794" s="27" t="str">
        <f>IF(OR($A794="",LEN(TRIM($O794))=0),"",IF(OR($P794="",$Q794=""),"ระบุ Severity + Impact",IFERROR(INDEX({"Urgent","Urgent","High","High";"Urgent","High","High","Medium";"High","High","Medium","Medium";"Medium","Medium","Low","Low"},MATCH($P794,{"Critical","High","Medium","Low"},0),MATCH($Q794,{"Extensive","Significant","Moderate","Minor"},0)),"-")))</f>
        <v/>
      </c>
      <c r="S794" s="30"/>
      <c r="T794" s="30"/>
      <c r="W794" s="32" t="str">
        <f>IF($A794="","",IF(OR($M794="Out of Scope",$M794="Canceled"),"Out of Scope",IF($M794="Blocked","Blocked",IF(AND($T794&lt;&gt;"Fixed – Retest Passed",OR(LEN(TRIM($O794))&gt;0,LEN(TRIM($P794))&gt;0)),IF(AND(OR($L794="Medium",$L794="Low"),SUMPRODUCT((Cards!$A$4:$A$1000&lt;&gt;"")*ISNUMBER(SEARCH($A794,Cards!$E$4:$E$1000))*(Cards!$F$4:$F$1000&lt;&gt;"Medium")*(Cards!$F$4:$F$1000&lt;&gt;"Low"))=0),"Conditionally Passed","Failed"),IF($M794="Done","Passed","Not Run")))))</f>
        <v/>
      </c>
      <c r="Y794" s="27" t="str" cm="1">
        <f t="array" ref="Y794">IF($A794="","",IF(TRIM($B794)="","-",IFERROR(_xlfn.TEXTJOIN(" / ",TRUE,_xlfn.UNIQUE(_xlfn._xlws.FILTER('Ownership Matrix'!$C$5:$C$200,('Ownership Matrix'!$A$5:$A$200=TRIM($B794))*('Ownership Matrix'!$C$5:$C$200&lt;&gt;"")))),"ไม่พบใน Ownership Matrix")))</f>
        <v/>
      </c>
      <c r="Z794" s="31" t="str">
        <f>IF(NOT(AND($A794&lt;&gt;"",$M794&lt;&gt;"Out of Scope",$M794&lt;&gt;"Canceled",$T794&lt;&gt;"Fixed – Retest Passed",OR(LEN(TRIM($O794))&gt;0,LEN(TRIM($P794))&gt;0))),"",IF(OR($W794="Failed",$R794="Urgent",$R794="High",$R794="ระบุ Severity + Impact"),IF(COUNTIFS(Dashboard!$B$105:$B$124,$O794,Dashboard!$I$105:$I$124,"CAB")&gt;0,"Accepted (CF)","Blocking"),"Deferrable"))</f>
        <v/>
      </c>
    </row>
    <row r="795" spans="7:26" x14ac:dyDescent="0.3">
      <c r="G795" s="27" t="str" cm="1">
        <f t="array" ref="G795">IF($A795="","",IFERROR(_xlfn.TEXTJOIN(CHAR(10)&amp;CHAR(10),TRUE,_xlfn._xlws.FILTER("•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"&amp;Cards!$L$4:$L$1000),(Cards!$A$4:$A$1000&lt;&gt;"")*ISNUMBER(SEARCH($A795,Cards!$E$4:$E$1000)))),"-"))</f>
        <v/>
      </c>
      <c r="Q795" s="30"/>
      <c r="R795" s="27" t="str">
        <f>IF(OR($A795="",LEN(TRIM($O795))=0),"",IF(OR($P795="",$Q795=""),"ระบุ Severity + Impact",IFERROR(INDEX({"Urgent","Urgent","High","High";"Urgent","High","High","Medium";"High","High","Medium","Medium";"Medium","Medium","Low","Low"},MATCH($P795,{"Critical","High","Medium","Low"},0),MATCH($Q795,{"Extensive","Significant","Moderate","Minor"},0)),"-")))</f>
        <v/>
      </c>
      <c r="S795" s="30"/>
      <c r="T795" s="30"/>
      <c r="W795" s="32" t="str">
        <f>IF($A795="","",IF(OR($M795="Out of Scope",$M795="Canceled"),"Out of Scope",IF($M795="Blocked","Blocked",IF(AND($T795&lt;&gt;"Fixed – Retest Passed",OR(LEN(TRIM($O795))&gt;0,LEN(TRIM($P795))&gt;0)),IF(AND(OR($L795="Medium",$L795="Low"),SUMPRODUCT((Cards!$A$4:$A$1000&lt;&gt;"")*ISNUMBER(SEARCH($A795,Cards!$E$4:$E$1000))*(Cards!$F$4:$F$1000&lt;&gt;"Medium")*(Cards!$F$4:$F$1000&lt;&gt;"Low"))=0),"Conditionally Passed","Failed"),IF($M795="Done","Passed","Not Run")))))</f>
        <v/>
      </c>
      <c r="Y795" s="27" t="str" cm="1">
        <f t="array" ref="Y795">IF($A795="","",IF(TRIM($B795)="","-",IFERROR(_xlfn.TEXTJOIN(" / ",TRUE,_xlfn.UNIQUE(_xlfn._xlws.FILTER('Ownership Matrix'!$C$5:$C$200,('Ownership Matrix'!$A$5:$A$200=TRIM($B795))*('Ownership Matrix'!$C$5:$C$200&lt;&gt;"")))),"ไม่พบใน Ownership Matrix")))</f>
        <v/>
      </c>
      <c r="Z795" s="31" t="str">
        <f>IF(NOT(AND($A795&lt;&gt;"",$M795&lt;&gt;"Out of Scope",$M795&lt;&gt;"Canceled",$T795&lt;&gt;"Fixed – Retest Passed",OR(LEN(TRIM($O795))&gt;0,LEN(TRIM($P795))&gt;0))),"",IF(OR($W795="Failed",$R795="Urgent",$R795="High",$R795="ระบุ Severity + Impact"),IF(COUNTIFS(Dashboard!$B$105:$B$124,$O795,Dashboard!$I$105:$I$124,"CAB")&gt;0,"Accepted (CF)","Blocking"),"Deferrable"))</f>
        <v/>
      </c>
    </row>
    <row r="796" spans="7:26" x14ac:dyDescent="0.3">
      <c r="G796" s="27" t="str" cm="1">
        <f t="array" ref="G796">IF($A796="","",IFERROR(_xlfn.TEXTJOIN(CHAR(10)&amp;CHAR(10),TRUE,_xlfn._xlws.FILTER("•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"&amp;Cards!$L$4:$L$1000),(Cards!$A$4:$A$1000&lt;&gt;"")*ISNUMBER(SEARCH($A796,Cards!$E$4:$E$1000)))),"-"))</f>
        <v/>
      </c>
      <c r="Q796" s="30"/>
      <c r="R796" s="27" t="str">
        <f>IF(OR($A796="",LEN(TRIM($O796))=0),"",IF(OR($P796="",$Q796=""),"ระบุ Severity + Impact",IFERROR(INDEX({"Urgent","Urgent","High","High";"Urgent","High","High","Medium";"High","High","Medium","Medium";"Medium","Medium","Low","Low"},MATCH($P796,{"Critical","High","Medium","Low"},0),MATCH($Q796,{"Extensive","Significant","Moderate","Minor"},0)),"-")))</f>
        <v/>
      </c>
      <c r="S796" s="30"/>
      <c r="T796" s="30"/>
      <c r="W796" s="32" t="str">
        <f>IF($A796="","",IF(OR($M796="Out of Scope",$M796="Canceled"),"Out of Scope",IF($M796="Blocked","Blocked",IF(AND($T796&lt;&gt;"Fixed – Retest Passed",OR(LEN(TRIM($O796))&gt;0,LEN(TRIM($P796))&gt;0)),IF(AND(OR($L796="Medium",$L796="Low"),SUMPRODUCT((Cards!$A$4:$A$1000&lt;&gt;"")*ISNUMBER(SEARCH($A796,Cards!$E$4:$E$1000))*(Cards!$F$4:$F$1000&lt;&gt;"Medium")*(Cards!$F$4:$F$1000&lt;&gt;"Low"))=0),"Conditionally Passed","Failed"),IF($M796="Done","Passed","Not Run")))))</f>
        <v/>
      </c>
      <c r="Y796" s="27" t="str" cm="1">
        <f t="array" ref="Y796">IF($A796="","",IF(TRIM($B796)="","-",IFERROR(_xlfn.TEXTJOIN(" / ",TRUE,_xlfn.UNIQUE(_xlfn._xlws.FILTER('Ownership Matrix'!$C$5:$C$200,('Ownership Matrix'!$A$5:$A$200=TRIM($B796))*('Ownership Matrix'!$C$5:$C$200&lt;&gt;"")))),"ไม่พบใน Ownership Matrix")))</f>
        <v/>
      </c>
      <c r="Z796" s="31" t="str">
        <f>IF(NOT(AND($A796&lt;&gt;"",$M796&lt;&gt;"Out of Scope",$M796&lt;&gt;"Canceled",$T796&lt;&gt;"Fixed – Retest Passed",OR(LEN(TRIM($O796))&gt;0,LEN(TRIM($P796))&gt;0))),"",IF(OR($W796="Failed",$R796="Urgent",$R796="High",$R796="ระบุ Severity + Impact"),IF(COUNTIFS(Dashboard!$B$105:$B$124,$O796,Dashboard!$I$105:$I$124,"CAB")&gt;0,"Accepted (CF)","Blocking"),"Deferrable"))</f>
        <v/>
      </c>
    </row>
    <row r="797" spans="7:26" x14ac:dyDescent="0.3">
      <c r="G797" s="27" t="str" cm="1">
        <f t="array" ref="G797">IF($A797="","",IFERROR(_xlfn.TEXTJOIN(CHAR(10)&amp;CHAR(10),TRUE,_xlfn._xlws.FILTER("•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"&amp;Cards!$L$4:$L$1000),(Cards!$A$4:$A$1000&lt;&gt;"")*ISNUMBER(SEARCH($A797,Cards!$E$4:$E$1000)))),"-"))</f>
        <v/>
      </c>
      <c r="Q797" s="30"/>
      <c r="R797" s="27" t="str">
        <f>IF(OR($A797="",LEN(TRIM($O797))=0),"",IF(OR($P797="",$Q797=""),"ระบุ Severity + Impact",IFERROR(INDEX({"Urgent","Urgent","High","High";"Urgent","High","High","Medium";"High","High","Medium","Medium";"Medium","Medium","Low","Low"},MATCH($P797,{"Critical","High","Medium","Low"},0),MATCH($Q797,{"Extensive","Significant","Moderate","Minor"},0)),"-")))</f>
        <v/>
      </c>
      <c r="S797" s="30"/>
      <c r="T797" s="30"/>
      <c r="W797" s="32" t="str">
        <f>IF($A797="","",IF(OR($M797="Out of Scope",$M797="Canceled"),"Out of Scope",IF($M797="Blocked","Blocked",IF(AND($T797&lt;&gt;"Fixed – Retest Passed",OR(LEN(TRIM($O797))&gt;0,LEN(TRIM($P797))&gt;0)),IF(AND(OR($L797="Medium",$L797="Low"),SUMPRODUCT((Cards!$A$4:$A$1000&lt;&gt;"")*ISNUMBER(SEARCH($A797,Cards!$E$4:$E$1000))*(Cards!$F$4:$F$1000&lt;&gt;"Medium")*(Cards!$F$4:$F$1000&lt;&gt;"Low"))=0),"Conditionally Passed","Failed"),IF($M797="Done","Passed","Not Run")))))</f>
        <v/>
      </c>
      <c r="Y797" s="27" t="str" cm="1">
        <f t="array" ref="Y797">IF($A797="","",IF(TRIM($B797)="","-",IFERROR(_xlfn.TEXTJOIN(" / ",TRUE,_xlfn.UNIQUE(_xlfn._xlws.FILTER('Ownership Matrix'!$C$5:$C$200,('Ownership Matrix'!$A$5:$A$200=TRIM($B797))*('Ownership Matrix'!$C$5:$C$200&lt;&gt;"")))),"ไม่พบใน Ownership Matrix")))</f>
        <v/>
      </c>
      <c r="Z797" s="31" t="str">
        <f>IF(NOT(AND($A797&lt;&gt;"",$M797&lt;&gt;"Out of Scope",$M797&lt;&gt;"Canceled",$T797&lt;&gt;"Fixed – Retest Passed",OR(LEN(TRIM($O797))&gt;0,LEN(TRIM($P797))&gt;0))),"",IF(OR($W797="Failed",$R797="Urgent",$R797="High",$R797="ระบุ Severity + Impact"),IF(COUNTIFS(Dashboard!$B$105:$B$124,$O797,Dashboard!$I$105:$I$124,"CAB")&gt;0,"Accepted (CF)","Blocking"),"Deferrable"))</f>
        <v/>
      </c>
    </row>
    <row r="798" spans="7:26" x14ac:dyDescent="0.3">
      <c r="G798" s="27" t="str" cm="1">
        <f t="array" ref="G798">IF($A798="","",IFERROR(_xlfn.TEXTJOIN(CHAR(10)&amp;CHAR(10),TRUE,_xlfn._xlws.FILTER("•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"&amp;Cards!$L$4:$L$1000),(Cards!$A$4:$A$1000&lt;&gt;"")*ISNUMBER(SEARCH($A798,Cards!$E$4:$E$1000)))),"-"))</f>
        <v/>
      </c>
      <c r="Q798" s="30"/>
      <c r="R798" s="27" t="str">
        <f>IF(OR($A798="",LEN(TRIM($O798))=0),"",IF(OR($P798="",$Q798=""),"ระบุ Severity + Impact",IFERROR(INDEX({"Urgent","Urgent","High","High";"Urgent","High","High","Medium";"High","High","Medium","Medium";"Medium","Medium","Low","Low"},MATCH($P798,{"Critical","High","Medium","Low"},0),MATCH($Q798,{"Extensive","Significant","Moderate","Minor"},0)),"-")))</f>
        <v/>
      </c>
      <c r="S798" s="30"/>
      <c r="T798" s="30"/>
      <c r="W798" s="32" t="str">
        <f>IF($A798="","",IF(OR($M798="Out of Scope",$M798="Canceled"),"Out of Scope",IF($M798="Blocked","Blocked",IF(AND($T798&lt;&gt;"Fixed – Retest Passed",OR(LEN(TRIM($O798))&gt;0,LEN(TRIM($P798))&gt;0)),IF(AND(OR($L798="Medium",$L798="Low"),SUMPRODUCT((Cards!$A$4:$A$1000&lt;&gt;"")*ISNUMBER(SEARCH($A798,Cards!$E$4:$E$1000))*(Cards!$F$4:$F$1000&lt;&gt;"Medium")*(Cards!$F$4:$F$1000&lt;&gt;"Low"))=0),"Conditionally Passed","Failed"),IF($M798="Done","Passed","Not Run")))))</f>
        <v/>
      </c>
      <c r="Y798" s="27" t="str" cm="1">
        <f t="array" ref="Y798">IF($A798="","",IF(TRIM($B798)="","-",IFERROR(_xlfn.TEXTJOIN(" / ",TRUE,_xlfn.UNIQUE(_xlfn._xlws.FILTER('Ownership Matrix'!$C$5:$C$200,('Ownership Matrix'!$A$5:$A$200=TRIM($B798))*('Ownership Matrix'!$C$5:$C$200&lt;&gt;"")))),"ไม่พบใน Ownership Matrix")))</f>
        <v/>
      </c>
      <c r="Z798" s="31" t="str">
        <f>IF(NOT(AND($A798&lt;&gt;"",$M798&lt;&gt;"Out of Scope",$M798&lt;&gt;"Canceled",$T798&lt;&gt;"Fixed – Retest Passed",OR(LEN(TRIM($O798))&gt;0,LEN(TRIM($P798))&gt;0))),"",IF(OR($W798="Failed",$R798="Urgent",$R798="High",$R798="ระบุ Severity + Impact"),IF(COUNTIFS(Dashboard!$B$105:$B$124,$O798,Dashboard!$I$105:$I$124,"CAB")&gt;0,"Accepted (CF)","Blocking"),"Deferrable"))</f>
        <v/>
      </c>
    </row>
    <row r="799" spans="7:26" x14ac:dyDescent="0.3">
      <c r="G799" s="27" t="str" cm="1">
        <f t="array" ref="G799">IF($A799="","",IFERROR(_xlfn.TEXTJOIN(CHAR(10)&amp;CHAR(10),TRUE,_xlfn._xlws.FILTER("•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"&amp;Cards!$L$4:$L$1000),(Cards!$A$4:$A$1000&lt;&gt;"")*ISNUMBER(SEARCH($A799,Cards!$E$4:$E$1000)))),"-"))</f>
        <v/>
      </c>
      <c r="Q799" s="30"/>
      <c r="R799" s="27" t="str">
        <f>IF(OR($A799="",LEN(TRIM($O799))=0),"",IF(OR($P799="",$Q799=""),"ระบุ Severity + Impact",IFERROR(INDEX({"Urgent","Urgent","High","High";"Urgent","High","High","Medium";"High","High","Medium","Medium";"Medium","Medium","Low","Low"},MATCH($P799,{"Critical","High","Medium","Low"},0),MATCH($Q799,{"Extensive","Significant","Moderate","Minor"},0)),"-")))</f>
        <v/>
      </c>
      <c r="S799" s="30"/>
      <c r="T799" s="30"/>
      <c r="W799" s="32" t="str">
        <f>IF($A799="","",IF(OR($M799="Out of Scope",$M799="Canceled"),"Out of Scope",IF($M799="Blocked","Blocked",IF(AND($T799&lt;&gt;"Fixed – Retest Passed",OR(LEN(TRIM($O799))&gt;0,LEN(TRIM($P799))&gt;0)),IF(AND(OR($L799="Medium",$L799="Low"),SUMPRODUCT((Cards!$A$4:$A$1000&lt;&gt;"")*ISNUMBER(SEARCH($A799,Cards!$E$4:$E$1000))*(Cards!$F$4:$F$1000&lt;&gt;"Medium")*(Cards!$F$4:$F$1000&lt;&gt;"Low"))=0),"Conditionally Passed","Failed"),IF($M799="Done","Passed","Not Run")))))</f>
        <v/>
      </c>
      <c r="Y799" s="27" t="str" cm="1">
        <f t="array" ref="Y799">IF($A799="","",IF(TRIM($B799)="","-",IFERROR(_xlfn.TEXTJOIN(" / ",TRUE,_xlfn.UNIQUE(_xlfn._xlws.FILTER('Ownership Matrix'!$C$5:$C$200,('Ownership Matrix'!$A$5:$A$200=TRIM($B799))*('Ownership Matrix'!$C$5:$C$200&lt;&gt;"")))),"ไม่พบใน Ownership Matrix")))</f>
        <v/>
      </c>
      <c r="Z799" s="31" t="str">
        <f>IF(NOT(AND($A799&lt;&gt;"",$M799&lt;&gt;"Out of Scope",$M799&lt;&gt;"Canceled",$T799&lt;&gt;"Fixed – Retest Passed",OR(LEN(TRIM($O799))&gt;0,LEN(TRIM($P799))&gt;0))),"",IF(OR($W799="Failed",$R799="Urgent",$R799="High",$R799="ระบุ Severity + Impact"),IF(COUNTIFS(Dashboard!$B$105:$B$124,$O799,Dashboard!$I$105:$I$124,"CAB")&gt;0,"Accepted (CF)","Blocking"),"Deferrable"))</f>
        <v/>
      </c>
    </row>
    <row r="800" spans="7:26" x14ac:dyDescent="0.3">
      <c r="G800" s="27" t="str" cm="1">
        <f t="array" ref="G800">IF($A800="","",IFERROR(_xlfn.TEXTJOIN(CHAR(10)&amp;CHAR(10),TRUE,_xlfn._xlws.FILTER("•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"&amp;Cards!$L$4:$L$1000),(Cards!$A$4:$A$1000&lt;&gt;"")*ISNUMBER(SEARCH($A800,Cards!$E$4:$E$1000)))),"-"))</f>
        <v/>
      </c>
      <c r="Q800" s="30"/>
      <c r="R800" s="27" t="str">
        <f>IF(OR($A800="",LEN(TRIM($O800))=0),"",IF(OR($P800="",$Q800=""),"ระบุ Severity + Impact",IFERROR(INDEX({"Urgent","Urgent","High","High";"Urgent","High","High","Medium";"High","High","Medium","Medium";"Medium","Medium","Low","Low"},MATCH($P800,{"Critical","High","Medium","Low"},0),MATCH($Q800,{"Extensive","Significant","Moderate","Minor"},0)),"-")))</f>
        <v/>
      </c>
      <c r="S800" s="30"/>
      <c r="T800" s="30"/>
      <c r="W800" s="32" t="str">
        <f>IF($A800="","",IF(OR($M800="Out of Scope",$M800="Canceled"),"Out of Scope",IF($M800="Blocked","Blocked",IF(AND($T800&lt;&gt;"Fixed – Retest Passed",OR(LEN(TRIM($O800))&gt;0,LEN(TRIM($P800))&gt;0)),IF(AND(OR($L800="Medium",$L800="Low"),SUMPRODUCT((Cards!$A$4:$A$1000&lt;&gt;"")*ISNUMBER(SEARCH($A800,Cards!$E$4:$E$1000))*(Cards!$F$4:$F$1000&lt;&gt;"Medium")*(Cards!$F$4:$F$1000&lt;&gt;"Low"))=0),"Conditionally Passed","Failed"),IF($M800="Done","Passed","Not Run")))))</f>
        <v/>
      </c>
      <c r="Y800" s="27" t="str" cm="1">
        <f t="array" ref="Y800">IF($A800="","",IF(TRIM($B800)="","-",IFERROR(_xlfn.TEXTJOIN(" / ",TRUE,_xlfn.UNIQUE(_xlfn._xlws.FILTER('Ownership Matrix'!$C$5:$C$200,('Ownership Matrix'!$A$5:$A$200=TRIM($B800))*('Ownership Matrix'!$C$5:$C$200&lt;&gt;"")))),"ไม่พบใน Ownership Matrix")))</f>
        <v/>
      </c>
      <c r="Z800" s="31" t="str">
        <f>IF(NOT(AND($A800&lt;&gt;"",$M800&lt;&gt;"Out of Scope",$M800&lt;&gt;"Canceled",$T800&lt;&gt;"Fixed – Retest Passed",OR(LEN(TRIM($O800))&gt;0,LEN(TRIM($P800))&gt;0))),"",IF(OR($W800="Failed",$R800="Urgent",$R800="High",$R800="ระบุ Severity + Impact"),IF(COUNTIFS(Dashboard!$B$105:$B$124,$O800,Dashboard!$I$105:$I$124,"CAB")&gt;0,"Accepted (CF)","Blocking"),"Deferrable"))</f>
        <v/>
      </c>
    </row>
    <row r="801" spans="7:26" x14ac:dyDescent="0.3">
      <c r="G801" s="27" t="str" cm="1">
        <f t="array" ref="G801">IF($A801="","",IFERROR(_xlfn.TEXTJOIN(CHAR(10)&amp;CHAR(10),TRUE,_xlfn._xlws.FILTER("•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"&amp;Cards!$L$4:$L$1000),(Cards!$A$4:$A$1000&lt;&gt;"")*ISNUMBER(SEARCH($A801,Cards!$E$4:$E$1000)))),"-"))</f>
        <v/>
      </c>
      <c r="Q801" s="30"/>
      <c r="R801" s="27" t="str">
        <f>IF(OR($A801="",LEN(TRIM($O801))=0),"",IF(OR($P801="",$Q801=""),"ระบุ Severity + Impact",IFERROR(INDEX({"Urgent","Urgent","High","High";"Urgent","High","High","Medium";"High","High","Medium","Medium";"Medium","Medium","Low","Low"},MATCH($P801,{"Critical","High","Medium","Low"},0),MATCH($Q801,{"Extensive","Significant","Moderate","Minor"},0)),"-")))</f>
        <v/>
      </c>
      <c r="S801" s="30"/>
      <c r="T801" s="30"/>
      <c r="W801" s="32" t="str">
        <f>IF($A801="","",IF(OR($M801="Out of Scope",$M801="Canceled"),"Out of Scope",IF($M801="Blocked","Blocked",IF(AND($T801&lt;&gt;"Fixed – Retest Passed",OR(LEN(TRIM($O801))&gt;0,LEN(TRIM($P801))&gt;0)),IF(AND(OR($L801="Medium",$L801="Low"),SUMPRODUCT((Cards!$A$4:$A$1000&lt;&gt;"")*ISNUMBER(SEARCH($A801,Cards!$E$4:$E$1000))*(Cards!$F$4:$F$1000&lt;&gt;"Medium")*(Cards!$F$4:$F$1000&lt;&gt;"Low"))=0),"Conditionally Passed","Failed"),IF($M801="Done","Passed","Not Run")))))</f>
        <v/>
      </c>
      <c r="Y801" s="27" t="str" cm="1">
        <f t="array" ref="Y801">IF($A801="","",IF(TRIM($B801)="","-",IFERROR(_xlfn.TEXTJOIN(" / ",TRUE,_xlfn.UNIQUE(_xlfn._xlws.FILTER('Ownership Matrix'!$C$5:$C$200,('Ownership Matrix'!$A$5:$A$200=TRIM($B801))*('Ownership Matrix'!$C$5:$C$200&lt;&gt;"")))),"ไม่พบใน Ownership Matrix")))</f>
        <v/>
      </c>
      <c r="Z801" s="31" t="str">
        <f>IF(NOT(AND($A801&lt;&gt;"",$M801&lt;&gt;"Out of Scope",$M801&lt;&gt;"Canceled",$T801&lt;&gt;"Fixed – Retest Passed",OR(LEN(TRIM($O801))&gt;0,LEN(TRIM($P801))&gt;0))),"",IF(OR($W801="Failed",$R801="Urgent",$R801="High",$R801="ระบุ Severity + Impact"),IF(COUNTIFS(Dashboard!$B$105:$B$124,$O801,Dashboard!$I$105:$I$124,"CAB")&gt;0,"Accepted (CF)","Blocking"),"Deferrable"))</f>
        <v/>
      </c>
    </row>
    <row r="802" spans="7:26" x14ac:dyDescent="0.3">
      <c r="G802" s="27" t="str" cm="1">
        <f t="array" ref="G802">IF($A802="","",IFERROR(_xlfn.TEXTJOIN(CHAR(10)&amp;CHAR(10),TRUE,_xlfn._xlws.FILTER("•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"&amp;Cards!$L$4:$L$1000),(Cards!$A$4:$A$1000&lt;&gt;"")*ISNUMBER(SEARCH($A802,Cards!$E$4:$E$1000)))),"-"))</f>
        <v/>
      </c>
      <c r="Q802" s="30"/>
      <c r="R802" s="27" t="str">
        <f>IF(OR($A802="",LEN(TRIM($O802))=0),"",IF(OR($P802="",$Q802=""),"ระบุ Severity + Impact",IFERROR(INDEX({"Urgent","Urgent","High","High";"Urgent","High","High","Medium";"High","High","Medium","Medium";"Medium","Medium","Low","Low"},MATCH($P802,{"Critical","High","Medium","Low"},0),MATCH($Q802,{"Extensive","Significant","Moderate","Minor"},0)),"-")))</f>
        <v/>
      </c>
      <c r="S802" s="30"/>
      <c r="T802" s="30"/>
      <c r="W802" s="32" t="str">
        <f>IF($A802="","",IF(OR($M802="Out of Scope",$M802="Canceled"),"Out of Scope",IF($M802="Blocked","Blocked",IF(AND($T802&lt;&gt;"Fixed – Retest Passed",OR(LEN(TRIM($O802))&gt;0,LEN(TRIM($P802))&gt;0)),IF(AND(OR($L802="Medium",$L802="Low"),SUMPRODUCT((Cards!$A$4:$A$1000&lt;&gt;"")*ISNUMBER(SEARCH($A802,Cards!$E$4:$E$1000))*(Cards!$F$4:$F$1000&lt;&gt;"Medium")*(Cards!$F$4:$F$1000&lt;&gt;"Low"))=0),"Conditionally Passed","Failed"),IF($M802="Done","Passed","Not Run")))))</f>
        <v/>
      </c>
      <c r="Y802" s="27" t="str" cm="1">
        <f t="array" ref="Y802">IF($A802="","",IF(TRIM($B802)="","-",IFERROR(_xlfn.TEXTJOIN(" / ",TRUE,_xlfn.UNIQUE(_xlfn._xlws.FILTER('Ownership Matrix'!$C$5:$C$200,('Ownership Matrix'!$A$5:$A$200=TRIM($B802))*('Ownership Matrix'!$C$5:$C$200&lt;&gt;"")))),"ไม่พบใน Ownership Matrix")))</f>
        <v/>
      </c>
      <c r="Z802" s="31" t="str">
        <f>IF(NOT(AND($A802&lt;&gt;"",$M802&lt;&gt;"Out of Scope",$M802&lt;&gt;"Canceled",$T802&lt;&gt;"Fixed – Retest Passed",OR(LEN(TRIM($O802))&gt;0,LEN(TRIM($P802))&gt;0))),"",IF(OR($W802="Failed",$R802="Urgent",$R802="High",$R802="ระบุ Severity + Impact"),IF(COUNTIFS(Dashboard!$B$105:$B$124,$O802,Dashboard!$I$105:$I$124,"CAB")&gt;0,"Accepted (CF)","Blocking"),"Deferrable"))</f>
        <v/>
      </c>
    </row>
    <row r="803" spans="7:26" x14ac:dyDescent="0.3">
      <c r="G803" s="27" t="str" cm="1">
        <f t="array" ref="G803">IF($A803="","",IFERROR(_xlfn.TEXTJOIN(CHAR(10)&amp;CHAR(10),TRUE,_xlfn._xlws.FILTER("•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"&amp;Cards!$L$4:$L$1000),(Cards!$A$4:$A$1000&lt;&gt;"")*ISNUMBER(SEARCH($A803,Cards!$E$4:$E$1000)))),"-"))</f>
        <v/>
      </c>
      <c r="Q803" s="30"/>
      <c r="R803" s="27" t="str">
        <f>IF(OR($A803="",LEN(TRIM($O803))=0),"",IF(OR($P803="",$Q803=""),"ระบุ Severity + Impact",IFERROR(INDEX({"Urgent","Urgent","High","High";"Urgent","High","High","Medium";"High","High","Medium","Medium";"Medium","Medium","Low","Low"},MATCH($P803,{"Critical","High","Medium","Low"},0),MATCH($Q803,{"Extensive","Significant","Moderate","Minor"},0)),"-")))</f>
        <v/>
      </c>
      <c r="S803" s="30"/>
      <c r="T803" s="30"/>
      <c r="W803" s="32" t="str">
        <f>IF($A803="","",IF(OR($M803="Out of Scope",$M803="Canceled"),"Out of Scope",IF($M803="Blocked","Blocked",IF(AND($T803&lt;&gt;"Fixed – Retest Passed",OR(LEN(TRIM($O803))&gt;0,LEN(TRIM($P803))&gt;0)),IF(AND(OR($L803="Medium",$L803="Low"),SUMPRODUCT((Cards!$A$4:$A$1000&lt;&gt;"")*ISNUMBER(SEARCH($A803,Cards!$E$4:$E$1000))*(Cards!$F$4:$F$1000&lt;&gt;"Medium")*(Cards!$F$4:$F$1000&lt;&gt;"Low"))=0),"Conditionally Passed","Failed"),IF($M803="Done","Passed","Not Run")))))</f>
        <v/>
      </c>
      <c r="Y803" s="27" t="str" cm="1">
        <f t="array" ref="Y803">IF($A803="","",IF(TRIM($B803)="","-",IFERROR(_xlfn.TEXTJOIN(" / ",TRUE,_xlfn.UNIQUE(_xlfn._xlws.FILTER('Ownership Matrix'!$C$5:$C$200,('Ownership Matrix'!$A$5:$A$200=TRIM($B803))*('Ownership Matrix'!$C$5:$C$200&lt;&gt;"")))),"ไม่พบใน Ownership Matrix")))</f>
        <v/>
      </c>
      <c r="Z803" s="31" t="str">
        <f>IF(NOT(AND($A803&lt;&gt;"",$M803&lt;&gt;"Out of Scope",$M803&lt;&gt;"Canceled",$T803&lt;&gt;"Fixed – Retest Passed",OR(LEN(TRIM($O803))&gt;0,LEN(TRIM($P803))&gt;0))),"",IF(OR($W803="Failed",$R803="Urgent",$R803="High",$R803="ระบุ Severity + Impact"),IF(COUNTIFS(Dashboard!$B$105:$B$124,$O803,Dashboard!$I$105:$I$124,"CAB")&gt;0,"Accepted (CF)","Blocking"),"Deferrable"))</f>
        <v/>
      </c>
    </row>
    <row r="804" spans="7:26" x14ac:dyDescent="0.3">
      <c r="G804" s="27" t="str" cm="1">
        <f t="array" ref="G804">IF($A804="","",IFERROR(_xlfn.TEXTJOIN(CHAR(10)&amp;CHAR(10),TRUE,_xlfn._xlws.FILTER("•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"&amp;Cards!$L$4:$L$1000),(Cards!$A$4:$A$1000&lt;&gt;"")*ISNUMBER(SEARCH($A804,Cards!$E$4:$E$1000)))),"-"))</f>
        <v/>
      </c>
      <c r="Q804" s="30"/>
      <c r="R804" s="27" t="str">
        <f>IF(OR($A804="",LEN(TRIM($O804))=0),"",IF(OR($P804="",$Q804=""),"ระบุ Severity + Impact",IFERROR(INDEX({"Urgent","Urgent","High","High";"Urgent","High","High","Medium";"High","High","Medium","Medium";"Medium","Medium","Low","Low"},MATCH($P804,{"Critical","High","Medium","Low"},0),MATCH($Q804,{"Extensive","Significant","Moderate","Minor"},0)),"-")))</f>
        <v/>
      </c>
      <c r="S804" s="30"/>
      <c r="T804" s="30"/>
      <c r="W804" s="32" t="str">
        <f>IF($A804="","",IF(OR($M804="Out of Scope",$M804="Canceled"),"Out of Scope",IF($M804="Blocked","Blocked",IF(AND($T804&lt;&gt;"Fixed – Retest Passed",OR(LEN(TRIM($O804))&gt;0,LEN(TRIM($P804))&gt;0)),IF(AND(OR($L804="Medium",$L804="Low"),SUMPRODUCT((Cards!$A$4:$A$1000&lt;&gt;"")*ISNUMBER(SEARCH($A804,Cards!$E$4:$E$1000))*(Cards!$F$4:$F$1000&lt;&gt;"Medium")*(Cards!$F$4:$F$1000&lt;&gt;"Low"))=0),"Conditionally Passed","Failed"),IF($M804="Done","Passed","Not Run")))))</f>
        <v/>
      </c>
      <c r="Y804" s="27" t="str" cm="1">
        <f t="array" ref="Y804">IF($A804="","",IF(TRIM($B804)="","-",IFERROR(_xlfn.TEXTJOIN(" / ",TRUE,_xlfn.UNIQUE(_xlfn._xlws.FILTER('Ownership Matrix'!$C$5:$C$200,('Ownership Matrix'!$A$5:$A$200=TRIM($B804))*('Ownership Matrix'!$C$5:$C$200&lt;&gt;"")))),"ไม่พบใน Ownership Matrix")))</f>
        <v/>
      </c>
      <c r="Z804" s="31" t="str">
        <f>IF(NOT(AND($A804&lt;&gt;"",$M804&lt;&gt;"Out of Scope",$M804&lt;&gt;"Canceled",$T804&lt;&gt;"Fixed – Retest Passed",OR(LEN(TRIM($O804))&gt;0,LEN(TRIM($P804))&gt;0))),"",IF(OR($W804="Failed",$R804="Urgent",$R804="High",$R804="ระบุ Severity + Impact"),IF(COUNTIFS(Dashboard!$B$105:$B$124,$O804,Dashboard!$I$105:$I$124,"CAB")&gt;0,"Accepted (CF)","Blocking"),"Deferrable"))</f>
        <v/>
      </c>
    </row>
    <row r="805" spans="7:26" x14ac:dyDescent="0.3">
      <c r="G805" s="27" t="str" cm="1">
        <f t="array" ref="G805">IF($A805="","",IFERROR(_xlfn.TEXTJOIN(CHAR(10)&amp;CHAR(10),TRUE,_xlfn._xlws.FILTER("•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"&amp;Cards!$L$4:$L$1000),(Cards!$A$4:$A$1000&lt;&gt;"")*ISNUMBER(SEARCH($A805,Cards!$E$4:$E$1000)))),"-"))</f>
        <v/>
      </c>
      <c r="Q805" s="30"/>
      <c r="R805" s="27" t="str">
        <f>IF(OR($A805="",LEN(TRIM($O805))=0),"",IF(OR($P805="",$Q805=""),"ระบุ Severity + Impact",IFERROR(INDEX({"Urgent","Urgent","High","High";"Urgent","High","High","Medium";"High","High","Medium","Medium";"Medium","Medium","Low","Low"},MATCH($P805,{"Critical","High","Medium","Low"},0),MATCH($Q805,{"Extensive","Significant","Moderate","Minor"},0)),"-")))</f>
        <v/>
      </c>
      <c r="S805" s="30"/>
      <c r="T805" s="30"/>
      <c r="W805" s="32" t="str">
        <f>IF($A805="","",IF(OR($M805="Out of Scope",$M805="Canceled"),"Out of Scope",IF($M805="Blocked","Blocked",IF(AND($T805&lt;&gt;"Fixed – Retest Passed",OR(LEN(TRIM($O805))&gt;0,LEN(TRIM($P805))&gt;0)),IF(AND(OR($L805="Medium",$L805="Low"),SUMPRODUCT((Cards!$A$4:$A$1000&lt;&gt;"")*ISNUMBER(SEARCH($A805,Cards!$E$4:$E$1000))*(Cards!$F$4:$F$1000&lt;&gt;"Medium")*(Cards!$F$4:$F$1000&lt;&gt;"Low"))=0),"Conditionally Passed","Failed"),IF($M805="Done","Passed","Not Run")))))</f>
        <v/>
      </c>
      <c r="Y805" s="27" t="str" cm="1">
        <f t="array" ref="Y805">IF($A805="","",IF(TRIM($B805)="","-",IFERROR(_xlfn.TEXTJOIN(" / ",TRUE,_xlfn.UNIQUE(_xlfn._xlws.FILTER('Ownership Matrix'!$C$5:$C$200,('Ownership Matrix'!$A$5:$A$200=TRIM($B805))*('Ownership Matrix'!$C$5:$C$200&lt;&gt;"")))),"ไม่พบใน Ownership Matrix")))</f>
        <v/>
      </c>
      <c r="Z805" s="31" t="str">
        <f>IF(NOT(AND($A805&lt;&gt;"",$M805&lt;&gt;"Out of Scope",$M805&lt;&gt;"Canceled",$T805&lt;&gt;"Fixed – Retest Passed",OR(LEN(TRIM($O805))&gt;0,LEN(TRIM($P805))&gt;0))),"",IF(OR($W805="Failed",$R805="Urgent",$R805="High",$R805="ระบุ Severity + Impact"),IF(COUNTIFS(Dashboard!$B$105:$B$124,$O805,Dashboard!$I$105:$I$124,"CAB")&gt;0,"Accepted (CF)","Blocking"),"Deferrable"))</f>
        <v/>
      </c>
    </row>
    <row r="806" spans="7:26" x14ac:dyDescent="0.3">
      <c r="G806" s="27" t="str" cm="1">
        <f t="array" ref="G806">IF($A806="","",IFERROR(_xlfn.TEXTJOIN(CHAR(10)&amp;CHAR(10),TRUE,_xlfn._xlws.FILTER("•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"&amp;Cards!$L$4:$L$1000),(Cards!$A$4:$A$1000&lt;&gt;"")*ISNUMBER(SEARCH($A806,Cards!$E$4:$E$1000)))),"-"))</f>
        <v/>
      </c>
      <c r="Q806" s="30"/>
      <c r="R806" s="27" t="str">
        <f>IF(OR($A806="",LEN(TRIM($O806))=0),"",IF(OR($P806="",$Q806=""),"ระบุ Severity + Impact",IFERROR(INDEX({"Urgent","Urgent","High","High";"Urgent","High","High","Medium";"High","High","Medium","Medium";"Medium","Medium","Low","Low"},MATCH($P806,{"Critical","High","Medium","Low"},0),MATCH($Q806,{"Extensive","Significant","Moderate","Minor"},0)),"-")))</f>
        <v/>
      </c>
      <c r="S806" s="30"/>
      <c r="T806" s="30"/>
      <c r="W806" s="32" t="str">
        <f>IF($A806="","",IF(OR($M806="Out of Scope",$M806="Canceled"),"Out of Scope",IF($M806="Blocked","Blocked",IF(AND($T806&lt;&gt;"Fixed – Retest Passed",OR(LEN(TRIM($O806))&gt;0,LEN(TRIM($P806))&gt;0)),IF(AND(OR($L806="Medium",$L806="Low"),SUMPRODUCT((Cards!$A$4:$A$1000&lt;&gt;"")*ISNUMBER(SEARCH($A806,Cards!$E$4:$E$1000))*(Cards!$F$4:$F$1000&lt;&gt;"Medium")*(Cards!$F$4:$F$1000&lt;&gt;"Low"))=0),"Conditionally Passed","Failed"),IF($M806="Done","Passed","Not Run")))))</f>
        <v/>
      </c>
      <c r="Y806" s="27" t="str" cm="1">
        <f t="array" ref="Y806">IF($A806="","",IF(TRIM($B806)="","-",IFERROR(_xlfn.TEXTJOIN(" / ",TRUE,_xlfn.UNIQUE(_xlfn._xlws.FILTER('Ownership Matrix'!$C$5:$C$200,('Ownership Matrix'!$A$5:$A$200=TRIM($B806))*('Ownership Matrix'!$C$5:$C$200&lt;&gt;"")))),"ไม่พบใน Ownership Matrix")))</f>
        <v/>
      </c>
      <c r="Z806" s="31" t="str">
        <f>IF(NOT(AND($A806&lt;&gt;"",$M806&lt;&gt;"Out of Scope",$M806&lt;&gt;"Canceled",$T806&lt;&gt;"Fixed – Retest Passed",OR(LEN(TRIM($O806))&gt;0,LEN(TRIM($P806))&gt;0))),"",IF(OR($W806="Failed",$R806="Urgent",$R806="High",$R806="ระบุ Severity + Impact"),IF(COUNTIFS(Dashboard!$B$105:$B$124,$O806,Dashboard!$I$105:$I$124,"CAB")&gt;0,"Accepted (CF)","Blocking"),"Deferrable"))</f>
        <v/>
      </c>
    </row>
    <row r="807" spans="7:26" x14ac:dyDescent="0.3">
      <c r="G807" s="27" t="str" cm="1">
        <f t="array" ref="G807">IF($A807="","",IFERROR(_xlfn.TEXTJOIN(CHAR(10)&amp;CHAR(10),TRUE,_xlfn._xlws.FILTER("•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"&amp;Cards!$L$4:$L$1000),(Cards!$A$4:$A$1000&lt;&gt;"")*ISNUMBER(SEARCH($A807,Cards!$E$4:$E$1000)))),"-"))</f>
        <v/>
      </c>
      <c r="Q807" s="30"/>
      <c r="R807" s="27" t="str">
        <f>IF(OR($A807="",LEN(TRIM($O807))=0),"",IF(OR($P807="",$Q807=""),"ระบุ Severity + Impact",IFERROR(INDEX({"Urgent","Urgent","High","High";"Urgent","High","High","Medium";"High","High","Medium","Medium";"Medium","Medium","Low","Low"},MATCH($P807,{"Critical","High","Medium","Low"},0),MATCH($Q807,{"Extensive","Significant","Moderate","Minor"},0)),"-")))</f>
        <v/>
      </c>
      <c r="S807" s="30"/>
      <c r="T807" s="30"/>
      <c r="W807" s="32" t="str">
        <f>IF($A807="","",IF(OR($M807="Out of Scope",$M807="Canceled"),"Out of Scope",IF($M807="Blocked","Blocked",IF(AND($T807&lt;&gt;"Fixed – Retest Passed",OR(LEN(TRIM($O807))&gt;0,LEN(TRIM($P807))&gt;0)),IF(AND(OR($L807="Medium",$L807="Low"),SUMPRODUCT((Cards!$A$4:$A$1000&lt;&gt;"")*ISNUMBER(SEARCH($A807,Cards!$E$4:$E$1000))*(Cards!$F$4:$F$1000&lt;&gt;"Medium")*(Cards!$F$4:$F$1000&lt;&gt;"Low"))=0),"Conditionally Passed","Failed"),IF($M807="Done","Passed","Not Run")))))</f>
        <v/>
      </c>
      <c r="Y807" s="27" t="str" cm="1">
        <f t="array" ref="Y807">IF($A807="","",IF(TRIM($B807)="","-",IFERROR(_xlfn.TEXTJOIN(" / ",TRUE,_xlfn.UNIQUE(_xlfn._xlws.FILTER('Ownership Matrix'!$C$5:$C$200,('Ownership Matrix'!$A$5:$A$200=TRIM($B807))*('Ownership Matrix'!$C$5:$C$200&lt;&gt;"")))),"ไม่พบใน Ownership Matrix")))</f>
        <v/>
      </c>
      <c r="Z807" s="31" t="str">
        <f>IF(NOT(AND($A807&lt;&gt;"",$M807&lt;&gt;"Out of Scope",$M807&lt;&gt;"Canceled",$T807&lt;&gt;"Fixed – Retest Passed",OR(LEN(TRIM($O807))&gt;0,LEN(TRIM($P807))&gt;0))),"",IF(OR($W807="Failed",$R807="Urgent",$R807="High",$R807="ระบุ Severity + Impact"),IF(COUNTIFS(Dashboard!$B$105:$B$124,$O807,Dashboard!$I$105:$I$124,"CAB")&gt;0,"Accepted (CF)","Blocking"),"Deferrable"))</f>
        <v/>
      </c>
    </row>
    <row r="808" spans="7:26" x14ac:dyDescent="0.3">
      <c r="G808" s="27" t="str" cm="1">
        <f t="array" ref="G808">IF($A808="","",IFERROR(_xlfn.TEXTJOIN(CHAR(10)&amp;CHAR(10),TRUE,_xlfn._xlws.FILTER("•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"&amp;Cards!$L$4:$L$1000),(Cards!$A$4:$A$1000&lt;&gt;"")*ISNUMBER(SEARCH($A808,Cards!$E$4:$E$1000)))),"-"))</f>
        <v/>
      </c>
      <c r="Q808" s="30"/>
      <c r="R808" s="27" t="str">
        <f>IF(OR($A808="",LEN(TRIM($O808))=0),"",IF(OR($P808="",$Q808=""),"ระบุ Severity + Impact",IFERROR(INDEX({"Urgent","Urgent","High","High";"Urgent","High","High","Medium";"High","High","Medium","Medium";"Medium","Medium","Low","Low"},MATCH($P808,{"Critical","High","Medium","Low"},0),MATCH($Q808,{"Extensive","Significant","Moderate","Minor"},0)),"-")))</f>
        <v/>
      </c>
      <c r="S808" s="30"/>
      <c r="T808" s="30"/>
      <c r="W808" s="32" t="str">
        <f>IF($A808="","",IF(OR($M808="Out of Scope",$M808="Canceled"),"Out of Scope",IF($M808="Blocked","Blocked",IF(AND($T808&lt;&gt;"Fixed – Retest Passed",OR(LEN(TRIM($O808))&gt;0,LEN(TRIM($P808))&gt;0)),IF(AND(OR($L808="Medium",$L808="Low"),SUMPRODUCT((Cards!$A$4:$A$1000&lt;&gt;"")*ISNUMBER(SEARCH($A808,Cards!$E$4:$E$1000))*(Cards!$F$4:$F$1000&lt;&gt;"Medium")*(Cards!$F$4:$F$1000&lt;&gt;"Low"))=0),"Conditionally Passed","Failed"),IF($M808="Done","Passed","Not Run")))))</f>
        <v/>
      </c>
      <c r="Y808" s="27" t="str" cm="1">
        <f t="array" ref="Y808">IF($A808="","",IF(TRIM($B808)="","-",IFERROR(_xlfn.TEXTJOIN(" / ",TRUE,_xlfn.UNIQUE(_xlfn._xlws.FILTER('Ownership Matrix'!$C$5:$C$200,('Ownership Matrix'!$A$5:$A$200=TRIM($B808))*('Ownership Matrix'!$C$5:$C$200&lt;&gt;"")))),"ไม่พบใน Ownership Matrix")))</f>
        <v/>
      </c>
      <c r="Z808" s="31" t="str">
        <f>IF(NOT(AND($A808&lt;&gt;"",$M808&lt;&gt;"Out of Scope",$M808&lt;&gt;"Canceled",$T808&lt;&gt;"Fixed – Retest Passed",OR(LEN(TRIM($O808))&gt;0,LEN(TRIM($P808))&gt;0))),"",IF(OR($W808="Failed",$R808="Urgent",$R808="High",$R808="ระบุ Severity + Impact"),IF(COUNTIFS(Dashboard!$B$105:$B$124,$O808,Dashboard!$I$105:$I$124,"CAB")&gt;0,"Accepted (CF)","Blocking"),"Deferrable"))</f>
        <v/>
      </c>
    </row>
    <row r="809" spans="7:26" x14ac:dyDescent="0.3">
      <c r="G809" s="27" t="str" cm="1">
        <f t="array" ref="G809">IF($A809="","",IFERROR(_xlfn.TEXTJOIN(CHAR(10)&amp;CHAR(10),TRUE,_xlfn._xlws.FILTER("•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"&amp;Cards!$L$4:$L$1000),(Cards!$A$4:$A$1000&lt;&gt;"")*ISNUMBER(SEARCH($A809,Cards!$E$4:$E$1000)))),"-"))</f>
        <v/>
      </c>
      <c r="Q809" s="30"/>
      <c r="R809" s="27" t="str">
        <f>IF(OR($A809="",LEN(TRIM($O809))=0),"",IF(OR($P809="",$Q809=""),"ระบุ Severity + Impact",IFERROR(INDEX({"Urgent","Urgent","High","High";"Urgent","High","High","Medium";"High","High","Medium","Medium";"Medium","Medium","Low","Low"},MATCH($P809,{"Critical","High","Medium","Low"},0),MATCH($Q809,{"Extensive","Significant","Moderate","Minor"},0)),"-")))</f>
        <v/>
      </c>
      <c r="S809" s="30"/>
      <c r="T809" s="30"/>
      <c r="W809" s="32" t="str">
        <f>IF($A809="","",IF(OR($M809="Out of Scope",$M809="Canceled"),"Out of Scope",IF($M809="Blocked","Blocked",IF(AND($T809&lt;&gt;"Fixed – Retest Passed",OR(LEN(TRIM($O809))&gt;0,LEN(TRIM($P809))&gt;0)),IF(AND(OR($L809="Medium",$L809="Low"),SUMPRODUCT((Cards!$A$4:$A$1000&lt;&gt;"")*ISNUMBER(SEARCH($A809,Cards!$E$4:$E$1000))*(Cards!$F$4:$F$1000&lt;&gt;"Medium")*(Cards!$F$4:$F$1000&lt;&gt;"Low"))=0),"Conditionally Passed","Failed"),IF($M809="Done","Passed","Not Run")))))</f>
        <v/>
      </c>
      <c r="Y809" s="27" t="str" cm="1">
        <f t="array" ref="Y809">IF($A809="","",IF(TRIM($B809)="","-",IFERROR(_xlfn.TEXTJOIN(" / ",TRUE,_xlfn.UNIQUE(_xlfn._xlws.FILTER('Ownership Matrix'!$C$5:$C$200,('Ownership Matrix'!$A$5:$A$200=TRIM($B809))*('Ownership Matrix'!$C$5:$C$200&lt;&gt;"")))),"ไม่พบใน Ownership Matrix")))</f>
        <v/>
      </c>
      <c r="Z809" s="31" t="str">
        <f>IF(NOT(AND($A809&lt;&gt;"",$M809&lt;&gt;"Out of Scope",$M809&lt;&gt;"Canceled",$T809&lt;&gt;"Fixed – Retest Passed",OR(LEN(TRIM($O809))&gt;0,LEN(TRIM($P809))&gt;0))),"",IF(OR($W809="Failed",$R809="Urgent",$R809="High",$R809="ระบุ Severity + Impact"),IF(COUNTIFS(Dashboard!$B$105:$B$124,$O809,Dashboard!$I$105:$I$124,"CAB")&gt;0,"Accepted (CF)","Blocking"),"Deferrable"))</f>
        <v/>
      </c>
    </row>
    <row r="810" spans="7:26" x14ac:dyDescent="0.3">
      <c r="G810" s="27" t="str" cm="1">
        <f t="array" ref="G810">IF($A810="","",IFERROR(_xlfn.TEXTJOIN(CHAR(10)&amp;CHAR(10),TRUE,_xlfn._xlws.FILTER("•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"&amp;Cards!$L$4:$L$1000),(Cards!$A$4:$A$1000&lt;&gt;"")*ISNUMBER(SEARCH($A810,Cards!$E$4:$E$1000)))),"-"))</f>
        <v/>
      </c>
      <c r="Q810" s="30"/>
      <c r="R810" s="27" t="str">
        <f>IF(OR($A810="",LEN(TRIM($O810))=0),"",IF(OR($P810="",$Q810=""),"ระบุ Severity + Impact",IFERROR(INDEX({"Urgent","Urgent","High","High";"Urgent","High","High","Medium";"High","High","Medium","Medium";"Medium","Medium","Low","Low"},MATCH($P810,{"Critical","High","Medium","Low"},0),MATCH($Q810,{"Extensive","Significant","Moderate","Minor"},0)),"-")))</f>
        <v/>
      </c>
      <c r="S810" s="30"/>
      <c r="T810" s="30"/>
      <c r="W810" s="32" t="str">
        <f>IF($A810="","",IF(OR($M810="Out of Scope",$M810="Canceled"),"Out of Scope",IF($M810="Blocked","Blocked",IF(AND($T810&lt;&gt;"Fixed – Retest Passed",OR(LEN(TRIM($O810))&gt;0,LEN(TRIM($P810))&gt;0)),IF(AND(OR($L810="Medium",$L810="Low"),SUMPRODUCT((Cards!$A$4:$A$1000&lt;&gt;"")*ISNUMBER(SEARCH($A810,Cards!$E$4:$E$1000))*(Cards!$F$4:$F$1000&lt;&gt;"Medium")*(Cards!$F$4:$F$1000&lt;&gt;"Low"))=0),"Conditionally Passed","Failed"),IF($M810="Done","Passed","Not Run")))))</f>
        <v/>
      </c>
      <c r="Y810" s="27" t="str" cm="1">
        <f t="array" ref="Y810">IF($A810="","",IF(TRIM($B810)="","-",IFERROR(_xlfn.TEXTJOIN(" / ",TRUE,_xlfn.UNIQUE(_xlfn._xlws.FILTER('Ownership Matrix'!$C$5:$C$200,('Ownership Matrix'!$A$5:$A$200=TRIM($B810))*('Ownership Matrix'!$C$5:$C$200&lt;&gt;"")))),"ไม่พบใน Ownership Matrix")))</f>
        <v/>
      </c>
      <c r="Z810" s="31" t="str">
        <f>IF(NOT(AND($A810&lt;&gt;"",$M810&lt;&gt;"Out of Scope",$M810&lt;&gt;"Canceled",$T810&lt;&gt;"Fixed – Retest Passed",OR(LEN(TRIM($O810))&gt;0,LEN(TRIM($P810))&gt;0))),"",IF(OR($W810="Failed",$R810="Urgent",$R810="High",$R810="ระบุ Severity + Impact"),IF(COUNTIFS(Dashboard!$B$105:$B$124,$O810,Dashboard!$I$105:$I$124,"CAB")&gt;0,"Accepted (CF)","Blocking"),"Deferrable"))</f>
        <v/>
      </c>
    </row>
    <row r="811" spans="7:26" x14ac:dyDescent="0.3">
      <c r="G811" s="27" t="str" cm="1">
        <f t="array" ref="G811">IF($A811="","",IFERROR(_xlfn.TEXTJOIN(CHAR(10)&amp;CHAR(10),TRUE,_xlfn._xlws.FILTER("•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"&amp;Cards!$L$4:$L$1000),(Cards!$A$4:$A$1000&lt;&gt;"")*ISNUMBER(SEARCH($A811,Cards!$E$4:$E$1000)))),"-"))</f>
        <v/>
      </c>
      <c r="Q811" s="30"/>
      <c r="R811" s="27" t="str">
        <f>IF(OR($A811="",LEN(TRIM($O811))=0),"",IF(OR($P811="",$Q811=""),"ระบุ Severity + Impact",IFERROR(INDEX({"Urgent","Urgent","High","High";"Urgent","High","High","Medium";"High","High","Medium","Medium";"Medium","Medium","Low","Low"},MATCH($P811,{"Critical","High","Medium","Low"},0),MATCH($Q811,{"Extensive","Significant","Moderate","Minor"},0)),"-")))</f>
        <v/>
      </c>
      <c r="S811" s="30"/>
      <c r="T811" s="30"/>
      <c r="W811" s="32" t="str">
        <f>IF($A811="","",IF(OR($M811="Out of Scope",$M811="Canceled"),"Out of Scope",IF($M811="Blocked","Blocked",IF(AND($T811&lt;&gt;"Fixed – Retest Passed",OR(LEN(TRIM($O811))&gt;0,LEN(TRIM($P811))&gt;0)),IF(AND(OR($L811="Medium",$L811="Low"),SUMPRODUCT((Cards!$A$4:$A$1000&lt;&gt;"")*ISNUMBER(SEARCH($A811,Cards!$E$4:$E$1000))*(Cards!$F$4:$F$1000&lt;&gt;"Medium")*(Cards!$F$4:$F$1000&lt;&gt;"Low"))=0),"Conditionally Passed","Failed"),IF($M811="Done","Passed","Not Run")))))</f>
        <v/>
      </c>
      <c r="Y811" s="27" t="str" cm="1">
        <f t="array" ref="Y811">IF($A811="","",IF(TRIM($B811)="","-",IFERROR(_xlfn.TEXTJOIN(" / ",TRUE,_xlfn.UNIQUE(_xlfn._xlws.FILTER('Ownership Matrix'!$C$5:$C$200,('Ownership Matrix'!$A$5:$A$200=TRIM($B811))*('Ownership Matrix'!$C$5:$C$200&lt;&gt;"")))),"ไม่พบใน Ownership Matrix")))</f>
        <v/>
      </c>
      <c r="Z811" s="31" t="str">
        <f>IF(NOT(AND($A811&lt;&gt;"",$M811&lt;&gt;"Out of Scope",$M811&lt;&gt;"Canceled",$T811&lt;&gt;"Fixed – Retest Passed",OR(LEN(TRIM($O811))&gt;0,LEN(TRIM($P811))&gt;0))),"",IF(OR($W811="Failed",$R811="Urgent",$R811="High",$R811="ระบุ Severity + Impact"),IF(COUNTIFS(Dashboard!$B$105:$B$124,$O811,Dashboard!$I$105:$I$124,"CAB")&gt;0,"Accepted (CF)","Blocking"),"Deferrable"))</f>
        <v/>
      </c>
    </row>
    <row r="812" spans="7:26" x14ac:dyDescent="0.3">
      <c r="G812" s="27" t="str" cm="1">
        <f t="array" ref="G812">IF($A812="","",IFERROR(_xlfn.TEXTJOIN(CHAR(10)&amp;CHAR(10),TRUE,_xlfn._xlws.FILTER("•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"&amp;Cards!$L$4:$L$1000),(Cards!$A$4:$A$1000&lt;&gt;"")*ISNUMBER(SEARCH($A812,Cards!$E$4:$E$1000)))),"-"))</f>
        <v/>
      </c>
      <c r="Q812" s="30"/>
      <c r="R812" s="27" t="str">
        <f>IF(OR($A812="",LEN(TRIM($O812))=0),"",IF(OR($P812="",$Q812=""),"ระบุ Severity + Impact",IFERROR(INDEX({"Urgent","Urgent","High","High";"Urgent","High","High","Medium";"High","High","Medium","Medium";"Medium","Medium","Low","Low"},MATCH($P812,{"Critical","High","Medium","Low"},0),MATCH($Q812,{"Extensive","Significant","Moderate","Minor"},0)),"-")))</f>
        <v/>
      </c>
      <c r="S812" s="30"/>
      <c r="T812" s="30"/>
      <c r="W812" s="32" t="str">
        <f>IF($A812="","",IF(OR($M812="Out of Scope",$M812="Canceled"),"Out of Scope",IF($M812="Blocked","Blocked",IF(AND($T812&lt;&gt;"Fixed – Retest Passed",OR(LEN(TRIM($O812))&gt;0,LEN(TRIM($P812))&gt;0)),IF(AND(OR($L812="Medium",$L812="Low"),SUMPRODUCT((Cards!$A$4:$A$1000&lt;&gt;"")*ISNUMBER(SEARCH($A812,Cards!$E$4:$E$1000))*(Cards!$F$4:$F$1000&lt;&gt;"Medium")*(Cards!$F$4:$F$1000&lt;&gt;"Low"))=0),"Conditionally Passed","Failed"),IF($M812="Done","Passed","Not Run")))))</f>
        <v/>
      </c>
      <c r="Y812" s="27" t="str" cm="1">
        <f t="array" ref="Y812">IF($A812="","",IF(TRIM($B812)="","-",IFERROR(_xlfn.TEXTJOIN(" / ",TRUE,_xlfn.UNIQUE(_xlfn._xlws.FILTER('Ownership Matrix'!$C$5:$C$200,('Ownership Matrix'!$A$5:$A$200=TRIM($B812))*('Ownership Matrix'!$C$5:$C$200&lt;&gt;"")))),"ไม่พบใน Ownership Matrix")))</f>
        <v/>
      </c>
      <c r="Z812" s="31" t="str">
        <f>IF(NOT(AND($A812&lt;&gt;"",$M812&lt;&gt;"Out of Scope",$M812&lt;&gt;"Canceled",$T812&lt;&gt;"Fixed – Retest Passed",OR(LEN(TRIM($O812))&gt;0,LEN(TRIM($P812))&gt;0))),"",IF(OR($W812="Failed",$R812="Urgent",$R812="High",$R812="ระบุ Severity + Impact"),IF(COUNTIFS(Dashboard!$B$105:$B$124,$O812,Dashboard!$I$105:$I$124,"CAB")&gt;0,"Accepted (CF)","Blocking"),"Deferrable"))</f>
        <v/>
      </c>
    </row>
    <row r="813" spans="7:26" x14ac:dyDescent="0.3">
      <c r="G813" s="27" t="str" cm="1">
        <f t="array" ref="G813">IF($A813="","",IFERROR(_xlfn.TEXTJOIN(CHAR(10)&amp;CHAR(10),TRUE,_xlfn._xlws.FILTER("•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"&amp;Cards!$L$4:$L$1000),(Cards!$A$4:$A$1000&lt;&gt;"")*ISNUMBER(SEARCH($A813,Cards!$E$4:$E$1000)))),"-"))</f>
        <v/>
      </c>
      <c r="Q813" s="30"/>
      <c r="R813" s="27" t="str">
        <f>IF(OR($A813="",LEN(TRIM($O813))=0),"",IF(OR($P813="",$Q813=""),"ระบุ Severity + Impact",IFERROR(INDEX({"Urgent","Urgent","High","High";"Urgent","High","High","Medium";"High","High","Medium","Medium";"Medium","Medium","Low","Low"},MATCH($P813,{"Critical","High","Medium","Low"},0),MATCH($Q813,{"Extensive","Significant","Moderate","Minor"},0)),"-")))</f>
        <v/>
      </c>
      <c r="S813" s="30"/>
      <c r="T813" s="30"/>
      <c r="W813" s="32" t="str">
        <f>IF($A813="","",IF(OR($M813="Out of Scope",$M813="Canceled"),"Out of Scope",IF($M813="Blocked","Blocked",IF(AND($T813&lt;&gt;"Fixed – Retest Passed",OR(LEN(TRIM($O813))&gt;0,LEN(TRIM($P813))&gt;0)),IF(AND(OR($L813="Medium",$L813="Low"),SUMPRODUCT((Cards!$A$4:$A$1000&lt;&gt;"")*ISNUMBER(SEARCH($A813,Cards!$E$4:$E$1000))*(Cards!$F$4:$F$1000&lt;&gt;"Medium")*(Cards!$F$4:$F$1000&lt;&gt;"Low"))=0),"Conditionally Passed","Failed"),IF($M813="Done","Passed","Not Run")))))</f>
        <v/>
      </c>
      <c r="Y813" s="27" t="str" cm="1">
        <f t="array" ref="Y813">IF($A813="","",IF(TRIM($B813)="","-",IFERROR(_xlfn.TEXTJOIN(" / ",TRUE,_xlfn.UNIQUE(_xlfn._xlws.FILTER('Ownership Matrix'!$C$5:$C$200,('Ownership Matrix'!$A$5:$A$200=TRIM($B813))*('Ownership Matrix'!$C$5:$C$200&lt;&gt;"")))),"ไม่พบใน Ownership Matrix")))</f>
        <v/>
      </c>
      <c r="Z813" s="31" t="str">
        <f>IF(NOT(AND($A813&lt;&gt;"",$M813&lt;&gt;"Out of Scope",$M813&lt;&gt;"Canceled",$T813&lt;&gt;"Fixed – Retest Passed",OR(LEN(TRIM($O813))&gt;0,LEN(TRIM($P813))&gt;0))),"",IF(OR($W813="Failed",$R813="Urgent",$R813="High",$R813="ระบุ Severity + Impact"),IF(COUNTIFS(Dashboard!$B$105:$B$124,$O813,Dashboard!$I$105:$I$124,"CAB")&gt;0,"Accepted (CF)","Blocking"),"Deferrable"))</f>
        <v/>
      </c>
    </row>
    <row r="814" spans="7:26" x14ac:dyDescent="0.3">
      <c r="G814" s="27" t="str" cm="1">
        <f t="array" ref="G814">IF($A814="","",IFERROR(_xlfn.TEXTJOIN(CHAR(10)&amp;CHAR(10),TRUE,_xlfn._xlws.FILTER("•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"&amp;Cards!$L$4:$L$1000),(Cards!$A$4:$A$1000&lt;&gt;"")*ISNUMBER(SEARCH($A814,Cards!$E$4:$E$1000)))),"-"))</f>
        <v/>
      </c>
      <c r="Q814" s="30"/>
      <c r="R814" s="27" t="str">
        <f>IF(OR($A814="",LEN(TRIM($O814))=0),"",IF(OR($P814="",$Q814=""),"ระบุ Severity + Impact",IFERROR(INDEX({"Urgent","Urgent","High","High";"Urgent","High","High","Medium";"High","High","Medium","Medium";"Medium","Medium","Low","Low"},MATCH($P814,{"Critical","High","Medium","Low"},0),MATCH($Q814,{"Extensive","Significant","Moderate","Minor"},0)),"-")))</f>
        <v/>
      </c>
      <c r="S814" s="30"/>
      <c r="T814" s="30"/>
      <c r="W814" s="32" t="str">
        <f>IF($A814="","",IF(OR($M814="Out of Scope",$M814="Canceled"),"Out of Scope",IF($M814="Blocked","Blocked",IF(AND($T814&lt;&gt;"Fixed – Retest Passed",OR(LEN(TRIM($O814))&gt;0,LEN(TRIM($P814))&gt;0)),IF(AND(OR($L814="Medium",$L814="Low"),SUMPRODUCT((Cards!$A$4:$A$1000&lt;&gt;"")*ISNUMBER(SEARCH($A814,Cards!$E$4:$E$1000))*(Cards!$F$4:$F$1000&lt;&gt;"Medium")*(Cards!$F$4:$F$1000&lt;&gt;"Low"))=0),"Conditionally Passed","Failed"),IF($M814="Done","Passed","Not Run")))))</f>
        <v/>
      </c>
      <c r="Y814" s="27" t="str" cm="1">
        <f t="array" ref="Y814">IF($A814="","",IF(TRIM($B814)="","-",IFERROR(_xlfn.TEXTJOIN(" / ",TRUE,_xlfn.UNIQUE(_xlfn._xlws.FILTER('Ownership Matrix'!$C$5:$C$200,('Ownership Matrix'!$A$5:$A$200=TRIM($B814))*('Ownership Matrix'!$C$5:$C$200&lt;&gt;"")))),"ไม่พบใน Ownership Matrix")))</f>
        <v/>
      </c>
      <c r="Z814" s="31" t="str">
        <f>IF(NOT(AND($A814&lt;&gt;"",$M814&lt;&gt;"Out of Scope",$M814&lt;&gt;"Canceled",$T814&lt;&gt;"Fixed – Retest Passed",OR(LEN(TRIM($O814))&gt;0,LEN(TRIM($P814))&gt;0))),"",IF(OR($W814="Failed",$R814="Urgent",$R814="High",$R814="ระบุ Severity + Impact"),IF(COUNTIFS(Dashboard!$B$105:$B$124,$O814,Dashboard!$I$105:$I$124,"CAB")&gt;0,"Accepted (CF)","Blocking"),"Deferrable"))</f>
        <v/>
      </c>
    </row>
    <row r="815" spans="7:26" x14ac:dyDescent="0.3">
      <c r="G815" s="27" t="str" cm="1">
        <f t="array" ref="G815">IF($A815="","",IFERROR(_xlfn.TEXTJOIN(CHAR(10)&amp;CHAR(10),TRUE,_xlfn._xlws.FILTER("•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"&amp;Cards!$L$4:$L$1000),(Cards!$A$4:$A$1000&lt;&gt;"")*ISNUMBER(SEARCH($A815,Cards!$E$4:$E$1000)))),"-"))</f>
        <v/>
      </c>
      <c r="Q815" s="30"/>
      <c r="R815" s="27" t="str">
        <f>IF(OR($A815="",LEN(TRIM($O815))=0),"",IF(OR($P815="",$Q815=""),"ระบุ Severity + Impact",IFERROR(INDEX({"Urgent","Urgent","High","High";"Urgent","High","High","Medium";"High","High","Medium","Medium";"Medium","Medium","Low","Low"},MATCH($P815,{"Critical","High","Medium","Low"},0),MATCH($Q815,{"Extensive","Significant","Moderate","Minor"},0)),"-")))</f>
        <v/>
      </c>
      <c r="S815" s="30"/>
      <c r="T815" s="30"/>
      <c r="W815" s="32" t="str">
        <f>IF($A815="","",IF(OR($M815="Out of Scope",$M815="Canceled"),"Out of Scope",IF($M815="Blocked","Blocked",IF(AND($T815&lt;&gt;"Fixed – Retest Passed",OR(LEN(TRIM($O815))&gt;0,LEN(TRIM($P815))&gt;0)),IF(AND(OR($L815="Medium",$L815="Low"),SUMPRODUCT((Cards!$A$4:$A$1000&lt;&gt;"")*ISNUMBER(SEARCH($A815,Cards!$E$4:$E$1000))*(Cards!$F$4:$F$1000&lt;&gt;"Medium")*(Cards!$F$4:$F$1000&lt;&gt;"Low"))=0),"Conditionally Passed","Failed"),IF($M815="Done","Passed","Not Run")))))</f>
        <v/>
      </c>
      <c r="Y815" s="27" t="str" cm="1">
        <f t="array" ref="Y815">IF($A815="","",IF(TRIM($B815)="","-",IFERROR(_xlfn.TEXTJOIN(" / ",TRUE,_xlfn.UNIQUE(_xlfn._xlws.FILTER('Ownership Matrix'!$C$5:$C$200,('Ownership Matrix'!$A$5:$A$200=TRIM($B815))*('Ownership Matrix'!$C$5:$C$200&lt;&gt;"")))),"ไม่พบใน Ownership Matrix")))</f>
        <v/>
      </c>
      <c r="Z815" s="31" t="str">
        <f>IF(NOT(AND($A815&lt;&gt;"",$M815&lt;&gt;"Out of Scope",$M815&lt;&gt;"Canceled",$T815&lt;&gt;"Fixed – Retest Passed",OR(LEN(TRIM($O815))&gt;0,LEN(TRIM($P815))&gt;0))),"",IF(OR($W815="Failed",$R815="Urgent",$R815="High",$R815="ระบุ Severity + Impact"),IF(COUNTIFS(Dashboard!$B$105:$B$124,$O815,Dashboard!$I$105:$I$124,"CAB")&gt;0,"Accepted (CF)","Blocking"),"Deferrable"))</f>
        <v/>
      </c>
    </row>
    <row r="816" spans="7:26" x14ac:dyDescent="0.3">
      <c r="G816" s="27" t="str" cm="1">
        <f t="array" ref="G816">IF($A816="","",IFERROR(_xlfn.TEXTJOIN(CHAR(10)&amp;CHAR(10),TRUE,_xlfn._xlws.FILTER("•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"&amp;Cards!$L$4:$L$1000),(Cards!$A$4:$A$1000&lt;&gt;"")*ISNUMBER(SEARCH($A816,Cards!$E$4:$E$1000)))),"-"))</f>
        <v/>
      </c>
      <c r="Q816" s="30"/>
      <c r="R816" s="27" t="str">
        <f>IF(OR($A816="",LEN(TRIM($O816))=0),"",IF(OR($P816="",$Q816=""),"ระบุ Severity + Impact",IFERROR(INDEX({"Urgent","Urgent","High","High";"Urgent","High","High","Medium";"High","High","Medium","Medium";"Medium","Medium","Low","Low"},MATCH($P816,{"Critical","High","Medium","Low"},0),MATCH($Q816,{"Extensive","Significant","Moderate","Minor"},0)),"-")))</f>
        <v/>
      </c>
      <c r="S816" s="30"/>
      <c r="T816" s="30"/>
      <c r="W816" s="32" t="str">
        <f>IF($A816="","",IF(OR($M816="Out of Scope",$M816="Canceled"),"Out of Scope",IF($M816="Blocked","Blocked",IF(AND($T816&lt;&gt;"Fixed – Retest Passed",OR(LEN(TRIM($O816))&gt;0,LEN(TRIM($P816))&gt;0)),IF(AND(OR($L816="Medium",$L816="Low"),SUMPRODUCT((Cards!$A$4:$A$1000&lt;&gt;"")*ISNUMBER(SEARCH($A816,Cards!$E$4:$E$1000))*(Cards!$F$4:$F$1000&lt;&gt;"Medium")*(Cards!$F$4:$F$1000&lt;&gt;"Low"))=0),"Conditionally Passed","Failed"),IF($M816="Done","Passed","Not Run")))))</f>
        <v/>
      </c>
      <c r="Y816" s="27" t="str" cm="1">
        <f t="array" ref="Y816">IF($A816="","",IF(TRIM($B816)="","-",IFERROR(_xlfn.TEXTJOIN(" / ",TRUE,_xlfn.UNIQUE(_xlfn._xlws.FILTER('Ownership Matrix'!$C$5:$C$200,('Ownership Matrix'!$A$5:$A$200=TRIM($B816))*('Ownership Matrix'!$C$5:$C$200&lt;&gt;"")))),"ไม่พบใน Ownership Matrix")))</f>
        <v/>
      </c>
      <c r="Z816" s="31" t="str">
        <f>IF(NOT(AND($A816&lt;&gt;"",$M816&lt;&gt;"Out of Scope",$M816&lt;&gt;"Canceled",$T816&lt;&gt;"Fixed – Retest Passed",OR(LEN(TRIM($O816))&gt;0,LEN(TRIM($P816))&gt;0))),"",IF(OR($W816="Failed",$R816="Urgent",$R816="High",$R816="ระบุ Severity + Impact"),IF(COUNTIFS(Dashboard!$B$105:$B$124,$O816,Dashboard!$I$105:$I$124,"CAB")&gt;0,"Accepted (CF)","Blocking"),"Deferrable"))</f>
        <v/>
      </c>
    </row>
    <row r="817" spans="7:26" x14ac:dyDescent="0.3">
      <c r="G817" s="27" t="str" cm="1">
        <f t="array" ref="G817">IF($A817="","",IFERROR(_xlfn.TEXTJOIN(CHAR(10)&amp;CHAR(10),TRUE,_xlfn._xlws.FILTER("•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"&amp;Cards!$L$4:$L$1000),(Cards!$A$4:$A$1000&lt;&gt;"")*ISNUMBER(SEARCH($A817,Cards!$E$4:$E$1000)))),"-"))</f>
        <v/>
      </c>
      <c r="Q817" s="30"/>
      <c r="R817" s="27" t="str">
        <f>IF(OR($A817="",LEN(TRIM($O817))=0),"",IF(OR($P817="",$Q817=""),"ระบุ Severity + Impact",IFERROR(INDEX({"Urgent","Urgent","High","High";"Urgent","High","High","Medium";"High","High","Medium","Medium";"Medium","Medium","Low","Low"},MATCH($P817,{"Critical","High","Medium","Low"},0),MATCH($Q817,{"Extensive","Significant","Moderate","Minor"},0)),"-")))</f>
        <v/>
      </c>
      <c r="S817" s="30"/>
      <c r="T817" s="30"/>
      <c r="W817" s="32" t="str">
        <f>IF($A817="","",IF(OR($M817="Out of Scope",$M817="Canceled"),"Out of Scope",IF($M817="Blocked","Blocked",IF(AND($T817&lt;&gt;"Fixed – Retest Passed",OR(LEN(TRIM($O817))&gt;0,LEN(TRIM($P817))&gt;0)),IF(AND(OR($L817="Medium",$L817="Low"),SUMPRODUCT((Cards!$A$4:$A$1000&lt;&gt;"")*ISNUMBER(SEARCH($A817,Cards!$E$4:$E$1000))*(Cards!$F$4:$F$1000&lt;&gt;"Medium")*(Cards!$F$4:$F$1000&lt;&gt;"Low"))=0),"Conditionally Passed","Failed"),IF($M817="Done","Passed","Not Run")))))</f>
        <v/>
      </c>
      <c r="Y817" s="27" t="str" cm="1">
        <f t="array" ref="Y817">IF($A817="","",IF(TRIM($B817)="","-",IFERROR(_xlfn.TEXTJOIN(" / ",TRUE,_xlfn.UNIQUE(_xlfn._xlws.FILTER('Ownership Matrix'!$C$5:$C$200,('Ownership Matrix'!$A$5:$A$200=TRIM($B817))*('Ownership Matrix'!$C$5:$C$200&lt;&gt;"")))),"ไม่พบใน Ownership Matrix")))</f>
        <v/>
      </c>
      <c r="Z817" s="31" t="str">
        <f>IF(NOT(AND($A817&lt;&gt;"",$M817&lt;&gt;"Out of Scope",$M817&lt;&gt;"Canceled",$T817&lt;&gt;"Fixed – Retest Passed",OR(LEN(TRIM($O817))&gt;0,LEN(TRIM($P817))&gt;0))),"",IF(OR($W817="Failed",$R817="Urgent",$R817="High",$R817="ระบุ Severity + Impact"),IF(COUNTIFS(Dashboard!$B$105:$B$124,$O817,Dashboard!$I$105:$I$124,"CAB")&gt;0,"Accepted (CF)","Blocking"),"Deferrable"))</f>
        <v/>
      </c>
    </row>
    <row r="818" spans="7:26" x14ac:dyDescent="0.3">
      <c r="G818" s="27" t="str" cm="1">
        <f t="array" ref="G818">IF($A818="","",IFERROR(_xlfn.TEXTJOIN(CHAR(10)&amp;CHAR(10),TRUE,_xlfn._xlws.FILTER("•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"&amp;Cards!$L$4:$L$1000),(Cards!$A$4:$A$1000&lt;&gt;"")*ISNUMBER(SEARCH($A818,Cards!$E$4:$E$1000)))),"-"))</f>
        <v/>
      </c>
      <c r="Q818" s="30"/>
      <c r="R818" s="27" t="str">
        <f>IF(OR($A818="",LEN(TRIM($O818))=0),"",IF(OR($P818="",$Q818=""),"ระบุ Severity + Impact",IFERROR(INDEX({"Urgent","Urgent","High","High";"Urgent","High","High","Medium";"High","High","Medium","Medium";"Medium","Medium","Low","Low"},MATCH($P818,{"Critical","High","Medium","Low"},0),MATCH($Q818,{"Extensive","Significant","Moderate","Minor"},0)),"-")))</f>
        <v/>
      </c>
      <c r="S818" s="30"/>
      <c r="T818" s="30"/>
      <c r="W818" s="32" t="str">
        <f>IF($A818="","",IF(OR($M818="Out of Scope",$M818="Canceled"),"Out of Scope",IF($M818="Blocked","Blocked",IF(AND($T818&lt;&gt;"Fixed – Retest Passed",OR(LEN(TRIM($O818))&gt;0,LEN(TRIM($P818))&gt;0)),IF(AND(OR($L818="Medium",$L818="Low"),SUMPRODUCT((Cards!$A$4:$A$1000&lt;&gt;"")*ISNUMBER(SEARCH($A818,Cards!$E$4:$E$1000))*(Cards!$F$4:$F$1000&lt;&gt;"Medium")*(Cards!$F$4:$F$1000&lt;&gt;"Low"))=0),"Conditionally Passed","Failed"),IF($M818="Done","Passed","Not Run")))))</f>
        <v/>
      </c>
      <c r="Y818" s="27" t="str" cm="1">
        <f t="array" ref="Y818">IF($A818="","",IF(TRIM($B818)="","-",IFERROR(_xlfn.TEXTJOIN(" / ",TRUE,_xlfn.UNIQUE(_xlfn._xlws.FILTER('Ownership Matrix'!$C$5:$C$200,('Ownership Matrix'!$A$5:$A$200=TRIM($B818))*('Ownership Matrix'!$C$5:$C$200&lt;&gt;"")))),"ไม่พบใน Ownership Matrix")))</f>
        <v/>
      </c>
      <c r="Z818" s="31" t="str">
        <f>IF(NOT(AND($A818&lt;&gt;"",$M818&lt;&gt;"Out of Scope",$M818&lt;&gt;"Canceled",$T818&lt;&gt;"Fixed – Retest Passed",OR(LEN(TRIM($O818))&gt;0,LEN(TRIM($P818))&gt;0))),"",IF(OR($W818="Failed",$R818="Urgent",$R818="High",$R818="ระบุ Severity + Impact"),IF(COUNTIFS(Dashboard!$B$105:$B$124,$O818,Dashboard!$I$105:$I$124,"CAB")&gt;0,"Accepted (CF)","Blocking"),"Deferrable"))</f>
        <v/>
      </c>
    </row>
    <row r="819" spans="7:26" x14ac:dyDescent="0.3">
      <c r="G819" s="27" t="str" cm="1">
        <f t="array" ref="G819">IF($A819="","",IFERROR(_xlfn.TEXTJOIN(CHAR(10)&amp;CHAR(10),TRUE,_xlfn._xlws.FILTER("•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"&amp;Cards!$L$4:$L$1000),(Cards!$A$4:$A$1000&lt;&gt;"")*ISNUMBER(SEARCH($A819,Cards!$E$4:$E$1000)))),"-"))</f>
        <v/>
      </c>
      <c r="Q819" s="30"/>
      <c r="R819" s="27" t="str">
        <f>IF(OR($A819="",LEN(TRIM($O819))=0),"",IF(OR($P819="",$Q819=""),"ระบุ Severity + Impact",IFERROR(INDEX({"Urgent","Urgent","High","High";"Urgent","High","High","Medium";"High","High","Medium","Medium";"Medium","Medium","Low","Low"},MATCH($P819,{"Critical","High","Medium","Low"},0),MATCH($Q819,{"Extensive","Significant","Moderate","Minor"},0)),"-")))</f>
        <v/>
      </c>
      <c r="S819" s="30"/>
      <c r="T819" s="30"/>
      <c r="W819" s="32" t="str">
        <f>IF($A819="","",IF(OR($M819="Out of Scope",$M819="Canceled"),"Out of Scope",IF($M819="Blocked","Blocked",IF(AND($T819&lt;&gt;"Fixed – Retest Passed",OR(LEN(TRIM($O819))&gt;0,LEN(TRIM($P819))&gt;0)),IF(AND(OR($L819="Medium",$L819="Low"),SUMPRODUCT((Cards!$A$4:$A$1000&lt;&gt;"")*ISNUMBER(SEARCH($A819,Cards!$E$4:$E$1000))*(Cards!$F$4:$F$1000&lt;&gt;"Medium")*(Cards!$F$4:$F$1000&lt;&gt;"Low"))=0),"Conditionally Passed","Failed"),IF($M819="Done","Passed","Not Run")))))</f>
        <v/>
      </c>
      <c r="Y819" s="27" t="str" cm="1">
        <f t="array" ref="Y819">IF($A819="","",IF(TRIM($B819)="","-",IFERROR(_xlfn.TEXTJOIN(" / ",TRUE,_xlfn.UNIQUE(_xlfn._xlws.FILTER('Ownership Matrix'!$C$5:$C$200,('Ownership Matrix'!$A$5:$A$200=TRIM($B819))*('Ownership Matrix'!$C$5:$C$200&lt;&gt;"")))),"ไม่พบใน Ownership Matrix")))</f>
        <v/>
      </c>
      <c r="Z819" s="31" t="str">
        <f>IF(NOT(AND($A819&lt;&gt;"",$M819&lt;&gt;"Out of Scope",$M819&lt;&gt;"Canceled",$T819&lt;&gt;"Fixed – Retest Passed",OR(LEN(TRIM($O819))&gt;0,LEN(TRIM($P819))&gt;0))),"",IF(OR($W819="Failed",$R819="Urgent",$R819="High",$R819="ระบุ Severity + Impact"),IF(COUNTIFS(Dashboard!$B$105:$B$124,$O819,Dashboard!$I$105:$I$124,"CAB")&gt;0,"Accepted (CF)","Blocking"),"Deferrable"))</f>
        <v/>
      </c>
    </row>
    <row r="820" spans="7:26" x14ac:dyDescent="0.3">
      <c r="G820" s="27" t="str" cm="1">
        <f t="array" ref="G820">IF($A820="","",IFERROR(_xlfn.TEXTJOIN(CHAR(10)&amp;CHAR(10),TRUE,_xlfn._xlws.FILTER("•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"&amp;Cards!$L$4:$L$1000),(Cards!$A$4:$A$1000&lt;&gt;"")*ISNUMBER(SEARCH($A820,Cards!$E$4:$E$1000)))),"-"))</f>
        <v/>
      </c>
      <c r="Q820" s="30"/>
      <c r="R820" s="27" t="str">
        <f>IF(OR($A820="",LEN(TRIM($O820))=0),"",IF(OR($P820="",$Q820=""),"ระบุ Severity + Impact",IFERROR(INDEX({"Urgent","Urgent","High","High";"Urgent","High","High","Medium";"High","High","Medium","Medium";"Medium","Medium","Low","Low"},MATCH($P820,{"Critical","High","Medium","Low"},0),MATCH($Q820,{"Extensive","Significant","Moderate","Minor"},0)),"-")))</f>
        <v/>
      </c>
      <c r="S820" s="30"/>
      <c r="T820" s="30"/>
      <c r="W820" s="32" t="str">
        <f>IF($A820="","",IF(OR($M820="Out of Scope",$M820="Canceled"),"Out of Scope",IF($M820="Blocked","Blocked",IF(AND($T820&lt;&gt;"Fixed – Retest Passed",OR(LEN(TRIM($O820))&gt;0,LEN(TRIM($P820))&gt;0)),IF(AND(OR($L820="Medium",$L820="Low"),SUMPRODUCT((Cards!$A$4:$A$1000&lt;&gt;"")*ISNUMBER(SEARCH($A820,Cards!$E$4:$E$1000))*(Cards!$F$4:$F$1000&lt;&gt;"Medium")*(Cards!$F$4:$F$1000&lt;&gt;"Low"))=0),"Conditionally Passed","Failed"),IF($M820="Done","Passed","Not Run")))))</f>
        <v/>
      </c>
      <c r="Y820" s="27" t="str" cm="1">
        <f t="array" ref="Y820">IF($A820="","",IF(TRIM($B820)="","-",IFERROR(_xlfn.TEXTJOIN(" / ",TRUE,_xlfn.UNIQUE(_xlfn._xlws.FILTER('Ownership Matrix'!$C$5:$C$200,('Ownership Matrix'!$A$5:$A$200=TRIM($B820))*('Ownership Matrix'!$C$5:$C$200&lt;&gt;"")))),"ไม่พบใน Ownership Matrix")))</f>
        <v/>
      </c>
      <c r="Z820" s="31" t="str">
        <f>IF(NOT(AND($A820&lt;&gt;"",$M820&lt;&gt;"Out of Scope",$M820&lt;&gt;"Canceled",$T820&lt;&gt;"Fixed – Retest Passed",OR(LEN(TRIM($O820))&gt;0,LEN(TRIM($P820))&gt;0))),"",IF(OR($W820="Failed",$R820="Urgent",$R820="High",$R820="ระบุ Severity + Impact"),IF(COUNTIFS(Dashboard!$B$105:$B$124,$O820,Dashboard!$I$105:$I$124,"CAB")&gt;0,"Accepted (CF)","Blocking"),"Deferrable"))</f>
        <v/>
      </c>
    </row>
    <row r="821" spans="7:26" x14ac:dyDescent="0.3">
      <c r="G821" s="27" t="str" cm="1">
        <f t="array" ref="G821">IF($A821="","",IFERROR(_xlfn.TEXTJOIN(CHAR(10)&amp;CHAR(10),TRUE,_xlfn._xlws.FILTER("•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"&amp;Cards!$L$4:$L$1000),(Cards!$A$4:$A$1000&lt;&gt;"")*ISNUMBER(SEARCH($A821,Cards!$E$4:$E$1000)))),"-"))</f>
        <v/>
      </c>
      <c r="Q821" s="30"/>
      <c r="R821" s="27" t="str">
        <f>IF(OR($A821="",LEN(TRIM($O821))=0),"",IF(OR($P821="",$Q821=""),"ระบุ Severity + Impact",IFERROR(INDEX({"Urgent","Urgent","High","High";"Urgent","High","High","Medium";"High","High","Medium","Medium";"Medium","Medium","Low","Low"},MATCH($P821,{"Critical","High","Medium","Low"},0),MATCH($Q821,{"Extensive","Significant","Moderate","Minor"},0)),"-")))</f>
        <v/>
      </c>
      <c r="S821" s="30"/>
      <c r="T821" s="30"/>
      <c r="W821" s="32" t="str">
        <f>IF($A821="","",IF(OR($M821="Out of Scope",$M821="Canceled"),"Out of Scope",IF($M821="Blocked","Blocked",IF(AND($T821&lt;&gt;"Fixed – Retest Passed",OR(LEN(TRIM($O821))&gt;0,LEN(TRIM($P821))&gt;0)),IF(AND(OR($L821="Medium",$L821="Low"),SUMPRODUCT((Cards!$A$4:$A$1000&lt;&gt;"")*ISNUMBER(SEARCH($A821,Cards!$E$4:$E$1000))*(Cards!$F$4:$F$1000&lt;&gt;"Medium")*(Cards!$F$4:$F$1000&lt;&gt;"Low"))=0),"Conditionally Passed","Failed"),IF($M821="Done","Passed","Not Run")))))</f>
        <v/>
      </c>
      <c r="Y821" s="27" t="str" cm="1">
        <f t="array" ref="Y821">IF($A821="","",IF(TRIM($B821)="","-",IFERROR(_xlfn.TEXTJOIN(" / ",TRUE,_xlfn.UNIQUE(_xlfn._xlws.FILTER('Ownership Matrix'!$C$5:$C$200,('Ownership Matrix'!$A$5:$A$200=TRIM($B821))*('Ownership Matrix'!$C$5:$C$200&lt;&gt;"")))),"ไม่พบใน Ownership Matrix")))</f>
        <v/>
      </c>
      <c r="Z821" s="31" t="str">
        <f>IF(NOT(AND($A821&lt;&gt;"",$M821&lt;&gt;"Out of Scope",$M821&lt;&gt;"Canceled",$T821&lt;&gt;"Fixed – Retest Passed",OR(LEN(TRIM($O821))&gt;0,LEN(TRIM($P821))&gt;0))),"",IF(OR($W821="Failed",$R821="Urgent",$R821="High",$R821="ระบุ Severity + Impact"),IF(COUNTIFS(Dashboard!$B$105:$B$124,$O821,Dashboard!$I$105:$I$124,"CAB")&gt;0,"Accepted (CF)","Blocking"),"Deferrable"))</f>
        <v/>
      </c>
    </row>
    <row r="822" spans="7:26" x14ac:dyDescent="0.3">
      <c r="G822" s="27" t="str" cm="1">
        <f t="array" ref="G822">IF($A822="","",IFERROR(_xlfn.TEXTJOIN(CHAR(10)&amp;CHAR(10),TRUE,_xlfn._xlws.FILTER("•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"&amp;Cards!$L$4:$L$1000),(Cards!$A$4:$A$1000&lt;&gt;"")*ISNUMBER(SEARCH($A822,Cards!$E$4:$E$1000)))),"-"))</f>
        <v/>
      </c>
      <c r="Q822" s="30"/>
      <c r="R822" s="27" t="str">
        <f>IF(OR($A822="",LEN(TRIM($O822))=0),"",IF(OR($P822="",$Q822=""),"ระบุ Severity + Impact",IFERROR(INDEX({"Urgent","Urgent","High","High";"Urgent","High","High","Medium";"High","High","Medium","Medium";"Medium","Medium","Low","Low"},MATCH($P822,{"Critical","High","Medium","Low"},0),MATCH($Q822,{"Extensive","Significant","Moderate","Minor"},0)),"-")))</f>
        <v/>
      </c>
      <c r="S822" s="30"/>
      <c r="T822" s="30"/>
      <c r="W822" s="32" t="str">
        <f>IF($A822="","",IF(OR($M822="Out of Scope",$M822="Canceled"),"Out of Scope",IF($M822="Blocked","Blocked",IF(AND($T822&lt;&gt;"Fixed – Retest Passed",OR(LEN(TRIM($O822))&gt;0,LEN(TRIM($P822))&gt;0)),IF(AND(OR($L822="Medium",$L822="Low"),SUMPRODUCT((Cards!$A$4:$A$1000&lt;&gt;"")*ISNUMBER(SEARCH($A822,Cards!$E$4:$E$1000))*(Cards!$F$4:$F$1000&lt;&gt;"Medium")*(Cards!$F$4:$F$1000&lt;&gt;"Low"))=0),"Conditionally Passed","Failed"),IF($M822="Done","Passed","Not Run")))))</f>
        <v/>
      </c>
      <c r="Y822" s="27" t="str" cm="1">
        <f t="array" ref="Y822">IF($A822="","",IF(TRIM($B822)="","-",IFERROR(_xlfn.TEXTJOIN(" / ",TRUE,_xlfn.UNIQUE(_xlfn._xlws.FILTER('Ownership Matrix'!$C$5:$C$200,('Ownership Matrix'!$A$5:$A$200=TRIM($B822))*('Ownership Matrix'!$C$5:$C$200&lt;&gt;"")))),"ไม่พบใน Ownership Matrix")))</f>
        <v/>
      </c>
      <c r="Z822" s="31" t="str">
        <f>IF(NOT(AND($A822&lt;&gt;"",$M822&lt;&gt;"Out of Scope",$M822&lt;&gt;"Canceled",$T822&lt;&gt;"Fixed – Retest Passed",OR(LEN(TRIM($O822))&gt;0,LEN(TRIM($P822))&gt;0))),"",IF(OR($W822="Failed",$R822="Urgent",$R822="High",$R822="ระบุ Severity + Impact"),IF(COUNTIFS(Dashboard!$B$105:$B$124,$O822,Dashboard!$I$105:$I$124,"CAB")&gt;0,"Accepted (CF)","Blocking"),"Deferrable"))</f>
        <v/>
      </c>
    </row>
    <row r="823" spans="7:26" x14ac:dyDescent="0.3">
      <c r="G823" s="27" t="str" cm="1">
        <f t="array" ref="G823">IF($A823="","",IFERROR(_xlfn.TEXTJOIN(CHAR(10)&amp;CHAR(10),TRUE,_xlfn._xlws.FILTER("•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"&amp;Cards!$L$4:$L$1000),(Cards!$A$4:$A$1000&lt;&gt;"")*ISNUMBER(SEARCH($A823,Cards!$E$4:$E$1000)))),"-"))</f>
        <v/>
      </c>
      <c r="Q823" s="30"/>
      <c r="R823" s="27" t="str">
        <f>IF(OR($A823="",LEN(TRIM($O823))=0),"",IF(OR($P823="",$Q823=""),"ระบุ Severity + Impact",IFERROR(INDEX({"Urgent","Urgent","High","High";"Urgent","High","High","Medium";"High","High","Medium","Medium";"Medium","Medium","Low","Low"},MATCH($P823,{"Critical","High","Medium","Low"},0),MATCH($Q823,{"Extensive","Significant","Moderate","Minor"},0)),"-")))</f>
        <v/>
      </c>
      <c r="S823" s="30"/>
      <c r="T823" s="30"/>
      <c r="W823" s="32" t="str">
        <f>IF($A823="","",IF(OR($M823="Out of Scope",$M823="Canceled"),"Out of Scope",IF($M823="Blocked","Blocked",IF(AND($T823&lt;&gt;"Fixed – Retest Passed",OR(LEN(TRIM($O823))&gt;0,LEN(TRIM($P823))&gt;0)),IF(AND(OR($L823="Medium",$L823="Low"),SUMPRODUCT((Cards!$A$4:$A$1000&lt;&gt;"")*ISNUMBER(SEARCH($A823,Cards!$E$4:$E$1000))*(Cards!$F$4:$F$1000&lt;&gt;"Medium")*(Cards!$F$4:$F$1000&lt;&gt;"Low"))=0),"Conditionally Passed","Failed"),IF($M823="Done","Passed","Not Run")))))</f>
        <v/>
      </c>
      <c r="Y823" s="27" t="str" cm="1">
        <f t="array" ref="Y823">IF($A823="","",IF(TRIM($B823)="","-",IFERROR(_xlfn.TEXTJOIN(" / ",TRUE,_xlfn.UNIQUE(_xlfn._xlws.FILTER('Ownership Matrix'!$C$5:$C$200,('Ownership Matrix'!$A$5:$A$200=TRIM($B823))*('Ownership Matrix'!$C$5:$C$200&lt;&gt;"")))),"ไม่พบใน Ownership Matrix")))</f>
        <v/>
      </c>
      <c r="Z823" s="31" t="str">
        <f>IF(NOT(AND($A823&lt;&gt;"",$M823&lt;&gt;"Out of Scope",$M823&lt;&gt;"Canceled",$T823&lt;&gt;"Fixed – Retest Passed",OR(LEN(TRIM($O823))&gt;0,LEN(TRIM($P823))&gt;0))),"",IF(OR($W823="Failed",$R823="Urgent",$R823="High",$R823="ระบุ Severity + Impact"),IF(COUNTIFS(Dashboard!$B$105:$B$124,$O823,Dashboard!$I$105:$I$124,"CAB")&gt;0,"Accepted (CF)","Blocking"),"Deferrable"))</f>
        <v/>
      </c>
    </row>
    <row r="824" spans="7:26" x14ac:dyDescent="0.3">
      <c r="G824" s="27" t="str" cm="1">
        <f t="array" ref="G824">IF($A824="","",IFERROR(_xlfn.TEXTJOIN(CHAR(10)&amp;CHAR(10),TRUE,_xlfn._xlws.FILTER("•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"&amp;Cards!$L$4:$L$1000),(Cards!$A$4:$A$1000&lt;&gt;"")*ISNUMBER(SEARCH($A824,Cards!$E$4:$E$1000)))),"-"))</f>
        <v/>
      </c>
      <c r="Q824" s="30"/>
      <c r="R824" s="27" t="str">
        <f>IF(OR($A824="",LEN(TRIM($O824))=0),"",IF(OR($P824="",$Q824=""),"ระบุ Severity + Impact",IFERROR(INDEX({"Urgent","Urgent","High","High";"Urgent","High","High","Medium";"High","High","Medium","Medium";"Medium","Medium","Low","Low"},MATCH($P824,{"Critical","High","Medium","Low"},0),MATCH($Q824,{"Extensive","Significant","Moderate","Minor"},0)),"-")))</f>
        <v/>
      </c>
      <c r="S824" s="30"/>
      <c r="T824" s="30"/>
      <c r="W824" s="32" t="str">
        <f>IF($A824="","",IF(OR($M824="Out of Scope",$M824="Canceled"),"Out of Scope",IF($M824="Blocked","Blocked",IF(AND($T824&lt;&gt;"Fixed – Retest Passed",OR(LEN(TRIM($O824))&gt;0,LEN(TRIM($P824))&gt;0)),IF(AND(OR($L824="Medium",$L824="Low"),SUMPRODUCT((Cards!$A$4:$A$1000&lt;&gt;"")*ISNUMBER(SEARCH($A824,Cards!$E$4:$E$1000))*(Cards!$F$4:$F$1000&lt;&gt;"Medium")*(Cards!$F$4:$F$1000&lt;&gt;"Low"))=0),"Conditionally Passed","Failed"),IF($M824="Done","Passed","Not Run")))))</f>
        <v/>
      </c>
      <c r="Y824" s="27" t="str" cm="1">
        <f t="array" ref="Y824">IF($A824="","",IF(TRIM($B824)="","-",IFERROR(_xlfn.TEXTJOIN(" / ",TRUE,_xlfn.UNIQUE(_xlfn._xlws.FILTER('Ownership Matrix'!$C$5:$C$200,('Ownership Matrix'!$A$5:$A$200=TRIM($B824))*('Ownership Matrix'!$C$5:$C$200&lt;&gt;"")))),"ไม่พบใน Ownership Matrix")))</f>
        <v/>
      </c>
      <c r="Z824" s="31" t="str">
        <f>IF(NOT(AND($A824&lt;&gt;"",$M824&lt;&gt;"Out of Scope",$M824&lt;&gt;"Canceled",$T824&lt;&gt;"Fixed – Retest Passed",OR(LEN(TRIM($O824))&gt;0,LEN(TRIM($P824))&gt;0))),"",IF(OR($W824="Failed",$R824="Urgent",$R824="High",$R824="ระบุ Severity + Impact"),IF(COUNTIFS(Dashboard!$B$105:$B$124,$O824,Dashboard!$I$105:$I$124,"CAB")&gt;0,"Accepted (CF)","Blocking"),"Deferrable"))</f>
        <v/>
      </c>
    </row>
    <row r="825" spans="7:26" x14ac:dyDescent="0.3">
      <c r="G825" s="27" t="str" cm="1">
        <f t="array" ref="G825">IF($A825="","",IFERROR(_xlfn.TEXTJOIN(CHAR(10)&amp;CHAR(10),TRUE,_xlfn._xlws.FILTER("•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"&amp;Cards!$L$4:$L$1000),(Cards!$A$4:$A$1000&lt;&gt;"")*ISNUMBER(SEARCH($A825,Cards!$E$4:$E$1000)))),"-"))</f>
        <v/>
      </c>
      <c r="Q825" s="30"/>
      <c r="R825" s="27" t="str">
        <f>IF(OR($A825="",LEN(TRIM($O825))=0),"",IF(OR($P825="",$Q825=""),"ระบุ Severity + Impact",IFERROR(INDEX({"Urgent","Urgent","High","High";"Urgent","High","High","Medium";"High","High","Medium","Medium";"Medium","Medium","Low","Low"},MATCH($P825,{"Critical","High","Medium","Low"},0),MATCH($Q825,{"Extensive","Significant","Moderate","Minor"},0)),"-")))</f>
        <v/>
      </c>
      <c r="S825" s="30"/>
      <c r="T825" s="30"/>
      <c r="W825" s="32" t="str">
        <f>IF($A825="","",IF(OR($M825="Out of Scope",$M825="Canceled"),"Out of Scope",IF($M825="Blocked","Blocked",IF(AND($T825&lt;&gt;"Fixed – Retest Passed",OR(LEN(TRIM($O825))&gt;0,LEN(TRIM($P825))&gt;0)),IF(AND(OR($L825="Medium",$L825="Low"),SUMPRODUCT((Cards!$A$4:$A$1000&lt;&gt;"")*ISNUMBER(SEARCH($A825,Cards!$E$4:$E$1000))*(Cards!$F$4:$F$1000&lt;&gt;"Medium")*(Cards!$F$4:$F$1000&lt;&gt;"Low"))=0),"Conditionally Passed","Failed"),IF($M825="Done","Passed","Not Run")))))</f>
        <v/>
      </c>
      <c r="Y825" s="27" t="str" cm="1">
        <f t="array" ref="Y825">IF($A825="","",IF(TRIM($B825)="","-",IFERROR(_xlfn.TEXTJOIN(" / ",TRUE,_xlfn.UNIQUE(_xlfn._xlws.FILTER('Ownership Matrix'!$C$5:$C$200,('Ownership Matrix'!$A$5:$A$200=TRIM($B825))*('Ownership Matrix'!$C$5:$C$200&lt;&gt;"")))),"ไม่พบใน Ownership Matrix")))</f>
        <v/>
      </c>
      <c r="Z825" s="31" t="str">
        <f>IF(NOT(AND($A825&lt;&gt;"",$M825&lt;&gt;"Out of Scope",$M825&lt;&gt;"Canceled",$T825&lt;&gt;"Fixed – Retest Passed",OR(LEN(TRIM($O825))&gt;0,LEN(TRIM($P825))&gt;0))),"",IF(OR($W825="Failed",$R825="Urgent",$R825="High",$R825="ระบุ Severity + Impact"),IF(COUNTIFS(Dashboard!$B$105:$B$124,$O825,Dashboard!$I$105:$I$124,"CAB")&gt;0,"Accepted (CF)","Blocking"),"Deferrable"))</f>
        <v/>
      </c>
    </row>
    <row r="826" spans="7:26" x14ac:dyDescent="0.3">
      <c r="G826" s="27" t="str" cm="1">
        <f t="array" ref="G826">IF($A826="","",IFERROR(_xlfn.TEXTJOIN(CHAR(10)&amp;CHAR(10),TRUE,_xlfn._xlws.FILTER("•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"&amp;Cards!$L$4:$L$1000),(Cards!$A$4:$A$1000&lt;&gt;"")*ISNUMBER(SEARCH($A826,Cards!$E$4:$E$1000)))),"-"))</f>
        <v/>
      </c>
      <c r="Q826" s="30"/>
      <c r="R826" s="27" t="str">
        <f>IF(OR($A826="",LEN(TRIM($O826))=0),"",IF(OR($P826="",$Q826=""),"ระบุ Severity + Impact",IFERROR(INDEX({"Urgent","Urgent","High","High";"Urgent","High","High","Medium";"High","High","Medium","Medium";"Medium","Medium","Low","Low"},MATCH($P826,{"Critical","High","Medium","Low"},0),MATCH($Q826,{"Extensive","Significant","Moderate","Minor"},0)),"-")))</f>
        <v/>
      </c>
      <c r="S826" s="30"/>
      <c r="T826" s="30"/>
      <c r="W826" s="32" t="str">
        <f>IF($A826="","",IF(OR($M826="Out of Scope",$M826="Canceled"),"Out of Scope",IF($M826="Blocked","Blocked",IF(AND($T826&lt;&gt;"Fixed – Retest Passed",OR(LEN(TRIM($O826))&gt;0,LEN(TRIM($P826))&gt;0)),IF(AND(OR($L826="Medium",$L826="Low"),SUMPRODUCT((Cards!$A$4:$A$1000&lt;&gt;"")*ISNUMBER(SEARCH($A826,Cards!$E$4:$E$1000))*(Cards!$F$4:$F$1000&lt;&gt;"Medium")*(Cards!$F$4:$F$1000&lt;&gt;"Low"))=0),"Conditionally Passed","Failed"),IF($M826="Done","Passed","Not Run")))))</f>
        <v/>
      </c>
      <c r="Y826" s="27" t="str" cm="1">
        <f t="array" ref="Y826">IF($A826="","",IF(TRIM($B826)="","-",IFERROR(_xlfn.TEXTJOIN(" / ",TRUE,_xlfn.UNIQUE(_xlfn._xlws.FILTER('Ownership Matrix'!$C$5:$C$200,('Ownership Matrix'!$A$5:$A$200=TRIM($B826))*('Ownership Matrix'!$C$5:$C$200&lt;&gt;"")))),"ไม่พบใน Ownership Matrix")))</f>
        <v/>
      </c>
      <c r="Z826" s="31" t="str">
        <f>IF(NOT(AND($A826&lt;&gt;"",$M826&lt;&gt;"Out of Scope",$M826&lt;&gt;"Canceled",$T826&lt;&gt;"Fixed – Retest Passed",OR(LEN(TRIM($O826))&gt;0,LEN(TRIM($P826))&gt;0))),"",IF(OR($W826="Failed",$R826="Urgent",$R826="High",$R826="ระบุ Severity + Impact"),IF(COUNTIFS(Dashboard!$B$105:$B$124,$O826,Dashboard!$I$105:$I$124,"CAB")&gt;0,"Accepted (CF)","Blocking"),"Deferrable"))</f>
        <v/>
      </c>
    </row>
    <row r="827" spans="7:26" x14ac:dyDescent="0.3">
      <c r="G827" s="27" t="str" cm="1">
        <f t="array" ref="G827">IF($A827="","",IFERROR(_xlfn.TEXTJOIN(CHAR(10)&amp;CHAR(10),TRUE,_xlfn._xlws.FILTER("•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"&amp;Cards!$L$4:$L$1000),(Cards!$A$4:$A$1000&lt;&gt;"")*ISNUMBER(SEARCH($A827,Cards!$E$4:$E$1000)))),"-"))</f>
        <v/>
      </c>
      <c r="Q827" s="30"/>
      <c r="R827" s="27" t="str">
        <f>IF(OR($A827="",LEN(TRIM($O827))=0),"",IF(OR($P827="",$Q827=""),"ระบุ Severity + Impact",IFERROR(INDEX({"Urgent","Urgent","High","High";"Urgent","High","High","Medium";"High","High","Medium","Medium";"Medium","Medium","Low","Low"},MATCH($P827,{"Critical","High","Medium","Low"},0),MATCH($Q827,{"Extensive","Significant","Moderate","Minor"},0)),"-")))</f>
        <v/>
      </c>
      <c r="S827" s="30"/>
      <c r="T827" s="30"/>
      <c r="W827" s="32" t="str">
        <f>IF($A827="","",IF(OR($M827="Out of Scope",$M827="Canceled"),"Out of Scope",IF($M827="Blocked","Blocked",IF(AND($T827&lt;&gt;"Fixed – Retest Passed",OR(LEN(TRIM($O827))&gt;0,LEN(TRIM($P827))&gt;0)),IF(AND(OR($L827="Medium",$L827="Low"),SUMPRODUCT((Cards!$A$4:$A$1000&lt;&gt;"")*ISNUMBER(SEARCH($A827,Cards!$E$4:$E$1000))*(Cards!$F$4:$F$1000&lt;&gt;"Medium")*(Cards!$F$4:$F$1000&lt;&gt;"Low"))=0),"Conditionally Passed","Failed"),IF($M827="Done","Passed","Not Run")))))</f>
        <v/>
      </c>
      <c r="Y827" s="27" t="str" cm="1">
        <f t="array" ref="Y827">IF($A827="","",IF(TRIM($B827)="","-",IFERROR(_xlfn.TEXTJOIN(" / ",TRUE,_xlfn.UNIQUE(_xlfn._xlws.FILTER('Ownership Matrix'!$C$5:$C$200,('Ownership Matrix'!$A$5:$A$200=TRIM($B827))*('Ownership Matrix'!$C$5:$C$200&lt;&gt;"")))),"ไม่พบใน Ownership Matrix")))</f>
        <v/>
      </c>
      <c r="Z827" s="31" t="str">
        <f>IF(NOT(AND($A827&lt;&gt;"",$M827&lt;&gt;"Out of Scope",$M827&lt;&gt;"Canceled",$T827&lt;&gt;"Fixed – Retest Passed",OR(LEN(TRIM($O827))&gt;0,LEN(TRIM($P827))&gt;0))),"",IF(OR($W827="Failed",$R827="Urgent",$R827="High",$R827="ระบุ Severity + Impact"),IF(COUNTIFS(Dashboard!$B$105:$B$124,$O827,Dashboard!$I$105:$I$124,"CAB")&gt;0,"Accepted (CF)","Blocking"),"Deferrable"))</f>
        <v/>
      </c>
    </row>
    <row r="828" spans="7:26" x14ac:dyDescent="0.3">
      <c r="G828" s="27" t="str" cm="1">
        <f t="array" ref="G828">IF($A828="","",IFERROR(_xlfn.TEXTJOIN(CHAR(10)&amp;CHAR(10),TRUE,_xlfn._xlws.FILTER("•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"&amp;Cards!$L$4:$L$1000),(Cards!$A$4:$A$1000&lt;&gt;"")*ISNUMBER(SEARCH($A828,Cards!$E$4:$E$1000)))),"-"))</f>
        <v/>
      </c>
      <c r="Q828" s="30"/>
      <c r="R828" s="27" t="str">
        <f>IF(OR($A828="",LEN(TRIM($O828))=0),"",IF(OR($P828="",$Q828=""),"ระบุ Severity + Impact",IFERROR(INDEX({"Urgent","Urgent","High","High";"Urgent","High","High","Medium";"High","High","Medium","Medium";"Medium","Medium","Low","Low"},MATCH($P828,{"Critical","High","Medium","Low"},0),MATCH($Q828,{"Extensive","Significant","Moderate","Minor"},0)),"-")))</f>
        <v/>
      </c>
      <c r="S828" s="30"/>
      <c r="T828" s="30"/>
      <c r="W828" s="32" t="str">
        <f>IF($A828="","",IF(OR($M828="Out of Scope",$M828="Canceled"),"Out of Scope",IF($M828="Blocked","Blocked",IF(AND($T828&lt;&gt;"Fixed – Retest Passed",OR(LEN(TRIM($O828))&gt;0,LEN(TRIM($P828))&gt;0)),IF(AND(OR($L828="Medium",$L828="Low"),SUMPRODUCT((Cards!$A$4:$A$1000&lt;&gt;"")*ISNUMBER(SEARCH($A828,Cards!$E$4:$E$1000))*(Cards!$F$4:$F$1000&lt;&gt;"Medium")*(Cards!$F$4:$F$1000&lt;&gt;"Low"))=0),"Conditionally Passed","Failed"),IF($M828="Done","Passed","Not Run")))))</f>
        <v/>
      </c>
      <c r="Y828" s="27" t="str" cm="1">
        <f t="array" ref="Y828">IF($A828="","",IF(TRIM($B828)="","-",IFERROR(_xlfn.TEXTJOIN(" / ",TRUE,_xlfn.UNIQUE(_xlfn._xlws.FILTER('Ownership Matrix'!$C$5:$C$200,('Ownership Matrix'!$A$5:$A$200=TRIM($B828))*('Ownership Matrix'!$C$5:$C$200&lt;&gt;"")))),"ไม่พบใน Ownership Matrix")))</f>
        <v/>
      </c>
      <c r="Z828" s="31" t="str">
        <f>IF(NOT(AND($A828&lt;&gt;"",$M828&lt;&gt;"Out of Scope",$M828&lt;&gt;"Canceled",$T828&lt;&gt;"Fixed – Retest Passed",OR(LEN(TRIM($O828))&gt;0,LEN(TRIM($P828))&gt;0))),"",IF(OR($W828="Failed",$R828="Urgent",$R828="High",$R828="ระบุ Severity + Impact"),IF(COUNTIFS(Dashboard!$B$105:$B$124,$O828,Dashboard!$I$105:$I$124,"CAB")&gt;0,"Accepted (CF)","Blocking"),"Deferrable"))</f>
        <v/>
      </c>
    </row>
    <row r="829" spans="7:26" x14ac:dyDescent="0.3">
      <c r="G829" s="27" t="str" cm="1">
        <f t="array" ref="G829">IF($A829="","",IFERROR(_xlfn.TEXTJOIN(CHAR(10)&amp;CHAR(10),TRUE,_xlfn._xlws.FILTER("•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"&amp;Cards!$L$4:$L$1000),(Cards!$A$4:$A$1000&lt;&gt;"")*ISNUMBER(SEARCH($A829,Cards!$E$4:$E$1000)))),"-"))</f>
        <v/>
      </c>
      <c r="Q829" s="30"/>
      <c r="R829" s="27" t="str">
        <f>IF(OR($A829="",LEN(TRIM($O829))=0),"",IF(OR($P829="",$Q829=""),"ระบุ Severity + Impact",IFERROR(INDEX({"Urgent","Urgent","High","High";"Urgent","High","High","Medium";"High","High","Medium","Medium";"Medium","Medium","Low","Low"},MATCH($P829,{"Critical","High","Medium","Low"},0),MATCH($Q829,{"Extensive","Significant","Moderate","Minor"},0)),"-")))</f>
        <v/>
      </c>
      <c r="S829" s="30"/>
      <c r="T829" s="30"/>
      <c r="W829" s="32" t="str">
        <f>IF($A829="","",IF(OR($M829="Out of Scope",$M829="Canceled"),"Out of Scope",IF($M829="Blocked","Blocked",IF(AND($T829&lt;&gt;"Fixed – Retest Passed",OR(LEN(TRIM($O829))&gt;0,LEN(TRIM($P829))&gt;0)),IF(AND(OR($L829="Medium",$L829="Low"),SUMPRODUCT((Cards!$A$4:$A$1000&lt;&gt;"")*ISNUMBER(SEARCH($A829,Cards!$E$4:$E$1000))*(Cards!$F$4:$F$1000&lt;&gt;"Medium")*(Cards!$F$4:$F$1000&lt;&gt;"Low"))=0),"Conditionally Passed","Failed"),IF($M829="Done","Passed","Not Run")))))</f>
        <v/>
      </c>
      <c r="Y829" s="27" t="str" cm="1">
        <f t="array" ref="Y829">IF($A829="","",IF(TRIM($B829)="","-",IFERROR(_xlfn.TEXTJOIN(" / ",TRUE,_xlfn.UNIQUE(_xlfn._xlws.FILTER('Ownership Matrix'!$C$5:$C$200,('Ownership Matrix'!$A$5:$A$200=TRIM($B829))*('Ownership Matrix'!$C$5:$C$200&lt;&gt;"")))),"ไม่พบใน Ownership Matrix")))</f>
        <v/>
      </c>
      <c r="Z829" s="31" t="str">
        <f>IF(NOT(AND($A829&lt;&gt;"",$M829&lt;&gt;"Out of Scope",$M829&lt;&gt;"Canceled",$T829&lt;&gt;"Fixed – Retest Passed",OR(LEN(TRIM($O829))&gt;0,LEN(TRIM($P829))&gt;0))),"",IF(OR($W829="Failed",$R829="Urgent",$R829="High",$R829="ระบุ Severity + Impact"),IF(COUNTIFS(Dashboard!$B$105:$B$124,$O829,Dashboard!$I$105:$I$124,"CAB")&gt;0,"Accepted (CF)","Blocking"),"Deferrable"))</f>
        <v/>
      </c>
    </row>
    <row r="830" spans="7:26" x14ac:dyDescent="0.3">
      <c r="G830" s="27" t="str" cm="1">
        <f t="array" ref="G830">IF($A830="","",IFERROR(_xlfn.TEXTJOIN(CHAR(10)&amp;CHAR(10),TRUE,_xlfn._xlws.FILTER("•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"&amp;Cards!$L$4:$L$1000),(Cards!$A$4:$A$1000&lt;&gt;"")*ISNUMBER(SEARCH($A830,Cards!$E$4:$E$1000)))),"-"))</f>
        <v/>
      </c>
      <c r="Q830" s="30"/>
      <c r="R830" s="27" t="str">
        <f>IF(OR($A830="",LEN(TRIM($O830))=0),"",IF(OR($P830="",$Q830=""),"ระบุ Severity + Impact",IFERROR(INDEX({"Urgent","Urgent","High","High";"Urgent","High","High","Medium";"High","High","Medium","Medium";"Medium","Medium","Low","Low"},MATCH($P830,{"Critical","High","Medium","Low"},0),MATCH($Q830,{"Extensive","Significant","Moderate","Minor"},0)),"-")))</f>
        <v/>
      </c>
      <c r="S830" s="30"/>
      <c r="T830" s="30"/>
      <c r="W830" s="32" t="str">
        <f>IF($A830="","",IF(OR($M830="Out of Scope",$M830="Canceled"),"Out of Scope",IF($M830="Blocked","Blocked",IF(AND($T830&lt;&gt;"Fixed – Retest Passed",OR(LEN(TRIM($O830))&gt;0,LEN(TRIM($P830))&gt;0)),IF(AND(OR($L830="Medium",$L830="Low"),SUMPRODUCT((Cards!$A$4:$A$1000&lt;&gt;"")*ISNUMBER(SEARCH($A830,Cards!$E$4:$E$1000))*(Cards!$F$4:$F$1000&lt;&gt;"Medium")*(Cards!$F$4:$F$1000&lt;&gt;"Low"))=0),"Conditionally Passed","Failed"),IF($M830="Done","Passed","Not Run")))))</f>
        <v/>
      </c>
      <c r="Y830" s="27" t="str" cm="1">
        <f t="array" ref="Y830">IF($A830="","",IF(TRIM($B830)="","-",IFERROR(_xlfn.TEXTJOIN(" / ",TRUE,_xlfn.UNIQUE(_xlfn._xlws.FILTER('Ownership Matrix'!$C$5:$C$200,('Ownership Matrix'!$A$5:$A$200=TRIM($B830))*('Ownership Matrix'!$C$5:$C$200&lt;&gt;"")))),"ไม่พบใน Ownership Matrix")))</f>
        <v/>
      </c>
      <c r="Z830" s="31" t="str">
        <f>IF(NOT(AND($A830&lt;&gt;"",$M830&lt;&gt;"Out of Scope",$M830&lt;&gt;"Canceled",$T830&lt;&gt;"Fixed – Retest Passed",OR(LEN(TRIM($O830))&gt;0,LEN(TRIM($P830))&gt;0))),"",IF(OR($W830="Failed",$R830="Urgent",$R830="High",$R830="ระบุ Severity + Impact"),IF(COUNTIFS(Dashboard!$B$105:$B$124,$O830,Dashboard!$I$105:$I$124,"CAB")&gt;0,"Accepted (CF)","Blocking"),"Deferrable"))</f>
        <v/>
      </c>
    </row>
    <row r="831" spans="7:26" x14ac:dyDescent="0.3">
      <c r="G831" s="27" t="str" cm="1">
        <f t="array" ref="G831">IF($A831="","",IFERROR(_xlfn.TEXTJOIN(CHAR(10)&amp;CHAR(10),TRUE,_xlfn._xlws.FILTER("•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"&amp;Cards!$L$4:$L$1000),(Cards!$A$4:$A$1000&lt;&gt;"")*ISNUMBER(SEARCH($A831,Cards!$E$4:$E$1000)))),"-"))</f>
        <v/>
      </c>
      <c r="Q831" s="30"/>
      <c r="R831" s="27" t="str">
        <f>IF(OR($A831="",LEN(TRIM($O831))=0),"",IF(OR($P831="",$Q831=""),"ระบุ Severity + Impact",IFERROR(INDEX({"Urgent","Urgent","High","High";"Urgent","High","High","Medium";"High","High","Medium","Medium";"Medium","Medium","Low","Low"},MATCH($P831,{"Critical","High","Medium","Low"},0),MATCH($Q831,{"Extensive","Significant","Moderate","Minor"},0)),"-")))</f>
        <v/>
      </c>
      <c r="S831" s="30"/>
      <c r="T831" s="30"/>
      <c r="W831" s="32" t="str">
        <f>IF($A831="","",IF(OR($M831="Out of Scope",$M831="Canceled"),"Out of Scope",IF($M831="Blocked","Blocked",IF(AND($T831&lt;&gt;"Fixed – Retest Passed",OR(LEN(TRIM($O831))&gt;0,LEN(TRIM($P831))&gt;0)),IF(AND(OR($L831="Medium",$L831="Low"),SUMPRODUCT((Cards!$A$4:$A$1000&lt;&gt;"")*ISNUMBER(SEARCH($A831,Cards!$E$4:$E$1000))*(Cards!$F$4:$F$1000&lt;&gt;"Medium")*(Cards!$F$4:$F$1000&lt;&gt;"Low"))=0),"Conditionally Passed","Failed"),IF($M831="Done","Passed","Not Run")))))</f>
        <v/>
      </c>
      <c r="Y831" s="27" t="str" cm="1">
        <f t="array" ref="Y831">IF($A831="","",IF(TRIM($B831)="","-",IFERROR(_xlfn.TEXTJOIN(" / ",TRUE,_xlfn.UNIQUE(_xlfn._xlws.FILTER('Ownership Matrix'!$C$5:$C$200,('Ownership Matrix'!$A$5:$A$200=TRIM($B831))*('Ownership Matrix'!$C$5:$C$200&lt;&gt;"")))),"ไม่พบใน Ownership Matrix")))</f>
        <v/>
      </c>
      <c r="Z831" s="31" t="str">
        <f>IF(NOT(AND($A831&lt;&gt;"",$M831&lt;&gt;"Out of Scope",$M831&lt;&gt;"Canceled",$T831&lt;&gt;"Fixed – Retest Passed",OR(LEN(TRIM($O831))&gt;0,LEN(TRIM($P831))&gt;0))),"",IF(OR($W831="Failed",$R831="Urgent",$R831="High",$R831="ระบุ Severity + Impact"),IF(COUNTIFS(Dashboard!$B$105:$B$124,$O831,Dashboard!$I$105:$I$124,"CAB")&gt;0,"Accepted (CF)","Blocking"),"Deferrable"))</f>
        <v/>
      </c>
    </row>
    <row r="832" spans="7:26" x14ac:dyDescent="0.3">
      <c r="G832" s="27" t="str" cm="1">
        <f t="array" ref="G832">IF($A832="","",IFERROR(_xlfn.TEXTJOIN(CHAR(10)&amp;CHAR(10),TRUE,_xlfn._xlws.FILTER("•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"&amp;Cards!$L$4:$L$1000),(Cards!$A$4:$A$1000&lt;&gt;"")*ISNUMBER(SEARCH($A832,Cards!$E$4:$E$1000)))),"-"))</f>
        <v/>
      </c>
      <c r="Q832" s="30"/>
      <c r="R832" s="27" t="str">
        <f>IF(OR($A832="",LEN(TRIM($O832))=0),"",IF(OR($P832="",$Q832=""),"ระบุ Severity + Impact",IFERROR(INDEX({"Urgent","Urgent","High","High";"Urgent","High","High","Medium";"High","High","Medium","Medium";"Medium","Medium","Low","Low"},MATCH($P832,{"Critical","High","Medium","Low"},0),MATCH($Q832,{"Extensive","Significant","Moderate","Minor"},0)),"-")))</f>
        <v/>
      </c>
      <c r="S832" s="30"/>
      <c r="T832" s="30"/>
      <c r="W832" s="32" t="str">
        <f>IF($A832="","",IF(OR($M832="Out of Scope",$M832="Canceled"),"Out of Scope",IF($M832="Blocked","Blocked",IF(AND($T832&lt;&gt;"Fixed – Retest Passed",OR(LEN(TRIM($O832))&gt;0,LEN(TRIM($P832))&gt;0)),IF(AND(OR($L832="Medium",$L832="Low"),SUMPRODUCT((Cards!$A$4:$A$1000&lt;&gt;"")*ISNUMBER(SEARCH($A832,Cards!$E$4:$E$1000))*(Cards!$F$4:$F$1000&lt;&gt;"Medium")*(Cards!$F$4:$F$1000&lt;&gt;"Low"))=0),"Conditionally Passed","Failed"),IF($M832="Done","Passed","Not Run")))))</f>
        <v/>
      </c>
      <c r="Y832" s="27" t="str" cm="1">
        <f t="array" ref="Y832">IF($A832="","",IF(TRIM($B832)="","-",IFERROR(_xlfn.TEXTJOIN(" / ",TRUE,_xlfn.UNIQUE(_xlfn._xlws.FILTER('Ownership Matrix'!$C$5:$C$200,('Ownership Matrix'!$A$5:$A$200=TRIM($B832))*('Ownership Matrix'!$C$5:$C$200&lt;&gt;"")))),"ไม่พบใน Ownership Matrix")))</f>
        <v/>
      </c>
      <c r="Z832" s="31" t="str">
        <f>IF(NOT(AND($A832&lt;&gt;"",$M832&lt;&gt;"Out of Scope",$M832&lt;&gt;"Canceled",$T832&lt;&gt;"Fixed – Retest Passed",OR(LEN(TRIM($O832))&gt;0,LEN(TRIM($P832))&gt;0))),"",IF(OR($W832="Failed",$R832="Urgent",$R832="High",$R832="ระบุ Severity + Impact"),IF(COUNTIFS(Dashboard!$B$105:$B$124,$O832,Dashboard!$I$105:$I$124,"CAB")&gt;0,"Accepted (CF)","Blocking"),"Deferrable"))</f>
        <v/>
      </c>
    </row>
    <row r="833" spans="7:26" x14ac:dyDescent="0.3">
      <c r="G833" s="27" t="str" cm="1">
        <f t="array" ref="G833">IF($A833="","",IFERROR(_xlfn.TEXTJOIN(CHAR(10)&amp;CHAR(10),TRUE,_xlfn._xlws.FILTER("•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"&amp;Cards!$L$4:$L$1000),(Cards!$A$4:$A$1000&lt;&gt;"")*ISNUMBER(SEARCH($A833,Cards!$E$4:$E$1000)))),"-"))</f>
        <v/>
      </c>
      <c r="Q833" s="30"/>
      <c r="R833" s="27" t="str">
        <f>IF(OR($A833="",LEN(TRIM($O833))=0),"",IF(OR($P833="",$Q833=""),"ระบุ Severity + Impact",IFERROR(INDEX({"Urgent","Urgent","High","High";"Urgent","High","High","Medium";"High","High","Medium","Medium";"Medium","Medium","Low","Low"},MATCH($P833,{"Critical","High","Medium","Low"},0),MATCH($Q833,{"Extensive","Significant","Moderate","Minor"},0)),"-")))</f>
        <v/>
      </c>
      <c r="S833" s="30"/>
      <c r="T833" s="30"/>
      <c r="W833" s="32" t="str">
        <f>IF($A833="","",IF(OR($M833="Out of Scope",$M833="Canceled"),"Out of Scope",IF($M833="Blocked","Blocked",IF(AND($T833&lt;&gt;"Fixed – Retest Passed",OR(LEN(TRIM($O833))&gt;0,LEN(TRIM($P833))&gt;0)),IF(AND(OR($L833="Medium",$L833="Low"),SUMPRODUCT((Cards!$A$4:$A$1000&lt;&gt;"")*ISNUMBER(SEARCH($A833,Cards!$E$4:$E$1000))*(Cards!$F$4:$F$1000&lt;&gt;"Medium")*(Cards!$F$4:$F$1000&lt;&gt;"Low"))=0),"Conditionally Passed","Failed"),IF($M833="Done","Passed","Not Run")))))</f>
        <v/>
      </c>
      <c r="Y833" s="27" t="str" cm="1">
        <f t="array" ref="Y833">IF($A833="","",IF(TRIM($B833)="","-",IFERROR(_xlfn.TEXTJOIN(" / ",TRUE,_xlfn.UNIQUE(_xlfn._xlws.FILTER('Ownership Matrix'!$C$5:$C$200,('Ownership Matrix'!$A$5:$A$200=TRIM($B833))*('Ownership Matrix'!$C$5:$C$200&lt;&gt;"")))),"ไม่พบใน Ownership Matrix")))</f>
        <v/>
      </c>
      <c r="Z833" s="31" t="str">
        <f>IF(NOT(AND($A833&lt;&gt;"",$M833&lt;&gt;"Out of Scope",$M833&lt;&gt;"Canceled",$T833&lt;&gt;"Fixed – Retest Passed",OR(LEN(TRIM($O833))&gt;0,LEN(TRIM($P833))&gt;0))),"",IF(OR($W833="Failed",$R833="Urgent",$R833="High",$R833="ระบุ Severity + Impact"),IF(COUNTIFS(Dashboard!$B$105:$B$124,$O833,Dashboard!$I$105:$I$124,"CAB")&gt;0,"Accepted (CF)","Blocking"),"Deferrable"))</f>
        <v/>
      </c>
    </row>
    <row r="834" spans="7:26" x14ac:dyDescent="0.3">
      <c r="G834" s="27" t="str" cm="1">
        <f t="array" ref="G834">IF($A834="","",IFERROR(_xlfn.TEXTJOIN(CHAR(10)&amp;CHAR(10),TRUE,_xlfn._xlws.FILTER("•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"&amp;Cards!$L$4:$L$1000),(Cards!$A$4:$A$1000&lt;&gt;"")*ISNUMBER(SEARCH($A834,Cards!$E$4:$E$1000)))),"-"))</f>
        <v/>
      </c>
      <c r="Q834" s="30"/>
      <c r="R834" s="27" t="str">
        <f>IF(OR($A834="",LEN(TRIM($O834))=0),"",IF(OR($P834="",$Q834=""),"ระบุ Severity + Impact",IFERROR(INDEX({"Urgent","Urgent","High","High";"Urgent","High","High","Medium";"High","High","Medium","Medium";"Medium","Medium","Low","Low"},MATCH($P834,{"Critical","High","Medium","Low"},0),MATCH($Q834,{"Extensive","Significant","Moderate","Minor"},0)),"-")))</f>
        <v/>
      </c>
      <c r="S834" s="30"/>
      <c r="T834" s="30"/>
      <c r="W834" s="32" t="str">
        <f>IF($A834="","",IF(OR($M834="Out of Scope",$M834="Canceled"),"Out of Scope",IF($M834="Blocked","Blocked",IF(AND($T834&lt;&gt;"Fixed – Retest Passed",OR(LEN(TRIM($O834))&gt;0,LEN(TRIM($P834))&gt;0)),IF(AND(OR($L834="Medium",$L834="Low"),SUMPRODUCT((Cards!$A$4:$A$1000&lt;&gt;"")*ISNUMBER(SEARCH($A834,Cards!$E$4:$E$1000))*(Cards!$F$4:$F$1000&lt;&gt;"Medium")*(Cards!$F$4:$F$1000&lt;&gt;"Low"))=0),"Conditionally Passed","Failed"),IF($M834="Done","Passed","Not Run")))))</f>
        <v/>
      </c>
      <c r="Y834" s="27" t="str" cm="1">
        <f t="array" ref="Y834">IF($A834="","",IF(TRIM($B834)="","-",IFERROR(_xlfn.TEXTJOIN(" / ",TRUE,_xlfn.UNIQUE(_xlfn._xlws.FILTER('Ownership Matrix'!$C$5:$C$200,('Ownership Matrix'!$A$5:$A$200=TRIM($B834))*('Ownership Matrix'!$C$5:$C$200&lt;&gt;"")))),"ไม่พบใน Ownership Matrix")))</f>
        <v/>
      </c>
      <c r="Z834" s="31" t="str">
        <f>IF(NOT(AND($A834&lt;&gt;"",$M834&lt;&gt;"Out of Scope",$M834&lt;&gt;"Canceled",$T834&lt;&gt;"Fixed – Retest Passed",OR(LEN(TRIM($O834))&gt;0,LEN(TRIM($P834))&gt;0))),"",IF(OR($W834="Failed",$R834="Urgent",$R834="High",$R834="ระบุ Severity + Impact"),IF(COUNTIFS(Dashboard!$B$105:$B$124,$O834,Dashboard!$I$105:$I$124,"CAB")&gt;0,"Accepted (CF)","Blocking"),"Deferrable"))</f>
        <v/>
      </c>
    </row>
    <row r="835" spans="7:26" x14ac:dyDescent="0.3">
      <c r="G835" s="27" t="str" cm="1">
        <f t="array" ref="G835">IF($A835="","",IFERROR(_xlfn.TEXTJOIN(CHAR(10)&amp;CHAR(10),TRUE,_xlfn._xlws.FILTER("•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"&amp;Cards!$L$4:$L$1000),(Cards!$A$4:$A$1000&lt;&gt;"")*ISNUMBER(SEARCH($A835,Cards!$E$4:$E$1000)))),"-"))</f>
        <v/>
      </c>
      <c r="Q835" s="30"/>
      <c r="R835" s="27" t="str">
        <f>IF(OR($A835="",LEN(TRIM($O835))=0),"",IF(OR($P835="",$Q835=""),"ระบุ Severity + Impact",IFERROR(INDEX({"Urgent","Urgent","High","High";"Urgent","High","High","Medium";"High","High","Medium","Medium";"Medium","Medium","Low","Low"},MATCH($P835,{"Critical","High","Medium","Low"},0),MATCH($Q835,{"Extensive","Significant","Moderate","Minor"},0)),"-")))</f>
        <v/>
      </c>
      <c r="S835" s="30"/>
      <c r="T835" s="30"/>
      <c r="W835" s="32" t="str">
        <f>IF($A835="","",IF(OR($M835="Out of Scope",$M835="Canceled"),"Out of Scope",IF($M835="Blocked","Blocked",IF(AND($T835&lt;&gt;"Fixed – Retest Passed",OR(LEN(TRIM($O835))&gt;0,LEN(TRIM($P835))&gt;0)),IF(AND(OR($L835="Medium",$L835="Low"),SUMPRODUCT((Cards!$A$4:$A$1000&lt;&gt;"")*ISNUMBER(SEARCH($A835,Cards!$E$4:$E$1000))*(Cards!$F$4:$F$1000&lt;&gt;"Medium")*(Cards!$F$4:$F$1000&lt;&gt;"Low"))=0),"Conditionally Passed","Failed"),IF($M835="Done","Passed","Not Run")))))</f>
        <v/>
      </c>
      <c r="Y835" s="27" t="str" cm="1">
        <f t="array" ref="Y835">IF($A835="","",IF(TRIM($B835)="","-",IFERROR(_xlfn.TEXTJOIN(" / ",TRUE,_xlfn.UNIQUE(_xlfn._xlws.FILTER('Ownership Matrix'!$C$5:$C$200,('Ownership Matrix'!$A$5:$A$200=TRIM($B835))*('Ownership Matrix'!$C$5:$C$200&lt;&gt;"")))),"ไม่พบใน Ownership Matrix")))</f>
        <v/>
      </c>
      <c r="Z835" s="31" t="str">
        <f>IF(NOT(AND($A835&lt;&gt;"",$M835&lt;&gt;"Out of Scope",$M835&lt;&gt;"Canceled",$T835&lt;&gt;"Fixed – Retest Passed",OR(LEN(TRIM($O835))&gt;0,LEN(TRIM($P835))&gt;0))),"",IF(OR($W835="Failed",$R835="Urgent",$R835="High",$R835="ระบุ Severity + Impact"),IF(COUNTIFS(Dashboard!$B$105:$B$124,$O835,Dashboard!$I$105:$I$124,"CAB")&gt;0,"Accepted (CF)","Blocking"),"Deferrable"))</f>
        <v/>
      </c>
    </row>
    <row r="836" spans="7:26" x14ac:dyDescent="0.3">
      <c r="G836" s="27" t="str" cm="1">
        <f t="array" ref="G836">IF($A836="","",IFERROR(_xlfn.TEXTJOIN(CHAR(10)&amp;CHAR(10),TRUE,_xlfn._xlws.FILTER("•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"&amp;Cards!$L$4:$L$1000),(Cards!$A$4:$A$1000&lt;&gt;"")*ISNUMBER(SEARCH($A836,Cards!$E$4:$E$1000)))),"-"))</f>
        <v/>
      </c>
      <c r="Q836" s="30"/>
      <c r="R836" s="27" t="str">
        <f>IF(OR($A836="",LEN(TRIM($O836))=0),"",IF(OR($P836="",$Q836=""),"ระบุ Severity + Impact",IFERROR(INDEX({"Urgent","Urgent","High","High";"Urgent","High","High","Medium";"High","High","Medium","Medium";"Medium","Medium","Low","Low"},MATCH($P836,{"Critical","High","Medium","Low"},0),MATCH($Q836,{"Extensive","Significant","Moderate","Minor"},0)),"-")))</f>
        <v/>
      </c>
      <c r="S836" s="30"/>
      <c r="T836" s="30"/>
      <c r="W836" s="32" t="str">
        <f>IF($A836="","",IF(OR($M836="Out of Scope",$M836="Canceled"),"Out of Scope",IF($M836="Blocked","Blocked",IF(AND($T836&lt;&gt;"Fixed – Retest Passed",OR(LEN(TRIM($O836))&gt;0,LEN(TRIM($P836))&gt;0)),IF(AND(OR($L836="Medium",$L836="Low"),SUMPRODUCT((Cards!$A$4:$A$1000&lt;&gt;"")*ISNUMBER(SEARCH($A836,Cards!$E$4:$E$1000))*(Cards!$F$4:$F$1000&lt;&gt;"Medium")*(Cards!$F$4:$F$1000&lt;&gt;"Low"))=0),"Conditionally Passed","Failed"),IF($M836="Done","Passed","Not Run")))))</f>
        <v/>
      </c>
      <c r="Y836" s="27" t="str" cm="1">
        <f t="array" ref="Y836">IF($A836="","",IF(TRIM($B836)="","-",IFERROR(_xlfn.TEXTJOIN(" / ",TRUE,_xlfn.UNIQUE(_xlfn._xlws.FILTER('Ownership Matrix'!$C$5:$C$200,('Ownership Matrix'!$A$5:$A$200=TRIM($B836))*('Ownership Matrix'!$C$5:$C$200&lt;&gt;"")))),"ไม่พบใน Ownership Matrix")))</f>
        <v/>
      </c>
      <c r="Z836" s="31" t="str">
        <f>IF(NOT(AND($A836&lt;&gt;"",$M836&lt;&gt;"Out of Scope",$M836&lt;&gt;"Canceled",$T836&lt;&gt;"Fixed – Retest Passed",OR(LEN(TRIM($O836))&gt;0,LEN(TRIM($P836))&gt;0))),"",IF(OR($W836="Failed",$R836="Urgent",$R836="High",$R836="ระบุ Severity + Impact"),IF(COUNTIFS(Dashboard!$B$105:$B$124,$O836,Dashboard!$I$105:$I$124,"CAB")&gt;0,"Accepted (CF)","Blocking"),"Deferrable"))</f>
        <v/>
      </c>
    </row>
    <row r="837" spans="7:26" x14ac:dyDescent="0.3">
      <c r="G837" s="27" t="str" cm="1">
        <f t="array" ref="G837">IF($A837="","",IFERROR(_xlfn.TEXTJOIN(CHAR(10)&amp;CHAR(10),TRUE,_xlfn._xlws.FILTER("•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"&amp;Cards!$L$4:$L$1000),(Cards!$A$4:$A$1000&lt;&gt;"")*ISNUMBER(SEARCH($A837,Cards!$E$4:$E$1000)))),"-"))</f>
        <v/>
      </c>
      <c r="Q837" s="30"/>
      <c r="R837" s="27" t="str">
        <f>IF(OR($A837="",LEN(TRIM($O837))=0),"",IF(OR($P837="",$Q837=""),"ระบุ Severity + Impact",IFERROR(INDEX({"Urgent","Urgent","High","High";"Urgent","High","High","Medium";"High","High","Medium","Medium";"Medium","Medium","Low","Low"},MATCH($P837,{"Critical","High","Medium","Low"},0),MATCH($Q837,{"Extensive","Significant","Moderate","Minor"},0)),"-")))</f>
        <v/>
      </c>
      <c r="S837" s="30"/>
      <c r="T837" s="30"/>
      <c r="W837" s="32" t="str">
        <f>IF($A837="","",IF(OR($M837="Out of Scope",$M837="Canceled"),"Out of Scope",IF($M837="Blocked","Blocked",IF(AND($T837&lt;&gt;"Fixed – Retest Passed",OR(LEN(TRIM($O837))&gt;0,LEN(TRIM($P837))&gt;0)),IF(AND(OR($L837="Medium",$L837="Low"),SUMPRODUCT((Cards!$A$4:$A$1000&lt;&gt;"")*ISNUMBER(SEARCH($A837,Cards!$E$4:$E$1000))*(Cards!$F$4:$F$1000&lt;&gt;"Medium")*(Cards!$F$4:$F$1000&lt;&gt;"Low"))=0),"Conditionally Passed","Failed"),IF($M837="Done","Passed","Not Run")))))</f>
        <v/>
      </c>
      <c r="Y837" s="27" t="str" cm="1">
        <f t="array" ref="Y837">IF($A837="","",IF(TRIM($B837)="","-",IFERROR(_xlfn.TEXTJOIN(" / ",TRUE,_xlfn.UNIQUE(_xlfn._xlws.FILTER('Ownership Matrix'!$C$5:$C$200,('Ownership Matrix'!$A$5:$A$200=TRIM($B837))*('Ownership Matrix'!$C$5:$C$200&lt;&gt;"")))),"ไม่พบใน Ownership Matrix")))</f>
        <v/>
      </c>
      <c r="Z837" s="31" t="str">
        <f>IF(NOT(AND($A837&lt;&gt;"",$M837&lt;&gt;"Out of Scope",$M837&lt;&gt;"Canceled",$T837&lt;&gt;"Fixed – Retest Passed",OR(LEN(TRIM($O837))&gt;0,LEN(TRIM($P837))&gt;0))),"",IF(OR($W837="Failed",$R837="Urgent",$R837="High",$R837="ระบุ Severity + Impact"),IF(COUNTIFS(Dashboard!$B$105:$B$124,$O837,Dashboard!$I$105:$I$124,"CAB")&gt;0,"Accepted (CF)","Blocking"),"Deferrable"))</f>
        <v/>
      </c>
    </row>
    <row r="838" spans="7:26" x14ac:dyDescent="0.3">
      <c r="G838" s="27" t="str" cm="1">
        <f t="array" ref="G838">IF($A838="","",IFERROR(_xlfn.TEXTJOIN(CHAR(10)&amp;CHAR(10),TRUE,_xlfn._xlws.FILTER("•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"&amp;Cards!$L$4:$L$1000),(Cards!$A$4:$A$1000&lt;&gt;"")*ISNUMBER(SEARCH($A838,Cards!$E$4:$E$1000)))),"-"))</f>
        <v/>
      </c>
      <c r="Q838" s="30"/>
      <c r="R838" s="27" t="str">
        <f>IF(OR($A838="",LEN(TRIM($O838))=0),"",IF(OR($P838="",$Q838=""),"ระบุ Severity + Impact",IFERROR(INDEX({"Urgent","Urgent","High","High";"Urgent","High","High","Medium";"High","High","Medium","Medium";"Medium","Medium","Low","Low"},MATCH($P838,{"Critical","High","Medium","Low"},0),MATCH($Q838,{"Extensive","Significant","Moderate","Minor"},0)),"-")))</f>
        <v/>
      </c>
      <c r="S838" s="30"/>
      <c r="T838" s="30"/>
      <c r="W838" s="32" t="str">
        <f>IF($A838="","",IF(OR($M838="Out of Scope",$M838="Canceled"),"Out of Scope",IF($M838="Blocked","Blocked",IF(AND($T838&lt;&gt;"Fixed – Retest Passed",OR(LEN(TRIM($O838))&gt;0,LEN(TRIM($P838))&gt;0)),IF(AND(OR($L838="Medium",$L838="Low"),SUMPRODUCT((Cards!$A$4:$A$1000&lt;&gt;"")*ISNUMBER(SEARCH($A838,Cards!$E$4:$E$1000))*(Cards!$F$4:$F$1000&lt;&gt;"Medium")*(Cards!$F$4:$F$1000&lt;&gt;"Low"))=0),"Conditionally Passed","Failed"),IF($M838="Done","Passed","Not Run")))))</f>
        <v/>
      </c>
      <c r="Y838" s="27" t="str" cm="1">
        <f t="array" ref="Y838">IF($A838="","",IF(TRIM($B838)="","-",IFERROR(_xlfn.TEXTJOIN(" / ",TRUE,_xlfn.UNIQUE(_xlfn._xlws.FILTER('Ownership Matrix'!$C$5:$C$200,('Ownership Matrix'!$A$5:$A$200=TRIM($B838))*('Ownership Matrix'!$C$5:$C$200&lt;&gt;"")))),"ไม่พบใน Ownership Matrix")))</f>
        <v/>
      </c>
      <c r="Z838" s="31" t="str">
        <f>IF(NOT(AND($A838&lt;&gt;"",$M838&lt;&gt;"Out of Scope",$M838&lt;&gt;"Canceled",$T838&lt;&gt;"Fixed – Retest Passed",OR(LEN(TRIM($O838))&gt;0,LEN(TRIM($P838))&gt;0))),"",IF(OR($W838="Failed",$R838="Urgent",$R838="High",$R838="ระบุ Severity + Impact"),IF(COUNTIFS(Dashboard!$B$105:$B$124,$O838,Dashboard!$I$105:$I$124,"CAB")&gt;0,"Accepted (CF)","Blocking"),"Deferrable"))</f>
        <v/>
      </c>
    </row>
    <row r="839" spans="7:26" x14ac:dyDescent="0.3">
      <c r="G839" s="27" t="str" cm="1">
        <f t="array" ref="G839">IF($A839="","",IFERROR(_xlfn.TEXTJOIN(CHAR(10)&amp;CHAR(10),TRUE,_xlfn._xlws.FILTER("•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"&amp;Cards!$L$4:$L$1000),(Cards!$A$4:$A$1000&lt;&gt;"")*ISNUMBER(SEARCH($A839,Cards!$E$4:$E$1000)))),"-"))</f>
        <v/>
      </c>
      <c r="Q839" s="30"/>
      <c r="R839" s="27" t="str">
        <f>IF(OR($A839="",LEN(TRIM($O839))=0),"",IF(OR($P839="",$Q839=""),"ระบุ Severity + Impact",IFERROR(INDEX({"Urgent","Urgent","High","High";"Urgent","High","High","Medium";"High","High","Medium","Medium";"Medium","Medium","Low","Low"},MATCH($P839,{"Critical","High","Medium","Low"},0),MATCH($Q839,{"Extensive","Significant","Moderate","Minor"},0)),"-")))</f>
        <v/>
      </c>
      <c r="S839" s="30"/>
      <c r="T839" s="30"/>
      <c r="W839" s="32" t="str">
        <f>IF($A839="","",IF(OR($M839="Out of Scope",$M839="Canceled"),"Out of Scope",IF($M839="Blocked","Blocked",IF(AND($T839&lt;&gt;"Fixed – Retest Passed",OR(LEN(TRIM($O839))&gt;0,LEN(TRIM($P839))&gt;0)),IF(AND(OR($L839="Medium",$L839="Low"),SUMPRODUCT((Cards!$A$4:$A$1000&lt;&gt;"")*ISNUMBER(SEARCH($A839,Cards!$E$4:$E$1000))*(Cards!$F$4:$F$1000&lt;&gt;"Medium")*(Cards!$F$4:$F$1000&lt;&gt;"Low"))=0),"Conditionally Passed","Failed"),IF($M839="Done","Passed","Not Run")))))</f>
        <v/>
      </c>
      <c r="Y839" s="27" t="str" cm="1">
        <f t="array" ref="Y839">IF($A839="","",IF(TRIM($B839)="","-",IFERROR(_xlfn.TEXTJOIN(" / ",TRUE,_xlfn.UNIQUE(_xlfn._xlws.FILTER('Ownership Matrix'!$C$5:$C$200,('Ownership Matrix'!$A$5:$A$200=TRIM($B839))*('Ownership Matrix'!$C$5:$C$200&lt;&gt;"")))),"ไม่พบใน Ownership Matrix")))</f>
        <v/>
      </c>
      <c r="Z839" s="31" t="str">
        <f>IF(NOT(AND($A839&lt;&gt;"",$M839&lt;&gt;"Out of Scope",$M839&lt;&gt;"Canceled",$T839&lt;&gt;"Fixed – Retest Passed",OR(LEN(TRIM($O839))&gt;0,LEN(TRIM($P839))&gt;0))),"",IF(OR($W839="Failed",$R839="Urgent",$R839="High",$R839="ระบุ Severity + Impact"),IF(COUNTIFS(Dashboard!$B$105:$B$124,$O839,Dashboard!$I$105:$I$124,"CAB")&gt;0,"Accepted (CF)","Blocking"),"Deferrable"))</f>
        <v/>
      </c>
    </row>
    <row r="840" spans="7:26" x14ac:dyDescent="0.3">
      <c r="G840" s="27" t="str" cm="1">
        <f t="array" ref="G840">IF($A840="","",IFERROR(_xlfn.TEXTJOIN(CHAR(10)&amp;CHAR(10),TRUE,_xlfn._xlws.FILTER("•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"&amp;Cards!$L$4:$L$1000),(Cards!$A$4:$A$1000&lt;&gt;"")*ISNUMBER(SEARCH($A840,Cards!$E$4:$E$1000)))),"-"))</f>
        <v/>
      </c>
      <c r="Q840" s="30"/>
      <c r="R840" s="27" t="str">
        <f>IF(OR($A840="",LEN(TRIM($O840))=0),"",IF(OR($P840="",$Q840=""),"ระบุ Severity + Impact",IFERROR(INDEX({"Urgent","Urgent","High","High";"Urgent","High","High","Medium";"High","High","Medium","Medium";"Medium","Medium","Low","Low"},MATCH($P840,{"Critical","High","Medium","Low"},0),MATCH($Q840,{"Extensive","Significant","Moderate","Minor"},0)),"-")))</f>
        <v/>
      </c>
      <c r="S840" s="30"/>
      <c r="T840" s="30"/>
      <c r="W840" s="32" t="str">
        <f>IF($A840="","",IF(OR($M840="Out of Scope",$M840="Canceled"),"Out of Scope",IF($M840="Blocked","Blocked",IF(AND($T840&lt;&gt;"Fixed – Retest Passed",OR(LEN(TRIM($O840))&gt;0,LEN(TRIM($P840))&gt;0)),IF(AND(OR($L840="Medium",$L840="Low"),SUMPRODUCT((Cards!$A$4:$A$1000&lt;&gt;"")*ISNUMBER(SEARCH($A840,Cards!$E$4:$E$1000))*(Cards!$F$4:$F$1000&lt;&gt;"Medium")*(Cards!$F$4:$F$1000&lt;&gt;"Low"))=0),"Conditionally Passed","Failed"),IF($M840="Done","Passed","Not Run")))))</f>
        <v/>
      </c>
      <c r="Y840" s="27" t="str" cm="1">
        <f t="array" ref="Y840">IF($A840="","",IF(TRIM($B840)="","-",IFERROR(_xlfn.TEXTJOIN(" / ",TRUE,_xlfn.UNIQUE(_xlfn._xlws.FILTER('Ownership Matrix'!$C$5:$C$200,('Ownership Matrix'!$A$5:$A$200=TRIM($B840))*('Ownership Matrix'!$C$5:$C$200&lt;&gt;"")))),"ไม่พบใน Ownership Matrix")))</f>
        <v/>
      </c>
      <c r="Z840" s="31" t="str">
        <f>IF(NOT(AND($A840&lt;&gt;"",$M840&lt;&gt;"Out of Scope",$M840&lt;&gt;"Canceled",$T840&lt;&gt;"Fixed – Retest Passed",OR(LEN(TRIM($O840))&gt;0,LEN(TRIM($P840))&gt;0))),"",IF(OR($W840="Failed",$R840="Urgent",$R840="High",$R840="ระบุ Severity + Impact"),IF(COUNTIFS(Dashboard!$B$105:$B$124,$O840,Dashboard!$I$105:$I$124,"CAB")&gt;0,"Accepted (CF)","Blocking"),"Deferrable"))</f>
        <v/>
      </c>
    </row>
    <row r="841" spans="7:26" x14ac:dyDescent="0.3">
      <c r="G841" s="27" t="str" cm="1">
        <f t="array" ref="G841">IF($A841="","",IFERROR(_xlfn.TEXTJOIN(CHAR(10)&amp;CHAR(10),TRUE,_xlfn._xlws.FILTER("•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"&amp;Cards!$L$4:$L$1000),(Cards!$A$4:$A$1000&lt;&gt;"")*ISNUMBER(SEARCH($A841,Cards!$E$4:$E$1000)))),"-"))</f>
        <v/>
      </c>
      <c r="Q841" s="30"/>
      <c r="R841" s="27" t="str">
        <f>IF(OR($A841="",LEN(TRIM($O841))=0),"",IF(OR($P841="",$Q841=""),"ระบุ Severity + Impact",IFERROR(INDEX({"Urgent","Urgent","High","High";"Urgent","High","High","Medium";"High","High","Medium","Medium";"Medium","Medium","Low","Low"},MATCH($P841,{"Critical","High","Medium","Low"},0),MATCH($Q841,{"Extensive","Significant","Moderate","Minor"},0)),"-")))</f>
        <v/>
      </c>
      <c r="S841" s="30"/>
      <c r="T841" s="30"/>
      <c r="W841" s="32" t="str">
        <f>IF($A841="","",IF(OR($M841="Out of Scope",$M841="Canceled"),"Out of Scope",IF($M841="Blocked","Blocked",IF(AND($T841&lt;&gt;"Fixed – Retest Passed",OR(LEN(TRIM($O841))&gt;0,LEN(TRIM($P841))&gt;0)),IF(AND(OR($L841="Medium",$L841="Low"),SUMPRODUCT((Cards!$A$4:$A$1000&lt;&gt;"")*ISNUMBER(SEARCH($A841,Cards!$E$4:$E$1000))*(Cards!$F$4:$F$1000&lt;&gt;"Medium")*(Cards!$F$4:$F$1000&lt;&gt;"Low"))=0),"Conditionally Passed","Failed"),IF($M841="Done","Passed","Not Run")))))</f>
        <v/>
      </c>
      <c r="Y841" s="27" t="str" cm="1">
        <f t="array" ref="Y841">IF($A841="","",IF(TRIM($B841)="","-",IFERROR(_xlfn.TEXTJOIN(" / ",TRUE,_xlfn.UNIQUE(_xlfn._xlws.FILTER('Ownership Matrix'!$C$5:$C$200,('Ownership Matrix'!$A$5:$A$200=TRIM($B841))*('Ownership Matrix'!$C$5:$C$200&lt;&gt;"")))),"ไม่พบใน Ownership Matrix")))</f>
        <v/>
      </c>
      <c r="Z841" s="31" t="str">
        <f>IF(NOT(AND($A841&lt;&gt;"",$M841&lt;&gt;"Out of Scope",$M841&lt;&gt;"Canceled",$T841&lt;&gt;"Fixed – Retest Passed",OR(LEN(TRIM($O841))&gt;0,LEN(TRIM($P841))&gt;0))),"",IF(OR($W841="Failed",$R841="Urgent",$R841="High",$R841="ระบุ Severity + Impact"),IF(COUNTIFS(Dashboard!$B$105:$B$124,$O841,Dashboard!$I$105:$I$124,"CAB")&gt;0,"Accepted (CF)","Blocking"),"Deferrable"))</f>
        <v/>
      </c>
    </row>
    <row r="842" spans="7:26" x14ac:dyDescent="0.3">
      <c r="G842" s="27" t="str" cm="1">
        <f t="array" ref="G842">IF($A842="","",IFERROR(_xlfn.TEXTJOIN(CHAR(10)&amp;CHAR(10),TRUE,_xlfn._xlws.FILTER("•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"&amp;Cards!$L$4:$L$1000),(Cards!$A$4:$A$1000&lt;&gt;"")*ISNUMBER(SEARCH($A842,Cards!$E$4:$E$1000)))),"-"))</f>
        <v/>
      </c>
      <c r="Q842" s="30"/>
      <c r="R842" s="27" t="str">
        <f>IF(OR($A842="",LEN(TRIM($O842))=0),"",IF(OR($P842="",$Q842=""),"ระบุ Severity + Impact",IFERROR(INDEX({"Urgent","Urgent","High","High";"Urgent","High","High","Medium";"High","High","Medium","Medium";"Medium","Medium","Low","Low"},MATCH($P842,{"Critical","High","Medium","Low"},0),MATCH($Q842,{"Extensive","Significant","Moderate","Minor"},0)),"-")))</f>
        <v/>
      </c>
      <c r="S842" s="30"/>
      <c r="T842" s="30"/>
      <c r="W842" s="32" t="str">
        <f>IF($A842="","",IF(OR($M842="Out of Scope",$M842="Canceled"),"Out of Scope",IF($M842="Blocked","Blocked",IF(AND($T842&lt;&gt;"Fixed – Retest Passed",OR(LEN(TRIM($O842))&gt;0,LEN(TRIM($P842))&gt;0)),IF(AND(OR($L842="Medium",$L842="Low"),SUMPRODUCT((Cards!$A$4:$A$1000&lt;&gt;"")*ISNUMBER(SEARCH($A842,Cards!$E$4:$E$1000))*(Cards!$F$4:$F$1000&lt;&gt;"Medium")*(Cards!$F$4:$F$1000&lt;&gt;"Low"))=0),"Conditionally Passed","Failed"),IF($M842="Done","Passed","Not Run")))))</f>
        <v/>
      </c>
      <c r="Y842" s="27" t="str" cm="1">
        <f t="array" ref="Y842">IF($A842="","",IF(TRIM($B842)="","-",IFERROR(_xlfn.TEXTJOIN(" / ",TRUE,_xlfn.UNIQUE(_xlfn._xlws.FILTER('Ownership Matrix'!$C$5:$C$200,('Ownership Matrix'!$A$5:$A$200=TRIM($B842))*('Ownership Matrix'!$C$5:$C$200&lt;&gt;"")))),"ไม่พบใน Ownership Matrix")))</f>
        <v/>
      </c>
      <c r="Z842" s="31" t="str">
        <f>IF(NOT(AND($A842&lt;&gt;"",$M842&lt;&gt;"Out of Scope",$M842&lt;&gt;"Canceled",$T842&lt;&gt;"Fixed – Retest Passed",OR(LEN(TRIM($O842))&gt;0,LEN(TRIM($P842))&gt;0))),"",IF(OR($W842="Failed",$R842="Urgent",$R842="High",$R842="ระบุ Severity + Impact"),IF(COUNTIFS(Dashboard!$B$105:$B$124,$O842,Dashboard!$I$105:$I$124,"CAB")&gt;0,"Accepted (CF)","Blocking"),"Deferrable"))</f>
        <v/>
      </c>
    </row>
    <row r="843" spans="7:26" x14ac:dyDescent="0.3">
      <c r="G843" s="27" t="str" cm="1">
        <f t="array" ref="G843">IF($A843="","",IFERROR(_xlfn.TEXTJOIN(CHAR(10)&amp;CHAR(10),TRUE,_xlfn._xlws.FILTER("•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"&amp;Cards!$L$4:$L$1000),(Cards!$A$4:$A$1000&lt;&gt;"")*ISNUMBER(SEARCH($A843,Cards!$E$4:$E$1000)))),"-"))</f>
        <v/>
      </c>
      <c r="Q843" s="30"/>
      <c r="R843" s="27" t="str">
        <f>IF(OR($A843="",LEN(TRIM($O843))=0),"",IF(OR($P843="",$Q843=""),"ระบุ Severity + Impact",IFERROR(INDEX({"Urgent","Urgent","High","High";"Urgent","High","High","Medium";"High","High","Medium","Medium";"Medium","Medium","Low","Low"},MATCH($P843,{"Critical","High","Medium","Low"},0),MATCH($Q843,{"Extensive","Significant","Moderate","Minor"},0)),"-")))</f>
        <v/>
      </c>
      <c r="S843" s="30"/>
      <c r="T843" s="30"/>
      <c r="W843" s="32" t="str">
        <f>IF($A843="","",IF(OR($M843="Out of Scope",$M843="Canceled"),"Out of Scope",IF($M843="Blocked","Blocked",IF(AND($T843&lt;&gt;"Fixed – Retest Passed",OR(LEN(TRIM($O843))&gt;0,LEN(TRIM($P843))&gt;0)),IF(AND(OR($L843="Medium",$L843="Low"),SUMPRODUCT((Cards!$A$4:$A$1000&lt;&gt;"")*ISNUMBER(SEARCH($A843,Cards!$E$4:$E$1000))*(Cards!$F$4:$F$1000&lt;&gt;"Medium")*(Cards!$F$4:$F$1000&lt;&gt;"Low"))=0),"Conditionally Passed","Failed"),IF($M843="Done","Passed","Not Run")))))</f>
        <v/>
      </c>
      <c r="Y843" s="27" t="str" cm="1">
        <f t="array" ref="Y843">IF($A843="","",IF(TRIM($B843)="","-",IFERROR(_xlfn.TEXTJOIN(" / ",TRUE,_xlfn.UNIQUE(_xlfn._xlws.FILTER('Ownership Matrix'!$C$5:$C$200,('Ownership Matrix'!$A$5:$A$200=TRIM($B843))*('Ownership Matrix'!$C$5:$C$200&lt;&gt;"")))),"ไม่พบใน Ownership Matrix")))</f>
        <v/>
      </c>
      <c r="Z843" s="31" t="str">
        <f>IF(NOT(AND($A843&lt;&gt;"",$M843&lt;&gt;"Out of Scope",$M843&lt;&gt;"Canceled",$T843&lt;&gt;"Fixed – Retest Passed",OR(LEN(TRIM($O843))&gt;0,LEN(TRIM($P843))&gt;0))),"",IF(OR($W843="Failed",$R843="Urgent",$R843="High",$R843="ระบุ Severity + Impact"),IF(COUNTIFS(Dashboard!$B$105:$B$124,$O843,Dashboard!$I$105:$I$124,"CAB")&gt;0,"Accepted (CF)","Blocking"),"Deferrable"))</f>
        <v/>
      </c>
    </row>
    <row r="844" spans="7:26" x14ac:dyDescent="0.3">
      <c r="G844" s="27" t="str" cm="1">
        <f t="array" ref="G844">IF($A844="","",IFERROR(_xlfn.TEXTJOIN(CHAR(10)&amp;CHAR(10),TRUE,_xlfn._xlws.FILTER("•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"&amp;Cards!$L$4:$L$1000),(Cards!$A$4:$A$1000&lt;&gt;"")*ISNUMBER(SEARCH($A844,Cards!$E$4:$E$1000)))),"-"))</f>
        <v/>
      </c>
      <c r="Q844" s="30"/>
      <c r="R844" s="27" t="str">
        <f>IF(OR($A844="",LEN(TRIM($O844))=0),"",IF(OR($P844="",$Q844=""),"ระบุ Severity + Impact",IFERROR(INDEX({"Urgent","Urgent","High","High";"Urgent","High","High","Medium";"High","High","Medium","Medium";"Medium","Medium","Low","Low"},MATCH($P844,{"Critical","High","Medium","Low"},0),MATCH($Q844,{"Extensive","Significant","Moderate","Minor"},0)),"-")))</f>
        <v/>
      </c>
      <c r="S844" s="30"/>
      <c r="T844" s="30"/>
      <c r="W844" s="32" t="str">
        <f>IF($A844="","",IF(OR($M844="Out of Scope",$M844="Canceled"),"Out of Scope",IF($M844="Blocked","Blocked",IF(AND($T844&lt;&gt;"Fixed – Retest Passed",OR(LEN(TRIM($O844))&gt;0,LEN(TRIM($P844))&gt;0)),IF(AND(OR($L844="Medium",$L844="Low"),SUMPRODUCT((Cards!$A$4:$A$1000&lt;&gt;"")*ISNUMBER(SEARCH($A844,Cards!$E$4:$E$1000))*(Cards!$F$4:$F$1000&lt;&gt;"Medium")*(Cards!$F$4:$F$1000&lt;&gt;"Low"))=0),"Conditionally Passed","Failed"),IF($M844="Done","Passed","Not Run")))))</f>
        <v/>
      </c>
      <c r="Y844" s="27" t="str" cm="1">
        <f t="array" ref="Y844">IF($A844="","",IF(TRIM($B844)="","-",IFERROR(_xlfn.TEXTJOIN(" / ",TRUE,_xlfn.UNIQUE(_xlfn._xlws.FILTER('Ownership Matrix'!$C$5:$C$200,('Ownership Matrix'!$A$5:$A$200=TRIM($B844))*('Ownership Matrix'!$C$5:$C$200&lt;&gt;"")))),"ไม่พบใน Ownership Matrix")))</f>
        <v/>
      </c>
      <c r="Z844" s="31" t="str">
        <f>IF(NOT(AND($A844&lt;&gt;"",$M844&lt;&gt;"Out of Scope",$M844&lt;&gt;"Canceled",$T844&lt;&gt;"Fixed – Retest Passed",OR(LEN(TRIM($O844))&gt;0,LEN(TRIM($P844))&gt;0))),"",IF(OR($W844="Failed",$R844="Urgent",$R844="High",$R844="ระบุ Severity + Impact"),IF(COUNTIFS(Dashboard!$B$105:$B$124,$O844,Dashboard!$I$105:$I$124,"CAB")&gt;0,"Accepted (CF)","Blocking"),"Deferrable"))</f>
        <v/>
      </c>
    </row>
    <row r="845" spans="7:26" x14ac:dyDescent="0.3">
      <c r="G845" s="27" t="str" cm="1">
        <f t="array" ref="G845">IF($A845="","",IFERROR(_xlfn.TEXTJOIN(CHAR(10)&amp;CHAR(10),TRUE,_xlfn._xlws.FILTER("•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"&amp;Cards!$L$4:$L$1000),(Cards!$A$4:$A$1000&lt;&gt;"")*ISNUMBER(SEARCH($A845,Cards!$E$4:$E$1000)))),"-"))</f>
        <v/>
      </c>
      <c r="Q845" s="30"/>
      <c r="R845" s="27" t="str">
        <f>IF(OR($A845="",LEN(TRIM($O845))=0),"",IF(OR($P845="",$Q845=""),"ระบุ Severity + Impact",IFERROR(INDEX({"Urgent","Urgent","High","High";"Urgent","High","High","Medium";"High","High","Medium","Medium";"Medium","Medium","Low","Low"},MATCH($P845,{"Critical","High","Medium","Low"},0),MATCH($Q845,{"Extensive","Significant","Moderate","Minor"},0)),"-")))</f>
        <v/>
      </c>
      <c r="S845" s="30"/>
      <c r="T845" s="30"/>
      <c r="W845" s="32" t="str">
        <f>IF($A845="","",IF(OR($M845="Out of Scope",$M845="Canceled"),"Out of Scope",IF($M845="Blocked","Blocked",IF(AND($T845&lt;&gt;"Fixed – Retest Passed",OR(LEN(TRIM($O845))&gt;0,LEN(TRIM($P845))&gt;0)),IF(AND(OR($L845="Medium",$L845="Low"),SUMPRODUCT((Cards!$A$4:$A$1000&lt;&gt;"")*ISNUMBER(SEARCH($A845,Cards!$E$4:$E$1000))*(Cards!$F$4:$F$1000&lt;&gt;"Medium")*(Cards!$F$4:$F$1000&lt;&gt;"Low"))=0),"Conditionally Passed","Failed"),IF($M845="Done","Passed","Not Run")))))</f>
        <v/>
      </c>
      <c r="Y845" s="27" t="str" cm="1">
        <f t="array" ref="Y845">IF($A845="","",IF(TRIM($B845)="","-",IFERROR(_xlfn.TEXTJOIN(" / ",TRUE,_xlfn.UNIQUE(_xlfn._xlws.FILTER('Ownership Matrix'!$C$5:$C$200,('Ownership Matrix'!$A$5:$A$200=TRIM($B845))*('Ownership Matrix'!$C$5:$C$200&lt;&gt;"")))),"ไม่พบใน Ownership Matrix")))</f>
        <v/>
      </c>
      <c r="Z845" s="31" t="str">
        <f>IF(NOT(AND($A845&lt;&gt;"",$M845&lt;&gt;"Out of Scope",$M845&lt;&gt;"Canceled",$T845&lt;&gt;"Fixed – Retest Passed",OR(LEN(TRIM($O845))&gt;0,LEN(TRIM($P845))&gt;0))),"",IF(OR($W845="Failed",$R845="Urgent",$R845="High",$R845="ระบุ Severity + Impact"),IF(COUNTIFS(Dashboard!$B$105:$B$124,$O845,Dashboard!$I$105:$I$124,"CAB")&gt;0,"Accepted (CF)","Blocking"),"Deferrable"))</f>
        <v/>
      </c>
    </row>
    <row r="846" spans="7:26" x14ac:dyDescent="0.3">
      <c r="G846" s="27" t="str" cm="1">
        <f t="array" ref="G846">IF($A846="","",IFERROR(_xlfn.TEXTJOIN(CHAR(10)&amp;CHAR(10),TRUE,_xlfn._xlws.FILTER("•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"&amp;Cards!$L$4:$L$1000),(Cards!$A$4:$A$1000&lt;&gt;"")*ISNUMBER(SEARCH($A846,Cards!$E$4:$E$1000)))),"-"))</f>
        <v/>
      </c>
      <c r="Q846" s="30"/>
      <c r="R846" s="27" t="str">
        <f>IF(OR($A846="",LEN(TRIM($O846))=0),"",IF(OR($P846="",$Q846=""),"ระบุ Severity + Impact",IFERROR(INDEX({"Urgent","Urgent","High","High";"Urgent","High","High","Medium";"High","High","Medium","Medium";"Medium","Medium","Low","Low"},MATCH($P846,{"Critical","High","Medium","Low"},0),MATCH($Q846,{"Extensive","Significant","Moderate","Minor"},0)),"-")))</f>
        <v/>
      </c>
      <c r="S846" s="30"/>
      <c r="T846" s="30"/>
      <c r="W846" s="32" t="str">
        <f>IF($A846="","",IF(OR($M846="Out of Scope",$M846="Canceled"),"Out of Scope",IF($M846="Blocked","Blocked",IF(AND($T846&lt;&gt;"Fixed – Retest Passed",OR(LEN(TRIM($O846))&gt;0,LEN(TRIM($P846))&gt;0)),IF(AND(OR($L846="Medium",$L846="Low"),SUMPRODUCT((Cards!$A$4:$A$1000&lt;&gt;"")*ISNUMBER(SEARCH($A846,Cards!$E$4:$E$1000))*(Cards!$F$4:$F$1000&lt;&gt;"Medium")*(Cards!$F$4:$F$1000&lt;&gt;"Low"))=0),"Conditionally Passed","Failed"),IF($M846="Done","Passed","Not Run")))))</f>
        <v/>
      </c>
      <c r="Y846" s="27" t="str" cm="1">
        <f t="array" ref="Y846">IF($A846="","",IF(TRIM($B846)="","-",IFERROR(_xlfn.TEXTJOIN(" / ",TRUE,_xlfn.UNIQUE(_xlfn._xlws.FILTER('Ownership Matrix'!$C$5:$C$200,('Ownership Matrix'!$A$5:$A$200=TRIM($B846))*('Ownership Matrix'!$C$5:$C$200&lt;&gt;"")))),"ไม่พบใน Ownership Matrix")))</f>
        <v/>
      </c>
      <c r="Z846" s="31" t="str">
        <f>IF(NOT(AND($A846&lt;&gt;"",$M846&lt;&gt;"Out of Scope",$M846&lt;&gt;"Canceled",$T846&lt;&gt;"Fixed – Retest Passed",OR(LEN(TRIM($O846))&gt;0,LEN(TRIM($P846))&gt;0))),"",IF(OR($W846="Failed",$R846="Urgent",$R846="High",$R846="ระบุ Severity + Impact"),IF(COUNTIFS(Dashboard!$B$105:$B$124,$O846,Dashboard!$I$105:$I$124,"CAB")&gt;0,"Accepted (CF)","Blocking"),"Deferrable"))</f>
        <v/>
      </c>
    </row>
    <row r="847" spans="7:26" x14ac:dyDescent="0.3">
      <c r="G847" s="27" t="str" cm="1">
        <f t="array" ref="G847">IF($A847="","",IFERROR(_xlfn.TEXTJOIN(CHAR(10)&amp;CHAR(10),TRUE,_xlfn._xlws.FILTER("•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"&amp;Cards!$L$4:$L$1000),(Cards!$A$4:$A$1000&lt;&gt;"")*ISNUMBER(SEARCH($A847,Cards!$E$4:$E$1000)))),"-"))</f>
        <v/>
      </c>
      <c r="Q847" s="30"/>
      <c r="R847" s="27" t="str">
        <f>IF(OR($A847="",LEN(TRIM($O847))=0),"",IF(OR($P847="",$Q847=""),"ระบุ Severity + Impact",IFERROR(INDEX({"Urgent","Urgent","High","High";"Urgent","High","High","Medium";"High","High","Medium","Medium";"Medium","Medium","Low","Low"},MATCH($P847,{"Critical","High","Medium","Low"},0),MATCH($Q847,{"Extensive","Significant","Moderate","Minor"},0)),"-")))</f>
        <v/>
      </c>
      <c r="S847" s="30"/>
      <c r="T847" s="30"/>
      <c r="W847" s="32" t="str">
        <f>IF($A847="","",IF(OR($M847="Out of Scope",$M847="Canceled"),"Out of Scope",IF($M847="Blocked","Blocked",IF(AND($T847&lt;&gt;"Fixed – Retest Passed",OR(LEN(TRIM($O847))&gt;0,LEN(TRIM($P847))&gt;0)),IF(AND(OR($L847="Medium",$L847="Low"),SUMPRODUCT((Cards!$A$4:$A$1000&lt;&gt;"")*ISNUMBER(SEARCH($A847,Cards!$E$4:$E$1000))*(Cards!$F$4:$F$1000&lt;&gt;"Medium")*(Cards!$F$4:$F$1000&lt;&gt;"Low"))=0),"Conditionally Passed","Failed"),IF($M847="Done","Passed","Not Run")))))</f>
        <v/>
      </c>
      <c r="Y847" s="27" t="str" cm="1">
        <f t="array" ref="Y847">IF($A847="","",IF(TRIM($B847)="","-",IFERROR(_xlfn.TEXTJOIN(" / ",TRUE,_xlfn.UNIQUE(_xlfn._xlws.FILTER('Ownership Matrix'!$C$5:$C$200,('Ownership Matrix'!$A$5:$A$200=TRIM($B847))*('Ownership Matrix'!$C$5:$C$200&lt;&gt;"")))),"ไม่พบใน Ownership Matrix")))</f>
        <v/>
      </c>
      <c r="Z847" s="31" t="str">
        <f>IF(NOT(AND($A847&lt;&gt;"",$M847&lt;&gt;"Out of Scope",$M847&lt;&gt;"Canceled",$T847&lt;&gt;"Fixed – Retest Passed",OR(LEN(TRIM($O847))&gt;0,LEN(TRIM($P847))&gt;0))),"",IF(OR($W847="Failed",$R847="Urgent",$R847="High",$R847="ระบุ Severity + Impact"),IF(COUNTIFS(Dashboard!$B$105:$B$124,$O847,Dashboard!$I$105:$I$124,"CAB")&gt;0,"Accepted (CF)","Blocking"),"Deferrable"))</f>
        <v/>
      </c>
    </row>
    <row r="848" spans="7:26" x14ac:dyDescent="0.3">
      <c r="G848" s="27" t="str" cm="1">
        <f t="array" ref="G848">IF($A848="","",IFERROR(_xlfn.TEXTJOIN(CHAR(10)&amp;CHAR(10),TRUE,_xlfn._xlws.FILTER("•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"&amp;Cards!$L$4:$L$1000),(Cards!$A$4:$A$1000&lt;&gt;"")*ISNUMBER(SEARCH($A848,Cards!$E$4:$E$1000)))),"-"))</f>
        <v/>
      </c>
      <c r="Q848" s="30"/>
      <c r="R848" s="27" t="str">
        <f>IF(OR($A848="",LEN(TRIM($O848))=0),"",IF(OR($P848="",$Q848=""),"ระบุ Severity + Impact",IFERROR(INDEX({"Urgent","Urgent","High","High";"Urgent","High","High","Medium";"High","High","Medium","Medium";"Medium","Medium","Low","Low"},MATCH($P848,{"Critical","High","Medium","Low"},0),MATCH($Q848,{"Extensive","Significant","Moderate","Minor"},0)),"-")))</f>
        <v/>
      </c>
      <c r="S848" s="30"/>
      <c r="T848" s="30"/>
      <c r="W848" s="32" t="str">
        <f>IF($A848="","",IF(OR($M848="Out of Scope",$M848="Canceled"),"Out of Scope",IF($M848="Blocked","Blocked",IF(AND($T848&lt;&gt;"Fixed – Retest Passed",OR(LEN(TRIM($O848))&gt;0,LEN(TRIM($P848))&gt;0)),IF(AND(OR($L848="Medium",$L848="Low"),SUMPRODUCT((Cards!$A$4:$A$1000&lt;&gt;"")*ISNUMBER(SEARCH($A848,Cards!$E$4:$E$1000))*(Cards!$F$4:$F$1000&lt;&gt;"Medium")*(Cards!$F$4:$F$1000&lt;&gt;"Low"))=0),"Conditionally Passed","Failed"),IF($M848="Done","Passed","Not Run")))))</f>
        <v/>
      </c>
      <c r="Y848" s="27" t="str" cm="1">
        <f t="array" ref="Y848">IF($A848="","",IF(TRIM($B848)="","-",IFERROR(_xlfn.TEXTJOIN(" / ",TRUE,_xlfn.UNIQUE(_xlfn._xlws.FILTER('Ownership Matrix'!$C$5:$C$200,('Ownership Matrix'!$A$5:$A$200=TRIM($B848))*('Ownership Matrix'!$C$5:$C$200&lt;&gt;"")))),"ไม่พบใน Ownership Matrix")))</f>
        <v/>
      </c>
      <c r="Z848" s="31" t="str">
        <f>IF(NOT(AND($A848&lt;&gt;"",$M848&lt;&gt;"Out of Scope",$M848&lt;&gt;"Canceled",$T848&lt;&gt;"Fixed – Retest Passed",OR(LEN(TRIM($O848))&gt;0,LEN(TRIM($P848))&gt;0))),"",IF(OR($W848="Failed",$R848="Urgent",$R848="High",$R848="ระบุ Severity + Impact"),IF(COUNTIFS(Dashboard!$B$105:$B$124,$O848,Dashboard!$I$105:$I$124,"CAB")&gt;0,"Accepted (CF)","Blocking"),"Deferrable"))</f>
        <v/>
      </c>
    </row>
    <row r="849" spans="7:26" x14ac:dyDescent="0.3">
      <c r="G849" s="27" t="str" cm="1">
        <f t="array" ref="G849">IF($A849="","",IFERROR(_xlfn.TEXTJOIN(CHAR(10)&amp;CHAR(10),TRUE,_xlfn._xlws.FILTER("•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"&amp;Cards!$L$4:$L$1000),(Cards!$A$4:$A$1000&lt;&gt;"")*ISNUMBER(SEARCH($A849,Cards!$E$4:$E$1000)))),"-"))</f>
        <v/>
      </c>
      <c r="Q849" s="30"/>
      <c r="R849" s="27" t="str">
        <f>IF(OR($A849="",LEN(TRIM($O849))=0),"",IF(OR($P849="",$Q849=""),"ระบุ Severity + Impact",IFERROR(INDEX({"Urgent","Urgent","High","High";"Urgent","High","High","Medium";"High","High","Medium","Medium";"Medium","Medium","Low","Low"},MATCH($P849,{"Critical","High","Medium","Low"},0),MATCH($Q849,{"Extensive","Significant","Moderate","Minor"},0)),"-")))</f>
        <v/>
      </c>
      <c r="S849" s="30"/>
      <c r="T849" s="30"/>
      <c r="W849" s="32" t="str">
        <f>IF($A849="","",IF(OR($M849="Out of Scope",$M849="Canceled"),"Out of Scope",IF($M849="Blocked","Blocked",IF(AND($T849&lt;&gt;"Fixed – Retest Passed",OR(LEN(TRIM($O849))&gt;0,LEN(TRIM($P849))&gt;0)),IF(AND(OR($L849="Medium",$L849="Low"),SUMPRODUCT((Cards!$A$4:$A$1000&lt;&gt;"")*ISNUMBER(SEARCH($A849,Cards!$E$4:$E$1000))*(Cards!$F$4:$F$1000&lt;&gt;"Medium")*(Cards!$F$4:$F$1000&lt;&gt;"Low"))=0),"Conditionally Passed","Failed"),IF($M849="Done","Passed","Not Run")))))</f>
        <v/>
      </c>
      <c r="Y849" s="27" t="str" cm="1">
        <f t="array" ref="Y849">IF($A849="","",IF(TRIM($B849)="","-",IFERROR(_xlfn.TEXTJOIN(" / ",TRUE,_xlfn.UNIQUE(_xlfn._xlws.FILTER('Ownership Matrix'!$C$5:$C$200,('Ownership Matrix'!$A$5:$A$200=TRIM($B849))*('Ownership Matrix'!$C$5:$C$200&lt;&gt;"")))),"ไม่พบใน Ownership Matrix")))</f>
        <v/>
      </c>
      <c r="Z849" s="31" t="str">
        <f>IF(NOT(AND($A849&lt;&gt;"",$M849&lt;&gt;"Out of Scope",$M849&lt;&gt;"Canceled",$T849&lt;&gt;"Fixed – Retest Passed",OR(LEN(TRIM($O849))&gt;0,LEN(TRIM($P849))&gt;0))),"",IF(OR($W849="Failed",$R849="Urgent",$R849="High",$R849="ระบุ Severity + Impact"),IF(COUNTIFS(Dashboard!$B$105:$B$124,$O849,Dashboard!$I$105:$I$124,"CAB")&gt;0,"Accepted (CF)","Blocking"),"Deferrable"))</f>
        <v/>
      </c>
    </row>
    <row r="850" spans="7:26" x14ac:dyDescent="0.3">
      <c r="G850" s="27" t="str" cm="1">
        <f t="array" ref="G850">IF($A850="","",IFERROR(_xlfn.TEXTJOIN(CHAR(10)&amp;CHAR(10),TRUE,_xlfn._xlws.FILTER("•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"&amp;Cards!$L$4:$L$1000),(Cards!$A$4:$A$1000&lt;&gt;"")*ISNUMBER(SEARCH($A850,Cards!$E$4:$E$1000)))),"-"))</f>
        <v/>
      </c>
      <c r="Q850" s="30"/>
      <c r="R850" s="27" t="str">
        <f>IF(OR($A850="",LEN(TRIM($O850))=0),"",IF(OR($P850="",$Q850=""),"ระบุ Severity + Impact",IFERROR(INDEX({"Urgent","Urgent","High","High";"Urgent","High","High","Medium";"High","High","Medium","Medium";"Medium","Medium","Low","Low"},MATCH($P850,{"Critical","High","Medium","Low"},0),MATCH($Q850,{"Extensive","Significant","Moderate","Minor"},0)),"-")))</f>
        <v/>
      </c>
      <c r="S850" s="30"/>
      <c r="T850" s="30"/>
      <c r="W850" s="32" t="str">
        <f>IF($A850="","",IF(OR($M850="Out of Scope",$M850="Canceled"),"Out of Scope",IF($M850="Blocked","Blocked",IF(AND($T850&lt;&gt;"Fixed – Retest Passed",OR(LEN(TRIM($O850))&gt;0,LEN(TRIM($P850))&gt;0)),IF(AND(OR($L850="Medium",$L850="Low"),SUMPRODUCT((Cards!$A$4:$A$1000&lt;&gt;"")*ISNUMBER(SEARCH($A850,Cards!$E$4:$E$1000))*(Cards!$F$4:$F$1000&lt;&gt;"Medium")*(Cards!$F$4:$F$1000&lt;&gt;"Low"))=0),"Conditionally Passed","Failed"),IF($M850="Done","Passed","Not Run")))))</f>
        <v/>
      </c>
      <c r="Y850" s="27" t="str" cm="1">
        <f t="array" ref="Y850">IF($A850="","",IF(TRIM($B850)="","-",IFERROR(_xlfn.TEXTJOIN(" / ",TRUE,_xlfn.UNIQUE(_xlfn._xlws.FILTER('Ownership Matrix'!$C$5:$C$200,('Ownership Matrix'!$A$5:$A$200=TRIM($B850))*('Ownership Matrix'!$C$5:$C$200&lt;&gt;"")))),"ไม่พบใน Ownership Matrix")))</f>
        <v/>
      </c>
      <c r="Z850" s="31" t="str">
        <f>IF(NOT(AND($A850&lt;&gt;"",$M850&lt;&gt;"Out of Scope",$M850&lt;&gt;"Canceled",$T850&lt;&gt;"Fixed – Retest Passed",OR(LEN(TRIM($O850))&gt;0,LEN(TRIM($P850))&gt;0))),"",IF(OR($W850="Failed",$R850="Urgent",$R850="High",$R850="ระบุ Severity + Impact"),IF(COUNTIFS(Dashboard!$B$105:$B$124,$O850,Dashboard!$I$105:$I$124,"CAB")&gt;0,"Accepted (CF)","Blocking"),"Deferrable"))</f>
        <v/>
      </c>
    </row>
    <row r="851" spans="7:26" x14ac:dyDescent="0.3">
      <c r="G851" s="27" t="str" cm="1">
        <f t="array" ref="G851">IF($A851="","",IFERROR(_xlfn.TEXTJOIN(CHAR(10)&amp;CHAR(10),TRUE,_xlfn._xlws.FILTER("•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"&amp;Cards!$L$4:$L$1000),(Cards!$A$4:$A$1000&lt;&gt;"")*ISNUMBER(SEARCH($A851,Cards!$E$4:$E$1000)))),"-"))</f>
        <v/>
      </c>
      <c r="Q851" s="30"/>
      <c r="R851" s="27" t="str">
        <f>IF(OR($A851="",LEN(TRIM($O851))=0),"",IF(OR($P851="",$Q851=""),"ระบุ Severity + Impact",IFERROR(INDEX({"Urgent","Urgent","High","High";"Urgent","High","High","Medium";"High","High","Medium","Medium";"Medium","Medium","Low","Low"},MATCH($P851,{"Critical","High","Medium","Low"},0),MATCH($Q851,{"Extensive","Significant","Moderate","Minor"},0)),"-")))</f>
        <v/>
      </c>
      <c r="S851" s="30"/>
      <c r="T851" s="30"/>
      <c r="W851" s="32" t="str">
        <f>IF($A851="","",IF(OR($M851="Out of Scope",$M851="Canceled"),"Out of Scope",IF($M851="Blocked","Blocked",IF(AND($T851&lt;&gt;"Fixed – Retest Passed",OR(LEN(TRIM($O851))&gt;0,LEN(TRIM($P851))&gt;0)),IF(AND(OR($L851="Medium",$L851="Low"),SUMPRODUCT((Cards!$A$4:$A$1000&lt;&gt;"")*ISNUMBER(SEARCH($A851,Cards!$E$4:$E$1000))*(Cards!$F$4:$F$1000&lt;&gt;"Medium")*(Cards!$F$4:$F$1000&lt;&gt;"Low"))=0),"Conditionally Passed","Failed"),IF($M851="Done","Passed","Not Run")))))</f>
        <v/>
      </c>
      <c r="Y851" s="27" t="str" cm="1">
        <f t="array" ref="Y851">IF($A851="","",IF(TRIM($B851)="","-",IFERROR(_xlfn.TEXTJOIN(" / ",TRUE,_xlfn.UNIQUE(_xlfn._xlws.FILTER('Ownership Matrix'!$C$5:$C$200,('Ownership Matrix'!$A$5:$A$200=TRIM($B851))*('Ownership Matrix'!$C$5:$C$200&lt;&gt;"")))),"ไม่พบใน Ownership Matrix")))</f>
        <v/>
      </c>
      <c r="Z851" s="31" t="str">
        <f>IF(NOT(AND($A851&lt;&gt;"",$M851&lt;&gt;"Out of Scope",$M851&lt;&gt;"Canceled",$T851&lt;&gt;"Fixed – Retest Passed",OR(LEN(TRIM($O851))&gt;0,LEN(TRIM($P851))&gt;0))),"",IF(OR($W851="Failed",$R851="Urgent",$R851="High",$R851="ระบุ Severity + Impact"),IF(COUNTIFS(Dashboard!$B$105:$B$124,$O851,Dashboard!$I$105:$I$124,"CAB")&gt;0,"Accepted (CF)","Blocking"),"Deferrable"))</f>
        <v/>
      </c>
    </row>
    <row r="852" spans="7:26" x14ac:dyDescent="0.3">
      <c r="G852" s="27" t="str" cm="1">
        <f t="array" ref="G852">IF($A852="","",IFERROR(_xlfn.TEXTJOIN(CHAR(10)&amp;CHAR(10),TRUE,_xlfn._xlws.FILTER("•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"&amp;Cards!$L$4:$L$1000),(Cards!$A$4:$A$1000&lt;&gt;"")*ISNUMBER(SEARCH($A852,Cards!$E$4:$E$1000)))),"-"))</f>
        <v/>
      </c>
      <c r="Q852" s="30"/>
      <c r="R852" s="27" t="str">
        <f>IF(OR($A852="",LEN(TRIM($O852))=0),"",IF(OR($P852="",$Q852=""),"ระบุ Severity + Impact",IFERROR(INDEX({"Urgent","Urgent","High","High";"Urgent","High","High","Medium";"High","High","Medium","Medium";"Medium","Medium","Low","Low"},MATCH($P852,{"Critical","High","Medium","Low"},0),MATCH($Q852,{"Extensive","Significant","Moderate","Minor"},0)),"-")))</f>
        <v/>
      </c>
      <c r="S852" s="30"/>
      <c r="T852" s="30"/>
      <c r="W852" s="32" t="str">
        <f>IF($A852="","",IF(OR($M852="Out of Scope",$M852="Canceled"),"Out of Scope",IF($M852="Blocked","Blocked",IF(AND($T852&lt;&gt;"Fixed – Retest Passed",OR(LEN(TRIM($O852))&gt;0,LEN(TRIM($P852))&gt;0)),IF(AND(OR($L852="Medium",$L852="Low"),SUMPRODUCT((Cards!$A$4:$A$1000&lt;&gt;"")*ISNUMBER(SEARCH($A852,Cards!$E$4:$E$1000))*(Cards!$F$4:$F$1000&lt;&gt;"Medium")*(Cards!$F$4:$F$1000&lt;&gt;"Low"))=0),"Conditionally Passed","Failed"),IF($M852="Done","Passed","Not Run")))))</f>
        <v/>
      </c>
      <c r="Y852" s="27" t="str" cm="1">
        <f t="array" ref="Y852">IF($A852="","",IF(TRIM($B852)="","-",IFERROR(_xlfn.TEXTJOIN(" / ",TRUE,_xlfn.UNIQUE(_xlfn._xlws.FILTER('Ownership Matrix'!$C$5:$C$200,('Ownership Matrix'!$A$5:$A$200=TRIM($B852))*('Ownership Matrix'!$C$5:$C$200&lt;&gt;"")))),"ไม่พบใน Ownership Matrix")))</f>
        <v/>
      </c>
      <c r="Z852" s="31" t="str">
        <f>IF(NOT(AND($A852&lt;&gt;"",$M852&lt;&gt;"Out of Scope",$M852&lt;&gt;"Canceled",$T852&lt;&gt;"Fixed – Retest Passed",OR(LEN(TRIM($O852))&gt;0,LEN(TRIM($P852))&gt;0))),"",IF(OR($W852="Failed",$R852="Urgent",$R852="High",$R852="ระบุ Severity + Impact"),IF(COUNTIFS(Dashboard!$B$105:$B$124,$O852,Dashboard!$I$105:$I$124,"CAB")&gt;0,"Accepted (CF)","Blocking"),"Deferrable"))</f>
        <v/>
      </c>
    </row>
    <row r="853" spans="7:26" x14ac:dyDescent="0.3">
      <c r="G853" s="27" t="str" cm="1">
        <f t="array" ref="G853">IF($A853="","",IFERROR(_xlfn.TEXTJOIN(CHAR(10)&amp;CHAR(10),TRUE,_xlfn._xlws.FILTER("•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"&amp;Cards!$L$4:$L$1000),(Cards!$A$4:$A$1000&lt;&gt;"")*ISNUMBER(SEARCH($A853,Cards!$E$4:$E$1000)))),"-"))</f>
        <v/>
      </c>
      <c r="Q853" s="30"/>
      <c r="R853" s="27" t="str">
        <f>IF(OR($A853="",LEN(TRIM($O853))=0),"",IF(OR($P853="",$Q853=""),"ระบุ Severity + Impact",IFERROR(INDEX({"Urgent","Urgent","High","High";"Urgent","High","High","Medium";"High","High","Medium","Medium";"Medium","Medium","Low","Low"},MATCH($P853,{"Critical","High","Medium","Low"},0),MATCH($Q853,{"Extensive","Significant","Moderate","Minor"},0)),"-")))</f>
        <v/>
      </c>
      <c r="S853" s="30"/>
      <c r="T853" s="30"/>
      <c r="W853" s="32" t="str">
        <f>IF($A853="","",IF(OR($M853="Out of Scope",$M853="Canceled"),"Out of Scope",IF($M853="Blocked","Blocked",IF(AND($T853&lt;&gt;"Fixed – Retest Passed",OR(LEN(TRIM($O853))&gt;0,LEN(TRIM($P853))&gt;0)),IF(AND(OR($L853="Medium",$L853="Low"),SUMPRODUCT((Cards!$A$4:$A$1000&lt;&gt;"")*ISNUMBER(SEARCH($A853,Cards!$E$4:$E$1000))*(Cards!$F$4:$F$1000&lt;&gt;"Medium")*(Cards!$F$4:$F$1000&lt;&gt;"Low"))=0),"Conditionally Passed","Failed"),IF($M853="Done","Passed","Not Run")))))</f>
        <v/>
      </c>
      <c r="Y853" s="27" t="str" cm="1">
        <f t="array" ref="Y853">IF($A853="","",IF(TRIM($B853)="","-",IFERROR(_xlfn.TEXTJOIN(" / ",TRUE,_xlfn.UNIQUE(_xlfn._xlws.FILTER('Ownership Matrix'!$C$5:$C$200,('Ownership Matrix'!$A$5:$A$200=TRIM($B853))*('Ownership Matrix'!$C$5:$C$200&lt;&gt;"")))),"ไม่พบใน Ownership Matrix")))</f>
        <v/>
      </c>
      <c r="Z853" s="31" t="str">
        <f>IF(NOT(AND($A853&lt;&gt;"",$M853&lt;&gt;"Out of Scope",$M853&lt;&gt;"Canceled",$T853&lt;&gt;"Fixed – Retest Passed",OR(LEN(TRIM($O853))&gt;0,LEN(TRIM($P853))&gt;0))),"",IF(OR($W853="Failed",$R853="Urgent",$R853="High",$R853="ระบุ Severity + Impact"),IF(COUNTIFS(Dashboard!$B$105:$B$124,$O853,Dashboard!$I$105:$I$124,"CAB")&gt;0,"Accepted (CF)","Blocking"),"Deferrable"))</f>
        <v/>
      </c>
    </row>
    <row r="854" spans="7:26" x14ac:dyDescent="0.3">
      <c r="G854" s="27" t="str" cm="1">
        <f t="array" ref="G854">IF($A854="","",IFERROR(_xlfn.TEXTJOIN(CHAR(10)&amp;CHAR(10),TRUE,_xlfn._xlws.FILTER("•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"&amp;Cards!$L$4:$L$1000),(Cards!$A$4:$A$1000&lt;&gt;"")*ISNUMBER(SEARCH($A854,Cards!$E$4:$E$1000)))),"-"))</f>
        <v/>
      </c>
      <c r="Q854" s="30"/>
      <c r="R854" s="27" t="str">
        <f>IF(OR($A854="",LEN(TRIM($O854))=0),"",IF(OR($P854="",$Q854=""),"ระบุ Severity + Impact",IFERROR(INDEX({"Urgent","Urgent","High","High";"Urgent","High","High","Medium";"High","High","Medium","Medium";"Medium","Medium","Low","Low"},MATCH($P854,{"Critical","High","Medium","Low"},0),MATCH($Q854,{"Extensive","Significant","Moderate","Minor"},0)),"-")))</f>
        <v/>
      </c>
      <c r="S854" s="30"/>
      <c r="T854" s="30"/>
      <c r="W854" s="32" t="str">
        <f>IF($A854="","",IF(OR($M854="Out of Scope",$M854="Canceled"),"Out of Scope",IF($M854="Blocked","Blocked",IF(AND($T854&lt;&gt;"Fixed – Retest Passed",OR(LEN(TRIM($O854))&gt;0,LEN(TRIM($P854))&gt;0)),IF(AND(OR($L854="Medium",$L854="Low"),SUMPRODUCT((Cards!$A$4:$A$1000&lt;&gt;"")*ISNUMBER(SEARCH($A854,Cards!$E$4:$E$1000))*(Cards!$F$4:$F$1000&lt;&gt;"Medium")*(Cards!$F$4:$F$1000&lt;&gt;"Low"))=0),"Conditionally Passed","Failed"),IF($M854="Done","Passed","Not Run")))))</f>
        <v/>
      </c>
      <c r="Y854" s="27" t="str" cm="1">
        <f t="array" ref="Y854">IF($A854="","",IF(TRIM($B854)="","-",IFERROR(_xlfn.TEXTJOIN(" / ",TRUE,_xlfn.UNIQUE(_xlfn._xlws.FILTER('Ownership Matrix'!$C$5:$C$200,('Ownership Matrix'!$A$5:$A$200=TRIM($B854))*('Ownership Matrix'!$C$5:$C$200&lt;&gt;"")))),"ไม่พบใน Ownership Matrix")))</f>
        <v/>
      </c>
      <c r="Z854" s="31" t="str">
        <f>IF(NOT(AND($A854&lt;&gt;"",$M854&lt;&gt;"Out of Scope",$M854&lt;&gt;"Canceled",$T854&lt;&gt;"Fixed – Retest Passed",OR(LEN(TRIM($O854))&gt;0,LEN(TRIM($P854))&gt;0))),"",IF(OR($W854="Failed",$R854="Urgent",$R854="High",$R854="ระบุ Severity + Impact"),IF(COUNTIFS(Dashboard!$B$105:$B$124,$O854,Dashboard!$I$105:$I$124,"CAB")&gt;0,"Accepted (CF)","Blocking"),"Deferrable"))</f>
        <v/>
      </c>
    </row>
    <row r="855" spans="7:26" x14ac:dyDescent="0.3">
      <c r="G855" s="27" t="str" cm="1">
        <f t="array" ref="G855">IF($A855="","",IFERROR(_xlfn.TEXTJOIN(CHAR(10)&amp;CHAR(10),TRUE,_xlfn._xlws.FILTER("•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"&amp;Cards!$L$4:$L$1000),(Cards!$A$4:$A$1000&lt;&gt;"")*ISNUMBER(SEARCH($A855,Cards!$E$4:$E$1000)))),"-"))</f>
        <v/>
      </c>
      <c r="Q855" s="30"/>
      <c r="R855" s="27" t="str">
        <f>IF(OR($A855="",LEN(TRIM($O855))=0),"",IF(OR($P855="",$Q855=""),"ระบุ Severity + Impact",IFERROR(INDEX({"Urgent","Urgent","High","High";"Urgent","High","High","Medium";"High","High","Medium","Medium";"Medium","Medium","Low","Low"},MATCH($P855,{"Critical","High","Medium","Low"},0),MATCH($Q855,{"Extensive","Significant","Moderate","Minor"},0)),"-")))</f>
        <v/>
      </c>
      <c r="S855" s="30"/>
      <c r="T855" s="30"/>
      <c r="W855" s="32" t="str">
        <f>IF($A855="","",IF(OR($M855="Out of Scope",$M855="Canceled"),"Out of Scope",IF($M855="Blocked","Blocked",IF(AND($T855&lt;&gt;"Fixed – Retest Passed",OR(LEN(TRIM($O855))&gt;0,LEN(TRIM($P855))&gt;0)),IF(AND(OR($L855="Medium",$L855="Low"),SUMPRODUCT((Cards!$A$4:$A$1000&lt;&gt;"")*ISNUMBER(SEARCH($A855,Cards!$E$4:$E$1000))*(Cards!$F$4:$F$1000&lt;&gt;"Medium")*(Cards!$F$4:$F$1000&lt;&gt;"Low"))=0),"Conditionally Passed","Failed"),IF($M855="Done","Passed","Not Run")))))</f>
        <v/>
      </c>
      <c r="Y855" s="27" t="str" cm="1">
        <f t="array" ref="Y855">IF($A855="","",IF(TRIM($B855)="","-",IFERROR(_xlfn.TEXTJOIN(" / ",TRUE,_xlfn.UNIQUE(_xlfn._xlws.FILTER('Ownership Matrix'!$C$5:$C$200,('Ownership Matrix'!$A$5:$A$200=TRIM($B855))*('Ownership Matrix'!$C$5:$C$200&lt;&gt;"")))),"ไม่พบใน Ownership Matrix")))</f>
        <v/>
      </c>
      <c r="Z855" s="31" t="str">
        <f>IF(NOT(AND($A855&lt;&gt;"",$M855&lt;&gt;"Out of Scope",$M855&lt;&gt;"Canceled",$T855&lt;&gt;"Fixed – Retest Passed",OR(LEN(TRIM($O855))&gt;0,LEN(TRIM($P855))&gt;0))),"",IF(OR($W855="Failed",$R855="Urgent",$R855="High",$R855="ระบุ Severity + Impact"),IF(COUNTIFS(Dashboard!$B$105:$B$124,$O855,Dashboard!$I$105:$I$124,"CAB")&gt;0,"Accepted (CF)","Blocking"),"Deferrable"))</f>
        <v/>
      </c>
    </row>
    <row r="856" spans="7:26" x14ac:dyDescent="0.3">
      <c r="G856" s="27" t="str" cm="1">
        <f t="array" ref="G856">IF($A856="","",IFERROR(_xlfn.TEXTJOIN(CHAR(10)&amp;CHAR(10),TRUE,_xlfn._xlws.FILTER("•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"&amp;Cards!$L$4:$L$1000),(Cards!$A$4:$A$1000&lt;&gt;"")*ISNUMBER(SEARCH($A856,Cards!$E$4:$E$1000)))),"-"))</f>
        <v/>
      </c>
      <c r="Q856" s="30"/>
      <c r="R856" s="27" t="str">
        <f>IF(OR($A856="",LEN(TRIM($O856))=0),"",IF(OR($P856="",$Q856=""),"ระบุ Severity + Impact",IFERROR(INDEX({"Urgent","Urgent","High","High";"Urgent","High","High","Medium";"High","High","Medium","Medium";"Medium","Medium","Low","Low"},MATCH($P856,{"Critical","High","Medium","Low"},0),MATCH($Q856,{"Extensive","Significant","Moderate","Minor"},0)),"-")))</f>
        <v/>
      </c>
      <c r="S856" s="30"/>
      <c r="T856" s="30"/>
      <c r="W856" s="32" t="str">
        <f>IF($A856="","",IF(OR($M856="Out of Scope",$M856="Canceled"),"Out of Scope",IF($M856="Blocked","Blocked",IF(AND($T856&lt;&gt;"Fixed – Retest Passed",OR(LEN(TRIM($O856))&gt;0,LEN(TRIM($P856))&gt;0)),IF(AND(OR($L856="Medium",$L856="Low"),SUMPRODUCT((Cards!$A$4:$A$1000&lt;&gt;"")*ISNUMBER(SEARCH($A856,Cards!$E$4:$E$1000))*(Cards!$F$4:$F$1000&lt;&gt;"Medium")*(Cards!$F$4:$F$1000&lt;&gt;"Low"))=0),"Conditionally Passed","Failed"),IF($M856="Done","Passed","Not Run")))))</f>
        <v/>
      </c>
      <c r="Y856" s="27" t="str" cm="1">
        <f t="array" ref="Y856">IF($A856="","",IF(TRIM($B856)="","-",IFERROR(_xlfn.TEXTJOIN(" / ",TRUE,_xlfn.UNIQUE(_xlfn._xlws.FILTER('Ownership Matrix'!$C$5:$C$200,('Ownership Matrix'!$A$5:$A$200=TRIM($B856))*('Ownership Matrix'!$C$5:$C$200&lt;&gt;"")))),"ไม่พบใน Ownership Matrix")))</f>
        <v/>
      </c>
      <c r="Z856" s="31" t="str">
        <f>IF(NOT(AND($A856&lt;&gt;"",$M856&lt;&gt;"Out of Scope",$M856&lt;&gt;"Canceled",$T856&lt;&gt;"Fixed – Retest Passed",OR(LEN(TRIM($O856))&gt;0,LEN(TRIM($P856))&gt;0))),"",IF(OR($W856="Failed",$R856="Urgent",$R856="High",$R856="ระบุ Severity + Impact"),IF(COUNTIFS(Dashboard!$B$105:$B$124,$O856,Dashboard!$I$105:$I$124,"CAB")&gt;0,"Accepted (CF)","Blocking"),"Deferrable"))</f>
        <v/>
      </c>
    </row>
    <row r="857" spans="7:26" x14ac:dyDescent="0.3">
      <c r="G857" s="27" t="str" cm="1">
        <f t="array" ref="G857">IF($A857="","",IFERROR(_xlfn.TEXTJOIN(CHAR(10)&amp;CHAR(10),TRUE,_xlfn._xlws.FILTER("•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"&amp;Cards!$L$4:$L$1000),(Cards!$A$4:$A$1000&lt;&gt;"")*ISNUMBER(SEARCH($A857,Cards!$E$4:$E$1000)))),"-"))</f>
        <v/>
      </c>
      <c r="Q857" s="30"/>
      <c r="R857" s="27" t="str">
        <f>IF(OR($A857="",LEN(TRIM($O857))=0),"",IF(OR($P857="",$Q857=""),"ระบุ Severity + Impact",IFERROR(INDEX({"Urgent","Urgent","High","High";"Urgent","High","High","Medium";"High","High","Medium","Medium";"Medium","Medium","Low","Low"},MATCH($P857,{"Critical","High","Medium","Low"},0),MATCH($Q857,{"Extensive","Significant","Moderate","Minor"},0)),"-")))</f>
        <v/>
      </c>
      <c r="S857" s="30"/>
      <c r="T857" s="30"/>
      <c r="W857" s="32" t="str">
        <f>IF($A857="","",IF(OR($M857="Out of Scope",$M857="Canceled"),"Out of Scope",IF($M857="Blocked","Blocked",IF(AND($T857&lt;&gt;"Fixed – Retest Passed",OR(LEN(TRIM($O857))&gt;0,LEN(TRIM($P857))&gt;0)),IF(AND(OR($L857="Medium",$L857="Low"),SUMPRODUCT((Cards!$A$4:$A$1000&lt;&gt;"")*ISNUMBER(SEARCH($A857,Cards!$E$4:$E$1000))*(Cards!$F$4:$F$1000&lt;&gt;"Medium")*(Cards!$F$4:$F$1000&lt;&gt;"Low"))=0),"Conditionally Passed","Failed"),IF($M857="Done","Passed","Not Run")))))</f>
        <v/>
      </c>
      <c r="Y857" s="27" t="str" cm="1">
        <f t="array" ref="Y857">IF($A857="","",IF(TRIM($B857)="","-",IFERROR(_xlfn.TEXTJOIN(" / ",TRUE,_xlfn.UNIQUE(_xlfn._xlws.FILTER('Ownership Matrix'!$C$5:$C$200,('Ownership Matrix'!$A$5:$A$200=TRIM($B857))*('Ownership Matrix'!$C$5:$C$200&lt;&gt;"")))),"ไม่พบใน Ownership Matrix")))</f>
        <v/>
      </c>
      <c r="Z857" s="31" t="str">
        <f>IF(NOT(AND($A857&lt;&gt;"",$M857&lt;&gt;"Out of Scope",$M857&lt;&gt;"Canceled",$T857&lt;&gt;"Fixed – Retest Passed",OR(LEN(TRIM($O857))&gt;0,LEN(TRIM($P857))&gt;0))),"",IF(OR($W857="Failed",$R857="Urgent",$R857="High",$R857="ระบุ Severity + Impact"),IF(COUNTIFS(Dashboard!$B$105:$B$124,$O857,Dashboard!$I$105:$I$124,"CAB")&gt;0,"Accepted (CF)","Blocking"),"Deferrable"))</f>
        <v/>
      </c>
    </row>
    <row r="858" spans="7:26" x14ac:dyDescent="0.3">
      <c r="G858" s="27" t="str" cm="1">
        <f t="array" ref="G858">IF($A858="","",IFERROR(_xlfn.TEXTJOIN(CHAR(10)&amp;CHAR(10),TRUE,_xlfn._xlws.FILTER("•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"&amp;Cards!$L$4:$L$1000),(Cards!$A$4:$A$1000&lt;&gt;"")*ISNUMBER(SEARCH($A858,Cards!$E$4:$E$1000)))),"-"))</f>
        <v/>
      </c>
      <c r="Q858" s="30"/>
      <c r="R858" s="27" t="str">
        <f>IF(OR($A858="",LEN(TRIM($O858))=0),"",IF(OR($P858="",$Q858=""),"ระบุ Severity + Impact",IFERROR(INDEX({"Urgent","Urgent","High","High";"Urgent","High","High","Medium";"High","High","Medium","Medium";"Medium","Medium","Low","Low"},MATCH($P858,{"Critical","High","Medium","Low"},0),MATCH($Q858,{"Extensive","Significant","Moderate","Minor"},0)),"-")))</f>
        <v/>
      </c>
      <c r="S858" s="30"/>
      <c r="T858" s="30"/>
      <c r="W858" s="32" t="str">
        <f>IF($A858="","",IF(OR($M858="Out of Scope",$M858="Canceled"),"Out of Scope",IF($M858="Blocked","Blocked",IF(AND($T858&lt;&gt;"Fixed – Retest Passed",OR(LEN(TRIM($O858))&gt;0,LEN(TRIM($P858))&gt;0)),IF(AND(OR($L858="Medium",$L858="Low"),SUMPRODUCT((Cards!$A$4:$A$1000&lt;&gt;"")*ISNUMBER(SEARCH($A858,Cards!$E$4:$E$1000))*(Cards!$F$4:$F$1000&lt;&gt;"Medium")*(Cards!$F$4:$F$1000&lt;&gt;"Low"))=0),"Conditionally Passed","Failed"),IF($M858="Done","Passed","Not Run")))))</f>
        <v/>
      </c>
      <c r="Y858" s="27" t="str" cm="1">
        <f t="array" ref="Y858">IF($A858="","",IF(TRIM($B858)="","-",IFERROR(_xlfn.TEXTJOIN(" / ",TRUE,_xlfn.UNIQUE(_xlfn._xlws.FILTER('Ownership Matrix'!$C$5:$C$200,('Ownership Matrix'!$A$5:$A$200=TRIM($B858))*('Ownership Matrix'!$C$5:$C$200&lt;&gt;"")))),"ไม่พบใน Ownership Matrix")))</f>
        <v/>
      </c>
      <c r="Z858" s="31" t="str">
        <f>IF(NOT(AND($A858&lt;&gt;"",$M858&lt;&gt;"Out of Scope",$M858&lt;&gt;"Canceled",$T858&lt;&gt;"Fixed – Retest Passed",OR(LEN(TRIM($O858))&gt;0,LEN(TRIM($P858))&gt;0))),"",IF(OR($W858="Failed",$R858="Urgent",$R858="High",$R858="ระบุ Severity + Impact"),IF(COUNTIFS(Dashboard!$B$105:$B$124,$O858,Dashboard!$I$105:$I$124,"CAB")&gt;0,"Accepted (CF)","Blocking"),"Deferrable"))</f>
        <v/>
      </c>
    </row>
    <row r="859" spans="7:26" x14ac:dyDescent="0.3">
      <c r="G859" s="27" t="str" cm="1">
        <f t="array" ref="G859">IF($A859="","",IFERROR(_xlfn.TEXTJOIN(CHAR(10)&amp;CHAR(10),TRUE,_xlfn._xlws.FILTER("•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"&amp;Cards!$L$4:$L$1000),(Cards!$A$4:$A$1000&lt;&gt;"")*ISNUMBER(SEARCH($A859,Cards!$E$4:$E$1000)))),"-"))</f>
        <v/>
      </c>
      <c r="Q859" s="30"/>
      <c r="R859" s="27" t="str">
        <f>IF(OR($A859="",LEN(TRIM($O859))=0),"",IF(OR($P859="",$Q859=""),"ระบุ Severity + Impact",IFERROR(INDEX({"Urgent","Urgent","High","High";"Urgent","High","High","Medium";"High","High","Medium","Medium";"Medium","Medium","Low","Low"},MATCH($P859,{"Critical","High","Medium","Low"},0),MATCH($Q859,{"Extensive","Significant","Moderate","Minor"},0)),"-")))</f>
        <v/>
      </c>
      <c r="S859" s="30"/>
      <c r="T859" s="30"/>
      <c r="W859" s="32" t="str">
        <f>IF($A859="","",IF(OR($M859="Out of Scope",$M859="Canceled"),"Out of Scope",IF($M859="Blocked","Blocked",IF(AND($T859&lt;&gt;"Fixed – Retest Passed",OR(LEN(TRIM($O859))&gt;0,LEN(TRIM($P859))&gt;0)),IF(AND(OR($L859="Medium",$L859="Low"),SUMPRODUCT((Cards!$A$4:$A$1000&lt;&gt;"")*ISNUMBER(SEARCH($A859,Cards!$E$4:$E$1000))*(Cards!$F$4:$F$1000&lt;&gt;"Medium")*(Cards!$F$4:$F$1000&lt;&gt;"Low"))=0),"Conditionally Passed","Failed"),IF($M859="Done","Passed","Not Run")))))</f>
        <v/>
      </c>
      <c r="Y859" s="27" t="str" cm="1">
        <f t="array" ref="Y859">IF($A859="","",IF(TRIM($B859)="","-",IFERROR(_xlfn.TEXTJOIN(" / ",TRUE,_xlfn.UNIQUE(_xlfn._xlws.FILTER('Ownership Matrix'!$C$5:$C$200,('Ownership Matrix'!$A$5:$A$200=TRIM($B859))*('Ownership Matrix'!$C$5:$C$200&lt;&gt;"")))),"ไม่พบใน Ownership Matrix")))</f>
        <v/>
      </c>
      <c r="Z859" s="31" t="str">
        <f>IF(NOT(AND($A859&lt;&gt;"",$M859&lt;&gt;"Out of Scope",$M859&lt;&gt;"Canceled",$T859&lt;&gt;"Fixed – Retest Passed",OR(LEN(TRIM($O859))&gt;0,LEN(TRIM($P859))&gt;0))),"",IF(OR($W859="Failed",$R859="Urgent",$R859="High",$R859="ระบุ Severity + Impact"),IF(COUNTIFS(Dashboard!$B$105:$B$124,$O859,Dashboard!$I$105:$I$124,"CAB")&gt;0,"Accepted (CF)","Blocking"),"Deferrable"))</f>
        <v/>
      </c>
    </row>
    <row r="860" spans="7:26" x14ac:dyDescent="0.3">
      <c r="G860" s="27" t="str" cm="1">
        <f t="array" ref="G860">IF($A860="","",IFERROR(_xlfn.TEXTJOIN(CHAR(10)&amp;CHAR(10),TRUE,_xlfn._xlws.FILTER("•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"&amp;Cards!$L$4:$L$1000),(Cards!$A$4:$A$1000&lt;&gt;"")*ISNUMBER(SEARCH($A860,Cards!$E$4:$E$1000)))),"-"))</f>
        <v/>
      </c>
      <c r="Q860" s="30"/>
      <c r="R860" s="27" t="str">
        <f>IF(OR($A860="",LEN(TRIM($O860))=0),"",IF(OR($P860="",$Q860=""),"ระบุ Severity + Impact",IFERROR(INDEX({"Urgent","Urgent","High","High";"Urgent","High","High","Medium";"High","High","Medium","Medium";"Medium","Medium","Low","Low"},MATCH($P860,{"Critical","High","Medium","Low"},0),MATCH($Q860,{"Extensive","Significant","Moderate","Minor"},0)),"-")))</f>
        <v/>
      </c>
      <c r="S860" s="30"/>
      <c r="T860" s="30"/>
      <c r="W860" s="32" t="str">
        <f>IF($A860="","",IF(OR($M860="Out of Scope",$M860="Canceled"),"Out of Scope",IF($M860="Blocked","Blocked",IF(AND($T860&lt;&gt;"Fixed – Retest Passed",OR(LEN(TRIM($O860))&gt;0,LEN(TRIM($P860))&gt;0)),IF(AND(OR($L860="Medium",$L860="Low"),SUMPRODUCT((Cards!$A$4:$A$1000&lt;&gt;"")*ISNUMBER(SEARCH($A860,Cards!$E$4:$E$1000))*(Cards!$F$4:$F$1000&lt;&gt;"Medium")*(Cards!$F$4:$F$1000&lt;&gt;"Low"))=0),"Conditionally Passed","Failed"),IF($M860="Done","Passed","Not Run")))))</f>
        <v/>
      </c>
      <c r="Y860" s="27" t="str" cm="1">
        <f t="array" ref="Y860">IF($A860="","",IF(TRIM($B860)="","-",IFERROR(_xlfn.TEXTJOIN(" / ",TRUE,_xlfn.UNIQUE(_xlfn._xlws.FILTER('Ownership Matrix'!$C$5:$C$200,('Ownership Matrix'!$A$5:$A$200=TRIM($B860))*('Ownership Matrix'!$C$5:$C$200&lt;&gt;"")))),"ไม่พบใน Ownership Matrix")))</f>
        <v/>
      </c>
      <c r="Z860" s="31" t="str">
        <f>IF(NOT(AND($A860&lt;&gt;"",$M860&lt;&gt;"Out of Scope",$M860&lt;&gt;"Canceled",$T860&lt;&gt;"Fixed – Retest Passed",OR(LEN(TRIM($O860))&gt;0,LEN(TRIM($P860))&gt;0))),"",IF(OR($W860="Failed",$R860="Urgent",$R860="High",$R860="ระบุ Severity + Impact"),IF(COUNTIFS(Dashboard!$B$105:$B$124,$O860,Dashboard!$I$105:$I$124,"CAB")&gt;0,"Accepted (CF)","Blocking"),"Deferrable"))</f>
        <v/>
      </c>
    </row>
    <row r="861" spans="7:26" x14ac:dyDescent="0.3">
      <c r="G861" s="27" t="str" cm="1">
        <f t="array" ref="G861">IF($A861="","",IFERROR(_xlfn.TEXTJOIN(CHAR(10)&amp;CHAR(10),TRUE,_xlfn._xlws.FILTER("•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"&amp;Cards!$L$4:$L$1000),(Cards!$A$4:$A$1000&lt;&gt;"")*ISNUMBER(SEARCH($A861,Cards!$E$4:$E$1000)))),"-"))</f>
        <v/>
      </c>
      <c r="Q861" s="30"/>
      <c r="R861" s="27" t="str">
        <f>IF(OR($A861="",LEN(TRIM($O861))=0),"",IF(OR($P861="",$Q861=""),"ระบุ Severity + Impact",IFERROR(INDEX({"Urgent","Urgent","High","High";"Urgent","High","High","Medium";"High","High","Medium","Medium";"Medium","Medium","Low","Low"},MATCH($P861,{"Critical","High","Medium","Low"},0),MATCH($Q861,{"Extensive","Significant","Moderate","Minor"},0)),"-")))</f>
        <v/>
      </c>
      <c r="S861" s="30"/>
      <c r="T861" s="30"/>
      <c r="W861" s="32" t="str">
        <f>IF($A861="","",IF(OR($M861="Out of Scope",$M861="Canceled"),"Out of Scope",IF($M861="Blocked","Blocked",IF(AND($T861&lt;&gt;"Fixed – Retest Passed",OR(LEN(TRIM($O861))&gt;0,LEN(TRIM($P861))&gt;0)),IF(AND(OR($L861="Medium",$L861="Low"),SUMPRODUCT((Cards!$A$4:$A$1000&lt;&gt;"")*ISNUMBER(SEARCH($A861,Cards!$E$4:$E$1000))*(Cards!$F$4:$F$1000&lt;&gt;"Medium")*(Cards!$F$4:$F$1000&lt;&gt;"Low"))=0),"Conditionally Passed","Failed"),IF($M861="Done","Passed","Not Run")))))</f>
        <v/>
      </c>
      <c r="Y861" s="27" t="str" cm="1">
        <f t="array" ref="Y861">IF($A861="","",IF(TRIM($B861)="","-",IFERROR(_xlfn.TEXTJOIN(" / ",TRUE,_xlfn.UNIQUE(_xlfn._xlws.FILTER('Ownership Matrix'!$C$5:$C$200,('Ownership Matrix'!$A$5:$A$200=TRIM($B861))*('Ownership Matrix'!$C$5:$C$200&lt;&gt;"")))),"ไม่พบใน Ownership Matrix")))</f>
        <v/>
      </c>
      <c r="Z861" s="31" t="str">
        <f>IF(NOT(AND($A861&lt;&gt;"",$M861&lt;&gt;"Out of Scope",$M861&lt;&gt;"Canceled",$T861&lt;&gt;"Fixed – Retest Passed",OR(LEN(TRIM($O861))&gt;0,LEN(TRIM($P861))&gt;0))),"",IF(OR($W861="Failed",$R861="Urgent",$R861="High",$R861="ระบุ Severity + Impact"),IF(COUNTIFS(Dashboard!$B$105:$B$124,$O861,Dashboard!$I$105:$I$124,"CAB")&gt;0,"Accepted (CF)","Blocking"),"Deferrable"))</f>
        <v/>
      </c>
    </row>
    <row r="862" spans="7:26" x14ac:dyDescent="0.3">
      <c r="G862" s="27" t="str" cm="1">
        <f t="array" ref="G862">IF($A862="","",IFERROR(_xlfn.TEXTJOIN(CHAR(10)&amp;CHAR(10),TRUE,_xlfn._xlws.FILTER("•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"&amp;Cards!$L$4:$L$1000),(Cards!$A$4:$A$1000&lt;&gt;"")*ISNUMBER(SEARCH($A862,Cards!$E$4:$E$1000)))),"-"))</f>
        <v/>
      </c>
      <c r="Q862" s="30"/>
      <c r="R862" s="27" t="str">
        <f>IF(OR($A862="",LEN(TRIM($O862))=0),"",IF(OR($P862="",$Q862=""),"ระบุ Severity + Impact",IFERROR(INDEX({"Urgent","Urgent","High","High";"Urgent","High","High","Medium";"High","High","Medium","Medium";"Medium","Medium","Low","Low"},MATCH($P862,{"Critical","High","Medium","Low"},0),MATCH($Q862,{"Extensive","Significant","Moderate","Minor"},0)),"-")))</f>
        <v/>
      </c>
      <c r="S862" s="30"/>
      <c r="T862" s="30"/>
      <c r="W862" s="32" t="str">
        <f>IF($A862="","",IF(OR($M862="Out of Scope",$M862="Canceled"),"Out of Scope",IF($M862="Blocked","Blocked",IF(AND($T862&lt;&gt;"Fixed – Retest Passed",OR(LEN(TRIM($O862))&gt;0,LEN(TRIM($P862))&gt;0)),IF(AND(OR($L862="Medium",$L862="Low"),SUMPRODUCT((Cards!$A$4:$A$1000&lt;&gt;"")*ISNUMBER(SEARCH($A862,Cards!$E$4:$E$1000))*(Cards!$F$4:$F$1000&lt;&gt;"Medium")*(Cards!$F$4:$F$1000&lt;&gt;"Low"))=0),"Conditionally Passed","Failed"),IF($M862="Done","Passed","Not Run")))))</f>
        <v/>
      </c>
      <c r="Y862" s="27" t="str" cm="1">
        <f t="array" ref="Y862">IF($A862="","",IF(TRIM($B862)="","-",IFERROR(_xlfn.TEXTJOIN(" / ",TRUE,_xlfn.UNIQUE(_xlfn._xlws.FILTER('Ownership Matrix'!$C$5:$C$200,('Ownership Matrix'!$A$5:$A$200=TRIM($B862))*('Ownership Matrix'!$C$5:$C$200&lt;&gt;"")))),"ไม่พบใน Ownership Matrix")))</f>
        <v/>
      </c>
      <c r="Z862" s="31" t="str">
        <f>IF(NOT(AND($A862&lt;&gt;"",$M862&lt;&gt;"Out of Scope",$M862&lt;&gt;"Canceled",$T862&lt;&gt;"Fixed – Retest Passed",OR(LEN(TRIM($O862))&gt;0,LEN(TRIM($P862))&gt;0))),"",IF(OR($W862="Failed",$R862="Urgent",$R862="High",$R862="ระบุ Severity + Impact"),IF(COUNTIFS(Dashboard!$B$105:$B$124,$O862,Dashboard!$I$105:$I$124,"CAB")&gt;0,"Accepted (CF)","Blocking"),"Deferrable"))</f>
        <v/>
      </c>
    </row>
    <row r="863" spans="7:26" x14ac:dyDescent="0.3">
      <c r="G863" s="27" t="str" cm="1">
        <f t="array" ref="G863">IF($A863="","",IFERROR(_xlfn.TEXTJOIN(CHAR(10)&amp;CHAR(10),TRUE,_xlfn._xlws.FILTER("•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"&amp;Cards!$L$4:$L$1000),(Cards!$A$4:$A$1000&lt;&gt;"")*ISNUMBER(SEARCH($A863,Cards!$E$4:$E$1000)))),"-"))</f>
        <v/>
      </c>
      <c r="Q863" s="30"/>
      <c r="R863" s="27" t="str">
        <f>IF(OR($A863="",LEN(TRIM($O863))=0),"",IF(OR($P863="",$Q863=""),"ระบุ Severity + Impact",IFERROR(INDEX({"Urgent","Urgent","High","High";"Urgent","High","High","Medium";"High","High","Medium","Medium";"Medium","Medium","Low","Low"},MATCH($P863,{"Critical","High","Medium","Low"},0),MATCH($Q863,{"Extensive","Significant","Moderate","Minor"},0)),"-")))</f>
        <v/>
      </c>
      <c r="S863" s="30"/>
      <c r="T863" s="30"/>
      <c r="W863" s="32" t="str">
        <f>IF($A863="","",IF(OR($M863="Out of Scope",$M863="Canceled"),"Out of Scope",IF($M863="Blocked","Blocked",IF(AND($T863&lt;&gt;"Fixed – Retest Passed",OR(LEN(TRIM($O863))&gt;0,LEN(TRIM($P863))&gt;0)),IF(AND(OR($L863="Medium",$L863="Low"),SUMPRODUCT((Cards!$A$4:$A$1000&lt;&gt;"")*ISNUMBER(SEARCH($A863,Cards!$E$4:$E$1000))*(Cards!$F$4:$F$1000&lt;&gt;"Medium")*(Cards!$F$4:$F$1000&lt;&gt;"Low"))=0),"Conditionally Passed","Failed"),IF($M863="Done","Passed","Not Run")))))</f>
        <v/>
      </c>
      <c r="Y863" s="27" t="str" cm="1">
        <f t="array" ref="Y863">IF($A863="","",IF(TRIM($B863)="","-",IFERROR(_xlfn.TEXTJOIN(" / ",TRUE,_xlfn.UNIQUE(_xlfn._xlws.FILTER('Ownership Matrix'!$C$5:$C$200,('Ownership Matrix'!$A$5:$A$200=TRIM($B863))*('Ownership Matrix'!$C$5:$C$200&lt;&gt;"")))),"ไม่พบใน Ownership Matrix")))</f>
        <v/>
      </c>
      <c r="Z863" s="31" t="str">
        <f>IF(NOT(AND($A863&lt;&gt;"",$M863&lt;&gt;"Out of Scope",$M863&lt;&gt;"Canceled",$T863&lt;&gt;"Fixed – Retest Passed",OR(LEN(TRIM($O863))&gt;0,LEN(TRIM($P863))&gt;0))),"",IF(OR($W863="Failed",$R863="Urgent",$R863="High",$R863="ระบุ Severity + Impact"),IF(COUNTIFS(Dashboard!$B$105:$B$124,$O863,Dashboard!$I$105:$I$124,"CAB")&gt;0,"Accepted (CF)","Blocking"),"Deferrable"))</f>
        <v/>
      </c>
    </row>
    <row r="864" spans="7:26" x14ac:dyDescent="0.3">
      <c r="G864" s="27" t="str" cm="1">
        <f t="array" ref="G864">IF($A864="","",IFERROR(_xlfn.TEXTJOIN(CHAR(10)&amp;CHAR(10),TRUE,_xlfn._xlws.FILTER("•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"&amp;Cards!$L$4:$L$1000),(Cards!$A$4:$A$1000&lt;&gt;"")*ISNUMBER(SEARCH($A864,Cards!$E$4:$E$1000)))),"-"))</f>
        <v/>
      </c>
      <c r="Q864" s="30"/>
      <c r="R864" s="27" t="str">
        <f>IF(OR($A864="",LEN(TRIM($O864))=0),"",IF(OR($P864="",$Q864=""),"ระบุ Severity + Impact",IFERROR(INDEX({"Urgent","Urgent","High","High";"Urgent","High","High","Medium";"High","High","Medium","Medium";"Medium","Medium","Low","Low"},MATCH($P864,{"Critical","High","Medium","Low"},0),MATCH($Q864,{"Extensive","Significant","Moderate","Minor"},0)),"-")))</f>
        <v/>
      </c>
      <c r="S864" s="30"/>
      <c r="T864" s="30"/>
      <c r="W864" s="32" t="str">
        <f>IF($A864="","",IF(OR($M864="Out of Scope",$M864="Canceled"),"Out of Scope",IF($M864="Blocked","Blocked",IF(AND($T864&lt;&gt;"Fixed – Retest Passed",OR(LEN(TRIM($O864))&gt;0,LEN(TRIM($P864))&gt;0)),IF(AND(OR($L864="Medium",$L864="Low"),SUMPRODUCT((Cards!$A$4:$A$1000&lt;&gt;"")*ISNUMBER(SEARCH($A864,Cards!$E$4:$E$1000))*(Cards!$F$4:$F$1000&lt;&gt;"Medium")*(Cards!$F$4:$F$1000&lt;&gt;"Low"))=0),"Conditionally Passed","Failed"),IF($M864="Done","Passed","Not Run")))))</f>
        <v/>
      </c>
      <c r="Y864" s="27" t="str" cm="1">
        <f t="array" ref="Y864">IF($A864="","",IF(TRIM($B864)="","-",IFERROR(_xlfn.TEXTJOIN(" / ",TRUE,_xlfn.UNIQUE(_xlfn._xlws.FILTER('Ownership Matrix'!$C$5:$C$200,('Ownership Matrix'!$A$5:$A$200=TRIM($B864))*('Ownership Matrix'!$C$5:$C$200&lt;&gt;"")))),"ไม่พบใน Ownership Matrix")))</f>
        <v/>
      </c>
      <c r="Z864" s="31" t="str">
        <f>IF(NOT(AND($A864&lt;&gt;"",$M864&lt;&gt;"Out of Scope",$M864&lt;&gt;"Canceled",$T864&lt;&gt;"Fixed – Retest Passed",OR(LEN(TRIM($O864))&gt;0,LEN(TRIM($P864))&gt;0))),"",IF(OR($W864="Failed",$R864="Urgent",$R864="High",$R864="ระบุ Severity + Impact"),IF(COUNTIFS(Dashboard!$B$105:$B$124,$O864,Dashboard!$I$105:$I$124,"CAB")&gt;0,"Accepted (CF)","Blocking"),"Deferrable"))</f>
        <v/>
      </c>
    </row>
    <row r="865" spans="7:26" x14ac:dyDescent="0.3">
      <c r="G865" s="27" t="str" cm="1">
        <f t="array" ref="G865">IF($A865="","",IFERROR(_xlfn.TEXTJOIN(CHAR(10)&amp;CHAR(10),TRUE,_xlfn._xlws.FILTER("•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"&amp;Cards!$L$4:$L$1000),(Cards!$A$4:$A$1000&lt;&gt;"")*ISNUMBER(SEARCH($A865,Cards!$E$4:$E$1000)))),"-"))</f>
        <v/>
      </c>
      <c r="Q865" s="30"/>
      <c r="R865" s="27" t="str">
        <f>IF(OR($A865="",LEN(TRIM($O865))=0),"",IF(OR($P865="",$Q865=""),"ระบุ Severity + Impact",IFERROR(INDEX({"Urgent","Urgent","High","High";"Urgent","High","High","Medium";"High","High","Medium","Medium";"Medium","Medium","Low","Low"},MATCH($P865,{"Critical","High","Medium","Low"},0),MATCH($Q865,{"Extensive","Significant","Moderate","Minor"},0)),"-")))</f>
        <v/>
      </c>
      <c r="S865" s="30"/>
      <c r="T865" s="30"/>
      <c r="W865" s="32" t="str">
        <f>IF($A865="","",IF(OR($M865="Out of Scope",$M865="Canceled"),"Out of Scope",IF($M865="Blocked","Blocked",IF(AND($T865&lt;&gt;"Fixed – Retest Passed",OR(LEN(TRIM($O865))&gt;0,LEN(TRIM($P865))&gt;0)),IF(AND(OR($L865="Medium",$L865="Low"),SUMPRODUCT((Cards!$A$4:$A$1000&lt;&gt;"")*ISNUMBER(SEARCH($A865,Cards!$E$4:$E$1000))*(Cards!$F$4:$F$1000&lt;&gt;"Medium")*(Cards!$F$4:$F$1000&lt;&gt;"Low"))=0),"Conditionally Passed","Failed"),IF($M865="Done","Passed","Not Run")))))</f>
        <v/>
      </c>
      <c r="Y865" s="27" t="str" cm="1">
        <f t="array" ref="Y865">IF($A865="","",IF(TRIM($B865)="","-",IFERROR(_xlfn.TEXTJOIN(" / ",TRUE,_xlfn.UNIQUE(_xlfn._xlws.FILTER('Ownership Matrix'!$C$5:$C$200,('Ownership Matrix'!$A$5:$A$200=TRIM($B865))*('Ownership Matrix'!$C$5:$C$200&lt;&gt;"")))),"ไม่พบใน Ownership Matrix")))</f>
        <v/>
      </c>
      <c r="Z865" s="31" t="str">
        <f>IF(NOT(AND($A865&lt;&gt;"",$M865&lt;&gt;"Out of Scope",$M865&lt;&gt;"Canceled",$T865&lt;&gt;"Fixed – Retest Passed",OR(LEN(TRIM($O865))&gt;0,LEN(TRIM($P865))&gt;0))),"",IF(OR($W865="Failed",$R865="Urgent",$R865="High",$R865="ระบุ Severity + Impact"),IF(COUNTIFS(Dashboard!$B$105:$B$124,$O865,Dashboard!$I$105:$I$124,"CAB")&gt;0,"Accepted (CF)","Blocking"),"Deferrable"))</f>
        <v/>
      </c>
    </row>
    <row r="866" spans="7:26" x14ac:dyDescent="0.3">
      <c r="G866" s="27" t="str" cm="1">
        <f t="array" ref="G866">IF($A866="","",IFERROR(_xlfn.TEXTJOIN(CHAR(10)&amp;CHAR(10),TRUE,_xlfn._xlws.FILTER("•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"&amp;Cards!$L$4:$L$1000),(Cards!$A$4:$A$1000&lt;&gt;"")*ISNUMBER(SEARCH($A866,Cards!$E$4:$E$1000)))),"-"))</f>
        <v/>
      </c>
      <c r="Q866" s="30"/>
      <c r="R866" s="27" t="str">
        <f>IF(OR($A866="",LEN(TRIM($O866))=0),"",IF(OR($P866="",$Q866=""),"ระบุ Severity + Impact",IFERROR(INDEX({"Urgent","Urgent","High","High";"Urgent","High","High","Medium";"High","High","Medium","Medium";"Medium","Medium","Low","Low"},MATCH($P866,{"Critical","High","Medium","Low"},0),MATCH($Q866,{"Extensive","Significant","Moderate","Minor"},0)),"-")))</f>
        <v/>
      </c>
      <c r="S866" s="30"/>
      <c r="T866" s="30"/>
      <c r="W866" s="32" t="str">
        <f>IF($A866="","",IF(OR($M866="Out of Scope",$M866="Canceled"),"Out of Scope",IF($M866="Blocked","Blocked",IF(AND($T866&lt;&gt;"Fixed – Retest Passed",OR(LEN(TRIM($O866))&gt;0,LEN(TRIM($P866))&gt;0)),IF(AND(OR($L866="Medium",$L866="Low"),SUMPRODUCT((Cards!$A$4:$A$1000&lt;&gt;"")*ISNUMBER(SEARCH($A866,Cards!$E$4:$E$1000))*(Cards!$F$4:$F$1000&lt;&gt;"Medium")*(Cards!$F$4:$F$1000&lt;&gt;"Low"))=0),"Conditionally Passed","Failed"),IF($M866="Done","Passed","Not Run")))))</f>
        <v/>
      </c>
      <c r="Y866" s="27" t="str" cm="1">
        <f t="array" ref="Y866">IF($A866="","",IF(TRIM($B866)="","-",IFERROR(_xlfn.TEXTJOIN(" / ",TRUE,_xlfn.UNIQUE(_xlfn._xlws.FILTER('Ownership Matrix'!$C$5:$C$200,('Ownership Matrix'!$A$5:$A$200=TRIM($B866))*('Ownership Matrix'!$C$5:$C$200&lt;&gt;"")))),"ไม่พบใน Ownership Matrix")))</f>
        <v/>
      </c>
      <c r="Z866" s="31" t="str">
        <f>IF(NOT(AND($A866&lt;&gt;"",$M866&lt;&gt;"Out of Scope",$M866&lt;&gt;"Canceled",$T866&lt;&gt;"Fixed – Retest Passed",OR(LEN(TRIM($O866))&gt;0,LEN(TRIM($P866))&gt;0))),"",IF(OR($W866="Failed",$R866="Urgent",$R866="High",$R866="ระบุ Severity + Impact"),IF(COUNTIFS(Dashboard!$B$105:$B$124,$O866,Dashboard!$I$105:$I$124,"CAB")&gt;0,"Accepted (CF)","Blocking"),"Deferrable"))</f>
        <v/>
      </c>
    </row>
    <row r="867" spans="7:26" x14ac:dyDescent="0.3">
      <c r="G867" s="27" t="str" cm="1">
        <f t="array" ref="G867">IF($A867="","",IFERROR(_xlfn.TEXTJOIN(CHAR(10)&amp;CHAR(10),TRUE,_xlfn._xlws.FILTER("•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"&amp;Cards!$L$4:$L$1000),(Cards!$A$4:$A$1000&lt;&gt;"")*ISNUMBER(SEARCH($A867,Cards!$E$4:$E$1000)))),"-"))</f>
        <v/>
      </c>
      <c r="Q867" s="30"/>
      <c r="R867" s="27" t="str">
        <f>IF(OR($A867="",LEN(TRIM($O867))=0),"",IF(OR($P867="",$Q867=""),"ระบุ Severity + Impact",IFERROR(INDEX({"Urgent","Urgent","High","High";"Urgent","High","High","Medium";"High","High","Medium","Medium";"Medium","Medium","Low","Low"},MATCH($P867,{"Critical","High","Medium","Low"},0),MATCH($Q867,{"Extensive","Significant","Moderate","Minor"},0)),"-")))</f>
        <v/>
      </c>
      <c r="S867" s="30"/>
      <c r="T867" s="30"/>
      <c r="W867" s="32" t="str">
        <f>IF($A867="","",IF(OR($M867="Out of Scope",$M867="Canceled"),"Out of Scope",IF($M867="Blocked","Blocked",IF(AND($T867&lt;&gt;"Fixed – Retest Passed",OR(LEN(TRIM($O867))&gt;0,LEN(TRIM($P867))&gt;0)),IF(AND(OR($L867="Medium",$L867="Low"),SUMPRODUCT((Cards!$A$4:$A$1000&lt;&gt;"")*ISNUMBER(SEARCH($A867,Cards!$E$4:$E$1000))*(Cards!$F$4:$F$1000&lt;&gt;"Medium")*(Cards!$F$4:$F$1000&lt;&gt;"Low"))=0),"Conditionally Passed","Failed"),IF($M867="Done","Passed","Not Run")))))</f>
        <v/>
      </c>
      <c r="Y867" s="27" t="str" cm="1">
        <f t="array" ref="Y867">IF($A867="","",IF(TRIM($B867)="","-",IFERROR(_xlfn.TEXTJOIN(" / ",TRUE,_xlfn.UNIQUE(_xlfn._xlws.FILTER('Ownership Matrix'!$C$5:$C$200,('Ownership Matrix'!$A$5:$A$200=TRIM($B867))*('Ownership Matrix'!$C$5:$C$200&lt;&gt;"")))),"ไม่พบใน Ownership Matrix")))</f>
        <v/>
      </c>
      <c r="Z867" s="31" t="str">
        <f>IF(NOT(AND($A867&lt;&gt;"",$M867&lt;&gt;"Out of Scope",$M867&lt;&gt;"Canceled",$T867&lt;&gt;"Fixed – Retest Passed",OR(LEN(TRIM($O867))&gt;0,LEN(TRIM($P867))&gt;0))),"",IF(OR($W867="Failed",$R867="Urgent",$R867="High",$R867="ระบุ Severity + Impact"),IF(COUNTIFS(Dashboard!$B$105:$B$124,$O867,Dashboard!$I$105:$I$124,"CAB")&gt;0,"Accepted (CF)","Blocking"),"Deferrable"))</f>
        <v/>
      </c>
    </row>
    <row r="868" spans="7:26" x14ac:dyDescent="0.3">
      <c r="G868" s="27" t="str" cm="1">
        <f t="array" ref="G868">IF($A868="","",IFERROR(_xlfn.TEXTJOIN(CHAR(10)&amp;CHAR(10),TRUE,_xlfn._xlws.FILTER("•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"&amp;Cards!$L$4:$L$1000),(Cards!$A$4:$A$1000&lt;&gt;"")*ISNUMBER(SEARCH($A868,Cards!$E$4:$E$1000)))),"-"))</f>
        <v/>
      </c>
      <c r="Q868" s="30"/>
      <c r="R868" s="27" t="str">
        <f>IF(OR($A868="",LEN(TRIM($O868))=0),"",IF(OR($P868="",$Q868=""),"ระบุ Severity + Impact",IFERROR(INDEX({"Urgent","Urgent","High","High";"Urgent","High","High","Medium";"High","High","Medium","Medium";"Medium","Medium","Low","Low"},MATCH($P868,{"Critical","High","Medium","Low"},0),MATCH($Q868,{"Extensive","Significant","Moderate","Minor"},0)),"-")))</f>
        <v/>
      </c>
      <c r="S868" s="30"/>
      <c r="T868" s="30"/>
      <c r="W868" s="32" t="str">
        <f>IF($A868="","",IF(OR($M868="Out of Scope",$M868="Canceled"),"Out of Scope",IF($M868="Blocked","Blocked",IF(AND($T868&lt;&gt;"Fixed – Retest Passed",OR(LEN(TRIM($O868))&gt;0,LEN(TRIM($P868))&gt;0)),IF(AND(OR($L868="Medium",$L868="Low"),SUMPRODUCT((Cards!$A$4:$A$1000&lt;&gt;"")*ISNUMBER(SEARCH($A868,Cards!$E$4:$E$1000))*(Cards!$F$4:$F$1000&lt;&gt;"Medium")*(Cards!$F$4:$F$1000&lt;&gt;"Low"))=0),"Conditionally Passed","Failed"),IF($M868="Done","Passed","Not Run")))))</f>
        <v/>
      </c>
      <c r="Y868" s="27" t="str" cm="1">
        <f t="array" ref="Y868">IF($A868="","",IF(TRIM($B868)="","-",IFERROR(_xlfn.TEXTJOIN(" / ",TRUE,_xlfn.UNIQUE(_xlfn._xlws.FILTER('Ownership Matrix'!$C$5:$C$200,('Ownership Matrix'!$A$5:$A$200=TRIM($B868))*('Ownership Matrix'!$C$5:$C$200&lt;&gt;"")))),"ไม่พบใน Ownership Matrix")))</f>
        <v/>
      </c>
      <c r="Z868" s="31" t="str">
        <f>IF(NOT(AND($A868&lt;&gt;"",$M868&lt;&gt;"Out of Scope",$M868&lt;&gt;"Canceled",$T868&lt;&gt;"Fixed – Retest Passed",OR(LEN(TRIM($O868))&gt;0,LEN(TRIM($P868))&gt;0))),"",IF(OR($W868="Failed",$R868="Urgent",$R868="High",$R868="ระบุ Severity + Impact"),IF(COUNTIFS(Dashboard!$B$105:$B$124,$O868,Dashboard!$I$105:$I$124,"CAB")&gt;0,"Accepted (CF)","Blocking"),"Deferrable"))</f>
        <v/>
      </c>
    </row>
    <row r="869" spans="7:26" x14ac:dyDescent="0.3">
      <c r="G869" s="27" t="str" cm="1">
        <f t="array" ref="G869">IF($A869="","",IFERROR(_xlfn.TEXTJOIN(CHAR(10)&amp;CHAR(10),TRUE,_xlfn._xlws.FILTER("•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"&amp;Cards!$L$4:$L$1000),(Cards!$A$4:$A$1000&lt;&gt;"")*ISNUMBER(SEARCH($A869,Cards!$E$4:$E$1000)))),"-"))</f>
        <v/>
      </c>
      <c r="Q869" s="30"/>
      <c r="R869" s="27" t="str">
        <f>IF(OR($A869="",LEN(TRIM($O869))=0),"",IF(OR($P869="",$Q869=""),"ระบุ Severity + Impact",IFERROR(INDEX({"Urgent","Urgent","High","High";"Urgent","High","High","Medium";"High","High","Medium","Medium";"Medium","Medium","Low","Low"},MATCH($P869,{"Critical","High","Medium","Low"},0),MATCH($Q869,{"Extensive","Significant","Moderate","Minor"},0)),"-")))</f>
        <v/>
      </c>
      <c r="S869" s="30"/>
      <c r="T869" s="30"/>
      <c r="W869" s="32" t="str">
        <f>IF($A869="","",IF(OR($M869="Out of Scope",$M869="Canceled"),"Out of Scope",IF($M869="Blocked","Blocked",IF(AND($T869&lt;&gt;"Fixed – Retest Passed",OR(LEN(TRIM($O869))&gt;0,LEN(TRIM($P869))&gt;0)),IF(AND(OR($L869="Medium",$L869="Low"),SUMPRODUCT((Cards!$A$4:$A$1000&lt;&gt;"")*ISNUMBER(SEARCH($A869,Cards!$E$4:$E$1000))*(Cards!$F$4:$F$1000&lt;&gt;"Medium")*(Cards!$F$4:$F$1000&lt;&gt;"Low"))=0),"Conditionally Passed","Failed"),IF($M869="Done","Passed","Not Run")))))</f>
        <v/>
      </c>
      <c r="Y869" s="27" t="str" cm="1">
        <f t="array" ref="Y869">IF($A869="","",IF(TRIM($B869)="","-",IFERROR(_xlfn.TEXTJOIN(" / ",TRUE,_xlfn.UNIQUE(_xlfn._xlws.FILTER('Ownership Matrix'!$C$5:$C$200,('Ownership Matrix'!$A$5:$A$200=TRIM($B869))*('Ownership Matrix'!$C$5:$C$200&lt;&gt;"")))),"ไม่พบใน Ownership Matrix")))</f>
        <v/>
      </c>
      <c r="Z869" s="31" t="str">
        <f>IF(NOT(AND($A869&lt;&gt;"",$M869&lt;&gt;"Out of Scope",$M869&lt;&gt;"Canceled",$T869&lt;&gt;"Fixed – Retest Passed",OR(LEN(TRIM($O869))&gt;0,LEN(TRIM($P869))&gt;0))),"",IF(OR($W869="Failed",$R869="Urgent",$R869="High",$R869="ระบุ Severity + Impact"),IF(COUNTIFS(Dashboard!$B$105:$B$124,$O869,Dashboard!$I$105:$I$124,"CAB")&gt;0,"Accepted (CF)","Blocking"),"Deferrable"))</f>
        <v/>
      </c>
    </row>
    <row r="870" spans="7:26" x14ac:dyDescent="0.3">
      <c r="G870" s="27" t="str" cm="1">
        <f t="array" ref="G870">IF($A870="","",IFERROR(_xlfn.TEXTJOIN(CHAR(10)&amp;CHAR(10),TRUE,_xlfn._xlws.FILTER("•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"&amp;Cards!$L$4:$L$1000),(Cards!$A$4:$A$1000&lt;&gt;"")*ISNUMBER(SEARCH($A870,Cards!$E$4:$E$1000)))),"-"))</f>
        <v/>
      </c>
      <c r="Q870" s="30"/>
      <c r="R870" s="27" t="str">
        <f>IF(OR($A870="",LEN(TRIM($O870))=0),"",IF(OR($P870="",$Q870=""),"ระบุ Severity + Impact",IFERROR(INDEX({"Urgent","Urgent","High","High";"Urgent","High","High","Medium";"High","High","Medium","Medium";"Medium","Medium","Low","Low"},MATCH($P870,{"Critical","High","Medium","Low"},0),MATCH($Q870,{"Extensive","Significant","Moderate","Minor"},0)),"-")))</f>
        <v/>
      </c>
      <c r="S870" s="30"/>
      <c r="T870" s="30"/>
      <c r="W870" s="32" t="str">
        <f>IF($A870="","",IF(OR($M870="Out of Scope",$M870="Canceled"),"Out of Scope",IF($M870="Blocked","Blocked",IF(AND($T870&lt;&gt;"Fixed – Retest Passed",OR(LEN(TRIM($O870))&gt;0,LEN(TRIM($P870))&gt;0)),IF(AND(OR($L870="Medium",$L870="Low"),SUMPRODUCT((Cards!$A$4:$A$1000&lt;&gt;"")*ISNUMBER(SEARCH($A870,Cards!$E$4:$E$1000))*(Cards!$F$4:$F$1000&lt;&gt;"Medium")*(Cards!$F$4:$F$1000&lt;&gt;"Low"))=0),"Conditionally Passed","Failed"),IF($M870="Done","Passed","Not Run")))))</f>
        <v/>
      </c>
      <c r="Y870" s="27" t="str" cm="1">
        <f t="array" ref="Y870">IF($A870="","",IF(TRIM($B870)="","-",IFERROR(_xlfn.TEXTJOIN(" / ",TRUE,_xlfn.UNIQUE(_xlfn._xlws.FILTER('Ownership Matrix'!$C$5:$C$200,('Ownership Matrix'!$A$5:$A$200=TRIM($B870))*('Ownership Matrix'!$C$5:$C$200&lt;&gt;"")))),"ไม่พบใน Ownership Matrix")))</f>
        <v/>
      </c>
      <c r="Z870" s="31" t="str">
        <f>IF(NOT(AND($A870&lt;&gt;"",$M870&lt;&gt;"Out of Scope",$M870&lt;&gt;"Canceled",$T870&lt;&gt;"Fixed – Retest Passed",OR(LEN(TRIM($O870))&gt;0,LEN(TRIM($P870))&gt;0))),"",IF(OR($W870="Failed",$R870="Urgent",$R870="High",$R870="ระบุ Severity + Impact"),IF(COUNTIFS(Dashboard!$B$105:$B$124,$O870,Dashboard!$I$105:$I$124,"CAB")&gt;0,"Accepted (CF)","Blocking"),"Deferrable"))</f>
        <v/>
      </c>
    </row>
    <row r="871" spans="7:26" x14ac:dyDescent="0.3">
      <c r="G871" s="27" t="str" cm="1">
        <f t="array" ref="G871">IF($A871="","",IFERROR(_xlfn.TEXTJOIN(CHAR(10)&amp;CHAR(10),TRUE,_xlfn._xlws.FILTER("•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"&amp;Cards!$L$4:$L$1000),(Cards!$A$4:$A$1000&lt;&gt;"")*ISNUMBER(SEARCH($A871,Cards!$E$4:$E$1000)))),"-"))</f>
        <v/>
      </c>
      <c r="Q871" s="30"/>
      <c r="R871" s="27" t="str">
        <f>IF(OR($A871="",LEN(TRIM($O871))=0),"",IF(OR($P871="",$Q871=""),"ระบุ Severity + Impact",IFERROR(INDEX({"Urgent","Urgent","High","High";"Urgent","High","High","Medium";"High","High","Medium","Medium";"Medium","Medium","Low","Low"},MATCH($P871,{"Critical","High","Medium","Low"},0),MATCH($Q871,{"Extensive","Significant","Moderate","Minor"},0)),"-")))</f>
        <v/>
      </c>
      <c r="S871" s="30"/>
      <c r="T871" s="30"/>
      <c r="W871" s="32" t="str">
        <f>IF($A871="","",IF(OR($M871="Out of Scope",$M871="Canceled"),"Out of Scope",IF($M871="Blocked","Blocked",IF(AND($T871&lt;&gt;"Fixed – Retest Passed",OR(LEN(TRIM($O871))&gt;0,LEN(TRIM($P871))&gt;0)),IF(AND(OR($L871="Medium",$L871="Low"),SUMPRODUCT((Cards!$A$4:$A$1000&lt;&gt;"")*ISNUMBER(SEARCH($A871,Cards!$E$4:$E$1000))*(Cards!$F$4:$F$1000&lt;&gt;"Medium")*(Cards!$F$4:$F$1000&lt;&gt;"Low"))=0),"Conditionally Passed","Failed"),IF($M871="Done","Passed","Not Run")))))</f>
        <v/>
      </c>
      <c r="Y871" s="27" t="str" cm="1">
        <f t="array" ref="Y871">IF($A871="","",IF(TRIM($B871)="","-",IFERROR(_xlfn.TEXTJOIN(" / ",TRUE,_xlfn.UNIQUE(_xlfn._xlws.FILTER('Ownership Matrix'!$C$5:$C$200,('Ownership Matrix'!$A$5:$A$200=TRIM($B871))*('Ownership Matrix'!$C$5:$C$200&lt;&gt;"")))),"ไม่พบใน Ownership Matrix")))</f>
        <v/>
      </c>
      <c r="Z871" s="31" t="str">
        <f>IF(NOT(AND($A871&lt;&gt;"",$M871&lt;&gt;"Out of Scope",$M871&lt;&gt;"Canceled",$T871&lt;&gt;"Fixed – Retest Passed",OR(LEN(TRIM($O871))&gt;0,LEN(TRIM($P871))&gt;0))),"",IF(OR($W871="Failed",$R871="Urgent",$R871="High",$R871="ระบุ Severity + Impact"),IF(COUNTIFS(Dashboard!$B$105:$B$124,$O871,Dashboard!$I$105:$I$124,"CAB")&gt;0,"Accepted (CF)","Blocking"),"Deferrable"))</f>
        <v/>
      </c>
    </row>
    <row r="872" spans="7:26" x14ac:dyDescent="0.3">
      <c r="G872" s="27" t="str" cm="1">
        <f t="array" ref="G872">IF($A872="","",IFERROR(_xlfn.TEXTJOIN(CHAR(10)&amp;CHAR(10),TRUE,_xlfn._xlws.FILTER("•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"&amp;Cards!$L$4:$L$1000),(Cards!$A$4:$A$1000&lt;&gt;"")*ISNUMBER(SEARCH($A872,Cards!$E$4:$E$1000)))),"-"))</f>
        <v/>
      </c>
      <c r="Q872" s="30"/>
      <c r="R872" s="27" t="str">
        <f>IF(OR($A872="",LEN(TRIM($O872))=0),"",IF(OR($P872="",$Q872=""),"ระบุ Severity + Impact",IFERROR(INDEX({"Urgent","Urgent","High","High";"Urgent","High","High","Medium";"High","High","Medium","Medium";"Medium","Medium","Low","Low"},MATCH($P872,{"Critical","High","Medium","Low"},0),MATCH($Q872,{"Extensive","Significant","Moderate","Minor"},0)),"-")))</f>
        <v/>
      </c>
      <c r="S872" s="30"/>
      <c r="T872" s="30"/>
      <c r="W872" s="32" t="str">
        <f>IF($A872="","",IF(OR($M872="Out of Scope",$M872="Canceled"),"Out of Scope",IF($M872="Blocked","Blocked",IF(AND($T872&lt;&gt;"Fixed – Retest Passed",OR(LEN(TRIM($O872))&gt;0,LEN(TRIM($P872))&gt;0)),IF(AND(OR($L872="Medium",$L872="Low"),SUMPRODUCT((Cards!$A$4:$A$1000&lt;&gt;"")*ISNUMBER(SEARCH($A872,Cards!$E$4:$E$1000))*(Cards!$F$4:$F$1000&lt;&gt;"Medium")*(Cards!$F$4:$F$1000&lt;&gt;"Low"))=0),"Conditionally Passed","Failed"),IF($M872="Done","Passed","Not Run")))))</f>
        <v/>
      </c>
      <c r="Y872" s="27" t="str" cm="1">
        <f t="array" ref="Y872">IF($A872="","",IF(TRIM($B872)="","-",IFERROR(_xlfn.TEXTJOIN(" / ",TRUE,_xlfn.UNIQUE(_xlfn._xlws.FILTER('Ownership Matrix'!$C$5:$C$200,('Ownership Matrix'!$A$5:$A$200=TRIM($B872))*('Ownership Matrix'!$C$5:$C$200&lt;&gt;"")))),"ไม่พบใน Ownership Matrix")))</f>
        <v/>
      </c>
      <c r="Z872" s="31" t="str">
        <f>IF(NOT(AND($A872&lt;&gt;"",$M872&lt;&gt;"Out of Scope",$M872&lt;&gt;"Canceled",$T872&lt;&gt;"Fixed – Retest Passed",OR(LEN(TRIM($O872))&gt;0,LEN(TRIM($P872))&gt;0))),"",IF(OR($W872="Failed",$R872="Urgent",$R872="High",$R872="ระบุ Severity + Impact"),IF(COUNTIFS(Dashboard!$B$105:$B$124,$O872,Dashboard!$I$105:$I$124,"CAB")&gt;0,"Accepted (CF)","Blocking"),"Deferrable"))</f>
        <v/>
      </c>
    </row>
    <row r="873" spans="7:26" x14ac:dyDescent="0.3">
      <c r="G873" s="27" t="str" cm="1">
        <f t="array" ref="G873">IF($A873="","",IFERROR(_xlfn.TEXTJOIN(CHAR(10)&amp;CHAR(10),TRUE,_xlfn._xlws.FILTER("•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"&amp;Cards!$L$4:$L$1000),(Cards!$A$4:$A$1000&lt;&gt;"")*ISNUMBER(SEARCH($A873,Cards!$E$4:$E$1000)))),"-"))</f>
        <v/>
      </c>
      <c r="Q873" s="30"/>
      <c r="R873" s="27" t="str">
        <f>IF(OR($A873="",LEN(TRIM($O873))=0),"",IF(OR($P873="",$Q873=""),"ระบุ Severity + Impact",IFERROR(INDEX({"Urgent","Urgent","High","High";"Urgent","High","High","Medium";"High","High","Medium","Medium";"Medium","Medium","Low","Low"},MATCH($P873,{"Critical","High","Medium","Low"},0),MATCH($Q873,{"Extensive","Significant","Moderate","Minor"},0)),"-")))</f>
        <v/>
      </c>
      <c r="S873" s="30"/>
      <c r="T873" s="30"/>
      <c r="W873" s="32" t="str">
        <f>IF($A873="","",IF(OR($M873="Out of Scope",$M873="Canceled"),"Out of Scope",IF($M873="Blocked","Blocked",IF(AND($T873&lt;&gt;"Fixed – Retest Passed",OR(LEN(TRIM($O873))&gt;0,LEN(TRIM($P873))&gt;0)),IF(AND(OR($L873="Medium",$L873="Low"),SUMPRODUCT((Cards!$A$4:$A$1000&lt;&gt;"")*ISNUMBER(SEARCH($A873,Cards!$E$4:$E$1000))*(Cards!$F$4:$F$1000&lt;&gt;"Medium")*(Cards!$F$4:$F$1000&lt;&gt;"Low"))=0),"Conditionally Passed","Failed"),IF($M873="Done","Passed","Not Run")))))</f>
        <v/>
      </c>
      <c r="Y873" s="27" t="str" cm="1">
        <f t="array" ref="Y873">IF($A873="","",IF(TRIM($B873)="","-",IFERROR(_xlfn.TEXTJOIN(" / ",TRUE,_xlfn.UNIQUE(_xlfn._xlws.FILTER('Ownership Matrix'!$C$5:$C$200,('Ownership Matrix'!$A$5:$A$200=TRIM($B873))*('Ownership Matrix'!$C$5:$C$200&lt;&gt;"")))),"ไม่พบใน Ownership Matrix")))</f>
        <v/>
      </c>
      <c r="Z873" s="31" t="str">
        <f>IF(NOT(AND($A873&lt;&gt;"",$M873&lt;&gt;"Out of Scope",$M873&lt;&gt;"Canceled",$T873&lt;&gt;"Fixed – Retest Passed",OR(LEN(TRIM($O873))&gt;0,LEN(TRIM($P873))&gt;0))),"",IF(OR($W873="Failed",$R873="Urgent",$R873="High",$R873="ระบุ Severity + Impact"),IF(COUNTIFS(Dashboard!$B$105:$B$124,$O873,Dashboard!$I$105:$I$124,"CAB")&gt;0,"Accepted (CF)","Blocking"),"Deferrable"))</f>
        <v/>
      </c>
    </row>
    <row r="874" spans="7:26" x14ac:dyDescent="0.3">
      <c r="G874" s="27" t="str" cm="1">
        <f t="array" ref="G874">IF($A874="","",IFERROR(_xlfn.TEXTJOIN(CHAR(10)&amp;CHAR(10),TRUE,_xlfn._xlws.FILTER("•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"&amp;Cards!$L$4:$L$1000),(Cards!$A$4:$A$1000&lt;&gt;"")*ISNUMBER(SEARCH($A874,Cards!$E$4:$E$1000)))),"-"))</f>
        <v/>
      </c>
      <c r="Q874" s="30"/>
      <c r="R874" s="27" t="str">
        <f>IF(OR($A874="",LEN(TRIM($O874))=0),"",IF(OR($P874="",$Q874=""),"ระบุ Severity + Impact",IFERROR(INDEX({"Urgent","Urgent","High","High";"Urgent","High","High","Medium";"High","High","Medium","Medium";"Medium","Medium","Low","Low"},MATCH($P874,{"Critical","High","Medium","Low"},0),MATCH($Q874,{"Extensive","Significant","Moderate","Minor"},0)),"-")))</f>
        <v/>
      </c>
      <c r="S874" s="30"/>
      <c r="T874" s="30"/>
      <c r="W874" s="32" t="str">
        <f>IF($A874="","",IF(OR($M874="Out of Scope",$M874="Canceled"),"Out of Scope",IF($M874="Blocked","Blocked",IF(AND($T874&lt;&gt;"Fixed – Retest Passed",OR(LEN(TRIM($O874))&gt;0,LEN(TRIM($P874))&gt;0)),IF(AND(OR($L874="Medium",$L874="Low"),SUMPRODUCT((Cards!$A$4:$A$1000&lt;&gt;"")*ISNUMBER(SEARCH($A874,Cards!$E$4:$E$1000))*(Cards!$F$4:$F$1000&lt;&gt;"Medium")*(Cards!$F$4:$F$1000&lt;&gt;"Low"))=0),"Conditionally Passed","Failed"),IF($M874="Done","Passed","Not Run")))))</f>
        <v/>
      </c>
      <c r="Y874" s="27" t="str" cm="1">
        <f t="array" ref="Y874">IF($A874="","",IF(TRIM($B874)="","-",IFERROR(_xlfn.TEXTJOIN(" / ",TRUE,_xlfn.UNIQUE(_xlfn._xlws.FILTER('Ownership Matrix'!$C$5:$C$200,('Ownership Matrix'!$A$5:$A$200=TRIM($B874))*('Ownership Matrix'!$C$5:$C$200&lt;&gt;"")))),"ไม่พบใน Ownership Matrix")))</f>
        <v/>
      </c>
      <c r="Z874" s="31" t="str">
        <f>IF(NOT(AND($A874&lt;&gt;"",$M874&lt;&gt;"Out of Scope",$M874&lt;&gt;"Canceled",$T874&lt;&gt;"Fixed – Retest Passed",OR(LEN(TRIM($O874))&gt;0,LEN(TRIM($P874))&gt;0))),"",IF(OR($W874="Failed",$R874="Urgent",$R874="High",$R874="ระบุ Severity + Impact"),IF(COUNTIFS(Dashboard!$B$105:$B$124,$O874,Dashboard!$I$105:$I$124,"CAB")&gt;0,"Accepted (CF)","Blocking"),"Deferrable"))</f>
        <v/>
      </c>
    </row>
    <row r="875" spans="7:26" x14ac:dyDescent="0.3">
      <c r="G875" s="27" t="str" cm="1">
        <f t="array" ref="G875">IF($A875="","",IFERROR(_xlfn.TEXTJOIN(CHAR(10)&amp;CHAR(10),TRUE,_xlfn._xlws.FILTER("•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"&amp;Cards!$L$4:$L$1000),(Cards!$A$4:$A$1000&lt;&gt;"")*ISNUMBER(SEARCH($A875,Cards!$E$4:$E$1000)))),"-"))</f>
        <v/>
      </c>
      <c r="Q875" s="30"/>
      <c r="R875" s="27" t="str">
        <f>IF(OR($A875="",LEN(TRIM($O875))=0),"",IF(OR($P875="",$Q875=""),"ระบุ Severity + Impact",IFERROR(INDEX({"Urgent","Urgent","High","High";"Urgent","High","High","Medium";"High","High","Medium","Medium";"Medium","Medium","Low","Low"},MATCH($P875,{"Critical","High","Medium","Low"},0),MATCH($Q875,{"Extensive","Significant","Moderate","Minor"},0)),"-")))</f>
        <v/>
      </c>
      <c r="S875" s="30"/>
      <c r="T875" s="30"/>
      <c r="W875" s="32" t="str">
        <f>IF($A875="","",IF(OR($M875="Out of Scope",$M875="Canceled"),"Out of Scope",IF($M875="Blocked","Blocked",IF(AND($T875&lt;&gt;"Fixed – Retest Passed",OR(LEN(TRIM($O875))&gt;0,LEN(TRIM($P875))&gt;0)),IF(AND(OR($L875="Medium",$L875="Low"),SUMPRODUCT((Cards!$A$4:$A$1000&lt;&gt;"")*ISNUMBER(SEARCH($A875,Cards!$E$4:$E$1000))*(Cards!$F$4:$F$1000&lt;&gt;"Medium")*(Cards!$F$4:$F$1000&lt;&gt;"Low"))=0),"Conditionally Passed","Failed"),IF($M875="Done","Passed","Not Run")))))</f>
        <v/>
      </c>
      <c r="Y875" s="27" t="str" cm="1">
        <f t="array" ref="Y875">IF($A875="","",IF(TRIM($B875)="","-",IFERROR(_xlfn.TEXTJOIN(" / ",TRUE,_xlfn.UNIQUE(_xlfn._xlws.FILTER('Ownership Matrix'!$C$5:$C$200,('Ownership Matrix'!$A$5:$A$200=TRIM($B875))*('Ownership Matrix'!$C$5:$C$200&lt;&gt;"")))),"ไม่พบใน Ownership Matrix")))</f>
        <v/>
      </c>
      <c r="Z875" s="31" t="str">
        <f>IF(NOT(AND($A875&lt;&gt;"",$M875&lt;&gt;"Out of Scope",$M875&lt;&gt;"Canceled",$T875&lt;&gt;"Fixed – Retest Passed",OR(LEN(TRIM($O875))&gt;0,LEN(TRIM($P875))&gt;0))),"",IF(OR($W875="Failed",$R875="Urgent",$R875="High",$R875="ระบุ Severity + Impact"),IF(COUNTIFS(Dashboard!$B$105:$B$124,$O875,Dashboard!$I$105:$I$124,"CAB")&gt;0,"Accepted (CF)","Blocking"),"Deferrable"))</f>
        <v/>
      </c>
    </row>
    <row r="876" spans="7:26" x14ac:dyDescent="0.3">
      <c r="G876" s="27" t="str" cm="1">
        <f t="array" ref="G876">IF($A876="","",IFERROR(_xlfn.TEXTJOIN(CHAR(10)&amp;CHAR(10),TRUE,_xlfn._xlws.FILTER("•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"&amp;Cards!$L$4:$L$1000),(Cards!$A$4:$A$1000&lt;&gt;"")*ISNUMBER(SEARCH($A876,Cards!$E$4:$E$1000)))),"-"))</f>
        <v/>
      </c>
      <c r="Q876" s="30"/>
      <c r="R876" s="27" t="str">
        <f>IF(OR($A876="",LEN(TRIM($O876))=0),"",IF(OR($P876="",$Q876=""),"ระบุ Severity + Impact",IFERROR(INDEX({"Urgent","Urgent","High","High";"Urgent","High","High","Medium";"High","High","Medium","Medium";"Medium","Medium","Low","Low"},MATCH($P876,{"Critical","High","Medium","Low"},0),MATCH($Q876,{"Extensive","Significant","Moderate","Minor"},0)),"-")))</f>
        <v/>
      </c>
      <c r="S876" s="30"/>
      <c r="T876" s="30"/>
      <c r="W876" s="32" t="str">
        <f>IF($A876="","",IF(OR($M876="Out of Scope",$M876="Canceled"),"Out of Scope",IF($M876="Blocked","Blocked",IF(AND($T876&lt;&gt;"Fixed – Retest Passed",OR(LEN(TRIM($O876))&gt;0,LEN(TRIM($P876))&gt;0)),IF(AND(OR($L876="Medium",$L876="Low"),SUMPRODUCT((Cards!$A$4:$A$1000&lt;&gt;"")*ISNUMBER(SEARCH($A876,Cards!$E$4:$E$1000))*(Cards!$F$4:$F$1000&lt;&gt;"Medium")*(Cards!$F$4:$F$1000&lt;&gt;"Low"))=0),"Conditionally Passed","Failed"),IF($M876="Done","Passed","Not Run")))))</f>
        <v/>
      </c>
      <c r="Y876" s="27" t="str" cm="1">
        <f t="array" ref="Y876">IF($A876="","",IF(TRIM($B876)="","-",IFERROR(_xlfn.TEXTJOIN(" / ",TRUE,_xlfn.UNIQUE(_xlfn._xlws.FILTER('Ownership Matrix'!$C$5:$C$200,('Ownership Matrix'!$A$5:$A$200=TRIM($B876))*('Ownership Matrix'!$C$5:$C$200&lt;&gt;"")))),"ไม่พบใน Ownership Matrix")))</f>
        <v/>
      </c>
      <c r="Z876" s="31" t="str">
        <f>IF(NOT(AND($A876&lt;&gt;"",$M876&lt;&gt;"Out of Scope",$M876&lt;&gt;"Canceled",$T876&lt;&gt;"Fixed – Retest Passed",OR(LEN(TRIM($O876))&gt;0,LEN(TRIM($P876))&gt;0))),"",IF(OR($W876="Failed",$R876="Urgent",$R876="High",$R876="ระบุ Severity + Impact"),IF(COUNTIFS(Dashboard!$B$105:$B$124,$O876,Dashboard!$I$105:$I$124,"CAB")&gt;0,"Accepted (CF)","Blocking"),"Deferrable"))</f>
        <v/>
      </c>
    </row>
    <row r="877" spans="7:26" x14ac:dyDescent="0.3">
      <c r="G877" s="27" t="str" cm="1">
        <f t="array" ref="G877">IF($A877="","",IFERROR(_xlfn.TEXTJOIN(CHAR(10)&amp;CHAR(10),TRUE,_xlfn._xlws.FILTER("•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"&amp;Cards!$L$4:$L$1000),(Cards!$A$4:$A$1000&lt;&gt;"")*ISNUMBER(SEARCH($A877,Cards!$E$4:$E$1000)))),"-"))</f>
        <v/>
      </c>
      <c r="Q877" s="30"/>
      <c r="R877" s="27" t="str">
        <f>IF(OR($A877="",LEN(TRIM($O877))=0),"",IF(OR($P877="",$Q877=""),"ระบุ Severity + Impact",IFERROR(INDEX({"Urgent","Urgent","High","High";"Urgent","High","High","Medium";"High","High","Medium","Medium";"Medium","Medium","Low","Low"},MATCH($P877,{"Critical","High","Medium","Low"},0),MATCH($Q877,{"Extensive","Significant","Moderate","Minor"},0)),"-")))</f>
        <v/>
      </c>
      <c r="S877" s="30"/>
      <c r="T877" s="30"/>
      <c r="W877" s="32" t="str">
        <f>IF($A877="","",IF(OR($M877="Out of Scope",$M877="Canceled"),"Out of Scope",IF($M877="Blocked","Blocked",IF(AND($T877&lt;&gt;"Fixed – Retest Passed",OR(LEN(TRIM($O877))&gt;0,LEN(TRIM($P877))&gt;0)),IF(AND(OR($L877="Medium",$L877="Low"),SUMPRODUCT((Cards!$A$4:$A$1000&lt;&gt;"")*ISNUMBER(SEARCH($A877,Cards!$E$4:$E$1000))*(Cards!$F$4:$F$1000&lt;&gt;"Medium")*(Cards!$F$4:$F$1000&lt;&gt;"Low"))=0),"Conditionally Passed","Failed"),IF($M877="Done","Passed","Not Run")))))</f>
        <v/>
      </c>
      <c r="Y877" s="27" t="str" cm="1">
        <f t="array" ref="Y877">IF($A877="","",IF(TRIM($B877)="","-",IFERROR(_xlfn.TEXTJOIN(" / ",TRUE,_xlfn.UNIQUE(_xlfn._xlws.FILTER('Ownership Matrix'!$C$5:$C$200,('Ownership Matrix'!$A$5:$A$200=TRIM($B877))*('Ownership Matrix'!$C$5:$C$200&lt;&gt;"")))),"ไม่พบใน Ownership Matrix")))</f>
        <v/>
      </c>
      <c r="Z877" s="31" t="str">
        <f>IF(NOT(AND($A877&lt;&gt;"",$M877&lt;&gt;"Out of Scope",$M877&lt;&gt;"Canceled",$T877&lt;&gt;"Fixed – Retest Passed",OR(LEN(TRIM($O877))&gt;0,LEN(TRIM($P877))&gt;0))),"",IF(OR($W877="Failed",$R877="Urgent",$R877="High",$R877="ระบุ Severity + Impact"),IF(COUNTIFS(Dashboard!$B$105:$B$124,$O877,Dashboard!$I$105:$I$124,"CAB")&gt;0,"Accepted (CF)","Blocking"),"Deferrable"))</f>
        <v/>
      </c>
    </row>
    <row r="878" spans="7:26" x14ac:dyDescent="0.3">
      <c r="G878" s="27" t="str" cm="1">
        <f t="array" ref="G878">IF($A878="","",IFERROR(_xlfn.TEXTJOIN(CHAR(10)&amp;CHAR(10),TRUE,_xlfn._xlws.FILTER("•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"&amp;Cards!$L$4:$L$1000),(Cards!$A$4:$A$1000&lt;&gt;"")*ISNUMBER(SEARCH($A878,Cards!$E$4:$E$1000)))),"-"))</f>
        <v/>
      </c>
      <c r="Q878" s="30"/>
      <c r="R878" s="27" t="str">
        <f>IF(OR($A878="",LEN(TRIM($O878))=0),"",IF(OR($P878="",$Q878=""),"ระบุ Severity + Impact",IFERROR(INDEX({"Urgent","Urgent","High","High";"Urgent","High","High","Medium";"High","High","Medium","Medium";"Medium","Medium","Low","Low"},MATCH($P878,{"Critical","High","Medium","Low"},0),MATCH($Q878,{"Extensive","Significant","Moderate","Minor"},0)),"-")))</f>
        <v/>
      </c>
      <c r="S878" s="30"/>
      <c r="T878" s="30"/>
      <c r="W878" s="32" t="str">
        <f>IF($A878="","",IF(OR($M878="Out of Scope",$M878="Canceled"),"Out of Scope",IF($M878="Blocked","Blocked",IF(AND($T878&lt;&gt;"Fixed – Retest Passed",OR(LEN(TRIM($O878))&gt;0,LEN(TRIM($P878))&gt;0)),IF(AND(OR($L878="Medium",$L878="Low"),SUMPRODUCT((Cards!$A$4:$A$1000&lt;&gt;"")*ISNUMBER(SEARCH($A878,Cards!$E$4:$E$1000))*(Cards!$F$4:$F$1000&lt;&gt;"Medium")*(Cards!$F$4:$F$1000&lt;&gt;"Low"))=0),"Conditionally Passed","Failed"),IF($M878="Done","Passed","Not Run")))))</f>
        <v/>
      </c>
      <c r="Y878" s="27" t="str" cm="1">
        <f t="array" ref="Y878">IF($A878="","",IF(TRIM($B878)="","-",IFERROR(_xlfn.TEXTJOIN(" / ",TRUE,_xlfn.UNIQUE(_xlfn._xlws.FILTER('Ownership Matrix'!$C$5:$C$200,('Ownership Matrix'!$A$5:$A$200=TRIM($B878))*('Ownership Matrix'!$C$5:$C$200&lt;&gt;"")))),"ไม่พบใน Ownership Matrix")))</f>
        <v/>
      </c>
      <c r="Z878" s="31" t="str">
        <f>IF(NOT(AND($A878&lt;&gt;"",$M878&lt;&gt;"Out of Scope",$M878&lt;&gt;"Canceled",$T878&lt;&gt;"Fixed – Retest Passed",OR(LEN(TRIM($O878))&gt;0,LEN(TRIM($P878))&gt;0))),"",IF(OR($W878="Failed",$R878="Urgent",$R878="High",$R878="ระบุ Severity + Impact"),IF(COUNTIFS(Dashboard!$B$105:$B$124,$O878,Dashboard!$I$105:$I$124,"CAB")&gt;0,"Accepted (CF)","Blocking"),"Deferrable"))</f>
        <v/>
      </c>
    </row>
    <row r="879" spans="7:26" x14ac:dyDescent="0.3">
      <c r="G879" s="27" t="str" cm="1">
        <f t="array" ref="G879">IF($A879="","",IFERROR(_xlfn.TEXTJOIN(CHAR(10)&amp;CHAR(10),TRUE,_xlfn._xlws.FILTER("•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"&amp;Cards!$L$4:$L$1000),(Cards!$A$4:$A$1000&lt;&gt;"")*ISNUMBER(SEARCH($A879,Cards!$E$4:$E$1000)))),"-"))</f>
        <v/>
      </c>
      <c r="Q879" s="30"/>
      <c r="R879" s="27" t="str">
        <f>IF(OR($A879="",LEN(TRIM($O879))=0),"",IF(OR($P879="",$Q879=""),"ระบุ Severity + Impact",IFERROR(INDEX({"Urgent","Urgent","High","High";"Urgent","High","High","Medium";"High","High","Medium","Medium";"Medium","Medium","Low","Low"},MATCH($P879,{"Critical","High","Medium","Low"},0),MATCH($Q879,{"Extensive","Significant","Moderate","Minor"},0)),"-")))</f>
        <v/>
      </c>
      <c r="S879" s="30"/>
      <c r="T879" s="30"/>
      <c r="W879" s="32" t="str">
        <f>IF($A879="","",IF(OR($M879="Out of Scope",$M879="Canceled"),"Out of Scope",IF($M879="Blocked","Blocked",IF(AND($T879&lt;&gt;"Fixed – Retest Passed",OR(LEN(TRIM($O879))&gt;0,LEN(TRIM($P879))&gt;0)),IF(AND(OR($L879="Medium",$L879="Low"),SUMPRODUCT((Cards!$A$4:$A$1000&lt;&gt;"")*ISNUMBER(SEARCH($A879,Cards!$E$4:$E$1000))*(Cards!$F$4:$F$1000&lt;&gt;"Medium")*(Cards!$F$4:$F$1000&lt;&gt;"Low"))=0),"Conditionally Passed","Failed"),IF($M879="Done","Passed","Not Run")))))</f>
        <v/>
      </c>
      <c r="Y879" s="27" t="str" cm="1">
        <f t="array" ref="Y879">IF($A879="","",IF(TRIM($B879)="","-",IFERROR(_xlfn.TEXTJOIN(" / ",TRUE,_xlfn.UNIQUE(_xlfn._xlws.FILTER('Ownership Matrix'!$C$5:$C$200,('Ownership Matrix'!$A$5:$A$200=TRIM($B879))*('Ownership Matrix'!$C$5:$C$200&lt;&gt;"")))),"ไม่พบใน Ownership Matrix")))</f>
        <v/>
      </c>
      <c r="Z879" s="31" t="str">
        <f>IF(NOT(AND($A879&lt;&gt;"",$M879&lt;&gt;"Out of Scope",$M879&lt;&gt;"Canceled",$T879&lt;&gt;"Fixed – Retest Passed",OR(LEN(TRIM($O879))&gt;0,LEN(TRIM($P879))&gt;0))),"",IF(OR($W879="Failed",$R879="Urgent",$R879="High",$R879="ระบุ Severity + Impact"),IF(COUNTIFS(Dashboard!$B$105:$B$124,$O879,Dashboard!$I$105:$I$124,"CAB")&gt;0,"Accepted (CF)","Blocking"),"Deferrable"))</f>
        <v/>
      </c>
    </row>
    <row r="880" spans="7:26" x14ac:dyDescent="0.3">
      <c r="G880" s="27" t="str" cm="1">
        <f t="array" ref="G880">IF($A880="","",IFERROR(_xlfn.TEXTJOIN(CHAR(10)&amp;CHAR(10),TRUE,_xlfn._xlws.FILTER("•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"&amp;Cards!$L$4:$L$1000),(Cards!$A$4:$A$1000&lt;&gt;"")*ISNUMBER(SEARCH($A880,Cards!$E$4:$E$1000)))),"-"))</f>
        <v/>
      </c>
      <c r="Q880" s="30"/>
      <c r="R880" s="27" t="str">
        <f>IF(OR($A880="",LEN(TRIM($O880))=0),"",IF(OR($P880="",$Q880=""),"ระบุ Severity + Impact",IFERROR(INDEX({"Urgent","Urgent","High","High";"Urgent","High","High","Medium";"High","High","Medium","Medium";"Medium","Medium","Low","Low"},MATCH($P880,{"Critical","High","Medium","Low"},0),MATCH($Q880,{"Extensive","Significant","Moderate","Minor"},0)),"-")))</f>
        <v/>
      </c>
      <c r="S880" s="30"/>
      <c r="T880" s="30"/>
      <c r="W880" s="32" t="str">
        <f>IF($A880="","",IF(OR($M880="Out of Scope",$M880="Canceled"),"Out of Scope",IF($M880="Blocked","Blocked",IF(AND($T880&lt;&gt;"Fixed – Retest Passed",OR(LEN(TRIM($O880))&gt;0,LEN(TRIM($P880))&gt;0)),IF(AND(OR($L880="Medium",$L880="Low"),SUMPRODUCT((Cards!$A$4:$A$1000&lt;&gt;"")*ISNUMBER(SEARCH($A880,Cards!$E$4:$E$1000))*(Cards!$F$4:$F$1000&lt;&gt;"Medium")*(Cards!$F$4:$F$1000&lt;&gt;"Low"))=0),"Conditionally Passed","Failed"),IF($M880="Done","Passed","Not Run")))))</f>
        <v/>
      </c>
      <c r="Y880" s="27" t="str" cm="1">
        <f t="array" ref="Y880">IF($A880="","",IF(TRIM($B880)="","-",IFERROR(_xlfn.TEXTJOIN(" / ",TRUE,_xlfn.UNIQUE(_xlfn._xlws.FILTER('Ownership Matrix'!$C$5:$C$200,('Ownership Matrix'!$A$5:$A$200=TRIM($B880))*('Ownership Matrix'!$C$5:$C$200&lt;&gt;"")))),"ไม่พบใน Ownership Matrix")))</f>
        <v/>
      </c>
      <c r="Z880" s="31" t="str">
        <f>IF(NOT(AND($A880&lt;&gt;"",$M880&lt;&gt;"Out of Scope",$M880&lt;&gt;"Canceled",$T880&lt;&gt;"Fixed – Retest Passed",OR(LEN(TRIM($O880))&gt;0,LEN(TRIM($P880))&gt;0))),"",IF(OR($W880="Failed",$R880="Urgent",$R880="High",$R880="ระบุ Severity + Impact"),IF(COUNTIFS(Dashboard!$B$105:$B$124,$O880,Dashboard!$I$105:$I$124,"CAB")&gt;0,"Accepted (CF)","Blocking"),"Deferrable"))</f>
        <v/>
      </c>
    </row>
    <row r="881" spans="7:26" x14ac:dyDescent="0.3">
      <c r="G881" s="27" t="str" cm="1">
        <f t="array" ref="G881">IF($A881="","",IFERROR(_xlfn.TEXTJOIN(CHAR(10)&amp;CHAR(10),TRUE,_xlfn._xlws.FILTER("•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"&amp;Cards!$L$4:$L$1000),(Cards!$A$4:$A$1000&lt;&gt;"")*ISNUMBER(SEARCH($A881,Cards!$E$4:$E$1000)))),"-"))</f>
        <v/>
      </c>
      <c r="Q881" s="30"/>
      <c r="R881" s="27" t="str">
        <f>IF(OR($A881="",LEN(TRIM($O881))=0),"",IF(OR($P881="",$Q881=""),"ระบุ Severity + Impact",IFERROR(INDEX({"Urgent","Urgent","High","High";"Urgent","High","High","Medium";"High","High","Medium","Medium";"Medium","Medium","Low","Low"},MATCH($P881,{"Critical","High","Medium","Low"},0),MATCH($Q881,{"Extensive","Significant","Moderate","Minor"},0)),"-")))</f>
        <v/>
      </c>
      <c r="S881" s="30"/>
      <c r="T881" s="30"/>
      <c r="W881" s="32" t="str">
        <f>IF($A881="","",IF(OR($M881="Out of Scope",$M881="Canceled"),"Out of Scope",IF($M881="Blocked","Blocked",IF(AND($T881&lt;&gt;"Fixed – Retest Passed",OR(LEN(TRIM($O881))&gt;0,LEN(TRIM($P881))&gt;0)),IF(AND(OR($L881="Medium",$L881="Low"),SUMPRODUCT((Cards!$A$4:$A$1000&lt;&gt;"")*ISNUMBER(SEARCH($A881,Cards!$E$4:$E$1000))*(Cards!$F$4:$F$1000&lt;&gt;"Medium")*(Cards!$F$4:$F$1000&lt;&gt;"Low"))=0),"Conditionally Passed","Failed"),IF($M881="Done","Passed","Not Run")))))</f>
        <v/>
      </c>
      <c r="Y881" s="27" t="str" cm="1">
        <f t="array" ref="Y881">IF($A881="","",IF(TRIM($B881)="","-",IFERROR(_xlfn.TEXTJOIN(" / ",TRUE,_xlfn.UNIQUE(_xlfn._xlws.FILTER('Ownership Matrix'!$C$5:$C$200,('Ownership Matrix'!$A$5:$A$200=TRIM($B881))*('Ownership Matrix'!$C$5:$C$200&lt;&gt;"")))),"ไม่พบใน Ownership Matrix")))</f>
        <v/>
      </c>
      <c r="Z881" s="31" t="str">
        <f>IF(NOT(AND($A881&lt;&gt;"",$M881&lt;&gt;"Out of Scope",$M881&lt;&gt;"Canceled",$T881&lt;&gt;"Fixed – Retest Passed",OR(LEN(TRIM($O881))&gt;0,LEN(TRIM($P881))&gt;0))),"",IF(OR($W881="Failed",$R881="Urgent",$R881="High",$R881="ระบุ Severity + Impact"),IF(COUNTIFS(Dashboard!$B$105:$B$124,$O881,Dashboard!$I$105:$I$124,"CAB")&gt;0,"Accepted (CF)","Blocking"),"Deferrable"))</f>
        <v/>
      </c>
    </row>
    <row r="882" spans="7:26" x14ac:dyDescent="0.3">
      <c r="G882" s="27" t="str" cm="1">
        <f t="array" ref="G882">IF($A882="","",IFERROR(_xlfn.TEXTJOIN(CHAR(10)&amp;CHAR(10),TRUE,_xlfn._xlws.FILTER("•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"&amp;Cards!$L$4:$L$1000),(Cards!$A$4:$A$1000&lt;&gt;"")*ISNUMBER(SEARCH($A882,Cards!$E$4:$E$1000)))),"-"))</f>
        <v/>
      </c>
      <c r="Q882" s="30"/>
      <c r="R882" s="27" t="str">
        <f>IF(OR($A882="",LEN(TRIM($O882))=0),"",IF(OR($P882="",$Q882=""),"ระบุ Severity + Impact",IFERROR(INDEX({"Urgent","Urgent","High","High";"Urgent","High","High","Medium";"High","High","Medium","Medium";"Medium","Medium","Low","Low"},MATCH($P882,{"Critical","High","Medium","Low"},0),MATCH($Q882,{"Extensive","Significant","Moderate","Minor"},0)),"-")))</f>
        <v/>
      </c>
      <c r="S882" s="30"/>
      <c r="T882" s="30"/>
      <c r="W882" s="32" t="str">
        <f>IF($A882="","",IF(OR($M882="Out of Scope",$M882="Canceled"),"Out of Scope",IF($M882="Blocked","Blocked",IF(AND($T882&lt;&gt;"Fixed – Retest Passed",OR(LEN(TRIM($O882))&gt;0,LEN(TRIM($P882))&gt;0)),IF(AND(OR($L882="Medium",$L882="Low"),SUMPRODUCT((Cards!$A$4:$A$1000&lt;&gt;"")*ISNUMBER(SEARCH($A882,Cards!$E$4:$E$1000))*(Cards!$F$4:$F$1000&lt;&gt;"Medium")*(Cards!$F$4:$F$1000&lt;&gt;"Low"))=0),"Conditionally Passed","Failed"),IF($M882="Done","Passed","Not Run")))))</f>
        <v/>
      </c>
      <c r="Y882" s="27" t="str" cm="1">
        <f t="array" ref="Y882">IF($A882="","",IF(TRIM($B882)="","-",IFERROR(_xlfn.TEXTJOIN(" / ",TRUE,_xlfn.UNIQUE(_xlfn._xlws.FILTER('Ownership Matrix'!$C$5:$C$200,('Ownership Matrix'!$A$5:$A$200=TRIM($B882))*('Ownership Matrix'!$C$5:$C$200&lt;&gt;"")))),"ไม่พบใน Ownership Matrix")))</f>
        <v/>
      </c>
      <c r="Z882" s="31" t="str">
        <f>IF(NOT(AND($A882&lt;&gt;"",$M882&lt;&gt;"Out of Scope",$M882&lt;&gt;"Canceled",$T882&lt;&gt;"Fixed – Retest Passed",OR(LEN(TRIM($O882))&gt;0,LEN(TRIM($P882))&gt;0))),"",IF(OR($W882="Failed",$R882="Urgent",$R882="High",$R882="ระบุ Severity + Impact"),IF(COUNTIFS(Dashboard!$B$105:$B$124,$O882,Dashboard!$I$105:$I$124,"CAB")&gt;0,"Accepted (CF)","Blocking"),"Deferrable"))</f>
        <v/>
      </c>
    </row>
    <row r="883" spans="7:26" x14ac:dyDescent="0.3">
      <c r="G883" s="27" t="str" cm="1">
        <f t="array" ref="G883">IF($A883="","",IFERROR(_xlfn.TEXTJOIN(CHAR(10)&amp;CHAR(10),TRUE,_xlfn._xlws.FILTER("•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"&amp;Cards!$L$4:$L$1000),(Cards!$A$4:$A$1000&lt;&gt;"")*ISNUMBER(SEARCH($A883,Cards!$E$4:$E$1000)))),"-"))</f>
        <v/>
      </c>
      <c r="Q883" s="30"/>
      <c r="R883" s="27" t="str">
        <f>IF(OR($A883="",LEN(TRIM($O883))=0),"",IF(OR($P883="",$Q883=""),"ระบุ Severity + Impact",IFERROR(INDEX({"Urgent","Urgent","High","High";"Urgent","High","High","Medium";"High","High","Medium","Medium";"Medium","Medium","Low","Low"},MATCH($P883,{"Critical","High","Medium","Low"},0),MATCH($Q883,{"Extensive","Significant","Moderate","Minor"},0)),"-")))</f>
        <v/>
      </c>
      <c r="S883" s="30"/>
      <c r="T883" s="30"/>
      <c r="W883" s="32" t="str">
        <f>IF($A883="","",IF(OR($M883="Out of Scope",$M883="Canceled"),"Out of Scope",IF($M883="Blocked","Blocked",IF(AND($T883&lt;&gt;"Fixed – Retest Passed",OR(LEN(TRIM($O883))&gt;0,LEN(TRIM($P883))&gt;0)),IF(AND(OR($L883="Medium",$L883="Low"),SUMPRODUCT((Cards!$A$4:$A$1000&lt;&gt;"")*ISNUMBER(SEARCH($A883,Cards!$E$4:$E$1000))*(Cards!$F$4:$F$1000&lt;&gt;"Medium")*(Cards!$F$4:$F$1000&lt;&gt;"Low"))=0),"Conditionally Passed","Failed"),IF($M883="Done","Passed","Not Run")))))</f>
        <v/>
      </c>
      <c r="Y883" s="27" t="str" cm="1">
        <f t="array" ref="Y883">IF($A883="","",IF(TRIM($B883)="","-",IFERROR(_xlfn.TEXTJOIN(" / ",TRUE,_xlfn.UNIQUE(_xlfn._xlws.FILTER('Ownership Matrix'!$C$5:$C$200,('Ownership Matrix'!$A$5:$A$200=TRIM($B883))*('Ownership Matrix'!$C$5:$C$200&lt;&gt;"")))),"ไม่พบใน Ownership Matrix")))</f>
        <v/>
      </c>
      <c r="Z883" s="31" t="str">
        <f>IF(NOT(AND($A883&lt;&gt;"",$M883&lt;&gt;"Out of Scope",$M883&lt;&gt;"Canceled",$T883&lt;&gt;"Fixed – Retest Passed",OR(LEN(TRIM($O883))&gt;0,LEN(TRIM($P883))&gt;0))),"",IF(OR($W883="Failed",$R883="Urgent",$R883="High",$R883="ระบุ Severity + Impact"),IF(COUNTIFS(Dashboard!$B$105:$B$124,$O883,Dashboard!$I$105:$I$124,"CAB")&gt;0,"Accepted (CF)","Blocking"),"Deferrable"))</f>
        <v/>
      </c>
    </row>
    <row r="884" spans="7:26" x14ac:dyDescent="0.3">
      <c r="G884" s="27" t="str" cm="1">
        <f t="array" ref="G884">IF($A884="","",IFERROR(_xlfn.TEXTJOIN(CHAR(10)&amp;CHAR(10),TRUE,_xlfn._xlws.FILTER("•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"&amp;Cards!$L$4:$L$1000),(Cards!$A$4:$A$1000&lt;&gt;"")*ISNUMBER(SEARCH($A884,Cards!$E$4:$E$1000)))),"-"))</f>
        <v/>
      </c>
      <c r="Q884" s="30"/>
      <c r="R884" s="27" t="str">
        <f>IF(OR($A884="",LEN(TRIM($O884))=0),"",IF(OR($P884="",$Q884=""),"ระบุ Severity + Impact",IFERROR(INDEX({"Urgent","Urgent","High","High";"Urgent","High","High","Medium";"High","High","Medium","Medium";"Medium","Medium","Low","Low"},MATCH($P884,{"Critical","High","Medium","Low"},0),MATCH($Q884,{"Extensive","Significant","Moderate","Minor"},0)),"-")))</f>
        <v/>
      </c>
      <c r="S884" s="30"/>
      <c r="T884" s="30"/>
      <c r="W884" s="32" t="str">
        <f>IF($A884="","",IF(OR($M884="Out of Scope",$M884="Canceled"),"Out of Scope",IF($M884="Blocked","Blocked",IF(AND($T884&lt;&gt;"Fixed – Retest Passed",OR(LEN(TRIM($O884))&gt;0,LEN(TRIM($P884))&gt;0)),IF(AND(OR($L884="Medium",$L884="Low"),SUMPRODUCT((Cards!$A$4:$A$1000&lt;&gt;"")*ISNUMBER(SEARCH($A884,Cards!$E$4:$E$1000))*(Cards!$F$4:$F$1000&lt;&gt;"Medium")*(Cards!$F$4:$F$1000&lt;&gt;"Low"))=0),"Conditionally Passed","Failed"),IF($M884="Done","Passed","Not Run")))))</f>
        <v/>
      </c>
      <c r="Y884" s="27" t="str" cm="1">
        <f t="array" ref="Y884">IF($A884="","",IF(TRIM($B884)="","-",IFERROR(_xlfn.TEXTJOIN(" / ",TRUE,_xlfn.UNIQUE(_xlfn._xlws.FILTER('Ownership Matrix'!$C$5:$C$200,('Ownership Matrix'!$A$5:$A$200=TRIM($B884))*('Ownership Matrix'!$C$5:$C$200&lt;&gt;"")))),"ไม่พบใน Ownership Matrix")))</f>
        <v/>
      </c>
      <c r="Z884" s="31" t="str">
        <f>IF(NOT(AND($A884&lt;&gt;"",$M884&lt;&gt;"Out of Scope",$M884&lt;&gt;"Canceled",$T884&lt;&gt;"Fixed – Retest Passed",OR(LEN(TRIM($O884))&gt;0,LEN(TRIM($P884))&gt;0))),"",IF(OR($W884="Failed",$R884="Urgent",$R884="High",$R884="ระบุ Severity + Impact"),IF(COUNTIFS(Dashboard!$B$105:$B$124,$O884,Dashboard!$I$105:$I$124,"CAB")&gt;0,"Accepted (CF)","Blocking"),"Deferrable"))</f>
        <v/>
      </c>
    </row>
    <row r="885" spans="7:26" x14ac:dyDescent="0.3">
      <c r="G885" s="27" t="str" cm="1">
        <f t="array" ref="G885">IF($A885="","",IFERROR(_xlfn.TEXTJOIN(CHAR(10)&amp;CHAR(10),TRUE,_xlfn._xlws.FILTER("•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"&amp;Cards!$L$4:$L$1000),(Cards!$A$4:$A$1000&lt;&gt;"")*ISNUMBER(SEARCH($A885,Cards!$E$4:$E$1000)))),"-"))</f>
        <v/>
      </c>
      <c r="Q885" s="30"/>
      <c r="R885" s="27" t="str">
        <f>IF(OR($A885="",LEN(TRIM($O885))=0),"",IF(OR($P885="",$Q885=""),"ระบุ Severity + Impact",IFERROR(INDEX({"Urgent","Urgent","High","High";"Urgent","High","High","Medium";"High","High","Medium","Medium";"Medium","Medium","Low","Low"},MATCH($P885,{"Critical","High","Medium","Low"},0),MATCH($Q885,{"Extensive","Significant","Moderate","Minor"},0)),"-")))</f>
        <v/>
      </c>
      <c r="S885" s="30"/>
      <c r="T885" s="30"/>
      <c r="W885" s="32" t="str">
        <f>IF($A885="","",IF(OR($M885="Out of Scope",$M885="Canceled"),"Out of Scope",IF($M885="Blocked","Blocked",IF(AND($T885&lt;&gt;"Fixed – Retest Passed",OR(LEN(TRIM($O885))&gt;0,LEN(TRIM($P885))&gt;0)),IF(AND(OR($L885="Medium",$L885="Low"),SUMPRODUCT((Cards!$A$4:$A$1000&lt;&gt;"")*ISNUMBER(SEARCH($A885,Cards!$E$4:$E$1000))*(Cards!$F$4:$F$1000&lt;&gt;"Medium")*(Cards!$F$4:$F$1000&lt;&gt;"Low"))=0),"Conditionally Passed","Failed"),IF($M885="Done","Passed","Not Run")))))</f>
        <v/>
      </c>
      <c r="Y885" s="27" t="str" cm="1">
        <f t="array" ref="Y885">IF($A885="","",IF(TRIM($B885)="","-",IFERROR(_xlfn.TEXTJOIN(" / ",TRUE,_xlfn.UNIQUE(_xlfn._xlws.FILTER('Ownership Matrix'!$C$5:$C$200,('Ownership Matrix'!$A$5:$A$200=TRIM($B885))*('Ownership Matrix'!$C$5:$C$200&lt;&gt;"")))),"ไม่พบใน Ownership Matrix")))</f>
        <v/>
      </c>
      <c r="Z885" s="31" t="str">
        <f>IF(NOT(AND($A885&lt;&gt;"",$M885&lt;&gt;"Out of Scope",$M885&lt;&gt;"Canceled",$T885&lt;&gt;"Fixed – Retest Passed",OR(LEN(TRIM($O885))&gt;0,LEN(TRIM($P885))&gt;0))),"",IF(OR($W885="Failed",$R885="Urgent",$R885="High",$R885="ระบุ Severity + Impact"),IF(COUNTIFS(Dashboard!$B$105:$B$124,$O885,Dashboard!$I$105:$I$124,"CAB")&gt;0,"Accepted (CF)","Blocking"),"Deferrable"))</f>
        <v/>
      </c>
    </row>
    <row r="886" spans="7:26" x14ac:dyDescent="0.3">
      <c r="G886" s="27" t="str" cm="1">
        <f t="array" ref="G886">IF($A886="","",IFERROR(_xlfn.TEXTJOIN(CHAR(10)&amp;CHAR(10),TRUE,_xlfn._xlws.FILTER("•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"&amp;Cards!$L$4:$L$1000),(Cards!$A$4:$A$1000&lt;&gt;"")*ISNUMBER(SEARCH($A886,Cards!$E$4:$E$1000)))),"-"))</f>
        <v/>
      </c>
      <c r="Q886" s="30"/>
      <c r="R886" s="27" t="str">
        <f>IF(OR($A886="",LEN(TRIM($O886))=0),"",IF(OR($P886="",$Q886=""),"ระบุ Severity + Impact",IFERROR(INDEX({"Urgent","Urgent","High","High";"Urgent","High","High","Medium";"High","High","Medium","Medium";"Medium","Medium","Low","Low"},MATCH($P886,{"Critical","High","Medium","Low"},0),MATCH($Q886,{"Extensive","Significant","Moderate","Minor"},0)),"-")))</f>
        <v/>
      </c>
      <c r="S886" s="30"/>
      <c r="T886" s="30"/>
      <c r="W886" s="32" t="str">
        <f>IF($A886="","",IF(OR($M886="Out of Scope",$M886="Canceled"),"Out of Scope",IF($M886="Blocked","Blocked",IF(AND($T886&lt;&gt;"Fixed – Retest Passed",OR(LEN(TRIM($O886))&gt;0,LEN(TRIM($P886))&gt;0)),IF(AND(OR($L886="Medium",$L886="Low"),SUMPRODUCT((Cards!$A$4:$A$1000&lt;&gt;"")*ISNUMBER(SEARCH($A886,Cards!$E$4:$E$1000))*(Cards!$F$4:$F$1000&lt;&gt;"Medium")*(Cards!$F$4:$F$1000&lt;&gt;"Low"))=0),"Conditionally Passed","Failed"),IF($M886="Done","Passed","Not Run")))))</f>
        <v/>
      </c>
      <c r="Y886" s="27" t="str" cm="1">
        <f t="array" ref="Y886">IF($A886="","",IF(TRIM($B886)="","-",IFERROR(_xlfn.TEXTJOIN(" / ",TRUE,_xlfn.UNIQUE(_xlfn._xlws.FILTER('Ownership Matrix'!$C$5:$C$200,('Ownership Matrix'!$A$5:$A$200=TRIM($B886))*('Ownership Matrix'!$C$5:$C$200&lt;&gt;"")))),"ไม่พบใน Ownership Matrix")))</f>
        <v/>
      </c>
      <c r="Z886" s="31" t="str">
        <f>IF(NOT(AND($A886&lt;&gt;"",$M886&lt;&gt;"Out of Scope",$M886&lt;&gt;"Canceled",$T886&lt;&gt;"Fixed – Retest Passed",OR(LEN(TRIM($O886))&gt;0,LEN(TRIM($P886))&gt;0))),"",IF(OR($W886="Failed",$R886="Urgent",$R886="High",$R886="ระบุ Severity + Impact"),IF(COUNTIFS(Dashboard!$B$105:$B$124,$O886,Dashboard!$I$105:$I$124,"CAB")&gt;0,"Accepted (CF)","Blocking"),"Deferrable"))</f>
        <v/>
      </c>
    </row>
    <row r="887" spans="7:26" x14ac:dyDescent="0.3">
      <c r="G887" s="27" t="str" cm="1">
        <f t="array" ref="G887">IF($A887="","",IFERROR(_xlfn.TEXTJOIN(CHAR(10)&amp;CHAR(10),TRUE,_xlfn._xlws.FILTER("•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"&amp;Cards!$L$4:$L$1000),(Cards!$A$4:$A$1000&lt;&gt;"")*ISNUMBER(SEARCH($A887,Cards!$E$4:$E$1000)))),"-"))</f>
        <v/>
      </c>
      <c r="Q887" s="30"/>
      <c r="R887" s="27" t="str">
        <f>IF(OR($A887="",LEN(TRIM($O887))=0),"",IF(OR($P887="",$Q887=""),"ระบุ Severity + Impact",IFERROR(INDEX({"Urgent","Urgent","High","High";"Urgent","High","High","Medium";"High","High","Medium","Medium";"Medium","Medium","Low","Low"},MATCH($P887,{"Critical","High","Medium","Low"},0),MATCH($Q887,{"Extensive","Significant","Moderate","Minor"},0)),"-")))</f>
        <v/>
      </c>
      <c r="S887" s="30"/>
      <c r="T887" s="30"/>
      <c r="W887" s="32" t="str">
        <f>IF($A887="","",IF(OR($M887="Out of Scope",$M887="Canceled"),"Out of Scope",IF($M887="Blocked","Blocked",IF(AND($T887&lt;&gt;"Fixed – Retest Passed",OR(LEN(TRIM($O887))&gt;0,LEN(TRIM($P887))&gt;0)),IF(AND(OR($L887="Medium",$L887="Low"),SUMPRODUCT((Cards!$A$4:$A$1000&lt;&gt;"")*ISNUMBER(SEARCH($A887,Cards!$E$4:$E$1000))*(Cards!$F$4:$F$1000&lt;&gt;"Medium")*(Cards!$F$4:$F$1000&lt;&gt;"Low"))=0),"Conditionally Passed","Failed"),IF($M887="Done","Passed","Not Run")))))</f>
        <v/>
      </c>
      <c r="Y887" s="27" t="str" cm="1">
        <f t="array" ref="Y887">IF($A887="","",IF(TRIM($B887)="","-",IFERROR(_xlfn.TEXTJOIN(" / ",TRUE,_xlfn.UNIQUE(_xlfn._xlws.FILTER('Ownership Matrix'!$C$5:$C$200,('Ownership Matrix'!$A$5:$A$200=TRIM($B887))*('Ownership Matrix'!$C$5:$C$200&lt;&gt;"")))),"ไม่พบใน Ownership Matrix")))</f>
        <v/>
      </c>
      <c r="Z887" s="31" t="str">
        <f>IF(NOT(AND($A887&lt;&gt;"",$M887&lt;&gt;"Out of Scope",$M887&lt;&gt;"Canceled",$T887&lt;&gt;"Fixed – Retest Passed",OR(LEN(TRIM($O887))&gt;0,LEN(TRIM($P887))&gt;0))),"",IF(OR($W887="Failed",$R887="Urgent",$R887="High",$R887="ระบุ Severity + Impact"),IF(COUNTIFS(Dashboard!$B$105:$B$124,$O887,Dashboard!$I$105:$I$124,"CAB")&gt;0,"Accepted (CF)","Blocking"),"Deferrable"))</f>
        <v/>
      </c>
    </row>
    <row r="888" spans="7:26" x14ac:dyDescent="0.3">
      <c r="G888" s="27" t="str" cm="1">
        <f t="array" ref="G888">IF($A888="","",IFERROR(_xlfn.TEXTJOIN(CHAR(10)&amp;CHAR(10),TRUE,_xlfn._xlws.FILTER("•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"&amp;Cards!$L$4:$L$1000),(Cards!$A$4:$A$1000&lt;&gt;"")*ISNUMBER(SEARCH($A888,Cards!$E$4:$E$1000)))),"-"))</f>
        <v/>
      </c>
      <c r="Q888" s="30"/>
      <c r="R888" s="27" t="str">
        <f>IF(OR($A888="",LEN(TRIM($O888))=0),"",IF(OR($P888="",$Q888=""),"ระบุ Severity + Impact",IFERROR(INDEX({"Urgent","Urgent","High","High";"Urgent","High","High","Medium";"High","High","Medium","Medium";"Medium","Medium","Low","Low"},MATCH($P888,{"Critical","High","Medium","Low"},0),MATCH($Q888,{"Extensive","Significant","Moderate","Minor"},0)),"-")))</f>
        <v/>
      </c>
      <c r="S888" s="30"/>
      <c r="T888" s="30"/>
      <c r="W888" s="32" t="str">
        <f>IF($A888="","",IF(OR($M888="Out of Scope",$M888="Canceled"),"Out of Scope",IF($M888="Blocked","Blocked",IF(AND($T888&lt;&gt;"Fixed – Retest Passed",OR(LEN(TRIM($O888))&gt;0,LEN(TRIM($P888))&gt;0)),IF(AND(OR($L888="Medium",$L888="Low"),SUMPRODUCT((Cards!$A$4:$A$1000&lt;&gt;"")*ISNUMBER(SEARCH($A888,Cards!$E$4:$E$1000))*(Cards!$F$4:$F$1000&lt;&gt;"Medium")*(Cards!$F$4:$F$1000&lt;&gt;"Low"))=0),"Conditionally Passed","Failed"),IF($M888="Done","Passed","Not Run")))))</f>
        <v/>
      </c>
      <c r="Y888" s="27" t="str" cm="1">
        <f t="array" ref="Y888">IF($A888="","",IF(TRIM($B888)="","-",IFERROR(_xlfn.TEXTJOIN(" / ",TRUE,_xlfn.UNIQUE(_xlfn._xlws.FILTER('Ownership Matrix'!$C$5:$C$200,('Ownership Matrix'!$A$5:$A$200=TRIM($B888))*('Ownership Matrix'!$C$5:$C$200&lt;&gt;"")))),"ไม่พบใน Ownership Matrix")))</f>
        <v/>
      </c>
      <c r="Z888" s="31" t="str">
        <f>IF(NOT(AND($A888&lt;&gt;"",$M888&lt;&gt;"Out of Scope",$M888&lt;&gt;"Canceled",$T888&lt;&gt;"Fixed – Retest Passed",OR(LEN(TRIM($O888))&gt;0,LEN(TRIM($P888))&gt;0))),"",IF(OR($W888="Failed",$R888="Urgent",$R888="High",$R888="ระบุ Severity + Impact"),IF(COUNTIFS(Dashboard!$B$105:$B$124,$O888,Dashboard!$I$105:$I$124,"CAB")&gt;0,"Accepted (CF)","Blocking"),"Deferrable"))</f>
        <v/>
      </c>
    </row>
    <row r="889" spans="7:26" x14ac:dyDescent="0.3">
      <c r="G889" s="27" t="str" cm="1">
        <f t="array" ref="G889">IF($A889="","",IFERROR(_xlfn.TEXTJOIN(CHAR(10)&amp;CHAR(10),TRUE,_xlfn._xlws.FILTER("•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"&amp;Cards!$L$4:$L$1000),(Cards!$A$4:$A$1000&lt;&gt;"")*ISNUMBER(SEARCH($A889,Cards!$E$4:$E$1000)))),"-"))</f>
        <v/>
      </c>
      <c r="Q889" s="30"/>
      <c r="R889" s="27" t="str">
        <f>IF(OR($A889="",LEN(TRIM($O889))=0),"",IF(OR($P889="",$Q889=""),"ระบุ Severity + Impact",IFERROR(INDEX({"Urgent","Urgent","High","High";"Urgent","High","High","Medium";"High","High","Medium","Medium";"Medium","Medium","Low","Low"},MATCH($P889,{"Critical","High","Medium","Low"},0),MATCH($Q889,{"Extensive","Significant","Moderate","Minor"},0)),"-")))</f>
        <v/>
      </c>
      <c r="S889" s="30"/>
      <c r="T889" s="30"/>
      <c r="W889" s="32" t="str">
        <f>IF($A889="","",IF(OR($M889="Out of Scope",$M889="Canceled"),"Out of Scope",IF($M889="Blocked","Blocked",IF(AND($T889&lt;&gt;"Fixed – Retest Passed",OR(LEN(TRIM($O889))&gt;0,LEN(TRIM($P889))&gt;0)),IF(AND(OR($L889="Medium",$L889="Low"),SUMPRODUCT((Cards!$A$4:$A$1000&lt;&gt;"")*ISNUMBER(SEARCH($A889,Cards!$E$4:$E$1000))*(Cards!$F$4:$F$1000&lt;&gt;"Medium")*(Cards!$F$4:$F$1000&lt;&gt;"Low"))=0),"Conditionally Passed","Failed"),IF($M889="Done","Passed","Not Run")))))</f>
        <v/>
      </c>
      <c r="Y889" s="27" t="str" cm="1">
        <f t="array" ref="Y889">IF($A889="","",IF(TRIM($B889)="","-",IFERROR(_xlfn.TEXTJOIN(" / ",TRUE,_xlfn.UNIQUE(_xlfn._xlws.FILTER('Ownership Matrix'!$C$5:$C$200,('Ownership Matrix'!$A$5:$A$200=TRIM($B889))*('Ownership Matrix'!$C$5:$C$200&lt;&gt;"")))),"ไม่พบใน Ownership Matrix")))</f>
        <v/>
      </c>
      <c r="Z889" s="31" t="str">
        <f>IF(NOT(AND($A889&lt;&gt;"",$M889&lt;&gt;"Out of Scope",$M889&lt;&gt;"Canceled",$T889&lt;&gt;"Fixed – Retest Passed",OR(LEN(TRIM($O889))&gt;0,LEN(TRIM($P889))&gt;0))),"",IF(OR($W889="Failed",$R889="Urgent",$R889="High",$R889="ระบุ Severity + Impact"),IF(COUNTIFS(Dashboard!$B$105:$B$124,$O889,Dashboard!$I$105:$I$124,"CAB")&gt;0,"Accepted (CF)","Blocking"),"Deferrable"))</f>
        <v/>
      </c>
    </row>
    <row r="890" spans="7:26" x14ac:dyDescent="0.3">
      <c r="G890" s="27" t="str" cm="1">
        <f t="array" ref="G890">IF($A890="","",IFERROR(_xlfn.TEXTJOIN(CHAR(10)&amp;CHAR(10),TRUE,_xlfn._xlws.FILTER("•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"&amp;Cards!$L$4:$L$1000),(Cards!$A$4:$A$1000&lt;&gt;"")*ISNUMBER(SEARCH($A890,Cards!$E$4:$E$1000)))),"-"))</f>
        <v/>
      </c>
      <c r="Q890" s="30"/>
      <c r="R890" s="27" t="str">
        <f>IF(OR($A890="",LEN(TRIM($O890))=0),"",IF(OR($P890="",$Q890=""),"ระบุ Severity + Impact",IFERROR(INDEX({"Urgent","Urgent","High","High";"Urgent","High","High","Medium";"High","High","Medium","Medium";"Medium","Medium","Low","Low"},MATCH($P890,{"Critical","High","Medium","Low"},0),MATCH($Q890,{"Extensive","Significant","Moderate","Minor"},0)),"-")))</f>
        <v/>
      </c>
      <c r="S890" s="30"/>
      <c r="T890" s="30"/>
      <c r="W890" s="32" t="str">
        <f>IF($A890="","",IF(OR($M890="Out of Scope",$M890="Canceled"),"Out of Scope",IF($M890="Blocked","Blocked",IF(AND($T890&lt;&gt;"Fixed – Retest Passed",OR(LEN(TRIM($O890))&gt;0,LEN(TRIM($P890))&gt;0)),IF(AND(OR($L890="Medium",$L890="Low"),SUMPRODUCT((Cards!$A$4:$A$1000&lt;&gt;"")*ISNUMBER(SEARCH($A890,Cards!$E$4:$E$1000))*(Cards!$F$4:$F$1000&lt;&gt;"Medium")*(Cards!$F$4:$F$1000&lt;&gt;"Low"))=0),"Conditionally Passed","Failed"),IF($M890="Done","Passed","Not Run")))))</f>
        <v/>
      </c>
      <c r="Y890" s="27" t="str" cm="1">
        <f t="array" ref="Y890">IF($A890="","",IF(TRIM($B890)="","-",IFERROR(_xlfn.TEXTJOIN(" / ",TRUE,_xlfn.UNIQUE(_xlfn._xlws.FILTER('Ownership Matrix'!$C$5:$C$200,('Ownership Matrix'!$A$5:$A$200=TRIM($B890))*('Ownership Matrix'!$C$5:$C$200&lt;&gt;"")))),"ไม่พบใน Ownership Matrix")))</f>
        <v/>
      </c>
      <c r="Z890" s="31" t="str">
        <f>IF(NOT(AND($A890&lt;&gt;"",$M890&lt;&gt;"Out of Scope",$M890&lt;&gt;"Canceled",$T890&lt;&gt;"Fixed – Retest Passed",OR(LEN(TRIM($O890))&gt;0,LEN(TRIM($P890))&gt;0))),"",IF(OR($W890="Failed",$R890="Urgent",$R890="High",$R890="ระบุ Severity + Impact"),IF(COUNTIFS(Dashboard!$B$105:$B$124,$O890,Dashboard!$I$105:$I$124,"CAB")&gt;0,"Accepted (CF)","Blocking"),"Deferrable"))</f>
        <v/>
      </c>
    </row>
    <row r="891" spans="7:26" x14ac:dyDescent="0.3">
      <c r="G891" s="27" t="str" cm="1">
        <f t="array" ref="G891">IF($A891="","",IFERROR(_xlfn.TEXTJOIN(CHAR(10)&amp;CHAR(10),TRUE,_xlfn._xlws.FILTER("•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"&amp;Cards!$L$4:$L$1000),(Cards!$A$4:$A$1000&lt;&gt;"")*ISNUMBER(SEARCH($A891,Cards!$E$4:$E$1000)))),"-"))</f>
        <v/>
      </c>
      <c r="Q891" s="30"/>
      <c r="R891" s="27" t="str">
        <f>IF(OR($A891="",LEN(TRIM($O891))=0),"",IF(OR($P891="",$Q891=""),"ระบุ Severity + Impact",IFERROR(INDEX({"Urgent","Urgent","High","High";"Urgent","High","High","Medium";"High","High","Medium","Medium";"Medium","Medium","Low","Low"},MATCH($P891,{"Critical","High","Medium","Low"},0),MATCH($Q891,{"Extensive","Significant","Moderate","Minor"},0)),"-")))</f>
        <v/>
      </c>
      <c r="S891" s="30"/>
      <c r="T891" s="30"/>
      <c r="W891" s="32" t="str">
        <f>IF($A891="","",IF(OR($M891="Out of Scope",$M891="Canceled"),"Out of Scope",IF($M891="Blocked","Blocked",IF(AND($T891&lt;&gt;"Fixed – Retest Passed",OR(LEN(TRIM($O891))&gt;0,LEN(TRIM($P891))&gt;0)),IF(AND(OR($L891="Medium",$L891="Low"),SUMPRODUCT((Cards!$A$4:$A$1000&lt;&gt;"")*ISNUMBER(SEARCH($A891,Cards!$E$4:$E$1000))*(Cards!$F$4:$F$1000&lt;&gt;"Medium")*(Cards!$F$4:$F$1000&lt;&gt;"Low"))=0),"Conditionally Passed","Failed"),IF($M891="Done","Passed","Not Run")))))</f>
        <v/>
      </c>
      <c r="Y891" s="27" t="str" cm="1">
        <f t="array" ref="Y891">IF($A891="","",IF(TRIM($B891)="","-",IFERROR(_xlfn.TEXTJOIN(" / ",TRUE,_xlfn.UNIQUE(_xlfn._xlws.FILTER('Ownership Matrix'!$C$5:$C$200,('Ownership Matrix'!$A$5:$A$200=TRIM($B891))*('Ownership Matrix'!$C$5:$C$200&lt;&gt;"")))),"ไม่พบใน Ownership Matrix")))</f>
        <v/>
      </c>
      <c r="Z891" s="31" t="str">
        <f>IF(NOT(AND($A891&lt;&gt;"",$M891&lt;&gt;"Out of Scope",$M891&lt;&gt;"Canceled",$T891&lt;&gt;"Fixed – Retest Passed",OR(LEN(TRIM($O891))&gt;0,LEN(TRIM($P891))&gt;0))),"",IF(OR($W891="Failed",$R891="Urgent",$R891="High",$R891="ระบุ Severity + Impact"),IF(COUNTIFS(Dashboard!$B$105:$B$124,$O891,Dashboard!$I$105:$I$124,"CAB")&gt;0,"Accepted (CF)","Blocking"),"Deferrable"))</f>
        <v/>
      </c>
    </row>
    <row r="892" spans="7:26" x14ac:dyDescent="0.3">
      <c r="G892" s="27" t="str" cm="1">
        <f t="array" ref="G892">IF($A892="","",IFERROR(_xlfn.TEXTJOIN(CHAR(10)&amp;CHAR(10),TRUE,_xlfn._xlws.FILTER("•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"&amp;Cards!$L$4:$L$1000),(Cards!$A$4:$A$1000&lt;&gt;"")*ISNUMBER(SEARCH($A892,Cards!$E$4:$E$1000)))),"-"))</f>
        <v/>
      </c>
      <c r="Q892" s="30"/>
      <c r="R892" s="27" t="str">
        <f>IF(OR($A892="",LEN(TRIM($O892))=0),"",IF(OR($P892="",$Q892=""),"ระบุ Severity + Impact",IFERROR(INDEX({"Urgent","Urgent","High","High";"Urgent","High","High","Medium";"High","High","Medium","Medium";"Medium","Medium","Low","Low"},MATCH($P892,{"Critical","High","Medium","Low"},0),MATCH($Q892,{"Extensive","Significant","Moderate","Minor"},0)),"-")))</f>
        <v/>
      </c>
      <c r="S892" s="30"/>
      <c r="T892" s="30"/>
      <c r="W892" s="32" t="str">
        <f>IF($A892="","",IF(OR($M892="Out of Scope",$M892="Canceled"),"Out of Scope",IF($M892="Blocked","Blocked",IF(AND($T892&lt;&gt;"Fixed – Retest Passed",OR(LEN(TRIM($O892))&gt;0,LEN(TRIM($P892))&gt;0)),IF(AND(OR($L892="Medium",$L892="Low"),SUMPRODUCT((Cards!$A$4:$A$1000&lt;&gt;"")*ISNUMBER(SEARCH($A892,Cards!$E$4:$E$1000))*(Cards!$F$4:$F$1000&lt;&gt;"Medium")*(Cards!$F$4:$F$1000&lt;&gt;"Low"))=0),"Conditionally Passed","Failed"),IF($M892="Done","Passed","Not Run")))))</f>
        <v/>
      </c>
      <c r="Y892" s="27" t="str" cm="1">
        <f t="array" ref="Y892">IF($A892="","",IF(TRIM($B892)="","-",IFERROR(_xlfn.TEXTJOIN(" / ",TRUE,_xlfn.UNIQUE(_xlfn._xlws.FILTER('Ownership Matrix'!$C$5:$C$200,('Ownership Matrix'!$A$5:$A$200=TRIM($B892))*('Ownership Matrix'!$C$5:$C$200&lt;&gt;"")))),"ไม่พบใน Ownership Matrix")))</f>
        <v/>
      </c>
      <c r="Z892" s="31" t="str">
        <f>IF(NOT(AND($A892&lt;&gt;"",$M892&lt;&gt;"Out of Scope",$M892&lt;&gt;"Canceled",$T892&lt;&gt;"Fixed – Retest Passed",OR(LEN(TRIM($O892))&gt;0,LEN(TRIM($P892))&gt;0))),"",IF(OR($W892="Failed",$R892="Urgent",$R892="High",$R892="ระบุ Severity + Impact"),IF(COUNTIFS(Dashboard!$B$105:$B$124,$O892,Dashboard!$I$105:$I$124,"CAB")&gt;0,"Accepted (CF)","Blocking"),"Deferrable"))</f>
        <v/>
      </c>
    </row>
    <row r="893" spans="7:26" x14ac:dyDescent="0.3">
      <c r="G893" s="27" t="str" cm="1">
        <f t="array" ref="G893">IF($A893="","",IFERROR(_xlfn.TEXTJOIN(CHAR(10)&amp;CHAR(10),TRUE,_xlfn._xlws.FILTER("•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"&amp;Cards!$L$4:$L$1000),(Cards!$A$4:$A$1000&lt;&gt;"")*ISNUMBER(SEARCH($A893,Cards!$E$4:$E$1000)))),"-"))</f>
        <v/>
      </c>
      <c r="Q893" s="30"/>
      <c r="R893" s="27" t="str">
        <f>IF(OR($A893="",LEN(TRIM($O893))=0),"",IF(OR($P893="",$Q893=""),"ระบุ Severity + Impact",IFERROR(INDEX({"Urgent","Urgent","High","High";"Urgent","High","High","Medium";"High","High","Medium","Medium";"Medium","Medium","Low","Low"},MATCH($P893,{"Critical","High","Medium","Low"},0),MATCH($Q893,{"Extensive","Significant","Moderate","Minor"},0)),"-")))</f>
        <v/>
      </c>
      <c r="S893" s="30"/>
      <c r="T893" s="30"/>
      <c r="W893" s="32" t="str">
        <f>IF($A893="","",IF(OR($M893="Out of Scope",$M893="Canceled"),"Out of Scope",IF($M893="Blocked","Blocked",IF(AND($T893&lt;&gt;"Fixed – Retest Passed",OR(LEN(TRIM($O893))&gt;0,LEN(TRIM($P893))&gt;0)),IF(AND(OR($L893="Medium",$L893="Low"),SUMPRODUCT((Cards!$A$4:$A$1000&lt;&gt;"")*ISNUMBER(SEARCH($A893,Cards!$E$4:$E$1000))*(Cards!$F$4:$F$1000&lt;&gt;"Medium")*(Cards!$F$4:$F$1000&lt;&gt;"Low"))=0),"Conditionally Passed","Failed"),IF($M893="Done","Passed","Not Run")))))</f>
        <v/>
      </c>
      <c r="Y893" s="27" t="str" cm="1">
        <f t="array" ref="Y893">IF($A893="","",IF(TRIM($B893)="","-",IFERROR(_xlfn.TEXTJOIN(" / ",TRUE,_xlfn.UNIQUE(_xlfn._xlws.FILTER('Ownership Matrix'!$C$5:$C$200,('Ownership Matrix'!$A$5:$A$200=TRIM($B893))*('Ownership Matrix'!$C$5:$C$200&lt;&gt;"")))),"ไม่พบใน Ownership Matrix")))</f>
        <v/>
      </c>
      <c r="Z893" s="31" t="str">
        <f>IF(NOT(AND($A893&lt;&gt;"",$M893&lt;&gt;"Out of Scope",$M893&lt;&gt;"Canceled",$T893&lt;&gt;"Fixed – Retest Passed",OR(LEN(TRIM($O893))&gt;0,LEN(TRIM($P893))&gt;0))),"",IF(OR($W893="Failed",$R893="Urgent",$R893="High",$R893="ระบุ Severity + Impact"),IF(COUNTIFS(Dashboard!$B$105:$B$124,$O893,Dashboard!$I$105:$I$124,"CAB")&gt;0,"Accepted (CF)","Blocking"),"Deferrable"))</f>
        <v/>
      </c>
    </row>
    <row r="894" spans="7:26" x14ac:dyDescent="0.3">
      <c r="G894" s="27" t="str" cm="1">
        <f t="array" ref="G894">IF($A894="","",IFERROR(_xlfn.TEXTJOIN(CHAR(10)&amp;CHAR(10),TRUE,_xlfn._xlws.FILTER("•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"&amp;Cards!$L$4:$L$1000),(Cards!$A$4:$A$1000&lt;&gt;"")*ISNUMBER(SEARCH($A894,Cards!$E$4:$E$1000)))),"-"))</f>
        <v/>
      </c>
      <c r="Q894" s="30"/>
      <c r="R894" s="27" t="str">
        <f>IF(OR($A894="",LEN(TRIM($O894))=0),"",IF(OR($P894="",$Q894=""),"ระบุ Severity + Impact",IFERROR(INDEX({"Urgent","Urgent","High","High";"Urgent","High","High","Medium";"High","High","Medium","Medium";"Medium","Medium","Low","Low"},MATCH($P894,{"Critical","High","Medium","Low"},0),MATCH($Q894,{"Extensive","Significant","Moderate","Minor"},0)),"-")))</f>
        <v/>
      </c>
      <c r="S894" s="30"/>
      <c r="T894" s="30"/>
      <c r="W894" s="32" t="str">
        <f>IF($A894="","",IF(OR($M894="Out of Scope",$M894="Canceled"),"Out of Scope",IF($M894="Blocked","Blocked",IF(AND($T894&lt;&gt;"Fixed – Retest Passed",OR(LEN(TRIM($O894))&gt;0,LEN(TRIM($P894))&gt;0)),IF(AND(OR($L894="Medium",$L894="Low"),SUMPRODUCT((Cards!$A$4:$A$1000&lt;&gt;"")*ISNUMBER(SEARCH($A894,Cards!$E$4:$E$1000))*(Cards!$F$4:$F$1000&lt;&gt;"Medium")*(Cards!$F$4:$F$1000&lt;&gt;"Low"))=0),"Conditionally Passed","Failed"),IF($M894="Done","Passed","Not Run")))))</f>
        <v/>
      </c>
      <c r="Y894" s="27" t="str" cm="1">
        <f t="array" ref="Y894">IF($A894="","",IF(TRIM($B894)="","-",IFERROR(_xlfn.TEXTJOIN(" / ",TRUE,_xlfn.UNIQUE(_xlfn._xlws.FILTER('Ownership Matrix'!$C$5:$C$200,('Ownership Matrix'!$A$5:$A$200=TRIM($B894))*('Ownership Matrix'!$C$5:$C$200&lt;&gt;"")))),"ไม่พบใน Ownership Matrix")))</f>
        <v/>
      </c>
      <c r="Z894" s="31" t="str">
        <f>IF(NOT(AND($A894&lt;&gt;"",$M894&lt;&gt;"Out of Scope",$M894&lt;&gt;"Canceled",$T894&lt;&gt;"Fixed – Retest Passed",OR(LEN(TRIM($O894))&gt;0,LEN(TRIM($P894))&gt;0))),"",IF(OR($W894="Failed",$R894="Urgent",$R894="High",$R894="ระบุ Severity + Impact"),IF(COUNTIFS(Dashboard!$B$105:$B$124,$O894,Dashboard!$I$105:$I$124,"CAB")&gt;0,"Accepted (CF)","Blocking"),"Deferrable"))</f>
        <v/>
      </c>
    </row>
    <row r="895" spans="7:26" x14ac:dyDescent="0.3">
      <c r="G895" s="27" t="str" cm="1">
        <f t="array" ref="G895">IF($A895="","",IFERROR(_xlfn.TEXTJOIN(CHAR(10)&amp;CHAR(10),TRUE,_xlfn._xlws.FILTER("•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"&amp;Cards!$L$4:$L$1000),(Cards!$A$4:$A$1000&lt;&gt;"")*ISNUMBER(SEARCH($A895,Cards!$E$4:$E$1000)))),"-"))</f>
        <v/>
      </c>
      <c r="Q895" s="30"/>
      <c r="R895" s="27" t="str">
        <f>IF(OR($A895="",LEN(TRIM($O895))=0),"",IF(OR($P895="",$Q895=""),"ระบุ Severity + Impact",IFERROR(INDEX({"Urgent","Urgent","High","High";"Urgent","High","High","Medium";"High","High","Medium","Medium";"Medium","Medium","Low","Low"},MATCH($P895,{"Critical","High","Medium","Low"},0),MATCH($Q895,{"Extensive","Significant","Moderate","Minor"},0)),"-")))</f>
        <v/>
      </c>
      <c r="S895" s="30"/>
      <c r="T895" s="30"/>
      <c r="W895" s="32" t="str">
        <f>IF($A895="","",IF(OR($M895="Out of Scope",$M895="Canceled"),"Out of Scope",IF($M895="Blocked","Blocked",IF(AND($T895&lt;&gt;"Fixed – Retest Passed",OR(LEN(TRIM($O895))&gt;0,LEN(TRIM($P895))&gt;0)),IF(AND(OR($L895="Medium",$L895="Low"),SUMPRODUCT((Cards!$A$4:$A$1000&lt;&gt;"")*ISNUMBER(SEARCH($A895,Cards!$E$4:$E$1000))*(Cards!$F$4:$F$1000&lt;&gt;"Medium")*(Cards!$F$4:$F$1000&lt;&gt;"Low"))=0),"Conditionally Passed","Failed"),IF($M895="Done","Passed","Not Run")))))</f>
        <v/>
      </c>
      <c r="Y895" s="27" t="str" cm="1">
        <f t="array" ref="Y895">IF($A895="","",IF(TRIM($B895)="","-",IFERROR(_xlfn.TEXTJOIN(" / ",TRUE,_xlfn.UNIQUE(_xlfn._xlws.FILTER('Ownership Matrix'!$C$5:$C$200,('Ownership Matrix'!$A$5:$A$200=TRIM($B895))*('Ownership Matrix'!$C$5:$C$200&lt;&gt;"")))),"ไม่พบใน Ownership Matrix")))</f>
        <v/>
      </c>
      <c r="Z895" s="31" t="str">
        <f>IF(NOT(AND($A895&lt;&gt;"",$M895&lt;&gt;"Out of Scope",$M895&lt;&gt;"Canceled",$T895&lt;&gt;"Fixed – Retest Passed",OR(LEN(TRIM($O895))&gt;0,LEN(TRIM($P895))&gt;0))),"",IF(OR($W895="Failed",$R895="Urgent",$R895="High",$R895="ระบุ Severity + Impact"),IF(COUNTIFS(Dashboard!$B$105:$B$124,$O895,Dashboard!$I$105:$I$124,"CAB")&gt;0,"Accepted (CF)","Blocking"),"Deferrable"))</f>
        <v/>
      </c>
    </row>
    <row r="896" spans="7:26" x14ac:dyDescent="0.3">
      <c r="G896" s="27" t="str" cm="1">
        <f t="array" ref="G896">IF($A896="","",IFERROR(_xlfn.TEXTJOIN(CHAR(10)&amp;CHAR(10),TRUE,_xlfn._xlws.FILTER("•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"&amp;Cards!$L$4:$L$1000),(Cards!$A$4:$A$1000&lt;&gt;"")*ISNUMBER(SEARCH($A896,Cards!$E$4:$E$1000)))),"-"))</f>
        <v/>
      </c>
      <c r="Q896" s="30"/>
      <c r="R896" s="27" t="str">
        <f>IF(OR($A896="",LEN(TRIM($O896))=0),"",IF(OR($P896="",$Q896=""),"ระบุ Severity + Impact",IFERROR(INDEX({"Urgent","Urgent","High","High";"Urgent","High","High","Medium";"High","High","Medium","Medium";"Medium","Medium","Low","Low"},MATCH($P896,{"Critical","High","Medium","Low"},0),MATCH($Q896,{"Extensive","Significant","Moderate","Minor"},0)),"-")))</f>
        <v/>
      </c>
      <c r="S896" s="30"/>
      <c r="T896" s="30"/>
      <c r="W896" s="32" t="str">
        <f>IF($A896="","",IF(OR($M896="Out of Scope",$M896="Canceled"),"Out of Scope",IF($M896="Blocked","Blocked",IF(AND($T896&lt;&gt;"Fixed – Retest Passed",OR(LEN(TRIM($O896))&gt;0,LEN(TRIM($P896))&gt;0)),IF(AND(OR($L896="Medium",$L896="Low"),SUMPRODUCT((Cards!$A$4:$A$1000&lt;&gt;"")*ISNUMBER(SEARCH($A896,Cards!$E$4:$E$1000))*(Cards!$F$4:$F$1000&lt;&gt;"Medium")*(Cards!$F$4:$F$1000&lt;&gt;"Low"))=0),"Conditionally Passed","Failed"),IF($M896="Done","Passed","Not Run")))))</f>
        <v/>
      </c>
      <c r="Y896" s="27" t="str" cm="1">
        <f t="array" ref="Y896">IF($A896="","",IF(TRIM($B896)="","-",IFERROR(_xlfn.TEXTJOIN(" / ",TRUE,_xlfn.UNIQUE(_xlfn._xlws.FILTER('Ownership Matrix'!$C$5:$C$200,('Ownership Matrix'!$A$5:$A$200=TRIM($B896))*('Ownership Matrix'!$C$5:$C$200&lt;&gt;"")))),"ไม่พบใน Ownership Matrix")))</f>
        <v/>
      </c>
      <c r="Z896" s="31" t="str">
        <f>IF(NOT(AND($A896&lt;&gt;"",$M896&lt;&gt;"Out of Scope",$M896&lt;&gt;"Canceled",$T896&lt;&gt;"Fixed – Retest Passed",OR(LEN(TRIM($O896))&gt;0,LEN(TRIM($P896))&gt;0))),"",IF(OR($W896="Failed",$R896="Urgent",$R896="High",$R896="ระบุ Severity + Impact"),IF(COUNTIFS(Dashboard!$B$105:$B$124,$O896,Dashboard!$I$105:$I$124,"CAB")&gt;0,"Accepted (CF)","Blocking"),"Deferrable"))</f>
        <v/>
      </c>
    </row>
    <row r="897" spans="7:26" x14ac:dyDescent="0.3">
      <c r="G897" s="27" t="str" cm="1">
        <f t="array" ref="G897">IF($A897="","",IFERROR(_xlfn.TEXTJOIN(CHAR(10)&amp;CHAR(10),TRUE,_xlfn._xlws.FILTER("•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"&amp;Cards!$L$4:$L$1000),(Cards!$A$4:$A$1000&lt;&gt;"")*ISNUMBER(SEARCH($A897,Cards!$E$4:$E$1000)))),"-"))</f>
        <v/>
      </c>
      <c r="Q897" s="30"/>
      <c r="R897" s="27" t="str">
        <f>IF(OR($A897="",LEN(TRIM($O897))=0),"",IF(OR($P897="",$Q897=""),"ระบุ Severity + Impact",IFERROR(INDEX({"Urgent","Urgent","High","High";"Urgent","High","High","Medium";"High","High","Medium","Medium";"Medium","Medium","Low","Low"},MATCH($P897,{"Critical","High","Medium","Low"},0),MATCH($Q897,{"Extensive","Significant","Moderate","Minor"},0)),"-")))</f>
        <v/>
      </c>
      <c r="S897" s="30"/>
      <c r="T897" s="30"/>
      <c r="W897" s="32" t="str">
        <f>IF($A897="","",IF(OR($M897="Out of Scope",$M897="Canceled"),"Out of Scope",IF($M897="Blocked","Blocked",IF(AND($T897&lt;&gt;"Fixed – Retest Passed",OR(LEN(TRIM($O897))&gt;0,LEN(TRIM($P897))&gt;0)),IF(AND(OR($L897="Medium",$L897="Low"),SUMPRODUCT((Cards!$A$4:$A$1000&lt;&gt;"")*ISNUMBER(SEARCH($A897,Cards!$E$4:$E$1000))*(Cards!$F$4:$F$1000&lt;&gt;"Medium")*(Cards!$F$4:$F$1000&lt;&gt;"Low"))=0),"Conditionally Passed","Failed"),IF($M897="Done","Passed","Not Run")))))</f>
        <v/>
      </c>
      <c r="Y897" s="27" t="str" cm="1">
        <f t="array" ref="Y897">IF($A897="","",IF(TRIM($B897)="","-",IFERROR(_xlfn.TEXTJOIN(" / ",TRUE,_xlfn.UNIQUE(_xlfn._xlws.FILTER('Ownership Matrix'!$C$5:$C$200,('Ownership Matrix'!$A$5:$A$200=TRIM($B897))*('Ownership Matrix'!$C$5:$C$200&lt;&gt;"")))),"ไม่พบใน Ownership Matrix")))</f>
        <v/>
      </c>
      <c r="Z897" s="31" t="str">
        <f>IF(NOT(AND($A897&lt;&gt;"",$M897&lt;&gt;"Out of Scope",$M897&lt;&gt;"Canceled",$T897&lt;&gt;"Fixed – Retest Passed",OR(LEN(TRIM($O897))&gt;0,LEN(TRIM($P897))&gt;0))),"",IF(OR($W897="Failed",$R897="Urgent",$R897="High",$R897="ระบุ Severity + Impact"),IF(COUNTIFS(Dashboard!$B$105:$B$124,$O897,Dashboard!$I$105:$I$124,"CAB")&gt;0,"Accepted (CF)","Blocking"),"Deferrable"))</f>
        <v/>
      </c>
    </row>
    <row r="898" spans="7:26" x14ac:dyDescent="0.3">
      <c r="G898" s="27" t="str" cm="1">
        <f t="array" ref="G898">IF($A898="","",IFERROR(_xlfn.TEXTJOIN(CHAR(10)&amp;CHAR(10),TRUE,_xlfn._xlws.FILTER("•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"&amp;Cards!$L$4:$L$1000),(Cards!$A$4:$A$1000&lt;&gt;"")*ISNUMBER(SEARCH($A898,Cards!$E$4:$E$1000)))),"-"))</f>
        <v/>
      </c>
      <c r="Q898" s="30"/>
      <c r="R898" s="27" t="str">
        <f>IF(OR($A898="",LEN(TRIM($O898))=0),"",IF(OR($P898="",$Q898=""),"ระบุ Severity + Impact",IFERROR(INDEX({"Urgent","Urgent","High","High";"Urgent","High","High","Medium";"High","High","Medium","Medium";"Medium","Medium","Low","Low"},MATCH($P898,{"Critical","High","Medium","Low"},0),MATCH($Q898,{"Extensive","Significant","Moderate","Minor"},0)),"-")))</f>
        <v/>
      </c>
      <c r="S898" s="30"/>
      <c r="T898" s="30"/>
      <c r="W898" s="32" t="str">
        <f>IF($A898="","",IF(OR($M898="Out of Scope",$M898="Canceled"),"Out of Scope",IF($M898="Blocked","Blocked",IF(AND($T898&lt;&gt;"Fixed – Retest Passed",OR(LEN(TRIM($O898))&gt;0,LEN(TRIM($P898))&gt;0)),IF(AND(OR($L898="Medium",$L898="Low"),SUMPRODUCT((Cards!$A$4:$A$1000&lt;&gt;"")*ISNUMBER(SEARCH($A898,Cards!$E$4:$E$1000))*(Cards!$F$4:$F$1000&lt;&gt;"Medium")*(Cards!$F$4:$F$1000&lt;&gt;"Low"))=0),"Conditionally Passed","Failed"),IF($M898="Done","Passed","Not Run")))))</f>
        <v/>
      </c>
      <c r="Y898" s="27" t="str" cm="1">
        <f t="array" ref="Y898">IF($A898="","",IF(TRIM($B898)="","-",IFERROR(_xlfn.TEXTJOIN(" / ",TRUE,_xlfn.UNIQUE(_xlfn._xlws.FILTER('Ownership Matrix'!$C$5:$C$200,('Ownership Matrix'!$A$5:$A$200=TRIM($B898))*('Ownership Matrix'!$C$5:$C$200&lt;&gt;"")))),"ไม่พบใน Ownership Matrix")))</f>
        <v/>
      </c>
      <c r="Z898" s="31" t="str">
        <f>IF(NOT(AND($A898&lt;&gt;"",$M898&lt;&gt;"Out of Scope",$M898&lt;&gt;"Canceled",$T898&lt;&gt;"Fixed – Retest Passed",OR(LEN(TRIM($O898))&gt;0,LEN(TRIM($P898))&gt;0))),"",IF(OR($W898="Failed",$R898="Urgent",$R898="High",$R898="ระบุ Severity + Impact"),IF(COUNTIFS(Dashboard!$B$105:$B$124,$O898,Dashboard!$I$105:$I$124,"CAB")&gt;0,"Accepted (CF)","Blocking"),"Deferrable"))</f>
        <v/>
      </c>
    </row>
    <row r="899" spans="7:26" x14ac:dyDescent="0.3">
      <c r="G899" s="27" t="str" cm="1">
        <f t="array" ref="G899">IF($A899="","",IFERROR(_xlfn.TEXTJOIN(CHAR(10)&amp;CHAR(10),TRUE,_xlfn._xlws.FILTER("•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"&amp;Cards!$L$4:$L$1000),(Cards!$A$4:$A$1000&lt;&gt;"")*ISNUMBER(SEARCH($A899,Cards!$E$4:$E$1000)))),"-"))</f>
        <v/>
      </c>
      <c r="Q899" s="30"/>
      <c r="R899" s="27" t="str">
        <f>IF(OR($A899="",LEN(TRIM($O899))=0),"",IF(OR($P899="",$Q899=""),"ระบุ Severity + Impact",IFERROR(INDEX({"Urgent","Urgent","High","High";"Urgent","High","High","Medium";"High","High","Medium","Medium";"Medium","Medium","Low","Low"},MATCH($P899,{"Critical","High","Medium","Low"},0),MATCH($Q899,{"Extensive","Significant","Moderate","Minor"},0)),"-")))</f>
        <v/>
      </c>
      <c r="S899" s="30"/>
      <c r="T899" s="30"/>
      <c r="W899" s="32" t="str">
        <f>IF($A899="","",IF(OR($M899="Out of Scope",$M899="Canceled"),"Out of Scope",IF($M899="Blocked","Blocked",IF(AND($T899&lt;&gt;"Fixed – Retest Passed",OR(LEN(TRIM($O899))&gt;0,LEN(TRIM($P899))&gt;0)),IF(AND(OR($L899="Medium",$L899="Low"),SUMPRODUCT((Cards!$A$4:$A$1000&lt;&gt;"")*ISNUMBER(SEARCH($A899,Cards!$E$4:$E$1000))*(Cards!$F$4:$F$1000&lt;&gt;"Medium")*(Cards!$F$4:$F$1000&lt;&gt;"Low"))=0),"Conditionally Passed","Failed"),IF($M899="Done","Passed","Not Run")))))</f>
        <v/>
      </c>
      <c r="Y899" s="27" t="str" cm="1">
        <f t="array" ref="Y899">IF($A899="","",IF(TRIM($B899)="","-",IFERROR(_xlfn.TEXTJOIN(" / ",TRUE,_xlfn.UNIQUE(_xlfn._xlws.FILTER('Ownership Matrix'!$C$5:$C$200,('Ownership Matrix'!$A$5:$A$200=TRIM($B899))*('Ownership Matrix'!$C$5:$C$200&lt;&gt;"")))),"ไม่พบใน Ownership Matrix")))</f>
        <v/>
      </c>
      <c r="Z899" s="31" t="str">
        <f>IF(NOT(AND($A899&lt;&gt;"",$M899&lt;&gt;"Out of Scope",$M899&lt;&gt;"Canceled",$T899&lt;&gt;"Fixed – Retest Passed",OR(LEN(TRIM($O899))&gt;0,LEN(TRIM($P899))&gt;0))),"",IF(OR($W899="Failed",$R899="Urgent",$R899="High",$R899="ระบุ Severity + Impact"),IF(COUNTIFS(Dashboard!$B$105:$B$124,$O899,Dashboard!$I$105:$I$124,"CAB")&gt;0,"Accepted (CF)","Blocking"),"Deferrable"))</f>
        <v/>
      </c>
    </row>
    <row r="900" spans="7:26" x14ac:dyDescent="0.3">
      <c r="G900" s="27" t="str" cm="1">
        <f t="array" ref="G900">IF($A900="","",IFERROR(_xlfn.TEXTJOIN(CHAR(10)&amp;CHAR(10),TRUE,_xlfn._xlws.FILTER("•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"&amp;Cards!$L$4:$L$1000),(Cards!$A$4:$A$1000&lt;&gt;"")*ISNUMBER(SEARCH($A900,Cards!$E$4:$E$1000)))),"-"))</f>
        <v/>
      </c>
      <c r="Q900" s="30"/>
      <c r="R900" s="27" t="str">
        <f>IF(OR($A900="",LEN(TRIM($O900))=0),"",IF(OR($P900="",$Q900=""),"ระบุ Severity + Impact",IFERROR(INDEX({"Urgent","Urgent","High","High";"Urgent","High","High","Medium";"High","High","Medium","Medium";"Medium","Medium","Low","Low"},MATCH($P900,{"Critical","High","Medium","Low"},0),MATCH($Q900,{"Extensive","Significant","Moderate","Minor"},0)),"-")))</f>
        <v/>
      </c>
      <c r="S900" s="30"/>
      <c r="T900" s="30"/>
      <c r="W900" s="32" t="str">
        <f>IF($A900="","",IF(OR($M900="Out of Scope",$M900="Canceled"),"Out of Scope",IF($M900="Blocked","Blocked",IF(AND($T900&lt;&gt;"Fixed – Retest Passed",OR(LEN(TRIM($O900))&gt;0,LEN(TRIM($P900))&gt;0)),IF(AND(OR($L900="Medium",$L900="Low"),SUMPRODUCT((Cards!$A$4:$A$1000&lt;&gt;"")*ISNUMBER(SEARCH($A900,Cards!$E$4:$E$1000))*(Cards!$F$4:$F$1000&lt;&gt;"Medium")*(Cards!$F$4:$F$1000&lt;&gt;"Low"))=0),"Conditionally Passed","Failed"),IF($M900="Done","Passed","Not Run")))))</f>
        <v/>
      </c>
      <c r="Y900" s="27" t="str" cm="1">
        <f t="array" ref="Y900">IF($A900="","",IF(TRIM($B900)="","-",IFERROR(_xlfn.TEXTJOIN(" / ",TRUE,_xlfn.UNIQUE(_xlfn._xlws.FILTER('Ownership Matrix'!$C$5:$C$200,('Ownership Matrix'!$A$5:$A$200=TRIM($B900))*('Ownership Matrix'!$C$5:$C$200&lt;&gt;"")))),"ไม่พบใน Ownership Matrix")))</f>
        <v/>
      </c>
      <c r="Z900" s="31" t="str">
        <f>IF(NOT(AND($A900&lt;&gt;"",$M900&lt;&gt;"Out of Scope",$M900&lt;&gt;"Canceled",$T900&lt;&gt;"Fixed – Retest Passed",OR(LEN(TRIM($O900))&gt;0,LEN(TRIM($P900))&gt;0))),"",IF(OR($W900="Failed",$R900="Urgent",$R900="High",$R900="ระบุ Severity + Impact"),IF(COUNTIFS(Dashboard!$B$105:$B$124,$O900,Dashboard!$I$105:$I$124,"CAB")&gt;0,"Accepted (CF)","Blocking"),"Deferrable"))</f>
        <v/>
      </c>
    </row>
    <row r="901" spans="7:26" x14ac:dyDescent="0.3">
      <c r="G901" s="27" t="str" cm="1">
        <f t="array" ref="G901">IF($A901="","",IFERROR(_xlfn.TEXTJOIN(CHAR(10)&amp;CHAR(10),TRUE,_xlfn._xlws.FILTER("•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"&amp;Cards!$L$4:$L$1000),(Cards!$A$4:$A$1000&lt;&gt;"")*ISNUMBER(SEARCH($A901,Cards!$E$4:$E$1000)))),"-"))</f>
        <v/>
      </c>
      <c r="Q901" s="30"/>
      <c r="R901" s="27" t="str">
        <f>IF(OR($A901="",LEN(TRIM($O901))=0),"",IF(OR($P901="",$Q901=""),"ระบุ Severity + Impact",IFERROR(INDEX({"Urgent","Urgent","High","High";"Urgent","High","High","Medium";"High","High","Medium","Medium";"Medium","Medium","Low","Low"},MATCH($P901,{"Critical","High","Medium","Low"},0),MATCH($Q901,{"Extensive","Significant","Moderate","Minor"},0)),"-")))</f>
        <v/>
      </c>
      <c r="S901" s="30"/>
      <c r="T901" s="30"/>
      <c r="W901" s="32" t="str">
        <f>IF($A901="","",IF(OR($M901="Out of Scope",$M901="Canceled"),"Out of Scope",IF($M901="Blocked","Blocked",IF(AND($T901&lt;&gt;"Fixed – Retest Passed",OR(LEN(TRIM($O901))&gt;0,LEN(TRIM($P901))&gt;0)),IF(AND(OR($L901="Medium",$L901="Low"),SUMPRODUCT((Cards!$A$4:$A$1000&lt;&gt;"")*ISNUMBER(SEARCH($A901,Cards!$E$4:$E$1000))*(Cards!$F$4:$F$1000&lt;&gt;"Medium")*(Cards!$F$4:$F$1000&lt;&gt;"Low"))=0),"Conditionally Passed","Failed"),IF($M901="Done","Passed","Not Run")))))</f>
        <v/>
      </c>
      <c r="Y901" s="27" t="str" cm="1">
        <f t="array" ref="Y901">IF($A901="","",IF(TRIM($B901)="","-",IFERROR(_xlfn.TEXTJOIN(" / ",TRUE,_xlfn.UNIQUE(_xlfn._xlws.FILTER('Ownership Matrix'!$C$5:$C$200,('Ownership Matrix'!$A$5:$A$200=TRIM($B901))*('Ownership Matrix'!$C$5:$C$200&lt;&gt;"")))),"ไม่พบใน Ownership Matrix")))</f>
        <v/>
      </c>
      <c r="Z901" s="31" t="str">
        <f>IF(NOT(AND($A901&lt;&gt;"",$M901&lt;&gt;"Out of Scope",$M901&lt;&gt;"Canceled",$T901&lt;&gt;"Fixed – Retest Passed",OR(LEN(TRIM($O901))&gt;0,LEN(TRIM($P901))&gt;0))),"",IF(OR($W901="Failed",$R901="Urgent",$R901="High",$R901="ระบุ Severity + Impact"),IF(COUNTIFS(Dashboard!$B$105:$B$124,$O901,Dashboard!$I$105:$I$124,"CAB")&gt;0,"Accepted (CF)","Blocking"),"Deferrable"))</f>
        <v/>
      </c>
    </row>
    <row r="902" spans="7:26" x14ac:dyDescent="0.3">
      <c r="G902" s="27" t="str" cm="1">
        <f t="array" ref="G902">IF($A902="","",IFERROR(_xlfn.TEXTJOIN(CHAR(10)&amp;CHAR(10),TRUE,_xlfn._xlws.FILTER("•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"&amp;Cards!$L$4:$L$1000),(Cards!$A$4:$A$1000&lt;&gt;"")*ISNUMBER(SEARCH($A902,Cards!$E$4:$E$1000)))),"-"))</f>
        <v/>
      </c>
      <c r="Q902" s="30"/>
      <c r="R902" s="27" t="str">
        <f>IF(OR($A902="",LEN(TRIM($O902))=0),"",IF(OR($P902="",$Q902=""),"ระบุ Severity + Impact",IFERROR(INDEX({"Urgent","Urgent","High","High";"Urgent","High","High","Medium";"High","High","Medium","Medium";"Medium","Medium","Low","Low"},MATCH($P902,{"Critical","High","Medium","Low"},0),MATCH($Q902,{"Extensive","Significant","Moderate","Minor"},0)),"-")))</f>
        <v/>
      </c>
      <c r="S902" s="30"/>
      <c r="T902" s="30"/>
      <c r="W902" s="32" t="str">
        <f>IF($A902="","",IF(OR($M902="Out of Scope",$M902="Canceled"),"Out of Scope",IF($M902="Blocked","Blocked",IF(AND($T902&lt;&gt;"Fixed – Retest Passed",OR(LEN(TRIM($O902))&gt;0,LEN(TRIM($P902))&gt;0)),IF(AND(OR($L902="Medium",$L902="Low"),SUMPRODUCT((Cards!$A$4:$A$1000&lt;&gt;"")*ISNUMBER(SEARCH($A902,Cards!$E$4:$E$1000))*(Cards!$F$4:$F$1000&lt;&gt;"Medium")*(Cards!$F$4:$F$1000&lt;&gt;"Low"))=0),"Conditionally Passed","Failed"),IF($M902="Done","Passed","Not Run")))))</f>
        <v/>
      </c>
      <c r="Y902" s="27" t="str" cm="1">
        <f t="array" ref="Y902">IF($A902="","",IF(TRIM($B902)="","-",IFERROR(_xlfn.TEXTJOIN(" / ",TRUE,_xlfn.UNIQUE(_xlfn._xlws.FILTER('Ownership Matrix'!$C$5:$C$200,('Ownership Matrix'!$A$5:$A$200=TRIM($B902))*('Ownership Matrix'!$C$5:$C$200&lt;&gt;"")))),"ไม่พบใน Ownership Matrix")))</f>
        <v/>
      </c>
      <c r="Z902" s="31" t="str">
        <f>IF(NOT(AND($A902&lt;&gt;"",$M902&lt;&gt;"Out of Scope",$M902&lt;&gt;"Canceled",$T902&lt;&gt;"Fixed – Retest Passed",OR(LEN(TRIM($O902))&gt;0,LEN(TRIM($P902))&gt;0))),"",IF(OR($W902="Failed",$R902="Urgent",$R902="High",$R902="ระบุ Severity + Impact"),IF(COUNTIFS(Dashboard!$B$105:$B$124,$O902,Dashboard!$I$105:$I$124,"CAB")&gt;0,"Accepted (CF)","Blocking"),"Deferrable"))</f>
        <v/>
      </c>
    </row>
    <row r="903" spans="7:26" x14ac:dyDescent="0.3">
      <c r="G903" s="27" t="str" cm="1">
        <f t="array" ref="G903">IF($A903="","",IFERROR(_xlfn.TEXTJOIN(CHAR(10)&amp;CHAR(10),TRUE,_xlfn._xlws.FILTER("•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"&amp;Cards!$L$4:$L$1000),(Cards!$A$4:$A$1000&lt;&gt;"")*ISNUMBER(SEARCH($A903,Cards!$E$4:$E$1000)))),"-"))</f>
        <v/>
      </c>
      <c r="Q903" s="30"/>
      <c r="R903" s="27" t="str">
        <f>IF(OR($A903="",LEN(TRIM($O903))=0),"",IF(OR($P903="",$Q903=""),"ระบุ Severity + Impact",IFERROR(INDEX({"Urgent","Urgent","High","High";"Urgent","High","High","Medium";"High","High","Medium","Medium";"Medium","Medium","Low","Low"},MATCH($P903,{"Critical","High","Medium","Low"},0),MATCH($Q903,{"Extensive","Significant","Moderate","Minor"},0)),"-")))</f>
        <v/>
      </c>
      <c r="S903" s="30"/>
      <c r="T903" s="30"/>
      <c r="W903" s="32" t="str">
        <f>IF($A903="","",IF(OR($M903="Out of Scope",$M903="Canceled"),"Out of Scope",IF($M903="Blocked","Blocked",IF(AND($T903&lt;&gt;"Fixed – Retest Passed",OR(LEN(TRIM($O903))&gt;0,LEN(TRIM($P903))&gt;0)),IF(AND(OR($L903="Medium",$L903="Low"),SUMPRODUCT((Cards!$A$4:$A$1000&lt;&gt;"")*ISNUMBER(SEARCH($A903,Cards!$E$4:$E$1000))*(Cards!$F$4:$F$1000&lt;&gt;"Medium")*(Cards!$F$4:$F$1000&lt;&gt;"Low"))=0),"Conditionally Passed","Failed"),IF($M903="Done","Passed","Not Run")))))</f>
        <v/>
      </c>
      <c r="Y903" s="27" t="str" cm="1">
        <f t="array" ref="Y903">IF($A903="","",IF(TRIM($B903)="","-",IFERROR(_xlfn.TEXTJOIN(" / ",TRUE,_xlfn.UNIQUE(_xlfn._xlws.FILTER('Ownership Matrix'!$C$5:$C$200,('Ownership Matrix'!$A$5:$A$200=TRIM($B903))*('Ownership Matrix'!$C$5:$C$200&lt;&gt;"")))),"ไม่พบใน Ownership Matrix")))</f>
        <v/>
      </c>
      <c r="Z903" s="31" t="str">
        <f>IF(NOT(AND($A903&lt;&gt;"",$M903&lt;&gt;"Out of Scope",$M903&lt;&gt;"Canceled",$T903&lt;&gt;"Fixed – Retest Passed",OR(LEN(TRIM($O903))&gt;0,LEN(TRIM($P903))&gt;0))),"",IF(OR($W903="Failed",$R903="Urgent",$R903="High",$R903="ระบุ Severity + Impact"),IF(COUNTIFS(Dashboard!$B$105:$B$124,$O903,Dashboard!$I$105:$I$124,"CAB")&gt;0,"Accepted (CF)","Blocking"),"Deferrable"))</f>
        <v/>
      </c>
    </row>
    <row r="904" spans="7:26" x14ac:dyDescent="0.3">
      <c r="G904" s="27" t="str" cm="1">
        <f t="array" ref="G904">IF($A904="","",IFERROR(_xlfn.TEXTJOIN(CHAR(10)&amp;CHAR(10),TRUE,_xlfn._xlws.FILTER("•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"&amp;Cards!$L$4:$L$1000),(Cards!$A$4:$A$1000&lt;&gt;"")*ISNUMBER(SEARCH($A904,Cards!$E$4:$E$1000)))),"-"))</f>
        <v/>
      </c>
      <c r="Q904" s="30"/>
      <c r="R904" s="27" t="str">
        <f>IF(OR($A904="",LEN(TRIM($O904))=0),"",IF(OR($P904="",$Q904=""),"ระบุ Severity + Impact",IFERROR(INDEX({"Urgent","Urgent","High","High";"Urgent","High","High","Medium";"High","High","Medium","Medium";"Medium","Medium","Low","Low"},MATCH($P904,{"Critical","High","Medium","Low"},0),MATCH($Q904,{"Extensive","Significant","Moderate","Minor"},0)),"-")))</f>
        <v/>
      </c>
      <c r="S904" s="30"/>
      <c r="T904" s="30"/>
      <c r="W904" s="32" t="str">
        <f>IF($A904="","",IF(OR($M904="Out of Scope",$M904="Canceled"),"Out of Scope",IF($M904="Blocked","Blocked",IF(AND($T904&lt;&gt;"Fixed – Retest Passed",OR(LEN(TRIM($O904))&gt;0,LEN(TRIM($P904))&gt;0)),IF(AND(OR($L904="Medium",$L904="Low"),SUMPRODUCT((Cards!$A$4:$A$1000&lt;&gt;"")*ISNUMBER(SEARCH($A904,Cards!$E$4:$E$1000))*(Cards!$F$4:$F$1000&lt;&gt;"Medium")*(Cards!$F$4:$F$1000&lt;&gt;"Low"))=0),"Conditionally Passed","Failed"),IF($M904="Done","Passed","Not Run")))))</f>
        <v/>
      </c>
      <c r="Y904" s="27" t="str" cm="1">
        <f t="array" ref="Y904">IF($A904="","",IF(TRIM($B904)="","-",IFERROR(_xlfn.TEXTJOIN(" / ",TRUE,_xlfn.UNIQUE(_xlfn._xlws.FILTER('Ownership Matrix'!$C$5:$C$200,('Ownership Matrix'!$A$5:$A$200=TRIM($B904))*('Ownership Matrix'!$C$5:$C$200&lt;&gt;"")))),"ไม่พบใน Ownership Matrix")))</f>
        <v/>
      </c>
      <c r="Z904" s="31" t="str">
        <f>IF(NOT(AND($A904&lt;&gt;"",$M904&lt;&gt;"Out of Scope",$M904&lt;&gt;"Canceled",$T904&lt;&gt;"Fixed – Retest Passed",OR(LEN(TRIM($O904))&gt;0,LEN(TRIM($P904))&gt;0))),"",IF(OR($W904="Failed",$R904="Urgent",$R904="High",$R904="ระบุ Severity + Impact"),IF(COUNTIFS(Dashboard!$B$105:$B$124,$O904,Dashboard!$I$105:$I$124,"CAB")&gt;0,"Accepted (CF)","Blocking"),"Deferrable"))</f>
        <v/>
      </c>
    </row>
    <row r="905" spans="7:26" x14ac:dyDescent="0.3">
      <c r="G905" s="27" t="str" cm="1">
        <f t="array" ref="G905">IF($A905="","",IFERROR(_xlfn.TEXTJOIN(CHAR(10)&amp;CHAR(10),TRUE,_xlfn._xlws.FILTER("•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"&amp;Cards!$L$4:$L$1000),(Cards!$A$4:$A$1000&lt;&gt;"")*ISNUMBER(SEARCH($A905,Cards!$E$4:$E$1000)))),"-"))</f>
        <v/>
      </c>
      <c r="Q905" s="30"/>
      <c r="R905" s="27" t="str">
        <f>IF(OR($A905="",LEN(TRIM($O905))=0),"",IF(OR($P905="",$Q905=""),"ระบุ Severity + Impact",IFERROR(INDEX({"Urgent","Urgent","High","High";"Urgent","High","High","Medium";"High","High","Medium","Medium";"Medium","Medium","Low","Low"},MATCH($P905,{"Critical","High","Medium","Low"},0),MATCH($Q905,{"Extensive","Significant","Moderate","Minor"},0)),"-")))</f>
        <v/>
      </c>
      <c r="S905" s="30"/>
      <c r="T905" s="30"/>
      <c r="W905" s="32" t="str">
        <f>IF($A905="","",IF(OR($M905="Out of Scope",$M905="Canceled"),"Out of Scope",IF($M905="Blocked","Blocked",IF(AND($T905&lt;&gt;"Fixed – Retest Passed",OR(LEN(TRIM($O905))&gt;0,LEN(TRIM($P905))&gt;0)),IF(AND(OR($L905="Medium",$L905="Low"),SUMPRODUCT((Cards!$A$4:$A$1000&lt;&gt;"")*ISNUMBER(SEARCH($A905,Cards!$E$4:$E$1000))*(Cards!$F$4:$F$1000&lt;&gt;"Medium")*(Cards!$F$4:$F$1000&lt;&gt;"Low"))=0),"Conditionally Passed","Failed"),IF($M905="Done","Passed","Not Run")))))</f>
        <v/>
      </c>
      <c r="Y905" s="27" t="str" cm="1">
        <f t="array" ref="Y905">IF($A905="","",IF(TRIM($B905)="","-",IFERROR(_xlfn.TEXTJOIN(" / ",TRUE,_xlfn.UNIQUE(_xlfn._xlws.FILTER('Ownership Matrix'!$C$5:$C$200,('Ownership Matrix'!$A$5:$A$200=TRIM($B905))*('Ownership Matrix'!$C$5:$C$200&lt;&gt;"")))),"ไม่พบใน Ownership Matrix")))</f>
        <v/>
      </c>
      <c r="Z905" s="31" t="str">
        <f>IF(NOT(AND($A905&lt;&gt;"",$M905&lt;&gt;"Out of Scope",$M905&lt;&gt;"Canceled",$T905&lt;&gt;"Fixed – Retest Passed",OR(LEN(TRIM($O905))&gt;0,LEN(TRIM($P905))&gt;0))),"",IF(OR($W905="Failed",$R905="Urgent",$R905="High",$R905="ระบุ Severity + Impact"),IF(COUNTIFS(Dashboard!$B$105:$B$124,$O905,Dashboard!$I$105:$I$124,"CAB")&gt;0,"Accepted (CF)","Blocking"),"Deferrable"))</f>
        <v/>
      </c>
    </row>
    <row r="906" spans="7:26" x14ac:dyDescent="0.3">
      <c r="G906" s="27" t="str" cm="1">
        <f t="array" ref="G906">IF($A906="","",IFERROR(_xlfn.TEXTJOIN(CHAR(10)&amp;CHAR(10),TRUE,_xlfn._xlws.FILTER("•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"&amp;Cards!$L$4:$L$1000),(Cards!$A$4:$A$1000&lt;&gt;"")*ISNUMBER(SEARCH($A906,Cards!$E$4:$E$1000)))),"-"))</f>
        <v/>
      </c>
      <c r="Q906" s="30"/>
      <c r="R906" s="27" t="str">
        <f>IF(OR($A906="",LEN(TRIM($O906))=0),"",IF(OR($P906="",$Q906=""),"ระบุ Severity + Impact",IFERROR(INDEX({"Urgent","Urgent","High","High";"Urgent","High","High","Medium";"High","High","Medium","Medium";"Medium","Medium","Low","Low"},MATCH($P906,{"Critical","High","Medium","Low"},0),MATCH($Q906,{"Extensive","Significant","Moderate","Minor"},0)),"-")))</f>
        <v/>
      </c>
      <c r="S906" s="30"/>
      <c r="T906" s="30"/>
      <c r="W906" s="32" t="str">
        <f>IF($A906="","",IF(OR($M906="Out of Scope",$M906="Canceled"),"Out of Scope",IF($M906="Blocked","Blocked",IF(AND($T906&lt;&gt;"Fixed – Retest Passed",OR(LEN(TRIM($O906))&gt;0,LEN(TRIM($P906))&gt;0)),IF(AND(OR($L906="Medium",$L906="Low"),SUMPRODUCT((Cards!$A$4:$A$1000&lt;&gt;"")*ISNUMBER(SEARCH($A906,Cards!$E$4:$E$1000))*(Cards!$F$4:$F$1000&lt;&gt;"Medium")*(Cards!$F$4:$F$1000&lt;&gt;"Low"))=0),"Conditionally Passed","Failed"),IF($M906="Done","Passed","Not Run")))))</f>
        <v/>
      </c>
      <c r="Y906" s="27" t="str" cm="1">
        <f t="array" ref="Y906">IF($A906="","",IF(TRIM($B906)="","-",IFERROR(_xlfn.TEXTJOIN(" / ",TRUE,_xlfn.UNIQUE(_xlfn._xlws.FILTER('Ownership Matrix'!$C$5:$C$200,('Ownership Matrix'!$A$5:$A$200=TRIM($B906))*('Ownership Matrix'!$C$5:$C$200&lt;&gt;"")))),"ไม่พบใน Ownership Matrix")))</f>
        <v/>
      </c>
      <c r="Z906" s="31" t="str">
        <f>IF(NOT(AND($A906&lt;&gt;"",$M906&lt;&gt;"Out of Scope",$M906&lt;&gt;"Canceled",$T906&lt;&gt;"Fixed – Retest Passed",OR(LEN(TRIM($O906))&gt;0,LEN(TRIM($P906))&gt;0))),"",IF(OR($W906="Failed",$R906="Urgent",$R906="High",$R906="ระบุ Severity + Impact"),IF(COUNTIFS(Dashboard!$B$105:$B$124,$O906,Dashboard!$I$105:$I$124,"CAB")&gt;0,"Accepted (CF)","Blocking"),"Deferrable"))</f>
        <v/>
      </c>
    </row>
    <row r="907" spans="7:26" x14ac:dyDescent="0.3">
      <c r="G907" s="27" t="str" cm="1">
        <f t="array" ref="G907">IF($A907="","",IFERROR(_xlfn.TEXTJOIN(CHAR(10)&amp;CHAR(10),TRUE,_xlfn._xlws.FILTER("•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"&amp;Cards!$L$4:$L$1000),(Cards!$A$4:$A$1000&lt;&gt;"")*ISNUMBER(SEARCH($A907,Cards!$E$4:$E$1000)))),"-"))</f>
        <v/>
      </c>
      <c r="Q907" s="30"/>
      <c r="R907" s="27" t="str">
        <f>IF(OR($A907="",LEN(TRIM($O907))=0),"",IF(OR($P907="",$Q907=""),"ระบุ Severity + Impact",IFERROR(INDEX({"Urgent","Urgent","High","High";"Urgent","High","High","Medium";"High","High","Medium","Medium";"Medium","Medium","Low","Low"},MATCH($P907,{"Critical","High","Medium","Low"},0),MATCH($Q907,{"Extensive","Significant","Moderate","Minor"},0)),"-")))</f>
        <v/>
      </c>
      <c r="S907" s="30"/>
      <c r="T907" s="30"/>
      <c r="W907" s="32" t="str">
        <f>IF($A907="","",IF(OR($M907="Out of Scope",$M907="Canceled"),"Out of Scope",IF($M907="Blocked","Blocked",IF(AND($T907&lt;&gt;"Fixed – Retest Passed",OR(LEN(TRIM($O907))&gt;0,LEN(TRIM($P907))&gt;0)),IF(AND(OR($L907="Medium",$L907="Low"),SUMPRODUCT((Cards!$A$4:$A$1000&lt;&gt;"")*ISNUMBER(SEARCH($A907,Cards!$E$4:$E$1000))*(Cards!$F$4:$F$1000&lt;&gt;"Medium")*(Cards!$F$4:$F$1000&lt;&gt;"Low"))=0),"Conditionally Passed","Failed"),IF($M907="Done","Passed","Not Run")))))</f>
        <v/>
      </c>
      <c r="Y907" s="27" t="str" cm="1">
        <f t="array" ref="Y907">IF($A907="","",IF(TRIM($B907)="","-",IFERROR(_xlfn.TEXTJOIN(" / ",TRUE,_xlfn.UNIQUE(_xlfn._xlws.FILTER('Ownership Matrix'!$C$5:$C$200,('Ownership Matrix'!$A$5:$A$200=TRIM($B907))*('Ownership Matrix'!$C$5:$C$200&lt;&gt;"")))),"ไม่พบใน Ownership Matrix")))</f>
        <v/>
      </c>
      <c r="Z907" s="31" t="str">
        <f>IF(NOT(AND($A907&lt;&gt;"",$M907&lt;&gt;"Out of Scope",$M907&lt;&gt;"Canceled",$T907&lt;&gt;"Fixed – Retest Passed",OR(LEN(TRIM($O907))&gt;0,LEN(TRIM($P907))&gt;0))),"",IF(OR($W907="Failed",$R907="Urgent",$R907="High",$R907="ระบุ Severity + Impact"),IF(COUNTIFS(Dashboard!$B$105:$B$124,$O907,Dashboard!$I$105:$I$124,"CAB")&gt;0,"Accepted (CF)","Blocking"),"Deferrable"))</f>
        <v/>
      </c>
    </row>
    <row r="908" spans="7:26" x14ac:dyDescent="0.3">
      <c r="G908" s="27" t="str" cm="1">
        <f t="array" ref="G908">IF($A908="","",IFERROR(_xlfn.TEXTJOIN(CHAR(10)&amp;CHAR(10),TRUE,_xlfn._xlws.FILTER("•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"&amp;Cards!$L$4:$L$1000),(Cards!$A$4:$A$1000&lt;&gt;"")*ISNUMBER(SEARCH($A908,Cards!$E$4:$E$1000)))),"-"))</f>
        <v/>
      </c>
      <c r="Q908" s="30"/>
      <c r="R908" s="27" t="str">
        <f>IF(OR($A908="",LEN(TRIM($O908))=0),"",IF(OR($P908="",$Q908=""),"ระบุ Severity + Impact",IFERROR(INDEX({"Urgent","Urgent","High","High";"Urgent","High","High","Medium";"High","High","Medium","Medium";"Medium","Medium","Low","Low"},MATCH($P908,{"Critical","High","Medium","Low"},0),MATCH($Q908,{"Extensive","Significant","Moderate","Minor"},0)),"-")))</f>
        <v/>
      </c>
      <c r="S908" s="30"/>
      <c r="T908" s="30"/>
      <c r="W908" s="32" t="str">
        <f>IF($A908="","",IF(OR($M908="Out of Scope",$M908="Canceled"),"Out of Scope",IF($M908="Blocked","Blocked",IF(AND($T908&lt;&gt;"Fixed – Retest Passed",OR(LEN(TRIM($O908))&gt;0,LEN(TRIM($P908))&gt;0)),IF(AND(OR($L908="Medium",$L908="Low"),SUMPRODUCT((Cards!$A$4:$A$1000&lt;&gt;"")*ISNUMBER(SEARCH($A908,Cards!$E$4:$E$1000))*(Cards!$F$4:$F$1000&lt;&gt;"Medium")*(Cards!$F$4:$F$1000&lt;&gt;"Low"))=0),"Conditionally Passed","Failed"),IF($M908="Done","Passed","Not Run")))))</f>
        <v/>
      </c>
      <c r="Y908" s="27" t="str" cm="1">
        <f t="array" ref="Y908">IF($A908="","",IF(TRIM($B908)="","-",IFERROR(_xlfn.TEXTJOIN(" / ",TRUE,_xlfn.UNIQUE(_xlfn._xlws.FILTER('Ownership Matrix'!$C$5:$C$200,('Ownership Matrix'!$A$5:$A$200=TRIM($B908))*('Ownership Matrix'!$C$5:$C$200&lt;&gt;"")))),"ไม่พบใน Ownership Matrix")))</f>
        <v/>
      </c>
      <c r="Z908" s="31" t="str">
        <f>IF(NOT(AND($A908&lt;&gt;"",$M908&lt;&gt;"Out of Scope",$M908&lt;&gt;"Canceled",$T908&lt;&gt;"Fixed – Retest Passed",OR(LEN(TRIM($O908))&gt;0,LEN(TRIM($P908))&gt;0))),"",IF(OR($W908="Failed",$R908="Urgent",$R908="High",$R908="ระบุ Severity + Impact"),IF(COUNTIFS(Dashboard!$B$105:$B$124,$O908,Dashboard!$I$105:$I$124,"CAB")&gt;0,"Accepted (CF)","Blocking"),"Deferrable"))</f>
        <v/>
      </c>
    </row>
    <row r="909" spans="7:26" x14ac:dyDescent="0.3">
      <c r="G909" s="27" t="str" cm="1">
        <f t="array" ref="G909">IF($A909="","",IFERROR(_xlfn.TEXTJOIN(CHAR(10)&amp;CHAR(10),TRUE,_xlfn._xlws.FILTER("•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"&amp;Cards!$L$4:$L$1000),(Cards!$A$4:$A$1000&lt;&gt;"")*ISNUMBER(SEARCH($A909,Cards!$E$4:$E$1000)))),"-"))</f>
        <v/>
      </c>
      <c r="Q909" s="30"/>
      <c r="R909" s="27" t="str">
        <f>IF(OR($A909="",LEN(TRIM($O909))=0),"",IF(OR($P909="",$Q909=""),"ระบุ Severity + Impact",IFERROR(INDEX({"Urgent","Urgent","High","High";"Urgent","High","High","Medium";"High","High","Medium","Medium";"Medium","Medium","Low","Low"},MATCH($P909,{"Critical","High","Medium","Low"},0),MATCH($Q909,{"Extensive","Significant","Moderate","Minor"},0)),"-")))</f>
        <v/>
      </c>
      <c r="S909" s="30"/>
      <c r="T909" s="30"/>
      <c r="W909" s="32" t="str">
        <f>IF($A909="","",IF(OR($M909="Out of Scope",$M909="Canceled"),"Out of Scope",IF($M909="Blocked","Blocked",IF(AND($T909&lt;&gt;"Fixed – Retest Passed",OR(LEN(TRIM($O909))&gt;0,LEN(TRIM($P909))&gt;0)),IF(AND(OR($L909="Medium",$L909="Low"),SUMPRODUCT((Cards!$A$4:$A$1000&lt;&gt;"")*ISNUMBER(SEARCH($A909,Cards!$E$4:$E$1000))*(Cards!$F$4:$F$1000&lt;&gt;"Medium")*(Cards!$F$4:$F$1000&lt;&gt;"Low"))=0),"Conditionally Passed","Failed"),IF($M909="Done","Passed","Not Run")))))</f>
        <v/>
      </c>
      <c r="Y909" s="27" t="str" cm="1">
        <f t="array" ref="Y909">IF($A909="","",IF(TRIM($B909)="","-",IFERROR(_xlfn.TEXTJOIN(" / ",TRUE,_xlfn.UNIQUE(_xlfn._xlws.FILTER('Ownership Matrix'!$C$5:$C$200,('Ownership Matrix'!$A$5:$A$200=TRIM($B909))*('Ownership Matrix'!$C$5:$C$200&lt;&gt;"")))),"ไม่พบใน Ownership Matrix")))</f>
        <v/>
      </c>
      <c r="Z909" s="31" t="str">
        <f>IF(NOT(AND($A909&lt;&gt;"",$M909&lt;&gt;"Out of Scope",$M909&lt;&gt;"Canceled",$T909&lt;&gt;"Fixed – Retest Passed",OR(LEN(TRIM($O909))&gt;0,LEN(TRIM($P909))&gt;0))),"",IF(OR($W909="Failed",$R909="Urgent",$R909="High",$R909="ระบุ Severity + Impact"),IF(COUNTIFS(Dashboard!$B$105:$B$124,$O909,Dashboard!$I$105:$I$124,"CAB")&gt;0,"Accepted (CF)","Blocking"),"Deferrable"))</f>
        <v/>
      </c>
    </row>
    <row r="910" spans="7:26" x14ac:dyDescent="0.3">
      <c r="G910" s="27" t="str" cm="1">
        <f t="array" ref="G910">IF($A910="","",IFERROR(_xlfn.TEXTJOIN(CHAR(10)&amp;CHAR(10),TRUE,_xlfn._xlws.FILTER("•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"&amp;Cards!$L$4:$L$1000),(Cards!$A$4:$A$1000&lt;&gt;"")*ISNUMBER(SEARCH($A910,Cards!$E$4:$E$1000)))),"-"))</f>
        <v/>
      </c>
      <c r="Q910" s="30"/>
      <c r="R910" s="27" t="str">
        <f>IF(OR($A910="",LEN(TRIM($O910))=0),"",IF(OR($P910="",$Q910=""),"ระบุ Severity + Impact",IFERROR(INDEX({"Urgent","Urgent","High","High";"Urgent","High","High","Medium";"High","High","Medium","Medium";"Medium","Medium","Low","Low"},MATCH($P910,{"Critical","High","Medium","Low"},0),MATCH($Q910,{"Extensive","Significant","Moderate","Minor"},0)),"-")))</f>
        <v/>
      </c>
      <c r="S910" s="30"/>
      <c r="T910" s="30"/>
      <c r="W910" s="32" t="str">
        <f>IF($A910="","",IF(OR($M910="Out of Scope",$M910="Canceled"),"Out of Scope",IF($M910="Blocked","Blocked",IF(AND($T910&lt;&gt;"Fixed – Retest Passed",OR(LEN(TRIM($O910))&gt;0,LEN(TRIM($P910))&gt;0)),IF(AND(OR($L910="Medium",$L910="Low"),SUMPRODUCT((Cards!$A$4:$A$1000&lt;&gt;"")*ISNUMBER(SEARCH($A910,Cards!$E$4:$E$1000))*(Cards!$F$4:$F$1000&lt;&gt;"Medium")*(Cards!$F$4:$F$1000&lt;&gt;"Low"))=0),"Conditionally Passed","Failed"),IF($M910="Done","Passed","Not Run")))))</f>
        <v/>
      </c>
      <c r="Y910" s="27" t="str" cm="1">
        <f t="array" ref="Y910">IF($A910="","",IF(TRIM($B910)="","-",IFERROR(_xlfn.TEXTJOIN(" / ",TRUE,_xlfn.UNIQUE(_xlfn._xlws.FILTER('Ownership Matrix'!$C$5:$C$200,('Ownership Matrix'!$A$5:$A$200=TRIM($B910))*('Ownership Matrix'!$C$5:$C$200&lt;&gt;"")))),"ไม่พบใน Ownership Matrix")))</f>
        <v/>
      </c>
      <c r="Z910" s="31" t="str">
        <f>IF(NOT(AND($A910&lt;&gt;"",$M910&lt;&gt;"Out of Scope",$M910&lt;&gt;"Canceled",$T910&lt;&gt;"Fixed – Retest Passed",OR(LEN(TRIM($O910))&gt;0,LEN(TRIM($P910))&gt;0))),"",IF(OR($W910="Failed",$R910="Urgent",$R910="High",$R910="ระบุ Severity + Impact"),IF(COUNTIFS(Dashboard!$B$105:$B$124,$O910,Dashboard!$I$105:$I$124,"CAB")&gt;0,"Accepted (CF)","Blocking"),"Deferrable"))</f>
        <v/>
      </c>
    </row>
    <row r="911" spans="7:26" x14ac:dyDescent="0.3">
      <c r="G911" s="27" t="str" cm="1">
        <f t="array" ref="G911">IF($A911="","",IFERROR(_xlfn.TEXTJOIN(CHAR(10)&amp;CHAR(10),TRUE,_xlfn._xlws.FILTER("•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"&amp;Cards!$L$4:$L$1000),(Cards!$A$4:$A$1000&lt;&gt;"")*ISNUMBER(SEARCH($A911,Cards!$E$4:$E$1000)))),"-"))</f>
        <v/>
      </c>
      <c r="Q911" s="30"/>
      <c r="R911" s="27" t="str">
        <f>IF(OR($A911="",LEN(TRIM($O911))=0),"",IF(OR($P911="",$Q911=""),"ระบุ Severity + Impact",IFERROR(INDEX({"Urgent","Urgent","High","High";"Urgent","High","High","Medium";"High","High","Medium","Medium";"Medium","Medium","Low","Low"},MATCH($P911,{"Critical","High","Medium","Low"},0),MATCH($Q911,{"Extensive","Significant","Moderate","Minor"},0)),"-")))</f>
        <v/>
      </c>
      <c r="S911" s="30"/>
      <c r="T911" s="30"/>
      <c r="W911" s="32" t="str">
        <f>IF($A911="","",IF(OR($M911="Out of Scope",$M911="Canceled"),"Out of Scope",IF($M911="Blocked","Blocked",IF(AND($T911&lt;&gt;"Fixed – Retest Passed",OR(LEN(TRIM($O911))&gt;0,LEN(TRIM($P911))&gt;0)),IF(AND(OR($L911="Medium",$L911="Low"),SUMPRODUCT((Cards!$A$4:$A$1000&lt;&gt;"")*ISNUMBER(SEARCH($A911,Cards!$E$4:$E$1000))*(Cards!$F$4:$F$1000&lt;&gt;"Medium")*(Cards!$F$4:$F$1000&lt;&gt;"Low"))=0),"Conditionally Passed","Failed"),IF($M911="Done","Passed","Not Run")))))</f>
        <v/>
      </c>
      <c r="Y911" s="27" t="str" cm="1">
        <f t="array" ref="Y911">IF($A911="","",IF(TRIM($B911)="","-",IFERROR(_xlfn.TEXTJOIN(" / ",TRUE,_xlfn.UNIQUE(_xlfn._xlws.FILTER('Ownership Matrix'!$C$5:$C$200,('Ownership Matrix'!$A$5:$A$200=TRIM($B911))*('Ownership Matrix'!$C$5:$C$200&lt;&gt;"")))),"ไม่พบใน Ownership Matrix")))</f>
        <v/>
      </c>
      <c r="Z911" s="31" t="str">
        <f>IF(NOT(AND($A911&lt;&gt;"",$M911&lt;&gt;"Out of Scope",$M911&lt;&gt;"Canceled",$T911&lt;&gt;"Fixed – Retest Passed",OR(LEN(TRIM($O911))&gt;0,LEN(TRIM($P911))&gt;0))),"",IF(OR($W911="Failed",$R911="Urgent",$R911="High",$R911="ระบุ Severity + Impact"),IF(COUNTIFS(Dashboard!$B$105:$B$124,$O911,Dashboard!$I$105:$I$124,"CAB")&gt;0,"Accepted (CF)","Blocking"),"Deferrable"))</f>
        <v/>
      </c>
    </row>
    <row r="912" spans="7:26" x14ac:dyDescent="0.3">
      <c r="G912" s="27" t="str" cm="1">
        <f t="array" ref="G912">IF($A912="","",IFERROR(_xlfn.TEXTJOIN(CHAR(10)&amp;CHAR(10),TRUE,_xlfn._xlws.FILTER("•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"&amp;Cards!$L$4:$L$1000),(Cards!$A$4:$A$1000&lt;&gt;"")*ISNUMBER(SEARCH($A912,Cards!$E$4:$E$1000)))),"-"))</f>
        <v/>
      </c>
      <c r="Q912" s="30"/>
      <c r="R912" s="27" t="str">
        <f>IF(OR($A912="",LEN(TRIM($O912))=0),"",IF(OR($P912="",$Q912=""),"ระบุ Severity + Impact",IFERROR(INDEX({"Urgent","Urgent","High","High";"Urgent","High","High","Medium";"High","High","Medium","Medium";"Medium","Medium","Low","Low"},MATCH($P912,{"Critical","High","Medium","Low"},0),MATCH($Q912,{"Extensive","Significant","Moderate","Minor"},0)),"-")))</f>
        <v/>
      </c>
      <c r="S912" s="30"/>
      <c r="T912" s="30"/>
      <c r="W912" s="32" t="str">
        <f>IF($A912="","",IF(OR($M912="Out of Scope",$M912="Canceled"),"Out of Scope",IF($M912="Blocked","Blocked",IF(AND($T912&lt;&gt;"Fixed – Retest Passed",OR(LEN(TRIM($O912))&gt;0,LEN(TRIM($P912))&gt;0)),IF(AND(OR($L912="Medium",$L912="Low"),SUMPRODUCT((Cards!$A$4:$A$1000&lt;&gt;"")*ISNUMBER(SEARCH($A912,Cards!$E$4:$E$1000))*(Cards!$F$4:$F$1000&lt;&gt;"Medium")*(Cards!$F$4:$F$1000&lt;&gt;"Low"))=0),"Conditionally Passed","Failed"),IF($M912="Done","Passed","Not Run")))))</f>
        <v/>
      </c>
      <c r="Y912" s="27" t="str" cm="1">
        <f t="array" ref="Y912">IF($A912="","",IF(TRIM($B912)="","-",IFERROR(_xlfn.TEXTJOIN(" / ",TRUE,_xlfn.UNIQUE(_xlfn._xlws.FILTER('Ownership Matrix'!$C$5:$C$200,('Ownership Matrix'!$A$5:$A$200=TRIM($B912))*('Ownership Matrix'!$C$5:$C$200&lt;&gt;"")))),"ไม่พบใน Ownership Matrix")))</f>
        <v/>
      </c>
      <c r="Z912" s="31" t="str">
        <f>IF(NOT(AND($A912&lt;&gt;"",$M912&lt;&gt;"Out of Scope",$M912&lt;&gt;"Canceled",$T912&lt;&gt;"Fixed – Retest Passed",OR(LEN(TRIM($O912))&gt;0,LEN(TRIM($P912))&gt;0))),"",IF(OR($W912="Failed",$R912="Urgent",$R912="High",$R912="ระบุ Severity + Impact"),IF(COUNTIFS(Dashboard!$B$105:$B$124,$O912,Dashboard!$I$105:$I$124,"CAB")&gt;0,"Accepted (CF)","Blocking"),"Deferrable"))</f>
        <v/>
      </c>
    </row>
    <row r="913" spans="7:26" x14ac:dyDescent="0.3">
      <c r="G913" s="27" t="str" cm="1">
        <f t="array" ref="G913">IF($A913="","",IFERROR(_xlfn.TEXTJOIN(CHAR(10)&amp;CHAR(10),TRUE,_xlfn._xlws.FILTER("•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"&amp;Cards!$L$4:$L$1000),(Cards!$A$4:$A$1000&lt;&gt;"")*ISNUMBER(SEARCH($A913,Cards!$E$4:$E$1000)))),"-"))</f>
        <v/>
      </c>
      <c r="Q913" s="30"/>
      <c r="R913" s="27" t="str">
        <f>IF(OR($A913="",LEN(TRIM($O913))=0),"",IF(OR($P913="",$Q913=""),"ระบุ Severity + Impact",IFERROR(INDEX({"Urgent","Urgent","High","High";"Urgent","High","High","Medium";"High","High","Medium","Medium";"Medium","Medium","Low","Low"},MATCH($P913,{"Critical","High","Medium","Low"},0),MATCH($Q913,{"Extensive","Significant","Moderate","Minor"},0)),"-")))</f>
        <v/>
      </c>
      <c r="S913" s="30"/>
      <c r="T913" s="30"/>
      <c r="W913" s="32" t="str">
        <f>IF($A913="","",IF(OR($M913="Out of Scope",$M913="Canceled"),"Out of Scope",IF($M913="Blocked","Blocked",IF(AND($T913&lt;&gt;"Fixed – Retest Passed",OR(LEN(TRIM($O913))&gt;0,LEN(TRIM($P913))&gt;0)),IF(AND(OR($L913="Medium",$L913="Low"),SUMPRODUCT((Cards!$A$4:$A$1000&lt;&gt;"")*ISNUMBER(SEARCH($A913,Cards!$E$4:$E$1000))*(Cards!$F$4:$F$1000&lt;&gt;"Medium")*(Cards!$F$4:$F$1000&lt;&gt;"Low"))=0),"Conditionally Passed","Failed"),IF($M913="Done","Passed","Not Run")))))</f>
        <v/>
      </c>
      <c r="Y913" s="27" t="str" cm="1">
        <f t="array" ref="Y913">IF($A913="","",IF(TRIM($B913)="","-",IFERROR(_xlfn.TEXTJOIN(" / ",TRUE,_xlfn.UNIQUE(_xlfn._xlws.FILTER('Ownership Matrix'!$C$5:$C$200,('Ownership Matrix'!$A$5:$A$200=TRIM($B913))*('Ownership Matrix'!$C$5:$C$200&lt;&gt;"")))),"ไม่พบใน Ownership Matrix")))</f>
        <v/>
      </c>
      <c r="Z913" s="31" t="str">
        <f>IF(NOT(AND($A913&lt;&gt;"",$M913&lt;&gt;"Out of Scope",$M913&lt;&gt;"Canceled",$T913&lt;&gt;"Fixed – Retest Passed",OR(LEN(TRIM($O913))&gt;0,LEN(TRIM($P913))&gt;0))),"",IF(OR($W913="Failed",$R913="Urgent",$R913="High",$R913="ระบุ Severity + Impact"),IF(COUNTIFS(Dashboard!$B$105:$B$124,$O913,Dashboard!$I$105:$I$124,"CAB")&gt;0,"Accepted (CF)","Blocking"),"Deferrable"))</f>
        <v/>
      </c>
    </row>
    <row r="914" spans="7:26" x14ac:dyDescent="0.3">
      <c r="G914" s="27" t="str" cm="1">
        <f t="array" ref="G914">IF($A914="","",IFERROR(_xlfn.TEXTJOIN(CHAR(10)&amp;CHAR(10),TRUE,_xlfn._xlws.FILTER("•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"&amp;Cards!$L$4:$L$1000),(Cards!$A$4:$A$1000&lt;&gt;"")*ISNUMBER(SEARCH($A914,Cards!$E$4:$E$1000)))),"-"))</f>
        <v/>
      </c>
      <c r="Q914" s="30"/>
      <c r="R914" s="27" t="str">
        <f>IF(OR($A914="",LEN(TRIM($O914))=0),"",IF(OR($P914="",$Q914=""),"ระบุ Severity + Impact",IFERROR(INDEX({"Urgent","Urgent","High","High";"Urgent","High","High","Medium";"High","High","Medium","Medium";"Medium","Medium","Low","Low"},MATCH($P914,{"Critical","High","Medium","Low"},0),MATCH($Q914,{"Extensive","Significant","Moderate","Minor"},0)),"-")))</f>
        <v/>
      </c>
      <c r="S914" s="30"/>
      <c r="T914" s="30"/>
      <c r="W914" s="32" t="str">
        <f>IF($A914="","",IF(OR($M914="Out of Scope",$M914="Canceled"),"Out of Scope",IF($M914="Blocked","Blocked",IF(AND($T914&lt;&gt;"Fixed – Retest Passed",OR(LEN(TRIM($O914))&gt;0,LEN(TRIM($P914))&gt;0)),IF(AND(OR($L914="Medium",$L914="Low"),SUMPRODUCT((Cards!$A$4:$A$1000&lt;&gt;"")*ISNUMBER(SEARCH($A914,Cards!$E$4:$E$1000))*(Cards!$F$4:$F$1000&lt;&gt;"Medium")*(Cards!$F$4:$F$1000&lt;&gt;"Low"))=0),"Conditionally Passed","Failed"),IF($M914="Done","Passed","Not Run")))))</f>
        <v/>
      </c>
      <c r="Y914" s="27" t="str" cm="1">
        <f t="array" ref="Y914">IF($A914="","",IF(TRIM($B914)="","-",IFERROR(_xlfn.TEXTJOIN(" / ",TRUE,_xlfn.UNIQUE(_xlfn._xlws.FILTER('Ownership Matrix'!$C$5:$C$200,('Ownership Matrix'!$A$5:$A$200=TRIM($B914))*('Ownership Matrix'!$C$5:$C$200&lt;&gt;"")))),"ไม่พบใน Ownership Matrix")))</f>
        <v/>
      </c>
      <c r="Z914" s="31" t="str">
        <f>IF(NOT(AND($A914&lt;&gt;"",$M914&lt;&gt;"Out of Scope",$M914&lt;&gt;"Canceled",$T914&lt;&gt;"Fixed – Retest Passed",OR(LEN(TRIM($O914))&gt;0,LEN(TRIM($P914))&gt;0))),"",IF(OR($W914="Failed",$R914="Urgent",$R914="High",$R914="ระบุ Severity + Impact"),IF(COUNTIFS(Dashboard!$B$105:$B$124,$O914,Dashboard!$I$105:$I$124,"CAB")&gt;0,"Accepted (CF)","Blocking"),"Deferrable"))</f>
        <v/>
      </c>
    </row>
    <row r="915" spans="7:26" x14ac:dyDescent="0.3">
      <c r="G915" s="27" t="str" cm="1">
        <f t="array" ref="G915">IF($A915="","",IFERROR(_xlfn.TEXTJOIN(CHAR(10)&amp;CHAR(10),TRUE,_xlfn._xlws.FILTER("•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"&amp;Cards!$L$4:$L$1000),(Cards!$A$4:$A$1000&lt;&gt;"")*ISNUMBER(SEARCH($A915,Cards!$E$4:$E$1000)))),"-"))</f>
        <v/>
      </c>
      <c r="Q915" s="30"/>
      <c r="R915" s="27" t="str">
        <f>IF(OR($A915="",LEN(TRIM($O915))=0),"",IF(OR($P915="",$Q915=""),"ระบุ Severity + Impact",IFERROR(INDEX({"Urgent","Urgent","High","High";"Urgent","High","High","Medium";"High","High","Medium","Medium";"Medium","Medium","Low","Low"},MATCH($P915,{"Critical","High","Medium","Low"},0),MATCH($Q915,{"Extensive","Significant","Moderate","Minor"},0)),"-")))</f>
        <v/>
      </c>
      <c r="S915" s="30"/>
      <c r="T915" s="30"/>
      <c r="W915" s="32" t="str">
        <f>IF($A915="","",IF(OR($M915="Out of Scope",$M915="Canceled"),"Out of Scope",IF($M915="Blocked","Blocked",IF(AND($T915&lt;&gt;"Fixed – Retest Passed",OR(LEN(TRIM($O915))&gt;0,LEN(TRIM($P915))&gt;0)),IF(AND(OR($L915="Medium",$L915="Low"),SUMPRODUCT((Cards!$A$4:$A$1000&lt;&gt;"")*ISNUMBER(SEARCH($A915,Cards!$E$4:$E$1000))*(Cards!$F$4:$F$1000&lt;&gt;"Medium")*(Cards!$F$4:$F$1000&lt;&gt;"Low"))=0),"Conditionally Passed","Failed"),IF($M915="Done","Passed","Not Run")))))</f>
        <v/>
      </c>
      <c r="Y915" s="27" t="str" cm="1">
        <f t="array" ref="Y915">IF($A915="","",IF(TRIM($B915)="","-",IFERROR(_xlfn.TEXTJOIN(" / ",TRUE,_xlfn.UNIQUE(_xlfn._xlws.FILTER('Ownership Matrix'!$C$5:$C$200,('Ownership Matrix'!$A$5:$A$200=TRIM($B915))*('Ownership Matrix'!$C$5:$C$200&lt;&gt;"")))),"ไม่พบใน Ownership Matrix")))</f>
        <v/>
      </c>
      <c r="Z915" s="31" t="str">
        <f>IF(NOT(AND($A915&lt;&gt;"",$M915&lt;&gt;"Out of Scope",$M915&lt;&gt;"Canceled",$T915&lt;&gt;"Fixed – Retest Passed",OR(LEN(TRIM($O915))&gt;0,LEN(TRIM($P915))&gt;0))),"",IF(OR($W915="Failed",$R915="Urgent",$R915="High",$R915="ระบุ Severity + Impact"),IF(COUNTIFS(Dashboard!$B$105:$B$124,$O915,Dashboard!$I$105:$I$124,"CAB")&gt;0,"Accepted (CF)","Blocking"),"Deferrable"))</f>
        <v/>
      </c>
    </row>
    <row r="916" spans="7:26" x14ac:dyDescent="0.3">
      <c r="G916" s="27" t="str" cm="1">
        <f t="array" ref="G916">IF($A916="","",IFERROR(_xlfn.TEXTJOIN(CHAR(10)&amp;CHAR(10),TRUE,_xlfn._xlws.FILTER("•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"&amp;Cards!$L$4:$L$1000),(Cards!$A$4:$A$1000&lt;&gt;"")*ISNUMBER(SEARCH($A916,Cards!$E$4:$E$1000)))),"-"))</f>
        <v/>
      </c>
      <c r="Q916" s="30"/>
      <c r="R916" s="27" t="str">
        <f>IF(OR($A916="",LEN(TRIM($O916))=0),"",IF(OR($P916="",$Q916=""),"ระบุ Severity + Impact",IFERROR(INDEX({"Urgent","Urgent","High","High";"Urgent","High","High","Medium";"High","High","Medium","Medium";"Medium","Medium","Low","Low"},MATCH($P916,{"Critical","High","Medium","Low"},0),MATCH($Q916,{"Extensive","Significant","Moderate","Minor"},0)),"-")))</f>
        <v/>
      </c>
      <c r="S916" s="30"/>
      <c r="T916" s="30"/>
      <c r="W916" s="32" t="str">
        <f>IF($A916="","",IF(OR($M916="Out of Scope",$M916="Canceled"),"Out of Scope",IF($M916="Blocked","Blocked",IF(AND($T916&lt;&gt;"Fixed – Retest Passed",OR(LEN(TRIM($O916))&gt;0,LEN(TRIM($P916))&gt;0)),IF(AND(OR($L916="Medium",$L916="Low"),SUMPRODUCT((Cards!$A$4:$A$1000&lt;&gt;"")*ISNUMBER(SEARCH($A916,Cards!$E$4:$E$1000))*(Cards!$F$4:$F$1000&lt;&gt;"Medium")*(Cards!$F$4:$F$1000&lt;&gt;"Low"))=0),"Conditionally Passed","Failed"),IF($M916="Done","Passed","Not Run")))))</f>
        <v/>
      </c>
      <c r="Y916" s="27" t="str" cm="1">
        <f t="array" ref="Y916">IF($A916="","",IF(TRIM($B916)="","-",IFERROR(_xlfn.TEXTJOIN(" / ",TRUE,_xlfn.UNIQUE(_xlfn._xlws.FILTER('Ownership Matrix'!$C$5:$C$200,('Ownership Matrix'!$A$5:$A$200=TRIM($B916))*('Ownership Matrix'!$C$5:$C$200&lt;&gt;"")))),"ไม่พบใน Ownership Matrix")))</f>
        <v/>
      </c>
      <c r="Z916" s="31" t="str">
        <f>IF(NOT(AND($A916&lt;&gt;"",$M916&lt;&gt;"Out of Scope",$M916&lt;&gt;"Canceled",$T916&lt;&gt;"Fixed – Retest Passed",OR(LEN(TRIM($O916))&gt;0,LEN(TRIM($P916))&gt;0))),"",IF(OR($W916="Failed",$R916="Urgent",$R916="High",$R916="ระบุ Severity + Impact"),IF(COUNTIFS(Dashboard!$B$105:$B$124,$O916,Dashboard!$I$105:$I$124,"CAB")&gt;0,"Accepted (CF)","Blocking"),"Deferrable"))</f>
        <v/>
      </c>
    </row>
    <row r="917" spans="7:26" x14ac:dyDescent="0.3">
      <c r="G917" s="27" t="str" cm="1">
        <f t="array" ref="G917">IF($A917="","",IFERROR(_xlfn.TEXTJOIN(CHAR(10)&amp;CHAR(10),TRUE,_xlfn._xlws.FILTER("•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"&amp;Cards!$L$4:$L$1000),(Cards!$A$4:$A$1000&lt;&gt;"")*ISNUMBER(SEARCH($A917,Cards!$E$4:$E$1000)))),"-"))</f>
        <v/>
      </c>
      <c r="Q917" s="30"/>
      <c r="R917" s="27" t="str">
        <f>IF(OR($A917="",LEN(TRIM($O917))=0),"",IF(OR($P917="",$Q917=""),"ระบุ Severity + Impact",IFERROR(INDEX({"Urgent","Urgent","High","High";"Urgent","High","High","Medium";"High","High","Medium","Medium";"Medium","Medium","Low","Low"},MATCH($P917,{"Critical","High","Medium","Low"},0),MATCH($Q917,{"Extensive","Significant","Moderate","Minor"},0)),"-")))</f>
        <v/>
      </c>
      <c r="S917" s="30"/>
      <c r="T917" s="30"/>
      <c r="W917" s="32" t="str">
        <f>IF($A917="","",IF(OR($M917="Out of Scope",$M917="Canceled"),"Out of Scope",IF($M917="Blocked","Blocked",IF(AND($T917&lt;&gt;"Fixed – Retest Passed",OR(LEN(TRIM($O917))&gt;0,LEN(TRIM($P917))&gt;0)),IF(AND(OR($L917="Medium",$L917="Low"),SUMPRODUCT((Cards!$A$4:$A$1000&lt;&gt;"")*ISNUMBER(SEARCH($A917,Cards!$E$4:$E$1000))*(Cards!$F$4:$F$1000&lt;&gt;"Medium")*(Cards!$F$4:$F$1000&lt;&gt;"Low"))=0),"Conditionally Passed","Failed"),IF($M917="Done","Passed","Not Run")))))</f>
        <v/>
      </c>
      <c r="Y917" s="27" t="str" cm="1">
        <f t="array" ref="Y917">IF($A917="","",IF(TRIM($B917)="","-",IFERROR(_xlfn.TEXTJOIN(" / ",TRUE,_xlfn.UNIQUE(_xlfn._xlws.FILTER('Ownership Matrix'!$C$5:$C$200,('Ownership Matrix'!$A$5:$A$200=TRIM($B917))*('Ownership Matrix'!$C$5:$C$200&lt;&gt;"")))),"ไม่พบใน Ownership Matrix")))</f>
        <v/>
      </c>
      <c r="Z917" s="31" t="str">
        <f>IF(NOT(AND($A917&lt;&gt;"",$M917&lt;&gt;"Out of Scope",$M917&lt;&gt;"Canceled",$T917&lt;&gt;"Fixed – Retest Passed",OR(LEN(TRIM($O917))&gt;0,LEN(TRIM($P917))&gt;0))),"",IF(OR($W917="Failed",$R917="Urgent",$R917="High",$R917="ระบุ Severity + Impact"),IF(COUNTIFS(Dashboard!$B$105:$B$124,$O917,Dashboard!$I$105:$I$124,"CAB")&gt;0,"Accepted (CF)","Blocking"),"Deferrable"))</f>
        <v/>
      </c>
    </row>
    <row r="918" spans="7:26" x14ac:dyDescent="0.3">
      <c r="G918" s="27" t="str" cm="1">
        <f t="array" ref="G918">IF($A918="","",IFERROR(_xlfn.TEXTJOIN(CHAR(10)&amp;CHAR(10),TRUE,_xlfn._xlws.FILTER("•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"&amp;Cards!$L$4:$L$1000),(Cards!$A$4:$A$1000&lt;&gt;"")*ISNUMBER(SEARCH($A918,Cards!$E$4:$E$1000)))),"-"))</f>
        <v/>
      </c>
      <c r="Q918" s="30"/>
      <c r="R918" s="27" t="str">
        <f>IF(OR($A918="",LEN(TRIM($O918))=0),"",IF(OR($P918="",$Q918=""),"ระบุ Severity + Impact",IFERROR(INDEX({"Urgent","Urgent","High","High";"Urgent","High","High","Medium";"High","High","Medium","Medium";"Medium","Medium","Low","Low"},MATCH($P918,{"Critical","High","Medium","Low"},0),MATCH($Q918,{"Extensive","Significant","Moderate","Minor"},0)),"-")))</f>
        <v/>
      </c>
      <c r="S918" s="30"/>
      <c r="T918" s="30"/>
      <c r="W918" s="32" t="str">
        <f>IF($A918="","",IF(OR($M918="Out of Scope",$M918="Canceled"),"Out of Scope",IF($M918="Blocked","Blocked",IF(AND($T918&lt;&gt;"Fixed – Retest Passed",OR(LEN(TRIM($O918))&gt;0,LEN(TRIM($P918))&gt;0)),IF(AND(OR($L918="Medium",$L918="Low"),SUMPRODUCT((Cards!$A$4:$A$1000&lt;&gt;"")*ISNUMBER(SEARCH($A918,Cards!$E$4:$E$1000))*(Cards!$F$4:$F$1000&lt;&gt;"Medium")*(Cards!$F$4:$F$1000&lt;&gt;"Low"))=0),"Conditionally Passed","Failed"),IF($M918="Done","Passed","Not Run")))))</f>
        <v/>
      </c>
      <c r="Y918" s="27" t="str" cm="1">
        <f t="array" ref="Y918">IF($A918="","",IF(TRIM($B918)="","-",IFERROR(_xlfn.TEXTJOIN(" / ",TRUE,_xlfn.UNIQUE(_xlfn._xlws.FILTER('Ownership Matrix'!$C$5:$C$200,('Ownership Matrix'!$A$5:$A$200=TRIM($B918))*('Ownership Matrix'!$C$5:$C$200&lt;&gt;"")))),"ไม่พบใน Ownership Matrix")))</f>
        <v/>
      </c>
      <c r="Z918" s="31" t="str">
        <f>IF(NOT(AND($A918&lt;&gt;"",$M918&lt;&gt;"Out of Scope",$M918&lt;&gt;"Canceled",$T918&lt;&gt;"Fixed – Retest Passed",OR(LEN(TRIM($O918))&gt;0,LEN(TRIM($P918))&gt;0))),"",IF(OR($W918="Failed",$R918="Urgent",$R918="High",$R918="ระบุ Severity + Impact"),IF(COUNTIFS(Dashboard!$B$105:$B$124,$O918,Dashboard!$I$105:$I$124,"CAB")&gt;0,"Accepted (CF)","Blocking"),"Deferrable"))</f>
        <v/>
      </c>
    </row>
    <row r="919" spans="7:26" x14ac:dyDescent="0.3">
      <c r="G919" s="27" t="str" cm="1">
        <f t="array" ref="G919">IF($A919="","",IFERROR(_xlfn.TEXTJOIN(CHAR(10)&amp;CHAR(10),TRUE,_xlfn._xlws.FILTER("•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"&amp;Cards!$L$4:$L$1000),(Cards!$A$4:$A$1000&lt;&gt;"")*ISNUMBER(SEARCH($A919,Cards!$E$4:$E$1000)))),"-"))</f>
        <v/>
      </c>
      <c r="Q919" s="30"/>
      <c r="R919" s="27" t="str">
        <f>IF(OR($A919="",LEN(TRIM($O919))=0),"",IF(OR($P919="",$Q919=""),"ระบุ Severity + Impact",IFERROR(INDEX({"Urgent","Urgent","High","High";"Urgent","High","High","Medium";"High","High","Medium","Medium";"Medium","Medium","Low","Low"},MATCH($P919,{"Critical","High","Medium","Low"},0),MATCH($Q919,{"Extensive","Significant","Moderate","Minor"},0)),"-")))</f>
        <v/>
      </c>
      <c r="S919" s="30"/>
      <c r="T919" s="30"/>
      <c r="W919" s="32" t="str">
        <f>IF($A919="","",IF(OR($M919="Out of Scope",$M919="Canceled"),"Out of Scope",IF($M919="Blocked","Blocked",IF(AND($T919&lt;&gt;"Fixed – Retest Passed",OR(LEN(TRIM($O919))&gt;0,LEN(TRIM($P919))&gt;0)),IF(AND(OR($L919="Medium",$L919="Low"),SUMPRODUCT((Cards!$A$4:$A$1000&lt;&gt;"")*ISNUMBER(SEARCH($A919,Cards!$E$4:$E$1000))*(Cards!$F$4:$F$1000&lt;&gt;"Medium")*(Cards!$F$4:$F$1000&lt;&gt;"Low"))=0),"Conditionally Passed","Failed"),IF($M919="Done","Passed","Not Run")))))</f>
        <v/>
      </c>
      <c r="Y919" s="27" t="str" cm="1">
        <f t="array" ref="Y919">IF($A919="","",IF(TRIM($B919)="","-",IFERROR(_xlfn.TEXTJOIN(" / ",TRUE,_xlfn.UNIQUE(_xlfn._xlws.FILTER('Ownership Matrix'!$C$5:$C$200,('Ownership Matrix'!$A$5:$A$200=TRIM($B919))*('Ownership Matrix'!$C$5:$C$200&lt;&gt;"")))),"ไม่พบใน Ownership Matrix")))</f>
        <v/>
      </c>
      <c r="Z919" s="31" t="str">
        <f>IF(NOT(AND($A919&lt;&gt;"",$M919&lt;&gt;"Out of Scope",$M919&lt;&gt;"Canceled",$T919&lt;&gt;"Fixed – Retest Passed",OR(LEN(TRIM($O919))&gt;0,LEN(TRIM($P919))&gt;0))),"",IF(OR($W919="Failed",$R919="Urgent",$R919="High",$R919="ระบุ Severity + Impact"),IF(COUNTIFS(Dashboard!$B$105:$B$124,$O919,Dashboard!$I$105:$I$124,"CAB")&gt;0,"Accepted (CF)","Blocking"),"Deferrable"))</f>
        <v/>
      </c>
    </row>
    <row r="920" spans="7:26" x14ac:dyDescent="0.3">
      <c r="G920" s="27" t="str" cm="1">
        <f t="array" ref="G920">IF($A920="","",IFERROR(_xlfn.TEXTJOIN(CHAR(10)&amp;CHAR(10),TRUE,_xlfn._xlws.FILTER("•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"&amp;Cards!$L$4:$L$1000),(Cards!$A$4:$A$1000&lt;&gt;"")*ISNUMBER(SEARCH($A920,Cards!$E$4:$E$1000)))),"-"))</f>
        <v/>
      </c>
      <c r="Q920" s="30"/>
      <c r="R920" s="27" t="str">
        <f>IF(OR($A920="",LEN(TRIM($O920))=0),"",IF(OR($P920="",$Q920=""),"ระบุ Severity + Impact",IFERROR(INDEX({"Urgent","Urgent","High","High";"Urgent","High","High","Medium";"High","High","Medium","Medium";"Medium","Medium","Low","Low"},MATCH($P920,{"Critical","High","Medium","Low"},0),MATCH($Q920,{"Extensive","Significant","Moderate","Minor"},0)),"-")))</f>
        <v/>
      </c>
      <c r="S920" s="30"/>
      <c r="T920" s="30"/>
      <c r="W920" s="32" t="str">
        <f>IF($A920="","",IF(OR($M920="Out of Scope",$M920="Canceled"),"Out of Scope",IF($M920="Blocked","Blocked",IF(AND($T920&lt;&gt;"Fixed – Retest Passed",OR(LEN(TRIM($O920))&gt;0,LEN(TRIM($P920))&gt;0)),IF(AND(OR($L920="Medium",$L920="Low"),SUMPRODUCT((Cards!$A$4:$A$1000&lt;&gt;"")*ISNUMBER(SEARCH($A920,Cards!$E$4:$E$1000))*(Cards!$F$4:$F$1000&lt;&gt;"Medium")*(Cards!$F$4:$F$1000&lt;&gt;"Low"))=0),"Conditionally Passed","Failed"),IF($M920="Done","Passed","Not Run")))))</f>
        <v/>
      </c>
      <c r="Y920" s="27" t="str" cm="1">
        <f t="array" ref="Y920">IF($A920="","",IF(TRIM($B920)="","-",IFERROR(_xlfn.TEXTJOIN(" / ",TRUE,_xlfn.UNIQUE(_xlfn._xlws.FILTER('Ownership Matrix'!$C$5:$C$200,('Ownership Matrix'!$A$5:$A$200=TRIM($B920))*('Ownership Matrix'!$C$5:$C$200&lt;&gt;"")))),"ไม่พบใน Ownership Matrix")))</f>
        <v/>
      </c>
      <c r="Z920" s="31" t="str">
        <f>IF(NOT(AND($A920&lt;&gt;"",$M920&lt;&gt;"Out of Scope",$M920&lt;&gt;"Canceled",$T920&lt;&gt;"Fixed – Retest Passed",OR(LEN(TRIM($O920))&gt;0,LEN(TRIM($P920))&gt;0))),"",IF(OR($W920="Failed",$R920="Urgent",$R920="High",$R920="ระบุ Severity + Impact"),IF(COUNTIFS(Dashboard!$B$105:$B$124,$O920,Dashboard!$I$105:$I$124,"CAB")&gt;0,"Accepted (CF)","Blocking"),"Deferrable"))</f>
        <v/>
      </c>
    </row>
    <row r="921" spans="7:26" x14ac:dyDescent="0.3">
      <c r="G921" s="27" t="str" cm="1">
        <f t="array" ref="G921">IF($A921="","",IFERROR(_xlfn.TEXTJOIN(CHAR(10)&amp;CHAR(10),TRUE,_xlfn._xlws.FILTER("•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"&amp;Cards!$L$4:$L$1000),(Cards!$A$4:$A$1000&lt;&gt;"")*ISNUMBER(SEARCH($A921,Cards!$E$4:$E$1000)))),"-"))</f>
        <v/>
      </c>
      <c r="Q921" s="30"/>
      <c r="R921" s="27" t="str">
        <f>IF(OR($A921="",LEN(TRIM($O921))=0),"",IF(OR($P921="",$Q921=""),"ระบุ Severity + Impact",IFERROR(INDEX({"Urgent","Urgent","High","High";"Urgent","High","High","Medium";"High","High","Medium","Medium";"Medium","Medium","Low","Low"},MATCH($P921,{"Critical","High","Medium","Low"},0),MATCH($Q921,{"Extensive","Significant","Moderate","Minor"},0)),"-")))</f>
        <v/>
      </c>
      <c r="S921" s="30"/>
      <c r="T921" s="30"/>
      <c r="W921" s="32" t="str">
        <f>IF($A921="","",IF(OR($M921="Out of Scope",$M921="Canceled"),"Out of Scope",IF($M921="Blocked","Blocked",IF(AND($T921&lt;&gt;"Fixed – Retest Passed",OR(LEN(TRIM($O921))&gt;0,LEN(TRIM($P921))&gt;0)),IF(AND(OR($L921="Medium",$L921="Low"),SUMPRODUCT((Cards!$A$4:$A$1000&lt;&gt;"")*ISNUMBER(SEARCH($A921,Cards!$E$4:$E$1000))*(Cards!$F$4:$F$1000&lt;&gt;"Medium")*(Cards!$F$4:$F$1000&lt;&gt;"Low"))=0),"Conditionally Passed","Failed"),IF($M921="Done","Passed","Not Run")))))</f>
        <v/>
      </c>
      <c r="Y921" s="27" t="str" cm="1">
        <f t="array" ref="Y921">IF($A921="","",IF(TRIM($B921)="","-",IFERROR(_xlfn.TEXTJOIN(" / ",TRUE,_xlfn.UNIQUE(_xlfn._xlws.FILTER('Ownership Matrix'!$C$5:$C$200,('Ownership Matrix'!$A$5:$A$200=TRIM($B921))*('Ownership Matrix'!$C$5:$C$200&lt;&gt;"")))),"ไม่พบใน Ownership Matrix")))</f>
        <v/>
      </c>
      <c r="Z921" s="31" t="str">
        <f>IF(NOT(AND($A921&lt;&gt;"",$M921&lt;&gt;"Out of Scope",$M921&lt;&gt;"Canceled",$T921&lt;&gt;"Fixed – Retest Passed",OR(LEN(TRIM($O921))&gt;0,LEN(TRIM($P921))&gt;0))),"",IF(OR($W921="Failed",$R921="Urgent",$R921="High",$R921="ระบุ Severity + Impact"),IF(COUNTIFS(Dashboard!$B$105:$B$124,$O921,Dashboard!$I$105:$I$124,"CAB")&gt;0,"Accepted (CF)","Blocking"),"Deferrable"))</f>
        <v/>
      </c>
    </row>
    <row r="922" spans="7:26" x14ac:dyDescent="0.3">
      <c r="G922" s="27" t="str" cm="1">
        <f t="array" ref="G922">IF($A922="","",IFERROR(_xlfn.TEXTJOIN(CHAR(10)&amp;CHAR(10),TRUE,_xlfn._xlws.FILTER("•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"&amp;Cards!$L$4:$L$1000),(Cards!$A$4:$A$1000&lt;&gt;"")*ISNUMBER(SEARCH($A922,Cards!$E$4:$E$1000)))),"-"))</f>
        <v/>
      </c>
      <c r="Q922" s="30"/>
      <c r="R922" s="27" t="str">
        <f>IF(OR($A922="",LEN(TRIM($O922))=0),"",IF(OR($P922="",$Q922=""),"ระบุ Severity + Impact",IFERROR(INDEX({"Urgent","Urgent","High","High";"Urgent","High","High","Medium";"High","High","Medium","Medium";"Medium","Medium","Low","Low"},MATCH($P922,{"Critical","High","Medium","Low"},0),MATCH($Q922,{"Extensive","Significant","Moderate","Minor"},0)),"-")))</f>
        <v/>
      </c>
      <c r="S922" s="30"/>
      <c r="T922" s="30"/>
      <c r="W922" s="32" t="str">
        <f>IF($A922="","",IF(OR($M922="Out of Scope",$M922="Canceled"),"Out of Scope",IF($M922="Blocked","Blocked",IF(AND($T922&lt;&gt;"Fixed – Retest Passed",OR(LEN(TRIM($O922))&gt;0,LEN(TRIM($P922))&gt;0)),IF(AND(OR($L922="Medium",$L922="Low"),SUMPRODUCT((Cards!$A$4:$A$1000&lt;&gt;"")*ISNUMBER(SEARCH($A922,Cards!$E$4:$E$1000))*(Cards!$F$4:$F$1000&lt;&gt;"Medium")*(Cards!$F$4:$F$1000&lt;&gt;"Low"))=0),"Conditionally Passed","Failed"),IF($M922="Done","Passed","Not Run")))))</f>
        <v/>
      </c>
      <c r="Y922" s="27" t="str" cm="1">
        <f t="array" ref="Y922">IF($A922="","",IF(TRIM($B922)="","-",IFERROR(_xlfn.TEXTJOIN(" / ",TRUE,_xlfn.UNIQUE(_xlfn._xlws.FILTER('Ownership Matrix'!$C$5:$C$200,('Ownership Matrix'!$A$5:$A$200=TRIM($B922))*('Ownership Matrix'!$C$5:$C$200&lt;&gt;"")))),"ไม่พบใน Ownership Matrix")))</f>
        <v/>
      </c>
      <c r="Z922" s="31" t="str">
        <f>IF(NOT(AND($A922&lt;&gt;"",$M922&lt;&gt;"Out of Scope",$M922&lt;&gt;"Canceled",$T922&lt;&gt;"Fixed – Retest Passed",OR(LEN(TRIM($O922))&gt;0,LEN(TRIM($P922))&gt;0))),"",IF(OR($W922="Failed",$R922="Urgent",$R922="High",$R922="ระบุ Severity + Impact"),IF(COUNTIFS(Dashboard!$B$105:$B$124,$O922,Dashboard!$I$105:$I$124,"CAB")&gt;0,"Accepted (CF)","Blocking"),"Deferrable"))</f>
        <v/>
      </c>
    </row>
    <row r="923" spans="7:26" x14ac:dyDescent="0.3">
      <c r="G923" s="27" t="str" cm="1">
        <f t="array" ref="G923">IF($A923="","",IFERROR(_xlfn.TEXTJOIN(CHAR(10)&amp;CHAR(10),TRUE,_xlfn._xlws.FILTER("•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"&amp;Cards!$L$4:$L$1000),(Cards!$A$4:$A$1000&lt;&gt;"")*ISNUMBER(SEARCH($A923,Cards!$E$4:$E$1000)))),"-"))</f>
        <v/>
      </c>
      <c r="Q923" s="30"/>
      <c r="R923" s="27" t="str">
        <f>IF(OR($A923="",LEN(TRIM($O923))=0),"",IF(OR($P923="",$Q923=""),"ระบุ Severity + Impact",IFERROR(INDEX({"Urgent","Urgent","High","High";"Urgent","High","High","Medium";"High","High","Medium","Medium";"Medium","Medium","Low","Low"},MATCH($P923,{"Critical","High","Medium","Low"},0),MATCH($Q923,{"Extensive","Significant","Moderate","Minor"},0)),"-")))</f>
        <v/>
      </c>
      <c r="S923" s="30"/>
      <c r="T923" s="30"/>
      <c r="W923" s="32" t="str">
        <f>IF($A923="","",IF(OR($M923="Out of Scope",$M923="Canceled"),"Out of Scope",IF($M923="Blocked","Blocked",IF(AND($T923&lt;&gt;"Fixed – Retest Passed",OR(LEN(TRIM($O923))&gt;0,LEN(TRIM($P923))&gt;0)),IF(AND(OR($L923="Medium",$L923="Low"),SUMPRODUCT((Cards!$A$4:$A$1000&lt;&gt;"")*ISNUMBER(SEARCH($A923,Cards!$E$4:$E$1000))*(Cards!$F$4:$F$1000&lt;&gt;"Medium")*(Cards!$F$4:$F$1000&lt;&gt;"Low"))=0),"Conditionally Passed","Failed"),IF($M923="Done","Passed","Not Run")))))</f>
        <v/>
      </c>
      <c r="Y923" s="27" t="str" cm="1">
        <f t="array" ref="Y923">IF($A923="","",IF(TRIM($B923)="","-",IFERROR(_xlfn.TEXTJOIN(" / ",TRUE,_xlfn.UNIQUE(_xlfn._xlws.FILTER('Ownership Matrix'!$C$5:$C$200,('Ownership Matrix'!$A$5:$A$200=TRIM($B923))*('Ownership Matrix'!$C$5:$C$200&lt;&gt;"")))),"ไม่พบใน Ownership Matrix")))</f>
        <v/>
      </c>
      <c r="Z923" s="31" t="str">
        <f>IF(NOT(AND($A923&lt;&gt;"",$M923&lt;&gt;"Out of Scope",$M923&lt;&gt;"Canceled",$T923&lt;&gt;"Fixed – Retest Passed",OR(LEN(TRIM($O923))&gt;0,LEN(TRIM($P923))&gt;0))),"",IF(OR($W923="Failed",$R923="Urgent",$R923="High",$R923="ระบุ Severity + Impact"),IF(COUNTIFS(Dashboard!$B$105:$B$124,$O923,Dashboard!$I$105:$I$124,"CAB")&gt;0,"Accepted (CF)","Blocking"),"Deferrable"))</f>
        <v/>
      </c>
    </row>
    <row r="924" spans="7:26" x14ac:dyDescent="0.3">
      <c r="G924" s="27" t="str" cm="1">
        <f t="array" ref="G924">IF($A924="","",IFERROR(_xlfn.TEXTJOIN(CHAR(10)&amp;CHAR(10),TRUE,_xlfn._xlws.FILTER("•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"&amp;Cards!$L$4:$L$1000),(Cards!$A$4:$A$1000&lt;&gt;"")*ISNUMBER(SEARCH($A924,Cards!$E$4:$E$1000)))),"-"))</f>
        <v/>
      </c>
      <c r="Q924" s="30"/>
      <c r="R924" s="27" t="str">
        <f>IF(OR($A924="",LEN(TRIM($O924))=0),"",IF(OR($P924="",$Q924=""),"ระบุ Severity + Impact",IFERROR(INDEX({"Urgent","Urgent","High","High";"Urgent","High","High","Medium";"High","High","Medium","Medium";"Medium","Medium","Low","Low"},MATCH($P924,{"Critical","High","Medium","Low"},0),MATCH($Q924,{"Extensive","Significant","Moderate","Minor"},0)),"-")))</f>
        <v/>
      </c>
      <c r="S924" s="30"/>
      <c r="T924" s="30"/>
      <c r="W924" s="32" t="str">
        <f>IF($A924="","",IF(OR($M924="Out of Scope",$M924="Canceled"),"Out of Scope",IF($M924="Blocked","Blocked",IF(AND($T924&lt;&gt;"Fixed – Retest Passed",OR(LEN(TRIM($O924))&gt;0,LEN(TRIM($P924))&gt;0)),IF(AND(OR($L924="Medium",$L924="Low"),SUMPRODUCT((Cards!$A$4:$A$1000&lt;&gt;"")*ISNUMBER(SEARCH($A924,Cards!$E$4:$E$1000))*(Cards!$F$4:$F$1000&lt;&gt;"Medium")*(Cards!$F$4:$F$1000&lt;&gt;"Low"))=0),"Conditionally Passed","Failed"),IF($M924="Done","Passed","Not Run")))))</f>
        <v/>
      </c>
      <c r="Y924" s="27" t="str" cm="1">
        <f t="array" ref="Y924">IF($A924="","",IF(TRIM($B924)="","-",IFERROR(_xlfn.TEXTJOIN(" / ",TRUE,_xlfn.UNIQUE(_xlfn._xlws.FILTER('Ownership Matrix'!$C$5:$C$200,('Ownership Matrix'!$A$5:$A$200=TRIM($B924))*('Ownership Matrix'!$C$5:$C$200&lt;&gt;"")))),"ไม่พบใน Ownership Matrix")))</f>
        <v/>
      </c>
      <c r="Z924" s="31" t="str">
        <f>IF(NOT(AND($A924&lt;&gt;"",$M924&lt;&gt;"Out of Scope",$M924&lt;&gt;"Canceled",$T924&lt;&gt;"Fixed – Retest Passed",OR(LEN(TRIM($O924))&gt;0,LEN(TRIM($P924))&gt;0))),"",IF(OR($W924="Failed",$R924="Urgent",$R924="High",$R924="ระบุ Severity + Impact"),IF(COUNTIFS(Dashboard!$B$105:$B$124,$O924,Dashboard!$I$105:$I$124,"CAB")&gt;0,"Accepted (CF)","Blocking"),"Deferrable"))</f>
        <v/>
      </c>
    </row>
    <row r="925" spans="7:26" x14ac:dyDescent="0.3">
      <c r="G925" s="27" t="str" cm="1">
        <f t="array" ref="G925">IF($A925="","",IFERROR(_xlfn.TEXTJOIN(CHAR(10)&amp;CHAR(10),TRUE,_xlfn._xlws.FILTER("•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"&amp;Cards!$L$4:$L$1000),(Cards!$A$4:$A$1000&lt;&gt;"")*ISNUMBER(SEARCH($A925,Cards!$E$4:$E$1000)))),"-"))</f>
        <v/>
      </c>
      <c r="Q925" s="30"/>
      <c r="R925" s="27" t="str">
        <f>IF(OR($A925="",LEN(TRIM($O925))=0),"",IF(OR($P925="",$Q925=""),"ระบุ Severity + Impact",IFERROR(INDEX({"Urgent","Urgent","High","High";"Urgent","High","High","Medium";"High","High","Medium","Medium";"Medium","Medium","Low","Low"},MATCH($P925,{"Critical","High","Medium","Low"},0),MATCH($Q925,{"Extensive","Significant","Moderate","Minor"},0)),"-")))</f>
        <v/>
      </c>
      <c r="S925" s="30"/>
      <c r="T925" s="30"/>
      <c r="W925" s="32" t="str">
        <f>IF($A925="","",IF(OR($M925="Out of Scope",$M925="Canceled"),"Out of Scope",IF($M925="Blocked","Blocked",IF(AND($T925&lt;&gt;"Fixed – Retest Passed",OR(LEN(TRIM($O925))&gt;0,LEN(TRIM($P925))&gt;0)),IF(AND(OR($L925="Medium",$L925="Low"),SUMPRODUCT((Cards!$A$4:$A$1000&lt;&gt;"")*ISNUMBER(SEARCH($A925,Cards!$E$4:$E$1000))*(Cards!$F$4:$F$1000&lt;&gt;"Medium")*(Cards!$F$4:$F$1000&lt;&gt;"Low"))=0),"Conditionally Passed","Failed"),IF($M925="Done","Passed","Not Run")))))</f>
        <v/>
      </c>
      <c r="Y925" s="27" t="str" cm="1">
        <f t="array" ref="Y925">IF($A925="","",IF(TRIM($B925)="","-",IFERROR(_xlfn.TEXTJOIN(" / ",TRUE,_xlfn.UNIQUE(_xlfn._xlws.FILTER('Ownership Matrix'!$C$5:$C$200,('Ownership Matrix'!$A$5:$A$200=TRIM($B925))*('Ownership Matrix'!$C$5:$C$200&lt;&gt;"")))),"ไม่พบใน Ownership Matrix")))</f>
        <v/>
      </c>
      <c r="Z925" s="31" t="str">
        <f>IF(NOT(AND($A925&lt;&gt;"",$M925&lt;&gt;"Out of Scope",$M925&lt;&gt;"Canceled",$T925&lt;&gt;"Fixed – Retest Passed",OR(LEN(TRIM($O925))&gt;0,LEN(TRIM($P925))&gt;0))),"",IF(OR($W925="Failed",$R925="Urgent",$R925="High",$R925="ระบุ Severity + Impact"),IF(COUNTIFS(Dashboard!$B$105:$B$124,$O925,Dashboard!$I$105:$I$124,"CAB")&gt;0,"Accepted (CF)","Blocking"),"Deferrable"))</f>
        <v/>
      </c>
    </row>
    <row r="926" spans="7:26" x14ac:dyDescent="0.3">
      <c r="G926" s="27" t="str" cm="1">
        <f t="array" ref="G926">IF($A926="","",IFERROR(_xlfn.TEXTJOIN(CHAR(10)&amp;CHAR(10),TRUE,_xlfn._xlws.FILTER("•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"&amp;Cards!$L$4:$L$1000),(Cards!$A$4:$A$1000&lt;&gt;"")*ISNUMBER(SEARCH($A926,Cards!$E$4:$E$1000)))),"-"))</f>
        <v/>
      </c>
      <c r="Q926" s="30"/>
      <c r="R926" s="27" t="str">
        <f>IF(OR($A926="",LEN(TRIM($O926))=0),"",IF(OR($P926="",$Q926=""),"ระบุ Severity + Impact",IFERROR(INDEX({"Urgent","Urgent","High","High";"Urgent","High","High","Medium";"High","High","Medium","Medium";"Medium","Medium","Low","Low"},MATCH($P926,{"Critical","High","Medium","Low"},0),MATCH($Q926,{"Extensive","Significant","Moderate","Minor"},0)),"-")))</f>
        <v/>
      </c>
      <c r="S926" s="30"/>
      <c r="T926" s="30"/>
      <c r="W926" s="32" t="str">
        <f>IF($A926="","",IF(OR($M926="Out of Scope",$M926="Canceled"),"Out of Scope",IF($M926="Blocked","Blocked",IF(AND($T926&lt;&gt;"Fixed – Retest Passed",OR(LEN(TRIM($O926))&gt;0,LEN(TRIM($P926))&gt;0)),IF(AND(OR($L926="Medium",$L926="Low"),SUMPRODUCT((Cards!$A$4:$A$1000&lt;&gt;"")*ISNUMBER(SEARCH($A926,Cards!$E$4:$E$1000))*(Cards!$F$4:$F$1000&lt;&gt;"Medium")*(Cards!$F$4:$F$1000&lt;&gt;"Low"))=0),"Conditionally Passed","Failed"),IF($M926="Done","Passed","Not Run")))))</f>
        <v/>
      </c>
      <c r="Y926" s="27" t="str" cm="1">
        <f t="array" ref="Y926">IF($A926="","",IF(TRIM($B926)="","-",IFERROR(_xlfn.TEXTJOIN(" / ",TRUE,_xlfn.UNIQUE(_xlfn._xlws.FILTER('Ownership Matrix'!$C$5:$C$200,('Ownership Matrix'!$A$5:$A$200=TRIM($B926))*('Ownership Matrix'!$C$5:$C$200&lt;&gt;"")))),"ไม่พบใน Ownership Matrix")))</f>
        <v/>
      </c>
      <c r="Z926" s="31" t="str">
        <f>IF(NOT(AND($A926&lt;&gt;"",$M926&lt;&gt;"Out of Scope",$M926&lt;&gt;"Canceled",$T926&lt;&gt;"Fixed – Retest Passed",OR(LEN(TRIM($O926))&gt;0,LEN(TRIM($P926))&gt;0))),"",IF(OR($W926="Failed",$R926="Urgent",$R926="High",$R926="ระบุ Severity + Impact"),IF(COUNTIFS(Dashboard!$B$105:$B$124,$O926,Dashboard!$I$105:$I$124,"CAB")&gt;0,"Accepted (CF)","Blocking"),"Deferrable"))</f>
        <v/>
      </c>
    </row>
    <row r="927" spans="7:26" x14ac:dyDescent="0.3">
      <c r="G927" s="27" t="str" cm="1">
        <f t="array" ref="G927">IF($A927="","",IFERROR(_xlfn.TEXTJOIN(CHAR(10)&amp;CHAR(10),TRUE,_xlfn._xlws.FILTER("•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"&amp;Cards!$L$4:$L$1000),(Cards!$A$4:$A$1000&lt;&gt;"")*ISNUMBER(SEARCH($A927,Cards!$E$4:$E$1000)))),"-"))</f>
        <v/>
      </c>
      <c r="Q927" s="30"/>
      <c r="R927" s="27" t="str">
        <f>IF(OR($A927="",LEN(TRIM($O927))=0),"",IF(OR($P927="",$Q927=""),"ระบุ Severity + Impact",IFERROR(INDEX({"Urgent","Urgent","High","High";"Urgent","High","High","Medium";"High","High","Medium","Medium";"Medium","Medium","Low","Low"},MATCH($P927,{"Critical","High","Medium","Low"},0),MATCH($Q927,{"Extensive","Significant","Moderate","Minor"},0)),"-")))</f>
        <v/>
      </c>
      <c r="S927" s="30"/>
      <c r="T927" s="30"/>
      <c r="W927" s="32" t="str">
        <f>IF($A927="","",IF(OR($M927="Out of Scope",$M927="Canceled"),"Out of Scope",IF($M927="Blocked","Blocked",IF(AND($T927&lt;&gt;"Fixed – Retest Passed",OR(LEN(TRIM($O927))&gt;0,LEN(TRIM($P927))&gt;0)),IF(AND(OR($L927="Medium",$L927="Low"),SUMPRODUCT((Cards!$A$4:$A$1000&lt;&gt;"")*ISNUMBER(SEARCH($A927,Cards!$E$4:$E$1000))*(Cards!$F$4:$F$1000&lt;&gt;"Medium")*(Cards!$F$4:$F$1000&lt;&gt;"Low"))=0),"Conditionally Passed","Failed"),IF($M927="Done","Passed","Not Run")))))</f>
        <v/>
      </c>
      <c r="Y927" s="27" t="str" cm="1">
        <f t="array" ref="Y927">IF($A927="","",IF(TRIM($B927)="","-",IFERROR(_xlfn.TEXTJOIN(" / ",TRUE,_xlfn.UNIQUE(_xlfn._xlws.FILTER('Ownership Matrix'!$C$5:$C$200,('Ownership Matrix'!$A$5:$A$200=TRIM($B927))*('Ownership Matrix'!$C$5:$C$200&lt;&gt;"")))),"ไม่พบใน Ownership Matrix")))</f>
        <v/>
      </c>
      <c r="Z927" s="31" t="str">
        <f>IF(NOT(AND($A927&lt;&gt;"",$M927&lt;&gt;"Out of Scope",$M927&lt;&gt;"Canceled",$T927&lt;&gt;"Fixed – Retest Passed",OR(LEN(TRIM($O927))&gt;0,LEN(TRIM($P927))&gt;0))),"",IF(OR($W927="Failed",$R927="Urgent",$R927="High",$R927="ระบุ Severity + Impact"),IF(COUNTIFS(Dashboard!$B$105:$B$124,$O927,Dashboard!$I$105:$I$124,"CAB")&gt;0,"Accepted (CF)","Blocking"),"Deferrable"))</f>
        <v/>
      </c>
    </row>
    <row r="928" spans="7:26" x14ac:dyDescent="0.3">
      <c r="G928" s="27" t="str" cm="1">
        <f t="array" ref="G928">IF($A928="","",IFERROR(_xlfn.TEXTJOIN(CHAR(10)&amp;CHAR(10),TRUE,_xlfn._xlws.FILTER("•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"&amp;Cards!$L$4:$L$1000),(Cards!$A$4:$A$1000&lt;&gt;"")*ISNUMBER(SEARCH($A928,Cards!$E$4:$E$1000)))),"-"))</f>
        <v/>
      </c>
      <c r="Q928" s="30"/>
      <c r="R928" s="27" t="str">
        <f>IF(OR($A928="",LEN(TRIM($O928))=0),"",IF(OR($P928="",$Q928=""),"ระบุ Severity + Impact",IFERROR(INDEX({"Urgent","Urgent","High","High";"Urgent","High","High","Medium";"High","High","Medium","Medium";"Medium","Medium","Low","Low"},MATCH($P928,{"Critical","High","Medium","Low"},0),MATCH($Q928,{"Extensive","Significant","Moderate","Minor"},0)),"-")))</f>
        <v/>
      </c>
      <c r="S928" s="30"/>
      <c r="T928" s="30"/>
      <c r="W928" s="32" t="str">
        <f>IF($A928="","",IF(OR($M928="Out of Scope",$M928="Canceled"),"Out of Scope",IF($M928="Blocked","Blocked",IF(AND($T928&lt;&gt;"Fixed – Retest Passed",OR(LEN(TRIM($O928))&gt;0,LEN(TRIM($P928))&gt;0)),IF(AND(OR($L928="Medium",$L928="Low"),SUMPRODUCT((Cards!$A$4:$A$1000&lt;&gt;"")*ISNUMBER(SEARCH($A928,Cards!$E$4:$E$1000))*(Cards!$F$4:$F$1000&lt;&gt;"Medium")*(Cards!$F$4:$F$1000&lt;&gt;"Low"))=0),"Conditionally Passed","Failed"),IF($M928="Done","Passed","Not Run")))))</f>
        <v/>
      </c>
      <c r="Y928" s="27" t="str" cm="1">
        <f t="array" ref="Y928">IF($A928="","",IF(TRIM($B928)="","-",IFERROR(_xlfn.TEXTJOIN(" / ",TRUE,_xlfn.UNIQUE(_xlfn._xlws.FILTER('Ownership Matrix'!$C$5:$C$200,('Ownership Matrix'!$A$5:$A$200=TRIM($B928))*('Ownership Matrix'!$C$5:$C$200&lt;&gt;"")))),"ไม่พบใน Ownership Matrix")))</f>
        <v/>
      </c>
      <c r="Z928" s="31" t="str">
        <f>IF(NOT(AND($A928&lt;&gt;"",$M928&lt;&gt;"Out of Scope",$M928&lt;&gt;"Canceled",$T928&lt;&gt;"Fixed – Retest Passed",OR(LEN(TRIM($O928))&gt;0,LEN(TRIM($P928))&gt;0))),"",IF(OR($W928="Failed",$R928="Urgent",$R928="High",$R928="ระบุ Severity + Impact"),IF(COUNTIFS(Dashboard!$B$105:$B$124,$O928,Dashboard!$I$105:$I$124,"CAB")&gt;0,"Accepted (CF)","Blocking"),"Deferrable"))</f>
        <v/>
      </c>
    </row>
    <row r="929" spans="7:26" x14ac:dyDescent="0.3">
      <c r="G929" s="27" t="str" cm="1">
        <f t="array" ref="G929">IF($A929="","",IFERROR(_xlfn.TEXTJOIN(CHAR(10)&amp;CHAR(10),TRUE,_xlfn._xlws.FILTER("•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"&amp;Cards!$L$4:$L$1000),(Cards!$A$4:$A$1000&lt;&gt;"")*ISNUMBER(SEARCH($A929,Cards!$E$4:$E$1000)))),"-"))</f>
        <v/>
      </c>
      <c r="Q929" s="30"/>
      <c r="R929" s="27" t="str">
        <f>IF(OR($A929="",LEN(TRIM($O929))=0),"",IF(OR($P929="",$Q929=""),"ระบุ Severity + Impact",IFERROR(INDEX({"Urgent","Urgent","High","High";"Urgent","High","High","Medium";"High","High","Medium","Medium";"Medium","Medium","Low","Low"},MATCH($P929,{"Critical","High","Medium","Low"},0),MATCH($Q929,{"Extensive","Significant","Moderate","Minor"},0)),"-")))</f>
        <v/>
      </c>
      <c r="S929" s="30"/>
      <c r="T929" s="30"/>
      <c r="W929" s="32" t="str">
        <f>IF($A929="","",IF(OR($M929="Out of Scope",$M929="Canceled"),"Out of Scope",IF($M929="Blocked","Blocked",IF(AND($T929&lt;&gt;"Fixed – Retest Passed",OR(LEN(TRIM($O929))&gt;0,LEN(TRIM($P929))&gt;0)),IF(AND(OR($L929="Medium",$L929="Low"),SUMPRODUCT((Cards!$A$4:$A$1000&lt;&gt;"")*ISNUMBER(SEARCH($A929,Cards!$E$4:$E$1000))*(Cards!$F$4:$F$1000&lt;&gt;"Medium")*(Cards!$F$4:$F$1000&lt;&gt;"Low"))=0),"Conditionally Passed","Failed"),IF($M929="Done","Passed","Not Run")))))</f>
        <v/>
      </c>
      <c r="Y929" s="27" t="str" cm="1">
        <f t="array" ref="Y929">IF($A929="","",IF(TRIM($B929)="","-",IFERROR(_xlfn.TEXTJOIN(" / ",TRUE,_xlfn.UNIQUE(_xlfn._xlws.FILTER('Ownership Matrix'!$C$5:$C$200,('Ownership Matrix'!$A$5:$A$200=TRIM($B929))*('Ownership Matrix'!$C$5:$C$200&lt;&gt;"")))),"ไม่พบใน Ownership Matrix")))</f>
        <v/>
      </c>
      <c r="Z929" s="31" t="str">
        <f>IF(NOT(AND($A929&lt;&gt;"",$M929&lt;&gt;"Out of Scope",$M929&lt;&gt;"Canceled",$T929&lt;&gt;"Fixed – Retest Passed",OR(LEN(TRIM($O929))&gt;0,LEN(TRIM($P929))&gt;0))),"",IF(OR($W929="Failed",$R929="Urgent",$R929="High",$R929="ระบุ Severity + Impact"),IF(COUNTIFS(Dashboard!$B$105:$B$124,$O929,Dashboard!$I$105:$I$124,"CAB")&gt;0,"Accepted (CF)","Blocking"),"Deferrable"))</f>
        <v/>
      </c>
    </row>
    <row r="930" spans="7:26" x14ac:dyDescent="0.3">
      <c r="G930" s="27" t="str" cm="1">
        <f t="array" ref="G930">IF($A930="","",IFERROR(_xlfn.TEXTJOIN(CHAR(10)&amp;CHAR(10),TRUE,_xlfn._xlws.FILTER("•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"&amp;Cards!$L$4:$L$1000),(Cards!$A$4:$A$1000&lt;&gt;"")*ISNUMBER(SEARCH($A930,Cards!$E$4:$E$1000)))),"-"))</f>
        <v/>
      </c>
      <c r="Q930" s="30"/>
      <c r="R930" s="27" t="str">
        <f>IF(OR($A930="",LEN(TRIM($O930))=0),"",IF(OR($P930="",$Q930=""),"ระบุ Severity + Impact",IFERROR(INDEX({"Urgent","Urgent","High","High";"Urgent","High","High","Medium";"High","High","Medium","Medium";"Medium","Medium","Low","Low"},MATCH($P930,{"Critical","High","Medium","Low"},0),MATCH($Q930,{"Extensive","Significant","Moderate","Minor"},0)),"-")))</f>
        <v/>
      </c>
      <c r="S930" s="30"/>
      <c r="T930" s="30"/>
      <c r="W930" s="32" t="str">
        <f>IF($A930="","",IF(OR($M930="Out of Scope",$M930="Canceled"),"Out of Scope",IF($M930="Blocked","Blocked",IF(AND($T930&lt;&gt;"Fixed – Retest Passed",OR(LEN(TRIM($O930))&gt;0,LEN(TRIM($P930))&gt;0)),IF(AND(OR($L930="Medium",$L930="Low"),SUMPRODUCT((Cards!$A$4:$A$1000&lt;&gt;"")*ISNUMBER(SEARCH($A930,Cards!$E$4:$E$1000))*(Cards!$F$4:$F$1000&lt;&gt;"Medium")*(Cards!$F$4:$F$1000&lt;&gt;"Low"))=0),"Conditionally Passed","Failed"),IF($M930="Done","Passed","Not Run")))))</f>
        <v/>
      </c>
      <c r="Y930" s="27" t="str" cm="1">
        <f t="array" ref="Y930">IF($A930="","",IF(TRIM($B930)="","-",IFERROR(_xlfn.TEXTJOIN(" / ",TRUE,_xlfn.UNIQUE(_xlfn._xlws.FILTER('Ownership Matrix'!$C$5:$C$200,('Ownership Matrix'!$A$5:$A$200=TRIM($B930))*('Ownership Matrix'!$C$5:$C$200&lt;&gt;"")))),"ไม่พบใน Ownership Matrix")))</f>
        <v/>
      </c>
      <c r="Z930" s="31" t="str">
        <f>IF(NOT(AND($A930&lt;&gt;"",$M930&lt;&gt;"Out of Scope",$M930&lt;&gt;"Canceled",$T930&lt;&gt;"Fixed – Retest Passed",OR(LEN(TRIM($O930))&gt;0,LEN(TRIM($P930))&gt;0))),"",IF(OR($W930="Failed",$R930="Urgent",$R930="High",$R930="ระบุ Severity + Impact"),IF(COUNTIFS(Dashboard!$B$105:$B$124,$O930,Dashboard!$I$105:$I$124,"CAB")&gt;0,"Accepted (CF)","Blocking"),"Deferrable"))</f>
        <v/>
      </c>
    </row>
    <row r="931" spans="7:26" x14ac:dyDescent="0.3">
      <c r="G931" s="27" t="str" cm="1">
        <f t="array" ref="G931">IF($A931="","",IFERROR(_xlfn.TEXTJOIN(CHAR(10)&amp;CHAR(10),TRUE,_xlfn._xlws.FILTER("•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"&amp;Cards!$L$4:$L$1000),(Cards!$A$4:$A$1000&lt;&gt;"")*ISNUMBER(SEARCH($A931,Cards!$E$4:$E$1000)))),"-"))</f>
        <v/>
      </c>
      <c r="Q931" s="30"/>
      <c r="R931" s="27" t="str">
        <f>IF(OR($A931="",LEN(TRIM($O931))=0),"",IF(OR($P931="",$Q931=""),"ระบุ Severity + Impact",IFERROR(INDEX({"Urgent","Urgent","High","High";"Urgent","High","High","Medium";"High","High","Medium","Medium";"Medium","Medium","Low","Low"},MATCH($P931,{"Critical","High","Medium","Low"},0),MATCH($Q931,{"Extensive","Significant","Moderate","Minor"},0)),"-")))</f>
        <v/>
      </c>
      <c r="S931" s="30"/>
      <c r="T931" s="30"/>
      <c r="W931" s="32" t="str">
        <f>IF($A931="","",IF(OR($M931="Out of Scope",$M931="Canceled"),"Out of Scope",IF($M931="Blocked","Blocked",IF(AND($T931&lt;&gt;"Fixed – Retest Passed",OR(LEN(TRIM($O931))&gt;0,LEN(TRIM($P931))&gt;0)),IF(AND(OR($L931="Medium",$L931="Low"),SUMPRODUCT((Cards!$A$4:$A$1000&lt;&gt;"")*ISNUMBER(SEARCH($A931,Cards!$E$4:$E$1000))*(Cards!$F$4:$F$1000&lt;&gt;"Medium")*(Cards!$F$4:$F$1000&lt;&gt;"Low"))=0),"Conditionally Passed","Failed"),IF($M931="Done","Passed","Not Run")))))</f>
        <v/>
      </c>
      <c r="Y931" s="27" t="str" cm="1">
        <f t="array" ref="Y931">IF($A931="","",IF(TRIM($B931)="","-",IFERROR(_xlfn.TEXTJOIN(" / ",TRUE,_xlfn.UNIQUE(_xlfn._xlws.FILTER('Ownership Matrix'!$C$5:$C$200,('Ownership Matrix'!$A$5:$A$200=TRIM($B931))*('Ownership Matrix'!$C$5:$C$200&lt;&gt;"")))),"ไม่พบใน Ownership Matrix")))</f>
        <v/>
      </c>
      <c r="Z931" s="31" t="str">
        <f>IF(NOT(AND($A931&lt;&gt;"",$M931&lt;&gt;"Out of Scope",$M931&lt;&gt;"Canceled",$T931&lt;&gt;"Fixed – Retest Passed",OR(LEN(TRIM($O931))&gt;0,LEN(TRIM($P931))&gt;0))),"",IF(OR($W931="Failed",$R931="Urgent",$R931="High",$R931="ระบุ Severity + Impact"),IF(COUNTIFS(Dashboard!$B$105:$B$124,$O931,Dashboard!$I$105:$I$124,"CAB")&gt;0,"Accepted (CF)","Blocking"),"Deferrable"))</f>
        <v/>
      </c>
    </row>
    <row r="932" spans="7:26" x14ac:dyDescent="0.3">
      <c r="G932" s="27" t="str" cm="1">
        <f t="array" ref="G932">IF($A932="","",IFERROR(_xlfn.TEXTJOIN(CHAR(10)&amp;CHAR(10),TRUE,_xlfn._xlws.FILTER("•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"&amp;Cards!$L$4:$L$1000),(Cards!$A$4:$A$1000&lt;&gt;"")*ISNUMBER(SEARCH($A932,Cards!$E$4:$E$1000)))),"-"))</f>
        <v/>
      </c>
      <c r="Q932" s="30"/>
      <c r="R932" s="27" t="str">
        <f>IF(OR($A932="",LEN(TRIM($O932))=0),"",IF(OR($P932="",$Q932=""),"ระบุ Severity + Impact",IFERROR(INDEX({"Urgent","Urgent","High","High";"Urgent","High","High","Medium";"High","High","Medium","Medium";"Medium","Medium","Low","Low"},MATCH($P932,{"Critical","High","Medium","Low"},0),MATCH($Q932,{"Extensive","Significant","Moderate","Minor"},0)),"-")))</f>
        <v/>
      </c>
      <c r="S932" s="30"/>
      <c r="T932" s="30"/>
      <c r="W932" s="32" t="str">
        <f>IF($A932="","",IF(OR($M932="Out of Scope",$M932="Canceled"),"Out of Scope",IF($M932="Blocked","Blocked",IF(AND($T932&lt;&gt;"Fixed – Retest Passed",OR(LEN(TRIM($O932))&gt;0,LEN(TRIM($P932))&gt;0)),IF(AND(OR($L932="Medium",$L932="Low"),SUMPRODUCT((Cards!$A$4:$A$1000&lt;&gt;"")*ISNUMBER(SEARCH($A932,Cards!$E$4:$E$1000))*(Cards!$F$4:$F$1000&lt;&gt;"Medium")*(Cards!$F$4:$F$1000&lt;&gt;"Low"))=0),"Conditionally Passed","Failed"),IF($M932="Done","Passed","Not Run")))))</f>
        <v/>
      </c>
      <c r="Y932" s="27" t="str" cm="1">
        <f t="array" ref="Y932">IF($A932="","",IF(TRIM($B932)="","-",IFERROR(_xlfn.TEXTJOIN(" / ",TRUE,_xlfn.UNIQUE(_xlfn._xlws.FILTER('Ownership Matrix'!$C$5:$C$200,('Ownership Matrix'!$A$5:$A$200=TRIM($B932))*('Ownership Matrix'!$C$5:$C$200&lt;&gt;"")))),"ไม่พบใน Ownership Matrix")))</f>
        <v/>
      </c>
      <c r="Z932" s="31" t="str">
        <f>IF(NOT(AND($A932&lt;&gt;"",$M932&lt;&gt;"Out of Scope",$M932&lt;&gt;"Canceled",$T932&lt;&gt;"Fixed – Retest Passed",OR(LEN(TRIM($O932))&gt;0,LEN(TRIM($P932))&gt;0))),"",IF(OR($W932="Failed",$R932="Urgent",$R932="High",$R932="ระบุ Severity + Impact"),IF(COUNTIFS(Dashboard!$B$105:$B$124,$O932,Dashboard!$I$105:$I$124,"CAB")&gt;0,"Accepted (CF)","Blocking"),"Deferrable"))</f>
        <v/>
      </c>
    </row>
    <row r="933" spans="7:26" x14ac:dyDescent="0.3">
      <c r="G933" s="27" t="str" cm="1">
        <f t="array" ref="G933">IF($A933="","",IFERROR(_xlfn.TEXTJOIN(CHAR(10)&amp;CHAR(10),TRUE,_xlfn._xlws.FILTER("•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"&amp;Cards!$L$4:$L$1000),(Cards!$A$4:$A$1000&lt;&gt;"")*ISNUMBER(SEARCH($A933,Cards!$E$4:$E$1000)))),"-"))</f>
        <v/>
      </c>
      <c r="Q933" s="30"/>
      <c r="R933" s="27" t="str">
        <f>IF(OR($A933="",LEN(TRIM($O933))=0),"",IF(OR($P933="",$Q933=""),"ระบุ Severity + Impact",IFERROR(INDEX({"Urgent","Urgent","High","High";"Urgent","High","High","Medium";"High","High","Medium","Medium";"Medium","Medium","Low","Low"},MATCH($P933,{"Critical","High","Medium","Low"},0),MATCH($Q933,{"Extensive","Significant","Moderate","Minor"},0)),"-")))</f>
        <v/>
      </c>
      <c r="S933" s="30"/>
      <c r="T933" s="30"/>
      <c r="W933" s="32" t="str">
        <f>IF($A933="","",IF(OR($M933="Out of Scope",$M933="Canceled"),"Out of Scope",IF($M933="Blocked","Blocked",IF(AND($T933&lt;&gt;"Fixed – Retest Passed",OR(LEN(TRIM($O933))&gt;0,LEN(TRIM($P933))&gt;0)),IF(AND(OR($L933="Medium",$L933="Low"),SUMPRODUCT((Cards!$A$4:$A$1000&lt;&gt;"")*ISNUMBER(SEARCH($A933,Cards!$E$4:$E$1000))*(Cards!$F$4:$F$1000&lt;&gt;"Medium")*(Cards!$F$4:$F$1000&lt;&gt;"Low"))=0),"Conditionally Passed","Failed"),IF($M933="Done","Passed","Not Run")))))</f>
        <v/>
      </c>
      <c r="Y933" s="27" t="str" cm="1">
        <f t="array" ref="Y933">IF($A933="","",IF(TRIM($B933)="","-",IFERROR(_xlfn.TEXTJOIN(" / ",TRUE,_xlfn.UNIQUE(_xlfn._xlws.FILTER('Ownership Matrix'!$C$5:$C$200,('Ownership Matrix'!$A$5:$A$200=TRIM($B933))*('Ownership Matrix'!$C$5:$C$200&lt;&gt;"")))),"ไม่พบใน Ownership Matrix")))</f>
        <v/>
      </c>
      <c r="Z933" s="31" t="str">
        <f>IF(NOT(AND($A933&lt;&gt;"",$M933&lt;&gt;"Out of Scope",$M933&lt;&gt;"Canceled",$T933&lt;&gt;"Fixed – Retest Passed",OR(LEN(TRIM($O933))&gt;0,LEN(TRIM($P933))&gt;0))),"",IF(OR($W933="Failed",$R933="Urgent",$R933="High",$R933="ระบุ Severity + Impact"),IF(COUNTIFS(Dashboard!$B$105:$B$124,$O933,Dashboard!$I$105:$I$124,"CAB")&gt;0,"Accepted (CF)","Blocking"),"Deferrable"))</f>
        <v/>
      </c>
    </row>
    <row r="934" spans="7:26" x14ac:dyDescent="0.3">
      <c r="G934" s="27" t="str" cm="1">
        <f t="array" ref="G934">IF($A934="","",IFERROR(_xlfn.TEXTJOIN(CHAR(10)&amp;CHAR(10),TRUE,_xlfn._xlws.FILTER("•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"&amp;Cards!$L$4:$L$1000),(Cards!$A$4:$A$1000&lt;&gt;"")*ISNUMBER(SEARCH($A934,Cards!$E$4:$E$1000)))),"-"))</f>
        <v/>
      </c>
      <c r="Q934" s="30"/>
      <c r="R934" s="27" t="str">
        <f>IF(OR($A934="",LEN(TRIM($O934))=0),"",IF(OR($P934="",$Q934=""),"ระบุ Severity + Impact",IFERROR(INDEX({"Urgent","Urgent","High","High";"Urgent","High","High","Medium";"High","High","Medium","Medium";"Medium","Medium","Low","Low"},MATCH($P934,{"Critical","High","Medium","Low"},0),MATCH($Q934,{"Extensive","Significant","Moderate","Minor"},0)),"-")))</f>
        <v/>
      </c>
      <c r="S934" s="30"/>
      <c r="T934" s="30"/>
      <c r="W934" s="32" t="str">
        <f>IF($A934="","",IF(OR($M934="Out of Scope",$M934="Canceled"),"Out of Scope",IF($M934="Blocked","Blocked",IF(AND($T934&lt;&gt;"Fixed – Retest Passed",OR(LEN(TRIM($O934))&gt;0,LEN(TRIM($P934))&gt;0)),IF(AND(OR($L934="Medium",$L934="Low"),SUMPRODUCT((Cards!$A$4:$A$1000&lt;&gt;"")*ISNUMBER(SEARCH($A934,Cards!$E$4:$E$1000))*(Cards!$F$4:$F$1000&lt;&gt;"Medium")*(Cards!$F$4:$F$1000&lt;&gt;"Low"))=0),"Conditionally Passed","Failed"),IF($M934="Done","Passed","Not Run")))))</f>
        <v/>
      </c>
      <c r="Y934" s="27" t="str" cm="1">
        <f t="array" ref="Y934">IF($A934="","",IF(TRIM($B934)="","-",IFERROR(_xlfn.TEXTJOIN(" / ",TRUE,_xlfn.UNIQUE(_xlfn._xlws.FILTER('Ownership Matrix'!$C$5:$C$200,('Ownership Matrix'!$A$5:$A$200=TRIM($B934))*('Ownership Matrix'!$C$5:$C$200&lt;&gt;"")))),"ไม่พบใน Ownership Matrix")))</f>
        <v/>
      </c>
      <c r="Z934" s="31" t="str">
        <f>IF(NOT(AND($A934&lt;&gt;"",$M934&lt;&gt;"Out of Scope",$M934&lt;&gt;"Canceled",$T934&lt;&gt;"Fixed – Retest Passed",OR(LEN(TRIM($O934))&gt;0,LEN(TRIM($P934))&gt;0))),"",IF(OR($W934="Failed",$R934="Urgent",$R934="High",$R934="ระบุ Severity + Impact"),IF(COUNTIFS(Dashboard!$B$105:$B$124,$O934,Dashboard!$I$105:$I$124,"CAB")&gt;0,"Accepted (CF)","Blocking"),"Deferrable"))</f>
        <v/>
      </c>
    </row>
    <row r="935" spans="7:26" x14ac:dyDescent="0.3">
      <c r="G935" s="27" t="str" cm="1">
        <f t="array" ref="G935">IF($A935="","",IFERROR(_xlfn.TEXTJOIN(CHAR(10)&amp;CHAR(10),TRUE,_xlfn._xlws.FILTER("•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"&amp;Cards!$L$4:$L$1000),(Cards!$A$4:$A$1000&lt;&gt;"")*ISNUMBER(SEARCH($A935,Cards!$E$4:$E$1000)))),"-"))</f>
        <v/>
      </c>
      <c r="Q935" s="30"/>
      <c r="R935" s="27" t="str">
        <f>IF(OR($A935="",LEN(TRIM($O935))=0),"",IF(OR($P935="",$Q935=""),"ระบุ Severity + Impact",IFERROR(INDEX({"Urgent","Urgent","High","High";"Urgent","High","High","Medium";"High","High","Medium","Medium";"Medium","Medium","Low","Low"},MATCH($P935,{"Critical","High","Medium","Low"},0),MATCH($Q935,{"Extensive","Significant","Moderate","Minor"},0)),"-")))</f>
        <v/>
      </c>
      <c r="S935" s="30"/>
      <c r="T935" s="30"/>
      <c r="W935" s="32" t="str">
        <f>IF($A935="","",IF(OR($M935="Out of Scope",$M935="Canceled"),"Out of Scope",IF($M935="Blocked","Blocked",IF(AND($T935&lt;&gt;"Fixed – Retest Passed",OR(LEN(TRIM($O935))&gt;0,LEN(TRIM($P935))&gt;0)),IF(AND(OR($L935="Medium",$L935="Low"),SUMPRODUCT((Cards!$A$4:$A$1000&lt;&gt;"")*ISNUMBER(SEARCH($A935,Cards!$E$4:$E$1000))*(Cards!$F$4:$F$1000&lt;&gt;"Medium")*(Cards!$F$4:$F$1000&lt;&gt;"Low"))=0),"Conditionally Passed","Failed"),IF($M935="Done","Passed","Not Run")))))</f>
        <v/>
      </c>
      <c r="Y935" s="27" t="str" cm="1">
        <f t="array" ref="Y935">IF($A935="","",IF(TRIM($B935)="","-",IFERROR(_xlfn.TEXTJOIN(" / ",TRUE,_xlfn.UNIQUE(_xlfn._xlws.FILTER('Ownership Matrix'!$C$5:$C$200,('Ownership Matrix'!$A$5:$A$200=TRIM($B935))*('Ownership Matrix'!$C$5:$C$200&lt;&gt;"")))),"ไม่พบใน Ownership Matrix")))</f>
        <v/>
      </c>
      <c r="Z935" s="31" t="str">
        <f>IF(NOT(AND($A935&lt;&gt;"",$M935&lt;&gt;"Out of Scope",$M935&lt;&gt;"Canceled",$T935&lt;&gt;"Fixed – Retest Passed",OR(LEN(TRIM($O935))&gt;0,LEN(TRIM($P935))&gt;0))),"",IF(OR($W935="Failed",$R935="Urgent",$R935="High",$R935="ระบุ Severity + Impact"),IF(COUNTIFS(Dashboard!$B$105:$B$124,$O935,Dashboard!$I$105:$I$124,"CAB")&gt;0,"Accepted (CF)","Blocking"),"Deferrable"))</f>
        <v/>
      </c>
    </row>
    <row r="936" spans="7:26" x14ac:dyDescent="0.3">
      <c r="G936" s="27" t="str" cm="1">
        <f t="array" ref="G936">IF($A936="","",IFERROR(_xlfn.TEXTJOIN(CHAR(10)&amp;CHAR(10),TRUE,_xlfn._xlws.FILTER("•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"&amp;Cards!$L$4:$L$1000),(Cards!$A$4:$A$1000&lt;&gt;"")*ISNUMBER(SEARCH($A936,Cards!$E$4:$E$1000)))),"-"))</f>
        <v/>
      </c>
      <c r="Q936" s="30"/>
      <c r="R936" s="27" t="str">
        <f>IF(OR($A936="",LEN(TRIM($O936))=0),"",IF(OR($P936="",$Q936=""),"ระบุ Severity + Impact",IFERROR(INDEX({"Urgent","Urgent","High","High";"Urgent","High","High","Medium";"High","High","Medium","Medium";"Medium","Medium","Low","Low"},MATCH($P936,{"Critical","High","Medium","Low"},0),MATCH($Q936,{"Extensive","Significant","Moderate","Minor"},0)),"-")))</f>
        <v/>
      </c>
      <c r="S936" s="30"/>
      <c r="T936" s="30"/>
      <c r="W936" s="32" t="str">
        <f>IF($A936="","",IF(OR($M936="Out of Scope",$M936="Canceled"),"Out of Scope",IF($M936="Blocked","Blocked",IF(AND($T936&lt;&gt;"Fixed – Retest Passed",OR(LEN(TRIM($O936))&gt;0,LEN(TRIM($P936))&gt;0)),IF(AND(OR($L936="Medium",$L936="Low"),SUMPRODUCT((Cards!$A$4:$A$1000&lt;&gt;"")*ISNUMBER(SEARCH($A936,Cards!$E$4:$E$1000))*(Cards!$F$4:$F$1000&lt;&gt;"Medium")*(Cards!$F$4:$F$1000&lt;&gt;"Low"))=0),"Conditionally Passed","Failed"),IF($M936="Done","Passed","Not Run")))))</f>
        <v/>
      </c>
      <c r="Y936" s="27" t="str" cm="1">
        <f t="array" ref="Y936">IF($A936="","",IF(TRIM($B936)="","-",IFERROR(_xlfn.TEXTJOIN(" / ",TRUE,_xlfn.UNIQUE(_xlfn._xlws.FILTER('Ownership Matrix'!$C$5:$C$200,('Ownership Matrix'!$A$5:$A$200=TRIM($B936))*('Ownership Matrix'!$C$5:$C$200&lt;&gt;"")))),"ไม่พบใน Ownership Matrix")))</f>
        <v/>
      </c>
      <c r="Z936" s="31" t="str">
        <f>IF(NOT(AND($A936&lt;&gt;"",$M936&lt;&gt;"Out of Scope",$M936&lt;&gt;"Canceled",$T936&lt;&gt;"Fixed – Retest Passed",OR(LEN(TRIM($O936))&gt;0,LEN(TRIM($P936))&gt;0))),"",IF(OR($W936="Failed",$R936="Urgent",$R936="High",$R936="ระบุ Severity + Impact"),IF(COUNTIFS(Dashboard!$B$105:$B$124,$O936,Dashboard!$I$105:$I$124,"CAB")&gt;0,"Accepted (CF)","Blocking"),"Deferrable"))</f>
        <v/>
      </c>
    </row>
    <row r="937" spans="7:26" x14ac:dyDescent="0.3">
      <c r="G937" s="27" t="str" cm="1">
        <f t="array" ref="G937">IF($A937="","",IFERROR(_xlfn.TEXTJOIN(CHAR(10)&amp;CHAR(10),TRUE,_xlfn._xlws.FILTER("•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"&amp;Cards!$L$4:$L$1000),(Cards!$A$4:$A$1000&lt;&gt;"")*ISNUMBER(SEARCH($A937,Cards!$E$4:$E$1000)))),"-"))</f>
        <v/>
      </c>
      <c r="Q937" s="30"/>
      <c r="R937" s="27" t="str">
        <f>IF(OR($A937="",LEN(TRIM($O937))=0),"",IF(OR($P937="",$Q937=""),"ระบุ Severity + Impact",IFERROR(INDEX({"Urgent","Urgent","High","High";"Urgent","High","High","Medium";"High","High","Medium","Medium";"Medium","Medium","Low","Low"},MATCH($P937,{"Critical","High","Medium","Low"},0),MATCH($Q937,{"Extensive","Significant","Moderate","Minor"},0)),"-")))</f>
        <v/>
      </c>
      <c r="S937" s="30"/>
      <c r="T937" s="30"/>
      <c r="W937" s="32" t="str">
        <f>IF($A937="","",IF(OR($M937="Out of Scope",$M937="Canceled"),"Out of Scope",IF($M937="Blocked","Blocked",IF(AND($T937&lt;&gt;"Fixed – Retest Passed",OR(LEN(TRIM($O937))&gt;0,LEN(TRIM($P937))&gt;0)),IF(AND(OR($L937="Medium",$L937="Low"),SUMPRODUCT((Cards!$A$4:$A$1000&lt;&gt;"")*ISNUMBER(SEARCH($A937,Cards!$E$4:$E$1000))*(Cards!$F$4:$F$1000&lt;&gt;"Medium")*(Cards!$F$4:$F$1000&lt;&gt;"Low"))=0),"Conditionally Passed","Failed"),IF($M937="Done","Passed","Not Run")))))</f>
        <v/>
      </c>
      <c r="Y937" s="27" t="str" cm="1">
        <f t="array" ref="Y937">IF($A937="","",IF(TRIM($B937)="","-",IFERROR(_xlfn.TEXTJOIN(" / ",TRUE,_xlfn.UNIQUE(_xlfn._xlws.FILTER('Ownership Matrix'!$C$5:$C$200,('Ownership Matrix'!$A$5:$A$200=TRIM($B937))*('Ownership Matrix'!$C$5:$C$200&lt;&gt;"")))),"ไม่พบใน Ownership Matrix")))</f>
        <v/>
      </c>
      <c r="Z937" s="31" t="str">
        <f>IF(NOT(AND($A937&lt;&gt;"",$M937&lt;&gt;"Out of Scope",$M937&lt;&gt;"Canceled",$T937&lt;&gt;"Fixed – Retest Passed",OR(LEN(TRIM($O937))&gt;0,LEN(TRIM($P937))&gt;0))),"",IF(OR($W937="Failed",$R937="Urgent",$R937="High",$R937="ระบุ Severity + Impact"),IF(COUNTIFS(Dashboard!$B$105:$B$124,$O937,Dashboard!$I$105:$I$124,"CAB")&gt;0,"Accepted (CF)","Blocking"),"Deferrable"))</f>
        <v/>
      </c>
    </row>
    <row r="938" spans="7:26" x14ac:dyDescent="0.3">
      <c r="G938" s="27" t="str" cm="1">
        <f t="array" ref="G938">IF($A938="","",IFERROR(_xlfn.TEXTJOIN(CHAR(10)&amp;CHAR(10),TRUE,_xlfn._xlws.FILTER("•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"&amp;Cards!$L$4:$L$1000),(Cards!$A$4:$A$1000&lt;&gt;"")*ISNUMBER(SEARCH($A938,Cards!$E$4:$E$1000)))),"-"))</f>
        <v/>
      </c>
      <c r="Q938" s="30"/>
      <c r="R938" s="27" t="str">
        <f>IF(OR($A938="",LEN(TRIM($O938))=0),"",IF(OR($P938="",$Q938=""),"ระบุ Severity + Impact",IFERROR(INDEX({"Urgent","Urgent","High","High";"Urgent","High","High","Medium";"High","High","Medium","Medium";"Medium","Medium","Low","Low"},MATCH($P938,{"Critical","High","Medium","Low"},0),MATCH($Q938,{"Extensive","Significant","Moderate","Minor"},0)),"-")))</f>
        <v/>
      </c>
      <c r="S938" s="30"/>
      <c r="T938" s="30"/>
      <c r="W938" s="32" t="str">
        <f>IF($A938="","",IF(OR($M938="Out of Scope",$M938="Canceled"),"Out of Scope",IF($M938="Blocked","Blocked",IF(AND($T938&lt;&gt;"Fixed – Retest Passed",OR(LEN(TRIM($O938))&gt;0,LEN(TRIM($P938))&gt;0)),IF(AND(OR($L938="Medium",$L938="Low"),SUMPRODUCT((Cards!$A$4:$A$1000&lt;&gt;"")*ISNUMBER(SEARCH($A938,Cards!$E$4:$E$1000))*(Cards!$F$4:$F$1000&lt;&gt;"Medium")*(Cards!$F$4:$F$1000&lt;&gt;"Low"))=0),"Conditionally Passed","Failed"),IF($M938="Done","Passed","Not Run")))))</f>
        <v/>
      </c>
      <c r="Y938" s="27" t="str" cm="1">
        <f t="array" ref="Y938">IF($A938="","",IF(TRIM($B938)="","-",IFERROR(_xlfn.TEXTJOIN(" / ",TRUE,_xlfn.UNIQUE(_xlfn._xlws.FILTER('Ownership Matrix'!$C$5:$C$200,('Ownership Matrix'!$A$5:$A$200=TRIM($B938))*('Ownership Matrix'!$C$5:$C$200&lt;&gt;"")))),"ไม่พบใน Ownership Matrix")))</f>
        <v/>
      </c>
      <c r="Z938" s="31" t="str">
        <f>IF(NOT(AND($A938&lt;&gt;"",$M938&lt;&gt;"Out of Scope",$M938&lt;&gt;"Canceled",$T938&lt;&gt;"Fixed – Retest Passed",OR(LEN(TRIM($O938))&gt;0,LEN(TRIM($P938))&gt;0))),"",IF(OR($W938="Failed",$R938="Urgent",$R938="High",$R938="ระบุ Severity + Impact"),IF(COUNTIFS(Dashboard!$B$105:$B$124,$O938,Dashboard!$I$105:$I$124,"CAB")&gt;0,"Accepted (CF)","Blocking"),"Deferrable"))</f>
        <v/>
      </c>
    </row>
    <row r="939" spans="7:26" x14ac:dyDescent="0.3">
      <c r="G939" s="27" t="str" cm="1">
        <f t="array" ref="G939">IF($A939="","",IFERROR(_xlfn.TEXTJOIN(CHAR(10)&amp;CHAR(10),TRUE,_xlfn._xlws.FILTER("•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"&amp;Cards!$L$4:$L$1000),(Cards!$A$4:$A$1000&lt;&gt;"")*ISNUMBER(SEARCH($A939,Cards!$E$4:$E$1000)))),"-"))</f>
        <v/>
      </c>
      <c r="Q939" s="30"/>
      <c r="R939" s="27" t="str">
        <f>IF(OR($A939="",LEN(TRIM($O939))=0),"",IF(OR($P939="",$Q939=""),"ระบุ Severity + Impact",IFERROR(INDEX({"Urgent","Urgent","High","High";"Urgent","High","High","Medium";"High","High","Medium","Medium";"Medium","Medium","Low","Low"},MATCH($P939,{"Critical","High","Medium","Low"},0),MATCH($Q939,{"Extensive","Significant","Moderate","Minor"},0)),"-")))</f>
        <v/>
      </c>
      <c r="S939" s="30"/>
      <c r="T939" s="30"/>
      <c r="W939" s="32" t="str">
        <f>IF($A939="","",IF(OR($M939="Out of Scope",$M939="Canceled"),"Out of Scope",IF($M939="Blocked","Blocked",IF(AND($T939&lt;&gt;"Fixed – Retest Passed",OR(LEN(TRIM($O939))&gt;0,LEN(TRIM($P939))&gt;0)),IF(AND(OR($L939="Medium",$L939="Low"),SUMPRODUCT((Cards!$A$4:$A$1000&lt;&gt;"")*ISNUMBER(SEARCH($A939,Cards!$E$4:$E$1000))*(Cards!$F$4:$F$1000&lt;&gt;"Medium")*(Cards!$F$4:$F$1000&lt;&gt;"Low"))=0),"Conditionally Passed","Failed"),IF($M939="Done","Passed","Not Run")))))</f>
        <v/>
      </c>
      <c r="Y939" s="27" t="str" cm="1">
        <f t="array" ref="Y939">IF($A939="","",IF(TRIM($B939)="","-",IFERROR(_xlfn.TEXTJOIN(" / ",TRUE,_xlfn.UNIQUE(_xlfn._xlws.FILTER('Ownership Matrix'!$C$5:$C$200,('Ownership Matrix'!$A$5:$A$200=TRIM($B939))*('Ownership Matrix'!$C$5:$C$200&lt;&gt;"")))),"ไม่พบใน Ownership Matrix")))</f>
        <v/>
      </c>
      <c r="Z939" s="31" t="str">
        <f>IF(NOT(AND($A939&lt;&gt;"",$M939&lt;&gt;"Out of Scope",$M939&lt;&gt;"Canceled",$T939&lt;&gt;"Fixed – Retest Passed",OR(LEN(TRIM($O939))&gt;0,LEN(TRIM($P939))&gt;0))),"",IF(OR($W939="Failed",$R939="Urgent",$R939="High",$R939="ระบุ Severity + Impact"),IF(COUNTIFS(Dashboard!$B$105:$B$124,$O939,Dashboard!$I$105:$I$124,"CAB")&gt;0,"Accepted (CF)","Blocking"),"Deferrable"))</f>
        <v/>
      </c>
    </row>
    <row r="940" spans="7:26" x14ac:dyDescent="0.3">
      <c r="G940" s="27" t="str" cm="1">
        <f t="array" ref="G940">IF($A940="","",IFERROR(_xlfn.TEXTJOIN(CHAR(10)&amp;CHAR(10),TRUE,_xlfn._xlws.FILTER("•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"&amp;Cards!$L$4:$L$1000),(Cards!$A$4:$A$1000&lt;&gt;"")*ISNUMBER(SEARCH($A940,Cards!$E$4:$E$1000)))),"-"))</f>
        <v/>
      </c>
      <c r="Q940" s="30"/>
      <c r="R940" s="27" t="str">
        <f>IF(OR($A940="",LEN(TRIM($O940))=0),"",IF(OR($P940="",$Q940=""),"ระบุ Severity + Impact",IFERROR(INDEX({"Urgent","Urgent","High","High";"Urgent","High","High","Medium";"High","High","Medium","Medium";"Medium","Medium","Low","Low"},MATCH($P940,{"Critical","High","Medium","Low"},0),MATCH($Q940,{"Extensive","Significant","Moderate","Minor"},0)),"-")))</f>
        <v/>
      </c>
      <c r="S940" s="30"/>
      <c r="T940" s="30"/>
      <c r="W940" s="32" t="str">
        <f>IF($A940="","",IF(OR($M940="Out of Scope",$M940="Canceled"),"Out of Scope",IF($M940="Blocked","Blocked",IF(AND($T940&lt;&gt;"Fixed – Retest Passed",OR(LEN(TRIM($O940))&gt;0,LEN(TRIM($P940))&gt;0)),IF(AND(OR($L940="Medium",$L940="Low"),SUMPRODUCT((Cards!$A$4:$A$1000&lt;&gt;"")*ISNUMBER(SEARCH($A940,Cards!$E$4:$E$1000))*(Cards!$F$4:$F$1000&lt;&gt;"Medium")*(Cards!$F$4:$F$1000&lt;&gt;"Low"))=0),"Conditionally Passed","Failed"),IF($M940="Done","Passed","Not Run")))))</f>
        <v/>
      </c>
      <c r="Y940" s="27" t="str" cm="1">
        <f t="array" ref="Y940">IF($A940="","",IF(TRIM($B940)="","-",IFERROR(_xlfn.TEXTJOIN(" / ",TRUE,_xlfn.UNIQUE(_xlfn._xlws.FILTER('Ownership Matrix'!$C$5:$C$200,('Ownership Matrix'!$A$5:$A$200=TRIM($B940))*('Ownership Matrix'!$C$5:$C$200&lt;&gt;"")))),"ไม่พบใน Ownership Matrix")))</f>
        <v/>
      </c>
      <c r="Z940" s="31" t="str">
        <f>IF(NOT(AND($A940&lt;&gt;"",$M940&lt;&gt;"Out of Scope",$M940&lt;&gt;"Canceled",$T940&lt;&gt;"Fixed – Retest Passed",OR(LEN(TRIM($O940))&gt;0,LEN(TRIM($P940))&gt;0))),"",IF(OR($W940="Failed",$R940="Urgent",$R940="High",$R940="ระบุ Severity + Impact"),IF(COUNTIFS(Dashboard!$B$105:$B$124,$O940,Dashboard!$I$105:$I$124,"CAB")&gt;0,"Accepted (CF)","Blocking"),"Deferrable"))</f>
        <v/>
      </c>
    </row>
    <row r="941" spans="7:26" x14ac:dyDescent="0.3">
      <c r="G941" s="27" t="str" cm="1">
        <f t="array" ref="G941">IF($A941="","",IFERROR(_xlfn.TEXTJOIN(CHAR(10)&amp;CHAR(10),TRUE,_xlfn._xlws.FILTER("•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"&amp;Cards!$L$4:$L$1000),(Cards!$A$4:$A$1000&lt;&gt;"")*ISNUMBER(SEARCH($A941,Cards!$E$4:$E$1000)))),"-"))</f>
        <v/>
      </c>
      <c r="Q941" s="30"/>
      <c r="R941" s="27" t="str">
        <f>IF(OR($A941="",LEN(TRIM($O941))=0),"",IF(OR($P941="",$Q941=""),"ระบุ Severity + Impact",IFERROR(INDEX({"Urgent","Urgent","High","High";"Urgent","High","High","Medium";"High","High","Medium","Medium";"Medium","Medium","Low","Low"},MATCH($P941,{"Critical","High","Medium","Low"},0),MATCH($Q941,{"Extensive","Significant","Moderate","Minor"},0)),"-")))</f>
        <v/>
      </c>
      <c r="S941" s="30"/>
      <c r="T941" s="30"/>
      <c r="W941" s="32" t="str">
        <f>IF($A941="","",IF(OR($M941="Out of Scope",$M941="Canceled"),"Out of Scope",IF($M941="Blocked","Blocked",IF(AND($T941&lt;&gt;"Fixed – Retest Passed",OR(LEN(TRIM($O941))&gt;0,LEN(TRIM($P941))&gt;0)),IF(AND(OR($L941="Medium",$L941="Low"),SUMPRODUCT((Cards!$A$4:$A$1000&lt;&gt;"")*ISNUMBER(SEARCH($A941,Cards!$E$4:$E$1000))*(Cards!$F$4:$F$1000&lt;&gt;"Medium")*(Cards!$F$4:$F$1000&lt;&gt;"Low"))=0),"Conditionally Passed","Failed"),IF($M941="Done","Passed","Not Run")))))</f>
        <v/>
      </c>
      <c r="Y941" s="27" t="str" cm="1">
        <f t="array" ref="Y941">IF($A941="","",IF(TRIM($B941)="","-",IFERROR(_xlfn.TEXTJOIN(" / ",TRUE,_xlfn.UNIQUE(_xlfn._xlws.FILTER('Ownership Matrix'!$C$5:$C$200,('Ownership Matrix'!$A$5:$A$200=TRIM($B941))*('Ownership Matrix'!$C$5:$C$200&lt;&gt;"")))),"ไม่พบใน Ownership Matrix")))</f>
        <v/>
      </c>
      <c r="Z941" s="31" t="str">
        <f>IF(NOT(AND($A941&lt;&gt;"",$M941&lt;&gt;"Out of Scope",$M941&lt;&gt;"Canceled",$T941&lt;&gt;"Fixed – Retest Passed",OR(LEN(TRIM($O941))&gt;0,LEN(TRIM($P941))&gt;0))),"",IF(OR($W941="Failed",$R941="Urgent",$R941="High",$R941="ระบุ Severity + Impact"),IF(COUNTIFS(Dashboard!$B$105:$B$124,$O941,Dashboard!$I$105:$I$124,"CAB")&gt;0,"Accepted (CF)","Blocking"),"Deferrable"))</f>
        <v/>
      </c>
    </row>
    <row r="942" spans="7:26" x14ac:dyDescent="0.3">
      <c r="G942" s="27" t="str" cm="1">
        <f t="array" ref="G942">IF($A942="","",IFERROR(_xlfn.TEXTJOIN(CHAR(10)&amp;CHAR(10),TRUE,_xlfn._xlws.FILTER("•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"&amp;Cards!$L$4:$L$1000),(Cards!$A$4:$A$1000&lt;&gt;"")*ISNUMBER(SEARCH($A942,Cards!$E$4:$E$1000)))),"-"))</f>
        <v/>
      </c>
      <c r="Q942" s="30"/>
      <c r="R942" s="27" t="str">
        <f>IF(OR($A942="",LEN(TRIM($O942))=0),"",IF(OR($P942="",$Q942=""),"ระบุ Severity + Impact",IFERROR(INDEX({"Urgent","Urgent","High","High";"Urgent","High","High","Medium";"High","High","Medium","Medium";"Medium","Medium","Low","Low"},MATCH($P942,{"Critical","High","Medium","Low"},0),MATCH($Q942,{"Extensive","Significant","Moderate","Minor"},0)),"-")))</f>
        <v/>
      </c>
      <c r="S942" s="30"/>
      <c r="T942" s="30"/>
      <c r="W942" s="32" t="str">
        <f>IF($A942="","",IF(OR($M942="Out of Scope",$M942="Canceled"),"Out of Scope",IF($M942="Blocked","Blocked",IF(AND($T942&lt;&gt;"Fixed – Retest Passed",OR(LEN(TRIM($O942))&gt;0,LEN(TRIM($P942))&gt;0)),IF(AND(OR($L942="Medium",$L942="Low"),SUMPRODUCT((Cards!$A$4:$A$1000&lt;&gt;"")*ISNUMBER(SEARCH($A942,Cards!$E$4:$E$1000))*(Cards!$F$4:$F$1000&lt;&gt;"Medium")*(Cards!$F$4:$F$1000&lt;&gt;"Low"))=0),"Conditionally Passed","Failed"),IF($M942="Done","Passed","Not Run")))))</f>
        <v/>
      </c>
      <c r="Y942" s="27" t="str" cm="1">
        <f t="array" ref="Y942">IF($A942="","",IF(TRIM($B942)="","-",IFERROR(_xlfn.TEXTJOIN(" / ",TRUE,_xlfn.UNIQUE(_xlfn._xlws.FILTER('Ownership Matrix'!$C$5:$C$200,('Ownership Matrix'!$A$5:$A$200=TRIM($B942))*('Ownership Matrix'!$C$5:$C$200&lt;&gt;"")))),"ไม่พบใน Ownership Matrix")))</f>
        <v/>
      </c>
      <c r="Z942" s="31" t="str">
        <f>IF(NOT(AND($A942&lt;&gt;"",$M942&lt;&gt;"Out of Scope",$M942&lt;&gt;"Canceled",$T942&lt;&gt;"Fixed – Retest Passed",OR(LEN(TRIM($O942))&gt;0,LEN(TRIM($P942))&gt;0))),"",IF(OR($W942="Failed",$R942="Urgent",$R942="High",$R942="ระบุ Severity + Impact"),IF(COUNTIFS(Dashboard!$B$105:$B$124,$O942,Dashboard!$I$105:$I$124,"CAB")&gt;0,"Accepted (CF)","Blocking"),"Deferrable"))</f>
        <v/>
      </c>
    </row>
    <row r="943" spans="7:26" x14ac:dyDescent="0.3">
      <c r="G943" s="27" t="str" cm="1">
        <f t="array" ref="G943">IF($A943="","",IFERROR(_xlfn.TEXTJOIN(CHAR(10)&amp;CHAR(10),TRUE,_xlfn._xlws.FILTER("•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"&amp;Cards!$L$4:$L$1000),(Cards!$A$4:$A$1000&lt;&gt;"")*ISNUMBER(SEARCH($A943,Cards!$E$4:$E$1000)))),"-"))</f>
        <v/>
      </c>
      <c r="Q943" s="30"/>
      <c r="R943" s="27" t="str">
        <f>IF(OR($A943="",LEN(TRIM($O943))=0),"",IF(OR($P943="",$Q943=""),"ระบุ Severity + Impact",IFERROR(INDEX({"Urgent","Urgent","High","High";"Urgent","High","High","Medium";"High","High","Medium","Medium";"Medium","Medium","Low","Low"},MATCH($P943,{"Critical","High","Medium","Low"},0),MATCH($Q943,{"Extensive","Significant","Moderate","Minor"},0)),"-")))</f>
        <v/>
      </c>
      <c r="S943" s="30"/>
      <c r="T943" s="30"/>
      <c r="W943" s="32" t="str">
        <f>IF($A943="","",IF(OR($M943="Out of Scope",$M943="Canceled"),"Out of Scope",IF($M943="Blocked","Blocked",IF(AND($T943&lt;&gt;"Fixed – Retest Passed",OR(LEN(TRIM($O943))&gt;0,LEN(TRIM($P943))&gt;0)),IF(AND(OR($L943="Medium",$L943="Low"),SUMPRODUCT((Cards!$A$4:$A$1000&lt;&gt;"")*ISNUMBER(SEARCH($A943,Cards!$E$4:$E$1000))*(Cards!$F$4:$F$1000&lt;&gt;"Medium")*(Cards!$F$4:$F$1000&lt;&gt;"Low"))=0),"Conditionally Passed","Failed"),IF($M943="Done","Passed","Not Run")))))</f>
        <v/>
      </c>
      <c r="Y943" s="27" t="str" cm="1">
        <f t="array" ref="Y943">IF($A943="","",IF(TRIM($B943)="","-",IFERROR(_xlfn.TEXTJOIN(" / ",TRUE,_xlfn.UNIQUE(_xlfn._xlws.FILTER('Ownership Matrix'!$C$5:$C$200,('Ownership Matrix'!$A$5:$A$200=TRIM($B943))*('Ownership Matrix'!$C$5:$C$200&lt;&gt;"")))),"ไม่พบใน Ownership Matrix")))</f>
        <v/>
      </c>
      <c r="Z943" s="31" t="str">
        <f>IF(NOT(AND($A943&lt;&gt;"",$M943&lt;&gt;"Out of Scope",$M943&lt;&gt;"Canceled",$T943&lt;&gt;"Fixed – Retest Passed",OR(LEN(TRIM($O943))&gt;0,LEN(TRIM($P943))&gt;0))),"",IF(OR($W943="Failed",$R943="Urgent",$R943="High",$R943="ระบุ Severity + Impact"),IF(COUNTIFS(Dashboard!$B$105:$B$124,$O943,Dashboard!$I$105:$I$124,"CAB")&gt;0,"Accepted (CF)","Blocking"),"Deferrable"))</f>
        <v/>
      </c>
    </row>
    <row r="944" spans="7:26" x14ac:dyDescent="0.3">
      <c r="G944" s="27" t="str" cm="1">
        <f t="array" ref="G944">IF($A944="","",IFERROR(_xlfn.TEXTJOIN(CHAR(10)&amp;CHAR(10),TRUE,_xlfn._xlws.FILTER("•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"&amp;Cards!$L$4:$L$1000),(Cards!$A$4:$A$1000&lt;&gt;"")*ISNUMBER(SEARCH($A944,Cards!$E$4:$E$1000)))),"-"))</f>
        <v/>
      </c>
      <c r="Q944" s="30"/>
      <c r="R944" s="27" t="str">
        <f>IF(OR($A944="",LEN(TRIM($O944))=0),"",IF(OR($P944="",$Q944=""),"ระบุ Severity + Impact",IFERROR(INDEX({"Urgent","Urgent","High","High";"Urgent","High","High","Medium";"High","High","Medium","Medium";"Medium","Medium","Low","Low"},MATCH($P944,{"Critical","High","Medium","Low"},0),MATCH($Q944,{"Extensive","Significant","Moderate","Minor"},0)),"-")))</f>
        <v/>
      </c>
      <c r="S944" s="30"/>
      <c r="T944" s="30"/>
      <c r="W944" s="32" t="str">
        <f>IF($A944="","",IF(OR($M944="Out of Scope",$M944="Canceled"),"Out of Scope",IF($M944="Blocked","Blocked",IF(AND($T944&lt;&gt;"Fixed – Retest Passed",OR(LEN(TRIM($O944))&gt;0,LEN(TRIM($P944))&gt;0)),IF(AND(OR($L944="Medium",$L944="Low"),SUMPRODUCT((Cards!$A$4:$A$1000&lt;&gt;"")*ISNUMBER(SEARCH($A944,Cards!$E$4:$E$1000))*(Cards!$F$4:$F$1000&lt;&gt;"Medium")*(Cards!$F$4:$F$1000&lt;&gt;"Low"))=0),"Conditionally Passed","Failed"),IF($M944="Done","Passed","Not Run")))))</f>
        <v/>
      </c>
      <c r="Y944" s="27" t="str" cm="1">
        <f t="array" ref="Y944">IF($A944="","",IF(TRIM($B944)="","-",IFERROR(_xlfn.TEXTJOIN(" / ",TRUE,_xlfn.UNIQUE(_xlfn._xlws.FILTER('Ownership Matrix'!$C$5:$C$200,('Ownership Matrix'!$A$5:$A$200=TRIM($B944))*('Ownership Matrix'!$C$5:$C$200&lt;&gt;"")))),"ไม่พบใน Ownership Matrix")))</f>
        <v/>
      </c>
      <c r="Z944" s="31" t="str">
        <f>IF(NOT(AND($A944&lt;&gt;"",$M944&lt;&gt;"Out of Scope",$M944&lt;&gt;"Canceled",$T944&lt;&gt;"Fixed – Retest Passed",OR(LEN(TRIM($O944))&gt;0,LEN(TRIM($P944))&gt;0))),"",IF(OR($W944="Failed",$R944="Urgent",$R944="High",$R944="ระบุ Severity + Impact"),IF(COUNTIFS(Dashboard!$B$105:$B$124,$O944,Dashboard!$I$105:$I$124,"CAB")&gt;0,"Accepted (CF)","Blocking"),"Deferrable"))</f>
        <v/>
      </c>
    </row>
    <row r="945" spans="7:26" x14ac:dyDescent="0.3">
      <c r="G945" s="27" t="str" cm="1">
        <f t="array" ref="G945">IF($A945="","",IFERROR(_xlfn.TEXTJOIN(CHAR(10)&amp;CHAR(10),TRUE,_xlfn._xlws.FILTER("•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"&amp;Cards!$L$4:$L$1000),(Cards!$A$4:$A$1000&lt;&gt;"")*ISNUMBER(SEARCH($A945,Cards!$E$4:$E$1000)))),"-"))</f>
        <v/>
      </c>
      <c r="Q945" s="30"/>
      <c r="R945" s="27" t="str">
        <f>IF(OR($A945="",LEN(TRIM($O945))=0),"",IF(OR($P945="",$Q945=""),"ระบุ Severity + Impact",IFERROR(INDEX({"Urgent","Urgent","High","High";"Urgent","High","High","Medium";"High","High","Medium","Medium";"Medium","Medium","Low","Low"},MATCH($P945,{"Critical","High","Medium","Low"},0),MATCH($Q945,{"Extensive","Significant","Moderate","Minor"},0)),"-")))</f>
        <v/>
      </c>
      <c r="S945" s="30"/>
      <c r="T945" s="30"/>
      <c r="W945" s="32" t="str">
        <f>IF($A945="","",IF(OR($M945="Out of Scope",$M945="Canceled"),"Out of Scope",IF($M945="Blocked","Blocked",IF(AND($T945&lt;&gt;"Fixed – Retest Passed",OR(LEN(TRIM($O945))&gt;0,LEN(TRIM($P945))&gt;0)),IF(AND(OR($L945="Medium",$L945="Low"),SUMPRODUCT((Cards!$A$4:$A$1000&lt;&gt;"")*ISNUMBER(SEARCH($A945,Cards!$E$4:$E$1000))*(Cards!$F$4:$F$1000&lt;&gt;"Medium")*(Cards!$F$4:$F$1000&lt;&gt;"Low"))=0),"Conditionally Passed","Failed"),IF($M945="Done","Passed","Not Run")))))</f>
        <v/>
      </c>
      <c r="Y945" s="27" t="str" cm="1">
        <f t="array" ref="Y945">IF($A945="","",IF(TRIM($B945)="","-",IFERROR(_xlfn.TEXTJOIN(" / ",TRUE,_xlfn.UNIQUE(_xlfn._xlws.FILTER('Ownership Matrix'!$C$5:$C$200,('Ownership Matrix'!$A$5:$A$200=TRIM($B945))*('Ownership Matrix'!$C$5:$C$200&lt;&gt;"")))),"ไม่พบใน Ownership Matrix")))</f>
        <v/>
      </c>
      <c r="Z945" s="31" t="str">
        <f>IF(NOT(AND($A945&lt;&gt;"",$M945&lt;&gt;"Out of Scope",$M945&lt;&gt;"Canceled",$T945&lt;&gt;"Fixed – Retest Passed",OR(LEN(TRIM($O945))&gt;0,LEN(TRIM($P945))&gt;0))),"",IF(OR($W945="Failed",$R945="Urgent",$R945="High",$R945="ระบุ Severity + Impact"),IF(COUNTIFS(Dashboard!$B$105:$B$124,$O945,Dashboard!$I$105:$I$124,"CAB")&gt;0,"Accepted (CF)","Blocking"),"Deferrable"))</f>
        <v/>
      </c>
    </row>
    <row r="946" spans="7:26" x14ac:dyDescent="0.3">
      <c r="G946" s="27" t="str" cm="1">
        <f t="array" ref="G946">IF($A946="","",IFERROR(_xlfn.TEXTJOIN(CHAR(10)&amp;CHAR(10),TRUE,_xlfn._xlws.FILTER("•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"&amp;Cards!$L$4:$L$1000),(Cards!$A$4:$A$1000&lt;&gt;"")*ISNUMBER(SEARCH($A946,Cards!$E$4:$E$1000)))),"-"))</f>
        <v/>
      </c>
      <c r="Q946" s="30"/>
      <c r="R946" s="27" t="str">
        <f>IF(OR($A946="",LEN(TRIM($O946))=0),"",IF(OR($P946="",$Q946=""),"ระบุ Severity + Impact",IFERROR(INDEX({"Urgent","Urgent","High","High";"Urgent","High","High","Medium";"High","High","Medium","Medium";"Medium","Medium","Low","Low"},MATCH($P946,{"Critical","High","Medium","Low"},0),MATCH($Q946,{"Extensive","Significant","Moderate","Minor"},0)),"-")))</f>
        <v/>
      </c>
      <c r="S946" s="30"/>
      <c r="T946" s="30"/>
      <c r="W946" s="32" t="str">
        <f>IF($A946="","",IF(OR($M946="Out of Scope",$M946="Canceled"),"Out of Scope",IF($M946="Blocked","Blocked",IF(AND($T946&lt;&gt;"Fixed – Retest Passed",OR(LEN(TRIM($O946))&gt;0,LEN(TRIM($P946))&gt;0)),IF(AND(OR($L946="Medium",$L946="Low"),SUMPRODUCT((Cards!$A$4:$A$1000&lt;&gt;"")*ISNUMBER(SEARCH($A946,Cards!$E$4:$E$1000))*(Cards!$F$4:$F$1000&lt;&gt;"Medium")*(Cards!$F$4:$F$1000&lt;&gt;"Low"))=0),"Conditionally Passed","Failed"),IF($M946="Done","Passed","Not Run")))))</f>
        <v/>
      </c>
      <c r="Y946" s="27" t="str" cm="1">
        <f t="array" ref="Y946">IF($A946="","",IF(TRIM($B946)="","-",IFERROR(_xlfn.TEXTJOIN(" / ",TRUE,_xlfn.UNIQUE(_xlfn._xlws.FILTER('Ownership Matrix'!$C$5:$C$200,('Ownership Matrix'!$A$5:$A$200=TRIM($B946))*('Ownership Matrix'!$C$5:$C$200&lt;&gt;"")))),"ไม่พบใน Ownership Matrix")))</f>
        <v/>
      </c>
      <c r="Z946" s="31" t="str">
        <f>IF(NOT(AND($A946&lt;&gt;"",$M946&lt;&gt;"Out of Scope",$M946&lt;&gt;"Canceled",$T946&lt;&gt;"Fixed – Retest Passed",OR(LEN(TRIM($O946))&gt;0,LEN(TRIM($P946))&gt;0))),"",IF(OR($W946="Failed",$R946="Urgent",$R946="High",$R946="ระบุ Severity + Impact"),IF(COUNTIFS(Dashboard!$B$105:$B$124,$O946,Dashboard!$I$105:$I$124,"CAB")&gt;0,"Accepted (CF)","Blocking"),"Deferrable"))</f>
        <v/>
      </c>
    </row>
    <row r="947" spans="7:26" x14ac:dyDescent="0.3">
      <c r="G947" s="27" t="str" cm="1">
        <f t="array" ref="G947">IF($A947="","",IFERROR(_xlfn.TEXTJOIN(CHAR(10)&amp;CHAR(10),TRUE,_xlfn._xlws.FILTER("•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"&amp;Cards!$L$4:$L$1000),(Cards!$A$4:$A$1000&lt;&gt;"")*ISNUMBER(SEARCH($A947,Cards!$E$4:$E$1000)))),"-"))</f>
        <v/>
      </c>
      <c r="Q947" s="30"/>
      <c r="R947" s="27" t="str">
        <f>IF(OR($A947="",LEN(TRIM($O947))=0),"",IF(OR($P947="",$Q947=""),"ระบุ Severity + Impact",IFERROR(INDEX({"Urgent","Urgent","High","High";"Urgent","High","High","Medium";"High","High","Medium","Medium";"Medium","Medium","Low","Low"},MATCH($P947,{"Critical","High","Medium","Low"},0),MATCH($Q947,{"Extensive","Significant","Moderate","Minor"},0)),"-")))</f>
        <v/>
      </c>
      <c r="S947" s="30"/>
      <c r="T947" s="30"/>
      <c r="W947" s="32" t="str">
        <f>IF($A947="","",IF(OR($M947="Out of Scope",$M947="Canceled"),"Out of Scope",IF($M947="Blocked","Blocked",IF(AND($T947&lt;&gt;"Fixed – Retest Passed",OR(LEN(TRIM($O947))&gt;0,LEN(TRIM($P947))&gt;0)),IF(AND(OR($L947="Medium",$L947="Low"),SUMPRODUCT((Cards!$A$4:$A$1000&lt;&gt;"")*ISNUMBER(SEARCH($A947,Cards!$E$4:$E$1000))*(Cards!$F$4:$F$1000&lt;&gt;"Medium")*(Cards!$F$4:$F$1000&lt;&gt;"Low"))=0),"Conditionally Passed","Failed"),IF($M947="Done","Passed","Not Run")))))</f>
        <v/>
      </c>
      <c r="Y947" s="27" t="str" cm="1">
        <f t="array" ref="Y947">IF($A947="","",IF(TRIM($B947)="","-",IFERROR(_xlfn.TEXTJOIN(" / ",TRUE,_xlfn.UNIQUE(_xlfn._xlws.FILTER('Ownership Matrix'!$C$5:$C$200,('Ownership Matrix'!$A$5:$A$200=TRIM($B947))*('Ownership Matrix'!$C$5:$C$200&lt;&gt;"")))),"ไม่พบใน Ownership Matrix")))</f>
        <v/>
      </c>
      <c r="Z947" s="31" t="str">
        <f>IF(NOT(AND($A947&lt;&gt;"",$M947&lt;&gt;"Out of Scope",$M947&lt;&gt;"Canceled",$T947&lt;&gt;"Fixed – Retest Passed",OR(LEN(TRIM($O947))&gt;0,LEN(TRIM($P947))&gt;0))),"",IF(OR($W947="Failed",$R947="Urgent",$R947="High",$R947="ระบุ Severity + Impact"),IF(COUNTIFS(Dashboard!$B$105:$B$124,$O947,Dashboard!$I$105:$I$124,"CAB")&gt;0,"Accepted (CF)","Blocking"),"Deferrable"))</f>
        <v/>
      </c>
    </row>
    <row r="948" spans="7:26" x14ac:dyDescent="0.3">
      <c r="G948" s="27" t="str" cm="1">
        <f t="array" ref="G948">IF($A948="","",IFERROR(_xlfn.TEXTJOIN(CHAR(10)&amp;CHAR(10),TRUE,_xlfn._xlws.FILTER("•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"&amp;Cards!$L$4:$L$1000),(Cards!$A$4:$A$1000&lt;&gt;"")*ISNUMBER(SEARCH($A948,Cards!$E$4:$E$1000)))),"-"))</f>
        <v/>
      </c>
      <c r="Q948" s="30"/>
      <c r="R948" s="27" t="str">
        <f>IF(OR($A948="",LEN(TRIM($O948))=0),"",IF(OR($P948="",$Q948=""),"ระบุ Severity + Impact",IFERROR(INDEX({"Urgent","Urgent","High","High";"Urgent","High","High","Medium";"High","High","Medium","Medium";"Medium","Medium","Low","Low"},MATCH($P948,{"Critical","High","Medium","Low"},0),MATCH($Q948,{"Extensive","Significant","Moderate","Minor"},0)),"-")))</f>
        <v/>
      </c>
      <c r="S948" s="30"/>
      <c r="T948" s="30"/>
      <c r="W948" s="32" t="str">
        <f>IF($A948="","",IF(OR($M948="Out of Scope",$M948="Canceled"),"Out of Scope",IF($M948="Blocked","Blocked",IF(AND($T948&lt;&gt;"Fixed – Retest Passed",OR(LEN(TRIM($O948))&gt;0,LEN(TRIM($P948))&gt;0)),IF(AND(OR($L948="Medium",$L948="Low"),SUMPRODUCT((Cards!$A$4:$A$1000&lt;&gt;"")*ISNUMBER(SEARCH($A948,Cards!$E$4:$E$1000))*(Cards!$F$4:$F$1000&lt;&gt;"Medium")*(Cards!$F$4:$F$1000&lt;&gt;"Low"))=0),"Conditionally Passed","Failed"),IF($M948="Done","Passed","Not Run")))))</f>
        <v/>
      </c>
      <c r="Y948" s="27" t="str" cm="1">
        <f t="array" ref="Y948">IF($A948="","",IF(TRIM($B948)="","-",IFERROR(_xlfn.TEXTJOIN(" / ",TRUE,_xlfn.UNIQUE(_xlfn._xlws.FILTER('Ownership Matrix'!$C$5:$C$200,('Ownership Matrix'!$A$5:$A$200=TRIM($B948))*('Ownership Matrix'!$C$5:$C$200&lt;&gt;"")))),"ไม่พบใน Ownership Matrix")))</f>
        <v/>
      </c>
      <c r="Z948" s="31" t="str">
        <f>IF(NOT(AND($A948&lt;&gt;"",$M948&lt;&gt;"Out of Scope",$M948&lt;&gt;"Canceled",$T948&lt;&gt;"Fixed – Retest Passed",OR(LEN(TRIM($O948))&gt;0,LEN(TRIM($P948))&gt;0))),"",IF(OR($W948="Failed",$R948="Urgent",$R948="High",$R948="ระบุ Severity + Impact"),IF(COUNTIFS(Dashboard!$B$105:$B$124,$O948,Dashboard!$I$105:$I$124,"CAB")&gt;0,"Accepted (CF)","Blocking"),"Deferrable"))</f>
        <v/>
      </c>
    </row>
    <row r="949" spans="7:26" x14ac:dyDescent="0.3">
      <c r="G949" s="27" t="str" cm="1">
        <f t="array" ref="G949">IF($A949="","",IFERROR(_xlfn.TEXTJOIN(CHAR(10)&amp;CHAR(10),TRUE,_xlfn._xlws.FILTER("•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"&amp;Cards!$L$4:$L$1000),(Cards!$A$4:$A$1000&lt;&gt;"")*ISNUMBER(SEARCH($A949,Cards!$E$4:$E$1000)))),"-"))</f>
        <v/>
      </c>
      <c r="Q949" s="30"/>
      <c r="R949" s="27" t="str">
        <f>IF(OR($A949="",LEN(TRIM($O949))=0),"",IF(OR($P949="",$Q949=""),"ระบุ Severity + Impact",IFERROR(INDEX({"Urgent","Urgent","High","High";"Urgent","High","High","Medium";"High","High","Medium","Medium";"Medium","Medium","Low","Low"},MATCH($P949,{"Critical","High","Medium","Low"},0),MATCH($Q949,{"Extensive","Significant","Moderate","Minor"},0)),"-")))</f>
        <v/>
      </c>
      <c r="S949" s="30"/>
      <c r="T949" s="30"/>
      <c r="W949" s="32" t="str">
        <f>IF($A949="","",IF(OR($M949="Out of Scope",$M949="Canceled"),"Out of Scope",IF($M949="Blocked","Blocked",IF(AND($T949&lt;&gt;"Fixed – Retest Passed",OR(LEN(TRIM($O949))&gt;0,LEN(TRIM($P949))&gt;0)),IF(AND(OR($L949="Medium",$L949="Low"),SUMPRODUCT((Cards!$A$4:$A$1000&lt;&gt;"")*ISNUMBER(SEARCH($A949,Cards!$E$4:$E$1000))*(Cards!$F$4:$F$1000&lt;&gt;"Medium")*(Cards!$F$4:$F$1000&lt;&gt;"Low"))=0),"Conditionally Passed","Failed"),IF($M949="Done","Passed","Not Run")))))</f>
        <v/>
      </c>
      <c r="Y949" s="27" t="str" cm="1">
        <f t="array" ref="Y949">IF($A949="","",IF(TRIM($B949)="","-",IFERROR(_xlfn.TEXTJOIN(" / ",TRUE,_xlfn.UNIQUE(_xlfn._xlws.FILTER('Ownership Matrix'!$C$5:$C$200,('Ownership Matrix'!$A$5:$A$200=TRIM($B949))*('Ownership Matrix'!$C$5:$C$200&lt;&gt;"")))),"ไม่พบใน Ownership Matrix")))</f>
        <v/>
      </c>
      <c r="Z949" s="31" t="str">
        <f>IF(NOT(AND($A949&lt;&gt;"",$M949&lt;&gt;"Out of Scope",$M949&lt;&gt;"Canceled",$T949&lt;&gt;"Fixed – Retest Passed",OR(LEN(TRIM($O949))&gt;0,LEN(TRIM($P949))&gt;0))),"",IF(OR($W949="Failed",$R949="Urgent",$R949="High",$R949="ระบุ Severity + Impact"),IF(COUNTIFS(Dashboard!$B$105:$B$124,$O949,Dashboard!$I$105:$I$124,"CAB")&gt;0,"Accepted (CF)","Blocking"),"Deferrable"))</f>
        <v/>
      </c>
    </row>
    <row r="950" spans="7:26" x14ac:dyDescent="0.3">
      <c r="G950" s="27" t="str" cm="1">
        <f t="array" ref="G950">IF($A950="","",IFERROR(_xlfn.TEXTJOIN(CHAR(10)&amp;CHAR(10),TRUE,_xlfn._xlws.FILTER("•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"&amp;Cards!$L$4:$L$1000),(Cards!$A$4:$A$1000&lt;&gt;"")*ISNUMBER(SEARCH($A950,Cards!$E$4:$E$1000)))),"-"))</f>
        <v/>
      </c>
      <c r="Q950" s="30"/>
      <c r="R950" s="27" t="str">
        <f>IF(OR($A950="",LEN(TRIM($O950))=0),"",IF(OR($P950="",$Q950=""),"ระบุ Severity + Impact",IFERROR(INDEX({"Urgent","Urgent","High","High";"Urgent","High","High","Medium";"High","High","Medium","Medium";"Medium","Medium","Low","Low"},MATCH($P950,{"Critical","High","Medium","Low"},0),MATCH($Q950,{"Extensive","Significant","Moderate","Minor"},0)),"-")))</f>
        <v/>
      </c>
      <c r="S950" s="30"/>
      <c r="T950" s="30"/>
      <c r="W950" s="32" t="str">
        <f>IF($A950="","",IF(OR($M950="Out of Scope",$M950="Canceled"),"Out of Scope",IF($M950="Blocked","Blocked",IF(AND($T950&lt;&gt;"Fixed – Retest Passed",OR(LEN(TRIM($O950))&gt;0,LEN(TRIM($P950))&gt;0)),IF(AND(OR($L950="Medium",$L950="Low"),SUMPRODUCT((Cards!$A$4:$A$1000&lt;&gt;"")*ISNUMBER(SEARCH($A950,Cards!$E$4:$E$1000))*(Cards!$F$4:$F$1000&lt;&gt;"Medium")*(Cards!$F$4:$F$1000&lt;&gt;"Low"))=0),"Conditionally Passed","Failed"),IF($M950="Done","Passed","Not Run")))))</f>
        <v/>
      </c>
      <c r="Y950" s="27" t="str" cm="1">
        <f t="array" ref="Y950">IF($A950="","",IF(TRIM($B950)="","-",IFERROR(_xlfn.TEXTJOIN(" / ",TRUE,_xlfn.UNIQUE(_xlfn._xlws.FILTER('Ownership Matrix'!$C$5:$C$200,('Ownership Matrix'!$A$5:$A$200=TRIM($B950))*('Ownership Matrix'!$C$5:$C$200&lt;&gt;"")))),"ไม่พบใน Ownership Matrix")))</f>
        <v/>
      </c>
      <c r="Z950" s="31" t="str">
        <f>IF(NOT(AND($A950&lt;&gt;"",$M950&lt;&gt;"Out of Scope",$M950&lt;&gt;"Canceled",$T950&lt;&gt;"Fixed – Retest Passed",OR(LEN(TRIM($O950))&gt;0,LEN(TRIM($P950))&gt;0))),"",IF(OR($W950="Failed",$R950="Urgent",$R950="High",$R950="ระบุ Severity + Impact"),IF(COUNTIFS(Dashboard!$B$105:$B$124,$O950,Dashboard!$I$105:$I$124,"CAB")&gt;0,"Accepted (CF)","Blocking"),"Deferrable"))</f>
        <v/>
      </c>
    </row>
    <row r="951" spans="7:26" x14ac:dyDescent="0.3">
      <c r="G951" s="27" t="str" cm="1">
        <f t="array" ref="G951">IF($A951="","",IFERROR(_xlfn.TEXTJOIN(CHAR(10)&amp;CHAR(10),TRUE,_xlfn._xlws.FILTER("•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"&amp;Cards!$L$4:$L$1000),(Cards!$A$4:$A$1000&lt;&gt;"")*ISNUMBER(SEARCH($A951,Cards!$E$4:$E$1000)))),"-"))</f>
        <v/>
      </c>
      <c r="Q951" s="30"/>
      <c r="R951" s="27" t="str">
        <f>IF(OR($A951="",LEN(TRIM($O951))=0),"",IF(OR($P951="",$Q951=""),"ระบุ Severity + Impact",IFERROR(INDEX({"Urgent","Urgent","High","High";"Urgent","High","High","Medium";"High","High","Medium","Medium";"Medium","Medium","Low","Low"},MATCH($P951,{"Critical","High","Medium","Low"},0),MATCH($Q951,{"Extensive","Significant","Moderate","Minor"},0)),"-")))</f>
        <v/>
      </c>
      <c r="S951" s="30"/>
      <c r="T951" s="30"/>
      <c r="W951" s="32" t="str">
        <f>IF($A951="","",IF(OR($M951="Out of Scope",$M951="Canceled"),"Out of Scope",IF($M951="Blocked","Blocked",IF(AND($T951&lt;&gt;"Fixed – Retest Passed",OR(LEN(TRIM($O951))&gt;0,LEN(TRIM($P951))&gt;0)),IF(AND(OR($L951="Medium",$L951="Low"),SUMPRODUCT((Cards!$A$4:$A$1000&lt;&gt;"")*ISNUMBER(SEARCH($A951,Cards!$E$4:$E$1000))*(Cards!$F$4:$F$1000&lt;&gt;"Medium")*(Cards!$F$4:$F$1000&lt;&gt;"Low"))=0),"Conditionally Passed","Failed"),IF($M951="Done","Passed","Not Run")))))</f>
        <v/>
      </c>
      <c r="Y951" s="27" t="str" cm="1">
        <f t="array" ref="Y951">IF($A951="","",IF(TRIM($B951)="","-",IFERROR(_xlfn.TEXTJOIN(" / ",TRUE,_xlfn.UNIQUE(_xlfn._xlws.FILTER('Ownership Matrix'!$C$5:$C$200,('Ownership Matrix'!$A$5:$A$200=TRIM($B951))*('Ownership Matrix'!$C$5:$C$200&lt;&gt;"")))),"ไม่พบใน Ownership Matrix")))</f>
        <v/>
      </c>
      <c r="Z951" s="31" t="str">
        <f>IF(NOT(AND($A951&lt;&gt;"",$M951&lt;&gt;"Out of Scope",$M951&lt;&gt;"Canceled",$T951&lt;&gt;"Fixed – Retest Passed",OR(LEN(TRIM($O951))&gt;0,LEN(TRIM($P951))&gt;0))),"",IF(OR($W951="Failed",$R951="Urgent",$R951="High",$R951="ระบุ Severity + Impact"),IF(COUNTIFS(Dashboard!$B$105:$B$124,$O951,Dashboard!$I$105:$I$124,"CAB")&gt;0,"Accepted (CF)","Blocking"),"Deferrable"))</f>
        <v/>
      </c>
    </row>
    <row r="952" spans="7:26" x14ac:dyDescent="0.3">
      <c r="G952" s="27" t="str" cm="1">
        <f t="array" ref="G952">IF($A952="","",IFERROR(_xlfn.TEXTJOIN(CHAR(10)&amp;CHAR(10),TRUE,_xlfn._xlws.FILTER("•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"&amp;Cards!$L$4:$L$1000),(Cards!$A$4:$A$1000&lt;&gt;"")*ISNUMBER(SEARCH($A952,Cards!$E$4:$E$1000)))),"-"))</f>
        <v/>
      </c>
      <c r="Q952" s="30"/>
      <c r="R952" s="27" t="str">
        <f>IF(OR($A952="",LEN(TRIM($O952))=0),"",IF(OR($P952="",$Q952=""),"ระบุ Severity + Impact",IFERROR(INDEX({"Urgent","Urgent","High","High";"Urgent","High","High","Medium";"High","High","Medium","Medium";"Medium","Medium","Low","Low"},MATCH($P952,{"Critical","High","Medium","Low"},0),MATCH($Q952,{"Extensive","Significant","Moderate","Minor"},0)),"-")))</f>
        <v/>
      </c>
      <c r="S952" s="30"/>
      <c r="T952" s="30"/>
      <c r="W952" s="32" t="str">
        <f>IF($A952="","",IF(OR($M952="Out of Scope",$M952="Canceled"),"Out of Scope",IF($M952="Blocked","Blocked",IF(AND($T952&lt;&gt;"Fixed – Retest Passed",OR(LEN(TRIM($O952))&gt;0,LEN(TRIM($P952))&gt;0)),IF(AND(OR($L952="Medium",$L952="Low"),SUMPRODUCT((Cards!$A$4:$A$1000&lt;&gt;"")*ISNUMBER(SEARCH($A952,Cards!$E$4:$E$1000))*(Cards!$F$4:$F$1000&lt;&gt;"Medium")*(Cards!$F$4:$F$1000&lt;&gt;"Low"))=0),"Conditionally Passed","Failed"),IF($M952="Done","Passed","Not Run")))))</f>
        <v/>
      </c>
      <c r="Y952" s="27" t="str" cm="1">
        <f t="array" ref="Y952">IF($A952="","",IF(TRIM($B952)="","-",IFERROR(_xlfn.TEXTJOIN(" / ",TRUE,_xlfn.UNIQUE(_xlfn._xlws.FILTER('Ownership Matrix'!$C$5:$C$200,('Ownership Matrix'!$A$5:$A$200=TRIM($B952))*('Ownership Matrix'!$C$5:$C$200&lt;&gt;"")))),"ไม่พบใน Ownership Matrix")))</f>
        <v/>
      </c>
      <c r="Z952" s="31" t="str">
        <f>IF(NOT(AND($A952&lt;&gt;"",$M952&lt;&gt;"Out of Scope",$M952&lt;&gt;"Canceled",$T952&lt;&gt;"Fixed – Retest Passed",OR(LEN(TRIM($O952))&gt;0,LEN(TRIM($P952))&gt;0))),"",IF(OR($W952="Failed",$R952="Urgent",$R952="High",$R952="ระบุ Severity + Impact"),IF(COUNTIFS(Dashboard!$B$105:$B$124,$O952,Dashboard!$I$105:$I$124,"CAB")&gt;0,"Accepted (CF)","Blocking"),"Deferrable"))</f>
        <v/>
      </c>
    </row>
    <row r="953" spans="7:26" x14ac:dyDescent="0.3">
      <c r="G953" s="27" t="str" cm="1">
        <f t="array" ref="G953">IF($A953="","",IFERROR(_xlfn.TEXTJOIN(CHAR(10)&amp;CHAR(10),TRUE,_xlfn._xlws.FILTER("•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"&amp;Cards!$L$4:$L$1000),(Cards!$A$4:$A$1000&lt;&gt;"")*ISNUMBER(SEARCH($A953,Cards!$E$4:$E$1000)))),"-"))</f>
        <v/>
      </c>
      <c r="Q953" s="30"/>
      <c r="R953" s="27" t="str">
        <f>IF(OR($A953="",LEN(TRIM($O953))=0),"",IF(OR($P953="",$Q953=""),"ระบุ Severity + Impact",IFERROR(INDEX({"Urgent","Urgent","High","High";"Urgent","High","High","Medium";"High","High","Medium","Medium";"Medium","Medium","Low","Low"},MATCH($P953,{"Critical","High","Medium","Low"},0),MATCH($Q953,{"Extensive","Significant","Moderate","Minor"},0)),"-")))</f>
        <v/>
      </c>
      <c r="S953" s="30"/>
      <c r="T953" s="30"/>
      <c r="W953" s="32" t="str">
        <f>IF($A953="","",IF(OR($M953="Out of Scope",$M953="Canceled"),"Out of Scope",IF($M953="Blocked","Blocked",IF(AND($T953&lt;&gt;"Fixed – Retest Passed",OR(LEN(TRIM($O953))&gt;0,LEN(TRIM($P953))&gt;0)),IF(AND(OR($L953="Medium",$L953="Low"),SUMPRODUCT((Cards!$A$4:$A$1000&lt;&gt;"")*ISNUMBER(SEARCH($A953,Cards!$E$4:$E$1000))*(Cards!$F$4:$F$1000&lt;&gt;"Medium")*(Cards!$F$4:$F$1000&lt;&gt;"Low"))=0),"Conditionally Passed","Failed"),IF($M953="Done","Passed","Not Run")))))</f>
        <v/>
      </c>
      <c r="Y953" s="27" t="str" cm="1">
        <f t="array" ref="Y953">IF($A953="","",IF(TRIM($B953)="","-",IFERROR(_xlfn.TEXTJOIN(" / ",TRUE,_xlfn.UNIQUE(_xlfn._xlws.FILTER('Ownership Matrix'!$C$5:$C$200,('Ownership Matrix'!$A$5:$A$200=TRIM($B953))*('Ownership Matrix'!$C$5:$C$200&lt;&gt;"")))),"ไม่พบใน Ownership Matrix")))</f>
        <v/>
      </c>
      <c r="Z953" s="31" t="str">
        <f>IF(NOT(AND($A953&lt;&gt;"",$M953&lt;&gt;"Out of Scope",$M953&lt;&gt;"Canceled",$T953&lt;&gt;"Fixed – Retest Passed",OR(LEN(TRIM($O953))&gt;0,LEN(TRIM($P953))&gt;0))),"",IF(OR($W953="Failed",$R953="Urgent",$R953="High",$R953="ระบุ Severity + Impact"),IF(COUNTIFS(Dashboard!$B$105:$B$124,$O953,Dashboard!$I$105:$I$124,"CAB")&gt;0,"Accepted (CF)","Blocking"),"Deferrable"))</f>
        <v/>
      </c>
    </row>
    <row r="954" spans="7:26" x14ac:dyDescent="0.3">
      <c r="G954" s="27" t="str" cm="1">
        <f t="array" ref="G954">IF($A954="","",IFERROR(_xlfn.TEXTJOIN(CHAR(10)&amp;CHAR(10),TRUE,_xlfn._xlws.FILTER("•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"&amp;Cards!$L$4:$L$1000),(Cards!$A$4:$A$1000&lt;&gt;"")*ISNUMBER(SEARCH($A954,Cards!$E$4:$E$1000)))),"-"))</f>
        <v/>
      </c>
      <c r="Q954" s="30"/>
      <c r="R954" s="27" t="str">
        <f>IF(OR($A954="",LEN(TRIM($O954))=0),"",IF(OR($P954="",$Q954=""),"ระบุ Severity + Impact",IFERROR(INDEX({"Urgent","Urgent","High","High";"Urgent","High","High","Medium";"High","High","Medium","Medium";"Medium","Medium","Low","Low"},MATCH($P954,{"Critical","High","Medium","Low"},0),MATCH($Q954,{"Extensive","Significant","Moderate","Minor"},0)),"-")))</f>
        <v/>
      </c>
      <c r="S954" s="30"/>
      <c r="T954" s="30"/>
      <c r="W954" s="32" t="str">
        <f>IF($A954="","",IF(OR($M954="Out of Scope",$M954="Canceled"),"Out of Scope",IF($M954="Blocked","Blocked",IF(AND($T954&lt;&gt;"Fixed – Retest Passed",OR(LEN(TRIM($O954))&gt;0,LEN(TRIM($P954))&gt;0)),IF(AND(OR($L954="Medium",$L954="Low"),SUMPRODUCT((Cards!$A$4:$A$1000&lt;&gt;"")*ISNUMBER(SEARCH($A954,Cards!$E$4:$E$1000))*(Cards!$F$4:$F$1000&lt;&gt;"Medium")*(Cards!$F$4:$F$1000&lt;&gt;"Low"))=0),"Conditionally Passed","Failed"),IF($M954="Done","Passed","Not Run")))))</f>
        <v/>
      </c>
      <c r="Y954" s="27" t="str" cm="1">
        <f t="array" ref="Y954">IF($A954="","",IF(TRIM($B954)="","-",IFERROR(_xlfn.TEXTJOIN(" / ",TRUE,_xlfn.UNIQUE(_xlfn._xlws.FILTER('Ownership Matrix'!$C$5:$C$200,('Ownership Matrix'!$A$5:$A$200=TRIM($B954))*('Ownership Matrix'!$C$5:$C$200&lt;&gt;"")))),"ไม่พบใน Ownership Matrix")))</f>
        <v/>
      </c>
      <c r="Z954" s="31" t="str">
        <f>IF(NOT(AND($A954&lt;&gt;"",$M954&lt;&gt;"Out of Scope",$M954&lt;&gt;"Canceled",$T954&lt;&gt;"Fixed – Retest Passed",OR(LEN(TRIM($O954))&gt;0,LEN(TRIM($P954))&gt;0))),"",IF(OR($W954="Failed",$R954="Urgent",$R954="High",$R954="ระบุ Severity + Impact"),IF(COUNTIFS(Dashboard!$B$105:$B$124,$O954,Dashboard!$I$105:$I$124,"CAB")&gt;0,"Accepted (CF)","Blocking"),"Deferrable"))</f>
        <v/>
      </c>
    </row>
    <row r="955" spans="7:26" x14ac:dyDescent="0.3">
      <c r="G955" s="27" t="str" cm="1">
        <f t="array" ref="G955">IF($A955="","",IFERROR(_xlfn.TEXTJOIN(CHAR(10)&amp;CHAR(10),TRUE,_xlfn._xlws.FILTER("•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"&amp;Cards!$L$4:$L$1000),(Cards!$A$4:$A$1000&lt;&gt;"")*ISNUMBER(SEARCH($A955,Cards!$E$4:$E$1000)))),"-"))</f>
        <v/>
      </c>
      <c r="Q955" s="30"/>
      <c r="R955" s="27" t="str">
        <f>IF(OR($A955="",LEN(TRIM($O955))=0),"",IF(OR($P955="",$Q955=""),"ระบุ Severity + Impact",IFERROR(INDEX({"Urgent","Urgent","High","High";"Urgent","High","High","Medium";"High","High","Medium","Medium";"Medium","Medium","Low","Low"},MATCH($P955,{"Critical","High","Medium","Low"},0),MATCH($Q955,{"Extensive","Significant","Moderate","Minor"},0)),"-")))</f>
        <v/>
      </c>
      <c r="S955" s="30"/>
      <c r="T955" s="30"/>
      <c r="W955" s="32" t="str">
        <f>IF($A955="","",IF(OR($M955="Out of Scope",$M955="Canceled"),"Out of Scope",IF($M955="Blocked","Blocked",IF(AND($T955&lt;&gt;"Fixed – Retest Passed",OR(LEN(TRIM($O955))&gt;0,LEN(TRIM($P955))&gt;0)),IF(AND(OR($L955="Medium",$L955="Low"),SUMPRODUCT((Cards!$A$4:$A$1000&lt;&gt;"")*ISNUMBER(SEARCH($A955,Cards!$E$4:$E$1000))*(Cards!$F$4:$F$1000&lt;&gt;"Medium")*(Cards!$F$4:$F$1000&lt;&gt;"Low"))=0),"Conditionally Passed","Failed"),IF($M955="Done","Passed","Not Run")))))</f>
        <v/>
      </c>
      <c r="Y955" s="27" t="str" cm="1">
        <f t="array" ref="Y955">IF($A955="","",IF(TRIM($B955)="","-",IFERROR(_xlfn.TEXTJOIN(" / ",TRUE,_xlfn.UNIQUE(_xlfn._xlws.FILTER('Ownership Matrix'!$C$5:$C$200,('Ownership Matrix'!$A$5:$A$200=TRIM($B955))*('Ownership Matrix'!$C$5:$C$200&lt;&gt;"")))),"ไม่พบใน Ownership Matrix")))</f>
        <v/>
      </c>
      <c r="Z955" s="31" t="str">
        <f>IF(NOT(AND($A955&lt;&gt;"",$M955&lt;&gt;"Out of Scope",$M955&lt;&gt;"Canceled",$T955&lt;&gt;"Fixed – Retest Passed",OR(LEN(TRIM($O955))&gt;0,LEN(TRIM($P955))&gt;0))),"",IF(OR($W955="Failed",$R955="Urgent",$R955="High",$R955="ระบุ Severity + Impact"),IF(COUNTIFS(Dashboard!$B$105:$B$124,$O955,Dashboard!$I$105:$I$124,"CAB")&gt;0,"Accepted (CF)","Blocking"),"Deferrable"))</f>
        <v/>
      </c>
    </row>
    <row r="956" spans="7:26" x14ac:dyDescent="0.3">
      <c r="G956" s="27" t="str" cm="1">
        <f t="array" ref="G956">IF($A956="","",IFERROR(_xlfn.TEXTJOIN(CHAR(10)&amp;CHAR(10),TRUE,_xlfn._xlws.FILTER("•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"&amp;Cards!$L$4:$L$1000),(Cards!$A$4:$A$1000&lt;&gt;"")*ISNUMBER(SEARCH($A956,Cards!$E$4:$E$1000)))),"-"))</f>
        <v/>
      </c>
      <c r="Q956" s="30"/>
      <c r="R956" s="27" t="str">
        <f>IF(OR($A956="",LEN(TRIM($O956))=0),"",IF(OR($P956="",$Q956=""),"ระบุ Severity + Impact",IFERROR(INDEX({"Urgent","Urgent","High","High";"Urgent","High","High","Medium";"High","High","Medium","Medium";"Medium","Medium","Low","Low"},MATCH($P956,{"Critical","High","Medium","Low"},0),MATCH($Q956,{"Extensive","Significant","Moderate","Minor"},0)),"-")))</f>
        <v/>
      </c>
      <c r="S956" s="30"/>
      <c r="T956" s="30"/>
      <c r="W956" s="32" t="str">
        <f>IF($A956="","",IF(OR($M956="Out of Scope",$M956="Canceled"),"Out of Scope",IF($M956="Blocked","Blocked",IF(AND($T956&lt;&gt;"Fixed – Retest Passed",OR(LEN(TRIM($O956))&gt;0,LEN(TRIM($P956))&gt;0)),IF(AND(OR($L956="Medium",$L956="Low"),SUMPRODUCT((Cards!$A$4:$A$1000&lt;&gt;"")*ISNUMBER(SEARCH($A956,Cards!$E$4:$E$1000))*(Cards!$F$4:$F$1000&lt;&gt;"Medium")*(Cards!$F$4:$F$1000&lt;&gt;"Low"))=0),"Conditionally Passed","Failed"),IF($M956="Done","Passed","Not Run")))))</f>
        <v/>
      </c>
      <c r="Y956" s="27" t="str" cm="1">
        <f t="array" ref="Y956">IF($A956="","",IF(TRIM($B956)="","-",IFERROR(_xlfn.TEXTJOIN(" / ",TRUE,_xlfn.UNIQUE(_xlfn._xlws.FILTER('Ownership Matrix'!$C$5:$C$200,('Ownership Matrix'!$A$5:$A$200=TRIM($B956))*('Ownership Matrix'!$C$5:$C$200&lt;&gt;"")))),"ไม่พบใน Ownership Matrix")))</f>
        <v/>
      </c>
      <c r="Z956" s="31" t="str">
        <f>IF(NOT(AND($A956&lt;&gt;"",$M956&lt;&gt;"Out of Scope",$M956&lt;&gt;"Canceled",$T956&lt;&gt;"Fixed – Retest Passed",OR(LEN(TRIM($O956))&gt;0,LEN(TRIM($P956))&gt;0))),"",IF(OR($W956="Failed",$R956="Urgent",$R956="High",$R956="ระบุ Severity + Impact"),IF(COUNTIFS(Dashboard!$B$105:$B$124,$O956,Dashboard!$I$105:$I$124,"CAB")&gt;0,"Accepted (CF)","Blocking"),"Deferrable"))</f>
        <v/>
      </c>
    </row>
    <row r="957" spans="7:26" x14ac:dyDescent="0.3">
      <c r="G957" s="27" t="str" cm="1">
        <f t="array" ref="G957">IF($A957="","",IFERROR(_xlfn.TEXTJOIN(CHAR(10)&amp;CHAR(10),TRUE,_xlfn._xlws.FILTER("•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"&amp;Cards!$L$4:$L$1000),(Cards!$A$4:$A$1000&lt;&gt;"")*ISNUMBER(SEARCH($A957,Cards!$E$4:$E$1000)))),"-"))</f>
        <v/>
      </c>
      <c r="Q957" s="30"/>
      <c r="R957" s="27" t="str">
        <f>IF(OR($A957="",LEN(TRIM($O957))=0),"",IF(OR($P957="",$Q957=""),"ระบุ Severity + Impact",IFERROR(INDEX({"Urgent","Urgent","High","High";"Urgent","High","High","Medium";"High","High","Medium","Medium";"Medium","Medium","Low","Low"},MATCH($P957,{"Critical","High","Medium","Low"},0),MATCH($Q957,{"Extensive","Significant","Moderate","Minor"},0)),"-")))</f>
        <v/>
      </c>
      <c r="S957" s="30"/>
      <c r="T957" s="30"/>
      <c r="W957" s="32" t="str">
        <f>IF($A957="","",IF(OR($M957="Out of Scope",$M957="Canceled"),"Out of Scope",IF($M957="Blocked","Blocked",IF(AND($T957&lt;&gt;"Fixed – Retest Passed",OR(LEN(TRIM($O957))&gt;0,LEN(TRIM($P957))&gt;0)),IF(AND(OR($L957="Medium",$L957="Low"),SUMPRODUCT((Cards!$A$4:$A$1000&lt;&gt;"")*ISNUMBER(SEARCH($A957,Cards!$E$4:$E$1000))*(Cards!$F$4:$F$1000&lt;&gt;"Medium")*(Cards!$F$4:$F$1000&lt;&gt;"Low"))=0),"Conditionally Passed","Failed"),IF($M957="Done","Passed","Not Run")))))</f>
        <v/>
      </c>
      <c r="Y957" s="27" t="str" cm="1">
        <f t="array" ref="Y957">IF($A957="","",IF(TRIM($B957)="","-",IFERROR(_xlfn.TEXTJOIN(" / ",TRUE,_xlfn.UNIQUE(_xlfn._xlws.FILTER('Ownership Matrix'!$C$5:$C$200,('Ownership Matrix'!$A$5:$A$200=TRIM($B957))*('Ownership Matrix'!$C$5:$C$200&lt;&gt;"")))),"ไม่พบใน Ownership Matrix")))</f>
        <v/>
      </c>
      <c r="Z957" s="31" t="str">
        <f>IF(NOT(AND($A957&lt;&gt;"",$M957&lt;&gt;"Out of Scope",$M957&lt;&gt;"Canceled",$T957&lt;&gt;"Fixed – Retest Passed",OR(LEN(TRIM($O957))&gt;0,LEN(TRIM($P957))&gt;0))),"",IF(OR($W957="Failed",$R957="Urgent",$R957="High",$R957="ระบุ Severity + Impact"),IF(COUNTIFS(Dashboard!$B$105:$B$124,$O957,Dashboard!$I$105:$I$124,"CAB")&gt;0,"Accepted (CF)","Blocking"),"Deferrable"))</f>
        <v/>
      </c>
    </row>
    <row r="958" spans="7:26" x14ac:dyDescent="0.3">
      <c r="G958" s="27" t="str" cm="1">
        <f t="array" ref="G958">IF($A958="","",IFERROR(_xlfn.TEXTJOIN(CHAR(10)&amp;CHAR(10),TRUE,_xlfn._xlws.FILTER("•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"&amp;Cards!$L$4:$L$1000),(Cards!$A$4:$A$1000&lt;&gt;"")*ISNUMBER(SEARCH($A958,Cards!$E$4:$E$1000)))),"-"))</f>
        <v/>
      </c>
      <c r="Q958" s="30"/>
      <c r="R958" s="27" t="str">
        <f>IF(OR($A958="",LEN(TRIM($O958))=0),"",IF(OR($P958="",$Q958=""),"ระบุ Severity + Impact",IFERROR(INDEX({"Urgent","Urgent","High","High";"Urgent","High","High","Medium";"High","High","Medium","Medium";"Medium","Medium","Low","Low"},MATCH($P958,{"Critical","High","Medium","Low"},0),MATCH($Q958,{"Extensive","Significant","Moderate","Minor"},0)),"-")))</f>
        <v/>
      </c>
      <c r="S958" s="30"/>
      <c r="T958" s="30"/>
      <c r="W958" s="32" t="str">
        <f>IF($A958="","",IF(OR($M958="Out of Scope",$M958="Canceled"),"Out of Scope",IF($M958="Blocked","Blocked",IF(AND($T958&lt;&gt;"Fixed – Retest Passed",OR(LEN(TRIM($O958))&gt;0,LEN(TRIM($P958))&gt;0)),IF(AND(OR($L958="Medium",$L958="Low"),SUMPRODUCT((Cards!$A$4:$A$1000&lt;&gt;"")*ISNUMBER(SEARCH($A958,Cards!$E$4:$E$1000))*(Cards!$F$4:$F$1000&lt;&gt;"Medium")*(Cards!$F$4:$F$1000&lt;&gt;"Low"))=0),"Conditionally Passed","Failed"),IF($M958="Done","Passed","Not Run")))))</f>
        <v/>
      </c>
      <c r="Y958" s="27" t="str" cm="1">
        <f t="array" ref="Y958">IF($A958="","",IF(TRIM($B958)="","-",IFERROR(_xlfn.TEXTJOIN(" / ",TRUE,_xlfn.UNIQUE(_xlfn._xlws.FILTER('Ownership Matrix'!$C$5:$C$200,('Ownership Matrix'!$A$5:$A$200=TRIM($B958))*('Ownership Matrix'!$C$5:$C$200&lt;&gt;"")))),"ไม่พบใน Ownership Matrix")))</f>
        <v/>
      </c>
      <c r="Z958" s="31" t="str">
        <f>IF(NOT(AND($A958&lt;&gt;"",$M958&lt;&gt;"Out of Scope",$M958&lt;&gt;"Canceled",$T958&lt;&gt;"Fixed – Retest Passed",OR(LEN(TRIM($O958))&gt;0,LEN(TRIM($P958))&gt;0))),"",IF(OR($W958="Failed",$R958="Urgent",$R958="High",$R958="ระบุ Severity + Impact"),IF(COUNTIFS(Dashboard!$B$105:$B$124,$O958,Dashboard!$I$105:$I$124,"CAB")&gt;0,"Accepted (CF)","Blocking"),"Deferrable"))</f>
        <v/>
      </c>
    </row>
    <row r="959" spans="7:26" x14ac:dyDescent="0.3">
      <c r="G959" s="27" t="str" cm="1">
        <f t="array" ref="G959">IF($A959="","",IFERROR(_xlfn.TEXTJOIN(CHAR(10)&amp;CHAR(10),TRUE,_xlfn._xlws.FILTER("•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"&amp;Cards!$L$4:$L$1000),(Cards!$A$4:$A$1000&lt;&gt;"")*ISNUMBER(SEARCH($A959,Cards!$E$4:$E$1000)))),"-"))</f>
        <v/>
      </c>
      <c r="Q959" s="30"/>
      <c r="R959" s="27" t="str">
        <f>IF(OR($A959="",LEN(TRIM($O959))=0),"",IF(OR($P959="",$Q959=""),"ระบุ Severity + Impact",IFERROR(INDEX({"Urgent","Urgent","High","High";"Urgent","High","High","Medium";"High","High","Medium","Medium";"Medium","Medium","Low","Low"},MATCH($P959,{"Critical","High","Medium","Low"},0),MATCH($Q959,{"Extensive","Significant","Moderate","Minor"},0)),"-")))</f>
        <v/>
      </c>
      <c r="S959" s="30"/>
      <c r="T959" s="30"/>
      <c r="W959" s="32" t="str">
        <f>IF($A959="","",IF(OR($M959="Out of Scope",$M959="Canceled"),"Out of Scope",IF($M959="Blocked","Blocked",IF(AND($T959&lt;&gt;"Fixed – Retest Passed",OR(LEN(TRIM($O959))&gt;0,LEN(TRIM($P959))&gt;0)),IF(AND(OR($L959="Medium",$L959="Low"),SUMPRODUCT((Cards!$A$4:$A$1000&lt;&gt;"")*ISNUMBER(SEARCH($A959,Cards!$E$4:$E$1000))*(Cards!$F$4:$F$1000&lt;&gt;"Medium")*(Cards!$F$4:$F$1000&lt;&gt;"Low"))=0),"Conditionally Passed","Failed"),IF($M959="Done","Passed","Not Run")))))</f>
        <v/>
      </c>
      <c r="Y959" s="27" t="str" cm="1">
        <f t="array" ref="Y959">IF($A959="","",IF(TRIM($B959)="","-",IFERROR(_xlfn.TEXTJOIN(" / ",TRUE,_xlfn.UNIQUE(_xlfn._xlws.FILTER('Ownership Matrix'!$C$5:$C$200,('Ownership Matrix'!$A$5:$A$200=TRIM($B959))*('Ownership Matrix'!$C$5:$C$200&lt;&gt;"")))),"ไม่พบใน Ownership Matrix")))</f>
        <v/>
      </c>
      <c r="Z959" s="31" t="str">
        <f>IF(NOT(AND($A959&lt;&gt;"",$M959&lt;&gt;"Out of Scope",$M959&lt;&gt;"Canceled",$T959&lt;&gt;"Fixed – Retest Passed",OR(LEN(TRIM($O959))&gt;0,LEN(TRIM($P959))&gt;0))),"",IF(OR($W959="Failed",$R959="Urgent",$R959="High",$R959="ระบุ Severity + Impact"),IF(COUNTIFS(Dashboard!$B$105:$B$124,$O959,Dashboard!$I$105:$I$124,"CAB")&gt;0,"Accepted (CF)","Blocking"),"Deferrable"))</f>
        <v/>
      </c>
    </row>
    <row r="960" spans="7:26" x14ac:dyDescent="0.3">
      <c r="G960" s="27" t="str" cm="1">
        <f t="array" ref="G960">IF($A960="","",IFERROR(_xlfn.TEXTJOIN(CHAR(10)&amp;CHAR(10),TRUE,_xlfn._xlws.FILTER("•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"&amp;Cards!$L$4:$L$1000),(Cards!$A$4:$A$1000&lt;&gt;"")*ISNUMBER(SEARCH($A960,Cards!$E$4:$E$1000)))),"-"))</f>
        <v/>
      </c>
      <c r="Q960" s="30"/>
      <c r="R960" s="27" t="str">
        <f>IF(OR($A960="",LEN(TRIM($O960))=0),"",IF(OR($P960="",$Q960=""),"ระบุ Severity + Impact",IFERROR(INDEX({"Urgent","Urgent","High","High";"Urgent","High","High","Medium";"High","High","Medium","Medium";"Medium","Medium","Low","Low"},MATCH($P960,{"Critical","High","Medium","Low"},0),MATCH($Q960,{"Extensive","Significant","Moderate","Minor"},0)),"-")))</f>
        <v/>
      </c>
      <c r="S960" s="30"/>
      <c r="T960" s="30"/>
      <c r="W960" s="32" t="str">
        <f>IF($A960="","",IF(OR($M960="Out of Scope",$M960="Canceled"),"Out of Scope",IF($M960="Blocked","Blocked",IF(AND($T960&lt;&gt;"Fixed – Retest Passed",OR(LEN(TRIM($O960))&gt;0,LEN(TRIM($P960))&gt;0)),IF(AND(OR($L960="Medium",$L960="Low"),SUMPRODUCT((Cards!$A$4:$A$1000&lt;&gt;"")*ISNUMBER(SEARCH($A960,Cards!$E$4:$E$1000))*(Cards!$F$4:$F$1000&lt;&gt;"Medium")*(Cards!$F$4:$F$1000&lt;&gt;"Low"))=0),"Conditionally Passed","Failed"),IF($M960="Done","Passed","Not Run")))))</f>
        <v/>
      </c>
      <c r="Y960" s="27" t="str" cm="1">
        <f t="array" ref="Y960">IF($A960="","",IF(TRIM($B960)="","-",IFERROR(_xlfn.TEXTJOIN(" / ",TRUE,_xlfn.UNIQUE(_xlfn._xlws.FILTER('Ownership Matrix'!$C$5:$C$200,('Ownership Matrix'!$A$5:$A$200=TRIM($B960))*('Ownership Matrix'!$C$5:$C$200&lt;&gt;"")))),"ไม่พบใน Ownership Matrix")))</f>
        <v/>
      </c>
      <c r="Z960" s="31" t="str">
        <f>IF(NOT(AND($A960&lt;&gt;"",$M960&lt;&gt;"Out of Scope",$M960&lt;&gt;"Canceled",$T960&lt;&gt;"Fixed – Retest Passed",OR(LEN(TRIM($O960))&gt;0,LEN(TRIM($P960))&gt;0))),"",IF(OR($W960="Failed",$R960="Urgent",$R960="High",$R960="ระบุ Severity + Impact"),IF(COUNTIFS(Dashboard!$B$105:$B$124,$O960,Dashboard!$I$105:$I$124,"CAB")&gt;0,"Accepted (CF)","Blocking"),"Deferrable"))</f>
        <v/>
      </c>
    </row>
    <row r="961" spans="7:26" x14ac:dyDescent="0.3">
      <c r="G961" s="27" t="str" cm="1">
        <f t="array" ref="G961">IF($A961="","",IFERROR(_xlfn.TEXTJOIN(CHAR(10)&amp;CHAR(10),TRUE,_xlfn._xlws.FILTER("•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"&amp;Cards!$L$4:$L$1000),(Cards!$A$4:$A$1000&lt;&gt;"")*ISNUMBER(SEARCH($A961,Cards!$E$4:$E$1000)))),"-"))</f>
        <v/>
      </c>
      <c r="Q961" s="30"/>
      <c r="R961" s="27" t="str">
        <f>IF(OR($A961="",LEN(TRIM($O961))=0),"",IF(OR($P961="",$Q961=""),"ระบุ Severity + Impact",IFERROR(INDEX({"Urgent","Urgent","High","High";"Urgent","High","High","Medium";"High","High","Medium","Medium";"Medium","Medium","Low","Low"},MATCH($P961,{"Critical","High","Medium","Low"},0),MATCH($Q961,{"Extensive","Significant","Moderate","Minor"},0)),"-")))</f>
        <v/>
      </c>
      <c r="S961" s="30"/>
      <c r="T961" s="30"/>
      <c r="W961" s="32" t="str">
        <f>IF($A961="","",IF(OR($M961="Out of Scope",$M961="Canceled"),"Out of Scope",IF($M961="Blocked","Blocked",IF(AND($T961&lt;&gt;"Fixed – Retest Passed",OR(LEN(TRIM($O961))&gt;0,LEN(TRIM($P961))&gt;0)),IF(AND(OR($L961="Medium",$L961="Low"),SUMPRODUCT((Cards!$A$4:$A$1000&lt;&gt;"")*ISNUMBER(SEARCH($A961,Cards!$E$4:$E$1000))*(Cards!$F$4:$F$1000&lt;&gt;"Medium")*(Cards!$F$4:$F$1000&lt;&gt;"Low"))=0),"Conditionally Passed","Failed"),IF($M961="Done","Passed","Not Run")))))</f>
        <v/>
      </c>
      <c r="Y961" s="27" t="str" cm="1">
        <f t="array" ref="Y961">IF($A961="","",IF(TRIM($B961)="","-",IFERROR(_xlfn.TEXTJOIN(" / ",TRUE,_xlfn.UNIQUE(_xlfn._xlws.FILTER('Ownership Matrix'!$C$5:$C$200,('Ownership Matrix'!$A$5:$A$200=TRIM($B961))*('Ownership Matrix'!$C$5:$C$200&lt;&gt;"")))),"ไม่พบใน Ownership Matrix")))</f>
        <v/>
      </c>
      <c r="Z961" s="31" t="str">
        <f>IF(NOT(AND($A961&lt;&gt;"",$M961&lt;&gt;"Out of Scope",$M961&lt;&gt;"Canceled",$T961&lt;&gt;"Fixed – Retest Passed",OR(LEN(TRIM($O961))&gt;0,LEN(TRIM($P961))&gt;0))),"",IF(OR($W961="Failed",$R961="Urgent",$R961="High",$R961="ระบุ Severity + Impact"),IF(COUNTIFS(Dashboard!$B$105:$B$124,$O961,Dashboard!$I$105:$I$124,"CAB")&gt;0,"Accepted (CF)","Blocking"),"Deferrable"))</f>
        <v/>
      </c>
    </row>
    <row r="962" spans="7:26" x14ac:dyDescent="0.3">
      <c r="G962" s="27" t="str" cm="1">
        <f t="array" ref="G962">IF($A962="","",IFERROR(_xlfn.TEXTJOIN(CHAR(10)&amp;CHAR(10),TRUE,_xlfn._xlws.FILTER("•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"&amp;Cards!$L$4:$L$1000),(Cards!$A$4:$A$1000&lt;&gt;"")*ISNUMBER(SEARCH($A962,Cards!$E$4:$E$1000)))),"-"))</f>
        <v/>
      </c>
      <c r="Q962" s="30"/>
      <c r="R962" s="27" t="str">
        <f>IF(OR($A962="",LEN(TRIM($O962))=0),"",IF(OR($P962="",$Q962=""),"ระบุ Severity + Impact",IFERROR(INDEX({"Urgent","Urgent","High","High";"Urgent","High","High","Medium";"High","High","Medium","Medium";"Medium","Medium","Low","Low"},MATCH($P962,{"Critical","High","Medium","Low"},0),MATCH($Q962,{"Extensive","Significant","Moderate","Minor"},0)),"-")))</f>
        <v/>
      </c>
      <c r="S962" s="30"/>
      <c r="T962" s="30"/>
      <c r="W962" s="32" t="str">
        <f>IF($A962="","",IF(OR($M962="Out of Scope",$M962="Canceled"),"Out of Scope",IF($M962="Blocked","Blocked",IF(AND($T962&lt;&gt;"Fixed – Retest Passed",OR(LEN(TRIM($O962))&gt;0,LEN(TRIM($P962))&gt;0)),IF(AND(OR($L962="Medium",$L962="Low"),SUMPRODUCT((Cards!$A$4:$A$1000&lt;&gt;"")*ISNUMBER(SEARCH($A962,Cards!$E$4:$E$1000))*(Cards!$F$4:$F$1000&lt;&gt;"Medium")*(Cards!$F$4:$F$1000&lt;&gt;"Low"))=0),"Conditionally Passed","Failed"),IF($M962="Done","Passed","Not Run")))))</f>
        <v/>
      </c>
      <c r="Y962" s="27" t="str" cm="1">
        <f t="array" ref="Y962">IF($A962="","",IF(TRIM($B962)="","-",IFERROR(_xlfn.TEXTJOIN(" / ",TRUE,_xlfn.UNIQUE(_xlfn._xlws.FILTER('Ownership Matrix'!$C$5:$C$200,('Ownership Matrix'!$A$5:$A$200=TRIM($B962))*('Ownership Matrix'!$C$5:$C$200&lt;&gt;"")))),"ไม่พบใน Ownership Matrix")))</f>
        <v/>
      </c>
      <c r="Z962" s="31" t="str">
        <f>IF(NOT(AND($A962&lt;&gt;"",$M962&lt;&gt;"Out of Scope",$M962&lt;&gt;"Canceled",$T962&lt;&gt;"Fixed – Retest Passed",OR(LEN(TRIM($O962))&gt;0,LEN(TRIM($P962))&gt;0))),"",IF(OR($W962="Failed",$R962="Urgent",$R962="High",$R962="ระบุ Severity + Impact"),IF(COUNTIFS(Dashboard!$B$105:$B$124,$O962,Dashboard!$I$105:$I$124,"CAB")&gt;0,"Accepted (CF)","Blocking"),"Deferrable"))</f>
        <v/>
      </c>
    </row>
    <row r="963" spans="7:26" x14ac:dyDescent="0.3">
      <c r="G963" s="27" t="str" cm="1">
        <f t="array" ref="G963">IF($A963="","",IFERROR(_xlfn.TEXTJOIN(CHAR(10)&amp;CHAR(10),TRUE,_xlfn._xlws.FILTER("•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"&amp;Cards!$L$4:$L$1000),(Cards!$A$4:$A$1000&lt;&gt;"")*ISNUMBER(SEARCH($A963,Cards!$E$4:$E$1000)))),"-"))</f>
        <v/>
      </c>
      <c r="Q963" s="30"/>
      <c r="R963" s="27" t="str">
        <f>IF(OR($A963="",LEN(TRIM($O963))=0),"",IF(OR($P963="",$Q963=""),"ระบุ Severity + Impact",IFERROR(INDEX({"Urgent","Urgent","High","High";"Urgent","High","High","Medium";"High","High","Medium","Medium";"Medium","Medium","Low","Low"},MATCH($P963,{"Critical","High","Medium","Low"},0),MATCH($Q963,{"Extensive","Significant","Moderate","Minor"},0)),"-")))</f>
        <v/>
      </c>
      <c r="S963" s="30"/>
      <c r="T963" s="30"/>
      <c r="W963" s="32" t="str">
        <f>IF($A963="","",IF(OR($M963="Out of Scope",$M963="Canceled"),"Out of Scope",IF($M963="Blocked","Blocked",IF(AND($T963&lt;&gt;"Fixed – Retest Passed",OR(LEN(TRIM($O963))&gt;0,LEN(TRIM($P963))&gt;0)),IF(AND(OR($L963="Medium",$L963="Low"),SUMPRODUCT((Cards!$A$4:$A$1000&lt;&gt;"")*ISNUMBER(SEARCH($A963,Cards!$E$4:$E$1000))*(Cards!$F$4:$F$1000&lt;&gt;"Medium")*(Cards!$F$4:$F$1000&lt;&gt;"Low"))=0),"Conditionally Passed","Failed"),IF($M963="Done","Passed","Not Run")))))</f>
        <v/>
      </c>
      <c r="Y963" s="27" t="str" cm="1">
        <f t="array" ref="Y963">IF($A963="","",IF(TRIM($B963)="","-",IFERROR(_xlfn.TEXTJOIN(" / ",TRUE,_xlfn.UNIQUE(_xlfn._xlws.FILTER('Ownership Matrix'!$C$5:$C$200,('Ownership Matrix'!$A$5:$A$200=TRIM($B963))*('Ownership Matrix'!$C$5:$C$200&lt;&gt;"")))),"ไม่พบใน Ownership Matrix")))</f>
        <v/>
      </c>
      <c r="Z963" s="31" t="str">
        <f>IF(NOT(AND($A963&lt;&gt;"",$M963&lt;&gt;"Out of Scope",$M963&lt;&gt;"Canceled",$T963&lt;&gt;"Fixed – Retest Passed",OR(LEN(TRIM($O963))&gt;0,LEN(TRIM($P963))&gt;0))),"",IF(OR($W963="Failed",$R963="Urgent",$R963="High",$R963="ระบุ Severity + Impact"),IF(COUNTIFS(Dashboard!$B$105:$B$124,$O963,Dashboard!$I$105:$I$124,"CAB")&gt;0,"Accepted (CF)","Blocking"),"Deferrable"))</f>
        <v/>
      </c>
    </row>
    <row r="964" spans="7:26" x14ac:dyDescent="0.3">
      <c r="G964" s="27" t="str" cm="1">
        <f t="array" ref="G964">IF($A964="","",IFERROR(_xlfn.TEXTJOIN(CHAR(10)&amp;CHAR(10),TRUE,_xlfn._xlws.FILTER("•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"&amp;Cards!$L$4:$L$1000),(Cards!$A$4:$A$1000&lt;&gt;"")*ISNUMBER(SEARCH($A964,Cards!$E$4:$E$1000)))),"-"))</f>
        <v/>
      </c>
      <c r="Q964" s="30"/>
      <c r="R964" s="27" t="str">
        <f>IF(OR($A964="",LEN(TRIM($O964))=0),"",IF(OR($P964="",$Q964=""),"ระบุ Severity + Impact",IFERROR(INDEX({"Urgent","Urgent","High","High";"Urgent","High","High","Medium";"High","High","Medium","Medium";"Medium","Medium","Low","Low"},MATCH($P964,{"Critical","High","Medium","Low"},0),MATCH($Q964,{"Extensive","Significant","Moderate","Minor"},0)),"-")))</f>
        <v/>
      </c>
      <c r="S964" s="30"/>
      <c r="T964" s="30"/>
      <c r="W964" s="32" t="str">
        <f>IF($A964="","",IF(OR($M964="Out of Scope",$M964="Canceled"),"Out of Scope",IF($M964="Blocked","Blocked",IF(AND($T964&lt;&gt;"Fixed – Retest Passed",OR(LEN(TRIM($O964))&gt;0,LEN(TRIM($P964))&gt;0)),IF(AND(OR($L964="Medium",$L964="Low"),SUMPRODUCT((Cards!$A$4:$A$1000&lt;&gt;"")*ISNUMBER(SEARCH($A964,Cards!$E$4:$E$1000))*(Cards!$F$4:$F$1000&lt;&gt;"Medium")*(Cards!$F$4:$F$1000&lt;&gt;"Low"))=0),"Conditionally Passed","Failed"),IF($M964="Done","Passed","Not Run")))))</f>
        <v/>
      </c>
      <c r="Y964" s="27" t="str" cm="1">
        <f t="array" ref="Y964">IF($A964="","",IF(TRIM($B964)="","-",IFERROR(_xlfn.TEXTJOIN(" / ",TRUE,_xlfn.UNIQUE(_xlfn._xlws.FILTER('Ownership Matrix'!$C$5:$C$200,('Ownership Matrix'!$A$5:$A$200=TRIM($B964))*('Ownership Matrix'!$C$5:$C$200&lt;&gt;"")))),"ไม่พบใน Ownership Matrix")))</f>
        <v/>
      </c>
      <c r="Z964" s="31" t="str">
        <f>IF(NOT(AND($A964&lt;&gt;"",$M964&lt;&gt;"Out of Scope",$M964&lt;&gt;"Canceled",$T964&lt;&gt;"Fixed – Retest Passed",OR(LEN(TRIM($O964))&gt;0,LEN(TRIM($P964))&gt;0))),"",IF(OR($W964="Failed",$R964="Urgent",$R964="High",$R964="ระบุ Severity + Impact"),IF(COUNTIFS(Dashboard!$B$105:$B$124,$O964,Dashboard!$I$105:$I$124,"CAB")&gt;0,"Accepted (CF)","Blocking"),"Deferrable"))</f>
        <v/>
      </c>
    </row>
    <row r="965" spans="7:26" x14ac:dyDescent="0.3">
      <c r="G965" s="27" t="str" cm="1">
        <f t="array" ref="G965">IF($A965="","",IFERROR(_xlfn.TEXTJOIN(CHAR(10)&amp;CHAR(10),TRUE,_xlfn._xlws.FILTER("•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"&amp;Cards!$L$4:$L$1000),(Cards!$A$4:$A$1000&lt;&gt;"")*ISNUMBER(SEARCH($A965,Cards!$E$4:$E$1000)))),"-"))</f>
        <v/>
      </c>
      <c r="Q965" s="30"/>
      <c r="R965" s="27" t="str">
        <f>IF(OR($A965="",LEN(TRIM($O965))=0),"",IF(OR($P965="",$Q965=""),"ระบุ Severity + Impact",IFERROR(INDEX({"Urgent","Urgent","High","High";"Urgent","High","High","Medium";"High","High","Medium","Medium";"Medium","Medium","Low","Low"},MATCH($P965,{"Critical","High","Medium","Low"},0),MATCH($Q965,{"Extensive","Significant","Moderate","Minor"},0)),"-")))</f>
        <v/>
      </c>
      <c r="S965" s="30"/>
      <c r="T965" s="30"/>
      <c r="W965" s="32" t="str">
        <f>IF($A965="","",IF(OR($M965="Out of Scope",$M965="Canceled"),"Out of Scope",IF($M965="Blocked","Blocked",IF(AND($T965&lt;&gt;"Fixed – Retest Passed",OR(LEN(TRIM($O965))&gt;0,LEN(TRIM($P965))&gt;0)),IF(AND(OR($L965="Medium",$L965="Low"),SUMPRODUCT((Cards!$A$4:$A$1000&lt;&gt;"")*ISNUMBER(SEARCH($A965,Cards!$E$4:$E$1000))*(Cards!$F$4:$F$1000&lt;&gt;"Medium")*(Cards!$F$4:$F$1000&lt;&gt;"Low"))=0),"Conditionally Passed","Failed"),IF($M965="Done","Passed","Not Run")))))</f>
        <v/>
      </c>
      <c r="Y965" s="27" t="str" cm="1">
        <f t="array" ref="Y965">IF($A965="","",IF(TRIM($B965)="","-",IFERROR(_xlfn.TEXTJOIN(" / ",TRUE,_xlfn.UNIQUE(_xlfn._xlws.FILTER('Ownership Matrix'!$C$5:$C$200,('Ownership Matrix'!$A$5:$A$200=TRIM($B965))*('Ownership Matrix'!$C$5:$C$200&lt;&gt;"")))),"ไม่พบใน Ownership Matrix")))</f>
        <v/>
      </c>
      <c r="Z965" s="31" t="str">
        <f>IF(NOT(AND($A965&lt;&gt;"",$M965&lt;&gt;"Out of Scope",$M965&lt;&gt;"Canceled",$T965&lt;&gt;"Fixed – Retest Passed",OR(LEN(TRIM($O965))&gt;0,LEN(TRIM($P965))&gt;0))),"",IF(OR($W965="Failed",$R965="Urgent",$R965="High",$R965="ระบุ Severity + Impact"),IF(COUNTIFS(Dashboard!$B$105:$B$124,$O965,Dashboard!$I$105:$I$124,"CAB")&gt;0,"Accepted (CF)","Blocking"),"Deferrable"))</f>
        <v/>
      </c>
    </row>
    <row r="966" spans="7:26" x14ac:dyDescent="0.3">
      <c r="G966" s="27" t="str" cm="1">
        <f t="array" ref="G966">IF($A966="","",IFERROR(_xlfn.TEXTJOIN(CHAR(10)&amp;CHAR(10),TRUE,_xlfn._xlws.FILTER("•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"&amp;Cards!$L$4:$L$1000),(Cards!$A$4:$A$1000&lt;&gt;"")*ISNUMBER(SEARCH($A966,Cards!$E$4:$E$1000)))),"-"))</f>
        <v/>
      </c>
      <c r="Q966" s="30"/>
      <c r="R966" s="27" t="str">
        <f>IF(OR($A966="",LEN(TRIM($O966))=0),"",IF(OR($P966="",$Q966=""),"ระบุ Severity + Impact",IFERROR(INDEX({"Urgent","Urgent","High","High";"Urgent","High","High","Medium";"High","High","Medium","Medium";"Medium","Medium","Low","Low"},MATCH($P966,{"Critical","High","Medium","Low"},0),MATCH($Q966,{"Extensive","Significant","Moderate","Minor"},0)),"-")))</f>
        <v/>
      </c>
      <c r="S966" s="30"/>
      <c r="T966" s="30"/>
      <c r="W966" s="32" t="str">
        <f>IF($A966="","",IF(OR($M966="Out of Scope",$M966="Canceled"),"Out of Scope",IF($M966="Blocked","Blocked",IF(AND($T966&lt;&gt;"Fixed – Retest Passed",OR(LEN(TRIM($O966))&gt;0,LEN(TRIM($P966))&gt;0)),IF(AND(OR($L966="Medium",$L966="Low"),SUMPRODUCT((Cards!$A$4:$A$1000&lt;&gt;"")*ISNUMBER(SEARCH($A966,Cards!$E$4:$E$1000))*(Cards!$F$4:$F$1000&lt;&gt;"Medium")*(Cards!$F$4:$F$1000&lt;&gt;"Low"))=0),"Conditionally Passed","Failed"),IF($M966="Done","Passed","Not Run")))))</f>
        <v/>
      </c>
      <c r="Y966" s="27" t="str" cm="1">
        <f t="array" ref="Y966">IF($A966="","",IF(TRIM($B966)="","-",IFERROR(_xlfn.TEXTJOIN(" / ",TRUE,_xlfn.UNIQUE(_xlfn._xlws.FILTER('Ownership Matrix'!$C$5:$C$200,('Ownership Matrix'!$A$5:$A$200=TRIM($B966))*('Ownership Matrix'!$C$5:$C$200&lt;&gt;"")))),"ไม่พบใน Ownership Matrix")))</f>
        <v/>
      </c>
      <c r="Z966" s="31" t="str">
        <f>IF(NOT(AND($A966&lt;&gt;"",$M966&lt;&gt;"Out of Scope",$M966&lt;&gt;"Canceled",$T966&lt;&gt;"Fixed – Retest Passed",OR(LEN(TRIM($O966))&gt;0,LEN(TRIM($P966))&gt;0))),"",IF(OR($W966="Failed",$R966="Urgent",$R966="High",$R966="ระบุ Severity + Impact"),IF(COUNTIFS(Dashboard!$B$105:$B$124,$O966,Dashboard!$I$105:$I$124,"CAB")&gt;0,"Accepted (CF)","Blocking"),"Deferrable"))</f>
        <v/>
      </c>
    </row>
    <row r="967" spans="7:26" x14ac:dyDescent="0.3">
      <c r="G967" s="27" t="str" cm="1">
        <f t="array" ref="G967">IF($A967="","",IFERROR(_xlfn.TEXTJOIN(CHAR(10)&amp;CHAR(10),TRUE,_xlfn._xlws.FILTER("•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"&amp;Cards!$L$4:$L$1000),(Cards!$A$4:$A$1000&lt;&gt;"")*ISNUMBER(SEARCH($A967,Cards!$E$4:$E$1000)))),"-"))</f>
        <v/>
      </c>
      <c r="Q967" s="30"/>
      <c r="R967" s="27" t="str">
        <f>IF(OR($A967="",LEN(TRIM($O967))=0),"",IF(OR($P967="",$Q967=""),"ระบุ Severity + Impact",IFERROR(INDEX({"Urgent","Urgent","High","High";"Urgent","High","High","Medium";"High","High","Medium","Medium";"Medium","Medium","Low","Low"},MATCH($P967,{"Critical","High","Medium","Low"},0),MATCH($Q967,{"Extensive","Significant","Moderate","Minor"},0)),"-")))</f>
        <v/>
      </c>
      <c r="S967" s="30"/>
      <c r="T967" s="30"/>
      <c r="W967" s="32" t="str">
        <f>IF($A967="","",IF(OR($M967="Out of Scope",$M967="Canceled"),"Out of Scope",IF($M967="Blocked","Blocked",IF(AND($T967&lt;&gt;"Fixed – Retest Passed",OR(LEN(TRIM($O967))&gt;0,LEN(TRIM($P967))&gt;0)),IF(AND(OR($L967="Medium",$L967="Low"),SUMPRODUCT((Cards!$A$4:$A$1000&lt;&gt;"")*ISNUMBER(SEARCH($A967,Cards!$E$4:$E$1000))*(Cards!$F$4:$F$1000&lt;&gt;"Medium")*(Cards!$F$4:$F$1000&lt;&gt;"Low"))=0),"Conditionally Passed","Failed"),IF($M967="Done","Passed","Not Run")))))</f>
        <v/>
      </c>
      <c r="Y967" s="27" t="str" cm="1">
        <f t="array" ref="Y967">IF($A967="","",IF(TRIM($B967)="","-",IFERROR(_xlfn.TEXTJOIN(" / ",TRUE,_xlfn.UNIQUE(_xlfn._xlws.FILTER('Ownership Matrix'!$C$5:$C$200,('Ownership Matrix'!$A$5:$A$200=TRIM($B967))*('Ownership Matrix'!$C$5:$C$200&lt;&gt;"")))),"ไม่พบใน Ownership Matrix")))</f>
        <v/>
      </c>
      <c r="Z967" s="31" t="str">
        <f>IF(NOT(AND($A967&lt;&gt;"",$M967&lt;&gt;"Out of Scope",$M967&lt;&gt;"Canceled",$T967&lt;&gt;"Fixed – Retest Passed",OR(LEN(TRIM($O967))&gt;0,LEN(TRIM($P967))&gt;0))),"",IF(OR($W967="Failed",$R967="Urgent",$R967="High",$R967="ระบุ Severity + Impact"),IF(COUNTIFS(Dashboard!$B$105:$B$124,$O967,Dashboard!$I$105:$I$124,"CAB")&gt;0,"Accepted (CF)","Blocking"),"Deferrable"))</f>
        <v/>
      </c>
    </row>
    <row r="968" spans="7:26" x14ac:dyDescent="0.3">
      <c r="G968" s="27" t="str" cm="1">
        <f t="array" ref="G968">IF($A968="","",IFERROR(_xlfn.TEXTJOIN(CHAR(10)&amp;CHAR(10),TRUE,_xlfn._xlws.FILTER("•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"&amp;Cards!$L$4:$L$1000),(Cards!$A$4:$A$1000&lt;&gt;"")*ISNUMBER(SEARCH($A968,Cards!$E$4:$E$1000)))),"-"))</f>
        <v/>
      </c>
      <c r="Q968" s="30"/>
      <c r="R968" s="27" t="str">
        <f>IF(OR($A968="",LEN(TRIM($O968))=0),"",IF(OR($P968="",$Q968=""),"ระบุ Severity + Impact",IFERROR(INDEX({"Urgent","Urgent","High","High";"Urgent","High","High","Medium";"High","High","Medium","Medium";"Medium","Medium","Low","Low"},MATCH($P968,{"Critical","High","Medium","Low"},0),MATCH($Q968,{"Extensive","Significant","Moderate","Minor"},0)),"-")))</f>
        <v/>
      </c>
      <c r="S968" s="30"/>
      <c r="T968" s="30"/>
      <c r="W968" s="32" t="str">
        <f>IF($A968="","",IF(OR($M968="Out of Scope",$M968="Canceled"),"Out of Scope",IF($M968="Blocked","Blocked",IF(AND($T968&lt;&gt;"Fixed – Retest Passed",OR(LEN(TRIM($O968))&gt;0,LEN(TRIM($P968))&gt;0)),IF(AND(OR($L968="Medium",$L968="Low"),SUMPRODUCT((Cards!$A$4:$A$1000&lt;&gt;"")*ISNUMBER(SEARCH($A968,Cards!$E$4:$E$1000))*(Cards!$F$4:$F$1000&lt;&gt;"Medium")*(Cards!$F$4:$F$1000&lt;&gt;"Low"))=0),"Conditionally Passed","Failed"),IF($M968="Done","Passed","Not Run")))))</f>
        <v/>
      </c>
      <c r="Y968" s="27" t="str" cm="1">
        <f t="array" ref="Y968">IF($A968="","",IF(TRIM($B968)="","-",IFERROR(_xlfn.TEXTJOIN(" / ",TRUE,_xlfn.UNIQUE(_xlfn._xlws.FILTER('Ownership Matrix'!$C$5:$C$200,('Ownership Matrix'!$A$5:$A$200=TRIM($B968))*('Ownership Matrix'!$C$5:$C$200&lt;&gt;"")))),"ไม่พบใน Ownership Matrix")))</f>
        <v/>
      </c>
      <c r="Z968" s="31" t="str">
        <f>IF(NOT(AND($A968&lt;&gt;"",$M968&lt;&gt;"Out of Scope",$M968&lt;&gt;"Canceled",$T968&lt;&gt;"Fixed – Retest Passed",OR(LEN(TRIM($O968))&gt;0,LEN(TRIM($P968))&gt;0))),"",IF(OR($W968="Failed",$R968="Urgent",$R968="High",$R968="ระบุ Severity + Impact"),IF(COUNTIFS(Dashboard!$B$105:$B$124,$O968,Dashboard!$I$105:$I$124,"CAB")&gt;0,"Accepted (CF)","Blocking"),"Deferrable"))</f>
        <v/>
      </c>
    </row>
    <row r="969" spans="7:26" x14ac:dyDescent="0.3">
      <c r="G969" s="27" t="str" cm="1">
        <f t="array" ref="G969">IF($A969="","",IFERROR(_xlfn.TEXTJOIN(CHAR(10)&amp;CHAR(10),TRUE,_xlfn._xlws.FILTER("•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"&amp;Cards!$L$4:$L$1000),(Cards!$A$4:$A$1000&lt;&gt;"")*ISNUMBER(SEARCH($A969,Cards!$E$4:$E$1000)))),"-"))</f>
        <v/>
      </c>
      <c r="Q969" s="30"/>
      <c r="R969" s="27" t="str">
        <f>IF(OR($A969="",LEN(TRIM($O969))=0),"",IF(OR($P969="",$Q969=""),"ระบุ Severity + Impact",IFERROR(INDEX({"Urgent","Urgent","High","High";"Urgent","High","High","Medium";"High","High","Medium","Medium";"Medium","Medium","Low","Low"},MATCH($P969,{"Critical","High","Medium","Low"},0),MATCH($Q969,{"Extensive","Significant","Moderate","Minor"},0)),"-")))</f>
        <v/>
      </c>
      <c r="S969" s="30"/>
      <c r="T969" s="30"/>
      <c r="W969" s="32" t="str">
        <f>IF($A969="","",IF(OR($M969="Out of Scope",$M969="Canceled"),"Out of Scope",IF($M969="Blocked","Blocked",IF(AND($T969&lt;&gt;"Fixed – Retest Passed",OR(LEN(TRIM($O969))&gt;0,LEN(TRIM($P969))&gt;0)),IF(AND(OR($L969="Medium",$L969="Low"),SUMPRODUCT((Cards!$A$4:$A$1000&lt;&gt;"")*ISNUMBER(SEARCH($A969,Cards!$E$4:$E$1000))*(Cards!$F$4:$F$1000&lt;&gt;"Medium")*(Cards!$F$4:$F$1000&lt;&gt;"Low"))=0),"Conditionally Passed","Failed"),IF($M969="Done","Passed","Not Run")))))</f>
        <v/>
      </c>
      <c r="Y969" s="27" t="str" cm="1">
        <f t="array" ref="Y969">IF($A969="","",IF(TRIM($B969)="","-",IFERROR(_xlfn.TEXTJOIN(" / ",TRUE,_xlfn.UNIQUE(_xlfn._xlws.FILTER('Ownership Matrix'!$C$5:$C$200,('Ownership Matrix'!$A$5:$A$200=TRIM($B969))*('Ownership Matrix'!$C$5:$C$200&lt;&gt;"")))),"ไม่พบใน Ownership Matrix")))</f>
        <v/>
      </c>
      <c r="Z969" s="31" t="str">
        <f>IF(NOT(AND($A969&lt;&gt;"",$M969&lt;&gt;"Out of Scope",$M969&lt;&gt;"Canceled",$T969&lt;&gt;"Fixed – Retest Passed",OR(LEN(TRIM($O969))&gt;0,LEN(TRIM($P969))&gt;0))),"",IF(OR($W969="Failed",$R969="Urgent",$R969="High",$R969="ระบุ Severity + Impact"),IF(COUNTIFS(Dashboard!$B$105:$B$124,$O969,Dashboard!$I$105:$I$124,"CAB")&gt;0,"Accepted (CF)","Blocking"),"Deferrable"))</f>
        <v/>
      </c>
    </row>
    <row r="970" spans="7:26" x14ac:dyDescent="0.3">
      <c r="G970" s="27" t="str" cm="1">
        <f t="array" ref="G970">IF($A970="","",IFERROR(_xlfn.TEXTJOIN(CHAR(10)&amp;CHAR(10),TRUE,_xlfn._xlws.FILTER("•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"&amp;Cards!$L$4:$L$1000),(Cards!$A$4:$A$1000&lt;&gt;"")*ISNUMBER(SEARCH($A970,Cards!$E$4:$E$1000)))),"-"))</f>
        <v/>
      </c>
      <c r="Q970" s="30"/>
      <c r="R970" s="27" t="str">
        <f>IF(OR($A970="",LEN(TRIM($O970))=0),"",IF(OR($P970="",$Q970=""),"ระบุ Severity + Impact",IFERROR(INDEX({"Urgent","Urgent","High","High";"Urgent","High","High","Medium";"High","High","Medium","Medium";"Medium","Medium","Low","Low"},MATCH($P970,{"Critical","High","Medium","Low"},0),MATCH($Q970,{"Extensive","Significant","Moderate","Minor"},0)),"-")))</f>
        <v/>
      </c>
      <c r="S970" s="30"/>
      <c r="T970" s="30"/>
      <c r="W970" s="32" t="str">
        <f>IF($A970="","",IF(OR($M970="Out of Scope",$M970="Canceled"),"Out of Scope",IF($M970="Blocked","Blocked",IF(AND($T970&lt;&gt;"Fixed – Retest Passed",OR(LEN(TRIM($O970))&gt;0,LEN(TRIM($P970))&gt;0)),IF(AND(OR($L970="Medium",$L970="Low"),SUMPRODUCT((Cards!$A$4:$A$1000&lt;&gt;"")*ISNUMBER(SEARCH($A970,Cards!$E$4:$E$1000))*(Cards!$F$4:$F$1000&lt;&gt;"Medium")*(Cards!$F$4:$F$1000&lt;&gt;"Low"))=0),"Conditionally Passed","Failed"),IF($M970="Done","Passed","Not Run")))))</f>
        <v/>
      </c>
      <c r="Y970" s="27" t="str" cm="1">
        <f t="array" ref="Y970">IF($A970="","",IF(TRIM($B970)="","-",IFERROR(_xlfn.TEXTJOIN(" / ",TRUE,_xlfn.UNIQUE(_xlfn._xlws.FILTER('Ownership Matrix'!$C$5:$C$200,('Ownership Matrix'!$A$5:$A$200=TRIM($B970))*('Ownership Matrix'!$C$5:$C$200&lt;&gt;"")))),"ไม่พบใน Ownership Matrix")))</f>
        <v/>
      </c>
      <c r="Z970" s="31" t="str">
        <f>IF(NOT(AND($A970&lt;&gt;"",$M970&lt;&gt;"Out of Scope",$M970&lt;&gt;"Canceled",$T970&lt;&gt;"Fixed – Retest Passed",OR(LEN(TRIM($O970))&gt;0,LEN(TRIM($P970))&gt;0))),"",IF(OR($W970="Failed",$R970="Urgent",$R970="High",$R970="ระบุ Severity + Impact"),IF(COUNTIFS(Dashboard!$B$105:$B$124,$O970,Dashboard!$I$105:$I$124,"CAB")&gt;0,"Accepted (CF)","Blocking"),"Deferrable"))</f>
        <v/>
      </c>
    </row>
    <row r="971" spans="7:26" x14ac:dyDescent="0.3">
      <c r="G971" s="27" t="str" cm="1">
        <f t="array" ref="G971">IF($A971="","",IFERROR(_xlfn.TEXTJOIN(CHAR(10)&amp;CHAR(10),TRUE,_xlfn._xlws.FILTER("•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"&amp;Cards!$L$4:$L$1000),(Cards!$A$4:$A$1000&lt;&gt;"")*ISNUMBER(SEARCH($A971,Cards!$E$4:$E$1000)))),"-"))</f>
        <v/>
      </c>
      <c r="Q971" s="30"/>
      <c r="R971" s="27" t="str">
        <f>IF(OR($A971="",LEN(TRIM($O971))=0),"",IF(OR($P971="",$Q971=""),"ระบุ Severity + Impact",IFERROR(INDEX({"Urgent","Urgent","High","High";"Urgent","High","High","Medium";"High","High","Medium","Medium";"Medium","Medium","Low","Low"},MATCH($P971,{"Critical","High","Medium","Low"},0),MATCH($Q971,{"Extensive","Significant","Moderate","Minor"},0)),"-")))</f>
        <v/>
      </c>
      <c r="S971" s="30"/>
      <c r="T971" s="30"/>
      <c r="W971" s="32" t="str">
        <f>IF($A971="","",IF(OR($M971="Out of Scope",$M971="Canceled"),"Out of Scope",IF($M971="Blocked","Blocked",IF(AND($T971&lt;&gt;"Fixed – Retest Passed",OR(LEN(TRIM($O971))&gt;0,LEN(TRIM($P971))&gt;0)),IF(AND(OR($L971="Medium",$L971="Low"),SUMPRODUCT((Cards!$A$4:$A$1000&lt;&gt;"")*ISNUMBER(SEARCH($A971,Cards!$E$4:$E$1000))*(Cards!$F$4:$F$1000&lt;&gt;"Medium")*(Cards!$F$4:$F$1000&lt;&gt;"Low"))=0),"Conditionally Passed","Failed"),IF($M971="Done","Passed","Not Run")))))</f>
        <v/>
      </c>
      <c r="Y971" s="27" t="str" cm="1">
        <f t="array" ref="Y971">IF($A971="","",IF(TRIM($B971)="","-",IFERROR(_xlfn.TEXTJOIN(" / ",TRUE,_xlfn.UNIQUE(_xlfn._xlws.FILTER('Ownership Matrix'!$C$5:$C$200,('Ownership Matrix'!$A$5:$A$200=TRIM($B971))*('Ownership Matrix'!$C$5:$C$200&lt;&gt;"")))),"ไม่พบใน Ownership Matrix")))</f>
        <v/>
      </c>
      <c r="Z971" s="31" t="str">
        <f>IF(NOT(AND($A971&lt;&gt;"",$M971&lt;&gt;"Out of Scope",$M971&lt;&gt;"Canceled",$T971&lt;&gt;"Fixed – Retest Passed",OR(LEN(TRIM($O971))&gt;0,LEN(TRIM($P971))&gt;0))),"",IF(OR($W971="Failed",$R971="Urgent",$R971="High",$R971="ระบุ Severity + Impact"),IF(COUNTIFS(Dashboard!$B$105:$B$124,$O971,Dashboard!$I$105:$I$124,"CAB")&gt;0,"Accepted (CF)","Blocking"),"Deferrable"))</f>
        <v/>
      </c>
    </row>
    <row r="972" spans="7:26" x14ac:dyDescent="0.3">
      <c r="G972" s="27" t="str" cm="1">
        <f t="array" ref="G972">IF($A972="","",IFERROR(_xlfn.TEXTJOIN(CHAR(10)&amp;CHAR(10),TRUE,_xlfn._xlws.FILTER("•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"&amp;Cards!$L$4:$L$1000),(Cards!$A$4:$A$1000&lt;&gt;"")*ISNUMBER(SEARCH($A972,Cards!$E$4:$E$1000)))),"-"))</f>
        <v/>
      </c>
      <c r="Q972" s="30"/>
      <c r="R972" s="27" t="str">
        <f>IF(OR($A972="",LEN(TRIM($O972))=0),"",IF(OR($P972="",$Q972=""),"ระบุ Severity + Impact",IFERROR(INDEX({"Urgent","Urgent","High","High";"Urgent","High","High","Medium";"High","High","Medium","Medium";"Medium","Medium","Low","Low"},MATCH($P972,{"Critical","High","Medium","Low"},0),MATCH($Q972,{"Extensive","Significant","Moderate","Minor"},0)),"-")))</f>
        <v/>
      </c>
      <c r="S972" s="30"/>
      <c r="T972" s="30"/>
      <c r="W972" s="32" t="str">
        <f>IF($A972="","",IF(OR($M972="Out of Scope",$M972="Canceled"),"Out of Scope",IF($M972="Blocked","Blocked",IF(AND($T972&lt;&gt;"Fixed – Retest Passed",OR(LEN(TRIM($O972))&gt;0,LEN(TRIM($P972))&gt;0)),IF(AND(OR($L972="Medium",$L972="Low"),SUMPRODUCT((Cards!$A$4:$A$1000&lt;&gt;"")*ISNUMBER(SEARCH($A972,Cards!$E$4:$E$1000))*(Cards!$F$4:$F$1000&lt;&gt;"Medium")*(Cards!$F$4:$F$1000&lt;&gt;"Low"))=0),"Conditionally Passed","Failed"),IF($M972="Done","Passed","Not Run")))))</f>
        <v/>
      </c>
      <c r="Y972" s="27" t="str" cm="1">
        <f t="array" ref="Y972">IF($A972="","",IF(TRIM($B972)="","-",IFERROR(_xlfn.TEXTJOIN(" / ",TRUE,_xlfn.UNIQUE(_xlfn._xlws.FILTER('Ownership Matrix'!$C$5:$C$200,('Ownership Matrix'!$A$5:$A$200=TRIM($B972))*('Ownership Matrix'!$C$5:$C$200&lt;&gt;"")))),"ไม่พบใน Ownership Matrix")))</f>
        <v/>
      </c>
      <c r="Z972" s="31" t="str">
        <f>IF(NOT(AND($A972&lt;&gt;"",$M972&lt;&gt;"Out of Scope",$M972&lt;&gt;"Canceled",$T972&lt;&gt;"Fixed – Retest Passed",OR(LEN(TRIM($O972))&gt;0,LEN(TRIM($P972))&gt;0))),"",IF(OR($W972="Failed",$R972="Urgent",$R972="High",$R972="ระบุ Severity + Impact"),IF(COUNTIFS(Dashboard!$B$105:$B$124,$O972,Dashboard!$I$105:$I$124,"CAB")&gt;0,"Accepted (CF)","Blocking"),"Deferrable"))</f>
        <v/>
      </c>
    </row>
    <row r="973" spans="7:26" x14ac:dyDescent="0.3">
      <c r="G973" s="27" t="str" cm="1">
        <f t="array" ref="G973">IF($A973="","",IFERROR(_xlfn.TEXTJOIN(CHAR(10)&amp;CHAR(10),TRUE,_xlfn._xlws.FILTER("•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"&amp;Cards!$L$4:$L$1000),(Cards!$A$4:$A$1000&lt;&gt;"")*ISNUMBER(SEARCH($A973,Cards!$E$4:$E$1000)))),"-"))</f>
        <v/>
      </c>
      <c r="Q973" s="30"/>
      <c r="R973" s="27" t="str">
        <f>IF(OR($A973="",LEN(TRIM($O973))=0),"",IF(OR($P973="",$Q973=""),"ระบุ Severity + Impact",IFERROR(INDEX({"Urgent","Urgent","High","High";"Urgent","High","High","Medium";"High","High","Medium","Medium";"Medium","Medium","Low","Low"},MATCH($P973,{"Critical","High","Medium","Low"},0),MATCH($Q973,{"Extensive","Significant","Moderate","Minor"},0)),"-")))</f>
        <v/>
      </c>
      <c r="S973" s="30"/>
      <c r="T973" s="30"/>
      <c r="W973" s="32" t="str">
        <f>IF($A973="","",IF(OR($M973="Out of Scope",$M973="Canceled"),"Out of Scope",IF($M973="Blocked","Blocked",IF(AND($T973&lt;&gt;"Fixed – Retest Passed",OR(LEN(TRIM($O973))&gt;0,LEN(TRIM($P973))&gt;0)),IF(AND(OR($L973="Medium",$L973="Low"),SUMPRODUCT((Cards!$A$4:$A$1000&lt;&gt;"")*ISNUMBER(SEARCH($A973,Cards!$E$4:$E$1000))*(Cards!$F$4:$F$1000&lt;&gt;"Medium")*(Cards!$F$4:$F$1000&lt;&gt;"Low"))=0),"Conditionally Passed","Failed"),IF($M973="Done","Passed","Not Run")))))</f>
        <v/>
      </c>
      <c r="Y973" s="27" t="str" cm="1">
        <f t="array" ref="Y973">IF($A973="","",IF(TRIM($B973)="","-",IFERROR(_xlfn.TEXTJOIN(" / ",TRUE,_xlfn.UNIQUE(_xlfn._xlws.FILTER('Ownership Matrix'!$C$5:$C$200,('Ownership Matrix'!$A$5:$A$200=TRIM($B973))*('Ownership Matrix'!$C$5:$C$200&lt;&gt;"")))),"ไม่พบใน Ownership Matrix")))</f>
        <v/>
      </c>
      <c r="Z973" s="31" t="str">
        <f>IF(NOT(AND($A973&lt;&gt;"",$M973&lt;&gt;"Out of Scope",$M973&lt;&gt;"Canceled",$T973&lt;&gt;"Fixed – Retest Passed",OR(LEN(TRIM($O973))&gt;0,LEN(TRIM($P973))&gt;0))),"",IF(OR($W973="Failed",$R973="Urgent",$R973="High",$R973="ระบุ Severity + Impact"),IF(COUNTIFS(Dashboard!$B$105:$B$124,$O973,Dashboard!$I$105:$I$124,"CAB")&gt;0,"Accepted (CF)","Blocking"),"Deferrable"))</f>
        <v/>
      </c>
    </row>
    <row r="974" spans="7:26" x14ac:dyDescent="0.3">
      <c r="G974" s="27" t="str" cm="1">
        <f t="array" ref="G974">IF($A974="","",IFERROR(_xlfn.TEXTJOIN(CHAR(10)&amp;CHAR(10),TRUE,_xlfn._xlws.FILTER("•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"&amp;Cards!$L$4:$L$1000),(Cards!$A$4:$A$1000&lt;&gt;"")*ISNUMBER(SEARCH($A974,Cards!$E$4:$E$1000)))),"-"))</f>
        <v/>
      </c>
      <c r="Q974" s="30"/>
      <c r="R974" s="27" t="str">
        <f>IF(OR($A974="",LEN(TRIM($O974))=0),"",IF(OR($P974="",$Q974=""),"ระบุ Severity + Impact",IFERROR(INDEX({"Urgent","Urgent","High","High";"Urgent","High","High","Medium";"High","High","Medium","Medium";"Medium","Medium","Low","Low"},MATCH($P974,{"Critical","High","Medium","Low"},0),MATCH($Q974,{"Extensive","Significant","Moderate","Minor"},0)),"-")))</f>
        <v/>
      </c>
      <c r="S974" s="30"/>
      <c r="T974" s="30"/>
      <c r="W974" s="32" t="str">
        <f>IF($A974="","",IF(OR($M974="Out of Scope",$M974="Canceled"),"Out of Scope",IF($M974="Blocked","Blocked",IF(AND($T974&lt;&gt;"Fixed – Retest Passed",OR(LEN(TRIM($O974))&gt;0,LEN(TRIM($P974))&gt;0)),IF(AND(OR($L974="Medium",$L974="Low"),SUMPRODUCT((Cards!$A$4:$A$1000&lt;&gt;"")*ISNUMBER(SEARCH($A974,Cards!$E$4:$E$1000))*(Cards!$F$4:$F$1000&lt;&gt;"Medium")*(Cards!$F$4:$F$1000&lt;&gt;"Low"))=0),"Conditionally Passed","Failed"),IF($M974="Done","Passed","Not Run")))))</f>
        <v/>
      </c>
      <c r="Y974" s="27" t="str" cm="1">
        <f t="array" ref="Y974">IF($A974="","",IF(TRIM($B974)="","-",IFERROR(_xlfn.TEXTJOIN(" / ",TRUE,_xlfn.UNIQUE(_xlfn._xlws.FILTER('Ownership Matrix'!$C$5:$C$200,('Ownership Matrix'!$A$5:$A$200=TRIM($B974))*('Ownership Matrix'!$C$5:$C$200&lt;&gt;"")))),"ไม่พบใน Ownership Matrix")))</f>
        <v/>
      </c>
      <c r="Z974" s="31" t="str">
        <f>IF(NOT(AND($A974&lt;&gt;"",$M974&lt;&gt;"Out of Scope",$M974&lt;&gt;"Canceled",$T974&lt;&gt;"Fixed – Retest Passed",OR(LEN(TRIM($O974))&gt;0,LEN(TRIM($P974))&gt;0))),"",IF(OR($W974="Failed",$R974="Urgent",$R974="High",$R974="ระบุ Severity + Impact"),IF(COUNTIFS(Dashboard!$B$105:$B$124,$O974,Dashboard!$I$105:$I$124,"CAB")&gt;0,"Accepted (CF)","Blocking"),"Deferrable"))</f>
        <v/>
      </c>
    </row>
    <row r="975" spans="7:26" x14ac:dyDescent="0.3">
      <c r="G975" s="27" t="str" cm="1">
        <f t="array" ref="G975">IF($A975="","",IFERROR(_xlfn.TEXTJOIN(CHAR(10)&amp;CHAR(10),TRUE,_xlfn._xlws.FILTER("•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"&amp;Cards!$L$4:$L$1000),(Cards!$A$4:$A$1000&lt;&gt;"")*ISNUMBER(SEARCH($A975,Cards!$E$4:$E$1000)))),"-"))</f>
        <v/>
      </c>
      <c r="Q975" s="30"/>
      <c r="R975" s="27" t="str">
        <f>IF(OR($A975="",LEN(TRIM($O975))=0),"",IF(OR($P975="",$Q975=""),"ระบุ Severity + Impact",IFERROR(INDEX({"Urgent","Urgent","High","High";"Urgent","High","High","Medium";"High","High","Medium","Medium";"Medium","Medium","Low","Low"},MATCH($P975,{"Critical","High","Medium","Low"},0),MATCH($Q975,{"Extensive","Significant","Moderate","Minor"},0)),"-")))</f>
        <v/>
      </c>
      <c r="S975" s="30"/>
      <c r="T975" s="30"/>
      <c r="W975" s="32" t="str">
        <f>IF($A975="","",IF(OR($M975="Out of Scope",$M975="Canceled"),"Out of Scope",IF($M975="Blocked","Blocked",IF(AND($T975&lt;&gt;"Fixed – Retest Passed",OR(LEN(TRIM($O975))&gt;0,LEN(TRIM($P975))&gt;0)),IF(AND(OR($L975="Medium",$L975="Low"),SUMPRODUCT((Cards!$A$4:$A$1000&lt;&gt;"")*ISNUMBER(SEARCH($A975,Cards!$E$4:$E$1000))*(Cards!$F$4:$F$1000&lt;&gt;"Medium")*(Cards!$F$4:$F$1000&lt;&gt;"Low"))=0),"Conditionally Passed","Failed"),IF($M975="Done","Passed","Not Run")))))</f>
        <v/>
      </c>
      <c r="Y975" s="27" t="str" cm="1">
        <f t="array" ref="Y975">IF($A975="","",IF(TRIM($B975)="","-",IFERROR(_xlfn.TEXTJOIN(" / ",TRUE,_xlfn.UNIQUE(_xlfn._xlws.FILTER('Ownership Matrix'!$C$5:$C$200,('Ownership Matrix'!$A$5:$A$200=TRIM($B975))*('Ownership Matrix'!$C$5:$C$200&lt;&gt;"")))),"ไม่พบใน Ownership Matrix")))</f>
        <v/>
      </c>
      <c r="Z975" s="31" t="str">
        <f>IF(NOT(AND($A975&lt;&gt;"",$M975&lt;&gt;"Out of Scope",$M975&lt;&gt;"Canceled",$T975&lt;&gt;"Fixed – Retest Passed",OR(LEN(TRIM($O975))&gt;0,LEN(TRIM($P975))&gt;0))),"",IF(OR($W975="Failed",$R975="Urgent",$R975="High",$R975="ระบุ Severity + Impact"),IF(COUNTIFS(Dashboard!$B$105:$B$124,$O975,Dashboard!$I$105:$I$124,"CAB")&gt;0,"Accepted (CF)","Blocking"),"Deferrable"))</f>
        <v/>
      </c>
    </row>
    <row r="976" spans="7:26" x14ac:dyDescent="0.3">
      <c r="G976" s="27" t="str" cm="1">
        <f t="array" ref="G976">IF($A976="","",IFERROR(_xlfn.TEXTJOIN(CHAR(10)&amp;CHAR(10),TRUE,_xlfn._xlws.FILTER("•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"&amp;Cards!$L$4:$L$1000),(Cards!$A$4:$A$1000&lt;&gt;"")*ISNUMBER(SEARCH($A976,Cards!$E$4:$E$1000)))),"-"))</f>
        <v/>
      </c>
      <c r="Q976" s="30"/>
      <c r="R976" s="27" t="str">
        <f>IF(OR($A976="",LEN(TRIM($O976))=0),"",IF(OR($P976="",$Q976=""),"ระบุ Severity + Impact",IFERROR(INDEX({"Urgent","Urgent","High","High";"Urgent","High","High","Medium";"High","High","Medium","Medium";"Medium","Medium","Low","Low"},MATCH($P976,{"Critical","High","Medium","Low"},0),MATCH($Q976,{"Extensive","Significant","Moderate","Minor"},0)),"-")))</f>
        <v/>
      </c>
      <c r="S976" s="30"/>
      <c r="T976" s="30"/>
      <c r="W976" s="32" t="str">
        <f>IF($A976="","",IF(OR($M976="Out of Scope",$M976="Canceled"),"Out of Scope",IF($M976="Blocked","Blocked",IF(AND($T976&lt;&gt;"Fixed – Retest Passed",OR(LEN(TRIM($O976))&gt;0,LEN(TRIM($P976))&gt;0)),IF(AND(OR($L976="Medium",$L976="Low"),SUMPRODUCT((Cards!$A$4:$A$1000&lt;&gt;"")*ISNUMBER(SEARCH($A976,Cards!$E$4:$E$1000))*(Cards!$F$4:$F$1000&lt;&gt;"Medium")*(Cards!$F$4:$F$1000&lt;&gt;"Low"))=0),"Conditionally Passed","Failed"),IF($M976="Done","Passed","Not Run")))))</f>
        <v/>
      </c>
      <c r="Y976" s="27" t="str" cm="1">
        <f t="array" ref="Y976">IF($A976="","",IF(TRIM($B976)="","-",IFERROR(_xlfn.TEXTJOIN(" / ",TRUE,_xlfn.UNIQUE(_xlfn._xlws.FILTER('Ownership Matrix'!$C$5:$C$200,('Ownership Matrix'!$A$5:$A$200=TRIM($B976))*('Ownership Matrix'!$C$5:$C$200&lt;&gt;"")))),"ไม่พบใน Ownership Matrix")))</f>
        <v/>
      </c>
      <c r="Z976" s="31" t="str">
        <f>IF(NOT(AND($A976&lt;&gt;"",$M976&lt;&gt;"Out of Scope",$M976&lt;&gt;"Canceled",$T976&lt;&gt;"Fixed – Retest Passed",OR(LEN(TRIM($O976))&gt;0,LEN(TRIM($P976))&gt;0))),"",IF(OR($W976="Failed",$R976="Urgent",$R976="High",$R976="ระบุ Severity + Impact"),IF(COUNTIFS(Dashboard!$B$105:$B$124,$O976,Dashboard!$I$105:$I$124,"CAB")&gt;0,"Accepted (CF)","Blocking"),"Deferrable"))</f>
        <v/>
      </c>
    </row>
    <row r="977" spans="7:26" x14ac:dyDescent="0.3">
      <c r="G977" s="27" t="str" cm="1">
        <f t="array" ref="G977">IF($A977="","",IFERROR(_xlfn.TEXTJOIN(CHAR(10)&amp;CHAR(10),TRUE,_xlfn._xlws.FILTER("•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"&amp;Cards!$L$4:$L$1000),(Cards!$A$4:$A$1000&lt;&gt;"")*ISNUMBER(SEARCH($A977,Cards!$E$4:$E$1000)))),"-"))</f>
        <v/>
      </c>
      <c r="Q977" s="30"/>
      <c r="R977" s="27" t="str">
        <f>IF(OR($A977="",LEN(TRIM($O977))=0),"",IF(OR($P977="",$Q977=""),"ระบุ Severity + Impact",IFERROR(INDEX({"Urgent","Urgent","High","High";"Urgent","High","High","Medium";"High","High","Medium","Medium";"Medium","Medium","Low","Low"},MATCH($P977,{"Critical","High","Medium","Low"},0),MATCH($Q977,{"Extensive","Significant","Moderate","Minor"},0)),"-")))</f>
        <v/>
      </c>
      <c r="S977" s="30"/>
      <c r="T977" s="30"/>
      <c r="W977" s="32" t="str">
        <f>IF($A977="","",IF(OR($M977="Out of Scope",$M977="Canceled"),"Out of Scope",IF($M977="Blocked","Blocked",IF(AND($T977&lt;&gt;"Fixed – Retest Passed",OR(LEN(TRIM($O977))&gt;0,LEN(TRIM($P977))&gt;0)),IF(AND(OR($L977="Medium",$L977="Low"),SUMPRODUCT((Cards!$A$4:$A$1000&lt;&gt;"")*ISNUMBER(SEARCH($A977,Cards!$E$4:$E$1000))*(Cards!$F$4:$F$1000&lt;&gt;"Medium")*(Cards!$F$4:$F$1000&lt;&gt;"Low"))=0),"Conditionally Passed","Failed"),IF($M977="Done","Passed","Not Run")))))</f>
        <v/>
      </c>
      <c r="Y977" s="27" t="str" cm="1">
        <f t="array" ref="Y977">IF($A977="","",IF(TRIM($B977)="","-",IFERROR(_xlfn.TEXTJOIN(" / ",TRUE,_xlfn.UNIQUE(_xlfn._xlws.FILTER('Ownership Matrix'!$C$5:$C$200,('Ownership Matrix'!$A$5:$A$200=TRIM($B977))*('Ownership Matrix'!$C$5:$C$200&lt;&gt;"")))),"ไม่พบใน Ownership Matrix")))</f>
        <v/>
      </c>
      <c r="Z977" s="31" t="str">
        <f>IF(NOT(AND($A977&lt;&gt;"",$M977&lt;&gt;"Out of Scope",$M977&lt;&gt;"Canceled",$T977&lt;&gt;"Fixed – Retest Passed",OR(LEN(TRIM($O977))&gt;0,LEN(TRIM($P977))&gt;0))),"",IF(OR($W977="Failed",$R977="Urgent",$R977="High",$R977="ระบุ Severity + Impact"),IF(COUNTIFS(Dashboard!$B$105:$B$124,$O977,Dashboard!$I$105:$I$124,"CAB")&gt;0,"Accepted (CF)","Blocking"),"Deferrable"))</f>
        <v/>
      </c>
    </row>
    <row r="978" spans="7:26" x14ac:dyDescent="0.3">
      <c r="G978" s="27" t="str" cm="1">
        <f t="array" ref="G978">IF($A978="","",IFERROR(_xlfn.TEXTJOIN(CHAR(10)&amp;CHAR(10),TRUE,_xlfn._xlws.FILTER("•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"&amp;Cards!$L$4:$L$1000),(Cards!$A$4:$A$1000&lt;&gt;"")*ISNUMBER(SEARCH($A978,Cards!$E$4:$E$1000)))),"-"))</f>
        <v/>
      </c>
      <c r="Q978" s="30"/>
      <c r="R978" s="27" t="str">
        <f>IF(OR($A978="",LEN(TRIM($O978))=0),"",IF(OR($P978="",$Q978=""),"ระบุ Severity + Impact",IFERROR(INDEX({"Urgent","Urgent","High","High";"Urgent","High","High","Medium";"High","High","Medium","Medium";"Medium","Medium","Low","Low"},MATCH($P978,{"Critical","High","Medium","Low"},0),MATCH($Q978,{"Extensive","Significant","Moderate","Minor"},0)),"-")))</f>
        <v/>
      </c>
      <c r="S978" s="30"/>
      <c r="T978" s="30"/>
      <c r="W978" s="32" t="str">
        <f>IF($A978="","",IF(OR($M978="Out of Scope",$M978="Canceled"),"Out of Scope",IF($M978="Blocked","Blocked",IF(AND($T978&lt;&gt;"Fixed – Retest Passed",OR(LEN(TRIM($O978))&gt;0,LEN(TRIM($P978))&gt;0)),IF(AND(OR($L978="Medium",$L978="Low"),SUMPRODUCT((Cards!$A$4:$A$1000&lt;&gt;"")*ISNUMBER(SEARCH($A978,Cards!$E$4:$E$1000))*(Cards!$F$4:$F$1000&lt;&gt;"Medium")*(Cards!$F$4:$F$1000&lt;&gt;"Low"))=0),"Conditionally Passed","Failed"),IF($M978="Done","Passed","Not Run")))))</f>
        <v/>
      </c>
      <c r="Y978" s="27" t="str" cm="1">
        <f t="array" ref="Y978">IF($A978="","",IF(TRIM($B978)="","-",IFERROR(_xlfn.TEXTJOIN(" / ",TRUE,_xlfn.UNIQUE(_xlfn._xlws.FILTER('Ownership Matrix'!$C$5:$C$200,('Ownership Matrix'!$A$5:$A$200=TRIM($B978))*('Ownership Matrix'!$C$5:$C$200&lt;&gt;"")))),"ไม่พบใน Ownership Matrix")))</f>
        <v/>
      </c>
      <c r="Z978" s="31" t="str">
        <f>IF(NOT(AND($A978&lt;&gt;"",$M978&lt;&gt;"Out of Scope",$M978&lt;&gt;"Canceled",$T978&lt;&gt;"Fixed – Retest Passed",OR(LEN(TRIM($O978))&gt;0,LEN(TRIM($P978))&gt;0))),"",IF(OR($W978="Failed",$R978="Urgent",$R978="High",$R978="ระบุ Severity + Impact"),IF(COUNTIFS(Dashboard!$B$105:$B$124,$O978,Dashboard!$I$105:$I$124,"CAB")&gt;0,"Accepted (CF)","Blocking"),"Deferrable"))</f>
        <v/>
      </c>
    </row>
    <row r="979" spans="7:26" x14ac:dyDescent="0.3">
      <c r="G979" s="27" t="str" cm="1">
        <f t="array" ref="G979">IF($A979="","",IFERROR(_xlfn.TEXTJOIN(CHAR(10)&amp;CHAR(10),TRUE,_xlfn._xlws.FILTER("•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"&amp;Cards!$L$4:$L$1000),(Cards!$A$4:$A$1000&lt;&gt;"")*ISNUMBER(SEARCH($A979,Cards!$E$4:$E$1000)))),"-"))</f>
        <v/>
      </c>
      <c r="Q979" s="30"/>
      <c r="R979" s="27" t="str">
        <f>IF(OR($A979="",LEN(TRIM($O979))=0),"",IF(OR($P979="",$Q979=""),"ระบุ Severity + Impact",IFERROR(INDEX({"Urgent","Urgent","High","High";"Urgent","High","High","Medium";"High","High","Medium","Medium";"Medium","Medium","Low","Low"},MATCH($P979,{"Critical","High","Medium","Low"},0),MATCH($Q979,{"Extensive","Significant","Moderate","Minor"},0)),"-")))</f>
        <v/>
      </c>
      <c r="S979" s="30"/>
      <c r="T979" s="30"/>
      <c r="W979" s="32" t="str">
        <f>IF($A979="","",IF(OR($M979="Out of Scope",$M979="Canceled"),"Out of Scope",IF($M979="Blocked","Blocked",IF(AND($T979&lt;&gt;"Fixed – Retest Passed",OR(LEN(TRIM($O979))&gt;0,LEN(TRIM($P979))&gt;0)),IF(AND(OR($L979="Medium",$L979="Low"),SUMPRODUCT((Cards!$A$4:$A$1000&lt;&gt;"")*ISNUMBER(SEARCH($A979,Cards!$E$4:$E$1000))*(Cards!$F$4:$F$1000&lt;&gt;"Medium")*(Cards!$F$4:$F$1000&lt;&gt;"Low"))=0),"Conditionally Passed","Failed"),IF($M979="Done","Passed","Not Run")))))</f>
        <v/>
      </c>
      <c r="Y979" s="27" t="str" cm="1">
        <f t="array" ref="Y979">IF($A979="","",IF(TRIM($B979)="","-",IFERROR(_xlfn.TEXTJOIN(" / ",TRUE,_xlfn.UNIQUE(_xlfn._xlws.FILTER('Ownership Matrix'!$C$5:$C$200,('Ownership Matrix'!$A$5:$A$200=TRIM($B979))*('Ownership Matrix'!$C$5:$C$200&lt;&gt;"")))),"ไม่พบใน Ownership Matrix")))</f>
        <v/>
      </c>
      <c r="Z979" s="31" t="str">
        <f>IF(NOT(AND($A979&lt;&gt;"",$M979&lt;&gt;"Out of Scope",$M979&lt;&gt;"Canceled",$T979&lt;&gt;"Fixed – Retest Passed",OR(LEN(TRIM($O979))&gt;0,LEN(TRIM($P979))&gt;0))),"",IF(OR($W979="Failed",$R979="Urgent",$R979="High",$R979="ระบุ Severity + Impact"),IF(COUNTIFS(Dashboard!$B$105:$B$124,$O979,Dashboard!$I$105:$I$124,"CAB")&gt;0,"Accepted (CF)","Blocking"),"Deferrable"))</f>
        <v/>
      </c>
    </row>
    <row r="980" spans="7:26" x14ac:dyDescent="0.3">
      <c r="G980" s="27" t="str" cm="1">
        <f t="array" ref="G980">IF($A980="","",IFERROR(_xlfn.TEXTJOIN(CHAR(10)&amp;CHAR(10),TRUE,_xlfn._xlws.FILTER("•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"&amp;Cards!$L$4:$L$1000),(Cards!$A$4:$A$1000&lt;&gt;"")*ISNUMBER(SEARCH($A980,Cards!$E$4:$E$1000)))),"-"))</f>
        <v/>
      </c>
      <c r="Q980" s="30"/>
      <c r="R980" s="27" t="str">
        <f>IF(OR($A980="",LEN(TRIM($O980))=0),"",IF(OR($P980="",$Q980=""),"ระบุ Severity + Impact",IFERROR(INDEX({"Urgent","Urgent","High","High";"Urgent","High","High","Medium";"High","High","Medium","Medium";"Medium","Medium","Low","Low"},MATCH($P980,{"Critical","High","Medium","Low"},0),MATCH($Q980,{"Extensive","Significant","Moderate","Minor"},0)),"-")))</f>
        <v/>
      </c>
      <c r="S980" s="30"/>
      <c r="T980" s="30"/>
      <c r="W980" s="32" t="str">
        <f>IF($A980="","",IF(OR($M980="Out of Scope",$M980="Canceled"),"Out of Scope",IF($M980="Blocked","Blocked",IF(AND($T980&lt;&gt;"Fixed – Retest Passed",OR(LEN(TRIM($O980))&gt;0,LEN(TRIM($P980))&gt;0)),IF(AND(OR($L980="Medium",$L980="Low"),SUMPRODUCT((Cards!$A$4:$A$1000&lt;&gt;"")*ISNUMBER(SEARCH($A980,Cards!$E$4:$E$1000))*(Cards!$F$4:$F$1000&lt;&gt;"Medium")*(Cards!$F$4:$F$1000&lt;&gt;"Low"))=0),"Conditionally Passed","Failed"),IF($M980="Done","Passed","Not Run")))))</f>
        <v/>
      </c>
      <c r="Y980" s="27" t="str" cm="1">
        <f t="array" ref="Y980">IF($A980="","",IF(TRIM($B980)="","-",IFERROR(_xlfn.TEXTJOIN(" / ",TRUE,_xlfn.UNIQUE(_xlfn._xlws.FILTER('Ownership Matrix'!$C$5:$C$200,('Ownership Matrix'!$A$5:$A$200=TRIM($B980))*('Ownership Matrix'!$C$5:$C$200&lt;&gt;"")))),"ไม่พบใน Ownership Matrix")))</f>
        <v/>
      </c>
      <c r="Z980" s="31" t="str">
        <f>IF(NOT(AND($A980&lt;&gt;"",$M980&lt;&gt;"Out of Scope",$M980&lt;&gt;"Canceled",$T980&lt;&gt;"Fixed – Retest Passed",OR(LEN(TRIM($O980))&gt;0,LEN(TRIM($P980))&gt;0))),"",IF(OR($W980="Failed",$R980="Urgent",$R980="High",$R980="ระบุ Severity + Impact"),IF(COUNTIFS(Dashboard!$B$105:$B$124,$O980,Dashboard!$I$105:$I$124,"CAB")&gt;0,"Accepted (CF)","Blocking"),"Deferrable"))</f>
        <v/>
      </c>
    </row>
    <row r="981" spans="7:26" x14ac:dyDescent="0.3">
      <c r="G981" s="27" t="str" cm="1">
        <f t="array" ref="G981">IF($A981="","",IFERROR(_xlfn.TEXTJOIN(CHAR(10)&amp;CHAR(10),TRUE,_xlfn._xlws.FILTER("•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"&amp;Cards!$L$4:$L$1000),(Cards!$A$4:$A$1000&lt;&gt;"")*ISNUMBER(SEARCH($A981,Cards!$E$4:$E$1000)))),"-"))</f>
        <v/>
      </c>
      <c r="Q981" s="30"/>
      <c r="R981" s="27" t="str">
        <f>IF(OR($A981="",LEN(TRIM($O981))=0),"",IF(OR($P981="",$Q981=""),"ระบุ Severity + Impact",IFERROR(INDEX({"Urgent","Urgent","High","High";"Urgent","High","High","Medium";"High","High","Medium","Medium";"Medium","Medium","Low","Low"},MATCH($P981,{"Critical","High","Medium","Low"},0),MATCH($Q981,{"Extensive","Significant","Moderate","Minor"},0)),"-")))</f>
        <v/>
      </c>
      <c r="S981" s="30"/>
      <c r="T981" s="30"/>
      <c r="W981" s="32" t="str">
        <f>IF($A981="","",IF(OR($M981="Out of Scope",$M981="Canceled"),"Out of Scope",IF($M981="Blocked","Blocked",IF(AND($T981&lt;&gt;"Fixed – Retest Passed",OR(LEN(TRIM($O981))&gt;0,LEN(TRIM($P981))&gt;0)),IF(AND(OR($L981="Medium",$L981="Low"),SUMPRODUCT((Cards!$A$4:$A$1000&lt;&gt;"")*ISNUMBER(SEARCH($A981,Cards!$E$4:$E$1000))*(Cards!$F$4:$F$1000&lt;&gt;"Medium")*(Cards!$F$4:$F$1000&lt;&gt;"Low"))=0),"Conditionally Passed","Failed"),IF($M981="Done","Passed","Not Run")))))</f>
        <v/>
      </c>
      <c r="Y981" s="27" t="str" cm="1">
        <f t="array" ref="Y981">IF($A981="","",IF(TRIM($B981)="","-",IFERROR(_xlfn.TEXTJOIN(" / ",TRUE,_xlfn.UNIQUE(_xlfn._xlws.FILTER('Ownership Matrix'!$C$5:$C$200,('Ownership Matrix'!$A$5:$A$200=TRIM($B981))*('Ownership Matrix'!$C$5:$C$200&lt;&gt;"")))),"ไม่พบใน Ownership Matrix")))</f>
        <v/>
      </c>
      <c r="Z981" s="31" t="str">
        <f>IF(NOT(AND($A981&lt;&gt;"",$M981&lt;&gt;"Out of Scope",$M981&lt;&gt;"Canceled",$T981&lt;&gt;"Fixed – Retest Passed",OR(LEN(TRIM($O981))&gt;0,LEN(TRIM($P981))&gt;0))),"",IF(OR($W981="Failed",$R981="Urgent",$R981="High",$R981="ระบุ Severity + Impact"),IF(COUNTIFS(Dashboard!$B$105:$B$124,$O981,Dashboard!$I$105:$I$124,"CAB")&gt;0,"Accepted (CF)","Blocking"),"Deferrable"))</f>
        <v/>
      </c>
    </row>
    <row r="982" spans="7:26" x14ac:dyDescent="0.3">
      <c r="G982" s="27" t="str" cm="1">
        <f t="array" ref="G982">IF($A982="","",IFERROR(_xlfn.TEXTJOIN(CHAR(10)&amp;CHAR(10),TRUE,_xlfn._xlws.FILTER("•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"&amp;Cards!$L$4:$L$1000),(Cards!$A$4:$A$1000&lt;&gt;"")*ISNUMBER(SEARCH($A982,Cards!$E$4:$E$1000)))),"-"))</f>
        <v/>
      </c>
      <c r="Q982" s="30"/>
      <c r="R982" s="27" t="str">
        <f>IF(OR($A982="",LEN(TRIM($O982))=0),"",IF(OR($P982="",$Q982=""),"ระบุ Severity + Impact",IFERROR(INDEX({"Urgent","Urgent","High","High";"Urgent","High","High","Medium";"High","High","Medium","Medium";"Medium","Medium","Low","Low"},MATCH($P982,{"Critical","High","Medium","Low"},0),MATCH($Q982,{"Extensive","Significant","Moderate","Minor"},0)),"-")))</f>
        <v/>
      </c>
      <c r="S982" s="30"/>
      <c r="T982" s="30"/>
      <c r="W982" s="32" t="str">
        <f>IF($A982="","",IF(OR($M982="Out of Scope",$M982="Canceled"),"Out of Scope",IF($M982="Blocked","Blocked",IF(AND($T982&lt;&gt;"Fixed – Retest Passed",OR(LEN(TRIM($O982))&gt;0,LEN(TRIM($P982))&gt;0)),IF(AND(OR($L982="Medium",$L982="Low"),SUMPRODUCT((Cards!$A$4:$A$1000&lt;&gt;"")*ISNUMBER(SEARCH($A982,Cards!$E$4:$E$1000))*(Cards!$F$4:$F$1000&lt;&gt;"Medium")*(Cards!$F$4:$F$1000&lt;&gt;"Low"))=0),"Conditionally Passed","Failed"),IF($M982="Done","Passed","Not Run")))))</f>
        <v/>
      </c>
      <c r="Y982" s="27" t="str" cm="1">
        <f t="array" ref="Y982">IF($A982="","",IF(TRIM($B982)="","-",IFERROR(_xlfn.TEXTJOIN(" / ",TRUE,_xlfn.UNIQUE(_xlfn._xlws.FILTER('Ownership Matrix'!$C$5:$C$200,('Ownership Matrix'!$A$5:$A$200=TRIM($B982))*('Ownership Matrix'!$C$5:$C$200&lt;&gt;"")))),"ไม่พบใน Ownership Matrix")))</f>
        <v/>
      </c>
      <c r="Z982" s="31" t="str">
        <f>IF(NOT(AND($A982&lt;&gt;"",$M982&lt;&gt;"Out of Scope",$M982&lt;&gt;"Canceled",$T982&lt;&gt;"Fixed – Retest Passed",OR(LEN(TRIM($O982))&gt;0,LEN(TRIM($P982))&gt;0))),"",IF(OR($W982="Failed",$R982="Urgent",$R982="High",$R982="ระบุ Severity + Impact"),IF(COUNTIFS(Dashboard!$B$105:$B$124,$O982,Dashboard!$I$105:$I$124,"CAB")&gt;0,"Accepted (CF)","Blocking"),"Deferrable"))</f>
        <v/>
      </c>
    </row>
    <row r="983" spans="7:26" x14ac:dyDescent="0.3">
      <c r="G983" s="27" t="str" cm="1">
        <f t="array" ref="G983">IF($A983="","",IFERROR(_xlfn.TEXTJOIN(CHAR(10)&amp;CHAR(10),TRUE,_xlfn._xlws.FILTER("•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"&amp;Cards!$L$4:$L$1000),(Cards!$A$4:$A$1000&lt;&gt;"")*ISNUMBER(SEARCH($A983,Cards!$E$4:$E$1000)))),"-"))</f>
        <v/>
      </c>
      <c r="Q983" s="30"/>
      <c r="R983" s="27" t="str">
        <f>IF(OR($A983="",LEN(TRIM($O983))=0),"",IF(OR($P983="",$Q983=""),"ระบุ Severity + Impact",IFERROR(INDEX({"Urgent","Urgent","High","High";"Urgent","High","High","Medium";"High","High","Medium","Medium";"Medium","Medium","Low","Low"},MATCH($P983,{"Critical","High","Medium","Low"},0),MATCH($Q983,{"Extensive","Significant","Moderate","Minor"},0)),"-")))</f>
        <v/>
      </c>
      <c r="S983" s="30"/>
      <c r="T983" s="30"/>
      <c r="W983" s="32" t="str">
        <f>IF($A983="","",IF(OR($M983="Out of Scope",$M983="Canceled"),"Out of Scope",IF($M983="Blocked","Blocked",IF(AND($T983&lt;&gt;"Fixed – Retest Passed",OR(LEN(TRIM($O983))&gt;0,LEN(TRIM($P983))&gt;0)),IF(AND(OR($L983="Medium",$L983="Low"),SUMPRODUCT((Cards!$A$4:$A$1000&lt;&gt;"")*ISNUMBER(SEARCH($A983,Cards!$E$4:$E$1000))*(Cards!$F$4:$F$1000&lt;&gt;"Medium")*(Cards!$F$4:$F$1000&lt;&gt;"Low"))=0),"Conditionally Passed","Failed"),IF($M983="Done","Passed","Not Run")))))</f>
        <v/>
      </c>
      <c r="Y983" s="27" t="str" cm="1">
        <f t="array" ref="Y983">IF($A983="","",IF(TRIM($B983)="","-",IFERROR(_xlfn.TEXTJOIN(" / ",TRUE,_xlfn.UNIQUE(_xlfn._xlws.FILTER('Ownership Matrix'!$C$5:$C$200,('Ownership Matrix'!$A$5:$A$200=TRIM($B983))*('Ownership Matrix'!$C$5:$C$200&lt;&gt;"")))),"ไม่พบใน Ownership Matrix")))</f>
        <v/>
      </c>
      <c r="Z983" s="31" t="str">
        <f>IF(NOT(AND($A983&lt;&gt;"",$M983&lt;&gt;"Out of Scope",$M983&lt;&gt;"Canceled",$T983&lt;&gt;"Fixed – Retest Passed",OR(LEN(TRIM($O983))&gt;0,LEN(TRIM($P983))&gt;0))),"",IF(OR($W983="Failed",$R983="Urgent",$R983="High",$R983="ระบุ Severity + Impact"),IF(COUNTIFS(Dashboard!$B$105:$B$124,$O983,Dashboard!$I$105:$I$124,"CAB")&gt;0,"Accepted (CF)","Blocking"),"Deferrable"))</f>
        <v/>
      </c>
    </row>
    <row r="984" spans="7:26" x14ac:dyDescent="0.3">
      <c r="G984" s="27" t="str" cm="1">
        <f t="array" ref="G984">IF($A984="","",IFERROR(_xlfn.TEXTJOIN(CHAR(10)&amp;CHAR(10),TRUE,_xlfn._xlws.FILTER("•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"&amp;Cards!$L$4:$L$1000),(Cards!$A$4:$A$1000&lt;&gt;"")*ISNUMBER(SEARCH($A984,Cards!$E$4:$E$1000)))),"-"))</f>
        <v/>
      </c>
      <c r="Q984" s="30"/>
      <c r="R984" s="27" t="str">
        <f>IF(OR($A984="",LEN(TRIM($O984))=0),"",IF(OR($P984="",$Q984=""),"ระบุ Severity + Impact",IFERROR(INDEX({"Urgent","Urgent","High","High";"Urgent","High","High","Medium";"High","High","Medium","Medium";"Medium","Medium","Low","Low"},MATCH($P984,{"Critical","High","Medium","Low"},0),MATCH($Q984,{"Extensive","Significant","Moderate","Minor"},0)),"-")))</f>
        <v/>
      </c>
      <c r="S984" s="30"/>
      <c r="T984" s="30"/>
      <c r="W984" s="32" t="str">
        <f>IF($A984="","",IF(OR($M984="Out of Scope",$M984="Canceled"),"Out of Scope",IF($M984="Blocked","Blocked",IF(AND($T984&lt;&gt;"Fixed – Retest Passed",OR(LEN(TRIM($O984))&gt;0,LEN(TRIM($P984))&gt;0)),IF(AND(OR($L984="Medium",$L984="Low"),SUMPRODUCT((Cards!$A$4:$A$1000&lt;&gt;"")*ISNUMBER(SEARCH($A984,Cards!$E$4:$E$1000))*(Cards!$F$4:$F$1000&lt;&gt;"Medium")*(Cards!$F$4:$F$1000&lt;&gt;"Low"))=0),"Conditionally Passed","Failed"),IF($M984="Done","Passed","Not Run")))))</f>
        <v/>
      </c>
      <c r="Y984" s="27" t="str" cm="1">
        <f t="array" ref="Y984">IF($A984="","",IF(TRIM($B984)="","-",IFERROR(_xlfn.TEXTJOIN(" / ",TRUE,_xlfn.UNIQUE(_xlfn._xlws.FILTER('Ownership Matrix'!$C$5:$C$200,('Ownership Matrix'!$A$5:$A$200=TRIM($B984))*('Ownership Matrix'!$C$5:$C$200&lt;&gt;"")))),"ไม่พบใน Ownership Matrix")))</f>
        <v/>
      </c>
      <c r="Z984" s="31" t="str">
        <f>IF(NOT(AND($A984&lt;&gt;"",$M984&lt;&gt;"Out of Scope",$M984&lt;&gt;"Canceled",$T984&lt;&gt;"Fixed – Retest Passed",OR(LEN(TRIM($O984))&gt;0,LEN(TRIM($P984))&gt;0))),"",IF(OR($W984="Failed",$R984="Urgent",$R984="High",$R984="ระบุ Severity + Impact"),IF(COUNTIFS(Dashboard!$B$105:$B$124,$O984,Dashboard!$I$105:$I$124,"CAB")&gt;0,"Accepted (CF)","Blocking"),"Deferrable"))</f>
        <v/>
      </c>
    </row>
    <row r="985" spans="7:26" x14ac:dyDescent="0.3">
      <c r="G985" s="27" t="str" cm="1">
        <f t="array" ref="G985">IF($A985="","",IFERROR(_xlfn.TEXTJOIN(CHAR(10)&amp;CHAR(10),TRUE,_xlfn._xlws.FILTER("•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"&amp;Cards!$L$4:$L$1000),(Cards!$A$4:$A$1000&lt;&gt;"")*ISNUMBER(SEARCH($A985,Cards!$E$4:$E$1000)))),"-"))</f>
        <v/>
      </c>
      <c r="Q985" s="30"/>
      <c r="R985" s="27" t="str">
        <f>IF(OR($A985="",LEN(TRIM($O985))=0),"",IF(OR($P985="",$Q985=""),"ระบุ Severity + Impact",IFERROR(INDEX({"Urgent","Urgent","High","High";"Urgent","High","High","Medium";"High","High","Medium","Medium";"Medium","Medium","Low","Low"},MATCH($P985,{"Critical","High","Medium","Low"},0),MATCH($Q985,{"Extensive","Significant","Moderate","Minor"},0)),"-")))</f>
        <v/>
      </c>
      <c r="S985" s="30"/>
      <c r="T985" s="30"/>
      <c r="W985" s="32" t="str">
        <f>IF($A985="","",IF(OR($M985="Out of Scope",$M985="Canceled"),"Out of Scope",IF($M985="Blocked","Blocked",IF(AND($T985&lt;&gt;"Fixed – Retest Passed",OR(LEN(TRIM($O985))&gt;0,LEN(TRIM($P985))&gt;0)),IF(AND(OR($L985="Medium",$L985="Low"),SUMPRODUCT((Cards!$A$4:$A$1000&lt;&gt;"")*ISNUMBER(SEARCH($A985,Cards!$E$4:$E$1000))*(Cards!$F$4:$F$1000&lt;&gt;"Medium")*(Cards!$F$4:$F$1000&lt;&gt;"Low"))=0),"Conditionally Passed","Failed"),IF($M985="Done","Passed","Not Run")))))</f>
        <v/>
      </c>
      <c r="Y985" s="27" t="str" cm="1">
        <f t="array" ref="Y985">IF($A985="","",IF(TRIM($B985)="","-",IFERROR(_xlfn.TEXTJOIN(" / ",TRUE,_xlfn.UNIQUE(_xlfn._xlws.FILTER('Ownership Matrix'!$C$5:$C$200,('Ownership Matrix'!$A$5:$A$200=TRIM($B985))*('Ownership Matrix'!$C$5:$C$200&lt;&gt;"")))),"ไม่พบใน Ownership Matrix")))</f>
        <v/>
      </c>
      <c r="Z985" s="31" t="str">
        <f>IF(NOT(AND($A985&lt;&gt;"",$M985&lt;&gt;"Out of Scope",$M985&lt;&gt;"Canceled",$T985&lt;&gt;"Fixed – Retest Passed",OR(LEN(TRIM($O985))&gt;0,LEN(TRIM($P985))&gt;0))),"",IF(OR($W985="Failed",$R985="Urgent",$R985="High",$R985="ระบุ Severity + Impact"),IF(COUNTIFS(Dashboard!$B$105:$B$124,$O985,Dashboard!$I$105:$I$124,"CAB")&gt;0,"Accepted (CF)","Blocking"),"Deferrable"))</f>
        <v/>
      </c>
    </row>
    <row r="986" spans="7:26" x14ac:dyDescent="0.3">
      <c r="G986" s="27" t="str" cm="1">
        <f t="array" ref="G986">IF($A986="","",IFERROR(_xlfn.TEXTJOIN(CHAR(10)&amp;CHAR(10),TRUE,_xlfn._xlws.FILTER("•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"&amp;Cards!$L$4:$L$1000),(Cards!$A$4:$A$1000&lt;&gt;"")*ISNUMBER(SEARCH($A986,Cards!$E$4:$E$1000)))),"-"))</f>
        <v/>
      </c>
      <c r="Q986" s="30"/>
      <c r="R986" s="27" t="str">
        <f>IF(OR($A986="",LEN(TRIM($O986))=0),"",IF(OR($P986="",$Q986=""),"ระบุ Severity + Impact",IFERROR(INDEX({"Urgent","Urgent","High","High";"Urgent","High","High","Medium";"High","High","Medium","Medium";"Medium","Medium","Low","Low"},MATCH($P986,{"Critical","High","Medium","Low"},0),MATCH($Q986,{"Extensive","Significant","Moderate","Minor"},0)),"-")))</f>
        <v/>
      </c>
      <c r="S986" s="30"/>
      <c r="T986" s="30"/>
      <c r="W986" s="32" t="str">
        <f>IF($A986="","",IF(OR($M986="Out of Scope",$M986="Canceled"),"Out of Scope",IF($M986="Blocked","Blocked",IF(AND($T986&lt;&gt;"Fixed – Retest Passed",OR(LEN(TRIM($O986))&gt;0,LEN(TRIM($P986))&gt;0)),IF(AND(OR($L986="Medium",$L986="Low"),SUMPRODUCT((Cards!$A$4:$A$1000&lt;&gt;"")*ISNUMBER(SEARCH($A986,Cards!$E$4:$E$1000))*(Cards!$F$4:$F$1000&lt;&gt;"Medium")*(Cards!$F$4:$F$1000&lt;&gt;"Low"))=0),"Conditionally Passed","Failed"),IF($M986="Done","Passed","Not Run")))))</f>
        <v/>
      </c>
      <c r="Y986" s="27" t="str" cm="1">
        <f t="array" ref="Y986">IF($A986="","",IF(TRIM($B986)="","-",IFERROR(_xlfn.TEXTJOIN(" / ",TRUE,_xlfn.UNIQUE(_xlfn._xlws.FILTER('Ownership Matrix'!$C$5:$C$200,('Ownership Matrix'!$A$5:$A$200=TRIM($B986))*('Ownership Matrix'!$C$5:$C$200&lt;&gt;"")))),"ไม่พบใน Ownership Matrix")))</f>
        <v/>
      </c>
      <c r="Z986" s="31" t="str">
        <f>IF(NOT(AND($A986&lt;&gt;"",$M986&lt;&gt;"Out of Scope",$M986&lt;&gt;"Canceled",$T986&lt;&gt;"Fixed – Retest Passed",OR(LEN(TRIM($O986))&gt;0,LEN(TRIM($P986))&gt;0))),"",IF(OR($W986="Failed",$R986="Urgent",$R986="High",$R986="ระบุ Severity + Impact"),IF(COUNTIFS(Dashboard!$B$105:$B$124,$O986,Dashboard!$I$105:$I$124,"CAB")&gt;0,"Accepted (CF)","Blocking"),"Deferrable"))</f>
        <v/>
      </c>
    </row>
    <row r="987" spans="7:26" x14ac:dyDescent="0.3">
      <c r="G987" s="27" t="str" cm="1">
        <f t="array" ref="G987">IF($A987="","",IFERROR(_xlfn.TEXTJOIN(CHAR(10)&amp;CHAR(10),TRUE,_xlfn._xlws.FILTER("•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"&amp;Cards!$L$4:$L$1000),(Cards!$A$4:$A$1000&lt;&gt;"")*ISNUMBER(SEARCH($A987,Cards!$E$4:$E$1000)))),"-"))</f>
        <v/>
      </c>
      <c r="Q987" s="30"/>
      <c r="R987" s="27" t="str">
        <f>IF(OR($A987="",LEN(TRIM($O987))=0),"",IF(OR($P987="",$Q987=""),"ระบุ Severity + Impact",IFERROR(INDEX({"Urgent","Urgent","High","High";"Urgent","High","High","Medium";"High","High","Medium","Medium";"Medium","Medium","Low","Low"},MATCH($P987,{"Critical","High","Medium","Low"},0),MATCH($Q987,{"Extensive","Significant","Moderate","Minor"},0)),"-")))</f>
        <v/>
      </c>
      <c r="S987" s="30"/>
      <c r="T987" s="30"/>
      <c r="W987" s="32" t="str">
        <f>IF($A987="","",IF(OR($M987="Out of Scope",$M987="Canceled"),"Out of Scope",IF($M987="Blocked","Blocked",IF(AND($T987&lt;&gt;"Fixed – Retest Passed",OR(LEN(TRIM($O987))&gt;0,LEN(TRIM($P987))&gt;0)),IF(AND(OR($L987="Medium",$L987="Low"),SUMPRODUCT((Cards!$A$4:$A$1000&lt;&gt;"")*ISNUMBER(SEARCH($A987,Cards!$E$4:$E$1000))*(Cards!$F$4:$F$1000&lt;&gt;"Medium")*(Cards!$F$4:$F$1000&lt;&gt;"Low"))=0),"Conditionally Passed","Failed"),IF($M987="Done","Passed","Not Run")))))</f>
        <v/>
      </c>
      <c r="Y987" s="27" t="str" cm="1">
        <f t="array" ref="Y987">IF($A987="","",IF(TRIM($B987)="","-",IFERROR(_xlfn.TEXTJOIN(" / ",TRUE,_xlfn.UNIQUE(_xlfn._xlws.FILTER('Ownership Matrix'!$C$5:$C$200,('Ownership Matrix'!$A$5:$A$200=TRIM($B987))*('Ownership Matrix'!$C$5:$C$200&lt;&gt;"")))),"ไม่พบใน Ownership Matrix")))</f>
        <v/>
      </c>
      <c r="Z987" s="31" t="str">
        <f>IF(NOT(AND($A987&lt;&gt;"",$M987&lt;&gt;"Out of Scope",$M987&lt;&gt;"Canceled",$T987&lt;&gt;"Fixed – Retest Passed",OR(LEN(TRIM($O987))&gt;0,LEN(TRIM($P987))&gt;0))),"",IF(OR($W987="Failed",$R987="Urgent",$R987="High",$R987="ระบุ Severity + Impact"),IF(COUNTIFS(Dashboard!$B$105:$B$124,$O987,Dashboard!$I$105:$I$124,"CAB")&gt;0,"Accepted (CF)","Blocking"),"Deferrable"))</f>
        <v/>
      </c>
    </row>
    <row r="988" spans="7:26" x14ac:dyDescent="0.3">
      <c r="G988" s="27" t="str" cm="1">
        <f t="array" ref="G988">IF($A988="","",IFERROR(_xlfn.TEXTJOIN(CHAR(10)&amp;CHAR(10),TRUE,_xlfn._xlws.FILTER("•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"&amp;Cards!$L$4:$L$1000),(Cards!$A$4:$A$1000&lt;&gt;"")*ISNUMBER(SEARCH($A988,Cards!$E$4:$E$1000)))),"-"))</f>
        <v/>
      </c>
      <c r="Q988" s="30"/>
      <c r="R988" s="27" t="str">
        <f>IF(OR($A988="",LEN(TRIM($O988))=0),"",IF(OR($P988="",$Q988=""),"ระบุ Severity + Impact",IFERROR(INDEX({"Urgent","Urgent","High","High";"Urgent","High","High","Medium";"High","High","Medium","Medium";"Medium","Medium","Low","Low"},MATCH($P988,{"Critical","High","Medium","Low"},0),MATCH($Q988,{"Extensive","Significant","Moderate","Minor"},0)),"-")))</f>
        <v/>
      </c>
      <c r="S988" s="30"/>
      <c r="T988" s="30"/>
      <c r="W988" s="32" t="str">
        <f>IF($A988="","",IF(OR($M988="Out of Scope",$M988="Canceled"),"Out of Scope",IF($M988="Blocked","Blocked",IF(AND($T988&lt;&gt;"Fixed – Retest Passed",OR(LEN(TRIM($O988))&gt;0,LEN(TRIM($P988))&gt;0)),IF(AND(OR($L988="Medium",$L988="Low"),SUMPRODUCT((Cards!$A$4:$A$1000&lt;&gt;"")*ISNUMBER(SEARCH($A988,Cards!$E$4:$E$1000))*(Cards!$F$4:$F$1000&lt;&gt;"Medium")*(Cards!$F$4:$F$1000&lt;&gt;"Low"))=0),"Conditionally Passed","Failed"),IF($M988="Done","Passed","Not Run")))))</f>
        <v/>
      </c>
      <c r="Y988" s="27" t="str" cm="1">
        <f t="array" ref="Y988">IF($A988="","",IF(TRIM($B988)="","-",IFERROR(_xlfn.TEXTJOIN(" / ",TRUE,_xlfn.UNIQUE(_xlfn._xlws.FILTER('Ownership Matrix'!$C$5:$C$200,('Ownership Matrix'!$A$5:$A$200=TRIM($B988))*('Ownership Matrix'!$C$5:$C$200&lt;&gt;"")))),"ไม่พบใน Ownership Matrix")))</f>
        <v/>
      </c>
      <c r="Z988" s="31" t="str">
        <f>IF(NOT(AND($A988&lt;&gt;"",$M988&lt;&gt;"Out of Scope",$M988&lt;&gt;"Canceled",$T988&lt;&gt;"Fixed – Retest Passed",OR(LEN(TRIM($O988))&gt;0,LEN(TRIM($P988))&gt;0))),"",IF(OR($W988="Failed",$R988="Urgent",$R988="High",$R988="ระบุ Severity + Impact"),IF(COUNTIFS(Dashboard!$B$105:$B$124,$O988,Dashboard!$I$105:$I$124,"CAB")&gt;0,"Accepted (CF)","Blocking"),"Deferrable"))</f>
        <v/>
      </c>
    </row>
    <row r="989" spans="7:26" x14ac:dyDescent="0.3">
      <c r="G989" s="27" t="str" cm="1">
        <f t="array" ref="G989">IF($A989="","",IFERROR(_xlfn.TEXTJOIN(CHAR(10)&amp;CHAR(10),TRUE,_xlfn._xlws.FILTER("•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"&amp;Cards!$L$4:$L$1000),(Cards!$A$4:$A$1000&lt;&gt;"")*ISNUMBER(SEARCH($A989,Cards!$E$4:$E$1000)))),"-"))</f>
        <v/>
      </c>
      <c r="Q989" s="30"/>
      <c r="R989" s="27" t="str">
        <f>IF(OR($A989="",LEN(TRIM($O989))=0),"",IF(OR($P989="",$Q989=""),"ระบุ Severity + Impact",IFERROR(INDEX({"Urgent","Urgent","High","High";"Urgent","High","High","Medium";"High","High","Medium","Medium";"Medium","Medium","Low","Low"},MATCH($P989,{"Critical","High","Medium","Low"},0),MATCH($Q989,{"Extensive","Significant","Moderate","Minor"},0)),"-")))</f>
        <v/>
      </c>
      <c r="S989" s="30"/>
      <c r="T989" s="30"/>
      <c r="W989" s="32" t="str">
        <f>IF($A989="","",IF(OR($M989="Out of Scope",$M989="Canceled"),"Out of Scope",IF($M989="Blocked","Blocked",IF(AND($T989&lt;&gt;"Fixed – Retest Passed",OR(LEN(TRIM($O989))&gt;0,LEN(TRIM($P989))&gt;0)),IF(AND(OR($L989="Medium",$L989="Low"),SUMPRODUCT((Cards!$A$4:$A$1000&lt;&gt;"")*ISNUMBER(SEARCH($A989,Cards!$E$4:$E$1000))*(Cards!$F$4:$F$1000&lt;&gt;"Medium")*(Cards!$F$4:$F$1000&lt;&gt;"Low"))=0),"Conditionally Passed","Failed"),IF($M989="Done","Passed","Not Run")))))</f>
        <v/>
      </c>
      <c r="Y989" s="27" t="str" cm="1">
        <f t="array" ref="Y989">IF($A989="","",IF(TRIM($B989)="","-",IFERROR(_xlfn.TEXTJOIN(" / ",TRUE,_xlfn.UNIQUE(_xlfn._xlws.FILTER('Ownership Matrix'!$C$5:$C$200,('Ownership Matrix'!$A$5:$A$200=TRIM($B989))*('Ownership Matrix'!$C$5:$C$200&lt;&gt;"")))),"ไม่พบใน Ownership Matrix")))</f>
        <v/>
      </c>
      <c r="Z989" s="31" t="str">
        <f>IF(NOT(AND($A989&lt;&gt;"",$M989&lt;&gt;"Out of Scope",$M989&lt;&gt;"Canceled",$T989&lt;&gt;"Fixed – Retest Passed",OR(LEN(TRIM($O989))&gt;0,LEN(TRIM($P989))&gt;0))),"",IF(OR($W989="Failed",$R989="Urgent",$R989="High",$R989="ระบุ Severity + Impact"),IF(COUNTIFS(Dashboard!$B$105:$B$124,$O989,Dashboard!$I$105:$I$124,"CAB")&gt;0,"Accepted (CF)","Blocking"),"Deferrable"))</f>
        <v/>
      </c>
    </row>
    <row r="990" spans="7:26" x14ac:dyDescent="0.3">
      <c r="G990" s="27" t="str" cm="1">
        <f t="array" ref="G990">IF($A990="","",IFERROR(_xlfn.TEXTJOIN(CHAR(10)&amp;CHAR(10),TRUE,_xlfn._xlws.FILTER("•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"&amp;Cards!$L$4:$L$1000),(Cards!$A$4:$A$1000&lt;&gt;"")*ISNUMBER(SEARCH($A990,Cards!$E$4:$E$1000)))),"-"))</f>
        <v/>
      </c>
      <c r="Q990" s="30"/>
      <c r="R990" s="27" t="str">
        <f>IF(OR($A990="",LEN(TRIM($O990))=0),"",IF(OR($P990="",$Q990=""),"ระบุ Severity + Impact",IFERROR(INDEX({"Urgent","Urgent","High","High";"Urgent","High","High","Medium";"High","High","Medium","Medium";"Medium","Medium","Low","Low"},MATCH($P990,{"Critical","High","Medium","Low"},0),MATCH($Q990,{"Extensive","Significant","Moderate","Minor"},0)),"-")))</f>
        <v/>
      </c>
      <c r="S990" s="30"/>
      <c r="T990" s="30"/>
      <c r="W990" s="32" t="str">
        <f>IF($A990="","",IF(OR($M990="Out of Scope",$M990="Canceled"),"Out of Scope",IF($M990="Blocked","Blocked",IF(AND($T990&lt;&gt;"Fixed – Retest Passed",OR(LEN(TRIM($O990))&gt;0,LEN(TRIM($P990))&gt;0)),IF(AND(OR($L990="Medium",$L990="Low"),SUMPRODUCT((Cards!$A$4:$A$1000&lt;&gt;"")*ISNUMBER(SEARCH($A990,Cards!$E$4:$E$1000))*(Cards!$F$4:$F$1000&lt;&gt;"Medium")*(Cards!$F$4:$F$1000&lt;&gt;"Low"))=0),"Conditionally Passed","Failed"),IF($M990="Done","Passed","Not Run")))))</f>
        <v/>
      </c>
      <c r="Y990" s="27" t="str" cm="1">
        <f t="array" ref="Y990">IF($A990="","",IF(TRIM($B990)="","-",IFERROR(_xlfn.TEXTJOIN(" / ",TRUE,_xlfn.UNIQUE(_xlfn._xlws.FILTER('Ownership Matrix'!$C$5:$C$200,('Ownership Matrix'!$A$5:$A$200=TRIM($B990))*('Ownership Matrix'!$C$5:$C$200&lt;&gt;"")))),"ไม่พบใน Ownership Matrix")))</f>
        <v/>
      </c>
      <c r="Z990" s="31" t="str">
        <f>IF(NOT(AND($A990&lt;&gt;"",$M990&lt;&gt;"Out of Scope",$M990&lt;&gt;"Canceled",$T990&lt;&gt;"Fixed – Retest Passed",OR(LEN(TRIM($O990))&gt;0,LEN(TRIM($P990))&gt;0))),"",IF(OR($W990="Failed",$R990="Urgent",$R990="High",$R990="ระบุ Severity + Impact"),IF(COUNTIFS(Dashboard!$B$105:$B$124,$O990,Dashboard!$I$105:$I$124,"CAB")&gt;0,"Accepted (CF)","Blocking"),"Deferrable"))</f>
        <v/>
      </c>
    </row>
    <row r="991" spans="7:26" x14ac:dyDescent="0.3">
      <c r="G991" s="27" t="str" cm="1">
        <f t="array" ref="G991">IF($A991="","",IFERROR(_xlfn.TEXTJOIN(CHAR(10)&amp;CHAR(10),TRUE,_xlfn._xlws.FILTER("•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"&amp;Cards!$L$4:$L$1000),(Cards!$A$4:$A$1000&lt;&gt;"")*ISNUMBER(SEARCH($A991,Cards!$E$4:$E$1000)))),"-"))</f>
        <v/>
      </c>
      <c r="Q991" s="30"/>
      <c r="R991" s="27" t="str">
        <f>IF(OR($A991="",LEN(TRIM($O991))=0),"",IF(OR($P991="",$Q991=""),"ระบุ Severity + Impact",IFERROR(INDEX({"Urgent","Urgent","High","High";"Urgent","High","High","Medium";"High","High","Medium","Medium";"Medium","Medium","Low","Low"},MATCH($P991,{"Critical","High","Medium","Low"},0),MATCH($Q991,{"Extensive","Significant","Moderate","Minor"},0)),"-")))</f>
        <v/>
      </c>
      <c r="S991" s="30"/>
      <c r="T991" s="30"/>
      <c r="W991" s="32" t="str">
        <f>IF($A991="","",IF(OR($M991="Out of Scope",$M991="Canceled"),"Out of Scope",IF($M991="Blocked","Blocked",IF(AND($T991&lt;&gt;"Fixed – Retest Passed",OR(LEN(TRIM($O991))&gt;0,LEN(TRIM($P991))&gt;0)),IF(AND(OR($L991="Medium",$L991="Low"),SUMPRODUCT((Cards!$A$4:$A$1000&lt;&gt;"")*ISNUMBER(SEARCH($A991,Cards!$E$4:$E$1000))*(Cards!$F$4:$F$1000&lt;&gt;"Medium")*(Cards!$F$4:$F$1000&lt;&gt;"Low"))=0),"Conditionally Passed","Failed"),IF($M991="Done","Passed","Not Run")))))</f>
        <v/>
      </c>
      <c r="Y991" s="27" t="str" cm="1">
        <f t="array" ref="Y991">IF($A991="","",IF(TRIM($B991)="","-",IFERROR(_xlfn.TEXTJOIN(" / ",TRUE,_xlfn.UNIQUE(_xlfn._xlws.FILTER('Ownership Matrix'!$C$5:$C$200,('Ownership Matrix'!$A$5:$A$200=TRIM($B991))*('Ownership Matrix'!$C$5:$C$200&lt;&gt;"")))),"ไม่พบใน Ownership Matrix")))</f>
        <v/>
      </c>
      <c r="Z991" s="31" t="str">
        <f>IF(NOT(AND($A991&lt;&gt;"",$M991&lt;&gt;"Out of Scope",$M991&lt;&gt;"Canceled",$T991&lt;&gt;"Fixed – Retest Passed",OR(LEN(TRIM($O991))&gt;0,LEN(TRIM($P991))&gt;0))),"",IF(OR($W991="Failed",$R991="Urgent",$R991="High",$R991="ระบุ Severity + Impact"),IF(COUNTIFS(Dashboard!$B$105:$B$124,$O991,Dashboard!$I$105:$I$124,"CAB")&gt;0,"Accepted (CF)","Blocking"),"Deferrable"))</f>
        <v/>
      </c>
    </row>
    <row r="992" spans="7:26" x14ac:dyDescent="0.3">
      <c r="G992" s="27" t="str" cm="1">
        <f t="array" ref="G992">IF($A992="","",IFERROR(_xlfn.TEXTJOIN(CHAR(10)&amp;CHAR(10),TRUE,_xlfn._xlws.FILTER("•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"&amp;Cards!$L$4:$L$1000),(Cards!$A$4:$A$1000&lt;&gt;"")*ISNUMBER(SEARCH($A992,Cards!$E$4:$E$1000)))),"-"))</f>
        <v/>
      </c>
      <c r="Q992" s="30"/>
      <c r="R992" s="27" t="str">
        <f>IF(OR($A992="",LEN(TRIM($O992))=0),"",IF(OR($P992="",$Q992=""),"ระบุ Severity + Impact",IFERROR(INDEX({"Urgent","Urgent","High","High";"Urgent","High","High","Medium";"High","High","Medium","Medium";"Medium","Medium","Low","Low"},MATCH($P992,{"Critical","High","Medium","Low"},0),MATCH($Q992,{"Extensive","Significant","Moderate","Minor"},0)),"-")))</f>
        <v/>
      </c>
      <c r="S992" s="30"/>
      <c r="T992" s="30"/>
      <c r="W992" s="32" t="str">
        <f>IF($A992="","",IF(OR($M992="Out of Scope",$M992="Canceled"),"Out of Scope",IF($M992="Blocked","Blocked",IF(AND($T992&lt;&gt;"Fixed – Retest Passed",OR(LEN(TRIM($O992))&gt;0,LEN(TRIM($P992))&gt;0)),IF(AND(OR($L992="Medium",$L992="Low"),SUMPRODUCT((Cards!$A$4:$A$1000&lt;&gt;"")*ISNUMBER(SEARCH($A992,Cards!$E$4:$E$1000))*(Cards!$F$4:$F$1000&lt;&gt;"Medium")*(Cards!$F$4:$F$1000&lt;&gt;"Low"))=0),"Conditionally Passed","Failed"),IF($M992="Done","Passed","Not Run")))))</f>
        <v/>
      </c>
      <c r="Y992" s="27" t="str" cm="1">
        <f t="array" ref="Y992">IF($A992="","",IF(TRIM($B992)="","-",IFERROR(_xlfn.TEXTJOIN(" / ",TRUE,_xlfn.UNIQUE(_xlfn._xlws.FILTER('Ownership Matrix'!$C$5:$C$200,('Ownership Matrix'!$A$5:$A$200=TRIM($B992))*('Ownership Matrix'!$C$5:$C$200&lt;&gt;"")))),"ไม่พบใน Ownership Matrix")))</f>
        <v/>
      </c>
      <c r="Z992" s="31" t="str">
        <f>IF(NOT(AND($A992&lt;&gt;"",$M992&lt;&gt;"Out of Scope",$M992&lt;&gt;"Canceled",$T992&lt;&gt;"Fixed – Retest Passed",OR(LEN(TRIM($O992))&gt;0,LEN(TRIM($P992))&gt;0))),"",IF(OR($W992="Failed",$R992="Urgent",$R992="High",$R992="ระบุ Severity + Impact"),IF(COUNTIFS(Dashboard!$B$105:$B$124,$O992,Dashboard!$I$105:$I$124,"CAB")&gt;0,"Accepted (CF)","Blocking"),"Deferrable"))</f>
        <v/>
      </c>
    </row>
    <row r="993" spans="7:26" x14ac:dyDescent="0.3">
      <c r="G993" s="27" t="str" cm="1">
        <f t="array" ref="G993">IF($A993="","",IFERROR(_xlfn.TEXTJOIN(CHAR(10)&amp;CHAR(10),TRUE,_xlfn._xlws.FILTER("•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"&amp;Cards!$L$4:$L$1000),(Cards!$A$4:$A$1000&lt;&gt;"")*ISNUMBER(SEARCH($A993,Cards!$E$4:$E$1000)))),"-"))</f>
        <v/>
      </c>
      <c r="Q993" s="30"/>
      <c r="R993" s="27" t="str">
        <f>IF(OR($A993="",LEN(TRIM($O993))=0),"",IF(OR($P993="",$Q993=""),"ระบุ Severity + Impact",IFERROR(INDEX({"Urgent","Urgent","High","High";"Urgent","High","High","Medium";"High","High","Medium","Medium";"Medium","Medium","Low","Low"},MATCH($P993,{"Critical","High","Medium","Low"},0),MATCH($Q993,{"Extensive","Significant","Moderate","Minor"},0)),"-")))</f>
        <v/>
      </c>
      <c r="S993" s="30"/>
      <c r="T993" s="30"/>
      <c r="W993" s="32" t="str">
        <f>IF($A993="","",IF(OR($M993="Out of Scope",$M993="Canceled"),"Out of Scope",IF($M993="Blocked","Blocked",IF(AND($T993&lt;&gt;"Fixed – Retest Passed",OR(LEN(TRIM($O993))&gt;0,LEN(TRIM($P993))&gt;0)),IF(AND(OR($L993="Medium",$L993="Low"),SUMPRODUCT((Cards!$A$4:$A$1000&lt;&gt;"")*ISNUMBER(SEARCH($A993,Cards!$E$4:$E$1000))*(Cards!$F$4:$F$1000&lt;&gt;"Medium")*(Cards!$F$4:$F$1000&lt;&gt;"Low"))=0),"Conditionally Passed","Failed"),IF($M993="Done","Passed","Not Run")))))</f>
        <v/>
      </c>
      <c r="Y993" s="27" t="str" cm="1">
        <f t="array" ref="Y993">IF($A993="","",IF(TRIM($B993)="","-",IFERROR(_xlfn.TEXTJOIN(" / ",TRUE,_xlfn.UNIQUE(_xlfn._xlws.FILTER('Ownership Matrix'!$C$5:$C$200,('Ownership Matrix'!$A$5:$A$200=TRIM($B993))*('Ownership Matrix'!$C$5:$C$200&lt;&gt;"")))),"ไม่พบใน Ownership Matrix")))</f>
        <v/>
      </c>
      <c r="Z993" s="31" t="str">
        <f>IF(NOT(AND($A993&lt;&gt;"",$M993&lt;&gt;"Out of Scope",$M993&lt;&gt;"Canceled",$T993&lt;&gt;"Fixed – Retest Passed",OR(LEN(TRIM($O993))&gt;0,LEN(TRIM($P993))&gt;0))),"",IF(OR($W993="Failed",$R993="Urgent",$R993="High",$R993="ระบุ Severity + Impact"),IF(COUNTIFS(Dashboard!$B$105:$B$124,$O993,Dashboard!$I$105:$I$124,"CAB")&gt;0,"Accepted (CF)","Blocking"),"Deferrable"))</f>
        <v/>
      </c>
    </row>
    <row r="994" spans="7:26" x14ac:dyDescent="0.3">
      <c r="G994" s="27" t="str" cm="1">
        <f t="array" ref="G994">IF($A994="","",IFERROR(_xlfn.TEXTJOIN(CHAR(10)&amp;CHAR(10),TRUE,_xlfn._xlws.FILTER("•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"&amp;Cards!$L$4:$L$1000),(Cards!$A$4:$A$1000&lt;&gt;"")*ISNUMBER(SEARCH($A994,Cards!$E$4:$E$1000)))),"-"))</f>
        <v/>
      </c>
      <c r="Q994" s="30"/>
      <c r="R994" s="27" t="str">
        <f>IF(OR($A994="",LEN(TRIM($O994))=0),"",IF(OR($P994="",$Q994=""),"ระบุ Severity + Impact",IFERROR(INDEX({"Urgent","Urgent","High","High";"Urgent","High","High","Medium";"High","High","Medium","Medium";"Medium","Medium","Low","Low"},MATCH($P994,{"Critical","High","Medium","Low"},0),MATCH($Q994,{"Extensive","Significant","Moderate","Minor"},0)),"-")))</f>
        <v/>
      </c>
      <c r="S994" s="30"/>
      <c r="T994" s="30"/>
      <c r="W994" s="32" t="str">
        <f>IF($A994="","",IF(OR($M994="Out of Scope",$M994="Canceled"),"Out of Scope",IF($M994="Blocked","Blocked",IF(AND($T994&lt;&gt;"Fixed – Retest Passed",OR(LEN(TRIM($O994))&gt;0,LEN(TRIM($P994))&gt;0)),IF(AND(OR($L994="Medium",$L994="Low"),SUMPRODUCT((Cards!$A$4:$A$1000&lt;&gt;"")*ISNUMBER(SEARCH($A994,Cards!$E$4:$E$1000))*(Cards!$F$4:$F$1000&lt;&gt;"Medium")*(Cards!$F$4:$F$1000&lt;&gt;"Low"))=0),"Conditionally Passed","Failed"),IF($M994="Done","Passed","Not Run")))))</f>
        <v/>
      </c>
      <c r="Y994" s="27" t="str" cm="1">
        <f t="array" ref="Y994">IF($A994="","",IF(TRIM($B994)="","-",IFERROR(_xlfn.TEXTJOIN(" / ",TRUE,_xlfn.UNIQUE(_xlfn._xlws.FILTER('Ownership Matrix'!$C$5:$C$200,('Ownership Matrix'!$A$5:$A$200=TRIM($B994))*('Ownership Matrix'!$C$5:$C$200&lt;&gt;"")))),"ไม่พบใน Ownership Matrix")))</f>
        <v/>
      </c>
      <c r="Z994" s="31" t="str">
        <f>IF(NOT(AND($A994&lt;&gt;"",$M994&lt;&gt;"Out of Scope",$M994&lt;&gt;"Canceled",$T994&lt;&gt;"Fixed – Retest Passed",OR(LEN(TRIM($O994))&gt;0,LEN(TRIM($P994))&gt;0))),"",IF(OR($W994="Failed",$R994="Urgent",$R994="High",$R994="ระบุ Severity + Impact"),IF(COUNTIFS(Dashboard!$B$105:$B$124,$O994,Dashboard!$I$105:$I$124,"CAB")&gt;0,"Accepted (CF)","Blocking"),"Deferrable"))</f>
        <v/>
      </c>
    </row>
    <row r="995" spans="7:26" x14ac:dyDescent="0.3">
      <c r="G995" s="27" t="str" cm="1">
        <f t="array" ref="G995">IF($A995="","",IFERROR(_xlfn.TEXTJOIN(CHAR(10)&amp;CHAR(10),TRUE,_xlfn._xlws.FILTER("•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"&amp;Cards!$L$4:$L$1000),(Cards!$A$4:$A$1000&lt;&gt;"")*ISNUMBER(SEARCH($A995,Cards!$E$4:$E$1000)))),"-"))</f>
        <v/>
      </c>
      <c r="Q995" s="30"/>
      <c r="R995" s="27" t="str">
        <f>IF(OR($A995="",LEN(TRIM($O995))=0),"",IF(OR($P995="",$Q995=""),"ระบุ Severity + Impact",IFERROR(INDEX({"Urgent","Urgent","High","High";"Urgent","High","High","Medium";"High","High","Medium","Medium";"Medium","Medium","Low","Low"},MATCH($P995,{"Critical","High","Medium","Low"},0),MATCH($Q995,{"Extensive","Significant","Moderate","Minor"},0)),"-")))</f>
        <v/>
      </c>
      <c r="S995" s="30"/>
      <c r="T995" s="30"/>
      <c r="W995" s="32" t="str">
        <f>IF($A995="","",IF(OR($M995="Out of Scope",$M995="Canceled"),"Out of Scope",IF($M995="Blocked","Blocked",IF(AND($T995&lt;&gt;"Fixed – Retest Passed",OR(LEN(TRIM($O995))&gt;0,LEN(TRIM($P995))&gt;0)),IF(AND(OR($L995="Medium",$L995="Low"),SUMPRODUCT((Cards!$A$4:$A$1000&lt;&gt;"")*ISNUMBER(SEARCH($A995,Cards!$E$4:$E$1000))*(Cards!$F$4:$F$1000&lt;&gt;"Medium")*(Cards!$F$4:$F$1000&lt;&gt;"Low"))=0),"Conditionally Passed","Failed"),IF($M995="Done","Passed","Not Run")))))</f>
        <v/>
      </c>
      <c r="Y995" s="27" t="str" cm="1">
        <f t="array" ref="Y995">IF($A995="","",IF(TRIM($B995)="","-",IFERROR(_xlfn.TEXTJOIN(" / ",TRUE,_xlfn.UNIQUE(_xlfn._xlws.FILTER('Ownership Matrix'!$C$5:$C$200,('Ownership Matrix'!$A$5:$A$200=TRIM($B995))*('Ownership Matrix'!$C$5:$C$200&lt;&gt;"")))),"ไม่พบใน Ownership Matrix")))</f>
        <v/>
      </c>
      <c r="Z995" s="31" t="str">
        <f>IF(NOT(AND($A995&lt;&gt;"",$M995&lt;&gt;"Out of Scope",$M995&lt;&gt;"Canceled",$T995&lt;&gt;"Fixed – Retest Passed",OR(LEN(TRIM($O995))&gt;0,LEN(TRIM($P995))&gt;0))),"",IF(OR($W995="Failed",$R995="Urgent",$R995="High",$R995="ระบุ Severity + Impact"),IF(COUNTIFS(Dashboard!$B$105:$B$124,$O995,Dashboard!$I$105:$I$124,"CAB")&gt;0,"Accepted (CF)","Blocking"),"Deferrable"))</f>
        <v/>
      </c>
    </row>
    <row r="996" spans="7:26" x14ac:dyDescent="0.3">
      <c r="G996" s="27" t="str" cm="1">
        <f t="array" ref="G996">IF($A996="","",IFERROR(_xlfn.TEXTJOIN(CHAR(10)&amp;CHAR(10),TRUE,_xlfn._xlws.FILTER("•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"&amp;Cards!$L$4:$L$1000),(Cards!$A$4:$A$1000&lt;&gt;"")*ISNUMBER(SEARCH($A996,Cards!$E$4:$E$1000)))),"-"))</f>
        <v/>
      </c>
      <c r="Q996" s="30"/>
      <c r="R996" s="27" t="str">
        <f>IF(OR($A996="",LEN(TRIM($O996))=0),"",IF(OR($P996="",$Q996=""),"ระบุ Severity + Impact",IFERROR(INDEX({"Urgent","Urgent","High","High";"Urgent","High","High","Medium";"High","High","Medium","Medium";"Medium","Medium","Low","Low"},MATCH($P996,{"Critical","High","Medium","Low"},0),MATCH($Q996,{"Extensive","Significant","Moderate","Minor"},0)),"-")))</f>
        <v/>
      </c>
      <c r="S996" s="30"/>
      <c r="T996" s="30"/>
      <c r="W996" s="32" t="str">
        <f>IF($A996="","",IF(OR($M996="Out of Scope",$M996="Canceled"),"Out of Scope",IF($M996="Blocked","Blocked",IF(AND($T996&lt;&gt;"Fixed – Retest Passed",OR(LEN(TRIM($O996))&gt;0,LEN(TRIM($P996))&gt;0)),IF(AND(OR($L996="Medium",$L996="Low"),SUMPRODUCT((Cards!$A$4:$A$1000&lt;&gt;"")*ISNUMBER(SEARCH($A996,Cards!$E$4:$E$1000))*(Cards!$F$4:$F$1000&lt;&gt;"Medium")*(Cards!$F$4:$F$1000&lt;&gt;"Low"))=0),"Conditionally Passed","Failed"),IF($M996="Done","Passed","Not Run")))))</f>
        <v/>
      </c>
      <c r="Y996" s="27" t="str" cm="1">
        <f t="array" ref="Y996">IF($A996="","",IF(TRIM($B996)="","-",IFERROR(_xlfn.TEXTJOIN(" / ",TRUE,_xlfn.UNIQUE(_xlfn._xlws.FILTER('Ownership Matrix'!$C$5:$C$200,('Ownership Matrix'!$A$5:$A$200=TRIM($B996))*('Ownership Matrix'!$C$5:$C$200&lt;&gt;"")))),"ไม่พบใน Ownership Matrix")))</f>
        <v/>
      </c>
      <c r="Z996" s="31" t="str">
        <f>IF(NOT(AND($A996&lt;&gt;"",$M996&lt;&gt;"Out of Scope",$M996&lt;&gt;"Canceled",$T996&lt;&gt;"Fixed – Retest Passed",OR(LEN(TRIM($O996))&gt;0,LEN(TRIM($P996))&gt;0))),"",IF(OR($W996="Failed",$R996="Urgent",$R996="High",$R996="ระบุ Severity + Impact"),IF(COUNTIFS(Dashboard!$B$105:$B$124,$O996,Dashboard!$I$105:$I$124,"CAB")&gt;0,"Accepted (CF)","Blocking"),"Deferrable"))</f>
        <v/>
      </c>
    </row>
    <row r="997" spans="7:26" x14ac:dyDescent="0.3">
      <c r="G997" s="27" t="str" cm="1">
        <f t="array" ref="G997">IF($A997="","",IFERROR(_xlfn.TEXTJOIN(CHAR(10)&amp;CHAR(10),TRUE,_xlfn._xlws.FILTER("•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"&amp;Cards!$L$4:$L$1000),(Cards!$A$4:$A$1000&lt;&gt;"")*ISNUMBER(SEARCH($A997,Cards!$E$4:$E$1000)))),"-"))</f>
        <v/>
      </c>
      <c r="Q997" s="30"/>
      <c r="R997" s="27" t="str">
        <f>IF(OR($A997="",LEN(TRIM($O997))=0),"",IF(OR($P997="",$Q997=""),"ระบุ Severity + Impact",IFERROR(INDEX({"Urgent","Urgent","High","High";"Urgent","High","High","Medium";"High","High","Medium","Medium";"Medium","Medium","Low","Low"},MATCH($P997,{"Critical","High","Medium","Low"},0),MATCH($Q997,{"Extensive","Significant","Moderate","Minor"},0)),"-")))</f>
        <v/>
      </c>
      <c r="S997" s="30"/>
      <c r="T997" s="30"/>
      <c r="W997" s="32" t="str">
        <f>IF($A997="","",IF(OR($M997="Out of Scope",$M997="Canceled"),"Out of Scope",IF($M997="Blocked","Blocked",IF(AND($T997&lt;&gt;"Fixed – Retest Passed",OR(LEN(TRIM($O997))&gt;0,LEN(TRIM($P997))&gt;0)),IF(AND(OR($L997="Medium",$L997="Low"),SUMPRODUCT((Cards!$A$4:$A$1000&lt;&gt;"")*ISNUMBER(SEARCH($A997,Cards!$E$4:$E$1000))*(Cards!$F$4:$F$1000&lt;&gt;"Medium")*(Cards!$F$4:$F$1000&lt;&gt;"Low"))=0),"Conditionally Passed","Failed"),IF($M997="Done","Passed","Not Run")))))</f>
        <v/>
      </c>
      <c r="Y997" s="27" t="str" cm="1">
        <f t="array" ref="Y997">IF($A997="","",IF(TRIM($B997)="","-",IFERROR(_xlfn.TEXTJOIN(" / ",TRUE,_xlfn.UNIQUE(_xlfn._xlws.FILTER('Ownership Matrix'!$C$5:$C$200,('Ownership Matrix'!$A$5:$A$200=TRIM($B997))*('Ownership Matrix'!$C$5:$C$200&lt;&gt;"")))),"ไม่พบใน Ownership Matrix")))</f>
        <v/>
      </c>
      <c r="Z997" s="31" t="str">
        <f>IF(NOT(AND($A997&lt;&gt;"",$M997&lt;&gt;"Out of Scope",$M997&lt;&gt;"Canceled",$T997&lt;&gt;"Fixed – Retest Passed",OR(LEN(TRIM($O997))&gt;0,LEN(TRIM($P997))&gt;0))),"",IF(OR($W997="Failed",$R997="Urgent",$R997="High",$R997="ระบุ Severity + Impact"),IF(COUNTIFS(Dashboard!$B$105:$B$124,$O997,Dashboard!$I$105:$I$124,"CAB")&gt;0,"Accepted (CF)","Blocking"),"Deferrable"))</f>
        <v/>
      </c>
    </row>
    <row r="998" spans="7:26" x14ac:dyDescent="0.3">
      <c r="G998" s="27" t="str" cm="1">
        <f t="array" ref="G998">IF($A998="","",IFERROR(_xlfn.TEXTJOIN(CHAR(10)&amp;CHAR(10),TRUE,_xlfn._xlws.FILTER("•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"&amp;Cards!$L$4:$L$1000),(Cards!$A$4:$A$1000&lt;&gt;"")*ISNUMBER(SEARCH($A998,Cards!$E$4:$E$1000)))),"-"))</f>
        <v/>
      </c>
      <c r="Q998" s="30"/>
      <c r="R998" s="27" t="str">
        <f>IF(OR($A998="",LEN(TRIM($O998))=0),"",IF(OR($P998="",$Q998=""),"ระบุ Severity + Impact",IFERROR(INDEX({"Urgent","Urgent","High","High";"Urgent","High","High","Medium";"High","High","Medium","Medium";"Medium","Medium","Low","Low"},MATCH($P998,{"Critical","High","Medium","Low"},0),MATCH($Q998,{"Extensive","Significant","Moderate","Minor"},0)),"-")))</f>
        <v/>
      </c>
      <c r="S998" s="30"/>
      <c r="T998" s="30"/>
      <c r="W998" s="32" t="str">
        <f>IF($A998="","",IF(OR($M998="Out of Scope",$M998="Canceled"),"Out of Scope",IF($M998="Blocked","Blocked",IF(AND($T998&lt;&gt;"Fixed – Retest Passed",OR(LEN(TRIM($O998))&gt;0,LEN(TRIM($P998))&gt;0)),IF(AND(OR($L998="Medium",$L998="Low"),SUMPRODUCT((Cards!$A$4:$A$1000&lt;&gt;"")*ISNUMBER(SEARCH($A998,Cards!$E$4:$E$1000))*(Cards!$F$4:$F$1000&lt;&gt;"Medium")*(Cards!$F$4:$F$1000&lt;&gt;"Low"))=0),"Conditionally Passed","Failed"),IF($M998="Done","Passed","Not Run")))))</f>
        <v/>
      </c>
      <c r="Y998" s="27" t="str" cm="1">
        <f t="array" ref="Y998">IF($A998="","",IF(TRIM($B998)="","-",IFERROR(_xlfn.TEXTJOIN(" / ",TRUE,_xlfn.UNIQUE(_xlfn._xlws.FILTER('Ownership Matrix'!$C$5:$C$200,('Ownership Matrix'!$A$5:$A$200=TRIM($B998))*('Ownership Matrix'!$C$5:$C$200&lt;&gt;"")))),"ไม่พบใน Ownership Matrix")))</f>
        <v/>
      </c>
      <c r="Z998" s="31" t="str">
        <f>IF(NOT(AND($A998&lt;&gt;"",$M998&lt;&gt;"Out of Scope",$M998&lt;&gt;"Canceled",$T998&lt;&gt;"Fixed – Retest Passed",OR(LEN(TRIM($O998))&gt;0,LEN(TRIM($P998))&gt;0))),"",IF(OR($W998="Failed",$R998="Urgent",$R998="High",$R998="ระบุ Severity + Impact"),IF(COUNTIFS(Dashboard!$B$105:$B$124,$O998,Dashboard!$I$105:$I$124,"CAB")&gt;0,"Accepted (CF)","Blocking"),"Deferrable"))</f>
        <v/>
      </c>
    </row>
    <row r="999" spans="7:26" x14ac:dyDescent="0.3">
      <c r="G999" s="27" t="str" cm="1">
        <f t="array" ref="G999">IF($A999="","",IFERROR(_xlfn.TEXTJOIN(CHAR(10)&amp;CHAR(10),TRUE,_xlfn._xlws.FILTER("•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"&amp;Cards!$L$4:$L$1000),(Cards!$A$4:$A$1000&lt;&gt;"")*ISNUMBER(SEARCH($A999,Cards!$E$4:$E$1000)))),"-"))</f>
        <v/>
      </c>
      <c r="Q999" s="30"/>
      <c r="R999" s="27" t="str">
        <f>IF(OR($A999="",LEN(TRIM($O999))=0),"",IF(OR($P999="",$Q999=""),"ระบุ Severity + Impact",IFERROR(INDEX({"Urgent","Urgent","High","High";"Urgent","High","High","Medium";"High","High","Medium","Medium";"Medium","Medium","Low","Low"},MATCH($P999,{"Critical","High","Medium","Low"},0),MATCH($Q999,{"Extensive","Significant","Moderate","Minor"},0)),"-")))</f>
        <v/>
      </c>
      <c r="S999" s="30"/>
      <c r="T999" s="30"/>
      <c r="W999" s="32" t="str">
        <f>IF($A999="","",IF(OR($M999="Out of Scope",$M999="Canceled"),"Out of Scope",IF($M999="Blocked","Blocked",IF(AND($T999&lt;&gt;"Fixed – Retest Passed",OR(LEN(TRIM($O999))&gt;0,LEN(TRIM($P999))&gt;0)),IF(AND(OR($L999="Medium",$L999="Low"),SUMPRODUCT((Cards!$A$4:$A$1000&lt;&gt;"")*ISNUMBER(SEARCH($A999,Cards!$E$4:$E$1000))*(Cards!$F$4:$F$1000&lt;&gt;"Medium")*(Cards!$F$4:$F$1000&lt;&gt;"Low"))=0),"Conditionally Passed","Failed"),IF($M999="Done","Passed","Not Run")))))</f>
        <v/>
      </c>
      <c r="Y999" s="27" t="str" cm="1">
        <f t="array" ref="Y999">IF($A999="","",IF(TRIM($B999)="","-",IFERROR(_xlfn.TEXTJOIN(" / ",TRUE,_xlfn.UNIQUE(_xlfn._xlws.FILTER('Ownership Matrix'!$C$5:$C$200,('Ownership Matrix'!$A$5:$A$200=TRIM($B999))*('Ownership Matrix'!$C$5:$C$200&lt;&gt;"")))),"ไม่พบใน Ownership Matrix")))</f>
        <v/>
      </c>
      <c r="Z999" s="31" t="str">
        <f>IF(NOT(AND($A999&lt;&gt;"",$M999&lt;&gt;"Out of Scope",$M999&lt;&gt;"Canceled",$T999&lt;&gt;"Fixed – Retest Passed",OR(LEN(TRIM($O999))&gt;0,LEN(TRIM($P999))&gt;0))),"",IF(OR($W999="Failed",$R999="Urgent",$R999="High",$R999="ระบุ Severity + Impact"),IF(COUNTIFS(Dashboard!$B$105:$B$124,$O999,Dashboard!$I$105:$I$124,"CAB")&gt;0,"Accepted (CF)","Blocking"),"Deferrable"))</f>
        <v/>
      </c>
    </row>
    <row r="1000" spans="7:26" x14ac:dyDescent="0.3">
      <c r="G1000" s="27" t="str" cm="1">
        <f t="array" ref="G1000">IF($A1000="","",IFERROR(_xlfn.TEXTJOIN(CHAR(10)&amp;CHAR(10),TRUE,_xlfn._xlws.FILTER("• "&amp;Cards!$A$4:$A$1000&amp;" - "&amp;Cards!$B$4:$B$1000&amp;CHAR(10)&amp;"   "&amp;IF(Cards!$F$4:$F$1000="","Priority ?",Cards!$F$4:$F$1000)&amp;IF(Cards!$H$4:$H$1000="Yes"," · TOR",IF(Cards!$H$4:$H$1000=""," · TOR?",""))&amp;" | Result: "&amp;IF(Cards!$J$4:$J$1000="","Pending",Cards!$J$4:$J$1000)&amp;" | TC "&amp;Cards!$P$4:$P$1000&amp;"/"&amp;Cards!$O$4:$O$1000&amp;IF(Cards!$L$4:$L$1000="",""," | Gate: "&amp;Cards!$L$4:$L$1000),(Cards!$A$4:$A$1000&lt;&gt;"")*ISNUMBER(SEARCH($A1000,Cards!$E$4:$E$1000)))),"-"))</f>
        <v/>
      </c>
      <c r="Q1000" s="30"/>
      <c r="R1000" s="27" t="str">
        <f>IF(OR($A1000="",LEN(TRIM($O1000))=0),"",IF(OR($P1000="",$Q1000=""),"ระบุ Severity + Impact",IFERROR(INDEX({"Urgent","Urgent","High","High";"Urgent","High","High","Medium";"High","High","Medium","Medium";"Medium","Medium","Low","Low"},MATCH($P1000,{"Critical","High","Medium","Low"},0),MATCH($Q1000,{"Extensive","Significant","Moderate","Minor"},0)),"-")))</f>
        <v/>
      </c>
      <c r="S1000" s="30"/>
      <c r="T1000" s="30"/>
      <c r="W1000" s="32" t="str">
        <f>IF($A1000="","",IF(OR($M1000="Out of Scope",$M1000="Canceled"),"Out of Scope",IF($M1000="Blocked","Blocked",IF(AND($T1000&lt;&gt;"Fixed – Retest Passed",OR(LEN(TRIM($O1000))&gt;0,LEN(TRIM($P1000))&gt;0)),IF(AND(OR($L1000="Medium",$L1000="Low"),SUMPRODUCT((Cards!$A$4:$A$1000&lt;&gt;"")*ISNUMBER(SEARCH($A1000,Cards!$E$4:$E$1000))*(Cards!$F$4:$F$1000&lt;&gt;"Medium")*(Cards!$F$4:$F$1000&lt;&gt;"Low"))=0),"Conditionally Passed","Failed"),IF($M1000="Done","Passed","Not Run")))))</f>
        <v/>
      </c>
      <c r="Y1000" s="27" t="str" cm="1">
        <f t="array" ref="Y1000">IF($A1000="","",IF(TRIM($B1000)="","-",IFERROR(_xlfn.TEXTJOIN(" / ",TRUE,_xlfn.UNIQUE(_xlfn._xlws.FILTER('Ownership Matrix'!$C$5:$C$200,('Ownership Matrix'!$A$5:$A$200=TRIM($B1000))*('Ownership Matrix'!$C$5:$C$200&lt;&gt;"")))),"ไม่พบใน Ownership Matrix")))</f>
        <v/>
      </c>
      <c r="Z1000" s="31" t="str">
        <f>IF(NOT(AND($A1000&lt;&gt;"",$M1000&lt;&gt;"Out of Scope",$M1000&lt;&gt;"Canceled",$T1000&lt;&gt;"Fixed – Retest Passed",OR(LEN(TRIM($O1000))&gt;0,LEN(TRIM($P1000))&gt;0))),"",IF(OR($W1000="Failed",$R1000="Urgent",$R1000="High",$R1000="ระบุ Severity + Impact"),IF(COUNTIFS(Dashboard!$B$105:$B$124,$O1000,Dashboard!$I$105:$I$124,"CAB")&gt;0,"Accepted (CF)","Blocking"),"Deferrable"))</f>
        <v/>
      </c>
    </row>
  </sheetData>
  <sheetProtection formatCells="0" formatColumns="0" formatRows="0" insertRows="0" deleteRows="0" sort="0" autoFilter="0"/>
  <mergeCells count="4">
    <mergeCell ref="A11:B11"/>
    <mergeCell ref="B6:B10"/>
    <mergeCell ref="A6:A10"/>
    <mergeCell ref="A12:B12"/>
  </mergeCells>
  <conditionalFormatting sqref="D5">
    <cfRule type="beginsWith" dxfId="52" priority="1" operator="beginsWith" text="Failed">
      <formula>LEFT(D5,LEN("Failed"))="Failed"</formula>
    </cfRule>
    <cfRule type="beginsWith" dxfId="51" priority="2" operator="beginsWith" text="Blocked">
      <formula>LEFT(D5,LEN("Blocked"))="Blocked"</formula>
    </cfRule>
    <cfRule type="beginsWith" dxfId="50" priority="3" operator="beginsWith" text="Conditionally Passed">
      <formula>LEFT(D5,LEN("Conditionally Passed"))="Conditionally Passed"</formula>
    </cfRule>
    <cfRule type="beginsWith" dxfId="49" priority="4" operator="beginsWith" text="Passed">
      <formula>LEFT(D5,LEN("Passed"))="Passed"</formula>
    </cfRule>
    <cfRule type="beginsWith" dxfId="48" priority="5" operator="beginsWith" text="Not Run">
      <formula>LEFT(D5,LEN("Not Run"))="Not Run"</formula>
    </cfRule>
  </conditionalFormatting>
  <conditionalFormatting sqref="L15:L1000">
    <cfRule type="expression" dxfId="47" priority="16">
      <formula>AND($A15&lt;&gt;"",$L15="")</formula>
    </cfRule>
  </conditionalFormatting>
  <conditionalFormatting sqref="P15:Q1000 S15:S1000">
    <cfRule type="expression" dxfId="46" priority="11" stopIfTrue="1">
      <formula>LEN(TRIM($O15))&gt;0</formula>
    </cfRule>
    <cfRule type="expression" dxfId="45" priority="12" stopIfTrue="1">
      <formula>AND($A15&lt;&gt;"",LEN(TRIM($O15))=0)</formula>
    </cfRule>
  </conditionalFormatting>
  <conditionalFormatting sqref="W15:W1000">
    <cfRule type="beginsWith" dxfId="44" priority="6" operator="beginsWith" text="Failed">
      <formula>LEFT(W15,LEN("Failed"))="Failed"</formula>
    </cfRule>
    <cfRule type="beginsWith" dxfId="43" priority="7" operator="beginsWith" text="Blocked">
      <formula>LEFT(W15,LEN("Blocked"))="Blocked"</formula>
    </cfRule>
    <cfRule type="beginsWith" dxfId="42" priority="8" operator="beginsWith" text="Conditionally Passed">
      <formula>LEFT(W15,LEN("Conditionally Passed"))="Conditionally Passed"</formula>
    </cfRule>
    <cfRule type="beginsWith" dxfId="41" priority="9" operator="beginsWith" text="Passed">
      <formula>LEFT(W15,LEN("Passed"))="Passed"</formula>
    </cfRule>
    <cfRule type="beginsWith" dxfId="40" priority="10" operator="beginsWith" text="Not Run">
      <formula>LEFT(W15,LEN("Not Run"))="Not Run"</formula>
    </cfRule>
  </conditionalFormatting>
  <conditionalFormatting sqref="Z15:Z1000">
    <cfRule type="cellIs" dxfId="39" priority="13" operator="equal">
      <formula>"Blocking"</formula>
    </cfRule>
    <cfRule type="cellIs" dxfId="38" priority="14" operator="equal">
      <formula>"Accepted (CF)"</formula>
    </cfRule>
    <cfRule type="cellIs" dxfId="37" priority="15" operator="equal">
      <formula>"Deferrable"</formula>
    </cfRule>
  </conditionalFormatting>
  <dataValidations count="12">
    <dataValidation type="list" allowBlank="1" showInputMessage="1" showErrorMessage="1" sqref="I15:I1000" xr:uid="{D18A16E6-92FD-45AD-AA4C-14A32ED5E9DC}">
      <formula1>"Unit, Integration, System, Acceptance"</formula1>
    </dataValidation>
    <dataValidation type="list" allowBlank="1" showInputMessage="1" showErrorMessage="1" sqref="J15:J1000" xr:uid="{832AD5D6-B0A4-46B4-8203-27380A44E7B1}">
      <formula1>"Functional, UI/UX, Security, Performance, Integration"</formula1>
    </dataValidation>
    <dataValidation type="list" allowBlank="1" showInputMessage="1" showErrorMessage="1" sqref="K15:K1000" xr:uid="{6729EB2D-B6C9-4972-BA23-15BEE13491F4}">
      <formula1>"Happy, Unhappy,Edge,Error"</formula1>
    </dataValidation>
    <dataValidation type="list" allowBlank="1" showInputMessage="1" showErrorMessage="1" sqref="U15:U1000" xr:uid="{03A4E932-2461-42F0-B092-9904213526B4}">
      <formula1>"Matt, Tar, Neran, Benz, James, Aof"</formula1>
    </dataValidation>
    <dataValidation type="list" allowBlank="1" showInputMessage="1" showErrorMessage="1" sqref="M15:M1000" xr:uid="{CADA0AEA-8070-4DF0-9697-B8D46ABACFFD}">
      <formula1>"ToDo,Ready for Testing,Testing,Blocked,Done,Out of Scope,Canceled"</formula1>
    </dataValidation>
    <dataValidation type="list" allowBlank="1" showInputMessage="1" showErrorMessage="1" promptTitle="Severity (ความรุนแรง)" prompt="Critical = Patient Safety / Financial Leakage / Workflow หยุด / Data Corruption · High = ฟังก์ชันหลักตาม AC บกพร่อง · Medium = ฟังก์ชันทางเลือก / พฤติกรรมย่อย · Low = UI / Layout" sqref="P15:P1000" xr:uid="{60418A6B-424C-4270-BE6F-9CB49B5C7125}">
      <formula1>"Critical,High,Medium,Low"</formula1>
    </dataValidation>
    <dataValidation type="list" allowBlank="1" showInputMessage="1" showErrorMessage="1" sqref="B4" xr:uid="{00000000-0002-0000-0200-000006000000}">
      <formula1>"demo-x,stg-tmh,stg-sbh,stg-nuh"</formula1>
    </dataValidation>
    <dataValidation type="list" allowBlank="1" showInputMessage="1" showErrorMessage="1" promptTitle="Flow Priority" prompt="Urgent / High / Medium / Low — ว่าง = นับเป็น Urgent/High" sqref="L15:L1000" xr:uid="{00000000-0002-0000-0200-000007000000}">
      <formula1>"Urgent,High,Medium,Low"</formula1>
    </dataValidation>
    <dataValidation type="list" allowBlank="1" showInputMessage="1" showErrorMessage="1" sqref="S15:S1000" xr:uid="{00000000-0002-0000-0200-000008000000}">
      <formula1>"Config,Master Data,Code Bug"</formula1>
    </dataValidation>
    <dataValidation type="list" allowBlank="1" showInputMessage="1" showErrorMessage="1" sqref="T15:T1000" xr:uid="{00000000-0002-0000-0200-000009000000}">
      <formula1>"Open,Fixed – Retest Passed"</formula1>
    </dataValidation>
    <dataValidation type="date" operator="greaterThan" allowBlank="1" showInputMessage="1" showErrorMessage="1" errorTitle="Executed Date" error="กรอกเป็นวันที่ (yyyy-mm-dd) เพื่อให้ Grand Dashboard คำนวณ Last Executed Date ได้" promptTitle="Executed Date" prompt="กรอกเป็นวันที่ เช่น 2026-09-24" sqref="V15:V1000" xr:uid="{00000000-0002-0000-0200-00000A000000}">
      <formula1>46023</formula1>
    </dataValidation>
    <dataValidation type="list" allowBlank="1" showInputMessage="1" showErrorMessage="1" promptTitle="Impact (ขอบเขตผลกระทบ)" prompt="Extensive = ทั้ง รพ. / หลายโมดูล · Significant = หลายหอผู้ป่วย / ทีม · Moderate = หอผู้ป่วยเดี่ยว / กลุ่มผู้ใช้ · Minor = ผู้ใช้เดี่ยว / เฉพาะกรณี" sqref="Q15:Q1000" xr:uid="{00000000-0002-0000-0200-00000B000000}">
      <formula1>"Extensive,Significant,Moderate,Minor"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A1B4A-15CF-4AA4-B1E9-412B58BF67D9}">
  <sheetPr>
    <tabColor rgb="FF00B050"/>
  </sheetPr>
  <dimension ref="A1:S1000"/>
  <sheetViews>
    <sheetView tabSelected="1" workbookViewId="0">
      <pane ySplit="3" topLeftCell="A22" activePane="bottomLeft" state="frozen"/>
      <selection pane="bottomLeft" activeCell="E32" sqref="E32"/>
    </sheetView>
  </sheetViews>
  <sheetFormatPr defaultColWidth="9.109375" defaultRowHeight="14.4" x14ac:dyDescent="0.3"/>
  <cols>
    <col min="1" max="1" width="16" style="13" customWidth="1"/>
    <col min="2" max="2" width="56" style="13" customWidth="1"/>
    <col min="3" max="3" width="16" style="13" customWidth="1"/>
    <col min="4" max="4" width="2" style="14" customWidth="1"/>
    <col min="5" max="5" width="24" style="13" customWidth="1"/>
    <col min="6" max="6" width="14" style="1" customWidth="1"/>
    <col min="7" max="7" width="24" style="15" customWidth="1"/>
    <col min="8" max="8" width="12" style="1" customWidth="1"/>
    <col min="9" max="9" width="16" style="13" customWidth="1"/>
    <col min="10" max="10" width="22" style="13" customWidth="1"/>
    <col min="11" max="11" width="30" style="13" customWidth="1"/>
    <col min="12" max="12" width="18" style="15" customWidth="1"/>
    <col min="13" max="13" width="16.109375" style="15" bestFit="1" customWidth="1"/>
    <col min="14" max="14" width="14" style="15" customWidth="1"/>
    <col min="15" max="18" width="11" style="15" customWidth="1"/>
    <col min="19" max="19" width="26" style="15" customWidth="1"/>
    <col min="20" max="20" width="9.109375" style="13" customWidth="1"/>
    <col min="21" max="16384" width="9.109375" style="13"/>
  </cols>
  <sheetData>
    <row r="1" spans="1:19" ht="30" customHeight="1" x14ac:dyDescent="0.3">
      <c r="A1" s="126" t="s">
        <v>640</v>
      </c>
      <c r="B1" s="126"/>
      <c r="C1" s="126"/>
      <c r="G1" s="68"/>
      <c r="L1" s="68"/>
      <c r="M1" s="68"/>
      <c r="N1" s="68"/>
      <c r="O1" s="68"/>
      <c r="P1" s="68"/>
      <c r="Q1" s="68"/>
      <c r="R1" s="68"/>
      <c r="S1" s="68"/>
    </row>
    <row r="2" spans="1:19" ht="48" customHeight="1" x14ac:dyDescent="0.3">
      <c r="G2" s="12" t="s">
        <v>641</v>
      </c>
      <c r="H2" s="67" t="s">
        <v>642</v>
      </c>
      <c r="I2" s="67" t="s">
        <v>643</v>
      </c>
      <c r="J2" s="67" t="s">
        <v>644</v>
      </c>
      <c r="K2" s="67" t="s">
        <v>645</v>
      </c>
      <c r="L2" s="68"/>
      <c r="M2" s="68"/>
      <c r="N2" s="68"/>
      <c r="O2" s="68"/>
      <c r="P2" s="68"/>
      <c r="Q2" s="68"/>
      <c r="R2" s="68"/>
      <c r="S2" s="68"/>
    </row>
    <row r="3" spans="1:19" ht="24" customHeight="1" x14ac:dyDescent="0.3">
      <c r="A3" s="69" t="s">
        <v>646</v>
      </c>
      <c r="B3" s="69" t="s">
        <v>345</v>
      </c>
      <c r="C3" s="69" t="s">
        <v>346</v>
      </c>
      <c r="E3" s="70" t="s">
        <v>647</v>
      </c>
      <c r="F3" s="71" t="s">
        <v>347</v>
      </c>
      <c r="G3" s="72" t="s">
        <v>648</v>
      </c>
      <c r="H3" s="71" t="s">
        <v>649</v>
      </c>
      <c r="I3" s="70" t="s">
        <v>650</v>
      </c>
      <c r="J3" s="70" t="s">
        <v>651</v>
      </c>
      <c r="K3" s="70" t="s">
        <v>348</v>
      </c>
      <c r="L3" s="72" t="s">
        <v>527</v>
      </c>
      <c r="M3" s="72" t="s">
        <v>652</v>
      </c>
      <c r="N3" s="72" t="s">
        <v>653</v>
      </c>
      <c r="O3" s="72" t="s">
        <v>654</v>
      </c>
      <c r="P3" s="72" t="s">
        <v>655</v>
      </c>
      <c r="Q3" s="72" t="s">
        <v>656</v>
      </c>
      <c r="R3" s="72" t="s">
        <v>657</v>
      </c>
      <c r="S3" s="72" t="s">
        <v>658</v>
      </c>
    </row>
    <row r="4" spans="1:19" x14ac:dyDescent="0.3">
      <c r="A4" s="13" t="s">
        <v>823</v>
      </c>
      <c r="B4" s="13" t="s">
        <v>824</v>
      </c>
      <c r="C4" s="13" t="s">
        <v>825</v>
      </c>
      <c r="E4" s="13" t="s">
        <v>769</v>
      </c>
      <c r="G4" s="68" t="str" cm="1">
        <f t="array" ref="G4">_xlfn.LET(_xlpm.ids,'E2E core flow'!$A$15:$A$1000,_xlpm.v,'E2E core flow'!$W$15:$W$1000,_xlpm.m,(_xlpm.ids&lt;&gt;"")*ISNUMBER(SEARCH(_xlpm.ids,$E4)),_xlpm.f,SUM(_xlpm.m*(_xlpm.v="Failed")),_xlpm.b,SUM(_xlpm.m*(_xlpm.v="Blocked")),_xlpm.nr,SUM(_xlpm.m*(_xlpm.v="Not Run")),_xlpm.cp,SUM(_xlpm.m*(_xlpm.v="Conditionally Passed")),_xlpm.p,SUM(_xlpm.m*(_xlpm.v="Passed")),IF(TRIM($A4)="","",IF(TRIM($E4)="","Pending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4" s="68" t="str">
        <f>IF(TRIM($A4)="","",IF($J4="Passed","",IF($J4="Passed with Known Issue","Known Issue",IF($J4="",IF(OR($H4&lt;&gt;"No",AND($F4&lt;&gt;"Medium",$F4&lt;&gt;"Low")),"Pending Result",""),IF(OR($H4&lt;&gt;"No",AND($F4&lt;&gt;"Medium",$F4&lt;&gt;"Low")),IF(COUNTIFS(Dashboard!$B$105:$B$124,$A4,Dashboard!$I$105:$I$124,"CAB")&gt;0,"Accepted (CF)","Blocking"),IF($J4="Failed","Deferrable","Carry Over"))))))</f>
        <v>Pending Result</v>
      </c>
      <c r="M4" s="68" t="str">
        <f>IF(OR(TRIM($A4)="",TRIM($E4)=""),"",IFERROR(INDEX('E2E core flow'!$B$15:$B$1000,MATCH(1,INDEX(('E2E core flow'!$A$15:$A$1000&lt;&gt;"")*ISNUMBER(SEARCH('E2E core flow'!$A$15:$A$1000,$E4)),0),0))&amp;"","-"))</f>
        <v>ER</v>
      </c>
      <c r="N4" s="68" t="str">
        <f>IF(TRIM($A4)="","",IF($O4=0,IF(COUNTIFS('Card Test Cases'!$B$4:$B$1000,$A4,'Card Test Cases'!$A$4:$A$1000,"&lt;&gt;")&gt;0,"Out of Scope","No TC"),IF($Q4&gt;0,"Failed",IF(COUNTIFS('Card Test Cases'!$B$4:$B$1000,$A4,'Card Test Cases'!$A$4:$A$1000,"&lt;&gt;",'Card Test Cases'!$F$4:$F$1000,"Blocked")&gt;0,"Blocked",IF($R4&gt;0,"In Progress","Passed")))))</f>
        <v>No TC</v>
      </c>
      <c r="O4" s="68">
        <f>IF(TRIM($A4)="","",COUNTIFS('Card Test Cases'!$B$4:$B$1000,$A4,'Card Test Cases'!$A$4:$A$1000,"&lt;&gt;",'Card Test Cases'!$F$4:$F$1000,"&lt;&gt;Out of Scope"))</f>
        <v>0</v>
      </c>
      <c r="P4" s="68">
        <f>IF(TRIM($A4)="","",COUNTIFS('Card Test Cases'!$B$4:$B$1000,$A4,'Card Test Cases'!$A$4:$A$1000,"&lt;&gt;",'Card Test Cases'!$F$4:$F$1000,"Passed"))</f>
        <v>0</v>
      </c>
      <c r="Q4" s="68">
        <f>IF(TRIM($A4)="","",COUNTIFS('Card Test Cases'!$B$4:$B$1000,$A4,'Card Test Cases'!$A$4:$A$1000,"&lt;&gt;",'Card Test Cases'!$F$4:$F$1000,"Failed"))</f>
        <v>0</v>
      </c>
      <c r="R4" s="68">
        <f t="shared" ref="R4:R67" si="0">IF(TRIM($A4)="","",$O4-$P4-$Q4)</f>
        <v>0</v>
      </c>
      <c r="S4" s="68" t="str" cm="1">
        <f t="array" ref="S4">IF(TRIM($A4)="","",IFERROR(_xlfn.TEXTJOIN(", ",TRUE,_xlfn.UNIQUE(_xlfn.VSTACK(_xlfn._xlws.FILTER('Card Test Cases'!$G$4:$G$1000,('Card Test Cases'!$B$4:$B$1000=$A4)*('Card Test Cases'!$G$4:$G$1000&lt;&gt;""),""),_xlfn._xlws.FILTER('E2E core flow'!$U$15:$U$1000,('E2E core flow'!$A$15:$A$1000&lt;&gt;"")*ISNUMBER(SEARCH('E2E core flow'!$A$15:$A$1000,$E4))*('E2E core flow'!$U$15:$U$1000&lt;&gt;""),"")))),"-"))</f>
        <v/>
      </c>
    </row>
    <row r="5" spans="1:19" x14ac:dyDescent="0.3">
      <c r="A5" s="13" t="s">
        <v>826</v>
      </c>
      <c r="B5" s="13" t="s">
        <v>827</v>
      </c>
      <c r="C5" s="13" t="s">
        <v>828</v>
      </c>
      <c r="E5" s="13" t="s">
        <v>781</v>
      </c>
      <c r="F5" s="1" t="s">
        <v>288</v>
      </c>
      <c r="G5" s="68" t="str" cm="1">
        <f t="array" ref="G5">_xlfn.LET(_xlpm.ids,'E2E core flow'!$A$15:$A$1000,_xlpm.v,'E2E core flow'!$W$15:$W$1000,_xlpm.m,(_xlpm.ids&lt;&gt;"")*ISNUMBER(SEARCH(_xlpm.ids,$E5)),_xlpm.f,SUM(_xlpm.m*(_xlpm.v="Failed")),_xlpm.b,SUM(_xlpm.m*(_xlpm.v="Blocked")),_xlpm.nr,SUM(_xlpm.m*(_xlpm.v="Not Run")),_xlpm.cp,SUM(_xlpm.m*(_xlpm.v="Conditionally Passed")),_xlpm.p,SUM(_xlpm.m*(_xlpm.v="Passed")),IF(TRIM($A5)="","",IF(TRIM($E5)="","Pending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5" s="68" t="str">
        <f>IF(TRIM($A5)="","",IF($J5="Passed","",IF($J5="Passed with Known Issue","Known Issue",IF($J5="",IF(OR($H5&lt;&gt;"No",AND($F5&lt;&gt;"Medium",$F5&lt;&gt;"Low")),"Pending Result",""),IF(OR($H5&lt;&gt;"No",AND($F5&lt;&gt;"Medium",$F5&lt;&gt;"Low")),IF(COUNTIFS(Dashboard!$B$105:$B$124,$A5,Dashboard!$I$105:$I$124,"CAB")&gt;0,"Accepted (CF)","Blocking"),IF($J5="Failed","Deferrable","Carry Over"))))))</f>
        <v>Pending Result</v>
      </c>
      <c r="M5" s="68" t="str">
        <f>IF(OR(TRIM($A5)="",TRIM($E5)=""),"",IFERROR(INDEX('E2E core flow'!$B$15:$B$1000,MATCH(1,INDEX(('E2E core flow'!$A$15:$A$1000&lt;&gt;"")*ISNUMBER(SEARCH('E2E core flow'!$A$15:$A$1000,$E5)),0),0))&amp;"","-"))</f>
        <v>ER</v>
      </c>
      <c r="N5" s="68" t="str">
        <f>IF(TRIM($A5)="","",IF($O5=0,IF(COUNTIFS('Card Test Cases'!$B$4:$B$1000,$A5,'Card Test Cases'!$A$4:$A$1000,"&lt;&gt;")&gt;0,"Out of Scope","No TC"),IF($Q5&gt;0,"Failed",IF(COUNTIFS('Card Test Cases'!$B$4:$B$1000,$A5,'Card Test Cases'!$A$4:$A$1000,"&lt;&gt;",'Card Test Cases'!$F$4:$F$1000,"Blocked")&gt;0,"Blocked",IF($R5&gt;0,"In Progress","Passed")))))</f>
        <v>No TC</v>
      </c>
      <c r="O5" s="68">
        <f>IF(TRIM($A5)="","",COUNTIFS('Card Test Cases'!$B$4:$B$1000,$A5,'Card Test Cases'!$A$4:$A$1000,"&lt;&gt;",'Card Test Cases'!$F$4:$F$1000,"&lt;&gt;Out of Scope"))</f>
        <v>0</v>
      </c>
      <c r="P5" s="68">
        <f>IF(TRIM($A5)="","",COUNTIFS('Card Test Cases'!$B$4:$B$1000,$A5,'Card Test Cases'!$A$4:$A$1000,"&lt;&gt;",'Card Test Cases'!$F$4:$F$1000,"Passed"))</f>
        <v>0</v>
      </c>
      <c r="Q5" s="68">
        <f>IF(TRIM($A5)="","",COUNTIFS('Card Test Cases'!$B$4:$B$1000,$A5,'Card Test Cases'!$A$4:$A$1000,"&lt;&gt;",'Card Test Cases'!$F$4:$F$1000,"Failed"))</f>
        <v>0</v>
      </c>
      <c r="R5" s="68">
        <f t="shared" si="0"/>
        <v>0</v>
      </c>
      <c r="S5" s="68" t="str" cm="1">
        <f t="array" ref="S5">IF(TRIM($A5)="","",IFERROR(_xlfn.TEXTJOIN(", ",TRUE,_xlfn.UNIQUE(_xlfn.VSTACK(_xlfn._xlws.FILTER('Card Test Cases'!$G$4:$G$1000,('Card Test Cases'!$B$4:$B$1000=$A5)*('Card Test Cases'!$G$4:$G$1000&lt;&gt;""),""),_xlfn._xlws.FILTER('E2E core flow'!$U$15:$U$1000,('E2E core flow'!$A$15:$A$1000&lt;&gt;"")*ISNUMBER(SEARCH('E2E core flow'!$A$15:$A$1000,$E5))*('E2E core flow'!$U$15:$U$1000&lt;&gt;""),"")))),"-"))</f>
        <v/>
      </c>
    </row>
    <row r="6" spans="1:19" x14ac:dyDescent="0.3">
      <c r="A6" s="13" t="s">
        <v>829</v>
      </c>
      <c r="B6" s="13" t="s">
        <v>830</v>
      </c>
      <c r="C6" s="13" t="s">
        <v>828</v>
      </c>
      <c r="E6" s="13" t="s">
        <v>775</v>
      </c>
      <c r="G6" s="68" t="str" cm="1">
        <f t="array" ref="G6">_xlfn.LET(_xlpm.ids,'E2E core flow'!$A$15:$A$1000,_xlpm.v,'E2E core flow'!$W$15:$W$1000,_xlpm.m,(_xlpm.ids&lt;&gt;"")*ISNUMBER(SEARCH(_xlpm.ids,$E6)),_xlpm.f,SUM(_xlpm.m*(_xlpm.v="Failed")),_xlpm.b,SUM(_xlpm.m*(_xlpm.v="Blocked")),_xlpm.nr,SUM(_xlpm.m*(_xlpm.v="Not Run")),_xlpm.cp,SUM(_xlpm.m*(_xlpm.v="Conditionally Passed")),_xlpm.p,SUM(_xlpm.m*(_xlpm.v="Passed")),IF(TRIM($A6)="","",IF(TRIM($E6)="","Pending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6" s="68" t="str">
        <f>IF(TRIM($A6)="","",IF($J6="Passed","",IF($J6="Passed with Known Issue","Known Issue",IF($J6="",IF(OR($H6&lt;&gt;"No",AND($F6&lt;&gt;"Medium",$F6&lt;&gt;"Low")),"Pending Result",""),IF(OR($H6&lt;&gt;"No",AND($F6&lt;&gt;"Medium",$F6&lt;&gt;"Low")),IF(COUNTIFS(Dashboard!$B$105:$B$124,$A6,Dashboard!$I$105:$I$124,"CAB")&gt;0,"Accepted (CF)","Blocking"),IF($J6="Failed","Deferrable","Carry Over"))))))</f>
        <v>Pending Result</v>
      </c>
      <c r="M6" s="68" t="str">
        <f>IF(OR(TRIM($A6)="",TRIM($E6)=""),"",IFERROR(INDEX('E2E core flow'!$B$15:$B$1000,MATCH(1,INDEX(('E2E core flow'!$A$15:$A$1000&lt;&gt;"")*ISNUMBER(SEARCH('E2E core flow'!$A$15:$A$1000,$E6)),0),0))&amp;"","-"))</f>
        <v>ER</v>
      </c>
      <c r="N6" s="68" t="str">
        <f>IF(TRIM($A6)="","",IF($O6=0,IF(COUNTIFS('Card Test Cases'!$B$4:$B$1000,$A6,'Card Test Cases'!$A$4:$A$1000,"&lt;&gt;")&gt;0,"Out of Scope","No TC"),IF($Q6&gt;0,"Failed",IF(COUNTIFS('Card Test Cases'!$B$4:$B$1000,$A6,'Card Test Cases'!$A$4:$A$1000,"&lt;&gt;",'Card Test Cases'!$F$4:$F$1000,"Blocked")&gt;0,"Blocked",IF($R6&gt;0,"In Progress","Passed")))))</f>
        <v>No TC</v>
      </c>
      <c r="O6" s="68">
        <f>IF(TRIM($A6)="","",COUNTIFS('Card Test Cases'!$B$4:$B$1000,$A6,'Card Test Cases'!$A$4:$A$1000,"&lt;&gt;",'Card Test Cases'!$F$4:$F$1000,"&lt;&gt;Out of Scope"))</f>
        <v>0</v>
      </c>
      <c r="P6" s="68">
        <f>IF(TRIM($A6)="","",COUNTIFS('Card Test Cases'!$B$4:$B$1000,$A6,'Card Test Cases'!$A$4:$A$1000,"&lt;&gt;",'Card Test Cases'!$F$4:$F$1000,"Passed"))</f>
        <v>0</v>
      </c>
      <c r="Q6" s="68">
        <f>IF(TRIM($A6)="","",COUNTIFS('Card Test Cases'!$B$4:$B$1000,$A6,'Card Test Cases'!$A$4:$A$1000,"&lt;&gt;",'Card Test Cases'!$F$4:$F$1000,"Failed"))</f>
        <v>0</v>
      </c>
      <c r="R6" s="68">
        <f t="shared" si="0"/>
        <v>0</v>
      </c>
      <c r="S6" s="68" t="str" cm="1">
        <f t="array" ref="S6">IF(TRIM($A6)="","",IFERROR(_xlfn.TEXTJOIN(", ",TRUE,_xlfn.UNIQUE(_xlfn.VSTACK(_xlfn._xlws.FILTER('Card Test Cases'!$G$4:$G$1000,('Card Test Cases'!$B$4:$B$1000=$A6)*('Card Test Cases'!$G$4:$G$1000&lt;&gt;""),""),_xlfn._xlws.FILTER('E2E core flow'!$U$15:$U$1000,('E2E core flow'!$A$15:$A$1000&lt;&gt;"")*ISNUMBER(SEARCH('E2E core flow'!$A$15:$A$1000,$E6))*('E2E core flow'!$U$15:$U$1000&lt;&gt;""),"")))),"-"))</f>
        <v/>
      </c>
    </row>
    <row r="7" spans="1:19" x14ac:dyDescent="0.3">
      <c r="A7" s="13" t="s">
        <v>831</v>
      </c>
      <c r="B7" s="13" t="s">
        <v>832</v>
      </c>
      <c r="C7" s="13" t="s">
        <v>833</v>
      </c>
      <c r="E7" s="13" t="s">
        <v>562</v>
      </c>
      <c r="F7" s="1" t="s">
        <v>291</v>
      </c>
      <c r="G7" s="68" t="str" cm="1">
        <f t="array" ref="G7">_xlfn.LET(_xlpm.ids,'E2E core flow'!$A$15:$A$1000,_xlpm.v,'E2E core flow'!$W$15:$W$1000,_xlpm.m,(_xlpm.ids&lt;&gt;"")*ISNUMBER(SEARCH(_xlpm.ids,$E7)),_xlpm.f,SUM(_xlpm.m*(_xlpm.v="Failed")),_xlpm.b,SUM(_xlpm.m*(_xlpm.v="Blocked")),_xlpm.nr,SUM(_xlpm.m*(_xlpm.v="Not Run")),_xlpm.cp,SUM(_xlpm.m*(_xlpm.v="Conditionally Passed")),_xlpm.p,SUM(_xlpm.m*(_xlpm.v="Passed")),IF(TRIM($A7)="","",IF(TRIM($E7)="","Pending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7" s="68" t="str">
        <f>IF(TRIM($A7)="","",IF($J7="Passed","",IF($J7="Passed with Known Issue","Known Issue",IF($J7="",IF(OR($H7&lt;&gt;"No",AND($F7&lt;&gt;"Medium",$F7&lt;&gt;"Low")),"Pending Result",""),IF(OR($H7&lt;&gt;"No",AND($F7&lt;&gt;"Medium",$F7&lt;&gt;"Low")),IF(COUNTIFS(Dashboard!$B$105:$B$124,$A7,Dashboard!$I$105:$I$124,"CAB")&gt;0,"Accepted (CF)","Blocking"),IF($J7="Failed","Deferrable","Carry Over"))))))</f>
        <v>Pending Result</v>
      </c>
      <c r="M7" s="68" t="str">
        <f>IF(OR(TRIM($A7)="",TRIM($E7)=""),"",IFERROR(INDEX('E2E core flow'!$B$15:$B$1000,MATCH(1,INDEX(('E2E core flow'!$A$15:$A$1000&lt;&gt;"")*ISNUMBER(SEARCH('E2E core flow'!$A$15:$A$1000,$E7)),0),0))&amp;"","-"))</f>
        <v>OPD</v>
      </c>
      <c r="N7" s="68" t="str">
        <f>IF(TRIM($A7)="","",IF($O7=0,IF(COUNTIFS('Card Test Cases'!$B$4:$B$1000,$A7,'Card Test Cases'!$A$4:$A$1000,"&lt;&gt;")&gt;0,"Out of Scope","No TC"),IF($Q7&gt;0,"Failed",IF(COUNTIFS('Card Test Cases'!$B$4:$B$1000,$A7,'Card Test Cases'!$A$4:$A$1000,"&lt;&gt;",'Card Test Cases'!$F$4:$F$1000,"Blocked")&gt;0,"Blocked",IF($R7&gt;0,"In Progress","Passed")))))</f>
        <v>No TC</v>
      </c>
      <c r="O7" s="68">
        <f>IF(TRIM($A7)="","",COUNTIFS('Card Test Cases'!$B$4:$B$1000,$A7,'Card Test Cases'!$A$4:$A$1000,"&lt;&gt;",'Card Test Cases'!$F$4:$F$1000,"&lt;&gt;Out of Scope"))</f>
        <v>0</v>
      </c>
      <c r="P7" s="68">
        <f>IF(TRIM($A7)="","",COUNTIFS('Card Test Cases'!$B$4:$B$1000,$A7,'Card Test Cases'!$A$4:$A$1000,"&lt;&gt;",'Card Test Cases'!$F$4:$F$1000,"Passed"))</f>
        <v>0</v>
      </c>
      <c r="Q7" s="68">
        <f>IF(TRIM($A7)="","",COUNTIFS('Card Test Cases'!$B$4:$B$1000,$A7,'Card Test Cases'!$A$4:$A$1000,"&lt;&gt;",'Card Test Cases'!$F$4:$F$1000,"Failed"))</f>
        <v>0</v>
      </c>
      <c r="R7" s="68">
        <f t="shared" si="0"/>
        <v>0</v>
      </c>
      <c r="S7" s="68" t="str" cm="1">
        <f t="array" ref="S7">IF(TRIM($A7)="","",IFERROR(_xlfn.TEXTJOIN(", ",TRUE,_xlfn.UNIQUE(_xlfn.VSTACK(_xlfn._xlws.FILTER('Card Test Cases'!$G$4:$G$1000,('Card Test Cases'!$B$4:$B$1000=$A7)*('Card Test Cases'!$G$4:$G$1000&lt;&gt;""),""),_xlfn._xlws.FILTER('E2E core flow'!$U$15:$U$1000,('E2E core flow'!$A$15:$A$1000&lt;&gt;"")*ISNUMBER(SEARCH('E2E core flow'!$A$15:$A$1000,$E7))*('E2E core flow'!$U$15:$U$1000&lt;&gt;""),"")))),"-"))</f>
        <v/>
      </c>
    </row>
    <row r="8" spans="1:19" x14ac:dyDescent="0.3">
      <c r="A8" s="13" t="s">
        <v>834</v>
      </c>
      <c r="B8" s="13" t="s">
        <v>835</v>
      </c>
      <c r="C8" s="13" t="s">
        <v>833</v>
      </c>
      <c r="F8" s="1" t="s">
        <v>288</v>
      </c>
      <c r="G8" s="68" t="str" cm="1">
        <f t="array" ref="G8">_xlfn.LET(_xlpm.ids,'E2E core flow'!$A$15:$A$1000,_xlpm.v,'E2E core flow'!$W$15:$W$1000,_xlpm.m,(_xlpm.ids&lt;&gt;"")*ISNUMBER(SEARCH(_xlpm.ids,$E8)),_xlpm.f,SUM(_xlpm.m*(_xlpm.v="Failed")),_xlpm.b,SUM(_xlpm.m*(_xlpm.v="Blocked")),_xlpm.nr,SUM(_xlpm.m*(_xlpm.v="Not Run")),_xlpm.cp,SUM(_xlpm.m*(_xlpm.v="Conditionally Passed")),_xlpm.p,SUM(_xlpm.m*(_xlpm.v="Passed")),IF(TRIM($A8)="","",IF(TRIM($E8)="","Pending Mapping",IF(SUM(_xlpm.m)=0,"ไม่พบ Scenario ID ใน E2E",IF(_xlpm.f&gt;0,"Failed",IF(_xlpm.b&gt;0,"Blocked",IF(_xlpm.nr&gt;0,"Ready for Testing",IF(_xlpm.cp&gt;0,"Conditionally Passed",IF(_xlpm.p&gt;0,"Passed","Out of Scope")))))))))</f>
        <v>Pending Mapping</v>
      </c>
      <c r="L8" s="68" t="str">
        <f>IF(TRIM($A8)="","",IF($J8="Passed","",IF($J8="Passed with Known Issue","Known Issue",IF($J8="",IF(OR($H8&lt;&gt;"No",AND($F8&lt;&gt;"Medium",$F8&lt;&gt;"Low")),"Pending Result",""),IF(OR($H8&lt;&gt;"No",AND($F8&lt;&gt;"Medium",$F8&lt;&gt;"Low")),IF(COUNTIFS(Dashboard!$B$105:$B$124,$A8,Dashboard!$I$105:$I$124,"CAB")&gt;0,"Accepted (CF)","Blocking"),IF($J8="Failed","Deferrable","Carry Over"))))))</f>
        <v>Pending Result</v>
      </c>
      <c r="M8" s="68" t="str">
        <f>IF(OR(TRIM($A8)="",TRIM($E8)=""),"",IFERROR(INDEX('E2E core flow'!$B$15:$B$1000,MATCH(1,INDEX(('E2E core flow'!$A$15:$A$1000&lt;&gt;"")*ISNUMBER(SEARCH('E2E core flow'!$A$15:$A$1000,$E8)),0),0))&amp;"","-"))</f>
        <v/>
      </c>
      <c r="N8" s="68" t="str">
        <f>IF(TRIM($A8)="","",IF($O8=0,IF(COUNTIFS('Card Test Cases'!$B$4:$B$1000,$A8,'Card Test Cases'!$A$4:$A$1000,"&lt;&gt;")&gt;0,"Out of Scope","No TC"),IF($Q8&gt;0,"Failed",IF(COUNTIFS('Card Test Cases'!$B$4:$B$1000,$A8,'Card Test Cases'!$A$4:$A$1000,"&lt;&gt;",'Card Test Cases'!$F$4:$F$1000,"Blocked")&gt;0,"Blocked",IF($R8&gt;0,"In Progress","Passed")))))</f>
        <v>No TC</v>
      </c>
      <c r="O8" s="68">
        <f>IF(TRIM($A8)="","",COUNTIFS('Card Test Cases'!$B$4:$B$1000,$A8,'Card Test Cases'!$A$4:$A$1000,"&lt;&gt;",'Card Test Cases'!$F$4:$F$1000,"&lt;&gt;Out of Scope"))</f>
        <v>0</v>
      </c>
      <c r="P8" s="68">
        <f>IF(TRIM($A8)="","",COUNTIFS('Card Test Cases'!$B$4:$B$1000,$A8,'Card Test Cases'!$A$4:$A$1000,"&lt;&gt;",'Card Test Cases'!$F$4:$F$1000,"Passed"))</f>
        <v>0</v>
      </c>
      <c r="Q8" s="68">
        <f>IF(TRIM($A8)="","",COUNTIFS('Card Test Cases'!$B$4:$B$1000,$A8,'Card Test Cases'!$A$4:$A$1000,"&lt;&gt;",'Card Test Cases'!$F$4:$F$1000,"Failed"))</f>
        <v>0</v>
      </c>
      <c r="R8" s="68">
        <f t="shared" si="0"/>
        <v>0</v>
      </c>
      <c r="S8" s="68" t="str" cm="1">
        <f t="array" ref="S8">IF(TRIM($A8)="","",IFERROR(_xlfn.TEXTJOIN(", ",TRUE,_xlfn.UNIQUE(_xlfn.VSTACK(_xlfn._xlws.FILTER('Card Test Cases'!$G$4:$G$1000,('Card Test Cases'!$B$4:$B$1000=$A8)*('Card Test Cases'!$G$4:$G$1000&lt;&gt;""),""),_xlfn._xlws.FILTER('E2E core flow'!$U$15:$U$1000,('E2E core flow'!$A$15:$A$1000&lt;&gt;"")*ISNUMBER(SEARCH('E2E core flow'!$A$15:$A$1000,$E8))*('E2E core flow'!$U$15:$U$1000&lt;&gt;""),"")))),"-"))</f>
        <v/>
      </c>
    </row>
    <row r="9" spans="1:19" x14ac:dyDescent="0.3">
      <c r="A9" s="13" t="s">
        <v>836</v>
      </c>
      <c r="B9" s="13" t="s">
        <v>837</v>
      </c>
      <c r="C9" s="13" t="s">
        <v>833</v>
      </c>
      <c r="E9" s="13" t="s">
        <v>787</v>
      </c>
      <c r="F9" s="1" t="s">
        <v>288</v>
      </c>
      <c r="G9" s="68" t="str" cm="1">
        <f t="array" ref="G9">_xlfn.LET(_xlpm.ids,'E2E core flow'!$A$15:$A$1000,_xlpm.v,'E2E core flow'!$W$15:$W$1000,_xlpm.m,(_xlpm.ids&lt;&gt;"")*ISNUMBER(SEARCH(_xlpm.ids,$E9)),_xlpm.f,SUM(_xlpm.m*(_xlpm.v="Failed")),_xlpm.b,SUM(_xlpm.m*(_xlpm.v="Blocked")),_xlpm.nr,SUM(_xlpm.m*(_xlpm.v="Not Run")),_xlpm.cp,SUM(_xlpm.m*(_xlpm.v="Conditionally Passed")),_xlpm.p,SUM(_xlpm.m*(_xlpm.v="Passed")),IF(TRIM($A9)="","",IF(TRIM($E9)="","Pending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9" s="68" t="str">
        <f>IF(TRIM($A9)="","",IF($J9="Passed","",IF($J9="Passed with Known Issue","Known Issue",IF($J9="",IF(OR($H9&lt;&gt;"No",AND($F9&lt;&gt;"Medium",$F9&lt;&gt;"Low")),"Pending Result",""),IF(OR($H9&lt;&gt;"No",AND($F9&lt;&gt;"Medium",$F9&lt;&gt;"Low")),IF(COUNTIFS(Dashboard!$B$105:$B$124,$A9,Dashboard!$I$105:$I$124,"CAB")&gt;0,"Accepted (CF)","Blocking"),IF($J9="Failed","Deferrable","Carry Over"))))))</f>
        <v>Pending Result</v>
      </c>
      <c r="M9" s="68" t="str">
        <f>IF(OR(TRIM($A9)="",TRIM($E9)=""),"",IFERROR(INDEX('E2E core flow'!$B$15:$B$1000,MATCH(1,INDEX(('E2E core flow'!$A$15:$A$1000&lt;&gt;"")*ISNUMBER(SEARCH('E2E core flow'!$A$15:$A$1000,$E9)),0),0))&amp;"","-"))</f>
        <v>ER</v>
      </c>
      <c r="N9" s="68" t="str">
        <f>IF(TRIM($A9)="","",IF($O9=0,IF(COUNTIFS('Card Test Cases'!$B$4:$B$1000,$A9,'Card Test Cases'!$A$4:$A$1000,"&lt;&gt;")&gt;0,"Out of Scope","No TC"),IF($Q9&gt;0,"Failed",IF(COUNTIFS('Card Test Cases'!$B$4:$B$1000,$A9,'Card Test Cases'!$A$4:$A$1000,"&lt;&gt;",'Card Test Cases'!$F$4:$F$1000,"Blocked")&gt;0,"Blocked",IF($R9&gt;0,"In Progress","Passed")))))</f>
        <v>No TC</v>
      </c>
      <c r="O9" s="68">
        <f>IF(TRIM($A9)="","",COUNTIFS('Card Test Cases'!$B$4:$B$1000,$A9,'Card Test Cases'!$A$4:$A$1000,"&lt;&gt;",'Card Test Cases'!$F$4:$F$1000,"&lt;&gt;Out of Scope"))</f>
        <v>0</v>
      </c>
      <c r="P9" s="68">
        <f>IF(TRIM($A9)="","",COUNTIFS('Card Test Cases'!$B$4:$B$1000,$A9,'Card Test Cases'!$A$4:$A$1000,"&lt;&gt;",'Card Test Cases'!$F$4:$F$1000,"Passed"))</f>
        <v>0</v>
      </c>
      <c r="Q9" s="68">
        <f>IF(TRIM($A9)="","",COUNTIFS('Card Test Cases'!$B$4:$B$1000,$A9,'Card Test Cases'!$A$4:$A$1000,"&lt;&gt;",'Card Test Cases'!$F$4:$F$1000,"Failed"))</f>
        <v>0</v>
      </c>
      <c r="R9" s="68">
        <f t="shared" si="0"/>
        <v>0</v>
      </c>
      <c r="S9" s="68" t="str" cm="1">
        <f t="array" ref="S9">IF(TRIM($A9)="","",IFERROR(_xlfn.TEXTJOIN(", ",TRUE,_xlfn.UNIQUE(_xlfn.VSTACK(_xlfn._xlws.FILTER('Card Test Cases'!$G$4:$G$1000,('Card Test Cases'!$B$4:$B$1000=$A9)*('Card Test Cases'!$G$4:$G$1000&lt;&gt;""),""),_xlfn._xlws.FILTER('E2E core flow'!$U$15:$U$1000,('E2E core flow'!$A$15:$A$1000&lt;&gt;"")*ISNUMBER(SEARCH('E2E core flow'!$A$15:$A$1000,$E9))*('E2E core flow'!$U$15:$U$1000&lt;&gt;""),"")))),"-"))</f>
        <v/>
      </c>
    </row>
    <row r="10" spans="1:19" x14ac:dyDescent="0.3">
      <c r="A10" s="13" t="s">
        <v>838</v>
      </c>
      <c r="B10" s="13" t="s">
        <v>839</v>
      </c>
      <c r="C10" s="13" t="s">
        <v>828</v>
      </c>
      <c r="G10" s="68" t="str" cm="1">
        <f t="array" ref="G10">_xlfn.LET(_xlpm.ids,'E2E core flow'!$A$15:$A$1000,_xlpm.v,'E2E core flow'!$W$15:$W$1000,_xlpm.m,(_xlpm.ids&lt;&gt;"")*ISNUMBER(SEARCH(_xlpm.ids,$E10)),_xlpm.f,SUM(_xlpm.m*(_xlpm.v="Failed")),_xlpm.b,SUM(_xlpm.m*(_xlpm.v="Blocked")),_xlpm.nr,SUM(_xlpm.m*(_xlpm.v="Not Run")),_xlpm.cp,SUM(_xlpm.m*(_xlpm.v="Conditionally Passed")),_xlpm.p,SUM(_xlpm.m*(_xlpm.v="Passed")),IF(TRIM($A10)="","",IF(TRIM($E10)="","Pending Mapping",IF(SUM(_xlpm.m)=0,"ไม่พบ Scenario ID ใน E2E",IF(_xlpm.f&gt;0,"Failed",IF(_xlpm.b&gt;0,"Blocked",IF(_xlpm.nr&gt;0,"Ready for Testing",IF(_xlpm.cp&gt;0,"Conditionally Passed",IF(_xlpm.p&gt;0,"Passed","Out of Scope")))))))))</f>
        <v>Pending Mapping</v>
      </c>
      <c r="L10" s="68" t="str">
        <f>IF(TRIM($A10)="","",IF($J10="Passed","",IF($J10="Passed with Known Issue","Known Issue",IF($J10="",IF(OR($H10&lt;&gt;"No",AND($F10&lt;&gt;"Medium",$F10&lt;&gt;"Low")),"Pending Result",""),IF(OR($H10&lt;&gt;"No",AND($F10&lt;&gt;"Medium",$F10&lt;&gt;"Low")),IF(COUNTIFS(Dashboard!$B$105:$B$124,$A10,Dashboard!$I$105:$I$124,"CAB")&gt;0,"Accepted (CF)","Blocking"),IF($J10="Failed","Deferrable","Carry Over"))))))</f>
        <v>Pending Result</v>
      </c>
      <c r="M10" s="68" t="str">
        <f>IF(OR(TRIM($A10)="",TRIM($E10)=""),"",IFERROR(INDEX('E2E core flow'!$B$15:$B$1000,MATCH(1,INDEX(('E2E core flow'!$A$15:$A$1000&lt;&gt;"")*ISNUMBER(SEARCH('E2E core flow'!$A$15:$A$1000,$E10)),0),0))&amp;"","-"))</f>
        <v/>
      </c>
      <c r="N10" s="68" t="str">
        <f>IF(TRIM($A10)="","",IF($O10=0,IF(COUNTIFS('Card Test Cases'!$B$4:$B$1000,$A10,'Card Test Cases'!$A$4:$A$1000,"&lt;&gt;")&gt;0,"Out of Scope","No TC"),IF($Q10&gt;0,"Failed",IF(COUNTIFS('Card Test Cases'!$B$4:$B$1000,$A10,'Card Test Cases'!$A$4:$A$1000,"&lt;&gt;",'Card Test Cases'!$F$4:$F$1000,"Blocked")&gt;0,"Blocked",IF($R10&gt;0,"In Progress","Passed")))))</f>
        <v>No TC</v>
      </c>
      <c r="O10" s="68">
        <f>IF(TRIM($A10)="","",COUNTIFS('Card Test Cases'!$B$4:$B$1000,$A10,'Card Test Cases'!$A$4:$A$1000,"&lt;&gt;",'Card Test Cases'!$F$4:$F$1000,"&lt;&gt;Out of Scope"))</f>
        <v>0</v>
      </c>
      <c r="P10" s="68">
        <f>IF(TRIM($A10)="","",COUNTIFS('Card Test Cases'!$B$4:$B$1000,$A10,'Card Test Cases'!$A$4:$A$1000,"&lt;&gt;",'Card Test Cases'!$F$4:$F$1000,"Passed"))</f>
        <v>0</v>
      </c>
      <c r="Q10" s="68">
        <f>IF(TRIM($A10)="","",COUNTIFS('Card Test Cases'!$B$4:$B$1000,$A10,'Card Test Cases'!$A$4:$A$1000,"&lt;&gt;",'Card Test Cases'!$F$4:$F$1000,"Failed"))</f>
        <v>0</v>
      </c>
      <c r="R10" s="68">
        <f t="shared" si="0"/>
        <v>0</v>
      </c>
      <c r="S10" s="68" t="str" cm="1">
        <f t="array" ref="S10">IF(TRIM($A10)="","",IFERROR(_xlfn.TEXTJOIN(", ",TRUE,_xlfn.UNIQUE(_xlfn.VSTACK(_xlfn._xlws.FILTER('Card Test Cases'!$G$4:$G$1000,('Card Test Cases'!$B$4:$B$1000=$A10)*('Card Test Cases'!$G$4:$G$1000&lt;&gt;""),""),_xlfn._xlws.FILTER('E2E core flow'!$U$15:$U$1000,('E2E core flow'!$A$15:$A$1000&lt;&gt;"")*ISNUMBER(SEARCH('E2E core flow'!$A$15:$A$1000,$E10))*('E2E core flow'!$U$15:$U$1000&lt;&gt;""),"")))),"-"))</f>
        <v/>
      </c>
    </row>
    <row r="11" spans="1:19" x14ac:dyDescent="0.3">
      <c r="A11" s="13" t="s">
        <v>840</v>
      </c>
      <c r="B11" s="13" t="s">
        <v>841</v>
      </c>
      <c r="C11" s="13" t="s">
        <v>842</v>
      </c>
      <c r="E11" s="13" t="s">
        <v>843</v>
      </c>
      <c r="F11" s="1" t="s">
        <v>450</v>
      </c>
      <c r="G11" s="68" t="str" cm="1">
        <f t="array" ref="G11">_xlfn.LET(_xlpm.ids,'E2E core flow'!$A$15:$A$1000,_xlpm.v,'E2E core flow'!$W$15:$W$1000,_xlpm.m,(_xlpm.ids&lt;&gt;"")*ISNUMBER(SEARCH(_xlpm.ids,$E11)),_xlpm.f,SUM(_xlpm.m*(_xlpm.v="Failed")),_xlpm.b,SUM(_xlpm.m*(_xlpm.v="Blocked")),_xlpm.nr,SUM(_xlpm.m*(_xlpm.v="Not Run")),_xlpm.cp,SUM(_xlpm.m*(_xlpm.v="Conditionally Passed")),_xlpm.p,SUM(_xlpm.m*(_xlpm.v="Passed")),IF(TRIM($A11)="","",IF(TRIM($E11)="","Pending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11" s="68" t="str">
        <f>IF(TRIM($A11)="","",IF($J11="Passed","",IF($J11="Passed with Known Issue","Known Issue",IF($J11="",IF(OR($H11&lt;&gt;"No",AND($F11&lt;&gt;"Medium",$F11&lt;&gt;"Low")),"Pending Result",""),IF(OR($H11&lt;&gt;"No",AND($F11&lt;&gt;"Medium",$F11&lt;&gt;"Low")),IF(COUNTIFS(Dashboard!$B$105:$B$124,$A11,Dashboard!$I$105:$I$124,"CAB")&gt;0,"Accepted (CF)","Blocking"),IF($J11="Failed","Deferrable","Carry Over"))))))</f>
        <v>Pending Result</v>
      </c>
      <c r="M11" s="68" t="str">
        <f>IF(OR(TRIM($A11)="",TRIM($E11)=""),"",IFERROR(INDEX('E2E core flow'!$B$15:$B$1000,MATCH(1,INDEX(('E2E core flow'!$A$15:$A$1000&lt;&gt;"")*ISNUMBER(SEARCH('E2E core flow'!$A$15:$A$1000,$E11)),0),0))&amp;"","-"))</f>
        <v>OPD</v>
      </c>
      <c r="N11" s="68" t="str">
        <f>IF(TRIM($A11)="","",IF($O11=0,IF(COUNTIFS('Card Test Cases'!$B$4:$B$1000,$A11,'Card Test Cases'!$A$4:$A$1000,"&lt;&gt;")&gt;0,"Out of Scope","No TC"),IF($Q11&gt;0,"Failed",IF(COUNTIFS('Card Test Cases'!$B$4:$B$1000,$A11,'Card Test Cases'!$A$4:$A$1000,"&lt;&gt;",'Card Test Cases'!$F$4:$F$1000,"Blocked")&gt;0,"Blocked",IF($R11&gt;0,"In Progress","Passed")))))</f>
        <v>No TC</v>
      </c>
      <c r="O11" s="68">
        <f>IF(TRIM($A11)="","",COUNTIFS('Card Test Cases'!$B$4:$B$1000,$A11,'Card Test Cases'!$A$4:$A$1000,"&lt;&gt;",'Card Test Cases'!$F$4:$F$1000,"&lt;&gt;Out of Scope"))</f>
        <v>0</v>
      </c>
      <c r="P11" s="68">
        <f>IF(TRIM($A11)="","",COUNTIFS('Card Test Cases'!$B$4:$B$1000,$A11,'Card Test Cases'!$A$4:$A$1000,"&lt;&gt;",'Card Test Cases'!$F$4:$F$1000,"Passed"))</f>
        <v>0</v>
      </c>
      <c r="Q11" s="68">
        <f>IF(TRIM($A11)="","",COUNTIFS('Card Test Cases'!$B$4:$B$1000,$A11,'Card Test Cases'!$A$4:$A$1000,"&lt;&gt;",'Card Test Cases'!$F$4:$F$1000,"Failed"))</f>
        <v>0</v>
      </c>
      <c r="R11" s="68">
        <f t="shared" si="0"/>
        <v>0</v>
      </c>
      <c r="S11" s="68" t="str" cm="1">
        <f t="array" ref="S11">IF(TRIM($A11)="","",IFERROR(_xlfn.TEXTJOIN(", ",TRUE,_xlfn.UNIQUE(_xlfn.VSTACK(_xlfn._xlws.FILTER('Card Test Cases'!$G$4:$G$1000,('Card Test Cases'!$B$4:$B$1000=$A11)*('Card Test Cases'!$G$4:$G$1000&lt;&gt;""),""),_xlfn._xlws.FILTER('E2E core flow'!$U$15:$U$1000,('E2E core flow'!$A$15:$A$1000&lt;&gt;"")*ISNUMBER(SEARCH('E2E core flow'!$A$15:$A$1000,$E11))*('E2E core flow'!$U$15:$U$1000&lt;&gt;""),"")))),"-"))</f>
        <v/>
      </c>
    </row>
    <row r="12" spans="1:19" x14ac:dyDescent="0.3">
      <c r="A12" s="13" t="s">
        <v>844</v>
      </c>
      <c r="B12" s="13" t="s">
        <v>845</v>
      </c>
      <c r="C12" s="13" t="s">
        <v>846</v>
      </c>
      <c r="E12" s="13" t="s">
        <v>758</v>
      </c>
      <c r="F12" s="1" t="s">
        <v>288</v>
      </c>
      <c r="G12" s="68" t="str" cm="1">
        <f t="array" ref="G12">_xlfn.LET(_xlpm.ids,'E2E core flow'!$A$15:$A$1000,_xlpm.v,'E2E core flow'!$W$15:$W$1000,_xlpm.m,(_xlpm.ids&lt;&gt;"")*ISNUMBER(SEARCH(_xlpm.ids,$E12)),_xlpm.f,SUM(_xlpm.m*(_xlpm.v="Failed")),_xlpm.b,SUM(_xlpm.m*(_xlpm.v="Blocked")),_xlpm.nr,SUM(_xlpm.m*(_xlpm.v="Not Run")),_xlpm.cp,SUM(_xlpm.m*(_xlpm.v="Conditionally Passed")),_xlpm.p,SUM(_xlpm.m*(_xlpm.v="Passed")),IF(TRIM($A12)="","",IF(TRIM($E12)="","Pending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12" s="68" t="str">
        <f>IF(TRIM($A12)="","",IF($J12="Passed","",IF($J12="Passed with Known Issue","Known Issue",IF($J12="",IF(OR($H12&lt;&gt;"No",AND($F12&lt;&gt;"Medium",$F12&lt;&gt;"Low")),"Pending Result",""),IF(OR($H12&lt;&gt;"No",AND($F12&lt;&gt;"Medium",$F12&lt;&gt;"Low")),IF(COUNTIFS(Dashboard!$B$105:$B$124,$A12,Dashboard!$I$105:$I$124,"CAB")&gt;0,"Accepted (CF)","Blocking"),IF($J12="Failed","Deferrable","Carry Over"))))))</f>
        <v>Pending Result</v>
      </c>
      <c r="M12" s="68" t="str">
        <f>IF(OR(TRIM($A12)="",TRIM($E12)=""),"",IFERROR(INDEX('E2E core flow'!$B$15:$B$1000,MATCH(1,INDEX(('E2E core flow'!$A$15:$A$1000&lt;&gt;"")*ISNUMBER(SEARCH('E2E core flow'!$A$15:$A$1000,$E12)),0),0))&amp;"","-"))</f>
        <v>OPD</v>
      </c>
      <c r="N12" s="68" t="str">
        <f>IF(TRIM($A12)="","",IF($O12=0,IF(COUNTIFS('Card Test Cases'!$B$4:$B$1000,$A12,'Card Test Cases'!$A$4:$A$1000,"&lt;&gt;")&gt;0,"Out of Scope","No TC"),IF($Q12&gt;0,"Failed",IF(COUNTIFS('Card Test Cases'!$B$4:$B$1000,$A12,'Card Test Cases'!$A$4:$A$1000,"&lt;&gt;",'Card Test Cases'!$F$4:$F$1000,"Blocked")&gt;0,"Blocked",IF($R12&gt;0,"In Progress","Passed")))))</f>
        <v>No TC</v>
      </c>
      <c r="O12" s="68">
        <f>IF(TRIM($A12)="","",COUNTIFS('Card Test Cases'!$B$4:$B$1000,$A12,'Card Test Cases'!$A$4:$A$1000,"&lt;&gt;",'Card Test Cases'!$F$4:$F$1000,"&lt;&gt;Out of Scope"))</f>
        <v>0</v>
      </c>
      <c r="P12" s="68">
        <f>IF(TRIM($A12)="","",COUNTIFS('Card Test Cases'!$B$4:$B$1000,$A12,'Card Test Cases'!$A$4:$A$1000,"&lt;&gt;",'Card Test Cases'!$F$4:$F$1000,"Passed"))</f>
        <v>0</v>
      </c>
      <c r="Q12" s="68">
        <f>IF(TRIM($A12)="","",COUNTIFS('Card Test Cases'!$B$4:$B$1000,$A12,'Card Test Cases'!$A$4:$A$1000,"&lt;&gt;",'Card Test Cases'!$F$4:$F$1000,"Failed"))</f>
        <v>0</v>
      </c>
      <c r="R12" s="68">
        <f t="shared" si="0"/>
        <v>0</v>
      </c>
      <c r="S12" s="68" t="str" cm="1">
        <f t="array" ref="S12">IF(TRIM($A12)="","",IFERROR(_xlfn.TEXTJOIN(", ",TRUE,_xlfn.UNIQUE(_xlfn.VSTACK(_xlfn._xlws.FILTER('Card Test Cases'!$G$4:$G$1000,('Card Test Cases'!$B$4:$B$1000=$A12)*('Card Test Cases'!$G$4:$G$1000&lt;&gt;""),""),_xlfn._xlws.FILTER('E2E core flow'!$U$15:$U$1000,('E2E core flow'!$A$15:$A$1000&lt;&gt;"")*ISNUMBER(SEARCH('E2E core flow'!$A$15:$A$1000,$E12))*('E2E core flow'!$U$15:$U$1000&lt;&gt;""),"")))),"-"))</f>
        <v/>
      </c>
    </row>
    <row r="13" spans="1:19" x14ac:dyDescent="0.3">
      <c r="A13" s="13" t="s">
        <v>847</v>
      </c>
      <c r="B13" s="13" t="s">
        <v>848</v>
      </c>
      <c r="C13" s="13" t="s">
        <v>833</v>
      </c>
      <c r="E13" s="13" t="s">
        <v>849</v>
      </c>
      <c r="F13" s="1" t="s">
        <v>288</v>
      </c>
      <c r="G13" s="68" t="str" cm="1">
        <f t="array" ref="G13">_xlfn.LET(_xlpm.ids,'E2E core flow'!$A$15:$A$1000,_xlpm.v,'E2E core flow'!$W$15:$W$1000,_xlpm.m,(_xlpm.ids&lt;&gt;"")*ISNUMBER(SEARCH(_xlpm.ids,$E13)),_xlpm.f,SUM(_xlpm.m*(_xlpm.v="Failed")),_xlpm.b,SUM(_xlpm.m*(_xlpm.v="Blocked")),_xlpm.nr,SUM(_xlpm.m*(_xlpm.v="Not Run")),_xlpm.cp,SUM(_xlpm.m*(_xlpm.v="Conditionally Passed")),_xlpm.p,SUM(_xlpm.m*(_xlpm.v="Passed")),IF(TRIM($A13)="","",IF(TRIM($E13)="","Pending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13" s="68" t="str">
        <f>IF(TRIM($A13)="","",IF($J13="Passed","",IF($J13="Passed with Known Issue","Known Issue",IF($J13="",IF(OR($H13&lt;&gt;"No",AND($F13&lt;&gt;"Medium",$F13&lt;&gt;"Low")),"Pending Result",""),IF(OR($H13&lt;&gt;"No",AND($F13&lt;&gt;"Medium",$F13&lt;&gt;"Low")),IF(COUNTIFS(Dashboard!$B$105:$B$124,$A13,Dashboard!$I$105:$I$124,"CAB")&gt;0,"Accepted (CF)","Blocking"),IF($J13="Failed","Deferrable","Carry Over"))))))</f>
        <v>Pending Result</v>
      </c>
      <c r="M13" s="68" t="str">
        <f>IF(OR(TRIM($A13)="",TRIM($E13)=""),"",IFERROR(INDEX('E2E core flow'!$B$15:$B$1000,MATCH(1,INDEX(('E2E core flow'!$A$15:$A$1000&lt;&gt;"")*ISNUMBER(SEARCH('E2E core flow'!$A$15:$A$1000,$E13)),0),0))&amp;"","-"))</f>
        <v>ER</v>
      </c>
      <c r="N13" s="68" t="str">
        <f>IF(TRIM($A13)="","",IF($O13=0,IF(COUNTIFS('Card Test Cases'!$B$4:$B$1000,$A13,'Card Test Cases'!$A$4:$A$1000,"&lt;&gt;")&gt;0,"Out of Scope","No TC"),IF($Q13&gt;0,"Failed",IF(COUNTIFS('Card Test Cases'!$B$4:$B$1000,$A13,'Card Test Cases'!$A$4:$A$1000,"&lt;&gt;",'Card Test Cases'!$F$4:$F$1000,"Blocked")&gt;0,"Blocked",IF($R13&gt;0,"In Progress","Passed")))))</f>
        <v>No TC</v>
      </c>
      <c r="O13" s="68">
        <f>IF(TRIM($A13)="","",COUNTIFS('Card Test Cases'!$B$4:$B$1000,$A13,'Card Test Cases'!$A$4:$A$1000,"&lt;&gt;",'Card Test Cases'!$F$4:$F$1000,"&lt;&gt;Out of Scope"))</f>
        <v>0</v>
      </c>
      <c r="P13" s="68">
        <f>IF(TRIM($A13)="","",COUNTIFS('Card Test Cases'!$B$4:$B$1000,$A13,'Card Test Cases'!$A$4:$A$1000,"&lt;&gt;",'Card Test Cases'!$F$4:$F$1000,"Passed"))</f>
        <v>0</v>
      </c>
      <c r="Q13" s="68">
        <f>IF(TRIM($A13)="","",COUNTIFS('Card Test Cases'!$B$4:$B$1000,$A13,'Card Test Cases'!$A$4:$A$1000,"&lt;&gt;",'Card Test Cases'!$F$4:$F$1000,"Failed"))</f>
        <v>0</v>
      </c>
      <c r="R13" s="68">
        <f t="shared" si="0"/>
        <v>0</v>
      </c>
      <c r="S13" s="68" t="str" cm="1">
        <f t="array" ref="S13">IF(TRIM($A13)="","",IFERROR(_xlfn.TEXTJOIN(", ",TRUE,_xlfn.UNIQUE(_xlfn.VSTACK(_xlfn._xlws.FILTER('Card Test Cases'!$G$4:$G$1000,('Card Test Cases'!$B$4:$B$1000=$A13)*('Card Test Cases'!$G$4:$G$1000&lt;&gt;""),""),_xlfn._xlws.FILTER('E2E core flow'!$U$15:$U$1000,('E2E core flow'!$A$15:$A$1000&lt;&gt;"")*ISNUMBER(SEARCH('E2E core flow'!$A$15:$A$1000,$E13))*('E2E core flow'!$U$15:$U$1000&lt;&gt;""),"")))),"-"))</f>
        <v/>
      </c>
    </row>
    <row r="14" spans="1:19" x14ac:dyDescent="0.3">
      <c r="A14" s="13" t="s">
        <v>850</v>
      </c>
      <c r="B14" s="13" t="s">
        <v>851</v>
      </c>
      <c r="C14" s="13" t="s">
        <v>852</v>
      </c>
      <c r="E14" s="13" t="s">
        <v>559</v>
      </c>
      <c r="F14" s="1" t="s">
        <v>288</v>
      </c>
      <c r="G14" s="68" t="str" cm="1">
        <f t="array" ref="G14">_xlfn.LET(_xlpm.ids,'E2E core flow'!$A$15:$A$1000,_xlpm.v,'E2E core flow'!$W$15:$W$1000,_xlpm.m,(_xlpm.ids&lt;&gt;"")*ISNUMBER(SEARCH(_xlpm.ids,$E14)),_xlpm.f,SUM(_xlpm.m*(_xlpm.v="Failed")),_xlpm.b,SUM(_xlpm.m*(_xlpm.v="Blocked")),_xlpm.nr,SUM(_xlpm.m*(_xlpm.v="Not Run")),_xlpm.cp,SUM(_xlpm.m*(_xlpm.v="Conditionally Passed")),_xlpm.p,SUM(_xlpm.m*(_xlpm.v="Passed")),IF(TRIM($A14)="","",IF(TRIM($E14)="","Pending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14" s="68" t="str">
        <f>IF(TRIM($A14)="","",IF($J14="Passed","",IF($J14="Passed with Known Issue","Known Issue",IF($J14="",IF(OR($H14&lt;&gt;"No",AND($F14&lt;&gt;"Medium",$F14&lt;&gt;"Low")),"Pending Result",""),IF(OR($H14&lt;&gt;"No",AND($F14&lt;&gt;"Medium",$F14&lt;&gt;"Low")),IF(COUNTIFS(Dashboard!$B$105:$B$124,$A14,Dashboard!$I$105:$I$124,"CAB")&gt;0,"Accepted (CF)","Blocking"),IF($J14="Failed","Deferrable","Carry Over"))))))</f>
        <v>Pending Result</v>
      </c>
      <c r="M14" s="68" t="str">
        <f>IF(OR(TRIM($A14)="",TRIM($E14)=""),"",IFERROR(INDEX('E2E core flow'!$B$15:$B$1000,MATCH(1,INDEX(('E2E core flow'!$A$15:$A$1000&lt;&gt;"")*ISNUMBER(SEARCH('E2E core flow'!$A$15:$A$1000,$E14)),0),0))&amp;"","-"))</f>
        <v>OPD</v>
      </c>
      <c r="N14" s="68" t="str">
        <f>IF(TRIM($A14)="","",IF($O14=0,IF(COUNTIFS('Card Test Cases'!$B$4:$B$1000,$A14,'Card Test Cases'!$A$4:$A$1000,"&lt;&gt;")&gt;0,"Out of Scope","No TC"),IF($Q14&gt;0,"Failed",IF(COUNTIFS('Card Test Cases'!$B$4:$B$1000,$A14,'Card Test Cases'!$A$4:$A$1000,"&lt;&gt;",'Card Test Cases'!$F$4:$F$1000,"Blocked")&gt;0,"Blocked",IF($R14&gt;0,"In Progress","Passed")))))</f>
        <v>No TC</v>
      </c>
      <c r="O14" s="68">
        <f>IF(TRIM($A14)="","",COUNTIFS('Card Test Cases'!$B$4:$B$1000,$A14,'Card Test Cases'!$A$4:$A$1000,"&lt;&gt;",'Card Test Cases'!$F$4:$F$1000,"&lt;&gt;Out of Scope"))</f>
        <v>0</v>
      </c>
      <c r="P14" s="68">
        <f>IF(TRIM($A14)="","",COUNTIFS('Card Test Cases'!$B$4:$B$1000,$A14,'Card Test Cases'!$A$4:$A$1000,"&lt;&gt;",'Card Test Cases'!$F$4:$F$1000,"Passed"))</f>
        <v>0</v>
      </c>
      <c r="Q14" s="68">
        <f>IF(TRIM($A14)="","",COUNTIFS('Card Test Cases'!$B$4:$B$1000,$A14,'Card Test Cases'!$A$4:$A$1000,"&lt;&gt;",'Card Test Cases'!$F$4:$F$1000,"Failed"))</f>
        <v>0</v>
      </c>
      <c r="R14" s="68">
        <f t="shared" si="0"/>
        <v>0</v>
      </c>
      <c r="S14" s="68" t="str" cm="1">
        <f t="array" ref="S14">IF(TRIM($A14)="","",IFERROR(_xlfn.TEXTJOIN(", ",TRUE,_xlfn.UNIQUE(_xlfn.VSTACK(_xlfn._xlws.FILTER('Card Test Cases'!$G$4:$G$1000,('Card Test Cases'!$B$4:$B$1000=$A14)*('Card Test Cases'!$G$4:$G$1000&lt;&gt;""),""),_xlfn._xlws.FILTER('E2E core flow'!$U$15:$U$1000,('E2E core flow'!$A$15:$A$1000&lt;&gt;"")*ISNUMBER(SEARCH('E2E core flow'!$A$15:$A$1000,$E14))*('E2E core flow'!$U$15:$U$1000&lt;&gt;""),"")))),"-"))</f>
        <v/>
      </c>
    </row>
    <row r="15" spans="1:19" x14ac:dyDescent="0.3">
      <c r="A15" s="13" t="s">
        <v>853</v>
      </c>
      <c r="B15" s="13" t="s">
        <v>854</v>
      </c>
      <c r="C15" s="13" t="s">
        <v>842</v>
      </c>
      <c r="E15" s="13" t="s">
        <v>758</v>
      </c>
      <c r="F15" s="1" t="s">
        <v>291</v>
      </c>
      <c r="G15" s="68" t="str" cm="1">
        <f t="array" ref="G15">_xlfn.LET(_xlpm.ids,'E2E core flow'!$A$15:$A$1000,_xlpm.v,'E2E core flow'!$W$15:$W$1000,_xlpm.m,(_xlpm.ids&lt;&gt;"")*ISNUMBER(SEARCH(_xlpm.ids,$E15)),_xlpm.f,SUM(_xlpm.m*(_xlpm.v="Failed")),_xlpm.b,SUM(_xlpm.m*(_xlpm.v="Blocked")),_xlpm.nr,SUM(_xlpm.m*(_xlpm.v="Not Run")),_xlpm.cp,SUM(_xlpm.m*(_xlpm.v="Conditionally Passed")),_xlpm.p,SUM(_xlpm.m*(_xlpm.v="Passed")),IF(TRIM($A15)="","",IF(TRIM($E15)="","Pending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15" s="68" t="str">
        <f>IF(TRIM($A15)="","",IF($J15="Passed","",IF($J15="Passed with Known Issue","Known Issue",IF($J15="",IF(OR($H15&lt;&gt;"No",AND($F15&lt;&gt;"Medium",$F15&lt;&gt;"Low")),"Pending Result",""),IF(OR($H15&lt;&gt;"No",AND($F15&lt;&gt;"Medium",$F15&lt;&gt;"Low")),IF(COUNTIFS(Dashboard!$B$105:$B$124,$A15,Dashboard!$I$105:$I$124,"CAB")&gt;0,"Accepted (CF)","Blocking"),IF($J15="Failed","Deferrable","Carry Over"))))))</f>
        <v>Pending Result</v>
      </c>
      <c r="M15" s="68" t="str">
        <f>IF(OR(TRIM($A15)="",TRIM($E15)=""),"",IFERROR(INDEX('E2E core flow'!$B$15:$B$1000,MATCH(1,INDEX(('E2E core flow'!$A$15:$A$1000&lt;&gt;"")*ISNUMBER(SEARCH('E2E core flow'!$A$15:$A$1000,$E15)),0),0))&amp;"","-"))</f>
        <v>OPD</v>
      </c>
      <c r="N15" s="68" t="str">
        <f>IF(TRIM($A15)="","",IF($O15=0,IF(COUNTIFS('Card Test Cases'!$B$4:$B$1000,$A15,'Card Test Cases'!$A$4:$A$1000,"&lt;&gt;")&gt;0,"Out of Scope","No TC"),IF($Q15&gt;0,"Failed",IF(COUNTIFS('Card Test Cases'!$B$4:$B$1000,$A15,'Card Test Cases'!$A$4:$A$1000,"&lt;&gt;",'Card Test Cases'!$F$4:$F$1000,"Blocked")&gt;0,"Blocked",IF($R15&gt;0,"In Progress","Passed")))))</f>
        <v>No TC</v>
      </c>
      <c r="O15" s="68">
        <f>IF(TRIM($A15)="","",COUNTIFS('Card Test Cases'!$B$4:$B$1000,$A15,'Card Test Cases'!$A$4:$A$1000,"&lt;&gt;",'Card Test Cases'!$F$4:$F$1000,"&lt;&gt;Out of Scope"))</f>
        <v>0</v>
      </c>
      <c r="P15" s="68">
        <f>IF(TRIM($A15)="","",COUNTIFS('Card Test Cases'!$B$4:$B$1000,$A15,'Card Test Cases'!$A$4:$A$1000,"&lt;&gt;",'Card Test Cases'!$F$4:$F$1000,"Passed"))</f>
        <v>0</v>
      </c>
      <c r="Q15" s="68">
        <f>IF(TRIM($A15)="","",COUNTIFS('Card Test Cases'!$B$4:$B$1000,$A15,'Card Test Cases'!$A$4:$A$1000,"&lt;&gt;",'Card Test Cases'!$F$4:$F$1000,"Failed"))</f>
        <v>0</v>
      </c>
      <c r="R15" s="68">
        <f t="shared" si="0"/>
        <v>0</v>
      </c>
      <c r="S15" s="68" t="str" cm="1">
        <f t="array" ref="S15">IF(TRIM($A15)="","",IFERROR(_xlfn.TEXTJOIN(", ",TRUE,_xlfn.UNIQUE(_xlfn.VSTACK(_xlfn._xlws.FILTER('Card Test Cases'!$G$4:$G$1000,('Card Test Cases'!$B$4:$B$1000=$A15)*('Card Test Cases'!$G$4:$G$1000&lt;&gt;""),""),_xlfn._xlws.FILTER('E2E core flow'!$U$15:$U$1000,('E2E core flow'!$A$15:$A$1000&lt;&gt;"")*ISNUMBER(SEARCH('E2E core flow'!$A$15:$A$1000,$E15))*('E2E core flow'!$U$15:$U$1000&lt;&gt;""),"")))),"-"))</f>
        <v/>
      </c>
    </row>
    <row r="16" spans="1:19" x14ac:dyDescent="0.3">
      <c r="A16" s="13" t="s">
        <v>855</v>
      </c>
      <c r="B16" s="13" t="s">
        <v>856</v>
      </c>
      <c r="C16" s="13" t="s">
        <v>828</v>
      </c>
      <c r="E16" s="13" t="s">
        <v>857</v>
      </c>
      <c r="F16" s="1" t="s">
        <v>450</v>
      </c>
      <c r="G16" s="68" t="str" cm="1">
        <f t="array" ref="G16">_xlfn.LET(_xlpm.ids,'E2E core flow'!$A$15:$A$1000,_xlpm.v,'E2E core flow'!$W$15:$W$1000,_xlpm.m,(_xlpm.ids&lt;&gt;"")*ISNUMBER(SEARCH(_xlpm.ids,$E16)),_xlpm.f,SUM(_xlpm.m*(_xlpm.v="Failed")),_xlpm.b,SUM(_xlpm.m*(_xlpm.v="Blocked")),_xlpm.nr,SUM(_xlpm.m*(_xlpm.v="Not Run")),_xlpm.cp,SUM(_xlpm.m*(_xlpm.v="Conditionally Passed")),_xlpm.p,SUM(_xlpm.m*(_xlpm.v="Passed")),IF(TRIM($A16)="","",IF(TRIM($E16)="","Pending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16" s="68" t="str">
        <f>IF(TRIM($A16)="","",IF($J16="Passed","",IF($J16="Passed with Known Issue","Known Issue",IF($J16="",IF(OR($H16&lt;&gt;"No",AND($F16&lt;&gt;"Medium",$F16&lt;&gt;"Low")),"Pending Result",""),IF(OR($H16&lt;&gt;"No",AND($F16&lt;&gt;"Medium",$F16&lt;&gt;"Low")),IF(COUNTIFS(Dashboard!$B$105:$B$124,$A16,Dashboard!$I$105:$I$124,"CAB")&gt;0,"Accepted (CF)","Blocking"),IF($J16="Failed","Deferrable","Carry Over"))))))</f>
        <v>Pending Result</v>
      </c>
      <c r="M16" s="68" t="str">
        <f>IF(OR(TRIM($A16)="",TRIM($E16)=""),"",IFERROR(INDEX('E2E core flow'!$B$15:$B$1000,MATCH(1,INDEX(('E2E core flow'!$A$15:$A$1000&lt;&gt;"")*ISNUMBER(SEARCH('E2E core flow'!$A$15:$A$1000,$E16)),0),0))&amp;"","-"))</f>
        <v>ER</v>
      </c>
      <c r="N16" s="68" t="str">
        <f>IF(TRIM($A16)="","",IF($O16=0,IF(COUNTIFS('Card Test Cases'!$B$4:$B$1000,$A16,'Card Test Cases'!$A$4:$A$1000,"&lt;&gt;")&gt;0,"Out of Scope","No TC"),IF($Q16&gt;0,"Failed",IF(COUNTIFS('Card Test Cases'!$B$4:$B$1000,$A16,'Card Test Cases'!$A$4:$A$1000,"&lt;&gt;",'Card Test Cases'!$F$4:$F$1000,"Blocked")&gt;0,"Blocked",IF($R16&gt;0,"In Progress","Passed")))))</f>
        <v>No TC</v>
      </c>
      <c r="O16" s="68">
        <f>IF(TRIM($A16)="","",COUNTIFS('Card Test Cases'!$B$4:$B$1000,$A16,'Card Test Cases'!$A$4:$A$1000,"&lt;&gt;",'Card Test Cases'!$F$4:$F$1000,"&lt;&gt;Out of Scope"))</f>
        <v>0</v>
      </c>
      <c r="P16" s="68">
        <f>IF(TRIM($A16)="","",COUNTIFS('Card Test Cases'!$B$4:$B$1000,$A16,'Card Test Cases'!$A$4:$A$1000,"&lt;&gt;",'Card Test Cases'!$F$4:$F$1000,"Passed"))</f>
        <v>0</v>
      </c>
      <c r="Q16" s="68">
        <f>IF(TRIM($A16)="","",COUNTIFS('Card Test Cases'!$B$4:$B$1000,$A16,'Card Test Cases'!$A$4:$A$1000,"&lt;&gt;",'Card Test Cases'!$F$4:$F$1000,"Failed"))</f>
        <v>0</v>
      </c>
      <c r="R16" s="68">
        <f t="shared" si="0"/>
        <v>0</v>
      </c>
      <c r="S16" s="68" t="str" cm="1">
        <f t="array" ref="S16">IF(TRIM($A16)="","",IFERROR(_xlfn.TEXTJOIN(", ",TRUE,_xlfn.UNIQUE(_xlfn.VSTACK(_xlfn._xlws.FILTER('Card Test Cases'!$G$4:$G$1000,('Card Test Cases'!$B$4:$B$1000=$A16)*('Card Test Cases'!$G$4:$G$1000&lt;&gt;""),""),_xlfn._xlws.FILTER('E2E core flow'!$U$15:$U$1000,('E2E core flow'!$A$15:$A$1000&lt;&gt;"")*ISNUMBER(SEARCH('E2E core flow'!$A$15:$A$1000,$E16))*('E2E core flow'!$U$15:$U$1000&lt;&gt;""),"")))),"-"))</f>
        <v/>
      </c>
    </row>
    <row r="17" spans="1:19" x14ac:dyDescent="0.3">
      <c r="A17" s="13" t="s">
        <v>858</v>
      </c>
      <c r="B17" s="13" t="s">
        <v>859</v>
      </c>
      <c r="C17" s="13" t="s">
        <v>860</v>
      </c>
      <c r="E17" s="13" t="s">
        <v>758</v>
      </c>
      <c r="F17" s="1" t="s">
        <v>450</v>
      </c>
      <c r="G17" s="68" t="str" cm="1">
        <f t="array" ref="G17">_xlfn.LET(_xlpm.ids,'E2E core flow'!$A$15:$A$1000,_xlpm.v,'E2E core flow'!$W$15:$W$1000,_xlpm.m,(_xlpm.ids&lt;&gt;"")*ISNUMBER(SEARCH(_xlpm.ids,$E17)),_xlpm.f,SUM(_xlpm.m*(_xlpm.v="Failed")),_xlpm.b,SUM(_xlpm.m*(_xlpm.v="Blocked")),_xlpm.nr,SUM(_xlpm.m*(_xlpm.v="Not Run")),_xlpm.cp,SUM(_xlpm.m*(_xlpm.v="Conditionally Passed")),_xlpm.p,SUM(_xlpm.m*(_xlpm.v="Passed")),IF(TRIM($A17)="","",IF(TRIM($E17)="","Pending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17" s="68" t="str">
        <f>IF(TRIM($A17)="","",IF($J17="Passed","",IF($J17="Passed with Known Issue","Known Issue",IF($J17="",IF(OR($H17&lt;&gt;"No",AND($F17&lt;&gt;"Medium",$F17&lt;&gt;"Low")),"Pending Result",""),IF(OR($H17&lt;&gt;"No",AND($F17&lt;&gt;"Medium",$F17&lt;&gt;"Low")),IF(COUNTIFS(Dashboard!$B$105:$B$124,$A17,Dashboard!$I$105:$I$124,"CAB")&gt;0,"Accepted (CF)","Blocking"),IF($J17="Failed","Deferrable","Carry Over"))))))</f>
        <v>Pending Result</v>
      </c>
      <c r="M17" s="68" t="str">
        <f>IF(OR(TRIM($A17)="",TRIM($E17)=""),"",IFERROR(INDEX('E2E core flow'!$B$15:$B$1000,MATCH(1,INDEX(('E2E core flow'!$A$15:$A$1000&lt;&gt;"")*ISNUMBER(SEARCH('E2E core flow'!$A$15:$A$1000,$E17)),0),0))&amp;"","-"))</f>
        <v>OPD</v>
      </c>
      <c r="N17" s="68" t="str">
        <f>IF(TRIM($A17)="","",IF($O17=0,IF(COUNTIFS('Card Test Cases'!$B$4:$B$1000,$A17,'Card Test Cases'!$A$4:$A$1000,"&lt;&gt;")&gt;0,"Out of Scope","No TC"),IF($Q17&gt;0,"Failed",IF(COUNTIFS('Card Test Cases'!$B$4:$B$1000,$A17,'Card Test Cases'!$A$4:$A$1000,"&lt;&gt;",'Card Test Cases'!$F$4:$F$1000,"Blocked")&gt;0,"Blocked",IF($R17&gt;0,"In Progress","Passed")))))</f>
        <v>No TC</v>
      </c>
      <c r="O17" s="68">
        <f>IF(TRIM($A17)="","",COUNTIFS('Card Test Cases'!$B$4:$B$1000,$A17,'Card Test Cases'!$A$4:$A$1000,"&lt;&gt;",'Card Test Cases'!$F$4:$F$1000,"&lt;&gt;Out of Scope"))</f>
        <v>0</v>
      </c>
      <c r="P17" s="68">
        <f>IF(TRIM($A17)="","",COUNTIFS('Card Test Cases'!$B$4:$B$1000,$A17,'Card Test Cases'!$A$4:$A$1000,"&lt;&gt;",'Card Test Cases'!$F$4:$F$1000,"Passed"))</f>
        <v>0</v>
      </c>
      <c r="Q17" s="68">
        <f>IF(TRIM($A17)="","",COUNTIFS('Card Test Cases'!$B$4:$B$1000,$A17,'Card Test Cases'!$A$4:$A$1000,"&lt;&gt;",'Card Test Cases'!$F$4:$F$1000,"Failed"))</f>
        <v>0</v>
      </c>
      <c r="R17" s="68">
        <f t="shared" si="0"/>
        <v>0</v>
      </c>
      <c r="S17" s="68" t="str" cm="1">
        <f t="array" ref="S17">IF(TRIM($A17)="","",IFERROR(_xlfn.TEXTJOIN(", ",TRUE,_xlfn.UNIQUE(_xlfn.VSTACK(_xlfn._xlws.FILTER('Card Test Cases'!$G$4:$G$1000,('Card Test Cases'!$B$4:$B$1000=$A17)*('Card Test Cases'!$G$4:$G$1000&lt;&gt;""),""),_xlfn._xlws.FILTER('E2E core flow'!$U$15:$U$1000,('E2E core flow'!$A$15:$A$1000&lt;&gt;"")*ISNUMBER(SEARCH('E2E core flow'!$A$15:$A$1000,$E17))*('E2E core flow'!$U$15:$U$1000&lt;&gt;""),"")))),"-"))</f>
        <v/>
      </c>
    </row>
    <row r="18" spans="1:19" x14ac:dyDescent="0.3">
      <c r="A18" s="13" t="s">
        <v>861</v>
      </c>
      <c r="B18" s="13" t="s">
        <v>862</v>
      </c>
      <c r="C18" s="13" t="s">
        <v>828</v>
      </c>
      <c r="E18" s="13" t="s">
        <v>762</v>
      </c>
      <c r="F18" s="1" t="s">
        <v>291</v>
      </c>
      <c r="G18" s="68" t="str" cm="1">
        <f t="array" ref="G18">_xlfn.LET(_xlpm.ids,'E2E core flow'!$A$15:$A$1000,_xlpm.v,'E2E core flow'!$W$15:$W$1000,_xlpm.m,(_xlpm.ids&lt;&gt;"")*ISNUMBER(SEARCH(_xlpm.ids,$E18)),_xlpm.f,SUM(_xlpm.m*(_xlpm.v="Failed")),_xlpm.b,SUM(_xlpm.m*(_xlpm.v="Blocked")),_xlpm.nr,SUM(_xlpm.m*(_xlpm.v="Not Run")),_xlpm.cp,SUM(_xlpm.m*(_xlpm.v="Conditionally Passed")),_xlpm.p,SUM(_xlpm.m*(_xlpm.v="Passed")),IF(TRIM($A18)="","",IF(TRIM($E18)="","Pending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18" s="68" t="str">
        <f>IF(TRIM($A18)="","",IF($J18="Passed","",IF($J18="Passed with Known Issue","Known Issue",IF($J18="",IF(OR($H18&lt;&gt;"No",AND($F18&lt;&gt;"Medium",$F18&lt;&gt;"Low")),"Pending Result",""),IF(OR($H18&lt;&gt;"No",AND($F18&lt;&gt;"Medium",$F18&lt;&gt;"Low")),IF(COUNTIFS(Dashboard!$B$105:$B$124,$A18,Dashboard!$I$105:$I$124,"CAB")&gt;0,"Accepted (CF)","Blocking"),IF($J18="Failed","Deferrable","Carry Over"))))))</f>
        <v>Pending Result</v>
      </c>
      <c r="M18" s="68" t="str">
        <f>IF(OR(TRIM($A18)="",TRIM($E18)=""),"",IFERROR(INDEX('E2E core flow'!$B$15:$B$1000,MATCH(1,INDEX(('E2E core flow'!$A$15:$A$1000&lt;&gt;"")*ISNUMBER(SEARCH('E2E core flow'!$A$15:$A$1000,$E18)),0),0))&amp;"","-"))</f>
        <v>ER</v>
      </c>
      <c r="N18" s="68" t="str">
        <f>IF(TRIM($A18)="","",IF($O18=0,IF(COUNTIFS('Card Test Cases'!$B$4:$B$1000,$A18,'Card Test Cases'!$A$4:$A$1000,"&lt;&gt;")&gt;0,"Out of Scope","No TC"),IF($Q18&gt;0,"Failed",IF(COUNTIFS('Card Test Cases'!$B$4:$B$1000,$A18,'Card Test Cases'!$A$4:$A$1000,"&lt;&gt;",'Card Test Cases'!$F$4:$F$1000,"Blocked")&gt;0,"Blocked",IF($R18&gt;0,"In Progress","Passed")))))</f>
        <v>No TC</v>
      </c>
      <c r="O18" s="68">
        <f>IF(TRIM($A18)="","",COUNTIFS('Card Test Cases'!$B$4:$B$1000,$A18,'Card Test Cases'!$A$4:$A$1000,"&lt;&gt;",'Card Test Cases'!$F$4:$F$1000,"&lt;&gt;Out of Scope"))</f>
        <v>0</v>
      </c>
      <c r="P18" s="68">
        <f>IF(TRIM($A18)="","",COUNTIFS('Card Test Cases'!$B$4:$B$1000,$A18,'Card Test Cases'!$A$4:$A$1000,"&lt;&gt;",'Card Test Cases'!$F$4:$F$1000,"Passed"))</f>
        <v>0</v>
      </c>
      <c r="Q18" s="68">
        <f>IF(TRIM($A18)="","",COUNTIFS('Card Test Cases'!$B$4:$B$1000,$A18,'Card Test Cases'!$A$4:$A$1000,"&lt;&gt;",'Card Test Cases'!$F$4:$F$1000,"Failed"))</f>
        <v>0</v>
      </c>
      <c r="R18" s="68">
        <f t="shared" si="0"/>
        <v>0</v>
      </c>
      <c r="S18" s="68" t="str" cm="1">
        <f t="array" ref="S18">IF(TRIM($A18)="","",IFERROR(_xlfn.TEXTJOIN(", ",TRUE,_xlfn.UNIQUE(_xlfn.VSTACK(_xlfn._xlws.FILTER('Card Test Cases'!$G$4:$G$1000,('Card Test Cases'!$B$4:$B$1000=$A18)*('Card Test Cases'!$G$4:$G$1000&lt;&gt;""),""),_xlfn._xlws.FILTER('E2E core flow'!$U$15:$U$1000,('E2E core flow'!$A$15:$A$1000&lt;&gt;"")*ISNUMBER(SEARCH('E2E core flow'!$A$15:$A$1000,$E18))*('E2E core flow'!$U$15:$U$1000&lt;&gt;""),"")))),"-"))</f>
        <v/>
      </c>
    </row>
    <row r="19" spans="1:19" x14ac:dyDescent="0.3">
      <c r="A19" s="13" t="s">
        <v>863</v>
      </c>
      <c r="B19" s="13" t="s">
        <v>864</v>
      </c>
      <c r="C19" s="13" t="s">
        <v>860</v>
      </c>
      <c r="E19" s="13" t="s">
        <v>552</v>
      </c>
      <c r="F19" s="1" t="s">
        <v>450</v>
      </c>
      <c r="G19" s="68" t="str" cm="1">
        <f t="array" ref="G19">_xlfn.LET(_xlpm.ids,'E2E core flow'!$A$15:$A$1000,_xlpm.v,'E2E core flow'!$W$15:$W$1000,_xlpm.m,(_xlpm.ids&lt;&gt;"")*ISNUMBER(SEARCH(_xlpm.ids,$E19)),_xlpm.f,SUM(_xlpm.m*(_xlpm.v="Failed")),_xlpm.b,SUM(_xlpm.m*(_xlpm.v="Blocked")),_xlpm.nr,SUM(_xlpm.m*(_xlpm.v="Not Run")),_xlpm.cp,SUM(_xlpm.m*(_xlpm.v="Conditionally Passed")),_xlpm.p,SUM(_xlpm.m*(_xlpm.v="Passed")),IF(TRIM($A19)="","",IF(TRIM($E19)="","Pending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19" s="68" t="str">
        <f>IF(TRIM($A19)="","",IF($J19="Passed","",IF($J19="Passed with Known Issue","Known Issue",IF($J19="",IF(OR($H19&lt;&gt;"No",AND($F19&lt;&gt;"Medium",$F19&lt;&gt;"Low")),"Pending Result",""),IF(OR($H19&lt;&gt;"No",AND($F19&lt;&gt;"Medium",$F19&lt;&gt;"Low")),IF(COUNTIFS(Dashboard!$B$105:$B$124,$A19,Dashboard!$I$105:$I$124,"CAB")&gt;0,"Accepted (CF)","Blocking"),IF($J19="Failed","Deferrable","Carry Over"))))))</f>
        <v>Pending Result</v>
      </c>
      <c r="M19" s="68" t="str">
        <f>IF(OR(TRIM($A19)="",TRIM($E19)=""),"",IFERROR(INDEX('E2E core flow'!$B$15:$B$1000,MATCH(1,INDEX(('E2E core flow'!$A$15:$A$1000&lt;&gt;"")*ISNUMBER(SEARCH('E2E core flow'!$A$15:$A$1000,$E19)),0),0))&amp;"","-"))</f>
        <v>OPD</v>
      </c>
      <c r="N19" s="68" t="str">
        <f>IF(TRIM($A19)="","",IF($O19=0,IF(COUNTIFS('Card Test Cases'!$B$4:$B$1000,$A19,'Card Test Cases'!$A$4:$A$1000,"&lt;&gt;")&gt;0,"Out of Scope","No TC"),IF($Q19&gt;0,"Failed",IF(COUNTIFS('Card Test Cases'!$B$4:$B$1000,$A19,'Card Test Cases'!$A$4:$A$1000,"&lt;&gt;",'Card Test Cases'!$F$4:$F$1000,"Blocked")&gt;0,"Blocked",IF($R19&gt;0,"In Progress","Passed")))))</f>
        <v>No TC</v>
      </c>
      <c r="O19" s="68">
        <f>IF(TRIM($A19)="","",COUNTIFS('Card Test Cases'!$B$4:$B$1000,$A19,'Card Test Cases'!$A$4:$A$1000,"&lt;&gt;",'Card Test Cases'!$F$4:$F$1000,"&lt;&gt;Out of Scope"))</f>
        <v>0</v>
      </c>
      <c r="P19" s="68">
        <f>IF(TRIM($A19)="","",COUNTIFS('Card Test Cases'!$B$4:$B$1000,$A19,'Card Test Cases'!$A$4:$A$1000,"&lt;&gt;",'Card Test Cases'!$F$4:$F$1000,"Passed"))</f>
        <v>0</v>
      </c>
      <c r="Q19" s="68">
        <f>IF(TRIM($A19)="","",COUNTIFS('Card Test Cases'!$B$4:$B$1000,$A19,'Card Test Cases'!$A$4:$A$1000,"&lt;&gt;",'Card Test Cases'!$F$4:$F$1000,"Failed"))</f>
        <v>0</v>
      </c>
      <c r="R19" s="68">
        <f t="shared" si="0"/>
        <v>0</v>
      </c>
      <c r="S19" s="68" t="str" cm="1">
        <f t="array" ref="S19">IF(TRIM($A19)="","",IFERROR(_xlfn.TEXTJOIN(", ",TRUE,_xlfn.UNIQUE(_xlfn.VSTACK(_xlfn._xlws.FILTER('Card Test Cases'!$G$4:$G$1000,('Card Test Cases'!$B$4:$B$1000=$A19)*('Card Test Cases'!$G$4:$G$1000&lt;&gt;""),""),_xlfn._xlws.FILTER('E2E core flow'!$U$15:$U$1000,('E2E core flow'!$A$15:$A$1000&lt;&gt;"")*ISNUMBER(SEARCH('E2E core flow'!$A$15:$A$1000,$E19))*('E2E core flow'!$U$15:$U$1000&lt;&gt;""),"")))),"-"))</f>
        <v/>
      </c>
    </row>
    <row r="20" spans="1:19" x14ac:dyDescent="0.3">
      <c r="A20" s="13" t="s">
        <v>865</v>
      </c>
      <c r="B20" s="13" t="s">
        <v>866</v>
      </c>
      <c r="C20" s="13" t="s">
        <v>852</v>
      </c>
      <c r="F20" s="1" t="s">
        <v>450</v>
      </c>
      <c r="G20" s="68" t="str" cm="1">
        <f t="array" ref="G20">_xlfn.LET(_xlpm.ids,'E2E core flow'!$A$15:$A$1000,_xlpm.v,'E2E core flow'!$W$15:$W$1000,_xlpm.m,(_xlpm.ids&lt;&gt;"")*ISNUMBER(SEARCH(_xlpm.ids,$E20)),_xlpm.f,SUM(_xlpm.m*(_xlpm.v="Failed")),_xlpm.b,SUM(_xlpm.m*(_xlpm.v="Blocked")),_xlpm.nr,SUM(_xlpm.m*(_xlpm.v="Not Run")),_xlpm.cp,SUM(_xlpm.m*(_xlpm.v="Conditionally Passed")),_xlpm.p,SUM(_xlpm.m*(_xlpm.v="Passed")),IF(TRIM($A20)="","",IF(TRIM($E20)="","Pending Mapping",IF(SUM(_xlpm.m)=0,"ไม่พบ Scenario ID ใน E2E",IF(_xlpm.f&gt;0,"Failed",IF(_xlpm.b&gt;0,"Blocked",IF(_xlpm.nr&gt;0,"Ready for Testing",IF(_xlpm.cp&gt;0,"Conditionally Passed",IF(_xlpm.p&gt;0,"Passed","Out of Scope")))))))))</f>
        <v>Pending Mapping</v>
      </c>
      <c r="L20" s="68" t="str">
        <f>IF(TRIM($A20)="","",IF($J20="Passed","",IF($J20="Passed with Known Issue","Known Issue",IF($J20="",IF(OR($H20&lt;&gt;"No",AND($F20&lt;&gt;"Medium",$F20&lt;&gt;"Low")),"Pending Result",""),IF(OR($H20&lt;&gt;"No",AND($F20&lt;&gt;"Medium",$F20&lt;&gt;"Low")),IF(COUNTIFS(Dashboard!$B$105:$B$124,$A20,Dashboard!$I$105:$I$124,"CAB")&gt;0,"Accepted (CF)","Blocking"),IF($J20="Failed","Deferrable","Carry Over"))))))</f>
        <v>Pending Result</v>
      </c>
      <c r="M20" s="68" t="str">
        <f>IF(OR(TRIM($A20)="",TRIM($E20)=""),"",IFERROR(INDEX('E2E core flow'!$B$15:$B$1000,MATCH(1,INDEX(('E2E core flow'!$A$15:$A$1000&lt;&gt;"")*ISNUMBER(SEARCH('E2E core flow'!$A$15:$A$1000,$E20)),0),0))&amp;"","-"))</f>
        <v/>
      </c>
      <c r="N20" s="68" t="str">
        <f>IF(TRIM($A20)="","",IF($O20=0,IF(COUNTIFS('Card Test Cases'!$B$4:$B$1000,$A20,'Card Test Cases'!$A$4:$A$1000,"&lt;&gt;")&gt;0,"Out of Scope","No TC"),IF($Q20&gt;0,"Failed",IF(COUNTIFS('Card Test Cases'!$B$4:$B$1000,$A20,'Card Test Cases'!$A$4:$A$1000,"&lt;&gt;",'Card Test Cases'!$F$4:$F$1000,"Blocked")&gt;0,"Blocked",IF($R20&gt;0,"In Progress","Passed")))))</f>
        <v>No TC</v>
      </c>
      <c r="O20" s="68">
        <f>IF(TRIM($A20)="","",COUNTIFS('Card Test Cases'!$B$4:$B$1000,$A20,'Card Test Cases'!$A$4:$A$1000,"&lt;&gt;",'Card Test Cases'!$F$4:$F$1000,"&lt;&gt;Out of Scope"))</f>
        <v>0</v>
      </c>
      <c r="P20" s="68">
        <f>IF(TRIM($A20)="","",COUNTIFS('Card Test Cases'!$B$4:$B$1000,$A20,'Card Test Cases'!$A$4:$A$1000,"&lt;&gt;",'Card Test Cases'!$F$4:$F$1000,"Passed"))</f>
        <v>0</v>
      </c>
      <c r="Q20" s="68">
        <f>IF(TRIM($A20)="","",COUNTIFS('Card Test Cases'!$B$4:$B$1000,$A20,'Card Test Cases'!$A$4:$A$1000,"&lt;&gt;",'Card Test Cases'!$F$4:$F$1000,"Failed"))</f>
        <v>0</v>
      </c>
      <c r="R20" s="68">
        <f t="shared" si="0"/>
        <v>0</v>
      </c>
      <c r="S20" s="68" t="str" cm="1">
        <f t="array" ref="S20">IF(TRIM($A20)="","",IFERROR(_xlfn.TEXTJOIN(", ",TRUE,_xlfn.UNIQUE(_xlfn.VSTACK(_xlfn._xlws.FILTER('Card Test Cases'!$G$4:$G$1000,('Card Test Cases'!$B$4:$B$1000=$A20)*('Card Test Cases'!$G$4:$G$1000&lt;&gt;""),""),_xlfn._xlws.FILTER('E2E core flow'!$U$15:$U$1000,('E2E core flow'!$A$15:$A$1000&lt;&gt;"")*ISNUMBER(SEARCH('E2E core flow'!$A$15:$A$1000,$E20))*('E2E core flow'!$U$15:$U$1000&lt;&gt;""),"")))),"-"))</f>
        <v/>
      </c>
    </row>
    <row r="21" spans="1:19" x14ac:dyDescent="0.3">
      <c r="A21" s="13" t="s">
        <v>867</v>
      </c>
      <c r="B21" s="13" t="s">
        <v>868</v>
      </c>
      <c r="C21" s="13" t="s">
        <v>846</v>
      </c>
      <c r="F21" s="1" t="s">
        <v>450</v>
      </c>
      <c r="G21" s="68" t="str" cm="1">
        <f t="array" ref="G21">_xlfn.LET(_xlpm.ids,'E2E core flow'!$A$15:$A$1000,_xlpm.v,'E2E core flow'!$W$15:$W$1000,_xlpm.m,(_xlpm.ids&lt;&gt;"")*ISNUMBER(SEARCH(_xlpm.ids,$E21)),_xlpm.f,SUM(_xlpm.m*(_xlpm.v="Failed")),_xlpm.b,SUM(_xlpm.m*(_xlpm.v="Blocked")),_xlpm.nr,SUM(_xlpm.m*(_xlpm.v="Not Run")),_xlpm.cp,SUM(_xlpm.m*(_xlpm.v="Conditionally Passed")),_xlpm.p,SUM(_xlpm.m*(_xlpm.v="Passed")),IF(TRIM($A21)="","",IF(TRIM($E21)="","Pending Mapping",IF(SUM(_xlpm.m)=0,"ไม่พบ Scenario ID ใน E2E",IF(_xlpm.f&gt;0,"Failed",IF(_xlpm.b&gt;0,"Blocked",IF(_xlpm.nr&gt;0,"Ready for Testing",IF(_xlpm.cp&gt;0,"Conditionally Passed",IF(_xlpm.p&gt;0,"Passed","Out of Scope")))))))))</f>
        <v>Pending Mapping</v>
      </c>
      <c r="L21" s="68" t="str">
        <f>IF(TRIM($A21)="","",IF($J21="Passed","",IF($J21="Passed with Known Issue","Known Issue",IF($J21="",IF(OR($H21&lt;&gt;"No",AND($F21&lt;&gt;"Medium",$F21&lt;&gt;"Low")),"Pending Result",""),IF(OR($H21&lt;&gt;"No",AND($F21&lt;&gt;"Medium",$F21&lt;&gt;"Low")),IF(COUNTIFS(Dashboard!$B$105:$B$124,$A21,Dashboard!$I$105:$I$124,"CAB")&gt;0,"Accepted (CF)","Blocking"),IF($J21="Failed","Deferrable","Carry Over"))))))</f>
        <v>Pending Result</v>
      </c>
      <c r="M21" s="68" t="str">
        <f>IF(OR(TRIM($A21)="",TRIM($E21)=""),"",IFERROR(INDEX('E2E core flow'!$B$15:$B$1000,MATCH(1,INDEX(('E2E core flow'!$A$15:$A$1000&lt;&gt;"")*ISNUMBER(SEARCH('E2E core flow'!$A$15:$A$1000,$E21)),0),0))&amp;"","-"))</f>
        <v/>
      </c>
      <c r="N21" s="68" t="str">
        <f>IF(TRIM($A21)="","",IF($O21=0,IF(COUNTIFS('Card Test Cases'!$B$4:$B$1000,$A21,'Card Test Cases'!$A$4:$A$1000,"&lt;&gt;")&gt;0,"Out of Scope","No TC"),IF($Q21&gt;0,"Failed",IF(COUNTIFS('Card Test Cases'!$B$4:$B$1000,$A21,'Card Test Cases'!$A$4:$A$1000,"&lt;&gt;",'Card Test Cases'!$F$4:$F$1000,"Blocked")&gt;0,"Blocked",IF($R21&gt;0,"In Progress","Passed")))))</f>
        <v>No TC</v>
      </c>
      <c r="O21" s="68">
        <f>IF(TRIM($A21)="","",COUNTIFS('Card Test Cases'!$B$4:$B$1000,$A21,'Card Test Cases'!$A$4:$A$1000,"&lt;&gt;",'Card Test Cases'!$F$4:$F$1000,"&lt;&gt;Out of Scope"))</f>
        <v>0</v>
      </c>
      <c r="P21" s="68">
        <f>IF(TRIM($A21)="","",COUNTIFS('Card Test Cases'!$B$4:$B$1000,$A21,'Card Test Cases'!$A$4:$A$1000,"&lt;&gt;",'Card Test Cases'!$F$4:$F$1000,"Passed"))</f>
        <v>0</v>
      </c>
      <c r="Q21" s="68">
        <f>IF(TRIM($A21)="","",COUNTIFS('Card Test Cases'!$B$4:$B$1000,$A21,'Card Test Cases'!$A$4:$A$1000,"&lt;&gt;",'Card Test Cases'!$F$4:$F$1000,"Failed"))</f>
        <v>0</v>
      </c>
      <c r="R21" s="68">
        <f t="shared" si="0"/>
        <v>0</v>
      </c>
      <c r="S21" s="68" t="str" cm="1">
        <f t="array" ref="S21">IF(TRIM($A21)="","",IFERROR(_xlfn.TEXTJOIN(", ",TRUE,_xlfn.UNIQUE(_xlfn.VSTACK(_xlfn._xlws.FILTER('Card Test Cases'!$G$4:$G$1000,('Card Test Cases'!$B$4:$B$1000=$A21)*('Card Test Cases'!$G$4:$G$1000&lt;&gt;""),""),_xlfn._xlws.FILTER('E2E core flow'!$U$15:$U$1000,('E2E core flow'!$A$15:$A$1000&lt;&gt;"")*ISNUMBER(SEARCH('E2E core flow'!$A$15:$A$1000,$E21))*('E2E core flow'!$U$15:$U$1000&lt;&gt;""),"")))),"-"))</f>
        <v/>
      </c>
    </row>
    <row r="22" spans="1:19" x14ac:dyDescent="0.3">
      <c r="A22" s="13" t="s">
        <v>869</v>
      </c>
      <c r="B22" s="13" t="s">
        <v>870</v>
      </c>
      <c r="C22" s="13" t="s">
        <v>852</v>
      </c>
      <c r="F22" s="1" t="s">
        <v>450</v>
      </c>
      <c r="G22" s="68" t="str" cm="1">
        <f t="array" ref="G22">_xlfn.LET(_xlpm.ids,'E2E core flow'!$A$15:$A$1000,_xlpm.v,'E2E core flow'!$W$15:$W$1000,_xlpm.m,(_xlpm.ids&lt;&gt;"")*ISNUMBER(SEARCH(_xlpm.ids,$E22)),_xlpm.f,SUM(_xlpm.m*(_xlpm.v="Failed")),_xlpm.b,SUM(_xlpm.m*(_xlpm.v="Blocked")),_xlpm.nr,SUM(_xlpm.m*(_xlpm.v="Not Run")),_xlpm.cp,SUM(_xlpm.m*(_xlpm.v="Conditionally Passed")),_xlpm.p,SUM(_xlpm.m*(_xlpm.v="Passed")),IF(TRIM($A22)="","",IF(TRIM($E22)="","Pending Mapping",IF(SUM(_xlpm.m)=0,"ไม่พบ Scenario ID ใน E2E",IF(_xlpm.f&gt;0,"Failed",IF(_xlpm.b&gt;0,"Blocked",IF(_xlpm.nr&gt;0,"Ready for Testing",IF(_xlpm.cp&gt;0,"Conditionally Passed",IF(_xlpm.p&gt;0,"Passed","Out of Scope")))))))))</f>
        <v>Pending Mapping</v>
      </c>
      <c r="L22" s="68" t="str">
        <f>IF(TRIM($A22)="","",IF($J22="Passed","",IF($J22="Passed with Known Issue","Known Issue",IF($J22="",IF(OR($H22&lt;&gt;"No",AND($F22&lt;&gt;"Medium",$F22&lt;&gt;"Low")),"Pending Result",""),IF(OR($H22&lt;&gt;"No",AND($F22&lt;&gt;"Medium",$F22&lt;&gt;"Low")),IF(COUNTIFS(Dashboard!$B$105:$B$124,$A22,Dashboard!$I$105:$I$124,"CAB")&gt;0,"Accepted (CF)","Blocking"),IF($J22="Failed","Deferrable","Carry Over"))))))</f>
        <v>Pending Result</v>
      </c>
      <c r="M22" s="68" t="str">
        <f>IF(OR(TRIM($A22)="",TRIM($E22)=""),"",IFERROR(INDEX('E2E core flow'!$B$15:$B$1000,MATCH(1,INDEX(('E2E core flow'!$A$15:$A$1000&lt;&gt;"")*ISNUMBER(SEARCH('E2E core flow'!$A$15:$A$1000,$E22)),0),0))&amp;"","-"))</f>
        <v/>
      </c>
      <c r="N22" s="68" t="str">
        <f>IF(TRIM($A22)="","",IF($O22=0,IF(COUNTIFS('Card Test Cases'!$B$4:$B$1000,$A22,'Card Test Cases'!$A$4:$A$1000,"&lt;&gt;")&gt;0,"Out of Scope","No TC"),IF($Q22&gt;0,"Failed",IF(COUNTIFS('Card Test Cases'!$B$4:$B$1000,$A22,'Card Test Cases'!$A$4:$A$1000,"&lt;&gt;",'Card Test Cases'!$F$4:$F$1000,"Blocked")&gt;0,"Blocked",IF($R22&gt;0,"In Progress","Passed")))))</f>
        <v>No TC</v>
      </c>
      <c r="O22" s="68">
        <f>IF(TRIM($A22)="","",COUNTIFS('Card Test Cases'!$B$4:$B$1000,$A22,'Card Test Cases'!$A$4:$A$1000,"&lt;&gt;",'Card Test Cases'!$F$4:$F$1000,"&lt;&gt;Out of Scope"))</f>
        <v>0</v>
      </c>
      <c r="P22" s="68">
        <f>IF(TRIM($A22)="","",COUNTIFS('Card Test Cases'!$B$4:$B$1000,$A22,'Card Test Cases'!$A$4:$A$1000,"&lt;&gt;",'Card Test Cases'!$F$4:$F$1000,"Passed"))</f>
        <v>0</v>
      </c>
      <c r="Q22" s="68">
        <f>IF(TRIM($A22)="","",COUNTIFS('Card Test Cases'!$B$4:$B$1000,$A22,'Card Test Cases'!$A$4:$A$1000,"&lt;&gt;",'Card Test Cases'!$F$4:$F$1000,"Failed"))</f>
        <v>0</v>
      </c>
      <c r="R22" s="68">
        <f t="shared" si="0"/>
        <v>0</v>
      </c>
      <c r="S22" s="68" t="str" cm="1">
        <f t="array" ref="S22">IF(TRIM($A22)="","",IFERROR(_xlfn.TEXTJOIN(", ",TRUE,_xlfn.UNIQUE(_xlfn.VSTACK(_xlfn._xlws.FILTER('Card Test Cases'!$G$4:$G$1000,('Card Test Cases'!$B$4:$B$1000=$A22)*('Card Test Cases'!$G$4:$G$1000&lt;&gt;""),""),_xlfn._xlws.FILTER('E2E core flow'!$U$15:$U$1000,('E2E core flow'!$A$15:$A$1000&lt;&gt;"")*ISNUMBER(SEARCH('E2E core flow'!$A$15:$A$1000,$E22))*('E2E core flow'!$U$15:$U$1000&lt;&gt;""),"")))),"-"))</f>
        <v/>
      </c>
    </row>
    <row r="23" spans="1:19" x14ac:dyDescent="0.3">
      <c r="A23" s="13" t="s">
        <v>871</v>
      </c>
      <c r="B23" s="13" t="s">
        <v>872</v>
      </c>
      <c r="C23" s="13" t="s">
        <v>828</v>
      </c>
      <c r="E23" s="13" t="s">
        <v>787</v>
      </c>
      <c r="G23" s="68" t="str" cm="1">
        <f t="array" ref="G23">_xlfn.LET(_xlpm.ids,'E2E core flow'!$A$15:$A$1000,_xlpm.v,'E2E core flow'!$W$15:$W$1000,_xlpm.m,(_xlpm.ids&lt;&gt;"")*ISNUMBER(SEARCH(_xlpm.ids,$E23)),_xlpm.f,SUM(_xlpm.m*(_xlpm.v="Failed")),_xlpm.b,SUM(_xlpm.m*(_xlpm.v="Blocked")),_xlpm.nr,SUM(_xlpm.m*(_xlpm.v="Not Run")),_xlpm.cp,SUM(_xlpm.m*(_xlpm.v="Conditionally Passed")),_xlpm.p,SUM(_xlpm.m*(_xlpm.v="Passed")),IF(TRIM($A23)="","",IF(TRIM($E23)="","Pending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23" s="68" t="str">
        <f>IF(TRIM($A23)="","",IF($J23="Passed","",IF($J23="Passed with Known Issue","Known Issue",IF($J23="",IF(OR($H23&lt;&gt;"No",AND($F23&lt;&gt;"Medium",$F23&lt;&gt;"Low")),"Pending Result",""),IF(OR($H23&lt;&gt;"No",AND($F23&lt;&gt;"Medium",$F23&lt;&gt;"Low")),IF(COUNTIFS(Dashboard!$B$105:$B$124,$A23,Dashboard!$I$105:$I$124,"CAB")&gt;0,"Accepted (CF)","Blocking"),IF($J23="Failed","Deferrable","Carry Over"))))))</f>
        <v>Pending Result</v>
      </c>
      <c r="M23" s="68" t="str">
        <f>IF(OR(TRIM($A23)="",TRIM($E23)=""),"",IFERROR(INDEX('E2E core flow'!$B$15:$B$1000,MATCH(1,INDEX(('E2E core flow'!$A$15:$A$1000&lt;&gt;"")*ISNUMBER(SEARCH('E2E core flow'!$A$15:$A$1000,$E23)),0),0))&amp;"","-"))</f>
        <v>ER</v>
      </c>
      <c r="N23" s="68" t="str">
        <f>IF(TRIM($A23)="","",IF($O23=0,IF(COUNTIFS('Card Test Cases'!$B$4:$B$1000,$A23,'Card Test Cases'!$A$4:$A$1000,"&lt;&gt;")&gt;0,"Out of Scope","No TC"),IF($Q23&gt;0,"Failed",IF(COUNTIFS('Card Test Cases'!$B$4:$B$1000,$A23,'Card Test Cases'!$A$4:$A$1000,"&lt;&gt;",'Card Test Cases'!$F$4:$F$1000,"Blocked")&gt;0,"Blocked",IF($R23&gt;0,"In Progress","Passed")))))</f>
        <v>No TC</v>
      </c>
      <c r="O23" s="68">
        <f>IF(TRIM($A23)="","",COUNTIFS('Card Test Cases'!$B$4:$B$1000,$A23,'Card Test Cases'!$A$4:$A$1000,"&lt;&gt;",'Card Test Cases'!$F$4:$F$1000,"&lt;&gt;Out of Scope"))</f>
        <v>0</v>
      </c>
      <c r="P23" s="68">
        <f>IF(TRIM($A23)="","",COUNTIFS('Card Test Cases'!$B$4:$B$1000,$A23,'Card Test Cases'!$A$4:$A$1000,"&lt;&gt;",'Card Test Cases'!$F$4:$F$1000,"Passed"))</f>
        <v>0</v>
      </c>
      <c r="Q23" s="68">
        <f>IF(TRIM($A23)="","",COUNTIFS('Card Test Cases'!$B$4:$B$1000,$A23,'Card Test Cases'!$A$4:$A$1000,"&lt;&gt;",'Card Test Cases'!$F$4:$F$1000,"Failed"))</f>
        <v>0</v>
      </c>
      <c r="R23" s="68">
        <f t="shared" si="0"/>
        <v>0</v>
      </c>
      <c r="S23" s="68" t="str" cm="1">
        <f t="array" ref="S23">IF(TRIM($A23)="","",IFERROR(_xlfn.TEXTJOIN(", ",TRUE,_xlfn.UNIQUE(_xlfn.VSTACK(_xlfn._xlws.FILTER('Card Test Cases'!$G$4:$G$1000,('Card Test Cases'!$B$4:$B$1000=$A23)*('Card Test Cases'!$G$4:$G$1000&lt;&gt;""),""),_xlfn._xlws.FILTER('E2E core flow'!$U$15:$U$1000,('E2E core flow'!$A$15:$A$1000&lt;&gt;"")*ISNUMBER(SEARCH('E2E core flow'!$A$15:$A$1000,$E23))*('E2E core flow'!$U$15:$U$1000&lt;&gt;""),"")))),"-"))</f>
        <v/>
      </c>
    </row>
    <row r="24" spans="1:19" x14ac:dyDescent="0.3">
      <c r="A24" s="13" t="s">
        <v>873</v>
      </c>
      <c r="B24" s="13" t="s">
        <v>874</v>
      </c>
      <c r="C24" s="13" t="s">
        <v>875</v>
      </c>
      <c r="E24" s="13" t="s">
        <v>876</v>
      </c>
      <c r="F24" s="1" t="s">
        <v>450</v>
      </c>
      <c r="G24" s="68" t="str" cm="1">
        <f t="array" ref="G24">_xlfn.LET(_xlpm.ids,'E2E core flow'!$A$15:$A$1000,_xlpm.v,'E2E core flow'!$W$15:$W$1000,_xlpm.m,(_xlpm.ids&lt;&gt;"")*ISNUMBER(SEARCH(_xlpm.ids,$E24)),_xlpm.f,SUM(_xlpm.m*(_xlpm.v="Failed")),_xlpm.b,SUM(_xlpm.m*(_xlpm.v="Blocked")),_xlpm.nr,SUM(_xlpm.m*(_xlpm.v="Not Run")),_xlpm.cp,SUM(_xlpm.m*(_xlpm.v="Conditionally Passed")),_xlpm.p,SUM(_xlpm.m*(_xlpm.v="Passed")),IF(TRIM($A24)="","",IF(TRIM($E24)="","Pending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24" s="68" t="str">
        <f>IF(TRIM($A24)="","",IF($J24="Passed","",IF($J24="Passed with Known Issue","Known Issue",IF($J24="",IF(OR($H24&lt;&gt;"No",AND($F24&lt;&gt;"Medium",$F24&lt;&gt;"Low")),"Pending Result",""),IF(OR($H24&lt;&gt;"No",AND($F24&lt;&gt;"Medium",$F24&lt;&gt;"Low")),IF(COUNTIFS(Dashboard!$B$105:$B$124,$A24,Dashboard!$I$105:$I$124,"CAB")&gt;0,"Accepted (CF)","Blocking"),IF($J24="Failed","Deferrable","Carry Over"))))))</f>
        <v>Pending Result</v>
      </c>
      <c r="M24" s="68" t="str">
        <f>IF(OR(TRIM($A24)="",TRIM($E24)=""),"",IFERROR(INDEX('E2E core flow'!$B$15:$B$1000,MATCH(1,INDEX(('E2E core flow'!$A$15:$A$1000&lt;&gt;"")*ISNUMBER(SEARCH('E2E core flow'!$A$15:$A$1000,$E24)),0),0))&amp;"","-"))</f>
        <v>OPD</v>
      </c>
      <c r="N24" s="68" t="str">
        <f>IF(TRIM($A24)="","",IF($O24=0,IF(COUNTIFS('Card Test Cases'!$B$4:$B$1000,$A24,'Card Test Cases'!$A$4:$A$1000,"&lt;&gt;")&gt;0,"Out of Scope","No TC"),IF($Q24&gt;0,"Failed",IF(COUNTIFS('Card Test Cases'!$B$4:$B$1000,$A24,'Card Test Cases'!$A$4:$A$1000,"&lt;&gt;",'Card Test Cases'!$F$4:$F$1000,"Blocked")&gt;0,"Blocked",IF($R24&gt;0,"In Progress","Passed")))))</f>
        <v>No TC</v>
      </c>
      <c r="O24" s="68">
        <f>IF(TRIM($A24)="","",COUNTIFS('Card Test Cases'!$B$4:$B$1000,$A24,'Card Test Cases'!$A$4:$A$1000,"&lt;&gt;",'Card Test Cases'!$F$4:$F$1000,"&lt;&gt;Out of Scope"))</f>
        <v>0</v>
      </c>
      <c r="P24" s="68">
        <f>IF(TRIM($A24)="","",COUNTIFS('Card Test Cases'!$B$4:$B$1000,$A24,'Card Test Cases'!$A$4:$A$1000,"&lt;&gt;",'Card Test Cases'!$F$4:$F$1000,"Passed"))</f>
        <v>0</v>
      </c>
      <c r="Q24" s="68">
        <f>IF(TRIM($A24)="","",COUNTIFS('Card Test Cases'!$B$4:$B$1000,$A24,'Card Test Cases'!$A$4:$A$1000,"&lt;&gt;",'Card Test Cases'!$F$4:$F$1000,"Failed"))</f>
        <v>0</v>
      </c>
      <c r="R24" s="68">
        <f t="shared" si="0"/>
        <v>0</v>
      </c>
      <c r="S24" s="68" t="str" cm="1">
        <f t="array" ref="S24">IF(TRIM($A24)="","",IFERROR(_xlfn.TEXTJOIN(", ",TRUE,_xlfn.UNIQUE(_xlfn.VSTACK(_xlfn._xlws.FILTER('Card Test Cases'!$G$4:$G$1000,('Card Test Cases'!$B$4:$B$1000=$A24)*('Card Test Cases'!$G$4:$G$1000&lt;&gt;""),""),_xlfn._xlws.FILTER('E2E core flow'!$U$15:$U$1000,('E2E core flow'!$A$15:$A$1000&lt;&gt;"")*ISNUMBER(SEARCH('E2E core flow'!$A$15:$A$1000,$E24))*('E2E core flow'!$U$15:$U$1000&lt;&gt;""),"")))),"-"))</f>
        <v/>
      </c>
    </row>
    <row r="25" spans="1:19" x14ac:dyDescent="0.3">
      <c r="A25" s="13" t="s">
        <v>877</v>
      </c>
      <c r="B25" s="13" t="s">
        <v>878</v>
      </c>
      <c r="C25" s="13" t="s">
        <v>842</v>
      </c>
      <c r="E25" s="13" t="s">
        <v>914</v>
      </c>
      <c r="F25" s="1" t="s">
        <v>450</v>
      </c>
      <c r="G25" s="68" t="str" cm="1">
        <f t="array" ref="G25">_xlfn.LET(_xlpm.ids,'E2E core flow'!$A$15:$A$1000,_xlpm.v,'E2E core flow'!$W$15:$W$1000,_xlpm.m,(_xlpm.ids&lt;&gt;"")*ISNUMBER(SEARCH(_xlpm.ids,$E25)),_xlpm.f,SUM(_xlpm.m*(_xlpm.v="Failed")),_xlpm.b,SUM(_xlpm.m*(_xlpm.v="Blocked")),_xlpm.nr,SUM(_xlpm.m*(_xlpm.v="Not Run")),_xlpm.cp,SUM(_xlpm.m*(_xlpm.v="Conditionally Passed")),_xlpm.p,SUM(_xlpm.m*(_xlpm.v="Passed")),IF(TRIM($A25)="","",IF(TRIM($E25)="","Pending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25" s="68" t="str">
        <f>IF(TRIM($A25)="","",IF($J25="Passed","",IF($J25="Passed with Known Issue","Known Issue",IF($J25="",IF(OR($H25&lt;&gt;"No",AND($F25&lt;&gt;"Medium",$F25&lt;&gt;"Low")),"Pending Result",""),IF(OR($H25&lt;&gt;"No",AND($F25&lt;&gt;"Medium",$F25&lt;&gt;"Low")),IF(COUNTIFS(Dashboard!$B$105:$B$124,$A25,Dashboard!$I$105:$I$124,"CAB")&gt;0,"Accepted (CF)","Blocking"),IF($J25="Failed","Deferrable","Carry Over"))))))</f>
        <v>Pending Result</v>
      </c>
      <c r="M25" s="68" t="str">
        <f>IF(OR(TRIM($A25)="",TRIM($E25)=""),"",IFERROR(INDEX('E2E core flow'!$B$15:$B$1000,MATCH(1,INDEX(('E2E core flow'!$A$15:$A$1000&lt;&gt;"")*ISNUMBER(SEARCH('E2E core flow'!$A$15:$A$1000,$E25)),0),0))&amp;"","-"))</f>
        <v>OPD</v>
      </c>
      <c r="N25" s="68" t="str">
        <f>IF(TRIM($A25)="","",IF($O25=0,IF(COUNTIFS('Card Test Cases'!$B$4:$B$1000,$A25,'Card Test Cases'!$A$4:$A$1000,"&lt;&gt;")&gt;0,"Out of Scope","No TC"),IF($Q25&gt;0,"Failed",IF(COUNTIFS('Card Test Cases'!$B$4:$B$1000,$A25,'Card Test Cases'!$A$4:$A$1000,"&lt;&gt;",'Card Test Cases'!$F$4:$F$1000,"Blocked")&gt;0,"Blocked",IF($R25&gt;0,"In Progress","Passed")))))</f>
        <v>No TC</v>
      </c>
      <c r="O25" s="68">
        <f>IF(TRIM($A25)="","",COUNTIFS('Card Test Cases'!$B$4:$B$1000,$A25,'Card Test Cases'!$A$4:$A$1000,"&lt;&gt;",'Card Test Cases'!$F$4:$F$1000,"&lt;&gt;Out of Scope"))</f>
        <v>0</v>
      </c>
      <c r="P25" s="68">
        <f>IF(TRIM($A25)="","",COUNTIFS('Card Test Cases'!$B$4:$B$1000,$A25,'Card Test Cases'!$A$4:$A$1000,"&lt;&gt;",'Card Test Cases'!$F$4:$F$1000,"Passed"))</f>
        <v>0</v>
      </c>
      <c r="Q25" s="68">
        <f>IF(TRIM($A25)="","",COUNTIFS('Card Test Cases'!$B$4:$B$1000,$A25,'Card Test Cases'!$A$4:$A$1000,"&lt;&gt;",'Card Test Cases'!$F$4:$F$1000,"Failed"))</f>
        <v>0</v>
      </c>
      <c r="R25" s="68">
        <f t="shared" si="0"/>
        <v>0</v>
      </c>
      <c r="S25" s="68" t="str" cm="1">
        <f t="array" ref="S25">IF(TRIM($A25)="","",IFERROR(_xlfn.TEXTJOIN(", ",TRUE,_xlfn.UNIQUE(_xlfn.VSTACK(_xlfn._xlws.FILTER('Card Test Cases'!$G$4:$G$1000,('Card Test Cases'!$B$4:$B$1000=$A25)*('Card Test Cases'!$G$4:$G$1000&lt;&gt;""),""),_xlfn._xlws.FILTER('E2E core flow'!$U$15:$U$1000,('E2E core flow'!$A$15:$A$1000&lt;&gt;"")*ISNUMBER(SEARCH('E2E core flow'!$A$15:$A$1000,$E25))*('E2E core flow'!$U$15:$U$1000&lt;&gt;""),"")))),"-"))</f>
        <v/>
      </c>
    </row>
    <row r="26" spans="1:19" x14ac:dyDescent="0.3">
      <c r="A26" s="13" t="s">
        <v>879</v>
      </c>
      <c r="B26" s="13" t="s">
        <v>880</v>
      </c>
      <c r="C26" s="13" t="s">
        <v>825</v>
      </c>
      <c r="E26" s="13" t="s">
        <v>769</v>
      </c>
      <c r="F26" s="1" t="s">
        <v>450</v>
      </c>
      <c r="G26" s="68" t="str" cm="1">
        <f t="array" ref="G26">_xlfn.LET(_xlpm.ids,'E2E core flow'!$A$15:$A$1000,_xlpm.v,'E2E core flow'!$W$15:$W$1000,_xlpm.m,(_xlpm.ids&lt;&gt;"")*ISNUMBER(SEARCH(_xlpm.ids,$E26)),_xlpm.f,SUM(_xlpm.m*(_xlpm.v="Failed")),_xlpm.b,SUM(_xlpm.m*(_xlpm.v="Blocked")),_xlpm.nr,SUM(_xlpm.m*(_xlpm.v="Not Run")),_xlpm.cp,SUM(_xlpm.m*(_xlpm.v="Conditionally Passed")),_xlpm.p,SUM(_xlpm.m*(_xlpm.v="Passed")),IF(TRIM($A26)="","",IF(TRIM($E26)="","Pending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26" s="68" t="str">
        <f>IF(TRIM($A26)="","",IF($J26="Passed","",IF($J26="Passed with Known Issue","Known Issue",IF($J26="",IF(OR($H26&lt;&gt;"No",AND($F26&lt;&gt;"Medium",$F26&lt;&gt;"Low")),"Pending Result",""),IF(OR($H26&lt;&gt;"No",AND($F26&lt;&gt;"Medium",$F26&lt;&gt;"Low")),IF(COUNTIFS(Dashboard!$B$105:$B$124,$A26,Dashboard!$I$105:$I$124,"CAB")&gt;0,"Accepted (CF)","Blocking"),IF($J26="Failed","Deferrable","Carry Over"))))))</f>
        <v>Pending Result</v>
      </c>
      <c r="M26" s="68" t="str">
        <f>IF(OR(TRIM($A26)="",TRIM($E26)=""),"",IFERROR(INDEX('E2E core flow'!$B$15:$B$1000,MATCH(1,INDEX(('E2E core flow'!$A$15:$A$1000&lt;&gt;"")*ISNUMBER(SEARCH('E2E core flow'!$A$15:$A$1000,$E26)),0),0))&amp;"","-"))</f>
        <v>ER</v>
      </c>
      <c r="N26" s="68" t="str">
        <f>IF(TRIM($A26)="","",IF($O26=0,IF(COUNTIFS('Card Test Cases'!$B$4:$B$1000,$A26,'Card Test Cases'!$A$4:$A$1000,"&lt;&gt;")&gt;0,"Out of Scope","No TC"),IF($Q26&gt;0,"Failed",IF(COUNTIFS('Card Test Cases'!$B$4:$B$1000,$A26,'Card Test Cases'!$A$4:$A$1000,"&lt;&gt;",'Card Test Cases'!$F$4:$F$1000,"Blocked")&gt;0,"Blocked",IF($R26&gt;0,"In Progress","Passed")))))</f>
        <v>No TC</v>
      </c>
      <c r="O26" s="68">
        <f>IF(TRIM($A26)="","",COUNTIFS('Card Test Cases'!$B$4:$B$1000,$A26,'Card Test Cases'!$A$4:$A$1000,"&lt;&gt;",'Card Test Cases'!$F$4:$F$1000,"&lt;&gt;Out of Scope"))</f>
        <v>0</v>
      </c>
      <c r="P26" s="68">
        <f>IF(TRIM($A26)="","",COUNTIFS('Card Test Cases'!$B$4:$B$1000,$A26,'Card Test Cases'!$A$4:$A$1000,"&lt;&gt;",'Card Test Cases'!$F$4:$F$1000,"Passed"))</f>
        <v>0</v>
      </c>
      <c r="Q26" s="68">
        <f>IF(TRIM($A26)="","",COUNTIFS('Card Test Cases'!$B$4:$B$1000,$A26,'Card Test Cases'!$A$4:$A$1000,"&lt;&gt;",'Card Test Cases'!$F$4:$F$1000,"Failed"))</f>
        <v>0</v>
      </c>
      <c r="R26" s="68">
        <f t="shared" si="0"/>
        <v>0</v>
      </c>
      <c r="S26" s="68" t="str" cm="1">
        <f t="array" ref="S26">IF(TRIM($A26)="","",IFERROR(_xlfn.TEXTJOIN(", ",TRUE,_xlfn.UNIQUE(_xlfn.VSTACK(_xlfn._xlws.FILTER('Card Test Cases'!$G$4:$G$1000,('Card Test Cases'!$B$4:$B$1000=$A26)*('Card Test Cases'!$G$4:$G$1000&lt;&gt;""),""),_xlfn._xlws.FILTER('E2E core flow'!$U$15:$U$1000,('E2E core flow'!$A$15:$A$1000&lt;&gt;"")*ISNUMBER(SEARCH('E2E core flow'!$A$15:$A$1000,$E26))*('E2E core flow'!$U$15:$U$1000&lt;&gt;""),"")))),"-"))</f>
        <v/>
      </c>
    </row>
    <row r="27" spans="1:19" x14ac:dyDescent="0.3">
      <c r="A27" s="13" t="s">
        <v>881</v>
      </c>
      <c r="B27" s="13" t="s">
        <v>882</v>
      </c>
      <c r="C27" s="13" t="s">
        <v>875</v>
      </c>
      <c r="E27" s="13" t="s">
        <v>758</v>
      </c>
      <c r="F27" s="1" t="s">
        <v>291</v>
      </c>
      <c r="G27" s="68" t="str" cm="1">
        <f t="array" ref="G27">_xlfn.LET(_xlpm.ids,'E2E core flow'!$A$15:$A$1000,_xlpm.v,'E2E core flow'!$W$15:$W$1000,_xlpm.m,(_xlpm.ids&lt;&gt;"")*ISNUMBER(SEARCH(_xlpm.ids,$E27)),_xlpm.f,SUM(_xlpm.m*(_xlpm.v="Failed")),_xlpm.b,SUM(_xlpm.m*(_xlpm.v="Blocked")),_xlpm.nr,SUM(_xlpm.m*(_xlpm.v="Not Run")),_xlpm.cp,SUM(_xlpm.m*(_xlpm.v="Conditionally Passed")),_xlpm.p,SUM(_xlpm.m*(_xlpm.v="Passed")),IF(TRIM($A27)="","",IF(TRIM($E27)="","Pending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27" s="68" t="str">
        <f>IF(TRIM($A27)="","",IF($J27="Passed","",IF($J27="Passed with Known Issue","Known Issue",IF($J27="",IF(OR($H27&lt;&gt;"No",AND($F27&lt;&gt;"Medium",$F27&lt;&gt;"Low")),"Pending Result",""),IF(OR($H27&lt;&gt;"No",AND($F27&lt;&gt;"Medium",$F27&lt;&gt;"Low")),IF(COUNTIFS(Dashboard!$B$105:$B$124,$A27,Dashboard!$I$105:$I$124,"CAB")&gt;0,"Accepted (CF)","Blocking"),IF($J27="Failed","Deferrable","Carry Over"))))))</f>
        <v>Pending Result</v>
      </c>
      <c r="M27" s="68" t="str">
        <f>IF(OR(TRIM($A27)="",TRIM($E27)=""),"",IFERROR(INDEX('E2E core flow'!$B$15:$B$1000,MATCH(1,INDEX(('E2E core flow'!$A$15:$A$1000&lt;&gt;"")*ISNUMBER(SEARCH('E2E core flow'!$A$15:$A$1000,$E27)),0),0))&amp;"","-"))</f>
        <v>OPD</v>
      </c>
      <c r="N27" s="68" t="str">
        <f>IF(TRIM($A27)="","",IF($O27=0,IF(COUNTIFS('Card Test Cases'!$B$4:$B$1000,$A27,'Card Test Cases'!$A$4:$A$1000,"&lt;&gt;")&gt;0,"Out of Scope","No TC"),IF($Q27&gt;0,"Failed",IF(COUNTIFS('Card Test Cases'!$B$4:$B$1000,$A27,'Card Test Cases'!$A$4:$A$1000,"&lt;&gt;",'Card Test Cases'!$F$4:$F$1000,"Blocked")&gt;0,"Blocked",IF($R27&gt;0,"In Progress","Passed")))))</f>
        <v>No TC</v>
      </c>
      <c r="O27" s="68">
        <f>IF(TRIM($A27)="","",COUNTIFS('Card Test Cases'!$B$4:$B$1000,$A27,'Card Test Cases'!$A$4:$A$1000,"&lt;&gt;",'Card Test Cases'!$F$4:$F$1000,"&lt;&gt;Out of Scope"))</f>
        <v>0</v>
      </c>
      <c r="P27" s="68">
        <f>IF(TRIM($A27)="","",COUNTIFS('Card Test Cases'!$B$4:$B$1000,$A27,'Card Test Cases'!$A$4:$A$1000,"&lt;&gt;",'Card Test Cases'!$F$4:$F$1000,"Passed"))</f>
        <v>0</v>
      </c>
      <c r="Q27" s="68">
        <f>IF(TRIM($A27)="","",COUNTIFS('Card Test Cases'!$B$4:$B$1000,$A27,'Card Test Cases'!$A$4:$A$1000,"&lt;&gt;",'Card Test Cases'!$F$4:$F$1000,"Failed"))</f>
        <v>0</v>
      </c>
      <c r="R27" s="68">
        <f t="shared" si="0"/>
        <v>0</v>
      </c>
      <c r="S27" s="68" t="str" cm="1">
        <f t="array" ref="S27">IF(TRIM($A27)="","",IFERROR(_xlfn.TEXTJOIN(", ",TRUE,_xlfn.UNIQUE(_xlfn.VSTACK(_xlfn._xlws.FILTER('Card Test Cases'!$G$4:$G$1000,('Card Test Cases'!$B$4:$B$1000=$A27)*('Card Test Cases'!$G$4:$G$1000&lt;&gt;""),""),_xlfn._xlws.FILTER('E2E core flow'!$U$15:$U$1000,('E2E core flow'!$A$15:$A$1000&lt;&gt;"")*ISNUMBER(SEARCH('E2E core flow'!$A$15:$A$1000,$E27))*('E2E core flow'!$U$15:$U$1000&lt;&gt;""),"")))),"-"))</f>
        <v/>
      </c>
    </row>
    <row r="28" spans="1:19" x14ac:dyDescent="0.3">
      <c r="A28" s="13" t="s">
        <v>883</v>
      </c>
      <c r="B28" s="13" t="s">
        <v>884</v>
      </c>
      <c r="C28" s="13" t="s">
        <v>852</v>
      </c>
      <c r="E28" s="13" t="s">
        <v>758</v>
      </c>
      <c r="F28" s="1" t="s">
        <v>450</v>
      </c>
      <c r="G28" s="68" t="str" cm="1">
        <f t="array" ref="G28">_xlfn.LET(_xlpm.ids,'E2E core flow'!$A$15:$A$1000,_xlpm.v,'E2E core flow'!$W$15:$W$1000,_xlpm.m,(_xlpm.ids&lt;&gt;"")*ISNUMBER(SEARCH(_xlpm.ids,$E28)),_xlpm.f,SUM(_xlpm.m*(_xlpm.v="Failed")),_xlpm.b,SUM(_xlpm.m*(_xlpm.v="Blocked")),_xlpm.nr,SUM(_xlpm.m*(_xlpm.v="Not Run")),_xlpm.cp,SUM(_xlpm.m*(_xlpm.v="Conditionally Passed")),_xlpm.p,SUM(_xlpm.m*(_xlpm.v="Passed")),IF(TRIM($A28)="","",IF(TRIM($E28)="","Pending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28" s="68" t="str">
        <f>IF(TRIM($A28)="","",IF($J28="Passed","",IF($J28="Passed with Known Issue","Known Issue",IF($J28="",IF(OR($H28&lt;&gt;"No",AND($F28&lt;&gt;"Medium",$F28&lt;&gt;"Low")),"Pending Result",""),IF(OR($H28&lt;&gt;"No",AND($F28&lt;&gt;"Medium",$F28&lt;&gt;"Low")),IF(COUNTIFS(Dashboard!$B$105:$B$124,$A28,Dashboard!$I$105:$I$124,"CAB")&gt;0,"Accepted (CF)","Blocking"),IF($J28="Failed","Deferrable","Carry Over"))))))</f>
        <v>Pending Result</v>
      </c>
      <c r="M28" s="68" t="str">
        <f>IF(OR(TRIM($A28)="",TRIM($E28)=""),"",IFERROR(INDEX('E2E core flow'!$B$15:$B$1000,MATCH(1,INDEX(('E2E core flow'!$A$15:$A$1000&lt;&gt;"")*ISNUMBER(SEARCH('E2E core flow'!$A$15:$A$1000,$E28)),0),0))&amp;"","-"))</f>
        <v>OPD</v>
      </c>
      <c r="N28" s="68" t="str">
        <f>IF(TRIM($A28)="","",IF($O28=0,IF(COUNTIFS('Card Test Cases'!$B$4:$B$1000,$A28,'Card Test Cases'!$A$4:$A$1000,"&lt;&gt;")&gt;0,"Out of Scope","No TC"),IF($Q28&gt;0,"Failed",IF(COUNTIFS('Card Test Cases'!$B$4:$B$1000,$A28,'Card Test Cases'!$A$4:$A$1000,"&lt;&gt;",'Card Test Cases'!$F$4:$F$1000,"Blocked")&gt;0,"Blocked",IF($R28&gt;0,"In Progress","Passed")))))</f>
        <v>No TC</v>
      </c>
      <c r="O28" s="68">
        <f>IF(TRIM($A28)="","",COUNTIFS('Card Test Cases'!$B$4:$B$1000,$A28,'Card Test Cases'!$A$4:$A$1000,"&lt;&gt;",'Card Test Cases'!$F$4:$F$1000,"&lt;&gt;Out of Scope"))</f>
        <v>0</v>
      </c>
      <c r="P28" s="68">
        <f>IF(TRIM($A28)="","",COUNTIFS('Card Test Cases'!$B$4:$B$1000,$A28,'Card Test Cases'!$A$4:$A$1000,"&lt;&gt;",'Card Test Cases'!$F$4:$F$1000,"Passed"))</f>
        <v>0</v>
      </c>
      <c r="Q28" s="68">
        <f>IF(TRIM($A28)="","",COUNTIFS('Card Test Cases'!$B$4:$B$1000,$A28,'Card Test Cases'!$A$4:$A$1000,"&lt;&gt;",'Card Test Cases'!$F$4:$F$1000,"Failed"))</f>
        <v>0</v>
      </c>
      <c r="R28" s="68">
        <f t="shared" si="0"/>
        <v>0</v>
      </c>
      <c r="S28" s="68" t="str" cm="1">
        <f t="array" ref="S28">IF(TRIM($A28)="","",IFERROR(_xlfn.TEXTJOIN(", ",TRUE,_xlfn.UNIQUE(_xlfn.VSTACK(_xlfn._xlws.FILTER('Card Test Cases'!$G$4:$G$1000,('Card Test Cases'!$B$4:$B$1000=$A28)*('Card Test Cases'!$G$4:$G$1000&lt;&gt;""),""),_xlfn._xlws.FILTER('E2E core flow'!$U$15:$U$1000,('E2E core flow'!$A$15:$A$1000&lt;&gt;"")*ISNUMBER(SEARCH('E2E core flow'!$A$15:$A$1000,$E28))*('E2E core flow'!$U$15:$U$1000&lt;&gt;""),"")))),"-"))</f>
        <v/>
      </c>
    </row>
    <row r="29" spans="1:19" x14ac:dyDescent="0.3">
      <c r="A29" s="13" t="s">
        <v>885</v>
      </c>
      <c r="B29" s="13" t="s">
        <v>886</v>
      </c>
      <c r="C29" s="13" t="s">
        <v>852</v>
      </c>
      <c r="E29" s="13" t="s">
        <v>915</v>
      </c>
      <c r="F29" s="1" t="s">
        <v>450</v>
      </c>
      <c r="G29" s="68" t="str" cm="1">
        <f t="array" ref="G29">_xlfn.LET(_xlpm.ids,'E2E core flow'!$A$15:$A$1000,_xlpm.v,'E2E core flow'!$W$15:$W$1000,_xlpm.m,(_xlpm.ids&lt;&gt;"")*ISNUMBER(SEARCH(_xlpm.ids,$E29)),_xlpm.f,SUM(_xlpm.m*(_xlpm.v="Failed")),_xlpm.b,SUM(_xlpm.m*(_xlpm.v="Blocked")),_xlpm.nr,SUM(_xlpm.m*(_xlpm.v="Not Run")),_xlpm.cp,SUM(_xlpm.m*(_xlpm.v="Conditionally Passed")),_xlpm.p,SUM(_xlpm.m*(_xlpm.v="Passed")),IF(TRIM($A29)="","",IF(TRIM($E29)="","Pending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29" s="68" t="str">
        <f>IF(TRIM($A29)="","",IF($J29="Passed","",IF($J29="Passed with Known Issue","Known Issue",IF($J29="",IF(OR($H29&lt;&gt;"No",AND($F29&lt;&gt;"Medium",$F29&lt;&gt;"Low")),"Pending Result",""),IF(OR($H29&lt;&gt;"No",AND($F29&lt;&gt;"Medium",$F29&lt;&gt;"Low")),IF(COUNTIFS(Dashboard!$B$105:$B$124,$A29,Dashboard!$I$105:$I$124,"CAB")&gt;0,"Accepted (CF)","Blocking"),IF($J29="Failed","Deferrable","Carry Over"))))))</f>
        <v>Pending Result</v>
      </c>
      <c r="M29" s="68" t="str">
        <f>IF(OR(TRIM($A29)="",TRIM($E29)=""),"",IFERROR(INDEX('E2E core flow'!$B$15:$B$1000,MATCH(1,INDEX(('E2E core flow'!$A$15:$A$1000&lt;&gt;"")*ISNUMBER(SEARCH('E2E core flow'!$A$15:$A$1000,$E29)),0),0))&amp;"","-"))</f>
        <v>OPD</v>
      </c>
      <c r="N29" s="68" t="str">
        <f>IF(TRIM($A29)="","",IF($O29=0,IF(COUNTIFS('Card Test Cases'!$B$4:$B$1000,$A29,'Card Test Cases'!$A$4:$A$1000,"&lt;&gt;")&gt;0,"Out of Scope","No TC"),IF($Q29&gt;0,"Failed",IF(COUNTIFS('Card Test Cases'!$B$4:$B$1000,$A29,'Card Test Cases'!$A$4:$A$1000,"&lt;&gt;",'Card Test Cases'!$F$4:$F$1000,"Blocked")&gt;0,"Blocked",IF($R29&gt;0,"In Progress","Passed")))))</f>
        <v>No TC</v>
      </c>
      <c r="O29" s="68">
        <f>IF(TRIM($A29)="","",COUNTIFS('Card Test Cases'!$B$4:$B$1000,$A29,'Card Test Cases'!$A$4:$A$1000,"&lt;&gt;",'Card Test Cases'!$F$4:$F$1000,"&lt;&gt;Out of Scope"))</f>
        <v>0</v>
      </c>
      <c r="P29" s="68">
        <f>IF(TRIM($A29)="","",COUNTIFS('Card Test Cases'!$B$4:$B$1000,$A29,'Card Test Cases'!$A$4:$A$1000,"&lt;&gt;",'Card Test Cases'!$F$4:$F$1000,"Passed"))</f>
        <v>0</v>
      </c>
      <c r="Q29" s="68">
        <f>IF(TRIM($A29)="","",COUNTIFS('Card Test Cases'!$B$4:$B$1000,$A29,'Card Test Cases'!$A$4:$A$1000,"&lt;&gt;",'Card Test Cases'!$F$4:$F$1000,"Failed"))</f>
        <v>0</v>
      </c>
      <c r="R29" s="68">
        <f t="shared" si="0"/>
        <v>0</v>
      </c>
      <c r="S29" s="68" t="str" cm="1">
        <f t="array" ref="S29">IF(TRIM($A29)="","",IFERROR(_xlfn.TEXTJOIN(", ",TRUE,_xlfn.UNIQUE(_xlfn.VSTACK(_xlfn._xlws.FILTER('Card Test Cases'!$G$4:$G$1000,('Card Test Cases'!$B$4:$B$1000=$A29)*('Card Test Cases'!$G$4:$G$1000&lt;&gt;""),""),_xlfn._xlws.FILTER('E2E core flow'!$U$15:$U$1000,('E2E core flow'!$A$15:$A$1000&lt;&gt;"")*ISNUMBER(SEARCH('E2E core flow'!$A$15:$A$1000,$E29))*('E2E core flow'!$U$15:$U$1000&lt;&gt;""),"")))),"-"))</f>
        <v/>
      </c>
    </row>
    <row r="30" spans="1:19" x14ac:dyDescent="0.3">
      <c r="A30" s="13" t="s">
        <v>887</v>
      </c>
      <c r="B30" s="13" t="s">
        <v>888</v>
      </c>
      <c r="C30" s="13" t="s">
        <v>842</v>
      </c>
      <c r="E30" s="13" t="s">
        <v>758</v>
      </c>
      <c r="F30" s="1" t="s">
        <v>291</v>
      </c>
      <c r="G30" s="68" t="str" cm="1">
        <f t="array" ref="G30">_xlfn.LET(_xlpm.ids,'E2E core flow'!$A$15:$A$1000,_xlpm.v,'E2E core flow'!$W$15:$W$1000,_xlpm.m,(_xlpm.ids&lt;&gt;"")*ISNUMBER(SEARCH(_xlpm.ids,$E30)),_xlpm.f,SUM(_xlpm.m*(_xlpm.v="Failed")),_xlpm.b,SUM(_xlpm.m*(_xlpm.v="Blocked")),_xlpm.nr,SUM(_xlpm.m*(_xlpm.v="Not Run")),_xlpm.cp,SUM(_xlpm.m*(_xlpm.v="Conditionally Passed")),_xlpm.p,SUM(_xlpm.m*(_xlpm.v="Passed")),IF(TRIM($A30)="","",IF(TRIM($E30)="","Pending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30" s="68" t="str">
        <f>IF(TRIM($A30)="","",IF($J30="Passed","",IF($J30="Passed with Known Issue","Known Issue",IF($J30="",IF(OR($H30&lt;&gt;"No",AND($F30&lt;&gt;"Medium",$F30&lt;&gt;"Low")),"Pending Result",""),IF(OR($H30&lt;&gt;"No",AND($F30&lt;&gt;"Medium",$F30&lt;&gt;"Low")),IF(COUNTIFS(Dashboard!$B$105:$B$124,$A30,Dashboard!$I$105:$I$124,"CAB")&gt;0,"Accepted (CF)","Blocking"),IF($J30="Failed","Deferrable","Carry Over"))))))</f>
        <v>Pending Result</v>
      </c>
      <c r="M30" s="68" t="str">
        <f>IF(OR(TRIM($A30)="",TRIM($E30)=""),"",IFERROR(INDEX('E2E core flow'!$B$15:$B$1000,MATCH(1,INDEX(('E2E core flow'!$A$15:$A$1000&lt;&gt;"")*ISNUMBER(SEARCH('E2E core flow'!$A$15:$A$1000,$E30)),0),0))&amp;"","-"))</f>
        <v>OPD</v>
      </c>
      <c r="N30" s="68" t="str">
        <f>IF(TRIM($A30)="","",IF($O30=0,IF(COUNTIFS('Card Test Cases'!$B$4:$B$1000,$A30,'Card Test Cases'!$A$4:$A$1000,"&lt;&gt;")&gt;0,"Out of Scope","No TC"),IF($Q30&gt;0,"Failed",IF(COUNTIFS('Card Test Cases'!$B$4:$B$1000,$A30,'Card Test Cases'!$A$4:$A$1000,"&lt;&gt;",'Card Test Cases'!$F$4:$F$1000,"Blocked")&gt;0,"Blocked",IF($R30&gt;0,"In Progress","Passed")))))</f>
        <v>No TC</v>
      </c>
      <c r="O30" s="68">
        <f>IF(TRIM($A30)="","",COUNTIFS('Card Test Cases'!$B$4:$B$1000,$A30,'Card Test Cases'!$A$4:$A$1000,"&lt;&gt;",'Card Test Cases'!$F$4:$F$1000,"&lt;&gt;Out of Scope"))</f>
        <v>0</v>
      </c>
      <c r="P30" s="68">
        <f>IF(TRIM($A30)="","",COUNTIFS('Card Test Cases'!$B$4:$B$1000,$A30,'Card Test Cases'!$A$4:$A$1000,"&lt;&gt;",'Card Test Cases'!$F$4:$F$1000,"Passed"))</f>
        <v>0</v>
      </c>
      <c r="Q30" s="68">
        <f>IF(TRIM($A30)="","",COUNTIFS('Card Test Cases'!$B$4:$B$1000,$A30,'Card Test Cases'!$A$4:$A$1000,"&lt;&gt;",'Card Test Cases'!$F$4:$F$1000,"Failed"))</f>
        <v>0</v>
      </c>
      <c r="R30" s="68">
        <f t="shared" si="0"/>
        <v>0</v>
      </c>
      <c r="S30" s="68" t="str" cm="1">
        <f t="array" ref="S30">IF(TRIM($A30)="","",IFERROR(_xlfn.TEXTJOIN(", ",TRUE,_xlfn.UNIQUE(_xlfn.VSTACK(_xlfn._xlws.FILTER('Card Test Cases'!$G$4:$G$1000,('Card Test Cases'!$B$4:$B$1000=$A30)*('Card Test Cases'!$G$4:$G$1000&lt;&gt;""),""),_xlfn._xlws.FILTER('E2E core flow'!$U$15:$U$1000,('E2E core flow'!$A$15:$A$1000&lt;&gt;"")*ISNUMBER(SEARCH('E2E core flow'!$A$15:$A$1000,$E30))*('E2E core flow'!$U$15:$U$1000&lt;&gt;""),"")))),"-"))</f>
        <v/>
      </c>
    </row>
    <row r="31" spans="1:19" x14ac:dyDescent="0.3">
      <c r="A31" s="13" t="s">
        <v>889</v>
      </c>
      <c r="B31" s="13" t="s">
        <v>890</v>
      </c>
      <c r="C31" s="13" t="s">
        <v>842</v>
      </c>
      <c r="E31" s="13" t="s">
        <v>552</v>
      </c>
      <c r="F31" s="1" t="s">
        <v>291</v>
      </c>
      <c r="G31" s="68" t="str" cm="1">
        <f t="array" ref="G31">_xlfn.LET(_xlpm.ids,'E2E core flow'!$A$15:$A$1000,_xlpm.v,'E2E core flow'!$W$15:$W$1000,_xlpm.m,(_xlpm.ids&lt;&gt;"")*ISNUMBER(SEARCH(_xlpm.ids,$E31)),_xlpm.f,SUM(_xlpm.m*(_xlpm.v="Failed")),_xlpm.b,SUM(_xlpm.m*(_xlpm.v="Blocked")),_xlpm.nr,SUM(_xlpm.m*(_xlpm.v="Not Run")),_xlpm.cp,SUM(_xlpm.m*(_xlpm.v="Conditionally Passed")),_xlpm.p,SUM(_xlpm.m*(_xlpm.v="Passed")),IF(TRIM($A31)="","",IF(TRIM($E31)="","Pending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31" s="68" t="str">
        <f>IF(TRIM($A31)="","",IF($J31="Passed","",IF($J31="Passed with Known Issue","Known Issue",IF($J31="",IF(OR($H31&lt;&gt;"No",AND($F31&lt;&gt;"Medium",$F31&lt;&gt;"Low")),"Pending Result",""),IF(OR($H31&lt;&gt;"No",AND($F31&lt;&gt;"Medium",$F31&lt;&gt;"Low")),IF(COUNTIFS(Dashboard!$B$105:$B$124,$A31,Dashboard!$I$105:$I$124,"CAB")&gt;0,"Accepted (CF)","Blocking"),IF($J31="Failed","Deferrable","Carry Over"))))))</f>
        <v>Pending Result</v>
      </c>
      <c r="M31" s="68" t="str">
        <f>IF(OR(TRIM($A31)="",TRIM($E31)=""),"",IFERROR(INDEX('E2E core flow'!$B$15:$B$1000,MATCH(1,INDEX(('E2E core flow'!$A$15:$A$1000&lt;&gt;"")*ISNUMBER(SEARCH('E2E core flow'!$A$15:$A$1000,$E31)),0),0))&amp;"","-"))</f>
        <v>OPD</v>
      </c>
      <c r="N31" s="68" t="str">
        <f>IF(TRIM($A31)="","",IF($O31=0,IF(COUNTIFS('Card Test Cases'!$B$4:$B$1000,$A31,'Card Test Cases'!$A$4:$A$1000,"&lt;&gt;")&gt;0,"Out of Scope","No TC"),IF($Q31&gt;0,"Failed",IF(COUNTIFS('Card Test Cases'!$B$4:$B$1000,$A31,'Card Test Cases'!$A$4:$A$1000,"&lt;&gt;",'Card Test Cases'!$F$4:$F$1000,"Blocked")&gt;0,"Blocked",IF($R31&gt;0,"In Progress","Passed")))))</f>
        <v>No TC</v>
      </c>
      <c r="O31" s="68">
        <f>IF(TRIM($A31)="","",COUNTIFS('Card Test Cases'!$B$4:$B$1000,$A31,'Card Test Cases'!$A$4:$A$1000,"&lt;&gt;",'Card Test Cases'!$F$4:$F$1000,"&lt;&gt;Out of Scope"))</f>
        <v>0</v>
      </c>
      <c r="P31" s="68">
        <f>IF(TRIM($A31)="","",COUNTIFS('Card Test Cases'!$B$4:$B$1000,$A31,'Card Test Cases'!$A$4:$A$1000,"&lt;&gt;",'Card Test Cases'!$F$4:$F$1000,"Passed"))</f>
        <v>0</v>
      </c>
      <c r="Q31" s="68">
        <f>IF(TRIM($A31)="","",COUNTIFS('Card Test Cases'!$B$4:$B$1000,$A31,'Card Test Cases'!$A$4:$A$1000,"&lt;&gt;",'Card Test Cases'!$F$4:$F$1000,"Failed"))</f>
        <v>0</v>
      </c>
      <c r="R31" s="68">
        <f t="shared" si="0"/>
        <v>0</v>
      </c>
      <c r="S31" s="68" t="str" cm="1">
        <f t="array" ref="S31">IF(TRIM($A31)="","",IFERROR(_xlfn.TEXTJOIN(", ",TRUE,_xlfn.UNIQUE(_xlfn.VSTACK(_xlfn._xlws.FILTER('Card Test Cases'!$G$4:$G$1000,('Card Test Cases'!$B$4:$B$1000=$A31)*('Card Test Cases'!$G$4:$G$1000&lt;&gt;""),""),_xlfn._xlws.FILTER('E2E core flow'!$U$15:$U$1000,('E2E core flow'!$A$15:$A$1000&lt;&gt;"")*ISNUMBER(SEARCH('E2E core flow'!$A$15:$A$1000,$E31))*('E2E core flow'!$U$15:$U$1000&lt;&gt;""),"")))),"-"))</f>
        <v/>
      </c>
    </row>
    <row r="32" spans="1:19" x14ac:dyDescent="0.3">
      <c r="A32" s="13" t="s">
        <v>891</v>
      </c>
      <c r="B32" s="13" t="s">
        <v>892</v>
      </c>
      <c r="C32" s="13" t="s">
        <v>842</v>
      </c>
      <c r="E32" s="13" t="s">
        <v>915</v>
      </c>
      <c r="F32" s="1" t="s">
        <v>450</v>
      </c>
      <c r="G32" s="68" t="str" cm="1">
        <f t="array" ref="G32">_xlfn.LET(_xlpm.ids,'E2E core flow'!$A$15:$A$1000,_xlpm.v,'E2E core flow'!$W$15:$W$1000,_xlpm.m,(_xlpm.ids&lt;&gt;"")*ISNUMBER(SEARCH(_xlpm.ids,$E32)),_xlpm.f,SUM(_xlpm.m*(_xlpm.v="Failed")),_xlpm.b,SUM(_xlpm.m*(_xlpm.v="Blocked")),_xlpm.nr,SUM(_xlpm.m*(_xlpm.v="Not Run")),_xlpm.cp,SUM(_xlpm.m*(_xlpm.v="Conditionally Passed")),_xlpm.p,SUM(_xlpm.m*(_xlpm.v="Passed")),IF(TRIM($A32)="","",IF(TRIM($E32)="","Pending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32" s="68" t="str">
        <f>IF(TRIM($A32)="","",IF($J32="Passed","",IF($J32="Passed with Known Issue","Known Issue",IF($J32="",IF(OR($H32&lt;&gt;"No",AND($F32&lt;&gt;"Medium",$F32&lt;&gt;"Low")),"Pending Result",""),IF(OR($H32&lt;&gt;"No",AND($F32&lt;&gt;"Medium",$F32&lt;&gt;"Low")),IF(COUNTIFS(Dashboard!$B$105:$B$124,$A32,Dashboard!$I$105:$I$124,"CAB")&gt;0,"Accepted (CF)","Blocking"),IF($J32="Failed","Deferrable","Carry Over"))))))</f>
        <v>Pending Result</v>
      </c>
      <c r="M32" s="68" t="str">
        <f>IF(OR(TRIM($A32)="",TRIM($E32)=""),"",IFERROR(INDEX('E2E core flow'!$B$15:$B$1000,MATCH(1,INDEX(('E2E core flow'!$A$15:$A$1000&lt;&gt;"")*ISNUMBER(SEARCH('E2E core flow'!$A$15:$A$1000,$E32)),0),0))&amp;"","-"))</f>
        <v>OPD</v>
      </c>
      <c r="N32" s="68" t="str">
        <f>IF(TRIM($A32)="","",IF($O32=0,IF(COUNTIFS('Card Test Cases'!$B$4:$B$1000,$A32,'Card Test Cases'!$A$4:$A$1000,"&lt;&gt;")&gt;0,"Out of Scope","No TC"),IF($Q32&gt;0,"Failed",IF(COUNTIFS('Card Test Cases'!$B$4:$B$1000,$A32,'Card Test Cases'!$A$4:$A$1000,"&lt;&gt;",'Card Test Cases'!$F$4:$F$1000,"Blocked")&gt;0,"Blocked",IF($R32&gt;0,"In Progress","Passed")))))</f>
        <v>No TC</v>
      </c>
      <c r="O32" s="68">
        <f>IF(TRIM($A32)="","",COUNTIFS('Card Test Cases'!$B$4:$B$1000,$A32,'Card Test Cases'!$A$4:$A$1000,"&lt;&gt;",'Card Test Cases'!$F$4:$F$1000,"&lt;&gt;Out of Scope"))</f>
        <v>0</v>
      </c>
      <c r="P32" s="68">
        <f>IF(TRIM($A32)="","",COUNTIFS('Card Test Cases'!$B$4:$B$1000,$A32,'Card Test Cases'!$A$4:$A$1000,"&lt;&gt;",'Card Test Cases'!$F$4:$F$1000,"Passed"))</f>
        <v>0</v>
      </c>
      <c r="Q32" s="68">
        <f>IF(TRIM($A32)="","",COUNTIFS('Card Test Cases'!$B$4:$B$1000,$A32,'Card Test Cases'!$A$4:$A$1000,"&lt;&gt;",'Card Test Cases'!$F$4:$F$1000,"Failed"))</f>
        <v>0</v>
      </c>
      <c r="R32" s="68">
        <f t="shared" si="0"/>
        <v>0</v>
      </c>
      <c r="S32" s="68" t="str" cm="1">
        <f t="array" ref="S32">IF(TRIM($A32)="","",IFERROR(_xlfn.TEXTJOIN(", ",TRUE,_xlfn.UNIQUE(_xlfn.VSTACK(_xlfn._xlws.FILTER('Card Test Cases'!$G$4:$G$1000,('Card Test Cases'!$B$4:$B$1000=$A32)*('Card Test Cases'!$G$4:$G$1000&lt;&gt;""),""),_xlfn._xlws.FILTER('E2E core flow'!$U$15:$U$1000,('E2E core flow'!$A$15:$A$1000&lt;&gt;"")*ISNUMBER(SEARCH('E2E core flow'!$A$15:$A$1000,$E32))*('E2E core flow'!$U$15:$U$1000&lt;&gt;""),"")))),"-"))</f>
        <v/>
      </c>
    </row>
    <row r="33" spans="1:19" x14ac:dyDescent="0.3">
      <c r="A33" s="13" t="s">
        <v>893</v>
      </c>
      <c r="B33" s="13" t="s">
        <v>894</v>
      </c>
      <c r="C33" s="13" t="s">
        <v>895</v>
      </c>
      <c r="E33" s="13" t="s">
        <v>775</v>
      </c>
      <c r="F33" s="1" t="s">
        <v>450</v>
      </c>
      <c r="G33" s="68" t="str" cm="1">
        <f t="array" ref="G33">_xlfn.LET(_xlpm.ids,'E2E core flow'!$A$15:$A$1000,_xlpm.v,'E2E core flow'!$W$15:$W$1000,_xlpm.m,(_xlpm.ids&lt;&gt;"")*ISNUMBER(SEARCH(_xlpm.ids,$E33)),_xlpm.f,SUM(_xlpm.m*(_xlpm.v="Failed")),_xlpm.b,SUM(_xlpm.m*(_xlpm.v="Blocked")),_xlpm.nr,SUM(_xlpm.m*(_xlpm.v="Not Run")),_xlpm.cp,SUM(_xlpm.m*(_xlpm.v="Conditionally Passed")),_xlpm.p,SUM(_xlpm.m*(_xlpm.v="Passed")),IF(TRIM($A33)="","",IF(TRIM($E33)="","Pending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33" s="68" t="str">
        <f>IF(TRIM($A33)="","",IF($J33="Passed","",IF($J33="Passed with Known Issue","Known Issue",IF($J33="",IF(OR($H33&lt;&gt;"No",AND($F33&lt;&gt;"Medium",$F33&lt;&gt;"Low")),"Pending Result",""),IF(OR($H33&lt;&gt;"No",AND($F33&lt;&gt;"Medium",$F33&lt;&gt;"Low")),IF(COUNTIFS(Dashboard!$B$105:$B$124,$A33,Dashboard!$I$105:$I$124,"CAB")&gt;0,"Accepted (CF)","Blocking"),IF($J33="Failed","Deferrable","Carry Over"))))))</f>
        <v>Pending Result</v>
      </c>
      <c r="M33" s="68" t="str">
        <f>IF(OR(TRIM($A33)="",TRIM($E33)=""),"",IFERROR(INDEX('E2E core flow'!$B$15:$B$1000,MATCH(1,INDEX(('E2E core flow'!$A$15:$A$1000&lt;&gt;"")*ISNUMBER(SEARCH('E2E core flow'!$A$15:$A$1000,$E33)),0),0))&amp;"","-"))</f>
        <v>ER</v>
      </c>
      <c r="N33" s="68" t="str">
        <f>IF(TRIM($A33)="","",IF($O33=0,IF(COUNTIFS('Card Test Cases'!$B$4:$B$1000,$A33,'Card Test Cases'!$A$4:$A$1000,"&lt;&gt;")&gt;0,"Out of Scope","No TC"),IF($Q33&gt;0,"Failed",IF(COUNTIFS('Card Test Cases'!$B$4:$B$1000,$A33,'Card Test Cases'!$A$4:$A$1000,"&lt;&gt;",'Card Test Cases'!$F$4:$F$1000,"Blocked")&gt;0,"Blocked",IF($R33&gt;0,"In Progress","Passed")))))</f>
        <v>No TC</v>
      </c>
      <c r="O33" s="68">
        <f>IF(TRIM($A33)="","",COUNTIFS('Card Test Cases'!$B$4:$B$1000,$A33,'Card Test Cases'!$A$4:$A$1000,"&lt;&gt;",'Card Test Cases'!$F$4:$F$1000,"&lt;&gt;Out of Scope"))</f>
        <v>0</v>
      </c>
      <c r="P33" s="68">
        <f>IF(TRIM($A33)="","",COUNTIFS('Card Test Cases'!$B$4:$B$1000,$A33,'Card Test Cases'!$A$4:$A$1000,"&lt;&gt;",'Card Test Cases'!$F$4:$F$1000,"Passed"))</f>
        <v>0</v>
      </c>
      <c r="Q33" s="68">
        <f>IF(TRIM($A33)="","",COUNTIFS('Card Test Cases'!$B$4:$B$1000,$A33,'Card Test Cases'!$A$4:$A$1000,"&lt;&gt;",'Card Test Cases'!$F$4:$F$1000,"Failed"))</f>
        <v>0</v>
      </c>
      <c r="R33" s="68">
        <f t="shared" si="0"/>
        <v>0</v>
      </c>
      <c r="S33" s="68" t="str" cm="1">
        <f t="array" ref="S33">IF(TRIM($A33)="","",IFERROR(_xlfn.TEXTJOIN(", ",TRUE,_xlfn.UNIQUE(_xlfn.VSTACK(_xlfn._xlws.FILTER('Card Test Cases'!$G$4:$G$1000,('Card Test Cases'!$B$4:$B$1000=$A33)*('Card Test Cases'!$G$4:$G$1000&lt;&gt;""),""),_xlfn._xlws.FILTER('E2E core flow'!$U$15:$U$1000,('E2E core flow'!$A$15:$A$1000&lt;&gt;"")*ISNUMBER(SEARCH('E2E core flow'!$A$15:$A$1000,$E33))*('E2E core flow'!$U$15:$U$1000&lt;&gt;""),"")))),"-"))</f>
        <v/>
      </c>
    </row>
    <row r="34" spans="1:19" x14ac:dyDescent="0.3">
      <c r="A34" s="13" t="s">
        <v>896</v>
      </c>
      <c r="B34" s="13" t="s">
        <v>897</v>
      </c>
      <c r="C34" s="13" t="s">
        <v>828</v>
      </c>
      <c r="E34" s="13" t="s">
        <v>915</v>
      </c>
      <c r="F34" s="1" t="s">
        <v>288</v>
      </c>
      <c r="G34" s="68" t="str" cm="1">
        <f t="array" ref="G34">_xlfn.LET(_xlpm.ids,'E2E core flow'!$A$15:$A$1000,_xlpm.v,'E2E core flow'!$W$15:$W$1000,_xlpm.m,(_xlpm.ids&lt;&gt;"")*ISNUMBER(SEARCH(_xlpm.ids,$E34)),_xlpm.f,SUM(_xlpm.m*(_xlpm.v="Failed")),_xlpm.b,SUM(_xlpm.m*(_xlpm.v="Blocked")),_xlpm.nr,SUM(_xlpm.m*(_xlpm.v="Not Run")),_xlpm.cp,SUM(_xlpm.m*(_xlpm.v="Conditionally Passed")),_xlpm.p,SUM(_xlpm.m*(_xlpm.v="Passed")),IF(TRIM($A34)="","",IF(TRIM($E34)="","Pending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34" s="68" t="str">
        <f>IF(TRIM($A34)="","",IF($J34="Passed","",IF($J34="Passed with Known Issue","Known Issue",IF($J34="",IF(OR($H34&lt;&gt;"No",AND($F34&lt;&gt;"Medium",$F34&lt;&gt;"Low")),"Pending Result",""),IF(OR($H34&lt;&gt;"No",AND($F34&lt;&gt;"Medium",$F34&lt;&gt;"Low")),IF(COUNTIFS(Dashboard!$B$105:$B$124,$A34,Dashboard!$I$105:$I$124,"CAB")&gt;0,"Accepted (CF)","Blocking"),IF($J34="Failed","Deferrable","Carry Over"))))))</f>
        <v>Pending Result</v>
      </c>
      <c r="M34" s="68" t="str">
        <f>IF(OR(TRIM($A34)="",TRIM($E34)=""),"",IFERROR(INDEX('E2E core flow'!$B$15:$B$1000,MATCH(1,INDEX(('E2E core flow'!$A$15:$A$1000&lt;&gt;"")*ISNUMBER(SEARCH('E2E core flow'!$A$15:$A$1000,$E34)),0),0))&amp;"","-"))</f>
        <v>OPD</v>
      </c>
      <c r="N34" s="68" t="str">
        <f>IF(TRIM($A34)="","",IF($O34=0,IF(COUNTIFS('Card Test Cases'!$B$4:$B$1000,$A34,'Card Test Cases'!$A$4:$A$1000,"&lt;&gt;")&gt;0,"Out of Scope","No TC"),IF($Q34&gt;0,"Failed",IF(COUNTIFS('Card Test Cases'!$B$4:$B$1000,$A34,'Card Test Cases'!$A$4:$A$1000,"&lt;&gt;",'Card Test Cases'!$F$4:$F$1000,"Blocked")&gt;0,"Blocked",IF($R34&gt;0,"In Progress","Passed")))))</f>
        <v>No TC</v>
      </c>
      <c r="O34" s="68">
        <f>IF(TRIM($A34)="","",COUNTIFS('Card Test Cases'!$B$4:$B$1000,$A34,'Card Test Cases'!$A$4:$A$1000,"&lt;&gt;",'Card Test Cases'!$F$4:$F$1000,"&lt;&gt;Out of Scope"))</f>
        <v>0</v>
      </c>
      <c r="P34" s="68">
        <f>IF(TRIM($A34)="","",COUNTIFS('Card Test Cases'!$B$4:$B$1000,$A34,'Card Test Cases'!$A$4:$A$1000,"&lt;&gt;",'Card Test Cases'!$F$4:$F$1000,"Passed"))</f>
        <v>0</v>
      </c>
      <c r="Q34" s="68">
        <f>IF(TRIM($A34)="","",COUNTIFS('Card Test Cases'!$B$4:$B$1000,$A34,'Card Test Cases'!$A$4:$A$1000,"&lt;&gt;",'Card Test Cases'!$F$4:$F$1000,"Failed"))</f>
        <v>0</v>
      </c>
      <c r="R34" s="68">
        <f t="shared" si="0"/>
        <v>0</v>
      </c>
      <c r="S34" s="68" t="str" cm="1">
        <f t="array" ref="S34">IF(TRIM($A34)="","",IFERROR(_xlfn.TEXTJOIN(", ",TRUE,_xlfn.UNIQUE(_xlfn.VSTACK(_xlfn._xlws.FILTER('Card Test Cases'!$G$4:$G$1000,('Card Test Cases'!$B$4:$B$1000=$A34)*('Card Test Cases'!$G$4:$G$1000&lt;&gt;""),""),_xlfn._xlws.FILTER('E2E core flow'!$U$15:$U$1000,('E2E core flow'!$A$15:$A$1000&lt;&gt;"")*ISNUMBER(SEARCH('E2E core flow'!$A$15:$A$1000,$E34))*('E2E core flow'!$U$15:$U$1000&lt;&gt;""),"")))),"-"))</f>
        <v/>
      </c>
    </row>
    <row r="35" spans="1:19" x14ac:dyDescent="0.3">
      <c r="A35" s="13" t="s">
        <v>898</v>
      </c>
      <c r="B35" s="13" t="s">
        <v>899</v>
      </c>
      <c r="E35" s="13" t="s">
        <v>578</v>
      </c>
      <c r="F35" s="1" t="s">
        <v>294</v>
      </c>
      <c r="G35" s="68" t="str" cm="1">
        <f t="array" ref="G35">_xlfn.LET(_xlpm.ids,'E2E core flow'!$A$15:$A$1000,_xlpm.v,'E2E core flow'!$W$15:$W$1000,_xlpm.m,(_xlpm.ids&lt;&gt;"")*ISNUMBER(SEARCH(_xlpm.ids,$E35)),_xlpm.f,SUM(_xlpm.m*(_xlpm.v="Failed")),_xlpm.b,SUM(_xlpm.m*(_xlpm.v="Blocked")),_xlpm.nr,SUM(_xlpm.m*(_xlpm.v="Not Run")),_xlpm.cp,SUM(_xlpm.m*(_xlpm.v="Conditionally Passed")),_xlpm.p,SUM(_xlpm.m*(_xlpm.v="Passed")),IF(TRIM($A35)="","",IF(TRIM($E35)="","Pending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35" s="68" t="str">
        <f>IF(TRIM($A35)="","",IF($J35="Passed","",IF($J35="Passed with Known Issue","Known Issue",IF($J35="",IF(OR($H35&lt;&gt;"No",AND($F35&lt;&gt;"Medium",$F35&lt;&gt;"Low")),"Pending Result",""),IF(OR($H35&lt;&gt;"No",AND($F35&lt;&gt;"Medium",$F35&lt;&gt;"Low")),IF(COUNTIFS(Dashboard!$B$105:$B$124,$A35,Dashboard!$I$105:$I$124,"CAB")&gt;0,"Accepted (CF)","Blocking"),IF($J35="Failed","Deferrable","Carry Over"))))))</f>
        <v>Pending Result</v>
      </c>
      <c r="M35" s="68" t="str">
        <f>IF(OR(TRIM($A35)="",TRIM($E35)=""),"",IFERROR(INDEX('E2E core flow'!$B$15:$B$1000,MATCH(1,INDEX(('E2E core flow'!$A$15:$A$1000&lt;&gt;"")*ISNUMBER(SEARCH('E2E core flow'!$A$15:$A$1000,$E35)),0),0))&amp;"","-"))</f>
        <v>OPD</v>
      </c>
      <c r="N35" s="68" t="str">
        <f>IF(TRIM($A35)="","",IF($O35=0,IF(COUNTIFS('Card Test Cases'!$B$4:$B$1000,$A35,'Card Test Cases'!$A$4:$A$1000,"&lt;&gt;")&gt;0,"Out of Scope","No TC"),IF($Q35&gt;0,"Failed",IF(COUNTIFS('Card Test Cases'!$B$4:$B$1000,$A35,'Card Test Cases'!$A$4:$A$1000,"&lt;&gt;",'Card Test Cases'!$F$4:$F$1000,"Blocked")&gt;0,"Blocked",IF($R35&gt;0,"In Progress","Passed")))))</f>
        <v>No TC</v>
      </c>
      <c r="O35" s="68">
        <f>IF(TRIM($A35)="","",COUNTIFS('Card Test Cases'!$B$4:$B$1000,$A35,'Card Test Cases'!$A$4:$A$1000,"&lt;&gt;",'Card Test Cases'!$F$4:$F$1000,"&lt;&gt;Out of Scope"))</f>
        <v>0</v>
      </c>
      <c r="P35" s="68">
        <f>IF(TRIM($A35)="","",COUNTIFS('Card Test Cases'!$B$4:$B$1000,$A35,'Card Test Cases'!$A$4:$A$1000,"&lt;&gt;",'Card Test Cases'!$F$4:$F$1000,"Passed"))</f>
        <v>0</v>
      </c>
      <c r="Q35" s="68">
        <f>IF(TRIM($A35)="","",COUNTIFS('Card Test Cases'!$B$4:$B$1000,$A35,'Card Test Cases'!$A$4:$A$1000,"&lt;&gt;",'Card Test Cases'!$F$4:$F$1000,"Failed"))</f>
        <v>0</v>
      </c>
      <c r="R35" s="68">
        <f t="shared" si="0"/>
        <v>0</v>
      </c>
      <c r="S35" s="68" t="str" cm="1">
        <f t="array" ref="S35">IF(TRIM($A35)="","",IFERROR(_xlfn.TEXTJOIN(", ",TRUE,_xlfn.UNIQUE(_xlfn.VSTACK(_xlfn._xlws.FILTER('Card Test Cases'!$G$4:$G$1000,('Card Test Cases'!$B$4:$B$1000=$A35)*('Card Test Cases'!$G$4:$G$1000&lt;&gt;""),""),_xlfn._xlws.FILTER('E2E core flow'!$U$15:$U$1000,('E2E core flow'!$A$15:$A$1000&lt;&gt;"")*ISNUMBER(SEARCH('E2E core flow'!$A$15:$A$1000,$E35))*('E2E core flow'!$U$15:$U$1000&lt;&gt;""),"")))),"-"))</f>
        <v/>
      </c>
    </row>
    <row r="36" spans="1:19" x14ac:dyDescent="0.3">
      <c r="A36" s="13" t="s">
        <v>900</v>
      </c>
      <c r="B36" s="13" t="s">
        <v>901</v>
      </c>
      <c r="C36" s="13" t="s">
        <v>902</v>
      </c>
      <c r="E36" s="13" t="s">
        <v>559</v>
      </c>
      <c r="F36" s="1" t="s">
        <v>450</v>
      </c>
      <c r="G36" s="68" t="str" cm="1">
        <f t="array" ref="G36">_xlfn.LET(_xlpm.ids,'E2E core flow'!$A$15:$A$1000,_xlpm.v,'E2E core flow'!$W$15:$W$1000,_xlpm.m,(_xlpm.ids&lt;&gt;"")*ISNUMBER(SEARCH(_xlpm.ids,$E36)),_xlpm.f,SUM(_xlpm.m*(_xlpm.v="Failed")),_xlpm.b,SUM(_xlpm.m*(_xlpm.v="Blocked")),_xlpm.nr,SUM(_xlpm.m*(_xlpm.v="Not Run")),_xlpm.cp,SUM(_xlpm.m*(_xlpm.v="Conditionally Passed")),_xlpm.p,SUM(_xlpm.m*(_xlpm.v="Passed")),IF(TRIM($A36)="","",IF(TRIM($E36)="","Pending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36" s="68" t="str">
        <f>IF(TRIM($A36)="","",IF($J36="Passed","",IF($J36="Passed with Known Issue","Known Issue",IF($J36="",IF(OR($H36&lt;&gt;"No",AND($F36&lt;&gt;"Medium",$F36&lt;&gt;"Low")),"Pending Result",""),IF(OR($H36&lt;&gt;"No",AND($F36&lt;&gt;"Medium",$F36&lt;&gt;"Low")),IF(COUNTIFS(Dashboard!$B$105:$B$124,$A36,Dashboard!$I$105:$I$124,"CAB")&gt;0,"Accepted (CF)","Blocking"),IF($J36="Failed","Deferrable","Carry Over"))))))</f>
        <v>Pending Result</v>
      </c>
      <c r="M36" s="68" t="str">
        <f>IF(OR(TRIM($A36)="",TRIM($E36)=""),"",IFERROR(INDEX('E2E core flow'!$B$15:$B$1000,MATCH(1,INDEX(('E2E core flow'!$A$15:$A$1000&lt;&gt;"")*ISNUMBER(SEARCH('E2E core flow'!$A$15:$A$1000,$E36)),0),0))&amp;"","-"))</f>
        <v>OPD</v>
      </c>
      <c r="N36" s="68" t="str">
        <f>IF(TRIM($A36)="","",IF($O36=0,IF(COUNTIFS('Card Test Cases'!$B$4:$B$1000,$A36,'Card Test Cases'!$A$4:$A$1000,"&lt;&gt;")&gt;0,"Out of Scope","No TC"),IF($Q36&gt;0,"Failed",IF(COUNTIFS('Card Test Cases'!$B$4:$B$1000,$A36,'Card Test Cases'!$A$4:$A$1000,"&lt;&gt;",'Card Test Cases'!$F$4:$F$1000,"Blocked")&gt;0,"Blocked",IF($R36&gt;0,"In Progress","Passed")))))</f>
        <v>No TC</v>
      </c>
      <c r="O36" s="68">
        <f>IF(TRIM($A36)="","",COUNTIFS('Card Test Cases'!$B$4:$B$1000,$A36,'Card Test Cases'!$A$4:$A$1000,"&lt;&gt;",'Card Test Cases'!$F$4:$F$1000,"&lt;&gt;Out of Scope"))</f>
        <v>0</v>
      </c>
      <c r="P36" s="68">
        <f>IF(TRIM($A36)="","",COUNTIFS('Card Test Cases'!$B$4:$B$1000,$A36,'Card Test Cases'!$A$4:$A$1000,"&lt;&gt;",'Card Test Cases'!$F$4:$F$1000,"Passed"))</f>
        <v>0</v>
      </c>
      <c r="Q36" s="68">
        <f>IF(TRIM($A36)="","",COUNTIFS('Card Test Cases'!$B$4:$B$1000,$A36,'Card Test Cases'!$A$4:$A$1000,"&lt;&gt;",'Card Test Cases'!$F$4:$F$1000,"Failed"))</f>
        <v>0</v>
      </c>
      <c r="R36" s="68">
        <f t="shared" si="0"/>
        <v>0</v>
      </c>
      <c r="S36" s="68" t="str" cm="1">
        <f t="array" ref="S36">IF(TRIM($A36)="","",IFERROR(_xlfn.TEXTJOIN(", ",TRUE,_xlfn.UNIQUE(_xlfn.VSTACK(_xlfn._xlws.FILTER('Card Test Cases'!$G$4:$G$1000,('Card Test Cases'!$B$4:$B$1000=$A36)*('Card Test Cases'!$G$4:$G$1000&lt;&gt;""),""),_xlfn._xlws.FILTER('E2E core flow'!$U$15:$U$1000,('E2E core flow'!$A$15:$A$1000&lt;&gt;"")*ISNUMBER(SEARCH('E2E core flow'!$A$15:$A$1000,$E36))*('E2E core flow'!$U$15:$U$1000&lt;&gt;""),"")))),"-"))</f>
        <v/>
      </c>
    </row>
    <row r="37" spans="1:19" x14ac:dyDescent="0.3">
      <c r="A37" s="13" t="s">
        <v>903</v>
      </c>
      <c r="B37" s="13" t="s">
        <v>904</v>
      </c>
      <c r="C37" s="13" t="s">
        <v>875</v>
      </c>
      <c r="E37" s="13" t="s">
        <v>562</v>
      </c>
      <c r="F37" s="1" t="s">
        <v>291</v>
      </c>
      <c r="G37" s="68" t="str" cm="1">
        <f t="array" ref="G37">_xlfn.LET(_xlpm.ids,'E2E core flow'!$A$15:$A$1000,_xlpm.v,'E2E core flow'!$W$15:$W$1000,_xlpm.m,(_xlpm.ids&lt;&gt;"")*ISNUMBER(SEARCH(_xlpm.ids,$E37)),_xlpm.f,SUM(_xlpm.m*(_xlpm.v="Failed")),_xlpm.b,SUM(_xlpm.m*(_xlpm.v="Blocked")),_xlpm.nr,SUM(_xlpm.m*(_xlpm.v="Not Run")),_xlpm.cp,SUM(_xlpm.m*(_xlpm.v="Conditionally Passed")),_xlpm.p,SUM(_xlpm.m*(_xlpm.v="Passed")),IF(TRIM($A37)="","",IF(TRIM($E37)="","Pending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37" s="68" t="str">
        <f>IF(TRIM($A37)="","",IF($J37="Passed","",IF($J37="Passed with Known Issue","Known Issue",IF($J37="",IF(OR($H37&lt;&gt;"No",AND($F37&lt;&gt;"Medium",$F37&lt;&gt;"Low")),"Pending Result",""),IF(OR($H37&lt;&gt;"No",AND($F37&lt;&gt;"Medium",$F37&lt;&gt;"Low")),IF(COUNTIFS(Dashboard!$B$105:$B$124,$A37,Dashboard!$I$105:$I$124,"CAB")&gt;0,"Accepted (CF)","Blocking"),IF($J37="Failed","Deferrable","Carry Over"))))))</f>
        <v>Pending Result</v>
      </c>
      <c r="M37" s="68" t="str">
        <f>IF(OR(TRIM($A37)="",TRIM($E37)=""),"",IFERROR(INDEX('E2E core flow'!$B$15:$B$1000,MATCH(1,INDEX(('E2E core flow'!$A$15:$A$1000&lt;&gt;"")*ISNUMBER(SEARCH('E2E core flow'!$A$15:$A$1000,$E37)),0),0))&amp;"","-"))</f>
        <v>OPD</v>
      </c>
      <c r="N37" s="68" t="str">
        <f>IF(TRIM($A37)="","",IF($O37=0,IF(COUNTIFS('Card Test Cases'!$B$4:$B$1000,$A37,'Card Test Cases'!$A$4:$A$1000,"&lt;&gt;")&gt;0,"Out of Scope","No TC"),IF($Q37&gt;0,"Failed",IF(COUNTIFS('Card Test Cases'!$B$4:$B$1000,$A37,'Card Test Cases'!$A$4:$A$1000,"&lt;&gt;",'Card Test Cases'!$F$4:$F$1000,"Blocked")&gt;0,"Blocked",IF($R37&gt;0,"In Progress","Passed")))))</f>
        <v>No TC</v>
      </c>
      <c r="O37" s="68">
        <f>IF(TRIM($A37)="","",COUNTIFS('Card Test Cases'!$B$4:$B$1000,$A37,'Card Test Cases'!$A$4:$A$1000,"&lt;&gt;",'Card Test Cases'!$F$4:$F$1000,"&lt;&gt;Out of Scope"))</f>
        <v>0</v>
      </c>
      <c r="P37" s="68">
        <f>IF(TRIM($A37)="","",COUNTIFS('Card Test Cases'!$B$4:$B$1000,$A37,'Card Test Cases'!$A$4:$A$1000,"&lt;&gt;",'Card Test Cases'!$F$4:$F$1000,"Passed"))</f>
        <v>0</v>
      </c>
      <c r="Q37" s="68">
        <f>IF(TRIM($A37)="","",COUNTIFS('Card Test Cases'!$B$4:$B$1000,$A37,'Card Test Cases'!$A$4:$A$1000,"&lt;&gt;",'Card Test Cases'!$F$4:$F$1000,"Failed"))</f>
        <v>0</v>
      </c>
      <c r="R37" s="68">
        <f t="shared" si="0"/>
        <v>0</v>
      </c>
      <c r="S37" s="68" t="str" cm="1">
        <f t="array" ref="S37">IF(TRIM($A37)="","",IFERROR(_xlfn.TEXTJOIN(", ",TRUE,_xlfn.UNIQUE(_xlfn.VSTACK(_xlfn._xlws.FILTER('Card Test Cases'!$G$4:$G$1000,('Card Test Cases'!$B$4:$B$1000=$A37)*('Card Test Cases'!$G$4:$G$1000&lt;&gt;""),""),_xlfn._xlws.FILTER('E2E core flow'!$U$15:$U$1000,('E2E core flow'!$A$15:$A$1000&lt;&gt;"")*ISNUMBER(SEARCH('E2E core flow'!$A$15:$A$1000,$E37))*('E2E core flow'!$U$15:$U$1000&lt;&gt;""),"")))),"-"))</f>
        <v/>
      </c>
    </row>
    <row r="38" spans="1:19" x14ac:dyDescent="0.3">
      <c r="A38" s="13" t="s">
        <v>905</v>
      </c>
      <c r="B38" s="13" t="s">
        <v>906</v>
      </c>
      <c r="C38" s="13" t="s">
        <v>825</v>
      </c>
      <c r="E38" s="13" t="s">
        <v>562</v>
      </c>
      <c r="F38" s="1" t="s">
        <v>291</v>
      </c>
      <c r="G38" s="68" t="str" cm="1">
        <f t="array" ref="G38">_xlfn.LET(_xlpm.ids,'E2E core flow'!$A$15:$A$1000,_xlpm.v,'E2E core flow'!$W$15:$W$1000,_xlpm.m,(_xlpm.ids&lt;&gt;"")*ISNUMBER(SEARCH(_xlpm.ids,$E38)),_xlpm.f,SUM(_xlpm.m*(_xlpm.v="Failed")),_xlpm.b,SUM(_xlpm.m*(_xlpm.v="Blocked")),_xlpm.nr,SUM(_xlpm.m*(_xlpm.v="Not Run")),_xlpm.cp,SUM(_xlpm.m*(_xlpm.v="Conditionally Passed")),_xlpm.p,SUM(_xlpm.m*(_xlpm.v="Passed")),IF(TRIM($A38)="","",IF(TRIM($E38)="","Pending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38" s="68" t="str">
        <f>IF(TRIM($A38)="","",IF($J38="Passed","",IF($J38="Passed with Known Issue","Known Issue",IF($J38="",IF(OR($H38&lt;&gt;"No",AND($F38&lt;&gt;"Medium",$F38&lt;&gt;"Low")),"Pending Result",""),IF(OR($H38&lt;&gt;"No",AND($F38&lt;&gt;"Medium",$F38&lt;&gt;"Low")),IF(COUNTIFS(Dashboard!$B$105:$B$124,$A38,Dashboard!$I$105:$I$124,"CAB")&gt;0,"Accepted (CF)","Blocking"),IF($J38="Failed","Deferrable","Carry Over"))))))</f>
        <v>Pending Result</v>
      </c>
      <c r="M38" s="68" t="str">
        <f>IF(OR(TRIM($A38)="",TRIM($E38)=""),"",IFERROR(INDEX('E2E core flow'!$B$15:$B$1000,MATCH(1,INDEX(('E2E core flow'!$A$15:$A$1000&lt;&gt;"")*ISNUMBER(SEARCH('E2E core flow'!$A$15:$A$1000,$E38)),0),0))&amp;"","-"))</f>
        <v>OPD</v>
      </c>
      <c r="N38" s="68" t="str">
        <f>IF(TRIM($A38)="","",IF($O38=0,IF(COUNTIFS('Card Test Cases'!$B$4:$B$1000,$A38,'Card Test Cases'!$A$4:$A$1000,"&lt;&gt;")&gt;0,"Out of Scope","No TC"),IF($Q38&gt;0,"Failed",IF(COUNTIFS('Card Test Cases'!$B$4:$B$1000,$A38,'Card Test Cases'!$A$4:$A$1000,"&lt;&gt;",'Card Test Cases'!$F$4:$F$1000,"Blocked")&gt;0,"Blocked",IF($R38&gt;0,"In Progress","Passed")))))</f>
        <v>No TC</v>
      </c>
      <c r="O38" s="68">
        <f>IF(TRIM($A38)="","",COUNTIFS('Card Test Cases'!$B$4:$B$1000,$A38,'Card Test Cases'!$A$4:$A$1000,"&lt;&gt;",'Card Test Cases'!$F$4:$F$1000,"&lt;&gt;Out of Scope"))</f>
        <v>0</v>
      </c>
      <c r="P38" s="68">
        <f>IF(TRIM($A38)="","",COUNTIFS('Card Test Cases'!$B$4:$B$1000,$A38,'Card Test Cases'!$A$4:$A$1000,"&lt;&gt;",'Card Test Cases'!$F$4:$F$1000,"Passed"))</f>
        <v>0</v>
      </c>
      <c r="Q38" s="68">
        <f>IF(TRIM($A38)="","",COUNTIFS('Card Test Cases'!$B$4:$B$1000,$A38,'Card Test Cases'!$A$4:$A$1000,"&lt;&gt;",'Card Test Cases'!$F$4:$F$1000,"Failed"))</f>
        <v>0</v>
      </c>
      <c r="R38" s="68">
        <f t="shared" si="0"/>
        <v>0</v>
      </c>
      <c r="S38" s="68" t="str" cm="1">
        <f t="array" ref="S38">IF(TRIM($A38)="","",IFERROR(_xlfn.TEXTJOIN(", ",TRUE,_xlfn.UNIQUE(_xlfn.VSTACK(_xlfn._xlws.FILTER('Card Test Cases'!$G$4:$G$1000,('Card Test Cases'!$B$4:$B$1000=$A38)*('Card Test Cases'!$G$4:$G$1000&lt;&gt;""),""),_xlfn._xlws.FILTER('E2E core flow'!$U$15:$U$1000,('E2E core flow'!$A$15:$A$1000&lt;&gt;"")*ISNUMBER(SEARCH('E2E core flow'!$A$15:$A$1000,$E38))*('E2E core flow'!$U$15:$U$1000&lt;&gt;""),"")))),"-"))</f>
        <v/>
      </c>
    </row>
    <row r="39" spans="1:19" x14ac:dyDescent="0.3">
      <c r="A39" s="13" t="s">
        <v>907</v>
      </c>
      <c r="B39" s="13" t="s">
        <v>908</v>
      </c>
      <c r="C39" s="13" t="s">
        <v>842</v>
      </c>
      <c r="E39" s="13" t="s">
        <v>758</v>
      </c>
      <c r="F39" s="1" t="s">
        <v>291</v>
      </c>
      <c r="G39" s="68" t="str" cm="1">
        <f t="array" ref="G39">_xlfn.LET(_xlpm.ids,'E2E core flow'!$A$15:$A$1000,_xlpm.v,'E2E core flow'!$W$15:$W$1000,_xlpm.m,(_xlpm.ids&lt;&gt;"")*ISNUMBER(SEARCH(_xlpm.ids,$E39)),_xlpm.f,SUM(_xlpm.m*(_xlpm.v="Failed")),_xlpm.b,SUM(_xlpm.m*(_xlpm.v="Blocked")),_xlpm.nr,SUM(_xlpm.m*(_xlpm.v="Not Run")),_xlpm.cp,SUM(_xlpm.m*(_xlpm.v="Conditionally Passed")),_xlpm.p,SUM(_xlpm.m*(_xlpm.v="Passed")),IF(TRIM($A39)="","",IF(TRIM($E39)="","Pending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39" s="68" t="str">
        <f>IF(TRIM($A39)="","",IF($J39="Passed","",IF($J39="Passed with Known Issue","Known Issue",IF($J39="",IF(OR($H39&lt;&gt;"No",AND($F39&lt;&gt;"Medium",$F39&lt;&gt;"Low")),"Pending Result",""),IF(OR($H39&lt;&gt;"No",AND($F39&lt;&gt;"Medium",$F39&lt;&gt;"Low")),IF(COUNTIFS(Dashboard!$B$105:$B$124,$A39,Dashboard!$I$105:$I$124,"CAB")&gt;0,"Accepted (CF)","Blocking"),IF($J39="Failed","Deferrable","Carry Over"))))))</f>
        <v>Pending Result</v>
      </c>
      <c r="M39" s="68" t="str">
        <f>IF(OR(TRIM($A39)="",TRIM($E39)=""),"",IFERROR(INDEX('E2E core flow'!$B$15:$B$1000,MATCH(1,INDEX(('E2E core flow'!$A$15:$A$1000&lt;&gt;"")*ISNUMBER(SEARCH('E2E core flow'!$A$15:$A$1000,$E39)),0),0))&amp;"","-"))</f>
        <v>OPD</v>
      </c>
      <c r="N39" s="68" t="str">
        <f>IF(TRIM($A39)="","",IF($O39=0,IF(COUNTIFS('Card Test Cases'!$B$4:$B$1000,$A39,'Card Test Cases'!$A$4:$A$1000,"&lt;&gt;")&gt;0,"Out of Scope","No TC"),IF($Q39&gt;0,"Failed",IF(COUNTIFS('Card Test Cases'!$B$4:$B$1000,$A39,'Card Test Cases'!$A$4:$A$1000,"&lt;&gt;",'Card Test Cases'!$F$4:$F$1000,"Blocked")&gt;0,"Blocked",IF($R39&gt;0,"In Progress","Passed")))))</f>
        <v>No TC</v>
      </c>
      <c r="O39" s="68">
        <f>IF(TRIM($A39)="","",COUNTIFS('Card Test Cases'!$B$4:$B$1000,$A39,'Card Test Cases'!$A$4:$A$1000,"&lt;&gt;",'Card Test Cases'!$F$4:$F$1000,"&lt;&gt;Out of Scope"))</f>
        <v>0</v>
      </c>
      <c r="P39" s="68">
        <f>IF(TRIM($A39)="","",COUNTIFS('Card Test Cases'!$B$4:$B$1000,$A39,'Card Test Cases'!$A$4:$A$1000,"&lt;&gt;",'Card Test Cases'!$F$4:$F$1000,"Passed"))</f>
        <v>0</v>
      </c>
      <c r="Q39" s="68">
        <f>IF(TRIM($A39)="","",COUNTIFS('Card Test Cases'!$B$4:$B$1000,$A39,'Card Test Cases'!$A$4:$A$1000,"&lt;&gt;",'Card Test Cases'!$F$4:$F$1000,"Failed"))</f>
        <v>0</v>
      </c>
      <c r="R39" s="68">
        <f t="shared" si="0"/>
        <v>0</v>
      </c>
      <c r="S39" s="68" t="str" cm="1">
        <f t="array" ref="S39">IF(TRIM($A39)="","",IFERROR(_xlfn.TEXTJOIN(", ",TRUE,_xlfn.UNIQUE(_xlfn.VSTACK(_xlfn._xlws.FILTER('Card Test Cases'!$G$4:$G$1000,('Card Test Cases'!$B$4:$B$1000=$A39)*('Card Test Cases'!$G$4:$G$1000&lt;&gt;""),""),_xlfn._xlws.FILTER('E2E core flow'!$U$15:$U$1000,('E2E core flow'!$A$15:$A$1000&lt;&gt;"")*ISNUMBER(SEARCH('E2E core flow'!$A$15:$A$1000,$E39))*('E2E core flow'!$U$15:$U$1000&lt;&gt;""),"")))),"-"))</f>
        <v/>
      </c>
    </row>
    <row r="40" spans="1:19" x14ac:dyDescent="0.3">
      <c r="A40" s="13" t="s">
        <v>909</v>
      </c>
      <c r="B40" s="13" t="s">
        <v>910</v>
      </c>
      <c r="C40" s="13" t="s">
        <v>902</v>
      </c>
      <c r="E40" s="13" t="s">
        <v>562</v>
      </c>
      <c r="F40" s="1" t="s">
        <v>450</v>
      </c>
      <c r="G40" s="68" t="str" cm="1">
        <f t="array" ref="G40">_xlfn.LET(_xlpm.ids,'E2E core flow'!$A$15:$A$1000,_xlpm.v,'E2E core flow'!$W$15:$W$1000,_xlpm.m,(_xlpm.ids&lt;&gt;"")*ISNUMBER(SEARCH(_xlpm.ids,$E40)),_xlpm.f,SUM(_xlpm.m*(_xlpm.v="Failed")),_xlpm.b,SUM(_xlpm.m*(_xlpm.v="Blocked")),_xlpm.nr,SUM(_xlpm.m*(_xlpm.v="Not Run")),_xlpm.cp,SUM(_xlpm.m*(_xlpm.v="Conditionally Passed")),_xlpm.p,SUM(_xlpm.m*(_xlpm.v="Passed")),IF(TRIM($A40)="","",IF(TRIM($E40)="","Pending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40" s="68" t="str">
        <f>IF(TRIM($A40)="","",IF($J40="Passed","",IF($J40="Passed with Known Issue","Known Issue",IF($J40="",IF(OR($H40&lt;&gt;"No",AND($F40&lt;&gt;"Medium",$F40&lt;&gt;"Low")),"Pending Result",""),IF(OR($H40&lt;&gt;"No",AND($F40&lt;&gt;"Medium",$F40&lt;&gt;"Low")),IF(COUNTIFS(Dashboard!$B$105:$B$124,$A40,Dashboard!$I$105:$I$124,"CAB")&gt;0,"Accepted (CF)","Blocking"),IF($J40="Failed","Deferrable","Carry Over"))))))</f>
        <v>Pending Result</v>
      </c>
      <c r="M40" s="68" t="str">
        <f>IF(OR(TRIM($A40)="",TRIM($E40)=""),"",IFERROR(INDEX('E2E core flow'!$B$15:$B$1000,MATCH(1,INDEX(('E2E core flow'!$A$15:$A$1000&lt;&gt;"")*ISNUMBER(SEARCH('E2E core flow'!$A$15:$A$1000,$E40)),0),0))&amp;"","-"))</f>
        <v>OPD</v>
      </c>
      <c r="N40" s="68" t="str">
        <f>IF(TRIM($A40)="","",IF($O40=0,IF(COUNTIFS('Card Test Cases'!$B$4:$B$1000,$A40,'Card Test Cases'!$A$4:$A$1000,"&lt;&gt;")&gt;0,"Out of Scope","No TC"),IF($Q40&gt;0,"Failed",IF(COUNTIFS('Card Test Cases'!$B$4:$B$1000,$A40,'Card Test Cases'!$A$4:$A$1000,"&lt;&gt;",'Card Test Cases'!$F$4:$F$1000,"Blocked")&gt;0,"Blocked",IF($R40&gt;0,"In Progress","Passed")))))</f>
        <v>No TC</v>
      </c>
      <c r="O40" s="68">
        <f>IF(TRIM($A40)="","",COUNTIFS('Card Test Cases'!$B$4:$B$1000,$A40,'Card Test Cases'!$A$4:$A$1000,"&lt;&gt;",'Card Test Cases'!$F$4:$F$1000,"&lt;&gt;Out of Scope"))</f>
        <v>0</v>
      </c>
      <c r="P40" s="68">
        <f>IF(TRIM($A40)="","",COUNTIFS('Card Test Cases'!$B$4:$B$1000,$A40,'Card Test Cases'!$A$4:$A$1000,"&lt;&gt;",'Card Test Cases'!$F$4:$F$1000,"Passed"))</f>
        <v>0</v>
      </c>
      <c r="Q40" s="68">
        <f>IF(TRIM($A40)="","",COUNTIFS('Card Test Cases'!$B$4:$B$1000,$A40,'Card Test Cases'!$A$4:$A$1000,"&lt;&gt;",'Card Test Cases'!$F$4:$F$1000,"Failed"))</f>
        <v>0</v>
      </c>
      <c r="R40" s="68">
        <f t="shared" si="0"/>
        <v>0</v>
      </c>
      <c r="S40" s="68" t="str" cm="1">
        <f t="array" ref="S40">IF(TRIM($A40)="","",IFERROR(_xlfn.TEXTJOIN(", ",TRUE,_xlfn.UNIQUE(_xlfn.VSTACK(_xlfn._xlws.FILTER('Card Test Cases'!$G$4:$G$1000,('Card Test Cases'!$B$4:$B$1000=$A40)*('Card Test Cases'!$G$4:$G$1000&lt;&gt;""),""),_xlfn._xlws.FILTER('E2E core flow'!$U$15:$U$1000,('E2E core flow'!$A$15:$A$1000&lt;&gt;"")*ISNUMBER(SEARCH('E2E core flow'!$A$15:$A$1000,$E40))*('E2E core flow'!$U$15:$U$1000&lt;&gt;""),"")))),"-"))</f>
        <v/>
      </c>
    </row>
    <row r="41" spans="1:19" x14ac:dyDescent="0.3">
      <c r="A41" s="13" t="s">
        <v>911</v>
      </c>
      <c r="B41" s="13" t="s">
        <v>912</v>
      </c>
      <c r="C41" s="13" t="s">
        <v>842</v>
      </c>
      <c r="E41" s="13" t="s">
        <v>562</v>
      </c>
      <c r="F41" s="1" t="s">
        <v>288</v>
      </c>
      <c r="G41" s="68" t="str" cm="1">
        <f t="array" ref="G41">_xlfn.LET(_xlpm.ids,'E2E core flow'!$A$15:$A$1000,_xlpm.v,'E2E core flow'!$W$15:$W$1000,_xlpm.m,(_xlpm.ids&lt;&gt;"")*ISNUMBER(SEARCH(_xlpm.ids,$E41)),_xlpm.f,SUM(_xlpm.m*(_xlpm.v="Failed")),_xlpm.b,SUM(_xlpm.m*(_xlpm.v="Blocked")),_xlpm.nr,SUM(_xlpm.m*(_xlpm.v="Not Run")),_xlpm.cp,SUM(_xlpm.m*(_xlpm.v="Conditionally Passed")),_xlpm.p,SUM(_xlpm.m*(_xlpm.v="Passed")),IF(TRIM($A41)="","",IF(TRIM($E41)="","Pending Mapping",IF(SUM(_xlpm.m)=0,"ไม่พบ Scenario ID ใน E2E",IF(_xlpm.f&gt;0,"Failed",IF(_xlpm.b&gt;0,"Blocked",IF(_xlpm.nr&gt;0,"Ready for Testing",IF(_xlpm.cp&gt;0,"Conditionally Passed",IF(_xlpm.p&gt;0,"Passed","Out of Scope")))))))))</f>
        <v>Ready for Testing</v>
      </c>
      <c r="L41" s="68" t="str">
        <f>IF(TRIM($A41)="","",IF($J41="Passed","",IF($J41="Passed with Known Issue","Known Issue",IF($J41="",IF(OR($H41&lt;&gt;"No",AND($F41&lt;&gt;"Medium",$F41&lt;&gt;"Low")),"Pending Result",""),IF(OR($H41&lt;&gt;"No",AND($F41&lt;&gt;"Medium",$F41&lt;&gt;"Low")),IF(COUNTIFS(Dashboard!$B$105:$B$124,$A41,Dashboard!$I$105:$I$124,"CAB")&gt;0,"Accepted (CF)","Blocking"),IF($J41="Failed","Deferrable","Carry Over"))))))</f>
        <v>Pending Result</v>
      </c>
      <c r="M41" s="68" t="str">
        <f>IF(OR(TRIM($A41)="",TRIM($E41)=""),"",IFERROR(INDEX('E2E core flow'!$B$15:$B$1000,MATCH(1,INDEX(('E2E core flow'!$A$15:$A$1000&lt;&gt;"")*ISNUMBER(SEARCH('E2E core flow'!$A$15:$A$1000,$E41)),0),0))&amp;"","-"))</f>
        <v>OPD</v>
      </c>
      <c r="N41" s="68" t="str">
        <f>IF(TRIM($A41)="","",IF($O41=0,IF(COUNTIFS('Card Test Cases'!$B$4:$B$1000,$A41,'Card Test Cases'!$A$4:$A$1000,"&lt;&gt;")&gt;0,"Out of Scope","No TC"),IF($Q41&gt;0,"Failed",IF(COUNTIFS('Card Test Cases'!$B$4:$B$1000,$A41,'Card Test Cases'!$A$4:$A$1000,"&lt;&gt;",'Card Test Cases'!$F$4:$F$1000,"Blocked")&gt;0,"Blocked",IF($R41&gt;0,"In Progress","Passed")))))</f>
        <v>No TC</v>
      </c>
      <c r="O41" s="68">
        <f>IF(TRIM($A41)="","",COUNTIFS('Card Test Cases'!$B$4:$B$1000,$A41,'Card Test Cases'!$A$4:$A$1000,"&lt;&gt;",'Card Test Cases'!$F$4:$F$1000,"&lt;&gt;Out of Scope"))</f>
        <v>0</v>
      </c>
      <c r="P41" s="68">
        <f>IF(TRIM($A41)="","",COUNTIFS('Card Test Cases'!$B$4:$B$1000,$A41,'Card Test Cases'!$A$4:$A$1000,"&lt;&gt;",'Card Test Cases'!$F$4:$F$1000,"Passed"))</f>
        <v>0</v>
      </c>
      <c r="Q41" s="68">
        <f>IF(TRIM($A41)="","",COUNTIFS('Card Test Cases'!$B$4:$B$1000,$A41,'Card Test Cases'!$A$4:$A$1000,"&lt;&gt;",'Card Test Cases'!$F$4:$F$1000,"Failed"))</f>
        <v>0</v>
      </c>
      <c r="R41" s="68">
        <f t="shared" si="0"/>
        <v>0</v>
      </c>
      <c r="S41" s="68" t="str" cm="1">
        <f t="array" ref="S41">IF(TRIM($A41)="","",IFERROR(_xlfn.TEXTJOIN(", ",TRUE,_xlfn.UNIQUE(_xlfn.VSTACK(_xlfn._xlws.FILTER('Card Test Cases'!$G$4:$G$1000,('Card Test Cases'!$B$4:$B$1000=$A41)*('Card Test Cases'!$G$4:$G$1000&lt;&gt;""),""),_xlfn._xlws.FILTER('E2E core flow'!$U$15:$U$1000,('E2E core flow'!$A$15:$A$1000&lt;&gt;"")*ISNUMBER(SEARCH('E2E core flow'!$A$15:$A$1000,$E41))*('E2E core flow'!$U$15:$U$1000&lt;&gt;""),"")))),"-"))</f>
        <v/>
      </c>
    </row>
    <row r="42" spans="1:19" x14ac:dyDescent="0.3">
      <c r="G42" s="68" t="str" cm="1">
        <f t="array" ref="G42">_xlfn.LET(_xlpm.ids,'E2E core flow'!$A$15:$A$1000,_xlpm.v,'E2E core flow'!$W$15:$W$1000,_xlpm.m,(_xlpm.ids&lt;&gt;"")*ISNUMBER(SEARCH(_xlpm.ids,$E42)),_xlpm.f,SUM(_xlpm.m*(_xlpm.v="Failed")),_xlpm.b,SUM(_xlpm.m*(_xlpm.v="Blocked")),_xlpm.nr,SUM(_xlpm.m*(_xlpm.v="Not Run")),_xlpm.cp,SUM(_xlpm.m*(_xlpm.v="Conditionally Passed")),_xlpm.p,SUM(_xlpm.m*(_xlpm.v="Passed")),IF(TRIM($A42)="","",IF(TRIM($E42)="","Pending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2" s="68" t="str">
        <f>IF(TRIM($A42)="","",IF($J42="Passed","",IF($J42="Passed with Known Issue","Known Issue",IF($J42="",IF(OR($H42&lt;&gt;"No",AND($F42&lt;&gt;"Medium",$F42&lt;&gt;"Low")),"Pending Result",""),IF(OR($H42&lt;&gt;"No",AND($F42&lt;&gt;"Medium",$F42&lt;&gt;"Low")),IF(COUNTIFS(Dashboard!$B$105:$B$124,$A42,Dashboard!$I$105:$I$124,"CAB")&gt;0,"Accepted (CF)","Blocking"),IF($J42="Failed","Deferrable","Carry Over"))))))</f>
        <v/>
      </c>
      <c r="M42" s="68" t="str">
        <f>IF(OR(TRIM($A42)="",TRIM($E42)=""),"",IFERROR(INDEX('E2E core flow'!$B$15:$B$1000,MATCH(1,INDEX(('E2E core flow'!$A$15:$A$1000&lt;&gt;"")*ISNUMBER(SEARCH('E2E core flow'!$A$15:$A$1000,$E42)),0),0))&amp;"","-"))</f>
        <v/>
      </c>
      <c r="N42" s="68" t="str">
        <f>IF(TRIM($A42)="","",IF($O42=0,IF(COUNTIFS('Card Test Cases'!$B$4:$B$1000,$A42,'Card Test Cases'!$A$4:$A$1000,"&lt;&gt;")&gt;0,"Out of Scope","No TC"),IF($Q42&gt;0,"Failed",IF(COUNTIFS('Card Test Cases'!$B$4:$B$1000,$A42,'Card Test Cases'!$A$4:$A$1000,"&lt;&gt;",'Card Test Cases'!$F$4:$F$1000,"Blocked")&gt;0,"Blocked",IF($R42&gt;0,"In Progress","Passed")))))</f>
        <v/>
      </c>
      <c r="O42" s="68" t="str">
        <f>IF(TRIM($A42)="","",COUNTIFS('Card Test Cases'!$B$4:$B$1000,$A42,'Card Test Cases'!$A$4:$A$1000,"&lt;&gt;",'Card Test Cases'!$F$4:$F$1000,"&lt;&gt;Out of Scope"))</f>
        <v/>
      </c>
      <c r="P42" s="68" t="str">
        <f>IF(TRIM($A42)="","",COUNTIFS('Card Test Cases'!$B$4:$B$1000,$A42,'Card Test Cases'!$A$4:$A$1000,"&lt;&gt;",'Card Test Cases'!$F$4:$F$1000,"Passed"))</f>
        <v/>
      </c>
      <c r="Q42" s="68" t="str">
        <f>IF(TRIM($A42)="","",COUNTIFS('Card Test Cases'!$B$4:$B$1000,$A42,'Card Test Cases'!$A$4:$A$1000,"&lt;&gt;",'Card Test Cases'!$F$4:$F$1000,"Failed"))</f>
        <v/>
      </c>
      <c r="R42" s="68" t="str">
        <f t="shared" si="0"/>
        <v/>
      </c>
      <c r="S42" s="68" t="str" cm="1">
        <f t="array" ref="S42">IF(TRIM($A42)="","",IFERROR(_xlfn.TEXTJOIN(", ",TRUE,_xlfn.UNIQUE(_xlfn.VSTACK(_xlfn._xlws.FILTER('Card Test Cases'!$G$4:$G$1000,('Card Test Cases'!$B$4:$B$1000=$A42)*('Card Test Cases'!$G$4:$G$1000&lt;&gt;""),""),_xlfn._xlws.FILTER('E2E core flow'!$U$15:$U$1000,('E2E core flow'!$A$15:$A$1000&lt;&gt;"")*ISNUMBER(SEARCH('E2E core flow'!$A$15:$A$1000,$E42))*('E2E core flow'!$U$15:$U$1000&lt;&gt;""),"")))),"-"))</f>
        <v/>
      </c>
    </row>
    <row r="43" spans="1:19" x14ac:dyDescent="0.3">
      <c r="G43" s="68" t="str" cm="1">
        <f t="array" ref="G43">_xlfn.LET(_xlpm.ids,'E2E core flow'!$A$15:$A$1000,_xlpm.v,'E2E core flow'!$W$15:$W$1000,_xlpm.m,(_xlpm.ids&lt;&gt;"")*ISNUMBER(SEARCH(_xlpm.ids,$E43)),_xlpm.f,SUM(_xlpm.m*(_xlpm.v="Failed")),_xlpm.b,SUM(_xlpm.m*(_xlpm.v="Blocked")),_xlpm.nr,SUM(_xlpm.m*(_xlpm.v="Not Run")),_xlpm.cp,SUM(_xlpm.m*(_xlpm.v="Conditionally Passed")),_xlpm.p,SUM(_xlpm.m*(_xlpm.v="Passed")),IF(TRIM($A43)="","",IF(TRIM($E43)="","Pending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3" s="68" t="str">
        <f>IF(TRIM($A43)="","",IF($J43="Passed","",IF($J43="Passed with Known Issue","Known Issue",IF($J43="",IF(OR($H43&lt;&gt;"No",AND($F43&lt;&gt;"Medium",$F43&lt;&gt;"Low")),"Pending Result",""),IF(OR($H43&lt;&gt;"No",AND($F43&lt;&gt;"Medium",$F43&lt;&gt;"Low")),IF(COUNTIFS(Dashboard!$B$105:$B$124,$A43,Dashboard!$I$105:$I$124,"CAB")&gt;0,"Accepted (CF)","Blocking"),IF($J43="Failed","Deferrable","Carry Over"))))))</f>
        <v/>
      </c>
      <c r="M43" s="68" t="str">
        <f>IF(OR(TRIM($A43)="",TRIM($E43)=""),"",IFERROR(INDEX('E2E core flow'!$B$15:$B$1000,MATCH(1,INDEX(('E2E core flow'!$A$15:$A$1000&lt;&gt;"")*ISNUMBER(SEARCH('E2E core flow'!$A$15:$A$1000,$E43)),0),0))&amp;"","-"))</f>
        <v/>
      </c>
      <c r="N43" s="68" t="str">
        <f>IF(TRIM($A43)="","",IF($O43=0,IF(COUNTIFS('Card Test Cases'!$B$4:$B$1000,$A43,'Card Test Cases'!$A$4:$A$1000,"&lt;&gt;")&gt;0,"Out of Scope","No TC"),IF($Q43&gt;0,"Failed",IF(COUNTIFS('Card Test Cases'!$B$4:$B$1000,$A43,'Card Test Cases'!$A$4:$A$1000,"&lt;&gt;",'Card Test Cases'!$F$4:$F$1000,"Blocked")&gt;0,"Blocked",IF($R43&gt;0,"In Progress","Passed")))))</f>
        <v/>
      </c>
      <c r="O43" s="68" t="str">
        <f>IF(TRIM($A43)="","",COUNTIFS('Card Test Cases'!$B$4:$B$1000,$A43,'Card Test Cases'!$A$4:$A$1000,"&lt;&gt;",'Card Test Cases'!$F$4:$F$1000,"&lt;&gt;Out of Scope"))</f>
        <v/>
      </c>
      <c r="P43" s="68" t="str">
        <f>IF(TRIM($A43)="","",COUNTIFS('Card Test Cases'!$B$4:$B$1000,$A43,'Card Test Cases'!$A$4:$A$1000,"&lt;&gt;",'Card Test Cases'!$F$4:$F$1000,"Passed"))</f>
        <v/>
      </c>
      <c r="Q43" s="68" t="str">
        <f>IF(TRIM($A43)="","",COUNTIFS('Card Test Cases'!$B$4:$B$1000,$A43,'Card Test Cases'!$A$4:$A$1000,"&lt;&gt;",'Card Test Cases'!$F$4:$F$1000,"Failed"))</f>
        <v/>
      </c>
      <c r="R43" s="68" t="str">
        <f t="shared" si="0"/>
        <v/>
      </c>
      <c r="S43" s="68" t="str" cm="1">
        <f t="array" ref="S43">IF(TRIM($A43)="","",IFERROR(_xlfn.TEXTJOIN(", ",TRUE,_xlfn.UNIQUE(_xlfn.VSTACK(_xlfn._xlws.FILTER('Card Test Cases'!$G$4:$G$1000,('Card Test Cases'!$B$4:$B$1000=$A43)*('Card Test Cases'!$G$4:$G$1000&lt;&gt;""),""),_xlfn._xlws.FILTER('E2E core flow'!$U$15:$U$1000,('E2E core flow'!$A$15:$A$1000&lt;&gt;"")*ISNUMBER(SEARCH('E2E core flow'!$A$15:$A$1000,$E43))*('E2E core flow'!$U$15:$U$1000&lt;&gt;""),"")))),"-"))</f>
        <v/>
      </c>
    </row>
    <row r="44" spans="1:19" x14ac:dyDescent="0.3">
      <c r="G44" s="68" t="str" cm="1">
        <f t="array" ref="G44">_xlfn.LET(_xlpm.ids,'E2E core flow'!$A$15:$A$1000,_xlpm.v,'E2E core flow'!$W$15:$W$1000,_xlpm.m,(_xlpm.ids&lt;&gt;"")*ISNUMBER(SEARCH(_xlpm.ids,$E44)),_xlpm.f,SUM(_xlpm.m*(_xlpm.v="Failed")),_xlpm.b,SUM(_xlpm.m*(_xlpm.v="Blocked")),_xlpm.nr,SUM(_xlpm.m*(_xlpm.v="Not Run")),_xlpm.cp,SUM(_xlpm.m*(_xlpm.v="Conditionally Passed")),_xlpm.p,SUM(_xlpm.m*(_xlpm.v="Passed")),IF(TRIM($A44)="","",IF(TRIM($E44)="","Pending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4" s="68" t="str">
        <f>IF(TRIM($A44)="","",IF($J44="Passed","",IF($J44="Passed with Known Issue","Known Issue",IF($J44="",IF(OR($H44&lt;&gt;"No",AND($F44&lt;&gt;"Medium",$F44&lt;&gt;"Low")),"Pending Result",""),IF(OR($H44&lt;&gt;"No",AND($F44&lt;&gt;"Medium",$F44&lt;&gt;"Low")),IF(COUNTIFS(Dashboard!$B$105:$B$124,$A44,Dashboard!$I$105:$I$124,"CAB")&gt;0,"Accepted (CF)","Blocking"),IF($J44="Failed","Deferrable","Carry Over"))))))</f>
        <v/>
      </c>
      <c r="M44" s="68" t="str">
        <f>IF(OR(TRIM($A44)="",TRIM($E44)=""),"",IFERROR(INDEX('E2E core flow'!$B$15:$B$1000,MATCH(1,INDEX(('E2E core flow'!$A$15:$A$1000&lt;&gt;"")*ISNUMBER(SEARCH('E2E core flow'!$A$15:$A$1000,$E44)),0),0))&amp;"","-"))</f>
        <v/>
      </c>
      <c r="N44" s="68" t="str">
        <f>IF(TRIM($A44)="","",IF($O44=0,IF(COUNTIFS('Card Test Cases'!$B$4:$B$1000,$A44,'Card Test Cases'!$A$4:$A$1000,"&lt;&gt;")&gt;0,"Out of Scope","No TC"),IF($Q44&gt;0,"Failed",IF(COUNTIFS('Card Test Cases'!$B$4:$B$1000,$A44,'Card Test Cases'!$A$4:$A$1000,"&lt;&gt;",'Card Test Cases'!$F$4:$F$1000,"Blocked")&gt;0,"Blocked",IF($R44&gt;0,"In Progress","Passed")))))</f>
        <v/>
      </c>
      <c r="O44" s="68" t="str">
        <f>IF(TRIM($A44)="","",COUNTIFS('Card Test Cases'!$B$4:$B$1000,$A44,'Card Test Cases'!$A$4:$A$1000,"&lt;&gt;",'Card Test Cases'!$F$4:$F$1000,"&lt;&gt;Out of Scope"))</f>
        <v/>
      </c>
      <c r="P44" s="68" t="str">
        <f>IF(TRIM($A44)="","",COUNTIFS('Card Test Cases'!$B$4:$B$1000,$A44,'Card Test Cases'!$A$4:$A$1000,"&lt;&gt;",'Card Test Cases'!$F$4:$F$1000,"Passed"))</f>
        <v/>
      </c>
      <c r="Q44" s="68" t="str">
        <f>IF(TRIM($A44)="","",COUNTIFS('Card Test Cases'!$B$4:$B$1000,$A44,'Card Test Cases'!$A$4:$A$1000,"&lt;&gt;",'Card Test Cases'!$F$4:$F$1000,"Failed"))</f>
        <v/>
      </c>
      <c r="R44" s="68" t="str">
        <f t="shared" si="0"/>
        <v/>
      </c>
      <c r="S44" s="68" t="str" cm="1">
        <f t="array" ref="S44">IF(TRIM($A44)="","",IFERROR(_xlfn.TEXTJOIN(", ",TRUE,_xlfn.UNIQUE(_xlfn.VSTACK(_xlfn._xlws.FILTER('Card Test Cases'!$G$4:$G$1000,('Card Test Cases'!$B$4:$B$1000=$A44)*('Card Test Cases'!$G$4:$G$1000&lt;&gt;""),""),_xlfn._xlws.FILTER('E2E core flow'!$U$15:$U$1000,('E2E core flow'!$A$15:$A$1000&lt;&gt;"")*ISNUMBER(SEARCH('E2E core flow'!$A$15:$A$1000,$E44))*('E2E core flow'!$U$15:$U$1000&lt;&gt;""),"")))),"-"))</f>
        <v/>
      </c>
    </row>
    <row r="45" spans="1:19" x14ac:dyDescent="0.3">
      <c r="G45" s="68" t="str" cm="1">
        <f t="array" ref="G45">_xlfn.LET(_xlpm.ids,'E2E core flow'!$A$15:$A$1000,_xlpm.v,'E2E core flow'!$W$15:$W$1000,_xlpm.m,(_xlpm.ids&lt;&gt;"")*ISNUMBER(SEARCH(_xlpm.ids,$E45)),_xlpm.f,SUM(_xlpm.m*(_xlpm.v="Failed")),_xlpm.b,SUM(_xlpm.m*(_xlpm.v="Blocked")),_xlpm.nr,SUM(_xlpm.m*(_xlpm.v="Not Run")),_xlpm.cp,SUM(_xlpm.m*(_xlpm.v="Conditionally Passed")),_xlpm.p,SUM(_xlpm.m*(_xlpm.v="Passed")),IF(TRIM($A45)="","",IF(TRIM($E45)="","Pending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5" s="68" t="str">
        <f>IF(TRIM($A45)="","",IF($J45="Passed","",IF($J45="Passed with Known Issue","Known Issue",IF($J45="",IF(OR($H45&lt;&gt;"No",AND($F45&lt;&gt;"Medium",$F45&lt;&gt;"Low")),"Pending Result",""),IF(OR($H45&lt;&gt;"No",AND($F45&lt;&gt;"Medium",$F45&lt;&gt;"Low")),IF(COUNTIFS(Dashboard!$B$105:$B$124,$A45,Dashboard!$I$105:$I$124,"CAB")&gt;0,"Accepted (CF)","Blocking"),IF($J45="Failed","Deferrable","Carry Over"))))))</f>
        <v/>
      </c>
      <c r="M45" s="68" t="str">
        <f>IF(OR(TRIM($A45)="",TRIM($E45)=""),"",IFERROR(INDEX('E2E core flow'!$B$15:$B$1000,MATCH(1,INDEX(('E2E core flow'!$A$15:$A$1000&lt;&gt;"")*ISNUMBER(SEARCH('E2E core flow'!$A$15:$A$1000,$E45)),0),0))&amp;"","-"))</f>
        <v/>
      </c>
      <c r="N45" s="68" t="str">
        <f>IF(TRIM($A45)="","",IF($O45=0,IF(COUNTIFS('Card Test Cases'!$B$4:$B$1000,$A45,'Card Test Cases'!$A$4:$A$1000,"&lt;&gt;")&gt;0,"Out of Scope","No TC"),IF($Q45&gt;0,"Failed",IF(COUNTIFS('Card Test Cases'!$B$4:$B$1000,$A45,'Card Test Cases'!$A$4:$A$1000,"&lt;&gt;",'Card Test Cases'!$F$4:$F$1000,"Blocked")&gt;0,"Blocked",IF($R45&gt;0,"In Progress","Passed")))))</f>
        <v/>
      </c>
      <c r="O45" s="68" t="str">
        <f>IF(TRIM($A45)="","",COUNTIFS('Card Test Cases'!$B$4:$B$1000,$A45,'Card Test Cases'!$A$4:$A$1000,"&lt;&gt;",'Card Test Cases'!$F$4:$F$1000,"&lt;&gt;Out of Scope"))</f>
        <v/>
      </c>
      <c r="P45" s="68" t="str">
        <f>IF(TRIM($A45)="","",COUNTIFS('Card Test Cases'!$B$4:$B$1000,$A45,'Card Test Cases'!$A$4:$A$1000,"&lt;&gt;",'Card Test Cases'!$F$4:$F$1000,"Passed"))</f>
        <v/>
      </c>
      <c r="Q45" s="68" t="str">
        <f>IF(TRIM($A45)="","",COUNTIFS('Card Test Cases'!$B$4:$B$1000,$A45,'Card Test Cases'!$A$4:$A$1000,"&lt;&gt;",'Card Test Cases'!$F$4:$F$1000,"Failed"))</f>
        <v/>
      </c>
      <c r="R45" s="68" t="str">
        <f t="shared" si="0"/>
        <v/>
      </c>
      <c r="S45" s="68" t="str" cm="1">
        <f t="array" ref="S45">IF(TRIM($A45)="","",IFERROR(_xlfn.TEXTJOIN(", ",TRUE,_xlfn.UNIQUE(_xlfn.VSTACK(_xlfn._xlws.FILTER('Card Test Cases'!$G$4:$G$1000,('Card Test Cases'!$B$4:$B$1000=$A45)*('Card Test Cases'!$G$4:$G$1000&lt;&gt;""),""),_xlfn._xlws.FILTER('E2E core flow'!$U$15:$U$1000,('E2E core flow'!$A$15:$A$1000&lt;&gt;"")*ISNUMBER(SEARCH('E2E core flow'!$A$15:$A$1000,$E45))*('E2E core flow'!$U$15:$U$1000&lt;&gt;""),"")))),"-"))</f>
        <v/>
      </c>
    </row>
    <row r="46" spans="1:19" x14ac:dyDescent="0.3">
      <c r="G46" s="68" t="str" cm="1">
        <f t="array" ref="G46">_xlfn.LET(_xlpm.ids,'E2E core flow'!$A$15:$A$1000,_xlpm.v,'E2E core flow'!$W$15:$W$1000,_xlpm.m,(_xlpm.ids&lt;&gt;"")*ISNUMBER(SEARCH(_xlpm.ids,$E46)),_xlpm.f,SUM(_xlpm.m*(_xlpm.v="Failed")),_xlpm.b,SUM(_xlpm.m*(_xlpm.v="Blocked")),_xlpm.nr,SUM(_xlpm.m*(_xlpm.v="Not Run")),_xlpm.cp,SUM(_xlpm.m*(_xlpm.v="Conditionally Passed")),_xlpm.p,SUM(_xlpm.m*(_xlpm.v="Passed")),IF(TRIM($A46)="","",IF(TRIM($E46)="","Pending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6" s="68" t="str">
        <f>IF(TRIM($A46)="","",IF($J46="Passed","",IF($J46="Passed with Known Issue","Known Issue",IF($J46="",IF(OR($H46&lt;&gt;"No",AND($F46&lt;&gt;"Medium",$F46&lt;&gt;"Low")),"Pending Result",""),IF(OR($H46&lt;&gt;"No",AND($F46&lt;&gt;"Medium",$F46&lt;&gt;"Low")),IF(COUNTIFS(Dashboard!$B$105:$B$124,$A46,Dashboard!$I$105:$I$124,"CAB")&gt;0,"Accepted (CF)","Blocking"),IF($J46="Failed","Deferrable","Carry Over"))))))</f>
        <v/>
      </c>
      <c r="M46" s="68" t="str">
        <f>IF(OR(TRIM($A46)="",TRIM($E46)=""),"",IFERROR(INDEX('E2E core flow'!$B$15:$B$1000,MATCH(1,INDEX(('E2E core flow'!$A$15:$A$1000&lt;&gt;"")*ISNUMBER(SEARCH('E2E core flow'!$A$15:$A$1000,$E46)),0),0))&amp;"","-"))</f>
        <v/>
      </c>
      <c r="N46" s="68" t="str">
        <f>IF(TRIM($A46)="","",IF($O46=0,IF(COUNTIFS('Card Test Cases'!$B$4:$B$1000,$A46,'Card Test Cases'!$A$4:$A$1000,"&lt;&gt;")&gt;0,"Out of Scope","No TC"),IF($Q46&gt;0,"Failed",IF(COUNTIFS('Card Test Cases'!$B$4:$B$1000,$A46,'Card Test Cases'!$A$4:$A$1000,"&lt;&gt;",'Card Test Cases'!$F$4:$F$1000,"Blocked")&gt;0,"Blocked",IF($R46&gt;0,"In Progress","Passed")))))</f>
        <v/>
      </c>
      <c r="O46" s="68" t="str">
        <f>IF(TRIM($A46)="","",COUNTIFS('Card Test Cases'!$B$4:$B$1000,$A46,'Card Test Cases'!$A$4:$A$1000,"&lt;&gt;",'Card Test Cases'!$F$4:$F$1000,"&lt;&gt;Out of Scope"))</f>
        <v/>
      </c>
      <c r="P46" s="68" t="str">
        <f>IF(TRIM($A46)="","",COUNTIFS('Card Test Cases'!$B$4:$B$1000,$A46,'Card Test Cases'!$A$4:$A$1000,"&lt;&gt;",'Card Test Cases'!$F$4:$F$1000,"Passed"))</f>
        <v/>
      </c>
      <c r="Q46" s="68" t="str">
        <f>IF(TRIM($A46)="","",COUNTIFS('Card Test Cases'!$B$4:$B$1000,$A46,'Card Test Cases'!$A$4:$A$1000,"&lt;&gt;",'Card Test Cases'!$F$4:$F$1000,"Failed"))</f>
        <v/>
      </c>
      <c r="R46" s="68" t="str">
        <f t="shared" si="0"/>
        <v/>
      </c>
      <c r="S46" s="68" t="str" cm="1">
        <f t="array" ref="S46">IF(TRIM($A46)="","",IFERROR(_xlfn.TEXTJOIN(", ",TRUE,_xlfn.UNIQUE(_xlfn.VSTACK(_xlfn._xlws.FILTER('Card Test Cases'!$G$4:$G$1000,('Card Test Cases'!$B$4:$B$1000=$A46)*('Card Test Cases'!$G$4:$G$1000&lt;&gt;""),""),_xlfn._xlws.FILTER('E2E core flow'!$U$15:$U$1000,('E2E core flow'!$A$15:$A$1000&lt;&gt;"")*ISNUMBER(SEARCH('E2E core flow'!$A$15:$A$1000,$E46))*('E2E core flow'!$U$15:$U$1000&lt;&gt;""),"")))),"-"))</f>
        <v/>
      </c>
    </row>
    <row r="47" spans="1:19" x14ac:dyDescent="0.3">
      <c r="G47" s="68" t="str" cm="1">
        <f t="array" ref="G47">_xlfn.LET(_xlpm.ids,'E2E core flow'!$A$15:$A$1000,_xlpm.v,'E2E core flow'!$W$15:$W$1000,_xlpm.m,(_xlpm.ids&lt;&gt;"")*ISNUMBER(SEARCH(_xlpm.ids,$E47)),_xlpm.f,SUM(_xlpm.m*(_xlpm.v="Failed")),_xlpm.b,SUM(_xlpm.m*(_xlpm.v="Blocked")),_xlpm.nr,SUM(_xlpm.m*(_xlpm.v="Not Run")),_xlpm.cp,SUM(_xlpm.m*(_xlpm.v="Conditionally Passed")),_xlpm.p,SUM(_xlpm.m*(_xlpm.v="Passed")),IF(TRIM($A47)="","",IF(TRIM($E47)="","Pending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7" s="68" t="str">
        <f>IF(TRIM($A47)="","",IF($J47="Passed","",IF($J47="Passed with Known Issue","Known Issue",IF($J47="",IF(OR($H47&lt;&gt;"No",AND($F47&lt;&gt;"Medium",$F47&lt;&gt;"Low")),"Pending Result",""),IF(OR($H47&lt;&gt;"No",AND($F47&lt;&gt;"Medium",$F47&lt;&gt;"Low")),IF(COUNTIFS(Dashboard!$B$105:$B$124,$A47,Dashboard!$I$105:$I$124,"CAB")&gt;0,"Accepted (CF)","Blocking"),IF($J47="Failed","Deferrable","Carry Over"))))))</f>
        <v/>
      </c>
      <c r="M47" s="68" t="str">
        <f>IF(OR(TRIM($A47)="",TRIM($E47)=""),"",IFERROR(INDEX('E2E core flow'!$B$15:$B$1000,MATCH(1,INDEX(('E2E core flow'!$A$15:$A$1000&lt;&gt;"")*ISNUMBER(SEARCH('E2E core flow'!$A$15:$A$1000,$E47)),0),0))&amp;"","-"))</f>
        <v/>
      </c>
      <c r="N47" s="68" t="str">
        <f>IF(TRIM($A47)="","",IF($O47=0,IF(COUNTIFS('Card Test Cases'!$B$4:$B$1000,$A47,'Card Test Cases'!$A$4:$A$1000,"&lt;&gt;")&gt;0,"Out of Scope","No TC"),IF($Q47&gt;0,"Failed",IF(COUNTIFS('Card Test Cases'!$B$4:$B$1000,$A47,'Card Test Cases'!$A$4:$A$1000,"&lt;&gt;",'Card Test Cases'!$F$4:$F$1000,"Blocked")&gt;0,"Blocked",IF($R47&gt;0,"In Progress","Passed")))))</f>
        <v/>
      </c>
      <c r="O47" s="68" t="str">
        <f>IF(TRIM($A47)="","",COUNTIFS('Card Test Cases'!$B$4:$B$1000,$A47,'Card Test Cases'!$A$4:$A$1000,"&lt;&gt;",'Card Test Cases'!$F$4:$F$1000,"&lt;&gt;Out of Scope"))</f>
        <v/>
      </c>
      <c r="P47" s="68" t="str">
        <f>IF(TRIM($A47)="","",COUNTIFS('Card Test Cases'!$B$4:$B$1000,$A47,'Card Test Cases'!$A$4:$A$1000,"&lt;&gt;",'Card Test Cases'!$F$4:$F$1000,"Passed"))</f>
        <v/>
      </c>
      <c r="Q47" s="68" t="str">
        <f>IF(TRIM($A47)="","",COUNTIFS('Card Test Cases'!$B$4:$B$1000,$A47,'Card Test Cases'!$A$4:$A$1000,"&lt;&gt;",'Card Test Cases'!$F$4:$F$1000,"Failed"))</f>
        <v/>
      </c>
      <c r="R47" s="68" t="str">
        <f t="shared" si="0"/>
        <v/>
      </c>
      <c r="S47" s="68" t="str" cm="1">
        <f t="array" ref="S47">IF(TRIM($A47)="","",IFERROR(_xlfn.TEXTJOIN(", ",TRUE,_xlfn.UNIQUE(_xlfn.VSTACK(_xlfn._xlws.FILTER('Card Test Cases'!$G$4:$G$1000,('Card Test Cases'!$B$4:$B$1000=$A47)*('Card Test Cases'!$G$4:$G$1000&lt;&gt;""),""),_xlfn._xlws.FILTER('E2E core flow'!$U$15:$U$1000,('E2E core flow'!$A$15:$A$1000&lt;&gt;"")*ISNUMBER(SEARCH('E2E core flow'!$A$15:$A$1000,$E47))*('E2E core flow'!$U$15:$U$1000&lt;&gt;""),"")))),"-"))</f>
        <v/>
      </c>
    </row>
    <row r="48" spans="1:19" x14ac:dyDescent="0.3">
      <c r="G48" s="68" t="str" cm="1">
        <f t="array" ref="G48">_xlfn.LET(_xlpm.ids,'E2E core flow'!$A$15:$A$1000,_xlpm.v,'E2E core flow'!$W$15:$W$1000,_xlpm.m,(_xlpm.ids&lt;&gt;"")*ISNUMBER(SEARCH(_xlpm.ids,$E48)),_xlpm.f,SUM(_xlpm.m*(_xlpm.v="Failed")),_xlpm.b,SUM(_xlpm.m*(_xlpm.v="Blocked")),_xlpm.nr,SUM(_xlpm.m*(_xlpm.v="Not Run")),_xlpm.cp,SUM(_xlpm.m*(_xlpm.v="Conditionally Passed")),_xlpm.p,SUM(_xlpm.m*(_xlpm.v="Passed")),IF(TRIM($A48)="","",IF(TRIM($E48)="","Pending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8" s="68" t="str">
        <f>IF(TRIM($A48)="","",IF($J48="Passed","",IF($J48="Passed with Known Issue","Known Issue",IF($J48="",IF(OR($H48&lt;&gt;"No",AND($F48&lt;&gt;"Medium",$F48&lt;&gt;"Low")),"Pending Result",""),IF(OR($H48&lt;&gt;"No",AND($F48&lt;&gt;"Medium",$F48&lt;&gt;"Low")),IF(COUNTIFS(Dashboard!$B$105:$B$124,$A48,Dashboard!$I$105:$I$124,"CAB")&gt;0,"Accepted (CF)","Blocking"),IF($J48="Failed","Deferrable","Carry Over"))))))</f>
        <v/>
      </c>
      <c r="M48" s="68" t="str">
        <f>IF(OR(TRIM($A48)="",TRIM($E48)=""),"",IFERROR(INDEX('E2E core flow'!$B$15:$B$1000,MATCH(1,INDEX(('E2E core flow'!$A$15:$A$1000&lt;&gt;"")*ISNUMBER(SEARCH('E2E core flow'!$A$15:$A$1000,$E48)),0),0))&amp;"","-"))</f>
        <v/>
      </c>
      <c r="N48" s="68" t="str">
        <f>IF(TRIM($A48)="","",IF($O48=0,IF(COUNTIFS('Card Test Cases'!$B$4:$B$1000,$A48,'Card Test Cases'!$A$4:$A$1000,"&lt;&gt;")&gt;0,"Out of Scope","No TC"),IF($Q48&gt;0,"Failed",IF(COUNTIFS('Card Test Cases'!$B$4:$B$1000,$A48,'Card Test Cases'!$A$4:$A$1000,"&lt;&gt;",'Card Test Cases'!$F$4:$F$1000,"Blocked")&gt;0,"Blocked",IF($R48&gt;0,"In Progress","Passed")))))</f>
        <v/>
      </c>
      <c r="O48" s="68" t="str">
        <f>IF(TRIM($A48)="","",COUNTIFS('Card Test Cases'!$B$4:$B$1000,$A48,'Card Test Cases'!$A$4:$A$1000,"&lt;&gt;",'Card Test Cases'!$F$4:$F$1000,"&lt;&gt;Out of Scope"))</f>
        <v/>
      </c>
      <c r="P48" s="68" t="str">
        <f>IF(TRIM($A48)="","",COUNTIFS('Card Test Cases'!$B$4:$B$1000,$A48,'Card Test Cases'!$A$4:$A$1000,"&lt;&gt;",'Card Test Cases'!$F$4:$F$1000,"Passed"))</f>
        <v/>
      </c>
      <c r="Q48" s="68" t="str">
        <f>IF(TRIM($A48)="","",COUNTIFS('Card Test Cases'!$B$4:$B$1000,$A48,'Card Test Cases'!$A$4:$A$1000,"&lt;&gt;",'Card Test Cases'!$F$4:$F$1000,"Failed"))</f>
        <v/>
      </c>
      <c r="R48" s="68" t="str">
        <f t="shared" si="0"/>
        <v/>
      </c>
      <c r="S48" s="68" t="str" cm="1">
        <f t="array" ref="S48">IF(TRIM($A48)="","",IFERROR(_xlfn.TEXTJOIN(", ",TRUE,_xlfn.UNIQUE(_xlfn.VSTACK(_xlfn._xlws.FILTER('Card Test Cases'!$G$4:$G$1000,('Card Test Cases'!$B$4:$B$1000=$A48)*('Card Test Cases'!$G$4:$G$1000&lt;&gt;""),""),_xlfn._xlws.FILTER('E2E core flow'!$U$15:$U$1000,('E2E core flow'!$A$15:$A$1000&lt;&gt;"")*ISNUMBER(SEARCH('E2E core flow'!$A$15:$A$1000,$E48))*('E2E core flow'!$U$15:$U$1000&lt;&gt;""),"")))),"-"))</f>
        <v/>
      </c>
    </row>
    <row r="49" spans="7:19" x14ac:dyDescent="0.3">
      <c r="G49" s="68" t="str" cm="1">
        <f t="array" ref="G49">_xlfn.LET(_xlpm.ids,'E2E core flow'!$A$15:$A$1000,_xlpm.v,'E2E core flow'!$W$15:$W$1000,_xlpm.m,(_xlpm.ids&lt;&gt;"")*ISNUMBER(SEARCH(_xlpm.ids,$E49)),_xlpm.f,SUM(_xlpm.m*(_xlpm.v="Failed")),_xlpm.b,SUM(_xlpm.m*(_xlpm.v="Blocked")),_xlpm.nr,SUM(_xlpm.m*(_xlpm.v="Not Run")),_xlpm.cp,SUM(_xlpm.m*(_xlpm.v="Conditionally Passed")),_xlpm.p,SUM(_xlpm.m*(_xlpm.v="Passed")),IF(TRIM($A49)="","",IF(TRIM($E49)="","Pending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9" s="68" t="str">
        <f>IF(TRIM($A49)="","",IF($J49="Passed","",IF($J49="Passed with Known Issue","Known Issue",IF($J49="",IF(OR($H49&lt;&gt;"No",AND($F49&lt;&gt;"Medium",$F49&lt;&gt;"Low")),"Pending Result",""),IF(OR($H49&lt;&gt;"No",AND($F49&lt;&gt;"Medium",$F49&lt;&gt;"Low")),IF(COUNTIFS(Dashboard!$B$105:$B$124,$A49,Dashboard!$I$105:$I$124,"CAB")&gt;0,"Accepted (CF)","Blocking"),IF($J49="Failed","Deferrable","Carry Over"))))))</f>
        <v/>
      </c>
      <c r="M49" s="68" t="str">
        <f>IF(OR(TRIM($A49)="",TRIM($E49)=""),"",IFERROR(INDEX('E2E core flow'!$B$15:$B$1000,MATCH(1,INDEX(('E2E core flow'!$A$15:$A$1000&lt;&gt;"")*ISNUMBER(SEARCH('E2E core flow'!$A$15:$A$1000,$E49)),0),0))&amp;"","-"))</f>
        <v/>
      </c>
      <c r="N49" s="68" t="str">
        <f>IF(TRIM($A49)="","",IF($O49=0,IF(COUNTIFS('Card Test Cases'!$B$4:$B$1000,$A49,'Card Test Cases'!$A$4:$A$1000,"&lt;&gt;")&gt;0,"Out of Scope","No TC"),IF($Q49&gt;0,"Failed",IF(COUNTIFS('Card Test Cases'!$B$4:$B$1000,$A49,'Card Test Cases'!$A$4:$A$1000,"&lt;&gt;",'Card Test Cases'!$F$4:$F$1000,"Blocked")&gt;0,"Blocked",IF($R49&gt;0,"In Progress","Passed")))))</f>
        <v/>
      </c>
      <c r="O49" s="68" t="str">
        <f>IF(TRIM($A49)="","",COUNTIFS('Card Test Cases'!$B$4:$B$1000,$A49,'Card Test Cases'!$A$4:$A$1000,"&lt;&gt;",'Card Test Cases'!$F$4:$F$1000,"&lt;&gt;Out of Scope"))</f>
        <v/>
      </c>
      <c r="P49" s="68" t="str">
        <f>IF(TRIM($A49)="","",COUNTIFS('Card Test Cases'!$B$4:$B$1000,$A49,'Card Test Cases'!$A$4:$A$1000,"&lt;&gt;",'Card Test Cases'!$F$4:$F$1000,"Passed"))</f>
        <v/>
      </c>
      <c r="Q49" s="68" t="str">
        <f>IF(TRIM($A49)="","",COUNTIFS('Card Test Cases'!$B$4:$B$1000,$A49,'Card Test Cases'!$A$4:$A$1000,"&lt;&gt;",'Card Test Cases'!$F$4:$F$1000,"Failed"))</f>
        <v/>
      </c>
      <c r="R49" s="68" t="str">
        <f t="shared" si="0"/>
        <v/>
      </c>
      <c r="S49" s="68" t="str" cm="1">
        <f t="array" ref="S49">IF(TRIM($A49)="","",IFERROR(_xlfn.TEXTJOIN(", ",TRUE,_xlfn.UNIQUE(_xlfn.VSTACK(_xlfn._xlws.FILTER('Card Test Cases'!$G$4:$G$1000,('Card Test Cases'!$B$4:$B$1000=$A49)*('Card Test Cases'!$G$4:$G$1000&lt;&gt;""),""),_xlfn._xlws.FILTER('E2E core flow'!$U$15:$U$1000,('E2E core flow'!$A$15:$A$1000&lt;&gt;"")*ISNUMBER(SEARCH('E2E core flow'!$A$15:$A$1000,$E49))*('E2E core flow'!$U$15:$U$1000&lt;&gt;""),"")))),"-"))</f>
        <v/>
      </c>
    </row>
    <row r="50" spans="7:19" x14ac:dyDescent="0.3">
      <c r="G50" s="68" t="str" cm="1">
        <f t="array" ref="G50">_xlfn.LET(_xlpm.ids,'E2E core flow'!$A$15:$A$1000,_xlpm.v,'E2E core flow'!$W$15:$W$1000,_xlpm.m,(_xlpm.ids&lt;&gt;"")*ISNUMBER(SEARCH(_xlpm.ids,$E50)),_xlpm.f,SUM(_xlpm.m*(_xlpm.v="Failed")),_xlpm.b,SUM(_xlpm.m*(_xlpm.v="Blocked")),_xlpm.nr,SUM(_xlpm.m*(_xlpm.v="Not Run")),_xlpm.cp,SUM(_xlpm.m*(_xlpm.v="Conditionally Passed")),_xlpm.p,SUM(_xlpm.m*(_xlpm.v="Passed")),IF(TRIM($A50)="","",IF(TRIM($E50)="","Pending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0" s="68" t="str">
        <f>IF(TRIM($A50)="","",IF($J50="Passed","",IF($J50="Passed with Known Issue","Known Issue",IF($J50="",IF(OR($H50&lt;&gt;"No",AND($F50&lt;&gt;"Medium",$F50&lt;&gt;"Low")),"Pending Result",""),IF(OR($H50&lt;&gt;"No",AND($F50&lt;&gt;"Medium",$F50&lt;&gt;"Low")),IF(COUNTIFS(Dashboard!$B$105:$B$124,$A50,Dashboard!$I$105:$I$124,"CAB")&gt;0,"Accepted (CF)","Blocking"),IF($J50="Failed","Deferrable","Carry Over"))))))</f>
        <v/>
      </c>
      <c r="M50" s="68" t="str">
        <f>IF(OR(TRIM($A50)="",TRIM($E50)=""),"",IFERROR(INDEX('E2E core flow'!$B$15:$B$1000,MATCH(1,INDEX(('E2E core flow'!$A$15:$A$1000&lt;&gt;"")*ISNUMBER(SEARCH('E2E core flow'!$A$15:$A$1000,$E50)),0),0))&amp;"","-"))</f>
        <v/>
      </c>
      <c r="N50" s="68" t="str">
        <f>IF(TRIM($A50)="","",IF($O50=0,IF(COUNTIFS('Card Test Cases'!$B$4:$B$1000,$A50,'Card Test Cases'!$A$4:$A$1000,"&lt;&gt;")&gt;0,"Out of Scope","No TC"),IF($Q50&gt;0,"Failed",IF(COUNTIFS('Card Test Cases'!$B$4:$B$1000,$A50,'Card Test Cases'!$A$4:$A$1000,"&lt;&gt;",'Card Test Cases'!$F$4:$F$1000,"Blocked")&gt;0,"Blocked",IF($R50&gt;0,"In Progress","Passed")))))</f>
        <v/>
      </c>
      <c r="O50" s="68" t="str">
        <f>IF(TRIM($A50)="","",COUNTIFS('Card Test Cases'!$B$4:$B$1000,$A50,'Card Test Cases'!$A$4:$A$1000,"&lt;&gt;",'Card Test Cases'!$F$4:$F$1000,"&lt;&gt;Out of Scope"))</f>
        <v/>
      </c>
      <c r="P50" s="68" t="str">
        <f>IF(TRIM($A50)="","",COUNTIFS('Card Test Cases'!$B$4:$B$1000,$A50,'Card Test Cases'!$A$4:$A$1000,"&lt;&gt;",'Card Test Cases'!$F$4:$F$1000,"Passed"))</f>
        <v/>
      </c>
      <c r="Q50" s="68" t="str">
        <f>IF(TRIM($A50)="","",COUNTIFS('Card Test Cases'!$B$4:$B$1000,$A50,'Card Test Cases'!$A$4:$A$1000,"&lt;&gt;",'Card Test Cases'!$F$4:$F$1000,"Failed"))</f>
        <v/>
      </c>
      <c r="R50" s="68" t="str">
        <f t="shared" si="0"/>
        <v/>
      </c>
      <c r="S50" s="68" t="str" cm="1">
        <f t="array" ref="S50">IF(TRIM($A50)="","",IFERROR(_xlfn.TEXTJOIN(", ",TRUE,_xlfn.UNIQUE(_xlfn.VSTACK(_xlfn._xlws.FILTER('Card Test Cases'!$G$4:$G$1000,('Card Test Cases'!$B$4:$B$1000=$A50)*('Card Test Cases'!$G$4:$G$1000&lt;&gt;""),""),_xlfn._xlws.FILTER('E2E core flow'!$U$15:$U$1000,('E2E core flow'!$A$15:$A$1000&lt;&gt;"")*ISNUMBER(SEARCH('E2E core flow'!$A$15:$A$1000,$E50))*('E2E core flow'!$U$15:$U$1000&lt;&gt;""),"")))),"-"))</f>
        <v/>
      </c>
    </row>
    <row r="51" spans="7:19" x14ac:dyDescent="0.3">
      <c r="G51" s="68" t="str" cm="1">
        <f t="array" ref="G51">_xlfn.LET(_xlpm.ids,'E2E core flow'!$A$15:$A$1000,_xlpm.v,'E2E core flow'!$W$15:$W$1000,_xlpm.m,(_xlpm.ids&lt;&gt;"")*ISNUMBER(SEARCH(_xlpm.ids,$E51)),_xlpm.f,SUM(_xlpm.m*(_xlpm.v="Failed")),_xlpm.b,SUM(_xlpm.m*(_xlpm.v="Blocked")),_xlpm.nr,SUM(_xlpm.m*(_xlpm.v="Not Run")),_xlpm.cp,SUM(_xlpm.m*(_xlpm.v="Conditionally Passed")),_xlpm.p,SUM(_xlpm.m*(_xlpm.v="Passed")),IF(TRIM($A51)="","",IF(TRIM($E51)="","Pending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1" s="68" t="str">
        <f>IF(TRIM($A51)="","",IF($J51="Passed","",IF($J51="Passed with Known Issue","Known Issue",IF($J51="",IF(OR($H51&lt;&gt;"No",AND($F51&lt;&gt;"Medium",$F51&lt;&gt;"Low")),"Pending Result",""),IF(OR($H51&lt;&gt;"No",AND($F51&lt;&gt;"Medium",$F51&lt;&gt;"Low")),IF(COUNTIFS(Dashboard!$B$105:$B$124,$A51,Dashboard!$I$105:$I$124,"CAB")&gt;0,"Accepted (CF)","Blocking"),IF($J51="Failed","Deferrable","Carry Over"))))))</f>
        <v/>
      </c>
      <c r="M51" s="68" t="str">
        <f>IF(OR(TRIM($A51)="",TRIM($E51)=""),"",IFERROR(INDEX('E2E core flow'!$B$15:$B$1000,MATCH(1,INDEX(('E2E core flow'!$A$15:$A$1000&lt;&gt;"")*ISNUMBER(SEARCH('E2E core flow'!$A$15:$A$1000,$E51)),0),0))&amp;"","-"))</f>
        <v/>
      </c>
      <c r="N51" s="68" t="str">
        <f>IF(TRIM($A51)="","",IF($O51=0,IF(COUNTIFS('Card Test Cases'!$B$4:$B$1000,$A51,'Card Test Cases'!$A$4:$A$1000,"&lt;&gt;")&gt;0,"Out of Scope","No TC"),IF($Q51&gt;0,"Failed",IF(COUNTIFS('Card Test Cases'!$B$4:$B$1000,$A51,'Card Test Cases'!$A$4:$A$1000,"&lt;&gt;",'Card Test Cases'!$F$4:$F$1000,"Blocked")&gt;0,"Blocked",IF($R51&gt;0,"In Progress","Passed")))))</f>
        <v/>
      </c>
      <c r="O51" s="68" t="str">
        <f>IF(TRIM($A51)="","",COUNTIFS('Card Test Cases'!$B$4:$B$1000,$A51,'Card Test Cases'!$A$4:$A$1000,"&lt;&gt;",'Card Test Cases'!$F$4:$F$1000,"&lt;&gt;Out of Scope"))</f>
        <v/>
      </c>
      <c r="P51" s="68" t="str">
        <f>IF(TRIM($A51)="","",COUNTIFS('Card Test Cases'!$B$4:$B$1000,$A51,'Card Test Cases'!$A$4:$A$1000,"&lt;&gt;",'Card Test Cases'!$F$4:$F$1000,"Passed"))</f>
        <v/>
      </c>
      <c r="Q51" s="68" t="str">
        <f>IF(TRIM($A51)="","",COUNTIFS('Card Test Cases'!$B$4:$B$1000,$A51,'Card Test Cases'!$A$4:$A$1000,"&lt;&gt;",'Card Test Cases'!$F$4:$F$1000,"Failed"))</f>
        <v/>
      </c>
      <c r="R51" s="68" t="str">
        <f t="shared" si="0"/>
        <v/>
      </c>
      <c r="S51" s="68" t="str" cm="1">
        <f t="array" ref="S51">IF(TRIM($A51)="","",IFERROR(_xlfn.TEXTJOIN(", ",TRUE,_xlfn.UNIQUE(_xlfn.VSTACK(_xlfn._xlws.FILTER('Card Test Cases'!$G$4:$G$1000,('Card Test Cases'!$B$4:$B$1000=$A51)*('Card Test Cases'!$G$4:$G$1000&lt;&gt;""),""),_xlfn._xlws.FILTER('E2E core flow'!$U$15:$U$1000,('E2E core flow'!$A$15:$A$1000&lt;&gt;"")*ISNUMBER(SEARCH('E2E core flow'!$A$15:$A$1000,$E51))*('E2E core flow'!$U$15:$U$1000&lt;&gt;""),"")))),"-"))</f>
        <v/>
      </c>
    </row>
    <row r="52" spans="7:19" x14ac:dyDescent="0.3">
      <c r="G52" s="68" t="str" cm="1">
        <f t="array" ref="G52">_xlfn.LET(_xlpm.ids,'E2E core flow'!$A$15:$A$1000,_xlpm.v,'E2E core flow'!$W$15:$W$1000,_xlpm.m,(_xlpm.ids&lt;&gt;"")*ISNUMBER(SEARCH(_xlpm.ids,$E52)),_xlpm.f,SUM(_xlpm.m*(_xlpm.v="Failed")),_xlpm.b,SUM(_xlpm.m*(_xlpm.v="Blocked")),_xlpm.nr,SUM(_xlpm.m*(_xlpm.v="Not Run")),_xlpm.cp,SUM(_xlpm.m*(_xlpm.v="Conditionally Passed")),_xlpm.p,SUM(_xlpm.m*(_xlpm.v="Passed")),IF(TRIM($A52)="","",IF(TRIM($E52)="","Pending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2" s="68" t="str">
        <f>IF(TRIM($A52)="","",IF($J52="Passed","",IF($J52="Passed with Known Issue","Known Issue",IF($J52="",IF(OR($H52&lt;&gt;"No",AND($F52&lt;&gt;"Medium",$F52&lt;&gt;"Low")),"Pending Result",""),IF(OR($H52&lt;&gt;"No",AND($F52&lt;&gt;"Medium",$F52&lt;&gt;"Low")),IF(COUNTIFS(Dashboard!$B$105:$B$124,$A52,Dashboard!$I$105:$I$124,"CAB")&gt;0,"Accepted (CF)","Blocking"),IF($J52="Failed","Deferrable","Carry Over"))))))</f>
        <v/>
      </c>
      <c r="M52" s="68" t="str">
        <f>IF(OR(TRIM($A52)="",TRIM($E52)=""),"",IFERROR(INDEX('E2E core flow'!$B$15:$B$1000,MATCH(1,INDEX(('E2E core flow'!$A$15:$A$1000&lt;&gt;"")*ISNUMBER(SEARCH('E2E core flow'!$A$15:$A$1000,$E52)),0),0))&amp;"","-"))</f>
        <v/>
      </c>
      <c r="N52" s="68" t="str">
        <f>IF(TRIM($A52)="","",IF($O52=0,IF(COUNTIFS('Card Test Cases'!$B$4:$B$1000,$A52,'Card Test Cases'!$A$4:$A$1000,"&lt;&gt;")&gt;0,"Out of Scope","No TC"),IF($Q52&gt;0,"Failed",IF(COUNTIFS('Card Test Cases'!$B$4:$B$1000,$A52,'Card Test Cases'!$A$4:$A$1000,"&lt;&gt;",'Card Test Cases'!$F$4:$F$1000,"Blocked")&gt;0,"Blocked",IF($R52&gt;0,"In Progress","Passed")))))</f>
        <v/>
      </c>
      <c r="O52" s="68" t="str">
        <f>IF(TRIM($A52)="","",COUNTIFS('Card Test Cases'!$B$4:$B$1000,$A52,'Card Test Cases'!$A$4:$A$1000,"&lt;&gt;",'Card Test Cases'!$F$4:$F$1000,"&lt;&gt;Out of Scope"))</f>
        <v/>
      </c>
      <c r="P52" s="68" t="str">
        <f>IF(TRIM($A52)="","",COUNTIFS('Card Test Cases'!$B$4:$B$1000,$A52,'Card Test Cases'!$A$4:$A$1000,"&lt;&gt;",'Card Test Cases'!$F$4:$F$1000,"Passed"))</f>
        <v/>
      </c>
      <c r="Q52" s="68" t="str">
        <f>IF(TRIM($A52)="","",COUNTIFS('Card Test Cases'!$B$4:$B$1000,$A52,'Card Test Cases'!$A$4:$A$1000,"&lt;&gt;",'Card Test Cases'!$F$4:$F$1000,"Failed"))</f>
        <v/>
      </c>
      <c r="R52" s="68" t="str">
        <f t="shared" si="0"/>
        <v/>
      </c>
      <c r="S52" s="68" t="str" cm="1">
        <f t="array" ref="S52">IF(TRIM($A52)="","",IFERROR(_xlfn.TEXTJOIN(", ",TRUE,_xlfn.UNIQUE(_xlfn.VSTACK(_xlfn._xlws.FILTER('Card Test Cases'!$G$4:$G$1000,('Card Test Cases'!$B$4:$B$1000=$A52)*('Card Test Cases'!$G$4:$G$1000&lt;&gt;""),""),_xlfn._xlws.FILTER('E2E core flow'!$U$15:$U$1000,('E2E core flow'!$A$15:$A$1000&lt;&gt;"")*ISNUMBER(SEARCH('E2E core flow'!$A$15:$A$1000,$E52))*('E2E core flow'!$U$15:$U$1000&lt;&gt;""),"")))),"-"))</f>
        <v/>
      </c>
    </row>
    <row r="53" spans="7:19" x14ac:dyDescent="0.3">
      <c r="G53" s="68" t="str" cm="1">
        <f t="array" ref="G53">_xlfn.LET(_xlpm.ids,'E2E core flow'!$A$15:$A$1000,_xlpm.v,'E2E core flow'!$W$15:$W$1000,_xlpm.m,(_xlpm.ids&lt;&gt;"")*ISNUMBER(SEARCH(_xlpm.ids,$E53)),_xlpm.f,SUM(_xlpm.m*(_xlpm.v="Failed")),_xlpm.b,SUM(_xlpm.m*(_xlpm.v="Blocked")),_xlpm.nr,SUM(_xlpm.m*(_xlpm.v="Not Run")),_xlpm.cp,SUM(_xlpm.m*(_xlpm.v="Conditionally Passed")),_xlpm.p,SUM(_xlpm.m*(_xlpm.v="Passed")),IF(TRIM($A53)="","",IF(TRIM($E53)="","Pending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3" s="68" t="str">
        <f>IF(TRIM($A53)="","",IF($J53="Passed","",IF($J53="Passed with Known Issue","Known Issue",IF($J53="",IF(OR($H53&lt;&gt;"No",AND($F53&lt;&gt;"Medium",$F53&lt;&gt;"Low")),"Pending Result",""),IF(OR($H53&lt;&gt;"No",AND($F53&lt;&gt;"Medium",$F53&lt;&gt;"Low")),IF(COUNTIFS(Dashboard!$B$105:$B$124,$A53,Dashboard!$I$105:$I$124,"CAB")&gt;0,"Accepted (CF)","Blocking"),IF($J53="Failed","Deferrable","Carry Over"))))))</f>
        <v/>
      </c>
      <c r="M53" s="68" t="str">
        <f>IF(OR(TRIM($A53)="",TRIM($E53)=""),"",IFERROR(INDEX('E2E core flow'!$B$15:$B$1000,MATCH(1,INDEX(('E2E core flow'!$A$15:$A$1000&lt;&gt;"")*ISNUMBER(SEARCH('E2E core flow'!$A$15:$A$1000,$E53)),0),0))&amp;"","-"))</f>
        <v/>
      </c>
      <c r="N53" s="68" t="str">
        <f>IF(TRIM($A53)="","",IF($O53=0,IF(COUNTIFS('Card Test Cases'!$B$4:$B$1000,$A53,'Card Test Cases'!$A$4:$A$1000,"&lt;&gt;")&gt;0,"Out of Scope","No TC"),IF($Q53&gt;0,"Failed",IF(COUNTIFS('Card Test Cases'!$B$4:$B$1000,$A53,'Card Test Cases'!$A$4:$A$1000,"&lt;&gt;",'Card Test Cases'!$F$4:$F$1000,"Blocked")&gt;0,"Blocked",IF($R53&gt;0,"In Progress","Passed")))))</f>
        <v/>
      </c>
      <c r="O53" s="68" t="str">
        <f>IF(TRIM($A53)="","",COUNTIFS('Card Test Cases'!$B$4:$B$1000,$A53,'Card Test Cases'!$A$4:$A$1000,"&lt;&gt;",'Card Test Cases'!$F$4:$F$1000,"&lt;&gt;Out of Scope"))</f>
        <v/>
      </c>
      <c r="P53" s="68" t="str">
        <f>IF(TRIM($A53)="","",COUNTIFS('Card Test Cases'!$B$4:$B$1000,$A53,'Card Test Cases'!$A$4:$A$1000,"&lt;&gt;",'Card Test Cases'!$F$4:$F$1000,"Passed"))</f>
        <v/>
      </c>
      <c r="Q53" s="68" t="str">
        <f>IF(TRIM($A53)="","",COUNTIFS('Card Test Cases'!$B$4:$B$1000,$A53,'Card Test Cases'!$A$4:$A$1000,"&lt;&gt;",'Card Test Cases'!$F$4:$F$1000,"Failed"))</f>
        <v/>
      </c>
      <c r="R53" s="68" t="str">
        <f t="shared" si="0"/>
        <v/>
      </c>
      <c r="S53" s="68" t="str" cm="1">
        <f t="array" ref="S53">IF(TRIM($A53)="","",IFERROR(_xlfn.TEXTJOIN(", ",TRUE,_xlfn.UNIQUE(_xlfn.VSTACK(_xlfn._xlws.FILTER('Card Test Cases'!$G$4:$G$1000,('Card Test Cases'!$B$4:$B$1000=$A53)*('Card Test Cases'!$G$4:$G$1000&lt;&gt;""),""),_xlfn._xlws.FILTER('E2E core flow'!$U$15:$U$1000,('E2E core flow'!$A$15:$A$1000&lt;&gt;"")*ISNUMBER(SEARCH('E2E core flow'!$A$15:$A$1000,$E53))*('E2E core flow'!$U$15:$U$1000&lt;&gt;""),"")))),"-"))</f>
        <v/>
      </c>
    </row>
    <row r="54" spans="7:19" x14ac:dyDescent="0.3">
      <c r="G54" s="68" t="str" cm="1">
        <f t="array" ref="G54">_xlfn.LET(_xlpm.ids,'E2E core flow'!$A$15:$A$1000,_xlpm.v,'E2E core flow'!$W$15:$W$1000,_xlpm.m,(_xlpm.ids&lt;&gt;"")*ISNUMBER(SEARCH(_xlpm.ids,$E54)),_xlpm.f,SUM(_xlpm.m*(_xlpm.v="Failed")),_xlpm.b,SUM(_xlpm.m*(_xlpm.v="Blocked")),_xlpm.nr,SUM(_xlpm.m*(_xlpm.v="Not Run")),_xlpm.cp,SUM(_xlpm.m*(_xlpm.v="Conditionally Passed")),_xlpm.p,SUM(_xlpm.m*(_xlpm.v="Passed")),IF(TRIM($A54)="","",IF(TRIM($E54)="","Pending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4" s="68" t="str">
        <f>IF(TRIM($A54)="","",IF($J54="Passed","",IF($J54="Passed with Known Issue","Known Issue",IF($J54="",IF(OR($H54&lt;&gt;"No",AND($F54&lt;&gt;"Medium",$F54&lt;&gt;"Low")),"Pending Result",""),IF(OR($H54&lt;&gt;"No",AND($F54&lt;&gt;"Medium",$F54&lt;&gt;"Low")),IF(COUNTIFS(Dashboard!$B$105:$B$124,$A54,Dashboard!$I$105:$I$124,"CAB")&gt;0,"Accepted (CF)","Blocking"),IF($J54="Failed","Deferrable","Carry Over"))))))</f>
        <v/>
      </c>
      <c r="M54" s="68" t="str">
        <f>IF(OR(TRIM($A54)="",TRIM($E54)=""),"",IFERROR(INDEX('E2E core flow'!$B$15:$B$1000,MATCH(1,INDEX(('E2E core flow'!$A$15:$A$1000&lt;&gt;"")*ISNUMBER(SEARCH('E2E core flow'!$A$15:$A$1000,$E54)),0),0))&amp;"","-"))</f>
        <v/>
      </c>
      <c r="N54" s="68" t="str">
        <f>IF(TRIM($A54)="","",IF($O54=0,IF(COUNTIFS('Card Test Cases'!$B$4:$B$1000,$A54,'Card Test Cases'!$A$4:$A$1000,"&lt;&gt;")&gt;0,"Out of Scope","No TC"),IF($Q54&gt;0,"Failed",IF(COUNTIFS('Card Test Cases'!$B$4:$B$1000,$A54,'Card Test Cases'!$A$4:$A$1000,"&lt;&gt;",'Card Test Cases'!$F$4:$F$1000,"Blocked")&gt;0,"Blocked",IF($R54&gt;0,"In Progress","Passed")))))</f>
        <v/>
      </c>
      <c r="O54" s="68" t="str">
        <f>IF(TRIM($A54)="","",COUNTIFS('Card Test Cases'!$B$4:$B$1000,$A54,'Card Test Cases'!$A$4:$A$1000,"&lt;&gt;",'Card Test Cases'!$F$4:$F$1000,"&lt;&gt;Out of Scope"))</f>
        <v/>
      </c>
      <c r="P54" s="68" t="str">
        <f>IF(TRIM($A54)="","",COUNTIFS('Card Test Cases'!$B$4:$B$1000,$A54,'Card Test Cases'!$A$4:$A$1000,"&lt;&gt;",'Card Test Cases'!$F$4:$F$1000,"Passed"))</f>
        <v/>
      </c>
      <c r="Q54" s="68" t="str">
        <f>IF(TRIM($A54)="","",COUNTIFS('Card Test Cases'!$B$4:$B$1000,$A54,'Card Test Cases'!$A$4:$A$1000,"&lt;&gt;",'Card Test Cases'!$F$4:$F$1000,"Failed"))</f>
        <v/>
      </c>
      <c r="R54" s="68" t="str">
        <f t="shared" si="0"/>
        <v/>
      </c>
      <c r="S54" s="68" t="str" cm="1">
        <f t="array" ref="S54">IF(TRIM($A54)="","",IFERROR(_xlfn.TEXTJOIN(", ",TRUE,_xlfn.UNIQUE(_xlfn.VSTACK(_xlfn._xlws.FILTER('Card Test Cases'!$G$4:$G$1000,('Card Test Cases'!$B$4:$B$1000=$A54)*('Card Test Cases'!$G$4:$G$1000&lt;&gt;""),""),_xlfn._xlws.FILTER('E2E core flow'!$U$15:$U$1000,('E2E core flow'!$A$15:$A$1000&lt;&gt;"")*ISNUMBER(SEARCH('E2E core flow'!$A$15:$A$1000,$E54))*('E2E core flow'!$U$15:$U$1000&lt;&gt;""),"")))),"-"))</f>
        <v/>
      </c>
    </row>
    <row r="55" spans="7:19" x14ac:dyDescent="0.3">
      <c r="G55" s="68" t="str" cm="1">
        <f t="array" ref="G55">_xlfn.LET(_xlpm.ids,'E2E core flow'!$A$15:$A$1000,_xlpm.v,'E2E core flow'!$W$15:$W$1000,_xlpm.m,(_xlpm.ids&lt;&gt;"")*ISNUMBER(SEARCH(_xlpm.ids,$E55)),_xlpm.f,SUM(_xlpm.m*(_xlpm.v="Failed")),_xlpm.b,SUM(_xlpm.m*(_xlpm.v="Blocked")),_xlpm.nr,SUM(_xlpm.m*(_xlpm.v="Not Run")),_xlpm.cp,SUM(_xlpm.m*(_xlpm.v="Conditionally Passed")),_xlpm.p,SUM(_xlpm.m*(_xlpm.v="Passed")),IF(TRIM($A55)="","",IF(TRIM($E55)="","Pending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5" s="68" t="str">
        <f>IF(TRIM($A55)="","",IF($J55="Passed","",IF($J55="Passed with Known Issue","Known Issue",IF($J55="",IF(OR($H55&lt;&gt;"No",AND($F55&lt;&gt;"Medium",$F55&lt;&gt;"Low")),"Pending Result",""),IF(OR($H55&lt;&gt;"No",AND($F55&lt;&gt;"Medium",$F55&lt;&gt;"Low")),IF(COUNTIFS(Dashboard!$B$105:$B$124,$A55,Dashboard!$I$105:$I$124,"CAB")&gt;0,"Accepted (CF)","Blocking"),IF($J55="Failed","Deferrable","Carry Over"))))))</f>
        <v/>
      </c>
      <c r="M55" s="68" t="str">
        <f>IF(OR(TRIM($A55)="",TRIM($E55)=""),"",IFERROR(INDEX('E2E core flow'!$B$15:$B$1000,MATCH(1,INDEX(('E2E core flow'!$A$15:$A$1000&lt;&gt;"")*ISNUMBER(SEARCH('E2E core flow'!$A$15:$A$1000,$E55)),0),0))&amp;"","-"))</f>
        <v/>
      </c>
      <c r="N55" s="68" t="str">
        <f>IF(TRIM($A55)="","",IF($O55=0,IF(COUNTIFS('Card Test Cases'!$B$4:$B$1000,$A55,'Card Test Cases'!$A$4:$A$1000,"&lt;&gt;")&gt;0,"Out of Scope","No TC"),IF($Q55&gt;0,"Failed",IF(COUNTIFS('Card Test Cases'!$B$4:$B$1000,$A55,'Card Test Cases'!$A$4:$A$1000,"&lt;&gt;",'Card Test Cases'!$F$4:$F$1000,"Blocked")&gt;0,"Blocked",IF($R55&gt;0,"In Progress","Passed")))))</f>
        <v/>
      </c>
      <c r="O55" s="68" t="str">
        <f>IF(TRIM($A55)="","",COUNTIFS('Card Test Cases'!$B$4:$B$1000,$A55,'Card Test Cases'!$A$4:$A$1000,"&lt;&gt;",'Card Test Cases'!$F$4:$F$1000,"&lt;&gt;Out of Scope"))</f>
        <v/>
      </c>
      <c r="P55" s="68" t="str">
        <f>IF(TRIM($A55)="","",COUNTIFS('Card Test Cases'!$B$4:$B$1000,$A55,'Card Test Cases'!$A$4:$A$1000,"&lt;&gt;",'Card Test Cases'!$F$4:$F$1000,"Passed"))</f>
        <v/>
      </c>
      <c r="Q55" s="68" t="str">
        <f>IF(TRIM($A55)="","",COUNTIFS('Card Test Cases'!$B$4:$B$1000,$A55,'Card Test Cases'!$A$4:$A$1000,"&lt;&gt;",'Card Test Cases'!$F$4:$F$1000,"Failed"))</f>
        <v/>
      </c>
      <c r="R55" s="68" t="str">
        <f t="shared" si="0"/>
        <v/>
      </c>
      <c r="S55" s="68" t="str" cm="1">
        <f t="array" ref="S55">IF(TRIM($A55)="","",IFERROR(_xlfn.TEXTJOIN(", ",TRUE,_xlfn.UNIQUE(_xlfn.VSTACK(_xlfn._xlws.FILTER('Card Test Cases'!$G$4:$G$1000,('Card Test Cases'!$B$4:$B$1000=$A55)*('Card Test Cases'!$G$4:$G$1000&lt;&gt;""),""),_xlfn._xlws.FILTER('E2E core flow'!$U$15:$U$1000,('E2E core flow'!$A$15:$A$1000&lt;&gt;"")*ISNUMBER(SEARCH('E2E core flow'!$A$15:$A$1000,$E55))*('E2E core flow'!$U$15:$U$1000&lt;&gt;""),"")))),"-"))</f>
        <v/>
      </c>
    </row>
    <row r="56" spans="7:19" x14ac:dyDescent="0.3">
      <c r="G56" s="68" t="str" cm="1">
        <f t="array" ref="G56">_xlfn.LET(_xlpm.ids,'E2E core flow'!$A$15:$A$1000,_xlpm.v,'E2E core flow'!$W$15:$W$1000,_xlpm.m,(_xlpm.ids&lt;&gt;"")*ISNUMBER(SEARCH(_xlpm.ids,$E56)),_xlpm.f,SUM(_xlpm.m*(_xlpm.v="Failed")),_xlpm.b,SUM(_xlpm.m*(_xlpm.v="Blocked")),_xlpm.nr,SUM(_xlpm.m*(_xlpm.v="Not Run")),_xlpm.cp,SUM(_xlpm.m*(_xlpm.v="Conditionally Passed")),_xlpm.p,SUM(_xlpm.m*(_xlpm.v="Passed")),IF(TRIM($A56)="","",IF(TRIM($E56)="","Pending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6" s="68" t="str">
        <f>IF(TRIM($A56)="","",IF($J56="Passed","",IF($J56="Passed with Known Issue","Known Issue",IF($J56="",IF(OR($H56&lt;&gt;"No",AND($F56&lt;&gt;"Medium",$F56&lt;&gt;"Low")),"Pending Result",""),IF(OR($H56&lt;&gt;"No",AND($F56&lt;&gt;"Medium",$F56&lt;&gt;"Low")),IF(COUNTIFS(Dashboard!$B$105:$B$124,$A56,Dashboard!$I$105:$I$124,"CAB")&gt;0,"Accepted (CF)","Blocking"),IF($J56="Failed","Deferrable","Carry Over"))))))</f>
        <v/>
      </c>
      <c r="M56" s="68" t="str">
        <f>IF(OR(TRIM($A56)="",TRIM($E56)=""),"",IFERROR(INDEX('E2E core flow'!$B$15:$B$1000,MATCH(1,INDEX(('E2E core flow'!$A$15:$A$1000&lt;&gt;"")*ISNUMBER(SEARCH('E2E core flow'!$A$15:$A$1000,$E56)),0),0))&amp;"","-"))</f>
        <v/>
      </c>
      <c r="N56" s="68" t="str">
        <f>IF(TRIM($A56)="","",IF($O56=0,IF(COUNTIFS('Card Test Cases'!$B$4:$B$1000,$A56,'Card Test Cases'!$A$4:$A$1000,"&lt;&gt;")&gt;0,"Out of Scope","No TC"),IF($Q56&gt;0,"Failed",IF(COUNTIFS('Card Test Cases'!$B$4:$B$1000,$A56,'Card Test Cases'!$A$4:$A$1000,"&lt;&gt;",'Card Test Cases'!$F$4:$F$1000,"Blocked")&gt;0,"Blocked",IF($R56&gt;0,"In Progress","Passed")))))</f>
        <v/>
      </c>
      <c r="O56" s="68" t="str">
        <f>IF(TRIM($A56)="","",COUNTIFS('Card Test Cases'!$B$4:$B$1000,$A56,'Card Test Cases'!$A$4:$A$1000,"&lt;&gt;",'Card Test Cases'!$F$4:$F$1000,"&lt;&gt;Out of Scope"))</f>
        <v/>
      </c>
      <c r="P56" s="68" t="str">
        <f>IF(TRIM($A56)="","",COUNTIFS('Card Test Cases'!$B$4:$B$1000,$A56,'Card Test Cases'!$A$4:$A$1000,"&lt;&gt;",'Card Test Cases'!$F$4:$F$1000,"Passed"))</f>
        <v/>
      </c>
      <c r="Q56" s="68" t="str">
        <f>IF(TRIM($A56)="","",COUNTIFS('Card Test Cases'!$B$4:$B$1000,$A56,'Card Test Cases'!$A$4:$A$1000,"&lt;&gt;",'Card Test Cases'!$F$4:$F$1000,"Failed"))</f>
        <v/>
      </c>
      <c r="R56" s="68" t="str">
        <f t="shared" si="0"/>
        <v/>
      </c>
      <c r="S56" s="68" t="str" cm="1">
        <f t="array" ref="S56">IF(TRIM($A56)="","",IFERROR(_xlfn.TEXTJOIN(", ",TRUE,_xlfn.UNIQUE(_xlfn.VSTACK(_xlfn._xlws.FILTER('Card Test Cases'!$G$4:$G$1000,('Card Test Cases'!$B$4:$B$1000=$A56)*('Card Test Cases'!$G$4:$G$1000&lt;&gt;""),""),_xlfn._xlws.FILTER('E2E core flow'!$U$15:$U$1000,('E2E core flow'!$A$15:$A$1000&lt;&gt;"")*ISNUMBER(SEARCH('E2E core flow'!$A$15:$A$1000,$E56))*('E2E core flow'!$U$15:$U$1000&lt;&gt;""),"")))),"-"))</f>
        <v/>
      </c>
    </row>
    <row r="57" spans="7:19" x14ac:dyDescent="0.3">
      <c r="G57" s="68" t="str" cm="1">
        <f t="array" ref="G57">_xlfn.LET(_xlpm.ids,'E2E core flow'!$A$15:$A$1000,_xlpm.v,'E2E core flow'!$W$15:$W$1000,_xlpm.m,(_xlpm.ids&lt;&gt;"")*ISNUMBER(SEARCH(_xlpm.ids,$E57)),_xlpm.f,SUM(_xlpm.m*(_xlpm.v="Failed")),_xlpm.b,SUM(_xlpm.m*(_xlpm.v="Blocked")),_xlpm.nr,SUM(_xlpm.m*(_xlpm.v="Not Run")),_xlpm.cp,SUM(_xlpm.m*(_xlpm.v="Conditionally Passed")),_xlpm.p,SUM(_xlpm.m*(_xlpm.v="Passed")),IF(TRIM($A57)="","",IF(TRIM($E57)="","Pending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7" s="68" t="str">
        <f>IF(TRIM($A57)="","",IF($J57="Passed","",IF($J57="Passed with Known Issue","Known Issue",IF($J57="",IF(OR($H57&lt;&gt;"No",AND($F57&lt;&gt;"Medium",$F57&lt;&gt;"Low")),"Pending Result",""),IF(OR($H57&lt;&gt;"No",AND($F57&lt;&gt;"Medium",$F57&lt;&gt;"Low")),IF(COUNTIFS(Dashboard!$B$105:$B$124,$A57,Dashboard!$I$105:$I$124,"CAB")&gt;0,"Accepted (CF)","Blocking"),IF($J57="Failed","Deferrable","Carry Over"))))))</f>
        <v/>
      </c>
      <c r="M57" s="68" t="str">
        <f>IF(OR(TRIM($A57)="",TRIM($E57)=""),"",IFERROR(INDEX('E2E core flow'!$B$15:$B$1000,MATCH(1,INDEX(('E2E core flow'!$A$15:$A$1000&lt;&gt;"")*ISNUMBER(SEARCH('E2E core flow'!$A$15:$A$1000,$E57)),0),0))&amp;"","-"))</f>
        <v/>
      </c>
      <c r="N57" s="68" t="str">
        <f>IF(TRIM($A57)="","",IF($O57=0,IF(COUNTIFS('Card Test Cases'!$B$4:$B$1000,$A57,'Card Test Cases'!$A$4:$A$1000,"&lt;&gt;")&gt;0,"Out of Scope","No TC"),IF($Q57&gt;0,"Failed",IF(COUNTIFS('Card Test Cases'!$B$4:$B$1000,$A57,'Card Test Cases'!$A$4:$A$1000,"&lt;&gt;",'Card Test Cases'!$F$4:$F$1000,"Blocked")&gt;0,"Blocked",IF($R57&gt;0,"In Progress","Passed")))))</f>
        <v/>
      </c>
      <c r="O57" s="68" t="str">
        <f>IF(TRIM($A57)="","",COUNTIFS('Card Test Cases'!$B$4:$B$1000,$A57,'Card Test Cases'!$A$4:$A$1000,"&lt;&gt;",'Card Test Cases'!$F$4:$F$1000,"&lt;&gt;Out of Scope"))</f>
        <v/>
      </c>
      <c r="P57" s="68" t="str">
        <f>IF(TRIM($A57)="","",COUNTIFS('Card Test Cases'!$B$4:$B$1000,$A57,'Card Test Cases'!$A$4:$A$1000,"&lt;&gt;",'Card Test Cases'!$F$4:$F$1000,"Passed"))</f>
        <v/>
      </c>
      <c r="Q57" s="68" t="str">
        <f>IF(TRIM($A57)="","",COUNTIFS('Card Test Cases'!$B$4:$B$1000,$A57,'Card Test Cases'!$A$4:$A$1000,"&lt;&gt;",'Card Test Cases'!$F$4:$F$1000,"Failed"))</f>
        <v/>
      </c>
      <c r="R57" s="68" t="str">
        <f t="shared" si="0"/>
        <v/>
      </c>
      <c r="S57" s="68" t="str" cm="1">
        <f t="array" ref="S57">IF(TRIM($A57)="","",IFERROR(_xlfn.TEXTJOIN(", ",TRUE,_xlfn.UNIQUE(_xlfn.VSTACK(_xlfn._xlws.FILTER('Card Test Cases'!$G$4:$G$1000,('Card Test Cases'!$B$4:$B$1000=$A57)*('Card Test Cases'!$G$4:$G$1000&lt;&gt;""),""),_xlfn._xlws.FILTER('E2E core flow'!$U$15:$U$1000,('E2E core flow'!$A$15:$A$1000&lt;&gt;"")*ISNUMBER(SEARCH('E2E core flow'!$A$15:$A$1000,$E57))*('E2E core flow'!$U$15:$U$1000&lt;&gt;""),"")))),"-"))</f>
        <v/>
      </c>
    </row>
    <row r="58" spans="7:19" x14ac:dyDescent="0.3">
      <c r="G58" s="68" t="str" cm="1">
        <f t="array" ref="G58">_xlfn.LET(_xlpm.ids,'E2E core flow'!$A$15:$A$1000,_xlpm.v,'E2E core flow'!$W$15:$W$1000,_xlpm.m,(_xlpm.ids&lt;&gt;"")*ISNUMBER(SEARCH(_xlpm.ids,$E58)),_xlpm.f,SUM(_xlpm.m*(_xlpm.v="Failed")),_xlpm.b,SUM(_xlpm.m*(_xlpm.v="Blocked")),_xlpm.nr,SUM(_xlpm.m*(_xlpm.v="Not Run")),_xlpm.cp,SUM(_xlpm.m*(_xlpm.v="Conditionally Passed")),_xlpm.p,SUM(_xlpm.m*(_xlpm.v="Passed")),IF(TRIM($A58)="","",IF(TRIM($E58)="","Pending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8" s="68" t="str">
        <f>IF(TRIM($A58)="","",IF($J58="Passed","",IF($J58="Passed with Known Issue","Known Issue",IF($J58="",IF(OR($H58&lt;&gt;"No",AND($F58&lt;&gt;"Medium",$F58&lt;&gt;"Low")),"Pending Result",""),IF(OR($H58&lt;&gt;"No",AND($F58&lt;&gt;"Medium",$F58&lt;&gt;"Low")),IF(COUNTIFS(Dashboard!$B$105:$B$124,$A58,Dashboard!$I$105:$I$124,"CAB")&gt;0,"Accepted (CF)","Blocking"),IF($J58="Failed","Deferrable","Carry Over"))))))</f>
        <v/>
      </c>
      <c r="M58" s="68" t="str">
        <f>IF(OR(TRIM($A58)="",TRIM($E58)=""),"",IFERROR(INDEX('E2E core flow'!$B$15:$B$1000,MATCH(1,INDEX(('E2E core flow'!$A$15:$A$1000&lt;&gt;"")*ISNUMBER(SEARCH('E2E core flow'!$A$15:$A$1000,$E58)),0),0))&amp;"","-"))</f>
        <v/>
      </c>
      <c r="N58" s="68" t="str">
        <f>IF(TRIM($A58)="","",IF($O58=0,IF(COUNTIFS('Card Test Cases'!$B$4:$B$1000,$A58,'Card Test Cases'!$A$4:$A$1000,"&lt;&gt;")&gt;0,"Out of Scope","No TC"),IF($Q58&gt;0,"Failed",IF(COUNTIFS('Card Test Cases'!$B$4:$B$1000,$A58,'Card Test Cases'!$A$4:$A$1000,"&lt;&gt;",'Card Test Cases'!$F$4:$F$1000,"Blocked")&gt;0,"Blocked",IF($R58&gt;0,"In Progress","Passed")))))</f>
        <v/>
      </c>
      <c r="O58" s="68" t="str">
        <f>IF(TRIM($A58)="","",COUNTIFS('Card Test Cases'!$B$4:$B$1000,$A58,'Card Test Cases'!$A$4:$A$1000,"&lt;&gt;",'Card Test Cases'!$F$4:$F$1000,"&lt;&gt;Out of Scope"))</f>
        <v/>
      </c>
      <c r="P58" s="68" t="str">
        <f>IF(TRIM($A58)="","",COUNTIFS('Card Test Cases'!$B$4:$B$1000,$A58,'Card Test Cases'!$A$4:$A$1000,"&lt;&gt;",'Card Test Cases'!$F$4:$F$1000,"Passed"))</f>
        <v/>
      </c>
      <c r="Q58" s="68" t="str">
        <f>IF(TRIM($A58)="","",COUNTIFS('Card Test Cases'!$B$4:$B$1000,$A58,'Card Test Cases'!$A$4:$A$1000,"&lt;&gt;",'Card Test Cases'!$F$4:$F$1000,"Failed"))</f>
        <v/>
      </c>
      <c r="R58" s="68" t="str">
        <f t="shared" si="0"/>
        <v/>
      </c>
      <c r="S58" s="68" t="str" cm="1">
        <f t="array" ref="S58">IF(TRIM($A58)="","",IFERROR(_xlfn.TEXTJOIN(", ",TRUE,_xlfn.UNIQUE(_xlfn.VSTACK(_xlfn._xlws.FILTER('Card Test Cases'!$G$4:$G$1000,('Card Test Cases'!$B$4:$B$1000=$A58)*('Card Test Cases'!$G$4:$G$1000&lt;&gt;""),""),_xlfn._xlws.FILTER('E2E core flow'!$U$15:$U$1000,('E2E core flow'!$A$15:$A$1000&lt;&gt;"")*ISNUMBER(SEARCH('E2E core flow'!$A$15:$A$1000,$E58))*('E2E core flow'!$U$15:$U$1000&lt;&gt;""),"")))),"-"))</f>
        <v/>
      </c>
    </row>
    <row r="59" spans="7:19" x14ac:dyDescent="0.3">
      <c r="G59" s="68" t="str" cm="1">
        <f t="array" ref="G59">_xlfn.LET(_xlpm.ids,'E2E core flow'!$A$15:$A$1000,_xlpm.v,'E2E core flow'!$W$15:$W$1000,_xlpm.m,(_xlpm.ids&lt;&gt;"")*ISNUMBER(SEARCH(_xlpm.ids,$E59)),_xlpm.f,SUM(_xlpm.m*(_xlpm.v="Failed")),_xlpm.b,SUM(_xlpm.m*(_xlpm.v="Blocked")),_xlpm.nr,SUM(_xlpm.m*(_xlpm.v="Not Run")),_xlpm.cp,SUM(_xlpm.m*(_xlpm.v="Conditionally Passed")),_xlpm.p,SUM(_xlpm.m*(_xlpm.v="Passed")),IF(TRIM($A59)="","",IF(TRIM($E59)="","Pending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9" s="68" t="str">
        <f>IF(TRIM($A59)="","",IF($J59="Passed","",IF($J59="Passed with Known Issue","Known Issue",IF($J59="",IF(OR($H59&lt;&gt;"No",AND($F59&lt;&gt;"Medium",$F59&lt;&gt;"Low")),"Pending Result",""),IF(OR($H59&lt;&gt;"No",AND($F59&lt;&gt;"Medium",$F59&lt;&gt;"Low")),IF(COUNTIFS(Dashboard!$B$105:$B$124,$A59,Dashboard!$I$105:$I$124,"CAB")&gt;0,"Accepted (CF)","Blocking"),IF($J59="Failed","Deferrable","Carry Over"))))))</f>
        <v/>
      </c>
      <c r="M59" s="68" t="str">
        <f>IF(OR(TRIM($A59)="",TRIM($E59)=""),"",IFERROR(INDEX('E2E core flow'!$B$15:$B$1000,MATCH(1,INDEX(('E2E core flow'!$A$15:$A$1000&lt;&gt;"")*ISNUMBER(SEARCH('E2E core flow'!$A$15:$A$1000,$E59)),0),0))&amp;"","-"))</f>
        <v/>
      </c>
      <c r="N59" s="68" t="str">
        <f>IF(TRIM($A59)="","",IF($O59=0,IF(COUNTIFS('Card Test Cases'!$B$4:$B$1000,$A59,'Card Test Cases'!$A$4:$A$1000,"&lt;&gt;")&gt;0,"Out of Scope","No TC"),IF($Q59&gt;0,"Failed",IF(COUNTIFS('Card Test Cases'!$B$4:$B$1000,$A59,'Card Test Cases'!$A$4:$A$1000,"&lt;&gt;",'Card Test Cases'!$F$4:$F$1000,"Blocked")&gt;0,"Blocked",IF($R59&gt;0,"In Progress","Passed")))))</f>
        <v/>
      </c>
      <c r="O59" s="68" t="str">
        <f>IF(TRIM($A59)="","",COUNTIFS('Card Test Cases'!$B$4:$B$1000,$A59,'Card Test Cases'!$A$4:$A$1000,"&lt;&gt;",'Card Test Cases'!$F$4:$F$1000,"&lt;&gt;Out of Scope"))</f>
        <v/>
      </c>
      <c r="P59" s="68" t="str">
        <f>IF(TRIM($A59)="","",COUNTIFS('Card Test Cases'!$B$4:$B$1000,$A59,'Card Test Cases'!$A$4:$A$1000,"&lt;&gt;",'Card Test Cases'!$F$4:$F$1000,"Passed"))</f>
        <v/>
      </c>
      <c r="Q59" s="68" t="str">
        <f>IF(TRIM($A59)="","",COUNTIFS('Card Test Cases'!$B$4:$B$1000,$A59,'Card Test Cases'!$A$4:$A$1000,"&lt;&gt;",'Card Test Cases'!$F$4:$F$1000,"Failed"))</f>
        <v/>
      </c>
      <c r="R59" s="68" t="str">
        <f t="shared" si="0"/>
        <v/>
      </c>
      <c r="S59" s="68" t="str" cm="1">
        <f t="array" ref="S59">IF(TRIM($A59)="","",IFERROR(_xlfn.TEXTJOIN(", ",TRUE,_xlfn.UNIQUE(_xlfn.VSTACK(_xlfn._xlws.FILTER('Card Test Cases'!$G$4:$G$1000,('Card Test Cases'!$B$4:$B$1000=$A59)*('Card Test Cases'!$G$4:$G$1000&lt;&gt;""),""),_xlfn._xlws.FILTER('E2E core flow'!$U$15:$U$1000,('E2E core flow'!$A$15:$A$1000&lt;&gt;"")*ISNUMBER(SEARCH('E2E core flow'!$A$15:$A$1000,$E59))*('E2E core flow'!$U$15:$U$1000&lt;&gt;""),"")))),"-"))</f>
        <v/>
      </c>
    </row>
    <row r="60" spans="7:19" x14ac:dyDescent="0.3">
      <c r="G60" s="68" t="str" cm="1">
        <f t="array" ref="G60">_xlfn.LET(_xlpm.ids,'E2E core flow'!$A$15:$A$1000,_xlpm.v,'E2E core flow'!$W$15:$W$1000,_xlpm.m,(_xlpm.ids&lt;&gt;"")*ISNUMBER(SEARCH(_xlpm.ids,$E60)),_xlpm.f,SUM(_xlpm.m*(_xlpm.v="Failed")),_xlpm.b,SUM(_xlpm.m*(_xlpm.v="Blocked")),_xlpm.nr,SUM(_xlpm.m*(_xlpm.v="Not Run")),_xlpm.cp,SUM(_xlpm.m*(_xlpm.v="Conditionally Passed")),_xlpm.p,SUM(_xlpm.m*(_xlpm.v="Passed")),IF(TRIM($A60)="","",IF(TRIM($E60)="","Pending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0" s="68" t="str">
        <f>IF(TRIM($A60)="","",IF($J60="Passed","",IF($J60="Passed with Known Issue","Known Issue",IF($J60="",IF(OR($H60&lt;&gt;"No",AND($F60&lt;&gt;"Medium",$F60&lt;&gt;"Low")),"Pending Result",""),IF(OR($H60&lt;&gt;"No",AND($F60&lt;&gt;"Medium",$F60&lt;&gt;"Low")),IF(COUNTIFS(Dashboard!$B$105:$B$124,$A60,Dashboard!$I$105:$I$124,"CAB")&gt;0,"Accepted (CF)","Blocking"),IF($J60="Failed","Deferrable","Carry Over"))))))</f>
        <v/>
      </c>
      <c r="M60" s="68" t="str">
        <f>IF(OR(TRIM($A60)="",TRIM($E60)=""),"",IFERROR(INDEX('E2E core flow'!$B$15:$B$1000,MATCH(1,INDEX(('E2E core flow'!$A$15:$A$1000&lt;&gt;"")*ISNUMBER(SEARCH('E2E core flow'!$A$15:$A$1000,$E60)),0),0))&amp;"","-"))</f>
        <v/>
      </c>
      <c r="N60" s="68" t="str">
        <f>IF(TRIM($A60)="","",IF($O60=0,IF(COUNTIFS('Card Test Cases'!$B$4:$B$1000,$A60,'Card Test Cases'!$A$4:$A$1000,"&lt;&gt;")&gt;0,"Out of Scope","No TC"),IF($Q60&gt;0,"Failed",IF(COUNTIFS('Card Test Cases'!$B$4:$B$1000,$A60,'Card Test Cases'!$A$4:$A$1000,"&lt;&gt;",'Card Test Cases'!$F$4:$F$1000,"Blocked")&gt;0,"Blocked",IF($R60&gt;0,"In Progress","Passed")))))</f>
        <v/>
      </c>
      <c r="O60" s="68" t="str">
        <f>IF(TRIM($A60)="","",COUNTIFS('Card Test Cases'!$B$4:$B$1000,$A60,'Card Test Cases'!$A$4:$A$1000,"&lt;&gt;",'Card Test Cases'!$F$4:$F$1000,"&lt;&gt;Out of Scope"))</f>
        <v/>
      </c>
      <c r="P60" s="68" t="str">
        <f>IF(TRIM($A60)="","",COUNTIFS('Card Test Cases'!$B$4:$B$1000,$A60,'Card Test Cases'!$A$4:$A$1000,"&lt;&gt;",'Card Test Cases'!$F$4:$F$1000,"Passed"))</f>
        <v/>
      </c>
      <c r="Q60" s="68" t="str">
        <f>IF(TRIM($A60)="","",COUNTIFS('Card Test Cases'!$B$4:$B$1000,$A60,'Card Test Cases'!$A$4:$A$1000,"&lt;&gt;",'Card Test Cases'!$F$4:$F$1000,"Failed"))</f>
        <v/>
      </c>
      <c r="R60" s="68" t="str">
        <f t="shared" si="0"/>
        <v/>
      </c>
      <c r="S60" s="68" t="str" cm="1">
        <f t="array" ref="S60">IF(TRIM($A60)="","",IFERROR(_xlfn.TEXTJOIN(", ",TRUE,_xlfn.UNIQUE(_xlfn.VSTACK(_xlfn._xlws.FILTER('Card Test Cases'!$G$4:$G$1000,('Card Test Cases'!$B$4:$B$1000=$A60)*('Card Test Cases'!$G$4:$G$1000&lt;&gt;""),""),_xlfn._xlws.FILTER('E2E core flow'!$U$15:$U$1000,('E2E core flow'!$A$15:$A$1000&lt;&gt;"")*ISNUMBER(SEARCH('E2E core flow'!$A$15:$A$1000,$E60))*('E2E core flow'!$U$15:$U$1000&lt;&gt;""),"")))),"-"))</f>
        <v/>
      </c>
    </row>
    <row r="61" spans="7:19" x14ac:dyDescent="0.3">
      <c r="G61" s="68" t="str" cm="1">
        <f t="array" ref="G61">_xlfn.LET(_xlpm.ids,'E2E core flow'!$A$15:$A$1000,_xlpm.v,'E2E core flow'!$W$15:$W$1000,_xlpm.m,(_xlpm.ids&lt;&gt;"")*ISNUMBER(SEARCH(_xlpm.ids,$E61)),_xlpm.f,SUM(_xlpm.m*(_xlpm.v="Failed")),_xlpm.b,SUM(_xlpm.m*(_xlpm.v="Blocked")),_xlpm.nr,SUM(_xlpm.m*(_xlpm.v="Not Run")),_xlpm.cp,SUM(_xlpm.m*(_xlpm.v="Conditionally Passed")),_xlpm.p,SUM(_xlpm.m*(_xlpm.v="Passed")),IF(TRIM($A61)="","",IF(TRIM($E61)="","Pending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1" s="68" t="str">
        <f>IF(TRIM($A61)="","",IF($J61="Passed","",IF($J61="Passed with Known Issue","Known Issue",IF($J61="",IF(OR($H61&lt;&gt;"No",AND($F61&lt;&gt;"Medium",$F61&lt;&gt;"Low")),"Pending Result",""),IF(OR($H61&lt;&gt;"No",AND($F61&lt;&gt;"Medium",$F61&lt;&gt;"Low")),IF(COUNTIFS(Dashboard!$B$105:$B$124,$A61,Dashboard!$I$105:$I$124,"CAB")&gt;0,"Accepted (CF)","Blocking"),IF($J61="Failed","Deferrable","Carry Over"))))))</f>
        <v/>
      </c>
      <c r="M61" s="68" t="str">
        <f>IF(OR(TRIM($A61)="",TRIM($E61)=""),"",IFERROR(INDEX('E2E core flow'!$B$15:$B$1000,MATCH(1,INDEX(('E2E core flow'!$A$15:$A$1000&lt;&gt;"")*ISNUMBER(SEARCH('E2E core flow'!$A$15:$A$1000,$E61)),0),0))&amp;"","-"))</f>
        <v/>
      </c>
      <c r="N61" s="68" t="str">
        <f>IF(TRIM($A61)="","",IF($O61=0,IF(COUNTIFS('Card Test Cases'!$B$4:$B$1000,$A61,'Card Test Cases'!$A$4:$A$1000,"&lt;&gt;")&gt;0,"Out of Scope","No TC"),IF($Q61&gt;0,"Failed",IF(COUNTIFS('Card Test Cases'!$B$4:$B$1000,$A61,'Card Test Cases'!$A$4:$A$1000,"&lt;&gt;",'Card Test Cases'!$F$4:$F$1000,"Blocked")&gt;0,"Blocked",IF($R61&gt;0,"In Progress","Passed")))))</f>
        <v/>
      </c>
      <c r="O61" s="68" t="str">
        <f>IF(TRIM($A61)="","",COUNTIFS('Card Test Cases'!$B$4:$B$1000,$A61,'Card Test Cases'!$A$4:$A$1000,"&lt;&gt;",'Card Test Cases'!$F$4:$F$1000,"&lt;&gt;Out of Scope"))</f>
        <v/>
      </c>
      <c r="P61" s="68" t="str">
        <f>IF(TRIM($A61)="","",COUNTIFS('Card Test Cases'!$B$4:$B$1000,$A61,'Card Test Cases'!$A$4:$A$1000,"&lt;&gt;",'Card Test Cases'!$F$4:$F$1000,"Passed"))</f>
        <v/>
      </c>
      <c r="Q61" s="68" t="str">
        <f>IF(TRIM($A61)="","",COUNTIFS('Card Test Cases'!$B$4:$B$1000,$A61,'Card Test Cases'!$A$4:$A$1000,"&lt;&gt;",'Card Test Cases'!$F$4:$F$1000,"Failed"))</f>
        <v/>
      </c>
      <c r="R61" s="68" t="str">
        <f t="shared" si="0"/>
        <v/>
      </c>
      <c r="S61" s="68" t="str" cm="1">
        <f t="array" ref="S61">IF(TRIM($A61)="","",IFERROR(_xlfn.TEXTJOIN(", ",TRUE,_xlfn.UNIQUE(_xlfn.VSTACK(_xlfn._xlws.FILTER('Card Test Cases'!$G$4:$G$1000,('Card Test Cases'!$B$4:$B$1000=$A61)*('Card Test Cases'!$G$4:$G$1000&lt;&gt;""),""),_xlfn._xlws.FILTER('E2E core flow'!$U$15:$U$1000,('E2E core flow'!$A$15:$A$1000&lt;&gt;"")*ISNUMBER(SEARCH('E2E core flow'!$A$15:$A$1000,$E61))*('E2E core flow'!$U$15:$U$1000&lt;&gt;""),"")))),"-"))</f>
        <v/>
      </c>
    </row>
    <row r="62" spans="7:19" x14ac:dyDescent="0.3">
      <c r="G62" s="68" t="str" cm="1">
        <f t="array" ref="G62">_xlfn.LET(_xlpm.ids,'E2E core flow'!$A$15:$A$1000,_xlpm.v,'E2E core flow'!$W$15:$W$1000,_xlpm.m,(_xlpm.ids&lt;&gt;"")*ISNUMBER(SEARCH(_xlpm.ids,$E62)),_xlpm.f,SUM(_xlpm.m*(_xlpm.v="Failed")),_xlpm.b,SUM(_xlpm.m*(_xlpm.v="Blocked")),_xlpm.nr,SUM(_xlpm.m*(_xlpm.v="Not Run")),_xlpm.cp,SUM(_xlpm.m*(_xlpm.v="Conditionally Passed")),_xlpm.p,SUM(_xlpm.m*(_xlpm.v="Passed")),IF(TRIM($A62)="","",IF(TRIM($E62)="","Pending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2" s="68" t="str">
        <f>IF(TRIM($A62)="","",IF($J62="Passed","",IF($J62="Passed with Known Issue","Known Issue",IF($J62="",IF(OR($H62&lt;&gt;"No",AND($F62&lt;&gt;"Medium",$F62&lt;&gt;"Low")),"Pending Result",""),IF(OR($H62&lt;&gt;"No",AND($F62&lt;&gt;"Medium",$F62&lt;&gt;"Low")),IF(COUNTIFS(Dashboard!$B$105:$B$124,$A62,Dashboard!$I$105:$I$124,"CAB")&gt;0,"Accepted (CF)","Blocking"),IF($J62="Failed","Deferrable","Carry Over"))))))</f>
        <v/>
      </c>
      <c r="M62" s="68" t="str">
        <f>IF(OR(TRIM($A62)="",TRIM($E62)=""),"",IFERROR(INDEX('E2E core flow'!$B$15:$B$1000,MATCH(1,INDEX(('E2E core flow'!$A$15:$A$1000&lt;&gt;"")*ISNUMBER(SEARCH('E2E core flow'!$A$15:$A$1000,$E62)),0),0))&amp;"","-"))</f>
        <v/>
      </c>
      <c r="N62" s="68" t="str">
        <f>IF(TRIM($A62)="","",IF($O62=0,IF(COUNTIFS('Card Test Cases'!$B$4:$B$1000,$A62,'Card Test Cases'!$A$4:$A$1000,"&lt;&gt;")&gt;0,"Out of Scope","No TC"),IF($Q62&gt;0,"Failed",IF(COUNTIFS('Card Test Cases'!$B$4:$B$1000,$A62,'Card Test Cases'!$A$4:$A$1000,"&lt;&gt;",'Card Test Cases'!$F$4:$F$1000,"Blocked")&gt;0,"Blocked",IF($R62&gt;0,"In Progress","Passed")))))</f>
        <v/>
      </c>
      <c r="O62" s="68" t="str">
        <f>IF(TRIM($A62)="","",COUNTIFS('Card Test Cases'!$B$4:$B$1000,$A62,'Card Test Cases'!$A$4:$A$1000,"&lt;&gt;",'Card Test Cases'!$F$4:$F$1000,"&lt;&gt;Out of Scope"))</f>
        <v/>
      </c>
      <c r="P62" s="68" t="str">
        <f>IF(TRIM($A62)="","",COUNTIFS('Card Test Cases'!$B$4:$B$1000,$A62,'Card Test Cases'!$A$4:$A$1000,"&lt;&gt;",'Card Test Cases'!$F$4:$F$1000,"Passed"))</f>
        <v/>
      </c>
      <c r="Q62" s="68" t="str">
        <f>IF(TRIM($A62)="","",COUNTIFS('Card Test Cases'!$B$4:$B$1000,$A62,'Card Test Cases'!$A$4:$A$1000,"&lt;&gt;",'Card Test Cases'!$F$4:$F$1000,"Failed"))</f>
        <v/>
      </c>
      <c r="R62" s="68" t="str">
        <f t="shared" si="0"/>
        <v/>
      </c>
      <c r="S62" s="68" t="str" cm="1">
        <f t="array" ref="S62">IF(TRIM($A62)="","",IFERROR(_xlfn.TEXTJOIN(", ",TRUE,_xlfn.UNIQUE(_xlfn.VSTACK(_xlfn._xlws.FILTER('Card Test Cases'!$G$4:$G$1000,('Card Test Cases'!$B$4:$B$1000=$A62)*('Card Test Cases'!$G$4:$G$1000&lt;&gt;""),""),_xlfn._xlws.FILTER('E2E core flow'!$U$15:$U$1000,('E2E core flow'!$A$15:$A$1000&lt;&gt;"")*ISNUMBER(SEARCH('E2E core flow'!$A$15:$A$1000,$E62))*('E2E core flow'!$U$15:$U$1000&lt;&gt;""),"")))),"-"))</f>
        <v/>
      </c>
    </row>
    <row r="63" spans="7:19" x14ac:dyDescent="0.3">
      <c r="G63" s="68" t="str" cm="1">
        <f t="array" ref="G63">_xlfn.LET(_xlpm.ids,'E2E core flow'!$A$15:$A$1000,_xlpm.v,'E2E core flow'!$W$15:$W$1000,_xlpm.m,(_xlpm.ids&lt;&gt;"")*ISNUMBER(SEARCH(_xlpm.ids,$E63)),_xlpm.f,SUM(_xlpm.m*(_xlpm.v="Failed")),_xlpm.b,SUM(_xlpm.m*(_xlpm.v="Blocked")),_xlpm.nr,SUM(_xlpm.m*(_xlpm.v="Not Run")),_xlpm.cp,SUM(_xlpm.m*(_xlpm.v="Conditionally Passed")),_xlpm.p,SUM(_xlpm.m*(_xlpm.v="Passed")),IF(TRIM($A63)="","",IF(TRIM($E63)="","Pending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3" s="68" t="str">
        <f>IF(TRIM($A63)="","",IF($J63="Passed","",IF($J63="Passed with Known Issue","Known Issue",IF($J63="",IF(OR($H63&lt;&gt;"No",AND($F63&lt;&gt;"Medium",$F63&lt;&gt;"Low")),"Pending Result",""),IF(OR($H63&lt;&gt;"No",AND($F63&lt;&gt;"Medium",$F63&lt;&gt;"Low")),IF(COUNTIFS(Dashboard!$B$105:$B$124,$A63,Dashboard!$I$105:$I$124,"CAB")&gt;0,"Accepted (CF)","Blocking"),IF($J63="Failed","Deferrable","Carry Over"))))))</f>
        <v/>
      </c>
      <c r="M63" s="68" t="str">
        <f>IF(OR(TRIM($A63)="",TRIM($E63)=""),"",IFERROR(INDEX('E2E core flow'!$B$15:$B$1000,MATCH(1,INDEX(('E2E core flow'!$A$15:$A$1000&lt;&gt;"")*ISNUMBER(SEARCH('E2E core flow'!$A$15:$A$1000,$E63)),0),0))&amp;"","-"))</f>
        <v/>
      </c>
      <c r="N63" s="68" t="str">
        <f>IF(TRIM($A63)="","",IF($O63=0,IF(COUNTIFS('Card Test Cases'!$B$4:$B$1000,$A63,'Card Test Cases'!$A$4:$A$1000,"&lt;&gt;")&gt;0,"Out of Scope","No TC"),IF($Q63&gt;0,"Failed",IF(COUNTIFS('Card Test Cases'!$B$4:$B$1000,$A63,'Card Test Cases'!$A$4:$A$1000,"&lt;&gt;",'Card Test Cases'!$F$4:$F$1000,"Blocked")&gt;0,"Blocked",IF($R63&gt;0,"In Progress","Passed")))))</f>
        <v/>
      </c>
      <c r="O63" s="68" t="str">
        <f>IF(TRIM($A63)="","",COUNTIFS('Card Test Cases'!$B$4:$B$1000,$A63,'Card Test Cases'!$A$4:$A$1000,"&lt;&gt;",'Card Test Cases'!$F$4:$F$1000,"&lt;&gt;Out of Scope"))</f>
        <v/>
      </c>
      <c r="P63" s="68" t="str">
        <f>IF(TRIM($A63)="","",COUNTIFS('Card Test Cases'!$B$4:$B$1000,$A63,'Card Test Cases'!$A$4:$A$1000,"&lt;&gt;",'Card Test Cases'!$F$4:$F$1000,"Passed"))</f>
        <v/>
      </c>
      <c r="Q63" s="68" t="str">
        <f>IF(TRIM($A63)="","",COUNTIFS('Card Test Cases'!$B$4:$B$1000,$A63,'Card Test Cases'!$A$4:$A$1000,"&lt;&gt;",'Card Test Cases'!$F$4:$F$1000,"Failed"))</f>
        <v/>
      </c>
      <c r="R63" s="68" t="str">
        <f t="shared" si="0"/>
        <v/>
      </c>
      <c r="S63" s="68" t="str" cm="1">
        <f t="array" ref="S63">IF(TRIM($A63)="","",IFERROR(_xlfn.TEXTJOIN(", ",TRUE,_xlfn.UNIQUE(_xlfn.VSTACK(_xlfn._xlws.FILTER('Card Test Cases'!$G$4:$G$1000,('Card Test Cases'!$B$4:$B$1000=$A63)*('Card Test Cases'!$G$4:$G$1000&lt;&gt;""),""),_xlfn._xlws.FILTER('E2E core flow'!$U$15:$U$1000,('E2E core flow'!$A$15:$A$1000&lt;&gt;"")*ISNUMBER(SEARCH('E2E core flow'!$A$15:$A$1000,$E63))*('E2E core flow'!$U$15:$U$1000&lt;&gt;""),"")))),"-"))</f>
        <v/>
      </c>
    </row>
    <row r="64" spans="7:19" x14ac:dyDescent="0.3">
      <c r="G64" s="68" t="str" cm="1">
        <f t="array" ref="G64">_xlfn.LET(_xlpm.ids,'E2E core flow'!$A$15:$A$1000,_xlpm.v,'E2E core flow'!$W$15:$W$1000,_xlpm.m,(_xlpm.ids&lt;&gt;"")*ISNUMBER(SEARCH(_xlpm.ids,$E64)),_xlpm.f,SUM(_xlpm.m*(_xlpm.v="Failed")),_xlpm.b,SUM(_xlpm.m*(_xlpm.v="Blocked")),_xlpm.nr,SUM(_xlpm.m*(_xlpm.v="Not Run")),_xlpm.cp,SUM(_xlpm.m*(_xlpm.v="Conditionally Passed")),_xlpm.p,SUM(_xlpm.m*(_xlpm.v="Passed")),IF(TRIM($A64)="","",IF(TRIM($E64)="","Pending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4" s="68" t="str">
        <f>IF(TRIM($A64)="","",IF($J64="Passed","",IF($J64="Passed with Known Issue","Known Issue",IF($J64="",IF(OR($H64&lt;&gt;"No",AND($F64&lt;&gt;"Medium",$F64&lt;&gt;"Low")),"Pending Result",""),IF(OR($H64&lt;&gt;"No",AND($F64&lt;&gt;"Medium",$F64&lt;&gt;"Low")),IF(COUNTIFS(Dashboard!$B$105:$B$124,$A64,Dashboard!$I$105:$I$124,"CAB")&gt;0,"Accepted (CF)","Blocking"),IF($J64="Failed","Deferrable","Carry Over"))))))</f>
        <v/>
      </c>
      <c r="M64" s="68" t="str">
        <f>IF(OR(TRIM($A64)="",TRIM($E64)=""),"",IFERROR(INDEX('E2E core flow'!$B$15:$B$1000,MATCH(1,INDEX(('E2E core flow'!$A$15:$A$1000&lt;&gt;"")*ISNUMBER(SEARCH('E2E core flow'!$A$15:$A$1000,$E64)),0),0))&amp;"","-"))</f>
        <v/>
      </c>
      <c r="N64" s="68" t="str">
        <f>IF(TRIM($A64)="","",IF($O64=0,IF(COUNTIFS('Card Test Cases'!$B$4:$B$1000,$A64,'Card Test Cases'!$A$4:$A$1000,"&lt;&gt;")&gt;0,"Out of Scope","No TC"),IF($Q64&gt;0,"Failed",IF(COUNTIFS('Card Test Cases'!$B$4:$B$1000,$A64,'Card Test Cases'!$A$4:$A$1000,"&lt;&gt;",'Card Test Cases'!$F$4:$F$1000,"Blocked")&gt;0,"Blocked",IF($R64&gt;0,"In Progress","Passed")))))</f>
        <v/>
      </c>
      <c r="O64" s="68" t="str">
        <f>IF(TRIM($A64)="","",COUNTIFS('Card Test Cases'!$B$4:$B$1000,$A64,'Card Test Cases'!$A$4:$A$1000,"&lt;&gt;",'Card Test Cases'!$F$4:$F$1000,"&lt;&gt;Out of Scope"))</f>
        <v/>
      </c>
      <c r="P64" s="68" t="str">
        <f>IF(TRIM($A64)="","",COUNTIFS('Card Test Cases'!$B$4:$B$1000,$A64,'Card Test Cases'!$A$4:$A$1000,"&lt;&gt;",'Card Test Cases'!$F$4:$F$1000,"Passed"))</f>
        <v/>
      </c>
      <c r="Q64" s="68" t="str">
        <f>IF(TRIM($A64)="","",COUNTIFS('Card Test Cases'!$B$4:$B$1000,$A64,'Card Test Cases'!$A$4:$A$1000,"&lt;&gt;",'Card Test Cases'!$F$4:$F$1000,"Failed"))</f>
        <v/>
      </c>
      <c r="R64" s="68" t="str">
        <f t="shared" si="0"/>
        <v/>
      </c>
      <c r="S64" s="68" t="str" cm="1">
        <f t="array" ref="S64">IF(TRIM($A64)="","",IFERROR(_xlfn.TEXTJOIN(", ",TRUE,_xlfn.UNIQUE(_xlfn.VSTACK(_xlfn._xlws.FILTER('Card Test Cases'!$G$4:$G$1000,('Card Test Cases'!$B$4:$B$1000=$A64)*('Card Test Cases'!$G$4:$G$1000&lt;&gt;""),""),_xlfn._xlws.FILTER('E2E core flow'!$U$15:$U$1000,('E2E core flow'!$A$15:$A$1000&lt;&gt;"")*ISNUMBER(SEARCH('E2E core flow'!$A$15:$A$1000,$E64))*('E2E core flow'!$U$15:$U$1000&lt;&gt;""),"")))),"-"))</f>
        <v/>
      </c>
    </row>
    <row r="65" spans="7:19" x14ac:dyDescent="0.3">
      <c r="G65" s="68" t="str" cm="1">
        <f t="array" ref="G65">_xlfn.LET(_xlpm.ids,'E2E core flow'!$A$15:$A$1000,_xlpm.v,'E2E core flow'!$W$15:$W$1000,_xlpm.m,(_xlpm.ids&lt;&gt;"")*ISNUMBER(SEARCH(_xlpm.ids,$E65)),_xlpm.f,SUM(_xlpm.m*(_xlpm.v="Failed")),_xlpm.b,SUM(_xlpm.m*(_xlpm.v="Blocked")),_xlpm.nr,SUM(_xlpm.m*(_xlpm.v="Not Run")),_xlpm.cp,SUM(_xlpm.m*(_xlpm.v="Conditionally Passed")),_xlpm.p,SUM(_xlpm.m*(_xlpm.v="Passed")),IF(TRIM($A65)="","",IF(TRIM($E65)="","Pending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5" s="68" t="str">
        <f>IF(TRIM($A65)="","",IF($J65="Passed","",IF($J65="Passed with Known Issue","Known Issue",IF($J65="",IF(OR($H65&lt;&gt;"No",AND($F65&lt;&gt;"Medium",$F65&lt;&gt;"Low")),"Pending Result",""),IF(OR($H65&lt;&gt;"No",AND($F65&lt;&gt;"Medium",$F65&lt;&gt;"Low")),IF(COUNTIFS(Dashboard!$B$105:$B$124,$A65,Dashboard!$I$105:$I$124,"CAB")&gt;0,"Accepted (CF)","Blocking"),IF($J65="Failed","Deferrable","Carry Over"))))))</f>
        <v/>
      </c>
      <c r="M65" s="68" t="str">
        <f>IF(OR(TRIM($A65)="",TRIM($E65)=""),"",IFERROR(INDEX('E2E core flow'!$B$15:$B$1000,MATCH(1,INDEX(('E2E core flow'!$A$15:$A$1000&lt;&gt;"")*ISNUMBER(SEARCH('E2E core flow'!$A$15:$A$1000,$E65)),0),0))&amp;"","-"))</f>
        <v/>
      </c>
      <c r="N65" s="68" t="str">
        <f>IF(TRIM($A65)="","",IF($O65=0,IF(COUNTIFS('Card Test Cases'!$B$4:$B$1000,$A65,'Card Test Cases'!$A$4:$A$1000,"&lt;&gt;")&gt;0,"Out of Scope","No TC"),IF($Q65&gt;0,"Failed",IF(COUNTIFS('Card Test Cases'!$B$4:$B$1000,$A65,'Card Test Cases'!$A$4:$A$1000,"&lt;&gt;",'Card Test Cases'!$F$4:$F$1000,"Blocked")&gt;0,"Blocked",IF($R65&gt;0,"In Progress","Passed")))))</f>
        <v/>
      </c>
      <c r="O65" s="68" t="str">
        <f>IF(TRIM($A65)="","",COUNTIFS('Card Test Cases'!$B$4:$B$1000,$A65,'Card Test Cases'!$A$4:$A$1000,"&lt;&gt;",'Card Test Cases'!$F$4:$F$1000,"&lt;&gt;Out of Scope"))</f>
        <v/>
      </c>
      <c r="P65" s="68" t="str">
        <f>IF(TRIM($A65)="","",COUNTIFS('Card Test Cases'!$B$4:$B$1000,$A65,'Card Test Cases'!$A$4:$A$1000,"&lt;&gt;",'Card Test Cases'!$F$4:$F$1000,"Passed"))</f>
        <v/>
      </c>
      <c r="Q65" s="68" t="str">
        <f>IF(TRIM($A65)="","",COUNTIFS('Card Test Cases'!$B$4:$B$1000,$A65,'Card Test Cases'!$A$4:$A$1000,"&lt;&gt;",'Card Test Cases'!$F$4:$F$1000,"Failed"))</f>
        <v/>
      </c>
      <c r="R65" s="68" t="str">
        <f t="shared" si="0"/>
        <v/>
      </c>
      <c r="S65" s="68" t="str" cm="1">
        <f t="array" ref="S65">IF(TRIM($A65)="","",IFERROR(_xlfn.TEXTJOIN(", ",TRUE,_xlfn.UNIQUE(_xlfn.VSTACK(_xlfn._xlws.FILTER('Card Test Cases'!$G$4:$G$1000,('Card Test Cases'!$B$4:$B$1000=$A65)*('Card Test Cases'!$G$4:$G$1000&lt;&gt;""),""),_xlfn._xlws.FILTER('E2E core flow'!$U$15:$U$1000,('E2E core flow'!$A$15:$A$1000&lt;&gt;"")*ISNUMBER(SEARCH('E2E core flow'!$A$15:$A$1000,$E65))*('E2E core flow'!$U$15:$U$1000&lt;&gt;""),"")))),"-"))</f>
        <v/>
      </c>
    </row>
    <row r="66" spans="7:19" x14ac:dyDescent="0.3">
      <c r="G66" s="68" t="str" cm="1">
        <f t="array" ref="G66">_xlfn.LET(_xlpm.ids,'E2E core flow'!$A$15:$A$1000,_xlpm.v,'E2E core flow'!$W$15:$W$1000,_xlpm.m,(_xlpm.ids&lt;&gt;"")*ISNUMBER(SEARCH(_xlpm.ids,$E66)),_xlpm.f,SUM(_xlpm.m*(_xlpm.v="Failed")),_xlpm.b,SUM(_xlpm.m*(_xlpm.v="Blocked")),_xlpm.nr,SUM(_xlpm.m*(_xlpm.v="Not Run")),_xlpm.cp,SUM(_xlpm.m*(_xlpm.v="Conditionally Passed")),_xlpm.p,SUM(_xlpm.m*(_xlpm.v="Passed")),IF(TRIM($A66)="","",IF(TRIM($E66)="","Pending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6" s="68" t="str">
        <f>IF(TRIM($A66)="","",IF($J66="Passed","",IF($J66="Passed with Known Issue","Known Issue",IF($J66="",IF(OR($H66&lt;&gt;"No",AND($F66&lt;&gt;"Medium",$F66&lt;&gt;"Low")),"Pending Result",""),IF(OR($H66&lt;&gt;"No",AND($F66&lt;&gt;"Medium",$F66&lt;&gt;"Low")),IF(COUNTIFS(Dashboard!$B$105:$B$124,$A66,Dashboard!$I$105:$I$124,"CAB")&gt;0,"Accepted (CF)","Blocking"),IF($J66="Failed","Deferrable","Carry Over"))))))</f>
        <v/>
      </c>
      <c r="M66" s="68" t="str">
        <f>IF(OR(TRIM($A66)="",TRIM($E66)=""),"",IFERROR(INDEX('E2E core flow'!$B$15:$B$1000,MATCH(1,INDEX(('E2E core flow'!$A$15:$A$1000&lt;&gt;"")*ISNUMBER(SEARCH('E2E core flow'!$A$15:$A$1000,$E66)),0),0))&amp;"","-"))</f>
        <v/>
      </c>
      <c r="N66" s="68" t="str">
        <f>IF(TRIM($A66)="","",IF($O66=0,IF(COUNTIFS('Card Test Cases'!$B$4:$B$1000,$A66,'Card Test Cases'!$A$4:$A$1000,"&lt;&gt;")&gt;0,"Out of Scope","No TC"),IF($Q66&gt;0,"Failed",IF(COUNTIFS('Card Test Cases'!$B$4:$B$1000,$A66,'Card Test Cases'!$A$4:$A$1000,"&lt;&gt;",'Card Test Cases'!$F$4:$F$1000,"Blocked")&gt;0,"Blocked",IF($R66&gt;0,"In Progress","Passed")))))</f>
        <v/>
      </c>
      <c r="O66" s="68" t="str">
        <f>IF(TRIM($A66)="","",COUNTIFS('Card Test Cases'!$B$4:$B$1000,$A66,'Card Test Cases'!$A$4:$A$1000,"&lt;&gt;",'Card Test Cases'!$F$4:$F$1000,"&lt;&gt;Out of Scope"))</f>
        <v/>
      </c>
      <c r="P66" s="68" t="str">
        <f>IF(TRIM($A66)="","",COUNTIFS('Card Test Cases'!$B$4:$B$1000,$A66,'Card Test Cases'!$A$4:$A$1000,"&lt;&gt;",'Card Test Cases'!$F$4:$F$1000,"Passed"))</f>
        <v/>
      </c>
      <c r="Q66" s="68" t="str">
        <f>IF(TRIM($A66)="","",COUNTIFS('Card Test Cases'!$B$4:$B$1000,$A66,'Card Test Cases'!$A$4:$A$1000,"&lt;&gt;",'Card Test Cases'!$F$4:$F$1000,"Failed"))</f>
        <v/>
      </c>
      <c r="R66" s="68" t="str">
        <f t="shared" si="0"/>
        <v/>
      </c>
      <c r="S66" s="68" t="str" cm="1">
        <f t="array" ref="S66">IF(TRIM($A66)="","",IFERROR(_xlfn.TEXTJOIN(", ",TRUE,_xlfn.UNIQUE(_xlfn.VSTACK(_xlfn._xlws.FILTER('Card Test Cases'!$G$4:$G$1000,('Card Test Cases'!$B$4:$B$1000=$A66)*('Card Test Cases'!$G$4:$G$1000&lt;&gt;""),""),_xlfn._xlws.FILTER('E2E core flow'!$U$15:$U$1000,('E2E core flow'!$A$15:$A$1000&lt;&gt;"")*ISNUMBER(SEARCH('E2E core flow'!$A$15:$A$1000,$E66))*('E2E core flow'!$U$15:$U$1000&lt;&gt;""),"")))),"-"))</f>
        <v/>
      </c>
    </row>
    <row r="67" spans="7:19" x14ac:dyDescent="0.3">
      <c r="G67" s="68" t="str" cm="1">
        <f t="array" ref="G67">_xlfn.LET(_xlpm.ids,'E2E core flow'!$A$15:$A$1000,_xlpm.v,'E2E core flow'!$W$15:$W$1000,_xlpm.m,(_xlpm.ids&lt;&gt;"")*ISNUMBER(SEARCH(_xlpm.ids,$E67)),_xlpm.f,SUM(_xlpm.m*(_xlpm.v="Failed")),_xlpm.b,SUM(_xlpm.m*(_xlpm.v="Blocked")),_xlpm.nr,SUM(_xlpm.m*(_xlpm.v="Not Run")),_xlpm.cp,SUM(_xlpm.m*(_xlpm.v="Conditionally Passed")),_xlpm.p,SUM(_xlpm.m*(_xlpm.v="Passed")),IF(TRIM($A67)="","",IF(TRIM($E67)="","Pending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7" s="68" t="str">
        <f>IF(TRIM($A67)="","",IF($J67="Passed","",IF($J67="Passed with Known Issue","Known Issue",IF($J67="",IF(OR($H67&lt;&gt;"No",AND($F67&lt;&gt;"Medium",$F67&lt;&gt;"Low")),"Pending Result",""),IF(OR($H67&lt;&gt;"No",AND($F67&lt;&gt;"Medium",$F67&lt;&gt;"Low")),IF(COUNTIFS(Dashboard!$B$105:$B$124,$A67,Dashboard!$I$105:$I$124,"CAB")&gt;0,"Accepted (CF)","Blocking"),IF($J67="Failed","Deferrable","Carry Over"))))))</f>
        <v/>
      </c>
      <c r="M67" s="68" t="str">
        <f>IF(OR(TRIM($A67)="",TRIM($E67)=""),"",IFERROR(INDEX('E2E core flow'!$B$15:$B$1000,MATCH(1,INDEX(('E2E core flow'!$A$15:$A$1000&lt;&gt;"")*ISNUMBER(SEARCH('E2E core flow'!$A$15:$A$1000,$E67)),0),0))&amp;"","-"))</f>
        <v/>
      </c>
      <c r="N67" s="68" t="str">
        <f>IF(TRIM($A67)="","",IF($O67=0,IF(COUNTIFS('Card Test Cases'!$B$4:$B$1000,$A67,'Card Test Cases'!$A$4:$A$1000,"&lt;&gt;")&gt;0,"Out of Scope","No TC"),IF($Q67&gt;0,"Failed",IF(COUNTIFS('Card Test Cases'!$B$4:$B$1000,$A67,'Card Test Cases'!$A$4:$A$1000,"&lt;&gt;",'Card Test Cases'!$F$4:$F$1000,"Blocked")&gt;0,"Blocked",IF($R67&gt;0,"In Progress","Passed")))))</f>
        <v/>
      </c>
      <c r="O67" s="68" t="str">
        <f>IF(TRIM($A67)="","",COUNTIFS('Card Test Cases'!$B$4:$B$1000,$A67,'Card Test Cases'!$A$4:$A$1000,"&lt;&gt;",'Card Test Cases'!$F$4:$F$1000,"&lt;&gt;Out of Scope"))</f>
        <v/>
      </c>
      <c r="P67" s="68" t="str">
        <f>IF(TRIM($A67)="","",COUNTIFS('Card Test Cases'!$B$4:$B$1000,$A67,'Card Test Cases'!$A$4:$A$1000,"&lt;&gt;",'Card Test Cases'!$F$4:$F$1000,"Passed"))</f>
        <v/>
      </c>
      <c r="Q67" s="68" t="str">
        <f>IF(TRIM($A67)="","",COUNTIFS('Card Test Cases'!$B$4:$B$1000,$A67,'Card Test Cases'!$A$4:$A$1000,"&lt;&gt;",'Card Test Cases'!$F$4:$F$1000,"Failed"))</f>
        <v/>
      </c>
      <c r="R67" s="68" t="str">
        <f t="shared" si="0"/>
        <v/>
      </c>
      <c r="S67" s="68" t="str" cm="1">
        <f t="array" ref="S67">IF(TRIM($A67)="","",IFERROR(_xlfn.TEXTJOIN(", ",TRUE,_xlfn.UNIQUE(_xlfn.VSTACK(_xlfn._xlws.FILTER('Card Test Cases'!$G$4:$G$1000,('Card Test Cases'!$B$4:$B$1000=$A67)*('Card Test Cases'!$G$4:$G$1000&lt;&gt;""),""),_xlfn._xlws.FILTER('E2E core flow'!$U$15:$U$1000,('E2E core flow'!$A$15:$A$1000&lt;&gt;"")*ISNUMBER(SEARCH('E2E core flow'!$A$15:$A$1000,$E67))*('E2E core flow'!$U$15:$U$1000&lt;&gt;""),"")))),"-"))</f>
        <v/>
      </c>
    </row>
    <row r="68" spans="7:19" x14ac:dyDescent="0.3">
      <c r="G68" s="68" t="str" cm="1">
        <f t="array" ref="G68">_xlfn.LET(_xlpm.ids,'E2E core flow'!$A$15:$A$1000,_xlpm.v,'E2E core flow'!$W$15:$W$1000,_xlpm.m,(_xlpm.ids&lt;&gt;"")*ISNUMBER(SEARCH(_xlpm.ids,$E68)),_xlpm.f,SUM(_xlpm.m*(_xlpm.v="Failed")),_xlpm.b,SUM(_xlpm.m*(_xlpm.v="Blocked")),_xlpm.nr,SUM(_xlpm.m*(_xlpm.v="Not Run")),_xlpm.cp,SUM(_xlpm.m*(_xlpm.v="Conditionally Passed")),_xlpm.p,SUM(_xlpm.m*(_xlpm.v="Passed")),IF(TRIM($A68)="","",IF(TRIM($E68)="","Pending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8" s="68" t="str">
        <f>IF(TRIM($A68)="","",IF($J68="Passed","",IF($J68="Passed with Known Issue","Known Issue",IF($J68="",IF(OR($H68&lt;&gt;"No",AND($F68&lt;&gt;"Medium",$F68&lt;&gt;"Low")),"Pending Result",""),IF(OR($H68&lt;&gt;"No",AND($F68&lt;&gt;"Medium",$F68&lt;&gt;"Low")),IF(COUNTIFS(Dashboard!$B$105:$B$124,$A68,Dashboard!$I$105:$I$124,"CAB")&gt;0,"Accepted (CF)","Blocking"),IF($J68="Failed","Deferrable","Carry Over"))))))</f>
        <v/>
      </c>
      <c r="M68" s="68" t="str">
        <f>IF(OR(TRIM($A68)="",TRIM($E68)=""),"",IFERROR(INDEX('E2E core flow'!$B$15:$B$1000,MATCH(1,INDEX(('E2E core flow'!$A$15:$A$1000&lt;&gt;"")*ISNUMBER(SEARCH('E2E core flow'!$A$15:$A$1000,$E68)),0),0))&amp;"","-"))</f>
        <v/>
      </c>
      <c r="N68" s="68" t="str">
        <f>IF(TRIM($A68)="","",IF($O68=0,IF(COUNTIFS('Card Test Cases'!$B$4:$B$1000,$A68,'Card Test Cases'!$A$4:$A$1000,"&lt;&gt;")&gt;0,"Out of Scope","No TC"),IF($Q68&gt;0,"Failed",IF(COUNTIFS('Card Test Cases'!$B$4:$B$1000,$A68,'Card Test Cases'!$A$4:$A$1000,"&lt;&gt;",'Card Test Cases'!$F$4:$F$1000,"Blocked")&gt;0,"Blocked",IF($R68&gt;0,"In Progress","Passed")))))</f>
        <v/>
      </c>
      <c r="O68" s="68" t="str">
        <f>IF(TRIM($A68)="","",COUNTIFS('Card Test Cases'!$B$4:$B$1000,$A68,'Card Test Cases'!$A$4:$A$1000,"&lt;&gt;",'Card Test Cases'!$F$4:$F$1000,"&lt;&gt;Out of Scope"))</f>
        <v/>
      </c>
      <c r="P68" s="68" t="str">
        <f>IF(TRIM($A68)="","",COUNTIFS('Card Test Cases'!$B$4:$B$1000,$A68,'Card Test Cases'!$A$4:$A$1000,"&lt;&gt;",'Card Test Cases'!$F$4:$F$1000,"Passed"))</f>
        <v/>
      </c>
      <c r="Q68" s="68" t="str">
        <f>IF(TRIM($A68)="","",COUNTIFS('Card Test Cases'!$B$4:$B$1000,$A68,'Card Test Cases'!$A$4:$A$1000,"&lt;&gt;",'Card Test Cases'!$F$4:$F$1000,"Failed"))</f>
        <v/>
      </c>
      <c r="R68" s="68" t="str">
        <f t="shared" ref="R68:R131" si="1">IF(TRIM($A68)="","",$O68-$P68-$Q68)</f>
        <v/>
      </c>
      <c r="S68" s="68" t="str" cm="1">
        <f t="array" ref="S68">IF(TRIM($A68)="","",IFERROR(_xlfn.TEXTJOIN(", ",TRUE,_xlfn.UNIQUE(_xlfn.VSTACK(_xlfn._xlws.FILTER('Card Test Cases'!$G$4:$G$1000,('Card Test Cases'!$B$4:$B$1000=$A68)*('Card Test Cases'!$G$4:$G$1000&lt;&gt;""),""),_xlfn._xlws.FILTER('E2E core flow'!$U$15:$U$1000,('E2E core flow'!$A$15:$A$1000&lt;&gt;"")*ISNUMBER(SEARCH('E2E core flow'!$A$15:$A$1000,$E68))*('E2E core flow'!$U$15:$U$1000&lt;&gt;""),"")))),"-"))</f>
        <v/>
      </c>
    </row>
    <row r="69" spans="7:19" x14ac:dyDescent="0.3">
      <c r="G69" s="68" t="str" cm="1">
        <f t="array" ref="G69">_xlfn.LET(_xlpm.ids,'E2E core flow'!$A$15:$A$1000,_xlpm.v,'E2E core flow'!$W$15:$W$1000,_xlpm.m,(_xlpm.ids&lt;&gt;"")*ISNUMBER(SEARCH(_xlpm.ids,$E69)),_xlpm.f,SUM(_xlpm.m*(_xlpm.v="Failed")),_xlpm.b,SUM(_xlpm.m*(_xlpm.v="Blocked")),_xlpm.nr,SUM(_xlpm.m*(_xlpm.v="Not Run")),_xlpm.cp,SUM(_xlpm.m*(_xlpm.v="Conditionally Passed")),_xlpm.p,SUM(_xlpm.m*(_xlpm.v="Passed")),IF(TRIM($A69)="","",IF(TRIM($E69)="","Pending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9" s="68" t="str">
        <f>IF(TRIM($A69)="","",IF($J69="Passed","",IF($J69="Passed with Known Issue","Known Issue",IF($J69="",IF(OR($H69&lt;&gt;"No",AND($F69&lt;&gt;"Medium",$F69&lt;&gt;"Low")),"Pending Result",""),IF(OR($H69&lt;&gt;"No",AND($F69&lt;&gt;"Medium",$F69&lt;&gt;"Low")),IF(COUNTIFS(Dashboard!$B$105:$B$124,$A69,Dashboard!$I$105:$I$124,"CAB")&gt;0,"Accepted (CF)","Blocking"),IF($J69="Failed","Deferrable","Carry Over"))))))</f>
        <v/>
      </c>
      <c r="M69" s="68" t="str">
        <f>IF(OR(TRIM($A69)="",TRIM($E69)=""),"",IFERROR(INDEX('E2E core flow'!$B$15:$B$1000,MATCH(1,INDEX(('E2E core flow'!$A$15:$A$1000&lt;&gt;"")*ISNUMBER(SEARCH('E2E core flow'!$A$15:$A$1000,$E69)),0),0))&amp;"","-"))</f>
        <v/>
      </c>
      <c r="N69" s="68" t="str">
        <f>IF(TRIM($A69)="","",IF($O69=0,IF(COUNTIFS('Card Test Cases'!$B$4:$B$1000,$A69,'Card Test Cases'!$A$4:$A$1000,"&lt;&gt;")&gt;0,"Out of Scope","No TC"),IF($Q69&gt;0,"Failed",IF(COUNTIFS('Card Test Cases'!$B$4:$B$1000,$A69,'Card Test Cases'!$A$4:$A$1000,"&lt;&gt;",'Card Test Cases'!$F$4:$F$1000,"Blocked")&gt;0,"Blocked",IF($R69&gt;0,"In Progress","Passed")))))</f>
        <v/>
      </c>
      <c r="O69" s="68" t="str">
        <f>IF(TRIM($A69)="","",COUNTIFS('Card Test Cases'!$B$4:$B$1000,$A69,'Card Test Cases'!$A$4:$A$1000,"&lt;&gt;",'Card Test Cases'!$F$4:$F$1000,"&lt;&gt;Out of Scope"))</f>
        <v/>
      </c>
      <c r="P69" s="68" t="str">
        <f>IF(TRIM($A69)="","",COUNTIFS('Card Test Cases'!$B$4:$B$1000,$A69,'Card Test Cases'!$A$4:$A$1000,"&lt;&gt;",'Card Test Cases'!$F$4:$F$1000,"Passed"))</f>
        <v/>
      </c>
      <c r="Q69" s="68" t="str">
        <f>IF(TRIM($A69)="","",COUNTIFS('Card Test Cases'!$B$4:$B$1000,$A69,'Card Test Cases'!$A$4:$A$1000,"&lt;&gt;",'Card Test Cases'!$F$4:$F$1000,"Failed"))</f>
        <v/>
      </c>
      <c r="R69" s="68" t="str">
        <f t="shared" si="1"/>
        <v/>
      </c>
      <c r="S69" s="68" t="str" cm="1">
        <f t="array" ref="S69">IF(TRIM($A69)="","",IFERROR(_xlfn.TEXTJOIN(", ",TRUE,_xlfn.UNIQUE(_xlfn.VSTACK(_xlfn._xlws.FILTER('Card Test Cases'!$G$4:$G$1000,('Card Test Cases'!$B$4:$B$1000=$A69)*('Card Test Cases'!$G$4:$G$1000&lt;&gt;""),""),_xlfn._xlws.FILTER('E2E core flow'!$U$15:$U$1000,('E2E core flow'!$A$15:$A$1000&lt;&gt;"")*ISNUMBER(SEARCH('E2E core flow'!$A$15:$A$1000,$E69))*('E2E core flow'!$U$15:$U$1000&lt;&gt;""),"")))),"-"))</f>
        <v/>
      </c>
    </row>
    <row r="70" spans="7:19" x14ac:dyDescent="0.3">
      <c r="G70" s="68" t="str" cm="1">
        <f t="array" ref="G70">_xlfn.LET(_xlpm.ids,'E2E core flow'!$A$15:$A$1000,_xlpm.v,'E2E core flow'!$W$15:$W$1000,_xlpm.m,(_xlpm.ids&lt;&gt;"")*ISNUMBER(SEARCH(_xlpm.ids,$E70)),_xlpm.f,SUM(_xlpm.m*(_xlpm.v="Failed")),_xlpm.b,SUM(_xlpm.m*(_xlpm.v="Blocked")),_xlpm.nr,SUM(_xlpm.m*(_xlpm.v="Not Run")),_xlpm.cp,SUM(_xlpm.m*(_xlpm.v="Conditionally Passed")),_xlpm.p,SUM(_xlpm.m*(_xlpm.v="Passed")),IF(TRIM($A70)="","",IF(TRIM($E70)="","Pending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0" s="68" t="str">
        <f>IF(TRIM($A70)="","",IF($J70="Passed","",IF($J70="Passed with Known Issue","Known Issue",IF($J70="",IF(OR($H70&lt;&gt;"No",AND($F70&lt;&gt;"Medium",$F70&lt;&gt;"Low")),"Pending Result",""),IF(OR($H70&lt;&gt;"No",AND($F70&lt;&gt;"Medium",$F70&lt;&gt;"Low")),IF(COUNTIFS(Dashboard!$B$105:$B$124,$A70,Dashboard!$I$105:$I$124,"CAB")&gt;0,"Accepted (CF)","Blocking"),IF($J70="Failed","Deferrable","Carry Over"))))))</f>
        <v/>
      </c>
      <c r="M70" s="68" t="str">
        <f>IF(OR(TRIM($A70)="",TRIM($E70)=""),"",IFERROR(INDEX('E2E core flow'!$B$15:$B$1000,MATCH(1,INDEX(('E2E core flow'!$A$15:$A$1000&lt;&gt;"")*ISNUMBER(SEARCH('E2E core flow'!$A$15:$A$1000,$E70)),0),0))&amp;"","-"))</f>
        <v/>
      </c>
      <c r="N70" s="68" t="str">
        <f>IF(TRIM($A70)="","",IF($O70=0,IF(COUNTIFS('Card Test Cases'!$B$4:$B$1000,$A70,'Card Test Cases'!$A$4:$A$1000,"&lt;&gt;")&gt;0,"Out of Scope","No TC"),IF($Q70&gt;0,"Failed",IF(COUNTIFS('Card Test Cases'!$B$4:$B$1000,$A70,'Card Test Cases'!$A$4:$A$1000,"&lt;&gt;",'Card Test Cases'!$F$4:$F$1000,"Blocked")&gt;0,"Blocked",IF($R70&gt;0,"In Progress","Passed")))))</f>
        <v/>
      </c>
      <c r="O70" s="68" t="str">
        <f>IF(TRIM($A70)="","",COUNTIFS('Card Test Cases'!$B$4:$B$1000,$A70,'Card Test Cases'!$A$4:$A$1000,"&lt;&gt;",'Card Test Cases'!$F$4:$F$1000,"&lt;&gt;Out of Scope"))</f>
        <v/>
      </c>
      <c r="P70" s="68" t="str">
        <f>IF(TRIM($A70)="","",COUNTIFS('Card Test Cases'!$B$4:$B$1000,$A70,'Card Test Cases'!$A$4:$A$1000,"&lt;&gt;",'Card Test Cases'!$F$4:$F$1000,"Passed"))</f>
        <v/>
      </c>
      <c r="Q70" s="68" t="str">
        <f>IF(TRIM($A70)="","",COUNTIFS('Card Test Cases'!$B$4:$B$1000,$A70,'Card Test Cases'!$A$4:$A$1000,"&lt;&gt;",'Card Test Cases'!$F$4:$F$1000,"Failed"))</f>
        <v/>
      </c>
      <c r="R70" s="68" t="str">
        <f t="shared" si="1"/>
        <v/>
      </c>
      <c r="S70" s="68" t="str" cm="1">
        <f t="array" ref="S70">IF(TRIM($A70)="","",IFERROR(_xlfn.TEXTJOIN(", ",TRUE,_xlfn.UNIQUE(_xlfn.VSTACK(_xlfn._xlws.FILTER('Card Test Cases'!$G$4:$G$1000,('Card Test Cases'!$B$4:$B$1000=$A70)*('Card Test Cases'!$G$4:$G$1000&lt;&gt;""),""),_xlfn._xlws.FILTER('E2E core flow'!$U$15:$U$1000,('E2E core flow'!$A$15:$A$1000&lt;&gt;"")*ISNUMBER(SEARCH('E2E core flow'!$A$15:$A$1000,$E70))*('E2E core flow'!$U$15:$U$1000&lt;&gt;""),"")))),"-"))</f>
        <v/>
      </c>
    </row>
    <row r="71" spans="7:19" x14ac:dyDescent="0.3">
      <c r="G71" s="68" t="str" cm="1">
        <f t="array" ref="G71">_xlfn.LET(_xlpm.ids,'E2E core flow'!$A$15:$A$1000,_xlpm.v,'E2E core flow'!$W$15:$W$1000,_xlpm.m,(_xlpm.ids&lt;&gt;"")*ISNUMBER(SEARCH(_xlpm.ids,$E71)),_xlpm.f,SUM(_xlpm.m*(_xlpm.v="Failed")),_xlpm.b,SUM(_xlpm.m*(_xlpm.v="Blocked")),_xlpm.nr,SUM(_xlpm.m*(_xlpm.v="Not Run")),_xlpm.cp,SUM(_xlpm.m*(_xlpm.v="Conditionally Passed")),_xlpm.p,SUM(_xlpm.m*(_xlpm.v="Passed")),IF(TRIM($A71)="","",IF(TRIM($E71)="","Pending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1" s="68" t="str">
        <f>IF(TRIM($A71)="","",IF($J71="Passed","",IF($J71="Passed with Known Issue","Known Issue",IF($J71="",IF(OR($H71&lt;&gt;"No",AND($F71&lt;&gt;"Medium",$F71&lt;&gt;"Low")),"Pending Result",""),IF(OR($H71&lt;&gt;"No",AND($F71&lt;&gt;"Medium",$F71&lt;&gt;"Low")),IF(COUNTIFS(Dashboard!$B$105:$B$124,$A71,Dashboard!$I$105:$I$124,"CAB")&gt;0,"Accepted (CF)","Blocking"),IF($J71="Failed","Deferrable","Carry Over"))))))</f>
        <v/>
      </c>
      <c r="M71" s="68" t="str">
        <f>IF(OR(TRIM($A71)="",TRIM($E71)=""),"",IFERROR(INDEX('E2E core flow'!$B$15:$B$1000,MATCH(1,INDEX(('E2E core flow'!$A$15:$A$1000&lt;&gt;"")*ISNUMBER(SEARCH('E2E core flow'!$A$15:$A$1000,$E71)),0),0))&amp;"","-"))</f>
        <v/>
      </c>
      <c r="N71" s="68" t="str">
        <f>IF(TRIM($A71)="","",IF($O71=0,IF(COUNTIFS('Card Test Cases'!$B$4:$B$1000,$A71,'Card Test Cases'!$A$4:$A$1000,"&lt;&gt;")&gt;0,"Out of Scope","No TC"),IF($Q71&gt;0,"Failed",IF(COUNTIFS('Card Test Cases'!$B$4:$B$1000,$A71,'Card Test Cases'!$A$4:$A$1000,"&lt;&gt;",'Card Test Cases'!$F$4:$F$1000,"Blocked")&gt;0,"Blocked",IF($R71&gt;0,"In Progress","Passed")))))</f>
        <v/>
      </c>
      <c r="O71" s="68" t="str">
        <f>IF(TRIM($A71)="","",COUNTIFS('Card Test Cases'!$B$4:$B$1000,$A71,'Card Test Cases'!$A$4:$A$1000,"&lt;&gt;",'Card Test Cases'!$F$4:$F$1000,"&lt;&gt;Out of Scope"))</f>
        <v/>
      </c>
      <c r="P71" s="68" t="str">
        <f>IF(TRIM($A71)="","",COUNTIFS('Card Test Cases'!$B$4:$B$1000,$A71,'Card Test Cases'!$A$4:$A$1000,"&lt;&gt;",'Card Test Cases'!$F$4:$F$1000,"Passed"))</f>
        <v/>
      </c>
      <c r="Q71" s="68" t="str">
        <f>IF(TRIM($A71)="","",COUNTIFS('Card Test Cases'!$B$4:$B$1000,$A71,'Card Test Cases'!$A$4:$A$1000,"&lt;&gt;",'Card Test Cases'!$F$4:$F$1000,"Failed"))</f>
        <v/>
      </c>
      <c r="R71" s="68" t="str">
        <f t="shared" si="1"/>
        <v/>
      </c>
      <c r="S71" s="68" t="str" cm="1">
        <f t="array" ref="S71">IF(TRIM($A71)="","",IFERROR(_xlfn.TEXTJOIN(", ",TRUE,_xlfn.UNIQUE(_xlfn.VSTACK(_xlfn._xlws.FILTER('Card Test Cases'!$G$4:$G$1000,('Card Test Cases'!$B$4:$B$1000=$A71)*('Card Test Cases'!$G$4:$G$1000&lt;&gt;""),""),_xlfn._xlws.FILTER('E2E core flow'!$U$15:$U$1000,('E2E core flow'!$A$15:$A$1000&lt;&gt;"")*ISNUMBER(SEARCH('E2E core flow'!$A$15:$A$1000,$E71))*('E2E core flow'!$U$15:$U$1000&lt;&gt;""),"")))),"-"))</f>
        <v/>
      </c>
    </row>
    <row r="72" spans="7:19" x14ac:dyDescent="0.3">
      <c r="G72" s="68" t="str" cm="1">
        <f t="array" ref="G72">_xlfn.LET(_xlpm.ids,'E2E core flow'!$A$15:$A$1000,_xlpm.v,'E2E core flow'!$W$15:$W$1000,_xlpm.m,(_xlpm.ids&lt;&gt;"")*ISNUMBER(SEARCH(_xlpm.ids,$E72)),_xlpm.f,SUM(_xlpm.m*(_xlpm.v="Failed")),_xlpm.b,SUM(_xlpm.m*(_xlpm.v="Blocked")),_xlpm.nr,SUM(_xlpm.m*(_xlpm.v="Not Run")),_xlpm.cp,SUM(_xlpm.m*(_xlpm.v="Conditionally Passed")),_xlpm.p,SUM(_xlpm.m*(_xlpm.v="Passed")),IF(TRIM($A72)="","",IF(TRIM($E72)="","Pending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2" s="68" t="str">
        <f>IF(TRIM($A72)="","",IF($J72="Passed","",IF($J72="Passed with Known Issue","Known Issue",IF($J72="",IF(OR($H72&lt;&gt;"No",AND($F72&lt;&gt;"Medium",$F72&lt;&gt;"Low")),"Pending Result",""),IF(OR($H72&lt;&gt;"No",AND($F72&lt;&gt;"Medium",$F72&lt;&gt;"Low")),IF(COUNTIFS(Dashboard!$B$105:$B$124,$A72,Dashboard!$I$105:$I$124,"CAB")&gt;0,"Accepted (CF)","Blocking"),IF($J72="Failed","Deferrable","Carry Over"))))))</f>
        <v/>
      </c>
      <c r="M72" s="68" t="str">
        <f>IF(OR(TRIM($A72)="",TRIM($E72)=""),"",IFERROR(INDEX('E2E core flow'!$B$15:$B$1000,MATCH(1,INDEX(('E2E core flow'!$A$15:$A$1000&lt;&gt;"")*ISNUMBER(SEARCH('E2E core flow'!$A$15:$A$1000,$E72)),0),0))&amp;"","-"))</f>
        <v/>
      </c>
      <c r="N72" s="68" t="str">
        <f>IF(TRIM($A72)="","",IF($O72=0,IF(COUNTIFS('Card Test Cases'!$B$4:$B$1000,$A72,'Card Test Cases'!$A$4:$A$1000,"&lt;&gt;")&gt;0,"Out of Scope","No TC"),IF($Q72&gt;0,"Failed",IF(COUNTIFS('Card Test Cases'!$B$4:$B$1000,$A72,'Card Test Cases'!$A$4:$A$1000,"&lt;&gt;",'Card Test Cases'!$F$4:$F$1000,"Blocked")&gt;0,"Blocked",IF($R72&gt;0,"In Progress","Passed")))))</f>
        <v/>
      </c>
      <c r="O72" s="68" t="str">
        <f>IF(TRIM($A72)="","",COUNTIFS('Card Test Cases'!$B$4:$B$1000,$A72,'Card Test Cases'!$A$4:$A$1000,"&lt;&gt;",'Card Test Cases'!$F$4:$F$1000,"&lt;&gt;Out of Scope"))</f>
        <v/>
      </c>
      <c r="P72" s="68" t="str">
        <f>IF(TRIM($A72)="","",COUNTIFS('Card Test Cases'!$B$4:$B$1000,$A72,'Card Test Cases'!$A$4:$A$1000,"&lt;&gt;",'Card Test Cases'!$F$4:$F$1000,"Passed"))</f>
        <v/>
      </c>
      <c r="Q72" s="68" t="str">
        <f>IF(TRIM($A72)="","",COUNTIFS('Card Test Cases'!$B$4:$B$1000,$A72,'Card Test Cases'!$A$4:$A$1000,"&lt;&gt;",'Card Test Cases'!$F$4:$F$1000,"Failed"))</f>
        <v/>
      </c>
      <c r="R72" s="68" t="str">
        <f t="shared" si="1"/>
        <v/>
      </c>
      <c r="S72" s="68" t="str" cm="1">
        <f t="array" ref="S72">IF(TRIM($A72)="","",IFERROR(_xlfn.TEXTJOIN(", ",TRUE,_xlfn.UNIQUE(_xlfn.VSTACK(_xlfn._xlws.FILTER('Card Test Cases'!$G$4:$G$1000,('Card Test Cases'!$B$4:$B$1000=$A72)*('Card Test Cases'!$G$4:$G$1000&lt;&gt;""),""),_xlfn._xlws.FILTER('E2E core flow'!$U$15:$U$1000,('E2E core flow'!$A$15:$A$1000&lt;&gt;"")*ISNUMBER(SEARCH('E2E core flow'!$A$15:$A$1000,$E72))*('E2E core flow'!$U$15:$U$1000&lt;&gt;""),"")))),"-"))</f>
        <v/>
      </c>
    </row>
    <row r="73" spans="7:19" x14ac:dyDescent="0.3">
      <c r="G73" s="68" t="str" cm="1">
        <f t="array" ref="G73">_xlfn.LET(_xlpm.ids,'E2E core flow'!$A$15:$A$1000,_xlpm.v,'E2E core flow'!$W$15:$W$1000,_xlpm.m,(_xlpm.ids&lt;&gt;"")*ISNUMBER(SEARCH(_xlpm.ids,$E73)),_xlpm.f,SUM(_xlpm.m*(_xlpm.v="Failed")),_xlpm.b,SUM(_xlpm.m*(_xlpm.v="Blocked")),_xlpm.nr,SUM(_xlpm.m*(_xlpm.v="Not Run")),_xlpm.cp,SUM(_xlpm.m*(_xlpm.v="Conditionally Passed")),_xlpm.p,SUM(_xlpm.m*(_xlpm.v="Passed")),IF(TRIM($A73)="","",IF(TRIM($E73)="","Pending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3" s="68" t="str">
        <f>IF(TRIM($A73)="","",IF($J73="Passed","",IF($J73="Passed with Known Issue","Known Issue",IF($J73="",IF(OR($H73&lt;&gt;"No",AND($F73&lt;&gt;"Medium",$F73&lt;&gt;"Low")),"Pending Result",""),IF(OR($H73&lt;&gt;"No",AND($F73&lt;&gt;"Medium",$F73&lt;&gt;"Low")),IF(COUNTIFS(Dashboard!$B$105:$B$124,$A73,Dashboard!$I$105:$I$124,"CAB")&gt;0,"Accepted (CF)","Blocking"),IF($J73="Failed","Deferrable","Carry Over"))))))</f>
        <v/>
      </c>
      <c r="M73" s="68" t="str">
        <f>IF(OR(TRIM($A73)="",TRIM($E73)=""),"",IFERROR(INDEX('E2E core flow'!$B$15:$B$1000,MATCH(1,INDEX(('E2E core flow'!$A$15:$A$1000&lt;&gt;"")*ISNUMBER(SEARCH('E2E core flow'!$A$15:$A$1000,$E73)),0),0))&amp;"","-"))</f>
        <v/>
      </c>
      <c r="N73" s="68" t="str">
        <f>IF(TRIM($A73)="","",IF($O73=0,IF(COUNTIFS('Card Test Cases'!$B$4:$B$1000,$A73,'Card Test Cases'!$A$4:$A$1000,"&lt;&gt;")&gt;0,"Out of Scope","No TC"),IF($Q73&gt;0,"Failed",IF(COUNTIFS('Card Test Cases'!$B$4:$B$1000,$A73,'Card Test Cases'!$A$4:$A$1000,"&lt;&gt;",'Card Test Cases'!$F$4:$F$1000,"Blocked")&gt;0,"Blocked",IF($R73&gt;0,"In Progress","Passed")))))</f>
        <v/>
      </c>
      <c r="O73" s="68" t="str">
        <f>IF(TRIM($A73)="","",COUNTIFS('Card Test Cases'!$B$4:$B$1000,$A73,'Card Test Cases'!$A$4:$A$1000,"&lt;&gt;",'Card Test Cases'!$F$4:$F$1000,"&lt;&gt;Out of Scope"))</f>
        <v/>
      </c>
      <c r="P73" s="68" t="str">
        <f>IF(TRIM($A73)="","",COUNTIFS('Card Test Cases'!$B$4:$B$1000,$A73,'Card Test Cases'!$A$4:$A$1000,"&lt;&gt;",'Card Test Cases'!$F$4:$F$1000,"Passed"))</f>
        <v/>
      </c>
      <c r="Q73" s="68" t="str">
        <f>IF(TRIM($A73)="","",COUNTIFS('Card Test Cases'!$B$4:$B$1000,$A73,'Card Test Cases'!$A$4:$A$1000,"&lt;&gt;",'Card Test Cases'!$F$4:$F$1000,"Failed"))</f>
        <v/>
      </c>
      <c r="R73" s="68" t="str">
        <f t="shared" si="1"/>
        <v/>
      </c>
      <c r="S73" s="68" t="str" cm="1">
        <f t="array" ref="S73">IF(TRIM($A73)="","",IFERROR(_xlfn.TEXTJOIN(", ",TRUE,_xlfn.UNIQUE(_xlfn.VSTACK(_xlfn._xlws.FILTER('Card Test Cases'!$G$4:$G$1000,('Card Test Cases'!$B$4:$B$1000=$A73)*('Card Test Cases'!$G$4:$G$1000&lt;&gt;""),""),_xlfn._xlws.FILTER('E2E core flow'!$U$15:$U$1000,('E2E core flow'!$A$15:$A$1000&lt;&gt;"")*ISNUMBER(SEARCH('E2E core flow'!$A$15:$A$1000,$E73))*('E2E core flow'!$U$15:$U$1000&lt;&gt;""),"")))),"-"))</f>
        <v/>
      </c>
    </row>
    <row r="74" spans="7:19" x14ac:dyDescent="0.3">
      <c r="G74" s="68" t="str" cm="1">
        <f t="array" ref="G74">_xlfn.LET(_xlpm.ids,'E2E core flow'!$A$15:$A$1000,_xlpm.v,'E2E core flow'!$W$15:$W$1000,_xlpm.m,(_xlpm.ids&lt;&gt;"")*ISNUMBER(SEARCH(_xlpm.ids,$E74)),_xlpm.f,SUM(_xlpm.m*(_xlpm.v="Failed")),_xlpm.b,SUM(_xlpm.m*(_xlpm.v="Blocked")),_xlpm.nr,SUM(_xlpm.m*(_xlpm.v="Not Run")),_xlpm.cp,SUM(_xlpm.m*(_xlpm.v="Conditionally Passed")),_xlpm.p,SUM(_xlpm.m*(_xlpm.v="Passed")),IF(TRIM($A74)="","",IF(TRIM($E74)="","Pending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4" s="68" t="str">
        <f>IF(TRIM($A74)="","",IF($J74="Passed","",IF($J74="Passed with Known Issue","Known Issue",IF($J74="",IF(OR($H74&lt;&gt;"No",AND($F74&lt;&gt;"Medium",$F74&lt;&gt;"Low")),"Pending Result",""),IF(OR($H74&lt;&gt;"No",AND($F74&lt;&gt;"Medium",$F74&lt;&gt;"Low")),IF(COUNTIFS(Dashboard!$B$105:$B$124,$A74,Dashboard!$I$105:$I$124,"CAB")&gt;0,"Accepted (CF)","Blocking"),IF($J74="Failed","Deferrable","Carry Over"))))))</f>
        <v/>
      </c>
      <c r="M74" s="68" t="str">
        <f>IF(OR(TRIM($A74)="",TRIM($E74)=""),"",IFERROR(INDEX('E2E core flow'!$B$15:$B$1000,MATCH(1,INDEX(('E2E core flow'!$A$15:$A$1000&lt;&gt;"")*ISNUMBER(SEARCH('E2E core flow'!$A$15:$A$1000,$E74)),0),0))&amp;"","-"))</f>
        <v/>
      </c>
      <c r="N74" s="68" t="str">
        <f>IF(TRIM($A74)="","",IF($O74=0,IF(COUNTIFS('Card Test Cases'!$B$4:$B$1000,$A74,'Card Test Cases'!$A$4:$A$1000,"&lt;&gt;")&gt;0,"Out of Scope","No TC"),IF($Q74&gt;0,"Failed",IF(COUNTIFS('Card Test Cases'!$B$4:$B$1000,$A74,'Card Test Cases'!$A$4:$A$1000,"&lt;&gt;",'Card Test Cases'!$F$4:$F$1000,"Blocked")&gt;0,"Blocked",IF($R74&gt;0,"In Progress","Passed")))))</f>
        <v/>
      </c>
      <c r="O74" s="68" t="str">
        <f>IF(TRIM($A74)="","",COUNTIFS('Card Test Cases'!$B$4:$B$1000,$A74,'Card Test Cases'!$A$4:$A$1000,"&lt;&gt;",'Card Test Cases'!$F$4:$F$1000,"&lt;&gt;Out of Scope"))</f>
        <v/>
      </c>
      <c r="P74" s="68" t="str">
        <f>IF(TRIM($A74)="","",COUNTIFS('Card Test Cases'!$B$4:$B$1000,$A74,'Card Test Cases'!$A$4:$A$1000,"&lt;&gt;",'Card Test Cases'!$F$4:$F$1000,"Passed"))</f>
        <v/>
      </c>
      <c r="Q74" s="68" t="str">
        <f>IF(TRIM($A74)="","",COUNTIFS('Card Test Cases'!$B$4:$B$1000,$A74,'Card Test Cases'!$A$4:$A$1000,"&lt;&gt;",'Card Test Cases'!$F$4:$F$1000,"Failed"))</f>
        <v/>
      </c>
      <c r="R74" s="68" t="str">
        <f t="shared" si="1"/>
        <v/>
      </c>
      <c r="S74" s="68" t="str" cm="1">
        <f t="array" ref="S74">IF(TRIM($A74)="","",IFERROR(_xlfn.TEXTJOIN(", ",TRUE,_xlfn.UNIQUE(_xlfn.VSTACK(_xlfn._xlws.FILTER('Card Test Cases'!$G$4:$G$1000,('Card Test Cases'!$B$4:$B$1000=$A74)*('Card Test Cases'!$G$4:$G$1000&lt;&gt;""),""),_xlfn._xlws.FILTER('E2E core flow'!$U$15:$U$1000,('E2E core flow'!$A$15:$A$1000&lt;&gt;"")*ISNUMBER(SEARCH('E2E core flow'!$A$15:$A$1000,$E74))*('E2E core flow'!$U$15:$U$1000&lt;&gt;""),"")))),"-"))</f>
        <v/>
      </c>
    </row>
    <row r="75" spans="7:19" x14ac:dyDescent="0.3">
      <c r="G75" s="68" t="str" cm="1">
        <f t="array" ref="G75">_xlfn.LET(_xlpm.ids,'E2E core flow'!$A$15:$A$1000,_xlpm.v,'E2E core flow'!$W$15:$W$1000,_xlpm.m,(_xlpm.ids&lt;&gt;"")*ISNUMBER(SEARCH(_xlpm.ids,$E75)),_xlpm.f,SUM(_xlpm.m*(_xlpm.v="Failed")),_xlpm.b,SUM(_xlpm.m*(_xlpm.v="Blocked")),_xlpm.nr,SUM(_xlpm.m*(_xlpm.v="Not Run")),_xlpm.cp,SUM(_xlpm.m*(_xlpm.v="Conditionally Passed")),_xlpm.p,SUM(_xlpm.m*(_xlpm.v="Passed")),IF(TRIM($A75)="","",IF(TRIM($E75)="","Pending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5" s="68" t="str">
        <f>IF(TRIM($A75)="","",IF($J75="Passed","",IF($J75="Passed with Known Issue","Known Issue",IF($J75="",IF(OR($H75&lt;&gt;"No",AND($F75&lt;&gt;"Medium",$F75&lt;&gt;"Low")),"Pending Result",""),IF(OR($H75&lt;&gt;"No",AND($F75&lt;&gt;"Medium",$F75&lt;&gt;"Low")),IF(COUNTIFS(Dashboard!$B$105:$B$124,$A75,Dashboard!$I$105:$I$124,"CAB")&gt;0,"Accepted (CF)","Blocking"),IF($J75="Failed","Deferrable","Carry Over"))))))</f>
        <v/>
      </c>
      <c r="M75" s="68" t="str">
        <f>IF(OR(TRIM($A75)="",TRIM($E75)=""),"",IFERROR(INDEX('E2E core flow'!$B$15:$B$1000,MATCH(1,INDEX(('E2E core flow'!$A$15:$A$1000&lt;&gt;"")*ISNUMBER(SEARCH('E2E core flow'!$A$15:$A$1000,$E75)),0),0))&amp;"","-"))</f>
        <v/>
      </c>
      <c r="N75" s="68" t="str">
        <f>IF(TRIM($A75)="","",IF($O75=0,IF(COUNTIFS('Card Test Cases'!$B$4:$B$1000,$A75,'Card Test Cases'!$A$4:$A$1000,"&lt;&gt;")&gt;0,"Out of Scope","No TC"),IF($Q75&gt;0,"Failed",IF(COUNTIFS('Card Test Cases'!$B$4:$B$1000,$A75,'Card Test Cases'!$A$4:$A$1000,"&lt;&gt;",'Card Test Cases'!$F$4:$F$1000,"Blocked")&gt;0,"Blocked",IF($R75&gt;0,"In Progress","Passed")))))</f>
        <v/>
      </c>
      <c r="O75" s="68" t="str">
        <f>IF(TRIM($A75)="","",COUNTIFS('Card Test Cases'!$B$4:$B$1000,$A75,'Card Test Cases'!$A$4:$A$1000,"&lt;&gt;",'Card Test Cases'!$F$4:$F$1000,"&lt;&gt;Out of Scope"))</f>
        <v/>
      </c>
      <c r="P75" s="68" t="str">
        <f>IF(TRIM($A75)="","",COUNTIFS('Card Test Cases'!$B$4:$B$1000,$A75,'Card Test Cases'!$A$4:$A$1000,"&lt;&gt;",'Card Test Cases'!$F$4:$F$1000,"Passed"))</f>
        <v/>
      </c>
      <c r="Q75" s="68" t="str">
        <f>IF(TRIM($A75)="","",COUNTIFS('Card Test Cases'!$B$4:$B$1000,$A75,'Card Test Cases'!$A$4:$A$1000,"&lt;&gt;",'Card Test Cases'!$F$4:$F$1000,"Failed"))</f>
        <v/>
      </c>
      <c r="R75" s="68" t="str">
        <f t="shared" si="1"/>
        <v/>
      </c>
      <c r="S75" s="68" t="str" cm="1">
        <f t="array" ref="S75">IF(TRIM($A75)="","",IFERROR(_xlfn.TEXTJOIN(", ",TRUE,_xlfn.UNIQUE(_xlfn.VSTACK(_xlfn._xlws.FILTER('Card Test Cases'!$G$4:$G$1000,('Card Test Cases'!$B$4:$B$1000=$A75)*('Card Test Cases'!$G$4:$G$1000&lt;&gt;""),""),_xlfn._xlws.FILTER('E2E core flow'!$U$15:$U$1000,('E2E core flow'!$A$15:$A$1000&lt;&gt;"")*ISNUMBER(SEARCH('E2E core flow'!$A$15:$A$1000,$E75))*('E2E core flow'!$U$15:$U$1000&lt;&gt;""),"")))),"-"))</f>
        <v/>
      </c>
    </row>
    <row r="76" spans="7:19" x14ac:dyDescent="0.3">
      <c r="G76" s="68" t="str" cm="1">
        <f t="array" ref="G76">_xlfn.LET(_xlpm.ids,'E2E core flow'!$A$15:$A$1000,_xlpm.v,'E2E core flow'!$W$15:$W$1000,_xlpm.m,(_xlpm.ids&lt;&gt;"")*ISNUMBER(SEARCH(_xlpm.ids,$E76)),_xlpm.f,SUM(_xlpm.m*(_xlpm.v="Failed")),_xlpm.b,SUM(_xlpm.m*(_xlpm.v="Blocked")),_xlpm.nr,SUM(_xlpm.m*(_xlpm.v="Not Run")),_xlpm.cp,SUM(_xlpm.m*(_xlpm.v="Conditionally Passed")),_xlpm.p,SUM(_xlpm.m*(_xlpm.v="Passed")),IF(TRIM($A76)="","",IF(TRIM($E76)="","Pending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6" s="68" t="str">
        <f>IF(TRIM($A76)="","",IF($J76="Passed","",IF($J76="Passed with Known Issue","Known Issue",IF($J76="",IF(OR($H76&lt;&gt;"No",AND($F76&lt;&gt;"Medium",$F76&lt;&gt;"Low")),"Pending Result",""),IF(OR($H76&lt;&gt;"No",AND($F76&lt;&gt;"Medium",$F76&lt;&gt;"Low")),IF(COUNTIFS(Dashboard!$B$105:$B$124,$A76,Dashboard!$I$105:$I$124,"CAB")&gt;0,"Accepted (CF)","Blocking"),IF($J76="Failed","Deferrable","Carry Over"))))))</f>
        <v/>
      </c>
      <c r="M76" s="68" t="str">
        <f>IF(OR(TRIM($A76)="",TRIM($E76)=""),"",IFERROR(INDEX('E2E core flow'!$B$15:$B$1000,MATCH(1,INDEX(('E2E core flow'!$A$15:$A$1000&lt;&gt;"")*ISNUMBER(SEARCH('E2E core flow'!$A$15:$A$1000,$E76)),0),0))&amp;"","-"))</f>
        <v/>
      </c>
      <c r="N76" s="68" t="str">
        <f>IF(TRIM($A76)="","",IF($O76=0,IF(COUNTIFS('Card Test Cases'!$B$4:$B$1000,$A76,'Card Test Cases'!$A$4:$A$1000,"&lt;&gt;")&gt;0,"Out of Scope","No TC"),IF($Q76&gt;0,"Failed",IF(COUNTIFS('Card Test Cases'!$B$4:$B$1000,$A76,'Card Test Cases'!$A$4:$A$1000,"&lt;&gt;",'Card Test Cases'!$F$4:$F$1000,"Blocked")&gt;0,"Blocked",IF($R76&gt;0,"In Progress","Passed")))))</f>
        <v/>
      </c>
      <c r="O76" s="68" t="str">
        <f>IF(TRIM($A76)="","",COUNTIFS('Card Test Cases'!$B$4:$B$1000,$A76,'Card Test Cases'!$A$4:$A$1000,"&lt;&gt;",'Card Test Cases'!$F$4:$F$1000,"&lt;&gt;Out of Scope"))</f>
        <v/>
      </c>
      <c r="P76" s="68" t="str">
        <f>IF(TRIM($A76)="","",COUNTIFS('Card Test Cases'!$B$4:$B$1000,$A76,'Card Test Cases'!$A$4:$A$1000,"&lt;&gt;",'Card Test Cases'!$F$4:$F$1000,"Passed"))</f>
        <v/>
      </c>
      <c r="Q76" s="68" t="str">
        <f>IF(TRIM($A76)="","",COUNTIFS('Card Test Cases'!$B$4:$B$1000,$A76,'Card Test Cases'!$A$4:$A$1000,"&lt;&gt;",'Card Test Cases'!$F$4:$F$1000,"Failed"))</f>
        <v/>
      </c>
      <c r="R76" s="68" t="str">
        <f t="shared" si="1"/>
        <v/>
      </c>
      <c r="S76" s="68" t="str" cm="1">
        <f t="array" ref="S76">IF(TRIM($A76)="","",IFERROR(_xlfn.TEXTJOIN(", ",TRUE,_xlfn.UNIQUE(_xlfn.VSTACK(_xlfn._xlws.FILTER('Card Test Cases'!$G$4:$G$1000,('Card Test Cases'!$B$4:$B$1000=$A76)*('Card Test Cases'!$G$4:$G$1000&lt;&gt;""),""),_xlfn._xlws.FILTER('E2E core flow'!$U$15:$U$1000,('E2E core flow'!$A$15:$A$1000&lt;&gt;"")*ISNUMBER(SEARCH('E2E core flow'!$A$15:$A$1000,$E76))*('E2E core flow'!$U$15:$U$1000&lt;&gt;""),"")))),"-"))</f>
        <v/>
      </c>
    </row>
    <row r="77" spans="7:19" x14ac:dyDescent="0.3">
      <c r="G77" s="68" t="str" cm="1">
        <f t="array" ref="G77">_xlfn.LET(_xlpm.ids,'E2E core flow'!$A$15:$A$1000,_xlpm.v,'E2E core flow'!$W$15:$W$1000,_xlpm.m,(_xlpm.ids&lt;&gt;"")*ISNUMBER(SEARCH(_xlpm.ids,$E77)),_xlpm.f,SUM(_xlpm.m*(_xlpm.v="Failed")),_xlpm.b,SUM(_xlpm.m*(_xlpm.v="Blocked")),_xlpm.nr,SUM(_xlpm.m*(_xlpm.v="Not Run")),_xlpm.cp,SUM(_xlpm.m*(_xlpm.v="Conditionally Passed")),_xlpm.p,SUM(_xlpm.m*(_xlpm.v="Passed")),IF(TRIM($A77)="","",IF(TRIM($E77)="","Pending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7" s="68" t="str">
        <f>IF(TRIM($A77)="","",IF($J77="Passed","",IF($J77="Passed with Known Issue","Known Issue",IF($J77="",IF(OR($H77&lt;&gt;"No",AND($F77&lt;&gt;"Medium",$F77&lt;&gt;"Low")),"Pending Result",""),IF(OR($H77&lt;&gt;"No",AND($F77&lt;&gt;"Medium",$F77&lt;&gt;"Low")),IF(COUNTIFS(Dashboard!$B$105:$B$124,$A77,Dashboard!$I$105:$I$124,"CAB")&gt;0,"Accepted (CF)","Blocking"),IF($J77="Failed","Deferrable","Carry Over"))))))</f>
        <v/>
      </c>
      <c r="M77" s="68" t="str">
        <f>IF(OR(TRIM($A77)="",TRIM($E77)=""),"",IFERROR(INDEX('E2E core flow'!$B$15:$B$1000,MATCH(1,INDEX(('E2E core flow'!$A$15:$A$1000&lt;&gt;"")*ISNUMBER(SEARCH('E2E core flow'!$A$15:$A$1000,$E77)),0),0))&amp;"","-"))</f>
        <v/>
      </c>
      <c r="N77" s="68" t="str">
        <f>IF(TRIM($A77)="","",IF($O77=0,IF(COUNTIFS('Card Test Cases'!$B$4:$B$1000,$A77,'Card Test Cases'!$A$4:$A$1000,"&lt;&gt;")&gt;0,"Out of Scope","No TC"),IF($Q77&gt;0,"Failed",IF(COUNTIFS('Card Test Cases'!$B$4:$B$1000,$A77,'Card Test Cases'!$A$4:$A$1000,"&lt;&gt;",'Card Test Cases'!$F$4:$F$1000,"Blocked")&gt;0,"Blocked",IF($R77&gt;0,"In Progress","Passed")))))</f>
        <v/>
      </c>
      <c r="O77" s="68" t="str">
        <f>IF(TRIM($A77)="","",COUNTIFS('Card Test Cases'!$B$4:$B$1000,$A77,'Card Test Cases'!$A$4:$A$1000,"&lt;&gt;",'Card Test Cases'!$F$4:$F$1000,"&lt;&gt;Out of Scope"))</f>
        <v/>
      </c>
      <c r="P77" s="68" t="str">
        <f>IF(TRIM($A77)="","",COUNTIFS('Card Test Cases'!$B$4:$B$1000,$A77,'Card Test Cases'!$A$4:$A$1000,"&lt;&gt;",'Card Test Cases'!$F$4:$F$1000,"Passed"))</f>
        <v/>
      </c>
      <c r="Q77" s="68" t="str">
        <f>IF(TRIM($A77)="","",COUNTIFS('Card Test Cases'!$B$4:$B$1000,$A77,'Card Test Cases'!$A$4:$A$1000,"&lt;&gt;",'Card Test Cases'!$F$4:$F$1000,"Failed"))</f>
        <v/>
      </c>
      <c r="R77" s="68" t="str">
        <f t="shared" si="1"/>
        <v/>
      </c>
      <c r="S77" s="68" t="str" cm="1">
        <f t="array" ref="S77">IF(TRIM($A77)="","",IFERROR(_xlfn.TEXTJOIN(", ",TRUE,_xlfn.UNIQUE(_xlfn.VSTACK(_xlfn._xlws.FILTER('Card Test Cases'!$G$4:$G$1000,('Card Test Cases'!$B$4:$B$1000=$A77)*('Card Test Cases'!$G$4:$G$1000&lt;&gt;""),""),_xlfn._xlws.FILTER('E2E core flow'!$U$15:$U$1000,('E2E core flow'!$A$15:$A$1000&lt;&gt;"")*ISNUMBER(SEARCH('E2E core flow'!$A$15:$A$1000,$E77))*('E2E core flow'!$U$15:$U$1000&lt;&gt;""),"")))),"-"))</f>
        <v/>
      </c>
    </row>
    <row r="78" spans="7:19" x14ac:dyDescent="0.3">
      <c r="G78" s="68" t="str" cm="1">
        <f t="array" ref="G78">_xlfn.LET(_xlpm.ids,'E2E core flow'!$A$15:$A$1000,_xlpm.v,'E2E core flow'!$W$15:$W$1000,_xlpm.m,(_xlpm.ids&lt;&gt;"")*ISNUMBER(SEARCH(_xlpm.ids,$E78)),_xlpm.f,SUM(_xlpm.m*(_xlpm.v="Failed")),_xlpm.b,SUM(_xlpm.m*(_xlpm.v="Blocked")),_xlpm.nr,SUM(_xlpm.m*(_xlpm.v="Not Run")),_xlpm.cp,SUM(_xlpm.m*(_xlpm.v="Conditionally Passed")),_xlpm.p,SUM(_xlpm.m*(_xlpm.v="Passed")),IF(TRIM($A78)="","",IF(TRIM($E78)="","Pending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8" s="68" t="str">
        <f>IF(TRIM($A78)="","",IF($J78="Passed","",IF($J78="Passed with Known Issue","Known Issue",IF($J78="",IF(OR($H78&lt;&gt;"No",AND($F78&lt;&gt;"Medium",$F78&lt;&gt;"Low")),"Pending Result",""),IF(OR($H78&lt;&gt;"No",AND($F78&lt;&gt;"Medium",$F78&lt;&gt;"Low")),IF(COUNTIFS(Dashboard!$B$105:$B$124,$A78,Dashboard!$I$105:$I$124,"CAB")&gt;0,"Accepted (CF)","Blocking"),IF($J78="Failed","Deferrable","Carry Over"))))))</f>
        <v/>
      </c>
      <c r="M78" s="68" t="str">
        <f>IF(OR(TRIM($A78)="",TRIM($E78)=""),"",IFERROR(INDEX('E2E core flow'!$B$15:$B$1000,MATCH(1,INDEX(('E2E core flow'!$A$15:$A$1000&lt;&gt;"")*ISNUMBER(SEARCH('E2E core flow'!$A$15:$A$1000,$E78)),0),0))&amp;"","-"))</f>
        <v/>
      </c>
      <c r="N78" s="68" t="str">
        <f>IF(TRIM($A78)="","",IF($O78=0,IF(COUNTIFS('Card Test Cases'!$B$4:$B$1000,$A78,'Card Test Cases'!$A$4:$A$1000,"&lt;&gt;")&gt;0,"Out of Scope","No TC"),IF($Q78&gt;0,"Failed",IF(COUNTIFS('Card Test Cases'!$B$4:$B$1000,$A78,'Card Test Cases'!$A$4:$A$1000,"&lt;&gt;",'Card Test Cases'!$F$4:$F$1000,"Blocked")&gt;0,"Blocked",IF($R78&gt;0,"In Progress","Passed")))))</f>
        <v/>
      </c>
      <c r="O78" s="68" t="str">
        <f>IF(TRIM($A78)="","",COUNTIFS('Card Test Cases'!$B$4:$B$1000,$A78,'Card Test Cases'!$A$4:$A$1000,"&lt;&gt;",'Card Test Cases'!$F$4:$F$1000,"&lt;&gt;Out of Scope"))</f>
        <v/>
      </c>
      <c r="P78" s="68" t="str">
        <f>IF(TRIM($A78)="","",COUNTIFS('Card Test Cases'!$B$4:$B$1000,$A78,'Card Test Cases'!$A$4:$A$1000,"&lt;&gt;",'Card Test Cases'!$F$4:$F$1000,"Passed"))</f>
        <v/>
      </c>
      <c r="Q78" s="68" t="str">
        <f>IF(TRIM($A78)="","",COUNTIFS('Card Test Cases'!$B$4:$B$1000,$A78,'Card Test Cases'!$A$4:$A$1000,"&lt;&gt;",'Card Test Cases'!$F$4:$F$1000,"Failed"))</f>
        <v/>
      </c>
      <c r="R78" s="68" t="str">
        <f t="shared" si="1"/>
        <v/>
      </c>
      <c r="S78" s="68" t="str" cm="1">
        <f t="array" ref="S78">IF(TRIM($A78)="","",IFERROR(_xlfn.TEXTJOIN(", ",TRUE,_xlfn.UNIQUE(_xlfn.VSTACK(_xlfn._xlws.FILTER('Card Test Cases'!$G$4:$G$1000,('Card Test Cases'!$B$4:$B$1000=$A78)*('Card Test Cases'!$G$4:$G$1000&lt;&gt;""),""),_xlfn._xlws.FILTER('E2E core flow'!$U$15:$U$1000,('E2E core flow'!$A$15:$A$1000&lt;&gt;"")*ISNUMBER(SEARCH('E2E core flow'!$A$15:$A$1000,$E78))*('E2E core flow'!$U$15:$U$1000&lt;&gt;""),"")))),"-"))</f>
        <v/>
      </c>
    </row>
    <row r="79" spans="7:19" x14ac:dyDescent="0.3">
      <c r="G79" s="68" t="str" cm="1">
        <f t="array" ref="G79">_xlfn.LET(_xlpm.ids,'E2E core flow'!$A$15:$A$1000,_xlpm.v,'E2E core flow'!$W$15:$W$1000,_xlpm.m,(_xlpm.ids&lt;&gt;"")*ISNUMBER(SEARCH(_xlpm.ids,$E79)),_xlpm.f,SUM(_xlpm.m*(_xlpm.v="Failed")),_xlpm.b,SUM(_xlpm.m*(_xlpm.v="Blocked")),_xlpm.nr,SUM(_xlpm.m*(_xlpm.v="Not Run")),_xlpm.cp,SUM(_xlpm.m*(_xlpm.v="Conditionally Passed")),_xlpm.p,SUM(_xlpm.m*(_xlpm.v="Passed")),IF(TRIM($A79)="","",IF(TRIM($E79)="","Pending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9" s="68" t="str">
        <f>IF(TRIM($A79)="","",IF($J79="Passed","",IF($J79="Passed with Known Issue","Known Issue",IF($J79="",IF(OR($H79&lt;&gt;"No",AND($F79&lt;&gt;"Medium",$F79&lt;&gt;"Low")),"Pending Result",""),IF(OR($H79&lt;&gt;"No",AND($F79&lt;&gt;"Medium",$F79&lt;&gt;"Low")),IF(COUNTIFS(Dashboard!$B$105:$B$124,$A79,Dashboard!$I$105:$I$124,"CAB")&gt;0,"Accepted (CF)","Blocking"),IF($J79="Failed","Deferrable","Carry Over"))))))</f>
        <v/>
      </c>
      <c r="M79" s="68" t="str">
        <f>IF(OR(TRIM($A79)="",TRIM($E79)=""),"",IFERROR(INDEX('E2E core flow'!$B$15:$B$1000,MATCH(1,INDEX(('E2E core flow'!$A$15:$A$1000&lt;&gt;"")*ISNUMBER(SEARCH('E2E core flow'!$A$15:$A$1000,$E79)),0),0))&amp;"","-"))</f>
        <v/>
      </c>
      <c r="N79" s="68" t="str">
        <f>IF(TRIM($A79)="","",IF($O79=0,IF(COUNTIFS('Card Test Cases'!$B$4:$B$1000,$A79,'Card Test Cases'!$A$4:$A$1000,"&lt;&gt;")&gt;0,"Out of Scope","No TC"),IF($Q79&gt;0,"Failed",IF(COUNTIFS('Card Test Cases'!$B$4:$B$1000,$A79,'Card Test Cases'!$A$4:$A$1000,"&lt;&gt;",'Card Test Cases'!$F$4:$F$1000,"Blocked")&gt;0,"Blocked",IF($R79&gt;0,"In Progress","Passed")))))</f>
        <v/>
      </c>
      <c r="O79" s="68" t="str">
        <f>IF(TRIM($A79)="","",COUNTIFS('Card Test Cases'!$B$4:$B$1000,$A79,'Card Test Cases'!$A$4:$A$1000,"&lt;&gt;",'Card Test Cases'!$F$4:$F$1000,"&lt;&gt;Out of Scope"))</f>
        <v/>
      </c>
      <c r="P79" s="68" t="str">
        <f>IF(TRIM($A79)="","",COUNTIFS('Card Test Cases'!$B$4:$B$1000,$A79,'Card Test Cases'!$A$4:$A$1000,"&lt;&gt;",'Card Test Cases'!$F$4:$F$1000,"Passed"))</f>
        <v/>
      </c>
      <c r="Q79" s="68" t="str">
        <f>IF(TRIM($A79)="","",COUNTIFS('Card Test Cases'!$B$4:$B$1000,$A79,'Card Test Cases'!$A$4:$A$1000,"&lt;&gt;",'Card Test Cases'!$F$4:$F$1000,"Failed"))</f>
        <v/>
      </c>
      <c r="R79" s="68" t="str">
        <f t="shared" si="1"/>
        <v/>
      </c>
      <c r="S79" s="68" t="str" cm="1">
        <f t="array" ref="S79">IF(TRIM($A79)="","",IFERROR(_xlfn.TEXTJOIN(", ",TRUE,_xlfn.UNIQUE(_xlfn.VSTACK(_xlfn._xlws.FILTER('Card Test Cases'!$G$4:$G$1000,('Card Test Cases'!$B$4:$B$1000=$A79)*('Card Test Cases'!$G$4:$G$1000&lt;&gt;""),""),_xlfn._xlws.FILTER('E2E core flow'!$U$15:$U$1000,('E2E core flow'!$A$15:$A$1000&lt;&gt;"")*ISNUMBER(SEARCH('E2E core flow'!$A$15:$A$1000,$E79))*('E2E core flow'!$U$15:$U$1000&lt;&gt;""),"")))),"-"))</f>
        <v/>
      </c>
    </row>
    <row r="80" spans="7:19" x14ac:dyDescent="0.3">
      <c r="G80" s="68" t="str" cm="1">
        <f t="array" ref="G80">_xlfn.LET(_xlpm.ids,'E2E core flow'!$A$15:$A$1000,_xlpm.v,'E2E core flow'!$W$15:$W$1000,_xlpm.m,(_xlpm.ids&lt;&gt;"")*ISNUMBER(SEARCH(_xlpm.ids,$E80)),_xlpm.f,SUM(_xlpm.m*(_xlpm.v="Failed")),_xlpm.b,SUM(_xlpm.m*(_xlpm.v="Blocked")),_xlpm.nr,SUM(_xlpm.m*(_xlpm.v="Not Run")),_xlpm.cp,SUM(_xlpm.m*(_xlpm.v="Conditionally Passed")),_xlpm.p,SUM(_xlpm.m*(_xlpm.v="Passed")),IF(TRIM($A80)="","",IF(TRIM($E80)="","Pending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0" s="68" t="str">
        <f>IF(TRIM($A80)="","",IF($J80="Passed","",IF($J80="Passed with Known Issue","Known Issue",IF($J80="",IF(OR($H80&lt;&gt;"No",AND($F80&lt;&gt;"Medium",$F80&lt;&gt;"Low")),"Pending Result",""),IF(OR($H80&lt;&gt;"No",AND($F80&lt;&gt;"Medium",$F80&lt;&gt;"Low")),IF(COUNTIFS(Dashboard!$B$105:$B$124,$A80,Dashboard!$I$105:$I$124,"CAB")&gt;0,"Accepted (CF)","Blocking"),IF($J80="Failed","Deferrable","Carry Over"))))))</f>
        <v/>
      </c>
      <c r="M80" s="68" t="str">
        <f>IF(OR(TRIM($A80)="",TRIM($E80)=""),"",IFERROR(INDEX('E2E core flow'!$B$15:$B$1000,MATCH(1,INDEX(('E2E core flow'!$A$15:$A$1000&lt;&gt;"")*ISNUMBER(SEARCH('E2E core flow'!$A$15:$A$1000,$E80)),0),0))&amp;"","-"))</f>
        <v/>
      </c>
      <c r="N80" s="68" t="str">
        <f>IF(TRIM($A80)="","",IF($O80=0,IF(COUNTIFS('Card Test Cases'!$B$4:$B$1000,$A80,'Card Test Cases'!$A$4:$A$1000,"&lt;&gt;")&gt;0,"Out of Scope","No TC"),IF($Q80&gt;0,"Failed",IF(COUNTIFS('Card Test Cases'!$B$4:$B$1000,$A80,'Card Test Cases'!$A$4:$A$1000,"&lt;&gt;",'Card Test Cases'!$F$4:$F$1000,"Blocked")&gt;0,"Blocked",IF($R80&gt;0,"In Progress","Passed")))))</f>
        <v/>
      </c>
      <c r="O80" s="68" t="str">
        <f>IF(TRIM($A80)="","",COUNTIFS('Card Test Cases'!$B$4:$B$1000,$A80,'Card Test Cases'!$A$4:$A$1000,"&lt;&gt;",'Card Test Cases'!$F$4:$F$1000,"&lt;&gt;Out of Scope"))</f>
        <v/>
      </c>
      <c r="P80" s="68" t="str">
        <f>IF(TRIM($A80)="","",COUNTIFS('Card Test Cases'!$B$4:$B$1000,$A80,'Card Test Cases'!$A$4:$A$1000,"&lt;&gt;",'Card Test Cases'!$F$4:$F$1000,"Passed"))</f>
        <v/>
      </c>
      <c r="Q80" s="68" t="str">
        <f>IF(TRIM($A80)="","",COUNTIFS('Card Test Cases'!$B$4:$B$1000,$A80,'Card Test Cases'!$A$4:$A$1000,"&lt;&gt;",'Card Test Cases'!$F$4:$F$1000,"Failed"))</f>
        <v/>
      </c>
      <c r="R80" s="68" t="str">
        <f t="shared" si="1"/>
        <v/>
      </c>
      <c r="S80" s="68" t="str" cm="1">
        <f t="array" ref="S80">IF(TRIM($A80)="","",IFERROR(_xlfn.TEXTJOIN(", ",TRUE,_xlfn.UNIQUE(_xlfn.VSTACK(_xlfn._xlws.FILTER('Card Test Cases'!$G$4:$G$1000,('Card Test Cases'!$B$4:$B$1000=$A80)*('Card Test Cases'!$G$4:$G$1000&lt;&gt;""),""),_xlfn._xlws.FILTER('E2E core flow'!$U$15:$U$1000,('E2E core flow'!$A$15:$A$1000&lt;&gt;"")*ISNUMBER(SEARCH('E2E core flow'!$A$15:$A$1000,$E80))*('E2E core flow'!$U$15:$U$1000&lt;&gt;""),"")))),"-"))</f>
        <v/>
      </c>
    </row>
    <row r="81" spans="7:19" x14ac:dyDescent="0.3">
      <c r="G81" s="68" t="str" cm="1">
        <f t="array" ref="G81">_xlfn.LET(_xlpm.ids,'E2E core flow'!$A$15:$A$1000,_xlpm.v,'E2E core flow'!$W$15:$W$1000,_xlpm.m,(_xlpm.ids&lt;&gt;"")*ISNUMBER(SEARCH(_xlpm.ids,$E81)),_xlpm.f,SUM(_xlpm.m*(_xlpm.v="Failed")),_xlpm.b,SUM(_xlpm.m*(_xlpm.v="Blocked")),_xlpm.nr,SUM(_xlpm.m*(_xlpm.v="Not Run")),_xlpm.cp,SUM(_xlpm.m*(_xlpm.v="Conditionally Passed")),_xlpm.p,SUM(_xlpm.m*(_xlpm.v="Passed")),IF(TRIM($A81)="","",IF(TRIM($E81)="","Pending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1" s="68" t="str">
        <f>IF(TRIM($A81)="","",IF($J81="Passed","",IF($J81="Passed with Known Issue","Known Issue",IF($J81="",IF(OR($H81&lt;&gt;"No",AND($F81&lt;&gt;"Medium",$F81&lt;&gt;"Low")),"Pending Result",""),IF(OR($H81&lt;&gt;"No",AND($F81&lt;&gt;"Medium",$F81&lt;&gt;"Low")),IF(COUNTIFS(Dashboard!$B$105:$B$124,$A81,Dashboard!$I$105:$I$124,"CAB")&gt;0,"Accepted (CF)","Blocking"),IF($J81="Failed","Deferrable","Carry Over"))))))</f>
        <v/>
      </c>
      <c r="M81" s="68" t="str">
        <f>IF(OR(TRIM($A81)="",TRIM($E81)=""),"",IFERROR(INDEX('E2E core flow'!$B$15:$B$1000,MATCH(1,INDEX(('E2E core flow'!$A$15:$A$1000&lt;&gt;"")*ISNUMBER(SEARCH('E2E core flow'!$A$15:$A$1000,$E81)),0),0))&amp;"","-"))</f>
        <v/>
      </c>
      <c r="N81" s="68" t="str">
        <f>IF(TRIM($A81)="","",IF($O81=0,IF(COUNTIFS('Card Test Cases'!$B$4:$B$1000,$A81,'Card Test Cases'!$A$4:$A$1000,"&lt;&gt;")&gt;0,"Out of Scope","No TC"),IF($Q81&gt;0,"Failed",IF(COUNTIFS('Card Test Cases'!$B$4:$B$1000,$A81,'Card Test Cases'!$A$4:$A$1000,"&lt;&gt;",'Card Test Cases'!$F$4:$F$1000,"Blocked")&gt;0,"Blocked",IF($R81&gt;0,"In Progress","Passed")))))</f>
        <v/>
      </c>
      <c r="O81" s="68" t="str">
        <f>IF(TRIM($A81)="","",COUNTIFS('Card Test Cases'!$B$4:$B$1000,$A81,'Card Test Cases'!$A$4:$A$1000,"&lt;&gt;",'Card Test Cases'!$F$4:$F$1000,"&lt;&gt;Out of Scope"))</f>
        <v/>
      </c>
      <c r="P81" s="68" t="str">
        <f>IF(TRIM($A81)="","",COUNTIFS('Card Test Cases'!$B$4:$B$1000,$A81,'Card Test Cases'!$A$4:$A$1000,"&lt;&gt;",'Card Test Cases'!$F$4:$F$1000,"Passed"))</f>
        <v/>
      </c>
      <c r="Q81" s="68" t="str">
        <f>IF(TRIM($A81)="","",COUNTIFS('Card Test Cases'!$B$4:$B$1000,$A81,'Card Test Cases'!$A$4:$A$1000,"&lt;&gt;",'Card Test Cases'!$F$4:$F$1000,"Failed"))</f>
        <v/>
      </c>
      <c r="R81" s="68" t="str">
        <f t="shared" si="1"/>
        <v/>
      </c>
      <c r="S81" s="68" t="str" cm="1">
        <f t="array" ref="S81">IF(TRIM($A81)="","",IFERROR(_xlfn.TEXTJOIN(", ",TRUE,_xlfn.UNIQUE(_xlfn.VSTACK(_xlfn._xlws.FILTER('Card Test Cases'!$G$4:$G$1000,('Card Test Cases'!$B$4:$B$1000=$A81)*('Card Test Cases'!$G$4:$G$1000&lt;&gt;""),""),_xlfn._xlws.FILTER('E2E core flow'!$U$15:$U$1000,('E2E core flow'!$A$15:$A$1000&lt;&gt;"")*ISNUMBER(SEARCH('E2E core flow'!$A$15:$A$1000,$E81))*('E2E core flow'!$U$15:$U$1000&lt;&gt;""),"")))),"-"))</f>
        <v/>
      </c>
    </row>
    <row r="82" spans="7:19" x14ac:dyDescent="0.3">
      <c r="G82" s="68" t="str" cm="1">
        <f t="array" ref="G82">_xlfn.LET(_xlpm.ids,'E2E core flow'!$A$15:$A$1000,_xlpm.v,'E2E core flow'!$W$15:$W$1000,_xlpm.m,(_xlpm.ids&lt;&gt;"")*ISNUMBER(SEARCH(_xlpm.ids,$E82)),_xlpm.f,SUM(_xlpm.m*(_xlpm.v="Failed")),_xlpm.b,SUM(_xlpm.m*(_xlpm.v="Blocked")),_xlpm.nr,SUM(_xlpm.m*(_xlpm.v="Not Run")),_xlpm.cp,SUM(_xlpm.m*(_xlpm.v="Conditionally Passed")),_xlpm.p,SUM(_xlpm.m*(_xlpm.v="Passed")),IF(TRIM($A82)="","",IF(TRIM($E82)="","Pending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2" s="68" t="str">
        <f>IF(TRIM($A82)="","",IF($J82="Passed","",IF($J82="Passed with Known Issue","Known Issue",IF($J82="",IF(OR($H82&lt;&gt;"No",AND($F82&lt;&gt;"Medium",$F82&lt;&gt;"Low")),"Pending Result",""),IF(OR($H82&lt;&gt;"No",AND($F82&lt;&gt;"Medium",$F82&lt;&gt;"Low")),IF(COUNTIFS(Dashboard!$B$105:$B$124,$A82,Dashboard!$I$105:$I$124,"CAB")&gt;0,"Accepted (CF)","Blocking"),IF($J82="Failed","Deferrable","Carry Over"))))))</f>
        <v/>
      </c>
      <c r="M82" s="68" t="str">
        <f>IF(OR(TRIM($A82)="",TRIM($E82)=""),"",IFERROR(INDEX('E2E core flow'!$B$15:$B$1000,MATCH(1,INDEX(('E2E core flow'!$A$15:$A$1000&lt;&gt;"")*ISNUMBER(SEARCH('E2E core flow'!$A$15:$A$1000,$E82)),0),0))&amp;"","-"))</f>
        <v/>
      </c>
      <c r="N82" s="68" t="str">
        <f>IF(TRIM($A82)="","",IF($O82=0,IF(COUNTIFS('Card Test Cases'!$B$4:$B$1000,$A82,'Card Test Cases'!$A$4:$A$1000,"&lt;&gt;")&gt;0,"Out of Scope","No TC"),IF($Q82&gt;0,"Failed",IF(COUNTIFS('Card Test Cases'!$B$4:$B$1000,$A82,'Card Test Cases'!$A$4:$A$1000,"&lt;&gt;",'Card Test Cases'!$F$4:$F$1000,"Blocked")&gt;0,"Blocked",IF($R82&gt;0,"In Progress","Passed")))))</f>
        <v/>
      </c>
      <c r="O82" s="68" t="str">
        <f>IF(TRIM($A82)="","",COUNTIFS('Card Test Cases'!$B$4:$B$1000,$A82,'Card Test Cases'!$A$4:$A$1000,"&lt;&gt;",'Card Test Cases'!$F$4:$F$1000,"&lt;&gt;Out of Scope"))</f>
        <v/>
      </c>
      <c r="P82" s="68" t="str">
        <f>IF(TRIM($A82)="","",COUNTIFS('Card Test Cases'!$B$4:$B$1000,$A82,'Card Test Cases'!$A$4:$A$1000,"&lt;&gt;",'Card Test Cases'!$F$4:$F$1000,"Passed"))</f>
        <v/>
      </c>
      <c r="Q82" s="68" t="str">
        <f>IF(TRIM($A82)="","",COUNTIFS('Card Test Cases'!$B$4:$B$1000,$A82,'Card Test Cases'!$A$4:$A$1000,"&lt;&gt;",'Card Test Cases'!$F$4:$F$1000,"Failed"))</f>
        <v/>
      </c>
      <c r="R82" s="68" t="str">
        <f t="shared" si="1"/>
        <v/>
      </c>
      <c r="S82" s="68" t="str" cm="1">
        <f t="array" ref="S82">IF(TRIM($A82)="","",IFERROR(_xlfn.TEXTJOIN(", ",TRUE,_xlfn.UNIQUE(_xlfn.VSTACK(_xlfn._xlws.FILTER('Card Test Cases'!$G$4:$G$1000,('Card Test Cases'!$B$4:$B$1000=$A82)*('Card Test Cases'!$G$4:$G$1000&lt;&gt;""),""),_xlfn._xlws.FILTER('E2E core flow'!$U$15:$U$1000,('E2E core flow'!$A$15:$A$1000&lt;&gt;"")*ISNUMBER(SEARCH('E2E core flow'!$A$15:$A$1000,$E82))*('E2E core flow'!$U$15:$U$1000&lt;&gt;""),"")))),"-"))</f>
        <v/>
      </c>
    </row>
    <row r="83" spans="7:19" x14ac:dyDescent="0.3">
      <c r="G83" s="68" t="str" cm="1">
        <f t="array" ref="G83">_xlfn.LET(_xlpm.ids,'E2E core flow'!$A$15:$A$1000,_xlpm.v,'E2E core flow'!$W$15:$W$1000,_xlpm.m,(_xlpm.ids&lt;&gt;"")*ISNUMBER(SEARCH(_xlpm.ids,$E83)),_xlpm.f,SUM(_xlpm.m*(_xlpm.v="Failed")),_xlpm.b,SUM(_xlpm.m*(_xlpm.v="Blocked")),_xlpm.nr,SUM(_xlpm.m*(_xlpm.v="Not Run")),_xlpm.cp,SUM(_xlpm.m*(_xlpm.v="Conditionally Passed")),_xlpm.p,SUM(_xlpm.m*(_xlpm.v="Passed")),IF(TRIM($A83)="","",IF(TRIM($E83)="","Pending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3" s="68" t="str">
        <f>IF(TRIM($A83)="","",IF($J83="Passed","",IF($J83="Passed with Known Issue","Known Issue",IF($J83="",IF(OR($H83&lt;&gt;"No",AND($F83&lt;&gt;"Medium",$F83&lt;&gt;"Low")),"Pending Result",""),IF(OR($H83&lt;&gt;"No",AND($F83&lt;&gt;"Medium",$F83&lt;&gt;"Low")),IF(COUNTIFS(Dashboard!$B$105:$B$124,$A83,Dashboard!$I$105:$I$124,"CAB")&gt;0,"Accepted (CF)","Blocking"),IF($J83="Failed","Deferrable","Carry Over"))))))</f>
        <v/>
      </c>
      <c r="M83" s="68" t="str">
        <f>IF(OR(TRIM($A83)="",TRIM($E83)=""),"",IFERROR(INDEX('E2E core flow'!$B$15:$B$1000,MATCH(1,INDEX(('E2E core flow'!$A$15:$A$1000&lt;&gt;"")*ISNUMBER(SEARCH('E2E core flow'!$A$15:$A$1000,$E83)),0),0))&amp;"","-"))</f>
        <v/>
      </c>
      <c r="N83" s="68" t="str">
        <f>IF(TRIM($A83)="","",IF($O83=0,IF(COUNTIFS('Card Test Cases'!$B$4:$B$1000,$A83,'Card Test Cases'!$A$4:$A$1000,"&lt;&gt;")&gt;0,"Out of Scope","No TC"),IF($Q83&gt;0,"Failed",IF(COUNTIFS('Card Test Cases'!$B$4:$B$1000,$A83,'Card Test Cases'!$A$4:$A$1000,"&lt;&gt;",'Card Test Cases'!$F$4:$F$1000,"Blocked")&gt;0,"Blocked",IF($R83&gt;0,"In Progress","Passed")))))</f>
        <v/>
      </c>
      <c r="O83" s="68" t="str">
        <f>IF(TRIM($A83)="","",COUNTIFS('Card Test Cases'!$B$4:$B$1000,$A83,'Card Test Cases'!$A$4:$A$1000,"&lt;&gt;",'Card Test Cases'!$F$4:$F$1000,"&lt;&gt;Out of Scope"))</f>
        <v/>
      </c>
      <c r="P83" s="68" t="str">
        <f>IF(TRIM($A83)="","",COUNTIFS('Card Test Cases'!$B$4:$B$1000,$A83,'Card Test Cases'!$A$4:$A$1000,"&lt;&gt;",'Card Test Cases'!$F$4:$F$1000,"Passed"))</f>
        <v/>
      </c>
      <c r="Q83" s="68" t="str">
        <f>IF(TRIM($A83)="","",COUNTIFS('Card Test Cases'!$B$4:$B$1000,$A83,'Card Test Cases'!$A$4:$A$1000,"&lt;&gt;",'Card Test Cases'!$F$4:$F$1000,"Failed"))</f>
        <v/>
      </c>
      <c r="R83" s="68" t="str">
        <f t="shared" si="1"/>
        <v/>
      </c>
      <c r="S83" s="68" t="str" cm="1">
        <f t="array" ref="S83">IF(TRIM($A83)="","",IFERROR(_xlfn.TEXTJOIN(", ",TRUE,_xlfn.UNIQUE(_xlfn.VSTACK(_xlfn._xlws.FILTER('Card Test Cases'!$G$4:$G$1000,('Card Test Cases'!$B$4:$B$1000=$A83)*('Card Test Cases'!$G$4:$G$1000&lt;&gt;""),""),_xlfn._xlws.FILTER('E2E core flow'!$U$15:$U$1000,('E2E core flow'!$A$15:$A$1000&lt;&gt;"")*ISNUMBER(SEARCH('E2E core flow'!$A$15:$A$1000,$E83))*('E2E core flow'!$U$15:$U$1000&lt;&gt;""),"")))),"-"))</f>
        <v/>
      </c>
    </row>
    <row r="84" spans="7:19" x14ac:dyDescent="0.3">
      <c r="G84" s="68" t="str" cm="1">
        <f t="array" ref="G84">_xlfn.LET(_xlpm.ids,'E2E core flow'!$A$15:$A$1000,_xlpm.v,'E2E core flow'!$W$15:$W$1000,_xlpm.m,(_xlpm.ids&lt;&gt;"")*ISNUMBER(SEARCH(_xlpm.ids,$E84)),_xlpm.f,SUM(_xlpm.m*(_xlpm.v="Failed")),_xlpm.b,SUM(_xlpm.m*(_xlpm.v="Blocked")),_xlpm.nr,SUM(_xlpm.m*(_xlpm.v="Not Run")),_xlpm.cp,SUM(_xlpm.m*(_xlpm.v="Conditionally Passed")),_xlpm.p,SUM(_xlpm.m*(_xlpm.v="Passed")),IF(TRIM($A84)="","",IF(TRIM($E84)="","Pending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4" s="68" t="str">
        <f>IF(TRIM($A84)="","",IF($J84="Passed","",IF($J84="Passed with Known Issue","Known Issue",IF($J84="",IF(OR($H84&lt;&gt;"No",AND($F84&lt;&gt;"Medium",$F84&lt;&gt;"Low")),"Pending Result",""),IF(OR($H84&lt;&gt;"No",AND($F84&lt;&gt;"Medium",$F84&lt;&gt;"Low")),IF(COUNTIFS(Dashboard!$B$105:$B$124,$A84,Dashboard!$I$105:$I$124,"CAB")&gt;0,"Accepted (CF)","Blocking"),IF($J84="Failed","Deferrable","Carry Over"))))))</f>
        <v/>
      </c>
      <c r="M84" s="68" t="str">
        <f>IF(OR(TRIM($A84)="",TRIM($E84)=""),"",IFERROR(INDEX('E2E core flow'!$B$15:$B$1000,MATCH(1,INDEX(('E2E core flow'!$A$15:$A$1000&lt;&gt;"")*ISNUMBER(SEARCH('E2E core flow'!$A$15:$A$1000,$E84)),0),0))&amp;"","-"))</f>
        <v/>
      </c>
      <c r="N84" s="68" t="str">
        <f>IF(TRIM($A84)="","",IF($O84=0,IF(COUNTIFS('Card Test Cases'!$B$4:$B$1000,$A84,'Card Test Cases'!$A$4:$A$1000,"&lt;&gt;")&gt;0,"Out of Scope","No TC"),IF($Q84&gt;0,"Failed",IF(COUNTIFS('Card Test Cases'!$B$4:$B$1000,$A84,'Card Test Cases'!$A$4:$A$1000,"&lt;&gt;",'Card Test Cases'!$F$4:$F$1000,"Blocked")&gt;0,"Blocked",IF($R84&gt;0,"In Progress","Passed")))))</f>
        <v/>
      </c>
      <c r="O84" s="68" t="str">
        <f>IF(TRIM($A84)="","",COUNTIFS('Card Test Cases'!$B$4:$B$1000,$A84,'Card Test Cases'!$A$4:$A$1000,"&lt;&gt;",'Card Test Cases'!$F$4:$F$1000,"&lt;&gt;Out of Scope"))</f>
        <v/>
      </c>
      <c r="P84" s="68" t="str">
        <f>IF(TRIM($A84)="","",COUNTIFS('Card Test Cases'!$B$4:$B$1000,$A84,'Card Test Cases'!$A$4:$A$1000,"&lt;&gt;",'Card Test Cases'!$F$4:$F$1000,"Passed"))</f>
        <v/>
      </c>
      <c r="Q84" s="68" t="str">
        <f>IF(TRIM($A84)="","",COUNTIFS('Card Test Cases'!$B$4:$B$1000,$A84,'Card Test Cases'!$A$4:$A$1000,"&lt;&gt;",'Card Test Cases'!$F$4:$F$1000,"Failed"))</f>
        <v/>
      </c>
      <c r="R84" s="68" t="str">
        <f t="shared" si="1"/>
        <v/>
      </c>
      <c r="S84" s="68" t="str" cm="1">
        <f t="array" ref="S84">IF(TRIM($A84)="","",IFERROR(_xlfn.TEXTJOIN(", ",TRUE,_xlfn.UNIQUE(_xlfn.VSTACK(_xlfn._xlws.FILTER('Card Test Cases'!$G$4:$G$1000,('Card Test Cases'!$B$4:$B$1000=$A84)*('Card Test Cases'!$G$4:$G$1000&lt;&gt;""),""),_xlfn._xlws.FILTER('E2E core flow'!$U$15:$U$1000,('E2E core flow'!$A$15:$A$1000&lt;&gt;"")*ISNUMBER(SEARCH('E2E core flow'!$A$15:$A$1000,$E84))*('E2E core flow'!$U$15:$U$1000&lt;&gt;""),"")))),"-"))</f>
        <v/>
      </c>
    </row>
    <row r="85" spans="7:19" x14ac:dyDescent="0.3">
      <c r="G85" s="68" t="str" cm="1">
        <f t="array" ref="G85">_xlfn.LET(_xlpm.ids,'E2E core flow'!$A$15:$A$1000,_xlpm.v,'E2E core flow'!$W$15:$W$1000,_xlpm.m,(_xlpm.ids&lt;&gt;"")*ISNUMBER(SEARCH(_xlpm.ids,$E85)),_xlpm.f,SUM(_xlpm.m*(_xlpm.v="Failed")),_xlpm.b,SUM(_xlpm.m*(_xlpm.v="Blocked")),_xlpm.nr,SUM(_xlpm.m*(_xlpm.v="Not Run")),_xlpm.cp,SUM(_xlpm.m*(_xlpm.v="Conditionally Passed")),_xlpm.p,SUM(_xlpm.m*(_xlpm.v="Passed")),IF(TRIM($A85)="","",IF(TRIM($E85)="","Pending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5" s="68" t="str">
        <f>IF(TRIM($A85)="","",IF($J85="Passed","",IF($J85="Passed with Known Issue","Known Issue",IF($J85="",IF(OR($H85&lt;&gt;"No",AND($F85&lt;&gt;"Medium",$F85&lt;&gt;"Low")),"Pending Result",""),IF(OR($H85&lt;&gt;"No",AND($F85&lt;&gt;"Medium",$F85&lt;&gt;"Low")),IF(COUNTIFS(Dashboard!$B$105:$B$124,$A85,Dashboard!$I$105:$I$124,"CAB")&gt;0,"Accepted (CF)","Blocking"),IF($J85="Failed","Deferrable","Carry Over"))))))</f>
        <v/>
      </c>
      <c r="M85" s="68" t="str">
        <f>IF(OR(TRIM($A85)="",TRIM($E85)=""),"",IFERROR(INDEX('E2E core flow'!$B$15:$B$1000,MATCH(1,INDEX(('E2E core flow'!$A$15:$A$1000&lt;&gt;"")*ISNUMBER(SEARCH('E2E core flow'!$A$15:$A$1000,$E85)),0),0))&amp;"","-"))</f>
        <v/>
      </c>
      <c r="N85" s="68" t="str">
        <f>IF(TRIM($A85)="","",IF($O85=0,IF(COUNTIFS('Card Test Cases'!$B$4:$B$1000,$A85,'Card Test Cases'!$A$4:$A$1000,"&lt;&gt;")&gt;0,"Out of Scope","No TC"),IF($Q85&gt;0,"Failed",IF(COUNTIFS('Card Test Cases'!$B$4:$B$1000,$A85,'Card Test Cases'!$A$4:$A$1000,"&lt;&gt;",'Card Test Cases'!$F$4:$F$1000,"Blocked")&gt;0,"Blocked",IF($R85&gt;0,"In Progress","Passed")))))</f>
        <v/>
      </c>
      <c r="O85" s="68" t="str">
        <f>IF(TRIM($A85)="","",COUNTIFS('Card Test Cases'!$B$4:$B$1000,$A85,'Card Test Cases'!$A$4:$A$1000,"&lt;&gt;",'Card Test Cases'!$F$4:$F$1000,"&lt;&gt;Out of Scope"))</f>
        <v/>
      </c>
      <c r="P85" s="68" t="str">
        <f>IF(TRIM($A85)="","",COUNTIFS('Card Test Cases'!$B$4:$B$1000,$A85,'Card Test Cases'!$A$4:$A$1000,"&lt;&gt;",'Card Test Cases'!$F$4:$F$1000,"Passed"))</f>
        <v/>
      </c>
      <c r="Q85" s="68" t="str">
        <f>IF(TRIM($A85)="","",COUNTIFS('Card Test Cases'!$B$4:$B$1000,$A85,'Card Test Cases'!$A$4:$A$1000,"&lt;&gt;",'Card Test Cases'!$F$4:$F$1000,"Failed"))</f>
        <v/>
      </c>
      <c r="R85" s="68" t="str">
        <f t="shared" si="1"/>
        <v/>
      </c>
      <c r="S85" s="68" t="str" cm="1">
        <f t="array" ref="S85">IF(TRIM($A85)="","",IFERROR(_xlfn.TEXTJOIN(", ",TRUE,_xlfn.UNIQUE(_xlfn.VSTACK(_xlfn._xlws.FILTER('Card Test Cases'!$G$4:$G$1000,('Card Test Cases'!$B$4:$B$1000=$A85)*('Card Test Cases'!$G$4:$G$1000&lt;&gt;""),""),_xlfn._xlws.FILTER('E2E core flow'!$U$15:$U$1000,('E2E core flow'!$A$15:$A$1000&lt;&gt;"")*ISNUMBER(SEARCH('E2E core flow'!$A$15:$A$1000,$E85))*('E2E core flow'!$U$15:$U$1000&lt;&gt;""),"")))),"-"))</f>
        <v/>
      </c>
    </row>
    <row r="86" spans="7:19" x14ac:dyDescent="0.3">
      <c r="G86" s="68" t="str" cm="1">
        <f t="array" ref="G86">_xlfn.LET(_xlpm.ids,'E2E core flow'!$A$15:$A$1000,_xlpm.v,'E2E core flow'!$W$15:$W$1000,_xlpm.m,(_xlpm.ids&lt;&gt;"")*ISNUMBER(SEARCH(_xlpm.ids,$E86)),_xlpm.f,SUM(_xlpm.m*(_xlpm.v="Failed")),_xlpm.b,SUM(_xlpm.m*(_xlpm.v="Blocked")),_xlpm.nr,SUM(_xlpm.m*(_xlpm.v="Not Run")),_xlpm.cp,SUM(_xlpm.m*(_xlpm.v="Conditionally Passed")),_xlpm.p,SUM(_xlpm.m*(_xlpm.v="Passed")),IF(TRIM($A86)="","",IF(TRIM($E86)="","Pending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6" s="68" t="str">
        <f>IF(TRIM($A86)="","",IF($J86="Passed","",IF($J86="Passed with Known Issue","Known Issue",IF($J86="",IF(OR($H86&lt;&gt;"No",AND($F86&lt;&gt;"Medium",$F86&lt;&gt;"Low")),"Pending Result",""),IF(OR($H86&lt;&gt;"No",AND($F86&lt;&gt;"Medium",$F86&lt;&gt;"Low")),IF(COUNTIFS(Dashboard!$B$105:$B$124,$A86,Dashboard!$I$105:$I$124,"CAB")&gt;0,"Accepted (CF)","Blocking"),IF($J86="Failed","Deferrable","Carry Over"))))))</f>
        <v/>
      </c>
      <c r="M86" s="68" t="str">
        <f>IF(OR(TRIM($A86)="",TRIM($E86)=""),"",IFERROR(INDEX('E2E core flow'!$B$15:$B$1000,MATCH(1,INDEX(('E2E core flow'!$A$15:$A$1000&lt;&gt;"")*ISNUMBER(SEARCH('E2E core flow'!$A$15:$A$1000,$E86)),0),0))&amp;"","-"))</f>
        <v/>
      </c>
      <c r="N86" s="68" t="str">
        <f>IF(TRIM($A86)="","",IF($O86=0,IF(COUNTIFS('Card Test Cases'!$B$4:$B$1000,$A86,'Card Test Cases'!$A$4:$A$1000,"&lt;&gt;")&gt;0,"Out of Scope","No TC"),IF($Q86&gt;0,"Failed",IF(COUNTIFS('Card Test Cases'!$B$4:$B$1000,$A86,'Card Test Cases'!$A$4:$A$1000,"&lt;&gt;",'Card Test Cases'!$F$4:$F$1000,"Blocked")&gt;0,"Blocked",IF($R86&gt;0,"In Progress","Passed")))))</f>
        <v/>
      </c>
      <c r="O86" s="68" t="str">
        <f>IF(TRIM($A86)="","",COUNTIFS('Card Test Cases'!$B$4:$B$1000,$A86,'Card Test Cases'!$A$4:$A$1000,"&lt;&gt;",'Card Test Cases'!$F$4:$F$1000,"&lt;&gt;Out of Scope"))</f>
        <v/>
      </c>
      <c r="P86" s="68" t="str">
        <f>IF(TRIM($A86)="","",COUNTIFS('Card Test Cases'!$B$4:$B$1000,$A86,'Card Test Cases'!$A$4:$A$1000,"&lt;&gt;",'Card Test Cases'!$F$4:$F$1000,"Passed"))</f>
        <v/>
      </c>
      <c r="Q86" s="68" t="str">
        <f>IF(TRIM($A86)="","",COUNTIFS('Card Test Cases'!$B$4:$B$1000,$A86,'Card Test Cases'!$A$4:$A$1000,"&lt;&gt;",'Card Test Cases'!$F$4:$F$1000,"Failed"))</f>
        <v/>
      </c>
      <c r="R86" s="68" t="str">
        <f t="shared" si="1"/>
        <v/>
      </c>
      <c r="S86" s="68" t="str" cm="1">
        <f t="array" ref="S86">IF(TRIM($A86)="","",IFERROR(_xlfn.TEXTJOIN(", ",TRUE,_xlfn.UNIQUE(_xlfn.VSTACK(_xlfn._xlws.FILTER('Card Test Cases'!$G$4:$G$1000,('Card Test Cases'!$B$4:$B$1000=$A86)*('Card Test Cases'!$G$4:$G$1000&lt;&gt;""),""),_xlfn._xlws.FILTER('E2E core flow'!$U$15:$U$1000,('E2E core flow'!$A$15:$A$1000&lt;&gt;"")*ISNUMBER(SEARCH('E2E core flow'!$A$15:$A$1000,$E86))*('E2E core flow'!$U$15:$U$1000&lt;&gt;""),"")))),"-"))</f>
        <v/>
      </c>
    </row>
    <row r="87" spans="7:19" x14ac:dyDescent="0.3">
      <c r="G87" s="68" t="str" cm="1">
        <f t="array" ref="G87">_xlfn.LET(_xlpm.ids,'E2E core flow'!$A$15:$A$1000,_xlpm.v,'E2E core flow'!$W$15:$W$1000,_xlpm.m,(_xlpm.ids&lt;&gt;"")*ISNUMBER(SEARCH(_xlpm.ids,$E87)),_xlpm.f,SUM(_xlpm.m*(_xlpm.v="Failed")),_xlpm.b,SUM(_xlpm.m*(_xlpm.v="Blocked")),_xlpm.nr,SUM(_xlpm.m*(_xlpm.v="Not Run")),_xlpm.cp,SUM(_xlpm.m*(_xlpm.v="Conditionally Passed")),_xlpm.p,SUM(_xlpm.m*(_xlpm.v="Passed")),IF(TRIM($A87)="","",IF(TRIM($E87)="","Pending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7" s="68" t="str">
        <f>IF(TRIM($A87)="","",IF($J87="Passed","",IF($J87="Passed with Known Issue","Known Issue",IF($J87="",IF(OR($H87&lt;&gt;"No",AND($F87&lt;&gt;"Medium",$F87&lt;&gt;"Low")),"Pending Result",""),IF(OR($H87&lt;&gt;"No",AND($F87&lt;&gt;"Medium",$F87&lt;&gt;"Low")),IF(COUNTIFS(Dashboard!$B$105:$B$124,$A87,Dashboard!$I$105:$I$124,"CAB")&gt;0,"Accepted (CF)","Blocking"),IF($J87="Failed","Deferrable","Carry Over"))))))</f>
        <v/>
      </c>
      <c r="M87" s="68" t="str">
        <f>IF(OR(TRIM($A87)="",TRIM($E87)=""),"",IFERROR(INDEX('E2E core flow'!$B$15:$B$1000,MATCH(1,INDEX(('E2E core flow'!$A$15:$A$1000&lt;&gt;"")*ISNUMBER(SEARCH('E2E core flow'!$A$15:$A$1000,$E87)),0),0))&amp;"","-"))</f>
        <v/>
      </c>
      <c r="N87" s="68" t="str">
        <f>IF(TRIM($A87)="","",IF($O87=0,IF(COUNTIFS('Card Test Cases'!$B$4:$B$1000,$A87,'Card Test Cases'!$A$4:$A$1000,"&lt;&gt;")&gt;0,"Out of Scope","No TC"),IF($Q87&gt;0,"Failed",IF(COUNTIFS('Card Test Cases'!$B$4:$B$1000,$A87,'Card Test Cases'!$A$4:$A$1000,"&lt;&gt;",'Card Test Cases'!$F$4:$F$1000,"Blocked")&gt;0,"Blocked",IF($R87&gt;0,"In Progress","Passed")))))</f>
        <v/>
      </c>
      <c r="O87" s="68" t="str">
        <f>IF(TRIM($A87)="","",COUNTIFS('Card Test Cases'!$B$4:$B$1000,$A87,'Card Test Cases'!$A$4:$A$1000,"&lt;&gt;",'Card Test Cases'!$F$4:$F$1000,"&lt;&gt;Out of Scope"))</f>
        <v/>
      </c>
      <c r="P87" s="68" t="str">
        <f>IF(TRIM($A87)="","",COUNTIFS('Card Test Cases'!$B$4:$B$1000,$A87,'Card Test Cases'!$A$4:$A$1000,"&lt;&gt;",'Card Test Cases'!$F$4:$F$1000,"Passed"))</f>
        <v/>
      </c>
      <c r="Q87" s="68" t="str">
        <f>IF(TRIM($A87)="","",COUNTIFS('Card Test Cases'!$B$4:$B$1000,$A87,'Card Test Cases'!$A$4:$A$1000,"&lt;&gt;",'Card Test Cases'!$F$4:$F$1000,"Failed"))</f>
        <v/>
      </c>
      <c r="R87" s="68" t="str">
        <f t="shared" si="1"/>
        <v/>
      </c>
      <c r="S87" s="68" t="str" cm="1">
        <f t="array" ref="S87">IF(TRIM($A87)="","",IFERROR(_xlfn.TEXTJOIN(", ",TRUE,_xlfn.UNIQUE(_xlfn.VSTACK(_xlfn._xlws.FILTER('Card Test Cases'!$G$4:$G$1000,('Card Test Cases'!$B$4:$B$1000=$A87)*('Card Test Cases'!$G$4:$G$1000&lt;&gt;""),""),_xlfn._xlws.FILTER('E2E core flow'!$U$15:$U$1000,('E2E core flow'!$A$15:$A$1000&lt;&gt;"")*ISNUMBER(SEARCH('E2E core flow'!$A$15:$A$1000,$E87))*('E2E core flow'!$U$15:$U$1000&lt;&gt;""),"")))),"-"))</f>
        <v/>
      </c>
    </row>
    <row r="88" spans="7:19" x14ac:dyDescent="0.3">
      <c r="G88" s="68" t="str" cm="1">
        <f t="array" ref="G88">_xlfn.LET(_xlpm.ids,'E2E core flow'!$A$15:$A$1000,_xlpm.v,'E2E core flow'!$W$15:$W$1000,_xlpm.m,(_xlpm.ids&lt;&gt;"")*ISNUMBER(SEARCH(_xlpm.ids,$E88)),_xlpm.f,SUM(_xlpm.m*(_xlpm.v="Failed")),_xlpm.b,SUM(_xlpm.m*(_xlpm.v="Blocked")),_xlpm.nr,SUM(_xlpm.m*(_xlpm.v="Not Run")),_xlpm.cp,SUM(_xlpm.m*(_xlpm.v="Conditionally Passed")),_xlpm.p,SUM(_xlpm.m*(_xlpm.v="Passed")),IF(TRIM($A88)="","",IF(TRIM($E88)="","Pending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8" s="68" t="str">
        <f>IF(TRIM($A88)="","",IF($J88="Passed","",IF($J88="Passed with Known Issue","Known Issue",IF($J88="",IF(OR($H88&lt;&gt;"No",AND($F88&lt;&gt;"Medium",$F88&lt;&gt;"Low")),"Pending Result",""),IF(OR($H88&lt;&gt;"No",AND($F88&lt;&gt;"Medium",$F88&lt;&gt;"Low")),IF(COUNTIFS(Dashboard!$B$105:$B$124,$A88,Dashboard!$I$105:$I$124,"CAB")&gt;0,"Accepted (CF)","Blocking"),IF($J88="Failed","Deferrable","Carry Over"))))))</f>
        <v/>
      </c>
      <c r="M88" s="68" t="str">
        <f>IF(OR(TRIM($A88)="",TRIM($E88)=""),"",IFERROR(INDEX('E2E core flow'!$B$15:$B$1000,MATCH(1,INDEX(('E2E core flow'!$A$15:$A$1000&lt;&gt;"")*ISNUMBER(SEARCH('E2E core flow'!$A$15:$A$1000,$E88)),0),0))&amp;"","-"))</f>
        <v/>
      </c>
      <c r="N88" s="68" t="str">
        <f>IF(TRIM($A88)="","",IF($O88=0,IF(COUNTIFS('Card Test Cases'!$B$4:$B$1000,$A88,'Card Test Cases'!$A$4:$A$1000,"&lt;&gt;")&gt;0,"Out of Scope","No TC"),IF($Q88&gt;0,"Failed",IF(COUNTIFS('Card Test Cases'!$B$4:$B$1000,$A88,'Card Test Cases'!$A$4:$A$1000,"&lt;&gt;",'Card Test Cases'!$F$4:$F$1000,"Blocked")&gt;0,"Blocked",IF($R88&gt;0,"In Progress","Passed")))))</f>
        <v/>
      </c>
      <c r="O88" s="68" t="str">
        <f>IF(TRIM($A88)="","",COUNTIFS('Card Test Cases'!$B$4:$B$1000,$A88,'Card Test Cases'!$A$4:$A$1000,"&lt;&gt;",'Card Test Cases'!$F$4:$F$1000,"&lt;&gt;Out of Scope"))</f>
        <v/>
      </c>
      <c r="P88" s="68" t="str">
        <f>IF(TRIM($A88)="","",COUNTIFS('Card Test Cases'!$B$4:$B$1000,$A88,'Card Test Cases'!$A$4:$A$1000,"&lt;&gt;",'Card Test Cases'!$F$4:$F$1000,"Passed"))</f>
        <v/>
      </c>
      <c r="Q88" s="68" t="str">
        <f>IF(TRIM($A88)="","",COUNTIFS('Card Test Cases'!$B$4:$B$1000,$A88,'Card Test Cases'!$A$4:$A$1000,"&lt;&gt;",'Card Test Cases'!$F$4:$F$1000,"Failed"))</f>
        <v/>
      </c>
      <c r="R88" s="68" t="str">
        <f t="shared" si="1"/>
        <v/>
      </c>
      <c r="S88" s="68" t="str" cm="1">
        <f t="array" ref="S88">IF(TRIM($A88)="","",IFERROR(_xlfn.TEXTJOIN(", ",TRUE,_xlfn.UNIQUE(_xlfn.VSTACK(_xlfn._xlws.FILTER('Card Test Cases'!$G$4:$G$1000,('Card Test Cases'!$B$4:$B$1000=$A88)*('Card Test Cases'!$G$4:$G$1000&lt;&gt;""),""),_xlfn._xlws.FILTER('E2E core flow'!$U$15:$U$1000,('E2E core flow'!$A$15:$A$1000&lt;&gt;"")*ISNUMBER(SEARCH('E2E core flow'!$A$15:$A$1000,$E88))*('E2E core flow'!$U$15:$U$1000&lt;&gt;""),"")))),"-"))</f>
        <v/>
      </c>
    </row>
    <row r="89" spans="7:19" x14ac:dyDescent="0.3">
      <c r="G89" s="68" t="str" cm="1">
        <f t="array" ref="G89">_xlfn.LET(_xlpm.ids,'E2E core flow'!$A$15:$A$1000,_xlpm.v,'E2E core flow'!$W$15:$W$1000,_xlpm.m,(_xlpm.ids&lt;&gt;"")*ISNUMBER(SEARCH(_xlpm.ids,$E89)),_xlpm.f,SUM(_xlpm.m*(_xlpm.v="Failed")),_xlpm.b,SUM(_xlpm.m*(_xlpm.v="Blocked")),_xlpm.nr,SUM(_xlpm.m*(_xlpm.v="Not Run")),_xlpm.cp,SUM(_xlpm.m*(_xlpm.v="Conditionally Passed")),_xlpm.p,SUM(_xlpm.m*(_xlpm.v="Passed")),IF(TRIM($A89)="","",IF(TRIM($E89)="","Pending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9" s="68" t="str">
        <f>IF(TRIM($A89)="","",IF($J89="Passed","",IF($J89="Passed with Known Issue","Known Issue",IF($J89="",IF(OR($H89&lt;&gt;"No",AND($F89&lt;&gt;"Medium",$F89&lt;&gt;"Low")),"Pending Result",""),IF(OR($H89&lt;&gt;"No",AND($F89&lt;&gt;"Medium",$F89&lt;&gt;"Low")),IF(COUNTIFS(Dashboard!$B$105:$B$124,$A89,Dashboard!$I$105:$I$124,"CAB")&gt;0,"Accepted (CF)","Blocking"),IF($J89="Failed","Deferrable","Carry Over"))))))</f>
        <v/>
      </c>
      <c r="M89" s="68" t="str">
        <f>IF(OR(TRIM($A89)="",TRIM($E89)=""),"",IFERROR(INDEX('E2E core flow'!$B$15:$B$1000,MATCH(1,INDEX(('E2E core flow'!$A$15:$A$1000&lt;&gt;"")*ISNUMBER(SEARCH('E2E core flow'!$A$15:$A$1000,$E89)),0),0))&amp;"","-"))</f>
        <v/>
      </c>
      <c r="N89" s="68" t="str">
        <f>IF(TRIM($A89)="","",IF($O89=0,IF(COUNTIFS('Card Test Cases'!$B$4:$B$1000,$A89,'Card Test Cases'!$A$4:$A$1000,"&lt;&gt;")&gt;0,"Out of Scope","No TC"),IF($Q89&gt;0,"Failed",IF(COUNTIFS('Card Test Cases'!$B$4:$B$1000,$A89,'Card Test Cases'!$A$4:$A$1000,"&lt;&gt;",'Card Test Cases'!$F$4:$F$1000,"Blocked")&gt;0,"Blocked",IF($R89&gt;0,"In Progress","Passed")))))</f>
        <v/>
      </c>
      <c r="O89" s="68" t="str">
        <f>IF(TRIM($A89)="","",COUNTIFS('Card Test Cases'!$B$4:$B$1000,$A89,'Card Test Cases'!$A$4:$A$1000,"&lt;&gt;",'Card Test Cases'!$F$4:$F$1000,"&lt;&gt;Out of Scope"))</f>
        <v/>
      </c>
      <c r="P89" s="68" t="str">
        <f>IF(TRIM($A89)="","",COUNTIFS('Card Test Cases'!$B$4:$B$1000,$A89,'Card Test Cases'!$A$4:$A$1000,"&lt;&gt;",'Card Test Cases'!$F$4:$F$1000,"Passed"))</f>
        <v/>
      </c>
      <c r="Q89" s="68" t="str">
        <f>IF(TRIM($A89)="","",COUNTIFS('Card Test Cases'!$B$4:$B$1000,$A89,'Card Test Cases'!$A$4:$A$1000,"&lt;&gt;",'Card Test Cases'!$F$4:$F$1000,"Failed"))</f>
        <v/>
      </c>
      <c r="R89" s="68" t="str">
        <f t="shared" si="1"/>
        <v/>
      </c>
      <c r="S89" s="68" t="str" cm="1">
        <f t="array" ref="S89">IF(TRIM($A89)="","",IFERROR(_xlfn.TEXTJOIN(", ",TRUE,_xlfn.UNIQUE(_xlfn.VSTACK(_xlfn._xlws.FILTER('Card Test Cases'!$G$4:$G$1000,('Card Test Cases'!$B$4:$B$1000=$A89)*('Card Test Cases'!$G$4:$G$1000&lt;&gt;""),""),_xlfn._xlws.FILTER('E2E core flow'!$U$15:$U$1000,('E2E core flow'!$A$15:$A$1000&lt;&gt;"")*ISNUMBER(SEARCH('E2E core flow'!$A$15:$A$1000,$E89))*('E2E core flow'!$U$15:$U$1000&lt;&gt;""),"")))),"-"))</f>
        <v/>
      </c>
    </row>
    <row r="90" spans="7:19" x14ac:dyDescent="0.3">
      <c r="G90" s="68" t="str" cm="1">
        <f t="array" ref="G90">_xlfn.LET(_xlpm.ids,'E2E core flow'!$A$15:$A$1000,_xlpm.v,'E2E core flow'!$W$15:$W$1000,_xlpm.m,(_xlpm.ids&lt;&gt;"")*ISNUMBER(SEARCH(_xlpm.ids,$E90)),_xlpm.f,SUM(_xlpm.m*(_xlpm.v="Failed")),_xlpm.b,SUM(_xlpm.m*(_xlpm.v="Blocked")),_xlpm.nr,SUM(_xlpm.m*(_xlpm.v="Not Run")),_xlpm.cp,SUM(_xlpm.m*(_xlpm.v="Conditionally Passed")),_xlpm.p,SUM(_xlpm.m*(_xlpm.v="Passed")),IF(TRIM($A90)="","",IF(TRIM($E90)="","Pending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0" s="68" t="str">
        <f>IF(TRIM($A90)="","",IF($J90="Passed","",IF($J90="Passed with Known Issue","Known Issue",IF($J90="",IF(OR($H90&lt;&gt;"No",AND($F90&lt;&gt;"Medium",$F90&lt;&gt;"Low")),"Pending Result",""),IF(OR($H90&lt;&gt;"No",AND($F90&lt;&gt;"Medium",$F90&lt;&gt;"Low")),IF(COUNTIFS(Dashboard!$B$105:$B$124,$A90,Dashboard!$I$105:$I$124,"CAB")&gt;0,"Accepted (CF)","Blocking"),IF($J90="Failed","Deferrable","Carry Over"))))))</f>
        <v/>
      </c>
      <c r="M90" s="68" t="str">
        <f>IF(OR(TRIM($A90)="",TRIM($E90)=""),"",IFERROR(INDEX('E2E core flow'!$B$15:$B$1000,MATCH(1,INDEX(('E2E core flow'!$A$15:$A$1000&lt;&gt;"")*ISNUMBER(SEARCH('E2E core flow'!$A$15:$A$1000,$E90)),0),0))&amp;"","-"))</f>
        <v/>
      </c>
      <c r="N90" s="68" t="str">
        <f>IF(TRIM($A90)="","",IF($O90=0,IF(COUNTIFS('Card Test Cases'!$B$4:$B$1000,$A90,'Card Test Cases'!$A$4:$A$1000,"&lt;&gt;")&gt;0,"Out of Scope","No TC"),IF($Q90&gt;0,"Failed",IF(COUNTIFS('Card Test Cases'!$B$4:$B$1000,$A90,'Card Test Cases'!$A$4:$A$1000,"&lt;&gt;",'Card Test Cases'!$F$4:$F$1000,"Blocked")&gt;0,"Blocked",IF($R90&gt;0,"In Progress","Passed")))))</f>
        <v/>
      </c>
      <c r="O90" s="68" t="str">
        <f>IF(TRIM($A90)="","",COUNTIFS('Card Test Cases'!$B$4:$B$1000,$A90,'Card Test Cases'!$A$4:$A$1000,"&lt;&gt;",'Card Test Cases'!$F$4:$F$1000,"&lt;&gt;Out of Scope"))</f>
        <v/>
      </c>
      <c r="P90" s="68" t="str">
        <f>IF(TRIM($A90)="","",COUNTIFS('Card Test Cases'!$B$4:$B$1000,$A90,'Card Test Cases'!$A$4:$A$1000,"&lt;&gt;",'Card Test Cases'!$F$4:$F$1000,"Passed"))</f>
        <v/>
      </c>
      <c r="Q90" s="68" t="str">
        <f>IF(TRIM($A90)="","",COUNTIFS('Card Test Cases'!$B$4:$B$1000,$A90,'Card Test Cases'!$A$4:$A$1000,"&lt;&gt;",'Card Test Cases'!$F$4:$F$1000,"Failed"))</f>
        <v/>
      </c>
      <c r="R90" s="68" t="str">
        <f t="shared" si="1"/>
        <v/>
      </c>
      <c r="S90" s="68" t="str" cm="1">
        <f t="array" ref="S90">IF(TRIM($A90)="","",IFERROR(_xlfn.TEXTJOIN(", ",TRUE,_xlfn.UNIQUE(_xlfn.VSTACK(_xlfn._xlws.FILTER('Card Test Cases'!$G$4:$G$1000,('Card Test Cases'!$B$4:$B$1000=$A90)*('Card Test Cases'!$G$4:$G$1000&lt;&gt;""),""),_xlfn._xlws.FILTER('E2E core flow'!$U$15:$U$1000,('E2E core flow'!$A$15:$A$1000&lt;&gt;"")*ISNUMBER(SEARCH('E2E core flow'!$A$15:$A$1000,$E90))*('E2E core flow'!$U$15:$U$1000&lt;&gt;""),"")))),"-"))</f>
        <v/>
      </c>
    </row>
    <row r="91" spans="7:19" x14ac:dyDescent="0.3">
      <c r="G91" s="68" t="str" cm="1">
        <f t="array" ref="G91">_xlfn.LET(_xlpm.ids,'E2E core flow'!$A$15:$A$1000,_xlpm.v,'E2E core flow'!$W$15:$W$1000,_xlpm.m,(_xlpm.ids&lt;&gt;"")*ISNUMBER(SEARCH(_xlpm.ids,$E91)),_xlpm.f,SUM(_xlpm.m*(_xlpm.v="Failed")),_xlpm.b,SUM(_xlpm.m*(_xlpm.v="Blocked")),_xlpm.nr,SUM(_xlpm.m*(_xlpm.v="Not Run")),_xlpm.cp,SUM(_xlpm.m*(_xlpm.v="Conditionally Passed")),_xlpm.p,SUM(_xlpm.m*(_xlpm.v="Passed")),IF(TRIM($A91)="","",IF(TRIM($E91)="","Pending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1" s="68" t="str">
        <f>IF(TRIM($A91)="","",IF($J91="Passed","",IF($J91="Passed with Known Issue","Known Issue",IF($J91="",IF(OR($H91&lt;&gt;"No",AND($F91&lt;&gt;"Medium",$F91&lt;&gt;"Low")),"Pending Result",""),IF(OR($H91&lt;&gt;"No",AND($F91&lt;&gt;"Medium",$F91&lt;&gt;"Low")),IF(COUNTIFS(Dashboard!$B$105:$B$124,$A91,Dashboard!$I$105:$I$124,"CAB")&gt;0,"Accepted (CF)","Blocking"),IF($J91="Failed","Deferrable","Carry Over"))))))</f>
        <v/>
      </c>
      <c r="M91" s="68" t="str">
        <f>IF(OR(TRIM($A91)="",TRIM($E91)=""),"",IFERROR(INDEX('E2E core flow'!$B$15:$B$1000,MATCH(1,INDEX(('E2E core flow'!$A$15:$A$1000&lt;&gt;"")*ISNUMBER(SEARCH('E2E core flow'!$A$15:$A$1000,$E91)),0),0))&amp;"","-"))</f>
        <v/>
      </c>
      <c r="N91" s="68" t="str">
        <f>IF(TRIM($A91)="","",IF($O91=0,IF(COUNTIFS('Card Test Cases'!$B$4:$B$1000,$A91,'Card Test Cases'!$A$4:$A$1000,"&lt;&gt;")&gt;0,"Out of Scope","No TC"),IF($Q91&gt;0,"Failed",IF(COUNTIFS('Card Test Cases'!$B$4:$B$1000,$A91,'Card Test Cases'!$A$4:$A$1000,"&lt;&gt;",'Card Test Cases'!$F$4:$F$1000,"Blocked")&gt;0,"Blocked",IF($R91&gt;0,"In Progress","Passed")))))</f>
        <v/>
      </c>
      <c r="O91" s="68" t="str">
        <f>IF(TRIM($A91)="","",COUNTIFS('Card Test Cases'!$B$4:$B$1000,$A91,'Card Test Cases'!$A$4:$A$1000,"&lt;&gt;",'Card Test Cases'!$F$4:$F$1000,"&lt;&gt;Out of Scope"))</f>
        <v/>
      </c>
      <c r="P91" s="68" t="str">
        <f>IF(TRIM($A91)="","",COUNTIFS('Card Test Cases'!$B$4:$B$1000,$A91,'Card Test Cases'!$A$4:$A$1000,"&lt;&gt;",'Card Test Cases'!$F$4:$F$1000,"Passed"))</f>
        <v/>
      </c>
      <c r="Q91" s="68" t="str">
        <f>IF(TRIM($A91)="","",COUNTIFS('Card Test Cases'!$B$4:$B$1000,$A91,'Card Test Cases'!$A$4:$A$1000,"&lt;&gt;",'Card Test Cases'!$F$4:$F$1000,"Failed"))</f>
        <v/>
      </c>
      <c r="R91" s="68" t="str">
        <f t="shared" si="1"/>
        <v/>
      </c>
      <c r="S91" s="68" t="str" cm="1">
        <f t="array" ref="S91">IF(TRIM($A91)="","",IFERROR(_xlfn.TEXTJOIN(", ",TRUE,_xlfn.UNIQUE(_xlfn.VSTACK(_xlfn._xlws.FILTER('Card Test Cases'!$G$4:$G$1000,('Card Test Cases'!$B$4:$B$1000=$A91)*('Card Test Cases'!$G$4:$G$1000&lt;&gt;""),""),_xlfn._xlws.FILTER('E2E core flow'!$U$15:$U$1000,('E2E core flow'!$A$15:$A$1000&lt;&gt;"")*ISNUMBER(SEARCH('E2E core flow'!$A$15:$A$1000,$E91))*('E2E core flow'!$U$15:$U$1000&lt;&gt;""),"")))),"-"))</f>
        <v/>
      </c>
    </row>
    <row r="92" spans="7:19" x14ac:dyDescent="0.3">
      <c r="G92" s="68" t="str" cm="1">
        <f t="array" ref="G92">_xlfn.LET(_xlpm.ids,'E2E core flow'!$A$15:$A$1000,_xlpm.v,'E2E core flow'!$W$15:$W$1000,_xlpm.m,(_xlpm.ids&lt;&gt;"")*ISNUMBER(SEARCH(_xlpm.ids,$E92)),_xlpm.f,SUM(_xlpm.m*(_xlpm.v="Failed")),_xlpm.b,SUM(_xlpm.m*(_xlpm.v="Blocked")),_xlpm.nr,SUM(_xlpm.m*(_xlpm.v="Not Run")),_xlpm.cp,SUM(_xlpm.m*(_xlpm.v="Conditionally Passed")),_xlpm.p,SUM(_xlpm.m*(_xlpm.v="Passed")),IF(TRIM($A92)="","",IF(TRIM($E92)="","Pending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2" s="68" t="str">
        <f>IF(TRIM($A92)="","",IF($J92="Passed","",IF($J92="Passed with Known Issue","Known Issue",IF($J92="",IF(OR($H92&lt;&gt;"No",AND($F92&lt;&gt;"Medium",$F92&lt;&gt;"Low")),"Pending Result",""),IF(OR($H92&lt;&gt;"No",AND($F92&lt;&gt;"Medium",$F92&lt;&gt;"Low")),IF(COUNTIFS(Dashboard!$B$105:$B$124,$A92,Dashboard!$I$105:$I$124,"CAB")&gt;0,"Accepted (CF)","Blocking"),IF($J92="Failed","Deferrable","Carry Over"))))))</f>
        <v/>
      </c>
      <c r="M92" s="68" t="str">
        <f>IF(OR(TRIM($A92)="",TRIM($E92)=""),"",IFERROR(INDEX('E2E core flow'!$B$15:$B$1000,MATCH(1,INDEX(('E2E core flow'!$A$15:$A$1000&lt;&gt;"")*ISNUMBER(SEARCH('E2E core flow'!$A$15:$A$1000,$E92)),0),0))&amp;"","-"))</f>
        <v/>
      </c>
      <c r="N92" s="68" t="str">
        <f>IF(TRIM($A92)="","",IF($O92=0,IF(COUNTIFS('Card Test Cases'!$B$4:$B$1000,$A92,'Card Test Cases'!$A$4:$A$1000,"&lt;&gt;")&gt;0,"Out of Scope","No TC"),IF($Q92&gt;0,"Failed",IF(COUNTIFS('Card Test Cases'!$B$4:$B$1000,$A92,'Card Test Cases'!$A$4:$A$1000,"&lt;&gt;",'Card Test Cases'!$F$4:$F$1000,"Blocked")&gt;0,"Blocked",IF($R92&gt;0,"In Progress","Passed")))))</f>
        <v/>
      </c>
      <c r="O92" s="68" t="str">
        <f>IF(TRIM($A92)="","",COUNTIFS('Card Test Cases'!$B$4:$B$1000,$A92,'Card Test Cases'!$A$4:$A$1000,"&lt;&gt;",'Card Test Cases'!$F$4:$F$1000,"&lt;&gt;Out of Scope"))</f>
        <v/>
      </c>
      <c r="P92" s="68" t="str">
        <f>IF(TRIM($A92)="","",COUNTIFS('Card Test Cases'!$B$4:$B$1000,$A92,'Card Test Cases'!$A$4:$A$1000,"&lt;&gt;",'Card Test Cases'!$F$4:$F$1000,"Passed"))</f>
        <v/>
      </c>
      <c r="Q92" s="68" t="str">
        <f>IF(TRIM($A92)="","",COUNTIFS('Card Test Cases'!$B$4:$B$1000,$A92,'Card Test Cases'!$A$4:$A$1000,"&lt;&gt;",'Card Test Cases'!$F$4:$F$1000,"Failed"))</f>
        <v/>
      </c>
      <c r="R92" s="68" t="str">
        <f t="shared" si="1"/>
        <v/>
      </c>
      <c r="S92" s="68" t="str" cm="1">
        <f t="array" ref="S92">IF(TRIM($A92)="","",IFERROR(_xlfn.TEXTJOIN(", ",TRUE,_xlfn.UNIQUE(_xlfn.VSTACK(_xlfn._xlws.FILTER('Card Test Cases'!$G$4:$G$1000,('Card Test Cases'!$B$4:$B$1000=$A92)*('Card Test Cases'!$G$4:$G$1000&lt;&gt;""),""),_xlfn._xlws.FILTER('E2E core flow'!$U$15:$U$1000,('E2E core flow'!$A$15:$A$1000&lt;&gt;"")*ISNUMBER(SEARCH('E2E core flow'!$A$15:$A$1000,$E92))*('E2E core flow'!$U$15:$U$1000&lt;&gt;""),"")))),"-"))</f>
        <v/>
      </c>
    </row>
    <row r="93" spans="7:19" x14ac:dyDescent="0.3">
      <c r="G93" s="68" t="str" cm="1">
        <f t="array" ref="G93">_xlfn.LET(_xlpm.ids,'E2E core flow'!$A$15:$A$1000,_xlpm.v,'E2E core flow'!$W$15:$W$1000,_xlpm.m,(_xlpm.ids&lt;&gt;"")*ISNUMBER(SEARCH(_xlpm.ids,$E93)),_xlpm.f,SUM(_xlpm.m*(_xlpm.v="Failed")),_xlpm.b,SUM(_xlpm.m*(_xlpm.v="Blocked")),_xlpm.nr,SUM(_xlpm.m*(_xlpm.v="Not Run")),_xlpm.cp,SUM(_xlpm.m*(_xlpm.v="Conditionally Passed")),_xlpm.p,SUM(_xlpm.m*(_xlpm.v="Passed")),IF(TRIM($A93)="","",IF(TRIM($E93)="","Pending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3" s="68" t="str">
        <f>IF(TRIM($A93)="","",IF($J93="Passed","",IF($J93="Passed with Known Issue","Known Issue",IF($J93="",IF(OR($H93&lt;&gt;"No",AND($F93&lt;&gt;"Medium",$F93&lt;&gt;"Low")),"Pending Result",""),IF(OR($H93&lt;&gt;"No",AND($F93&lt;&gt;"Medium",$F93&lt;&gt;"Low")),IF(COUNTIFS(Dashboard!$B$105:$B$124,$A93,Dashboard!$I$105:$I$124,"CAB")&gt;0,"Accepted (CF)","Blocking"),IF($J93="Failed","Deferrable","Carry Over"))))))</f>
        <v/>
      </c>
      <c r="M93" s="68" t="str">
        <f>IF(OR(TRIM($A93)="",TRIM($E93)=""),"",IFERROR(INDEX('E2E core flow'!$B$15:$B$1000,MATCH(1,INDEX(('E2E core flow'!$A$15:$A$1000&lt;&gt;"")*ISNUMBER(SEARCH('E2E core flow'!$A$15:$A$1000,$E93)),0),0))&amp;"","-"))</f>
        <v/>
      </c>
      <c r="N93" s="68" t="str">
        <f>IF(TRIM($A93)="","",IF($O93=0,IF(COUNTIFS('Card Test Cases'!$B$4:$B$1000,$A93,'Card Test Cases'!$A$4:$A$1000,"&lt;&gt;")&gt;0,"Out of Scope","No TC"),IF($Q93&gt;0,"Failed",IF(COUNTIFS('Card Test Cases'!$B$4:$B$1000,$A93,'Card Test Cases'!$A$4:$A$1000,"&lt;&gt;",'Card Test Cases'!$F$4:$F$1000,"Blocked")&gt;0,"Blocked",IF($R93&gt;0,"In Progress","Passed")))))</f>
        <v/>
      </c>
      <c r="O93" s="68" t="str">
        <f>IF(TRIM($A93)="","",COUNTIFS('Card Test Cases'!$B$4:$B$1000,$A93,'Card Test Cases'!$A$4:$A$1000,"&lt;&gt;",'Card Test Cases'!$F$4:$F$1000,"&lt;&gt;Out of Scope"))</f>
        <v/>
      </c>
      <c r="P93" s="68" t="str">
        <f>IF(TRIM($A93)="","",COUNTIFS('Card Test Cases'!$B$4:$B$1000,$A93,'Card Test Cases'!$A$4:$A$1000,"&lt;&gt;",'Card Test Cases'!$F$4:$F$1000,"Passed"))</f>
        <v/>
      </c>
      <c r="Q93" s="68" t="str">
        <f>IF(TRIM($A93)="","",COUNTIFS('Card Test Cases'!$B$4:$B$1000,$A93,'Card Test Cases'!$A$4:$A$1000,"&lt;&gt;",'Card Test Cases'!$F$4:$F$1000,"Failed"))</f>
        <v/>
      </c>
      <c r="R93" s="68" t="str">
        <f t="shared" si="1"/>
        <v/>
      </c>
      <c r="S93" s="68" t="str" cm="1">
        <f t="array" ref="S93">IF(TRIM($A93)="","",IFERROR(_xlfn.TEXTJOIN(", ",TRUE,_xlfn.UNIQUE(_xlfn.VSTACK(_xlfn._xlws.FILTER('Card Test Cases'!$G$4:$G$1000,('Card Test Cases'!$B$4:$B$1000=$A93)*('Card Test Cases'!$G$4:$G$1000&lt;&gt;""),""),_xlfn._xlws.FILTER('E2E core flow'!$U$15:$U$1000,('E2E core flow'!$A$15:$A$1000&lt;&gt;"")*ISNUMBER(SEARCH('E2E core flow'!$A$15:$A$1000,$E93))*('E2E core flow'!$U$15:$U$1000&lt;&gt;""),"")))),"-"))</f>
        <v/>
      </c>
    </row>
    <row r="94" spans="7:19" x14ac:dyDescent="0.3">
      <c r="G94" s="68" t="str" cm="1">
        <f t="array" ref="G94">_xlfn.LET(_xlpm.ids,'E2E core flow'!$A$15:$A$1000,_xlpm.v,'E2E core flow'!$W$15:$W$1000,_xlpm.m,(_xlpm.ids&lt;&gt;"")*ISNUMBER(SEARCH(_xlpm.ids,$E94)),_xlpm.f,SUM(_xlpm.m*(_xlpm.v="Failed")),_xlpm.b,SUM(_xlpm.m*(_xlpm.v="Blocked")),_xlpm.nr,SUM(_xlpm.m*(_xlpm.v="Not Run")),_xlpm.cp,SUM(_xlpm.m*(_xlpm.v="Conditionally Passed")),_xlpm.p,SUM(_xlpm.m*(_xlpm.v="Passed")),IF(TRIM($A94)="","",IF(TRIM($E94)="","Pending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4" s="68" t="str">
        <f>IF(TRIM($A94)="","",IF($J94="Passed","",IF($J94="Passed with Known Issue","Known Issue",IF($J94="",IF(OR($H94&lt;&gt;"No",AND($F94&lt;&gt;"Medium",$F94&lt;&gt;"Low")),"Pending Result",""),IF(OR($H94&lt;&gt;"No",AND($F94&lt;&gt;"Medium",$F94&lt;&gt;"Low")),IF(COUNTIFS(Dashboard!$B$105:$B$124,$A94,Dashboard!$I$105:$I$124,"CAB")&gt;0,"Accepted (CF)","Blocking"),IF($J94="Failed","Deferrable","Carry Over"))))))</f>
        <v/>
      </c>
      <c r="M94" s="68" t="str">
        <f>IF(OR(TRIM($A94)="",TRIM($E94)=""),"",IFERROR(INDEX('E2E core flow'!$B$15:$B$1000,MATCH(1,INDEX(('E2E core flow'!$A$15:$A$1000&lt;&gt;"")*ISNUMBER(SEARCH('E2E core flow'!$A$15:$A$1000,$E94)),0),0))&amp;"","-"))</f>
        <v/>
      </c>
      <c r="N94" s="68" t="str">
        <f>IF(TRIM($A94)="","",IF($O94=0,IF(COUNTIFS('Card Test Cases'!$B$4:$B$1000,$A94,'Card Test Cases'!$A$4:$A$1000,"&lt;&gt;")&gt;0,"Out of Scope","No TC"),IF($Q94&gt;0,"Failed",IF(COUNTIFS('Card Test Cases'!$B$4:$B$1000,$A94,'Card Test Cases'!$A$4:$A$1000,"&lt;&gt;",'Card Test Cases'!$F$4:$F$1000,"Blocked")&gt;0,"Blocked",IF($R94&gt;0,"In Progress","Passed")))))</f>
        <v/>
      </c>
      <c r="O94" s="68" t="str">
        <f>IF(TRIM($A94)="","",COUNTIFS('Card Test Cases'!$B$4:$B$1000,$A94,'Card Test Cases'!$A$4:$A$1000,"&lt;&gt;",'Card Test Cases'!$F$4:$F$1000,"&lt;&gt;Out of Scope"))</f>
        <v/>
      </c>
      <c r="P94" s="68" t="str">
        <f>IF(TRIM($A94)="","",COUNTIFS('Card Test Cases'!$B$4:$B$1000,$A94,'Card Test Cases'!$A$4:$A$1000,"&lt;&gt;",'Card Test Cases'!$F$4:$F$1000,"Passed"))</f>
        <v/>
      </c>
      <c r="Q94" s="68" t="str">
        <f>IF(TRIM($A94)="","",COUNTIFS('Card Test Cases'!$B$4:$B$1000,$A94,'Card Test Cases'!$A$4:$A$1000,"&lt;&gt;",'Card Test Cases'!$F$4:$F$1000,"Failed"))</f>
        <v/>
      </c>
      <c r="R94" s="68" t="str">
        <f t="shared" si="1"/>
        <v/>
      </c>
      <c r="S94" s="68" t="str" cm="1">
        <f t="array" ref="S94">IF(TRIM($A94)="","",IFERROR(_xlfn.TEXTJOIN(", ",TRUE,_xlfn.UNIQUE(_xlfn.VSTACK(_xlfn._xlws.FILTER('Card Test Cases'!$G$4:$G$1000,('Card Test Cases'!$B$4:$B$1000=$A94)*('Card Test Cases'!$G$4:$G$1000&lt;&gt;""),""),_xlfn._xlws.FILTER('E2E core flow'!$U$15:$U$1000,('E2E core flow'!$A$15:$A$1000&lt;&gt;"")*ISNUMBER(SEARCH('E2E core flow'!$A$15:$A$1000,$E94))*('E2E core flow'!$U$15:$U$1000&lt;&gt;""),"")))),"-"))</f>
        <v/>
      </c>
    </row>
    <row r="95" spans="7:19" x14ac:dyDescent="0.3">
      <c r="G95" s="68" t="str" cm="1">
        <f t="array" ref="G95">_xlfn.LET(_xlpm.ids,'E2E core flow'!$A$15:$A$1000,_xlpm.v,'E2E core flow'!$W$15:$W$1000,_xlpm.m,(_xlpm.ids&lt;&gt;"")*ISNUMBER(SEARCH(_xlpm.ids,$E95)),_xlpm.f,SUM(_xlpm.m*(_xlpm.v="Failed")),_xlpm.b,SUM(_xlpm.m*(_xlpm.v="Blocked")),_xlpm.nr,SUM(_xlpm.m*(_xlpm.v="Not Run")),_xlpm.cp,SUM(_xlpm.m*(_xlpm.v="Conditionally Passed")),_xlpm.p,SUM(_xlpm.m*(_xlpm.v="Passed")),IF(TRIM($A95)="","",IF(TRIM($E95)="","Pending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5" s="68" t="str">
        <f>IF(TRIM($A95)="","",IF($J95="Passed","",IF($J95="Passed with Known Issue","Known Issue",IF($J95="",IF(OR($H95&lt;&gt;"No",AND($F95&lt;&gt;"Medium",$F95&lt;&gt;"Low")),"Pending Result",""),IF(OR($H95&lt;&gt;"No",AND($F95&lt;&gt;"Medium",$F95&lt;&gt;"Low")),IF(COUNTIFS(Dashboard!$B$105:$B$124,$A95,Dashboard!$I$105:$I$124,"CAB")&gt;0,"Accepted (CF)","Blocking"),IF($J95="Failed","Deferrable","Carry Over"))))))</f>
        <v/>
      </c>
      <c r="M95" s="68" t="str">
        <f>IF(OR(TRIM($A95)="",TRIM($E95)=""),"",IFERROR(INDEX('E2E core flow'!$B$15:$B$1000,MATCH(1,INDEX(('E2E core flow'!$A$15:$A$1000&lt;&gt;"")*ISNUMBER(SEARCH('E2E core flow'!$A$15:$A$1000,$E95)),0),0))&amp;"","-"))</f>
        <v/>
      </c>
      <c r="N95" s="68" t="str">
        <f>IF(TRIM($A95)="","",IF($O95=0,IF(COUNTIFS('Card Test Cases'!$B$4:$B$1000,$A95,'Card Test Cases'!$A$4:$A$1000,"&lt;&gt;")&gt;0,"Out of Scope","No TC"),IF($Q95&gt;0,"Failed",IF(COUNTIFS('Card Test Cases'!$B$4:$B$1000,$A95,'Card Test Cases'!$A$4:$A$1000,"&lt;&gt;",'Card Test Cases'!$F$4:$F$1000,"Blocked")&gt;0,"Blocked",IF($R95&gt;0,"In Progress","Passed")))))</f>
        <v/>
      </c>
      <c r="O95" s="68" t="str">
        <f>IF(TRIM($A95)="","",COUNTIFS('Card Test Cases'!$B$4:$B$1000,$A95,'Card Test Cases'!$A$4:$A$1000,"&lt;&gt;",'Card Test Cases'!$F$4:$F$1000,"&lt;&gt;Out of Scope"))</f>
        <v/>
      </c>
      <c r="P95" s="68" t="str">
        <f>IF(TRIM($A95)="","",COUNTIFS('Card Test Cases'!$B$4:$B$1000,$A95,'Card Test Cases'!$A$4:$A$1000,"&lt;&gt;",'Card Test Cases'!$F$4:$F$1000,"Passed"))</f>
        <v/>
      </c>
      <c r="Q95" s="68" t="str">
        <f>IF(TRIM($A95)="","",COUNTIFS('Card Test Cases'!$B$4:$B$1000,$A95,'Card Test Cases'!$A$4:$A$1000,"&lt;&gt;",'Card Test Cases'!$F$4:$F$1000,"Failed"))</f>
        <v/>
      </c>
      <c r="R95" s="68" t="str">
        <f t="shared" si="1"/>
        <v/>
      </c>
      <c r="S95" s="68" t="str" cm="1">
        <f t="array" ref="S95">IF(TRIM($A95)="","",IFERROR(_xlfn.TEXTJOIN(", ",TRUE,_xlfn.UNIQUE(_xlfn.VSTACK(_xlfn._xlws.FILTER('Card Test Cases'!$G$4:$G$1000,('Card Test Cases'!$B$4:$B$1000=$A95)*('Card Test Cases'!$G$4:$G$1000&lt;&gt;""),""),_xlfn._xlws.FILTER('E2E core flow'!$U$15:$U$1000,('E2E core flow'!$A$15:$A$1000&lt;&gt;"")*ISNUMBER(SEARCH('E2E core flow'!$A$15:$A$1000,$E95))*('E2E core flow'!$U$15:$U$1000&lt;&gt;""),"")))),"-"))</f>
        <v/>
      </c>
    </row>
    <row r="96" spans="7:19" x14ac:dyDescent="0.3">
      <c r="G96" s="68" t="str" cm="1">
        <f t="array" ref="G96">_xlfn.LET(_xlpm.ids,'E2E core flow'!$A$15:$A$1000,_xlpm.v,'E2E core flow'!$W$15:$W$1000,_xlpm.m,(_xlpm.ids&lt;&gt;"")*ISNUMBER(SEARCH(_xlpm.ids,$E96)),_xlpm.f,SUM(_xlpm.m*(_xlpm.v="Failed")),_xlpm.b,SUM(_xlpm.m*(_xlpm.v="Blocked")),_xlpm.nr,SUM(_xlpm.m*(_xlpm.v="Not Run")),_xlpm.cp,SUM(_xlpm.m*(_xlpm.v="Conditionally Passed")),_xlpm.p,SUM(_xlpm.m*(_xlpm.v="Passed")),IF(TRIM($A96)="","",IF(TRIM($E96)="","Pending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6" s="68" t="str">
        <f>IF(TRIM($A96)="","",IF($J96="Passed","",IF($J96="Passed with Known Issue","Known Issue",IF($J96="",IF(OR($H96&lt;&gt;"No",AND($F96&lt;&gt;"Medium",$F96&lt;&gt;"Low")),"Pending Result",""),IF(OR($H96&lt;&gt;"No",AND($F96&lt;&gt;"Medium",$F96&lt;&gt;"Low")),IF(COUNTIFS(Dashboard!$B$105:$B$124,$A96,Dashboard!$I$105:$I$124,"CAB")&gt;0,"Accepted (CF)","Blocking"),IF($J96="Failed","Deferrable","Carry Over"))))))</f>
        <v/>
      </c>
      <c r="M96" s="68" t="str">
        <f>IF(OR(TRIM($A96)="",TRIM($E96)=""),"",IFERROR(INDEX('E2E core flow'!$B$15:$B$1000,MATCH(1,INDEX(('E2E core flow'!$A$15:$A$1000&lt;&gt;"")*ISNUMBER(SEARCH('E2E core flow'!$A$15:$A$1000,$E96)),0),0))&amp;"","-"))</f>
        <v/>
      </c>
      <c r="N96" s="68" t="str">
        <f>IF(TRIM($A96)="","",IF($O96=0,IF(COUNTIFS('Card Test Cases'!$B$4:$B$1000,$A96,'Card Test Cases'!$A$4:$A$1000,"&lt;&gt;")&gt;0,"Out of Scope","No TC"),IF($Q96&gt;0,"Failed",IF(COUNTIFS('Card Test Cases'!$B$4:$B$1000,$A96,'Card Test Cases'!$A$4:$A$1000,"&lt;&gt;",'Card Test Cases'!$F$4:$F$1000,"Blocked")&gt;0,"Blocked",IF($R96&gt;0,"In Progress","Passed")))))</f>
        <v/>
      </c>
      <c r="O96" s="68" t="str">
        <f>IF(TRIM($A96)="","",COUNTIFS('Card Test Cases'!$B$4:$B$1000,$A96,'Card Test Cases'!$A$4:$A$1000,"&lt;&gt;",'Card Test Cases'!$F$4:$F$1000,"&lt;&gt;Out of Scope"))</f>
        <v/>
      </c>
      <c r="P96" s="68" t="str">
        <f>IF(TRIM($A96)="","",COUNTIFS('Card Test Cases'!$B$4:$B$1000,$A96,'Card Test Cases'!$A$4:$A$1000,"&lt;&gt;",'Card Test Cases'!$F$4:$F$1000,"Passed"))</f>
        <v/>
      </c>
      <c r="Q96" s="68" t="str">
        <f>IF(TRIM($A96)="","",COUNTIFS('Card Test Cases'!$B$4:$B$1000,$A96,'Card Test Cases'!$A$4:$A$1000,"&lt;&gt;",'Card Test Cases'!$F$4:$F$1000,"Failed"))</f>
        <v/>
      </c>
      <c r="R96" s="68" t="str">
        <f t="shared" si="1"/>
        <v/>
      </c>
      <c r="S96" s="68" t="str" cm="1">
        <f t="array" ref="S96">IF(TRIM($A96)="","",IFERROR(_xlfn.TEXTJOIN(", ",TRUE,_xlfn.UNIQUE(_xlfn.VSTACK(_xlfn._xlws.FILTER('Card Test Cases'!$G$4:$G$1000,('Card Test Cases'!$B$4:$B$1000=$A96)*('Card Test Cases'!$G$4:$G$1000&lt;&gt;""),""),_xlfn._xlws.FILTER('E2E core flow'!$U$15:$U$1000,('E2E core flow'!$A$15:$A$1000&lt;&gt;"")*ISNUMBER(SEARCH('E2E core flow'!$A$15:$A$1000,$E96))*('E2E core flow'!$U$15:$U$1000&lt;&gt;""),"")))),"-"))</f>
        <v/>
      </c>
    </row>
    <row r="97" spans="7:19" x14ac:dyDescent="0.3">
      <c r="G97" s="68" t="str" cm="1">
        <f t="array" ref="G97">_xlfn.LET(_xlpm.ids,'E2E core flow'!$A$15:$A$1000,_xlpm.v,'E2E core flow'!$W$15:$W$1000,_xlpm.m,(_xlpm.ids&lt;&gt;"")*ISNUMBER(SEARCH(_xlpm.ids,$E97)),_xlpm.f,SUM(_xlpm.m*(_xlpm.v="Failed")),_xlpm.b,SUM(_xlpm.m*(_xlpm.v="Blocked")),_xlpm.nr,SUM(_xlpm.m*(_xlpm.v="Not Run")),_xlpm.cp,SUM(_xlpm.m*(_xlpm.v="Conditionally Passed")),_xlpm.p,SUM(_xlpm.m*(_xlpm.v="Passed")),IF(TRIM($A97)="","",IF(TRIM($E97)="","Pending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7" s="68" t="str">
        <f>IF(TRIM($A97)="","",IF($J97="Passed","",IF($J97="Passed with Known Issue","Known Issue",IF($J97="",IF(OR($H97&lt;&gt;"No",AND($F97&lt;&gt;"Medium",$F97&lt;&gt;"Low")),"Pending Result",""),IF(OR($H97&lt;&gt;"No",AND($F97&lt;&gt;"Medium",$F97&lt;&gt;"Low")),IF(COUNTIFS(Dashboard!$B$105:$B$124,$A97,Dashboard!$I$105:$I$124,"CAB")&gt;0,"Accepted (CF)","Blocking"),IF($J97="Failed","Deferrable","Carry Over"))))))</f>
        <v/>
      </c>
      <c r="M97" s="68" t="str">
        <f>IF(OR(TRIM($A97)="",TRIM($E97)=""),"",IFERROR(INDEX('E2E core flow'!$B$15:$B$1000,MATCH(1,INDEX(('E2E core flow'!$A$15:$A$1000&lt;&gt;"")*ISNUMBER(SEARCH('E2E core flow'!$A$15:$A$1000,$E97)),0),0))&amp;"","-"))</f>
        <v/>
      </c>
      <c r="N97" s="68" t="str">
        <f>IF(TRIM($A97)="","",IF($O97=0,IF(COUNTIFS('Card Test Cases'!$B$4:$B$1000,$A97,'Card Test Cases'!$A$4:$A$1000,"&lt;&gt;")&gt;0,"Out of Scope","No TC"),IF($Q97&gt;0,"Failed",IF(COUNTIFS('Card Test Cases'!$B$4:$B$1000,$A97,'Card Test Cases'!$A$4:$A$1000,"&lt;&gt;",'Card Test Cases'!$F$4:$F$1000,"Blocked")&gt;0,"Blocked",IF($R97&gt;0,"In Progress","Passed")))))</f>
        <v/>
      </c>
      <c r="O97" s="68" t="str">
        <f>IF(TRIM($A97)="","",COUNTIFS('Card Test Cases'!$B$4:$B$1000,$A97,'Card Test Cases'!$A$4:$A$1000,"&lt;&gt;",'Card Test Cases'!$F$4:$F$1000,"&lt;&gt;Out of Scope"))</f>
        <v/>
      </c>
      <c r="P97" s="68" t="str">
        <f>IF(TRIM($A97)="","",COUNTIFS('Card Test Cases'!$B$4:$B$1000,$A97,'Card Test Cases'!$A$4:$A$1000,"&lt;&gt;",'Card Test Cases'!$F$4:$F$1000,"Passed"))</f>
        <v/>
      </c>
      <c r="Q97" s="68" t="str">
        <f>IF(TRIM($A97)="","",COUNTIFS('Card Test Cases'!$B$4:$B$1000,$A97,'Card Test Cases'!$A$4:$A$1000,"&lt;&gt;",'Card Test Cases'!$F$4:$F$1000,"Failed"))</f>
        <v/>
      </c>
      <c r="R97" s="68" t="str">
        <f t="shared" si="1"/>
        <v/>
      </c>
      <c r="S97" s="68" t="str" cm="1">
        <f t="array" ref="S97">IF(TRIM($A97)="","",IFERROR(_xlfn.TEXTJOIN(", ",TRUE,_xlfn.UNIQUE(_xlfn.VSTACK(_xlfn._xlws.FILTER('Card Test Cases'!$G$4:$G$1000,('Card Test Cases'!$B$4:$B$1000=$A97)*('Card Test Cases'!$G$4:$G$1000&lt;&gt;""),""),_xlfn._xlws.FILTER('E2E core flow'!$U$15:$U$1000,('E2E core flow'!$A$15:$A$1000&lt;&gt;"")*ISNUMBER(SEARCH('E2E core flow'!$A$15:$A$1000,$E97))*('E2E core flow'!$U$15:$U$1000&lt;&gt;""),"")))),"-"))</f>
        <v/>
      </c>
    </row>
    <row r="98" spans="7:19" x14ac:dyDescent="0.3">
      <c r="G98" s="68" t="str" cm="1">
        <f t="array" ref="G98">_xlfn.LET(_xlpm.ids,'E2E core flow'!$A$15:$A$1000,_xlpm.v,'E2E core flow'!$W$15:$W$1000,_xlpm.m,(_xlpm.ids&lt;&gt;"")*ISNUMBER(SEARCH(_xlpm.ids,$E98)),_xlpm.f,SUM(_xlpm.m*(_xlpm.v="Failed")),_xlpm.b,SUM(_xlpm.m*(_xlpm.v="Blocked")),_xlpm.nr,SUM(_xlpm.m*(_xlpm.v="Not Run")),_xlpm.cp,SUM(_xlpm.m*(_xlpm.v="Conditionally Passed")),_xlpm.p,SUM(_xlpm.m*(_xlpm.v="Passed")),IF(TRIM($A98)="","",IF(TRIM($E98)="","Pending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8" s="68" t="str">
        <f>IF(TRIM($A98)="","",IF($J98="Passed","",IF($J98="Passed with Known Issue","Known Issue",IF($J98="",IF(OR($H98&lt;&gt;"No",AND($F98&lt;&gt;"Medium",$F98&lt;&gt;"Low")),"Pending Result",""),IF(OR($H98&lt;&gt;"No",AND($F98&lt;&gt;"Medium",$F98&lt;&gt;"Low")),IF(COUNTIFS(Dashboard!$B$105:$B$124,$A98,Dashboard!$I$105:$I$124,"CAB")&gt;0,"Accepted (CF)","Blocking"),IF($J98="Failed","Deferrable","Carry Over"))))))</f>
        <v/>
      </c>
      <c r="M98" s="68" t="str">
        <f>IF(OR(TRIM($A98)="",TRIM($E98)=""),"",IFERROR(INDEX('E2E core flow'!$B$15:$B$1000,MATCH(1,INDEX(('E2E core flow'!$A$15:$A$1000&lt;&gt;"")*ISNUMBER(SEARCH('E2E core flow'!$A$15:$A$1000,$E98)),0),0))&amp;"","-"))</f>
        <v/>
      </c>
      <c r="N98" s="68" t="str">
        <f>IF(TRIM($A98)="","",IF($O98=0,IF(COUNTIFS('Card Test Cases'!$B$4:$B$1000,$A98,'Card Test Cases'!$A$4:$A$1000,"&lt;&gt;")&gt;0,"Out of Scope","No TC"),IF($Q98&gt;0,"Failed",IF(COUNTIFS('Card Test Cases'!$B$4:$B$1000,$A98,'Card Test Cases'!$A$4:$A$1000,"&lt;&gt;",'Card Test Cases'!$F$4:$F$1000,"Blocked")&gt;0,"Blocked",IF($R98&gt;0,"In Progress","Passed")))))</f>
        <v/>
      </c>
      <c r="O98" s="68" t="str">
        <f>IF(TRIM($A98)="","",COUNTIFS('Card Test Cases'!$B$4:$B$1000,$A98,'Card Test Cases'!$A$4:$A$1000,"&lt;&gt;",'Card Test Cases'!$F$4:$F$1000,"&lt;&gt;Out of Scope"))</f>
        <v/>
      </c>
      <c r="P98" s="68" t="str">
        <f>IF(TRIM($A98)="","",COUNTIFS('Card Test Cases'!$B$4:$B$1000,$A98,'Card Test Cases'!$A$4:$A$1000,"&lt;&gt;",'Card Test Cases'!$F$4:$F$1000,"Passed"))</f>
        <v/>
      </c>
      <c r="Q98" s="68" t="str">
        <f>IF(TRIM($A98)="","",COUNTIFS('Card Test Cases'!$B$4:$B$1000,$A98,'Card Test Cases'!$A$4:$A$1000,"&lt;&gt;",'Card Test Cases'!$F$4:$F$1000,"Failed"))</f>
        <v/>
      </c>
      <c r="R98" s="68" t="str">
        <f t="shared" si="1"/>
        <v/>
      </c>
      <c r="S98" s="68" t="str" cm="1">
        <f t="array" ref="S98">IF(TRIM($A98)="","",IFERROR(_xlfn.TEXTJOIN(", ",TRUE,_xlfn.UNIQUE(_xlfn.VSTACK(_xlfn._xlws.FILTER('Card Test Cases'!$G$4:$G$1000,('Card Test Cases'!$B$4:$B$1000=$A98)*('Card Test Cases'!$G$4:$G$1000&lt;&gt;""),""),_xlfn._xlws.FILTER('E2E core flow'!$U$15:$U$1000,('E2E core flow'!$A$15:$A$1000&lt;&gt;"")*ISNUMBER(SEARCH('E2E core flow'!$A$15:$A$1000,$E98))*('E2E core flow'!$U$15:$U$1000&lt;&gt;""),"")))),"-"))</f>
        <v/>
      </c>
    </row>
    <row r="99" spans="7:19" x14ac:dyDescent="0.3">
      <c r="G99" s="68" t="str" cm="1">
        <f t="array" ref="G99">_xlfn.LET(_xlpm.ids,'E2E core flow'!$A$15:$A$1000,_xlpm.v,'E2E core flow'!$W$15:$W$1000,_xlpm.m,(_xlpm.ids&lt;&gt;"")*ISNUMBER(SEARCH(_xlpm.ids,$E99)),_xlpm.f,SUM(_xlpm.m*(_xlpm.v="Failed")),_xlpm.b,SUM(_xlpm.m*(_xlpm.v="Blocked")),_xlpm.nr,SUM(_xlpm.m*(_xlpm.v="Not Run")),_xlpm.cp,SUM(_xlpm.m*(_xlpm.v="Conditionally Passed")),_xlpm.p,SUM(_xlpm.m*(_xlpm.v="Passed")),IF(TRIM($A99)="","",IF(TRIM($E99)="","Pending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9" s="68" t="str">
        <f>IF(TRIM($A99)="","",IF($J99="Passed","",IF($J99="Passed with Known Issue","Known Issue",IF($J99="",IF(OR($H99&lt;&gt;"No",AND($F99&lt;&gt;"Medium",$F99&lt;&gt;"Low")),"Pending Result",""),IF(OR($H99&lt;&gt;"No",AND($F99&lt;&gt;"Medium",$F99&lt;&gt;"Low")),IF(COUNTIFS(Dashboard!$B$105:$B$124,$A99,Dashboard!$I$105:$I$124,"CAB")&gt;0,"Accepted (CF)","Blocking"),IF($J99="Failed","Deferrable","Carry Over"))))))</f>
        <v/>
      </c>
      <c r="M99" s="68" t="str">
        <f>IF(OR(TRIM($A99)="",TRIM($E99)=""),"",IFERROR(INDEX('E2E core flow'!$B$15:$B$1000,MATCH(1,INDEX(('E2E core flow'!$A$15:$A$1000&lt;&gt;"")*ISNUMBER(SEARCH('E2E core flow'!$A$15:$A$1000,$E99)),0),0))&amp;"","-"))</f>
        <v/>
      </c>
      <c r="N99" s="68" t="str">
        <f>IF(TRIM($A99)="","",IF($O99=0,IF(COUNTIFS('Card Test Cases'!$B$4:$B$1000,$A99,'Card Test Cases'!$A$4:$A$1000,"&lt;&gt;")&gt;0,"Out of Scope","No TC"),IF($Q99&gt;0,"Failed",IF(COUNTIFS('Card Test Cases'!$B$4:$B$1000,$A99,'Card Test Cases'!$A$4:$A$1000,"&lt;&gt;",'Card Test Cases'!$F$4:$F$1000,"Blocked")&gt;0,"Blocked",IF($R99&gt;0,"In Progress","Passed")))))</f>
        <v/>
      </c>
      <c r="O99" s="68" t="str">
        <f>IF(TRIM($A99)="","",COUNTIFS('Card Test Cases'!$B$4:$B$1000,$A99,'Card Test Cases'!$A$4:$A$1000,"&lt;&gt;",'Card Test Cases'!$F$4:$F$1000,"&lt;&gt;Out of Scope"))</f>
        <v/>
      </c>
      <c r="P99" s="68" t="str">
        <f>IF(TRIM($A99)="","",COUNTIFS('Card Test Cases'!$B$4:$B$1000,$A99,'Card Test Cases'!$A$4:$A$1000,"&lt;&gt;",'Card Test Cases'!$F$4:$F$1000,"Passed"))</f>
        <v/>
      </c>
      <c r="Q99" s="68" t="str">
        <f>IF(TRIM($A99)="","",COUNTIFS('Card Test Cases'!$B$4:$B$1000,$A99,'Card Test Cases'!$A$4:$A$1000,"&lt;&gt;",'Card Test Cases'!$F$4:$F$1000,"Failed"))</f>
        <v/>
      </c>
      <c r="R99" s="68" t="str">
        <f t="shared" si="1"/>
        <v/>
      </c>
      <c r="S99" s="68" t="str" cm="1">
        <f t="array" ref="S99">IF(TRIM($A99)="","",IFERROR(_xlfn.TEXTJOIN(", ",TRUE,_xlfn.UNIQUE(_xlfn.VSTACK(_xlfn._xlws.FILTER('Card Test Cases'!$G$4:$G$1000,('Card Test Cases'!$B$4:$B$1000=$A99)*('Card Test Cases'!$G$4:$G$1000&lt;&gt;""),""),_xlfn._xlws.FILTER('E2E core flow'!$U$15:$U$1000,('E2E core flow'!$A$15:$A$1000&lt;&gt;"")*ISNUMBER(SEARCH('E2E core flow'!$A$15:$A$1000,$E99))*('E2E core flow'!$U$15:$U$1000&lt;&gt;""),"")))),"-"))</f>
        <v/>
      </c>
    </row>
    <row r="100" spans="7:19" x14ac:dyDescent="0.3">
      <c r="G100" s="68" t="str" cm="1">
        <f t="array" ref="G100">_xlfn.LET(_xlpm.ids,'E2E core flow'!$A$15:$A$1000,_xlpm.v,'E2E core flow'!$W$15:$W$1000,_xlpm.m,(_xlpm.ids&lt;&gt;"")*ISNUMBER(SEARCH(_xlpm.ids,$E100)),_xlpm.f,SUM(_xlpm.m*(_xlpm.v="Failed")),_xlpm.b,SUM(_xlpm.m*(_xlpm.v="Blocked")),_xlpm.nr,SUM(_xlpm.m*(_xlpm.v="Not Run")),_xlpm.cp,SUM(_xlpm.m*(_xlpm.v="Conditionally Passed")),_xlpm.p,SUM(_xlpm.m*(_xlpm.v="Passed")),IF(TRIM($A100)="","",IF(TRIM($E100)="","Pending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00" s="68" t="str">
        <f>IF(TRIM($A100)="","",IF($J100="Passed","",IF($J100="Passed with Known Issue","Known Issue",IF($J100="",IF(OR($H100&lt;&gt;"No",AND($F100&lt;&gt;"Medium",$F100&lt;&gt;"Low")),"Pending Result",""),IF(OR($H100&lt;&gt;"No",AND($F100&lt;&gt;"Medium",$F100&lt;&gt;"Low")),IF(COUNTIFS(Dashboard!$B$105:$B$124,$A100,Dashboard!$I$105:$I$124,"CAB")&gt;0,"Accepted (CF)","Blocking"),IF($J100="Failed","Deferrable","Carry Over"))))))</f>
        <v/>
      </c>
      <c r="M100" s="68" t="str">
        <f>IF(OR(TRIM($A100)="",TRIM($E100)=""),"",IFERROR(INDEX('E2E core flow'!$B$15:$B$1000,MATCH(1,INDEX(('E2E core flow'!$A$15:$A$1000&lt;&gt;"")*ISNUMBER(SEARCH('E2E core flow'!$A$15:$A$1000,$E100)),0),0))&amp;"","-"))</f>
        <v/>
      </c>
      <c r="N100" s="68" t="str">
        <f>IF(TRIM($A100)="","",IF($O100=0,IF(COUNTIFS('Card Test Cases'!$B$4:$B$1000,$A100,'Card Test Cases'!$A$4:$A$1000,"&lt;&gt;")&gt;0,"Out of Scope","No TC"),IF($Q100&gt;0,"Failed",IF(COUNTIFS('Card Test Cases'!$B$4:$B$1000,$A100,'Card Test Cases'!$A$4:$A$1000,"&lt;&gt;",'Card Test Cases'!$F$4:$F$1000,"Blocked")&gt;0,"Blocked",IF($R100&gt;0,"In Progress","Passed")))))</f>
        <v/>
      </c>
      <c r="O100" s="68" t="str">
        <f>IF(TRIM($A100)="","",COUNTIFS('Card Test Cases'!$B$4:$B$1000,$A100,'Card Test Cases'!$A$4:$A$1000,"&lt;&gt;",'Card Test Cases'!$F$4:$F$1000,"&lt;&gt;Out of Scope"))</f>
        <v/>
      </c>
      <c r="P100" s="68" t="str">
        <f>IF(TRIM($A100)="","",COUNTIFS('Card Test Cases'!$B$4:$B$1000,$A100,'Card Test Cases'!$A$4:$A$1000,"&lt;&gt;",'Card Test Cases'!$F$4:$F$1000,"Passed"))</f>
        <v/>
      </c>
      <c r="Q100" s="68" t="str">
        <f>IF(TRIM($A100)="","",COUNTIFS('Card Test Cases'!$B$4:$B$1000,$A100,'Card Test Cases'!$A$4:$A$1000,"&lt;&gt;",'Card Test Cases'!$F$4:$F$1000,"Failed"))</f>
        <v/>
      </c>
      <c r="R100" s="68" t="str">
        <f t="shared" si="1"/>
        <v/>
      </c>
      <c r="S100" s="68" t="str" cm="1">
        <f t="array" ref="S100">IF(TRIM($A100)="","",IFERROR(_xlfn.TEXTJOIN(", ",TRUE,_xlfn.UNIQUE(_xlfn.VSTACK(_xlfn._xlws.FILTER('Card Test Cases'!$G$4:$G$1000,('Card Test Cases'!$B$4:$B$1000=$A100)*('Card Test Cases'!$G$4:$G$1000&lt;&gt;""),""),_xlfn._xlws.FILTER('E2E core flow'!$U$15:$U$1000,('E2E core flow'!$A$15:$A$1000&lt;&gt;"")*ISNUMBER(SEARCH('E2E core flow'!$A$15:$A$1000,$E100))*('E2E core flow'!$U$15:$U$1000&lt;&gt;""),"")))),"-"))</f>
        <v/>
      </c>
    </row>
    <row r="101" spans="7:19" x14ac:dyDescent="0.3">
      <c r="G101" s="68" t="str" cm="1">
        <f t="array" ref="G101">_xlfn.LET(_xlpm.ids,'E2E core flow'!$A$15:$A$1000,_xlpm.v,'E2E core flow'!$W$15:$W$1000,_xlpm.m,(_xlpm.ids&lt;&gt;"")*ISNUMBER(SEARCH(_xlpm.ids,$E101)),_xlpm.f,SUM(_xlpm.m*(_xlpm.v="Failed")),_xlpm.b,SUM(_xlpm.m*(_xlpm.v="Blocked")),_xlpm.nr,SUM(_xlpm.m*(_xlpm.v="Not Run")),_xlpm.cp,SUM(_xlpm.m*(_xlpm.v="Conditionally Passed")),_xlpm.p,SUM(_xlpm.m*(_xlpm.v="Passed")),IF(TRIM($A101)="","",IF(TRIM($E101)="","Pending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01" s="68" t="str">
        <f>IF(TRIM($A101)="","",IF($J101="Passed","",IF($J101="Passed with Known Issue","Known Issue",IF($J101="",IF(OR($H101&lt;&gt;"No",AND($F101&lt;&gt;"Medium",$F101&lt;&gt;"Low")),"Pending Result",""),IF(OR($H101&lt;&gt;"No",AND($F101&lt;&gt;"Medium",$F101&lt;&gt;"Low")),IF(COUNTIFS(Dashboard!$B$105:$B$124,$A101,Dashboard!$I$105:$I$124,"CAB")&gt;0,"Accepted (CF)","Blocking"),IF($J101="Failed","Deferrable","Carry Over"))))))</f>
        <v/>
      </c>
      <c r="M101" s="68" t="str">
        <f>IF(OR(TRIM($A101)="",TRIM($E101)=""),"",IFERROR(INDEX('E2E core flow'!$B$15:$B$1000,MATCH(1,INDEX(('E2E core flow'!$A$15:$A$1000&lt;&gt;"")*ISNUMBER(SEARCH('E2E core flow'!$A$15:$A$1000,$E101)),0),0))&amp;"","-"))</f>
        <v/>
      </c>
      <c r="N101" s="68" t="str">
        <f>IF(TRIM($A101)="","",IF($O101=0,IF(COUNTIFS('Card Test Cases'!$B$4:$B$1000,$A101,'Card Test Cases'!$A$4:$A$1000,"&lt;&gt;")&gt;0,"Out of Scope","No TC"),IF($Q101&gt;0,"Failed",IF(COUNTIFS('Card Test Cases'!$B$4:$B$1000,$A101,'Card Test Cases'!$A$4:$A$1000,"&lt;&gt;",'Card Test Cases'!$F$4:$F$1000,"Blocked")&gt;0,"Blocked",IF($R101&gt;0,"In Progress","Passed")))))</f>
        <v/>
      </c>
      <c r="O101" s="68" t="str">
        <f>IF(TRIM($A101)="","",COUNTIFS('Card Test Cases'!$B$4:$B$1000,$A101,'Card Test Cases'!$A$4:$A$1000,"&lt;&gt;",'Card Test Cases'!$F$4:$F$1000,"&lt;&gt;Out of Scope"))</f>
        <v/>
      </c>
      <c r="P101" s="68" t="str">
        <f>IF(TRIM($A101)="","",COUNTIFS('Card Test Cases'!$B$4:$B$1000,$A101,'Card Test Cases'!$A$4:$A$1000,"&lt;&gt;",'Card Test Cases'!$F$4:$F$1000,"Passed"))</f>
        <v/>
      </c>
      <c r="Q101" s="68" t="str">
        <f>IF(TRIM($A101)="","",COUNTIFS('Card Test Cases'!$B$4:$B$1000,$A101,'Card Test Cases'!$A$4:$A$1000,"&lt;&gt;",'Card Test Cases'!$F$4:$F$1000,"Failed"))</f>
        <v/>
      </c>
      <c r="R101" s="68" t="str">
        <f t="shared" si="1"/>
        <v/>
      </c>
      <c r="S101" s="68" t="str" cm="1">
        <f t="array" ref="S101">IF(TRIM($A101)="","",IFERROR(_xlfn.TEXTJOIN(", ",TRUE,_xlfn.UNIQUE(_xlfn.VSTACK(_xlfn._xlws.FILTER('Card Test Cases'!$G$4:$G$1000,('Card Test Cases'!$B$4:$B$1000=$A101)*('Card Test Cases'!$G$4:$G$1000&lt;&gt;""),""),_xlfn._xlws.FILTER('E2E core flow'!$U$15:$U$1000,('E2E core flow'!$A$15:$A$1000&lt;&gt;"")*ISNUMBER(SEARCH('E2E core flow'!$A$15:$A$1000,$E101))*('E2E core flow'!$U$15:$U$1000&lt;&gt;""),"")))),"-"))</f>
        <v/>
      </c>
    </row>
    <row r="102" spans="7:19" x14ac:dyDescent="0.3">
      <c r="G102" s="68" t="str" cm="1">
        <f t="array" ref="G102">_xlfn.LET(_xlpm.ids,'E2E core flow'!$A$15:$A$1000,_xlpm.v,'E2E core flow'!$W$15:$W$1000,_xlpm.m,(_xlpm.ids&lt;&gt;"")*ISNUMBER(SEARCH(_xlpm.ids,$E102)),_xlpm.f,SUM(_xlpm.m*(_xlpm.v="Failed")),_xlpm.b,SUM(_xlpm.m*(_xlpm.v="Blocked")),_xlpm.nr,SUM(_xlpm.m*(_xlpm.v="Not Run")),_xlpm.cp,SUM(_xlpm.m*(_xlpm.v="Conditionally Passed")),_xlpm.p,SUM(_xlpm.m*(_xlpm.v="Passed")),IF(TRIM($A102)="","",IF(TRIM($E102)="","Pending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02" s="68" t="str">
        <f>IF(TRIM($A102)="","",IF($J102="Passed","",IF($J102="Passed with Known Issue","Known Issue",IF($J102="",IF(OR($H102&lt;&gt;"No",AND($F102&lt;&gt;"Medium",$F102&lt;&gt;"Low")),"Pending Result",""),IF(OR($H102&lt;&gt;"No",AND($F102&lt;&gt;"Medium",$F102&lt;&gt;"Low")),IF(COUNTIFS(Dashboard!$B$105:$B$124,$A102,Dashboard!$I$105:$I$124,"CAB")&gt;0,"Accepted (CF)","Blocking"),IF($J102="Failed","Deferrable","Carry Over"))))))</f>
        <v/>
      </c>
      <c r="M102" s="68" t="str">
        <f>IF(OR(TRIM($A102)="",TRIM($E102)=""),"",IFERROR(INDEX('E2E core flow'!$B$15:$B$1000,MATCH(1,INDEX(('E2E core flow'!$A$15:$A$1000&lt;&gt;"")*ISNUMBER(SEARCH('E2E core flow'!$A$15:$A$1000,$E102)),0),0))&amp;"","-"))</f>
        <v/>
      </c>
      <c r="N102" s="68" t="str">
        <f>IF(TRIM($A102)="","",IF($O102=0,IF(COUNTIFS('Card Test Cases'!$B$4:$B$1000,$A102,'Card Test Cases'!$A$4:$A$1000,"&lt;&gt;")&gt;0,"Out of Scope","No TC"),IF($Q102&gt;0,"Failed",IF(COUNTIFS('Card Test Cases'!$B$4:$B$1000,$A102,'Card Test Cases'!$A$4:$A$1000,"&lt;&gt;",'Card Test Cases'!$F$4:$F$1000,"Blocked")&gt;0,"Blocked",IF($R102&gt;0,"In Progress","Passed")))))</f>
        <v/>
      </c>
      <c r="O102" s="68" t="str">
        <f>IF(TRIM($A102)="","",COUNTIFS('Card Test Cases'!$B$4:$B$1000,$A102,'Card Test Cases'!$A$4:$A$1000,"&lt;&gt;",'Card Test Cases'!$F$4:$F$1000,"&lt;&gt;Out of Scope"))</f>
        <v/>
      </c>
      <c r="P102" s="68" t="str">
        <f>IF(TRIM($A102)="","",COUNTIFS('Card Test Cases'!$B$4:$B$1000,$A102,'Card Test Cases'!$A$4:$A$1000,"&lt;&gt;",'Card Test Cases'!$F$4:$F$1000,"Passed"))</f>
        <v/>
      </c>
      <c r="Q102" s="68" t="str">
        <f>IF(TRIM($A102)="","",COUNTIFS('Card Test Cases'!$B$4:$B$1000,$A102,'Card Test Cases'!$A$4:$A$1000,"&lt;&gt;",'Card Test Cases'!$F$4:$F$1000,"Failed"))</f>
        <v/>
      </c>
      <c r="R102" s="68" t="str">
        <f t="shared" si="1"/>
        <v/>
      </c>
      <c r="S102" s="68" t="str" cm="1">
        <f t="array" ref="S102">IF(TRIM($A102)="","",IFERROR(_xlfn.TEXTJOIN(", ",TRUE,_xlfn.UNIQUE(_xlfn.VSTACK(_xlfn._xlws.FILTER('Card Test Cases'!$G$4:$G$1000,('Card Test Cases'!$B$4:$B$1000=$A102)*('Card Test Cases'!$G$4:$G$1000&lt;&gt;""),""),_xlfn._xlws.FILTER('E2E core flow'!$U$15:$U$1000,('E2E core flow'!$A$15:$A$1000&lt;&gt;"")*ISNUMBER(SEARCH('E2E core flow'!$A$15:$A$1000,$E102))*('E2E core flow'!$U$15:$U$1000&lt;&gt;""),"")))),"-"))</f>
        <v/>
      </c>
    </row>
    <row r="103" spans="7:19" x14ac:dyDescent="0.3">
      <c r="G103" s="68" t="str" cm="1">
        <f t="array" ref="G103">_xlfn.LET(_xlpm.ids,'E2E core flow'!$A$15:$A$1000,_xlpm.v,'E2E core flow'!$W$15:$W$1000,_xlpm.m,(_xlpm.ids&lt;&gt;"")*ISNUMBER(SEARCH(_xlpm.ids,$E103)),_xlpm.f,SUM(_xlpm.m*(_xlpm.v="Failed")),_xlpm.b,SUM(_xlpm.m*(_xlpm.v="Blocked")),_xlpm.nr,SUM(_xlpm.m*(_xlpm.v="Not Run")),_xlpm.cp,SUM(_xlpm.m*(_xlpm.v="Conditionally Passed")),_xlpm.p,SUM(_xlpm.m*(_xlpm.v="Passed")),IF(TRIM($A103)="","",IF(TRIM($E103)="","Pending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03" s="68" t="str">
        <f>IF(TRIM($A103)="","",IF($J103="Passed","",IF($J103="Passed with Known Issue","Known Issue",IF($J103="",IF(OR($H103&lt;&gt;"No",AND($F103&lt;&gt;"Medium",$F103&lt;&gt;"Low")),"Pending Result",""),IF(OR($H103&lt;&gt;"No",AND($F103&lt;&gt;"Medium",$F103&lt;&gt;"Low")),IF(COUNTIFS(Dashboard!$B$105:$B$124,$A103,Dashboard!$I$105:$I$124,"CAB")&gt;0,"Accepted (CF)","Blocking"),IF($J103="Failed","Deferrable","Carry Over"))))))</f>
        <v/>
      </c>
      <c r="M103" s="68" t="str">
        <f>IF(OR(TRIM($A103)="",TRIM($E103)=""),"",IFERROR(INDEX('E2E core flow'!$B$15:$B$1000,MATCH(1,INDEX(('E2E core flow'!$A$15:$A$1000&lt;&gt;"")*ISNUMBER(SEARCH('E2E core flow'!$A$15:$A$1000,$E103)),0),0))&amp;"","-"))</f>
        <v/>
      </c>
      <c r="N103" s="68" t="str">
        <f>IF(TRIM($A103)="","",IF($O103=0,IF(COUNTIFS('Card Test Cases'!$B$4:$B$1000,$A103,'Card Test Cases'!$A$4:$A$1000,"&lt;&gt;")&gt;0,"Out of Scope","No TC"),IF($Q103&gt;0,"Failed",IF(COUNTIFS('Card Test Cases'!$B$4:$B$1000,$A103,'Card Test Cases'!$A$4:$A$1000,"&lt;&gt;",'Card Test Cases'!$F$4:$F$1000,"Blocked")&gt;0,"Blocked",IF($R103&gt;0,"In Progress","Passed")))))</f>
        <v/>
      </c>
      <c r="O103" s="68" t="str">
        <f>IF(TRIM($A103)="","",COUNTIFS('Card Test Cases'!$B$4:$B$1000,$A103,'Card Test Cases'!$A$4:$A$1000,"&lt;&gt;",'Card Test Cases'!$F$4:$F$1000,"&lt;&gt;Out of Scope"))</f>
        <v/>
      </c>
      <c r="P103" s="68" t="str">
        <f>IF(TRIM($A103)="","",COUNTIFS('Card Test Cases'!$B$4:$B$1000,$A103,'Card Test Cases'!$A$4:$A$1000,"&lt;&gt;",'Card Test Cases'!$F$4:$F$1000,"Passed"))</f>
        <v/>
      </c>
      <c r="Q103" s="68" t="str">
        <f>IF(TRIM($A103)="","",COUNTIFS('Card Test Cases'!$B$4:$B$1000,$A103,'Card Test Cases'!$A$4:$A$1000,"&lt;&gt;",'Card Test Cases'!$F$4:$F$1000,"Failed"))</f>
        <v/>
      </c>
      <c r="R103" s="68" t="str">
        <f t="shared" si="1"/>
        <v/>
      </c>
      <c r="S103" s="68" t="str" cm="1">
        <f t="array" ref="S103">IF(TRIM($A103)="","",IFERROR(_xlfn.TEXTJOIN(", ",TRUE,_xlfn.UNIQUE(_xlfn.VSTACK(_xlfn._xlws.FILTER('Card Test Cases'!$G$4:$G$1000,('Card Test Cases'!$B$4:$B$1000=$A103)*('Card Test Cases'!$G$4:$G$1000&lt;&gt;""),""),_xlfn._xlws.FILTER('E2E core flow'!$U$15:$U$1000,('E2E core flow'!$A$15:$A$1000&lt;&gt;"")*ISNUMBER(SEARCH('E2E core flow'!$A$15:$A$1000,$E103))*('E2E core flow'!$U$15:$U$1000&lt;&gt;""),"")))),"-"))</f>
        <v/>
      </c>
    </row>
    <row r="104" spans="7:19" x14ac:dyDescent="0.3">
      <c r="G104" s="68" t="str" cm="1">
        <f t="array" ref="G104">_xlfn.LET(_xlpm.ids,'E2E core flow'!$A$15:$A$1000,_xlpm.v,'E2E core flow'!$W$15:$W$1000,_xlpm.m,(_xlpm.ids&lt;&gt;"")*ISNUMBER(SEARCH(_xlpm.ids,$E104)),_xlpm.f,SUM(_xlpm.m*(_xlpm.v="Failed")),_xlpm.b,SUM(_xlpm.m*(_xlpm.v="Blocked")),_xlpm.nr,SUM(_xlpm.m*(_xlpm.v="Not Run")),_xlpm.cp,SUM(_xlpm.m*(_xlpm.v="Conditionally Passed")),_xlpm.p,SUM(_xlpm.m*(_xlpm.v="Passed")),IF(TRIM($A104)="","",IF(TRIM($E104)="","Pending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04" s="68" t="str">
        <f>IF(TRIM($A104)="","",IF($J104="Passed","",IF($J104="Passed with Known Issue","Known Issue",IF($J104="",IF(OR($H104&lt;&gt;"No",AND($F104&lt;&gt;"Medium",$F104&lt;&gt;"Low")),"Pending Result",""),IF(OR($H104&lt;&gt;"No",AND($F104&lt;&gt;"Medium",$F104&lt;&gt;"Low")),IF(COUNTIFS(Dashboard!$B$105:$B$124,$A104,Dashboard!$I$105:$I$124,"CAB")&gt;0,"Accepted (CF)","Blocking"),IF($J104="Failed","Deferrable","Carry Over"))))))</f>
        <v/>
      </c>
      <c r="M104" s="68" t="str">
        <f>IF(OR(TRIM($A104)="",TRIM($E104)=""),"",IFERROR(INDEX('E2E core flow'!$B$15:$B$1000,MATCH(1,INDEX(('E2E core flow'!$A$15:$A$1000&lt;&gt;"")*ISNUMBER(SEARCH('E2E core flow'!$A$15:$A$1000,$E104)),0),0))&amp;"","-"))</f>
        <v/>
      </c>
      <c r="N104" s="68" t="str">
        <f>IF(TRIM($A104)="","",IF($O104=0,IF(COUNTIFS('Card Test Cases'!$B$4:$B$1000,$A104,'Card Test Cases'!$A$4:$A$1000,"&lt;&gt;")&gt;0,"Out of Scope","No TC"),IF($Q104&gt;0,"Failed",IF(COUNTIFS('Card Test Cases'!$B$4:$B$1000,$A104,'Card Test Cases'!$A$4:$A$1000,"&lt;&gt;",'Card Test Cases'!$F$4:$F$1000,"Blocked")&gt;0,"Blocked",IF($R104&gt;0,"In Progress","Passed")))))</f>
        <v/>
      </c>
      <c r="O104" s="68" t="str">
        <f>IF(TRIM($A104)="","",COUNTIFS('Card Test Cases'!$B$4:$B$1000,$A104,'Card Test Cases'!$A$4:$A$1000,"&lt;&gt;",'Card Test Cases'!$F$4:$F$1000,"&lt;&gt;Out of Scope"))</f>
        <v/>
      </c>
      <c r="P104" s="68" t="str">
        <f>IF(TRIM($A104)="","",COUNTIFS('Card Test Cases'!$B$4:$B$1000,$A104,'Card Test Cases'!$A$4:$A$1000,"&lt;&gt;",'Card Test Cases'!$F$4:$F$1000,"Passed"))</f>
        <v/>
      </c>
      <c r="Q104" s="68" t="str">
        <f>IF(TRIM($A104)="","",COUNTIFS('Card Test Cases'!$B$4:$B$1000,$A104,'Card Test Cases'!$A$4:$A$1000,"&lt;&gt;",'Card Test Cases'!$F$4:$F$1000,"Failed"))</f>
        <v/>
      </c>
      <c r="R104" s="68" t="str">
        <f t="shared" si="1"/>
        <v/>
      </c>
      <c r="S104" s="68" t="str" cm="1">
        <f t="array" ref="S104">IF(TRIM($A104)="","",IFERROR(_xlfn.TEXTJOIN(", ",TRUE,_xlfn.UNIQUE(_xlfn.VSTACK(_xlfn._xlws.FILTER('Card Test Cases'!$G$4:$G$1000,('Card Test Cases'!$B$4:$B$1000=$A104)*('Card Test Cases'!$G$4:$G$1000&lt;&gt;""),""),_xlfn._xlws.FILTER('E2E core flow'!$U$15:$U$1000,('E2E core flow'!$A$15:$A$1000&lt;&gt;"")*ISNUMBER(SEARCH('E2E core flow'!$A$15:$A$1000,$E104))*('E2E core flow'!$U$15:$U$1000&lt;&gt;""),"")))),"-"))</f>
        <v/>
      </c>
    </row>
    <row r="105" spans="7:19" x14ac:dyDescent="0.3">
      <c r="G105" s="68" t="str" cm="1">
        <f t="array" ref="G105">_xlfn.LET(_xlpm.ids,'E2E core flow'!$A$15:$A$1000,_xlpm.v,'E2E core flow'!$W$15:$W$1000,_xlpm.m,(_xlpm.ids&lt;&gt;"")*ISNUMBER(SEARCH(_xlpm.ids,$E105)),_xlpm.f,SUM(_xlpm.m*(_xlpm.v="Failed")),_xlpm.b,SUM(_xlpm.m*(_xlpm.v="Blocked")),_xlpm.nr,SUM(_xlpm.m*(_xlpm.v="Not Run")),_xlpm.cp,SUM(_xlpm.m*(_xlpm.v="Conditionally Passed")),_xlpm.p,SUM(_xlpm.m*(_xlpm.v="Passed")),IF(TRIM($A105)="","",IF(TRIM($E105)="","Pending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05" s="68" t="str">
        <f>IF(TRIM($A105)="","",IF($J105="Passed","",IF($J105="Passed with Known Issue","Known Issue",IF($J105="",IF(OR($H105&lt;&gt;"No",AND($F105&lt;&gt;"Medium",$F105&lt;&gt;"Low")),"Pending Result",""),IF(OR($H105&lt;&gt;"No",AND($F105&lt;&gt;"Medium",$F105&lt;&gt;"Low")),IF(COUNTIFS(Dashboard!$B$105:$B$124,$A105,Dashboard!$I$105:$I$124,"CAB")&gt;0,"Accepted (CF)","Blocking"),IF($J105="Failed","Deferrable","Carry Over"))))))</f>
        <v/>
      </c>
      <c r="M105" s="68" t="str">
        <f>IF(OR(TRIM($A105)="",TRIM($E105)=""),"",IFERROR(INDEX('E2E core flow'!$B$15:$B$1000,MATCH(1,INDEX(('E2E core flow'!$A$15:$A$1000&lt;&gt;"")*ISNUMBER(SEARCH('E2E core flow'!$A$15:$A$1000,$E105)),0),0))&amp;"","-"))</f>
        <v/>
      </c>
      <c r="N105" s="68" t="str">
        <f>IF(TRIM($A105)="","",IF($O105=0,IF(COUNTIFS('Card Test Cases'!$B$4:$B$1000,$A105,'Card Test Cases'!$A$4:$A$1000,"&lt;&gt;")&gt;0,"Out of Scope","No TC"),IF($Q105&gt;0,"Failed",IF(COUNTIFS('Card Test Cases'!$B$4:$B$1000,$A105,'Card Test Cases'!$A$4:$A$1000,"&lt;&gt;",'Card Test Cases'!$F$4:$F$1000,"Blocked")&gt;0,"Blocked",IF($R105&gt;0,"In Progress","Passed")))))</f>
        <v/>
      </c>
      <c r="O105" s="68" t="str">
        <f>IF(TRIM($A105)="","",COUNTIFS('Card Test Cases'!$B$4:$B$1000,$A105,'Card Test Cases'!$A$4:$A$1000,"&lt;&gt;",'Card Test Cases'!$F$4:$F$1000,"&lt;&gt;Out of Scope"))</f>
        <v/>
      </c>
      <c r="P105" s="68" t="str">
        <f>IF(TRIM($A105)="","",COUNTIFS('Card Test Cases'!$B$4:$B$1000,$A105,'Card Test Cases'!$A$4:$A$1000,"&lt;&gt;",'Card Test Cases'!$F$4:$F$1000,"Passed"))</f>
        <v/>
      </c>
      <c r="Q105" s="68" t="str">
        <f>IF(TRIM($A105)="","",COUNTIFS('Card Test Cases'!$B$4:$B$1000,$A105,'Card Test Cases'!$A$4:$A$1000,"&lt;&gt;",'Card Test Cases'!$F$4:$F$1000,"Failed"))</f>
        <v/>
      </c>
      <c r="R105" s="68" t="str">
        <f t="shared" si="1"/>
        <v/>
      </c>
      <c r="S105" s="68" t="str" cm="1">
        <f t="array" ref="S105">IF(TRIM($A105)="","",IFERROR(_xlfn.TEXTJOIN(", ",TRUE,_xlfn.UNIQUE(_xlfn.VSTACK(_xlfn._xlws.FILTER('Card Test Cases'!$G$4:$G$1000,('Card Test Cases'!$B$4:$B$1000=$A105)*('Card Test Cases'!$G$4:$G$1000&lt;&gt;""),""),_xlfn._xlws.FILTER('E2E core flow'!$U$15:$U$1000,('E2E core flow'!$A$15:$A$1000&lt;&gt;"")*ISNUMBER(SEARCH('E2E core flow'!$A$15:$A$1000,$E105))*('E2E core flow'!$U$15:$U$1000&lt;&gt;""),"")))),"-"))</f>
        <v/>
      </c>
    </row>
    <row r="106" spans="7:19" x14ac:dyDescent="0.3">
      <c r="G106" s="68" t="str" cm="1">
        <f t="array" ref="G106">_xlfn.LET(_xlpm.ids,'E2E core flow'!$A$15:$A$1000,_xlpm.v,'E2E core flow'!$W$15:$W$1000,_xlpm.m,(_xlpm.ids&lt;&gt;"")*ISNUMBER(SEARCH(_xlpm.ids,$E106)),_xlpm.f,SUM(_xlpm.m*(_xlpm.v="Failed")),_xlpm.b,SUM(_xlpm.m*(_xlpm.v="Blocked")),_xlpm.nr,SUM(_xlpm.m*(_xlpm.v="Not Run")),_xlpm.cp,SUM(_xlpm.m*(_xlpm.v="Conditionally Passed")),_xlpm.p,SUM(_xlpm.m*(_xlpm.v="Passed")),IF(TRIM($A106)="","",IF(TRIM($E106)="","Pending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06" s="68" t="str">
        <f>IF(TRIM($A106)="","",IF($J106="Passed","",IF($J106="Passed with Known Issue","Known Issue",IF($J106="",IF(OR($H106&lt;&gt;"No",AND($F106&lt;&gt;"Medium",$F106&lt;&gt;"Low")),"Pending Result",""),IF(OR($H106&lt;&gt;"No",AND($F106&lt;&gt;"Medium",$F106&lt;&gt;"Low")),IF(COUNTIFS(Dashboard!$B$105:$B$124,$A106,Dashboard!$I$105:$I$124,"CAB")&gt;0,"Accepted (CF)","Blocking"),IF($J106="Failed","Deferrable","Carry Over"))))))</f>
        <v/>
      </c>
      <c r="M106" s="68" t="str">
        <f>IF(OR(TRIM($A106)="",TRIM($E106)=""),"",IFERROR(INDEX('E2E core flow'!$B$15:$B$1000,MATCH(1,INDEX(('E2E core flow'!$A$15:$A$1000&lt;&gt;"")*ISNUMBER(SEARCH('E2E core flow'!$A$15:$A$1000,$E106)),0),0))&amp;"","-"))</f>
        <v/>
      </c>
      <c r="N106" s="68" t="str">
        <f>IF(TRIM($A106)="","",IF($O106=0,IF(COUNTIFS('Card Test Cases'!$B$4:$B$1000,$A106,'Card Test Cases'!$A$4:$A$1000,"&lt;&gt;")&gt;0,"Out of Scope","No TC"),IF($Q106&gt;0,"Failed",IF(COUNTIFS('Card Test Cases'!$B$4:$B$1000,$A106,'Card Test Cases'!$A$4:$A$1000,"&lt;&gt;",'Card Test Cases'!$F$4:$F$1000,"Blocked")&gt;0,"Blocked",IF($R106&gt;0,"In Progress","Passed")))))</f>
        <v/>
      </c>
      <c r="O106" s="68" t="str">
        <f>IF(TRIM($A106)="","",COUNTIFS('Card Test Cases'!$B$4:$B$1000,$A106,'Card Test Cases'!$A$4:$A$1000,"&lt;&gt;",'Card Test Cases'!$F$4:$F$1000,"&lt;&gt;Out of Scope"))</f>
        <v/>
      </c>
      <c r="P106" s="68" t="str">
        <f>IF(TRIM($A106)="","",COUNTIFS('Card Test Cases'!$B$4:$B$1000,$A106,'Card Test Cases'!$A$4:$A$1000,"&lt;&gt;",'Card Test Cases'!$F$4:$F$1000,"Passed"))</f>
        <v/>
      </c>
      <c r="Q106" s="68" t="str">
        <f>IF(TRIM($A106)="","",COUNTIFS('Card Test Cases'!$B$4:$B$1000,$A106,'Card Test Cases'!$A$4:$A$1000,"&lt;&gt;",'Card Test Cases'!$F$4:$F$1000,"Failed"))</f>
        <v/>
      </c>
      <c r="R106" s="68" t="str">
        <f t="shared" si="1"/>
        <v/>
      </c>
      <c r="S106" s="68" t="str" cm="1">
        <f t="array" ref="S106">IF(TRIM($A106)="","",IFERROR(_xlfn.TEXTJOIN(", ",TRUE,_xlfn.UNIQUE(_xlfn.VSTACK(_xlfn._xlws.FILTER('Card Test Cases'!$G$4:$G$1000,('Card Test Cases'!$B$4:$B$1000=$A106)*('Card Test Cases'!$G$4:$G$1000&lt;&gt;""),""),_xlfn._xlws.FILTER('E2E core flow'!$U$15:$U$1000,('E2E core flow'!$A$15:$A$1000&lt;&gt;"")*ISNUMBER(SEARCH('E2E core flow'!$A$15:$A$1000,$E106))*('E2E core flow'!$U$15:$U$1000&lt;&gt;""),"")))),"-"))</f>
        <v/>
      </c>
    </row>
    <row r="107" spans="7:19" x14ac:dyDescent="0.3">
      <c r="G107" s="68" t="str" cm="1">
        <f t="array" ref="G107">_xlfn.LET(_xlpm.ids,'E2E core flow'!$A$15:$A$1000,_xlpm.v,'E2E core flow'!$W$15:$W$1000,_xlpm.m,(_xlpm.ids&lt;&gt;"")*ISNUMBER(SEARCH(_xlpm.ids,$E107)),_xlpm.f,SUM(_xlpm.m*(_xlpm.v="Failed")),_xlpm.b,SUM(_xlpm.m*(_xlpm.v="Blocked")),_xlpm.nr,SUM(_xlpm.m*(_xlpm.v="Not Run")),_xlpm.cp,SUM(_xlpm.m*(_xlpm.v="Conditionally Passed")),_xlpm.p,SUM(_xlpm.m*(_xlpm.v="Passed")),IF(TRIM($A107)="","",IF(TRIM($E107)="","Pending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07" s="68" t="str">
        <f>IF(TRIM($A107)="","",IF($J107="Passed","",IF($J107="Passed with Known Issue","Known Issue",IF($J107="",IF(OR($H107&lt;&gt;"No",AND($F107&lt;&gt;"Medium",$F107&lt;&gt;"Low")),"Pending Result",""),IF(OR($H107&lt;&gt;"No",AND($F107&lt;&gt;"Medium",$F107&lt;&gt;"Low")),IF(COUNTIFS(Dashboard!$B$105:$B$124,$A107,Dashboard!$I$105:$I$124,"CAB")&gt;0,"Accepted (CF)","Blocking"),IF($J107="Failed","Deferrable","Carry Over"))))))</f>
        <v/>
      </c>
      <c r="M107" s="68" t="str">
        <f>IF(OR(TRIM($A107)="",TRIM($E107)=""),"",IFERROR(INDEX('E2E core flow'!$B$15:$B$1000,MATCH(1,INDEX(('E2E core flow'!$A$15:$A$1000&lt;&gt;"")*ISNUMBER(SEARCH('E2E core flow'!$A$15:$A$1000,$E107)),0),0))&amp;"","-"))</f>
        <v/>
      </c>
      <c r="N107" s="68" t="str">
        <f>IF(TRIM($A107)="","",IF($O107=0,IF(COUNTIFS('Card Test Cases'!$B$4:$B$1000,$A107,'Card Test Cases'!$A$4:$A$1000,"&lt;&gt;")&gt;0,"Out of Scope","No TC"),IF($Q107&gt;0,"Failed",IF(COUNTIFS('Card Test Cases'!$B$4:$B$1000,$A107,'Card Test Cases'!$A$4:$A$1000,"&lt;&gt;",'Card Test Cases'!$F$4:$F$1000,"Blocked")&gt;0,"Blocked",IF($R107&gt;0,"In Progress","Passed")))))</f>
        <v/>
      </c>
      <c r="O107" s="68" t="str">
        <f>IF(TRIM($A107)="","",COUNTIFS('Card Test Cases'!$B$4:$B$1000,$A107,'Card Test Cases'!$A$4:$A$1000,"&lt;&gt;",'Card Test Cases'!$F$4:$F$1000,"&lt;&gt;Out of Scope"))</f>
        <v/>
      </c>
      <c r="P107" s="68" t="str">
        <f>IF(TRIM($A107)="","",COUNTIFS('Card Test Cases'!$B$4:$B$1000,$A107,'Card Test Cases'!$A$4:$A$1000,"&lt;&gt;",'Card Test Cases'!$F$4:$F$1000,"Passed"))</f>
        <v/>
      </c>
      <c r="Q107" s="68" t="str">
        <f>IF(TRIM($A107)="","",COUNTIFS('Card Test Cases'!$B$4:$B$1000,$A107,'Card Test Cases'!$A$4:$A$1000,"&lt;&gt;",'Card Test Cases'!$F$4:$F$1000,"Failed"))</f>
        <v/>
      </c>
      <c r="R107" s="68" t="str">
        <f t="shared" si="1"/>
        <v/>
      </c>
      <c r="S107" s="68" t="str" cm="1">
        <f t="array" ref="S107">IF(TRIM($A107)="","",IFERROR(_xlfn.TEXTJOIN(", ",TRUE,_xlfn.UNIQUE(_xlfn.VSTACK(_xlfn._xlws.FILTER('Card Test Cases'!$G$4:$G$1000,('Card Test Cases'!$B$4:$B$1000=$A107)*('Card Test Cases'!$G$4:$G$1000&lt;&gt;""),""),_xlfn._xlws.FILTER('E2E core flow'!$U$15:$U$1000,('E2E core flow'!$A$15:$A$1000&lt;&gt;"")*ISNUMBER(SEARCH('E2E core flow'!$A$15:$A$1000,$E107))*('E2E core flow'!$U$15:$U$1000&lt;&gt;""),"")))),"-"))</f>
        <v/>
      </c>
    </row>
    <row r="108" spans="7:19" x14ac:dyDescent="0.3">
      <c r="G108" s="68" t="str" cm="1">
        <f t="array" ref="G108">_xlfn.LET(_xlpm.ids,'E2E core flow'!$A$15:$A$1000,_xlpm.v,'E2E core flow'!$W$15:$W$1000,_xlpm.m,(_xlpm.ids&lt;&gt;"")*ISNUMBER(SEARCH(_xlpm.ids,$E108)),_xlpm.f,SUM(_xlpm.m*(_xlpm.v="Failed")),_xlpm.b,SUM(_xlpm.m*(_xlpm.v="Blocked")),_xlpm.nr,SUM(_xlpm.m*(_xlpm.v="Not Run")),_xlpm.cp,SUM(_xlpm.m*(_xlpm.v="Conditionally Passed")),_xlpm.p,SUM(_xlpm.m*(_xlpm.v="Passed")),IF(TRIM($A108)="","",IF(TRIM($E108)="","Pending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08" s="68" t="str">
        <f>IF(TRIM($A108)="","",IF($J108="Passed","",IF($J108="Passed with Known Issue","Known Issue",IF($J108="",IF(OR($H108&lt;&gt;"No",AND($F108&lt;&gt;"Medium",$F108&lt;&gt;"Low")),"Pending Result",""),IF(OR($H108&lt;&gt;"No",AND($F108&lt;&gt;"Medium",$F108&lt;&gt;"Low")),IF(COUNTIFS(Dashboard!$B$105:$B$124,$A108,Dashboard!$I$105:$I$124,"CAB")&gt;0,"Accepted (CF)","Blocking"),IF($J108="Failed","Deferrable","Carry Over"))))))</f>
        <v/>
      </c>
      <c r="M108" s="68" t="str">
        <f>IF(OR(TRIM($A108)="",TRIM($E108)=""),"",IFERROR(INDEX('E2E core flow'!$B$15:$B$1000,MATCH(1,INDEX(('E2E core flow'!$A$15:$A$1000&lt;&gt;"")*ISNUMBER(SEARCH('E2E core flow'!$A$15:$A$1000,$E108)),0),0))&amp;"","-"))</f>
        <v/>
      </c>
      <c r="N108" s="68" t="str">
        <f>IF(TRIM($A108)="","",IF($O108=0,IF(COUNTIFS('Card Test Cases'!$B$4:$B$1000,$A108,'Card Test Cases'!$A$4:$A$1000,"&lt;&gt;")&gt;0,"Out of Scope","No TC"),IF($Q108&gt;0,"Failed",IF(COUNTIFS('Card Test Cases'!$B$4:$B$1000,$A108,'Card Test Cases'!$A$4:$A$1000,"&lt;&gt;",'Card Test Cases'!$F$4:$F$1000,"Blocked")&gt;0,"Blocked",IF($R108&gt;0,"In Progress","Passed")))))</f>
        <v/>
      </c>
      <c r="O108" s="68" t="str">
        <f>IF(TRIM($A108)="","",COUNTIFS('Card Test Cases'!$B$4:$B$1000,$A108,'Card Test Cases'!$A$4:$A$1000,"&lt;&gt;",'Card Test Cases'!$F$4:$F$1000,"&lt;&gt;Out of Scope"))</f>
        <v/>
      </c>
      <c r="P108" s="68" t="str">
        <f>IF(TRIM($A108)="","",COUNTIFS('Card Test Cases'!$B$4:$B$1000,$A108,'Card Test Cases'!$A$4:$A$1000,"&lt;&gt;",'Card Test Cases'!$F$4:$F$1000,"Passed"))</f>
        <v/>
      </c>
      <c r="Q108" s="68" t="str">
        <f>IF(TRIM($A108)="","",COUNTIFS('Card Test Cases'!$B$4:$B$1000,$A108,'Card Test Cases'!$A$4:$A$1000,"&lt;&gt;",'Card Test Cases'!$F$4:$F$1000,"Failed"))</f>
        <v/>
      </c>
      <c r="R108" s="68" t="str">
        <f t="shared" si="1"/>
        <v/>
      </c>
      <c r="S108" s="68" t="str" cm="1">
        <f t="array" ref="S108">IF(TRIM($A108)="","",IFERROR(_xlfn.TEXTJOIN(", ",TRUE,_xlfn.UNIQUE(_xlfn.VSTACK(_xlfn._xlws.FILTER('Card Test Cases'!$G$4:$G$1000,('Card Test Cases'!$B$4:$B$1000=$A108)*('Card Test Cases'!$G$4:$G$1000&lt;&gt;""),""),_xlfn._xlws.FILTER('E2E core flow'!$U$15:$U$1000,('E2E core flow'!$A$15:$A$1000&lt;&gt;"")*ISNUMBER(SEARCH('E2E core flow'!$A$15:$A$1000,$E108))*('E2E core flow'!$U$15:$U$1000&lt;&gt;""),"")))),"-"))</f>
        <v/>
      </c>
    </row>
    <row r="109" spans="7:19" x14ac:dyDescent="0.3">
      <c r="G109" s="68" t="str" cm="1">
        <f t="array" ref="G109">_xlfn.LET(_xlpm.ids,'E2E core flow'!$A$15:$A$1000,_xlpm.v,'E2E core flow'!$W$15:$W$1000,_xlpm.m,(_xlpm.ids&lt;&gt;"")*ISNUMBER(SEARCH(_xlpm.ids,$E109)),_xlpm.f,SUM(_xlpm.m*(_xlpm.v="Failed")),_xlpm.b,SUM(_xlpm.m*(_xlpm.v="Blocked")),_xlpm.nr,SUM(_xlpm.m*(_xlpm.v="Not Run")),_xlpm.cp,SUM(_xlpm.m*(_xlpm.v="Conditionally Passed")),_xlpm.p,SUM(_xlpm.m*(_xlpm.v="Passed")),IF(TRIM($A109)="","",IF(TRIM($E109)="","Pending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09" s="68" t="str">
        <f>IF(TRIM($A109)="","",IF($J109="Passed","",IF($J109="Passed with Known Issue","Known Issue",IF($J109="",IF(OR($H109&lt;&gt;"No",AND($F109&lt;&gt;"Medium",$F109&lt;&gt;"Low")),"Pending Result",""),IF(OR($H109&lt;&gt;"No",AND($F109&lt;&gt;"Medium",$F109&lt;&gt;"Low")),IF(COUNTIFS(Dashboard!$B$105:$B$124,$A109,Dashboard!$I$105:$I$124,"CAB")&gt;0,"Accepted (CF)","Blocking"),IF($J109="Failed","Deferrable","Carry Over"))))))</f>
        <v/>
      </c>
      <c r="M109" s="68" t="str">
        <f>IF(OR(TRIM($A109)="",TRIM($E109)=""),"",IFERROR(INDEX('E2E core flow'!$B$15:$B$1000,MATCH(1,INDEX(('E2E core flow'!$A$15:$A$1000&lt;&gt;"")*ISNUMBER(SEARCH('E2E core flow'!$A$15:$A$1000,$E109)),0),0))&amp;"","-"))</f>
        <v/>
      </c>
      <c r="N109" s="68" t="str">
        <f>IF(TRIM($A109)="","",IF($O109=0,IF(COUNTIFS('Card Test Cases'!$B$4:$B$1000,$A109,'Card Test Cases'!$A$4:$A$1000,"&lt;&gt;")&gt;0,"Out of Scope","No TC"),IF($Q109&gt;0,"Failed",IF(COUNTIFS('Card Test Cases'!$B$4:$B$1000,$A109,'Card Test Cases'!$A$4:$A$1000,"&lt;&gt;",'Card Test Cases'!$F$4:$F$1000,"Blocked")&gt;0,"Blocked",IF($R109&gt;0,"In Progress","Passed")))))</f>
        <v/>
      </c>
      <c r="O109" s="68" t="str">
        <f>IF(TRIM($A109)="","",COUNTIFS('Card Test Cases'!$B$4:$B$1000,$A109,'Card Test Cases'!$A$4:$A$1000,"&lt;&gt;",'Card Test Cases'!$F$4:$F$1000,"&lt;&gt;Out of Scope"))</f>
        <v/>
      </c>
      <c r="P109" s="68" t="str">
        <f>IF(TRIM($A109)="","",COUNTIFS('Card Test Cases'!$B$4:$B$1000,$A109,'Card Test Cases'!$A$4:$A$1000,"&lt;&gt;",'Card Test Cases'!$F$4:$F$1000,"Passed"))</f>
        <v/>
      </c>
      <c r="Q109" s="68" t="str">
        <f>IF(TRIM($A109)="","",COUNTIFS('Card Test Cases'!$B$4:$B$1000,$A109,'Card Test Cases'!$A$4:$A$1000,"&lt;&gt;",'Card Test Cases'!$F$4:$F$1000,"Failed"))</f>
        <v/>
      </c>
      <c r="R109" s="68" t="str">
        <f t="shared" si="1"/>
        <v/>
      </c>
      <c r="S109" s="68" t="str" cm="1">
        <f t="array" ref="S109">IF(TRIM($A109)="","",IFERROR(_xlfn.TEXTJOIN(", ",TRUE,_xlfn.UNIQUE(_xlfn.VSTACK(_xlfn._xlws.FILTER('Card Test Cases'!$G$4:$G$1000,('Card Test Cases'!$B$4:$B$1000=$A109)*('Card Test Cases'!$G$4:$G$1000&lt;&gt;""),""),_xlfn._xlws.FILTER('E2E core flow'!$U$15:$U$1000,('E2E core flow'!$A$15:$A$1000&lt;&gt;"")*ISNUMBER(SEARCH('E2E core flow'!$A$15:$A$1000,$E109))*('E2E core flow'!$U$15:$U$1000&lt;&gt;""),"")))),"-"))</f>
        <v/>
      </c>
    </row>
    <row r="110" spans="7:19" x14ac:dyDescent="0.3">
      <c r="G110" s="68" t="str" cm="1">
        <f t="array" ref="G110">_xlfn.LET(_xlpm.ids,'E2E core flow'!$A$15:$A$1000,_xlpm.v,'E2E core flow'!$W$15:$W$1000,_xlpm.m,(_xlpm.ids&lt;&gt;"")*ISNUMBER(SEARCH(_xlpm.ids,$E110)),_xlpm.f,SUM(_xlpm.m*(_xlpm.v="Failed")),_xlpm.b,SUM(_xlpm.m*(_xlpm.v="Blocked")),_xlpm.nr,SUM(_xlpm.m*(_xlpm.v="Not Run")),_xlpm.cp,SUM(_xlpm.m*(_xlpm.v="Conditionally Passed")),_xlpm.p,SUM(_xlpm.m*(_xlpm.v="Passed")),IF(TRIM($A110)="","",IF(TRIM($E110)="","Pending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10" s="68" t="str">
        <f>IF(TRIM($A110)="","",IF($J110="Passed","",IF($J110="Passed with Known Issue","Known Issue",IF($J110="",IF(OR($H110&lt;&gt;"No",AND($F110&lt;&gt;"Medium",$F110&lt;&gt;"Low")),"Pending Result",""),IF(OR($H110&lt;&gt;"No",AND($F110&lt;&gt;"Medium",$F110&lt;&gt;"Low")),IF(COUNTIFS(Dashboard!$B$105:$B$124,$A110,Dashboard!$I$105:$I$124,"CAB")&gt;0,"Accepted (CF)","Blocking"),IF($J110="Failed","Deferrable","Carry Over"))))))</f>
        <v/>
      </c>
      <c r="M110" s="68" t="str">
        <f>IF(OR(TRIM($A110)="",TRIM($E110)=""),"",IFERROR(INDEX('E2E core flow'!$B$15:$B$1000,MATCH(1,INDEX(('E2E core flow'!$A$15:$A$1000&lt;&gt;"")*ISNUMBER(SEARCH('E2E core flow'!$A$15:$A$1000,$E110)),0),0))&amp;"","-"))</f>
        <v/>
      </c>
      <c r="N110" s="68" t="str">
        <f>IF(TRIM($A110)="","",IF($O110=0,IF(COUNTIFS('Card Test Cases'!$B$4:$B$1000,$A110,'Card Test Cases'!$A$4:$A$1000,"&lt;&gt;")&gt;0,"Out of Scope","No TC"),IF($Q110&gt;0,"Failed",IF(COUNTIFS('Card Test Cases'!$B$4:$B$1000,$A110,'Card Test Cases'!$A$4:$A$1000,"&lt;&gt;",'Card Test Cases'!$F$4:$F$1000,"Blocked")&gt;0,"Blocked",IF($R110&gt;0,"In Progress","Passed")))))</f>
        <v/>
      </c>
      <c r="O110" s="68" t="str">
        <f>IF(TRIM($A110)="","",COUNTIFS('Card Test Cases'!$B$4:$B$1000,$A110,'Card Test Cases'!$A$4:$A$1000,"&lt;&gt;",'Card Test Cases'!$F$4:$F$1000,"&lt;&gt;Out of Scope"))</f>
        <v/>
      </c>
      <c r="P110" s="68" t="str">
        <f>IF(TRIM($A110)="","",COUNTIFS('Card Test Cases'!$B$4:$B$1000,$A110,'Card Test Cases'!$A$4:$A$1000,"&lt;&gt;",'Card Test Cases'!$F$4:$F$1000,"Passed"))</f>
        <v/>
      </c>
      <c r="Q110" s="68" t="str">
        <f>IF(TRIM($A110)="","",COUNTIFS('Card Test Cases'!$B$4:$B$1000,$A110,'Card Test Cases'!$A$4:$A$1000,"&lt;&gt;",'Card Test Cases'!$F$4:$F$1000,"Failed"))</f>
        <v/>
      </c>
      <c r="R110" s="68" t="str">
        <f t="shared" si="1"/>
        <v/>
      </c>
      <c r="S110" s="68" t="str" cm="1">
        <f t="array" ref="S110">IF(TRIM($A110)="","",IFERROR(_xlfn.TEXTJOIN(", ",TRUE,_xlfn.UNIQUE(_xlfn.VSTACK(_xlfn._xlws.FILTER('Card Test Cases'!$G$4:$G$1000,('Card Test Cases'!$B$4:$B$1000=$A110)*('Card Test Cases'!$G$4:$G$1000&lt;&gt;""),""),_xlfn._xlws.FILTER('E2E core flow'!$U$15:$U$1000,('E2E core flow'!$A$15:$A$1000&lt;&gt;"")*ISNUMBER(SEARCH('E2E core flow'!$A$15:$A$1000,$E110))*('E2E core flow'!$U$15:$U$1000&lt;&gt;""),"")))),"-"))</f>
        <v/>
      </c>
    </row>
    <row r="111" spans="7:19" x14ac:dyDescent="0.3">
      <c r="G111" s="68" t="str" cm="1">
        <f t="array" ref="G111">_xlfn.LET(_xlpm.ids,'E2E core flow'!$A$15:$A$1000,_xlpm.v,'E2E core flow'!$W$15:$W$1000,_xlpm.m,(_xlpm.ids&lt;&gt;"")*ISNUMBER(SEARCH(_xlpm.ids,$E111)),_xlpm.f,SUM(_xlpm.m*(_xlpm.v="Failed")),_xlpm.b,SUM(_xlpm.m*(_xlpm.v="Blocked")),_xlpm.nr,SUM(_xlpm.m*(_xlpm.v="Not Run")),_xlpm.cp,SUM(_xlpm.m*(_xlpm.v="Conditionally Passed")),_xlpm.p,SUM(_xlpm.m*(_xlpm.v="Passed")),IF(TRIM($A111)="","",IF(TRIM($E111)="","Pending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11" s="68" t="str">
        <f>IF(TRIM($A111)="","",IF($J111="Passed","",IF($J111="Passed with Known Issue","Known Issue",IF($J111="",IF(OR($H111&lt;&gt;"No",AND($F111&lt;&gt;"Medium",$F111&lt;&gt;"Low")),"Pending Result",""),IF(OR($H111&lt;&gt;"No",AND($F111&lt;&gt;"Medium",$F111&lt;&gt;"Low")),IF(COUNTIFS(Dashboard!$B$105:$B$124,$A111,Dashboard!$I$105:$I$124,"CAB")&gt;0,"Accepted (CF)","Blocking"),IF($J111="Failed","Deferrable","Carry Over"))))))</f>
        <v/>
      </c>
      <c r="M111" s="68" t="str">
        <f>IF(OR(TRIM($A111)="",TRIM($E111)=""),"",IFERROR(INDEX('E2E core flow'!$B$15:$B$1000,MATCH(1,INDEX(('E2E core flow'!$A$15:$A$1000&lt;&gt;"")*ISNUMBER(SEARCH('E2E core flow'!$A$15:$A$1000,$E111)),0),0))&amp;"","-"))</f>
        <v/>
      </c>
      <c r="N111" s="68" t="str">
        <f>IF(TRIM($A111)="","",IF($O111=0,IF(COUNTIFS('Card Test Cases'!$B$4:$B$1000,$A111,'Card Test Cases'!$A$4:$A$1000,"&lt;&gt;")&gt;0,"Out of Scope","No TC"),IF($Q111&gt;0,"Failed",IF(COUNTIFS('Card Test Cases'!$B$4:$B$1000,$A111,'Card Test Cases'!$A$4:$A$1000,"&lt;&gt;",'Card Test Cases'!$F$4:$F$1000,"Blocked")&gt;0,"Blocked",IF($R111&gt;0,"In Progress","Passed")))))</f>
        <v/>
      </c>
      <c r="O111" s="68" t="str">
        <f>IF(TRIM($A111)="","",COUNTIFS('Card Test Cases'!$B$4:$B$1000,$A111,'Card Test Cases'!$A$4:$A$1000,"&lt;&gt;",'Card Test Cases'!$F$4:$F$1000,"&lt;&gt;Out of Scope"))</f>
        <v/>
      </c>
      <c r="P111" s="68" t="str">
        <f>IF(TRIM($A111)="","",COUNTIFS('Card Test Cases'!$B$4:$B$1000,$A111,'Card Test Cases'!$A$4:$A$1000,"&lt;&gt;",'Card Test Cases'!$F$4:$F$1000,"Passed"))</f>
        <v/>
      </c>
      <c r="Q111" s="68" t="str">
        <f>IF(TRIM($A111)="","",COUNTIFS('Card Test Cases'!$B$4:$B$1000,$A111,'Card Test Cases'!$A$4:$A$1000,"&lt;&gt;",'Card Test Cases'!$F$4:$F$1000,"Failed"))</f>
        <v/>
      </c>
      <c r="R111" s="68" t="str">
        <f t="shared" si="1"/>
        <v/>
      </c>
      <c r="S111" s="68" t="str" cm="1">
        <f t="array" ref="S111">IF(TRIM($A111)="","",IFERROR(_xlfn.TEXTJOIN(", ",TRUE,_xlfn.UNIQUE(_xlfn.VSTACK(_xlfn._xlws.FILTER('Card Test Cases'!$G$4:$G$1000,('Card Test Cases'!$B$4:$B$1000=$A111)*('Card Test Cases'!$G$4:$G$1000&lt;&gt;""),""),_xlfn._xlws.FILTER('E2E core flow'!$U$15:$U$1000,('E2E core flow'!$A$15:$A$1000&lt;&gt;"")*ISNUMBER(SEARCH('E2E core flow'!$A$15:$A$1000,$E111))*('E2E core flow'!$U$15:$U$1000&lt;&gt;""),"")))),"-"))</f>
        <v/>
      </c>
    </row>
    <row r="112" spans="7:19" x14ac:dyDescent="0.3">
      <c r="G112" s="68" t="str" cm="1">
        <f t="array" ref="G112">_xlfn.LET(_xlpm.ids,'E2E core flow'!$A$15:$A$1000,_xlpm.v,'E2E core flow'!$W$15:$W$1000,_xlpm.m,(_xlpm.ids&lt;&gt;"")*ISNUMBER(SEARCH(_xlpm.ids,$E112)),_xlpm.f,SUM(_xlpm.m*(_xlpm.v="Failed")),_xlpm.b,SUM(_xlpm.m*(_xlpm.v="Blocked")),_xlpm.nr,SUM(_xlpm.m*(_xlpm.v="Not Run")),_xlpm.cp,SUM(_xlpm.m*(_xlpm.v="Conditionally Passed")),_xlpm.p,SUM(_xlpm.m*(_xlpm.v="Passed")),IF(TRIM($A112)="","",IF(TRIM($E112)="","Pending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12" s="68" t="str">
        <f>IF(TRIM($A112)="","",IF($J112="Passed","",IF($J112="Passed with Known Issue","Known Issue",IF($J112="",IF(OR($H112&lt;&gt;"No",AND($F112&lt;&gt;"Medium",$F112&lt;&gt;"Low")),"Pending Result",""),IF(OR($H112&lt;&gt;"No",AND($F112&lt;&gt;"Medium",$F112&lt;&gt;"Low")),IF(COUNTIFS(Dashboard!$B$105:$B$124,$A112,Dashboard!$I$105:$I$124,"CAB")&gt;0,"Accepted (CF)","Blocking"),IF($J112="Failed","Deferrable","Carry Over"))))))</f>
        <v/>
      </c>
      <c r="M112" s="68" t="str">
        <f>IF(OR(TRIM($A112)="",TRIM($E112)=""),"",IFERROR(INDEX('E2E core flow'!$B$15:$B$1000,MATCH(1,INDEX(('E2E core flow'!$A$15:$A$1000&lt;&gt;"")*ISNUMBER(SEARCH('E2E core flow'!$A$15:$A$1000,$E112)),0),0))&amp;"","-"))</f>
        <v/>
      </c>
      <c r="N112" s="68" t="str">
        <f>IF(TRIM($A112)="","",IF($O112=0,IF(COUNTIFS('Card Test Cases'!$B$4:$B$1000,$A112,'Card Test Cases'!$A$4:$A$1000,"&lt;&gt;")&gt;0,"Out of Scope","No TC"),IF($Q112&gt;0,"Failed",IF(COUNTIFS('Card Test Cases'!$B$4:$B$1000,$A112,'Card Test Cases'!$A$4:$A$1000,"&lt;&gt;",'Card Test Cases'!$F$4:$F$1000,"Blocked")&gt;0,"Blocked",IF($R112&gt;0,"In Progress","Passed")))))</f>
        <v/>
      </c>
      <c r="O112" s="68" t="str">
        <f>IF(TRIM($A112)="","",COUNTIFS('Card Test Cases'!$B$4:$B$1000,$A112,'Card Test Cases'!$A$4:$A$1000,"&lt;&gt;",'Card Test Cases'!$F$4:$F$1000,"&lt;&gt;Out of Scope"))</f>
        <v/>
      </c>
      <c r="P112" s="68" t="str">
        <f>IF(TRIM($A112)="","",COUNTIFS('Card Test Cases'!$B$4:$B$1000,$A112,'Card Test Cases'!$A$4:$A$1000,"&lt;&gt;",'Card Test Cases'!$F$4:$F$1000,"Passed"))</f>
        <v/>
      </c>
      <c r="Q112" s="68" t="str">
        <f>IF(TRIM($A112)="","",COUNTIFS('Card Test Cases'!$B$4:$B$1000,$A112,'Card Test Cases'!$A$4:$A$1000,"&lt;&gt;",'Card Test Cases'!$F$4:$F$1000,"Failed"))</f>
        <v/>
      </c>
      <c r="R112" s="68" t="str">
        <f t="shared" si="1"/>
        <v/>
      </c>
      <c r="S112" s="68" t="str" cm="1">
        <f t="array" ref="S112">IF(TRIM($A112)="","",IFERROR(_xlfn.TEXTJOIN(", ",TRUE,_xlfn.UNIQUE(_xlfn.VSTACK(_xlfn._xlws.FILTER('Card Test Cases'!$G$4:$G$1000,('Card Test Cases'!$B$4:$B$1000=$A112)*('Card Test Cases'!$G$4:$G$1000&lt;&gt;""),""),_xlfn._xlws.FILTER('E2E core flow'!$U$15:$U$1000,('E2E core flow'!$A$15:$A$1000&lt;&gt;"")*ISNUMBER(SEARCH('E2E core flow'!$A$15:$A$1000,$E112))*('E2E core flow'!$U$15:$U$1000&lt;&gt;""),"")))),"-"))</f>
        <v/>
      </c>
    </row>
    <row r="113" spans="7:19" x14ac:dyDescent="0.3">
      <c r="G113" s="68" t="str" cm="1">
        <f t="array" ref="G113">_xlfn.LET(_xlpm.ids,'E2E core flow'!$A$15:$A$1000,_xlpm.v,'E2E core flow'!$W$15:$W$1000,_xlpm.m,(_xlpm.ids&lt;&gt;"")*ISNUMBER(SEARCH(_xlpm.ids,$E113)),_xlpm.f,SUM(_xlpm.m*(_xlpm.v="Failed")),_xlpm.b,SUM(_xlpm.m*(_xlpm.v="Blocked")),_xlpm.nr,SUM(_xlpm.m*(_xlpm.v="Not Run")),_xlpm.cp,SUM(_xlpm.m*(_xlpm.v="Conditionally Passed")),_xlpm.p,SUM(_xlpm.m*(_xlpm.v="Passed")),IF(TRIM($A113)="","",IF(TRIM($E113)="","Pending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13" s="68" t="str">
        <f>IF(TRIM($A113)="","",IF($J113="Passed","",IF($J113="Passed with Known Issue","Known Issue",IF($J113="",IF(OR($H113&lt;&gt;"No",AND($F113&lt;&gt;"Medium",$F113&lt;&gt;"Low")),"Pending Result",""),IF(OR($H113&lt;&gt;"No",AND($F113&lt;&gt;"Medium",$F113&lt;&gt;"Low")),IF(COUNTIFS(Dashboard!$B$105:$B$124,$A113,Dashboard!$I$105:$I$124,"CAB")&gt;0,"Accepted (CF)","Blocking"),IF($J113="Failed","Deferrable","Carry Over"))))))</f>
        <v/>
      </c>
      <c r="M113" s="68" t="str">
        <f>IF(OR(TRIM($A113)="",TRIM($E113)=""),"",IFERROR(INDEX('E2E core flow'!$B$15:$B$1000,MATCH(1,INDEX(('E2E core flow'!$A$15:$A$1000&lt;&gt;"")*ISNUMBER(SEARCH('E2E core flow'!$A$15:$A$1000,$E113)),0),0))&amp;"","-"))</f>
        <v/>
      </c>
      <c r="N113" s="68" t="str">
        <f>IF(TRIM($A113)="","",IF($O113=0,IF(COUNTIFS('Card Test Cases'!$B$4:$B$1000,$A113,'Card Test Cases'!$A$4:$A$1000,"&lt;&gt;")&gt;0,"Out of Scope","No TC"),IF($Q113&gt;0,"Failed",IF(COUNTIFS('Card Test Cases'!$B$4:$B$1000,$A113,'Card Test Cases'!$A$4:$A$1000,"&lt;&gt;",'Card Test Cases'!$F$4:$F$1000,"Blocked")&gt;0,"Blocked",IF($R113&gt;0,"In Progress","Passed")))))</f>
        <v/>
      </c>
      <c r="O113" s="68" t="str">
        <f>IF(TRIM($A113)="","",COUNTIFS('Card Test Cases'!$B$4:$B$1000,$A113,'Card Test Cases'!$A$4:$A$1000,"&lt;&gt;",'Card Test Cases'!$F$4:$F$1000,"&lt;&gt;Out of Scope"))</f>
        <v/>
      </c>
      <c r="P113" s="68" t="str">
        <f>IF(TRIM($A113)="","",COUNTIFS('Card Test Cases'!$B$4:$B$1000,$A113,'Card Test Cases'!$A$4:$A$1000,"&lt;&gt;",'Card Test Cases'!$F$4:$F$1000,"Passed"))</f>
        <v/>
      </c>
      <c r="Q113" s="68" t="str">
        <f>IF(TRIM($A113)="","",COUNTIFS('Card Test Cases'!$B$4:$B$1000,$A113,'Card Test Cases'!$A$4:$A$1000,"&lt;&gt;",'Card Test Cases'!$F$4:$F$1000,"Failed"))</f>
        <v/>
      </c>
      <c r="R113" s="68" t="str">
        <f t="shared" si="1"/>
        <v/>
      </c>
      <c r="S113" s="68" t="str" cm="1">
        <f t="array" ref="S113">IF(TRIM($A113)="","",IFERROR(_xlfn.TEXTJOIN(", ",TRUE,_xlfn.UNIQUE(_xlfn.VSTACK(_xlfn._xlws.FILTER('Card Test Cases'!$G$4:$G$1000,('Card Test Cases'!$B$4:$B$1000=$A113)*('Card Test Cases'!$G$4:$G$1000&lt;&gt;""),""),_xlfn._xlws.FILTER('E2E core flow'!$U$15:$U$1000,('E2E core flow'!$A$15:$A$1000&lt;&gt;"")*ISNUMBER(SEARCH('E2E core flow'!$A$15:$A$1000,$E113))*('E2E core flow'!$U$15:$U$1000&lt;&gt;""),"")))),"-"))</f>
        <v/>
      </c>
    </row>
    <row r="114" spans="7:19" x14ac:dyDescent="0.3">
      <c r="G114" s="68" t="str" cm="1">
        <f t="array" ref="G114">_xlfn.LET(_xlpm.ids,'E2E core flow'!$A$15:$A$1000,_xlpm.v,'E2E core flow'!$W$15:$W$1000,_xlpm.m,(_xlpm.ids&lt;&gt;"")*ISNUMBER(SEARCH(_xlpm.ids,$E114)),_xlpm.f,SUM(_xlpm.m*(_xlpm.v="Failed")),_xlpm.b,SUM(_xlpm.m*(_xlpm.v="Blocked")),_xlpm.nr,SUM(_xlpm.m*(_xlpm.v="Not Run")),_xlpm.cp,SUM(_xlpm.m*(_xlpm.v="Conditionally Passed")),_xlpm.p,SUM(_xlpm.m*(_xlpm.v="Passed")),IF(TRIM($A114)="","",IF(TRIM($E114)="","Pending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14" s="68" t="str">
        <f>IF(TRIM($A114)="","",IF($J114="Passed","",IF($J114="Passed with Known Issue","Known Issue",IF($J114="",IF(OR($H114&lt;&gt;"No",AND($F114&lt;&gt;"Medium",$F114&lt;&gt;"Low")),"Pending Result",""),IF(OR($H114&lt;&gt;"No",AND($F114&lt;&gt;"Medium",$F114&lt;&gt;"Low")),IF(COUNTIFS(Dashboard!$B$105:$B$124,$A114,Dashboard!$I$105:$I$124,"CAB")&gt;0,"Accepted (CF)","Blocking"),IF($J114="Failed","Deferrable","Carry Over"))))))</f>
        <v/>
      </c>
      <c r="M114" s="68" t="str">
        <f>IF(OR(TRIM($A114)="",TRIM($E114)=""),"",IFERROR(INDEX('E2E core flow'!$B$15:$B$1000,MATCH(1,INDEX(('E2E core flow'!$A$15:$A$1000&lt;&gt;"")*ISNUMBER(SEARCH('E2E core flow'!$A$15:$A$1000,$E114)),0),0))&amp;"","-"))</f>
        <v/>
      </c>
      <c r="N114" s="68" t="str">
        <f>IF(TRIM($A114)="","",IF($O114=0,IF(COUNTIFS('Card Test Cases'!$B$4:$B$1000,$A114,'Card Test Cases'!$A$4:$A$1000,"&lt;&gt;")&gt;0,"Out of Scope","No TC"),IF($Q114&gt;0,"Failed",IF(COUNTIFS('Card Test Cases'!$B$4:$B$1000,$A114,'Card Test Cases'!$A$4:$A$1000,"&lt;&gt;",'Card Test Cases'!$F$4:$F$1000,"Blocked")&gt;0,"Blocked",IF($R114&gt;0,"In Progress","Passed")))))</f>
        <v/>
      </c>
      <c r="O114" s="68" t="str">
        <f>IF(TRIM($A114)="","",COUNTIFS('Card Test Cases'!$B$4:$B$1000,$A114,'Card Test Cases'!$A$4:$A$1000,"&lt;&gt;",'Card Test Cases'!$F$4:$F$1000,"&lt;&gt;Out of Scope"))</f>
        <v/>
      </c>
      <c r="P114" s="68" t="str">
        <f>IF(TRIM($A114)="","",COUNTIFS('Card Test Cases'!$B$4:$B$1000,$A114,'Card Test Cases'!$A$4:$A$1000,"&lt;&gt;",'Card Test Cases'!$F$4:$F$1000,"Passed"))</f>
        <v/>
      </c>
      <c r="Q114" s="68" t="str">
        <f>IF(TRIM($A114)="","",COUNTIFS('Card Test Cases'!$B$4:$B$1000,$A114,'Card Test Cases'!$A$4:$A$1000,"&lt;&gt;",'Card Test Cases'!$F$4:$F$1000,"Failed"))</f>
        <v/>
      </c>
      <c r="R114" s="68" t="str">
        <f t="shared" si="1"/>
        <v/>
      </c>
      <c r="S114" s="68" t="str" cm="1">
        <f t="array" ref="S114">IF(TRIM($A114)="","",IFERROR(_xlfn.TEXTJOIN(", ",TRUE,_xlfn.UNIQUE(_xlfn.VSTACK(_xlfn._xlws.FILTER('Card Test Cases'!$G$4:$G$1000,('Card Test Cases'!$B$4:$B$1000=$A114)*('Card Test Cases'!$G$4:$G$1000&lt;&gt;""),""),_xlfn._xlws.FILTER('E2E core flow'!$U$15:$U$1000,('E2E core flow'!$A$15:$A$1000&lt;&gt;"")*ISNUMBER(SEARCH('E2E core flow'!$A$15:$A$1000,$E114))*('E2E core flow'!$U$15:$U$1000&lt;&gt;""),"")))),"-"))</f>
        <v/>
      </c>
    </row>
    <row r="115" spans="7:19" x14ac:dyDescent="0.3">
      <c r="G115" s="68" t="str" cm="1">
        <f t="array" ref="G115">_xlfn.LET(_xlpm.ids,'E2E core flow'!$A$15:$A$1000,_xlpm.v,'E2E core flow'!$W$15:$W$1000,_xlpm.m,(_xlpm.ids&lt;&gt;"")*ISNUMBER(SEARCH(_xlpm.ids,$E115)),_xlpm.f,SUM(_xlpm.m*(_xlpm.v="Failed")),_xlpm.b,SUM(_xlpm.m*(_xlpm.v="Blocked")),_xlpm.nr,SUM(_xlpm.m*(_xlpm.v="Not Run")),_xlpm.cp,SUM(_xlpm.m*(_xlpm.v="Conditionally Passed")),_xlpm.p,SUM(_xlpm.m*(_xlpm.v="Passed")),IF(TRIM($A115)="","",IF(TRIM($E115)="","Pending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15" s="68" t="str">
        <f>IF(TRIM($A115)="","",IF($J115="Passed","",IF($J115="Passed with Known Issue","Known Issue",IF($J115="",IF(OR($H115&lt;&gt;"No",AND($F115&lt;&gt;"Medium",$F115&lt;&gt;"Low")),"Pending Result",""),IF(OR($H115&lt;&gt;"No",AND($F115&lt;&gt;"Medium",$F115&lt;&gt;"Low")),IF(COUNTIFS(Dashboard!$B$105:$B$124,$A115,Dashboard!$I$105:$I$124,"CAB")&gt;0,"Accepted (CF)","Blocking"),IF($J115="Failed","Deferrable","Carry Over"))))))</f>
        <v/>
      </c>
      <c r="M115" s="68" t="str">
        <f>IF(OR(TRIM($A115)="",TRIM($E115)=""),"",IFERROR(INDEX('E2E core flow'!$B$15:$B$1000,MATCH(1,INDEX(('E2E core flow'!$A$15:$A$1000&lt;&gt;"")*ISNUMBER(SEARCH('E2E core flow'!$A$15:$A$1000,$E115)),0),0))&amp;"","-"))</f>
        <v/>
      </c>
      <c r="N115" s="68" t="str">
        <f>IF(TRIM($A115)="","",IF($O115=0,IF(COUNTIFS('Card Test Cases'!$B$4:$B$1000,$A115,'Card Test Cases'!$A$4:$A$1000,"&lt;&gt;")&gt;0,"Out of Scope","No TC"),IF($Q115&gt;0,"Failed",IF(COUNTIFS('Card Test Cases'!$B$4:$B$1000,$A115,'Card Test Cases'!$A$4:$A$1000,"&lt;&gt;",'Card Test Cases'!$F$4:$F$1000,"Blocked")&gt;0,"Blocked",IF($R115&gt;0,"In Progress","Passed")))))</f>
        <v/>
      </c>
      <c r="O115" s="68" t="str">
        <f>IF(TRIM($A115)="","",COUNTIFS('Card Test Cases'!$B$4:$B$1000,$A115,'Card Test Cases'!$A$4:$A$1000,"&lt;&gt;",'Card Test Cases'!$F$4:$F$1000,"&lt;&gt;Out of Scope"))</f>
        <v/>
      </c>
      <c r="P115" s="68" t="str">
        <f>IF(TRIM($A115)="","",COUNTIFS('Card Test Cases'!$B$4:$B$1000,$A115,'Card Test Cases'!$A$4:$A$1000,"&lt;&gt;",'Card Test Cases'!$F$4:$F$1000,"Passed"))</f>
        <v/>
      </c>
      <c r="Q115" s="68" t="str">
        <f>IF(TRIM($A115)="","",COUNTIFS('Card Test Cases'!$B$4:$B$1000,$A115,'Card Test Cases'!$A$4:$A$1000,"&lt;&gt;",'Card Test Cases'!$F$4:$F$1000,"Failed"))</f>
        <v/>
      </c>
      <c r="R115" s="68" t="str">
        <f t="shared" si="1"/>
        <v/>
      </c>
      <c r="S115" s="68" t="str" cm="1">
        <f t="array" ref="S115">IF(TRIM($A115)="","",IFERROR(_xlfn.TEXTJOIN(", ",TRUE,_xlfn.UNIQUE(_xlfn.VSTACK(_xlfn._xlws.FILTER('Card Test Cases'!$G$4:$G$1000,('Card Test Cases'!$B$4:$B$1000=$A115)*('Card Test Cases'!$G$4:$G$1000&lt;&gt;""),""),_xlfn._xlws.FILTER('E2E core flow'!$U$15:$U$1000,('E2E core flow'!$A$15:$A$1000&lt;&gt;"")*ISNUMBER(SEARCH('E2E core flow'!$A$15:$A$1000,$E115))*('E2E core flow'!$U$15:$U$1000&lt;&gt;""),"")))),"-"))</f>
        <v/>
      </c>
    </row>
    <row r="116" spans="7:19" x14ac:dyDescent="0.3">
      <c r="G116" s="68" t="str" cm="1">
        <f t="array" ref="G116">_xlfn.LET(_xlpm.ids,'E2E core flow'!$A$15:$A$1000,_xlpm.v,'E2E core flow'!$W$15:$W$1000,_xlpm.m,(_xlpm.ids&lt;&gt;"")*ISNUMBER(SEARCH(_xlpm.ids,$E116)),_xlpm.f,SUM(_xlpm.m*(_xlpm.v="Failed")),_xlpm.b,SUM(_xlpm.m*(_xlpm.v="Blocked")),_xlpm.nr,SUM(_xlpm.m*(_xlpm.v="Not Run")),_xlpm.cp,SUM(_xlpm.m*(_xlpm.v="Conditionally Passed")),_xlpm.p,SUM(_xlpm.m*(_xlpm.v="Passed")),IF(TRIM($A116)="","",IF(TRIM($E116)="","Pending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16" s="68" t="str">
        <f>IF(TRIM($A116)="","",IF($J116="Passed","",IF($J116="Passed with Known Issue","Known Issue",IF($J116="",IF(OR($H116&lt;&gt;"No",AND($F116&lt;&gt;"Medium",$F116&lt;&gt;"Low")),"Pending Result",""),IF(OR($H116&lt;&gt;"No",AND($F116&lt;&gt;"Medium",$F116&lt;&gt;"Low")),IF(COUNTIFS(Dashboard!$B$105:$B$124,$A116,Dashboard!$I$105:$I$124,"CAB")&gt;0,"Accepted (CF)","Blocking"),IF($J116="Failed","Deferrable","Carry Over"))))))</f>
        <v/>
      </c>
      <c r="M116" s="68" t="str">
        <f>IF(OR(TRIM($A116)="",TRIM($E116)=""),"",IFERROR(INDEX('E2E core flow'!$B$15:$B$1000,MATCH(1,INDEX(('E2E core flow'!$A$15:$A$1000&lt;&gt;"")*ISNUMBER(SEARCH('E2E core flow'!$A$15:$A$1000,$E116)),0),0))&amp;"","-"))</f>
        <v/>
      </c>
      <c r="N116" s="68" t="str">
        <f>IF(TRIM($A116)="","",IF($O116=0,IF(COUNTIFS('Card Test Cases'!$B$4:$B$1000,$A116,'Card Test Cases'!$A$4:$A$1000,"&lt;&gt;")&gt;0,"Out of Scope","No TC"),IF($Q116&gt;0,"Failed",IF(COUNTIFS('Card Test Cases'!$B$4:$B$1000,$A116,'Card Test Cases'!$A$4:$A$1000,"&lt;&gt;",'Card Test Cases'!$F$4:$F$1000,"Blocked")&gt;0,"Blocked",IF($R116&gt;0,"In Progress","Passed")))))</f>
        <v/>
      </c>
      <c r="O116" s="68" t="str">
        <f>IF(TRIM($A116)="","",COUNTIFS('Card Test Cases'!$B$4:$B$1000,$A116,'Card Test Cases'!$A$4:$A$1000,"&lt;&gt;",'Card Test Cases'!$F$4:$F$1000,"&lt;&gt;Out of Scope"))</f>
        <v/>
      </c>
      <c r="P116" s="68" t="str">
        <f>IF(TRIM($A116)="","",COUNTIFS('Card Test Cases'!$B$4:$B$1000,$A116,'Card Test Cases'!$A$4:$A$1000,"&lt;&gt;",'Card Test Cases'!$F$4:$F$1000,"Passed"))</f>
        <v/>
      </c>
      <c r="Q116" s="68" t="str">
        <f>IF(TRIM($A116)="","",COUNTIFS('Card Test Cases'!$B$4:$B$1000,$A116,'Card Test Cases'!$A$4:$A$1000,"&lt;&gt;",'Card Test Cases'!$F$4:$F$1000,"Failed"))</f>
        <v/>
      </c>
      <c r="R116" s="68" t="str">
        <f t="shared" si="1"/>
        <v/>
      </c>
      <c r="S116" s="68" t="str" cm="1">
        <f t="array" ref="S116">IF(TRIM($A116)="","",IFERROR(_xlfn.TEXTJOIN(", ",TRUE,_xlfn.UNIQUE(_xlfn.VSTACK(_xlfn._xlws.FILTER('Card Test Cases'!$G$4:$G$1000,('Card Test Cases'!$B$4:$B$1000=$A116)*('Card Test Cases'!$G$4:$G$1000&lt;&gt;""),""),_xlfn._xlws.FILTER('E2E core flow'!$U$15:$U$1000,('E2E core flow'!$A$15:$A$1000&lt;&gt;"")*ISNUMBER(SEARCH('E2E core flow'!$A$15:$A$1000,$E116))*('E2E core flow'!$U$15:$U$1000&lt;&gt;""),"")))),"-"))</f>
        <v/>
      </c>
    </row>
    <row r="117" spans="7:19" x14ac:dyDescent="0.3">
      <c r="G117" s="68" t="str" cm="1">
        <f t="array" ref="G117">_xlfn.LET(_xlpm.ids,'E2E core flow'!$A$15:$A$1000,_xlpm.v,'E2E core flow'!$W$15:$W$1000,_xlpm.m,(_xlpm.ids&lt;&gt;"")*ISNUMBER(SEARCH(_xlpm.ids,$E117)),_xlpm.f,SUM(_xlpm.m*(_xlpm.v="Failed")),_xlpm.b,SUM(_xlpm.m*(_xlpm.v="Blocked")),_xlpm.nr,SUM(_xlpm.m*(_xlpm.v="Not Run")),_xlpm.cp,SUM(_xlpm.m*(_xlpm.v="Conditionally Passed")),_xlpm.p,SUM(_xlpm.m*(_xlpm.v="Passed")),IF(TRIM($A117)="","",IF(TRIM($E117)="","Pending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17" s="68" t="str">
        <f>IF(TRIM($A117)="","",IF($J117="Passed","",IF($J117="Passed with Known Issue","Known Issue",IF($J117="",IF(OR($H117&lt;&gt;"No",AND($F117&lt;&gt;"Medium",$F117&lt;&gt;"Low")),"Pending Result",""),IF(OR($H117&lt;&gt;"No",AND($F117&lt;&gt;"Medium",$F117&lt;&gt;"Low")),IF(COUNTIFS(Dashboard!$B$105:$B$124,$A117,Dashboard!$I$105:$I$124,"CAB")&gt;0,"Accepted (CF)","Blocking"),IF($J117="Failed","Deferrable","Carry Over"))))))</f>
        <v/>
      </c>
      <c r="M117" s="68" t="str">
        <f>IF(OR(TRIM($A117)="",TRIM($E117)=""),"",IFERROR(INDEX('E2E core flow'!$B$15:$B$1000,MATCH(1,INDEX(('E2E core flow'!$A$15:$A$1000&lt;&gt;"")*ISNUMBER(SEARCH('E2E core flow'!$A$15:$A$1000,$E117)),0),0))&amp;"","-"))</f>
        <v/>
      </c>
      <c r="N117" s="68" t="str">
        <f>IF(TRIM($A117)="","",IF($O117=0,IF(COUNTIFS('Card Test Cases'!$B$4:$B$1000,$A117,'Card Test Cases'!$A$4:$A$1000,"&lt;&gt;")&gt;0,"Out of Scope","No TC"),IF($Q117&gt;0,"Failed",IF(COUNTIFS('Card Test Cases'!$B$4:$B$1000,$A117,'Card Test Cases'!$A$4:$A$1000,"&lt;&gt;",'Card Test Cases'!$F$4:$F$1000,"Blocked")&gt;0,"Blocked",IF($R117&gt;0,"In Progress","Passed")))))</f>
        <v/>
      </c>
      <c r="O117" s="68" t="str">
        <f>IF(TRIM($A117)="","",COUNTIFS('Card Test Cases'!$B$4:$B$1000,$A117,'Card Test Cases'!$A$4:$A$1000,"&lt;&gt;",'Card Test Cases'!$F$4:$F$1000,"&lt;&gt;Out of Scope"))</f>
        <v/>
      </c>
      <c r="P117" s="68" t="str">
        <f>IF(TRIM($A117)="","",COUNTIFS('Card Test Cases'!$B$4:$B$1000,$A117,'Card Test Cases'!$A$4:$A$1000,"&lt;&gt;",'Card Test Cases'!$F$4:$F$1000,"Passed"))</f>
        <v/>
      </c>
      <c r="Q117" s="68" t="str">
        <f>IF(TRIM($A117)="","",COUNTIFS('Card Test Cases'!$B$4:$B$1000,$A117,'Card Test Cases'!$A$4:$A$1000,"&lt;&gt;",'Card Test Cases'!$F$4:$F$1000,"Failed"))</f>
        <v/>
      </c>
      <c r="R117" s="68" t="str">
        <f t="shared" si="1"/>
        <v/>
      </c>
      <c r="S117" s="68" t="str" cm="1">
        <f t="array" ref="S117">IF(TRIM($A117)="","",IFERROR(_xlfn.TEXTJOIN(", ",TRUE,_xlfn.UNIQUE(_xlfn.VSTACK(_xlfn._xlws.FILTER('Card Test Cases'!$G$4:$G$1000,('Card Test Cases'!$B$4:$B$1000=$A117)*('Card Test Cases'!$G$4:$G$1000&lt;&gt;""),""),_xlfn._xlws.FILTER('E2E core flow'!$U$15:$U$1000,('E2E core flow'!$A$15:$A$1000&lt;&gt;"")*ISNUMBER(SEARCH('E2E core flow'!$A$15:$A$1000,$E117))*('E2E core flow'!$U$15:$U$1000&lt;&gt;""),"")))),"-"))</f>
        <v/>
      </c>
    </row>
    <row r="118" spans="7:19" x14ac:dyDescent="0.3">
      <c r="G118" s="68" t="str" cm="1">
        <f t="array" ref="G118">_xlfn.LET(_xlpm.ids,'E2E core flow'!$A$15:$A$1000,_xlpm.v,'E2E core flow'!$W$15:$W$1000,_xlpm.m,(_xlpm.ids&lt;&gt;"")*ISNUMBER(SEARCH(_xlpm.ids,$E118)),_xlpm.f,SUM(_xlpm.m*(_xlpm.v="Failed")),_xlpm.b,SUM(_xlpm.m*(_xlpm.v="Blocked")),_xlpm.nr,SUM(_xlpm.m*(_xlpm.v="Not Run")),_xlpm.cp,SUM(_xlpm.m*(_xlpm.v="Conditionally Passed")),_xlpm.p,SUM(_xlpm.m*(_xlpm.v="Passed")),IF(TRIM($A118)="","",IF(TRIM($E118)="","Pending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18" s="68" t="str">
        <f>IF(TRIM($A118)="","",IF($J118="Passed","",IF($J118="Passed with Known Issue","Known Issue",IF($J118="",IF(OR($H118&lt;&gt;"No",AND($F118&lt;&gt;"Medium",$F118&lt;&gt;"Low")),"Pending Result",""),IF(OR($H118&lt;&gt;"No",AND($F118&lt;&gt;"Medium",$F118&lt;&gt;"Low")),IF(COUNTIFS(Dashboard!$B$105:$B$124,$A118,Dashboard!$I$105:$I$124,"CAB")&gt;0,"Accepted (CF)","Blocking"),IF($J118="Failed","Deferrable","Carry Over"))))))</f>
        <v/>
      </c>
      <c r="M118" s="68" t="str">
        <f>IF(OR(TRIM($A118)="",TRIM($E118)=""),"",IFERROR(INDEX('E2E core flow'!$B$15:$B$1000,MATCH(1,INDEX(('E2E core flow'!$A$15:$A$1000&lt;&gt;"")*ISNUMBER(SEARCH('E2E core flow'!$A$15:$A$1000,$E118)),0),0))&amp;"","-"))</f>
        <v/>
      </c>
      <c r="N118" s="68" t="str">
        <f>IF(TRIM($A118)="","",IF($O118=0,IF(COUNTIFS('Card Test Cases'!$B$4:$B$1000,$A118,'Card Test Cases'!$A$4:$A$1000,"&lt;&gt;")&gt;0,"Out of Scope","No TC"),IF($Q118&gt;0,"Failed",IF(COUNTIFS('Card Test Cases'!$B$4:$B$1000,$A118,'Card Test Cases'!$A$4:$A$1000,"&lt;&gt;",'Card Test Cases'!$F$4:$F$1000,"Blocked")&gt;0,"Blocked",IF($R118&gt;0,"In Progress","Passed")))))</f>
        <v/>
      </c>
      <c r="O118" s="68" t="str">
        <f>IF(TRIM($A118)="","",COUNTIFS('Card Test Cases'!$B$4:$B$1000,$A118,'Card Test Cases'!$A$4:$A$1000,"&lt;&gt;",'Card Test Cases'!$F$4:$F$1000,"&lt;&gt;Out of Scope"))</f>
        <v/>
      </c>
      <c r="P118" s="68" t="str">
        <f>IF(TRIM($A118)="","",COUNTIFS('Card Test Cases'!$B$4:$B$1000,$A118,'Card Test Cases'!$A$4:$A$1000,"&lt;&gt;",'Card Test Cases'!$F$4:$F$1000,"Passed"))</f>
        <v/>
      </c>
      <c r="Q118" s="68" t="str">
        <f>IF(TRIM($A118)="","",COUNTIFS('Card Test Cases'!$B$4:$B$1000,$A118,'Card Test Cases'!$A$4:$A$1000,"&lt;&gt;",'Card Test Cases'!$F$4:$F$1000,"Failed"))</f>
        <v/>
      </c>
      <c r="R118" s="68" t="str">
        <f t="shared" si="1"/>
        <v/>
      </c>
      <c r="S118" s="68" t="str" cm="1">
        <f t="array" ref="S118">IF(TRIM($A118)="","",IFERROR(_xlfn.TEXTJOIN(", ",TRUE,_xlfn.UNIQUE(_xlfn.VSTACK(_xlfn._xlws.FILTER('Card Test Cases'!$G$4:$G$1000,('Card Test Cases'!$B$4:$B$1000=$A118)*('Card Test Cases'!$G$4:$G$1000&lt;&gt;""),""),_xlfn._xlws.FILTER('E2E core flow'!$U$15:$U$1000,('E2E core flow'!$A$15:$A$1000&lt;&gt;"")*ISNUMBER(SEARCH('E2E core flow'!$A$15:$A$1000,$E118))*('E2E core flow'!$U$15:$U$1000&lt;&gt;""),"")))),"-"))</f>
        <v/>
      </c>
    </row>
    <row r="119" spans="7:19" x14ac:dyDescent="0.3">
      <c r="G119" s="68" t="str" cm="1">
        <f t="array" ref="G119">_xlfn.LET(_xlpm.ids,'E2E core flow'!$A$15:$A$1000,_xlpm.v,'E2E core flow'!$W$15:$W$1000,_xlpm.m,(_xlpm.ids&lt;&gt;"")*ISNUMBER(SEARCH(_xlpm.ids,$E119)),_xlpm.f,SUM(_xlpm.m*(_xlpm.v="Failed")),_xlpm.b,SUM(_xlpm.m*(_xlpm.v="Blocked")),_xlpm.nr,SUM(_xlpm.m*(_xlpm.v="Not Run")),_xlpm.cp,SUM(_xlpm.m*(_xlpm.v="Conditionally Passed")),_xlpm.p,SUM(_xlpm.m*(_xlpm.v="Passed")),IF(TRIM($A119)="","",IF(TRIM($E119)="","Pending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19" s="68" t="str">
        <f>IF(TRIM($A119)="","",IF($J119="Passed","",IF($J119="Passed with Known Issue","Known Issue",IF($J119="",IF(OR($H119&lt;&gt;"No",AND($F119&lt;&gt;"Medium",$F119&lt;&gt;"Low")),"Pending Result",""),IF(OR($H119&lt;&gt;"No",AND($F119&lt;&gt;"Medium",$F119&lt;&gt;"Low")),IF(COUNTIFS(Dashboard!$B$105:$B$124,$A119,Dashboard!$I$105:$I$124,"CAB")&gt;0,"Accepted (CF)","Blocking"),IF($J119="Failed","Deferrable","Carry Over"))))))</f>
        <v/>
      </c>
      <c r="M119" s="68" t="str">
        <f>IF(OR(TRIM($A119)="",TRIM($E119)=""),"",IFERROR(INDEX('E2E core flow'!$B$15:$B$1000,MATCH(1,INDEX(('E2E core flow'!$A$15:$A$1000&lt;&gt;"")*ISNUMBER(SEARCH('E2E core flow'!$A$15:$A$1000,$E119)),0),0))&amp;"","-"))</f>
        <v/>
      </c>
      <c r="N119" s="68" t="str">
        <f>IF(TRIM($A119)="","",IF($O119=0,IF(COUNTIFS('Card Test Cases'!$B$4:$B$1000,$A119,'Card Test Cases'!$A$4:$A$1000,"&lt;&gt;")&gt;0,"Out of Scope","No TC"),IF($Q119&gt;0,"Failed",IF(COUNTIFS('Card Test Cases'!$B$4:$B$1000,$A119,'Card Test Cases'!$A$4:$A$1000,"&lt;&gt;",'Card Test Cases'!$F$4:$F$1000,"Blocked")&gt;0,"Blocked",IF($R119&gt;0,"In Progress","Passed")))))</f>
        <v/>
      </c>
      <c r="O119" s="68" t="str">
        <f>IF(TRIM($A119)="","",COUNTIFS('Card Test Cases'!$B$4:$B$1000,$A119,'Card Test Cases'!$A$4:$A$1000,"&lt;&gt;",'Card Test Cases'!$F$4:$F$1000,"&lt;&gt;Out of Scope"))</f>
        <v/>
      </c>
      <c r="P119" s="68" t="str">
        <f>IF(TRIM($A119)="","",COUNTIFS('Card Test Cases'!$B$4:$B$1000,$A119,'Card Test Cases'!$A$4:$A$1000,"&lt;&gt;",'Card Test Cases'!$F$4:$F$1000,"Passed"))</f>
        <v/>
      </c>
      <c r="Q119" s="68" t="str">
        <f>IF(TRIM($A119)="","",COUNTIFS('Card Test Cases'!$B$4:$B$1000,$A119,'Card Test Cases'!$A$4:$A$1000,"&lt;&gt;",'Card Test Cases'!$F$4:$F$1000,"Failed"))</f>
        <v/>
      </c>
      <c r="R119" s="68" t="str">
        <f t="shared" si="1"/>
        <v/>
      </c>
      <c r="S119" s="68" t="str" cm="1">
        <f t="array" ref="S119">IF(TRIM($A119)="","",IFERROR(_xlfn.TEXTJOIN(", ",TRUE,_xlfn.UNIQUE(_xlfn.VSTACK(_xlfn._xlws.FILTER('Card Test Cases'!$G$4:$G$1000,('Card Test Cases'!$B$4:$B$1000=$A119)*('Card Test Cases'!$G$4:$G$1000&lt;&gt;""),""),_xlfn._xlws.FILTER('E2E core flow'!$U$15:$U$1000,('E2E core flow'!$A$15:$A$1000&lt;&gt;"")*ISNUMBER(SEARCH('E2E core flow'!$A$15:$A$1000,$E119))*('E2E core flow'!$U$15:$U$1000&lt;&gt;""),"")))),"-"))</f>
        <v/>
      </c>
    </row>
    <row r="120" spans="7:19" x14ac:dyDescent="0.3">
      <c r="G120" s="68" t="str" cm="1">
        <f t="array" ref="G120">_xlfn.LET(_xlpm.ids,'E2E core flow'!$A$15:$A$1000,_xlpm.v,'E2E core flow'!$W$15:$W$1000,_xlpm.m,(_xlpm.ids&lt;&gt;"")*ISNUMBER(SEARCH(_xlpm.ids,$E120)),_xlpm.f,SUM(_xlpm.m*(_xlpm.v="Failed")),_xlpm.b,SUM(_xlpm.m*(_xlpm.v="Blocked")),_xlpm.nr,SUM(_xlpm.m*(_xlpm.v="Not Run")),_xlpm.cp,SUM(_xlpm.m*(_xlpm.v="Conditionally Passed")),_xlpm.p,SUM(_xlpm.m*(_xlpm.v="Passed")),IF(TRIM($A120)="","",IF(TRIM($E120)="","Pending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20" s="68" t="str">
        <f>IF(TRIM($A120)="","",IF($J120="Passed","",IF($J120="Passed with Known Issue","Known Issue",IF($J120="",IF(OR($H120&lt;&gt;"No",AND($F120&lt;&gt;"Medium",$F120&lt;&gt;"Low")),"Pending Result",""),IF(OR($H120&lt;&gt;"No",AND($F120&lt;&gt;"Medium",$F120&lt;&gt;"Low")),IF(COUNTIFS(Dashboard!$B$105:$B$124,$A120,Dashboard!$I$105:$I$124,"CAB")&gt;0,"Accepted (CF)","Blocking"),IF($J120="Failed","Deferrable","Carry Over"))))))</f>
        <v/>
      </c>
      <c r="M120" s="68" t="str">
        <f>IF(OR(TRIM($A120)="",TRIM($E120)=""),"",IFERROR(INDEX('E2E core flow'!$B$15:$B$1000,MATCH(1,INDEX(('E2E core flow'!$A$15:$A$1000&lt;&gt;"")*ISNUMBER(SEARCH('E2E core flow'!$A$15:$A$1000,$E120)),0),0))&amp;"","-"))</f>
        <v/>
      </c>
      <c r="N120" s="68" t="str">
        <f>IF(TRIM($A120)="","",IF($O120=0,IF(COUNTIFS('Card Test Cases'!$B$4:$B$1000,$A120,'Card Test Cases'!$A$4:$A$1000,"&lt;&gt;")&gt;0,"Out of Scope","No TC"),IF($Q120&gt;0,"Failed",IF(COUNTIFS('Card Test Cases'!$B$4:$B$1000,$A120,'Card Test Cases'!$A$4:$A$1000,"&lt;&gt;",'Card Test Cases'!$F$4:$F$1000,"Blocked")&gt;0,"Blocked",IF($R120&gt;0,"In Progress","Passed")))))</f>
        <v/>
      </c>
      <c r="O120" s="68" t="str">
        <f>IF(TRIM($A120)="","",COUNTIFS('Card Test Cases'!$B$4:$B$1000,$A120,'Card Test Cases'!$A$4:$A$1000,"&lt;&gt;",'Card Test Cases'!$F$4:$F$1000,"&lt;&gt;Out of Scope"))</f>
        <v/>
      </c>
      <c r="P120" s="68" t="str">
        <f>IF(TRIM($A120)="","",COUNTIFS('Card Test Cases'!$B$4:$B$1000,$A120,'Card Test Cases'!$A$4:$A$1000,"&lt;&gt;",'Card Test Cases'!$F$4:$F$1000,"Passed"))</f>
        <v/>
      </c>
      <c r="Q120" s="68" t="str">
        <f>IF(TRIM($A120)="","",COUNTIFS('Card Test Cases'!$B$4:$B$1000,$A120,'Card Test Cases'!$A$4:$A$1000,"&lt;&gt;",'Card Test Cases'!$F$4:$F$1000,"Failed"))</f>
        <v/>
      </c>
      <c r="R120" s="68" t="str">
        <f t="shared" si="1"/>
        <v/>
      </c>
      <c r="S120" s="68" t="str" cm="1">
        <f t="array" ref="S120">IF(TRIM($A120)="","",IFERROR(_xlfn.TEXTJOIN(", ",TRUE,_xlfn.UNIQUE(_xlfn.VSTACK(_xlfn._xlws.FILTER('Card Test Cases'!$G$4:$G$1000,('Card Test Cases'!$B$4:$B$1000=$A120)*('Card Test Cases'!$G$4:$G$1000&lt;&gt;""),""),_xlfn._xlws.FILTER('E2E core flow'!$U$15:$U$1000,('E2E core flow'!$A$15:$A$1000&lt;&gt;"")*ISNUMBER(SEARCH('E2E core flow'!$A$15:$A$1000,$E120))*('E2E core flow'!$U$15:$U$1000&lt;&gt;""),"")))),"-"))</f>
        <v/>
      </c>
    </row>
    <row r="121" spans="7:19" x14ac:dyDescent="0.3">
      <c r="G121" s="68" t="str" cm="1">
        <f t="array" ref="G121">_xlfn.LET(_xlpm.ids,'E2E core flow'!$A$15:$A$1000,_xlpm.v,'E2E core flow'!$W$15:$W$1000,_xlpm.m,(_xlpm.ids&lt;&gt;"")*ISNUMBER(SEARCH(_xlpm.ids,$E121)),_xlpm.f,SUM(_xlpm.m*(_xlpm.v="Failed")),_xlpm.b,SUM(_xlpm.m*(_xlpm.v="Blocked")),_xlpm.nr,SUM(_xlpm.m*(_xlpm.v="Not Run")),_xlpm.cp,SUM(_xlpm.m*(_xlpm.v="Conditionally Passed")),_xlpm.p,SUM(_xlpm.m*(_xlpm.v="Passed")),IF(TRIM($A121)="","",IF(TRIM($E121)="","Pending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21" s="68" t="str">
        <f>IF(TRIM($A121)="","",IF($J121="Passed","",IF($J121="Passed with Known Issue","Known Issue",IF($J121="",IF(OR($H121&lt;&gt;"No",AND($F121&lt;&gt;"Medium",$F121&lt;&gt;"Low")),"Pending Result",""),IF(OR($H121&lt;&gt;"No",AND($F121&lt;&gt;"Medium",$F121&lt;&gt;"Low")),IF(COUNTIFS(Dashboard!$B$105:$B$124,$A121,Dashboard!$I$105:$I$124,"CAB")&gt;0,"Accepted (CF)","Blocking"),IF($J121="Failed","Deferrable","Carry Over"))))))</f>
        <v/>
      </c>
      <c r="M121" s="68" t="str">
        <f>IF(OR(TRIM($A121)="",TRIM($E121)=""),"",IFERROR(INDEX('E2E core flow'!$B$15:$B$1000,MATCH(1,INDEX(('E2E core flow'!$A$15:$A$1000&lt;&gt;"")*ISNUMBER(SEARCH('E2E core flow'!$A$15:$A$1000,$E121)),0),0))&amp;"","-"))</f>
        <v/>
      </c>
      <c r="N121" s="68" t="str">
        <f>IF(TRIM($A121)="","",IF($O121=0,IF(COUNTIFS('Card Test Cases'!$B$4:$B$1000,$A121,'Card Test Cases'!$A$4:$A$1000,"&lt;&gt;")&gt;0,"Out of Scope","No TC"),IF($Q121&gt;0,"Failed",IF(COUNTIFS('Card Test Cases'!$B$4:$B$1000,$A121,'Card Test Cases'!$A$4:$A$1000,"&lt;&gt;",'Card Test Cases'!$F$4:$F$1000,"Blocked")&gt;0,"Blocked",IF($R121&gt;0,"In Progress","Passed")))))</f>
        <v/>
      </c>
      <c r="O121" s="68" t="str">
        <f>IF(TRIM($A121)="","",COUNTIFS('Card Test Cases'!$B$4:$B$1000,$A121,'Card Test Cases'!$A$4:$A$1000,"&lt;&gt;",'Card Test Cases'!$F$4:$F$1000,"&lt;&gt;Out of Scope"))</f>
        <v/>
      </c>
      <c r="P121" s="68" t="str">
        <f>IF(TRIM($A121)="","",COUNTIFS('Card Test Cases'!$B$4:$B$1000,$A121,'Card Test Cases'!$A$4:$A$1000,"&lt;&gt;",'Card Test Cases'!$F$4:$F$1000,"Passed"))</f>
        <v/>
      </c>
      <c r="Q121" s="68" t="str">
        <f>IF(TRIM($A121)="","",COUNTIFS('Card Test Cases'!$B$4:$B$1000,$A121,'Card Test Cases'!$A$4:$A$1000,"&lt;&gt;",'Card Test Cases'!$F$4:$F$1000,"Failed"))</f>
        <v/>
      </c>
      <c r="R121" s="68" t="str">
        <f t="shared" si="1"/>
        <v/>
      </c>
      <c r="S121" s="68" t="str" cm="1">
        <f t="array" ref="S121">IF(TRIM($A121)="","",IFERROR(_xlfn.TEXTJOIN(", ",TRUE,_xlfn.UNIQUE(_xlfn.VSTACK(_xlfn._xlws.FILTER('Card Test Cases'!$G$4:$G$1000,('Card Test Cases'!$B$4:$B$1000=$A121)*('Card Test Cases'!$G$4:$G$1000&lt;&gt;""),""),_xlfn._xlws.FILTER('E2E core flow'!$U$15:$U$1000,('E2E core flow'!$A$15:$A$1000&lt;&gt;"")*ISNUMBER(SEARCH('E2E core flow'!$A$15:$A$1000,$E121))*('E2E core flow'!$U$15:$U$1000&lt;&gt;""),"")))),"-"))</f>
        <v/>
      </c>
    </row>
    <row r="122" spans="7:19" x14ac:dyDescent="0.3">
      <c r="G122" s="68" t="str" cm="1">
        <f t="array" ref="G122">_xlfn.LET(_xlpm.ids,'E2E core flow'!$A$15:$A$1000,_xlpm.v,'E2E core flow'!$W$15:$W$1000,_xlpm.m,(_xlpm.ids&lt;&gt;"")*ISNUMBER(SEARCH(_xlpm.ids,$E122)),_xlpm.f,SUM(_xlpm.m*(_xlpm.v="Failed")),_xlpm.b,SUM(_xlpm.m*(_xlpm.v="Blocked")),_xlpm.nr,SUM(_xlpm.m*(_xlpm.v="Not Run")),_xlpm.cp,SUM(_xlpm.m*(_xlpm.v="Conditionally Passed")),_xlpm.p,SUM(_xlpm.m*(_xlpm.v="Passed")),IF(TRIM($A122)="","",IF(TRIM($E122)="","Pending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22" s="68" t="str">
        <f>IF(TRIM($A122)="","",IF($J122="Passed","",IF($J122="Passed with Known Issue","Known Issue",IF($J122="",IF(OR($H122&lt;&gt;"No",AND($F122&lt;&gt;"Medium",$F122&lt;&gt;"Low")),"Pending Result",""),IF(OR($H122&lt;&gt;"No",AND($F122&lt;&gt;"Medium",$F122&lt;&gt;"Low")),IF(COUNTIFS(Dashboard!$B$105:$B$124,$A122,Dashboard!$I$105:$I$124,"CAB")&gt;0,"Accepted (CF)","Blocking"),IF($J122="Failed","Deferrable","Carry Over"))))))</f>
        <v/>
      </c>
      <c r="M122" s="68" t="str">
        <f>IF(OR(TRIM($A122)="",TRIM($E122)=""),"",IFERROR(INDEX('E2E core flow'!$B$15:$B$1000,MATCH(1,INDEX(('E2E core flow'!$A$15:$A$1000&lt;&gt;"")*ISNUMBER(SEARCH('E2E core flow'!$A$15:$A$1000,$E122)),0),0))&amp;"","-"))</f>
        <v/>
      </c>
      <c r="N122" s="68" t="str">
        <f>IF(TRIM($A122)="","",IF($O122=0,IF(COUNTIFS('Card Test Cases'!$B$4:$B$1000,$A122,'Card Test Cases'!$A$4:$A$1000,"&lt;&gt;")&gt;0,"Out of Scope","No TC"),IF($Q122&gt;0,"Failed",IF(COUNTIFS('Card Test Cases'!$B$4:$B$1000,$A122,'Card Test Cases'!$A$4:$A$1000,"&lt;&gt;",'Card Test Cases'!$F$4:$F$1000,"Blocked")&gt;0,"Blocked",IF($R122&gt;0,"In Progress","Passed")))))</f>
        <v/>
      </c>
      <c r="O122" s="68" t="str">
        <f>IF(TRIM($A122)="","",COUNTIFS('Card Test Cases'!$B$4:$B$1000,$A122,'Card Test Cases'!$A$4:$A$1000,"&lt;&gt;",'Card Test Cases'!$F$4:$F$1000,"&lt;&gt;Out of Scope"))</f>
        <v/>
      </c>
      <c r="P122" s="68" t="str">
        <f>IF(TRIM($A122)="","",COUNTIFS('Card Test Cases'!$B$4:$B$1000,$A122,'Card Test Cases'!$A$4:$A$1000,"&lt;&gt;",'Card Test Cases'!$F$4:$F$1000,"Passed"))</f>
        <v/>
      </c>
      <c r="Q122" s="68" t="str">
        <f>IF(TRIM($A122)="","",COUNTIFS('Card Test Cases'!$B$4:$B$1000,$A122,'Card Test Cases'!$A$4:$A$1000,"&lt;&gt;",'Card Test Cases'!$F$4:$F$1000,"Failed"))</f>
        <v/>
      </c>
      <c r="R122" s="68" t="str">
        <f t="shared" si="1"/>
        <v/>
      </c>
      <c r="S122" s="68" t="str" cm="1">
        <f t="array" ref="S122">IF(TRIM($A122)="","",IFERROR(_xlfn.TEXTJOIN(", ",TRUE,_xlfn.UNIQUE(_xlfn.VSTACK(_xlfn._xlws.FILTER('Card Test Cases'!$G$4:$G$1000,('Card Test Cases'!$B$4:$B$1000=$A122)*('Card Test Cases'!$G$4:$G$1000&lt;&gt;""),""),_xlfn._xlws.FILTER('E2E core flow'!$U$15:$U$1000,('E2E core flow'!$A$15:$A$1000&lt;&gt;"")*ISNUMBER(SEARCH('E2E core flow'!$A$15:$A$1000,$E122))*('E2E core flow'!$U$15:$U$1000&lt;&gt;""),"")))),"-"))</f>
        <v/>
      </c>
    </row>
    <row r="123" spans="7:19" x14ac:dyDescent="0.3">
      <c r="G123" s="68" t="str" cm="1">
        <f t="array" ref="G123">_xlfn.LET(_xlpm.ids,'E2E core flow'!$A$15:$A$1000,_xlpm.v,'E2E core flow'!$W$15:$W$1000,_xlpm.m,(_xlpm.ids&lt;&gt;"")*ISNUMBER(SEARCH(_xlpm.ids,$E123)),_xlpm.f,SUM(_xlpm.m*(_xlpm.v="Failed")),_xlpm.b,SUM(_xlpm.m*(_xlpm.v="Blocked")),_xlpm.nr,SUM(_xlpm.m*(_xlpm.v="Not Run")),_xlpm.cp,SUM(_xlpm.m*(_xlpm.v="Conditionally Passed")),_xlpm.p,SUM(_xlpm.m*(_xlpm.v="Passed")),IF(TRIM($A123)="","",IF(TRIM($E123)="","Pending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23" s="68" t="str">
        <f>IF(TRIM($A123)="","",IF($J123="Passed","",IF($J123="Passed with Known Issue","Known Issue",IF($J123="",IF(OR($H123&lt;&gt;"No",AND($F123&lt;&gt;"Medium",$F123&lt;&gt;"Low")),"Pending Result",""),IF(OR($H123&lt;&gt;"No",AND($F123&lt;&gt;"Medium",$F123&lt;&gt;"Low")),IF(COUNTIFS(Dashboard!$B$105:$B$124,$A123,Dashboard!$I$105:$I$124,"CAB")&gt;0,"Accepted (CF)","Blocking"),IF($J123="Failed","Deferrable","Carry Over"))))))</f>
        <v/>
      </c>
      <c r="M123" s="68" t="str">
        <f>IF(OR(TRIM($A123)="",TRIM($E123)=""),"",IFERROR(INDEX('E2E core flow'!$B$15:$B$1000,MATCH(1,INDEX(('E2E core flow'!$A$15:$A$1000&lt;&gt;"")*ISNUMBER(SEARCH('E2E core flow'!$A$15:$A$1000,$E123)),0),0))&amp;"","-"))</f>
        <v/>
      </c>
      <c r="N123" s="68" t="str">
        <f>IF(TRIM($A123)="","",IF($O123=0,IF(COUNTIFS('Card Test Cases'!$B$4:$B$1000,$A123,'Card Test Cases'!$A$4:$A$1000,"&lt;&gt;")&gt;0,"Out of Scope","No TC"),IF($Q123&gt;0,"Failed",IF(COUNTIFS('Card Test Cases'!$B$4:$B$1000,$A123,'Card Test Cases'!$A$4:$A$1000,"&lt;&gt;",'Card Test Cases'!$F$4:$F$1000,"Blocked")&gt;0,"Blocked",IF($R123&gt;0,"In Progress","Passed")))))</f>
        <v/>
      </c>
      <c r="O123" s="68" t="str">
        <f>IF(TRIM($A123)="","",COUNTIFS('Card Test Cases'!$B$4:$B$1000,$A123,'Card Test Cases'!$A$4:$A$1000,"&lt;&gt;",'Card Test Cases'!$F$4:$F$1000,"&lt;&gt;Out of Scope"))</f>
        <v/>
      </c>
      <c r="P123" s="68" t="str">
        <f>IF(TRIM($A123)="","",COUNTIFS('Card Test Cases'!$B$4:$B$1000,$A123,'Card Test Cases'!$A$4:$A$1000,"&lt;&gt;",'Card Test Cases'!$F$4:$F$1000,"Passed"))</f>
        <v/>
      </c>
      <c r="Q123" s="68" t="str">
        <f>IF(TRIM($A123)="","",COUNTIFS('Card Test Cases'!$B$4:$B$1000,$A123,'Card Test Cases'!$A$4:$A$1000,"&lt;&gt;",'Card Test Cases'!$F$4:$F$1000,"Failed"))</f>
        <v/>
      </c>
      <c r="R123" s="68" t="str">
        <f t="shared" si="1"/>
        <v/>
      </c>
      <c r="S123" s="68" t="str" cm="1">
        <f t="array" ref="S123">IF(TRIM($A123)="","",IFERROR(_xlfn.TEXTJOIN(", ",TRUE,_xlfn.UNIQUE(_xlfn.VSTACK(_xlfn._xlws.FILTER('Card Test Cases'!$G$4:$G$1000,('Card Test Cases'!$B$4:$B$1000=$A123)*('Card Test Cases'!$G$4:$G$1000&lt;&gt;""),""),_xlfn._xlws.FILTER('E2E core flow'!$U$15:$U$1000,('E2E core flow'!$A$15:$A$1000&lt;&gt;"")*ISNUMBER(SEARCH('E2E core flow'!$A$15:$A$1000,$E123))*('E2E core flow'!$U$15:$U$1000&lt;&gt;""),"")))),"-"))</f>
        <v/>
      </c>
    </row>
    <row r="124" spans="7:19" x14ac:dyDescent="0.3">
      <c r="G124" s="68" t="str" cm="1">
        <f t="array" ref="G124">_xlfn.LET(_xlpm.ids,'E2E core flow'!$A$15:$A$1000,_xlpm.v,'E2E core flow'!$W$15:$W$1000,_xlpm.m,(_xlpm.ids&lt;&gt;"")*ISNUMBER(SEARCH(_xlpm.ids,$E124)),_xlpm.f,SUM(_xlpm.m*(_xlpm.v="Failed")),_xlpm.b,SUM(_xlpm.m*(_xlpm.v="Blocked")),_xlpm.nr,SUM(_xlpm.m*(_xlpm.v="Not Run")),_xlpm.cp,SUM(_xlpm.m*(_xlpm.v="Conditionally Passed")),_xlpm.p,SUM(_xlpm.m*(_xlpm.v="Passed")),IF(TRIM($A124)="","",IF(TRIM($E124)="","Pending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24" s="68" t="str">
        <f>IF(TRIM($A124)="","",IF($J124="Passed","",IF($J124="Passed with Known Issue","Known Issue",IF($J124="",IF(OR($H124&lt;&gt;"No",AND($F124&lt;&gt;"Medium",$F124&lt;&gt;"Low")),"Pending Result",""),IF(OR($H124&lt;&gt;"No",AND($F124&lt;&gt;"Medium",$F124&lt;&gt;"Low")),IF(COUNTIFS(Dashboard!$B$105:$B$124,$A124,Dashboard!$I$105:$I$124,"CAB")&gt;0,"Accepted (CF)","Blocking"),IF($J124="Failed","Deferrable","Carry Over"))))))</f>
        <v/>
      </c>
      <c r="M124" s="68" t="str">
        <f>IF(OR(TRIM($A124)="",TRIM($E124)=""),"",IFERROR(INDEX('E2E core flow'!$B$15:$B$1000,MATCH(1,INDEX(('E2E core flow'!$A$15:$A$1000&lt;&gt;"")*ISNUMBER(SEARCH('E2E core flow'!$A$15:$A$1000,$E124)),0),0))&amp;"","-"))</f>
        <v/>
      </c>
      <c r="N124" s="68" t="str">
        <f>IF(TRIM($A124)="","",IF($O124=0,IF(COUNTIFS('Card Test Cases'!$B$4:$B$1000,$A124,'Card Test Cases'!$A$4:$A$1000,"&lt;&gt;")&gt;0,"Out of Scope","No TC"),IF($Q124&gt;0,"Failed",IF(COUNTIFS('Card Test Cases'!$B$4:$B$1000,$A124,'Card Test Cases'!$A$4:$A$1000,"&lt;&gt;",'Card Test Cases'!$F$4:$F$1000,"Blocked")&gt;0,"Blocked",IF($R124&gt;0,"In Progress","Passed")))))</f>
        <v/>
      </c>
      <c r="O124" s="68" t="str">
        <f>IF(TRIM($A124)="","",COUNTIFS('Card Test Cases'!$B$4:$B$1000,$A124,'Card Test Cases'!$A$4:$A$1000,"&lt;&gt;",'Card Test Cases'!$F$4:$F$1000,"&lt;&gt;Out of Scope"))</f>
        <v/>
      </c>
      <c r="P124" s="68" t="str">
        <f>IF(TRIM($A124)="","",COUNTIFS('Card Test Cases'!$B$4:$B$1000,$A124,'Card Test Cases'!$A$4:$A$1000,"&lt;&gt;",'Card Test Cases'!$F$4:$F$1000,"Passed"))</f>
        <v/>
      </c>
      <c r="Q124" s="68" t="str">
        <f>IF(TRIM($A124)="","",COUNTIFS('Card Test Cases'!$B$4:$B$1000,$A124,'Card Test Cases'!$A$4:$A$1000,"&lt;&gt;",'Card Test Cases'!$F$4:$F$1000,"Failed"))</f>
        <v/>
      </c>
      <c r="R124" s="68" t="str">
        <f t="shared" si="1"/>
        <v/>
      </c>
      <c r="S124" s="68" t="str" cm="1">
        <f t="array" ref="S124">IF(TRIM($A124)="","",IFERROR(_xlfn.TEXTJOIN(", ",TRUE,_xlfn.UNIQUE(_xlfn.VSTACK(_xlfn._xlws.FILTER('Card Test Cases'!$G$4:$G$1000,('Card Test Cases'!$B$4:$B$1000=$A124)*('Card Test Cases'!$G$4:$G$1000&lt;&gt;""),""),_xlfn._xlws.FILTER('E2E core flow'!$U$15:$U$1000,('E2E core flow'!$A$15:$A$1000&lt;&gt;"")*ISNUMBER(SEARCH('E2E core flow'!$A$15:$A$1000,$E124))*('E2E core flow'!$U$15:$U$1000&lt;&gt;""),"")))),"-"))</f>
        <v/>
      </c>
    </row>
    <row r="125" spans="7:19" x14ac:dyDescent="0.3">
      <c r="G125" s="68" t="str" cm="1">
        <f t="array" ref="G125">_xlfn.LET(_xlpm.ids,'E2E core flow'!$A$15:$A$1000,_xlpm.v,'E2E core flow'!$W$15:$W$1000,_xlpm.m,(_xlpm.ids&lt;&gt;"")*ISNUMBER(SEARCH(_xlpm.ids,$E125)),_xlpm.f,SUM(_xlpm.m*(_xlpm.v="Failed")),_xlpm.b,SUM(_xlpm.m*(_xlpm.v="Blocked")),_xlpm.nr,SUM(_xlpm.m*(_xlpm.v="Not Run")),_xlpm.cp,SUM(_xlpm.m*(_xlpm.v="Conditionally Passed")),_xlpm.p,SUM(_xlpm.m*(_xlpm.v="Passed")),IF(TRIM($A125)="","",IF(TRIM($E125)="","Pending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25" s="68" t="str">
        <f>IF(TRIM($A125)="","",IF($J125="Passed","",IF($J125="Passed with Known Issue","Known Issue",IF($J125="",IF(OR($H125&lt;&gt;"No",AND($F125&lt;&gt;"Medium",$F125&lt;&gt;"Low")),"Pending Result",""),IF(OR($H125&lt;&gt;"No",AND($F125&lt;&gt;"Medium",$F125&lt;&gt;"Low")),IF(COUNTIFS(Dashboard!$B$105:$B$124,$A125,Dashboard!$I$105:$I$124,"CAB")&gt;0,"Accepted (CF)","Blocking"),IF($J125="Failed","Deferrable","Carry Over"))))))</f>
        <v/>
      </c>
      <c r="M125" s="68" t="str">
        <f>IF(OR(TRIM($A125)="",TRIM($E125)=""),"",IFERROR(INDEX('E2E core flow'!$B$15:$B$1000,MATCH(1,INDEX(('E2E core flow'!$A$15:$A$1000&lt;&gt;"")*ISNUMBER(SEARCH('E2E core flow'!$A$15:$A$1000,$E125)),0),0))&amp;"","-"))</f>
        <v/>
      </c>
      <c r="N125" s="68" t="str">
        <f>IF(TRIM($A125)="","",IF($O125=0,IF(COUNTIFS('Card Test Cases'!$B$4:$B$1000,$A125,'Card Test Cases'!$A$4:$A$1000,"&lt;&gt;")&gt;0,"Out of Scope","No TC"),IF($Q125&gt;0,"Failed",IF(COUNTIFS('Card Test Cases'!$B$4:$B$1000,$A125,'Card Test Cases'!$A$4:$A$1000,"&lt;&gt;",'Card Test Cases'!$F$4:$F$1000,"Blocked")&gt;0,"Blocked",IF($R125&gt;0,"In Progress","Passed")))))</f>
        <v/>
      </c>
      <c r="O125" s="68" t="str">
        <f>IF(TRIM($A125)="","",COUNTIFS('Card Test Cases'!$B$4:$B$1000,$A125,'Card Test Cases'!$A$4:$A$1000,"&lt;&gt;",'Card Test Cases'!$F$4:$F$1000,"&lt;&gt;Out of Scope"))</f>
        <v/>
      </c>
      <c r="P125" s="68" t="str">
        <f>IF(TRIM($A125)="","",COUNTIFS('Card Test Cases'!$B$4:$B$1000,$A125,'Card Test Cases'!$A$4:$A$1000,"&lt;&gt;",'Card Test Cases'!$F$4:$F$1000,"Passed"))</f>
        <v/>
      </c>
      <c r="Q125" s="68" t="str">
        <f>IF(TRIM($A125)="","",COUNTIFS('Card Test Cases'!$B$4:$B$1000,$A125,'Card Test Cases'!$A$4:$A$1000,"&lt;&gt;",'Card Test Cases'!$F$4:$F$1000,"Failed"))</f>
        <v/>
      </c>
      <c r="R125" s="68" t="str">
        <f t="shared" si="1"/>
        <v/>
      </c>
      <c r="S125" s="68" t="str" cm="1">
        <f t="array" ref="S125">IF(TRIM($A125)="","",IFERROR(_xlfn.TEXTJOIN(", ",TRUE,_xlfn.UNIQUE(_xlfn.VSTACK(_xlfn._xlws.FILTER('Card Test Cases'!$G$4:$G$1000,('Card Test Cases'!$B$4:$B$1000=$A125)*('Card Test Cases'!$G$4:$G$1000&lt;&gt;""),""),_xlfn._xlws.FILTER('E2E core flow'!$U$15:$U$1000,('E2E core flow'!$A$15:$A$1000&lt;&gt;"")*ISNUMBER(SEARCH('E2E core flow'!$A$15:$A$1000,$E125))*('E2E core flow'!$U$15:$U$1000&lt;&gt;""),"")))),"-"))</f>
        <v/>
      </c>
    </row>
    <row r="126" spans="7:19" x14ac:dyDescent="0.3">
      <c r="G126" s="68" t="str" cm="1">
        <f t="array" ref="G126">_xlfn.LET(_xlpm.ids,'E2E core flow'!$A$15:$A$1000,_xlpm.v,'E2E core flow'!$W$15:$W$1000,_xlpm.m,(_xlpm.ids&lt;&gt;"")*ISNUMBER(SEARCH(_xlpm.ids,$E126)),_xlpm.f,SUM(_xlpm.m*(_xlpm.v="Failed")),_xlpm.b,SUM(_xlpm.m*(_xlpm.v="Blocked")),_xlpm.nr,SUM(_xlpm.m*(_xlpm.v="Not Run")),_xlpm.cp,SUM(_xlpm.m*(_xlpm.v="Conditionally Passed")),_xlpm.p,SUM(_xlpm.m*(_xlpm.v="Passed")),IF(TRIM($A126)="","",IF(TRIM($E126)="","Pending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26" s="68" t="str">
        <f>IF(TRIM($A126)="","",IF($J126="Passed","",IF($J126="Passed with Known Issue","Known Issue",IF($J126="",IF(OR($H126&lt;&gt;"No",AND($F126&lt;&gt;"Medium",$F126&lt;&gt;"Low")),"Pending Result",""),IF(OR($H126&lt;&gt;"No",AND($F126&lt;&gt;"Medium",$F126&lt;&gt;"Low")),IF(COUNTIFS(Dashboard!$B$105:$B$124,$A126,Dashboard!$I$105:$I$124,"CAB")&gt;0,"Accepted (CF)","Blocking"),IF($J126="Failed","Deferrable","Carry Over"))))))</f>
        <v/>
      </c>
      <c r="M126" s="68" t="str">
        <f>IF(OR(TRIM($A126)="",TRIM($E126)=""),"",IFERROR(INDEX('E2E core flow'!$B$15:$B$1000,MATCH(1,INDEX(('E2E core flow'!$A$15:$A$1000&lt;&gt;"")*ISNUMBER(SEARCH('E2E core flow'!$A$15:$A$1000,$E126)),0),0))&amp;"","-"))</f>
        <v/>
      </c>
      <c r="N126" s="68" t="str">
        <f>IF(TRIM($A126)="","",IF($O126=0,IF(COUNTIFS('Card Test Cases'!$B$4:$B$1000,$A126,'Card Test Cases'!$A$4:$A$1000,"&lt;&gt;")&gt;0,"Out of Scope","No TC"),IF($Q126&gt;0,"Failed",IF(COUNTIFS('Card Test Cases'!$B$4:$B$1000,$A126,'Card Test Cases'!$A$4:$A$1000,"&lt;&gt;",'Card Test Cases'!$F$4:$F$1000,"Blocked")&gt;0,"Blocked",IF($R126&gt;0,"In Progress","Passed")))))</f>
        <v/>
      </c>
      <c r="O126" s="68" t="str">
        <f>IF(TRIM($A126)="","",COUNTIFS('Card Test Cases'!$B$4:$B$1000,$A126,'Card Test Cases'!$A$4:$A$1000,"&lt;&gt;",'Card Test Cases'!$F$4:$F$1000,"&lt;&gt;Out of Scope"))</f>
        <v/>
      </c>
      <c r="P126" s="68" t="str">
        <f>IF(TRIM($A126)="","",COUNTIFS('Card Test Cases'!$B$4:$B$1000,$A126,'Card Test Cases'!$A$4:$A$1000,"&lt;&gt;",'Card Test Cases'!$F$4:$F$1000,"Passed"))</f>
        <v/>
      </c>
      <c r="Q126" s="68" t="str">
        <f>IF(TRIM($A126)="","",COUNTIFS('Card Test Cases'!$B$4:$B$1000,$A126,'Card Test Cases'!$A$4:$A$1000,"&lt;&gt;",'Card Test Cases'!$F$4:$F$1000,"Failed"))</f>
        <v/>
      </c>
      <c r="R126" s="68" t="str">
        <f t="shared" si="1"/>
        <v/>
      </c>
      <c r="S126" s="68" t="str" cm="1">
        <f t="array" ref="S126">IF(TRIM($A126)="","",IFERROR(_xlfn.TEXTJOIN(", ",TRUE,_xlfn.UNIQUE(_xlfn.VSTACK(_xlfn._xlws.FILTER('Card Test Cases'!$G$4:$G$1000,('Card Test Cases'!$B$4:$B$1000=$A126)*('Card Test Cases'!$G$4:$G$1000&lt;&gt;""),""),_xlfn._xlws.FILTER('E2E core flow'!$U$15:$U$1000,('E2E core flow'!$A$15:$A$1000&lt;&gt;"")*ISNUMBER(SEARCH('E2E core flow'!$A$15:$A$1000,$E126))*('E2E core flow'!$U$15:$U$1000&lt;&gt;""),"")))),"-"))</f>
        <v/>
      </c>
    </row>
    <row r="127" spans="7:19" x14ac:dyDescent="0.3">
      <c r="G127" s="68" t="str" cm="1">
        <f t="array" ref="G127">_xlfn.LET(_xlpm.ids,'E2E core flow'!$A$15:$A$1000,_xlpm.v,'E2E core flow'!$W$15:$W$1000,_xlpm.m,(_xlpm.ids&lt;&gt;"")*ISNUMBER(SEARCH(_xlpm.ids,$E127)),_xlpm.f,SUM(_xlpm.m*(_xlpm.v="Failed")),_xlpm.b,SUM(_xlpm.m*(_xlpm.v="Blocked")),_xlpm.nr,SUM(_xlpm.m*(_xlpm.v="Not Run")),_xlpm.cp,SUM(_xlpm.m*(_xlpm.v="Conditionally Passed")),_xlpm.p,SUM(_xlpm.m*(_xlpm.v="Passed")),IF(TRIM($A127)="","",IF(TRIM($E127)="","Pending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27" s="68" t="str">
        <f>IF(TRIM($A127)="","",IF($J127="Passed","",IF($J127="Passed with Known Issue","Known Issue",IF($J127="",IF(OR($H127&lt;&gt;"No",AND($F127&lt;&gt;"Medium",$F127&lt;&gt;"Low")),"Pending Result",""),IF(OR($H127&lt;&gt;"No",AND($F127&lt;&gt;"Medium",$F127&lt;&gt;"Low")),IF(COUNTIFS(Dashboard!$B$105:$B$124,$A127,Dashboard!$I$105:$I$124,"CAB")&gt;0,"Accepted (CF)","Blocking"),IF($J127="Failed","Deferrable","Carry Over"))))))</f>
        <v/>
      </c>
      <c r="M127" s="68" t="str">
        <f>IF(OR(TRIM($A127)="",TRIM($E127)=""),"",IFERROR(INDEX('E2E core flow'!$B$15:$B$1000,MATCH(1,INDEX(('E2E core flow'!$A$15:$A$1000&lt;&gt;"")*ISNUMBER(SEARCH('E2E core flow'!$A$15:$A$1000,$E127)),0),0))&amp;"","-"))</f>
        <v/>
      </c>
      <c r="N127" s="68" t="str">
        <f>IF(TRIM($A127)="","",IF($O127=0,IF(COUNTIFS('Card Test Cases'!$B$4:$B$1000,$A127,'Card Test Cases'!$A$4:$A$1000,"&lt;&gt;")&gt;0,"Out of Scope","No TC"),IF($Q127&gt;0,"Failed",IF(COUNTIFS('Card Test Cases'!$B$4:$B$1000,$A127,'Card Test Cases'!$A$4:$A$1000,"&lt;&gt;",'Card Test Cases'!$F$4:$F$1000,"Blocked")&gt;0,"Blocked",IF($R127&gt;0,"In Progress","Passed")))))</f>
        <v/>
      </c>
      <c r="O127" s="68" t="str">
        <f>IF(TRIM($A127)="","",COUNTIFS('Card Test Cases'!$B$4:$B$1000,$A127,'Card Test Cases'!$A$4:$A$1000,"&lt;&gt;",'Card Test Cases'!$F$4:$F$1000,"&lt;&gt;Out of Scope"))</f>
        <v/>
      </c>
      <c r="P127" s="68" t="str">
        <f>IF(TRIM($A127)="","",COUNTIFS('Card Test Cases'!$B$4:$B$1000,$A127,'Card Test Cases'!$A$4:$A$1000,"&lt;&gt;",'Card Test Cases'!$F$4:$F$1000,"Passed"))</f>
        <v/>
      </c>
      <c r="Q127" s="68" t="str">
        <f>IF(TRIM($A127)="","",COUNTIFS('Card Test Cases'!$B$4:$B$1000,$A127,'Card Test Cases'!$A$4:$A$1000,"&lt;&gt;",'Card Test Cases'!$F$4:$F$1000,"Failed"))</f>
        <v/>
      </c>
      <c r="R127" s="68" t="str">
        <f t="shared" si="1"/>
        <v/>
      </c>
      <c r="S127" s="68" t="str" cm="1">
        <f t="array" ref="S127">IF(TRIM($A127)="","",IFERROR(_xlfn.TEXTJOIN(", ",TRUE,_xlfn.UNIQUE(_xlfn.VSTACK(_xlfn._xlws.FILTER('Card Test Cases'!$G$4:$G$1000,('Card Test Cases'!$B$4:$B$1000=$A127)*('Card Test Cases'!$G$4:$G$1000&lt;&gt;""),""),_xlfn._xlws.FILTER('E2E core flow'!$U$15:$U$1000,('E2E core flow'!$A$15:$A$1000&lt;&gt;"")*ISNUMBER(SEARCH('E2E core flow'!$A$15:$A$1000,$E127))*('E2E core flow'!$U$15:$U$1000&lt;&gt;""),"")))),"-"))</f>
        <v/>
      </c>
    </row>
    <row r="128" spans="7:19" x14ac:dyDescent="0.3">
      <c r="G128" s="68" t="str" cm="1">
        <f t="array" ref="G128">_xlfn.LET(_xlpm.ids,'E2E core flow'!$A$15:$A$1000,_xlpm.v,'E2E core flow'!$W$15:$W$1000,_xlpm.m,(_xlpm.ids&lt;&gt;"")*ISNUMBER(SEARCH(_xlpm.ids,$E128)),_xlpm.f,SUM(_xlpm.m*(_xlpm.v="Failed")),_xlpm.b,SUM(_xlpm.m*(_xlpm.v="Blocked")),_xlpm.nr,SUM(_xlpm.m*(_xlpm.v="Not Run")),_xlpm.cp,SUM(_xlpm.m*(_xlpm.v="Conditionally Passed")),_xlpm.p,SUM(_xlpm.m*(_xlpm.v="Passed")),IF(TRIM($A128)="","",IF(TRIM($E128)="","Pending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28" s="68" t="str">
        <f>IF(TRIM($A128)="","",IF($J128="Passed","",IF($J128="Passed with Known Issue","Known Issue",IF($J128="",IF(OR($H128&lt;&gt;"No",AND($F128&lt;&gt;"Medium",$F128&lt;&gt;"Low")),"Pending Result",""),IF(OR($H128&lt;&gt;"No",AND($F128&lt;&gt;"Medium",$F128&lt;&gt;"Low")),IF(COUNTIFS(Dashboard!$B$105:$B$124,$A128,Dashboard!$I$105:$I$124,"CAB")&gt;0,"Accepted (CF)","Blocking"),IF($J128="Failed","Deferrable","Carry Over"))))))</f>
        <v/>
      </c>
      <c r="M128" s="68" t="str">
        <f>IF(OR(TRIM($A128)="",TRIM($E128)=""),"",IFERROR(INDEX('E2E core flow'!$B$15:$B$1000,MATCH(1,INDEX(('E2E core flow'!$A$15:$A$1000&lt;&gt;"")*ISNUMBER(SEARCH('E2E core flow'!$A$15:$A$1000,$E128)),0),0))&amp;"","-"))</f>
        <v/>
      </c>
      <c r="N128" s="68" t="str">
        <f>IF(TRIM($A128)="","",IF($O128=0,IF(COUNTIFS('Card Test Cases'!$B$4:$B$1000,$A128,'Card Test Cases'!$A$4:$A$1000,"&lt;&gt;")&gt;0,"Out of Scope","No TC"),IF($Q128&gt;0,"Failed",IF(COUNTIFS('Card Test Cases'!$B$4:$B$1000,$A128,'Card Test Cases'!$A$4:$A$1000,"&lt;&gt;",'Card Test Cases'!$F$4:$F$1000,"Blocked")&gt;0,"Blocked",IF($R128&gt;0,"In Progress","Passed")))))</f>
        <v/>
      </c>
      <c r="O128" s="68" t="str">
        <f>IF(TRIM($A128)="","",COUNTIFS('Card Test Cases'!$B$4:$B$1000,$A128,'Card Test Cases'!$A$4:$A$1000,"&lt;&gt;",'Card Test Cases'!$F$4:$F$1000,"&lt;&gt;Out of Scope"))</f>
        <v/>
      </c>
      <c r="P128" s="68" t="str">
        <f>IF(TRIM($A128)="","",COUNTIFS('Card Test Cases'!$B$4:$B$1000,$A128,'Card Test Cases'!$A$4:$A$1000,"&lt;&gt;",'Card Test Cases'!$F$4:$F$1000,"Passed"))</f>
        <v/>
      </c>
      <c r="Q128" s="68" t="str">
        <f>IF(TRIM($A128)="","",COUNTIFS('Card Test Cases'!$B$4:$B$1000,$A128,'Card Test Cases'!$A$4:$A$1000,"&lt;&gt;",'Card Test Cases'!$F$4:$F$1000,"Failed"))</f>
        <v/>
      </c>
      <c r="R128" s="68" t="str">
        <f t="shared" si="1"/>
        <v/>
      </c>
      <c r="S128" s="68" t="str" cm="1">
        <f t="array" ref="S128">IF(TRIM($A128)="","",IFERROR(_xlfn.TEXTJOIN(", ",TRUE,_xlfn.UNIQUE(_xlfn.VSTACK(_xlfn._xlws.FILTER('Card Test Cases'!$G$4:$G$1000,('Card Test Cases'!$B$4:$B$1000=$A128)*('Card Test Cases'!$G$4:$G$1000&lt;&gt;""),""),_xlfn._xlws.FILTER('E2E core flow'!$U$15:$U$1000,('E2E core flow'!$A$15:$A$1000&lt;&gt;"")*ISNUMBER(SEARCH('E2E core flow'!$A$15:$A$1000,$E128))*('E2E core flow'!$U$15:$U$1000&lt;&gt;""),"")))),"-"))</f>
        <v/>
      </c>
    </row>
    <row r="129" spans="7:19" x14ac:dyDescent="0.3">
      <c r="G129" s="68" t="str" cm="1">
        <f t="array" ref="G129">_xlfn.LET(_xlpm.ids,'E2E core flow'!$A$15:$A$1000,_xlpm.v,'E2E core flow'!$W$15:$W$1000,_xlpm.m,(_xlpm.ids&lt;&gt;"")*ISNUMBER(SEARCH(_xlpm.ids,$E129)),_xlpm.f,SUM(_xlpm.m*(_xlpm.v="Failed")),_xlpm.b,SUM(_xlpm.m*(_xlpm.v="Blocked")),_xlpm.nr,SUM(_xlpm.m*(_xlpm.v="Not Run")),_xlpm.cp,SUM(_xlpm.m*(_xlpm.v="Conditionally Passed")),_xlpm.p,SUM(_xlpm.m*(_xlpm.v="Passed")),IF(TRIM($A129)="","",IF(TRIM($E129)="","Pending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29" s="68" t="str">
        <f>IF(TRIM($A129)="","",IF($J129="Passed","",IF($J129="Passed with Known Issue","Known Issue",IF($J129="",IF(OR($H129&lt;&gt;"No",AND($F129&lt;&gt;"Medium",$F129&lt;&gt;"Low")),"Pending Result",""),IF(OR($H129&lt;&gt;"No",AND($F129&lt;&gt;"Medium",$F129&lt;&gt;"Low")),IF(COUNTIFS(Dashboard!$B$105:$B$124,$A129,Dashboard!$I$105:$I$124,"CAB")&gt;0,"Accepted (CF)","Blocking"),IF($J129="Failed","Deferrable","Carry Over"))))))</f>
        <v/>
      </c>
      <c r="M129" s="68" t="str">
        <f>IF(OR(TRIM($A129)="",TRIM($E129)=""),"",IFERROR(INDEX('E2E core flow'!$B$15:$B$1000,MATCH(1,INDEX(('E2E core flow'!$A$15:$A$1000&lt;&gt;"")*ISNUMBER(SEARCH('E2E core flow'!$A$15:$A$1000,$E129)),0),0))&amp;"","-"))</f>
        <v/>
      </c>
      <c r="N129" s="68" t="str">
        <f>IF(TRIM($A129)="","",IF($O129=0,IF(COUNTIFS('Card Test Cases'!$B$4:$B$1000,$A129,'Card Test Cases'!$A$4:$A$1000,"&lt;&gt;")&gt;0,"Out of Scope","No TC"),IF($Q129&gt;0,"Failed",IF(COUNTIFS('Card Test Cases'!$B$4:$B$1000,$A129,'Card Test Cases'!$A$4:$A$1000,"&lt;&gt;",'Card Test Cases'!$F$4:$F$1000,"Blocked")&gt;0,"Blocked",IF($R129&gt;0,"In Progress","Passed")))))</f>
        <v/>
      </c>
      <c r="O129" s="68" t="str">
        <f>IF(TRIM($A129)="","",COUNTIFS('Card Test Cases'!$B$4:$B$1000,$A129,'Card Test Cases'!$A$4:$A$1000,"&lt;&gt;",'Card Test Cases'!$F$4:$F$1000,"&lt;&gt;Out of Scope"))</f>
        <v/>
      </c>
      <c r="P129" s="68" t="str">
        <f>IF(TRIM($A129)="","",COUNTIFS('Card Test Cases'!$B$4:$B$1000,$A129,'Card Test Cases'!$A$4:$A$1000,"&lt;&gt;",'Card Test Cases'!$F$4:$F$1000,"Passed"))</f>
        <v/>
      </c>
      <c r="Q129" s="68" t="str">
        <f>IF(TRIM($A129)="","",COUNTIFS('Card Test Cases'!$B$4:$B$1000,$A129,'Card Test Cases'!$A$4:$A$1000,"&lt;&gt;",'Card Test Cases'!$F$4:$F$1000,"Failed"))</f>
        <v/>
      </c>
      <c r="R129" s="68" t="str">
        <f t="shared" si="1"/>
        <v/>
      </c>
      <c r="S129" s="68" t="str" cm="1">
        <f t="array" ref="S129">IF(TRIM($A129)="","",IFERROR(_xlfn.TEXTJOIN(", ",TRUE,_xlfn.UNIQUE(_xlfn.VSTACK(_xlfn._xlws.FILTER('Card Test Cases'!$G$4:$G$1000,('Card Test Cases'!$B$4:$B$1000=$A129)*('Card Test Cases'!$G$4:$G$1000&lt;&gt;""),""),_xlfn._xlws.FILTER('E2E core flow'!$U$15:$U$1000,('E2E core flow'!$A$15:$A$1000&lt;&gt;"")*ISNUMBER(SEARCH('E2E core flow'!$A$15:$A$1000,$E129))*('E2E core flow'!$U$15:$U$1000&lt;&gt;""),"")))),"-"))</f>
        <v/>
      </c>
    </row>
    <row r="130" spans="7:19" x14ac:dyDescent="0.3">
      <c r="G130" s="68" t="str" cm="1">
        <f t="array" ref="G130">_xlfn.LET(_xlpm.ids,'E2E core flow'!$A$15:$A$1000,_xlpm.v,'E2E core flow'!$W$15:$W$1000,_xlpm.m,(_xlpm.ids&lt;&gt;"")*ISNUMBER(SEARCH(_xlpm.ids,$E130)),_xlpm.f,SUM(_xlpm.m*(_xlpm.v="Failed")),_xlpm.b,SUM(_xlpm.m*(_xlpm.v="Blocked")),_xlpm.nr,SUM(_xlpm.m*(_xlpm.v="Not Run")),_xlpm.cp,SUM(_xlpm.m*(_xlpm.v="Conditionally Passed")),_xlpm.p,SUM(_xlpm.m*(_xlpm.v="Passed")),IF(TRIM($A130)="","",IF(TRIM($E130)="","Pending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30" s="68" t="str">
        <f>IF(TRIM($A130)="","",IF($J130="Passed","",IF($J130="Passed with Known Issue","Known Issue",IF($J130="",IF(OR($H130&lt;&gt;"No",AND($F130&lt;&gt;"Medium",$F130&lt;&gt;"Low")),"Pending Result",""),IF(OR($H130&lt;&gt;"No",AND($F130&lt;&gt;"Medium",$F130&lt;&gt;"Low")),IF(COUNTIFS(Dashboard!$B$105:$B$124,$A130,Dashboard!$I$105:$I$124,"CAB")&gt;0,"Accepted (CF)","Blocking"),IF($J130="Failed","Deferrable","Carry Over"))))))</f>
        <v/>
      </c>
      <c r="M130" s="68" t="str">
        <f>IF(OR(TRIM($A130)="",TRIM($E130)=""),"",IFERROR(INDEX('E2E core flow'!$B$15:$B$1000,MATCH(1,INDEX(('E2E core flow'!$A$15:$A$1000&lt;&gt;"")*ISNUMBER(SEARCH('E2E core flow'!$A$15:$A$1000,$E130)),0),0))&amp;"","-"))</f>
        <v/>
      </c>
      <c r="N130" s="68" t="str">
        <f>IF(TRIM($A130)="","",IF($O130=0,IF(COUNTIFS('Card Test Cases'!$B$4:$B$1000,$A130,'Card Test Cases'!$A$4:$A$1000,"&lt;&gt;")&gt;0,"Out of Scope","No TC"),IF($Q130&gt;0,"Failed",IF(COUNTIFS('Card Test Cases'!$B$4:$B$1000,$A130,'Card Test Cases'!$A$4:$A$1000,"&lt;&gt;",'Card Test Cases'!$F$4:$F$1000,"Blocked")&gt;0,"Blocked",IF($R130&gt;0,"In Progress","Passed")))))</f>
        <v/>
      </c>
      <c r="O130" s="68" t="str">
        <f>IF(TRIM($A130)="","",COUNTIFS('Card Test Cases'!$B$4:$B$1000,$A130,'Card Test Cases'!$A$4:$A$1000,"&lt;&gt;",'Card Test Cases'!$F$4:$F$1000,"&lt;&gt;Out of Scope"))</f>
        <v/>
      </c>
      <c r="P130" s="68" t="str">
        <f>IF(TRIM($A130)="","",COUNTIFS('Card Test Cases'!$B$4:$B$1000,$A130,'Card Test Cases'!$A$4:$A$1000,"&lt;&gt;",'Card Test Cases'!$F$4:$F$1000,"Passed"))</f>
        <v/>
      </c>
      <c r="Q130" s="68" t="str">
        <f>IF(TRIM($A130)="","",COUNTIFS('Card Test Cases'!$B$4:$B$1000,$A130,'Card Test Cases'!$A$4:$A$1000,"&lt;&gt;",'Card Test Cases'!$F$4:$F$1000,"Failed"))</f>
        <v/>
      </c>
      <c r="R130" s="68" t="str">
        <f t="shared" si="1"/>
        <v/>
      </c>
      <c r="S130" s="68" t="str" cm="1">
        <f t="array" ref="S130">IF(TRIM($A130)="","",IFERROR(_xlfn.TEXTJOIN(", ",TRUE,_xlfn.UNIQUE(_xlfn.VSTACK(_xlfn._xlws.FILTER('Card Test Cases'!$G$4:$G$1000,('Card Test Cases'!$B$4:$B$1000=$A130)*('Card Test Cases'!$G$4:$G$1000&lt;&gt;""),""),_xlfn._xlws.FILTER('E2E core flow'!$U$15:$U$1000,('E2E core flow'!$A$15:$A$1000&lt;&gt;"")*ISNUMBER(SEARCH('E2E core flow'!$A$15:$A$1000,$E130))*('E2E core flow'!$U$15:$U$1000&lt;&gt;""),"")))),"-"))</f>
        <v/>
      </c>
    </row>
    <row r="131" spans="7:19" x14ac:dyDescent="0.3">
      <c r="G131" s="68" t="str" cm="1">
        <f t="array" ref="G131">_xlfn.LET(_xlpm.ids,'E2E core flow'!$A$15:$A$1000,_xlpm.v,'E2E core flow'!$W$15:$W$1000,_xlpm.m,(_xlpm.ids&lt;&gt;"")*ISNUMBER(SEARCH(_xlpm.ids,$E131)),_xlpm.f,SUM(_xlpm.m*(_xlpm.v="Failed")),_xlpm.b,SUM(_xlpm.m*(_xlpm.v="Blocked")),_xlpm.nr,SUM(_xlpm.m*(_xlpm.v="Not Run")),_xlpm.cp,SUM(_xlpm.m*(_xlpm.v="Conditionally Passed")),_xlpm.p,SUM(_xlpm.m*(_xlpm.v="Passed")),IF(TRIM($A131)="","",IF(TRIM($E131)="","Pending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31" s="68" t="str">
        <f>IF(TRIM($A131)="","",IF($J131="Passed","",IF($J131="Passed with Known Issue","Known Issue",IF($J131="",IF(OR($H131&lt;&gt;"No",AND($F131&lt;&gt;"Medium",$F131&lt;&gt;"Low")),"Pending Result",""),IF(OR($H131&lt;&gt;"No",AND($F131&lt;&gt;"Medium",$F131&lt;&gt;"Low")),IF(COUNTIFS(Dashboard!$B$105:$B$124,$A131,Dashboard!$I$105:$I$124,"CAB")&gt;0,"Accepted (CF)","Blocking"),IF($J131="Failed","Deferrable","Carry Over"))))))</f>
        <v/>
      </c>
      <c r="M131" s="68" t="str">
        <f>IF(OR(TRIM($A131)="",TRIM($E131)=""),"",IFERROR(INDEX('E2E core flow'!$B$15:$B$1000,MATCH(1,INDEX(('E2E core flow'!$A$15:$A$1000&lt;&gt;"")*ISNUMBER(SEARCH('E2E core flow'!$A$15:$A$1000,$E131)),0),0))&amp;"","-"))</f>
        <v/>
      </c>
      <c r="N131" s="68" t="str">
        <f>IF(TRIM($A131)="","",IF($O131=0,IF(COUNTIFS('Card Test Cases'!$B$4:$B$1000,$A131,'Card Test Cases'!$A$4:$A$1000,"&lt;&gt;")&gt;0,"Out of Scope","No TC"),IF($Q131&gt;0,"Failed",IF(COUNTIFS('Card Test Cases'!$B$4:$B$1000,$A131,'Card Test Cases'!$A$4:$A$1000,"&lt;&gt;",'Card Test Cases'!$F$4:$F$1000,"Blocked")&gt;0,"Blocked",IF($R131&gt;0,"In Progress","Passed")))))</f>
        <v/>
      </c>
      <c r="O131" s="68" t="str">
        <f>IF(TRIM($A131)="","",COUNTIFS('Card Test Cases'!$B$4:$B$1000,$A131,'Card Test Cases'!$A$4:$A$1000,"&lt;&gt;",'Card Test Cases'!$F$4:$F$1000,"&lt;&gt;Out of Scope"))</f>
        <v/>
      </c>
      <c r="P131" s="68" t="str">
        <f>IF(TRIM($A131)="","",COUNTIFS('Card Test Cases'!$B$4:$B$1000,$A131,'Card Test Cases'!$A$4:$A$1000,"&lt;&gt;",'Card Test Cases'!$F$4:$F$1000,"Passed"))</f>
        <v/>
      </c>
      <c r="Q131" s="68" t="str">
        <f>IF(TRIM($A131)="","",COUNTIFS('Card Test Cases'!$B$4:$B$1000,$A131,'Card Test Cases'!$A$4:$A$1000,"&lt;&gt;",'Card Test Cases'!$F$4:$F$1000,"Failed"))</f>
        <v/>
      </c>
      <c r="R131" s="68" t="str">
        <f t="shared" si="1"/>
        <v/>
      </c>
      <c r="S131" s="68" t="str" cm="1">
        <f t="array" ref="S131">IF(TRIM($A131)="","",IFERROR(_xlfn.TEXTJOIN(", ",TRUE,_xlfn.UNIQUE(_xlfn.VSTACK(_xlfn._xlws.FILTER('Card Test Cases'!$G$4:$G$1000,('Card Test Cases'!$B$4:$B$1000=$A131)*('Card Test Cases'!$G$4:$G$1000&lt;&gt;""),""),_xlfn._xlws.FILTER('E2E core flow'!$U$15:$U$1000,('E2E core flow'!$A$15:$A$1000&lt;&gt;"")*ISNUMBER(SEARCH('E2E core flow'!$A$15:$A$1000,$E131))*('E2E core flow'!$U$15:$U$1000&lt;&gt;""),"")))),"-"))</f>
        <v/>
      </c>
    </row>
    <row r="132" spans="7:19" x14ac:dyDescent="0.3">
      <c r="G132" s="68" t="str" cm="1">
        <f t="array" ref="G132">_xlfn.LET(_xlpm.ids,'E2E core flow'!$A$15:$A$1000,_xlpm.v,'E2E core flow'!$W$15:$W$1000,_xlpm.m,(_xlpm.ids&lt;&gt;"")*ISNUMBER(SEARCH(_xlpm.ids,$E132)),_xlpm.f,SUM(_xlpm.m*(_xlpm.v="Failed")),_xlpm.b,SUM(_xlpm.m*(_xlpm.v="Blocked")),_xlpm.nr,SUM(_xlpm.m*(_xlpm.v="Not Run")),_xlpm.cp,SUM(_xlpm.m*(_xlpm.v="Conditionally Passed")),_xlpm.p,SUM(_xlpm.m*(_xlpm.v="Passed")),IF(TRIM($A132)="","",IF(TRIM($E132)="","Pending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32" s="68" t="str">
        <f>IF(TRIM($A132)="","",IF($J132="Passed","",IF($J132="Passed with Known Issue","Known Issue",IF($J132="",IF(OR($H132&lt;&gt;"No",AND($F132&lt;&gt;"Medium",$F132&lt;&gt;"Low")),"Pending Result",""),IF(OR($H132&lt;&gt;"No",AND($F132&lt;&gt;"Medium",$F132&lt;&gt;"Low")),IF(COUNTIFS(Dashboard!$B$105:$B$124,$A132,Dashboard!$I$105:$I$124,"CAB")&gt;0,"Accepted (CF)","Blocking"),IF($J132="Failed","Deferrable","Carry Over"))))))</f>
        <v/>
      </c>
      <c r="M132" s="68" t="str">
        <f>IF(OR(TRIM($A132)="",TRIM($E132)=""),"",IFERROR(INDEX('E2E core flow'!$B$15:$B$1000,MATCH(1,INDEX(('E2E core flow'!$A$15:$A$1000&lt;&gt;"")*ISNUMBER(SEARCH('E2E core flow'!$A$15:$A$1000,$E132)),0),0))&amp;"","-"))</f>
        <v/>
      </c>
      <c r="N132" s="68" t="str">
        <f>IF(TRIM($A132)="","",IF($O132=0,IF(COUNTIFS('Card Test Cases'!$B$4:$B$1000,$A132,'Card Test Cases'!$A$4:$A$1000,"&lt;&gt;")&gt;0,"Out of Scope","No TC"),IF($Q132&gt;0,"Failed",IF(COUNTIFS('Card Test Cases'!$B$4:$B$1000,$A132,'Card Test Cases'!$A$4:$A$1000,"&lt;&gt;",'Card Test Cases'!$F$4:$F$1000,"Blocked")&gt;0,"Blocked",IF($R132&gt;0,"In Progress","Passed")))))</f>
        <v/>
      </c>
      <c r="O132" s="68" t="str">
        <f>IF(TRIM($A132)="","",COUNTIFS('Card Test Cases'!$B$4:$B$1000,$A132,'Card Test Cases'!$A$4:$A$1000,"&lt;&gt;",'Card Test Cases'!$F$4:$F$1000,"&lt;&gt;Out of Scope"))</f>
        <v/>
      </c>
      <c r="P132" s="68" t="str">
        <f>IF(TRIM($A132)="","",COUNTIFS('Card Test Cases'!$B$4:$B$1000,$A132,'Card Test Cases'!$A$4:$A$1000,"&lt;&gt;",'Card Test Cases'!$F$4:$F$1000,"Passed"))</f>
        <v/>
      </c>
      <c r="Q132" s="68" t="str">
        <f>IF(TRIM($A132)="","",COUNTIFS('Card Test Cases'!$B$4:$B$1000,$A132,'Card Test Cases'!$A$4:$A$1000,"&lt;&gt;",'Card Test Cases'!$F$4:$F$1000,"Failed"))</f>
        <v/>
      </c>
      <c r="R132" s="68" t="str">
        <f t="shared" ref="R132:R195" si="2">IF(TRIM($A132)="","",$O132-$P132-$Q132)</f>
        <v/>
      </c>
      <c r="S132" s="68" t="str" cm="1">
        <f t="array" ref="S132">IF(TRIM($A132)="","",IFERROR(_xlfn.TEXTJOIN(", ",TRUE,_xlfn.UNIQUE(_xlfn.VSTACK(_xlfn._xlws.FILTER('Card Test Cases'!$G$4:$G$1000,('Card Test Cases'!$B$4:$B$1000=$A132)*('Card Test Cases'!$G$4:$G$1000&lt;&gt;""),""),_xlfn._xlws.FILTER('E2E core flow'!$U$15:$U$1000,('E2E core flow'!$A$15:$A$1000&lt;&gt;"")*ISNUMBER(SEARCH('E2E core flow'!$A$15:$A$1000,$E132))*('E2E core flow'!$U$15:$U$1000&lt;&gt;""),"")))),"-"))</f>
        <v/>
      </c>
    </row>
    <row r="133" spans="7:19" x14ac:dyDescent="0.3">
      <c r="G133" s="68" t="str" cm="1">
        <f t="array" ref="G133">_xlfn.LET(_xlpm.ids,'E2E core flow'!$A$15:$A$1000,_xlpm.v,'E2E core flow'!$W$15:$W$1000,_xlpm.m,(_xlpm.ids&lt;&gt;"")*ISNUMBER(SEARCH(_xlpm.ids,$E133)),_xlpm.f,SUM(_xlpm.m*(_xlpm.v="Failed")),_xlpm.b,SUM(_xlpm.m*(_xlpm.v="Blocked")),_xlpm.nr,SUM(_xlpm.m*(_xlpm.v="Not Run")),_xlpm.cp,SUM(_xlpm.m*(_xlpm.v="Conditionally Passed")),_xlpm.p,SUM(_xlpm.m*(_xlpm.v="Passed")),IF(TRIM($A133)="","",IF(TRIM($E133)="","Pending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33" s="68" t="str">
        <f>IF(TRIM($A133)="","",IF($J133="Passed","",IF($J133="Passed with Known Issue","Known Issue",IF($J133="",IF(OR($H133&lt;&gt;"No",AND($F133&lt;&gt;"Medium",$F133&lt;&gt;"Low")),"Pending Result",""),IF(OR($H133&lt;&gt;"No",AND($F133&lt;&gt;"Medium",$F133&lt;&gt;"Low")),IF(COUNTIFS(Dashboard!$B$105:$B$124,$A133,Dashboard!$I$105:$I$124,"CAB")&gt;0,"Accepted (CF)","Blocking"),IF($J133="Failed","Deferrable","Carry Over"))))))</f>
        <v/>
      </c>
      <c r="M133" s="68" t="str">
        <f>IF(OR(TRIM($A133)="",TRIM($E133)=""),"",IFERROR(INDEX('E2E core flow'!$B$15:$B$1000,MATCH(1,INDEX(('E2E core flow'!$A$15:$A$1000&lt;&gt;"")*ISNUMBER(SEARCH('E2E core flow'!$A$15:$A$1000,$E133)),0),0))&amp;"","-"))</f>
        <v/>
      </c>
      <c r="N133" s="68" t="str">
        <f>IF(TRIM($A133)="","",IF($O133=0,IF(COUNTIFS('Card Test Cases'!$B$4:$B$1000,$A133,'Card Test Cases'!$A$4:$A$1000,"&lt;&gt;")&gt;0,"Out of Scope","No TC"),IF($Q133&gt;0,"Failed",IF(COUNTIFS('Card Test Cases'!$B$4:$B$1000,$A133,'Card Test Cases'!$A$4:$A$1000,"&lt;&gt;",'Card Test Cases'!$F$4:$F$1000,"Blocked")&gt;0,"Blocked",IF($R133&gt;0,"In Progress","Passed")))))</f>
        <v/>
      </c>
      <c r="O133" s="68" t="str">
        <f>IF(TRIM($A133)="","",COUNTIFS('Card Test Cases'!$B$4:$B$1000,$A133,'Card Test Cases'!$A$4:$A$1000,"&lt;&gt;",'Card Test Cases'!$F$4:$F$1000,"&lt;&gt;Out of Scope"))</f>
        <v/>
      </c>
      <c r="P133" s="68" t="str">
        <f>IF(TRIM($A133)="","",COUNTIFS('Card Test Cases'!$B$4:$B$1000,$A133,'Card Test Cases'!$A$4:$A$1000,"&lt;&gt;",'Card Test Cases'!$F$4:$F$1000,"Passed"))</f>
        <v/>
      </c>
      <c r="Q133" s="68" t="str">
        <f>IF(TRIM($A133)="","",COUNTIFS('Card Test Cases'!$B$4:$B$1000,$A133,'Card Test Cases'!$A$4:$A$1000,"&lt;&gt;",'Card Test Cases'!$F$4:$F$1000,"Failed"))</f>
        <v/>
      </c>
      <c r="R133" s="68" t="str">
        <f t="shared" si="2"/>
        <v/>
      </c>
      <c r="S133" s="68" t="str" cm="1">
        <f t="array" ref="S133">IF(TRIM($A133)="","",IFERROR(_xlfn.TEXTJOIN(", ",TRUE,_xlfn.UNIQUE(_xlfn.VSTACK(_xlfn._xlws.FILTER('Card Test Cases'!$G$4:$G$1000,('Card Test Cases'!$B$4:$B$1000=$A133)*('Card Test Cases'!$G$4:$G$1000&lt;&gt;""),""),_xlfn._xlws.FILTER('E2E core flow'!$U$15:$U$1000,('E2E core flow'!$A$15:$A$1000&lt;&gt;"")*ISNUMBER(SEARCH('E2E core flow'!$A$15:$A$1000,$E133))*('E2E core flow'!$U$15:$U$1000&lt;&gt;""),"")))),"-"))</f>
        <v/>
      </c>
    </row>
    <row r="134" spans="7:19" x14ac:dyDescent="0.3">
      <c r="G134" s="68" t="str" cm="1">
        <f t="array" ref="G134">_xlfn.LET(_xlpm.ids,'E2E core flow'!$A$15:$A$1000,_xlpm.v,'E2E core flow'!$W$15:$W$1000,_xlpm.m,(_xlpm.ids&lt;&gt;"")*ISNUMBER(SEARCH(_xlpm.ids,$E134)),_xlpm.f,SUM(_xlpm.m*(_xlpm.v="Failed")),_xlpm.b,SUM(_xlpm.m*(_xlpm.v="Blocked")),_xlpm.nr,SUM(_xlpm.m*(_xlpm.v="Not Run")),_xlpm.cp,SUM(_xlpm.m*(_xlpm.v="Conditionally Passed")),_xlpm.p,SUM(_xlpm.m*(_xlpm.v="Passed")),IF(TRIM($A134)="","",IF(TRIM($E134)="","Pending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34" s="68" t="str">
        <f>IF(TRIM($A134)="","",IF($J134="Passed","",IF($J134="Passed with Known Issue","Known Issue",IF($J134="",IF(OR($H134&lt;&gt;"No",AND($F134&lt;&gt;"Medium",$F134&lt;&gt;"Low")),"Pending Result",""),IF(OR($H134&lt;&gt;"No",AND($F134&lt;&gt;"Medium",$F134&lt;&gt;"Low")),IF(COUNTIFS(Dashboard!$B$105:$B$124,$A134,Dashboard!$I$105:$I$124,"CAB")&gt;0,"Accepted (CF)","Blocking"),IF($J134="Failed","Deferrable","Carry Over"))))))</f>
        <v/>
      </c>
      <c r="M134" s="68" t="str">
        <f>IF(OR(TRIM($A134)="",TRIM($E134)=""),"",IFERROR(INDEX('E2E core flow'!$B$15:$B$1000,MATCH(1,INDEX(('E2E core flow'!$A$15:$A$1000&lt;&gt;"")*ISNUMBER(SEARCH('E2E core flow'!$A$15:$A$1000,$E134)),0),0))&amp;"","-"))</f>
        <v/>
      </c>
      <c r="N134" s="68" t="str">
        <f>IF(TRIM($A134)="","",IF($O134=0,IF(COUNTIFS('Card Test Cases'!$B$4:$B$1000,$A134,'Card Test Cases'!$A$4:$A$1000,"&lt;&gt;")&gt;0,"Out of Scope","No TC"),IF($Q134&gt;0,"Failed",IF(COUNTIFS('Card Test Cases'!$B$4:$B$1000,$A134,'Card Test Cases'!$A$4:$A$1000,"&lt;&gt;",'Card Test Cases'!$F$4:$F$1000,"Blocked")&gt;0,"Blocked",IF($R134&gt;0,"In Progress","Passed")))))</f>
        <v/>
      </c>
      <c r="O134" s="68" t="str">
        <f>IF(TRIM($A134)="","",COUNTIFS('Card Test Cases'!$B$4:$B$1000,$A134,'Card Test Cases'!$A$4:$A$1000,"&lt;&gt;",'Card Test Cases'!$F$4:$F$1000,"&lt;&gt;Out of Scope"))</f>
        <v/>
      </c>
      <c r="P134" s="68" t="str">
        <f>IF(TRIM($A134)="","",COUNTIFS('Card Test Cases'!$B$4:$B$1000,$A134,'Card Test Cases'!$A$4:$A$1000,"&lt;&gt;",'Card Test Cases'!$F$4:$F$1000,"Passed"))</f>
        <v/>
      </c>
      <c r="Q134" s="68" t="str">
        <f>IF(TRIM($A134)="","",COUNTIFS('Card Test Cases'!$B$4:$B$1000,$A134,'Card Test Cases'!$A$4:$A$1000,"&lt;&gt;",'Card Test Cases'!$F$4:$F$1000,"Failed"))</f>
        <v/>
      </c>
      <c r="R134" s="68" t="str">
        <f t="shared" si="2"/>
        <v/>
      </c>
      <c r="S134" s="68" t="str" cm="1">
        <f t="array" ref="S134">IF(TRIM($A134)="","",IFERROR(_xlfn.TEXTJOIN(", ",TRUE,_xlfn.UNIQUE(_xlfn.VSTACK(_xlfn._xlws.FILTER('Card Test Cases'!$G$4:$G$1000,('Card Test Cases'!$B$4:$B$1000=$A134)*('Card Test Cases'!$G$4:$G$1000&lt;&gt;""),""),_xlfn._xlws.FILTER('E2E core flow'!$U$15:$U$1000,('E2E core flow'!$A$15:$A$1000&lt;&gt;"")*ISNUMBER(SEARCH('E2E core flow'!$A$15:$A$1000,$E134))*('E2E core flow'!$U$15:$U$1000&lt;&gt;""),"")))),"-"))</f>
        <v/>
      </c>
    </row>
    <row r="135" spans="7:19" x14ac:dyDescent="0.3">
      <c r="G135" s="68" t="str" cm="1">
        <f t="array" ref="G135">_xlfn.LET(_xlpm.ids,'E2E core flow'!$A$15:$A$1000,_xlpm.v,'E2E core flow'!$W$15:$W$1000,_xlpm.m,(_xlpm.ids&lt;&gt;"")*ISNUMBER(SEARCH(_xlpm.ids,$E135)),_xlpm.f,SUM(_xlpm.m*(_xlpm.v="Failed")),_xlpm.b,SUM(_xlpm.m*(_xlpm.v="Blocked")),_xlpm.nr,SUM(_xlpm.m*(_xlpm.v="Not Run")),_xlpm.cp,SUM(_xlpm.m*(_xlpm.v="Conditionally Passed")),_xlpm.p,SUM(_xlpm.m*(_xlpm.v="Passed")),IF(TRIM($A135)="","",IF(TRIM($E135)="","Pending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35" s="68" t="str">
        <f>IF(TRIM($A135)="","",IF($J135="Passed","",IF($J135="Passed with Known Issue","Known Issue",IF($J135="",IF(OR($H135&lt;&gt;"No",AND($F135&lt;&gt;"Medium",$F135&lt;&gt;"Low")),"Pending Result",""),IF(OR($H135&lt;&gt;"No",AND($F135&lt;&gt;"Medium",$F135&lt;&gt;"Low")),IF(COUNTIFS(Dashboard!$B$105:$B$124,$A135,Dashboard!$I$105:$I$124,"CAB")&gt;0,"Accepted (CF)","Blocking"),IF($J135="Failed","Deferrable","Carry Over"))))))</f>
        <v/>
      </c>
      <c r="M135" s="68" t="str">
        <f>IF(OR(TRIM($A135)="",TRIM($E135)=""),"",IFERROR(INDEX('E2E core flow'!$B$15:$B$1000,MATCH(1,INDEX(('E2E core flow'!$A$15:$A$1000&lt;&gt;"")*ISNUMBER(SEARCH('E2E core flow'!$A$15:$A$1000,$E135)),0),0))&amp;"","-"))</f>
        <v/>
      </c>
      <c r="N135" s="68" t="str">
        <f>IF(TRIM($A135)="","",IF($O135=0,IF(COUNTIFS('Card Test Cases'!$B$4:$B$1000,$A135,'Card Test Cases'!$A$4:$A$1000,"&lt;&gt;")&gt;0,"Out of Scope","No TC"),IF($Q135&gt;0,"Failed",IF(COUNTIFS('Card Test Cases'!$B$4:$B$1000,$A135,'Card Test Cases'!$A$4:$A$1000,"&lt;&gt;",'Card Test Cases'!$F$4:$F$1000,"Blocked")&gt;0,"Blocked",IF($R135&gt;0,"In Progress","Passed")))))</f>
        <v/>
      </c>
      <c r="O135" s="68" t="str">
        <f>IF(TRIM($A135)="","",COUNTIFS('Card Test Cases'!$B$4:$B$1000,$A135,'Card Test Cases'!$A$4:$A$1000,"&lt;&gt;",'Card Test Cases'!$F$4:$F$1000,"&lt;&gt;Out of Scope"))</f>
        <v/>
      </c>
      <c r="P135" s="68" t="str">
        <f>IF(TRIM($A135)="","",COUNTIFS('Card Test Cases'!$B$4:$B$1000,$A135,'Card Test Cases'!$A$4:$A$1000,"&lt;&gt;",'Card Test Cases'!$F$4:$F$1000,"Passed"))</f>
        <v/>
      </c>
      <c r="Q135" s="68" t="str">
        <f>IF(TRIM($A135)="","",COUNTIFS('Card Test Cases'!$B$4:$B$1000,$A135,'Card Test Cases'!$A$4:$A$1000,"&lt;&gt;",'Card Test Cases'!$F$4:$F$1000,"Failed"))</f>
        <v/>
      </c>
      <c r="R135" s="68" t="str">
        <f t="shared" si="2"/>
        <v/>
      </c>
      <c r="S135" s="68" t="str" cm="1">
        <f t="array" ref="S135">IF(TRIM($A135)="","",IFERROR(_xlfn.TEXTJOIN(", ",TRUE,_xlfn.UNIQUE(_xlfn.VSTACK(_xlfn._xlws.FILTER('Card Test Cases'!$G$4:$G$1000,('Card Test Cases'!$B$4:$B$1000=$A135)*('Card Test Cases'!$G$4:$G$1000&lt;&gt;""),""),_xlfn._xlws.FILTER('E2E core flow'!$U$15:$U$1000,('E2E core flow'!$A$15:$A$1000&lt;&gt;"")*ISNUMBER(SEARCH('E2E core flow'!$A$15:$A$1000,$E135))*('E2E core flow'!$U$15:$U$1000&lt;&gt;""),"")))),"-"))</f>
        <v/>
      </c>
    </row>
    <row r="136" spans="7:19" x14ac:dyDescent="0.3">
      <c r="G136" s="68" t="str" cm="1">
        <f t="array" ref="G136">_xlfn.LET(_xlpm.ids,'E2E core flow'!$A$15:$A$1000,_xlpm.v,'E2E core flow'!$W$15:$W$1000,_xlpm.m,(_xlpm.ids&lt;&gt;"")*ISNUMBER(SEARCH(_xlpm.ids,$E136)),_xlpm.f,SUM(_xlpm.m*(_xlpm.v="Failed")),_xlpm.b,SUM(_xlpm.m*(_xlpm.v="Blocked")),_xlpm.nr,SUM(_xlpm.m*(_xlpm.v="Not Run")),_xlpm.cp,SUM(_xlpm.m*(_xlpm.v="Conditionally Passed")),_xlpm.p,SUM(_xlpm.m*(_xlpm.v="Passed")),IF(TRIM($A136)="","",IF(TRIM($E136)="","Pending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36" s="68" t="str">
        <f>IF(TRIM($A136)="","",IF($J136="Passed","",IF($J136="Passed with Known Issue","Known Issue",IF($J136="",IF(OR($H136&lt;&gt;"No",AND($F136&lt;&gt;"Medium",$F136&lt;&gt;"Low")),"Pending Result",""),IF(OR($H136&lt;&gt;"No",AND($F136&lt;&gt;"Medium",$F136&lt;&gt;"Low")),IF(COUNTIFS(Dashboard!$B$105:$B$124,$A136,Dashboard!$I$105:$I$124,"CAB")&gt;0,"Accepted (CF)","Blocking"),IF($J136="Failed","Deferrable","Carry Over"))))))</f>
        <v/>
      </c>
      <c r="M136" s="68" t="str">
        <f>IF(OR(TRIM($A136)="",TRIM($E136)=""),"",IFERROR(INDEX('E2E core flow'!$B$15:$B$1000,MATCH(1,INDEX(('E2E core flow'!$A$15:$A$1000&lt;&gt;"")*ISNUMBER(SEARCH('E2E core flow'!$A$15:$A$1000,$E136)),0),0))&amp;"","-"))</f>
        <v/>
      </c>
      <c r="N136" s="68" t="str">
        <f>IF(TRIM($A136)="","",IF($O136=0,IF(COUNTIFS('Card Test Cases'!$B$4:$B$1000,$A136,'Card Test Cases'!$A$4:$A$1000,"&lt;&gt;")&gt;0,"Out of Scope","No TC"),IF($Q136&gt;0,"Failed",IF(COUNTIFS('Card Test Cases'!$B$4:$B$1000,$A136,'Card Test Cases'!$A$4:$A$1000,"&lt;&gt;",'Card Test Cases'!$F$4:$F$1000,"Blocked")&gt;0,"Blocked",IF($R136&gt;0,"In Progress","Passed")))))</f>
        <v/>
      </c>
      <c r="O136" s="68" t="str">
        <f>IF(TRIM($A136)="","",COUNTIFS('Card Test Cases'!$B$4:$B$1000,$A136,'Card Test Cases'!$A$4:$A$1000,"&lt;&gt;",'Card Test Cases'!$F$4:$F$1000,"&lt;&gt;Out of Scope"))</f>
        <v/>
      </c>
      <c r="P136" s="68" t="str">
        <f>IF(TRIM($A136)="","",COUNTIFS('Card Test Cases'!$B$4:$B$1000,$A136,'Card Test Cases'!$A$4:$A$1000,"&lt;&gt;",'Card Test Cases'!$F$4:$F$1000,"Passed"))</f>
        <v/>
      </c>
      <c r="Q136" s="68" t="str">
        <f>IF(TRIM($A136)="","",COUNTIFS('Card Test Cases'!$B$4:$B$1000,$A136,'Card Test Cases'!$A$4:$A$1000,"&lt;&gt;",'Card Test Cases'!$F$4:$F$1000,"Failed"))</f>
        <v/>
      </c>
      <c r="R136" s="68" t="str">
        <f t="shared" si="2"/>
        <v/>
      </c>
      <c r="S136" s="68" t="str" cm="1">
        <f t="array" ref="S136">IF(TRIM($A136)="","",IFERROR(_xlfn.TEXTJOIN(", ",TRUE,_xlfn.UNIQUE(_xlfn.VSTACK(_xlfn._xlws.FILTER('Card Test Cases'!$G$4:$G$1000,('Card Test Cases'!$B$4:$B$1000=$A136)*('Card Test Cases'!$G$4:$G$1000&lt;&gt;""),""),_xlfn._xlws.FILTER('E2E core flow'!$U$15:$U$1000,('E2E core flow'!$A$15:$A$1000&lt;&gt;"")*ISNUMBER(SEARCH('E2E core flow'!$A$15:$A$1000,$E136))*('E2E core flow'!$U$15:$U$1000&lt;&gt;""),"")))),"-"))</f>
        <v/>
      </c>
    </row>
    <row r="137" spans="7:19" x14ac:dyDescent="0.3">
      <c r="G137" s="68" t="str" cm="1">
        <f t="array" ref="G137">_xlfn.LET(_xlpm.ids,'E2E core flow'!$A$15:$A$1000,_xlpm.v,'E2E core flow'!$W$15:$W$1000,_xlpm.m,(_xlpm.ids&lt;&gt;"")*ISNUMBER(SEARCH(_xlpm.ids,$E137)),_xlpm.f,SUM(_xlpm.m*(_xlpm.v="Failed")),_xlpm.b,SUM(_xlpm.m*(_xlpm.v="Blocked")),_xlpm.nr,SUM(_xlpm.m*(_xlpm.v="Not Run")),_xlpm.cp,SUM(_xlpm.m*(_xlpm.v="Conditionally Passed")),_xlpm.p,SUM(_xlpm.m*(_xlpm.v="Passed")),IF(TRIM($A137)="","",IF(TRIM($E137)="","Pending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37" s="68" t="str">
        <f>IF(TRIM($A137)="","",IF($J137="Passed","",IF($J137="Passed with Known Issue","Known Issue",IF($J137="",IF(OR($H137&lt;&gt;"No",AND($F137&lt;&gt;"Medium",$F137&lt;&gt;"Low")),"Pending Result",""),IF(OR($H137&lt;&gt;"No",AND($F137&lt;&gt;"Medium",$F137&lt;&gt;"Low")),IF(COUNTIFS(Dashboard!$B$105:$B$124,$A137,Dashboard!$I$105:$I$124,"CAB")&gt;0,"Accepted (CF)","Blocking"),IF($J137="Failed","Deferrable","Carry Over"))))))</f>
        <v/>
      </c>
      <c r="M137" s="68" t="str">
        <f>IF(OR(TRIM($A137)="",TRIM($E137)=""),"",IFERROR(INDEX('E2E core flow'!$B$15:$B$1000,MATCH(1,INDEX(('E2E core flow'!$A$15:$A$1000&lt;&gt;"")*ISNUMBER(SEARCH('E2E core flow'!$A$15:$A$1000,$E137)),0),0))&amp;"","-"))</f>
        <v/>
      </c>
      <c r="N137" s="68" t="str">
        <f>IF(TRIM($A137)="","",IF($O137=0,IF(COUNTIFS('Card Test Cases'!$B$4:$B$1000,$A137,'Card Test Cases'!$A$4:$A$1000,"&lt;&gt;")&gt;0,"Out of Scope","No TC"),IF($Q137&gt;0,"Failed",IF(COUNTIFS('Card Test Cases'!$B$4:$B$1000,$A137,'Card Test Cases'!$A$4:$A$1000,"&lt;&gt;",'Card Test Cases'!$F$4:$F$1000,"Blocked")&gt;0,"Blocked",IF($R137&gt;0,"In Progress","Passed")))))</f>
        <v/>
      </c>
      <c r="O137" s="68" t="str">
        <f>IF(TRIM($A137)="","",COUNTIFS('Card Test Cases'!$B$4:$B$1000,$A137,'Card Test Cases'!$A$4:$A$1000,"&lt;&gt;",'Card Test Cases'!$F$4:$F$1000,"&lt;&gt;Out of Scope"))</f>
        <v/>
      </c>
      <c r="P137" s="68" t="str">
        <f>IF(TRIM($A137)="","",COUNTIFS('Card Test Cases'!$B$4:$B$1000,$A137,'Card Test Cases'!$A$4:$A$1000,"&lt;&gt;",'Card Test Cases'!$F$4:$F$1000,"Passed"))</f>
        <v/>
      </c>
      <c r="Q137" s="68" t="str">
        <f>IF(TRIM($A137)="","",COUNTIFS('Card Test Cases'!$B$4:$B$1000,$A137,'Card Test Cases'!$A$4:$A$1000,"&lt;&gt;",'Card Test Cases'!$F$4:$F$1000,"Failed"))</f>
        <v/>
      </c>
      <c r="R137" s="68" t="str">
        <f t="shared" si="2"/>
        <v/>
      </c>
      <c r="S137" s="68" t="str" cm="1">
        <f t="array" ref="S137">IF(TRIM($A137)="","",IFERROR(_xlfn.TEXTJOIN(", ",TRUE,_xlfn.UNIQUE(_xlfn.VSTACK(_xlfn._xlws.FILTER('Card Test Cases'!$G$4:$G$1000,('Card Test Cases'!$B$4:$B$1000=$A137)*('Card Test Cases'!$G$4:$G$1000&lt;&gt;""),""),_xlfn._xlws.FILTER('E2E core flow'!$U$15:$U$1000,('E2E core flow'!$A$15:$A$1000&lt;&gt;"")*ISNUMBER(SEARCH('E2E core flow'!$A$15:$A$1000,$E137))*('E2E core flow'!$U$15:$U$1000&lt;&gt;""),"")))),"-"))</f>
        <v/>
      </c>
    </row>
    <row r="138" spans="7:19" x14ac:dyDescent="0.3">
      <c r="G138" s="68" t="str" cm="1">
        <f t="array" ref="G138">_xlfn.LET(_xlpm.ids,'E2E core flow'!$A$15:$A$1000,_xlpm.v,'E2E core flow'!$W$15:$W$1000,_xlpm.m,(_xlpm.ids&lt;&gt;"")*ISNUMBER(SEARCH(_xlpm.ids,$E138)),_xlpm.f,SUM(_xlpm.m*(_xlpm.v="Failed")),_xlpm.b,SUM(_xlpm.m*(_xlpm.v="Blocked")),_xlpm.nr,SUM(_xlpm.m*(_xlpm.v="Not Run")),_xlpm.cp,SUM(_xlpm.m*(_xlpm.v="Conditionally Passed")),_xlpm.p,SUM(_xlpm.m*(_xlpm.v="Passed")),IF(TRIM($A138)="","",IF(TRIM($E138)="","Pending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38" s="68" t="str">
        <f>IF(TRIM($A138)="","",IF($J138="Passed","",IF($J138="Passed with Known Issue","Known Issue",IF($J138="",IF(OR($H138&lt;&gt;"No",AND($F138&lt;&gt;"Medium",$F138&lt;&gt;"Low")),"Pending Result",""),IF(OR($H138&lt;&gt;"No",AND($F138&lt;&gt;"Medium",$F138&lt;&gt;"Low")),IF(COUNTIFS(Dashboard!$B$105:$B$124,$A138,Dashboard!$I$105:$I$124,"CAB")&gt;0,"Accepted (CF)","Blocking"),IF($J138="Failed","Deferrable","Carry Over"))))))</f>
        <v/>
      </c>
      <c r="M138" s="68" t="str">
        <f>IF(OR(TRIM($A138)="",TRIM($E138)=""),"",IFERROR(INDEX('E2E core flow'!$B$15:$B$1000,MATCH(1,INDEX(('E2E core flow'!$A$15:$A$1000&lt;&gt;"")*ISNUMBER(SEARCH('E2E core flow'!$A$15:$A$1000,$E138)),0),0))&amp;"","-"))</f>
        <v/>
      </c>
      <c r="N138" s="68" t="str">
        <f>IF(TRIM($A138)="","",IF($O138=0,IF(COUNTIFS('Card Test Cases'!$B$4:$B$1000,$A138,'Card Test Cases'!$A$4:$A$1000,"&lt;&gt;")&gt;0,"Out of Scope","No TC"),IF($Q138&gt;0,"Failed",IF(COUNTIFS('Card Test Cases'!$B$4:$B$1000,$A138,'Card Test Cases'!$A$4:$A$1000,"&lt;&gt;",'Card Test Cases'!$F$4:$F$1000,"Blocked")&gt;0,"Blocked",IF($R138&gt;0,"In Progress","Passed")))))</f>
        <v/>
      </c>
      <c r="O138" s="68" t="str">
        <f>IF(TRIM($A138)="","",COUNTIFS('Card Test Cases'!$B$4:$B$1000,$A138,'Card Test Cases'!$A$4:$A$1000,"&lt;&gt;",'Card Test Cases'!$F$4:$F$1000,"&lt;&gt;Out of Scope"))</f>
        <v/>
      </c>
      <c r="P138" s="68" t="str">
        <f>IF(TRIM($A138)="","",COUNTIFS('Card Test Cases'!$B$4:$B$1000,$A138,'Card Test Cases'!$A$4:$A$1000,"&lt;&gt;",'Card Test Cases'!$F$4:$F$1000,"Passed"))</f>
        <v/>
      </c>
      <c r="Q138" s="68" t="str">
        <f>IF(TRIM($A138)="","",COUNTIFS('Card Test Cases'!$B$4:$B$1000,$A138,'Card Test Cases'!$A$4:$A$1000,"&lt;&gt;",'Card Test Cases'!$F$4:$F$1000,"Failed"))</f>
        <v/>
      </c>
      <c r="R138" s="68" t="str">
        <f t="shared" si="2"/>
        <v/>
      </c>
      <c r="S138" s="68" t="str" cm="1">
        <f t="array" ref="S138">IF(TRIM($A138)="","",IFERROR(_xlfn.TEXTJOIN(", ",TRUE,_xlfn.UNIQUE(_xlfn.VSTACK(_xlfn._xlws.FILTER('Card Test Cases'!$G$4:$G$1000,('Card Test Cases'!$B$4:$B$1000=$A138)*('Card Test Cases'!$G$4:$G$1000&lt;&gt;""),""),_xlfn._xlws.FILTER('E2E core flow'!$U$15:$U$1000,('E2E core flow'!$A$15:$A$1000&lt;&gt;"")*ISNUMBER(SEARCH('E2E core flow'!$A$15:$A$1000,$E138))*('E2E core flow'!$U$15:$U$1000&lt;&gt;""),"")))),"-"))</f>
        <v/>
      </c>
    </row>
    <row r="139" spans="7:19" x14ac:dyDescent="0.3">
      <c r="G139" s="68" t="str" cm="1">
        <f t="array" ref="G139">_xlfn.LET(_xlpm.ids,'E2E core flow'!$A$15:$A$1000,_xlpm.v,'E2E core flow'!$W$15:$W$1000,_xlpm.m,(_xlpm.ids&lt;&gt;"")*ISNUMBER(SEARCH(_xlpm.ids,$E139)),_xlpm.f,SUM(_xlpm.m*(_xlpm.v="Failed")),_xlpm.b,SUM(_xlpm.m*(_xlpm.v="Blocked")),_xlpm.nr,SUM(_xlpm.m*(_xlpm.v="Not Run")),_xlpm.cp,SUM(_xlpm.m*(_xlpm.v="Conditionally Passed")),_xlpm.p,SUM(_xlpm.m*(_xlpm.v="Passed")),IF(TRIM($A139)="","",IF(TRIM($E139)="","Pending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39" s="68" t="str">
        <f>IF(TRIM($A139)="","",IF($J139="Passed","",IF($J139="Passed with Known Issue","Known Issue",IF($J139="",IF(OR($H139&lt;&gt;"No",AND($F139&lt;&gt;"Medium",$F139&lt;&gt;"Low")),"Pending Result",""),IF(OR($H139&lt;&gt;"No",AND($F139&lt;&gt;"Medium",$F139&lt;&gt;"Low")),IF(COUNTIFS(Dashboard!$B$105:$B$124,$A139,Dashboard!$I$105:$I$124,"CAB")&gt;0,"Accepted (CF)","Blocking"),IF($J139="Failed","Deferrable","Carry Over"))))))</f>
        <v/>
      </c>
      <c r="M139" s="68" t="str">
        <f>IF(OR(TRIM($A139)="",TRIM($E139)=""),"",IFERROR(INDEX('E2E core flow'!$B$15:$B$1000,MATCH(1,INDEX(('E2E core flow'!$A$15:$A$1000&lt;&gt;"")*ISNUMBER(SEARCH('E2E core flow'!$A$15:$A$1000,$E139)),0),0))&amp;"","-"))</f>
        <v/>
      </c>
      <c r="N139" s="68" t="str">
        <f>IF(TRIM($A139)="","",IF($O139=0,IF(COUNTIFS('Card Test Cases'!$B$4:$B$1000,$A139,'Card Test Cases'!$A$4:$A$1000,"&lt;&gt;")&gt;0,"Out of Scope","No TC"),IF($Q139&gt;0,"Failed",IF(COUNTIFS('Card Test Cases'!$B$4:$B$1000,$A139,'Card Test Cases'!$A$4:$A$1000,"&lt;&gt;",'Card Test Cases'!$F$4:$F$1000,"Blocked")&gt;0,"Blocked",IF($R139&gt;0,"In Progress","Passed")))))</f>
        <v/>
      </c>
      <c r="O139" s="68" t="str">
        <f>IF(TRIM($A139)="","",COUNTIFS('Card Test Cases'!$B$4:$B$1000,$A139,'Card Test Cases'!$A$4:$A$1000,"&lt;&gt;",'Card Test Cases'!$F$4:$F$1000,"&lt;&gt;Out of Scope"))</f>
        <v/>
      </c>
      <c r="P139" s="68" t="str">
        <f>IF(TRIM($A139)="","",COUNTIFS('Card Test Cases'!$B$4:$B$1000,$A139,'Card Test Cases'!$A$4:$A$1000,"&lt;&gt;",'Card Test Cases'!$F$4:$F$1000,"Passed"))</f>
        <v/>
      </c>
      <c r="Q139" s="68" t="str">
        <f>IF(TRIM($A139)="","",COUNTIFS('Card Test Cases'!$B$4:$B$1000,$A139,'Card Test Cases'!$A$4:$A$1000,"&lt;&gt;",'Card Test Cases'!$F$4:$F$1000,"Failed"))</f>
        <v/>
      </c>
      <c r="R139" s="68" t="str">
        <f t="shared" si="2"/>
        <v/>
      </c>
      <c r="S139" s="68" t="str" cm="1">
        <f t="array" ref="S139">IF(TRIM($A139)="","",IFERROR(_xlfn.TEXTJOIN(", ",TRUE,_xlfn.UNIQUE(_xlfn.VSTACK(_xlfn._xlws.FILTER('Card Test Cases'!$G$4:$G$1000,('Card Test Cases'!$B$4:$B$1000=$A139)*('Card Test Cases'!$G$4:$G$1000&lt;&gt;""),""),_xlfn._xlws.FILTER('E2E core flow'!$U$15:$U$1000,('E2E core flow'!$A$15:$A$1000&lt;&gt;"")*ISNUMBER(SEARCH('E2E core flow'!$A$15:$A$1000,$E139))*('E2E core flow'!$U$15:$U$1000&lt;&gt;""),"")))),"-"))</f>
        <v/>
      </c>
    </row>
    <row r="140" spans="7:19" x14ac:dyDescent="0.3">
      <c r="G140" s="68" t="str" cm="1">
        <f t="array" ref="G140">_xlfn.LET(_xlpm.ids,'E2E core flow'!$A$15:$A$1000,_xlpm.v,'E2E core flow'!$W$15:$W$1000,_xlpm.m,(_xlpm.ids&lt;&gt;"")*ISNUMBER(SEARCH(_xlpm.ids,$E140)),_xlpm.f,SUM(_xlpm.m*(_xlpm.v="Failed")),_xlpm.b,SUM(_xlpm.m*(_xlpm.v="Blocked")),_xlpm.nr,SUM(_xlpm.m*(_xlpm.v="Not Run")),_xlpm.cp,SUM(_xlpm.m*(_xlpm.v="Conditionally Passed")),_xlpm.p,SUM(_xlpm.m*(_xlpm.v="Passed")),IF(TRIM($A140)="","",IF(TRIM($E140)="","Pending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40" s="68" t="str">
        <f>IF(TRIM($A140)="","",IF($J140="Passed","",IF($J140="Passed with Known Issue","Known Issue",IF($J140="",IF(OR($H140&lt;&gt;"No",AND($F140&lt;&gt;"Medium",$F140&lt;&gt;"Low")),"Pending Result",""),IF(OR($H140&lt;&gt;"No",AND($F140&lt;&gt;"Medium",$F140&lt;&gt;"Low")),IF(COUNTIFS(Dashboard!$B$105:$B$124,$A140,Dashboard!$I$105:$I$124,"CAB")&gt;0,"Accepted (CF)","Blocking"),IF($J140="Failed","Deferrable","Carry Over"))))))</f>
        <v/>
      </c>
      <c r="M140" s="68" t="str">
        <f>IF(OR(TRIM($A140)="",TRIM($E140)=""),"",IFERROR(INDEX('E2E core flow'!$B$15:$B$1000,MATCH(1,INDEX(('E2E core flow'!$A$15:$A$1000&lt;&gt;"")*ISNUMBER(SEARCH('E2E core flow'!$A$15:$A$1000,$E140)),0),0))&amp;"","-"))</f>
        <v/>
      </c>
      <c r="N140" s="68" t="str">
        <f>IF(TRIM($A140)="","",IF($O140=0,IF(COUNTIFS('Card Test Cases'!$B$4:$B$1000,$A140,'Card Test Cases'!$A$4:$A$1000,"&lt;&gt;")&gt;0,"Out of Scope","No TC"),IF($Q140&gt;0,"Failed",IF(COUNTIFS('Card Test Cases'!$B$4:$B$1000,$A140,'Card Test Cases'!$A$4:$A$1000,"&lt;&gt;",'Card Test Cases'!$F$4:$F$1000,"Blocked")&gt;0,"Blocked",IF($R140&gt;0,"In Progress","Passed")))))</f>
        <v/>
      </c>
      <c r="O140" s="68" t="str">
        <f>IF(TRIM($A140)="","",COUNTIFS('Card Test Cases'!$B$4:$B$1000,$A140,'Card Test Cases'!$A$4:$A$1000,"&lt;&gt;",'Card Test Cases'!$F$4:$F$1000,"&lt;&gt;Out of Scope"))</f>
        <v/>
      </c>
      <c r="P140" s="68" t="str">
        <f>IF(TRIM($A140)="","",COUNTIFS('Card Test Cases'!$B$4:$B$1000,$A140,'Card Test Cases'!$A$4:$A$1000,"&lt;&gt;",'Card Test Cases'!$F$4:$F$1000,"Passed"))</f>
        <v/>
      </c>
      <c r="Q140" s="68" t="str">
        <f>IF(TRIM($A140)="","",COUNTIFS('Card Test Cases'!$B$4:$B$1000,$A140,'Card Test Cases'!$A$4:$A$1000,"&lt;&gt;",'Card Test Cases'!$F$4:$F$1000,"Failed"))</f>
        <v/>
      </c>
      <c r="R140" s="68" t="str">
        <f t="shared" si="2"/>
        <v/>
      </c>
      <c r="S140" s="68" t="str" cm="1">
        <f t="array" ref="S140">IF(TRIM($A140)="","",IFERROR(_xlfn.TEXTJOIN(", ",TRUE,_xlfn.UNIQUE(_xlfn.VSTACK(_xlfn._xlws.FILTER('Card Test Cases'!$G$4:$G$1000,('Card Test Cases'!$B$4:$B$1000=$A140)*('Card Test Cases'!$G$4:$G$1000&lt;&gt;""),""),_xlfn._xlws.FILTER('E2E core flow'!$U$15:$U$1000,('E2E core flow'!$A$15:$A$1000&lt;&gt;"")*ISNUMBER(SEARCH('E2E core flow'!$A$15:$A$1000,$E140))*('E2E core flow'!$U$15:$U$1000&lt;&gt;""),"")))),"-"))</f>
        <v/>
      </c>
    </row>
    <row r="141" spans="7:19" x14ac:dyDescent="0.3">
      <c r="G141" s="68" t="str" cm="1">
        <f t="array" ref="G141">_xlfn.LET(_xlpm.ids,'E2E core flow'!$A$15:$A$1000,_xlpm.v,'E2E core flow'!$W$15:$W$1000,_xlpm.m,(_xlpm.ids&lt;&gt;"")*ISNUMBER(SEARCH(_xlpm.ids,$E141)),_xlpm.f,SUM(_xlpm.m*(_xlpm.v="Failed")),_xlpm.b,SUM(_xlpm.m*(_xlpm.v="Blocked")),_xlpm.nr,SUM(_xlpm.m*(_xlpm.v="Not Run")),_xlpm.cp,SUM(_xlpm.m*(_xlpm.v="Conditionally Passed")),_xlpm.p,SUM(_xlpm.m*(_xlpm.v="Passed")),IF(TRIM($A141)="","",IF(TRIM($E141)="","Pending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41" s="68" t="str">
        <f>IF(TRIM($A141)="","",IF($J141="Passed","",IF($J141="Passed with Known Issue","Known Issue",IF($J141="",IF(OR($H141&lt;&gt;"No",AND($F141&lt;&gt;"Medium",$F141&lt;&gt;"Low")),"Pending Result",""),IF(OR($H141&lt;&gt;"No",AND($F141&lt;&gt;"Medium",$F141&lt;&gt;"Low")),IF(COUNTIFS(Dashboard!$B$105:$B$124,$A141,Dashboard!$I$105:$I$124,"CAB")&gt;0,"Accepted (CF)","Blocking"),IF($J141="Failed","Deferrable","Carry Over"))))))</f>
        <v/>
      </c>
      <c r="M141" s="68" t="str">
        <f>IF(OR(TRIM($A141)="",TRIM($E141)=""),"",IFERROR(INDEX('E2E core flow'!$B$15:$B$1000,MATCH(1,INDEX(('E2E core flow'!$A$15:$A$1000&lt;&gt;"")*ISNUMBER(SEARCH('E2E core flow'!$A$15:$A$1000,$E141)),0),0))&amp;"","-"))</f>
        <v/>
      </c>
      <c r="N141" s="68" t="str">
        <f>IF(TRIM($A141)="","",IF($O141=0,IF(COUNTIFS('Card Test Cases'!$B$4:$B$1000,$A141,'Card Test Cases'!$A$4:$A$1000,"&lt;&gt;")&gt;0,"Out of Scope","No TC"),IF($Q141&gt;0,"Failed",IF(COUNTIFS('Card Test Cases'!$B$4:$B$1000,$A141,'Card Test Cases'!$A$4:$A$1000,"&lt;&gt;",'Card Test Cases'!$F$4:$F$1000,"Blocked")&gt;0,"Blocked",IF($R141&gt;0,"In Progress","Passed")))))</f>
        <v/>
      </c>
      <c r="O141" s="68" t="str">
        <f>IF(TRIM($A141)="","",COUNTIFS('Card Test Cases'!$B$4:$B$1000,$A141,'Card Test Cases'!$A$4:$A$1000,"&lt;&gt;",'Card Test Cases'!$F$4:$F$1000,"&lt;&gt;Out of Scope"))</f>
        <v/>
      </c>
      <c r="P141" s="68" t="str">
        <f>IF(TRIM($A141)="","",COUNTIFS('Card Test Cases'!$B$4:$B$1000,$A141,'Card Test Cases'!$A$4:$A$1000,"&lt;&gt;",'Card Test Cases'!$F$4:$F$1000,"Passed"))</f>
        <v/>
      </c>
      <c r="Q141" s="68" t="str">
        <f>IF(TRIM($A141)="","",COUNTIFS('Card Test Cases'!$B$4:$B$1000,$A141,'Card Test Cases'!$A$4:$A$1000,"&lt;&gt;",'Card Test Cases'!$F$4:$F$1000,"Failed"))</f>
        <v/>
      </c>
      <c r="R141" s="68" t="str">
        <f t="shared" si="2"/>
        <v/>
      </c>
      <c r="S141" s="68" t="str" cm="1">
        <f t="array" ref="S141">IF(TRIM($A141)="","",IFERROR(_xlfn.TEXTJOIN(", ",TRUE,_xlfn.UNIQUE(_xlfn.VSTACK(_xlfn._xlws.FILTER('Card Test Cases'!$G$4:$G$1000,('Card Test Cases'!$B$4:$B$1000=$A141)*('Card Test Cases'!$G$4:$G$1000&lt;&gt;""),""),_xlfn._xlws.FILTER('E2E core flow'!$U$15:$U$1000,('E2E core flow'!$A$15:$A$1000&lt;&gt;"")*ISNUMBER(SEARCH('E2E core flow'!$A$15:$A$1000,$E141))*('E2E core flow'!$U$15:$U$1000&lt;&gt;""),"")))),"-"))</f>
        <v/>
      </c>
    </row>
    <row r="142" spans="7:19" x14ac:dyDescent="0.3">
      <c r="G142" s="68" t="str" cm="1">
        <f t="array" ref="G142">_xlfn.LET(_xlpm.ids,'E2E core flow'!$A$15:$A$1000,_xlpm.v,'E2E core flow'!$W$15:$W$1000,_xlpm.m,(_xlpm.ids&lt;&gt;"")*ISNUMBER(SEARCH(_xlpm.ids,$E142)),_xlpm.f,SUM(_xlpm.m*(_xlpm.v="Failed")),_xlpm.b,SUM(_xlpm.m*(_xlpm.v="Blocked")),_xlpm.nr,SUM(_xlpm.m*(_xlpm.v="Not Run")),_xlpm.cp,SUM(_xlpm.m*(_xlpm.v="Conditionally Passed")),_xlpm.p,SUM(_xlpm.m*(_xlpm.v="Passed")),IF(TRIM($A142)="","",IF(TRIM($E142)="","Pending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42" s="68" t="str">
        <f>IF(TRIM($A142)="","",IF($J142="Passed","",IF($J142="Passed with Known Issue","Known Issue",IF($J142="",IF(OR($H142&lt;&gt;"No",AND($F142&lt;&gt;"Medium",$F142&lt;&gt;"Low")),"Pending Result",""),IF(OR($H142&lt;&gt;"No",AND($F142&lt;&gt;"Medium",$F142&lt;&gt;"Low")),IF(COUNTIFS(Dashboard!$B$105:$B$124,$A142,Dashboard!$I$105:$I$124,"CAB")&gt;0,"Accepted (CF)","Blocking"),IF($J142="Failed","Deferrable","Carry Over"))))))</f>
        <v/>
      </c>
      <c r="M142" s="68" t="str">
        <f>IF(OR(TRIM($A142)="",TRIM($E142)=""),"",IFERROR(INDEX('E2E core flow'!$B$15:$B$1000,MATCH(1,INDEX(('E2E core flow'!$A$15:$A$1000&lt;&gt;"")*ISNUMBER(SEARCH('E2E core flow'!$A$15:$A$1000,$E142)),0),0))&amp;"","-"))</f>
        <v/>
      </c>
      <c r="N142" s="68" t="str">
        <f>IF(TRIM($A142)="","",IF($O142=0,IF(COUNTIFS('Card Test Cases'!$B$4:$B$1000,$A142,'Card Test Cases'!$A$4:$A$1000,"&lt;&gt;")&gt;0,"Out of Scope","No TC"),IF($Q142&gt;0,"Failed",IF(COUNTIFS('Card Test Cases'!$B$4:$B$1000,$A142,'Card Test Cases'!$A$4:$A$1000,"&lt;&gt;",'Card Test Cases'!$F$4:$F$1000,"Blocked")&gt;0,"Blocked",IF($R142&gt;0,"In Progress","Passed")))))</f>
        <v/>
      </c>
      <c r="O142" s="68" t="str">
        <f>IF(TRIM($A142)="","",COUNTIFS('Card Test Cases'!$B$4:$B$1000,$A142,'Card Test Cases'!$A$4:$A$1000,"&lt;&gt;",'Card Test Cases'!$F$4:$F$1000,"&lt;&gt;Out of Scope"))</f>
        <v/>
      </c>
      <c r="P142" s="68" t="str">
        <f>IF(TRIM($A142)="","",COUNTIFS('Card Test Cases'!$B$4:$B$1000,$A142,'Card Test Cases'!$A$4:$A$1000,"&lt;&gt;",'Card Test Cases'!$F$4:$F$1000,"Passed"))</f>
        <v/>
      </c>
      <c r="Q142" s="68" t="str">
        <f>IF(TRIM($A142)="","",COUNTIFS('Card Test Cases'!$B$4:$B$1000,$A142,'Card Test Cases'!$A$4:$A$1000,"&lt;&gt;",'Card Test Cases'!$F$4:$F$1000,"Failed"))</f>
        <v/>
      </c>
      <c r="R142" s="68" t="str">
        <f t="shared" si="2"/>
        <v/>
      </c>
      <c r="S142" s="68" t="str" cm="1">
        <f t="array" ref="S142">IF(TRIM($A142)="","",IFERROR(_xlfn.TEXTJOIN(", ",TRUE,_xlfn.UNIQUE(_xlfn.VSTACK(_xlfn._xlws.FILTER('Card Test Cases'!$G$4:$G$1000,('Card Test Cases'!$B$4:$B$1000=$A142)*('Card Test Cases'!$G$4:$G$1000&lt;&gt;""),""),_xlfn._xlws.FILTER('E2E core flow'!$U$15:$U$1000,('E2E core flow'!$A$15:$A$1000&lt;&gt;"")*ISNUMBER(SEARCH('E2E core flow'!$A$15:$A$1000,$E142))*('E2E core flow'!$U$15:$U$1000&lt;&gt;""),"")))),"-"))</f>
        <v/>
      </c>
    </row>
    <row r="143" spans="7:19" x14ac:dyDescent="0.3">
      <c r="G143" s="68" t="str" cm="1">
        <f t="array" ref="G143">_xlfn.LET(_xlpm.ids,'E2E core flow'!$A$15:$A$1000,_xlpm.v,'E2E core flow'!$W$15:$W$1000,_xlpm.m,(_xlpm.ids&lt;&gt;"")*ISNUMBER(SEARCH(_xlpm.ids,$E143)),_xlpm.f,SUM(_xlpm.m*(_xlpm.v="Failed")),_xlpm.b,SUM(_xlpm.m*(_xlpm.v="Blocked")),_xlpm.nr,SUM(_xlpm.m*(_xlpm.v="Not Run")),_xlpm.cp,SUM(_xlpm.m*(_xlpm.v="Conditionally Passed")),_xlpm.p,SUM(_xlpm.m*(_xlpm.v="Passed")),IF(TRIM($A143)="","",IF(TRIM($E143)="","Pending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43" s="68" t="str">
        <f>IF(TRIM($A143)="","",IF($J143="Passed","",IF($J143="Passed with Known Issue","Known Issue",IF($J143="",IF(OR($H143&lt;&gt;"No",AND($F143&lt;&gt;"Medium",$F143&lt;&gt;"Low")),"Pending Result",""),IF(OR($H143&lt;&gt;"No",AND($F143&lt;&gt;"Medium",$F143&lt;&gt;"Low")),IF(COUNTIFS(Dashboard!$B$105:$B$124,$A143,Dashboard!$I$105:$I$124,"CAB")&gt;0,"Accepted (CF)","Blocking"),IF($J143="Failed","Deferrable","Carry Over"))))))</f>
        <v/>
      </c>
      <c r="M143" s="68" t="str">
        <f>IF(OR(TRIM($A143)="",TRIM($E143)=""),"",IFERROR(INDEX('E2E core flow'!$B$15:$B$1000,MATCH(1,INDEX(('E2E core flow'!$A$15:$A$1000&lt;&gt;"")*ISNUMBER(SEARCH('E2E core flow'!$A$15:$A$1000,$E143)),0),0))&amp;"","-"))</f>
        <v/>
      </c>
      <c r="N143" s="68" t="str">
        <f>IF(TRIM($A143)="","",IF($O143=0,IF(COUNTIFS('Card Test Cases'!$B$4:$B$1000,$A143,'Card Test Cases'!$A$4:$A$1000,"&lt;&gt;")&gt;0,"Out of Scope","No TC"),IF($Q143&gt;0,"Failed",IF(COUNTIFS('Card Test Cases'!$B$4:$B$1000,$A143,'Card Test Cases'!$A$4:$A$1000,"&lt;&gt;",'Card Test Cases'!$F$4:$F$1000,"Blocked")&gt;0,"Blocked",IF($R143&gt;0,"In Progress","Passed")))))</f>
        <v/>
      </c>
      <c r="O143" s="68" t="str">
        <f>IF(TRIM($A143)="","",COUNTIFS('Card Test Cases'!$B$4:$B$1000,$A143,'Card Test Cases'!$A$4:$A$1000,"&lt;&gt;",'Card Test Cases'!$F$4:$F$1000,"&lt;&gt;Out of Scope"))</f>
        <v/>
      </c>
      <c r="P143" s="68" t="str">
        <f>IF(TRIM($A143)="","",COUNTIFS('Card Test Cases'!$B$4:$B$1000,$A143,'Card Test Cases'!$A$4:$A$1000,"&lt;&gt;",'Card Test Cases'!$F$4:$F$1000,"Passed"))</f>
        <v/>
      </c>
      <c r="Q143" s="68" t="str">
        <f>IF(TRIM($A143)="","",COUNTIFS('Card Test Cases'!$B$4:$B$1000,$A143,'Card Test Cases'!$A$4:$A$1000,"&lt;&gt;",'Card Test Cases'!$F$4:$F$1000,"Failed"))</f>
        <v/>
      </c>
      <c r="R143" s="68" t="str">
        <f t="shared" si="2"/>
        <v/>
      </c>
      <c r="S143" s="68" t="str" cm="1">
        <f t="array" ref="S143">IF(TRIM($A143)="","",IFERROR(_xlfn.TEXTJOIN(", ",TRUE,_xlfn.UNIQUE(_xlfn.VSTACK(_xlfn._xlws.FILTER('Card Test Cases'!$G$4:$G$1000,('Card Test Cases'!$B$4:$B$1000=$A143)*('Card Test Cases'!$G$4:$G$1000&lt;&gt;""),""),_xlfn._xlws.FILTER('E2E core flow'!$U$15:$U$1000,('E2E core flow'!$A$15:$A$1000&lt;&gt;"")*ISNUMBER(SEARCH('E2E core flow'!$A$15:$A$1000,$E143))*('E2E core flow'!$U$15:$U$1000&lt;&gt;""),"")))),"-"))</f>
        <v/>
      </c>
    </row>
    <row r="144" spans="7:19" x14ac:dyDescent="0.3">
      <c r="G144" s="68" t="str" cm="1">
        <f t="array" ref="G144">_xlfn.LET(_xlpm.ids,'E2E core flow'!$A$15:$A$1000,_xlpm.v,'E2E core flow'!$W$15:$W$1000,_xlpm.m,(_xlpm.ids&lt;&gt;"")*ISNUMBER(SEARCH(_xlpm.ids,$E144)),_xlpm.f,SUM(_xlpm.m*(_xlpm.v="Failed")),_xlpm.b,SUM(_xlpm.m*(_xlpm.v="Blocked")),_xlpm.nr,SUM(_xlpm.m*(_xlpm.v="Not Run")),_xlpm.cp,SUM(_xlpm.m*(_xlpm.v="Conditionally Passed")),_xlpm.p,SUM(_xlpm.m*(_xlpm.v="Passed")),IF(TRIM($A144)="","",IF(TRIM($E144)="","Pending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44" s="68" t="str">
        <f>IF(TRIM($A144)="","",IF($J144="Passed","",IF($J144="Passed with Known Issue","Known Issue",IF($J144="",IF(OR($H144&lt;&gt;"No",AND($F144&lt;&gt;"Medium",$F144&lt;&gt;"Low")),"Pending Result",""),IF(OR($H144&lt;&gt;"No",AND($F144&lt;&gt;"Medium",$F144&lt;&gt;"Low")),IF(COUNTIFS(Dashboard!$B$105:$B$124,$A144,Dashboard!$I$105:$I$124,"CAB")&gt;0,"Accepted (CF)","Blocking"),IF($J144="Failed","Deferrable","Carry Over"))))))</f>
        <v/>
      </c>
      <c r="M144" s="68" t="str">
        <f>IF(OR(TRIM($A144)="",TRIM($E144)=""),"",IFERROR(INDEX('E2E core flow'!$B$15:$B$1000,MATCH(1,INDEX(('E2E core flow'!$A$15:$A$1000&lt;&gt;"")*ISNUMBER(SEARCH('E2E core flow'!$A$15:$A$1000,$E144)),0),0))&amp;"","-"))</f>
        <v/>
      </c>
      <c r="N144" s="68" t="str">
        <f>IF(TRIM($A144)="","",IF($O144=0,IF(COUNTIFS('Card Test Cases'!$B$4:$B$1000,$A144,'Card Test Cases'!$A$4:$A$1000,"&lt;&gt;")&gt;0,"Out of Scope","No TC"),IF($Q144&gt;0,"Failed",IF(COUNTIFS('Card Test Cases'!$B$4:$B$1000,$A144,'Card Test Cases'!$A$4:$A$1000,"&lt;&gt;",'Card Test Cases'!$F$4:$F$1000,"Blocked")&gt;0,"Blocked",IF($R144&gt;0,"In Progress","Passed")))))</f>
        <v/>
      </c>
      <c r="O144" s="68" t="str">
        <f>IF(TRIM($A144)="","",COUNTIFS('Card Test Cases'!$B$4:$B$1000,$A144,'Card Test Cases'!$A$4:$A$1000,"&lt;&gt;",'Card Test Cases'!$F$4:$F$1000,"&lt;&gt;Out of Scope"))</f>
        <v/>
      </c>
      <c r="P144" s="68" t="str">
        <f>IF(TRIM($A144)="","",COUNTIFS('Card Test Cases'!$B$4:$B$1000,$A144,'Card Test Cases'!$A$4:$A$1000,"&lt;&gt;",'Card Test Cases'!$F$4:$F$1000,"Passed"))</f>
        <v/>
      </c>
      <c r="Q144" s="68" t="str">
        <f>IF(TRIM($A144)="","",COUNTIFS('Card Test Cases'!$B$4:$B$1000,$A144,'Card Test Cases'!$A$4:$A$1000,"&lt;&gt;",'Card Test Cases'!$F$4:$F$1000,"Failed"))</f>
        <v/>
      </c>
      <c r="R144" s="68" t="str">
        <f t="shared" si="2"/>
        <v/>
      </c>
      <c r="S144" s="68" t="str" cm="1">
        <f t="array" ref="S144">IF(TRIM($A144)="","",IFERROR(_xlfn.TEXTJOIN(", ",TRUE,_xlfn.UNIQUE(_xlfn.VSTACK(_xlfn._xlws.FILTER('Card Test Cases'!$G$4:$G$1000,('Card Test Cases'!$B$4:$B$1000=$A144)*('Card Test Cases'!$G$4:$G$1000&lt;&gt;""),""),_xlfn._xlws.FILTER('E2E core flow'!$U$15:$U$1000,('E2E core flow'!$A$15:$A$1000&lt;&gt;"")*ISNUMBER(SEARCH('E2E core flow'!$A$15:$A$1000,$E144))*('E2E core flow'!$U$15:$U$1000&lt;&gt;""),"")))),"-"))</f>
        <v/>
      </c>
    </row>
    <row r="145" spans="7:19" x14ac:dyDescent="0.3">
      <c r="G145" s="68" t="str" cm="1">
        <f t="array" ref="G145">_xlfn.LET(_xlpm.ids,'E2E core flow'!$A$15:$A$1000,_xlpm.v,'E2E core flow'!$W$15:$W$1000,_xlpm.m,(_xlpm.ids&lt;&gt;"")*ISNUMBER(SEARCH(_xlpm.ids,$E145)),_xlpm.f,SUM(_xlpm.m*(_xlpm.v="Failed")),_xlpm.b,SUM(_xlpm.m*(_xlpm.v="Blocked")),_xlpm.nr,SUM(_xlpm.m*(_xlpm.v="Not Run")),_xlpm.cp,SUM(_xlpm.m*(_xlpm.v="Conditionally Passed")),_xlpm.p,SUM(_xlpm.m*(_xlpm.v="Passed")),IF(TRIM($A145)="","",IF(TRIM($E145)="","Pending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45" s="68" t="str">
        <f>IF(TRIM($A145)="","",IF($J145="Passed","",IF($J145="Passed with Known Issue","Known Issue",IF($J145="",IF(OR($H145&lt;&gt;"No",AND($F145&lt;&gt;"Medium",$F145&lt;&gt;"Low")),"Pending Result",""),IF(OR($H145&lt;&gt;"No",AND($F145&lt;&gt;"Medium",$F145&lt;&gt;"Low")),IF(COUNTIFS(Dashboard!$B$105:$B$124,$A145,Dashboard!$I$105:$I$124,"CAB")&gt;0,"Accepted (CF)","Blocking"),IF($J145="Failed","Deferrable","Carry Over"))))))</f>
        <v/>
      </c>
      <c r="M145" s="68" t="str">
        <f>IF(OR(TRIM($A145)="",TRIM($E145)=""),"",IFERROR(INDEX('E2E core flow'!$B$15:$B$1000,MATCH(1,INDEX(('E2E core flow'!$A$15:$A$1000&lt;&gt;"")*ISNUMBER(SEARCH('E2E core flow'!$A$15:$A$1000,$E145)),0),0))&amp;"","-"))</f>
        <v/>
      </c>
      <c r="N145" s="68" t="str">
        <f>IF(TRIM($A145)="","",IF($O145=0,IF(COUNTIFS('Card Test Cases'!$B$4:$B$1000,$A145,'Card Test Cases'!$A$4:$A$1000,"&lt;&gt;")&gt;0,"Out of Scope","No TC"),IF($Q145&gt;0,"Failed",IF(COUNTIFS('Card Test Cases'!$B$4:$B$1000,$A145,'Card Test Cases'!$A$4:$A$1000,"&lt;&gt;",'Card Test Cases'!$F$4:$F$1000,"Blocked")&gt;0,"Blocked",IF($R145&gt;0,"In Progress","Passed")))))</f>
        <v/>
      </c>
      <c r="O145" s="68" t="str">
        <f>IF(TRIM($A145)="","",COUNTIFS('Card Test Cases'!$B$4:$B$1000,$A145,'Card Test Cases'!$A$4:$A$1000,"&lt;&gt;",'Card Test Cases'!$F$4:$F$1000,"&lt;&gt;Out of Scope"))</f>
        <v/>
      </c>
      <c r="P145" s="68" t="str">
        <f>IF(TRIM($A145)="","",COUNTIFS('Card Test Cases'!$B$4:$B$1000,$A145,'Card Test Cases'!$A$4:$A$1000,"&lt;&gt;",'Card Test Cases'!$F$4:$F$1000,"Passed"))</f>
        <v/>
      </c>
      <c r="Q145" s="68" t="str">
        <f>IF(TRIM($A145)="","",COUNTIFS('Card Test Cases'!$B$4:$B$1000,$A145,'Card Test Cases'!$A$4:$A$1000,"&lt;&gt;",'Card Test Cases'!$F$4:$F$1000,"Failed"))</f>
        <v/>
      </c>
      <c r="R145" s="68" t="str">
        <f t="shared" si="2"/>
        <v/>
      </c>
      <c r="S145" s="68" t="str" cm="1">
        <f t="array" ref="S145">IF(TRIM($A145)="","",IFERROR(_xlfn.TEXTJOIN(", ",TRUE,_xlfn.UNIQUE(_xlfn.VSTACK(_xlfn._xlws.FILTER('Card Test Cases'!$G$4:$G$1000,('Card Test Cases'!$B$4:$B$1000=$A145)*('Card Test Cases'!$G$4:$G$1000&lt;&gt;""),""),_xlfn._xlws.FILTER('E2E core flow'!$U$15:$U$1000,('E2E core flow'!$A$15:$A$1000&lt;&gt;"")*ISNUMBER(SEARCH('E2E core flow'!$A$15:$A$1000,$E145))*('E2E core flow'!$U$15:$U$1000&lt;&gt;""),"")))),"-"))</f>
        <v/>
      </c>
    </row>
    <row r="146" spans="7:19" x14ac:dyDescent="0.3">
      <c r="G146" s="68" t="str" cm="1">
        <f t="array" ref="G146">_xlfn.LET(_xlpm.ids,'E2E core flow'!$A$15:$A$1000,_xlpm.v,'E2E core flow'!$W$15:$W$1000,_xlpm.m,(_xlpm.ids&lt;&gt;"")*ISNUMBER(SEARCH(_xlpm.ids,$E146)),_xlpm.f,SUM(_xlpm.m*(_xlpm.v="Failed")),_xlpm.b,SUM(_xlpm.m*(_xlpm.v="Blocked")),_xlpm.nr,SUM(_xlpm.m*(_xlpm.v="Not Run")),_xlpm.cp,SUM(_xlpm.m*(_xlpm.v="Conditionally Passed")),_xlpm.p,SUM(_xlpm.m*(_xlpm.v="Passed")),IF(TRIM($A146)="","",IF(TRIM($E146)="","Pending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46" s="68" t="str">
        <f>IF(TRIM($A146)="","",IF($J146="Passed","",IF($J146="Passed with Known Issue","Known Issue",IF($J146="",IF(OR($H146&lt;&gt;"No",AND($F146&lt;&gt;"Medium",$F146&lt;&gt;"Low")),"Pending Result",""),IF(OR($H146&lt;&gt;"No",AND($F146&lt;&gt;"Medium",$F146&lt;&gt;"Low")),IF(COUNTIFS(Dashboard!$B$105:$B$124,$A146,Dashboard!$I$105:$I$124,"CAB")&gt;0,"Accepted (CF)","Blocking"),IF($J146="Failed","Deferrable","Carry Over"))))))</f>
        <v/>
      </c>
      <c r="M146" s="68" t="str">
        <f>IF(OR(TRIM($A146)="",TRIM($E146)=""),"",IFERROR(INDEX('E2E core flow'!$B$15:$B$1000,MATCH(1,INDEX(('E2E core flow'!$A$15:$A$1000&lt;&gt;"")*ISNUMBER(SEARCH('E2E core flow'!$A$15:$A$1000,$E146)),0),0))&amp;"","-"))</f>
        <v/>
      </c>
      <c r="N146" s="68" t="str">
        <f>IF(TRIM($A146)="","",IF($O146=0,IF(COUNTIFS('Card Test Cases'!$B$4:$B$1000,$A146,'Card Test Cases'!$A$4:$A$1000,"&lt;&gt;")&gt;0,"Out of Scope","No TC"),IF($Q146&gt;0,"Failed",IF(COUNTIFS('Card Test Cases'!$B$4:$B$1000,$A146,'Card Test Cases'!$A$4:$A$1000,"&lt;&gt;",'Card Test Cases'!$F$4:$F$1000,"Blocked")&gt;0,"Blocked",IF($R146&gt;0,"In Progress","Passed")))))</f>
        <v/>
      </c>
      <c r="O146" s="68" t="str">
        <f>IF(TRIM($A146)="","",COUNTIFS('Card Test Cases'!$B$4:$B$1000,$A146,'Card Test Cases'!$A$4:$A$1000,"&lt;&gt;",'Card Test Cases'!$F$4:$F$1000,"&lt;&gt;Out of Scope"))</f>
        <v/>
      </c>
      <c r="P146" s="68" t="str">
        <f>IF(TRIM($A146)="","",COUNTIFS('Card Test Cases'!$B$4:$B$1000,$A146,'Card Test Cases'!$A$4:$A$1000,"&lt;&gt;",'Card Test Cases'!$F$4:$F$1000,"Passed"))</f>
        <v/>
      </c>
      <c r="Q146" s="68" t="str">
        <f>IF(TRIM($A146)="","",COUNTIFS('Card Test Cases'!$B$4:$B$1000,$A146,'Card Test Cases'!$A$4:$A$1000,"&lt;&gt;",'Card Test Cases'!$F$4:$F$1000,"Failed"))</f>
        <v/>
      </c>
      <c r="R146" s="68" t="str">
        <f t="shared" si="2"/>
        <v/>
      </c>
      <c r="S146" s="68" t="str" cm="1">
        <f t="array" ref="S146">IF(TRIM($A146)="","",IFERROR(_xlfn.TEXTJOIN(", ",TRUE,_xlfn.UNIQUE(_xlfn.VSTACK(_xlfn._xlws.FILTER('Card Test Cases'!$G$4:$G$1000,('Card Test Cases'!$B$4:$B$1000=$A146)*('Card Test Cases'!$G$4:$G$1000&lt;&gt;""),""),_xlfn._xlws.FILTER('E2E core flow'!$U$15:$U$1000,('E2E core flow'!$A$15:$A$1000&lt;&gt;"")*ISNUMBER(SEARCH('E2E core flow'!$A$15:$A$1000,$E146))*('E2E core flow'!$U$15:$U$1000&lt;&gt;""),"")))),"-"))</f>
        <v/>
      </c>
    </row>
    <row r="147" spans="7:19" x14ac:dyDescent="0.3">
      <c r="G147" s="68" t="str" cm="1">
        <f t="array" ref="G147">_xlfn.LET(_xlpm.ids,'E2E core flow'!$A$15:$A$1000,_xlpm.v,'E2E core flow'!$W$15:$W$1000,_xlpm.m,(_xlpm.ids&lt;&gt;"")*ISNUMBER(SEARCH(_xlpm.ids,$E147)),_xlpm.f,SUM(_xlpm.m*(_xlpm.v="Failed")),_xlpm.b,SUM(_xlpm.m*(_xlpm.v="Blocked")),_xlpm.nr,SUM(_xlpm.m*(_xlpm.v="Not Run")),_xlpm.cp,SUM(_xlpm.m*(_xlpm.v="Conditionally Passed")),_xlpm.p,SUM(_xlpm.m*(_xlpm.v="Passed")),IF(TRIM($A147)="","",IF(TRIM($E147)="","Pending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47" s="68" t="str">
        <f>IF(TRIM($A147)="","",IF($J147="Passed","",IF($J147="Passed with Known Issue","Known Issue",IF($J147="",IF(OR($H147&lt;&gt;"No",AND($F147&lt;&gt;"Medium",$F147&lt;&gt;"Low")),"Pending Result",""),IF(OR($H147&lt;&gt;"No",AND($F147&lt;&gt;"Medium",$F147&lt;&gt;"Low")),IF(COUNTIFS(Dashboard!$B$105:$B$124,$A147,Dashboard!$I$105:$I$124,"CAB")&gt;0,"Accepted (CF)","Blocking"),IF($J147="Failed","Deferrable","Carry Over"))))))</f>
        <v/>
      </c>
      <c r="M147" s="68" t="str">
        <f>IF(OR(TRIM($A147)="",TRIM($E147)=""),"",IFERROR(INDEX('E2E core flow'!$B$15:$B$1000,MATCH(1,INDEX(('E2E core flow'!$A$15:$A$1000&lt;&gt;"")*ISNUMBER(SEARCH('E2E core flow'!$A$15:$A$1000,$E147)),0),0))&amp;"","-"))</f>
        <v/>
      </c>
      <c r="N147" s="68" t="str">
        <f>IF(TRIM($A147)="","",IF($O147=0,IF(COUNTIFS('Card Test Cases'!$B$4:$B$1000,$A147,'Card Test Cases'!$A$4:$A$1000,"&lt;&gt;")&gt;0,"Out of Scope","No TC"),IF($Q147&gt;0,"Failed",IF(COUNTIFS('Card Test Cases'!$B$4:$B$1000,$A147,'Card Test Cases'!$A$4:$A$1000,"&lt;&gt;",'Card Test Cases'!$F$4:$F$1000,"Blocked")&gt;0,"Blocked",IF($R147&gt;0,"In Progress","Passed")))))</f>
        <v/>
      </c>
      <c r="O147" s="68" t="str">
        <f>IF(TRIM($A147)="","",COUNTIFS('Card Test Cases'!$B$4:$B$1000,$A147,'Card Test Cases'!$A$4:$A$1000,"&lt;&gt;",'Card Test Cases'!$F$4:$F$1000,"&lt;&gt;Out of Scope"))</f>
        <v/>
      </c>
      <c r="P147" s="68" t="str">
        <f>IF(TRIM($A147)="","",COUNTIFS('Card Test Cases'!$B$4:$B$1000,$A147,'Card Test Cases'!$A$4:$A$1000,"&lt;&gt;",'Card Test Cases'!$F$4:$F$1000,"Passed"))</f>
        <v/>
      </c>
      <c r="Q147" s="68" t="str">
        <f>IF(TRIM($A147)="","",COUNTIFS('Card Test Cases'!$B$4:$B$1000,$A147,'Card Test Cases'!$A$4:$A$1000,"&lt;&gt;",'Card Test Cases'!$F$4:$F$1000,"Failed"))</f>
        <v/>
      </c>
      <c r="R147" s="68" t="str">
        <f t="shared" si="2"/>
        <v/>
      </c>
      <c r="S147" s="68" t="str" cm="1">
        <f t="array" ref="S147">IF(TRIM($A147)="","",IFERROR(_xlfn.TEXTJOIN(", ",TRUE,_xlfn.UNIQUE(_xlfn.VSTACK(_xlfn._xlws.FILTER('Card Test Cases'!$G$4:$G$1000,('Card Test Cases'!$B$4:$B$1000=$A147)*('Card Test Cases'!$G$4:$G$1000&lt;&gt;""),""),_xlfn._xlws.FILTER('E2E core flow'!$U$15:$U$1000,('E2E core flow'!$A$15:$A$1000&lt;&gt;"")*ISNUMBER(SEARCH('E2E core flow'!$A$15:$A$1000,$E147))*('E2E core flow'!$U$15:$U$1000&lt;&gt;""),"")))),"-"))</f>
        <v/>
      </c>
    </row>
    <row r="148" spans="7:19" x14ac:dyDescent="0.3">
      <c r="G148" s="68" t="str" cm="1">
        <f t="array" ref="G148">_xlfn.LET(_xlpm.ids,'E2E core flow'!$A$15:$A$1000,_xlpm.v,'E2E core flow'!$W$15:$W$1000,_xlpm.m,(_xlpm.ids&lt;&gt;"")*ISNUMBER(SEARCH(_xlpm.ids,$E148)),_xlpm.f,SUM(_xlpm.m*(_xlpm.v="Failed")),_xlpm.b,SUM(_xlpm.m*(_xlpm.v="Blocked")),_xlpm.nr,SUM(_xlpm.m*(_xlpm.v="Not Run")),_xlpm.cp,SUM(_xlpm.m*(_xlpm.v="Conditionally Passed")),_xlpm.p,SUM(_xlpm.m*(_xlpm.v="Passed")),IF(TRIM($A148)="","",IF(TRIM($E148)="","Pending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48" s="68" t="str">
        <f>IF(TRIM($A148)="","",IF($J148="Passed","",IF($J148="Passed with Known Issue","Known Issue",IF($J148="",IF(OR($H148&lt;&gt;"No",AND($F148&lt;&gt;"Medium",$F148&lt;&gt;"Low")),"Pending Result",""),IF(OR($H148&lt;&gt;"No",AND($F148&lt;&gt;"Medium",$F148&lt;&gt;"Low")),IF(COUNTIFS(Dashboard!$B$105:$B$124,$A148,Dashboard!$I$105:$I$124,"CAB")&gt;0,"Accepted (CF)","Blocking"),IF($J148="Failed","Deferrable","Carry Over"))))))</f>
        <v/>
      </c>
      <c r="M148" s="68" t="str">
        <f>IF(OR(TRIM($A148)="",TRIM($E148)=""),"",IFERROR(INDEX('E2E core flow'!$B$15:$B$1000,MATCH(1,INDEX(('E2E core flow'!$A$15:$A$1000&lt;&gt;"")*ISNUMBER(SEARCH('E2E core flow'!$A$15:$A$1000,$E148)),0),0))&amp;"","-"))</f>
        <v/>
      </c>
      <c r="N148" s="68" t="str">
        <f>IF(TRIM($A148)="","",IF($O148=0,IF(COUNTIFS('Card Test Cases'!$B$4:$B$1000,$A148,'Card Test Cases'!$A$4:$A$1000,"&lt;&gt;")&gt;0,"Out of Scope","No TC"),IF($Q148&gt;0,"Failed",IF(COUNTIFS('Card Test Cases'!$B$4:$B$1000,$A148,'Card Test Cases'!$A$4:$A$1000,"&lt;&gt;",'Card Test Cases'!$F$4:$F$1000,"Blocked")&gt;0,"Blocked",IF($R148&gt;0,"In Progress","Passed")))))</f>
        <v/>
      </c>
      <c r="O148" s="68" t="str">
        <f>IF(TRIM($A148)="","",COUNTIFS('Card Test Cases'!$B$4:$B$1000,$A148,'Card Test Cases'!$A$4:$A$1000,"&lt;&gt;",'Card Test Cases'!$F$4:$F$1000,"&lt;&gt;Out of Scope"))</f>
        <v/>
      </c>
      <c r="P148" s="68" t="str">
        <f>IF(TRIM($A148)="","",COUNTIFS('Card Test Cases'!$B$4:$B$1000,$A148,'Card Test Cases'!$A$4:$A$1000,"&lt;&gt;",'Card Test Cases'!$F$4:$F$1000,"Passed"))</f>
        <v/>
      </c>
      <c r="Q148" s="68" t="str">
        <f>IF(TRIM($A148)="","",COUNTIFS('Card Test Cases'!$B$4:$B$1000,$A148,'Card Test Cases'!$A$4:$A$1000,"&lt;&gt;",'Card Test Cases'!$F$4:$F$1000,"Failed"))</f>
        <v/>
      </c>
      <c r="R148" s="68" t="str">
        <f t="shared" si="2"/>
        <v/>
      </c>
      <c r="S148" s="68" t="str" cm="1">
        <f t="array" ref="S148">IF(TRIM($A148)="","",IFERROR(_xlfn.TEXTJOIN(", ",TRUE,_xlfn.UNIQUE(_xlfn.VSTACK(_xlfn._xlws.FILTER('Card Test Cases'!$G$4:$G$1000,('Card Test Cases'!$B$4:$B$1000=$A148)*('Card Test Cases'!$G$4:$G$1000&lt;&gt;""),""),_xlfn._xlws.FILTER('E2E core flow'!$U$15:$U$1000,('E2E core flow'!$A$15:$A$1000&lt;&gt;"")*ISNUMBER(SEARCH('E2E core flow'!$A$15:$A$1000,$E148))*('E2E core flow'!$U$15:$U$1000&lt;&gt;""),"")))),"-"))</f>
        <v/>
      </c>
    </row>
    <row r="149" spans="7:19" x14ac:dyDescent="0.3">
      <c r="G149" s="68" t="str" cm="1">
        <f t="array" ref="G149">_xlfn.LET(_xlpm.ids,'E2E core flow'!$A$15:$A$1000,_xlpm.v,'E2E core flow'!$W$15:$W$1000,_xlpm.m,(_xlpm.ids&lt;&gt;"")*ISNUMBER(SEARCH(_xlpm.ids,$E149)),_xlpm.f,SUM(_xlpm.m*(_xlpm.v="Failed")),_xlpm.b,SUM(_xlpm.m*(_xlpm.v="Blocked")),_xlpm.nr,SUM(_xlpm.m*(_xlpm.v="Not Run")),_xlpm.cp,SUM(_xlpm.m*(_xlpm.v="Conditionally Passed")),_xlpm.p,SUM(_xlpm.m*(_xlpm.v="Passed")),IF(TRIM($A149)="","",IF(TRIM($E149)="","Pending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49" s="68" t="str">
        <f>IF(TRIM($A149)="","",IF($J149="Passed","",IF($J149="Passed with Known Issue","Known Issue",IF($J149="",IF(OR($H149&lt;&gt;"No",AND($F149&lt;&gt;"Medium",$F149&lt;&gt;"Low")),"Pending Result",""),IF(OR($H149&lt;&gt;"No",AND($F149&lt;&gt;"Medium",$F149&lt;&gt;"Low")),IF(COUNTIFS(Dashboard!$B$105:$B$124,$A149,Dashboard!$I$105:$I$124,"CAB")&gt;0,"Accepted (CF)","Blocking"),IF($J149="Failed","Deferrable","Carry Over"))))))</f>
        <v/>
      </c>
      <c r="M149" s="68" t="str">
        <f>IF(OR(TRIM($A149)="",TRIM($E149)=""),"",IFERROR(INDEX('E2E core flow'!$B$15:$B$1000,MATCH(1,INDEX(('E2E core flow'!$A$15:$A$1000&lt;&gt;"")*ISNUMBER(SEARCH('E2E core flow'!$A$15:$A$1000,$E149)),0),0))&amp;"","-"))</f>
        <v/>
      </c>
      <c r="N149" s="68" t="str">
        <f>IF(TRIM($A149)="","",IF($O149=0,IF(COUNTIFS('Card Test Cases'!$B$4:$B$1000,$A149,'Card Test Cases'!$A$4:$A$1000,"&lt;&gt;")&gt;0,"Out of Scope","No TC"),IF($Q149&gt;0,"Failed",IF(COUNTIFS('Card Test Cases'!$B$4:$B$1000,$A149,'Card Test Cases'!$A$4:$A$1000,"&lt;&gt;",'Card Test Cases'!$F$4:$F$1000,"Blocked")&gt;0,"Blocked",IF($R149&gt;0,"In Progress","Passed")))))</f>
        <v/>
      </c>
      <c r="O149" s="68" t="str">
        <f>IF(TRIM($A149)="","",COUNTIFS('Card Test Cases'!$B$4:$B$1000,$A149,'Card Test Cases'!$A$4:$A$1000,"&lt;&gt;",'Card Test Cases'!$F$4:$F$1000,"&lt;&gt;Out of Scope"))</f>
        <v/>
      </c>
      <c r="P149" s="68" t="str">
        <f>IF(TRIM($A149)="","",COUNTIFS('Card Test Cases'!$B$4:$B$1000,$A149,'Card Test Cases'!$A$4:$A$1000,"&lt;&gt;",'Card Test Cases'!$F$4:$F$1000,"Passed"))</f>
        <v/>
      </c>
      <c r="Q149" s="68" t="str">
        <f>IF(TRIM($A149)="","",COUNTIFS('Card Test Cases'!$B$4:$B$1000,$A149,'Card Test Cases'!$A$4:$A$1000,"&lt;&gt;",'Card Test Cases'!$F$4:$F$1000,"Failed"))</f>
        <v/>
      </c>
      <c r="R149" s="68" t="str">
        <f t="shared" si="2"/>
        <v/>
      </c>
      <c r="S149" s="68" t="str" cm="1">
        <f t="array" ref="S149">IF(TRIM($A149)="","",IFERROR(_xlfn.TEXTJOIN(", ",TRUE,_xlfn.UNIQUE(_xlfn.VSTACK(_xlfn._xlws.FILTER('Card Test Cases'!$G$4:$G$1000,('Card Test Cases'!$B$4:$B$1000=$A149)*('Card Test Cases'!$G$4:$G$1000&lt;&gt;""),""),_xlfn._xlws.FILTER('E2E core flow'!$U$15:$U$1000,('E2E core flow'!$A$15:$A$1000&lt;&gt;"")*ISNUMBER(SEARCH('E2E core flow'!$A$15:$A$1000,$E149))*('E2E core flow'!$U$15:$U$1000&lt;&gt;""),"")))),"-"))</f>
        <v/>
      </c>
    </row>
    <row r="150" spans="7:19" x14ac:dyDescent="0.3">
      <c r="G150" s="68" t="str" cm="1">
        <f t="array" ref="G150">_xlfn.LET(_xlpm.ids,'E2E core flow'!$A$15:$A$1000,_xlpm.v,'E2E core flow'!$W$15:$W$1000,_xlpm.m,(_xlpm.ids&lt;&gt;"")*ISNUMBER(SEARCH(_xlpm.ids,$E150)),_xlpm.f,SUM(_xlpm.m*(_xlpm.v="Failed")),_xlpm.b,SUM(_xlpm.m*(_xlpm.v="Blocked")),_xlpm.nr,SUM(_xlpm.m*(_xlpm.v="Not Run")),_xlpm.cp,SUM(_xlpm.m*(_xlpm.v="Conditionally Passed")),_xlpm.p,SUM(_xlpm.m*(_xlpm.v="Passed")),IF(TRIM($A150)="","",IF(TRIM($E150)="","Pending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50" s="68" t="str">
        <f>IF(TRIM($A150)="","",IF($J150="Passed","",IF($J150="Passed with Known Issue","Known Issue",IF($J150="",IF(OR($H150&lt;&gt;"No",AND($F150&lt;&gt;"Medium",$F150&lt;&gt;"Low")),"Pending Result",""),IF(OR($H150&lt;&gt;"No",AND($F150&lt;&gt;"Medium",$F150&lt;&gt;"Low")),IF(COUNTIFS(Dashboard!$B$105:$B$124,$A150,Dashboard!$I$105:$I$124,"CAB")&gt;0,"Accepted (CF)","Blocking"),IF($J150="Failed","Deferrable","Carry Over"))))))</f>
        <v/>
      </c>
      <c r="M150" s="68" t="str">
        <f>IF(OR(TRIM($A150)="",TRIM($E150)=""),"",IFERROR(INDEX('E2E core flow'!$B$15:$B$1000,MATCH(1,INDEX(('E2E core flow'!$A$15:$A$1000&lt;&gt;"")*ISNUMBER(SEARCH('E2E core flow'!$A$15:$A$1000,$E150)),0),0))&amp;"","-"))</f>
        <v/>
      </c>
      <c r="N150" s="68" t="str">
        <f>IF(TRIM($A150)="","",IF($O150=0,IF(COUNTIFS('Card Test Cases'!$B$4:$B$1000,$A150,'Card Test Cases'!$A$4:$A$1000,"&lt;&gt;")&gt;0,"Out of Scope","No TC"),IF($Q150&gt;0,"Failed",IF(COUNTIFS('Card Test Cases'!$B$4:$B$1000,$A150,'Card Test Cases'!$A$4:$A$1000,"&lt;&gt;",'Card Test Cases'!$F$4:$F$1000,"Blocked")&gt;0,"Blocked",IF($R150&gt;0,"In Progress","Passed")))))</f>
        <v/>
      </c>
      <c r="O150" s="68" t="str">
        <f>IF(TRIM($A150)="","",COUNTIFS('Card Test Cases'!$B$4:$B$1000,$A150,'Card Test Cases'!$A$4:$A$1000,"&lt;&gt;",'Card Test Cases'!$F$4:$F$1000,"&lt;&gt;Out of Scope"))</f>
        <v/>
      </c>
      <c r="P150" s="68" t="str">
        <f>IF(TRIM($A150)="","",COUNTIFS('Card Test Cases'!$B$4:$B$1000,$A150,'Card Test Cases'!$A$4:$A$1000,"&lt;&gt;",'Card Test Cases'!$F$4:$F$1000,"Passed"))</f>
        <v/>
      </c>
      <c r="Q150" s="68" t="str">
        <f>IF(TRIM($A150)="","",COUNTIFS('Card Test Cases'!$B$4:$B$1000,$A150,'Card Test Cases'!$A$4:$A$1000,"&lt;&gt;",'Card Test Cases'!$F$4:$F$1000,"Failed"))</f>
        <v/>
      </c>
      <c r="R150" s="68" t="str">
        <f t="shared" si="2"/>
        <v/>
      </c>
      <c r="S150" s="68" t="str" cm="1">
        <f t="array" ref="S150">IF(TRIM($A150)="","",IFERROR(_xlfn.TEXTJOIN(", ",TRUE,_xlfn.UNIQUE(_xlfn.VSTACK(_xlfn._xlws.FILTER('Card Test Cases'!$G$4:$G$1000,('Card Test Cases'!$B$4:$B$1000=$A150)*('Card Test Cases'!$G$4:$G$1000&lt;&gt;""),""),_xlfn._xlws.FILTER('E2E core flow'!$U$15:$U$1000,('E2E core flow'!$A$15:$A$1000&lt;&gt;"")*ISNUMBER(SEARCH('E2E core flow'!$A$15:$A$1000,$E150))*('E2E core flow'!$U$15:$U$1000&lt;&gt;""),"")))),"-"))</f>
        <v/>
      </c>
    </row>
    <row r="151" spans="7:19" x14ac:dyDescent="0.3">
      <c r="G151" s="68" t="str" cm="1">
        <f t="array" ref="G151">_xlfn.LET(_xlpm.ids,'E2E core flow'!$A$15:$A$1000,_xlpm.v,'E2E core flow'!$W$15:$W$1000,_xlpm.m,(_xlpm.ids&lt;&gt;"")*ISNUMBER(SEARCH(_xlpm.ids,$E151)),_xlpm.f,SUM(_xlpm.m*(_xlpm.v="Failed")),_xlpm.b,SUM(_xlpm.m*(_xlpm.v="Blocked")),_xlpm.nr,SUM(_xlpm.m*(_xlpm.v="Not Run")),_xlpm.cp,SUM(_xlpm.m*(_xlpm.v="Conditionally Passed")),_xlpm.p,SUM(_xlpm.m*(_xlpm.v="Passed")),IF(TRIM($A151)="","",IF(TRIM($E151)="","Pending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51" s="68" t="str">
        <f>IF(TRIM($A151)="","",IF($J151="Passed","",IF($J151="Passed with Known Issue","Known Issue",IF($J151="",IF(OR($H151&lt;&gt;"No",AND($F151&lt;&gt;"Medium",$F151&lt;&gt;"Low")),"Pending Result",""),IF(OR($H151&lt;&gt;"No",AND($F151&lt;&gt;"Medium",$F151&lt;&gt;"Low")),IF(COUNTIFS(Dashboard!$B$105:$B$124,$A151,Dashboard!$I$105:$I$124,"CAB")&gt;0,"Accepted (CF)","Blocking"),IF($J151="Failed","Deferrable","Carry Over"))))))</f>
        <v/>
      </c>
      <c r="M151" s="68" t="str">
        <f>IF(OR(TRIM($A151)="",TRIM($E151)=""),"",IFERROR(INDEX('E2E core flow'!$B$15:$B$1000,MATCH(1,INDEX(('E2E core flow'!$A$15:$A$1000&lt;&gt;"")*ISNUMBER(SEARCH('E2E core flow'!$A$15:$A$1000,$E151)),0),0))&amp;"","-"))</f>
        <v/>
      </c>
      <c r="N151" s="68" t="str">
        <f>IF(TRIM($A151)="","",IF($O151=0,IF(COUNTIFS('Card Test Cases'!$B$4:$B$1000,$A151,'Card Test Cases'!$A$4:$A$1000,"&lt;&gt;")&gt;0,"Out of Scope","No TC"),IF($Q151&gt;0,"Failed",IF(COUNTIFS('Card Test Cases'!$B$4:$B$1000,$A151,'Card Test Cases'!$A$4:$A$1000,"&lt;&gt;",'Card Test Cases'!$F$4:$F$1000,"Blocked")&gt;0,"Blocked",IF($R151&gt;0,"In Progress","Passed")))))</f>
        <v/>
      </c>
      <c r="O151" s="68" t="str">
        <f>IF(TRIM($A151)="","",COUNTIFS('Card Test Cases'!$B$4:$B$1000,$A151,'Card Test Cases'!$A$4:$A$1000,"&lt;&gt;",'Card Test Cases'!$F$4:$F$1000,"&lt;&gt;Out of Scope"))</f>
        <v/>
      </c>
      <c r="P151" s="68" t="str">
        <f>IF(TRIM($A151)="","",COUNTIFS('Card Test Cases'!$B$4:$B$1000,$A151,'Card Test Cases'!$A$4:$A$1000,"&lt;&gt;",'Card Test Cases'!$F$4:$F$1000,"Passed"))</f>
        <v/>
      </c>
      <c r="Q151" s="68" t="str">
        <f>IF(TRIM($A151)="","",COUNTIFS('Card Test Cases'!$B$4:$B$1000,$A151,'Card Test Cases'!$A$4:$A$1000,"&lt;&gt;",'Card Test Cases'!$F$4:$F$1000,"Failed"))</f>
        <v/>
      </c>
      <c r="R151" s="68" t="str">
        <f t="shared" si="2"/>
        <v/>
      </c>
      <c r="S151" s="68" t="str" cm="1">
        <f t="array" ref="S151">IF(TRIM($A151)="","",IFERROR(_xlfn.TEXTJOIN(", ",TRUE,_xlfn.UNIQUE(_xlfn.VSTACK(_xlfn._xlws.FILTER('Card Test Cases'!$G$4:$G$1000,('Card Test Cases'!$B$4:$B$1000=$A151)*('Card Test Cases'!$G$4:$G$1000&lt;&gt;""),""),_xlfn._xlws.FILTER('E2E core flow'!$U$15:$U$1000,('E2E core flow'!$A$15:$A$1000&lt;&gt;"")*ISNUMBER(SEARCH('E2E core flow'!$A$15:$A$1000,$E151))*('E2E core flow'!$U$15:$U$1000&lt;&gt;""),"")))),"-"))</f>
        <v/>
      </c>
    </row>
    <row r="152" spans="7:19" x14ac:dyDescent="0.3">
      <c r="G152" s="68" t="str" cm="1">
        <f t="array" ref="G152">_xlfn.LET(_xlpm.ids,'E2E core flow'!$A$15:$A$1000,_xlpm.v,'E2E core flow'!$W$15:$W$1000,_xlpm.m,(_xlpm.ids&lt;&gt;"")*ISNUMBER(SEARCH(_xlpm.ids,$E152)),_xlpm.f,SUM(_xlpm.m*(_xlpm.v="Failed")),_xlpm.b,SUM(_xlpm.m*(_xlpm.v="Blocked")),_xlpm.nr,SUM(_xlpm.m*(_xlpm.v="Not Run")),_xlpm.cp,SUM(_xlpm.m*(_xlpm.v="Conditionally Passed")),_xlpm.p,SUM(_xlpm.m*(_xlpm.v="Passed")),IF(TRIM($A152)="","",IF(TRIM($E152)="","Pending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52" s="68" t="str">
        <f>IF(TRIM($A152)="","",IF($J152="Passed","",IF($J152="Passed with Known Issue","Known Issue",IF($J152="",IF(OR($H152&lt;&gt;"No",AND($F152&lt;&gt;"Medium",$F152&lt;&gt;"Low")),"Pending Result",""),IF(OR($H152&lt;&gt;"No",AND($F152&lt;&gt;"Medium",$F152&lt;&gt;"Low")),IF(COUNTIFS(Dashboard!$B$105:$B$124,$A152,Dashboard!$I$105:$I$124,"CAB")&gt;0,"Accepted (CF)","Blocking"),IF($J152="Failed","Deferrable","Carry Over"))))))</f>
        <v/>
      </c>
      <c r="M152" s="68" t="str">
        <f>IF(OR(TRIM($A152)="",TRIM($E152)=""),"",IFERROR(INDEX('E2E core flow'!$B$15:$B$1000,MATCH(1,INDEX(('E2E core flow'!$A$15:$A$1000&lt;&gt;"")*ISNUMBER(SEARCH('E2E core flow'!$A$15:$A$1000,$E152)),0),0))&amp;"","-"))</f>
        <v/>
      </c>
      <c r="N152" s="68" t="str">
        <f>IF(TRIM($A152)="","",IF($O152=0,IF(COUNTIFS('Card Test Cases'!$B$4:$B$1000,$A152,'Card Test Cases'!$A$4:$A$1000,"&lt;&gt;")&gt;0,"Out of Scope","No TC"),IF($Q152&gt;0,"Failed",IF(COUNTIFS('Card Test Cases'!$B$4:$B$1000,$A152,'Card Test Cases'!$A$4:$A$1000,"&lt;&gt;",'Card Test Cases'!$F$4:$F$1000,"Blocked")&gt;0,"Blocked",IF($R152&gt;0,"In Progress","Passed")))))</f>
        <v/>
      </c>
      <c r="O152" s="68" t="str">
        <f>IF(TRIM($A152)="","",COUNTIFS('Card Test Cases'!$B$4:$B$1000,$A152,'Card Test Cases'!$A$4:$A$1000,"&lt;&gt;",'Card Test Cases'!$F$4:$F$1000,"&lt;&gt;Out of Scope"))</f>
        <v/>
      </c>
      <c r="P152" s="68" t="str">
        <f>IF(TRIM($A152)="","",COUNTIFS('Card Test Cases'!$B$4:$B$1000,$A152,'Card Test Cases'!$A$4:$A$1000,"&lt;&gt;",'Card Test Cases'!$F$4:$F$1000,"Passed"))</f>
        <v/>
      </c>
      <c r="Q152" s="68" t="str">
        <f>IF(TRIM($A152)="","",COUNTIFS('Card Test Cases'!$B$4:$B$1000,$A152,'Card Test Cases'!$A$4:$A$1000,"&lt;&gt;",'Card Test Cases'!$F$4:$F$1000,"Failed"))</f>
        <v/>
      </c>
      <c r="R152" s="68" t="str">
        <f t="shared" si="2"/>
        <v/>
      </c>
      <c r="S152" s="68" t="str" cm="1">
        <f t="array" ref="S152">IF(TRIM($A152)="","",IFERROR(_xlfn.TEXTJOIN(", ",TRUE,_xlfn.UNIQUE(_xlfn.VSTACK(_xlfn._xlws.FILTER('Card Test Cases'!$G$4:$G$1000,('Card Test Cases'!$B$4:$B$1000=$A152)*('Card Test Cases'!$G$4:$G$1000&lt;&gt;""),""),_xlfn._xlws.FILTER('E2E core flow'!$U$15:$U$1000,('E2E core flow'!$A$15:$A$1000&lt;&gt;"")*ISNUMBER(SEARCH('E2E core flow'!$A$15:$A$1000,$E152))*('E2E core flow'!$U$15:$U$1000&lt;&gt;""),"")))),"-"))</f>
        <v/>
      </c>
    </row>
    <row r="153" spans="7:19" x14ac:dyDescent="0.3">
      <c r="G153" s="68" t="str" cm="1">
        <f t="array" ref="G153">_xlfn.LET(_xlpm.ids,'E2E core flow'!$A$15:$A$1000,_xlpm.v,'E2E core flow'!$W$15:$W$1000,_xlpm.m,(_xlpm.ids&lt;&gt;"")*ISNUMBER(SEARCH(_xlpm.ids,$E153)),_xlpm.f,SUM(_xlpm.m*(_xlpm.v="Failed")),_xlpm.b,SUM(_xlpm.m*(_xlpm.v="Blocked")),_xlpm.nr,SUM(_xlpm.m*(_xlpm.v="Not Run")),_xlpm.cp,SUM(_xlpm.m*(_xlpm.v="Conditionally Passed")),_xlpm.p,SUM(_xlpm.m*(_xlpm.v="Passed")),IF(TRIM($A153)="","",IF(TRIM($E153)="","Pending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53" s="68" t="str">
        <f>IF(TRIM($A153)="","",IF($J153="Passed","",IF($J153="Passed with Known Issue","Known Issue",IF($J153="",IF(OR($H153&lt;&gt;"No",AND($F153&lt;&gt;"Medium",$F153&lt;&gt;"Low")),"Pending Result",""),IF(OR($H153&lt;&gt;"No",AND($F153&lt;&gt;"Medium",$F153&lt;&gt;"Low")),IF(COUNTIFS(Dashboard!$B$105:$B$124,$A153,Dashboard!$I$105:$I$124,"CAB")&gt;0,"Accepted (CF)","Blocking"),IF($J153="Failed","Deferrable","Carry Over"))))))</f>
        <v/>
      </c>
      <c r="M153" s="68" t="str">
        <f>IF(OR(TRIM($A153)="",TRIM($E153)=""),"",IFERROR(INDEX('E2E core flow'!$B$15:$B$1000,MATCH(1,INDEX(('E2E core flow'!$A$15:$A$1000&lt;&gt;"")*ISNUMBER(SEARCH('E2E core flow'!$A$15:$A$1000,$E153)),0),0))&amp;"","-"))</f>
        <v/>
      </c>
      <c r="N153" s="68" t="str">
        <f>IF(TRIM($A153)="","",IF($O153=0,IF(COUNTIFS('Card Test Cases'!$B$4:$B$1000,$A153,'Card Test Cases'!$A$4:$A$1000,"&lt;&gt;")&gt;0,"Out of Scope","No TC"),IF($Q153&gt;0,"Failed",IF(COUNTIFS('Card Test Cases'!$B$4:$B$1000,$A153,'Card Test Cases'!$A$4:$A$1000,"&lt;&gt;",'Card Test Cases'!$F$4:$F$1000,"Blocked")&gt;0,"Blocked",IF($R153&gt;0,"In Progress","Passed")))))</f>
        <v/>
      </c>
      <c r="O153" s="68" t="str">
        <f>IF(TRIM($A153)="","",COUNTIFS('Card Test Cases'!$B$4:$B$1000,$A153,'Card Test Cases'!$A$4:$A$1000,"&lt;&gt;",'Card Test Cases'!$F$4:$F$1000,"&lt;&gt;Out of Scope"))</f>
        <v/>
      </c>
      <c r="P153" s="68" t="str">
        <f>IF(TRIM($A153)="","",COUNTIFS('Card Test Cases'!$B$4:$B$1000,$A153,'Card Test Cases'!$A$4:$A$1000,"&lt;&gt;",'Card Test Cases'!$F$4:$F$1000,"Passed"))</f>
        <v/>
      </c>
      <c r="Q153" s="68" t="str">
        <f>IF(TRIM($A153)="","",COUNTIFS('Card Test Cases'!$B$4:$B$1000,$A153,'Card Test Cases'!$A$4:$A$1000,"&lt;&gt;",'Card Test Cases'!$F$4:$F$1000,"Failed"))</f>
        <v/>
      </c>
      <c r="R153" s="68" t="str">
        <f t="shared" si="2"/>
        <v/>
      </c>
      <c r="S153" s="68" t="str" cm="1">
        <f t="array" ref="S153">IF(TRIM($A153)="","",IFERROR(_xlfn.TEXTJOIN(", ",TRUE,_xlfn.UNIQUE(_xlfn.VSTACK(_xlfn._xlws.FILTER('Card Test Cases'!$G$4:$G$1000,('Card Test Cases'!$B$4:$B$1000=$A153)*('Card Test Cases'!$G$4:$G$1000&lt;&gt;""),""),_xlfn._xlws.FILTER('E2E core flow'!$U$15:$U$1000,('E2E core flow'!$A$15:$A$1000&lt;&gt;"")*ISNUMBER(SEARCH('E2E core flow'!$A$15:$A$1000,$E153))*('E2E core flow'!$U$15:$U$1000&lt;&gt;""),"")))),"-"))</f>
        <v/>
      </c>
    </row>
    <row r="154" spans="7:19" x14ac:dyDescent="0.3">
      <c r="G154" s="68" t="str" cm="1">
        <f t="array" ref="G154">_xlfn.LET(_xlpm.ids,'E2E core flow'!$A$15:$A$1000,_xlpm.v,'E2E core flow'!$W$15:$W$1000,_xlpm.m,(_xlpm.ids&lt;&gt;"")*ISNUMBER(SEARCH(_xlpm.ids,$E154)),_xlpm.f,SUM(_xlpm.m*(_xlpm.v="Failed")),_xlpm.b,SUM(_xlpm.m*(_xlpm.v="Blocked")),_xlpm.nr,SUM(_xlpm.m*(_xlpm.v="Not Run")),_xlpm.cp,SUM(_xlpm.m*(_xlpm.v="Conditionally Passed")),_xlpm.p,SUM(_xlpm.m*(_xlpm.v="Passed")),IF(TRIM($A154)="","",IF(TRIM($E154)="","Pending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54" s="68" t="str">
        <f>IF(TRIM($A154)="","",IF($J154="Passed","",IF($J154="Passed with Known Issue","Known Issue",IF($J154="",IF(OR($H154&lt;&gt;"No",AND($F154&lt;&gt;"Medium",$F154&lt;&gt;"Low")),"Pending Result",""),IF(OR($H154&lt;&gt;"No",AND($F154&lt;&gt;"Medium",$F154&lt;&gt;"Low")),IF(COUNTIFS(Dashboard!$B$105:$B$124,$A154,Dashboard!$I$105:$I$124,"CAB")&gt;0,"Accepted (CF)","Blocking"),IF($J154="Failed","Deferrable","Carry Over"))))))</f>
        <v/>
      </c>
      <c r="M154" s="68" t="str">
        <f>IF(OR(TRIM($A154)="",TRIM($E154)=""),"",IFERROR(INDEX('E2E core flow'!$B$15:$B$1000,MATCH(1,INDEX(('E2E core flow'!$A$15:$A$1000&lt;&gt;"")*ISNUMBER(SEARCH('E2E core flow'!$A$15:$A$1000,$E154)),0),0))&amp;"","-"))</f>
        <v/>
      </c>
      <c r="N154" s="68" t="str">
        <f>IF(TRIM($A154)="","",IF($O154=0,IF(COUNTIFS('Card Test Cases'!$B$4:$B$1000,$A154,'Card Test Cases'!$A$4:$A$1000,"&lt;&gt;")&gt;0,"Out of Scope","No TC"),IF($Q154&gt;0,"Failed",IF(COUNTIFS('Card Test Cases'!$B$4:$B$1000,$A154,'Card Test Cases'!$A$4:$A$1000,"&lt;&gt;",'Card Test Cases'!$F$4:$F$1000,"Blocked")&gt;0,"Blocked",IF($R154&gt;0,"In Progress","Passed")))))</f>
        <v/>
      </c>
      <c r="O154" s="68" t="str">
        <f>IF(TRIM($A154)="","",COUNTIFS('Card Test Cases'!$B$4:$B$1000,$A154,'Card Test Cases'!$A$4:$A$1000,"&lt;&gt;",'Card Test Cases'!$F$4:$F$1000,"&lt;&gt;Out of Scope"))</f>
        <v/>
      </c>
      <c r="P154" s="68" t="str">
        <f>IF(TRIM($A154)="","",COUNTIFS('Card Test Cases'!$B$4:$B$1000,$A154,'Card Test Cases'!$A$4:$A$1000,"&lt;&gt;",'Card Test Cases'!$F$4:$F$1000,"Passed"))</f>
        <v/>
      </c>
      <c r="Q154" s="68" t="str">
        <f>IF(TRIM($A154)="","",COUNTIFS('Card Test Cases'!$B$4:$B$1000,$A154,'Card Test Cases'!$A$4:$A$1000,"&lt;&gt;",'Card Test Cases'!$F$4:$F$1000,"Failed"))</f>
        <v/>
      </c>
      <c r="R154" s="68" t="str">
        <f t="shared" si="2"/>
        <v/>
      </c>
      <c r="S154" s="68" t="str" cm="1">
        <f t="array" ref="S154">IF(TRIM($A154)="","",IFERROR(_xlfn.TEXTJOIN(", ",TRUE,_xlfn.UNIQUE(_xlfn.VSTACK(_xlfn._xlws.FILTER('Card Test Cases'!$G$4:$G$1000,('Card Test Cases'!$B$4:$B$1000=$A154)*('Card Test Cases'!$G$4:$G$1000&lt;&gt;""),""),_xlfn._xlws.FILTER('E2E core flow'!$U$15:$U$1000,('E2E core flow'!$A$15:$A$1000&lt;&gt;"")*ISNUMBER(SEARCH('E2E core flow'!$A$15:$A$1000,$E154))*('E2E core flow'!$U$15:$U$1000&lt;&gt;""),"")))),"-"))</f>
        <v/>
      </c>
    </row>
    <row r="155" spans="7:19" x14ac:dyDescent="0.3">
      <c r="G155" s="68" t="str" cm="1">
        <f t="array" ref="G155">_xlfn.LET(_xlpm.ids,'E2E core flow'!$A$15:$A$1000,_xlpm.v,'E2E core flow'!$W$15:$W$1000,_xlpm.m,(_xlpm.ids&lt;&gt;"")*ISNUMBER(SEARCH(_xlpm.ids,$E155)),_xlpm.f,SUM(_xlpm.m*(_xlpm.v="Failed")),_xlpm.b,SUM(_xlpm.m*(_xlpm.v="Blocked")),_xlpm.nr,SUM(_xlpm.m*(_xlpm.v="Not Run")),_xlpm.cp,SUM(_xlpm.m*(_xlpm.v="Conditionally Passed")),_xlpm.p,SUM(_xlpm.m*(_xlpm.v="Passed")),IF(TRIM($A155)="","",IF(TRIM($E155)="","Pending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55" s="68" t="str">
        <f>IF(TRIM($A155)="","",IF($J155="Passed","",IF($J155="Passed with Known Issue","Known Issue",IF($J155="",IF(OR($H155&lt;&gt;"No",AND($F155&lt;&gt;"Medium",$F155&lt;&gt;"Low")),"Pending Result",""),IF(OR($H155&lt;&gt;"No",AND($F155&lt;&gt;"Medium",$F155&lt;&gt;"Low")),IF(COUNTIFS(Dashboard!$B$105:$B$124,$A155,Dashboard!$I$105:$I$124,"CAB")&gt;0,"Accepted (CF)","Blocking"),IF($J155="Failed","Deferrable","Carry Over"))))))</f>
        <v/>
      </c>
      <c r="M155" s="68" t="str">
        <f>IF(OR(TRIM($A155)="",TRIM($E155)=""),"",IFERROR(INDEX('E2E core flow'!$B$15:$B$1000,MATCH(1,INDEX(('E2E core flow'!$A$15:$A$1000&lt;&gt;"")*ISNUMBER(SEARCH('E2E core flow'!$A$15:$A$1000,$E155)),0),0))&amp;"","-"))</f>
        <v/>
      </c>
      <c r="N155" s="68" t="str">
        <f>IF(TRIM($A155)="","",IF($O155=0,IF(COUNTIFS('Card Test Cases'!$B$4:$B$1000,$A155,'Card Test Cases'!$A$4:$A$1000,"&lt;&gt;")&gt;0,"Out of Scope","No TC"),IF($Q155&gt;0,"Failed",IF(COUNTIFS('Card Test Cases'!$B$4:$B$1000,$A155,'Card Test Cases'!$A$4:$A$1000,"&lt;&gt;",'Card Test Cases'!$F$4:$F$1000,"Blocked")&gt;0,"Blocked",IF($R155&gt;0,"In Progress","Passed")))))</f>
        <v/>
      </c>
      <c r="O155" s="68" t="str">
        <f>IF(TRIM($A155)="","",COUNTIFS('Card Test Cases'!$B$4:$B$1000,$A155,'Card Test Cases'!$A$4:$A$1000,"&lt;&gt;",'Card Test Cases'!$F$4:$F$1000,"&lt;&gt;Out of Scope"))</f>
        <v/>
      </c>
      <c r="P155" s="68" t="str">
        <f>IF(TRIM($A155)="","",COUNTIFS('Card Test Cases'!$B$4:$B$1000,$A155,'Card Test Cases'!$A$4:$A$1000,"&lt;&gt;",'Card Test Cases'!$F$4:$F$1000,"Passed"))</f>
        <v/>
      </c>
      <c r="Q155" s="68" t="str">
        <f>IF(TRIM($A155)="","",COUNTIFS('Card Test Cases'!$B$4:$B$1000,$A155,'Card Test Cases'!$A$4:$A$1000,"&lt;&gt;",'Card Test Cases'!$F$4:$F$1000,"Failed"))</f>
        <v/>
      </c>
      <c r="R155" s="68" t="str">
        <f t="shared" si="2"/>
        <v/>
      </c>
      <c r="S155" s="68" t="str" cm="1">
        <f t="array" ref="S155">IF(TRIM($A155)="","",IFERROR(_xlfn.TEXTJOIN(", ",TRUE,_xlfn.UNIQUE(_xlfn.VSTACK(_xlfn._xlws.FILTER('Card Test Cases'!$G$4:$G$1000,('Card Test Cases'!$B$4:$B$1000=$A155)*('Card Test Cases'!$G$4:$G$1000&lt;&gt;""),""),_xlfn._xlws.FILTER('E2E core flow'!$U$15:$U$1000,('E2E core flow'!$A$15:$A$1000&lt;&gt;"")*ISNUMBER(SEARCH('E2E core flow'!$A$15:$A$1000,$E155))*('E2E core flow'!$U$15:$U$1000&lt;&gt;""),"")))),"-"))</f>
        <v/>
      </c>
    </row>
    <row r="156" spans="7:19" x14ac:dyDescent="0.3">
      <c r="G156" s="68" t="str" cm="1">
        <f t="array" ref="G156">_xlfn.LET(_xlpm.ids,'E2E core flow'!$A$15:$A$1000,_xlpm.v,'E2E core flow'!$W$15:$W$1000,_xlpm.m,(_xlpm.ids&lt;&gt;"")*ISNUMBER(SEARCH(_xlpm.ids,$E156)),_xlpm.f,SUM(_xlpm.m*(_xlpm.v="Failed")),_xlpm.b,SUM(_xlpm.m*(_xlpm.v="Blocked")),_xlpm.nr,SUM(_xlpm.m*(_xlpm.v="Not Run")),_xlpm.cp,SUM(_xlpm.m*(_xlpm.v="Conditionally Passed")),_xlpm.p,SUM(_xlpm.m*(_xlpm.v="Passed")),IF(TRIM($A156)="","",IF(TRIM($E156)="","Pending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56" s="68" t="str">
        <f>IF(TRIM($A156)="","",IF($J156="Passed","",IF($J156="Passed with Known Issue","Known Issue",IF($J156="",IF(OR($H156&lt;&gt;"No",AND($F156&lt;&gt;"Medium",$F156&lt;&gt;"Low")),"Pending Result",""),IF(OR($H156&lt;&gt;"No",AND($F156&lt;&gt;"Medium",$F156&lt;&gt;"Low")),IF(COUNTIFS(Dashboard!$B$105:$B$124,$A156,Dashboard!$I$105:$I$124,"CAB")&gt;0,"Accepted (CF)","Blocking"),IF($J156="Failed","Deferrable","Carry Over"))))))</f>
        <v/>
      </c>
      <c r="M156" s="68" t="str">
        <f>IF(OR(TRIM($A156)="",TRIM($E156)=""),"",IFERROR(INDEX('E2E core flow'!$B$15:$B$1000,MATCH(1,INDEX(('E2E core flow'!$A$15:$A$1000&lt;&gt;"")*ISNUMBER(SEARCH('E2E core flow'!$A$15:$A$1000,$E156)),0),0))&amp;"","-"))</f>
        <v/>
      </c>
      <c r="N156" s="68" t="str">
        <f>IF(TRIM($A156)="","",IF($O156=0,IF(COUNTIFS('Card Test Cases'!$B$4:$B$1000,$A156,'Card Test Cases'!$A$4:$A$1000,"&lt;&gt;")&gt;0,"Out of Scope","No TC"),IF($Q156&gt;0,"Failed",IF(COUNTIFS('Card Test Cases'!$B$4:$B$1000,$A156,'Card Test Cases'!$A$4:$A$1000,"&lt;&gt;",'Card Test Cases'!$F$4:$F$1000,"Blocked")&gt;0,"Blocked",IF($R156&gt;0,"In Progress","Passed")))))</f>
        <v/>
      </c>
      <c r="O156" s="68" t="str">
        <f>IF(TRIM($A156)="","",COUNTIFS('Card Test Cases'!$B$4:$B$1000,$A156,'Card Test Cases'!$A$4:$A$1000,"&lt;&gt;",'Card Test Cases'!$F$4:$F$1000,"&lt;&gt;Out of Scope"))</f>
        <v/>
      </c>
      <c r="P156" s="68" t="str">
        <f>IF(TRIM($A156)="","",COUNTIFS('Card Test Cases'!$B$4:$B$1000,$A156,'Card Test Cases'!$A$4:$A$1000,"&lt;&gt;",'Card Test Cases'!$F$4:$F$1000,"Passed"))</f>
        <v/>
      </c>
      <c r="Q156" s="68" t="str">
        <f>IF(TRIM($A156)="","",COUNTIFS('Card Test Cases'!$B$4:$B$1000,$A156,'Card Test Cases'!$A$4:$A$1000,"&lt;&gt;",'Card Test Cases'!$F$4:$F$1000,"Failed"))</f>
        <v/>
      </c>
      <c r="R156" s="68" t="str">
        <f t="shared" si="2"/>
        <v/>
      </c>
      <c r="S156" s="68" t="str" cm="1">
        <f t="array" ref="S156">IF(TRIM($A156)="","",IFERROR(_xlfn.TEXTJOIN(", ",TRUE,_xlfn.UNIQUE(_xlfn.VSTACK(_xlfn._xlws.FILTER('Card Test Cases'!$G$4:$G$1000,('Card Test Cases'!$B$4:$B$1000=$A156)*('Card Test Cases'!$G$4:$G$1000&lt;&gt;""),""),_xlfn._xlws.FILTER('E2E core flow'!$U$15:$U$1000,('E2E core flow'!$A$15:$A$1000&lt;&gt;"")*ISNUMBER(SEARCH('E2E core flow'!$A$15:$A$1000,$E156))*('E2E core flow'!$U$15:$U$1000&lt;&gt;""),"")))),"-"))</f>
        <v/>
      </c>
    </row>
    <row r="157" spans="7:19" x14ac:dyDescent="0.3">
      <c r="G157" s="68" t="str" cm="1">
        <f t="array" ref="G157">_xlfn.LET(_xlpm.ids,'E2E core flow'!$A$15:$A$1000,_xlpm.v,'E2E core flow'!$W$15:$W$1000,_xlpm.m,(_xlpm.ids&lt;&gt;"")*ISNUMBER(SEARCH(_xlpm.ids,$E157)),_xlpm.f,SUM(_xlpm.m*(_xlpm.v="Failed")),_xlpm.b,SUM(_xlpm.m*(_xlpm.v="Blocked")),_xlpm.nr,SUM(_xlpm.m*(_xlpm.v="Not Run")),_xlpm.cp,SUM(_xlpm.m*(_xlpm.v="Conditionally Passed")),_xlpm.p,SUM(_xlpm.m*(_xlpm.v="Passed")),IF(TRIM($A157)="","",IF(TRIM($E157)="","Pending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57" s="68" t="str">
        <f>IF(TRIM($A157)="","",IF($J157="Passed","",IF($J157="Passed with Known Issue","Known Issue",IF($J157="",IF(OR($H157&lt;&gt;"No",AND($F157&lt;&gt;"Medium",$F157&lt;&gt;"Low")),"Pending Result",""),IF(OR($H157&lt;&gt;"No",AND($F157&lt;&gt;"Medium",$F157&lt;&gt;"Low")),IF(COUNTIFS(Dashboard!$B$105:$B$124,$A157,Dashboard!$I$105:$I$124,"CAB")&gt;0,"Accepted (CF)","Blocking"),IF($J157="Failed","Deferrable","Carry Over"))))))</f>
        <v/>
      </c>
      <c r="M157" s="68" t="str">
        <f>IF(OR(TRIM($A157)="",TRIM($E157)=""),"",IFERROR(INDEX('E2E core flow'!$B$15:$B$1000,MATCH(1,INDEX(('E2E core flow'!$A$15:$A$1000&lt;&gt;"")*ISNUMBER(SEARCH('E2E core flow'!$A$15:$A$1000,$E157)),0),0))&amp;"","-"))</f>
        <v/>
      </c>
      <c r="N157" s="68" t="str">
        <f>IF(TRIM($A157)="","",IF($O157=0,IF(COUNTIFS('Card Test Cases'!$B$4:$B$1000,$A157,'Card Test Cases'!$A$4:$A$1000,"&lt;&gt;")&gt;0,"Out of Scope","No TC"),IF($Q157&gt;0,"Failed",IF(COUNTIFS('Card Test Cases'!$B$4:$B$1000,$A157,'Card Test Cases'!$A$4:$A$1000,"&lt;&gt;",'Card Test Cases'!$F$4:$F$1000,"Blocked")&gt;0,"Blocked",IF($R157&gt;0,"In Progress","Passed")))))</f>
        <v/>
      </c>
      <c r="O157" s="68" t="str">
        <f>IF(TRIM($A157)="","",COUNTIFS('Card Test Cases'!$B$4:$B$1000,$A157,'Card Test Cases'!$A$4:$A$1000,"&lt;&gt;",'Card Test Cases'!$F$4:$F$1000,"&lt;&gt;Out of Scope"))</f>
        <v/>
      </c>
      <c r="P157" s="68" t="str">
        <f>IF(TRIM($A157)="","",COUNTIFS('Card Test Cases'!$B$4:$B$1000,$A157,'Card Test Cases'!$A$4:$A$1000,"&lt;&gt;",'Card Test Cases'!$F$4:$F$1000,"Passed"))</f>
        <v/>
      </c>
      <c r="Q157" s="68" t="str">
        <f>IF(TRIM($A157)="","",COUNTIFS('Card Test Cases'!$B$4:$B$1000,$A157,'Card Test Cases'!$A$4:$A$1000,"&lt;&gt;",'Card Test Cases'!$F$4:$F$1000,"Failed"))</f>
        <v/>
      </c>
      <c r="R157" s="68" t="str">
        <f t="shared" si="2"/>
        <v/>
      </c>
      <c r="S157" s="68" t="str" cm="1">
        <f t="array" ref="S157">IF(TRIM($A157)="","",IFERROR(_xlfn.TEXTJOIN(", ",TRUE,_xlfn.UNIQUE(_xlfn.VSTACK(_xlfn._xlws.FILTER('Card Test Cases'!$G$4:$G$1000,('Card Test Cases'!$B$4:$B$1000=$A157)*('Card Test Cases'!$G$4:$G$1000&lt;&gt;""),""),_xlfn._xlws.FILTER('E2E core flow'!$U$15:$U$1000,('E2E core flow'!$A$15:$A$1000&lt;&gt;"")*ISNUMBER(SEARCH('E2E core flow'!$A$15:$A$1000,$E157))*('E2E core flow'!$U$15:$U$1000&lt;&gt;""),"")))),"-"))</f>
        <v/>
      </c>
    </row>
    <row r="158" spans="7:19" x14ac:dyDescent="0.3">
      <c r="G158" s="68" t="str" cm="1">
        <f t="array" ref="G158">_xlfn.LET(_xlpm.ids,'E2E core flow'!$A$15:$A$1000,_xlpm.v,'E2E core flow'!$W$15:$W$1000,_xlpm.m,(_xlpm.ids&lt;&gt;"")*ISNUMBER(SEARCH(_xlpm.ids,$E158)),_xlpm.f,SUM(_xlpm.m*(_xlpm.v="Failed")),_xlpm.b,SUM(_xlpm.m*(_xlpm.v="Blocked")),_xlpm.nr,SUM(_xlpm.m*(_xlpm.v="Not Run")),_xlpm.cp,SUM(_xlpm.m*(_xlpm.v="Conditionally Passed")),_xlpm.p,SUM(_xlpm.m*(_xlpm.v="Passed")),IF(TRIM($A158)="","",IF(TRIM($E158)="","Pending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58" s="68" t="str">
        <f>IF(TRIM($A158)="","",IF($J158="Passed","",IF($J158="Passed with Known Issue","Known Issue",IF($J158="",IF(OR($H158&lt;&gt;"No",AND($F158&lt;&gt;"Medium",$F158&lt;&gt;"Low")),"Pending Result",""),IF(OR($H158&lt;&gt;"No",AND($F158&lt;&gt;"Medium",$F158&lt;&gt;"Low")),IF(COUNTIFS(Dashboard!$B$105:$B$124,$A158,Dashboard!$I$105:$I$124,"CAB")&gt;0,"Accepted (CF)","Blocking"),IF($J158="Failed","Deferrable","Carry Over"))))))</f>
        <v/>
      </c>
      <c r="M158" s="68" t="str">
        <f>IF(OR(TRIM($A158)="",TRIM($E158)=""),"",IFERROR(INDEX('E2E core flow'!$B$15:$B$1000,MATCH(1,INDEX(('E2E core flow'!$A$15:$A$1000&lt;&gt;"")*ISNUMBER(SEARCH('E2E core flow'!$A$15:$A$1000,$E158)),0),0))&amp;"","-"))</f>
        <v/>
      </c>
      <c r="N158" s="68" t="str">
        <f>IF(TRIM($A158)="","",IF($O158=0,IF(COUNTIFS('Card Test Cases'!$B$4:$B$1000,$A158,'Card Test Cases'!$A$4:$A$1000,"&lt;&gt;")&gt;0,"Out of Scope","No TC"),IF($Q158&gt;0,"Failed",IF(COUNTIFS('Card Test Cases'!$B$4:$B$1000,$A158,'Card Test Cases'!$A$4:$A$1000,"&lt;&gt;",'Card Test Cases'!$F$4:$F$1000,"Blocked")&gt;0,"Blocked",IF($R158&gt;0,"In Progress","Passed")))))</f>
        <v/>
      </c>
      <c r="O158" s="68" t="str">
        <f>IF(TRIM($A158)="","",COUNTIFS('Card Test Cases'!$B$4:$B$1000,$A158,'Card Test Cases'!$A$4:$A$1000,"&lt;&gt;",'Card Test Cases'!$F$4:$F$1000,"&lt;&gt;Out of Scope"))</f>
        <v/>
      </c>
      <c r="P158" s="68" t="str">
        <f>IF(TRIM($A158)="","",COUNTIFS('Card Test Cases'!$B$4:$B$1000,$A158,'Card Test Cases'!$A$4:$A$1000,"&lt;&gt;",'Card Test Cases'!$F$4:$F$1000,"Passed"))</f>
        <v/>
      </c>
      <c r="Q158" s="68" t="str">
        <f>IF(TRIM($A158)="","",COUNTIFS('Card Test Cases'!$B$4:$B$1000,$A158,'Card Test Cases'!$A$4:$A$1000,"&lt;&gt;",'Card Test Cases'!$F$4:$F$1000,"Failed"))</f>
        <v/>
      </c>
      <c r="R158" s="68" t="str">
        <f t="shared" si="2"/>
        <v/>
      </c>
      <c r="S158" s="68" t="str" cm="1">
        <f t="array" ref="S158">IF(TRIM($A158)="","",IFERROR(_xlfn.TEXTJOIN(", ",TRUE,_xlfn.UNIQUE(_xlfn.VSTACK(_xlfn._xlws.FILTER('Card Test Cases'!$G$4:$G$1000,('Card Test Cases'!$B$4:$B$1000=$A158)*('Card Test Cases'!$G$4:$G$1000&lt;&gt;""),""),_xlfn._xlws.FILTER('E2E core flow'!$U$15:$U$1000,('E2E core flow'!$A$15:$A$1000&lt;&gt;"")*ISNUMBER(SEARCH('E2E core flow'!$A$15:$A$1000,$E158))*('E2E core flow'!$U$15:$U$1000&lt;&gt;""),"")))),"-"))</f>
        <v/>
      </c>
    </row>
    <row r="159" spans="7:19" x14ac:dyDescent="0.3">
      <c r="G159" s="68" t="str" cm="1">
        <f t="array" ref="G159">_xlfn.LET(_xlpm.ids,'E2E core flow'!$A$15:$A$1000,_xlpm.v,'E2E core flow'!$W$15:$W$1000,_xlpm.m,(_xlpm.ids&lt;&gt;"")*ISNUMBER(SEARCH(_xlpm.ids,$E159)),_xlpm.f,SUM(_xlpm.m*(_xlpm.v="Failed")),_xlpm.b,SUM(_xlpm.m*(_xlpm.v="Blocked")),_xlpm.nr,SUM(_xlpm.m*(_xlpm.v="Not Run")),_xlpm.cp,SUM(_xlpm.m*(_xlpm.v="Conditionally Passed")),_xlpm.p,SUM(_xlpm.m*(_xlpm.v="Passed")),IF(TRIM($A159)="","",IF(TRIM($E159)="","Pending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59" s="68" t="str">
        <f>IF(TRIM($A159)="","",IF($J159="Passed","",IF($J159="Passed with Known Issue","Known Issue",IF($J159="",IF(OR($H159&lt;&gt;"No",AND($F159&lt;&gt;"Medium",$F159&lt;&gt;"Low")),"Pending Result",""),IF(OR($H159&lt;&gt;"No",AND($F159&lt;&gt;"Medium",$F159&lt;&gt;"Low")),IF(COUNTIFS(Dashboard!$B$105:$B$124,$A159,Dashboard!$I$105:$I$124,"CAB")&gt;0,"Accepted (CF)","Blocking"),IF($J159="Failed","Deferrable","Carry Over"))))))</f>
        <v/>
      </c>
      <c r="M159" s="68" t="str">
        <f>IF(OR(TRIM($A159)="",TRIM($E159)=""),"",IFERROR(INDEX('E2E core flow'!$B$15:$B$1000,MATCH(1,INDEX(('E2E core flow'!$A$15:$A$1000&lt;&gt;"")*ISNUMBER(SEARCH('E2E core flow'!$A$15:$A$1000,$E159)),0),0))&amp;"","-"))</f>
        <v/>
      </c>
      <c r="N159" s="68" t="str">
        <f>IF(TRIM($A159)="","",IF($O159=0,IF(COUNTIFS('Card Test Cases'!$B$4:$B$1000,$A159,'Card Test Cases'!$A$4:$A$1000,"&lt;&gt;")&gt;0,"Out of Scope","No TC"),IF($Q159&gt;0,"Failed",IF(COUNTIFS('Card Test Cases'!$B$4:$B$1000,$A159,'Card Test Cases'!$A$4:$A$1000,"&lt;&gt;",'Card Test Cases'!$F$4:$F$1000,"Blocked")&gt;0,"Blocked",IF($R159&gt;0,"In Progress","Passed")))))</f>
        <v/>
      </c>
      <c r="O159" s="68" t="str">
        <f>IF(TRIM($A159)="","",COUNTIFS('Card Test Cases'!$B$4:$B$1000,$A159,'Card Test Cases'!$A$4:$A$1000,"&lt;&gt;",'Card Test Cases'!$F$4:$F$1000,"&lt;&gt;Out of Scope"))</f>
        <v/>
      </c>
      <c r="P159" s="68" t="str">
        <f>IF(TRIM($A159)="","",COUNTIFS('Card Test Cases'!$B$4:$B$1000,$A159,'Card Test Cases'!$A$4:$A$1000,"&lt;&gt;",'Card Test Cases'!$F$4:$F$1000,"Passed"))</f>
        <v/>
      </c>
      <c r="Q159" s="68" t="str">
        <f>IF(TRIM($A159)="","",COUNTIFS('Card Test Cases'!$B$4:$B$1000,$A159,'Card Test Cases'!$A$4:$A$1000,"&lt;&gt;",'Card Test Cases'!$F$4:$F$1000,"Failed"))</f>
        <v/>
      </c>
      <c r="R159" s="68" t="str">
        <f t="shared" si="2"/>
        <v/>
      </c>
      <c r="S159" s="68" t="str" cm="1">
        <f t="array" ref="S159">IF(TRIM($A159)="","",IFERROR(_xlfn.TEXTJOIN(", ",TRUE,_xlfn.UNIQUE(_xlfn.VSTACK(_xlfn._xlws.FILTER('Card Test Cases'!$G$4:$G$1000,('Card Test Cases'!$B$4:$B$1000=$A159)*('Card Test Cases'!$G$4:$G$1000&lt;&gt;""),""),_xlfn._xlws.FILTER('E2E core flow'!$U$15:$U$1000,('E2E core flow'!$A$15:$A$1000&lt;&gt;"")*ISNUMBER(SEARCH('E2E core flow'!$A$15:$A$1000,$E159))*('E2E core flow'!$U$15:$U$1000&lt;&gt;""),"")))),"-"))</f>
        <v/>
      </c>
    </row>
    <row r="160" spans="7:19" x14ac:dyDescent="0.3">
      <c r="G160" s="68" t="str" cm="1">
        <f t="array" ref="G160">_xlfn.LET(_xlpm.ids,'E2E core flow'!$A$15:$A$1000,_xlpm.v,'E2E core flow'!$W$15:$W$1000,_xlpm.m,(_xlpm.ids&lt;&gt;"")*ISNUMBER(SEARCH(_xlpm.ids,$E160)),_xlpm.f,SUM(_xlpm.m*(_xlpm.v="Failed")),_xlpm.b,SUM(_xlpm.m*(_xlpm.v="Blocked")),_xlpm.nr,SUM(_xlpm.m*(_xlpm.v="Not Run")),_xlpm.cp,SUM(_xlpm.m*(_xlpm.v="Conditionally Passed")),_xlpm.p,SUM(_xlpm.m*(_xlpm.v="Passed")),IF(TRIM($A160)="","",IF(TRIM($E160)="","Pending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60" s="68" t="str">
        <f>IF(TRIM($A160)="","",IF($J160="Passed","",IF($J160="Passed with Known Issue","Known Issue",IF($J160="",IF(OR($H160&lt;&gt;"No",AND($F160&lt;&gt;"Medium",$F160&lt;&gt;"Low")),"Pending Result",""),IF(OR($H160&lt;&gt;"No",AND($F160&lt;&gt;"Medium",$F160&lt;&gt;"Low")),IF(COUNTIFS(Dashboard!$B$105:$B$124,$A160,Dashboard!$I$105:$I$124,"CAB")&gt;0,"Accepted (CF)","Blocking"),IF($J160="Failed","Deferrable","Carry Over"))))))</f>
        <v/>
      </c>
      <c r="M160" s="68" t="str">
        <f>IF(OR(TRIM($A160)="",TRIM($E160)=""),"",IFERROR(INDEX('E2E core flow'!$B$15:$B$1000,MATCH(1,INDEX(('E2E core flow'!$A$15:$A$1000&lt;&gt;"")*ISNUMBER(SEARCH('E2E core flow'!$A$15:$A$1000,$E160)),0),0))&amp;"","-"))</f>
        <v/>
      </c>
      <c r="N160" s="68" t="str">
        <f>IF(TRIM($A160)="","",IF($O160=0,IF(COUNTIFS('Card Test Cases'!$B$4:$B$1000,$A160,'Card Test Cases'!$A$4:$A$1000,"&lt;&gt;")&gt;0,"Out of Scope","No TC"),IF($Q160&gt;0,"Failed",IF(COUNTIFS('Card Test Cases'!$B$4:$B$1000,$A160,'Card Test Cases'!$A$4:$A$1000,"&lt;&gt;",'Card Test Cases'!$F$4:$F$1000,"Blocked")&gt;0,"Blocked",IF($R160&gt;0,"In Progress","Passed")))))</f>
        <v/>
      </c>
      <c r="O160" s="68" t="str">
        <f>IF(TRIM($A160)="","",COUNTIFS('Card Test Cases'!$B$4:$B$1000,$A160,'Card Test Cases'!$A$4:$A$1000,"&lt;&gt;",'Card Test Cases'!$F$4:$F$1000,"&lt;&gt;Out of Scope"))</f>
        <v/>
      </c>
      <c r="P160" s="68" t="str">
        <f>IF(TRIM($A160)="","",COUNTIFS('Card Test Cases'!$B$4:$B$1000,$A160,'Card Test Cases'!$A$4:$A$1000,"&lt;&gt;",'Card Test Cases'!$F$4:$F$1000,"Passed"))</f>
        <v/>
      </c>
      <c r="Q160" s="68" t="str">
        <f>IF(TRIM($A160)="","",COUNTIFS('Card Test Cases'!$B$4:$B$1000,$A160,'Card Test Cases'!$A$4:$A$1000,"&lt;&gt;",'Card Test Cases'!$F$4:$F$1000,"Failed"))</f>
        <v/>
      </c>
      <c r="R160" s="68" t="str">
        <f t="shared" si="2"/>
        <v/>
      </c>
      <c r="S160" s="68" t="str" cm="1">
        <f t="array" ref="S160">IF(TRIM($A160)="","",IFERROR(_xlfn.TEXTJOIN(", ",TRUE,_xlfn.UNIQUE(_xlfn.VSTACK(_xlfn._xlws.FILTER('Card Test Cases'!$G$4:$G$1000,('Card Test Cases'!$B$4:$B$1000=$A160)*('Card Test Cases'!$G$4:$G$1000&lt;&gt;""),""),_xlfn._xlws.FILTER('E2E core flow'!$U$15:$U$1000,('E2E core flow'!$A$15:$A$1000&lt;&gt;"")*ISNUMBER(SEARCH('E2E core flow'!$A$15:$A$1000,$E160))*('E2E core flow'!$U$15:$U$1000&lt;&gt;""),"")))),"-"))</f>
        <v/>
      </c>
    </row>
    <row r="161" spans="7:19" x14ac:dyDescent="0.3">
      <c r="G161" s="68" t="str" cm="1">
        <f t="array" ref="G161">_xlfn.LET(_xlpm.ids,'E2E core flow'!$A$15:$A$1000,_xlpm.v,'E2E core flow'!$W$15:$W$1000,_xlpm.m,(_xlpm.ids&lt;&gt;"")*ISNUMBER(SEARCH(_xlpm.ids,$E161)),_xlpm.f,SUM(_xlpm.m*(_xlpm.v="Failed")),_xlpm.b,SUM(_xlpm.m*(_xlpm.v="Blocked")),_xlpm.nr,SUM(_xlpm.m*(_xlpm.v="Not Run")),_xlpm.cp,SUM(_xlpm.m*(_xlpm.v="Conditionally Passed")),_xlpm.p,SUM(_xlpm.m*(_xlpm.v="Passed")),IF(TRIM($A161)="","",IF(TRIM($E161)="","Pending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61" s="68" t="str">
        <f>IF(TRIM($A161)="","",IF($J161="Passed","",IF($J161="Passed with Known Issue","Known Issue",IF($J161="",IF(OR($H161&lt;&gt;"No",AND($F161&lt;&gt;"Medium",$F161&lt;&gt;"Low")),"Pending Result",""),IF(OR($H161&lt;&gt;"No",AND($F161&lt;&gt;"Medium",$F161&lt;&gt;"Low")),IF(COUNTIFS(Dashboard!$B$105:$B$124,$A161,Dashboard!$I$105:$I$124,"CAB")&gt;0,"Accepted (CF)","Blocking"),IF($J161="Failed","Deferrable","Carry Over"))))))</f>
        <v/>
      </c>
      <c r="M161" s="68" t="str">
        <f>IF(OR(TRIM($A161)="",TRIM($E161)=""),"",IFERROR(INDEX('E2E core flow'!$B$15:$B$1000,MATCH(1,INDEX(('E2E core flow'!$A$15:$A$1000&lt;&gt;"")*ISNUMBER(SEARCH('E2E core flow'!$A$15:$A$1000,$E161)),0),0))&amp;"","-"))</f>
        <v/>
      </c>
      <c r="N161" s="68" t="str">
        <f>IF(TRIM($A161)="","",IF($O161=0,IF(COUNTIFS('Card Test Cases'!$B$4:$B$1000,$A161,'Card Test Cases'!$A$4:$A$1000,"&lt;&gt;")&gt;0,"Out of Scope","No TC"),IF($Q161&gt;0,"Failed",IF(COUNTIFS('Card Test Cases'!$B$4:$B$1000,$A161,'Card Test Cases'!$A$4:$A$1000,"&lt;&gt;",'Card Test Cases'!$F$4:$F$1000,"Blocked")&gt;0,"Blocked",IF($R161&gt;0,"In Progress","Passed")))))</f>
        <v/>
      </c>
      <c r="O161" s="68" t="str">
        <f>IF(TRIM($A161)="","",COUNTIFS('Card Test Cases'!$B$4:$B$1000,$A161,'Card Test Cases'!$A$4:$A$1000,"&lt;&gt;",'Card Test Cases'!$F$4:$F$1000,"&lt;&gt;Out of Scope"))</f>
        <v/>
      </c>
      <c r="P161" s="68" t="str">
        <f>IF(TRIM($A161)="","",COUNTIFS('Card Test Cases'!$B$4:$B$1000,$A161,'Card Test Cases'!$A$4:$A$1000,"&lt;&gt;",'Card Test Cases'!$F$4:$F$1000,"Passed"))</f>
        <v/>
      </c>
      <c r="Q161" s="68" t="str">
        <f>IF(TRIM($A161)="","",COUNTIFS('Card Test Cases'!$B$4:$B$1000,$A161,'Card Test Cases'!$A$4:$A$1000,"&lt;&gt;",'Card Test Cases'!$F$4:$F$1000,"Failed"))</f>
        <v/>
      </c>
      <c r="R161" s="68" t="str">
        <f t="shared" si="2"/>
        <v/>
      </c>
      <c r="S161" s="68" t="str" cm="1">
        <f t="array" ref="S161">IF(TRIM($A161)="","",IFERROR(_xlfn.TEXTJOIN(", ",TRUE,_xlfn.UNIQUE(_xlfn.VSTACK(_xlfn._xlws.FILTER('Card Test Cases'!$G$4:$G$1000,('Card Test Cases'!$B$4:$B$1000=$A161)*('Card Test Cases'!$G$4:$G$1000&lt;&gt;""),""),_xlfn._xlws.FILTER('E2E core flow'!$U$15:$U$1000,('E2E core flow'!$A$15:$A$1000&lt;&gt;"")*ISNUMBER(SEARCH('E2E core flow'!$A$15:$A$1000,$E161))*('E2E core flow'!$U$15:$U$1000&lt;&gt;""),"")))),"-"))</f>
        <v/>
      </c>
    </row>
    <row r="162" spans="7:19" x14ac:dyDescent="0.3">
      <c r="G162" s="68" t="str" cm="1">
        <f t="array" ref="G162">_xlfn.LET(_xlpm.ids,'E2E core flow'!$A$15:$A$1000,_xlpm.v,'E2E core flow'!$W$15:$W$1000,_xlpm.m,(_xlpm.ids&lt;&gt;"")*ISNUMBER(SEARCH(_xlpm.ids,$E162)),_xlpm.f,SUM(_xlpm.m*(_xlpm.v="Failed")),_xlpm.b,SUM(_xlpm.m*(_xlpm.v="Blocked")),_xlpm.nr,SUM(_xlpm.m*(_xlpm.v="Not Run")),_xlpm.cp,SUM(_xlpm.m*(_xlpm.v="Conditionally Passed")),_xlpm.p,SUM(_xlpm.m*(_xlpm.v="Passed")),IF(TRIM($A162)="","",IF(TRIM($E162)="","Pending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62" s="68" t="str">
        <f>IF(TRIM($A162)="","",IF($J162="Passed","",IF($J162="Passed with Known Issue","Known Issue",IF($J162="",IF(OR($H162&lt;&gt;"No",AND($F162&lt;&gt;"Medium",$F162&lt;&gt;"Low")),"Pending Result",""),IF(OR($H162&lt;&gt;"No",AND($F162&lt;&gt;"Medium",$F162&lt;&gt;"Low")),IF(COUNTIFS(Dashboard!$B$105:$B$124,$A162,Dashboard!$I$105:$I$124,"CAB")&gt;0,"Accepted (CF)","Blocking"),IF($J162="Failed","Deferrable","Carry Over"))))))</f>
        <v/>
      </c>
      <c r="M162" s="68" t="str">
        <f>IF(OR(TRIM($A162)="",TRIM($E162)=""),"",IFERROR(INDEX('E2E core flow'!$B$15:$B$1000,MATCH(1,INDEX(('E2E core flow'!$A$15:$A$1000&lt;&gt;"")*ISNUMBER(SEARCH('E2E core flow'!$A$15:$A$1000,$E162)),0),0))&amp;"","-"))</f>
        <v/>
      </c>
      <c r="N162" s="68" t="str">
        <f>IF(TRIM($A162)="","",IF($O162=0,IF(COUNTIFS('Card Test Cases'!$B$4:$B$1000,$A162,'Card Test Cases'!$A$4:$A$1000,"&lt;&gt;")&gt;0,"Out of Scope","No TC"),IF($Q162&gt;0,"Failed",IF(COUNTIFS('Card Test Cases'!$B$4:$B$1000,$A162,'Card Test Cases'!$A$4:$A$1000,"&lt;&gt;",'Card Test Cases'!$F$4:$F$1000,"Blocked")&gt;0,"Blocked",IF($R162&gt;0,"In Progress","Passed")))))</f>
        <v/>
      </c>
      <c r="O162" s="68" t="str">
        <f>IF(TRIM($A162)="","",COUNTIFS('Card Test Cases'!$B$4:$B$1000,$A162,'Card Test Cases'!$A$4:$A$1000,"&lt;&gt;",'Card Test Cases'!$F$4:$F$1000,"&lt;&gt;Out of Scope"))</f>
        <v/>
      </c>
      <c r="P162" s="68" t="str">
        <f>IF(TRIM($A162)="","",COUNTIFS('Card Test Cases'!$B$4:$B$1000,$A162,'Card Test Cases'!$A$4:$A$1000,"&lt;&gt;",'Card Test Cases'!$F$4:$F$1000,"Passed"))</f>
        <v/>
      </c>
      <c r="Q162" s="68" t="str">
        <f>IF(TRIM($A162)="","",COUNTIFS('Card Test Cases'!$B$4:$B$1000,$A162,'Card Test Cases'!$A$4:$A$1000,"&lt;&gt;",'Card Test Cases'!$F$4:$F$1000,"Failed"))</f>
        <v/>
      </c>
      <c r="R162" s="68" t="str">
        <f t="shared" si="2"/>
        <v/>
      </c>
      <c r="S162" s="68" t="str" cm="1">
        <f t="array" ref="S162">IF(TRIM($A162)="","",IFERROR(_xlfn.TEXTJOIN(", ",TRUE,_xlfn.UNIQUE(_xlfn.VSTACK(_xlfn._xlws.FILTER('Card Test Cases'!$G$4:$G$1000,('Card Test Cases'!$B$4:$B$1000=$A162)*('Card Test Cases'!$G$4:$G$1000&lt;&gt;""),""),_xlfn._xlws.FILTER('E2E core flow'!$U$15:$U$1000,('E2E core flow'!$A$15:$A$1000&lt;&gt;"")*ISNUMBER(SEARCH('E2E core flow'!$A$15:$A$1000,$E162))*('E2E core flow'!$U$15:$U$1000&lt;&gt;""),"")))),"-"))</f>
        <v/>
      </c>
    </row>
    <row r="163" spans="7:19" x14ac:dyDescent="0.3">
      <c r="G163" s="68" t="str" cm="1">
        <f t="array" ref="G163">_xlfn.LET(_xlpm.ids,'E2E core flow'!$A$15:$A$1000,_xlpm.v,'E2E core flow'!$W$15:$W$1000,_xlpm.m,(_xlpm.ids&lt;&gt;"")*ISNUMBER(SEARCH(_xlpm.ids,$E163)),_xlpm.f,SUM(_xlpm.m*(_xlpm.v="Failed")),_xlpm.b,SUM(_xlpm.m*(_xlpm.v="Blocked")),_xlpm.nr,SUM(_xlpm.m*(_xlpm.v="Not Run")),_xlpm.cp,SUM(_xlpm.m*(_xlpm.v="Conditionally Passed")),_xlpm.p,SUM(_xlpm.m*(_xlpm.v="Passed")),IF(TRIM($A163)="","",IF(TRIM($E163)="","Pending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63" s="68" t="str">
        <f>IF(TRIM($A163)="","",IF($J163="Passed","",IF($J163="Passed with Known Issue","Known Issue",IF($J163="",IF(OR($H163&lt;&gt;"No",AND($F163&lt;&gt;"Medium",$F163&lt;&gt;"Low")),"Pending Result",""),IF(OR($H163&lt;&gt;"No",AND($F163&lt;&gt;"Medium",$F163&lt;&gt;"Low")),IF(COUNTIFS(Dashboard!$B$105:$B$124,$A163,Dashboard!$I$105:$I$124,"CAB")&gt;0,"Accepted (CF)","Blocking"),IF($J163="Failed","Deferrable","Carry Over"))))))</f>
        <v/>
      </c>
      <c r="M163" s="68" t="str">
        <f>IF(OR(TRIM($A163)="",TRIM($E163)=""),"",IFERROR(INDEX('E2E core flow'!$B$15:$B$1000,MATCH(1,INDEX(('E2E core flow'!$A$15:$A$1000&lt;&gt;"")*ISNUMBER(SEARCH('E2E core flow'!$A$15:$A$1000,$E163)),0),0))&amp;"","-"))</f>
        <v/>
      </c>
      <c r="N163" s="68" t="str">
        <f>IF(TRIM($A163)="","",IF($O163=0,IF(COUNTIFS('Card Test Cases'!$B$4:$B$1000,$A163,'Card Test Cases'!$A$4:$A$1000,"&lt;&gt;")&gt;0,"Out of Scope","No TC"),IF($Q163&gt;0,"Failed",IF(COUNTIFS('Card Test Cases'!$B$4:$B$1000,$A163,'Card Test Cases'!$A$4:$A$1000,"&lt;&gt;",'Card Test Cases'!$F$4:$F$1000,"Blocked")&gt;0,"Blocked",IF($R163&gt;0,"In Progress","Passed")))))</f>
        <v/>
      </c>
      <c r="O163" s="68" t="str">
        <f>IF(TRIM($A163)="","",COUNTIFS('Card Test Cases'!$B$4:$B$1000,$A163,'Card Test Cases'!$A$4:$A$1000,"&lt;&gt;",'Card Test Cases'!$F$4:$F$1000,"&lt;&gt;Out of Scope"))</f>
        <v/>
      </c>
      <c r="P163" s="68" t="str">
        <f>IF(TRIM($A163)="","",COUNTIFS('Card Test Cases'!$B$4:$B$1000,$A163,'Card Test Cases'!$A$4:$A$1000,"&lt;&gt;",'Card Test Cases'!$F$4:$F$1000,"Passed"))</f>
        <v/>
      </c>
      <c r="Q163" s="68" t="str">
        <f>IF(TRIM($A163)="","",COUNTIFS('Card Test Cases'!$B$4:$B$1000,$A163,'Card Test Cases'!$A$4:$A$1000,"&lt;&gt;",'Card Test Cases'!$F$4:$F$1000,"Failed"))</f>
        <v/>
      </c>
      <c r="R163" s="68" t="str">
        <f t="shared" si="2"/>
        <v/>
      </c>
      <c r="S163" s="68" t="str" cm="1">
        <f t="array" ref="S163">IF(TRIM($A163)="","",IFERROR(_xlfn.TEXTJOIN(", ",TRUE,_xlfn.UNIQUE(_xlfn.VSTACK(_xlfn._xlws.FILTER('Card Test Cases'!$G$4:$G$1000,('Card Test Cases'!$B$4:$B$1000=$A163)*('Card Test Cases'!$G$4:$G$1000&lt;&gt;""),""),_xlfn._xlws.FILTER('E2E core flow'!$U$15:$U$1000,('E2E core flow'!$A$15:$A$1000&lt;&gt;"")*ISNUMBER(SEARCH('E2E core flow'!$A$15:$A$1000,$E163))*('E2E core flow'!$U$15:$U$1000&lt;&gt;""),"")))),"-"))</f>
        <v/>
      </c>
    </row>
    <row r="164" spans="7:19" x14ac:dyDescent="0.3">
      <c r="G164" s="68" t="str" cm="1">
        <f t="array" ref="G164">_xlfn.LET(_xlpm.ids,'E2E core flow'!$A$15:$A$1000,_xlpm.v,'E2E core flow'!$W$15:$W$1000,_xlpm.m,(_xlpm.ids&lt;&gt;"")*ISNUMBER(SEARCH(_xlpm.ids,$E164)),_xlpm.f,SUM(_xlpm.m*(_xlpm.v="Failed")),_xlpm.b,SUM(_xlpm.m*(_xlpm.v="Blocked")),_xlpm.nr,SUM(_xlpm.m*(_xlpm.v="Not Run")),_xlpm.cp,SUM(_xlpm.m*(_xlpm.v="Conditionally Passed")),_xlpm.p,SUM(_xlpm.m*(_xlpm.v="Passed")),IF(TRIM($A164)="","",IF(TRIM($E164)="","Pending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64" s="68" t="str">
        <f>IF(TRIM($A164)="","",IF($J164="Passed","",IF($J164="Passed with Known Issue","Known Issue",IF($J164="",IF(OR($H164&lt;&gt;"No",AND($F164&lt;&gt;"Medium",$F164&lt;&gt;"Low")),"Pending Result",""),IF(OR($H164&lt;&gt;"No",AND($F164&lt;&gt;"Medium",$F164&lt;&gt;"Low")),IF(COUNTIFS(Dashboard!$B$105:$B$124,$A164,Dashboard!$I$105:$I$124,"CAB")&gt;0,"Accepted (CF)","Blocking"),IF($J164="Failed","Deferrable","Carry Over"))))))</f>
        <v/>
      </c>
      <c r="M164" s="68" t="str">
        <f>IF(OR(TRIM($A164)="",TRIM($E164)=""),"",IFERROR(INDEX('E2E core flow'!$B$15:$B$1000,MATCH(1,INDEX(('E2E core flow'!$A$15:$A$1000&lt;&gt;"")*ISNUMBER(SEARCH('E2E core flow'!$A$15:$A$1000,$E164)),0),0))&amp;"","-"))</f>
        <v/>
      </c>
      <c r="N164" s="68" t="str">
        <f>IF(TRIM($A164)="","",IF($O164=0,IF(COUNTIFS('Card Test Cases'!$B$4:$B$1000,$A164,'Card Test Cases'!$A$4:$A$1000,"&lt;&gt;")&gt;0,"Out of Scope","No TC"),IF($Q164&gt;0,"Failed",IF(COUNTIFS('Card Test Cases'!$B$4:$B$1000,$A164,'Card Test Cases'!$A$4:$A$1000,"&lt;&gt;",'Card Test Cases'!$F$4:$F$1000,"Blocked")&gt;0,"Blocked",IF($R164&gt;0,"In Progress","Passed")))))</f>
        <v/>
      </c>
      <c r="O164" s="68" t="str">
        <f>IF(TRIM($A164)="","",COUNTIFS('Card Test Cases'!$B$4:$B$1000,$A164,'Card Test Cases'!$A$4:$A$1000,"&lt;&gt;",'Card Test Cases'!$F$4:$F$1000,"&lt;&gt;Out of Scope"))</f>
        <v/>
      </c>
      <c r="P164" s="68" t="str">
        <f>IF(TRIM($A164)="","",COUNTIFS('Card Test Cases'!$B$4:$B$1000,$A164,'Card Test Cases'!$A$4:$A$1000,"&lt;&gt;",'Card Test Cases'!$F$4:$F$1000,"Passed"))</f>
        <v/>
      </c>
      <c r="Q164" s="68" t="str">
        <f>IF(TRIM($A164)="","",COUNTIFS('Card Test Cases'!$B$4:$B$1000,$A164,'Card Test Cases'!$A$4:$A$1000,"&lt;&gt;",'Card Test Cases'!$F$4:$F$1000,"Failed"))</f>
        <v/>
      </c>
      <c r="R164" s="68" t="str">
        <f t="shared" si="2"/>
        <v/>
      </c>
      <c r="S164" s="68" t="str" cm="1">
        <f t="array" ref="S164">IF(TRIM($A164)="","",IFERROR(_xlfn.TEXTJOIN(", ",TRUE,_xlfn.UNIQUE(_xlfn.VSTACK(_xlfn._xlws.FILTER('Card Test Cases'!$G$4:$G$1000,('Card Test Cases'!$B$4:$B$1000=$A164)*('Card Test Cases'!$G$4:$G$1000&lt;&gt;""),""),_xlfn._xlws.FILTER('E2E core flow'!$U$15:$U$1000,('E2E core flow'!$A$15:$A$1000&lt;&gt;"")*ISNUMBER(SEARCH('E2E core flow'!$A$15:$A$1000,$E164))*('E2E core flow'!$U$15:$U$1000&lt;&gt;""),"")))),"-"))</f>
        <v/>
      </c>
    </row>
    <row r="165" spans="7:19" x14ac:dyDescent="0.3">
      <c r="G165" s="68" t="str" cm="1">
        <f t="array" ref="G165">_xlfn.LET(_xlpm.ids,'E2E core flow'!$A$15:$A$1000,_xlpm.v,'E2E core flow'!$W$15:$W$1000,_xlpm.m,(_xlpm.ids&lt;&gt;"")*ISNUMBER(SEARCH(_xlpm.ids,$E165)),_xlpm.f,SUM(_xlpm.m*(_xlpm.v="Failed")),_xlpm.b,SUM(_xlpm.m*(_xlpm.v="Blocked")),_xlpm.nr,SUM(_xlpm.m*(_xlpm.v="Not Run")),_xlpm.cp,SUM(_xlpm.m*(_xlpm.v="Conditionally Passed")),_xlpm.p,SUM(_xlpm.m*(_xlpm.v="Passed")),IF(TRIM($A165)="","",IF(TRIM($E165)="","Pending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65" s="68" t="str">
        <f>IF(TRIM($A165)="","",IF($J165="Passed","",IF($J165="Passed with Known Issue","Known Issue",IF($J165="",IF(OR($H165&lt;&gt;"No",AND($F165&lt;&gt;"Medium",$F165&lt;&gt;"Low")),"Pending Result",""),IF(OR($H165&lt;&gt;"No",AND($F165&lt;&gt;"Medium",$F165&lt;&gt;"Low")),IF(COUNTIFS(Dashboard!$B$105:$B$124,$A165,Dashboard!$I$105:$I$124,"CAB")&gt;0,"Accepted (CF)","Blocking"),IF($J165="Failed","Deferrable","Carry Over"))))))</f>
        <v/>
      </c>
      <c r="M165" s="68" t="str">
        <f>IF(OR(TRIM($A165)="",TRIM($E165)=""),"",IFERROR(INDEX('E2E core flow'!$B$15:$B$1000,MATCH(1,INDEX(('E2E core flow'!$A$15:$A$1000&lt;&gt;"")*ISNUMBER(SEARCH('E2E core flow'!$A$15:$A$1000,$E165)),0),0))&amp;"","-"))</f>
        <v/>
      </c>
      <c r="N165" s="68" t="str">
        <f>IF(TRIM($A165)="","",IF($O165=0,IF(COUNTIFS('Card Test Cases'!$B$4:$B$1000,$A165,'Card Test Cases'!$A$4:$A$1000,"&lt;&gt;")&gt;0,"Out of Scope","No TC"),IF($Q165&gt;0,"Failed",IF(COUNTIFS('Card Test Cases'!$B$4:$B$1000,$A165,'Card Test Cases'!$A$4:$A$1000,"&lt;&gt;",'Card Test Cases'!$F$4:$F$1000,"Blocked")&gt;0,"Blocked",IF($R165&gt;0,"In Progress","Passed")))))</f>
        <v/>
      </c>
      <c r="O165" s="68" t="str">
        <f>IF(TRIM($A165)="","",COUNTIFS('Card Test Cases'!$B$4:$B$1000,$A165,'Card Test Cases'!$A$4:$A$1000,"&lt;&gt;",'Card Test Cases'!$F$4:$F$1000,"&lt;&gt;Out of Scope"))</f>
        <v/>
      </c>
      <c r="P165" s="68" t="str">
        <f>IF(TRIM($A165)="","",COUNTIFS('Card Test Cases'!$B$4:$B$1000,$A165,'Card Test Cases'!$A$4:$A$1000,"&lt;&gt;",'Card Test Cases'!$F$4:$F$1000,"Passed"))</f>
        <v/>
      </c>
      <c r="Q165" s="68" t="str">
        <f>IF(TRIM($A165)="","",COUNTIFS('Card Test Cases'!$B$4:$B$1000,$A165,'Card Test Cases'!$A$4:$A$1000,"&lt;&gt;",'Card Test Cases'!$F$4:$F$1000,"Failed"))</f>
        <v/>
      </c>
      <c r="R165" s="68" t="str">
        <f t="shared" si="2"/>
        <v/>
      </c>
      <c r="S165" s="68" t="str" cm="1">
        <f t="array" ref="S165">IF(TRIM($A165)="","",IFERROR(_xlfn.TEXTJOIN(", ",TRUE,_xlfn.UNIQUE(_xlfn.VSTACK(_xlfn._xlws.FILTER('Card Test Cases'!$G$4:$G$1000,('Card Test Cases'!$B$4:$B$1000=$A165)*('Card Test Cases'!$G$4:$G$1000&lt;&gt;""),""),_xlfn._xlws.FILTER('E2E core flow'!$U$15:$U$1000,('E2E core flow'!$A$15:$A$1000&lt;&gt;"")*ISNUMBER(SEARCH('E2E core flow'!$A$15:$A$1000,$E165))*('E2E core flow'!$U$15:$U$1000&lt;&gt;""),"")))),"-"))</f>
        <v/>
      </c>
    </row>
    <row r="166" spans="7:19" x14ac:dyDescent="0.3">
      <c r="G166" s="68" t="str" cm="1">
        <f t="array" ref="G166">_xlfn.LET(_xlpm.ids,'E2E core flow'!$A$15:$A$1000,_xlpm.v,'E2E core flow'!$W$15:$W$1000,_xlpm.m,(_xlpm.ids&lt;&gt;"")*ISNUMBER(SEARCH(_xlpm.ids,$E166)),_xlpm.f,SUM(_xlpm.m*(_xlpm.v="Failed")),_xlpm.b,SUM(_xlpm.m*(_xlpm.v="Blocked")),_xlpm.nr,SUM(_xlpm.m*(_xlpm.v="Not Run")),_xlpm.cp,SUM(_xlpm.m*(_xlpm.v="Conditionally Passed")),_xlpm.p,SUM(_xlpm.m*(_xlpm.v="Passed")),IF(TRIM($A166)="","",IF(TRIM($E166)="","Pending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66" s="68" t="str">
        <f>IF(TRIM($A166)="","",IF($J166="Passed","",IF($J166="Passed with Known Issue","Known Issue",IF($J166="",IF(OR($H166&lt;&gt;"No",AND($F166&lt;&gt;"Medium",$F166&lt;&gt;"Low")),"Pending Result",""),IF(OR($H166&lt;&gt;"No",AND($F166&lt;&gt;"Medium",$F166&lt;&gt;"Low")),IF(COUNTIFS(Dashboard!$B$105:$B$124,$A166,Dashboard!$I$105:$I$124,"CAB")&gt;0,"Accepted (CF)","Blocking"),IF($J166="Failed","Deferrable","Carry Over"))))))</f>
        <v/>
      </c>
      <c r="M166" s="68" t="str">
        <f>IF(OR(TRIM($A166)="",TRIM($E166)=""),"",IFERROR(INDEX('E2E core flow'!$B$15:$B$1000,MATCH(1,INDEX(('E2E core flow'!$A$15:$A$1000&lt;&gt;"")*ISNUMBER(SEARCH('E2E core flow'!$A$15:$A$1000,$E166)),0),0))&amp;"","-"))</f>
        <v/>
      </c>
      <c r="N166" s="68" t="str">
        <f>IF(TRIM($A166)="","",IF($O166=0,IF(COUNTIFS('Card Test Cases'!$B$4:$B$1000,$A166,'Card Test Cases'!$A$4:$A$1000,"&lt;&gt;")&gt;0,"Out of Scope","No TC"),IF($Q166&gt;0,"Failed",IF(COUNTIFS('Card Test Cases'!$B$4:$B$1000,$A166,'Card Test Cases'!$A$4:$A$1000,"&lt;&gt;",'Card Test Cases'!$F$4:$F$1000,"Blocked")&gt;0,"Blocked",IF($R166&gt;0,"In Progress","Passed")))))</f>
        <v/>
      </c>
      <c r="O166" s="68" t="str">
        <f>IF(TRIM($A166)="","",COUNTIFS('Card Test Cases'!$B$4:$B$1000,$A166,'Card Test Cases'!$A$4:$A$1000,"&lt;&gt;",'Card Test Cases'!$F$4:$F$1000,"&lt;&gt;Out of Scope"))</f>
        <v/>
      </c>
      <c r="P166" s="68" t="str">
        <f>IF(TRIM($A166)="","",COUNTIFS('Card Test Cases'!$B$4:$B$1000,$A166,'Card Test Cases'!$A$4:$A$1000,"&lt;&gt;",'Card Test Cases'!$F$4:$F$1000,"Passed"))</f>
        <v/>
      </c>
      <c r="Q166" s="68" t="str">
        <f>IF(TRIM($A166)="","",COUNTIFS('Card Test Cases'!$B$4:$B$1000,$A166,'Card Test Cases'!$A$4:$A$1000,"&lt;&gt;",'Card Test Cases'!$F$4:$F$1000,"Failed"))</f>
        <v/>
      </c>
      <c r="R166" s="68" t="str">
        <f t="shared" si="2"/>
        <v/>
      </c>
      <c r="S166" s="68" t="str" cm="1">
        <f t="array" ref="S166">IF(TRIM($A166)="","",IFERROR(_xlfn.TEXTJOIN(", ",TRUE,_xlfn.UNIQUE(_xlfn.VSTACK(_xlfn._xlws.FILTER('Card Test Cases'!$G$4:$G$1000,('Card Test Cases'!$B$4:$B$1000=$A166)*('Card Test Cases'!$G$4:$G$1000&lt;&gt;""),""),_xlfn._xlws.FILTER('E2E core flow'!$U$15:$U$1000,('E2E core flow'!$A$15:$A$1000&lt;&gt;"")*ISNUMBER(SEARCH('E2E core flow'!$A$15:$A$1000,$E166))*('E2E core flow'!$U$15:$U$1000&lt;&gt;""),"")))),"-"))</f>
        <v/>
      </c>
    </row>
    <row r="167" spans="7:19" x14ac:dyDescent="0.3">
      <c r="G167" s="68" t="str" cm="1">
        <f t="array" ref="G167">_xlfn.LET(_xlpm.ids,'E2E core flow'!$A$15:$A$1000,_xlpm.v,'E2E core flow'!$W$15:$W$1000,_xlpm.m,(_xlpm.ids&lt;&gt;"")*ISNUMBER(SEARCH(_xlpm.ids,$E167)),_xlpm.f,SUM(_xlpm.m*(_xlpm.v="Failed")),_xlpm.b,SUM(_xlpm.m*(_xlpm.v="Blocked")),_xlpm.nr,SUM(_xlpm.m*(_xlpm.v="Not Run")),_xlpm.cp,SUM(_xlpm.m*(_xlpm.v="Conditionally Passed")),_xlpm.p,SUM(_xlpm.m*(_xlpm.v="Passed")),IF(TRIM($A167)="","",IF(TRIM($E167)="","Pending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67" s="68" t="str">
        <f>IF(TRIM($A167)="","",IF($J167="Passed","",IF($J167="Passed with Known Issue","Known Issue",IF($J167="",IF(OR($H167&lt;&gt;"No",AND($F167&lt;&gt;"Medium",$F167&lt;&gt;"Low")),"Pending Result",""),IF(OR($H167&lt;&gt;"No",AND($F167&lt;&gt;"Medium",$F167&lt;&gt;"Low")),IF(COUNTIFS(Dashboard!$B$105:$B$124,$A167,Dashboard!$I$105:$I$124,"CAB")&gt;0,"Accepted (CF)","Blocking"),IF($J167="Failed","Deferrable","Carry Over"))))))</f>
        <v/>
      </c>
      <c r="M167" s="68" t="str">
        <f>IF(OR(TRIM($A167)="",TRIM($E167)=""),"",IFERROR(INDEX('E2E core flow'!$B$15:$B$1000,MATCH(1,INDEX(('E2E core flow'!$A$15:$A$1000&lt;&gt;"")*ISNUMBER(SEARCH('E2E core flow'!$A$15:$A$1000,$E167)),0),0))&amp;"","-"))</f>
        <v/>
      </c>
      <c r="N167" s="68" t="str">
        <f>IF(TRIM($A167)="","",IF($O167=0,IF(COUNTIFS('Card Test Cases'!$B$4:$B$1000,$A167,'Card Test Cases'!$A$4:$A$1000,"&lt;&gt;")&gt;0,"Out of Scope","No TC"),IF($Q167&gt;0,"Failed",IF(COUNTIFS('Card Test Cases'!$B$4:$B$1000,$A167,'Card Test Cases'!$A$4:$A$1000,"&lt;&gt;",'Card Test Cases'!$F$4:$F$1000,"Blocked")&gt;0,"Blocked",IF($R167&gt;0,"In Progress","Passed")))))</f>
        <v/>
      </c>
      <c r="O167" s="68" t="str">
        <f>IF(TRIM($A167)="","",COUNTIFS('Card Test Cases'!$B$4:$B$1000,$A167,'Card Test Cases'!$A$4:$A$1000,"&lt;&gt;",'Card Test Cases'!$F$4:$F$1000,"&lt;&gt;Out of Scope"))</f>
        <v/>
      </c>
      <c r="P167" s="68" t="str">
        <f>IF(TRIM($A167)="","",COUNTIFS('Card Test Cases'!$B$4:$B$1000,$A167,'Card Test Cases'!$A$4:$A$1000,"&lt;&gt;",'Card Test Cases'!$F$4:$F$1000,"Passed"))</f>
        <v/>
      </c>
      <c r="Q167" s="68" t="str">
        <f>IF(TRIM($A167)="","",COUNTIFS('Card Test Cases'!$B$4:$B$1000,$A167,'Card Test Cases'!$A$4:$A$1000,"&lt;&gt;",'Card Test Cases'!$F$4:$F$1000,"Failed"))</f>
        <v/>
      </c>
      <c r="R167" s="68" t="str">
        <f t="shared" si="2"/>
        <v/>
      </c>
      <c r="S167" s="68" t="str" cm="1">
        <f t="array" ref="S167">IF(TRIM($A167)="","",IFERROR(_xlfn.TEXTJOIN(", ",TRUE,_xlfn.UNIQUE(_xlfn.VSTACK(_xlfn._xlws.FILTER('Card Test Cases'!$G$4:$G$1000,('Card Test Cases'!$B$4:$B$1000=$A167)*('Card Test Cases'!$G$4:$G$1000&lt;&gt;""),""),_xlfn._xlws.FILTER('E2E core flow'!$U$15:$U$1000,('E2E core flow'!$A$15:$A$1000&lt;&gt;"")*ISNUMBER(SEARCH('E2E core flow'!$A$15:$A$1000,$E167))*('E2E core flow'!$U$15:$U$1000&lt;&gt;""),"")))),"-"))</f>
        <v/>
      </c>
    </row>
    <row r="168" spans="7:19" x14ac:dyDescent="0.3">
      <c r="G168" s="68" t="str" cm="1">
        <f t="array" ref="G168">_xlfn.LET(_xlpm.ids,'E2E core flow'!$A$15:$A$1000,_xlpm.v,'E2E core flow'!$W$15:$W$1000,_xlpm.m,(_xlpm.ids&lt;&gt;"")*ISNUMBER(SEARCH(_xlpm.ids,$E168)),_xlpm.f,SUM(_xlpm.m*(_xlpm.v="Failed")),_xlpm.b,SUM(_xlpm.m*(_xlpm.v="Blocked")),_xlpm.nr,SUM(_xlpm.m*(_xlpm.v="Not Run")),_xlpm.cp,SUM(_xlpm.m*(_xlpm.v="Conditionally Passed")),_xlpm.p,SUM(_xlpm.m*(_xlpm.v="Passed")),IF(TRIM($A168)="","",IF(TRIM($E168)="","Pending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68" s="68" t="str">
        <f>IF(TRIM($A168)="","",IF($J168="Passed","",IF($J168="Passed with Known Issue","Known Issue",IF($J168="",IF(OR($H168&lt;&gt;"No",AND($F168&lt;&gt;"Medium",$F168&lt;&gt;"Low")),"Pending Result",""),IF(OR($H168&lt;&gt;"No",AND($F168&lt;&gt;"Medium",$F168&lt;&gt;"Low")),IF(COUNTIFS(Dashboard!$B$105:$B$124,$A168,Dashboard!$I$105:$I$124,"CAB")&gt;0,"Accepted (CF)","Blocking"),IF($J168="Failed","Deferrable","Carry Over"))))))</f>
        <v/>
      </c>
      <c r="M168" s="68" t="str">
        <f>IF(OR(TRIM($A168)="",TRIM($E168)=""),"",IFERROR(INDEX('E2E core flow'!$B$15:$B$1000,MATCH(1,INDEX(('E2E core flow'!$A$15:$A$1000&lt;&gt;"")*ISNUMBER(SEARCH('E2E core flow'!$A$15:$A$1000,$E168)),0),0))&amp;"","-"))</f>
        <v/>
      </c>
      <c r="N168" s="68" t="str">
        <f>IF(TRIM($A168)="","",IF($O168=0,IF(COUNTIFS('Card Test Cases'!$B$4:$B$1000,$A168,'Card Test Cases'!$A$4:$A$1000,"&lt;&gt;")&gt;0,"Out of Scope","No TC"),IF($Q168&gt;0,"Failed",IF(COUNTIFS('Card Test Cases'!$B$4:$B$1000,$A168,'Card Test Cases'!$A$4:$A$1000,"&lt;&gt;",'Card Test Cases'!$F$4:$F$1000,"Blocked")&gt;0,"Blocked",IF($R168&gt;0,"In Progress","Passed")))))</f>
        <v/>
      </c>
      <c r="O168" s="68" t="str">
        <f>IF(TRIM($A168)="","",COUNTIFS('Card Test Cases'!$B$4:$B$1000,$A168,'Card Test Cases'!$A$4:$A$1000,"&lt;&gt;",'Card Test Cases'!$F$4:$F$1000,"&lt;&gt;Out of Scope"))</f>
        <v/>
      </c>
      <c r="P168" s="68" t="str">
        <f>IF(TRIM($A168)="","",COUNTIFS('Card Test Cases'!$B$4:$B$1000,$A168,'Card Test Cases'!$A$4:$A$1000,"&lt;&gt;",'Card Test Cases'!$F$4:$F$1000,"Passed"))</f>
        <v/>
      </c>
      <c r="Q168" s="68" t="str">
        <f>IF(TRIM($A168)="","",COUNTIFS('Card Test Cases'!$B$4:$B$1000,$A168,'Card Test Cases'!$A$4:$A$1000,"&lt;&gt;",'Card Test Cases'!$F$4:$F$1000,"Failed"))</f>
        <v/>
      </c>
      <c r="R168" s="68" t="str">
        <f t="shared" si="2"/>
        <v/>
      </c>
      <c r="S168" s="68" t="str" cm="1">
        <f t="array" ref="S168">IF(TRIM($A168)="","",IFERROR(_xlfn.TEXTJOIN(", ",TRUE,_xlfn.UNIQUE(_xlfn.VSTACK(_xlfn._xlws.FILTER('Card Test Cases'!$G$4:$G$1000,('Card Test Cases'!$B$4:$B$1000=$A168)*('Card Test Cases'!$G$4:$G$1000&lt;&gt;""),""),_xlfn._xlws.FILTER('E2E core flow'!$U$15:$U$1000,('E2E core flow'!$A$15:$A$1000&lt;&gt;"")*ISNUMBER(SEARCH('E2E core flow'!$A$15:$A$1000,$E168))*('E2E core flow'!$U$15:$U$1000&lt;&gt;""),"")))),"-"))</f>
        <v/>
      </c>
    </row>
    <row r="169" spans="7:19" x14ac:dyDescent="0.3">
      <c r="G169" s="68" t="str" cm="1">
        <f t="array" ref="G169">_xlfn.LET(_xlpm.ids,'E2E core flow'!$A$15:$A$1000,_xlpm.v,'E2E core flow'!$W$15:$W$1000,_xlpm.m,(_xlpm.ids&lt;&gt;"")*ISNUMBER(SEARCH(_xlpm.ids,$E169)),_xlpm.f,SUM(_xlpm.m*(_xlpm.v="Failed")),_xlpm.b,SUM(_xlpm.m*(_xlpm.v="Blocked")),_xlpm.nr,SUM(_xlpm.m*(_xlpm.v="Not Run")),_xlpm.cp,SUM(_xlpm.m*(_xlpm.v="Conditionally Passed")),_xlpm.p,SUM(_xlpm.m*(_xlpm.v="Passed")),IF(TRIM($A169)="","",IF(TRIM($E169)="","Pending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69" s="68" t="str">
        <f>IF(TRIM($A169)="","",IF($J169="Passed","",IF($J169="Passed with Known Issue","Known Issue",IF($J169="",IF(OR($H169&lt;&gt;"No",AND($F169&lt;&gt;"Medium",$F169&lt;&gt;"Low")),"Pending Result",""),IF(OR($H169&lt;&gt;"No",AND($F169&lt;&gt;"Medium",$F169&lt;&gt;"Low")),IF(COUNTIFS(Dashboard!$B$105:$B$124,$A169,Dashboard!$I$105:$I$124,"CAB")&gt;0,"Accepted (CF)","Blocking"),IF($J169="Failed","Deferrable","Carry Over"))))))</f>
        <v/>
      </c>
      <c r="M169" s="68" t="str">
        <f>IF(OR(TRIM($A169)="",TRIM($E169)=""),"",IFERROR(INDEX('E2E core flow'!$B$15:$B$1000,MATCH(1,INDEX(('E2E core flow'!$A$15:$A$1000&lt;&gt;"")*ISNUMBER(SEARCH('E2E core flow'!$A$15:$A$1000,$E169)),0),0))&amp;"","-"))</f>
        <v/>
      </c>
      <c r="N169" s="68" t="str">
        <f>IF(TRIM($A169)="","",IF($O169=0,IF(COUNTIFS('Card Test Cases'!$B$4:$B$1000,$A169,'Card Test Cases'!$A$4:$A$1000,"&lt;&gt;")&gt;0,"Out of Scope","No TC"),IF($Q169&gt;0,"Failed",IF(COUNTIFS('Card Test Cases'!$B$4:$B$1000,$A169,'Card Test Cases'!$A$4:$A$1000,"&lt;&gt;",'Card Test Cases'!$F$4:$F$1000,"Blocked")&gt;0,"Blocked",IF($R169&gt;0,"In Progress","Passed")))))</f>
        <v/>
      </c>
      <c r="O169" s="68" t="str">
        <f>IF(TRIM($A169)="","",COUNTIFS('Card Test Cases'!$B$4:$B$1000,$A169,'Card Test Cases'!$A$4:$A$1000,"&lt;&gt;",'Card Test Cases'!$F$4:$F$1000,"&lt;&gt;Out of Scope"))</f>
        <v/>
      </c>
      <c r="P169" s="68" t="str">
        <f>IF(TRIM($A169)="","",COUNTIFS('Card Test Cases'!$B$4:$B$1000,$A169,'Card Test Cases'!$A$4:$A$1000,"&lt;&gt;",'Card Test Cases'!$F$4:$F$1000,"Passed"))</f>
        <v/>
      </c>
      <c r="Q169" s="68" t="str">
        <f>IF(TRIM($A169)="","",COUNTIFS('Card Test Cases'!$B$4:$B$1000,$A169,'Card Test Cases'!$A$4:$A$1000,"&lt;&gt;",'Card Test Cases'!$F$4:$F$1000,"Failed"))</f>
        <v/>
      </c>
      <c r="R169" s="68" t="str">
        <f t="shared" si="2"/>
        <v/>
      </c>
      <c r="S169" s="68" t="str" cm="1">
        <f t="array" ref="S169">IF(TRIM($A169)="","",IFERROR(_xlfn.TEXTJOIN(", ",TRUE,_xlfn.UNIQUE(_xlfn.VSTACK(_xlfn._xlws.FILTER('Card Test Cases'!$G$4:$G$1000,('Card Test Cases'!$B$4:$B$1000=$A169)*('Card Test Cases'!$G$4:$G$1000&lt;&gt;""),""),_xlfn._xlws.FILTER('E2E core flow'!$U$15:$U$1000,('E2E core flow'!$A$15:$A$1000&lt;&gt;"")*ISNUMBER(SEARCH('E2E core flow'!$A$15:$A$1000,$E169))*('E2E core flow'!$U$15:$U$1000&lt;&gt;""),"")))),"-"))</f>
        <v/>
      </c>
    </row>
    <row r="170" spans="7:19" x14ac:dyDescent="0.3">
      <c r="G170" s="68" t="str" cm="1">
        <f t="array" ref="G170">_xlfn.LET(_xlpm.ids,'E2E core flow'!$A$15:$A$1000,_xlpm.v,'E2E core flow'!$W$15:$W$1000,_xlpm.m,(_xlpm.ids&lt;&gt;"")*ISNUMBER(SEARCH(_xlpm.ids,$E170)),_xlpm.f,SUM(_xlpm.m*(_xlpm.v="Failed")),_xlpm.b,SUM(_xlpm.m*(_xlpm.v="Blocked")),_xlpm.nr,SUM(_xlpm.m*(_xlpm.v="Not Run")),_xlpm.cp,SUM(_xlpm.m*(_xlpm.v="Conditionally Passed")),_xlpm.p,SUM(_xlpm.m*(_xlpm.v="Passed")),IF(TRIM($A170)="","",IF(TRIM($E170)="","Pending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70" s="68" t="str">
        <f>IF(TRIM($A170)="","",IF($J170="Passed","",IF($J170="Passed with Known Issue","Known Issue",IF($J170="",IF(OR($H170&lt;&gt;"No",AND($F170&lt;&gt;"Medium",$F170&lt;&gt;"Low")),"Pending Result",""),IF(OR($H170&lt;&gt;"No",AND($F170&lt;&gt;"Medium",$F170&lt;&gt;"Low")),IF(COUNTIFS(Dashboard!$B$105:$B$124,$A170,Dashboard!$I$105:$I$124,"CAB")&gt;0,"Accepted (CF)","Blocking"),IF($J170="Failed","Deferrable","Carry Over"))))))</f>
        <v/>
      </c>
      <c r="M170" s="68" t="str">
        <f>IF(OR(TRIM($A170)="",TRIM($E170)=""),"",IFERROR(INDEX('E2E core flow'!$B$15:$B$1000,MATCH(1,INDEX(('E2E core flow'!$A$15:$A$1000&lt;&gt;"")*ISNUMBER(SEARCH('E2E core flow'!$A$15:$A$1000,$E170)),0),0))&amp;"","-"))</f>
        <v/>
      </c>
      <c r="N170" s="68" t="str">
        <f>IF(TRIM($A170)="","",IF($O170=0,IF(COUNTIFS('Card Test Cases'!$B$4:$B$1000,$A170,'Card Test Cases'!$A$4:$A$1000,"&lt;&gt;")&gt;0,"Out of Scope","No TC"),IF($Q170&gt;0,"Failed",IF(COUNTIFS('Card Test Cases'!$B$4:$B$1000,$A170,'Card Test Cases'!$A$4:$A$1000,"&lt;&gt;",'Card Test Cases'!$F$4:$F$1000,"Blocked")&gt;0,"Blocked",IF($R170&gt;0,"In Progress","Passed")))))</f>
        <v/>
      </c>
      <c r="O170" s="68" t="str">
        <f>IF(TRIM($A170)="","",COUNTIFS('Card Test Cases'!$B$4:$B$1000,$A170,'Card Test Cases'!$A$4:$A$1000,"&lt;&gt;",'Card Test Cases'!$F$4:$F$1000,"&lt;&gt;Out of Scope"))</f>
        <v/>
      </c>
      <c r="P170" s="68" t="str">
        <f>IF(TRIM($A170)="","",COUNTIFS('Card Test Cases'!$B$4:$B$1000,$A170,'Card Test Cases'!$A$4:$A$1000,"&lt;&gt;",'Card Test Cases'!$F$4:$F$1000,"Passed"))</f>
        <v/>
      </c>
      <c r="Q170" s="68" t="str">
        <f>IF(TRIM($A170)="","",COUNTIFS('Card Test Cases'!$B$4:$B$1000,$A170,'Card Test Cases'!$A$4:$A$1000,"&lt;&gt;",'Card Test Cases'!$F$4:$F$1000,"Failed"))</f>
        <v/>
      </c>
      <c r="R170" s="68" t="str">
        <f t="shared" si="2"/>
        <v/>
      </c>
      <c r="S170" s="68" t="str" cm="1">
        <f t="array" ref="S170">IF(TRIM($A170)="","",IFERROR(_xlfn.TEXTJOIN(", ",TRUE,_xlfn.UNIQUE(_xlfn.VSTACK(_xlfn._xlws.FILTER('Card Test Cases'!$G$4:$G$1000,('Card Test Cases'!$B$4:$B$1000=$A170)*('Card Test Cases'!$G$4:$G$1000&lt;&gt;""),""),_xlfn._xlws.FILTER('E2E core flow'!$U$15:$U$1000,('E2E core flow'!$A$15:$A$1000&lt;&gt;"")*ISNUMBER(SEARCH('E2E core flow'!$A$15:$A$1000,$E170))*('E2E core flow'!$U$15:$U$1000&lt;&gt;""),"")))),"-"))</f>
        <v/>
      </c>
    </row>
    <row r="171" spans="7:19" x14ac:dyDescent="0.3">
      <c r="G171" s="68" t="str" cm="1">
        <f t="array" ref="G171">_xlfn.LET(_xlpm.ids,'E2E core flow'!$A$15:$A$1000,_xlpm.v,'E2E core flow'!$W$15:$W$1000,_xlpm.m,(_xlpm.ids&lt;&gt;"")*ISNUMBER(SEARCH(_xlpm.ids,$E171)),_xlpm.f,SUM(_xlpm.m*(_xlpm.v="Failed")),_xlpm.b,SUM(_xlpm.m*(_xlpm.v="Blocked")),_xlpm.nr,SUM(_xlpm.m*(_xlpm.v="Not Run")),_xlpm.cp,SUM(_xlpm.m*(_xlpm.v="Conditionally Passed")),_xlpm.p,SUM(_xlpm.m*(_xlpm.v="Passed")),IF(TRIM($A171)="","",IF(TRIM($E171)="","Pending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71" s="68" t="str">
        <f>IF(TRIM($A171)="","",IF($J171="Passed","",IF($J171="Passed with Known Issue","Known Issue",IF($J171="",IF(OR($H171&lt;&gt;"No",AND($F171&lt;&gt;"Medium",$F171&lt;&gt;"Low")),"Pending Result",""),IF(OR($H171&lt;&gt;"No",AND($F171&lt;&gt;"Medium",$F171&lt;&gt;"Low")),IF(COUNTIFS(Dashboard!$B$105:$B$124,$A171,Dashboard!$I$105:$I$124,"CAB")&gt;0,"Accepted (CF)","Blocking"),IF($J171="Failed","Deferrable","Carry Over"))))))</f>
        <v/>
      </c>
      <c r="M171" s="68" t="str">
        <f>IF(OR(TRIM($A171)="",TRIM($E171)=""),"",IFERROR(INDEX('E2E core flow'!$B$15:$B$1000,MATCH(1,INDEX(('E2E core flow'!$A$15:$A$1000&lt;&gt;"")*ISNUMBER(SEARCH('E2E core flow'!$A$15:$A$1000,$E171)),0),0))&amp;"","-"))</f>
        <v/>
      </c>
      <c r="N171" s="68" t="str">
        <f>IF(TRIM($A171)="","",IF($O171=0,IF(COUNTIFS('Card Test Cases'!$B$4:$B$1000,$A171,'Card Test Cases'!$A$4:$A$1000,"&lt;&gt;")&gt;0,"Out of Scope","No TC"),IF($Q171&gt;0,"Failed",IF(COUNTIFS('Card Test Cases'!$B$4:$B$1000,$A171,'Card Test Cases'!$A$4:$A$1000,"&lt;&gt;",'Card Test Cases'!$F$4:$F$1000,"Blocked")&gt;0,"Blocked",IF($R171&gt;0,"In Progress","Passed")))))</f>
        <v/>
      </c>
      <c r="O171" s="68" t="str">
        <f>IF(TRIM($A171)="","",COUNTIFS('Card Test Cases'!$B$4:$B$1000,$A171,'Card Test Cases'!$A$4:$A$1000,"&lt;&gt;",'Card Test Cases'!$F$4:$F$1000,"&lt;&gt;Out of Scope"))</f>
        <v/>
      </c>
      <c r="P171" s="68" t="str">
        <f>IF(TRIM($A171)="","",COUNTIFS('Card Test Cases'!$B$4:$B$1000,$A171,'Card Test Cases'!$A$4:$A$1000,"&lt;&gt;",'Card Test Cases'!$F$4:$F$1000,"Passed"))</f>
        <v/>
      </c>
      <c r="Q171" s="68" t="str">
        <f>IF(TRIM($A171)="","",COUNTIFS('Card Test Cases'!$B$4:$B$1000,$A171,'Card Test Cases'!$A$4:$A$1000,"&lt;&gt;",'Card Test Cases'!$F$4:$F$1000,"Failed"))</f>
        <v/>
      </c>
      <c r="R171" s="68" t="str">
        <f t="shared" si="2"/>
        <v/>
      </c>
      <c r="S171" s="68" t="str" cm="1">
        <f t="array" ref="S171">IF(TRIM($A171)="","",IFERROR(_xlfn.TEXTJOIN(", ",TRUE,_xlfn.UNIQUE(_xlfn.VSTACK(_xlfn._xlws.FILTER('Card Test Cases'!$G$4:$G$1000,('Card Test Cases'!$B$4:$B$1000=$A171)*('Card Test Cases'!$G$4:$G$1000&lt;&gt;""),""),_xlfn._xlws.FILTER('E2E core flow'!$U$15:$U$1000,('E2E core flow'!$A$15:$A$1000&lt;&gt;"")*ISNUMBER(SEARCH('E2E core flow'!$A$15:$A$1000,$E171))*('E2E core flow'!$U$15:$U$1000&lt;&gt;""),"")))),"-"))</f>
        <v/>
      </c>
    </row>
    <row r="172" spans="7:19" x14ac:dyDescent="0.3">
      <c r="G172" s="68" t="str" cm="1">
        <f t="array" ref="G172">_xlfn.LET(_xlpm.ids,'E2E core flow'!$A$15:$A$1000,_xlpm.v,'E2E core flow'!$W$15:$W$1000,_xlpm.m,(_xlpm.ids&lt;&gt;"")*ISNUMBER(SEARCH(_xlpm.ids,$E172)),_xlpm.f,SUM(_xlpm.m*(_xlpm.v="Failed")),_xlpm.b,SUM(_xlpm.m*(_xlpm.v="Blocked")),_xlpm.nr,SUM(_xlpm.m*(_xlpm.v="Not Run")),_xlpm.cp,SUM(_xlpm.m*(_xlpm.v="Conditionally Passed")),_xlpm.p,SUM(_xlpm.m*(_xlpm.v="Passed")),IF(TRIM($A172)="","",IF(TRIM($E172)="","Pending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72" s="68" t="str">
        <f>IF(TRIM($A172)="","",IF($J172="Passed","",IF($J172="Passed with Known Issue","Known Issue",IF($J172="",IF(OR($H172&lt;&gt;"No",AND($F172&lt;&gt;"Medium",$F172&lt;&gt;"Low")),"Pending Result",""),IF(OR($H172&lt;&gt;"No",AND($F172&lt;&gt;"Medium",$F172&lt;&gt;"Low")),IF(COUNTIFS(Dashboard!$B$105:$B$124,$A172,Dashboard!$I$105:$I$124,"CAB")&gt;0,"Accepted (CF)","Blocking"),IF($J172="Failed","Deferrable","Carry Over"))))))</f>
        <v/>
      </c>
      <c r="M172" s="68" t="str">
        <f>IF(OR(TRIM($A172)="",TRIM($E172)=""),"",IFERROR(INDEX('E2E core flow'!$B$15:$B$1000,MATCH(1,INDEX(('E2E core flow'!$A$15:$A$1000&lt;&gt;"")*ISNUMBER(SEARCH('E2E core flow'!$A$15:$A$1000,$E172)),0),0))&amp;"","-"))</f>
        <v/>
      </c>
      <c r="N172" s="68" t="str">
        <f>IF(TRIM($A172)="","",IF($O172=0,IF(COUNTIFS('Card Test Cases'!$B$4:$B$1000,$A172,'Card Test Cases'!$A$4:$A$1000,"&lt;&gt;")&gt;0,"Out of Scope","No TC"),IF($Q172&gt;0,"Failed",IF(COUNTIFS('Card Test Cases'!$B$4:$B$1000,$A172,'Card Test Cases'!$A$4:$A$1000,"&lt;&gt;",'Card Test Cases'!$F$4:$F$1000,"Blocked")&gt;0,"Blocked",IF($R172&gt;0,"In Progress","Passed")))))</f>
        <v/>
      </c>
      <c r="O172" s="68" t="str">
        <f>IF(TRIM($A172)="","",COUNTIFS('Card Test Cases'!$B$4:$B$1000,$A172,'Card Test Cases'!$A$4:$A$1000,"&lt;&gt;",'Card Test Cases'!$F$4:$F$1000,"&lt;&gt;Out of Scope"))</f>
        <v/>
      </c>
      <c r="P172" s="68" t="str">
        <f>IF(TRIM($A172)="","",COUNTIFS('Card Test Cases'!$B$4:$B$1000,$A172,'Card Test Cases'!$A$4:$A$1000,"&lt;&gt;",'Card Test Cases'!$F$4:$F$1000,"Passed"))</f>
        <v/>
      </c>
      <c r="Q172" s="68" t="str">
        <f>IF(TRIM($A172)="","",COUNTIFS('Card Test Cases'!$B$4:$B$1000,$A172,'Card Test Cases'!$A$4:$A$1000,"&lt;&gt;",'Card Test Cases'!$F$4:$F$1000,"Failed"))</f>
        <v/>
      </c>
      <c r="R172" s="68" t="str">
        <f t="shared" si="2"/>
        <v/>
      </c>
      <c r="S172" s="68" t="str" cm="1">
        <f t="array" ref="S172">IF(TRIM($A172)="","",IFERROR(_xlfn.TEXTJOIN(", ",TRUE,_xlfn.UNIQUE(_xlfn.VSTACK(_xlfn._xlws.FILTER('Card Test Cases'!$G$4:$G$1000,('Card Test Cases'!$B$4:$B$1000=$A172)*('Card Test Cases'!$G$4:$G$1000&lt;&gt;""),""),_xlfn._xlws.FILTER('E2E core flow'!$U$15:$U$1000,('E2E core flow'!$A$15:$A$1000&lt;&gt;"")*ISNUMBER(SEARCH('E2E core flow'!$A$15:$A$1000,$E172))*('E2E core flow'!$U$15:$U$1000&lt;&gt;""),"")))),"-"))</f>
        <v/>
      </c>
    </row>
    <row r="173" spans="7:19" x14ac:dyDescent="0.3">
      <c r="G173" s="68" t="str" cm="1">
        <f t="array" ref="G173">_xlfn.LET(_xlpm.ids,'E2E core flow'!$A$15:$A$1000,_xlpm.v,'E2E core flow'!$W$15:$W$1000,_xlpm.m,(_xlpm.ids&lt;&gt;"")*ISNUMBER(SEARCH(_xlpm.ids,$E173)),_xlpm.f,SUM(_xlpm.m*(_xlpm.v="Failed")),_xlpm.b,SUM(_xlpm.m*(_xlpm.v="Blocked")),_xlpm.nr,SUM(_xlpm.m*(_xlpm.v="Not Run")),_xlpm.cp,SUM(_xlpm.m*(_xlpm.v="Conditionally Passed")),_xlpm.p,SUM(_xlpm.m*(_xlpm.v="Passed")),IF(TRIM($A173)="","",IF(TRIM($E173)="","Pending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73" s="68" t="str">
        <f>IF(TRIM($A173)="","",IF($J173="Passed","",IF($J173="Passed with Known Issue","Known Issue",IF($J173="",IF(OR($H173&lt;&gt;"No",AND($F173&lt;&gt;"Medium",$F173&lt;&gt;"Low")),"Pending Result",""),IF(OR($H173&lt;&gt;"No",AND($F173&lt;&gt;"Medium",$F173&lt;&gt;"Low")),IF(COUNTIFS(Dashboard!$B$105:$B$124,$A173,Dashboard!$I$105:$I$124,"CAB")&gt;0,"Accepted (CF)","Blocking"),IF($J173="Failed","Deferrable","Carry Over"))))))</f>
        <v/>
      </c>
      <c r="M173" s="68" t="str">
        <f>IF(OR(TRIM($A173)="",TRIM($E173)=""),"",IFERROR(INDEX('E2E core flow'!$B$15:$B$1000,MATCH(1,INDEX(('E2E core flow'!$A$15:$A$1000&lt;&gt;"")*ISNUMBER(SEARCH('E2E core flow'!$A$15:$A$1000,$E173)),0),0))&amp;"","-"))</f>
        <v/>
      </c>
      <c r="N173" s="68" t="str">
        <f>IF(TRIM($A173)="","",IF($O173=0,IF(COUNTIFS('Card Test Cases'!$B$4:$B$1000,$A173,'Card Test Cases'!$A$4:$A$1000,"&lt;&gt;")&gt;0,"Out of Scope","No TC"),IF($Q173&gt;0,"Failed",IF(COUNTIFS('Card Test Cases'!$B$4:$B$1000,$A173,'Card Test Cases'!$A$4:$A$1000,"&lt;&gt;",'Card Test Cases'!$F$4:$F$1000,"Blocked")&gt;0,"Blocked",IF($R173&gt;0,"In Progress","Passed")))))</f>
        <v/>
      </c>
      <c r="O173" s="68" t="str">
        <f>IF(TRIM($A173)="","",COUNTIFS('Card Test Cases'!$B$4:$B$1000,$A173,'Card Test Cases'!$A$4:$A$1000,"&lt;&gt;",'Card Test Cases'!$F$4:$F$1000,"&lt;&gt;Out of Scope"))</f>
        <v/>
      </c>
      <c r="P173" s="68" t="str">
        <f>IF(TRIM($A173)="","",COUNTIFS('Card Test Cases'!$B$4:$B$1000,$A173,'Card Test Cases'!$A$4:$A$1000,"&lt;&gt;",'Card Test Cases'!$F$4:$F$1000,"Passed"))</f>
        <v/>
      </c>
      <c r="Q173" s="68" t="str">
        <f>IF(TRIM($A173)="","",COUNTIFS('Card Test Cases'!$B$4:$B$1000,$A173,'Card Test Cases'!$A$4:$A$1000,"&lt;&gt;",'Card Test Cases'!$F$4:$F$1000,"Failed"))</f>
        <v/>
      </c>
      <c r="R173" s="68" t="str">
        <f t="shared" si="2"/>
        <v/>
      </c>
      <c r="S173" s="68" t="str" cm="1">
        <f t="array" ref="S173">IF(TRIM($A173)="","",IFERROR(_xlfn.TEXTJOIN(", ",TRUE,_xlfn.UNIQUE(_xlfn.VSTACK(_xlfn._xlws.FILTER('Card Test Cases'!$G$4:$G$1000,('Card Test Cases'!$B$4:$B$1000=$A173)*('Card Test Cases'!$G$4:$G$1000&lt;&gt;""),""),_xlfn._xlws.FILTER('E2E core flow'!$U$15:$U$1000,('E2E core flow'!$A$15:$A$1000&lt;&gt;"")*ISNUMBER(SEARCH('E2E core flow'!$A$15:$A$1000,$E173))*('E2E core flow'!$U$15:$U$1000&lt;&gt;""),"")))),"-"))</f>
        <v/>
      </c>
    </row>
    <row r="174" spans="7:19" x14ac:dyDescent="0.3">
      <c r="G174" s="68" t="str" cm="1">
        <f t="array" ref="G174">_xlfn.LET(_xlpm.ids,'E2E core flow'!$A$15:$A$1000,_xlpm.v,'E2E core flow'!$W$15:$W$1000,_xlpm.m,(_xlpm.ids&lt;&gt;"")*ISNUMBER(SEARCH(_xlpm.ids,$E174)),_xlpm.f,SUM(_xlpm.m*(_xlpm.v="Failed")),_xlpm.b,SUM(_xlpm.m*(_xlpm.v="Blocked")),_xlpm.nr,SUM(_xlpm.m*(_xlpm.v="Not Run")),_xlpm.cp,SUM(_xlpm.m*(_xlpm.v="Conditionally Passed")),_xlpm.p,SUM(_xlpm.m*(_xlpm.v="Passed")),IF(TRIM($A174)="","",IF(TRIM($E174)="","Pending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74" s="68" t="str">
        <f>IF(TRIM($A174)="","",IF($J174="Passed","",IF($J174="Passed with Known Issue","Known Issue",IF($J174="",IF(OR($H174&lt;&gt;"No",AND($F174&lt;&gt;"Medium",$F174&lt;&gt;"Low")),"Pending Result",""),IF(OR($H174&lt;&gt;"No",AND($F174&lt;&gt;"Medium",$F174&lt;&gt;"Low")),IF(COUNTIFS(Dashboard!$B$105:$B$124,$A174,Dashboard!$I$105:$I$124,"CAB")&gt;0,"Accepted (CF)","Blocking"),IF($J174="Failed","Deferrable","Carry Over"))))))</f>
        <v/>
      </c>
      <c r="M174" s="68" t="str">
        <f>IF(OR(TRIM($A174)="",TRIM($E174)=""),"",IFERROR(INDEX('E2E core flow'!$B$15:$B$1000,MATCH(1,INDEX(('E2E core flow'!$A$15:$A$1000&lt;&gt;"")*ISNUMBER(SEARCH('E2E core flow'!$A$15:$A$1000,$E174)),0),0))&amp;"","-"))</f>
        <v/>
      </c>
      <c r="N174" s="68" t="str">
        <f>IF(TRIM($A174)="","",IF($O174=0,IF(COUNTIFS('Card Test Cases'!$B$4:$B$1000,$A174,'Card Test Cases'!$A$4:$A$1000,"&lt;&gt;")&gt;0,"Out of Scope","No TC"),IF($Q174&gt;0,"Failed",IF(COUNTIFS('Card Test Cases'!$B$4:$B$1000,$A174,'Card Test Cases'!$A$4:$A$1000,"&lt;&gt;",'Card Test Cases'!$F$4:$F$1000,"Blocked")&gt;0,"Blocked",IF($R174&gt;0,"In Progress","Passed")))))</f>
        <v/>
      </c>
      <c r="O174" s="68" t="str">
        <f>IF(TRIM($A174)="","",COUNTIFS('Card Test Cases'!$B$4:$B$1000,$A174,'Card Test Cases'!$A$4:$A$1000,"&lt;&gt;",'Card Test Cases'!$F$4:$F$1000,"&lt;&gt;Out of Scope"))</f>
        <v/>
      </c>
      <c r="P174" s="68" t="str">
        <f>IF(TRIM($A174)="","",COUNTIFS('Card Test Cases'!$B$4:$B$1000,$A174,'Card Test Cases'!$A$4:$A$1000,"&lt;&gt;",'Card Test Cases'!$F$4:$F$1000,"Passed"))</f>
        <v/>
      </c>
      <c r="Q174" s="68" t="str">
        <f>IF(TRIM($A174)="","",COUNTIFS('Card Test Cases'!$B$4:$B$1000,$A174,'Card Test Cases'!$A$4:$A$1000,"&lt;&gt;",'Card Test Cases'!$F$4:$F$1000,"Failed"))</f>
        <v/>
      </c>
      <c r="R174" s="68" t="str">
        <f t="shared" si="2"/>
        <v/>
      </c>
      <c r="S174" s="68" t="str" cm="1">
        <f t="array" ref="S174">IF(TRIM($A174)="","",IFERROR(_xlfn.TEXTJOIN(", ",TRUE,_xlfn.UNIQUE(_xlfn.VSTACK(_xlfn._xlws.FILTER('Card Test Cases'!$G$4:$G$1000,('Card Test Cases'!$B$4:$B$1000=$A174)*('Card Test Cases'!$G$4:$G$1000&lt;&gt;""),""),_xlfn._xlws.FILTER('E2E core flow'!$U$15:$U$1000,('E2E core flow'!$A$15:$A$1000&lt;&gt;"")*ISNUMBER(SEARCH('E2E core flow'!$A$15:$A$1000,$E174))*('E2E core flow'!$U$15:$U$1000&lt;&gt;""),"")))),"-"))</f>
        <v/>
      </c>
    </row>
    <row r="175" spans="7:19" x14ac:dyDescent="0.3">
      <c r="G175" s="68" t="str" cm="1">
        <f t="array" ref="G175">_xlfn.LET(_xlpm.ids,'E2E core flow'!$A$15:$A$1000,_xlpm.v,'E2E core flow'!$W$15:$W$1000,_xlpm.m,(_xlpm.ids&lt;&gt;"")*ISNUMBER(SEARCH(_xlpm.ids,$E175)),_xlpm.f,SUM(_xlpm.m*(_xlpm.v="Failed")),_xlpm.b,SUM(_xlpm.m*(_xlpm.v="Blocked")),_xlpm.nr,SUM(_xlpm.m*(_xlpm.v="Not Run")),_xlpm.cp,SUM(_xlpm.m*(_xlpm.v="Conditionally Passed")),_xlpm.p,SUM(_xlpm.m*(_xlpm.v="Passed")),IF(TRIM($A175)="","",IF(TRIM($E175)="","Pending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75" s="68" t="str">
        <f>IF(TRIM($A175)="","",IF($J175="Passed","",IF($J175="Passed with Known Issue","Known Issue",IF($J175="",IF(OR($H175&lt;&gt;"No",AND($F175&lt;&gt;"Medium",$F175&lt;&gt;"Low")),"Pending Result",""),IF(OR($H175&lt;&gt;"No",AND($F175&lt;&gt;"Medium",$F175&lt;&gt;"Low")),IF(COUNTIFS(Dashboard!$B$105:$B$124,$A175,Dashboard!$I$105:$I$124,"CAB")&gt;0,"Accepted (CF)","Blocking"),IF($J175="Failed","Deferrable","Carry Over"))))))</f>
        <v/>
      </c>
      <c r="M175" s="68" t="str">
        <f>IF(OR(TRIM($A175)="",TRIM($E175)=""),"",IFERROR(INDEX('E2E core flow'!$B$15:$B$1000,MATCH(1,INDEX(('E2E core flow'!$A$15:$A$1000&lt;&gt;"")*ISNUMBER(SEARCH('E2E core flow'!$A$15:$A$1000,$E175)),0),0))&amp;"","-"))</f>
        <v/>
      </c>
      <c r="N175" s="68" t="str">
        <f>IF(TRIM($A175)="","",IF($O175=0,IF(COUNTIFS('Card Test Cases'!$B$4:$B$1000,$A175,'Card Test Cases'!$A$4:$A$1000,"&lt;&gt;")&gt;0,"Out of Scope","No TC"),IF($Q175&gt;0,"Failed",IF(COUNTIFS('Card Test Cases'!$B$4:$B$1000,$A175,'Card Test Cases'!$A$4:$A$1000,"&lt;&gt;",'Card Test Cases'!$F$4:$F$1000,"Blocked")&gt;0,"Blocked",IF($R175&gt;0,"In Progress","Passed")))))</f>
        <v/>
      </c>
      <c r="O175" s="68" t="str">
        <f>IF(TRIM($A175)="","",COUNTIFS('Card Test Cases'!$B$4:$B$1000,$A175,'Card Test Cases'!$A$4:$A$1000,"&lt;&gt;",'Card Test Cases'!$F$4:$F$1000,"&lt;&gt;Out of Scope"))</f>
        <v/>
      </c>
      <c r="P175" s="68" t="str">
        <f>IF(TRIM($A175)="","",COUNTIFS('Card Test Cases'!$B$4:$B$1000,$A175,'Card Test Cases'!$A$4:$A$1000,"&lt;&gt;",'Card Test Cases'!$F$4:$F$1000,"Passed"))</f>
        <v/>
      </c>
      <c r="Q175" s="68" t="str">
        <f>IF(TRIM($A175)="","",COUNTIFS('Card Test Cases'!$B$4:$B$1000,$A175,'Card Test Cases'!$A$4:$A$1000,"&lt;&gt;",'Card Test Cases'!$F$4:$F$1000,"Failed"))</f>
        <v/>
      </c>
      <c r="R175" s="68" t="str">
        <f t="shared" si="2"/>
        <v/>
      </c>
      <c r="S175" s="68" t="str" cm="1">
        <f t="array" ref="S175">IF(TRIM($A175)="","",IFERROR(_xlfn.TEXTJOIN(", ",TRUE,_xlfn.UNIQUE(_xlfn.VSTACK(_xlfn._xlws.FILTER('Card Test Cases'!$G$4:$G$1000,('Card Test Cases'!$B$4:$B$1000=$A175)*('Card Test Cases'!$G$4:$G$1000&lt;&gt;""),""),_xlfn._xlws.FILTER('E2E core flow'!$U$15:$U$1000,('E2E core flow'!$A$15:$A$1000&lt;&gt;"")*ISNUMBER(SEARCH('E2E core flow'!$A$15:$A$1000,$E175))*('E2E core flow'!$U$15:$U$1000&lt;&gt;""),"")))),"-"))</f>
        <v/>
      </c>
    </row>
    <row r="176" spans="7:19" x14ac:dyDescent="0.3">
      <c r="G176" s="68" t="str" cm="1">
        <f t="array" ref="G176">_xlfn.LET(_xlpm.ids,'E2E core flow'!$A$15:$A$1000,_xlpm.v,'E2E core flow'!$W$15:$W$1000,_xlpm.m,(_xlpm.ids&lt;&gt;"")*ISNUMBER(SEARCH(_xlpm.ids,$E176)),_xlpm.f,SUM(_xlpm.m*(_xlpm.v="Failed")),_xlpm.b,SUM(_xlpm.m*(_xlpm.v="Blocked")),_xlpm.nr,SUM(_xlpm.m*(_xlpm.v="Not Run")),_xlpm.cp,SUM(_xlpm.m*(_xlpm.v="Conditionally Passed")),_xlpm.p,SUM(_xlpm.m*(_xlpm.v="Passed")),IF(TRIM($A176)="","",IF(TRIM($E176)="","Pending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76" s="68" t="str">
        <f>IF(TRIM($A176)="","",IF($J176="Passed","",IF($J176="Passed with Known Issue","Known Issue",IF($J176="",IF(OR($H176&lt;&gt;"No",AND($F176&lt;&gt;"Medium",$F176&lt;&gt;"Low")),"Pending Result",""),IF(OR($H176&lt;&gt;"No",AND($F176&lt;&gt;"Medium",$F176&lt;&gt;"Low")),IF(COUNTIFS(Dashboard!$B$105:$B$124,$A176,Dashboard!$I$105:$I$124,"CAB")&gt;0,"Accepted (CF)","Blocking"),IF($J176="Failed","Deferrable","Carry Over"))))))</f>
        <v/>
      </c>
      <c r="M176" s="68" t="str">
        <f>IF(OR(TRIM($A176)="",TRIM($E176)=""),"",IFERROR(INDEX('E2E core flow'!$B$15:$B$1000,MATCH(1,INDEX(('E2E core flow'!$A$15:$A$1000&lt;&gt;"")*ISNUMBER(SEARCH('E2E core flow'!$A$15:$A$1000,$E176)),0),0))&amp;"","-"))</f>
        <v/>
      </c>
      <c r="N176" s="68" t="str">
        <f>IF(TRIM($A176)="","",IF($O176=0,IF(COUNTIFS('Card Test Cases'!$B$4:$B$1000,$A176,'Card Test Cases'!$A$4:$A$1000,"&lt;&gt;")&gt;0,"Out of Scope","No TC"),IF($Q176&gt;0,"Failed",IF(COUNTIFS('Card Test Cases'!$B$4:$B$1000,$A176,'Card Test Cases'!$A$4:$A$1000,"&lt;&gt;",'Card Test Cases'!$F$4:$F$1000,"Blocked")&gt;0,"Blocked",IF($R176&gt;0,"In Progress","Passed")))))</f>
        <v/>
      </c>
      <c r="O176" s="68" t="str">
        <f>IF(TRIM($A176)="","",COUNTIFS('Card Test Cases'!$B$4:$B$1000,$A176,'Card Test Cases'!$A$4:$A$1000,"&lt;&gt;",'Card Test Cases'!$F$4:$F$1000,"&lt;&gt;Out of Scope"))</f>
        <v/>
      </c>
      <c r="P176" s="68" t="str">
        <f>IF(TRIM($A176)="","",COUNTIFS('Card Test Cases'!$B$4:$B$1000,$A176,'Card Test Cases'!$A$4:$A$1000,"&lt;&gt;",'Card Test Cases'!$F$4:$F$1000,"Passed"))</f>
        <v/>
      </c>
      <c r="Q176" s="68" t="str">
        <f>IF(TRIM($A176)="","",COUNTIFS('Card Test Cases'!$B$4:$B$1000,$A176,'Card Test Cases'!$A$4:$A$1000,"&lt;&gt;",'Card Test Cases'!$F$4:$F$1000,"Failed"))</f>
        <v/>
      </c>
      <c r="R176" s="68" t="str">
        <f t="shared" si="2"/>
        <v/>
      </c>
      <c r="S176" s="68" t="str" cm="1">
        <f t="array" ref="S176">IF(TRIM($A176)="","",IFERROR(_xlfn.TEXTJOIN(", ",TRUE,_xlfn.UNIQUE(_xlfn.VSTACK(_xlfn._xlws.FILTER('Card Test Cases'!$G$4:$G$1000,('Card Test Cases'!$B$4:$B$1000=$A176)*('Card Test Cases'!$G$4:$G$1000&lt;&gt;""),""),_xlfn._xlws.FILTER('E2E core flow'!$U$15:$U$1000,('E2E core flow'!$A$15:$A$1000&lt;&gt;"")*ISNUMBER(SEARCH('E2E core flow'!$A$15:$A$1000,$E176))*('E2E core flow'!$U$15:$U$1000&lt;&gt;""),"")))),"-"))</f>
        <v/>
      </c>
    </row>
    <row r="177" spans="7:19" x14ac:dyDescent="0.3">
      <c r="G177" s="68" t="str" cm="1">
        <f t="array" ref="G177">_xlfn.LET(_xlpm.ids,'E2E core flow'!$A$15:$A$1000,_xlpm.v,'E2E core flow'!$W$15:$W$1000,_xlpm.m,(_xlpm.ids&lt;&gt;"")*ISNUMBER(SEARCH(_xlpm.ids,$E177)),_xlpm.f,SUM(_xlpm.m*(_xlpm.v="Failed")),_xlpm.b,SUM(_xlpm.m*(_xlpm.v="Blocked")),_xlpm.nr,SUM(_xlpm.m*(_xlpm.v="Not Run")),_xlpm.cp,SUM(_xlpm.m*(_xlpm.v="Conditionally Passed")),_xlpm.p,SUM(_xlpm.m*(_xlpm.v="Passed")),IF(TRIM($A177)="","",IF(TRIM($E177)="","Pending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77" s="68" t="str">
        <f>IF(TRIM($A177)="","",IF($J177="Passed","",IF($J177="Passed with Known Issue","Known Issue",IF($J177="",IF(OR($H177&lt;&gt;"No",AND($F177&lt;&gt;"Medium",$F177&lt;&gt;"Low")),"Pending Result",""),IF(OR($H177&lt;&gt;"No",AND($F177&lt;&gt;"Medium",$F177&lt;&gt;"Low")),IF(COUNTIFS(Dashboard!$B$105:$B$124,$A177,Dashboard!$I$105:$I$124,"CAB")&gt;0,"Accepted (CF)","Blocking"),IF($J177="Failed","Deferrable","Carry Over"))))))</f>
        <v/>
      </c>
      <c r="M177" s="68" t="str">
        <f>IF(OR(TRIM($A177)="",TRIM($E177)=""),"",IFERROR(INDEX('E2E core flow'!$B$15:$B$1000,MATCH(1,INDEX(('E2E core flow'!$A$15:$A$1000&lt;&gt;"")*ISNUMBER(SEARCH('E2E core flow'!$A$15:$A$1000,$E177)),0),0))&amp;"","-"))</f>
        <v/>
      </c>
      <c r="N177" s="68" t="str">
        <f>IF(TRIM($A177)="","",IF($O177=0,IF(COUNTIFS('Card Test Cases'!$B$4:$B$1000,$A177,'Card Test Cases'!$A$4:$A$1000,"&lt;&gt;")&gt;0,"Out of Scope","No TC"),IF($Q177&gt;0,"Failed",IF(COUNTIFS('Card Test Cases'!$B$4:$B$1000,$A177,'Card Test Cases'!$A$4:$A$1000,"&lt;&gt;",'Card Test Cases'!$F$4:$F$1000,"Blocked")&gt;0,"Blocked",IF($R177&gt;0,"In Progress","Passed")))))</f>
        <v/>
      </c>
      <c r="O177" s="68" t="str">
        <f>IF(TRIM($A177)="","",COUNTIFS('Card Test Cases'!$B$4:$B$1000,$A177,'Card Test Cases'!$A$4:$A$1000,"&lt;&gt;",'Card Test Cases'!$F$4:$F$1000,"&lt;&gt;Out of Scope"))</f>
        <v/>
      </c>
      <c r="P177" s="68" t="str">
        <f>IF(TRIM($A177)="","",COUNTIFS('Card Test Cases'!$B$4:$B$1000,$A177,'Card Test Cases'!$A$4:$A$1000,"&lt;&gt;",'Card Test Cases'!$F$4:$F$1000,"Passed"))</f>
        <v/>
      </c>
      <c r="Q177" s="68" t="str">
        <f>IF(TRIM($A177)="","",COUNTIFS('Card Test Cases'!$B$4:$B$1000,$A177,'Card Test Cases'!$A$4:$A$1000,"&lt;&gt;",'Card Test Cases'!$F$4:$F$1000,"Failed"))</f>
        <v/>
      </c>
      <c r="R177" s="68" t="str">
        <f t="shared" si="2"/>
        <v/>
      </c>
      <c r="S177" s="68" t="str" cm="1">
        <f t="array" ref="S177">IF(TRIM($A177)="","",IFERROR(_xlfn.TEXTJOIN(", ",TRUE,_xlfn.UNIQUE(_xlfn.VSTACK(_xlfn._xlws.FILTER('Card Test Cases'!$G$4:$G$1000,('Card Test Cases'!$B$4:$B$1000=$A177)*('Card Test Cases'!$G$4:$G$1000&lt;&gt;""),""),_xlfn._xlws.FILTER('E2E core flow'!$U$15:$U$1000,('E2E core flow'!$A$15:$A$1000&lt;&gt;"")*ISNUMBER(SEARCH('E2E core flow'!$A$15:$A$1000,$E177))*('E2E core flow'!$U$15:$U$1000&lt;&gt;""),"")))),"-"))</f>
        <v/>
      </c>
    </row>
    <row r="178" spans="7:19" x14ac:dyDescent="0.3">
      <c r="G178" s="68" t="str" cm="1">
        <f t="array" ref="G178">_xlfn.LET(_xlpm.ids,'E2E core flow'!$A$15:$A$1000,_xlpm.v,'E2E core flow'!$W$15:$W$1000,_xlpm.m,(_xlpm.ids&lt;&gt;"")*ISNUMBER(SEARCH(_xlpm.ids,$E178)),_xlpm.f,SUM(_xlpm.m*(_xlpm.v="Failed")),_xlpm.b,SUM(_xlpm.m*(_xlpm.v="Blocked")),_xlpm.nr,SUM(_xlpm.m*(_xlpm.v="Not Run")),_xlpm.cp,SUM(_xlpm.m*(_xlpm.v="Conditionally Passed")),_xlpm.p,SUM(_xlpm.m*(_xlpm.v="Passed")),IF(TRIM($A178)="","",IF(TRIM($E178)="","Pending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78" s="68" t="str">
        <f>IF(TRIM($A178)="","",IF($J178="Passed","",IF($J178="Passed with Known Issue","Known Issue",IF($J178="",IF(OR($H178&lt;&gt;"No",AND($F178&lt;&gt;"Medium",$F178&lt;&gt;"Low")),"Pending Result",""),IF(OR($H178&lt;&gt;"No",AND($F178&lt;&gt;"Medium",$F178&lt;&gt;"Low")),IF(COUNTIFS(Dashboard!$B$105:$B$124,$A178,Dashboard!$I$105:$I$124,"CAB")&gt;0,"Accepted (CF)","Blocking"),IF($J178="Failed","Deferrable","Carry Over"))))))</f>
        <v/>
      </c>
      <c r="M178" s="68" t="str">
        <f>IF(OR(TRIM($A178)="",TRIM($E178)=""),"",IFERROR(INDEX('E2E core flow'!$B$15:$B$1000,MATCH(1,INDEX(('E2E core flow'!$A$15:$A$1000&lt;&gt;"")*ISNUMBER(SEARCH('E2E core flow'!$A$15:$A$1000,$E178)),0),0))&amp;"","-"))</f>
        <v/>
      </c>
      <c r="N178" s="68" t="str">
        <f>IF(TRIM($A178)="","",IF($O178=0,IF(COUNTIFS('Card Test Cases'!$B$4:$B$1000,$A178,'Card Test Cases'!$A$4:$A$1000,"&lt;&gt;")&gt;0,"Out of Scope","No TC"),IF($Q178&gt;0,"Failed",IF(COUNTIFS('Card Test Cases'!$B$4:$B$1000,$A178,'Card Test Cases'!$A$4:$A$1000,"&lt;&gt;",'Card Test Cases'!$F$4:$F$1000,"Blocked")&gt;0,"Blocked",IF($R178&gt;0,"In Progress","Passed")))))</f>
        <v/>
      </c>
      <c r="O178" s="68" t="str">
        <f>IF(TRIM($A178)="","",COUNTIFS('Card Test Cases'!$B$4:$B$1000,$A178,'Card Test Cases'!$A$4:$A$1000,"&lt;&gt;",'Card Test Cases'!$F$4:$F$1000,"&lt;&gt;Out of Scope"))</f>
        <v/>
      </c>
      <c r="P178" s="68" t="str">
        <f>IF(TRIM($A178)="","",COUNTIFS('Card Test Cases'!$B$4:$B$1000,$A178,'Card Test Cases'!$A$4:$A$1000,"&lt;&gt;",'Card Test Cases'!$F$4:$F$1000,"Passed"))</f>
        <v/>
      </c>
      <c r="Q178" s="68" t="str">
        <f>IF(TRIM($A178)="","",COUNTIFS('Card Test Cases'!$B$4:$B$1000,$A178,'Card Test Cases'!$A$4:$A$1000,"&lt;&gt;",'Card Test Cases'!$F$4:$F$1000,"Failed"))</f>
        <v/>
      </c>
      <c r="R178" s="68" t="str">
        <f t="shared" si="2"/>
        <v/>
      </c>
      <c r="S178" s="68" t="str" cm="1">
        <f t="array" ref="S178">IF(TRIM($A178)="","",IFERROR(_xlfn.TEXTJOIN(", ",TRUE,_xlfn.UNIQUE(_xlfn.VSTACK(_xlfn._xlws.FILTER('Card Test Cases'!$G$4:$G$1000,('Card Test Cases'!$B$4:$B$1000=$A178)*('Card Test Cases'!$G$4:$G$1000&lt;&gt;""),""),_xlfn._xlws.FILTER('E2E core flow'!$U$15:$U$1000,('E2E core flow'!$A$15:$A$1000&lt;&gt;"")*ISNUMBER(SEARCH('E2E core flow'!$A$15:$A$1000,$E178))*('E2E core flow'!$U$15:$U$1000&lt;&gt;""),"")))),"-"))</f>
        <v/>
      </c>
    </row>
    <row r="179" spans="7:19" x14ac:dyDescent="0.3">
      <c r="G179" s="68" t="str" cm="1">
        <f t="array" ref="G179">_xlfn.LET(_xlpm.ids,'E2E core flow'!$A$15:$A$1000,_xlpm.v,'E2E core flow'!$W$15:$W$1000,_xlpm.m,(_xlpm.ids&lt;&gt;"")*ISNUMBER(SEARCH(_xlpm.ids,$E179)),_xlpm.f,SUM(_xlpm.m*(_xlpm.v="Failed")),_xlpm.b,SUM(_xlpm.m*(_xlpm.v="Blocked")),_xlpm.nr,SUM(_xlpm.m*(_xlpm.v="Not Run")),_xlpm.cp,SUM(_xlpm.m*(_xlpm.v="Conditionally Passed")),_xlpm.p,SUM(_xlpm.m*(_xlpm.v="Passed")),IF(TRIM($A179)="","",IF(TRIM($E179)="","Pending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79" s="68" t="str">
        <f>IF(TRIM($A179)="","",IF($J179="Passed","",IF($J179="Passed with Known Issue","Known Issue",IF($J179="",IF(OR($H179&lt;&gt;"No",AND($F179&lt;&gt;"Medium",$F179&lt;&gt;"Low")),"Pending Result",""),IF(OR($H179&lt;&gt;"No",AND($F179&lt;&gt;"Medium",$F179&lt;&gt;"Low")),IF(COUNTIFS(Dashboard!$B$105:$B$124,$A179,Dashboard!$I$105:$I$124,"CAB")&gt;0,"Accepted (CF)","Blocking"),IF($J179="Failed","Deferrable","Carry Over"))))))</f>
        <v/>
      </c>
      <c r="M179" s="68" t="str">
        <f>IF(OR(TRIM($A179)="",TRIM($E179)=""),"",IFERROR(INDEX('E2E core flow'!$B$15:$B$1000,MATCH(1,INDEX(('E2E core flow'!$A$15:$A$1000&lt;&gt;"")*ISNUMBER(SEARCH('E2E core flow'!$A$15:$A$1000,$E179)),0),0))&amp;"","-"))</f>
        <v/>
      </c>
      <c r="N179" s="68" t="str">
        <f>IF(TRIM($A179)="","",IF($O179=0,IF(COUNTIFS('Card Test Cases'!$B$4:$B$1000,$A179,'Card Test Cases'!$A$4:$A$1000,"&lt;&gt;")&gt;0,"Out of Scope","No TC"),IF($Q179&gt;0,"Failed",IF(COUNTIFS('Card Test Cases'!$B$4:$B$1000,$A179,'Card Test Cases'!$A$4:$A$1000,"&lt;&gt;",'Card Test Cases'!$F$4:$F$1000,"Blocked")&gt;0,"Blocked",IF($R179&gt;0,"In Progress","Passed")))))</f>
        <v/>
      </c>
      <c r="O179" s="68" t="str">
        <f>IF(TRIM($A179)="","",COUNTIFS('Card Test Cases'!$B$4:$B$1000,$A179,'Card Test Cases'!$A$4:$A$1000,"&lt;&gt;",'Card Test Cases'!$F$4:$F$1000,"&lt;&gt;Out of Scope"))</f>
        <v/>
      </c>
      <c r="P179" s="68" t="str">
        <f>IF(TRIM($A179)="","",COUNTIFS('Card Test Cases'!$B$4:$B$1000,$A179,'Card Test Cases'!$A$4:$A$1000,"&lt;&gt;",'Card Test Cases'!$F$4:$F$1000,"Passed"))</f>
        <v/>
      </c>
      <c r="Q179" s="68" t="str">
        <f>IF(TRIM($A179)="","",COUNTIFS('Card Test Cases'!$B$4:$B$1000,$A179,'Card Test Cases'!$A$4:$A$1000,"&lt;&gt;",'Card Test Cases'!$F$4:$F$1000,"Failed"))</f>
        <v/>
      </c>
      <c r="R179" s="68" t="str">
        <f t="shared" si="2"/>
        <v/>
      </c>
      <c r="S179" s="68" t="str" cm="1">
        <f t="array" ref="S179">IF(TRIM($A179)="","",IFERROR(_xlfn.TEXTJOIN(", ",TRUE,_xlfn.UNIQUE(_xlfn.VSTACK(_xlfn._xlws.FILTER('Card Test Cases'!$G$4:$G$1000,('Card Test Cases'!$B$4:$B$1000=$A179)*('Card Test Cases'!$G$4:$G$1000&lt;&gt;""),""),_xlfn._xlws.FILTER('E2E core flow'!$U$15:$U$1000,('E2E core flow'!$A$15:$A$1000&lt;&gt;"")*ISNUMBER(SEARCH('E2E core flow'!$A$15:$A$1000,$E179))*('E2E core flow'!$U$15:$U$1000&lt;&gt;""),"")))),"-"))</f>
        <v/>
      </c>
    </row>
    <row r="180" spans="7:19" x14ac:dyDescent="0.3">
      <c r="G180" s="68" t="str" cm="1">
        <f t="array" ref="G180">_xlfn.LET(_xlpm.ids,'E2E core flow'!$A$15:$A$1000,_xlpm.v,'E2E core flow'!$W$15:$W$1000,_xlpm.m,(_xlpm.ids&lt;&gt;"")*ISNUMBER(SEARCH(_xlpm.ids,$E180)),_xlpm.f,SUM(_xlpm.m*(_xlpm.v="Failed")),_xlpm.b,SUM(_xlpm.m*(_xlpm.v="Blocked")),_xlpm.nr,SUM(_xlpm.m*(_xlpm.v="Not Run")),_xlpm.cp,SUM(_xlpm.m*(_xlpm.v="Conditionally Passed")),_xlpm.p,SUM(_xlpm.m*(_xlpm.v="Passed")),IF(TRIM($A180)="","",IF(TRIM($E180)="","Pending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80" s="68" t="str">
        <f>IF(TRIM($A180)="","",IF($J180="Passed","",IF($J180="Passed with Known Issue","Known Issue",IF($J180="",IF(OR($H180&lt;&gt;"No",AND($F180&lt;&gt;"Medium",$F180&lt;&gt;"Low")),"Pending Result",""),IF(OR($H180&lt;&gt;"No",AND($F180&lt;&gt;"Medium",$F180&lt;&gt;"Low")),IF(COUNTIFS(Dashboard!$B$105:$B$124,$A180,Dashboard!$I$105:$I$124,"CAB")&gt;0,"Accepted (CF)","Blocking"),IF($J180="Failed","Deferrable","Carry Over"))))))</f>
        <v/>
      </c>
      <c r="M180" s="68" t="str">
        <f>IF(OR(TRIM($A180)="",TRIM($E180)=""),"",IFERROR(INDEX('E2E core flow'!$B$15:$B$1000,MATCH(1,INDEX(('E2E core flow'!$A$15:$A$1000&lt;&gt;"")*ISNUMBER(SEARCH('E2E core flow'!$A$15:$A$1000,$E180)),0),0))&amp;"","-"))</f>
        <v/>
      </c>
      <c r="N180" s="68" t="str">
        <f>IF(TRIM($A180)="","",IF($O180=0,IF(COUNTIFS('Card Test Cases'!$B$4:$B$1000,$A180,'Card Test Cases'!$A$4:$A$1000,"&lt;&gt;")&gt;0,"Out of Scope","No TC"),IF($Q180&gt;0,"Failed",IF(COUNTIFS('Card Test Cases'!$B$4:$B$1000,$A180,'Card Test Cases'!$A$4:$A$1000,"&lt;&gt;",'Card Test Cases'!$F$4:$F$1000,"Blocked")&gt;0,"Blocked",IF($R180&gt;0,"In Progress","Passed")))))</f>
        <v/>
      </c>
      <c r="O180" s="68" t="str">
        <f>IF(TRIM($A180)="","",COUNTIFS('Card Test Cases'!$B$4:$B$1000,$A180,'Card Test Cases'!$A$4:$A$1000,"&lt;&gt;",'Card Test Cases'!$F$4:$F$1000,"&lt;&gt;Out of Scope"))</f>
        <v/>
      </c>
      <c r="P180" s="68" t="str">
        <f>IF(TRIM($A180)="","",COUNTIFS('Card Test Cases'!$B$4:$B$1000,$A180,'Card Test Cases'!$A$4:$A$1000,"&lt;&gt;",'Card Test Cases'!$F$4:$F$1000,"Passed"))</f>
        <v/>
      </c>
      <c r="Q180" s="68" t="str">
        <f>IF(TRIM($A180)="","",COUNTIFS('Card Test Cases'!$B$4:$B$1000,$A180,'Card Test Cases'!$A$4:$A$1000,"&lt;&gt;",'Card Test Cases'!$F$4:$F$1000,"Failed"))</f>
        <v/>
      </c>
      <c r="R180" s="68" t="str">
        <f t="shared" si="2"/>
        <v/>
      </c>
      <c r="S180" s="68" t="str" cm="1">
        <f t="array" ref="S180">IF(TRIM($A180)="","",IFERROR(_xlfn.TEXTJOIN(", ",TRUE,_xlfn.UNIQUE(_xlfn.VSTACK(_xlfn._xlws.FILTER('Card Test Cases'!$G$4:$G$1000,('Card Test Cases'!$B$4:$B$1000=$A180)*('Card Test Cases'!$G$4:$G$1000&lt;&gt;""),""),_xlfn._xlws.FILTER('E2E core flow'!$U$15:$U$1000,('E2E core flow'!$A$15:$A$1000&lt;&gt;"")*ISNUMBER(SEARCH('E2E core flow'!$A$15:$A$1000,$E180))*('E2E core flow'!$U$15:$U$1000&lt;&gt;""),"")))),"-"))</f>
        <v/>
      </c>
    </row>
    <row r="181" spans="7:19" x14ac:dyDescent="0.3">
      <c r="G181" s="68" t="str" cm="1">
        <f t="array" ref="G181">_xlfn.LET(_xlpm.ids,'E2E core flow'!$A$15:$A$1000,_xlpm.v,'E2E core flow'!$W$15:$W$1000,_xlpm.m,(_xlpm.ids&lt;&gt;"")*ISNUMBER(SEARCH(_xlpm.ids,$E181)),_xlpm.f,SUM(_xlpm.m*(_xlpm.v="Failed")),_xlpm.b,SUM(_xlpm.m*(_xlpm.v="Blocked")),_xlpm.nr,SUM(_xlpm.m*(_xlpm.v="Not Run")),_xlpm.cp,SUM(_xlpm.m*(_xlpm.v="Conditionally Passed")),_xlpm.p,SUM(_xlpm.m*(_xlpm.v="Passed")),IF(TRIM($A181)="","",IF(TRIM($E181)="","Pending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81" s="68" t="str">
        <f>IF(TRIM($A181)="","",IF($J181="Passed","",IF($J181="Passed with Known Issue","Known Issue",IF($J181="",IF(OR($H181&lt;&gt;"No",AND($F181&lt;&gt;"Medium",$F181&lt;&gt;"Low")),"Pending Result",""),IF(OR($H181&lt;&gt;"No",AND($F181&lt;&gt;"Medium",$F181&lt;&gt;"Low")),IF(COUNTIFS(Dashboard!$B$105:$B$124,$A181,Dashboard!$I$105:$I$124,"CAB")&gt;0,"Accepted (CF)","Blocking"),IF($J181="Failed","Deferrable","Carry Over"))))))</f>
        <v/>
      </c>
      <c r="M181" s="68" t="str">
        <f>IF(OR(TRIM($A181)="",TRIM($E181)=""),"",IFERROR(INDEX('E2E core flow'!$B$15:$B$1000,MATCH(1,INDEX(('E2E core flow'!$A$15:$A$1000&lt;&gt;"")*ISNUMBER(SEARCH('E2E core flow'!$A$15:$A$1000,$E181)),0),0))&amp;"","-"))</f>
        <v/>
      </c>
      <c r="N181" s="68" t="str">
        <f>IF(TRIM($A181)="","",IF($O181=0,IF(COUNTIFS('Card Test Cases'!$B$4:$B$1000,$A181,'Card Test Cases'!$A$4:$A$1000,"&lt;&gt;")&gt;0,"Out of Scope","No TC"),IF($Q181&gt;0,"Failed",IF(COUNTIFS('Card Test Cases'!$B$4:$B$1000,$A181,'Card Test Cases'!$A$4:$A$1000,"&lt;&gt;",'Card Test Cases'!$F$4:$F$1000,"Blocked")&gt;0,"Blocked",IF($R181&gt;0,"In Progress","Passed")))))</f>
        <v/>
      </c>
      <c r="O181" s="68" t="str">
        <f>IF(TRIM($A181)="","",COUNTIFS('Card Test Cases'!$B$4:$B$1000,$A181,'Card Test Cases'!$A$4:$A$1000,"&lt;&gt;",'Card Test Cases'!$F$4:$F$1000,"&lt;&gt;Out of Scope"))</f>
        <v/>
      </c>
      <c r="P181" s="68" t="str">
        <f>IF(TRIM($A181)="","",COUNTIFS('Card Test Cases'!$B$4:$B$1000,$A181,'Card Test Cases'!$A$4:$A$1000,"&lt;&gt;",'Card Test Cases'!$F$4:$F$1000,"Passed"))</f>
        <v/>
      </c>
      <c r="Q181" s="68" t="str">
        <f>IF(TRIM($A181)="","",COUNTIFS('Card Test Cases'!$B$4:$B$1000,$A181,'Card Test Cases'!$A$4:$A$1000,"&lt;&gt;",'Card Test Cases'!$F$4:$F$1000,"Failed"))</f>
        <v/>
      </c>
      <c r="R181" s="68" t="str">
        <f t="shared" si="2"/>
        <v/>
      </c>
      <c r="S181" s="68" t="str" cm="1">
        <f t="array" ref="S181">IF(TRIM($A181)="","",IFERROR(_xlfn.TEXTJOIN(", ",TRUE,_xlfn.UNIQUE(_xlfn.VSTACK(_xlfn._xlws.FILTER('Card Test Cases'!$G$4:$G$1000,('Card Test Cases'!$B$4:$B$1000=$A181)*('Card Test Cases'!$G$4:$G$1000&lt;&gt;""),""),_xlfn._xlws.FILTER('E2E core flow'!$U$15:$U$1000,('E2E core flow'!$A$15:$A$1000&lt;&gt;"")*ISNUMBER(SEARCH('E2E core flow'!$A$15:$A$1000,$E181))*('E2E core flow'!$U$15:$U$1000&lt;&gt;""),"")))),"-"))</f>
        <v/>
      </c>
    </row>
    <row r="182" spans="7:19" x14ac:dyDescent="0.3">
      <c r="G182" s="68" t="str" cm="1">
        <f t="array" ref="G182">_xlfn.LET(_xlpm.ids,'E2E core flow'!$A$15:$A$1000,_xlpm.v,'E2E core flow'!$W$15:$W$1000,_xlpm.m,(_xlpm.ids&lt;&gt;"")*ISNUMBER(SEARCH(_xlpm.ids,$E182)),_xlpm.f,SUM(_xlpm.m*(_xlpm.v="Failed")),_xlpm.b,SUM(_xlpm.m*(_xlpm.v="Blocked")),_xlpm.nr,SUM(_xlpm.m*(_xlpm.v="Not Run")),_xlpm.cp,SUM(_xlpm.m*(_xlpm.v="Conditionally Passed")),_xlpm.p,SUM(_xlpm.m*(_xlpm.v="Passed")),IF(TRIM($A182)="","",IF(TRIM($E182)="","Pending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82" s="68" t="str">
        <f>IF(TRIM($A182)="","",IF($J182="Passed","",IF($J182="Passed with Known Issue","Known Issue",IF($J182="",IF(OR($H182&lt;&gt;"No",AND($F182&lt;&gt;"Medium",$F182&lt;&gt;"Low")),"Pending Result",""),IF(OR($H182&lt;&gt;"No",AND($F182&lt;&gt;"Medium",$F182&lt;&gt;"Low")),IF(COUNTIFS(Dashboard!$B$105:$B$124,$A182,Dashboard!$I$105:$I$124,"CAB")&gt;0,"Accepted (CF)","Blocking"),IF($J182="Failed","Deferrable","Carry Over"))))))</f>
        <v/>
      </c>
      <c r="M182" s="68" t="str">
        <f>IF(OR(TRIM($A182)="",TRIM($E182)=""),"",IFERROR(INDEX('E2E core flow'!$B$15:$B$1000,MATCH(1,INDEX(('E2E core flow'!$A$15:$A$1000&lt;&gt;"")*ISNUMBER(SEARCH('E2E core flow'!$A$15:$A$1000,$E182)),0),0))&amp;"","-"))</f>
        <v/>
      </c>
      <c r="N182" s="68" t="str">
        <f>IF(TRIM($A182)="","",IF($O182=0,IF(COUNTIFS('Card Test Cases'!$B$4:$B$1000,$A182,'Card Test Cases'!$A$4:$A$1000,"&lt;&gt;")&gt;0,"Out of Scope","No TC"),IF($Q182&gt;0,"Failed",IF(COUNTIFS('Card Test Cases'!$B$4:$B$1000,$A182,'Card Test Cases'!$A$4:$A$1000,"&lt;&gt;",'Card Test Cases'!$F$4:$F$1000,"Blocked")&gt;0,"Blocked",IF($R182&gt;0,"In Progress","Passed")))))</f>
        <v/>
      </c>
      <c r="O182" s="68" t="str">
        <f>IF(TRIM($A182)="","",COUNTIFS('Card Test Cases'!$B$4:$B$1000,$A182,'Card Test Cases'!$A$4:$A$1000,"&lt;&gt;",'Card Test Cases'!$F$4:$F$1000,"&lt;&gt;Out of Scope"))</f>
        <v/>
      </c>
      <c r="P182" s="68" t="str">
        <f>IF(TRIM($A182)="","",COUNTIFS('Card Test Cases'!$B$4:$B$1000,$A182,'Card Test Cases'!$A$4:$A$1000,"&lt;&gt;",'Card Test Cases'!$F$4:$F$1000,"Passed"))</f>
        <v/>
      </c>
      <c r="Q182" s="68" t="str">
        <f>IF(TRIM($A182)="","",COUNTIFS('Card Test Cases'!$B$4:$B$1000,$A182,'Card Test Cases'!$A$4:$A$1000,"&lt;&gt;",'Card Test Cases'!$F$4:$F$1000,"Failed"))</f>
        <v/>
      </c>
      <c r="R182" s="68" t="str">
        <f t="shared" si="2"/>
        <v/>
      </c>
      <c r="S182" s="68" t="str" cm="1">
        <f t="array" ref="S182">IF(TRIM($A182)="","",IFERROR(_xlfn.TEXTJOIN(", ",TRUE,_xlfn.UNIQUE(_xlfn.VSTACK(_xlfn._xlws.FILTER('Card Test Cases'!$G$4:$G$1000,('Card Test Cases'!$B$4:$B$1000=$A182)*('Card Test Cases'!$G$4:$G$1000&lt;&gt;""),""),_xlfn._xlws.FILTER('E2E core flow'!$U$15:$U$1000,('E2E core flow'!$A$15:$A$1000&lt;&gt;"")*ISNUMBER(SEARCH('E2E core flow'!$A$15:$A$1000,$E182))*('E2E core flow'!$U$15:$U$1000&lt;&gt;""),"")))),"-"))</f>
        <v/>
      </c>
    </row>
    <row r="183" spans="7:19" x14ac:dyDescent="0.3">
      <c r="G183" s="68" t="str" cm="1">
        <f t="array" ref="G183">_xlfn.LET(_xlpm.ids,'E2E core flow'!$A$15:$A$1000,_xlpm.v,'E2E core flow'!$W$15:$W$1000,_xlpm.m,(_xlpm.ids&lt;&gt;"")*ISNUMBER(SEARCH(_xlpm.ids,$E183)),_xlpm.f,SUM(_xlpm.m*(_xlpm.v="Failed")),_xlpm.b,SUM(_xlpm.m*(_xlpm.v="Blocked")),_xlpm.nr,SUM(_xlpm.m*(_xlpm.v="Not Run")),_xlpm.cp,SUM(_xlpm.m*(_xlpm.v="Conditionally Passed")),_xlpm.p,SUM(_xlpm.m*(_xlpm.v="Passed")),IF(TRIM($A183)="","",IF(TRIM($E183)="","Pending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83" s="68" t="str">
        <f>IF(TRIM($A183)="","",IF($J183="Passed","",IF($J183="Passed with Known Issue","Known Issue",IF($J183="",IF(OR($H183&lt;&gt;"No",AND($F183&lt;&gt;"Medium",$F183&lt;&gt;"Low")),"Pending Result",""),IF(OR($H183&lt;&gt;"No",AND($F183&lt;&gt;"Medium",$F183&lt;&gt;"Low")),IF(COUNTIFS(Dashboard!$B$105:$B$124,$A183,Dashboard!$I$105:$I$124,"CAB")&gt;0,"Accepted (CF)","Blocking"),IF($J183="Failed","Deferrable","Carry Over"))))))</f>
        <v/>
      </c>
      <c r="M183" s="68" t="str">
        <f>IF(OR(TRIM($A183)="",TRIM($E183)=""),"",IFERROR(INDEX('E2E core flow'!$B$15:$B$1000,MATCH(1,INDEX(('E2E core flow'!$A$15:$A$1000&lt;&gt;"")*ISNUMBER(SEARCH('E2E core flow'!$A$15:$A$1000,$E183)),0),0))&amp;"","-"))</f>
        <v/>
      </c>
      <c r="N183" s="68" t="str">
        <f>IF(TRIM($A183)="","",IF($O183=0,IF(COUNTIFS('Card Test Cases'!$B$4:$B$1000,$A183,'Card Test Cases'!$A$4:$A$1000,"&lt;&gt;")&gt;0,"Out of Scope","No TC"),IF($Q183&gt;0,"Failed",IF(COUNTIFS('Card Test Cases'!$B$4:$B$1000,$A183,'Card Test Cases'!$A$4:$A$1000,"&lt;&gt;",'Card Test Cases'!$F$4:$F$1000,"Blocked")&gt;0,"Blocked",IF($R183&gt;0,"In Progress","Passed")))))</f>
        <v/>
      </c>
      <c r="O183" s="68" t="str">
        <f>IF(TRIM($A183)="","",COUNTIFS('Card Test Cases'!$B$4:$B$1000,$A183,'Card Test Cases'!$A$4:$A$1000,"&lt;&gt;",'Card Test Cases'!$F$4:$F$1000,"&lt;&gt;Out of Scope"))</f>
        <v/>
      </c>
      <c r="P183" s="68" t="str">
        <f>IF(TRIM($A183)="","",COUNTIFS('Card Test Cases'!$B$4:$B$1000,$A183,'Card Test Cases'!$A$4:$A$1000,"&lt;&gt;",'Card Test Cases'!$F$4:$F$1000,"Passed"))</f>
        <v/>
      </c>
      <c r="Q183" s="68" t="str">
        <f>IF(TRIM($A183)="","",COUNTIFS('Card Test Cases'!$B$4:$B$1000,$A183,'Card Test Cases'!$A$4:$A$1000,"&lt;&gt;",'Card Test Cases'!$F$4:$F$1000,"Failed"))</f>
        <v/>
      </c>
      <c r="R183" s="68" t="str">
        <f t="shared" si="2"/>
        <v/>
      </c>
      <c r="S183" s="68" t="str" cm="1">
        <f t="array" ref="S183">IF(TRIM($A183)="","",IFERROR(_xlfn.TEXTJOIN(", ",TRUE,_xlfn.UNIQUE(_xlfn.VSTACK(_xlfn._xlws.FILTER('Card Test Cases'!$G$4:$G$1000,('Card Test Cases'!$B$4:$B$1000=$A183)*('Card Test Cases'!$G$4:$G$1000&lt;&gt;""),""),_xlfn._xlws.FILTER('E2E core flow'!$U$15:$U$1000,('E2E core flow'!$A$15:$A$1000&lt;&gt;"")*ISNUMBER(SEARCH('E2E core flow'!$A$15:$A$1000,$E183))*('E2E core flow'!$U$15:$U$1000&lt;&gt;""),"")))),"-"))</f>
        <v/>
      </c>
    </row>
    <row r="184" spans="7:19" x14ac:dyDescent="0.3">
      <c r="G184" s="68" t="str" cm="1">
        <f t="array" ref="G184">_xlfn.LET(_xlpm.ids,'E2E core flow'!$A$15:$A$1000,_xlpm.v,'E2E core flow'!$W$15:$W$1000,_xlpm.m,(_xlpm.ids&lt;&gt;"")*ISNUMBER(SEARCH(_xlpm.ids,$E184)),_xlpm.f,SUM(_xlpm.m*(_xlpm.v="Failed")),_xlpm.b,SUM(_xlpm.m*(_xlpm.v="Blocked")),_xlpm.nr,SUM(_xlpm.m*(_xlpm.v="Not Run")),_xlpm.cp,SUM(_xlpm.m*(_xlpm.v="Conditionally Passed")),_xlpm.p,SUM(_xlpm.m*(_xlpm.v="Passed")),IF(TRIM($A184)="","",IF(TRIM($E184)="","Pending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84" s="68" t="str">
        <f>IF(TRIM($A184)="","",IF($J184="Passed","",IF($J184="Passed with Known Issue","Known Issue",IF($J184="",IF(OR($H184&lt;&gt;"No",AND($F184&lt;&gt;"Medium",$F184&lt;&gt;"Low")),"Pending Result",""),IF(OR($H184&lt;&gt;"No",AND($F184&lt;&gt;"Medium",$F184&lt;&gt;"Low")),IF(COUNTIFS(Dashboard!$B$105:$B$124,$A184,Dashboard!$I$105:$I$124,"CAB")&gt;0,"Accepted (CF)","Blocking"),IF($J184="Failed","Deferrable","Carry Over"))))))</f>
        <v/>
      </c>
      <c r="M184" s="68" t="str">
        <f>IF(OR(TRIM($A184)="",TRIM($E184)=""),"",IFERROR(INDEX('E2E core flow'!$B$15:$B$1000,MATCH(1,INDEX(('E2E core flow'!$A$15:$A$1000&lt;&gt;"")*ISNUMBER(SEARCH('E2E core flow'!$A$15:$A$1000,$E184)),0),0))&amp;"","-"))</f>
        <v/>
      </c>
      <c r="N184" s="68" t="str">
        <f>IF(TRIM($A184)="","",IF($O184=0,IF(COUNTIFS('Card Test Cases'!$B$4:$B$1000,$A184,'Card Test Cases'!$A$4:$A$1000,"&lt;&gt;")&gt;0,"Out of Scope","No TC"),IF($Q184&gt;0,"Failed",IF(COUNTIFS('Card Test Cases'!$B$4:$B$1000,$A184,'Card Test Cases'!$A$4:$A$1000,"&lt;&gt;",'Card Test Cases'!$F$4:$F$1000,"Blocked")&gt;0,"Blocked",IF($R184&gt;0,"In Progress","Passed")))))</f>
        <v/>
      </c>
      <c r="O184" s="68" t="str">
        <f>IF(TRIM($A184)="","",COUNTIFS('Card Test Cases'!$B$4:$B$1000,$A184,'Card Test Cases'!$A$4:$A$1000,"&lt;&gt;",'Card Test Cases'!$F$4:$F$1000,"&lt;&gt;Out of Scope"))</f>
        <v/>
      </c>
      <c r="P184" s="68" t="str">
        <f>IF(TRIM($A184)="","",COUNTIFS('Card Test Cases'!$B$4:$B$1000,$A184,'Card Test Cases'!$A$4:$A$1000,"&lt;&gt;",'Card Test Cases'!$F$4:$F$1000,"Passed"))</f>
        <v/>
      </c>
      <c r="Q184" s="68" t="str">
        <f>IF(TRIM($A184)="","",COUNTIFS('Card Test Cases'!$B$4:$B$1000,$A184,'Card Test Cases'!$A$4:$A$1000,"&lt;&gt;",'Card Test Cases'!$F$4:$F$1000,"Failed"))</f>
        <v/>
      </c>
      <c r="R184" s="68" t="str">
        <f t="shared" si="2"/>
        <v/>
      </c>
      <c r="S184" s="68" t="str" cm="1">
        <f t="array" ref="S184">IF(TRIM($A184)="","",IFERROR(_xlfn.TEXTJOIN(", ",TRUE,_xlfn.UNIQUE(_xlfn.VSTACK(_xlfn._xlws.FILTER('Card Test Cases'!$G$4:$G$1000,('Card Test Cases'!$B$4:$B$1000=$A184)*('Card Test Cases'!$G$4:$G$1000&lt;&gt;""),""),_xlfn._xlws.FILTER('E2E core flow'!$U$15:$U$1000,('E2E core flow'!$A$15:$A$1000&lt;&gt;"")*ISNUMBER(SEARCH('E2E core flow'!$A$15:$A$1000,$E184))*('E2E core flow'!$U$15:$U$1000&lt;&gt;""),"")))),"-"))</f>
        <v/>
      </c>
    </row>
    <row r="185" spans="7:19" x14ac:dyDescent="0.3">
      <c r="G185" s="68" t="str" cm="1">
        <f t="array" ref="G185">_xlfn.LET(_xlpm.ids,'E2E core flow'!$A$15:$A$1000,_xlpm.v,'E2E core flow'!$W$15:$W$1000,_xlpm.m,(_xlpm.ids&lt;&gt;"")*ISNUMBER(SEARCH(_xlpm.ids,$E185)),_xlpm.f,SUM(_xlpm.m*(_xlpm.v="Failed")),_xlpm.b,SUM(_xlpm.m*(_xlpm.v="Blocked")),_xlpm.nr,SUM(_xlpm.m*(_xlpm.v="Not Run")),_xlpm.cp,SUM(_xlpm.m*(_xlpm.v="Conditionally Passed")),_xlpm.p,SUM(_xlpm.m*(_xlpm.v="Passed")),IF(TRIM($A185)="","",IF(TRIM($E185)="","Pending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85" s="68" t="str">
        <f>IF(TRIM($A185)="","",IF($J185="Passed","",IF($J185="Passed with Known Issue","Known Issue",IF($J185="",IF(OR($H185&lt;&gt;"No",AND($F185&lt;&gt;"Medium",$F185&lt;&gt;"Low")),"Pending Result",""),IF(OR($H185&lt;&gt;"No",AND($F185&lt;&gt;"Medium",$F185&lt;&gt;"Low")),IF(COUNTIFS(Dashboard!$B$105:$B$124,$A185,Dashboard!$I$105:$I$124,"CAB")&gt;0,"Accepted (CF)","Blocking"),IF($J185="Failed","Deferrable","Carry Over"))))))</f>
        <v/>
      </c>
      <c r="M185" s="68" t="str">
        <f>IF(OR(TRIM($A185)="",TRIM($E185)=""),"",IFERROR(INDEX('E2E core flow'!$B$15:$B$1000,MATCH(1,INDEX(('E2E core flow'!$A$15:$A$1000&lt;&gt;"")*ISNUMBER(SEARCH('E2E core flow'!$A$15:$A$1000,$E185)),0),0))&amp;"","-"))</f>
        <v/>
      </c>
      <c r="N185" s="68" t="str">
        <f>IF(TRIM($A185)="","",IF($O185=0,IF(COUNTIFS('Card Test Cases'!$B$4:$B$1000,$A185,'Card Test Cases'!$A$4:$A$1000,"&lt;&gt;")&gt;0,"Out of Scope","No TC"),IF($Q185&gt;0,"Failed",IF(COUNTIFS('Card Test Cases'!$B$4:$B$1000,$A185,'Card Test Cases'!$A$4:$A$1000,"&lt;&gt;",'Card Test Cases'!$F$4:$F$1000,"Blocked")&gt;0,"Blocked",IF($R185&gt;0,"In Progress","Passed")))))</f>
        <v/>
      </c>
      <c r="O185" s="68" t="str">
        <f>IF(TRIM($A185)="","",COUNTIFS('Card Test Cases'!$B$4:$B$1000,$A185,'Card Test Cases'!$A$4:$A$1000,"&lt;&gt;",'Card Test Cases'!$F$4:$F$1000,"&lt;&gt;Out of Scope"))</f>
        <v/>
      </c>
      <c r="P185" s="68" t="str">
        <f>IF(TRIM($A185)="","",COUNTIFS('Card Test Cases'!$B$4:$B$1000,$A185,'Card Test Cases'!$A$4:$A$1000,"&lt;&gt;",'Card Test Cases'!$F$4:$F$1000,"Passed"))</f>
        <v/>
      </c>
      <c r="Q185" s="68" t="str">
        <f>IF(TRIM($A185)="","",COUNTIFS('Card Test Cases'!$B$4:$B$1000,$A185,'Card Test Cases'!$A$4:$A$1000,"&lt;&gt;",'Card Test Cases'!$F$4:$F$1000,"Failed"))</f>
        <v/>
      </c>
      <c r="R185" s="68" t="str">
        <f t="shared" si="2"/>
        <v/>
      </c>
      <c r="S185" s="68" t="str" cm="1">
        <f t="array" ref="S185">IF(TRIM($A185)="","",IFERROR(_xlfn.TEXTJOIN(", ",TRUE,_xlfn.UNIQUE(_xlfn.VSTACK(_xlfn._xlws.FILTER('Card Test Cases'!$G$4:$G$1000,('Card Test Cases'!$B$4:$B$1000=$A185)*('Card Test Cases'!$G$4:$G$1000&lt;&gt;""),""),_xlfn._xlws.FILTER('E2E core flow'!$U$15:$U$1000,('E2E core flow'!$A$15:$A$1000&lt;&gt;"")*ISNUMBER(SEARCH('E2E core flow'!$A$15:$A$1000,$E185))*('E2E core flow'!$U$15:$U$1000&lt;&gt;""),"")))),"-"))</f>
        <v/>
      </c>
    </row>
    <row r="186" spans="7:19" x14ac:dyDescent="0.3">
      <c r="G186" s="68" t="str" cm="1">
        <f t="array" ref="G186">_xlfn.LET(_xlpm.ids,'E2E core flow'!$A$15:$A$1000,_xlpm.v,'E2E core flow'!$W$15:$W$1000,_xlpm.m,(_xlpm.ids&lt;&gt;"")*ISNUMBER(SEARCH(_xlpm.ids,$E186)),_xlpm.f,SUM(_xlpm.m*(_xlpm.v="Failed")),_xlpm.b,SUM(_xlpm.m*(_xlpm.v="Blocked")),_xlpm.nr,SUM(_xlpm.m*(_xlpm.v="Not Run")),_xlpm.cp,SUM(_xlpm.m*(_xlpm.v="Conditionally Passed")),_xlpm.p,SUM(_xlpm.m*(_xlpm.v="Passed")),IF(TRIM($A186)="","",IF(TRIM($E186)="","Pending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86" s="68" t="str">
        <f>IF(TRIM($A186)="","",IF($J186="Passed","",IF($J186="Passed with Known Issue","Known Issue",IF($J186="",IF(OR($H186&lt;&gt;"No",AND($F186&lt;&gt;"Medium",$F186&lt;&gt;"Low")),"Pending Result",""),IF(OR($H186&lt;&gt;"No",AND($F186&lt;&gt;"Medium",$F186&lt;&gt;"Low")),IF(COUNTIFS(Dashboard!$B$105:$B$124,$A186,Dashboard!$I$105:$I$124,"CAB")&gt;0,"Accepted (CF)","Blocking"),IF($J186="Failed","Deferrable","Carry Over"))))))</f>
        <v/>
      </c>
      <c r="M186" s="68" t="str">
        <f>IF(OR(TRIM($A186)="",TRIM($E186)=""),"",IFERROR(INDEX('E2E core flow'!$B$15:$B$1000,MATCH(1,INDEX(('E2E core flow'!$A$15:$A$1000&lt;&gt;"")*ISNUMBER(SEARCH('E2E core flow'!$A$15:$A$1000,$E186)),0),0))&amp;"","-"))</f>
        <v/>
      </c>
      <c r="N186" s="68" t="str">
        <f>IF(TRIM($A186)="","",IF($O186=0,IF(COUNTIFS('Card Test Cases'!$B$4:$B$1000,$A186,'Card Test Cases'!$A$4:$A$1000,"&lt;&gt;")&gt;0,"Out of Scope","No TC"),IF($Q186&gt;0,"Failed",IF(COUNTIFS('Card Test Cases'!$B$4:$B$1000,$A186,'Card Test Cases'!$A$4:$A$1000,"&lt;&gt;",'Card Test Cases'!$F$4:$F$1000,"Blocked")&gt;0,"Blocked",IF($R186&gt;0,"In Progress","Passed")))))</f>
        <v/>
      </c>
      <c r="O186" s="68" t="str">
        <f>IF(TRIM($A186)="","",COUNTIFS('Card Test Cases'!$B$4:$B$1000,$A186,'Card Test Cases'!$A$4:$A$1000,"&lt;&gt;",'Card Test Cases'!$F$4:$F$1000,"&lt;&gt;Out of Scope"))</f>
        <v/>
      </c>
      <c r="P186" s="68" t="str">
        <f>IF(TRIM($A186)="","",COUNTIFS('Card Test Cases'!$B$4:$B$1000,$A186,'Card Test Cases'!$A$4:$A$1000,"&lt;&gt;",'Card Test Cases'!$F$4:$F$1000,"Passed"))</f>
        <v/>
      </c>
      <c r="Q186" s="68" t="str">
        <f>IF(TRIM($A186)="","",COUNTIFS('Card Test Cases'!$B$4:$B$1000,$A186,'Card Test Cases'!$A$4:$A$1000,"&lt;&gt;",'Card Test Cases'!$F$4:$F$1000,"Failed"))</f>
        <v/>
      </c>
      <c r="R186" s="68" t="str">
        <f t="shared" si="2"/>
        <v/>
      </c>
      <c r="S186" s="68" t="str" cm="1">
        <f t="array" ref="S186">IF(TRIM($A186)="","",IFERROR(_xlfn.TEXTJOIN(", ",TRUE,_xlfn.UNIQUE(_xlfn.VSTACK(_xlfn._xlws.FILTER('Card Test Cases'!$G$4:$G$1000,('Card Test Cases'!$B$4:$B$1000=$A186)*('Card Test Cases'!$G$4:$G$1000&lt;&gt;""),""),_xlfn._xlws.FILTER('E2E core flow'!$U$15:$U$1000,('E2E core flow'!$A$15:$A$1000&lt;&gt;"")*ISNUMBER(SEARCH('E2E core flow'!$A$15:$A$1000,$E186))*('E2E core flow'!$U$15:$U$1000&lt;&gt;""),"")))),"-"))</f>
        <v/>
      </c>
    </row>
    <row r="187" spans="7:19" x14ac:dyDescent="0.3">
      <c r="G187" s="68" t="str" cm="1">
        <f t="array" ref="G187">_xlfn.LET(_xlpm.ids,'E2E core flow'!$A$15:$A$1000,_xlpm.v,'E2E core flow'!$W$15:$W$1000,_xlpm.m,(_xlpm.ids&lt;&gt;"")*ISNUMBER(SEARCH(_xlpm.ids,$E187)),_xlpm.f,SUM(_xlpm.m*(_xlpm.v="Failed")),_xlpm.b,SUM(_xlpm.m*(_xlpm.v="Blocked")),_xlpm.nr,SUM(_xlpm.m*(_xlpm.v="Not Run")),_xlpm.cp,SUM(_xlpm.m*(_xlpm.v="Conditionally Passed")),_xlpm.p,SUM(_xlpm.m*(_xlpm.v="Passed")),IF(TRIM($A187)="","",IF(TRIM($E187)="","Pending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87" s="68" t="str">
        <f>IF(TRIM($A187)="","",IF($J187="Passed","",IF($J187="Passed with Known Issue","Known Issue",IF($J187="",IF(OR($H187&lt;&gt;"No",AND($F187&lt;&gt;"Medium",$F187&lt;&gt;"Low")),"Pending Result",""),IF(OR($H187&lt;&gt;"No",AND($F187&lt;&gt;"Medium",$F187&lt;&gt;"Low")),IF(COUNTIFS(Dashboard!$B$105:$B$124,$A187,Dashboard!$I$105:$I$124,"CAB")&gt;0,"Accepted (CF)","Blocking"),IF($J187="Failed","Deferrable","Carry Over"))))))</f>
        <v/>
      </c>
      <c r="M187" s="68" t="str">
        <f>IF(OR(TRIM($A187)="",TRIM($E187)=""),"",IFERROR(INDEX('E2E core flow'!$B$15:$B$1000,MATCH(1,INDEX(('E2E core flow'!$A$15:$A$1000&lt;&gt;"")*ISNUMBER(SEARCH('E2E core flow'!$A$15:$A$1000,$E187)),0),0))&amp;"","-"))</f>
        <v/>
      </c>
      <c r="N187" s="68" t="str">
        <f>IF(TRIM($A187)="","",IF($O187=0,IF(COUNTIFS('Card Test Cases'!$B$4:$B$1000,$A187,'Card Test Cases'!$A$4:$A$1000,"&lt;&gt;")&gt;0,"Out of Scope","No TC"),IF($Q187&gt;0,"Failed",IF(COUNTIFS('Card Test Cases'!$B$4:$B$1000,$A187,'Card Test Cases'!$A$4:$A$1000,"&lt;&gt;",'Card Test Cases'!$F$4:$F$1000,"Blocked")&gt;0,"Blocked",IF($R187&gt;0,"In Progress","Passed")))))</f>
        <v/>
      </c>
      <c r="O187" s="68" t="str">
        <f>IF(TRIM($A187)="","",COUNTIFS('Card Test Cases'!$B$4:$B$1000,$A187,'Card Test Cases'!$A$4:$A$1000,"&lt;&gt;",'Card Test Cases'!$F$4:$F$1000,"&lt;&gt;Out of Scope"))</f>
        <v/>
      </c>
      <c r="P187" s="68" t="str">
        <f>IF(TRIM($A187)="","",COUNTIFS('Card Test Cases'!$B$4:$B$1000,$A187,'Card Test Cases'!$A$4:$A$1000,"&lt;&gt;",'Card Test Cases'!$F$4:$F$1000,"Passed"))</f>
        <v/>
      </c>
      <c r="Q187" s="68" t="str">
        <f>IF(TRIM($A187)="","",COUNTIFS('Card Test Cases'!$B$4:$B$1000,$A187,'Card Test Cases'!$A$4:$A$1000,"&lt;&gt;",'Card Test Cases'!$F$4:$F$1000,"Failed"))</f>
        <v/>
      </c>
      <c r="R187" s="68" t="str">
        <f t="shared" si="2"/>
        <v/>
      </c>
      <c r="S187" s="68" t="str" cm="1">
        <f t="array" ref="S187">IF(TRIM($A187)="","",IFERROR(_xlfn.TEXTJOIN(", ",TRUE,_xlfn.UNIQUE(_xlfn.VSTACK(_xlfn._xlws.FILTER('Card Test Cases'!$G$4:$G$1000,('Card Test Cases'!$B$4:$B$1000=$A187)*('Card Test Cases'!$G$4:$G$1000&lt;&gt;""),""),_xlfn._xlws.FILTER('E2E core flow'!$U$15:$U$1000,('E2E core flow'!$A$15:$A$1000&lt;&gt;"")*ISNUMBER(SEARCH('E2E core flow'!$A$15:$A$1000,$E187))*('E2E core flow'!$U$15:$U$1000&lt;&gt;""),"")))),"-"))</f>
        <v/>
      </c>
    </row>
    <row r="188" spans="7:19" x14ac:dyDescent="0.3">
      <c r="G188" s="68" t="str" cm="1">
        <f t="array" ref="G188">_xlfn.LET(_xlpm.ids,'E2E core flow'!$A$15:$A$1000,_xlpm.v,'E2E core flow'!$W$15:$W$1000,_xlpm.m,(_xlpm.ids&lt;&gt;"")*ISNUMBER(SEARCH(_xlpm.ids,$E188)),_xlpm.f,SUM(_xlpm.m*(_xlpm.v="Failed")),_xlpm.b,SUM(_xlpm.m*(_xlpm.v="Blocked")),_xlpm.nr,SUM(_xlpm.m*(_xlpm.v="Not Run")),_xlpm.cp,SUM(_xlpm.m*(_xlpm.v="Conditionally Passed")),_xlpm.p,SUM(_xlpm.m*(_xlpm.v="Passed")),IF(TRIM($A188)="","",IF(TRIM($E188)="","Pending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88" s="68" t="str">
        <f>IF(TRIM($A188)="","",IF($J188="Passed","",IF($J188="Passed with Known Issue","Known Issue",IF($J188="",IF(OR($H188&lt;&gt;"No",AND($F188&lt;&gt;"Medium",$F188&lt;&gt;"Low")),"Pending Result",""),IF(OR($H188&lt;&gt;"No",AND($F188&lt;&gt;"Medium",$F188&lt;&gt;"Low")),IF(COUNTIFS(Dashboard!$B$105:$B$124,$A188,Dashboard!$I$105:$I$124,"CAB")&gt;0,"Accepted (CF)","Blocking"),IF($J188="Failed","Deferrable","Carry Over"))))))</f>
        <v/>
      </c>
      <c r="M188" s="68" t="str">
        <f>IF(OR(TRIM($A188)="",TRIM($E188)=""),"",IFERROR(INDEX('E2E core flow'!$B$15:$B$1000,MATCH(1,INDEX(('E2E core flow'!$A$15:$A$1000&lt;&gt;"")*ISNUMBER(SEARCH('E2E core flow'!$A$15:$A$1000,$E188)),0),0))&amp;"","-"))</f>
        <v/>
      </c>
      <c r="N188" s="68" t="str">
        <f>IF(TRIM($A188)="","",IF($O188=0,IF(COUNTIFS('Card Test Cases'!$B$4:$B$1000,$A188,'Card Test Cases'!$A$4:$A$1000,"&lt;&gt;")&gt;0,"Out of Scope","No TC"),IF($Q188&gt;0,"Failed",IF(COUNTIFS('Card Test Cases'!$B$4:$B$1000,$A188,'Card Test Cases'!$A$4:$A$1000,"&lt;&gt;",'Card Test Cases'!$F$4:$F$1000,"Blocked")&gt;0,"Blocked",IF($R188&gt;0,"In Progress","Passed")))))</f>
        <v/>
      </c>
      <c r="O188" s="68" t="str">
        <f>IF(TRIM($A188)="","",COUNTIFS('Card Test Cases'!$B$4:$B$1000,$A188,'Card Test Cases'!$A$4:$A$1000,"&lt;&gt;",'Card Test Cases'!$F$4:$F$1000,"&lt;&gt;Out of Scope"))</f>
        <v/>
      </c>
      <c r="P188" s="68" t="str">
        <f>IF(TRIM($A188)="","",COUNTIFS('Card Test Cases'!$B$4:$B$1000,$A188,'Card Test Cases'!$A$4:$A$1000,"&lt;&gt;",'Card Test Cases'!$F$4:$F$1000,"Passed"))</f>
        <v/>
      </c>
      <c r="Q188" s="68" t="str">
        <f>IF(TRIM($A188)="","",COUNTIFS('Card Test Cases'!$B$4:$B$1000,$A188,'Card Test Cases'!$A$4:$A$1000,"&lt;&gt;",'Card Test Cases'!$F$4:$F$1000,"Failed"))</f>
        <v/>
      </c>
      <c r="R188" s="68" t="str">
        <f t="shared" si="2"/>
        <v/>
      </c>
      <c r="S188" s="68" t="str" cm="1">
        <f t="array" ref="S188">IF(TRIM($A188)="","",IFERROR(_xlfn.TEXTJOIN(", ",TRUE,_xlfn.UNIQUE(_xlfn.VSTACK(_xlfn._xlws.FILTER('Card Test Cases'!$G$4:$G$1000,('Card Test Cases'!$B$4:$B$1000=$A188)*('Card Test Cases'!$G$4:$G$1000&lt;&gt;""),""),_xlfn._xlws.FILTER('E2E core flow'!$U$15:$U$1000,('E2E core flow'!$A$15:$A$1000&lt;&gt;"")*ISNUMBER(SEARCH('E2E core flow'!$A$15:$A$1000,$E188))*('E2E core flow'!$U$15:$U$1000&lt;&gt;""),"")))),"-"))</f>
        <v/>
      </c>
    </row>
    <row r="189" spans="7:19" x14ac:dyDescent="0.3">
      <c r="G189" s="68" t="str" cm="1">
        <f t="array" ref="G189">_xlfn.LET(_xlpm.ids,'E2E core flow'!$A$15:$A$1000,_xlpm.v,'E2E core flow'!$W$15:$W$1000,_xlpm.m,(_xlpm.ids&lt;&gt;"")*ISNUMBER(SEARCH(_xlpm.ids,$E189)),_xlpm.f,SUM(_xlpm.m*(_xlpm.v="Failed")),_xlpm.b,SUM(_xlpm.m*(_xlpm.v="Blocked")),_xlpm.nr,SUM(_xlpm.m*(_xlpm.v="Not Run")),_xlpm.cp,SUM(_xlpm.m*(_xlpm.v="Conditionally Passed")),_xlpm.p,SUM(_xlpm.m*(_xlpm.v="Passed")),IF(TRIM($A189)="","",IF(TRIM($E189)="","Pending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89" s="68" t="str">
        <f>IF(TRIM($A189)="","",IF($J189="Passed","",IF($J189="Passed with Known Issue","Known Issue",IF($J189="",IF(OR($H189&lt;&gt;"No",AND($F189&lt;&gt;"Medium",$F189&lt;&gt;"Low")),"Pending Result",""),IF(OR($H189&lt;&gt;"No",AND($F189&lt;&gt;"Medium",$F189&lt;&gt;"Low")),IF(COUNTIFS(Dashboard!$B$105:$B$124,$A189,Dashboard!$I$105:$I$124,"CAB")&gt;0,"Accepted (CF)","Blocking"),IF($J189="Failed","Deferrable","Carry Over"))))))</f>
        <v/>
      </c>
      <c r="M189" s="68" t="str">
        <f>IF(OR(TRIM($A189)="",TRIM($E189)=""),"",IFERROR(INDEX('E2E core flow'!$B$15:$B$1000,MATCH(1,INDEX(('E2E core flow'!$A$15:$A$1000&lt;&gt;"")*ISNUMBER(SEARCH('E2E core flow'!$A$15:$A$1000,$E189)),0),0))&amp;"","-"))</f>
        <v/>
      </c>
      <c r="N189" s="68" t="str">
        <f>IF(TRIM($A189)="","",IF($O189=0,IF(COUNTIFS('Card Test Cases'!$B$4:$B$1000,$A189,'Card Test Cases'!$A$4:$A$1000,"&lt;&gt;")&gt;0,"Out of Scope","No TC"),IF($Q189&gt;0,"Failed",IF(COUNTIFS('Card Test Cases'!$B$4:$B$1000,$A189,'Card Test Cases'!$A$4:$A$1000,"&lt;&gt;",'Card Test Cases'!$F$4:$F$1000,"Blocked")&gt;0,"Blocked",IF($R189&gt;0,"In Progress","Passed")))))</f>
        <v/>
      </c>
      <c r="O189" s="68" t="str">
        <f>IF(TRIM($A189)="","",COUNTIFS('Card Test Cases'!$B$4:$B$1000,$A189,'Card Test Cases'!$A$4:$A$1000,"&lt;&gt;",'Card Test Cases'!$F$4:$F$1000,"&lt;&gt;Out of Scope"))</f>
        <v/>
      </c>
      <c r="P189" s="68" t="str">
        <f>IF(TRIM($A189)="","",COUNTIFS('Card Test Cases'!$B$4:$B$1000,$A189,'Card Test Cases'!$A$4:$A$1000,"&lt;&gt;",'Card Test Cases'!$F$4:$F$1000,"Passed"))</f>
        <v/>
      </c>
      <c r="Q189" s="68" t="str">
        <f>IF(TRIM($A189)="","",COUNTIFS('Card Test Cases'!$B$4:$B$1000,$A189,'Card Test Cases'!$A$4:$A$1000,"&lt;&gt;",'Card Test Cases'!$F$4:$F$1000,"Failed"))</f>
        <v/>
      </c>
      <c r="R189" s="68" t="str">
        <f t="shared" si="2"/>
        <v/>
      </c>
      <c r="S189" s="68" t="str" cm="1">
        <f t="array" ref="S189">IF(TRIM($A189)="","",IFERROR(_xlfn.TEXTJOIN(", ",TRUE,_xlfn.UNIQUE(_xlfn.VSTACK(_xlfn._xlws.FILTER('Card Test Cases'!$G$4:$G$1000,('Card Test Cases'!$B$4:$B$1000=$A189)*('Card Test Cases'!$G$4:$G$1000&lt;&gt;""),""),_xlfn._xlws.FILTER('E2E core flow'!$U$15:$U$1000,('E2E core flow'!$A$15:$A$1000&lt;&gt;"")*ISNUMBER(SEARCH('E2E core flow'!$A$15:$A$1000,$E189))*('E2E core flow'!$U$15:$U$1000&lt;&gt;""),"")))),"-"))</f>
        <v/>
      </c>
    </row>
    <row r="190" spans="7:19" x14ac:dyDescent="0.3">
      <c r="G190" s="68" t="str" cm="1">
        <f t="array" ref="G190">_xlfn.LET(_xlpm.ids,'E2E core flow'!$A$15:$A$1000,_xlpm.v,'E2E core flow'!$W$15:$W$1000,_xlpm.m,(_xlpm.ids&lt;&gt;"")*ISNUMBER(SEARCH(_xlpm.ids,$E190)),_xlpm.f,SUM(_xlpm.m*(_xlpm.v="Failed")),_xlpm.b,SUM(_xlpm.m*(_xlpm.v="Blocked")),_xlpm.nr,SUM(_xlpm.m*(_xlpm.v="Not Run")),_xlpm.cp,SUM(_xlpm.m*(_xlpm.v="Conditionally Passed")),_xlpm.p,SUM(_xlpm.m*(_xlpm.v="Passed")),IF(TRIM($A190)="","",IF(TRIM($E190)="","Pending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90" s="68" t="str">
        <f>IF(TRIM($A190)="","",IF($J190="Passed","",IF($J190="Passed with Known Issue","Known Issue",IF($J190="",IF(OR($H190&lt;&gt;"No",AND($F190&lt;&gt;"Medium",$F190&lt;&gt;"Low")),"Pending Result",""),IF(OR($H190&lt;&gt;"No",AND($F190&lt;&gt;"Medium",$F190&lt;&gt;"Low")),IF(COUNTIFS(Dashboard!$B$105:$B$124,$A190,Dashboard!$I$105:$I$124,"CAB")&gt;0,"Accepted (CF)","Blocking"),IF($J190="Failed","Deferrable","Carry Over"))))))</f>
        <v/>
      </c>
      <c r="M190" s="68" t="str">
        <f>IF(OR(TRIM($A190)="",TRIM($E190)=""),"",IFERROR(INDEX('E2E core flow'!$B$15:$B$1000,MATCH(1,INDEX(('E2E core flow'!$A$15:$A$1000&lt;&gt;"")*ISNUMBER(SEARCH('E2E core flow'!$A$15:$A$1000,$E190)),0),0))&amp;"","-"))</f>
        <v/>
      </c>
      <c r="N190" s="68" t="str">
        <f>IF(TRIM($A190)="","",IF($O190=0,IF(COUNTIFS('Card Test Cases'!$B$4:$B$1000,$A190,'Card Test Cases'!$A$4:$A$1000,"&lt;&gt;")&gt;0,"Out of Scope","No TC"),IF($Q190&gt;0,"Failed",IF(COUNTIFS('Card Test Cases'!$B$4:$B$1000,$A190,'Card Test Cases'!$A$4:$A$1000,"&lt;&gt;",'Card Test Cases'!$F$4:$F$1000,"Blocked")&gt;0,"Blocked",IF($R190&gt;0,"In Progress","Passed")))))</f>
        <v/>
      </c>
      <c r="O190" s="68" t="str">
        <f>IF(TRIM($A190)="","",COUNTIFS('Card Test Cases'!$B$4:$B$1000,$A190,'Card Test Cases'!$A$4:$A$1000,"&lt;&gt;",'Card Test Cases'!$F$4:$F$1000,"&lt;&gt;Out of Scope"))</f>
        <v/>
      </c>
      <c r="P190" s="68" t="str">
        <f>IF(TRIM($A190)="","",COUNTIFS('Card Test Cases'!$B$4:$B$1000,$A190,'Card Test Cases'!$A$4:$A$1000,"&lt;&gt;",'Card Test Cases'!$F$4:$F$1000,"Passed"))</f>
        <v/>
      </c>
      <c r="Q190" s="68" t="str">
        <f>IF(TRIM($A190)="","",COUNTIFS('Card Test Cases'!$B$4:$B$1000,$A190,'Card Test Cases'!$A$4:$A$1000,"&lt;&gt;",'Card Test Cases'!$F$4:$F$1000,"Failed"))</f>
        <v/>
      </c>
      <c r="R190" s="68" t="str">
        <f t="shared" si="2"/>
        <v/>
      </c>
      <c r="S190" s="68" t="str" cm="1">
        <f t="array" ref="S190">IF(TRIM($A190)="","",IFERROR(_xlfn.TEXTJOIN(", ",TRUE,_xlfn.UNIQUE(_xlfn.VSTACK(_xlfn._xlws.FILTER('Card Test Cases'!$G$4:$G$1000,('Card Test Cases'!$B$4:$B$1000=$A190)*('Card Test Cases'!$G$4:$G$1000&lt;&gt;""),""),_xlfn._xlws.FILTER('E2E core flow'!$U$15:$U$1000,('E2E core flow'!$A$15:$A$1000&lt;&gt;"")*ISNUMBER(SEARCH('E2E core flow'!$A$15:$A$1000,$E190))*('E2E core flow'!$U$15:$U$1000&lt;&gt;""),"")))),"-"))</f>
        <v/>
      </c>
    </row>
    <row r="191" spans="7:19" x14ac:dyDescent="0.3">
      <c r="G191" s="68" t="str" cm="1">
        <f t="array" ref="G191">_xlfn.LET(_xlpm.ids,'E2E core flow'!$A$15:$A$1000,_xlpm.v,'E2E core flow'!$W$15:$W$1000,_xlpm.m,(_xlpm.ids&lt;&gt;"")*ISNUMBER(SEARCH(_xlpm.ids,$E191)),_xlpm.f,SUM(_xlpm.m*(_xlpm.v="Failed")),_xlpm.b,SUM(_xlpm.m*(_xlpm.v="Blocked")),_xlpm.nr,SUM(_xlpm.m*(_xlpm.v="Not Run")),_xlpm.cp,SUM(_xlpm.m*(_xlpm.v="Conditionally Passed")),_xlpm.p,SUM(_xlpm.m*(_xlpm.v="Passed")),IF(TRIM($A191)="","",IF(TRIM($E191)="","Pending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91" s="68" t="str">
        <f>IF(TRIM($A191)="","",IF($J191="Passed","",IF($J191="Passed with Known Issue","Known Issue",IF($J191="",IF(OR($H191&lt;&gt;"No",AND($F191&lt;&gt;"Medium",$F191&lt;&gt;"Low")),"Pending Result",""),IF(OR($H191&lt;&gt;"No",AND($F191&lt;&gt;"Medium",$F191&lt;&gt;"Low")),IF(COUNTIFS(Dashboard!$B$105:$B$124,$A191,Dashboard!$I$105:$I$124,"CAB")&gt;0,"Accepted (CF)","Blocking"),IF($J191="Failed","Deferrable","Carry Over"))))))</f>
        <v/>
      </c>
      <c r="M191" s="68" t="str">
        <f>IF(OR(TRIM($A191)="",TRIM($E191)=""),"",IFERROR(INDEX('E2E core flow'!$B$15:$B$1000,MATCH(1,INDEX(('E2E core flow'!$A$15:$A$1000&lt;&gt;"")*ISNUMBER(SEARCH('E2E core flow'!$A$15:$A$1000,$E191)),0),0))&amp;"","-"))</f>
        <v/>
      </c>
      <c r="N191" s="68" t="str">
        <f>IF(TRIM($A191)="","",IF($O191=0,IF(COUNTIFS('Card Test Cases'!$B$4:$B$1000,$A191,'Card Test Cases'!$A$4:$A$1000,"&lt;&gt;")&gt;0,"Out of Scope","No TC"),IF($Q191&gt;0,"Failed",IF(COUNTIFS('Card Test Cases'!$B$4:$B$1000,$A191,'Card Test Cases'!$A$4:$A$1000,"&lt;&gt;",'Card Test Cases'!$F$4:$F$1000,"Blocked")&gt;0,"Blocked",IF($R191&gt;0,"In Progress","Passed")))))</f>
        <v/>
      </c>
      <c r="O191" s="68" t="str">
        <f>IF(TRIM($A191)="","",COUNTIFS('Card Test Cases'!$B$4:$B$1000,$A191,'Card Test Cases'!$A$4:$A$1000,"&lt;&gt;",'Card Test Cases'!$F$4:$F$1000,"&lt;&gt;Out of Scope"))</f>
        <v/>
      </c>
      <c r="P191" s="68" t="str">
        <f>IF(TRIM($A191)="","",COUNTIFS('Card Test Cases'!$B$4:$B$1000,$A191,'Card Test Cases'!$A$4:$A$1000,"&lt;&gt;",'Card Test Cases'!$F$4:$F$1000,"Passed"))</f>
        <v/>
      </c>
      <c r="Q191" s="68" t="str">
        <f>IF(TRIM($A191)="","",COUNTIFS('Card Test Cases'!$B$4:$B$1000,$A191,'Card Test Cases'!$A$4:$A$1000,"&lt;&gt;",'Card Test Cases'!$F$4:$F$1000,"Failed"))</f>
        <v/>
      </c>
      <c r="R191" s="68" t="str">
        <f t="shared" si="2"/>
        <v/>
      </c>
      <c r="S191" s="68" t="str" cm="1">
        <f t="array" ref="S191">IF(TRIM($A191)="","",IFERROR(_xlfn.TEXTJOIN(", ",TRUE,_xlfn.UNIQUE(_xlfn.VSTACK(_xlfn._xlws.FILTER('Card Test Cases'!$G$4:$G$1000,('Card Test Cases'!$B$4:$B$1000=$A191)*('Card Test Cases'!$G$4:$G$1000&lt;&gt;""),""),_xlfn._xlws.FILTER('E2E core flow'!$U$15:$U$1000,('E2E core flow'!$A$15:$A$1000&lt;&gt;"")*ISNUMBER(SEARCH('E2E core flow'!$A$15:$A$1000,$E191))*('E2E core flow'!$U$15:$U$1000&lt;&gt;""),"")))),"-"))</f>
        <v/>
      </c>
    </row>
    <row r="192" spans="7:19" x14ac:dyDescent="0.3">
      <c r="G192" s="68" t="str" cm="1">
        <f t="array" ref="G192">_xlfn.LET(_xlpm.ids,'E2E core flow'!$A$15:$A$1000,_xlpm.v,'E2E core flow'!$W$15:$W$1000,_xlpm.m,(_xlpm.ids&lt;&gt;"")*ISNUMBER(SEARCH(_xlpm.ids,$E192)),_xlpm.f,SUM(_xlpm.m*(_xlpm.v="Failed")),_xlpm.b,SUM(_xlpm.m*(_xlpm.v="Blocked")),_xlpm.nr,SUM(_xlpm.m*(_xlpm.v="Not Run")),_xlpm.cp,SUM(_xlpm.m*(_xlpm.v="Conditionally Passed")),_xlpm.p,SUM(_xlpm.m*(_xlpm.v="Passed")),IF(TRIM($A192)="","",IF(TRIM($E192)="","Pending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92" s="68" t="str">
        <f>IF(TRIM($A192)="","",IF($J192="Passed","",IF($J192="Passed with Known Issue","Known Issue",IF($J192="",IF(OR($H192&lt;&gt;"No",AND($F192&lt;&gt;"Medium",$F192&lt;&gt;"Low")),"Pending Result",""),IF(OR($H192&lt;&gt;"No",AND($F192&lt;&gt;"Medium",$F192&lt;&gt;"Low")),IF(COUNTIFS(Dashboard!$B$105:$B$124,$A192,Dashboard!$I$105:$I$124,"CAB")&gt;0,"Accepted (CF)","Blocking"),IF($J192="Failed","Deferrable","Carry Over"))))))</f>
        <v/>
      </c>
      <c r="M192" s="68" t="str">
        <f>IF(OR(TRIM($A192)="",TRIM($E192)=""),"",IFERROR(INDEX('E2E core flow'!$B$15:$B$1000,MATCH(1,INDEX(('E2E core flow'!$A$15:$A$1000&lt;&gt;"")*ISNUMBER(SEARCH('E2E core flow'!$A$15:$A$1000,$E192)),0),0))&amp;"","-"))</f>
        <v/>
      </c>
      <c r="N192" s="68" t="str">
        <f>IF(TRIM($A192)="","",IF($O192=0,IF(COUNTIFS('Card Test Cases'!$B$4:$B$1000,$A192,'Card Test Cases'!$A$4:$A$1000,"&lt;&gt;")&gt;0,"Out of Scope","No TC"),IF($Q192&gt;0,"Failed",IF(COUNTIFS('Card Test Cases'!$B$4:$B$1000,$A192,'Card Test Cases'!$A$4:$A$1000,"&lt;&gt;",'Card Test Cases'!$F$4:$F$1000,"Blocked")&gt;0,"Blocked",IF($R192&gt;0,"In Progress","Passed")))))</f>
        <v/>
      </c>
      <c r="O192" s="68" t="str">
        <f>IF(TRIM($A192)="","",COUNTIFS('Card Test Cases'!$B$4:$B$1000,$A192,'Card Test Cases'!$A$4:$A$1000,"&lt;&gt;",'Card Test Cases'!$F$4:$F$1000,"&lt;&gt;Out of Scope"))</f>
        <v/>
      </c>
      <c r="P192" s="68" t="str">
        <f>IF(TRIM($A192)="","",COUNTIFS('Card Test Cases'!$B$4:$B$1000,$A192,'Card Test Cases'!$A$4:$A$1000,"&lt;&gt;",'Card Test Cases'!$F$4:$F$1000,"Passed"))</f>
        <v/>
      </c>
      <c r="Q192" s="68" t="str">
        <f>IF(TRIM($A192)="","",COUNTIFS('Card Test Cases'!$B$4:$B$1000,$A192,'Card Test Cases'!$A$4:$A$1000,"&lt;&gt;",'Card Test Cases'!$F$4:$F$1000,"Failed"))</f>
        <v/>
      </c>
      <c r="R192" s="68" t="str">
        <f t="shared" si="2"/>
        <v/>
      </c>
      <c r="S192" s="68" t="str" cm="1">
        <f t="array" ref="S192">IF(TRIM($A192)="","",IFERROR(_xlfn.TEXTJOIN(", ",TRUE,_xlfn.UNIQUE(_xlfn.VSTACK(_xlfn._xlws.FILTER('Card Test Cases'!$G$4:$G$1000,('Card Test Cases'!$B$4:$B$1000=$A192)*('Card Test Cases'!$G$4:$G$1000&lt;&gt;""),""),_xlfn._xlws.FILTER('E2E core flow'!$U$15:$U$1000,('E2E core flow'!$A$15:$A$1000&lt;&gt;"")*ISNUMBER(SEARCH('E2E core flow'!$A$15:$A$1000,$E192))*('E2E core flow'!$U$15:$U$1000&lt;&gt;""),"")))),"-"))</f>
        <v/>
      </c>
    </row>
    <row r="193" spans="7:19" x14ac:dyDescent="0.3">
      <c r="G193" s="68" t="str" cm="1">
        <f t="array" ref="G193">_xlfn.LET(_xlpm.ids,'E2E core flow'!$A$15:$A$1000,_xlpm.v,'E2E core flow'!$W$15:$W$1000,_xlpm.m,(_xlpm.ids&lt;&gt;"")*ISNUMBER(SEARCH(_xlpm.ids,$E193)),_xlpm.f,SUM(_xlpm.m*(_xlpm.v="Failed")),_xlpm.b,SUM(_xlpm.m*(_xlpm.v="Blocked")),_xlpm.nr,SUM(_xlpm.m*(_xlpm.v="Not Run")),_xlpm.cp,SUM(_xlpm.m*(_xlpm.v="Conditionally Passed")),_xlpm.p,SUM(_xlpm.m*(_xlpm.v="Passed")),IF(TRIM($A193)="","",IF(TRIM($E193)="","Pending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93" s="68" t="str">
        <f>IF(TRIM($A193)="","",IF($J193="Passed","",IF($J193="Passed with Known Issue","Known Issue",IF($J193="",IF(OR($H193&lt;&gt;"No",AND($F193&lt;&gt;"Medium",$F193&lt;&gt;"Low")),"Pending Result",""),IF(OR($H193&lt;&gt;"No",AND($F193&lt;&gt;"Medium",$F193&lt;&gt;"Low")),IF(COUNTIFS(Dashboard!$B$105:$B$124,$A193,Dashboard!$I$105:$I$124,"CAB")&gt;0,"Accepted (CF)","Blocking"),IF($J193="Failed","Deferrable","Carry Over"))))))</f>
        <v/>
      </c>
      <c r="M193" s="68" t="str">
        <f>IF(OR(TRIM($A193)="",TRIM($E193)=""),"",IFERROR(INDEX('E2E core flow'!$B$15:$B$1000,MATCH(1,INDEX(('E2E core flow'!$A$15:$A$1000&lt;&gt;"")*ISNUMBER(SEARCH('E2E core flow'!$A$15:$A$1000,$E193)),0),0))&amp;"","-"))</f>
        <v/>
      </c>
      <c r="N193" s="68" t="str">
        <f>IF(TRIM($A193)="","",IF($O193=0,IF(COUNTIFS('Card Test Cases'!$B$4:$B$1000,$A193,'Card Test Cases'!$A$4:$A$1000,"&lt;&gt;")&gt;0,"Out of Scope","No TC"),IF($Q193&gt;0,"Failed",IF(COUNTIFS('Card Test Cases'!$B$4:$B$1000,$A193,'Card Test Cases'!$A$4:$A$1000,"&lt;&gt;",'Card Test Cases'!$F$4:$F$1000,"Blocked")&gt;0,"Blocked",IF($R193&gt;0,"In Progress","Passed")))))</f>
        <v/>
      </c>
      <c r="O193" s="68" t="str">
        <f>IF(TRIM($A193)="","",COUNTIFS('Card Test Cases'!$B$4:$B$1000,$A193,'Card Test Cases'!$A$4:$A$1000,"&lt;&gt;",'Card Test Cases'!$F$4:$F$1000,"&lt;&gt;Out of Scope"))</f>
        <v/>
      </c>
      <c r="P193" s="68" t="str">
        <f>IF(TRIM($A193)="","",COUNTIFS('Card Test Cases'!$B$4:$B$1000,$A193,'Card Test Cases'!$A$4:$A$1000,"&lt;&gt;",'Card Test Cases'!$F$4:$F$1000,"Passed"))</f>
        <v/>
      </c>
      <c r="Q193" s="68" t="str">
        <f>IF(TRIM($A193)="","",COUNTIFS('Card Test Cases'!$B$4:$B$1000,$A193,'Card Test Cases'!$A$4:$A$1000,"&lt;&gt;",'Card Test Cases'!$F$4:$F$1000,"Failed"))</f>
        <v/>
      </c>
      <c r="R193" s="68" t="str">
        <f t="shared" si="2"/>
        <v/>
      </c>
      <c r="S193" s="68" t="str" cm="1">
        <f t="array" ref="S193">IF(TRIM($A193)="","",IFERROR(_xlfn.TEXTJOIN(", ",TRUE,_xlfn.UNIQUE(_xlfn.VSTACK(_xlfn._xlws.FILTER('Card Test Cases'!$G$4:$G$1000,('Card Test Cases'!$B$4:$B$1000=$A193)*('Card Test Cases'!$G$4:$G$1000&lt;&gt;""),""),_xlfn._xlws.FILTER('E2E core flow'!$U$15:$U$1000,('E2E core flow'!$A$15:$A$1000&lt;&gt;"")*ISNUMBER(SEARCH('E2E core flow'!$A$15:$A$1000,$E193))*('E2E core flow'!$U$15:$U$1000&lt;&gt;""),"")))),"-"))</f>
        <v/>
      </c>
    </row>
    <row r="194" spans="7:19" x14ac:dyDescent="0.3">
      <c r="G194" s="68" t="str" cm="1">
        <f t="array" ref="G194">_xlfn.LET(_xlpm.ids,'E2E core flow'!$A$15:$A$1000,_xlpm.v,'E2E core flow'!$W$15:$W$1000,_xlpm.m,(_xlpm.ids&lt;&gt;"")*ISNUMBER(SEARCH(_xlpm.ids,$E194)),_xlpm.f,SUM(_xlpm.m*(_xlpm.v="Failed")),_xlpm.b,SUM(_xlpm.m*(_xlpm.v="Blocked")),_xlpm.nr,SUM(_xlpm.m*(_xlpm.v="Not Run")),_xlpm.cp,SUM(_xlpm.m*(_xlpm.v="Conditionally Passed")),_xlpm.p,SUM(_xlpm.m*(_xlpm.v="Passed")),IF(TRIM($A194)="","",IF(TRIM($E194)="","Pending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94" s="68" t="str">
        <f>IF(TRIM($A194)="","",IF($J194="Passed","",IF($J194="Passed with Known Issue","Known Issue",IF($J194="",IF(OR($H194&lt;&gt;"No",AND($F194&lt;&gt;"Medium",$F194&lt;&gt;"Low")),"Pending Result",""),IF(OR($H194&lt;&gt;"No",AND($F194&lt;&gt;"Medium",$F194&lt;&gt;"Low")),IF(COUNTIFS(Dashboard!$B$105:$B$124,$A194,Dashboard!$I$105:$I$124,"CAB")&gt;0,"Accepted (CF)","Blocking"),IF($J194="Failed","Deferrable","Carry Over"))))))</f>
        <v/>
      </c>
      <c r="M194" s="68" t="str">
        <f>IF(OR(TRIM($A194)="",TRIM($E194)=""),"",IFERROR(INDEX('E2E core flow'!$B$15:$B$1000,MATCH(1,INDEX(('E2E core flow'!$A$15:$A$1000&lt;&gt;"")*ISNUMBER(SEARCH('E2E core flow'!$A$15:$A$1000,$E194)),0),0))&amp;"","-"))</f>
        <v/>
      </c>
      <c r="N194" s="68" t="str">
        <f>IF(TRIM($A194)="","",IF($O194=0,IF(COUNTIFS('Card Test Cases'!$B$4:$B$1000,$A194,'Card Test Cases'!$A$4:$A$1000,"&lt;&gt;")&gt;0,"Out of Scope","No TC"),IF($Q194&gt;0,"Failed",IF(COUNTIFS('Card Test Cases'!$B$4:$B$1000,$A194,'Card Test Cases'!$A$4:$A$1000,"&lt;&gt;",'Card Test Cases'!$F$4:$F$1000,"Blocked")&gt;0,"Blocked",IF($R194&gt;0,"In Progress","Passed")))))</f>
        <v/>
      </c>
      <c r="O194" s="68" t="str">
        <f>IF(TRIM($A194)="","",COUNTIFS('Card Test Cases'!$B$4:$B$1000,$A194,'Card Test Cases'!$A$4:$A$1000,"&lt;&gt;",'Card Test Cases'!$F$4:$F$1000,"&lt;&gt;Out of Scope"))</f>
        <v/>
      </c>
      <c r="P194" s="68" t="str">
        <f>IF(TRIM($A194)="","",COUNTIFS('Card Test Cases'!$B$4:$B$1000,$A194,'Card Test Cases'!$A$4:$A$1000,"&lt;&gt;",'Card Test Cases'!$F$4:$F$1000,"Passed"))</f>
        <v/>
      </c>
      <c r="Q194" s="68" t="str">
        <f>IF(TRIM($A194)="","",COUNTIFS('Card Test Cases'!$B$4:$B$1000,$A194,'Card Test Cases'!$A$4:$A$1000,"&lt;&gt;",'Card Test Cases'!$F$4:$F$1000,"Failed"))</f>
        <v/>
      </c>
      <c r="R194" s="68" t="str">
        <f t="shared" si="2"/>
        <v/>
      </c>
      <c r="S194" s="68" t="str" cm="1">
        <f t="array" ref="S194">IF(TRIM($A194)="","",IFERROR(_xlfn.TEXTJOIN(", ",TRUE,_xlfn.UNIQUE(_xlfn.VSTACK(_xlfn._xlws.FILTER('Card Test Cases'!$G$4:$G$1000,('Card Test Cases'!$B$4:$B$1000=$A194)*('Card Test Cases'!$G$4:$G$1000&lt;&gt;""),""),_xlfn._xlws.FILTER('E2E core flow'!$U$15:$U$1000,('E2E core flow'!$A$15:$A$1000&lt;&gt;"")*ISNUMBER(SEARCH('E2E core flow'!$A$15:$A$1000,$E194))*('E2E core flow'!$U$15:$U$1000&lt;&gt;""),"")))),"-"))</f>
        <v/>
      </c>
    </row>
    <row r="195" spans="7:19" x14ac:dyDescent="0.3">
      <c r="G195" s="68" t="str" cm="1">
        <f t="array" ref="G195">_xlfn.LET(_xlpm.ids,'E2E core flow'!$A$15:$A$1000,_xlpm.v,'E2E core flow'!$W$15:$W$1000,_xlpm.m,(_xlpm.ids&lt;&gt;"")*ISNUMBER(SEARCH(_xlpm.ids,$E195)),_xlpm.f,SUM(_xlpm.m*(_xlpm.v="Failed")),_xlpm.b,SUM(_xlpm.m*(_xlpm.v="Blocked")),_xlpm.nr,SUM(_xlpm.m*(_xlpm.v="Not Run")),_xlpm.cp,SUM(_xlpm.m*(_xlpm.v="Conditionally Passed")),_xlpm.p,SUM(_xlpm.m*(_xlpm.v="Passed")),IF(TRIM($A195)="","",IF(TRIM($E195)="","Pending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95" s="68" t="str">
        <f>IF(TRIM($A195)="","",IF($J195="Passed","",IF($J195="Passed with Known Issue","Known Issue",IF($J195="",IF(OR($H195&lt;&gt;"No",AND($F195&lt;&gt;"Medium",$F195&lt;&gt;"Low")),"Pending Result",""),IF(OR($H195&lt;&gt;"No",AND($F195&lt;&gt;"Medium",$F195&lt;&gt;"Low")),IF(COUNTIFS(Dashboard!$B$105:$B$124,$A195,Dashboard!$I$105:$I$124,"CAB")&gt;0,"Accepted (CF)","Blocking"),IF($J195="Failed","Deferrable","Carry Over"))))))</f>
        <v/>
      </c>
      <c r="M195" s="68" t="str">
        <f>IF(OR(TRIM($A195)="",TRIM($E195)=""),"",IFERROR(INDEX('E2E core flow'!$B$15:$B$1000,MATCH(1,INDEX(('E2E core flow'!$A$15:$A$1000&lt;&gt;"")*ISNUMBER(SEARCH('E2E core flow'!$A$15:$A$1000,$E195)),0),0))&amp;"","-"))</f>
        <v/>
      </c>
      <c r="N195" s="68" t="str">
        <f>IF(TRIM($A195)="","",IF($O195=0,IF(COUNTIFS('Card Test Cases'!$B$4:$B$1000,$A195,'Card Test Cases'!$A$4:$A$1000,"&lt;&gt;")&gt;0,"Out of Scope","No TC"),IF($Q195&gt;0,"Failed",IF(COUNTIFS('Card Test Cases'!$B$4:$B$1000,$A195,'Card Test Cases'!$A$4:$A$1000,"&lt;&gt;",'Card Test Cases'!$F$4:$F$1000,"Blocked")&gt;0,"Blocked",IF($R195&gt;0,"In Progress","Passed")))))</f>
        <v/>
      </c>
      <c r="O195" s="68" t="str">
        <f>IF(TRIM($A195)="","",COUNTIFS('Card Test Cases'!$B$4:$B$1000,$A195,'Card Test Cases'!$A$4:$A$1000,"&lt;&gt;",'Card Test Cases'!$F$4:$F$1000,"&lt;&gt;Out of Scope"))</f>
        <v/>
      </c>
      <c r="P195" s="68" t="str">
        <f>IF(TRIM($A195)="","",COUNTIFS('Card Test Cases'!$B$4:$B$1000,$A195,'Card Test Cases'!$A$4:$A$1000,"&lt;&gt;",'Card Test Cases'!$F$4:$F$1000,"Passed"))</f>
        <v/>
      </c>
      <c r="Q195" s="68" t="str">
        <f>IF(TRIM($A195)="","",COUNTIFS('Card Test Cases'!$B$4:$B$1000,$A195,'Card Test Cases'!$A$4:$A$1000,"&lt;&gt;",'Card Test Cases'!$F$4:$F$1000,"Failed"))</f>
        <v/>
      </c>
      <c r="R195" s="68" t="str">
        <f t="shared" si="2"/>
        <v/>
      </c>
      <c r="S195" s="68" t="str" cm="1">
        <f t="array" ref="S195">IF(TRIM($A195)="","",IFERROR(_xlfn.TEXTJOIN(", ",TRUE,_xlfn.UNIQUE(_xlfn.VSTACK(_xlfn._xlws.FILTER('Card Test Cases'!$G$4:$G$1000,('Card Test Cases'!$B$4:$B$1000=$A195)*('Card Test Cases'!$G$4:$G$1000&lt;&gt;""),""),_xlfn._xlws.FILTER('E2E core flow'!$U$15:$U$1000,('E2E core flow'!$A$15:$A$1000&lt;&gt;"")*ISNUMBER(SEARCH('E2E core flow'!$A$15:$A$1000,$E195))*('E2E core flow'!$U$15:$U$1000&lt;&gt;""),"")))),"-"))</f>
        <v/>
      </c>
    </row>
    <row r="196" spans="7:19" x14ac:dyDescent="0.3">
      <c r="G196" s="68" t="str" cm="1">
        <f t="array" ref="G196">_xlfn.LET(_xlpm.ids,'E2E core flow'!$A$15:$A$1000,_xlpm.v,'E2E core flow'!$W$15:$W$1000,_xlpm.m,(_xlpm.ids&lt;&gt;"")*ISNUMBER(SEARCH(_xlpm.ids,$E196)),_xlpm.f,SUM(_xlpm.m*(_xlpm.v="Failed")),_xlpm.b,SUM(_xlpm.m*(_xlpm.v="Blocked")),_xlpm.nr,SUM(_xlpm.m*(_xlpm.v="Not Run")),_xlpm.cp,SUM(_xlpm.m*(_xlpm.v="Conditionally Passed")),_xlpm.p,SUM(_xlpm.m*(_xlpm.v="Passed")),IF(TRIM($A196)="","",IF(TRIM($E196)="","Pending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96" s="68" t="str">
        <f>IF(TRIM($A196)="","",IF($J196="Passed","",IF($J196="Passed with Known Issue","Known Issue",IF($J196="",IF(OR($H196&lt;&gt;"No",AND($F196&lt;&gt;"Medium",$F196&lt;&gt;"Low")),"Pending Result",""),IF(OR($H196&lt;&gt;"No",AND($F196&lt;&gt;"Medium",$F196&lt;&gt;"Low")),IF(COUNTIFS(Dashboard!$B$105:$B$124,$A196,Dashboard!$I$105:$I$124,"CAB")&gt;0,"Accepted (CF)","Blocking"),IF($J196="Failed","Deferrable","Carry Over"))))))</f>
        <v/>
      </c>
      <c r="M196" s="68" t="str">
        <f>IF(OR(TRIM($A196)="",TRIM($E196)=""),"",IFERROR(INDEX('E2E core flow'!$B$15:$B$1000,MATCH(1,INDEX(('E2E core flow'!$A$15:$A$1000&lt;&gt;"")*ISNUMBER(SEARCH('E2E core flow'!$A$15:$A$1000,$E196)),0),0))&amp;"","-"))</f>
        <v/>
      </c>
      <c r="N196" s="68" t="str">
        <f>IF(TRIM($A196)="","",IF($O196=0,IF(COUNTIFS('Card Test Cases'!$B$4:$B$1000,$A196,'Card Test Cases'!$A$4:$A$1000,"&lt;&gt;")&gt;0,"Out of Scope","No TC"),IF($Q196&gt;0,"Failed",IF(COUNTIFS('Card Test Cases'!$B$4:$B$1000,$A196,'Card Test Cases'!$A$4:$A$1000,"&lt;&gt;",'Card Test Cases'!$F$4:$F$1000,"Blocked")&gt;0,"Blocked",IF($R196&gt;0,"In Progress","Passed")))))</f>
        <v/>
      </c>
      <c r="O196" s="68" t="str">
        <f>IF(TRIM($A196)="","",COUNTIFS('Card Test Cases'!$B$4:$B$1000,$A196,'Card Test Cases'!$A$4:$A$1000,"&lt;&gt;",'Card Test Cases'!$F$4:$F$1000,"&lt;&gt;Out of Scope"))</f>
        <v/>
      </c>
      <c r="P196" s="68" t="str">
        <f>IF(TRIM($A196)="","",COUNTIFS('Card Test Cases'!$B$4:$B$1000,$A196,'Card Test Cases'!$A$4:$A$1000,"&lt;&gt;",'Card Test Cases'!$F$4:$F$1000,"Passed"))</f>
        <v/>
      </c>
      <c r="Q196" s="68" t="str">
        <f>IF(TRIM($A196)="","",COUNTIFS('Card Test Cases'!$B$4:$B$1000,$A196,'Card Test Cases'!$A$4:$A$1000,"&lt;&gt;",'Card Test Cases'!$F$4:$F$1000,"Failed"))</f>
        <v/>
      </c>
      <c r="R196" s="68" t="str">
        <f t="shared" ref="R196:R259" si="3">IF(TRIM($A196)="","",$O196-$P196-$Q196)</f>
        <v/>
      </c>
      <c r="S196" s="68" t="str" cm="1">
        <f t="array" ref="S196">IF(TRIM($A196)="","",IFERROR(_xlfn.TEXTJOIN(", ",TRUE,_xlfn.UNIQUE(_xlfn.VSTACK(_xlfn._xlws.FILTER('Card Test Cases'!$G$4:$G$1000,('Card Test Cases'!$B$4:$B$1000=$A196)*('Card Test Cases'!$G$4:$G$1000&lt;&gt;""),""),_xlfn._xlws.FILTER('E2E core flow'!$U$15:$U$1000,('E2E core flow'!$A$15:$A$1000&lt;&gt;"")*ISNUMBER(SEARCH('E2E core flow'!$A$15:$A$1000,$E196))*('E2E core flow'!$U$15:$U$1000&lt;&gt;""),"")))),"-"))</f>
        <v/>
      </c>
    </row>
    <row r="197" spans="7:19" x14ac:dyDescent="0.3">
      <c r="G197" s="68" t="str" cm="1">
        <f t="array" ref="G197">_xlfn.LET(_xlpm.ids,'E2E core flow'!$A$15:$A$1000,_xlpm.v,'E2E core flow'!$W$15:$W$1000,_xlpm.m,(_xlpm.ids&lt;&gt;"")*ISNUMBER(SEARCH(_xlpm.ids,$E197)),_xlpm.f,SUM(_xlpm.m*(_xlpm.v="Failed")),_xlpm.b,SUM(_xlpm.m*(_xlpm.v="Blocked")),_xlpm.nr,SUM(_xlpm.m*(_xlpm.v="Not Run")),_xlpm.cp,SUM(_xlpm.m*(_xlpm.v="Conditionally Passed")),_xlpm.p,SUM(_xlpm.m*(_xlpm.v="Passed")),IF(TRIM($A197)="","",IF(TRIM($E197)="","Pending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97" s="68" t="str">
        <f>IF(TRIM($A197)="","",IF($J197="Passed","",IF($J197="Passed with Known Issue","Known Issue",IF($J197="",IF(OR($H197&lt;&gt;"No",AND($F197&lt;&gt;"Medium",$F197&lt;&gt;"Low")),"Pending Result",""),IF(OR($H197&lt;&gt;"No",AND($F197&lt;&gt;"Medium",$F197&lt;&gt;"Low")),IF(COUNTIFS(Dashboard!$B$105:$B$124,$A197,Dashboard!$I$105:$I$124,"CAB")&gt;0,"Accepted (CF)","Blocking"),IF($J197="Failed","Deferrable","Carry Over"))))))</f>
        <v/>
      </c>
      <c r="M197" s="68" t="str">
        <f>IF(OR(TRIM($A197)="",TRIM($E197)=""),"",IFERROR(INDEX('E2E core flow'!$B$15:$B$1000,MATCH(1,INDEX(('E2E core flow'!$A$15:$A$1000&lt;&gt;"")*ISNUMBER(SEARCH('E2E core flow'!$A$15:$A$1000,$E197)),0),0))&amp;"","-"))</f>
        <v/>
      </c>
      <c r="N197" s="68" t="str">
        <f>IF(TRIM($A197)="","",IF($O197=0,IF(COUNTIFS('Card Test Cases'!$B$4:$B$1000,$A197,'Card Test Cases'!$A$4:$A$1000,"&lt;&gt;")&gt;0,"Out of Scope","No TC"),IF($Q197&gt;0,"Failed",IF(COUNTIFS('Card Test Cases'!$B$4:$B$1000,$A197,'Card Test Cases'!$A$4:$A$1000,"&lt;&gt;",'Card Test Cases'!$F$4:$F$1000,"Blocked")&gt;0,"Blocked",IF($R197&gt;0,"In Progress","Passed")))))</f>
        <v/>
      </c>
      <c r="O197" s="68" t="str">
        <f>IF(TRIM($A197)="","",COUNTIFS('Card Test Cases'!$B$4:$B$1000,$A197,'Card Test Cases'!$A$4:$A$1000,"&lt;&gt;",'Card Test Cases'!$F$4:$F$1000,"&lt;&gt;Out of Scope"))</f>
        <v/>
      </c>
      <c r="P197" s="68" t="str">
        <f>IF(TRIM($A197)="","",COUNTIFS('Card Test Cases'!$B$4:$B$1000,$A197,'Card Test Cases'!$A$4:$A$1000,"&lt;&gt;",'Card Test Cases'!$F$4:$F$1000,"Passed"))</f>
        <v/>
      </c>
      <c r="Q197" s="68" t="str">
        <f>IF(TRIM($A197)="","",COUNTIFS('Card Test Cases'!$B$4:$B$1000,$A197,'Card Test Cases'!$A$4:$A$1000,"&lt;&gt;",'Card Test Cases'!$F$4:$F$1000,"Failed"))</f>
        <v/>
      </c>
      <c r="R197" s="68" t="str">
        <f t="shared" si="3"/>
        <v/>
      </c>
      <c r="S197" s="68" t="str" cm="1">
        <f t="array" ref="S197">IF(TRIM($A197)="","",IFERROR(_xlfn.TEXTJOIN(", ",TRUE,_xlfn.UNIQUE(_xlfn.VSTACK(_xlfn._xlws.FILTER('Card Test Cases'!$G$4:$G$1000,('Card Test Cases'!$B$4:$B$1000=$A197)*('Card Test Cases'!$G$4:$G$1000&lt;&gt;""),""),_xlfn._xlws.FILTER('E2E core flow'!$U$15:$U$1000,('E2E core flow'!$A$15:$A$1000&lt;&gt;"")*ISNUMBER(SEARCH('E2E core flow'!$A$15:$A$1000,$E197))*('E2E core flow'!$U$15:$U$1000&lt;&gt;""),"")))),"-"))</f>
        <v/>
      </c>
    </row>
    <row r="198" spans="7:19" x14ac:dyDescent="0.3">
      <c r="G198" s="68" t="str" cm="1">
        <f t="array" ref="G198">_xlfn.LET(_xlpm.ids,'E2E core flow'!$A$15:$A$1000,_xlpm.v,'E2E core flow'!$W$15:$W$1000,_xlpm.m,(_xlpm.ids&lt;&gt;"")*ISNUMBER(SEARCH(_xlpm.ids,$E198)),_xlpm.f,SUM(_xlpm.m*(_xlpm.v="Failed")),_xlpm.b,SUM(_xlpm.m*(_xlpm.v="Blocked")),_xlpm.nr,SUM(_xlpm.m*(_xlpm.v="Not Run")),_xlpm.cp,SUM(_xlpm.m*(_xlpm.v="Conditionally Passed")),_xlpm.p,SUM(_xlpm.m*(_xlpm.v="Passed")),IF(TRIM($A198)="","",IF(TRIM($E198)="","Pending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98" s="68" t="str">
        <f>IF(TRIM($A198)="","",IF($J198="Passed","",IF($J198="Passed with Known Issue","Known Issue",IF($J198="",IF(OR($H198&lt;&gt;"No",AND($F198&lt;&gt;"Medium",$F198&lt;&gt;"Low")),"Pending Result",""),IF(OR($H198&lt;&gt;"No",AND($F198&lt;&gt;"Medium",$F198&lt;&gt;"Low")),IF(COUNTIFS(Dashboard!$B$105:$B$124,$A198,Dashboard!$I$105:$I$124,"CAB")&gt;0,"Accepted (CF)","Blocking"),IF($J198="Failed","Deferrable","Carry Over"))))))</f>
        <v/>
      </c>
      <c r="M198" s="68" t="str">
        <f>IF(OR(TRIM($A198)="",TRIM($E198)=""),"",IFERROR(INDEX('E2E core flow'!$B$15:$B$1000,MATCH(1,INDEX(('E2E core flow'!$A$15:$A$1000&lt;&gt;"")*ISNUMBER(SEARCH('E2E core flow'!$A$15:$A$1000,$E198)),0),0))&amp;"","-"))</f>
        <v/>
      </c>
      <c r="N198" s="68" t="str">
        <f>IF(TRIM($A198)="","",IF($O198=0,IF(COUNTIFS('Card Test Cases'!$B$4:$B$1000,$A198,'Card Test Cases'!$A$4:$A$1000,"&lt;&gt;")&gt;0,"Out of Scope","No TC"),IF($Q198&gt;0,"Failed",IF(COUNTIFS('Card Test Cases'!$B$4:$B$1000,$A198,'Card Test Cases'!$A$4:$A$1000,"&lt;&gt;",'Card Test Cases'!$F$4:$F$1000,"Blocked")&gt;0,"Blocked",IF($R198&gt;0,"In Progress","Passed")))))</f>
        <v/>
      </c>
      <c r="O198" s="68" t="str">
        <f>IF(TRIM($A198)="","",COUNTIFS('Card Test Cases'!$B$4:$B$1000,$A198,'Card Test Cases'!$A$4:$A$1000,"&lt;&gt;",'Card Test Cases'!$F$4:$F$1000,"&lt;&gt;Out of Scope"))</f>
        <v/>
      </c>
      <c r="P198" s="68" t="str">
        <f>IF(TRIM($A198)="","",COUNTIFS('Card Test Cases'!$B$4:$B$1000,$A198,'Card Test Cases'!$A$4:$A$1000,"&lt;&gt;",'Card Test Cases'!$F$4:$F$1000,"Passed"))</f>
        <v/>
      </c>
      <c r="Q198" s="68" t="str">
        <f>IF(TRIM($A198)="","",COUNTIFS('Card Test Cases'!$B$4:$B$1000,$A198,'Card Test Cases'!$A$4:$A$1000,"&lt;&gt;",'Card Test Cases'!$F$4:$F$1000,"Failed"))</f>
        <v/>
      </c>
      <c r="R198" s="68" t="str">
        <f t="shared" si="3"/>
        <v/>
      </c>
      <c r="S198" s="68" t="str" cm="1">
        <f t="array" ref="S198">IF(TRIM($A198)="","",IFERROR(_xlfn.TEXTJOIN(", ",TRUE,_xlfn.UNIQUE(_xlfn.VSTACK(_xlfn._xlws.FILTER('Card Test Cases'!$G$4:$G$1000,('Card Test Cases'!$B$4:$B$1000=$A198)*('Card Test Cases'!$G$4:$G$1000&lt;&gt;""),""),_xlfn._xlws.FILTER('E2E core flow'!$U$15:$U$1000,('E2E core flow'!$A$15:$A$1000&lt;&gt;"")*ISNUMBER(SEARCH('E2E core flow'!$A$15:$A$1000,$E198))*('E2E core flow'!$U$15:$U$1000&lt;&gt;""),"")))),"-"))</f>
        <v/>
      </c>
    </row>
    <row r="199" spans="7:19" x14ac:dyDescent="0.3">
      <c r="G199" s="68" t="str" cm="1">
        <f t="array" ref="G199">_xlfn.LET(_xlpm.ids,'E2E core flow'!$A$15:$A$1000,_xlpm.v,'E2E core flow'!$W$15:$W$1000,_xlpm.m,(_xlpm.ids&lt;&gt;"")*ISNUMBER(SEARCH(_xlpm.ids,$E199)),_xlpm.f,SUM(_xlpm.m*(_xlpm.v="Failed")),_xlpm.b,SUM(_xlpm.m*(_xlpm.v="Blocked")),_xlpm.nr,SUM(_xlpm.m*(_xlpm.v="Not Run")),_xlpm.cp,SUM(_xlpm.m*(_xlpm.v="Conditionally Passed")),_xlpm.p,SUM(_xlpm.m*(_xlpm.v="Passed")),IF(TRIM($A199)="","",IF(TRIM($E199)="","Pending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99" s="68" t="str">
        <f>IF(TRIM($A199)="","",IF($J199="Passed","",IF($J199="Passed with Known Issue","Known Issue",IF($J199="",IF(OR($H199&lt;&gt;"No",AND($F199&lt;&gt;"Medium",$F199&lt;&gt;"Low")),"Pending Result",""),IF(OR($H199&lt;&gt;"No",AND($F199&lt;&gt;"Medium",$F199&lt;&gt;"Low")),IF(COUNTIFS(Dashboard!$B$105:$B$124,$A199,Dashboard!$I$105:$I$124,"CAB")&gt;0,"Accepted (CF)","Blocking"),IF($J199="Failed","Deferrable","Carry Over"))))))</f>
        <v/>
      </c>
      <c r="M199" s="68" t="str">
        <f>IF(OR(TRIM($A199)="",TRIM($E199)=""),"",IFERROR(INDEX('E2E core flow'!$B$15:$B$1000,MATCH(1,INDEX(('E2E core flow'!$A$15:$A$1000&lt;&gt;"")*ISNUMBER(SEARCH('E2E core flow'!$A$15:$A$1000,$E199)),0),0))&amp;"","-"))</f>
        <v/>
      </c>
      <c r="N199" s="68" t="str">
        <f>IF(TRIM($A199)="","",IF($O199=0,IF(COUNTIFS('Card Test Cases'!$B$4:$B$1000,$A199,'Card Test Cases'!$A$4:$A$1000,"&lt;&gt;")&gt;0,"Out of Scope","No TC"),IF($Q199&gt;0,"Failed",IF(COUNTIFS('Card Test Cases'!$B$4:$B$1000,$A199,'Card Test Cases'!$A$4:$A$1000,"&lt;&gt;",'Card Test Cases'!$F$4:$F$1000,"Blocked")&gt;0,"Blocked",IF($R199&gt;0,"In Progress","Passed")))))</f>
        <v/>
      </c>
      <c r="O199" s="68" t="str">
        <f>IF(TRIM($A199)="","",COUNTIFS('Card Test Cases'!$B$4:$B$1000,$A199,'Card Test Cases'!$A$4:$A$1000,"&lt;&gt;",'Card Test Cases'!$F$4:$F$1000,"&lt;&gt;Out of Scope"))</f>
        <v/>
      </c>
      <c r="P199" s="68" t="str">
        <f>IF(TRIM($A199)="","",COUNTIFS('Card Test Cases'!$B$4:$B$1000,$A199,'Card Test Cases'!$A$4:$A$1000,"&lt;&gt;",'Card Test Cases'!$F$4:$F$1000,"Passed"))</f>
        <v/>
      </c>
      <c r="Q199" s="68" t="str">
        <f>IF(TRIM($A199)="","",COUNTIFS('Card Test Cases'!$B$4:$B$1000,$A199,'Card Test Cases'!$A$4:$A$1000,"&lt;&gt;",'Card Test Cases'!$F$4:$F$1000,"Failed"))</f>
        <v/>
      </c>
      <c r="R199" s="68" t="str">
        <f t="shared" si="3"/>
        <v/>
      </c>
      <c r="S199" s="68" t="str" cm="1">
        <f t="array" ref="S199">IF(TRIM($A199)="","",IFERROR(_xlfn.TEXTJOIN(", ",TRUE,_xlfn.UNIQUE(_xlfn.VSTACK(_xlfn._xlws.FILTER('Card Test Cases'!$G$4:$G$1000,('Card Test Cases'!$B$4:$B$1000=$A199)*('Card Test Cases'!$G$4:$G$1000&lt;&gt;""),""),_xlfn._xlws.FILTER('E2E core flow'!$U$15:$U$1000,('E2E core flow'!$A$15:$A$1000&lt;&gt;"")*ISNUMBER(SEARCH('E2E core flow'!$A$15:$A$1000,$E199))*('E2E core flow'!$U$15:$U$1000&lt;&gt;""),"")))),"-"))</f>
        <v/>
      </c>
    </row>
    <row r="200" spans="7:19" x14ac:dyDescent="0.3">
      <c r="G200" s="68" t="str" cm="1">
        <f t="array" ref="G200">_xlfn.LET(_xlpm.ids,'E2E core flow'!$A$15:$A$1000,_xlpm.v,'E2E core flow'!$W$15:$W$1000,_xlpm.m,(_xlpm.ids&lt;&gt;"")*ISNUMBER(SEARCH(_xlpm.ids,$E200)),_xlpm.f,SUM(_xlpm.m*(_xlpm.v="Failed")),_xlpm.b,SUM(_xlpm.m*(_xlpm.v="Blocked")),_xlpm.nr,SUM(_xlpm.m*(_xlpm.v="Not Run")),_xlpm.cp,SUM(_xlpm.m*(_xlpm.v="Conditionally Passed")),_xlpm.p,SUM(_xlpm.m*(_xlpm.v="Passed")),IF(TRIM($A200)="","",IF(TRIM($E200)="","Pending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00" s="68" t="str">
        <f>IF(TRIM($A200)="","",IF($J200="Passed","",IF($J200="Passed with Known Issue","Known Issue",IF($J200="",IF(OR($H200&lt;&gt;"No",AND($F200&lt;&gt;"Medium",$F200&lt;&gt;"Low")),"Pending Result",""),IF(OR($H200&lt;&gt;"No",AND($F200&lt;&gt;"Medium",$F200&lt;&gt;"Low")),IF(COUNTIFS(Dashboard!$B$105:$B$124,$A200,Dashboard!$I$105:$I$124,"CAB")&gt;0,"Accepted (CF)","Blocking"),IF($J200="Failed","Deferrable","Carry Over"))))))</f>
        <v/>
      </c>
      <c r="M200" s="68" t="str">
        <f>IF(OR(TRIM($A200)="",TRIM($E200)=""),"",IFERROR(INDEX('E2E core flow'!$B$15:$B$1000,MATCH(1,INDEX(('E2E core flow'!$A$15:$A$1000&lt;&gt;"")*ISNUMBER(SEARCH('E2E core flow'!$A$15:$A$1000,$E200)),0),0))&amp;"","-"))</f>
        <v/>
      </c>
      <c r="N200" s="68" t="str">
        <f>IF(TRIM($A200)="","",IF($O200=0,IF(COUNTIFS('Card Test Cases'!$B$4:$B$1000,$A200,'Card Test Cases'!$A$4:$A$1000,"&lt;&gt;")&gt;0,"Out of Scope","No TC"),IF($Q200&gt;0,"Failed",IF(COUNTIFS('Card Test Cases'!$B$4:$B$1000,$A200,'Card Test Cases'!$A$4:$A$1000,"&lt;&gt;",'Card Test Cases'!$F$4:$F$1000,"Blocked")&gt;0,"Blocked",IF($R200&gt;0,"In Progress","Passed")))))</f>
        <v/>
      </c>
      <c r="O200" s="68" t="str">
        <f>IF(TRIM($A200)="","",COUNTIFS('Card Test Cases'!$B$4:$B$1000,$A200,'Card Test Cases'!$A$4:$A$1000,"&lt;&gt;",'Card Test Cases'!$F$4:$F$1000,"&lt;&gt;Out of Scope"))</f>
        <v/>
      </c>
      <c r="P200" s="68" t="str">
        <f>IF(TRIM($A200)="","",COUNTIFS('Card Test Cases'!$B$4:$B$1000,$A200,'Card Test Cases'!$A$4:$A$1000,"&lt;&gt;",'Card Test Cases'!$F$4:$F$1000,"Passed"))</f>
        <v/>
      </c>
      <c r="Q200" s="68" t="str">
        <f>IF(TRIM($A200)="","",COUNTIFS('Card Test Cases'!$B$4:$B$1000,$A200,'Card Test Cases'!$A$4:$A$1000,"&lt;&gt;",'Card Test Cases'!$F$4:$F$1000,"Failed"))</f>
        <v/>
      </c>
      <c r="R200" s="68" t="str">
        <f t="shared" si="3"/>
        <v/>
      </c>
      <c r="S200" s="68" t="str" cm="1">
        <f t="array" ref="S200">IF(TRIM($A200)="","",IFERROR(_xlfn.TEXTJOIN(", ",TRUE,_xlfn.UNIQUE(_xlfn.VSTACK(_xlfn._xlws.FILTER('Card Test Cases'!$G$4:$G$1000,('Card Test Cases'!$B$4:$B$1000=$A200)*('Card Test Cases'!$G$4:$G$1000&lt;&gt;""),""),_xlfn._xlws.FILTER('E2E core flow'!$U$15:$U$1000,('E2E core flow'!$A$15:$A$1000&lt;&gt;"")*ISNUMBER(SEARCH('E2E core flow'!$A$15:$A$1000,$E200))*('E2E core flow'!$U$15:$U$1000&lt;&gt;""),"")))),"-"))</f>
        <v/>
      </c>
    </row>
    <row r="201" spans="7:19" x14ac:dyDescent="0.3">
      <c r="G201" s="68" t="str" cm="1">
        <f t="array" ref="G201">_xlfn.LET(_xlpm.ids,'E2E core flow'!$A$15:$A$1000,_xlpm.v,'E2E core flow'!$W$15:$W$1000,_xlpm.m,(_xlpm.ids&lt;&gt;"")*ISNUMBER(SEARCH(_xlpm.ids,$E201)),_xlpm.f,SUM(_xlpm.m*(_xlpm.v="Failed")),_xlpm.b,SUM(_xlpm.m*(_xlpm.v="Blocked")),_xlpm.nr,SUM(_xlpm.m*(_xlpm.v="Not Run")),_xlpm.cp,SUM(_xlpm.m*(_xlpm.v="Conditionally Passed")),_xlpm.p,SUM(_xlpm.m*(_xlpm.v="Passed")),IF(TRIM($A201)="","",IF(TRIM($E201)="","Pending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01" s="68" t="str">
        <f>IF(TRIM($A201)="","",IF($J201="Passed","",IF($J201="Passed with Known Issue","Known Issue",IF($J201="",IF(OR($H201&lt;&gt;"No",AND($F201&lt;&gt;"Medium",$F201&lt;&gt;"Low")),"Pending Result",""),IF(OR($H201&lt;&gt;"No",AND($F201&lt;&gt;"Medium",$F201&lt;&gt;"Low")),IF(COUNTIFS(Dashboard!$B$105:$B$124,$A201,Dashboard!$I$105:$I$124,"CAB")&gt;0,"Accepted (CF)","Blocking"),IF($J201="Failed","Deferrable","Carry Over"))))))</f>
        <v/>
      </c>
      <c r="M201" s="68" t="str">
        <f>IF(OR(TRIM($A201)="",TRIM($E201)=""),"",IFERROR(INDEX('E2E core flow'!$B$15:$B$1000,MATCH(1,INDEX(('E2E core flow'!$A$15:$A$1000&lt;&gt;"")*ISNUMBER(SEARCH('E2E core flow'!$A$15:$A$1000,$E201)),0),0))&amp;"","-"))</f>
        <v/>
      </c>
      <c r="N201" s="68" t="str">
        <f>IF(TRIM($A201)="","",IF($O201=0,IF(COUNTIFS('Card Test Cases'!$B$4:$B$1000,$A201,'Card Test Cases'!$A$4:$A$1000,"&lt;&gt;")&gt;0,"Out of Scope","No TC"),IF($Q201&gt;0,"Failed",IF(COUNTIFS('Card Test Cases'!$B$4:$B$1000,$A201,'Card Test Cases'!$A$4:$A$1000,"&lt;&gt;",'Card Test Cases'!$F$4:$F$1000,"Blocked")&gt;0,"Blocked",IF($R201&gt;0,"In Progress","Passed")))))</f>
        <v/>
      </c>
      <c r="O201" s="68" t="str">
        <f>IF(TRIM($A201)="","",COUNTIFS('Card Test Cases'!$B$4:$B$1000,$A201,'Card Test Cases'!$A$4:$A$1000,"&lt;&gt;",'Card Test Cases'!$F$4:$F$1000,"&lt;&gt;Out of Scope"))</f>
        <v/>
      </c>
      <c r="P201" s="68" t="str">
        <f>IF(TRIM($A201)="","",COUNTIFS('Card Test Cases'!$B$4:$B$1000,$A201,'Card Test Cases'!$A$4:$A$1000,"&lt;&gt;",'Card Test Cases'!$F$4:$F$1000,"Passed"))</f>
        <v/>
      </c>
      <c r="Q201" s="68" t="str">
        <f>IF(TRIM($A201)="","",COUNTIFS('Card Test Cases'!$B$4:$B$1000,$A201,'Card Test Cases'!$A$4:$A$1000,"&lt;&gt;",'Card Test Cases'!$F$4:$F$1000,"Failed"))</f>
        <v/>
      </c>
      <c r="R201" s="68" t="str">
        <f t="shared" si="3"/>
        <v/>
      </c>
      <c r="S201" s="68" t="str" cm="1">
        <f t="array" ref="S201">IF(TRIM($A201)="","",IFERROR(_xlfn.TEXTJOIN(", ",TRUE,_xlfn.UNIQUE(_xlfn.VSTACK(_xlfn._xlws.FILTER('Card Test Cases'!$G$4:$G$1000,('Card Test Cases'!$B$4:$B$1000=$A201)*('Card Test Cases'!$G$4:$G$1000&lt;&gt;""),""),_xlfn._xlws.FILTER('E2E core flow'!$U$15:$U$1000,('E2E core flow'!$A$15:$A$1000&lt;&gt;"")*ISNUMBER(SEARCH('E2E core flow'!$A$15:$A$1000,$E201))*('E2E core flow'!$U$15:$U$1000&lt;&gt;""),"")))),"-"))</f>
        <v/>
      </c>
    </row>
    <row r="202" spans="7:19" x14ac:dyDescent="0.3">
      <c r="G202" s="68" t="str" cm="1">
        <f t="array" ref="G202">_xlfn.LET(_xlpm.ids,'E2E core flow'!$A$15:$A$1000,_xlpm.v,'E2E core flow'!$W$15:$W$1000,_xlpm.m,(_xlpm.ids&lt;&gt;"")*ISNUMBER(SEARCH(_xlpm.ids,$E202)),_xlpm.f,SUM(_xlpm.m*(_xlpm.v="Failed")),_xlpm.b,SUM(_xlpm.m*(_xlpm.v="Blocked")),_xlpm.nr,SUM(_xlpm.m*(_xlpm.v="Not Run")),_xlpm.cp,SUM(_xlpm.m*(_xlpm.v="Conditionally Passed")),_xlpm.p,SUM(_xlpm.m*(_xlpm.v="Passed")),IF(TRIM($A202)="","",IF(TRIM($E202)="","Pending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02" s="68" t="str">
        <f>IF(TRIM($A202)="","",IF($J202="Passed","",IF($J202="Passed with Known Issue","Known Issue",IF($J202="",IF(OR($H202&lt;&gt;"No",AND($F202&lt;&gt;"Medium",$F202&lt;&gt;"Low")),"Pending Result",""),IF(OR($H202&lt;&gt;"No",AND($F202&lt;&gt;"Medium",$F202&lt;&gt;"Low")),IF(COUNTIFS(Dashboard!$B$105:$B$124,$A202,Dashboard!$I$105:$I$124,"CAB")&gt;0,"Accepted (CF)","Blocking"),IF($J202="Failed","Deferrable","Carry Over"))))))</f>
        <v/>
      </c>
      <c r="M202" s="68" t="str">
        <f>IF(OR(TRIM($A202)="",TRIM($E202)=""),"",IFERROR(INDEX('E2E core flow'!$B$15:$B$1000,MATCH(1,INDEX(('E2E core flow'!$A$15:$A$1000&lt;&gt;"")*ISNUMBER(SEARCH('E2E core flow'!$A$15:$A$1000,$E202)),0),0))&amp;"","-"))</f>
        <v/>
      </c>
      <c r="N202" s="68" t="str">
        <f>IF(TRIM($A202)="","",IF($O202=0,IF(COUNTIFS('Card Test Cases'!$B$4:$B$1000,$A202,'Card Test Cases'!$A$4:$A$1000,"&lt;&gt;")&gt;0,"Out of Scope","No TC"),IF($Q202&gt;0,"Failed",IF(COUNTIFS('Card Test Cases'!$B$4:$B$1000,$A202,'Card Test Cases'!$A$4:$A$1000,"&lt;&gt;",'Card Test Cases'!$F$4:$F$1000,"Blocked")&gt;0,"Blocked",IF($R202&gt;0,"In Progress","Passed")))))</f>
        <v/>
      </c>
      <c r="O202" s="68" t="str">
        <f>IF(TRIM($A202)="","",COUNTIFS('Card Test Cases'!$B$4:$B$1000,$A202,'Card Test Cases'!$A$4:$A$1000,"&lt;&gt;",'Card Test Cases'!$F$4:$F$1000,"&lt;&gt;Out of Scope"))</f>
        <v/>
      </c>
      <c r="P202" s="68" t="str">
        <f>IF(TRIM($A202)="","",COUNTIFS('Card Test Cases'!$B$4:$B$1000,$A202,'Card Test Cases'!$A$4:$A$1000,"&lt;&gt;",'Card Test Cases'!$F$4:$F$1000,"Passed"))</f>
        <v/>
      </c>
      <c r="Q202" s="68" t="str">
        <f>IF(TRIM($A202)="","",COUNTIFS('Card Test Cases'!$B$4:$B$1000,$A202,'Card Test Cases'!$A$4:$A$1000,"&lt;&gt;",'Card Test Cases'!$F$4:$F$1000,"Failed"))</f>
        <v/>
      </c>
      <c r="R202" s="68" t="str">
        <f t="shared" si="3"/>
        <v/>
      </c>
      <c r="S202" s="68" t="str" cm="1">
        <f t="array" ref="S202">IF(TRIM($A202)="","",IFERROR(_xlfn.TEXTJOIN(", ",TRUE,_xlfn.UNIQUE(_xlfn.VSTACK(_xlfn._xlws.FILTER('Card Test Cases'!$G$4:$G$1000,('Card Test Cases'!$B$4:$B$1000=$A202)*('Card Test Cases'!$G$4:$G$1000&lt;&gt;""),""),_xlfn._xlws.FILTER('E2E core flow'!$U$15:$U$1000,('E2E core flow'!$A$15:$A$1000&lt;&gt;"")*ISNUMBER(SEARCH('E2E core flow'!$A$15:$A$1000,$E202))*('E2E core flow'!$U$15:$U$1000&lt;&gt;""),"")))),"-"))</f>
        <v/>
      </c>
    </row>
    <row r="203" spans="7:19" x14ac:dyDescent="0.3">
      <c r="G203" s="68" t="str" cm="1">
        <f t="array" ref="G203">_xlfn.LET(_xlpm.ids,'E2E core flow'!$A$15:$A$1000,_xlpm.v,'E2E core flow'!$W$15:$W$1000,_xlpm.m,(_xlpm.ids&lt;&gt;"")*ISNUMBER(SEARCH(_xlpm.ids,$E203)),_xlpm.f,SUM(_xlpm.m*(_xlpm.v="Failed")),_xlpm.b,SUM(_xlpm.m*(_xlpm.v="Blocked")),_xlpm.nr,SUM(_xlpm.m*(_xlpm.v="Not Run")),_xlpm.cp,SUM(_xlpm.m*(_xlpm.v="Conditionally Passed")),_xlpm.p,SUM(_xlpm.m*(_xlpm.v="Passed")),IF(TRIM($A203)="","",IF(TRIM($E203)="","Pending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03" s="68" t="str">
        <f>IF(TRIM($A203)="","",IF($J203="Passed","",IF($J203="Passed with Known Issue","Known Issue",IF($J203="",IF(OR($H203&lt;&gt;"No",AND($F203&lt;&gt;"Medium",$F203&lt;&gt;"Low")),"Pending Result",""),IF(OR($H203&lt;&gt;"No",AND($F203&lt;&gt;"Medium",$F203&lt;&gt;"Low")),IF(COUNTIFS(Dashboard!$B$105:$B$124,$A203,Dashboard!$I$105:$I$124,"CAB")&gt;0,"Accepted (CF)","Blocking"),IF($J203="Failed","Deferrable","Carry Over"))))))</f>
        <v/>
      </c>
      <c r="M203" s="68" t="str">
        <f>IF(OR(TRIM($A203)="",TRIM($E203)=""),"",IFERROR(INDEX('E2E core flow'!$B$15:$B$1000,MATCH(1,INDEX(('E2E core flow'!$A$15:$A$1000&lt;&gt;"")*ISNUMBER(SEARCH('E2E core flow'!$A$15:$A$1000,$E203)),0),0))&amp;"","-"))</f>
        <v/>
      </c>
      <c r="N203" s="68" t="str">
        <f>IF(TRIM($A203)="","",IF($O203=0,IF(COUNTIFS('Card Test Cases'!$B$4:$B$1000,$A203,'Card Test Cases'!$A$4:$A$1000,"&lt;&gt;")&gt;0,"Out of Scope","No TC"),IF($Q203&gt;0,"Failed",IF(COUNTIFS('Card Test Cases'!$B$4:$B$1000,$A203,'Card Test Cases'!$A$4:$A$1000,"&lt;&gt;",'Card Test Cases'!$F$4:$F$1000,"Blocked")&gt;0,"Blocked",IF($R203&gt;0,"In Progress","Passed")))))</f>
        <v/>
      </c>
      <c r="O203" s="68" t="str">
        <f>IF(TRIM($A203)="","",COUNTIFS('Card Test Cases'!$B$4:$B$1000,$A203,'Card Test Cases'!$A$4:$A$1000,"&lt;&gt;",'Card Test Cases'!$F$4:$F$1000,"&lt;&gt;Out of Scope"))</f>
        <v/>
      </c>
      <c r="P203" s="68" t="str">
        <f>IF(TRIM($A203)="","",COUNTIFS('Card Test Cases'!$B$4:$B$1000,$A203,'Card Test Cases'!$A$4:$A$1000,"&lt;&gt;",'Card Test Cases'!$F$4:$F$1000,"Passed"))</f>
        <v/>
      </c>
      <c r="Q203" s="68" t="str">
        <f>IF(TRIM($A203)="","",COUNTIFS('Card Test Cases'!$B$4:$B$1000,$A203,'Card Test Cases'!$A$4:$A$1000,"&lt;&gt;",'Card Test Cases'!$F$4:$F$1000,"Failed"))</f>
        <v/>
      </c>
      <c r="R203" s="68" t="str">
        <f t="shared" si="3"/>
        <v/>
      </c>
      <c r="S203" s="68" t="str" cm="1">
        <f t="array" ref="S203">IF(TRIM($A203)="","",IFERROR(_xlfn.TEXTJOIN(", ",TRUE,_xlfn.UNIQUE(_xlfn.VSTACK(_xlfn._xlws.FILTER('Card Test Cases'!$G$4:$G$1000,('Card Test Cases'!$B$4:$B$1000=$A203)*('Card Test Cases'!$G$4:$G$1000&lt;&gt;""),""),_xlfn._xlws.FILTER('E2E core flow'!$U$15:$U$1000,('E2E core flow'!$A$15:$A$1000&lt;&gt;"")*ISNUMBER(SEARCH('E2E core flow'!$A$15:$A$1000,$E203))*('E2E core flow'!$U$15:$U$1000&lt;&gt;""),"")))),"-"))</f>
        <v/>
      </c>
    </row>
    <row r="204" spans="7:19" x14ac:dyDescent="0.3">
      <c r="G204" s="68" t="str" cm="1">
        <f t="array" ref="G204">_xlfn.LET(_xlpm.ids,'E2E core flow'!$A$15:$A$1000,_xlpm.v,'E2E core flow'!$W$15:$W$1000,_xlpm.m,(_xlpm.ids&lt;&gt;"")*ISNUMBER(SEARCH(_xlpm.ids,$E204)),_xlpm.f,SUM(_xlpm.m*(_xlpm.v="Failed")),_xlpm.b,SUM(_xlpm.m*(_xlpm.v="Blocked")),_xlpm.nr,SUM(_xlpm.m*(_xlpm.v="Not Run")),_xlpm.cp,SUM(_xlpm.m*(_xlpm.v="Conditionally Passed")),_xlpm.p,SUM(_xlpm.m*(_xlpm.v="Passed")),IF(TRIM($A204)="","",IF(TRIM($E204)="","Pending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04" s="68" t="str">
        <f>IF(TRIM($A204)="","",IF($J204="Passed","",IF($J204="Passed with Known Issue","Known Issue",IF($J204="",IF(OR($H204&lt;&gt;"No",AND($F204&lt;&gt;"Medium",$F204&lt;&gt;"Low")),"Pending Result",""),IF(OR($H204&lt;&gt;"No",AND($F204&lt;&gt;"Medium",$F204&lt;&gt;"Low")),IF(COUNTIFS(Dashboard!$B$105:$B$124,$A204,Dashboard!$I$105:$I$124,"CAB")&gt;0,"Accepted (CF)","Blocking"),IF($J204="Failed","Deferrable","Carry Over"))))))</f>
        <v/>
      </c>
      <c r="M204" s="68" t="str">
        <f>IF(OR(TRIM($A204)="",TRIM($E204)=""),"",IFERROR(INDEX('E2E core flow'!$B$15:$B$1000,MATCH(1,INDEX(('E2E core flow'!$A$15:$A$1000&lt;&gt;"")*ISNUMBER(SEARCH('E2E core flow'!$A$15:$A$1000,$E204)),0),0))&amp;"","-"))</f>
        <v/>
      </c>
      <c r="N204" s="68" t="str">
        <f>IF(TRIM($A204)="","",IF($O204=0,IF(COUNTIFS('Card Test Cases'!$B$4:$B$1000,$A204,'Card Test Cases'!$A$4:$A$1000,"&lt;&gt;")&gt;0,"Out of Scope","No TC"),IF($Q204&gt;0,"Failed",IF(COUNTIFS('Card Test Cases'!$B$4:$B$1000,$A204,'Card Test Cases'!$A$4:$A$1000,"&lt;&gt;",'Card Test Cases'!$F$4:$F$1000,"Blocked")&gt;0,"Blocked",IF($R204&gt;0,"In Progress","Passed")))))</f>
        <v/>
      </c>
      <c r="O204" s="68" t="str">
        <f>IF(TRIM($A204)="","",COUNTIFS('Card Test Cases'!$B$4:$B$1000,$A204,'Card Test Cases'!$A$4:$A$1000,"&lt;&gt;",'Card Test Cases'!$F$4:$F$1000,"&lt;&gt;Out of Scope"))</f>
        <v/>
      </c>
      <c r="P204" s="68" t="str">
        <f>IF(TRIM($A204)="","",COUNTIFS('Card Test Cases'!$B$4:$B$1000,$A204,'Card Test Cases'!$A$4:$A$1000,"&lt;&gt;",'Card Test Cases'!$F$4:$F$1000,"Passed"))</f>
        <v/>
      </c>
      <c r="Q204" s="68" t="str">
        <f>IF(TRIM($A204)="","",COUNTIFS('Card Test Cases'!$B$4:$B$1000,$A204,'Card Test Cases'!$A$4:$A$1000,"&lt;&gt;",'Card Test Cases'!$F$4:$F$1000,"Failed"))</f>
        <v/>
      </c>
      <c r="R204" s="68" t="str">
        <f t="shared" si="3"/>
        <v/>
      </c>
      <c r="S204" s="68" t="str" cm="1">
        <f t="array" ref="S204">IF(TRIM($A204)="","",IFERROR(_xlfn.TEXTJOIN(", ",TRUE,_xlfn.UNIQUE(_xlfn.VSTACK(_xlfn._xlws.FILTER('Card Test Cases'!$G$4:$G$1000,('Card Test Cases'!$B$4:$B$1000=$A204)*('Card Test Cases'!$G$4:$G$1000&lt;&gt;""),""),_xlfn._xlws.FILTER('E2E core flow'!$U$15:$U$1000,('E2E core flow'!$A$15:$A$1000&lt;&gt;"")*ISNUMBER(SEARCH('E2E core flow'!$A$15:$A$1000,$E204))*('E2E core flow'!$U$15:$U$1000&lt;&gt;""),"")))),"-"))</f>
        <v/>
      </c>
    </row>
    <row r="205" spans="7:19" x14ac:dyDescent="0.3">
      <c r="G205" s="68" t="str" cm="1">
        <f t="array" ref="G205">_xlfn.LET(_xlpm.ids,'E2E core flow'!$A$15:$A$1000,_xlpm.v,'E2E core flow'!$W$15:$W$1000,_xlpm.m,(_xlpm.ids&lt;&gt;"")*ISNUMBER(SEARCH(_xlpm.ids,$E205)),_xlpm.f,SUM(_xlpm.m*(_xlpm.v="Failed")),_xlpm.b,SUM(_xlpm.m*(_xlpm.v="Blocked")),_xlpm.nr,SUM(_xlpm.m*(_xlpm.v="Not Run")),_xlpm.cp,SUM(_xlpm.m*(_xlpm.v="Conditionally Passed")),_xlpm.p,SUM(_xlpm.m*(_xlpm.v="Passed")),IF(TRIM($A205)="","",IF(TRIM($E205)="","Pending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05" s="68" t="str">
        <f>IF(TRIM($A205)="","",IF($J205="Passed","",IF($J205="Passed with Known Issue","Known Issue",IF($J205="",IF(OR($H205&lt;&gt;"No",AND($F205&lt;&gt;"Medium",$F205&lt;&gt;"Low")),"Pending Result",""),IF(OR($H205&lt;&gt;"No",AND($F205&lt;&gt;"Medium",$F205&lt;&gt;"Low")),IF(COUNTIFS(Dashboard!$B$105:$B$124,$A205,Dashboard!$I$105:$I$124,"CAB")&gt;0,"Accepted (CF)","Blocking"),IF($J205="Failed","Deferrable","Carry Over"))))))</f>
        <v/>
      </c>
      <c r="M205" s="68" t="str">
        <f>IF(OR(TRIM($A205)="",TRIM($E205)=""),"",IFERROR(INDEX('E2E core flow'!$B$15:$B$1000,MATCH(1,INDEX(('E2E core flow'!$A$15:$A$1000&lt;&gt;"")*ISNUMBER(SEARCH('E2E core flow'!$A$15:$A$1000,$E205)),0),0))&amp;"","-"))</f>
        <v/>
      </c>
      <c r="N205" s="68" t="str">
        <f>IF(TRIM($A205)="","",IF($O205=0,IF(COUNTIFS('Card Test Cases'!$B$4:$B$1000,$A205,'Card Test Cases'!$A$4:$A$1000,"&lt;&gt;")&gt;0,"Out of Scope","No TC"),IF($Q205&gt;0,"Failed",IF(COUNTIFS('Card Test Cases'!$B$4:$B$1000,$A205,'Card Test Cases'!$A$4:$A$1000,"&lt;&gt;",'Card Test Cases'!$F$4:$F$1000,"Blocked")&gt;0,"Blocked",IF($R205&gt;0,"In Progress","Passed")))))</f>
        <v/>
      </c>
      <c r="O205" s="68" t="str">
        <f>IF(TRIM($A205)="","",COUNTIFS('Card Test Cases'!$B$4:$B$1000,$A205,'Card Test Cases'!$A$4:$A$1000,"&lt;&gt;",'Card Test Cases'!$F$4:$F$1000,"&lt;&gt;Out of Scope"))</f>
        <v/>
      </c>
      <c r="P205" s="68" t="str">
        <f>IF(TRIM($A205)="","",COUNTIFS('Card Test Cases'!$B$4:$B$1000,$A205,'Card Test Cases'!$A$4:$A$1000,"&lt;&gt;",'Card Test Cases'!$F$4:$F$1000,"Passed"))</f>
        <v/>
      </c>
      <c r="Q205" s="68" t="str">
        <f>IF(TRIM($A205)="","",COUNTIFS('Card Test Cases'!$B$4:$B$1000,$A205,'Card Test Cases'!$A$4:$A$1000,"&lt;&gt;",'Card Test Cases'!$F$4:$F$1000,"Failed"))</f>
        <v/>
      </c>
      <c r="R205" s="68" t="str">
        <f t="shared" si="3"/>
        <v/>
      </c>
      <c r="S205" s="68" t="str" cm="1">
        <f t="array" ref="S205">IF(TRIM($A205)="","",IFERROR(_xlfn.TEXTJOIN(", ",TRUE,_xlfn.UNIQUE(_xlfn.VSTACK(_xlfn._xlws.FILTER('Card Test Cases'!$G$4:$G$1000,('Card Test Cases'!$B$4:$B$1000=$A205)*('Card Test Cases'!$G$4:$G$1000&lt;&gt;""),""),_xlfn._xlws.FILTER('E2E core flow'!$U$15:$U$1000,('E2E core flow'!$A$15:$A$1000&lt;&gt;"")*ISNUMBER(SEARCH('E2E core flow'!$A$15:$A$1000,$E205))*('E2E core flow'!$U$15:$U$1000&lt;&gt;""),"")))),"-"))</f>
        <v/>
      </c>
    </row>
    <row r="206" spans="7:19" x14ac:dyDescent="0.3">
      <c r="G206" s="68" t="str" cm="1">
        <f t="array" ref="G206">_xlfn.LET(_xlpm.ids,'E2E core flow'!$A$15:$A$1000,_xlpm.v,'E2E core flow'!$W$15:$W$1000,_xlpm.m,(_xlpm.ids&lt;&gt;"")*ISNUMBER(SEARCH(_xlpm.ids,$E206)),_xlpm.f,SUM(_xlpm.m*(_xlpm.v="Failed")),_xlpm.b,SUM(_xlpm.m*(_xlpm.v="Blocked")),_xlpm.nr,SUM(_xlpm.m*(_xlpm.v="Not Run")),_xlpm.cp,SUM(_xlpm.m*(_xlpm.v="Conditionally Passed")),_xlpm.p,SUM(_xlpm.m*(_xlpm.v="Passed")),IF(TRIM($A206)="","",IF(TRIM($E206)="","Pending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06" s="68" t="str">
        <f>IF(TRIM($A206)="","",IF($J206="Passed","",IF($J206="Passed with Known Issue","Known Issue",IF($J206="",IF(OR($H206&lt;&gt;"No",AND($F206&lt;&gt;"Medium",$F206&lt;&gt;"Low")),"Pending Result",""),IF(OR($H206&lt;&gt;"No",AND($F206&lt;&gt;"Medium",$F206&lt;&gt;"Low")),IF(COUNTIFS(Dashboard!$B$105:$B$124,$A206,Dashboard!$I$105:$I$124,"CAB")&gt;0,"Accepted (CF)","Blocking"),IF($J206="Failed","Deferrable","Carry Over"))))))</f>
        <v/>
      </c>
      <c r="M206" s="68" t="str">
        <f>IF(OR(TRIM($A206)="",TRIM($E206)=""),"",IFERROR(INDEX('E2E core flow'!$B$15:$B$1000,MATCH(1,INDEX(('E2E core flow'!$A$15:$A$1000&lt;&gt;"")*ISNUMBER(SEARCH('E2E core flow'!$A$15:$A$1000,$E206)),0),0))&amp;"","-"))</f>
        <v/>
      </c>
      <c r="N206" s="68" t="str">
        <f>IF(TRIM($A206)="","",IF($O206=0,IF(COUNTIFS('Card Test Cases'!$B$4:$B$1000,$A206,'Card Test Cases'!$A$4:$A$1000,"&lt;&gt;")&gt;0,"Out of Scope","No TC"),IF($Q206&gt;0,"Failed",IF(COUNTIFS('Card Test Cases'!$B$4:$B$1000,$A206,'Card Test Cases'!$A$4:$A$1000,"&lt;&gt;",'Card Test Cases'!$F$4:$F$1000,"Blocked")&gt;0,"Blocked",IF($R206&gt;0,"In Progress","Passed")))))</f>
        <v/>
      </c>
      <c r="O206" s="68" t="str">
        <f>IF(TRIM($A206)="","",COUNTIFS('Card Test Cases'!$B$4:$B$1000,$A206,'Card Test Cases'!$A$4:$A$1000,"&lt;&gt;",'Card Test Cases'!$F$4:$F$1000,"&lt;&gt;Out of Scope"))</f>
        <v/>
      </c>
      <c r="P206" s="68" t="str">
        <f>IF(TRIM($A206)="","",COUNTIFS('Card Test Cases'!$B$4:$B$1000,$A206,'Card Test Cases'!$A$4:$A$1000,"&lt;&gt;",'Card Test Cases'!$F$4:$F$1000,"Passed"))</f>
        <v/>
      </c>
      <c r="Q206" s="68" t="str">
        <f>IF(TRIM($A206)="","",COUNTIFS('Card Test Cases'!$B$4:$B$1000,$A206,'Card Test Cases'!$A$4:$A$1000,"&lt;&gt;",'Card Test Cases'!$F$4:$F$1000,"Failed"))</f>
        <v/>
      </c>
      <c r="R206" s="68" t="str">
        <f t="shared" si="3"/>
        <v/>
      </c>
      <c r="S206" s="68" t="str" cm="1">
        <f t="array" ref="S206">IF(TRIM($A206)="","",IFERROR(_xlfn.TEXTJOIN(", ",TRUE,_xlfn.UNIQUE(_xlfn.VSTACK(_xlfn._xlws.FILTER('Card Test Cases'!$G$4:$G$1000,('Card Test Cases'!$B$4:$B$1000=$A206)*('Card Test Cases'!$G$4:$G$1000&lt;&gt;""),""),_xlfn._xlws.FILTER('E2E core flow'!$U$15:$U$1000,('E2E core flow'!$A$15:$A$1000&lt;&gt;"")*ISNUMBER(SEARCH('E2E core flow'!$A$15:$A$1000,$E206))*('E2E core flow'!$U$15:$U$1000&lt;&gt;""),"")))),"-"))</f>
        <v/>
      </c>
    </row>
    <row r="207" spans="7:19" x14ac:dyDescent="0.3">
      <c r="G207" s="68" t="str" cm="1">
        <f t="array" ref="G207">_xlfn.LET(_xlpm.ids,'E2E core flow'!$A$15:$A$1000,_xlpm.v,'E2E core flow'!$W$15:$W$1000,_xlpm.m,(_xlpm.ids&lt;&gt;"")*ISNUMBER(SEARCH(_xlpm.ids,$E207)),_xlpm.f,SUM(_xlpm.m*(_xlpm.v="Failed")),_xlpm.b,SUM(_xlpm.m*(_xlpm.v="Blocked")),_xlpm.nr,SUM(_xlpm.m*(_xlpm.v="Not Run")),_xlpm.cp,SUM(_xlpm.m*(_xlpm.v="Conditionally Passed")),_xlpm.p,SUM(_xlpm.m*(_xlpm.v="Passed")),IF(TRIM($A207)="","",IF(TRIM($E207)="","Pending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07" s="68" t="str">
        <f>IF(TRIM($A207)="","",IF($J207="Passed","",IF($J207="Passed with Known Issue","Known Issue",IF($J207="",IF(OR($H207&lt;&gt;"No",AND($F207&lt;&gt;"Medium",$F207&lt;&gt;"Low")),"Pending Result",""),IF(OR($H207&lt;&gt;"No",AND($F207&lt;&gt;"Medium",$F207&lt;&gt;"Low")),IF(COUNTIFS(Dashboard!$B$105:$B$124,$A207,Dashboard!$I$105:$I$124,"CAB")&gt;0,"Accepted (CF)","Blocking"),IF($J207="Failed","Deferrable","Carry Over"))))))</f>
        <v/>
      </c>
      <c r="M207" s="68" t="str">
        <f>IF(OR(TRIM($A207)="",TRIM($E207)=""),"",IFERROR(INDEX('E2E core flow'!$B$15:$B$1000,MATCH(1,INDEX(('E2E core flow'!$A$15:$A$1000&lt;&gt;"")*ISNUMBER(SEARCH('E2E core flow'!$A$15:$A$1000,$E207)),0),0))&amp;"","-"))</f>
        <v/>
      </c>
      <c r="N207" s="68" t="str">
        <f>IF(TRIM($A207)="","",IF($O207=0,IF(COUNTIFS('Card Test Cases'!$B$4:$B$1000,$A207,'Card Test Cases'!$A$4:$A$1000,"&lt;&gt;")&gt;0,"Out of Scope","No TC"),IF($Q207&gt;0,"Failed",IF(COUNTIFS('Card Test Cases'!$B$4:$B$1000,$A207,'Card Test Cases'!$A$4:$A$1000,"&lt;&gt;",'Card Test Cases'!$F$4:$F$1000,"Blocked")&gt;0,"Blocked",IF($R207&gt;0,"In Progress","Passed")))))</f>
        <v/>
      </c>
      <c r="O207" s="68" t="str">
        <f>IF(TRIM($A207)="","",COUNTIFS('Card Test Cases'!$B$4:$B$1000,$A207,'Card Test Cases'!$A$4:$A$1000,"&lt;&gt;",'Card Test Cases'!$F$4:$F$1000,"&lt;&gt;Out of Scope"))</f>
        <v/>
      </c>
      <c r="P207" s="68" t="str">
        <f>IF(TRIM($A207)="","",COUNTIFS('Card Test Cases'!$B$4:$B$1000,$A207,'Card Test Cases'!$A$4:$A$1000,"&lt;&gt;",'Card Test Cases'!$F$4:$F$1000,"Passed"))</f>
        <v/>
      </c>
      <c r="Q207" s="68" t="str">
        <f>IF(TRIM($A207)="","",COUNTIFS('Card Test Cases'!$B$4:$B$1000,$A207,'Card Test Cases'!$A$4:$A$1000,"&lt;&gt;",'Card Test Cases'!$F$4:$F$1000,"Failed"))</f>
        <v/>
      </c>
      <c r="R207" s="68" t="str">
        <f t="shared" si="3"/>
        <v/>
      </c>
      <c r="S207" s="68" t="str" cm="1">
        <f t="array" ref="S207">IF(TRIM($A207)="","",IFERROR(_xlfn.TEXTJOIN(", ",TRUE,_xlfn.UNIQUE(_xlfn.VSTACK(_xlfn._xlws.FILTER('Card Test Cases'!$G$4:$G$1000,('Card Test Cases'!$B$4:$B$1000=$A207)*('Card Test Cases'!$G$4:$G$1000&lt;&gt;""),""),_xlfn._xlws.FILTER('E2E core flow'!$U$15:$U$1000,('E2E core flow'!$A$15:$A$1000&lt;&gt;"")*ISNUMBER(SEARCH('E2E core flow'!$A$15:$A$1000,$E207))*('E2E core flow'!$U$15:$U$1000&lt;&gt;""),"")))),"-"))</f>
        <v/>
      </c>
    </row>
    <row r="208" spans="7:19" x14ac:dyDescent="0.3">
      <c r="G208" s="68" t="str" cm="1">
        <f t="array" ref="G208">_xlfn.LET(_xlpm.ids,'E2E core flow'!$A$15:$A$1000,_xlpm.v,'E2E core flow'!$W$15:$W$1000,_xlpm.m,(_xlpm.ids&lt;&gt;"")*ISNUMBER(SEARCH(_xlpm.ids,$E208)),_xlpm.f,SUM(_xlpm.m*(_xlpm.v="Failed")),_xlpm.b,SUM(_xlpm.m*(_xlpm.v="Blocked")),_xlpm.nr,SUM(_xlpm.m*(_xlpm.v="Not Run")),_xlpm.cp,SUM(_xlpm.m*(_xlpm.v="Conditionally Passed")),_xlpm.p,SUM(_xlpm.m*(_xlpm.v="Passed")),IF(TRIM($A208)="","",IF(TRIM($E208)="","Pending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08" s="68" t="str">
        <f>IF(TRIM($A208)="","",IF($J208="Passed","",IF($J208="Passed with Known Issue","Known Issue",IF($J208="",IF(OR($H208&lt;&gt;"No",AND($F208&lt;&gt;"Medium",$F208&lt;&gt;"Low")),"Pending Result",""),IF(OR($H208&lt;&gt;"No",AND($F208&lt;&gt;"Medium",$F208&lt;&gt;"Low")),IF(COUNTIFS(Dashboard!$B$105:$B$124,$A208,Dashboard!$I$105:$I$124,"CAB")&gt;0,"Accepted (CF)","Blocking"),IF($J208="Failed","Deferrable","Carry Over"))))))</f>
        <v/>
      </c>
      <c r="M208" s="68" t="str">
        <f>IF(OR(TRIM($A208)="",TRIM($E208)=""),"",IFERROR(INDEX('E2E core flow'!$B$15:$B$1000,MATCH(1,INDEX(('E2E core flow'!$A$15:$A$1000&lt;&gt;"")*ISNUMBER(SEARCH('E2E core flow'!$A$15:$A$1000,$E208)),0),0))&amp;"","-"))</f>
        <v/>
      </c>
      <c r="N208" s="68" t="str">
        <f>IF(TRIM($A208)="","",IF($O208=0,IF(COUNTIFS('Card Test Cases'!$B$4:$B$1000,$A208,'Card Test Cases'!$A$4:$A$1000,"&lt;&gt;")&gt;0,"Out of Scope","No TC"),IF($Q208&gt;0,"Failed",IF(COUNTIFS('Card Test Cases'!$B$4:$B$1000,$A208,'Card Test Cases'!$A$4:$A$1000,"&lt;&gt;",'Card Test Cases'!$F$4:$F$1000,"Blocked")&gt;0,"Blocked",IF($R208&gt;0,"In Progress","Passed")))))</f>
        <v/>
      </c>
      <c r="O208" s="68" t="str">
        <f>IF(TRIM($A208)="","",COUNTIFS('Card Test Cases'!$B$4:$B$1000,$A208,'Card Test Cases'!$A$4:$A$1000,"&lt;&gt;",'Card Test Cases'!$F$4:$F$1000,"&lt;&gt;Out of Scope"))</f>
        <v/>
      </c>
      <c r="P208" s="68" t="str">
        <f>IF(TRIM($A208)="","",COUNTIFS('Card Test Cases'!$B$4:$B$1000,$A208,'Card Test Cases'!$A$4:$A$1000,"&lt;&gt;",'Card Test Cases'!$F$4:$F$1000,"Passed"))</f>
        <v/>
      </c>
      <c r="Q208" s="68" t="str">
        <f>IF(TRIM($A208)="","",COUNTIFS('Card Test Cases'!$B$4:$B$1000,$A208,'Card Test Cases'!$A$4:$A$1000,"&lt;&gt;",'Card Test Cases'!$F$4:$F$1000,"Failed"))</f>
        <v/>
      </c>
      <c r="R208" s="68" t="str">
        <f t="shared" si="3"/>
        <v/>
      </c>
      <c r="S208" s="68" t="str" cm="1">
        <f t="array" ref="S208">IF(TRIM($A208)="","",IFERROR(_xlfn.TEXTJOIN(", ",TRUE,_xlfn.UNIQUE(_xlfn.VSTACK(_xlfn._xlws.FILTER('Card Test Cases'!$G$4:$G$1000,('Card Test Cases'!$B$4:$B$1000=$A208)*('Card Test Cases'!$G$4:$G$1000&lt;&gt;""),""),_xlfn._xlws.FILTER('E2E core flow'!$U$15:$U$1000,('E2E core flow'!$A$15:$A$1000&lt;&gt;"")*ISNUMBER(SEARCH('E2E core flow'!$A$15:$A$1000,$E208))*('E2E core flow'!$U$15:$U$1000&lt;&gt;""),"")))),"-"))</f>
        <v/>
      </c>
    </row>
    <row r="209" spans="7:19" x14ac:dyDescent="0.3">
      <c r="G209" s="68" t="str" cm="1">
        <f t="array" ref="G209">_xlfn.LET(_xlpm.ids,'E2E core flow'!$A$15:$A$1000,_xlpm.v,'E2E core flow'!$W$15:$W$1000,_xlpm.m,(_xlpm.ids&lt;&gt;"")*ISNUMBER(SEARCH(_xlpm.ids,$E209)),_xlpm.f,SUM(_xlpm.m*(_xlpm.v="Failed")),_xlpm.b,SUM(_xlpm.m*(_xlpm.v="Blocked")),_xlpm.nr,SUM(_xlpm.m*(_xlpm.v="Not Run")),_xlpm.cp,SUM(_xlpm.m*(_xlpm.v="Conditionally Passed")),_xlpm.p,SUM(_xlpm.m*(_xlpm.v="Passed")),IF(TRIM($A209)="","",IF(TRIM($E209)="","Pending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09" s="68" t="str">
        <f>IF(TRIM($A209)="","",IF($J209="Passed","",IF($J209="Passed with Known Issue","Known Issue",IF($J209="",IF(OR($H209&lt;&gt;"No",AND($F209&lt;&gt;"Medium",$F209&lt;&gt;"Low")),"Pending Result",""),IF(OR($H209&lt;&gt;"No",AND($F209&lt;&gt;"Medium",$F209&lt;&gt;"Low")),IF(COUNTIFS(Dashboard!$B$105:$B$124,$A209,Dashboard!$I$105:$I$124,"CAB")&gt;0,"Accepted (CF)","Blocking"),IF($J209="Failed","Deferrable","Carry Over"))))))</f>
        <v/>
      </c>
      <c r="M209" s="68" t="str">
        <f>IF(OR(TRIM($A209)="",TRIM($E209)=""),"",IFERROR(INDEX('E2E core flow'!$B$15:$B$1000,MATCH(1,INDEX(('E2E core flow'!$A$15:$A$1000&lt;&gt;"")*ISNUMBER(SEARCH('E2E core flow'!$A$15:$A$1000,$E209)),0),0))&amp;"","-"))</f>
        <v/>
      </c>
      <c r="N209" s="68" t="str">
        <f>IF(TRIM($A209)="","",IF($O209=0,IF(COUNTIFS('Card Test Cases'!$B$4:$B$1000,$A209,'Card Test Cases'!$A$4:$A$1000,"&lt;&gt;")&gt;0,"Out of Scope","No TC"),IF($Q209&gt;0,"Failed",IF(COUNTIFS('Card Test Cases'!$B$4:$B$1000,$A209,'Card Test Cases'!$A$4:$A$1000,"&lt;&gt;",'Card Test Cases'!$F$4:$F$1000,"Blocked")&gt;0,"Blocked",IF($R209&gt;0,"In Progress","Passed")))))</f>
        <v/>
      </c>
      <c r="O209" s="68" t="str">
        <f>IF(TRIM($A209)="","",COUNTIFS('Card Test Cases'!$B$4:$B$1000,$A209,'Card Test Cases'!$A$4:$A$1000,"&lt;&gt;",'Card Test Cases'!$F$4:$F$1000,"&lt;&gt;Out of Scope"))</f>
        <v/>
      </c>
      <c r="P209" s="68" t="str">
        <f>IF(TRIM($A209)="","",COUNTIFS('Card Test Cases'!$B$4:$B$1000,$A209,'Card Test Cases'!$A$4:$A$1000,"&lt;&gt;",'Card Test Cases'!$F$4:$F$1000,"Passed"))</f>
        <v/>
      </c>
      <c r="Q209" s="68" t="str">
        <f>IF(TRIM($A209)="","",COUNTIFS('Card Test Cases'!$B$4:$B$1000,$A209,'Card Test Cases'!$A$4:$A$1000,"&lt;&gt;",'Card Test Cases'!$F$4:$F$1000,"Failed"))</f>
        <v/>
      </c>
      <c r="R209" s="68" t="str">
        <f t="shared" si="3"/>
        <v/>
      </c>
      <c r="S209" s="68" t="str" cm="1">
        <f t="array" ref="S209">IF(TRIM($A209)="","",IFERROR(_xlfn.TEXTJOIN(", ",TRUE,_xlfn.UNIQUE(_xlfn.VSTACK(_xlfn._xlws.FILTER('Card Test Cases'!$G$4:$G$1000,('Card Test Cases'!$B$4:$B$1000=$A209)*('Card Test Cases'!$G$4:$G$1000&lt;&gt;""),""),_xlfn._xlws.FILTER('E2E core flow'!$U$15:$U$1000,('E2E core flow'!$A$15:$A$1000&lt;&gt;"")*ISNUMBER(SEARCH('E2E core flow'!$A$15:$A$1000,$E209))*('E2E core flow'!$U$15:$U$1000&lt;&gt;""),"")))),"-"))</f>
        <v/>
      </c>
    </row>
    <row r="210" spans="7:19" x14ac:dyDescent="0.3">
      <c r="G210" s="68" t="str" cm="1">
        <f t="array" ref="G210">_xlfn.LET(_xlpm.ids,'E2E core flow'!$A$15:$A$1000,_xlpm.v,'E2E core flow'!$W$15:$W$1000,_xlpm.m,(_xlpm.ids&lt;&gt;"")*ISNUMBER(SEARCH(_xlpm.ids,$E210)),_xlpm.f,SUM(_xlpm.m*(_xlpm.v="Failed")),_xlpm.b,SUM(_xlpm.m*(_xlpm.v="Blocked")),_xlpm.nr,SUM(_xlpm.m*(_xlpm.v="Not Run")),_xlpm.cp,SUM(_xlpm.m*(_xlpm.v="Conditionally Passed")),_xlpm.p,SUM(_xlpm.m*(_xlpm.v="Passed")),IF(TRIM($A210)="","",IF(TRIM($E210)="","Pending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10" s="68" t="str">
        <f>IF(TRIM($A210)="","",IF($J210="Passed","",IF($J210="Passed with Known Issue","Known Issue",IF($J210="",IF(OR($H210&lt;&gt;"No",AND($F210&lt;&gt;"Medium",$F210&lt;&gt;"Low")),"Pending Result",""),IF(OR($H210&lt;&gt;"No",AND($F210&lt;&gt;"Medium",$F210&lt;&gt;"Low")),IF(COUNTIFS(Dashboard!$B$105:$B$124,$A210,Dashboard!$I$105:$I$124,"CAB")&gt;0,"Accepted (CF)","Blocking"),IF($J210="Failed","Deferrable","Carry Over"))))))</f>
        <v/>
      </c>
      <c r="M210" s="68" t="str">
        <f>IF(OR(TRIM($A210)="",TRIM($E210)=""),"",IFERROR(INDEX('E2E core flow'!$B$15:$B$1000,MATCH(1,INDEX(('E2E core flow'!$A$15:$A$1000&lt;&gt;"")*ISNUMBER(SEARCH('E2E core flow'!$A$15:$A$1000,$E210)),0),0))&amp;"","-"))</f>
        <v/>
      </c>
      <c r="N210" s="68" t="str">
        <f>IF(TRIM($A210)="","",IF($O210=0,IF(COUNTIFS('Card Test Cases'!$B$4:$B$1000,$A210,'Card Test Cases'!$A$4:$A$1000,"&lt;&gt;")&gt;0,"Out of Scope","No TC"),IF($Q210&gt;0,"Failed",IF(COUNTIFS('Card Test Cases'!$B$4:$B$1000,$A210,'Card Test Cases'!$A$4:$A$1000,"&lt;&gt;",'Card Test Cases'!$F$4:$F$1000,"Blocked")&gt;0,"Blocked",IF($R210&gt;0,"In Progress","Passed")))))</f>
        <v/>
      </c>
      <c r="O210" s="68" t="str">
        <f>IF(TRIM($A210)="","",COUNTIFS('Card Test Cases'!$B$4:$B$1000,$A210,'Card Test Cases'!$A$4:$A$1000,"&lt;&gt;",'Card Test Cases'!$F$4:$F$1000,"&lt;&gt;Out of Scope"))</f>
        <v/>
      </c>
      <c r="P210" s="68" t="str">
        <f>IF(TRIM($A210)="","",COUNTIFS('Card Test Cases'!$B$4:$B$1000,$A210,'Card Test Cases'!$A$4:$A$1000,"&lt;&gt;",'Card Test Cases'!$F$4:$F$1000,"Passed"))</f>
        <v/>
      </c>
      <c r="Q210" s="68" t="str">
        <f>IF(TRIM($A210)="","",COUNTIFS('Card Test Cases'!$B$4:$B$1000,$A210,'Card Test Cases'!$A$4:$A$1000,"&lt;&gt;",'Card Test Cases'!$F$4:$F$1000,"Failed"))</f>
        <v/>
      </c>
      <c r="R210" s="68" t="str">
        <f t="shared" si="3"/>
        <v/>
      </c>
      <c r="S210" s="68" t="str" cm="1">
        <f t="array" ref="S210">IF(TRIM($A210)="","",IFERROR(_xlfn.TEXTJOIN(", ",TRUE,_xlfn.UNIQUE(_xlfn.VSTACK(_xlfn._xlws.FILTER('Card Test Cases'!$G$4:$G$1000,('Card Test Cases'!$B$4:$B$1000=$A210)*('Card Test Cases'!$G$4:$G$1000&lt;&gt;""),""),_xlfn._xlws.FILTER('E2E core flow'!$U$15:$U$1000,('E2E core flow'!$A$15:$A$1000&lt;&gt;"")*ISNUMBER(SEARCH('E2E core flow'!$A$15:$A$1000,$E210))*('E2E core flow'!$U$15:$U$1000&lt;&gt;""),"")))),"-"))</f>
        <v/>
      </c>
    </row>
    <row r="211" spans="7:19" x14ac:dyDescent="0.3">
      <c r="G211" s="68" t="str" cm="1">
        <f t="array" ref="G211">_xlfn.LET(_xlpm.ids,'E2E core flow'!$A$15:$A$1000,_xlpm.v,'E2E core flow'!$W$15:$W$1000,_xlpm.m,(_xlpm.ids&lt;&gt;"")*ISNUMBER(SEARCH(_xlpm.ids,$E211)),_xlpm.f,SUM(_xlpm.m*(_xlpm.v="Failed")),_xlpm.b,SUM(_xlpm.m*(_xlpm.v="Blocked")),_xlpm.nr,SUM(_xlpm.m*(_xlpm.v="Not Run")),_xlpm.cp,SUM(_xlpm.m*(_xlpm.v="Conditionally Passed")),_xlpm.p,SUM(_xlpm.m*(_xlpm.v="Passed")),IF(TRIM($A211)="","",IF(TRIM($E211)="","Pending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11" s="68" t="str">
        <f>IF(TRIM($A211)="","",IF($J211="Passed","",IF($J211="Passed with Known Issue","Known Issue",IF($J211="",IF(OR($H211&lt;&gt;"No",AND($F211&lt;&gt;"Medium",$F211&lt;&gt;"Low")),"Pending Result",""),IF(OR($H211&lt;&gt;"No",AND($F211&lt;&gt;"Medium",$F211&lt;&gt;"Low")),IF(COUNTIFS(Dashboard!$B$105:$B$124,$A211,Dashboard!$I$105:$I$124,"CAB")&gt;0,"Accepted (CF)","Blocking"),IF($J211="Failed","Deferrable","Carry Over"))))))</f>
        <v/>
      </c>
      <c r="M211" s="68" t="str">
        <f>IF(OR(TRIM($A211)="",TRIM($E211)=""),"",IFERROR(INDEX('E2E core flow'!$B$15:$B$1000,MATCH(1,INDEX(('E2E core flow'!$A$15:$A$1000&lt;&gt;"")*ISNUMBER(SEARCH('E2E core flow'!$A$15:$A$1000,$E211)),0),0))&amp;"","-"))</f>
        <v/>
      </c>
      <c r="N211" s="68" t="str">
        <f>IF(TRIM($A211)="","",IF($O211=0,IF(COUNTIFS('Card Test Cases'!$B$4:$B$1000,$A211,'Card Test Cases'!$A$4:$A$1000,"&lt;&gt;")&gt;0,"Out of Scope","No TC"),IF($Q211&gt;0,"Failed",IF(COUNTIFS('Card Test Cases'!$B$4:$B$1000,$A211,'Card Test Cases'!$A$4:$A$1000,"&lt;&gt;",'Card Test Cases'!$F$4:$F$1000,"Blocked")&gt;0,"Blocked",IF($R211&gt;0,"In Progress","Passed")))))</f>
        <v/>
      </c>
      <c r="O211" s="68" t="str">
        <f>IF(TRIM($A211)="","",COUNTIFS('Card Test Cases'!$B$4:$B$1000,$A211,'Card Test Cases'!$A$4:$A$1000,"&lt;&gt;",'Card Test Cases'!$F$4:$F$1000,"&lt;&gt;Out of Scope"))</f>
        <v/>
      </c>
      <c r="P211" s="68" t="str">
        <f>IF(TRIM($A211)="","",COUNTIFS('Card Test Cases'!$B$4:$B$1000,$A211,'Card Test Cases'!$A$4:$A$1000,"&lt;&gt;",'Card Test Cases'!$F$4:$F$1000,"Passed"))</f>
        <v/>
      </c>
      <c r="Q211" s="68" t="str">
        <f>IF(TRIM($A211)="","",COUNTIFS('Card Test Cases'!$B$4:$B$1000,$A211,'Card Test Cases'!$A$4:$A$1000,"&lt;&gt;",'Card Test Cases'!$F$4:$F$1000,"Failed"))</f>
        <v/>
      </c>
      <c r="R211" s="68" t="str">
        <f t="shared" si="3"/>
        <v/>
      </c>
      <c r="S211" s="68" t="str" cm="1">
        <f t="array" ref="S211">IF(TRIM($A211)="","",IFERROR(_xlfn.TEXTJOIN(", ",TRUE,_xlfn.UNIQUE(_xlfn.VSTACK(_xlfn._xlws.FILTER('Card Test Cases'!$G$4:$G$1000,('Card Test Cases'!$B$4:$B$1000=$A211)*('Card Test Cases'!$G$4:$G$1000&lt;&gt;""),""),_xlfn._xlws.FILTER('E2E core flow'!$U$15:$U$1000,('E2E core flow'!$A$15:$A$1000&lt;&gt;"")*ISNUMBER(SEARCH('E2E core flow'!$A$15:$A$1000,$E211))*('E2E core flow'!$U$15:$U$1000&lt;&gt;""),"")))),"-"))</f>
        <v/>
      </c>
    </row>
    <row r="212" spans="7:19" x14ac:dyDescent="0.3">
      <c r="G212" s="68" t="str" cm="1">
        <f t="array" ref="G212">_xlfn.LET(_xlpm.ids,'E2E core flow'!$A$15:$A$1000,_xlpm.v,'E2E core flow'!$W$15:$W$1000,_xlpm.m,(_xlpm.ids&lt;&gt;"")*ISNUMBER(SEARCH(_xlpm.ids,$E212)),_xlpm.f,SUM(_xlpm.m*(_xlpm.v="Failed")),_xlpm.b,SUM(_xlpm.m*(_xlpm.v="Blocked")),_xlpm.nr,SUM(_xlpm.m*(_xlpm.v="Not Run")),_xlpm.cp,SUM(_xlpm.m*(_xlpm.v="Conditionally Passed")),_xlpm.p,SUM(_xlpm.m*(_xlpm.v="Passed")),IF(TRIM($A212)="","",IF(TRIM($E212)="","Pending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12" s="68" t="str">
        <f>IF(TRIM($A212)="","",IF($J212="Passed","",IF($J212="Passed with Known Issue","Known Issue",IF($J212="",IF(OR($H212&lt;&gt;"No",AND($F212&lt;&gt;"Medium",$F212&lt;&gt;"Low")),"Pending Result",""),IF(OR($H212&lt;&gt;"No",AND($F212&lt;&gt;"Medium",$F212&lt;&gt;"Low")),IF(COUNTIFS(Dashboard!$B$105:$B$124,$A212,Dashboard!$I$105:$I$124,"CAB")&gt;0,"Accepted (CF)","Blocking"),IF($J212="Failed","Deferrable","Carry Over"))))))</f>
        <v/>
      </c>
      <c r="M212" s="68" t="str">
        <f>IF(OR(TRIM($A212)="",TRIM($E212)=""),"",IFERROR(INDEX('E2E core flow'!$B$15:$B$1000,MATCH(1,INDEX(('E2E core flow'!$A$15:$A$1000&lt;&gt;"")*ISNUMBER(SEARCH('E2E core flow'!$A$15:$A$1000,$E212)),0),0))&amp;"","-"))</f>
        <v/>
      </c>
      <c r="N212" s="68" t="str">
        <f>IF(TRIM($A212)="","",IF($O212=0,IF(COUNTIFS('Card Test Cases'!$B$4:$B$1000,$A212,'Card Test Cases'!$A$4:$A$1000,"&lt;&gt;")&gt;0,"Out of Scope","No TC"),IF($Q212&gt;0,"Failed",IF(COUNTIFS('Card Test Cases'!$B$4:$B$1000,$A212,'Card Test Cases'!$A$4:$A$1000,"&lt;&gt;",'Card Test Cases'!$F$4:$F$1000,"Blocked")&gt;0,"Blocked",IF($R212&gt;0,"In Progress","Passed")))))</f>
        <v/>
      </c>
      <c r="O212" s="68" t="str">
        <f>IF(TRIM($A212)="","",COUNTIFS('Card Test Cases'!$B$4:$B$1000,$A212,'Card Test Cases'!$A$4:$A$1000,"&lt;&gt;",'Card Test Cases'!$F$4:$F$1000,"&lt;&gt;Out of Scope"))</f>
        <v/>
      </c>
      <c r="P212" s="68" t="str">
        <f>IF(TRIM($A212)="","",COUNTIFS('Card Test Cases'!$B$4:$B$1000,$A212,'Card Test Cases'!$A$4:$A$1000,"&lt;&gt;",'Card Test Cases'!$F$4:$F$1000,"Passed"))</f>
        <v/>
      </c>
      <c r="Q212" s="68" t="str">
        <f>IF(TRIM($A212)="","",COUNTIFS('Card Test Cases'!$B$4:$B$1000,$A212,'Card Test Cases'!$A$4:$A$1000,"&lt;&gt;",'Card Test Cases'!$F$4:$F$1000,"Failed"))</f>
        <v/>
      </c>
      <c r="R212" s="68" t="str">
        <f t="shared" si="3"/>
        <v/>
      </c>
      <c r="S212" s="68" t="str" cm="1">
        <f t="array" ref="S212">IF(TRIM($A212)="","",IFERROR(_xlfn.TEXTJOIN(", ",TRUE,_xlfn.UNIQUE(_xlfn.VSTACK(_xlfn._xlws.FILTER('Card Test Cases'!$G$4:$G$1000,('Card Test Cases'!$B$4:$B$1000=$A212)*('Card Test Cases'!$G$4:$G$1000&lt;&gt;""),""),_xlfn._xlws.FILTER('E2E core flow'!$U$15:$U$1000,('E2E core flow'!$A$15:$A$1000&lt;&gt;"")*ISNUMBER(SEARCH('E2E core flow'!$A$15:$A$1000,$E212))*('E2E core flow'!$U$15:$U$1000&lt;&gt;""),"")))),"-"))</f>
        <v/>
      </c>
    </row>
    <row r="213" spans="7:19" x14ac:dyDescent="0.3">
      <c r="G213" s="68" t="str" cm="1">
        <f t="array" ref="G213">_xlfn.LET(_xlpm.ids,'E2E core flow'!$A$15:$A$1000,_xlpm.v,'E2E core flow'!$W$15:$W$1000,_xlpm.m,(_xlpm.ids&lt;&gt;"")*ISNUMBER(SEARCH(_xlpm.ids,$E213)),_xlpm.f,SUM(_xlpm.m*(_xlpm.v="Failed")),_xlpm.b,SUM(_xlpm.m*(_xlpm.v="Blocked")),_xlpm.nr,SUM(_xlpm.m*(_xlpm.v="Not Run")),_xlpm.cp,SUM(_xlpm.m*(_xlpm.v="Conditionally Passed")),_xlpm.p,SUM(_xlpm.m*(_xlpm.v="Passed")),IF(TRIM($A213)="","",IF(TRIM($E213)="","Pending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13" s="68" t="str">
        <f>IF(TRIM($A213)="","",IF($J213="Passed","",IF($J213="Passed with Known Issue","Known Issue",IF($J213="",IF(OR($H213&lt;&gt;"No",AND($F213&lt;&gt;"Medium",$F213&lt;&gt;"Low")),"Pending Result",""),IF(OR($H213&lt;&gt;"No",AND($F213&lt;&gt;"Medium",$F213&lt;&gt;"Low")),IF(COUNTIFS(Dashboard!$B$105:$B$124,$A213,Dashboard!$I$105:$I$124,"CAB")&gt;0,"Accepted (CF)","Blocking"),IF($J213="Failed","Deferrable","Carry Over"))))))</f>
        <v/>
      </c>
      <c r="M213" s="68" t="str">
        <f>IF(OR(TRIM($A213)="",TRIM($E213)=""),"",IFERROR(INDEX('E2E core flow'!$B$15:$B$1000,MATCH(1,INDEX(('E2E core flow'!$A$15:$A$1000&lt;&gt;"")*ISNUMBER(SEARCH('E2E core flow'!$A$15:$A$1000,$E213)),0),0))&amp;"","-"))</f>
        <v/>
      </c>
      <c r="N213" s="68" t="str">
        <f>IF(TRIM($A213)="","",IF($O213=0,IF(COUNTIFS('Card Test Cases'!$B$4:$B$1000,$A213,'Card Test Cases'!$A$4:$A$1000,"&lt;&gt;")&gt;0,"Out of Scope","No TC"),IF($Q213&gt;0,"Failed",IF(COUNTIFS('Card Test Cases'!$B$4:$B$1000,$A213,'Card Test Cases'!$A$4:$A$1000,"&lt;&gt;",'Card Test Cases'!$F$4:$F$1000,"Blocked")&gt;0,"Blocked",IF($R213&gt;0,"In Progress","Passed")))))</f>
        <v/>
      </c>
      <c r="O213" s="68" t="str">
        <f>IF(TRIM($A213)="","",COUNTIFS('Card Test Cases'!$B$4:$B$1000,$A213,'Card Test Cases'!$A$4:$A$1000,"&lt;&gt;",'Card Test Cases'!$F$4:$F$1000,"&lt;&gt;Out of Scope"))</f>
        <v/>
      </c>
      <c r="P213" s="68" t="str">
        <f>IF(TRIM($A213)="","",COUNTIFS('Card Test Cases'!$B$4:$B$1000,$A213,'Card Test Cases'!$A$4:$A$1000,"&lt;&gt;",'Card Test Cases'!$F$4:$F$1000,"Passed"))</f>
        <v/>
      </c>
      <c r="Q213" s="68" t="str">
        <f>IF(TRIM($A213)="","",COUNTIFS('Card Test Cases'!$B$4:$B$1000,$A213,'Card Test Cases'!$A$4:$A$1000,"&lt;&gt;",'Card Test Cases'!$F$4:$F$1000,"Failed"))</f>
        <v/>
      </c>
      <c r="R213" s="68" t="str">
        <f t="shared" si="3"/>
        <v/>
      </c>
      <c r="S213" s="68" t="str" cm="1">
        <f t="array" ref="S213">IF(TRIM($A213)="","",IFERROR(_xlfn.TEXTJOIN(", ",TRUE,_xlfn.UNIQUE(_xlfn.VSTACK(_xlfn._xlws.FILTER('Card Test Cases'!$G$4:$G$1000,('Card Test Cases'!$B$4:$B$1000=$A213)*('Card Test Cases'!$G$4:$G$1000&lt;&gt;""),""),_xlfn._xlws.FILTER('E2E core flow'!$U$15:$U$1000,('E2E core flow'!$A$15:$A$1000&lt;&gt;"")*ISNUMBER(SEARCH('E2E core flow'!$A$15:$A$1000,$E213))*('E2E core flow'!$U$15:$U$1000&lt;&gt;""),"")))),"-"))</f>
        <v/>
      </c>
    </row>
    <row r="214" spans="7:19" x14ac:dyDescent="0.3">
      <c r="G214" s="68" t="str" cm="1">
        <f t="array" ref="G214">_xlfn.LET(_xlpm.ids,'E2E core flow'!$A$15:$A$1000,_xlpm.v,'E2E core flow'!$W$15:$W$1000,_xlpm.m,(_xlpm.ids&lt;&gt;"")*ISNUMBER(SEARCH(_xlpm.ids,$E214)),_xlpm.f,SUM(_xlpm.m*(_xlpm.v="Failed")),_xlpm.b,SUM(_xlpm.m*(_xlpm.v="Blocked")),_xlpm.nr,SUM(_xlpm.m*(_xlpm.v="Not Run")),_xlpm.cp,SUM(_xlpm.m*(_xlpm.v="Conditionally Passed")),_xlpm.p,SUM(_xlpm.m*(_xlpm.v="Passed")),IF(TRIM($A214)="","",IF(TRIM($E214)="","Pending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14" s="68" t="str">
        <f>IF(TRIM($A214)="","",IF($J214="Passed","",IF($J214="Passed with Known Issue","Known Issue",IF($J214="",IF(OR($H214&lt;&gt;"No",AND($F214&lt;&gt;"Medium",$F214&lt;&gt;"Low")),"Pending Result",""),IF(OR($H214&lt;&gt;"No",AND($F214&lt;&gt;"Medium",$F214&lt;&gt;"Low")),IF(COUNTIFS(Dashboard!$B$105:$B$124,$A214,Dashboard!$I$105:$I$124,"CAB")&gt;0,"Accepted (CF)","Blocking"),IF($J214="Failed","Deferrable","Carry Over"))))))</f>
        <v/>
      </c>
      <c r="M214" s="68" t="str">
        <f>IF(OR(TRIM($A214)="",TRIM($E214)=""),"",IFERROR(INDEX('E2E core flow'!$B$15:$B$1000,MATCH(1,INDEX(('E2E core flow'!$A$15:$A$1000&lt;&gt;"")*ISNUMBER(SEARCH('E2E core flow'!$A$15:$A$1000,$E214)),0),0))&amp;"","-"))</f>
        <v/>
      </c>
      <c r="N214" s="68" t="str">
        <f>IF(TRIM($A214)="","",IF($O214=0,IF(COUNTIFS('Card Test Cases'!$B$4:$B$1000,$A214,'Card Test Cases'!$A$4:$A$1000,"&lt;&gt;")&gt;0,"Out of Scope","No TC"),IF($Q214&gt;0,"Failed",IF(COUNTIFS('Card Test Cases'!$B$4:$B$1000,$A214,'Card Test Cases'!$A$4:$A$1000,"&lt;&gt;",'Card Test Cases'!$F$4:$F$1000,"Blocked")&gt;0,"Blocked",IF($R214&gt;0,"In Progress","Passed")))))</f>
        <v/>
      </c>
      <c r="O214" s="68" t="str">
        <f>IF(TRIM($A214)="","",COUNTIFS('Card Test Cases'!$B$4:$B$1000,$A214,'Card Test Cases'!$A$4:$A$1000,"&lt;&gt;",'Card Test Cases'!$F$4:$F$1000,"&lt;&gt;Out of Scope"))</f>
        <v/>
      </c>
      <c r="P214" s="68" t="str">
        <f>IF(TRIM($A214)="","",COUNTIFS('Card Test Cases'!$B$4:$B$1000,$A214,'Card Test Cases'!$A$4:$A$1000,"&lt;&gt;",'Card Test Cases'!$F$4:$F$1000,"Passed"))</f>
        <v/>
      </c>
      <c r="Q214" s="68" t="str">
        <f>IF(TRIM($A214)="","",COUNTIFS('Card Test Cases'!$B$4:$B$1000,$A214,'Card Test Cases'!$A$4:$A$1000,"&lt;&gt;",'Card Test Cases'!$F$4:$F$1000,"Failed"))</f>
        <v/>
      </c>
      <c r="R214" s="68" t="str">
        <f t="shared" si="3"/>
        <v/>
      </c>
      <c r="S214" s="68" t="str" cm="1">
        <f t="array" ref="S214">IF(TRIM($A214)="","",IFERROR(_xlfn.TEXTJOIN(", ",TRUE,_xlfn.UNIQUE(_xlfn.VSTACK(_xlfn._xlws.FILTER('Card Test Cases'!$G$4:$G$1000,('Card Test Cases'!$B$4:$B$1000=$A214)*('Card Test Cases'!$G$4:$G$1000&lt;&gt;""),""),_xlfn._xlws.FILTER('E2E core flow'!$U$15:$U$1000,('E2E core flow'!$A$15:$A$1000&lt;&gt;"")*ISNUMBER(SEARCH('E2E core flow'!$A$15:$A$1000,$E214))*('E2E core flow'!$U$15:$U$1000&lt;&gt;""),"")))),"-"))</f>
        <v/>
      </c>
    </row>
    <row r="215" spans="7:19" x14ac:dyDescent="0.3">
      <c r="G215" s="68" t="str" cm="1">
        <f t="array" ref="G215">_xlfn.LET(_xlpm.ids,'E2E core flow'!$A$15:$A$1000,_xlpm.v,'E2E core flow'!$W$15:$W$1000,_xlpm.m,(_xlpm.ids&lt;&gt;"")*ISNUMBER(SEARCH(_xlpm.ids,$E215)),_xlpm.f,SUM(_xlpm.m*(_xlpm.v="Failed")),_xlpm.b,SUM(_xlpm.m*(_xlpm.v="Blocked")),_xlpm.nr,SUM(_xlpm.m*(_xlpm.v="Not Run")),_xlpm.cp,SUM(_xlpm.m*(_xlpm.v="Conditionally Passed")),_xlpm.p,SUM(_xlpm.m*(_xlpm.v="Passed")),IF(TRIM($A215)="","",IF(TRIM($E215)="","Pending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15" s="68" t="str">
        <f>IF(TRIM($A215)="","",IF($J215="Passed","",IF($J215="Passed with Known Issue","Known Issue",IF($J215="",IF(OR($H215&lt;&gt;"No",AND($F215&lt;&gt;"Medium",$F215&lt;&gt;"Low")),"Pending Result",""),IF(OR($H215&lt;&gt;"No",AND($F215&lt;&gt;"Medium",$F215&lt;&gt;"Low")),IF(COUNTIFS(Dashboard!$B$105:$B$124,$A215,Dashboard!$I$105:$I$124,"CAB")&gt;0,"Accepted (CF)","Blocking"),IF($J215="Failed","Deferrable","Carry Over"))))))</f>
        <v/>
      </c>
      <c r="M215" s="68" t="str">
        <f>IF(OR(TRIM($A215)="",TRIM($E215)=""),"",IFERROR(INDEX('E2E core flow'!$B$15:$B$1000,MATCH(1,INDEX(('E2E core flow'!$A$15:$A$1000&lt;&gt;"")*ISNUMBER(SEARCH('E2E core flow'!$A$15:$A$1000,$E215)),0),0))&amp;"","-"))</f>
        <v/>
      </c>
      <c r="N215" s="68" t="str">
        <f>IF(TRIM($A215)="","",IF($O215=0,IF(COUNTIFS('Card Test Cases'!$B$4:$B$1000,$A215,'Card Test Cases'!$A$4:$A$1000,"&lt;&gt;")&gt;0,"Out of Scope","No TC"),IF($Q215&gt;0,"Failed",IF(COUNTIFS('Card Test Cases'!$B$4:$B$1000,$A215,'Card Test Cases'!$A$4:$A$1000,"&lt;&gt;",'Card Test Cases'!$F$4:$F$1000,"Blocked")&gt;0,"Blocked",IF($R215&gt;0,"In Progress","Passed")))))</f>
        <v/>
      </c>
      <c r="O215" s="68" t="str">
        <f>IF(TRIM($A215)="","",COUNTIFS('Card Test Cases'!$B$4:$B$1000,$A215,'Card Test Cases'!$A$4:$A$1000,"&lt;&gt;",'Card Test Cases'!$F$4:$F$1000,"&lt;&gt;Out of Scope"))</f>
        <v/>
      </c>
      <c r="P215" s="68" t="str">
        <f>IF(TRIM($A215)="","",COUNTIFS('Card Test Cases'!$B$4:$B$1000,$A215,'Card Test Cases'!$A$4:$A$1000,"&lt;&gt;",'Card Test Cases'!$F$4:$F$1000,"Passed"))</f>
        <v/>
      </c>
      <c r="Q215" s="68" t="str">
        <f>IF(TRIM($A215)="","",COUNTIFS('Card Test Cases'!$B$4:$B$1000,$A215,'Card Test Cases'!$A$4:$A$1000,"&lt;&gt;",'Card Test Cases'!$F$4:$F$1000,"Failed"))</f>
        <v/>
      </c>
      <c r="R215" s="68" t="str">
        <f t="shared" si="3"/>
        <v/>
      </c>
      <c r="S215" s="68" t="str" cm="1">
        <f t="array" ref="S215">IF(TRIM($A215)="","",IFERROR(_xlfn.TEXTJOIN(", ",TRUE,_xlfn.UNIQUE(_xlfn.VSTACK(_xlfn._xlws.FILTER('Card Test Cases'!$G$4:$G$1000,('Card Test Cases'!$B$4:$B$1000=$A215)*('Card Test Cases'!$G$4:$G$1000&lt;&gt;""),""),_xlfn._xlws.FILTER('E2E core flow'!$U$15:$U$1000,('E2E core flow'!$A$15:$A$1000&lt;&gt;"")*ISNUMBER(SEARCH('E2E core flow'!$A$15:$A$1000,$E215))*('E2E core flow'!$U$15:$U$1000&lt;&gt;""),"")))),"-"))</f>
        <v/>
      </c>
    </row>
    <row r="216" spans="7:19" x14ac:dyDescent="0.3">
      <c r="G216" s="68" t="str" cm="1">
        <f t="array" ref="G216">_xlfn.LET(_xlpm.ids,'E2E core flow'!$A$15:$A$1000,_xlpm.v,'E2E core flow'!$W$15:$W$1000,_xlpm.m,(_xlpm.ids&lt;&gt;"")*ISNUMBER(SEARCH(_xlpm.ids,$E216)),_xlpm.f,SUM(_xlpm.m*(_xlpm.v="Failed")),_xlpm.b,SUM(_xlpm.m*(_xlpm.v="Blocked")),_xlpm.nr,SUM(_xlpm.m*(_xlpm.v="Not Run")),_xlpm.cp,SUM(_xlpm.m*(_xlpm.v="Conditionally Passed")),_xlpm.p,SUM(_xlpm.m*(_xlpm.v="Passed")),IF(TRIM($A216)="","",IF(TRIM($E216)="","Pending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16" s="68" t="str">
        <f>IF(TRIM($A216)="","",IF($J216="Passed","",IF($J216="Passed with Known Issue","Known Issue",IF($J216="",IF(OR($H216&lt;&gt;"No",AND($F216&lt;&gt;"Medium",$F216&lt;&gt;"Low")),"Pending Result",""),IF(OR($H216&lt;&gt;"No",AND($F216&lt;&gt;"Medium",$F216&lt;&gt;"Low")),IF(COUNTIFS(Dashboard!$B$105:$B$124,$A216,Dashboard!$I$105:$I$124,"CAB")&gt;0,"Accepted (CF)","Blocking"),IF($J216="Failed","Deferrable","Carry Over"))))))</f>
        <v/>
      </c>
      <c r="M216" s="68" t="str">
        <f>IF(OR(TRIM($A216)="",TRIM($E216)=""),"",IFERROR(INDEX('E2E core flow'!$B$15:$B$1000,MATCH(1,INDEX(('E2E core flow'!$A$15:$A$1000&lt;&gt;"")*ISNUMBER(SEARCH('E2E core flow'!$A$15:$A$1000,$E216)),0),0))&amp;"","-"))</f>
        <v/>
      </c>
      <c r="N216" s="68" t="str">
        <f>IF(TRIM($A216)="","",IF($O216=0,IF(COUNTIFS('Card Test Cases'!$B$4:$B$1000,$A216,'Card Test Cases'!$A$4:$A$1000,"&lt;&gt;")&gt;0,"Out of Scope","No TC"),IF($Q216&gt;0,"Failed",IF(COUNTIFS('Card Test Cases'!$B$4:$B$1000,$A216,'Card Test Cases'!$A$4:$A$1000,"&lt;&gt;",'Card Test Cases'!$F$4:$F$1000,"Blocked")&gt;0,"Blocked",IF($R216&gt;0,"In Progress","Passed")))))</f>
        <v/>
      </c>
      <c r="O216" s="68" t="str">
        <f>IF(TRIM($A216)="","",COUNTIFS('Card Test Cases'!$B$4:$B$1000,$A216,'Card Test Cases'!$A$4:$A$1000,"&lt;&gt;",'Card Test Cases'!$F$4:$F$1000,"&lt;&gt;Out of Scope"))</f>
        <v/>
      </c>
      <c r="P216" s="68" t="str">
        <f>IF(TRIM($A216)="","",COUNTIFS('Card Test Cases'!$B$4:$B$1000,$A216,'Card Test Cases'!$A$4:$A$1000,"&lt;&gt;",'Card Test Cases'!$F$4:$F$1000,"Passed"))</f>
        <v/>
      </c>
      <c r="Q216" s="68" t="str">
        <f>IF(TRIM($A216)="","",COUNTIFS('Card Test Cases'!$B$4:$B$1000,$A216,'Card Test Cases'!$A$4:$A$1000,"&lt;&gt;",'Card Test Cases'!$F$4:$F$1000,"Failed"))</f>
        <v/>
      </c>
      <c r="R216" s="68" t="str">
        <f t="shared" si="3"/>
        <v/>
      </c>
      <c r="S216" s="68" t="str" cm="1">
        <f t="array" ref="S216">IF(TRIM($A216)="","",IFERROR(_xlfn.TEXTJOIN(", ",TRUE,_xlfn.UNIQUE(_xlfn.VSTACK(_xlfn._xlws.FILTER('Card Test Cases'!$G$4:$G$1000,('Card Test Cases'!$B$4:$B$1000=$A216)*('Card Test Cases'!$G$4:$G$1000&lt;&gt;""),""),_xlfn._xlws.FILTER('E2E core flow'!$U$15:$U$1000,('E2E core flow'!$A$15:$A$1000&lt;&gt;"")*ISNUMBER(SEARCH('E2E core flow'!$A$15:$A$1000,$E216))*('E2E core flow'!$U$15:$U$1000&lt;&gt;""),"")))),"-"))</f>
        <v/>
      </c>
    </row>
    <row r="217" spans="7:19" x14ac:dyDescent="0.3">
      <c r="G217" s="68" t="str" cm="1">
        <f t="array" ref="G217">_xlfn.LET(_xlpm.ids,'E2E core flow'!$A$15:$A$1000,_xlpm.v,'E2E core flow'!$W$15:$W$1000,_xlpm.m,(_xlpm.ids&lt;&gt;"")*ISNUMBER(SEARCH(_xlpm.ids,$E217)),_xlpm.f,SUM(_xlpm.m*(_xlpm.v="Failed")),_xlpm.b,SUM(_xlpm.m*(_xlpm.v="Blocked")),_xlpm.nr,SUM(_xlpm.m*(_xlpm.v="Not Run")),_xlpm.cp,SUM(_xlpm.m*(_xlpm.v="Conditionally Passed")),_xlpm.p,SUM(_xlpm.m*(_xlpm.v="Passed")),IF(TRIM($A217)="","",IF(TRIM($E217)="","Pending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17" s="68" t="str">
        <f>IF(TRIM($A217)="","",IF($J217="Passed","",IF($J217="Passed with Known Issue","Known Issue",IF($J217="",IF(OR($H217&lt;&gt;"No",AND($F217&lt;&gt;"Medium",$F217&lt;&gt;"Low")),"Pending Result",""),IF(OR($H217&lt;&gt;"No",AND($F217&lt;&gt;"Medium",$F217&lt;&gt;"Low")),IF(COUNTIFS(Dashboard!$B$105:$B$124,$A217,Dashboard!$I$105:$I$124,"CAB")&gt;0,"Accepted (CF)","Blocking"),IF($J217="Failed","Deferrable","Carry Over"))))))</f>
        <v/>
      </c>
      <c r="M217" s="68" t="str">
        <f>IF(OR(TRIM($A217)="",TRIM($E217)=""),"",IFERROR(INDEX('E2E core flow'!$B$15:$B$1000,MATCH(1,INDEX(('E2E core flow'!$A$15:$A$1000&lt;&gt;"")*ISNUMBER(SEARCH('E2E core flow'!$A$15:$A$1000,$E217)),0),0))&amp;"","-"))</f>
        <v/>
      </c>
      <c r="N217" s="68" t="str">
        <f>IF(TRIM($A217)="","",IF($O217=0,IF(COUNTIFS('Card Test Cases'!$B$4:$B$1000,$A217,'Card Test Cases'!$A$4:$A$1000,"&lt;&gt;")&gt;0,"Out of Scope","No TC"),IF($Q217&gt;0,"Failed",IF(COUNTIFS('Card Test Cases'!$B$4:$B$1000,$A217,'Card Test Cases'!$A$4:$A$1000,"&lt;&gt;",'Card Test Cases'!$F$4:$F$1000,"Blocked")&gt;0,"Blocked",IF($R217&gt;0,"In Progress","Passed")))))</f>
        <v/>
      </c>
      <c r="O217" s="68" t="str">
        <f>IF(TRIM($A217)="","",COUNTIFS('Card Test Cases'!$B$4:$B$1000,$A217,'Card Test Cases'!$A$4:$A$1000,"&lt;&gt;",'Card Test Cases'!$F$4:$F$1000,"&lt;&gt;Out of Scope"))</f>
        <v/>
      </c>
      <c r="P217" s="68" t="str">
        <f>IF(TRIM($A217)="","",COUNTIFS('Card Test Cases'!$B$4:$B$1000,$A217,'Card Test Cases'!$A$4:$A$1000,"&lt;&gt;",'Card Test Cases'!$F$4:$F$1000,"Passed"))</f>
        <v/>
      </c>
      <c r="Q217" s="68" t="str">
        <f>IF(TRIM($A217)="","",COUNTIFS('Card Test Cases'!$B$4:$B$1000,$A217,'Card Test Cases'!$A$4:$A$1000,"&lt;&gt;",'Card Test Cases'!$F$4:$F$1000,"Failed"))</f>
        <v/>
      </c>
      <c r="R217" s="68" t="str">
        <f t="shared" si="3"/>
        <v/>
      </c>
      <c r="S217" s="68" t="str" cm="1">
        <f t="array" ref="S217">IF(TRIM($A217)="","",IFERROR(_xlfn.TEXTJOIN(", ",TRUE,_xlfn.UNIQUE(_xlfn.VSTACK(_xlfn._xlws.FILTER('Card Test Cases'!$G$4:$G$1000,('Card Test Cases'!$B$4:$B$1000=$A217)*('Card Test Cases'!$G$4:$G$1000&lt;&gt;""),""),_xlfn._xlws.FILTER('E2E core flow'!$U$15:$U$1000,('E2E core flow'!$A$15:$A$1000&lt;&gt;"")*ISNUMBER(SEARCH('E2E core flow'!$A$15:$A$1000,$E217))*('E2E core flow'!$U$15:$U$1000&lt;&gt;""),"")))),"-"))</f>
        <v/>
      </c>
    </row>
    <row r="218" spans="7:19" x14ac:dyDescent="0.3">
      <c r="G218" s="68" t="str" cm="1">
        <f t="array" ref="G218">_xlfn.LET(_xlpm.ids,'E2E core flow'!$A$15:$A$1000,_xlpm.v,'E2E core flow'!$W$15:$W$1000,_xlpm.m,(_xlpm.ids&lt;&gt;"")*ISNUMBER(SEARCH(_xlpm.ids,$E218)),_xlpm.f,SUM(_xlpm.m*(_xlpm.v="Failed")),_xlpm.b,SUM(_xlpm.m*(_xlpm.v="Blocked")),_xlpm.nr,SUM(_xlpm.m*(_xlpm.v="Not Run")),_xlpm.cp,SUM(_xlpm.m*(_xlpm.v="Conditionally Passed")),_xlpm.p,SUM(_xlpm.m*(_xlpm.v="Passed")),IF(TRIM($A218)="","",IF(TRIM($E218)="","Pending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18" s="68" t="str">
        <f>IF(TRIM($A218)="","",IF($J218="Passed","",IF($J218="Passed with Known Issue","Known Issue",IF($J218="",IF(OR($H218&lt;&gt;"No",AND($F218&lt;&gt;"Medium",$F218&lt;&gt;"Low")),"Pending Result",""),IF(OR($H218&lt;&gt;"No",AND($F218&lt;&gt;"Medium",$F218&lt;&gt;"Low")),IF(COUNTIFS(Dashboard!$B$105:$B$124,$A218,Dashboard!$I$105:$I$124,"CAB")&gt;0,"Accepted (CF)","Blocking"),IF($J218="Failed","Deferrable","Carry Over"))))))</f>
        <v/>
      </c>
      <c r="M218" s="68" t="str">
        <f>IF(OR(TRIM($A218)="",TRIM($E218)=""),"",IFERROR(INDEX('E2E core flow'!$B$15:$B$1000,MATCH(1,INDEX(('E2E core flow'!$A$15:$A$1000&lt;&gt;"")*ISNUMBER(SEARCH('E2E core flow'!$A$15:$A$1000,$E218)),0),0))&amp;"","-"))</f>
        <v/>
      </c>
      <c r="N218" s="68" t="str">
        <f>IF(TRIM($A218)="","",IF($O218=0,IF(COUNTIFS('Card Test Cases'!$B$4:$B$1000,$A218,'Card Test Cases'!$A$4:$A$1000,"&lt;&gt;")&gt;0,"Out of Scope","No TC"),IF($Q218&gt;0,"Failed",IF(COUNTIFS('Card Test Cases'!$B$4:$B$1000,$A218,'Card Test Cases'!$A$4:$A$1000,"&lt;&gt;",'Card Test Cases'!$F$4:$F$1000,"Blocked")&gt;0,"Blocked",IF($R218&gt;0,"In Progress","Passed")))))</f>
        <v/>
      </c>
      <c r="O218" s="68" t="str">
        <f>IF(TRIM($A218)="","",COUNTIFS('Card Test Cases'!$B$4:$B$1000,$A218,'Card Test Cases'!$A$4:$A$1000,"&lt;&gt;",'Card Test Cases'!$F$4:$F$1000,"&lt;&gt;Out of Scope"))</f>
        <v/>
      </c>
      <c r="P218" s="68" t="str">
        <f>IF(TRIM($A218)="","",COUNTIFS('Card Test Cases'!$B$4:$B$1000,$A218,'Card Test Cases'!$A$4:$A$1000,"&lt;&gt;",'Card Test Cases'!$F$4:$F$1000,"Passed"))</f>
        <v/>
      </c>
      <c r="Q218" s="68" t="str">
        <f>IF(TRIM($A218)="","",COUNTIFS('Card Test Cases'!$B$4:$B$1000,$A218,'Card Test Cases'!$A$4:$A$1000,"&lt;&gt;",'Card Test Cases'!$F$4:$F$1000,"Failed"))</f>
        <v/>
      </c>
      <c r="R218" s="68" t="str">
        <f t="shared" si="3"/>
        <v/>
      </c>
      <c r="S218" s="68" t="str" cm="1">
        <f t="array" ref="S218">IF(TRIM($A218)="","",IFERROR(_xlfn.TEXTJOIN(", ",TRUE,_xlfn.UNIQUE(_xlfn.VSTACK(_xlfn._xlws.FILTER('Card Test Cases'!$G$4:$G$1000,('Card Test Cases'!$B$4:$B$1000=$A218)*('Card Test Cases'!$G$4:$G$1000&lt;&gt;""),""),_xlfn._xlws.FILTER('E2E core flow'!$U$15:$U$1000,('E2E core flow'!$A$15:$A$1000&lt;&gt;"")*ISNUMBER(SEARCH('E2E core flow'!$A$15:$A$1000,$E218))*('E2E core flow'!$U$15:$U$1000&lt;&gt;""),"")))),"-"))</f>
        <v/>
      </c>
    </row>
    <row r="219" spans="7:19" x14ac:dyDescent="0.3">
      <c r="G219" s="68" t="str" cm="1">
        <f t="array" ref="G219">_xlfn.LET(_xlpm.ids,'E2E core flow'!$A$15:$A$1000,_xlpm.v,'E2E core flow'!$W$15:$W$1000,_xlpm.m,(_xlpm.ids&lt;&gt;"")*ISNUMBER(SEARCH(_xlpm.ids,$E219)),_xlpm.f,SUM(_xlpm.m*(_xlpm.v="Failed")),_xlpm.b,SUM(_xlpm.m*(_xlpm.v="Blocked")),_xlpm.nr,SUM(_xlpm.m*(_xlpm.v="Not Run")),_xlpm.cp,SUM(_xlpm.m*(_xlpm.v="Conditionally Passed")),_xlpm.p,SUM(_xlpm.m*(_xlpm.v="Passed")),IF(TRIM($A219)="","",IF(TRIM($E219)="","Pending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19" s="68" t="str">
        <f>IF(TRIM($A219)="","",IF($J219="Passed","",IF($J219="Passed with Known Issue","Known Issue",IF($J219="",IF(OR($H219&lt;&gt;"No",AND($F219&lt;&gt;"Medium",$F219&lt;&gt;"Low")),"Pending Result",""),IF(OR($H219&lt;&gt;"No",AND($F219&lt;&gt;"Medium",$F219&lt;&gt;"Low")),IF(COUNTIFS(Dashboard!$B$105:$B$124,$A219,Dashboard!$I$105:$I$124,"CAB")&gt;0,"Accepted (CF)","Blocking"),IF($J219="Failed","Deferrable","Carry Over"))))))</f>
        <v/>
      </c>
      <c r="M219" s="68" t="str">
        <f>IF(OR(TRIM($A219)="",TRIM($E219)=""),"",IFERROR(INDEX('E2E core flow'!$B$15:$B$1000,MATCH(1,INDEX(('E2E core flow'!$A$15:$A$1000&lt;&gt;"")*ISNUMBER(SEARCH('E2E core flow'!$A$15:$A$1000,$E219)),0),0))&amp;"","-"))</f>
        <v/>
      </c>
      <c r="N219" s="68" t="str">
        <f>IF(TRIM($A219)="","",IF($O219=0,IF(COUNTIFS('Card Test Cases'!$B$4:$B$1000,$A219,'Card Test Cases'!$A$4:$A$1000,"&lt;&gt;")&gt;0,"Out of Scope","No TC"),IF($Q219&gt;0,"Failed",IF(COUNTIFS('Card Test Cases'!$B$4:$B$1000,$A219,'Card Test Cases'!$A$4:$A$1000,"&lt;&gt;",'Card Test Cases'!$F$4:$F$1000,"Blocked")&gt;0,"Blocked",IF($R219&gt;0,"In Progress","Passed")))))</f>
        <v/>
      </c>
      <c r="O219" s="68" t="str">
        <f>IF(TRIM($A219)="","",COUNTIFS('Card Test Cases'!$B$4:$B$1000,$A219,'Card Test Cases'!$A$4:$A$1000,"&lt;&gt;",'Card Test Cases'!$F$4:$F$1000,"&lt;&gt;Out of Scope"))</f>
        <v/>
      </c>
      <c r="P219" s="68" t="str">
        <f>IF(TRIM($A219)="","",COUNTIFS('Card Test Cases'!$B$4:$B$1000,$A219,'Card Test Cases'!$A$4:$A$1000,"&lt;&gt;",'Card Test Cases'!$F$4:$F$1000,"Passed"))</f>
        <v/>
      </c>
      <c r="Q219" s="68" t="str">
        <f>IF(TRIM($A219)="","",COUNTIFS('Card Test Cases'!$B$4:$B$1000,$A219,'Card Test Cases'!$A$4:$A$1000,"&lt;&gt;",'Card Test Cases'!$F$4:$F$1000,"Failed"))</f>
        <v/>
      </c>
      <c r="R219" s="68" t="str">
        <f t="shared" si="3"/>
        <v/>
      </c>
      <c r="S219" s="68" t="str" cm="1">
        <f t="array" ref="S219">IF(TRIM($A219)="","",IFERROR(_xlfn.TEXTJOIN(", ",TRUE,_xlfn.UNIQUE(_xlfn.VSTACK(_xlfn._xlws.FILTER('Card Test Cases'!$G$4:$G$1000,('Card Test Cases'!$B$4:$B$1000=$A219)*('Card Test Cases'!$G$4:$G$1000&lt;&gt;""),""),_xlfn._xlws.FILTER('E2E core flow'!$U$15:$U$1000,('E2E core flow'!$A$15:$A$1000&lt;&gt;"")*ISNUMBER(SEARCH('E2E core flow'!$A$15:$A$1000,$E219))*('E2E core flow'!$U$15:$U$1000&lt;&gt;""),"")))),"-"))</f>
        <v/>
      </c>
    </row>
    <row r="220" spans="7:19" x14ac:dyDescent="0.3">
      <c r="G220" s="68" t="str" cm="1">
        <f t="array" ref="G220">_xlfn.LET(_xlpm.ids,'E2E core flow'!$A$15:$A$1000,_xlpm.v,'E2E core flow'!$W$15:$W$1000,_xlpm.m,(_xlpm.ids&lt;&gt;"")*ISNUMBER(SEARCH(_xlpm.ids,$E220)),_xlpm.f,SUM(_xlpm.m*(_xlpm.v="Failed")),_xlpm.b,SUM(_xlpm.m*(_xlpm.v="Blocked")),_xlpm.nr,SUM(_xlpm.m*(_xlpm.v="Not Run")),_xlpm.cp,SUM(_xlpm.m*(_xlpm.v="Conditionally Passed")),_xlpm.p,SUM(_xlpm.m*(_xlpm.v="Passed")),IF(TRIM($A220)="","",IF(TRIM($E220)="","Pending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20" s="68" t="str">
        <f>IF(TRIM($A220)="","",IF($J220="Passed","",IF($J220="Passed with Known Issue","Known Issue",IF($J220="",IF(OR($H220&lt;&gt;"No",AND($F220&lt;&gt;"Medium",$F220&lt;&gt;"Low")),"Pending Result",""),IF(OR($H220&lt;&gt;"No",AND($F220&lt;&gt;"Medium",$F220&lt;&gt;"Low")),IF(COUNTIFS(Dashboard!$B$105:$B$124,$A220,Dashboard!$I$105:$I$124,"CAB")&gt;0,"Accepted (CF)","Blocking"),IF($J220="Failed","Deferrable","Carry Over"))))))</f>
        <v/>
      </c>
      <c r="M220" s="68" t="str">
        <f>IF(OR(TRIM($A220)="",TRIM($E220)=""),"",IFERROR(INDEX('E2E core flow'!$B$15:$B$1000,MATCH(1,INDEX(('E2E core flow'!$A$15:$A$1000&lt;&gt;"")*ISNUMBER(SEARCH('E2E core flow'!$A$15:$A$1000,$E220)),0),0))&amp;"","-"))</f>
        <v/>
      </c>
      <c r="N220" s="68" t="str">
        <f>IF(TRIM($A220)="","",IF($O220=0,IF(COUNTIFS('Card Test Cases'!$B$4:$B$1000,$A220,'Card Test Cases'!$A$4:$A$1000,"&lt;&gt;")&gt;0,"Out of Scope","No TC"),IF($Q220&gt;0,"Failed",IF(COUNTIFS('Card Test Cases'!$B$4:$B$1000,$A220,'Card Test Cases'!$A$4:$A$1000,"&lt;&gt;",'Card Test Cases'!$F$4:$F$1000,"Blocked")&gt;0,"Blocked",IF($R220&gt;0,"In Progress","Passed")))))</f>
        <v/>
      </c>
      <c r="O220" s="68" t="str">
        <f>IF(TRIM($A220)="","",COUNTIFS('Card Test Cases'!$B$4:$B$1000,$A220,'Card Test Cases'!$A$4:$A$1000,"&lt;&gt;",'Card Test Cases'!$F$4:$F$1000,"&lt;&gt;Out of Scope"))</f>
        <v/>
      </c>
      <c r="P220" s="68" t="str">
        <f>IF(TRIM($A220)="","",COUNTIFS('Card Test Cases'!$B$4:$B$1000,$A220,'Card Test Cases'!$A$4:$A$1000,"&lt;&gt;",'Card Test Cases'!$F$4:$F$1000,"Passed"))</f>
        <v/>
      </c>
      <c r="Q220" s="68" t="str">
        <f>IF(TRIM($A220)="","",COUNTIFS('Card Test Cases'!$B$4:$B$1000,$A220,'Card Test Cases'!$A$4:$A$1000,"&lt;&gt;",'Card Test Cases'!$F$4:$F$1000,"Failed"))</f>
        <v/>
      </c>
      <c r="R220" s="68" t="str">
        <f t="shared" si="3"/>
        <v/>
      </c>
      <c r="S220" s="68" t="str" cm="1">
        <f t="array" ref="S220">IF(TRIM($A220)="","",IFERROR(_xlfn.TEXTJOIN(", ",TRUE,_xlfn.UNIQUE(_xlfn.VSTACK(_xlfn._xlws.FILTER('Card Test Cases'!$G$4:$G$1000,('Card Test Cases'!$B$4:$B$1000=$A220)*('Card Test Cases'!$G$4:$G$1000&lt;&gt;""),""),_xlfn._xlws.FILTER('E2E core flow'!$U$15:$U$1000,('E2E core flow'!$A$15:$A$1000&lt;&gt;"")*ISNUMBER(SEARCH('E2E core flow'!$A$15:$A$1000,$E220))*('E2E core flow'!$U$15:$U$1000&lt;&gt;""),"")))),"-"))</f>
        <v/>
      </c>
    </row>
    <row r="221" spans="7:19" x14ac:dyDescent="0.3">
      <c r="G221" s="68" t="str" cm="1">
        <f t="array" ref="G221">_xlfn.LET(_xlpm.ids,'E2E core flow'!$A$15:$A$1000,_xlpm.v,'E2E core flow'!$W$15:$W$1000,_xlpm.m,(_xlpm.ids&lt;&gt;"")*ISNUMBER(SEARCH(_xlpm.ids,$E221)),_xlpm.f,SUM(_xlpm.m*(_xlpm.v="Failed")),_xlpm.b,SUM(_xlpm.m*(_xlpm.v="Blocked")),_xlpm.nr,SUM(_xlpm.m*(_xlpm.v="Not Run")),_xlpm.cp,SUM(_xlpm.m*(_xlpm.v="Conditionally Passed")),_xlpm.p,SUM(_xlpm.m*(_xlpm.v="Passed")),IF(TRIM($A221)="","",IF(TRIM($E221)="","Pending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21" s="68" t="str">
        <f>IF(TRIM($A221)="","",IF($J221="Passed","",IF($J221="Passed with Known Issue","Known Issue",IF($J221="",IF(OR($H221&lt;&gt;"No",AND($F221&lt;&gt;"Medium",$F221&lt;&gt;"Low")),"Pending Result",""),IF(OR($H221&lt;&gt;"No",AND($F221&lt;&gt;"Medium",$F221&lt;&gt;"Low")),IF(COUNTIFS(Dashboard!$B$105:$B$124,$A221,Dashboard!$I$105:$I$124,"CAB")&gt;0,"Accepted (CF)","Blocking"),IF($J221="Failed","Deferrable","Carry Over"))))))</f>
        <v/>
      </c>
      <c r="M221" s="68" t="str">
        <f>IF(OR(TRIM($A221)="",TRIM($E221)=""),"",IFERROR(INDEX('E2E core flow'!$B$15:$B$1000,MATCH(1,INDEX(('E2E core flow'!$A$15:$A$1000&lt;&gt;"")*ISNUMBER(SEARCH('E2E core flow'!$A$15:$A$1000,$E221)),0),0))&amp;"","-"))</f>
        <v/>
      </c>
      <c r="N221" s="68" t="str">
        <f>IF(TRIM($A221)="","",IF($O221=0,IF(COUNTIFS('Card Test Cases'!$B$4:$B$1000,$A221,'Card Test Cases'!$A$4:$A$1000,"&lt;&gt;")&gt;0,"Out of Scope","No TC"),IF($Q221&gt;0,"Failed",IF(COUNTIFS('Card Test Cases'!$B$4:$B$1000,$A221,'Card Test Cases'!$A$4:$A$1000,"&lt;&gt;",'Card Test Cases'!$F$4:$F$1000,"Blocked")&gt;0,"Blocked",IF($R221&gt;0,"In Progress","Passed")))))</f>
        <v/>
      </c>
      <c r="O221" s="68" t="str">
        <f>IF(TRIM($A221)="","",COUNTIFS('Card Test Cases'!$B$4:$B$1000,$A221,'Card Test Cases'!$A$4:$A$1000,"&lt;&gt;",'Card Test Cases'!$F$4:$F$1000,"&lt;&gt;Out of Scope"))</f>
        <v/>
      </c>
      <c r="P221" s="68" t="str">
        <f>IF(TRIM($A221)="","",COUNTIFS('Card Test Cases'!$B$4:$B$1000,$A221,'Card Test Cases'!$A$4:$A$1000,"&lt;&gt;",'Card Test Cases'!$F$4:$F$1000,"Passed"))</f>
        <v/>
      </c>
      <c r="Q221" s="68" t="str">
        <f>IF(TRIM($A221)="","",COUNTIFS('Card Test Cases'!$B$4:$B$1000,$A221,'Card Test Cases'!$A$4:$A$1000,"&lt;&gt;",'Card Test Cases'!$F$4:$F$1000,"Failed"))</f>
        <v/>
      </c>
      <c r="R221" s="68" t="str">
        <f t="shared" si="3"/>
        <v/>
      </c>
      <c r="S221" s="68" t="str" cm="1">
        <f t="array" ref="S221">IF(TRIM($A221)="","",IFERROR(_xlfn.TEXTJOIN(", ",TRUE,_xlfn.UNIQUE(_xlfn.VSTACK(_xlfn._xlws.FILTER('Card Test Cases'!$G$4:$G$1000,('Card Test Cases'!$B$4:$B$1000=$A221)*('Card Test Cases'!$G$4:$G$1000&lt;&gt;""),""),_xlfn._xlws.FILTER('E2E core flow'!$U$15:$U$1000,('E2E core flow'!$A$15:$A$1000&lt;&gt;"")*ISNUMBER(SEARCH('E2E core flow'!$A$15:$A$1000,$E221))*('E2E core flow'!$U$15:$U$1000&lt;&gt;""),"")))),"-"))</f>
        <v/>
      </c>
    </row>
    <row r="222" spans="7:19" x14ac:dyDescent="0.3">
      <c r="G222" s="68" t="str" cm="1">
        <f t="array" ref="G222">_xlfn.LET(_xlpm.ids,'E2E core flow'!$A$15:$A$1000,_xlpm.v,'E2E core flow'!$W$15:$W$1000,_xlpm.m,(_xlpm.ids&lt;&gt;"")*ISNUMBER(SEARCH(_xlpm.ids,$E222)),_xlpm.f,SUM(_xlpm.m*(_xlpm.v="Failed")),_xlpm.b,SUM(_xlpm.m*(_xlpm.v="Blocked")),_xlpm.nr,SUM(_xlpm.m*(_xlpm.v="Not Run")),_xlpm.cp,SUM(_xlpm.m*(_xlpm.v="Conditionally Passed")),_xlpm.p,SUM(_xlpm.m*(_xlpm.v="Passed")),IF(TRIM($A222)="","",IF(TRIM($E222)="","Pending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22" s="68" t="str">
        <f>IF(TRIM($A222)="","",IF($J222="Passed","",IF($J222="Passed with Known Issue","Known Issue",IF($J222="",IF(OR($H222&lt;&gt;"No",AND($F222&lt;&gt;"Medium",$F222&lt;&gt;"Low")),"Pending Result",""),IF(OR($H222&lt;&gt;"No",AND($F222&lt;&gt;"Medium",$F222&lt;&gt;"Low")),IF(COUNTIFS(Dashboard!$B$105:$B$124,$A222,Dashboard!$I$105:$I$124,"CAB")&gt;0,"Accepted (CF)","Blocking"),IF($J222="Failed","Deferrable","Carry Over"))))))</f>
        <v/>
      </c>
      <c r="M222" s="68" t="str">
        <f>IF(OR(TRIM($A222)="",TRIM($E222)=""),"",IFERROR(INDEX('E2E core flow'!$B$15:$B$1000,MATCH(1,INDEX(('E2E core flow'!$A$15:$A$1000&lt;&gt;"")*ISNUMBER(SEARCH('E2E core flow'!$A$15:$A$1000,$E222)),0),0))&amp;"","-"))</f>
        <v/>
      </c>
      <c r="N222" s="68" t="str">
        <f>IF(TRIM($A222)="","",IF($O222=0,IF(COUNTIFS('Card Test Cases'!$B$4:$B$1000,$A222,'Card Test Cases'!$A$4:$A$1000,"&lt;&gt;")&gt;0,"Out of Scope","No TC"),IF($Q222&gt;0,"Failed",IF(COUNTIFS('Card Test Cases'!$B$4:$B$1000,$A222,'Card Test Cases'!$A$4:$A$1000,"&lt;&gt;",'Card Test Cases'!$F$4:$F$1000,"Blocked")&gt;0,"Blocked",IF($R222&gt;0,"In Progress","Passed")))))</f>
        <v/>
      </c>
      <c r="O222" s="68" t="str">
        <f>IF(TRIM($A222)="","",COUNTIFS('Card Test Cases'!$B$4:$B$1000,$A222,'Card Test Cases'!$A$4:$A$1000,"&lt;&gt;",'Card Test Cases'!$F$4:$F$1000,"&lt;&gt;Out of Scope"))</f>
        <v/>
      </c>
      <c r="P222" s="68" t="str">
        <f>IF(TRIM($A222)="","",COUNTIFS('Card Test Cases'!$B$4:$B$1000,$A222,'Card Test Cases'!$A$4:$A$1000,"&lt;&gt;",'Card Test Cases'!$F$4:$F$1000,"Passed"))</f>
        <v/>
      </c>
      <c r="Q222" s="68" t="str">
        <f>IF(TRIM($A222)="","",COUNTIFS('Card Test Cases'!$B$4:$B$1000,$A222,'Card Test Cases'!$A$4:$A$1000,"&lt;&gt;",'Card Test Cases'!$F$4:$F$1000,"Failed"))</f>
        <v/>
      </c>
      <c r="R222" s="68" t="str">
        <f t="shared" si="3"/>
        <v/>
      </c>
      <c r="S222" s="68" t="str" cm="1">
        <f t="array" ref="S222">IF(TRIM($A222)="","",IFERROR(_xlfn.TEXTJOIN(", ",TRUE,_xlfn.UNIQUE(_xlfn.VSTACK(_xlfn._xlws.FILTER('Card Test Cases'!$G$4:$G$1000,('Card Test Cases'!$B$4:$B$1000=$A222)*('Card Test Cases'!$G$4:$G$1000&lt;&gt;""),""),_xlfn._xlws.FILTER('E2E core flow'!$U$15:$U$1000,('E2E core flow'!$A$15:$A$1000&lt;&gt;"")*ISNUMBER(SEARCH('E2E core flow'!$A$15:$A$1000,$E222))*('E2E core flow'!$U$15:$U$1000&lt;&gt;""),"")))),"-"))</f>
        <v/>
      </c>
    </row>
    <row r="223" spans="7:19" x14ac:dyDescent="0.3">
      <c r="G223" s="68" t="str" cm="1">
        <f t="array" ref="G223">_xlfn.LET(_xlpm.ids,'E2E core flow'!$A$15:$A$1000,_xlpm.v,'E2E core flow'!$W$15:$W$1000,_xlpm.m,(_xlpm.ids&lt;&gt;"")*ISNUMBER(SEARCH(_xlpm.ids,$E223)),_xlpm.f,SUM(_xlpm.m*(_xlpm.v="Failed")),_xlpm.b,SUM(_xlpm.m*(_xlpm.v="Blocked")),_xlpm.nr,SUM(_xlpm.m*(_xlpm.v="Not Run")),_xlpm.cp,SUM(_xlpm.m*(_xlpm.v="Conditionally Passed")),_xlpm.p,SUM(_xlpm.m*(_xlpm.v="Passed")),IF(TRIM($A223)="","",IF(TRIM($E223)="","Pending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23" s="68" t="str">
        <f>IF(TRIM($A223)="","",IF($J223="Passed","",IF($J223="Passed with Known Issue","Known Issue",IF($J223="",IF(OR($H223&lt;&gt;"No",AND($F223&lt;&gt;"Medium",$F223&lt;&gt;"Low")),"Pending Result",""),IF(OR($H223&lt;&gt;"No",AND($F223&lt;&gt;"Medium",$F223&lt;&gt;"Low")),IF(COUNTIFS(Dashboard!$B$105:$B$124,$A223,Dashboard!$I$105:$I$124,"CAB")&gt;0,"Accepted (CF)","Blocking"),IF($J223="Failed","Deferrable","Carry Over"))))))</f>
        <v/>
      </c>
      <c r="M223" s="68" t="str">
        <f>IF(OR(TRIM($A223)="",TRIM($E223)=""),"",IFERROR(INDEX('E2E core flow'!$B$15:$B$1000,MATCH(1,INDEX(('E2E core flow'!$A$15:$A$1000&lt;&gt;"")*ISNUMBER(SEARCH('E2E core flow'!$A$15:$A$1000,$E223)),0),0))&amp;"","-"))</f>
        <v/>
      </c>
      <c r="N223" s="68" t="str">
        <f>IF(TRIM($A223)="","",IF($O223=0,IF(COUNTIFS('Card Test Cases'!$B$4:$B$1000,$A223,'Card Test Cases'!$A$4:$A$1000,"&lt;&gt;")&gt;0,"Out of Scope","No TC"),IF($Q223&gt;0,"Failed",IF(COUNTIFS('Card Test Cases'!$B$4:$B$1000,$A223,'Card Test Cases'!$A$4:$A$1000,"&lt;&gt;",'Card Test Cases'!$F$4:$F$1000,"Blocked")&gt;0,"Blocked",IF($R223&gt;0,"In Progress","Passed")))))</f>
        <v/>
      </c>
      <c r="O223" s="68" t="str">
        <f>IF(TRIM($A223)="","",COUNTIFS('Card Test Cases'!$B$4:$B$1000,$A223,'Card Test Cases'!$A$4:$A$1000,"&lt;&gt;",'Card Test Cases'!$F$4:$F$1000,"&lt;&gt;Out of Scope"))</f>
        <v/>
      </c>
      <c r="P223" s="68" t="str">
        <f>IF(TRIM($A223)="","",COUNTIFS('Card Test Cases'!$B$4:$B$1000,$A223,'Card Test Cases'!$A$4:$A$1000,"&lt;&gt;",'Card Test Cases'!$F$4:$F$1000,"Passed"))</f>
        <v/>
      </c>
      <c r="Q223" s="68" t="str">
        <f>IF(TRIM($A223)="","",COUNTIFS('Card Test Cases'!$B$4:$B$1000,$A223,'Card Test Cases'!$A$4:$A$1000,"&lt;&gt;",'Card Test Cases'!$F$4:$F$1000,"Failed"))</f>
        <v/>
      </c>
      <c r="R223" s="68" t="str">
        <f t="shared" si="3"/>
        <v/>
      </c>
      <c r="S223" s="68" t="str" cm="1">
        <f t="array" ref="S223">IF(TRIM($A223)="","",IFERROR(_xlfn.TEXTJOIN(", ",TRUE,_xlfn.UNIQUE(_xlfn.VSTACK(_xlfn._xlws.FILTER('Card Test Cases'!$G$4:$G$1000,('Card Test Cases'!$B$4:$B$1000=$A223)*('Card Test Cases'!$G$4:$G$1000&lt;&gt;""),""),_xlfn._xlws.FILTER('E2E core flow'!$U$15:$U$1000,('E2E core flow'!$A$15:$A$1000&lt;&gt;"")*ISNUMBER(SEARCH('E2E core flow'!$A$15:$A$1000,$E223))*('E2E core flow'!$U$15:$U$1000&lt;&gt;""),"")))),"-"))</f>
        <v/>
      </c>
    </row>
    <row r="224" spans="7:19" x14ac:dyDescent="0.3">
      <c r="G224" s="68" t="str" cm="1">
        <f t="array" ref="G224">_xlfn.LET(_xlpm.ids,'E2E core flow'!$A$15:$A$1000,_xlpm.v,'E2E core flow'!$W$15:$W$1000,_xlpm.m,(_xlpm.ids&lt;&gt;"")*ISNUMBER(SEARCH(_xlpm.ids,$E224)),_xlpm.f,SUM(_xlpm.m*(_xlpm.v="Failed")),_xlpm.b,SUM(_xlpm.m*(_xlpm.v="Blocked")),_xlpm.nr,SUM(_xlpm.m*(_xlpm.v="Not Run")),_xlpm.cp,SUM(_xlpm.m*(_xlpm.v="Conditionally Passed")),_xlpm.p,SUM(_xlpm.m*(_xlpm.v="Passed")),IF(TRIM($A224)="","",IF(TRIM($E224)="","Pending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24" s="68" t="str">
        <f>IF(TRIM($A224)="","",IF($J224="Passed","",IF($J224="Passed with Known Issue","Known Issue",IF($J224="",IF(OR($H224&lt;&gt;"No",AND($F224&lt;&gt;"Medium",$F224&lt;&gt;"Low")),"Pending Result",""),IF(OR($H224&lt;&gt;"No",AND($F224&lt;&gt;"Medium",$F224&lt;&gt;"Low")),IF(COUNTIFS(Dashboard!$B$105:$B$124,$A224,Dashboard!$I$105:$I$124,"CAB")&gt;0,"Accepted (CF)","Blocking"),IF($J224="Failed","Deferrable","Carry Over"))))))</f>
        <v/>
      </c>
      <c r="M224" s="68" t="str">
        <f>IF(OR(TRIM($A224)="",TRIM($E224)=""),"",IFERROR(INDEX('E2E core flow'!$B$15:$B$1000,MATCH(1,INDEX(('E2E core flow'!$A$15:$A$1000&lt;&gt;"")*ISNUMBER(SEARCH('E2E core flow'!$A$15:$A$1000,$E224)),0),0))&amp;"","-"))</f>
        <v/>
      </c>
      <c r="N224" s="68" t="str">
        <f>IF(TRIM($A224)="","",IF($O224=0,IF(COUNTIFS('Card Test Cases'!$B$4:$B$1000,$A224,'Card Test Cases'!$A$4:$A$1000,"&lt;&gt;")&gt;0,"Out of Scope","No TC"),IF($Q224&gt;0,"Failed",IF(COUNTIFS('Card Test Cases'!$B$4:$B$1000,$A224,'Card Test Cases'!$A$4:$A$1000,"&lt;&gt;",'Card Test Cases'!$F$4:$F$1000,"Blocked")&gt;0,"Blocked",IF($R224&gt;0,"In Progress","Passed")))))</f>
        <v/>
      </c>
      <c r="O224" s="68" t="str">
        <f>IF(TRIM($A224)="","",COUNTIFS('Card Test Cases'!$B$4:$B$1000,$A224,'Card Test Cases'!$A$4:$A$1000,"&lt;&gt;",'Card Test Cases'!$F$4:$F$1000,"&lt;&gt;Out of Scope"))</f>
        <v/>
      </c>
      <c r="P224" s="68" t="str">
        <f>IF(TRIM($A224)="","",COUNTIFS('Card Test Cases'!$B$4:$B$1000,$A224,'Card Test Cases'!$A$4:$A$1000,"&lt;&gt;",'Card Test Cases'!$F$4:$F$1000,"Passed"))</f>
        <v/>
      </c>
      <c r="Q224" s="68" t="str">
        <f>IF(TRIM($A224)="","",COUNTIFS('Card Test Cases'!$B$4:$B$1000,$A224,'Card Test Cases'!$A$4:$A$1000,"&lt;&gt;",'Card Test Cases'!$F$4:$F$1000,"Failed"))</f>
        <v/>
      </c>
      <c r="R224" s="68" t="str">
        <f t="shared" si="3"/>
        <v/>
      </c>
      <c r="S224" s="68" t="str" cm="1">
        <f t="array" ref="S224">IF(TRIM($A224)="","",IFERROR(_xlfn.TEXTJOIN(", ",TRUE,_xlfn.UNIQUE(_xlfn.VSTACK(_xlfn._xlws.FILTER('Card Test Cases'!$G$4:$G$1000,('Card Test Cases'!$B$4:$B$1000=$A224)*('Card Test Cases'!$G$4:$G$1000&lt;&gt;""),""),_xlfn._xlws.FILTER('E2E core flow'!$U$15:$U$1000,('E2E core flow'!$A$15:$A$1000&lt;&gt;"")*ISNUMBER(SEARCH('E2E core flow'!$A$15:$A$1000,$E224))*('E2E core flow'!$U$15:$U$1000&lt;&gt;""),"")))),"-"))</f>
        <v/>
      </c>
    </row>
    <row r="225" spans="7:19" x14ac:dyDescent="0.3">
      <c r="G225" s="68" t="str" cm="1">
        <f t="array" ref="G225">_xlfn.LET(_xlpm.ids,'E2E core flow'!$A$15:$A$1000,_xlpm.v,'E2E core flow'!$W$15:$W$1000,_xlpm.m,(_xlpm.ids&lt;&gt;"")*ISNUMBER(SEARCH(_xlpm.ids,$E225)),_xlpm.f,SUM(_xlpm.m*(_xlpm.v="Failed")),_xlpm.b,SUM(_xlpm.m*(_xlpm.v="Blocked")),_xlpm.nr,SUM(_xlpm.m*(_xlpm.v="Not Run")),_xlpm.cp,SUM(_xlpm.m*(_xlpm.v="Conditionally Passed")),_xlpm.p,SUM(_xlpm.m*(_xlpm.v="Passed")),IF(TRIM($A225)="","",IF(TRIM($E225)="","Pending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25" s="68" t="str">
        <f>IF(TRIM($A225)="","",IF($J225="Passed","",IF($J225="Passed with Known Issue","Known Issue",IF($J225="",IF(OR($H225&lt;&gt;"No",AND($F225&lt;&gt;"Medium",$F225&lt;&gt;"Low")),"Pending Result",""),IF(OR($H225&lt;&gt;"No",AND($F225&lt;&gt;"Medium",$F225&lt;&gt;"Low")),IF(COUNTIFS(Dashboard!$B$105:$B$124,$A225,Dashboard!$I$105:$I$124,"CAB")&gt;0,"Accepted (CF)","Blocking"),IF($J225="Failed","Deferrable","Carry Over"))))))</f>
        <v/>
      </c>
      <c r="M225" s="68" t="str">
        <f>IF(OR(TRIM($A225)="",TRIM($E225)=""),"",IFERROR(INDEX('E2E core flow'!$B$15:$B$1000,MATCH(1,INDEX(('E2E core flow'!$A$15:$A$1000&lt;&gt;"")*ISNUMBER(SEARCH('E2E core flow'!$A$15:$A$1000,$E225)),0),0))&amp;"","-"))</f>
        <v/>
      </c>
      <c r="N225" s="68" t="str">
        <f>IF(TRIM($A225)="","",IF($O225=0,IF(COUNTIFS('Card Test Cases'!$B$4:$B$1000,$A225,'Card Test Cases'!$A$4:$A$1000,"&lt;&gt;")&gt;0,"Out of Scope","No TC"),IF($Q225&gt;0,"Failed",IF(COUNTIFS('Card Test Cases'!$B$4:$B$1000,$A225,'Card Test Cases'!$A$4:$A$1000,"&lt;&gt;",'Card Test Cases'!$F$4:$F$1000,"Blocked")&gt;0,"Blocked",IF($R225&gt;0,"In Progress","Passed")))))</f>
        <v/>
      </c>
      <c r="O225" s="68" t="str">
        <f>IF(TRIM($A225)="","",COUNTIFS('Card Test Cases'!$B$4:$B$1000,$A225,'Card Test Cases'!$A$4:$A$1000,"&lt;&gt;",'Card Test Cases'!$F$4:$F$1000,"&lt;&gt;Out of Scope"))</f>
        <v/>
      </c>
      <c r="P225" s="68" t="str">
        <f>IF(TRIM($A225)="","",COUNTIFS('Card Test Cases'!$B$4:$B$1000,$A225,'Card Test Cases'!$A$4:$A$1000,"&lt;&gt;",'Card Test Cases'!$F$4:$F$1000,"Passed"))</f>
        <v/>
      </c>
      <c r="Q225" s="68" t="str">
        <f>IF(TRIM($A225)="","",COUNTIFS('Card Test Cases'!$B$4:$B$1000,$A225,'Card Test Cases'!$A$4:$A$1000,"&lt;&gt;",'Card Test Cases'!$F$4:$F$1000,"Failed"))</f>
        <v/>
      </c>
      <c r="R225" s="68" t="str">
        <f t="shared" si="3"/>
        <v/>
      </c>
      <c r="S225" s="68" t="str" cm="1">
        <f t="array" ref="S225">IF(TRIM($A225)="","",IFERROR(_xlfn.TEXTJOIN(", ",TRUE,_xlfn.UNIQUE(_xlfn.VSTACK(_xlfn._xlws.FILTER('Card Test Cases'!$G$4:$G$1000,('Card Test Cases'!$B$4:$B$1000=$A225)*('Card Test Cases'!$G$4:$G$1000&lt;&gt;""),""),_xlfn._xlws.FILTER('E2E core flow'!$U$15:$U$1000,('E2E core flow'!$A$15:$A$1000&lt;&gt;"")*ISNUMBER(SEARCH('E2E core flow'!$A$15:$A$1000,$E225))*('E2E core flow'!$U$15:$U$1000&lt;&gt;""),"")))),"-"))</f>
        <v/>
      </c>
    </row>
    <row r="226" spans="7:19" x14ac:dyDescent="0.3">
      <c r="G226" s="68" t="str" cm="1">
        <f t="array" ref="G226">_xlfn.LET(_xlpm.ids,'E2E core flow'!$A$15:$A$1000,_xlpm.v,'E2E core flow'!$W$15:$W$1000,_xlpm.m,(_xlpm.ids&lt;&gt;"")*ISNUMBER(SEARCH(_xlpm.ids,$E226)),_xlpm.f,SUM(_xlpm.m*(_xlpm.v="Failed")),_xlpm.b,SUM(_xlpm.m*(_xlpm.v="Blocked")),_xlpm.nr,SUM(_xlpm.m*(_xlpm.v="Not Run")),_xlpm.cp,SUM(_xlpm.m*(_xlpm.v="Conditionally Passed")),_xlpm.p,SUM(_xlpm.m*(_xlpm.v="Passed")),IF(TRIM($A226)="","",IF(TRIM($E226)="","Pending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26" s="68" t="str">
        <f>IF(TRIM($A226)="","",IF($J226="Passed","",IF($J226="Passed with Known Issue","Known Issue",IF($J226="",IF(OR($H226&lt;&gt;"No",AND($F226&lt;&gt;"Medium",$F226&lt;&gt;"Low")),"Pending Result",""),IF(OR($H226&lt;&gt;"No",AND($F226&lt;&gt;"Medium",$F226&lt;&gt;"Low")),IF(COUNTIFS(Dashboard!$B$105:$B$124,$A226,Dashboard!$I$105:$I$124,"CAB")&gt;0,"Accepted (CF)","Blocking"),IF($J226="Failed","Deferrable","Carry Over"))))))</f>
        <v/>
      </c>
      <c r="M226" s="68" t="str">
        <f>IF(OR(TRIM($A226)="",TRIM($E226)=""),"",IFERROR(INDEX('E2E core flow'!$B$15:$B$1000,MATCH(1,INDEX(('E2E core flow'!$A$15:$A$1000&lt;&gt;"")*ISNUMBER(SEARCH('E2E core flow'!$A$15:$A$1000,$E226)),0),0))&amp;"","-"))</f>
        <v/>
      </c>
      <c r="N226" s="68" t="str">
        <f>IF(TRIM($A226)="","",IF($O226=0,IF(COUNTIFS('Card Test Cases'!$B$4:$B$1000,$A226,'Card Test Cases'!$A$4:$A$1000,"&lt;&gt;")&gt;0,"Out of Scope","No TC"),IF($Q226&gt;0,"Failed",IF(COUNTIFS('Card Test Cases'!$B$4:$B$1000,$A226,'Card Test Cases'!$A$4:$A$1000,"&lt;&gt;",'Card Test Cases'!$F$4:$F$1000,"Blocked")&gt;0,"Blocked",IF($R226&gt;0,"In Progress","Passed")))))</f>
        <v/>
      </c>
      <c r="O226" s="68" t="str">
        <f>IF(TRIM($A226)="","",COUNTIFS('Card Test Cases'!$B$4:$B$1000,$A226,'Card Test Cases'!$A$4:$A$1000,"&lt;&gt;",'Card Test Cases'!$F$4:$F$1000,"&lt;&gt;Out of Scope"))</f>
        <v/>
      </c>
      <c r="P226" s="68" t="str">
        <f>IF(TRIM($A226)="","",COUNTIFS('Card Test Cases'!$B$4:$B$1000,$A226,'Card Test Cases'!$A$4:$A$1000,"&lt;&gt;",'Card Test Cases'!$F$4:$F$1000,"Passed"))</f>
        <v/>
      </c>
      <c r="Q226" s="68" t="str">
        <f>IF(TRIM($A226)="","",COUNTIFS('Card Test Cases'!$B$4:$B$1000,$A226,'Card Test Cases'!$A$4:$A$1000,"&lt;&gt;",'Card Test Cases'!$F$4:$F$1000,"Failed"))</f>
        <v/>
      </c>
      <c r="R226" s="68" t="str">
        <f t="shared" si="3"/>
        <v/>
      </c>
      <c r="S226" s="68" t="str" cm="1">
        <f t="array" ref="S226">IF(TRIM($A226)="","",IFERROR(_xlfn.TEXTJOIN(", ",TRUE,_xlfn.UNIQUE(_xlfn.VSTACK(_xlfn._xlws.FILTER('Card Test Cases'!$G$4:$G$1000,('Card Test Cases'!$B$4:$B$1000=$A226)*('Card Test Cases'!$G$4:$G$1000&lt;&gt;""),""),_xlfn._xlws.FILTER('E2E core flow'!$U$15:$U$1000,('E2E core flow'!$A$15:$A$1000&lt;&gt;"")*ISNUMBER(SEARCH('E2E core flow'!$A$15:$A$1000,$E226))*('E2E core flow'!$U$15:$U$1000&lt;&gt;""),"")))),"-"))</f>
        <v/>
      </c>
    </row>
    <row r="227" spans="7:19" x14ac:dyDescent="0.3">
      <c r="G227" s="68" t="str" cm="1">
        <f t="array" ref="G227">_xlfn.LET(_xlpm.ids,'E2E core flow'!$A$15:$A$1000,_xlpm.v,'E2E core flow'!$W$15:$W$1000,_xlpm.m,(_xlpm.ids&lt;&gt;"")*ISNUMBER(SEARCH(_xlpm.ids,$E227)),_xlpm.f,SUM(_xlpm.m*(_xlpm.v="Failed")),_xlpm.b,SUM(_xlpm.m*(_xlpm.v="Blocked")),_xlpm.nr,SUM(_xlpm.m*(_xlpm.v="Not Run")),_xlpm.cp,SUM(_xlpm.m*(_xlpm.v="Conditionally Passed")),_xlpm.p,SUM(_xlpm.m*(_xlpm.v="Passed")),IF(TRIM($A227)="","",IF(TRIM($E227)="","Pending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27" s="68" t="str">
        <f>IF(TRIM($A227)="","",IF($J227="Passed","",IF($J227="Passed with Known Issue","Known Issue",IF($J227="",IF(OR($H227&lt;&gt;"No",AND($F227&lt;&gt;"Medium",$F227&lt;&gt;"Low")),"Pending Result",""),IF(OR($H227&lt;&gt;"No",AND($F227&lt;&gt;"Medium",$F227&lt;&gt;"Low")),IF(COUNTIFS(Dashboard!$B$105:$B$124,$A227,Dashboard!$I$105:$I$124,"CAB")&gt;0,"Accepted (CF)","Blocking"),IF($J227="Failed","Deferrable","Carry Over"))))))</f>
        <v/>
      </c>
      <c r="M227" s="68" t="str">
        <f>IF(OR(TRIM($A227)="",TRIM($E227)=""),"",IFERROR(INDEX('E2E core flow'!$B$15:$B$1000,MATCH(1,INDEX(('E2E core flow'!$A$15:$A$1000&lt;&gt;"")*ISNUMBER(SEARCH('E2E core flow'!$A$15:$A$1000,$E227)),0),0))&amp;"","-"))</f>
        <v/>
      </c>
      <c r="N227" s="68" t="str">
        <f>IF(TRIM($A227)="","",IF($O227=0,IF(COUNTIFS('Card Test Cases'!$B$4:$B$1000,$A227,'Card Test Cases'!$A$4:$A$1000,"&lt;&gt;")&gt;0,"Out of Scope","No TC"),IF($Q227&gt;0,"Failed",IF(COUNTIFS('Card Test Cases'!$B$4:$B$1000,$A227,'Card Test Cases'!$A$4:$A$1000,"&lt;&gt;",'Card Test Cases'!$F$4:$F$1000,"Blocked")&gt;0,"Blocked",IF($R227&gt;0,"In Progress","Passed")))))</f>
        <v/>
      </c>
      <c r="O227" s="68" t="str">
        <f>IF(TRIM($A227)="","",COUNTIFS('Card Test Cases'!$B$4:$B$1000,$A227,'Card Test Cases'!$A$4:$A$1000,"&lt;&gt;",'Card Test Cases'!$F$4:$F$1000,"&lt;&gt;Out of Scope"))</f>
        <v/>
      </c>
      <c r="P227" s="68" t="str">
        <f>IF(TRIM($A227)="","",COUNTIFS('Card Test Cases'!$B$4:$B$1000,$A227,'Card Test Cases'!$A$4:$A$1000,"&lt;&gt;",'Card Test Cases'!$F$4:$F$1000,"Passed"))</f>
        <v/>
      </c>
      <c r="Q227" s="68" t="str">
        <f>IF(TRIM($A227)="","",COUNTIFS('Card Test Cases'!$B$4:$B$1000,$A227,'Card Test Cases'!$A$4:$A$1000,"&lt;&gt;",'Card Test Cases'!$F$4:$F$1000,"Failed"))</f>
        <v/>
      </c>
      <c r="R227" s="68" t="str">
        <f t="shared" si="3"/>
        <v/>
      </c>
      <c r="S227" s="68" t="str" cm="1">
        <f t="array" ref="S227">IF(TRIM($A227)="","",IFERROR(_xlfn.TEXTJOIN(", ",TRUE,_xlfn.UNIQUE(_xlfn.VSTACK(_xlfn._xlws.FILTER('Card Test Cases'!$G$4:$G$1000,('Card Test Cases'!$B$4:$B$1000=$A227)*('Card Test Cases'!$G$4:$G$1000&lt;&gt;""),""),_xlfn._xlws.FILTER('E2E core flow'!$U$15:$U$1000,('E2E core flow'!$A$15:$A$1000&lt;&gt;"")*ISNUMBER(SEARCH('E2E core flow'!$A$15:$A$1000,$E227))*('E2E core flow'!$U$15:$U$1000&lt;&gt;""),"")))),"-"))</f>
        <v/>
      </c>
    </row>
    <row r="228" spans="7:19" x14ac:dyDescent="0.3">
      <c r="G228" s="68" t="str" cm="1">
        <f t="array" ref="G228">_xlfn.LET(_xlpm.ids,'E2E core flow'!$A$15:$A$1000,_xlpm.v,'E2E core flow'!$W$15:$W$1000,_xlpm.m,(_xlpm.ids&lt;&gt;"")*ISNUMBER(SEARCH(_xlpm.ids,$E228)),_xlpm.f,SUM(_xlpm.m*(_xlpm.v="Failed")),_xlpm.b,SUM(_xlpm.m*(_xlpm.v="Blocked")),_xlpm.nr,SUM(_xlpm.m*(_xlpm.v="Not Run")),_xlpm.cp,SUM(_xlpm.m*(_xlpm.v="Conditionally Passed")),_xlpm.p,SUM(_xlpm.m*(_xlpm.v="Passed")),IF(TRIM($A228)="","",IF(TRIM($E228)="","Pending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28" s="68" t="str">
        <f>IF(TRIM($A228)="","",IF($J228="Passed","",IF($J228="Passed with Known Issue","Known Issue",IF($J228="",IF(OR($H228&lt;&gt;"No",AND($F228&lt;&gt;"Medium",$F228&lt;&gt;"Low")),"Pending Result",""),IF(OR($H228&lt;&gt;"No",AND($F228&lt;&gt;"Medium",$F228&lt;&gt;"Low")),IF(COUNTIFS(Dashboard!$B$105:$B$124,$A228,Dashboard!$I$105:$I$124,"CAB")&gt;0,"Accepted (CF)","Blocking"),IF($J228="Failed","Deferrable","Carry Over"))))))</f>
        <v/>
      </c>
      <c r="M228" s="68" t="str">
        <f>IF(OR(TRIM($A228)="",TRIM($E228)=""),"",IFERROR(INDEX('E2E core flow'!$B$15:$B$1000,MATCH(1,INDEX(('E2E core flow'!$A$15:$A$1000&lt;&gt;"")*ISNUMBER(SEARCH('E2E core flow'!$A$15:$A$1000,$E228)),0),0))&amp;"","-"))</f>
        <v/>
      </c>
      <c r="N228" s="68" t="str">
        <f>IF(TRIM($A228)="","",IF($O228=0,IF(COUNTIFS('Card Test Cases'!$B$4:$B$1000,$A228,'Card Test Cases'!$A$4:$A$1000,"&lt;&gt;")&gt;0,"Out of Scope","No TC"),IF($Q228&gt;0,"Failed",IF(COUNTIFS('Card Test Cases'!$B$4:$B$1000,$A228,'Card Test Cases'!$A$4:$A$1000,"&lt;&gt;",'Card Test Cases'!$F$4:$F$1000,"Blocked")&gt;0,"Blocked",IF($R228&gt;0,"In Progress","Passed")))))</f>
        <v/>
      </c>
      <c r="O228" s="68" t="str">
        <f>IF(TRIM($A228)="","",COUNTIFS('Card Test Cases'!$B$4:$B$1000,$A228,'Card Test Cases'!$A$4:$A$1000,"&lt;&gt;",'Card Test Cases'!$F$4:$F$1000,"&lt;&gt;Out of Scope"))</f>
        <v/>
      </c>
      <c r="P228" s="68" t="str">
        <f>IF(TRIM($A228)="","",COUNTIFS('Card Test Cases'!$B$4:$B$1000,$A228,'Card Test Cases'!$A$4:$A$1000,"&lt;&gt;",'Card Test Cases'!$F$4:$F$1000,"Passed"))</f>
        <v/>
      </c>
      <c r="Q228" s="68" t="str">
        <f>IF(TRIM($A228)="","",COUNTIFS('Card Test Cases'!$B$4:$B$1000,$A228,'Card Test Cases'!$A$4:$A$1000,"&lt;&gt;",'Card Test Cases'!$F$4:$F$1000,"Failed"))</f>
        <v/>
      </c>
      <c r="R228" s="68" t="str">
        <f t="shared" si="3"/>
        <v/>
      </c>
      <c r="S228" s="68" t="str" cm="1">
        <f t="array" ref="S228">IF(TRIM($A228)="","",IFERROR(_xlfn.TEXTJOIN(", ",TRUE,_xlfn.UNIQUE(_xlfn.VSTACK(_xlfn._xlws.FILTER('Card Test Cases'!$G$4:$G$1000,('Card Test Cases'!$B$4:$B$1000=$A228)*('Card Test Cases'!$G$4:$G$1000&lt;&gt;""),""),_xlfn._xlws.FILTER('E2E core flow'!$U$15:$U$1000,('E2E core flow'!$A$15:$A$1000&lt;&gt;"")*ISNUMBER(SEARCH('E2E core flow'!$A$15:$A$1000,$E228))*('E2E core flow'!$U$15:$U$1000&lt;&gt;""),"")))),"-"))</f>
        <v/>
      </c>
    </row>
    <row r="229" spans="7:19" x14ac:dyDescent="0.3">
      <c r="G229" s="68" t="str" cm="1">
        <f t="array" ref="G229">_xlfn.LET(_xlpm.ids,'E2E core flow'!$A$15:$A$1000,_xlpm.v,'E2E core flow'!$W$15:$W$1000,_xlpm.m,(_xlpm.ids&lt;&gt;"")*ISNUMBER(SEARCH(_xlpm.ids,$E229)),_xlpm.f,SUM(_xlpm.m*(_xlpm.v="Failed")),_xlpm.b,SUM(_xlpm.m*(_xlpm.v="Blocked")),_xlpm.nr,SUM(_xlpm.m*(_xlpm.v="Not Run")),_xlpm.cp,SUM(_xlpm.m*(_xlpm.v="Conditionally Passed")),_xlpm.p,SUM(_xlpm.m*(_xlpm.v="Passed")),IF(TRIM($A229)="","",IF(TRIM($E229)="","Pending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29" s="68" t="str">
        <f>IF(TRIM($A229)="","",IF($J229="Passed","",IF($J229="Passed with Known Issue","Known Issue",IF($J229="",IF(OR($H229&lt;&gt;"No",AND($F229&lt;&gt;"Medium",$F229&lt;&gt;"Low")),"Pending Result",""),IF(OR($H229&lt;&gt;"No",AND($F229&lt;&gt;"Medium",$F229&lt;&gt;"Low")),IF(COUNTIFS(Dashboard!$B$105:$B$124,$A229,Dashboard!$I$105:$I$124,"CAB")&gt;0,"Accepted (CF)","Blocking"),IF($J229="Failed","Deferrable","Carry Over"))))))</f>
        <v/>
      </c>
      <c r="M229" s="68" t="str">
        <f>IF(OR(TRIM($A229)="",TRIM($E229)=""),"",IFERROR(INDEX('E2E core flow'!$B$15:$B$1000,MATCH(1,INDEX(('E2E core flow'!$A$15:$A$1000&lt;&gt;"")*ISNUMBER(SEARCH('E2E core flow'!$A$15:$A$1000,$E229)),0),0))&amp;"","-"))</f>
        <v/>
      </c>
      <c r="N229" s="68" t="str">
        <f>IF(TRIM($A229)="","",IF($O229=0,IF(COUNTIFS('Card Test Cases'!$B$4:$B$1000,$A229,'Card Test Cases'!$A$4:$A$1000,"&lt;&gt;")&gt;0,"Out of Scope","No TC"),IF($Q229&gt;0,"Failed",IF(COUNTIFS('Card Test Cases'!$B$4:$B$1000,$A229,'Card Test Cases'!$A$4:$A$1000,"&lt;&gt;",'Card Test Cases'!$F$4:$F$1000,"Blocked")&gt;0,"Blocked",IF($R229&gt;0,"In Progress","Passed")))))</f>
        <v/>
      </c>
      <c r="O229" s="68" t="str">
        <f>IF(TRIM($A229)="","",COUNTIFS('Card Test Cases'!$B$4:$B$1000,$A229,'Card Test Cases'!$A$4:$A$1000,"&lt;&gt;",'Card Test Cases'!$F$4:$F$1000,"&lt;&gt;Out of Scope"))</f>
        <v/>
      </c>
      <c r="P229" s="68" t="str">
        <f>IF(TRIM($A229)="","",COUNTIFS('Card Test Cases'!$B$4:$B$1000,$A229,'Card Test Cases'!$A$4:$A$1000,"&lt;&gt;",'Card Test Cases'!$F$4:$F$1000,"Passed"))</f>
        <v/>
      </c>
      <c r="Q229" s="68" t="str">
        <f>IF(TRIM($A229)="","",COUNTIFS('Card Test Cases'!$B$4:$B$1000,$A229,'Card Test Cases'!$A$4:$A$1000,"&lt;&gt;",'Card Test Cases'!$F$4:$F$1000,"Failed"))</f>
        <v/>
      </c>
      <c r="R229" s="68" t="str">
        <f t="shared" si="3"/>
        <v/>
      </c>
      <c r="S229" s="68" t="str" cm="1">
        <f t="array" ref="S229">IF(TRIM($A229)="","",IFERROR(_xlfn.TEXTJOIN(", ",TRUE,_xlfn.UNIQUE(_xlfn.VSTACK(_xlfn._xlws.FILTER('Card Test Cases'!$G$4:$G$1000,('Card Test Cases'!$B$4:$B$1000=$A229)*('Card Test Cases'!$G$4:$G$1000&lt;&gt;""),""),_xlfn._xlws.FILTER('E2E core flow'!$U$15:$U$1000,('E2E core flow'!$A$15:$A$1000&lt;&gt;"")*ISNUMBER(SEARCH('E2E core flow'!$A$15:$A$1000,$E229))*('E2E core flow'!$U$15:$U$1000&lt;&gt;""),"")))),"-"))</f>
        <v/>
      </c>
    </row>
    <row r="230" spans="7:19" x14ac:dyDescent="0.3">
      <c r="G230" s="68" t="str" cm="1">
        <f t="array" ref="G230">_xlfn.LET(_xlpm.ids,'E2E core flow'!$A$15:$A$1000,_xlpm.v,'E2E core flow'!$W$15:$W$1000,_xlpm.m,(_xlpm.ids&lt;&gt;"")*ISNUMBER(SEARCH(_xlpm.ids,$E230)),_xlpm.f,SUM(_xlpm.m*(_xlpm.v="Failed")),_xlpm.b,SUM(_xlpm.m*(_xlpm.v="Blocked")),_xlpm.nr,SUM(_xlpm.m*(_xlpm.v="Not Run")),_xlpm.cp,SUM(_xlpm.m*(_xlpm.v="Conditionally Passed")),_xlpm.p,SUM(_xlpm.m*(_xlpm.v="Passed")),IF(TRIM($A230)="","",IF(TRIM($E230)="","Pending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30" s="68" t="str">
        <f>IF(TRIM($A230)="","",IF($J230="Passed","",IF($J230="Passed with Known Issue","Known Issue",IF($J230="",IF(OR($H230&lt;&gt;"No",AND($F230&lt;&gt;"Medium",$F230&lt;&gt;"Low")),"Pending Result",""),IF(OR($H230&lt;&gt;"No",AND($F230&lt;&gt;"Medium",$F230&lt;&gt;"Low")),IF(COUNTIFS(Dashboard!$B$105:$B$124,$A230,Dashboard!$I$105:$I$124,"CAB")&gt;0,"Accepted (CF)","Blocking"),IF($J230="Failed","Deferrable","Carry Over"))))))</f>
        <v/>
      </c>
      <c r="M230" s="68" t="str">
        <f>IF(OR(TRIM($A230)="",TRIM($E230)=""),"",IFERROR(INDEX('E2E core flow'!$B$15:$B$1000,MATCH(1,INDEX(('E2E core flow'!$A$15:$A$1000&lt;&gt;"")*ISNUMBER(SEARCH('E2E core flow'!$A$15:$A$1000,$E230)),0),0))&amp;"","-"))</f>
        <v/>
      </c>
      <c r="N230" s="68" t="str">
        <f>IF(TRIM($A230)="","",IF($O230=0,IF(COUNTIFS('Card Test Cases'!$B$4:$B$1000,$A230,'Card Test Cases'!$A$4:$A$1000,"&lt;&gt;")&gt;0,"Out of Scope","No TC"),IF($Q230&gt;0,"Failed",IF(COUNTIFS('Card Test Cases'!$B$4:$B$1000,$A230,'Card Test Cases'!$A$4:$A$1000,"&lt;&gt;",'Card Test Cases'!$F$4:$F$1000,"Blocked")&gt;0,"Blocked",IF($R230&gt;0,"In Progress","Passed")))))</f>
        <v/>
      </c>
      <c r="O230" s="68" t="str">
        <f>IF(TRIM($A230)="","",COUNTIFS('Card Test Cases'!$B$4:$B$1000,$A230,'Card Test Cases'!$A$4:$A$1000,"&lt;&gt;",'Card Test Cases'!$F$4:$F$1000,"&lt;&gt;Out of Scope"))</f>
        <v/>
      </c>
      <c r="P230" s="68" t="str">
        <f>IF(TRIM($A230)="","",COUNTIFS('Card Test Cases'!$B$4:$B$1000,$A230,'Card Test Cases'!$A$4:$A$1000,"&lt;&gt;",'Card Test Cases'!$F$4:$F$1000,"Passed"))</f>
        <v/>
      </c>
      <c r="Q230" s="68" t="str">
        <f>IF(TRIM($A230)="","",COUNTIFS('Card Test Cases'!$B$4:$B$1000,$A230,'Card Test Cases'!$A$4:$A$1000,"&lt;&gt;",'Card Test Cases'!$F$4:$F$1000,"Failed"))</f>
        <v/>
      </c>
      <c r="R230" s="68" t="str">
        <f t="shared" si="3"/>
        <v/>
      </c>
      <c r="S230" s="68" t="str" cm="1">
        <f t="array" ref="S230">IF(TRIM($A230)="","",IFERROR(_xlfn.TEXTJOIN(", ",TRUE,_xlfn.UNIQUE(_xlfn.VSTACK(_xlfn._xlws.FILTER('Card Test Cases'!$G$4:$G$1000,('Card Test Cases'!$B$4:$B$1000=$A230)*('Card Test Cases'!$G$4:$G$1000&lt;&gt;""),""),_xlfn._xlws.FILTER('E2E core flow'!$U$15:$U$1000,('E2E core flow'!$A$15:$A$1000&lt;&gt;"")*ISNUMBER(SEARCH('E2E core flow'!$A$15:$A$1000,$E230))*('E2E core flow'!$U$15:$U$1000&lt;&gt;""),"")))),"-"))</f>
        <v/>
      </c>
    </row>
    <row r="231" spans="7:19" x14ac:dyDescent="0.3">
      <c r="G231" s="68" t="str" cm="1">
        <f t="array" ref="G231">_xlfn.LET(_xlpm.ids,'E2E core flow'!$A$15:$A$1000,_xlpm.v,'E2E core flow'!$W$15:$W$1000,_xlpm.m,(_xlpm.ids&lt;&gt;"")*ISNUMBER(SEARCH(_xlpm.ids,$E231)),_xlpm.f,SUM(_xlpm.m*(_xlpm.v="Failed")),_xlpm.b,SUM(_xlpm.m*(_xlpm.v="Blocked")),_xlpm.nr,SUM(_xlpm.m*(_xlpm.v="Not Run")),_xlpm.cp,SUM(_xlpm.m*(_xlpm.v="Conditionally Passed")),_xlpm.p,SUM(_xlpm.m*(_xlpm.v="Passed")),IF(TRIM($A231)="","",IF(TRIM($E231)="","Pending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31" s="68" t="str">
        <f>IF(TRIM($A231)="","",IF($J231="Passed","",IF($J231="Passed with Known Issue","Known Issue",IF($J231="",IF(OR($H231&lt;&gt;"No",AND($F231&lt;&gt;"Medium",$F231&lt;&gt;"Low")),"Pending Result",""),IF(OR($H231&lt;&gt;"No",AND($F231&lt;&gt;"Medium",$F231&lt;&gt;"Low")),IF(COUNTIFS(Dashboard!$B$105:$B$124,$A231,Dashboard!$I$105:$I$124,"CAB")&gt;0,"Accepted (CF)","Blocking"),IF($J231="Failed","Deferrable","Carry Over"))))))</f>
        <v/>
      </c>
      <c r="M231" s="68" t="str">
        <f>IF(OR(TRIM($A231)="",TRIM($E231)=""),"",IFERROR(INDEX('E2E core flow'!$B$15:$B$1000,MATCH(1,INDEX(('E2E core flow'!$A$15:$A$1000&lt;&gt;"")*ISNUMBER(SEARCH('E2E core flow'!$A$15:$A$1000,$E231)),0),0))&amp;"","-"))</f>
        <v/>
      </c>
      <c r="N231" s="68" t="str">
        <f>IF(TRIM($A231)="","",IF($O231=0,IF(COUNTIFS('Card Test Cases'!$B$4:$B$1000,$A231,'Card Test Cases'!$A$4:$A$1000,"&lt;&gt;")&gt;0,"Out of Scope","No TC"),IF($Q231&gt;0,"Failed",IF(COUNTIFS('Card Test Cases'!$B$4:$B$1000,$A231,'Card Test Cases'!$A$4:$A$1000,"&lt;&gt;",'Card Test Cases'!$F$4:$F$1000,"Blocked")&gt;0,"Blocked",IF($R231&gt;0,"In Progress","Passed")))))</f>
        <v/>
      </c>
      <c r="O231" s="68" t="str">
        <f>IF(TRIM($A231)="","",COUNTIFS('Card Test Cases'!$B$4:$B$1000,$A231,'Card Test Cases'!$A$4:$A$1000,"&lt;&gt;",'Card Test Cases'!$F$4:$F$1000,"&lt;&gt;Out of Scope"))</f>
        <v/>
      </c>
      <c r="P231" s="68" t="str">
        <f>IF(TRIM($A231)="","",COUNTIFS('Card Test Cases'!$B$4:$B$1000,$A231,'Card Test Cases'!$A$4:$A$1000,"&lt;&gt;",'Card Test Cases'!$F$4:$F$1000,"Passed"))</f>
        <v/>
      </c>
      <c r="Q231" s="68" t="str">
        <f>IF(TRIM($A231)="","",COUNTIFS('Card Test Cases'!$B$4:$B$1000,$A231,'Card Test Cases'!$A$4:$A$1000,"&lt;&gt;",'Card Test Cases'!$F$4:$F$1000,"Failed"))</f>
        <v/>
      </c>
      <c r="R231" s="68" t="str">
        <f t="shared" si="3"/>
        <v/>
      </c>
      <c r="S231" s="68" t="str" cm="1">
        <f t="array" ref="S231">IF(TRIM($A231)="","",IFERROR(_xlfn.TEXTJOIN(", ",TRUE,_xlfn.UNIQUE(_xlfn.VSTACK(_xlfn._xlws.FILTER('Card Test Cases'!$G$4:$G$1000,('Card Test Cases'!$B$4:$B$1000=$A231)*('Card Test Cases'!$G$4:$G$1000&lt;&gt;""),""),_xlfn._xlws.FILTER('E2E core flow'!$U$15:$U$1000,('E2E core flow'!$A$15:$A$1000&lt;&gt;"")*ISNUMBER(SEARCH('E2E core flow'!$A$15:$A$1000,$E231))*('E2E core flow'!$U$15:$U$1000&lt;&gt;""),"")))),"-"))</f>
        <v/>
      </c>
    </row>
    <row r="232" spans="7:19" x14ac:dyDescent="0.3">
      <c r="G232" s="68" t="str" cm="1">
        <f t="array" ref="G232">_xlfn.LET(_xlpm.ids,'E2E core flow'!$A$15:$A$1000,_xlpm.v,'E2E core flow'!$W$15:$W$1000,_xlpm.m,(_xlpm.ids&lt;&gt;"")*ISNUMBER(SEARCH(_xlpm.ids,$E232)),_xlpm.f,SUM(_xlpm.m*(_xlpm.v="Failed")),_xlpm.b,SUM(_xlpm.m*(_xlpm.v="Blocked")),_xlpm.nr,SUM(_xlpm.m*(_xlpm.v="Not Run")),_xlpm.cp,SUM(_xlpm.m*(_xlpm.v="Conditionally Passed")),_xlpm.p,SUM(_xlpm.m*(_xlpm.v="Passed")),IF(TRIM($A232)="","",IF(TRIM($E232)="","Pending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32" s="68" t="str">
        <f>IF(TRIM($A232)="","",IF($J232="Passed","",IF($J232="Passed with Known Issue","Known Issue",IF($J232="",IF(OR($H232&lt;&gt;"No",AND($F232&lt;&gt;"Medium",$F232&lt;&gt;"Low")),"Pending Result",""),IF(OR($H232&lt;&gt;"No",AND($F232&lt;&gt;"Medium",$F232&lt;&gt;"Low")),IF(COUNTIFS(Dashboard!$B$105:$B$124,$A232,Dashboard!$I$105:$I$124,"CAB")&gt;0,"Accepted (CF)","Blocking"),IF($J232="Failed","Deferrable","Carry Over"))))))</f>
        <v/>
      </c>
      <c r="M232" s="68" t="str">
        <f>IF(OR(TRIM($A232)="",TRIM($E232)=""),"",IFERROR(INDEX('E2E core flow'!$B$15:$B$1000,MATCH(1,INDEX(('E2E core flow'!$A$15:$A$1000&lt;&gt;"")*ISNUMBER(SEARCH('E2E core flow'!$A$15:$A$1000,$E232)),0),0))&amp;"","-"))</f>
        <v/>
      </c>
      <c r="N232" s="68" t="str">
        <f>IF(TRIM($A232)="","",IF($O232=0,IF(COUNTIFS('Card Test Cases'!$B$4:$B$1000,$A232,'Card Test Cases'!$A$4:$A$1000,"&lt;&gt;")&gt;0,"Out of Scope","No TC"),IF($Q232&gt;0,"Failed",IF(COUNTIFS('Card Test Cases'!$B$4:$B$1000,$A232,'Card Test Cases'!$A$4:$A$1000,"&lt;&gt;",'Card Test Cases'!$F$4:$F$1000,"Blocked")&gt;0,"Blocked",IF($R232&gt;0,"In Progress","Passed")))))</f>
        <v/>
      </c>
      <c r="O232" s="68" t="str">
        <f>IF(TRIM($A232)="","",COUNTIFS('Card Test Cases'!$B$4:$B$1000,$A232,'Card Test Cases'!$A$4:$A$1000,"&lt;&gt;",'Card Test Cases'!$F$4:$F$1000,"&lt;&gt;Out of Scope"))</f>
        <v/>
      </c>
      <c r="P232" s="68" t="str">
        <f>IF(TRIM($A232)="","",COUNTIFS('Card Test Cases'!$B$4:$B$1000,$A232,'Card Test Cases'!$A$4:$A$1000,"&lt;&gt;",'Card Test Cases'!$F$4:$F$1000,"Passed"))</f>
        <v/>
      </c>
      <c r="Q232" s="68" t="str">
        <f>IF(TRIM($A232)="","",COUNTIFS('Card Test Cases'!$B$4:$B$1000,$A232,'Card Test Cases'!$A$4:$A$1000,"&lt;&gt;",'Card Test Cases'!$F$4:$F$1000,"Failed"))</f>
        <v/>
      </c>
      <c r="R232" s="68" t="str">
        <f t="shared" si="3"/>
        <v/>
      </c>
      <c r="S232" s="68" t="str" cm="1">
        <f t="array" ref="S232">IF(TRIM($A232)="","",IFERROR(_xlfn.TEXTJOIN(", ",TRUE,_xlfn.UNIQUE(_xlfn.VSTACK(_xlfn._xlws.FILTER('Card Test Cases'!$G$4:$G$1000,('Card Test Cases'!$B$4:$B$1000=$A232)*('Card Test Cases'!$G$4:$G$1000&lt;&gt;""),""),_xlfn._xlws.FILTER('E2E core flow'!$U$15:$U$1000,('E2E core flow'!$A$15:$A$1000&lt;&gt;"")*ISNUMBER(SEARCH('E2E core flow'!$A$15:$A$1000,$E232))*('E2E core flow'!$U$15:$U$1000&lt;&gt;""),"")))),"-"))</f>
        <v/>
      </c>
    </row>
    <row r="233" spans="7:19" x14ac:dyDescent="0.3">
      <c r="G233" s="68" t="str" cm="1">
        <f t="array" ref="G233">_xlfn.LET(_xlpm.ids,'E2E core flow'!$A$15:$A$1000,_xlpm.v,'E2E core flow'!$W$15:$W$1000,_xlpm.m,(_xlpm.ids&lt;&gt;"")*ISNUMBER(SEARCH(_xlpm.ids,$E233)),_xlpm.f,SUM(_xlpm.m*(_xlpm.v="Failed")),_xlpm.b,SUM(_xlpm.m*(_xlpm.v="Blocked")),_xlpm.nr,SUM(_xlpm.m*(_xlpm.v="Not Run")),_xlpm.cp,SUM(_xlpm.m*(_xlpm.v="Conditionally Passed")),_xlpm.p,SUM(_xlpm.m*(_xlpm.v="Passed")),IF(TRIM($A233)="","",IF(TRIM($E233)="","Pending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33" s="68" t="str">
        <f>IF(TRIM($A233)="","",IF($J233="Passed","",IF($J233="Passed with Known Issue","Known Issue",IF($J233="",IF(OR($H233&lt;&gt;"No",AND($F233&lt;&gt;"Medium",$F233&lt;&gt;"Low")),"Pending Result",""),IF(OR($H233&lt;&gt;"No",AND($F233&lt;&gt;"Medium",$F233&lt;&gt;"Low")),IF(COUNTIFS(Dashboard!$B$105:$B$124,$A233,Dashboard!$I$105:$I$124,"CAB")&gt;0,"Accepted (CF)","Blocking"),IF($J233="Failed","Deferrable","Carry Over"))))))</f>
        <v/>
      </c>
      <c r="M233" s="68" t="str">
        <f>IF(OR(TRIM($A233)="",TRIM($E233)=""),"",IFERROR(INDEX('E2E core flow'!$B$15:$B$1000,MATCH(1,INDEX(('E2E core flow'!$A$15:$A$1000&lt;&gt;"")*ISNUMBER(SEARCH('E2E core flow'!$A$15:$A$1000,$E233)),0),0))&amp;"","-"))</f>
        <v/>
      </c>
      <c r="N233" s="68" t="str">
        <f>IF(TRIM($A233)="","",IF($O233=0,IF(COUNTIFS('Card Test Cases'!$B$4:$B$1000,$A233,'Card Test Cases'!$A$4:$A$1000,"&lt;&gt;")&gt;0,"Out of Scope","No TC"),IF($Q233&gt;0,"Failed",IF(COUNTIFS('Card Test Cases'!$B$4:$B$1000,$A233,'Card Test Cases'!$A$4:$A$1000,"&lt;&gt;",'Card Test Cases'!$F$4:$F$1000,"Blocked")&gt;0,"Blocked",IF($R233&gt;0,"In Progress","Passed")))))</f>
        <v/>
      </c>
      <c r="O233" s="68" t="str">
        <f>IF(TRIM($A233)="","",COUNTIFS('Card Test Cases'!$B$4:$B$1000,$A233,'Card Test Cases'!$A$4:$A$1000,"&lt;&gt;",'Card Test Cases'!$F$4:$F$1000,"&lt;&gt;Out of Scope"))</f>
        <v/>
      </c>
      <c r="P233" s="68" t="str">
        <f>IF(TRIM($A233)="","",COUNTIFS('Card Test Cases'!$B$4:$B$1000,$A233,'Card Test Cases'!$A$4:$A$1000,"&lt;&gt;",'Card Test Cases'!$F$4:$F$1000,"Passed"))</f>
        <v/>
      </c>
      <c r="Q233" s="68" t="str">
        <f>IF(TRIM($A233)="","",COUNTIFS('Card Test Cases'!$B$4:$B$1000,$A233,'Card Test Cases'!$A$4:$A$1000,"&lt;&gt;",'Card Test Cases'!$F$4:$F$1000,"Failed"))</f>
        <v/>
      </c>
      <c r="R233" s="68" t="str">
        <f t="shared" si="3"/>
        <v/>
      </c>
      <c r="S233" s="68" t="str" cm="1">
        <f t="array" ref="S233">IF(TRIM($A233)="","",IFERROR(_xlfn.TEXTJOIN(", ",TRUE,_xlfn.UNIQUE(_xlfn.VSTACK(_xlfn._xlws.FILTER('Card Test Cases'!$G$4:$G$1000,('Card Test Cases'!$B$4:$B$1000=$A233)*('Card Test Cases'!$G$4:$G$1000&lt;&gt;""),""),_xlfn._xlws.FILTER('E2E core flow'!$U$15:$U$1000,('E2E core flow'!$A$15:$A$1000&lt;&gt;"")*ISNUMBER(SEARCH('E2E core flow'!$A$15:$A$1000,$E233))*('E2E core flow'!$U$15:$U$1000&lt;&gt;""),"")))),"-"))</f>
        <v/>
      </c>
    </row>
    <row r="234" spans="7:19" x14ac:dyDescent="0.3">
      <c r="G234" s="68" t="str" cm="1">
        <f t="array" ref="G234">_xlfn.LET(_xlpm.ids,'E2E core flow'!$A$15:$A$1000,_xlpm.v,'E2E core flow'!$W$15:$W$1000,_xlpm.m,(_xlpm.ids&lt;&gt;"")*ISNUMBER(SEARCH(_xlpm.ids,$E234)),_xlpm.f,SUM(_xlpm.m*(_xlpm.v="Failed")),_xlpm.b,SUM(_xlpm.m*(_xlpm.v="Blocked")),_xlpm.nr,SUM(_xlpm.m*(_xlpm.v="Not Run")),_xlpm.cp,SUM(_xlpm.m*(_xlpm.v="Conditionally Passed")),_xlpm.p,SUM(_xlpm.m*(_xlpm.v="Passed")),IF(TRIM($A234)="","",IF(TRIM($E234)="","Pending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34" s="68" t="str">
        <f>IF(TRIM($A234)="","",IF($J234="Passed","",IF($J234="Passed with Known Issue","Known Issue",IF($J234="",IF(OR($H234&lt;&gt;"No",AND($F234&lt;&gt;"Medium",$F234&lt;&gt;"Low")),"Pending Result",""),IF(OR($H234&lt;&gt;"No",AND($F234&lt;&gt;"Medium",$F234&lt;&gt;"Low")),IF(COUNTIFS(Dashboard!$B$105:$B$124,$A234,Dashboard!$I$105:$I$124,"CAB")&gt;0,"Accepted (CF)","Blocking"),IF($J234="Failed","Deferrable","Carry Over"))))))</f>
        <v/>
      </c>
      <c r="M234" s="68" t="str">
        <f>IF(OR(TRIM($A234)="",TRIM($E234)=""),"",IFERROR(INDEX('E2E core flow'!$B$15:$B$1000,MATCH(1,INDEX(('E2E core flow'!$A$15:$A$1000&lt;&gt;"")*ISNUMBER(SEARCH('E2E core flow'!$A$15:$A$1000,$E234)),0),0))&amp;"","-"))</f>
        <v/>
      </c>
      <c r="N234" s="68" t="str">
        <f>IF(TRIM($A234)="","",IF($O234=0,IF(COUNTIFS('Card Test Cases'!$B$4:$B$1000,$A234,'Card Test Cases'!$A$4:$A$1000,"&lt;&gt;")&gt;0,"Out of Scope","No TC"),IF($Q234&gt;0,"Failed",IF(COUNTIFS('Card Test Cases'!$B$4:$B$1000,$A234,'Card Test Cases'!$A$4:$A$1000,"&lt;&gt;",'Card Test Cases'!$F$4:$F$1000,"Blocked")&gt;0,"Blocked",IF($R234&gt;0,"In Progress","Passed")))))</f>
        <v/>
      </c>
      <c r="O234" s="68" t="str">
        <f>IF(TRIM($A234)="","",COUNTIFS('Card Test Cases'!$B$4:$B$1000,$A234,'Card Test Cases'!$A$4:$A$1000,"&lt;&gt;",'Card Test Cases'!$F$4:$F$1000,"&lt;&gt;Out of Scope"))</f>
        <v/>
      </c>
      <c r="P234" s="68" t="str">
        <f>IF(TRIM($A234)="","",COUNTIFS('Card Test Cases'!$B$4:$B$1000,$A234,'Card Test Cases'!$A$4:$A$1000,"&lt;&gt;",'Card Test Cases'!$F$4:$F$1000,"Passed"))</f>
        <v/>
      </c>
      <c r="Q234" s="68" t="str">
        <f>IF(TRIM($A234)="","",COUNTIFS('Card Test Cases'!$B$4:$B$1000,$A234,'Card Test Cases'!$A$4:$A$1000,"&lt;&gt;",'Card Test Cases'!$F$4:$F$1000,"Failed"))</f>
        <v/>
      </c>
      <c r="R234" s="68" t="str">
        <f t="shared" si="3"/>
        <v/>
      </c>
      <c r="S234" s="68" t="str" cm="1">
        <f t="array" ref="S234">IF(TRIM($A234)="","",IFERROR(_xlfn.TEXTJOIN(", ",TRUE,_xlfn.UNIQUE(_xlfn.VSTACK(_xlfn._xlws.FILTER('Card Test Cases'!$G$4:$G$1000,('Card Test Cases'!$B$4:$B$1000=$A234)*('Card Test Cases'!$G$4:$G$1000&lt;&gt;""),""),_xlfn._xlws.FILTER('E2E core flow'!$U$15:$U$1000,('E2E core flow'!$A$15:$A$1000&lt;&gt;"")*ISNUMBER(SEARCH('E2E core flow'!$A$15:$A$1000,$E234))*('E2E core flow'!$U$15:$U$1000&lt;&gt;""),"")))),"-"))</f>
        <v/>
      </c>
    </row>
    <row r="235" spans="7:19" x14ac:dyDescent="0.3">
      <c r="G235" s="68" t="str" cm="1">
        <f t="array" ref="G235">_xlfn.LET(_xlpm.ids,'E2E core flow'!$A$15:$A$1000,_xlpm.v,'E2E core flow'!$W$15:$W$1000,_xlpm.m,(_xlpm.ids&lt;&gt;"")*ISNUMBER(SEARCH(_xlpm.ids,$E235)),_xlpm.f,SUM(_xlpm.m*(_xlpm.v="Failed")),_xlpm.b,SUM(_xlpm.m*(_xlpm.v="Blocked")),_xlpm.nr,SUM(_xlpm.m*(_xlpm.v="Not Run")),_xlpm.cp,SUM(_xlpm.m*(_xlpm.v="Conditionally Passed")),_xlpm.p,SUM(_xlpm.m*(_xlpm.v="Passed")),IF(TRIM($A235)="","",IF(TRIM($E235)="","Pending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35" s="68" t="str">
        <f>IF(TRIM($A235)="","",IF($J235="Passed","",IF($J235="Passed with Known Issue","Known Issue",IF($J235="",IF(OR($H235&lt;&gt;"No",AND($F235&lt;&gt;"Medium",$F235&lt;&gt;"Low")),"Pending Result",""),IF(OR($H235&lt;&gt;"No",AND($F235&lt;&gt;"Medium",$F235&lt;&gt;"Low")),IF(COUNTIFS(Dashboard!$B$105:$B$124,$A235,Dashboard!$I$105:$I$124,"CAB")&gt;0,"Accepted (CF)","Blocking"),IF($J235="Failed","Deferrable","Carry Over"))))))</f>
        <v/>
      </c>
      <c r="M235" s="68" t="str">
        <f>IF(OR(TRIM($A235)="",TRIM($E235)=""),"",IFERROR(INDEX('E2E core flow'!$B$15:$B$1000,MATCH(1,INDEX(('E2E core flow'!$A$15:$A$1000&lt;&gt;"")*ISNUMBER(SEARCH('E2E core flow'!$A$15:$A$1000,$E235)),0),0))&amp;"","-"))</f>
        <v/>
      </c>
      <c r="N235" s="68" t="str">
        <f>IF(TRIM($A235)="","",IF($O235=0,IF(COUNTIFS('Card Test Cases'!$B$4:$B$1000,$A235,'Card Test Cases'!$A$4:$A$1000,"&lt;&gt;")&gt;0,"Out of Scope","No TC"),IF($Q235&gt;0,"Failed",IF(COUNTIFS('Card Test Cases'!$B$4:$B$1000,$A235,'Card Test Cases'!$A$4:$A$1000,"&lt;&gt;",'Card Test Cases'!$F$4:$F$1000,"Blocked")&gt;0,"Blocked",IF($R235&gt;0,"In Progress","Passed")))))</f>
        <v/>
      </c>
      <c r="O235" s="68" t="str">
        <f>IF(TRIM($A235)="","",COUNTIFS('Card Test Cases'!$B$4:$B$1000,$A235,'Card Test Cases'!$A$4:$A$1000,"&lt;&gt;",'Card Test Cases'!$F$4:$F$1000,"&lt;&gt;Out of Scope"))</f>
        <v/>
      </c>
      <c r="P235" s="68" t="str">
        <f>IF(TRIM($A235)="","",COUNTIFS('Card Test Cases'!$B$4:$B$1000,$A235,'Card Test Cases'!$A$4:$A$1000,"&lt;&gt;",'Card Test Cases'!$F$4:$F$1000,"Passed"))</f>
        <v/>
      </c>
      <c r="Q235" s="68" t="str">
        <f>IF(TRIM($A235)="","",COUNTIFS('Card Test Cases'!$B$4:$B$1000,$A235,'Card Test Cases'!$A$4:$A$1000,"&lt;&gt;",'Card Test Cases'!$F$4:$F$1000,"Failed"))</f>
        <v/>
      </c>
      <c r="R235" s="68" t="str">
        <f t="shared" si="3"/>
        <v/>
      </c>
      <c r="S235" s="68" t="str" cm="1">
        <f t="array" ref="S235">IF(TRIM($A235)="","",IFERROR(_xlfn.TEXTJOIN(", ",TRUE,_xlfn.UNIQUE(_xlfn.VSTACK(_xlfn._xlws.FILTER('Card Test Cases'!$G$4:$G$1000,('Card Test Cases'!$B$4:$B$1000=$A235)*('Card Test Cases'!$G$4:$G$1000&lt;&gt;""),""),_xlfn._xlws.FILTER('E2E core flow'!$U$15:$U$1000,('E2E core flow'!$A$15:$A$1000&lt;&gt;"")*ISNUMBER(SEARCH('E2E core flow'!$A$15:$A$1000,$E235))*('E2E core flow'!$U$15:$U$1000&lt;&gt;""),"")))),"-"))</f>
        <v/>
      </c>
    </row>
    <row r="236" spans="7:19" x14ac:dyDescent="0.3">
      <c r="G236" s="68" t="str" cm="1">
        <f t="array" ref="G236">_xlfn.LET(_xlpm.ids,'E2E core flow'!$A$15:$A$1000,_xlpm.v,'E2E core flow'!$W$15:$W$1000,_xlpm.m,(_xlpm.ids&lt;&gt;"")*ISNUMBER(SEARCH(_xlpm.ids,$E236)),_xlpm.f,SUM(_xlpm.m*(_xlpm.v="Failed")),_xlpm.b,SUM(_xlpm.m*(_xlpm.v="Blocked")),_xlpm.nr,SUM(_xlpm.m*(_xlpm.v="Not Run")),_xlpm.cp,SUM(_xlpm.m*(_xlpm.v="Conditionally Passed")),_xlpm.p,SUM(_xlpm.m*(_xlpm.v="Passed")),IF(TRIM($A236)="","",IF(TRIM($E236)="","Pending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36" s="68" t="str">
        <f>IF(TRIM($A236)="","",IF($J236="Passed","",IF($J236="Passed with Known Issue","Known Issue",IF($J236="",IF(OR($H236&lt;&gt;"No",AND($F236&lt;&gt;"Medium",$F236&lt;&gt;"Low")),"Pending Result",""),IF(OR($H236&lt;&gt;"No",AND($F236&lt;&gt;"Medium",$F236&lt;&gt;"Low")),IF(COUNTIFS(Dashboard!$B$105:$B$124,$A236,Dashboard!$I$105:$I$124,"CAB")&gt;0,"Accepted (CF)","Blocking"),IF($J236="Failed","Deferrable","Carry Over"))))))</f>
        <v/>
      </c>
      <c r="M236" s="68" t="str">
        <f>IF(OR(TRIM($A236)="",TRIM($E236)=""),"",IFERROR(INDEX('E2E core flow'!$B$15:$B$1000,MATCH(1,INDEX(('E2E core flow'!$A$15:$A$1000&lt;&gt;"")*ISNUMBER(SEARCH('E2E core flow'!$A$15:$A$1000,$E236)),0),0))&amp;"","-"))</f>
        <v/>
      </c>
      <c r="N236" s="68" t="str">
        <f>IF(TRIM($A236)="","",IF($O236=0,IF(COUNTIFS('Card Test Cases'!$B$4:$B$1000,$A236,'Card Test Cases'!$A$4:$A$1000,"&lt;&gt;")&gt;0,"Out of Scope","No TC"),IF($Q236&gt;0,"Failed",IF(COUNTIFS('Card Test Cases'!$B$4:$B$1000,$A236,'Card Test Cases'!$A$4:$A$1000,"&lt;&gt;",'Card Test Cases'!$F$4:$F$1000,"Blocked")&gt;0,"Blocked",IF($R236&gt;0,"In Progress","Passed")))))</f>
        <v/>
      </c>
      <c r="O236" s="68" t="str">
        <f>IF(TRIM($A236)="","",COUNTIFS('Card Test Cases'!$B$4:$B$1000,$A236,'Card Test Cases'!$A$4:$A$1000,"&lt;&gt;",'Card Test Cases'!$F$4:$F$1000,"&lt;&gt;Out of Scope"))</f>
        <v/>
      </c>
      <c r="P236" s="68" t="str">
        <f>IF(TRIM($A236)="","",COUNTIFS('Card Test Cases'!$B$4:$B$1000,$A236,'Card Test Cases'!$A$4:$A$1000,"&lt;&gt;",'Card Test Cases'!$F$4:$F$1000,"Passed"))</f>
        <v/>
      </c>
      <c r="Q236" s="68" t="str">
        <f>IF(TRIM($A236)="","",COUNTIFS('Card Test Cases'!$B$4:$B$1000,$A236,'Card Test Cases'!$A$4:$A$1000,"&lt;&gt;",'Card Test Cases'!$F$4:$F$1000,"Failed"))</f>
        <v/>
      </c>
      <c r="R236" s="68" t="str">
        <f t="shared" si="3"/>
        <v/>
      </c>
      <c r="S236" s="68" t="str" cm="1">
        <f t="array" ref="S236">IF(TRIM($A236)="","",IFERROR(_xlfn.TEXTJOIN(", ",TRUE,_xlfn.UNIQUE(_xlfn.VSTACK(_xlfn._xlws.FILTER('Card Test Cases'!$G$4:$G$1000,('Card Test Cases'!$B$4:$B$1000=$A236)*('Card Test Cases'!$G$4:$G$1000&lt;&gt;""),""),_xlfn._xlws.FILTER('E2E core flow'!$U$15:$U$1000,('E2E core flow'!$A$15:$A$1000&lt;&gt;"")*ISNUMBER(SEARCH('E2E core flow'!$A$15:$A$1000,$E236))*('E2E core flow'!$U$15:$U$1000&lt;&gt;""),"")))),"-"))</f>
        <v/>
      </c>
    </row>
    <row r="237" spans="7:19" x14ac:dyDescent="0.3">
      <c r="G237" s="68" t="str" cm="1">
        <f t="array" ref="G237">_xlfn.LET(_xlpm.ids,'E2E core flow'!$A$15:$A$1000,_xlpm.v,'E2E core flow'!$W$15:$W$1000,_xlpm.m,(_xlpm.ids&lt;&gt;"")*ISNUMBER(SEARCH(_xlpm.ids,$E237)),_xlpm.f,SUM(_xlpm.m*(_xlpm.v="Failed")),_xlpm.b,SUM(_xlpm.m*(_xlpm.v="Blocked")),_xlpm.nr,SUM(_xlpm.m*(_xlpm.v="Not Run")),_xlpm.cp,SUM(_xlpm.m*(_xlpm.v="Conditionally Passed")),_xlpm.p,SUM(_xlpm.m*(_xlpm.v="Passed")),IF(TRIM($A237)="","",IF(TRIM($E237)="","Pending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37" s="68" t="str">
        <f>IF(TRIM($A237)="","",IF($J237="Passed","",IF($J237="Passed with Known Issue","Known Issue",IF($J237="",IF(OR($H237&lt;&gt;"No",AND($F237&lt;&gt;"Medium",$F237&lt;&gt;"Low")),"Pending Result",""),IF(OR($H237&lt;&gt;"No",AND($F237&lt;&gt;"Medium",$F237&lt;&gt;"Low")),IF(COUNTIFS(Dashboard!$B$105:$B$124,$A237,Dashboard!$I$105:$I$124,"CAB")&gt;0,"Accepted (CF)","Blocking"),IF($J237="Failed","Deferrable","Carry Over"))))))</f>
        <v/>
      </c>
      <c r="M237" s="68" t="str">
        <f>IF(OR(TRIM($A237)="",TRIM($E237)=""),"",IFERROR(INDEX('E2E core flow'!$B$15:$B$1000,MATCH(1,INDEX(('E2E core flow'!$A$15:$A$1000&lt;&gt;"")*ISNUMBER(SEARCH('E2E core flow'!$A$15:$A$1000,$E237)),0),0))&amp;"","-"))</f>
        <v/>
      </c>
      <c r="N237" s="68" t="str">
        <f>IF(TRIM($A237)="","",IF($O237=0,IF(COUNTIFS('Card Test Cases'!$B$4:$B$1000,$A237,'Card Test Cases'!$A$4:$A$1000,"&lt;&gt;")&gt;0,"Out of Scope","No TC"),IF($Q237&gt;0,"Failed",IF(COUNTIFS('Card Test Cases'!$B$4:$B$1000,$A237,'Card Test Cases'!$A$4:$A$1000,"&lt;&gt;",'Card Test Cases'!$F$4:$F$1000,"Blocked")&gt;0,"Blocked",IF($R237&gt;0,"In Progress","Passed")))))</f>
        <v/>
      </c>
      <c r="O237" s="68" t="str">
        <f>IF(TRIM($A237)="","",COUNTIFS('Card Test Cases'!$B$4:$B$1000,$A237,'Card Test Cases'!$A$4:$A$1000,"&lt;&gt;",'Card Test Cases'!$F$4:$F$1000,"&lt;&gt;Out of Scope"))</f>
        <v/>
      </c>
      <c r="P237" s="68" t="str">
        <f>IF(TRIM($A237)="","",COUNTIFS('Card Test Cases'!$B$4:$B$1000,$A237,'Card Test Cases'!$A$4:$A$1000,"&lt;&gt;",'Card Test Cases'!$F$4:$F$1000,"Passed"))</f>
        <v/>
      </c>
      <c r="Q237" s="68" t="str">
        <f>IF(TRIM($A237)="","",COUNTIFS('Card Test Cases'!$B$4:$B$1000,$A237,'Card Test Cases'!$A$4:$A$1000,"&lt;&gt;",'Card Test Cases'!$F$4:$F$1000,"Failed"))</f>
        <v/>
      </c>
      <c r="R237" s="68" t="str">
        <f t="shared" si="3"/>
        <v/>
      </c>
      <c r="S237" s="68" t="str" cm="1">
        <f t="array" ref="S237">IF(TRIM($A237)="","",IFERROR(_xlfn.TEXTJOIN(", ",TRUE,_xlfn.UNIQUE(_xlfn.VSTACK(_xlfn._xlws.FILTER('Card Test Cases'!$G$4:$G$1000,('Card Test Cases'!$B$4:$B$1000=$A237)*('Card Test Cases'!$G$4:$G$1000&lt;&gt;""),""),_xlfn._xlws.FILTER('E2E core flow'!$U$15:$U$1000,('E2E core flow'!$A$15:$A$1000&lt;&gt;"")*ISNUMBER(SEARCH('E2E core flow'!$A$15:$A$1000,$E237))*('E2E core flow'!$U$15:$U$1000&lt;&gt;""),"")))),"-"))</f>
        <v/>
      </c>
    </row>
    <row r="238" spans="7:19" x14ac:dyDescent="0.3">
      <c r="G238" s="68" t="str" cm="1">
        <f t="array" ref="G238">_xlfn.LET(_xlpm.ids,'E2E core flow'!$A$15:$A$1000,_xlpm.v,'E2E core flow'!$W$15:$W$1000,_xlpm.m,(_xlpm.ids&lt;&gt;"")*ISNUMBER(SEARCH(_xlpm.ids,$E238)),_xlpm.f,SUM(_xlpm.m*(_xlpm.v="Failed")),_xlpm.b,SUM(_xlpm.m*(_xlpm.v="Blocked")),_xlpm.nr,SUM(_xlpm.m*(_xlpm.v="Not Run")),_xlpm.cp,SUM(_xlpm.m*(_xlpm.v="Conditionally Passed")),_xlpm.p,SUM(_xlpm.m*(_xlpm.v="Passed")),IF(TRIM($A238)="","",IF(TRIM($E238)="","Pending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38" s="68" t="str">
        <f>IF(TRIM($A238)="","",IF($J238="Passed","",IF($J238="Passed with Known Issue","Known Issue",IF($J238="",IF(OR($H238&lt;&gt;"No",AND($F238&lt;&gt;"Medium",$F238&lt;&gt;"Low")),"Pending Result",""),IF(OR($H238&lt;&gt;"No",AND($F238&lt;&gt;"Medium",$F238&lt;&gt;"Low")),IF(COUNTIFS(Dashboard!$B$105:$B$124,$A238,Dashboard!$I$105:$I$124,"CAB")&gt;0,"Accepted (CF)","Blocking"),IF($J238="Failed","Deferrable","Carry Over"))))))</f>
        <v/>
      </c>
      <c r="M238" s="68" t="str">
        <f>IF(OR(TRIM($A238)="",TRIM($E238)=""),"",IFERROR(INDEX('E2E core flow'!$B$15:$B$1000,MATCH(1,INDEX(('E2E core flow'!$A$15:$A$1000&lt;&gt;"")*ISNUMBER(SEARCH('E2E core flow'!$A$15:$A$1000,$E238)),0),0))&amp;"","-"))</f>
        <v/>
      </c>
      <c r="N238" s="68" t="str">
        <f>IF(TRIM($A238)="","",IF($O238=0,IF(COUNTIFS('Card Test Cases'!$B$4:$B$1000,$A238,'Card Test Cases'!$A$4:$A$1000,"&lt;&gt;")&gt;0,"Out of Scope","No TC"),IF($Q238&gt;0,"Failed",IF(COUNTIFS('Card Test Cases'!$B$4:$B$1000,$A238,'Card Test Cases'!$A$4:$A$1000,"&lt;&gt;",'Card Test Cases'!$F$4:$F$1000,"Blocked")&gt;0,"Blocked",IF($R238&gt;0,"In Progress","Passed")))))</f>
        <v/>
      </c>
      <c r="O238" s="68" t="str">
        <f>IF(TRIM($A238)="","",COUNTIFS('Card Test Cases'!$B$4:$B$1000,$A238,'Card Test Cases'!$A$4:$A$1000,"&lt;&gt;",'Card Test Cases'!$F$4:$F$1000,"&lt;&gt;Out of Scope"))</f>
        <v/>
      </c>
      <c r="P238" s="68" t="str">
        <f>IF(TRIM($A238)="","",COUNTIFS('Card Test Cases'!$B$4:$B$1000,$A238,'Card Test Cases'!$A$4:$A$1000,"&lt;&gt;",'Card Test Cases'!$F$4:$F$1000,"Passed"))</f>
        <v/>
      </c>
      <c r="Q238" s="68" t="str">
        <f>IF(TRIM($A238)="","",COUNTIFS('Card Test Cases'!$B$4:$B$1000,$A238,'Card Test Cases'!$A$4:$A$1000,"&lt;&gt;",'Card Test Cases'!$F$4:$F$1000,"Failed"))</f>
        <v/>
      </c>
      <c r="R238" s="68" t="str">
        <f t="shared" si="3"/>
        <v/>
      </c>
      <c r="S238" s="68" t="str" cm="1">
        <f t="array" ref="S238">IF(TRIM($A238)="","",IFERROR(_xlfn.TEXTJOIN(", ",TRUE,_xlfn.UNIQUE(_xlfn.VSTACK(_xlfn._xlws.FILTER('Card Test Cases'!$G$4:$G$1000,('Card Test Cases'!$B$4:$B$1000=$A238)*('Card Test Cases'!$G$4:$G$1000&lt;&gt;""),""),_xlfn._xlws.FILTER('E2E core flow'!$U$15:$U$1000,('E2E core flow'!$A$15:$A$1000&lt;&gt;"")*ISNUMBER(SEARCH('E2E core flow'!$A$15:$A$1000,$E238))*('E2E core flow'!$U$15:$U$1000&lt;&gt;""),"")))),"-"))</f>
        <v/>
      </c>
    </row>
    <row r="239" spans="7:19" x14ac:dyDescent="0.3">
      <c r="G239" s="68" t="str" cm="1">
        <f t="array" ref="G239">_xlfn.LET(_xlpm.ids,'E2E core flow'!$A$15:$A$1000,_xlpm.v,'E2E core flow'!$W$15:$W$1000,_xlpm.m,(_xlpm.ids&lt;&gt;"")*ISNUMBER(SEARCH(_xlpm.ids,$E239)),_xlpm.f,SUM(_xlpm.m*(_xlpm.v="Failed")),_xlpm.b,SUM(_xlpm.m*(_xlpm.v="Blocked")),_xlpm.nr,SUM(_xlpm.m*(_xlpm.v="Not Run")),_xlpm.cp,SUM(_xlpm.m*(_xlpm.v="Conditionally Passed")),_xlpm.p,SUM(_xlpm.m*(_xlpm.v="Passed")),IF(TRIM($A239)="","",IF(TRIM($E239)="","Pending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39" s="68" t="str">
        <f>IF(TRIM($A239)="","",IF($J239="Passed","",IF($J239="Passed with Known Issue","Known Issue",IF($J239="",IF(OR($H239&lt;&gt;"No",AND($F239&lt;&gt;"Medium",$F239&lt;&gt;"Low")),"Pending Result",""),IF(OR($H239&lt;&gt;"No",AND($F239&lt;&gt;"Medium",$F239&lt;&gt;"Low")),IF(COUNTIFS(Dashboard!$B$105:$B$124,$A239,Dashboard!$I$105:$I$124,"CAB")&gt;0,"Accepted (CF)","Blocking"),IF($J239="Failed","Deferrable","Carry Over"))))))</f>
        <v/>
      </c>
      <c r="M239" s="68" t="str">
        <f>IF(OR(TRIM($A239)="",TRIM($E239)=""),"",IFERROR(INDEX('E2E core flow'!$B$15:$B$1000,MATCH(1,INDEX(('E2E core flow'!$A$15:$A$1000&lt;&gt;"")*ISNUMBER(SEARCH('E2E core flow'!$A$15:$A$1000,$E239)),0),0))&amp;"","-"))</f>
        <v/>
      </c>
      <c r="N239" s="68" t="str">
        <f>IF(TRIM($A239)="","",IF($O239=0,IF(COUNTIFS('Card Test Cases'!$B$4:$B$1000,$A239,'Card Test Cases'!$A$4:$A$1000,"&lt;&gt;")&gt;0,"Out of Scope","No TC"),IF($Q239&gt;0,"Failed",IF(COUNTIFS('Card Test Cases'!$B$4:$B$1000,$A239,'Card Test Cases'!$A$4:$A$1000,"&lt;&gt;",'Card Test Cases'!$F$4:$F$1000,"Blocked")&gt;0,"Blocked",IF($R239&gt;0,"In Progress","Passed")))))</f>
        <v/>
      </c>
      <c r="O239" s="68" t="str">
        <f>IF(TRIM($A239)="","",COUNTIFS('Card Test Cases'!$B$4:$B$1000,$A239,'Card Test Cases'!$A$4:$A$1000,"&lt;&gt;",'Card Test Cases'!$F$4:$F$1000,"&lt;&gt;Out of Scope"))</f>
        <v/>
      </c>
      <c r="P239" s="68" t="str">
        <f>IF(TRIM($A239)="","",COUNTIFS('Card Test Cases'!$B$4:$B$1000,$A239,'Card Test Cases'!$A$4:$A$1000,"&lt;&gt;",'Card Test Cases'!$F$4:$F$1000,"Passed"))</f>
        <v/>
      </c>
      <c r="Q239" s="68" t="str">
        <f>IF(TRIM($A239)="","",COUNTIFS('Card Test Cases'!$B$4:$B$1000,$A239,'Card Test Cases'!$A$4:$A$1000,"&lt;&gt;",'Card Test Cases'!$F$4:$F$1000,"Failed"))</f>
        <v/>
      </c>
      <c r="R239" s="68" t="str">
        <f t="shared" si="3"/>
        <v/>
      </c>
      <c r="S239" s="68" t="str" cm="1">
        <f t="array" ref="S239">IF(TRIM($A239)="","",IFERROR(_xlfn.TEXTJOIN(", ",TRUE,_xlfn.UNIQUE(_xlfn.VSTACK(_xlfn._xlws.FILTER('Card Test Cases'!$G$4:$G$1000,('Card Test Cases'!$B$4:$B$1000=$A239)*('Card Test Cases'!$G$4:$G$1000&lt;&gt;""),""),_xlfn._xlws.FILTER('E2E core flow'!$U$15:$U$1000,('E2E core flow'!$A$15:$A$1000&lt;&gt;"")*ISNUMBER(SEARCH('E2E core flow'!$A$15:$A$1000,$E239))*('E2E core flow'!$U$15:$U$1000&lt;&gt;""),"")))),"-"))</f>
        <v/>
      </c>
    </row>
    <row r="240" spans="7:19" x14ac:dyDescent="0.3">
      <c r="G240" s="68" t="str" cm="1">
        <f t="array" ref="G240">_xlfn.LET(_xlpm.ids,'E2E core flow'!$A$15:$A$1000,_xlpm.v,'E2E core flow'!$W$15:$W$1000,_xlpm.m,(_xlpm.ids&lt;&gt;"")*ISNUMBER(SEARCH(_xlpm.ids,$E240)),_xlpm.f,SUM(_xlpm.m*(_xlpm.v="Failed")),_xlpm.b,SUM(_xlpm.m*(_xlpm.v="Blocked")),_xlpm.nr,SUM(_xlpm.m*(_xlpm.v="Not Run")),_xlpm.cp,SUM(_xlpm.m*(_xlpm.v="Conditionally Passed")),_xlpm.p,SUM(_xlpm.m*(_xlpm.v="Passed")),IF(TRIM($A240)="","",IF(TRIM($E240)="","Pending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40" s="68" t="str">
        <f>IF(TRIM($A240)="","",IF($J240="Passed","",IF($J240="Passed with Known Issue","Known Issue",IF($J240="",IF(OR($H240&lt;&gt;"No",AND($F240&lt;&gt;"Medium",$F240&lt;&gt;"Low")),"Pending Result",""),IF(OR($H240&lt;&gt;"No",AND($F240&lt;&gt;"Medium",$F240&lt;&gt;"Low")),IF(COUNTIFS(Dashboard!$B$105:$B$124,$A240,Dashboard!$I$105:$I$124,"CAB")&gt;0,"Accepted (CF)","Blocking"),IF($J240="Failed","Deferrable","Carry Over"))))))</f>
        <v/>
      </c>
      <c r="M240" s="68" t="str">
        <f>IF(OR(TRIM($A240)="",TRIM($E240)=""),"",IFERROR(INDEX('E2E core flow'!$B$15:$B$1000,MATCH(1,INDEX(('E2E core flow'!$A$15:$A$1000&lt;&gt;"")*ISNUMBER(SEARCH('E2E core flow'!$A$15:$A$1000,$E240)),0),0))&amp;"","-"))</f>
        <v/>
      </c>
      <c r="N240" s="68" t="str">
        <f>IF(TRIM($A240)="","",IF($O240=0,IF(COUNTIFS('Card Test Cases'!$B$4:$B$1000,$A240,'Card Test Cases'!$A$4:$A$1000,"&lt;&gt;")&gt;0,"Out of Scope","No TC"),IF($Q240&gt;0,"Failed",IF(COUNTIFS('Card Test Cases'!$B$4:$B$1000,$A240,'Card Test Cases'!$A$4:$A$1000,"&lt;&gt;",'Card Test Cases'!$F$4:$F$1000,"Blocked")&gt;0,"Blocked",IF($R240&gt;0,"In Progress","Passed")))))</f>
        <v/>
      </c>
      <c r="O240" s="68" t="str">
        <f>IF(TRIM($A240)="","",COUNTIFS('Card Test Cases'!$B$4:$B$1000,$A240,'Card Test Cases'!$A$4:$A$1000,"&lt;&gt;",'Card Test Cases'!$F$4:$F$1000,"&lt;&gt;Out of Scope"))</f>
        <v/>
      </c>
      <c r="P240" s="68" t="str">
        <f>IF(TRIM($A240)="","",COUNTIFS('Card Test Cases'!$B$4:$B$1000,$A240,'Card Test Cases'!$A$4:$A$1000,"&lt;&gt;",'Card Test Cases'!$F$4:$F$1000,"Passed"))</f>
        <v/>
      </c>
      <c r="Q240" s="68" t="str">
        <f>IF(TRIM($A240)="","",COUNTIFS('Card Test Cases'!$B$4:$B$1000,$A240,'Card Test Cases'!$A$4:$A$1000,"&lt;&gt;",'Card Test Cases'!$F$4:$F$1000,"Failed"))</f>
        <v/>
      </c>
      <c r="R240" s="68" t="str">
        <f t="shared" si="3"/>
        <v/>
      </c>
      <c r="S240" s="68" t="str" cm="1">
        <f t="array" ref="S240">IF(TRIM($A240)="","",IFERROR(_xlfn.TEXTJOIN(", ",TRUE,_xlfn.UNIQUE(_xlfn.VSTACK(_xlfn._xlws.FILTER('Card Test Cases'!$G$4:$G$1000,('Card Test Cases'!$B$4:$B$1000=$A240)*('Card Test Cases'!$G$4:$G$1000&lt;&gt;""),""),_xlfn._xlws.FILTER('E2E core flow'!$U$15:$U$1000,('E2E core flow'!$A$15:$A$1000&lt;&gt;"")*ISNUMBER(SEARCH('E2E core flow'!$A$15:$A$1000,$E240))*('E2E core flow'!$U$15:$U$1000&lt;&gt;""),"")))),"-"))</f>
        <v/>
      </c>
    </row>
    <row r="241" spans="7:19" x14ac:dyDescent="0.3">
      <c r="G241" s="68" t="str" cm="1">
        <f t="array" ref="G241">_xlfn.LET(_xlpm.ids,'E2E core flow'!$A$15:$A$1000,_xlpm.v,'E2E core flow'!$W$15:$W$1000,_xlpm.m,(_xlpm.ids&lt;&gt;"")*ISNUMBER(SEARCH(_xlpm.ids,$E241)),_xlpm.f,SUM(_xlpm.m*(_xlpm.v="Failed")),_xlpm.b,SUM(_xlpm.m*(_xlpm.v="Blocked")),_xlpm.nr,SUM(_xlpm.m*(_xlpm.v="Not Run")),_xlpm.cp,SUM(_xlpm.m*(_xlpm.v="Conditionally Passed")),_xlpm.p,SUM(_xlpm.m*(_xlpm.v="Passed")),IF(TRIM($A241)="","",IF(TRIM($E241)="","Pending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41" s="68" t="str">
        <f>IF(TRIM($A241)="","",IF($J241="Passed","",IF($J241="Passed with Known Issue","Known Issue",IF($J241="",IF(OR($H241&lt;&gt;"No",AND($F241&lt;&gt;"Medium",$F241&lt;&gt;"Low")),"Pending Result",""),IF(OR($H241&lt;&gt;"No",AND($F241&lt;&gt;"Medium",$F241&lt;&gt;"Low")),IF(COUNTIFS(Dashboard!$B$105:$B$124,$A241,Dashboard!$I$105:$I$124,"CAB")&gt;0,"Accepted (CF)","Blocking"),IF($J241="Failed","Deferrable","Carry Over"))))))</f>
        <v/>
      </c>
      <c r="M241" s="68" t="str">
        <f>IF(OR(TRIM($A241)="",TRIM($E241)=""),"",IFERROR(INDEX('E2E core flow'!$B$15:$B$1000,MATCH(1,INDEX(('E2E core flow'!$A$15:$A$1000&lt;&gt;"")*ISNUMBER(SEARCH('E2E core flow'!$A$15:$A$1000,$E241)),0),0))&amp;"","-"))</f>
        <v/>
      </c>
      <c r="N241" s="68" t="str">
        <f>IF(TRIM($A241)="","",IF($O241=0,IF(COUNTIFS('Card Test Cases'!$B$4:$B$1000,$A241,'Card Test Cases'!$A$4:$A$1000,"&lt;&gt;")&gt;0,"Out of Scope","No TC"),IF($Q241&gt;0,"Failed",IF(COUNTIFS('Card Test Cases'!$B$4:$B$1000,$A241,'Card Test Cases'!$A$4:$A$1000,"&lt;&gt;",'Card Test Cases'!$F$4:$F$1000,"Blocked")&gt;0,"Blocked",IF($R241&gt;0,"In Progress","Passed")))))</f>
        <v/>
      </c>
      <c r="O241" s="68" t="str">
        <f>IF(TRIM($A241)="","",COUNTIFS('Card Test Cases'!$B$4:$B$1000,$A241,'Card Test Cases'!$A$4:$A$1000,"&lt;&gt;",'Card Test Cases'!$F$4:$F$1000,"&lt;&gt;Out of Scope"))</f>
        <v/>
      </c>
      <c r="P241" s="68" t="str">
        <f>IF(TRIM($A241)="","",COUNTIFS('Card Test Cases'!$B$4:$B$1000,$A241,'Card Test Cases'!$A$4:$A$1000,"&lt;&gt;",'Card Test Cases'!$F$4:$F$1000,"Passed"))</f>
        <v/>
      </c>
      <c r="Q241" s="68" t="str">
        <f>IF(TRIM($A241)="","",COUNTIFS('Card Test Cases'!$B$4:$B$1000,$A241,'Card Test Cases'!$A$4:$A$1000,"&lt;&gt;",'Card Test Cases'!$F$4:$F$1000,"Failed"))</f>
        <v/>
      </c>
      <c r="R241" s="68" t="str">
        <f t="shared" si="3"/>
        <v/>
      </c>
      <c r="S241" s="68" t="str" cm="1">
        <f t="array" ref="S241">IF(TRIM($A241)="","",IFERROR(_xlfn.TEXTJOIN(", ",TRUE,_xlfn.UNIQUE(_xlfn.VSTACK(_xlfn._xlws.FILTER('Card Test Cases'!$G$4:$G$1000,('Card Test Cases'!$B$4:$B$1000=$A241)*('Card Test Cases'!$G$4:$G$1000&lt;&gt;""),""),_xlfn._xlws.FILTER('E2E core flow'!$U$15:$U$1000,('E2E core flow'!$A$15:$A$1000&lt;&gt;"")*ISNUMBER(SEARCH('E2E core flow'!$A$15:$A$1000,$E241))*('E2E core flow'!$U$15:$U$1000&lt;&gt;""),"")))),"-"))</f>
        <v/>
      </c>
    </row>
    <row r="242" spans="7:19" x14ac:dyDescent="0.3">
      <c r="G242" s="68" t="str" cm="1">
        <f t="array" ref="G242">_xlfn.LET(_xlpm.ids,'E2E core flow'!$A$15:$A$1000,_xlpm.v,'E2E core flow'!$W$15:$W$1000,_xlpm.m,(_xlpm.ids&lt;&gt;"")*ISNUMBER(SEARCH(_xlpm.ids,$E242)),_xlpm.f,SUM(_xlpm.m*(_xlpm.v="Failed")),_xlpm.b,SUM(_xlpm.m*(_xlpm.v="Blocked")),_xlpm.nr,SUM(_xlpm.m*(_xlpm.v="Not Run")),_xlpm.cp,SUM(_xlpm.m*(_xlpm.v="Conditionally Passed")),_xlpm.p,SUM(_xlpm.m*(_xlpm.v="Passed")),IF(TRIM($A242)="","",IF(TRIM($E242)="","Pending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42" s="68" t="str">
        <f>IF(TRIM($A242)="","",IF($J242="Passed","",IF($J242="Passed with Known Issue","Known Issue",IF($J242="",IF(OR($H242&lt;&gt;"No",AND($F242&lt;&gt;"Medium",$F242&lt;&gt;"Low")),"Pending Result",""),IF(OR($H242&lt;&gt;"No",AND($F242&lt;&gt;"Medium",$F242&lt;&gt;"Low")),IF(COUNTIFS(Dashboard!$B$105:$B$124,$A242,Dashboard!$I$105:$I$124,"CAB")&gt;0,"Accepted (CF)","Blocking"),IF($J242="Failed","Deferrable","Carry Over"))))))</f>
        <v/>
      </c>
      <c r="M242" s="68" t="str">
        <f>IF(OR(TRIM($A242)="",TRIM($E242)=""),"",IFERROR(INDEX('E2E core flow'!$B$15:$B$1000,MATCH(1,INDEX(('E2E core flow'!$A$15:$A$1000&lt;&gt;"")*ISNUMBER(SEARCH('E2E core flow'!$A$15:$A$1000,$E242)),0),0))&amp;"","-"))</f>
        <v/>
      </c>
      <c r="N242" s="68" t="str">
        <f>IF(TRIM($A242)="","",IF($O242=0,IF(COUNTIFS('Card Test Cases'!$B$4:$B$1000,$A242,'Card Test Cases'!$A$4:$A$1000,"&lt;&gt;")&gt;0,"Out of Scope","No TC"),IF($Q242&gt;0,"Failed",IF(COUNTIFS('Card Test Cases'!$B$4:$B$1000,$A242,'Card Test Cases'!$A$4:$A$1000,"&lt;&gt;",'Card Test Cases'!$F$4:$F$1000,"Blocked")&gt;0,"Blocked",IF($R242&gt;0,"In Progress","Passed")))))</f>
        <v/>
      </c>
      <c r="O242" s="68" t="str">
        <f>IF(TRIM($A242)="","",COUNTIFS('Card Test Cases'!$B$4:$B$1000,$A242,'Card Test Cases'!$A$4:$A$1000,"&lt;&gt;",'Card Test Cases'!$F$4:$F$1000,"&lt;&gt;Out of Scope"))</f>
        <v/>
      </c>
      <c r="P242" s="68" t="str">
        <f>IF(TRIM($A242)="","",COUNTIFS('Card Test Cases'!$B$4:$B$1000,$A242,'Card Test Cases'!$A$4:$A$1000,"&lt;&gt;",'Card Test Cases'!$F$4:$F$1000,"Passed"))</f>
        <v/>
      </c>
      <c r="Q242" s="68" t="str">
        <f>IF(TRIM($A242)="","",COUNTIFS('Card Test Cases'!$B$4:$B$1000,$A242,'Card Test Cases'!$A$4:$A$1000,"&lt;&gt;",'Card Test Cases'!$F$4:$F$1000,"Failed"))</f>
        <v/>
      </c>
      <c r="R242" s="68" t="str">
        <f t="shared" si="3"/>
        <v/>
      </c>
      <c r="S242" s="68" t="str" cm="1">
        <f t="array" ref="S242">IF(TRIM($A242)="","",IFERROR(_xlfn.TEXTJOIN(", ",TRUE,_xlfn.UNIQUE(_xlfn.VSTACK(_xlfn._xlws.FILTER('Card Test Cases'!$G$4:$G$1000,('Card Test Cases'!$B$4:$B$1000=$A242)*('Card Test Cases'!$G$4:$G$1000&lt;&gt;""),""),_xlfn._xlws.FILTER('E2E core flow'!$U$15:$U$1000,('E2E core flow'!$A$15:$A$1000&lt;&gt;"")*ISNUMBER(SEARCH('E2E core flow'!$A$15:$A$1000,$E242))*('E2E core flow'!$U$15:$U$1000&lt;&gt;""),"")))),"-"))</f>
        <v/>
      </c>
    </row>
    <row r="243" spans="7:19" x14ac:dyDescent="0.3">
      <c r="G243" s="68" t="str" cm="1">
        <f t="array" ref="G243">_xlfn.LET(_xlpm.ids,'E2E core flow'!$A$15:$A$1000,_xlpm.v,'E2E core flow'!$W$15:$W$1000,_xlpm.m,(_xlpm.ids&lt;&gt;"")*ISNUMBER(SEARCH(_xlpm.ids,$E243)),_xlpm.f,SUM(_xlpm.m*(_xlpm.v="Failed")),_xlpm.b,SUM(_xlpm.m*(_xlpm.v="Blocked")),_xlpm.nr,SUM(_xlpm.m*(_xlpm.v="Not Run")),_xlpm.cp,SUM(_xlpm.m*(_xlpm.v="Conditionally Passed")),_xlpm.p,SUM(_xlpm.m*(_xlpm.v="Passed")),IF(TRIM($A243)="","",IF(TRIM($E243)="","Pending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43" s="68" t="str">
        <f>IF(TRIM($A243)="","",IF($J243="Passed","",IF($J243="Passed with Known Issue","Known Issue",IF($J243="",IF(OR($H243&lt;&gt;"No",AND($F243&lt;&gt;"Medium",$F243&lt;&gt;"Low")),"Pending Result",""),IF(OR($H243&lt;&gt;"No",AND($F243&lt;&gt;"Medium",$F243&lt;&gt;"Low")),IF(COUNTIFS(Dashboard!$B$105:$B$124,$A243,Dashboard!$I$105:$I$124,"CAB")&gt;0,"Accepted (CF)","Blocking"),IF($J243="Failed","Deferrable","Carry Over"))))))</f>
        <v/>
      </c>
      <c r="M243" s="68" t="str">
        <f>IF(OR(TRIM($A243)="",TRIM($E243)=""),"",IFERROR(INDEX('E2E core flow'!$B$15:$B$1000,MATCH(1,INDEX(('E2E core flow'!$A$15:$A$1000&lt;&gt;"")*ISNUMBER(SEARCH('E2E core flow'!$A$15:$A$1000,$E243)),0),0))&amp;"","-"))</f>
        <v/>
      </c>
      <c r="N243" s="68" t="str">
        <f>IF(TRIM($A243)="","",IF($O243=0,IF(COUNTIFS('Card Test Cases'!$B$4:$B$1000,$A243,'Card Test Cases'!$A$4:$A$1000,"&lt;&gt;")&gt;0,"Out of Scope","No TC"),IF($Q243&gt;0,"Failed",IF(COUNTIFS('Card Test Cases'!$B$4:$B$1000,$A243,'Card Test Cases'!$A$4:$A$1000,"&lt;&gt;",'Card Test Cases'!$F$4:$F$1000,"Blocked")&gt;0,"Blocked",IF($R243&gt;0,"In Progress","Passed")))))</f>
        <v/>
      </c>
      <c r="O243" s="68" t="str">
        <f>IF(TRIM($A243)="","",COUNTIFS('Card Test Cases'!$B$4:$B$1000,$A243,'Card Test Cases'!$A$4:$A$1000,"&lt;&gt;",'Card Test Cases'!$F$4:$F$1000,"&lt;&gt;Out of Scope"))</f>
        <v/>
      </c>
      <c r="P243" s="68" t="str">
        <f>IF(TRIM($A243)="","",COUNTIFS('Card Test Cases'!$B$4:$B$1000,$A243,'Card Test Cases'!$A$4:$A$1000,"&lt;&gt;",'Card Test Cases'!$F$4:$F$1000,"Passed"))</f>
        <v/>
      </c>
      <c r="Q243" s="68" t="str">
        <f>IF(TRIM($A243)="","",COUNTIFS('Card Test Cases'!$B$4:$B$1000,$A243,'Card Test Cases'!$A$4:$A$1000,"&lt;&gt;",'Card Test Cases'!$F$4:$F$1000,"Failed"))</f>
        <v/>
      </c>
      <c r="R243" s="68" t="str">
        <f t="shared" si="3"/>
        <v/>
      </c>
      <c r="S243" s="68" t="str" cm="1">
        <f t="array" ref="S243">IF(TRIM($A243)="","",IFERROR(_xlfn.TEXTJOIN(", ",TRUE,_xlfn.UNIQUE(_xlfn.VSTACK(_xlfn._xlws.FILTER('Card Test Cases'!$G$4:$G$1000,('Card Test Cases'!$B$4:$B$1000=$A243)*('Card Test Cases'!$G$4:$G$1000&lt;&gt;""),""),_xlfn._xlws.FILTER('E2E core flow'!$U$15:$U$1000,('E2E core flow'!$A$15:$A$1000&lt;&gt;"")*ISNUMBER(SEARCH('E2E core flow'!$A$15:$A$1000,$E243))*('E2E core flow'!$U$15:$U$1000&lt;&gt;""),"")))),"-"))</f>
        <v/>
      </c>
    </row>
    <row r="244" spans="7:19" x14ac:dyDescent="0.3">
      <c r="G244" s="68" t="str" cm="1">
        <f t="array" ref="G244">_xlfn.LET(_xlpm.ids,'E2E core flow'!$A$15:$A$1000,_xlpm.v,'E2E core flow'!$W$15:$W$1000,_xlpm.m,(_xlpm.ids&lt;&gt;"")*ISNUMBER(SEARCH(_xlpm.ids,$E244)),_xlpm.f,SUM(_xlpm.m*(_xlpm.v="Failed")),_xlpm.b,SUM(_xlpm.m*(_xlpm.v="Blocked")),_xlpm.nr,SUM(_xlpm.m*(_xlpm.v="Not Run")),_xlpm.cp,SUM(_xlpm.m*(_xlpm.v="Conditionally Passed")),_xlpm.p,SUM(_xlpm.m*(_xlpm.v="Passed")),IF(TRIM($A244)="","",IF(TRIM($E244)="","Pending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44" s="68" t="str">
        <f>IF(TRIM($A244)="","",IF($J244="Passed","",IF($J244="Passed with Known Issue","Known Issue",IF($J244="",IF(OR($H244&lt;&gt;"No",AND($F244&lt;&gt;"Medium",$F244&lt;&gt;"Low")),"Pending Result",""),IF(OR($H244&lt;&gt;"No",AND($F244&lt;&gt;"Medium",$F244&lt;&gt;"Low")),IF(COUNTIFS(Dashboard!$B$105:$B$124,$A244,Dashboard!$I$105:$I$124,"CAB")&gt;0,"Accepted (CF)","Blocking"),IF($J244="Failed","Deferrable","Carry Over"))))))</f>
        <v/>
      </c>
      <c r="M244" s="68" t="str">
        <f>IF(OR(TRIM($A244)="",TRIM($E244)=""),"",IFERROR(INDEX('E2E core flow'!$B$15:$B$1000,MATCH(1,INDEX(('E2E core flow'!$A$15:$A$1000&lt;&gt;"")*ISNUMBER(SEARCH('E2E core flow'!$A$15:$A$1000,$E244)),0),0))&amp;"","-"))</f>
        <v/>
      </c>
      <c r="N244" s="68" t="str">
        <f>IF(TRIM($A244)="","",IF($O244=0,IF(COUNTIFS('Card Test Cases'!$B$4:$B$1000,$A244,'Card Test Cases'!$A$4:$A$1000,"&lt;&gt;")&gt;0,"Out of Scope","No TC"),IF($Q244&gt;0,"Failed",IF(COUNTIFS('Card Test Cases'!$B$4:$B$1000,$A244,'Card Test Cases'!$A$4:$A$1000,"&lt;&gt;",'Card Test Cases'!$F$4:$F$1000,"Blocked")&gt;0,"Blocked",IF($R244&gt;0,"In Progress","Passed")))))</f>
        <v/>
      </c>
      <c r="O244" s="68" t="str">
        <f>IF(TRIM($A244)="","",COUNTIFS('Card Test Cases'!$B$4:$B$1000,$A244,'Card Test Cases'!$A$4:$A$1000,"&lt;&gt;",'Card Test Cases'!$F$4:$F$1000,"&lt;&gt;Out of Scope"))</f>
        <v/>
      </c>
      <c r="P244" s="68" t="str">
        <f>IF(TRIM($A244)="","",COUNTIFS('Card Test Cases'!$B$4:$B$1000,$A244,'Card Test Cases'!$A$4:$A$1000,"&lt;&gt;",'Card Test Cases'!$F$4:$F$1000,"Passed"))</f>
        <v/>
      </c>
      <c r="Q244" s="68" t="str">
        <f>IF(TRIM($A244)="","",COUNTIFS('Card Test Cases'!$B$4:$B$1000,$A244,'Card Test Cases'!$A$4:$A$1000,"&lt;&gt;",'Card Test Cases'!$F$4:$F$1000,"Failed"))</f>
        <v/>
      </c>
      <c r="R244" s="68" t="str">
        <f t="shared" si="3"/>
        <v/>
      </c>
      <c r="S244" s="68" t="str" cm="1">
        <f t="array" ref="S244">IF(TRIM($A244)="","",IFERROR(_xlfn.TEXTJOIN(", ",TRUE,_xlfn.UNIQUE(_xlfn.VSTACK(_xlfn._xlws.FILTER('Card Test Cases'!$G$4:$G$1000,('Card Test Cases'!$B$4:$B$1000=$A244)*('Card Test Cases'!$G$4:$G$1000&lt;&gt;""),""),_xlfn._xlws.FILTER('E2E core flow'!$U$15:$U$1000,('E2E core flow'!$A$15:$A$1000&lt;&gt;"")*ISNUMBER(SEARCH('E2E core flow'!$A$15:$A$1000,$E244))*('E2E core flow'!$U$15:$U$1000&lt;&gt;""),"")))),"-"))</f>
        <v/>
      </c>
    </row>
    <row r="245" spans="7:19" x14ac:dyDescent="0.3">
      <c r="G245" s="68" t="str" cm="1">
        <f t="array" ref="G245">_xlfn.LET(_xlpm.ids,'E2E core flow'!$A$15:$A$1000,_xlpm.v,'E2E core flow'!$W$15:$W$1000,_xlpm.m,(_xlpm.ids&lt;&gt;"")*ISNUMBER(SEARCH(_xlpm.ids,$E245)),_xlpm.f,SUM(_xlpm.m*(_xlpm.v="Failed")),_xlpm.b,SUM(_xlpm.m*(_xlpm.v="Blocked")),_xlpm.nr,SUM(_xlpm.m*(_xlpm.v="Not Run")),_xlpm.cp,SUM(_xlpm.m*(_xlpm.v="Conditionally Passed")),_xlpm.p,SUM(_xlpm.m*(_xlpm.v="Passed")),IF(TRIM($A245)="","",IF(TRIM($E245)="","Pending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45" s="68" t="str">
        <f>IF(TRIM($A245)="","",IF($J245="Passed","",IF($J245="Passed with Known Issue","Known Issue",IF($J245="",IF(OR($H245&lt;&gt;"No",AND($F245&lt;&gt;"Medium",$F245&lt;&gt;"Low")),"Pending Result",""),IF(OR($H245&lt;&gt;"No",AND($F245&lt;&gt;"Medium",$F245&lt;&gt;"Low")),IF(COUNTIFS(Dashboard!$B$105:$B$124,$A245,Dashboard!$I$105:$I$124,"CAB")&gt;0,"Accepted (CF)","Blocking"),IF($J245="Failed","Deferrable","Carry Over"))))))</f>
        <v/>
      </c>
      <c r="M245" s="68" t="str">
        <f>IF(OR(TRIM($A245)="",TRIM($E245)=""),"",IFERROR(INDEX('E2E core flow'!$B$15:$B$1000,MATCH(1,INDEX(('E2E core flow'!$A$15:$A$1000&lt;&gt;"")*ISNUMBER(SEARCH('E2E core flow'!$A$15:$A$1000,$E245)),0),0))&amp;"","-"))</f>
        <v/>
      </c>
      <c r="N245" s="68" t="str">
        <f>IF(TRIM($A245)="","",IF($O245=0,IF(COUNTIFS('Card Test Cases'!$B$4:$B$1000,$A245,'Card Test Cases'!$A$4:$A$1000,"&lt;&gt;")&gt;0,"Out of Scope","No TC"),IF($Q245&gt;0,"Failed",IF(COUNTIFS('Card Test Cases'!$B$4:$B$1000,$A245,'Card Test Cases'!$A$4:$A$1000,"&lt;&gt;",'Card Test Cases'!$F$4:$F$1000,"Blocked")&gt;0,"Blocked",IF($R245&gt;0,"In Progress","Passed")))))</f>
        <v/>
      </c>
      <c r="O245" s="68" t="str">
        <f>IF(TRIM($A245)="","",COUNTIFS('Card Test Cases'!$B$4:$B$1000,$A245,'Card Test Cases'!$A$4:$A$1000,"&lt;&gt;",'Card Test Cases'!$F$4:$F$1000,"&lt;&gt;Out of Scope"))</f>
        <v/>
      </c>
      <c r="P245" s="68" t="str">
        <f>IF(TRIM($A245)="","",COUNTIFS('Card Test Cases'!$B$4:$B$1000,$A245,'Card Test Cases'!$A$4:$A$1000,"&lt;&gt;",'Card Test Cases'!$F$4:$F$1000,"Passed"))</f>
        <v/>
      </c>
      <c r="Q245" s="68" t="str">
        <f>IF(TRIM($A245)="","",COUNTIFS('Card Test Cases'!$B$4:$B$1000,$A245,'Card Test Cases'!$A$4:$A$1000,"&lt;&gt;",'Card Test Cases'!$F$4:$F$1000,"Failed"))</f>
        <v/>
      </c>
      <c r="R245" s="68" t="str">
        <f t="shared" si="3"/>
        <v/>
      </c>
      <c r="S245" s="68" t="str" cm="1">
        <f t="array" ref="S245">IF(TRIM($A245)="","",IFERROR(_xlfn.TEXTJOIN(", ",TRUE,_xlfn.UNIQUE(_xlfn.VSTACK(_xlfn._xlws.FILTER('Card Test Cases'!$G$4:$G$1000,('Card Test Cases'!$B$4:$B$1000=$A245)*('Card Test Cases'!$G$4:$G$1000&lt;&gt;""),""),_xlfn._xlws.FILTER('E2E core flow'!$U$15:$U$1000,('E2E core flow'!$A$15:$A$1000&lt;&gt;"")*ISNUMBER(SEARCH('E2E core flow'!$A$15:$A$1000,$E245))*('E2E core flow'!$U$15:$U$1000&lt;&gt;""),"")))),"-"))</f>
        <v/>
      </c>
    </row>
    <row r="246" spans="7:19" x14ac:dyDescent="0.3">
      <c r="G246" s="68" t="str" cm="1">
        <f t="array" ref="G246">_xlfn.LET(_xlpm.ids,'E2E core flow'!$A$15:$A$1000,_xlpm.v,'E2E core flow'!$W$15:$W$1000,_xlpm.m,(_xlpm.ids&lt;&gt;"")*ISNUMBER(SEARCH(_xlpm.ids,$E246)),_xlpm.f,SUM(_xlpm.m*(_xlpm.v="Failed")),_xlpm.b,SUM(_xlpm.m*(_xlpm.v="Blocked")),_xlpm.nr,SUM(_xlpm.m*(_xlpm.v="Not Run")),_xlpm.cp,SUM(_xlpm.m*(_xlpm.v="Conditionally Passed")),_xlpm.p,SUM(_xlpm.m*(_xlpm.v="Passed")),IF(TRIM($A246)="","",IF(TRIM($E246)="","Pending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46" s="68" t="str">
        <f>IF(TRIM($A246)="","",IF($J246="Passed","",IF($J246="Passed with Known Issue","Known Issue",IF($J246="",IF(OR($H246&lt;&gt;"No",AND($F246&lt;&gt;"Medium",$F246&lt;&gt;"Low")),"Pending Result",""),IF(OR($H246&lt;&gt;"No",AND($F246&lt;&gt;"Medium",$F246&lt;&gt;"Low")),IF(COUNTIFS(Dashboard!$B$105:$B$124,$A246,Dashboard!$I$105:$I$124,"CAB")&gt;0,"Accepted (CF)","Blocking"),IF($J246="Failed","Deferrable","Carry Over"))))))</f>
        <v/>
      </c>
      <c r="M246" s="68" t="str">
        <f>IF(OR(TRIM($A246)="",TRIM($E246)=""),"",IFERROR(INDEX('E2E core flow'!$B$15:$B$1000,MATCH(1,INDEX(('E2E core flow'!$A$15:$A$1000&lt;&gt;"")*ISNUMBER(SEARCH('E2E core flow'!$A$15:$A$1000,$E246)),0),0))&amp;"","-"))</f>
        <v/>
      </c>
      <c r="N246" s="68" t="str">
        <f>IF(TRIM($A246)="","",IF($O246=0,IF(COUNTIFS('Card Test Cases'!$B$4:$B$1000,$A246,'Card Test Cases'!$A$4:$A$1000,"&lt;&gt;")&gt;0,"Out of Scope","No TC"),IF($Q246&gt;0,"Failed",IF(COUNTIFS('Card Test Cases'!$B$4:$B$1000,$A246,'Card Test Cases'!$A$4:$A$1000,"&lt;&gt;",'Card Test Cases'!$F$4:$F$1000,"Blocked")&gt;0,"Blocked",IF($R246&gt;0,"In Progress","Passed")))))</f>
        <v/>
      </c>
      <c r="O246" s="68" t="str">
        <f>IF(TRIM($A246)="","",COUNTIFS('Card Test Cases'!$B$4:$B$1000,$A246,'Card Test Cases'!$A$4:$A$1000,"&lt;&gt;",'Card Test Cases'!$F$4:$F$1000,"&lt;&gt;Out of Scope"))</f>
        <v/>
      </c>
      <c r="P246" s="68" t="str">
        <f>IF(TRIM($A246)="","",COUNTIFS('Card Test Cases'!$B$4:$B$1000,$A246,'Card Test Cases'!$A$4:$A$1000,"&lt;&gt;",'Card Test Cases'!$F$4:$F$1000,"Passed"))</f>
        <v/>
      </c>
      <c r="Q246" s="68" t="str">
        <f>IF(TRIM($A246)="","",COUNTIFS('Card Test Cases'!$B$4:$B$1000,$A246,'Card Test Cases'!$A$4:$A$1000,"&lt;&gt;",'Card Test Cases'!$F$4:$F$1000,"Failed"))</f>
        <v/>
      </c>
      <c r="R246" s="68" t="str">
        <f t="shared" si="3"/>
        <v/>
      </c>
      <c r="S246" s="68" t="str" cm="1">
        <f t="array" ref="S246">IF(TRIM($A246)="","",IFERROR(_xlfn.TEXTJOIN(", ",TRUE,_xlfn.UNIQUE(_xlfn.VSTACK(_xlfn._xlws.FILTER('Card Test Cases'!$G$4:$G$1000,('Card Test Cases'!$B$4:$B$1000=$A246)*('Card Test Cases'!$G$4:$G$1000&lt;&gt;""),""),_xlfn._xlws.FILTER('E2E core flow'!$U$15:$U$1000,('E2E core flow'!$A$15:$A$1000&lt;&gt;"")*ISNUMBER(SEARCH('E2E core flow'!$A$15:$A$1000,$E246))*('E2E core flow'!$U$15:$U$1000&lt;&gt;""),"")))),"-"))</f>
        <v/>
      </c>
    </row>
    <row r="247" spans="7:19" x14ac:dyDescent="0.3">
      <c r="G247" s="68" t="str" cm="1">
        <f t="array" ref="G247">_xlfn.LET(_xlpm.ids,'E2E core flow'!$A$15:$A$1000,_xlpm.v,'E2E core flow'!$W$15:$W$1000,_xlpm.m,(_xlpm.ids&lt;&gt;"")*ISNUMBER(SEARCH(_xlpm.ids,$E247)),_xlpm.f,SUM(_xlpm.m*(_xlpm.v="Failed")),_xlpm.b,SUM(_xlpm.m*(_xlpm.v="Blocked")),_xlpm.nr,SUM(_xlpm.m*(_xlpm.v="Not Run")),_xlpm.cp,SUM(_xlpm.m*(_xlpm.v="Conditionally Passed")),_xlpm.p,SUM(_xlpm.m*(_xlpm.v="Passed")),IF(TRIM($A247)="","",IF(TRIM($E247)="","Pending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47" s="68" t="str">
        <f>IF(TRIM($A247)="","",IF($J247="Passed","",IF($J247="Passed with Known Issue","Known Issue",IF($J247="",IF(OR($H247&lt;&gt;"No",AND($F247&lt;&gt;"Medium",$F247&lt;&gt;"Low")),"Pending Result",""),IF(OR($H247&lt;&gt;"No",AND($F247&lt;&gt;"Medium",$F247&lt;&gt;"Low")),IF(COUNTIFS(Dashboard!$B$105:$B$124,$A247,Dashboard!$I$105:$I$124,"CAB")&gt;0,"Accepted (CF)","Blocking"),IF($J247="Failed","Deferrable","Carry Over"))))))</f>
        <v/>
      </c>
      <c r="M247" s="68" t="str">
        <f>IF(OR(TRIM($A247)="",TRIM($E247)=""),"",IFERROR(INDEX('E2E core flow'!$B$15:$B$1000,MATCH(1,INDEX(('E2E core flow'!$A$15:$A$1000&lt;&gt;"")*ISNUMBER(SEARCH('E2E core flow'!$A$15:$A$1000,$E247)),0),0))&amp;"","-"))</f>
        <v/>
      </c>
      <c r="N247" s="68" t="str">
        <f>IF(TRIM($A247)="","",IF($O247=0,IF(COUNTIFS('Card Test Cases'!$B$4:$B$1000,$A247,'Card Test Cases'!$A$4:$A$1000,"&lt;&gt;")&gt;0,"Out of Scope","No TC"),IF($Q247&gt;0,"Failed",IF(COUNTIFS('Card Test Cases'!$B$4:$B$1000,$A247,'Card Test Cases'!$A$4:$A$1000,"&lt;&gt;",'Card Test Cases'!$F$4:$F$1000,"Blocked")&gt;0,"Blocked",IF($R247&gt;0,"In Progress","Passed")))))</f>
        <v/>
      </c>
      <c r="O247" s="68" t="str">
        <f>IF(TRIM($A247)="","",COUNTIFS('Card Test Cases'!$B$4:$B$1000,$A247,'Card Test Cases'!$A$4:$A$1000,"&lt;&gt;",'Card Test Cases'!$F$4:$F$1000,"&lt;&gt;Out of Scope"))</f>
        <v/>
      </c>
      <c r="P247" s="68" t="str">
        <f>IF(TRIM($A247)="","",COUNTIFS('Card Test Cases'!$B$4:$B$1000,$A247,'Card Test Cases'!$A$4:$A$1000,"&lt;&gt;",'Card Test Cases'!$F$4:$F$1000,"Passed"))</f>
        <v/>
      </c>
      <c r="Q247" s="68" t="str">
        <f>IF(TRIM($A247)="","",COUNTIFS('Card Test Cases'!$B$4:$B$1000,$A247,'Card Test Cases'!$A$4:$A$1000,"&lt;&gt;",'Card Test Cases'!$F$4:$F$1000,"Failed"))</f>
        <v/>
      </c>
      <c r="R247" s="68" t="str">
        <f t="shared" si="3"/>
        <v/>
      </c>
      <c r="S247" s="68" t="str" cm="1">
        <f t="array" ref="S247">IF(TRIM($A247)="","",IFERROR(_xlfn.TEXTJOIN(", ",TRUE,_xlfn.UNIQUE(_xlfn.VSTACK(_xlfn._xlws.FILTER('Card Test Cases'!$G$4:$G$1000,('Card Test Cases'!$B$4:$B$1000=$A247)*('Card Test Cases'!$G$4:$G$1000&lt;&gt;""),""),_xlfn._xlws.FILTER('E2E core flow'!$U$15:$U$1000,('E2E core flow'!$A$15:$A$1000&lt;&gt;"")*ISNUMBER(SEARCH('E2E core flow'!$A$15:$A$1000,$E247))*('E2E core flow'!$U$15:$U$1000&lt;&gt;""),"")))),"-"))</f>
        <v/>
      </c>
    </row>
    <row r="248" spans="7:19" x14ac:dyDescent="0.3">
      <c r="G248" s="68" t="str" cm="1">
        <f t="array" ref="G248">_xlfn.LET(_xlpm.ids,'E2E core flow'!$A$15:$A$1000,_xlpm.v,'E2E core flow'!$W$15:$W$1000,_xlpm.m,(_xlpm.ids&lt;&gt;"")*ISNUMBER(SEARCH(_xlpm.ids,$E248)),_xlpm.f,SUM(_xlpm.m*(_xlpm.v="Failed")),_xlpm.b,SUM(_xlpm.m*(_xlpm.v="Blocked")),_xlpm.nr,SUM(_xlpm.m*(_xlpm.v="Not Run")),_xlpm.cp,SUM(_xlpm.m*(_xlpm.v="Conditionally Passed")),_xlpm.p,SUM(_xlpm.m*(_xlpm.v="Passed")),IF(TRIM($A248)="","",IF(TRIM($E248)="","Pending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48" s="68" t="str">
        <f>IF(TRIM($A248)="","",IF($J248="Passed","",IF($J248="Passed with Known Issue","Known Issue",IF($J248="",IF(OR($H248&lt;&gt;"No",AND($F248&lt;&gt;"Medium",$F248&lt;&gt;"Low")),"Pending Result",""),IF(OR($H248&lt;&gt;"No",AND($F248&lt;&gt;"Medium",$F248&lt;&gt;"Low")),IF(COUNTIFS(Dashboard!$B$105:$B$124,$A248,Dashboard!$I$105:$I$124,"CAB")&gt;0,"Accepted (CF)","Blocking"),IF($J248="Failed","Deferrable","Carry Over"))))))</f>
        <v/>
      </c>
      <c r="M248" s="68" t="str">
        <f>IF(OR(TRIM($A248)="",TRIM($E248)=""),"",IFERROR(INDEX('E2E core flow'!$B$15:$B$1000,MATCH(1,INDEX(('E2E core flow'!$A$15:$A$1000&lt;&gt;"")*ISNUMBER(SEARCH('E2E core flow'!$A$15:$A$1000,$E248)),0),0))&amp;"","-"))</f>
        <v/>
      </c>
      <c r="N248" s="68" t="str">
        <f>IF(TRIM($A248)="","",IF($O248=0,IF(COUNTIFS('Card Test Cases'!$B$4:$B$1000,$A248,'Card Test Cases'!$A$4:$A$1000,"&lt;&gt;")&gt;0,"Out of Scope","No TC"),IF($Q248&gt;0,"Failed",IF(COUNTIFS('Card Test Cases'!$B$4:$B$1000,$A248,'Card Test Cases'!$A$4:$A$1000,"&lt;&gt;",'Card Test Cases'!$F$4:$F$1000,"Blocked")&gt;0,"Blocked",IF($R248&gt;0,"In Progress","Passed")))))</f>
        <v/>
      </c>
      <c r="O248" s="68" t="str">
        <f>IF(TRIM($A248)="","",COUNTIFS('Card Test Cases'!$B$4:$B$1000,$A248,'Card Test Cases'!$A$4:$A$1000,"&lt;&gt;",'Card Test Cases'!$F$4:$F$1000,"&lt;&gt;Out of Scope"))</f>
        <v/>
      </c>
      <c r="P248" s="68" t="str">
        <f>IF(TRIM($A248)="","",COUNTIFS('Card Test Cases'!$B$4:$B$1000,$A248,'Card Test Cases'!$A$4:$A$1000,"&lt;&gt;",'Card Test Cases'!$F$4:$F$1000,"Passed"))</f>
        <v/>
      </c>
      <c r="Q248" s="68" t="str">
        <f>IF(TRIM($A248)="","",COUNTIFS('Card Test Cases'!$B$4:$B$1000,$A248,'Card Test Cases'!$A$4:$A$1000,"&lt;&gt;",'Card Test Cases'!$F$4:$F$1000,"Failed"))</f>
        <v/>
      </c>
      <c r="R248" s="68" t="str">
        <f t="shared" si="3"/>
        <v/>
      </c>
      <c r="S248" s="68" t="str" cm="1">
        <f t="array" ref="S248">IF(TRIM($A248)="","",IFERROR(_xlfn.TEXTJOIN(", ",TRUE,_xlfn.UNIQUE(_xlfn.VSTACK(_xlfn._xlws.FILTER('Card Test Cases'!$G$4:$G$1000,('Card Test Cases'!$B$4:$B$1000=$A248)*('Card Test Cases'!$G$4:$G$1000&lt;&gt;""),""),_xlfn._xlws.FILTER('E2E core flow'!$U$15:$U$1000,('E2E core flow'!$A$15:$A$1000&lt;&gt;"")*ISNUMBER(SEARCH('E2E core flow'!$A$15:$A$1000,$E248))*('E2E core flow'!$U$15:$U$1000&lt;&gt;""),"")))),"-"))</f>
        <v/>
      </c>
    </row>
    <row r="249" spans="7:19" x14ac:dyDescent="0.3">
      <c r="G249" s="68" t="str" cm="1">
        <f t="array" ref="G249">_xlfn.LET(_xlpm.ids,'E2E core flow'!$A$15:$A$1000,_xlpm.v,'E2E core flow'!$W$15:$W$1000,_xlpm.m,(_xlpm.ids&lt;&gt;"")*ISNUMBER(SEARCH(_xlpm.ids,$E249)),_xlpm.f,SUM(_xlpm.m*(_xlpm.v="Failed")),_xlpm.b,SUM(_xlpm.m*(_xlpm.v="Blocked")),_xlpm.nr,SUM(_xlpm.m*(_xlpm.v="Not Run")),_xlpm.cp,SUM(_xlpm.m*(_xlpm.v="Conditionally Passed")),_xlpm.p,SUM(_xlpm.m*(_xlpm.v="Passed")),IF(TRIM($A249)="","",IF(TRIM($E249)="","Pending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49" s="68" t="str">
        <f>IF(TRIM($A249)="","",IF($J249="Passed","",IF($J249="Passed with Known Issue","Known Issue",IF($J249="",IF(OR($H249&lt;&gt;"No",AND($F249&lt;&gt;"Medium",$F249&lt;&gt;"Low")),"Pending Result",""),IF(OR($H249&lt;&gt;"No",AND($F249&lt;&gt;"Medium",$F249&lt;&gt;"Low")),IF(COUNTIFS(Dashboard!$B$105:$B$124,$A249,Dashboard!$I$105:$I$124,"CAB")&gt;0,"Accepted (CF)","Blocking"),IF($J249="Failed","Deferrable","Carry Over"))))))</f>
        <v/>
      </c>
      <c r="M249" s="68" t="str">
        <f>IF(OR(TRIM($A249)="",TRIM($E249)=""),"",IFERROR(INDEX('E2E core flow'!$B$15:$B$1000,MATCH(1,INDEX(('E2E core flow'!$A$15:$A$1000&lt;&gt;"")*ISNUMBER(SEARCH('E2E core flow'!$A$15:$A$1000,$E249)),0),0))&amp;"","-"))</f>
        <v/>
      </c>
      <c r="N249" s="68" t="str">
        <f>IF(TRIM($A249)="","",IF($O249=0,IF(COUNTIFS('Card Test Cases'!$B$4:$B$1000,$A249,'Card Test Cases'!$A$4:$A$1000,"&lt;&gt;")&gt;0,"Out of Scope","No TC"),IF($Q249&gt;0,"Failed",IF(COUNTIFS('Card Test Cases'!$B$4:$B$1000,$A249,'Card Test Cases'!$A$4:$A$1000,"&lt;&gt;",'Card Test Cases'!$F$4:$F$1000,"Blocked")&gt;0,"Blocked",IF($R249&gt;0,"In Progress","Passed")))))</f>
        <v/>
      </c>
      <c r="O249" s="68" t="str">
        <f>IF(TRIM($A249)="","",COUNTIFS('Card Test Cases'!$B$4:$B$1000,$A249,'Card Test Cases'!$A$4:$A$1000,"&lt;&gt;",'Card Test Cases'!$F$4:$F$1000,"&lt;&gt;Out of Scope"))</f>
        <v/>
      </c>
      <c r="P249" s="68" t="str">
        <f>IF(TRIM($A249)="","",COUNTIFS('Card Test Cases'!$B$4:$B$1000,$A249,'Card Test Cases'!$A$4:$A$1000,"&lt;&gt;",'Card Test Cases'!$F$4:$F$1000,"Passed"))</f>
        <v/>
      </c>
      <c r="Q249" s="68" t="str">
        <f>IF(TRIM($A249)="","",COUNTIFS('Card Test Cases'!$B$4:$B$1000,$A249,'Card Test Cases'!$A$4:$A$1000,"&lt;&gt;",'Card Test Cases'!$F$4:$F$1000,"Failed"))</f>
        <v/>
      </c>
      <c r="R249" s="68" t="str">
        <f t="shared" si="3"/>
        <v/>
      </c>
      <c r="S249" s="68" t="str" cm="1">
        <f t="array" ref="S249">IF(TRIM($A249)="","",IFERROR(_xlfn.TEXTJOIN(", ",TRUE,_xlfn.UNIQUE(_xlfn.VSTACK(_xlfn._xlws.FILTER('Card Test Cases'!$G$4:$G$1000,('Card Test Cases'!$B$4:$B$1000=$A249)*('Card Test Cases'!$G$4:$G$1000&lt;&gt;""),""),_xlfn._xlws.FILTER('E2E core flow'!$U$15:$U$1000,('E2E core flow'!$A$15:$A$1000&lt;&gt;"")*ISNUMBER(SEARCH('E2E core flow'!$A$15:$A$1000,$E249))*('E2E core flow'!$U$15:$U$1000&lt;&gt;""),"")))),"-"))</f>
        <v/>
      </c>
    </row>
    <row r="250" spans="7:19" x14ac:dyDescent="0.3">
      <c r="G250" s="68" t="str" cm="1">
        <f t="array" ref="G250">_xlfn.LET(_xlpm.ids,'E2E core flow'!$A$15:$A$1000,_xlpm.v,'E2E core flow'!$W$15:$W$1000,_xlpm.m,(_xlpm.ids&lt;&gt;"")*ISNUMBER(SEARCH(_xlpm.ids,$E250)),_xlpm.f,SUM(_xlpm.m*(_xlpm.v="Failed")),_xlpm.b,SUM(_xlpm.m*(_xlpm.v="Blocked")),_xlpm.nr,SUM(_xlpm.m*(_xlpm.v="Not Run")),_xlpm.cp,SUM(_xlpm.m*(_xlpm.v="Conditionally Passed")),_xlpm.p,SUM(_xlpm.m*(_xlpm.v="Passed")),IF(TRIM($A250)="","",IF(TRIM($E250)="","Pending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50" s="68" t="str">
        <f>IF(TRIM($A250)="","",IF($J250="Passed","",IF($J250="Passed with Known Issue","Known Issue",IF($J250="",IF(OR($H250&lt;&gt;"No",AND($F250&lt;&gt;"Medium",$F250&lt;&gt;"Low")),"Pending Result",""),IF(OR($H250&lt;&gt;"No",AND($F250&lt;&gt;"Medium",$F250&lt;&gt;"Low")),IF(COUNTIFS(Dashboard!$B$105:$B$124,$A250,Dashboard!$I$105:$I$124,"CAB")&gt;0,"Accepted (CF)","Blocking"),IF($J250="Failed","Deferrable","Carry Over"))))))</f>
        <v/>
      </c>
      <c r="M250" s="68" t="str">
        <f>IF(OR(TRIM($A250)="",TRIM($E250)=""),"",IFERROR(INDEX('E2E core flow'!$B$15:$B$1000,MATCH(1,INDEX(('E2E core flow'!$A$15:$A$1000&lt;&gt;"")*ISNUMBER(SEARCH('E2E core flow'!$A$15:$A$1000,$E250)),0),0))&amp;"","-"))</f>
        <v/>
      </c>
      <c r="N250" s="68" t="str">
        <f>IF(TRIM($A250)="","",IF($O250=0,IF(COUNTIFS('Card Test Cases'!$B$4:$B$1000,$A250,'Card Test Cases'!$A$4:$A$1000,"&lt;&gt;")&gt;0,"Out of Scope","No TC"),IF($Q250&gt;0,"Failed",IF(COUNTIFS('Card Test Cases'!$B$4:$B$1000,$A250,'Card Test Cases'!$A$4:$A$1000,"&lt;&gt;",'Card Test Cases'!$F$4:$F$1000,"Blocked")&gt;0,"Blocked",IF($R250&gt;0,"In Progress","Passed")))))</f>
        <v/>
      </c>
      <c r="O250" s="68" t="str">
        <f>IF(TRIM($A250)="","",COUNTIFS('Card Test Cases'!$B$4:$B$1000,$A250,'Card Test Cases'!$A$4:$A$1000,"&lt;&gt;",'Card Test Cases'!$F$4:$F$1000,"&lt;&gt;Out of Scope"))</f>
        <v/>
      </c>
      <c r="P250" s="68" t="str">
        <f>IF(TRIM($A250)="","",COUNTIFS('Card Test Cases'!$B$4:$B$1000,$A250,'Card Test Cases'!$A$4:$A$1000,"&lt;&gt;",'Card Test Cases'!$F$4:$F$1000,"Passed"))</f>
        <v/>
      </c>
      <c r="Q250" s="68" t="str">
        <f>IF(TRIM($A250)="","",COUNTIFS('Card Test Cases'!$B$4:$B$1000,$A250,'Card Test Cases'!$A$4:$A$1000,"&lt;&gt;",'Card Test Cases'!$F$4:$F$1000,"Failed"))</f>
        <v/>
      </c>
      <c r="R250" s="68" t="str">
        <f t="shared" si="3"/>
        <v/>
      </c>
      <c r="S250" s="68" t="str" cm="1">
        <f t="array" ref="S250">IF(TRIM($A250)="","",IFERROR(_xlfn.TEXTJOIN(", ",TRUE,_xlfn.UNIQUE(_xlfn.VSTACK(_xlfn._xlws.FILTER('Card Test Cases'!$G$4:$G$1000,('Card Test Cases'!$B$4:$B$1000=$A250)*('Card Test Cases'!$G$4:$G$1000&lt;&gt;""),""),_xlfn._xlws.FILTER('E2E core flow'!$U$15:$U$1000,('E2E core flow'!$A$15:$A$1000&lt;&gt;"")*ISNUMBER(SEARCH('E2E core flow'!$A$15:$A$1000,$E250))*('E2E core flow'!$U$15:$U$1000&lt;&gt;""),"")))),"-"))</f>
        <v/>
      </c>
    </row>
    <row r="251" spans="7:19" x14ac:dyDescent="0.3">
      <c r="G251" s="68" t="str" cm="1">
        <f t="array" ref="G251">_xlfn.LET(_xlpm.ids,'E2E core flow'!$A$15:$A$1000,_xlpm.v,'E2E core flow'!$W$15:$W$1000,_xlpm.m,(_xlpm.ids&lt;&gt;"")*ISNUMBER(SEARCH(_xlpm.ids,$E251)),_xlpm.f,SUM(_xlpm.m*(_xlpm.v="Failed")),_xlpm.b,SUM(_xlpm.m*(_xlpm.v="Blocked")),_xlpm.nr,SUM(_xlpm.m*(_xlpm.v="Not Run")),_xlpm.cp,SUM(_xlpm.m*(_xlpm.v="Conditionally Passed")),_xlpm.p,SUM(_xlpm.m*(_xlpm.v="Passed")),IF(TRIM($A251)="","",IF(TRIM($E251)="","Pending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51" s="68" t="str">
        <f>IF(TRIM($A251)="","",IF($J251="Passed","",IF($J251="Passed with Known Issue","Known Issue",IF($J251="",IF(OR($H251&lt;&gt;"No",AND($F251&lt;&gt;"Medium",$F251&lt;&gt;"Low")),"Pending Result",""),IF(OR($H251&lt;&gt;"No",AND($F251&lt;&gt;"Medium",$F251&lt;&gt;"Low")),IF(COUNTIFS(Dashboard!$B$105:$B$124,$A251,Dashboard!$I$105:$I$124,"CAB")&gt;0,"Accepted (CF)","Blocking"),IF($J251="Failed","Deferrable","Carry Over"))))))</f>
        <v/>
      </c>
      <c r="M251" s="68" t="str">
        <f>IF(OR(TRIM($A251)="",TRIM($E251)=""),"",IFERROR(INDEX('E2E core flow'!$B$15:$B$1000,MATCH(1,INDEX(('E2E core flow'!$A$15:$A$1000&lt;&gt;"")*ISNUMBER(SEARCH('E2E core flow'!$A$15:$A$1000,$E251)),0),0))&amp;"","-"))</f>
        <v/>
      </c>
      <c r="N251" s="68" t="str">
        <f>IF(TRIM($A251)="","",IF($O251=0,IF(COUNTIFS('Card Test Cases'!$B$4:$B$1000,$A251,'Card Test Cases'!$A$4:$A$1000,"&lt;&gt;")&gt;0,"Out of Scope","No TC"),IF($Q251&gt;0,"Failed",IF(COUNTIFS('Card Test Cases'!$B$4:$B$1000,$A251,'Card Test Cases'!$A$4:$A$1000,"&lt;&gt;",'Card Test Cases'!$F$4:$F$1000,"Blocked")&gt;0,"Blocked",IF($R251&gt;0,"In Progress","Passed")))))</f>
        <v/>
      </c>
      <c r="O251" s="68" t="str">
        <f>IF(TRIM($A251)="","",COUNTIFS('Card Test Cases'!$B$4:$B$1000,$A251,'Card Test Cases'!$A$4:$A$1000,"&lt;&gt;",'Card Test Cases'!$F$4:$F$1000,"&lt;&gt;Out of Scope"))</f>
        <v/>
      </c>
      <c r="P251" s="68" t="str">
        <f>IF(TRIM($A251)="","",COUNTIFS('Card Test Cases'!$B$4:$B$1000,$A251,'Card Test Cases'!$A$4:$A$1000,"&lt;&gt;",'Card Test Cases'!$F$4:$F$1000,"Passed"))</f>
        <v/>
      </c>
      <c r="Q251" s="68" t="str">
        <f>IF(TRIM($A251)="","",COUNTIFS('Card Test Cases'!$B$4:$B$1000,$A251,'Card Test Cases'!$A$4:$A$1000,"&lt;&gt;",'Card Test Cases'!$F$4:$F$1000,"Failed"))</f>
        <v/>
      </c>
      <c r="R251" s="68" t="str">
        <f t="shared" si="3"/>
        <v/>
      </c>
      <c r="S251" s="68" t="str" cm="1">
        <f t="array" ref="S251">IF(TRIM($A251)="","",IFERROR(_xlfn.TEXTJOIN(", ",TRUE,_xlfn.UNIQUE(_xlfn.VSTACK(_xlfn._xlws.FILTER('Card Test Cases'!$G$4:$G$1000,('Card Test Cases'!$B$4:$B$1000=$A251)*('Card Test Cases'!$G$4:$G$1000&lt;&gt;""),""),_xlfn._xlws.FILTER('E2E core flow'!$U$15:$U$1000,('E2E core flow'!$A$15:$A$1000&lt;&gt;"")*ISNUMBER(SEARCH('E2E core flow'!$A$15:$A$1000,$E251))*('E2E core flow'!$U$15:$U$1000&lt;&gt;""),"")))),"-"))</f>
        <v/>
      </c>
    </row>
    <row r="252" spans="7:19" x14ac:dyDescent="0.3">
      <c r="G252" s="68" t="str" cm="1">
        <f t="array" ref="G252">_xlfn.LET(_xlpm.ids,'E2E core flow'!$A$15:$A$1000,_xlpm.v,'E2E core flow'!$W$15:$W$1000,_xlpm.m,(_xlpm.ids&lt;&gt;"")*ISNUMBER(SEARCH(_xlpm.ids,$E252)),_xlpm.f,SUM(_xlpm.m*(_xlpm.v="Failed")),_xlpm.b,SUM(_xlpm.m*(_xlpm.v="Blocked")),_xlpm.nr,SUM(_xlpm.m*(_xlpm.v="Not Run")),_xlpm.cp,SUM(_xlpm.m*(_xlpm.v="Conditionally Passed")),_xlpm.p,SUM(_xlpm.m*(_xlpm.v="Passed")),IF(TRIM($A252)="","",IF(TRIM($E252)="","Pending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52" s="68" t="str">
        <f>IF(TRIM($A252)="","",IF($J252="Passed","",IF($J252="Passed with Known Issue","Known Issue",IF($J252="",IF(OR($H252&lt;&gt;"No",AND($F252&lt;&gt;"Medium",$F252&lt;&gt;"Low")),"Pending Result",""),IF(OR($H252&lt;&gt;"No",AND($F252&lt;&gt;"Medium",$F252&lt;&gt;"Low")),IF(COUNTIFS(Dashboard!$B$105:$B$124,$A252,Dashboard!$I$105:$I$124,"CAB")&gt;0,"Accepted (CF)","Blocking"),IF($J252="Failed","Deferrable","Carry Over"))))))</f>
        <v/>
      </c>
      <c r="M252" s="68" t="str">
        <f>IF(OR(TRIM($A252)="",TRIM($E252)=""),"",IFERROR(INDEX('E2E core flow'!$B$15:$B$1000,MATCH(1,INDEX(('E2E core flow'!$A$15:$A$1000&lt;&gt;"")*ISNUMBER(SEARCH('E2E core flow'!$A$15:$A$1000,$E252)),0),0))&amp;"","-"))</f>
        <v/>
      </c>
      <c r="N252" s="68" t="str">
        <f>IF(TRIM($A252)="","",IF($O252=0,IF(COUNTIFS('Card Test Cases'!$B$4:$B$1000,$A252,'Card Test Cases'!$A$4:$A$1000,"&lt;&gt;")&gt;0,"Out of Scope","No TC"),IF($Q252&gt;0,"Failed",IF(COUNTIFS('Card Test Cases'!$B$4:$B$1000,$A252,'Card Test Cases'!$A$4:$A$1000,"&lt;&gt;",'Card Test Cases'!$F$4:$F$1000,"Blocked")&gt;0,"Blocked",IF($R252&gt;0,"In Progress","Passed")))))</f>
        <v/>
      </c>
      <c r="O252" s="68" t="str">
        <f>IF(TRIM($A252)="","",COUNTIFS('Card Test Cases'!$B$4:$B$1000,$A252,'Card Test Cases'!$A$4:$A$1000,"&lt;&gt;",'Card Test Cases'!$F$4:$F$1000,"&lt;&gt;Out of Scope"))</f>
        <v/>
      </c>
      <c r="P252" s="68" t="str">
        <f>IF(TRIM($A252)="","",COUNTIFS('Card Test Cases'!$B$4:$B$1000,$A252,'Card Test Cases'!$A$4:$A$1000,"&lt;&gt;",'Card Test Cases'!$F$4:$F$1000,"Passed"))</f>
        <v/>
      </c>
      <c r="Q252" s="68" t="str">
        <f>IF(TRIM($A252)="","",COUNTIFS('Card Test Cases'!$B$4:$B$1000,$A252,'Card Test Cases'!$A$4:$A$1000,"&lt;&gt;",'Card Test Cases'!$F$4:$F$1000,"Failed"))</f>
        <v/>
      </c>
      <c r="R252" s="68" t="str">
        <f t="shared" si="3"/>
        <v/>
      </c>
      <c r="S252" s="68" t="str" cm="1">
        <f t="array" ref="S252">IF(TRIM($A252)="","",IFERROR(_xlfn.TEXTJOIN(", ",TRUE,_xlfn.UNIQUE(_xlfn.VSTACK(_xlfn._xlws.FILTER('Card Test Cases'!$G$4:$G$1000,('Card Test Cases'!$B$4:$B$1000=$A252)*('Card Test Cases'!$G$4:$G$1000&lt;&gt;""),""),_xlfn._xlws.FILTER('E2E core flow'!$U$15:$U$1000,('E2E core flow'!$A$15:$A$1000&lt;&gt;"")*ISNUMBER(SEARCH('E2E core flow'!$A$15:$A$1000,$E252))*('E2E core flow'!$U$15:$U$1000&lt;&gt;""),"")))),"-"))</f>
        <v/>
      </c>
    </row>
    <row r="253" spans="7:19" x14ac:dyDescent="0.3">
      <c r="G253" s="68" t="str" cm="1">
        <f t="array" ref="G253">_xlfn.LET(_xlpm.ids,'E2E core flow'!$A$15:$A$1000,_xlpm.v,'E2E core flow'!$W$15:$W$1000,_xlpm.m,(_xlpm.ids&lt;&gt;"")*ISNUMBER(SEARCH(_xlpm.ids,$E253)),_xlpm.f,SUM(_xlpm.m*(_xlpm.v="Failed")),_xlpm.b,SUM(_xlpm.m*(_xlpm.v="Blocked")),_xlpm.nr,SUM(_xlpm.m*(_xlpm.v="Not Run")),_xlpm.cp,SUM(_xlpm.m*(_xlpm.v="Conditionally Passed")),_xlpm.p,SUM(_xlpm.m*(_xlpm.v="Passed")),IF(TRIM($A253)="","",IF(TRIM($E253)="","Pending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53" s="68" t="str">
        <f>IF(TRIM($A253)="","",IF($J253="Passed","",IF($J253="Passed with Known Issue","Known Issue",IF($J253="",IF(OR($H253&lt;&gt;"No",AND($F253&lt;&gt;"Medium",$F253&lt;&gt;"Low")),"Pending Result",""),IF(OR($H253&lt;&gt;"No",AND($F253&lt;&gt;"Medium",$F253&lt;&gt;"Low")),IF(COUNTIFS(Dashboard!$B$105:$B$124,$A253,Dashboard!$I$105:$I$124,"CAB")&gt;0,"Accepted (CF)","Blocking"),IF($J253="Failed","Deferrable","Carry Over"))))))</f>
        <v/>
      </c>
      <c r="M253" s="68" t="str">
        <f>IF(OR(TRIM($A253)="",TRIM($E253)=""),"",IFERROR(INDEX('E2E core flow'!$B$15:$B$1000,MATCH(1,INDEX(('E2E core flow'!$A$15:$A$1000&lt;&gt;"")*ISNUMBER(SEARCH('E2E core flow'!$A$15:$A$1000,$E253)),0),0))&amp;"","-"))</f>
        <v/>
      </c>
      <c r="N253" s="68" t="str">
        <f>IF(TRIM($A253)="","",IF($O253=0,IF(COUNTIFS('Card Test Cases'!$B$4:$B$1000,$A253,'Card Test Cases'!$A$4:$A$1000,"&lt;&gt;")&gt;0,"Out of Scope","No TC"),IF($Q253&gt;0,"Failed",IF(COUNTIFS('Card Test Cases'!$B$4:$B$1000,$A253,'Card Test Cases'!$A$4:$A$1000,"&lt;&gt;",'Card Test Cases'!$F$4:$F$1000,"Blocked")&gt;0,"Blocked",IF($R253&gt;0,"In Progress","Passed")))))</f>
        <v/>
      </c>
      <c r="O253" s="68" t="str">
        <f>IF(TRIM($A253)="","",COUNTIFS('Card Test Cases'!$B$4:$B$1000,$A253,'Card Test Cases'!$A$4:$A$1000,"&lt;&gt;",'Card Test Cases'!$F$4:$F$1000,"&lt;&gt;Out of Scope"))</f>
        <v/>
      </c>
      <c r="P253" s="68" t="str">
        <f>IF(TRIM($A253)="","",COUNTIFS('Card Test Cases'!$B$4:$B$1000,$A253,'Card Test Cases'!$A$4:$A$1000,"&lt;&gt;",'Card Test Cases'!$F$4:$F$1000,"Passed"))</f>
        <v/>
      </c>
      <c r="Q253" s="68" t="str">
        <f>IF(TRIM($A253)="","",COUNTIFS('Card Test Cases'!$B$4:$B$1000,$A253,'Card Test Cases'!$A$4:$A$1000,"&lt;&gt;",'Card Test Cases'!$F$4:$F$1000,"Failed"))</f>
        <v/>
      </c>
      <c r="R253" s="68" t="str">
        <f t="shared" si="3"/>
        <v/>
      </c>
      <c r="S253" s="68" t="str" cm="1">
        <f t="array" ref="S253">IF(TRIM($A253)="","",IFERROR(_xlfn.TEXTJOIN(", ",TRUE,_xlfn.UNIQUE(_xlfn.VSTACK(_xlfn._xlws.FILTER('Card Test Cases'!$G$4:$G$1000,('Card Test Cases'!$B$4:$B$1000=$A253)*('Card Test Cases'!$G$4:$G$1000&lt;&gt;""),""),_xlfn._xlws.FILTER('E2E core flow'!$U$15:$U$1000,('E2E core flow'!$A$15:$A$1000&lt;&gt;"")*ISNUMBER(SEARCH('E2E core flow'!$A$15:$A$1000,$E253))*('E2E core flow'!$U$15:$U$1000&lt;&gt;""),"")))),"-"))</f>
        <v/>
      </c>
    </row>
    <row r="254" spans="7:19" x14ac:dyDescent="0.3">
      <c r="G254" s="68" t="str" cm="1">
        <f t="array" ref="G254">_xlfn.LET(_xlpm.ids,'E2E core flow'!$A$15:$A$1000,_xlpm.v,'E2E core flow'!$W$15:$W$1000,_xlpm.m,(_xlpm.ids&lt;&gt;"")*ISNUMBER(SEARCH(_xlpm.ids,$E254)),_xlpm.f,SUM(_xlpm.m*(_xlpm.v="Failed")),_xlpm.b,SUM(_xlpm.m*(_xlpm.v="Blocked")),_xlpm.nr,SUM(_xlpm.m*(_xlpm.v="Not Run")),_xlpm.cp,SUM(_xlpm.m*(_xlpm.v="Conditionally Passed")),_xlpm.p,SUM(_xlpm.m*(_xlpm.v="Passed")),IF(TRIM($A254)="","",IF(TRIM($E254)="","Pending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54" s="68" t="str">
        <f>IF(TRIM($A254)="","",IF($J254="Passed","",IF($J254="Passed with Known Issue","Known Issue",IF($J254="",IF(OR($H254&lt;&gt;"No",AND($F254&lt;&gt;"Medium",$F254&lt;&gt;"Low")),"Pending Result",""),IF(OR($H254&lt;&gt;"No",AND($F254&lt;&gt;"Medium",$F254&lt;&gt;"Low")),IF(COUNTIFS(Dashboard!$B$105:$B$124,$A254,Dashboard!$I$105:$I$124,"CAB")&gt;0,"Accepted (CF)","Blocking"),IF($J254="Failed","Deferrable","Carry Over"))))))</f>
        <v/>
      </c>
      <c r="M254" s="68" t="str">
        <f>IF(OR(TRIM($A254)="",TRIM($E254)=""),"",IFERROR(INDEX('E2E core flow'!$B$15:$B$1000,MATCH(1,INDEX(('E2E core flow'!$A$15:$A$1000&lt;&gt;"")*ISNUMBER(SEARCH('E2E core flow'!$A$15:$A$1000,$E254)),0),0))&amp;"","-"))</f>
        <v/>
      </c>
      <c r="N254" s="68" t="str">
        <f>IF(TRIM($A254)="","",IF($O254=0,IF(COUNTIFS('Card Test Cases'!$B$4:$B$1000,$A254,'Card Test Cases'!$A$4:$A$1000,"&lt;&gt;")&gt;0,"Out of Scope","No TC"),IF($Q254&gt;0,"Failed",IF(COUNTIFS('Card Test Cases'!$B$4:$B$1000,$A254,'Card Test Cases'!$A$4:$A$1000,"&lt;&gt;",'Card Test Cases'!$F$4:$F$1000,"Blocked")&gt;0,"Blocked",IF($R254&gt;0,"In Progress","Passed")))))</f>
        <v/>
      </c>
      <c r="O254" s="68" t="str">
        <f>IF(TRIM($A254)="","",COUNTIFS('Card Test Cases'!$B$4:$B$1000,$A254,'Card Test Cases'!$A$4:$A$1000,"&lt;&gt;",'Card Test Cases'!$F$4:$F$1000,"&lt;&gt;Out of Scope"))</f>
        <v/>
      </c>
      <c r="P254" s="68" t="str">
        <f>IF(TRIM($A254)="","",COUNTIFS('Card Test Cases'!$B$4:$B$1000,$A254,'Card Test Cases'!$A$4:$A$1000,"&lt;&gt;",'Card Test Cases'!$F$4:$F$1000,"Passed"))</f>
        <v/>
      </c>
      <c r="Q254" s="68" t="str">
        <f>IF(TRIM($A254)="","",COUNTIFS('Card Test Cases'!$B$4:$B$1000,$A254,'Card Test Cases'!$A$4:$A$1000,"&lt;&gt;",'Card Test Cases'!$F$4:$F$1000,"Failed"))</f>
        <v/>
      </c>
      <c r="R254" s="68" t="str">
        <f t="shared" si="3"/>
        <v/>
      </c>
      <c r="S254" s="68" t="str" cm="1">
        <f t="array" ref="S254">IF(TRIM($A254)="","",IFERROR(_xlfn.TEXTJOIN(", ",TRUE,_xlfn.UNIQUE(_xlfn.VSTACK(_xlfn._xlws.FILTER('Card Test Cases'!$G$4:$G$1000,('Card Test Cases'!$B$4:$B$1000=$A254)*('Card Test Cases'!$G$4:$G$1000&lt;&gt;""),""),_xlfn._xlws.FILTER('E2E core flow'!$U$15:$U$1000,('E2E core flow'!$A$15:$A$1000&lt;&gt;"")*ISNUMBER(SEARCH('E2E core flow'!$A$15:$A$1000,$E254))*('E2E core flow'!$U$15:$U$1000&lt;&gt;""),"")))),"-"))</f>
        <v/>
      </c>
    </row>
    <row r="255" spans="7:19" x14ac:dyDescent="0.3">
      <c r="G255" s="68" t="str" cm="1">
        <f t="array" ref="G255">_xlfn.LET(_xlpm.ids,'E2E core flow'!$A$15:$A$1000,_xlpm.v,'E2E core flow'!$W$15:$W$1000,_xlpm.m,(_xlpm.ids&lt;&gt;"")*ISNUMBER(SEARCH(_xlpm.ids,$E255)),_xlpm.f,SUM(_xlpm.m*(_xlpm.v="Failed")),_xlpm.b,SUM(_xlpm.m*(_xlpm.v="Blocked")),_xlpm.nr,SUM(_xlpm.m*(_xlpm.v="Not Run")),_xlpm.cp,SUM(_xlpm.m*(_xlpm.v="Conditionally Passed")),_xlpm.p,SUM(_xlpm.m*(_xlpm.v="Passed")),IF(TRIM($A255)="","",IF(TRIM($E255)="","Pending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55" s="68" t="str">
        <f>IF(TRIM($A255)="","",IF($J255="Passed","",IF($J255="Passed with Known Issue","Known Issue",IF($J255="",IF(OR($H255&lt;&gt;"No",AND($F255&lt;&gt;"Medium",$F255&lt;&gt;"Low")),"Pending Result",""),IF(OR($H255&lt;&gt;"No",AND($F255&lt;&gt;"Medium",$F255&lt;&gt;"Low")),IF(COUNTIFS(Dashboard!$B$105:$B$124,$A255,Dashboard!$I$105:$I$124,"CAB")&gt;0,"Accepted (CF)","Blocking"),IF($J255="Failed","Deferrable","Carry Over"))))))</f>
        <v/>
      </c>
      <c r="M255" s="68" t="str">
        <f>IF(OR(TRIM($A255)="",TRIM($E255)=""),"",IFERROR(INDEX('E2E core flow'!$B$15:$B$1000,MATCH(1,INDEX(('E2E core flow'!$A$15:$A$1000&lt;&gt;"")*ISNUMBER(SEARCH('E2E core flow'!$A$15:$A$1000,$E255)),0),0))&amp;"","-"))</f>
        <v/>
      </c>
      <c r="N255" s="68" t="str">
        <f>IF(TRIM($A255)="","",IF($O255=0,IF(COUNTIFS('Card Test Cases'!$B$4:$B$1000,$A255,'Card Test Cases'!$A$4:$A$1000,"&lt;&gt;")&gt;0,"Out of Scope","No TC"),IF($Q255&gt;0,"Failed",IF(COUNTIFS('Card Test Cases'!$B$4:$B$1000,$A255,'Card Test Cases'!$A$4:$A$1000,"&lt;&gt;",'Card Test Cases'!$F$4:$F$1000,"Blocked")&gt;0,"Blocked",IF($R255&gt;0,"In Progress","Passed")))))</f>
        <v/>
      </c>
      <c r="O255" s="68" t="str">
        <f>IF(TRIM($A255)="","",COUNTIFS('Card Test Cases'!$B$4:$B$1000,$A255,'Card Test Cases'!$A$4:$A$1000,"&lt;&gt;",'Card Test Cases'!$F$4:$F$1000,"&lt;&gt;Out of Scope"))</f>
        <v/>
      </c>
      <c r="P255" s="68" t="str">
        <f>IF(TRIM($A255)="","",COUNTIFS('Card Test Cases'!$B$4:$B$1000,$A255,'Card Test Cases'!$A$4:$A$1000,"&lt;&gt;",'Card Test Cases'!$F$4:$F$1000,"Passed"))</f>
        <v/>
      </c>
      <c r="Q255" s="68" t="str">
        <f>IF(TRIM($A255)="","",COUNTIFS('Card Test Cases'!$B$4:$B$1000,$A255,'Card Test Cases'!$A$4:$A$1000,"&lt;&gt;",'Card Test Cases'!$F$4:$F$1000,"Failed"))</f>
        <v/>
      </c>
      <c r="R255" s="68" t="str">
        <f t="shared" si="3"/>
        <v/>
      </c>
      <c r="S255" s="68" t="str" cm="1">
        <f t="array" ref="S255">IF(TRIM($A255)="","",IFERROR(_xlfn.TEXTJOIN(", ",TRUE,_xlfn.UNIQUE(_xlfn.VSTACK(_xlfn._xlws.FILTER('Card Test Cases'!$G$4:$G$1000,('Card Test Cases'!$B$4:$B$1000=$A255)*('Card Test Cases'!$G$4:$G$1000&lt;&gt;""),""),_xlfn._xlws.FILTER('E2E core flow'!$U$15:$U$1000,('E2E core flow'!$A$15:$A$1000&lt;&gt;"")*ISNUMBER(SEARCH('E2E core flow'!$A$15:$A$1000,$E255))*('E2E core flow'!$U$15:$U$1000&lt;&gt;""),"")))),"-"))</f>
        <v/>
      </c>
    </row>
    <row r="256" spans="7:19" x14ac:dyDescent="0.3">
      <c r="G256" s="68" t="str" cm="1">
        <f t="array" ref="G256">_xlfn.LET(_xlpm.ids,'E2E core flow'!$A$15:$A$1000,_xlpm.v,'E2E core flow'!$W$15:$W$1000,_xlpm.m,(_xlpm.ids&lt;&gt;"")*ISNUMBER(SEARCH(_xlpm.ids,$E256)),_xlpm.f,SUM(_xlpm.m*(_xlpm.v="Failed")),_xlpm.b,SUM(_xlpm.m*(_xlpm.v="Blocked")),_xlpm.nr,SUM(_xlpm.m*(_xlpm.v="Not Run")),_xlpm.cp,SUM(_xlpm.m*(_xlpm.v="Conditionally Passed")),_xlpm.p,SUM(_xlpm.m*(_xlpm.v="Passed")),IF(TRIM($A256)="","",IF(TRIM($E256)="","Pending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56" s="68" t="str">
        <f>IF(TRIM($A256)="","",IF($J256="Passed","",IF($J256="Passed with Known Issue","Known Issue",IF($J256="",IF(OR($H256&lt;&gt;"No",AND($F256&lt;&gt;"Medium",$F256&lt;&gt;"Low")),"Pending Result",""),IF(OR($H256&lt;&gt;"No",AND($F256&lt;&gt;"Medium",$F256&lt;&gt;"Low")),IF(COUNTIFS(Dashboard!$B$105:$B$124,$A256,Dashboard!$I$105:$I$124,"CAB")&gt;0,"Accepted (CF)","Blocking"),IF($J256="Failed","Deferrable","Carry Over"))))))</f>
        <v/>
      </c>
      <c r="M256" s="68" t="str">
        <f>IF(OR(TRIM($A256)="",TRIM($E256)=""),"",IFERROR(INDEX('E2E core flow'!$B$15:$B$1000,MATCH(1,INDEX(('E2E core flow'!$A$15:$A$1000&lt;&gt;"")*ISNUMBER(SEARCH('E2E core flow'!$A$15:$A$1000,$E256)),0),0))&amp;"","-"))</f>
        <v/>
      </c>
      <c r="N256" s="68" t="str">
        <f>IF(TRIM($A256)="","",IF($O256=0,IF(COUNTIFS('Card Test Cases'!$B$4:$B$1000,$A256,'Card Test Cases'!$A$4:$A$1000,"&lt;&gt;")&gt;0,"Out of Scope","No TC"),IF($Q256&gt;0,"Failed",IF(COUNTIFS('Card Test Cases'!$B$4:$B$1000,$A256,'Card Test Cases'!$A$4:$A$1000,"&lt;&gt;",'Card Test Cases'!$F$4:$F$1000,"Blocked")&gt;0,"Blocked",IF($R256&gt;0,"In Progress","Passed")))))</f>
        <v/>
      </c>
      <c r="O256" s="68" t="str">
        <f>IF(TRIM($A256)="","",COUNTIFS('Card Test Cases'!$B$4:$B$1000,$A256,'Card Test Cases'!$A$4:$A$1000,"&lt;&gt;",'Card Test Cases'!$F$4:$F$1000,"&lt;&gt;Out of Scope"))</f>
        <v/>
      </c>
      <c r="P256" s="68" t="str">
        <f>IF(TRIM($A256)="","",COUNTIFS('Card Test Cases'!$B$4:$B$1000,$A256,'Card Test Cases'!$A$4:$A$1000,"&lt;&gt;",'Card Test Cases'!$F$4:$F$1000,"Passed"))</f>
        <v/>
      </c>
      <c r="Q256" s="68" t="str">
        <f>IF(TRIM($A256)="","",COUNTIFS('Card Test Cases'!$B$4:$B$1000,$A256,'Card Test Cases'!$A$4:$A$1000,"&lt;&gt;",'Card Test Cases'!$F$4:$F$1000,"Failed"))</f>
        <v/>
      </c>
      <c r="R256" s="68" t="str">
        <f t="shared" si="3"/>
        <v/>
      </c>
      <c r="S256" s="68" t="str" cm="1">
        <f t="array" ref="S256">IF(TRIM($A256)="","",IFERROR(_xlfn.TEXTJOIN(", ",TRUE,_xlfn.UNIQUE(_xlfn.VSTACK(_xlfn._xlws.FILTER('Card Test Cases'!$G$4:$G$1000,('Card Test Cases'!$B$4:$B$1000=$A256)*('Card Test Cases'!$G$4:$G$1000&lt;&gt;""),""),_xlfn._xlws.FILTER('E2E core flow'!$U$15:$U$1000,('E2E core flow'!$A$15:$A$1000&lt;&gt;"")*ISNUMBER(SEARCH('E2E core flow'!$A$15:$A$1000,$E256))*('E2E core flow'!$U$15:$U$1000&lt;&gt;""),"")))),"-"))</f>
        <v/>
      </c>
    </row>
    <row r="257" spans="7:19" x14ac:dyDescent="0.3">
      <c r="G257" s="68" t="str" cm="1">
        <f t="array" ref="G257">_xlfn.LET(_xlpm.ids,'E2E core flow'!$A$15:$A$1000,_xlpm.v,'E2E core flow'!$W$15:$W$1000,_xlpm.m,(_xlpm.ids&lt;&gt;"")*ISNUMBER(SEARCH(_xlpm.ids,$E257)),_xlpm.f,SUM(_xlpm.m*(_xlpm.v="Failed")),_xlpm.b,SUM(_xlpm.m*(_xlpm.v="Blocked")),_xlpm.nr,SUM(_xlpm.m*(_xlpm.v="Not Run")),_xlpm.cp,SUM(_xlpm.m*(_xlpm.v="Conditionally Passed")),_xlpm.p,SUM(_xlpm.m*(_xlpm.v="Passed")),IF(TRIM($A257)="","",IF(TRIM($E257)="","Pending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57" s="68" t="str">
        <f>IF(TRIM($A257)="","",IF($J257="Passed","",IF($J257="Passed with Known Issue","Known Issue",IF($J257="",IF(OR($H257&lt;&gt;"No",AND($F257&lt;&gt;"Medium",$F257&lt;&gt;"Low")),"Pending Result",""),IF(OR($H257&lt;&gt;"No",AND($F257&lt;&gt;"Medium",$F257&lt;&gt;"Low")),IF(COUNTIFS(Dashboard!$B$105:$B$124,$A257,Dashboard!$I$105:$I$124,"CAB")&gt;0,"Accepted (CF)","Blocking"),IF($J257="Failed","Deferrable","Carry Over"))))))</f>
        <v/>
      </c>
      <c r="M257" s="68" t="str">
        <f>IF(OR(TRIM($A257)="",TRIM($E257)=""),"",IFERROR(INDEX('E2E core flow'!$B$15:$B$1000,MATCH(1,INDEX(('E2E core flow'!$A$15:$A$1000&lt;&gt;"")*ISNUMBER(SEARCH('E2E core flow'!$A$15:$A$1000,$E257)),0),0))&amp;"","-"))</f>
        <v/>
      </c>
      <c r="N257" s="68" t="str">
        <f>IF(TRIM($A257)="","",IF($O257=0,IF(COUNTIFS('Card Test Cases'!$B$4:$B$1000,$A257,'Card Test Cases'!$A$4:$A$1000,"&lt;&gt;")&gt;0,"Out of Scope","No TC"),IF($Q257&gt;0,"Failed",IF(COUNTIFS('Card Test Cases'!$B$4:$B$1000,$A257,'Card Test Cases'!$A$4:$A$1000,"&lt;&gt;",'Card Test Cases'!$F$4:$F$1000,"Blocked")&gt;0,"Blocked",IF($R257&gt;0,"In Progress","Passed")))))</f>
        <v/>
      </c>
      <c r="O257" s="68" t="str">
        <f>IF(TRIM($A257)="","",COUNTIFS('Card Test Cases'!$B$4:$B$1000,$A257,'Card Test Cases'!$A$4:$A$1000,"&lt;&gt;",'Card Test Cases'!$F$4:$F$1000,"&lt;&gt;Out of Scope"))</f>
        <v/>
      </c>
      <c r="P257" s="68" t="str">
        <f>IF(TRIM($A257)="","",COUNTIFS('Card Test Cases'!$B$4:$B$1000,$A257,'Card Test Cases'!$A$4:$A$1000,"&lt;&gt;",'Card Test Cases'!$F$4:$F$1000,"Passed"))</f>
        <v/>
      </c>
      <c r="Q257" s="68" t="str">
        <f>IF(TRIM($A257)="","",COUNTIFS('Card Test Cases'!$B$4:$B$1000,$A257,'Card Test Cases'!$A$4:$A$1000,"&lt;&gt;",'Card Test Cases'!$F$4:$F$1000,"Failed"))</f>
        <v/>
      </c>
      <c r="R257" s="68" t="str">
        <f t="shared" si="3"/>
        <v/>
      </c>
      <c r="S257" s="68" t="str" cm="1">
        <f t="array" ref="S257">IF(TRIM($A257)="","",IFERROR(_xlfn.TEXTJOIN(", ",TRUE,_xlfn.UNIQUE(_xlfn.VSTACK(_xlfn._xlws.FILTER('Card Test Cases'!$G$4:$G$1000,('Card Test Cases'!$B$4:$B$1000=$A257)*('Card Test Cases'!$G$4:$G$1000&lt;&gt;""),""),_xlfn._xlws.FILTER('E2E core flow'!$U$15:$U$1000,('E2E core flow'!$A$15:$A$1000&lt;&gt;"")*ISNUMBER(SEARCH('E2E core flow'!$A$15:$A$1000,$E257))*('E2E core flow'!$U$15:$U$1000&lt;&gt;""),"")))),"-"))</f>
        <v/>
      </c>
    </row>
    <row r="258" spans="7:19" x14ac:dyDescent="0.3">
      <c r="G258" s="68" t="str" cm="1">
        <f t="array" ref="G258">_xlfn.LET(_xlpm.ids,'E2E core flow'!$A$15:$A$1000,_xlpm.v,'E2E core flow'!$W$15:$W$1000,_xlpm.m,(_xlpm.ids&lt;&gt;"")*ISNUMBER(SEARCH(_xlpm.ids,$E258)),_xlpm.f,SUM(_xlpm.m*(_xlpm.v="Failed")),_xlpm.b,SUM(_xlpm.m*(_xlpm.v="Blocked")),_xlpm.nr,SUM(_xlpm.m*(_xlpm.v="Not Run")),_xlpm.cp,SUM(_xlpm.m*(_xlpm.v="Conditionally Passed")),_xlpm.p,SUM(_xlpm.m*(_xlpm.v="Passed")),IF(TRIM($A258)="","",IF(TRIM($E258)="","Pending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58" s="68" t="str">
        <f>IF(TRIM($A258)="","",IF($J258="Passed","",IF($J258="Passed with Known Issue","Known Issue",IF($J258="",IF(OR($H258&lt;&gt;"No",AND($F258&lt;&gt;"Medium",$F258&lt;&gt;"Low")),"Pending Result",""),IF(OR($H258&lt;&gt;"No",AND($F258&lt;&gt;"Medium",$F258&lt;&gt;"Low")),IF(COUNTIFS(Dashboard!$B$105:$B$124,$A258,Dashboard!$I$105:$I$124,"CAB")&gt;0,"Accepted (CF)","Blocking"),IF($J258="Failed","Deferrable","Carry Over"))))))</f>
        <v/>
      </c>
      <c r="M258" s="68" t="str">
        <f>IF(OR(TRIM($A258)="",TRIM($E258)=""),"",IFERROR(INDEX('E2E core flow'!$B$15:$B$1000,MATCH(1,INDEX(('E2E core flow'!$A$15:$A$1000&lt;&gt;"")*ISNUMBER(SEARCH('E2E core flow'!$A$15:$A$1000,$E258)),0),0))&amp;"","-"))</f>
        <v/>
      </c>
      <c r="N258" s="68" t="str">
        <f>IF(TRIM($A258)="","",IF($O258=0,IF(COUNTIFS('Card Test Cases'!$B$4:$B$1000,$A258,'Card Test Cases'!$A$4:$A$1000,"&lt;&gt;")&gt;0,"Out of Scope","No TC"),IF($Q258&gt;0,"Failed",IF(COUNTIFS('Card Test Cases'!$B$4:$B$1000,$A258,'Card Test Cases'!$A$4:$A$1000,"&lt;&gt;",'Card Test Cases'!$F$4:$F$1000,"Blocked")&gt;0,"Blocked",IF($R258&gt;0,"In Progress","Passed")))))</f>
        <v/>
      </c>
      <c r="O258" s="68" t="str">
        <f>IF(TRIM($A258)="","",COUNTIFS('Card Test Cases'!$B$4:$B$1000,$A258,'Card Test Cases'!$A$4:$A$1000,"&lt;&gt;",'Card Test Cases'!$F$4:$F$1000,"&lt;&gt;Out of Scope"))</f>
        <v/>
      </c>
      <c r="P258" s="68" t="str">
        <f>IF(TRIM($A258)="","",COUNTIFS('Card Test Cases'!$B$4:$B$1000,$A258,'Card Test Cases'!$A$4:$A$1000,"&lt;&gt;",'Card Test Cases'!$F$4:$F$1000,"Passed"))</f>
        <v/>
      </c>
      <c r="Q258" s="68" t="str">
        <f>IF(TRIM($A258)="","",COUNTIFS('Card Test Cases'!$B$4:$B$1000,$A258,'Card Test Cases'!$A$4:$A$1000,"&lt;&gt;",'Card Test Cases'!$F$4:$F$1000,"Failed"))</f>
        <v/>
      </c>
      <c r="R258" s="68" t="str">
        <f t="shared" si="3"/>
        <v/>
      </c>
      <c r="S258" s="68" t="str" cm="1">
        <f t="array" ref="S258">IF(TRIM($A258)="","",IFERROR(_xlfn.TEXTJOIN(", ",TRUE,_xlfn.UNIQUE(_xlfn.VSTACK(_xlfn._xlws.FILTER('Card Test Cases'!$G$4:$G$1000,('Card Test Cases'!$B$4:$B$1000=$A258)*('Card Test Cases'!$G$4:$G$1000&lt;&gt;""),""),_xlfn._xlws.FILTER('E2E core flow'!$U$15:$U$1000,('E2E core flow'!$A$15:$A$1000&lt;&gt;"")*ISNUMBER(SEARCH('E2E core flow'!$A$15:$A$1000,$E258))*('E2E core flow'!$U$15:$U$1000&lt;&gt;""),"")))),"-"))</f>
        <v/>
      </c>
    </row>
    <row r="259" spans="7:19" x14ac:dyDescent="0.3">
      <c r="G259" s="68" t="str" cm="1">
        <f t="array" ref="G259">_xlfn.LET(_xlpm.ids,'E2E core flow'!$A$15:$A$1000,_xlpm.v,'E2E core flow'!$W$15:$W$1000,_xlpm.m,(_xlpm.ids&lt;&gt;"")*ISNUMBER(SEARCH(_xlpm.ids,$E259)),_xlpm.f,SUM(_xlpm.m*(_xlpm.v="Failed")),_xlpm.b,SUM(_xlpm.m*(_xlpm.v="Blocked")),_xlpm.nr,SUM(_xlpm.m*(_xlpm.v="Not Run")),_xlpm.cp,SUM(_xlpm.m*(_xlpm.v="Conditionally Passed")),_xlpm.p,SUM(_xlpm.m*(_xlpm.v="Passed")),IF(TRIM($A259)="","",IF(TRIM($E259)="","Pending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59" s="68" t="str">
        <f>IF(TRIM($A259)="","",IF($J259="Passed","",IF($J259="Passed with Known Issue","Known Issue",IF($J259="",IF(OR($H259&lt;&gt;"No",AND($F259&lt;&gt;"Medium",$F259&lt;&gt;"Low")),"Pending Result",""),IF(OR($H259&lt;&gt;"No",AND($F259&lt;&gt;"Medium",$F259&lt;&gt;"Low")),IF(COUNTIFS(Dashboard!$B$105:$B$124,$A259,Dashboard!$I$105:$I$124,"CAB")&gt;0,"Accepted (CF)","Blocking"),IF($J259="Failed","Deferrable","Carry Over"))))))</f>
        <v/>
      </c>
      <c r="M259" s="68" t="str">
        <f>IF(OR(TRIM($A259)="",TRIM($E259)=""),"",IFERROR(INDEX('E2E core flow'!$B$15:$B$1000,MATCH(1,INDEX(('E2E core flow'!$A$15:$A$1000&lt;&gt;"")*ISNUMBER(SEARCH('E2E core flow'!$A$15:$A$1000,$E259)),0),0))&amp;"","-"))</f>
        <v/>
      </c>
      <c r="N259" s="68" t="str">
        <f>IF(TRIM($A259)="","",IF($O259=0,IF(COUNTIFS('Card Test Cases'!$B$4:$B$1000,$A259,'Card Test Cases'!$A$4:$A$1000,"&lt;&gt;")&gt;0,"Out of Scope","No TC"),IF($Q259&gt;0,"Failed",IF(COUNTIFS('Card Test Cases'!$B$4:$B$1000,$A259,'Card Test Cases'!$A$4:$A$1000,"&lt;&gt;",'Card Test Cases'!$F$4:$F$1000,"Blocked")&gt;0,"Blocked",IF($R259&gt;0,"In Progress","Passed")))))</f>
        <v/>
      </c>
      <c r="O259" s="68" t="str">
        <f>IF(TRIM($A259)="","",COUNTIFS('Card Test Cases'!$B$4:$B$1000,$A259,'Card Test Cases'!$A$4:$A$1000,"&lt;&gt;",'Card Test Cases'!$F$4:$F$1000,"&lt;&gt;Out of Scope"))</f>
        <v/>
      </c>
      <c r="P259" s="68" t="str">
        <f>IF(TRIM($A259)="","",COUNTIFS('Card Test Cases'!$B$4:$B$1000,$A259,'Card Test Cases'!$A$4:$A$1000,"&lt;&gt;",'Card Test Cases'!$F$4:$F$1000,"Passed"))</f>
        <v/>
      </c>
      <c r="Q259" s="68" t="str">
        <f>IF(TRIM($A259)="","",COUNTIFS('Card Test Cases'!$B$4:$B$1000,$A259,'Card Test Cases'!$A$4:$A$1000,"&lt;&gt;",'Card Test Cases'!$F$4:$F$1000,"Failed"))</f>
        <v/>
      </c>
      <c r="R259" s="68" t="str">
        <f t="shared" si="3"/>
        <v/>
      </c>
      <c r="S259" s="68" t="str" cm="1">
        <f t="array" ref="S259">IF(TRIM($A259)="","",IFERROR(_xlfn.TEXTJOIN(", ",TRUE,_xlfn.UNIQUE(_xlfn.VSTACK(_xlfn._xlws.FILTER('Card Test Cases'!$G$4:$G$1000,('Card Test Cases'!$B$4:$B$1000=$A259)*('Card Test Cases'!$G$4:$G$1000&lt;&gt;""),""),_xlfn._xlws.FILTER('E2E core flow'!$U$15:$U$1000,('E2E core flow'!$A$15:$A$1000&lt;&gt;"")*ISNUMBER(SEARCH('E2E core flow'!$A$15:$A$1000,$E259))*('E2E core flow'!$U$15:$U$1000&lt;&gt;""),"")))),"-"))</f>
        <v/>
      </c>
    </row>
    <row r="260" spans="7:19" x14ac:dyDescent="0.3">
      <c r="G260" s="68" t="str" cm="1">
        <f t="array" ref="G260">_xlfn.LET(_xlpm.ids,'E2E core flow'!$A$15:$A$1000,_xlpm.v,'E2E core flow'!$W$15:$W$1000,_xlpm.m,(_xlpm.ids&lt;&gt;"")*ISNUMBER(SEARCH(_xlpm.ids,$E260)),_xlpm.f,SUM(_xlpm.m*(_xlpm.v="Failed")),_xlpm.b,SUM(_xlpm.m*(_xlpm.v="Blocked")),_xlpm.nr,SUM(_xlpm.m*(_xlpm.v="Not Run")),_xlpm.cp,SUM(_xlpm.m*(_xlpm.v="Conditionally Passed")),_xlpm.p,SUM(_xlpm.m*(_xlpm.v="Passed")),IF(TRIM($A260)="","",IF(TRIM($E260)="","Pending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60" s="68" t="str">
        <f>IF(TRIM($A260)="","",IF($J260="Passed","",IF($J260="Passed with Known Issue","Known Issue",IF($J260="",IF(OR($H260&lt;&gt;"No",AND($F260&lt;&gt;"Medium",$F260&lt;&gt;"Low")),"Pending Result",""),IF(OR($H260&lt;&gt;"No",AND($F260&lt;&gt;"Medium",$F260&lt;&gt;"Low")),IF(COUNTIFS(Dashboard!$B$105:$B$124,$A260,Dashboard!$I$105:$I$124,"CAB")&gt;0,"Accepted (CF)","Blocking"),IF($J260="Failed","Deferrable","Carry Over"))))))</f>
        <v/>
      </c>
      <c r="M260" s="68" t="str">
        <f>IF(OR(TRIM($A260)="",TRIM($E260)=""),"",IFERROR(INDEX('E2E core flow'!$B$15:$B$1000,MATCH(1,INDEX(('E2E core flow'!$A$15:$A$1000&lt;&gt;"")*ISNUMBER(SEARCH('E2E core flow'!$A$15:$A$1000,$E260)),0),0))&amp;"","-"))</f>
        <v/>
      </c>
      <c r="N260" s="68" t="str">
        <f>IF(TRIM($A260)="","",IF($O260=0,IF(COUNTIFS('Card Test Cases'!$B$4:$B$1000,$A260,'Card Test Cases'!$A$4:$A$1000,"&lt;&gt;")&gt;0,"Out of Scope","No TC"),IF($Q260&gt;0,"Failed",IF(COUNTIFS('Card Test Cases'!$B$4:$B$1000,$A260,'Card Test Cases'!$A$4:$A$1000,"&lt;&gt;",'Card Test Cases'!$F$4:$F$1000,"Blocked")&gt;0,"Blocked",IF($R260&gt;0,"In Progress","Passed")))))</f>
        <v/>
      </c>
      <c r="O260" s="68" t="str">
        <f>IF(TRIM($A260)="","",COUNTIFS('Card Test Cases'!$B$4:$B$1000,$A260,'Card Test Cases'!$A$4:$A$1000,"&lt;&gt;",'Card Test Cases'!$F$4:$F$1000,"&lt;&gt;Out of Scope"))</f>
        <v/>
      </c>
      <c r="P260" s="68" t="str">
        <f>IF(TRIM($A260)="","",COUNTIFS('Card Test Cases'!$B$4:$B$1000,$A260,'Card Test Cases'!$A$4:$A$1000,"&lt;&gt;",'Card Test Cases'!$F$4:$F$1000,"Passed"))</f>
        <v/>
      </c>
      <c r="Q260" s="68" t="str">
        <f>IF(TRIM($A260)="","",COUNTIFS('Card Test Cases'!$B$4:$B$1000,$A260,'Card Test Cases'!$A$4:$A$1000,"&lt;&gt;",'Card Test Cases'!$F$4:$F$1000,"Failed"))</f>
        <v/>
      </c>
      <c r="R260" s="68" t="str">
        <f t="shared" ref="R260:R323" si="4">IF(TRIM($A260)="","",$O260-$P260-$Q260)</f>
        <v/>
      </c>
      <c r="S260" s="68" t="str" cm="1">
        <f t="array" ref="S260">IF(TRIM($A260)="","",IFERROR(_xlfn.TEXTJOIN(", ",TRUE,_xlfn.UNIQUE(_xlfn.VSTACK(_xlfn._xlws.FILTER('Card Test Cases'!$G$4:$G$1000,('Card Test Cases'!$B$4:$B$1000=$A260)*('Card Test Cases'!$G$4:$G$1000&lt;&gt;""),""),_xlfn._xlws.FILTER('E2E core flow'!$U$15:$U$1000,('E2E core flow'!$A$15:$A$1000&lt;&gt;"")*ISNUMBER(SEARCH('E2E core flow'!$A$15:$A$1000,$E260))*('E2E core flow'!$U$15:$U$1000&lt;&gt;""),"")))),"-"))</f>
        <v/>
      </c>
    </row>
    <row r="261" spans="7:19" x14ac:dyDescent="0.3">
      <c r="G261" s="68" t="str" cm="1">
        <f t="array" ref="G261">_xlfn.LET(_xlpm.ids,'E2E core flow'!$A$15:$A$1000,_xlpm.v,'E2E core flow'!$W$15:$W$1000,_xlpm.m,(_xlpm.ids&lt;&gt;"")*ISNUMBER(SEARCH(_xlpm.ids,$E261)),_xlpm.f,SUM(_xlpm.m*(_xlpm.v="Failed")),_xlpm.b,SUM(_xlpm.m*(_xlpm.v="Blocked")),_xlpm.nr,SUM(_xlpm.m*(_xlpm.v="Not Run")),_xlpm.cp,SUM(_xlpm.m*(_xlpm.v="Conditionally Passed")),_xlpm.p,SUM(_xlpm.m*(_xlpm.v="Passed")),IF(TRIM($A261)="","",IF(TRIM($E261)="","Pending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61" s="68" t="str">
        <f>IF(TRIM($A261)="","",IF($J261="Passed","",IF($J261="Passed with Known Issue","Known Issue",IF($J261="",IF(OR($H261&lt;&gt;"No",AND($F261&lt;&gt;"Medium",$F261&lt;&gt;"Low")),"Pending Result",""),IF(OR($H261&lt;&gt;"No",AND($F261&lt;&gt;"Medium",$F261&lt;&gt;"Low")),IF(COUNTIFS(Dashboard!$B$105:$B$124,$A261,Dashboard!$I$105:$I$124,"CAB")&gt;0,"Accepted (CF)","Blocking"),IF($J261="Failed","Deferrable","Carry Over"))))))</f>
        <v/>
      </c>
      <c r="M261" s="68" t="str">
        <f>IF(OR(TRIM($A261)="",TRIM($E261)=""),"",IFERROR(INDEX('E2E core flow'!$B$15:$B$1000,MATCH(1,INDEX(('E2E core flow'!$A$15:$A$1000&lt;&gt;"")*ISNUMBER(SEARCH('E2E core flow'!$A$15:$A$1000,$E261)),0),0))&amp;"","-"))</f>
        <v/>
      </c>
      <c r="N261" s="68" t="str">
        <f>IF(TRIM($A261)="","",IF($O261=0,IF(COUNTIFS('Card Test Cases'!$B$4:$B$1000,$A261,'Card Test Cases'!$A$4:$A$1000,"&lt;&gt;")&gt;0,"Out of Scope","No TC"),IF($Q261&gt;0,"Failed",IF(COUNTIFS('Card Test Cases'!$B$4:$B$1000,$A261,'Card Test Cases'!$A$4:$A$1000,"&lt;&gt;",'Card Test Cases'!$F$4:$F$1000,"Blocked")&gt;0,"Blocked",IF($R261&gt;0,"In Progress","Passed")))))</f>
        <v/>
      </c>
      <c r="O261" s="68" t="str">
        <f>IF(TRIM($A261)="","",COUNTIFS('Card Test Cases'!$B$4:$B$1000,$A261,'Card Test Cases'!$A$4:$A$1000,"&lt;&gt;",'Card Test Cases'!$F$4:$F$1000,"&lt;&gt;Out of Scope"))</f>
        <v/>
      </c>
      <c r="P261" s="68" t="str">
        <f>IF(TRIM($A261)="","",COUNTIFS('Card Test Cases'!$B$4:$B$1000,$A261,'Card Test Cases'!$A$4:$A$1000,"&lt;&gt;",'Card Test Cases'!$F$4:$F$1000,"Passed"))</f>
        <v/>
      </c>
      <c r="Q261" s="68" t="str">
        <f>IF(TRIM($A261)="","",COUNTIFS('Card Test Cases'!$B$4:$B$1000,$A261,'Card Test Cases'!$A$4:$A$1000,"&lt;&gt;",'Card Test Cases'!$F$4:$F$1000,"Failed"))</f>
        <v/>
      </c>
      <c r="R261" s="68" t="str">
        <f t="shared" si="4"/>
        <v/>
      </c>
      <c r="S261" s="68" t="str" cm="1">
        <f t="array" ref="S261">IF(TRIM($A261)="","",IFERROR(_xlfn.TEXTJOIN(", ",TRUE,_xlfn.UNIQUE(_xlfn.VSTACK(_xlfn._xlws.FILTER('Card Test Cases'!$G$4:$G$1000,('Card Test Cases'!$B$4:$B$1000=$A261)*('Card Test Cases'!$G$4:$G$1000&lt;&gt;""),""),_xlfn._xlws.FILTER('E2E core flow'!$U$15:$U$1000,('E2E core flow'!$A$15:$A$1000&lt;&gt;"")*ISNUMBER(SEARCH('E2E core flow'!$A$15:$A$1000,$E261))*('E2E core flow'!$U$15:$U$1000&lt;&gt;""),"")))),"-"))</f>
        <v/>
      </c>
    </row>
    <row r="262" spans="7:19" x14ac:dyDescent="0.3">
      <c r="G262" s="68" t="str" cm="1">
        <f t="array" ref="G262">_xlfn.LET(_xlpm.ids,'E2E core flow'!$A$15:$A$1000,_xlpm.v,'E2E core flow'!$W$15:$W$1000,_xlpm.m,(_xlpm.ids&lt;&gt;"")*ISNUMBER(SEARCH(_xlpm.ids,$E262)),_xlpm.f,SUM(_xlpm.m*(_xlpm.v="Failed")),_xlpm.b,SUM(_xlpm.m*(_xlpm.v="Blocked")),_xlpm.nr,SUM(_xlpm.m*(_xlpm.v="Not Run")),_xlpm.cp,SUM(_xlpm.m*(_xlpm.v="Conditionally Passed")),_xlpm.p,SUM(_xlpm.m*(_xlpm.v="Passed")),IF(TRIM($A262)="","",IF(TRIM($E262)="","Pending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62" s="68" t="str">
        <f>IF(TRIM($A262)="","",IF($J262="Passed","",IF($J262="Passed with Known Issue","Known Issue",IF($J262="",IF(OR($H262&lt;&gt;"No",AND($F262&lt;&gt;"Medium",$F262&lt;&gt;"Low")),"Pending Result",""),IF(OR($H262&lt;&gt;"No",AND($F262&lt;&gt;"Medium",$F262&lt;&gt;"Low")),IF(COUNTIFS(Dashboard!$B$105:$B$124,$A262,Dashboard!$I$105:$I$124,"CAB")&gt;0,"Accepted (CF)","Blocking"),IF($J262="Failed","Deferrable","Carry Over"))))))</f>
        <v/>
      </c>
      <c r="M262" s="68" t="str">
        <f>IF(OR(TRIM($A262)="",TRIM($E262)=""),"",IFERROR(INDEX('E2E core flow'!$B$15:$B$1000,MATCH(1,INDEX(('E2E core flow'!$A$15:$A$1000&lt;&gt;"")*ISNUMBER(SEARCH('E2E core flow'!$A$15:$A$1000,$E262)),0),0))&amp;"","-"))</f>
        <v/>
      </c>
      <c r="N262" s="68" t="str">
        <f>IF(TRIM($A262)="","",IF($O262=0,IF(COUNTIFS('Card Test Cases'!$B$4:$B$1000,$A262,'Card Test Cases'!$A$4:$A$1000,"&lt;&gt;")&gt;0,"Out of Scope","No TC"),IF($Q262&gt;0,"Failed",IF(COUNTIFS('Card Test Cases'!$B$4:$B$1000,$A262,'Card Test Cases'!$A$4:$A$1000,"&lt;&gt;",'Card Test Cases'!$F$4:$F$1000,"Blocked")&gt;0,"Blocked",IF($R262&gt;0,"In Progress","Passed")))))</f>
        <v/>
      </c>
      <c r="O262" s="68" t="str">
        <f>IF(TRIM($A262)="","",COUNTIFS('Card Test Cases'!$B$4:$B$1000,$A262,'Card Test Cases'!$A$4:$A$1000,"&lt;&gt;",'Card Test Cases'!$F$4:$F$1000,"&lt;&gt;Out of Scope"))</f>
        <v/>
      </c>
      <c r="P262" s="68" t="str">
        <f>IF(TRIM($A262)="","",COUNTIFS('Card Test Cases'!$B$4:$B$1000,$A262,'Card Test Cases'!$A$4:$A$1000,"&lt;&gt;",'Card Test Cases'!$F$4:$F$1000,"Passed"))</f>
        <v/>
      </c>
      <c r="Q262" s="68" t="str">
        <f>IF(TRIM($A262)="","",COUNTIFS('Card Test Cases'!$B$4:$B$1000,$A262,'Card Test Cases'!$A$4:$A$1000,"&lt;&gt;",'Card Test Cases'!$F$4:$F$1000,"Failed"))</f>
        <v/>
      </c>
      <c r="R262" s="68" t="str">
        <f t="shared" si="4"/>
        <v/>
      </c>
      <c r="S262" s="68" t="str" cm="1">
        <f t="array" ref="S262">IF(TRIM($A262)="","",IFERROR(_xlfn.TEXTJOIN(", ",TRUE,_xlfn.UNIQUE(_xlfn.VSTACK(_xlfn._xlws.FILTER('Card Test Cases'!$G$4:$G$1000,('Card Test Cases'!$B$4:$B$1000=$A262)*('Card Test Cases'!$G$4:$G$1000&lt;&gt;""),""),_xlfn._xlws.FILTER('E2E core flow'!$U$15:$U$1000,('E2E core flow'!$A$15:$A$1000&lt;&gt;"")*ISNUMBER(SEARCH('E2E core flow'!$A$15:$A$1000,$E262))*('E2E core flow'!$U$15:$U$1000&lt;&gt;""),"")))),"-"))</f>
        <v/>
      </c>
    </row>
    <row r="263" spans="7:19" x14ac:dyDescent="0.3">
      <c r="G263" s="68" t="str" cm="1">
        <f t="array" ref="G263">_xlfn.LET(_xlpm.ids,'E2E core flow'!$A$15:$A$1000,_xlpm.v,'E2E core flow'!$W$15:$W$1000,_xlpm.m,(_xlpm.ids&lt;&gt;"")*ISNUMBER(SEARCH(_xlpm.ids,$E263)),_xlpm.f,SUM(_xlpm.m*(_xlpm.v="Failed")),_xlpm.b,SUM(_xlpm.m*(_xlpm.v="Blocked")),_xlpm.nr,SUM(_xlpm.m*(_xlpm.v="Not Run")),_xlpm.cp,SUM(_xlpm.m*(_xlpm.v="Conditionally Passed")),_xlpm.p,SUM(_xlpm.m*(_xlpm.v="Passed")),IF(TRIM($A263)="","",IF(TRIM($E263)="","Pending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63" s="68" t="str">
        <f>IF(TRIM($A263)="","",IF($J263="Passed","",IF($J263="Passed with Known Issue","Known Issue",IF($J263="",IF(OR($H263&lt;&gt;"No",AND($F263&lt;&gt;"Medium",$F263&lt;&gt;"Low")),"Pending Result",""),IF(OR($H263&lt;&gt;"No",AND($F263&lt;&gt;"Medium",$F263&lt;&gt;"Low")),IF(COUNTIFS(Dashboard!$B$105:$B$124,$A263,Dashboard!$I$105:$I$124,"CAB")&gt;0,"Accepted (CF)","Blocking"),IF($J263="Failed","Deferrable","Carry Over"))))))</f>
        <v/>
      </c>
      <c r="M263" s="68" t="str">
        <f>IF(OR(TRIM($A263)="",TRIM($E263)=""),"",IFERROR(INDEX('E2E core flow'!$B$15:$B$1000,MATCH(1,INDEX(('E2E core flow'!$A$15:$A$1000&lt;&gt;"")*ISNUMBER(SEARCH('E2E core flow'!$A$15:$A$1000,$E263)),0),0))&amp;"","-"))</f>
        <v/>
      </c>
      <c r="N263" s="68" t="str">
        <f>IF(TRIM($A263)="","",IF($O263=0,IF(COUNTIFS('Card Test Cases'!$B$4:$B$1000,$A263,'Card Test Cases'!$A$4:$A$1000,"&lt;&gt;")&gt;0,"Out of Scope","No TC"),IF($Q263&gt;0,"Failed",IF(COUNTIFS('Card Test Cases'!$B$4:$B$1000,$A263,'Card Test Cases'!$A$4:$A$1000,"&lt;&gt;",'Card Test Cases'!$F$4:$F$1000,"Blocked")&gt;0,"Blocked",IF($R263&gt;0,"In Progress","Passed")))))</f>
        <v/>
      </c>
      <c r="O263" s="68" t="str">
        <f>IF(TRIM($A263)="","",COUNTIFS('Card Test Cases'!$B$4:$B$1000,$A263,'Card Test Cases'!$A$4:$A$1000,"&lt;&gt;",'Card Test Cases'!$F$4:$F$1000,"&lt;&gt;Out of Scope"))</f>
        <v/>
      </c>
      <c r="P263" s="68" t="str">
        <f>IF(TRIM($A263)="","",COUNTIFS('Card Test Cases'!$B$4:$B$1000,$A263,'Card Test Cases'!$A$4:$A$1000,"&lt;&gt;",'Card Test Cases'!$F$4:$F$1000,"Passed"))</f>
        <v/>
      </c>
      <c r="Q263" s="68" t="str">
        <f>IF(TRIM($A263)="","",COUNTIFS('Card Test Cases'!$B$4:$B$1000,$A263,'Card Test Cases'!$A$4:$A$1000,"&lt;&gt;",'Card Test Cases'!$F$4:$F$1000,"Failed"))</f>
        <v/>
      </c>
      <c r="R263" s="68" t="str">
        <f t="shared" si="4"/>
        <v/>
      </c>
      <c r="S263" s="68" t="str" cm="1">
        <f t="array" ref="S263">IF(TRIM($A263)="","",IFERROR(_xlfn.TEXTJOIN(", ",TRUE,_xlfn.UNIQUE(_xlfn.VSTACK(_xlfn._xlws.FILTER('Card Test Cases'!$G$4:$G$1000,('Card Test Cases'!$B$4:$B$1000=$A263)*('Card Test Cases'!$G$4:$G$1000&lt;&gt;""),""),_xlfn._xlws.FILTER('E2E core flow'!$U$15:$U$1000,('E2E core flow'!$A$15:$A$1000&lt;&gt;"")*ISNUMBER(SEARCH('E2E core flow'!$A$15:$A$1000,$E263))*('E2E core flow'!$U$15:$U$1000&lt;&gt;""),"")))),"-"))</f>
        <v/>
      </c>
    </row>
    <row r="264" spans="7:19" x14ac:dyDescent="0.3">
      <c r="G264" s="68" t="str" cm="1">
        <f t="array" ref="G264">_xlfn.LET(_xlpm.ids,'E2E core flow'!$A$15:$A$1000,_xlpm.v,'E2E core flow'!$W$15:$W$1000,_xlpm.m,(_xlpm.ids&lt;&gt;"")*ISNUMBER(SEARCH(_xlpm.ids,$E264)),_xlpm.f,SUM(_xlpm.m*(_xlpm.v="Failed")),_xlpm.b,SUM(_xlpm.m*(_xlpm.v="Blocked")),_xlpm.nr,SUM(_xlpm.m*(_xlpm.v="Not Run")),_xlpm.cp,SUM(_xlpm.m*(_xlpm.v="Conditionally Passed")),_xlpm.p,SUM(_xlpm.m*(_xlpm.v="Passed")),IF(TRIM($A264)="","",IF(TRIM($E264)="","Pending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64" s="68" t="str">
        <f>IF(TRIM($A264)="","",IF($J264="Passed","",IF($J264="Passed with Known Issue","Known Issue",IF($J264="",IF(OR($H264&lt;&gt;"No",AND($F264&lt;&gt;"Medium",$F264&lt;&gt;"Low")),"Pending Result",""),IF(OR($H264&lt;&gt;"No",AND($F264&lt;&gt;"Medium",$F264&lt;&gt;"Low")),IF(COUNTIFS(Dashboard!$B$105:$B$124,$A264,Dashboard!$I$105:$I$124,"CAB")&gt;0,"Accepted (CF)","Blocking"),IF($J264="Failed","Deferrable","Carry Over"))))))</f>
        <v/>
      </c>
      <c r="M264" s="68" t="str">
        <f>IF(OR(TRIM($A264)="",TRIM($E264)=""),"",IFERROR(INDEX('E2E core flow'!$B$15:$B$1000,MATCH(1,INDEX(('E2E core flow'!$A$15:$A$1000&lt;&gt;"")*ISNUMBER(SEARCH('E2E core flow'!$A$15:$A$1000,$E264)),0),0))&amp;"","-"))</f>
        <v/>
      </c>
      <c r="N264" s="68" t="str">
        <f>IF(TRIM($A264)="","",IF($O264=0,IF(COUNTIFS('Card Test Cases'!$B$4:$B$1000,$A264,'Card Test Cases'!$A$4:$A$1000,"&lt;&gt;")&gt;0,"Out of Scope","No TC"),IF($Q264&gt;0,"Failed",IF(COUNTIFS('Card Test Cases'!$B$4:$B$1000,$A264,'Card Test Cases'!$A$4:$A$1000,"&lt;&gt;",'Card Test Cases'!$F$4:$F$1000,"Blocked")&gt;0,"Blocked",IF($R264&gt;0,"In Progress","Passed")))))</f>
        <v/>
      </c>
      <c r="O264" s="68" t="str">
        <f>IF(TRIM($A264)="","",COUNTIFS('Card Test Cases'!$B$4:$B$1000,$A264,'Card Test Cases'!$A$4:$A$1000,"&lt;&gt;",'Card Test Cases'!$F$4:$F$1000,"&lt;&gt;Out of Scope"))</f>
        <v/>
      </c>
      <c r="P264" s="68" t="str">
        <f>IF(TRIM($A264)="","",COUNTIFS('Card Test Cases'!$B$4:$B$1000,$A264,'Card Test Cases'!$A$4:$A$1000,"&lt;&gt;",'Card Test Cases'!$F$4:$F$1000,"Passed"))</f>
        <v/>
      </c>
      <c r="Q264" s="68" t="str">
        <f>IF(TRIM($A264)="","",COUNTIFS('Card Test Cases'!$B$4:$B$1000,$A264,'Card Test Cases'!$A$4:$A$1000,"&lt;&gt;",'Card Test Cases'!$F$4:$F$1000,"Failed"))</f>
        <v/>
      </c>
      <c r="R264" s="68" t="str">
        <f t="shared" si="4"/>
        <v/>
      </c>
      <c r="S264" s="68" t="str" cm="1">
        <f t="array" ref="S264">IF(TRIM($A264)="","",IFERROR(_xlfn.TEXTJOIN(", ",TRUE,_xlfn.UNIQUE(_xlfn.VSTACK(_xlfn._xlws.FILTER('Card Test Cases'!$G$4:$G$1000,('Card Test Cases'!$B$4:$B$1000=$A264)*('Card Test Cases'!$G$4:$G$1000&lt;&gt;""),""),_xlfn._xlws.FILTER('E2E core flow'!$U$15:$U$1000,('E2E core flow'!$A$15:$A$1000&lt;&gt;"")*ISNUMBER(SEARCH('E2E core flow'!$A$15:$A$1000,$E264))*('E2E core flow'!$U$15:$U$1000&lt;&gt;""),"")))),"-"))</f>
        <v/>
      </c>
    </row>
    <row r="265" spans="7:19" x14ac:dyDescent="0.3">
      <c r="G265" s="68" t="str" cm="1">
        <f t="array" ref="G265">_xlfn.LET(_xlpm.ids,'E2E core flow'!$A$15:$A$1000,_xlpm.v,'E2E core flow'!$W$15:$W$1000,_xlpm.m,(_xlpm.ids&lt;&gt;"")*ISNUMBER(SEARCH(_xlpm.ids,$E265)),_xlpm.f,SUM(_xlpm.m*(_xlpm.v="Failed")),_xlpm.b,SUM(_xlpm.m*(_xlpm.v="Blocked")),_xlpm.nr,SUM(_xlpm.m*(_xlpm.v="Not Run")),_xlpm.cp,SUM(_xlpm.m*(_xlpm.v="Conditionally Passed")),_xlpm.p,SUM(_xlpm.m*(_xlpm.v="Passed")),IF(TRIM($A265)="","",IF(TRIM($E265)="","Pending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65" s="68" t="str">
        <f>IF(TRIM($A265)="","",IF($J265="Passed","",IF($J265="Passed with Known Issue","Known Issue",IF($J265="",IF(OR($H265&lt;&gt;"No",AND($F265&lt;&gt;"Medium",$F265&lt;&gt;"Low")),"Pending Result",""),IF(OR($H265&lt;&gt;"No",AND($F265&lt;&gt;"Medium",$F265&lt;&gt;"Low")),IF(COUNTIFS(Dashboard!$B$105:$B$124,$A265,Dashboard!$I$105:$I$124,"CAB")&gt;0,"Accepted (CF)","Blocking"),IF($J265="Failed","Deferrable","Carry Over"))))))</f>
        <v/>
      </c>
      <c r="M265" s="68" t="str">
        <f>IF(OR(TRIM($A265)="",TRIM($E265)=""),"",IFERROR(INDEX('E2E core flow'!$B$15:$B$1000,MATCH(1,INDEX(('E2E core flow'!$A$15:$A$1000&lt;&gt;"")*ISNUMBER(SEARCH('E2E core flow'!$A$15:$A$1000,$E265)),0),0))&amp;"","-"))</f>
        <v/>
      </c>
      <c r="N265" s="68" t="str">
        <f>IF(TRIM($A265)="","",IF($O265=0,IF(COUNTIFS('Card Test Cases'!$B$4:$B$1000,$A265,'Card Test Cases'!$A$4:$A$1000,"&lt;&gt;")&gt;0,"Out of Scope","No TC"),IF($Q265&gt;0,"Failed",IF(COUNTIFS('Card Test Cases'!$B$4:$B$1000,$A265,'Card Test Cases'!$A$4:$A$1000,"&lt;&gt;",'Card Test Cases'!$F$4:$F$1000,"Blocked")&gt;0,"Blocked",IF($R265&gt;0,"In Progress","Passed")))))</f>
        <v/>
      </c>
      <c r="O265" s="68" t="str">
        <f>IF(TRIM($A265)="","",COUNTIFS('Card Test Cases'!$B$4:$B$1000,$A265,'Card Test Cases'!$A$4:$A$1000,"&lt;&gt;",'Card Test Cases'!$F$4:$F$1000,"&lt;&gt;Out of Scope"))</f>
        <v/>
      </c>
      <c r="P265" s="68" t="str">
        <f>IF(TRIM($A265)="","",COUNTIFS('Card Test Cases'!$B$4:$B$1000,$A265,'Card Test Cases'!$A$4:$A$1000,"&lt;&gt;",'Card Test Cases'!$F$4:$F$1000,"Passed"))</f>
        <v/>
      </c>
      <c r="Q265" s="68" t="str">
        <f>IF(TRIM($A265)="","",COUNTIFS('Card Test Cases'!$B$4:$B$1000,$A265,'Card Test Cases'!$A$4:$A$1000,"&lt;&gt;",'Card Test Cases'!$F$4:$F$1000,"Failed"))</f>
        <v/>
      </c>
      <c r="R265" s="68" t="str">
        <f t="shared" si="4"/>
        <v/>
      </c>
      <c r="S265" s="68" t="str" cm="1">
        <f t="array" ref="S265">IF(TRIM($A265)="","",IFERROR(_xlfn.TEXTJOIN(", ",TRUE,_xlfn.UNIQUE(_xlfn.VSTACK(_xlfn._xlws.FILTER('Card Test Cases'!$G$4:$G$1000,('Card Test Cases'!$B$4:$B$1000=$A265)*('Card Test Cases'!$G$4:$G$1000&lt;&gt;""),""),_xlfn._xlws.FILTER('E2E core flow'!$U$15:$U$1000,('E2E core flow'!$A$15:$A$1000&lt;&gt;"")*ISNUMBER(SEARCH('E2E core flow'!$A$15:$A$1000,$E265))*('E2E core flow'!$U$15:$U$1000&lt;&gt;""),"")))),"-"))</f>
        <v/>
      </c>
    </row>
    <row r="266" spans="7:19" x14ac:dyDescent="0.3">
      <c r="G266" s="68" t="str" cm="1">
        <f t="array" ref="G266">_xlfn.LET(_xlpm.ids,'E2E core flow'!$A$15:$A$1000,_xlpm.v,'E2E core flow'!$W$15:$W$1000,_xlpm.m,(_xlpm.ids&lt;&gt;"")*ISNUMBER(SEARCH(_xlpm.ids,$E266)),_xlpm.f,SUM(_xlpm.m*(_xlpm.v="Failed")),_xlpm.b,SUM(_xlpm.m*(_xlpm.v="Blocked")),_xlpm.nr,SUM(_xlpm.m*(_xlpm.v="Not Run")),_xlpm.cp,SUM(_xlpm.m*(_xlpm.v="Conditionally Passed")),_xlpm.p,SUM(_xlpm.m*(_xlpm.v="Passed")),IF(TRIM($A266)="","",IF(TRIM($E266)="","Pending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66" s="68" t="str">
        <f>IF(TRIM($A266)="","",IF($J266="Passed","",IF($J266="Passed with Known Issue","Known Issue",IF($J266="",IF(OR($H266&lt;&gt;"No",AND($F266&lt;&gt;"Medium",$F266&lt;&gt;"Low")),"Pending Result",""),IF(OR($H266&lt;&gt;"No",AND($F266&lt;&gt;"Medium",$F266&lt;&gt;"Low")),IF(COUNTIFS(Dashboard!$B$105:$B$124,$A266,Dashboard!$I$105:$I$124,"CAB")&gt;0,"Accepted (CF)","Blocking"),IF($J266="Failed","Deferrable","Carry Over"))))))</f>
        <v/>
      </c>
      <c r="M266" s="68" t="str">
        <f>IF(OR(TRIM($A266)="",TRIM($E266)=""),"",IFERROR(INDEX('E2E core flow'!$B$15:$B$1000,MATCH(1,INDEX(('E2E core flow'!$A$15:$A$1000&lt;&gt;"")*ISNUMBER(SEARCH('E2E core flow'!$A$15:$A$1000,$E266)),0),0))&amp;"","-"))</f>
        <v/>
      </c>
      <c r="N266" s="68" t="str">
        <f>IF(TRIM($A266)="","",IF($O266=0,IF(COUNTIFS('Card Test Cases'!$B$4:$B$1000,$A266,'Card Test Cases'!$A$4:$A$1000,"&lt;&gt;")&gt;0,"Out of Scope","No TC"),IF($Q266&gt;0,"Failed",IF(COUNTIFS('Card Test Cases'!$B$4:$B$1000,$A266,'Card Test Cases'!$A$4:$A$1000,"&lt;&gt;",'Card Test Cases'!$F$4:$F$1000,"Blocked")&gt;0,"Blocked",IF($R266&gt;0,"In Progress","Passed")))))</f>
        <v/>
      </c>
      <c r="O266" s="68" t="str">
        <f>IF(TRIM($A266)="","",COUNTIFS('Card Test Cases'!$B$4:$B$1000,$A266,'Card Test Cases'!$A$4:$A$1000,"&lt;&gt;",'Card Test Cases'!$F$4:$F$1000,"&lt;&gt;Out of Scope"))</f>
        <v/>
      </c>
      <c r="P266" s="68" t="str">
        <f>IF(TRIM($A266)="","",COUNTIFS('Card Test Cases'!$B$4:$B$1000,$A266,'Card Test Cases'!$A$4:$A$1000,"&lt;&gt;",'Card Test Cases'!$F$4:$F$1000,"Passed"))</f>
        <v/>
      </c>
      <c r="Q266" s="68" t="str">
        <f>IF(TRIM($A266)="","",COUNTIFS('Card Test Cases'!$B$4:$B$1000,$A266,'Card Test Cases'!$A$4:$A$1000,"&lt;&gt;",'Card Test Cases'!$F$4:$F$1000,"Failed"))</f>
        <v/>
      </c>
      <c r="R266" s="68" t="str">
        <f t="shared" si="4"/>
        <v/>
      </c>
      <c r="S266" s="68" t="str" cm="1">
        <f t="array" ref="S266">IF(TRIM($A266)="","",IFERROR(_xlfn.TEXTJOIN(", ",TRUE,_xlfn.UNIQUE(_xlfn.VSTACK(_xlfn._xlws.FILTER('Card Test Cases'!$G$4:$G$1000,('Card Test Cases'!$B$4:$B$1000=$A266)*('Card Test Cases'!$G$4:$G$1000&lt;&gt;""),""),_xlfn._xlws.FILTER('E2E core flow'!$U$15:$U$1000,('E2E core flow'!$A$15:$A$1000&lt;&gt;"")*ISNUMBER(SEARCH('E2E core flow'!$A$15:$A$1000,$E266))*('E2E core flow'!$U$15:$U$1000&lt;&gt;""),"")))),"-"))</f>
        <v/>
      </c>
    </row>
    <row r="267" spans="7:19" x14ac:dyDescent="0.3">
      <c r="G267" s="68" t="str" cm="1">
        <f t="array" ref="G267">_xlfn.LET(_xlpm.ids,'E2E core flow'!$A$15:$A$1000,_xlpm.v,'E2E core flow'!$W$15:$W$1000,_xlpm.m,(_xlpm.ids&lt;&gt;"")*ISNUMBER(SEARCH(_xlpm.ids,$E267)),_xlpm.f,SUM(_xlpm.m*(_xlpm.v="Failed")),_xlpm.b,SUM(_xlpm.m*(_xlpm.v="Blocked")),_xlpm.nr,SUM(_xlpm.m*(_xlpm.v="Not Run")),_xlpm.cp,SUM(_xlpm.m*(_xlpm.v="Conditionally Passed")),_xlpm.p,SUM(_xlpm.m*(_xlpm.v="Passed")),IF(TRIM($A267)="","",IF(TRIM($E267)="","Pending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67" s="68" t="str">
        <f>IF(TRIM($A267)="","",IF($J267="Passed","",IF($J267="Passed with Known Issue","Known Issue",IF($J267="",IF(OR($H267&lt;&gt;"No",AND($F267&lt;&gt;"Medium",$F267&lt;&gt;"Low")),"Pending Result",""),IF(OR($H267&lt;&gt;"No",AND($F267&lt;&gt;"Medium",$F267&lt;&gt;"Low")),IF(COUNTIFS(Dashboard!$B$105:$B$124,$A267,Dashboard!$I$105:$I$124,"CAB")&gt;0,"Accepted (CF)","Blocking"),IF($J267="Failed","Deferrable","Carry Over"))))))</f>
        <v/>
      </c>
      <c r="M267" s="68" t="str">
        <f>IF(OR(TRIM($A267)="",TRIM($E267)=""),"",IFERROR(INDEX('E2E core flow'!$B$15:$B$1000,MATCH(1,INDEX(('E2E core flow'!$A$15:$A$1000&lt;&gt;"")*ISNUMBER(SEARCH('E2E core flow'!$A$15:$A$1000,$E267)),0),0))&amp;"","-"))</f>
        <v/>
      </c>
      <c r="N267" s="68" t="str">
        <f>IF(TRIM($A267)="","",IF($O267=0,IF(COUNTIFS('Card Test Cases'!$B$4:$B$1000,$A267,'Card Test Cases'!$A$4:$A$1000,"&lt;&gt;")&gt;0,"Out of Scope","No TC"),IF($Q267&gt;0,"Failed",IF(COUNTIFS('Card Test Cases'!$B$4:$B$1000,$A267,'Card Test Cases'!$A$4:$A$1000,"&lt;&gt;",'Card Test Cases'!$F$4:$F$1000,"Blocked")&gt;0,"Blocked",IF($R267&gt;0,"In Progress","Passed")))))</f>
        <v/>
      </c>
      <c r="O267" s="68" t="str">
        <f>IF(TRIM($A267)="","",COUNTIFS('Card Test Cases'!$B$4:$B$1000,$A267,'Card Test Cases'!$A$4:$A$1000,"&lt;&gt;",'Card Test Cases'!$F$4:$F$1000,"&lt;&gt;Out of Scope"))</f>
        <v/>
      </c>
      <c r="P267" s="68" t="str">
        <f>IF(TRIM($A267)="","",COUNTIFS('Card Test Cases'!$B$4:$B$1000,$A267,'Card Test Cases'!$A$4:$A$1000,"&lt;&gt;",'Card Test Cases'!$F$4:$F$1000,"Passed"))</f>
        <v/>
      </c>
      <c r="Q267" s="68" t="str">
        <f>IF(TRIM($A267)="","",COUNTIFS('Card Test Cases'!$B$4:$B$1000,$A267,'Card Test Cases'!$A$4:$A$1000,"&lt;&gt;",'Card Test Cases'!$F$4:$F$1000,"Failed"))</f>
        <v/>
      </c>
      <c r="R267" s="68" t="str">
        <f t="shared" si="4"/>
        <v/>
      </c>
      <c r="S267" s="68" t="str" cm="1">
        <f t="array" ref="S267">IF(TRIM($A267)="","",IFERROR(_xlfn.TEXTJOIN(", ",TRUE,_xlfn.UNIQUE(_xlfn.VSTACK(_xlfn._xlws.FILTER('Card Test Cases'!$G$4:$G$1000,('Card Test Cases'!$B$4:$B$1000=$A267)*('Card Test Cases'!$G$4:$G$1000&lt;&gt;""),""),_xlfn._xlws.FILTER('E2E core flow'!$U$15:$U$1000,('E2E core flow'!$A$15:$A$1000&lt;&gt;"")*ISNUMBER(SEARCH('E2E core flow'!$A$15:$A$1000,$E267))*('E2E core flow'!$U$15:$U$1000&lt;&gt;""),"")))),"-"))</f>
        <v/>
      </c>
    </row>
    <row r="268" spans="7:19" x14ac:dyDescent="0.3">
      <c r="G268" s="68" t="str" cm="1">
        <f t="array" ref="G268">_xlfn.LET(_xlpm.ids,'E2E core flow'!$A$15:$A$1000,_xlpm.v,'E2E core flow'!$W$15:$W$1000,_xlpm.m,(_xlpm.ids&lt;&gt;"")*ISNUMBER(SEARCH(_xlpm.ids,$E268)),_xlpm.f,SUM(_xlpm.m*(_xlpm.v="Failed")),_xlpm.b,SUM(_xlpm.m*(_xlpm.v="Blocked")),_xlpm.nr,SUM(_xlpm.m*(_xlpm.v="Not Run")),_xlpm.cp,SUM(_xlpm.m*(_xlpm.v="Conditionally Passed")),_xlpm.p,SUM(_xlpm.m*(_xlpm.v="Passed")),IF(TRIM($A268)="","",IF(TRIM($E268)="","Pending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68" s="68" t="str">
        <f>IF(TRIM($A268)="","",IF($J268="Passed","",IF($J268="Passed with Known Issue","Known Issue",IF($J268="",IF(OR($H268&lt;&gt;"No",AND($F268&lt;&gt;"Medium",$F268&lt;&gt;"Low")),"Pending Result",""),IF(OR($H268&lt;&gt;"No",AND($F268&lt;&gt;"Medium",$F268&lt;&gt;"Low")),IF(COUNTIFS(Dashboard!$B$105:$B$124,$A268,Dashboard!$I$105:$I$124,"CAB")&gt;0,"Accepted (CF)","Blocking"),IF($J268="Failed","Deferrable","Carry Over"))))))</f>
        <v/>
      </c>
      <c r="M268" s="68" t="str">
        <f>IF(OR(TRIM($A268)="",TRIM($E268)=""),"",IFERROR(INDEX('E2E core flow'!$B$15:$B$1000,MATCH(1,INDEX(('E2E core flow'!$A$15:$A$1000&lt;&gt;"")*ISNUMBER(SEARCH('E2E core flow'!$A$15:$A$1000,$E268)),0),0))&amp;"","-"))</f>
        <v/>
      </c>
      <c r="N268" s="68" t="str">
        <f>IF(TRIM($A268)="","",IF($O268=0,IF(COUNTIFS('Card Test Cases'!$B$4:$B$1000,$A268,'Card Test Cases'!$A$4:$A$1000,"&lt;&gt;")&gt;0,"Out of Scope","No TC"),IF($Q268&gt;0,"Failed",IF(COUNTIFS('Card Test Cases'!$B$4:$B$1000,$A268,'Card Test Cases'!$A$4:$A$1000,"&lt;&gt;",'Card Test Cases'!$F$4:$F$1000,"Blocked")&gt;0,"Blocked",IF($R268&gt;0,"In Progress","Passed")))))</f>
        <v/>
      </c>
      <c r="O268" s="68" t="str">
        <f>IF(TRIM($A268)="","",COUNTIFS('Card Test Cases'!$B$4:$B$1000,$A268,'Card Test Cases'!$A$4:$A$1000,"&lt;&gt;",'Card Test Cases'!$F$4:$F$1000,"&lt;&gt;Out of Scope"))</f>
        <v/>
      </c>
      <c r="P268" s="68" t="str">
        <f>IF(TRIM($A268)="","",COUNTIFS('Card Test Cases'!$B$4:$B$1000,$A268,'Card Test Cases'!$A$4:$A$1000,"&lt;&gt;",'Card Test Cases'!$F$4:$F$1000,"Passed"))</f>
        <v/>
      </c>
      <c r="Q268" s="68" t="str">
        <f>IF(TRIM($A268)="","",COUNTIFS('Card Test Cases'!$B$4:$B$1000,$A268,'Card Test Cases'!$A$4:$A$1000,"&lt;&gt;",'Card Test Cases'!$F$4:$F$1000,"Failed"))</f>
        <v/>
      </c>
      <c r="R268" s="68" t="str">
        <f t="shared" si="4"/>
        <v/>
      </c>
      <c r="S268" s="68" t="str" cm="1">
        <f t="array" ref="S268">IF(TRIM($A268)="","",IFERROR(_xlfn.TEXTJOIN(", ",TRUE,_xlfn.UNIQUE(_xlfn.VSTACK(_xlfn._xlws.FILTER('Card Test Cases'!$G$4:$G$1000,('Card Test Cases'!$B$4:$B$1000=$A268)*('Card Test Cases'!$G$4:$G$1000&lt;&gt;""),""),_xlfn._xlws.FILTER('E2E core flow'!$U$15:$U$1000,('E2E core flow'!$A$15:$A$1000&lt;&gt;"")*ISNUMBER(SEARCH('E2E core flow'!$A$15:$A$1000,$E268))*('E2E core flow'!$U$15:$U$1000&lt;&gt;""),"")))),"-"))</f>
        <v/>
      </c>
    </row>
    <row r="269" spans="7:19" x14ac:dyDescent="0.3">
      <c r="G269" s="68" t="str" cm="1">
        <f t="array" ref="G269">_xlfn.LET(_xlpm.ids,'E2E core flow'!$A$15:$A$1000,_xlpm.v,'E2E core flow'!$W$15:$W$1000,_xlpm.m,(_xlpm.ids&lt;&gt;"")*ISNUMBER(SEARCH(_xlpm.ids,$E269)),_xlpm.f,SUM(_xlpm.m*(_xlpm.v="Failed")),_xlpm.b,SUM(_xlpm.m*(_xlpm.v="Blocked")),_xlpm.nr,SUM(_xlpm.m*(_xlpm.v="Not Run")),_xlpm.cp,SUM(_xlpm.m*(_xlpm.v="Conditionally Passed")),_xlpm.p,SUM(_xlpm.m*(_xlpm.v="Passed")),IF(TRIM($A269)="","",IF(TRIM($E269)="","Pending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69" s="68" t="str">
        <f>IF(TRIM($A269)="","",IF($J269="Passed","",IF($J269="Passed with Known Issue","Known Issue",IF($J269="",IF(OR($H269&lt;&gt;"No",AND($F269&lt;&gt;"Medium",$F269&lt;&gt;"Low")),"Pending Result",""),IF(OR($H269&lt;&gt;"No",AND($F269&lt;&gt;"Medium",$F269&lt;&gt;"Low")),IF(COUNTIFS(Dashboard!$B$105:$B$124,$A269,Dashboard!$I$105:$I$124,"CAB")&gt;0,"Accepted (CF)","Blocking"),IF($J269="Failed","Deferrable","Carry Over"))))))</f>
        <v/>
      </c>
      <c r="M269" s="68" t="str">
        <f>IF(OR(TRIM($A269)="",TRIM($E269)=""),"",IFERROR(INDEX('E2E core flow'!$B$15:$B$1000,MATCH(1,INDEX(('E2E core flow'!$A$15:$A$1000&lt;&gt;"")*ISNUMBER(SEARCH('E2E core flow'!$A$15:$A$1000,$E269)),0),0))&amp;"","-"))</f>
        <v/>
      </c>
      <c r="N269" s="68" t="str">
        <f>IF(TRIM($A269)="","",IF($O269=0,IF(COUNTIFS('Card Test Cases'!$B$4:$B$1000,$A269,'Card Test Cases'!$A$4:$A$1000,"&lt;&gt;")&gt;0,"Out of Scope","No TC"),IF($Q269&gt;0,"Failed",IF(COUNTIFS('Card Test Cases'!$B$4:$B$1000,$A269,'Card Test Cases'!$A$4:$A$1000,"&lt;&gt;",'Card Test Cases'!$F$4:$F$1000,"Blocked")&gt;0,"Blocked",IF($R269&gt;0,"In Progress","Passed")))))</f>
        <v/>
      </c>
      <c r="O269" s="68" t="str">
        <f>IF(TRIM($A269)="","",COUNTIFS('Card Test Cases'!$B$4:$B$1000,$A269,'Card Test Cases'!$A$4:$A$1000,"&lt;&gt;",'Card Test Cases'!$F$4:$F$1000,"&lt;&gt;Out of Scope"))</f>
        <v/>
      </c>
      <c r="P269" s="68" t="str">
        <f>IF(TRIM($A269)="","",COUNTIFS('Card Test Cases'!$B$4:$B$1000,$A269,'Card Test Cases'!$A$4:$A$1000,"&lt;&gt;",'Card Test Cases'!$F$4:$F$1000,"Passed"))</f>
        <v/>
      </c>
      <c r="Q269" s="68" t="str">
        <f>IF(TRIM($A269)="","",COUNTIFS('Card Test Cases'!$B$4:$B$1000,$A269,'Card Test Cases'!$A$4:$A$1000,"&lt;&gt;",'Card Test Cases'!$F$4:$F$1000,"Failed"))</f>
        <v/>
      </c>
      <c r="R269" s="68" t="str">
        <f t="shared" si="4"/>
        <v/>
      </c>
      <c r="S269" s="68" t="str" cm="1">
        <f t="array" ref="S269">IF(TRIM($A269)="","",IFERROR(_xlfn.TEXTJOIN(", ",TRUE,_xlfn.UNIQUE(_xlfn.VSTACK(_xlfn._xlws.FILTER('Card Test Cases'!$G$4:$G$1000,('Card Test Cases'!$B$4:$B$1000=$A269)*('Card Test Cases'!$G$4:$G$1000&lt;&gt;""),""),_xlfn._xlws.FILTER('E2E core flow'!$U$15:$U$1000,('E2E core flow'!$A$15:$A$1000&lt;&gt;"")*ISNUMBER(SEARCH('E2E core flow'!$A$15:$A$1000,$E269))*('E2E core flow'!$U$15:$U$1000&lt;&gt;""),"")))),"-"))</f>
        <v/>
      </c>
    </row>
    <row r="270" spans="7:19" x14ac:dyDescent="0.3">
      <c r="G270" s="68" t="str" cm="1">
        <f t="array" ref="G270">_xlfn.LET(_xlpm.ids,'E2E core flow'!$A$15:$A$1000,_xlpm.v,'E2E core flow'!$W$15:$W$1000,_xlpm.m,(_xlpm.ids&lt;&gt;"")*ISNUMBER(SEARCH(_xlpm.ids,$E270)),_xlpm.f,SUM(_xlpm.m*(_xlpm.v="Failed")),_xlpm.b,SUM(_xlpm.m*(_xlpm.v="Blocked")),_xlpm.nr,SUM(_xlpm.m*(_xlpm.v="Not Run")),_xlpm.cp,SUM(_xlpm.m*(_xlpm.v="Conditionally Passed")),_xlpm.p,SUM(_xlpm.m*(_xlpm.v="Passed")),IF(TRIM($A270)="","",IF(TRIM($E270)="","Pending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70" s="68" t="str">
        <f>IF(TRIM($A270)="","",IF($J270="Passed","",IF($J270="Passed with Known Issue","Known Issue",IF($J270="",IF(OR($H270&lt;&gt;"No",AND($F270&lt;&gt;"Medium",$F270&lt;&gt;"Low")),"Pending Result",""),IF(OR($H270&lt;&gt;"No",AND($F270&lt;&gt;"Medium",$F270&lt;&gt;"Low")),IF(COUNTIFS(Dashboard!$B$105:$B$124,$A270,Dashboard!$I$105:$I$124,"CAB")&gt;0,"Accepted (CF)","Blocking"),IF($J270="Failed","Deferrable","Carry Over"))))))</f>
        <v/>
      </c>
      <c r="M270" s="68" t="str">
        <f>IF(OR(TRIM($A270)="",TRIM($E270)=""),"",IFERROR(INDEX('E2E core flow'!$B$15:$B$1000,MATCH(1,INDEX(('E2E core flow'!$A$15:$A$1000&lt;&gt;"")*ISNUMBER(SEARCH('E2E core flow'!$A$15:$A$1000,$E270)),0),0))&amp;"","-"))</f>
        <v/>
      </c>
      <c r="N270" s="68" t="str">
        <f>IF(TRIM($A270)="","",IF($O270=0,IF(COUNTIFS('Card Test Cases'!$B$4:$B$1000,$A270,'Card Test Cases'!$A$4:$A$1000,"&lt;&gt;")&gt;0,"Out of Scope","No TC"),IF($Q270&gt;0,"Failed",IF(COUNTIFS('Card Test Cases'!$B$4:$B$1000,$A270,'Card Test Cases'!$A$4:$A$1000,"&lt;&gt;",'Card Test Cases'!$F$4:$F$1000,"Blocked")&gt;0,"Blocked",IF($R270&gt;0,"In Progress","Passed")))))</f>
        <v/>
      </c>
      <c r="O270" s="68" t="str">
        <f>IF(TRIM($A270)="","",COUNTIFS('Card Test Cases'!$B$4:$B$1000,$A270,'Card Test Cases'!$A$4:$A$1000,"&lt;&gt;",'Card Test Cases'!$F$4:$F$1000,"&lt;&gt;Out of Scope"))</f>
        <v/>
      </c>
      <c r="P270" s="68" t="str">
        <f>IF(TRIM($A270)="","",COUNTIFS('Card Test Cases'!$B$4:$B$1000,$A270,'Card Test Cases'!$A$4:$A$1000,"&lt;&gt;",'Card Test Cases'!$F$4:$F$1000,"Passed"))</f>
        <v/>
      </c>
      <c r="Q270" s="68" t="str">
        <f>IF(TRIM($A270)="","",COUNTIFS('Card Test Cases'!$B$4:$B$1000,$A270,'Card Test Cases'!$A$4:$A$1000,"&lt;&gt;",'Card Test Cases'!$F$4:$F$1000,"Failed"))</f>
        <v/>
      </c>
      <c r="R270" s="68" t="str">
        <f t="shared" si="4"/>
        <v/>
      </c>
      <c r="S270" s="68" t="str" cm="1">
        <f t="array" ref="S270">IF(TRIM($A270)="","",IFERROR(_xlfn.TEXTJOIN(", ",TRUE,_xlfn.UNIQUE(_xlfn.VSTACK(_xlfn._xlws.FILTER('Card Test Cases'!$G$4:$G$1000,('Card Test Cases'!$B$4:$B$1000=$A270)*('Card Test Cases'!$G$4:$G$1000&lt;&gt;""),""),_xlfn._xlws.FILTER('E2E core flow'!$U$15:$U$1000,('E2E core flow'!$A$15:$A$1000&lt;&gt;"")*ISNUMBER(SEARCH('E2E core flow'!$A$15:$A$1000,$E270))*('E2E core flow'!$U$15:$U$1000&lt;&gt;""),"")))),"-"))</f>
        <v/>
      </c>
    </row>
    <row r="271" spans="7:19" x14ac:dyDescent="0.3">
      <c r="G271" s="68" t="str" cm="1">
        <f t="array" ref="G271">_xlfn.LET(_xlpm.ids,'E2E core flow'!$A$15:$A$1000,_xlpm.v,'E2E core flow'!$W$15:$W$1000,_xlpm.m,(_xlpm.ids&lt;&gt;"")*ISNUMBER(SEARCH(_xlpm.ids,$E271)),_xlpm.f,SUM(_xlpm.m*(_xlpm.v="Failed")),_xlpm.b,SUM(_xlpm.m*(_xlpm.v="Blocked")),_xlpm.nr,SUM(_xlpm.m*(_xlpm.v="Not Run")),_xlpm.cp,SUM(_xlpm.m*(_xlpm.v="Conditionally Passed")),_xlpm.p,SUM(_xlpm.m*(_xlpm.v="Passed")),IF(TRIM($A271)="","",IF(TRIM($E271)="","Pending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71" s="68" t="str">
        <f>IF(TRIM($A271)="","",IF($J271="Passed","",IF($J271="Passed with Known Issue","Known Issue",IF($J271="",IF(OR($H271&lt;&gt;"No",AND($F271&lt;&gt;"Medium",$F271&lt;&gt;"Low")),"Pending Result",""),IF(OR($H271&lt;&gt;"No",AND($F271&lt;&gt;"Medium",$F271&lt;&gt;"Low")),IF(COUNTIFS(Dashboard!$B$105:$B$124,$A271,Dashboard!$I$105:$I$124,"CAB")&gt;0,"Accepted (CF)","Blocking"),IF($J271="Failed","Deferrable","Carry Over"))))))</f>
        <v/>
      </c>
      <c r="M271" s="68" t="str">
        <f>IF(OR(TRIM($A271)="",TRIM($E271)=""),"",IFERROR(INDEX('E2E core flow'!$B$15:$B$1000,MATCH(1,INDEX(('E2E core flow'!$A$15:$A$1000&lt;&gt;"")*ISNUMBER(SEARCH('E2E core flow'!$A$15:$A$1000,$E271)),0),0))&amp;"","-"))</f>
        <v/>
      </c>
      <c r="N271" s="68" t="str">
        <f>IF(TRIM($A271)="","",IF($O271=0,IF(COUNTIFS('Card Test Cases'!$B$4:$B$1000,$A271,'Card Test Cases'!$A$4:$A$1000,"&lt;&gt;")&gt;0,"Out of Scope","No TC"),IF($Q271&gt;0,"Failed",IF(COUNTIFS('Card Test Cases'!$B$4:$B$1000,$A271,'Card Test Cases'!$A$4:$A$1000,"&lt;&gt;",'Card Test Cases'!$F$4:$F$1000,"Blocked")&gt;0,"Blocked",IF($R271&gt;0,"In Progress","Passed")))))</f>
        <v/>
      </c>
      <c r="O271" s="68" t="str">
        <f>IF(TRIM($A271)="","",COUNTIFS('Card Test Cases'!$B$4:$B$1000,$A271,'Card Test Cases'!$A$4:$A$1000,"&lt;&gt;",'Card Test Cases'!$F$4:$F$1000,"&lt;&gt;Out of Scope"))</f>
        <v/>
      </c>
      <c r="P271" s="68" t="str">
        <f>IF(TRIM($A271)="","",COUNTIFS('Card Test Cases'!$B$4:$B$1000,$A271,'Card Test Cases'!$A$4:$A$1000,"&lt;&gt;",'Card Test Cases'!$F$4:$F$1000,"Passed"))</f>
        <v/>
      </c>
      <c r="Q271" s="68" t="str">
        <f>IF(TRIM($A271)="","",COUNTIFS('Card Test Cases'!$B$4:$B$1000,$A271,'Card Test Cases'!$A$4:$A$1000,"&lt;&gt;",'Card Test Cases'!$F$4:$F$1000,"Failed"))</f>
        <v/>
      </c>
      <c r="R271" s="68" t="str">
        <f t="shared" si="4"/>
        <v/>
      </c>
      <c r="S271" s="68" t="str" cm="1">
        <f t="array" ref="S271">IF(TRIM($A271)="","",IFERROR(_xlfn.TEXTJOIN(", ",TRUE,_xlfn.UNIQUE(_xlfn.VSTACK(_xlfn._xlws.FILTER('Card Test Cases'!$G$4:$G$1000,('Card Test Cases'!$B$4:$B$1000=$A271)*('Card Test Cases'!$G$4:$G$1000&lt;&gt;""),""),_xlfn._xlws.FILTER('E2E core flow'!$U$15:$U$1000,('E2E core flow'!$A$15:$A$1000&lt;&gt;"")*ISNUMBER(SEARCH('E2E core flow'!$A$15:$A$1000,$E271))*('E2E core flow'!$U$15:$U$1000&lt;&gt;""),"")))),"-"))</f>
        <v/>
      </c>
    </row>
    <row r="272" spans="7:19" x14ac:dyDescent="0.3">
      <c r="G272" s="68" t="str" cm="1">
        <f t="array" ref="G272">_xlfn.LET(_xlpm.ids,'E2E core flow'!$A$15:$A$1000,_xlpm.v,'E2E core flow'!$W$15:$W$1000,_xlpm.m,(_xlpm.ids&lt;&gt;"")*ISNUMBER(SEARCH(_xlpm.ids,$E272)),_xlpm.f,SUM(_xlpm.m*(_xlpm.v="Failed")),_xlpm.b,SUM(_xlpm.m*(_xlpm.v="Blocked")),_xlpm.nr,SUM(_xlpm.m*(_xlpm.v="Not Run")),_xlpm.cp,SUM(_xlpm.m*(_xlpm.v="Conditionally Passed")),_xlpm.p,SUM(_xlpm.m*(_xlpm.v="Passed")),IF(TRIM($A272)="","",IF(TRIM($E272)="","Pending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72" s="68" t="str">
        <f>IF(TRIM($A272)="","",IF($J272="Passed","",IF($J272="Passed with Known Issue","Known Issue",IF($J272="",IF(OR($H272&lt;&gt;"No",AND($F272&lt;&gt;"Medium",$F272&lt;&gt;"Low")),"Pending Result",""),IF(OR($H272&lt;&gt;"No",AND($F272&lt;&gt;"Medium",$F272&lt;&gt;"Low")),IF(COUNTIFS(Dashboard!$B$105:$B$124,$A272,Dashboard!$I$105:$I$124,"CAB")&gt;0,"Accepted (CF)","Blocking"),IF($J272="Failed","Deferrable","Carry Over"))))))</f>
        <v/>
      </c>
      <c r="M272" s="68" t="str">
        <f>IF(OR(TRIM($A272)="",TRIM($E272)=""),"",IFERROR(INDEX('E2E core flow'!$B$15:$B$1000,MATCH(1,INDEX(('E2E core flow'!$A$15:$A$1000&lt;&gt;"")*ISNUMBER(SEARCH('E2E core flow'!$A$15:$A$1000,$E272)),0),0))&amp;"","-"))</f>
        <v/>
      </c>
      <c r="N272" s="68" t="str">
        <f>IF(TRIM($A272)="","",IF($O272=0,IF(COUNTIFS('Card Test Cases'!$B$4:$B$1000,$A272,'Card Test Cases'!$A$4:$A$1000,"&lt;&gt;")&gt;0,"Out of Scope","No TC"),IF($Q272&gt;0,"Failed",IF(COUNTIFS('Card Test Cases'!$B$4:$B$1000,$A272,'Card Test Cases'!$A$4:$A$1000,"&lt;&gt;",'Card Test Cases'!$F$4:$F$1000,"Blocked")&gt;0,"Blocked",IF($R272&gt;0,"In Progress","Passed")))))</f>
        <v/>
      </c>
      <c r="O272" s="68" t="str">
        <f>IF(TRIM($A272)="","",COUNTIFS('Card Test Cases'!$B$4:$B$1000,$A272,'Card Test Cases'!$A$4:$A$1000,"&lt;&gt;",'Card Test Cases'!$F$4:$F$1000,"&lt;&gt;Out of Scope"))</f>
        <v/>
      </c>
      <c r="P272" s="68" t="str">
        <f>IF(TRIM($A272)="","",COUNTIFS('Card Test Cases'!$B$4:$B$1000,$A272,'Card Test Cases'!$A$4:$A$1000,"&lt;&gt;",'Card Test Cases'!$F$4:$F$1000,"Passed"))</f>
        <v/>
      </c>
      <c r="Q272" s="68" t="str">
        <f>IF(TRIM($A272)="","",COUNTIFS('Card Test Cases'!$B$4:$B$1000,$A272,'Card Test Cases'!$A$4:$A$1000,"&lt;&gt;",'Card Test Cases'!$F$4:$F$1000,"Failed"))</f>
        <v/>
      </c>
      <c r="R272" s="68" t="str">
        <f t="shared" si="4"/>
        <v/>
      </c>
      <c r="S272" s="68" t="str" cm="1">
        <f t="array" ref="S272">IF(TRIM($A272)="","",IFERROR(_xlfn.TEXTJOIN(", ",TRUE,_xlfn.UNIQUE(_xlfn.VSTACK(_xlfn._xlws.FILTER('Card Test Cases'!$G$4:$G$1000,('Card Test Cases'!$B$4:$B$1000=$A272)*('Card Test Cases'!$G$4:$G$1000&lt;&gt;""),""),_xlfn._xlws.FILTER('E2E core flow'!$U$15:$U$1000,('E2E core flow'!$A$15:$A$1000&lt;&gt;"")*ISNUMBER(SEARCH('E2E core flow'!$A$15:$A$1000,$E272))*('E2E core flow'!$U$15:$U$1000&lt;&gt;""),"")))),"-"))</f>
        <v/>
      </c>
    </row>
    <row r="273" spans="7:19" x14ac:dyDescent="0.3">
      <c r="G273" s="68" t="str" cm="1">
        <f t="array" ref="G273">_xlfn.LET(_xlpm.ids,'E2E core flow'!$A$15:$A$1000,_xlpm.v,'E2E core flow'!$W$15:$W$1000,_xlpm.m,(_xlpm.ids&lt;&gt;"")*ISNUMBER(SEARCH(_xlpm.ids,$E273)),_xlpm.f,SUM(_xlpm.m*(_xlpm.v="Failed")),_xlpm.b,SUM(_xlpm.m*(_xlpm.v="Blocked")),_xlpm.nr,SUM(_xlpm.m*(_xlpm.v="Not Run")),_xlpm.cp,SUM(_xlpm.m*(_xlpm.v="Conditionally Passed")),_xlpm.p,SUM(_xlpm.m*(_xlpm.v="Passed")),IF(TRIM($A273)="","",IF(TRIM($E273)="","Pending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73" s="68" t="str">
        <f>IF(TRIM($A273)="","",IF($J273="Passed","",IF($J273="Passed with Known Issue","Known Issue",IF($J273="",IF(OR($H273&lt;&gt;"No",AND($F273&lt;&gt;"Medium",$F273&lt;&gt;"Low")),"Pending Result",""),IF(OR($H273&lt;&gt;"No",AND($F273&lt;&gt;"Medium",$F273&lt;&gt;"Low")),IF(COUNTIFS(Dashboard!$B$105:$B$124,$A273,Dashboard!$I$105:$I$124,"CAB")&gt;0,"Accepted (CF)","Blocking"),IF($J273="Failed","Deferrable","Carry Over"))))))</f>
        <v/>
      </c>
      <c r="M273" s="68" t="str">
        <f>IF(OR(TRIM($A273)="",TRIM($E273)=""),"",IFERROR(INDEX('E2E core flow'!$B$15:$B$1000,MATCH(1,INDEX(('E2E core flow'!$A$15:$A$1000&lt;&gt;"")*ISNUMBER(SEARCH('E2E core flow'!$A$15:$A$1000,$E273)),0),0))&amp;"","-"))</f>
        <v/>
      </c>
      <c r="N273" s="68" t="str">
        <f>IF(TRIM($A273)="","",IF($O273=0,IF(COUNTIFS('Card Test Cases'!$B$4:$B$1000,$A273,'Card Test Cases'!$A$4:$A$1000,"&lt;&gt;")&gt;0,"Out of Scope","No TC"),IF($Q273&gt;0,"Failed",IF(COUNTIFS('Card Test Cases'!$B$4:$B$1000,$A273,'Card Test Cases'!$A$4:$A$1000,"&lt;&gt;",'Card Test Cases'!$F$4:$F$1000,"Blocked")&gt;0,"Blocked",IF($R273&gt;0,"In Progress","Passed")))))</f>
        <v/>
      </c>
      <c r="O273" s="68" t="str">
        <f>IF(TRIM($A273)="","",COUNTIFS('Card Test Cases'!$B$4:$B$1000,$A273,'Card Test Cases'!$A$4:$A$1000,"&lt;&gt;",'Card Test Cases'!$F$4:$F$1000,"&lt;&gt;Out of Scope"))</f>
        <v/>
      </c>
      <c r="P273" s="68" t="str">
        <f>IF(TRIM($A273)="","",COUNTIFS('Card Test Cases'!$B$4:$B$1000,$A273,'Card Test Cases'!$A$4:$A$1000,"&lt;&gt;",'Card Test Cases'!$F$4:$F$1000,"Passed"))</f>
        <v/>
      </c>
      <c r="Q273" s="68" t="str">
        <f>IF(TRIM($A273)="","",COUNTIFS('Card Test Cases'!$B$4:$B$1000,$A273,'Card Test Cases'!$A$4:$A$1000,"&lt;&gt;",'Card Test Cases'!$F$4:$F$1000,"Failed"))</f>
        <v/>
      </c>
      <c r="R273" s="68" t="str">
        <f t="shared" si="4"/>
        <v/>
      </c>
      <c r="S273" s="68" t="str" cm="1">
        <f t="array" ref="S273">IF(TRIM($A273)="","",IFERROR(_xlfn.TEXTJOIN(", ",TRUE,_xlfn.UNIQUE(_xlfn.VSTACK(_xlfn._xlws.FILTER('Card Test Cases'!$G$4:$G$1000,('Card Test Cases'!$B$4:$B$1000=$A273)*('Card Test Cases'!$G$4:$G$1000&lt;&gt;""),""),_xlfn._xlws.FILTER('E2E core flow'!$U$15:$U$1000,('E2E core flow'!$A$15:$A$1000&lt;&gt;"")*ISNUMBER(SEARCH('E2E core flow'!$A$15:$A$1000,$E273))*('E2E core flow'!$U$15:$U$1000&lt;&gt;""),"")))),"-"))</f>
        <v/>
      </c>
    </row>
    <row r="274" spans="7:19" x14ac:dyDescent="0.3">
      <c r="G274" s="68" t="str" cm="1">
        <f t="array" ref="G274">_xlfn.LET(_xlpm.ids,'E2E core flow'!$A$15:$A$1000,_xlpm.v,'E2E core flow'!$W$15:$W$1000,_xlpm.m,(_xlpm.ids&lt;&gt;"")*ISNUMBER(SEARCH(_xlpm.ids,$E274)),_xlpm.f,SUM(_xlpm.m*(_xlpm.v="Failed")),_xlpm.b,SUM(_xlpm.m*(_xlpm.v="Blocked")),_xlpm.nr,SUM(_xlpm.m*(_xlpm.v="Not Run")),_xlpm.cp,SUM(_xlpm.m*(_xlpm.v="Conditionally Passed")),_xlpm.p,SUM(_xlpm.m*(_xlpm.v="Passed")),IF(TRIM($A274)="","",IF(TRIM($E274)="","Pending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74" s="68" t="str">
        <f>IF(TRIM($A274)="","",IF($J274="Passed","",IF($J274="Passed with Known Issue","Known Issue",IF($J274="",IF(OR($H274&lt;&gt;"No",AND($F274&lt;&gt;"Medium",$F274&lt;&gt;"Low")),"Pending Result",""),IF(OR($H274&lt;&gt;"No",AND($F274&lt;&gt;"Medium",$F274&lt;&gt;"Low")),IF(COUNTIFS(Dashboard!$B$105:$B$124,$A274,Dashboard!$I$105:$I$124,"CAB")&gt;0,"Accepted (CF)","Blocking"),IF($J274="Failed","Deferrable","Carry Over"))))))</f>
        <v/>
      </c>
      <c r="M274" s="68" t="str">
        <f>IF(OR(TRIM($A274)="",TRIM($E274)=""),"",IFERROR(INDEX('E2E core flow'!$B$15:$B$1000,MATCH(1,INDEX(('E2E core flow'!$A$15:$A$1000&lt;&gt;"")*ISNUMBER(SEARCH('E2E core flow'!$A$15:$A$1000,$E274)),0),0))&amp;"","-"))</f>
        <v/>
      </c>
      <c r="N274" s="68" t="str">
        <f>IF(TRIM($A274)="","",IF($O274=0,IF(COUNTIFS('Card Test Cases'!$B$4:$B$1000,$A274,'Card Test Cases'!$A$4:$A$1000,"&lt;&gt;")&gt;0,"Out of Scope","No TC"),IF($Q274&gt;0,"Failed",IF(COUNTIFS('Card Test Cases'!$B$4:$B$1000,$A274,'Card Test Cases'!$A$4:$A$1000,"&lt;&gt;",'Card Test Cases'!$F$4:$F$1000,"Blocked")&gt;0,"Blocked",IF($R274&gt;0,"In Progress","Passed")))))</f>
        <v/>
      </c>
      <c r="O274" s="68" t="str">
        <f>IF(TRIM($A274)="","",COUNTIFS('Card Test Cases'!$B$4:$B$1000,$A274,'Card Test Cases'!$A$4:$A$1000,"&lt;&gt;",'Card Test Cases'!$F$4:$F$1000,"&lt;&gt;Out of Scope"))</f>
        <v/>
      </c>
      <c r="P274" s="68" t="str">
        <f>IF(TRIM($A274)="","",COUNTIFS('Card Test Cases'!$B$4:$B$1000,$A274,'Card Test Cases'!$A$4:$A$1000,"&lt;&gt;",'Card Test Cases'!$F$4:$F$1000,"Passed"))</f>
        <v/>
      </c>
      <c r="Q274" s="68" t="str">
        <f>IF(TRIM($A274)="","",COUNTIFS('Card Test Cases'!$B$4:$B$1000,$A274,'Card Test Cases'!$A$4:$A$1000,"&lt;&gt;",'Card Test Cases'!$F$4:$F$1000,"Failed"))</f>
        <v/>
      </c>
      <c r="R274" s="68" t="str">
        <f t="shared" si="4"/>
        <v/>
      </c>
      <c r="S274" s="68" t="str" cm="1">
        <f t="array" ref="S274">IF(TRIM($A274)="","",IFERROR(_xlfn.TEXTJOIN(", ",TRUE,_xlfn.UNIQUE(_xlfn.VSTACK(_xlfn._xlws.FILTER('Card Test Cases'!$G$4:$G$1000,('Card Test Cases'!$B$4:$B$1000=$A274)*('Card Test Cases'!$G$4:$G$1000&lt;&gt;""),""),_xlfn._xlws.FILTER('E2E core flow'!$U$15:$U$1000,('E2E core flow'!$A$15:$A$1000&lt;&gt;"")*ISNUMBER(SEARCH('E2E core flow'!$A$15:$A$1000,$E274))*('E2E core flow'!$U$15:$U$1000&lt;&gt;""),"")))),"-"))</f>
        <v/>
      </c>
    </row>
    <row r="275" spans="7:19" x14ac:dyDescent="0.3">
      <c r="G275" s="68" t="str" cm="1">
        <f t="array" ref="G275">_xlfn.LET(_xlpm.ids,'E2E core flow'!$A$15:$A$1000,_xlpm.v,'E2E core flow'!$W$15:$W$1000,_xlpm.m,(_xlpm.ids&lt;&gt;"")*ISNUMBER(SEARCH(_xlpm.ids,$E275)),_xlpm.f,SUM(_xlpm.m*(_xlpm.v="Failed")),_xlpm.b,SUM(_xlpm.m*(_xlpm.v="Blocked")),_xlpm.nr,SUM(_xlpm.m*(_xlpm.v="Not Run")),_xlpm.cp,SUM(_xlpm.m*(_xlpm.v="Conditionally Passed")),_xlpm.p,SUM(_xlpm.m*(_xlpm.v="Passed")),IF(TRIM($A275)="","",IF(TRIM($E275)="","Pending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75" s="68" t="str">
        <f>IF(TRIM($A275)="","",IF($J275="Passed","",IF($J275="Passed with Known Issue","Known Issue",IF($J275="",IF(OR($H275&lt;&gt;"No",AND($F275&lt;&gt;"Medium",$F275&lt;&gt;"Low")),"Pending Result",""),IF(OR($H275&lt;&gt;"No",AND($F275&lt;&gt;"Medium",$F275&lt;&gt;"Low")),IF(COUNTIFS(Dashboard!$B$105:$B$124,$A275,Dashboard!$I$105:$I$124,"CAB")&gt;0,"Accepted (CF)","Blocking"),IF($J275="Failed","Deferrable","Carry Over"))))))</f>
        <v/>
      </c>
      <c r="M275" s="68" t="str">
        <f>IF(OR(TRIM($A275)="",TRIM($E275)=""),"",IFERROR(INDEX('E2E core flow'!$B$15:$B$1000,MATCH(1,INDEX(('E2E core flow'!$A$15:$A$1000&lt;&gt;"")*ISNUMBER(SEARCH('E2E core flow'!$A$15:$A$1000,$E275)),0),0))&amp;"","-"))</f>
        <v/>
      </c>
      <c r="N275" s="68" t="str">
        <f>IF(TRIM($A275)="","",IF($O275=0,IF(COUNTIFS('Card Test Cases'!$B$4:$B$1000,$A275,'Card Test Cases'!$A$4:$A$1000,"&lt;&gt;")&gt;0,"Out of Scope","No TC"),IF($Q275&gt;0,"Failed",IF(COUNTIFS('Card Test Cases'!$B$4:$B$1000,$A275,'Card Test Cases'!$A$4:$A$1000,"&lt;&gt;",'Card Test Cases'!$F$4:$F$1000,"Blocked")&gt;0,"Blocked",IF($R275&gt;0,"In Progress","Passed")))))</f>
        <v/>
      </c>
      <c r="O275" s="68" t="str">
        <f>IF(TRIM($A275)="","",COUNTIFS('Card Test Cases'!$B$4:$B$1000,$A275,'Card Test Cases'!$A$4:$A$1000,"&lt;&gt;",'Card Test Cases'!$F$4:$F$1000,"&lt;&gt;Out of Scope"))</f>
        <v/>
      </c>
      <c r="P275" s="68" t="str">
        <f>IF(TRIM($A275)="","",COUNTIFS('Card Test Cases'!$B$4:$B$1000,$A275,'Card Test Cases'!$A$4:$A$1000,"&lt;&gt;",'Card Test Cases'!$F$4:$F$1000,"Passed"))</f>
        <v/>
      </c>
      <c r="Q275" s="68" t="str">
        <f>IF(TRIM($A275)="","",COUNTIFS('Card Test Cases'!$B$4:$B$1000,$A275,'Card Test Cases'!$A$4:$A$1000,"&lt;&gt;",'Card Test Cases'!$F$4:$F$1000,"Failed"))</f>
        <v/>
      </c>
      <c r="R275" s="68" t="str">
        <f t="shared" si="4"/>
        <v/>
      </c>
      <c r="S275" s="68" t="str" cm="1">
        <f t="array" ref="S275">IF(TRIM($A275)="","",IFERROR(_xlfn.TEXTJOIN(", ",TRUE,_xlfn.UNIQUE(_xlfn.VSTACK(_xlfn._xlws.FILTER('Card Test Cases'!$G$4:$G$1000,('Card Test Cases'!$B$4:$B$1000=$A275)*('Card Test Cases'!$G$4:$G$1000&lt;&gt;""),""),_xlfn._xlws.FILTER('E2E core flow'!$U$15:$U$1000,('E2E core flow'!$A$15:$A$1000&lt;&gt;"")*ISNUMBER(SEARCH('E2E core flow'!$A$15:$A$1000,$E275))*('E2E core flow'!$U$15:$U$1000&lt;&gt;""),"")))),"-"))</f>
        <v/>
      </c>
    </row>
    <row r="276" spans="7:19" x14ac:dyDescent="0.3">
      <c r="G276" s="68" t="str" cm="1">
        <f t="array" ref="G276">_xlfn.LET(_xlpm.ids,'E2E core flow'!$A$15:$A$1000,_xlpm.v,'E2E core flow'!$W$15:$W$1000,_xlpm.m,(_xlpm.ids&lt;&gt;"")*ISNUMBER(SEARCH(_xlpm.ids,$E276)),_xlpm.f,SUM(_xlpm.m*(_xlpm.v="Failed")),_xlpm.b,SUM(_xlpm.m*(_xlpm.v="Blocked")),_xlpm.nr,SUM(_xlpm.m*(_xlpm.v="Not Run")),_xlpm.cp,SUM(_xlpm.m*(_xlpm.v="Conditionally Passed")),_xlpm.p,SUM(_xlpm.m*(_xlpm.v="Passed")),IF(TRIM($A276)="","",IF(TRIM($E276)="","Pending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76" s="68" t="str">
        <f>IF(TRIM($A276)="","",IF($J276="Passed","",IF($J276="Passed with Known Issue","Known Issue",IF($J276="",IF(OR($H276&lt;&gt;"No",AND($F276&lt;&gt;"Medium",$F276&lt;&gt;"Low")),"Pending Result",""),IF(OR($H276&lt;&gt;"No",AND($F276&lt;&gt;"Medium",$F276&lt;&gt;"Low")),IF(COUNTIFS(Dashboard!$B$105:$B$124,$A276,Dashboard!$I$105:$I$124,"CAB")&gt;0,"Accepted (CF)","Blocking"),IF($J276="Failed","Deferrable","Carry Over"))))))</f>
        <v/>
      </c>
      <c r="M276" s="68" t="str">
        <f>IF(OR(TRIM($A276)="",TRIM($E276)=""),"",IFERROR(INDEX('E2E core flow'!$B$15:$B$1000,MATCH(1,INDEX(('E2E core flow'!$A$15:$A$1000&lt;&gt;"")*ISNUMBER(SEARCH('E2E core flow'!$A$15:$A$1000,$E276)),0),0))&amp;"","-"))</f>
        <v/>
      </c>
      <c r="N276" s="68" t="str">
        <f>IF(TRIM($A276)="","",IF($O276=0,IF(COUNTIFS('Card Test Cases'!$B$4:$B$1000,$A276,'Card Test Cases'!$A$4:$A$1000,"&lt;&gt;")&gt;0,"Out of Scope","No TC"),IF($Q276&gt;0,"Failed",IF(COUNTIFS('Card Test Cases'!$B$4:$B$1000,$A276,'Card Test Cases'!$A$4:$A$1000,"&lt;&gt;",'Card Test Cases'!$F$4:$F$1000,"Blocked")&gt;0,"Blocked",IF($R276&gt;0,"In Progress","Passed")))))</f>
        <v/>
      </c>
      <c r="O276" s="68" t="str">
        <f>IF(TRIM($A276)="","",COUNTIFS('Card Test Cases'!$B$4:$B$1000,$A276,'Card Test Cases'!$A$4:$A$1000,"&lt;&gt;",'Card Test Cases'!$F$4:$F$1000,"&lt;&gt;Out of Scope"))</f>
        <v/>
      </c>
      <c r="P276" s="68" t="str">
        <f>IF(TRIM($A276)="","",COUNTIFS('Card Test Cases'!$B$4:$B$1000,$A276,'Card Test Cases'!$A$4:$A$1000,"&lt;&gt;",'Card Test Cases'!$F$4:$F$1000,"Passed"))</f>
        <v/>
      </c>
      <c r="Q276" s="68" t="str">
        <f>IF(TRIM($A276)="","",COUNTIFS('Card Test Cases'!$B$4:$B$1000,$A276,'Card Test Cases'!$A$4:$A$1000,"&lt;&gt;",'Card Test Cases'!$F$4:$F$1000,"Failed"))</f>
        <v/>
      </c>
      <c r="R276" s="68" t="str">
        <f t="shared" si="4"/>
        <v/>
      </c>
      <c r="S276" s="68" t="str" cm="1">
        <f t="array" ref="S276">IF(TRIM($A276)="","",IFERROR(_xlfn.TEXTJOIN(", ",TRUE,_xlfn.UNIQUE(_xlfn.VSTACK(_xlfn._xlws.FILTER('Card Test Cases'!$G$4:$G$1000,('Card Test Cases'!$B$4:$B$1000=$A276)*('Card Test Cases'!$G$4:$G$1000&lt;&gt;""),""),_xlfn._xlws.FILTER('E2E core flow'!$U$15:$U$1000,('E2E core flow'!$A$15:$A$1000&lt;&gt;"")*ISNUMBER(SEARCH('E2E core flow'!$A$15:$A$1000,$E276))*('E2E core flow'!$U$15:$U$1000&lt;&gt;""),"")))),"-"))</f>
        <v/>
      </c>
    </row>
    <row r="277" spans="7:19" x14ac:dyDescent="0.3">
      <c r="G277" s="68" t="str" cm="1">
        <f t="array" ref="G277">_xlfn.LET(_xlpm.ids,'E2E core flow'!$A$15:$A$1000,_xlpm.v,'E2E core flow'!$W$15:$W$1000,_xlpm.m,(_xlpm.ids&lt;&gt;"")*ISNUMBER(SEARCH(_xlpm.ids,$E277)),_xlpm.f,SUM(_xlpm.m*(_xlpm.v="Failed")),_xlpm.b,SUM(_xlpm.m*(_xlpm.v="Blocked")),_xlpm.nr,SUM(_xlpm.m*(_xlpm.v="Not Run")),_xlpm.cp,SUM(_xlpm.m*(_xlpm.v="Conditionally Passed")),_xlpm.p,SUM(_xlpm.m*(_xlpm.v="Passed")),IF(TRIM($A277)="","",IF(TRIM($E277)="","Pending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77" s="68" t="str">
        <f>IF(TRIM($A277)="","",IF($J277="Passed","",IF($J277="Passed with Known Issue","Known Issue",IF($J277="",IF(OR($H277&lt;&gt;"No",AND($F277&lt;&gt;"Medium",$F277&lt;&gt;"Low")),"Pending Result",""),IF(OR($H277&lt;&gt;"No",AND($F277&lt;&gt;"Medium",$F277&lt;&gt;"Low")),IF(COUNTIFS(Dashboard!$B$105:$B$124,$A277,Dashboard!$I$105:$I$124,"CAB")&gt;0,"Accepted (CF)","Blocking"),IF($J277="Failed","Deferrable","Carry Over"))))))</f>
        <v/>
      </c>
      <c r="M277" s="68" t="str">
        <f>IF(OR(TRIM($A277)="",TRIM($E277)=""),"",IFERROR(INDEX('E2E core flow'!$B$15:$B$1000,MATCH(1,INDEX(('E2E core flow'!$A$15:$A$1000&lt;&gt;"")*ISNUMBER(SEARCH('E2E core flow'!$A$15:$A$1000,$E277)),0),0))&amp;"","-"))</f>
        <v/>
      </c>
      <c r="N277" s="68" t="str">
        <f>IF(TRIM($A277)="","",IF($O277=0,IF(COUNTIFS('Card Test Cases'!$B$4:$B$1000,$A277,'Card Test Cases'!$A$4:$A$1000,"&lt;&gt;")&gt;0,"Out of Scope","No TC"),IF($Q277&gt;0,"Failed",IF(COUNTIFS('Card Test Cases'!$B$4:$B$1000,$A277,'Card Test Cases'!$A$4:$A$1000,"&lt;&gt;",'Card Test Cases'!$F$4:$F$1000,"Blocked")&gt;0,"Blocked",IF($R277&gt;0,"In Progress","Passed")))))</f>
        <v/>
      </c>
      <c r="O277" s="68" t="str">
        <f>IF(TRIM($A277)="","",COUNTIFS('Card Test Cases'!$B$4:$B$1000,$A277,'Card Test Cases'!$A$4:$A$1000,"&lt;&gt;",'Card Test Cases'!$F$4:$F$1000,"&lt;&gt;Out of Scope"))</f>
        <v/>
      </c>
      <c r="P277" s="68" t="str">
        <f>IF(TRIM($A277)="","",COUNTIFS('Card Test Cases'!$B$4:$B$1000,$A277,'Card Test Cases'!$A$4:$A$1000,"&lt;&gt;",'Card Test Cases'!$F$4:$F$1000,"Passed"))</f>
        <v/>
      </c>
      <c r="Q277" s="68" t="str">
        <f>IF(TRIM($A277)="","",COUNTIFS('Card Test Cases'!$B$4:$B$1000,$A277,'Card Test Cases'!$A$4:$A$1000,"&lt;&gt;",'Card Test Cases'!$F$4:$F$1000,"Failed"))</f>
        <v/>
      </c>
      <c r="R277" s="68" t="str">
        <f t="shared" si="4"/>
        <v/>
      </c>
      <c r="S277" s="68" t="str" cm="1">
        <f t="array" ref="S277">IF(TRIM($A277)="","",IFERROR(_xlfn.TEXTJOIN(", ",TRUE,_xlfn.UNIQUE(_xlfn.VSTACK(_xlfn._xlws.FILTER('Card Test Cases'!$G$4:$G$1000,('Card Test Cases'!$B$4:$B$1000=$A277)*('Card Test Cases'!$G$4:$G$1000&lt;&gt;""),""),_xlfn._xlws.FILTER('E2E core flow'!$U$15:$U$1000,('E2E core flow'!$A$15:$A$1000&lt;&gt;"")*ISNUMBER(SEARCH('E2E core flow'!$A$15:$A$1000,$E277))*('E2E core flow'!$U$15:$U$1000&lt;&gt;""),"")))),"-"))</f>
        <v/>
      </c>
    </row>
    <row r="278" spans="7:19" x14ac:dyDescent="0.3">
      <c r="G278" s="68" t="str" cm="1">
        <f t="array" ref="G278">_xlfn.LET(_xlpm.ids,'E2E core flow'!$A$15:$A$1000,_xlpm.v,'E2E core flow'!$W$15:$W$1000,_xlpm.m,(_xlpm.ids&lt;&gt;"")*ISNUMBER(SEARCH(_xlpm.ids,$E278)),_xlpm.f,SUM(_xlpm.m*(_xlpm.v="Failed")),_xlpm.b,SUM(_xlpm.m*(_xlpm.v="Blocked")),_xlpm.nr,SUM(_xlpm.m*(_xlpm.v="Not Run")),_xlpm.cp,SUM(_xlpm.m*(_xlpm.v="Conditionally Passed")),_xlpm.p,SUM(_xlpm.m*(_xlpm.v="Passed")),IF(TRIM($A278)="","",IF(TRIM($E278)="","Pending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78" s="68" t="str">
        <f>IF(TRIM($A278)="","",IF($J278="Passed","",IF($J278="Passed with Known Issue","Known Issue",IF($J278="",IF(OR($H278&lt;&gt;"No",AND($F278&lt;&gt;"Medium",$F278&lt;&gt;"Low")),"Pending Result",""),IF(OR($H278&lt;&gt;"No",AND($F278&lt;&gt;"Medium",$F278&lt;&gt;"Low")),IF(COUNTIFS(Dashboard!$B$105:$B$124,$A278,Dashboard!$I$105:$I$124,"CAB")&gt;0,"Accepted (CF)","Blocking"),IF($J278="Failed","Deferrable","Carry Over"))))))</f>
        <v/>
      </c>
      <c r="M278" s="68" t="str">
        <f>IF(OR(TRIM($A278)="",TRIM($E278)=""),"",IFERROR(INDEX('E2E core flow'!$B$15:$B$1000,MATCH(1,INDEX(('E2E core flow'!$A$15:$A$1000&lt;&gt;"")*ISNUMBER(SEARCH('E2E core flow'!$A$15:$A$1000,$E278)),0),0))&amp;"","-"))</f>
        <v/>
      </c>
      <c r="N278" s="68" t="str">
        <f>IF(TRIM($A278)="","",IF($O278=0,IF(COUNTIFS('Card Test Cases'!$B$4:$B$1000,$A278,'Card Test Cases'!$A$4:$A$1000,"&lt;&gt;")&gt;0,"Out of Scope","No TC"),IF($Q278&gt;0,"Failed",IF(COUNTIFS('Card Test Cases'!$B$4:$B$1000,$A278,'Card Test Cases'!$A$4:$A$1000,"&lt;&gt;",'Card Test Cases'!$F$4:$F$1000,"Blocked")&gt;0,"Blocked",IF($R278&gt;0,"In Progress","Passed")))))</f>
        <v/>
      </c>
      <c r="O278" s="68" t="str">
        <f>IF(TRIM($A278)="","",COUNTIFS('Card Test Cases'!$B$4:$B$1000,$A278,'Card Test Cases'!$A$4:$A$1000,"&lt;&gt;",'Card Test Cases'!$F$4:$F$1000,"&lt;&gt;Out of Scope"))</f>
        <v/>
      </c>
      <c r="P278" s="68" t="str">
        <f>IF(TRIM($A278)="","",COUNTIFS('Card Test Cases'!$B$4:$B$1000,$A278,'Card Test Cases'!$A$4:$A$1000,"&lt;&gt;",'Card Test Cases'!$F$4:$F$1000,"Passed"))</f>
        <v/>
      </c>
      <c r="Q278" s="68" t="str">
        <f>IF(TRIM($A278)="","",COUNTIFS('Card Test Cases'!$B$4:$B$1000,$A278,'Card Test Cases'!$A$4:$A$1000,"&lt;&gt;",'Card Test Cases'!$F$4:$F$1000,"Failed"))</f>
        <v/>
      </c>
      <c r="R278" s="68" t="str">
        <f t="shared" si="4"/>
        <v/>
      </c>
      <c r="S278" s="68" t="str" cm="1">
        <f t="array" ref="S278">IF(TRIM($A278)="","",IFERROR(_xlfn.TEXTJOIN(", ",TRUE,_xlfn.UNIQUE(_xlfn.VSTACK(_xlfn._xlws.FILTER('Card Test Cases'!$G$4:$G$1000,('Card Test Cases'!$B$4:$B$1000=$A278)*('Card Test Cases'!$G$4:$G$1000&lt;&gt;""),""),_xlfn._xlws.FILTER('E2E core flow'!$U$15:$U$1000,('E2E core flow'!$A$15:$A$1000&lt;&gt;"")*ISNUMBER(SEARCH('E2E core flow'!$A$15:$A$1000,$E278))*('E2E core flow'!$U$15:$U$1000&lt;&gt;""),"")))),"-"))</f>
        <v/>
      </c>
    </row>
    <row r="279" spans="7:19" x14ac:dyDescent="0.3">
      <c r="G279" s="68" t="str" cm="1">
        <f t="array" ref="G279">_xlfn.LET(_xlpm.ids,'E2E core flow'!$A$15:$A$1000,_xlpm.v,'E2E core flow'!$W$15:$W$1000,_xlpm.m,(_xlpm.ids&lt;&gt;"")*ISNUMBER(SEARCH(_xlpm.ids,$E279)),_xlpm.f,SUM(_xlpm.m*(_xlpm.v="Failed")),_xlpm.b,SUM(_xlpm.m*(_xlpm.v="Blocked")),_xlpm.nr,SUM(_xlpm.m*(_xlpm.v="Not Run")),_xlpm.cp,SUM(_xlpm.m*(_xlpm.v="Conditionally Passed")),_xlpm.p,SUM(_xlpm.m*(_xlpm.v="Passed")),IF(TRIM($A279)="","",IF(TRIM($E279)="","Pending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79" s="68" t="str">
        <f>IF(TRIM($A279)="","",IF($J279="Passed","",IF($J279="Passed with Known Issue","Known Issue",IF($J279="",IF(OR($H279&lt;&gt;"No",AND($F279&lt;&gt;"Medium",$F279&lt;&gt;"Low")),"Pending Result",""),IF(OR($H279&lt;&gt;"No",AND($F279&lt;&gt;"Medium",$F279&lt;&gt;"Low")),IF(COUNTIFS(Dashboard!$B$105:$B$124,$A279,Dashboard!$I$105:$I$124,"CAB")&gt;0,"Accepted (CF)","Blocking"),IF($J279="Failed","Deferrable","Carry Over"))))))</f>
        <v/>
      </c>
      <c r="M279" s="68" t="str">
        <f>IF(OR(TRIM($A279)="",TRIM($E279)=""),"",IFERROR(INDEX('E2E core flow'!$B$15:$B$1000,MATCH(1,INDEX(('E2E core flow'!$A$15:$A$1000&lt;&gt;"")*ISNUMBER(SEARCH('E2E core flow'!$A$15:$A$1000,$E279)),0),0))&amp;"","-"))</f>
        <v/>
      </c>
      <c r="N279" s="68" t="str">
        <f>IF(TRIM($A279)="","",IF($O279=0,IF(COUNTIFS('Card Test Cases'!$B$4:$B$1000,$A279,'Card Test Cases'!$A$4:$A$1000,"&lt;&gt;")&gt;0,"Out of Scope","No TC"),IF($Q279&gt;0,"Failed",IF(COUNTIFS('Card Test Cases'!$B$4:$B$1000,$A279,'Card Test Cases'!$A$4:$A$1000,"&lt;&gt;",'Card Test Cases'!$F$4:$F$1000,"Blocked")&gt;0,"Blocked",IF($R279&gt;0,"In Progress","Passed")))))</f>
        <v/>
      </c>
      <c r="O279" s="68" t="str">
        <f>IF(TRIM($A279)="","",COUNTIFS('Card Test Cases'!$B$4:$B$1000,$A279,'Card Test Cases'!$A$4:$A$1000,"&lt;&gt;",'Card Test Cases'!$F$4:$F$1000,"&lt;&gt;Out of Scope"))</f>
        <v/>
      </c>
      <c r="P279" s="68" t="str">
        <f>IF(TRIM($A279)="","",COUNTIFS('Card Test Cases'!$B$4:$B$1000,$A279,'Card Test Cases'!$A$4:$A$1000,"&lt;&gt;",'Card Test Cases'!$F$4:$F$1000,"Passed"))</f>
        <v/>
      </c>
      <c r="Q279" s="68" t="str">
        <f>IF(TRIM($A279)="","",COUNTIFS('Card Test Cases'!$B$4:$B$1000,$A279,'Card Test Cases'!$A$4:$A$1000,"&lt;&gt;",'Card Test Cases'!$F$4:$F$1000,"Failed"))</f>
        <v/>
      </c>
      <c r="R279" s="68" t="str">
        <f t="shared" si="4"/>
        <v/>
      </c>
      <c r="S279" s="68" t="str" cm="1">
        <f t="array" ref="S279">IF(TRIM($A279)="","",IFERROR(_xlfn.TEXTJOIN(", ",TRUE,_xlfn.UNIQUE(_xlfn.VSTACK(_xlfn._xlws.FILTER('Card Test Cases'!$G$4:$G$1000,('Card Test Cases'!$B$4:$B$1000=$A279)*('Card Test Cases'!$G$4:$G$1000&lt;&gt;""),""),_xlfn._xlws.FILTER('E2E core flow'!$U$15:$U$1000,('E2E core flow'!$A$15:$A$1000&lt;&gt;"")*ISNUMBER(SEARCH('E2E core flow'!$A$15:$A$1000,$E279))*('E2E core flow'!$U$15:$U$1000&lt;&gt;""),"")))),"-"))</f>
        <v/>
      </c>
    </row>
    <row r="280" spans="7:19" x14ac:dyDescent="0.3">
      <c r="G280" s="68" t="str" cm="1">
        <f t="array" ref="G280">_xlfn.LET(_xlpm.ids,'E2E core flow'!$A$15:$A$1000,_xlpm.v,'E2E core flow'!$W$15:$W$1000,_xlpm.m,(_xlpm.ids&lt;&gt;"")*ISNUMBER(SEARCH(_xlpm.ids,$E280)),_xlpm.f,SUM(_xlpm.m*(_xlpm.v="Failed")),_xlpm.b,SUM(_xlpm.m*(_xlpm.v="Blocked")),_xlpm.nr,SUM(_xlpm.m*(_xlpm.v="Not Run")),_xlpm.cp,SUM(_xlpm.m*(_xlpm.v="Conditionally Passed")),_xlpm.p,SUM(_xlpm.m*(_xlpm.v="Passed")),IF(TRIM($A280)="","",IF(TRIM($E280)="","Pending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80" s="68" t="str">
        <f>IF(TRIM($A280)="","",IF($J280="Passed","",IF($J280="Passed with Known Issue","Known Issue",IF($J280="",IF(OR($H280&lt;&gt;"No",AND($F280&lt;&gt;"Medium",$F280&lt;&gt;"Low")),"Pending Result",""),IF(OR($H280&lt;&gt;"No",AND($F280&lt;&gt;"Medium",$F280&lt;&gt;"Low")),IF(COUNTIFS(Dashboard!$B$105:$B$124,$A280,Dashboard!$I$105:$I$124,"CAB")&gt;0,"Accepted (CF)","Blocking"),IF($J280="Failed","Deferrable","Carry Over"))))))</f>
        <v/>
      </c>
      <c r="M280" s="68" t="str">
        <f>IF(OR(TRIM($A280)="",TRIM($E280)=""),"",IFERROR(INDEX('E2E core flow'!$B$15:$B$1000,MATCH(1,INDEX(('E2E core flow'!$A$15:$A$1000&lt;&gt;"")*ISNUMBER(SEARCH('E2E core flow'!$A$15:$A$1000,$E280)),0),0))&amp;"","-"))</f>
        <v/>
      </c>
      <c r="N280" s="68" t="str">
        <f>IF(TRIM($A280)="","",IF($O280=0,IF(COUNTIFS('Card Test Cases'!$B$4:$B$1000,$A280,'Card Test Cases'!$A$4:$A$1000,"&lt;&gt;")&gt;0,"Out of Scope","No TC"),IF($Q280&gt;0,"Failed",IF(COUNTIFS('Card Test Cases'!$B$4:$B$1000,$A280,'Card Test Cases'!$A$4:$A$1000,"&lt;&gt;",'Card Test Cases'!$F$4:$F$1000,"Blocked")&gt;0,"Blocked",IF($R280&gt;0,"In Progress","Passed")))))</f>
        <v/>
      </c>
      <c r="O280" s="68" t="str">
        <f>IF(TRIM($A280)="","",COUNTIFS('Card Test Cases'!$B$4:$B$1000,$A280,'Card Test Cases'!$A$4:$A$1000,"&lt;&gt;",'Card Test Cases'!$F$4:$F$1000,"&lt;&gt;Out of Scope"))</f>
        <v/>
      </c>
      <c r="P280" s="68" t="str">
        <f>IF(TRIM($A280)="","",COUNTIFS('Card Test Cases'!$B$4:$B$1000,$A280,'Card Test Cases'!$A$4:$A$1000,"&lt;&gt;",'Card Test Cases'!$F$4:$F$1000,"Passed"))</f>
        <v/>
      </c>
      <c r="Q280" s="68" t="str">
        <f>IF(TRIM($A280)="","",COUNTIFS('Card Test Cases'!$B$4:$B$1000,$A280,'Card Test Cases'!$A$4:$A$1000,"&lt;&gt;",'Card Test Cases'!$F$4:$F$1000,"Failed"))</f>
        <v/>
      </c>
      <c r="R280" s="68" t="str">
        <f t="shared" si="4"/>
        <v/>
      </c>
      <c r="S280" s="68" t="str" cm="1">
        <f t="array" ref="S280">IF(TRIM($A280)="","",IFERROR(_xlfn.TEXTJOIN(", ",TRUE,_xlfn.UNIQUE(_xlfn.VSTACK(_xlfn._xlws.FILTER('Card Test Cases'!$G$4:$G$1000,('Card Test Cases'!$B$4:$B$1000=$A280)*('Card Test Cases'!$G$4:$G$1000&lt;&gt;""),""),_xlfn._xlws.FILTER('E2E core flow'!$U$15:$U$1000,('E2E core flow'!$A$15:$A$1000&lt;&gt;"")*ISNUMBER(SEARCH('E2E core flow'!$A$15:$A$1000,$E280))*('E2E core flow'!$U$15:$U$1000&lt;&gt;""),"")))),"-"))</f>
        <v/>
      </c>
    </row>
    <row r="281" spans="7:19" x14ac:dyDescent="0.3">
      <c r="G281" s="68" t="str" cm="1">
        <f t="array" ref="G281">_xlfn.LET(_xlpm.ids,'E2E core flow'!$A$15:$A$1000,_xlpm.v,'E2E core flow'!$W$15:$W$1000,_xlpm.m,(_xlpm.ids&lt;&gt;"")*ISNUMBER(SEARCH(_xlpm.ids,$E281)),_xlpm.f,SUM(_xlpm.m*(_xlpm.v="Failed")),_xlpm.b,SUM(_xlpm.m*(_xlpm.v="Blocked")),_xlpm.nr,SUM(_xlpm.m*(_xlpm.v="Not Run")),_xlpm.cp,SUM(_xlpm.m*(_xlpm.v="Conditionally Passed")),_xlpm.p,SUM(_xlpm.m*(_xlpm.v="Passed")),IF(TRIM($A281)="","",IF(TRIM($E281)="","Pending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81" s="68" t="str">
        <f>IF(TRIM($A281)="","",IF($J281="Passed","",IF($J281="Passed with Known Issue","Known Issue",IF($J281="",IF(OR($H281&lt;&gt;"No",AND($F281&lt;&gt;"Medium",$F281&lt;&gt;"Low")),"Pending Result",""),IF(OR($H281&lt;&gt;"No",AND($F281&lt;&gt;"Medium",$F281&lt;&gt;"Low")),IF(COUNTIFS(Dashboard!$B$105:$B$124,$A281,Dashboard!$I$105:$I$124,"CAB")&gt;0,"Accepted (CF)","Blocking"),IF($J281="Failed","Deferrable","Carry Over"))))))</f>
        <v/>
      </c>
      <c r="M281" s="68" t="str">
        <f>IF(OR(TRIM($A281)="",TRIM($E281)=""),"",IFERROR(INDEX('E2E core flow'!$B$15:$B$1000,MATCH(1,INDEX(('E2E core flow'!$A$15:$A$1000&lt;&gt;"")*ISNUMBER(SEARCH('E2E core flow'!$A$15:$A$1000,$E281)),0),0))&amp;"","-"))</f>
        <v/>
      </c>
      <c r="N281" s="68" t="str">
        <f>IF(TRIM($A281)="","",IF($O281=0,IF(COUNTIFS('Card Test Cases'!$B$4:$B$1000,$A281,'Card Test Cases'!$A$4:$A$1000,"&lt;&gt;")&gt;0,"Out of Scope","No TC"),IF($Q281&gt;0,"Failed",IF(COUNTIFS('Card Test Cases'!$B$4:$B$1000,$A281,'Card Test Cases'!$A$4:$A$1000,"&lt;&gt;",'Card Test Cases'!$F$4:$F$1000,"Blocked")&gt;0,"Blocked",IF($R281&gt;0,"In Progress","Passed")))))</f>
        <v/>
      </c>
      <c r="O281" s="68" t="str">
        <f>IF(TRIM($A281)="","",COUNTIFS('Card Test Cases'!$B$4:$B$1000,$A281,'Card Test Cases'!$A$4:$A$1000,"&lt;&gt;",'Card Test Cases'!$F$4:$F$1000,"&lt;&gt;Out of Scope"))</f>
        <v/>
      </c>
      <c r="P281" s="68" t="str">
        <f>IF(TRIM($A281)="","",COUNTIFS('Card Test Cases'!$B$4:$B$1000,$A281,'Card Test Cases'!$A$4:$A$1000,"&lt;&gt;",'Card Test Cases'!$F$4:$F$1000,"Passed"))</f>
        <v/>
      </c>
      <c r="Q281" s="68" t="str">
        <f>IF(TRIM($A281)="","",COUNTIFS('Card Test Cases'!$B$4:$B$1000,$A281,'Card Test Cases'!$A$4:$A$1000,"&lt;&gt;",'Card Test Cases'!$F$4:$F$1000,"Failed"))</f>
        <v/>
      </c>
      <c r="R281" s="68" t="str">
        <f t="shared" si="4"/>
        <v/>
      </c>
      <c r="S281" s="68" t="str" cm="1">
        <f t="array" ref="S281">IF(TRIM($A281)="","",IFERROR(_xlfn.TEXTJOIN(", ",TRUE,_xlfn.UNIQUE(_xlfn.VSTACK(_xlfn._xlws.FILTER('Card Test Cases'!$G$4:$G$1000,('Card Test Cases'!$B$4:$B$1000=$A281)*('Card Test Cases'!$G$4:$G$1000&lt;&gt;""),""),_xlfn._xlws.FILTER('E2E core flow'!$U$15:$U$1000,('E2E core flow'!$A$15:$A$1000&lt;&gt;"")*ISNUMBER(SEARCH('E2E core flow'!$A$15:$A$1000,$E281))*('E2E core flow'!$U$15:$U$1000&lt;&gt;""),"")))),"-"))</f>
        <v/>
      </c>
    </row>
    <row r="282" spans="7:19" x14ac:dyDescent="0.3">
      <c r="G282" s="68" t="str" cm="1">
        <f t="array" ref="G282">_xlfn.LET(_xlpm.ids,'E2E core flow'!$A$15:$A$1000,_xlpm.v,'E2E core flow'!$W$15:$W$1000,_xlpm.m,(_xlpm.ids&lt;&gt;"")*ISNUMBER(SEARCH(_xlpm.ids,$E282)),_xlpm.f,SUM(_xlpm.m*(_xlpm.v="Failed")),_xlpm.b,SUM(_xlpm.m*(_xlpm.v="Blocked")),_xlpm.nr,SUM(_xlpm.m*(_xlpm.v="Not Run")),_xlpm.cp,SUM(_xlpm.m*(_xlpm.v="Conditionally Passed")),_xlpm.p,SUM(_xlpm.m*(_xlpm.v="Passed")),IF(TRIM($A282)="","",IF(TRIM($E282)="","Pending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82" s="68" t="str">
        <f>IF(TRIM($A282)="","",IF($J282="Passed","",IF($J282="Passed with Known Issue","Known Issue",IF($J282="",IF(OR($H282&lt;&gt;"No",AND($F282&lt;&gt;"Medium",$F282&lt;&gt;"Low")),"Pending Result",""),IF(OR($H282&lt;&gt;"No",AND($F282&lt;&gt;"Medium",$F282&lt;&gt;"Low")),IF(COUNTIFS(Dashboard!$B$105:$B$124,$A282,Dashboard!$I$105:$I$124,"CAB")&gt;0,"Accepted (CF)","Blocking"),IF($J282="Failed","Deferrable","Carry Over"))))))</f>
        <v/>
      </c>
      <c r="M282" s="68" t="str">
        <f>IF(OR(TRIM($A282)="",TRIM($E282)=""),"",IFERROR(INDEX('E2E core flow'!$B$15:$B$1000,MATCH(1,INDEX(('E2E core flow'!$A$15:$A$1000&lt;&gt;"")*ISNUMBER(SEARCH('E2E core flow'!$A$15:$A$1000,$E282)),0),0))&amp;"","-"))</f>
        <v/>
      </c>
      <c r="N282" s="68" t="str">
        <f>IF(TRIM($A282)="","",IF($O282=0,IF(COUNTIFS('Card Test Cases'!$B$4:$B$1000,$A282,'Card Test Cases'!$A$4:$A$1000,"&lt;&gt;")&gt;0,"Out of Scope","No TC"),IF($Q282&gt;0,"Failed",IF(COUNTIFS('Card Test Cases'!$B$4:$B$1000,$A282,'Card Test Cases'!$A$4:$A$1000,"&lt;&gt;",'Card Test Cases'!$F$4:$F$1000,"Blocked")&gt;0,"Blocked",IF($R282&gt;0,"In Progress","Passed")))))</f>
        <v/>
      </c>
      <c r="O282" s="68" t="str">
        <f>IF(TRIM($A282)="","",COUNTIFS('Card Test Cases'!$B$4:$B$1000,$A282,'Card Test Cases'!$A$4:$A$1000,"&lt;&gt;",'Card Test Cases'!$F$4:$F$1000,"&lt;&gt;Out of Scope"))</f>
        <v/>
      </c>
      <c r="P282" s="68" t="str">
        <f>IF(TRIM($A282)="","",COUNTIFS('Card Test Cases'!$B$4:$B$1000,$A282,'Card Test Cases'!$A$4:$A$1000,"&lt;&gt;",'Card Test Cases'!$F$4:$F$1000,"Passed"))</f>
        <v/>
      </c>
      <c r="Q282" s="68" t="str">
        <f>IF(TRIM($A282)="","",COUNTIFS('Card Test Cases'!$B$4:$B$1000,$A282,'Card Test Cases'!$A$4:$A$1000,"&lt;&gt;",'Card Test Cases'!$F$4:$F$1000,"Failed"))</f>
        <v/>
      </c>
      <c r="R282" s="68" t="str">
        <f t="shared" si="4"/>
        <v/>
      </c>
      <c r="S282" s="68" t="str" cm="1">
        <f t="array" ref="S282">IF(TRIM($A282)="","",IFERROR(_xlfn.TEXTJOIN(", ",TRUE,_xlfn.UNIQUE(_xlfn.VSTACK(_xlfn._xlws.FILTER('Card Test Cases'!$G$4:$G$1000,('Card Test Cases'!$B$4:$B$1000=$A282)*('Card Test Cases'!$G$4:$G$1000&lt;&gt;""),""),_xlfn._xlws.FILTER('E2E core flow'!$U$15:$U$1000,('E2E core flow'!$A$15:$A$1000&lt;&gt;"")*ISNUMBER(SEARCH('E2E core flow'!$A$15:$A$1000,$E282))*('E2E core flow'!$U$15:$U$1000&lt;&gt;""),"")))),"-"))</f>
        <v/>
      </c>
    </row>
    <row r="283" spans="7:19" x14ac:dyDescent="0.3">
      <c r="G283" s="68" t="str" cm="1">
        <f t="array" ref="G283">_xlfn.LET(_xlpm.ids,'E2E core flow'!$A$15:$A$1000,_xlpm.v,'E2E core flow'!$W$15:$W$1000,_xlpm.m,(_xlpm.ids&lt;&gt;"")*ISNUMBER(SEARCH(_xlpm.ids,$E283)),_xlpm.f,SUM(_xlpm.m*(_xlpm.v="Failed")),_xlpm.b,SUM(_xlpm.m*(_xlpm.v="Blocked")),_xlpm.nr,SUM(_xlpm.m*(_xlpm.v="Not Run")),_xlpm.cp,SUM(_xlpm.m*(_xlpm.v="Conditionally Passed")),_xlpm.p,SUM(_xlpm.m*(_xlpm.v="Passed")),IF(TRIM($A283)="","",IF(TRIM($E283)="","Pending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83" s="68" t="str">
        <f>IF(TRIM($A283)="","",IF($J283="Passed","",IF($J283="Passed with Known Issue","Known Issue",IF($J283="",IF(OR($H283&lt;&gt;"No",AND($F283&lt;&gt;"Medium",$F283&lt;&gt;"Low")),"Pending Result",""),IF(OR($H283&lt;&gt;"No",AND($F283&lt;&gt;"Medium",$F283&lt;&gt;"Low")),IF(COUNTIFS(Dashboard!$B$105:$B$124,$A283,Dashboard!$I$105:$I$124,"CAB")&gt;0,"Accepted (CF)","Blocking"),IF($J283="Failed","Deferrable","Carry Over"))))))</f>
        <v/>
      </c>
      <c r="M283" s="68" t="str">
        <f>IF(OR(TRIM($A283)="",TRIM($E283)=""),"",IFERROR(INDEX('E2E core flow'!$B$15:$B$1000,MATCH(1,INDEX(('E2E core flow'!$A$15:$A$1000&lt;&gt;"")*ISNUMBER(SEARCH('E2E core flow'!$A$15:$A$1000,$E283)),0),0))&amp;"","-"))</f>
        <v/>
      </c>
      <c r="N283" s="68" t="str">
        <f>IF(TRIM($A283)="","",IF($O283=0,IF(COUNTIFS('Card Test Cases'!$B$4:$B$1000,$A283,'Card Test Cases'!$A$4:$A$1000,"&lt;&gt;")&gt;0,"Out of Scope","No TC"),IF($Q283&gt;0,"Failed",IF(COUNTIFS('Card Test Cases'!$B$4:$B$1000,$A283,'Card Test Cases'!$A$4:$A$1000,"&lt;&gt;",'Card Test Cases'!$F$4:$F$1000,"Blocked")&gt;0,"Blocked",IF($R283&gt;0,"In Progress","Passed")))))</f>
        <v/>
      </c>
      <c r="O283" s="68" t="str">
        <f>IF(TRIM($A283)="","",COUNTIFS('Card Test Cases'!$B$4:$B$1000,$A283,'Card Test Cases'!$A$4:$A$1000,"&lt;&gt;",'Card Test Cases'!$F$4:$F$1000,"&lt;&gt;Out of Scope"))</f>
        <v/>
      </c>
      <c r="P283" s="68" t="str">
        <f>IF(TRIM($A283)="","",COUNTIFS('Card Test Cases'!$B$4:$B$1000,$A283,'Card Test Cases'!$A$4:$A$1000,"&lt;&gt;",'Card Test Cases'!$F$4:$F$1000,"Passed"))</f>
        <v/>
      </c>
      <c r="Q283" s="68" t="str">
        <f>IF(TRIM($A283)="","",COUNTIFS('Card Test Cases'!$B$4:$B$1000,$A283,'Card Test Cases'!$A$4:$A$1000,"&lt;&gt;",'Card Test Cases'!$F$4:$F$1000,"Failed"))</f>
        <v/>
      </c>
      <c r="R283" s="68" t="str">
        <f t="shared" si="4"/>
        <v/>
      </c>
      <c r="S283" s="68" t="str" cm="1">
        <f t="array" ref="S283">IF(TRIM($A283)="","",IFERROR(_xlfn.TEXTJOIN(", ",TRUE,_xlfn.UNIQUE(_xlfn.VSTACK(_xlfn._xlws.FILTER('Card Test Cases'!$G$4:$G$1000,('Card Test Cases'!$B$4:$B$1000=$A283)*('Card Test Cases'!$G$4:$G$1000&lt;&gt;""),""),_xlfn._xlws.FILTER('E2E core flow'!$U$15:$U$1000,('E2E core flow'!$A$15:$A$1000&lt;&gt;"")*ISNUMBER(SEARCH('E2E core flow'!$A$15:$A$1000,$E283))*('E2E core flow'!$U$15:$U$1000&lt;&gt;""),"")))),"-"))</f>
        <v/>
      </c>
    </row>
    <row r="284" spans="7:19" x14ac:dyDescent="0.3">
      <c r="G284" s="68" t="str" cm="1">
        <f t="array" ref="G284">_xlfn.LET(_xlpm.ids,'E2E core flow'!$A$15:$A$1000,_xlpm.v,'E2E core flow'!$W$15:$W$1000,_xlpm.m,(_xlpm.ids&lt;&gt;"")*ISNUMBER(SEARCH(_xlpm.ids,$E284)),_xlpm.f,SUM(_xlpm.m*(_xlpm.v="Failed")),_xlpm.b,SUM(_xlpm.m*(_xlpm.v="Blocked")),_xlpm.nr,SUM(_xlpm.m*(_xlpm.v="Not Run")),_xlpm.cp,SUM(_xlpm.m*(_xlpm.v="Conditionally Passed")),_xlpm.p,SUM(_xlpm.m*(_xlpm.v="Passed")),IF(TRIM($A284)="","",IF(TRIM($E284)="","Pending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84" s="68" t="str">
        <f>IF(TRIM($A284)="","",IF($J284="Passed","",IF($J284="Passed with Known Issue","Known Issue",IF($J284="",IF(OR($H284&lt;&gt;"No",AND($F284&lt;&gt;"Medium",$F284&lt;&gt;"Low")),"Pending Result",""),IF(OR($H284&lt;&gt;"No",AND($F284&lt;&gt;"Medium",$F284&lt;&gt;"Low")),IF(COUNTIFS(Dashboard!$B$105:$B$124,$A284,Dashboard!$I$105:$I$124,"CAB")&gt;0,"Accepted (CF)","Blocking"),IF($J284="Failed","Deferrable","Carry Over"))))))</f>
        <v/>
      </c>
      <c r="M284" s="68" t="str">
        <f>IF(OR(TRIM($A284)="",TRIM($E284)=""),"",IFERROR(INDEX('E2E core flow'!$B$15:$B$1000,MATCH(1,INDEX(('E2E core flow'!$A$15:$A$1000&lt;&gt;"")*ISNUMBER(SEARCH('E2E core flow'!$A$15:$A$1000,$E284)),0),0))&amp;"","-"))</f>
        <v/>
      </c>
      <c r="N284" s="68" t="str">
        <f>IF(TRIM($A284)="","",IF($O284=0,IF(COUNTIFS('Card Test Cases'!$B$4:$B$1000,$A284,'Card Test Cases'!$A$4:$A$1000,"&lt;&gt;")&gt;0,"Out of Scope","No TC"),IF($Q284&gt;0,"Failed",IF(COUNTIFS('Card Test Cases'!$B$4:$B$1000,$A284,'Card Test Cases'!$A$4:$A$1000,"&lt;&gt;",'Card Test Cases'!$F$4:$F$1000,"Blocked")&gt;0,"Blocked",IF($R284&gt;0,"In Progress","Passed")))))</f>
        <v/>
      </c>
      <c r="O284" s="68" t="str">
        <f>IF(TRIM($A284)="","",COUNTIFS('Card Test Cases'!$B$4:$B$1000,$A284,'Card Test Cases'!$A$4:$A$1000,"&lt;&gt;",'Card Test Cases'!$F$4:$F$1000,"&lt;&gt;Out of Scope"))</f>
        <v/>
      </c>
      <c r="P284" s="68" t="str">
        <f>IF(TRIM($A284)="","",COUNTIFS('Card Test Cases'!$B$4:$B$1000,$A284,'Card Test Cases'!$A$4:$A$1000,"&lt;&gt;",'Card Test Cases'!$F$4:$F$1000,"Passed"))</f>
        <v/>
      </c>
      <c r="Q284" s="68" t="str">
        <f>IF(TRIM($A284)="","",COUNTIFS('Card Test Cases'!$B$4:$B$1000,$A284,'Card Test Cases'!$A$4:$A$1000,"&lt;&gt;",'Card Test Cases'!$F$4:$F$1000,"Failed"))</f>
        <v/>
      </c>
      <c r="R284" s="68" t="str">
        <f t="shared" si="4"/>
        <v/>
      </c>
      <c r="S284" s="68" t="str" cm="1">
        <f t="array" ref="S284">IF(TRIM($A284)="","",IFERROR(_xlfn.TEXTJOIN(", ",TRUE,_xlfn.UNIQUE(_xlfn.VSTACK(_xlfn._xlws.FILTER('Card Test Cases'!$G$4:$G$1000,('Card Test Cases'!$B$4:$B$1000=$A284)*('Card Test Cases'!$G$4:$G$1000&lt;&gt;""),""),_xlfn._xlws.FILTER('E2E core flow'!$U$15:$U$1000,('E2E core flow'!$A$15:$A$1000&lt;&gt;"")*ISNUMBER(SEARCH('E2E core flow'!$A$15:$A$1000,$E284))*('E2E core flow'!$U$15:$U$1000&lt;&gt;""),"")))),"-"))</f>
        <v/>
      </c>
    </row>
    <row r="285" spans="7:19" x14ac:dyDescent="0.3">
      <c r="G285" s="68" t="str" cm="1">
        <f t="array" ref="G285">_xlfn.LET(_xlpm.ids,'E2E core flow'!$A$15:$A$1000,_xlpm.v,'E2E core flow'!$W$15:$W$1000,_xlpm.m,(_xlpm.ids&lt;&gt;"")*ISNUMBER(SEARCH(_xlpm.ids,$E285)),_xlpm.f,SUM(_xlpm.m*(_xlpm.v="Failed")),_xlpm.b,SUM(_xlpm.m*(_xlpm.v="Blocked")),_xlpm.nr,SUM(_xlpm.m*(_xlpm.v="Not Run")),_xlpm.cp,SUM(_xlpm.m*(_xlpm.v="Conditionally Passed")),_xlpm.p,SUM(_xlpm.m*(_xlpm.v="Passed")),IF(TRIM($A285)="","",IF(TRIM($E285)="","Pending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85" s="68" t="str">
        <f>IF(TRIM($A285)="","",IF($J285="Passed","",IF($J285="Passed with Known Issue","Known Issue",IF($J285="",IF(OR($H285&lt;&gt;"No",AND($F285&lt;&gt;"Medium",$F285&lt;&gt;"Low")),"Pending Result",""),IF(OR($H285&lt;&gt;"No",AND($F285&lt;&gt;"Medium",$F285&lt;&gt;"Low")),IF(COUNTIFS(Dashboard!$B$105:$B$124,$A285,Dashboard!$I$105:$I$124,"CAB")&gt;0,"Accepted (CF)","Blocking"),IF($J285="Failed","Deferrable","Carry Over"))))))</f>
        <v/>
      </c>
      <c r="M285" s="68" t="str">
        <f>IF(OR(TRIM($A285)="",TRIM($E285)=""),"",IFERROR(INDEX('E2E core flow'!$B$15:$B$1000,MATCH(1,INDEX(('E2E core flow'!$A$15:$A$1000&lt;&gt;"")*ISNUMBER(SEARCH('E2E core flow'!$A$15:$A$1000,$E285)),0),0))&amp;"","-"))</f>
        <v/>
      </c>
      <c r="N285" s="68" t="str">
        <f>IF(TRIM($A285)="","",IF($O285=0,IF(COUNTIFS('Card Test Cases'!$B$4:$B$1000,$A285,'Card Test Cases'!$A$4:$A$1000,"&lt;&gt;")&gt;0,"Out of Scope","No TC"),IF($Q285&gt;0,"Failed",IF(COUNTIFS('Card Test Cases'!$B$4:$B$1000,$A285,'Card Test Cases'!$A$4:$A$1000,"&lt;&gt;",'Card Test Cases'!$F$4:$F$1000,"Blocked")&gt;0,"Blocked",IF($R285&gt;0,"In Progress","Passed")))))</f>
        <v/>
      </c>
      <c r="O285" s="68" t="str">
        <f>IF(TRIM($A285)="","",COUNTIFS('Card Test Cases'!$B$4:$B$1000,$A285,'Card Test Cases'!$A$4:$A$1000,"&lt;&gt;",'Card Test Cases'!$F$4:$F$1000,"&lt;&gt;Out of Scope"))</f>
        <v/>
      </c>
      <c r="P285" s="68" t="str">
        <f>IF(TRIM($A285)="","",COUNTIFS('Card Test Cases'!$B$4:$B$1000,$A285,'Card Test Cases'!$A$4:$A$1000,"&lt;&gt;",'Card Test Cases'!$F$4:$F$1000,"Passed"))</f>
        <v/>
      </c>
      <c r="Q285" s="68" t="str">
        <f>IF(TRIM($A285)="","",COUNTIFS('Card Test Cases'!$B$4:$B$1000,$A285,'Card Test Cases'!$A$4:$A$1000,"&lt;&gt;",'Card Test Cases'!$F$4:$F$1000,"Failed"))</f>
        <v/>
      </c>
      <c r="R285" s="68" t="str">
        <f t="shared" si="4"/>
        <v/>
      </c>
      <c r="S285" s="68" t="str" cm="1">
        <f t="array" ref="S285">IF(TRIM($A285)="","",IFERROR(_xlfn.TEXTJOIN(", ",TRUE,_xlfn.UNIQUE(_xlfn.VSTACK(_xlfn._xlws.FILTER('Card Test Cases'!$G$4:$G$1000,('Card Test Cases'!$B$4:$B$1000=$A285)*('Card Test Cases'!$G$4:$G$1000&lt;&gt;""),""),_xlfn._xlws.FILTER('E2E core flow'!$U$15:$U$1000,('E2E core flow'!$A$15:$A$1000&lt;&gt;"")*ISNUMBER(SEARCH('E2E core flow'!$A$15:$A$1000,$E285))*('E2E core flow'!$U$15:$U$1000&lt;&gt;""),"")))),"-"))</f>
        <v/>
      </c>
    </row>
    <row r="286" spans="7:19" x14ac:dyDescent="0.3">
      <c r="G286" s="68" t="str" cm="1">
        <f t="array" ref="G286">_xlfn.LET(_xlpm.ids,'E2E core flow'!$A$15:$A$1000,_xlpm.v,'E2E core flow'!$W$15:$W$1000,_xlpm.m,(_xlpm.ids&lt;&gt;"")*ISNUMBER(SEARCH(_xlpm.ids,$E286)),_xlpm.f,SUM(_xlpm.m*(_xlpm.v="Failed")),_xlpm.b,SUM(_xlpm.m*(_xlpm.v="Blocked")),_xlpm.nr,SUM(_xlpm.m*(_xlpm.v="Not Run")),_xlpm.cp,SUM(_xlpm.m*(_xlpm.v="Conditionally Passed")),_xlpm.p,SUM(_xlpm.m*(_xlpm.v="Passed")),IF(TRIM($A286)="","",IF(TRIM($E286)="","Pending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86" s="68" t="str">
        <f>IF(TRIM($A286)="","",IF($J286="Passed","",IF($J286="Passed with Known Issue","Known Issue",IF($J286="",IF(OR($H286&lt;&gt;"No",AND($F286&lt;&gt;"Medium",$F286&lt;&gt;"Low")),"Pending Result",""),IF(OR($H286&lt;&gt;"No",AND($F286&lt;&gt;"Medium",$F286&lt;&gt;"Low")),IF(COUNTIFS(Dashboard!$B$105:$B$124,$A286,Dashboard!$I$105:$I$124,"CAB")&gt;0,"Accepted (CF)","Blocking"),IF($J286="Failed","Deferrable","Carry Over"))))))</f>
        <v/>
      </c>
      <c r="M286" s="68" t="str">
        <f>IF(OR(TRIM($A286)="",TRIM($E286)=""),"",IFERROR(INDEX('E2E core flow'!$B$15:$B$1000,MATCH(1,INDEX(('E2E core flow'!$A$15:$A$1000&lt;&gt;"")*ISNUMBER(SEARCH('E2E core flow'!$A$15:$A$1000,$E286)),0),0))&amp;"","-"))</f>
        <v/>
      </c>
      <c r="N286" s="68" t="str">
        <f>IF(TRIM($A286)="","",IF($O286=0,IF(COUNTIFS('Card Test Cases'!$B$4:$B$1000,$A286,'Card Test Cases'!$A$4:$A$1000,"&lt;&gt;")&gt;0,"Out of Scope","No TC"),IF($Q286&gt;0,"Failed",IF(COUNTIFS('Card Test Cases'!$B$4:$B$1000,$A286,'Card Test Cases'!$A$4:$A$1000,"&lt;&gt;",'Card Test Cases'!$F$4:$F$1000,"Blocked")&gt;0,"Blocked",IF($R286&gt;0,"In Progress","Passed")))))</f>
        <v/>
      </c>
      <c r="O286" s="68" t="str">
        <f>IF(TRIM($A286)="","",COUNTIFS('Card Test Cases'!$B$4:$B$1000,$A286,'Card Test Cases'!$A$4:$A$1000,"&lt;&gt;",'Card Test Cases'!$F$4:$F$1000,"&lt;&gt;Out of Scope"))</f>
        <v/>
      </c>
      <c r="P286" s="68" t="str">
        <f>IF(TRIM($A286)="","",COUNTIFS('Card Test Cases'!$B$4:$B$1000,$A286,'Card Test Cases'!$A$4:$A$1000,"&lt;&gt;",'Card Test Cases'!$F$4:$F$1000,"Passed"))</f>
        <v/>
      </c>
      <c r="Q286" s="68" t="str">
        <f>IF(TRIM($A286)="","",COUNTIFS('Card Test Cases'!$B$4:$B$1000,$A286,'Card Test Cases'!$A$4:$A$1000,"&lt;&gt;",'Card Test Cases'!$F$4:$F$1000,"Failed"))</f>
        <v/>
      </c>
      <c r="R286" s="68" t="str">
        <f t="shared" si="4"/>
        <v/>
      </c>
      <c r="S286" s="68" t="str" cm="1">
        <f t="array" ref="S286">IF(TRIM($A286)="","",IFERROR(_xlfn.TEXTJOIN(", ",TRUE,_xlfn.UNIQUE(_xlfn.VSTACK(_xlfn._xlws.FILTER('Card Test Cases'!$G$4:$G$1000,('Card Test Cases'!$B$4:$B$1000=$A286)*('Card Test Cases'!$G$4:$G$1000&lt;&gt;""),""),_xlfn._xlws.FILTER('E2E core flow'!$U$15:$U$1000,('E2E core flow'!$A$15:$A$1000&lt;&gt;"")*ISNUMBER(SEARCH('E2E core flow'!$A$15:$A$1000,$E286))*('E2E core flow'!$U$15:$U$1000&lt;&gt;""),"")))),"-"))</f>
        <v/>
      </c>
    </row>
    <row r="287" spans="7:19" x14ac:dyDescent="0.3">
      <c r="G287" s="68" t="str" cm="1">
        <f t="array" ref="G287">_xlfn.LET(_xlpm.ids,'E2E core flow'!$A$15:$A$1000,_xlpm.v,'E2E core flow'!$W$15:$W$1000,_xlpm.m,(_xlpm.ids&lt;&gt;"")*ISNUMBER(SEARCH(_xlpm.ids,$E287)),_xlpm.f,SUM(_xlpm.m*(_xlpm.v="Failed")),_xlpm.b,SUM(_xlpm.m*(_xlpm.v="Blocked")),_xlpm.nr,SUM(_xlpm.m*(_xlpm.v="Not Run")),_xlpm.cp,SUM(_xlpm.m*(_xlpm.v="Conditionally Passed")),_xlpm.p,SUM(_xlpm.m*(_xlpm.v="Passed")),IF(TRIM($A287)="","",IF(TRIM($E287)="","Pending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87" s="68" t="str">
        <f>IF(TRIM($A287)="","",IF($J287="Passed","",IF($J287="Passed with Known Issue","Known Issue",IF($J287="",IF(OR($H287&lt;&gt;"No",AND($F287&lt;&gt;"Medium",$F287&lt;&gt;"Low")),"Pending Result",""),IF(OR($H287&lt;&gt;"No",AND($F287&lt;&gt;"Medium",$F287&lt;&gt;"Low")),IF(COUNTIFS(Dashboard!$B$105:$B$124,$A287,Dashboard!$I$105:$I$124,"CAB")&gt;0,"Accepted (CF)","Blocking"),IF($J287="Failed","Deferrable","Carry Over"))))))</f>
        <v/>
      </c>
      <c r="M287" s="68" t="str">
        <f>IF(OR(TRIM($A287)="",TRIM($E287)=""),"",IFERROR(INDEX('E2E core flow'!$B$15:$B$1000,MATCH(1,INDEX(('E2E core flow'!$A$15:$A$1000&lt;&gt;"")*ISNUMBER(SEARCH('E2E core flow'!$A$15:$A$1000,$E287)),0),0))&amp;"","-"))</f>
        <v/>
      </c>
      <c r="N287" s="68" t="str">
        <f>IF(TRIM($A287)="","",IF($O287=0,IF(COUNTIFS('Card Test Cases'!$B$4:$B$1000,$A287,'Card Test Cases'!$A$4:$A$1000,"&lt;&gt;")&gt;0,"Out of Scope","No TC"),IF($Q287&gt;0,"Failed",IF(COUNTIFS('Card Test Cases'!$B$4:$B$1000,$A287,'Card Test Cases'!$A$4:$A$1000,"&lt;&gt;",'Card Test Cases'!$F$4:$F$1000,"Blocked")&gt;0,"Blocked",IF($R287&gt;0,"In Progress","Passed")))))</f>
        <v/>
      </c>
      <c r="O287" s="68" t="str">
        <f>IF(TRIM($A287)="","",COUNTIFS('Card Test Cases'!$B$4:$B$1000,$A287,'Card Test Cases'!$A$4:$A$1000,"&lt;&gt;",'Card Test Cases'!$F$4:$F$1000,"&lt;&gt;Out of Scope"))</f>
        <v/>
      </c>
      <c r="P287" s="68" t="str">
        <f>IF(TRIM($A287)="","",COUNTIFS('Card Test Cases'!$B$4:$B$1000,$A287,'Card Test Cases'!$A$4:$A$1000,"&lt;&gt;",'Card Test Cases'!$F$4:$F$1000,"Passed"))</f>
        <v/>
      </c>
      <c r="Q287" s="68" t="str">
        <f>IF(TRIM($A287)="","",COUNTIFS('Card Test Cases'!$B$4:$B$1000,$A287,'Card Test Cases'!$A$4:$A$1000,"&lt;&gt;",'Card Test Cases'!$F$4:$F$1000,"Failed"))</f>
        <v/>
      </c>
      <c r="R287" s="68" t="str">
        <f t="shared" si="4"/>
        <v/>
      </c>
      <c r="S287" s="68" t="str" cm="1">
        <f t="array" ref="S287">IF(TRIM($A287)="","",IFERROR(_xlfn.TEXTJOIN(", ",TRUE,_xlfn.UNIQUE(_xlfn.VSTACK(_xlfn._xlws.FILTER('Card Test Cases'!$G$4:$G$1000,('Card Test Cases'!$B$4:$B$1000=$A287)*('Card Test Cases'!$G$4:$G$1000&lt;&gt;""),""),_xlfn._xlws.FILTER('E2E core flow'!$U$15:$U$1000,('E2E core flow'!$A$15:$A$1000&lt;&gt;"")*ISNUMBER(SEARCH('E2E core flow'!$A$15:$A$1000,$E287))*('E2E core flow'!$U$15:$U$1000&lt;&gt;""),"")))),"-"))</f>
        <v/>
      </c>
    </row>
    <row r="288" spans="7:19" x14ac:dyDescent="0.3">
      <c r="G288" s="68" t="str" cm="1">
        <f t="array" ref="G288">_xlfn.LET(_xlpm.ids,'E2E core flow'!$A$15:$A$1000,_xlpm.v,'E2E core flow'!$W$15:$W$1000,_xlpm.m,(_xlpm.ids&lt;&gt;"")*ISNUMBER(SEARCH(_xlpm.ids,$E288)),_xlpm.f,SUM(_xlpm.m*(_xlpm.v="Failed")),_xlpm.b,SUM(_xlpm.m*(_xlpm.v="Blocked")),_xlpm.nr,SUM(_xlpm.m*(_xlpm.v="Not Run")),_xlpm.cp,SUM(_xlpm.m*(_xlpm.v="Conditionally Passed")),_xlpm.p,SUM(_xlpm.m*(_xlpm.v="Passed")),IF(TRIM($A288)="","",IF(TRIM($E288)="","Pending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88" s="68" t="str">
        <f>IF(TRIM($A288)="","",IF($J288="Passed","",IF($J288="Passed with Known Issue","Known Issue",IF($J288="",IF(OR($H288&lt;&gt;"No",AND($F288&lt;&gt;"Medium",$F288&lt;&gt;"Low")),"Pending Result",""),IF(OR($H288&lt;&gt;"No",AND($F288&lt;&gt;"Medium",$F288&lt;&gt;"Low")),IF(COUNTIFS(Dashboard!$B$105:$B$124,$A288,Dashboard!$I$105:$I$124,"CAB")&gt;0,"Accepted (CF)","Blocking"),IF($J288="Failed","Deferrable","Carry Over"))))))</f>
        <v/>
      </c>
      <c r="M288" s="68" t="str">
        <f>IF(OR(TRIM($A288)="",TRIM($E288)=""),"",IFERROR(INDEX('E2E core flow'!$B$15:$B$1000,MATCH(1,INDEX(('E2E core flow'!$A$15:$A$1000&lt;&gt;"")*ISNUMBER(SEARCH('E2E core flow'!$A$15:$A$1000,$E288)),0),0))&amp;"","-"))</f>
        <v/>
      </c>
      <c r="N288" s="68" t="str">
        <f>IF(TRIM($A288)="","",IF($O288=0,IF(COUNTIFS('Card Test Cases'!$B$4:$B$1000,$A288,'Card Test Cases'!$A$4:$A$1000,"&lt;&gt;")&gt;0,"Out of Scope","No TC"),IF($Q288&gt;0,"Failed",IF(COUNTIFS('Card Test Cases'!$B$4:$B$1000,$A288,'Card Test Cases'!$A$4:$A$1000,"&lt;&gt;",'Card Test Cases'!$F$4:$F$1000,"Blocked")&gt;0,"Blocked",IF($R288&gt;0,"In Progress","Passed")))))</f>
        <v/>
      </c>
      <c r="O288" s="68" t="str">
        <f>IF(TRIM($A288)="","",COUNTIFS('Card Test Cases'!$B$4:$B$1000,$A288,'Card Test Cases'!$A$4:$A$1000,"&lt;&gt;",'Card Test Cases'!$F$4:$F$1000,"&lt;&gt;Out of Scope"))</f>
        <v/>
      </c>
      <c r="P288" s="68" t="str">
        <f>IF(TRIM($A288)="","",COUNTIFS('Card Test Cases'!$B$4:$B$1000,$A288,'Card Test Cases'!$A$4:$A$1000,"&lt;&gt;",'Card Test Cases'!$F$4:$F$1000,"Passed"))</f>
        <v/>
      </c>
      <c r="Q288" s="68" t="str">
        <f>IF(TRIM($A288)="","",COUNTIFS('Card Test Cases'!$B$4:$B$1000,$A288,'Card Test Cases'!$A$4:$A$1000,"&lt;&gt;",'Card Test Cases'!$F$4:$F$1000,"Failed"))</f>
        <v/>
      </c>
      <c r="R288" s="68" t="str">
        <f t="shared" si="4"/>
        <v/>
      </c>
      <c r="S288" s="68" t="str" cm="1">
        <f t="array" ref="S288">IF(TRIM($A288)="","",IFERROR(_xlfn.TEXTJOIN(", ",TRUE,_xlfn.UNIQUE(_xlfn.VSTACK(_xlfn._xlws.FILTER('Card Test Cases'!$G$4:$G$1000,('Card Test Cases'!$B$4:$B$1000=$A288)*('Card Test Cases'!$G$4:$G$1000&lt;&gt;""),""),_xlfn._xlws.FILTER('E2E core flow'!$U$15:$U$1000,('E2E core flow'!$A$15:$A$1000&lt;&gt;"")*ISNUMBER(SEARCH('E2E core flow'!$A$15:$A$1000,$E288))*('E2E core flow'!$U$15:$U$1000&lt;&gt;""),"")))),"-"))</f>
        <v/>
      </c>
    </row>
    <row r="289" spans="7:19" x14ac:dyDescent="0.3">
      <c r="G289" s="68" t="str" cm="1">
        <f t="array" ref="G289">_xlfn.LET(_xlpm.ids,'E2E core flow'!$A$15:$A$1000,_xlpm.v,'E2E core flow'!$W$15:$W$1000,_xlpm.m,(_xlpm.ids&lt;&gt;"")*ISNUMBER(SEARCH(_xlpm.ids,$E289)),_xlpm.f,SUM(_xlpm.m*(_xlpm.v="Failed")),_xlpm.b,SUM(_xlpm.m*(_xlpm.v="Blocked")),_xlpm.nr,SUM(_xlpm.m*(_xlpm.v="Not Run")),_xlpm.cp,SUM(_xlpm.m*(_xlpm.v="Conditionally Passed")),_xlpm.p,SUM(_xlpm.m*(_xlpm.v="Passed")),IF(TRIM($A289)="","",IF(TRIM($E289)="","Pending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89" s="68" t="str">
        <f>IF(TRIM($A289)="","",IF($J289="Passed","",IF($J289="Passed with Known Issue","Known Issue",IF($J289="",IF(OR($H289&lt;&gt;"No",AND($F289&lt;&gt;"Medium",$F289&lt;&gt;"Low")),"Pending Result",""),IF(OR($H289&lt;&gt;"No",AND($F289&lt;&gt;"Medium",$F289&lt;&gt;"Low")),IF(COUNTIFS(Dashboard!$B$105:$B$124,$A289,Dashboard!$I$105:$I$124,"CAB")&gt;0,"Accepted (CF)","Blocking"),IF($J289="Failed","Deferrable","Carry Over"))))))</f>
        <v/>
      </c>
      <c r="M289" s="68" t="str">
        <f>IF(OR(TRIM($A289)="",TRIM($E289)=""),"",IFERROR(INDEX('E2E core flow'!$B$15:$B$1000,MATCH(1,INDEX(('E2E core flow'!$A$15:$A$1000&lt;&gt;"")*ISNUMBER(SEARCH('E2E core flow'!$A$15:$A$1000,$E289)),0),0))&amp;"","-"))</f>
        <v/>
      </c>
      <c r="N289" s="68" t="str">
        <f>IF(TRIM($A289)="","",IF($O289=0,IF(COUNTIFS('Card Test Cases'!$B$4:$B$1000,$A289,'Card Test Cases'!$A$4:$A$1000,"&lt;&gt;")&gt;0,"Out of Scope","No TC"),IF($Q289&gt;0,"Failed",IF(COUNTIFS('Card Test Cases'!$B$4:$B$1000,$A289,'Card Test Cases'!$A$4:$A$1000,"&lt;&gt;",'Card Test Cases'!$F$4:$F$1000,"Blocked")&gt;0,"Blocked",IF($R289&gt;0,"In Progress","Passed")))))</f>
        <v/>
      </c>
      <c r="O289" s="68" t="str">
        <f>IF(TRIM($A289)="","",COUNTIFS('Card Test Cases'!$B$4:$B$1000,$A289,'Card Test Cases'!$A$4:$A$1000,"&lt;&gt;",'Card Test Cases'!$F$4:$F$1000,"&lt;&gt;Out of Scope"))</f>
        <v/>
      </c>
      <c r="P289" s="68" t="str">
        <f>IF(TRIM($A289)="","",COUNTIFS('Card Test Cases'!$B$4:$B$1000,$A289,'Card Test Cases'!$A$4:$A$1000,"&lt;&gt;",'Card Test Cases'!$F$4:$F$1000,"Passed"))</f>
        <v/>
      </c>
      <c r="Q289" s="68" t="str">
        <f>IF(TRIM($A289)="","",COUNTIFS('Card Test Cases'!$B$4:$B$1000,$A289,'Card Test Cases'!$A$4:$A$1000,"&lt;&gt;",'Card Test Cases'!$F$4:$F$1000,"Failed"))</f>
        <v/>
      </c>
      <c r="R289" s="68" t="str">
        <f t="shared" si="4"/>
        <v/>
      </c>
      <c r="S289" s="68" t="str" cm="1">
        <f t="array" ref="S289">IF(TRIM($A289)="","",IFERROR(_xlfn.TEXTJOIN(", ",TRUE,_xlfn.UNIQUE(_xlfn.VSTACK(_xlfn._xlws.FILTER('Card Test Cases'!$G$4:$G$1000,('Card Test Cases'!$B$4:$B$1000=$A289)*('Card Test Cases'!$G$4:$G$1000&lt;&gt;""),""),_xlfn._xlws.FILTER('E2E core flow'!$U$15:$U$1000,('E2E core flow'!$A$15:$A$1000&lt;&gt;"")*ISNUMBER(SEARCH('E2E core flow'!$A$15:$A$1000,$E289))*('E2E core flow'!$U$15:$U$1000&lt;&gt;""),"")))),"-"))</f>
        <v/>
      </c>
    </row>
    <row r="290" spans="7:19" x14ac:dyDescent="0.3">
      <c r="G290" s="68" t="str" cm="1">
        <f t="array" ref="G290">_xlfn.LET(_xlpm.ids,'E2E core flow'!$A$15:$A$1000,_xlpm.v,'E2E core flow'!$W$15:$W$1000,_xlpm.m,(_xlpm.ids&lt;&gt;"")*ISNUMBER(SEARCH(_xlpm.ids,$E290)),_xlpm.f,SUM(_xlpm.m*(_xlpm.v="Failed")),_xlpm.b,SUM(_xlpm.m*(_xlpm.v="Blocked")),_xlpm.nr,SUM(_xlpm.m*(_xlpm.v="Not Run")),_xlpm.cp,SUM(_xlpm.m*(_xlpm.v="Conditionally Passed")),_xlpm.p,SUM(_xlpm.m*(_xlpm.v="Passed")),IF(TRIM($A290)="","",IF(TRIM($E290)="","Pending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90" s="68" t="str">
        <f>IF(TRIM($A290)="","",IF($J290="Passed","",IF($J290="Passed with Known Issue","Known Issue",IF($J290="",IF(OR($H290&lt;&gt;"No",AND($F290&lt;&gt;"Medium",$F290&lt;&gt;"Low")),"Pending Result",""),IF(OR($H290&lt;&gt;"No",AND($F290&lt;&gt;"Medium",$F290&lt;&gt;"Low")),IF(COUNTIFS(Dashboard!$B$105:$B$124,$A290,Dashboard!$I$105:$I$124,"CAB")&gt;0,"Accepted (CF)","Blocking"),IF($J290="Failed","Deferrable","Carry Over"))))))</f>
        <v/>
      </c>
      <c r="M290" s="68" t="str">
        <f>IF(OR(TRIM($A290)="",TRIM($E290)=""),"",IFERROR(INDEX('E2E core flow'!$B$15:$B$1000,MATCH(1,INDEX(('E2E core flow'!$A$15:$A$1000&lt;&gt;"")*ISNUMBER(SEARCH('E2E core flow'!$A$15:$A$1000,$E290)),0),0))&amp;"","-"))</f>
        <v/>
      </c>
      <c r="N290" s="68" t="str">
        <f>IF(TRIM($A290)="","",IF($O290=0,IF(COUNTIFS('Card Test Cases'!$B$4:$B$1000,$A290,'Card Test Cases'!$A$4:$A$1000,"&lt;&gt;")&gt;0,"Out of Scope","No TC"),IF($Q290&gt;0,"Failed",IF(COUNTIFS('Card Test Cases'!$B$4:$B$1000,$A290,'Card Test Cases'!$A$4:$A$1000,"&lt;&gt;",'Card Test Cases'!$F$4:$F$1000,"Blocked")&gt;0,"Blocked",IF($R290&gt;0,"In Progress","Passed")))))</f>
        <v/>
      </c>
      <c r="O290" s="68" t="str">
        <f>IF(TRIM($A290)="","",COUNTIFS('Card Test Cases'!$B$4:$B$1000,$A290,'Card Test Cases'!$A$4:$A$1000,"&lt;&gt;",'Card Test Cases'!$F$4:$F$1000,"&lt;&gt;Out of Scope"))</f>
        <v/>
      </c>
      <c r="P290" s="68" t="str">
        <f>IF(TRIM($A290)="","",COUNTIFS('Card Test Cases'!$B$4:$B$1000,$A290,'Card Test Cases'!$A$4:$A$1000,"&lt;&gt;",'Card Test Cases'!$F$4:$F$1000,"Passed"))</f>
        <v/>
      </c>
      <c r="Q290" s="68" t="str">
        <f>IF(TRIM($A290)="","",COUNTIFS('Card Test Cases'!$B$4:$B$1000,$A290,'Card Test Cases'!$A$4:$A$1000,"&lt;&gt;",'Card Test Cases'!$F$4:$F$1000,"Failed"))</f>
        <v/>
      </c>
      <c r="R290" s="68" t="str">
        <f t="shared" si="4"/>
        <v/>
      </c>
      <c r="S290" s="68" t="str" cm="1">
        <f t="array" ref="S290">IF(TRIM($A290)="","",IFERROR(_xlfn.TEXTJOIN(", ",TRUE,_xlfn.UNIQUE(_xlfn.VSTACK(_xlfn._xlws.FILTER('Card Test Cases'!$G$4:$G$1000,('Card Test Cases'!$B$4:$B$1000=$A290)*('Card Test Cases'!$G$4:$G$1000&lt;&gt;""),""),_xlfn._xlws.FILTER('E2E core flow'!$U$15:$U$1000,('E2E core flow'!$A$15:$A$1000&lt;&gt;"")*ISNUMBER(SEARCH('E2E core flow'!$A$15:$A$1000,$E290))*('E2E core flow'!$U$15:$U$1000&lt;&gt;""),"")))),"-"))</f>
        <v/>
      </c>
    </row>
    <row r="291" spans="7:19" x14ac:dyDescent="0.3">
      <c r="G291" s="68" t="str" cm="1">
        <f t="array" ref="G291">_xlfn.LET(_xlpm.ids,'E2E core flow'!$A$15:$A$1000,_xlpm.v,'E2E core flow'!$W$15:$W$1000,_xlpm.m,(_xlpm.ids&lt;&gt;"")*ISNUMBER(SEARCH(_xlpm.ids,$E291)),_xlpm.f,SUM(_xlpm.m*(_xlpm.v="Failed")),_xlpm.b,SUM(_xlpm.m*(_xlpm.v="Blocked")),_xlpm.nr,SUM(_xlpm.m*(_xlpm.v="Not Run")),_xlpm.cp,SUM(_xlpm.m*(_xlpm.v="Conditionally Passed")),_xlpm.p,SUM(_xlpm.m*(_xlpm.v="Passed")),IF(TRIM($A291)="","",IF(TRIM($E291)="","Pending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91" s="68" t="str">
        <f>IF(TRIM($A291)="","",IF($J291="Passed","",IF($J291="Passed with Known Issue","Known Issue",IF($J291="",IF(OR($H291&lt;&gt;"No",AND($F291&lt;&gt;"Medium",$F291&lt;&gt;"Low")),"Pending Result",""),IF(OR($H291&lt;&gt;"No",AND($F291&lt;&gt;"Medium",$F291&lt;&gt;"Low")),IF(COUNTIFS(Dashboard!$B$105:$B$124,$A291,Dashboard!$I$105:$I$124,"CAB")&gt;0,"Accepted (CF)","Blocking"),IF($J291="Failed","Deferrable","Carry Over"))))))</f>
        <v/>
      </c>
      <c r="M291" s="68" t="str">
        <f>IF(OR(TRIM($A291)="",TRIM($E291)=""),"",IFERROR(INDEX('E2E core flow'!$B$15:$B$1000,MATCH(1,INDEX(('E2E core flow'!$A$15:$A$1000&lt;&gt;"")*ISNUMBER(SEARCH('E2E core flow'!$A$15:$A$1000,$E291)),0),0))&amp;"","-"))</f>
        <v/>
      </c>
      <c r="N291" s="68" t="str">
        <f>IF(TRIM($A291)="","",IF($O291=0,IF(COUNTIFS('Card Test Cases'!$B$4:$B$1000,$A291,'Card Test Cases'!$A$4:$A$1000,"&lt;&gt;")&gt;0,"Out of Scope","No TC"),IF($Q291&gt;0,"Failed",IF(COUNTIFS('Card Test Cases'!$B$4:$B$1000,$A291,'Card Test Cases'!$A$4:$A$1000,"&lt;&gt;",'Card Test Cases'!$F$4:$F$1000,"Blocked")&gt;0,"Blocked",IF($R291&gt;0,"In Progress","Passed")))))</f>
        <v/>
      </c>
      <c r="O291" s="68" t="str">
        <f>IF(TRIM($A291)="","",COUNTIFS('Card Test Cases'!$B$4:$B$1000,$A291,'Card Test Cases'!$A$4:$A$1000,"&lt;&gt;",'Card Test Cases'!$F$4:$F$1000,"&lt;&gt;Out of Scope"))</f>
        <v/>
      </c>
      <c r="P291" s="68" t="str">
        <f>IF(TRIM($A291)="","",COUNTIFS('Card Test Cases'!$B$4:$B$1000,$A291,'Card Test Cases'!$A$4:$A$1000,"&lt;&gt;",'Card Test Cases'!$F$4:$F$1000,"Passed"))</f>
        <v/>
      </c>
      <c r="Q291" s="68" t="str">
        <f>IF(TRIM($A291)="","",COUNTIFS('Card Test Cases'!$B$4:$B$1000,$A291,'Card Test Cases'!$A$4:$A$1000,"&lt;&gt;",'Card Test Cases'!$F$4:$F$1000,"Failed"))</f>
        <v/>
      </c>
      <c r="R291" s="68" t="str">
        <f t="shared" si="4"/>
        <v/>
      </c>
      <c r="S291" s="68" t="str" cm="1">
        <f t="array" ref="S291">IF(TRIM($A291)="","",IFERROR(_xlfn.TEXTJOIN(", ",TRUE,_xlfn.UNIQUE(_xlfn.VSTACK(_xlfn._xlws.FILTER('Card Test Cases'!$G$4:$G$1000,('Card Test Cases'!$B$4:$B$1000=$A291)*('Card Test Cases'!$G$4:$G$1000&lt;&gt;""),""),_xlfn._xlws.FILTER('E2E core flow'!$U$15:$U$1000,('E2E core flow'!$A$15:$A$1000&lt;&gt;"")*ISNUMBER(SEARCH('E2E core flow'!$A$15:$A$1000,$E291))*('E2E core flow'!$U$15:$U$1000&lt;&gt;""),"")))),"-"))</f>
        <v/>
      </c>
    </row>
    <row r="292" spans="7:19" x14ac:dyDescent="0.3">
      <c r="G292" s="68" t="str" cm="1">
        <f t="array" ref="G292">_xlfn.LET(_xlpm.ids,'E2E core flow'!$A$15:$A$1000,_xlpm.v,'E2E core flow'!$W$15:$W$1000,_xlpm.m,(_xlpm.ids&lt;&gt;"")*ISNUMBER(SEARCH(_xlpm.ids,$E292)),_xlpm.f,SUM(_xlpm.m*(_xlpm.v="Failed")),_xlpm.b,SUM(_xlpm.m*(_xlpm.v="Blocked")),_xlpm.nr,SUM(_xlpm.m*(_xlpm.v="Not Run")),_xlpm.cp,SUM(_xlpm.m*(_xlpm.v="Conditionally Passed")),_xlpm.p,SUM(_xlpm.m*(_xlpm.v="Passed")),IF(TRIM($A292)="","",IF(TRIM($E292)="","Pending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92" s="68" t="str">
        <f>IF(TRIM($A292)="","",IF($J292="Passed","",IF($J292="Passed with Known Issue","Known Issue",IF($J292="",IF(OR($H292&lt;&gt;"No",AND($F292&lt;&gt;"Medium",$F292&lt;&gt;"Low")),"Pending Result",""),IF(OR($H292&lt;&gt;"No",AND($F292&lt;&gt;"Medium",$F292&lt;&gt;"Low")),IF(COUNTIFS(Dashboard!$B$105:$B$124,$A292,Dashboard!$I$105:$I$124,"CAB")&gt;0,"Accepted (CF)","Blocking"),IF($J292="Failed","Deferrable","Carry Over"))))))</f>
        <v/>
      </c>
      <c r="M292" s="68" t="str">
        <f>IF(OR(TRIM($A292)="",TRIM($E292)=""),"",IFERROR(INDEX('E2E core flow'!$B$15:$B$1000,MATCH(1,INDEX(('E2E core flow'!$A$15:$A$1000&lt;&gt;"")*ISNUMBER(SEARCH('E2E core flow'!$A$15:$A$1000,$E292)),0),0))&amp;"","-"))</f>
        <v/>
      </c>
      <c r="N292" s="68" t="str">
        <f>IF(TRIM($A292)="","",IF($O292=0,IF(COUNTIFS('Card Test Cases'!$B$4:$B$1000,$A292,'Card Test Cases'!$A$4:$A$1000,"&lt;&gt;")&gt;0,"Out of Scope","No TC"),IF($Q292&gt;0,"Failed",IF(COUNTIFS('Card Test Cases'!$B$4:$B$1000,$A292,'Card Test Cases'!$A$4:$A$1000,"&lt;&gt;",'Card Test Cases'!$F$4:$F$1000,"Blocked")&gt;0,"Blocked",IF($R292&gt;0,"In Progress","Passed")))))</f>
        <v/>
      </c>
      <c r="O292" s="68" t="str">
        <f>IF(TRIM($A292)="","",COUNTIFS('Card Test Cases'!$B$4:$B$1000,$A292,'Card Test Cases'!$A$4:$A$1000,"&lt;&gt;",'Card Test Cases'!$F$4:$F$1000,"&lt;&gt;Out of Scope"))</f>
        <v/>
      </c>
      <c r="P292" s="68" t="str">
        <f>IF(TRIM($A292)="","",COUNTIFS('Card Test Cases'!$B$4:$B$1000,$A292,'Card Test Cases'!$A$4:$A$1000,"&lt;&gt;",'Card Test Cases'!$F$4:$F$1000,"Passed"))</f>
        <v/>
      </c>
      <c r="Q292" s="68" t="str">
        <f>IF(TRIM($A292)="","",COUNTIFS('Card Test Cases'!$B$4:$B$1000,$A292,'Card Test Cases'!$A$4:$A$1000,"&lt;&gt;",'Card Test Cases'!$F$4:$F$1000,"Failed"))</f>
        <v/>
      </c>
      <c r="R292" s="68" t="str">
        <f t="shared" si="4"/>
        <v/>
      </c>
      <c r="S292" s="68" t="str" cm="1">
        <f t="array" ref="S292">IF(TRIM($A292)="","",IFERROR(_xlfn.TEXTJOIN(", ",TRUE,_xlfn.UNIQUE(_xlfn.VSTACK(_xlfn._xlws.FILTER('Card Test Cases'!$G$4:$G$1000,('Card Test Cases'!$B$4:$B$1000=$A292)*('Card Test Cases'!$G$4:$G$1000&lt;&gt;""),""),_xlfn._xlws.FILTER('E2E core flow'!$U$15:$U$1000,('E2E core flow'!$A$15:$A$1000&lt;&gt;"")*ISNUMBER(SEARCH('E2E core flow'!$A$15:$A$1000,$E292))*('E2E core flow'!$U$15:$U$1000&lt;&gt;""),"")))),"-"))</f>
        <v/>
      </c>
    </row>
    <row r="293" spans="7:19" x14ac:dyDescent="0.3">
      <c r="G293" s="68" t="str" cm="1">
        <f t="array" ref="G293">_xlfn.LET(_xlpm.ids,'E2E core flow'!$A$15:$A$1000,_xlpm.v,'E2E core flow'!$W$15:$W$1000,_xlpm.m,(_xlpm.ids&lt;&gt;"")*ISNUMBER(SEARCH(_xlpm.ids,$E293)),_xlpm.f,SUM(_xlpm.m*(_xlpm.v="Failed")),_xlpm.b,SUM(_xlpm.m*(_xlpm.v="Blocked")),_xlpm.nr,SUM(_xlpm.m*(_xlpm.v="Not Run")),_xlpm.cp,SUM(_xlpm.m*(_xlpm.v="Conditionally Passed")),_xlpm.p,SUM(_xlpm.m*(_xlpm.v="Passed")),IF(TRIM($A293)="","",IF(TRIM($E293)="","Pending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93" s="68" t="str">
        <f>IF(TRIM($A293)="","",IF($J293="Passed","",IF($J293="Passed with Known Issue","Known Issue",IF($J293="",IF(OR($H293&lt;&gt;"No",AND($F293&lt;&gt;"Medium",$F293&lt;&gt;"Low")),"Pending Result",""),IF(OR($H293&lt;&gt;"No",AND($F293&lt;&gt;"Medium",$F293&lt;&gt;"Low")),IF(COUNTIFS(Dashboard!$B$105:$B$124,$A293,Dashboard!$I$105:$I$124,"CAB")&gt;0,"Accepted (CF)","Blocking"),IF($J293="Failed","Deferrable","Carry Over"))))))</f>
        <v/>
      </c>
      <c r="M293" s="68" t="str">
        <f>IF(OR(TRIM($A293)="",TRIM($E293)=""),"",IFERROR(INDEX('E2E core flow'!$B$15:$B$1000,MATCH(1,INDEX(('E2E core flow'!$A$15:$A$1000&lt;&gt;"")*ISNUMBER(SEARCH('E2E core flow'!$A$15:$A$1000,$E293)),0),0))&amp;"","-"))</f>
        <v/>
      </c>
      <c r="N293" s="68" t="str">
        <f>IF(TRIM($A293)="","",IF($O293=0,IF(COUNTIFS('Card Test Cases'!$B$4:$B$1000,$A293,'Card Test Cases'!$A$4:$A$1000,"&lt;&gt;")&gt;0,"Out of Scope","No TC"),IF($Q293&gt;0,"Failed",IF(COUNTIFS('Card Test Cases'!$B$4:$B$1000,$A293,'Card Test Cases'!$A$4:$A$1000,"&lt;&gt;",'Card Test Cases'!$F$4:$F$1000,"Blocked")&gt;0,"Blocked",IF($R293&gt;0,"In Progress","Passed")))))</f>
        <v/>
      </c>
      <c r="O293" s="68" t="str">
        <f>IF(TRIM($A293)="","",COUNTIFS('Card Test Cases'!$B$4:$B$1000,$A293,'Card Test Cases'!$A$4:$A$1000,"&lt;&gt;",'Card Test Cases'!$F$4:$F$1000,"&lt;&gt;Out of Scope"))</f>
        <v/>
      </c>
      <c r="P293" s="68" t="str">
        <f>IF(TRIM($A293)="","",COUNTIFS('Card Test Cases'!$B$4:$B$1000,$A293,'Card Test Cases'!$A$4:$A$1000,"&lt;&gt;",'Card Test Cases'!$F$4:$F$1000,"Passed"))</f>
        <v/>
      </c>
      <c r="Q293" s="68" t="str">
        <f>IF(TRIM($A293)="","",COUNTIFS('Card Test Cases'!$B$4:$B$1000,$A293,'Card Test Cases'!$A$4:$A$1000,"&lt;&gt;",'Card Test Cases'!$F$4:$F$1000,"Failed"))</f>
        <v/>
      </c>
      <c r="R293" s="68" t="str">
        <f t="shared" si="4"/>
        <v/>
      </c>
      <c r="S293" s="68" t="str" cm="1">
        <f t="array" ref="S293">IF(TRIM($A293)="","",IFERROR(_xlfn.TEXTJOIN(", ",TRUE,_xlfn.UNIQUE(_xlfn.VSTACK(_xlfn._xlws.FILTER('Card Test Cases'!$G$4:$G$1000,('Card Test Cases'!$B$4:$B$1000=$A293)*('Card Test Cases'!$G$4:$G$1000&lt;&gt;""),""),_xlfn._xlws.FILTER('E2E core flow'!$U$15:$U$1000,('E2E core flow'!$A$15:$A$1000&lt;&gt;"")*ISNUMBER(SEARCH('E2E core flow'!$A$15:$A$1000,$E293))*('E2E core flow'!$U$15:$U$1000&lt;&gt;""),"")))),"-"))</f>
        <v/>
      </c>
    </row>
    <row r="294" spans="7:19" x14ac:dyDescent="0.3">
      <c r="G294" s="68" t="str" cm="1">
        <f t="array" ref="G294">_xlfn.LET(_xlpm.ids,'E2E core flow'!$A$15:$A$1000,_xlpm.v,'E2E core flow'!$W$15:$W$1000,_xlpm.m,(_xlpm.ids&lt;&gt;"")*ISNUMBER(SEARCH(_xlpm.ids,$E294)),_xlpm.f,SUM(_xlpm.m*(_xlpm.v="Failed")),_xlpm.b,SUM(_xlpm.m*(_xlpm.v="Blocked")),_xlpm.nr,SUM(_xlpm.m*(_xlpm.v="Not Run")),_xlpm.cp,SUM(_xlpm.m*(_xlpm.v="Conditionally Passed")),_xlpm.p,SUM(_xlpm.m*(_xlpm.v="Passed")),IF(TRIM($A294)="","",IF(TRIM($E294)="","Pending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94" s="68" t="str">
        <f>IF(TRIM($A294)="","",IF($J294="Passed","",IF($J294="Passed with Known Issue","Known Issue",IF($J294="",IF(OR($H294&lt;&gt;"No",AND($F294&lt;&gt;"Medium",$F294&lt;&gt;"Low")),"Pending Result",""),IF(OR($H294&lt;&gt;"No",AND($F294&lt;&gt;"Medium",$F294&lt;&gt;"Low")),IF(COUNTIFS(Dashboard!$B$105:$B$124,$A294,Dashboard!$I$105:$I$124,"CAB")&gt;0,"Accepted (CF)","Blocking"),IF($J294="Failed","Deferrable","Carry Over"))))))</f>
        <v/>
      </c>
      <c r="M294" s="68" t="str">
        <f>IF(OR(TRIM($A294)="",TRIM($E294)=""),"",IFERROR(INDEX('E2E core flow'!$B$15:$B$1000,MATCH(1,INDEX(('E2E core flow'!$A$15:$A$1000&lt;&gt;"")*ISNUMBER(SEARCH('E2E core flow'!$A$15:$A$1000,$E294)),0),0))&amp;"","-"))</f>
        <v/>
      </c>
      <c r="N294" s="68" t="str">
        <f>IF(TRIM($A294)="","",IF($O294=0,IF(COUNTIFS('Card Test Cases'!$B$4:$B$1000,$A294,'Card Test Cases'!$A$4:$A$1000,"&lt;&gt;")&gt;0,"Out of Scope","No TC"),IF($Q294&gt;0,"Failed",IF(COUNTIFS('Card Test Cases'!$B$4:$B$1000,$A294,'Card Test Cases'!$A$4:$A$1000,"&lt;&gt;",'Card Test Cases'!$F$4:$F$1000,"Blocked")&gt;0,"Blocked",IF($R294&gt;0,"In Progress","Passed")))))</f>
        <v/>
      </c>
      <c r="O294" s="68" t="str">
        <f>IF(TRIM($A294)="","",COUNTIFS('Card Test Cases'!$B$4:$B$1000,$A294,'Card Test Cases'!$A$4:$A$1000,"&lt;&gt;",'Card Test Cases'!$F$4:$F$1000,"&lt;&gt;Out of Scope"))</f>
        <v/>
      </c>
      <c r="P294" s="68" t="str">
        <f>IF(TRIM($A294)="","",COUNTIFS('Card Test Cases'!$B$4:$B$1000,$A294,'Card Test Cases'!$A$4:$A$1000,"&lt;&gt;",'Card Test Cases'!$F$4:$F$1000,"Passed"))</f>
        <v/>
      </c>
      <c r="Q294" s="68" t="str">
        <f>IF(TRIM($A294)="","",COUNTIFS('Card Test Cases'!$B$4:$B$1000,$A294,'Card Test Cases'!$A$4:$A$1000,"&lt;&gt;",'Card Test Cases'!$F$4:$F$1000,"Failed"))</f>
        <v/>
      </c>
      <c r="R294" s="68" t="str">
        <f t="shared" si="4"/>
        <v/>
      </c>
      <c r="S294" s="68" t="str" cm="1">
        <f t="array" ref="S294">IF(TRIM($A294)="","",IFERROR(_xlfn.TEXTJOIN(", ",TRUE,_xlfn.UNIQUE(_xlfn.VSTACK(_xlfn._xlws.FILTER('Card Test Cases'!$G$4:$G$1000,('Card Test Cases'!$B$4:$B$1000=$A294)*('Card Test Cases'!$G$4:$G$1000&lt;&gt;""),""),_xlfn._xlws.FILTER('E2E core flow'!$U$15:$U$1000,('E2E core flow'!$A$15:$A$1000&lt;&gt;"")*ISNUMBER(SEARCH('E2E core flow'!$A$15:$A$1000,$E294))*('E2E core flow'!$U$15:$U$1000&lt;&gt;""),"")))),"-"))</f>
        <v/>
      </c>
    </row>
    <row r="295" spans="7:19" x14ac:dyDescent="0.3">
      <c r="G295" s="68" t="str" cm="1">
        <f t="array" ref="G295">_xlfn.LET(_xlpm.ids,'E2E core flow'!$A$15:$A$1000,_xlpm.v,'E2E core flow'!$W$15:$W$1000,_xlpm.m,(_xlpm.ids&lt;&gt;"")*ISNUMBER(SEARCH(_xlpm.ids,$E295)),_xlpm.f,SUM(_xlpm.m*(_xlpm.v="Failed")),_xlpm.b,SUM(_xlpm.m*(_xlpm.v="Blocked")),_xlpm.nr,SUM(_xlpm.m*(_xlpm.v="Not Run")),_xlpm.cp,SUM(_xlpm.m*(_xlpm.v="Conditionally Passed")),_xlpm.p,SUM(_xlpm.m*(_xlpm.v="Passed")),IF(TRIM($A295)="","",IF(TRIM($E295)="","Pending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95" s="68" t="str">
        <f>IF(TRIM($A295)="","",IF($J295="Passed","",IF($J295="Passed with Known Issue","Known Issue",IF($J295="",IF(OR($H295&lt;&gt;"No",AND($F295&lt;&gt;"Medium",$F295&lt;&gt;"Low")),"Pending Result",""),IF(OR($H295&lt;&gt;"No",AND($F295&lt;&gt;"Medium",$F295&lt;&gt;"Low")),IF(COUNTIFS(Dashboard!$B$105:$B$124,$A295,Dashboard!$I$105:$I$124,"CAB")&gt;0,"Accepted (CF)","Blocking"),IF($J295="Failed","Deferrable","Carry Over"))))))</f>
        <v/>
      </c>
      <c r="M295" s="68" t="str">
        <f>IF(OR(TRIM($A295)="",TRIM($E295)=""),"",IFERROR(INDEX('E2E core flow'!$B$15:$B$1000,MATCH(1,INDEX(('E2E core flow'!$A$15:$A$1000&lt;&gt;"")*ISNUMBER(SEARCH('E2E core flow'!$A$15:$A$1000,$E295)),0),0))&amp;"","-"))</f>
        <v/>
      </c>
      <c r="N295" s="68" t="str">
        <f>IF(TRIM($A295)="","",IF($O295=0,IF(COUNTIFS('Card Test Cases'!$B$4:$B$1000,$A295,'Card Test Cases'!$A$4:$A$1000,"&lt;&gt;")&gt;0,"Out of Scope","No TC"),IF($Q295&gt;0,"Failed",IF(COUNTIFS('Card Test Cases'!$B$4:$B$1000,$A295,'Card Test Cases'!$A$4:$A$1000,"&lt;&gt;",'Card Test Cases'!$F$4:$F$1000,"Blocked")&gt;0,"Blocked",IF($R295&gt;0,"In Progress","Passed")))))</f>
        <v/>
      </c>
      <c r="O295" s="68" t="str">
        <f>IF(TRIM($A295)="","",COUNTIFS('Card Test Cases'!$B$4:$B$1000,$A295,'Card Test Cases'!$A$4:$A$1000,"&lt;&gt;",'Card Test Cases'!$F$4:$F$1000,"&lt;&gt;Out of Scope"))</f>
        <v/>
      </c>
      <c r="P295" s="68" t="str">
        <f>IF(TRIM($A295)="","",COUNTIFS('Card Test Cases'!$B$4:$B$1000,$A295,'Card Test Cases'!$A$4:$A$1000,"&lt;&gt;",'Card Test Cases'!$F$4:$F$1000,"Passed"))</f>
        <v/>
      </c>
      <c r="Q295" s="68" t="str">
        <f>IF(TRIM($A295)="","",COUNTIFS('Card Test Cases'!$B$4:$B$1000,$A295,'Card Test Cases'!$A$4:$A$1000,"&lt;&gt;",'Card Test Cases'!$F$4:$F$1000,"Failed"))</f>
        <v/>
      </c>
      <c r="R295" s="68" t="str">
        <f t="shared" si="4"/>
        <v/>
      </c>
      <c r="S295" s="68" t="str" cm="1">
        <f t="array" ref="S295">IF(TRIM($A295)="","",IFERROR(_xlfn.TEXTJOIN(", ",TRUE,_xlfn.UNIQUE(_xlfn.VSTACK(_xlfn._xlws.FILTER('Card Test Cases'!$G$4:$G$1000,('Card Test Cases'!$B$4:$B$1000=$A295)*('Card Test Cases'!$G$4:$G$1000&lt;&gt;""),""),_xlfn._xlws.FILTER('E2E core flow'!$U$15:$U$1000,('E2E core flow'!$A$15:$A$1000&lt;&gt;"")*ISNUMBER(SEARCH('E2E core flow'!$A$15:$A$1000,$E295))*('E2E core flow'!$U$15:$U$1000&lt;&gt;""),"")))),"-"))</f>
        <v/>
      </c>
    </row>
    <row r="296" spans="7:19" x14ac:dyDescent="0.3">
      <c r="G296" s="68" t="str" cm="1">
        <f t="array" ref="G296">_xlfn.LET(_xlpm.ids,'E2E core flow'!$A$15:$A$1000,_xlpm.v,'E2E core flow'!$W$15:$W$1000,_xlpm.m,(_xlpm.ids&lt;&gt;"")*ISNUMBER(SEARCH(_xlpm.ids,$E296)),_xlpm.f,SUM(_xlpm.m*(_xlpm.v="Failed")),_xlpm.b,SUM(_xlpm.m*(_xlpm.v="Blocked")),_xlpm.nr,SUM(_xlpm.m*(_xlpm.v="Not Run")),_xlpm.cp,SUM(_xlpm.m*(_xlpm.v="Conditionally Passed")),_xlpm.p,SUM(_xlpm.m*(_xlpm.v="Passed")),IF(TRIM($A296)="","",IF(TRIM($E296)="","Pending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96" s="68" t="str">
        <f>IF(TRIM($A296)="","",IF($J296="Passed","",IF($J296="Passed with Known Issue","Known Issue",IF($J296="",IF(OR($H296&lt;&gt;"No",AND($F296&lt;&gt;"Medium",$F296&lt;&gt;"Low")),"Pending Result",""),IF(OR($H296&lt;&gt;"No",AND($F296&lt;&gt;"Medium",$F296&lt;&gt;"Low")),IF(COUNTIFS(Dashboard!$B$105:$B$124,$A296,Dashboard!$I$105:$I$124,"CAB")&gt;0,"Accepted (CF)","Blocking"),IF($J296="Failed","Deferrable","Carry Over"))))))</f>
        <v/>
      </c>
      <c r="M296" s="68" t="str">
        <f>IF(OR(TRIM($A296)="",TRIM($E296)=""),"",IFERROR(INDEX('E2E core flow'!$B$15:$B$1000,MATCH(1,INDEX(('E2E core flow'!$A$15:$A$1000&lt;&gt;"")*ISNUMBER(SEARCH('E2E core flow'!$A$15:$A$1000,$E296)),0),0))&amp;"","-"))</f>
        <v/>
      </c>
      <c r="N296" s="68" t="str">
        <f>IF(TRIM($A296)="","",IF($O296=0,IF(COUNTIFS('Card Test Cases'!$B$4:$B$1000,$A296,'Card Test Cases'!$A$4:$A$1000,"&lt;&gt;")&gt;0,"Out of Scope","No TC"),IF($Q296&gt;0,"Failed",IF(COUNTIFS('Card Test Cases'!$B$4:$B$1000,$A296,'Card Test Cases'!$A$4:$A$1000,"&lt;&gt;",'Card Test Cases'!$F$4:$F$1000,"Blocked")&gt;0,"Blocked",IF($R296&gt;0,"In Progress","Passed")))))</f>
        <v/>
      </c>
      <c r="O296" s="68" t="str">
        <f>IF(TRIM($A296)="","",COUNTIFS('Card Test Cases'!$B$4:$B$1000,$A296,'Card Test Cases'!$A$4:$A$1000,"&lt;&gt;",'Card Test Cases'!$F$4:$F$1000,"&lt;&gt;Out of Scope"))</f>
        <v/>
      </c>
      <c r="P296" s="68" t="str">
        <f>IF(TRIM($A296)="","",COUNTIFS('Card Test Cases'!$B$4:$B$1000,$A296,'Card Test Cases'!$A$4:$A$1000,"&lt;&gt;",'Card Test Cases'!$F$4:$F$1000,"Passed"))</f>
        <v/>
      </c>
      <c r="Q296" s="68" t="str">
        <f>IF(TRIM($A296)="","",COUNTIFS('Card Test Cases'!$B$4:$B$1000,$A296,'Card Test Cases'!$A$4:$A$1000,"&lt;&gt;",'Card Test Cases'!$F$4:$F$1000,"Failed"))</f>
        <v/>
      </c>
      <c r="R296" s="68" t="str">
        <f t="shared" si="4"/>
        <v/>
      </c>
      <c r="S296" s="68" t="str" cm="1">
        <f t="array" ref="S296">IF(TRIM($A296)="","",IFERROR(_xlfn.TEXTJOIN(", ",TRUE,_xlfn.UNIQUE(_xlfn.VSTACK(_xlfn._xlws.FILTER('Card Test Cases'!$G$4:$G$1000,('Card Test Cases'!$B$4:$B$1000=$A296)*('Card Test Cases'!$G$4:$G$1000&lt;&gt;""),""),_xlfn._xlws.FILTER('E2E core flow'!$U$15:$U$1000,('E2E core flow'!$A$15:$A$1000&lt;&gt;"")*ISNUMBER(SEARCH('E2E core flow'!$A$15:$A$1000,$E296))*('E2E core flow'!$U$15:$U$1000&lt;&gt;""),"")))),"-"))</f>
        <v/>
      </c>
    </row>
    <row r="297" spans="7:19" x14ac:dyDescent="0.3">
      <c r="G297" s="68" t="str" cm="1">
        <f t="array" ref="G297">_xlfn.LET(_xlpm.ids,'E2E core flow'!$A$15:$A$1000,_xlpm.v,'E2E core flow'!$W$15:$W$1000,_xlpm.m,(_xlpm.ids&lt;&gt;"")*ISNUMBER(SEARCH(_xlpm.ids,$E297)),_xlpm.f,SUM(_xlpm.m*(_xlpm.v="Failed")),_xlpm.b,SUM(_xlpm.m*(_xlpm.v="Blocked")),_xlpm.nr,SUM(_xlpm.m*(_xlpm.v="Not Run")),_xlpm.cp,SUM(_xlpm.m*(_xlpm.v="Conditionally Passed")),_xlpm.p,SUM(_xlpm.m*(_xlpm.v="Passed")),IF(TRIM($A297)="","",IF(TRIM($E297)="","Pending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97" s="68" t="str">
        <f>IF(TRIM($A297)="","",IF($J297="Passed","",IF($J297="Passed with Known Issue","Known Issue",IF($J297="",IF(OR($H297&lt;&gt;"No",AND($F297&lt;&gt;"Medium",$F297&lt;&gt;"Low")),"Pending Result",""),IF(OR($H297&lt;&gt;"No",AND($F297&lt;&gt;"Medium",$F297&lt;&gt;"Low")),IF(COUNTIFS(Dashboard!$B$105:$B$124,$A297,Dashboard!$I$105:$I$124,"CAB")&gt;0,"Accepted (CF)","Blocking"),IF($J297="Failed","Deferrable","Carry Over"))))))</f>
        <v/>
      </c>
      <c r="M297" s="68" t="str">
        <f>IF(OR(TRIM($A297)="",TRIM($E297)=""),"",IFERROR(INDEX('E2E core flow'!$B$15:$B$1000,MATCH(1,INDEX(('E2E core flow'!$A$15:$A$1000&lt;&gt;"")*ISNUMBER(SEARCH('E2E core flow'!$A$15:$A$1000,$E297)),0),0))&amp;"","-"))</f>
        <v/>
      </c>
      <c r="N297" s="68" t="str">
        <f>IF(TRIM($A297)="","",IF($O297=0,IF(COUNTIFS('Card Test Cases'!$B$4:$B$1000,$A297,'Card Test Cases'!$A$4:$A$1000,"&lt;&gt;")&gt;0,"Out of Scope","No TC"),IF($Q297&gt;0,"Failed",IF(COUNTIFS('Card Test Cases'!$B$4:$B$1000,$A297,'Card Test Cases'!$A$4:$A$1000,"&lt;&gt;",'Card Test Cases'!$F$4:$F$1000,"Blocked")&gt;0,"Blocked",IF($R297&gt;0,"In Progress","Passed")))))</f>
        <v/>
      </c>
      <c r="O297" s="68" t="str">
        <f>IF(TRIM($A297)="","",COUNTIFS('Card Test Cases'!$B$4:$B$1000,$A297,'Card Test Cases'!$A$4:$A$1000,"&lt;&gt;",'Card Test Cases'!$F$4:$F$1000,"&lt;&gt;Out of Scope"))</f>
        <v/>
      </c>
      <c r="P297" s="68" t="str">
        <f>IF(TRIM($A297)="","",COUNTIFS('Card Test Cases'!$B$4:$B$1000,$A297,'Card Test Cases'!$A$4:$A$1000,"&lt;&gt;",'Card Test Cases'!$F$4:$F$1000,"Passed"))</f>
        <v/>
      </c>
      <c r="Q297" s="68" t="str">
        <f>IF(TRIM($A297)="","",COUNTIFS('Card Test Cases'!$B$4:$B$1000,$A297,'Card Test Cases'!$A$4:$A$1000,"&lt;&gt;",'Card Test Cases'!$F$4:$F$1000,"Failed"))</f>
        <v/>
      </c>
      <c r="R297" s="68" t="str">
        <f t="shared" si="4"/>
        <v/>
      </c>
      <c r="S297" s="68" t="str" cm="1">
        <f t="array" ref="S297">IF(TRIM($A297)="","",IFERROR(_xlfn.TEXTJOIN(", ",TRUE,_xlfn.UNIQUE(_xlfn.VSTACK(_xlfn._xlws.FILTER('Card Test Cases'!$G$4:$G$1000,('Card Test Cases'!$B$4:$B$1000=$A297)*('Card Test Cases'!$G$4:$G$1000&lt;&gt;""),""),_xlfn._xlws.FILTER('E2E core flow'!$U$15:$U$1000,('E2E core flow'!$A$15:$A$1000&lt;&gt;"")*ISNUMBER(SEARCH('E2E core flow'!$A$15:$A$1000,$E297))*('E2E core flow'!$U$15:$U$1000&lt;&gt;""),"")))),"-"))</f>
        <v/>
      </c>
    </row>
    <row r="298" spans="7:19" x14ac:dyDescent="0.3">
      <c r="G298" s="68" t="str" cm="1">
        <f t="array" ref="G298">_xlfn.LET(_xlpm.ids,'E2E core flow'!$A$15:$A$1000,_xlpm.v,'E2E core flow'!$W$15:$W$1000,_xlpm.m,(_xlpm.ids&lt;&gt;"")*ISNUMBER(SEARCH(_xlpm.ids,$E298)),_xlpm.f,SUM(_xlpm.m*(_xlpm.v="Failed")),_xlpm.b,SUM(_xlpm.m*(_xlpm.v="Blocked")),_xlpm.nr,SUM(_xlpm.m*(_xlpm.v="Not Run")),_xlpm.cp,SUM(_xlpm.m*(_xlpm.v="Conditionally Passed")),_xlpm.p,SUM(_xlpm.m*(_xlpm.v="Passed")),IF(TRIM($A298)="","",IF(TRIM($E298)="","Pending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98" s="68" t="str">
        <f>IF(TRIM($A298)="","",IF($J298="Passed","",IF($J298="Passed with Known Issue","Known Issue",IF($J298="",IF(OR($H298&lt;&gt;"No",AND($F298&lt;&gt;"Medium",$F298&lt;&gt;"Low")),"Pending Result",""),IF(OR($H298&lt;&gt;"No",AND($F298&lt;&gt;"Medium",$F298&lt;&gt;"Low")),IF(COUNTIFS(Dashboard!$B$105:$B$124,$A298,Dashboard!$I$105:$I$124,"CAB")&gt;0,"Accepted (CF)","Blocking"),IF($J298="Failed","Deferrable","Carry Over"))))))</f>
        <v/>
      </c>
      <c r="M298" s="68" t="str">
        <f>IF(OR(TRIM($A298)="",TRIM($E298)=""),"",IFERROR(INDEX('E2E core flow'!$B$15:$B$1000,MATCH(1,INDEX(('E2E core flow'!$A$15:$A$1000&lt;&gt;"")*ISNUMBER(SEARCH('E2E core flow'!$A$15:$A$1000,$E298)),0),0))&amp;"","-"))</f>
        <v/>
      </c>
      <c r="N298" s="68" t="str">
        <f>IF(TRIM($A298)="","",IF($O298=0,IF(COUNTIFS('Card Test Cases'!$B$4:$B$1000,$A298,'Card Test Cases'!$A$4:$A$1000,"&lt;&gt;")&gt;0,"Out of Scope","No TC"),IF($Q298&gt;0,"Failed",IF(COUNTIFS('Card Test Cases'!$B$4:$B$1000,$A298,'Card Test Cases'!$A$4:$A$1000,"&lt;&gt;",'Card Test Cases'!$F$4:$F$1000,"Blocked")&gt;0,"Blocked",IF($R298&gt;0,"In Progress","Passed")))))</f>
        <v/>
      </c>
      <c r="O298" s="68" t="str">
        <f>IF(TRIM($A298)="","",COUNTIFS('Card Test Cases'!$B$4:$B$1000,$A298,'Card Test Cases'!$A$4:$A$1000,"&lt;&gt;",'Card Test Cases'!$F$4:$F$1000,"&lt;&gt;Out of Scope"))</f>
        <v/>
      </c>
      <c r="P298" s="68" t="str">
        <f>IF(TRIM($A298)="","",COUNTIFS('Card Test Cases'!$B$4:$B$1000,$A298,'Card Test Cases'!$A$4:$A$1000,"&lt;&gt;",'Card Test Cases'!$F$4:$F$1000,"Passed"))</f>
        <v/>
      </c>
      <c r="Q298" s="68" t="str">
        <f>IF(TRIM($A298)="","",COUNTIFS('Card Test Cases'!$B$4:$B$1000,$A298,'Card Test Cases'!$A$4:$A$1000,"&lt;&gt;",'Card Test Cases'!$F$4:$F$1000,"Failed"))</f>
        <v/>
      </c>
      <c r="R298" s="68" t="str">
        <f t="shared" si="4"/>
        <v/>
      </c>
      <c r="S298" s="68" t="str" cm="1">
        <f t="array" ref="S298">IF(TRIM($A298)="","",IFERROR(_xlfn.TEXTJOIN(", ",TRUE,_xlfn.UNIQUE(_xlfn.VSTACK(_xlfn._xlws.FILTER('Card Test Cases'!$G$4:$G$1000,('Card Test Cases'!$B$4:$B$1000=$A298)*('Card Test Cases'!$G$4:$G$1000&lt;&gt;""),""),_xlfn._xlws.FILTER('E2E core flow'!$U$15:$U$1000,('E2E core flow'!$A$15:$A$1000&lt;&gt;"")*ISNUMBER(SEARCH('E2E core flow'!$A$15:$A$1000,$E298))*('E2E core flow'!$U$15:$U$1000&lt;&gt;""),"")))),"-"))</f>
        <v/>
      </c>
    </row>
    <row r="299" spans="7:19" x14ac:dyDescent="0.3">
      <c r="G299" s="68" t="str" cm="1">
        <f t="array" ref="G299">_xlfn.LET(_xlpm.ids,'E2E core flow'!$A$15:$A$1000,_xlpm.v,'E2E core flow'!$W$15:$W$1000,_xlpm.m,(_xlpm.ids&lt;&gt;"")*ISNUMBER(SEARCH(_xlpm.ids,$E299)),_xlpm.f,SUM(_xlpm.m*(_xlpm.v="Failed")),_xlpm.b,SUM(_xlpm.m*(_xlpm.v="Blocked")),_xlpm.nr,SUM(_xlpm.m*(_xlpm.v="Not Run")),_xlpm.cp,SUM(_xlpm.m*(_xlpm.v="Conditionally Passed")),_xlpm.p,SUM(_xlpm.m*(_xlpm.v="Passed")),IF(TRIM($A299)="","",IF(TRIM($E299)="","Pending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299" s="68" t="str">
        <f>IF(TRIM($A299)="","",IF($J299="Passed","",IF($J299="Passed with Known Issue","Known Issue",IF($J299="",IF(OR($H299&lt;&gt;"No",AND($F299&lt;&gt;"Medium",$F299&lt;&gt;"Low")),"Pending Result",""),IF(OR($H299&lt;&gt;"No",AND($F299&lt;&gt;"Medium",$F299&lt;&gt;"Low")),IF(COUNTIFS(Dashboard!$B$105:$B$124,$A299,Dashboard!$I$105:$I$124,"CAB")&gt;0,"Accepted (CF)","Blocking"),IF($J299="Failed","Deferrable","Carry Over"))))))</f>
        <v/>
      </c>
      <c r="M299" s="68" t="str">
        <f>IF(OR(TRIM($A299)="",TRIM($E299)=""),"",IFERROR(INDEX('E2E core flow'!$B$15:$B$1000,MATCH(1,INDEX(('E2E core flow'!$A$15:$A$1000&lt;&gt;"")*ISNUMBER(SEARCH('E2E core flow'!$A$15:$A$1000,$E299)),0),0))&amp;"","-"))</f>
        <v/>
      </c>
      <c r="N299" s="68" t="str">
        <f>IF(TRIM($A299)="","",IF($O299=0,IF(COUNTIFS('Card Test Cases'!$B$4:$B$1000,$A299,'Card Test Cases'!$A$4:$A$1000,"&lt;&gt;")&gt;0,"Out of Scope","No TC"),IF($Q299&gt;0,"Failed",IF(COUNTIFS('Card Test Cases'!$B$4:$B$1000,$A299,'Card Test Cases'!$A$4:$A$1000,"&lt;&gt;",'Card Test Cases'!$F$4:$F$1000,"Blocked")&gt;0,"Blocked",IF($R299&gt;0,"In Progress","Passed")))))</f>
        <v/>
      </c>
      <c r="O299" s="68" t="str">
        <f>IF(TRIM($A299)="","",COUNTIFS('Card Test Cases'!$B$4:$B$1000,$A299,'Card Test Cases'!$A$4:$A$1000,"&lt;&gt;",'Card Test Cases'!$F$4:$F$1000,"&lt;&gt;Out of Scope"))</f>
        <v/>
      </c>
      <c r="P299" s="68" t="str">
        <f>IF(TRIM($A299)="","",COUNTIFS('Card Test Cases'!$B$4:$B$1000,$A299,'Card Test Cases'!$A$4:$A$1000,"&lt;&gt;",'Card Test Cases'!$F$4:$F$1000,"Passed"))</f>
        <v/>
      </c>
      <c r="Q299" s="68" t="str">
        <f>IF(TRIM($A299)="","",COUNTIFS('Card Test Cases'!$B$4:$B$1000,$A299,'Card Test Cases'!$A$4:$A$1000,"&lt;&gt;",'Card Test Cases'!$F$4:$F$1000,"Failed"))</f>
        <v/>
      </c>
      <c r="R299" s="68" t="str">
        <f t="shared" si="4"/>
        <v/>
      </c>
      <c r="S299" s="68" t="str" cm="1">
        <f t="array" ref="S299">IF(TRIM($A299)="","",IFERROR(_xlfn.TEXTJOIN(", ",TRUE,_xlfn.UNIQUE(_xlfn.VSTACK(_xlfn._xlws.FILTER('Card Test Cases'!$G$4:$G$1000,('Card Test Cases'!$B$4:$B$1000=$A299)*('Card Test Cases'!$G$4:$G$1000&lt;&gt;""),""),_xlfn._xlws.FILTER('E2E core flow'!$U$15:$U$1000,('E2E core flow'!$A$15:$A$1000&lt;&gt;"")*ISNUMBER(SEARCH('E2E core flow'!$A$15:$A$1000,$E299))*('E2E core flow'!$U$15:$U$1000&lt;&gt;""),"")))),"-"))</f>
        <v/>
      </c>
    </row>
    <row r="300" spans="7:19" x14ac:dyDescent="0.3">
      <c r="G300" s="68" t="str" cm="1">
        <f t="array" ref="G300">_xlfn.LET(_xlpm.ids,'E2E core flow'!$A$15:$A$1000,_xlpm.v,'E2E core flow'!$W$15:$W$1000,_xlpm.m,(_xlpm.ids&lt;&gt;"")*ISNUMBER(SEARCH(_xlpm.ids,$E300)),_xlpm.f,SUM(_xlpm.m*(_xlpm.v="Failed")),_xlpm.b,SUM(_xlpm.m*(_xlpm.v="Blocked")),_xlpm.nr,SUM(_xlpm.m*(_xlpm.v="Not Run")),_xlpm.cp,SUM(_xlpm.m*(_xlpm.v="Conditionally Passed")),_xlpm.p,SUM(_xlpm.m*(_xlpm.v="Passed")),IF(TRIM($A300)="","",IF(TRIM($E300)="","Pending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00" s="68" t="str">
        <f>IF(TRIM($A300)="","",IF($J300="Passed","",IF($J300="Passed with Known Issue","Known Issue",IF($J300="",IF(OR($H300&lt;&gt;"No",AND($F300&lt;&gt;"Medium",$F300&lt;&gt;"Low")),"Pending Result",""),IF(OR($H300&lt;&gt;"No",AND($F300&lt;&gt;"Medium",$F300&lt;&gt;"Low")),IF(COUNTIFS(Dashboard!$B$105:$B$124,$A300,Dashboard!$I$105:$I$124,"CAB")&gt;0,"Accepted (CF)","Blocking"),IF($J300="Failed","Deferrable","Carry Over"))))))</f>
        <v/>
      </c>
      <c r="M300" s="68" t="str">
        <f>IF(OR(TRIM($A300)="",TRIM($E300)=""),"",IFERROR(INDEX('E2E core flow'!$B$15:$B$1000,MATCH(1,INDEX(('E2E core flow'!$A$15:$A$1000&lt;&gt;"")*ISNUMBER(SEARCH('E2E core flow'!$A$15:$A$1000,$E300)),0),0))&amp;"","-"))</f>
        <v/>
      </c>
      <c r="N300" s="68" t="str">
        <f>IF(TRIM($A300)="","",IF($O300=0,IF(COUNTIFS('Card Test Cases'!$B$4:$B$1000,$A300,'Card Test Cases'!$A$4:$A$1000,"&lt;&gt;")&gt;0,"Out of Scope","No TC"),IF($Q300&gt;0,"Failed",IF(COUNTIFS('Card Test Cases'!$B$4:$B$1000,$A300,'Card Test Cases'!$A$4:$A$1000,"&lt;&gt;",'Card Test Cases'!$F$4:$F$1000,"Blocked")&gt;0,"Blocked",IF($R300&gt;0,"In Progress","Passed")))))</f>
        <v/>
      </c>
      <c r="O300" s="68" t="str">
        <f>IF(TRIM($A300)="","",COUNTIFS('Card Test Cases'!$B$4:$B$1000,$A300,'Card Test Cases'!$A$4:$A$1000,"&lt;&gt;",'Card Test Cases'!$F$4:$F$1000,"&lt;&gt;Out of Scope"))</f>
        <v/>
      </c>
      <c r="P300" s="68" t="str">
        <f>IF(TRIM($A300)="","",COUNTIFS('Card Test Cases'!$B$4:$B$1000,$A300,'Card Test Cases'!$A$4:$A$1000,"&lt;&gt;",'Card Test Cases'!$F$4:$F$1000,"Passed"))</f>
        <v/>
      </c>
      <c r="Q300" s="68" t="str">
        <f>IF(TRIM($A300)="","",COUNTIFS('Card Test Cases'!$B$4:$B$1000,$A300,'Card Test Cases'!$A$4:$A$1000,"&lt;&gt;",'Card Test Cases'!$F$4:$F$1000,"Failed"))</f>
        <v/>
      </c>
      <c r="R300" s="68" t="str">
        <f t="shared" si="4"/>
        <v/>
      </c>
      <c r="S300" s="68" t="str" cm="1">
        <f t="array" ref="S300">IF(TRIM($A300)="","",IFERROR(_xlfn.TEXTJOIN(", ",TRUE,_xlfn.UNIQUE(_xlfn.VSTACK(_xlfn._xlws.FILTER('Card Test Cases'!$G$4:$G$1000,('Card Test Cases'!$B$4:$B$1000=$A300)*('Card Test Cases'!$G$4:$G$1000&lt;&gt;""),""),_xlfn._xlws.FILTER('E2E core flow'!$U$15:$U$1000,('E2E core flow'!$A$15:$A$1000&lt;&gt;"")*ISNUMBER(SEARCH('E2E core flow'!$A$15:$A$1000,$E300))*('E2E core flow'!$U$15:$U$1000&lt;&gt;""),"")))),"-"))</f>
        <v/>
      </c>
    </row>
    <row r="301" spans="7:19" x14ac:dyDescent="0.3">
      <c r="G301" s="68" t="str" cm="1">
        <f t="array" ref="G301">_xlfn.LET(_xlpm.ids,'E2E core flow'!$A$15:$A$1000,_xlpm.v,'E2E core flow'!$W$15:$W$1000,_xlpm.m,(_xlpm.ids&lt;&gt;"")*ISNUMBER(SEARCH(_xlpm.ids,$E301)),_xlpm.f,SUM(_xlpm.m*(_xlpm.v="Failed")),_xlpm.b,SUM(_xlpm.m*(_xlpm.v="Blocked")),_xlpm.nr,SUM(_xlpm.m*(_xlpm.v="Not Run")),_xlpm.cp,SUM(_xlpm.m*(_xlpm.v="Conditionally Passed")),_xlpm.p,SUM(_xlpm.m*(_xlpm.v="Passed")),IF(TRIM($A301)="","",IF(TRIM($E301)="","Pending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01" s="68" t="str">
        <f>IF(TRIM($A301)="","",IF($J301="Passed","",IF($J301="Passed with Known Issue","Known Issue",IF($J301="",IF(OR($H301&lt;&gt;"No",AND($F301&lt;&gt;"Medium",$F301&lt;&gt;"Low")),"Pending Result",""),IF(OR($H301&lt;&gt;"No",AND($F301&lt;&gt;"Medium",$F301&lt;&gt;"Low")),IF(COUNTIFS(Dashboard!$B$105:$B$124,$A301,Dashboard!$I$105:$I$124,"CAB")&gt;0,"Accepted (CF)","Blocking"),IF($J301="Failed","Deferrable","Carry Over"))))))</f>
        <v/>
      </c>
      <c r="M301" s="68" t="str">
        <f>IF(OR(TRIM($A301)="",TRIM($E301)=""),"",IFERROR(INDEX('E2E core flow'!$B$15:$B$1000,MATCH(1,INDEX(('E2E core flow'!$A$15:$A$1000&lt;&gt;"")*ISNUMBER(SEARCH('E2E core flow'!$A$15:$A$1000,$E301)),0),0))&amp;"","-"))</f>
        <v/>
      </c>
      <c r="N301" s="68" t="str">
        <f>IF(TRIM($A301)="","",IF($O301=0,IF(COUNTIFS('Card Test Cases'!$B$4:$B$1000,$A301,'Card Test Cases'!$A$4:$A$1000,"&lt;&gt;")&gt;0,"Out of Scope","No TC"),IF($Q301&gt;0,"Failed",IF(COUNTIFS('Card Test Cases'!$B$4:$B$1000,$A301,'Card Test Cases'!$A$4:$A$1000,"&lt;&gt;",'Card Test Cases'!$F$4:$F$1000,"Blocked")&gt;0,"Blocked",IF($R301&gt;0,"In Progress","Passed")))))</f>
        <v/>
      </c>
      <c r="O301" s="68" t="str">
        <f>IF(TRIM($A301)="","",COUNTIFS('Card Test Cases'!$B$4:$B$1000,$A301,'Card Test Cases'!$A$4:$A$1000,"&lt;&gt;",'Card Test Cases'!$F$4:$F$1000,"&lt;&gt;Out of Scope"))</f>
        <v/>
      </c>
      <c r="P301" s="68" t="str">
        <f>IF(TRIM($A301)="","",COUNTIFS('Card Test Cases'!$B$4:$B$1000,$A301,'Card Test Cases'!$A$4:$A$1000,"&lt;&gt;",'Card Test Cases'!$F$4:$F$1000,"Passed"))</f>
        <v/>
      </c>
      <c r="Q301" s="68" t="str">
        <f>IF(TRIM($A301)="","",COUNTIFS('Card Test Cases'!$B$4:$B$1000,$A301,'Card Test Cases'!$A$4:$A$1000,"&lt;&gt;",'Card Test Cases'!$F$4:$F$1000,"Failed"))</f>
        <v/>
      </c>
      <c r="R301" s="68" t="str">
        <f t="shared" si="4"/>
        <v/>
      </c>
      <c r="S301" s="68" t="str" cm="1">
        <f t="array" ref="S301">IF(TRIM($A301)="","",IFERROR(_xlfn.TEXTJOIN(", ",TRUE,_xlfn.UNIQUE(_xlfn.VSTACK(_xlfn._xlws.FILTER('Card Test Cases'!$G$4:$G$1000,('Card Test Cases'!$B$4:$B$1000=$A301)*('Card Test Cases'!$G$4:$G$1000&lt;&gt;""),""),_xlfn._xlws.FILTER('E2E core flow'!$U$15:$U$1000,('E2E core flow'!$A$15:$A$1000&lt;&gt;"")*ISNUMBER(SEARCH('E2E core flow'!$A$15:$A$1000,$E301))*('E2E core flow'!$U$15:$U$1000&lt;&gt;""),"")))),"-"))</f>
        <v/>
      </c>
    </row>
    <row r="302" spans="7:19" x14ac:dyDescent="0.3">
      <c r="G302" s="68" t="str" cm="1">
        <f t="array" ref="G302">_xlfn.LET(_xlpm.ids,'E2E core flow'!$A$15:$A$1000,_xlpm.v,'E2E core flow'!$W$15:$W$1000,_xlpm.m,(_xlpm.ids&lt;&gt;"")*ISNUMBER(SEARCH(_xlpm.ids,$E302)),_xlpm.f,SUM(_xlpm.m*(_xlpm.v="Failed")),_xlpm.b,SUM(_xlpm.m*(_xlpm.v="Blocked")),_xlpm.nr,SUM(_xlpm.m*(_xlpm.v="Not Run")),_xlpm.cp,SUM(_xlpm.m*(_xlpm.v="Conditionally Passed")),_xlpm.p,SUM(_xlpm.m*(_xlpm.v="Passed")),IF(TRIM($A302)="","",IF(TRIM($E302)="","Pending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02" s="68" t="str">
        <f>IF(TRIM($A302)="","",IF($J302="Passed","",IF($J302="Passed with Known Issue","Known Issue",IF($J302="",IF(OR($H302&lt;&gt;"No",AND($F302&lt;&gt;"Medium",$F302&lt;&gt;"Low")),"Pending Result",""),IF(OR($H302&lt;&gt;"No",AND($F302&lt;&gt;"Medium",$F302&lt;&gt;"Low")),IF(COUNTIFS(Dashboard!$B$105:$B$124,$A302,Dashboard!$I$105:$I$124,"CAB")&gt;0,"Accepted (CF)","Blocking"),IF($J302="Failed","Deferrable","Carry Over"))))))</f>
        <v/>
      </c>
      <c r="M302" s="68" t="str">
        <f>IF(OR(TRIM($A302)="",TRIM($E302)=""),"",IFERROR(INDEX('E2E core flow'!$B$15:$B$1000,MATCH(1,INDEX(('E2E core flow'!$A$15:$A$1000&lt;&gt;"")*ISNUMBER(SEARCH('E2E core flow'!$A$15:$A$1000,$E302)),0),0))&amp;"","-"))</f>
        <v/>
      </c>
      <c r="N302" s="68" t="str">
        <f>IF(TRIM($A302)="","",IF($O302=0,IF(COUNTIFS('Card Test Cases'!$B$4:$B$1000,$A302,'Card Test Cases'!$A$4:$A$1000,"&lt;&gt;")&gt;0,"Out of Scope","No TC"),IF($Q302&gt;0,"Failed",IF(COUNTIFS('Card Test Cases'!$B$4:$B$1000,$A302,'Card Test Cases'!$A$4:$A$1000,"&lt;&gt;",'Card Test Cases'!$F$4:$F$1000,"Blocked")&gt;0,"Blocked",IF($R302&gt;0,"In Progress","Passed")))))</f>
        <v/>
      </c>
      <c r="O302" s="68" t="str">
        <f>IF(TRIM($A302)="","",COUNTIFS('Card Test Cases'!$B$4:$B$1000,$A302,'Card Test Cases'!$A$4:$A$1000,"&lt;&gt;",'Card Test Cases'!$F$4:$F$1000,"&lt;&gt;Out of Scope"))</f>
        <v/>
      </c>
      <c r="P302" s="68" t="str">
        <f>IF(TRIM($A302)="","",COUNTIFS('Card Test Cases'!$B$4:$B$1000,$A302,'Card Test Cases'!$A$4:$A$1000,"&lt;&gt;",'Card Test Cases'!$F$4:$F$1000,"Passed"))</f>
        <v/>
      </c>
      <c r="Q302" s="68" t="str">
        <f>IF(TRIM($A302)="","",COUNTIFS('Card Test Cases'!$B$4:$B$1000,$A302,'Card Test Cases'!$A$4:$A$1000,"&lt;&gt;",'Card Test Cases'!$F$4:$F$1000,"Failed"))</f>
        <v/>
      </c>
      <c r="R302" s="68" t="str">
        <f t="shared" si="4"/>
        <v/>
      </c>
      <c r="S302" s="68" t="str" cm="1">
        <f t="array" ref="S302">IF(TRIM($A302)="","",IFERROR(_xlfn.TEXTJOIN(", ",TRUE,_xlfn.UNIQUE(_xlfn.VSTACK(_xlfn._xlws.FILTER('Card Test Cases'!$G$4:$G$1000,('Card Test Cases'!$B$4:$B$1000=$A302)*('Card Test Cases'!$G$4:$G$1000&lt;&gt;""),""),_xlfn._xlws.FILTER('E2E core flow'!$U$15:$U$1000,('E2E core flow'!$A$15:$A$1000&lt;&gt;"")*ISNUMBER(SEARCH('E2E core flow'!$A$15:$A$1000,$E302))*('E2E core flow'!$U$15:$U$1000&lt;&gt;""),"")))),"-"))</f>
        <v/>
      </c>
    </row>
    <row r="303" spans="7:19" x14ac:dyDescent="0.3">
      <c r="G303" s="68" t="str" cm="1">
        <f t="array" ref="G303">_xlfn.LET(_xlpm.ids,'E2E core flow'!$A$15:$A$1000,_xlpm.v,'E2E core flow'!$W$15:$W$1000,_xlpm.m,(_xlpm.ids&lt;&gt;"")*ISNUMBER(SEARCH(_xlpm.ids,$E303)),_xlpm.f,SUM(_xlpm.m*(_xlpm.v="Failed")),_xlpm.b,SUM(_xlpm.m*(_xlpm.v="Blocked")),_xlpm.nr,SUM(_xlpm.m*(_xlpm.v="Not Run")),_xlpm.cp,SUM(_xlpm.m*(_xlpm.v="Conditionally Passed")),_xlpm.p,SUM(_xlpm.m*(_xlpm.v="Passed")),IF(TRIM($A303)="","",IF(TRIM($E303)="","Pending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03" s="68" t="str">
        <f>IF(TRIM($A303)="","",IF($J303="Passed","",IF($J303="Passed with Known Issue","Known Issue",IF($J303="",IF(OR($H303&lt;&gt;"No",AND($F303&lt;&gt;"Medium",$F303&lt;&gt;"Low")),"Pending Result",""),IF(OR($H303&lt;&gt;"No",AND($F303&lt;&gt;"Medium",$F303&lt;&gt;"Low")),IF(COUNTIFS(Dashboard!$B$105:$B$124,$A303,Dashboard!$I$105:$I$124,"CAB")&gt;0,"Accepted (CF)","Blocking"),IF($J303="Failed","Deferrable","Carry Over"))))))</f>
        <v/>
      </c>
      <c r="M303" s="68" t="str">
        <f>IF(OR(TRIM($A303)="",TRIM($E303)=""),"",IFERROR(INDEX('E2E core flow'!$B$15:$B$1000,MATCH(1,INDEX(('E2E core flow'!$A$15:$A$1000&lt;&gt;"")*ISNUMBER(SEARCH('E2E core flow'!$A$15:$A$1000,$E303)),0),0))&amp;"","-"))</f>
        <v/>
      </c>
      <c r="N303" s="68" t="str">
        <f>IF(TRIM($A303)="","",IF($O303=0,IF(COUNTIFS('Card Test Cases'!$B$4:$B$1000,$A303,'Card Test Cases'!$A$4:$A$1000,"&lt;&gt;")&gt;0,"Out of Scope","No TC"),IF($Q303&gt;0,"Failed",IF(COUNTIFS('Card Test Cases'!$B$4:$B$1000,$A303,'Card Test Cases'!$A$4:$A$1000,"&lt;&gt;",'Card Test Cases'!$F$4:$F$1000,"Blocked")&gt;0,"Blocked",IF($R303&gt;0,"In Progress","Passed")))))</f>
        <v/>
      </c>
      <c r="O303" s="68" t="str">
        <f>IF(TRIM($A303)="","",COUNTIFS('Card Test Cases'!$B$4:$B$1000,$A303,'Card Test Cases'!$A$4:$A$1000,"&lt;&gt;",'Card Test Cases'!$F$4:$F$1000,"&lt;&gt;Out of Scope"))</f>
        <v/>
      </c>
      <c r="P303" s="68" t="str">
        <f>IF(TRIM($A303)="","",COUNTIFS('Card Test Cases'!$B$4:$B$1000,$A303,'Card Test Cases'!$A$4:$A$1000,"&lt;&gt;",'Card Test Cases'!$F$4:$F$1000,"Passed"))</f>
        <v/>
      </c>
      <c r="Q303" s="68" t="str">
        <f>IF(TRIM($A303)="","",COUNTIFS('Card Test Cases'!$B$4:$B$1000,$A303,'Card Test Cases'!$A$4:$A$1000,"&lt;&gt;",'Card Test Cases'!$F$4:$F$1000,"Failed"))</f>
        <v/>
      </c>
      <c r="R303" s="68" t="str">
        <f t="shared" si="4"/>
        <v/>
      </c>
      <c r="S303" s="68" t="str" cm="1">
        <f t="array" ref="S303">IF(TRIM($A303)="","",IFERROR(_xlfn.TEXTJOIN(", ",TRUE,_xlfn.UNIQUE(_xlfn.VSTACK(_xlfn._xlws.FILTER('Card Test Cases'!$G$4:$G$1000,('Card Test Cases'!$B$4:$B$1000=$A303)*('Card Test Cases'!$G$4:$G$1000&lt;&gt;""),""),_xlfn._xlws.FILTER('E2E core flow'!$U$15:$U$1000,('E2E core flow'!$A$15:$A$1000&lt;&gt;"")*ISNUMBER(SEARCH('E2E core flow'!$A$15:$A$1000,$E303))*('E2E core flow'!$U$15:$U$1000&lt;&gt;""),"")))),"-"))</f>
        <v/>
      </c>
    </row>
    <row r="304" spans="7:19" x14ac:dyDescent="0.3">
      <c r="G304" s="68" t="str" cm="1">
        <f t="array" ref="G304">_xlfn.LET(_xlpm.ids,'E2E core flow'!$A$15:$A$1000,_xlpm.v,'E2E core flow'!$W$15:$W$1000,_xlpm.m,(_xlpm.ids&lt;&gt;"")*ISNUMBER(SEARCH(_xlpm.ids,$E304)),_xlpm.f,SUM(_xlpm.m*(_xlpm.v="Failed")),_xlpm.b,SUM(_xlpm.m*(_xlpm.v="Blocked")),_xlpm.nr,SUM(_xlpm.m*(_xlpm.v="Not Run")),_xlpm.cp,SUM(_xlpm.m*(_xlpm.v="Conditionally Passed")),_xlpm.p,SUM(_xlpm.m*(_xlpm.v="Passed")),IF(TRIM($A304)="","",IF(TRIM($E304)="","Pending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04" s="68" t="str">
        <f>IF(TRIM($A304)="","",IF($J304="Passed","",IF($J304="Passed with Known Issue","Known Issue",IF($J304="",IF(OR($H304&lt;&gt;"No",AND($F304&lt;&gt;"Medium",$F304&lt;&gt;"Low")),"Pending Result",""),IF(OR($H304&lt;&gt;"No",AND($F304&lt;&gt;"Medium",$F304&lt;&gt;"Low")),IF(COUNTIFS(Dashboard!$B$105:$B$124,$A304,Dashboard!$I$105:$I$124,"CAB")&gt;0,"Accepted (CF)","Blocking"),IF($J304="Failed","Deferrable","Carry Over"))))))</f>
        <v/>
      </c>
      <c r="M304" s="68" t="str">
        <f>IF(OR(TRIM($A304)="",TRIM($E304)=""),"",IFERROR(INDEX('E2E core flow'!$B$15:$B$1000,MATCH(1,INDEX(('E2E core flow'!$A$15:$A$1000&lt;&gt;"")*ISNUMBER(SEARCH('E2E core flow'!$A$15:$A$1000,$E304)),0),0))&amp;"","-"))</f>
        <v/>
      </c>
      <c r="N304" s="68" t="str">
        <f>IF(TRIM($A304)="","",IF($O304=0,IF(COUNTIFS('Card Test Cases'!$B$4:$B$1000,$A304,'Card Test Cases'!$A$4:$A$1000,"&lt;&gt;")&gt;0,"Out of Scope","No TC"),IF($Q304&gt;0,"Failed",IF(COUNTIFS('Card Test Cases'!$B$4:$B$1000,$A304,'Card Test Cases'!$A$4:$A$1000,"&lt;&gt;",'Card Test Cases'!$F$4:$F$1000,"Blocked")&gt;0,"Blocked",IF($R304&gt;0,"In Progress","Passed")))))</f>
        <v/>
      </c>
      <c r="O304" s="68" t="str">
        <f>IF(TRIM($A304)="","",COUNTIFS('Card Test Cases'!$B$4:$B$1000,$A304,'Card Test Cases'!$A$4:$A$1000,"&lt;&gt;",'Card Test Cases'!$F$4:$F$1000,"&lt;&gt;Out of Scope"))</f>
        <v/>
      </c>
      <c r="P304" s="68" t="str">
        <f>IF(TRIM($A304)="","",COUNTIFS('Card Test Cases'!$B$4:$B$1000,$A304,'Card Test Cases'!$A$4:$A$1000,"&lt;&gt;",'Card Test Cases'!$F$4:$F$1000,"Passed"))</f>
        <v/>
      </c>
      <c r="Q304" s="68" t="str">
        <f>IF(TRIM($A304)="","",COUNTIFS('Card Test Cases'!$B$4:$B$1000,$A304,'Card Test Cases'!$A$4:$A$1000,"&lt;&gt;",'Card Test Cases'!$F$4:$F$1000,"Failed"))</f>
        <v/>
      </c>
      <c r="R304" s="68" t="str">
        <f t="shared" si="4"/>
        <v/>
      </c>
      <c r="S304" s="68" t="str" cm="1">
        <f t="array" ref="S304">IF(TRIM($A304)="","",IFERROR(_xlfn.TEXTJOIN(", ",TRUE,_xlfn.UNIQUE(_xlfn.VSTACK(_xlfn._xlws.FILTER('Card Test Cases'!$G$4:$G$1000,('Card Test Cases'!$B$4:$B$1000=$A304)*('Card Test Cases'!$G$4:$G$1000&lt;&gt;""),""),_xlfn._xlws.FILTER('E2E core flow'!$U$15:$U$1000,('E2E core flow'!$A$15:$A$1000&lt;&gt;"")*ISNUMBER(SEARCH('E2E core flow'!$A$15:$A$1000,$E304))*('E2E core flow'!$U$15:$U$1000&lt;&gt;""),"")))),"-"))</f>
        <v/>
      </c>
    </row>
    <row r="305" spans="7:19" x14ac:dyDescent="0.3">
      <c r="G305" s="68" t="str" cm="1">
        <f t="array" ref="G305">_xlfn.LET(_xlpm.ids,'E2E core flow'!$A$15:$A$1000,_xlpm.v,'E2E core flow'!$W$15:$W$1000,_xlpm.m,(_xlpm.ids&lt;&gt;"")*ISNUMBER(SEARCH(_xlpm.ids,$E305)),_xlpm.f,SUM(_xlpm.m*(_xlpm.v="Failed")),_xlpm.b,SUM(_xlpm.m*(_xlpm.v="Blocked")),_xlpm.nr,SUM(_xlpm.m*(_xlpm.v="Not Run")),_xlpm.cp,SUM(_xlpm.m*(_xlpm.v="Conditionally Passed")),_xlpm.p,SUM(_xlpm.m*(_xlpm.v="Passed")),IF(TRIM($A305)="","",IF(TRIM($E305)="","Pending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05" s="68" t="str">
        <f>IF(TRIM($A305)="","",IF($J305="Passed","",IF($J305="Passed with Known Issue","Known Issue",IF($J305="",IF(OR($H305&lt;&gt;"No",AND($F305&lt;&gt;"Medium",$F305&lt;&gt;"Low")),"Pending Result",""),IF(OR($H305&lt;&gt;"No",AND($F305&lt;&gt;"Medium",$F305&lt;&gt;"Low")),IF(COUNTIFS(Dashboard!$B$105:$B$124,$A305,Dashboard!$I$105:$I$124,"CAB")&gt;0,"Accepted (CF)","Blocking"),IF($J305="Failed","Deferrable","Carry Over"))))))</f>
        <v/>
      </c>
      <c r="M305" s="68" t="str">
        <f>IF(OR(TRIM($A305)="",TRIM($E305)=""),"",IFERROR(INDEX('E2E core flow'!$B$15:$B$1000,MATCH(1,INDEX(('E2E core flow'!$A$15:$A$1000&lt;&gt;"")*ISNUMBER(SEARCH('E2E core flow'!$A$15:$A$1000,$E305)),0),0))&amp;"","-"))</f>
        <v/>
      </c>
      <c r="N305" s="68" t="str">
        <f>IF(TRIM($A305)="","",IF($O305=0,IF(COUNTIFS('Card Test Cases'!$B$4:$B$1000,$A305,'Card Test Cases'!$A$4:$A$1000,"&lt;&gt;")&gt;0,"Out of Scope","No TC"),IF($Q305&gt;0,"Failed",IF(COUNTIFS('Card Test Cases'!$B$4:$B$1000,$A305,'Card Test Cases'!$A$4:$A$1000,"&lt;&gt;",'Card Test Cases'!$F$4:$F$1000,"Blocked")&gt;0,"Blocked",IF($R305&gt;0,"In Progress","Passed")))))</f>
        <v/>
      </c>
      <c r="O305" s="68" t="str">
        <f>IF(TRIM($A305)="","",COUNTIFS('Card Test Cases'!$B$4:$B$1000,$A305,'Card Test Cases'!$A$4:$A$1000,"&lt;&gt;",'Card Test Cases'!$F$4:$F$1000,"&lt;&gt;Out of Scope"))</f>
        <v/>
      </c>
      <c r="P305" s="68" t="str">
        <f>IF(TRIM($A305)="","",COUNTIFS('Card Test Cases'!$B$4:$B$1000,$A305,'Card Test Cases'!$A$4:$A$1000,"&lt;&gt;",'Card Test Cases'!$F$4:$F$1000,"Passed"))</f>
        <v/>
      </c>
      <c r="Q305" s="68" t="str">
        <f>IF(TRIM($A305)="","",COUNTIFS('Card Test Cases'!$B$4:$B$1000,$A305,'Card Test Cases'!$A$4:$A$1000,"&lt;&gt;",'Card Test Cases'!$F$4:$F$1000,"Failed"))</f>
        <v/>
      </c>
      <c r="R305" s="68" t="str">
        <f t="shared" si="4"/>
        <v/>
      </c>
      <c r="S305" s="68" t="str" cm="1">
        <f t="array" ref="S305">IF(TRIM($A305)="","",IFERROR(_xlfn.TEXTJOIN(", ",TRUE,_xlfn.UNIQUE(_xlfn.VSTACK(_xlfn._xlws.FILTER('Card Test Cases'!$G$4:$G$1000,('Card Test Cases'!$B$4:$B$1000=$A305)*('Card Test Cases'!$G$4:$G$1000&lt;&gt;""),""),_xlfn._xlws.FILTER('E2E core flow'!$U$15:$U$1000,('E2E core flow'!$A$15:$A$1000&lt;&gt;"")*ISNUMBER(SEARCH('E2E core flow'!$A$15:$A$1000,$E305))*('E2E core flow'!$U$15:$U$1000&lt;&gt;""),"")))),"-"))</f>
        <v/>
      </c>
    </row>
    <row r="306" spans="7:19" x14ac:dyDescent="0.3">
      <c r="G306" s="68" t="str" cm="1">
        <f t="array" ref="G306">_xlfn.LET(_xlpm.ids,'E2E core flow'!$A$15:$A$1000,_xlpm.v,'E2E core flow'!$W$15:$W$1000,_xlpm.m,(_xlpm.ids&lt;&gt;"")*ISNUMBER(SEARCH(_xlpm.ids,$E306)),_xlpm.f,SUM(_xlpm.m*(_xlpm.v="Failed")),_xlpm.b,SUM(_xlpm.m*(_xlpm.v="Blocked")),_xlpm.nr,SUM(_xlpm.m*(_xlpm.v="Not Run")),_xlpm.cp,SUM(_xlpm.m*(_xlpm.v="Conditionally Passed")),_xlpm.p,SUM(_xlpm.m*(_xlpm.v="Passed")),IF(TRIM($A306)="","",IF(TRIM($E306)="","Pending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06" s="68" t="str">
        <f>IF(TRIM($A306)="","",IF($J306="Passed","",IF($J306="Passed with Known Issue","Known Issue",IF($J306="",IF(OR($H306&lt;&gt;"No",AND($F306&lt;&gt;"Medium",$F306&lt;&gt;"Low")),"Pending Result",""),IF(OR($H306&lt;&gt;"No",AND($F306&lt;&gt;"Medium",$F306&lt;&gt;"Low")),IF(COUNTIFS(Dashboard!$B$105:$B$124,$A306,Dashboard!$I$105:$I$124,"CAB")&gt;0,"Accepted (CF)","Blocking"),IF($J306="Failed","Deferrable","Carry Over"))))))</f>
        <v/>
      </c>
      <c r="M306" s="68" t="str">
        <f>IF(OR(TRIM($A306)="",TRIM($E306)=""),"",IFERROR(INDEX('E2E core flow'!$B$15:$B$1000,MATCH(1,INDEX(('E2E core flow'!$A$15:$A$1000&lt;&gt;"")*ISNUMBER(SEARCH('E2E core flow'!$A$15:$A$1000,$E306)),0),0))&amp;"","-"))</f>
        <v/>
      </c>
      <c r="N306" s="68" t="str">
        <f>IF(TRIM($A306)="","",IF($O306=0,IF(COUNTIFS('Card Test Cases'!$B$4:$B$1000,$A306,'Card Test Cases'!$A$4:$A$1000,"&lt;&gt;")&gt;0,"Out of Scope","No TC"),IF($Q306&gt;0,"Failed",IF(COUNTIFS('Card Test Cases'!$B$4:$B$1000,$A306,'Card Test Cases'!$A$4:$A$1000,"&lt;&gt;",'Card Test Cases'!$F$4:$F$1000,"Blocked")&gt;0,"Blocked",IF($R306&gt;0,"In Progress","Passed")))))</f>
        <v/>
      </c>
      <c r="O306" s="68" t="str">
        <f>IF(TRIM($A306)="","",COUNTIFS('Card Test Cases'!$B$4:$B$1000,$A306,'Card Test Cases'!$A$4:$A$1000,"&lt;&gt;",'Card Test Cases'!$F$4:$F$1000,"&lt;&gt;Out of Scope"))</f>
        <v/>
      </c>
      <c r="P306" s="68" t="str">
        <f>IF(TRIM($A306)="","",COUNTIFS('Card Test Cases'!$B$4:$B$1000,$A306,'Card Test Cases'!$A$4:$A$1000,"&lt;&gt;",'Card Test Cases'!$F$4:$F$1000,"Passed"))</f>
        <v/>
      </c>
      <c r="Q306" s="68" t="str">
        <f>IF(TRIM($A306)="","",COUNTIFS('Card Test Cases'!$B$4:$B$1000,$A306,'Card Test Cases'!$A$4:$A$1000,"&lt;&gt;",'Card Test Cases'!$F$4:$F$1000,"Failed"))</f>
        <v/>
      </c>
      <c r="R306" s="68" t="str">
        <f t="shared" si="4"/>
        <v/>
      </c>
      <c r="S306" s="68" t="str" cm="1">
        <f t="array" ref="S306">IF(TRIM($A306)="","",IFERROR(_xlfn.TEXTJOIN(", ",TRUE,_xlfn.UNIQUE(_xlfn.VSTACK(_xlfn._xlws.FILTER('Card Test Cases'!$G$4:$G$1000,('Card Test Cases'!$B$4:$B$1000=$A306)*('Card Test Cases'!$G$4:$G$1000&lt;&gt;""),""),_xlfn._xlws.FILTER('E2E core flow'!$U$15:$U$1000,('E2E core flow'!$A$15:$A$1000&lt;&gt;"")*ISNUMBER(SEARCH('E2E core flow'!$A$15:$A$1000,$E306))*('E2E core flow'!$U$15:$U$1000&lt;&gt;""),"")))),"-"))</f>
        <v/>
      </c>
    </row>
    <row r="307" spans="7:19" x14ac:dyDescent="0.3">
      <c r="G307" s="68" t="str" cm="1">
        <f t="array" ref="G307">_xlfn.LET(_xlpm.ids,'E2E core flow'!$A$15:$A$1000,_xlpm.v,'E2E core flow'!$W$15:$W$1000,_xlpm.m,(_xlpm.ids&lt;&gt;"")*ISNUMBER(SEARCH(_xlpm.ids,$E307)),_xlpm.f,SUM(_xlpm.m*(_xlpm.v="Failed")),_xlpm.b,SUM(_xlpm.m*(_xlpm.v="Blocked")),_xlpm.nr,SUM(_xlpm.m*(_xlpm.v="Not Run")),_xlpm.cp,SUM(_xlpm.m*(_xlpm.v="Conditionally Passed")),_xlpm.p,SUM(_xlpm.m*(_xlpm.v="Passed")),IF(TRIM($A307)="","",IF(TRIM($E307)="","Pending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07" s="68" t="str">
        <f>IF(TRIM($A307)="","",IF($J307="Passed","",IF($J307="Passed with Known Issue","Known Issue",IF($J307="",IF(OR($H307&lt;&gt;"No",AND($F307&lt;&gt;"Medium",$F307&lt;&gt;"Low")),"Pending Result",""),IF(OR($H307&lt;&gt;"No",AND($F307&lt;&gt;"Medium",$F307&lt;&gt;"Low")),IF(COUNTIFS(Dashboard!$B$105:$B$124,$A307,Dashboard!$I$105:$I$124,"CAB")&gt;0,"Accepted (CF)","Blocking"),IF($J307="Failed","Deferrable","Carry Over"))))))</f>
        <v/>
      </c>
      <c r="M307" s="68" t="str">
        <f>IF(OR(TRIM($A307)="",TRIM($E307)=""),"",IFERROR(INDEX('E2E core flow'!$B$15:$B$1000,MATCH(1,INDEX(('E2E core flow'!$A$15:$A$1000&lt;&gt;"")*ISNUMBER(SEARCH('E2E core flow'!$A$15:$A$1000,$E307)),0),0))&amp;"","-"))</f>
        <v/>
      </c>
      <c r="N307" s="68" t="str">
        <f>IF(TRIM($A307)="","",IF($O307=0,IF(COUNTIFS('Card Test Cases'!$B$4:$B$1000,$A307,'Card Test Cases'!$A$4:$A$1000,"&lt;&gt;")&gt;0,"Out of Scope","No TC"),IF($Q307&gt;0,"Failed",IF(COUNTIFS('Card Test Cases'!$B$4:$B$1000,$A307,'Card Test Cases'!$A$4:$A$1000,"&lt;&gt;",'Card Test Cases'!$F$4:$F$1000,"Blocked")&gt;0,"Blocked",IF($R307&gt;0,"In Progress","Passed")))))</f>
        <v/>
      </c>
      <c r="O307" s="68" t="str">
        <f>IF(TRIM($A307)="","",COUNTIFS('Card Test Cases'!$B$4:$B$1000,$A307,'Card Test Cases'!$A$4:$A$1000,"&lt;&gt;",'Card Test Cases'!$F$4:$F$1000,"&lt;&gt;Out of Scope"))</f>
        <v/>
      </c>
      <c r="P307" s="68" t="str">
        <f>IF(TRIM($A307)="","",COUNTIFS('Card Test Cases'!$B$4:$B$1000,$A307,'Card Test Cases'!$A$4:$A$1000,"&lt;&gt;",'Card Test Cases'!$F$4:$F$1000,"Passed"))</f>
        <v/>
      </c>
      <c r="Q307" s="68" t="str">
        <f>IF(TRIM($A307)="","",COUNTIFS('Card Test Cases'!$B$4:$B$1000,$A307,'Card Test Cases'!$A$4:$A$1000,"&lt;&gt;",'Card Test Cases'!$F$4:$F$1000,"Failed"))</f>
        <v/>
      </c>
      <c r="R307" s="68" t="str">
        <f t="shared" si="4"/>
        <v/>
      </c>
      <c r="S307" s="68" t="str" cm="1">
        <f t="array" ref="S307">IF(TRIM($A307)="","",IFERROR(_xlfn.TEXTJOIN(", ",TRUE,_xlfn.UNIQUE(_xlfn.VSTACK(_xlfn._xlws.FILTER('Card Test Cases'!$G$4:$G$1000,('Card Test Cases'!$B$4:$B$1000=$A307)*('Card Test Cases'!$G$4:$G$1000&lt;&gt;""),""),_xlfn._xlws.FILTER('E2E core flow'!$U$15:$U$1000,('E2E core flow'!$A$15:$A$1000&lt;&gt;"")*ISNUMBER(SEARCH('E2E core flow'!$A$15:$A$1000,$E307))*('E2E core flow'!$U$15:$U$1000&lt;&gt;""),"")))),"-"))</f>
        <v/>
      </c>
    </row>
    <row r="308" spans="7:19" x14ac:dyDescent="0.3">
      <c r="G308" s="68" t="str" cm="1">
        <f t="array" ref="G308">_xlfn.LET(_xlpm.ids,'E2E core flow'!$A$15:$A$1000,_xlpm.v,'E2E core flow'!$W$15:$W$1000,_xlpm.m,(_xlpm.ids&lt;&gt;"")*ISNUMBER(SEARCH(_xlpm.ids,$E308)),_xlpm.f,SUM(_xlpm.m*(_xlpm.v="Failed")),_xlpm.b,SUM(_xlpm.m*(_xlpm.v="Blocked")),_xlpm.nr,SUM(_xlpm.m*(_xlpm.v="Not Run")),_xlpm.cp,SUM(_xlpm.m*(_xlpm.v="Conditionally Passed")),_xlpm.p,SUM(_xlpm.m*(_xlpm.v="Passed")),IF(TRIM($A308)="","",IF(TRIM($E308)="","Pending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08" s="68" t="str">
        <f>IF(TRIM($A308)="","",IF($J308="Passed","",IF($J308="Passed with Known Issue","Known Issue",IF($J308="",IF(OR($H308&lt;&gt;"No",AND($F308&lt;&gt;"Medium",$F308&lt;&gt;"Low")),"Pending Result",""),IF(OR($H308&lt;&gt;"No",AND($F308&lt;&gt;"Medium",$F308&lt;&gt;"Low")),IF(COUNTIFS(Dashboard!$B$105:$B$124,$A308,Dashboard!$I$105:$I$124,"CAB")&gt;0,"Accepted (CF)","Blocking"),IF($J308="Failed","Deferrable","Carry Over"))))))</f>
        <v/>
      </c>
      <c r="M308" s="68" t="str">
        <f>IF(OR(TRIM($A308)="",TRIM($E308)=""),"",IFERROR(INDEX('E2E core flow'!$B$15:$B$1000,MATCH(1,INDEX(('E2E core flow'!$A$15:$A$1000&lt;&gt;"")*ISNUMBER(SEARCH('E2E core flow'!$A$15:$A$1000,$E308)),0),0))&amp;"","-"))</f>
        <v/>
      </c>
      <c r="N308" s="68" t="str">
        <f>IF(TRIM($A308)="","",IF($O308=0,IF(COUNTIFS('Card Test Cases'!$B$4:$B$1000,$A308,'Card Test Cases'!$A$4:$A$1000,"&lt;&gt;")&gt;0,"Out of Scope","No TC"),IF($Q308&gt;0,"Failed",IF(COUNTIFS('Card Test Cases'!$B$4:$B$1000,$A308,'Card Test Cases'!$A$4:$A$1000,"&lt;&gt;",'Card Test Cases'!$F$4:$F$1000,"Blocked")&gt;0,"Blocked",IF($R308&gt;0,"In Progress","Passed")))))</f>
        <v/>
      </c>
      <c r="O308" s="68" t="str">
        <f>IF(TRIM($A308)="","",COUNTIFS('Card Test Cases'!$B$4:$B$1000,$A308,'Card Test Cases'!$A$4:$A$1000,"&lt;&gt;",'Card Test Cases'!$F$4:$F$1000,"&lt;&gt;Out of Scope"))</f>
        <v/>
      </c>
      <c r="P308" s="68" t="str">
        <f>IF(TRIM($A308)="","",COUNTIFS('Card Test Cases'!$B$4:$B$1000,$A308,'Card Test Cases'!$A$4:$A$1000,"&lt;&gt;",'Card Test Cases'!$F$4:$F$1000,"Passed"))</f>
        <v/>
      </c>
      <c r="Q308" s="68" t="str">
        <f>IF(TRIM($A308)="","",COUNTIFS('Card Test Cases'!$B$4:$B$1000,$A308,'Card Test Cases'!$A$4:$A$1000,"&lt;&gt;",'Card Test Cases'!$F$4:$F$1000,"Failed"))</f>
        <v/>
      </c>
      <c r="R308" s="68" t="str">
        <f t="shared" si="4"/>
        <v/>
      </c>
      <c r="S308" s="68" t="str" cm="1">
        <f t="array" ref="S308">IF(TRIM($A308)="","",IFERROR(_xlfn.TEXTJOIN(", ",TRUE,_xlfn.UNIQUE(_xlfn.VSTACK(_xlfn._xlws.FILTER('Card Test Cases'!$G$4:$G$1000,('Card Test Cases'!$B$4:$B$1000=$A308)*('Card Test Cases'!$G$4:$G$1000&lt;&gt;""),""),_xlfn._xlws.FILTER('E2E core flow'!$U$15:$U$1000,('E2E core flow'!$A$15:$A$1000&lt;&gt;"")*ISNUMBER(SEARCH('E2E core flow'!$A$15:$A$1000,$E308))*('E2E core flow'!$U$15:$U$1000&lt;&gt;""),"")))),"-"))</f>
        <v/>
      </c>
    </row>
    <row r="309" spans="7:19" x14ac:dyDescent="0.3">
      <c r="G309" s="68" t="str" cm="1">
        <f t="array" ref="G309">_xlfn.LET(_xlpm.ids,'E2E core flow'!$A$15:$A$1000,_xlpm.v,'E2E core flow'!$W$15:$W$1000,_xlpm.m,(_xlpm.ids&lt;&gt;"")*ISNUMBER(SEARCH(_xlpm.ids,$E309)),_xlpm.f,SUM(_xlpm.m*(_xlpm.v="Failed")),_xlpm.b,SUM(_xlpm.m*(_xlpm.v="Blocked")),_xlpm.nr,SUM(_xlpm.m*(_xlpm.v="Not Run")),_xlpm.cp,SUM(_xlpm.m*(_xlpm.v="Conditionally Passed")),_xlpm.p,SUM(_xlpm.m*(_xlpm.v="Passed")),IF(TRIM($A309)="","",IF(TRIM($E309)="","Pending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09" s="68" t="str">
        <f>IF(TRIM($A309)="","",IF($J309="Passed","",IF($J309="Passed with Known Issue","Known Issue",IF($J309="",IF(OR($H309&lt;&gt;"No",AND($F309&lt;&gt;"Medium",$F309&lt;&gt;"Low")),"Pending Result",""),IF(OR($H309&lt;&gt;"No",AND($F309&lt;&gt;"Medium",$F309&lt;&gt;"Low")),IF(COUNTIFS(Dashboard!$B$105:$B$124,$A309,Dashboard!$I$105:$I$124,"CAB")&gt;0,"Accepted (CF)","Blocking"),IF($J309="Failed","Deferrable","Carry Over"))))))</f>
        <v/>
      </c>
      <c r="M309" s="68" t="str">
        <f>IF(OR(TRIM($A309)="",TRIM($E309)=""),"",IFERROR(INDEX('E2E core flow'!$B$15:$B$1000,MATCH(1,INDEX(('E2E core flow'!$A$15:$A$1000&lt;&gt;"")*ISNUMBER(SEARCH('E2E core flow'!$A$15:$A$1000,$E309)),0),0))&amp;"","-"))</f>
        <v/>
      </c>
      <c r="N309" s="68" t="str">
        <f>IF(TRIM($A309)="","",IF($O309=0,IF(COUNTIFS('Card Test Cases'!$B$4:$B$1000,$A309,'Card Test Cases'!$A$4:$A$1000,"&lt;&gt;")&gt;0,"Out of Scope","No TC"),IF($Q309&gt;0,"Failed",IF(COUNTIFS('Card Test Cases'!$B$4:$B$1000,$A309,'Card Test Cases'!$A$4:$A$1000,"&lt;&gt;",'Card Test Cases'!$F$4:$F$1000,"Blocked")&gt;0,"Blocked",IF($R309&gt;0,"In Progress","Passed")))))</f>
        <v/>
      </c>
      <c r="O309" s="68" t="str">
        <f>IF(TRIM($A309)="","",COUNTIFS('Card Test Cases'!$B$4:$B$1000,$A309,'Card Test Cases'!$A$4:$A$1000,"&lt;&gt;",'Card Test Cases'!$F$4:$F$1000,"&lt;&gt;Out of Scope"))</f>
        <v/>
      </c>
      <c r="P309" s="68" t="str">
        <f>IF(TRIM($A309)="","",COUNTIFS('Card Test Cases'!$B$4:$B$1000,$A309,'Card Test Cases'!$A$4:$A$1000,"&lt;&gt;",'Card Test Cases'!$F$4:$F$1000,"Passed"))</f>
        <v/>
      </c>
      <c r="Q309" s="68" t="str">
        <f>IF(TRIM($A309)="","",COUNTIFS('Card Test Cases'!$B$4:$B$1000,$A309,'Card Test Cases'!$A$4:$A$1000,"&lt;&gt;",'Card Test Cases'!$F$4:$F$1000,"Failed"))</f>
        <v/>
      </c>
      <c r="R309" s="68" t="str">
        <f t="shared" si="4"/>
        <v/>
      </c>
      <c r="S309" s="68" t="str" cm="1">
        <f t="array" ref="S309">IF(TRIM($A309)="","",IFERROR(_xlfn.TEXTJOIN(", ",TRUE,_xlfn.UNIQUE(_xlfn.VSTACK(_xlfn._xlws.FILTER('Card Test Cases'!$G$4:$G$1000,('Card Test Cases'!$B$4:$B$1000=$A309)*('Card Test Cases'!$G$4:$G$1000&lt;&gt;""),""),_xlfn._xlws.FILTER('E2E core flow'!$U$15:$U$1000,('E2E core flow'!$A$15:$A$1000&lt;&gt;"")*ISNUMBER(SEARCH('E2E core flow'!$A$15:$A$1000,$E309))*('E2E core flow'!$U$15:$U$1000&lt;&gt;""),"")))),"-"))</f>
        <v/>
      </c>
    </row>
    <row r="310" spans="7:19" x14ac:dyDescent="0.3">
      <c r="G310" s="68" t="str" cm="1">
        <f t="array" ref="G310">_xlfn.LET(_xlpm.ids,'E2E core flow'!$A$15:$A$1000,_xlpm.v,'E2E core flow'!$W$15:$W$1000,_xlpm.m,(_xlpm.ids&lt;&gt;"")*ISNUMBER(SEARCH(_xlpm.ids,$E310)),_xlpm.f,SUM(_xlpm.m*(_xlpm.v="Failed")),_xlpm.b,SUM(_xlpm.m*(_xlpm.v="Blocked")),_xlpm.nr,SUM(_xlpm.m*(_xlpm.v="Not Run")),_xlpm.cp,SUM(_xlpm.m*(_xlpm.v="Conditionally Passed")),_xlpm.p,SUM(_xlpm.m*(_xlpm.v="Passed")),IF(TRIM($A310)="","",IF(TRIM($E310)="","Pending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10" s="68" t="str">
        <f>IF(TRIM($A310)="","",IF($J310="Passed","",IF($J310="Passed with Known Issue","Known Issue",IF($J310="",IF(OR($H310&lt;&gt;"No",AND($F310&lt;&gt;"Medium",$F310&lt;&gt;"Low")),"Pending Result",""),IF(OR($H310&lt;&gt;"No",AND($F310&lt;&gt;"Medium",$F310&lt;&gt;"Low")),IF(COUNTIFS(Dashboard!$B$105:$B$124,$A310,Dashboard!$I$105:$I$124,"CAB")&gt;0,"Accepted (CF)","Blocking"),IF($J310="Failed","Deferrable","Carry Over"))))))</f>
        <v/>
      </c>
      <c r="M310" s="68" t="str">
        <f>IF(OR(TRIM($A310)="",TRIM($E310)=""),"",IFERROR(INDEX('E2E core flow'!$B$15:$B$1000,MATCH(1,INDEX(('E2E core flow'!$A$15:$A$1000&lt;&gt;"")*ISNUMBER(SEARCH('E2E core flow'!$A$15:$A$1000,$E310)),0),0))&amp;"","-"))</f>
        <v/>
      </c>
      <c r="N310" s="68" t="str">
        <f>IF(TRIM($A310)="","",IF($O310=0,IF(COUNTIFS('Card Test Cases'!$B$4:$B$1000,$A310,'Card Test Cases'!$A$4:$A$1000,"&lt;&gt;")&gt;0,"Out of Scope","No TC"),IF($Q310&gt;0,"Failed",IF(COUNTIFS('Card Test Cases'!$B$4:$B$1000,$A310,'Card Test Cases'!$A$4:$A$1000,"&lt;&gt;",'Card Test Cases'!$F$4:$F$1000,"Blocked")&gt;0,"Blocked",IF($R310&gt;0,"In Progress","Passed")))))</f>
        <v/>
      </c>
      <c r="O310" s="68" t="str">
        <f>IF(TRIM($A310)="","",COUNTIFS('Card Test Cases'!$B$4:$B$1000,$A310,'Card Test Cases'!$A$4:$A$1000,"&lt;&gt;",'Card Test Cases'!$F$4:$F$1000,"&lt;&gt;Out of Scope"))</f>
        <v/>
      </c>
      <c r="P310" s="68" t="str">
        <f>IF(TRIM($A310)="","",COUNTIFS('Card Test Cases'!$B$4:$B$1000,$A310,'Card Test Cases'!$A$4:$A$1000,"&lt;&gt;",'Card Test Cases'!$F$4:$F$1000,"Passed"))</f>
        <v/>
      </c>
      <c r="Q310" s="68" t="str">
        <f>IF(TRIM($A310)="","",COUNTIFS('Card Test Cases'!$B$4:$B$1000,$A310,'Card Test Cases'!$A$4:$A$1000,"&lt;&gt;",'Card Test Cases'!$F$4:$F$1000,"Failed"))</f>
        <v/>
      </c>
      <c r="R310" s="68" t="str">
        <f t="shared" si="4"/>
        <v/>
      </c>
      <c r="S310" s="68" t="str" cm="1">
        <f t="array" ref="S310">IF(TRIM($A310)="","",IFERROR(_xlfn.TEXTJOIN(", ",TRUE,_xlfn.UNIQUE(_xlfn.VSTACK(_xlfn._xlws.FILTER('Card Test Cases'!$G$4:$G$1000,('Card Test Cases'!$B$4:$B$1000=$A310)*('Card Test Cases'!$G$4:$G$1000&lt;&gt;""),""),_xlfn._xlws.FILTER('E2E core flow'!$U$15:$U$1000,('E2E core flow'!$A$15:$A$1000&lt;&gt;"")*ISNUMBER(SEARCH('E2E core flow'!$A$15:$A$1000,$E310))*('E2E core flow'!$U$15:$U$1000&lt;&gt;""),"")))),"-"))</f>
        <v/>
      </c>
    </row>
    <row r="311" spans="7:19" x14ac:dyDescent="0.3">
      <c r="G311" s="68" t="str" cm="1">
        <f t="array" ref="G311">_xlfn.LET(_xlpm.ids,'E2E core flow'!$A$15:$A$1000,_xlpm.v,'E2E core flow'!$W$15:$W$1000,_xlpm.m,(_xlpm.ids&lt;&gt;"")*ISNUMBER(SEARCH(_xlpm.ids,$E311)),_xlpm.f,SUM(_xlpm.m*(_xlpm.v="Failed")),_xlpm.b,SUM(_xlpm.m*(_xlpm.v="Blocked")),_xlpm.nr,SUM(_xlpm.m*(_xlpm.v="Not Run")),_xlpm.cp,SUM(_xlpm.m*(_xlpm.v="Conditionally Passed")),_xlpm.p,SUM(_xlpm.m*(_xlpm.v="Passed")),IF(TRIM($A311)="","",IF(TRIM($E311)="","Pending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11" s="68" t="str">
        <f>IF(TRIM($A311)="","",IF($J311="Passed","",IF($J311="Passed with Known Issue","Known Issue",IF($J311="",IF(OR($H311&lt;&gt;"No",AND($F311&lt;&gt;"Medium",$F311&lt;&gt;"Low")),"Pending Result",""),IF(OR($H311&lt;&gt;"No",AND($F311&lt;&gt;"Medium",$F311&lt;&gt;"Low")),IF(COUNTIFS(Dashboard!$B$105:$B$124,$A311,Dashboard!$I$105:$I$124,"CAB")&gt;0,"Accepted (CF)","Blocking"),IF($J311="Failed","Deferrable","Carry Over"))))))</f>
        <v/>
      </c>
      <c r="M311" s="68" t="str">
        <f>IF(OR(TRIM($A311)="",TRIM($E311)=""),"",IFERROR(INDEX('E2E core flow'!$B$15:$B$1000,MATCH(1,INDEX(('E2E core flow'!$A$15:$A$1000&lt;&gt;"")*ISNUMBER(SEARCH('E2E core flow'!$A$15:$A$1000,$E311)),0),0))&amp;"","-"))</f>
        <v/>
      </c>
      <c r="N311" s="68" t="str">
        <f>IF(TRIM($A311)="","",IF($O311=0,IF(COUNTIFS('Card Test Cases'!$B$4:$B$1000,$A311,'Card Test Cases'!$A$4:$A$1000,"&lt;&gt;")&gt;0,"Out of Scope","No TC"),IF($Q311&gt;0,"Failed",IF(COUNTIFS('Card Test Cases'!$B$4:$B$1000,$A311,'Card Test Cases'!$A$4:$A$1000,"&lt;&gt;",'Card Test Cases'!$F$4:$F$1000,"Blocked")&gt;0,"Blocked",IF($R311&gt;0,"In Progress","Passed")))))</f>
        <v/>
      </c>
      <c r="O311" s="68" t="str">
        <f>IF(TRIM($A311)="","",COUNTIFS('Card Test Cases'!$B$4:$B$1000,$A311,'Card Test Cases'!$A$4:$A$1000,"&lt;&gt;",'Card Test Cases'!$F$4:$F$1000,"&lt;&gt;Out of Scope"))</f>
        <v/>
      </c>
      <c r="P311" s="68" t="str">
        <f>IF(TRIM($A311)="","",COUNTIFS('Card Test Cases'!$B$4:$B$1000,$A311,'Card Test Cases'!$A$4:$A$1000,"&lt;&gt;",'Card Test Cases'!$F$4:$F$1000,"Passed"))</f>
        <v/>
      </c>
      <c r="Q311" s="68" t="str">
        <f>IF(TRIM($A311)="","",COUNTIFS('Card Test Cases'!$B$4:$B$1000,$A311,'Card Test Cases'!$A$4:$A$1000,"&lt;&gt;",'Card Test Cases'!$F$4:$F$1000,"Failed"))</f>
        <v/>
      </c>
      <c r="R311" s="68" t="str">
        <f t="shared" si="4"/>
        <v/>
      </c>
      <c r="S311" s="68" t="str" cm="1">
        <f t="array" ref="S311">IF(TRIM($A311)="","",IFERROR(_xlfn.TEXTJOIN(", ",TRUE,_xlfn.UNIQUE(_xlfn.VSTACK(_xlfn._xlws.FILTER('Card Test Cases'!$G$4:$G$1000,('Card Test Cases'!$B$4:$B$1000=$A311)*('Card Test Cases'!$G$4:$G$1000&lt;&gt;""),""),_xlfn._xlws.FILTER('E2E core flow'!$U$15:$U$1000,('E2E core flow'!$A$15:$A$1000&lt;&gt;"")*ISNUMBER(SEARCH('E2E core flow'!$A$15:$A$1000,$E311))*('E2E core flow'!$U$15:$U$1000&lt;&gt;""),"")))),"-"))</f>
        <v/>
      </c>
    </row>
    <row r="312" spans="7:19" x14ac:dyDescent="0.3">
      <c r="G312" s="68" t="str" cm="1">
        <f t="array" ref="G312">_xlfn.LET(_xlpm.ids,'E2E core flow'!$A$15:$A$1000,_xlpm.v,'E2E core flow'!$W$15:$W$1000,_xlpm.m,(_xlpm.ids&lt;&gt;"")*ISNUMBER(SEARCH(_xlpm.ids,$E312)),_xlpm.f,SUM(_xlpm.m*(_xlpm.v="Failed")),_xlpm.b,SUM(_xlpm.m*(_xlpm.v="Blocked")),_xlpm.nr,SUM(_xlpm.m*(_xlpm.v="Not Run")),_xlpm.cp,SUM(_xlpm.m*(_xlpm.v="Conditionally Passed")),_xlpm.p,SUM(_xlpm.m*(_xlpm.v="Passed")),IF(TRIM($A312)="","",IF(TRIM($E312)="","Pending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12" s="68" t="str">
        <f>IF(TRIM($A312)="","",IF($J312="Passed","",IF($J312="Passed with Known Issue","Known Issue",IF($J312="",IF(OR($H312&lt;&gt;"No",AND($F312&lt;&gt;"Medium",$F312&lt;&gt;"Low")),"Pending Result",""),IF(OR($H312&lt;&gt;"No",AND($F312&lt;&gt;"Medium",$F312&lt;&gt;"Low")),IF(COUNTIFS(Dashboard!$B$105:$B$124,$A312,Dashboard!$I$105:$I$124,"CAB")&gt;0,"Accepted (CF)","Blocking"),IF($J312="Failed","Deferrable","Carry Over"))))))</f>
        <v/>
      </c>
      <c r="M312" s="68" t="str">
        <f>IF(OR(TRIM($A312)="",TRIM($E312)=""),"",IFERROR(INDEX('E2E core flow'!$B$15:$B$1000,MATCH(1,INDEX(('E2E core flow'!$A$15:$A$1000&lt;&gt;"")*ISNUMBER(SEARCH('E2E core flow'!$A$15:$A$1000,$E312)),0),0))&amp;"","-"))</f>
        <v/>
      </c>
      <c r="N312" s="68" t="str">
        <f>IF(TRIM($A312)="","",IF($O312=0,IF(COUNTIFS('Card Test Cases'!$B$4:$B$1000,$A312,'Card Test Cases'!$A$4:$A$1000,"&lt;&gt;")&gt;0,"Out of Scope","No TC"),IF($Q312&gt;0,"Failed",IF(COUNTIFS('Card Test Cases'!$B$4:$B$1000,$A312,'Card Test Cases'!$A$4:$A$1000,"&lt;&gt;",'Card Test Cases'!$F$4:$F$1000,"Blocked")&gt;0,"Blocked",IF($R312&gt;0,"In Progress","Passed")))))</f>
        <v/>
      </c>
      <c r="O312" s="68" t="str">
        <f>IF(TRIM($A312)="","",COUNTIFS('Card Test Cases'!$B$4:$B$1000,$A312,'Card Test Cases'!$A$4:$A$1000,"&lt;&gt;",'Card Test Cases'!$F$4:$F$1000,"&lt;&gt;Out of Scope"))</f>
        <v/>
      </c>
      <c r="P312" s="68" t="str">
        <f>IF(TRIM($A312)="","",COUNTIFS('Card Test Cases'!$B$4:$B$1000,$A312,'Card Test Cases'!$A$4:$A$1000,"&lt;&gt;",'Card Test Cases'!$F$4:$F$1000,"Passed"))</f>
        <v/>
      </c>
      <c r="Q312" s="68" t="str">
        <f>IF(TRIM($A312)="","",COUNTIFS('Card Test Cases'!$B$4:$B$1000,$A312,'Card Test Cases'!$A$4:$A$1000,"&lt;&gt;",'Card Test Cases'!$F$4:$F$1000,"Failed"))</f>
        <v/>
      </c>
      <c r="R312" s="68" t="str">
        <f t="shared" si="4"/>
        <v/>
      </c>
      <c r="S312" s="68" t="str" cm="1">
        <f t="array" ref="S312">IF(TRIM($A312)="","",IFERROR(_xlfn.TEXTJOIN(", ",TRUE,_xlfn.UNIQUE(_xlfn.VSTACK(_xlfn._xlws.FILTER('Card Test Cases'!$G$4:$G$1000,('Card Test Cases'!$B$4:$B$1000=$A312)*('Card Test Cases'!$G$4:$G$1000&lt;&gt;""),""),_xlfn._xlws.FILTER('E2E core flow'!$U$15:$U$1000,('E2E core flow'!$A$15:$A$1000&lt;&gt;"")*ISNUMBER(SEARCH('E2E core flow'!$A$15:$A$1000,$E312))*('E2E core flow'!$U$15:$U$1000&lt;&gt;""),"")))),"-"))</f>
        <v/>
      </c>
    </row>
    <row r="313" spans="7:19" x14ac:dyDescent="0.3">
      <c r="G313" s="68" t="str" cm="1">
        <f t="array" ref="G313">_xlfn.LET(_xlpm.ids,'E2E core flow'!$A$15:$A$1000,_xlpm.v,'E2E core flow'!$W$15:$W$1000,_xlpm.m,(_xlpm.ids&lt;&gt;"")*ISNUMBER(SEARCH(_xlpm.ids,$E313)),_xlpm.f,SUM(_xlpm.m*(_xlpm.v="Failed")),_xlpm.b,SUM(_xlpm.m*(_xlpm.v="Blocked")),_xlpm.nr,SUM(_xlpm.m*(_xlpm.v="Not Run")),_xlpm.cp,SUM(_xlpm.m*(_xlpm.v="Conditionally Passed")),_xlpm.p,SUM(_xlpm.m*(_xlpm.v="Passed")),IF(TRIM($A313)="","",IF(TRIM($E313)="","Pending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13" s="68" t="str">
        <f>IF(TRIM($A313)="","",IF($J313="Passed","",IF($J313="Passed with Known Issue","Known Issue",IF($J313="",IF(OR($H313&lt;&gt;"No",AND($F313&lt;&gt;"Medium",$F313&lt;&gt;"Low")),"Pending Result",""),IF(OR($H313&lt;&gt;"No",AND($F313&lt;&gt;"Medium",$F313&lt;&gt;"Low")),IF(COUNTIFS(Dashboard!$B$105:$B$124,$A313,Dashboard!$I$105:$I$124,"CAB")&gt;0,"Accepted (CF)","Blocking"),IF($J313="Failed","Deferrable","Carry Over"))))))</f>
        <v/>
      </c>
      <c r="M313" s="68" t="str">
        <f>IF(OR(TRIM($A313)="",TRIM($E313)=""),"",IFERROR(INDEX('E2E core flow'!$B$15:$B$1000,MATCH(1,INDEX(('E2E core flow'!$A$15:$A$1000&lt;&gt;"")*ISNUMBER(SEARCH('E2E core flow'!$A$15:$A$1000,$E313)),0),0))&amp;"","-"))</f>
        <v/>
      </c>
      <c r="N313" s="68" t="str">
        <f>IF(TRIM($A313)="","",IF($O313=0,IF(COUNTIFS('Card Test Cases'!$B$4:$B$1000,$A313,'Card Test Cases'!$A$4:$A$1000,"&lt;&gt;")&gt;0,"Out of Scope","No TC"),IF($Q313&gt;0,"Failed",IF(COUNTIFS('Card Test Cases'!$B$4:$B$1000,$A313,'Card Test Cases'!$A$4:$A$1000,"&lt;&gt;",'Card Test Cases'!$F$4:$F$1000,"Blocked")&gt;0,"Blocked",IF($R313&gt;0,"In Progress","Passed")))))</f>
        <v/>
      </c>
      <c r="O313" s="68" t="str">
        <f>IF(TRIM($A313)="","",COUNTIFS('Card Test Cases'!$B$4:$B$1000,$A313,'Card Test Cases'!$A$4:$A$1000,"&lt;&gt;",'Card Test Cases'!$F$4:$F$1000,"&lt;&gt;Out of Scope"))</f>
        <v/>
      </c>
      <c r="P313" s="68" t="str">
        <f>IF(TRIM($A313)="","",COUNTIFS('Card Test Cases'!$B$4:$B$1000,$A313,'Card Test Cases'!$A$4:$A$1000,"&lt;&gt;",'Card Test Cases'!$F$4:$F$1000,"Passed"))</f>
        <v/>
      </c>
      <c r="Q313" s="68" t="str">
        <f>IF(TRIM($A313)="","",COUNTIFS('Card Test Cases'!$B$4:$B$1000,$A313,'Card Test Cases'!$A$4:$A$1000,"&lt;&gt;",'Card Test Cases'!$F$4:$F$1000,"Failed"))</f>
        <v/>
      </c>
      <c r="R313" s="68" t="str">
        <f t="shared" si="4"/>
        <v/>
      </c>
      <c r="S313" s="68" t="str" cm="1">
        <f t="array" ref="S313">IF(TRIM($A313)="","",IFERROR(_xlfn.TEXTJOIN(", ",TRUE,_xlfn.UNIQUE(_xlfn.VSTACK(_xlfn._xlws.FILTER('Card Test Cases'!$G$4:$G$1000,('Card Test Cases'!$B$4:$B$1000=$A313)*('Card Test Cases'!$G$4:$G$1000&lt;&gt;""),""),_xlfn._xlws.FILTER('E2E core flow'!$U$15:$U$1000,('E2E core flow'!$A$15:$A$1000&lt;&gt;"")*ISNUMBER(SEARCH('E2E core flow'!$A$15:$A$1000,$E313))*('E2E core flow'!$U$15:$U$1000&lt;&gt;""),"")))),"-"))</f>
        <v/>
      </c>
    </row>
    <row r="314" spans="7:19" x14ac:dyDescent="0.3">
      <c r="G314" s="68" t="str" cm="1">
        <f t="array" ref="G314">_xlfn.LET(_xlpm.ids,'E2E core flow'!$A$15:$A$1000,_xlpm.v,'E2E core flow'!$W$15:$W$1000,_xlpm.m,(_xlpm.ids&lt;&gt;"")*ISNUMBER(SEARCH(_xlpm.ids,$E314)),_xlpm.f,SUM(_xlpm.m*(_xlpm.v="Failed")),_xlpm.b,SUM(_xlpm.m*(_xlpm.v="Blocked")),_xlpm.nr,SUM(_xlpm.m*(_xlpm.v="Not Run")),_xlpm.cp,SUM(_xlpm.m*(_xlpm.v="Conditionally Passed")),_xlpm.p,SUM(_xlpm.m*(_xlpm.v="Passed")),IF(TRIM($A314)="","",IF(TRIM($E314)="","Pending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14" s="68" t="str">
        <f>IF(TRIM($A314)="","",IF($J314="Passed","",IF($J314="Passed with Known Issue","Known Issue",IF($J314="",IF(OR($H314&lt;&gt;"No",AND($F314&lt;&gt;"Medium",$F314&lt;&gt;"Low")),"Pending Result",""),IF(OR($H314&lt;&gt;"No",AND($F314&lt;&gt;"Medium",$F314&lt;&gt;"Low")),IF(COUNTIFS(Dashboard!$B$105:$B$124,$A314,Dashboard!$I$105:$I$124,"CAB")&gt;0,"Accepted (CF)","Blocking"),IF($J314="Failed","Deferrable","Carry Over"))))))</f>
        <v/>
      </c>
      <c r="M314" s="68" t="str">
        <f>IF(OR(TRIM($A314)="",TRIM($E314)=""),"",IFERROR(INDEX('E2E core flow'!$B$15:$B$1000,MATCH(1,INDEX(('E2E core flow'!$A$15:$A$1000&lt;&gt;"")*ISNUMBER(SEARCH('E2E core flow'!$A$15:$A$1000,$E314)),0),0))&amp;"","-"))</f>
        <v/>
      </c>
      <c r="N314" s="68" t="str">
        <f>IF(TRIM($A314)="","",IF($O314=0,IF(COUNTIFS('Card Test Cases'!$B$4:$B$1000,$A314,'Card Test Cases'!$A$4:$A$1000,"&lt;&gt;")&gt;0,"Out of Scope","No TC"),IF($Q314&gt;0,"Failed",IF(COUNTIFS('Card Test Cases'!$B$4:$B$1000,$A314,'Card Test Cases'!$A$4:$A$1000,"&lt;&gt;",'Card Test Cases'!$F$4:$F$1000,"Blocked")&gt;0,"Blocked",IF($R314&gt;0,"In Progress","Passed")))))</f>
        <v/>
      </c>
      <c r="O314" s="68" t="str">
        <f>IF(TRIM($A314)="","",COUNTIFS('Card Test Cases'!$B$4:$B$1000,$A314,'Card Test Cases'!$A$4:$A$1000,"&lt;&gt;",'Card Test Cases'!$F$4:$F$1000,"&lt;&gt;Out of Scope"))</f>
        <v/>
      </c>
      <c r="P314" s="68" t="str">
        <f>IF(TRIM($A314)="","",COUNTIFS('Card Test Cases'!$B$4:$B$1000,$A314,'Card Test Cases'!$A$4:$A$1000,"&lt;&gt;",'Card Test Cases'!$F$4:$F$1000,"Passed"))</f>
        <v/>
      </c>
      <c r="Q314" s="68" t="str">
        <f>IF(TRIM($A314)="","",COUNTIFS('Card Test Cases'!$B$4:$B$1000,$A314,'Card Test Cases'!$A$4:$A$1000,"&lt;&gt;",'Card Test Cases'!$F$4:$F$1000,"Failed"))</f>
        <v/>
      </c>
      <c r="R314" s="68" t="str">
        <f t="shared" si="4"/>
        <v/>
      </c>
      <c r="S314" s="68" t="str" cm="1">
        <f t="array" ref="S314">IF(TRIM($A314)="","",IFERROR(_xlfn.TEXTJOIN(", ",TRUE,_xlfn.UNIQUE(_xlfn.VSTACK(_xlfn._xlws.FILTER('Card Test Cases'!$G$4:$G$1000,('Card Test Cases'!$B$4:$B$1000=$A314)*('Card Test Cases'!$G$4:$G$1000&lt;&gt;""),""),_xlfn._xlws.FILTER('E2E core flow'!$U$15:$U$1000,('E2E core flow'!$A$15:$A$1000&lt;&gt;"")*ISNUMBER(SEARCH('E2E core flow'!$A$15:$A$1000,$E314))*('E2E core flow'!$U$15:$U$1000&lt;&gt;""),"")))),"-"))</f>
        <v/>
      </c>
    </row>
    <row r="315" spans="7:19" x14ac:dyDescent="0.3">
      <c r="G315" s="68" t="str" cm="1">
        <f t="array" ref="G315">_xlfn.LET(_xlpm.ids,'E2E core flow'!$A$15:$A$1000,_xlpm.v,'E2E core flow'!$W$15:$W$1000,_xlpm.m,(_xlpm.ids&lt;&gt;"")*ISNUMBER(SEARCH(_xlpm.ids,$E315)),_xlpm.f,SUM(_xlpm.m*(_xlpm.v="Failed")),_xlpm.b,SUM(_xlpm.m*(_xlpm.v="Blocked")),_xlpm.nr,SUM(_xlpm.m*(_xlpm.v="Not Run")),_xlpm.cp,SUM(_xlpm.m*(_xlpm.v="Conditionally Passed")),_xlpm.p,SUM(_xlpm.m*(_xlpm.v="Passed")),IF(TRIM($A315)="","",IF(TRIM($E315)="","Pending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15" s="68" t="str">
        <f>IF(TRIM($A315)="","",IF($J315="Passed","",IF($J315="Passed with Known Issue","Known Issue",IF($J315="",IF(OR($H315&lt;&gt;"No",AND($F315&lt;&gt;"Medium",$F315&lt;&gt;"Low")),"Pending Result",""),IF(OR($H315&lt;&gt;"No",AND($F315&lt;&gt;"Medium",$F315&lt;&gt;"Low")),IF(COUNTIFS(Dashboard!$B$105:$B$124,$A315,Dashboard!$I$105:$I$124,"CAB")&gt;0,"Accepted (CF)","Blocking"),IF($J315="Failed","Deferrable","Carry Over"))))))</f>
        <v/>
      </c>
      <c r="M315" s="68" t="str">
        <f>IF(OR(TRIM($A315)="",TRIM($E315)=""),"",IFERROR(INDEX('E2E core flow'!$B$15:$B$1000,MATCH(1,INDEX(('E2E core flow'!$A$15:$A$1000&lt;&gt;"")*ISNUMBER(SEARCH('E2E core flow'!$A$15:$A$1000,$E315)),0),0))&amp;"","-"))</f>
        <v/>
      </c>
      <c r="N315" s="68" t="str">
        <f>IF(TRIM($A315)="","",IF($O315=0,IF(COUNTIFS('Card Test Cases'!$B$4:$B$1000,$A315,'Card Test Cases'!$A$4:$A$1000,"&lt;&gt;")&gt;0,"Out of Scope","No TC"),IF($Q315&gt;0,"Failed",IF(COUNTIFS('Card Test Cases'!$B$4:$B$1000,$A315,'Card Test Cases'!$A$4:$A$1000,"&lt;&gt;",'Card Test Cases'!$F$4:$F$1000,"Blocked")&gt;0,"Blocked",IF($R315&gt;0,"In Progress","Passed")))))</f>
        <v/>
      </c>
      <c r="O315" s="68" t="str">
        <f>IF(TRIM($A315)="","",COUNTIFS('Card Test Cases'!$B$4:$B$1000,$A315,'Card Test Cases'!$A$4:$A$1000,"&lt;&gt;",'Card Test Cases'!$F$4:$F$1000,"&lt;&gt;Out of Scope"))</f>
        <v/>
      </c>
      <c r="P315" s="68" t="str">
        <f>IF(TRIM($A315)="","",COUNTIFS('Card Test Cases'!$B$4:$B$1000,$A315,'Card Test Cases'!$A$4:$A$1000,"&lt;&gt;",'Card Test Cases'!$F$4:$F$1000,"Passed"))</f>
        <v/>
      </c>
      <c r="Q315" s="68" t="str">
        <f>IF(TRIM($A315)="","",COUNTIFS('Card Test Cases'!$B$4:$B$1000,$A315,'Card Test Cases'!$A$4:$A$1000,"&lt;&gt;",'Card Test Cases'!$F$4:$F$1000,"Failed"))</f>
        <v/>
      </c>
      <c r="R315" s="68" t="str">
        <f t="shared" si="4"/>
        <v/>
      </c>
      <c r="S315" s="68" t="str" cm="1">
        <f t="array" ref="S315">IF(TRIM($A315)="","",IFERROR(_xlfn.TEXTJOIN(", ",TRUE,_xlfn.UNIQUE(_xlfn.VSTACK(_xlfn._xlws.FILTER('Card Test Cases'!$G$4:$G$1000,('Card Test Cases'!$B$4:$B$1000=$A315)*('Card Test Cases'!$G$4:$G$1000&lt;&gt;""),""),_xlfn._xlws.FILTER('E2E core flow'!$U$15:$U$1000,('E2E core flow'!$A$15:$A$1000&lt;&gt;"")*ISNUMBER(SEARCH('E2E core flow'!$A$15:$A$1000,$E315))*('E2E core flow'!$U$15:$U$1000&lt;&gt;""),"")))),"-"))</f>
        <v/>
      </c>
    </row>
    <row r="316" spans="7:19" x14ac:dyDescent="0.3">
      <c r="G316" s="68" t="str" cm="1">
        <f t="array" ref="G316">_xlfn.LET(_xlpm.ids,'E2E core flow'!$A$15:$A$1000,_xlpm.v,'E2E core flow'!$W$15:$W$1000,_xlpm.m,(_xlpm.ids&lt;&gt;"")*ISNUMBER(SEARCH(_xlpm.ids,$E316)),_xlpm.f,SUM(_xlpm.m*(_xlpm.v="Failed")),_xlpm.b,SUM(_xlpm.m*(_xlpm.v="Blocked")),_xlpm.nr,SUM(_xlpm.m*(_xlpm.v="Not Run")),_xlpm.cp,SUM(_xlpm.m*(_xlpm.v="Conditionally Passed")),_xlpm.p,SUM(_xlpm.m*(_xlpm.v="Passed")),IF(TRIM($A316)="","",IF(TRIM($E316)="","Pending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16" s="68" t="str">
        <f>IF(TRIM($A316)="","",IF($J316="Passed","",IF($J316="Passed with Known Issue","Known Issue",IF($J316="",IF(OR($H316&lt;&gt;"No",AND($F316&lt;&gt;"Medium",$F316&lt;&gt;"Low")),"Pending Result",""),IF(OR($H316&lt;&gt;"No",AND($F316&lt;&gt;"Medium",$F316&lt;&gt;"Low")),IF(COUNTIFS(Dashboard!$B$105:$B$124,$A316,Dashboard!$I$105:$I$124,"CAB")&gt;0,"Accepted (CF)","Blocking"),IF($J316="Failed","Deferrable","Carry Over"))))))</f>
        <v/>
      </c>
      <c r="M316" s="68" t="str">
        <f>IF(OR(TRIM($A316)="",TRIM($E316)=""),"",IFERROR(INDEX('E2E core flow'!$B$15:$B$1000,MATCH(1,INDEX(('E2E core flow'!$A$15:$A$1000&lt;&gt;"")*ISNUMBER(SEARCH('E2E core flow'!$A$15:$A$1000,$E316)),0),0))&amp;"","-"))</f>
        <v/>
      </c>
      <c r="N316" s="68" t="str">
        <f>IF(TRIM($A316)="","",IF($O316=0,IF(COUNTIFS('Card Test Cases'!$B$4:$B$1000,$A316,'Card Test Cases'!$A$4:$A$1000,"&lt;&gt;")&gt;0,"Out of Scope","No TC"),IF($Q316&gt;0,"Failed",IF(COUNTIFS('Card Test Cases'!$B$4:$B$1000,$A316,'Card Test Cases'!$A$4:$A$1000,"&lt;&gt;",'Card Test Cases'!$F$4:$F$1000,"Blocked")&gt;0,"Blocked",IF($R316&gt;0,"In Progress","Passed")))))</f>
        <v/>
      </c>
      <c r="O316" s="68" t="str">
        <f>IF(TRIM($A316)="","",COUNTIFS('Card Test Cases'!$B$4:$B$1000,$A316,'Card Test Cases'!$A$4:$A$1000,"&lt;&gt;",'Card Test Cases'!$F$4:$F$1000,"&lt;&gt;Out of Scope"))</f>
        <v/>
      </c>
      <c r="P316" s="68" t="str">
        <f>IF(TRIM($A316)="","",COUNTIFS('Card Test Cases'!$B$4:$B$1000,$A316,'Card Test Cases'!$A$4:$A$1000,"&lt;&gt;",'Card Test Cases'!$F$4:$F$1000,"Passed"))</f>
        <v/>
      </c>
      <c r="Q316" s="68" t="str">
        <f>IF(TRIM($A316)="","",COUNTIFS('Card Test Cases'!$B$4:$B$1000,$A316,'Card Test Cases'!$A$4:$A$1000,"&lt;&gt;",'Card Test Cases'!$F$4:$F$1000,"Failed"))</f>
        <v/>
      </c>
      <c r="R316" s="68" t="str">
        <f t="shared" si="4"/>
        <v/>
      </c>
      <c r="S316" s="68" t="str" cm="1">
        <f t="array" ref="S316">IF(TRIM($A316)="","",IFERROR(_xlfn.TEXTJOIN(", ",TRUE,_xlfn.UNIQUE(_xlfn.VSTACK(_xlfn._xlws.FILTER('Card Test Cases'!$G$4:$G$1000,('Card Test Cases'!$B$4:$B$1000=$A316)*('Card Test Cases'!$G$4:$G$1000&lt;&gt;""),""),_xlfn._xlws.FILTER('E2E core flow'!$U$15:$U$1000,('E2E core flow'!$A$15:$A$1000&lt;&gt;"")*ISNUMBER(SEARCH('E2E core flow'!$A$15:$A$1000,$E316))*('E2E core flow'!$U$15:$U$1000&lt;&gt;""),"")))),"-"))</f>
        <v/>
      </c>
    </row>
    <row r="317" spans="7:19" x14ac:dyDescent="0.3">
      <c r="G317" s="68" t="str" cm="1">
        <f t="array" ref="G317">_xlfn.LET(_xlpm.ids,'E2E core flow'!$A$15:$A$1000,_xlpm.v,'E2E core flow'!$W$15:$W$1000,_xlpm.m,(_xlpm.ids&lt;&gt;"")*ISNUMBER(SEARCH(_xlpm.ids,$E317)),_xlpm.f,SUM(_xlpm.m*(_xlpm.v="Failed")),_xlpm.b,SUM(_xlpm.m*(_xlpm.v="Blocked")),_xlpm.nr,SUM(_xlpm.m*(_xlpm.v="Not Run")),_xlpm.cp,SUM(_xlpm.m*(_xlpm.v="Conditionally Passed")),_xlpm.p,SUM(_xlpm.m*(_xlpm.v="Passed")),IF(TRIM($A317)="","",IF(TRIM($E317)="","Pending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17" s="68" t="str">
        <f>IF(TRIM($A317)="","",IF($J317="Passed","",IF($J317="Passed with Known Issue","Known Issue",IF($J317="",IF(OR($H317&lt;&gt;"No",AND($F317&lt;&gt;"Medium",$F317&lt;&gt;"Low")),"Pending Result",""),IF(OR($H317&lt;&gt;"No",AND($F317&lt;&gt;"Medium",$F317&lt;&gt;"Low")),IF(COUNTIFS(Dashboard!$B$105:$B$124,$A317,Dashboard!$I$105:$I$124,"CAB")&gt;0,"Accepted (CF)","Blocking"),IF($J317="Failed","Deferrable","Carry Over"))))))</f>
        <v/>
      </c>
      <c r="M317" s="68" t="str">
        <f>IF(OR(TRIM($A317)="",TRIM($E317)=""),"",IFERROR(INDEX('E2E core flow'!$B$15:$B$1000,MATCH(1,INDEX(('E2E core flow'!$A$15:$A$1000&lt;&gt;"")*ISNUMBER(SEARCH('E2E core flow'!$A$15:$A$1000,$E317)),0),0))&amp;"","-"))</f>
        <v/>
      </c>
      <c r="N317" s="68" t="str">
        <f>IF(TRIM($A317)="","",IF($O317=0,IF(COUNTIFS('Card Test Cases'!$B$4:$B$1000,$A317,'Card Test Cases'!$A$4:$A$1000,"&lt;&gt;")&gt;0,"Out of Scope","No TC"),IF($Q317&gt;0,"Failed",IF(COUNTIFS('Card Test Cases'!$B$4:$B$1000,$A317,'Card Test Cases'!$A$4:$A$1000,"&lt;&gt;",'Card Test Cases'!$F$4:$F$1000,"Blocked")&gt;0,"Blocked",IF($R317&gt;0,"In Progress","Passed")))))</f>
        <v/>
      </c>
      <c r="O317" s="68" t="str">
        <f>IF(TRIM($A317)="","",COUNTIFS('Card Test Cases'!$B$4:$B$1000,$A317,'Card Test Cases'!$A$4:$A$1000,"&lt;&gt;",'Card Test Cases'!$F$4:$F$1000,"&lt;&gt;Out of Scope"))</f>
        <v/>
      </c>
      <c r="P317" s="68" t="str">
        <f>IF(TRIM($A317)="","",COUNTIFS('Card Test Cases'!$B$4:$B$1000,$A317,'Card Test Cases'!$A$4:$A$1000,"&lt;&gt;",'Card Test Cases'!$F$4:$F$1000,"Passed"))</f>
        <v/>
      </c>
      <c r="Q317" s="68" t="str">
        <f>IF(TRIM($A317)="","",COUNTIFS('Card Test Cases'!$B$4:$B$1000,$A317,'Card Test Cases'!$A$4:$A$1000,"&lt;&gt;",'Card Test Cases'!$F$4:$F$1000,"Failed"))</f>
        <v/>
      </c>
      <c r="R317" s="68" t="str">
        <f t="shared" si="4"/>
        <v/>
      </c>
      <c r="S317" s="68" t="str" cm="1">
        <f t="array" ref="S317">IF(TRIM($A317)="","",IFERROR(_xlfn.TEXTJOIN(", ",TRUE,_xlfn.UNIQUE(_xlfn.VSTACK(_xlfn._xlws.FILTER('Card Test Cases'!$G$4:$G$1000,('Card Test Cases'!$B$4:$B$1000=$A317)*('Card Test Cases'!$G$4:$G$1000&lt;&gt;""),""),_xlfn._xlws.FILTER('E2E core flow'!$U$15:$U$1000,('E2E core flow'!$A$15:$A$1000&lt;&gt;"")*ISNUMBER(SEARCH('E2E core flow'!$A$15:$A$1000,$E317))*('E2E core flow'!$U$15:$U$1000&lt;&gt;""),"")))),"-"))</f>
        <v/>
      </c>
    </row>
    <row r="318" spans="7:19" x14ac:dyDescent="0.3">
      <c r="G318" s="68" t="str" cm="1">
        <f t="array" ref="G318">_xlfn.LET(_xlpm.ids,'E2E core flow'!$A$15:$A$1000,_xlpm.v,'E2E core flow'!$W$15:$W$1000,_xlpm.m,(_xlpm.ids&lt;&gt;"")*ISNUMBER(SEARCH(_xlpm.ids,$E318)),_xlpm.f,SUM(_xlpm.m*(_xlpm.v="Failed")),_xlpm.b,SUM(_xlpm.m*(_xlpm.v="Blocked")),_xlpm.nr,SUM(_xlpm.m*(_xlpm.v="Not Run")),_xlpm.cp,SUM(_xlpm.m*(_xlpm.v="Conditionally Passed")),_xlpm.p,SUM(_xlpm.m*(_xlpm.v="Passed")),IF(TRIM($A318)="","",IF(TRIM($E318)="","Pending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18" s="68" t="str">
        <f>IF(TRIM($A318)="","",IF($J318="Passed","",IF($J318="Passed with Known Issue","Known Issue",IF($J318="",IF(OR($H318&lt;&gt;"No",AND($F318&lt;&gt;"Medium",$F318&lt;&gt;"Low")),"Pending Result",""),IF(OR($H318&lt;&gt;"No",AND($F318&lt;&gt;"Medium",$F318&lt;&gt;"Low")),IF(COUNTIFS(Dashboard!$B$105:$B$124,$A318,Dashboard!$I$105:$I$124,"CAB")&gt;0,"Accepted (CF)","Blocking"),IF($J318="Failed","Deferrable","Carry Over"))))))</f>
        <v/>
      </c>
      <c r="M318" s="68" t="str">
        <f>IF(OR(TRIM($A318)="",TRIM($E318)=""),"",IFERROR(INDEX('E2E core flow'!$B$15:$B$1000,MATCH(1,INDEX(('E2E core flow'!$A$15:$A$1000&lt;&gt;"")*ISNUMBER(SEARCH('E2E core flow'!$A$15:$A$1000,$E318)),0),0))&amp;"","-"))</f>
        <v/>
      </c>
      <c r="N318" s="68" t="str">
        <f>IF(TRIM($A318)="","",IF($O318=0,IF(COUNTIFS('Card Test Cases'!$B$4:$B$1000,$A318,'Card Test Cases'!$A$4:$A$1000,"&lt;&gt;")&gt;0,"Out of Scope","No TC"),IF($Q318&gt;0,"Failed",IF(COUNTIFS('Card Test Cases'!$B$4:$B$1000,$A318,'Card Test Cases'!$A$4:$A$1000,"&lt;&gt;",'Card Test Cases'!$F$4:$F$1000,"Blocked")&gt;0,"Blocked",IF($R318&gt;0,"In Progress","Passed")))))</f>
        <v/>
      </c>
      <c r="O318" s="68" t="str">
        <f>IF(TRIM($A318)="","",COUNTIFS('Card Test Cases'!$B$4:$B$1000,$A318,'Card Test Cases'!$A$4:$A$1000,"&lt;&gt;",'Card Test Cases'!$F$4:$F$1000,"&lt;&gt;Out of Scope"))</f>
        <v/>
      </c>
      <c r="P318" s="68" t="str">
        <f>IF(TRIM($A318)="","",COUNTIFS('Card Test Cases'!$B$4:$B$1000,$A318,'Card Test Cases'!$A$4:$A$1000,"&lt;&gt;",'Card Test Cases'!$F$4:$F$1000,"Passed"))</f>
        <v/>
      </c>
      <c r="Q318" s="68" t="str">
        <f>IF(TRIM($A318)="","",COUNTIFS('Card Test Cases'!$B$4:$B$1000,$A318,'Card Test Cases'!$A$4:$A$1000,"&lt;&gt;",'Card Test Cases'!$F$4:$F$1000,"Failed"))</f>
        <v/>
      </c>
      <c r="R318" s="68" t="str">
        <f t="shared" si="4"/>
        <v/>
      </c>
      <c r="S318" s="68" t="str" cm="1">
        <f t="array" ref="S318">IF(TRIM($A318)="","",IFERROR(_xlfn.TEXTJOIN(", ",TRUE,_xlfn.UNIQUE(_xlfn.VSTACK(_xlfn._xlws.FILTER('Card Test Cases'!$G$4:$G$1000,('Card Test Cases'!$B$4:$B$1000=$A318)*('Card Test Cases'!$G$4:$G$1000&lt;&gt;""),""),_xlfn._xlws.FILTER('E2E core flow'!$U$15:$U$1000,('E2E core flow'!$A$15:$A$1000&lt;&gt;"")*ISNUMBER(SEARCH('E2E core flow'!$A$15:$A$1000,$E318))*('E2E core flow'!$U$15:$U$1000&lt;&gt;""),"")))),"-"))</f>
        <v/>
      </c>
    </row>
    <row r="319" spans="7:19" x14ac:dyDescent="0.3">
      <c r="G319" s="68" t="str" cm="1">
        <f t="array" ref="G319">_xlfn.LET(_xlpm.ids,'E2E core flow'!$A$15:$A$1000,_xlpm.v,'E2E core flow'!$W$15:$W$1000,_xlpm.m,(_xlpm.ids&lt;&gt;"")*ISNUMBER(SEARCH(_xlpm.ids,$E319)),_xlpm.f,SUM(_xlpm.m*(_xlpm.v="Failed")),_xlpm.b,SUM(_xlpm.m*(_xlpm.v="Blocked")),_xlpm.nr,SUM(_xlpm.m*(_xlpm.v="Not Run")),_xlpm.cp,SUM(_xlpm.m*(_xlpm.v="Conditionally Passed")),_xlpm.p,SUM(_xlpm.m*(_xlpm.v="Passed")),IF(TRIM($A319)="","",IF(TRIM($E319)="","Pending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19" s="68" t="str">
        <f>IF(TRIM($A319)="","",IF($J319="Passed","",IF($J319="Passed with Known Issue","Known Issue",IF($J319="",IF(OR($H319&lt;&gt;"No",AND($F319&lt;&gt;"Medium",$F319&lt;&gt;"Low")),"Pending Result",""),IF(OR($H319&lt;&gt;"No",AND($F319&lt;&gt;"Medium",$F319&lt;&gt;"Low")),IF(COUNTIFS(Dashboard!$B$105:$B$124,$A319,Dashboard!$I$105:$I$124,"CAB")&gt;0,"Accepted (CF)","Blocking"),IF($J319="Failed","Deferrable","Carry Over"))))))</f>
        <v/>
      </c>
      <c r="M319" s="68" t="str">
        <f>IF(OR(TRIM($A319)="",TRIM($E319)=""),"",IFERROR(INDEX('E2E core flow'!$B$15:$B$1000,MATCH(1,INDEX(('E2E core flow'!$A$15:$A$1000&lt;&gt;"")*ISNUMBER(SEARCH('E2E core flow'!$A$15:$A$1000,$E319)),0),0))&amp;"","-"))</f>
        <v/>
      </c>
      <c r="N319" s="68" t="str">
        <f>IF(TRIM($A319)="","",IF($O319=0,IF(COUNTIFS('Card Test Cases'!$B$4:$B$1000,$A319,'Card Test Cases'!$A$4:$A$1000,"&lt;&gt;")&gt;0,"Out of Scope","No TC"),IF($Q319&gt;0,"Failed",IF(COUNTIFS('Card Test Cases'!$B$4:$B$1000,$A319,'Card Test Cases'!$A$4:$A$1000,"&lt;&gt;",'Card Test Cases'!$F$4:$F$1000,"Blocked")&gt;0,"Blocked",IF($R319&gt;0,"In Progress","Passed")))))</f>
        <v/>
      </c>
      <c r="O319" s="68" t="str">
        <f>IF(TRIM($A319)="","",COUNTIFS('Card Test Cases'!$B$4:$B$1000,$A319,'Card Test Cases'!$A$4:$A$1000,"&lt;&gt;",'Card Test Cases'!$F$4:$F$1000,"&lt;&gt;Out of Scope"))</f>
        <v/>
      </c>
      <c r="P319" s="68" t="str">
        <f>IF(TRIM($A319)="","",COUNTIFS('Card Test Cases'!$B$4:$B$1000,$A319,'Card Test Cases'!$A$4:$A$1000,"&lt;&gt;",'Card Test Cases'!$F$4:$F$1000,"Passed"))</f>
        <v/>
      </c>
      <c r="Q319" s="68" t="str">
        <f>IF(TRIM($A319)="","",COUNTIFS('Card Test Cases'!$B$4:$B$1000,$A319,'Card Test Cases'!$A$4:$A$1000,"&lt;&gt;",'Card Test Cases'!$F$4:$F$1000,"Failed"))</f>
        <v/>
      </c>
      <c r="R319" s="68" t="str">
        <f t="shared" si="4"/>
        <v/>
      </c>
      <c r="S319" s="68" t="str" cm="1">
        <f t="array" ref="S319">IF(TRIM($A319)="","",IFERROR(_xlfn.TEXTJOIN(", ",TRUE,_xlfn.UNIQUE(_xlfn.VSTACK(_xlfn._xlws.FILTER('Card Test Cases'!$G$4:$G$1000,('Card Test Cases'!$B$4:$B$1000=$A319)*('Card Test Cases'!$G$4:$G$1000&lt;&gt;""),""),_xlfn._xlws.FILTER('E2E core flow'!$U$15:$U$1000,('E2E core flow'!$A$15:$A$1000&lt;&gt;"")*ISNUMBER(SEARCH('E2E core flow'!$A$15:$A$1000,$E319))*('E2E core flow'!$U$15:$U$1000&lt;&gt;""),"")))),"-"))</f>
        <v/>
      </c>
    </row>
    <row r="320" spans="7:19" x14ac:dyDescent="0.3">
      <c r="G320" s="68" t="str" cm="1">
        <f t="array" ref="G320">_xlfn.LET(_xlpm.ids,'E2E core flow'!$A$15:$A$1000,_xlpm.v,'E2E core flow'!$W$15:$W$1000,_xlpm.m,(_xlpm.ids&lt;&gt;"")*ISNUMBER(SEARCH(_xlpm.ids,$E320)),_xlpm.f,SUM(_xlpm.m*(_xlpm.v="Failed")),_xlpm.b,SUM(_xlpm.m*(_xlpm.v="Blocked")),_xlpm.nr,SUM(_xlpm.m*(_xlpm.v="Not Run")),_xlpm.cp,SUM(_xlpm.m*(_xlpm.v="Conditionally Passed")),_xlpm.p,SUM(_xlpm.m*(_xlpm.v="Passed")),IF(TRIM($A320)="","",IF(TRIM($E320)="","Pending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20" s="68" t="str">
        <f>IF(TRIM($A320)="","",IF($J320="Passed","",IF($J320="Passed with Known Issue","Known Issue",IF($J320="",IF(OR($H320&lt;&gt;"No",AND($F320&lt;&gt;"Medium",$F320&lt;&gt;"Low")),"Pending Result",""),IF(OR($H320&lt;&gt;"No",AND($F320&lt;&gt;"Medium",$F320&lt;&gt;"Low")),IF(COUNTIFS(Dashboard!$B$105:$B$124,$A320,Dashboard!$I$105:$I$124,"CAB")&gt;0,"Accepted (CF)","Blocking"),IF($J320="Failed","Deferrable","Carry Over"))))))</f>
        <v/>
      </c>
      <c r="M320" s="68" t="str">
        <f>IF(OR(TRIM($A320)="",TRIM($E320)=""),"",IFERROR(INDEX('E2E core flow'!$B$15:$B$1000,MATCH(1,INDEX(('E2E core flow'!$A$15:$A$1000&lt;&gt;"")*ISNUMBER(SEARCH('E2E core flow'!$A$15:$A$1000,$E320)),0),0))&amp;"","-"))</f>
        <v/>
      </c>
      <c r="N320" s="68" t="str">
        <f>IF(TRIM($A320)="","",IF($O320=0,IF(COUNTIFS('Card Test Cases'!$B$4:$B$1000,$A320,'Card Test Cases'!$A$4:$A$1000,"&lt;&gt;")&gt;0,"Out of Scope","No TC"),IF($Q320&gt;0,"Failed",IF(COUNTIFS('Card Test Cases'!$B$4:$B$1000,$A320,'Card Test Cases'!$A$4:$A$1000,"&lt;&gt;",'Card Test Cases'!$F$4:$F$1000,"Blocked")&gt;0,"Blocked",IF($R320&gt;0,"In Progress","Passed")))))</f>
        <v/>
      </c>
      <c r="O320" s="68" t="str">
        <f>IF(TRIM($A320)="","",COUNTIFS('Card Test Cases'!$B$4:$B$1000,$A320,'Card Test Cases'!$A$4:$A$1000,"&lt;&gt;",'Card Test Cases'!$F$4:$F$1000,"&lt;&gt;Out of Scope"))</f>
        <v/>
      </c>
      <c r="P320" s="68" t="str">
        <f>IF(TRIM($A320)="","",COUNTIFS('Card Test Cases'!$B$4:$B$1000,$A320,'Card Test Cases'!$A$4:$A$1000,"&lt;&gt;",'Card Test Cases'!$F$4:$F$1000,"Passed"))</f>
        <v/>
      </c>
      <c r="Q320" s="68" t="str">
        <f>IF(TRIM($A320)="","",COUNTIFS('Card Test Cases'!$B$4:$B$1000,$A320,'Card Test Cases'!$A$4:$A$1000,"&lt;&gt;",'Card Test Cases'!$F$4:$F$1000,"Failed"))</f>
        <v/>
      </c>
      <c r="R320" s="68" t="str">
        <f t="shared" si="4"/>
        <v/>
      </c>
      <c r="S320" s="68" t="str" cm="1">
        <f t="array" ref="S320">IF(TRIM($A320)="","",IFERROR(_xlfn.TEXTJOIN(", ",TRUE,_xlfn.UNIQUE(_xlfn.VSTACK(_xlfn._xlws.FILTER('Card Test Cases'!$G$4:$G$1000,('Card Test Cases'!$B$4:$B$1000=$A320)*('Card Test Cases'!$G$4:$G$1000&lt;&gt;""),""),_xlfn._xlws.FILTER('E2E core flow'!$U$15:$U$1000,('E2E core flow'!$A$15:$A$1000&lt;&gt;"")*ISNUMBER(SEARCH('E2E core flow'!$A$15:$A$1000,$E320))*('E2E core flow'!$U$15:$U$1000&lt;&gt;""),"")))),"-"))</f>
        <v/>
      </c>
    </row>
    <row r="321" spans="7:19" x14ac:dyDescent="0.3">
      <c r="G321" s="68" t="str" cm="1">
        <f t="array" ref="G321">_xlfn.LET(_xlpm.ids,'E2E core flow'!$A$15:$A$1000,_xlpm.v,'E2E core flow'!$W$15:$W$1000,_xlpm.m,(_xlpm.ids&lt;&gt;"")*ISNUMBER(SEARCH(_xlpm.ids,$E321)),_xlpm.f,SUM(_xlpm.m*(_xlpm.v="Failed")),_xlpm.b,SUM(_xlpm.m*(_xlpm.v="Blocked")),_xlpm.nr,SUM(_xlpm.m*(_xlpm.v="Not Run")),_xlpm.cp,SUM(_xlpm.m*(_xlpm.v="Conditionally Passed")),_xlpm.p,SUM(_xlpm.m*(_xlpm.v="Passed")),IF(TRIM($A321)="","",IF(TRIM($E321)="","Pending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21" s="68" t="str">
        <f>IF(TRIM($A321)="","",IF($J321="Passed","",IF($J321="Passed with Known Issue","Known Issue",IF($J321="",IF(OR($H321&lt;&gt;"No",AND($F321&lt;&gt;"Medium",$F321&lt;&gt;"Low")),"Pending Result",""),IF(OR($H321&lt;&gt;"No",AND($F321&lt;&gt;"Medium",$F321&lt;&gt;"Low")),IF(COUNTIFS(Dashboard!$B$105:$B$124,$A321,Dashboard!$I$105:$I$124,"CAB")&gt;0,"Accepted (CF)","Blocking"),IF($J321="Failed","Deferrable","Carry Over"))))))</f>
        <v/>
      </c>
      <c r="M321" s="68" t="str">
        <f>IF(OR(TRIM($A321)="",TRIM($E321)=""),"",IFERROR(INDEX('E2E core flow'!$B$15:$B$1000,MATCH(1,INDEX(('E2E core flow'!$A$15:$A$1000&lt;&gt;"")*ISNUMBER(SEARCH('E2E core flow'!$A$15:$A$1000,$E321)),0),0))&amp;"","-"))</f>
        <v/>
      </c>
      <c r="N321" s="68" t="str">
        <f>IF(TRIM($A321)="","",IF($O321=0,IF(COUNTIFS('Card Test Cases'!$B$4:$B$1000,$A321,'Card Test Cases'!$A$4:$A$1000,"&lt;&gt;")&gt;0,"Out of Scope","No TC"),IF($Q321&gt;0,"Failed",IF(COUNTIFS('Card Test Cases'!$B$4:$B$1000,$A321,'Card Test Cases'!$A$4:$A$1000,"&lt;&gt;",'Card Test Cases'!$F$4:$F$1000,"Blocked")&gt;0,"Blocked",IF($R321&gt;0,"In Progress","Passed")))))</f>
        <v/>
      </c>
      <c r="O321" s="68" t="str">
        <f>IF(TRIM($A321)="","",COUNTIFS('Card Test Cases'!$B$4:$B$1000,$A321,'Card Test Cases'!$A$4:$A$1000,"&lt;&gt;",'Card Test Cases'!$F$4:$F$1000,"&lt;&gt;Out of Scope"))</f>
        <v/>
      </c>
      <c r="P321" s="68" t="str">
        <f>IF(TRIM($A321)="","",COUNTIFS('Card Test Cases'!$B$4:$B$1000,$A321,'Card Test Cases'!$A$4:$A$1000,"&lt;&gt;",'Card Test Cases'!$F$4:$F$1000,"Passed"))</f>
        <v/>
      </c>
      <c r="Q321" s="68" t="str">
        <f>IF(TRIM($A321)="","",COUNTIFS('Card Test Cases'!$B$4:$B$1000,$A321,'Card Test Cases'!$A$4:$A$1000,"&lt;&gt;",'Card Test Cases'!$F$4:$F$1000,"Failed"))</f>
        <v/>
      </c>
      <c r="R321" s="68" t="str">
        <f t="shared" si="4"/>
        <v/>
      </c>
      <c r="S321" s="68" t="str" cm="1">
        <f t="array" ref="S321">IF(TRIM($A321)="","",IFERROR(_xlfn.TEXTJOIN(", ",TRUE,_xlfn.UNIQUE(_xlfn.VSTACK(_xlfn._xlws.FILTER('Card Test Cases'!$G$4:$G$1000,('Card Test Cases'!$B$4:$B$1000=$A321)*('Card Test Cases'!$G$4:$G$1000&lt;&gt;""),""),_xlfn._xlws.FILTER('E2E core flow'!$U$15:$U$1000,('E2E core flow'!$A$15:$A$1000&lt;&gt;"")*ISNUMBER(SEARCH('E2E core flow'!$A$15:$A$1000,$E321))*('E2E core flow'!$U$15:$U$1000&lt;&gt;""),"")))),"-"))</f>
        <v/>
      </c>
    </row>
    <row r="322" spans="7:19" x14ac:dyDescent="0.3">
      <c r="G322" s="68" t="str" cm="1">
        <f t="array" ref="G322">_xlfn.LET(_xlpm.ids,'E2E core flow'!$A$15:$A$1000,_xlpm.v,'E2E core flow'!$W$15:$W$1000,_xlpm.m,(_xlpm.ids&lt;&gt;"")*ISNUMBER(SEARCH(_xlpm.ids,$E322)),_xlpm.f,SUM(_xlpm.m*(_xlpm.v="Failed")),_xlpm.b,SUM(_xlpm.m*(_xlpm.v="Blocked")),_xlpm.nr,SUM(_xlpm.m*(_xlpm.v="Not Run")),_xlpm.cp,SUM(_xlpm.m*(_xlpm.v="Conditionally Passed")),_xlpm.p,SUM(_xlpm.m*(_xlpm.v="Passed")),IF(TRIM($A322)="","",IF(TRIM($E322)="","Pending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22" s="68" t="str">
        <f>IF(TRIM($A322)="","",IF($J322="Passed","",IF($J322="Passed with Known Issue","Known Issue",IF($J322="",IF(OR($H322&lt;&gt;"No",AND($F322&lt;&gt;"Medium",$F322&lt;&gt;"Low")),"Pending Result",""),IF(OR($H322&lt;&gt;"No",AND($F322&lt;&gt;"Medium",$F322&lt;&gt;"Low")),IF(COUNTIFS(Dashboard!$B$105:$B$124,$A322,Dashboard!$I$105:$I$124,"CAB")&gt;0,"Accepted (CF)","Blocking"),IF($J322="Failed","Deferrable","Carry Over"))))))</f>
        <v/>
      </c>
      <c r="M322" s="68" t="str">
        <f>IF(OR(TRIM($A322)="",TRIM($E322)=""),"",IFERROR(INDEX('E2E core flow'!$B$15:$B$1000,MATCH(1,INDEX(('E2E core flow'!$A$15:$A$1000&lt;&gt;"")*ISNUMBER(SEARCH('E2E core flow'!$A$15:$A$1000,$E322)),0),0))&amp;"","-"))</f>
        <v/>
      </c>
      <c r="N322" s="68" t="str">
        <f>IF(TRIM($A322)="","",IF($O322=0,IF(COUNTIFS('Card Test Cases'!$B$4:$B$1000,$A322,'Card Test Cases'!$A$4:$A$1000,"&lt;&gt;")&gt;0,"Out of Scope","No TC"),IF($Q322&gt;0,"Failed",IF(COUNTIFS('Card Test Cases'!$B$4:$B$1000,$A322,'Card Test Cases'!$A$4:$A$1000,"&lt;&gt;",'Card Test Cases'!$F$4:$F$1000,"Blocked")&gt;0,"Blocked",IF($R322&gt;0,"In Progress","Passed")))))</f>
        <v/>
      </c>
      <c r="O322" s="68" t="str">
        <f>IF(TRIM($A322)="","",COUNTIFS('Card Test Cases'!$B$4:$B$1000,$A322,'Card Test Cases'!$A$4:$A$1000,"&lt;&gt;",'Card Test Cases'!$F$4:$F$1000,"&lt;&gt;Out of Scope"))</f>
        <v/>
      </c>
      <c r="P322" s="68" t="str">
        <f>IF(TRIM($A322)="","",COUNTIFS('Card Test Cases'!$B$4:$B$1000,$A322,'Card Test Cases'!$A$4:$A$1000,"&lt;&gt;",'Card Test Cases'!$F$4:$F$1000,"Passed"))</f>
        <v/>
      </c>
      <c r="Q322" s="68" t="str">
        <f>IF(TRIM($A322)="","",COUNTIFS('Card Test Cases'!$B$4:$B$1000,$A322,'Card Test Cases'!$A$4:$A$1000,"&lt;&gt;",'Card Test Cases'!$F$4:$F$1000,"Failed"))</f>
        <v/>
      </c>
      <c r="R322" s="68" t="str">
        <f t="shared" si="4"/>
        <v/>
      </c>
      <c r="S322" s="68" t="str" cm="1">
        <f t="array" ref="S322">IF(TRIM($A322)="","",IFERROR(_xlfn.TEXTJOIN(", ",TRUE,_xlfn.UNIQUE(_xlfn.VSTACK(_xlfn._xlws.FILTER('Card Test Cases'!$G$4:$G$1000,('Card Test Cases'!$B$4:$B$1000=$A322)*('Card Test Cases'!$G$4:$G$1000&lt;&gt;""),""),_xlfn._xlws.FILTER('E2E core flow'!$U$15:$U$1000,('E2E core flow'!$A$15:$A$1000&lt;&gt;"")*ISNUMBER(SEARCH('E2E core flow'!$A$15:$A$1000,$E322))*('E2E core flow'!$U$15:$U$1000&lt;&gt;""),"")))),"-"))</f>
        <v/>
      </c>
    </row>
    <row r="323" spans="7:19" x14ac:dyDescent="0.3">
      <c r="G323" s="68" t="str" cm="1">
        <f t="array" ref="G323">_xlfn.LET(_xlpm.ids,'E2E core flow'!$A$15:$A$1000,_xlpm.v,'E2E core flow'!$W$15:$W$1000,_xlpm.m,(_xlpm.ids&lt;&gt;"")*ISNUMBER(SEARCH(_xlpm.ids,$E323)),_xlpm.f,SUM(_xlpm.m*(_xlpm.v="Failed")),_xlpm.b,SUM(_xlpm.m*(_xlpm.v="Blocked")),_xlpm.nr,SUM(_xlpm.m*(_xlpm.v="Not Run")),_xlpm.cp,SUM(_xlpm.m*(_xlpm.v="Conditionally Passed")),_xlpm.p,SUM(_xlpm.m*(_xlpm.v="Passed")),IF(TRIM($A323)="","",IF(TRIM($E323)="","Pending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23" s="68" t="str">
        <f>IF(TRIM($A323)="","",IF($J323="Passed","",IF($J323="Passed with Known Issue","Known Issue",IF($J323="",IF(OR($H323&lt;&gt;"No",AND($F323&lt;&gt;"Medium",$F323&lt;&gt;"Low")),"Pending Result",""),IF(OR($H323&lt;&gt;"No",AND($F323&lt;&gt;"Medium",$F323&lt;&gt;"Low")),IF(COUNTIFS(Dashboard!$B$105:$B$124,$A323,Dashboard!$I$105:$I$124,"CAB")&gt;0,"Accepted (CF)","Blocking"),IF($J323="Failed","Deferrable","Carry Over"))))))</f>
        <v/>
      </c>
      <c r="M323" s="68" t="str">
        <f>IF(OR(TRIM($A323)="",TRIM($E323)=""),"",IFERROR(INDEX('E2E core flow'!$B$15:$B$1000,MATCH(1,INDEX(('E2E core flow'!$A$15:$A$1000&lt;&gt;"")*ISNUMBER(SEARCH('E2E core flow'!$A$15:$A$1000,$E323)),0),0))&amp;"","-"))</f>
        <v/>
      </c>
      <c r="N323" s="68" t="str">
        <f>IF(TRIM($A323)="","",IF($O323=0,IF(COUNTIFS('Card Test Cases'!$B$4:$B$1000,$A323,'Card Test Cases'!$A$4:$A$1000,"&lt;&gt;")&gt;0,"Out of Scope","No TC"),IF($Q323&gt;0,"Failed",IF(COUNTIFS('Card Test Cases'!$B$4:$B$1000,$A323,'Card Test Cases'!$A$4:$A$1000,"&lt;&gt;",'Card Test Cases'!$F$4:$F$1000,"Blocked")&gt;0,"Blocked",IF($R323&gt;0,"In Progress","Passed")))))</f>
        <v/>
      </c>
      <c r="O323" s="68" t="str">
        <f>IF(TRIM($A323)="","",COUNTIFS('Card Test Cases'!$B$4:$B$1000,$A323,'Card Test Cases'!$A$4:$A$1000,"&lt;&gt;",'Card Test Cases'!$F$4:$F$1000,"&lt;&gt;Out of Scope"))</f>
        <v/>
      </c>
      <c r="P323" s="68" t="str">
        <f>IF(TRIM($A323)="","",COUNTIFS('Card Test Cases'!$B$4:$B$1000,$A323,'Card Test Cases'!$A$4:$A$1000,"&lt;&gt;",'Card Test Cases'!$F$4:$F$1000,"Passed"))</f>
        <v/>
      </c>
      <c r="Q323" s="68" t="str">
        <f>IF(TRIM($A323)="","",COUNTIFS('Card Test Cases'!$B$4:$B$1000,$A323,'Card Test Cases'!$A$4:$A$1000,"&lt;&gt;",'Card Test Cases'!$F$4:$F$1000,"Failed"))</f>
        <v/>
      </c>
      <c r="R323" s="68" t="str">
        <f t="shared" si="4"/>
        <v/>
      </c>
      <c r="S323" s="68" t="str" cm="1">
        <f t="array" ref="S323">IF(TRIM($A323)="","",IFERROR(_xlfn.TEXTJOIN(", ",TRUE,_xlfn.UNIQUE(_xlfn.VSTACK(_xlfn._xlws.FILTER('Card Test Cases'!$G$4:$G$1000,('Card Test Cases'!$B$4:$B$1000=$A323)*('Card Test Cases'!$G$4:$G$1000&lt;&gt;""),""),_xlfn._xlws.FILTER('E2E core flow'!$U$15:$U$1000,('E2E core flow'!$A$15:$A$1000&lt;&gt;"")*ISNUMBER(SEARCH('E2E core flow'!$A$15:$A$1000,$E323))*('E2E core flow'!$U$15:$U$1000&lt;&gt;""),"")))),"-"))</f>
        <v/>
      </c>
    </row>
    <row r="324" spans="7:19" x14ac:dyDescent="0.3">
      <c r="G324" s="68" t="str" cm="1">
        <f t="array" ref="G324">_xlfn.LET(_xlpm.ids,'E2E core flow'!$A$15:$A$1000,_xlpm.v,'E2E core flow'!$W$15:$W$1000,_xlpm.m,(_xlpm.ids&lt;&gt;"")*ISNUMBER(SEARCH(_xlpm.ids,$E324)),_xlpm.f,SUM(_xlpm.m*(_xlpm.v="Failed")),_xlpm.b,SUM(_xlpm.m*(_xlpm.v="Blocked")),_xlpm.nr,SUM(_xlpm.m*(_xlpm.v="Not Run")),_xlpm.cp,SUM(_xlpm.m*(_xlpm.v="Conditionally Passed")),_xlpm.p,SUM(_xlpm.m*(_xlpm.v="Passed")),IF(TRIM($A324)="","",IF(TRIM($E324)="","Pending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24" s="68" t="str">
        <f>IF(TRIM($A324)="","",IF($J324="Passed","",IF($J324="Passed with Known Issue","Known Issue",IF($J324="",IF(OR($H324&lt;&gt;"No",AND($F324&lt;&gt;"Medium",$F324&lt;&gt;"Low")),"Pending Result",""),IF(OR($H324&lt;&gt;"No",AND($F324&lt;&gt;"Medium",$F324&lt;&gt;"Low")),IF(COUNTIFS(Dashboard!$B$105:$B$124,$A324,Dashboard!$I$105:$I$124,"CAB")&gt;0,"Accepted (CF)","Blocking"),IF($J324="Failed","Deferrable","Carry Over"))))))</f>
        <v/>
      </c>
      <c r="M324" s="68" t="str">
        <f>IF(OR(TRIM($A324)="",TRIM($E324)=""),"",IFERROR(INDEX('E2E core flow'!$B$15:$B$1000,MATCH(1,INDEX(('E2E core flow'!$A$15:$A$1000&lt;&gt;"")*ISNUMBER(SEARCH('E2E core flow'!$A$15:$A$1000,$E324)),0),0))&amp;"","-"))</f>
        <v/>
      </c>
      <c r="N324" s="68" t="str">
        <f>IF(TRIM($A324)="","",IF($O324=0,IF(COUNTIFS('Card Test Cases'!$B$4:$B$1000,$A324,'Card Test Cases'!$A$4:$A$1000,"&lt;&gt;")&gt;0,"Out of Scope","No TC"),IF($Q324&gt;0,"Failed",IF(COUNTIFS('Card Test Cases'!$B$4:$B$1000,$A324,'Card Test Cases'!$A$4:$A$1000,"&lt;&gt;",'Card Test Cases'!$F$4:$F$1000,"Blocked")&gt;0,"Blocked",IF($R324&gt;0,"In Progress","Passed")))))</f>
        <v/>
      </c>
      <c r="O324" s="68" t="str">
        <f>IF(TRIM($A324)="","",COUNTIFS('Card Test Cases'!$B$4:$B$1000,$A324,'Card Test Cases'!$A$4:$A$1000,"&lt;&gt;",'Card Test Cases'!$F$4:$F$1000,"&lt;&gt;Out of Scope"))</f>
        <v/>
      </c>
      <c r="P324" s="68" t="str">
        <f>IF(TRIM($A324)="","",COUNTIFS('Card Test Cases'!$B$4:$B$1000,$A324,'Card Test Cases'!$A$4:$A$1000,"&lt;&gt;",'Card Test Cases'!$F$4:$F$1000,"Passed"))</f>
        <v/>
      </c>
      <c r="Q324" s="68" t="str">
        <f>IF(TRIM($A324)="","",COUNTIFS('Card Test Cases'!$B$4:$B$1000,$A324,'Card Test Cases'!$A$4:$A$1000,"&lt;&gt;",'Card Test Cases'!$F$4:$F$1000,"Failed"))</f>
        <v/>
      </c>
      <c r="R324" s="68" t="str">
        <f t="shared" ref="R324:R387" si="5">IF(TRIM($A324)="","",$O324-$P324-$Q324)</f>
        <v/>
      </c>
      <c r="S324" s="68" t="str" cm="1">
        <f t="array" ref="S324">IF(TRIM($A324)="","",IFERROR(_xlfn.TEXTJOIN(", ",TRUE,_xlfn.UNIQUE(_xlfn.VSTACK(_xlfn._xlws.FILTER('Card Test Cases'!$G$4:$G$1000,('Card Test Cases'!$B$4:$B$1000=$A324)*('Card Test Cases'!$G$4:$G$1000&lt;&gt;""),""),_xlfn._xlws.FILTER('E2E core flow'!$U$15:$U$1000,('E2E core flow'!$A$15:$A$1000&lt;&gt;"")*ISNUMBER(SEARCH('E2E core flow'!$A$15:$A$1000,$E324))*('E2E core flow'!$U$15:$U$1000&lt;&gt;""),"")))),"-"))</f>
        <v/>
      </c>
    </row>
    <row r="325" spans="7:19" x14ac:dyDescent="0.3">
      <c r="G325" s="68" t="str" cm="1">
        <f t="array" ref="G325">_xlfn.LET(_xlpm.ids,'E2E core flow'!$A$15:$A$1000,_xlpm.v,'E2E core flow'!$W$15:$W$1000,_xlpm.m,(_xlpm.ids&lt;&gt;"")*ISNUMBER(SEARCH(_xlpm.ids,$E325)),_xlpm.f,SUM(_xlpm.m*(_xlpm.v="Failed")),_xlpm.b,SUM(_xlpm.m*(_xlpm.v="Blocked")),_xlpm.nr,SUM(_xlpm.m*(_xlpm.v="Not Run")),_xlpm.cp,SUM(_xlpm.m*(_xlpm.v="Conditionally Passed")),_xlpm.p,SUM(_xlpm.m*(_xlpm.v="Passed")),IF(TRIM($A325)="","",IF(TRIM($E325)="","Pending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25" s="68" t="str">
        <f>IF(TRIM($A325)="","",IF($J325="Passed","",IF($J325="Passed with Known Issue","Known Issue",IF($J325="",IF(OR($H325&lt;&gt;"No",AND($F325&lt;&gt;"Medium",$F325&lt;&gt;"Low")),"Pending Result",""),IF(OR($H325&lt;&gt;"No",AND($F325&lt;&gt;"Medium",$F325&lt;&gt;"Low")),IF(COUNTIFS(Dashboard!$B$105:$B$124,$A325,Dashboard!$I$105:$I$124,"CAB")&gt;0,"Accepted (CF)","Blocking"),IF($J325="Failed","Deferrable","Carry Over"))))))</f>
        <v/>
      </c>
      <c r="M325" s="68" t="str">
        <f>IF(OR(TRIM($A325)="",TRIM($E325)=""),"",IFERROR(INDEX('E2E core flow'!$B$15:$B$1000,MATCH(1,INDEX(('E2E core flow'!$A$15:$A$1000&lt;&gt;"")*ISNUMBER(SEARCH('E2E core flow'!$A$15:$A$1000,$E325)),0),0))&amp;"","-"))</f>
        <v/>
      </c>
      <c r="N325" s="68" t="str">
        <f>IF(TRIM($A325)="","",IF($O325=0,IF(COUNTIFS('Card Test Cases'!$B$4:$B$1000,$A325,'Card Test Cases'!$A$4:$A$1000,"&lt;&gt;")&gt;0,"Out of Scope","No TC"),IF($Q325&gt;0,"Failed",IF(COUNTIFS('Card Test Cases'!$B$4:$B$1000,$A325,'Card Test Cases'!$A$4:$A$1000,"&lt;&gt;",'Card Test Cases'!$F$4:$F$1000,"Blocked")&gt;0,"Blocked",IF($R325&gt;0,"In Progress","Passed")))))</f>
        <v/>
      </c>
      <c r="O325" s="68" t="str">
        <f>IF(TRIM($A325)="","",COUNTIFS('Card Test Cases'!$B$4:$B$1000,$A325,'Card Test Cases'!$A$4:$A$1000,"&lt;&gt;",'Card Test Cases'!$F$4:$F$1000,"&lt;&gt;Out of Scope"))</f>
        <v/>
      </c>
      <c r="P325" s="68" t="str">
        <f>IF(TRIM($A325)="","",COUNTIFS('Card Test Cases'!$B$4:$B$1000,$A325,'Card Test Cases'!$A$4:$A$1000,"&lt;&gt;",'Card Test Cases'!$F$4:$F$1000,"Passed"))</f>
        <v/>
      </c>
      <c r="Q325" s="68" t="str">
        <f>IF(TRIM($A325)="","",COUNTIFS('Card Test Cases'!$B$4:$B$1000,$A325,'Card Test Cases'!$A$4:$A$1000,"&lt;&gt;",'Card Test Cases'!$F$4:$F$1000,"Failed"))</f>
        <v/>
      </c>
      <c r="R325" s="68" t="str">
        <f t="shared" si="5"/>
        <v/>
      </c>
      <c r="S325" s="68" t="str" cm="1">
        <f t="array" ref="S325">IF(TRIM($A325)="","",IFERROR(_xlfn.TEXTJOIN(", ",TRUE,_xlfn.UNIQUE(_xlfn.VSTACK(_xlfn._xlws.FILTER('Card Test Cases'!$G$4:$G$1000,('Card Test Cases'!$B$4:$B$1000=$A325)*('Card Test Cases'!$G$4:$G$1000&lt;&gt;""),""),_xlfn._xlws.FILTER('E2E core flow'!$U$15:$U$1000,('E2E core flow'!$A$15:$A$1000&lt;&gt;"")*ISNUMBER(SEARCH('E2E core flow'!$A$15:$A$1000,$E325))*('E2E core flow'!$U$15:$U$1000&lt;&gt;""),"")))),"-"))</f>
        <v/>
      </c>
    </row>
    <row r="326" spans="7:19" x14ac:dyDescent="0.3">
      <c r="G326" s="68" t="str" cm="1">
        <f t="array" ref="G326">_xlfn.LET(_xlpm.ids,'E2E core flow'!$A$15:$A$1000,_xlpm.v,'E2E core flow'!$W$15:$W$1000,_xlpm.m,(_xlpm.ids&lt;&gt;"")*ISNUMBER(SEARCH(_xlpm.ids,$E326)),_xlpm.f,SUM(_xlpm.m*(_xlpm.v="Failed")),_xlpm.b,SUM(_xlpm.m*(_xlpm.v="Blocked")),_xlpm.nr,SUM(_xlpm.m*(_xlpm.v="Not Run")),_xlpm.cp,SUM(_xlpm.m*(_xlpm.v="Conditionally Passed")),_xlpm.p,SUM(_xlpm.m*(_xlpm.v="Passed")),IF(TRIM($A326)="","",IF(TRIM($E326)="","Pending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26" s="68" t="str">
        <f>IF(TRIM($A326)="","",IF($J326="Passed","",IF($J326="Passed with Known Issue","Known Issue",IF($J326="",IF(OR($H326&lt;&gt;"No",AND($F326&lt;&gt;"Medium",$F326&lt;&gt;"Low")),"Pending Result",""),IF(OR($H326&lt;&gt;"No",AND($F326&lt;&gt;"Medium",$F326&lt;&gt;"Low")),IF(COUNTIFS(Dashboard!$B$105:$B$124,$A326,Dashboard!$I$105:$I$124,"CAB")&gt;0,"Accepted (CF)","Blocking"),IF($J326="Failed","Deferrable","Carry Over"))))))</f>
        <v/>
      </c>
      <c r="M326" s="68" t="str">
        <f>IF(OR(TRIM($A326)="",TRIM($E326)=""),"",IFERROR(INDEX('E2E core flow'!$B$15:$B$1000,MATCH(1,INDEX(('E2E core flow'!$A$15:$A$1000&lt;&gt;"")*ISNUMBER(SEARCH('E2E core flow'!$A$15:$A$1000,$E326)),0),0))&amp;"","-"))</f>
        <v/>
      </c>
      <c r="N326" s="68" t="str">
        <f>IF(TRIM($A326)="","",IF($O326=0,IF(COUNTIFS('Card Test Cases'!$B$4:$B$1000,$A326,'Card Test Cases'!$A$4:$A$1000,"&lt;&gt;")&gt;0,"Out of Scope","No TC"),IF($Q326&gt;0,"Failed",IF(COUNTIFS('Card Test Cases'!$B$4:$B$1000,$A326,'Card Test Cases'!$A$4:$A$1000,"&lt;&gt;",'Card Test Cases'!$F$4:$F$1000,"Blocked")&gt;0,"Blocked",IF($R326&gt;0,"In Progress","Passed")))))</f>
        <v/>
      </c>
      <c r="O326" s="68" t="str">
        <f>IF(TRIM($A326)="","",COUNTIFS('Card Test Cases'!$B$4:$B$1000,$A326,'Card Test Cases'!$A$4:$A$1000,"&lt;&gt;",'Card Test Cases'!$F$4:$F$1000,"&lt;&gt;Out of Scope"))</f>
        <v/>
      </c>
      <c r="P326" s="68" t="str">
        <f>IF(TRIM($A326)="","",COUNTIFS('Card Test Cases'!$B$4:$B$1000,$A326,'Card Test Cases'!$A$4:$A$1000,"&lt;&gt;",'Card Test Cases'!$F$4:$F$1000,"Passed"))</f>
        <v/>
      </c>
      <c r="Q326" s="68" t="str">
        <f>IF(TRIM($A326)="","",COUNTIFS('Card Test Cases'!$B$4:$B$1000,$A326,'Card Test Cases'!$A$4:$A$1000,"&lt;&gt;",'Card Test Cases'!$F$4:$F$1000,"Failed"))</f>
        <v/>
      </c>
      <c r="R326" s="68" t="str">
        <f t="shared" si="5"/>
        <v/>
      </c>
      <c r="S326" s="68" t="str" cm="1">
        <f t="array" ref="S326">IF(TRIM($A326)="","",IFERROR(_xlfn.TEXTJOIN(", ",TRUE,_xlfn.UNIQUE(_xlfn.VSTACK(_xlfn._xlws.FILTER('Card Test Cases'!$G$4:$G$1000,('Card Test Cases'!$B$4:$B$1000=$A326)*('Card Test Cases'!$G$4:$G$1000&lt;&gt;""),""),_xlfn._xlws.FILTER('E2E core flow'!$U$15:$U$1000,('E2E core flow'!$A$15:$A$1000&lt;&gt;"")*ISNUMBER(SEARCH('E2E core flow'!$A$15:$A$1000,$E326))*('E2E core flow'!$U$15:$U$1000&lt;&gt;""),"")))),"-"))</f>
        <v/>
      </c>
    </row>
    <row r="327" spans="7:19" x14ac:dyDescent="0.3">
      <c r="G327" s="68" t="str" cm="1">
        <f t="array" ref="G327">_xlfn.LET(_xlpm.ids,'E2E core flow'!$A$15:$A$1000,_xlpm.v,'E2E core flow'!$W$15:$W$1000,_xlpm.m,(_xlpm.ids&lt;&gt;"")*ISNUMBER(SEARCH(_xlpm.ids,$E327)),_xlpm.f,SUM(_xlpm.m*(_xlpm.v="Failed")),_xlpm.b,SUM(_xlpm.m*(_xlpm.v="Blocked")),_xlpm.nr,SUM(_xlpm.m*(_xlpm.v="Not Run")),_xlpm.cp,SUM(_xlpm.m*(_xlpm.v="Conditionally Passed")),_xlpm.p,SUM(_xlpm.m*(_xlpm.v="Passed")),IF(TRIM($A327)="","",IF(TRIM($E327)="","Pending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27" s="68" t="str">
        <f>IF(TRIM($A327)="","",IF($J327="Passed","",IF($J327="Passed with Known Issue","Known Issue",IF($J327="",IF(OR($H327&lt;&gt;"No",AND($F327&lt;&gt;"Medium",$F327&lt;&gt;"Low")),"Pending Result",""),IF(OR($H327&lt;&gt;"No",AND($F327&lt;&gt;"Medium",$F327&lt;&gt;"Low")),IF(COUNTIFS(Dashboard!$B$105:$B$124,$A327,Dashboard!$I$105:$I$124,"CAB")&gt;0,"Accepted (CF)","Blocking"),IF($J327="Failed","Deferrable","Carry Over"))))))</f>
        <v/>
      </c>
      <c r="M327" s="68" t="str">
        <f>IF(OR(TRIM($A327)="",TRIM($E327)=""),"",IFERROR(INDEX('E2E core flow'!$B$15:$B$1000,MATCH(1,INDEX(('E2E core flow'!$A$15:$A$1000&lt;&gt;"")*ISNUMBER(SEARCH('E2E core flow'!$A$15:$A$1000,$E327)),0),0))&amp;"","-"))</f>
        <v/>
      </c>
      <c r="N327" s="68" t="str">
        <f>IF(TRIM($A327)="","",IF($O327=0,IF(COUNTIFS('Card Test Cases'!$B$4:$B$1000,$A327,'Card Test Cases'!$A$4:$A$1000,"&lt;&gt;")&gt;0,"Out of Scope","No TC"),IF($Q327&gt;0,"Failed",IF(COUNTIFS('Card Test Cases'!$B$4:$B$1000,$A327,'Card Test Cases'!$A$4:$A$1000,"&lt;&gt;",'Card Test Cases'!$F$4:$F$1000,"Blocked")&gt;0,"Blocked",IF($R327&gt;0,"In Progress","Passed")))))</f>
        <v/>
      </c>
      <c r="O327" s="68" t="str">
        <f>IF(TRIM($A327)="","",COUNTIFS('Card Test Cases'!$B$4:$B$1000,$A327,'Card Test Cases'!$A$4:$A$1000,"&lt;&gt;",'Card Test Cases'!$F$4:$F$1000,"&lt;&gt;Out of Scope"))</f>
        <v/>
      </c>
      <c r="P327" s="68" t="str">
        <f>IF(TRIM($A327)="","",COUNTIFS('Card Test Cases'!$B$4:$B$1000,$A327,'Card Test Cases'!$A$4:$A$1000,"&lt;&gt;",'Card Test Cases'!$F$4:$F$1000,"Passed"))</f>
        <v/>
      </c>
      <c r="Q327" s="68" t="str">
        <f>IF(TRIM($A327)="","",COUNTIFS('Card Test Cases'!$B$4:$B$1000,$A327,'Card Test Cases'!$A$4:$A$1000,"&lt;&gt;",'Card Test Cases'!$F$4:$F$1000,"Failed"))</f>
        <v/>
      </c>
      <c r="R327" s="68" t="str">
        <f t="shared" si="5"/>
        <v/>
      </c>
      <c r="S327" s="68" t="str" cm="1">
        <f t="array" ref="S327">IF(TRIM($A327)="","",IFERROR(_xlfn.TEXTJOIN(", ",TRUE,_xlfn.UNIQUE(_xlfn.VSTACK(_xlfn._xlws.FILTER('Card Test Cases'!$G$4:$G$1000,('Card Test Cases'!$B$4:$B$1000=$A327)*('Card Test Cases'!$G$4:$G$1000&lt;&gt;""),""),_xlfn._xlws.FILTER('E2E core flow'!$U$15:$U$1000,('E2E core flow'!$A$15:$A$1000&lt;&gt;"")*ISNUMBER(SEARCH('E2E core flow'!$A$15:$A$1000,$E327))*('E2E core flow'!$U$15:$U$1000&lt;&gt;""),"")))),"-"))</f>
        <v/>
      </c>
    </row>
    <row r="328" spans="7:19" x14ac:dyDescent="0.3">
      <c r="G328" s="68" t="str" cm="1">
        <f t="array" ref="G328">_xlfn.LET(_xlpm.ids,'E2E core flow'!$A$15:$A$1000,_xlpm.v,'E2E core flow'!$W$15:$W$1000,_xlpm.m,(_xlpm.ids&lt;&gt;"")*ISNUMBER(SEARCH(_xlpm.ids,$E328)),_xlpm.f,SUM(_xlpm.m*(_xlpm.v="Failed")),_xlpm.b,SUM(_xlpm.m*(_xlpm.v="Blocked")),_xlpm.nr,SUM(_xlpm.m*(_xlpm.v="Not Run")),_xlpm.cp,SUM(_xlpm.m*(_xlpm.v="Conditionally Passed")),_xlpm.p,SUM(_xlpm.m*(_xlpm.v="Passed")),IF(TRIM($A328)="","",IF(TRIM($E328)="","Pending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28" s="68" t="str">
        <f>IF(TRIM($A328)="","",IF($J328="Passed","",IF($J328="Passed with Known Issue","Known Issue",IF($J328="",IF(OR($H328&lt;&gt;"No",AND($F328&lt;&gt;"Medium",$F328&lt;&gt;"Low")),"Pending Result",""),IF(OR($H328&lt;&gt;"No",AND($F328&lt;&gt;"Medium",$F328&lt;&gt;"Low")),IF(COUNTIFS(Dashboard!$B$105:$B$124,$A328,Dashboard!$I$105:$I$124,"CAB")&gt;0,"Accepted (CF)","Blocking"),IF($J328="Failed","Deferrable","Carry Over"))))))</f>
        <v/>
      </c>
      <c r="M328" s="68" t="str">
        <f>IF(OR(TRIM($A328)="",TRIM($E328)=""),"",IFERROR(INDEX('E2E core flow'!$B$15:$B$1000,MATCH(1,INDEX(('E2E core flow'!$A$15:$A$1000&lt;&gt;"")*ISNUMBER(SEARCH('E2E core flow'!$A$15:$A$1000,$E328)),0),0))&amp;"","-"))</f>
        <v/>
      </c>
      <c r="N328" s="68" t="str">
        <f>IF(TRIM($A328)="","",IF($O328=0,IF(COUNTIFS('Card Test Cases'!$B$4:$B$1000,$A328,'Card Test Cases'!$A$4:$A$1000,"&lt;&gt;")&gt;0,"Out of Scope","No TC"),IF($Q328&gt;0,"Failed",IF(COUNTIFS('Card Test Cases'!$B$4:$B$1000,$A328,'Card Test Cases'!$A$4:$A$1000,"&lt;&gt;",'Card Test Cases'!$F$4:$F$1000,"Blocked")&gt;0,"Blocked",IF($R328&gt;0,"In Progress","Passed")))))</f>
        <v/>
      </c>
      <c r="O328" s="68" t="str">
        <f>IF(TRIM($A328)="","",COUNTIFS('Card Test Cases'!$B$4:$B$1000,$A328,'Card Test Cases'!$A$4:$A$1000,"&lt;&gt;",'Card Test Cases'!$F$4:$F$1000,"&lt;&gt;Out of Scope"))</f>
        <v/>
      </c>
      <c r="P328" s="68" t="str">
        <f>IF(TRIM($A328)="","",COUNTIFS('Card Test Cases'!$B$4:$B$1000,$A328,'Card Test Cases'!$A$4:$A$1000,"&lt;&gt;",'Card Test Cases'!$F$4:$F$1000,"Passed"))</f>
        <v/>
      </c>
      <c r="Q328" s="68" t="str">
        <f>IF(TRIM($A328)="","",COUNTIFS('Card Test Cases'!$B$4:$B$1000,$A328,'Card Test Cases'!$A$4:$A$1000,"&lt;&gt;",'Card Test Cases'!$F$4:$F$1000,"Failed"))</f>
        <v/>
      </c>
      <c r="R328" s="68" t="str">
        <f t="shared" si="5"/>
        <v/>
      </c>
      <c r="S328" s="68" t="str" cm="1">
        <f t="array" ref="S328">IF(TRIM($A328)="","",IFERROR(_xlfn.TEXTJOIN(", ",TRUE,_xlfn.UNIQUE(_xlfn.VSTACK(_xlfn._xlws.FILTER('Card Test Cases'!$G$4:$G$1000,('Card Test Cases'!$B$4:$B$1000=$A328)*('Card Test Cases'!$G$4:$G$1000&lt;&gt;""),""),_xlfn._xlws.FILTER('E2E core flow'!$U$15:$U$1000,('E2E core flow'!$A$15:$A$1000&lt;&gt;"")*ISNUMBER(SEARCH('E2E core flow'!$A$15:$A$1000,$E328))*('E2E core flow'!$U$15:$U$1000&lt;&gt;""),"")))),"-"))</f>
        <v/>
      </c>
    </row>
    <row r="329" spans="7:19" x14ac:dyDescent="0.3">
      <c r="G329" s="68" t="str" cm="1">
        <f t="array" ref="G329">_xlfn.LET(_xlpm.ids,'E2E core flow'!$A$15:$A$1000,_xlpm.v,'E2E core flow'!$W$15:$W$1000,_xlpm.m,(_xlpm.ids&lt;&gt;"")*ISNUMBER(SEARCH(_xlpm.ids,$E329)),_xlpm.f,SUM(_xlpm.m*(_xlpm.v="Failed")),_xlpm.b,SUM(_xlpm.m*(_xlpm.v="Blocked")),_xlpm.nr,SUM(_xlpm.m*(_xlpm.v="Not Run")),_xlpm.cp,SUM(_xlpm.m*(_xlpm.v="Conditionally Passed")),_xlpm.p,SUM(_xlpm.m*(_xlpm.v="Passed")),IF(TRIM($A329)="","",IF(TRIM($E329)="","Pending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29" s="68" t="str">
        <f>IF(TRIM($A329)="","",IF($J329="Passed","",IF($J329="Passed with Known Issue","Known Issue",IF($J329="",IF(OR($H329&lt;&gt;"No",AND($F329&lt;&gt;"Medium",$F329&lt;&gt;"Low")),"Pending Result",""),IF(OR($H329&lt;&gt;"No",AND($F329&lt;&gt;"Medium",$F329&lt;&gt;"Low")),IF(COUNTIFS(Dashboard!$B$105:$B$124,$A329,Dashboard!$I$105:$I$124,"CAB")&gt;0,"Accepted (CF)","Blocking"),IF($J329="Failed","Deferrable","Carry Over"))))))</f>
        <v/>
      </c>
      <c r="M329" s="68" t="str">
        <f>IF(OR(TRIM($A329)="",TRIM($E329)=""),"",IFERROR(INDEX('E2E core flow'!$B$15:$B$1000,MATCH(1,INDEX(('E2E core flow'!$A$15:$A$1000&lt;&gt;"")*ISNUMBER(SEARCH('E2E core flow'!$A$15:$A$1000,$E329)),0),0))&amp;"","-"))</f>
        <v/>
      </c>
      <c r="N329" s="68" t="str">
        <f>IF(TRIM($A329)="","",IF($O329=0,IF(COUNTIFS('Card Test Cases'!$B$4:$B$1000,$A329,'Card Test Cases'!$A$4:$A$1000,"&lt;&gt;")&gt;0,"Out of Scope","No TC"),IF($Q329&gt;0,"Failed",IF(COUNTIFS('Card Test Cases'!$B$4:$B$1000,$A329,'Card Test Cases'!$A$4:$A$1000,"&lt;&gt;",'Card Test Cases'!$F$4:$F$1000,"Blocked")&gt;0,"Blocked",IF($R329&gt;0,"In Progress","Passed")))))</f>
        <v/>
      </c>
      <c r="O329" s="68" t="str">
        <f>IF(TRIM($A329)="","",COUNTIFS('Card Test Cases'!$B$4:$B$1000,$A329,'Card Test Cases'!$A$4:$A$1000,"&lt;&gt;",'Card Test Cases'!$F$4:$F$1000,"&lt;&gt;Out of Scope"))</f>
        <v/>
      </c>
      <c r="P329" s="68" t="str">
        <f>IF(TRIM($A329)="","",COUNTIFS('Card Test Cases'!$B$4:$B$1000,$A329,'Card Test Cases'!$A$4:$A$1000,"&lt;&gt;",'Card Test Cases'!$F$4:$F$1000,"Passed"))</f>
        <v/>
      </c>
      <c r="Q329" s="68" t="str">
        <f>IF(TRIM($A329)="","",COUNTIFS('Card Test Cases'!$B$4:$B$1000,$A329,'Card Test Cases'!$A$4:$A$1000,"&lt;&gt;",'Card Test Cases'!$F$4:$F$1000,"Failed"))</f>
        <v/>
      </c>
      <c r="R329" s="68" t="str">
        <f t="shared" si="5"/>
        <v/>
      </c>
      <c r="S329" s="68" t="str" cm="1">
        <f t="array" ref="S329">IF(TRIM($A329)="","",IFERROR(_xlfn.TEXTJOIN(", ",TRUE,_xlfn.UNIQUE(_xlfn.VSTACK(_xlfn._xlws.FILTER('Card Test Cases'!$G$4:$G$1000,('Card Test Cases'!$B$4:$B$1000=$A329)*('Card Test Cases'!$G$4:$G$1000&lt;&gt;""),""),_xlfn._xlws.FILTER('E2E core flow'!$U$15:$U$1000,('E2E core flow'!$A$15:$A$1000&lt;&gt;"")*ISNUMBER(SEARCH('E2E core flow'!$A$15:$A$1000,$E329))*('E2E core flow'!$U$15:$U$1000&lt;&gt;""),"")))),"-"))</f>
        <v/>
      </c>
    </row>
    <row r="330" spans="7:19" x14ac:dyDescent="0.3">
      <c r="G330" s="68" t="str" cm="1">
        <f t="array" ref="G330">_xlfn.LET(_xlpm.ids,'E2E core flow'!$A$15:$A$1000,_xlpm.v,'E2E core flow'!$W$15:$W$1000,_xlpm.m,(_xlpm.ids&lt;&gt;"")*ISNUMBER(SEARCH(_xlpm.ids,$E330)),_xlpm.f,SUM(_xlpm.m*(_xlpm.v="Failed")),_xlpm.b,SUM(_xlpm.m*(_xlpm.v="Blocked")),_xlpm.nr,SUM(_xlpm.m*(_xlpm.v="Not Run")),_xlpm.cp,SUM(_xlpm.m*(_xlpm.v="Conditionally Passed")),_xlpm.p,SUM(_xlpm.m*(_xlpm.v="Passed")),IF(TRIM($A330)="","",IF(TRIM($E330)="","Pending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30" s="68" t="str">
        <f>IF(TRIM($A330)="","",IF($J330="Passed","",IF($J330="Passed with Known Issue","Known Issue",IF($J330="",IF(OR($H330&lt;&gt;"No",AND($F330&lt;&gt;"Medium",$F330&lt;&gt;"Low")),"Pending Result",""),IF(OR($H330&lt;&gt;"No",AND($F330&lt;&gt;"Medium",$F330&lt;&gt;"Low")),IF(COUNTIFS(Dashboard!$B$105:$B$124,$A330,Dashboard!$I$105:$I$124,"CAB")&gt;0,"Accepted (CF)","Blocking"),IF($J330="Failed","Deferrable","Carry Over"))))))</f>
        <v/>
      </c>
      <c r="M330" s="68" t="str">
        <f>IF(OR(TRIM($A330)="",TRIM($E330)=""),"",IFERROR(INDEX('E2E core flow'!$B$15:$B$1000,MATCH(1,INDEX(('E2E core flow'!$A$15:$A$1000&lt;&gt;"")*ISNUMBER(SEARCH('E2E core flow'!$A$15:$A$1000,$E330)),0),0))&amp;"","-"))</f>
        <v/>
      </c>
      <c r="N330" s="68" t="str">
        <f>IF(TRIM($A330)="","",IF($O330=0,IF(COUNTIFS('Card Test Cases'!$B$4:$B$1000,$A330,'Card Test Cases'!$A$4:$A$1000,"&lt;&gt;")&gt;0,"Out of Scope","No TC"),IF($Q330&gt;0,"Failed",IF(COUNTIFS('Card Test Cases'!$B$4:$B$1000,$A330,'Card Test Cases'!$A$4:$A$1000,"&lt;&gt;",'Card Test Cases'!$F$4:$F$1000,"Blocked")&gt;0,"Blocked",IF($R330&gt;0,"In Progress","Passed")))))</f>
        <v/>
      </c>
      <c r="O330" s="68" t="str">
        <f>IF(TRIM($A330)="","",COUNTIFS('Card Test Cases'!$B$4:$B$1000,$A330,'Card Test Cases'!$A$4:$A$1000,"&lt;&gt;",'Card Test Cases'!$F$4:$F$1000,"&lt;&gt;Out of Scope"))</f>
        <v/>
      </c>
      <c r="P330" s="68" t="str">
        <f>IF(TRIM($A330)="","",COUNTIFS('Card Test Cases'!$B$4:$B$1000,$A330,'Card Test Cases'!$A$4:$A$1000,"&lt;&gt;",'Card Test Cases'!$F$4:$F$1000,"Passed"))</f>
        <v/>
      </c>
      <c r="Q330" s="68" t="str">
        <f>IF(TRIM($A330)="","",COUNTIFS('Card Test Cases'!$B$4:$B$1000,$A330,'Card Test Cases'!$A$4:$A$1000,"&lt;&gt;",'Card Test Cases'!$F$4:$F$1000,"Failed"))</f>
        <v/>
      </c>
      <c r="R330" s="68" t="str">
        <f t="shared" si="5"/>
        <v/>
      </c>
      <c r="S330" s="68" t="str" cm="1">
        <f t="array" ref="S330">IF(TRIM($A330)="","",IFERROR(_xlfn.TEXTJOIN(", ",TRUE,_xlfn.UNIQUE(_xlfn.VSTACK(_xlfn._xlws.FILTER('Card Test Cases'!$G$4:$G$1000,('Card Test Cases'!$B$4:$B$1000=$A330)*('Card Test Cases'!$G$4:$G$1000&lt;&gt;""),""),_xlfn._xlws.FILTER('E2E core flow'!$U$15:$U$1000,('E2E core flow'!$A$15:$A$1000&lt;&gt;"")*ISNUMBER(SEARCH('E2E core flow'!$A$15:$A$1000,$E330))*('E2E core flow'!$U$15:$U$1000&lt;&gt;""),"")))),"-"))</f>
        <v/>
      </c>
    </row>
    <row r="331" spans="7:19" x14ac:dyDescent="0.3">
      <c r="G331" s="68" t="str" cm="1">
        <f t="array" ref="G331">_xlfn.LET(_xlpm.ids,'E2E core flow'!$A$15:$A$1000,_xlpm.v,'E2E core flow'!$W$15:$W$1000,_xlpm.m,(_xlpm.ids&lt;&gt;"")*ISNUMBER(SEARCH(_xlpm.ids,$E331)),_xlpm.f,SUM(_xlpm.m*(_xlpm.v="Failed")),_xlpm.b,SUM(_xlpm.m*(_xlpm.v="Blocked")),_xlpm.nr,SUM(_xlpm.m*(_xlpm.v="Not Run")),_xlpm.cp,SUM(_xlpm.m*(_xlpm.v="Conditionally Passed")),_xlpm.p,SUM(_xlpm.m*(_xlpm.v="Passed")),IF(TRIM($A331)="","",IF(TRIM($E331)="","Pending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31" s="68" t="str">
        <f>IF(TRIM($A331)="","",IF($J331="Passed","",IF($J331="Passed with Known Issue","Known Issue",IF($J331="",IF(OR($H331&lt;&gt;"No",AND($F331&lt;&gt;"Medium",$F331&lt;&gt;"Low")),"Pending Result",""),IF(OR($H331&lt;&gt;"No",AND($F331&lt;&gt;"Medium",$F331&lt;&gt;"Low")),IF(COUNTIFS(Dashboard!$B$105:$B$124,$A331,Dashboard!$I$105:$I$124,"CAB")&gt;0,"Accepted (CF)","Blocking"),IF($J331="Failed","Deferrable","Carry Over"))))))</f>
        <v/>
      </c>
      <c r="M331" s="68" t="str">
        <f>IF(OR(TRIM($A331)="",TRIM($E331)=""),"",IFERROR(INDEX('E2E core flow'!$B$15:$B$1000,MATCH(1,INDEX(('E2E core flow'!$A$15:$A$1000&lt;&gt;"")*ISNUMBER(SEARCH('E2E core flow'!$A$15:$A$1000,$E331)),0),0))&amp;"","-"))</f>
        <v/>
      </c>
      <c r="N331" s="68" t="str">
        <f>IF(TRIM($A331)="","",IF($O331=0,IF(COUNTIFS('Card Test Cases'!$B$4:$B$1000,$A331,'Card Test Cases'!$A$4:$A$1000,"&lt;&gt;")&gt;0,"Out of Scope","No TC"),IF($Q331&gt;0,"Failed",IF(COUNTIFS('Card Test Cases'!$B$4:$B$1000,$A331,'Card Test Cases'!$A$4:$A$1000,"&lt;&gt;",'Card Test Cases'!$F$4:$F$1000,"Blocked")&gt;0,"Blocked",IF($R331&gt;0,"In Progress","Passed")))))</f>
        <v/>
      </c>
      <c r="O331" s="68" t="str">
        <f>IF(TRIM($A331)="","",COUNTIFS('Card Test Cases'!$B$4:$B$1000,$A331,'Card Test Cases'!$A$4:$A$1000,"&lt;&gt;",'Card Test Cases'!$F$4:$F$1000,"&lt;&gt;Out of Scope"))</f>
        <v/>
      </c>
      <c r="P331" s="68" t="str">
        <f>IF(TRIM($A331)="","",COUNTIFS('Card Test Cases'!$B$4:$B$1000,$A331,'Card Test Cases'!$A$4:$A$1000,"&lt;&gt;",'Card Test Cases'!$F$4:$F$1000,"Passed"))</f>
        <v/>
      </c>
      <c r="Q331" s="68" t="str">
        <f>IF(TRIM($A331)="","",COUNTIFS('Card Test Cases'!$B$4:$B$1000,$A331,'Card Test Cases'!$A$4:$A$1000,"&lt;&gt;",'Card Test Cases'!$F$4:$F$1000,"Failed"))</f>
        <v/>
      </c>
      <c r="R331" s="68" t="str">
        <f t="shared" si="5"/>
        <v/>
      </c>
      <c r="S331" s="68" t="str" cm="1">
        <f t="array" ref="S331">IF(TRIM($A331)="","",IFERROR(_xlfn.TEXTJOIN(", ",TRUE,_xlfn.UNIQUE(_xlfn.VSTACK(_xlfn._xlws.FILTER('Card Test Cases'!$G$4:$G$1000,('Card Test Cases'!$B$4:$B$1000=$A331)*('Card Test Cases'!$G$4:$G$1000&lt;&gt;""),""),_xlfn._xlws.FILTER('E2E core flow'!$U$15:$U$1000,('E2E core flow'!$A$15:$A$1000&lt;&gt;"")*ISNUMBER(SEARCH('E2E core flow'!$A$15:$A$1000,$E331))*('E2E core flow'!$U$15:$U$1000&lt;&gt;""),"")))),"-"))</f>
        <v/>
      </c>
    </row>
    <row r="332" spans="7:19" x14ac:dyDescent="0.3">
      <c r="G332" s="68" t="str" cm="1">
        <f t="array" ref="G332">_xlfn.LET(_xlpm.ids,'E2E core flow'!$A$15:$A$1000,_xlpm.v,'E2E core flow'!$W$15:$W$1000,_xlpm.m,(_xlpm.ids&lt;&gt;"")*ISNUMBER(SEARCH(_xlpm.ids,$E332)),_xlpm.f,SUM(_xlpm.m*(_xlpm.v="Failed")),_xlpm.b,SUM(_xlpm.m*(_xlpm.v="Blocked")),_xlpm.nr,SUM(_xlpm.m*(_xlpm.v="Not Run")),_xlpm.cp,SUM(_xlpm.m*(_xlpm.v="Conditionally Passed")),_xlpm.p,SUM(_xlpm.m*(_xlpm.v="Passed")),IF(TRIM($A332)="","",IF(TRIM($E332)="","Pending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32" s="68" t="str">
        <f>IF(TRIM($A332)="","",IF($J332="Passed","",IF($J332="Passed with Known Issue","Known Issue",IF($J332="",IF(OR($H332&lt;&gt;"No",AND($F332&lt;&gt;"Medium",$F332&lt;&gt;"Low")),"Pending Result",""),IF(OR($H332&lt;&gt;"No",AND($F332&lt;&gt;"Medium",$F332&lt;&gt;"Low")),IF(COUNTIFS(Dashboard!$B$105:$B$124,$A332,Dashboard!$I$105:$I$124,"CAB")&gt;0,"Accepted (CF)","Blocking"),IF($J332="Failed","Deferrable","Carry Over"))))))</f>
        <v/>
      </c>
      <c r="M332" s="68" t="str">
        <f>IF(OR(TRIM($A332)="",TRIM($E332)=""),"",IFERROR(INDEX('E2E core flow'!$B$15:$B$1000,MATCH(1,INDEX(('E2E core flow'!$A$15:$A$1000&lt;&gt;"")*ISNUMBER(SEARCH('E2E core flow'!$A$15:$A$1000,$E332)),0),0))&amp;"","-"))</f>
        <v/>
      </c>
      <c r="N332" s="68" t="str">
        <f>IF(TRIM($A332)="","",IF($O332=0,IF(COUNTIFS('Card Test Cases'!$B$4:$B$1000,$A332,'Card Test Cases'!$A$4:$A$1000,"&lt;&gt;")&gt;0,"Out of Scope","No TC"),IF($Q332&gt;0,"Failed",IF(COUNTIFS('Card Test Cases'!$B$4:$B$1000,$A332,'Card Test Cases'!$A$4:$A$1000,"&lt;&gt;",'Card Test Cases'!$F$4:$F$1000,"Blocked")&gt;0,"Blocked",IF($R332&gt;0,"In Progress","Passed")))))</f>
        <v/>
      </c>
      <c r="O332" s="68" t="str">
        <f>IF(TRIM($A332)="","",COUNTIFS('Card Test Cases'!$B$4:$B$1000,$A332,'Card Test Cases'!$A$4:$A$1000,"&lt;&gt;",'Card Test Cases'!$F$4:$F$1000,"&lt;&gt;Out of Scope"))</f>
        <v/>
      </c>
      <c r="P332" s="68" t="str">
        <f>IF(TRIM($A332)="","",COUNTIFS('Card Test Cases'!$B$4:$B$1000,$A332,'Card Test Cases'!$A$4:$A$1000,"&lt;&gt;",'Card Test Cases'!$F$4:$F$1000,"Passed"))</f>
        <v/>
      </c>
      <c r="Q332" s="68" t="str">
        <f>IF(TRIM($A332)="","",COUNTIFS('Card Test Cases'!$B$4:$B$1000,$A332,'Card Test Cases'!$A$4:$A$1000,"&lt;&gt;",'Card Test Cases'!$F$4:$F$1000,"Failed"))</f>
        <v/>
      </c>
      <c r="R332" s="68" t="str">
        <f t="shared" si="5"/>
        <v/>
      </c>
      <c r="S332" s="68" t="str" cm="1">
        <f t="array" ref="S332">IF(TRIM($A332)="","",IFERROR(_xlfn.TEXTJOIN(", ",TRUE,_xlfn.UNIQUE(_xlfn.VSTACK(_xlfn._xlws.FILTER('Card Test Cases'!$G$4:$G$1000,('Card Test Cases'!$B$4:$B$1000=$A332)*('Card Test Cases'!$G$4:$G$1000&lt;&gt;""),""),_xlfn._xlws.FILTER('E2E core flow'!$U$15:$U$1000,('E2E core flow'!$A$15:$A$1000&lt;&gt;"")*ISNUMBER(SEARCH('E2E core flow'!$A$15:$A$1000,$E332))*('E2E core flow'!$U$15:$U$1000&lt;&gt;""),"")))),"-"))</f>
        <v/>
      </c>
    </row>
    <row r="333" spans="7:19" x14ac:dyDescent="0.3">
      <c r="G333" s="68" t="str" cm="1">
        <f t="array" ref="G333">_xlfn.LET(_xlpm.ids,'E2E core flow'!$A$15:$A$1000,_xlpm.v,'E2E core flow'!$W$15:$W$1000,_xlpm.m,(_xlpm.ids&lt;&gt;"")*ISNUMBER(SEARCH(_xlpm.ids,$E333)),_xlpm.f,SUM(_xlpm.m*(_xlpm.v="Failed")),_xlpm.b,SUM(_xlpm.m*(_xlpm.v="Blocked")),_xlpm.nr,SUM(_xlpm.m*(_xlpm.v="Not Run")),_xlpm.cp,SUM(_xlpm.m*(_xlpm.v="Conditionally Passed")),_xlpm.p,SUM(_xlpm.m*(_xlpm.v="Passed")),IF(TRIM($A333)="","",IF(TRIM($E333)="","Pending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33" s="68" t="str">
        <f>IF(TRIM($A333)="","",IF($J333="Passed","",IF($J333="Passed with Known Issue","Known Issue",IF($J333="",IF(OR($H333&lt;&gt;"No",AND($F333&lt;&gt;"Medium",$F333&lt;&gt;"Low")),"Pending Result",""),IF(OR($H333&lt;&gt;"No",AND($F333&lt;&gt;"Medium",$F333&lt;&gt;"Low")),IF(COUNTIFS(Dashboard!$B$105:$B$124,$A333,Dashboard!$I$105:$I$124,"CAB")&gt;0,"Accepted (CF)","Blocking"),IF($J333="Failed","Deferrable","Carry Over"))))))</f>
        <v/>
      </c>
      <c r="M333" s="68" t="str">
        <f>IF(OR(TRIM($A333)="",TRIM($E333)=""),"",IFERROR(INDEX('E2E core flow'!$B$15:$B$1000,MATCH(1,INDEX(('E2E core flow'!$A$15:$A$1000&lt;&gt;"")*ISNUMBER(SEARCH('E2E core flow'!$A$15:$A$1000,$E333)),0),0))&amp;"","-"))</f>
        <v/>
      </c>
      <c r="N333" s="68" t="str">
        <f>IF(TRIM($A333)="","",IF($O333=0,IF(COUNTIFS('Card Test Cases'!$B$4:$B$1000,$A333,'Card Test Cases'!$A$4:$A$1000,"&lt;&gt;")&gt;0,"Out of Scope","No TC"),IF($Q333&gt;0,"Failed",IF(COUNTIFS('Card Test Cases'!$B$4:$B$1000,$A333,'Card Test Cases'!$A$4:$A$1000,"&lt;&gt;",'Card Test Cases'!$F$4:$F$1000,"Blocked")&gt;0,"Blocked",IF($R333&gt;0,"In Progress","Passed")))))</f>
        <v/>
      </c>
      <c r="O333" s="68" t="str">
        <f>IF(TRIM($A333)="","",COUNTIFS('Card Test Cases'!$B$4:$B$1000,$A333,'Card Test Cases'!$A$4:$A$1000,"&lt;&gt;",'Card Test Cases'!$F$4:$F$1000,"&lt;&gt;Out of Scope"))</f>
        <v/>
      </c>
      <c r="P333" s="68" t="str">
        <f>IF(TRIM($A333)="","",COUNTIFS('Card Test Cases'!$B$4:$B$1000,$A333,'Card Test Cases'!$A$4:$A$1000,"&lt;&gt;",'Card Test Cases'!$F$4:$F$1000,"Passed"))</f>
        <v/>
      </c>
      <c r="Q333" s="68" t="str">
        <f>IF(TRIM($A333)="","",COUNTIFS('Card Test Cases'!$B$4:$B$1000,$A333,'Card Test Cases'!$A$4:$A$1000,"&lt;&gt;",'Card Test Cases'!$F$4:$F$1000,"Failed"))</f>
        <v/>
      </c>
      <c r="R333" s="68" t="str">
        <f t="shared" si="5"/>
        <v/>
      </c>
      <c r="S333" s="68" t="str" cm="1">
        <f t="array" ref="S333">IF(TRIM($A333)="","",IFERROR(_xlfn.TEXTJOIN(", ",TRUE,_xlfn.UNIQUE(_xlfn.VSTACK(_xlfn._xlws.FILTER('Card Test Cases'!$G$4:$G$1000,('Card Test Cases'!$B$4:$B$1000=$A333)*('Card Test Cases'!$G$4:$G$1000&lt;&gt;""),""),_xlfn._xlws.FILTER('E2E core flow'!$U$15:$U$1000,('E2E core flow'!$A$15:$A$1000&lt;&gt;"")*ISNUMBER(SEARCH('E2E core flow'!$A$15:$A$1000,$E333))*('E2E core flow'!$U$15:$U$1000&lt;&gt;""),"")))),"-"))</f>
        <v/>
      </c>
    </row>
    <row r="334" spans="7:19" x14ac:dyDescent="0.3">
      <c r="G334" s="68" t="str" cm="1">
        <f t="array" ref="G334">_xlfn.LET(_xlpm.ids,'E2E core flow'!$A$15:$A$1000,_xlpm.v,'E2E core flow'!$W$15:$W$1000,_xlpm.m,(_xlpm.ids&lt;&gt;"")*ISNUMBER(SEARCH(_xlpm.ids,$E334)),_xlpm.f,SUM(_xlpm.m*(_xlpm.v="Failed")),_xlpm.b,SUM(_xlpm.m*(_xlpm.v="Blocked")),_xlpm.nr,SUM(_xlpm.m*(_xlpm.v="Not Run")),_xlpm.cp,SUM(_xlpm.m*(_xlpm.v="Conditionally Passed")),_xlpm.p,SUM(_xlpm.m*(_xlpm.v="Passed")),IF(TRIM($A334)="","",IF(TRIM($E334)="","Pending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34" s="68" t="str">
        <f>IF(TRIM($A334)="","",IF($J334="Passed","",IF($J334="Passed with Known Issue","Known Issue",IF($J334="",IF(OR($H334&lt;&gt;"No",AND($F334&lt;&gt;"Medium",$F334&lt;&gt;"Low")),"Pending Result",""),IF(OR($H334&lt;&gt;"No",AND($F334&lt;&gt;"Medium",$F334&lt;&gt;"Low")),IF(COUNTIFS(Dashboard!$B$105:$B$124,$A334,Dashboard!$I$105:$I$124,"CAB")&gt;0,"Accepted (CF)","Blocking"),IF($J334="Failed","Deferrable","Carry Over"))))))</f>
        <v/>
      </c>
      <c r="M334" s="68" t="str">
        <f>IF(OR(TRIM($A334)="",TRIM($E334)=""),"",IFERROR(INDEX('E2E core flow'!$B$15:$B$1000,MATCH(1,INDEX(('E2E core flow'!$A$15:$A$1000&lt;&gt;"")*ISNUMBER(SEARCH('E2E core flow'!$A$15:$A$1000,$E334)),0),0))&amp;"","-"))</f>
        <v/>
      </c>
      <c r="N334" s="68" t="str">
        <f>IF(TRIM($A334)="","",IF($O334=0,IF(COUNTIFS('Card Test Cases'!$B$4:$B$1000,$A334,'Card Test Cases'!$A$4:$A$1000,"&lt;&gt;")&gt;0,"Out of Scope","No TC"),IF($Q334&gt;0,"Failed",IF(COUNTIFS('Card Test Cases'!$B$4:$B$1000,$A334,'Card Test Cases'!$A$4:$A$1000,"&lt;&gt;",'Card Test Cases'!$F$4:$F$1000,"Blocked")&gt;0,"Blocked",IF($R334&gt;0,"In Progress","Passed")))))</f>
        <v/>
      </c>
      <c r="O334" s="68" t="str">
        <f>IF(TRIM($A334)="","",COUNTIFS('Card Test Cases'!$B$4:$B$1000,$A334,'Card Test Cases'!$A$4:$A$1000,"&lt;&gt;",'Card Test Cases'!$F$4:$F$1000,"&lt;&gt;Out of Scope"))</f>
        <v/>
      </c>
      <c r="P334" s="68" t="str">
        <f>IF(TRIM($A334)="","",COUNTIFS('Card Test Cases'!$B$4:$B$1000,$A334,'Card Test Cases'!$A$4:$A$1000,"&lt;&gt;",'Card Test Cases'!$F$4:$F$1000,"Passed"))</f>
        <v/>
      </c>
      <c r="Q334" s="68" t="str">
        <f>IF(TRIM($A334)="","",COUNTIFS('Card Test Cases'!$B$4:$B$1000,$A334,'Card Test Cases'!$A$4:$A$1000,"&lt;&gt;",'Card Test Cases'!$F$4:$F$1000,"Failed"))</f>
        <v/>
      </c>
      <c r="R334" s="68" t="str">
        <f t="shared" si="5"/>
        <v/>
      </c>
      <c r="S334" s="68" t="str" cm="1">
        <f t="array" ref="S334">IF(TRIM($A334)="","",IFERROR(_xlfn.TEXTJOIN(", ",TRUE,_xlfn.UNIQUE(_xlfn.VSTACK(_xlfn._xlws.FILTER('Card Test Cases'!$G$4:$G$1000,('Card Test Cases'!$B$4:$B$1000=$A334)*('Card Test Cases'!$G$4:$G$1000&lt;&gt;""),""),_xlfn._xlws.FILTER('E2E core flow'!$U$15:$U$1000,('E2E core flow'!$A$15:$A$1000&lt;&gt;"")*ISNUMBER(SEARCH('E2E core flow'!$A$15:$A$1000,$E334))*('E2E core flow'!$U$15:$U$1000&lt;&gt;""),"")))),"-"))</f>
        <v/>
      </c>
    </row>
    <row r="335" spans="7:19" x14ac:dyDescent="0.3">
      <c r="G335" s="68" t="str" cm="1">
        <f t="array" ref="G335">_xlfn.LET(_xlpm.ids,'E2E core flow'!$A$15:$A$1000,_xlpm.v,'E2E core flow'!$W$15:$W$1000,_xlpm.m,(_xlpm.ids&lt;&gt;"")*ISNUMBER(SEARCH(_xlpm.ids,$E335)),_xlpm.f,SUM(_xlpm.m*(_xlpm.v="Failed")),_xlpm.b,SUM(_xlpm.m*(_xlpm.v="Blocked")),_xlpm.nr,SUM(_xlpm.m*(_xlpm.v="Not Run")),_xlpm.cp,SUM(_xlpm.m*(_xlpm.v="Conditionally Passed")),_xlpm.p,SUM(_xlpm.m*(_xlpm.v="Passed")),IF(TRIM($A335)="","",IF(TRIM($E335)="","Pending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35" s="68" t="str">
        <f>IF(TRIM($A335)="","",IF($J335="Passed","",IF($J335="Passed with Known Issue","Known Issue",IF($J335="",IF(OR($H335&lt;&gt;"No",AND($F335&lt;&gt;"Medium",$F335&lt;&gt;"Low")),"Pending Result",""),IF(OR($H335&lt;&gt;"No",AND($F335&lt;&gt;"Medium",$F335&lt;&gt;"Low")),IF(COUNTIFS(Dashboard!$B$105:$B$124,$A335,Dashboard!$I$105:$I$124,"CAB")&gt;0,"Accepted (CF)","Blocking"),IF($J335="Failed","Deferrable","Carry Over"))))))</f>
        <v/>
      </c>
      <c r="M335" s="68" t="str">
        <f>IF(OR(TRIM($A335)="",TRIM($E335)=""),"",IFERROR(INDEX('E2E core flow'!$B$15:$B$1000,MATCH(1,INDEX(('E2E core flow'!$A$15:$A$1000&lt;&gt;"")*ISNUMBER(SEARCH('E2E core flow'!$A$15:$A$1000,$E335)),0),0))&amp;"","-"))</f>
        <v/>
      </c>
      <c r="N335" s="68" t="str">
        <f>IF(TRIM($A335)="","",IF($O335=0,IF(COUNTIFS('Card Test Cases'!$B$4:$B$1000,$A335,'Card Test Cases'!$A$4:$A$1000,"&lt;&gt;")&gt;0,"Out of Scope","No TC"),IF($Q335&gt;0,"Failed",IF(COUNTIFS('Card Test Cases'!$B$4:$B$1000,$A335,'Card Test Cases'!$A$4:$A$1000,"&lt;&gt;",'Card Test Cases'!$F$4:$F$1000,"Blocked")&gt;0,"Blocked",IF($R335&gt;0,"In Progress","Passed")))))</f>
        <v/>
      </c>
      <c r="O335" s="68" t="str">
        <f>IF(TRIM($A335)="","",COUNTIFS('Card Test Cases'!$B$4:$B$1000,$A335,'Card Test Cases'!$A$4:$A$1000,"&lt;&gt;",'Card Test Cases'!$F$4:$F$1000,"&lt;&gt;Out of Scope"))</f>
        <v/>
      </c>
      <c r="P335" s="68" t="str">
        <f>IF(TRIM($A335)="","",COUNTIFS('Card Test Cases'!$B$4:$B$1000,$A335,'Card Test Cases'!$A$4:$A$1000,"&lt;&gt;",'Card Test Cases'!$F$4:$F$1000,"Passed"))</f>
        <v/>
      </c>
      <c r="Q335" s="68" t="str">
        <f>IF(TRIM($A335)="","",COUNTIFS('Card Test Cases'!$B$4:$B$1000,$A335,'Card Test Cases'!$A$4:$A$1000,"&lt;&gt;",'Card Test Cases'!$F$4:$F$1000,"Failed"))</f>
        <v/>
      </c>
      <c r="R335" s="68" t="str">
        <f t="shared" si="5"/>
        <v/>
      </c>
      <c r="S335" s="68" t="str" cm="1">
        <f t="array" ref="S335">IF(TRIM($A335)="","",IFERROR(_xlfn.TEXTJOIN(", ",TRUE,_xlfn.UNIQUE(_xlfn.VSTACK(_xlfn._xlws.FILTER('Card Test Cases'!$G$4:$G$1000,('Card Test Cases'!$B$4:$B$1000=$A335)*('Card Test Cases'!$G$4:$G$1000&lt;&gt;""),""),_xlfn._xlws.FILTER('E2E core flow'!$U$15:$U$1000,('E2E core flow'!$A$15:$A$1000&lt;&gt;"")*ISNUMBER(SEARCH('E2E core flow'!$A$15:$A$1000,$E335))*('E2E core flow'!$U$15:$U$1000&lt;&gt;""),"")))),"-"))</f>
        <v/>
      </c>
    </row>
    <row r="336" spans="7:19" x14ac:dyDescent="0.3">
      <c r="G336" s="68" t="str" cm="1">
        <f t="array" ref="G336">_xlfn.LET(_xlpm.ids,'E2E core flow'!$A$15:$A$1000,_xlpm.v,'E2E core flow'!$W$15:$W$1000,_xlpm.m,(_xlpm.ids&lt;&gt;"")*ISNUMBER(SEARCH(_xlpm.ids,$E336)),_xlpm.f,SUM(_xlpm.m*(_xlpm.v="Failed")),_xlpm.b,SUM(_xlpm.m*(_xlpm.v="Blocked")),_xlpm.nr,SUM(_xlpm.m*(_xlpm.v="Not Run")),_xlpm.cp,SUM(_xlpm.m*(_xlpm.v="Conditionally Passed")),_xlpm.p,SUM(_xlpm.m*(_xlpm.v="Passed")),IF(TRIM($A336)="","",IF(TRIM($E336)="","Pending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36" s="68" t="str">
        <f>IF(TRIM($A336)="","",IF($J336="Passed","",IF($J336="Passed with Known Issue","Known Issue",IF($J336="",IF(OR($H336&lt;&gt;"No",AND($F336&lt;&gt;"Medium",$F336&lt;&gt;"Low")),"Pending Result",""),IF(OR($H336&lt;&gt;"No",AND($F336&lt;&gt;"Medium",$F336&lt;&gt;"Low")),IF(COUNTIFS(Dashboard!$B$105:$B$124,$A336,Dashboard!$I$105:$I$124,"CAB")&gt;0,"Accepted (CF)","Blocking"),IF($J336="Failed","Deferrable","Carry Over"))))))</f>
        <v/>
      </c>
      <c r="M336" s="68" t="str">
        <f>IF(OR(TRIM($A336)="",TRIM($E336)=""),"",IFERROR(INDEX('E2E core flow'!$B$15:$B$1000,MATCH(1,INDEX(('E2E core flow'!$A$15:$A$1000&lt;&gt;"")*ISNUMBER(SEARCH('E2E core flow'!$A$15:$A$1000,$E336)),0),0))&amp;"","-"))</f>
        <v/>
      </c>
      <c r="N336" s="68" t="str">
        <f>IF(TRIM($A336)="","",IF($O336=0,IF(COUNTIFS('Card Test Cases'!$B$4:$B$1000,$A336,'Card Test Cases'!$A$4:$A$1000,"&lt;&gt;")&gt;0,"Out of Scope","No TC"),IF($Q336&gt;0,"Failed",IF(COUNTIFS('Card Test Cases'!$B$4:$B$1000,$A336,'Card Test Cases'!$A$4:$A$1000,"&lt;&gt;",'Card Test Cases'!$F$4:$F$1000,"Blocked")&gt;0,"Blocked",IF($R336&gt;0,"In Progress","Passed")))))</f>
        <v/>
      </c>
      <c r="O336" s="68" t="str">
        <f>IF(TRIM($A336)="","",COUNTIFS('Card Test Cases'!$B$4:$B$1000,$A336,'Card Test Cases'!$A$4:$A$1000,"&lt;&gt;",'Card Test Cases'!$F$4:$F$1000,"&lt;&gt;Out of Scope"))</f>
        <v/>
      </c>
      <c r="P336" s="68" t="str">
        <f>IF(TRIM($A336)="","",COUNTIFS('Card Test Cases'!$B$4:$B$1000,$A336,'Card Test Cases'!$A$4:$A$1000,"&lt;&gt;",'Card Test Cases'!$F$4:$F$1000,"Passed"))</f>
        <v/>
      </c>
      <c r="Q336" s="68" t="str">
        <f>IF(TRIM($A336)="","",COUNTIFS('Card Test Cases'!$B$4:$B$1000,$A336,'Card Test Cases'!$A$4:$A$1000,"&lt;&gt;",'Card Test Cases'!$F$4:$F$1000,"Failed"))</f>
        <v/>
      </c>
      <c r="R336" s="68" t="str">
        <f t="shared" si="5"/>
        <v/>
      </c>
      <c r="S336" s="68" t="str" cm="1">
        <f t="array" ref="S336">IF(TRIM($A336)="","",IFERROR(_xlfn.TEXTJOIN(", ",TRUE,_xlfn.UNIQUE(_xlfn.VSTACK(_xlfn._xlws.FILTER('Card Test Cases'!$G$4:$G$1000,('Card Test Cases'!$B$4:$B$1000=$A336)*('Card Test Cases'!$G$4:$G$1000&lt;&gt;""),""),_xlfn._xlws.FILTER('E2E core flow'!$U$15:$U$1000,('E2E core flow'!$A$15:$A$1000&lt;&gt;"")*ISNUMBER(SEARCH('E2E core flow'!$A$15:$A$1000,$E336))*('E2E core flow'!$U$15:$U$1000&lt;&gt;""),"")))),"-"))</f>
        <v/>
      </c>
    </row>
    <row r="337" spans="7:19" x14ac:dyDescent="0.3">
      <c r="G337" s="68" t="str" cm="1">
        <f t="array" ref="G337">_xlfn.LET(_xlpm.ids,'E2E core flow'!$A$15:$A$1000,_xlpm.v,'E2E core flow'!$W$15:$W$1000,_xlpm.m,(_xlpm.ids&lt;&gt;"")*ISNUMBER(SEARCH(_xlpm.ids,$E337)),_xlpm.f,SUM(_xlpm.m*(_xlpm.v="Failed")),_xlpm.b,SUM(_xlpm.m*(_xlpm.v="Blocked")),_xlpm.nr,SUM(_xlpm.m*(_xlpm.v="Not Run")),_xlpm.cp,SUM(_xlpm.m*(_xlpm.v="Conditionally Passed")),_xlpm.p,SUM(_xlpm.m*(_xlpm.v="Passed")),IF(TRIM($A337)="","",IF(TRIM($E337)="","Pending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37" s="68" t="str">
        <f>IF(TRIM($A337)="","",IF($J337="Passed","",IF($J337="Passed with Known Issue","Known Issue",IF($J337="",IF(OR($H337&lt;&gt;"No",AND($F337&lt;&gt;"Medium",$F337&lt;&gt;"Low")),"Pending Result",""),IF(OR($H337&lt;&gt;"No",AND($F337&lt;&gt;"Medium",$F337&lt;&gt;"Low")),IF(COUNTIFS(Dashboard!$B$105:$B$124,$A337,Dashboard!$I$105:$I$124,"CAB")&gt;0,"Accepted (CF)","Blocking"),IF($J337="Failed","Deferrable","Carry Over"))))))</f>
        <v/>
      </c>
      <c r="M337" s="68" t="str">
        <f>IF(OR(TRIM($A337)="",TRIM($E337)=""),"",IFERROR(INDEX('E2E core flow'!$B$15:$B$1000,MATCH(1,INDEX(('E2E core flow'!$A$15:$A$1000&lt;&gt;"")*ISNUMBER(SEARCH('E2E core flow'!$A$15:$A$1000,$E337)),0),0))&amp;"","-"))</f>
        <v/>
      </c>
      <c r="N337" s="68" t="str">
        <f>IF(TRIM($A337)="","",IF($O337=0,IF(COUNTIFS('Card Test Cases'!$B$4:$B$1000,$A337,'Card Test Cases'!$A$4:$A$1000,"&lt;&gt;")&gt;0,"Out of Scope","No TC"),IF($Q337&gt;0,"Failed",IF(COUNTIFS('Card Test Cases'!$B$4:$B$1000,$A337,'Card Test Cases'!$A$4:$A$1000,"&lt;&gt;",'Card Test Cases'!$F$4:$F$1000,"Blocked")&gt;0,"Blocked",IF($R337&gt;0,"In Progress","Passed")))))</f>
        <v/>
      </c>
      <c r="O337" s="68" t="str">
        <f>IF(TRIM($A337)="","",COUNTIFS('Card Test Cases'!$B$4:$B$1000,$A337,'Card Test Cases'!$A$4:$A$1000,"&lt;&gt;",'Card Test Cases'!$F$4:$F$1000,"&lt;&gt;Out of Scope"))</f>
        <v/>
      </c>
      <c r="P337" s="68" t="str">
        <f>IF(TRIM($A337)="","",COUNTIFS('Card Test Cases'!$B$4:$B$1000,$A337,'Card Test Cases'!$A$4:$A$1000,"&lt;&gt;",'Card Test Cases'!$F$4:$F$1000,"Passed"))</f>
        <v/>
      </c>
      <c r="Q337" s="68" t="str">
        <f>IF(TRIM($A337)="","",COUNTIFS('Card Test Cases'!$B$4:$B$1000,$A337,'Card Test Cases'!$A$4:$A$1000,"&lt;&gt;",'Card Test Cases'!$F$4:$F$1000,"Failed"))</f>
        <v/>
      </c>
      <c r="R337" s="68" t="str">
        <f t="shared" si="5"/>
        <v/>
      </c>
      <c r="S337" s="68" t="str" cm="1">
        <f t="array" ref="S337">IF(TRIM($A337)="","",IFERROR(_xlfn.TEXTJOIN(", ",TRUE,_xlfn.UNIQUE(_xlfn.VSTACK(_xlfn._xlws.FILTER('Card Test Cases'!$G$4:$G$1000,('Card Test Cases'!$B$4:$B$1000=$A337)*('Card Test Cases'!$G$4:$G$1000&lt;&gt;""),""),_xlfn._xlws.FILTER('E2E core flow'!$U$15:$U$1000,('E2E core flow'!$A$15:$A$1000&lt;&gt;"")*ISNUMBER(SEARCH('E2E core flow'!$A$15:$A$1000,$E337))*('E2E core flow'!$U$15:$U$1000&lt;&gt;""),"")))),"-"))</f>
        <v/>
      </c>
    </row>
    <row r="338" spans="7:19" x14ac:dyDescent="0.3">
      <c r="G338" s="68" t="str" cm="1">
        <f t="array" ref="G338">_xlfn.LET(_xlpm.ids,'E2E core flow'!$A$15:$A$1000,_xlpm.v,'E2E core flow'!$W$15:$W$1000,_xlpm.m,(_xlpm.ids&lt;&gt;"")*ISNUMBER(SEARCH(_xlpm.ids,$E338)),_xlpm.f,SUM(_xlpm.m*(_xlpm.v="Failed")),_xlpm.b,SUM(_xlpm.m*(_xlpm.v="Blocked")),_xlpm.nr,SUM(_xlpm.m*(_xlpm.v="Not Run")),_xlpm.cp,SUM(_xlpm.m*(_xlpm.v="Conditionally Passed")),_xlpm.p,SUM(_xlpm.m*(_xlpm.v="Passed")),IF(TRIM($A338)="","",IF(TRIM($E338)="","Pending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38" s="68" t="str">
        <f>IF(TRIM($A338)="","",IF($J338="Passed","",IF($J338="Passed with Known Issue","Known Issue",IF($J338="",IF(OR($H338&lt;&gt;"No",AND($F338&lt;&gt;"Medium",$F338&lt;&gt;"Low")),"Pending Result",""),IF(OR($H338&lt;&gt;"No",AND($F338&lt;&gt;"Medium",$F338&lt;&gt;"Low")),IF(COUNTIFS(Dashboard!$B$105:$B$124,$A338,Dashboard!$I$105:$I$124,"CAB")&gt;0,"Accepted (CF)","Blocking"),IF($J338="Failed","Deferrable","Carry Over"))))))</f>
        <v/>
      </c>
      <c r="M338" s="68" t="str">
        <f>IF(OR(TRIM($A338)="",TRIM($E338)=""),"",IFERROR(INDEX('E2E core flow'!$B$15:$B$1000,MATCH(1,INDEX(('E2E core flow'!$A$15:$A$1000&lt;&gt;"")*ISNUMBER(SEARCH('E2E core flow'!$A$15:$A$1000,$E338)),0),0))&amp;"","-"))</f>
        <v/>
      </c>
      <c r="N338" s="68" t="str">
        <f>IF(TRIM($A338)="","",IF($O338=0,IF(COUNTIFS('Card Test Cases'!$B$4:$B$1000,$A338,'Card Test Cases'!$A$4:$A$1000,"&lt;&gt;")&gt;0,"Out of Scope","No TC"),IF($Q338&gt;0,"Failed",IF(COUNTIFS('Card Test Cases'!$B$4:$B$1000,$A338,'Card Test Cases'!$A$4:$A$1000,"&lt;&gt;",'Card Test Cases'!$F$4:$F$1000,"Blocked")&gt;0,"Blocked",IF($R338&gt;0,"In Progress","Passed")))))</f>
        <v/>
      </c>
      <c r="O338" s="68" t="str">
        <f>IF(TRIM($A338)="","",COUNTIFS('Card Test Cases'!$B$4:$B$1000,$A338,'Card Test Cases'!$A$4:$A$1000,"&lt;&gt;",'Card Test Cases'!$F$4:$F$1000,"&lt;&gt;Out of Scope"))</f>
        <v/>
      </c>
      <c r="P338" s="68" t="str">
        <f>IF(TRIM($A338)="","",COUNTIFS('Card Test Cases'!$B$4:$B$1000,$A338,'Card Test Cases'!$A$4:$A$1000,"&lt;&gt;",'Card Test Cases'!$F$4:$F$1000,"Passed"))</f>
        <v/>
      </c>
      <c r="Q338" s="68" t="str">
        <f>IF(TRIM($A338)="","",COUNTIFS('Card Test Cases'!$B$4:$B$1000,$A338,'Card Test Cases'!$A$4:$A$1000,"&lt;&gt;",'Card Test Cases'!$F$4:$F$1000,"Failed"))</f>
        <v/>
      </c>
      <c r="R338" s="68" t="str">
        <f t="shared" si="5"/>
        <v/>
      </c>
      <c r="S338" s="68" t="str" cm="1">
        <f t="array" ref="S338">IF(TRIM($A338)="","",IFERROR(_xlfn.TEXTJOIN(", ",TRUE,_xlfn.UNIQUE(_xlfn.VSTACK(_xlfn._xlws.FILTER('Card Test Cases'!$G$4:$G$1000,('Card Test Cases'!$B$4:$B$1000=$A338)*('Card Test Cases'!$G$4:$G$1000&lt;&gt;""),""),_xlfn._xlws.FILTER('E2E core flow'!$U$15:$U$1000,('E2E core flow'!$A$15:$A$1000&lt;&gt;"")*ISNUMBER(SEARCH('E2E core flow'!$A$15:$A$1000,$E338))*('E2E core flow'!$U$15:$U$1000&lt;&gt;""),"")))),"-"))</f>
        <v/>
      </c>
    </row>
    <row r="339" spans="7:19" x14ac:dyDescent="0.3">
      <c r="G339" s="68" t="str" cm="1">
        <f t="array" ref="G339">_xlfn.LET(_xlpm.ids,'E2E core flow'!$A$15:$A$1000,_xlpm.v,'E2E core flow'!$W$15:$W$1000,_xlpm.m,(_xlpm.ids&lt;&gt;"")*ISNUMBER(SEARCH(_xlpm.ids,$E339)),_xlpm.f,SUM(_xlpm.m*(_xlpm.v="Failed")),_xlpm.b,SUM(_xlpm.m*(_xlpm.v="Blocked")),_xlpm.nr,SUM(_xlpm.m*(_xlpm.v="Not Run")),_xlpm.cp,SUM(_xlpm.m*(_xlpm.v="Conditionally Passed")),_xlpm.p,SUM(_xlpm.m*(_xlpm.v="Passed")),IF(TRIM($A339)="","",IF(TRIM($E339)="","Pending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39" s="68" t="str">
        <f>IF(TRIM($A339)="","",IF($J339="Passed","",IF($J339="Passed with Known Issue","Known Issue",IF($J339="",IF(OR($H339&lt;&gt;"No",AND($F339&lt;&gt;"Medium",$F339&lt;&gt;"Low")),"Pending Result",""),IF(OR($H339&lt;&gt;"No",AND($F339&lt;&gt;"Medium",$F339&lt;&gt;"Low")),IF(COUNTIFS(Dashboard!$B$105:$B$124,$A339,Dashboard!$I$105:$I$124,"CAB")&gt;0,"Accepted (CF)","Blocking"),IF($J339="Failed","Deferrable","Carry Over"))))))</f>
        <v/>
      </c>
      <c r="M339" s="68" t="str">
        <f>IF(OR(TRIM($A339)="",TRIM($E339)=""),"",IFERROR(INDEX('E2E core flow'!$B$15:$B$1000,MATCH(1,INDEX(('E2E core flow'!$A$15:$A$1000&lt;&gt;"")*ISNUMBER(SEARCH('E2E core flow'!$A$15:$A$1000,$E339)),0),0))&amp;"","-"))</f>
        <v/>
      </c>
      <c r="N339" s="68" t="str">
        <f>IF(TRIM($A339)="","",IF($O339=0,IF(COUNTIFS('Card Test Cases'!$B$4:$B$1000,$A339,'Card Test Cases'!$A$4:$A$1000,"&lt;&gt;")&gt;0,"Out of Scope","No TC"),IF($Q339&gt;0,"Failed",IF(COUNTIFS('Card Test Cases'!$B$4:$B$1000,$A339,'Card Test Cases'!$A$4:$A$1000,"&lt;&gt;",'Card Test Cases'!$F$4:$F$1000,"Blocked")&gt;0,"Blocked",IF($R339&gt;0,"In Progress","Passed")))))</f>
        <v/>
      </c>
      <c r="O339" s="68" t="str">
        <f>IF(TRIM($A339)="","",COUNTIFS('Card Test Cases'!$B$4:$B$1000,$A339,'Card Test Cases'!$A$4:$A$1000,"&lt;&gt;",'Card Test Cases'!$F$4:$F$1000,"&lt;&gt;Out of Scope"))</f>
        <v/>
      </c>
      <c r="P339" s="68" t="str">
        <f>IF(TRIM($A339)="","",COUNTIFS('Card Test Cases'!$B$4:$B$1000,$A339,'Card Test Cases'!$A$4:$A$1000,"&lt;&gt;",'Card Test Cases'!$F$4:$F$1000,"Passed"))</f>
        <v/>
      </c>
      <c r="Q339" s="68" t="str">
        <f>IF(TRIM($A339)="","",COUNTIFS('Card Test Cases'!$B$4:$B$1000,$A339,'Card Test Cases'!$A$4:$A$1000,"&lt;&gt;",'Card Test Cases'!$F$4:$F$1000,"Failed"))</f>
        <v/>
      </c>
      <c r="R339" s="68" t="str">
        <f t="shared" si="5"/>
        <v/>
      </c>
      <c r="S339" s="68" t="str" cm="1">
        <f t="array" ref="S339">IF(TRIM($A339)="","",IFERROR(_xlfn.TEXTJOIN(", ",TRUE,_xlfn.UNIQUE(_xlfn.VSTACK(_xlfn._xlws.FILTER('Card Test Cases'!$G$4:$G$1000,('Card Test Cases'!$B$4:$B$1000=$A339)*('Card Test Cases'!$G$4:$G$1000&lt;&gt;""),""),_xlfn._xlws.FILTER('E2E core flow'!$U$15:$U$1000,('E2E core flow'!$A$15:$A$1000&lt;&gt;"")*ISNUMBER(SEARCH('E2E core flow'!$A$15:$A$1000,$E339))*('E2E core flow'!$U$15:$U$1000&lt;&gt;""),"")))),"-"))</f>
        <v/>
      </c>
    </row>
    <row r="340" spans="7:19" x14ac:dyDescent="0.3">
      <c r="G340" s="68" t="str" cm="1">
        <f t="array" ref="G340">_xlfn.LET(_xlpm.ids,'E2E core flow'!$A$15:$A$1000,_xlpm.v,'E2E core flow'!$W$15:$W$1000,_xlpm.m,(_xlpm.ids&lt;&gt;"")*ISNUMBER(SEARCH(_xlpm.ids,$E340)),_xlpm.f,SUM(_xlpm.m*(_xlpm.v="Failed")),_xlpm.b,SUM(_xlpm.m*(_xlpm.v="Blocked")),_xlpm.nr,SUM(_xlpm.m*(_xlpm.v="Not Run")),_xlpm.cp,SUM(_xlpm.m*(_xlpm.v="Conditionally Passed")),_xlpm.p,SUM(_xlpm.m*(_xlpm.v="Passed")),IF(TRIM($A340)="","",IF(TRIM($E340)="","Pending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40" s="68" t="str">
        <f>IF(TRIM($A340)="","",IF($J340="Passed","",IF($J340="Passed with Known Issue","Known Issue",IF($J340="",IF(OR($H340&lt;&gt;"No",AND($F340&lt;&gt;"Medium",$F340&lt;&gt;"Low")),"Pending Result",""),IF(OR($H340&lt;&gt;"No",AND($F340&lt;&gt;"Medium",$F340&lt;&gt;"Low")),IF(COUNTIFS(Dashboard!$B$105:$B$124,$A340,Dashboard!$I$105:$I$124,"CAB")&gt;0,"Accepted (CF)","Blocking"),IF($J340="Failed","Deferrable","Carry Over"))))))</f>
        <v/>
      </c>
      <c r="M340" s="68" t="str">
        <f>IF(OR(TRIM($A340)="",TRIM($E340)=""),"",IFERROR(INDEX('E2E core flow'!$B$15:$B$1000,MATCH(1,INDEX(('E2E core flow'!$A$15:$A$1000&lt;&gt;"")*ISNUMBER(SEARCH('E2E core flow'!$A$15:$A$1000,$E340)),0),0))&amp;"","-"))</f>
        <v/>
      </c>
      <c r="N340" s="68" t="str">
        <f>IF(TRIM($A340)="","",IF($O340=0,IF(COUNTIFS('Card Test Cases'!$B$4:$B$1000,$A340,'Card Test Cases'!$A$4:$A$1000,"&lt;&gt;")&gt;0,"Out of Scope","No TC"),IF($Q340&gt;0,"Failed",IF(COUNTIFS('Card Test Cases'!$B$4:$B$1000,$A340,'Card Test Cases'!$A$4:$A$1000,"&lt;&gt;",'Card Test Cases'!$F$4:$F$1000,"Blocked")&gt;0,"Blocked",IF($R340&gt;0,"In Progress","Passed")))))</f>
        <v/>
      </c>
      <c r="O340" s="68" t="str">
        <f>IF(TRIM($A340)="","",COUNTIFS('Card Test Cases'!$B$4:$B$1000,$A340,'Card Test Cases'!$A$4:$A$1000,"&lt;&gt;",'Card Test Cases'!$F$4:$F$1000,"&lt;&gt;Out of Scope"))</f>
        <v/>
      </c>
      <c r="P340" s="68" t="str">
        <f>IF(TRIM($A340)="","",COUNTIFS('Card Test Cases'!$B$4:$B$1000,$A340,'Card Test Cases'!$A$4:$A$1000,"&lt;&gt;",'Card Test Cases'!$F$4:$F$1000,"Passed"))</f>
        <v/>
      </c>
      <c r="Q340" s="68" t="str">
        <f>IF(TRIM($A340)="","",COUNTIFS('Card Test Cases'!$B$4:$B$1000,$A340,'Card Test Cases'!$A$4:$A$1000,"&lt;&gt;",'Card Test Cases'!$F$4:$F$1000,"Failed"))</f>
        <v/>
      </c>
      <c r="R340" s="68" t="str">
        <f t="shared" si="5"/>
        <v/>
      </c>
      <c r="S340" s="68" t="str" cm="1">
        <f t="array" ref="S340">IF(TRIM($A340)="","",IFERROR(_xlfn.TEXTJOIN(", ",TRUE,_xlfn.UNIQUE(_xlfn.VSTACK(_xlfn._xlws.FILTER('Card Test Cases'!$G$4:$G$1000,('Card Test Cases'!$B$4:$B$1000=$A340)*('Card Test Cases'!$G$4:$G$1000&lt;&gt;""),""),_xlfn._xlws.FILTER('E2E core flow'!$U$15:$U$1000,('E2E core flow'!$A$15:$A$1000&lt;&gt;"")*ISNUMBER(SEARCH('E2E core flow'!$A$15:$A$1000,$E340))*('E2E core flow'!$U$15:$U$1000&lt;&gt;""),"")))),"-"))</f>
        <v/>
      </c>
    </row>
    <row r="341" spans="7:19" x14ac:dyDescent="0.3">
      <c r="G341" s="68" t="str" cm="1">
        <f t="array" ref="G341">_xlfn.LET(_xlpm.ids,'E2E core flow'!$A$15:$A$1000,_xlpm.v,'E2E core flow'!$W$15:$W$1000,_xlpm.m,(_xlpm.ids&lt;&gt;"")*ISNUMBER(SEARCH(_xlpm.ids,$E341)),_xlpm.f,SUM(_xlpm.m*(_xlpm.v="Failed")),_xlpm.b,SUM(_xlpm.m*(_xlpm.v="Blocked")),_xlpm.nr,SUM(_xlpm.m*(_xlpm.v="Not Run")),_xlpm.cp,SUM(_xlpm.m*(_xlpm.v="Conditionally Passed")),_xlpm.p,SUM(_xlpm.m*(_xlpm.v="Passed")),IF(TRIM($A341)="","",IF(TRIM($E341)="","Pending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41" s="68" t="str">
        <f>IF(TRIM($A341)="","",IF($J341="Passed","",IF($J341="Passed with Known Issue","Known Issue",IF($J341="",IF(OR($H341&lt;&gt;"No",AND($F341&lt;&gt;"Medium",$F341&lt;&gt;"Low")),"Pending Result",""),IF(OR($H341&lt;&gt;"No",AND($F341&lt;&gt;"Medium",$F341&lt;&gt;"Low")),IF(COUNTIFS(Dashboard!$B$105:$B$124,$A341,Dashboard!$I$105:$I$124,"CAB")&gt;0,"Accepted (CF)","Blocking"),IF($J341="Failed","Deferrable","Carry Over"))))))</f>
        <v/>
      </c>
      <c r="M341" s="68" t="str">
        <f>IF(OR(TRIM($A341)="",TRIM($E341)=""),"",IFERROR(INDEX('E2E core flow'!$B$15:$B$1000,MATCH(1,INDEX(('E2E core flow'!$A$15:$A$1000&lt;&gt;"")*ISNUMBER(SEARCH('E2E core flow'!$A$15:$A$1000,$E341)),0),0))&amp;"","-"))</f>
        <v/>
      </c>
      <c r="N341" s="68" t="str">
        <f>IF(TRIM($A341)="","",IF($O341=0,IF(COUNTIFS('Card Test Cases'!$B$4:$B$1000,$A341,'Card Test Cases'!$A$4:$A$1000,"&lt;&gt;")&gt;0,"Out of Scope","No TC"),IF($Q341&gt;0,"Failed",IF(COUNTIFS('Card Test Cases'!$B$4:$B$1000,$A341,'Card Test Cases'!$A$4:$A$1000,"&lt;&gt;",'Card Test Cases'!$F$4:$F$1000,"Blocked")&gt;0,"Blocked",IF($R341&gt;0,"In Progress","Passed")))))</f>
        <v/>
      </c>
      <c r="O341" s="68" t="str">
        <f>IF(TRIM($A341)="","",COUNTIFS('Card Test Cases'!$B$4:$B$1000,$A341,'Card Test Cases'!$A$4:$A$1000,"&lt;&gt;",'Card Test Cases'!$F$4:$F$1000,"&lt;&gt;Out of Scope"))</f>
        <v/>
      </c>
      <c r="P341" s="68" t="str">
        <f>IF(TRIM($A341)="","",COUNTIFS('Card Test Cases'!$B$4:$B$1000,$A341,'Card Test Cases'!$A$4:$A$1000,"&lt;&gt;",'Card Test Cases'!$F$4:$F$1000,"Passed"))</f>
        <v/>
      </c>
      <c r="Q341" s="68" t="str">
        <f>IF(TRIM($A341)="","",COUNTIFS('Card Test Cases'!$B$4:$B$1000,$A341,'Card Test Cases'!$A$4:$A$1000,"&lt;&gt;",'Card Test Cases'!$F$4:$F$1000,"Failed"))</f>
        <v/>
      </c>
      <c r="R341" s="68" t="str">
        <f t="shared" si="5"/>
        <v/>
      </c>
      <c r="S341" s="68" t="str" cm="1">
        <f t="array" ref="S341">IF(TRIM($A341)="","",IFERROR(_xlfn.TEXTJOIN(", ",TRUE,_xlfn.UNIQUE(_xlfn.VSTACK(_xlfn._xlws.FILTER('Card Test Cases'!$G$4:$G$1000,('Card Test Cases'!$B$4:$B$1000=$A341)*('Card Test Cases'!$G$4:$G$1000&lt;&gt;""),""),_xlfn._xlws.FILTER('E2E core flow'!$U$15:$U$1000,('E2E core flow'!$A$15:$A$1000&lt;&gt;"")*ISNUMBER(SEARCH('E2E core flow'!$A$15:$A$1000,$E341))*('E2E core flow'!$U$15:$U$1000&lt;&gt;""),"")))),"-"))</f>
        <v/>
      </c>
    </row>
    <row r="342" spans="7:19" x14ac:dyDescent="0.3">
      <c r="G342" s="68" t="str" cm="1">
        <f t="array" ref="G342">_xlfn.LET(_xlpm.ids,'E2E core flow'!$A$15:$A$1000,_xlpm.v,'E2E core flow'!$W$15:$W$1000,_xlpm.m,(_xlpm.ids&lt;&gt;"")*ISNUMBER(SEARCH(_xlpm.ids,$E342)),_xlpm.f,SUM(_xlpm.m*(_xlpm.v="Failed")),_xlpm.b,SUM(_xlpm.m*(_xlpm.v="Blocked")),_xlpm.nr,SUM(_xlpm.m*(_xlpm.v="Not Run")),_xlpm.cp,SUM(_xlpm.m*(_xlpm.v="Conditionally Passed")),_xlpm.p,SUM(_xlpm.m*(_xlpm.v="Passed")),IF(TRIM($A342)="","",IF(TRIM($E342)="","Pending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42" s="68" t="str">
        <f>IF(TRIM($A342)="","",IF($J342="Passed","",IF($J342="Passed with Known Issue","Known Issue",IF($J342="",IF(OR($H342&lt;&gt;"No",AND($F342&lt;&gt;"Medium",$F342&lt;&gt;"Low")),"Pending Result",""),IF(OR($H342&lt;&gt;"No",AND($F342&lt;&gt;"Medium",$F342&lt;&gt;"Low")),IF(COUNTIFS(Dashboard!$B$105:$B$124,$A342,Dashboard!$I$105:$I$124,"CAB")&gt;0,"Accepted (CF)","Blocking"),IF($J342="Failed","Deferrable","Carry Over"))))))</f>
        <v/>
      </c>
      <c r="M342" s="68" t="str">
        <f>IF(OR(TRIM($A342)="",TRIM($E342)=""),"",IFERROR(INDEX('E2E core flow'!$B$15:$B$1000,MATCH(1,INDEX(('E2E core flow'!$A$15:$A$1000&lt;&gt;"")*ISNUMBER(SEARCH('E2E core flow'!$A$15:$A$1000,$E342)),0),0))&amp;"","-"))</f>
        <v/>
      </c>
      <c r="N342" s="68" t="str">
        <f>IF(TRIM($A342)="","",IF($O342=0,IF(COUNTIFS('Card Test Cases'!$B$4:$B$1000,$A342,'Card Test Cases'!$A$4:$A$1000,"&lt;&gt;")&gt;0,"Out of Scope","No TC"),IF($Q342&gt;0,"Failed",IF(COUNTIFS('Card Test Cases'!$B$4:$B$1000,$A342,'Card Test Cases'!$A$4:$A$1000,"&lt;&gt;",'Card Test Cases'!$F$4:$F$1000,"Blocked")&gt;0,"Blocked",IF($R342&gt;0,"In Progress","Passed")))))</f>
        <v/>
      </c>
      <c r="O342" s="68" t="str">
        <f>IF(TRIM($A342)="","",COUNTIFS('Card Test Cases'!$B$4:$B$1000,$A342,'Card Test Cases'!$A$4:$A$1000,"&lt;&gt;",'Card Test Cases'!$F$4:$F$1000,"&lt;&gt;Out of Scope"))</f>
        <v/>
      </c>
      <c r="P342" s="68" t="str">
        <f>IF(TRIM($A342)="","",COUNTIFS('Card Test Cases'!$B$4:$B$1000,$A342,'Card Test Cases'!$A$4:$A$1000,"&lt;&gt;",'Card Test Cases'!$F$4:$F$1000,"Passed"))</f>
        <v/>
      </c>
      <c r="Q342" s="68" t="str">
        <f>IF(TRIM($A342)="","",COUNTIFS('Card Test Cases'!$B$4:$B$1000,$A342,'Card Test Cases'!$A$4:$A$1000,"&lt;&gt;",'Card Test Cases'!$F$4:$F$1000,"Failed"))</f>
        <v/>
      </c>
      <c r="R342" s="68" t="str">
        <f t="shared" si="5"/>
        <v/>
      </c>
      <c r="S342" s="68" t="str" cm="1">
        <f t="array" ref="S342">IF(TRIM($A342)="","",IFERROR(_xlfn.TEXTJOIN(", ",TRUE,_xlfn.UNIQUE(_xlfn.VSTACK(_xlfn._xlws.FILTER('Card Test Cases'!$G$4:$G$1000,('Card Test Cases'!$B$4:$B$1000=$A342)*('Card Test Cases'!$G$4:$G$1000&lt;&gt;""),""),_xlfn._xlws.FILTER('E2E core flow'!$U$15:$U$1000,('E2E core flow'!$A$15:$A$1000&lt;&gt;"")*ISNUMBER(SEARCH('E2E core flow'!$A$15:$A$1000,$E342))*('E2E core flow'!$U$15:$U$1000&lt;&gt;""),"")))),"-"))</f>
        <v/>
      </c>
    </row>
    <row r="343" spans="7:19" x14ac:dyDescent="0.3">
      <c r="G343" s="68" t="str" cm="1">
        <f t="array" ref="G343">_xlfn.LET(_xlpm.ids,'E2E core flow'!$A$15:$A$1000,_xlpm.v,'E2E core flow'!$W$15:$W$1000,_xlpm.m,(_xlpm.ids&lt;&gt;"")*ISNUMBER(SEARCH(_xlpm.ids,$E343)),_xlpm.f,SUM(_xlpm.m*(_xlpm.v="Failed")),_xlpm.b,SUM(_xlpm.m*(_xlpm.v="Blocked")),_xlpm.nr,SUM(_xlpm.m*(_xlpm.v="Not Run")),_xlpm.cp,SUM(_xlpm.m*(_xlpm.v="Conditionally Passed")),_xlpm.p,SUM(_xlpm.m*(_xlpm.v="Passed")),IF(TRIM($A343)="","",IF(TRIM($E343)="","Pending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43" s="68" t="str">
        <f>IF(TRIM($A343)="","",IF($J343="Passed","",IF($J343="Passed with Known Issue","Known Issue",IF($J343="",IF(OR($H343&lt;&gt;"No",AND($F343&lt;&gt;"Medium",$F343&lt;&gt;"Low")),"Pending Result",""),IF(OR($H343&lt;&gt;"No",AND($F343&lt;&gt;"Medium",$F343&lt;&gt;"Low")),IF(COUNTIFS(Dashboard!$B$105:$B$124,$A343,Dashboard!$I$105:$I$124,"CAB")&gt;0,"Accepted (CF)","Blocking"),IF($J343="Failed","Deferrable","Carry Over"))))))</f>
        <v/>
      </c>
      <c r="M343" s="68" t="str">
        <f>IF(OR(TRIM($A343)="",TRIM($E343)=""),"",IFERROR(INDEX('E2E core flow'!$B$15:$B$1000,MATCH(1,INDEX(('E2E core flow'!$A$15:$A$1000&lt;&gt;"")*ISNUMBER(SEARCH('E2E core flow'!$A$15:$A$1000,$E343)),0),0))&amp;"","-"))</f>
        <v/>
      </c>
      <c r="N343" s="68" t="str">
        <f>IF(TRIM($A343)="","",IF($O343=0,IF(COUNTIFS('Card Test Cases'!$B$4:$B$1000,$A343,'Card Test Cases'!$A$4:$A$1000,"&lt;&gt;")&gt;0,"Out of Scope","No TC"),IF($Q343&gt;0,"Failed",IF(COUNTIFS('Card Test Cases'!$B$4:$B$1000,$A343,'Card Test Cases'!$A$4:$A$1000,"&lt;&gt;",'Card Test Cases'!$F$4:$F$1000,"Blocked")&gt;0,"Blocked",IF($R343&gt;0,"In Progress","Passed")))))</f>
        <v/>
      </c>
      <c r="O343" s="68" t="str">
        <f>IF(TRIM($A343)="","",COUNTIFS('Card Test Cases'!$B$4:$B$1000,$A343,'Card Test Cases'!$A$4:$A$1000,"&lt;&gt;",'Card Test Cases'!$F$4:$F$1000,"&lt;&gt;Out of Scope"))</f>
        <v/>
      </c>
      <c r="P343" s="68" t="str">
        <f>IF(TRIM($A343)="","",COUNTIFS('Card Test Cases'!$B$4:$B$1000,$A343,'Card Test Cases'!$A$4:$A$1000,"&lt;&gt;",'Card Test Cases'!$F$4:$F$1000,"Passed"))</f>
        <v/>
      </c>
      <c r="Q343" s="68" t="str">
        <f>IF(TRIM($A343)="","",COUNTIFS('Card Test Cases'!$B$4:$B$1000,$A343,'Card Test Cases'!$A$4:$A$1000,"&lt;&gt;",'Card Test Cases'!$F$4:$F$1000,"Failed"))</f>
        <v/>
      </c>
      <c r="R343" s="68" t="str">
        <f t="shared" si="5"/>
        <v/>
      </c>
      <c r="S343" s="68" t="str" cm="1">
        <f t="array" ref="S343">IF(TRIM($A343)="","",IFERROR(_xlfn.TEXTJOIN(", ",TRUE,_xlfn.UNIQUE(_xlfn.VSTACK(_xlfn._xlws.FILTER('Card Test Cases'!$G$4:$G$1000,('Card Test Cases'!$B$4:$B$1000=$A343)*('Card Test Cases'!$G$4:$G$1000&lt;&gt;""),""),_xlfn._xlws.FILTER('E2E core flow'!$U$15:$U$1000,('E2E core flow'!$A$15:$A$1000&lt;&gt;"")*ISNUMBER(SEARCH('E2E core flow'!$A$15:$A$1000,$E343))*('E2E core flow'!$U$15:$U$1000&lt;&gt;""),"")))),"-"))</f>
        <v/>
      </c>
    </row>
    <row r="344" spans="7:19" x14ac:dyDescent="0.3">
      <c r="G344" s="68" t="str" cm="1">
        <f t="array" ref="G344">_xlfn.LET(_xlpm.ids,'E2E core flow'!$A$15:$A$1000,_xlpm.v,'E2E core flow'!$W$15:$W$1000,_xlpm.m,(_xlpm.ids&lt;&gt;"")*ISNUMBER(SEARCH(_xlpm.ids,$E344)),_xlpm.f,SUM(_xlpm.m*(_xlpm.v="Failed")),_xlpm.b,SUM(_xlpm.m*(_xlpm.v="Blocked")),_xlpm.nr,SUM(_xlpm.m*(_xlpm.v="Not Run")),_xlpm.cp,SUM(_xlpm.m*(_xlpm.v="Conditionally Passed")),_xlpm.p,SUM(_xlpm.m*(_xlpm.v="Passed")),IF(TRIM($A344)="","",IF(TRIM($E344)="","Pending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44" s="68" t="str">
        <f>IF(TRIM($A344)="","",IF($J344="Passed","",IF($J344="Passed with Known Issue","Known Issue",IF($J344="",IF(OR($H344&lt;&gt;"No",AND($F344&lt;&gt;"Medium",$F344&lt;&gt;"Low")),"Pending Result",""),IF(OR($H344&lt;&gt;"No",AND($F344&lt;&gt;"Medium",$F344&lt;&gt;"Low")),IF(COUNTIFS(Dashboard!$B$105:$B$124,$A344,Dashboard!$I$105:$I$124,"CAB")&gt;0,"Accepted (CF)","Blocking"),IF($J344="Failed","Deferrable","Carry Over"))))))</f>
        <v/>
      </c>
      <c r="M344" s="68" t="str">
        <f>IF(OR(TRIM($A344)="",TRIM($E344)=""),"",IFERROR(INDEX('E2E core flow'!$B$15:$B$1000,MATCH(1,INDEX(('E2E core flow'!$A$15:$A$1000&lt;&gt;"")*ISNUMBER(SEARCH('E2E core flow'!$A$15:$A$1000,$E344)),0),0))&amp;"","-"))</f>
        <v/>
      </c>
      <c r="N344" s="68" t="str">
        <f>IF(TRIM($A344)="","",IF($O344=0,IF(COUNTIFS('Card Test Cases'!$B$4:$B$1000,$A344,'Card Test Cases'!$A$4:$A$1000,"&lt;&gt;")&gt;0,"Out of Scope","No TC"),IF($Q344&gt;0,"Failed",IF(COUNTIFS('Card Test Cases'!$B$4:$B$1000,$A344,'Card Test Cases'!$A$4:$A$1000,"&lt;&gt;",'Card Test Cases'!$F$4:$F$1000,"Blocked")&gt;0,"Blocked",IF($R344&gt;0,"In Progress","Passed")))))</f>
        <v/>
      </c>
      <c r="O344" s="68" t="str">
        <f>IF(TRIM($A344)="","",COUNTIFS('Card Test Cases'!$B$4:$B$1000,$A344,'Card Test Cases'!$A$4:$A$1000,"&lt;&gt;",'Card Test Cases'!$F$4:$F$1000,"&lt;&gt;Out of Scope"))</f>
        <v/>
      </c>
      <c r="P344" s="68" t="str">
        <f>IF(TRIM($A344)="","",COUNTIFS('Card Test Cases'!$B$4:$B$1000,$A344,'Card Test Cases'!$A$4:$A$1000,"&lt;&gt;",'Card Test Cases'!$F$4:$F$1000,"Passed"))</f>
        <v/>
      </c>
      <c r="Q344" s="68" t="str">
        <f>IF(TRIM($A344)="","",COUNTIFS('Card Test Cases'!$B$4:$B$1000,$A344,'Card Test Cases'!$A$4:$A$1000,"&lt;&gt;",'Card Test Cases'!$F$4:$F$1000,"Failed"))</f>
        <v/>
      </c>
      <c r="R344" s="68" t="str">
        <f t="shared" si="5"/>
        <v/>
      </c>
      <c r="S344" s="68" t="str" cm="1">
        <f t="array" ref="S344">IF(TRIM($A344)="","",IFERROR(_xlfn.TEXTJOIN(", ",TRUE,_xlfn.UNIQUE(_xlfn.VSTACK(_xlfn._xlws.FILTER('Card Test Cases'!$G$4:$G$1000,('Card Test Cases'!$B$4:$B$1000=$A344)*('Card Test Cases'!$G$4:$G$1000&lt;&gt;""),""),_xlfn._xlws.FILTER('E2E core flow'!$U$15:$U$1000,('E2E core flow'!$A$15:$A$1000&lt;&gt;"")*ISNUMBER(SEARCH('E2E core flow'!$A$15:$A$1000,$E344))*('E2E core flow'!$U$15:$U$1000&lt;&gt;""),"")))),"-"))</f>
        <v/>
      </c>
    </row>
    <row r="345" spans="7:19" x14ac:dyDescent="0.3">
      <c r="G345" s="68" t="str" cm="1">
        <f t="array" ref="G345">_xlfn.LET(_xlpm.ids,'E2E core flow'!$A$15:$A$1000,_xlpm.v,'E2E core flow'!$W$15:$W$1000,_xlpm.m,(_xlpm.ids&lt;&gt;"")*ISNUMBER(SEARCH(_xlpm.ids,$E345)),_xlpm.f,SUM(_xlpm.m*(_xlpm.v="Failed")),_xlpm.b,SUM(_xlpm.m*(_xlpm.v="Blocked")),_xlpm.nr,SUM(_xlpm.m*(_xlpm.v="Not Run")),_xlpm.cp,SUM(_xlpm.m*(_xlpm.v="Conditionally Passed")),_xlpm.p,SUM(_xlpm.m*(_xlpm.v="Passed")),IF(TRIM($A345)="","",IF(TRIM($E345)="","Pending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45" s="68" t="str">
        <f>IF(TRIM($A345)="","",IF($J345="Passed","",IF($J345="Passed with Known Issue","Known Issue",IF($J345="",IF(OR($H345&lt;&gt;"No",AND($F345&lt;&gt;"Medium",$F345&lt;&gt;"Low")),"Pending Result",""),IF(OR($H345&lt;&gt;"No",AND($F345&lt;&gt;"Medium",$F345&lt;&gt;"Low")),IF(COUNTIFS(Dashboard!$B$105:$B$124,$A345,Dashboard!$I$105:$I$124,"CAB")&gt;0,"Accepted (CF)","Blocking"),IF($J345="Failed","Deferrable","Carry Over"))))))</f>
        <v/>
      </c>
      <c r="M345" s="68" t="str">
        <f>IF(OR(TRIM($A345)="",TRIM($E345)=""),"",IFERROR(INDEX('E2E core flow'!$B$15:$B$1000,MATCH(1,INDEX(('E2E core flow'!$A$15:$A$1000&lt;&gt;"")*ISNUMBER(SEARCH('E2E core flow'!$A$15:$A$1000,$E345)),0),0))&amp;"","-"))</f>
        <v/>
      </c>
      <c r="N345" s="68" t="str">
        <f>IF(TRIM($A345)="","",IF($O345=0,IF(COUNTIFS('Card Test Cases'!$B$4:$B$1000,$A345,'Card Test Cases'!$A$4:$A$1000,"&lt;&gt;")&gt;0,"Out of Scope","No TC"),IF($Q345&gt;0,"Failed",IF(COUNTIFS('Card Test Cases'!$B$4:$B$1000,$A345,'Card Test Cases'!$A$4:$A$1000,"&lt;&gt;",'Card Test Cases'!$F$4:$F$1000,"Blocked")&gt;0,"Blocked",IF($R345&gt;0,"In Progress","Passed")))))</f>
        <v/>
      </c>
      <c r="O345" s="68" t="str">
        <f>IF(TRIM($A345)="","",COUNTIFS('Card Test Cases'!$B$4:$B$1000,$A345,'Card Test Cases'!$A$4:$A$1000,"&lt;&gt;",'Card Test Cases'!$F$4:$F$1000,"&lt;&gt;Out of Scope"))</f>
        <v/>
      </c>
      <c r="P345" s="68" t="str">
        <f>IF(TRIM($A345)="","",COUNTIFS('Card Test Cases'!$B$4:$B$1000,$A345,'Card Test Cases'!$A$4:$A$1000,"&lt;&gt;",'Card Test Cases'!$F$4:$F$1000,"Passed"))</f>
        <v/>
      </c>
      <c r="Q345" s="68" t="str">
        <f>IF(TRIM($A345)="","",COUNTIFS('Card Test Cases'!$B$4:$B$1000,$A345,'Card Test Cases'!$A$4:$A$1000,"&lt;&gt;",'Card Test Cases'!$F$4:$F$1000,"Failed"))</f>
        <v/>
      </c>
      <c r="R345" s="68" t="str">
        <f t="shared" si="5"/>
        <v/>
      </c>
      <c r="S345" s="68" t="str" cm="1">
        <f t="array" ref="S345">IF(TRIM($A345)="","",IFERROR(_xlfn.TEXTJOIN(", ",TRUE,_xlfn.UNIQUE(_xlfn.VSTACK(_xlfn._xlws.FILTER('Card Test Cases'!$G$4:$G$1000,('Card Test Cases'!$B$4:$B$1000=$A345)*('Card Test Cases'!$G$4:$G$1000&lt;&gt;""),""),_xlfn._xlws.FILTER('E2E core flow'!$U$15:$U$1000,('E2E core flow'!$A$15:$A$1000&lt;&gt;"")*ISNUMBER(SEARCH('E2E core flow'!$A$15:$A$1000,$E345))*('E2E core flow'!$U$15:$U$1000&lt;&gt;""),"")))),"-"))</f>
        <v/>
      </c>
    </row>
    <row r="346" spans="7:19" x14ac:dyDescent="0.3">
      <c r="G346" s="68" t="str" cm="1">
        <f t="array" ref="G346">_xlfn.LET(_xlpm.ids,'E2E core flow'!$A$15:$A$1000,_xlpm.v,'E2E core flow'!$W$15:$W$1000,_xlpm.m,(_xlpm.ids&lt;&gt;"")*ISNUMBER(SEARCH(_xlpm.ids,$E346)),_xlpm.f,SUM(_xlpm.m*(_xlpm.v="Failed")),_xlpm.b,SUM(_xlpm.m*(_xlpm.v="Blocked")),_xlpm.nr,SUM(_xlpm.m*(_xlpm.v="Not Run")),_xlpm.cp,SUM(_xlpm.m*(_xlpm.v="Conditionally Passed")),_xlpm.p,SUM(_xlpm.m*(_xlpm.v="Passed")),IF(TRIM($A346)="","",IF(TRIM($E346)="","Pending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46" s="68" t="str">
        <f>IF(TRIM($A346)="","",IF($J346="Passed","",IF($J346="Passed with Known Issue","Known Issue",IF($J346="",IF(OR($H346&lt;&gt;"No",AND($F346&lt;&gt;"Medium",$F346&lt;&gt;"Low")),"Pending Result",""),IF(OR($H346&lt;&gt;"No",AND($F346&lt;&gt;"Medium",$F346&lt;&gt;"Low")),IF(COUNTIFS(Dashboard!$B$105:$B$124,$A346,Dashboard!$I$105:$I$124,"CAB")&gt;0,"Accepted (CF)","Blocking"),IF($J346="Failed","Deferrable","Carry Over"))))))</f>
        <v/>
      </c>
      <c r="M346" s="68" t="str">
        <f>IF(OR(TRIM($A346)="",TRIM($E346)=""),"",IFERROR(INDEX('E2E core flow'!$B$15:$B$1000,MATCH(1,INDEX(('E2E core flow'!$A$15:$A$1000&lt;&gt;"")*ISNUMBER(SEARCH('E2E core flow'!$A$15:$A$1000,$E346)),0),0))&amp;"","-"))</f>
        <v/>
      </c>
      <c r="N346" s="68" t="str">
        <f>IF(TRIM($A346)="","",IF($O346=0,IF(COUNTIFS('Card Test Cases'!$B$4:$B$1000,$A346,'Card Test Cases'!$A$4:$A$1000,"&lt;&gt;")&gt;0,"Out of Scope","No TC"),IF($Q346&gt;0,"Failed",IF(COUNTIFS('Card Test Cases'!$B$4:$B$1000,$A346,'Card Test Cases'!$A$4:$A$1000,"&lt;&gt;",'Card Test Cases'!$F$4:$F$1000,"Blocked")&gt;0,"Blocked",IF($R346&gt;0,"In Progress","Passed")))))</f>
        <v/>
      </c>
      <c r="O346" s="68" t="str">
        <f>IF(TRIM($A346)="","",COUNTIFS('Card Test Cases'!$B$4:$B$1000,$A346,'Card Test Cases'!$A$4:$A$1000,"&lt;&gt;",'Card Test Cases'!$F$4:$F$1000,"&lt;&gt;Out of Scope"))</f>
        <v/>
      </c>
      <c r="P346" s="68" t="str">
        <f>IF(TRIM($A346)="","",COUNTIFS('Card Test Cases'!$B$4:$B$1000,$A346,'Card Test Cases'!$A$4:$A$1000,"&lt;&gt;",'Card Test Cases'!$F$4:$F$1000,"Passed"))</f>
        <v/>
      </c>
      <c r="Q346" s="68" t="str">
        <f>IF(TRIM($A346)="","",COUNTIFS('Card Test Cases'!$B$4:$B$1000,$A346,'Card Test Cases'!$A$4:$A$1000,"&lt;&gt;",'Card Test Cases'!$F$4:$F$1000,"Failed"))</f>
        <v/>
      </c>
      <c r="R346" s="68" t="str">
        <f t="shared" si="5"/>
        <v/>
      </c>
      <c r="S346" s="68" t="str" cm="1">
        <f t="array" ref="S346">IF(TRIM($A346)="","",IFERROR(_xlfn.TEXTJOIN(", ",TRUE,_xlfn.UNIQUE(_xlfn.VSTACK(_xlfn._xlws.FILTER('Card Test Cases'!$G$4:$G$1000,('Card Test Cases'!$B$4:$B$1000=$A346)*('Card Test Cases'!$G$4:$G$1000&lt;&gt;""),""),_xlfn._xlws.FILTER('E2E core flow'!$U$15:$U$1000,('E2E core flow'!$A$15:$A$1000&lt;&gt;"")*ISNUMBER(SEARCH('E2E core flow'!$A$15:$A$1000,$E346))*('E2E core flow'!$U$15:$U$1000&lt;&gt;""),"")))),"-"))</f>
        <v/>
      </c>
    </row>
    <row r="347" spans="7:19" x14ac:dyDescent="0.3">
      <c r="G347" s="68" t="str" cm="1">
        <f t="array" ref="G347">_xlfn.LET(_xlpm.ids,'E2E core flow'!$A$15:$A$1000,_xlpm.v,'E2E core flow'!$W$15:$W$1000,_xlpm.m,(_xlpm.ids&lt;&gt;"")*ISNUMBER(SEARCH(_xlpm.ids,$E347)),_xlpm.f,SUM(_xlpm.m*(_xlpm.v="Failed")),_xlpm.b,SUM(_xlpm.m*(_xlpm.v="Blocked")),_xlpm.nr,SUM(_xlpm.m*(_xlpm.v="Not Run")),_xlpm.cp,SUM(_xlpm.m*(_xlpm.v="Conditionally Passed")),_xlpm.p,SUM(_xlpm.m*(_xlpm.v="Passed")),IF(TRIM($A347)="","",IF(TRIM($E347)="","Pending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47" s="68" t="str">
        <f>IF(TRIM($A347)="","",IF($J347="Passed","",IF($J347="Passed with Known Issue","Known Issue",IF($J347="",IF(OR($H347&lt;&gt;"No",AND($F347&lt;&gt;"Medium",$F347&lt;&gt;"Low")),"Pending Result",""),IF(OR($H347&lt;&gt;"No",AND($F347&lt;&gt;"Medium",$F347&lt;&gt;"Low")),IF(COUNTIFS(Dashboard!$B$105:$B$124,$A347,Dashboard!$I$105:$I$124,"CAB")&gt;0,"Accepted (CF)","Blocking"),IF($J347="Failed","Deferrable","Carry Over"))))))</f>
        <v/>
      </c>
      <c r="M347" s="68" t="str">
        <f>IF(OR(TRIM($A347)="",TRIM($E347)=""),"",IFERROR(INDEX('E2E core flow'!$B$15:$B$1000,MATCH(1,INDEX(('E2E core flow'!$A$15:$A$1000&lt;&gt;"")*ISNUMBER(SEARCH('E2E core flow'!$A$15:$A$1000,$E347)),0),0))&amp;"","-"))</f>
        <v/>
      </c>
      <c r="N347" s="68" t="str">
        <f>IF(TRIM($A347)="","",IF($O347=0,IF(COUNTIFS('Card Test Cases'!$B$4:$B$1000,$A347,'Card Test Cases'!$A$4:$A$1000,"&lt;&gt;")&gt;0,"Out of Scope","No TC"),IF($Q347&gt;0,"Failed",IF(COUNTIFS('Card Test Cases'!$B$4:$B$1000,$A347,'Card Test Cases'!$A$4:$A$1000,"&lt;&gt;",'Card Test Cases'!$F$4:$F$1000,"Blocked")&gt;0,"Blocked",IF($R347&gt;0,"In Progress","Passed")))))</f>
        <v/>
      </c>
      <c r="O347" s="68" t="str">
        <f>IF(TRIM($A347)="","",COUNTIFS('Card Test Cases'!$B$4:$B$1000,$A347,'Card Test Cases'!$A$4:$A$1000,"&lt;&gt;",'Card Test Cases'!$F$4:$F$1000,"&lt;&gt;Out of Scope"))</f>
        <v/>
      </c>
      <c r="P347" s="68" t="str">
        <f>IF(TRIM($A347)="","",COUNTIFS('Card Test Cases'!$B$4:$B$1000,$A347,'Card Test Cases'!$A$4:$A$1000,"&lt;&gt;",'Card Test Cases'!$F$4:$F$1000,"Passed"))</f>
        <v/>
      </c>
      <c r="Q347" s="68" t="str">
        <f>IF(TRIM($A347)="","",COUNTIFS('Card Test Cases'!$B$4:$B$1000,$A347,'Card Test Cases'!$A$4:$A$1000,"&lt;&gt;",'Card Test Cases'!$F$4:$F$1000,"Failed"))</f>
        <v/>
      </c>
      <c r="R347" s="68" t="str">
        <f t="shared" si="5"/>
        <v/>
      </c>
      <c r="S347" s="68" t="str" cm="1">
        <f t="array" ref="S347">IF(TRIM($A347)="","",IFERROR(_xlfn.TEXTJOIN(", ",TRUE,_xlfn.UNIQUE(_xlfn.VSTACK(_xlfn._xlws.FILTER('Card Test Cases'!$G$4:$G$1000,('Card Test Cases'!$B$4:$B$1000=$A347)*('Card Test Cases'!$G$4:$G$1000&lt;&gt;""),""),_xlfn._xlws.FILTER('E2E core flow'!$U$15:$U$1000,('E2E core flow'!$A$15:$A$1000&lt;&gt;"")*ISNUMBER(SEARCH('E2E core flow'!$A$15:$A$1000,$E347))*('E2E core flow'!$U$15:$U$1000&lt;&gt;""),"")))),"-"))</f>
        <v/>
      </c>
    </row>
    <row r="348" spans="7:19" x14ac:dyDescent="0.3">
      <c r="G348" s="68" t="str" cm="1">
        <f t="array" ref="G348">_xlfn.LET(_xlpm.ids,'E2E core flow'!$A$15:$A$1000,_xlpm.v,'E2E core flow'!$W$15:$W$1000,_xlpm.m,(_xlpm.ids&lt;&gt;"")*ISNUMBER(SEARCH(_xlpm.ids,$E348)),_xlpm.f,SUM(_xlpm.m*(_xlpm.v="Failed")),_xlpm.b,SUM(_xlpm.m*(_xlpm.v="Blocked")),_xlpm.nr,SUM(_xlpm.m*(_xlpm.v="Not Run")),_xlpm.cp,SUM(_xlpm.m*(_xlpm.v="Conditionally Passed")),_xlpm.p,SUM(_xlpm.m*(_xlpm.v="Passed")),IF(TRIM($A348)="","",IF(TRIM($E348)="","Pending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48" s="68" t="str">
        <f>IF(TRIM($A348)="","",IF($J348="Passed","",IF($J348="Passed with Known Issue","Known Issue",IF($J348="",IF(OR($H348&lt;&gt;"No",AND($F348&lt;&gt;"Medium",$F348&lt;&gt;"Low")),"Pending Result",""),IF(OR($H348&lt;&gt;"No",AND($F348&lt;&gt;"Medium",$F348&lt;&gt;"Low")),IF(COUNTIFS(Dashboard!$B$105:$B$124,$A348,Dashboard!$I$105:$I$124,"CAB")&gt;0,"Accepted (CF)","Blocking"),IF($J348="Failed","Deferrable","Carry Over"))))))</f>
        <v/>
      </c>
      <c r="M348" s="68" t="str">
        <f>IF(OR(TRIM($A348)="",TRIM($E348)=""),"",IFERROR(INDEX('E2E core flow'!$B$15:$B$1000,MATCH(1,INDEX(('E2E core flow'!$A$15:$A$1000&lt;&gt;"")*ISNUMBER(SEARCH('E2E core flow'!$A$15:$A$1000,$E348)),0),0))&amp;"","-"))</f>
        <v/>
      </c>
      <c r="N348" s="68" t="str">
        <f>IF(TRIM($A348)="","",IF($O348=0,IF(COUNTIFS('Card Test Cases'!$B$4:$B$1000,$A348,'Card Test Cases'!$A$4:$A$1000,"&lt;&gt;")&gt;0,"Out of Scope","No TC"),IF($Q348&gt;0,"Failed",IF(COUNTIFS('Card Test Cases'!$B$4:$B$1000,$A348,'Card Test Cases'!$A$4:$A$1000,"&lt;&gt;",'Card Test Cases'!$F$4:$F$1000,"Blocked")&gt;0,"Blocked",IF($R348&gt;0,"In Progress","Passed")))))</f>
        <v/>
      </c>
      <c r="O348" s="68" t="str">
        <f>IF(TRIM($A348)="","",COUNTIFS('Card Test Cases'!$B$4:$B$1000,$A348,'Card Test Cases'!$A$4:$A$1000,"&lt;&gt;",'Card Test Cases'!$F$4:$F$1000,"&lt;&gt;Out of Scope"))</f>
        <v/>
      </c>
      <c r="P348" s="68" t="str">
        <f>IF(TRIM($A348)="","",COUNTIFS('Card Test Cases'!$B$4:$B$1000,$A348,'Card Test Cases'!$A$4:$A$1000,"&lt;&gt;",'Card Test Cases'!$F$4:$F$1000,"Passed"))</f>
        <v/>
      </c>
      <c r="Q348" s="68" t="str">
        <f>IF(TRIM($A348)="","",COUNTIFS('Card Test Cases'!$B$4:$B$1000,$A348,'Card Test Cases'!$A$4:$A$1000,"&lt;&gt;",'Card Test Cases'!$F$4:$F$1000,"Failed"))</f>
        <v/>
      </c>
      <c r="R348" s="68" t="str">
        <f t="shared" si="5"/>
        <v/>
      </c>
      <c r="S348" s="68" t="str" cm="1">
        <f t="array" ref="S348">IF(TRIM($A348)="","",IFERROR(_xlfn.TEXTJOIN(", ",TRUE,_xlfn.UNIQUE(_xlfn.VSTACK(_xlfn._xlws.FILTER('Card Test Cases'!$G$4:$G$1000,('Card Test Cases'!$B$4:$B$1000=$A348)*('Card Test Cases'!$G$4:$G$1000&lt;&gt;""),""),_xlfn._xlws.FILTER('E2E core flow'!$U$15:$U$1000,('E2E core flow'!$A$15:$A$1000&lt;&gt;"")*ISNUMBER(SEARCH('E2E core flow'!$A$15:$A$1000,$E348))*('E2E core flow'!$U$15:$U$1000&lt;&gt;""),"")))),"-"))</f>
        <v/>
      </c>
    </row>
    <row r="349" spans="7:19" x14ac:dyDescent="0.3">
      <c r="G349" s="68" t="str" cm="1">
        <f t="array" ref="G349">_xlfn.LET(_xlpm.ids,'E2E core flow'!$A$15:$A$1000,_xlpm.v,'E2E core flow'!$W$15:$W$1000,_xlpm.m,(_xlpm.ids&lt;&gt;"")*ISNUMBER(SEARCH(_xlpm.ids,$E349)),_xlpm.f,SUM(_xlpm.m*(_xlpm.v="Failed")),_xlpm.b,SUM(_xlpm.m*(_xlpm.v="Blocked")),_xlpm.nr,SUM(_xlpm.m*(_xlpm.v="Not Run")),_xlpm.cp,SUM(_xlpm.m*(_xlpm.v="Conditionally Passed")),_xlpm.p,SUM(_xlpm.m*(_xlpm.v="Passed")),IF(TRIM($A349)="","",IF(TRIM($E349)="","Pending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49" s="68" t="str">
        <f>IF(TRIM($A349)="","",IF($J349="Passed","",IF($J349="Passed with Known Issue","Known Issue",IF($J349="",IF(OR($H349&lt;&gt;"No",AND($F349&lt;&gt;"Medium",$F349&lt;&gt;"Low")),"Pending Result",""),IF(OR($H349&lt;&gt;"No",AND($F349&lt;&gt;"Medium",$F349&lt;&gt;"Low")),IF(COUNTIFS(Dashboard!$B$105:$B$124,$A349,Dashboard!$I$105:$I$124,"CAB")&gt;0,"Accepted (CF)","Blocking"),IF($J349="Failed","Deferrable","Carry Over"))))))</f>
        <v/>
      </c>
      <c r="M349" s="68" t="str">
        <f>IF(OR(TRIM($A349)="",TRIM($E349)=""),"",IFERROR(INDEX('E2E core flow'!$B$15:$B$1000,MATCH(1,INDEX(('E2E core flow'!$A$15:$A$1000&lt;&gt;"")*ISNUMBER(SEARCH('E2E core flow'!$A$15:$A$1000,$E349)),0),0))&amp;"","-"))</f>
        <v/>
      </c>
      <c r="N349" s="68" t="str">
        <f>IF(TRIM($A349)="","",IF($O349=0,IF(COUNTIFS('Card Test Cases'!$B$4:$B$1000,$A349,'Card Test Cases'!$A$4:$A$1000,"&lt;&gt;")&gt;0,"Out of Scope","No TC"),IF($Q349&gt;0,"Failed",IF(COUNTIFS('Card Test Cases'!$B$4:$B$1000,$A349,'Card Test Cases'!$A$4:$A$1000,"&lt;&gt;",'Card Test Cases'!$F$4:$F$1000,"Blocked")&gt;0,"Blocked",IF($R349&gt;0,"In Progress","Passed")))))</f>
        <v/>
      </c>
      <c r="O349" s="68" t="str">
        <f>IF(TRIM($A349)="","",COUNTIFS('Card Test Cases'!$B$4:$B$1000,$A349,'Card Test Cases'!$A$4:$A$1000,"&lt;&gt;",'Card Test Cases'!$F$4:$F$1000,"&lt;&gt;Out of Scope"))</f>
        <v/>
      </c>
      <c r="P349" s="68" t="str">
        <f>IF(TRIM($A349)="","",COUNTIFS('Card Test Cases'!$B$4:$B$1000,$A349,'Card Test Cases'!$A$4:$A$1000,"&lt;&gt;",'Card Test Cases'!$F$4:$F$1000,"Passed"))</f>
        <v/>
      </c>
      <c r="Q349" s="68" t="str">
        <f>IF(TRIM($A349)="","",COUNTIFS('Card Test Cases'!$B$4:$B$1000,$A349,'Card Test Cases'!$A$4:$A$1000,"&lt;&gt;",'Card Test Cases'!$F$4:$F$1000,"Failed"))</f>
        <v/>
      </c>
      <c r="R349" s="68" t="str">
        <f t="shared" si="5"/>
        <v/>
      </c>
      <c r="S349" s="68" t="str" cm="1">
        <f t="array" ref="S349">IF(TRIM($A349)="","",IFERROR(_xlfn.TEXTJOIN(", ",TRUE,_xlfn.UNIQUE(_xlfn.VSTACK(_xlfn._xlws.FILTER('Card Test Cases'!$G$4:$G$1000,('Card Test Cases'!$B$4:$B$1000=$A349)*('Card Test Cases'!$G$4:$G$1000&lt;&gt;""),""),_xlfn._xlws.FILTER('E2E core flow'!$U$15:$U$1000,('E2E core flow'!$A$15:$A$1000&lt;&gt;"")*ISNUMBER(SEARCH('E2E core flow'!$A$15:$A$1000,$E349))*('E2E core flow'!$U$15:$U$1000&lt;&gt;""),"")))),"-"))</f>
        <v/>
      </c>
    </row>
    <row r="350" spans="7:19" x14ac:dyDescent="0.3">
      <c r="G350" s="68" t="str" cm="1">
        <f t="array" ref="G350">_xlfn.LET(_xlpm.ids,'E2E core flow'!$A$15:$A$1000,_xlpm.v,'E2E core flow'!$W$15:$W$1000,_xlpm.m,(_xlpm.ids&lt;&gt;"")*ISNUMBER(SEARCH(_xlpm.ids,$E350)),_xlpm.f,SUM(_xlpm.m*(_xlpm.v="Failed")),_xlpm.b,SUM(_xlpm.m*(_xlpm.v="Blocked")),_xlpm.nr,SUM(_xlpm.m*(_xlpm.v="Not Run")),_xlpm.cp,SUM(_xlpm.m*(_xlpm.v="Conditionally Passed")),_xlpm.p,SUM(_xlpm.m*(_xlpm.v="Passed")),IF(TRIM($A350)="","",IF(TRIM($E350)="","Pending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50" s="68" t="str">
        <f>IF(TRIM($A350)="","",IF($J350="Passed","",IF($J350="Passed with Known Issue","Known Issue",IF($J350="",IF(OR($H350&lt;&gt;"No",AND($F350&lt;&gt;"Medium",$F350&lt;&gt;"Low")),"Pending Result",""),IF(OR($H350&lt;&gt;"No",AND($F350&lt;&gt;"Medium",$F350&lt;&gt;"Low")),IF(COUNTIFS(Dashboard!$B$105:$B$124,$A350,Dashboard!$I$105:$I$124,"CAB")&gt;0,"Accepted (CF)","Blocking"),IF($J350="Failed","Deferrable","Carry Over"))))))</f>
        <v/>
      </c>
      <c r="M350" s="68" t="str">
        <f>IF(OR(TRIM($A350)="",TRIM($E350)=""),"",IFERROR(INDEX('E2E core flow'!$B$15:$B$1000,MATCH(1,INDEX(('E2E core flow'!$A$15:$A$1000&lt;&gt;"")*ISNUMBER(SEARCH('E2E core flow'!$A$15:$A$1000,$E350)),0),0))&amp;"","-"))</f>
        <v/>
      </c>
      <c r="N350" s="68" t="str">
        <f>IF(TRIM($A350)="","",IF($O350=0,IF(COUNTIFS('Card Test Cases'!$B$4:$B$1000,$A350,'Card Test Cases'!$A$4:$A$1000,"&lt;&gt;")&gt;0,"Out of Scope","No TC"),IF($Q350&gt;0,"Failed",IF(COUNTIFS('Card Test Cases'!$B$4:$B$1000,$A350,'Card Test Cases'!$A$4:$A$1000,"&lt;&gt;",'Card Test Cases'!$F$4:$F$1000,"Blocked")&gt;0,"Blocked",IF($R350&gt;0,"In Progress","Passed")))))</f>
        <v/>
      </c>
      <c r="O350" s="68" t="str">
        <f>IF(TRIM($A350)="","",COUNTIFS('Card Test Cases'!$B$4:$B$1000,$A350,'Card Test Cases'!$A$4:$A$1000,"&lt;&gt;",'Card Test Cases'!$F$4:$F$1000,"&lt;&gt;Out of Scope"))</f>
        <v/>
      </c>
      <c r="P350" s="68" t="str">
        <f>IF(TRIM($A350)="","",COUNTIFS('Card Test Cases'!$B$4:$B$1000,$A350,'Card Test Cases'!$A$4:$A$1000,"&lt;&gt;",'Card Test Cases'!$F$4:$F$1000,"Passed"))</f>
        <v/>
      </c>
      <c r="Q350" s="68" t="str">
        <f>IF(TRIM($A350)="","",COUNTIFS('Card Test Cases'!$B$4:$B$1000,$A350,'Card Test Cases'!$A$4:$A$1000,"&lt;&gt;",'Card Test Cases'!$F$4:$F$1000,"Failed"))</f>
        <v/>
      </c>
      <c r="R350" s="68" t="str">
        <f t="shared" si="5"/>
        <v/>
      </c>
      <c r="S350" s="68" t="str" cm="1">
        <f t="array" ref="S350">IF(TRIM($A350)="","",IFERROR(_xlfn.TEXTJOIN(", ",TRUE,_xlfn.UNIQUE(_xlfn.VSTACK(_xlfn._xlws.FILTER('Card Test Cases'!$G$4:$G$1000,('Card Test Cases'!$B$4:$B$1000=$A350)*('Card Test Cases'!$G$4:$G$1000&lt;&gt;""),""),_xlfn._xlws.FILTER('E2E core flow'!$U$15:$U$1000,('E2E core flow'!$A$15:$A$1000&lt;&gt;"")*ISNUMBER(SEARCH('E2E core flow'!$A$15:$A$1000,$E350))*('E2E core flow'!$U$15:$U$1000&lt;&gt;""),"")))),"-"))</f>
        <v/>
      </c>
    </row>
    <row r="351" spans="7:19" x14ac:dyDescent="0.3">
      <c r="G351" s="68" t="str" cm="1">
        <f t="array" ref="G351">_xlfn.LET(_xlpm.ids,'E2E core flow'!$A$15:$A$1000,_xlpm.v,'E2E core flow'!$W$15:$W$1000,_xlpm.m,(_xlpm.ids&lt;&gt;"")*ISNUMBER(SEARCH(_xlpm.ids,$E351)),_xlpm.f,SUM(_xlpm.m*(_xlpm.v="Failed")),_xlpm.b,SUM(_xlpm.m*(_xlpm.v="Blocked")),_xlpm.nr,SUM(_xlpm.m*(_xlpm.v="Not Run")),_xlpm.cp,SUM(_xlpm.m*(_xlpm.v="Conditionally Passed")),_xlpm.p,SUM(_xlpm.m*(_xlpm.v="Passed")),IF(TRIM($A351)="","",IF(TRIM($E351)="","Pending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51" s="68" t="str">
        <f>IF(TRIM($A351)="","",IF($J351="Passed","",IF($J351="Passed with Known Issue","Known Issue",IF($J351="",IF(OR($H351&lt;&gt;"No",AND($F351&lt;&gt;"Medium",$F351&lt;&gt;"Low")),"Pending Result",""),IF(OR($H351&lt;&gt;"No",AND($F351&lt;&gt;"Medium",$F351&lt;&gt;"Low")),IF(COUNTIFS(Dashboard!$B$105:$B$124,$A351,Dashboard!$I$105:$I$124,"CAB")&gt;0,"Accepted (CF)","Blocking"),IF($J351="Failed","Deferrable","Carry Over"))))))</f>
        <v/>
      </c>
      <c r="M351" s="68" t="str">
        <f>IF(OR(TRIM($A351)="",TRIM($E351)=""),"",IFERROR(INDEX('E2E core flow'!$B$15:$B$1000,MATCH(1,INDEX(('E2E core flow'!$A$15:$A$1000&lt;&gt;"")*ISNUMBER(SEARCH('E2E core flow'!$A$15:$A$1000,$E351)),0),0))&amp;"","-"))</f>
        <v/>
      </c>
      <c r="N351" s="68" t="str">
        <f>IF(TRIM($A351)="","",IF($O351=0,IF(COUNTIFS('Card Test Cases'!$B$4:$B$1000,$A351,'Card Test Cases'!$A$4:$A$1000,"&lt;&gt;")&gt;0,"Out of Scope","No TC"),IF($Q351&gt;0,"Failed",IF(COUNTIFS('Card Test Cases'!$B$4:$B$1000,$A351,'Card Test Cases'!$A$4:$A$1000,"&lt;&gt;",'Card Test Cases'!$F$4:$F$1000,"Blocked")&gt;0,"Blocked",IF($R351&gt;0,"In Progress","Passed")))))</f>
        <v/>
      </c>
      <c r="O351" s="68" t="str">
        <f>IF(TRIM($A351)="","",COUNTIFS('Card Test Cases'!$B$4:$B$1000,$A351,'Card Test Cases'!$A$4:$A$1000,"&lt;&gt;",'Card Test Cases'!$F$4:$F$1000,"&lt;&gt;Out of Scope"))</f>
        <v/>
      </c>
      <c r="P351" s="68" t="str">
        <f>IF(TRIM($A351)="","",COUNTIFS('Card Test Cases'!$B$4:$B$1000,$A351,'Card Test Cases'!$A$4:$A$1000,"&lt;&gt;",'Card Test Cases'!$F$4:$F$1000,"Passed"))</f>
        <v/>
      </c>
      <c r="Q351" s="68" t="str">
        <f>IF(TRIM($A351)="","",COUNTIFS('Card Test Cases'!$B$4:$B$1000,$A351,'Card Test Cases'!$A$4:$A$1000,"&lt;&gt;",'Card Test Cases'!$F$4:$F$1000,"Failed"))</f>
        <v/>
      </c>
      <c r="R351" s="68" t="str">
        <f t="shared" si="5"/>
        <v/>
      </c>
      <c r="S351" s="68" t="str" cm="1">
        <f t="array" ref="S351">IF(TRIM($A351)="","",IFERROR(_xlfn.TEXTJOIN(", ",TRUE,_xlfn.UNIQUE(_xlfn.VSTACK(_xlfn._xlws.FILTER('Card Test Cases'!$G$4:$G$1000,('Card Test Cases'!$B$4:$B$1000=$A351)*('Card Test Cases'!$G$4:$G$1000&lt;&gt;""),""),_xlfn._xlws.FILTER('E2E core flow'!$U$15:$U$1000,('E2E core flow'!$A$15:$A$1000&lt;&gt;"")*ISNUMBER(SEARCH('E2E core flow'!$A$15:$A$1000,$E351))*('E2E core flow'!$U$15:$U$1000&lt;&gt;""),"")))),"-"))</f>
        <v/>
      </c>
    </row>
    <row r="352" spans="7:19" x14ac:dyDescent="0.3">
      <c r="G352" s="68" t="str" cm="1">
        <f t="array" ref="G352">_xlfn.LET(_xlpm.ids,'E2E core flow'!$A$15:$A$1000,_xlpm.v,'E2E core flow'!$W$15:$W$1000,_xlpm.m,(_xlpm.ids&lt;&gt;"")*ISNUMBER(SEARCH(_xlpm.ids,$E352)),_xlpm.f,SUM(_xlpm.m*(_xlpm.v="Failed")),_xlpm.b,SUM(_xlpm.m*(_xlpm.v="Blocked")),_xlpm.nr,SUM(_xlpm.m*(_xlpm.v="Not Run")),_xlpm.cp,SUM(_xlpm.m*(_xlpm.v="Conditionally Passed")),_xlpm.p,SUM(_xlpm.m*(_xlpm.v="Passed")),IF(TRIM($A352)="","",IF(TRIM($E352)="","Pending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52" s="68" t="str">
        <f>IF(TRIM($A352)="","",IF($J352="Passed","",IF($J352="Passed with Known Issue","Known Issue",IF($J352="",IF(OR($H352&lt;&gt;"No",AND($F352&lt;&gt;"Medium",$F352&lt;&gt;"Low")),"Pending Result",""),IF(OR($H352&lt;&gt;"No",AND($F352&lt;&gt;"Medium",$F352&lt;&gt;"Low")),IF(COUNTIFS(Dashboard!$B$105:$B$124,$A352,Dashboard!$I$105:$I$124,"CAB")&gt;0,"Accepted (CF)","Blocking"),IF($J352="Failed","Deferrable","Carry Over"))))))</f>
        <v/>
      </c>
      <c r="M352" s="68" t="str">
        <f>IF(OR(TRIM($A352)="",TRIM($E352)=""),"",IFERROR(INDEX('E2E core flow'!$B$15:$B$1000,MATCH(1,INDEX(('E2E core flow'!$A$15:$A$1000&lt;&gt;"")*ISNUMBER(SEARCH('E2E core flow'!$A$15:$A$1000,$E352)),0),0))&amp;"","-"))</f>
        <v/>
      </c>
      <c r="N352" s="68" t="str">
        <f>IF(TRIM($A352)="","",IF($O352=0,IF(COUNTIFS('Card Test Cases'!$B$4:$B$1000,$A352,'Card Test Cases'!$A$4:$A$1000,"&lt;&gt;")&gt;0,"Out of Scope","No TC"),IF($Q352&gt;0,"Failed",IF(COUNTIFS('Card Test Cases'!$B$4:$B$1000,$A352,'Card Test Cases'!$A$4:$A$1000,"&lt;&gt;",'Card Test Cases'!$F$4:$F$1000,"Blocked")&gt;0,"Blocked",IF($R352&gt;0,"In Progress","Passed")))))</f>
        <v/>
      </c>
      <c r="O352" s="68" t="str">
        <f>IF(TRIM($A352)="","",COUNTIFS('Card Test Cases'!$B$4:$B$1000,$A352,'Card Test Cases'!$A$4:$A$1000,"&lt;&gt;",'Card Test Cases'!$F$4:$F$1000,"&lt;&gt;Out of Scope"))</f>
        <v/>
      </c>
      <c r="P352" s="68" t="str">
        <f>IF(TRIM($A352)="","",COUNTIFS('Card Test Cases'!$B$4:$B$1000,$A352,'Card Test Cases'!$A$4:$A$1000,"&lt;&gt;",'Card Test Cases'!$F$4:$F$1000,"Passed"))</f>
        <v/>
      </c>
      <c r="Q352" s="68" t="str">
        <f>IF(TRIM($A352)="","",COUNTIFS('Card Test Cases'!$B$4:$B$1000,$A352,'Card Test Cases'!$A$4:$A$1000,"&lt;&gt;",'Card Test Cases'!$F$4:$F$1000,"Failed"))</f>
        <v/>
      </c>
      <c r="R352" s="68" t="str">
        <f t="shared" si="5"/>
        <v/>
      </c>
      <c r="S352" s="68" t="str" cm="1">
        <f t="array" ref="S352">IF(TRIM($A352)="","",IFERROR(_xlfn.TEXTJOIN(", ",TRUE,_xlfn.UNIQUE(_xlfn.VSTACK(_xlfn._xlws.FILTER('Card Test Cases'!$G$4:$G$1000,('Card Test Cases'!$B$4:$B$1000=$A352)*('Card Test Cases'!$G$4:$G$1000&lt;&gt;""),""),_xlfn._xlws.FILTER('E2E core flow'!$U$15:$U$1000,('E2E core flow'!$A$15:$A$1000&lt;&gt;"")*ISNUMBER(SEARCH('E2E core flow'!$A$15:$A$1000,$E352))*('E2E core flow'!$U$15:$U$1000&lt;&gt;""),"")))),"-"))</f>
        <v/>
      </c>
    </row>
    <row r="353" spans="7:19" x14ac:dyDescent="0.3">
      <c r="G353" s="68" t="str" cm="1">
        <f t="array" ref="G353">_xlfn.LET(_xlpm.ids,'E2E core flow'!$A$15:$A$1000,_xlpm.v,'E2E core flow'!$W$15:$W$1000,_xlpm.m,(_xlpm.ids&lt;&gt;"")*ISNUMBER(SEARCH(_xlpm.ids,$E353)),_xlpm.f,SUM(_xlpm.m*(_xlpm.v="Failed")),_xlpm.b,SUM(_xlpm.m*(_xlpm.v="Blocked")),_xlpm.nr,SUM(_xlpm.m*(_xlpm.v="Not Run")),_xlpm.cp,SUM(_xlpm.m*(_xlpm.v="Conditionally Passed")),_xlpm.p,SUM(_xlpm.m*(_xlpm.v="Passed")),IF(TRIM($A353)="","",IF(TRIM($E353)="","Pending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53" s="68" t="str">
        <f>IF(TRIM($A353)="","",IF($J353="Passed","",IF($J353="Passed with Known Issue","Known Issue",IF($J353="",IF(OR($H353&lt;&gt;"No",AND($F353&lt;&gt;"Medium",$F353&lt;&gt;"Low")),"Pending Result",""),IF(OR($H353&lt;&gt;"No",AND($F353&lt;&gt;"Medium",$F353&lt;&gt;"Low")),IF(COUNTIFS(Dashboard!$B$105:$B$124,$A353,Dashboard!$I$105:$I$124,"CAB")&gt;0,"Accepted (CF)","Blocking"),IF($J353="Failed","Deferrable","Carry Over"))))))</f>
        <v/>
      </c>
      <c r="M353" s="68" t="str">
        <f>IF(OR(TRIM($A353)="",TRIM($E353)=""),"",IFERROR(INDEX('E2E core flow'!$B$15:$B$1000,MATCH(1,INDEX(('E2E core flow'!$A$15:$A$1000&lt;&gt;"")*ISNUMBER(SEARCH('E2E core flow'!$A$15:$A$1000,$E353)),0),0))&amp;"","-"))</f>
        <v/>
      </c>
      <c r="N353" s="68" t="str">
        <f>IF(TRIM($A353)="","",IF($O353=0,IF(COUNTIFS('Card Test Cases'!$B$4:$B$1000,$A353,'Card Test Cases'!$A$4:$A$1000,"&lt;&gt;")&gt;0,"Out of Scope","No TC"),IF($Q353&gt;0,"Failed",IF(COUNTIFS('Card Test Cases'!$B$4:$B$1000,$A353,'Card Test Cases'!$A$4:$A$1000,"&lt;&gt;",'Card Test Cases'!$F$4:$F$1000,"Blocked")&gt;0,"Blocked",IF($R353&gt;0,"In Progress","Passed")))))</f>
        <v/>
      </c>
      <c r="O353" s="68" t="str">
        <f>IF(TRIM($A353)="","",COUNTIFS('Card Test Cases'!$B$4:$B$1000,$A353,'Card Test Cases'!$A$4:$A$1000,"&lt;&gt;",'Card Test Cases'!$F$4:$F$1000,"&lt;&gt;Out of Scope"))</f>
        <v/>
      </c>
      <c r="P353" s="68" t="str">
        <f>IF(TRIM($A353)="","",COUNTIFS('Card Test Cases'!$B$4:$B$1000,$A353,'Card Test Cases'!$A$4:$A$1000,"&lt;&gt;",'Card Test Cases'!$F$4:$F$1000,"Passed"))</f>
        <v/>
      </c>
      <c r="Q353" s="68" t="str">
        <f>IF(TRIM($A353)="","",COUNTIFS('Card Test Cases'!$B$4:$B$1000,$A353,'Card Test Cases'!$A$4:$A$1000,"&lt;&gt;",'Card Test Cases'!$F$4:$F$1000,"Failed"))</f>
        <v/>
      </c>
      <c r="R353" s="68" t="str">
        <f t="shared" si="5"/>
        <v/>
      </c>
      <c r="S353" s="68" t="str" cm="1">
        <f t="array" ref="S353">IF(TRIM($A353)="","",IFERROR(_xlfn.TEXTJOIN(", ",TRUE,_xlfn.UNIQUE(_xlfn.VSTACK(_xlfn._xlws.FILTER('Card Test Cases'!$G$4:$G$1000,('Card Test Cases'!$B$4:$B$1000=$A353)*('Card Test Cases'!$G$4:$G$1000&lt;&gt;""),""),_xlfn._xlws.FILTER('E2E core flow'!$U$15:$U$1000,('E2E core flow'!$A$15:$A$1000&lt;&gt;"")*ISNUMBER(SEARCH('E2E core flow'!$A$15:$A$1000,$E353))*('E2E core flow'!$U$15:$U$1000&lt;&gt;""),"")))),"-"))</f>
        <v/>
      </c>
    </row>
    <row r="354" spans="7:19" x14ac:dyDescent="0.3">
      <c r="G354" s="68" t="str" cm="1">
        <f t="array" ref="G354">_xlfn.LET(_xlpm.ids,'E2E core flow'!$A$15:$A$1000,_xlpm.v,'E2E core flow'!$W$15:$W$1000,_xlpm.m,(_xlpm.ids&lt;&gt;"")*ISNUMBER(SEARCH(_xlpm.ids,$E354)),_xlpm.f,SUM(_xlpm.m*(_xlpm.v="Failed")),_xlpm.b,SUM(_xlpm.m*(_xlpm.v="Blocked")),_xlpm.nr,SUM(_xlpm.m*(_xlpm.v="Not Run")),_xlpm.cp,SUM(_xlpm.m*(_xlpm.v="Conditionally Passed")),_xlpm.p,SUM(_xlpm.m*(_xlpm.v="Passed")),IF(TRIM($A354)="","",IF(TRIM($E354)="","Pending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54" s="68" t="str">
        <f>IF(TRIM($A354)="","",IF($J354="Passed","",IF($J354="Passed with Known Issue","Known Issue",IF($J354="",IF(OR($H354&lt;&gt;"No",AND($F354&lt;&gt;"Medium",$F354&lt;&gt;"Low")),"Pending Result",""),IF(OR($H354&lt;&gt;"No",AND($F354&lt;&gt;"Medium",$F354&lt;&gt;"Low")),IF(COUNTIFS(Dashboard!$B$105:$B$124,$A354,Dashboard!$I$105:$I$124,"CAB")&gt;0,"Accepted (CF)","Blocking"),IF($J354="Failed","Deferrable","Carry Over"))))))</f>
        <v/>
      </c>
      <c r="M354" s="68" t="str">
        <f>IF(OR(TRIM($A354)="",TRIM($E354)=""),"",IFERROR(INDEX('E2E core flow'!$B$15:$B$1000,MATCH(1,INDEX(('E2E core flow'!$A$15:$A$1000&lt;&gt;"")*ISNUMBER(SEARCH('E2E core flow'!$A$15:$A$1000,$E354)),0),0))&amp;"","-"))</f>
        <v/>
      </c>
      <c r="N354" s="68" t="str">
        <f>IF(TRIM($A354)="","",IF($O354=0,IF(COUNTIFS('Card Test Cases'!$B$4:$B$1000,$A354,'Card Test Cases'!$A$4:$A$1000,"&lt;&gt;")&gt;0,"Out of Scope","No TC"),IF($Q354&gt;0,"Failed",IF(COUNTIFS('Card Test Cases'!$B$4:$B$1000,$A354,'Card Test Cases'!$A$4:$A$1000,"&lt;&gt;",'Card Test Cases'!$F$4:$F$1000,"Blocked")&gt;0,"Blocked",IF($R354&gt;0,"In Progress","Passed")))))</f>
        <v/>
      </c>
      <c r="O354" s="68" t="str">
        <f>IF(TRIM($A354)="","",COUNTIFS('Card Test Cases'!$B$4:$B$1000,$A354,'Card Test Cases'!$A$4:$A$1000,"&lt;&gt;",'Card Test Cases'!$F$4:$F$1000,"&lt;&gt;Out of Scope"))</f>
        <v/>
      </c>
      <c r="P354" s="68" t="str">
        <f>IF(TRIM($A354)="","",COUNTIFS('Card Test Cases'!$B$4:$B$1000,$A354,'Card Test Cases'!$A$4:$A$1000,"&lt;&gt;",'Card Test Cases'!$F$4:$F$1000,"Passed"))</f>
        <v/>
      </c>
      <c r="Q354" s="68" t="str">
        <f>IF(TRIM($A354)="","",COUNTIFS('Card Test Cases'!$B$4:$B$1000,$A354,'Card Test Cases'!$A$4:$A$1000,"&lt;&gt;",'Card Test Cases'!$F$4:$F$1000,"Failed"))</f>
        <v/>
      </c>
      <c r="R354" s="68" t="str">
        <f t="shared" si="5"/>
        <v/>
      </c>
      <c r="S354" s="68" t="str" cm="1">
        <f t="array" ref="S354">IF(TRIM($A354)="","",IFERROR(_xlfn.TEXTJOIN(", ",TRUE,_xlfn.UNIQUE(_xlfn.VSTACK(_xlfn._xlws.FILTER('Card Test Cases'!$G$4:$G$1000,('Card Test Cases'!$B$4:$B$1000=$A354)*('Card Test Cases'!$G$4:$G$1000&lt;&gt;""),""),_xlfn._xlws.FILTER('E2E core flow'!$U$15:$U$1000,('E2E core flow'!$A$15:$A$1000&lt;&gt;"")*ISNUMBER(SEARCH('E2E core flow'!$A$15:$A$1000,$E354))*('E2E core flow'!$U$15:$U$1000&lt;&gt;""),"")))),"-"))</f>
        <v/>
      </c>
    </row>
    <row r="355" spans="7:19" x14ac:dyDescent="0.3">
      <c r="G355" s="68" t="str" cm="1">
        <f t="array" ref="G355">_xlfn.LET(_xlpm.ids,'E2E core flow'!$A$15:$A$1000,_xlpm.v,'E2E core flow'!$W$15:$W$1000,_xlpm.m,(_xlpm.ids&lt;&gt;"")*ISNUMBER(SEARCH(_xlpm.ids,$E355)),_xlpm.f,SUM(_xlpm.m*(_xlpm.v="Failed")),_xlpm.b,SUM(_xlpm.m*(_xlpm.v="Blocked")),_xlpm.nr,SUM(_xlpm.m*(_xlpm.v="Not Run")),_xlpm.cp,SUM(_xlpm.m*(_xlpm.v="Conditionally Passed")),_xlpm.p,SUM(_xlpm.m*(_xlpm.v="Passed")),IF(TRIM($A355)="","",IF(TRIM($E355)="","Pending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55" s="68" t="str">
        <f>IF(TRIM($A355)="","",IF($J355="Passed","",IF($J355="Passed with Known Issue","Known Issue",IF($J355="",IF(OR($H355&lt;&gt;"No",AND($F355&lt;&gt;"Medium",$F355&lt;&gt;"Low")),"Pending Result",""),IF(OR($H355&lt;&gt;"No",AND($F355&lt;&gt;"Medium",$F355&lt;&gt;"Low")),IF(COUNTIFS(Dashboard!$B$105:$B$124,$A355,Dashboard!$I$105:$I$124,"CAB")&gt;0,"Accepted (CF)","Blocking"),IF($J355="Failed","Deferrable","Carry Over"))))))</f>
        <v/>
      </c>
      <c r="M355" s="68" t="str">
        <f>IF(OR(TRIM($A355)="",TRIM($E355)=""),"",IFERROR(INDEX('E2E core flow'!$B$15:$B$1000,MATCH(1,INDEX(('E2E core flow'!$A$15:$A$1000&lt;&gt;"")*ISNUMBER(SEARCH('E2E core flow'!$A$15:$A$1000,$E355)),0),0))&amp;"","-"))</f>
        <v/>
      </c>
      <c r="N355" s="68" t="str">
        <f>IF(TRIM($A355)="","",IF($O355=0,IF(COUNTIFS('Card Test Cases'!$B$4:$B$1000,$A355,'Card Test Cases'!$A$4:$A$1000,"&lt;&gt;")&gt;0,"Out of Scope","No TC"),IF($Q355&gt;0,"Failed",IF(COUNTIFS('Card Test Cases'!$B$4:$B$1000,$A355,'Card Test Cases'!$A$4:$A$1000,"&lt;&gt;",'Card Test Cases'!$F$4:$F$1000,"Blocked")&gt;0,"Blocked",IF($R355&gt;0,"In Progress","Passed")))))</f>
        <v/>
      </c>
      <c r="O355" s="68" t="str">
        <f>IF(TRIM($A355)="","",COUNTIFS('Card Test Cases'!$B$4:$B$1000,$A355,'Card Test Cases'!$A$4:$A$1000,"&lt;&gt;",'Card Test Cases'!$F$4:$F$1000,"&lt;&gt;Out of Scope"))</f>
        <v/>
      </c>
      <c r="P355" s="68" t="str">
        <f>IF(TRIM($A355)="","",COUNTIFS('Card Test Cases'!$B$4:$B$1000,$A355,'Card Test Cases'!$A$4:$A$1000,"&lt;&gt;",'Card Test Cases'!$F$4:$F$1000,"Passed"))</f>
        <v/>
      </c>
      <c r="Q355" s="68" t="str">
        <f>IF(TRIM($A355)="","",COUNTIFS('Card Test Cases'!$B$4:$B$1000,$A355,'Card Test Cases'!$A$4:$A$1000,"&lt;&gt;",'Card Test Cases'!$F$4:$F$1000,"Failed"))</f>
        <v/>
      </c>
      <c r="R355" s="68" t="str">
        <f t="shared" si="5"/>
        <v/>
      </c>
      <c r="S355" s="68" t="str" cm="1">
        <f t="array" ref="S355">IF(TRIM($A355)="","",IFERROR(_xlfn.TEXTJOIN(", ",TRUE,_xlfn.UNIQUE(_xlfn.VSTACK(_xlfn._xlws.FILTER('Card Test Cases'!$G$4:$G$1000,('Card Test Cases'!$B$4:$B$1000=$A355)*('Card Test Cases'!$G$4:$G$1000&lt;&gt;""),""),_xlfn._xlws.FILTER('E2E core flow'!$U$15:$U$1000,('E2E core flow'!$A$15:$A$1000&lt;&gt;"")*ISNUMBER(SEARCH('E2E core flow'!$A$15:$A$1000,$E355))*('E2E core flow'!$U$15:$U$1000&lt;&gt;""),"")))),"-"))</f>
        <v/>
      </c>
    </row>
    <row r="356" spans="7:19" x14ac:dyDescent="0.3">
      <c r="G356" s="68" t="str" cm="1">
        <f t="array" ref="G356">_xlfn.LET(_xlpm.ids,'E2E core flow'!$A$15:$A$1000,_xlpm.v,'E2E core flow'!$W$15:$W$1000,_xlpm.m,(_xlpm.ids&lt;&gt;"")*ISNUMBER(SEARCH(_xlpm.ids,$E356)),_xlpm.f,SUM(_xlpm.m*(_xlpm.v="Failed")),_xlpm.b,SUM(_xlpm.m*(_xlpm.v="Blocked")),_xlpm.nr,SUM(_xlpm.m*(_xlpm.v="Not Run")),_xlpm.cp,SUM(_xlpm.m*(_xlpm.v="Conditionally Passed")),_xlpm.p,SUM(_xlpm.m*(_xlpm.v="Passed")),IF(TRIM($A356)="","",IF(TRIM($E356)="","Pending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56" s="68" t="str">
        <f>IF(TRIM($A356)="","",IF($J356="Passed","",IF($J356="Passed with Known Issue","Known Issue",IF($J356="",IF(OR($H356&lt;&gt;"No",AND($F356&lt;&gt;"Medium",$F356&lt;&gt;"Low")),"Pending Result",""),IF(OR($H356&lt;&gt;"No",AND($F356&lt;&gt;"Medium",$F356&lt;&gt;"Low")),IF(COUNTIFS(Dashboard!$B$105:$B$124,$A356,Dashboard!$I$105:$I$124,"CAB")&gt;0,"Accepted (CF)","Blocking"),IF($J356="Failed","Deferrable","Carry Over"))))))</f>
        <v/>
      </c>
      <c r="M356" s="68" t="str">
        <f>IF(OR(TRIM($A356)="",TRIM($E356)=""),"",IFERROR(INDEX('E2E core flow'!$B$15:$B$1000,MATCH(1,INDEX(('E2E core flow'!$A$15:$A$1000&lt;&gt;"")*ISNUMBER(SEARCH('E2E core flow'!$A$15:$A$1000,$E356)),0),0))&amp;"","-"))</f>
        <v/>
      </c>
      <c r="N356" s="68" t="str">
        <f>IF(TRIM($A356)="","",IF($O356=0,IF(COUNTIFS('Card Test Cases'!$B$4:$B$1000,$A356,'Card Test Cases'!$A$4:$A$1000,"&lt;&gt;")&gt;0,"Out of Scope","No TC"),IF($Q356&gt;0,"Failed",IF(COUNTIFS('Card Test Cases'!$B$4:$B$1000,$A356,'Card Test Cases'!$A$4:$A$1000,"&lt;&gt;",'Card Test Cases'!$F$4:$F$1000,"Blocked")&gt;0,"Blocked",IF($R356&gt;0,"In Progress","Passed")))))</f>
        <v/>
      </c>
      <c r="O356" s="68" t="str">
        <f>IF(TRIM($A356)="","",COUNTIFS('Card Test Cases'!$B$4:$B$1000,$A356,'Card Test Cases'!$A$4:$A$1000,"&lt;&gt;",'Card Test Cases'!$F$4:$F$1000,"&lt;&gt;Out of Scope"))</f>
        <v/>
      </c>
      <c r="P356" s="68" t="str">
        <f>IF(TRIM($A356)="","",COUNTIFS('Card Test Cases'!$B$4:$B$1000,$A356,'Card Test Cases'!$A$4:$A$1000,"&lt;&gt;",'Card Test Cases'!$F$4:$F$1000,"Passed"))</f>
        <v/>
      </c>
      <c r="Q356" s="68" t="str">
        <f>IF(TRIM($A356)="","",COUNTIFS('Card Test Cases'!$B$4:$B$1000,$A356,'Card Test Cases'!$A$4:$A$1000,"&lt;&gt;",'Card Test Cases'!$F$4:$F$1000,"Failed"))</f>
        <v/>
      </c>
      <c r="R356" s="68" t="str">
        <f t="shared" si="5"/>
        <v/>
      </c>
      <c r="S356" s="68" t="str" cm="1">
        <f t="array" ref="S356">IF(TRIM($A356)="","",IFERROR(_xlfn.TEXTJOIN(", ",TRUE,_xlfn.UNIQUE(_xlfn.VSTACK(_xlfn._xlws.FILTER('Card Test Cases'!$G$4:$G$1000,('Card Test Cases'!$B$4:$B$1000=$A356)*('Card Test Cases'!$G$4:$G$1000&lt;&gt;""),""),_xlfn._xlws.FILTER('E2E core flow'!$U$15:$U$1000,('E2E core flow'!$A$15:$A$1000&lt;&gt;"")*ISNUMBER(SEARCH('E2E core flow'!$A$15:$A$1000,$E356))*('E2E core flow'!$U$15:$U$1000&lt;&gt;""),"")))),"-"))</f>
        <v/>
      </c>
    </row>
    <row r="357" spans="7:19" x14ac:dyDescent="0.3">
      <c r="G357" s="68" t="str" cm="1">
        <f t="array" ref="G357">_xlfn.LET(_xlpm.ids,'E2E core flow'!$A$15:$A$1000,_xlpm.v,'E2E core flow'!$W$15:$W$1000,_xlpm.m,(_xlpm.ids&lt;&gt;"")*ISNUMBER(SEARCH(_xlpm.ids,$E357)),_xlpm.f,SUM(_xlpm.m*(_xlpm.v="Failed")),_xlpm.b,SUM(_xlpm.m*(_xlpm.v="Blocked")),_xlpm.nr,SUM(_xlpm.m*(_xlpm.v="Not Run")),_xlpm.cp,SUM(_xlpm.m*(_xlpm.v="Conditionally Passed")),_xlpm.p,SUM(_xlpm.m*(_xlpm.v="Passed")),IF(TRIM($A357)="","",IF(TRIM($E357)="","Pending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57" s="68" t="str">
        <f>IF(TRIM($A357)="","",IF($J357="Passed","",IF($J357="Passed with Known Issue","Known Issue",IF($J357="",IF(OR($H357&lt;&gt;"No",AND($F357&lt;&gt;"Medium",$F357&lt;&gt;"Low")),"Pending Result",""),IF(OR($H357&lt;&gt;"No",AND($F357&lt;&gt;"Medium",$F357&lt;&gt;"Low")),IF(COUNTIFS(Dashboard!$B$105:$B$124,$A357,Dashboard!$I$105:$I$124,"CAB")&gt;0,"Accepted (CF)","Blocking"),IF($J357="Failed","Deferrable","Carry Over"))))))</f>
        <v/>
      </c>
      <c r="M357" s="68" t="str">
        <f>IF(OR(TRIM($A357)="",TRIM($E357)=""),"",IFERROR(INDEX('E2E core flow'!$B$15:$B$1000,MATCH(1,INDEX(('E2E core flow'!$A$15:$A$1000&lt;&gt;"")*ISNUMBER(SEARCH('E2E core flow'!$A$15:$A$1000,$E357)),0),0))&amp;"","-"))</f>
        <v/>
      </c>
      <c r="N357" s="68" t="str">
        <f>IF(TRIM($A357)="","",IF($O357=0,IF(COUNTIFS('Card Test Cases'!$B$4:$B$1000,$A357,'Card Test Cases'!$A$4:$A$1000,"&lt;&gt;")&gt;0,"Out of Scope","No TC"),IF($Q357&gt;0,"Failed",IF(COUNTIFS('Card Test Cases'!$B$4:$B$1000,$A357,'Card Test Cases'!$A$4:$A$1000,"&lt;&gt;",'Card Test Cases'!$F$4:$F$1000,"Blocked")&gt;0,"Blocked",IF($R357&gt;0,"In Progress","Passed")))))</f>
        <v/>
      </c>
      <c r="O357" s="68" t="str">
        <f>IF(TRIM($A357)="","",COUNTIFS('Card Test Cases'!$B$4:$B$1000,$A357,'Card Test Cases'!$A$4:$A$1000,"&lt;&gt;",'Card Test Cases'!$F$4:$F$1000,"&lt;&gt;Out of Scope"))</f>
        <v/>
      </c>
      <c r="P357" s="68" t="str">
        <f>IF(TRIM($A357)="","",COUNTIFS('Card Test Cases'!$B$4:$B$1000,$A357,'Card Test Cases'!$A$4:$A$1000,"&lt;&gt;",'Card Test Cases'!$F$4:$F$1000,"Passed"))</f>
        <v/>
      </c>
      <c r="Q357" s="68" t="str">
        <f>IF(TRIM($A357)="","",COUNTIFS('Card Test Cases'!$B$4:$B$1000,$A357,'Card Test Cases'!$A$4:$A$1000,"&lt;&gt;",'Card Test Cases'!$F$4:$F$1000,"Failed"))</f>
        <v/>
      </c>
      <c r="R357" s="68" t="str">
        <f t="shared" si="5"/>
        <v/>
      </c>
      <c r="S357" s="68" t="str" cm="1">
        <f t="array" ref="S357">IF(TRIM($A357)="","",IFERROR(_xlfn.TEXTJOIN(", ",TRUE,_xlfn.UNIQUE(_xlfn.VSTACK(_xlfn._xlws.FILTER('Card Test Cases'!$G$4:$G$1000,('Card Test Cases'!$B$4:$B$1000=$A357)*('Card Test Cases'!$G$4:$G$1000&lt;&gt;""),""),_xlfn._xlws.FILTER('E2E core flow'!$U$15:$U$1000,('E2E core flow'!$A$15:$A$1000&lt;&gt;"")*ISNUMBER(SEARCH('E2E core flow'!$A$15:$A$1000,$E357))*('E2E core flow'!$U$15:$U$1000&lt;&gt;""),"")))),"-"))</f>
        <v/>
      </c>
    </row>
    <row r="358" spans="7:19" x14ac:dyDescent="0.3">
      <c r="G358" s="68" t="str" cm="1">
        <f t="array" ref="G358">_xlfn.LET(_xlpm.ids,'E2E core flow'!$A$15:$A$1000,_xlpm.v,'E2E core flow'!$W$15:$W$1000,_xlpm.m,(_xlpm.ids&lt;&gt;"")*ISNUMBER(SEARCH(_xlpm.ids,$E358)),_xlpm.f,SUM(_xlpm.m*(_xlpm.v="Failed")),_xlpm.b,SUM(_xlpm.m*(_xlpm.v="Blocked")),_xlpm.nr,SUM(_xlpm.m*(_xlpm.v="Not Run")),_xlpm.cp,SUM(_xlpm.m*(_xlpm.v="Conditionally Passed")),_xlpm.p,SUM(_xlpm.m*(_xlpm.v="Passed")),IF(TRIM($A358)="","",IF(TRIM($E358)="","Pending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58" s="68" t="str">
        <f>IF(TRIM($A358)="","",IF($J358="Passed","",IF($J358="Passed with Known Issue","Known Issue",IF($J358="",IF(OR($H358&lt;&gt;"No",AND($F358&lt;&gt;"Medium",$F358&lt;&gt;"Low")),"Pending Result",""),IF(OR($H358&lt;&gt;"No",AND($F358&lt;&gt;"Medium",$F358&lt;&gt;"Low")),IF(COUNTIFS(Dashboard!$B$105:$B$124,$A358,Dashboard!$I$105:$I$124,"CAB")&gt;0,"Accepted (CF)","Blocking"),IF($J358="Failed","Deferrable","Carry Over"))))))</f>
        <v/>
      </c>
      <c r="M358" s="68" t="str">
        <f>IF(OR(TRIM($A358)="",TRIM($E358)=""),"",IFERROR(INDEX('E2E core flow'!$B$15:$B$1000,MATCH(1,INDEX(('E2E core flow'!$A$15:$A$1000&lt;&gt;"")*ISNUMBER(SEARCH('E2E core flow'!$A$15:$A$1000,$E358)),0),0))&amp;"","-"))</f>
        <v/>
      </c>
      <c r="N358" s="68" t="str">
        <f>IF(TRIM($A358)="","",IF($O358=0,IF(COUNTIFS('Card Test Cases'!$B$4:$B$1000,$A358,'Card Test Cases'!$A$4:$A$1000,"&lt;&gt;")&gt;0,"Out of Scope","No TC"),IF($Q358&gt;0,"Failed",IF(COUNTIFS('Card Test Cases'!$B$4:$B$1000,$A358,'Card Test Cases'!$A$4:$A$1000,"&lt;&gt;",'Card Test Cases'!$F$4:$F$1000,"Blocked")&gt;0,"Blocked",IF($R358&gt;0,"In Progress","Passed")))))</f>
        <v/>
      </c>
      <c r="O358" s="68" t="str">
        <f>IF(TRIM($A358)="","",COUNTIFS('Card Test Cases'!$B$4:$B$1000,$A358,'Card Test Cases'!$A$4:$A$1000,"&lt;&gt;",'Card Test Cases'!$F$4:$F$1000,"&lt;&gt;Out of Scope"))</f>
        <v/>
      </c>
      <c r="P358" s="68" t="str">
        <f>IF(TRIM($A358)="","",COUNTIFS('Card Test Cases'!$B$4:$B$1000,$A358,'Card Test Cases'!$A$4:$A$1000,"&lt;&gt;",'Card Test Cases'!$F$4:$F$1000,"Passed"))</f>
        <v/>
      </c>
      <c r="Q358" s="68" t="str">
        <f>IF(TRIM($A358)="","",COUNTIFS('Card Test Cases'!$B$4:$B$1000,$A358,'Card Test Cases'!$A$4:$A$1000,"&lt;&gt;",'Card Test Cases'!$F$4:$F$1000,"Failed"))</f>
        <v/>
      </c>
      <c r="R358" s="68" t="str">
        <f t="shared" si="5"/>
        <v/>
      </c>
      <c r="S358" s="68" t="str" cm="1">
        <f t="array" ref="S358">IF(TRIM($A358)="","",IFERROR(_xlfn.TEXTJOIN(", ",TRUE,_xlfn.UNIQUE(_xlfn.VSTACK(_xlfn._xlws.FILTER('Card Test Cases'!$G$4:$G$1000,('Card Test Cases'!$B$4:$B$1000=$A358)*('Card Test Cases'!$G$4:$G$1000&lt;&gt;""),""),_xlfn._xlws.FILTER('E2E core flow'!$U$15:$U$1000,('E2E core flow'!$A$15:$A$1000&lt;&gt;"")*ISNUMBER(SEARCH('E2E core flow'!$A$15:$A$1000,$E358))*('E2E core flow'!$U$15:$U$1000&lt;&gt;""),"")))),"-"))</f>
        <v/>
      </c>
    </row>
    <row r="359" spans="7:19" x14ac:dyDescent="0.3">
      <c r="G359" s="68" t="str" cm="1">
        <f t="array" ref="G359">_xlfn.LET(_xlpm.ids,'E2E core flow'!$A$15:$A$1000,_xlpm.v,'E2E core flow'!$W$15:$W$1000,_xlpm.m,(_xlpm.ids&lt;&gt;"")*ISNUMBER(SEARCH(_xlpm.ids,$E359)),_xlpm.f,SUM(_xlpm.m*(_xlpm.v="Failed")),_xlpm.b,SUM(_xlpm.m*(_xlpm.v="Blocked")),_xlpm.nr,SUM(_xlpm.m*(_xlpm.v="Not Run")),_xlpm.cp,SUM(_xlpm.m*(_xlpm.v="Conditionally Passed")),_xlpm.p,SUM(_xlpm.m*(_xlpm.v="Passed")),IF(TRIM($A359)="","",IF(TRIM($E359)="","Pending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59" s="68" t="str">
        <f>IF(TRIM($A359)="","",IF($J359="Passed","",IF($J359="Passed with Known Issue","Known Issue",IF($J359="",IF(OR($H359&lt;&gt;"No",AND($F359&lt;&gt;"Medium",$F359&lt;&gt;"Low")),"Pending Result",""),IF(OR($H359&lt;&gt;"No",AND($F359&lt;&gt;"Medium",$F359&lt;&gt;"Low")),IF(COUNTIFS(Dashboard!$B$105:$B$124,$A359,Dashboard!$I$105:$I$124,"CAB")&gt;0,"Accepted (CF)","Blocking"),IF($J359="Failed","Deferrable","Carry Over"))))))</f>
        <v/>
      </c>
      <c r="M359" s="68" t="str">
        <f>IF(OR(TRIM($A359)="",TRIM($E359)=""),"",IFERROR(INDEX('E2E core flow'!$B$15:$B$1000,MATCH(1,INDEX(('E2E core flow'!$A$15:$A$1000&lt;&gt;"")*ISNUMBER(SEARCH('E2E core flow'!$A$15:$A$1000,$E359)),0),0))&amp;"","-"))</f>
        <v/>
      </c>
      <c r="N359" s="68" t="str">
        <f>IF(TRIM($A359)="","",IF($O359=0,IF(COUNTIFS('Card Test Cases'!$B$4:$B$1000,$A359,'Card Test Cases'!$A$4:$A$1000,"&lt;&gt;")&gt;0,"Out of Scope","No TC"),IF($Q359&gt;0,"Failed",IF(COUNTIFS('Card Test Cases'!$B$4:$B$1000,$A359,'Card Test Cases'!$A$4:$A$1000,"&lt;&gt;",'Card Test Cases'!$F$4:$F$1000,"Blocked")&gt;0,"Blocked",IF($R359&gt;0,"In Progress","Passed")))))</f>
        <v/>
      </c>
      <c r="O359" s="68" t="str">
        <f>IF(TRIM($A359)="","",COUNTIFS('Card Test Cases'!$B$4:$B$1000,$A359,'Card Test Cases'!$A$4:$A$1000,"&lt;&gt;",'Card Test Cases'!$F$4:$F$1000,"&lt;&gt;Out of Scope"))</f>
        <v/>
      </c>
      <c r="P359" s="68" t="str">
        <f>IF(TRIM($A359)="","",COUNTIFS('Card Test Cases'!$B$4:$B$1000,$A359,'Card Test Cases'!$A$4:$A$1000,"&lt;&gt;",'Card Test Cases'!$F$4:$F$1000,"Passed"))</f>
        <v/>
      </c>
      <c r="Q359" s="68" t="str">
        <f>IF(TRIM($A359)="","",COUNTIFS('Card Test Cases'!$B$4:$B$1000,$A359,'Card Test Cases'!$A$4:$A$1000,"&lt;&gt;",'Card Test Cases'!$F$4:$F$1000,"Failed"))</f>
        <v/>
      </c>
      <c r="R359" s="68" t="str">
        <f t="shared" si="5"/>
        <v/>
      </c>
      <c r="S359" s="68" t="str" cm="1">
        <f t="array" ref="S359">IF(TRIM($A359)="","",IFERROR(_xlfn.TEXTJOIN(", ",TRUE,_xlfn.UNIQUE(_xlfn.VSTACK(_xlfn._xlws.FILTER('Card Test Cases'!$G$4:$G$1000,('Card Test Cases'!$B$4:$B$1000=$A359)*('Card Test Cases'!$G$4:$G$1000&lt;&gt;""),""),_xlfn._xlws.FILTER('E2E core flow'!$U$15:$U$1000,('E2E core flow'!$A$15:$A$1000&lt;&gt;"")*ISNUMBER(SEARCH('E2E core flow'!$A$15:$A$1000,$E359))*('E2E core flow'!$U$15:$U$1000&lt;&gt;""),"")))),"-"))</f>
        <v/>
      </c>
    </row>
    <row r="360" spans="7:19" x14ac:dyDescent="0.3">
      <c r="G360" s="68" t="str" cm="1">
        <f t="array" ref="G360">_xlfn.LET(_xlpm.ids,'E2E core flow'!$A$15:$A$1000,_xlpm.v,'E2E core flow'!$W$15:$W$1000,_xlpm.m,(_xlpm.ids&lt;&gt;"")*ISNUMBER(SEARCH(_xlpm.ids,$E360)),_xlpm.f,SUM(_xlpm.m*(_xlpm.v="Failed")),_xlpm.b,SUM(_xlpm.m*(_xlpm.v="Blocked")),_xlpm.nr,SUM(_xlpm.m*(_xlpm.v="Not Run")),_xlpm.cp,SUM(_xlpm.m*(_xlpm.v="Conditionally Passed")),_xlpm.p,SUM(_xlpm.m*(_xlpm.v="Passed")),IF(TRIM($A360)="","",IF(TRIM($E360)="","Pending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60" s="68" t="str">
        <f>IF(TRIM($A360)="","",IF($J360="Passed","",IF($J360="Passed with Known Issue","Known Issue",IF($J360="",IF(OR($H360&lt;&gt;"No",AND($F360&lt;&gt;"Medium",$F360&lt;&gt;"Low")),"Pending Result",""),IF(OR($H360&lt;&gt;"No",AND($F360&lt;&gt;"Medium",$F360&lt;&gt;"Low")),IF(COUNTIFS(Dashboard!$B$105:$B$124,$A360,Dashboard!$I$105:$I$124,"CAB")&gt;0,"Accepted (CF)","Blocking"),IF($J360="Failed","Deferrable","Carry Over"))))))</f>
        <v/>
      </c>
      <c r="M360" s="68" t="str">
        <f>IF(OR(TRIM($A360)="",TRIM($E360)=""),"",IFERROR(INDEX('E2E core flow'!$B$15:$B$1000,MATCH(1,INDEX(('E2E core flow'!$A$15:$A$1000&lt;&gt;"")*ISNUMBER(SEARCH('E2E core flow'!$A$15:$A$1000,$E360)),0),0))&amp;"","-"))</f>
        <v/>
      </c>
      <c r="N360" s="68" t="str">
        <f>IF(TRIM($A360)="","",IF($O360=0,IF(COUNTIFS('Card Test Cases'!$B$4:$B$1000,$A360,'Card Test Cases'!$A$4:$A$1000,"&lt;&gt;")&gt;0,"Out of Scope","No TC"),IF($Q360&gt;0,"Failed",IF(COUNTIFS('Card Test Cases'!$B$4:$B$1000,$A360,'Card Test Cases'!$A$4:$A$1000,"&lt;&gt;",'Card Test Cases'!$F$4:$F$1000,"Blocked")&gt;0,"Blocked",IF($R360&gt;0,"In Progress","Passed")))))</f>
        <v/>
      </c>
      <c r="O360" s="68" t="str">
        <f>IF(TRIM($A360)="","",COUNTIFS('Card Test Cases'!$B$4:$B$1000,$A360,'Card Test Cases'!$A$4:$A$1000,"&lt;&gt;",'Card Test Cases'!$F$4:$F$1000,"&lt;&gt;Out of Scope"))</f>
        <v/>
      </c>
      <c r="P360" s="68" t="str">
        <f>IF(TRIM($A360)="","",COUNTIFS('Card Test Cases'!$B$4:$B$1000,$A360,'Card Test Cases'!$A$4:$A$1000,"&lt;&gt;",'Card Test Cases'!$F$4:$F$1000,"Passed"))</f>
        <v/>
      </c>
      <c r="Q360" s="68" t="str">
        <f>IF(TRIM($A360)="","",COUNTIFS('Card Test Cases'!$B$4:$B$1000,$A360,'Card Test Cases'!$A$4:$A$1000,"&lt;&gt;",'Card Test Cases'!$F$4:$F$1000,"Failed"))</f>
        <v/>
      </c>
      <c r="R360" s="68" t="str">
        <f t="shared" si="5"/>
        <v/>
      </c>
      <c r="S360" s="68" t="str" cm="1">
        <f t="array" ref="S360">IF(TRIM($A360)="","",IFERROR(_xlfn.TEXTJOIN(", ",TRUE,_xlfn.UNIQUE(_xlfn.VSTACK(_xlfn._xlws.FILTER('Card Test Cases'!$G$4:$G$1000,('Card Test Cases'!$B$4:$B$1000=$A360)*('Card Test Cases'!$G$4:$G$1000&lt;&gt;""),""),_xlfn._xlws.FILTER('E2E core flow'!$U$15:$U$1000,('E2E core flow'!$A$15:$A$1000&lt;&gt;"")*ISNUMBER(SEARCH('E2E core flow'!$A$15:$A$1000,$E360))*('E2E core flow'!$U$15:$U$1000&lt;&gt;""),"")))),"-"))</f>
        <v/>
      </c>
    </row>
    <row r="361" spans="7:19" x14ac:dyDescent="0.3">
      <c r="G361" s="68" t="str" cm="1">
        <f t="array" ref="G361">_xlfn.LET(_xlpm.ids,'E2E core flow'!$A$15:$A$1000,_xlpm.v,'E2E core flow'!$W$15:$W$1000,_xlpm.m,(_xlpm.ids&lt;&gt;"")*ISNUMBER(SEARCH(_xlpm.ids,$E361)),_xlpm.f,SUM(_xlpm.m*(_xlpm.v="Failed")),_xlpm.b,SUM(_xlpm.m*(_xlpm.v="Blocked")),_xlpm.nr,SUM(_xlpm.m*(_xlpm.v="Not Run")),_xlpm.cp,SUM(_xlpm.m*(_xlpm.v="Conditionally Passed")),_xlpm.p,SUM(_xlpm.m*(_xlpm.v="Passed")),IF(TRIM($A361)="","",IF(TRIM($E361)="","Pending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61" s="68" t="str">
        <f>IF(TRIM($A361)="","",IF($J361="Passed","",IF($J361="Passed with Known Issue","Known Issue",IF($J361="",IF(OR($H361&lt;&gt;"No",AND($F361&lt;&gt;"Medium",$F361&lt;&gt;"Low")),"Pending Result",""),IF(OR($H361&lt;&gt;"No",AND($F361&lt;&gt;"Medium",$F361&lt;&gt;"Low")),IF(COUNTIFS(Dashboard!$B$105:$B$124,$A361,Dashboard!$I$105:$I$124,"CAB")&gt;0,"Accepted (CF)","Blocking"),IF($J361="Failed","Deferrable","Carry Over"))))))</f>
        <v/>
      </c>
      <c r="M361" s="68" t="str">
        <f>IF(OR(TRIM($A361)="",TRIM($E361)=""),"",IFERROR(INDEX('E2E core flow'!$B$15:$B$1000,MATCH(1,INDEX(('E2E core flow'!$A$15:$A$1000&lt;&gt;"")*ISNUMBER(SEARCH('E2E core flow'!$A$15:$A$1000,$E361)),0),0))&amp;"","-"))</f>
        <v/>
      </c>
      <c r="N361" s="68" t="str">
        <f>IF(TRIM($A361)="","",IF($O361=0,IF(COUNTIFS('Card Test Cases'!$B$4:$B$1000,$A361,'Card Test Cases'!$A$4:$A$1000,"&lt;&gt;")&gt;0,"Out of Scope","No TC"),IF($Q361&gt;0,"Failed",IF(COUNTIFS('Card Test Cases'!$B$4:$B$1000,$A361,'Card Test Cases'!$A$4:$A$1000,"&lt;&gt;",'Card Test Cases'!$F$4:$F$1000,"Blocked")&gt;0,"Blocked",IF($R361&gt;0,"In Progress","Passed")))))</f>
        <v/>
      </c>
      <c r="O361" s="68" t="str">
        <f>IF(TRIM($A361)="","",COUNTIFS('Card Test Cases'!$B$4:$B$1000,$A361,'Card Test Cases'!$A$4:$A$1000,"&lt;&gt;",'Card Test Cases'!$F$4:$F$1000,"&lt;&gt;Out of Scope"))</f>
        <v/>
      </c>
      <c r="P361" s="68" t="str">
        <f>IF(TRIM($A361)="","",COUNTIFS('Card Test Cases'!$B$4:$B$1000,$A361,'Card Test Cases'!$A$4:$A$1000,"&lt;&gt;",'Card Test Cases'!$F$4:$F$1000,"Passed"))</f>
        <v/>
      </c>
      <c r="Q361" s="68" t="str">
        <f>IF(TRIM($A361)="","",COUNTIFS('Card Test Cases'!$B$4:$B$1000,$A361,'Card Test Cases'!$A$4:$A$1000,"&lt;&gt;",'Card Test Cases'!$F$4:$F$1000,"Failed"))</f>
        <v/>
      </c>
      <c r="R361" s="68" t="str">
        <f t="shared" si="5"/>
        <v/>
      </c>
      <c r="S361" s="68" t="str" cm="1">
        <f t="array" ref="S361">IF(TRIM($A361)="","",IFERROR(_xlfn.TEXTJOIN(", ",TRUE,_xlfn.UNIQUE(_xlfn.VSTACK(_xlfn._xlws.FILTER('Card Test Cases'!$G$4:$G$1000,('Card Test Cases'!$B$4:$B$1000=$A361)*('Card Test Cases'!$G$4:$G$1000&lt;&gt;""),""),_xlfn._xlws.FILTER('E2E core flow'!$U$15:$U$1000,('E2E core flow'!$A$15:$A$1000&lt;&gt;"")*ISNUMBER(SEARCH('E2E core flow'!$A$15:$A$1000,$E361))*('E2E core flow'!$U$15:$U$1000&lt;&gt;""),"")))),"-"))</f>
        <v/>
      </c>
    </row>
    <row r="362" spans="7:19" x14ac:dyDescent="0.3">
      <c r="G362" s="68" t="str" cm="1">
        <f t="array" ref="G362">_xlfn.LET(_xlpm.ids,'E2E core flow'!$A$15:$A$1000,_xlpm.v,'E2E core flow'!$W$15:$W$1000,_xlpm.m,(_xlpm.ids&lt;&gt;"")*ISNUMBER(SEARCH(_xlpm.ids,$E362)),_xlpm.f,SUM(_xlpm.m*(_xlpm.v="Failed")),_xlpm.b,SUM(_xlpm.m*(_xlpm.v="Blocked")),_xlpm.nr,SUM(_xlpm.m*(_xlpm.v="Not Run")),_xlpm.cp,SUM(_xlpm.m*(_xlpm.v="Conditionally Passed")),_xlpm.p,SUM(_xlpm.m*(_xlpm.v="Passed")),IF(TRIM($A362)="","",IF(TRIM($E362)="","Pending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62" s="68" t="str">
        <f>IF(TRIM($A362)="","",IF($J362="Passed","",IF($J362="Passed with Known Issue","Known Issue",IF($J362="",IF(OR($H362&lt;&gt;"No",AND($F362&lt;&gt;"Medium",$F362&lt;&gt;"Low")),"Pending Result",""),IF(OR($H362&lt;&gt;"No",AND($F362&lt;&gt;"Medium",$F362&lt;&gt;"Low")),IF(COUNTIFS(Dashboard!$B$105:$B$124,$A362,Dashboard!$I$105:$I$124,"CAB")&gt;0,"Accepted (CF)","Blocking"),IF($J362="Failed","Deferrable","Carry Over"))))))</f>
        <v/>
      </c>
      <c r="M362" s="68" t="str">
        <f>IF(OR(TRIM($A362)="",TRIM($E362)=""),"",IFERROR(INDEX('E2E core flow'!$B$15:$B$1000,MATCH(1,INDEX(('E2E core flow'!$A$15:$A$1000&lt;&gt;"")*ISNUMBER(SEARCH('E2E core flow'!$A$15:$A$1000,$E362)),0),0))&amp;"","-"))</f>
        <v/>
      </c>
      <c r="N362" s="68" t="str">
        <f>IF(TRIM($A362)="","",IF($O362=0,IF(COUNTIFS('Card Test Cases'!$B$4:$B$1000,$A362,'Card Test Cases'!$A$4:$A$1000,"&lt;&gt;")&gt;0,"Out of Scope","No TC"),IF($Q362&gt;0,"Failed",IF(COUNTIFS('Card Test Cases'!$B$4:$B$1000,$A362,'Card Test Cases'!$A$4:$A$1000,"&lt;&gt;",'Card Test Cases'!$F$4:$F$1000,"Blocked")&gt;0,"Blocked",IF($R362&gt;0,"In Progress","Passed")))))</f>
        <v/>
      </c>
      <c r="O362" s="68" t="str">
        <f>IF(TRIM($A362)="","",COUNTIFS('Card Test Cases'!$B$4:$B$1000,$A362,'Card Test Cases'!$A$4:$A$1000,"&lt;&gt;",'Card Test Cases'!$F$4:$F$1000,"&lt;&gt;Out of Scope"))</f>
        <v/>
      </c>
      <c r="P362" s="68" t="str">
        <f>IF(TRIM($A362)="","",COUNTIFS('Card Test Cases'!$B$4:$B$1000,$A362,'Card Test Cases'!$A$4:$A$1000,"&lt;&gt;",'Card Test Cases'!$F$4:$F$1000,"Passed"))</f>
        <v/>
      </c>
      <c r="Q362" s="68" t="str">
        <f>IF(TRIM($A362)="","",COUNTIFS('Card Test Cases'!$B$4:$B$1000,$A362,'Card Test Cases'!$A$4:$A$1000,"&lt;&gt;",'Card Test Cases'!$F$4:$F$1000,"Failed"))</f>
        <v/>
      </c>
      <c r="R362" s="68" t="str">
        <f t="shared" si="5"/>
        <v/>
      </c>
      <c r="S362" s="68" t="str" cm="1">
        <f t="array" ref="S362">IF(TRIM($A362)="","",IFERROR(_xlfn.TEXTJOIN(", ",TRUE,_xlfn.UNIQUE(_xlfn.VSTACK(_xlfn._xlws.FILTER('Card Test Cases'!$G$4:$G$1000,('Card Test Cases'!$B$4:$B$1000=$A362)*('Card Test Cases'!$G$4:$G$1000&lt;&gt;""),""),_xlfn._xlws.FILTER('E2E core flow'!$U$15:$U$1000,('E2E core flow'!$A$15:$A$1000&lt;&gt;"")*ISNUMBER(SEARCH('E2E core flow'!$A$15:$A$1000,$E362))*('E2E core flow'!$U$15:$U$1000&lt;&gt;""),"")))),"-"))</f>
        <v/>
      </c>
    </row>
    <row r="363" spans="7:19" x14ac:dyDescent="0.3">
      <c r="G363" s="68" t="str" cm="1">
        <f t="array" ref="G363">_xlfn.LET(_xlpm.ids,'E2E core flow'!$A$15:$A$1000,_xlpm.v,'E2E core flow'!$W$15:$W$1000,_xlpm.m,(_xlpm.ids&lt;&gt;"")*ISNUMBER(SEARCH(_xlpm.ids,$E363)),_xlpm.f,SUM(_xlpm.m*(_xlpm.v="Failed")),_xlpm.b,SUM(_xlpm.m*(_xlpm.v="Blocked")),_xlpm.nr,SUM(_xlpm.m*(_xlpm.v="Not Run")),_xlpm.cp,SUM(_xlpm.m*(_xlpm.v="Conditionally Passed")),_xlpm.p,SUM(_xlpm.m*(_xlpm.v="Passed")),IF(TRIM($A363)="","",IF(TRIM($E363)="","Pending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63" s="68" t="str">
        <f>IF(TRIM($A363)="","",IF($J363="Passed","",IF($J363="Passed with Known Issue","Known Issue",IF($J363="",IF(OR($H363&lt;&gt;"No",AND($F363&lt;&gt;"Medium",$F363&lt;&gt;"Low")),"Pending Result",""),IF(OR($H363&lt;&gt;"No",AND($F363&lt;&gt;"Medium",$F363&lt;&gt;"Low")),IF(COUNTIFS(Dashboard!$B$105:$B$124,$A363,Dashboard!$I$105:$I$124,"CAB")&gt;0,"Accepted (CF)","Blocking"),IF($J363="Failed","Deferrable","Carry Over"))))))</f>
        <v/>
      </c>
      <c r="M363" s="68" t="str">
        <f>IF(OR(TRIM($A363)="",TRIM($E363)=""),"",IFERROR(INDEX('E2E core flow'!$B$15:$B$1000,MATCH(1,INDEX(('E2E core flow'!$A$15:$A$1000&lt;&gt;"")*ISNUMBER(SEARCH('E2E core flow'!$A$15:$A$1000,$E363)),0),0))&amp;"","-"))</f>
        <v/>
      </c>
      <c r="N363" s="68" t="str">
        <f>IF(TRIM($A363)="","",IF($O363=0,IF(COUNTIFS('Card Test Cases'!$B$4:$B$1000,$A363,'Card Test Cases'!$A$4:$A$1000,"&lt;&gt;")&gt;0,"Out of Scope","No TC"),IF($Q363&gt;0,"Failed",IF(COUNTIFS('Card Test Cases'!$B$4:$B$1000,$A363,'Card Test Cases'!$A$4:$A$1000,"&lt;&gt;",'Card Test Cases'!$F$4:$F$1000,"Blocked")&gt;0,"Blocked",IF($R363&gt;0,"In Progress","Passed")))))</f>
        <v/>
      </c>
      <c r="O363" s="68" t="str">
        <f>IF(TRIM($A363)="","",COUNTIFS('Card Test Cases'!$B$4:$B$1000,$A363,'Card Test Cases'!$A$4:$A$1000,"&lt;&gt;",'Card Test Cases'!$F$4:$F$1000,"&lt;&gt;Out of Scope"))</f>
        <v/>
      </c>
      <c r="P363" s="68" t="str">
        <f>IF(TRIM($A363)="","",COUNTIFS('Card Test Cases'!$B$4:$B$1000,$A363,'Card Test Cases'!$A$4:$A$1000,"&lt;&gt;",'Card Test Cases'!$F$4:$F$1000,"Passed"))</f>
        <v/>
      </c>
      <c r="Q363" s="68" t="str">
        <f>IF(TRIM($A363)="","",COUNTIFS('Card Test Cases'!$B$4:$B$1000,$A363,'Card Test Cases'!$A$4:$A$1000,"&lt;&gt;",'Card Test Cases'!$F$4:$F$1000,"Failed"))</f>
        <v/>
      </c>
      <c r="R363" s="68" t="str">
        <f t="shared" si="5"/>
        <v/>
      </c>
      <c r="S363" s="68" t="str" cm="1">
        <f t="array" ref="S363">IF(TRIM($A363)="","",IFERROR(_xlfn.TEXTJOIN(", ",TRUE,_xlfn.UNIQUE(_xlfn.VSTACK(_xlfn._xlws.FILTER('Card Test Cases'!$G$4:$G$1000,('Card Test Cases'!$B$4:$B$1000=$A363)*('Card Test Cases'!$G$4:$G$1000&lt;&gt;""),""),_xlfn._xlws.FILTER('E2E core flow'!$U$15:$U$1000,('E2E core flow'!$A$15:$A$1000&lt;&gt;"")*ISNUMBER(SEARCH('E2E core flow'!$A$15:$A$1000,$E363))*('E2E core flow'!$U$15:$U$1000&lt;&gt;""),"")))),"-"))</f>
        <v/>
      </c>
    </row>
    <row r="364" spans="7:19" x14ac:dyDescent="0.3">
      <c r="G364" s="68" t="str" cm="1">
        <f t="array" ref="G364">_xlfn.LET(_xlpm.ids,'E2E core flow'!$A$15:$A$1000,_xlpm.v,'E2E core flow'!$W$15:$W$1000,_xlpm.m,(_xlpm.ids&lt;&gt;"")*ISNUMBER(SEARCH(_xlpm.ids,$E364)),_xlpm.f,SUM(_xlpm.m*(_xlpm.v="Failed")),_xlpm.b,SUM(_xlpm.m*(_xlpm.v="Blocked")),_xlpm.nr,SUM(_xlpm.m*(_xlpm.v="Not Run")),_xlpm.cp,SUM(_xlpm.m*(_xlpm.v="Conditionally Passed")),_xlpm.p,SUM(_xlpm.m*(_xlpm.v="Passed")),IF(TRIM($A364)="","",IF(TRIM($E364)="","Pending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64" s="68" t="str">
        <f>IF(TRIM($A364)="","",IF($J364="Passed","",IF($J364="Passed with Known Issue","Known Issue",IF($J364="",IF(OR($H364&lt;&gt;"No",AND($F364&lt;&gt;"Medium",$F364&lt;&gt;"Low")),"Pending Result",""),IF(OR($H364&lt;&gt;"No",AND($F364&lt;&gt;"Medium",$F364&lt;&gt;"Low")),IF(COUNTIFS(Dashboard!$B$105:$B$124,$A364,Dashboard!$I$105:$I$124,"CAB")&gt;0,"Accepted (CF)","Blocking"),IF($J364="Failed","Deferrable","Carry Over"))))))</f>
        <v/>
      </c>
      <c r="M364" s="68" t="str">
        <f>IF(OR(TRIM($A364)="",TRIM($E364)=""),"",IFERROR(INDEX('E2E core flow'!$B$15:$B$1000,MATCH(1,INDEX(('E2E core flow'!$A$15:$A$1000&lt;&gt;"")*ISNUMBER(SEARCH('E2E core flow'!$A$15:$A$1000,$E364)),0),0))&amp;"","-"))</f>
        <v/>
      </c>
      <c r="N364" s="68" t="str">
        <f>IF(TRIM($A364)="","",IF($O364=0,IF(COUNTIFS('Card Test Cases'!$B$4:$B$1000,$A364,'Card Test Cases'!$A$4:$A$1000,"&lt;&gt;")&gt;0,"Out of Scope","No TC"),IF($Q364&gt;0,"Failed",IF(COUNTIFS('Card Test Cases'!$B$4:$B$1000,$A364,'Card Test Cases'!$A$4:$A$1000,"&lt;&gt;",'Card Test Cases'!$F$4:$F$1000,"Blocked")&gt;0,"Blocked",IF($R364&gt;0,"In Progress","Passed")))))</f>
        <v/>
      </c>
      <c r="O364" s="68" t="str">
        <f>IF(TRIM($A364)="","",COUNTIFS('Card Test Cases'!$B$4:$B$1000,$A364,'Card Test Cases'!$A$4:$A$1000,"&lt;&gt;",'Card Test Cases'!$F$4:$F$1000,"&lt;&gt;Out of Scope"))</f>
        <v/>
      </c>
      <c r="P364" s="68" t="str">
        <f>IF(TRIM($A364)="","",COUNTIFS('Card Test Cases'!$B$4:$B$1000,$A364,'Card Test Cases'!$A$4:$A$1000,"&lt;&gt;",'Card Test Cases'!$F$4:$F$1000,"Passed"))</f>
        <v/>
      </c>
      <c r="Q364" s="68" t="str">
        <f>IF(TRIM($A364)="","",COUNTIFS('Card Test Cases'!$B$4:$B$1000,$A364,'Card Test Cases'!$A$4:$A$1000,"&lt;&gt;",'Card Test Cases'!$F$4:$F$1000,"Failed"))</f>
        <v/>
      </c>
      <c r="R364" s="68" t="str">
        <f t="shared" si="5"/>
        <v/>
      </c>
      <c r="S364" s="68" t="str" cm="1">
        <f t="array" ref="S364">IF(TRIM($A364)="","",IFERROR(_xlfn.TEXTJOIN(", ",TRUE,_xlfn.UNIQUE(_xlfn.VSTACK(_xlfn._xlws.FILTER('Card Test Cases'!$G$4:$G$1000,('Card Test Cases'!$B$4:$B$1000=$A364)*('Card Test Cases'!$G$4:$G$1000&lt;&gt;""),""),_xlfn._xlws.FILTER('E2E core flow'!$U$15:$U$1000,('E2E core flow'!$A$15:$A$1000&lt;&gt;"")*ISNUMBER(SEARCH('E2E core flow'!$A$15:$A$1000,$E364))*('E2E core flow'!$U$15:$U$1000&lt;&gt;""),"")))),"-"))</f>
        <v/>
      </c>
    </row>
    <row r="365" spans="7:19" x14ac:dyDescent="0.3">
      <c r="G365" s="68" t="str" cm="1">
        <f t="array" ref="G365">_xlfn.LET(_xlpm.ids,'E2E core flow'!$A$15:$A$1000,_xlpm.v,'E2E core flow'!$W$15:$W$1000,_xlpm.m,(_xlpm.ids&lt;&gt;"")*ISNUMBER(SEARCH(_xlpm.ids,$E365)),_xlpm.f,SUM(_xlpm.m*(_xlpm.v="Failed")),_xlpm.b,SUM(_xlpm.m*(_xlpm.v="Blocked")),_xlpm.nr,SUM(_xlpm.m*(_xlpm.v="Not Run")),_xlpm.cp,SUM(_xlpm.m*(_xlpm.v="Conditionally Passed")),_xlpm.p,SUM(_xlpm.m*(_xlpm.v="Passed")),IF(TRIM($A365)="","",IF(TRIM($E365)="","Pending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65" s="68" t="str">
        <f>IF(TRIM($A365)="","",IF($J365="Passed","",IF($J365="Passed with Known Issue","Known Issue",IF($J365="",IF(OR($H365&lt;&gt;"No",AND($F365&lt;&gt;"Medium",$F365&lt;&gt;"Low")),"Pending Result",""),IF(OR($H365&lt;&gt;"No",AND($F365&lt;&gt;"Medium",$F365&lt;&gt;"Low")),IF(COUNTIFS(Dashboard!$B$105:$B$124,$A365,Dashboard!$I$105:$I$124,"CAB")&gt;0,"Accepted (CF)","Blocking"),IF($J365="Failed","Deferrable","Carry Over"))))))</f>
        <v/>
      </c>
      <c r="M365" s="68" t="str">
        <f>IF(OR(TRIM($A365)="",TRIM($E365)=""),"",IFERROR(INDEX('E2E core flow'!$B$15:$B$1000,MATCH(1,INDEX(('E2E core flow'!$A$15:$A$1000&lt;&gt;"")*ISNUMBER(SEARCH('E2E core flow'!$A$15:$A$1000,$E365)),0),0))&amp;"","-"))</f>
        <v/>
      </c>
      <c r="N365" s="68" t="str">
        <f>IF(TRIM($A365)="","",IF($O365=0,IF(COUNTIFS('Card Test Cases'!$B$4:$B$1000,$A365,'Card Test Cases'!$A$4:$A$1000,"&lt;&gt;")&gt;0,"Out of Scope","No TC"),IF($Q365&gt;0,"Failed",IF(COUNTIFS('Card Test Cases'!$B$4:$B$1000,$A365,'Card Test Cases'!$A$4:$A$1000,"&lt;&gt;",'Card Test Cases'!$F$4:$F$1000,"Blocked")&gt;0,"Blocked",IF($R365&gt;0,"In Progress","Passed")))))</f>
        <v/>
      </c>
      <c r="O365" s="68" t="str">
        <f>IF(TRIM($A365)="","",COUNTIFS('Card Test Cases'!$B$4:$B$1000,$A365,'Card Test Cases'!$A$4:$A$1000,"&lt;&gt;",'Card Test Cases'!$F$4:$F$1000,"&lt;&gt;Out of Scope"))</f>
        <v/>
      </c>
      <c r="P365" s="68" t="str">
        <f>IF(TRIM($A365)="","",COUNTIFS('Card Test Cases'!$B$4:$B$1000,$A365,'Card Test Cases'!$A$4:$A$1000,"&lt;&gt;",'Card Test Cases'!$F$4:$F$1000,"Passed"))</f>
        <v/>
      </c>
      <c r="Q365" s="68" t="str">
        <f>IF(TRIM($A365)="","",COUNTIFS('Card Test Cases'!$B$4:$B$1000,$A365,'Card Test Cases'!$A$4:$A$1000,"&lt;&gt;",'Card Test Cases'!$F$4:$F$1000,"Failed"))</f>
        <v/>
      </c>
      <c r="R365" s="68" t="str">
        <f t="shared" si="5"/>
        <v/>
      </c>
      <c r="S365" s="68" t="str" cm="1">
        <f t="array" ref="S365">IF(TRIM($A365)="","",IFERROR(_xlfn.TEXTJOIN(", ",TRUE,_xlfn.UNIQUE(_xlfn.VSTACK(_xlfn._xlws.FILTER('Card Test Cases'!$G$4:$G$1000,('Card Test Cases'!$B$4:$B$1000=$A365)*('Card Test Cases'!$G$4:$G$1000&lt;&gt;""),""),_xlfn._xlws.FILTER('E2E core flow'!$U$15:$U$1000,('E2E core flow'!$A$15:$A$1000&lt;&gt;"")*ISNUMBER(SEARCH('E2E core flow'!$A$15:$A$1000,$E365))*('E2E core flow'!$U$15:$U$1000&lt;&gt;""),"")))),"-"))</f>
        <v/>
      </c>
    </row>
    <row r="366" spans="7:19" x14ac:dyDescent="0.3">
      <c r="G366" s="68" t="str" cm="1">
        <f t="array" ref="G366">_xlfn.LET(_xlpm.ids,'E2E core flow'!$A$15:$A$1000,_xlpm.v,'E2E core flow'!$W$15:$W$1000,_xlpm.m,(_xlpm.ids&lt;&gt;"")*ISNUMBER(SEARCH(_xlpm.ids,$E366)),_xlpm.f,SUM(_xlpm.m*(_xlpm.v="Failed")),_xlpm.b,SUM(_xlpm.m*(_xlpm.v="Blocked")),_xlpm.nr,SUM(_xlpm.m*(_xlpm.v="Not Run")),_xlpm.cp,SUM(_xlpm.m*(_xlpm.v="Conditionally Passed")),_xlpm.p,SUM(_xlpm.m*(_xlpm.v="Passed")),IF(TRIM($A366)="","",IF(TRIM($E366)="","Pending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66" s="68" t="str">
        <f>IF(TRIM($A366)="","",IF($J366="Passed","",IF($J366="Passed with Known Issue","Known Issue",IF($J366="",IF(OR($H366&lt;&gt;"No",AND($F366&lt;&gt;"Medium",$F366&lt;&gt;"Low")),"Pending Result",""),IF(OR($H366&lt;&gt;"No",AND($F366&lt;&gt;"Medium",$F366&lt;&gt;"Low")),IF(COUNTIFS(Dashboard!$B$105:$B$124,$A366,Dashboard!$I$105:$I$124,"CAB")&gt;0,"Accepted (CF)","Blocking"),IF($J366="Failed","Deferrable","Carry Over"))))))</f>
        <v/>
      </c>
      <c r="M366" s="68" t="str">
        <f>IF(OR(TRIM($A366)="",TRIM($E366)=""),"",IFERROR(INDEX('E2E core flow'!$B$15:$B$1000,MATCH(1,INDEX(('E2E core flow'!$A$15:$A$1000&lt;&gt;"")*ISNUMBER(SEARCH('E2E core flow'!$A$15:$A$1000,$E366)),0),0))&amp;"","-"))</f>
        <v/>
      </c>
      <c r="N366" s="68" t="str">
        <f>IF(TRIM($A366)="","",IF($O366=0,IF(COUNTIFS('Card Test Cases'!$B$4:$B$1000,$A366,'Card Test Cases'!$A$4:$A$1000,"&lt;&gt;")&gt;0,"Out of Scope","No TC"),IF($Q366&gt;0,"Failed",IF(COUNTIFS('Card Test Cases'!$B$4:$B$1000,$A366,'Card Test Cases'!$A$4:$A$1000,"&lt;&gt;",'Card Test Cases'!$F$4:$F$1000,"Blocked")&gt;0,"Blocked",IF($R366&gt;0,"In Progress","Passed")))))</f>
        <v/>
      </c>
      <c r="O366" s="68" t="str">
        <f>IF(TRIM($A366)="","",COUNTIFS('Card Test Cases'!$B$4:$B$1000,$A366,'Card Test Cases'!$A$4:$A$1000,"&lt;&gt;",'Card Test Cases'!$F$4:$F$1000,"&lt;&gt;Out of Scope"))</f>
        <v/>
      </c>
      <c r="P366" s="68" t="str">
        <f>IF(TRIM($A366)="","",COUNTIFS('Card Test Cases'!$B$4:$B$1000,$A366,'Card Test Cases'!$A$4:$A$1000,"&lt;&gt;",'Card Test Cases'!$F$4:$F$1000,"Passed"))</f>
        <v/>
      </c>
      <c r="Q366" s="68" t="str">
        <f>IF(TRIM($A366)="","",COUNTIFS('Card Test Cases'!$B$4:$B$1000,$A366,'Card Test Cases'!$A$4:$A$1000,"&lt;&gt;",'Card Test Cases'!$F$4:$F$1000,"Failed"))</f>
        <v/>
      </c>
      <c r="R366" s="68" t="str">
        <f t="shared" si="5"/>
        <v/>
      </c>
      <c r="S366" s="68" t="str" cm="1">
        <f t="array" ref="S366">IF(TRIM($A366)="","",IFERROR(_xlfn.TEXTJOIN(", ",TRUE,_xlfn.UNIQUE(_xlfn.VSTACK(_xlfn._xlws.FILTER('Card Test Cases'!$G$4:$G$1000,('Card Test Cases'!$B$4:$B$1000=$A366)*('Card Test Cases'!$G$4:$G$1000&lt;&gt;""),""),_xlfn._xlws.FILTER('E2E core flow'!$U$15:$U$1000,('E2E core flow'!$A$15:$A$1000&lt;&gt;"")*ISNUMBER(SEARCH('E2E core flow'!$A$15:$A$1000,$E366))*('E2E core flow'!$U$15:$U$1000&lt;&gt;""),"")))),"-"))</f>
        <v/>
      </c>
    </row>
    <row r="367" spans="7:19" x14ac:dyDescent="0.3">
      <c r="G367" s="68" t="str" cm="1">
        <f t="array" ref="G367">_xlfn.LET(_xlpm.ids,'E2E core flow'!$A$15:$A$1000,_xlpm.v,'E2E core flow'!$W$15:$W$1000,_xlpm.m,(_xlpm.ids&lt;&gt;"")*ISNUMBER(SEARCH(_xlpm.ids,$E367)),_xlpm.f,SUM(_xlpm.m*(_xlpm.v="Failed")),_xlpm.b,SUM(_xlpm.m*(_xlpm.v="Blocked")),_xlpm.nr,SUM(_xlpm.m*(_xlpm.v="Not Run")),_xlpm.cp,SUM(_xlpm.m*(_xlpm.v="Conditionally Passed")),_xlpm.p,SUM(_xlpm.m*(_xlpm.v="Passed")),IF(TRIM($A367)="","",IF(TRIM($E367)="","Pending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67" s="68" t="str">
        <f>IF(TRIM($A367)="","",IF($J367="Passed","",IF($J367="Passed with Known Issue","Known Issue",IF($J367="",IF(OR($H367&lt;&gt;"No",AND($F367&lt;&gt;"Medium",$F367&lt;&gt;"Low")),"Pending Result",""),IF(OR($H367&lt;&gt;"No",AND($F367&lt;&gt;"Medium",$F367&lt;&gt;"Low")),IF(COUNTIFS(Dashboard!$B$105:$B$124,$A367,Dashboard!$I$105:$I$124,"CAB")&gt;0,"Accepted (CF)","Blocking"),IF($J367="Failed","Deferrable","Carry Over"))))))</f>
        <v/>
      </c>
      <c r="M367" s="68" t="str">
        <f>IF(OR(TRIM($A367)="",TRIM($E367)=""),"",IFERROR(INDEX('E2E core flow'!$B$15:$B$1000,MATCH(1,INDEX(('E2E core flow'!$A$15:$A$1000&lt;&gt;"")*ISNUMBER(SEARCH('E2E core flow'!$A$15:$A$1000,$E367)),0),0))&amp;"","-"))</f>
        <v/>
      </c>
      <c r="N367" s="68" t="str">
        <f>IF(TRIM($A367)="","",IF($O367=0,IF(COUNTIFS('Card Test Cases'!$B$4:$B$1000,$A367,'Card Test Cases'!$A$4:$A$1000,"&lt;&gt;")&gt;0,"Out of Scope","No TC"),IF($Q367&gt;0,"Failed",IF(COUNTIFS('Card Test Cases'!$B$4:$B$1000,$A367,'Card Test Cases'!$A$4:$A$1000,"&lt;&gt;",'Card Test Cases'!$F$4:$F$1000,"Blocked")&gt;0,"Blocked",IF($R367&gt;0,"In Progress","Passed")))))</f>
        <v/>
      </c>
      <c r="O367" s="68" t="str">
        <f>IF(TRIM($A367)="","",COUNTIFS('Card Test Cases'!$B$4:$B$1000,$A367,'Card Test Cases'!$A$4:$A$1000,"&lt;&gt;",'Card Test Cases'!$F$4:$F$1000,"&lt;&gt;Out of Scope"))</f>
        <v/>
      </c>
      <c r="P367" s="68" t="str">
        <f>IF(TRIM($A367)="","",COUNTIFS('Card Test Cases'!$B$4:$B$1000,$A367,'Card Test Cases'!$A$4:$A$1000,"&lt;&gt;",'Card Test Cases'!$F$4:$F$1000,"Passed"))</f>
        <v/>
      </c>
      <c r="Q367" s="68" t="str">
        <f>IF(TRIM($A367)="","",COUNTIFS('Card Test Cases'!$B$4:$B$1000,$A367,'Card Test Cases'!$A$4:$A$1000,"&lt;&gt;",'Card Test Cases'!$F$4:$F$1000,"Failed"))</f>
        <v/>
      </c>
      <c r="R367" s="68" t="str">
        <f t="shared" si="5"/>
        <v/>
      </c>
      <c r="S367" s="68" t="str" cm="1">
        <f t="array" ref="S367">IF(TRIM($A367)="","",IFERROR(_xlfn.TEXTJOIN(", ",TRUE,_xlfn.UNIQUE(_xlfn.VSTACK(_xlfn._xlws.FILTER('Card Test Cases'!$G$4:$G$1000,('Card Test Cases'!$B$4:$B$1000=$A367)*('Card Test Cases'!$G$4:$G$1000&lt;&gt;""),""),_xlfn._xlws.FILTER('E2E core flow'!$U$15:$U$1000,('E2E core flow'!$A$15:$A$1000&lt;&gt;"")*ISNUMBER(SEARCH('E2E core flow'!$A$15:$A$1000,$E367))*('E2E core flow'!$U$15:$U$1000&lt;&gt;""),"")))),"-"))</f>
        <v/>
      </c>
    </row>
    <row r="368" spans="7:19" x14ac:dyDescent="0.3">
      <c r="G368" s="68" t="str" cm="1">
        <f t="array" ref="G368">_xlfn.LET(_xlpm.ids,'E2E core flow'!$A$15:$A$1000,_xlpm.v,'E2E core flow'!$W$15:$W$1000,_xlpm.m,(_xlpm.ids&lt;&gt;"")*ISNUMBER(SEARCH(_xlpm.ids,$E368)),_xlpm.f,SUM(_xlpm.m*(_xlpm.v="Failed")),_xlpm.b,SUM(_xlpm.m*(_xlpm.v="Blocked")),_xlpm.nr,SUM(_xlpm.m*(_xlpm.v="Not Run")),_xlpm.cp,SUM(_xlpm.m*(_xlpm.v="Conditionally Passed")),_xlpm.p,SUM(_xlpm.m*(_xlpm.v="Passed")),IF(TRIM($A368)="","",IF(TRIM($E368)="","Pending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68" s="68" t="str">
        <f>IF(TRIM($A368)="","",IF($J368="Passed","",IF($J368="Passed with Known Issue","Known Issue",IF($J368="",IF(OR($H368&lt;&gt;"No",AND($F368&lt;&gt;"Medium",$F368&lt;&gt;"Low")),"Pending Result",""),IF(OR($H368&lt;&gt;"No",AND($F368&lt;&gt;"Medium",$F368&lt;&gt;"Low")),IF(COUNTIFS(Dashboard!$B$105:$B$124,$A368,Dashboard!$I$105:$I$124,"CAB")&gt;0,"Accepted (CF)","Blocking"),IF($J368="Failed","Deferrable","Carry Over"))))))</f>
        <v/>
      </c>
      <c r="M368" s="68" t="str">
        <f>IF(OR(TRIM($A368)="",TRIM($E368)=""),"",IFERROR(INDEX('E2E core flow'!$B$15:$B$1000,MATCH(1,INDEX(('E2E core flow'!$A$15:$A$1000&lt;&gt;"")*ISNUMBER(SEARCH('E2E core flow'!$A$15:$A$1000,$E368)),0),0))&amp;"","-"))</f>
        <v/>
      </c>
      <c r="N368" s="68" t="str">
        <f>IF(TRIM($A368)="","",IF($O368=0,IF(COUNTIFS('Card Test Cases'!$B$4:$B$1000,$A368,'Card Test Cases'!$A$4:$A$1000,"&lt;&gt;")&gt;0,"Out of Scope","No TC"),IF($Q368&gt;0,"Failed",IF(COUNTIFS('Card Test Cases'!$B$4:$B$1000,$A368,'Card Test Cases'!$A$4:$A$1000,"&lt;&gt;",'Card Test Cases'!$F$4:$F$1000,"Blocked")&gt;0,"Blocked",IF($R368&gt;0,"In Progress","Passed")))))</f>
        <v/>
      </c>
      <c r="O368" s="68" t="str">
        <f>IF(TRIM($A368)="","",COUNTIFS('Card Test Cases'!$B$4:$B$1000,$A368,'Card Test Cases'!$A$4:$A$1000,"&lt;&gt;",'Card Test Cases'!$F$4:$F$1000,"&lt;&gt;Out of Scope"))</f>
        <v/>
      </c>
      <c r="P368" s="68" t="str">
        <f>IF(TRIM($A368)="","",COUNTIFS('Card Test Cases'!$B$4:$B$1000,$A368,'Card Test Cases'!$A$4:$A$1000,"&lt;&gt;",'Card Test Cases'!$F$4:$F$1000,"Passed"))</f>
        <v/>
      </c>
      <c r="Q368" s="68" t="str">
        <f>IF(TRIM($A368)="","",COUNTIFS('Card Test Cases'!$B$4:$B$1000,$A368,'Card Test Cases'!$A$4:$A$1000,"&lt;&gt;",'Card Test Cases'!$F$4:$F$1000,"Failed"))</f>
        <v/>
      </c>
      <c r="R368" s="68" t="str">
        <f t="shared" si="5"/>
        <v/>
      </c>
      <c r="S368" s="68" t="str" cm="1">
        <f t="array" ref="S368">IF(TRIM($A368)="","",IFERROR(_xlfn.TEXTJOIN(", ",TRUE,_xlfn.UNIQUE(_xlfn.VSTACK(_xlfn._xlws.FILTER('Card Test Cases'!$G$4:$G$1000,('Card Test Cases'!$B$4:$B$1000=$A368)*('Card Test Cases'!$G$4:$G$1000&lt;&gt;""),""),_xlfn._xlws.FILTER('E2E core flow'!$U$15:$U$1000,('E2E core flow'!$A$15:$A$1000&lt;&gt;"")*ISNUMBER(SEARCH('E2E core flow'!$A$15:$A$1000,$E368))*('E2E core flow'!$U$15:$U$1000&lt;&gt;""),"")))),"-"))</f>
        <v/>
      </c>
    </row>
    <row r="369" spans="7:19" x14ac:dyDescent="0.3">
      <c r="G369" s="68" t="str" cm="1">
        <f t="array" ref="G369">_xlfn.LET(_xlpm.ids,'E2E core flow'!$A$15:$A$1000,_xlpm.v,'E2E core flow'!$W$15:$W$1000,_xlpm.m,(_xlpm.ids&lt;&gt;"")*ISNUMBER(SEARCH(_xlpm.ids,$E369)),_xlpm.f,SUM(_xlpm.m*(_xlpm.v="Failed")),_xlpm.b,SUM(_xlpm.m*(_xlpm.v="Blocked")),_xlpm.nr,SUM(_xlpm.m*(_xlpm.v="Not Run")),_xlpm.cp,SUM(_xlpm.m*(_xlpm.v="Conditionally Passed")),_xlpm.p,SUM(_xlpm.m*(_xlpm.v="Passed")),IF(TRIM($A369)="","",IF(TRIM($E369)="","Pending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69" s="68" t="str">
        <f>IF(TRIM($A369)="","",IF($J369="Passed","",IF($J369="Passed with Known Issue","Known Issue",IF($J369="",IF(OR($H369&lt;&gt;"No",AND($F369&lt;&gt;"Medium",$F369&lt;&gt;"Low")),"Pending Result",""),IF(OR($H369&lt;&gt;"No",AND($F369&lt;&gt;"Medium",$F369&lt;&gt;"Low")),IF(COUNTIFS(Dashboard!$B$105:$B$124,$A369,Dashboard!$I$105:$I$124,"CAB")&gt;0,"Accepted (CF)","Blocking"),IF($J369="Failed","Deferrable","Carry Over"))))))</f>
        <v/>
      </c>
      <c r="M369" s="68" t="str">
        <f>IF(OR(TRIM($A369)="",TRIM($E369)=""),"",IFERROR(INDEX('E2E core flow'!$B$15:$B$1000,MATCH(1,INDEX(('E2E core flow'!$A$15:$A$1000&lt;&gt;"")*ISNUMBER(SEARCH('E2E core flow'!$A$15:$A$1000,$E369)),0),0))&amp;"","-"))</f>
        <v/>
      </c>
      <c r="N369" s="68" t="str">
        <f>IF(TRIM($A369)="","",IF($O369=0,IF(COUNTIFS('Card Test Cases'!$B$4:$B$1000,$A369,'Card Test Cases'!$A$4:$A$1000,"&lt;&gt;")&gt;0,"Out of Scope","No TC"),IF($Q369&gt;0,"Failed",IF(COUNTIFS('Card Test Cases'!$B$4:$B$1000,$A369,'Card Test Cases'!$A$4:$A$1000,"&lt;&gt;",'Card Test Cases'!$F$4:$F$1000,"Blocked")&gt;0,"Blocked",IF($R369&gt;0,"In Progress","Passed")))))</f>
        <v/>
      </c>
      <c r="O369" s="68" t="str">
        <f>IF(TRIM($A369)="","",COUNTIFS('Card Test Cases'!$B$4:$B$1000,$A369,'Card Test Cases'!$A$4:$A$1000,"&lt;&gt;",'Card Test Cases'!$F$4:$F$1000,"&lt;&gt;Out of Scope"))</f>
        <v/>
      </c>
      <c r="P369" s="68" t="str">
        <f>IF(TRIM($A369)="","",COUNTIFS('Card Test Cases'!$B$4:$B$1000,$A369,'Card Test Cases'!$A$4:$A$1000,"&lt;&gt;",'Card Test Cases'!$F$4:$F$1000,"Passed"))</f>
        <v/>
      </c>
      <c r="Q369" s="68" t="str">
        <f>IF(TRIM($A369)="","",COUNTIFS('Card Test Cases'!$B$4:$B$1000,$A369,'Card Test Cases'!$A$4:$A$1000,"&lt;&gt;",'Card Test Cases'!$F$4:$F$1000,"Failed"))</f>
        <v/>
      </c>
      <c r="R369" s="68" t="str">
        <f t="shared" si="5"/>
        <v/>
      </c>
      <c r="S369" s="68" t="str" cm="1">
        <f t="array" ref="S369">IF(TRIM($A369)="","",IFERROR(_xlfn.TEXTJOIN(", ",TRUE,_xlfn.UNIQUE(_xlfn.VSTACK(_xlfn._xlws.FILTER('Card Test Cases'!$G$4:$G$1000,('Card Test Cases'!$B$4:$B$1000=$A369)*('Card Test Cases'!$G$4:$G$1000&lt;&gt;""),""),_xlfn._xlws.FILTER('E2E core flow'!$U$15:$U$1000,('E2E core flow'!$A$15:$A$1000&lt;&gt;"")*ISNUMBER(SEARCH('E2E core flow'!$A$15:$A$1000,$E369))*('E2E core flow'!$U$15:$U$1000&lt;&gt;""),"")))),"-"))</f>
        <v/>
      </c>
    </row>
    <row r="370" spans="7:19" x14ac:dyDescent="0.3">
      <c r="G370" s="68" t="str" cm="1">
        <f t="array" ref="G370">_xlfn.LET(_xlpm.ids,'E2E core flow'!$A$15:$A$1000,_xlpm.v,'E2E core flow'!$W$15:$W$1000,_xlpm.m,(_xlpm.ids&lt;&gt;"")*ISNUMBER(SEARCH(_xlpm.ids,$E370)),_xlpm.f,SUM(_xlpm.m*(_xlpm.v="Failed")),_xlpm.b,SUM(_xlpm.m*(_xlpm.v="Blocked")),_xlpm.nr,SUM(_xlpm.m*(_xlpm.v="Not Run")),_xlpm.cp,SUM(_xlpm.m*(_xlpm.v="Conditionally Passed")),_xlpm.p,SUM(_xlpm.m*(_xlpm.v="Passed")),IF(TRIM($A370)="","",IF(TRIM($E370)="","Pending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70" s="68" t="str">
        <f>IF(TRIM($A370)="","",IF($J370="Passed","",IF($J370="Passed with Known Issue","Known Issue",IF($J370="",IF(OR($H370&lt;&gt;"No",AND($F370&lt;&gt;"Medium",$F370&lt;&gt;"Low")),"Pending Result",""),IF(OR($H370&lt;&gt;"No",AND($F370&lt;&gt;"Medium",$F370&lt;&gt;"Low")),IF(COUNTIFS(Dashboard!$B$105:$B$124,$A370,Dashboard!$I$105:$I$124,"CAB")&gt;0,"Accepted (CF)","Blocking"),IF($J370="Failed","Deferrable","Carry Over"))))))</f>
        <v/>
      </c>
      <c r="M370" s="68" t="str">
        <f>IF(OR(TRIM($A370)="",TRIM($E370)=""),"",IFERROR(INDEX('E2E core flow'!$B$15:$B$1000,MATCH(1,INDEX(('E2E core flow'!$A$15:$A$1000&lt;&gt;"")*ISNUMBER(SEARCH('E2E core flow'!$A$15:$A$1000,$E370)),0),0))&amp;"","-"))</f>
        <v/>
      </c>
      <c r="N370" s="68" t="str">
        <f>IF(TRIM($A370)="","",IF($O370=0,IF(COUNTIFS('Card Test Cases'!$B$4:$B$1000,$A370,'Card Test Cases'!$A$4:$A$1000,"&lt;&gt;")&gt;0,"Out of Scope","No TC"),IF($Q370&gt;0,"Failed",IF(COUNTIFS('Card Test Cases'!$B$4:$B$1000,$A370,'Card Test Cases'!$A$4:$A$1000,"&lt;&gt;",'Card Test Cases'!$F$4:$F$1000,"Blocked")&gt;0,"Blocked",IF($R370&gt;0,"In Progress","Passed")))))</f>
        <v/>
      </c>
      <c r="O370" s="68" t="str">
        <f>IF(TRIM($A370)="","",COUNTIFS('Card Test Cases'!$B$4:$B$1000,$A370,'Card Test Cases'!$A$4:$A$1000,"&lt;&gt;",'Card Test Cases'!$F$4:$F$1000,"&lt;&gt;Out of Scope"))</f>
        <v/>
      </c>
      <c r="P370" s="68" t="str">
        <f>IF(TRIM($A370)="","",COUNTIFS('Card Test Cases'!$B$4:$B$1000,$A370,'Card Test Cases'!$A$4:$A$1000,"&lt;&gt;",'Card Test Cases'!$F$4:$F$1000,"Passed"))</f>
        <v/>
      </c>
      <c r="Q370" s="68" t="str">
        <f>IF(TRIM($A370)="","",COUNTIFS('Card Test Cases'!$B$4:$B$1000,$A370,'Card Test Cases'!$A$4:$A$1000,"&lt;&gt;",'Card Test Cases'!$F$4:$F$1000,"Failed"))</f>
        <v/>
      </c>
      <c r="R370" s="68" t="str">
        <f t="shared" si="5"/>
        <v/>
      </c>
      <c r="S370" s="68" t="str" cm="1">
        <f t="array" ref="S370">IF(TRIM($A370)="","",IFERROR(_xlfn.TEXTJOIN(", ",TRUE,_xlfn.UNIQUE(_xlfn.VSTACK(_xlfn._xlws.FILTER('Card Test Cases'!$G$4:$G$1000,('Card Test Cases'!$B$4:$B$1000=$A370)*('Card Test Cases'!$G$4:$G$1000&lt;&gt;""),""),_xlfn._xlws.FILTER('E2E core flow'!$U$15:$U$1000,('E2E core flow'!$A$15:$A$1000&lt;&gt;"")*ISNUMBER(SEARCH('E2E core flow'!$A$15:$A$1000,$E370))*('E2E core flow'!$U$15:$U$1000&lt;&gt;""),"")))),"-"))</f>
        <v/>
      </c>
    </row>
    <row r="371" spans="7:19" x14ac:dyDescent="0.3">
      <c r="G371" s="68" t="str" cm="1">
        <f t="array" ref="G371">_xlfn.LET(_xlpm.ids,'E2E core flow'!$A$15:$A$1000,_xlpm.v,'E2E core flow'!$W$15:$W$1000,_xlpm.m,(_xlpm.ids&lt;&gt;"")*ISNUMBER(SEARCH(_xlpm.ids,$E371)),_xlpm.f,SUM(_xlpm.m*(_xlpm.v="Failed")),_xlpm.b,SUM(_xlpm.m*(_xlpm.v="Blocked")),_xlpm.nr,SUM(_xlpm.m*(_xlpm.v="Not Run")),_xlpm.cp,SUM(_xlpm.m*(_xlpm.v="Conditionally Passed")),_xlpm.p,SUM(_xlpm.m*(_xlpm.v="Passed")),IF(TRIM($A371)="","",IF(TRIM($E371)="","Pending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71" s="68" t="str">
        <f>IF(TRIM($A371)="","",IF($J371="Passed","",IF($J371="Passed with Known Issue","Known Issue",IF($J371="",IF(OR($H371&lt;&gt;"No",AND($F371&lt;&gt;"Medium",$F371&lt;&gt;"Low")),"Pending Result",""),IF(OR($H371&lt;&gt;"No",AND($F371&lt;&gt;"Medium",$F371&lt;&gt;"Low")),IF(COUNTIFS(Dashboard!$B$105:$B$124,$A371,Dashboard!$I$105:$I$124,"CAB")&gt;0,"Accepted (CF)","Blocking"),IF($J371="Failed","Deferrable","Carry Over"))))))</f>
        <v/>
      </c>
      <c r="M371" s="68" t="str">
        <f>IF(OR(TRIM($A371)="",TRIM($E371)=""),"",IFERROR(INDEX('E2E core flow'!$B$15:$B$1000,MATCH(1,INDEX(('E2E core flow'!$A$15:$A$1000&lt;&gt;"")*ISNUMBER(SEARCH('E2E core flow'!$A$15:$A$1000,$E371)),0),0))&amp;"","-"))</f>
        <v/>
      </c>
      <c r="N371" s="68" t="str">
        <f>IF(TRIM($A371)="","",IF($O371=0,IF(COUNTIFS('Card Test Cases'!$B$4:$B$1000,$A371,'Card Test Cases'!$A$4:$A$1000,"&lt;&gt;")&gt;0,"Out of Scope","No TC"),IF($Q371&gt;0,"Failed",IF(COUNTIFS('Card Test Cases'!$B$4:$B$1000,$A371,'Card Test Cases'!$A$4:$A$1000,"&lt;&gt;",'Card Test Cases'!$F$4:$F$1000,"Blocked")&gt;0,"Blocked",IF($R371&gt;0,"In Progress","Passed")))))</f>
        <v/>
      </c>
      <c r="O371" s="68" t="str">
        <f>IF(TRIM($A371)="","",COUNTIFS('Card Test Cases'!$B$4:$B$1000,$A371,'Card Test Cases'!$A$4:$A$1000,"&lt;&gt;",'Card Test Cases'!$F$4:$F$1000,"&lt;&gt;Out of Scope"))</f>
        <v/>
      </c>
      <c r="P371" s="68" t="str">
        <f>IF(TRIM($A371)="","",COUNTIFS('Card Test Cases'!$B$4:$B$1000,$A371,'Card Test Cases'!$A$4:$A$1000,"&lt;&gt;",'Card Test Cases'!$F$4:$F$1000,"Passed"))</f>
        <v/>
      </c>
      <c r="Q371" s="68" t="str">
        <f>IF(TRIM($A371)="","",COUNTIFS('Card Test Cases'!$B$4:$B$1000,$A371,'Card Test Cases'!$A$4:$A$1000,"&lt;&gt;",'Card Test Cases'!$F$4:$F$1000,"Failed"))</f>
        <v/>
      </c>
      <c r="R371" s="68" t="str">
        <f t="shared" si="5"/>
        <v/>
      </c>
      <c r="S371" s="68" t="str" cm="1">
        <f t="array" ref="S371">IF(TRIM($A371)="","",IFERROR(_xlfn.TEXTJOIN(", ",TRUE,_xlfn.UNIQUE(_xlfn.VSTACK(_xlfn._xlws.FILTER('Card Test Cases'!$G$4:$G$1000,('Card Test Cases'!$B$4:$B$1000=$A371)*('Card Test Cases'!$G$4:$G$1000&lt;&gt;""),""),_xlfn._xlws.FILTER('E2E core flow'!$U$15:$U$1000,('E2E core flow'!$A$15:$A$1000&lt;&gt;"")*ISNUMBER(SEARCH('E2E core flow'!$A$15:$A$1000,$E371))*('E2E core flow'!$U$15:$U$1000&lt;&gt;""),"")))),"-"))</f>
        <v/>
      </c>
    </row>
    <row r="372" spans="7:19" x14ac:dyDescent="0.3">
      <c r="G372" s="68" t="str" cm="1">
        <f t="array" ref="G372">_xlfn.LET(_xlpm.ids,'E2E core flow'!$A$15:$A$1000,_xlpm.v,'E2E core flow'!$W$15:$W$1000,_xlpm.m,(_xlpm.ids&lt;&gt;"")*ISNUMBER(SEARCH(_xlpm.ids,$E372)),_xlpm.f,SUM(_xlpm.m*(_xlpm.v="Failed")),_xlpm.b,SUM(_xlpm.m*(_xlpm.v="Blocked")),_xlpm.nr,SUM(_xlpm.m*(_xlpm.v="Not Run")),_xlpm.cp,SUM(_xlpm.m*(_xlpm.v="Conditionally Passed")),_xlpm.p,SUM(_xlpm.m*(_xlpm.v="Passed")),IF(TRIM($A372)="","",IF(TRIM($E372)="","Pending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72" s="68" t="str">
        <f>IF(TRIM($A372)="","",IF($J372="Passed","",IF($J372="Passed with Known Issue","Known Issue",IF($J372="",IF(OR($H372&lt;&gt;"No",AND($F372&lt;&gt;"Medium",$F372&lt;&gt;"Low")),"Pending Result",""),IF(OR($H372&lt;&gt;"No",AND($F372&lt;&gt;"Medium",$F372&lt;&gt;"Low")),IF(COUNTIFS(Dashboard!$B$105:$B$124,$A372,Dashboard!$I$105:$I$124,"CAB")&gt;0,"Accepted (CF)","Blocking"),IF($J372="Failed","Deferrable","Carry Over"))))))</f>
        <v/>
      </c>
      <c r="M372" s="68" t="str">
        <f>IF(OR(TRIM($A372)="",TRIM($E372)=""),"",IFERROR(INDEX('E2E core flow'!$B$15:$B$1000,MATCH(1,INDEX(('E2E core flow'!$A$15:$A$1000&lt;&gt;"")*ISNUMBER(SEARCH('E2E core flow'!$A$15:$A$1000,$E372)),0),0))&amp;"","-"))</f>
        <v/>
      </c>
      <c r="N372" s="68" t="str">
        <f>IF(TRIM($A372)="","",IF($O372=0,IF(COUNTIFS('Card Test Cases'!$B$4:$B$1000,$A372,'Card Test Cases'!$A$4:$A$1000,"&lt;&gt;")&gt;0,"Out of Scope","No TC"),IF($Q372&gt;0,"Failed",IF(COUNTIFS('Card Test Cases'!$B$4:$B$1000,$A372,'Card Test Cases'!$A$4:$A$1000,"&lt;&gt;",'Card Test Cases'!$F$4:$F$1000,"Blocked")&gt;0,"Blocked",IF($R372&gt;0,"In Progress","Passed")))))</f>
        <v/>
      </c>
      <c r="O372" s="68" t="str">
        <f>IF(TRIM($A372)="","",COUNTIFS('Card Test Cases'!$B$4:$B$1000,$A372,'Card Test Cases'!$A$4:$A$1000,"&lt;&gt;",'Card Test Cases'!$F$4:$F$1000,"&lt;&gt;Out of Scope"))</f>
        <v/>
      </c>
      <c r="P372" s="68" t="str">
        <f>IF(TRIM($A372)="","",COUNTIFS('Card Test Cases'!$B$4:$B$1000,$A372,'Card Test Cases'!$A$4:$A$1000,"&lt;&gt;",'Card Test Cases'!$F$4:$F$1000,"Passed"))</f>
        <v/>
      </c>
      <c r="Q372" s="68" t="str">
        <f>IF(TRIM($A372)="","",COUNTIFS('Card Test Cases'!$B$4:$B$1000,$A372,'Card Test Cases'!$A$4:$A$1000,"&lt;&gt;",'Card Test Cases'!$F$4:$F$1000,"Failed"))</f>
        <v/>
      </c>
      <c r="R372" s="68" t="str">
        <f t="shared" si="5"/>
        <v/>
      </c>
      <c r="S372" s="68" t="str" cm="1">
        <f t="array" ref="S372">IF(TRIM($A372)="","",IFERROR(_xlfn.TEXTJOIN(", ",TRUE,_xlfn.UNIQUE(_xlfn.VSTACK(_xlfn._xlws.FILTER('Card Test Cases'!$G$4:$G$1000,('Card Test Cases'!$B$4:$B$1000=$A372)*('Card Test Cases'!$G$4:$G$1000&lt;&gt;""),""),_xlfn._xlws.FILTER('E2E core flow'!$U$15:$U$1000,('E2E core flow'!$A$15:$A$1000&lt;&gt;"")*ISNUMBER(SEARCH('E2E core flow'!$A$15:$A$1000,$E372))*('E2E core flow'!$U$15:$U$1000&lt;&gt;""),"")))),"-"))</f>
        <v/>
      </c>
    </row>
    <row r="373" spans="7:19" x14ac:dyDescent="0.3">
      <c r="G373" s="68" t="str" cm="1">
        <f t="array" ref="G373">_xlfn.LET(_xlpm.ids,'E2E core flow'!$A$15:$A$1000,_xlpm.v,'E2E core flow'!$W$15:$W$1000,_xlpm.m,(_xlpm.ids&lt;&gt;"")*ISNUMBER(SEARCH(_xlpm.ids,$E373)),_xlpm.f,SUM(_xlpm.m*(_xlpm.v="Failed")),_xlpm.b,SUM(_xlpm.m*(_xlpm.v="Blocked")),_xlpm.nr,SUM(_xlpm.m*(_xlpm.v="Not Run")),_xlpm.cp,SUM(_xlpm.m*(_xlpm.v="Conditionally Passed")),_xlpm.p,SUM(_xlpm.m*(_xlpm.v="Passed")),IF(TRIM($A373)="","",IF(TRIM($E373)="","Pending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73" s="68" t="str">
        <f>IF(TRIM($A373)="","",IF($J373="Passed","",IF($J373="Passed with Known Issue","Known Issue",IF($J373="",IF(OR($H373&lt;&gt;"No",AND($F373&lt;&gt;"Medium",$F373&lt;&gt;"Low")),"Pending Result",""),IF(OR($H373&lt;&gt;"No",AND($F373&lt;&gt;"Medium",$F373&lt;&gt;"Low")),IF(COUNTIFS(Dashboard!$B$105:$B$124,$A373,Dashboard!$I$105:$I$124,"CAB")&gt;0,"Accepted (CF)","Blocking"),IF($J373="Failed","Deferrable","Carry Over"))))))</f>
        <v/>
      </c>
      <c r="M373" s="68" t="str">
        <f>IF(OR(TRIM($A373)="",TRIM($E373)=""),"",IFERROR(INDEX('E2E core flow'!$B$15:$B$1000,MATCH(1,INDEX(('E2E core flow'!$A$15:$A$1000&lt;&gt;"")*ISNUMBER(SEARCH('E2E core flow'!$A$15:$A$1000,$E373)),0),0))&amp;"","-"))</f>
        <v/>
      </c>
      <c r="N373" s="68" t="str">
        <f>IF(TRIM($A373)="","",IF($O373=0,IF(COUNTIFS('Card Test Cases'!$B$4:$B$1000,$A373,'Card Test Cases'!$A$4:$A$1000,"&lt;&gt;")&gt;0,"Out of Scope","No TC"),IF($Q373&gt;0,"Failed",IF(COUNTIFS('Card Test Cases'!$B$4:$B$1000,$A373,'Card Test Cases'!$A$4:$A$1000,"&lt;&gt;",'Card Test Cases'!$F$4:$F$1000,"Blocked")&gt;0,"Blocked",IF($R373&gt;0,"In Progress","Passed")))))</f>
        <v/>
      </c>
      <c r="O373" s="68" t="str">
        <f>IF(TRIM($A373)="","",COUNTIFS('Card Test Cases'!$B$4:$B$1000,$A373,'Card Test Cases'!$A$4:$A$1000,"&lt;&gt;",'Card Test Cases'!$F$4:$F$1000,"&lt;&gt;Out of Scope"))</f>
        <v/>
      </c>
      <c r="P373" s="68" t="str">
        <f>IF(TRIM($A373)="","",COUNTIFS('Card Test Cases'!$B$4:$B$1000,$A373,'Card Test Cases'!$A$4:$A$1000,"&lt;&gt;",'Card Test Cases'!$F$4:$F$1000,"Passed"))</f>
        <v/>
      </c>
      <c r="Q373" s="68" t="str">
        <f>IF(TRIM($A373)="","",COUNTIFS('Card Test Cases'!$B$4:$B$1000,$A373,'Card Test Cases'!$A$4:$A$1000,"&lt;&gt;",'Card Test Cases'!$F$4:$F$1000,"Failed"))</f>
        <v/>
      </c>
      <c r="R373" s="68" t="str">
        <f t="shared" si="5"/>
        <v/>
      </c>
      <c r="S373" s="68" t="str" cm="1">
        <f t="array" ref="S373">IF(TRIM($A373)="","",IFERROR(_xlfn.TEXTJOIN(", ",TRUE,_xlfn.UNIQUE(_xlfn.VSTACK(_xlfn._xlws.FILTER('Card Test Cases'!$G$4:$G$1000,('Card Test Cases'!$B$4:$B$1000=$A373)*('Card Test Cases'!$G$4:$G$1000&lt;&gt;""),""),_xlfn._xlws.FILTER('E2E core flow'!$U$15:$U$1000,('E2E core flow'!$A$15:$A$1000&lt;&gt;"")*ISNUMBER(SEARCH('E2E core flow'!$A$15:$A$1000,$E373))*('E2E core flow'!$U$15:$U$1000&lt;&gt;""),"")))),"-"))</f>
        <v/>
      </c>
    </row>
    <row r="374" spans="7:19" x14ac:dyDescent="0.3">
      <c r="G374" s="68" t="str" cm="1">
        <f t="array" ref="G374">_xlfn.LET(_xlpm.ids,'E2E core flow'!$A$15:$A$1000,_xlpm.v,'E2E core flow'!$W$15:$W$1000,_xlpm.m,(_xlpm.ids&lt;&gt;"")*ISNUMBER(SEARCH(_xlpm.ids,$E374)),_xlpm.f,SUM(_xlpm.m*(_xlpm.v="Failed")),_xlpm.b,SUM(_xlpm.m*(_xlpm.v="Blocked")),_xlpm.nr,SUM(_xlpm.m*(_xlpm.v="Not Run")),_xlpm.cp,SUM(_xlpm.m*(_xlpm.v="Conditionally Passed")),_xlpm.p,SUM(_xlpm.m*(_xlpm.v="Passed")),IF(TRIM($A374)="","",IF(TRIM($E374)="","Pending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74" s="68" t="str">
        <f>IF(TRIM($A374)="","",IF($J374="Passed","",IF($J374="Passed with Known Issue","Known Issue",IF($J374="",IF(OR($H374&lt;&gt;"No",AND($F374&lt;&gt;"Medium",$F374&lt;&gt;"Low")),"Pending Result",""),IF(OR($H374&lt;&gt;"No",AND($F374&lt;&gt;"Medium",$F374&lt;&gt;"Low")),IF(COUNTIFS(Dashboard!$B$105:$B$124,$A374,Dashboard!$I$105:$I$124,"CAB")&gt;0,"Accepted (CF)","Blocking"),IF($J374="Failed","Deferrable","Carry Over"))))))</f>
        <v/>
      </c>
      <c r="M374" s="68" t="str">
        <f>IF(OR(TRIM($A374)="",TRIM($E374)=""),"",IFERROR(INDEX('E2E core flow'!$B$15:$B$1000,MATCH(1,INDEX(('E2E core flow'!$A$15:$A$1000&lt;&gt;"")*ISNUMBER(SEARCH('E2E core flow'!$A$15:$A$1000,$E374)),0),0))&amp;"","-"))</f>
        <v/>
      </c>
      <c r="N374" s="68" t="str">
        <f>IF(TRIM($A374)="","",IF($O374=0,IF(COUNTIFS('Card Test Cases'!$B$4:$B$1000,$A374,'Card Test Cases'!$A$4:$A$1000,"&lt;&gt;")&gt;0,"Out of Scope","No TC"),IF($Q374&gt;0,"Failed",IF(COUNTIFS('Card Test Cases'!$B$4:$B$1000,$A374,'Card Test Cases'!$A$4:$A$1000,"&lt;&gt;",'Card Test Cases'!$F$4:$F$1000,"Blocked")&gt;0,"Blocked",IF($R374&gt;0,"In Progress","Passed")))))</f>
        <v/>
      </c>
      <c r="O374" s="68" t="str">
        <f>IF(TRIM($A374)="","",COUNTIFS('Card Test Cases'!$B$4:$B$1000,$A374,'Card Test Cases'!$A$4:$A$1000,"&lt;&gt;",'Card Test Cases'!$F$4:$F$1000,"&lt;&gt;Out of Scope"))</f>
        <v/>
      </c>
      <c r="P374" s="68" t="str">
        <f>IF(TRIM($A374)="","",COUNTIFS('Card Test Cases'!$B$4:$B$1000,$A374,'Card Test Cases'!$A$4:$A$1000,"&lt;&gt;",'Card Test Cases'!$F$4:$F$1000,"Passed"))</f>
        <v/>
      </c>
      <c r="Q374" s="68" t="str">
        <f>IF(TRIM($A374)="","",COUNTIFS('Card Test Cases'!$B$4:$B$1000,$A374,'Card Test Cases'!$A$4:$A$1000,"&lt;&gt;",'Card Test Cases'!$F$4:$F$1000,"Failed"))</f>
        <v/>
      </c>
      <c r="R374" s="68" t="str">
        <f t="shared" si="5"/>
        <v/>
      </c>
      <c r="S374" s="68" t="str" cm="1">
        <f t="array" ref="S374">IF(TRIM($A374)="","",IFERROR(_xlfn.TEXTJOIN(", ",TRUE,_xlfn.UNIQUE(_xlfn.VSTACK(_xlfn._xlws.FILTER('Card Test Cases'!$G$4:$G$1000,('Card Test Cases'!$B$4:$B$1000=$A374)*('Card Test Cases'!$G$4:$G$1000&lt;&gt;""),""),_xlfn._xlws.FILTER('E2E core flow'!$U$15:$U$1000,('E2E core flow'!$A$15:$A$1000&lt;&gt;"")*ISNUMBER(SEARCH('E2E core flow'!$A$15:$A$1000,$E374))*('E2E core flow'!$U$15:$U$1000&lt;&gt;""),"")))),"-"))</f>
        <v/>
      </c>
    </row>
    <row r="375" spans="7:19" x14ac:dyDescent="0.3">
      <c r="G375" s="68" t="str" cm="1">
        <f t="array" ref="G375">_xlfn.LET(_xlpm.ids,'E2E core flow'!$A$15:$A$1000,_xlpm.v,'E2E core flow'!$W$15:$W$1000,_xlpm.m,(_xlpm.ids&lt;&gt;"")*ISNUMBER(SEARCH(_xlpm.ids,$E375)),_xlpm.f,SUM(_xlpm.m*(_xlpm.v="Failed")),_xlpm.b,SUM(_xlpm.m*(_xlpm.v="Blocked")),_xlpm.nr,SUM(_xlpm.m*(_xlpm.v="Not Run")),_xlpm.cp,SUM(_xlpm.m*(_xlpm.v="Conditionally Passed")),_xlpm.p,SUM(_xlpm.m*(_xlpm.v="Passed")),IF(TRIM($A375)="","",IF(TRIM($E375)="","Pending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75" s="68" t="str">
        <f>IF(TRIM($A375)="","",IF($J375="Passed","",IF($J375="Passed with Known Issue","Known Issue",IF($J375="",IF(OR($H375&lt;&gt;"No",AND($F375&lt;&gt;"Medium",$F375&lt;&gt;"Low")),"Pending Result",""),IF(OR($H375&lt;&gt;"No",AND($F375&lt;&gt;"Medium",$F375&lt;&gt;"Low")),IF(COUNTIFS(Dashboard!$B$105:$B$124,$A375,Dashboard!$I$105:$I$124,"CAB")&gt;0,"Accepted (CF)","Blocking"),IF($J375="Failed","Deferrable","Carry Over"))))))</f>
        <v/>
      </c>
      <c r="M375" s="68" t="str">
        <f>IF(OR(TRIM($A375)="",TRIM($E375)=""),"",IFERROR(INDEX('E2E core flow'!$B$15:$B$1000,MATCH(1,INDEX(('E2E core flow'!$A$15:$A$1000&lt;&gt;"")*ISNUMBER(SEARCH('E2E core flow'!$A$15:$A$1000,$E375)),0),0))&amp;"","-"))</f>
        <v/>
      </c>
      <c r="N375" s="68" t="str">
        <f>IF(TRIM($A375)="","",IF($O375=0,IF(COUNTIFS('Card Test Cases'!$B$4:$B$1000,$A375,'Card Test Cases'!$A$4:$A$1000,"&lt;&gt;")&gt;0,"Out of Scope","No TC"),IF($Q375&gt;0,"Failed",IF(COUNTIFS('Card Test Cases'!$B$4:$B$1000,$A375,'Card Test Cases'!$A$4:$A$1000,"&lt;&gt;",'Card Test Cases'!$F$4:$F$1000,"Blocked")&gt;0,"Blocked",IF($R375&gt;0,"In Progress","Passed")))))</f>
        <v/>
      </c>
      <c r="O375" s="68" t="str">
        <f>IF(TRIM($A375)="","",COUNTIFS('Card Test Cases'!$B$4:$B$1000,$A375,'Card Test Cases'!$A$4:$A$1000,"&lt;&gt;",'Card Test Cases'!$F$4:$F$1000,"&lt;&gt;Out of Scope"))</f>
        <v/>
      </c>
      <c r="P375" s="68" t="str">
        <f>IF(TRIM($A375)="","",COUNTIFS('Card Test Cases'!$B$4:$B$1000,$A375,'Card Test Cases'!$A$4:$A$1000,"&lt;&gt;",'Card Test Cases'!$F$4:$F$1000,"Passed"))</f>
        <v/>
      </c>
      <c r="Q375" s="68" t="str">
        <f>IF(TRIM($A375)="","",COUNTIFS('Card Test Cases'!$B$4:$B$1000,$A375,'Card Test Cases'!$A$4:$A$1000,"&lt;&gt;",'Card Test Cases'!$F$4:$F$1000,"Failed"))</f>
        <v/>
      </c>
      <c r="R375" s="68" t="str">
        <f t="shared" si="5"/>
        <v/>
      </c>
      <c r="S375" s="68" t="str" cm="1">
        <f t="array" ref="S375">IF(TRIM($A375)="","",IFERROR(_xlfn.TEXTJOIN(", ",TRUE,_xlfn.UNIQUE(_xlfn.VSTACK(_xlfn._xlws.FILTER('Card Test Cases'!$G$4:$G$1000,('Card Test Cases'!$B$4:$B$1000=$A375)*('Card Test Cases'!$G$4:$G$1000&lt;&gt;""),""),_xlfn._xlws.FILTER('E2E core flow'!$U$15:$U$1000,('E2E core flow'!$A$15:$A$1000&lt;&gt;"")*ISNUMBER(SEARCH('E2E core flow'!$A$15:$A$1000,$E375))*('E2E core flow'!$U$15:$U$1000&lt;&gt;""),"")))),"-"))</f>
        <v/>
      </c>
    </row>
    <row r="376" spans="7:19" x14ac:dyDescent="0.3">
      <c r="G376" s="68" t="str" cm="1">
        <f t="array" ref="G376">_xlfn.LET(_xlpm.ids,'E2E core flow'!$A$15:$A$1000,_xlpm.v,'E2E core flow'!$W$15:$W$1000,_xlpm.m,(_xlpm.ids&lt;&gt;"")*ISNUMBER(SEARCH(_xlpm.ids,$E376)),_xlpm.f,SUM(_xlpm.m*(_xlpm.v="Failed")),_xlpm.b,SUM(_xlpm.m*(_xlpm.v="Blocked")),_xlpm.nr,SUM(_xlpm.m*(_xlpm.v="Not Run")),_xlpm.cp,SUM(_xlpm.m*(_xlpm.v="Conditionally Passed")),_xlpm.p,SUM(_xlpm.m*(_xlpm.v="Passed")),IF(TRIM($A376)="","",IF(TRIM($E376)="","Pending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76" s="68" t="str">
        <f>IF(TRIM($A376)="","",IF($J376="Passed","",IF($J376="Passed with Known Issue","Known Issue",IF($J376="",IF(OR($H376&lt;&gt;"No",AND($F376&lt;&gt;"Medium",$F376&lt;&gt;"Low")),"Pending Result",""),IF(OR($H376&lt;&gt;"No",AND($F376&lt;&gt;"Medium",$F376&lt;&gt;"Low")),IF(COUNTIFS(Dashboard!$B$105:$B$124,$A376,Dashboard!$I$105:$I$124,"CAB")&gt;0,"Accepted (CF)","Blocking"),IF($J376="Failed","Deferrable","Carry Over"))))))</f>
        <v/>
      </c>
      <c r="M376" s="68" t="str">
        <f>IF(OR(TRIM($A376)="",TRIM($E376)=""),"",IFERROR(INDEX('E2E core flow'!$B$15:$B$1000,MATCH(1,INDEX(('E2E core flow'!$A$15:$A$1000&lt;&gt;"")*ISNUMBER(SEARCH('E2E core flow'!$A$15:$A$1000,$E376)),0),0))&amp;"","-"))</f>
        <v/>
      </c>
      <c r="N376" s="68" t="str">
        <f>IF(TRIM($A376)="","",IF($O376=0,IF(COUNTIFS('Card Test Cases'!$B$4:$B$1000,$A376,'Card Test Cases'!$A$4:$A$1000,"&lt;&gt;")&gt;0,"Out of Scope","No TC"),IF($Q376&gt;0,"Failed",IF(COUNTIFS('Card Test Cases'!$B$4:$B$1000,$A376,'Card Test Cases'!$A$4:$A$1000,"&lt;&gt;",'Card Test Cases'!$F$4:$F$1000,"Blocked")&gt;0,"Blocked",IF($R376&gt;0,"In Progress","Passed")))))</f>
        <v/>
      </c>
      <c r="O376" s="68" t="str">
        <f>IF(TRIM($A376)="","",COUNTIFS('Card Test Cases'!$B$4:$B$1000,$A376,'Card Test Cases'!$A$4:$A$1000,"&lt;&gt;",'Card Test Cases'!$F$4:$F$1000,"&lt;&gt;Out of Scope"))</f>
        <v/>
      </c>
      <c r="P376" s="68" t="str">
        <f>IF(TRIM($A376)="","",COUNTIFS('Card Test Cases'!$B$4:$B$1000,$A376,'Card Test Cases'!$A$4:$A$1000,"&lt;&gt;",'Card Test Cases'!$F$4:$F$1000,"Passed"))</f>
        <v/>
      </c>
      <c r="Q376" s="68" t="str">
        <f>IF(TRIM($A376)="","",COUNTIFS('Card Test Cases'!$B$4:$B$1000,$A376,'Card Test Cases'!$A$4:$A$1000,"&lt;&gt;",'Card Test Cases'!$F$4:$F$1000,"Failed"))</f>
        <v/>
      </c>
      <c r="R376" s="68" t="str">
        <f t="shared" si="5"/>
        <v/>
      </c>
      <c r="S376" s="68" t="str" cm="1">
        <f t="array" ref="S376">IF(TRIM($A376)="","",IFERROR(_xlfn.TEXTJOIN(", ",TRUE,_xlfn.UNIQUE(_xlfn.VSTACK(_xlfn._xlws.FILTER('Card Test Cases'!$G$4:$G$1000,('Card Test Cases'!$B$4:$B$1000=$A376)*('Card Test Cases'!$G$4:$G$1000&lt;&gt;""),""),_xlfn._xlws.FILTER('E2E core flow'!$U$15:$U$1000,('E2E core flow'!$A$15:$A$1000&lt;&gt;"")*ISNUMBER(SEARCH('E2E core flow'!$A$15:$A$1000,$E376))*('E2E core flow'!$U$15:$U$1000&lt;&gt;""),"")))),"-"))</f>
        <v/>
      </c>
    </row>
    <row r="377" spans="7:19" x14ac:dyDescent="0.3">
      <c r="G377" s="68" t="str" cm="1">
        <f t="array" ref="G377">_xlfn.LET(_xlpm.ids,'E2E core flow'!$A$15:$A$1000,_xlpm.v,'E2E core flow'!$W$15:$W$1000,_xlpm.m,(_xlpm.ids&lt;&gt;"")*ISNUMBER(SEARCH(_xlpm.ids,$E377)),_xlpm.f,SUM(_xlpm.m*(_xlpm.v="Failed")),_xlpm.b,SUM(_xlpm.m*(_xlpm.v="Blocked")),_xlpm.nr,SUM(_xlpm.m*(_xlpm.v="Not Run")),_xlpm.cp,SUM(_xlpm.m*(_xlpm.v="Conditionally Passed")),_xlpm.p,SUM(_xlpm.m*(_xlpm.v="Passed")),IF(TRIM($A377)="","",IF(TRIM($E377)="","Pending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77" s="68" t="str">
        <f>IF(TRIM($A377)="","",IF($J377="Passed","",IF($J377="Passed with Known Issue","Known Issue",IF($J377="",IF(OR($H377&lt;&gt;"No",AND($F377&lt;&gt;"Medium",$F377&lt;&gt;"Low")),"Pending Result",""),IF(OR($H377&lt;&gt;"No",AND($F377&lt;&gt;"Medium",$F377&lt;&gt;"Low")),IF(COUNTIFS(Dashboard!$B$105:$B$124,$A377,Dashboard!$I$105:$I$124,"CAB")&gt;0,"Accepted (CF)","Blocking"),IF($J377="Failed","Deferrable","Carry Over"))))))</f>
        <v/>
      </c>
      <c r="M377" s="68" t="str">
        <f>IF(OR(TRIM($A377)="",TRIM($E377)=""),"",IFERROR(INDEX('E2E core flow'!$B$15:$B$1000,MATCH(1,INDEX(('E2E core flow'!$A$15:$A$1000&lt;&gt;"")*ISNUMBER(SEARCH('E2E core flow'!$A$15:$A$1000,$E377)),0),0))&amp;"","-"))</f>
        <v/>
      </c>
      <c r="N377" s="68" t="str">
        <f>IF(TRIM($A377)="","",IF($O377=0,IF(COUNTIFS('Card Test Cases'!$B$4:$B$1000,$A377,'Card Test Cases'!$A$4:$A$1000,"&lt;&gt;")&gt;0,"Out of Scope","No TC"),IF($Q377&gt;0,"Failed",IF(COUNTIFS('Card Test Cases'!$B$4:$B$1000,$A377,'Card Test Cases'!$A$4:$A$1000,"&lt;&gt;",'Card Test Cases'!$F$4:$F$1000,"Blocked")&gt;0,"Blocked",IF($R377&gt;0,"In Progress","Passed")))))</f>
        <v/>
      </c>
      <c r="O377" s="68" t="str">
        <f>IF(TRIM($A377)="","",COUNTIFS('Card Test Cases'!$B$4:$B$1000,$A377,'Card Test Cases'!$A$4:$A$1000,"&lt;&gt;",'Card Test Cases'!$F$4:$F$1000,"&lt;&gt;Out of Scope"))</f>
        <v/>
      </c>
      <c r="P377" s="68" t="str">
        <f>IF(TRIM($A377)="","",COUNTIFS('Card Test Cases'!$B$4:$B$1000,$A377,'Card Test Cases'!$A$4:$A$1000,"&lt;&gt;",'Card Test Cases'!$F$4:$F$1000,"Passed"))</f>
        <v/>
      </c>
      <c r="Q377" s="68" t="str">
        <f>IF(TRIM($A377)="","",COUNTIFS('Card Test Cases'!$B$4:$B$1000,$A377,'Card Test Cases'!$A$4:$A$1000,"&lt;&gt;",'Card Test Cases'!$F$4:$F$1000,"Failed"))</f>
        <v/>
      </c>
      <c r="R377" s="68" t="str">
        <f t="shared" si="5"/>
        <v/>
      </c>
      <c r="S377" s="68" t="str" cm="1">
        <f t="array" ref="S377">IF(TRIM($A377)="","",IFERROR(_xlfn.TEXTJOIN(", ",TRUE,_xlfn.UNIQUE(_xlfn.VSTACK(_xlfn._xlws.FILTER('Card Test Cases'!$G$4:$G$1000,('Card Test Cases'!$B$4:$B$1000=$A377)*('Card Test Cases'!$G$4:$G$1000&lt;&gt;""),""),_xlfn._xlws.FILTER('E2E core flow'!$U$15:$U$1000,('E2E core flow'!$A$15:$A$1000&lt;&gt;"")*ISNUMBER(SEARCH('E2E core flow'!$A$15:$A$1000,$E377))*('E2E core flow'!$U$15:$U$1000&lt;&gt;""),"")))),"-"))</f>
        <v/>
      </c>
    </row>
    <row r="378" spans="7:19" x14ac:dyDescent="0.3">
      <c r="G378" s="68" t="str" cm="1">
        <f t="array" ref="G378">_xlfn.LET(_xlpm.ids,'E2E core flow'!$A$15:$A$1000,_xlpm.v,'E2E core flow'!$W$15:$W$1000,_xlpm.m,(_xlpm.ids&lt;&gt;"")*ISNUMBER(SEARCH(_xlpm.ids,$E378)),_xlpm.f,SUM(_xlpm.m*(_xlpm.v="Failed")),_xlpm.b,SUM(_xlpm.m*(_xlpm.v="Blocked")),_xlpm.nr,SUM(_xlpm.m*(_xlpm.v="Not Run")),_xlpm.cp,SUM(_xlpm.m*(_xlpm.v="Conditionally Passed")),_xlpm.p,SUM(_xlpm.m*(_xlpm.v="Passed")),IF(TRIM($A378)="","",IF(TRIM($E378)="","Pending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78" s="68" t="str">
        <f>IF(TRIM($A378)="","",IF($J378="Passed","",IF($J378="Passed with Known Issue","Known Issue",IF($J378="",IF(OR($H378&lt;&gt;"No",AND($F378&lt;&gt;"Medium",$F378&lt;&gt;"Low")),"Pending Result",""),IF(OR($H378&lt;&gt;"No",AND($F378&lt;&gt;"Medium",$F378&lt;&gt;"Low")),IF(COUNTIFS(Dashboard!$B$105:$B$124,$A378,Dashboard!$I$105:$I$124,"CAB")&gt;0,"Accepted (CF)","Blocking"),IF($J378="Failed","Deferrable","Carry Over"))))))</f>
        <v/>
      </c>
      <c r="M378" s="68" t="str">
        <f>IF(OR(TRIM($A378)="",TRIM($E378)=""),"",IFERROR(INDEX('E2E core flow'!$B$15:$B$1000,MATCH(1,INDEX(('E2E core flow'!$A$15:$A$1000&lt;&gt;"")*ISNUMBER(SEARCH('E2E core flow'!$A$15:$A$1000,$E378)),0),0))&amp;"","-"))</f>
        <v/>
      </c>
      <c r="N378" s="68" t="str">
        <f>IF(TRIM($A378)="","",IF($O378=0,IF(COUNTIFS('Card Test Cases'!$B$4:$B$1000,$A378,'Card Test Cases'!$A$4:$A$1000,"&lt;&gt;")&gt;0,"Out of Scope","No TC"),IF($Q378&gt;0,"Failed",IF(COUNTIFS('Card Test Cases'!$B$4:$B$1000,$A378,'Card Test Cases'!$A$4:$A$1000,"&lt;&gt;",'Card Test Cases'!$F$4:$F$1000,"Blocked")&gt;0,"Blocked",IF($R378&gt;0,"In Progress","Passed")))))</f>
        <v/>
      </c>
      <c r="O378" s="68" t="str">
        <f>IF(TRIM($A378)="","",COUNTIFS('Card Test Cases'!$B$4:$B$1000,$A378,'Card Test Cases'!$A$4:$A$1000,"&lt;&gt;",'Card Test Cases'!$F$4:$F$1000,"&lt;&gt;Out of Scope"))</f>
        <v/>
      </c>
      <c r="P378" s="68" t="str">
        <f>IF(TRIM($A378)="","",COUNTIFS('Card Test Cases'!$B$4:$B$1000,$A378,'Card Test Cases'!$A$4:$A$1000,"&lt;&gt;",'Card Test Cases'!$F$4:$F$1000,"Passed"))</f>
        <v/>
      </c>
      <c r="Q378" s="68" t="str">
        <f>IF(TRIM($A378)="","",COUNTIFS('Card Test Cases'!$B$4:$B$1000,$A378,'Card Test Cases'!$A$4:$A$1000,"&lt;&gt;",'Card Test Cases'!$F$4:$F$1000,"Failed"))</f>
        <v/>
      </c>
      <c r="R378" s="68" t="str">
        <f t="shared" si="5"/>
        <v/>
      </c>
      <c r="S378" s="68" t="str" cm="1">
        <f t="array" ref="S378">IF(TRIM($A378)="","",IFERROR(_xlfn.TEXTJOIN(", ",TRUE,_xlfn.UNIQUE(_xlfn.VSTACK(_xlfn._xlws.FILTER('Card Test Cases'!$G$4:$G$1000,('Card Test Cases'!$B$4:$B$1000=$A378)*('Card Test Cases'!$G$4:$G$1000&lt;&gt;""),""),_xlfn._xlws.FILTER('E2E core flow'!$U$15:$U$1000,('E2E core flow'!$A$15:$A$1000&lt;&gt;"")*ISNUMBER(SEARCH('E2E core flow'!$A$15:$A$1000,$E378))*('E2E core flow'!$U$15:$U$1000&lt;&gt;""),"")))),"-"))</f>
        <v/>
      </c>
    </row>
    <row r="379" spans="7:19" x14ac:dyDescent="0.3">
      <c r="G379" s="68" t="str" cm="1">
        <f t="array" ref="G379">_xlfn.LET(_xlpm.ids,'E2E core flow'!$A$15:$A$1000,_xlpm.v,'E2E core flow'!$W$15:$W$1000,_xlpm.m,(_xlpm.ids&lt;&gt;"")*ISNUMBER(SEARCH(_xlpm.ids,$E379)),_xlpm.f,SUM(_xlpm.m*(_xlpm.v="Failed")),_xlpm.b,SUM(_xlpm.m*(_xlpm.v="Blocked")),_xlpm.nr,SUM(_xlpm.m*(_xlpm.v="Not Run")),_xlpm.cp,SUM(_xlpm.m*(_xlpm.v="Conditionally Passed")),_xlpm.p,SUM(_xlpm.m*(_xlpm.v="Passed")),IF(TRIM($A379)="","",IF(TRIM($E379)="","Pending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79" s="68" t="str">
        <f>IF(TRIM($A379)="","",IF($J379="Passed","",IF($J379="Passed with Known Issue","Known Issue",IF($J379="",IF(OR($H379&lt;&gt;"No",AND($F379&lt;&gt;"Medium",$F379&lt;&gt;"Low")),"Pending Result",""),IF(OR($H379&lt;&gt;"No",AND($F379&lt;&gt;"Medium",$F379&lt;&gt;"Low")),IF(COUNTIFS(Dashboard!$B$105:$B$124,$A379,Dashboard!$I$105:$I$124,"CAB")&gt;0,"Accepted (CF)","Blocking"),IF($J379="Failed","Deferrable","Carry Over"))))))</f>
        <v/>
      </c>
      <c r="M379" s="68" t="str">
        <f>IF(OR(TRIM($A379)="",TRIM($E379)=""),"",IFERROR(INDEX('E2E core flow'!$B$15:$B$1000,MATCH(1,INDEX(('E2E core flow'!$A$15:$A$1000&lt;&gt;"")*ISNUMBER(SEARCH('E2E core flow'!$A$15:$A$1000,$E379)),0),0))&amp;"","-"))</f>
        <v/>
      </c>
      <c r="N379" s="68" t="str">
        <f>IF(TRIM($A379)="","",IF($O379=0,IF(COUNTIFS('Card Test Cases'!$B$4:$B$1000,$A379,'Card Test Cases'!$A$4:$A$1000,"&lt;&gt;")&gt;0,"Out of Scope","No TC"),IF($Q379&gt;0,"Failed",IF(COUNTIFS('Card Test Cases'!$B$4:$B$1000,$A379,'Card Test Cases'!$A$4:$A$1000,"&lt;&gt;",'Card Test Cases'!$F$4:$F$1000,"Blocked")&gt;0,"Blocked",IF($R379&gt;0,"In Progress","Passed")))))</f>
        <v/>
      </c>
      <c r="O379" s="68" t="str">
        <f>IF(TRIM($A379)="","",COUNTIFS('Card Test Cases'!$B$4:$B$1000,$A379,'Card Test Cases'!$A$4:$A$1000,"&lt;&gt;",'Card Test Cases'!$F$4:$F$1000,"&lt;&gt;Out of Scope"))</f>
        <v/>
      </c>
      <c r="P379" s="68" t="str">
        <f>IF(TRIM($A379)="","",COUNTIFS('Card Test Cases'!$B$4:$B$1000,$A379,'Card Test Cases'!$A$4:$A$1000,"&lt;&gt;",'Card Test Cases'!$F$4:$F$1000,"Passed"))</f>
        <v/>
      </c>
      <c r="Q379" s="68" t="str">
        <f>IF(TRIM($A379)="","",COUNTIFS('Card Test Cases'!$B$4:$B$1000,$A379,'Card Test Cases'!$A$4:$A$1000,"&lt;&gt;",'Card Test Cases'!$F$4:$F$1000,"Failed"))</f>
        <v/>
      </c>
      <c r="R379" s="68" t="str">
        <f t="shared" si="5"/>
        <v/>
      </c>
      <c r="S379" s="68" t="str" cm="1">
        <f t="array" ref="S379">IF(TRIM($A379)="","",IFERROR(_xlfn.TEXTJOIN(", ",TRUE,_xlfn.UNIQUE(_xlfn.VSTACK(_xlfn._xlws.FILTER('Card Test Cases'!$G$4:$G$1000,('Card Test Cases'!$B$4:$B$1000=$A379)*('Card Test Cases'!$G$4:$G$1000&lt;&gt;""),""),_xlfn._xlws.FILTER('E2E core flow'!$U$15:$U$1000,('E2E core flow'!$A$15:$A$1000&lt;&gt;"")*ISNUMBER(SEARCH('E2E core flow'!$A$15:$A$1000,$E379))*('E2E core flow'!$U$15:$U$1000&lt;&gt;""),"")))),"-"))</f>
        <v/>
      </c>
    </row>
    <row r="380" spans="7:19" x14ac:dyDescent="0.3">
      <c r="G380" s="68" t="str" cm="1">
        <f t="array" ref="G380">_xlfn.LET(_xlpm.ids,'E2E core flow'!$A$15:$A$1000,_xlpm.v,'E2E core flow'!$W$15:$W$1000,_xlpm.m,(_xlpm.ids&lt;&gt;"")*ISNUMBER(SEARCH(_xlpm.ids,$E380)),_xlpm.f,SUM(_xlpm.m*(_xlpm.v="Failed")),_xlpm.b,SUM(_xlpm.m*(_xlpm.v="Blocked")),_xlpm.nr,SUM(_xlpm.m*(_xlpm.v="Not Run")),_xlpm.cp,SUM(_xlpm.m*(_xlpm.v="Conditionally Passed")),_xlpm.p,SUM(_xlpm.m*(_xlpm.v="Passed")),IF(TRIM($A380)="","",IF(TRIM($E380)="","Pending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80" s="68" t="str">
        <f>IF(TRIM($A380)="","",IF($J380="Passed","",IF($J380="Passed with Known Issue","Known Issue",IF($J380="",IF(OR($H380&lt;&gt;"No",AND($F380&lt;&gt;"Medium",$F380&lt;&gt;"Low")),"Pending Result",""),IF(OR($H380&lt;&gt;"No",AND($F380&lt;&gt;"Medium",$F380&lt;&gt;"Low")),IF(COUNTIFS(Dashboard!$B$105:$B$124,$A380,Dashboard!$I$105:$I$124,"CAB")&gt;0,"Accepted (CF)","Blocking"),IF($J380="Failed","Deferrable","Carry Over"))))))</f>
        <v/>
      </c>
      <c r="M380" s="68" t="str">
        <f>IF(OR(TRIM($A380)="",TRIM($E380)=""),"",IFERROR(INDEX('E2E core flow'!$B$15:$B$1000,MATCH(1,INDEX(('E2E core flow'!$A$15:$A$1000&lt;&gt;"")*ISNUMBER(SEARCH('E2E core flow'!$A$15:$A$1000,$E380)),0),0))&amp;"","-"))</f>
        <v/>
      </c>
      <c r="N380" s="68" t="str">
        <f>IF(TRIM($A380)="","",IF($O380=0,IF(COUNTIFS('Card Test Cases'!$B$4:$B$1000,$A380,'Card Test Cases'!$A$4:$A$1000,"&lt;&gt;")&gt;0,"Out of Scope","No TC"),IF($Q380&gt;0,"Failed",IF(COUNTIFS('Card Test Cases'!$B$4:$B$1000,$A380,'Card Test Cases'!$A$4:$A$1000,"&lt;&gt;",'Card Test Cases'!$F$4:$F$1000,"Blocked")&gt;0,"Blocked",IF($R380&gt;0,"In Progress","Passed")))))</f>
        <v/>
      </c>
      <c r="O380" s="68" t="str">
        <f>IF(TRIM($A380)="","",COUNTIFS('Card Test Cases'!$B$4:$B$1000,$A380,'Card Test Cases'!$A$4:$A$1000,"&lt;&gt;",'Card Test Cases'!$F$4:$F$1000,"&lt;&gt;Out of Scope"))</f>
        <v/>
      </c>
      <c r="P380" s="68" t="str">
        <f>IF(TRIM($A380)="","",COUNTIFS('Card Test Cases'!$B$4:$B$1000,$A380,'Card Test Cases'!$A$4:$A$1000,"&lt;&gt;",'Card Test Cases'!$F$4:$F$1000,"Passed"))</f>
        <v/>
      </c>
      <c r="Q380" s="68" t="str">
        <f>IF(TRIM($A380)="","",COUNTIFS('Card Test Cases'!$B$4:$B$1000,$A380,'Card Test Cases'!$A$4:$A$1000,"&lt;&gt;",'Card Test Cases'!$F$4:$F$1000,"Failed"))</f>
        <v/>
      </c>
      <c r="R380" s="68" t="str">
        <f t="shared" si="5"/>
        <v/>
      </c>
      <c r="S380" s="68" t="str" cm="1">
        <f t="array" ref="S380">IF(TRIM($A380)="","",IFERROR(_xlfn.TEXTJOIN(", ",TRUE,_xlfn.UNIQUE(_xlfn.VSTACK(_xlfn._xlws.FILTER('Card Test Cases'!$G$4:$G$1000,('Card Test Cases'!$B$4:$B$1000=$A380)*('Card Test Cases'!$G$4:$G$1000&lt;&gt;""),""),_xlfn._xlws.FILTER('E2E core flow'!$U$15:$U$1000,('E2E core flow'!$A$15:$A$1000&lt;&gt;"")*ISNUMBER(SEARCH('E2E core flow'!$A$15:$A$1000,$E380))*('E2E core flow'!$U$15:$U$1000&lt;&gt;""),"")))),"-"))</f>
        <v/>
      </c>
    </row>
    <row r="381" spans="7:19" x14ac:dyDescent="0.3">
      <c r="G381" s="68" t="str" cm="1">
        <f t="array" ref="G381">_xlfn.LET(_xlpm.ids,'E2E core flow'!$A$15:$A$1000,_xlpm.v,'E2E core flow'!$W$15:$W$1000,_xlpm.m,(_xlpm.ids&lt;&gt;"")*ISNUMBER(SEARCH(_xlpm.ids,$E381)),_xlpm.f,SUM(_xlpm.m*(_xlpm.v="Failed")),_xlpm.b,SUM(_xlpm.m*(_xlpm.v="Blocked")),_xlpm.nr,SUM(_xlpm.m*(_xlpm.v="Not Run")),_xlpm.cp,SUM(_xlpm.m*(_xlpm.v="Conditionally Passed")),_xlpm.p,SUM(_xlpm.m*(_xlpm.v="Passed")),IF(TRIM($A381)="","",IF(TRIM($E381)="","Pending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81" s="68" t="str">
        <f>IF(TRIM($A381)="","",IF($J381="Passed","",IF($J381="Passed with Known Issue","Known Issue",IF($J381="",IF(OR($H381&lt;&gt;"No",AND($F381&lt;&gt;"Medium",$F381&lt;&gt;"Low")),"Pending Result",""),IF(OR($H381&lt;&gt;"No",AND($F381&lt;&gt;"Medium",$F381&lt;&gt;"Low")),IF(COUNTIFS(Dashboard!$B$105:$B$124,$A381,Dashboard!$I$105:$I$124,"CAB")&gt;0,"Accepted (CF)","Blocking"),IF($J381="Failed","Deferrable","Carry Over"))))))</f>
        <v/>
      </c>
      <c r="M381" s="68" t="str">
        <f>IF(OR(TRIM($A381)="",TRIM($E381)=""),"",IFERROR(INDEX('E2E core flow'!$B$15:$B$1000,MATCH(1,INDEX(('E2E core flow'!$A$15:$A$1000&lt;&gt;"")*ISNUMBER(SEARCH('E2E core flow'!$A$15:$A$1000,$E381)),0),0))&amp;"","-"))</f>
        <v/>
      </c>
      <c r="N381" s="68" t="str">
        <f>IF(TRIM($A381)="","",IF($O381=0,IF(COUNTIFS('Card Test Cases'!$B$4:$B$1000,$A381,'Card Test Cases'!$A$4:$A$1000,"&lt;&gt;")&gt;0,"Out of Scope","No TC"),IF($Q381&gt;0,"Failed",IF(COUNTIFS('Card Test Cases'!$B$4:$B$1000,$A381,'Card Test Cases'!$A$4:$A$1000,"&lt;&gt;",'Card Test Cases'!$F$4:$F$1000,"Blocked")&gt;0,"Blocked",IF($R381&gt;0,"In Progress","Passed")))))</f>
        <v/>
      </c>
      <c r="O381" s="68" t="str">
        <f>IF(TRIM($A381)="","",COUNTIFS('Card Test Cases'!$B$4:$B$1000,$A381,'Card Test Cases'!$A$4:$A$1000,"&lt;&gt;",'Card Test Cases'!$F$4:$F$1000,"&lt;&gt;Out of Scope"))</f>
        <v/>
      </c>
      <c r="P381" s="68" t="str">
        <f>IF(TRIM($A381)="","",COUNTIFS('Card Test Cases'!$B$4:$B$1000,$A381,'Card Test Cases'!$A$4:$A$1000,"&lt;&gt;",'Card Test Cases'!$F$4:$F$1000,"Passed"))</f>
        <v/>
      </c>
      <c r="Q381" s="68" t="str">
        <f>IF(TRIM($A381)="","",COUNTIFS('Card Test Cases'!$B$4:$B$1000,$A381,'Card Test Cases'!$A$4:$A$1000,"&lt;&gt;",'Card Test Cases'!$F$4:$F$1000,"Failed"))</f>
        <v/>
      </c>
      <c r="R381" s="68" t="str">
        <f t="shared" si="5"/>
        <v/>
      </c>
      <c r="S381" s="68" t="str" cm="1">
        <f t="array" ref="S381">IF(TRIM($A381)="","",IFERROR(_xlfn.TEXTJOIN(", ",TRUE,_xlfn.UNIQUE(_xlfn.VSTACK(_xlfn._xlws.FILTER('Card Test Cases'!$G$4:$G$1000,('Card Test Cases'!$B$4:$B$1000=$A381)*('Card Test Cases'!$G$4:$G$1000&lt;&gt;""),""),_xlfn._xlws.FILTER('E2E core flow'!$U$15:$U$1000,('E2E core flow'!$A$15:$A$1000&lt;&gt;"")*ISNUMBER(SEARCH('E2E core flow'!$A$15:$A$1000,$E381))*('E2E core flow'!$U$15:$U$1000&lt;&gt;""),"")))),"-"))</f>
        <v/>
      </c>
    </row>
    <row r="382" spans="7:19" x14ac:dyDescent="0.3">
      <c r="G382" s="68" t="str" cm="1">
        <f t="array" ref="G382">_xlfn.LET(_xlpm.ids,'E2E core flow'!$A$15:$A$1000,_xlpm.v,'E2E core flow'!$W$15:$W$1000,_xlpm.m,(_xlpm.ids&lt;&gt;"")*ISNUMBER(SEARCH(_xlpm.ids,$E382)),_xlpm.f,SUM(_xlpm.m*(_xlpm.v="Failed")),_xlpm.b,SUM(_xlpm.m*(_xlpm.v="Blocked")),_xlpm.nr,SUM(_xlpm.m*(_xlpm.v="Not Run")),_xlpm.cp,SUM(_xlpm.m*(_xlpm.v="Conditionally Passed")),_xlpm.p,SUM(_xlpm.m*(_xlpm.v="Passed")),IF(TRIM($A382)="","",IF(TRIM($E382)="","Pending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82" s="68" t="str">
        <f>IF(TRIM($A382)="","",IF($J382="Passed","",IF($J382="Passed with Known Issue","Known Issue",IF($J382="",IF(OR($H382&lt;&gt;"No",AND($F382&lt;&gt;"Medium",$F382&lt;&gt;"Low")),"Pending Result",""),IF(OR($H382&lt;&gt;"No",AND($F382&lt;&gt;"Medium",$F382&lt;&gt;"Low")),IF(COUNTIFS(Dashboard!$B$105:$B$124,$A382,Dashboard!$I$105:$I$124,"CAB")&gt;0,"Accepted (CF)","Blocking"),IF($J382="Failed","Deferrable","Carry Over"))))))</f>
        <v/>
      </c>
      <c r="M382" s="68" t="str">
        <f>IF(OR(TRIM($A382)="",TRIM($E382)=""),"",IFERROR(INDEX('E2E core flow'!$B$15:$B$1000,MATCH(1,INDEX(('E2E core flow'!$A$15:$A$1000&lt;&gt;"")*ISNUMBER(SEARCH('E2E core flow'!$A$15:$A$1000,$E382)),0),0))&amp;"","-"))</f>
        <v/>
      </c>
      <c r="N382" s="68" t="str">
        <f>IF(TRIM($A382)="","",IF($O382=0,IF(COUNTIFS('Card Test Cases'!$B$4:$B$1000,$A382,'Card Test Cases'!$A$4:$A$1000,"&lt;&gt;")&gt;0,"Out of Scope","No TC"),IF($Q382&gt;0,"Failed",IF(COUNTIFS('Card Test Cases'!$B$4:$B$1000,$A382,'Card Test Cases'!$A$4:$A$1000,"&lt;&gt;",'Card Test Cases'!$F$4:$F$1000,"Blocked")&gt;0,"Blocked",IF($R382&gt;0,"In Progress","Passed")))))</f>
        <v/>
      </c>
      <c r="O382" s="68" t="str">
        <f>IF(TRIM($A382)="","",COUNTIFS('Card Test Cases'!$B$4:$B$1000,$A382,'Card Test Cases'!$A$4:$A$1000,"&lt;&gt;",'Card Test Cases'!$F$4:$F$1000,"&lt;&gt;Out of Scope"))</f>
        <v/>
      </c>
      <c r="P382" s="68" t="str">
        <f>IF(TRIM($A382)="","",COUNTIFS('Card Test Cases'!$B$4:$B$1000,$A382,'Card Test Cases'!$A$4:$A$1000,"&lt;&gt;",'Card Test Cases'!$F$4:$F$1000,"Passed"))</f>
        <v/>
      </c>
      <c r="Q382" s="68" t="str">
        <f>IF(TRIM($A382)="","",COUNTIFS('Card Test Cases'!$B$4:$B$1000,$A382,'Card Test Cases'!$A$4:$A$1000,"&lt;&gt;",'Card Test Cases'!$F$4:$F$1000,"Failed"))</f>
        <v/>
      </c>
      <c r="R382" s="68" t="str">
        <f t="shared" si="5"/>
        <v/>
      </c>
      <c r="S382" s="68" t="str" cm="1">
        <f t="array" ref="S382">IF(TRIM($A382)="","",IFERROR(_xlfn.TEXTJOIN(", ",TRUE,_xlfn.UNIQUE(_xlfn.VSTACK(_xlfn._xlws.FILTER('Card Test Cases'!$G$4:$G$1000,('Card Test Cases'!$B$4:$B$1000=$A382)*('Card Test Cases'!$G$4:$G$1000&lt;&gt;""),""),_xlfn._xlws.FILTER('E2E core flow'!$U$15:$U$1000,('E2E core flow'!$A$15:$A$1000&lt;&gt;"")*ISNUMBER(SEARCH('E2E core flow'!$A$15:$A$1000,$E382))*('E2E core flow'!$U$15:$U$1000&lt;&gt;""),"")))),"-"))</f>
        <v/>
      </c>
    </row>
    <row r="383" spans="7:19" x14ac:dyDescent="0.3">
      <c r="G383" s="68" t="str" cm="1">
        <f t="array" ref="G383">_xlfn.LET(_xlpm.ids,'E2E core flow'!$A$15:$A$1000,_xlpm.v,'E2E core flow'!$W$15:$W$1000,_xlpm.m,(_xlpm.ids&lt;&gt;"")*ISNUMBER(SEARCH(_xlpm.ids,$E383)),_xlpm.f,SUM(_xlpm.m*(_xlpm.v="Failed")),_xlpm.b,SUM(_xlpm.m*(_xlpm.v="Blocked")),_xlpm.nr,SUM(_xlpm.m*(_xlpm.v="Not Run")),_xlpm.cp,SUM(_xlpm.m*(_xlpm.v="Conditionally Passed")),_xlpm.p,SUM(_xlpm.m*(_xlpm.v="Passed")),IF(TRIM($A383)="","",IF(TRIM($E383)="","Pending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83" s="68" t="str">
        <f>IF(TRIM($A383)="","",IF($J383="Passed","",IF($J383="Passed with Known Issue","Known Issue",IF($J383="",IF(OR($H383&lt;&gt;"No",AND($F383&lt;&gt;"Medium",$F383&lt;&gt;"Low")),"Pending Result",""),IF(OR($H383&lt;&gt;"No",AND($F383&lt;&gt;"Medium",$F383&lt;&gt;"Low")),IF(COUNTIFS(Dashboard!$B$105:$B$124,$A383,Dashboard!$I$105:$I$124,"CAB")&gt;0,"Accepted (CF)","Blocking"),IF($J383="Failed","Deferrable","Carry Over"))))))</f>
        <v/>
      </c>
      <c r="M383" s="68" t="str">
        <f>IF(OR(TRIM($A383)="",TRIM($E383)=""),"",IFERROR(INDEX('E2E core flow'!$B$15:$B$1000,MATCH(1,INDEX(('E2E core flow'!$A$15:$A$1000&lt;&gt;"")*ISNUMBER(SEARCH('E2E core flow'!$A$15:$A$1000,$E383)),0),0))&amp;"","-"))</f>
        <v/>
      </c>
      <c r="N383" s="68" t="str">
        <f>IF(TRIM($A383)="","",IF($O383=0,IF(COUNTIFS('Card Test Cases'!$B$4:$B$1000,$A383,'Card Test Cases'!$A$4:$A$1000,"&lt;&gt;")&gt;0,"Out of Scope","No TC"),IF($Q383&gt;0,"Failed",IF(COUNTIFS('Card Test Cases'!$B$4:$B$1000,$A383,'Card Test Cases'!$A$4:$A$1000,"&lt;&gt;",'Card Test Cases'!$F$4:$F$1000,"Blocked")&gt;0,"Blocked",IF($R383&gt;0,"In Progress","Passed")))))</f>
        <v/>
      </c>
      <c r="O383" s="68" t="str">
        <f>IF(TRIM($A383)="","",COUNTIFS('Card Test Cases'!$B$4:$B$1000,$A383,'Card Test Cases'!$A$4:$A$1000,"&lt;&gt;",'Card Test Cases'!$F$4:$F$1000,"&lt;&gt;Out of Scope"))</f>
        <v/>
      </c>
      <c r="P383" s="68" t="str">
        <f>IF(TRIM($A383)="","",COUNTIFS('Card Test Cases'!$B$4:$B$1000,$A383,'Card Test Cases'!$A$4:$A$1000,"&lt;&gt;",'Card Test Cases'!$F$4:$F$1000,"Passed"))</f>
        <v/>
      </c>
      <c r="Q383" s="68" t="str">
        <f>IF(TRIM($A383)="","",COUNTIFS('Card Test Cases'!$B$4:$B$1000,$A383,'Card Test Cases'!$A$4:$A$1000,"&lt;&gt;",'Card Test Cases'!$F$4:$F$1000,"Failed"))</f>
        <v/>
      </c>
      <c r="R383" s="68" t="str">
        <f t="shared" si="5"/>
        <v/>
      </c>
      <c r="S383" s="68" t="str" cm="1">
        <f t="array" ref="S383">IF(TRIM($A383)="","",IFERROR(_xlfn.TEXTJOIN(", ",TRUE,_xlfn.UNIQUE(_xlfn.VSTACK(_xlfn._xlws.FILTER('Card Test Cases'!$G$4:$G$1000,('Card Test Cases'!$B$4:$B$1000=$A383)*('Card Test Cases'!$G$4:$G$1000&lt;&gt;""),""),_xlfn._xlws.FILTER('E2E core flow'!$U$15:$U$1000,('E2E core flow'!$A$15:$A$1000&lt;&gt;"")*ISNUMBER(SEARCH('E2E core flow'!$A$15:$A$1000,$E383))*('E2E core flow'!$U$15:$U$1000&lt;&gt;""),"")))),"-"))</f>
        <v/>
      </c>
    </row>
    <row r="384" spans="7:19" x14ac:dyDescent="0.3">
      <c r="G384" s="68" t="str" cm="1">
        <f t="array" ref="G384">_xlfn.LET(_xlpm.ids,'E2E core flow'!$A$15:$A$1000,_xlpm.v,'E2E core flow'!$W$15:$W$1000,_xlpm.m,(_xlpm.ids&lt;&gt;"")*ISNUMBER(SEARCH(_xlpm.ids,$E384)),_xlpm.f,SUM(_xlpm.m*(_xlpm.v="Failed")),_xlpm.b,SUM(_xlpm.m*(_xlpm.v="Blocked")),_xlpm.nr,SUM(_xlpm.m*(_xlpm.v="Not Run")),_xlpm.cp,SUM(_xlpm.m*(_xlpm.v="Conditionally Passed")),_xlpm.p,SUM(_xlpm.m*(_xlpm.v="Passed")),IF(TRIM($A384)="","",IF(TRIM($E384)="","Pending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84" s="68" t="str">
        <f>IF(TRIM($A384)="","",IF($J384="Passed","",IF($J384="Passed with Known Issue","Known Issue",IF($J384="",IF(OR($H384&lt;&gt;"No",AND($F384&lt;&gt;"Medium",$F384&lt;&gt;"Low")),"Pending Result",""),IF(OR($H384&lt;&gt;"No",AND($F384&lt;&gt;"Medium",$F384&lt;&gt;"Low")),IF(COUNTIFS(Dashboard!$B$105:$B$124,$A384,Dashboard!$I$105:$I$124,"CAB")&gt;0,"Accepted (CF)","Blocking"),IF($J384="Failed","Deferrable","Carry Over"))))))</f>
        <v/>
      </c>
      <c r="M384" s="68" t="str">
        <f>IF(OR(TRIM($A384)="",TRIM($E384)=""),"",IFERROR(INDEX('E2E core flow'!$B$15:$B$1000,MATCH(1,INDEX(('E2E core flow'!$A$15:$A$1000&lt;&gt;"")*ISNUMBER(SEARCH('E2E core flow'!$A$15:$A$1000,$E384)),0),0))&amp;"","-"))</f>
        <v/>
      </c>
      <c r="N384" s="68" t="str">
        <f>IF(TRIM($A384)="","",IF($O384=0,IF(COUNTIFS('Card Test Cases'!$B$4:$B$1000,$A384,'Card Test Cases'!$A$4:$A$1000,"&lt;&gt;")&gt;0,"Out of Scope","No TC"),IF($Q384&gt;0,"Failed",IF(COUNTIFS('Card Test Cases'!$B$4:$B$1000,$A384,'Card Test Cases'!$A$4:$A$1000,"&lt;&gt;",'Card Test Cases'!$F$4:$F$1000,"Blocked")&gt;0,"Blocked",IF($R384&gt;0,"In Progress","Passed")))))</f>
        <v/>
      </c>
      <c r="O384" s="68" t="str">
        <f>IF(TRIM($A384)="","",COUNTIFS('Card Test Cases'!$B$4:$B$1000,$A384,'Card Test Cases'!$A$4:$A$1000,"&lt;&gt;",'Card Test Cases'!$F$4:$F$1000,"&lt;&gt;Out of Scope"))</f>
        <v/>
      </c>
      <c r="P384" s="68" t="str">
        <f>IF(TRIM($A384)="","",COUNTIFS('Card Test Cases'!$B$4:$B$1000,$A384,'Card Test Cases'!$A$4:$A$1000,"&lt;&gt;",'Card Test Cases'!$F$4:$F$1000,"Passed"))</f>
        <v/>
      </c>
      <c r="Q384" s="68" t="str">
        <f>IF(TRIM($A384)="","",COUNTIFS('Card Test Cases'!$B$4:$B$1000,$A384,'Card Test Cases'!$A$4:$A$1000,"&lt;&gt;",'Card Test Cases'!$F$4:$F$1000,"Failed"))</f>
        <v/>
      </c>
      <c r="R384" s="68" t="str">
        <f t="shared" si="5"/>
        <v/>
      </c>
      <c r="S384" s="68" t="str" cm="1">
        <f t="array" ref="S384">IF(TRIM($A384)="","",IFERROR(_xlfn.TEXTJOIN(", ",TRUE,_xlfn.UNIQUE(_xlfn.VSTACK(_xlfn._xlws.FILTER('Card Test Cases'!$G$4:$G$1000,('Card Test Cases'!$B$4:$B$1000=$A384)*('Card Test Cases'!$G$4:$G$1000&lt;&gt;""),""),_xlfn._xlws.FILTER('E2E core flow'!$U$15:$U$1000,('E2E core flow'!$A$15:$A$1000&lt;&gt;"")*ISNUMBER(SEARCH('E2E core flow'!$A$15:$A$1000,$E384))*('E2E core flow'!$U$15:$U$1000&lt;&gt;""),"")))),"-"))</f>
        <v/>
      </c>
    </row>
    <row r="385" spans="7:19" x14ac:dyDescent="0.3">
      <c r="G385" s="68" t="str" cm="1">
        <f t="array" ref="G385">_xlfn.LET(_xlpm.ids,'E2E core flow'!$A$15:$A$1000,_xlpm.v,'E2E core flow'!$W$15:$W$1000,_xlpm.m,(_xlpm.ids&lt;&gt;"")*ISNUMBER(SEARCH(_xlpm.ids,$E385)),_xlpm.f,SUM(_xlpm.m*(_xlpm.v="Failed")),_xlpm.b,SUM(_xlpm.m*(_xlpm.v="Blocked")),_xlpm.nr,SUM(_xlpm.m*(_xlpm.v="Not Run")),_xlpm.cp,SUM(_xlpm.m*(_xlpm.v="Conditionally Passed")),_xlpm.p,SUM(_xlpm.m*(_xlpm.v="Passed")),IF(TRIM($A385)="","",IF(TRIM($E385)="","Pending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85" s="68" t="str">
        <f>IF(TRIM($A385)="","",IF($J385="Passed","",IF($J385="Passed with Known Issue","Known Issue",IF($J385="",IF(OR($H385&lt;&gt;"No",AND($F385&lt;&gt;"Medium",$F385&lt;&gt;"Low")),"Pending Result",""),IF(OR($H385&lt;&gt;"No",AND($F385&lt;&gt;"Medium",$F385&lt;&gt;"Low")),IF(COUNTIFS(Dashboard!$B$105:$B$124,$A385,Dashboard!$I$105:$I$124,"CAB")&gt;0,"Accepted (CF)","Blocking"),IF($J385="Failed","Deferrable","Carry Over"))))))</f>
        <v/>
      </c>
      <c r="M385" s="68" t="str">
        <f>IF(OR(TRIM($A385)="",TRIM($E385)=""),"",IFERROR(INDEX('E2E core flow'!$B$15:$B$1000,MATCH(1,INDEX(('E2E core flow'!$A$15:$A$1000&lt;&gt;"")*ISNUMBER(SEARCH('E2E core flow'!$A$15:$A$1000,$E385)),0),0))&amp;"","-"))</f>
        <v/>
      </c>
      <c r="N385" s="68" t="str">
        <f>IF(TRIM($A385)="","",IF($O385=0,IF(COUNTIFS('Card Test Cases'!$B$4:$B$1000,$A385,'Card Test Cases'!$A$4:$A$1000,"&lt;&gt;")&gt;0,"Out of Scope","No TC"),IF($Q385&gt;0,"Failed",IF(COUNTIFS('Card Test Cases'!$B$4:$B$1000,$A385,'Card Test Cases'!$A$4:$A$1000,"&lt;&gt;",'Card Test Cases'!$F$4:$F$1000,"Blocked")&gt;0,"Blocked",IF($R385&gt;0,"In Progress","Passed")))))</f>
        <v/>
      </c>
      <c r="O385" s="68" t="str">
        <f>IF(TRIM($A385)="","",COUNTIFS('Card Test Cases'!$B$4:$B$1000,$A385,'Card Test Cases'!$A$4:$A$1000,"&lt;&gt;",'Card Test Cases'!$F$4:$F$1000,"&lt;&gt;Out of Scope"))</f>
        <v/>
      </c>
      <c r="P385" s="68" t="str">
        <f>IF(TRIM($A385)="","",COUNTIFS('Card Test Cases'!$B$4:$B$1000,$A385,'Card Test Cases'!$A$4:$A$1000,"&lt;&gt;",'Card Test Cases'!$F$4:$F$1000,"Passed"))</f>
        <v/>
      </c>
      <c r="Q385" s="68" t="str">
        <f>IF(TRIM($A385)="","",COUNTIFS('Card Test Cases'!$B$4:$B$1000,$A385,'Card Test Cases'!$A$4:$A$1000,"&lt;&gt;",'Card Test Cases'!$F$4:$F$1000,"Failed"))</f>
        <v/>
      </c>
      <c r="R385" s="68" t="str">
        <f t="shared" si="5"/>
        <v/>
      </c>
      <c r="S385" s="68" t="str" cm="1">
        <f t="array" ref="S385">IF(TRIM($A385)="","",IFERROR(_xlfn.TEXTJOIN(", ",TRUE,_xlfn.UNIQUE(_xlfn.VSTACK(_xlfn._xlws.FILTER('Card Test Cases'!$G$4:$G$1000,('Card Test Cases'!$B$4:$B$1000=$A385)*('Card Test Cases'!$G$4:$G$1000&lt;&gt;""),""),_xlfn._xlws.FILTER('E2E core flow'!$U$15:$U$1000,('E2E core flow'!$A$15:$A$1000&lt;&gt;"")*ISNUMBER(SEARCH('E2E core flow'!$A$15:$A$1000,$E385))*('E2E core flow'!$U$15:$U$1000&lt;&gt;""),"")))),"-"))</f>
        <v/>
      </c>
    </row>
    <row r="386" spans="7:19" x14ac:dyDescent="0.3">
      <c r="G386" s="68" t="str" cm="1">
        <f t="array" ref="G386">_xlfn.LET(_xlpm.ids,'E2E core flow'!$A$15:$A$1000,_xlpm.v,'E2E core flow'!$W$15:$W$1000,_xlpm.m,(_xlpm.ids&lt;&gt;"")*ISNUMBER(SEARCH(_xlpm.ids,$E386)),_xlpm.f,SUM(_xlpm.m*(_xlpm.v="Failed")),_xlpm.b,SUM(_xlpm.m*(_xlpm.v="Blocked")),_xlpm.nr,SUM(_xlpm.m*(_xlpm.v="Not Run")),_xlpm.cp,SUM(_xlpm.m*(_xlpm.v="Conditionally Passed")),_xlpm.p,SUM(_xlpm.m*(_xlpm.v="Passed")),IF(TRIM($A386)="","",IF(TRIM($E386)="","Pending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86" s="68" t="str">
        <f>IF(TRIM($A386)="","",IF($J386="Passed","",IF($J386="Passed with Known Issue","Known Issue",IF($J386="",IF(OR($H386&lt;&gt;"No",AND($F386&lt;&gt;"Medium",$F386&lt;&gt;"Low")),"Pending Result",""),IF(OR($H386&lt;&gt;"No",AND($F386&lt;&gt;"Medium",$F386&lt;&gt;"Low")),IF(COUNTIFS(Dashboard!$B$105:$B$124,$A386,Dashboard!$I$105:$I$124,"CAB")&gt;0,"Accepted (CF)","Blocking"),IF($J386="Failed","Deferrable","Carry Over"))))))</f>
        <v/>
      </c>
      <c r="M386" s="68" t="str">
        <f>IF(OR(TRIM($A386)="",TRIM($E386)=""),"",IFERROR(INDEX('E2E core flow'!$B$15:$B$1000,MATCH(1,INDEX(('E2E core flow'!$A$15:$A$1000&lt;&gt;"")*ISNUMBER(SEARCH('E2E core flow'!$A$15:$A$1000,$E386)),0),0))&amp;"","-"))</f>
        <v/>
      </c>
      <c r="N386" s="68" t="str">
        <f>IF(TRIM($A386)="","",IF($O386=0,IF(COUNTIFS('Card Test Cases'!$B$4:$B$1000,$A386,'Card Test Cases'!$A$4:$A$1000,"&lt;&gt;")&gt;0,"Out of Scope","No TC"),IF($Q386&gt;0,"Failed",IF(COUNTIFS('Card Test Cases'!$B$4:$B$1000,$A386,'Card Test Cases'!$A$4:$A$1000,"&lt;&gt;",'Card Test Cases'!$F$4:$F$1000,"Blocked")&gt;0,"Blocked",IF($R386&gt;0,"In Progress","Passed")))))</f>
        <v/>
      </c>
      <c r="O386" s="68" t="str">
        <f>IF(TRIM($A386)="","",COUNTIFS('Card Test Cases'!$B$4:$B$1000,$A386,'Card Test Cases'!$A$4:$A$1000,"&lt;&gt;",'Card Test Cases'!$F$4:$F$1000,"&lt;&gt;Out of Scope"))</f>
        <v/>
      </c>
      <c r="P386" s="68" t="str">
        <f>IF(TRIM($A386)="","",COUNTIFS('Card Test Cases'!$B$4:$B$1000,$A386,'Card Test Cases'!$A$4:$A$1000,"&lt;&gt;",'Card Test Cases'!$F$4:$F$1000,"Passed"))</f>
        <v/>
      </c>
      <c r="Q386" s="68" t="str">
        <f>IF(TRIM($A386)="","",COUNTIFS('Card Test Cases'!$B$4:$B$1000,$A386,'Card Test Cases'!$A$4:$A$1000,"&lt;&gt;",'Card Test Cases'!$F$4:$F$1000,"Failed"))</f>
        <v/>
      </c>
      <c r="R386" s="68" t="str">
        <f t="shared" si="5"/>
        <v/>
      </c>
      <c r="S386" s="68" t="str" cm="1">
        <f t="array" ref="S386">IF(TRIM($A386)="","",IFERROR(_xlfn.TEXTJOIN(", ",TRUE,_xlfn.UNIQUE(_xlfn.VSTACK(_xlfn._xlws.FILTER('Card Test Cases'!$G$4:$G$1000,('Card Test Cases'!$B$4:$B$1000=$A386)*('Card Test Cases'!$G$4:$G$1000&lt;&gt;""),""),_xlfn._xlws.FILTER('E2E core flow'!$U$15:$U$1000,('E2E core flow'!$A$15:$A$1000&lt;&gt;"")*ISNUMBER(SEARCH('E2E core flow'!$A$15:$A$1000,$E386))*('E2E core flow'!$U$15:$U$1000&lt;&gt;""),"")))),"-"))</f>
        <v/>
      </c>
    </row>
    <row r="387" spans="7:19" x14ac:dyDescent="0.3">
      <c r="G387" s="68" t="str" cm="1">
        <f t="array" ref="G387">_xlfn.LET(_xlpm.ids,'E2E core flow'!$A$15:$A$1000,_xlpm.v,'E2E core flow'!$W$15:$W$1000,_xlpm.m,(_xlpm.ids&lt;&gt;"")*ISNUMBER(SEARCH(_xlpm.ids,$E387)),_xlpm.f,SUM(_xlpm.m*(_xlpm.v="Failed")),_xlpm.b,SUM(_xlpm.m*(_xlpm.v="Blocked")),_xlpm.nr,SUM(_xlpm.m*(_xlpm.v="Not Run")),_xlpm.cp,SUM(_xlpm.m*(_xlpm.v="Conditionally Passed")),_xlpm.p,SUM(_xlpm.m*(_xlpm.v="Passed")),IF(TRIM($A387)="","",IF(TRIM($E387)="","Pending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87" s="68" t="str">
        <f>IF(TRIM($A387)="","",IF($J387="Passed","",IF($J387="Passed with Known Issue","Known Issue",IF($J387="",IF(OR($H387&lt;&gt;"No",AND($F387&lt;&gt;"Medium",$F387&lt;&gt;"Low")),"Pending Result",""),IF(OR($H387&lt;&gt;"No",AND($F387&lt;&gt;"Medium",$F387&lt;&gt;"Low")),IF(COUNTIFS(Dashboard!$B$105:$B$124,$A387,Dashboard!$I$105:$I$124,"CAB")&gt;0,"Accepted (CF)","Blocking"),IF($J387="Failed","Deferrable","Carry Over"))))))</f>
        <v/>
      </c>
      <c r="M387" s="68" t="str">
        <f>IF(OR(TRIM($A387)="",TRIM($E387)=""),"",IFERROR(INDEX('E2E core flow'!$B$15:$B$1000,MATCH(1,INDEX(('E2E core flow'!$A$15:$A$1000&lt;&gt;"")*ISNUMBER(SEARCH('E2E core flow'!$A$15:$A$1000,$E387)),0),0))&amp;"","-"))</f>
        <v/>
      </c>
      <c r="N387" s="68" t="str">
        <f>IF(TRIM($A387)="","",IF($O387=0,IF(COUNTIFS('Card Test Cases'!$B$4:$B$1000,$A387,'Card Test Cases'!$A$4:$A$1000,"&lt;&gt;")&gt;0,"Out of Scope","No TC"),IF($Q387&gt;0,"Failed",IF(COUNTIFS('Card Test Cases'!$B$4:$B$1000,$A387,'Card Test Cases'!$A$4:$A$1000,"&lt;&gt;",'Card Test Cases'!$F$4:$F$1000,"Blocked")&gt;0,"Blocked",IF($R387&gt;0,"In Progress","Passed")))))</f>
        <v/>
      </c>
      <c r="O387" s="68" t="str">
        <f>IF(TRIM($A387)="","",COUNTIFS('Card Test Cases'!$B$4:$B$1000,$A387,'Card Test Cases'!$A$4:$A$1000,"&lt;&gt;",'Card Test Cases'!$F$4:$F$1000,"&lt;&gt;Out of Scope"))</f>
        <v/>
      </c>
      <c r="P387" s="68" t="str">
        <f>IF(TRIM($A387)="","",COUNTIFS('Card Test Cases'!$B$4:$B$1000,$A387,'Card Test Cases'!$A$4:$A$1000,"&lt;&gt;",'Card Test Cases'!$F$4:$F$1000,"Passed"))</f>
        <v/>
      </c>
      <c r="Q387" s="68" t="str">
        <f>IF(TRIM($A387)="","",COUNTIFS('Card Test Cases'!$B$4:$B$1000,$A387,'Card Test Cases'!$A$4:$A$1000,"&lt;&gt;",'Card Test Cases'!$F$4:$F$1000,"Failed"))</f>
        <v/>
      </c>
      <c r="R387" s="68" t="str">
        <f t="shared" si="5"/>
        <v/>
      </c>
      <c r="S387" s="68" t="str" cm="1">
        <f t="array" ref="S387">IF(TRIM($A387)="","",IFERROR(_xlfn.TEXTJOIN(", ",TRUE,_xlfn.UNIQUE(_xlfn.VSTACK(_xlfn._xlws.FILTER('Card Test Cases'!$G$4:$G$1000,('Card Test Cases'!$B$4:$B$1000=$A387)*('Card Test Cases'!$G$4:$G$1000&lt;&gt;""),""),_xlfn._xlws.FILTER('E2E core flow'!$U$15:$U$1000,('E2E core flow'!$A$15:$A$1000&lt;&gt;"")*ISNUMBER(SEARCH('E2E core flow'!$A$15:$A$1000,$E387))*('E2E core flow'!$U$15:$U$1000&lt;&gt;""),"")))),"-"))</f>
        <v/>
      </c>
    </row>
    <row r="388" spans="7:19" x14ac:dyDescent="0.3">
      <c r="G388" s="68" t="str" cm="1">
        <f t="array" ref="G388">_xlfn.LET(_xlpm.ids,'E2E core flow'!$A$15:$A$1000,_xlpm.v,'E2E core flow'!$W$15:$W$1000,_xlpm.m,(_xlpm.ids&lt;&gt;"")*ISNUMBER(SEARCH(_xlpm.ids,$E388)),_xlpm.f,SUM(_xlpm.m*(_xlpm.v="Failed")),_xlpm.b,SUM(_xlpm.m*(_xlpm.v="Blocked")),_xlpm.nr,SUM(_xlpm.m*(_xlpm.v="Not Run")),_xlpm.cp,SUM(_xlpm.m*(_xlpm.v="Conditionally Passed")),_xlpm.p,SUM(_xlpm.m*(_xlpm.v="Passed")),IF(TRIM($A388)="","",IF(TRIM($E388)="","Pending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88" s="68" t="str">
        <f>IF(TRIM($A388)="","",IF($J388="Passed","",IF($J388="Passed with Known Issue","Known Issue",IF($J388="",IF(OR($H388&lt;&gt;"No",AND($F388&lt;&gt;"Medium",$F388&lt;&gt;"Low")),"Pending Result",""),IF(OR($H388&lt;&gt;"No",AND($F388&lt;&gt;"Medium",$F388&lt;&gt;"Low")),IF(COUNTIFS(Dashboard!$B$105:$B$124,$A388,Dashboard!$I$105:$I$124,"CAB")&gt;0,"Accepted (CF)","Blocking"),IF($J388="Failed","Deferrable","Carry Over"))))))</f>
        <v/>
      </c>
      <c r="M388" s="68" t="str">
        <f>IF(OR(TRIM($A388)="",TRIM($E388)=""),"",IFERROR(INDEX('E2E core flow'!$B$15:$B$1000,MATCH(1,INDEX(('E2E core flow'!$A$15:$A$1000&lt;&gt;"")*ISNUMBER(SEARCH('E2E core flow'!$A$15:$A$1000,$E388)),0),0))&amp;"","-"))</f>
        <v/>
      </c>
      <c r="N388" s="68" t="str">
        <f>IF(TRIM($A388)="","",IF($O388=0,IF(COUNTIFS('Card Test Cases'!$B$4:$B$1000,$A388,'Card Test Cases'!$A$4:$A$1000,"&lt;&gt;")&gt;0,"Out of Scope","No TC"),IF($Q388&gt;0,"Failed",IF(COUNTIFS('Card Test Cases'!$B$4:$B$1000,$A388,'Card Test Cases'!$A$4:$A$1000,"&lt;&gt;",'Card Test Cases'!$F$4:$F$1000,"Blocked")&gt;0,"Blocked",IF($R388&gt;0,"In Progress","Passed")))))</f>
        <v/>
      </c>
      <c r="O388" s="68" t="str">
        <f>IF(TRIM($A388)="","",COUNTIFS('Card Test Cases'!$B$4:$B$1000,$A388,'Card Test Cases'!$A$4:$A$1000,"&lt;&gt;",'Card Test Cases'!$F$4:$F$1000,"&lt;&gt;Out of Scope"))</f>
        <v/>
      </c>
      <c r="P388" s="68" t="str">
        <f>IF(TRIM($A388)="","",COUNTIFS('Card Test Cases'!$B$4:$B$1000,$A388,'Card Test Cases'!$A$4:$A$1000,"&lt;&gt;",'Card Test Cases'!$F$4:$F$1000,"Passed"))</f>
        <v/>
      </c>
      <c r="Q388" s="68" t="str">
        <f>IF(TRIM($A388)="","",COUNTIFS('Card Test Cases'!$B$4:$B$1000,$A388,'Card Test Cases'!$A$4:$A$1000,"&lt;&gt;",'Card Test Cases'!$F$4:$F$1000,"Failed"))</f>
        <v/>
      </c>
      <c r="R388" s="68" t="str">
        <f t="shared" ref="R388:R451" si="6">IF(TRIM($A388)="","",$O388-$P388-$Q388)</f>
        <v/>
      </c>
      <c r="S388" s="68" t="str" cm="1">
        <f t="array" ref="S388">IF(TRIM($A388)="","",IFERROR(_xlfn.TEXTJOIN(", ",TRUE,_xlfn.UNIQUE(_xlfn.VSTACK(_xlfn._xlws.FILTER('Card Test Cases'!$G$4:$G$1000,('Card Test Cases'!$B$4:$B$1000=$A388)*('Card Test Cases'!$G$4:$G$1000&lt;&gt;""),""),_xlfn._xlws.FILTER('E2E core flow'!$U$15:$U$1000,('E2E core flow'!$A$15:$A$1000&lt;&gt;"")*ISNUMBER(SEARCH('E2E core flow'!$A$15:$A$1000,$E388))*('E2E core flow'!$U$15:$U$1000&lt;&gt;""),"")))),"-"))</f>
        <v/>
      </c>
    </row>
    <row r="389" spans="7:19" x14ac:dyDescent="0.3">
      <c r="G389" s="68" t="str" cm="1">
        <f t="array" ref="G389">_xlfn.LET(_xlpm.ids,'E2E core flow'!$A$15:$A$1000,_xlpm.v,'E2E core flow'!$W$15:$W$1000,_xlpm.m,(_xlpm.ids&lt;&gt;"")*ISNUMBER(SEARCH(_xlpm.ids,$E389)),_xlpm.f,SUM(_xlpm.m*(_xlpm.v="Failed")),_xlpm.b,SUM(_xlpm.m*(_xlpm.v="Blocked")),_xlpm.nr,SUM(_xlpm.m*(_xlpm.v="Not Run")),_xlpm.cp,SUM(_xlpm.m*(_xlpm.v="Conditionally Passed")),_xlpm.p,SUM(_xlpm.m*(_xlpm.v="Passed")),IF(TRIM($A389)="","",IF(TRIM($E389)="","Pending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89" s="68" t="str">
        <f>IF(TRIM($A389)="","",IF($J389="Passed","",IF($J389="Passed with Known Issue","Known Issue",IF($J389="",IF(OR($H389&lt;&gt;"No",AND($F389&lt;&gt;"Medium",$F389&lt;&gt;"Low")),"Pending Result",""),IF(OR($H389&lt;&gt;"No",AND($F389&lt;&gt;"Medium",$F389&lt;&gt;"Low")),IF(COUNTIFS(Dashboard!$B$105:$B$124,$A389,Dashboard!$I$105:$I$124,"CAB")&gt;0,"Accepted (CF)","Blocking"),IF($J389="Failed","Deferrable","Carry Over"))))))</f>
        <v/>
      </c>
      <c r="M389" s="68" t="str">
        <f>IF(OR(TRIM($A389)="",TRIM($E389)=""),"",IFERROR(INDEX('E2E core flow'!$B$15:$B$1000,MATCH(1,INDEX(('E2E core flow'!$A$15:$A$1000&lt;&gt;"")*ISNUMBER(SEARCH('E2E core flow'!$A$15:$A$1000,$E389)),0),0))&amp;"","-"))</f>
        <v/>
      </c>
      <c r="N389" s="68" t="str">
        <f>IF(TRIM($A389)="","",IF($O389=0,IF(COUNTIFS('Card Test Cases'!$B$4:$B$1000,$A389,'Card Test Cases'!$A$4:$A$1000,"&lt;&gt;")&gt;0,"Out of Scope","No TC"),IF($Q389&gt;0,"Failed",IF(COUNTIFS('Card Test Cases'!$B$4:$B$1000,$A389,'Card Test Cases'!$A$4:$A$1000,"&lt;&gt;",'Card Test Cases'!$F$4:$F$1000,"Blocked")&gt;0,"Blocked",IF($R389&gt;0,"In Progress","Passed")))))</f>
        <v/>
      </c>
      <c r="O389" s="68" t="str">
        <f>IF(TRIM($A389)="","",COUNTIFS('Card Test Cases'!$B$4:$B$1000,$A389,'Card Test Cases'!$A$4:$A$1000,"&lt;&gt;",'Card Test Cases'!$F$4:$F$1000,"&lt;&gt;Out of Scope"))</f>
        <v/>
      </c>
      <c r="P389" s="68" t="str">
        <f>IF(TRIM($A389)="","",COUNTIFS('Card Test Cases'!$B$4:$B$1000,$A389,'Card Test Cases'!$A$4:$A$1000,"&lt;&gt;",'Card Test Cases'!$F$4:$F$1000,"Passed"))</f>
        <v/>
      </c>
      <c r="Q389" s="68" t="str">
        <f>IF(TRIM($A389)="","",COUNTIFS('Card Test Cases'!$B$4:$B$1000,$A389,'Card Test Cases'!$A$4:$A$1000,"&lt;&gt;",'Card Test Cases'!$F$4:$F$1000,"Failed"))</f>
        <v/>
      </c>
      <c r="R389" s="68" t="str">
        <f t="shared" si="6"/>
        <v/>
      </c>
      <c r="S389" s="68" t="str" cm="1">
        <f t="array" ref="S389">IF(TRIM($A389)="","",IFERROR(_xlfn.TEXTJOIN(", ",TRUE,_xlfn.UNIQUE(_xlfn.VSTACK(_xlfn._xlws.FILTER('Card Test Cases'!$G$4:$G$1000,('Card Test Cases'!$B$4:$B$1000=$A389)*('Card Test Cases'!$G$4:$G$1000&lt;&gt;""),""),_xlfn._xlws.FILTER('E2E core flow'!$U$15:$U$1000,('E2E core flow'!$A$15:$A$1000&lt;&gt;"")*ISNUMBER(SEARCH('E2E core flow'!$A$15:$A$1000,$E389))*('E2E core flow'!$U$15:$U$1000&lt;&gt;""),"")))),"-"))</f>
        <v/>
      </c>
    </row>
    <row r="390" spans="7:19" x14ac:dyDescent="0.3">
      <c r="G390" s="68" t="str" cm="1">
        <f t="array" ref="G390">_xlfn.LET(_xlpm.ids,'E2E core flow'!$A$15:$A$1000,_xlpm.v,'E2E core flow'!$W$15:$W$1000,_xlpm.m,(_xlpm.ids&lt;&gt;"")*ISNUMBER(SEARCH(_xlpm.ids,$E390)),_xlpm.f,SUM(_xlpm.m*(_xlpm.v="Failed")),_xlpm.b,SUM(_xlpm.m*(_xlpm.v="Blocked")),_xlpm.nr,SUM(_xlpm.m*(_xlpm.v="Not Run")),_xlpm.cp,SUM(_xlpm.m*(_xlpm.v="Conditionally Passed")),_xlpm.p,SUM(_xlpm.m*(_xlpm.v="Passed")),IF(TRIM($A390)="","",IF(TRIM($E390)="","Pending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90" s="68" t="str">
        <f>IF(TRIM($A390)="","",IF($J390="Passed","",IF($J390="Passed with Known Issue","Known Issue",IF($J390="",IF(OR($H390&lt;&gt;"No",AND($F390&lt;&gt;"Medium",$F390&lt;&gt;"Low")),"Pending Result",""),IF(OR($H390&lt;&gt;"No",AND($F390&lt;&gt;"Medium",$F390&lt;&gt;"Low")),IF(COUNTIFS(Dashboard!$B$105:$B$124,$A390,Dashboard!$I$105:$I$124,"CAB")&gt;0,"Accepted (CF)","Blocking"),IF($J390="Failed","Deferrable","Carry Over"))))))</f>
        <v/>
      </c>
      <c r="M390" s="68" t="str">
        <f>IF(OR(TRIM($A390)="",TRIM($E390)=""),"",IFERROR(INDEX('E2E core flow'!$B$15:$B$1000,MATCH(1,INDEX(('E2E core flow'!$A$15:$A$1000&lt;&gt;"")*ISNUMBER(SEARCH('E2E core flow'!$A$15:$A$1000,$E390)),0),0))&amp;"","-"))</f>
        <v/>
      </c>
      <c r="N390" s="68" t="str">
        <f>IF(TRIM($A390)="","",IF($O390=0,IF(COUNTIFS('Card Test Cases'!$B$4:$B$1000,$A390,'Card Test Cases'!$A$4:$A$1000,"&lt;&gt;")&gt;0,"Out of Scope","No TC"),IF($Q390&gt;0,"Failed",IF(COUNTIFS('Card Test Cases'!$B$4:$B$1000,$A390,'Card Test Cases'!$A$4:$A$1000,"&lt;&gt;",'Card Test Cases'!$F$4:$F$1000,"Blocked")&gt;0,"Blocked",IF($R390&gt;0,"In Progress","Passed")))))</f>
        <v/>
      </c>
      <c r="O390" s="68" t="str">
        <f>IF(TRIM($A390)="","",COUNTIFS('Card Test Cases'!$B$4:$B$1000,$A390,'Card Test Cases'!$A$4:$A$1000,"&lt;&gt;",'Card Test Cases'!$F$4:$F$1000,"&lt;&gt;Out of Scope"))</f>
        <v/>
      </c>
      <c r="P390" s="68" t="str">
        <f>IF(TRIM($A390)="","",COUNTIFS('Card Test Cases'!$B$4:$B$1000,$A390,'Card Test Cases'!$A$4:$A$1000,"&lt;&gt;",'Card Test Cases'!$F$4:$F$1000,"Passed"))</f>
        <v/>
      </c>
      <c r="Q390" s="68" t="str">
        <f>IF(TRIM($A390)="","",COUNTIFS('Card Test Cases'!$B$4:$B$1000,$A390,'Card Test Cases'!$A$4:$A$1000,"&lt;&gt;",'Card Test Cases'!$F$4:$F$1000,"Failed"))</f>
        <v/>
      </c>
      <c r="R390" s="68" t="str">
        <f t="shared" si="6"/>
        <v/>
      </c>
      <c r="S390" s="68" t="str" cm="1">
        <f t="array" ref="S390">IF(TRIM($A390)="","",IFERROR(_xlfn.TEXTJOIN(", ",TRUE,_xlfn.UNIQUE(_xlfn.VSTACK(_xlfn._xlws.FILTER('Card Test Cases'!$G$4:$G$1000,('Card Test Cases'!$B$4:$B$1000=$A390)*('Card Test Cases'!$G$4:$G$1000&lt;&gt;""),""),_xlfn._xlws.FILTER('E2E core flow'!$U$15:$U$1000,('E2E core flow'!$A$15:$A$1000&lt;&gt;"")*ISNUMBER(SEARCH('E2E core flow'!$A$15:$A$1000,$E390))*('E2E core flow'!$U$15:$U$1000&lt;&gt;""),"")))),"-"))</f>
        <v/>
      </c>
    </row>
    <row r="391" spans="7:19" x14ac:dyDescent="0.3">
      <c r="G391" s="68" t="str" cm="1">
        <f t="array" ref="G391">_xlfn.LET(_xlpm.ids,'E2E core flow'!$A$15:$A$1000,_xlpm.v,'E2E core flow'!$W$15:$W$1000,_xlpm.m,(_xlpm.ids&lt;&gt;"")*ISNUMBER(SEARCH(_xlpm.ids,$E391)),_xlpm.f,SUM(_xlpm.m*(_xlpm.v="Failed")),_xlpm.b,SUM(_xlpm.m*(_xlpm.v="Blocked")),_xlpm.nr,SUM(_xlpm.m*(_xlpm.v="Not Run")),_xlpm.cp,SUM(_xlpm.m*(_xlpm.v="Conditionally Passed")),_xlpm.p,SUM(_xlpm.m*(_xlpm.v="Passed")),IF(TRIM($A391)="","",IF(TRIM($E391)="","Pending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91" s="68" t="str">
        <f>IF(TRIM($A391)="","",IF($J391="Passed","",IF($J391="Passed with Known Issue","Known Issue",IF($J391="",IF(OR($H391&lt;&gt;"No",AND($F391&lt;&gt;"Medium",$F391&lt;&gt;"Low")),"Pending Result",""),IF(OR($H391&lt;&gt;"No",AND($F391&lt;&gt;"Medium",$F391&lt;&gt;"Low")),IF(COUNTIFS(Dashboard!$B$105:$B$124,$A391,Dashboard!$I$105:$I$124,"CAB")&gt;0,"Accepted (CF)","Blocking"),IF($J391="Failed","Deferrable","Carry Over"))))))</f>
        <v/>
      </c>
      <c r="M391" s="68" t="str">
        <f>IF(OR(TRIM($A391)="",TRIM($E391)=""),"",IFERROR(INDEX('E2E core flow'!$B$15:$B$1000,MATCH(1,INDEX(('E2E core flow'!$A$15:$A$1000&lt;&gt;"")*ISNUMBER(SEARCH('E2E core flow'!$A$15:$A$1000,$E391)),0),0))&amp;"","-"))</f>
        <v/>
      </c>
      <c r="N391" s="68" t="str">
        <f>IF(TRIM($A391)="","",IF($O391=0,IF(COUNTIFS('Card Test Cases'!$B$4:$B$1000,$A391,'Card Test Cases'!$A$4:$A$1000,"&lt;&gt;")&gt;0,"Out of Scope","No TC"),IF($Q391&gt;0,"Failed",IF(COUNTIFS('Card Test Cases'!$B$4:$B$1000,$A391,'Card Test Cases'!$A$4:$A$1000,"&lt;&gt;",'Card Test Cases'!$F$4:$F$1000,"Blocked")&gt;0,"Blocked",IF($R391&gt;0,"In Progress","Passed")))))</f>
        <v/>
      </c>
      <c r="O391" s="68" t="str">
        <f>IF(TRIM($A391)="","",COUNTIFS('Card Test Cases'!$B$4:$B$1000,$A391,'Card Test Cases'!$A$4:$A$1000,"&lt;&gt;",'Card Test Cases'!$F$4:$F$1000,"&lt;&gt;Out of Scope"))</f>
        <v/>
      </c>
      <c r="P391" s="68" t="str">
        <f>IF(TRIM($A391)="","",COUNTIFS('Card Test Cases'!$B$4:$B$1000,$A391,'Card Test Cases'!$A$4:$A$1000,"&lt;&gt;",'Card Test Cases'!$F$4:$F$1000,"Passed"))</f>
        <v/>
      </c>
      <c r="Q391" s="68" t="str">
        <f>IF(TRIM($A391)="","",COUNTIFS('Card Test Cases'!$B$4:$B$1000,$A391,'Card Test Cases'!$A$4:$A$1000,"&lt;&gt;",'Card Test Cases'!$F$4:$F$1000,"Failed"))</f>
        <v/>
      </c>
      <c r="R391" s="68" t="str">
        <f t="shared" si="6"/>
        <v/>
      </c>
      <c r="S391" s="68" t="str" cm="1">
        <f t="array" ref="S391">IF(TRIM($A391)="","",IFERROR(_xlfn.TEXTJOIN(", ",TRUE,_xlfn.UNIQUE(_xlfn.VSTACK(_xlfn._xlws.FILTER('Card Test Cases'!$G$4:$G$1000,('Card Test Cases'!$B$4:$B$1000=$A391)*('Card Test Cases'!$G$4:$G$1000&lt;&gt;""),""),_xlfn._xlws.FILTER('E2E core flow'!$U$15:$U$1000,('E2E core flow'!$A$15:$A$1000&lt;&gt;"")*ISNUMBER(SEARCH('E2E core flow'!$A$15:$A$1000,$E391))*('E2E core flow'!$U$15:$U$1000&lt;&gt;""),"")))),"-"))</f>
        <v/>
      </c>
    </row>
    <row r="392" spans="7:19" x14ac:dyDescent="0.3">
      <c r="G392" s="68" t="str" cm="1">
        <f t="array" ref="G392">_xlfn.LET(_xlpm.ids,'E2E core flow'!$A$15:$A$1000,_xlpm.v,'E2E core flow'!$W$15:$W$1000,_xlpm.m,(_xlpm.ids&lt;&gt;"")*ISNUMBER(SEARCH(_xlpm.ids,$E392)),_xlpm.f,SUM(_xlpm.m*(_xlpm.v="Failed")),_xlpm.b,SUM(_xlpm.m*(_xlpm.v="Blocked")),_xlpm.nr,SUM(_xlpm.m*(_xlpm.v="Not Run")),_xlpm.cp,SUM(_xlpm.m*(_xlpm.v="Conditionally Passed")),_xlpm.p,SUM(_xlpm.m*(_xlpm.v="Passed")),IF(TRIM($A392)="","",IF(TRIM($E392)="","Pending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92" s="68" t="str">
        <f>IF(TRIM($A392)="","",IF($J392="Passed","",IF($J392="Passed with Known Issue","Known Issue",IF($J392="",IF(OR($H392&lt;&gt;"No",AND($F392&lt;&gt;"Medium",$F392&lt;&gt;"Low")),"Pending Result",""),IF(OR($H392&lt;&gt;"No",AND($F392&lt;&gt;"Medium",$F392&lt;&gt;"Low")),IF(COUNTIFS(Dashboard!$B$105:$B$124,$A392,Dashboard!$I$105:$I$124,"CAB")&gt;0,"Accepted (CF)","Blocking"),IF($J392="Failed","Deferrable","Carry Over"))))))</f>
        <v/>
      </c>
      <c r="M392" s="68" t="str">
        <f>IF(OR(TRIM($A392)="",TRIM($E392)=""),"",IFERROR(INDEX('E2E core flow'!$B$15:$B$1000,MATCH(1,INDEX(('E2E core flow'!$A$15:$A$1000&lt;&gt;"")*ISNUMBER(SEARCH('E2E core flow'!$A$15:$A$1000,$E392)),0),0))&amp;"","-"))</f>
        <v/>
      </c>
      <c r="N392" s="68" t="str">
        <f>IF(TRIM($A392)="","",IF($O392=0,IF(COUNTIFS('Card Test Cases'!$B$4:$B$1000,$A392,'Card Test Cases'!$A$4:$A$1000,"&lt;&gt;")&gt;0,"Out of Scope","No TC"),IF($Q392&gt;0,"Failed",IF(COUNTIFS('Card Test Cases'!$B$4:$B$1000,$A392,'Card Test Cases'!$A$4:$A$1000,"&lt;&gt;",'Card Test Cases'!$F$4:$F$1000,"Blocked")&gt;0,"Blocked",IF($R392&gt;0,"In Progress","Passed")))))</f>
        <v/>
      </c>
      <c r="O392" s="68" t="str">
        <f>IF(TRIM($A392)="","",COUNTIFS('Card Test Cases'!$B$4:$B$1000,$A392,'Card Test Cases'!$A$4:$A$1000,"&lt;&gt;",'Card Test Cases'!$F$4:$F$1000,"&lt;&gt;Out of Scope"))</f>
        <v/>
      </c>
      <c r="P392" s="68" t="str">
        <f>IF(TRIM($A392)="","",COUNTIFS('Card Test Cases'!$B$4:$B$1000,$A392,'Card Test Cases'!$A$4:$A$1000,"&lt;&gt;",'Card Test Cases'!$F$4:$F$1000,"Passed"))</f>
        <v/>
      </c>
      <c r="Q392" s="68" t="str">
        <f>IF(TRIM($A392)="","",COUNTIFS('Card Test Cases'!$B$4:$B$1000,$A392,'Card Test Cases'!$A$4:$A$1000,"&lt;&gt;",'Card Test Cases'!$F$4:$F$1000,"Failed"))</f>
        <v/>
      </c>
      <c r="R392" s="68" t="str">
        <f t="shared" si="6"/>
        <v/>
      </c>
      <c r="S392" s="68" t="str" cm="1">
        <f t="array" ref="S392">IF(TRIM($A392)="","",IFERROR(_xlfn.TEXTJOIN(", ",TRUE,_xlfn.UNIQUE(_xlfn.VSTACK(_xlfn._xlws.FILTER('Card Test Cases'!$G$4:$G$1000,('Card Test Cases'!$B$4:$B$1000=$A392)*('Card Test Cases'!$G$4:$G$1000&lt;&gt;""),""),_xlfn._xlws.FILTER('E2E core flow'!$U$15:$U$1000,('E2E core flow'!$A$15:$A$1000&lt;&gt;"")*ISNUMBER(SEARCH('E2E core flow'!$A$15:$A$1000,$E392))*('E2E core flow'!$U$15:$U$1000&lt;&gt;""),"")))),"-"))</f>
        <v/>
      </c>
    </row>
    <row r="393" spans="7:19" x14ac:dyDescent="0.3">
      <c r="G393" s="68" t="str" cm="1">
        <f t="array" ref="G393">_xlfn.LET(_xlpm.ids,'E2E core flow'!$A$15:$A$1000,_xlpm.v,'E2E core flow'!$W$15:$W$1000,_xlpm.m,(_xlpm.ids&lt;&gt;"")*ISNUMBER(SEARCH(_xlpm.ids,$E393)),_xlpm.f,SUM(_xlpm.m*(_xlpm.v="Failed")),_xlpm.b,SUM(_xlpm.m*(_xlpm.v="Blocked")),_xlpm.nr,SUM(_xlpm.m*(_xlpm.v="Not Run")),_xlpm.cp,SUM(_xlpm.m*(_xlpm.v="Conditionally Passed")),_xlpm.p,SUM(_xlpm.m*(_xlpm.v="Passed")),IF(TRIM($A393)="","",IF(TRIM($E393)="","Pending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93" s="68" t="str">
        <f>IF(TRIM($A393)="","",IF($J393="Passed","",IF($J393="Passed with Known Issue","Known Issue",IF($J393="",IF(OR($H393&lt;&gt;"No",AND($F393&lt;&gt;"Medium",$F393&lt;&gt;"Low")),"Pending Result",""),IF(OR($H393&lt;&gt;"No",AND($F393&lt;&gt;"Medium",$F393&lt;&gt;"Low")),IF(COUNTIFS(Dashboard!$B$105:$B$124,$A393,Dashboard!$I$105:$I$124,"CAB")&gt;0,"Accepted (CF)","Blocking"),IF($J393="Failed","Deferrable","Carry Over"))))))</f>
        <v/>
      </c>
      <c r="M393" s="68" t="str">
        <f>IF(OR(TRIM($A393)="",TRIM($E393)=""),"",IFERROR(INDEX('E2E core flow'!$B$15:$B$1000,MATCH(1,INDEX(('E2E core flow'!$A$15:$A$1000&lt;&gt;"")*ISNUMBER(SEARCH('E2E core flow'!$A$15:$A$1000,$E393)),0),0))&amp;"","-"))</f>
        <v/>
      </c>
      <c r="N393" s="68" t="str">
        <f>IF(TRIM($A393)="","",IF($O393=0,IF(COUNTIFS('Card Test Cases'!$B$4:$B$1000,$A393,'Card Test Cases'!$A$4:$A$1000,"&lt;&gt;")&gt;0,"Out of Scope","No TC"),IF($Q393&gt;0,"Failed",IF(COUNTIFS('Card Test Cases'!$B$4:$B$1000,$A393,'Card Test Cases'!$A$4:$A$1000,"&lt;&gt;",'Card Test Cases'!$F$4:$F$1000,"Blocked")&gt;0,"Blocked",IF($R393&gt;0,"In Progress","Passed")))))</f>
        <v/>
      </c>
      <c r="O393" s="68" t="str">
        <f>IF(TRIM($A393)="","",COUNTIFS('Card Test Cases'!$B$4:$B$1000,$A393,'Card Test Cases'!$A$4:$A$1000,"&lt;&gt;",'Card Test Cases'!$F$4:$F$1000,"&lt;&gt;Out of Scope"))</f>
        <v/>
      </c>
      <c r="P393" s="68" t="str">
        <f>IF(TRIM($A393)="","",COUNTIFS('Card Test Cases'!$B$4:$B$1000,$A393,'Card Test Cases'!$A$4:$A$1000,"&lt;&gt;",'Card Test Cases'!$F$4:$F$1000,"Passed"))</f>
        <v/>
      </c>
      <c r="Q393" s="68" t="str">
        <f>IF(TRIM($A393)="","",COUNTIFS('Card Test Cases'!$B$4:$B$1000,$A393,'Card Test Cases'!$A$4:$A$1000,"&lt;&gt;",'Card Test Cases'!$F$4:$F$1000,"Failed"))</f>
        <v/>
      </c>
      <c r="R393" s="68" t="str">
        <f t="shared" si="6"/>
        <v/>
      </c>
      <c r="S393" s="68" t="str" cm="1">
        <f t="array" ref="S393">IF(TRIM($A393)="","",IFERROR(_xlfn.TEXTJOIN(", ",TRUE,_xlfn.UNIQUE(_xlfn.VSTACK(_xlfn._xlws.FILTER('Card Test Cases'!$G$4:$G$1000,('Card Test Cases'!$B$4:$B$1000=$A393)*('Card Test Cases'!$G$4:$G$1000&lt;&gt;""),""),_xlfn._xlws.FILTER('E2E core flow'!$U$15:$U$1000,('E2E core flow'!$A$15:$A$1000&lt;&gt;"")*ISNUMBER(SEARCH('E2E core flow'!$A$15:$A$1000,$E393))*('E2E core flow'!$U$15:$U$1000&lt;&gt;""),"")))),"-"))</f>
        <v/>
      </c>
    </row>
    <row r="394" spans="7:19" x14ac:dyDescent="0.3">
      <c r="G394" s="68" t="str" cm="1">
        <f t="array" ref="G394">_xlfn.LET(_xlpm.ids,'E2E core flow'!$A$15:$A$1000,_xlpm.v,'E2E core flow'!$W$15:$W$1000,_xlpm.m,(_xlpm.ids&lt;&gt;"")*ISNUMBER(SEARCH(_xlpm.ids,$E394)),_xlpm.f,SUM(_xlpm.m*(_xlpm.v="Failed")),_xlpm.b,SUM(_xlpm.m*(_xlpm.v="Blocked")),_xlpm.nr,SUM(_xlpm.m*(_xlpm.v="Not Run")),_xlpm.cp,SUM(_xlpm.m*(_xlpm.v="Conditionally Passed")),_xlpm.p,SUM(_xlpm.m*(_xlpm.v="Passed")),IF(TRIM($A394)="","",IF(TRIM($E394)="","Pending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94" s="68" t="str">
        <f>IF(TRIM($A394)="","",IF($J394="Passed","",IF($J394="Passed with Known Issue","Known Issue",IF($J394="",IF(OR($H394&lt;&gt;"No",AND($F394&lt;&gt;"Medium",$F394&lt;&gt;"Low")),"Pending Result",""),IF(OR($H394&lt;&gt;"No",AND($F394&lt;&gt;"Medium",$F394&lt;&gt;"Low")),IF(COUNTIFS(Dashboard!$B$105:$B$124,$A394,Dashboard!$I$105:$I$124,"CAB")&gt;0,"Accepted (CF)","Blocking"),IF($J394="Failed","Deferrable","Carry Over"))))))</f>
        <v/>
      </c>
      <c r="M394" s="68" t="str">
        <f>IF(OR(TRIM($A394)="",TRIM($E394)=""),"",IFERROR(INDEX('E2E core flow'!$B$15:$B$1000,MATCH(1,INDEX(('E2E core flow'!$A$15:$A$1000&lt;&gt;"")*ISNUMBER(SEARCH('E2E core flow'!$A$15:$A$1000,$E394)),0),0))&amp;"","-"))</f>
        <v/>
      </c>
      <c r="N394" s="68" t="str">
        <f>IF(TRIM($A394)="","",IF($O394=0,IF(COUNTIFS('Card Test Cases'!$B$4:$B$1000,$A394,'Card Test Cases'!$A$4:$A$1000,"&lt;&gt;")&gt;0,"Out of Scope","No TC"),IF($Q394&gt;0,"Failed",IF(COUNTIFS('Card Test Cases'!$B$4:$B$1000,$A394,'Card Test Cases'!$A$4:$A$1000,"&lt;&gt;",'Card Test Cases'!$F$4:$F$1000,"Blocked")&gt;0,"Blocked",IF($R394&gt;0,"In Progress","Passed")))))</f>
        <v/>
      </c>
      <c r="O394" s="68" t="str">
        <f>IF(TRIM($A394)="","",COUNTIFS('Card Test Cases'!$B$4:$B$1000,$A394,'Card Test Cases'!$A$4:$A$1000,"&lt;&gt;",'Card Test Cases'!$F$4:$F$1000,"&lt;&gt;Out of Scope"))</f>
        <v/>
      </c>
      <c r="P394" s="68" t="str">
        <f>IF(TRIM($A394)="","",COUNTIFS('Card Test Cases'!$B$4:$B$1000,$A394,'Card Test Cases'!$A$4:$A$1000,"&lt;&gt;",'Card Test Cases'!$F$4:$F$1000,"Passed"))</f>
        <v/>
      </c>
      <c r="Q394" s="68" t="str">
        <f>IF(TRIM($A394)="","",COUNTIFS('Card Test Cases'!$B$4:$B$1000,$A394,'Card Test Cases'!$A$4:$A$1000,"&lt;&gt;",'Card Test Cases'!$F$4:$F$1000,"Failed"))</f>
        <v/>
      </c>
      <c r="R394" s="68" t="str">
        <f t="shared" si="6"/>
        <v/>
      </c>
      <c r="S394" s="68" t="str" cm="1">
        <f t="array" ref="S394">IF(TRIM($A394)="","",IFERROR(_xlfn.TEXTJOIN(", ",TRUE,_xlfn.UNIQUE(_xlfn.VSTACK(_xlfn._xlws.FILTER('Card Test Cases'!$G$4:$G$1000,('Card Test Cases'!$B$4:$B$1000=$A394)*('Card Test Cases'!$G$4:$G$1000&lt;&gt;""),""),_xlfn._xlws.FILTER('E2E core flow'!$U$15:$U$1000,('E2E core flow'!$A$15:$A$1000&lt;&gt;"")*ISNUMBER(SEARCH('E2E core flow'!$A$15:$A$1000,$E394))*('E2E core flow'!$U$15:$U$1000&lt;&gt;""),"")))),"-"))</f>
        <v/>
      </c>
    </row>
    <row r="395" spans="7:19" x14ac:dyDescent="0.3">
      <c r="G395" s="68" t="str" cm="1">
        <f t="array" ref="G395">_xlfn.LET(_xlpm.ids,'E2E core flow'!$A$15:$A$1000,_xlpm.v,'E2E core flow'!$W$15:$W$1000,_xlpm.m,(_xlpm.ids&lt;&gt;"")*ISNUMBER(SEARCH(_xlpm.ids,$E395)),_xlpm.f,SUM(_xlpm.m*(_xlpm.v="Failed")),_xlpm.b,SUM(_xlpm.m*(_xlpm.v="Blocked")),_xlpm.nr,SUM(_xlpm.m*(_xlpm.v="Not Run")),_xlpm.cp,SUM(_xlpm.m*(_xlpm.v="Conditionally Passed")),_xlpm.p,SUM(_xlpm.m*(_xlpm.v="Passed")),IF(TRIM($A395)="","",IF(TRIM($E395)="","Pending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95" s="68" t="str">
        <f>IF(TRIM($A395)="","",IF($J395="Passed","",IF($J395="Passed with Known Issue","Known Issue",IF($J395="",IF(OR($H395&lt;&gt;"No",AND($F395&lt;&gt;"Medium",$F395&lt;&gt;"Low")),"Pending Result",""),IF(OR($H395&lt;&gt;"No",AND($F395&lt;&gt;"Medium",$F395&lt;&gt;"Low")),IF(COUNTIFS(Dashboard!$B$105:$B$124,$A395,Dashboard!$I$105:$I$124,"CAB")&gt;0,"Accepted (CF)","Blocking"),IF($J395="Failed","Deferrable","Carry Over"))))))</f>
        <v/>
      </c>
      <c r="M395" s="68" t="str">
        <f>IF(OR(TRIM($A395)="",TRIM($E395)=""),"",IFERROR(INDEX('E2E core flow'!$B$15:$B$1000,MATCH(1,INDEX(('E2E core flow'!$A$15:$A$1000&lt;&gt;"")*ISNUMBER(SEARCH('E2E core flow'!$A$15:$A$1000,$E395)),0),0))&amp;"","-"))</f>
        <v/>
      </c>
      <c r="N395" s="68" t="str">
        <f>IF(TRIM($A395)="","",IF($O395=0,IF(COUNTIFS('Card Test Cases'!$B$4:$B$1000,$A395,'Card Test Cases'!$A$4:$A$1000,"&lt;&gt;")&gt;0,"Out of Scope","No TC"),IF($Q395&gt;0,"Failed",IF(COUNTIFS('Card Test Cases'!$B$4:$B$1000,$A395,'Card Test Cases'!$A$4:$A$1000,"&lt;&gt;",'Card Test Cases'!$F$4:$F$1000,"Blocked")&gt;0,"Blocked",IF($R395&gt;0,"In Progress","Passed")))))</f>
        <v/>
      </c>
      <c r="O395" s="68" t="str">
        <f>IF(TRIM($A395)="","",COUNTIFS('Card Test Cases'!$B$4:$B$1000,$A395,'Card Test Cases'!$A$4:$A$1000,"&lt;&gt;",'Card Test Cases'!$F$4:$F$1000,"&lt;&gt;Out of Scope"))</f>
        <v/>
      </c>
      <c r="P395" s="68" t="str">
        <f>IF(TRIM($A395)="","",COUNTIFS('Card Test Cases'!$B$4:$B$1000,$A395,'Card Test Cases'!$A$4:$A$1000,"&lt;&gt;",'Card Test Cases'!$F$4:$F$1000,"Passed"))</f>
        <v/>
      </c>
      <c r="Q395" s="68" t="str">
        <f>IF(TRIM($A395)="","",COUNTIFS('Card Test Cases'!$B$4:$B$1000,$A395,'Card Test Cases'!$A$4:$A$1000,"&lt;&gt;",'Card Test Cases'!$F$4:$F$1000,"Failed"))</f>
        <v/>
      </c>
      <c r="R395" s="68" t="str">
        <f t="shared" si="6"/>
        <v/>
      </c>
      <c r="S395" s="68" t="str" cm="1">
        <f t="array" ref="S395">IF(TRIM($A395)="","",IFERROR(_xlfn.TEXTJOIN(", ",TRUE,_xlfn.UNIQUE(_xlfn.VSTACK(_xlfn._xlws.FILTER('Card Test Cases'!$G$4:$G$1000,('Card Test Cases'!$B$4:$B$1000=$A395)*('Card Test Cases'!$G$4:$G$1000&lt;&gt;""),""),_xlfn._xlws.FILTER('E2E core flow'!$U$15:$U$1000,('E2E core flow'!$A$15:$A$1000&lt;&gt;"")*ISNUMBER(SEARCH('E2E core flow'!$A$15:$A$1000,$E395))*('E2E core flow'!$U$15:$U$1000&lt;&gt;""),"")))),"-"))</f>
        <v/>
      </c>
    </row>
    <row r="396" spans="7:19" x14ac:dyDescent="0.3">
      <c r="G396" s="68" t="str" cm="1">
        <f t="array" ref="G396">_xlfn.LET(_xlpm.ids,'E2E core flow'!$A$15:$A$1000,_xlpm.v,'E2E core flow'!$W$15:$W$1000,_xlpm.m,(_xlpm.ids&lt;&gt;"")*ISNUMBER(SEARCH(_xlpm.ids,$E396)),_xlpm.f,SUM(_xlpm.m*(_xlpm.v="Failed")),_xlpm.b,SUM(_xlpm.m*(_xlpm.v="Blocked")),_xlpm.nr,SUM(_xlpm.m*(_xlpm.v="Not Run")),_xlpm.cp,SUM(_xlpm.m*(_xlpm.v="Conditionally Passed")),_xlpm.p,SUM(_xlpm.m*(_xlpm.v="Passed")),IF(TRIM($A396)="","",IF(TRIM($E396)="","Pending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96" s="68" t="str">
        <f>IF(TRIM($A396)="","",IF($J396="Passed","",IF($J396="Passed with Known Issue","Known Issue",IF($J396="",IF(OR($H396&lt;&gt;"No",AND($F396&lt;&gt;"Medium",$F396&lt;&gt;"Low")),"Pending Result",""),IF(OR($H396&lt;&gt;"No",AND($F396&lt;&gt;"Medium",$F396&lt;&gt;"Low")),IF(COUNTIFS(Dashboard!$B$105:$B$124,$A396,Dashboard!$I$105:$I$124,"CAB")&gt;0,"Accepted (CF)","Blocking"),IF($J396="Failed","Deferrable","Carry Over"))))))</f>
        <v/>
      </c>
      <c r="M396" s="68" t="str">
        <f>IF(OR(TRIM($A396)="",TRIM($E396)=""),"",IFERROR(INDEX('E2E core flow'!$B$15:$B$1000,MATCH(1,INDEX(('E2E core flow'!$A$15:$A$1000&lt;&gt;"")*ISNUMBER(SEARCH('E2E core flow'!$A$15:$A$1000,$E396)),0),0))&amp;"","-"))</f>
        <v/>
      </c>
      <c r="N396" s="68" t="str">
        <f>IF(TRIM($A396)="","",IF($O396=0,IF(COUNTIFS('Card Test Cases'!$B$4:$B$1000,$A396,'Card Test Cases'!$A$4:$A$1000,"&lt;&gt;")&gt;0,"Out of Scope","No TC"),IF($Q396&gt;0,"Failed",IF(COUNTIFS('Card Test Cases'!$B$4:$B$1000,$A396,'Card Test Cases'!$A$4:$A$1000,"&lt;&gt;",'Card Test Cases'!$F$4:$F$1000,"Blocked")&gt;0,"Blocked",IF($R396&gt;0,"In Progress","Passed")))))</f>
        <v/>
      </c>
      <c r="O396" s="68" t="str">
        <f>IF(TRIM($A396)="","",COUNTIFS('Card Test Cases'!$B$4:$B$1000,$A396,'Card Test Cases'!$A$4:$A$1000,"&lt;&gt;",'Card Test Cases'!$F$4:$F$1000,"&lt;&gt;Out of Scope"))</f>
        <v/>
      </c>
      <c r="P396" s="68" t="str">
        <f>IF(TRIM($A396)="","",COUNTIFS('Card Test Cases'!$B$4:$B$1000,$A396,'Card Test Cases'!$A$4:$A$1000,"&lt;&gt;",'Card Test Cases'!$F$4:$F$1000,"Passed"))</f>
        <v/>
      </c>
      <c r="Q396" s="68" t="str">
        <f>IF(TRIM($A396)="","",COUNTIFS('Card Test Cases'!$B$4:$B$1000,$A396,'Card Test Cases'!$A$4:$A$1000,"&lt;&gt;",'Card Test Cases'!$F$4:$F$1000,"Failed"))</f>
        <v/>
      </c>
      <c r="R396" s="68" t="str">
        <f t="shared" si="6"/>
        <v/>
      </c>
      <c r="S396" s="68" t="str" cm="1">
        <f t="array" ref="S396">IF(TRIM($A396)="","",IFERROR(_xlfn.TEXTJOIN(", ",TRUE,_xlfn.UNIQUE(_xlfn.VSTACK(_xlfn._xlws.FILTER('Card Test Cases'!$G$4:$G$1000,('Card Test Cases'!$B$4:$B$1000=$A396)*('Card Test Cases'!$G$4:$G$1000&lt;&gt;""),""),_xlfn._xlws.FILTER('E2E core flow'!$U$15:$U$1000,('E2E core flow'!$A$15:$A$1000&lt;&gt;"")*ISNUMBER(SEARCH('E2E core flow'!$A$15:$A$1000,$E396))*('E2E core flow'!$U$15:$U$1000&lt;&gt;""),"")))),"-"))</f>
        <v/>
      </c>
    </row>
    <row r="397" spans="7:19" x14ac:dyDescent="0.3">
      <c r="G397" s="68" t="str" cm="1">
        <f t="array" ref="G397">_xlfn.LET(_xlpm.ids,'E2E core flow'!$A$15:$A$1000,_xlpm.v,'E2E core flow'!$W$15:$W$1000,_xlpm.m,(_xlpm.ids&lt;&gt;"")*ISNUMBER(SEARCH(_xlpm.ids,$E397)),_xlpm.f,SUM(_xlpm.m*(_xlpm.v="Failed")),_xlpm.b,SUM(_xlpm.m*(_xlpm.v="Blocked")),_xlpm.nr,SUM(_xlpm.m*(_xlpm.v="Not Run")),_xlpm.cp,SUM(_xlpm.m*(_xlpm.v="Conditionally Passed")),_xlpm.p,SUM(_xlpm.m*(_xlpm.v="Passed")),IF(TRIM($A397)="","",IF(TRIM($E397)="","Pending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97" s="68" t="str">
        <f>IF(TRIM($A397)="","",IF($J397="Passed","",IF($J397="Passed with Known Issue","Known Issue",IF($J397="",IF(OR($H397&lt;&gt;"No",AND($F397&lt;&gt;"Medium",$F397&lt;&gt;"Low")),"Pending Result",""),IF(OR($H397&lt;&gt;"No",AND($F397&lt;&gt;"Medium",$F397&lt;&gt;"Low")),IF(COUNTIFS(Dashboard!$B$105:$B$124,$A397,Dashboard!$I$105:$I$124,"CAB")&gt;0,"Accepted (CF)","Blocking"),IF($J397="Failed","Deferrable","Carry Over"))))))</f>
        <v/>
      </c>
      <c r="M397" s="68" t="str">
        <f>IF(OR(TRIM($A397)="",TRIM($E397)=""),"",IFERROR(INDEX('E2E core flow'!$B$15:$B$1000,MATCH(1,INDEX(('E2E core flow'!$A$15:$A$1000&lt;&gt;"")*ISNUMBER(SEARCH('E2E core flow'!$A$15:$A$1000,$E397)),0),0))&amp;"","-"))</f>
        <v/>
      </c>
      <c r="N397" s="68" t="str">
        <f>IF(TRIM($A397)="","",IF($O397=0,IF(COUNTIFS('Card Test Cases'!$B$4:$B$1000,$A397,'Card Test Cases'!$A$4:$A$1000,"&lt;&gt;")&gt;0,"Out of Scope","No TC"),IF($Q397&gt;0,"Failed",IF(COUNTIFS('Card Test Cases'!$B$4:$B$1000,$A397,'Card Test Cases'!$A$4:$A$1000,"&lt;&gt;",'Card Test Cases'!$F$4:$F$1000,"Blocked")&gt;0,"Blocked",IF($R397&gt;0,"In Progress","Passed")))))</f>
        <v/>
      </c>
      <c r="O397" s="68" t="str">
        <f>IF(TRIM($A397)="","",COUNTIFS('Card Test Cases'!$B$4:$B$1000,$A397,'Card Test Cases'!$A$4:$A$1000,"&lt;&gt;",'Card Test Cases'!$F$4:$F$1000,"&lt;&gt;Out of Scope"))</f>
        <v/>
      </c>
      <c r="P397" s="68" t="str">
        <f>IF(TRIM($A397)="","",COUNTIFS('Card Test Cases'!$B$4:$B$1000,$A397,'Card Test Cases'!$A$4:$A$1000,"&lt;&gt;",'Card Test Cases'!$F$4:$F$1000,"Passed"))</f>
        <v/>
      </c>
      <c r="Q397" s="68" t="str">
        <f>IF(TRIM($A397)="","",COUNTIFS('Card Test Cases'!$B$4:$B$1000,$A397,'Card Test Cases'!$A$4:$A$1000,"&lt;&gt;",'Card Test Cases'!$F$4:$F$1000,"Failed"))</f>
        <v/>
      </c>
      <c r="R397" s="68" t="str">
        <f t="shared" si="6"/>
        <v/>
      </c>
      <c r="S397" s="68" t="str" cm="1">
        <f t="array" ref="S397">IF(TRIM($A397)="","",IFERROR(_xlfn.TEXTJOIN(", ",TRUE,_xlfn.UNIQUE(_xlfn.VSTACK(_xlfn._xlws.FILTER('Card Test Cases'!$G$4:$G$1000,('Card Test Cases'!$B$4:$B$1000=$A397)*('Card Test Cases'!$G$4:$G$1000&lt;&gt;""),""),_xlfn._xlws.FILTER('E2E core flow'!$U$15:$U$1000,('E2E core flow'!$A$15:$A$1000&lt;&gt;"")*ISNUMBER(SEARCH('E2E core flow'!$A$15:$A$1000,$E397))*('E2E core flow'!$U$15:$U$1000&lt;&gt;""),"")))),"-"))</f>
        <v/>
      </c>
    </row>
    <row r="398" spans="7:19" x14ac:dyDescent="0.3">
      <c r="G398" s="68" t="str" cm="1">
        <f t="array" ref="G398">_xlfn.LET(_xlpm.ids,'E2E core flow'!$A$15:$A$1000,_xlpm.v,'E2E core flow'!$W$15:$W$1000,_xlpm.m,(_xlpm.ids&lt;&gt;"")*ISNUMBER(SEARCH(_xlpm.ids,$E398)),_xlpm.f,SUM(_xlpm.m*(_xlpm.v="Failed")),_xlpm.b,SUM(_xlpm.m*(_xlpm.v="Blocked")),_xlpm.nr,SUM(_xlpm.m*(_xlpm.v="Not Run")),_xlpm.cp,SUM(_xlpm.m*(_xlpm.v="Conditionally Passed")),_xlpm.p,SUM(_xlpm.m*(_xlpm.v="Passed")),IF(TRIM($A398)="","",IF(TRIM($E398)="","Pending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98" s="68" t="str">
        <f>IF(TRIM($A398)="","",IF($J398="Passed","",IF($J398="Passed with Known Issue","Known Issue",IF($J398="",IF(OR($H398&lt;&gt;"No",AND($F398&lt;&gt;"Medium",$F398&lt;&gt;"Low")),"Pending Result",""),IF(OR($H398&lt;&gt;"No",AND($F398&lt;&gt;"Medium",$F398&lt;&gt;"Low")),IF(COUNTIFS(Dashboard!$B$105:$B$124,$A398,Dashboard!$I$105:$I$124,"CAB")&gt;0,"Accepted (CF)","Blocking"),IF($J398="Failed","Deferrable","Carry Over"))))))</f>
        <v/>
      </c>
      <c r="M398" s="68" t="str">
        <f>IF(OR(TRIM($A398)="",TRIM($E398)=""),"",IFERROR(INDEX('E2E core flow'!$B$15:$B$1000,MATCH(1,INDEX(('E2E core flow'!$A$15:$A$1000&lt;&gt;"")*ISNUMBER(SEARCH('E2E core flow'!$A$15:$A$1000,$E398)),0),0))&amp;"","-"))</f>
        <v/>
      </c>
      <c r="N398" s="68" t="str">
        <f>IF(TRIM($A398)="","",IF($O398=0,IF(COUNTIFS('Card Test Cases'!$B$4:$B$1000,$A398,'Card Test Cases'!$A$4:$A$1000,"&lt;&gt;")&gt;0,"Out of Scope","No TC"),IF($Q398&gt;0,"Failed",IF(COUNTIFS('Card Test Cases'!$B$4:$B$1000,$A398,'Card Test Cases'!$A$4:$A$1000,"&lt;&gt;",'Card Test Cases'!$F$4:$F$1000,"Blocked")&gt;0,"Blocked",IF($R398&gt;0,"In Progress","Passed")))))</f>
        <v/>
      </c>
      <c r="O398" s="68" t="str">
        <f>IF(TRIM($A398)="","",COUNTIFS('Card Test Cases'!$B$4:$B$1000,$A398,'Card Test Cases'!$A$4:$A$1000,"&lt;&gt;",'Card Test Cases'!$F$4:$F$1000,"&lt;&gt;Out of Scope"))</f>
        <v/>
      </c>
      <c r="P398" s="68" t="str">
        <f>IF(TRIM($A398)="","",COUNTIFS('Card Test Cases'!$B$4:$B$1000,$A398,'Card Test Cases'!$A$4:$A$1000,"&lt;&gt;",'Card Test Cases'!$F$4:$F$1000,"Passed"))</f>
        <v/>
      </c>
      <c r="Q398" s="68" t="str">
        <f>IF(TRIM($A398)="","",COUNTIFS('Card Test Cases'!$B$4:$B$1000,$A398,'Card Test Cases'!$A$4:$A$1000,"&lt;&gt;",'Card Test Cases'!$F$4:$F$1000,"Failed"))</f>
        <v/>
      </c>
      <c r="R398" s="68" t="str">
        <f t="shared" si="6"/>
        <v/>
      </c>
      <c r="S398" s="68" t="str" cm="1">
        <f t="array" ref="S398">IF(TRIM($A398)="","",IFERROR(_xlfn.TEXTJOIN(", ",TRUE,_xlfn.UNIQUE(_xlfn.VSTACK(_xlfn._xlws.FILTER('Card Test Cases'!$G$4:$G$1000,('Card Test Cases'!$B$4:$B$1000=$A398)*('Card Test Cases'!$G$4:$G$1000&lt;&gt;""),""),_xlfn._xlws.FILTER('E2E core flow'!$U$15:$U$1000,('E2E core flow'!$A$15:$A$1000&lt;&gt;"")*ISNUMBER(SEARCH('E2E core flow'!$A$15:$A$1000,$E398))*('E2E core flow'!$U$15:$U$1000&lt;&gt;""),"")))),"-"))</f>
        <v/>
      </c>
    </row>
    <row r="399" spans="7:19" x14ac:dyDescent="0.3">
      <c r="G399" s="68" t="str" cm="1">
        <f t="array" ref="G399">_xlfn.LET(_xlpm.ids,'E2E core flow'!$A$15:$A$1000,_xlpm.v,'E2E core flow'!$W$15:$W$1000,_xlpm.m,(_xlpm.ids&lt;&gt;"")*ISNUMBER(SEARCH(_xlpm.ids,$E399)),_xlpm.f,SUM(_xlpm.m*(_xlpm.v="Failed")),_xlpm.b,SUM(_xlpm.m*(_xlpm.v="Blocked")),_xlpm.nr,SUM(_xlpm.m*(_xlpm.v="Not Run")),_xlpm.cp,SUM(_xlpm.m*(_xlpm.v="Conditionally Passed")),_xlpm.p,SUM(_xlpm.m*(_xlpm.v="Passed")),IF(TRIM($A399)="","",IF(TRIM($E399)="","Pending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399" s="68" t="str">
        <f>IF(TRIM($A399)="","",IF($J399="Passed","",IF($J399="Passed with Known Issue","Known Issue",IF($J399="",IF(OR($H399&lt;&gt;"No",AND($F399&lt;&gt;"Medium",$F399&lt;&gt;"Low")),"Pending Result",""),IF(OR($H399&lt;&gt;"No",AND($F399&lt;&gt;"Medium",$F399&lt;&gt;"Low")),IF(COUNTIFS(Dashboard!$B$105:$B$124,$A399,Dashboard!$I$105:$I$124,"CAB")&gt;0,"Accepted (CF)","Blocking"),IF($J399="Failed","Deferrable","Carry Over"))))))</f>
        <v/>
      </c>
      <c r="M399" s="68" t="str">
        <f>IF(OR(TRIM($A399)="",TRIM($E399)=""),"",IFERROR(INDEX('E2E core flow'!$B$15:$B$1000,MATCH(1,INDEX(('E2E core flow'!$A$15:$A$1000&lt;&gt;"")*ISNUMBER(SEARCH('E2E core flow'!$A$15:$A$1000,$E399)),0),0))&amp;"","-"))</f>
        <v/>
      </c>
      <c r="N399" s="68" t="str">
        <f>IF(TRIM($A399)="","",IF($O399=0,IF(COUNTIFS('Card Test Cases'!$B$4:$B$1000,$A399,'Card Test Cases'!$A$4:$A$1000,"&lt;&gt;")&gt;0,"Out of Scope","No TC"),IF($Q399&gt;0,"Failed",IF(COUNTIFS('Card Test Cases'!$B$4:$B$1000,$A399,'Card Test Cases'!$A$4:$A$1000,"&lt;&gt;",'Card Test Cases'!$F$4:$F$1000,"Blocked")&gt;0,"Blocked",IF($R399&gt;0,"In Progress","Passed")))))</f>
        <v/>
      </c>
      <c r="O399" s="68" t="str">
        <f>IF(TRIM($A399)="","",COUNTIFS('Card Test Cases'!$B$4:$B$1000,$A399,'Card Test Cases'!$A$4:$A$1000,"&lt;&gt;",'Card Test Cases'!$F$4:$F$1000,"&lt;&gt;Out of Scope"))</f>
        <v/>
      </c>
      <c r="P399" s="68" t="str">
        <f>IF(TRIM($A399)="","",COUNTIFS('Card Test Cases'!$B$4:$B$1000,$A399,'Card Test Cases'!$A$4:$A$1000,"&lt;&gt;",'Card Test Cases'!$F$4:$F$1000,"Passed"))</f>
        <v/>
      </c>
      <c r="Q399" s="68" t="str">
        <f>IF(TRIM($A399)="","",COUNTIFS('Card Test Cases'!$B$4:$B$1000,$A399,'Card Test Cases'!$A$4:$A$1000,"&lt;&gt;",'Card Test Cases'!$F$4:$F$1000,"Failed"))</f>
        <v/>
      </c>
      <c r="R399" s="68" t="str">
        <f t="shared" si="6"/>
        <v/>
      </c>
      <c r="S399" s="68" t="str" cm="1">
        <f t="array" ref="S399">IF(TRIM($A399)="","",IFERROR(_xlfn.TEXTJOIN(", ",TRUE,_xlfn.UNIQUE(_xlfn.VSTACK(_xlfn._xlws.FILTER('Card Test Cases'!$G$4:$G$1000,('Card Test Cases'!$B$4:$B$1000=$A399)*('Card Test Cases'!$G$4:$G$1000&lt;&gt;""),""),_xlfn._xlws.FILTER('E2E core flow'!$U$15:$U$1000,('E2E core flow'!$A$15:$A$1000&lt;&gt;"")*ISNUMBER(SEARCH('E2E core flow'!$A$15:$A$1000,$E399))*('E2E core flow'!$U$15:$U$1000&lt;&gt;""),"")))),"-"))</f>
        <v/>
      </c>
    </row>
    <row r="400" spans="7:19" x14ac:dyDescent="0.3">
      <c r="G400" s="68" t="str" cm="1">
        <f t="array" ref="G400">_xlfn.LET(_xlpm.ids,'E2E core flow'!$A$15:$A$1000,_xlpm.v,'E2E core flow'!$W$15:$W$1000,_xlpm.m,(_xlpm.ids&lt;&gt;"")*ISNUMBER(SEARCH(_xlpm.ids,$E400)),_xlpm.f,SUM(_xlpm.m*(_xlpm.v="Failed")),_xlpm.b,SUM(_xlpm.m*(_xlpm.v="Blocked")),_xlpm.nr,SUM(_xlpm.m*(_xlpm.v="Not Run")),_xlpm.cp,SUM(_xlpm.m*(_xlpm.v="Conditionally Passed")),_xlpm.p,SUM(_xlpm.m*(_xlpm.v="Passed")),IF(TRIM($A400)="","",IF(TRIM($E400)="","Pending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00" s="68" t="str">
        <f>IF(TRIM($A400)="","",IF($J400="Passed","",IF($J400="Passed with Known Issue","Known Issue",IF($J400="",IF(OR($H400&lt;&gt;"No",AND($F400&lt;&gt;"Medium",$F400&lt;&gt;"Low")),"Pending Result",""),IF(OR($H400&lt;&gt;"No",AND($F400&lt;&gt;"Medium",$F400&lt;&gt;"Low")),IF(COUNTIFS(Dashboard!$B$105:$B$124,$A400,Dashboard!$I$105:$I$124,"CAB")&gt;0,"Accepted (CF)","Blocking"),IF($J400="Failed","Deferrable","Carry Over"))))))</f>
        <v/>
      </c>
      <c r="M400" s="68" t="str">
        <f>IF(OR(TRIM($A400)="",TRIM($E400)=""),"",IFERROR(INDEX('E2E core flow'!$B$15:$B$1000,MATCH(1,INDEX(('E2E core flow'!$A$15:$A$1000&lt;&gt;"")*ISNUMBER(SEARCH('E2E core flow'!$A$15:$A$1000,$E400)),0),0))&amp;"","-"))</f>
        <v/>
      </c>
      <c r="N400" s="68" t="str">
        <f>IF(TRIM($A400)="","",IF($O400=0,IF(COUNTIFS('Card Test Cases'!$B$4:$B$1000,$A400,'Card Test Cases'!$A$4:$A$1000,"&lt;&gt;")&gt;0,"Out of Scope","No TC"),IF($Q400&gt;0,"Failed",IF(COUNTIFS('Card Test Cases'!$B$4:$B$1000,$A400,'Card Test Cases'!$A$4:$A$1000,"&lt;&gt;",'Card Test Cases'!$F$4:$F$1000,"Blocked")&gt;0,"Blocked",IF($R400&gt;0,"In Progress","Passed")))))</f>
        <v/>
      </c>
      <c r="O400" s="68" t="str">
        <f>IF(TRIM($A400)="","",COUNTIFS('Card Test Cases'!$B$4:$B$1000,$A400,'Card Test Cases'!$A$4:$A$1000,"&lt;&gt;",'Card Test Cases'!$F$4:$F$1000,"&lt;&gt;Out of Scope"))</f>
        <v/>
      </c>
      <c r="P400" s="68" t="str">
        <f>IF(TRIM($A400)="","",COUNTIFS('Card Test Cases'!$B$4:$B$1000,$A400,'Card Test Cases'!$A$4:$A$1000,"&lt;&gt;",'Card Test Cases'!$F$4:$F$1000,"Passed"))</f>
        <v/>
      </c>
      <c r="Q400" s="68" t="str">
        <f>IF(TRIM($A400)="","",COUNTIFS('Card Test Cases'!$B$4:$B$1000,$A400,'Card Test Cases'!$A$4:$A$1000,"&lt;&gt;",'Card Test Cases'!$F$4:$F$1000,"Failed"))</f>
        <v/>
      </c>
      <c r="R400" s="68" t="str">
        <f t="shared" si="6"/>
        <v/>
      </c>
      <c r="S400" s="68" t="str" cm="1">
        <f t="array" ref="S400">IF(TRIM($A400)="","",IFERROR(_xlfn.TEXTJOIN(", ",TRUE,_xlfn.UNIQUE(_xlfn.VSTACK(_xlfn._xlws.FILTER('Card Test Cases'!$G$4:$G$1000,('Card Test Cases'!$B$4:$B$1000=$A400)*('Card Test Cases'!$G$4:$G$1000&lt;&gt;""),""),_xlfn._xlws.FILTER('E2E core flow'!$U$15:$U$1000,('E2E core flow'!$A$15:$A$1000&lt;&gt;"")*ISNUMBER(SEARCH('E2E core flow'!$A$15:$A$1000,$E400))*('E2E core flow'!$U$15:$U$1000&lt;&gt;""),"")))),"-"))</f>
        <v/>
      </c>
    </row>
    <row r="401" spans="7:19" x14ac:dyDescent="0.3">
      <c r="G401" s="68" t="str" cm="1">
        <f t="array" ref="G401">_xlfn.LET(_xlpm.ids,'E2E core flow'!$A$15:$A$1000,_xlpm.v,'E2E core flow'!$W$15:$W$1000,_xlpm.m,(_xlpm.ids&lt;&gt;"")*ISNUMBER(SEARCH(_xlpm.ids,$E401)),_xlpm.f,SUM(_xlpm.m*(_xlpm.v="Failed")),_xlpm.b,SUM(_xlpm.m*(_xlpm.v="Blocked")),_xlpm.nr,SUM(_xlpm.m*(_xlpm.v="Not Run")),_xlpm.cp,SUM(_xlpm.m*(_xlpm.v="Conditionally Passed")),_xlpm.p,SUM(_xlpm.m*(_xlpm.v="Passed")),IF(TRIM($A401)="","",IF(TRIM($E401)="","Pending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01" s="68" t="str">
        <f>IF(TRIM($A401)="","",IF($J401="Passed","",IF($J401="Passed with Known Issue","Known Issue",IF($J401="",IF(OR($H401&lt;&gt;"No",AND($F401&lt;&gt;"Medium",$F401&lt;&gt;"Low")),"Pending Result",""),IF(OR($H401&lt;&gt;"No",AND($F401&lt;&gt;"Medium",$F401&lt;&gt;"Low")),IF(COUNTIFS(Dashboard!$B$105:$B$124,$A401,Dashboard!$I$105:$I$124,"CAB")&gt;0,"Accepted (CF)","Blocking"),IF($J401="Failed","Deferrable","Carry Over"))))))</f>
        <v/>
      </c>
      <c r="M401" s="68" t="str">
        <f>IF(OR(TRIM($A401)="",TRIM($E401)=""),"",IFERROR(INDEX('E2E core flow'!$B$15:$B$1000,MATCH(1,INDEX(('E2E core flow'!$A$15:$A$1000&lt;&gt;"")*ISNUMBER(SEARCH('E2E core flow'!$A$15:$A$1000,$E401)),0),0))&amp;"","-"))</f>
        <v/>
      </c>
      <c r="N401" s="68" t="str">
        <f>IF(TRIM($A401)="","",IF($O401=0,IF(COUNTIFS('Card Test Cases'!$B$4:$B$1000,$A401,'Card Test Cases'!$A$4:$A$1000,"&lt;&gt;")&gt;0,"Out of Scope","No TC"),IF($Q401&gt;0,"Failed",IF(COUNTIFS('Card Test Cases'!$B$4:$B$1000,$A401,'Card Test Cases'!$A$4:$A$1000,"&lt;&gt;",'Card Test Cases'!$F$4:$F$1000,"Blocked")&gt;0,"Blocked",IF($R401&gt;0,"In Progress","Passed")))))</f>
        <v/>
      </c>
      <c r="O401" s="68" t="str">
        <f>IF(TRIM($A401)="","",COUNTIFS('Card Test Cases'!$B$4:$B$1000,$A401,'Card Test Cases'!$A$4:$A$1000,"&lt;&gt;",'Card Test Cases'!$F$4:$F$1000,"&lt;&gt;Out of Scope"))</f>
        <v/>
      </c>
      <c r="P401" s="68" t="str">
        <f>IF(TRIM($A401)="","",COUNTIFS('Card Test Cases'!$B$4:$B$1000,$A401,'Card Test Cases'!$A$4:$A$1000,"&lt;&gt;",'Card Test Cases'!$F$4:$F$1000,"Passed"))</f>
        <v/>
      </c>
      <c r="Q401" s="68" t="str">
        <f>IF(TRIM($A401)="","",COUNTIFS('Card Test Cases'!$B$4:$B$1000,$A401,'Card Test Cases'!$A$4:$A$1000,"&lt;&gt;",'Card Test Cases'!$F$4:$F$1000,"Failed"))</f>
        <v/>
      </c>
      <c r="R401" s="68" t="str">
        <f t="shared" si="6"/>
        <v/>
      </c>
      <c r="S401" s="68" t="str" cm="1">
        <f t="array" ref="S401">IF(TRIM($A401)="","",IFERROR(_xlfn.TEXTJOIN(", ",TRUE,_xlfn.UNIQUE(_xlfn.VSTACK(_xlfn._xlws.FILTER('Card Test Cases'!$G$4:$G$1000,('Card Test Cases'!$B$4:$B$1000=$A401)*('Card Test Cases'!$G$4:$G$1000&lt;&gt;""),""),_xlfn._xlws.FILTER('E2E core flow'!$U$15:$U$1000,('E2E core flow'!$A$15:$A$1000&lt;&gt;"")*ISNUMBER(SEARCH('E2E core flow'!$A$15:$A$1000,$E401))*('E2E core flow'!$U$15:$U$1000&lt;&gt;""),"")))),"-"))</f>
        <v/>
      </c>
    </row>
    <row r="402" spans="7:19" x14ac:dyDescent="0.3">
      <c r="G402" s="68" t="str" cm="1">
        <f t="array" ref="G402">_xlfn.LET(_xlpm.ids,'E2E core flow'!$A$15:$A$1000,_xlpm.v,'E2E core flow'!$W$15:$W$1000,_xlpm.m,(_xlpm.ids&lt;&gt;"")*ISNUMBER(SEARCH(_xlpm.ids,$E402)),_xlpm.f,SUM(_xlpm.m*(_xlpm.v="Failed")),_xlpm.b,SUM(_xlpm.m*(_xlpm.v="Blocked")),_xlpm.nr,SUM(_xlpm.m*(_xlpm.v="Not Run")),_xlpm.cp,SUM(_xlpm.m*(_xlpm.v="Conditionally Passed")),_xlpm.p,SUM(_xlpm.m*(_xlpm.v="Passed")),IF(TRIM($A402)="","",IF(TRIM($E402)="","Pending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02" s="68" t="str">
        <f>IF(TRIM($A402)="","",IF($J402="Passed","",IF($J402="Passed with Known Issue","Known Issue",IF($J402="",IF(OR($H402&lt;&gt;"No",AND($F402&lt;&gt;"Medium",$F402&lt;&gt;"Low")),"Pending Result",""),IF(OR($H402&lt;&gt;"No",AND($F402&lt;&gt;"Medium",$F402&lt;&gt;"Low")),IF(COUNTIFS(Dashboard!$B$105:$B$124,$A402,Dashboard!$I$105:$I$124,"CAB")&gt;0,"Accepted (CF)","Blocking"),IF($J402="Failed","Deferrable","Carry Over"))))))</f>
        <v/>
      </c>
      <c r="M402" s="68" t="str">
        <f>IF(OR(TRIM($A402)="",TRIM($E402)=""),"",IFERROR(INDEX('E2E core flow'!$B$15:$B$1000,MATCH(1,INDEX(('E2E core flow'!$A$15:$A$1000&lt;&gt;"")*ISNUMBER(SEARCH('E2E core flow'!$A$15:$A$1000,$E402)),0),0))&amp;"","-"))</f>
        <v/>
      </c>
      <c r="N402" s="68" t="str">
        <f>IF(TRIM($A402)="","",IF($O402=0,IF(COUNTIFS('Card Test Cases'!$B$4:$B$1000,$A402,'Card Test Cases'!$A$4:$A$1000,"&lt;&gt;")&gt;0,"Out of Scope","No TC"),IF($Q402&gt;0,"Failed",IF(COUNTIFS('Card Test Cases'!$B$4:$B$1000,$A402,'Card Test Cases'!$A$4:$A$1000,"&lt;&gt;",'Card Test Cases'!$F$4:$F$1000,"Blocked")&gt;0,"Blocked",IF($R402&gt;0,"In Progress","Passed")))))</f>
        <v/>
      </c>
      <c r="O402" s="68" t="str">
        <f>IF(TRIM($A402)="","",COUNTIFS('Card Test Cases'!$B$4:$B$1000,$A402,'Card Test Cases'!$A$4:$A$1000,"&lt;&gt;",'Card Test Cases'!$F$4:$F$1000,"&lt;&gt;Out of Scope"))</f>
        <v/>
      </c>
      <c r="P402" s="68" t="str">
        <f>IF(TRIM($A402)="","",COUNTIFS('Card Test Cases'!$B$4:$B$1000,$A402,'Card Test Cases'!$A$4:$A$1000,"&lt;&gt;",'Card Test Cases'!$F$4:$F$1000,"Passed"))</f>
        <v/>
      </c>
      <c r="Q402" s="68" t="str">
        <f>IF(TRIM($A402)="","",COUNTIFS('Card Test Cases'!$B$4:$B$1000,$A402,'Card Test Cases'!$A$4:$A$1000,"&lt;&gt;",'Card Test Cases'!$F$4:$F$1000,"Failed"))</f>
        <v/>
      </c>
      <c r="R402" s="68" t="str">
        <f t="shared" si="6"/>
        <v/>
      </c>
      <c r="S402" s="68" t="str" cm="1">
        <f t="array" ref="S402">IF(TRIM($A402)="","",IFERROR(_xlfn.TEXTJOIN(", ",TRUE,_xlfn.UNIQUE(_xlfn.VSTACK(_xlfn._xlws.FILTER('Card Test Cases'!$G$4:$G$1000,('Card Test Cases'!$B$4:$B$1000=$A402)*('Card Test Cases'!$G$4:$G$1000&lt;&gt;""),""),_xlfn._xlws.FILTER('E2E core flow'!$U$15:$U$1000,('E2E core flow'!$A$15:$A$1000&lt;&gt;"")*ISNUMBER(SEARCH('E2E core flow'!$A$15:$A$1000,$E402))*('E2E core flow'!$U$15:$U$1000&lt;&gt;""),"")))),"-"))</f>
        <v/>
      </c>
    </row>
    <row r="403" spans="7:19" x14ac:dyDescent="0.3">
      <c r="G403" s="68" t="str" cm="1">
        <f t="array" ref="G403">_xlfn.LET(_xlpm.ids,'E2E core flow'!$A$15:$A$1000,_xlpm.v,'E2E core flow'!$W$15:$W$1000,_xlpm.m,(_xlpm.ids&lt;&gt;"")*ISNUMBER(SEARCH(_xlpm.ids,$E403)),_xlpm.f,SUM(_xlpm.m*(_xlpm.v="Failed")),_xlpm.b,SUM(_xlpm.m*(_xlpm.v="Blocked")),_xlpm.nr,SUM(_xlpm.m*(_xlpm.v="Not Run")),_xlpm.cp,SUM(_xlpm.m*(_xlpm.v="Conditionally Passed")),_xlpm.p,SUM(_xlpm.m*(_xlpm.v="Passed")),IF(TRIM($A403)="","",IF(TRIM($E403)="","Pending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03" s="68" t="str">
        <f>IF(TRIM($A403)="","",IF($J403="Passed","",IF($J403="Passed with Known Issue","Known Issue",IF($J403="",IF(OR($H403&lt;&gt;"No",AND($F403&lt;&gt;"Medium",$F403&lt;&gt;"Low")),"Pending Result",""),IF(OR($H403&lt;&gt;"No",AND($F403&lt;&gt;"Medium",$F403&lt;&gt;"Low")),IF(COUNTIFS(Dashboard!$B$105:$B$124,$A403,Dashboard!$I$105:$I$124,"CAB")&gt;0,"Accepted (CF)","Blocking"),IF($J403="Failed","Deferrable","Carry Over"))))))</f>
        <v/>
      </c>
      <c r="M403" s="68" t="str">
        <f>IF(OR(TRIM($A403)="",TRIM($E403)=""),"",IFERROR(INDEX('E2E core flow'!$B$15:$B$1000,MATCH(1,INDEX(('E2E core flow'!$A$15:$A$1000&lt;&gt;"")*ISNUMBER(SEARCH('E2E core flow'!$A$15:$A$1000,$E403)),0),0))&amp;"","-"))</f>
        <v/>
      </c>
      <c r="N403" s="68" t="str">
        <f>IF(TRIM($A403)="","",IF($O403=0,IF(COUNTIFS('Card Test Cases'!$B$4:$B$1000,$A403,'Card Test Cases'!$A$4:$A$1000,"&lt;&gt;")&gt;0,"Out of Scope","No TC"),IF($Q403&gt;0,"Failed",IF(COUNTIFS('Card Test Cases'!$B$4:$B$1000,$A403,'Card Test Cases'!$A$4:$A$1000,"&lt;&gt;",'Card Test Cases'!$F$4:$F$1000,"Blocked")&gt;0,"Blocked",IF($R403&gt;0,"In Progress","Passed")))))</f>
        <v/>
      </c>
      <c r="O403" s="68" t="str">
        <f>IF(TRIM($A403)="","",COUNTIFS('Card Test Cases'!$B$4:$B$1000,$A403,'Card Test Cases'!$A$4:$A$1000,"&lt;&gt;",'Card Test Cases'!$F$4:$F$1000,"&lt;&gt;Out of Scope"))</f>
        <v/>
      </c>
      <c r="P403" s="68" t="str">
        <f>IF(TRIM($A403)="","",COUNTIFS('Card Test Cases'!$B$4:$B$1000,$A403,'Card Test Cases'!$A$4:$A$1000,"&lt;&gt;",'Card Test Cases'!$F$4:$F$1000,"Passed"))</f>
        <v/>
      </c>
      <c r="Q403" s="68" t="str">
        <f>IF(TRIM($A403)="","",COUNTIFS('Card Test Cases'!$B$4:$B$1000,$A403,'Card Test Cases'!$A$4:$A$1000,"&lt;&gt;",'Card Test Cases'!$F$4:$F$1000,"Failed"))</f>
        <v/>
      </c>
      <c r="R403" s="68" t="str">
        <f t="shared" si="6"/>
        <v/>
      </c>
      <c r="S403" s="68" t="str" cm="1">
        <f t="array" ref="S403">IF(TRIM($A403)="","",IFERROR(_xlfn.TEXTJOIN(", ",TRUE,_xlfn.UNIQUE(_xlfn.VSTACK(_xlfn._xlws.FILTER('Card Test Cases'!$G$4:$G$1000,('Card Test Cases'!$B$4:$B$1000=$A403)*('Card Test Cases'!$G$4:$G$1000&lt;&gt;""),""),_xlfn._xlws.FILTER('E2E core flow'!$U$15:$U$1000,('E2E core flow'!$A$15:$A$1000&lt;&gt;"")*ISNUMBER(SEARCH('E2E core flow'!$A$15:$A$1000,$E403))*('E2E core flow'!$U$15:$U$1000&lt;&gt;""),"")))),"-"))</f>
        <v/>
      </c>
    </row>
    <row r="404" spans="7:19" x14ac:dyDescent="0.3">
      <c r="G404" s="68" t="str" cm="1">
        <f t="array" ref="G404">_xlfn.LET(_xlpm.ids,'E2E core flow'!$A$15:$A$1000,_xlpm.v,'E2E core flow'!$W$15:$W$1000,_xlpm.m,(_xlpm.ids&lt;&gt;"")*ISNUMBER(SEARCH(_xlpm.ids,$E404)),_xlpm.f,SUM(_xlpm.m*(_xlpm.v="Failed")),_xlpm.b,SUM(_xlpm.m*(_xlpm.v="Blocked")),_xlpm.nr,SUM(_xlpm.m*(_xlpm.v="Not Run")),_xlpm.cp,SUM(_xlpm.m*(_xlpm.v="Conditionally Passed")),_xlpm.p,SUM(_xlpm.m*(_xlpm.v="Passed")),IF(TRIM($A404)="","",IF(TRIM($E404)="","Pending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04" s="68" t="str">
        <f>IF(TRIM($A404)="","",IF($J404="Passed","",IF($J404="Passed with Known Issue","Known Issue",IF($J404="",IF(OR($H404&lt;&gt;"No",AND($F404&lt;&gt;"Medium",$F404&lt;&gt;"Low")),"Pending Result",""),IF(OR($H404&lt;&gt;"No",AND($F404&lt;&gt;"Medium",$F404&lt;&gt;"Low")),IF(COUNTIFS(Dashboard!$B$105:$B$124,$A404,Dashboard!$I$105:$I$124,"CAB")&gt;0,"Accepted (CF)","Blocking"),IF($J404="Failed","Deferrable","Carry Over"))))))</f>
        <v/>
      </c>
      <c r="M404" s="68" t="str">
        <f>IF(OR(TRIM($A404)="",TRIM($E404)=""),"",IFERROR(INDEX('E2E core flow'!$B$15:$B$1000,MATCH(1,INDEX(('E2E core flow'!$A$15:$A$1000&lt;&gt;"")*ISNUMBER(SEARCH('E2E core flow'!$A$15:$A$1000,$E404)),0),0))&amp;"","-"))</f>
        <v/>
      </c>
      <c r="N404" s="68" t="str">
        <f>IF(TRIM($A404)="","",IF($O404=0,IF(COUNTIFS('Card Test Cases'!$B$4:$B$1000,$A404,'Card Test Cases'!$A$4:$A$1000,"&lt;&gt;")&gt;0,"Out of Scope","No TC"),IF($Q404&gt;0,"Failed",IF(COUNTIFS('Card Test Cases'!$B$4:$B$1000,$A404,'Card Test Cases'!$A$4:$A$1000,"&lt;&gt;",'Card Test Cases'!$F$4:$F$1000,"Blocked")&gt;0,"Blocked",IF($R404&gt;0,"In Progress","Passed")))))</f>
        <v/>
      </c>
      <c r="O404" s="68" t="str">
        <f>IF(TRIM($A404)="","",COUNTIFS('Card Test Cases'!$B$4:$B$1000,$A404,'Card Test Cases'!$A$4:$A$1000,"&lt;&gt;",'Card Test Cases'!$F$4:$F$1000,"&lt;&gt;Out of Scope"))</f>
        <v/>
      </c>
      <c r="P404" s="68" t="str">
        <f>IF(TRIM($A404)="","",COUNTIFS('Card Test Cases'!$B$4:$B$1000,$A404,'Card Test Cases'!$A$4:$A$1000,"&lt;&gt;",'Card Test Cases'!$F$4:$F$1000,"Passed"))</f>
        <v/>
      </c>
      <c r="Q404" s="68" t="str">
        <f>IF(TRIM($A404)="","",COUNTIFS('Card Test Cases'!$B$4:$B$1000,$A404,'Card Test Cases'!$A$4:$A$1000,"&lt;&gt;",'Card Test Cases'!$F$4:$F$1000,"Failed"))</f>
        <v/>
      </c>
      <c r="R404" s="68" t="str">
        <f t="shared" si="6"/>
        <v/>
      </c>
      <c r="S404" s="68" t="str" cm="1">
        <f t="array" ref="S404">IF(TRIM($A404)="","",IFERROR(_xlfn.TEXTJOIN(", ",TRUE,_xlfn.UNIQUE(_xlfn.VSTACK(_xlfn._xlws.FILTER('Card Test Cases'!$G$4:$G$1000,('Card Test Cases'!$B$4:$B$1000=$A404)*('Card Test Cases'!$G$4:$G$1000&lt;&gt;""),""),_xlfn._xlws.FILTER('E2E core flow'!$U$15:$U$1000,('E2E core flow'!$A$15:$A$1000&lt;&gt;"")*ISNUMBER(SEARCH('E2E core flow'!$A$15:$A$1000,$E404))*('E2E core flow'!$U$15:$U$1000&lt;&gt;""),"")))),"-"))</f>
        <v/>
      </c>
    </row>
    <row r="405" spans="7:19" x14ac:dyDescent="0.3">
      <c r="G405" s="68" t="str" cm="1">
        <f t="array" ref="G405">_xlfn.LET(_xlpm.ids,'E2E core flow'!$A$15:$A$1000,_xlpm.v,'E2E core flow'!$W$15:$W$1000,_xlpm.m,(_xlpm.ids&lt;&gt;"")*ISNUMBER(SEARCH(_xlpm.ids,$E405)),_xlpm.f,SUM(_xlpm.m*(_xlpm.v="Failed")),_xlpm.b,SUM(_xlpm.m*(_xlpm.v="Blocked")),_xlpm.nr,SUM(_xlpm.m*(_xlpm.v="Not Run")),_xlpm.cp,SUM(_xlpm.m*(_xlpm.v="Conditionally Passed")),_xlpm.p,SUM(_xlpm.m*(_xlpm.v="Passed")),IF(TRIM($A405)="","",IF(TRIM($E405)="","Pending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05" s="68" t="str">
        <f>IF(TRIM($A405)="","",IF($J405="Passed","",IF($J405="Passed with Known Issue","Known Issue",IF($J405="",IF(OR($H405&lt;&gt;"No",AND($F405&lt;&gt;"Medium",$F405&lt;&gt;"Low")),"Pending Result",""),IF(OR($H405&lt;&gt;"No",AND($F405&lt;&gt;"Medium",$F405&lt;&gt;"Low")),IF(COUNTIFS(Dashboard!$B$105:$B$124,$A405,Dashboard!$I$105:$I$124,"CAB")&gt;0,"Accepted (CF)","Blocking"),IF($J405="Failed","Deferrable","Carry Over"))))))</f>
        <v/>
      </c>
      <c r="M405" s="68" t="str">
        <f>IF(OR(TRIM($A405)="",TRIM($E405)=""),"",IFERROR(INDEX('E2E core flow'!$B$15:$B$1000,MATCH(1,INDEX(('E2E core flow'!$A$15:$A$1000&lt;&gt;"")*ISNUMBER(SEARCH('E2E core flow'!$A$15:$A$1000,$E405)),0),0))&amp;"","-"))</f>
        <v/>
      </c>
      <c r="N405" s="68" t="str">
        <f>IF(TRIM($A405)="","",IF($O405=0,IF(COUNTIFS('Card Test Cases'!$B$4:$B$1000,$A405,'Card Test Cases'!$A$4:$A$1000,"&lt;&gt;")&gt;0,"Out of Scope","No TC"),IF($Q405&gt;0,"Failed",IF(COUNTIFS('Card Test Cases'!$B$4:$B$1000,$A405,'Card Test Cases'!$A$4:$A$1000,"&lt;&gt;",'Card Test Cases'!$F$4:$F$1000,"Blocked")&gt;0,"Blocked",IF($R405&gt;0,"In Progress","Passed")))))</f>
        <v/>
      </c>
      <c r="O405" s="68" t="str">
        <f>IF(TRIM($A405)="","",COUNTIFS('Card Test Cases'!$B$4:$B$1000,$A405,'Card Test Cases'!$A$4:$A$1000,"&lt;&gt;",'Card Test Cases'!$F$4:$F$1000,"&lt;&gt;Out of Scope"))</f>
        <v/>
      </c>
      <c r="P405" s="68" t="str">
        <f>IF(TRIM($A405)="","",COUNTIFS('Card Test Cases'!$B$4:$B$1000,$A405,'Card Test Cases'!$A$4:$A$1000,"&lt;&gt;",'Card Test Cases'!$F$4:$F$1000,"Passed"))</f>
        <v/>
      </c>
      <c r="Q405" s="68" t="str">
        <f>IF(TRIM($A405)="","",COUNTIFS('Card Test Cases'!$B$4:$B$1000,$A405,'Card Test Cases'!$A$4:$A$1000,"&lt;&gt;",'Card Test Cases'!$F$4:$F$1000,"Failed"))</f>
        <v/>
      </c>
      <c r="R405" s="68" t="str">
        <f t="shared" si="6"/>
        <v/>
      </c>
      <c r="S405" s="68" t="str" cm="1">
        <f t="array" ref="S405">IF(TRIM($A405)="","",IFERROR(_xlfn.TEXTJOIN(", ",TRUE,_xlfn.UNIQUE(_xlfn.VSTACK(_xlfn._xlws.FILTER('Card Test Cases'!$G$4:$G$1000,('Card Test Cases'!$B$4:$B$1000=$A405)*('Card Test Cases'!$G$4:$G$1000&lt;&gt;""),""),_xlfn._xlws.FILTER('E2E core flow'!$U$15:$U$1000,('E2E core flow'!$A$15:$A$1000&lt;&gt;"")*ISNUMBER(SEARCH('E2E core flow'!$A$15:$A$1000,$E405))*('E2E core flow'!$U$15:$U$1000&lt;&gt;""),"")))),"-"))</f>
        <v/>
      </c>
    </row>
    <row r="406" spans="7:19" x14ac:dyDescent="0.3">
      <c r="G406" s="68" t="str" cm="1">
        <f t="array" ref="G406">_xlfn.LET(_xlpm.ids,'E2E core flow'!$A$15:$A$1000,_xlpm.v,'E2E core flow'!$W$15:$W$1000,_xlpm.m,(_xlpm.ids&lt;&gt;"")*ISNUMBER(SEARCH(_xlpm.ids,$E406)),_xlpm.f,SUM(_xlpm.m*(_xlpm.v="Failed")),_xlpm.b,SUM(_xlpm.m*(_xlpm.v="Blocked")),_xlpm.nr,SUM(_xlpm.m*(_xlpm.v="Not Run")),_xlpm.cp,SUM(_xlpm.m*(_xlpm.v="Conditionally Passed")),_xlpm.p,SUM(_xlpm.m*(_xlpm.v="Passed")),IF(TRIM($A406)="","",IF(TRIM($E406)="","Pending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06" s="68" t="str">
        <f>IF(TRIM($A406)="","",IF($J406="Passed","",IF($J406="Passed with Known Issue","Known Issue",IF($J406="",IF(OR($H406&lt;&gt;"No",AND($F406&lt;&gt;"Medium",$F406&lt;&gt;"Low")),"Pending Result",""),IF(OR($H406&lt;&gt;"No",AND($F406&lt;&gt;"Medium",$F406&lt;&gt;"Low")),IF(COUNTIFS(Dashboard!$B$105:$B$124,$A406,Dashboard!$I$105:$I$124,"CAB")&gt;0,"Accepted (CF)","Blocking"),IF($J406="Failed","Deferrable","Carry Over"))))))</f>
        <v/>
      </c>
      <c r="M406" s="68" t="str">
        <f>IF(OR(TRIM($A406)="",TRIM($E406)=""),"",IFERROR(INDEX('E2E core flow'!$B$15:$B$1000,MATCH(1,INDEX(('E2E core flow'!$A$15:$A$1000&lt;&gt;"")*ISNUMBER(SEARCH('E2E core flow'!$A$15:$A$1000,$E406)),0),0))&amp;"","-"))</f>
        <v/>
      </c>
      <c r="N406" s="68" t="str">
        <f>IF(TRIM($A406)="","",IF($O406=0,IF(COUNTIFS('Card Test Cases'!$B$4:$B$1000,$A406,'Card Test Cases'!$A$4:$A$1000,"&lt;&gt;")&gt;0,"Out of Scope","No TC"),IF($Q406&gt;0,"Failed",IF(COUNTIFS('Card Test Cases'!$B$4:$B$1000,$A406,'Card Test Cases'!$A$4:$A$1000,"&lt;&gt;",'Card Test Cases'!$F$4:$F$1000,"Blocked")&gt;0,"Blocked",IF($R406&gt;0,"In Progress","Passed")))))</f>
        <v/>
      </c>
      <c r="O406" s="68" t="str">
        <f>IF(TRIM($A406)="","",COUNTIFS('Card Test Cases'!$B$4:$B$1000,$A406,'Card Test Cases'!$A$4:$A$1000,"&lt;&gt;",'Card Test Cases'!$F$4:$F$1000,"&lt;&gt;Out of Scope"))</f>
        <v/>
      </c>
      <c r="P406" s="68" t="str">
        <f>IF(TRIM($A406)="","",COUNTIFS('Card Test Cases'!$B$4:$B$1000,$A406,'Card Test Cases'!$A$4:$A$1000,"&lt;&gt;",'Card Test Cases'!$F$4:$F$1000,"Passed"))</f>
        <v/>
      </c>
      <c r="Q406" s="68" t="str">
        <f>IF(TRIM($A406)="","",COUNTIFS('Card Test Cases'!$B$4:$B$1000,$A406,'Card Test Cases'!$A$4:$A$1000,"&lt;&gt;",'Card Test Cases'!$F$4:$F$1000,"Failed"))</f>
        <v/>
      </c>
      <c r="R406" s="68" t="str">
        <f t="shared" si="6"/>
        <v/>
      </c>
      <c r="S406" s="68" t="str" cm="1">
        <f t="array" ref="S406">IF(TRIM($A406)="","",IFERROR(_xlfn.TEXTJOIN(", ",TRUE,_xlfn.UNIQUE(_xlfn.VSTACK(_xlfn._xlws.FILTER('Card Test Cases'!$G$4:$G$1000,('Card Test Cases'!$B$4:$B$1000=$A406)*('Card Test Cases'!$G$4:$G$1000&lt;&gt;""),""),_xlfn._xlws.FILTER('E2E core flow'!$U$15:$U$1000,('E2E core flow'!$A$15:$A$1000&lt;&gt;"")*ISNUMBER(SEARCH('E2E core flow'!$A$15:$A$1000,$E406))*('E2E core flow'!$U$15:$U$1000&lt;&gt;""),"")))),"-"))</f>
        <v/>
      </c>
    </row>
    <row r="407" spans="7:19" x14ac:dyDescent="0.3">
      <c r="G407" s="68" t="str" cm="1">
        <f t="array" ref="G407">_xlfn.LET(_xlpm.ids,'E2E core flow'!$A$15:$A$1000,_xlpm.v,'E2E core flow'!$W$15:$W$1000,_xlpm.m,(_xlpm.ids&lt;&gt;"")*ISNUMBER(SEARCH(_xlpm.ids,$E407)),_xlpm.f,SUM(_xlpm.m*(_xlpm.v="Failed")),_xlpm.b,SUM(_xlpm.m*(_xlpm.v="Blocked")),_xlpm.nr,SUM(_xlpm.m*(_xlpm.v="Not Run")),_xlpm.cp,SUM(_xlpm.m*(_xlpm.v="Conditionally Passed")),_xlpm.p,SUM(_xlpm.m*(_xlpm.v="Passed")),IF(TRIM($A407)="","",IF(TRIM($E407)="","Pending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07" s="68" t="str">
        <f>IF(TRIM($A407)="","",IF($J407="Passed","",IF($J407="Passed with Known Issue","Known Issue",IF($J407="",IF(OR($H407&lt;&gt;"No",AND($F407&lt;&gt;"Medium",$F407&lt;&gt;"Low")),"Pending Result",""),IF(OR($H407&lt;&gt;"No",AND($F407&lt;&gt;"Medium",$F407&lt;&gt;"Low")),IF(COUNTIFS(Dashboard!$B$105:$B$124,$A407,Dashboard!$I$105:$I$124,"CAB")&gt;0,"Accepted (CF)","Blocking"),IF($J407="Failed","Deferrable","Carry Over"))))))</f>
        <v/>
      </c>
      <c r="M407" s="68" t="str">
        <f>IF(OR(TRIM($A407)="",TRIM($E407)=""),"",IFERROR(INDEX('E2E core flow'!$B$15:$B$1000,MATCH(1,INDEX(('E2E core flow'!$A$15:$A$1000&lt;&gt;"")*ISNUMBER(SEARCH('E2E core flow'!$A$15:$A$1000,$E407)),0),0))&amp;"","-"))</f>
        <v/>
      </c>
      <c r="N407" s="68" t="str">
        <f>IF(TRIM($A407)="","",IF($O407=0,IF(COUNTIFS('Card Test Cases'!$B$4:$B$1000,$A407,'Card Test Cases'!$A$4:$A$1000,"&lt;&gt;")&gt;0,"Out of Scope","No TC"),IF($Q407&gt;0,"Failed",IF(COUNTIFS('Card Test Cases'!$B$4:$B$1000,$A407,'Card Test Cases'!$A$4:$A$1000,"&lt;&gt;",'Card Test Cases'!$F$4:$F$1000,"Blocked")&gt;0,"Blocked",IF($R407&gt;0,"In Progress","Passed")))))</f>
        <v/>
      </c>
      <c r="O407" s="68" t="str">
        <f>IF(TRIM($A407)="","",COUNTIFS('Card Test Cases'!$B$4:$B$1000,$A407,'Card Test Cases'!$A$4:$A$1000,"&lt;&gt;",'Card Test Cases'!$F$4:$F$1000,"&lt;&gt;Out of Scope"))</f>
        <v/>
      </c>
      <c r="P407" s="68" t="str">
        <f>IF(TRIM($A407)="","",COUNTIFS('Card Test Cases'!$B$4:$B$1000,$A407,'Card Test Cases'!$A$4:$A$1000,"&lt;&gt;",'Card Test Cases'!$F$4:$F$1000,"Passed"))</f>
        <v/>
      </c>
      <c r="Q407" s="68" t="str">
        <f>IF(TRIM($A407)="","",COUNTIFS('Card Test Cases'!$B$4:$B$1000,$A407,'Card Test Cases'!$A$4:$A$1000,"&lt;&gt;",'Card Test Cases'!$F$4:$F$1000,"Failed"))</f>
        <v/>
      </c>
      <c r="R407" s="68" t="str">
        <f t="shared" si="6"/>
        <v/>
      </c>
      <c r="S407" s="68" t="str" cm="1">
        <f t="array" ref="S407">IF(TRIM($A407)="","",IFERROR(_xlfn.TEXTJOIN(", ",TRUE,_xlfn.UNIQUE(_xlfn.VSTACK(_xlfn._xlws.FILTER('Card Test Cases'!$G$4:$G$1000,('Card Test Cases'!$B$4:$B$1000=$A407)*('Card Test Cases'!$G$4:$G$1000&lt;&gt;""),""),_xlfn._xlws.FILTER('E2E core flow'!$U$15:$U$1000,('E2E core flow'!$A$15:$A$1000&lt;&gt;"")*ISNUMBER(SEARCH('E2E core flow'!$A$15:$A$1000,$E407))*('E2E core flow'!$U$15:$U$1000&lt;&gt;""),"")))),"-"))</f>
        <v/>
      </c>
    </row>
    <row r="408" spans="7:19" x14ac:dyDescent="0.3">
      <c r="G408" s="68" t="str" cm="1">
        <f t="array" ref="G408">_xlfn.LET(_xlpm.ids,'E2E core flow'!$A$15:$A$1000,_xlpm.v,'E2E core flow'!$W$15:$W$1000,_xlpm.m,(_xlpm.ids&lt;&gt;"")*ISNUMBER(SEARCH(_xlpm.ids,$E408)),_xlpm.f,SUM(_xlpm.m*(_xlpm.v="Failed")),_xlpm.b,SUM(_xlpm.m*(_xlpm.v="Blocked")),_xlpm.nr,SUM(_xlpm.m*(_xlpm.v="Not Run")),_xlpm.cp,SUM(_xlpm.m*(_xlpm.v="Conditionally Passed")),_xlpm.p,SUM(_xlpm.m*(_xlpm.v="Passed")),IF(TRIM($A408)="","",IF(TRIM($E408)="","Pending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08" s="68" t="str">
        <f>IF(TRIM($A408)="","",IF($J408="Passed","",IF($J408="Passed with Known Issue","Known Issue",IF($J408="",IF(OR($H408&lt;&gt;"No",AND($F408&lt;&gt;"Medium",$F408&lt;&gt;"Low")),"Pending Result",""),IF(OR($H408&lt;&gt;"No",AND($F408&lt;&gt;"Medium",$F408&lt;&gt;"Low")),IF(COUNTIFS(Dashboard!$B$105:$B$124,$A408,Dashboard!$I$105:$I$124,"CAB")&gt;0,"Accepted (CF)","Blocking"),IF($J408="Failed","Deferrable","Carry Over"))))))</f>
        <v/>
      </c>
      <c r="M408" s="68" t="str">
        <f>IF(OR(TRIM($A408)="",TRIM($E408)=""),"",IFERROR(INDEX('E2E core flow'!$B$15:$B$1000,MATCH(1,INDEX(('E2E core flow'!$A$15:$A$1000&lt;&gt;"")*ISNUMBER(SEARCH('E2E core flow'!$A$15:$A$1000,$E408)),0),0))&amp;"","-"))</f>
        <v/>
      </c>
      <c r="N408" s="68" t="str">
        <f>IF(TRIM($A408)="","",IF($O408=0,IF(COUNTIFS('Card Test Cases'!$B$4:$B$1000,$A408,'Card Test Cases'!$A$4:$A$1000,"&lt;&gt;")&gt;0,"Out of Scope","No TC"),IF($Q408&gt;0,"Failed",IF(COUNTIFS('Card Test Cases'!$B$4:$B$1000,$A408,'Card Test Cases'!$A$4:$A$1000,"&lt;&gt;",'Card Test Cases'!$F$4:$F$1000,"Blocked")&gt;0,"Blocked",IF($R408&gt;0,"In Progress","Passed")))))</f>
        <v/>
      </c>
      <c r="O408" s="68" t="str">
        <f>IF(TRIM($A408)="","",COUNTIFS('Card Test Cases'!$B$4:$B$1000,$A408,'Card Test Cases'!$A$4:$A$1000,"&lt;&gt;",'Card Test Cases'!$F$4:$F$1000,"&lt;&gt;Out of Scope"))</f>
        <v/>
      </c>
      <c r="P408" s="68" t="str">
        <f>IF(TRIM($A408)="","",COUNTIFS('Card Test Cases'!$B$4:$B$1000,$A408,'Card Test Cases'!$A$4:$A$1000,"&lt;&gt;",'Card Test Cases'!$F$4:$F$1000,"Passed"))</f>
        <v/>
      </c>
      <c r="Q408" s="68" t="str">
        <f>IF(TRIM($A408)="","",COUNTIFS('Card Test Cases'!$B$4:$B$1000,$A408,'Card Test Cases'!$A$4:$A$1000,"&lt;&gt;",'Card Test Cases'!$F$4:$F$1000,"Failed"))</f>
        <v/>
      </c>
      <c r="R408" s="68" t="str">
        <f t="shared" si="6"/>
        <v/>
      </c>
      <c r="S408" s="68" t="str" cm="1">
        <f t="array" ref="S408">IF(TRIM($A408)="","",IFERROR(_xlfn.TEXTJOIN(", ",TRUE,_xlfn.UNIQUE(_xlfn.VSTACK(_xlfn._xlws.FILTER('Card Test Cases'!$G$4:$G$1000,('Card Test Cases'!$B$4:$B$1000=$A408)*('Card Test Cases'!$G$4:$G$1000&lt;&gt;""),""),_xlfn._xlws.FILTER('E2E core flow'!$U$15:$U$1000,('E2E core flow'!$A$15:$A$1000&lt;&gt;"")*ISNUMBER(SEARCH('E2E core flow'!$A$15:$A$1000,$E408))*('E2E core flow'!$U$15:$U$1000&lt;&gt;""),"")))),"-"))</f>
        <v/>
      </c>
    </row>
    <row r="409" spans="7:19" x14ac:dyDescent="0.3">
      <c r="G409" s="68" t="str" cm="1">
        <f t="array" ref="G409">_xlfn.LET(_xlpm.ids,'E2E core flow'!$A$15:$A$1000,_xlpm.v,'E2E core flow'!$W$15:$W$1000,_xlpm.m,(_xlpm.ids&lt;&gt;"")*ISNUMBER(SEARCH(_xlpm.ids,$E409)),_xlpm.f,SUM(_xlpm.m*(_xlpm.v="Failed")),_xlpm.b,SUM(_xlpm.m*(_xlpm.v="Blocked")),_xlpm.nr,SUM(_xlpm.m*(_xlpm.v="Not Run")),_xlpm.cp,SUM(_xlpm.m*(_xlpm.v="Conditionally Passed")),_xlpm.p,SUM(_xlpm.m*(_xlpm.v="Passed")),IF(TRIM($A409)="","",IF(TRIM($E409)="","Pending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09" s="68" t="str">
        <f>IF(TRIM($A409)="","",IF($J409="Passed","",IF($J409="Passed with Known Issue","Known Issue",IF($J409="",IF(OR($H409&lt;&gt;"No",AND($F409&lt;&gt;"Medium",$F409&lt;&gt;"Low")),"Pending Result",""),IF(OR($H409&lt;&gt;"No",AND($F409&lt;&gt;"Medium",$F409&lt;&gt;"Low")),IF(COUNTIFS(Dashboard!$B$105:$B$124,$A409,Dashboard!$I$105:$I$124,"CAB")&gt;0,"Accepted (CF)","Blocking"),IF($J409="Failed","Deferrable","Carry Over"))))))</f>
        <v/>
      </c>
      <c r="M409" s="68" t="str">
        <f>IF(OR(TRIM($A409)="",TRIM($E409)=""),"",IFERROR(INDEX('E2E core flow'!$B$15:$B$1000,MATCH(1,INDEX(('E2E core flow'!$A$15:$A$1000&lt;&gt;"")*ISNUMBER(SEARCH('E2E core flow'!$A$15:$A$1000,$E409)),0),0))&amp;"","-"))</f>
        <v/>
      </c>
      <c r="N409" s="68" t="str">
        <f>IF(TRIM($A409)="","",IF($O409=0,IF(COUNTIFS('Card Test Cases'!$B$4:$B$1000,$A409,'Card Test Cases'!$A$4:$A$1000,"&lt;&gt;")&gt;0,"Out of Scope","No TC"),IF($Q409&gt;0,"Failed",IF(COUNTIFS('Card Test Cases'!$B$4:$B$1000,$A409,'Card Test Cases'!$A$4:$A$1000,"&lt;&gt;",'Card Test Cases'!$F$4:$F$1000,"Blocked")&gt;0,"Blocked",IF($R409&gt;0,"In Progress","Passed")))))</f>
        <v/>
      </c>
      <c r="O409" s="68" t="str">
        <f>IF(TRIM($A409)="","",COUNTIFS('Card Test Cases'!$B$4:$B$1000,$A409,'Card Test Cases'!$A$4:$A$1000,"&lt;&gt;",'Card Test Cases'!$F$4:$F$1000,"&lt;&gt;Out of Scope"))</f>
        <v/>
      </c>
      <c r="P409" s="68" t="str">
        <f>IF(TRIM($A409)="","",COUNTIFS('Card Test Cases'!$B$4:$B$1000,$A409,'Card Test Cases'!$A$4:$A$1000,"&lt;&gt;",'Card Test Cases'!$F$4:$F$1000,"Passed"))</f>
        <v/>
      </c>
      <c r="Q409" s="68" t="str">
        <f>IF(TRIM($A409)="","",COUNTIFS('Card Test Cases'!$B$4:$B$1000,$A409,'Card Test Cases'!$A$4:$A$1000,"&lt;&gt;",'Card Test Cases'!$F$4:$F$1000,"Failed"))</f>
        <v/>
      </c>
      <c r="R409" s="68" t="str">
        <f t="shared" si="6"/>
        <v/>
      </c>
      <c r="S409" s="68" t="str" cm="1">
        <f t="array" ref="S409">IF(TRIM($A409)="","",IFERROR(_xlfn.TEXTJOIN(", ",TRUE,_xlfn.UNIQUE(_xlfn.VSTACK(_xlfn._xlws.FILTER('Card Test Cases'!$G$4:$G$1000,('Card Test Cases'!$B$4:$B$1000=$A409)*('Card Test Cases'!$G$4:$G$1000&lt;&gt;""),""),_xlfn._xlws.FILTER('E2E core flow'!$U$15:$U$1000,('E2E core flow'!$A$15:$A$1000&lt;&gt;"")*ISNUMBER(SEARCH('E2E core flow'!$A$15:$A$1000,$E409))*('E2E core flow'!$U$15:$U$1000&lt;&gt;""),"")))),"-"))</f>
        <v/>
      </c>
    </row>
    <row r="410" spans="7:19" x14ac:dyDescent="0.3">
      <c r="G410" s="68" t="str" cm="1">
        <f t="array" ref="G410">_xlfn.LET(_xlpm.ids,'E2E core flow'!$A$15:$A$1000,_xlpm.v,'E2E core flow'!$W$15:$W$1000,_xlpm.m,(_xlpm.ids&lt;&gt;"")*ISNUMBER(SEARCH(_xlpm.ids,$E410)),_xlpm.f,SUM(_xlpm.m*(_xlpm.v="Failed")),_xlpm.b,SUM(_xlpm.m*(_xlpm.v="Blocked")),_xlpm.nr,SUM(_xlpm.m*(_xlpm.v="Not Run")),_xlpm.cp,SUM(_xlpm.m*(_xlpm.v="Conditionally Passed")),_xlpm.p,SUM(_xlpm.m*(_xlpm.v="Passed")),IF(TRIM($A410)="","",IF(TRIM($E410)="","Pending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10" s="68" t="str">
        <f>IF(TRIM($A410)="","",IF($J410="Passed","",IF($J410="Passed with Known Issue","Known Issue",IF($J410="",IF(OR($H410&lt;&gt;"No",AND($F410&lt;&gt;"Medium",$F410&lt;&gt;"Low")),"Pending Result",""),IF(OR($H410&lt;&gt;"No",AND($F410&lt;&gt;"Medium",$F410&lt;&gt;"Low")),IF(COUNTIFS(Dashboard!$B$105:$B$124,$A410,Dashboard!$I$105:$I$124,"CAB")&gt;0,"Accepted (CF)","Blocking"),IF($J410="Failed","Deferrable","Carry Over"))))))</f>
        <v/>
      </c>
      <c r="M410" s="68" t="str">
        <f>IF(OR(TRIM($A410)="",TRIM($E410)=""),"",IFERROR(INDEX('E2E core flow'!$B$15:$B$1000,MATCH(1,INDEX(('E2E core flow'!$A$15:$A$1000&lt;&gt;"")*ISNUMBER(SEARCH('E2E core flow'!$A$15:$A$1000,$E410)),0),0))&amp;"","-"))</f>
        <v/>
      </c>
      <c r="N410" s="68" t="str">
        <f>IF(TRIM($A410)="","",IF($O410=0,IF(COUNTIFS('Card Test Cases'!$B$4:$B$1000,$A410,'Card Test Cases'!$A$4:$A$1000,"&lt;&gt;")&gt;0,"Out of Scope","No TC"),IF($Q410&gt;0,"Failed",IF(COUNTIFS('Card Test Cases'!$B$4:$B$1000,$A410,'Card Test Cases'!$A$4:$A$1000,"&lt;&gt;",'Card Test Cases'!$F$4:$F$1000,"Blocked")&gt;0,"Blocked",IF($R410&gt;0,"In Progress","Passed")))))</f>
        <v/>
      </c>
      <c r="O410" s="68" t="str">
        <f>IF(TRIM($A410)="","",COUNTIFS('Card Test Cases'!$B$4:$B$1000,$A410,'Card Test Cases'!$A$4:$A$1000,"&lt;&gt;",'Card Test Cases'!$F$4:$F$1000,"&lt;&gt;Out of Scope"))</f>
        <v/>
      </c>
      <c r="P410" s="68" t="str">
        <f>IF(TRIM($A410)="","",COUNTIFS('Card Test Cases'!$B$4:$B$1000,$A410,'Card Test Cases'!$A$4:$A$1000,"&lt;&gt;",'Card Test Cases'!$F$4:$F$1000,"Passed"))</f>
        <v/>
      </c>
      <c r="Q410" s="68" t="str">
        <f>IF(TRIM($A410)="","",COUNTIFS('Card Test Cases'!$B$4:$B$1000,$A410,'Card Test Cases'!$A$4:$A$1000,"&lt;&gt;",'Card Test Cases'!$F$4:$F$1000,"Failed"))</f>
        <v/>
      </c>
      <c r="R410" s="68" t="str">
        <f t="shared" si="6"/>
        <v/>
      </c>
      <c r="S410" s="68" t="str" cm="1">
        <f t="array" ref="S410">IF(TRIM($A410)="","",IFERROR(_xlfn.TEXTJOIN(", ",TRUE,_xlfn.UNIQUE(_xlfn.VSTACK(_xlfn._xlws.FILTER('Card Test Cases'!$G$4:$G$1000,('Card Test Cases'!$B$4:$B$1000=$A410)*('Card Test Cases'!$G$4:$G$1000&lt;&gt;""),""),_xlfn._xlws.FILTER('E2E core flow'!$U$15:$U$1000,('E2E core flow'!$A$15:$A$1000&lt;&gt;"")*ISNUMBER(SEARCH('E2E core flow'!$A$15:$A$1000,$E410))*('E2E core flow'!$U$15:$U$1000&lt;&gt;""),"")))),"-"))</f>
        <v/>
      </c>
    </row>
    <row r="411" spans="7:19" x14ac:dyDescent="0.3">
      <c r="G411" s="68" t="str" cm="1">
        <f t="array" ref="G411">_xlfn.LET(_xlpm.ids,'E2E core flow'!$A$15:$A$1000,_xlpm.v,'E2E core flow'!$W$15:$W$1000,_xlpm.m,(_xlpm.ids&lt;&gt;"")*ISNUMBER(SEARCH(_xlpm.ids,$E411)),_xlpm.f,SUM(_xlpm.m*(_xlpm.v="Failed")),_xlpm.b,SUM(_xlpm.m*(_xlpm.v="Blocked")),_xlpm.nr,SUM(_xlpm.m*(_xlpm.v="Not Run")),_xlpm.cp,SUM(_xlpm.m*(_xlpm.v="Conditionally Passed")),_xlpm.p,SUM(_xlpm.m*(_xlpm.v="Passed")),IF(TRIM($A411)="","",IF(TRIM($E411)="","Pending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11" s="68" t="str">
        <f>IF(TRIM($A411)="","",IF($J411="Passed","",IF($J411="Passed with Known Issue","Known Issue",IF($J411="",IF(OR($H411&lt;&gt;"No",AND($F411&lt;&gt;"Medium",$F411&lt;&gt;"Low")),"Pending Result",""),IF(OR($H411&lt;&gt;"No",AND($F411&lt;&gt;"Medium",$F411&lt;&gt;"Low")),IF(COUNTIFS(Dashboard!$B$105:$B$124,$A411,Dashboard!$I$105:$I$124,"CAB")&gt;0,"Accepted (CF)","Blocking"),IF($J411="Failed","Deferrable","Carry Over"))))))</f>
        <v/>
      </c>
      <c r="M411" s="68" t="str">
        <f>IF(OR(TRIM($A411)="",TRIM($E411)=""),"",IFERROR(INDEX('E2E core flow'!$B$15:$B$1000,MATCH(1,INDEX(('E2E core flow'!$A$15:$A$1000&lt;&gt;"")*ISNUMBER(SEARCH('E2E core flow'!$A$15:$A$1000,$E411)),0),0))&amp;"","-"))</f>
        <v/>
      </c>
      <c r="N411" s="68" t="str">
        <f>IF(TRIM($A411)="","",IF($O411=0,IF(COUNTIFS('Card Test Cases'!$B$4:$B$1000,$A411,'Card Test Cases'!$A$4:$A$1000,"&lt;&gt;")&gt;0,"Out of Scope","No TC"),IF($Q411&gt;0,"Failed",IF(COUNTIFS('Card Test Cases'!$B$4:$B$1000,$A411,'Card Test Cases'!$A$4:$A$1000,"&lt;&gt;",'Card Test Cases'!$F$4:$F$1000,"Blocked")&gt;0,"Blocked",IF($R411&gt;0,"In Progress","Passed")))))</f>
        <v/>
      </c>
      <c r="O411" s="68" t="str">
        <f>IF(TRIM($A411)="","",COUNTIFS('Card Test Cases'!$B$4:$B$1000,$A411,'Card Test Cases'!$A$4:$A$1000,"&lt;&gt;",'Card Test Cases'!$F$4:$F$1000,"&lt;&gt;Out of Scope"))</f>
        <v/>
      </c>
      <c r="P411" s="68" t="str">
        <f>IF(TRIM($A411)="","",COUNTIFS('Card Test Cases'!$B$4:$B$1000,$A411,'Card Test Cases'!$A$4:$A$1000,"&lt;&gt;",'Card Test Cases'!$F$4:$F$1000,"Passed"))</f>
        <v/>
      </c>
      <c r="Q411" s="68" t="str">
        <f>IF(TRIM($A411)="","",COUNTIFS('Card Test Cases'!$B$4:$B$1000,$A411,'Card Test Cases'!$A$4:$A$1000,"&lt;&gt;",'Card Test Cases'!$F$4:$F$1000,"Failed"))</f>
        <v/>
      </c>
      <c r="R411" s="68" t="str">
        <f t="shared" si="6"/>
        <v/>
      </c>
      <c r="S411" s="68" t="str" cm="1">
        <f t="array" ref="S411">IF(TRIM($A411)="","",IFERROR(_xlfn.TEXTJOIN(", ",TRUE,_xlfn.UNIQUE(_xlfn.VSTACK(_xlfn._xlws.FILTER('Card Test Cases'!$G$4:$G$1000,('Card Test Cases'!$B$4:$B$1000=$A411)*('Card Test Cases'!$G$4:$G$1000&lt;&gt;""),""),_xlfn._xlws.FILTER('E2E core flow'!$U$15:$U$1000,('E2E core flow'!$A$15:$A$1000&lt;&gt;"")*ISNUMBER(SEARCH('E2E core flow'!$A$15:$A$1000,$E411))*('E2E core flow'!$U$15:$U$1000&lt;&gt;""),"")))),"-"))</f>
        <v/>
      </c>
    </row>
    <row r="412" spans="7:19" x14ac:dyDescent="0.3">
      <c r="G412" s="68" t="str" cm="1">
        <f t="array" ref="G412">_xlfn.LET(_xlpm.ids,'E2E core flow'!$A$15:$A$1000,_xlpm.v,'E2E core flow'!$W$15:$W$1000,_xlpm.m,(_xlpm.ids&lt;&gt;"")*ISNUMBER(SEARCH(_xlpm.ids,$E412)),_xlpm.f,SUM(_xlpm.m*(_xlpm.v="Failed")),_xlpm.b,SUM(_xlpm.m*(_xlpm.v="Blocked")),_xlpm.nr,SUM(_xlpm.m*(_xlpm.v="Not Run")),_xlpm.cp,SUM(_xlpm.m*(_xlpm.v="Conditionally Passed")),_xlpm.p,SUM(_xlpm.m*(_xlpm.v="Passed")),IF(TRIM($A412)="","",IF(TRIM($E412)="","Pending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12" s="68" t="str">
        <f>IF(TRIM($A412)="","",IF($J412="Passed","",IF($J412="Passed with Known Issue","Known Issue",IF($J412="",IF(OR($H412&lt;&gt;"No",AND($F412&lt;&gt;"Medium",$F412&lt;&gt;"Low")),"Pending Result",""),IF(OR($H412&lt;&gt;"No",AND($F412&lt;&gt;"Medium",$F412&lt;&gt;"Low")),IF(COUNTIFS(Dashboard!$B$105:$B$124,$A412,Dashboard!$I$105:$I$124,"CAB")&gt;0,"Accepted (CF)","Blocking"),IF($J412="Failed","Deferrable","Carry Over"))))))</f>
        <v/>
      </c>
      <c r="M412" s="68" t="str">
        <f>IF(OR(TRIM($A412)="",TRIM($E412)=""),"",IFERROR(INDEX('E2E core flow'!$B$15:$B$1000,MATCH(1,INDEX(('E2E core flow'!$A$15:$A$1000&lt;&gt;"")*ISNUMBER(SEARCH('E2E core flow'!$A$15:$A$1000,$E412)),0),0))&amp;"","-"))</f>
        <v/>
      </c>
      <c r="N412" s="68" t="str">
        <f>IF(TRIM($A412)="","",IF($O412=0,IF(COUNTIFS('Card Test Cases'!$B$4:$B$1000,$A412,'Card Test Cases'!$A$4:$A$1000,"&lt;&gt;")&gt;0,"Out of Scope","No TC"),IF($Q412&gt;0,"Failed",IF(COUNTIFS('Card Test Cases'!$B$4:$B$1000,$A412,'Card Test Cases'!$A$4:$A$1000,"&lt;&gt;",'Card Test Cases'!$F$4:$F$1000,"Blocked")&gt;0,"Blocked",IF($R412&gt;0,"In Progress","Passed")))))</f>
        <v/>
      </c>
      <c r="O412" s="68" t="str">
        <f>IF(TRIM($A412)="","",COUNTIFS('Card Test Cases'!$B$4:$B$1000,$A412,'Card Test Cases'!$A$4:$A$1000,"&lt;&gt;",'Card Test Cases'!$F$4:$F$1000,"&lt;&gt;Out of Scope"))</f>
        <v/>
      </c>
      <c r="P412" s="68" t="str">
        <f>IF(TRIM($A412)="","",COUNTIFS('Card Test Cases'!$B$4:$B$1000,$A412,'Card Test Cases'!$A$4:$A$1000,"&lt;&gt;",'Card Test Cases'!$F$4:$F$1000,"Passed"))</f>
        <v/>
      </c>
      <c r="Q412" s="68" t="str">
        <f>IF(TRIM($A412)="","",COUNTIFS('Card Test Cases'!$B$4:$B$1000,$A412,'Card Test Cases'!$A$4:$A$1000,"&lt;&gt;",'Card Test Cases'!$F$4:$F$1000,"Failed"))</f>
        <v/>
      </c>
      <c r="R412" s="68" t="str">
        <f t="shared" si="6"/>
        <v/>
      </c>
      <c r="S412" s="68" t="str" cm="1">
        <f t="array" ref="S412">IF(TRIM($A412)="","",IFERROR(_xlfn.TEXTJOIN(", ",TRUE,_xlfn.UNIQUE(_xlfn.VSTACK(_xlfn._xlws.FILTER('Card Test Cases'!$G$4:$G$1000,('Card Test Cases'!$B$4:$B$1000=$A412)*('Card Test Cases'!$G$4:$G$1000&lt;&gt;""),""),_xlfn._xlws.FILTER('E2E core flow'!$U$15:$U$1000,('E2E core flow'!$A$15:$A$1000&lt;&gt;"")*ISNUMBER(SEARCH('E2E core flow'!$A$15:$A$1000,$E412))*('E2E core flow'!$U$15:$U$1000&lt;&gt;""),"")))),"-"))</f>
        <v/>
      </c>
    </row>
    <row r="413" spans="7:19" x14ac:dyDescent="0.3">
      <c r="G413" s="68" t="str" cm="1">
        <f t="array" ref="G413">_xlfn.LET(_xlpm.ids,'E2E core flow'!$A$15:$A$1000,_xlpm.v,'E2E core flow'!$W$15:$W$1000,_xlpm.m,(_xlpm.ids&lt;&gt;"")*ISNUMBER(SEARCH(_xlpm.ids,$E413)),_xlpm.f,SUM(_xlpm.m*(_xlpm.v="Failed")),_xlpm.b,SUM(_xlpm.m*(_xlpm.v="Blocked")),_xlpm.nr,SUM(_xlpm.m*(_xlpm.v="Not Run")),_xlpm.cp,SUM(_xlpm.m*(_xlpm.v="Conditionally Passed")),_xlpm.p,SUM(_xlpm.m*(_xlpm.v="Passed")),IF(TRIM($A413)="","",IF(TRIM($E413)="","Pending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13" s="68" t="str">
        <f>IF(TRIM($A413)="","",IF($J413="Passed","",IF($J413="Passed with Known Issue","Known Issue",IF($J413="",IF(OR($H413&lt;&gt;"No",AND($F413&lt;&gt;"Medium",$F413&lt;&gt;"Low")),"Pending Result",""),IF(OR($H413&lt;&gt;"No",AND($F413&lt;&gt;"Medium",$F413&lt;&gt;"Low")),IF(COUNTIFS(Dashboard!$B$105:$B$124,$A413,Dashboard!$I$105:$I$124,"CAB")&gt;0,"Accepted (CF)","Blocking"),IF($J413="Failed","Deferrable","Carry Over"))))))</f>
        <v/>
      </c>
      <c r="M413" s="68" t="str">
        <f>IF(OR(TRIM($A413)="",TRIM($E413)=""),"",IFERROR(INDEX('E2E core flow'!$B$15:$B$1000,MATCH(1,INDEX(('E2E core flow'!$A$15:$A$1000&lt;&gt;"")*ISNUMBER(SEARCH('E2E core flow'!$A$15:$A$1000,$E413)),0),0))&amp;"","-"))</f>
        <v/>
      </c>
      <c r="N413" s="68" t="str">
        <f>IF(TRIM($A413)="","",IF($O413=0,IF(COUNTIFS('Card Test Cases'!$B$4:$B$1000,$A413,'Card Test Cases'!$A$4:$A$1000,"&lt;&gt;")&gt;0,"Out of Scope","No TC"),IF($Q413&gt;0,"Failed",IF(COUNTIFS('Card Test Cases'!$B$4:$B$1000,$A413,'Card Test Cases'!$A$4:$A$1000,"&lt;&gt;",'Card Test Cases'!$F$4:$F$1000,"Blocked")&gt;0,"Blocked",IF($R413&gt;0,"In Progress","Passed")))))</f>
        <v/>
      </c>
      <c r="O413" s="68" t="str">
        <f>IF(TRIM($A413)="","",COUNTIFS('Card Test Cases'!$B$4:$B$1000,$A413,'Card Test Cases'!$A$4:$A$1000,"&lt;&gt;",'Card Test Cases'!$F$4:$F$1000,"&lt;&gt;Out of Scope"))</f>
        <v/>
      </c>
      <c r="P413" s="68" t="str">
        <f>IF(TRIM($A413)="","",COUNTIFS('Card Test Cases'!$B$4:$B$1000,$A413,'Card Test Cases'!$A$4:$A$1000,"&lt;&gt;",'Card Test Cases'!$F$4:$F$1000,"Passed"))</f>
        <v/>
      </c>
      <c r="Q413" s="68" t="str">
        <f>IF(TRIM($A413)="","",COUNTIFS('Card Test Cases'!$B$4:$B$1000,$A413,'Card Test Cases'!$A$4:$A$1000,"&lt;&gt;",'Card Test Cases'!$F$4:$F$1000,"Failed"))</f>
        <v/>
      </c>
      <c r="R413" s="68" t="str">
        <f t="shared" si="6"/>
        <v/>
      </c>
      <c r="S413" s="68" t="str" cm="1">
        <f t="array" ref="S413">IF(TRIM($A413)="","",IFERROR(_xlfn.TEXTJOIN(", ",TRUE,_xlfn.UNIQUE(_xlfn.VSTACK(_xlfn._xlws.FILTER('Card Test Cases'!$G$4:$G$1000,('Card Test Cases'!$B$4:$B$1000=$A413)*('Card Test Cases'!$G$4:$G$1000&lt;&gt;""),""),_xlfn._xlws.FILTER('E2E core flow'!$U$15:$U$1000,('E2E core flow'!$A$15:$A$1000&lt;&gt;"")*ISNUMBER(SEARCH('E2E core flow'!$A$15:$A$1000,$E413))*('E2E core flow'!$U$15:$U$1000&lt;&gt;""),"")))),"-"))</f>
        <v/>
      </c>
    </row>
    <row r="414" spans="7:19" x14ac:dyDescent="0.3">
      <c r="G414" s="68" t="str" cm="1">
        <f t="array" ref="G414">_xlfn.LET(_xlpm.ids,'E2E core flow'!$A$15:$A$1000,_xlpm.v,'E2E core flow'!$W$15:$W$1000,_xlpm.m,(_xlpm.ids&lt;&gt;"")*ISNUMBER(SEARCH(_xlpm.ids,$E414)),_xlpm.f,SUM(_xlpm.m*(_xlpm.v="Failed")),_xlpm.b,SUM(_xlpm.m*(_xlpm.v="Blocked")),_xlpm.nr,SUM(_xlpm.m*(_xlpm.v="Not Run")),_xlpm.cp,SUM(_xlpm.m*(_xlpm.v="Conditionally Passed")),_xlpm.p,SUM(_xlpm.m*(_xlpm.v="Passed")),IF(TRIM($A414)="","",IF(TRIM($E414)="","Pending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14" s="68" t="str">
        <f>IF(TRIM($A414)="","",IF($J414="Passed","",IF($J414="Passed with Known Issue","Known Issue",IF($J414="",IF(OR($H414&lt;&gt;"No",AND($F414&lt;&gt;"Medium",$F414&lt;&gt;"Low")),"Pending Result",""),IF(OR($H414&lt;&gt;"No",AND($F414&lt;&gt;"Medium",$F414&lt;&gt;"Low")),IF(COUNTIFS(Dashboard!$B$105:$B$124,$A414,Dashboard!$I$105:$I$124,"CAB")&gt;0,"Accepted (CF)","Blocking"),IF($J414="Failed","Deferrable","Carry Over"))))))</f>
        <v/>
      </c>
      <c r="M414" s="68" t="str">
        <f>IF(OR(TRIM($A414)="",TRIM($E414)=""),"",IFERROR(INDEX('E2E core flow'!$B$15:$B$1000,MATCH(1,INDEX(('E2E core flow'!$A$15:$A$1000&lt;&gt;"")*ISNUMBER(SEARCH('E2E core flow'!$A$15:$A$1000,$E414)),0),0))&amp;"","-"))</f>
        <v/>
      </c>
      <c r="N414" s="68" t="str">
        <f>IF(TRIM($A414)="","",IF($O414=0,IF(COUNTIFS('Card Test Cases'!$B$4:$B$1000,$A414,'Card Test Cases'!$A$4:$A$1000,"&lt;&gt;")&gt;0,"Out of Scope","No TC"),IF($Q414&gt;0,"Failed",IF(COUNTIFS('Card Test Cases'!$B$4:$B$1000,$A414,'Card Test Cases'!$A$4:$A$1000,"&lt;&gt;",'Card Test Cases'!$F$4:$F$1000,"Blocked")&gt;0,"Blocked",IF($R414&gt;0,"In Progress","Passed")))))</f>
        <v/>
      </c>
      <c r="O414" s="68" t="str">
        <f>IF(TRIM($A414)="","",COUNTIFS('Card Test Cases'!$B$4:$B$1000,$A414,'Card Test Cases'!$A$4:$A$1000,"&lt;&gt;",'Card Test Cases'!$F$4:$F$1000,"&lt;&gt;Out of Scope"))</f>
        <v/>
      </c>
      <c r="P414" s="68" t="str">
        <f>IF(TRIM($A414)="","",COUNTIFS('Card Test Cases'!$B$4:$B$1000,$A414,'Card Test Cases'!$A$4:$A$1000,"&lt;&gt;",'Card Test Cases'!$F$4:$F$1000,"Passed"))</f>
        <v/>
      </c>
      <c r="Q414" s="68" t="str">
        <f>IF(TRIM($A414)="","",COUNTIFS('Card Test Cases'!$B$4:$B$1000,$A414,'Card Test Cases'!$A$4:$A$1000,"&lt;&gt;",'Card Test Cases'!$F$4:$F$1000,"Failed"))</f>
        <v/>
      </c>
      <c r="R414" s="68" t="str">
        <f t="shared" si="6"/>
        <v/>
      </c>
      <c r="S414" s="68" t="str" cm="1">
        <f t="array" ref="S414">IF(TRIM($A414)="","",IFERROR(_xlfn.TEXTJOIN(", ",TRUE,_xlfn.UNIQUE(_xlfn.VSTACK(_xlfn._xlws.FILTER('Card Test Cases'!$G$4:$G$1000,('Card Test Cases'!$B$4:$B$1000=$A414)*('Card Test Cases'!$G$4:$G$1000&lt;&gt;""),""),_xlfn._xlws.FILTER('E2E core flow'!$U$15:$U$1000,('E2E core flow'!$A$15:$A$1000&lt;&gt;"")*ISNUMBER(SEARCH('E2E core flow'!$A$15:$A$1000,$E414))*('E2E core flow'!$U$15:$U$1000&lt;&gt;""),"")))),"-"))</f>
        <v/>
      </c>
    </row>
    <row r="415" spans="7:19" x14ac:dyDescent="0.3">
      <c r="G415" s="68" t="str" cm="1">
        <f t="array" ref="G415">_xlfn.LET(_xlpm.ids,'E2E core flow'!$A$15:$A$1000,_xlpm.v,'E2E core flow'!$W$15:$W$1000,_xlpm.m,(_xlpm.ids&lt;&gt;"")*ISNUMBER(SEARCH(_xlpm.ids,$E415)),_xlpm.f,SUM(_xlpm.m*(_xlpm.v="Failed")),_xlpm.b,SUM(_xlpm.m*(_xlpm.v="Blocked")),_xlpm.nr,SUM(_xlpm.m*(_xlpm.v="Not Run")),_xlpm.cp,SUM(_xlpm.m*(_xlpm.v="Conditionally Passed")),_xlpm.p,SUM(_xlpm.m*(_xlpm.v="Passed")),IF(TRIM($A415)="","",IF(TRIM($E415)="","Pending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15" s="68" t="str">
        <f>IF(TRIM($A415)="","",IF($J415="Passed","",IF($J415="Passed with Known Issue","Known Issue",IF($J415="",IF(OR($H415&lt;&gt;"No",AND($F415&lt;&gt;"Medium",$F415&lt;&gt;"Low")),"Pending Result",""),IF(OR($H415&lt;&gt;"No",AND($F415&lt;&gt;"Medium",$F415&lt;&gt;"Low")),IF(COUNTIFS(Dashboard!$B$105:$B$124,$A415,Dashboard!$I$105:$I$124,"CAB")&gt;0,"Accepted (CF)","Blocking"),IF($J415="Failed","Deferrable","Carry Over"))))))</f>
        <v/>
      </c>
      <c r="M415" s="68" t="str">
        <f>IF(OR(TRIM($A415)="",TRIM($E415)=""),"",IFERROR(INDEX('E2E core flow'!$B$15:$B$1000,MATCH(1,INDEX(('E2E core flow'!$A$15:$A$1000&lt;&gt;"")*ISNUMBER(SEARCH('E2E core flow'!$A$15:$A$1000,$E415)),0),0))&amp;"","-"))</f>
        <v/>
      </c>
      <c r="N415" s="68" t="str">
        <f>IF(TRIM($A415)="","",IF($O415=0,IF(COUNTIFS('Card Test Cases'!$B$4:$B$1000,$A415,'Card Test Cases'!$A$4:$A$1000,"&lt;&gt;")&gt;0,"Out of Scope","No TC"),IF($Q415&gt;0,"Failed",IF(COUNTIFS('Card Test Cases'!$B$4:$B$1000,$A415,'Card Test Cases'!$A$4:$A$1000,"&lt;&gt;",'Card Test Cases'!$F$4:$F$1000,"Blocked")&gt;0,"Blocked",IF($R415&gt;0,"In Progress","Passed")))))</f>
        <v/>
      </c>
      <c r="O415" s="68" t="str">
        <f>IF(TRIM($A415)="","",COUNTIFS('Card Test Cases'!$B$4:$B$1000,$A415,'Card Test Cases'!$A$4:$A$1000,"&lt;&gt;",'Card Test Cases'!$F$4:$F$1000,"&lt;&gt;Out of Scope"))</f>
        <v/>
      </c>
      <c r="P415" s="68" t="str">
        <f>IF(TRIM($A415)="","",COUNTIFS('Card Test Cases'!$B$4:$B$1000,$A415,'Card Test Cases'!$A$4:$A$1000,"&lt;&gt;",'Card Test Cases'!$F$4:$F$1000,"Passed"))</f>
        <v/>
      </c>
      <c r="Q415" s="68" t="str">
        <f>IF(TRIM($A415)="","",COUNTIFS('Card Test Cases'!$B$4:$B$1000,$A415,'Card Test Cases'!$A$4:$A$1000,"&lt;&gt;",'Card Test Cases'!$F$4:$F$1000,"Failed"))</f>
        <v/>
      </c>
      <c r="R415" s="68" t="str">
        <f t="shared" si="6"/>
        <v/>
      </c>
      <c r="S415" s="68" t="str" cm="1">
        <f t="array" ref="S415">IF(TRIM($A415)="","",IFERROR(_xlfn.TEXTJOIN(", ",TRUE,_xlfn.UNIQUE(_xlfn.VSTACK(_xlfn._xlws.FILTER('Card Test Cases'!$G$4:$G$1000,('Card Test Cases'!$B$4:$B$1000=$A415)*('Card Test Cases'!$G$4:$G$1000&lt;&gt;""),""),_xlfn._xlws.FILTER('E2E core flow'!$U$15:$U$1000,('E2E core flow'!$A$15:$A$1000&lt;&gt;"")*ISNUMBER(SEARCH('E2E core flow'!$A$15:$A$1000,$E415))*('E2E core flow'!$U$15:$U$1000&lt;&gt;""),"")))),"-"))</f>
        <v/>
      </c>
    </row>
    <row r="416" spans="7:19" x14ac:dyDescent="0.3">
      <c r="G416" s="68" t="str" cm="1">
        <f t="array" ref="G416">_xlfn.LET(_xlpm.ids,'E2E core flow'!$A$15:$A$1000,_xlpm.v,'E2E core flow'!$W$15:$W$1000,_xlpm.m,(_xlpm.ids&lt;&gt;"")*ISNUMBER(SEARCH(_xlpm.ids,$E416)),_xlpm.f,SUM(_xlpm.m*(_xlpm.v="Failed")),_xlpm.b,SUM(_xlpm.m*(_xlpm.v="Blocked")),_xlpm.nr,SUM(_xlpm.m*(_xlpm.v="Not Run")),_xlpm.cp,SUM(_xlpm.m*(_xlpm.v="Conditionally Passed")),_xlpm.p,SUM(_xlpm.m*(_xlpm.v="Passed")),IF(TRIM($A416)="","",IF(TRIM($E416)="","Pending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16" s="68" t="str">
        <f>IF(TRIM($A416)="","",IF($J416="Passed","",IF($J416="Passed with Known Issue","Known Issue",IF($J416="",IF(OR($H416&lt;&gt;"No",AND($F416&lt;&gt;"Medium",$F416&lt;&gt;"Low")),"Pending Result",""),IF(OR($H416&lt;&gt;"No",AND($F416&lt;&gt;"Medium",$F416&lt;&gt;"Low")),IF(COUNTIFS(Dashboard!$B$105:$B$124,$A416,Dashboard!$I$105:$I$124,"CAB")&gt;0,"Accepted (CF)","Blocking"),IF($J416="Failed","Deferrable","Carry Over"))))))</f>
        <v/>
      </c>
      <c r="M416" s="68" t="str">
        <f>IF(OR(TRIM($A416)="",TRIM($E416)=""),"",IFERROR(INDEX('E2E core flow'!$B$15:$B$1000,MATCH(1,INDEX(('E2E core flow'!$A$15:$A$1000&lt;&gt;"")*ISNUMBER(SEARCH('E2E core flow'!$A$15:$A$1000,$E416)),0),0))&amp;"","-"))</f>
        <v/>
      </c>
      <c r="N416" s="68" t="str">
        <f>IF(TRIM($A416)="","",IF($O416=0,IF(COUNTIFS('Card Test Cases'!$B$4:$B$1000,$A416,'Card Test Cases'!$A$4:$A$1000,"&lt;&gt;")&gt;0,"Out of Scope","No TC"),IF($Q416&gt;0,"Failed",IF(COUNTIFS('Card Test Cases'!$B$4:$B$1000,$A416,'Card Test Cases'!$A$4:$A$1000,"&lt;&gt;",'Card Test Cases'!$F$4:$F$1000,"Blocked")&gt;0,"Blocked",IF($R416&gt;0,"In Progress","Passed")))))</f>
        <v/>
      </c>
      <c r="O416" s="68" t="str">
        <f>IF(TRIM($A416)="","",COUNTIFS('Card Test Cases'!$B$4:$B$1000,$A416,'Card Test Cases'!$A$4:$A$1000,"&lt;&gt;",'Card Test Cases'!$F$4:$F$1000,"&lt;&gt;Out of Scope"))</f>
        <v/>
      </c>
      <c r="P416" s="68" t="str">
        <f>IF(TRIM($A416)="","",COUNTIFS('Card Test Cases'!$B$4:$B$1000,$A416,'Card Test Cases'!$A$4:$A$1000,"&lt;&gt;",'Card Test Cases'!$F$4:$F$1000,"Passed"))</f>
        <v/>
      </c>
      <c r="Q416" s="68" t="str">
        <f>IF(TRIM($A416)="","",COUNTIFS('Card Test Cases'!$B$4:$B$1000,$A416,'Card Test Cases'!$A$4:$A$1000,"&lt;&gt;",'Card Test Cases'!$F$4:$F$1000,"Failed"))</f>
        <v/>
      </c>
      <c r="R416" s="68" t="str">
        <f t="shared" si="6"/>
        <v/>
      </c>
      <c r="S416" s="68" t="str" cm="1">
        <f t="array" ref="S416">IF(TRIM($A416)="","",IFERROR(_xlfn.TEXTJOIN(", ",TRUE,_xlfn.UNIQUE(_xlfn.VSTACK(_xlfn._xlws.FILTER('Card Test Cases'!$G$4:$G$1000,('Card Test Cases'!$B$4:$B$1000=$A416)*('Card Test Cases'!$G$4:$G$1000&lt;&gt;""),""),_xlfn._xlws.FILTER('E2E core flow'!$U$15:$U$1000,('E2E core flow'!$A$15:$A$1000&lt;&gt;"")*ISNUMBER(SEARCH('E2E core flow'!$A$15:$A$1000,$E416))*('E2E core flow'!$U$15:$U$1000&lt;&gt;""),"")))),"-"))</f>
        <v/>
      </c>
    </row>
    <row r="417" spans="7:19" x14ac:dyDescent="0.3">
      <c r="G417" s="68" t="str" cm="1">
        <f t="array" ref="G417">_xlfn.LET(_xlpm.ids,'E2E core flow'!$A$15:$A$1000,_xlpm.v,'E2E core flow'!$W$15:$W$1000,_xlpm.m,(_xlpm.ids&lt;&gt;"")*ISNUMBER(SEARCH(_xlpm.ids,$E417)),_xlpm.f,SUM(_xlpm.m*(_xlpm.v="Failed")),_xlpm.b,SUM(_xlpm.m*(_xlpm.v="Blocked")),_xlpm.nr,SUM(_xlpm.m*(_xlpm.v="Not Run")),_xlpm.cp,SUM(_xlpm.m*(_xlpm.v="Conditionally Passed")),_xlpm.p,SUM(_xlpm.m*(_xlpm.v="Passed")),IF(TRIM($A417)="","",IF(TRIM($E417)="","Pending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17" s="68" t="str">
        <f>IF(TRIM($A417)="","",IF($J417="Passed","",IF($J417="Passed with Known Issue","Known Issue",IF($J417="",IF(OR($H417&lt;&gt;"No",AND($F417&lt;&gt;"Medium",$F417&lt;&gt;"Low")),"Pending Result",""),IF(OR($H417&lt;&gt;"No",AND($F417&lt;&gt;"Medium",$F417&lt;&gt;"Low")),IF(COUNTIFS(Dashboard!$B$105:$B$124,$A417,Dashboard!$I$105:$I$124,"CAB")&gt;0,"Accepted (CF)","Blocking"),IF($J417="Failed","Deferrable","Carry Over"))))))</f>
        <v/>
      </c>
      <c r="M417" s="68" t="str">
        <f>IF(OR(TRIM($A417)="",TRIM($E417)=""),"",IFERROR(INDEX('E2E core flow'!$B$15:$B$1000,MATCH(1,INDEX(('E2E core flow'!$A$15:$A$1000&lt;&gt;"")*ISNUMBER(SEARCH('E2E core flow'!$A$15:$A$1000,$E417)),0),0))&amp;"","-"))</f>
        <v/>
      </c>
      <c r="N417" s="68" t="str">
        <f>IF(TRIM($A417)="","",IF($O417=0,IF(COUNTIFS('Card Test Cases'!$B$4:$B$1000,$A417,'Card Test Cases'!$A$4:$A$1000,"&lt;&gt;")&gt;0,"Out of Scope","No TC"),IF($Q417&gt;0,"Failed",IF(COUNTIFS('Card Test Cases'!$B$4:$B$1000,$A417,'Card Test Cases'!$A$4:$A$1000,"&lt;&gt;",'Card Test Cases'!$F$4:$F$1000,"Blocked")&gt;0,"Blocked",IF($R417&gt;0,"In Progress","Passed")))))</f>
        <v/>
      </c>
      <c r="O417" s="68" t="str">
        <f>IF(TRIM($A417)="","",COUNTIFS('Card Test Cases'!$B$4:$B$1000,$A417,'Card Test Cases'!$A$4:$A$1000,"&lt;&gt;",'Card Test Cases'!$F$4:$F$1000,"&lt;&gt;Out of Scope"))</f>
        <v/>
      </c>
      <c r="P417" s="68" t="str">
        <f>IF(TRIM($A417)="","",COUNTIFS('Card Test Cases'!$B$4:$B$1000,$A417,'Card Test Cases'!$A$4:$A$1000,"&lt;&gt;",'Card Test Cases'!$F$4:$F$1000,"Passed"))</f>
        <v/>
      </c>
      <c r="Q417" s="68" t="str">
        <f>IF(TRIM($A417)="","",COUNTIFS('Card Test Cases'!$B$4:$B$1000,$A417,'Card Test Cases'!$A$4:$A$1000,"&lt;&gt;",'Card Test Cases'!$F$4:$F$1000,"Failed"))</f>
        <v/>
      </c>
      <c r="R417" s="68" t="str">
        <f t="shared" si="6"/>
        <v/>
      </c>
      <c r="S417" s="68" t="str" cm="1">
        <f t="array" ref="S417">IF(TRIM($A417)="","",IFERROR(_xlfn.TEXTJOIN(", ",TRUE,_xlfn.UNIQUE(_xlfn.VSTACK(_xlfn._xlws.FILTER('Card Test Cases'!$G$4:$G$1000,('Card Test Cases'!$B$4:$B$1000=$A417)*('Card Test Cases'!$G$4:$G$1000&lt;&gt;""),""),_xlfn._xlws.FILTER('E2E core flow'!$U$15:$U$1000,('E2E core flow'!$A$15:$A$1000&lt;&gt;"")*ISNUMBER(SEARCH('E2E core flow'!$A$15:$A$1000,$E417))*('E2E core flow'!$U$15:$U$1000&lt;&gt;""),"")))),"-"))</f>
        <v/>
      </c>
    </row>
    <row r="418" spans="7:19" x14ac:dyDescent="0.3">
      <c r="G418" s="68" t="str" cm="1">
        <f t="array" ref="G418">_xlfn.LET(_xlpm.ids,'E2E core flow'!$A$15:$A$1000,_xlpm.v,'E2E core flow'!$W$15:$W$1000,_xlpm.m,(_xlpm.ids&lt;&gt;"")*ISNUMBER(SEARCH(_xlpm.ids,$E418)),_xlpm.f,SUM(_xlpm.m*(_xlpm.v="Failed")),_xlpm.b,SUM(_xlpm.m*(_xlpm.v="Blocked")),_xlpm.nr,SUM(_xlpm.m*(_xlpm.v="Not Run")),_xlpm.cp,SUM(_xlpm.m*(_xlpm.v="Conditionally Passed")),_xlpm.p,SUM(_xlpm.m*(_xlpm.v="Passed")),IF(TRIM($A418)="","",IF(TRIM($E418)="","Pending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18" s="68" t="str">
        <f>IF(TRIM($A418)="","",IF($J418="Passed","",IF($J418="Passed with Known Issue","Known Issue",IF($J418="",IF(OR($H418&lt;&gt;"No",AND($F418&lt;&gt;"Medium",$F418&lt;&gt;"Low")),"Pending Result",""),IF(OR($H418&lt;&gt;"No",AND($F418&lt;&gt;"Medium",$F418&lt;&gt;"Low")),IF(COUNTIFS(Dashboard!$B$105:$B$124,$A418,Dashboard!$I$105:$I$124,"CAB")&gt;0,"Accepted (CF)","Blocking"),IF($J418="Failed","Deferrable","Carry Over"))))))</f>
        <v/>
      </c>
      <c r="M418" s="68" t="str">
        <f>IF(OR(TRIM($A418)="",TRIM($E418)=""),"",IFERROR(INDEX('E2E core flow'!$B$15:$B$1000,MATCH(1,INDEX(('E2E core flow'!$A$15:$A$1000&lt;&gt;"")*ISNUMBER(SEARCH('E2E core flow'!$A$15:$A$1000,$E418)),0),0))&amp;"","-"))</f>
        <v/>
      </c>
      <c r="N418" s="68" t="str">
        <f>IF(TRIM($A418)="","",IF($O418=0,IF(COUNTIFS('Card Test Cases'!$B$4:$B$1000,$A418,'Card Test Cases'!$A$4:$A$1000,"&lt;&gt;")&gt;0,"Out of Scope","No TC"),IF($Q418&gt;0,"Failed",IF(COUNTIFS('Card Test Cases'!$B$4:$B$1000,$A418,'Card Test Cases'!$A$4:$A$1000,"&lt;&gt;",'Card Test Cases'!$F$4:$F$1000,"Blocked")&gt;0,"Blocked",IF($R418&gt;0,"In Progress","Passed")))))</f>
        <v/>
      </c>
      <c r="O418" s="68" t="str">
        <f>IF(TRIM($A418)="","",COUNTIFS('Card Test Cases'!$B$4:$B$1000,$A418,'Card Test Cases'!$A$4:$A$1000,"&lt;&gt;",'Card Test Cases'!$F$4:$F$1000,"&lt;&gt;Out of Scope"))</f>
        <v/>
      </c>
      <c r="P418" s="68" t="str">
        <f>IF(TRIM($A418)="","",COUNTIFS('Card Test Cases'!$B$4:$B$1000,$A418,'Card Test Cases'!$A$4:$A$1000,"&lt;&gt;",'Card Test Cases'!$F$4:$F$1000,"Passed"))</f>
        <v/>
      </c>
      <c r="Q418" s="68" t="str">
        <f>IF(TRIM($A418)="","",COUNTIFS('Card Test Cases'!$B$4:$B$1000,$A418,'Card Test Cases'!$A$4:$A$1000,"&lt;&gt;",'Card Test Cases'!$F$4:$F$1000,"Failed"))</f>
        <v/>
      </c>
      <c r="R418" s="68" t="str">
        <f t="shared" si="6"/>
        <v/>
      </c>
      <c r="S418" s="68" t="str" cm="1">
        <f t="array" ref="S418">IF(TRIM($A418)="","",IFERROR(_xlfn.TEXTJOIN(", ",TRUE,_xlfn.UNIQUE(_xlfn.VSTACK(_xlfn._xlws.FILTER('Card Test Cases'!$G$4:$G$1000,('Card Test Cases'!$B$4:$B$1000=$A418)*('Card Test Cases'!$G$4:$G$1000&lt;&gt;""),""),_xlfn._xlws.FILTER('E2E core flow'!$U$15:$U$1000,('E2E core flow'!$A$15:$A$1000&lt;&gt;"")*ISNUMBER(SEARCH('E2E core flow'!$A$15:$A$1000,$E418))*('E2E core flow'!$U$15:$U$1000&lt;&gt;""),"")))),"-"))</f>
        <v/>
      </c>
    </row>
    <row r="419" spans="7:19" x14ac:dyDescent="0.3">
      <c r="G419" s="68" t="str" cm="1">
        <f t="array" ref="G419">_xlfn.LET(_xlpm.ids,'E2E core flow'!$A$15:$A$1000,_xlpm.v,'E2E core flow'!$W$15:$W$1000,_xlpm.m,(_xlpm.ids&lt;&gt;"")*ISNUMBER(SEARCH(_xlpm.ids,$E419)),_xlpm.f,SUM(_xlpm.m*(_xlpm.v="Failed")),_xlpm.b,SUM(_xlpm.m*(_xlpm.v="Blocked")),_xlpm.nr,SUM(_xlpm.m*(_xlpm.v="Not Run")),_xlpm.cp,SUM(_xlpm.m*(_xlpm.v="Conditionally Passed")),_xlpm.p,SUM(_xlpm.m*(_xlpm.v="Passed")),IF(TRIM($A419)="","",IF(TRIM($E419)="","Pending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19" s="68" t="str">
        <f>IF(TRIM($A419)="","",IF($J419="Passed","",IF($J419="Passed with Known Issue","Known Issue",IF($J419="",IF(OR($H419&lt;&gt;"No",AND($F419&lt;&gt;"Medium",$F419&lt;&gt;"Low")),"Pending Result",""),IF(OR($H419&lt;&gt;"No",AND($F419&lt;&gt;"Medium",$F419&lt;&gt;"Low")),IF(COUNTIFS(Dashboard!$B$105:$B$124,$A419,Dashboard!$I$105:$I$124,"CAB")&gt;0,"Accepted (CF)","Blocking"),IF($J419="Failed","Deferrable","Carry Over"))))))</f>
        <v/>
      </c>
      <c r="M419" s="68" t="str">
        <f>IF(OR(TRIM($A419)="",TRIM($E419)=""),"",IFERROR(INDEX('E2E core flow'!$B$15:$B$1000,MATCH(1,INDEX(('E2E core flow'!$A$15:$A$1000&lt;&gt;"")*ISNUMBER(SEARCH('E2E core flow'!$A$15:$A$1000,$E419)),0),0))&amp;"","-"))</f>
        <v/>
      </c>
      <c r="N419" s="68" t="str">
        <f>IF(TRIM($A419)="","",IF($O419=0,IF(COUNTIFS('Card Test Cases'!$B$4:$B$1000,$A419,'Card Test Cases'!$A$4:$A$1000,"&lt;&gt;")&gt;0,"Out of Scope","No TC"),IF($Q419&gt;0,"Failed",IF(COUNTIFS('Card Test Cases'!$B$4:$B$1000,$A419,'Card Test Cases'!$A$4:$A$1000,"&lt;&gt;",'Card Test Cases'!$F$4:$F$1000,"Blocked")&gt;0,"Blocked",IF($R419&gt;0,"In Progress","Passed")))))</f>
        <v/>
      </c>
      <c r="O419" s="68" t="str">
        <f>IF(TRIM($A419)="","",COUNTIFS('Card Test Cases'!$B$4:$B$1000,$A419,'Card Test Cases'!$A$4:$A$1000,"&lt;&gt;",'Card Test Cases'!$F$4:$F$1000,"&lt;&gt;Out of Scope"))</f>
        <v/>
      </c>
      <c r="P419" s="68" t="str">
        <f>IF(TRIM($A419)="","",COUNTIFS('Card Test Cases'!$B$4:$B$1000,$A419,'Card Test Cases'!$A$4:$A$1000,"&lt;&gt;",'Card Test Cases'!$F$4:$F$1000,"Passed"))</f>
        <v/>
      </c>
      <c r="Q419" s="68" t="str">
        <f>IF(TRIM($A419)="","",COUNTIFS('Card Test Cases'!$B$4:$B$1000,$A419,'Card Test Cases'!$A$4:$A$1000,"&lt;&gt;",'Card Test Cases'!$F$4:$F$1000,"Failed"))</f>
        <v/>
      </c>
      <c r="R419" s="68" t="str">
        <f t="shared" si="6"/>
        <v/>
      </c>
      <c r="S419" s="68" t="str" cm="1">
        <f t="array" ref="S419">IF(TRIM($A419)="","",IFERROR(_xlfn.TEXTJOIN(", ",TRUE,_xlfn.UNIQUE(_xlfn.VSTACK(_xlfn._xlws.FILTER('Card Test Cases'!$G$4:$G$1000,('Card Test Cases'!$B$4:$B$1000=$A419)*('Card Test Cases'!$G$4:$G$1000&lt;&gt;""),""),_xlfn._xlws.FILTER('E2E core flow'!$U$15:$U$1000,('E2E core flow'!$A$15:$A$1000&lt;&gt;"")*ISNUMBER(SEARCH('E2E core flow'!$A$15:$A$1000,$E419))*('E2E core flow'!$U$15:$U$1000&lt;&gt;""),"")))),"-"))</f>
        <v/>
      </c>
    </row>
    <row r="420" spans="7:19" x14ac:dyDescent="0.3">
      <c r="G420" s="68" t="str" cm="1">
        <f t="array" ref="G420">_xlfn.LET(_xlpm.ids,'E2E core flow'!$A$15:$A$1000,_xlpm.v,'E2E core flow'!$W$15:$W$1000,_xlpm.m,(_xlpm.ids&lt;&gt;"")*ISNUMBER(SEARCH(_xlpm.ids,$E420)),_xlpm.f,SUM(_xlpm.m*(_xlpm.v="Failed")),_xlpm.b,SUM(_xlpm.m*(_xlpm.v="Blocked")),_xlpm.nr,SUM(_xlpm.m*(_xlpm.v="Not Run")),_xlpm.cp,SUM(_xlpm.m*(_xlpm.v="Conditionally Passed")),_xlpm.p,SUM(_xlpm.m*(_xlpm.v="Passed")),IF(TRIM($A420)="","",IF(TRIM($E420)="","Pending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20" s="68" t="str">
        <f>IF(TRIM($A420)="","",IF($J420="Passed","",IF($J420="Passed with Known Issue","Known Issue",IF($J420="",IF(OR($H420&lt;&gt;"No",AND($F420&lt;&gt;"Medium",$F420&lt;&gt;"Low")),"Pending Result",""),IF(OR($H420&lt;&gt;"No",AND($F420&lt;&gt;"Medium",$F420&lt;&gt;"Low")),IF(COUNTIFS(Dashboard!$B$105:$B$124,$A420,Dashboard!$I$105:$I$124,"CAB")&gt;0,"Accepted (CF)","Blocking"),IF($J420="Failed","Deferrable","Carry Over"))))))</f>
        <v/>
      </c>
      <c r="M420" s="68" t="str">
        <f>IF(OR(TRIM($A420)="",TRIM($E420)=""),"",IFERROR(INDEX('E2E core flow'!$B$15:$B$1000,MATCH(1,INDEX(('E2E core flow'!$A$15:$A$1000&lt;&gt;"")*ISNUMBER(SEARCH('E2E core flow'!$A$15:$A$1000,$E420)),0),0))&amp;"","-"))</f>
        <v/>
      </c>
      <c r="N420" s="68" t="str">
        <f>IF(TRIM($A420)="","",IF($O420=0,IF(COUNTIFS('Card Test Cases'!$B$4:$B$1000,$A420,'Card Test Cases'!$A$4:$A$1000,"&lt;&gt;")&gt;0,"Out of Scope","No TC"),IF($Q420&gt;0,"Failed",IF(COUNTIFS('Card Test Cases'!$B$4:$B$1000,$A420,'Card Test Cases'!$A$4:$A$1000,"&lt;&gt;",'Card Test Cases'!$F$4:$F$1000,"Blocked")&gt;0,"Blocked",IF($R420&gt;0,"In Progress","Passed")))))</f>
        <v/>
      </c>
      <c r="O420" s="68" t="str">
        <f>IF(TRIM($A420)="","",COUNTIFS('Card Test Cases'!$B$4:$B$1000,$A420,'Card Test Cases'!$A$4:$A$1000,"&lt;&gt;",'Card Test Cases'!$F$4:$F$1000,"&lt;&gt;Out of Scope"))</f>
        <v/>
      </c>
      <c r="P420" s="68" t="str">
        <f>IF(TRIM($A420)="","",COUNTIFS('Card Test Cases'!$B$4:$B$1000,$A420,'Card Test Cases'!$A$4:$A$1000,"&lt;&gt;",'Card Test Cases'!$F$4:$F$1000,"Passed"))</f>
        <v/>
      </c>
      <c r="Q420" s="68" t="str">
        <f>IF(TRIM($A420)="","",COUNTIFS('Card Test Cases'!$B$4:$B$1000,$A420,'Card Test Cases'!$A$4:$A$1000,"&lt;&gt;",'Card Test Cases'!$F$4:$F$1000,"Failed"))</f>
        <v/>
      </c>
      <c r="R420" s="68" t="str">
        <f t="shared" si="6"/>
        <v/>
      </c>
      <c r="S420" s="68" t="str" cm="1">
        <f t="array" ref="S420">IF(TRIM($A420)="","",IFERROR(_xlfn.TEXTJOIN(", ",TRUE,_xlfn.UNIQUE(_xlfn.VSTACK(_xlfn._xlws.FILTER('Card Test Cases'!$G$4:$G$1000,('Card Test Cases'!$B$4:$B$1000=$A420)*('Card Test Cases'!$G$4:$G$1000&lt;&gt;""),""),_xlfn._xlws.FILTER('E2E core flow'!$U$15:$U$1000,('E2E core flow'!$A$15:$A$1000&lt;&gt;"")*ISNUMBER(SEARCH('E2E core flow'!$A$15:$A$1000,$E420))*('E2E core flow'!$U$15:$U$1000&lt;&gt;""),"")))),"-"))</f>
        <v/>
      </c>
    </row>
    <row r="421" spans="7:19" x14ac:dyDescent="0.3">
      <c r="G421" s="68" t="str" cm="1">
        <f t="array" ref="G421">_xlfn.LET(_xlpm.ids,'E2E core flow'!$A$15:$A$1000,_xlpm.v,'E2E core flow'!$W$15:$W$1000,_xlpm.m,(_xlpm.ids&lt;&gt;"")*ISNUMBER(SEARCH(_xlpm.ids,$E421)),_xlpm.f,SUM(_xlpm.m*(_xlpm.v="Failed")),_xlpm.b,SUM(_xlpm.m*(_xlpm.v="Blocked")),_xlpm.nr,SUM(_xlpm.m*(_xlpm.v="Not Run")),_xlpm.cp,SUM(_xlpm.m*(_xlpm.v="Conditionally Passed")),_xlpm.p,SUM(_xlpm.m*(_xlpm.v="Passed")),IF(TRIM($A421)="","",IF(TRIM($E421)="","Pending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21" s="68" t="str">
        <f>IF(TRIM($A421)="","",IF($J421="Passed","",IF($J421="Passed with Known Issue","Known Issue",IF($J421="",IF(OR($H421&lt;&gt;"No",AND($F421&lt;&gt;"Medium",$F421&lt;&gt;"Low")),"Pending Result",""),IF(OR($H421&lt;&gt;"No",AND($F421&lt;&gt;"Medium",$F421&lt;&gt;"Low")),IF(COUNTIFS(Dashboard!$B$105:$B$124,$A421,Dashboard!$I$105:$I$124,"CAB")&gt;0,"Accepted (CF)","Blocking"),IF($J421="Failed","Deferrable","Carry Over"))))))</f>
        <v/>
      </c>
      <c r="M421" s="68" t="str">
        <f>IF(OR(TRIM($A421)="",TRIM($E421)=""),"",IFERROR(INDEX('E2E core flow'!$B$15:$B$1000,MATCH(1,INDEX(('E2E core flow'!$A$15:$A$1000&lt;&gt;"")*ISNUMBER(SEARCH('E2E core flow'!$A$15:$A$1000,$E421)),0),0))&amp;"","-"))</f>
        <v/>
      </c>
      <c r="N421" s="68" t="str">
        <f>IF(TRIM($A421)="","",IF($O421=0,IF(COUNTIFS('Card Test Cases'!$B$4:$B$1000,$A421,'Card Test Cases'!$A$4:$A$1000,"&lt;&gt;")&gt;0,"Out of Scope","No TC"),IF($Q421&gt;0,"Failed",IF(COUNTIFS('Card Test Cases'!$B$4:$B$1000,$A421,'Card Test Cases'!$A$4:$A$1000,"&lt;&gt;",'Card Test Cases'!$F$4:$F$1000,"Blocked")&gt;0,"Blocked",IF($R421&gt;0,"In Progress","Passed")))))</f>
        <v/>
      </c>
      <c r="O421" s="68" t="str">
        <f>IF(TRIM($A421)="","",COUNTIFS('Card Test Cases'!$B$4:$B$1000,$A421,'Card Test Cases'!$A$4:$A$1000,"&lt;&gt;",'Card Test Cases'!$F$4:$F$1000,"&lt;&gt;Out of Scope"))</f>
        <v/>
      </c>
      <c r="P421" s="68" t="str">
        <f>IF(TRIM($A421)="","",COUNTIFS('Card Test Cases'!$B$4:$B$1000,$A421,'Card Test Cases'!$A$4:$A$1000,"&lt;&gt;",'Card Test Cases'!$F$4:$F$1000,"Passed"))</f>
        <v/>
      </c>
      <c r="Q421" s="68" t="str">
        <f>IF(TRIM($A421)="","",COUNTIFS('Card Test Cases'!$B$4:$B$1000,$A421,'Card Test Cases'!$A$4:$A$1000,"&lt;&gt;",'Card Test Cases'!$F$4:$F$1000,"Failed"))</f>
        <v/>
      </c>
      <c r="R421" s="68" t="str">
        <f t="shared" si="6"/>
        <v/>
      </c>
      <c r="S421" s="68" t="str" cm="1">
        <f t="array" ref="S421">IF(TRIM($A421)="","",IFERROR(_xlfn.TEXTJOIN(", ",TRUE,_xlfn.UNIQUE(_xlfn.VSTACK(_xlfn._xlws.FILTER('Card Test Cases'!$G$4:$G$1000,('Card Test Cases'!$B$4:$B$1000=$A421)*('Card Test Cases'!$G$4:$G$1000&lt;&gt;""),""),_xlfn._xlws.FILTER('E2E core flow'!$U$15:$U$1000,('E2E core flow'!$A$15:$A$1000&lt;&gt;"")*ISNUMBER(SEARCH('E2E core flow'!$A$15:$A$1000,$E421))*('E2E core flow'!$U$15:$U$1000&lt;&gt;""),"")))),"-"))</f>
        <v/>
      </c>
    </row>
    <row r="422" spans="7:19" x14ac:dyDescent="0.3">
      <c r="G422" s="68" t="str" cm="1">
        <f t="array" ref="G422">_xlfn.LET(_xlpm.ids,'E2E core flow'!$A$15:$A$1000,_xlpm.v,'E2E core flow'!$W$15:$W$1000,_xlpm.m,(_xlpm.ids&lt;&gt;"")*ISNUMBER(SEARCH(_xlpm.ids,$E422)),_xlpm.f,SUM(_xlpm.m*(_xlpm.v="Failed")),_xlpm.b,SUM(_xlpm.m*(_xlpm.v="Blocked")),_xlpm.nr,SUM(_xlpm.m*(_xlpm.v="Not Run")),_xlpm.cp,SUM(_xlpm.m*(_xlpm.v="Conditionally Passed")),_xlpm.p,SUM(_xlpm.m*(_xlpm.v="Passed")),IF(TRIM($A422)="","",IF(TRIM($E422)="","Pending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22" s="68" t="str">
        <f>IF(TRIM($A422)="","",IF($J422="Passed","",IF($J422="Passed with Known Issue","Known Issue",IF($J422="",IF(OR($H422&lt;&gt;"No",AND($F422&lt;&gt;"Medium",$F422&lt;&gt;"Low")),"Pending Result",""),IF(OR($H422&lt;&gt;"No",AND($F422&lt;&gt;"Medium",$F422&lt;&gt;"Low")),IF(COUNTIFS(Dashboard!$B$105:$B$124,$A422,Dashboard!$I$105:$I$124,"CAB")&gt;0,"Accepted (CF)","Blocking"),IF($J422="Failed","Deferrable","Carry Over"))))))</f>
        <v/>
      </c>
      <c r="M422" s="68" t="str">
        <f>IF(OR(TRIM($A422)="",TRIM($E422)=""),"",IFERROR(INDEX('E2E core flow'!$B$15:$B$1000,MATCH(1,INDEX(('E2E core flow'!$A$15:$A$1000&lt;&gt;"")*ISNUMBER(SEARCH('E2E core flow'!$A$15:$A$1000,$E422)),0),0))&amp;"","-"))</f>
        <v/>
      </c>
      <c r="N422" s="68" t="str">
        <f>IF(TRIM($A422)="","",IF($O422=0,IF(COUNTIFS('Card Test Cases'!$B$4:$B$1000,$A422,'Card Test Cases'!$A$4:$A$1000,"&lt;&gt;")&gt;0,"Out of Scope","No TC"),IF($Q422&gt;0,"Failed",IF(COUNTIFS('Card Test Cases'!$B$4:$B$1000,$A422,'Card Test Cases'!$A$4:$A$1000,"&lt;&gt;",'Card Test Cases'!$F$4:$F$1000,"Blocked")&gt;0,"Blocked",IF($R422&gt;0,"In Progress","Passed")))))</f>
        <v/>
      </c>
      <c r="O422" s="68" t="str">
        <f>IF(TRIM($A422)="","",COUNTIFS('Card Test Cases'!$B$4:$B$1000,$A422,'Card Test Cases'!$A$4:$A$1000,"&lt;&gt;",'Card Test Cases'!$F$4:$F$1000,"&lt;&gt;Out of Scope"))</f>
        <v/>
      </c>
      <c r="P422" s="68" t="str">
        <f>IF(TRIM($A422)="","",COUNTIFS('Card Test Cases'!$B$4:$B$1000,$A422,'Card Test Cases'!$A$4:$A$1000,"&lt;&gt;",'Card Test Cases'!$F$4:$F$1000,"Passed"))</f>
        <v/>
      </c>
      <c r="Q422" s="68" t="str">
        <f>IF(TRIM($A422)="","",COUNTIFS('Card Test Cases'!$B$4:$B$1000,$A422,'Card Test Cases'!$A$4:$A$1000,"&lt;&gt;",'Card Test Cases'!$F$4:$F$1000,"Failed"))</f>
        <v/>
      </c>
      <c r="R422" s="68" t="str">
        <f t="shared" si="6"/>
        <v/>
      </c>
      <c r="S422" s="68" t="str" cm="1">
        <f t="array" ref="S422">IF(TRIM($A422)="","",IFERROR(_xlfn.TEXTJOIN(", ",TRUE,_xlfn.UNIQUE(_xlfn.VSTACK(_xlfn._xlws.FILTER('Card Test Cases'!$G$4:$G$1000,('Card Test Cases'!$B$4:$B$1000=$A422)*('Card Test Cases'!$G$4:$G$1000&lt;&gt;""),""),_xlfn._xlws.FILTER('E2E core flow'!$U$15:$U$1000,('E2E core flow'!$A$15:$A$1000&lt;&gt;"")*ISNUMBER(SEARCH('E2E core flow'!$A$15:$A$1000,$E422))*('E2E core flow'!$U$15:$U$1000&lt;&gt;""),"")))),"-"))</f>
        <v/>
      </c>
    </row>
    <row r="423" spans="7:19" x14ac:dyDescent="0.3">
      <c r="G423" s="68" t="str" cm="1">
        <f t="array" ref="G423">_xlfn.LET(_xlpm.ids,'E2E core flow'!$A$15:$A$1000,_xlpm.v,'E2E core flow'!$W$15:$W$1000,_xlpm.m,(_xlpm.ids&lt;&gt;"")*ISNUMBER(SEARCH(_xlpm.ids,$E423)),_xlpm.f,SUM(_xlpm.m*(_xlpm.v="Failed")),_xlpm.b,SUM(_xlpm.m*(_xlpm.v="Blocked")),_xlpm.nr,SUM(_xlpm.m*(_xlpm.v="Not Run")),_xlpm.cp,SUM(_xlpm.m*(_xlpm.v="Conditionally Passed")),_xlpm.p,SUM(_xlpm.m*(_xlpm.v="Passed")),IF(TRIM($A423)="","",IF(TRIM($E423)="","Pending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23" s="68" t="str">
        <f>IF(TRIM($A423)="","",IF($J423="Passed","",IF($J423="Passed with Known Issue","Known Issue",IF($J423="",IF(OR($H423&lt;&gt;"No",AND($F423&lt;&gt;"Medium",$F423&lt;&gt;"Low")),"Pending Result",""),IF(OR($H423&lt;&gt;"No",AND($F423&lt;&gt;"Medium",$F423&lt;&gt;"Low")),IF(COUNTIFS(Dashboard!$B$105:$B$124,$A423,Dashboard!$I$105:$I$124,"CAB")&gt;0,"Accepted (CF)","Blocking"),IF($J423="Failed","Deferrable","Carry Over"))))))</f>
        <v/>
      </c>
      <c r="M423" s="68" t="str">
        <f>IF(OR(TRIM($A423)="",TRIM($E423)=""),"",IFERROR(INDEX('E2E core flow'!$B$15:$B$1000,MATCH(1,INDEX(('E2E core flow'!$A$15:$A$1000&lt;&gt;"")*ISNUMBER(SEARCH('E2E core flow'!$A$15:$A$1000,$E423)),0),0))&amp;"","-"))</f>
        <v/>
      </c>
      <c r="N423" s="68" t="str">
        <f>IF(TRIM($A423)="","",IF($O423=0,IF(COUNTIFS('Card Test Cases'!$B$4:$B$1000,$A423,'Card Test Cases'!$A$4:$A$1000,"&lt;&gt;")&gt;0,"Out of Scope","No TC"),IF($Q423&gt;0,"Failed",IF(COUNTIFS('Card Test Cases'!$B$4:$B$1000,$A423,'Card Test Cases'!$A$4:$A$1000,"&lt;&gt;",'Card Test Cases'!$F$4:$F$1000,"Blocked")&gt;0,"Blocked",IF($R423&gt;0,"In Progress","Passed")))))</f>
        <v/>
      </c>
      <c r="O423" s="68" t="str">
        <f>IF(TRIM($A423)="","",COUNTIFS('Card Test Cases'!$B$4:$B$1000,$A423,'Card Test Cases'!$A$4:$A$1000,"&lt;&gt;",'Card Test Cases'!$F$4:$F$1000,"&lt;&gt;Out of Scope"))</f>
        <v/>
      </c>
      <c r="P423" s="68" t="str">
        <f>IF(TRIM($A423)="","",COUNTIFS('Card Test Cases'!$B$4:$B$1000,$A423,'Card Test Cases'!$A$4:$A$1000,"&lt;&gt;",'Card Test Cases'!$F$4:$F$1000,"Passed"))</f>
        <v/>
      </c>
      <c r="Q423" s="68" t="str">
        <f>IF(TRIM($A423)="","",COUNTIFS('Card Test Cases'!$B$4:$B$1000,$A423,'Card Test Cases'!$A$4:$A$1000,"&lt;&gt;",'Card Test Cases'!$F$4:$F$1000,"Failed"))</f>
        <v/>
      </c>
      <c r="R423" s="68" t="str">
        <f t="shared" si="6"/>
        <v/>
      </c>
      <c r="S423" s="68" t="str" cm="1">
        <f t="array" ref="S423">IF(TRIM($A423)="","",IFERROR(_xlfn.TEXTJOIN(", ",TRUE,_xlfn.UNIQUE(_xlfn.VSTACK(_xlfn._xlws.FILTER('Card Test Cases'!$G$4:$G$1000,('Card Test Cases'!$B$4:$B$1000=$A423)*('Card Test Cases'!$G$4:$G$1000&lt;&gt;""),""),_xlfn._xlws.FILTER('E2E core flow'!$U$15:$U$1000,('E2E core flow'!$A$15:$A$1000&lt;&gt;"")*ISNUMBER(SEARCH('E2E core flow'!$A$15:$A$1000,$E423))*('E2E core flow'!$U$15:$U$1000&lt;&gt;""),"")))),"-"))</f>
        <v/>
      </c>
    </row>
    <row r="424" spans="7:19" x14ac:dyDescent="0.3">
      <c r="G424" s="68" t="str" cm="1">
        <f t="array" ref="G424">_xlfn.LET(_xlpm.ids,'E2E core flow'!$A$15:$A$1000,_xlpm.v,'E2E core flow'!$W$15:$W$1000,_xlpm.m,(_xlpm.ids&lt;&gt;"")*ISNUMBER(SEARCH(_xlpm.ids,$E424)),_xlpm.f,SUM(_xlpm.m*(_xlpm.v="Failed")),_xlpm.b,SUM(_xlpm.m*(_xlpm.v="Blocked")),_xlpm.nr,SUM(_xlpm.m*(_xlpm.v="Not Run")),_xlpm.cp,SUM(_xlpm.m*(_xlpm.v="Conditionally Passed")),_xlpm.p,SUM(_xlpm.m*(_xlpm.v="Passed")),IF(TRIM($A424)="","",IF(TRIM($E424)="","Pending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24" s="68" t="str">
        <f>IF(TRIM($A424)="","",IF($J424="Passed","",IF($J424="Passed with Known Issue","Known Issue",IF($J424="",IF(OR($H424&lt;&gt;"No",AND($F424&lt;&gt;"Medium",$F424&lt;&gt;"Low")),"Pending Result",""),IF(OR($H424&lt;&gt;"No",AND($F424&lt;&gt;"Medium",$F424&lt;&gt;"Low")),IF(COUNTIFS(Dashboard!$B$105:$B$124,$A424,Dashboard!$I$105:$I$124,"CAB")&gt;0,"Accepted (CF)","Blocking"),IF($J424="Failed","Deferrable","Carry Over"))))))</f>
        <v/>
      </c>
      <c r="M424" s="68" t="str">
        <f>IF(OR(TRIM($A424)="",TRIM($E424)=""),"",IFERROR(INDEX('E2E core flow'!$B$15:$B$1000,MATCH(1,INDEX(('E2E core flow'!$A$15:$A$1000&lt;&gt;"")*ISNUMBER(SEARCH('E2E core flow'!$A$15:$A$1000,$E424)),0),0))&amp;"","-"))</f>
        <v/>
      </c>
      <c r="N424" s="68" t="str">
        <f>IF(TRIM($A424)="","",IF($O424=0,IF(COUNTIFS('Card Test Cases'!$B$4:$B$1000,$A424,'Card Test Cases'!$A$4:$A$1000,"&lt;&gt;")&gt;0,"Out of Scope","No TC"),IF($Q424&gt;0,"Failed",IF(COUNTIFS('Card Test Cases'!$B$4:$B$1000,$A424,'Card Test Cases'!$A$4:$A$1000,"&lt;&gt;",'Card Test Cases'!$F$4:$F$1000,"Blocked")&gt;0,"Blocked",IF($R424&gt;0,"In Progress","Passed")))))</f>
        <v/>
      </c>
      <c r="O424" s="68" t="str">
        <f>IF(TRIM($A424)="","",COUNTIFS('Card Test Cases'!$B$4:$B$1000,$A424,'Card Test Cases'!$A$4:$A$1000,"&lt;&gt;",'Card Test Cases'!$F$4:$F$1000,"&lt;&gt;Out of Scope"))</f>
        <v/>
      </c>
      <c r="P424" s="68" t="str">
        <f>IF(TRIM($A424)="","",COUNTIFS('Card Test Cases'!$B$4:$B$1000,$A424,'Card Test Cases'!$A$4:$A$1000,"&lt;&gt;",'Card Test Cases'!$F$4:$F$1000,"Passed"))</f>
        <v/>
      </c>
      <c r="Q424" s="68" t="str">
        <f>IF(TRIM($A424)="","",COUNTIFS('Card Test Cases'!$B$4:$B$1000,$A424,'Card Test Cases'!$A$4:$A$1000,"&lt;&gt;",'Card Test Cases'!$F$4:$F$1000,"Failed"))</f>
        <v/>
      </c>
      <c r="R424" s="68" t="str">
        <f t="shared" si="6"/>
        <v/>
      </c>
      <c r="S424" s="68" t="str" cm="1">
        <f t="array" ref="S424">IF(TRIM($A424)="","",IFERROR(_xlfn.TEXTJOIN(", ",TRUE,_xlfn.UNIQUE(_xlfn.VSTACK(_xlfn._xlws.FILTER('Card Test Cases'!$G$4:$G$1000,('Card Test Cases'!$B$4:$B$1000=$A424)*('Card Test Cases'!$G$4:$G$1000&lt;&gt;""),""),_xlfn._xlws.FILTER('E2E core flow'!$U$15:$U$1000,('E2E core flow'!$A$15:$A$1000&lt;&gt;"")*ISNUMBER(SEARCH('E2E core flow'!$A$15:$A$1000,$E424))*('E2E core flow'!$U$15:$U$1000&lt;&gt;""),"")))),"-"))</f>
        <v/>
      </c>
    </row>
    <row r="425" spans="7:19" x14ac:dyDescent="0.3">
      <c r="G425" s="68" t="str" cm="1">
        <f t="array" ref="G425">_xlfn.LET(_xlpm.ids,'E2E core flow'!$A$15:$A$1000,_xlpm.v,'E2E core flow'!$W$15:$W$1000,_xlpm.m,(_xlpm.ids&lt;&gt;"")*ISNUMBER(SEARCH(_xlpm.ids,$E425)),_xlpm.f,SUM(_xlpm.m*(_xlpm.v="Failed")),_xlpm.b,SUM(_xlpm.m*(_xlpm.v="Blocked")),_xlpm.nr,SUM(_xlpm.m*(_xlpm.v="Not Run")),_xlpm.cp,SUM(_xlpm.m*(_xlpm.v="Conditionally Passed")),_xlpm.p,SUM(_xlpm.m*(_xlpm.v="Passed")),IF(TRIM($A425)="","",IF(TRIM($E425)="","Pending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25" s="68" t="str">
        <f>IF(TRIM($A425)="","",IF($J425="Passed","",IF($J425="Passed with Known Issue","Known Issue",IF($J425="",IF(OR($H425&lt;&gt;"No",AND($F425&lt;&gt;"Medium",$F425&lt;&gt;"Low")),"Pending Result",""),IF(OR($H425&lt;&gt;"No",AND($F425&lt;&gt;"Medium",$F425&lt;&gt;"Low")),IF(COUNTIFS(Dashboard!$B$105:$B$124,$A425,Dashboard!$I$105:$I$124,"CAB")&gt;0,"Accepted (CF)","Blocking"),IF($J425="Failed","Deferrable","Carry Over"))))))</f>
        <v/>
      </c>
      <c r="M425" s="68" t="str">
        <f>IF(OR(TRIM($A425)="",TRIM($E425)=""),"",IFERROR(INDEX('E2E core flow'!$B$15:$B$1000,MATCH(1,INDEX(('E2E core flow'!$A$15:$A$1000&lt;&gt;"")*ISNUMBER(SEARCH('E2E core flow'!$A$15:$A$1000,$E425)),0),0))&amp;"","-"))</f>
        <v/>
      </c>
      <c r="N425" s="68" t="str">
        <f>IF(TRIM($A425)="","",IF($O425=0,IF(COUNTIFS('Card Test Cases'!$B$4:$B$1000,$A425,'Card Test Cases'!$A$4:$A$1000,"&lt;&gt;")&gt;0,"Out of Scope","No TC"),IF($Q425&gt;0,"Failed",IF(COUNTIFS('Card Test Cases'!$B$4:$B$1000,$A425,'Card Test Cases'!$A$4:$A$1000,"&lt;&gt;",'Card Test Cases'!$F$4:$F$1000,"Blocked")&gt;0,"Blocked",IF($R425&gt;0,"In Progress","Passed")))))</f>
        <v/>
      </c>
      <c r="O425" s="68" t="str">
        <f>IF(TRIM($A425)="","",COUNTIFS('Card Test Cases'!$B$4:$B$1000,$A425,'Card Test Cases'!$A$4:$A$1000,"&lt;&gt;",'Card Test Cases'!$F$4:$F$1000,"&lt;&gt;Out of Scope"))</f>
        <v/>
      </c>
      <c r="P425" s="68" t="str">
        <f>IF(TRIM($A425)="","",COUNTIFS('Card Test Cases'!$B$4:$B$1000,$A425,'Card Test Cases'!$A$4:$A$1000,"&lt;&gt;",'Card Test Cases'!$F$4:$F$1000,"Passed"))</f>
        <v/>
      </c>
      <c r="Q425" s="68" t="str">
        <f>IF(TRIM($A425)="","",COUNTIFS('Card Test Cases'!$B$4:$B$1000,$A425,'Card Test Cases'!$A$4:$A$1000,"&lt;&gt;",'Card Test Cases'!$F$4:$F$1000,"Failed"))</f>
        <v/>
      </c>
      <c r="R425" s="68" t="str">
        <f t="shared" si="6"/>
        <v/>
      </c>
      <c r="S425" s="68" t="str" cm="1">
        <f t="array" ref="S425">IF(TRIM($A425)="","",IFERROR(_xlfn.TEXTJOIN(", ",TRUE,_xlfn.UNIQUE(_xlfn.VSTACK(_xlfn._xlws.FILTER('Card Test Cases'!$G$4:$G$1000,('Card Test Cases'!$B$4:$B$1000=$A425)*('Card Test Cases'!$G$4:$G$1000&lt;&gt;""),""),_xlfn._xlws.FILTER('E2E core flow'!$U$15:$U$1000,('E2E core flow'!$A$15:$A$1000&lt;&gt;"")*ISNUMBER(SEARCH('E2E core flow'!$A$15:$A$1000,$E425))*('E2E core flow'!$U$15:$U$1000&lt;&gt;""),"")))),"-"))</f>
        <v/>
      </c>
    </row>
    <row r="426" spans="7:19" x14ac:dyDescent="0.3">
      <c r="G426" s="68" t="str" cm="1">
        <f t="array" ref="G426">_xlfn.LET(_xlpm.ids,'E2E core flow'!$A$15:$A$1000,_xlpm.v,'E2E core flow'!$W$15:$W$1000,_xlpm.m,(_xlpm.ids&lt;&gt;"")*ISNUMBER(SEARCH(_xlpm.ids,$E426)),_xlpm.f,SUM(_xlpm.m*(_xlpm.v="Failed")),_xlpm.b,SUM(_xlpm.m*(_xlpm.v="Blocked")),_xlpm.nr,SUM(_xlpm.m*(_xlpm.v="Not Run")),_xlpm.cp,SUM(_xlpm.m*(_xlpm.v="Conditionally Passed")),_xlpm.p,SUM(_xlpm.m*(_xlpm.v="Passed")),IF(TRIM($A426)="","",IF(TRIM($E426)="","Pending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26" s="68" t="str">
        <f>IF(TRIM($A426)="","",IF($J426="Passed","",IF($J426="Passed with Known Issue","Known Issue",IF($J426="",IF(OR($H426&lt;&gt;"No",AND($F426&lt;&gt;"Medium",$F426&lt;&gt;"Low")),"Pending Result",""),IF(OR($H426&lt;&gt;"No",AND($F426&lt;&gt;"Medium",$F426&lt;&gt;"Low")),IF(COUNTIFS(Dashboard!$B$105:$B$124,$A426,Dashboard!$I$105:$I$124,"CAB")&gt;0,"Accepted (CF)","Blocking"),IF($J426="Failed","Deferrable","Carry Over"))))))</f>
        <v/>
      </c>
      <c r="M426" s="68" t="str">
        <f>IF(OR(TRIM($A426)="",TRIM($E426)=""),"",IFERROR(INDEX('E2E core flow'!$B$15:$B$1000,MATCH(1,INDEX(('E2E core flow'!$A$15:$A$1000&lt;&gt;"")*ISNUMBER(SEARCH('E2E core flow'!$A$15:$A$1000,$E426)),0),0))&amp;"","-"))</f>
        <v/>
      </c>
      <c r="N426" s="68" t="str">
        <f>IF(TRIM($A426)="","",IF($O426=0,IF(COUNTIFS('Card Test Cases'!$B$4:$B$1000,$A426,'Card Test Cases'!$A$4:$A$1000,"&lt;&gt;")&gt;0,"Out of Scope","No TC"),IF($Q426&gt;0,"Failed",IF(COUNTIFS('Card Test Cases'!$B$4:$B$1000,$A426,'Card Test Cases'!$A$4:$A$1000,"&lt;&gt;",'Card Test Cases'!$F$4:$F$1000,"Blocked")&gt;0,"Blocked",IF($R426&gt;0,"In Progress","Passed")))))</f>
        <v/>
      </c>
      <c r="O426" s="68" t="str">
        <f>IF(TRIM($A426)="","",COUNTIFS('Card Test Cases'!$B$4:$B$1000,$A426,'Card Test Cases'!$A$4:$A$1000,"&lt;&gt;",'Card Test Cases'!$F$4:$F$1000,"&lt;&gt;Out of Scope"))</f>
        <v/>
      </c>
      <c r="P426" s="68" t="str">
        <f>IF(TRIM($A426)="","",COUNTIFS('Card Test Cases'!$B$4:$B$1000,$A426,'Card Test Cases'!$A$4:$A$1000,"&lt;&gt;",'Card Test Cases'!$F$4:$F$1000,"Passed"))</f>
        <v/>
      </c>
      <c r="Q426" s="68" t="str">
        <f>IF(TRIM($A426)="","",COUNTIFS('Card Test Cases'!$B$4:$B$1000,$A426,'Card Test Cases'!$A$4:$A$1000,"&lt;&gt;",'Card Test Cases'!$F$4:$F$1000,"Failed"))</f>
        <v/>
      </c>
      <c r="R426" s="68" t="str">
        <f t="shared" si="6"/>
        <v/>
      </c>
      <c r="S426" s="68" t="str" cm="1">
        <f t="array" ref="S426">IF(TRIM($A426)="","",IFERROR(_xlfn.TEXTJOIN(", ",TRUE,_xlfn.UNIQUE(_xlfn.VSTACK(_xlfn._xlws.FILTER('Card Test Cases'!$G$4:$G$1000,('Card Test Cases'!$B$4:$B$1000=$A426)*('Card Test Cases'!$G$4:$G$1000&lt;&gt;""),""),_xlfn._xlws.FILTER('E2E core flow'!$U$15:$U$1000,('E2E core flow'!$A$15:$A$1000&lt;&gt;"")*ISNUMBER(SEARCH('E2E core flow'!$A$15:$A$1000,$E426))*('E2E core flow'!$U$15:$U$1000&lt;&gt;""),"")))),"-"))</f>
        <v/>
      </c>
    </row>
    <row r="427" spans="7:19" x14ac:dyDescent="0.3">
      <c r="G427" s="68" t="str" cm="1">
        <f t="array" ref="G427">_xlfn.LET(_xlpm.ids,'E2E core flow'!$A$15:$A$1000,_xlpm.v,'E2E core flow'!$W$15:$W$1000,_xlpm.m,(_xlpm.ids&lt;&gt;"")*ISNUMBER(SEARCH(_xlpm.ids,$E427)),_xlpm.f,SUM(_xlpm.m*(_xlpm.v="Failed")),_xlpm.b,SUM(_xlpm.m*(_xlpm.v="Blocked")),_xlpm.nr,SUM(_xlpm.m*(_xlpm.v="Not Run")),_xlpm.cp,SUM(_xlpm.m*(_xlpm.v="Conditionally Passed")),_xlpm.p,SUM(_xlpm.m*(_xlpm.v="Passed")),IF(TRIM($A427)="","",IF(TRIM($E427)="","Pending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27" s="68" t="str">
        <f>IF(TRIM($A427)="","",IF($J427="Passed","",IF($J427="Passed with Known Issue","Known Issue",IF($J427="",IF(OR($H427&lt;&gt;"No",AND($F427&lt;&gt;"Medium",$F427&lt;&gt;"Low")),"Pending Result",""),IF(OR($H427&lt;&gt;"No",AND($F427&lt;&gt;"Medium",$F427&lt;&gt;"Low")),IF(COUNTIFS(Dashboard!$B$105:$B$124,$A427,Dashboard!$I$105:$I$124,"CAB")&gt;0,"Accepted (CF)","Blocking"),IF($J427="Failed","Deferrable","Carry Over"))))))</f>
        <v/>
      </c>
      <c r="M427" s="68" t="str">
        <f>IF(OR(TRIM($A427)="",TRIM($E427)=""),"",IFERROR(INDEX('E2E core flow'!$B$15:$B$1000,MATCH(1,INDEX(('E2E core flow'!$A$15:$A$1000&lt;&gt;"")*ISNUMBER(SEARCH('E2E core flow'!$A$15:$A$1000,$E427)),0),0))&amp;"","-"))</f>
        <v/>
      </c>
      <c r="N427" s="68" t="str">
        <f>IF(TRIM($A427)="","",IF($O427=0,IF(COUNTIFS('Card Test Cases'!$B$4:$B$1000,$A427,'Card Test Cases'!$A$4:$A$1000,"&lt;&gt;")&gt;0,"Out of Scope","No TC"),IF($Q427&gt;0,"Failed",IF(COUNTIFS('Card Test Cases'!$B$4:$B$1000,$A427,'Card Test Cases'!$A$4:$A$1000,"&lt;&gt;",'Card Test Cases'!$F$4:$F$1000,"Blocked")&gt;0,"Blocked",IF($R427&gt;0,"In Progress","Passed")))))</f>
        <v/>
      </c>
      <c r="O427" s="68" t="str">
        <f>IF(TRIM($A427)="","",COUNTIFS('Card Test Cases'!$B$4:$B$1000,$A427,'Card Test Cases'!$A$4:$A$1000,"&lt;&gt;",'Card Test Cases'!$F$4:$F$1000,"&lt;&gt;Out of Scope"))</f>
        <v/>
      </c>
      <c r="P427" s="68" t="str">
        <f>IF(TRIM($A427)="","",COUNTIFS('Card Test Cases'!$B$4:$B$1000,$A427,'Card Test Cases'!$A$4:$A$1000,"&lt;&gt;",'Card Test Cases'!$F$4:$F$1000,"Passed"))</f>
        <v/>
      </c>
      <c r="Q427" s="68" t="str">
        <f>IF(TRIM($A427)="","",COUNTIFS('Card Test Cases'!$B$4:$B$1000,$A427,'Card Test Cases'!$A$4:$A$1000,"&lt;&gt;",'Card Test Cases'!$F$4:$F$1000,"Failed"))</f>
        <v/>
      </c>
      <c r="R427" s="68" t="str">
        <f t="shared" si="6"/>
        <v/>
      </c>
      <c r="S427" s="68" t="str" cm="1">
        <f t="array" ref="S427">IF(TRIM($A427)="","",IFERROR(_xlfn.TEXTJOIN(", ",TRUE,_xlfn.UNIQUE(_xlfn.VSTACK(_xlfn._xlws.FILTER('Card Test Cases'!$G$4:$G$1000,('Card Test Cases'!$B$4:$B$1000=$A427)*('Card Test Cases'!$G$4:$G$1000&lt;&gt;""),""),_xlfn._xlws.FILTER('E2E core flow'!$U$15:$U$1000,('E2E core flow'!$A$15:$A$1000&lt;&gt;"")*ISNUMBER(SEARCH('E2E core flow'!$A$15:$A$1000,$E427))*('E2E core flow'!$U$15:$U$1000&lt;&gt;""),"")))),"-"))</f>
        <v/>
      </c>
    </row>
    <row r="428" spans="7:19" x14ac:dyDescent="0.3">
      <c r="G428" s="68" t="str" cm="1">
        <f t="array" ref="G428">_xlfn.LET(_xlpm.ids,'E2E core flow'!$A$15:$A$1000,_xlpm.v,'E2E core flow'!$W$15:$W$1000,_xlpm.m,(_xlpm.ids&lt;&gt;"")*ISNUMBER(SEARCH(_xlpm.ids,$E428)),_xlpm.f,SUM(_xlpm.m*(_xlpm.v="Failed")),_xlpm.b,SUM(_xlpm.m*(_xlpm.v="Blocked")),_xlpm.nr,SUM(_xlpm.m*(_xlpm.v="Not Run")),_xlpm.cp,SUM(_xlpm.m*(_xlpm.v="Conditionally Passed")),_xlpm.p,SUM(_xlpm.m*(_xlpm.v="Passed")),IF(TRIM($A428)="","",IF(TRIM($E428)="","Pending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28" s="68" t="str">
        <f>IF(TRIM($A428)="","",IF($J428="Passed","",IF($J428="Passed with Known Issue","Known Issue",IF($J428="",IF(OR($H428&lt;&gt;"No",AND($F428&lt;&gt;"Medium",$F428&lt;&gt;"Low")),"Pending Result",""),IF(OR($H428&lt;&gt;"No",AND($F428&lt;&gt;"Medium",$F428&lt;&gt;"Low")),IF(COUNTIFS(Dashboard!$B$105:$B$124,$A428,Dashboard!$I$105:$I$124,"CAB")&gt;0,"Accepted (CF)","Blocking"),IF($J428="Failed","Deferrable","Carry Over"))))))</f>
        <v/>
      </c>
      <c r="M428" s="68" t="str">
        <f>IF(OR(TRIM($A428)="",TRIM($E428)=""),"",IFERROR(INDEX('E2E core flow'!$B$15:$B$1000,MATCH(1,INDEX(('E2E core flow'!$A$15:$A$1000&lt;&gt;"")*ISNUMBER(SEARCH('E2E core flow'!$A$15:$A$1000,$E428)),0),0))&amp;"","-"))</f>
        <v/>
      </c>
      <c r="N428" s="68" t="str">
        <f>IF(TRIM($A428)="","",IF($O428=0,IF(COUNTIFS('Card Test Cases'!$B$4:$B$1000,$A428,'Card Test Cases'!$A$4:$A$1000,"&lt;&gt;")&gt;0,"Out of Scope","No TC"),IF($Q428&gt;0,"Failed",IF(COUNTIFS('Card Test Cases'!$B$4:$B$1000,$A428,'Card Test Cases'!$A$4:$A$1000,"&lt;&gt;",'Card Test Cases'!$F$4:$F$1000,"Blocked")&gt;0,"Blocked",IF($R428&gt;0,"In Progress","Passed")))))</f>
        <v/>
      </c>
      <c r="O428" s="68" t="str">
        <f>IF(TRIM($A428)="","",COUNTIFS('Card Test Cases'!$B$4:$B$1000,$A428,'Card Test Cases'!$A$4:$A$1000,"&lt;&gt;",'Card Test Cases'!$F$4:$F$1000,"&lt;&gt;Out of Scope"))</f>
        <v/>
      </c>
      <c r="P428" s="68" t="str">
        <f>IF(TRIM($A428)="","",COUNTIFS('Card Test Cases'!$B$4:$B$1000,$A428,'Card Test Cases'!$A$4:$A$1000,"&lt;&gt;",'Card Test Cases'!$F$4:$F$1000,"Passed"))</f>
        <v/>
      </c>
      <c r="Q428" s="68" t="str">
        <f>IF(TRIM($A428)="","",COUNTIFS('Card Test Cases'!$B$4:$B$1000,$A428,'Card Test Cases'!$A$4:$A$1000,"&lt;&gt;",'Card Test Cases'!$F$4:$F$1000,"Failed"))</f>
        <v/>
      </c>
      <c r="R428" s="68" t="str">
        <f t="shared" si="6"/>
        <v/>
      </c>
      <c r="S428" s="68" t="str" cm="1">
        <f t="array" ref="S428">IF(TRIM($A428)="","",IFERROR(_xlfn.TEXTJOIN(", ",TRUE,_xlfn.UNIQUE(_xlfn.VSTACK(_xlfn._xlws.FILTER('Card Test Cases'!$G$4:$G$1000,('Card Test Cases'!$B$4:$B$1000=$A428)*('Card Test Cases'!$G$4:$G$1000&lt;&gt;""),""),_xlfn._xlws.FILTER('E2E core flow'!$U$15:$U$1000,('E2E core flow'!$A$15:$A$1000&lt;&gt;"")*ISNUMBER(SEARCH('E2E core flow'!$A$15:$A$1000,$E428))*('E2E core flow'!$U$15:$U$1000&lt;&gt;""),"")))),"-"))</f>
        <v/>
      </c>
    </row>
    <row r="429" spans="7:19" x14ac:dyDescent="0.3">
      <c r="G429" s="68" t="str" cm="1">
        <f t="array" ref="G429">_xlfn.LET(_xlpm.ids,'E2E core flow'!$A$15:$A$1000,_xlpm.v,'E2E core flow'!$W$15:$W$1000,_xlpm.m,(_xlpm.ids&lt;&gt;"")*ISNUMBER(SEARCH(_xlpm.ids,$E429)),_xlpm.f,SUM(_xlpm.m*(_xlpm.v="Failed")),_xlpm.b,SUM(_xlpm.m*(_xlpm.v="Blocked")),_xlpm.nr,SUM(_xlpm.m*(_xlpm.v="Not Run")),_xlpm.cp,SUM(_xlpm.m*(_xlpm.v="Conditionally Passed")),_xlpm.p,SUM(_xlpm.m*(_xlpm.v="Passed")),IF(TRIM($A429)="","",IF(TRIM($E429)="","Pending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29" s="68" t="str">
        <f>IF(TRIM($A429)="","",IF($J429="Passed","",IF($J429="Passed with Known Issue","Known Issue",IF($J429="",IF(OR($H429&lt;&gt;"No",AND($F429&lt;&gt;"Medium",$F429&lt;&gt;"Low")),"Pending Result",""),IF(OR($H429&lt;&gt;"No",AND($F429&lt;&gt;"Medium",$F429&lt;&gt;"Low")),IF(COUNTIFS(Dashboard!$B$105:$B$124,$A429,Dashboard!$I$105:$I$124,"CAB")&gt;0,"Accepted (CF)","Blocking"),IF($J429="Failed","Deferrable","Carry Over"))))))</f>
        <v/>
      </c>
      <c r="M429" s="68" t="str">
        <f>IF(OR(TRIM($A429)="",TRIM($E429)=""),"",IFERROR(INDEX('E2E core flow'!$B$15:$B$1000,MATCH(1,INDEX(('E2E core flow'!$A$15:$A$1000&lt;&gt;"")*ISNUMBER(SEARCH('E2E core flow'!$A$15:$A$1000,$E429)),0),0))&amp;"","-"))</f>
        <v/>
      </c>
      <c r="N429" s="68" t="str">
        <f>IF(TRIM($A429)="","",IF($O429=0,IF(COUNTIFS('Card Test Cases'!$B$4:$B$1000,$A429,'Card Test Cases'!$A$4:$A$1000,"&lt;&gt;")&gt;0,"Out of Scope","No TC"),IF($Q429&gt;0,"Failed",IF(COUNTIFS('Card Test Cases'!$B$4:$B$1000,$A429,'Card Test Cases'!$A$4:$A$1000,"&lt;&gt;",'Card Test Cases'!$F$4:$F$1000,"Blocked")&gt;0,"Blocked",IF($R429&gt;0,"In Progress","Passed")))))</f>
        <v/>
      </c>
      <c r="O429" s="68" t="str">
        <f>IF(TRIM($A429)="","",COUNTIFS('Card Test Cases'!$B$4:$B$1000,$A429,'Card Test Cases'!$A$4:$A$1000,"&lt;&gt;",'Card Test Cases'!$F$4:$F$1000,"&lt;&gt;Out of Scope"))</f>
        <v/>
      </c>
      <c r="P429" s="68" t="str">
        <f>IF(TRIM($A429)="","",COUNTIFS('Card Test Cases'!$B$4:$B$1000,$A429,'Card Test Cases'!$A$4:$A$1000,"&lt;&gt;",'Card Test Cases'!$F$4:$F$1000,"Passed"))</f>
        <v/>
      </c>
      <c r="Q429" s="68" t="str">
        <f>IF(TRIM($A429)="","",COUNTIFS('Card Test Cases'!$B$4:$B$1000,$A429,'Card Test Cases'!$A$4:$A$1000,"&lt;&gt;",'Card Test Cases'!$F$4:$F$1000,"Failed"))</f>
        <v/>
      </c>
      <c r="R429" s="68" t="str">
        <f t="shared" si="6"/>
        <v/>
      </c>
      <c r="S429" s="68" t="str" cm="1">
        <f t="array" ref="S429">IF(TRIM($A429)="","",IFERROR(_xlfn.TEXTJOIN(", ",TRUE,_xlfn.UNIQUE(_xlfn.VSTACK(_xlfn._xlws.FILTER('Card Test Cases'!$G$4:$G$1000,('Card Test Cases'!$B$4:$B$1000=$A429)*('Card Test Cases'!$G$4:$G$1000&lt;&gt;""),""),_xlfn._xlws.FILTER('E2E core flow'!$U$15:$U$1000,('E2E core flow'!$A$15:$A$1000&lt;&gt;"")*ISNUMBER(SEARCH('E2E core flow'!$A$15:$A$1000,$E429))*('E2E core flow'!$U$15:$U$1000&lt;&gt;""),"")))),"-"))</f>
        <v/>
      </c>
    </row>
    <row r="430" spans="7:19" x14ac:dyDescent="0.3">
      <c r="G430" s="68" t="str" cm="1">
        <f t="array" ref="G430">_xlfn.LET(_xlpm.ids,'E2E core flow'!$A$15:$A$1000,_xlpm.v,'E2E core flow'!$W$15:$W$1000,_xlpm.m,(_xlpm.ids&lt;&gt;"")*ISNUMBER(SEARCH(_xlpm.ids,$E430)),_xlpm.f,SUM(_xlpm.m*(_xlpm.v="Failed")),_xlpm.b,SUM(_xlpm.m*(_xlpm.v="Blocked")),_xlpm.nr,SUM(_xlpm.m*(_xlpm.v="Not Run")),_xlpm.cp,SUM(_xlpm.m*(_xlpm.v="Conditionally Passed")),_xlpm.p,SUM(_xlpm.m*(_xlpm.v="Passed")),IF(TRIM($A430)="","",IF(TRIM($E430)="","Pending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30" s="68" t="str">
        <f>IF(TRIM($A430)="","",IF($J430="Passed","",IF($J430="Passed with Known Issue","Known Issue",IF($J430="",IF(OR($H430&lt;&gt;"No",AND($F430&lt;&gt;"Medium",$F430&lt;&gt;"Low")),"Pending Result",""),IF(OR($H430&lt;&gt;"No",AND($F430&lt;&gt;"Medium",$F430&lt;&gt;"Low")),IF(COUNTIFS(Dashboard!$B$105:$B$124,$A430,Dashboard!$I$105:$I$124,"CAB")&gt;0,"Accepted (CF)","Blocking"),IF($J430="Failed","Deferrable","Carry Over"))))))</f>
        <v/>
      </c>
      <c r="M430" s="68" t="str">
        <f>IF(OR(TRIM($A430)="",TRIM($E430)=""),"",IFERROR(INDEX('E2E core flow'!$B$15:$B$1000,MATCH(1,INDEX(('E2E core flow'!$A$15:$A$1000&lt;&gt;"")*ISNUMBER(SEARCH('E2E core flow'!$A$15:$A$1000,$E430)),0),0))&amp;"","-"))</f>
        <v/>
      </c>
      <c r="N430" s="68" t="str">
        <f>IF(TRIM($A430)="","",IF($O430=0,IF(COUNTIFS('Card Test Cases'!$B$4:$B$1000,$A430,'Card Test Cases'!$A$4:$A$1000,"&lt;&gt;")&gt;0,"Out of Scope","No TC"),IF($Q430&gt;0,"Failed",IF(COUNTIFS('Card Test Cases'!$B$4:$B$1000,$A430,'Card Test Cases'!$A$4:$A$1000,"&lt;&gt;",'Card Test Cases'!$F$4:$F$1000,"Blocked")&gt;0,"Blocked",IF($R430&gt;0,"In Progress","Passed")))))</f>
        <v/>
      </c>
      <c r="O430" s="68" t="str">
        <f>IF(TRIM($A430)="","",COUNTIFS('Card Test Cases'!$B$4:$B$1000,$A430,'Card Test Cases'!$A$4:$A$1000,"&lt;&gt;",'Card Test Cases'!$F$4:$F$1000,"&lt;&gt;Out of Scope"))</f>
        <v/>
      </c>
      <c r="P430" s="68" t="str">
        <f>IF(TRIM($A430)="","",COUNTIFS('Card Test Cases'!$B$4:$B$1000,$A430,'Card Test Cases'!$A$4:$A$1000,"&lt;&gt;",'Card Test Cases'!$F$4:$F$1000,"Passed"))</f>
        <v/>
      </c>
      <c r="Q430" s="68" t="str">
        <f>IF(TRIM($A430)="","",COUNTIFS('Card Test Cases'!$B$4:$B$1000,$A430,'Card Test Cases'!$A$4:$A$1000,"&lt;&gt;",'Card Test Cases'!$F$4:$F$1000,"Failed"))</f>
        <v/>
      </c>
      <c r="R430" s="68" t="str">
        <f t="shared" si="6"/>
        <v/>
      </c>
      <c r="S430" s="68" t="str" cm="1">
        <f t="array" ref="S430">IF(TRIM($A430)="","",IFERROR(_xlfn.TEXTJOIN(", ",TRUE,_xlfn.UNIQUE(_xlfn.VSTACK(_xlfn._xlws.FILTER('Card Test Cases'!$G$4:$G$1000,('Card Test Cases'!$B$4:$B$1000=$A430)*('Card Test Cases'!$G$4:$G$1000&lt;&gt;""),""),_xlfn._xlws.FILTER('E2E core flow'!$U$15:$U$1000,('E2E core flow'!$A$15:$A$1000&lt;&gt;"")*ISNUMBER(SEARCH('E2E core flow'!$A$15:$A$1000,$E430))*('E2E core flow'!$U$15:$U$1000&lt;&gt;""),"")))),"-"))</f>
        <v/>
      </c>
    </row>
    <row r="431" spans="7:19" x14ac:dyDescent="0.3">
      <c r="G431" s="68" t="str" cm="1">
        <f t="array" ref="G431">_xlfn.LET(_xlpm.ids,'E2E core flow'!$A$15:$A$1000,_xlpm.v,'E2E core flow'!$W$15:$W$1000,_xlpm.m,(_xlpm.ids&lt;&gt;"")*ISNUMBER(SEARCH(_xlpm.ids,$E431)),_xlpm.f,SUM(_xlpm.m*(_xlpm.v="Failed")),_xlpm.b,SUM(_xlpm.m*(_xlpm.v="Blocked")),_xlpm.nr,SUM(_xlpm.m*(_xlpm.v="Not Run")),_xlpm.cp,SUM(_xlpm.m*(_xlpm.v="Conditionally Passed")),_xlpm.p,SUM(_xlpm.m*(_xlpm.v="Passed")),IF(TRIM($A431)="","",IF(TRIM($E431)="","Pending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31" s="68" t="str">
        <f>IF(TRIM($A431)="","",IF($J431="Passed","",IF($J431="Passed with Known Issue","Known Issue",IF($J431="",IF(OR($H431&lt;&gt;"No",AND($F431&lt;&gt;"Medium",$F431&lt;&gt;"Low")),"Pending Result",""),IF(OR($H431&lt;&gt;"No",AND($F431&lt;&gt;"Medium",$F431&lt;&gt;"Low")),IF(COUNTIFS(Dashboard!$B$105:$B$124,$A431,Dashboard!$I$105:$I$124,"CAB")&gt;0,"Accepted (CF)","Blocking"),IF($J431="Failed","Deferrable","Carry Over"))))))</f>
        <v/>
      </c>
      <c r="M431" s="68" t="str">
        <f>IF(OR(TRIM($A431)="",TRIM($E431)=""),"",IFERROR(INDEX('E2E core flow'!$B$15:$B$1000,MATCH(1,INDEX(('E2E core flow'!$A$15:$A$1000&lt;&gt;"")*ISNUMBER(SEARCH('E2E core flow'!$A$15:$A$1000,$E431)),0),0))&amp;"","-"))</f>
        <v/>
      </c>
      <c r="N431" s="68" t="str">
        <f>IF(TRIM($A431)="","",IF($O431=0,IF(COUNTIFS('Card Test Cases'!$B$4:$B$1000,$A431,'Card Test Cases'!$A$4:$A$1000,"&lt;&gt;")&gt;0,"Out of Scope","No TC"),IF($Q431&gt;0,"Failed",IF(COUNTIFS('Card Test Cases'!$B$4:$B$1000,$A431,'Card Test Cases'!$A$4:$A$1000,"&lt;&gt;",'Card Test Cases'!$F$4:$F$1000,"Blocked")&gt;0,"Blocked",IF($R431&gt;0,"In Progress","Passed")))))</f>
        <v/>
      </c>
      <c r="O431" s="68" t="str">
        <f>IF(TRIM($A431)="","",COUNTIFS('Card Test Cases'!$B$4:$B$1000,$A431,'Card Test Cases'!$A$4:$A$1000,"&lt;&gt;",'Card Test Cases'!$F$4:$F$1000,"&lt;&gt;Out of Scope"))</f>
        <v/>
      </c>
      <c r="P431" s="68" t="str">
        <f>IF(TRIM($A431)="","",COUNTIFS('Card Test Cases'!$B$4:$B$1000,$A431,'Card Test Cases'!$A$4:$A$1000,"&lt;&gt;",'Card Test Cases'!$F$4:$F$1000,"Passed"))</f>
        <v/>
      </c>
      <c r="Q431" s="68" t="str">
        <f>IF(TRIM($A431)="","",COUNTIFS('Card Test Cases'!$B$4:$B$1000,$A431,'Card Test Cases'!$A$4:$A$1000,"&lt;&gt;",'Card Test Cases'!$F$4:$F$1000,"Failed"))</f>
        <v/>
      </c>
      <c r="R431" s="68" t="str">
        <f t="shared" si="6"/>
        <v/>
      </c>
      <c r="S431" s="68" t="str" cm="1">
        <f t="array" ref="S431">IF(TRIM($A431)="","",IFERROR(_xlfn.TEXTJOIN(", ",TRUE,_xlfn.UNIQUE(_xlfn.VSTACK(_xlfn._xlws.FILTER('Card Test Cases'!$G$4:$G$1000,('Card Test Cases'!$B$4:$B$1000=$A431)*('Card Test Cases'!$G$4:$G$1000&lt;&gt;""),""),_xlfn._xlws.FILTER('E2E core flow'!$U$15:$U$1000,('E2E core flow'!$A$15:$A$1000&lt;&gt;"")*ISNUMBER(SEARCH('E2E core flow'!$A$15:$A$1000,$E431))*('E2E core flow'!$U$15:$U$1000&lt;&gt;""),"")))),"-"))</f>
        <v/>
      </c>
    </row>
    <row r="432" spans="7:19" x14ac:dyDescent="0.3">
      <c r="G432" s="68" t="str" cm="1">
        <f t="array" ref="G432">_xlfn.LET(_xlpm.ids,'E2E core flow'!$A$15:$A$1000,_xlpm.v,'E2E core flow'!$W$15:$W$1000,_xlpm.m,(_xlpm.ids&lt;&gt;"")*ISNUMBER(SEARCH(_xlpm.ids,$E432)),_xlpm.f,SUM(_xlpm.m*(_xlpm.v="Failed")),_xlpm.b,SUM(_xlpm.m*(_xlpm.v="Blocked")),_xlpm.nr,SUM(_xlpm.m*(_xlpm.v="Not Run")),_xlpm.cp,SUM(_xlpm.m*(_xlpm.v="Conditionally Passed")),_xlpm.p,SUM(_xlpm.m*(_xlpm.v="Passed")),IF(TRIM($A432)="","",IF(TRIM($E432)="","Pending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32" s="68" t="str">
        <f>IF(TRIM($A432)="","",IF($J432="Passed","",IF($J432="Passed with Known Issue","Known Issue",IF($J432="",IF(OR($H432&lt;&gt;"No",AND($F432&lt;&gt;"Medium",$F432&lt;&gt;"Low")),"Pending Result",""),IF(OR($H432&lt;&gt;"No",AND($F432&lt;&gt;"Medium",$F432&lt;&gt;"Low")),IF(COUNTIFS(Dashboard!$B$105:$B$124,$A432,Dashboard!$I$105:$I$124,"CAB")&gt;0,"Accepted (CF)","Blocking"),IF($J432="Failed","Deferrable","Carry Over"))))))</f>
        <v/>
      </c>
      <c r="M432" s="68" t="str">
        <f>IF(OR(TRIM($A432)="",TRIM($E432)=""),"",IFERROR(INDEX('E2E core flow'!$B$15:$B$1000,MATCH(1,INDEX(('E2E core flow'!$A$15:$A$1000&lt;&gt;"")*ISNUMBER(SEARCH('E2E core flow'!$A$15:$A$1000,$E432)),0),0))&amp;"","-"))</f>
        <v/>
      </c>
      <c r="N432" s="68" t="str">
        <f>IF(TRIM($A432)="","",IF($O432=0,IF(COUNTIFS('Card Test Cases'!$B$4:$B$1000,$A432,'Card Test Cases'!$A$4:$A$1000,"&lt;&gt;")&gt;0,"Out of Scope","No TC"),IF($Q432&gt;0,"Failed",IF(COUNTIFS('Card Test Cases'!$B$4:$B$1000,$A432,'Card Test Cases'!$A$4:$A$1000,"&lt;&gt;",'Card Test Cases'!$F$4:$F$1000,"Blocked")&gt;0,"Blocked",IF($R432&gt;0,"In Progress","Passed")))))</f>
        <v/>
      </c>
      <c r="O432" s="68" t="str">
        <f>IF(TRIM($A432)="","",COUNTIFS('Card Test Cases'!$B$4:$B$1000,$A432,'Card Test Cases'!$A$4:$A$1000,"&lt;&gt;",'Card Test Cases'!$F$4:$F$1000,"&lt;&gt;Out of Scope"))</f>
        <v/>
      </c>
      <c r="P432" s="68" t="str">
        <f>IF(TRIM($A432)="","",COUNTIFS('Card Test Cases'!$B$4:$B$1000,$A432,'Card Test Cases'!$A$4:$A$1000,"&lt;&gt;",'Card Test Cases'!$F$4:$F$1000,"Passed"))</f>
        <v/>
      </c>
      <c r="Q432" s="68" t="str">
        <f>IF(TRIM($A432)="","",COUNTIFS('Card Test Cases'!$B$4:$B$1000,$A432,'Card Test Cases'!$A$4:$A$1000,"&lt;&gt;",'Card Test Cases'!$F$4:$F$1000,"Failed"))</f>
        <v/>
      </c>
      <c r="R432" s="68" t="str">
        <f t="shared" si="6"/>
        <v/>
      </c>
      <c r="S432" s="68" t="str" cm="1">
        <f t="array" ref="S432">IF(TRIM($A432)="","",IFERROR(_xlfn.TEXTJOIN(", ",TRUE,_xlfn.UNIQUE(_xlfn.VSTACK(_xlfn._xlws.FILTER('Card Test Cases'!$G$4:$G$1000,('Card Test Cases'!$B$4:$B$1000=$A432)*('Card Test Cases'!$G$4:$G$1000&lt;&gt;""),""),_xlfn._xlws.FILTER('E2E core flow'!$U$15:$U$1000,('E2E core flow'!$A$15:$A$1000&lt;&gt;"")*ISNUMBER(SEARCH('E2E core flow'!$A$15:$A$1000,$E432))*('E2E core flow'!$U$15:$U$1000&lt;&gt;""),"")))),"-"))</f>
        <v/>
      </c>
    </row>
    <row r="433" spans="7:19" x14ac:dyDescent="0.3">
      <c r="G433" s="68" t="str" cm="1">
        <f t="array" ref="G433">_xlfn.LET(_xlpm.ids,'E2E core flow'!$A$15:$A$1000,_xlpm.v,'E2E core flow'!$W$15:$W$1000,_xlpm.m,(_xlpm.ids&lt;&gt;"")*ISNUMBER(SEARCH(_xlpm.ids,$E433)),_xlpm.f,SUM(_xlpm.m*(_xlpm.v="Failed")),_xlpm.b,SUM(_xlpm.m*(_xlpm.v="Blocked")),_xlpm.nr,SUM(_xlpm.m*(_xlpm.v="Not Run")),_xlpm.cp,SUM(_xlpm.m*(_xlpm.v="Conditionally Passed")),_xlpm.p,SUM(_xlpm.m*(_xlpm.v="Passed")),IF(TRIM($A433)="","",IF(TRIM($E433)="","Pending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33" s="68" t="str">
        <f>IF(TRIM($A433)="","",IF($J433="Passed","",IF($J433="Passed with Known Issue","Known Issue",IF($J433="",IF(OR($H433&lt;&gt;"No",AND($F433&lt;&gt;"Medium",$F433&lt;&gt;"Low")),"Pending Result",""),IF(OR($H433&lt;&gt;"No",AND($F433&lt;&gt;"Medium",$F433&lt;&gt;"Low")),IF(COUNTIFS(Dashboard!$B$105:$B$124,$A433,Dashboard!$I$105:$I$124,"CAB")&gt;0,"Accepted (CF)","Blocking"),IF($J433="Failed","Deferrable","Carry Over"))))))</f>
        <v/>
      </c>
      <c r="M433" s="68" t="str">
        <f>IF(OR(TRIM($A433)="",TRIM($E433)=""),"",IFERROR(INDEX('E2E core flow'!$B$15:$B$1000,MATCH(1,INDEX(('E2E core flow'!$A$15:$A$1000&lt;&gt;"")*ISNUMBER(SEARCH('E2E core flow'!$A$15:$A$1000,$E433)),0),0))&amp;"","-"))</f>
        <v/>
      </c>
      <c r="N433" s="68" t="str">
        <f>IF(TRIM($A433)="","",IF($O433=0,IF(COUNTIFS('Card Test Cases'!$B$4:$B$1000,$A433,'Card Test Cases'!$A$4:$A$1000,"&lt;&gt;")&gt;0,"Out of Scope","No TC"),IF($Q433&gt;0,"Failed",IF(COUNTIFS('Card Test Cases'!$B$4:$B$1000,$A433,'Card Test Cases'!$A$4:$A$1000,"&lt;&gt;",'Card Test Cases'!$F$4:$F$1000,"Blocked")&gt;0,"Blocked",IF($R433&gt;0,"In Progress","Passed")))))</f>
        <v/>
      </c>
      <c r="O433" s="68" t="str">
        <f>IF(TRIM($A433)="","",COUNTIFS('Card Test Cases'!$B$4:$B$1000,$A433,'Card Test Cases'!$A$4:$A$1000,"&lt;&gt;",'Card Test Cases'!$F$4:$F$1000,"&lt;&gt;Out of Scope"))</f>
        <v/>
      </c>
      <c r="P433" s="68" t="str">
        <f>IF(TRIM($A433)="","",COUNTIFS('Card Test Cases'!$B$4:$B$1000,$A433,'Card Test Cases'!$A$4:$A$1000,"&lt;&gt;",'Card Test Cases'!$F$4:$F$1000,"Passed"))</f>
        <v/>
      </c>
      <c r="Q433" s="68" t="str">
        <f>IF(TRIM($A433)="","",COUNTIFS('Card Test Cases'!$B$4:$B$1000,$A433,'Card Test Cases'!$A$4:$A$1000,"&lt;&gt;",'Card Test Cases'!$F$4:$F$1000,"Failed"))</f>
        <v/>
      </c>
      <c r="R433" s="68" t="str">
        <f t="shared" si="6"/>
        <v/>
      </c>
      <c r="S433" s="68" t="str" cm="1">
        <f t="array" ref="S433">IF(TRIM($A433)="","",IFERROR(_xlfn.TEXTJOIN(", ",TRUE,_xlfn.UNIQUE(_xlfn.VSTACK(_xlfn._xlws.FILTER('Card Test Cases'!$G$4:$G$1000,('Card Test Cases'!$B$4:$B$1000=$A433)*('Card Test Cases'!$G$4:$G$1000&lt;&gt;""),""),_xlfn._xlws.FILTER('E2E core flow'!$U$15:$U$1000,('E2E core flow'!$A$15:$A$1000&lt;&gt;"")*ISNUMBER(SEARCH('E2E core flow'!$A$15:$A$1000,$E433))*('E2E core flow'!$U$15:$U$1000&lt;&gt;""),"")))),"-"))</f>
        <v/>
      </c>
    </row>
    <row r="434" spans="7:19" x14ac:dyDescent="0.3">
      <c r="G434" s="68" t="str" cm="1">
        <f t="array" ref="G434">_xlfn.LET(_xlpm.ids,'E2E core flow'!$A$15:$A$1000,_xlpm.v,'E2E core flow'!$W$15:$W$1000,_xlpm.m,(_xlpm.ids&lt;&gt;"")*ISNUMBER(SEARCH(_xlpm.ids,$E434)),_xlpm.f,SUM(_xlpm.m*(_xlpm.v="Failed")),_xlpm.b,SUM(_xlpm.m*(_xlpm.v="Blocked")),_xlpm.nr,SUM(_xlpm.m*(_xlpm.v="Not Run")),_xlpm.cp,SUM(_xlpm.m*(_xlpm.v="Conditionally Passed")),_xlpm.p,SUM(_xlpm.m*(_xlpm.v="Passed")),IF(TRIM($A434)="","",IF(TRIM($E434)="","Pending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34" s="68" t="str">
        <f>IF(TRIM($A434)="","",IF($J434="Passed","",IF($J434="Passed with Known Issue","Known Issue",IF($J434="",IF(OR($H434&lt;&gt;"No",AND($F434&lt;&gt;"Medium",$F434&lt;&gt;"Low")),"Pending Result",""),IF(OR($H434&lt;&gt;"No",AND($F434&lt;&gt;"Medium",$F434&lt;&gt;"Low")),IF(COUNTIFS(Dashboard!$B$105:$B$124,$A434,Dashboard!$I$105:$I$124,"CAB")&gt;0,"Accepted (CF)","Blocking"),IF($J434="Failed","Deferrable","Carry Over"))))))</f>
        <v/>
      </c>
      <c r="M434" s="68" t="str">
        <f>IF(OR(TRIM($A434)="",TRIM($E434)=""),"",IFERROR(INDEX('E2E core flow'!$B$15:$B$1000,MATCH(1,INDEX(('E2E core flow'!$A$15:$A$1000&lt;&gt;"")*ISNUMBER(SEARCH('E2E core flow'!$A$15:$A$1000,$E434)),0),0))&amp;"","-"))</f>
        <v/>
      </c>
      <c r="N434" s="68" t="str">
        <f>IF(TRIM($A434)="","",IF($O434=0,IF(COUNTIFS('Card Test Cases'!$B$4:$B$1000,$A434,'Card Test Cases'!$A$4:$A$1000,"&lt;&gt;")&gt;0,"Out of Scope","No TC"),IF($Q434&gt;0,"Failed",IF(COUNTIFS('Card Test Cases'!$B$4:$B$1000,$A434,'Card Test Cases'!$A$4:$A$1000,"&lt;&gt;",'Card Test Cases'!$F$4:$F$1000,"Blocked")&gt;0,"Blocked",IF($R434&gt;0,"In Progress","Passed")))))</f>
        <v/>
      </c>
      <c r="O434" s="68" t="str">
        <f>IF(TRIM($A434)="","",COUNTIFS('Card Test Cases'!$B$4:$B$1000,$A434,'Card Test Cases'!$A$4:$A$1000,"&lt;&gt;",'Card Test Cases'!$F$4:$F$1000,"&lt;&gt;Out of Scope"))</f>
        <v/>
      </c>
      <c r="P434" s="68" t="str">
        <f>IF(TRIM($A434)="","",COUNTIFS('Card Test Cases'!$B$4:$B$1000,$A434,'Card Test Cases'!$A$4:$A$1000,"&lt;&gt;",'Card Test Cases'!$F$4:$F$1000,"Passed"))</f>
        <v/>
      </c>
      <c r="Q434" s="68" t="str">
        <f>IF(TRIM($A434)="","",COUNTIFS('Card Test Cases'!$B$4:$B$1000,$A434,'Card Test Cases'!$A$4:$A$1000,"&lt;&gt;",'Card Test Cases'!$F$4:$F$1000,"Failed"))</f>
        <v/>
      </c>
      <c r="R434" s="68" t="str">
        <f t="shared" si="6"/>
        <v/>
      </c>
      <c r="S434" s="68" t="str" cm="1">
        <f t="array" ref="S434">IF(TRIM($A434)="","",IFERROR(_xlfn.TEXTJOIN(", ",TRUE,_xlfn.UNIQUE(_xlfn.VSTACK(_xlfn._xlws.FILTER('Card Test Cases'!$G$4:$G$1000,('Card Test Cases'!$B$4:$B$1000=$A434)*('Card Test Cases'!$G$4:$G$1000&lt;&gt;""),""),_xlfn._xlws.FILTER('E2E core flow'!$U$15:$U$1000,('E2E core flow'!$A$15:$A$1000&lt;&gt;"")*ISNUMBER(SEARCH('E2E core flow'!$A$15:$A$1000,$E434))*('E2E core flow'!$U$15:$U$1000&lt;&gt;""),"")))),"-"))</f>
        <v/>
      </c>
    </row>
    <row r="435" spans="7:19" x14ac:dyDescent="0.3">
      <c r="G435" s="68" t="str" cm="1">
        <f t="array" ref="G435">_xlfn.LET(_xlpm.ids,'E2E core flow'!$A$15:$A$1000,_xlpm.v,'E2E core flow'!$W$15:$W$1000,_xlpm.m,(_xlpm.ids&lt;&gt;"")*ISNUMBER(SEARCH(_xlpm.ids,$E435)),_xlpm.f,SUM(_xlpm.m*(_xlpm.v="Failed")),_xlpm.b,SUM(_xlpm.m*(_xlpm.v="Blocked")),_xlpm.nr,SUM(_xlpm.m*(_xlpm.v="Not Run")),_xlpm.cp,SUM(_xlpm.m*(_xlpm.v="Conditionally Passed")),_xlpm.p,SUM(_xlpm.m*(_xlpm.v="Passed")),IF(TRIM($A435)="","",IF(TRIM($E435)="","Pending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35" s="68" t="str">
        <f>IF(TRIM($A435)="","",IF($J435="Passed","",IF($J435="Passed with Known Issue","Known Issue",IF($J435="",IF(OR($H435&lt;&gt;"No",AND($F435&lt;&gt;"Medium",$F435&lt;&gt;"Low")),"Pending Result",""),IF(OR($H435&lt;&gt;"No",AND($F435&lt;&gt;"Medium",$F435&lt;&gt;"Low")),IF(COUNTIFS(Dashboard!$B$105:$B$124,$A435,Dashboard!$I$105:$I$124,"CAB")&gt;0,"Accepted (CF)","Blocking"),IF($J435="Failed","Deferrable","Carry Over"))))))</f>
        <v/>
      </c>
      <c r="M435" s="68" t="str">
        <f>IF(OR(TRIM($A435)="",TRIM($E435)=""),"",IFERROR(INDEX('E2E core flow'!$B$15:$B$1000,MATCH(1,INDEX(('E2E core flow'!$A$15:$A$1000&lt;&gt;"")*ISNUMBER(SEARCH('E2E core flow'!$A$15:$A$1000,$E435)),0),0))&amp;"","-"))</f>
        <v/>
      </c>
      <c r="N435" s="68" t="str">
        <f>IF(TRIM($A435)="","",IF($O435=0,IF(COUNTIFS('Card Test Cases'!$B$4:$B$1000,$A435,'Card Test Cases'!$A$4:$A$1000,"&lt;&gt;")&gt;0,"Out of Scope","No TC"),IF($Q435&gt;0,"Failed",IF(COUNTIFS('Card Test Cases'!$B$4:$B$1000,$A435,'Card Test Cases'!$A$4:$A$1000,"&lt;&gt;",'Card Test Cases'!$F$4:$F$1000,"Blocked")&gt;0,"Blocked",IF($R435&gt;0,"In Progress","Passed")))))</f>
        <v/>
      </c>
      <c r="O435" s="68" t="str">
        <f>IF(TRIM($A435)="","",COUNTIFS('Card Test Cases'!$B$4:$B$1000,$A435,'Card Test Cases'!$A$4:$A$1000,"&lt;&gt;",'Card Test Cases'!$F$4:$F$1000,"&lt;&gt;Out of Scope"))</f>
        <v/>
      </c>
      <c r="P435" s="68" t="str">
        <f>IF(TRIM($A435)="","",COUNTIFS('Card Test Cases'!$B$4:$B$1000,$A435,'Card Test Cases'!$A$4:$A$1000,"&lt;&gt;",'Card Test Cases'!$F$4:$F$1000,"Passed"))</f>
        <v/>
      </c>
      <c r="Q435" s="68" t="str">
        <f>IF(TRIM($A435)="","",COUNTIFS('Card Test Cases'!$B$4:$B$1000,$A435,'Card Test Cases'!$A$4:$A$1000,"&lt;&gt;",'Card Test Cases'!$F$4:$F$1000,"Failed"))</f>
        <v/>
      </c>
      <c r="R435" s="68" t="str">
        <f t="shared" si="6"/>
        <v/>
      </c>
      <c r="S435" s="68" t="str" cm="1">
        <f t="array" ref="S435">IF(TRIM($A435)="","",IFERROR(_xlfn.TEXTJOIN(", ",TRUE,_xlfn.UNIQUE(_xlfn.VSTACK(_xlfn._xlws.FILTER('Card Test Cases'!$G$4:$G$1000,('Card Test Cases'!$B$4:$B$1000=$A435)*('Card Test Cases'!$G$4:$G$1000&lt;&gt;""),""),_xlfn._xlws.FILTER('E2E core flow'!$U$15:$U$1000,('E2E core flow'!$A$15:$A$1000&lt;&gt;"")*ISNUMBER(SEARCH('E2E core flow'!$A$15:$A$1000,$E435))*('E2E core flow'!$U$15:$U$1000&lt;&gt;""),"")))),"-"))</f>
        <v/>
      </c>
    </row>
    <row r="436" spans="7:19" x14ac:dyDescent="0.3">
      <c r="G436" s="68" t="str" cm="1">
        <f t="array" ref="G436">_xlfn.LET(_xlpm.ids,'E2E core flow'!$A$15:$A$1000,_xlpm.v,'E2E core flow'!$W$15:$W$1000,_xlpm.m,(_xlpm.ids&lt;&gt;"")*ISNUMBER(SEARCH(_xlpm.ids,$E436)),_xlpm.f,SUM(_xlpm.m*(_xlpm.v="Failed")),_xlpm.b,SUM(_xlpm.m*(_xlpm.v="Blocked")),_xlpm.nr,SUM(_xlpm.m*(_xlpm.v="Not Run")),_xlpm.cp,SUM(_xlpm.m*(_xlpm.v="Conditionally Passed")),_xlpm.p,SUM(_xlpm.m*(_xlpm.v="Passed")),IF(TRIM($A436)="","",IF(TRIM($E436)="","Pending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36" s="68" t="str">
        <f>IF(TRIM($A436)="","",IF($J436="Passed","",IF($J436="Passed with Known Issue","Known Issue",IF($J436="",IF(OR($H436&lt;&gt;"No",AND($F436&lt;&gt;"Medium",$F436&lt;&gt;"Low")),"Pending Result",""),IF(OR($H436&lt;&gt;"No",AND($F436&lt;&gt;"Medium",$F436&lt;&gt;"Low")),IF(COUNTIFS(Dashboard!$B$105:$B$124,$A436,Dashboard!$I$105:$I$124,"CAB")&gt;0,"Accepted (CF)","Blocking"),IF($J436="Failed","Deferrable","Carry Over"))))))</f>
        <v/>
      </c>
      <c r="M436" s="68" t="str">
        <f>IF(OR(TRIM($A436)="",TRIM($E436)=""),"",IFERROR(INDEX('E2E core flow'!$B$15:$B$1000,MATCH(1,INDEX(('E2E core flow'!$A$15:$A$1000&lt;&gt;"")*ISNUMBER(SEARCH('E2E core flow'!$A$15:$A$1000,$E436)),0),0))&amp;"","-"))</f>
        <v/>
      </c>
      <c r="N436" s="68" t="str">
        <f>IF(TRIM($A436)="","",IF($O436=0,IF(COUNTIFS('Card Test Cases'!$B$4:$B$1000,$A436,'Card Test Cases'!$A$4:$A$1000,"&lt;&gt;")&gt;0,"Out of Scope","No TC"),IF($Q436&gt;0,"Failed",IF(COUNTIFS('Card Test Cases'!$B$4:$B$1000,$A436,'Card Test Cases'!$A$4:$A$1000,"&lt;&gt;",'Card Test Cases'!$F$4:$F$1000,"Blocked")&gt;0,"Blocked",IF($R436&gt;0,"In Progress","Passed")))))</f>
        <v/>
      </c>
      <c r="O436" s="68" t="str">
        <f>IF(TRIM($A436)="","",COUNTIFS('Card Test Cases'!$B$4:$B$1000,$A436,'Card Test Cases'!$A$4:$A$1000,"&lt;&gt;",'Card Test Cases'!$F$4:$F$1000,"&lt;&gt;Out of Scope"))</f>
        <v/>
      </c>
      <c r="P436" s="68" t="str">
        <f>IF(TRIM($A436)="","",COUNTIFS('Card Test Cases'!$B$4:$B$1000,$A436,'Card Test Cases'!$A$4:$A$1000,"&lt;&gt;",'Card Test Cases'!$F$4:$F$1000,"Passed"))</f>
        <v/>
      </c>
      <c r="Q436" s="68" t="str">
        <f>IF(TRIM($A436)="","",COUNTIFS('Card Test Cases'!$B$4:$B$1000,$A436,'Card Test Cases'!$A$4:$A$1000,"&lt;&gt;",'Card Test Cases'!$F$4:$F$1000,"Failed"))</f>
        <v/>
      </c>
      <c r="R436" s="68" t="str">
        <f t="shared" si="6"/>
        <v/>
      </c>
      <c r="S436" s="68" t="str" cm="1">
        <f t="array" ref="S436">IF(TRIM($A436)="","",IFERROR(_xlfn.TEXTJOIN(", ",TRUE,_xlfn.UNIQUE(_xlfn.VSTACK(_xlfn._xlws.FILTER('Card Test Cases'!$G$4:$G$1000,('Card Test Cases'!$B$4:$B$1000=$A436)*('Card Test Cases'!$G$4:$G$1000&lt;&gt;""),""),_xlfn._xlws.FILTER('E2E core flow'!$U$15:$U$1000,('E2E core flow'!$A$15:$A$1000&lt;&gt;"")*ISNUMBER(SEARCH('E2E core flow'!$A$15:$A$1000,$E436))*('E2E core flow'!$U$15:$U$1000&lt;&gt;""),"")))),"-"))</f>
        <v/>
      </c>
    </row>
    <row r="437" spans="7:19" x14ac:dyDescent="0.3">
      <c r="G437" s="68" t="str" cm="1">
        <f t="array" ref="G437">_xlfn.LET(_xlpm.ids,'E2E core flow'!$A$15:$A$1000,_xlpm.v,'E2E core flow'!$W$15:$W$1000,_xlpm.m,(_xlpm.ids&lt;&gt;"")*ISNUMBER(SEARCH(_xlpm.ids,$E437)),_xlpm.f,SUM(_xlpm.m*(_xlpm.v="Failed")),_xlpm.b,SUM(_xlpm.m*(_xlpm.v="Blocked")),_xlpm.nr,SUM(_xlpm.m*(_xlpm.v="Not Run")),_xlpm.cp,SUM(_xlpm.m*(_xlpm.v="Conditionally Passed")),_xlpm.p,SUM(_xlpm.m*(_xlpm.v="Passed")),IF(TRIM($A437)="","",IF(TRIM($E437)="","Pending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37" s="68" t="str">
        <f>IF(TRIM($A437)="","",IF($J437="Passed","",IF($J437="Passed with Known Issue","Known Issue",IF($J437="",IF(OR($H437&lt;&gt;"No",AND($F437&lt;&gt;"Medium",$F437&lt;&gt;"Low")),"Pending Result",""),IF(OR($H437&lt;&gt;"No",AND($F437&lt;&gt;"Medium",$F437&lt;&gt;"Low")),IF(COUNTIFS(Dashboard!$B$105:$B$124,$A437,Dashboard!$I$105:$I$124,"CAB")&gt;0,"Accepted (CF)","Blocking"),IF($J437="Failed","Deferrable","Carry Over"))))))</f>
        <v/>
      </c>
      <c r="M437" s="68" t="str">
        <f>IF(OR(TRIM($A437)="",TRIM($E437)=""),"",IFERROR(INDEX('E2E core flow'!$B$15:$B$1000,MATCH(1,INDEX(('E2E core flow'!$A$15:$A$1000&lt;&gt;"")*ISNUMBER(SEARCH('E2E core flow'!$A$15:$A$1000,$E437)),0),0))&amp;"","-"))</f>
        <v/>
      </c>
      <c r="N437" s="68" t="str">
        <f>IF(TRIM($A437)="","",IF($O437=0,IF(COUNTIFS('Card Test Cases'!$B$4:$B$1000,$A437,'Card Test Cases'!$A$4:$A$1000,"&lt;&gt;")&gt;0,"Out of Scope","No TC"),IF($Q437&gt;0,"Failed",IF(COUNTIFS('Card Test Cases'!$B$4:$B$1000,$A437,'Card Test Cases'!$A$4:$A$1000,"&lt;&gt;",'Card Test Cases'!$F$4:$F$1000,"Blocked")&gt;0,"Blocked",IF($R437&gt;0,"In Progress","Passed")))))</f>
        <v/>
      </c>
      <c r="O437" s="68" t="str">
        <f>IF(TRIM($A437)="","",COUNTIFS('Card Test Cases'!$B$4:$B$1000,$A437,'Card Test Cases'!$A$4:$A$1000,"&lt;&gt;",'Card Test Cases'!$F$4:$F$1000,"&lt;&gt;Out of Scope"))</f>
        <v/>
      </c>
      <c r="P437" s="68" t="str">
        <f>IF(TRIM($A437)="","",COUNTIFS('Card Test Cases'!$B$4:$B$1000,$A437,'Card Test Cases'!$A$4:$A$1000,"&lt;&gt;",'Card Test Cases'!$F$4:$F$1000,"Passed"))</f>
        <v/>
      </c>
      <c r="Q437" s="68" t="str">
        <f>IF(TRIM($A437)="","",COUNTIFS('Card Test Cases'!$B$4:$B$1000,$A437,'Card Test Cases'!$A$4:$A$1000,"&lt;&gt;",'Card Test Cases'!$F$4:$F$1000,"Failed"))</f>
        <v/>
      </c>
      <c r="R437" s="68" t="str">
        <f t="shared" si="6"/>
        <v/>
      </c>
      <c r="S437" s="68" t="str" cm="1">
        <f t="array" ref="S437">IF(TRIM($A437)="","",IFERROR(_xlfn.TEXTJOIN(", ",TRUE,_xlfn.UNIQUE(_xlfn.VSTACK(_xlfn._xlws.FILTER('Card Test Cases'!$G$4:$G$1000,('Card Test Cases'!$B$4:$B$1000=$A437)*('Card Test Cases'!$G$4:$G$1000&lt;&gt;""),""),_xlfn._xlws.FILTER('E2E core flow'!$U$15:$U$1000,('E2E core flow'!$A$15:$A$1000&lt;&gt;"")*ISNUMBER(SEARCH('E2E core flow'!$A$15:$A$1000,$E437))*('E2E core flow'!$U$15:$U$1000&lt;&gt;""),"")))),"-"))</f>
        <v/>
      </c>
    </row>
    <row r="438" spans="7:19" x14ac:dyDescent="0.3">
      <c r="G438" s="68" t="str" cm="1">
        <f t="array" ref="G438">_xlfn.LET(_xlpm.ids,'E2E core flow'!$A$15:$A$1000,_xlpm.v,'E2E core flow'!$W$15:$W$1000,_xlpm.m,(_xlpm.ids&lt;&gt;"")*ISNUMBER(SEARCH(_xlpm.ids,$E438)),_xlpm.f,SUM(_xlpm.m*(_xlpm.v="Failed")),_xlpm.b,SUM(_xlpm.m*(_xlpm.v="Blocked")),_xlpm.nr,SUM(_xlpm.m*(_xlpm.v="Not Run")),_xlpm.cp,SUM(_xlpm.m*(_xlpm.v="Conditionally Passed")),_xlpm.p,SUM(_xlpm.m*(_xlpm.v="Passed")),IF(TRIM($A438)="","",IF(TRIM($E438)="","Pending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38" s="68" t="str">
        <f>IF(TRIM($A438)="","",IF($J438="Passed","",IF($J438="Passed with Known Issue","Known Issue",IF($J438="",IF(OR($H438&lt;&gt;"No",AND($F438&lt;&gt;"Medium",$F438&lt;&gt;"Low")),"Pending Result",""),IF(OR($H438&lt;&gt;"No",AND($F438&lt;&gt;"Medium",$F438&lt;&gt;"Low")),IF(COUNTIFS(Dashboard!$B$105:$B$124,$A438,Dashboard!$I$105:$I$124,"CAB")&gt;0,"Accepted (CF)","Blocking"),IF($J438="Failed","Deferrable","Carry Over"))))))</f>
        <v/>
      </c>
      <c r="M438" s="68" t="str">
        <f>IF(OR(TRIM($A438)="",TRIM($E438)=""),"",IFERROR(INDEX('E2E core flow'!$B$15:$B$1000,MATCH(1,INDEX(('E2E core flow'!$A$15:$A$1000&lt;&gt;"")*ISNUMBER(SEARCH('E2E core flow'!$A$15:$A$1000,$E438)),0),0))&amp;"","-"))</f>
        <v/>
      </c>
      <c r="N438" s="68" t="str">
        <f>IF(TRIM($A438)="","",IF($O438=0,IF(COUNTIFS('Card Test Cases'!$B$4:$B$1000,$A438,'Card Test Cases'!$A$4:$A$1000,"&lt;&gt;")&gt;0,"Out of Scope","No TC"),IF($Q438&gt;0,"Failed",IF(COUNTIFS('Card Test Cases'!$B$4:$B$1000,$A438,'Card Test Cases'!$A$4:$A$1000,"&lt;&gt;",'Card Test Cases'!$F$4:$F$1000,"Blocked")&gt;0,"Blocked",IF($R438&gt;0,"In Progress","Passed")))))</f>
        <v/>
      </c>
      <c r="O438" s="68" t="str">
        <f>IF(TRIM($A438)="","",COUNTIFS('Card Test Cases'!$B$4:$B$1000,$A438,'Card Test Cases'!$A$4:$A$1000,"&lt;&gt;",'Card Test Cases'!$F$4:$F$1000,"&lt;&gt;Out of Scope"))</f>
        <v/>
      </c>
      <c r="P438" s="68" t="str">
        <f>IF(TRIM($A438)="","",COUNTIFS('Card Test Cases'!$B$4:$B$1000,$A438,'Card Test Cases'!$A$4:$A$1000,"&lt;&gt;",'Card Test Cases'!$F$4:$F$1000,"Passed"))</f>
        <v/>
      </c>
      <c r="Q438" s="68" t="str">
        <f>IF(TRIM($A438)="","",COUNTIFS('Card Test Cases'!$B$4:$B$1000,$A438,'Card Test Cases'!$A$4:$A$1000,"&lt;&gt;",'Card Test Cases'!$F$4:$F$1000,"Failed"))</f>
        <v/>
      </c>
      <c r="R438" s="68" t="str">
        <f t="shared" si="6"/>
        <v/>
      </c>
      <c r="S438" s="68" t="str" cm="1">
        <f t="array" ref="S438">IF(TRIM($A438)="","",IFERROR(_xlfn.TEXTJOIN(", ",TRUE,_xlfn.UNIQUE(_xlfn.VSTACK(_xlfn._xlws.FILTER('Card Test Cases'!$G$4:$G$1000,('Card Test Cases'!$B$4:$B$1000=$A438)*('Card Test Cases'!$G$4:$G$1000&lt;&gt;""),""),_xlfn._xlws.FILTER('E2E core flow'!$U$15:$U$1000,('E2E core flow'!$A$15:$A$1000&lt;&gt;"")*ISNUMBER(SEARCH('E2E core flow'!$A$15:$A$1000,$E438))*('E2E core flow'!$U$15:$U$1000&lt;&gt;""),"")))),"-"))</f>
        <v/>
      </c>
    </row>
    <row r="439" spans="7:19" x14ac:dyDescent="0.3">
      <c r="G439" s="68" t="str" cm="1">
        <f t="array" ref="G439">_xlfn.LET(_xlpm.ids,'E2E core flow'!$A$15:$A$1000,_xlpm.v,'E2E core flow'!$W$15:$W$1000,_xlpm.m,(_xlpm.ids&lt;&gt;"")*ISNUMBER(SEARCH(_xlpm.ids,$E439)),_xlpm.f,SUM(_xlpm.m*(_xlpm.v="Failed")),_xlpm.b,SUM(_xlpm.m*(_xlpm.v="Blocked")),_xlpm.nr,SUM(_xlpm.m*(_xlpm.v="Not Run")),_xlpm.cp,SUM(_xlpm.m*(_xlpm.v="Conditionally Passed")),_xlpm.p,SUM(_xlpm.m*(_xlpm.v="Passed")),IF(TRIM($A439)="","",IF(TRIM($E439)="","Pending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39" s="68" t="str">
        <f>IF(TRIM($A439)="","",IF($J439="Passed","",IF($J439="Passed with Known Issue","Known Issue",IF($J439="",IF(OR($H439&lt;&gt;"No",AND($F439&lt;&gt;"Medium",$F439&lt;&gt;"Low")),"Pending Result",""),IF(OR($H439&lt;&gt;"No",AND($F439&lt;&gt;"Medium",$F439&lt;&gt;"Low")),IF(COUNTIFS(Dashboard!$B$105:$B$124,$A439,Dashboard!$I$105:$I$124,"CAB")&gt;0,"Accepted (CF)","Blocking"),IF($J439="Failed","Deferrable","Carry Over"))))))</f>
        <v/>
      </c>
      <c r="M439" s="68" t="str">
        <f>IF(OR(TRIM($A439)="",TRIM($E439)=""),"",IFERROR(INDEX('E2E core flow'!$B$15:$B$1000,MATCH(1,INDEX(('E2E core flow'!$A$15:$A$1000&lt;&gt;"")*ISNUMBER(SEARCH('E2E core flow'!$A$15:$A$1000,$E439)),0),0))&amp;"","-"))</f>
        <v/>
      </c>
      <c r="N439" s="68" t="str">
        <f>IF(TRIM($A439)="","",IF($O439=0,IF(COUNTIFS('Card Test Cases'!$B$4:$B$1000,$A439,'Card Test Cases'!$A$4:$A$1000,"&lt;&gt;")&gt;0,"Out of Scope","No TC"),IF($Q439&gt;0,"Failed",IF(COUNTIFS('Card Test Cases'!$B$4:$B$1000,$A439,'Card Test Cases'!$A$4:$A$1000,"&lt;&gt;",'Card Test Cases'!$F$4:$F$1000,"Blocked")&gt;0,"Blocked",IF($R439&gt;0,"In Progress","Passed")))))</f>
        <v/>
      </c>
      <c r="O439" s="68" t="str">
        <f>IF(TRIM($A439)="","",COUNTIFS('Card Test Cases'!$B$4:$B$1000,$A439,'Card Test Cases'!$A$4:$A$1000,"&lt;&gt;",'Card Test Cases'!$F$4:$F$1000,"&lt;&gt;Out of Scope"))</f>
        <v/>
      </c>
      <c r="P439" s="68" t="str">
        <f>IF(TRIM($A439)="","",COUNTIFS('Card Test Cases'!$B$4:$B$1000,$A439,'Card Test Cases'!$A$4:$A$1000,"&lt;&gt;",'Card Test Cases'!$F$4:$F$1000,"Passed"))</f>
        <v/>
      </c>
      <c r="Q439" s="68" t="str">
        <f>IF(TRIM($A439)="","",COUNTIFS('Card Test Cases'!$B$4:$B$1000,$A439,'Card Test Cases'!$A$4:$A$1000,"&lt;&gt;",'Card Test Cases'!$F$4:$F$1000,"Failed"))</f>
        <v/>
      </c>
      <c r="R439" s="68" t="str">
        <f t="shared" si="6"/>
        <v/>
      </c>
      <c r="S439" s="68" t="str" cm="1">
        <f t="array" ref="S439">IF(TRIM($A439)="","",IFERROR(_xlfn.TEXTJOIN(", ",TRUE,_xlfn.UNIQUE(_xlfn.VSTACK(_xlfn._xlws.FILTER('Card Test Cases'!$G$4:$G$1000,('Card Test Cases'!$B$4:$B$1000=$A439)*('Card Test Cases'!$G$4:$G$1000&lt;&gt;""),""),_xlfn._xlws.FILTER('E2E core flow'!$U$15:$U$1000,('E2E core flow'!$A$15:$A$1000&lt;&gt;"")*ISNUMBER(SEARCH('E2E core flow'!$A$15:$A$1000,$E439))*('E2E core flow'!$U$15:$U$1000&lt;&gt;""),"")))),"-"))</f>
        <v/>
      </c>
    </row>
    <row r="440" spans="7:19" x14ac:dyDescent="0.3">
      <c r="G440" s="68" t="str" cm="1">
        <f t="array" ref="G440">_xlfn.LET(_xlpm.ids,'E2E core flow'!$A$15:$A$1000,_xlpm.v,'E2E core flow'!$W$15:$W$1000,_xlpm.m,(_xlpm.ids&lt;&gt;"")*ISNUMBER(SEARCH(_xlpm.ids,$E440)),_xlpm.f,SUM(_xlpm.m*(_xlpm.v="Failed")),_xlpm.b,SUM(_xlpm.m*(_xlpm.v="Blocked")),_xlpm.nr,SUM(_xlpm.m*(_xlpm.v="Not Run")),_xlpm.cp,SUM(_xlpm.m*(_xlpm.v="Conditionally Passed")),_xlpm.p,SUM(_xlpm.m*(_xlpm.v="Passed")),IF(TRIM($A440)="","",IF(TRIM($E440)="","Pending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40" s="68" t="str">
        <f>IF(TRIM($A440)="","",IF($J440="Passed","",IF($J440="Passed with Known Issue","Known Issue",IF($J440="",IF(OR($H440&lt;&gt;"No",AND($F440&lt;&gt;"Medium",$F440&lt;&gt;"Low")),"Pending Result",""),IF(OR($H440&lt;&gt;"No",AND($F440&lt;&gt;"Medium",$F440&lt;&gt;"Low")),IF(COUNTIFS(Dashboard!$B$105:$B$124,$A440,Dashboard!$I$105:$I$124,"CAB")&gt;0,"Accepted (CF)","Blocking"),IF($J440="Failed","Deferrable","Carry Over"))))))</f>
        <v/>
      </c>
      <c r="M440" s="68" t="str">
        <f>IF(OR(TRIM($A440)="",TRIM($E440)=""),"",IFERROR(INDEX('E2E core flow'!$B$15:$B$1000,MATCH(1,INDEX(('E2E core flow'!$A$15:$A$1000&lt;&gt;"")*ISNUMBER(SEARCH('E2E core flow'!$A$15:$A$1000,$E440)),0),0))&amp;"","-"))</f>
        <v/>
      </c>
      <c r="N440" s="68" t="str">
        <f>IF(TRIM($A440)="","",IF($O440=0,IF(COUNTIFS('Card Test Cases'!$B$4:$B$1000,$A440,'Card Test Cases'!$A$4:$A$1000,"&lt;&gt;")&gt;0,"Out of Scope","No TC"),IF($Q440&gt;0,"Failed",IF(COUNTIFS('Card Test Cases'!$B$4:$B$1000,$A440,'Card Test Cases'!$A$4:$A$1000,"&lt;&gt;",'Card Test Cases'!$F$4:$F$1000,"Blocked")&gt;0,"Blocked",IF($R440&gt;0,"In Progress","Passed")))))</f>
        <v/>
      </c>
      <c r="O440" s="68" t="str">
        <f>IF(TRIM($A440)="","",COUNTIFS('Card Test Cases'!$B$4:$B$1000,$A440,'Card Test Cases'!$A$4:$A$1000,"&lt;&gt;",'Card Test Cases'!$F$4:$F$1000,"&lt;&gt;Out of Scope"))</f>
        <v/>
      </c>
      <c r="P440" s="68" t="str">
        <f>IF(TRIM($A440)="","",COUNTIFS('Card Test Cases'!$B$4:$B$1000,$A440,'Card Test Cases'!$A$4:$A$1000,"&lt;&gt;",'Card Test Cases'!$F$4:$F$1000,"Passed"))</f>
        <v/>
      </c>
      <c r="Q440" s="68" t="str">
        <f>IF(TRIM($A440)="","",COUNTIFS('Card Test Cases'!$B$4:$B$1000,$A440,'Card Test Cases'!$A$4:$A$1000,"&lt;&gt;",'Card Test Cases'!$F$4:$F$1000,"Failed"))</f>
        <v/>
      </c>
      <c r="R440" s="68" t="str">
        <f t="shared" si="6"/>
        <v/>
      </c>
      <c r="S440" s="68" t="str" cm="1">
        <f t="array" ref="S440">IF(TRIM($A440)="","",IFERROR(_xlfn.TEXTJOIN(", ",TRUE,_xlfn.UNIQUE(_xlfn.VSTACK(_xlfn._xlws.FILTER('Card Test Cases'!$G$4:$G$1000,('Card Test Cases'!$B$4:$B$1000=$A440)*('Card Test Cases'!$G$4:$G$1000&lt;&gt;""),""),_xlfn._xlws.FILTER('E2E core flow'!$U$15:$U$1000,('E2E core flow'!$A$15:$A$1000&lt;&gt;"")*ISNUMBER(SEARCH('E2E core flow'!$A$15:$A$1000,$E440))*('E2E core flow'!$U$15:$U$1000&lt;&gt;""),"")))),"-"))</f>
        <v/>
      </c>
    </row>
    <row r="441" spans="7:19" x14ac:dyDescent="0.3">
      <c r="G441" s="68" t="str" cm="1">
        <f t="array" ref="G441">_xlfn.LET(_xlpm.ids,'E2E core flow'!$A$15:$A$1000,_xlpm.v,'E2E core flow'!$W$15:$W$1000,_xlpm.m,(_xlpm.ids&lt;&gt;"")*ISNUMBER(SEARCH(_xlpm.ids,$E441)),_xlpm.f,SUM(_xlpm.m*(_xlpm.v="Failed")),_xlpm.b,SUM(_xlpm.m*(_xlpm.v="Blocked")),_xlpm.nr,SUM(_xlpm.m*(_xlpm.v="Not Run")),_xlpm.cp,SUM(_xlpm.m*(_xlpm.v="Conditionally Passed")),_xlpm.p,SUM(_xlpm.m*(_xlpm.v="Passed")),IF(TRIM($A441)="","",IF(TRIM($E441)="","Pending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41" s="68" t="str">
        <f>IF(TRIM($A441)="","",IF($J441="Passed","",IF($J441="Passed with Known Issue","Known Issue",IF($J441="",IF(OR($H441&lt;&gt;"No",AND($F441&lt;&gt;"Medium",$F441&lt;&gt;"Low")),"Pending Result",""),IF(OR($H441&lt;&gt;"No",AND($F441&lt;&gt;"Medium",$F441&lt;&gt;"Low")),IF(COUNTIFS(Dashboard!$B$105:$B$124,$A441,Dashboard!$I$105:$I$124,"CAB")&gt;0,"Accepted (CF)","Blocking"),IF($J441="Failed","Deferrable","Carry Over"))))))</f>
        <v/>
      </c>
      <c r="M441" s="68" t="str">
        <f>IF(OR(TRIM($A441)="",TRIM($E441)=""),"",IFERROR(INDEX('E2E core flow'!$B$15:$B$1000,MATCH(1,INDEX(('E2E core flow'!$A$15:$A$1000&lt;&gt;"")*ISNUMBER(SEARCH('E2E core flow'!$A$15:$A$1000,$E441)),0),0))&amp;"","-"))</f>
        <v/>
      </c>
      <c r="N441" s="68" t="str">
        <f>IF(TRIM($A441)="","",IF($O441=0,IF(COUNTIFS('Card Test Cases'!$B$4:$B$1000,$A441,'Card Test Cases'!$A$4:$A$1000,"&lt;&gt;")&gt;0,"Out of Scope","No TC"),IF($Q441&gt;0,"Failed",IF(COUNTIFS('Card Test Cases'!$B$4:$B$1000,$A441,'Card Test Cases'!$A$4:$A$1000,"&lt;&gt;",'Card Test Cases'!$F$4:$F$1000,"Blocked")&gt;0,"Blocked",IF($R441&gt;0,"In Progress","Passed")))))</f>
        <v/>
      </c>
      <c r="O441" s="68" t="str">
        <f>IF(TRIM($A441)="","",COUNTIFS('Card Test Cases'!$B$4:$B$1000,$A441,'Card Test Cases'!$A$4:$A$1000,"&lt;&gt;",'Card Test Cases'!$F$4:$F$1000,"&lt;&gt;Out of Scope"))</f>
        <v/>
      </c>
      <c r="P441" s="68" t="str">
        <f>IF(TRIM($A441)="","",COUNTIFS('Card Test Cases'!$B$4:$B$1000,$A441,'Card Test Cases'!$A$4:$A$1000,"&lt;&gt;",'Card Test Cases'!$F$4:$F$1000,"Passed"))</f>
        <v/>
      </c>
      <c r="Q441" s="68" t="str">
        <f>IF(TRIM($A441)="","",COUNTIFS('Card Test Cases'!$B$4:$B$1000,$A441,'Card Test Cases'!$A$4:$A$1000,"&lt;&gt;",'Card Test Cases'!$F$4:$F$1000,"Failed"))</f>
        <v/>
      </c>
      <c r="R441" s="68" t="str">
        <f t="shared" si="6"/>
        <v/>
      </c>
      <c r="S441" s="68" t="str" cm="1">
        <f t="array" ref="S441">IF(TRIM($A441)="","",IFERROR(_xlfn.TEXTJOIN(", ",TRUE,_xlfn.UNIQUE(_xlfn.VSTACK(_xlfn._xlws.FILTER('Card Test Cases'!$G$4:$G$1000,('Card Test Cases'!$B$4:$B$1000=$A441)*('Card Test Cases'!$G$4:$G$1000&lt;&gt;""),""),_xlfn._xlws.FILTER('E2E core flow'!$U$15:$U$1000,('E2E core flow'!$A$15:$A$1000&lt;&gt;"")*ISNUMBER(SEARCH('E2E core flow'!$A$15:$A$1000,$E441))*('E2E core flow'!$U$15:$U$1000&lt;&gt;""),"")))),"-"))</f>
        <v/>
      </c>
    </row>
    <row r="442" spans="7:19" x14ac:dyDescent="0.3">
      <c r="G442" s="68" t="str" cm="1">
        <f t="array" ref="G442">_xlfn.LET(_xlpm.ids,'E2E core flow'!$A$15:$A$1000,_xlpm.v,'E2E core flow'!$W$15:$W$1000,_xlpm.m,(_xlpm.ids&lt;&gt;"")*ISNUMBER(SEARCH(_xlpm.ids,$E442)),_xlpm.f,SUM(_xlpm.m*(_xlpm.v="Failed")),_xlpm.b,SUM(_xlpm.m*(_xlpm.v="Blocked")),_xlpm.nr,SUM(_xlpm.m*(_xlpm.v="Not Run")),_xlpm.cp,SUM(_xlpm.m*(_xlpm.v="Conditionally Passed")),_xlpm.p,SUM(_xlpm.m*(_xlpm.v="Passed")),IF(TRIM($A442)="","",IF(TRIM($E442)="","Pending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42" s="68" t="str">
        <f>IF(TRIM($A442)="","",IF($J442="Passed","",IF($J442="Passed with Known Issue","Known Issue",IF($J442="",IF(OR($H442&lt;&gt;"No",AND($F442&lt;&gt;"Medium",$F442&lt;&gt;"Low")),"Pending Result",""),IF(OR($H442&lt;&gt;"No",AND($F442&lt;&gt;"Medium",$F442&lt;&gt;"Low")),IF(COUNTIFS(Dashboard!$B$105:$B$124,$A442,Dashboard!$I$105:$I$124,"CAB")&gt;0,"Accepted (CF)","Blocking"),IF($J442="Failed","Deferrable","Carry Over"))))))</f>
        <v/>
      </c>
      <c r="M442" s="68" t="str">
        <f>IF(OR(TRIM($A442)="",TRIM($E442)=""),"",IFERROR(INDEX('E2E core flow'!$B$15:$B$1000,MATCH(1,INDEX(('E2E core flow'!$A$15:$A$1000&lt;&gt;"")*ISNUMBER(SEARCH('E2E core flow'!$A$15:$A$1000,$E442)),0),0))&amp;"","-"))</f>
        <v/>
      </c>
      <c r="N442" s="68" t="str">
        <f>IF(TRIM($A442)="","",IF($O442=0,IF(COUNTIFS('Card Test Cases'!$B$4:$B$1000,$A442,'Card Test Cases'!$A$4:$A$1000,"&lt;&gt;")&gt;0,"Out of Scope","No TC"),IF($Q442&gt;0,"Failed",IF(COUNTIFS('Card Test Cases'!$B$4:$B$1000,$A442,'Card Test Cases'!$A$4:$A$1000,"&lt;&gt;",'Card Test Cases'!$F$4:$F$1000,"Blocked")&gt;0,"Blocked",IF($R442&gt;0,"In Progress","Passed")))))</f>
        <v/>
      </c>
      <c r="O442" s="68" t="str">
        <f>IF(TRIM($A442)="","",COUNTIFS('Card Test Cases'!$B$4:$B$1000,$A442,'Card Test Cases'!$A$4:$A$1000,"&lt;&gt;",'Card Test Cases'!$F$4:$F$1000,"&lt;&gt;Out of Scope"))</f>
        <v/>
      </c>
      <c r="P442" s="68" t="str">
        <f>IF(TRIM($A442)="","",COUNTIFS('Card Test Cases'!$B$4:$B$1000,$A442,'Card Test Cases'!$A$4:$A$1000,"&lt;&gt;",'Card Test Cases'!$F$4:$F$1000,"Passed"))</f>
        <v/>
      </c>
      <c r="Q442" s="68" t="str">
        <f>IF(TRIM($A442)="","",COUNTIFS('Card Test Cases'!$B$4:$B$1000,$A442,'Card Test Cases'!$A$4:$A$1000,"&lt;&gt;",'Card Test Cases'!$F$4:$F$1000,"Failed"))</f>
        <v/>
      </c>
      <c r="R442" s="68" t="str">
        <f t="shared" si="6"/>
        <v/>
      </c>
      <c r="S442" s="68" t="str" cm="1">
        <f t="array" ref="S442">IF(TRIM($A442)="","",IFERROR(_xlfn.TEXTJOIN(", ",TRUE,_xlfn.UNIQUE(_xlfn.VSTACK(_xlfn._xlws.FILTER('Card Test Cases'!$G$4:$G$1000,('Card Test Cases'!$B$4:$B$1000=$A442)*('Card Test Cases'!$G$4:$G$1000&lt;&gt;""),""),_xlfn._xlws.FILTER('E2E core flow'!$U$15:$U$1000,('E2E core flow'!$A$15:$A$1000&lt;&gt;"")*ISNUMBER(SEARCH('E2E core flow'!$A$15:$A$1000,$E442))*('E2E core flow'!$U$15:$U$1000&lt;&gt;""),"")))),"-"))</f>
        <v/>
      </c>
    </row>
    <row r="443" spans="7:19" x14ac:dyDescent="0.3">
      <c r="G443" s="68" t="str" cm="1">
        <f t="array" ref="G443">_xlfn.LET(_xlpm.ids,'E2E core flow'!$A$15:$A$1000,_xlpm.v,'E2E core flow'!$W$15:$W$1000,_xlpm.m,(_xlpm.ids&lt;&gt;"")*ISNUMBER(SEARCH(_xlpm.ids,$E443)),_xlpm.f,SUM(_xlpm.m*(_xlpm.v="Failed")),_xlpm.b,SUM(_xlpm.m*(_xlpm.v="Blocked")),_xlpm.nr,SUM(_xlpm.m*(_xlpm.v="Not Run")),_xlpm.cp,SUM(_xlpm.m*(_xlpm.v="Conditionally Passed")),_xlpm.p,SUM(_xlpm.m*(_xlpm.v="Passed")),IF(TRIM($A443)="","",IF(TRIM($E443)="","Pending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43" s="68" t="str">
        <f>IF(TRIM($A443)="","",IF($J443="Passed","",IF($J443="Passed with Known Issue","Known Issue",IF($J443="",IF(OR($H443&lt;&gt;"No",AND($F443&lt;&gt;"Medium",$F443&lt;&gt;"Low")),"Pending Result",""),IF(OR($H443&lt;&gt;"No",AND($F443&lt;&gt;"Medium",$F443&lt;&gt;"Low")),IF(COUNTIFS(Dashboard!$B$105:$B$124,$A443,Dashboard!$I$105:$I$124,"CAB")&gt;0,"Accepted (CF)","Blocking"),IF($J443="Failed","Deferrable","Carry Over"))))))</f>
        <v/>
      </c>
      <c r="M443" s="68" t="str">
        <f>IF(OR(TRIM($A443)="",TRIM($E443)=""),"",IFERROR(INDEX('E2E core flow'!$B$15:$B$1000,MATCH(1,INDEX(('E2E core flow'!$A$15:$A$1000&lt;&gt;"")*ISNUMBER(SEARCH('E2E core flow'!$A$15:$A$1000,$E443)),0),0))&amp;"","-"))</f>
        <v/>
      </c>
      <c r="N443" s="68" t="str">
        <f>IF(TRIM($A443)="","",IF($O443=0,IF(COUNTIFS('Card Test Cases'!$B$4:$B$1000,$A443,'Card Test Cases'!$A$4:$A$1000,"&lt;&gt;")&gt;0,"Out of Scope","No TC"),IF($Q443&gt;0,"Failed",IF(COUNTIFS('Card Test Cases'!$B$4:$B$1000,$A443,'Card Test Cases'!$A$4:$A$1000,"&lt;&gt;",'Card Test Cases'!$F$4:$F$1000,"Blocked")&gt;0,"Blocked",IF($R443&gt;0,"In Progress","Passed")))))</f>
        <v/>
      </c>
      <c r="O443" s="68" t="str">
        <f>IF(TRIM($A443)="","",COUNTIFS('Card Test Cases'!$B$4:$B$1000,$A443,'Card Test Cases'!$A$4:$A$1000,"&lt;&gt;",'Card Test Cases'!$F$4:$F$1000,"&lt;&gt;Out of Scope"))</f>
        <v/>
      </c>
      <c r="P443" s="68" t="str">
        <f>IF(TRIM($A443)="","",COUNTIFS('Card Test Cases'!$B$4:$B$1000,$A443,'Card Test Cases'!$A$4:$A$1000,"&lt;&gt;",'Card Test Cases'!$F$4:$F$1000,"Passed"))</f>
        <v/>
      </c>
      <c r="Q443" s="68" t="str">
        <f>IF(TRIM($A443)="","",COUNTIFS('Card Test Cases'!$B$4:$B$1000,$A443,'Card Test Cases'!$A$4:$A$1000,"&lt;&gt;",'Card Test Cases'!$F$4:$F$1000,"Failed"))</f>
        <v/>
      </c>
      <c r="R443" s="68" t="str">
        <f t="shared" si="6"/>
        <v/>
      </c>
      <c r="S443" s="68" t="str" cm="1">
        <f t="array" ref="S443">IF(TRIM($A443)="","",IFERROR(_xlfn.TEXTJOIN(", ",TRUE,_xlfn.UNIQUE(_xlfn.VSTACK(_xlfn._xlws.FILTER('Card Test Cases'!$G$4:$G$1000,('Card Test Cases'!$B$4:$B$1000=$A443)*('Card Test Cases'!$G$4:$G$1000&lt;&gt;""),""),_xlfn._xlws.FILTER('E2E core flow'!$U$15:$U$1000,('E2E core flow'!$A$15:$A$1000&lt;&gt;"")*ISNUMBER(SEARCH('E2E core flow'!$A$15:$A$1000,$E443))*('E2E core flow'!$U$15:$U$1000&lt;&gt;""),"")))),"-"))</f>
        <v/>
      </c>
    </row>
    <row r="444" spans="7:19" x14ac:dyDescent="0.3">
      <c r="G444" s="68" t="str" cm="1">
        <f t="array" ref="G444">_xlfn.LET(_xlpm.ids,'E2E core flow'!$A$15:$A$1000,_xlpm.v,'E2E core flow'!$W$15:$W$1000,_xlpm.m,(_xlpm.ids&lt;&gt;"")*ISNUMBER(SEARCH(_xlpm.ids,$E444)),_xlpm.f,SUM(_xlpm.m*(_xlpm.v="Failed")),_xlpm.b,SUM(_xlpm.m*(_xlpm.v="Blocked")),_xlpm.nr,SUM(_xlpm.m*(_xlpm.v="Not Run")),_xlpm.cp,SUM(_xlpm.m*(_xlpm.v="Conditionally Passed")),_xlpm.p,SUM(_xlpm.m*(_xlpm.v="Passed")),IF(TRIM($A444)="","",IF(TRIM($E444)="","Pending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44" s="68" t="str">
        <f>IF(TRIM($A444)="","",IF($J444="Passed","",IF($J444="Passed with Known Issue","Known Issue",IF($J444="",IF(OR($H444&lt;&gt;"No",AND($F444&lt;&gt;"Medium",$F444&lt;&gt;"Low")),"Pending Result",""),IF(OR($H444&lt;&gt;"No",AND($F444&lt;&gt;"Medium",$F444&lt;&gt;"Low")),IF(COUNTIFS(Dashboard!$B$105:$B$124,$A444,Dashboard!$I$105:$I$124,"CAB")&gt;0,"Accepted (CF)","Blocking"),IF($J444="Failed","Deferrable","Carry Over"))))))</f>
        <v/>
      </c>
      <c r="M444" s="68" t="str">
        <f>IF(OR(TRIM($A444)="",TRIM($E444)=""),"",IFERROR(INDEX('E2E core flow'!$B$15:$B$1000,MATCH(1,INDEX(('E2E core flow'!$A$15:$A$1000&lt;&gt;"")*ISNUMBER(SEARCH('E2E core flow'!$A$15:$A$1000,$E444)),0),0))&amp;"","-"))</f>
        <v/>
      </c>
      <c r="N444" s="68" t="str">
        <f>IF(TRIM($A444)="","",IF($O444=0,IF(COUNTIFS('Card Test Cases'!$B$4:$B$1000,$A444,'Card Test Cases'!$A$4:$A$1000,"&lt;&gt;")&gt;0,"Out of Scope","No TC"),IF($Q444&gt;0,"Failed",IF(COUNTIFS('Card Test Cases'!$B$4:$B$1000,$A444,'Card Test Cases'!$A$4:$A$1000,"&lt;&gt;",'Card Test Cases'!$F$4:$F$1000,"Blocked")&gt;0,"Blocked",IF($R444&gt;0,"In Progress","Passed")))))</f>
        <v/>
      </c>
      <c r="O444" s="68" t="str">
        <f>IF(TRIM($A444)="","",COUNTIFS('Card Test Cases'!$B$4:$B$1000,$A444,'Card Test Cases'!$A$4:$A$1000,"&lt;&gt;",'Card Test Cases'!$F$4:$F$1000,"&lt;&gt;Out of Scope"))</f>
        <v/>
      </c>
      <c r="P444" s="68" t="str">
        <f>IF(TRIM($A444)="","",COUNTIFS('Card Test Cases'!$B$4:$B$1000,$A444,'Card Test Cases'!$A$4:$A$1000,"&lt;&gt;",'Card Test Cases'!$F$4:$F$1000,"Passed"))</f>
        <v/>
      </c>
      <c r="Q444" s="68" t="str">
        <f>IF(TRIM($A444)="","",COUNTIFS('Card Test Cases'!$B$4:$B$1000,$A444,'Card Test Cases'!$A$4:$A$1000,"&lt;&gt;",'Card Test Cases'!$F$4:$F$1000,"Failed"))</f>
        <v/>
      </c>
      <c r="R444" s="68" t="str">
        <f t="shared" si="6"/>
        <v/>
      </c>
      <c r="S444" s="68" t="str" cm="1">
        <f t="array" ref="S444">IF(TRIM($A444)="","",IFERROR(_xlfn.TEXTJOIN(", ",TRUE,_xlfn.UNIQUE(_xlfn.VSTACK(_xlfn._xlws.FILTER('Card Test Cases'!$G$4:$G$1000,('Card Test Cases'!$B$4:$B$1000=$A444)*('Card Test Cases'!$G$4:$G$1000&lt;&gt;""),""),_xlfn._xlws.FILTER('E2E core flow'!$U$15:$U$1000,('E2E core flow'!$A$15:$A$1000&lt;&gt;"")*ISNUMBER(SEARCH('E2E core flow'!$A$15:$A$1000,$E444))*('E2E core flow'!$U$15:$U$1000&lt;&gt;""),"")))),"-"))</f>
        <v/>
      </c>
    </row>
    <row r="445" spans="7:19" x14ac:dyDescent="0.3">
      <c r="G445" s="68" t="str" cm="1">
        <f t="array" ref="G445">_xlfn.LET(_xlpm.ids,'E2E core flow'!$A$15:$A$1000,_xlpm.v,'E2E core flow'!$W$15:$W$1000,_xlpm.m,(_xlpm.ids&lt;&gt;"")*ISNUMBER(SEARCH(_xlpm.ids,$E445)),_xlpm.f,SUM(_xlpm.m*(_xlpm.v="Failed")),_xlpm.b,SUM(_xlpm.m*(_xlpm.v="Blocked")),_xlpm.nr,SUM(_xlpm.m*(_xlpm.v="Not Run")),_xlpm.cp,SUM(_xlpm.m*(_xlpm.v="Conditionally Passed")),_xlpm.p,SUM(_xlpm.m*(_xlpm.v="Passed")),IF(TRIM($A445)="","",IF(TRIM($E445)="","Pending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45" s="68" t="str">
        <f>IF(TRIM($A445)="","",IF($J445="Passed","",IF($J445="Passed with Known Issue","Known Issue",IF($J445="",IF(OR($H445&lt;&gt;"No",AND($F445&lt;&gt;"Medium",$F445&lt;&gt;"Low")),"Pending Result",""),IF(OR($H445&lt;&gt;"No",AND($F445&lt;&gt;"Medium",$F445&lt;&gt;"Low")),IF(COUNTIFS(Dashboard!$B$105:$B$124,$A445,Dashboard!$I$105:$I$124,"CAB")&gt;0,"Accepted (CF)","Blocking"),IF($J445="Failed","Deferrable","Carry Over"))))))</f>
        <v/>
      </c>
      <c r="M445" s="68" t="str">
        <f>IF(OR(TRIM($A445)="",TRIM($E445)=""),"",IFERROR(INDEX('E2E core flow'!$B$15:$B$1000,MATCH(1,INDEX(('E2E core flow'!$A$15:$A$1000&lt;&gt;"")*ISNUMBER(SEARCH('E2E core flow'!$A$15:$A$1000,$E445)),0),0))&amp;"","-"))</f>
        <v/>
      </c>
      <c r="N445" s="68" t="str">
        <f>IF(TRIM($A445)="","",IF($O445=0,IF(COUNTIFS('Card Test Cases'!$B$4:$B$1000,$A445,'Card Test Cases'!$A$4:$A$1000,"&lt;&gt;")&gt;0,"Out of Scope","No TC"),IF($Q445&gt;0,"Failed",IF(COUNTIFS('Card Test Cases'!$B$4:$B$1000,$A445,'Card Test Cases'!$A$4:$A$1000,"&lt;&gt;",'Card Test Cases'!$F$4:$F$1000,"Blocked")&gt;0,"Blocked",IF($R445&gt;0,"In Progress","Passed")))))</f>
        <v/>
      </c>
      <c r="O445" s="68" t="str">
        <f>IF(TRIM($A445)="","",COUNTIFS('Card Test Cases'!$B$4:$B$1000,$A445,'Card Test Cases'!$A$4:$A$1000,"&lt;&gt;",'Card Test Cases'!$F$4:$F$1000,"&lt;&gt;Out of Scope"))</f>
        <v/>
      </c>
      <c r="P445" s="68" t="str">
        <f>IF(TRIM($A445)="","",COUNTIFS('Card Test Cases'!$B$4:$B$1000,$A445,'Card Test Cases'!$A$4:$A$1000,"&lt;&gt;",'Card Test Cases'!$F$4:$F$1000,"Passed"))</f>
        <v/>
      </c>
      <c r="Q445" s="68" t="str">
        <f>IF(TRIM($A445)="","",COUNTIFS('Card Test Cases'!$B$4:$B$1000,$A445,'Card Test Cases'!$A$4:$A$1000,"&lt;&gt;",'Card Test Cases'!$F$4:$F$1000,"Failed"))</f>
        <v/>
      </c>
      <c r="R445" s="68" t="str">
        <f t="shared" si="6"/>
        <v/>
      </c>
      <c r="S445" s="68" t="str" cm="1">
        <f t="array" ref="S445">IF(TRIM($A445)="","",IFERROR(_xlfn.TEXTJOIN(", ",TRUE,_xlfn.UNIQUE(_xlfn.VSTACK(_xlfn._xlws.FILTER('Card Test Cases'!$G$4:$G$1000,('Card Test Cases'!$B$4:$B$1000=$A445)*('Card Test Cases'!$G$4:$G$1000&lt;&gt;""),""),_xlfn._xlws.FILTER('E2E core flow'!$U$15:$U$1000,('E2E core flow'!$A$15:$A$1000&lt;&gt;"")*ISNUMBER(SEARCH('E2E core flow'!$A$15:$A$1000,$E445))*('E2E core flow'!$U$15:$U$1000&lt;&gt;""),"")))),"-"))</f>
        <v/>
      </c>
    </row>
    <row r="446" spans="7:19" x14ac:dyDescent="0.3">
      <c r="G446" s="68" t="str" cm="1">
        <f t="array" ref="G446">_xlfn.LET(_xlpm.ids,'E2E core flow'!$A$15:$A$1000,_xlpm.v,'E2E core flow'!$W$15:$W$1000,_xlpm.m,(_xlpm.ids&lt;&gt;"")*ISNUMBER(SEARCH(_xlpm.ids,$E446)),_xlpm.f,SUM(_xlpm.m*(_xlpm.v="Failed")),_xlpm.b,SUM(_xlpm.m*(_xlpm.v="Blocked")),_xlpm.nr,SUM(_xlpm.m*(_xlpm.v="Not Run")),_xlpm.cp,SUM(_xlpm.m*(_xlpm.v="Conditionally Passed")),_xlpm.p,SUM(_xlpm.m*(_xlpm.v="Passed")),IF(TRIM($A446)="","",IF(TRIM($E446)="","Pending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46" s="68" t="str">
        <f>IF(TRIM($A446)="","",IF($J446="Passed","",IF($J446="Passed with Known Issue","Known Issue",IF($J446="",IF(OR($H446&lt;&gt;"No",AND($F446&lt;&gt;"Medium",$F446&lt;&gt;"Low")),"Pending Result",""),IF(OR($H446&lt;&gt;"No",AND($F446&lt;&gt;"Medium",$F446&lt;&gt;"Low")),IF(COUNTIFS(Dashboard!$B$105:$B$124,$A446,Dashboard!$I$105:$I$124,"CAB")&gt;0,"Accepted (CF)","Blocking"),IF($J446="Failed","Deferrable","Carry Over"))))))</f>
        <v/>
      </c>
      <c r="M446" s="68" t="str">
        <f>IF(OR(TRIM($A446)="",TRIM($E446)=""),"",IFERROR(INDEX('E2E core flow'!$B$15:$B$1000,MATCH(1,INDEX(('E2E core flow'!$A$15:$A$1000&lt;&gt;"")*ISNUMBER(SEARCH('E2E core flow'!$A$15:$A$1000,$E446)),0),0))&amp;"","-"))</f>
        <v/>
      </c>
      <c r="N446" s="68" t="str">
        <f>IF(TRIM($A446)="","",IF($O446=0,IF(COUNTIFS('Card Test Cases'!$B$4:$B$1000,$A446,'Card Test Cases'!$A$4:$A$1000,"&lt;&gt;")&gt;0,"Out of Scope","No TC"),IF($Q446&gt;0,"Failed",IF(COUNTIFS('Card Test Cases'!$B$4:$B$1000,$A446,'Card Test Cases'!$A$4:$A$1000,"&lt;&gt;",'Card Test Cases'!$F$4:$F$1000,"Blocked")&gt;0,"Blocked",IF($R446&gt;0,"In Progress","Passed")))))</f>
        <v/>
      </c>
      <c r="O446" s="68" t="str">
        <f>IF(TRIM($A446)="","",COUNTIFS('Card Test Cases'!$B$4:$B$1000,$A446,'Card Test Cases'!$A$4:$A$1000,"&lt;&gt;",'Card Test Cases'!$F$4:$F$1000,"&lt;&gt;Out of Scope"))</f>
        <v/>
      </c>
      <c r="P446" s="68" t="str">
        <f>IF(TRIM($A446)="","",COUNTIFS('Card Test Cases'!$B$4:$B$1000,$A446,'Card Test Cases'!$A$4:$A$1000,"&lt;&gt;",'Card Test Cases'!$F$4:$F$1000,"Passed"))</f>
        <v/>
      </c>
      <c r="Q446" s="68" t="str">
        <f>IF(TRIM($A446)="","",COUNTIFS('Card Test Cases'!$B$4:$B$1000,$A446,'Card Test Cases'!$A$4:$A$1000,"&lt;&gt;",'Card Test Cases'!$F$4:$F$1000,"Failed"))</f>
        <v/>
      </c>
      <c r="R446" s="68" t="str">
        <f t="shared" si="6"/>
        <v/>
      </c>
      <c r="S446" s="68" t="str" cm="1">
        <f t="array" ref="S446">IF(TRIM($A446)="","",IFERROR(_xlfn.TEXTJOIN(", ",TRUE,_xlfn.UNIQUE(_xlfn.VSTACK(_xlfn._xlws.FILTER('Card Test Cases'!$G$4:$G$1000,('Card Test Cases'!$B$4:$B$1000=$A446)*('Card Test Cases'!$G$4:$G$1000&lt;&gt;""),""),_xlfn._xlws.FILTER('E2E core flow'!$U$15:$U$1000,('E2E core flow'!$A$15:$A$1000&lt;&gt;"")*ISNUMBER(SEARCH('E2E core flow'!$A$15:$A$1000,$E446))*('E2E core flow'!$U$15:$U$1000&lt;&gt;""),"")))),"-"))</f>
        <v/>
      </c>
    </row>
    <row r="447" spans="7:19" x14ac:dyDescent="0.3">
      <c r="G447" s="68" t="str" cm="1">
        <f t="array" ref="G447">_xlfn.LET(_xlpm.ids,'E2E core flow'!$A$15:$A$1000,_xlpm.v,'E2E core flow'!$W$15:$W$1000,_xlpm.m,(_xlpm.ids&lt;&gt;"")*ISNUMBER(SEARCH(_xlpm.ids,$E447)),_xlpm.f,SUM(_xlpm.m*(_xlpm.v="Failed")),_xlpm.b,SUM(_xlpm.m*(_xlpm.v="Blocked")),_xlpm.nr,SUM(_xlpm.m*(_xlpm.v="Not Run")),_xlpm.cp,SUM(_xlpm.m*(_xlpm.v="Conditionally Passed")),_xlpm.p,SUM(_xlpm.m*(_xlpm.v="Passed")),IF(TRIM($A447)="","",IF(TRIM($E447)="","Pending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47" s="68" t="str">
        <f>IF(TRIM($A447)="","",IF($J447="Passed","",IF($J447="Passed with Known Issue","Known Issue",IF($J447="",IF(OR($H447&lt;&gt;"No",AND($F447&lt;&gt;"Medium",$F447&lt;&gt;"Low")),"Pending Result",""),IF(OR($H447&lt;&gt;"No",AND($F447&lt;&gt;"Medium",$F447&lt;&gt;"Low")),IF(COUNTIFS(Dashboard!$B$105:$B$124,$A447,Dashboard!$I$105:$I$124,"CAB")&gt;0,"Accepted (CF)","Blocking"),IF($J447="Failed","Deferrable","Carry Over"))))))</f>
        <v/>
      </c>
      <c r="M447" s="68" t="str">
        <f>IF(OR(TRIM($A447)="",TRIM($E447)=""),"",IFERROR(INDEX('E2E core flow'!$B$15:$B$1000,MATCH(1,INDEX(('E2E core flow'!$A$15:$A$1000&lt;&gt;"")*ISNUMBER(SEARCH('E2E core flow'!$A$15:$A$1000,$E447)),0),0))&amp;"","-"))</f>
        <v/>
      </c>
      <c r="N447" s="68" t="str">
        <f>IF(TRIM($A447)="","",IF($O447=0,IF(COUNTIFS('Card Test Cases'!$B$4:$B$1000,$A447,'Card Test Cases'!$A$4:$A$1000,"&lt;&gt;")&gt;0,"Out of Scope","No TC"),IF($Q447&gt;0,"Failed",IF(COUNTIFS('Card Test Cases'!$B$4:$B$1000,$A447,'Card Test Cases'!$A$4:$A$1000,"&lt;&gt;",'Card Test Cases'!$F$4:$F$1000,"Blocked")&gt;0,"Blocked",IF($R447&gt;0,"In Progress","Passed")))))</f>
        <v/>
      </c>
      <c r="O447" s="68" t="str">
        <f>IF(TRIM($A447)="","",COUNTIFS('Card Test Cases'!$B$4:$B$1000,$A447,'Card Test Cases'!$A$4:$A$1000,"&lt;&gt;",'Card Test Cases'!$F$4:$F$1000,"&lt;&gt;Out of Scope"))</f>
        <v/>
      </c>
      <c r="P447" s="68" t="str">
        <f>IF(TRIM($A447)="","",COUNTIFS('Card Test Cases'!$B$4:$B$1000,$A447,'Card Test Cases'!$A$4:$A$1000,"&lt;&gt;",'Card Test Cases'!$F$4:$F$1000,"Passed"))</f>
        <v/>
      </c>
      <c r="Q447" s="68" t="str">
        <f>IF(TRIM($A447)="","",COUNTIFS('Card Test Cases'!$B$4:$B$1000,$A447,'Card Test Cases'!$A$4:$A$1000,"&lt;&gt;",'Card Test Cases'!$F$4:$F$1000,"Failed"))</f>
        <v/>
      </c>
      <c r="R447" s="68" t="str">
        <f t="shared" si="6"/>
        <v/>
      </c>
      <c r="S447" s="68" t="str" cm="1">
        <f t="array" ref="S447">IF(TRIM($A447)="","",IFERROR(_xlfn.TEXTJOIN(", ",TRUE,_xlfn.UNIQUE(_xlfn.VSTACK(_xlfn._xlws.FILTER('Card Test Cases'!$G$4:$G$1000,('Card Test Cases'!$B$4:$B$1000=$A447)*('Card Test Cases'!$G$4:$G$1000&lt;&gt;""),""),_xlfn._xlws.FILTER('E2E core flow'!$U$15:$U$1000,('E2E core flow'!$A$15:$A$1000&lt;&gt;"")*ISNUMBER(SEARCH('E2E core flow'!$A$15:$A$1000,$E447))*('E2E core flow'!$U$15:$U$1000&lt;&gt;""),"")))),"-"))</f>
        <v/>
      </c>
    </row>
    <row r="448" spans="7:19" x14ac:dyDescent="0.3">
      <c r="G448" s="68" t="str" cm="1">
        <f t="array" ref="G448">_xlfn.LET(_xlpm.ids,'E2E core flow'!$A$15:$A$1000,_xlpm.v,'E2E core flow'!$W$15:$W$1000,_xlpm.m,(_xlpm.ids&lt;&gt;"")*ISNUMBER(SEARCH(_xlpm.ids,$E448)),_xlpm.f,SUM(_xlpm.m*(_xlpm.v="Failed")),_xlpm.b,SUM(_xlpm.m*(_xlpm.v="Blocked")),_xlpm.nr,SUM(_xlpm.m*(_xlpm.v="Not Run")),_xlpm.cp,SUM(_xlpm.m*(_xlpm.v="Conditionally Passed")),_xlpm.p,SUM(_xlpm.m*(_xlpm.v="Passed")),IF(TRIM($A448)="","",IF(TRIM($E448)="","Pending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48" s="68" t="str">
        <f>IF(TRIM($A448)="","",IF($J448="Passed","",IF($J448="Passed with Known Issue","Known Issue",IF($J448="",IF(OR($H448&lt;&gt;"No",AND($F448&lt;&gt;"Medium",$F448&lt;&gt;"Low")),"Pending Result",""),IF(OR($H448&lt;&gt;"No",AND($F448&lt;&gt;"Medium",$F448&lt;&gt;"Low")),IF(COUNTIFS(Dashboard!$B$105:$B$124,$A448,Dashboard!$I$105:$I$124,"CAB")&gt;0,"Accepted (CF)","Blocking"),IF($J448="Failed","Deferrable","Carry Over"))))))</f>
        <v/>
      </c>
      <c r="M448" s="68" t="str">
        <f>IF(OR(TRIM($A448)="",TRIM($E448)=""),"",IFERROR(INDEX('E2E core flow'!$B$15:$B$1000,MATCH(1,INDEX(('E2E core flow'!$A$15:$A$1000&lt;&gt;"")*ISNUMBER(SEARCH('E2E core flow'!$A$15:$A$1000,$E448)),0),0))&amp;"","-"))</f>
        <v/>
      </c>
      <c r="N448" s="68" t="str">
        <f>IF(TRIM($A448)="","",IF($O448=0,IF(COUNTIFS('Card Test Cases'!$B$4:$B$1000,$A448,'Card Test Cases'!$A$4:$A$1000,"&lt;&gt;")&gt;0,"Out of Scope","No TC"),IF($Q448&gt;0,"Failed",IF(COUNTIFS('Card Test Cases'!$B$4:$B$1000,$A448,'Card Test Cases'!$A$4:$A$1000,"&lt;&gt;",'Card Test Cases'!$F$4:$F$1000,"Blocked")&gt;0,"Blocked",IF($R448&gt;0,"In Progress","Passed")))))</f>
        <v/>
      </c>
      <c r="O448" s="68" t="str">
        <f>IF(TRIM($A448)="","",COUNTIFS('Card Test Cases'!$B$4:$B$1000,$A448,'Card Test Cases'!$A$4:$A$1000,"&lt;&gt;",'Card Test Cases'!$F$4:$F$1000,"&lt;&gt;Out of Scope"))</f>
        <v/>
      </c>
      <c r="P448" s="68" t="str">
        <f>IF(TRIM($A448)="","",COUNTIFS('Card Test Cases'!$B$4:$B$1000,$A448,'Card Test Cases'!$A$4:$A$1000,"&lt;&gt;",'Card Test Cases'!$F$4:$F$1000,"Passed"))</f>
        <v/>
      </c>
      <c r="Q448" s="68" t="str">
        <f>IF(TRIM($A448)="","",COUNTIFS('Card Test Cases'!$B$4:$B$1000,$A448,'Card Test Cases'!$A$4:$A$1000,"&lt;&gt;",'Card Test Cases'!$F$4:$F$1000,"Failed"))</f>
        <v/>
      </c>
      <c r="R448" s="68" t="str">
        <f t="shared" si="6"/>
        <v/>
      </c>
      <c r="S448" s="68" t="str" cm="1">
        <f t="array" ref="S448">IF(TRIM($A448)="","",IFERROR(_xlfn.TEXTJOIN(", ",TRUE,_xlfn.UNIQUE(_xlfn.VSTACK(_xlfn._xlws.FILTER('Card Test Cases'!$G$4:$G$1000,('Card Test Cases'!$B$4:$B$1000=$A448)*('Card Test Cases'!$G$4:$G$1000&lt;&gt;""),""),_xlfn._xlws.FILTER('E2E core flow'!$U$15:$U$1000,('E2E core flow'!$A$15:$A$1000&lt;&gt;"")*ISNUMBER(SEARCH('E2E core flow'!$A$15:$A$1000,$E448))*('E2E core flow'!$U$15:$U$1000&lt;&gt;""),"")))),"-"))</f>
        <v/>
      </c>
    </row>
    <row r="449" spans="7:19" x14ac:dyDescent="0.3">
      <c r="G449" s="68" t="str" cm="1">
        <f t="array" ref="G449">_xlfn.LET(_xlpm.ids,'E2E core flow'!$A$15:$A$1000,_xlpm.v,'E2E core flow'!$W$15:$W$1000,_xlpm.m,(_xlpm.ids&lt;&gt;"")*ISNUMBER(SEARCH(_xlpm.ids,$E449)),_xlpm.f,SUM(_xlpm.m*(_xlpm.v="Failed")),_xlpm.b,SUM(_xlpm.m*(_xlpm.v="Blocked")),_xlpm.nr,SUM(_xlpm.m*(_xlpm.v="Not Run")),_xlpm.cp,SUM(_xlpm.m*(_xlpm.v="Conditionally Passed")),_xlpm.p,SUM(_xlpm.m*(_xlpm.v="Passed")),IF(TRIM($A449)="","",IF(TRIM($E449)="","Pending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49" s="68" t="str">
        <f>IF(TRIM($A449)="","",IF($J449="Passed","",IF($J449="Passed with Known Issue","Known Issue",IF($J449="",IF(OR($H449&lt;&gt;"No",AND($F449&lt;&gt;"Medium",$F449&lt;&gt;"Low")),"Pending Result",""),IF(OR($H449&lt;&gt;"No",AND($F449&lt;&gt;"Medium",$F449&lt;&gt;"Low")),IF(COUNTIFS(Dashboard!$B$105:$B$124,$A449,Dashboard!$I$105:$I$124,"CAB")&gt;0,"Accepted (CF)","Blocking"),IF($J449="Failed","Deferrable","Carry Over"))))))</f>
        <v/>
      </c>
      <c r="M449" s="68" t="str">
        <f>IF(OR(TRIM($A449)="",TRIM($E449)=""),"",IFERROR(INDEX('E2E core flow'!$B$15:$B$1000,MATCH(1,INDEX(('E2E core flow'!$A$15:$A$1000&lt;&gt;"")*ISNUMBER(SEARCH('E2E core flow'!$A$15:$A$1000,$E449)),0),0))&amp;"","-"))</f>
        <v/>
      </c>
      <c r="N449" s="68" t="str">
        <f>IF(TRIM($A449)="","",IF($O449=0,IF(COUNTIFS('Card Test Cases'!$B$4:$B$1000,$A449,'Card Test Cases'!$A$4:$A$1000,"&lt;&gt;")&gt;0,"Out of Scope","No TC"),IF($Q449&gt;0,"Failed",IF(COUNTIFS('Card Test Cases'!$B$4:$B$1000,$A449,'Card Test Cases'!$A$4:$A$1000,"&lt;&gt;",'Card Test Cases'!$F$4:$F$1000,"Blocked")&gt;0,"Blocked",IF($R449&gt;0,"In Progress","Passed")))))</f>
        <v/>
      </c>
      <c r="O449" s="68" t="str">
        <f>IF(TRIM($A449)="","",COUNTIFS('Card Test Cases'!$B$4:$B$1000,$A449,'Card Test Cases'!$A$4:$A$1000,"&lt;&gt;",'Card Test Cases'!$F$4:$F$1000,"&lt;&gt;Out of Scope"))</f>
        <v/>
      </c>
      <c r="P449" s="68" t="str">
        <f>IF(TRIM($A449)="","",COUNTIFS('Card Test Cases'!$B$4:$B$1000,$A449,'Card Test Cases'!$A$4:$A$1000,"&lt;&gt;",'Card Test Cases'!$F$4:$F$1000,"Passed"))</f>
        <v/>
      </c>
      <c r="Q449" s="68" t="str">
        <f>IF(TRIM($A449)="","",COUNTIFS('Card Test Cases'!$B$4:$B$1000,$A449,'Card Test Cases'!$A$4:$A$1000,"&lt;&gt;",'Card Test Cases'!$F$4:$F$1000,"Failed"))</f>
        <v/>
      </c>
      <c r="R449" s="68" t="str">
        <f t="shared" si="6"/>
        <v/>
      </c>
      <c r="S449" s="68" t="str" cm="1">
        <f t="array" ref="S449">IF(TRIM($A449)="","",IFERROR(_xlfn.TEXTJOIN(", ",TRUE,_xlfn.UNIQUE(_xlfn.VSTACK(_xlfn._xlws.FILTER('Card Test Cases'!$G$4:$G$1000,('Card Test Cases'!$B$4:$B$1000=$A449)*('Card Test Cases'!$G$4:$G$1000&lt;&gt;""),""),_xlfn._xlws.FILTER('E2E core flow'!$U$15:$U$1000,('E2E core flow'!$A$15:$A$1000&lt;&gt;"")*ISNUMBER(SEARCH('E2E core flow'!$A$15:$A$1000,$E449))*('E2E core flow'!$U$15:$U$1000&lt;&gt;""),"")))),"-"))</f>
        <v/>
      </c>
    </row>
    <row r="450" spans="7:19" x14ac:dyDescent="0.3">
      <c r="G450" s="68" t="str" cm="1">
        <f t="array" ref="G450">_xlfn.LET(_xlpm.ids,'E2E core flow'!$A$15:$A$1000,_xlpm.v,'E2E core flow'!$W$15:$W$1000,_xlpm.m,(_xlpm.ids&lt;&gt;"")*ISNUMBER(SEARCH(_xlpm.ids,$E450)),_xlpm.f,SUM(_xlpm.m*(_xlpm.v="Failed")),_xlpm.b,SUM(_xlpm.m*(_xlpm.v="Blocked")),_xlpm.nr,SUM(_xlpm.m*(_xlpm.v="Not Run")),_xlpm.cp,SUM(_xlpm.m*(_xlpm.v="Conditionally Passed")),_xlpm.p,SUM(_xlpm.m*(_xlpm.v="Passed")),IF(TRIM($A450)="","",IF(TRIM($E450)="","Pending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50" s="68" t="str">
        <f>IF(TRIM($A450)="","",IF($J450="Passed","",IF($J450="Passed with Known Issue","Known Issue",IF($J450="",IF(OR($H450&lt;&gt;"No",AND($F450&lt;&gt;"Medium",$F450&lt;&gt;"Low")),"Pending Result",""),IF(OR($H450&lt;&gt;"No",AND($F450&lt;&gt;"Medium",$F450&lt;&gt;"Low")),IF(COUNTIFS(Dashboard!$B$105:$B$124,$A450,Dashboard!$I$105:$I$124,"CAB")&gt;0,"Accepted (CF)","Blocking"),IF($J450="Failed","Deferrable","Carry Over"))))))</f>
        <v/>
      </c>
      <c r="M450" s="68" t="str">
        <f>IF(OR(TRIM($A450)="",TRIM($E450)=""),"",IFERROR(INDEX('E2E core flow'!$B$15:$B$1000,MATCH(1,INDEX(('E2E core flow'!$A$15:$A$1000&lt;&gt;"")*ISNUMBER(SEARCH('E2E core flow'!$A$15:$A$1000,$E450)),0),0))&amp;"","-"))</f>
        <v/>
      </c>
      <c r="N450" s="68" t="str">
        <f>IF(TRIM($A450)="","",IF($O450=0,IF(COUNTIFS('Card Test Cases'!$B$4:$B$1000,$A450,'Card Test Cases'!$A$4:$A$1000,"&lt;&gt;")&gt;0,"Out of Scope","No TC"),IF($Q450&gt;0,"Failed",IF(COUNTIFS('Card Test Cases'!$B$4:$B$1000,$A450,'Card Test Cases'!$A$4:$A$1000,"&lt;&gt;",'Card Test Cases'!$F$4:$F$1000,"Blocked")&gt;0,"Blocked",IF($R450&gt;0,"In Progress","Passed")))))</f>
        <v/>
      </c>
      <c r="O450" s="68" t="str">
        <f>IF(TRIM($A450)="","",COUNTIFS('Card Test Cases'!$B$4:$B$1000,$A450,'Card Test Cases'!$A$4:$A$1000,"&lt;&gt;",'Card Test Cases'!$F$4:$F$1000,"&lt;&gt;Out of Scope"))</f>
        <v/>
      </c>
      <c r="P450" s="68" t="str">
        <f>IF(TRIM($A450)="","",COUNTIFS('Card Test Cases'!$B$4:$B$1000,$A450,'Card Test Cases'!$A$4:$A$1000,"&lt;&gt;",'Card Test Cases'!$F$4:$F$1000,"Passed"))</f>
        <v/>
      </c>
      <c r="Q450" s="68" t="str">
        <f>IF(TRIM($A450)="","",COUNTIFS('Card Test Cases'!$B$4:$B$1000,$A450,'Card Test Cases'!$A$4:$A$1000,"&lt;&gt;",'Card Test Cases'!$F$4:$F$1000,"Failed"))</f>
        <v/>
      </c>
      <c r="R450" s="68" t="str">
        <f t="shared" si="6"/>
        <v/>
      </c>
      <c r="S450" s="68" t="str" cm="1">
        <f t="array" ref="S450">IF(TRIM($A450)="","",IFERROR(_xlfn.TEXTJOIN(", ",TRUE,_xlfn.UNIQUE(_xlfn.VSTACK(_xlfn._xlws.FILTER('Card Test Cases'!$G$4:$G$1000,('Card Test Cases'!$B$4:$B$1000=$A450)*('Card Test Cases'!$G$4:$G$1000&lt;&gt;""),""),_xlfn._xlws.FILTER('E2E core flow'!$U$15:$U$1000,('E2E core flow'!$A$15:$A$1000&lt;&gt;"")*ISNUMBER(SEARCH('E2E core flow'!$A$15:$A$1000,$E450))*('E2E core flow'!$U$15:$U$1000&lt;&gt;""),"")))),"-"))</f>
        <v/>
      </c>
    </row>
    <row r="451" spans="7:19" x14ac:dyDescent="0.3">
      <c r="G451" s="68" t="str" cm="1">
        <f t="array" ref="G451">_xlfn.LET(_xlpm.ids,'E2E core flow'!$A$15:$A$1000,_xlpm.v,'E2E core flow'!$W$15:$W$1000,_xlpm.m,(_xlpm.ids&lt;&gt;"")*ISNUMBER(SEARCH(_xlpm.ids,$E451)),_xlpm.f,SUM(_xlpm.m*(_xlpm.v="Failed")),_xlpm.b,SUM(_xlpm.m*(_xlpm.v="Blocked")),_xlpm.nr,SUM(_xlpm.m*(_xlpm.v="Not Run")),_xlpm.cp,SUM(_xlpm.m*(_xlpm.v="Conditionally Passed")),_xlpm.p,SUM(_xlpm.m*(_xlpm.v="Passed")),IF(TRIM($A451)="","",IF(TRIM($E451)="","Pending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51" s="68" t="str">
        <f>IF(TRIM($A451)="","",IF($J451="Passed","",IF($J451="Passed with Known Issue","Known Issue",IF($J451="",IF(OR($H451&lt;&gt;"No",AND($F451&lt;&gt;"Medium",$F451&lt;&gt;"Low")),"Pending Result",""),IF(OR($H451&lt;&gt;"No",AND($F451&lt;&gt;"Medium",$F451&lt;&gt;"Low")),IF(COUNTIFS(Dashboard!$B$105:$B$124,$A451,Dashboard!$I$105:$I$124,"CAB")&gt;0,"Accepted (CF)","Blocking"),IF($J451="Failed","Deferrable","Carry Over"))))))</f>
        <v/>
      </c>
      <c r="M451" s="68" t="str">
        <f>IF(OR(TRIM($A451)="",TRIM($E451)=""),"",IFERROR(INDEX('E2E core flow'!$B$15:$B$1000,MATCH(1,INDEX(('E2E core flow'!$A$15:$A$1000&lt;&gt;"")*ISNUMBER(SEARCH('E2E core flow'!$A$15:$A$1000,$E451)),0),0))&amp;"","-"))</f>
        <v/>
      </c>
      <c r="N451" s="68" t="str">
        <f>IF(TRIM($A451)="","",IF($O451=0,IF(COUNTIFS('Card Test Cases'!$B$4:$B$1000,$A451,'Card Test Cases'!$A$4:$A$1000,"&lt;&gt;")&gt;0,"Out of Scope","No TC"),IF($Q451&gt;0,"Failed",IF(COUNTIFS('Card Test Cases'!$B$4:$B$1000,$A451,'Card Test Cases'!$A$4:$A$1000,"&lt;&gt;",'Card Test Cases'!$F$4:$F$1000,"Blocked")&gt;0,"Blocked",IF($R451&gt;0,"In Progress","Passed")))))</f>
        <v/>
      </c>
      <c r="O451" s="68" t="str">
        <f>IF(TRIM($A451)="","",COUNTIFS('Card Test Cases'!$B$4:$B$1000,$A451,'Card Test Cases'!$A$4:$A$1000,"&lt;&gt;",'Card Test Cases'!$F$4:$F$1000,"&lt;&gt;Out of Scope"))</f>
        <v/>
      </c>
      <c r="P451" s="68" t="str">
        <f>IF(TRIM($A451)="","",COUNTIFS('Card Test Cases'!$B$4:$B$1000,$A451,'Card Test Cases'!$A$4:$A$1000,"&lt;&gt;",'Card Test Cases'!$F$4:$F$1000,"Passed"))</f>
        <v/>
      </c>
      <c r="Q451" s="68" t="str">
        <f>IF(TRIM($A451)="","",COUNTIFS('Card Test Cases'!$B$4:$B$1000,$A451,'Card Test Cases'!$A$4:$A$1000,"&lt;&gt;",'Card Test Cases'!$F$4:$F$1000,"Failed"))</f>
        <v/>
      </c>
      <c r="R451" s="68" t="str">
        <f t="shared" si="6"/>
        <v/>
      </c>
      <c r="S451" s="68" t="str" cm="1">
        <f t="array" ref="S451">IF(TRIM($A451)="","",IFERROR(_xlfn.TEXTJOIN(", ",TRUE,_xlfn.UNIQUE(_xlfn.VSTACK(_xlfn._xlws.FILTER('Card Test Cases'!$G$4:$G$1000,('Card Test Cases'!$B$4:$B$1000=$A451)*('Card Test Cases'!$G$4:$G$1000&lt;&gt;""),""),_xlfn._xlws.FILTER('E2E core flow'!$U$15:$U$1000,('E2E core flow'!$A$15:$A$1000&lt;&gt;"")*ISNUMBER(SEARCH('E2E core flow'!$A$15:$A$1000,$E451))*('E2E core flow'!$U$15:$U$1000&lt;&gt;""),"")))),"-"))</f>
        <v/>
      </c>
    </row>
    <row r="452" spans="7:19" x14ac:dyDescent="0.3">
      <c r="G452" s="68" t="str" cm="1">
        <f t="array" ref="G452">_xlfn.LET(_xlpm.ids,'E2E core flow'!$A$15:$A$1000,_xlpm.v,'E2E core flow'!$W$15:$W$1000,_xlpm.m,(_xlpm.ids&lt;&gt;"")*ISNUMBER(SEARCH(_xlpm.ids,$E452)),_xlpm.f,SUM(_xlpm.m*(_xlpm.v="Failed")),_xlpm.b,SUM(_xlpm.m*(_xlpm.v="Blocked")),_xlpm.nr,SUM(_xlpm.m*(_xlpm.v="Not Run")),_xlpm.cp,SUM(_xlpm.m*(_xlpm.v="Conditionally Passed")),_xlpm.p,SUM(_xlpm.m*(_xlpm.v="Passed")),IF(TRIM($A452)="","",IF(TRIM($E452)="","Pending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52" s="68" t="str">
        <f>IF(TRIM($A452)="","",IF($J452="Passed","",IF($J452="Passed with Known Issue","Known Issue",IF($J452="",IF(OR($H452&lt;&gt;"No",AND($F452&lt;&gt;"Medium",$F452&lt;&gt;"Low")),"Pending Result",""),IF(OR($H452&lt;&gt;"No",AND($F452&lt;&gt;"Medium",$F452&lt;&gt;"Low")),IF(COUNTIFS(Dashboard!$B$105:$B$124,$A452,Dashboard!$I$105:$I$124,"CAB")&gt;0,"Accepted (CF)","Blocking"),IF($J452="Failed","Deferrable","Carry Over"))))))</f>
        <v/>
      </c>
      <c r="M452" s="68" t="str">
        <f>IF(OR(TRIM($A452)="",TRIM($E452)=""),"",IFERROR(INDEX('E2E core flow'!$B$15:$B$1000,MATCH(1,INDEX(('E2E core flow'!$A$15:$A$1000&lt;&gt;"")*ISNUMBER(SEARCH('E2E core flow'!$A$15:$A$1000,$E452)),0),0))&amp;"","-"))</f>
        <v/>
      </c>
      <c r="N452" s="68" t="str">
        <f>IF(TRIM($A452)="","",IF($O452=0,IF(COUNTIFS('Card Test Cases'!$B$4:$B$1000,$A452,'Card Test Cases'!$A$4:$A$1000,"&lt;&gt;")&gt;0,"Out of Scope","No TC"),IF($Q452&gt;0,"Failed",IF(COUNTIFS('Card Test Cases'!$B$4:$B$1000,$A452,'Card Test Cases'!$A$4:$A$1000,"&lt;&gt;",'Card Test Cases'!$F$4:$F$1000,"Blocked")&gt;0,"Blocked",IF($R452&gt;0,"In Progress","Passed")))))</f>
        <v/>
      </c>
      <c r="O452" s="68" t="str">
        <f>IF(TRIM($A452)="","",COUNTIFS('Card Test Cases'!$B$4:$B$1000,$A452,'Card Test Cases'!$A$4:$A$1000,"&lt;&gt;",'Card Test Cases'!$F$4:$F$1000,"&lt;&gt;Out of Scope"))</f>
        <v/>
      </c>
      <c r="P452" s="68" t="str">
        <f>IF(TRIM($A452)="","",COUNTIFS('Card Test Cases'!$B$4:$B$1000,$A452,'Card Test Cases'!$A$4:$A$1000,"&lt;&gt;",'Card Test Cases'!$F$4:$F$1000,"Passed"))</f>
        <v/>
      </c>
      <c r="Q452" s="68" t="str">
        <f>IF(TRIM($A452)="","",COUNTIFS('Card Test Cases'!$B$4:$B$1000,$A452,'Card Test Cases'!$A$4:$A$1000,"&lt;&gt;",'Card Test Cases'!$F$4:$F$1000,"Failed"))</f>
        <v/>
      </c>
      <c r="R452" s="68" t="str">
        <f t="shared" ref="R452:R515" si="7">IF(TRIM($A452)="","",$O452-$P452-$Q452)</f>
        <v/>
      </c>
      <c r="S452" s="68" t="str" cm="1">
        <f t="array" ref="S452">IF(TRIM($A452)="","",IFERROR(_xlfn.TEXTJOIN(", ",TRUE,_xlfn.UNIQUE(_xlfn.VSTACK(_xlfn._xlws.FILTER('Card Test Cases'!$G$4:$G$1000,('Card Test Cases'!$B$4:$B$1000=$A452)*('Card Test Cases'!$G$4:$G$1000&lt;&gt;""),""),_xlfn._xlws.FILTER('E2E core flow'!$U$15:$U$1000,('E2E core flow'!$A$15:$A$1000&lt;&gt;"")*ISNUMBER(SEARCH('E2E core flow'!$A$15:$A$1000,$E452))*('E2E core flow'!$U$15:$U$1000&lt;&gt;""),"")))),"-"))</f>
        <v/>
      </c>
    </row>
    <row r="453" spans="7:19" x14ac:dyDescent="0.3">
      <c r="G453" s="68" t="str" cm="1">
        <f t="array" ref="G453">_xlfn.LET(_xlpm.ids,'E2E core flow'!$A$15:$A$1000,_xlpm.v,'E2E core flow'!$W$15:$W$1000,_xlpm.m,(_xlpm.ids&lt;&gt;"")*ISNUMBER(SEARCH(_xlpm.ids,$E453)),_xlpm.f,SUM(_xlpm.m*(_xlpm.v="Failed")),_xlpm.b,SUM(_xlpm.m*(_xlpm.v="Blocked")),_xlpm.nr,SUM(_xlpm.m*(_xlpm.v="Not Run")),_xlpm.cp,SUM(_xlpm.m*(_xlpm.v="Conditionally Passed")),_xlpm.p,SUM(_xlpm.m*(_xlpm.v="Passed")),IF(TRIM($A453)="","",IF(TRIM($E453)="","Pending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53" s="68" t="str">
        <f>IF(TRIM($A453)="","",IF($J453="Passed","",IF($J453="Passed with Known Issue","Known Issue",IF($J453="",IF(OR($H453&lt;&gt;"No",AND($F453&lt;&gt;"Medium",$F453&lt;&gt;"Low")),"Pending Result",""),IF(OR($H453&lt;&gt;"No",AND($F453&lt;&gt;"Medium",$F453&lt;&gt;"Low")),IF(COUNTIFS(Dashboard!$B$105:$B$124,$A453,Dashboard!$I$105:$I$124,"CAB")&gt;0,"Accepted (CF)","Blocking"),IF($J453="Failed","Deferrable","Carry Over"))))))</f>
        <v/>
      </c>
      <c r="M453" s="68" t="str">
        <f>IF(OR(TRIM($A453)="",TRIM($E453)=""),"",IFERROR(INDEX('E2E core flow'!$B$15:$B$1000,MATCH(1,INDEX(('E2E core flow'!$A$15:$A$1000&lt;&gt;"")*ISNUMBER(SEARCH('E2E core flow'!$A$15:$A$1000,$E453)),0),0))&amp;"","-"))</f>
        <v/>
      </c>
      <c r="N453" s="68" t="str">
        <f>IF(TRIM($A453)="","",IF($O453=0,IF(COUNTIFS('Card Test Cases'!$B$4:$B$1000,$A453,'Card Test Cases'!$A$4:$A$1000,"&lt;&gt;")&gt;0,"Out of Scope","No TC"),IF($Q453&gt;0,"Failed",IF(COUNTIFS('Card Test Cases'!$B$4:$B$1000,$A453,'Card Test Cases'!$A$4:$A$1000,"&lt;&gt;",'Card Test Cases'!$F$4:$F$1000,"Blocked")&gt;0,"Blocked",IF($R453&gt;0,"In Progress","Passed")))))</f>
        <v/>
      </c>
      <c r="O453" s="68" t="str">
        <f>IF(TRIM($A453)="","",COUNTIFS('Card Test Cases'!$B$4:$B$1000,$A453,'Card Test Cases'!$A$4:$A$1000,"&lt;&gt;",'Card Test Cases'!$F$4:$F$1000,"&lt;&gt;Out of Scope"))</f>
        <v/>
      </c>
      <c r="P453" s="68" t="str">
        <f>IF(TRIM($A453)="","",COUNTIFS('Card Test Cases'!$B$4:$B$1000,$A453,'Card Test Cases'!$A$4:$A$1000,"&lt;&gt;",'Card Test Cases'!$F$4:$F$1000,"Passed"))</f>
        <v/>
      </c>
      <c r="Q453" s="68" t="str">
        <f>IF(TRIM($A453)="","",COUNTIFS('Card Test Cases'!$B$4:$B$1000,$A453,'Card Test Cases'!$A$4:$A$1000,"&lt;&gt;",'Card Test Cases'!$F$4:$F$1000,"Failed"))</f>
        <v/>
      </c>
      <c r="R453" s="68" t="str">
        <f t="shared" si="7"/>
        <v/>
      </c>
      <c r="S453" s="68" t="str" cm="1">
        <f t="array" ref="S453">IF(TRIM($A453)="","",IFERROR(_xlfn.TEXTJOIN(", ",TRUE,_xlfn.UNIQUE(_xlfn.VSTACK(_xlfn._xlws.FILTER('Card Test Cases'!$G$4:$G$1000,('Card Test Cases'!$B$4:$B$1000=$A453)*('Card Test Cases'!$G$4:$G$1000&lt;&gt;""),""),_xlfn._xlws.FILTER('E2E core flow'!$U$15:$U$1000,('E2E core flow'!$A$15:$A$1000&lt;&gt;"")*ISNUMBER(SEARCH('E2E core flow'!$A$15:$A$1000,$E453))*('E2E core flow'!$U$15:$U$1000&lt;&gt;""),"")))),"-"))</f>
        <v/>
      </c>
    </row>
    <row r="454" spans="7:19" x14ac:dyDescent="0.3">
      <c r="G454" s="68" t="str" cm="1">
        <f t="array" ref="G454">_xlfn.LET(_xlpm.ids,'E2E core flow'!$A$15:$A$1000,_xlpm.v,'E2E core flow'!$W$15:$W$1000,_xlpm.m,(_xlpm.ids&lt;&gt;"")*ISNUMBER(SEARCH(_xlpm.ids,$E454)),_xlpm.f,SUM(_xlpm.m*(_xlpm.v="Failed")),_xlpm.b,SUM(_xlpm.m*(_xlpm.v="Blocked")),_xlpm.nr,SUM(_xlpm.m*(_xlpm.v="Not Run")),_xlpm.cp,SUM(_xlpm.m*(_xlpm.v="Conditionally Passed")),_xlpm.p,SUM(_xlpm.m*(_xlpm.v="Passed")),IF(TRIM($A454)="","",IF(TRIM($E454)="","Pending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54" s="68" t="str">
        <f>IF(TRIM($A454)="","",IF($J454="Passed","",IF($J454="Passed with Known Issue","Known Issue",IF($J454="",IF(OR($H454&lt;&gt;"No",AND($F454&lt;&gt;"Medium",$F454&lt;&gt;"Low")),"Pending Result",""),IF(OR($H454&lt;&gt;"No",AND($F454&lt;&gt;"Medium",$F454&lt;&gt;"Low")),IF(COUNTIFS(Dashboard!$B$105:$B$124,$A454,Dashboard!$I$105:$I$124,"CAB")&gt;0,"Accepted (CF)","Blocking"),IF($J454="Failed","Deferrable","Carry Over"))))))</f>
        <v/>
      </c>
      <c r="M454" s="68" t="str">
        <f>IF(OR(TRIM($A454)="",TRIM($E454)=""),"",IFERROR(INDEX('E2E core flow'!$B$15:$B$1000,MATCH(1,INDEX(('E2E core flow'!$A$15:$A$1000&lt;&gt;"")*ISNUMBER(SEARCH('E2E core flow'!$A$15:$A$1000,$E454)),0),0))&amp;"","-"))</f>
        <v/>
      </c>
      <c r="N454" s="68" t="str">
        <f>IF(TRIM($A454)="","",IF($O454=0,IF(COUNTIFS('Card Test Cases'!$B$4:$B$1000,$A454,'Card Test Cases'!$A$4:$A$1000,"&lt;&gt;")&gt;0,"Out of Scope","No TC"),IF($Q454&gt;0,"Failed",IF(COUNTIFS('Card Test Cases'!$B$4:$B$1000,$A454,'Card Test Cases'!$A$4:$A$1000,"&lt;&gt;",'Card Test Cases'!$F$4:$F$1000,"Blocked")&gt;0,"Blocked",IF($R454&gt;0,"In Progress","Passed")))))</f>
        <v/>
      </c>
      <c r="O454" s="68" t="str">
        <f>IF(TRIM($A454)="","",COUNTIFS('Card Test Cases'!$B$4:$B$1000,$A454,'Card Test Cases'!$A$4:$A$1000,"&lt;&gt;",'Card Test Cases'!$F$4:$F$1000,"&lt;&gt;Out of Scope"))</f>
        <v/>
      </c>
      <c r="P454" s="68" t="str">
        <f>IF(TRIM($A454)="","",COUNTIFS('Card Test Cases'!$B$4:$B$1000,$A454,'Card Test Cases'!$A$4:$A$1000,"&lt;&gt;",'Card Test Cases'!$F$4:$F$1000,"Passed"))</f>
        <v/>
      </c>
      <c r="Q454" s="68" t="str">
        <f>IF(TRIM($A454)="","",COUNTIFS('Card Test Cases'!$B$4:$B$1000,$A454,'Card Test Cases'!$A$4:$A$1000,"&lt;&gt;",'Card Test Cases'!$F$4:$F$1000,"Failed"))</f>
        <v/>
      </c>
      <c r="R454" s="68" t="str">
        <f t="shared" si="7"/>
        <v/>
      </c>
      <c r="S454" s="68" t="str" cm="1">
        <f t="array" ref="S454">IF(TRIM($A454)="","",IFERROR(_xlfn.TEXTJOIN(", ",TRUE,_xlfn.UNIQUE(_xlfn.VSTACK(_xlfn._xlws.FILTER('Card Test Cases'!$G$4:$G$1000,('Card Test Cases'!$B$4:$B$1000=$A454)*('Card Test Cases'!$G$4:$G$1000&lt;&gt;""),""),_xlfn._xlws.FILTER('E2E core flow'!$U$15:$U$1000,('E2E core flow'!$A$15:$A$1000&lt;&gt;"")*ISNUMBER(SEARCH('E2E core flow'!$A$15:$A$1000,$E454))*('E2E core flow'!$U$15:$U$1000&lt;&gt;""),"")))),"-"))</f>
        <v/>
      </c>
    </row>
    <row r="455" spans="7:19" x14ac:dyDescent="0.3">
      <c r="G455" s="68" t="str" cm="1">
        <f t="array" ref="G455">_xlfn.LET(_xlpm.ids,'E2E core flow'!$A$15:$A$1000,_xlpm.v,'E2E core flow'!$W$15:$W$1000,_xlpm.m,(_xlpm.ids&lt;&gt;"")*ISNUMBER(SEARCH(_xlpm.ids,$E455)),_xlpm.f,SUM(_xlpm.m*(_xlpm.v="Failed")),_xlpm.b,SUM(_xlpm.m*(_xlpm.v="Blocked")),_xlpm.nr,SUM(_xlpm.m*(_xlpm.v="Not Run")),_xlpm.cp,SUM(_xlpm.m*(_xlpm.v="Conditionally Passed")),_xlpm.p,SUM(_xlpm.m*(_xlpm.v="Passed")),IF(TRIM($A455)="","",IF(TRIM($E455)="","Pending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55" s="68" t="str">
        <f>IF(TRIM($A455)="","",IF($J455="Passed","",IF($J455="Passed with Known Issue","Known Issue",IF($J455="",IF(OR($H455&lt;&gt;"No",AND($F455&lt;&gt;"Medium",$F455&lt;&gt;"Low")),"Pending Result",""),IF(OR($H455&lt;&gt;"No",AND($F455&lt;&gt;"Medium",$F455&lt;&gt;"Low")),IF(COUNTIFS(Dashboard!$B$105:$B$124,$A455,Dashboard!$I$105:$I$124,"CAB")&gt;0,"Accepted (CF)","Blocking"),IF($J455="Failed","Deferrable","Carry Over"))))))</f>
        <v/>
      </c>
      <c r="M455" s="68" t="str">
        <f>IF(OR(TRIM($A455)="",TRIM($E455)=""),"",IFERROR(INDEX('E2E core flow'!$B$15:$B$1000,MATCH(1,INDEX(('E2E core flow'!$A$15:$A$1000&lt;&gt;"")*ISNUMBER(SEARCH('E2E core flow'!$A$15:$A$1000,$E455)),0),0))&amp;"","-"))</f>
        <v/>
      </c>
      <c r="N455" s="68" t="str">
        <f>IF(TRIM($A455)="","",IF($O455=0,IF(COUNTIFS('Card Test Cases'!$B$4:$B$1000,$A455,'Card Test Cases'!$A$4:$A$1000,"&lt;&gt;")&gt;0,"Out of Scope","No TC"),IF($Q455&gt;0,"Failed",IF(COUNTIFS('Card Test Cases'!$B$4:$B$1000,$A455,'Card Test Cases'!$A$4:$A$1000,"&lt;&gt;",'Card Test Cases'!$F$4:$F$1000,"Blocked")&gt;0,"Blocked",IF($R455&gt;0,"In Progress","Passed")))))</f>
        <v/>
      </c>
      <c r="O455" s="68" t="str">
        <f>IF(TRIM($A455)="","",COUNTIFS('Card Test Cases'!$B$4:$B$1000,$A455,'Card Test Cases'!$A$4:$A$1000,"&lt;&gt;",'Card Test Cases'!$F$4:$F$1000,"&lt;&gt;Out of Scope"))</f>
        <v/>
      </c>
      <c r="P455" s="68" t="str">
        <f>IF(TRIM($A455)="","",COUNTIFS('Card Test Cases'!$B$4:$B$1000,$A455,'Card Test Cases'!$A$4:$A$1000,"&lt;&gt;",'Card Test Cases'!$F$4:$F$1000,"Passed"))</f>
        <v/>
      </c>
      <c r="Q455" s="68" t="str">
        <f>IF(TRIM($A455)="","",COUNTIFS('Card Test Cases'!$B$4:$B$1000,$A455,'Card Test Cases'!$A$4:$A$1000,"&lt;&gt;",'Card Test Cases'!$F$4:$F$1000,"Failed"))</f>
        <v/>
      </c>
      <c r="R455" s="68" t="str">
        <f t="shared" si="7"/>
        <v/>
      </c>
      <c r="S455" s="68" t="str" cm="1">
        <f t="array" ref="S455">IF(TRIM($A455)="","",IFERROR(_xlfn.TEXTJOIN(", ",TRUE,_xlfn.UNIQUE(_xlfn.VSTACK(_xlfn._xlws.FILTER('Card Test Cases'!$G$4:$G$1000,('Card Test Cases'!$B$4:$B$1000=$A455)*('Card Test Cases'!$G$4:$G$1000&lt;&gt;""),""),_xlfn._xlws.FILTER('E2E core flow'!$U$15:$U$1000,('E2E core flow'!$A$15:$A$1000&lt;&gt;"")*ISNUMBER(SEARCH('E2E core flow'!$A$15:$A$1000,$E455))*('E2E core flow'!$U$15:$U$1000&lt;&gt;""),"")))),"-"))</f>
        <v/>
      </c>
    </row>
    <row r="456" spans="7:19" x14ac:dyDescent="0.3">
      <c r="G456" s="68" t="str" cm="1">
        <f t="array" ref="G456">_xlfn.LET(_xlpm.ids,'E2E core flow'!$A$15:$A$1000,_xlpm.v,'E2E core flow'!$W$15:$W$1000,_xlpm.m,(_xlpm.ids&lt;&gt;"")*ISNUMBER(SEARCH(_xlpm.ids,$E456)),_xlpm.f,SUM(_xlpm.m*(_xlpm.v="Failed")),_xlpm.b,SUM(_xlpm.m*(_xlpm.v="Blocked")),_xlpm.nr,SUM(_xlpm.m*(_xlpm.v="Not Run")),_xlpm.cp,SUM(_xlpm.m*(_xlpm.v="Conditionally Passed")),_xlpm.p,SUM(_xlpm.m*(_xlpm.v="Passed")),IF(TRIM($A456)="","",IF(TRIM($E456)="","Pending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56" s="68" t="str">
        <f>IF(TRIM($A456)="","",IF($J456="Passed","",IF($J456="Passed with Known Issue","Known Issue",IF($J456="",IF(OR($H456&lt;&gt;"No",AND($F456&lt;&gt;"Medium",$F456&lt;&gt;"Low")),"Pending Result",""),IF(OR($H456&lt;&gt;"No",AND($F456&lt;&gt;"Medium",$F456&lt;&gt;"Low")),IF(COUNTIFS(Dashboard!$B$105:$B$124,$A456,Dashboard!$I$105:$I$124,"CAB")&gt;0,"Accepted (CF)","Blocking"),IF($J456="Failed","Deferrable","Carry Over"))))))</f>
        <v/>
      </c>
      <c r="M456" s="68" t="str">
        <f>IF(OR(TRIM($A456)="",TRIM($E456)=""),"",IFERROR(INDEX('E2E core flow'!$B$15:$B$1000,MATCH(1,INDEX(('E2E core flow'!$A$15:$A$1000&lt;&gt;"")*ISNUMBER(SEARCH('E2E core flow'!$A$15:$A$1000,$E456)),0),0))&amp;"","-"))</f>
        <v/>
      </c>
      <c r="N456" s="68" t="str">
        <f>IF(TRIM($A456)="","",IF($O456=0,IF(COUNTIFS('Card Test Cases'!$B$4:$B$1000,$A456,'Card Test Cases'!$A$4:$A$1000,"&lt;&gt;")&gt;0,"Out of Scope","No TC"),IF($Q456&gt;0,"Failed",IF(COUNTIFS('Card Test Cases'!$B$4:$B$1000,$A456,'Card Test Cases'!$A$4:$A$1000,"&lt;&gt;",'Card Test Cases'!$F$4:$F$1000,"Blocked")&gt;0,"Blocked",IF($R456&gt;0,"In Progress","Passed")))))</f>
        <v/>
      </c>
      <c r="O456" s="68" t="str">
        <f>IF(TRIM($A456)="","",COUNTIFS('Card Test Cases'!$B$4:$B$1000,$A456,'Card Test Cases'!$A$4:$A$1000,"&lt;&gt;",'Card Test Cases'!$F$4:$F$1000,"&lt;&gt;Out of Scope"))</f>
        <v/>
      </c>
      <c r="P456" s="68" t="str">
        <f>IF(TRIM($A456)="","",COUNTIFS('Card Test Cases'!$B$4:$B$1000,$A456,'Card Test Cases'!$A$4:$A$1000,"&lt;&gt;",'Card Test Cases'!$F$4:$F$1000,"Passed"))</f>
        <v/>
      </c>
      <c r="Q456" s="68" t="str">
        <f>IF(TRIM($A456)="","",COUNTIFS('Card Test Cases'!$B$4:$B$1000,$A456,'Card Test Cases'!$A$4:$A$1000,"&lt;&gt;",'Card Test Cases'!$F$4:$F$1000,"Failed"))</f>
        <v/>
      </c>
      <c r="R456" s="68" t="str">
        <f t="shared" si="7"/>
        <v/>
      </c>
      <c r="S456" s="68" t="str" cm="1">
        <f t="array" ref="S456">IF(TRIM($A456)="","",IFERROR(_xlfn.TEXTJOIN(", ",TRUE,_xlfn.UNIQUE(_xlfn.VSTACK(_xlfn._xlws.FILTER('Card Test Cases'!$G$4:$G$1000,('Card Test Cases'!$B$4:$B$1000=$A456)*('Card Test Cases'!$G$4:$G$1000&lt;&gt;""),""),_xlfn._xlws.FILTER('E2E core flow'!$U$15:$U$1000,('E2E core flow'!$A$15:$A$1000&lt;&gt;"")*ISNUMBER(SEARCH('E2E core flow'!$A$15:$A$1000,$E456))*('E2E core flow'!$U$15:$U$1000&lt;&gt;""),"")))),"-"))</f>
        <v/>
      </c>
    </row>
    <row r="457" spans="7:19" x14ac:dyDescent="0.3">
      <c r="G457" s="68" t="str" cm="1">
        <f t="array" ref="G457">_xlfn.LET(_xlpm.ids,'E2E core flow'!$A$15:$A$1000,_xlpm.v,'E2E core flow'!$W$15:$W$1000,_xlpm.m,(_xlpm.ids&lt;&gt;"")*ISNUMBER(SEARCH(_xlpm.ids,$E457)),_xlpm.f,SUM(_xlpm.m*(_xlpm.v="Failed")),_xlpm.b,SUM(_xlpm.m*(_xlpm.v="Blocked")),_xlpm.nr,SUM(_xlpm.m*(_xlpm.v="Not Run")),_xlpm.cp,SUM(_xlpm.m*(_xlpm.v="Conditionally Passed")),_xlpm.p,SUM(_xlpm.m*(_xlpm.v="Passed")),IF(TRIM($A457)="","",IF(TRIM($E457)="","Pending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57" s="68" t="str">
        <f>IF(TRIM($A457)="","",IF($J457="Passed","",IF($J457="Passed with Known Issue","Known Issue",IF($J457="",IF(OR($H457&lt;&gt;"No",AND($F457&lt;&gt;"Medium",$F457&lt;&gt;"Low")),"Pending Result",""),IF(OR($H457&lt;&gt;"No",AND($F457&lt;&gt;"Medium",$F457&lt;&gt;"Low")),IF(COUNTIFS(Dashboard!$B$105:$B$124,$A457,Dashboard!$I$105:$I$124,"CAB")&gt;0,"Accepted (CF)","Blocking"),IF($J457="Failed","Deferrable","Carry Over"))))))</f>
        <v/>
      </c>
      <c r="M457" s="68" t="str">
        <f>IF(OR(TRIM($A457)="",TRIM($E457)=""),"",IFERROR(INDEX('E2E core flow'!$B$15:$B$1000,MATCH(1,INDEX(('E2E core flow'!$A$15:$A$1000&lt;&gt;"")*ISNUMBER(SEARCH('E2E core flow'!$A$15:$A$1000,$E457)),0),0))&amp;"","-"))</f>
        <v/>
      </c>
      <c r="N457" s="68" t="str">
        <f>IF(TRIM($A457)="","",IF($O457=0,IF(COUNTIFS('Card Test Cases'!$B$4:$B$1000,$A457,'Card Test Cases'!$A$4:$A$1000,"&lt;&gt;")&gt;0,"Out of Scope","No TC"),IF($Q457&gt;0,"Failed",IF(COUNTIFS('Card Test Cases'!$B$4:$B$1000,$A457,'Card Test Cases'!$A$4:$A$1000,"&lt;&gt;",'Card Test Cases'!$F$4:$F$1000,"Blocked")&gt;0,"Blocked",IF($R457&gt;0,"In Progress","Passed")))))</f>
        <v/>
      </c>
      <c r="O457" s="68" t="str">
        <f>IF(TRIM($A457)="","",COUNTIFS('Card Test Cases'!$B$4:$B$1000,$A457,'Card Test Cases'!$A$4:$A$1000,"&lt;&gt;",'Card Test Cases'!$F$4:$F$1000,"&lt;&gt;Out of Scope"))</f>
        <v/>
      </c>
      <c r="P457" s="68" t="str">
        <f>IF(TRIM($A457)="","",COUNTIFS('Card Test Cases'!$B$4:$B$1000,$A457,'Card Test Cases'!$A$4:$A$1000,"&lt;&gt;",'Card Test Cases'!$F$4:$F$1000,"Passed"))</f>
        <v/>
      </c>
      <c r="Q457" s="68" t="str">
        <f>IF(TRIM($A457)="","",COUNTIFS('Card Test Cases'!$B$4:$B$1000,$A457,'Card Test Cases'!$A$4:$A$1000,"&lt;&gt;",'Card Test Cases'!$F$4:$F$1000,"Failed"))</f>
        <v/>
      </c>
      <c r="R457" s="68" t="str">
        <f t="shared" si="7"/>
        <v/>
      </c>
      <c r="S457" s="68" t="str" cm="1">
        <f t="array" ref="S457">IF(TRIM($A457)="","",IFERROR(_xlfn.TEXTJOIN(", ",TRUE,_xlfn.UNIQUE(_xlfn.VSTACK(_xlfn._xlws.FILTER('Card Test Cases'!$G$4:$G$1000,('Card Test Cases'!$B$4:$B$1000=$A457)*('Card Test Cases'!$G$4:$G$1000&lt;&gt;""),""),_xlfn._xlws.FILTER('E2E core flow'!$U$15:$U$1000,('E2E core flow'!$A$15:$A$1000&lt;&gt;"")*ISNUMBER(SEARCH('E2E core flow'!$A$15:$A$1000,$E457))*('E2E core flow'!$U$15:$U$1000&lt;&gt;""),"")))),"-"))</f>
        <v/>
      </c>
    </row>
    <row r="458" spans="7:19" x14ac:dyDescent="0.3">
      <c r="G458" s="68" t="str" cm="1">
        <f t="array" ref="G458">_xlfn.LET(_xlpm.ids,'E2E core flow'!$A$15:$A$1000,_xlpm.v,'E2E core flow'!$W$15:$W$1000,_xlpm.m,(_xlpm.ids&lt;&gt;"")*ISNUMBER(SEARCH(_xlpm.ids,$E458)),_xlpm.f,SUM(_xlpm.m*(_xlpm.v="Failed")),_xlpm.b,SUM(_xlpm.m*(_xlpm.v="Blocked")),_xlpm.nr,SUM(_xlpm.m*(_xlpm.v="Not Run")),_xlpm.cp,SUM(_xlpm.m*(_xlpm.v="Conditionally Passed")),_xlpm.p,SUM(_xlpm.m*(_xlpm.v="Passed")),IF(TRIM($A458)="","",IF(TRIM($E458)="","Pending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58" s="68" t="str">
        <f>IF(TRIM($A458)="","",IF($J458="Passed","",IF($J458="Passed with Known Issue","Known Issue",IF($J458="",IF(OR($H458&lt;&gt;"No",AND($F458&lt;&gt;"Medium",$F458&lt;&gt;"Low")),"Pending Result",""),IF(OR($H458&lt;&gt;"No",AND($F458&lt;&gt;"Medium",$F458&lt;&gt;"Low")),IF(COUNTIFS(Dashboard!$B$105:$B$124,$A458,Dashboard!$I$105:$I$124,"CAB")&gt;0,"Accepted (CF)","Blocking"),IF($J458="Failed","Deferrable","Carry Over"))))))</f>
        <v/>
      </c>
      <c r="M458" s="68" t="str">
        <f>IF(OR(TRIM($A458)="",TRIM($E458)=""),"",IFERROR(INDEX('E2E core flow'!$B$15:$B$1000,MATCH(1,INDEX(('E2E core flow'!$A$15:$A$1000&lt;&gt;"")*ISNUMBER(SEARCH('E2E core flow'!$A$15:$A$1000,$E458)),0),0))&amp;"","-"))</f>
        <v/>
      </c>
      <c r="N458" s="68" t="str">
        <f>IF(TRIM($A458)="","",IF($O458=0,IF(COUNTIFS('Card Test Cases'!$B$4:$B$1000,$A458,'Card Test Cases'!$A$4:$A$1000,"&lt;&gt;")&gt;0,"Out of Scope","No TC"),IF($Q458&gt;0,"Failed",IF(COUNTIFS('Card Test Cases'!$B$4:$B$1000,$A458,'Card Test Cases'!$A$4:$A$1000,"&lt;&gt;",'Card Test Cases'!$F$4:$F$1000,"Blocked")&gt;0,"Blocked",IF($R458&gt;0,"In Progress","Passed")))))</f>
        <v/>
      </c>
      <c r="O458" s="68" t="str">
        <f>IF(TRIM($A458)="","",COUNTIFS('Card Test Cases'!$B$4:$B$1000,$A458,'Card Test Cases'!$A$4:$A$1000,"&lt;&gt;",'Card Test Cases'!$F$4:$F$1000,"&lt;&gt;Out of Scope"))</f>
        <v/>
      </c>
      <c r="P458" s="68" t="str">
        <f>IF(TRIM($A458)="","",COUNTIFS('Card Test Cases'!$B$4:$B$1000,$A458,'Card Test Cases'!$A$4:$A$1000,"&lt;&gt;",'Card Test Cases'!$F$4:$F$1000,"Passed"))</f>
        <v/>
      </c>
      <c r="Q458" s="68" t="str">
        <f>IF(TRIM($A458)="","",COUNTIFS('Card Test Cases'!$B$4:$B$1000,$A458,'Card Test Cases'!$A$4:$A$1000,"&lt;&gt;",'Card Test Cases'!$F$4:$F$1000,"Failed"))</f>
        <v/>
      </c>
      <c r="R458" s="68" t="str">
        <f t="shared" si="7"/>
        <v/>
      </c>
      <c r="S458" s="68" t="str" cm="1">
        <f t="array" ref="S458">IF(TRIM($A458)="","",IFERROR(_xlfn.TEXTJOIN(", ",TRUE,_xlfn.UNIQUE(_xlfn.VSTACK(_xlfn._xlws.FILTER('Card Test Cases'!$G$4:$G$1000,('Card Test Cases'!$B$4:$B$1000=$A458)*('Card Test Cases'!$G$4:$G$1000&lt;&gt;""),""),_xlfn._xlws.FILTER('E2E core flow'!$U$15:$U$1000,('E2E core flow'!$A$15:$A$1000&lt;&gt;"")*ISNUMBER(SEARCH('E2E core flow'!$A$15:$A$1000,$E458))*('E2E core flow'!$U$15:$U$1000&lt;&gt;""),"")))),"-"))</f>
        <v/>
      </c>
    </row>
    <row r="459" spans="7:19" x14ac:dyDescent="0.3">
      <c r="G459" s="68" t="str" cm="1">
        <f t="array" ref="G459">_xlfn.LET(_xlpm.ids,'E2E core flow'!$A$15:$A$1000,_xlpm.v,'E2E core flow'!$W$15:$W$1000,_xlpm.m,(_xlpm.ids&lt;&gt;"")*ISNUMBER(SEARCH(_xlpm.ids,$E459)),_xlpm.f,SUM(_xlpm.m*(_xlpm.v="Failed")),_xlpm.b,SUM(_xlpm.m*(_xlpm.v="Blocked")),_xlpm.nr,SUM(_xlpm.m*(_xlpm.v="Not Run")),_xlpm.cp,SUM(_xlpm.m*(_xlpm.v="Conditionally Passed")),_xlpm.p,SUM(_xlpm.m*(_xlpm.v="Passed")),IF(TRIM($A459)="","",IF(TRIM($E459)="","Pending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59" s="68" t="str">
        <f>IF(TRIM($A459)="","",IF($J459="Passed","",IF($J459="Passed with Known Issue","Known Issue",IF($J459="",IF(OR($H459&lt;&gt;"No",AND($F459&lt;&gt;"Medium",$F459&lt;&gt;"Low")),"Pending Result",""),IF(OR($H459&lt;&gt;"No",AND($F459&lt;&gt;"Medium",$F459&lt;&gt;"Low")),IF(COUNTIFS(Dashboard!$B$105:$B$124,$A459,Dashboard!$I$105:$I$124,"CAB")&gt;0,"Accepted (CF)","Blocking"),IF($J459="Failed","Deferrable","Carry Over"))))))</f>
        <v/>
      </c>
      <c r="M459" s="68" t="str">
        <f>IF(OR(TRIM($A459)="",TRIM($E459)=""),"",IFERROR(INDEX('E2E core flow'!$B$15:$B$1000,MATCH(1,INDEX(('E2E core flow'!$A$15:$A$1000&lt;&gt;"")*ISNUMBER(SEARCH('E2E core flow'!$A$15:$A$1000,$E459)),0),0))&amp;"","-"))</f>
        <v/>
      </c>
      <c r="N459" s="68" t="str">
        <f>IF(TRIM($A459)="","",IF($O459=0,IF(COUNTIFS('Card Test Cases'!$B$4:$B$1000,$A459,'Card Test Cases'!$A$4:$A$1000,"&lt;&gt;")&gt;0,"Out of Scope","No TC"),IF($Q459&gt;0,"Failed",IF(COUNTIFS('Card Test Cases'!$B$4:$B$1000,$A459,'Card Test Cases'!$A$4:$A$1000,"&lt;&gt;",'Card Test Cases'!$F$4:$F$1000,"Blocked")&gt;0,"Blocked",IF($R459&gt;0,"In Progress","Passed")))))</f>
        <v/>
      </c>
      <c r="O459" s="68" t="str">
        <f>IF(TRIM($A459)="","",COUNTIFS('Card Test Cases'!$B$4:$B$1000,$A459,'Card Test Cases'!$A$4:$A$1000,"&lt;&gt;",'Card Test Cases'!$F$4:$F$1000,"&lt;&gt;Out of Scope"))</f>
        <v/>
      </c>
      <c r="P459" s="68" t="str">
        <f>IF(TRIM($A459)="","",COUNTIFS('Card Test Cases'!$B$4:$B$1000,$A459,'Card Test Cases'!$A$4:$A$1000,"&lt;&gt;",'Card Test Cases'!$F$4:$F$1000,"Passed"))</f>
        <v/>
      </c>
      <c r="Q459" s="68" t="str">
        <f>IF(TRIM($A459)="","",COUNTIFS('Card Test Cases'!$B$4:$B$1000,$A459,'Card Test Cases'!$A$4:$A$1000,"&lt;&gt;",'Card Test Cases'!$F$4:$F$1000,"Failed"))</f>
        <v/>
      </c>
      <c r="R459" s="68" t="str">
        <f t="shared" si="7"/>
        <v/>
      </c>
      <c r="S459" s="68" t="str" cm="1">
        <f t="array" ref="S459">IF(TRIM($A459)="","",IFERROR(_xlfn.TEXTJOIN(", ",TRUE,_xlfn.UNIQUE(_xlfn.VSTACK(_xlfn._xlws.FILTER('Card Test Cases'!$G$4:$G$1000,('Card Test Cases'!$B$4:$B$1000=$A459)*('Card Test Cases'!$G$4:$G$1000&lt;&gt;""),""),_xlfn._xlws.FILTER('E2E core flow'!$U$15:$U$1000,('E2E core flow'!$A$15:$A$1000&lt;&gt;"")*ISNUMBER(SEARCH('E2E core flow'!$A$15:$A$1000,$E459))*('E2E core flow'!$U$15:$U$1000&lt;&gt;""),"")))),"-"))</f>
        <v/>
      </c>
    </row>
    <row r="460" spans="7:19" x14ac:dyDescent="0.3">
      <c r="G460" s="68" t="str" cm="1">
        <f t="array" ref="G460">_xlfn.LET(_xlpm.ids,'E2E core flow'!$A$15:$A$1000,_xlpm.v,'E2E core flow'!$W$15:$W$1000,_xlpm.m,(_xlpm.ids&lt;&gt;"")*ISNUMBER(SEARCH(_xlpm.ids,$E460)),_xlpm.f,SUM(_xlpm.m*(_xlpm.v="Failed")),_xlpm.b,SUM(_xlpm.m*(_xlpm.v="Blocked")),_xlpm.nr,SUM(_xlpm.m*(_xlpm.v="Not Run")),_xlpm.cp,SUM(_xlpm.m*(_xlpm.v="Conditionally Passed")),_xlpm.p,SUM(_xlpm.m*(_xlpm.v="Passed")),IF(TRIM($A460)="","",IF(TRIM($E460)="","Pending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60" s="68" t="str">
        <f>IF(TRIM($A460)="","",IF($J460="Passed","",IF($J460="Passed with Known Issue","Known Issue",IF($J460="",IF(OR($H460&lt;&gt;"No",AND($F460&lt;&gt;"Medium",$F460&lt;&gt;"Low")),"Pending Result",""),IF(OR($H460&lt;&gt;"No",AND($F460&lt;&gt;"Medium",$F460&lt;&gt;"Low")),IF(COUNTIFS(Dashboard!$B$105:$B$124,$A460,Dashboard!$I$105:$I$124,"CAB")&gt;0,"Accepted (CF)","Blocking"),IF($J460="Failed","Deferrable","Carry Over"))))))</f>
        <v/>
      </c>
      <c r="M460" s="68" t="str">
        <f>IF(OR(TRIM($A460)="",TRIM($E460)=""),"",IFERROR(INDEX('E2E core flow'!$B$15:$B$1000,MATCH(1,INDEX(('E2E core flow'!$A$15:$A$1000&lt;&gt;"")*ISNUMBER(SEARCH('E2E core flow'!$A$15:$A$1000,$E460)),0),0))&amp;"","-"))</f>
        <v/>
      </c>
      <c r="N460" s="68" t="str">
        <f>IF(TRIM($A460)="","",IF($O460=0,IF(COUNTIFS('Card Test Cases'!$B$4:$B$1000,$A460,'Card Test Cases'!$A$4:$A$1000,"&lt;&gt;")&gt;0,"Out of Scope","No TC"),IF($Q460&gt;0,"Failed",IF(COUNTIFS('Card Test Cases'!$B$4:$B$1000,$A460,'Card Test Cases'!$A$4:$A$1000,"&lt;&gt;",'Card Test Cases'!$F$4:$F$1000,"Blocked")&gt;0,"Blocked",IF($R460&gt;0,"In Progress","Passed")))))</f>
        <v/>
      </c>
      <c r="O460" s="68" t="str">
        <f>IF(TRIM($A460)="","",COUNTIFS('Card Test Cases'!$B$4:$B$1000,$A460,'Card Test Cases'!$A$4:$A$1000,"&lt;&gt;",'Card Test Cases'!$F$4:$F$1000,"&lt;&gt;Out of Scope"))</f>
        <v/>
      </c>
      <c r="P460" s="68" t="str">
        <f>IF(TRIM($A460)="","",COUNTIFS('Card Test Cases'!$B$4:$B$1000,$A460,'Card Test Cases'!$A$4:$A$1000,"&lt;&gt;",'Card Test Cases'!$F$4:$F$1000,"Passed"))</f>
        <v/>
      </c>
      <c r="Q460" s="68" t="str">
        <f>IF(TRIM($A460)="","",COUNTIFS('Card Test Cases'!$B$4:$B$1000,$A460,'Card Test Cases'!$A$4:$A$1000,"&lt;&gt;",'Card Test Cases'!$F$4:$F$1000,"Failed"))</f>
        <v/>
      </c>
      <c r="R460" s="68" t="str">
        <f t="shared" si="7"/>
        <v/>
      </c>
      <c r="S460" s="68" t="str" cm="1">
        <f t="array" ref="S460">IF(TRIM($A460)="","",IFERROR(_xlfn.TEXTJOIN(", ",TRUE,_xlfn.UNIQUE(_xlfn.VSTACK(_xlfn._xlws.FILTER('Card Test Cases'!$G$4:$G$1000,('Card Test Cases'!$B$4:$B$1000=$A460)*('Card Test Cases'!$G$4:$G$1000&lt;&gt;""),""),_xlfn._xlws.FILTER('E2E core flow'!$U$15:$U$1000,('E2E core flow'!$A$15:$A$1000&lt;&gt;"")*ISNUMBER(SEARCH('E2E core flow'!$A$15:$A$1000,$E460))*('E2E core flow'!$U$15:$U$1000&lt;&gt;""),"")))),"-"))</f>
        <v/>
      </c>
    </row>
    <row r="461" spans="7:19" x14ac:dyDescent="0.3">
      <c r="G461" s="68" t="str" cm="1">
        <f t="array" ref="G461">_xlfn.LET(_xlpm.ids,'E2E core flow'!$A$15:$A$1000,_xlpm.v,'E2E core flow'!$W$15:$W$1000,_xlpm.m,(_xlpm.ids&lt;&gt;"")*ISNUMBER(SEARCH(_xlpm.ids,$E461)),_xlpm.f,SUM(_xlpm.m*(_xlpm.v="Failed")),_xlpm.b,SUM(_xlpm.m*(_xlpm.v="Blocked")),_xlpm.nr,SUM(_xlpm.m*(_xlpm.v="Not Run")),_xlpm.cp,SUM(_xlpm.m*(_xlpm.v="Conditionally Passed")),_xlpm.p,SUM(_xlpm.m*(_xlpm.v="Passed")),IF(TRIM($A461)="","",IF(TRIM($E461)="","Pending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61" s="68" t="str">
        <f>IF(TRIM($A461)="","",IF($J461="Passed","",IF($J461="Passed with Known Issue","Known Issue",IF($J461="",IF(OR($H461&lt;&gt;"No",AND($F461&lt;&gt;"Medium",$F461&lt;&gt;"Low")),"Pending Result",""),IF(OR($H461&lt;&gt;"No",AND($F461&lt;&gt;"Medium",$F461&lt;&gt;"Low")),IF(COUNTIFS(Dashboard!$B$105:$B$124,$A461,Dashboard!$I$105:$I$124,"CAB")&gt;0,"Accepted (CF)","Blocking"),IF($J461="Failed","Deferrable","Carry Over"))))))</f>
        <v/>
      </c>
      <c r="M461" s="68" t="str">
        <f>IF(OR(TRIM($A461)="",TRIM($E461)=""),"",IFERROR(INDEX('E2E core flow'!$B$15:$B$1000,MATCH(1,INDEX(('E2E core flow'!$A$15:$A$1000&lt;&gt;"")*ISNUMBER(SEARCH('E2E core flow'!$A$15:$A$1000,$E461)),0),0))&amp;"","-"))</f>
        <v/>
      </c>
      <c r="N461" s="68" t="str">
        <f>IF(TRIM($A461)="","",IF($O461=0,IF(COUNTIFS('Card Test Cases'!$B$4:$B$1000,$A461,'Card Test Cases'!$A$4:$A$1000,"&lt;&gt;")&gt;0,"Out of Scope","No TC"),IF($Q461&gt;0,"Failed",IF(COUNTIFS('Card Test Cases'!$B$4:$B$1000,$A461,'Card Test Cases'!$A$4:$A$1000,"&lt;&gt;",'Card Test Cases'!$F$4:$F$1000,"Blocked")&gt;0,"Blocked",IF($R461&gt;0,"In Progress","Passed")))))</f>
        <v/>
      </c>
      <c r="O461" s="68" t="str">
        <f>IF(TRIM($A461)="","",COUNTIFS('Card Test Cases'!$B$4:$B$1000,$A461,'Card Test Cases'!$A$4:$A$1000,"&lt;&gt;",'Card Test Cases'!$F$4:$F$1000,"&lt;&gt;Out of Scope"))</f>
        <v/>
      </c>
      <c r="P461" s="68" t="str">
        <f>IF(TRIM($A461)="","",COUNTIFS('Card Test Cases'!$B$4:$B$1000,$A461,'Card Test Cases'!$A$4:$A$1000,"&lt;&gt;",'Card Test Cases'!$F$4:$F$1000,"Passed"))</f>
        <v/>
      </c>
      <c r="Q461" s="68" t="str">
        <f>IF(TRIM($A461)="","",COUNTIFS('Card Test Cases'!$B$4:$B$1000,$A461,'Card Test Cases'!$A$4:$A$1000,"&lt;&gt;",'Card Test Cases'!$F$4:$F$1000,"Failed"))</f>
        <v/>
      </c>
      <c r="R461" s="68" t="str">
        <f t="shared" si="7"/>
        <v/>
      </c>
      <c r="S461" s="68" t="str" cm="1">
        <f t="array" ref="S461">IF(TRIM($A461)="","",IFERROR(_xlfn.TEXTJOIN(", ",TRUE,_xlfn.UNIQUE(_xlfn.VSTACK(_xlfn._xlws.FILTER('Card Test Cases'!$G$4:$G$1000,('Card Test Cases'!$B$4:$B$1000=$A461)*('Card Test Cases'!$G$4:$G$1000&lt;&gt;""),""),_xlfn._xlws.FILTER('E2E core flow'!$U$15:$U$1000,('E2E core flow'!$A$15:$A$1000&lt;&gt;"")*ISNUMBER(SEARCH('E2E core flow'!$A$15:$A$1000,$E461))*('E2E core flow'!$U$15:$U$1000&lt;&gt;""),"")))),"-"))</f>
        <v/>
      </c>
    </row>
    <row r="462" spans="7:19" x14ac:dyDescent="0.3">
      <c r="G462" s="68" t="str" cm="1">
        <f t="array" ref="G462">_xlfn.LET(_xlpm.ids,'E2E core flow'!$A$15:$A$1000,_xlpm.v,'E2E core flow'!$W$15:$W$1000,_xlpm.m,(_xlpm.ids&lt;&gt;"")*ISNUMBER(SEARCH(_xlpm.ids,$E462)),_xlpm.f,SUM(_xlpm.m*(_xlpm.v="Failed")),_xlpm.b,SUM(_xlpm.m*(_xlpm.v="Blocked")),_xlpm.nr,SUM(_xlpm.m*(_xlpm.v="Not Run")),_xlpm.cp,SUM(_xlpm.m*(_xlpm.v="Conditionally Passed")),_xlpm.p,SUM(_xlpm.m*(_xlpm.v="Passed")),IF(TRIM($A462)="","",IF(TRIM($E462)="","Pending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62" s="68" t="str">
        <f>IF(TRIM($A462)="","",IF($J462="Passed","",IF($J462="Passed with Known Issue","Known Issue",IF($J462="",IF(OR($H462&lt;&gt;"No",AND($F462&lt;&gt;"Medium",$F462&lt;&gt;"Low")),"Pending Result",""),IF(OR($H462&lt;&gt;"No",AND($F462&lt;&gt;"Medium",$F462&lt;&gt;"Low")),IF(COUNTIFS(Dashboard!$B$105:$B$124,$A462,Dashboard!$I$105:$I$124,"CAB")&gt;0,"Accepted (CF)","Blocking"),IF($J462="Failed","Deferrable","Carry Over"))))))</f>
        <v/>
      </c>
      <c r="M462" s="68" t="str">
        <f>IF(OR(TRIM($A462)="",TRIM($E462)=""),"",IFERROR(INDEX('E2E core flow'!$B$15:$B$1000,MATCH(1,INDEX(('E2E core flow'!$A$15:$A$1000&lt;&gt;"")*ISNUMBER(SEARCH('E2E core flow'!$A$15:$A$1000,$E462)),0),0))&amp;"","-"))</f>
        <v/>
      </c>
      <c r="N462" s="68" t="str">
        <f>IF(TRIM($A462)="","",IF($O462=0,IF(COUNTIFS('Card Test Cases'!$B$4:$B$1000,$A462,'Card Test Cases'!$A$4:$A$1000,"&lt;&gt;")&gt;0,"Out of Scope","No TC"),IF($Q462&gt;0,"Failed",IF(COUNTIFS('Card Test Cases'!$B$4:$B$1000,$A462,'Card Test Cases'!$A$4:$A$1000,"&lt;&gt;",'Card Test Cases'!$F$4:$F$1000,"Blocked")&gt;0,"Blocked",IF($R462&gt;0,"In Progress","Passed")))))</f>
        <v/>
      </c>
      <c r="O462" s="68" t="str">
        <f>IF(TRIM($A462)="","",COUNTIFS('Card Test Cases'!$B$4:$B$1000,$A462,'Card Test Cases'!$A$4:$A$1000,"&lt;&gt;",'Card Test Cases'!$F$4:$F$1000,"&lt;&gt;Out of Scope"))</f>
        <v/>
      </c>
      <c r="P462" s="68" t="str">
        <f>IF(TRIM($A462)="","",COUNTIFS('Card Test Cases'!$B$4:$B$1000,$A462,'Card Test Cases'!$A$4:$A$1000,"&lt;&gt;",'Card Test Cases'!$F$4:$F$1000,"Passed"))</f>
        <v/>
      </c>
      <c r="Q462" s="68" t="str">
        <f>IF(TRIM($A462)="","",COUNTIFS('Card Test Cases'!$B$4:$B$1000,$A462,'Card Test Cases'!$A$4:$A$1000,"&lt;&gt;",'Card Test Cases'!$F$4:$F$1000,"Failed"))</f>
        <v/>
      </c>
      <c r="R462" s="68" t="str">
        <f t="shared" si="7"/>
        <v/>
      </c>
      <c r="S462" s="68" t="str" cm="1">
        <f t="array" ref="S462">IF(TRIM($A462)="","",IFERROR(_xlfn.TEXTJOIN(", ",TRUE,_xlfn.UNIQUE(_xlfn.VSTACK(_xlfn._xlws.FILTER('Card Test Cases'!$G$4:$G$1000,('Card Test Cases'!$B$4:$B$1000=$A462)*('Card Test Cases'!$G$4:$G$1000&lt;&gt;""),""),_xlfn._xlws.FILTER('E2E core flow'!$U$15:$U$1000,('E2E core flow'!$A$15:$A$1000&lt;&gt;"")*ISNUMBER(SEARCH('E2E core flow'!$A$15:$A$1000,$E462))*('E2E core flow'!$U$15:$U$1000&lt;&gt;""),"")))),"-"))</f>
        <v/>
      </c>
    </row>
    <row r="463" spans="7:19" x14ac:dyDescent="0.3">
      <c r="G463" s="68" t="str" cm="1">
        <f t="array" ref="G463">_xlfn.LET(_xlpm.ids,'E2E core flow'!$A$15:$A$1000,_xlpm.v,'E2E core flow'!$W$15:$W$1000,_xlpm.m,(_xlpm.ids&lt;&gt;"")*ISNUMBER(SEARCH(_xlpm.ids,$E463)),_xlpm.f,SUM(_xlpm.m*(_xlpm.v="Failed")),_xlpm.b,SUM(_xlpm.m*(_xlpm.v="Blocked")),_xlpm.nr,SUM(_xlpm.m*(_xlpm.v="Not Run")),_xlpm.cp,SUM(_xlpm.m*(_xlpm.v="Conditionally Passed")),_xlpm.p,SUM(_xlpm.m*(_xlpm.v="Passed")),IF(TRIM($A463)="","",IF(TRIM($E463)="","Pending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63" s="68" t="str">
        <f>IF(TRIM($A463)="","",IF($J463="Passed","",IF($J463="Passed with Known Issue","Known Issue",IF($J463="",IF(OR($H463&lt;&gt;"No",AND($F463&lt;&gt;"Medium",$F463&lt;&gt;"Low")),"Pending Result",""),IF(OR($H463&lt;&gt;"No",AND($F463&lt;&gt;"Medium",$F463&lt;&gt;"Low")),IF(COUNTIFS(Dashboard!$B$105:$B$124,$A463,Dashboard!$I$105:$I$124,"CAB")&gt;0,"Accepted (CF)","Blocking"),IF($J463="Failed","Deferrable","Carry Over"))))))</f>
        <v/>
      </c>
      <c r="M463" s="68" t="str">
        <f>IF(OR(TRIM($A463)="",TRIM($E463)=""),"",IFERROR(INDEX('E2E core flow'!$B$15:$B$1000,MATCH(1,INDEX(('E2E core flow'!$A$15:$A$1000&lt;&gt;"")*ISNUMBER(SEARCH('E2E core flow'!$A$15:$A$1000,$E463)),0),0))&amp;"","-"))</f>
        <v/>
      </c>
      <c r="N463" s="68" t="str">
        <f>IF(TRIM($A463)="","",IF($O463=0,IF(COUNTIFS('Card Test Cases'!$B$4:$B$1000,$A463,'Card Test Cases'!$A$4:$A$1000,"&lt;&gt;")&gt;0,"Out of Scope","No TC"),IF($Q463&gt;0,"Failed",IF(COUNTIFS('Card Test Cases'!$B$4:$B$1000,$A463,'Card Test Cases'!$A$4:$A$1000,"&lt;&gt;",'Card Test Cases'!$F$4:$F$1000,"Blocked")&gt;0,"Blocked",IF($R463&gt;0,"In Progress","Passed")))))</f>
        <v/>
      </c>
      <c r="O463" s="68" t="str">
        <f>IF(TRIM($A463)="","",COUNTIFS('Card Test Cases'!$B$4:$B$1000,$A463,'Card Test Cases'!$A$4:$A$1000,"&lt;&gt;",'Card Test Cases'!$F$4:$F$1000,"&lt;&gt;Out of Scope"))</f>
        <v/>
      </c>
      <c r="P463" s="68" t="str">
        <f>IF(TRIM($A463)="","",COUNTIFS('Card Test Cases'!$B$4:$B$1000,$A463,'Card Test Cases'!$A$4:$A$1000,"&lt;&gt;",'Card Test Cases'!$F$4:$F$1000,"Passed"))</f>
        <v/>
      </c>
      <c r="Q463" s="68" t="str">
        <f>IF(TRIM($A463)="","",COUNTIFS('Card Test Cases'!$B$4:$B$1000,$A463,'Card Test Cases'!$A$4:$A$1000,"&lt;&gt;",'Card Test Cases'!$F$4:$F$1000,"Failed"))</f>
        <v/>
      </c>
      <c r="R463" s="68" t="str">
        <f t="shared" si="7"/>
        <v/>
      </c>
      <c r="S463" s="68" t="str" cm="1">
        <f t="array" ref="S463">IF(TRIM($A463)="","",IFERROR(_xlfn.TEXTJOIN(", ",TRUE,_xlfn.UNIQUE(_xlfn.VSTACK(_xlfn._xlws.FILTER('Card Test Cases'!$G$4:$G$1000,('Card Test Cases'!$B$4:$B$1000=$A463)*('Card Test Cases'!$G$4:$G$1000&lt;&gt;""),""),_xlfn._xlws.FILTER('E2E core flow'!$U$15:$U$1000,('E2E core flow'!$A$15:$A$1000&lt;&gt;"")*ISNUMBER(SEARCH('E2E core flow'!$A$15:$A$1000,$E463))*('E2E core flow'!$U$15:$U$1000&lt;&gt;""),"")))),"-"))</f>
        <v/>
      </c>
    </row>
    <row r="464" spans="7:19" x14ac:dyDescent="0.3">
      <c r="G464" s="68" t="str" cm="1">
        <f t="array" ref="G464">_xlfn.LET(_xlpm.ids,'E2E core flow'!$A$15:$A$1000,_xlpm.v,'E2E core flow'!$W$15:$W$1000,_xlpm.m,(_xlpm.ids&lt;&gt;"")*ISNUMBER(SEARCH(_xlpm.ids,$E464)),_xlpm.f,SUM(_xlpm.m*(_xlpm.v="Failed")),_xlpm.b,SUM(_xlpm.m*(_xlpm.v="Blocked")),_xlpm.nr,SUM(_xlpm.m*(_xlpm.v="Not Run")),_xlpm.cp,SUM(_xlpm.m*(_xlpm.v="Conditionally Passed")),_xlpm.p,SUM(_xlpm.m*(_xlpm.v="Passed")),IF(TRIM($A464)="","",IF(TRIM($E464)="","Pending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64" s="68" t="str">
        <f>IF(TRIM($A464)="","",IF($J464="Passed","",IF($J464="Passed with Known Issue","Known Issue",IF($J464="",IF(OR($H464&lt;&gt;"No",AND($F464&lt;&gt;"Medium",$F464&lt;&gt;"Low")),"Pending Result",""),IF(OR($H464&lt;&gt;"No",AND($F464&lt;&gt;"Medium",$F464&lt;&gt;"Low")),IF(COUNTIFS(Dashboard!$B$105:$B$124,$A464,Dashboard!$I$105:$I$124,"CAB")&gt;0,"Accepted (CF)","Blocking"),IF($J464="Failed","Deferrable","Carry Over"))))))</f>
        <v/>
      </c>
      <c r="M464" s="68" t="str">
        <f>IF(OR(TRIM($A464)="",TRIM($E464)=""),"",IFERROR(INDEX('E2E core flow'!$B$15:$B$1000,MATCH(1,INDEX(('E2E core flow'!$A$15:$A$1000&lt;&gt;"")*ISNUMBER(SEARCH('E2E core flow'!$A$15:$A$1000,$E464)),0),0))&amp;"","-"))</f>
        <v/>
      </c>
      <c r="N464" s="68" t="str">
        <f>IF(TRIM($A464)="","",IF($O464=0,IF(COUNTIFS('Card Test Cases'!$B$4:$B$1000,$A464,'Card Test Cases'!$A$4:$A$1000,"&lt;&gt;")&gt;0,"Out of Scope","No TC"),IF($Q464&gt;0,"Failed",IF(COUNTIFS('Card Test Cases'!$B$4:$B$1000,$A464,'Card Test Cases'!$A$4:$A$1000,"&lt;&gt;",'Card Test Cases'!$F$4:$F$1000,"Blocked")&gt;0,"Blocked",IF($R464&gt;0,"In Progress","Passed")))))</f>
        <v/>
      </c>
      <c r="O464" s="68" t="str">
        <f>IF(TRIM($A464)="","",COUNTIFS('Card Test Cases'!$B$4:$B$1000,$A464,'Card Test Cases'!$A$4:$A$1000,"&lt;&gt;",'Card Test Cases'!$F$4:$F$1000,"&lt;&gt;Out of Scope"))</f>
        <v/>
      </c>
      <c r="P464" s="68" t="str">
        <f>IF(TRIM($A464)="","",COUNTIFS('Card Test Cases'!$B$4:$B$1000,$A464,'Card Test Cases'!$A$4:$A$1000,"&lt;&gt;",'Card Test Cases'!$F$4:$F$1000,"Passed"))</f>
        <v/>
      </c>
      <c r="Q464" s="68" t="str">
        <f>IF(TRIM($A464)="","",COUNTIFS('Card Test Cases'!$B$4:$B$1000,$A464,'Card Test Cases'!$A$4:$A$1000,"&lt;&gt;",'Card Test Cases'!$F$4:$F$1000,"Failed"))</f>
        <v/>
      </c>
      <c r="R464" s="68" t="str">
        <f t="shared" si="7"/>
        <v/>
      </c>
      <c r="S464" s="68" t="str" cm="1">
        <f t="array" ref="S464">IF(TRIM($A464)="","",IFERROR(_xlfn.TEXTJOIN(", ",TRUE,_xlfn.UNIQUE(_xlfn.VSTACK(_xlfn._xlws.FILTER('Card Test Cases'!$G$4:$G$1000,('Card Test Cases'!$B$4:$B$1000=$A464)*('Card Test Cases'!$G$4:$G$1000&lt;&gt;""),""),_xlfn._xlws.FILTER('E2E core flow'!$U$15:$U$1000,('E2E core flow'!$A$15:$A$1000&lt;&gt;"")*ISNUMBER(SEARCH('E2E core flow'!$A$15:$A$1000,$E464))*('E2E core flow'!$U$15:$U$1000&lt;&gt;""),"")))),"-"))</f>
        <v/>
      </c>
    </row>
    <row r="465" spans="7:19" x14ac:dyDescent="0.3">
      <c r="G465" s="68" t="str" cm="1">
        <f t="array" ref="G465">_xlfn.LET(_xlpm.ids,'E2E core flow'!$A$15:$A$1000,_xlpm.v,'E2E core flow'!$W$15:$W$1000,_xlpm.m,(_xlpm.ids&lt;&gt;"")*ISNUMBER(SEARCH(_xlpm.ids,$E465)),_xlpm.f,SUM(_xlpm.m*(_xlpm.v="Failed")),_xlpm.b,SUM(_xlpm.m*(_xlpm.v="Blocked")),_xlpm.nr,SUM(_xlpm.m*(_xlpm.v="Not Run")),_xlpm.cp,SUM(_xlpm.m*(_xlpm.v="Conditionally Passed")),_xlpm.p,SUM(_xlpm.m*(_xlpm.v="Passed")),IF(TRIM($A465)="","",IF(TRIM($E465)="","Pending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65" s="68" t="str">
        <f>IF(TRIM($A465)="","",IF($J465="Passed","",IF($J465="Passed with Known Issue","Known Issue",IF($J465="",IF(OR($H465&lt;&gt;"No",AND($F465&lt;&gt;"Medium",$F465&lt;&gt;"Low")),"Pending Result",""),IF(OR($H465&lt;&gt;"No",AND($F465&lt;&gt;"Medium",$F465&lt;&gt;"Low")),IF(COUNTIFS(Dashboard!$B$105:$B$124,$A465,Dashboard!$I$105:$I$124,"CAB")&gt;0,"Accepted (CF)","Blocking"),IF($J465="Failed","Deferrable","Carry Over"))))))</f>
        <v/>
      </c>
      <c r="M465" s="68" t="str">
        <f>IF(OR(TRIM($A465)="",TRIM($E465)=""),"",IFERROR(INDEX('E2E core flow'!$B$15:$B$1000,MATCH(1,INDEX(('E2E core flow'!$A$15:$A$1000&lt;&gt;"")*ISNUMBER(SEARCH('E2E core flow'!$A$15:$A$1000,$E465)),0),0))&amp;"","-"))</f>
        <v/>
      </c>
      <c r="N465" s="68" t="str">
        <f>IF(TRIM($A465)="","",IF($O465=0,IF(COUNTIFS('Card Test Cases'!$B$4:$B$1000,$A465,'Card Test Cases'!$A$4:$A$1000,"&lt;&gt;")&gt;0,"Out of Scope","No TC"),IF($Q465&gt;0,"Failed",IF(COUNTIFS('Card Test Cases'!$B$4:$B$1000,$A465,'Card Test Cases'!$A$4:$A$1000,"&lt;&gt;",'Card Test Cases'!$F$4:$F$1000,"Blocked")&gt;0,"Blocked",IF($R465&gt;0,"In Progress","Passed")))))</f>
        <v/>
      </c>
      <c r="O465" s="68" t="str">
        <f>IF(TRIM($A465)="","",COUNTIFS('Card Test Cases'!$B$4:$B$1000,$A465,'Card Test Cases'!$A$4:$A$1000,"&lt;&gt;",'Card Test Cases'!$F$4:$F$1000,"&lt;&gt;Out of Scope"))</f>
        <v/>
      </c>
      <c r="P465" s="68" t="str">
        <f>IF(TRIM($A465)="","",COUNTIFS('Card Test Cases'!$B$4:$B$1000,$A465,'Card Test Cases'!$A$4:$A$1000,"&lt;&gt;",'Card Test Cases'!$F$4:$F$1000,"Passed"))</f>
        <v/>
      </c>
      <c r="Q465" s="68" t="str">
        <f>IF(TRIM($A465)="","",COUNTIFS('Card Test Cases'!$B$4:$B$1000,$A465,'Card Test Cases'!$A$4:$A$1000,"&lt;&gt;",'Card Test Cases'!$F$4:$F$1000,"Failed"))</f>
        <v/>
      </c>
      <c r="R465" s="68" t="str">
        <f t="shared" si="7"/>
        <v/>
      </c>
      <c r="S465" s="68" t="str" cm="1">
        <f t="array" ref="S465">IF(TRIM($A465)="","",IFERROR(_xlfn.TEXTJOIN(", ",TRUE,_xlfn.UNIQUE(_xlfn.VSTACK(_xlfn._xlws.FILTER('Card Test Cases'!$G$4:$G$1000,('Card Test Cases'!$B$4:$B$1000=$A465)*('Card Test Cases'!$G$4:$G$1000&lt;&gt;""),""),_xlfn._xlws.FILTER('E2E core flow'!$U$15:$U$1000,('E2E core flow'!$A$15:$A$1000&lt;&gt;"")*ISNUMBER(SEARCH('E2E core flow'!$A$15:$A$1000,$E465))*('E2E core flow'!$U$15:$U$1000&lt;&gt;""),"")))),"-"))</f>
        <v/>
      </c>
    </row>
    <row r="466" spans="7:19" x14ac:dyDescent="0.3">
      <c r="G466" s="68" t="str" cm="1">
        <f t="array" ref="G466">_xlfn.LET(_xlpm.ids,'E2E core flow'!$A$15:$A$1000,_xlpm.v,'E2E core flow'!$W$15:$W$1000,_xlpm.m,(_xlpm.ids&lt;&gt;"")*ISNUMBER(SEARCH(_xlpm.ids,$E466)),_xlpm.f,SUM(_xlpm.m*(_xlpm.v="Failed")),_xlpm.b,SUM(_xlpm.m*(_xlpm.v="Blocked")),_xlpm.nr,SUM(_xlpm.m*(_xlpm.v="Not Run")),_xlpm.cp,SUM(_xlpm.m*(_xlpm.v="Conditionally Passed")),_xlpm.p,SUM(_xlpm.m*(_xlpm.v="Passed")),IF(TRIM($A466)="","",IF(TRIM($E466)="","Pending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66" s="68" t="str">
        <f>IF(TRIM($A466)="","",IF($J466="Passed","",IF($J466="Passed with Known Issue","Known Issue",IF($J466="",IF(OR($H466&lt;&gt;"No",AND($F466&lt;&gt;"Medium",$F466&lt;&gt;"Low")),"Pending Result",""),IF(OR($H466&lt;&gt;"No",AND($F466&lt;&gt;"Medium",$F466&lt;&gt;"Low")),IF(COUNTIFS(Dashboard!$B$105:$B$124,$A466,Dashboard!$I$105:$I$124,"CAB")&gt;0,"Accepted (CF)","Blocking"),IF($J466="Failed","Deferrable","Carry Over"))))))</f>
        <v/>
      </c>
      <c r="M466" s="68" t="str">
        <f>IF(OR(TRIM($A466)="",TRIM($E466)=""),"",IFERROR(INDEX('E2E core flow'!$B$15:$B$1000,MATCH(1,INDEX(('E2E core flow'!$A$15:$A$1000&lt;&gt;"")*ISNUMBER(SEARCH('E2E core flow'!$A$15:$A$1000,$E466)),0),0))&amp;"","-"))</f>
        <v/>
      </c>
      <c r="N466" s="68" t="str">
        <f>IF(TRIM($A466)="","",IF($O466=0,IF(COUNTIFS('Card Test Cases'!$B$4:$B$1000,$A466,'Card Test Cases'!$A$4:$A$1000,"&lt;&gt;")&gt;0,"Out of Scope","No TC"),IF($Q466&gt;0,"Failed",IF(COUNTIFS('Card Test Cases'!$B$4:$B$1000,$A466,'Card Test Cases'!$A$4:$A$1000,"&lt;&gt;",'Card Test Cases'!$F$4:$F$1000,"Blocked")&gt;0,"Blocked",IF($R466&gt;0,"In Progress","Passed")))))</f>
        <v/>
      </c>
      <c r="O466" s="68" t="str">
        <f>IF(TRIM($A466)="","",COUNTIFS('Card Test Cases'!$B$4:$B$1000,$A466,'Card Test Cases'!$A$4:$A$1000,"&lt;&gt;",'Card Test Cases'!$F$4:$F$1000,"&lt;&gt;Out of Scope"))</f>
        <v/>
      </c>
      <c r="P466" s="68" t="str">
        <f>IF(TRIM($A466)="","",COUNTIFS('Card Test Cases'!$B$4:$B$1000,$A466,'Card Test Cases'!$A$4:$A$1000,"&lt;&gt;",'Card Test Cases'!$F$4:$F$1000,"Passed"))</f>
        <v/>
      </c>
      <c r="Q466" s="68" t="str">
        <f>IF(TRIM($A466)="","",COUNTIFS('Card Test Cases'!$B$4:$B$1000,$A466,'Card Test Cases'!$A$4:$A$1000,"&lt;&gt;",'Card Test Cases'!$F$4:$F$1000,"Failed"))</f>
        <v/>
      </c>
      <c r="R466" s="68" t="str">
        <f t="shared" si="7"/>
        <v/>
      </c>
      <c r="S466" s="68" t="str" cm="1">
        <f t="array" ref="S466">IF(TRIM($A466)="","",IFERROR(_xlfn.TEXTJOIN(", ",TRUE,_xlfn.UNIQUE(_xlfn.VSTACK(_xlfn._xlws.FILTER('Card Test Cases'!$G$4:$G$1000,('Card Test Cases'!$B$4:$B$1000=$A466)*('Card Test Cases'!$G$4:$G$1000&lt;&gt;""),""),_xlfn._xlws.FILTER('E2E core flow'!$U$15:$U$1000,('E2E core flow'!$A$15:$A$1000&lt;&gt;"")*ISNUMBER(SEARCH('E2E core flow'!$A$15:$A$1000,$E466))*('E2E core flow'!$U$15:$U$1000&lt;&gt;""),"")))),"-"))</f>
        <v/>
      </c>
    </row>
    <row r="467" spans="7:19" x14ac:dyDescent="0.3">
      <c r="G467" s="68" t="str" cm="1">
        <f t="array" ref="G467">_xlfn.LET(_xlpm.ids,'E2E core flow'!$A$15:$A$1000,_xlpm.v,'E2E core flow'!$W$15:$W$1000,_xlpm.m,(_xlpm.ids&lt;&gt;"")*ISNUMBER(SEARCH(_xlpm.ids,$E467)),_xlpm.f,SUM(_xlpm.m*(_xlpm.v="Failed")),_xlpm.b,SUM(_xlpm.m*(_xlpm.v="Blocked")),_xlpm.nr,SUM(_xlpm.m*(_xlpm.v="Not Run")),_xlpm.cp,SUM(_xlpm.m*(_xlpm.v="Conditionally Passed")),_xlpm.p,SUM(_xlpm.m*(_xlpm.v="Passed")),IF(TRIM($A467)="","",IF(TRIM($E467)="","Pending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67" s="68" t="str">
        <f>IF(TRIM($A467)="","",IF($J467="Passed","",IF($J467="Passed with Known Issue","Known Issue",IF($J467="",IF(OR($H467&lt;&gt;"No",AND($F467&lt;&gt;"Medium",$F467&lt;&gt;"Low")),"Pending Result",""),IF(OR($H467&lt;&gt;"No",AND($F467&lt;&gt;"Medium",$F467&lt;&gt;"Low")),IF(COUNTIFS(Dashboard!$B$105:$B$124,$A467,Dashboard!$I$105:$I$124,"CAB")&gt;0,"Accepted (CF)","Blocking"),IF($J467="Failed","Deferrable","Carry Over"))))))</f>
        <v/>
      </c>
      <c r="M467" s="68" t="str">
        <f>IF(OR(TRIM($A467)="",TRIM($E467)=""),"",IFERROR(INDEX('E2E core flow'!$B$15:$B$1000,MATCH(1,INDEX(('E2E core flow'!$A$15:$A$1000&lt;&gt;"")*ISNUMBER(SEARCH('E2E core flow'!$A$15:$A$1000,$E467)),0),0))&amp;"","-"))</f>
        <v/>
      </c>
      <c r="N467" s="68" t="str">
        <f>IF(TRIM($A467)="","",IF($O467=0,IF(COUNTIFS('Card Test Cases'!$B$4:$B$1000,$A467,'Card Test Cases'!$A$4:$A$1000,"&lt;&gt;")&gt;0,"Out of Scope","No TC"),IF($Q467&gt;0,"Failed",IF(COUNTIFS('Card Test Cases'!$B$4:$B$1000,$A467,'Card Test Cases'!$A$4:$A$1000,"&lt;&gt;",'Card Test Cases'!$F$4:$F$1000,"Blocked")&gt;0,"Blocked",IF($R467&gt;0,"In Progress","Passed")))))</f>
        <v/>
      </c>
      <c r="O467" s="68" t="str">
        <f>IF(TRIM($A467)="","",COUNTIFS('Card Test Cases'!$B$4:$B$1000,$A467,'Card Test Cases'!$A$4:$A$1000,"&lt;&gt;",'Card Test Cases'!$F$4:$F$1000,"&lt;&gt;Out of Scope"))</f>
        <v/>
      </c>
      <c r="P467" s="68" t="str">
        <f>IF(TRIM($A467)="","",COUNTIFS('Card Test Cases'!$B$4:$B$1000,$A467,'Card Test Cases'!$A$4:$A$1000,"&lt;&gt;",'Card Test Cases'!$F$4:$F$1000,"Passed"))</f>
        <v/>
      </c>
      <c r="Q467" s="68" t="str">
        <f>IF(TRIM($A467)="","",COUNTIFS('Card Test Cases'!$B$4:$B$1000,$A467,'Card Test Cases'!$A$4:$A$1000,"&lt;&gt;",'Card Test Cases'!$F$4:$F$1000,"Failed"))</f>
        <v/>
      </c>
      <c r="R467" s="68" t="str">
        <f t="shared" si="7"/>
        <v/>
      </c>
      <c r="S467" s="68" t="str" cm="1">
        <f t="array" ref="S467">IF(TRIM($A467)="","",IFERROR(_xlfn.TEXTJOIN(", ",TRUE,_xlfn.UNIQUE(_xlfn.VSTACK(_xlfn._xlws.FILTER('Card Test Cases'!$G$4:$G$1000,('Card Test Cases'!$B$4:$B$1000=$A467)*('Card Test Cases'!$G$4:$G$1000&lt;&gt;""),""),_xlfn._xlws.FILTER('E2E core flow'!$U$15:$U$1000,('E2E core flow'!$A$15:$A$1000&lt;&gt;"")*ISNUMBER(SEARCH('E2E core flow'!$A$15:$A$1000,$E467))*('E2E core flow'!$U$15:$U$1000&lt;&gt;""),"")))),"-"))</f>
        <v/>
      </c>
    </row>
    <row r="468" spans="7:19" x14ac:dyDescent="0.3">
      <c r="G468" s="68" t="str" cm="1">
        <f t="array" ref="G468">_xlfn.LET(_xlpm.ids,'E2E core flow'!$A$15:$A$1000,_xlpm.v,'E2E core flow'!$W$15:$W$1000,_xlpm.m,(_xlpm.ids&lt;&gt;"")*ISNUMBER(SEARCH(_xlpm.ids,$E468)),_xlpm.f,SUM(_xlpm.m*(_xlpm.v="Failed")),_xlpm.b,SUM(_xlpm.m*(_xlpm.v="Blocked")),_xlpm.nr,SUM(_xlpm.m*(_xlpm.v="Not Run")),_xlpm.cp,SUM(_xlpm.m*(_xlpm.v="Conditionally Passed")),_xlpm.p,SUM(_xlpm.m*(_xlpm.v="Passed")),IF(TRIM($A468)="","",IF(TRIM($E468)="","Pending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68" s="68" t="str">
        <f>IF(TRIM($A468)="","",IF($J468="Passed","",IF($J468="Passed with Known Issue","Known Issue",IF($J468="",IF(OR($H468&lt;&gt;"No",AND($F468&lt;&gt;"Medium",$F468&lt;&gt;"Low")),"Pending Result",""),IF(OR($H468&lt;&gt;"No",AND($F468&lt;&gt;"Medium",$F468&lt;&gt;"Low")),IF(COUNTIFS(Dashboard!$B$105:$B$124,$A468,Dashboard!$I$105:$I$124,"CAB")&gt;0,"Accepted (CF)","Blocking"),IF($J468="Failed","Deferrable","Carry Over"))))))</f>
        <v/>
      </c>
      <c r="M468" s="68" t="str">
        <f>IF(OR(TRIM($A468)="",TRIM($E468)=""),"",IFERROR(INDEX('E2E core flow'!$B$15:$B$1000,MATCH(1,INDEX(('E2E core flow'!$A$15:$A$1000&lt;&gt;"")*ISNUMBER(SEARCH('E2E core flow'!$A$15:$A$1000,$E468)),0),0))&amp;"","-"))</f>
        <v/>
      </c>
      <c r="N468" s="68" t="str">
        <f>IF(TRIM($A468)="","",IF($O468=0,IF(COUNTIFS('Card Test Cases'!$B$4:$B$1000,$A468,'Card Test Cases'!$A$4:$A$1000,"&lt;&gt;")&gt;0,"Out of Scope","No TC"),IF($Q468&gt;0,"Failed",IF(COUNTIFS('Card Test Cases'!$B$4:$B$1000,$A468,'Card Test Cases'!$A$4:$A$1000,"&lt;&gt;",'Card Test Cases'!$F$4:$F$1000,"Blocked")&gt;0,"Blocked",IF($R468&gt;0,"In Progress","Passed")))))</f>
        <v/>
      </c>
      <c r="O468" s="68" t="str">
        <f>IF(TRIM($A468)="","",COUNTIFS('Card Test Cases'!$B$4:$B$1000,$A468,'Card Test Cases'!$A$4:$A$1000,"&lt;&gt;",'Card Test Cases'!$F$4:$F$1000,"&lt;&gt;Out of Scope"))</f>
        <v/>
      </c>
      <c r="P468" s="68" t="str">
        <f>IF(TRIM($A468)="","",COUNTIFS('Card Test Cases'!$B$4:$B$1000,$A468,'Card Test Cases'!$A$4:$A$1000,"&lt;&gt;",'Card Test Cases'!$F$4:$F$1000,"Passed"))</f>
        <v/>
      </c>
      <c r="Q468" s="68" t="str">
        <f>IF(TRIM($A468)="","",COUNTIFS('Card Test Cases'!$B$4:$B$1000,$A468,'Card Test Cases'!$A$4:$A$1000,"&lt;&gt;",'Card Test Cases'!$F$4:$F$1000,"Failed"))</f>
        <v/>
      </c>
      <c r="R468" s="68" t="str">
        <f t="shared" si="7"/>
        <v/>
      </c>
      <c r="S468" s="68" t="str" cm="1">
        <f t="array" ref="S468">IF(TRIM($A468)="","",IFERROR(_xlfn.TEXTJOIN(", ",TRUE,_xlfn.UNIQUE(_xlfn.VSTACK(_xlfn._xlws.FILTER('Card Test Cases'!$G$4:$G$1000,('Card Test Cases'!$B$4:$B$1000=$A468)*('Card Test Cases'!$G$4:$G$1000&lt;&gt;""),""),_xlfn._xlws.FILTER('E2E core flow'!$U$15:$U$1000,('E2E core flow'!$A$15:$A$1000&lt;&gt;"")*ISNUMBER(SEARCH('E2E core flow'!$A$15:$A$1000,$E468))*('E2E core flow'!$U$15:$U$1000&lt;&gt;""),"")))),"-"))</f>
        <v/>
      </c>
    </row>
    <row r="469" spans="7:19" x14ac:dyDescent="0.3">
      <c r="G469" s="68" t="str" cm="1">
        <f t="array" ref="G469">_xlfn.LET(_xlpm.ids,'E2E core flow'!$A$15:$A$1000,_xlpm.v,'E2E core flow'!$W$15:$W$1000,_xlpm.m,(_xlpm.ids&lt;&gt;"")*ISNUMBER(SEARCH(_xlpm.ids,$E469)),_xlpm.f,SUM(_xlpm.m*(_xlpm.v="Failed")),_xlpm.b,SUM(_xlpm.m*(_xlpm.v="Blocked")),_xlpm.nr,SUM(_xlpm.m*(_xlpm.v="Not Run")),_xlpm.cp,SUM(_xlpm.m*(_xlpm.v="Conditionally Passed")),_xlpm.p,SUM(_xlpm.m*(_xlpm.v="Passed")),IF(TRIM($A469)="","",IF(TRIM($E469)="","Pending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69" s="68" t="str">
        <f>IF(TRIM($A469)="","",IF($J469="Passed","",IF($J469="Passed with Known Issue","Known Issue",IF($J469="",IF(OR($H469&lt;&gt;"No",AND($F469&lt;&gt;"Medium",$F469&lt;&gt;"Low")),"Pending Result",""),IF(OR($H469&lt;&gt;"No",AND($F469&lt;&gt;"Medium",$F469&lt;&gt;"Low")),IF(COUNTIFS(Dashboard!$B$105:$B$124,$A469,Dashboard!$I$105:$I$124,"CAB")&gt;0,"Accepted (CF)","Blocking"),IF($J469="Failed","Deferrable","Carry Over"))))))</f>
        <v/>
      </c>
      <c r="M469" s="68" t="str">
        <f>IF(OR(TRIM($A469)="",TRIM($E469)=""),"",IFERROR(INDEX('E2E core flow'!$B$15:$B$1000,MATCH(1,INDEX(('E2E core flow'!$A$15:$A$1000&lt;&gt;"")*ISNUMBER(SEARCH('E2E core flow'!$A$15:$A$1000,$E469)),0),0))&amp;"","-"))</f>
        <v/>
      </c>
      <c r="N469" s="68" t="str">
        <f>IF(TRIM($A469)="","",IF($O469=0,IF(COUNTIFS('Card Test Cases'!$B$4:$B$1000,$A469,'Card Test Cases'!$A$4:$A$1000,"&lt;&gt;")&gt;0,"Out of Scope","No TC"),IF($Q469&gt;0,"Failed",IF(COUNTIFS('Card Test Cases'!$B$4:$B$1000,$A469,'Card Test Cases'!$A$4:$A$1000,"&lt;&gt;",'Card Test Cases'!$F$4:$F$1000,"Blocked")&gt;0,"Blocked",IF($R469&gt;0,"In Progress","Passed")))))</f>
        <v/>
      </c>
      <c r="O469" s="68" t="str">
        <f>IF(TRIM($A469)="","",COUNTIFS('Card Test Cases'!$B$4:$B$1000,$A469,'Card Test Cases'!$A$4:$A$1000,"&lt;&gt;",'Card Test Cases'!$F$4:$F$1000,"&lt;&gt;Out of Scope"))</f>
        <v/>
      </c>
      <c r="P469" s="68" t="str">
        <f>IF(TRIM($A469)="","",COUNTIFS('Card Test Cases'!$B$4:$B$1000,$A469,'Card Test Cases'!$A$4:$A$1000,"&lt;&gt;",'Card Test Cases'!$F$4:$F$1000,"Passed"))</f>
        <v/>
      </c>
      <c r="Q469" s="68" t="str">
        <f>IF(TRIM($A469)="","",COUNTIFS('Card Test Cases'!$B$4:$B$1000,$A469,'Card Test Cases'!$A$4:$A$1000,"&lt;&gt;",'Card Test Cases'!$F$4:$F$1000,"Failed"))</f>
        <v/>
      </c>
      <c r="R469" s="68" t="str">
        <f t="shared" si="7"/>
        <v/>
      </c>
      <c r="S469" s="68" t="str" cm="1">
        <f t="array" ref="S469">IF(TRIM($A469)="","",IFERROR(_xlfn.TEXTJOIN(", ",TRUE,_xlfn.UNIQUE(_xlfn.VSTACK(_xlfn._xlws.FILTER('Card Test Cases'!$G$4:$G$1000,('Card Test Cases'!$B$4:$B$1000=$A469)*('Card Test Cases'!$G$4:$G$1000&lt;&gt;""),""),_xlfn._xlws.FILTER('E2E core flow'!$U$15:$U$1000,('E2E core flow'!$A$15:$A$1000&lt;&gt;"")*ISNUMBER(SEARCH('E2E core flow'!$A$15:$A$1000,$E469))*('E2E core flow'!$U$15:$U$1000&lt;&gt;""),"")))),"-"))</f>
        <v/>
      </c>
    </row>
    <row r="470" spans="7:19" x14ac:dyDescent="0.3">
      <c r="G470" s="68" t="str" cm="1">
        <f t="array" ref="G470">_xlfn.LET(_xlpm.ids,'E2E core flow'!$A$15:$A$1000,_xlpm.v,'E2E core flow'!$W$15:$W$1000,_xlpm.m,(_xlpm.ids&lt;&gt;"")*ISNUMBER(SEARCH(_xlpm.ids,$E470)),_xlpm.f,SUM(_xlpm.m*(_xlpm.v="Failed")),_xlpm.b,SUM(_xlpm.m*(_xlpm.v="Blocked")),_xlpm.nr,SUM(_xlpm.m*(_xlpm.v="Not Run")),_xlpm.cp,SUM(_xlpm.m*(_xlpm.v="Conditionally Passed")),_xlpm.p,SUM(_xlpm.m*(_xlpm.v="Passed")),IF(TRIM($A470)="","",IF(TRIM($E470)="","Pending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70" s="68" t="str">
        <f>IF(TRIM($A470)="","",IF($J470="Passed","",IF($J470="Passed with Known Issue","Known Issue",IF($J470="",IF(OR($H470&lt;&gt;"No",AND($F470&lt;&gt;"Medium",$F470&lt;&gt;"Low")),"Pending Result",""),IF(OR($H470&lt;&gt;"No",AND($F470&lt;&gt;"Medium",$F470&lt;&gt;"Low")),IF(COUNTIFS(Dashboard!$B$105:$B$124,$A470,Dashboard!$I$105:$I$124,"CAB")&gt;0,"Accepted (CF)","Blocking"),IF($J470="Failed","Deferrable","Carry Over"))))))</f>
        <v/>
      </c>
      <c r="M470" s="68" t="str">
        <f>IF(OR(TRIM($A470)="",TRIM($E470)=""),"",IFERROR(INDEX('E2E core flow'!$B$15:$B$1000,MATCH(1,INDEX(('E2E core flow'!$A$15:$A$1000&lt;&gt;"")*ISNUMBER(SEARCH('E2E core flow'!$A$15:$A$1000,$E470)),0),0))&amp;"","-"))</f>
        <v/>
      </c>
      <c r="N470" s="68" t="str">
        <f>IF(TRIM($A470)="","",IF($O470=0,IF(COUNTIFS('Card Test Cases'!$B$4:$B$1000,$A470,'Card Test Cases'!$A$4:$A$1000,"&lt;&gt;")&gt;0,"Out of Scope","No TC"),IF($Q470&gt;0,"Failed",IF(COUNTIFS('Card Test Cases'!$B$4:$B$1000,$A470,'Card Test Cases'!$A$4:$A$1000,"&lt;&gt;",'Card Test Cases'!$F$4:$F$1000,"Blocked")&gt;0,"Blocked",IF($R470&gt;0,"In Progress","Passed")))))</f>
        <v/>
      </c>
      <c r="O470" s="68" t="str">
        <f>IF(TRIM($A470)="","",COUNTIFS('Card Test Cases'!$B$4:$B$1000,$A470,'Card Test Cases'!$A$4:$A$1000,"&lt;&gt;",'Card Test Cases'!$F$4:$F$1000,"&lt;&gt;Out of Scope"))</f>
        <v/>
      </c>
      <c r="P470" s="68" t="str">
        <f>IF(TRIM($A470)="","",COUNTIFS('Card Test Cases'!$B$4:$B$1000,$A470,'Card Test Cases'!$A$4:$A$1000,"&lt;&gt;",'Card Test Cases'!$F$4:$F$1000,"Passed"))</f>
        <v/>
      </c>
      <c r="Q470" s="68" t="str">
        <f>IF(TRIM($A470)="","",COUNTIFS('Card Test Cases'!$B$4:$B$1000,$A470,'Card Test Cases'!$A$4:$A$1000,"&lt;&gt;",'Card Test Cases'!$F$4:$F$1000,"Failed"))</f>
        <v/>
      </c>
      <c r="R470" s="68" t="str">
        <f t="shared" si="7"/>
        <v/>
      </c>
      <c r="S470" s="68" t="str" cm="1">
        <f t="array" ref="S470">IF(TRIM($A470)="","",IFERROR(_xlfn.TEXTJOIN(", ",TRUE,_xlfn.UNIQUE(_xlfn.VSTACK(_xlfn._xlws.FILTER('Card Test Cases'!$G$4:$G$1000,('Card Test Cases'!$B$4:$B$1000=$A470)*('Card Test Cases'!$G$4:$G$1000&lt;&gt;""),""),_xlfn._xlws.FILTER('E2E core flow'!$U$15:$U$1000,('E2E core flow'!$A$15:$A$1000&lt;&gt;"")*ISNUMBER(SEARCH('E2E core flow'!$A$15:$A$1000,$E470))*('E2E core flow'!$U$15:$U$1000&lt;&gt;""),"")))),"-"))</f>
        <v/>
      </c>
    </row>
    <row r="471" spans="7:19" x14ac:dyDescent="0.3">
      <c r="G471" s="68" t="str" cm="1">
        <f t="array" ref="G471">_xlfn.LET(_xlpm.ids,'E2E core flow'!$A$15:$A$1000,_xlpm.v,'E2E core flow'!$W$15:$W$1000,_xlpm.m,(_xlpm.ids&lt;&gt;"")*ISNUMBER(SEARCH(_xlpm.ids,$E471)),_xlpm.f,SUM(_xlpm.m*(_xlpm.v="Failed")),_xlpm.b,SUM(_xlpm.m*(_xlpm.v="Blocked")),_xlpm.nr,SUM(_xlpm.m*(_xlpm.v="Not Run")),_xlpm.cp,SUM(_xlpm.m*(_xlpm.v="Conditionally Passed")),_xlpm.p,SUM(_xlpm.m*(_xlpm.v="Passed")),IF(TRIM($A471)="","",IF(TRIM($E471)="","Pending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71" s="68" t="str">
        <f>IF(TRIM($A471)="","",IF($J471="Passed","",IF($J471="Passed with Known Issue","Known Issue",IF($J471="",IF(OR($H471&lt;&gt;"No",AND($F471&lt;&gt;"Medium",$F471&lt;&gt;"Low")),"Pending Result",""),IF(OR($H471&lt;&gt;"No",AND($F471&lt;&gt;"Medium",$F471&lt;&gt;"Low")),IF(COUNTIFS(Dashboard!$B$105:$B$124,$A471,Dashboard!$I$105:$I$124,"CAB")&gt;0,"Accepted (CF)","Blocking"),IF($J471="Failed","Deferrable","Carry Over"))))))</f>
        <v/>
      </c>
      <c r="M471" s="68" t="str">
        <f>IF(OR(TRIM($A471)="",TRIM($E471)=""),"",IFERROR(INDEX('E2E core flow'!$B$15:$B$1000,MATCH(1,INDEX(('E2E core flow'!$A$15:$A$1000&lt;&gt;"")*ISNUMBER(SEARCH('E2E core flow'!$A$15:$A$1000,$E471)),0),0))&amp;"","-"))</f>
        <v/>
      </c>
      <c r="N471" s="68" t="str">
        <f>IF(TRIM($A471)="","",IF($O471=0,IF(COUNTIFS('Card Test Cases'!$B$4:$B$1000,$A471,'Card Test Cases'!$A$4:$A$1000,"&lt;&gt;")&gt;0,"Out of Scope","No TC"),IF($Q471&gt;0,"Failed",IF(COUNTIFS('Card Test Cases'!$B$4:$B$1000,$A471,'Card Test Cases'!$A$4:$A$1000,"&lt;&gt;",'Card Test Cases'!$F$4:$F$1000,"Blocked")&gt;0,"Blocked",IF($R471&gt;0,"In Progress","Passed")))))</f>
        <v/>
      </c>
      <c r="O471" s="68" t="str">
        <f>IF(TRIM($A471)="","",COUNTIFS('Card Test Cases'!$B$4:$B$1000,$A471,'Card Test Cases'!$A$4:$A$1000,"&lt;&gt;",'Card Test Cases'!$F$4:$F$1000,"&lt;&gt;Out of Scope"))</f>
        <v/>
      </c>
      <c r="P471" s="68" t="str">
        <f>IF(TRIM($A471)="","",COUNTIFS('Card Test Cases'!$B$4:$B$1000,$A471,'Card Test Cases'!$A$4:$A$1000,"&lt;&gt;",'Card Test Cases'!$F$4:$F$1000,"Passed"))</f>
        <v/>
      </c>
      <c r="Q471" s="68" t="str">
        <f>IF(TRIM($A471)="","",COUNTIFS('Card Test Cases'!$B$4:$B$1000,$A471,'Card Test Cases'!$A$4:$A$1000,"&lt;&gt;",'Card Test Cases'!$F$4:$F$1000,"Failed"))</f>
        <v/>
      </c>
      <c r="R471" s="68" t="str">
        <f t="shared" si="7"/>
        <v/>
      </c>
      <c r="S471" s="68" t="str" cm="1">
        <f t="array" ref="S471">IF(TRIM($A471)="","",IFERROR(_xlfn.TEXTJOIN(", ",TRUE,_xlfn.UNIQUE(_xlfn.VSTACK(_xlfn._xlws.FILTER('Card Test Cases'!$G$4:$G$1000,('Card Test Cases'!$B$4:$B$1000=$A471)*('Card Test Cases'!$G$4:$G$1000&lt;&gt;""),""),_xlfn._xlws.FILTER('E2E core flow'!$U$15:$U$1000,('E2E core flow'!$A$15:$A$1000&lt;&gt;"")*ISNUMBER(SEARCH('E2E core flow'!$A$15:$A$1000,$E471))*('E2E core flow'!$U$15:$U$1000&lt;&gt;""),"")))),"-"))</f>
        <v/>
      </c>
    </row>
    <row r="472" spans="7:19" x14ac:dyDescent="0.3">
      <c r="G472" s="68" t="str" cm="1">
        <f t="array" ref="G472">_xlfn.LET(_xlpm.ids,'E2E core flow'!$A$15:$A$1000,_xlpm.v,'E2E core flow'!$W$15:$W$1000,_xlpm.m,(_xlpm.ids&lt;&gt;"")*ISNUMBER(SEARCH(_xlpm.ids,$E472)),_xlpm.f,SUM(_xlpm.m*(_xlpm.v="Failed")),_xlpm.b,SUM(_xlpm.m*(_xlpm.v="Blocked")),_xlpm.nr,SUM(_xlpm.m*(_xlpm.v="Not Run")),_xlpm.cp,SUM(_xlpm.m*(_xlpm.v="Conditionally Passed")),_xlpm.p,SUM(_xlpm.m*(_xlpm.v="Passed")),IF(TRIM($A472)="","",IF(TRIM($E472)="","Pending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72" s="68" t="str">
        <f>IF(TRIM($A472)="","",IF($J472="Passed","",IF($J472="Passed with Known Issue","Known Issue",IF($J472="",IF(OR($H472&lt;&gt;"No",AND($F472&lt;&gt;"Medium",$F472&lt;&gt;"Low")),"Pending Result",""),IF(OR($H472&lt;&gt;"No",AND($F472&lt;&gt;"Medium",$F472&lt;&gt;"Low")),IF(COUNTIFS(Dashboard!$B$105:$B$124,$A472,Dashboard!$I$105:$I$124,"CAB")&gt;0,"Accepted (CF)","Blocking"),IF($J472="Failed","Deferrable","Carry Over"))))))</f>
        <v/>
      </c>
      <c r="M472" s="68" t="str">
        <f>IF(OR(TRIM($A472)="",TRIM($E472)=""),"",IFERROR(INDEX('E2E core flow'!$B$15:$B$1000,MATCH(1,INDEX(('E2E core flow'!$A$15:$A$1000&lt;&gt;"")*ISNUMBER(SEARCH('E2E core flow'!$A$15:$A$1000,$E472)),0),0))&amp;"","-"))</f>
        <v/>
      </c>
      <c r="N472" s="68" t="str">
        <f>IF(TRIM($A472)="","",IF($O472=0,IF(COUNTIFS('Card Test Cases'!$B$4:$B$1000,$A472,'Card Test Cases'!$A$4:$A$1000,"&lt;&gt;")&gt;0,"Out of Scope","No TC"),IF($Q472&gt;0,"Failed",IF(COUNTIFS('Card Test Cases'!$B$4:$B$1000,$A472,'Card Test Cases'!$A$4:$A$1000,"&lt;&gt;",'Card Test Cases'!$F$4:$F$1000,"Blocked")&gt;0,"Blocked",IF($R472&gt;0,"In Progress","Passed")))))</f>
        <v/>
      </c>
      <c r="O472" s="68" t="str">
        <f>IF(TRIM($A472)="","",COUNTIFS('Card Test Cases'!$B$4:$B$1000,$A472,'Card Test Cases'!$A$4:$A$1000,"&lt;&gt;",'Card Test Cases'!$F$4:$F$1000,"&lt;&gt;Out of Scope"))</f>
        <v/>
      </c>
      <c r="P472" s="68" t="str">
        <f>IF(TRIM($A472)="","",COUNTIFS('Card Test Cases'!$B$4:$B$1000,$A472,'Card Test Cases'!$A$4:$A$1000,"&lt;&gt;",'Card Test Cases'!$F$4:$F$1000,"Passed"))</f>
        <v/>
      </c>
      <c r="Q472" s="68" t="str">
        <f>IF(TRIM($A472)="","",COUNTIFS('Card Test Cases'!$B$4:$B$1000,$A472,'Card Test Cases'!$A$4:$A$1000,"&lt;&gt;",'Card Test Cases'!$F$4:$F$1000,"Failed"))</f>
        <v/>
      </c>
      <c r="R472" s="68" t="str">
        <f t="shared" si="7"/>
        <v/>
      </c>
      <c r="S472" s="68" t="str" cm="1">
        <f t="array" ref="S472">IF(TRIM($A472)="","",IFERROR(_xlfn.TEXTJOIN(", ",TRUE,_xlfn.UNIQUE(_xlfn.VSTACK(_xlfn._xlws.FILTER('Card Test Cases'!$G$4:$G$1000,('Card Test Cases'!$B$4:$B$1000=$A472)*('Card Test Cases'!$G$4:$G$1000&lt;&gt;""),""),_xlfn._xlws.FILTER('E2E core flow'!$U$15:$U$1000,('E2E core flow'!$A$15:$A$1000&lt;&gt;"")*ISNUMBER(SEARCH('E2E core flow'!$A$15:$A$1000,$E472))*('E2E core flow'!$U$15:$U$1000&lt;&gt;""),"")))),"-"))</f>
        <v/>
      </c>
    </row>
    <row r="473" spans="7:19" x14ac:dyDescent="0.3">
      <c r="G473" s="68" t="str" cm="1">
        <f t="array" ref="G473">_xlfn.LET(_xlpm.ids,'E2E core flow'!$A$15:$A$1000,_xlpm.v,'E2E core flow'!$W$15:$W$1000,_xlpm.m,(_xlpm.ids&lt;&gt;"")*ISNUMBER(SEARCH(_xlpm.ids,$E473)),_xlpm.f,SUM(_xlpm.m*(_xlpm.v="Failed")),_xlpm.b,SUM(_xlpm.m*(_xlpm.v="Blocked")),_xlpm.nr,SUM(_xlpm.m*(_xlpm.v="Not Run")),_xlpm.cp,SUM(_xlpm.m*(_xlpm.v="Conditionally Passed")),_xlpm.p,SUM(_xlpm.m*(_xlpm.v="Passed")),IF(TRIM($A473)="","",IF(TRIM($E473)="","Pending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73" s="68" t="str">
        <f>IF(TRIM($A473)="","",IF($J473="Passed","",IF($J473="Passed with Known Issue","Known Issue",IF($J473="",IF(OR($H473&lt;&gt;"No",AND($F473&lt;&gt;"Medium",$F473&lt;&gt;"Low")),"Pending Result",""),IF(OR($H473&lt;&gt;"No",AND($F473&lt;&gt;"Medium",$F473&lt;&gt;"Low")),IF(COUNTIFS(Dashboard!$B$105:$B$124,$A473,Dashboard!$I$105:$I$124,"CAB")&gt;0,"Accepted (CF)","Blocking"),IF($J473="Failed","Deferrable","Carry Over"))))))</f>
        <v/>
      </c>
      <c r="M473" s="68" t="str">
        <f>IF(OR(TRIM($A473)="",TRIM($E473)=""),"",IFERROR(INDEX('E2E core flow'!$B$15:$B$1000,MATCH(1,INDEX(('E2E core flow'!$A$15:$A$1000&lt;&gt;"")*ISNUMBER(SEARCH('E2E core flow'!$A$15:$A$1000,$E473)),0),0))&amp;"","-"))</f>
        <v/>
      </c>
      <c r="N473" s="68" t="str">
        <f>IF(TRIM($A473)="","",IF($O473=0,IF(COUNTIFS('Card Test Cases'!$B$4:$B$1000,$A473,'Card Test Cases'!$A$4:$A$1000,"&lt;&gt;")&gt;0,"Out of Scope","No TC"),IF($Q473&gt;0,"Failed",IF(COUNTIFS('Card Test Cases'!$B$4:$B$1000,$A473,'Card Test Cases'!$A$4:$A$1000,"&lt;&gt;",'Card Test Cases'!$F$4:$F$1000,"Blocked")&gt;0,"Blocked",IF($R473&gt;0,"In Progress","Passed")))))</f>
        <v/>
      </c>
      <c r="O473" s="68" t="str">
        <f>IF(TRIM($A473)="","",COUNTIFS('Card Test Cases'!$B$4:$B$1000,$A473,'Card Test Cases'!$A$4:$A$1000,"&lt;&gt;",'Card Test Cases'!$F$4:$F$1000,"&lt;&gt;Out of Scope"))</f>
        <v/>
      </c>
      <c r="P473" s="68" t="str">
        <f>IF(TRIM($A473)="","",COUNTIFS('Card Test Cases'!$B$4:$B$1000,$A473,'Card Test Cases'!$A$4:$A$1000,"&lt;&gt;",'Card Test Cases'!$F$4:$F$1000,"Passed"))</f>
        <v/>
      </c>
      <c r="Q473" s="68" t="str">
        <f>IF(TRIM($A473)="","",COUNTIFS('Card Test Cases'!$B$4:$B$1000,$A473,'Card Test Cases'!$A$4:$A$1000,"&lt;&gt;",'Card Test Cases'!$F$4:$F$1000,"Failed"))</f>
        <v/>
      </c>
      <c r="R473" s="68" t="str">
        <f t="shared" si="7"/>
        <v/>
      </c>
      <c r="S473" s="68" t="str" cm="1">
        <f t="array" ref="S473">IF(TRIM($A473)="","",IFERROR(_xlfn.TEXTJOIN(", ",TRUE,_xlfn.UNIQUE(_xlfn.VSTACK(_xlfn._xlws.FILTER('Card Test Cases'!$G$4:$G$1000,('Card Test Cases'!$B$4:$B$1000=$A473)*('Card Test Cases'!$G$4:$G$1000&lt;&gt;""),""),_xlfn._xlws.FILTER('E2E core flow'!$U$15:$U$1000,('E2E core flow'!$A$15:$A$1000&lt;&gt;"")*ISNUMBER(SEARCH('E2E core flow'!$A$15:$A$1000,$E473))*('E2E core flow'!$U$15:$U$1000&lt;&gt;""),"")))),"-"))</f>
        <v/>
      </c>
    </row>
    <row r="474" spans="7:19" x14ac:dyDescent="0.3">
      <c r="G474" s="68" t="str" cm="1">
        <f t="array" ref="G474">_xlfn.LET(_xlpm.ids,'E2E core flow'!$A$15:$A$1000,_xlpm.v,'E2E core flow'!$W$15:$W$1000,_xlpm.m,(_xlpm.ids&lt;&gt;"")*ISNUMBER(SEARCH(_xlpm.ids,$E474)),_xlpm.f,SUM(_xlpm.m*(_xlpm.v="Failed")),_xlpm.b,SUM(_xlpm.m*(_xlpm.v="Blocked")),_xlpm.nr,SUM(_xlpm.m*(_xlpm.v="Not Run")),_xlpm.cp,SUM(_xlpm.m*(_xlpm.v="Conditionally Passed")),_xlpm.p,SUM(_xlpm.m*(_xlpm.v="Passed")),IF(TRIM($A474)="","",IF(TRIM($E474)="","Pending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74" s="68" t="str">
        <f>IF(TRIM($A474)="","",IF($J474="Passed","",IF($J474="Passed with Known Issue","Known Issue",IF($J474="",IF(OR($H474&lt;&gt;"No",AND($F474&lt;&gt;"Medium",$F474&lt;&gt;"Low")),"Pending Result",""),IF(OR($H474&lt;&gt;"No",AND($F474&lt;&gt;"Medium",$F474&lt;&gt;"Low")),IF(COUNTIFS(Dashboard!$B$105:$B$124,$A474,Dashboard!$I$105:$I$124,"CAB")&gt;0,"Accepted (CF)","Blocking"),IF($J474="Failed","Deferrable","Carry Over"))))))</f>
        <v/>
      </c>
      <c r="M474" s="68" t="str">
        <f>IF(OR(TRIM($A474)="",TRIM($E474)=""),"",IFERROR(INDEX('E2E core flow'!$B$15:$B$1000,MATCH(1,INDEX(('E2E core flow'!$A$15:$A$1000&lt;&gt;"")*ISNUMBER(SEARCH('E2E core flow'!$A$15:$A$1000,$E474)),0),0))&amp;"","-"))</f>
        <v/>
      </c>
      <c r="N474" s="68" t="str">
        <f>IF(TRIM($A474)="","",IF($O474=0,IF(COUNTIFS('Card Test Cases'!$B$4:$B$1000,$A474,'Card Test Cases'!$A$4:$A$1000,"&lt;&gt;")&gt;0,"Out of Scope","No TC"),IF($Q474&gt;0,"Failed",IF(COUNTIFS('Card Test Cases'!$B$4:$B$1000,$A474,'Card Test Cases'!$A$4:$A$1000,"&lt;&gt;",'Card Test Cases'!$F$4:$F$1000,"Blocked")&gt;0,"Blocked",IF($R474&gt;0,"In Progress","Passed")))))</f>
        <v/>
      </c>
      <c r="O474" s="68" t="str">
        <f>IF(TRIM($A474)="","",COUNTIFS('Card Test Cases'!$B$4:$B$1000,$A474,'Card Test Cases'!$A$4:$A$1000,"&lt;&gt;",'Card Test Cases'!$F$4:$F$1000,"&lt;&gt;Out of Scope"))</f>
        <v/>
      </c>
      <c r="P474" s="68" t="str">
        <f>IF(TRIM($A474)="","",COUNTIFS('Card Test Cases'!$B$4:$B$1000,$A474,'Card Test Cases'!$A$4:$A$1000,"&lt;&gt;",'Card Test Cases'!$F$4:$F$1000,"Passed"))</f>
        <v/>
      </c>
      <c r="Q474" s="68" t="str">
        <f>IF(TRIM($A474)="","",COUNTIFS('Card Test Cases'!$B$4:$B$1000,$A474,'Card Test Cases'!$A$4:$A$1000,"&lt;&gt;",'Card Test Cases'!$F$4:$F$1000,"Failed"))</f>
        <v/>
      </c>
      <c r="R474" s="68" t="str">
        <f t="shared" si="7"/>
        <v/>
      </c>
      <c r="S474" s="68" t="str" cm="1">
        <f t="array" ref="S474">IF(TRIM($A474)="","",IFERROR(_xlfn.TEXTJOIN(", ",TRUE,_xlfn.UNIQUE(_xlfn.VSTACK(_xlfn._xlws.FILTER('Card Test Cases'!$G$4:$G$1000,('Card Test Cases'!$B$4:$B$1000=$A474)*('Card Test Cases'!$G$4:$G$1000&lt;&gt;""),""),_xlfn._xlws.FILTER('E2E core flow'!$U$15:$U$1000,('E2E core flow'!$A$15:$A$1000&lt;&gt;"")*ISNUMBER(SEARCH('E2E core flow'!$A$15:$A$1000,$E474))*('E2E core flow'!$U$15:$U$1000&lt;&gt;""),"")))),"-"))</f>
        <v/>
      </c>
    </row>
    <row r="475" spans="7:19" x14ac:dyDescent="0.3">
      <c r="G475" s="68" t="str" cm="1">
        <f t="array" ref="G475">_xlfn.LET(_xlpm.ids,'E2E core flow'!$A$15:$A$1000,_xlpm.v,'E2E core flow'!$W$15:$W$1000,_xlpm.m,(_xlpm.ids&lt;&gt;"")*ISNUMBER(SEARCH(_xlpm.ids,$E475)),_xlpm.f,SUM(_xlpm.m*(_xlpm.v="Failed")),_xlpm.b,SUM(_xlpm.m*(_xlpm.v="Blocked")),_xlpm.nr,SUM(_xlpm.m*(_xlpm.v="Not Run")),_xlpm.cp,SUM(_xlpm.m*(_xlpm.v="Conditionally Passed")),_xlpm.p,SUM(_xlpm.m*(_xlpm.v="Passed")),IF(TRIM($A475)="","",IF(TRIM($E475)="","Pending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75" s="68" t="str">
        <f>IF(TRIM($A475)="","",IF($J475="Passed","",IF($J475="Passed with Known Issue","Known Issue",IF($J475="",IF(OR($H475&lt;&gt;"No",AND($F475&lt;&gt;"Medium",$F475&lt;&gt;"Low")),"Pending Result",""),IF(OR($H475&lt;&gt;"No",AND($F475&lt;&gt;"Medium",$F475&lt;&gt;"Low")),IF(COUNTIFS(Dashboard!$B$105:$B$124,$A475,Dashboard!$I$105:$I$124,"CAB")&gt;0,"Accepted (CF)","Blocking"),IF($J475="Failed","Deferrable","Carry Over"))))))</f>
        <v/>
      </c>
      <c r="M475" s="68" t="str">
        <f>IF(OR(TRIM($A475)="",TRIM($E475)=""),"",IFERROR(INDEX('E2E core flow'!$B$15:$B$1000,MATCH(1,INDEX(('E2E core flow'!$A$15:$A$1000&lt;&gt;"")*ISNUMBER(SEARCH('E2E core flow'!$A$15:$A$1000,$E475)),0),0))&amp;"","-"))</f>
        <v/>
      </c>
      <c r="N475" s="68" t="str">
        <f>IF(TRIM($A475)="","",IF($O475=0,IF(COUNTIFS('Card Test Cases'!$B$4:$B$1000,$A475,'Card Test Cases'!$A$4:$A$1000,"&lt;&gt;")&gt;0,"Out of Scope","No TC"),IF($Q475&gt;0,"Failed",IF(COUNTIFS('Card Test Cases'!$B$4:$B$1000,$A475,'Card Test Cases'!$A$4:$A$1000,"&lt;&gt;",'Card Test Cases'!$F$4:$F$1000,"Blocked")&gt;0,"Blocked",IF($R475&gt;0,"In Progress","Passed")))))</f>
        <v/>
      </c>
      <c r="O475" s="68" t="str">
        <f>IF(TRIM($A475)="","",COUNTIFS('Card Test Cases'!$B$4:$B$1000,$A475,'Card Test Cases'!$A$4:$A$1000,"&lt;&gt;",'Card Test Cases'!$F$4:$F$1000,"&lt;&gt;Out of Scope"))</f>
        <v/>
      </c>
      <c r="P475" s="68" t="str">
        <f>IF(TRIM($A475)="","",COUNTIFS('Card Test Cases'!$B$4:$B$1000,$A475,'Card Test Cases'!$A$4:$A$1000,"&lt;&gt;",'Card Test Cases'!$F$4:$F$1000,"Passed"))</f>
        <v/>
      </c>
      <c r="Q475" s="68" t="str">
        <f>IF(TRIM($A475)="","",COUNTIFS('Card Test Cases'!$B$4:$B$1000,$A475,'Card Test Cases'!$A$4:$A$1000,"&lt;&gt;",'Card Test Cases'!$F$4:$F$1000,"Failed"))</f>
        <v/>
      </c>
      <c r="R475" s="68" t="str">
        <f t="shared" si="7"/>
        <v/>
      </c>
      <c r="S475" s="68" t="str" cm="1">
        <f t="array" ref="S475">IF(TRIM($A475)="","",IFERROR(_xlfn.TEXTJOIN(", ",TRUE,_xlfn.UNIQUE(_xlfn.VSTACK(_xlfn._xlws.FILTER('Card Test Cases'!$G$4:$G$1000,('Card Test Cases'!$B$4:$B$1000=$A475)*('Card Test Cases'!$G$4:$G$1000&lt;&gt;""),""),_xlfn._xlws.FILTER('E2E core flow'!$U$15:$U$1000,('E2E core flow'!$A$15:$A$1000&lt;&gt;"")*ISNUMBER(SEARCH('E2E core flow'!$A$15:$A$1000,$E475))*('E2E core flow'!$U$15:$U$1000&lt;&gt;""),"")))),"-"))</f>
        <v/>
      </c>
    </row>
    <row r="476" spans="7:19" x14ac:dyDescent="0.3">
      <c r="G476" s="68" t="str" cm="1">
        <f t="array" ref="G476">_xlfn.LET(_xlpm.ids,'E2E core flow'!$A$15:$A$1000,_xlpm.v,'E2E core flow'!$W$15:$W$1000,_xlpm.m,(_xlpm.ids&lt;&gt;"")*ISNUMBER(SEARCH(_xlpm.ids,$E476)),_xlpm.f,SUM(_xlpm.m*(_xlpm.v="Failed")),_xlpm.b,SUM(_xlpm.m*(_xlpm.v="Blocked")),_xlpm.nr,SUM(_xlpm.m*(_xlpm.v="Not Run")),_xlpm.cp,SUM(_xlpm.m*(_xlpm.v="Conditionally Passed")),_xlpm.p,SUM(_xlpm.m*(_xlpm.v="Passed")),IF(TRIM($A476)="","",IF(TRIM($E476)="","Pending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76" s="68" t="str">
        <f>IF(TRIM($A476)="","",IF($J476="Passed","",IF($J476="Passed with Known Issue","Known Issue",IF($J476="",IF(OR($H476&lt;&gt;"No",AND($F476&lt;&gt;"Medium",$F476&lt;&gt;"Low")),"Pending Result",""),IF(OR($H476&lt;&gt;"No",AND($F476&lt;&gt;"Medium",$F476&lt;&gt;"Low")),IF(COUNTIFS(Dashboard!$B$105:$B$124,$A476,Dashboard!$I$105:$I$124,"CAB")&gt;0,"Accepted (CF)","Blocking"),IF($J476="Failed","Deferrable","Carry Over"))))))</f>
        <v/>
      </c>
      <c r="M476" s="68" t="str">
        <f>IF(OR(TRIM($A476)="",TRIM($E476)=""),"",IFERROR(INDEX('E2E core flow'!$B$15:$B$1000,MATCH(1,INDEX(('E2E core flow'!$A$15:$A$1000&lt;&gt;"")*ISNUMBER(SEARCH('E2E core flow'!$A$15:$A$1000,$E476)),0),0))&amp;"","-"))</f>
        <v/>
      </c>
      <c r="N476" s="68" t="str">
        <f>IF(TRIM($A476)="","",IF($O476=0,IF(COUNTIFS('Card Test Cases'!$B$4:$B$1000,$A476,'Card Test Cases'!$A$4:$A$1000,"&lt;&gt;")&gt;0,"Out of Scope","No TC"),IF($Q476&gt;0,"Failed",IF(COUNTIFS('Card Test Cases'!$B$4:$B$1000,$A476,'Card Test Cases'!$A$4:$A$1000,"&lt;&gt;",'Card Test Cases'!$F$4:$F$1000,"Blocked")&gt;0,"Blocked",IF($R476&gt;0,"In Progress","Passed")))))</f>
        <v/>
      </c>
      <c r="O476" s="68" t="str">
        <f>IF(TRIM($A476)="","",COUNTIFS('Card Test Cases'!$B$4:$B$1000,$A476,'Card Test Cases'!$A$4:$A$1000,"&lt;&gt;",'Card Test Cases'!$F$4:$F$1000,"&lt;&gt;Out of Scope"))</f>
        <v/>
      </c>
      <c r="P476" s="68" t="str">
        <f>IF(TRIM($A476)="","",COUNTIFS('Card Test Cases'!$B$4:$B$1000,$A476,'Card Test Cases'!$A$4:$A$1000,"&lt;&gt;",'Card Test Cases'!$F$4:$F$1000,"Passed"))</f>
        <v/>
      </c>
      <c r="Q476" s="68" t="str">
        <f>IF(TRIM($A476)="","",COUNTIFS('Card Test Cases'!$B$4:$B$1000,$A476,'Card Test Cases'!$A$4:$A$1000,"&lt;&gt;",'Card Test Cases'!$F$4:$F$1000,"Failed"))</f>
        <v/>
      </c>
      <c r="R476" s="68" t="str">
        <f t="shared" si="7"/>
        <v/>
      </c>
      <c r="S476" s="68" t="str" cm="1">
        <f t="array" ref="S476">IF(TRIM($A476)="","",IFERROR(_xlfn.TEXTJOIN(", ",TRUE,_xlfn.UNIQUE(_xlfn.VSTACK(_xlfn._xlws.FILTER('Card Test Cases'!$G$4:$G$1000,('Card Test Cases'!$B$4:$B$1000=$A476)*('Card Test Cases'!$G$4:$G$1000&lt;&gt;""),""),_xlfn._xlws.FILTER('E2E core flow'!$U$15:$U$1000,('E2E core flow'!$A$15:$A$1000&lt;&gt;"")*ISNUMBER(SEARCH('E2E core flow'!$A$15:$A$1000,$E476))*('E2E core flow'!$U$15:$U$1000&lt;&gt;""),"")))),"-"))</f>
        <v/>
      </c>
    </row>
    <row r="477" spans="7:19" x14ac:dyDescent="0.3">
      <c r="G477" s="68" t="str" cm="1">
        <f t="array" ref="G477">_xlfn.LET(_xlpm.ids,'E2E core flow'!$A$15:$A$1000,_xlpm.v,'E2E core flow'!$W$15:$W$1000,_xlpm.m,(_xlpm.ids&lt;&gt;"")*ISNUMBER(SEARCH(_xlpm.ids,$E477)),_xlpm.f,SUM(_xlpm.m*(_xlpm.v="Failed")),_xlpm.b,SUM(_xlpm.m*(_xlpm.v="Blocked")),_xlpm.nr,SUM(_xlpm.m*(_xlpm.v="Not Run")),_xlpm.cp,SUM(_xlpm.m*(_xlpm.v="Conditionally Passed")),_xlpm.p,SUM(_xlpm.m*(_xlpm.v="Passed")),IF(TRIM($A477)="","",IF(TRIM($E477)="","Pending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77" s="68" t="str">
        <f>IF(TRIM($A477)="","",IF($J477="Passed","",IF($J477="Passed with Known Issue","Known Issue",IF($J477="",IF(OR($H477&lt;&gt;"No",AND($F477&lt;&gt;"Medium",$F477&lt;&gt;"Low")),"Pending Result",""),IF(OR($H477&lt;&gt;"No",AND($F477&lt;&gt;"Medium",$F477&lt;&gt;"Low")),IF(COUNTIFS(Dashboard!$B$105:$B$124,$A477,Dashboard!$I$105:$I$124,"CAB")&gt;0,"Accepted (CF)","Blocking"),IF($J477="Failed","Deferrable","Carry Over"))))))</f>
        <v/>
      </c>
      <c r="M477" s="68" t="str">
        <f>IF(OR(TRIM($A477)="",TRIM($E477)=""),"",IFERROR(INDEX('E2E core flow'!$B$15:$B$1000,MATCH(1,INDEX(('E2E core flow'!$A$15:$A$1000&lt;&gt;"")*ISNUMBER(SEARCH('E2E core flow'!$A$15:$A$1000,$E477)),0),0))&amp;"","-"))</f>
        <v/>
      </c>
      <c r="N477" s="68" t="str">
        <f>IF(TRIM($A477)="","",IF($O477=0,IF(COUNTIFS('Card Test Cases'!$B$4:$B$1000,$A477,'Card Test Cases'!$A$4:$A$1000,"&lt;&gt;")&gt;0,"Out of Scope","No TC"),IF($Q477&gt;0,"Failed",IF(COUNTIFS('Card Test Cases'!$B$4:$B$1000,$A477,'Card Test Cases'!$A$4:$A$1000,"&lt;&gt;",'Card Test Cases'!$F$4:$F$1000,"Blocked")&gt;0,"Blocked",IF($R477&gt;0,"In Progress","Passed")))))</f>
        <v/>
      </c>
      <c r="O477" s="68" t="str">
        <f>IF(TRIM($A477)="","",COUNTIFS('Card Test Cases'!$B$4:$B$1000,$A477,'Card Test Cases'!$A$4:$A$1000,"&lt;&gt;",'Card Test Cases'!$F$4:$F$1000,"&lt;&gt;Out of Scope"))</f>
        <v/>
      </c>
      <c r="P477" s="68" t="str">
        <f>IF(TRIM($A477)="","",COUNTIFS('Card Test Cases'!$B$4:$B$1000,$A477,'Card Test Cases'!$A$4:$A$1000,"&lt;&gt;",'Card Test Cases'!$F$4:$F$1000,"Passed"))</f>
        <v/>
      </c>
      <c r="Q477" s="68" t="str">
        <f>IF(TRIM($A477)="","",COUNTIFS('Card Test Cases'!$B$4:$B$1000,$A477,'Card Test Cases'!$A$4:$A$1000,"&lt;&gt;",'Card Test Cases'!$F$4:$F$1000,"Failed"))</f>
        <v/>
      </c>
      <c r="R477" s="68" t="str">
        <f t="shared" si="7"/>
        <v/>
      </c>
      <c r="S477" s="68" t="str" cm="1">
        <f t="array" ref="S477">IF(TRIM($A477)="","",IFERROR(_xlfn.TEXTJOIN(", ",TRUE,_xlfn.UNIQUE(_xlfn.VSTACK(_xlfn._xlws.FILTER('Card Test Cases'!$G$4:$G$1000,('Card Test Cases'!$B$4:$B$1000=$A477)*('Card Test Cases'!$G$4:$G$1000&lt;&gt;""),""),_xlfn._xlws.FILTER('E2E core flow'!$U$15:$U$1000,('E2E core flow'!$A$15:$A$1000&lt;&gt;"")*ISNUMBER(SEARCH('E2E core flow'!$A$15:$A$1000,$E477))*('E2E core flow'!$U$15:$U$1000&lt;&gt;""),"")))),"-"))</f>
        <v/>
      </c>
    </row>
    <row r="478" spans="7:19" x14ac:dyDescent="0.3">
      <c r="G478" s="68" t="str" cm="1">
        <f t="array" ref="G478">_xlfn.LET(_xlpm.ids,'E2E core flow'!$A$15:$A$1000,_xlpm.v,'E2E core flow'!$W$15:$W$1000,_xlpm.m,(_xlpm.ids&lt;&gt;"")*ISNUMBER(SEARCH(_xlpm.ids,$E478)),_xlpm.f,SUM(_xlpm.m*(_xlpm.v="Failed")),_xlpm.b,SUM(_xlpm.m*(_xlpm.v="Blocked")),_xlpm.nr,SUM(_xlpm.m*(_xlpm.v="Not Run")),_xlpm.cp,SUM(_xlpm.m*(_xlpm.v="Conditionally Passed")),_xlpm.p,SUM(_xlpm.m*(_xlpm.v="Passed")),IF(TRIM($A478)="","",IF(TRIM($E478)="","Pending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78" s="68" t="str">
        <f>IF(TRIM($A478)="","",IF($J478="Passed","",IF($J478="Passed with Known Issue","Known Issue",IF($J478="",IF(OR($H478&lt;&gt;"No",AND($F478&lt;&gt;"Medium",$F478&lt;&gt;"Low")),"Pending Result",""),IF(OR($H478&lt;&gt;"No",AND($F478&lt;&gt;"Medium",$F478&lt;&gt;"Low")),IF(COUNTIFS(Dashboard!$B$105:$B$124,$A478,Dashboard!$I$105:$I$124,"CAB")&gt;0,"Accepted (CF)","Blocking"),IF($J478="Failed","Deferrable","Carry Over"))))))</f>
        <v/>
      </c>
      <c r="M478" s="68" t="str">
        <f>IF(OR(TRIM($A478)="",TRIM($E478)=""),"",IFERROR(INDEX('E2E core flow'!$B$15:$B$1000,MATCH(1,INDEX(('E2E core flow'!$A$15:$A$1000&lt;&gt;"")*ISNUMBER(SEARCH('E2E core flow'!$A$15:$A$1000,$E478)),0),0))&amp;"","-"))</f>
        <v/>
      </c>
      <c r="N478" s="68" t="str">
        <f>IF(TRIM($A478)="","",IF($O478=0,IF(COUNTIFS('Card Test Cases'!$B$4:$B$1000,$A478,'Card Test Cases'!$A$4:$A$1000,"&lt;&gt;")&gt;0,"Out of Scope","No TC"),IF($Q478&gt;0,"Failed",IF(COUNTIFS('Card Test Cases'!$B$4:$B$1000,$A478,'Card Test Cases'!$A$4:$A$1000,"&lt;&gt;",'Card Test Cases'!$F$4:$F$1000,"Blocked")&gt;0,"Blocked",IF($R478&gt;0,"In Progress","Passed")))))</f>
        <v/>
      </c>
      <c r="O478" s="68" t="str">
        <f>IF(TRIM($A478)="","",COUNTIFS('Card Test Cases'!$B$4:$B$1000,$A478,'Card Test Cases'!$A$4:$A$1000,"&lt;&gt;",'Card Test Cases'!$F$4:$F$1000,"&lt;&gt;Out of Scope"))</f>
        <v/>
      </c>
      <c r="P478" s="68" t="str">
        <f>IF(TRIM($A478)="","",COUNTIFS('Card Test Cases'!$B$4:$B$1000,$A478,'Card Test Cases'!$A$4:$A$1000,"&lt;&gt;",'Card Test Cases'!$F$4:$F$1000,"Passed"))</f>
        <v/>
      </c>
      <c r="Q478" s="68" t="str">
        <f>IF(TRIM($A478)="","",COUNTIFS('Card Test Cases'!$B$4:$B$1000,$A478,'Card Test Cases'!$A$4:$A$1000,"&lt;&gt;",'Card Test Cases'!$F$4:$F$1000,"Failed"))</f>
        <v/>
      </c>
      <c r="R478" s="68" t="str">
        <f t="shared" si="7"/>
        <v/>
      </c>
      <c r="S478" s="68" t="str" cm="1">
        <f t="array" ref="S478">IF(TRIM($A478)="","",IFERROR(_xlfn.TEXTJOIN(", ",TRUE,_xlfn.UNIQUE(_xlfn.VSTACK(_xlfn._xlws.FILTER('Card Test Cases'!$G$4:$G$1000,('Card Test Cases'!$B$4:$B$1000=$A478)*('Card Test Cases'!$G$4:$G$1000&lt;&gt;""),""),_xlfn._xlws.FILTER('E2E core flow'!$U$15:$U$1000,('E2E core flow'!$A$15:$A$1000&lt;&gt;"")*ISNUMBER(SEARCH('E2E core flow'!$A$15:$A$1000,$E478))*('E2E core flow'!$U$15:$U$1000&lt;&gt;""),"")))),"-"))</f>
        <v/>
      </c>
    </row>
    <row r="479" spans="7:19" x14ac:dyDescent="0.3">
      <c r="G479" s="68" t="str" cm="1">
        <f t="array" ref="G479">_xlfn.LET(_xlpm.ids,'E2E core flow'!$A$15:$A$1000,_xlpm.v,'E2E core flow'!$W$15:$W$1000,_xlpm.m,(_xlpm.ids&lt;&gt;"")*ISNUMBER(SEARCH(_xlpm.ids,$E479)),_xlpm.f,SUM(_xlpm.m*(_xlpm.v="Failed")),_xlpm.b,SUM(_xlpm.m*(_xlpm.v="Blocked")),_xlpm.nr,SUM(_xlpm.m*(_xlpm.v="Not Run")),_xlpm.cp,SUM(_xlpm.m*(_xlpm.v="Conditionally Passed")),_xlpm.p,SUM(_xlpm.m*(_xlpm.v="Passed")),IF(TRIM($A479)="","",IF(TRIM($E479)="","Pending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79" s="68" t="str">
        <f>IF(TRIM($A479)="","",IF($J479="Passed","",IF($J479="Passed with Known Issue","Known Issue",IF($J479="",IF(OR($H479&lt;&gt;"No",AND($F479&lt;&gt;"Medium",$F479&lt;&gt;"Low")),"Pending Result",""),IF(OR($H479&lt;&gt;"No",AND($F479&lt;&gt;"Medium",$F479&lt;&gt;"Low")),IF(COUNTIFS(Dashboard!$B$105:$B$124,$A479,Dashboard!$I$105:$I$124,"CAB")&gt;0,"Accepted (CF)","Blocking"),IF($J479="Failed","Deferrable","Carry Over"))))))</f>
        <v/>
      </c>
      <c r="M479" s="68" t="str">
        <f>IF(OR(TRIM($A479)="",TRIM($E479)=""),"",IFERROR(INDEX('E2E core flow'!$B$15:$B$1000,MATCH(1,INDEX(('E2E core flow'!$A$15:$A$1000&lt;&gt;"")*ISNUMBER(SEARCH('E2E core flow'!$A$15:$A$1000,$E479)),0),0))&amp;"","-"))</f>
        <v/>
      </c>
      <c r="N479" s="68" t="str">
        <f>IF(TRIM($A479)="","",IF($O479=0,IF(COUNTIFS('Card Test Cases'!$B$4:$B$1000,$A479,'Card Test Cases'!$A$4:$A$1000,"&lt;&gt;")&gt;0,"Out of Scope","No TC"),IF($Q479&gt;0,"Failed",IF(COUNTIFS('Card Test Cases'!$B$4:$B$1000,$A479,'Card Test Cases'!$A$4:$A$1000,"&lt;&gt;",'Card Test Cases'!$F$4:$F$1000,"Blocked")&gt;0,"Blocked",IF($R479&gt;0,"In Progress","Passed")))))</f>
        <v/>
      </c>
      <c r="O479" s="68" t="str">
        <f>IF(TRIM($A479)="","",COUNTIFS('Card Test Cases'!$B$4:$B$1000,$A479,'Card Test Cases'!$A$4:$A$1000,"&lt;&gt;",'Card Test Cases'!$F$4:$F$1000,"&lt;&gt;Out of Scope"))</f>
        <v/>
      </c>
      <c r="P479" s="68" t="str">
        <f>IF(TRIM($A479)="","",COUNTIFS('Card Test Cases'!$B$4:$B$1000,$A479,'Card Test Cases'!$A$4:$A$1000,"&lt;&gt;",'Card Test Cases'!$F$4:$F$1000,"Passed"))</f>
        <v/>
      </c>
      <c r="Q479" s="68" t="str">
        <f>IF(TRIM($A479)="","",COUNTIFS('Card Test Cases'!$B$4:$B$1000,$A479,'Card Test Cases'!$A$4:$A$1000,"&lt;&gt;",'Card Test Cases'!$F$4:$F$1000,"Failed"))</f>
        <v/>
      </c>
      <c r="R479" s="68" t="str">
        <f t="shared" si="7"/>
        <v/>
      </c>
      <c r="S479" s="68" t="str" cm="1">
        <f t="array" ref="S479">IF(TRIM($A479)="","",IFERROR(_xlfn.TEXTJOIN(", ",TRUE,_xlfn.UNIQUE(_xlfn.VSTACK(_xlfn._xlws.FILTER('Card Test Cases'!$G$4:$G$1000,('Card Test Cases'!$B$4:$B$1000=$A479)*('Card Test Cases'!$G$4:$G$1000&lt;&gt;""),""),_xlfn._xlws.FILTER('E2E core flow'!$U$15:$U$1000,('E2E core flow'!$A$15:$A$1000&lt;&gt;"")*ISNUMBER(SEARCH('E2E core flow'!$A$15:$A$1000,$E479))*('E2E core flow'!$U$15:$U$1000&lt;&gt;""),"")))),"-"))</f>
        <v/>
      </c>
    </row>
    <row r="480" spans="7:19" x14ac:dyDescent="0.3">
      <c r="G480" s="68" t="str" cm="1">
        <f t="array" ref="G480">_xlfn.LET(_xlpm.ids,'E2E core flow'!$A$15:$A$1000,_xlpm.v,'E2E core flow'!$W$15:$W$1000,_xlpm.m,(_xlpm.ids&lt;&gt;"")*ISNUMBER(SEARCH(_xlpm.ids,$E480)),_xlpm.f,SUM(_xlpm.m*(_xlpm.v="Failed")),_xlpm.b,SUM(_xlpm.m*(_xlpm.v="Blocked")),_xlpm.nr,SUM(_xlpm.m*(_xlpm.v="Not Run")),_xlpm.cp,SUM(_xlpm.m*(_xlpm.v="Conditionally Passed")),_xlpm.p,SUM(_xlpm.m*(_xlpm.v="Passed")),IF(TRIM($A480)="","",IF(TRIM($E480)="","Pending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80" s="68" t="str">
        <f>IF(TRIM($A480)="","",IF($J480="Passed","",IF($J480="Passed with Known Issue","Known Issue",IF($J480="",IF(OR($H480&lt;&gt;"No",AND($F480&lt;&gt;"Medium",$F480&lt;&gt;"Low")),"Pending Result",""),IF(OR($H480&lt;&gt;"No",AND($F480&lt;&gt;"Medium",$F480&lt;&gt;"Low")),IF(COUNTIFS(Dashboard!$B$105:$B$124,$A480,Dashboard!$I$105:$I$124,"CAB")&gt;0,"Accepted (CF)","Blocking"),IF($J480="Failed","Deferrable","Carry Over"))))))</f>
        <v/>
      </c>
      <c r="M480" s="68" t="str">
        <f>IF(OR(TRIM($A480)="",TRIM($E480)=""),"",IFERROR(INDEX('E2E core flow'!$B$15:$B$1000,MATCH(1,INDEX(('E2E core flow'!$A$15:$A$1000&lt;&gt;"")*ISNUMBER(SEARCH('E2E core flow'!$A$15:$A$1000,$E480)),0),0))&amp;"","-"))</f>
        <v/>
      </c>
      <c r="N480" s="68" t="str">
        <f>IF(TRIM($A480)="","",IF($O480=0,IF(COUNTIFS('Card Test Cases'!$B$4:$B$1000,$A480,'Card Test Cases'!$A$4:$A$1000,"&lt;&gt;")&gt;0,"Out of Scope","No TC"),IF($Q480&gt;0,"Failed",IF(COUNTIFS('Card Test Cases'!$B$4:$B$1000,$A480,'Card Test Cases'!$A$4:$A$1000,"&lt;&gt;",'Card Test Cases'!$F$4:$F$1000,"Blocked")&gt;0,"Blocked",IF($R480&gt;0,"In Progress","Passed")))))</f>
        <v/>
      </c>
      <c r="O480" s="68" t="str">
        <f>IF(TRIM($A480)="","",COUNTIFS('Card Test Cases'!$B$4:$B$1000,$A480,'Card Test Cases'!$A$4:$A$1000,"&lt;&gt;",'Card Test Cases'!$F$4:$F$1000,"&lt;&gt;Out of Scope"))</f>
        <v/>
      </c>
      <c r="P480" s="68" t="str">
        <f>IF(TRIM($A480)="","",COUNTIFS('Card Test Cases'!$B$4:$B$1000,$A480,'Card Test Cases'!$A$4:$A$1000,"&lt;&gt;",'Card Test Cases'!$F$4:$F$1000,"Passed"))</f>
        <v/>
      </c>
      <c r="Q480" s="68" t="str">
        <f>IF(TRIM($A480)="","",COUNTIFS('Card Test Cases'!$B$4:$B$1000,$A480,'Card Test Cases'!$A$4:$A$1000,"&lt;&gt;",'Card Test Cases'!$F$4:$F$1000,"Failed"))</f>
        <v/>
      </c>
      <c r="R480" s="68" t="str">
        <f t="shared" si="7"/>
        <v/>
      </c>
      <c r="S480" s="68" t="str" cm="1">
        <f t="array" ref="S480">IF(TRIM($A480)="","",IFERROR(_xlfn.TEXTJOIN(", ",TRUE,_xlfn.UNIQUE(_xlfn.VSTACK(_xlfn._xlws.FILTER('Card Test Cases'!$G$4:$G$1000,('Card Test Cases'!$B$4:$B$1000=$A480)*('Card Test Cases'!$G$4:$G$1000&lt;&gt;""),""),_xlfn._xlws.FILTER('E2E core flow'!$U$15:$U$1000,('E2E core flow'!$A$15:$A$1000&lt;&gt;"")*ISNUMBER(SEARCH('E2E core flow'!$A$15:$A$1000,$E480))*('E2E core flow'!$U$15:$U$1000&lt;&gt;""),"")))),"-"))</f>
        <v/>
      </c>
    </row>
    <row r="481" spans="7:19" x14ac:dyDescent="0.3">
      <c r="G481" s="68" t="str" cm="1">
        <f t="array" ref="G481">_xlfn.LET(_xlpm.ids,'E2E core flow'!$A$15:$A$1000,_xlpm.v,'E2E core flow'!$W$15:$W$1000,_xlpm.m,(_xlpm.ids&lt;&gt;"")*ISNUMBER(SEARCH(_xlpm.ids,$E481)),_xlpm.f,SUM(_xlpm.m*(_xlpm.v="Failed")),_xlpm.b,SUM(_xlpm.m*(_xlpm.v="Blocked")),_xlpm.nr,SUM(_xlpm.m*(_xlpm.v="Not Run")),_xlpm.cp,SUM(_xlpm.m*(_xlpm.v="Conditionally Passed")),_xlpm.p,SUM(_xlpm.m*(_xlpm.v="Passed")),IF(TRIM($A481)="","",IF(TRIM($E481)="","Pending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81" s="68" t="str">
        <f>IF(TRIM($A481)="","",IF($J481="Passed","",IF($J481="Passed with Known Issue","Known Issue",IF($J481="",IF(OR($H481&lt;&gt;"No",AND($F481&lt;&gt;"Medium",$F481&lt;&gt;"Low")),"Pending Result",""),IF(OR($H481&lt;&gt;"No",AND($F481&lt;&gt;"Medium",$F481&lt;&gt;"Low")),IF(COUNTIFS(Dashboard!$B$105:$B$124,$A481,Dashboard!$I$105:$I$124,"CAB")&gt;0,"Accepted (CF)","Blocking"),IF($J481="Failed","Deferrable","Carry Over"))))))</f>
        <v/>
      </c>
      <c r="M481" s="68" t="str">
        <f>IF(OR(TRIM($A481)="",TRIM($E481)=""),"",IFERROR(INDEX('E2E core flow'!$B$15:$B$1000,MATCH(1,INDEX(('E2E core flow'!$A$15:$A$1000&lt;&gt;"")*ISNUMBER(SEARCH('E2E core flow'!$A$15:$A$1000,$E481)),0),0))&amp;"","-"))</f>
        <v/>
      </c>
      <c r="N481" s="68" t="str">
        <f>IF(TRIM($A481)="","",IF($O481=0,IF(COUNTIFS('Card Test Cases'!$B$4:$B$1000,$A481,'Card Test Cases'!$A$4:$A$1000,"&lt;&gt;")&gt;0,"Out of Scope","No TC"),IF($Q481&gt;0,"Failed",IF(COUNTIFS('Card Test Cases'!$B$4:$B$1000,$A481,'Card Test Cases'!$A$4:$A$1000,"&lt;&gt;",'Card Test Cases'!$F$4:$F$1000,"Blocked")&gt;0,"Blocked",IF($R481&gt;0,"In Progress","Passed")))))</f>
        <v/>
      </c>
      <c r="O481" s="68" t="str">
        <f>IF(TRIM($A481)="","",COUNTIFS('Card Test Cases'!$B$4:$B$1000,$A481,'Card Test Cases'!$A$4:$A$1000,"&lt;&gt;",'Card Test Cases'!$F$4:$F$1000,"&lt;&gt;Out of Scope"))</f>
        <v/>
      </c>
      <c r="P481" s="68" t="str">
        <f>IF(TRIM($A481)="","",COUNTIFS('Card Test Cases'!$B$4:$B$1000,$A481,'Card Test Cases'!$A$4:$A$1000,"&lt;&gt;",'Card Test Cases'!$F$4:$F$1000,"Passed"))</f>
        <v/>
      </c>
      <c r="Q481" s="68" t="str">
        <f>IF(TRIM($A481)="","",COUNTIFS('Card Test Cases'!$B$4:$B$1000,$A481,'Card Test Cases'!$A$4:$A$1000,"&lt;&gt;",'Card Test Cases'!$F$4:$F$1000,"Failed"))</f>
        <v/>
      </c>
      <c r="R481" s="68" t="str">
        <f t="shared" si="7"/>
        <v/>
      </c>
      <c r="S481" s="68" t="str" cm="1">
        <f t="array" ref="S481">IF(TRIM($A481)="","",IFERROR(_xlfn.TEXTJOIN(", ",TRUE,_xlfn.UNIQUE(_xlfn.VSTACK(_xlfn._xlws.FILTER('Card Test Cases'!$G$4:$G$1000,('Card Test Cases'!$B$4:$B$1000=$A481)*('Card Test Cases'!$G$4:$G$1000&lt;&gt;""),""),_xlfn._xlws.FILTER('E2E core flow'!$U$15:$U$1000,('E2E core flow'!$A$15:$A$1000&lt;&gt;"")*ISNUMBER(SEARCH('E2E core flow'!$A$15:$A$1000,$E481))*('E2E core flow'!$U$15:$U$1000&lt;&gt;""),"")))),"-"))</f>
        <v/>
      </c>
    </row>
    <row r="482" spans="7:19" x14ac:dyDescent="0.3">
      <c r="G482" s="68" t="str" cm="1">
        <f t="array" ref="G482">_xlfn.LET(_xlpm.ids,'E2E core flow'!$A$15:$A$1000,_xlpm.v,'E2E core flow'!$W$15:$W$1000,_xlpm.m,(_xlpm.ids&lt;&gt;"")*ISNUMBER(SEARCH(_xlpm.ids,$E482)),_xlpm.f,SUM(_xlpm.m*(_xlpm.v="Failed")),_xlpm.b,SUM(_xlpm.m*(_xlpm.v="Blocked")),_xlpm.nr,SUM(_xlpm.m*(_xlpm.v="Not Run")),_xlpm.cp,SUM(_xlpm.m*(_xlpm.v="Conditionally Passed")),_xlpm.p,SUM(_xlpm.m*(_xlpm.v="Passed")),IF(TRIM($A482)="","",IF(TRIM($E482)="","Pending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82" s="68" t="str">
        <f>IF(TRIM($A482)="","",IF($J482="Passed","",IF($J482="Passed with Known Issue","Known Issue",IF($J482="",IF(OR($H482&lt;&gt;"No",AND($F482&lt;&gt;"Medium",$F482&lt;&gt;"Low")),"Pending Result",""),IF(OR($H482&lt;&gt;"No",AND($F482&lt;&gt;"Medium",$F482&lt;&gt;"Low")),IF(COUNTIFS(Dashboard!$B$105:$B$124,$A482,Dashboard!$I$105:$I$124,"CAB")&gt;0,"Accepted (CF)","Blocking"),IF($J482="Failed","Deferrable","Carry Over"))))))</f>
        <v/>
      </c>
      <c r="M482" s="68" t="str">
        <f>IF(OR(TRIM($A482)="",TRIM($E482)=""),"",IFERROR(INDEX('E2E core flow'!$B$15:$B$1000,MATCH(1,INDEX(('E2E core flow'!$A$15:$A$1000&lt;&gt;"")*ISNUMBER(SEARCH('E2E core flow'!$A$15:$A$1000,$E482)),0),0))&amp;"","-"))</f>
        <v/>
      </c>
      <c r="N482" s="68" t="str">
        <f>IF(TRIM($A482)="","",IF($O482=0,IF(COUNTIFS('Card Test Cases'!$B$4:$B$1000,$A482,'Card Test Cases'!$A$4:$A$1000,"&lt;&gt;")&gt;0,"Out of Scope","No TC"),IF($Q482&gt;0,"Failed",IF(COUNTIFS('Card Test Cases'!$B$4:$B$1000,$A482,'Card Test Cases'!$A$4:$A$1000,"&lt;&gt;",'Card Test Cases'!$F$4:$F$1000,"Blocked")&gt;0,"Blocked",IF($R482&gt;0,"In Progress","Passed")))))</f>
        <v/>
      </c>
      <c r="O482" s="68" t="str">
        <f>IF(TRIM($A482)="","",COUNTIFS('Card Test Cases'!$B$4:$B$1000,$A482,'Card Test Cases'!$A$4:$A$1000,"&lt;&gt;",'Card Test Cases'!$F$4:$F$1000,"&lt;&gt;Out of Scope"))</f>
        <v/>
      </c>
      <c r="P482" s="68" t="str">
        <f>IF(TRIM($A482)="","",COUNTIFS('Card Test Cases'!$B$4:$B$1000,$A482,'Card Test Cases'!$A$4:$A$1000,"&lt;&gt;",'Card Test Cases'!$F$4:$F$1000,"Passed"))</f>
        <v/>
      </c>
      <c r="Q482" s="68" t="str">
        <f>IF(TRIM($A482)="","",COUNTIFS('Card Test Cases'!$B$4:$B$1000,$A482,'Card Test Cases'!$A$4:$A$1000,"&lt;&gt;",'Card Test Cases'!$F$4:$F$1000,"Failed"))</f>
        <v/>
      </c>
      <c r="R482" s="68" t="str">
        <f t="shared" si="7"/>
        <v/>
      </c>
      <c r="S482" s="68" t="str" cm="1">
        <f t="array" ref="S482">IF(TRIM($A482)="","",IFERROR(_xlfn.TEXTJOIN(", ",TRUE,_xlfn.UNIQUE(_xlfn.VSTACK(_xlfn._xlws.FILTER('Card Test Cases'!$G$4:$G$1000,('Card Test Cases'!$B$4:$B$1000=$A482)*('Card Test Cases'!$G$4:$G$1000&lt;&gt;""),""),_xlfn._xlws.FILTER('E2E core flow'!$U$15:$U$1000,('E2E core flow'!$A$15:$A$1000&lt;&gt;"")*ISNUMBER(SEARCH('E2E core flow'!$A$15:$A$1000,$E482))*('E2E core flow'!$U$15:$U$1000&lt;&gt;""),"")))),"-"))</f>
        <v/>
      </c>
    </row>
    <row r="483" spans="7:19" x14ac:dyDescent="0.3">
      <c r="G483" s="68" t="str" cm="1">
        <f t="array" ref="G483">_xlfn.LET(_xlpm.ids,'E2E core flow'!$A$15:$A$1000,_xlpm.v,'E2E core flow'!$W$15:$W$1000,_xlpm.m,(_xlpm.ids&lt;&gt;"")*ISNUMBER(SEARCH(_xlpm.ids,$E483)),_xlpm.f,SUM(_xlpm.m*(_xlpm.v="Failed")),_xlpm.b,SUM(_xlpm.m*(_xlpm.v="Blocked")),_xlpm.nr,SUM(_xlpm.m*(_xlpm.v="Not Run")),_xlpm.cp,SUM(_xlpm.m*(_xlpm.v="Conditionally Passed")),_xlpm.p,SUM(_xlpm.m*(_xlpm.v="Passed")),IF(TRIM($A483)="","",IF(TRIM($E483)="","Pending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83" s="68" t="str">
        <f>IF(TRIM($A483)="","",IF($J483="Passed","",IF($J483="Passed with Known Issue","Known Issue",IF($J483="",IF(OR($H483&lt;&gt;"No",AND($F483&lt;&gt;"Medium",$F483&lt;&gt;"Low")),"Pending Result",""),IF(OR($H483&lt;&gt;"No",AND($F483&lt;&gt;"Medium",$F483&lt;&gt;"Low")),IF(COUNTIFS(Dashboard!$B$105:$B$124,$A483,Dashboard!$I$105:$I$124,"CAB")&gt;0,"Accepted (CF)","Blocking"),IF($J483="Failed","Deferrable","Carry Over"))))))</f>
        <v/>
      </c>
      <c r="M483" s="68" t="str">
        <f>IF(OR(TRIM($A483)="",TRIM($E483)=""),"",IFERROR(INDEX('E2E core flow'!$B$15:$B$1000,MATCH(1,INDEX(('E2E core flow'!$A$15:$A$1000&lt;&gt;"")*ISNUMBER(SEARCH('E2E core flow'!$A$15:$A$1000,$E483)),0),0))&amp;"","-"))</f>
        <v/>
      </c>
      <c r="N483" s="68" t="str">
        <f>IF(TRIM($A483)="","",IF($O483=0,IF(COUNTIFS('Card Test Cases'!$B$4:$B$1000,$A483,'Card Test Cases'!$A$4:$A$1000,"&lt;&gt;")&gt;0,"Out of Scope","No TC"),IF($Q483&gt;0,"Failed",IF(COUNTIFS('Card Test Cases'!$B$4:$B$1000,$A483,'Card Test Cases'!$A$4:$A$1000,"&lt;&gt;",'Card Test Cases'!$F$4:$F$1000,"Blocked")&gt;0,"Blocked",IF($R483&gt;0,"In Progress","Passed")))))</f>
        <v/>
      </c>
      <c r="O483" s="68" t="str">
        <f>IF(TRIM($A483)="","",COUNTIFS('Card Test Cases'!$B$4:$B$1000,$A483,'Card Test Cases'!$A$4:$A$1000,"&lt;&gt;",'Card Test Cases'!$F$4:$F$1000,"&lt;&gt;Out of Scope"))</f>
        <v/>
      </c>
      <c r="P483" s="68" t="str">
        <f>IF(TRIM($A483)="","",COUNTIFS('Card Test Cases'!$B$4:$B$1000,$A483,'Card Test Cases'!$A$4:$A$1000,"&lt;&gt;",'Card Test Cases'!$F$4:$F$1000,"Passed"))</f>
        <v/>
      </c>
      <c r="Q483" s="68" t="str">
        <f>IF(TRIM($A483)="","",COUNTIFS('Card Test Cases'!$B$4:$B$1000,$A483,'Card Test Cases'!$A$4:$A$1000,"&lt;&gt;",'Card Test Cases'!$F$4:$F$1000,"Failed"))</f>
        <v/>
      </c>
      <c r="R483" s="68" t="str">
        <f t="shared" si="7"/>
        <v/>
      </c>
      <c r="S483" s="68" t="str" cm="1">
        <f t="array" ref="S483">IF(TRIM($A483)="","",IFERROR(_xlfn.TEXTJOIN(", ",TRUE,_xlfn.UNIQUE(_xlfn.VSTACK(_xlfn._xlws.FILTER('Card Test Cases'!$G$4:$G$1000,('Card Test Cases'!$B$4:$B$1000=$A483)*('Card Test Cases'!$G$4:$G$1000&lt;&gt;""),""),_xlfn._xlws.FILTER('E2E core flow'!$U$15:$U$1000,('E2E core flow'!$A$15:$A$1000&lt;&gt;"")*ISNUMBER(SEARCH('E2E core flow'!$A$15:$A$1000,$E483))*('E2E core flow'!$U$15:$U$1000&lt;&gt;""),"")))),"-"))</f>
        <v/>
      </c>
    </row>
    <row r="484" spans="7:19" x14ac:dyDescent="0.3">
      <c r="G484" s="68" t="str" cm="1">
        <f t="array" ref="G484">_xlfn.LET(_xlpm.ids,'E2E core flow'!$A$15:$A$1000,_xlpm.v,'E2E core flow'!$W$15:$W$1000,_xlpm.m,(_xlpm.ids&lt;&gt;"")*ISNUMBER(SEARCH(_xlpm.ids,$E484)),_xlpm.f,SUM(_xlpm.m*(_xlpm.v="Failed")),_xlpm.b,SUM(_xlpm.m*(_xlpm.v="Blocked")),_xlpm.nr,SUM(_xlpm.m*(_xlpm.v="Not Run")),_xlpm.cp,SUM(_xlpm.m*(_xlpm.v="Conditionally Passed")),_xlpm.p,SUM(_xlpm.m*(_xlpm.v="Passed")),IF(TRIM($A484)="","",IF(TRIM($E484)="","Pending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84" s="68" t="str">
        <f>IF(TRIM($A484)="","",IF($J484="Passed","",IF($J484="Passed with Known Issue","Known Issue",IF($J484="",IF(OR($H484&lt;&gt;"No",AND($F484&lt;&gt;"Medium",$F484&lt;&gt;"Low")),"Pending Result",""),IF(OR($H484&lt;&gt;"No",AND($F484&lt;&gt;"Medium",$F484&lt;&gt;"Low")),IF(COUNTIFS(Dashboard!$B$105:$B$124,$A484,Dashboard!$I$105:$I$124,"CAB")&gt;0,"Accepted (CF)","Blocking"),IF($J484="Failed","Deferrable","Carry Over"))))))</f>
        <v/>
      </c>
      <c r="M484" s="68" t="str">
        <f>IF(OR(TRIM($A484)="",TRIM($E484)=""),"",IFERROR(INDEX('E2E core flow'!$B$15:$B$1000,MATCH(1,INDEX(('E2E core flow'!$A$15:$A$1000&lt;&gt;"")*ISNUMBER(SEARCH('E2E core flow'!$A$15:$A$1000,$E484)),0),0))&amp;"","-"))</f>
        <v/>
      </c>
      <c r="N484" s="68" t="str">
        <f>IF(TRIM($A484)="","",IF($O484=0,IF(COUNTIFS('Card Test Cases'!$B$4:$B$1000,$A484,'Card Test Cases'!$A$4:$A$1000,"&lt;&gt;")&gt;0,"Out of Scope","No TC"),IF($Q484&gt;0,"Failed",IF(COUNTIFS('Card Test Cases'!$B$4:$B$1000,$A484,'Card Test Cases'!$A$4:$A$1000,"&lt;&gt;",'Card Test Cases'!$F$4:$F$1000,"Blocked")&gt;0,"Blocked",IF($R484&gt;0,"In Progress","Passed")))))</f>
        <v/>
      </c>
      <c r="O484" s="68" t="str">
        <f>IF(TRIM($A484)="","",COUNTIFS('Card Test Cases'!$B$4:$B$1000,$A484,'Card Test Cases'!$A$4:$A$1000,"&lt;&gt;",'Card Test Cases'!$F$4:$F$1000,"&lt;&gt;Out of Scope"))</f>
        <v/>
      </c>
      <c r="P484" s="68" t="str">
        <f>IF(TRIM($A484)="","",COUNTIFS('Card Test Cases'!$B$4:$B$1000,$A484,'Card Test Cases'!$A$4:$A$1000,"&lt;&gt;",'Card Test Cases'!$F$4:$F$1000,"Passed"))</f>
        <v/>
      </c>
      <c r="Q484" s="68" t="str">
        <f>IF(TRIM($A484)="","",COUNTIFS('Card Test Cases'!$B$4:$B$1000,$A484,'Card Test Cases'!$A$4:$A$1000,"&lt;&gt;",'Card Test Cases'!$F$4:$F$1000,"Failed"))</f>
        <v/>
      </c>
      <c r="R484" s="68" t="str">
        <f t="shared" si="7"/>
        <v/>
      </c>
      <c r="S484" s="68" t="str" cm="1">
        <f t="array" ref="S484">IF(TRIM($A484)="","",IFERROR(_xlfn.TEXTJOIN(", ",TRUE,_xlfn.UNIQUE(_xlfn.VSTACK(_xlfn._xlws.FILTER('Card Test Cases'!$G$4:$G$1000,('Card Test Cases'!$B$4:$B$1000=$A484)*('Card Test Cases'!$G$4:$G$1000&lt;&gt;""),""),_xlfn._xlws.FILTER('E2E core flow'!$U$15:$U$1000,('E2E core flow'!$A$15:$A$1000&lt;&gt;"")*ISNUMBER(SEARCH('E2E core flow'!$A$15:$A$1000,$E484))*('E2E core flow'!$U$15:$U$1000&lt;&gt;""),"")))),"-"))</f>
        <v/>
      </c>
    </row>
    <row r="485" spans="7:19" x14ac:dyDescent="0.3">
      <c r="G485" s="68" t="str" cm="1">
        <f t="array" ref="G485">_xlfn.LET(_xlpm.ids,'E2E core flow'!$A$15:$A$1000,_xlpm.v,'E2E core flow'!$W$15:$W$1000,_xlpm.m,(_xlpm.ids&lt;&gt;"")*ISNUMBER(SEARCH(_xlpm.ids,$E485)),_xlpm.f,SUM(_xlpm.m*(_xlpm.v="Failed")),_xlpm.b,SUM(_xlpm.m*(_xlpm.v="Blocked")),_xlpm.nr,SUM(_xlpm.m*(_xlpm.v="Not Run")),_xlpm.cp,SUM(_xlpm.m*(_xlpm.v="Conditionally Passed")),_xlpm.p,SUM(_xlpm.m*(_xlpm.v="Passed")),IF(TRIM($A485)="","",IF(TRIM($E485)="","Pending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85" s="68" t="str">
        <f>IF(TRIM($A485)="","",IF($J485="Passed","",IF($J485="Passed with Known Issue","Known Issue",IF($J485="",IF(OR($H485&lt;&gt;"No",AND($F485&lt;&gt;"Medium",$F485&lt;&gt;"Low")),"Pending Result",""),IF(OR($H485&lt;&gt;"No",AND($F485&lt;&gt;"Medium",$F485&lt;&gt;"Low")),IF(COUNTIFS(Dashboard!$B$105:$B$124,$A485,Dashboard!$I$105:$I$124,"CAB")&gt;0,"Accepted (CF)","Blocking"),IF($J485="Failed","Deferrable","Carry Over"))))))</f>
        <v/>
      </c>
      <c r="M485" s="68" t="str">
        <f>IF(OR(TRIM($A485)="",TRIM($E485)=""),"",IFERROR(INDEX('E2E core flow'!$B$15:$B$1000,MATCH(1,INDEX(('E2E core flow'!$A$15:$A$1000&lt;&gt;"")*ISNUMBER(SEARCH('E2E core flow'!$A$15:$A$1000,$E485)),0),0))&amp;"","-"))</f>
        <v/>
      </c>
      <c r="N485" s="68" t="str">
        <f>IF(TRIM($A485)="","",IF($O485=0,IF(COUNTIFS('Card Test Cases'!$B$4:$B$1000,$A485,'Card Test Cases'!$A$4:$A$1000,"&lt;&gt;")&gt;0,"Out of Scope","No TC"),IF($Q485&gt;0,"Failed",IF(COUNTIFS('Card Test Cases'!$B$4:$B$1000,$A485,'Card Test Cases'!$A$4:$A$1000,"&lt;&gt;",'Card Test Cases'!$F$4:$F$1000,"Blocked")&gt;0,"Blocked",IF($R485&gt;0,"In Progress","Passed")))))</f>
        <v/>
      </c>
      <c r="O485" s="68" t="str">
        <f>IF(TRIM($A485)="","",COUNTIFS('Card Test Cases'!$B$4:$B$1000,$A485,'Card Test Cases'!$A$4:$A$1000,"&lt;&gt;",'Card Test Cases'!$F$4:$F$1000,"&lt;&gt;Out of Scope"))</f>
        <v/>
      </c>
      <c r="P485" s="68" t="str">
        <f>IF(TRIM($A485)="","",COUNTIFS('Card Test Cases'!$B$4:$B$1000,$A485,'Card Test Cases'!$A$4:$A$1000,"&lt;&gt;",'Card Test Cases'!$F$4:$F$1000,"Passed"))</f>
        <v/>
      </c>
      <c r="Q485" s="68" t="str">
        <f>IF(TRIM($A485)="","",COUNTIFS('Card Test Cases'!$B$4:$B$1000,$A485,'Card Test Cases'!$A$4:$A$1000,"&lt;&gt;",'Card Test Cases'!$F$4:$F$1000,"Failed"))</f>
        <v/>
      </c>
      <c r="R485" s="68" t="str">
        <f t="shared" si="7"/>
        <v/>
      </c>
      <c r="S485" s="68" t="str" cm="1">
        <f t="array" ref="S485">IF(TRIM($A485)="","",IFERROR(_xlfn.TEXTJOIN(", ",TRUE,_xlfn.UNIQUE(_xlfn.VSTACK(_xlfn._xlws.FILTER('Card Test Cases'!$G$4:$G$1000,('Card Test Cases'!$B$4:$B$1000=$A485)*('Card Test Cases'!$G$4:$G$1000&lt;&gt;""),""),_xlfn._xlws.FILTER('E2E core flow'!$U$15:$U$1000,('E2E core flow'!$A$15:$A$1000&lt;&gt;"")*ISNUMBER(SEARCH('E2E core flow'!$A$15:$A$1000,$E485))*('E2E core flow'!$U$15:$U$1000&lt;&gt;""),"")))),"-"))</f>
        <v/>
      </c>
    </row>
    <row r="486" spans="7:19" x14ac:dyDescent="0.3">
      <c r="G486" s="68" t="str" cm="1">
        <f t="array" ref="G486">_xlfn.LET(_xlpm.ids,'E2E core flow'!$A$15:$A$1000,_xlpm.v,'E2E core flow'!$W$15:$W$1000,_xlpm.m,(_xlpm.ids&lt;&gt;"")*ISNUMBER(SEARCH(_xlpm.ids,$E486)),_xlpm.f,SUM(_xlpm.m*(_xlpm.v="Failed")),_xlpm.b,SUM(_xlpm.m*(_xlpm.v="Blocked")),_xlpm.nr,SUM(_xlpm.m*(_xlpm.v="Not Run")),_xlpm.cp,SUM(_xlpm.m*(_xlpm.v="Conditionally Passed")),_xlpm.p,SUM(_xlpm.m*(_xlpm.v="Passed")),IF(TRIM($A486)="","",IF(TRIM($E486)="","Pending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86" s="68" t="str">
        <f>IF(TRIM($A486)="","",IF($J486="Passed","",IF($J486="Passed with Known Issue","Known Issue",IF($J486="",IF(OR($H486&lt;&gt;"No",AND($F486&lt;&gt;"Medium",$F486&lt;&gt;"Low")),"Pending Result",""),IF(OR($H486&lt;&gt;"No",AND($F486&lt;&gt;"Medium",$F486&lt;&gt;"Low")),IF(COUNTIFS(Dashboard!$B$105:$B$124,$A486,Dashboard!$I$105:$I$124,"CAB")&gt;0,"Accepted (CF)","Blocking"),IF($J486="Failed","Deferrable","Carry Over"))))))</f>
        <v/>
      </c>
      <c r="M486" s="68" t="str">
        <f>IF(OR(TRIM($A486)="",TRIM($E486)=""),"",IFERROR(INDEX('E2E core flow'!$B$15:$B$1000,MATCH(1,INDEX(('E2E core flow'!$A$15:$A$1000&lt;&gt;"")*ISNUMBER(SEARCH('E2E core flow'!$A$15:$A$1000,$E486)),0),0))&amp;"","-"))</f>
        <v/>
      </c>
      <c r="N486" s="68" t="str">
        <f>IF(TRIM($A486)="","",IF($O486=0,IF(COUNTIFS('Card Test Cases'!$B$4:$B$1000,$A486,'Card Test Cases'!$A$4:$A$1000,"&lt;&gt;")&gt;0,"Out of Scope","No TC"),IF($Q486&gt;0,"Failed",IF(COUNTIFS('Card Test Cases'!$B$4:$B$1000,$A486,'Card Test Cases'!$A$4:$A$1000,"&lt;&gt;",'Card Test Cases'!$F$4:$F$1000,"Blocked")&gt;0,"Blocked",IF($R486&gt;0,"In Progress","Passed")))))</f>
        <v/>
      </c>
      <c r="O486" s="68" t="str">
        <f>IF(TRIM($A486)="","",COUNTIFS('Card Test Cases'!$B$4:$B$1000,$A486,'Card Test Cases'!$A$4:$A$1000,"&lt;&gt;",'Card Test Cases'!$F$4:$F$1000,"&lt;&gt;Out of Scope"))</f>
        <v/>
      </c>
      <c r="P486" s="68" t="str">
        <f>IF(TRIM($A486)="","",COUNTIFS('Card Test Cases'!$B$4:$B$1000,$A486,'Card Test Cases'!$A$4:$A$1000,"&lt;&gt;",'Card Test Cases'!$F$4:$F$1000,"Passed"))</f>
        <v/>
      </c>
      <c r="Q486" s="68" t="str">
        <f>IF(TRIM($A486)="","",COUNTIFS('Card Test Cases'!$B$4:$B$1000,$A486,'Card Test Cases'!$A$4:$A$1000,"&lt;&gt;",'Card Test Cases'!$F$4:$F$1000,"Failed"))</f>
        <v/>
      </c>
      <c r="R486" s="68" t="str">
        <f t="shared" si="7"/>
        <v/>
      </c>
      <c r="S486" s="68" t="str" cm="1">
        <f t="array" ref="S486">IF(TRIM($A486)="","",IFERROR(_xlfn.TEXTJOIN(", ",TRUE,_xlfn.UNIQUE(_xlfn.VSTACK(_xlfn._xlws.FILTER('Card Test Cases'!$G$4:$G$1000,('Card Test Cases'!$B$4:$B$1000=$A486)*('Card Test Cases'!$G$4:$G$1000&lt;&gt;""),""),_xlfn._xlws.FILTER('E2E core flow'!$U$15:$U$1000,('E2E core flow'!$A$15:$A$1000&lt;&gt;"")*ISNUMBER(SEARCH('E2E core flow'!$A$15:$A$1000,$E486))*('E2E core flow'!$U$15:$U$1000&lt;&gt;""),"")))),"-"))</f>
        <v/>
      </c>
    </row>
    <row r="487" spans="7:19" x14ac:dyDescent="0.3">
      <c r="G487" s="68" t="str" cm="1">
        <f t="array" ref="G487">_xlfn.LET(_xlpm.ids,'E2E core flow'!$A$15:$A$1000,_xlpm.v,'E2E core flow'!$W$15:$W$1000,_xlpm.m,(_xlpm.ids&lt;&gt;"")*ISNUMBER(SEARCH(_xlpm.ids,$E487)),_xlpm.f,SUM(_xlpm.m*(_xlpm.v="Failed")),_xlpm.b,SUM(_xlpm.m*(_xlpm.v="Blocked")),_xlpm.nr,SUM(_xlpm.m*(_xlpm.v="Not Run")),_xlpm.cp,SUM(_xlpm.m*(_xlpm.v="Conditionally Passed")),_xlpm.p,SUM(_xlpm.m*(_xlpm.v="Passed")),IF(TRIM($A487)="","",IF(TRIM($E487)="","Pending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87" s="68" t="str">
        <f>IF(TRIM($A487)="","",IF($J487="Passed","",IF($J487="Passed with Known Issue","Known Issue",IF($J487="",IF(OR($H487&lt;&gt;"No",AND($F487&lt;&gt;"Medium",$F487&lt;&gt;"Low")),"Pending Result",""),IF(OR($H487&lt;&gt;"No",AND($F487&lt;&gt;"Medium",$F487&lt;&gt;"Low")),IF(COUNTIFS(Dashboard!$B$105:$B$124,$A487,Dashboard!$I$105:$I$124,"CAB")&gt;0,"Accepted (CF)","Blocking"),IF($J487="Failed","Deferrable","Carry Over"))))))</f>
        <v/>
      </c>
      <c r="M487" s="68" t="str">
        <f>IF(OR(TRIM($A487)="",TRIM($E487)=""),"",IFERROR(INDEX('E2E core flow'!$B$15:$B$1000,MATCH(1,INDEX(('E2E core flow'!$A$15:$A$1000&lt;&gt;"")*ISNUMBER(SEARCH('E2E core flow'!$A$15:$A$1000,$E487)),0),0))&amp;"","-"))</f>
        <v/>
      </c>
      <c r="N487" s="68" t="str">
        <f>IF(TRIM($A487)="","",IF($O487=0,IF(COUNTIFS('Card Test Cases'!$B$4:$B$1000,$A487,'Card Test Cases'!$A$4:$A$1000,"&lt;&gt;")&gt;0,"Out of Scope","No TC"),IF($Q487&gt;0,"Failed",IF(COUNTIFS('Card Test Cases'!$B$4:$B$1000,$A487,'Card Test Cases'!$A$4:$A$1000,"&lt;&gt;",'Card Test Cases'!$F$4:$F$1000,"Blocked")&gt;0,"Blocked",IF($R487&gt;0,"In Progress","Passed")))))</f>
        <v/>
      </c>
      <c r="O487" s="68" t="str">
        <f>IF(TRIM($A487)="","",COUNTIFS('Card Test Cases'!$B$4:$B$1000,$A487,'Card Test Cases'!$A$4:$A$1000,"&lt;&gt;",'Card Test Cases'!$F$4:$F$1000,"&lt;&gt;Out of Scope"))</f>
        <v/>
      </c>
      <c r="P487" s="68" t="str">
        <f>IF(TRIM($A487)="","",COUNTIFS('Card Test Cases'!$B$4:$B$1000,$A487,'Card Test Cases'!$A$4:$A$1000,"&lt;&gt;",'Card Test Cases'!$F$4:$F$1000,"Passed"))</f>
        <v/>
      </c>
      <c r="Q487" s="68" t="str">
        <f>IF(TRIM($A487)="","",COUNTIFS('Card Test Cases'!$B$4:$B$1000,$A487,'Card Test Cases'!$A$4:$A$1000,"&lt;&gt;",'Card Test Cases'!$F$4:$F$1000,"Failed"))</f>
        <v/>
      </c>
      <c r="R487" s="68" t="str">
        <f t="shared" si="7"/>
        <v/>
      </c>
      <c r="S487" s="68" t="str" cm="1">
        <f t="array" ref="S487">IF(TRIM($A487)="","",IFERROR(_xlfn.TEXTJOIN(", ",TRUE,_xlfn.UNIQUE(_xlfn.VSTACK(_xlfn._xlws.FILTER('Card Test Cases'!$G$4:$G$1000,('Card Test Cases'!$B$4:$B$1000=$A487)*('Card Test Cases'!$G$4:$G$1000&lt;&gt;""),""),_xlfn._xlws.FILTER('E2E core flow'!$U$15:$U$1000,('E2E core flow'!$A$15:$A$1000&lt;&gt;"")*ISNUMBER(SEARCH('E2E core flow'!$A$15:$A$1000,$E487))*('E2E core flow'!$U$15:$U$1000&lt;&gt;""),"")))),"-"))</f>
        <v/>
      </c>
    </row>
    <row r="488" spans="7:19" x14ac:dyDescent="0.3">
      <c r="G488" s="68" t="str" cm="1">
        <f t="array" ref="G488">_xlfn.LET(_xlpm.ids,'E2E core flow'!$A$15:$A$1000,_xlpm.v,'E2E core flow'!$W$15:$W$1000,_xlpm.m,(_xlpm.ids&lt;&gt;"")*ISNUMBER(SEARCH(_xlpm.ids,$E488)),_xlpm.f,SUM(_xlpm.m*(_xlpm.v="Failed")),_xlpm.b,SUM(_xlpm.m*(_xlpm.v="Blocked")),_xlpm.nr,SUM(_xlpm.m*(_xlpm.v="Not Run")),_xlpm.cp,SUM(_xlpm.m*(_xlpm.v="Conditionally Passed")),_xlpm.p,SUM(_xlpm.m*(_xlpm.v="Passed")),IF(TRIM($A488)="","",IF(TRIM($E488)="","Pending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88" s="68" t="str">
        <f>IF(TRIM($A488)="","",IF($J488="Passed","",IF($J488="Passed with Known Issue","Known Issue",IF($J488="",IF(OR($H488&lt;&gt;"No",AND($F488&lt;&gt;"Medium",$F488&lt;&gt;"Low")),"Pending Result",""),IF(OR($H488&lt;&gt;"No",AND($F488&lt;&gt;"Medium",$F488&lt;&gt;"Low")),IF(COUNTIFS(Dashboard!$B$105:$B$124,$A488,Dashboard!$I$105:$I$124,"CAB")&gt;0,"Accepted (CF)","Blocking"),IF($J488="Failed","Deferrable","Carry Over"))))))</f>
        <v/>
      </c>
      <c r="M488" s="68" t="str">
        <f>IF(OR(TRIM($A488)="",TRIM($E488)=""),"",IFERROR(INDEX('E2E core flow'!$B$15:$B$1000,MATCH(1,INDEX(('E2E core flow'!$A$15:$A$1000&lt;&gt;"")*ISNUMBER(SEARCH('E2E core flow'!$A$15:$A$1000,$E488)),0),0))&amp;"","-"))</f>
        <v/>
      </c>
      <c r="N488" s="68" t="str">
        <f>IF(TRIM($A488)="","",IF($O488=0,IF(COUNTIFS('Card Test Cases'!$B$4:$B$1000,$A488,'Card Test Cases'!$A$4:$A$1000,"&lt;&gt;")&gt;0,"Out of Scope","No TC"),IF($Q488&gt;0,"Failed",IF(COUNTIFS('Card Test Cases'!$B$4:$B$1000,$A488,'Card Test Cases'!$A$4:$A$1000,"&lt;&gt;",'Card Test Cases'!$F$4:$F$1000,"Blocked")&gt;0,"Blocked",IF($R488&gt;0,"In Progress","Passed")))))</f>
        <v/>
      </c>
      <c r="O488" s="68" t="str">
        <f>IF(TRIM($A488)="","",COUNTIFS('Card Test Cases'!$B$4:$B$1000,$A488,'Card Test Cases'!$A$4:$A$1000,"&lt;&gt;",'Card Test Cases'!$F$4:$F$1000,"&lt;&gt;Out of Scope"))</f>
        <v/>
      </c>
      <c r="P488" s="68" t="str">
        <f>IF(TRIM($A488)="","",COUNTIFS('Card Test Cases'!$B$4:$B$1000,$A488,'Card Test Cases'!$A$4:$A$1000,"&lt;&gt;",'Card Test Cases'!$F$4:$F$1000,"Passed"))</f>
        <v/>
      </c>
      <c r="Q488" s="68" t="str">
        <f>IF(TRIM($A488)="","",COUNTIFS('Card Test Cases'!$B$4:$B$1000,$A488,'Card Test Cases'!$A$4:$A$1000,"&lt;&gt;",'Card Test Cases'!$F$4:$F$1000,"Failed"))</f>
        <v/>
      </c>
      <c r="R488" s="68" t="str">
        <f t="shared" si="7"/>
        <v/>
      </c>
      <c r="S488" s="68" t="str" cm="1">
        <f t="array" ref="S488">IF(TRIM($A488)="","",IFERROR(_xlfn.TEXTJOIN(", ",TRUE,_xlfn.UNIQUE(_xlfn.VSTACK(_xlfn._xlws.FILTER('Card Test Cases'!$G$4:$G$1000,('Card Test Cases'!$B$4:$B$1000=$A488)*('Card Test Cases'!$G$4:$G$1000&lt;&gt;""),""),_xlfn._xlws.FILTER('E2E core flow'!$U$15:$U$1000,('E2E core flow'!$A$15:$A$1000&lt;&gt;"")*ISNUMBER(SEARCH('E2E core flow'!$A$15:$A$1000,$E488))*('E2E core flow'!$U$15:$U$1000&lt;&gt;""),"")))),"-"))</f>
        <v/>
      </c>
    </row>
    <row r="489" spans="7:19" x14ac:dyDescent="0.3">
      <c r="G489" s="68" t="str" cm="1">
        <f t="array" ref="G489">_xlfn.LET(_xlpm.ids,'E2E core flow'!$A$15:$A$1000,_xlpm.v,'E2E core flow'!$W$15:$W$1000,_xlpm.m,(_xlpm.ids&lt;&gt;"")*ISNUMBER(SEARCH(_xlpm.ids,$E489)),_xlpm.f,SUM(_xlpm.m*(_xlpm.v="Failed")),_xlpm.b,SUM(_xlpm.m*(_xlpm.v="Blocked")),_xlpm.nr,SUM(_xlpm.m*(_xlpm.v="Not Run")),_xlpm.cp,SUM(_xlpm.m*(_xlpm.v="Conditionally Passed")),_xlpm.p,SUM(_xlpm.m*(_xlpm.v="Passed")),IF(TRIM($A489)="","",IF(TRIM($E489)="","Pending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89" s="68" t="str">
        <f>IF(TRIM($A489)="","",IF($J489="Passed","",IF($J489="Passed with Known Issue","Known Issue",IF($J489="",IF(OR($H489&lt;&gt;"No",AND($F489&lt;&gt;"Medium",$F489&lt;&gt;"Low")),"Pending Result",""),IF(OR($H489&lt;&gt;"No",AND($F489&lt;&gt;"Medium",$F489&lt;&gt;"Low")),IF(COUNTIFS(Dashboard!$B$105:$B$124,$A489,Dashboard!$I$105:$I$124,"CAB")&gt;0,"Accepted (CF)","Blocking"),IF($J489="Failed","Deferrable","Carry Over"))))))</f>
        <v/>
      </c>
      <c r="M489" s="68" t="str">
        <f>IF(OR(TRIM($A489)="",TRIM($E489)=""),"",IFERROR(INDEX('E2E core flow'!$B$15:$B$1000,MATCH(1,INDEX(('E2E core flow'!$A$15:$A$1000&lt;&gt;"")*ISNUMBER(SEARCH('E2E core flow'!$A$15:$A$1000,$E489)),0),0))&amp;"","-"))</f>
        <v/>
      </c>
      <c r="N489" s="68" t="str">
        <f>IF(TRIM($A489)="","",IF($O489=0,IF(COUNTIFS('Card Test Cases'!$B$4:$B$1000,$A489,'Card Test Cases'!$A$4:$A$1000,"&lt;&gt;")&gt;0,"Out of Scope","No TC"),IF($Q489&gt;0,"Failed",IF(COUNTIFS('Card Test Cases'!$B$4:$B$1000,$A489,'Card Test Cases'!$A$4:$A$1000,"&lt;&gt;",'Card Test Cases'!$F$4:$F$1000,"Blocked")&gt;0,"Blocked",IF($R489&gt;0,"In Progress","Passed")))))</f>
        <v/>
      </c>
      <c r="O489" s="68" t="str">
        <f>IF(TRIM($A489)="","",COUNTIFS('Card Test Cases'!$B$4:$B$1000,$A489,'Card Test Cases'!$A$4:$A$1000,"&lt;&gt;",'Card Test Cases'!$F$4:$F$1000,"&lt;&gt;Out of Scope"))</f>
        <v/>
      </c>
      <c r="P489" s="68" t="str">
        <f>IF(TRIM($A489)="","",COUNTIFS('Card Test Cases'!$B$4:$B$1000,$A489,'Card Test Cases'!$A$4:$A$1000,"&lt;&gt;",'Card Test Cases'!$F$4:$F$1000,"Passed"))</f>
        <v/>
      </c>
      <c r="Q489" s="68" t="str">
        <f>IF(TRIM($A489)="","",COUNTIFS('Card Test Cases'!$B$4:$B$1000,$A489,'Card Test Cases'!$A$4:$A$1000,"&lt;&gt;",'Card Test Cases'!$F$4:$F$1000,"Failed"))</f>
        <v/>
      </c>
      <c r="R489" s="68" t="str">
        <f t="shared" si="7"/>
        <v/>
      </c>
      <c r="S489" s="68" t="str" cm="1">
        <f t="array" ref="S489">IF(TRIM($A489)="","",IFERROR(_xlfn.TEXTJOIN(", ",TRUE,_xlfn.UNIQUE(_xlfn.VSTACK(_xlfn._xlws.FILTER('Card Test Cases'!$G$4:$G$1000,('Card Test Cases'!$B$4:$B$1000=$A489)*('Card Test Cases'!$G$4:$G$1000&lt;&gt;""),""),_xlfn._xlws.FILTER('E2E core flow'!$U$15:$U$1000,('E2E core flow'!$A$15:$A$1000&lt;&gt;"")*ISNUMBER(SEARCH('E2E core flow'!$A$15:$A$1000,$E489))*('E2E core flow'!$U$15:$U$1000&lt;&gt;""),"")))),"-"))</f>
        <v/>
      </c>
    </row>
    <row r="490" spans="7:19" x14ac:dyDescent="0.3">
      <c r="G490" s="68" t="str" cm="1">
        <f t="array" ref="G490">_xlfn.LET(_xlpm.ids,'E2E core flow'!$A$15:$A$1000,_xlpm.v,'E2E core flow'!$W$15:$W$1000,_xlpm.m,(_xlpm.ids&lt;&gt;"")*ISNUMBER(SEARCH(_xlpm.ids,$E490)),_xlpm.f,SUM(_xlpm.m*(_xlpm.v="Failed")),_xlpm.b,SUM(_xlpm.m*(_xlpm.v="Blocked")),_xlpm.nr,SUM(_xlpm.m*(_xlpm.v="Not Run")),_xlpm.cp,SUM(_xlpm.m*(_xlpm.v="Conditionally Passed")),_xlpm.p,SUM(_xlpm.m*(_xlpm.v="Passed")),IF(TRIM($A490)="","",IF(TRIM($E490)="","Pending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90" s="68" t="str">
        <f>IF(TRIM($A490)="","",IF($J490="Passed","",IF($J490="Passed with Known Issue","Known Issue",IF($J490="",IF(OR($H490&lt;&gt;"No",AND($F490&lt;&gt;"Medium",$F490&lt;&gt;"Low")),"Pending Result",""),IF(OR($H490&lt;&gt;"No",AND($F490&lt;&gt;"Medium",$F490&lt;&gt;"Low")),IF(COUNTIFS(Dashboard!$B$105:$B$124,$A490,Dashboard!$I$105:$I$124,"CAB")&gt;0,"Accepted (CF)","Blocking"),IF($J490="Failed","Deferrable","Carry Over"))))))</f>
        <v/>
      </c>
      <c r="M490" s="68" t="str">
        <f>IF(OR(TRIM($A490)="",TRIM($E490)=""),"",IFERROR(INDEX('E2E core flow'!$B$15:$B$1000,MATCH(1,INDEX(('E2E core flow'!$A$15:$A$1000&lt;&gt;"")*ISNUMBER(SEARCH('E2E core flow'!$A$15:$A$1000,$E490)),0),0))&amp;"","-"))</f>
        <v/>
      </c>
      <c r="N490" s="68" t="str">
        <f>IF(TRIM($A490)="","",IF($O490=0,IF(COUNTIFS('Card Test Cases'!$B$4:$B$1000,$A490,'Card Test Cases'!$A$4:$A$1000,"&lt;&gt;")&gt;0,"Out of Scope","No TC"),IF($Q490&gt;0,"Failed",IF(COUNTIFS('Card Test Cases'!$B$4:$B$1000,$A490,'Card Test Cases'!$A$4:$A$1000,"&lt;&gt;",'Card Test Cases'!$F$4:$F$1000,"Blocked")&gt;0,"Blocked",IF($R490&gt;0,"In Progress","Passed")))))</f>
        <v/>
      </c>
      <c r="O490" s="68" t="str">
        <f>IF(TRIM($A490)="","",COUNTIFS('Card Test Cases'!$B$4:$B$1000,$A490,'Card Test Cases'!$A$4:$A$1000,"&lt;&gt;",'Card Test Cases'!$F$4:$F$1000,"&lt;&gt;Out of Scope"))</f>
        <v/>
      </c>
      <c r="P490" s="68" t="str">
        <f>IF(TRIM($A490)="","",COUNTIFS('Card Test Cases'!$B$4:$B$1000,$A490,'Card Test Cases'!$A$4:$A$1000,"&lt;&gt;",'Card Test Cases'!$F$4:$F$1000,"Passed"))</f>
        <v/>
      </c>
      <c r="Q490" s="68" t="str">
        <f>IF(TRIM($A490)="","",COUNTIFS('Card Test Cases'!$B$4:$B$1000,$A490,'Card Test Cases'!$A$4:$A$1000,"&lt;&gt;",'Card Test Cases'!$F$4:$F$1000,"Failed"))</f>
        <v/>
      </c>
      <c r="R490" s="68" t="str">
        <f t="shared" si="7"/>
        <v/>
      </c>
      <c r="S490" s="68" t="str" cm="1">
        <f t="array" ref="S490">IF(TRIM($A490)="","",IFERROR(_xlfn.TEXTJOIN(", ",TRUE,_xlfn.UNIQUE(_xlfn.VSTACK(_xlfn._xlws.FILTER('Card Test Cases'!$G$4:$G$1000,('Card Test Cases'!$B$4:$B$1000=$A490)*('Card Test Cases'!$G$4:$G$1000&lt;&gt;""),""),_xlfn._xlws.FILTER('E2E core flow'!$U$15:$U$1000,('E2E core flow'!$A$15:$A$1000&lt;&gt;"")*ISNUMBER(SEARCH('E2E core flow'!$A$15:$A$1000,$E490))*('E2E core flow'!$U$15:$U$1000&lt;&gt;""),"")))),"-"))</f>
        <v/>
      </c>
    </row>
    <row r="491" spans="7:19" x14ac:dyDescent="0.3">
      <c r="G491" s="68" t="str" cm="1">
        <f t="array" ref="G491">_xlfn.LET(_xlpm.ids,'E2E core flow'!$A$15:$A$1000,_xlpm.v,'E2E core flow'!$W$15:$W$1000,_xlpm.m,(_xlpm.ids&lt;&gt;"")*ISNUMBER(SEARCH(_xlpm.ids,$E491)),_xlpm.f,SUM(_xlpm.m*(_xlpm.v="Failed")),_xlpm.b,SUM(_xlpm.m*(_xlpm.v="Blocked")),_xlpm.nr,SUM(_xlpm.m*(_xlpm.v="Not Run")),_xlpm.cp,SUM(_xlpm.m*(_xlpm.v="Conditionally Passed")),_xlpm.p,SUM(_xlpm.m*(_xlpm.v="Passed")),IF(TRIM($A491)="","",IF(TRIM($E491)="","Pending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91" s="68" t="str">
        <f>IF(TRIM($A491)="","",IF($J491="Passed","",IF($J491="Passed with Known Issue","Known Issue",IF($J491="",IF(OR($H491&lt;&gt;"No",AND($F491&lt;&gt;"Medium",$F491&lt;&gt;"Low")),"Pending Result",""),IF(OR($H491&lt;&gt;"No",AND($F491&lt;&gt;"Medium",$F491&lt;&gt;"Low")),IF(COUNTIFS(Dashboard!$B$105:$B$124,$A491,Dashboard!$I$105:$I$124,"CAB")&gt;0,"Accepted (CF)","Blocking"),IF($J491="Failed","Deferrable","Carry Over"))))))</f>
        <v/>
      </c>
      <c r="M491" s="68" t="str">
        <f>IF(OR(TRIM($A491)="",TRIM($E491)=""),"",IFERROR(INDEX('E2E core flow'!$B$15:$B$1000,MATCH(1,INDEX(('E2E core flow'!$A$15:$A$1000&lt;&gt;"")*ISNUMBER(SEARCH('E2E core flow'!$A$15:$A$1000,$E491)),0),0))&amp;"","-"))</f>
        <v/>
      </c>
      <c r="N491" s="68" t="str">
        <f>IF(TRIM($A491)="","",IF($O491=0,IF(COUNTIFS('Card Test Cases'!$B$4:$B$1000,$A491,'Card Test Cases'!$A$4:$A$1000,"&lt;&gt;")&gt;0,"Out of Scope","No TC"),IF($Q491&gt;0,"Failed",IF(COUNTIFS('Card Test Cases'!$B$4:$B$1000,$A491,'Card Test Cases'!$A$4:$A$1000,"&lt;&gt;",'Card Test Cases'!$F$4:$F$1000,"Blocked")&gt;0,"Blocked",IF($R491&gt;0,"In Progress","Passed")))))</f>
        <v/>
      </c>
      <c r="O491" s="68" t="str">
        <f>IF(TRIM($A491)="","",COUNTIFS('Card Test Cases'!$B$4:$B$1000,$A491,'Card Test Cases'!$A$4:$A$1000,"&lt;&gt;",'Card Test Cases'!$F$4:$F$1000,"&lt;&gt;Out of Scope"))</f>
        <v/>
      </c>
      <c r="P491" s="68" t="str">
        <f>IF(TRIM($A491)="","",COUNTIFS('Card Test Cases'!$B$4:$B$1000,$A491,'Card Test Cases'!$A$4:$A$1000,"&lt;&gt;",'Card Test Cases'!$F$4:$F$1000,"Passed"))</f>
        <v/>
      </c>
      <c r="Q491" s="68" t="str">
        <f>IF(TRIM($A491)="","",COUNTIFS('Card Test Cases'!$B$4:$B$1000,$A491,'Card Test Cases'!$A$4:$A$1000,"&lt;&gt;",'Card Test Cases'!$F$4:$F$1000,"Failed"))</f>
        <v/>
      </c>
      <c r="R491" s="68" t="str">
        <f t="shared" si="7"/>
        <v/>
      </c>
      <c r="S491" s="68" t="str" cm="1">
        <f t="array" ref="S491">IF(TRIM($A491)="","",IFERROR(_xlfn.TEXTJOIN(", ",TRUE,_xlfn.UNIQUE(_xlfn.VSTACK(_xlfn._xlws.FILTER('Card Test Cases'!$G$4:$G$1000,('Card Test Cases'!$B$4:$B$1000=$A491)*('Card Test Cases'!$G$4:$G$1000&lt;&gt;""),""),_xlfn._xlws.FILTER('E2E core flow'!$U$15:$U$1000,('E2E core flow'!$A$15:$A$1000&lt;&gt;"")*ISNUMBER(SEARCH('E2E core flow'!$A$15:$A$1000,$E491))*('E2E core flow'!$U$15:$U$1000&lt;&gt;""),"")))),"-"))</f>
        <v/>
      </c>
    </row>
    <row r="492" spans="7:19" x14ac:dyDescent="0.3">
      <c r="G492" s="68" t="str" cm="1">
        <f t="array" ref="G492">_xlfn.LET(_xlpm.ids,'E2E core flow'!$A$15:$A$1000,_xlpm.v,'E2E core flow'!$W$15:$W$1000,_xlpm.m,(_xlpm.ids&lt;&gt;"")*ISNUMBER(SEARCH(_xlpm.ids,$E492)),_xlpm.f,SUM(_xlpm.m*(_xlpm.v="Failed")),_xlpm.b,SUM(_xlpm.m*(_xlpm.v="Blocked")),_xlpm.nr,SUM(_xlpm.m*(_xlpm.v="Not Run")),_xlpm.cp,SUM(_xlpm.m*(_xlpm.v="Conditionally Passed")),_xlpm.p,SUM(_xlpm.m*(_xlpm.v="Passed")),IF(TRIM($A492)="","",IF(TRIM($E492)="","Pending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92" s="68" t="str">
        <f>IF(TRIM($A492)="","",IF($J492="Passed","",IF($J492="Passed with Known Issue","Known Issue",IF($J492="",IF(OR($H492&lt;&gt;"No",AND($F492&lt;&gt;"Medium",$F492&lt;&gt;"Low")),"Pending Result",""),IF(OR($H492&lt;&gt;"No",AND($F492&lt;&gt;"Medium",$F492&lt;&gt;"Low")),IF(COUNTIFS(Dashboard!$B$105:$B$124,$A492,Dashboard!$I$105:$I$124,"CAB")&gt;0,"Accepted (CF)","Blocking"),IF($J492="Failed","Deferrable","Carry Over"))))))</f>
        <v/>
      </c>
      <c r="M492" s="68" t="str">
        <f>IF(OR(TRIM($A492)="",TRIM($E492)=""),"",IFERROR(INDEX('E2E core flow'!$B$15:$B$1000,MATCH(1,INDEX(('E2E core flow'!$A$15:$A$1000&lt;&gt;"")*ISNUMBER(SEARCH('E2E core flow'!$A$15:$A$1000,$E492)),0),0))&amp;"","-"))</f>
        <v/>
      </c>
      <c r="N492" s="68" t="str">
        <f>IF(TRIM($A492)="","",IF($O492=0,IF(COUNTIFS('Card Test Cases'!$B$4:$B$1000,$A492,'Card Test Cases'!$A$4:$A$1000,"&lt;&gt;")&gt;0,"Out of Scope","No TC"),IF($Q492&gt;0,"Failed",IF(COUNTIFS('Card Test Cases'!$B$4:$B$1000,$A492,'Card Test Cases'!$A$4:$A$1000,"&lt;&gt;",'Card Test Cases'!$F$4:$F$1000,"Blocked")&gt;0,"Blocked",IF($R492&gt;0,"In Progress","Passed")))))</f>
        <v/>
      </c>
      <c r="O492" s="68" t="str">
        <f>IF(TRIM($A492)="","",COUNTIFS('Card Test Cases'!$B$4:$B$1000,$A492,'Card Test Cases'!$A$4:$A$1000,"&lt;&gt;",'Card Test Cases'!$F$4:$F$1000,"&lt;&gt;Out of Scope"))</f>
        <v/>
      </c>
      <c r="P492" s="68" t="str">
        <f>IF(TRIM($A492)="","",COUNTIFS('Card Test Cases'!$B$4:$B$1000,$A492,'Card Test Cases'!$A$4:$A$1000,"&lt;&gt;",'Card Test Cases'!$F$4:$F$1000,"Passed"))</f>
        <v/>
      </c>
      <c r="Q492" s="68" t="str">
        <f>IF(TRIM($A492)="","",COUNTIFS('Card Test Cases'!$B$4:$B$1000,$A492,'Card Test Cases'!$A$4:$A$1000,"&lt;&gt;",'Card Test Cases'!$F$4:$F$1000,"Failed"))</f>
        <v/>
      </c>
      <c r="R492" s="68" t="str">
        <f t="shared" si="7"/>
        <v/>
      </c>
      <c r="S492" s="68" t="str" cm="1">
        <f t="array" ref="S492">IF(TRIM($A492)="","",IFERROR(_xlfn.TEXTJOIN(", ",TRUE,_xlfn.UNIQUE(_xlfn.VSTACK(_xlfn._xlws.FILTER('Card Test Cases'!$G$4:$G$1000,('Card Test Cases'!$B$4:$B$1000=$A492)*('Card Test Cases'!$G$4:$G$1000&lt;&gt;""),""),_xlfn._xlws.FILTER('E2E core flow'!$U$15:$U$1000,('E2E core flow'!$A$15:$A$1000&lt;&gt;"")*ISNUMBER(SEARCH('E2E core flow'!$A$15:$A$1000,$E492))*('E2E core flow'!$U$15:$U$1000&lt;&gt;""),"")))),"-"))</f>
        <v/>
      </c>
    </row>
    <row r="493" spans="7:19" x14ac:dyDescent="0.3">
      <c r="G493" s="68" t="str" cm="1">
        <f t="array" ref="G493">_xlfn.LET(_xlpm.ids,'E2E core flow'!$A$15:$A$1000,_xlpm.v,'E2E core flow'!$W$15:$W$1000,_xlpm.m,(_xlpm.ids&lt;&gt;"")*ISNUMBER(SEARCH(_xlpm.ids,$E493)),_xlpm.f,SUM(_xlpm.m*(_xlpm.v="Failed")),_xlpm.b,SUM(_xlpm.m*(_xlpm.v="Blocked")),_xlpm.nr,SUM(_xlpm.m*(_xlpm.v="Not Run")),_xlpm.cp,SUM(_xlpm.m*(_xlpm.v="Conditionally Passed")),_xlpm.p,SUM(_xlpm.m*(_xlpm.v="Passed")),IF(TRIM($A493)="","",IF(TRIM($E493)="","Pending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93" s="68" t="str">
        <f>IF(TRIM($A493)="","",IF($J493="Passed","",IF($J493="Passed with Known Issue","Known Issue",IF($J493="",IF(OR($H493&lt;&gt;"No",AND($F493&lt;&gt;"Medium",$F493&lt;&gt;"Low")),"Pending Result",""),IF(OR($H493&lt;&gt;"No",AND($F493&lt;&gt;"Medium",$F493&lt;&gt;"Low")),IF(COUNTIFS(Dashboard!$B$105:$B$124,$A493,Dashboard!$I$105:$I$124,"CAB")&gt;0,"Accepted (CF)","Blocking"),IF($J493="Failed","Deferrable","Carry Over"))))))</f>
        <v/>
      </c>
      <c r="M493" s="68" t="str">
        <f>IF(OR(TRIM($A493)="",TRIM($E493)=""),"",IFERROR(INDEX('E2E core flow'!$B$15:$B$1000,MATCH(1,INDEX(('E2E core flow'!$A$15:$A$1000&lt;&gt;"")*ISNUMBER(SEARCH('E2E core flow'!$A$15:$A$1000,$E493)),0),0))&amp;"","-"))</f>
        <v/>
      </c>
      <c r="N493" s="68" t="str">
        <f>IF(TRIM($A493)="","",IF($O493=0,IF(COUNTIFS('Card Test Cases'!$B$4:$B$1000,$A493,'Card Test Cases'!$A$4:$A$1000,"&lt;&gt;")&gt;0,"Out of Scope","No TC"),IF($Q493&gt;0,"Failed",IF(COUNTIFS('Card Test Cases'!$B$4:$B$1000,$A493,'Card Test Cases'!$A$4:$A$1000,"&lt;&gt;",'Card Test Cases'!$F$4:$F$1000,"Blocked")&gt;0,"Blocked",IF($R493&gt;0,"In Progress","Passed")))))</f>
        <v/>
      </c>
      <c r="O493" s="68" t="str">
        <f>IF(TRIM($A493)="","",COUNTIFS('Card Test Cases'!$B$4:$B$1000,$A493,'Card Test Cases'!$A$4:$A$1000,"&lt;&gt;",'Card Test Cases'!$F$4:$F$1000,"&lt;&gt;Out of Scope"))</f>
        <v/>
      </c>
      <c r="P493" s="68" t="str">
        <f>IF(TRIM($A493)="","",COUNTIFS('Card Test Cases'!$B$4:$B$1000,$A493,'Card Test Cases'!$A$4:$A$1000,"&lt;&gt;",'Card Test Cases'!$F$4:$F$1000,"Passed"))</f>
        <v/>
      </c>
      <c r="Q493" s="68" t="str">
        <f>IF(TRIM($A493)="","",COUNTIFS('Card Test Cases'!$B$4:$B$1000,$A493,'Card Test Cases'!$A$4:$A$1000,"&lt;&gt;",'Card Test Cases'!$F$4:$F$1000,"Failed"))</f>
        <v/>
      </c>
      <c r="R493" s="68" t="str">
        <f t="shared" si="7"/>
        <v/>
      </c>
      <c r="S493" s="68" t="str" cm="1">
        <f t="array" ref="S493">IF(TRIM($A493)="","",IFERROR(_xlfn.TEXTJOIN(", ",TRUE,_xlfn.UNIQUE(_xlfn.VSTACK(_xlfn._xlws.FILTER('Card Test Cases'!$G$4:$G$1000,('Card Test Cases'!$B$4:$B$1000=$A493)*('Card Test Cases'!$G$4:$G$1000&lt;&gt;""),""),_xlfn._xlws.FILTER('E2E core flow'!$U$15:$U$1000,('E2E core flow'!$A$15:$A$1000&lt;&gt;"")*ISNUMBER(SEARCH('E2E core flow'!$A$15:$A$1000,$E493))*('E2E core flow'!$U$15:$U$1000&lt;&gt;""),"")))),"-"))</f>
        <v/>
      </c>
    </row>
    <row r="494" spans="7:19" x14ac:dyDescent="0.3">
      <c r="G494" s="68" t="str" cm="1">
        <f t="array" ref="G494">_xlfn.LET(_xlpm.ids,'E2E core flow'!$A$15:$A$1000,_xlpm.v,'E2E core flow'!$W$15:$W$1000,_xlpm.m,(_xlpm.ids&lt;&gt;"")*ISNUMBER(SEARCH(_xlpm.ids,$E494)),_xlpm.f,SUM(_xlpm.m*(_xlpm.v="Failed")),_xlpm.b,SUM(_xlpm.m*(_xlpm.v="Blocked")),_xlpm.nr,SUM(_xlpm.m*(_xlpm.v="Not Run")),_xlpm.cp,SUM(_xlpm.m*(_xlpm.v="Conditionally Passed")),_xlpm.p,SUM(_xlpm.m*(_xlpm.v="Passed")),IF(TRIM($A494)="","",IF(TRIM($E494)="","Pending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94" s="68" t="str">
        <f>IF(TRIM($A494)="","",IF($J494="Passed","",IF($J494="Passed with Known Issue","Known Issue",IF($J494="",IF(OR($H494&lt;&gt;"No",AND($F494&lt;&gt;"Medium",$F494&lt;&gt;"Low")),"Pending Result",""),IF(OR($H494&lt;&gt;"No",AND($F494&lt;&gt;"Medium",$F494&lt;&gt;"Low")),IF(COUNTIFS(Dashboard!$B$105:$B$124,$A494,Dashboard!$I$105:$I$124,"CAB")&gt;0,"Accepted (CF)","Blocking"),IF($J494="Failed","Deferrable","Carry Over"))))))</f>
        <v/>
      </c>
      <c r="M494" s="68" t="str">
        <f>IF(OR(TRIM($A494)="",TRIM($E494)=""),"",IFERROR(INDEX('E2E core flow'!$B$15:$B$1000,MATCH(1,INDEX(('E2E core flow'!$A$15:$A$1000&lt;&gt;"")*ISNUMBER(SEARCH('E2E core flow'!$A$15:$A$1000,$E494)),0),0))&amp;"","-"))</f>
        <v/>
      </c>
      <c r="N494" s="68" t="str">
        <f>IF(TRIM($A494)="","",IF($O494=0,IF(COUNTIFS('Card Test Cases'!$B$4:$B$1000,$A494,'Card Test Cases'!$A$4:$A$1000,"&lt;&gt;")&gt;0,"Out of Scope","No TC"),IF($Q494&gt;0,"Failed",IF(COUNTIFS('Card Test Cases'!$B$4:$B$1000,$A494,'Card Test Cases'!$A$4:$A$1000,"&lt;&gt;",'Card Test Cases'!$F$4:$F$1000,"Blocked")&gt;0,"Blocked",IF($R494&gt;0,"In Progress","Passed")))))</f>
        <v/>
      </c>
      <c r="O494" s="68" t="str">
        <f>IF(TRIM($A494)="","",COUNTIFS('Card Test Cases'!$B$4:$B$1000,$A494,'Card Test Cases'!$A$4:$A$1000,"&lt;&gt;",'Card Test Cases'!$F$4:$F$1000,"&lt;&gt;Out of Scope"))</f>
        <v/>
      </c>
      <c r="P494" s="68" t="str">
        <f>IF(TRIM($A494)="","",COUNTIFS('Card Test Cases'!$B$4:$B$1000,$A494,'Card Test Cases'!$A$4:$A$1000,"&lt;&gt;",'Card Test Cases'!$F$4:$F$1000,"Passed"))</f>
        <v/>
      </c>
      <c r="Q494" s="68" t="str">
        <f>IF(TRIM($A494)="","",COUNTIFS('Card Test Cases'!$B$4:$B$1000,$A494,'Card Test Cases'!$A$4:$A$1000,"&lt;&gt;",'Card Test Cases'!$F$4:$F$1000,"Failed"))</f>
        <v/>
      </c>
      <c r="R494" s="68" t="str">
        <f t="shared" si="7"/>
        <v/>
      </c>
      <c r="S494" s="68" t="str" cm="1">
        <f t="array" ref="S494">IF(TRIM($A494)="","",IFERROR(_xlfn.TEXTJOIN(", ",TRUE,_xlfn.UNIQUE(_xlfn.VSTACK(_xlfn._xlws.FILTER('Card Test Cases'!$G$4:$G$1000,('Card Test Cases'!$B$4:$B$1000=$A494)*('Card Test Cases'!$G$4:$G$1000&lt;&gt;""),""),_xlfn._xlws.FILTER('E2E core flow'!$U$15:$U$1000,('E2E core flow'!$A$15:$A$1000&lt;&gt;"")*ISNUMBER(SEARCH('E2E core flow'!$A$15:$A$1000,$E494))*('E2E core flow'!$U$15:$U$1000&lt;&gt;""),"")))),"-"))</f>
        <v/>
      </c>
    </row>
    <row r="495" spans="7:19" x14ac:dyDescent="0.3">
      <c r="G495" s="68" t="str" cm="1">
        <f t="array" ref="G495">_xlfn.LET(_xlpm.ids,'E2E core flow'!$A$15:$A$1000,_xlpm.v,'E2E core flow'!$W$15:$W$1000,_xlpm.m,(_xlpm.ids&lt;&gt;"")*ISNUMBER(SEARCH(_xlpm.ids,$E495)),_xlpm.f,SUM(_xlpm.m*(_xlpm.v="Failed")),_xlpm.b,SUM(_xlpm.m*(_xlpm.v="Blocked")),_xlpm.nr,SUM(_xlpm.m*(_xlpm.v="Not Run")),_xlpm.cp,SUM(_xlpm.m*(_xlpm.v="Conditionally Passed")),_xlpm.p,SUM(_xlpm.m*(_xlpm.v="Passed")),IF(TRIM($A495)="","",IF(TRIM($E495)="","Pending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95" s="68" t="str">
        <f>IF(TRIM($A495)="","",IF($J495="Passed","",IF($J495="Passed with Known Issue","Known Issue",IF($J495="",IF(OR($H495&lt;&gt;"No",AND($F495&lt;&gt;"Medium",$F495&lt;&gt;"Low")),"Pending Result",""),IF(OR($H495&lt;&gt;"No",AND($F495&lt;&gt;"Medium",$F495&lt;&gt;"Low")),IF(COUNTIFS(Dashboard!$B$105:$B$124,$A495,Dashboard!$I$105:$I$124,"CAB")&gt;0,"Accepted (CF)","Blocking"),IF($J495="Failed","Deferrable","Carry Over"))))))</f>
        <v/>
      </c>
      <c r="M495" s="68" t="str">
        <f>IF(OR(TRIM($A495)="",TRIM($E495)=""),"",IFERROR(INDEX('E2E core flow'!$B$15:$B$1000,MATCH(1,INDEX(('E2E core flow'!$A$15:$A$1000&lt;&gt;"")*ISNUMBER(SEARCH('E2E core flow'!$A$15:$A$1000,$E495)),0),0))&amp;"","-"))</f>
        <v/>
      </c>
      <c r="N495" s="68" t="str">
        <f>IF(TRIM($A495)="","",IF($O495=0,IF(COUNTIFS('Card Test Cases'!$B$4:$B$1000,$A495,'Card Test Cases'!$A$4:$A$1000,"&lt;&gt;")&gt;0,"Out of Scope","No TC"),IF($Q495&gt;0,"Failed",IF(COUNTIFS('Card Test Cases'!$B$4:$B$1000,$A495,'Card Test Cases'!$A$4:$A$1000,"&lt;&gt;",'Card Test Cases'!$F$4:$F$1000,"Blocked")&gt;0,"Blocked",IF($R495&gt;0,"In Progress","Passed")))))</f>
        <v/>
      </c>
      <c r="O495" s="68" t="str">
        <f>IF(TRIM($A495)="","",COUNTIFS('Card Test Cases'!$B$4:$B$1000,$A495,'Card Test Cases'!$A$4:$A$1000,"&lt;&gt;",'Card Test Cases'!$F$4:$F$1000,"&lt;&gt;Out of Scope"))</f>
        <v/>
      </c>
      <c r="P495" s="68" t="str">
        <f>IF(TRIM($A495)="","",COUNTIFS('Card Test Cases'!$B$4:$B$1000,$A495,'Card Test Cases'!$A$4:$A$1000,"&lt;&gt;",'Card Test Cases'!$F$4:$F$1000,"Passed"))</f>
        <v/>
      </c>
      <c r="Q495" s="68" t="str">
        <f>IF(TRIM($A495)="","",COUNTIFS('Card Test Cases'!$B$4:$B$1000,$A495,'Card Test Cases'!$A$4:$A$1000,"&lt;&gt;",'Card Test Cases'!$F$4:$F$1000,"Failed"))</f>
        <v/>
      </c>
      <c r="R495" s="68" t="str">
        <f t="shared" si="7"/>
        <v/>
      </c>
      <c r="S495" s="68" t="str" cm="1">
        <f t="array" ref="S495">IF(TRIM($A495)="","",IFERROR(_xlfn.TEXTJOIN(", ",TRUE,_xlfn.UNIQUE(_xlfn.VSTACK(_xlfn._xlws.FILTER('Card Test Cases'!$G$4:$G$1000,('Card Test Cases'!$B$4:$B$1000=$A495)*('Card Test Cases'!$G$4:$G$1000&lt;&gt;""),""),_xlfn._xlws.FILTER('E2E core flow'!$U$15:$U$1000,('E2E core flow'!$A$15:$A$1000&lt;&gt;"")*ISNUMBER(SEARCH('E2E core flow'!$A$15:$A$1000,$E495))*('E2E core flow'!$U$15:$U$1000&lt;&gt;""),"")))),"-"))</f>
        <v/>
      </c>
    </row>
    <row r="496" spans="7:19" x14ac:dyDescent="0.3">
      <c r="G496" s="68" t="str" cm="1">
        <f t="array" ref="G496">_xlfn.LET(_xlpm.ids,'E2E core flow'!$A$15:$A$1000,_xlpm.v,'E2E core flow'!$W$15:$W$1000,_xlpm.m,(_xlpm.ids&lt;&gt;"")*ISNUMBER(SEARCH(_xlpm.ids,$E496)),_xlpm.f,SUM(_xlpm.m*(_xlpm.v="Failed")),_xlpm.b,SUM(_xlpm.m*(_xlpm.v="Blocked")),_xlpm.nr,SUM(_xlpm.m*(_xlpm.v="Not Run")),_xlpm.cp,SUM(_xlpm.m*(_xlpm.v="Conditionally Passed")),_xlpm.p,SUM(_xlpm.m*(_xlpm.v="Passed")),IF(TRIM($A496)="","",IF(TRIM($E496)="","Pending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96" s="68" t="str">
        <f>IF(TRIM($A496)="","",IF($J496="Passed","",IF($J496="Passed with Known Issue","Known Issue",IF($J496="",IF(OR($H496&lt;&gt;"No",AND($F496&lt;&gt;"Medium",$F496&lt;&gt;"Low")),"Pending Result",""),IF(OR($H496&lt;&gt;"No",AND($F496&lt;&gt;"Medium",$F496&lt;&gt;"Low")),IF(COUNTIFS(Dashboard!$B$105:$B$124,$A496,Dashboard!$I$105:$I$124,"CAB")&gt;0,"Accepted (CF)","Blocking"),IF($J496="Failed","Deferrable","Carry Over"))))))</f>
        <v/>
      </c>
      <c r="M496" s="68" t="str">
        <f>IF(OR(TRIM($A496)="",TRIM($E496)=""),"",IFERROR(INDEX('E2E core flow'!$B$15:$B$1000,MATCH(1,INDEX(('E2E core flow'!$A$15:$A$1000&lt;&gt;"")*ISNUMBER(SEARCH('E2E core flow'!$A$15:$A$1000,$E496)),0),0))&amp;"","-"))</f>
        <v/>
      </c>
      <c r="N496" s="68" t="str">
        <f>IF(TRIM($A496)="","",IF($O496=0,IF(COUNTIFS('Card Test Cases'!$B$4:$B$1000,$A496,'Card Test Cases'!$A$4:$A$1000,"&lt;&gt;")&gt;0,"Out of Scope","No TC"),IF($Q496&gt;0,"Failed",IF(COUNTIFS('Card Test Cases'!$B$4:$B$1000,$A496,'Card Test Cases'!$A$4:$A$1000,"&lt;&gt;",'Card Test Cases'!$F$4:$F$1000,"Blocked")&gt;0,"Blocked",IF($R496&gt;0,"In Progress","Passed")))))</f>
        <v/>
      </c>
      <c r="O496" s="68" t="str">
        <f>IF(TRIM($A496)="","",COUNTIFS('Card Test Cases'!$B$4:$B$1000,$A496,'Card Test Cases'!$A$4:$A$1000,"&lt;&gt;",'Card Test Cases'!$F$4:$F$1000,"&lt;&gt;Out of Scope"))</f>
        <v/>
      </c>
      <c r="P496" s="68" t="str">
        <f>IF(TRIM($A496)="","",COUNTIFS('Card Test Cases'!$B$4:$B$1000,$A496,'Card Test Cases'!$A$4:$A$1000,"&lt;&gt;",'Card Test Cases'!$F$4:$F$1000,"Passed"))</f>
        <v/>
      </c>
      <c r="Q496" s="68" t="str">
        <f>IF(TRIM($A496)="","",COUNTIFS('Card Test Cases'!$B$4:$B$1000,$A496,'Card Test Cases'!$A$4:$A$1000,"&lt;&gt;",'Card Test Cases'!$F$4:$F$1000,"Failed"))</f>
        <v/>
      </c>
      <c r="R496" s="68" t="str">
        <f t="shared" si="7"/>
        <v/>
      </c>
      <c r="S496" s="68" t="str" cm="1">
        <f t="array" ref="S496">IF(TRIM($A496)="","",IFERROR(_xlfn.TEXTJOIN(", ",TRUE,_xlfn.UNIQUE(_xlfn.VSTACK(_xlfn._xlws.FILTER('Card Test Cases'!$G$4:$G$1000,('Card Test Cases'!$B$4:$B$1000=$A496)*('Card Test Cases'!$G$4:$G$1000&lt;&gt;""),""),_xlfn._xlws.FILTER('E2E core flow'!$U$15:$U$1000,('E2E core flow'!$A$15:$A$1000&lt;&gt;"")*ISNUMBER(SEARCH('E2E core flow'!$A$15:$A$1000,$E496))*('E2E core flow'!$U$15:$U$1000&lt;&gt;""),"")))),"-"))</f>
        <v/>
      </c>
    </row>
    <row r="497" spans="7:19" x14ac:dyDescent="0.3">
      <c r="G497" s="68" t="str" cm="1">
        <f t="array" ref="G497">_xlfn.LET(_xlpm.ids,'E2E core flow'!$A$15:$A$1000,_xlpm.v,'E2E core flow'!$W$15:$W$1000,_xlpm.m,(_xlpm.ids&lt;&gt;"")*ISNUMBER(SEARCH(_xlpm.ids,$E497)),_xlpm.f,SUM(_xlpm.m*(_xlpm.v="Failed")),_xlpm.b,SUM(_xlpm.m*(_xlpm.v="Blocked")),_xlpm.nr,SUM(_xlpm.m*(_xlpm.v="Not Run")),_xlpm.cp,SUM(_xlpm.m*(_xlpm.v="Conditionally Passed")),_xlpm.p,SUM(_xlpm.m*(_xlpm.v="Passed")),IF(TRIM($A497)="","",IF(TRIM($E497)="","Pending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97" s="68" t="str">
        <f>IF(TRIM($A497)="","",IF($J497="Passed","",IF($J497="Passed with Known Issue","Known Issue",IF($J497="",IF(OR($H497&lt;&gt;"No",AND($F497&lt;&gt;"Medium",$F497&lt;&gt;"Low")),"Pending Result",""),IF(OR($H497&lt;&gt;"No",AND($F497&lt;&gt;"Medium",$F497&lt;&gt;"Low")),IF(COUNTIFS(Dashboard!$B$105:$B$124,$A497,Dashboard!$I$105:$I$124,"CAB")&gt;0,"Accepted (CF)","Blocking"),IF($J497="Failed","Deferrable","Carry Over"))))))</f>
        <v/>
      </c>
      <c r="M497" s="68" t="str">
        <f>IF(OR(TRIM($A497)="",TRIM($E497)=""),"",IFERROR(INDEX('E2E core flow'!$B$15:$B$1000,MATCH(1,INDEX(('E2E core flow'!$A$15:$A$1000&lt;&gt;"")*ISNUMBER(SEARCH('E2E core flow'!$A$15:$A$1000,$E497)),0),0))&amp;"","-"))</f>
        <v/>
      </c>
      <c r="N497" s="68" t="str">
        <f>IF(TRIM($A497)="","",IF($O497=0,IF(COUNTIFS('Card Test Cases'!$B$4:$B$1000,$A497,'Card Test Cases'!$A$4:$A$1000,"&lt;&gt;")&gt;0,"Out of Scope","No TC"),IF($Q497&gt;0,"Failed",IF(COUNTIFS('Card Test Cases'!$B$4:$B$1000,$A497,'Card Test Cases'!$A$4:$A$1000,"&lt;&gt;",'Card Test Cases'!$F$4:$F$1000,"Blocked")&gt;0,"Blocked",IF($R497&gt;0,"In Progress","Passed")))))</f>
        <v/>
      </c>
      <c r="O497" s="68" t="str">
        <f>IF(TRIM($A497)="","",COUNTIFS('Card Test Cases'!$B$4:$B$1000,$A497,'Card Test Cases'!$A$4:$A$1000,"&lt;&gt;",'Card Test Cases'!$F$4:$F$1000,"&lt;&gt;Out of Scope"))</f>
        <v/>
      </c>
      <c r="P497" s="68" t="str">
        <f>IF(TRIM($A497)="","",COUNTIFS('Card Test Cases'!$B$4:$B$1000,$A497,'Card Test Cases'!$A$4:$A$1000,"&lt;&gt;",'Card Test Cases'!$F$4:$F$1000,"Passed"))</f>
        <v/>
      </c>
      <c r="Q497" s="68" t="str">
        <f>IF(TRIM($A497)="","",COUNTIFS('Card Test Cases'!$B$4:$B$1000,$A497,'Card Test Cases'!$A$4:$A$1000,"&lt;&gt;",'Card Test Cases'!$F$4:$F$1000,"Failed"))</f>
        <v/>
      </c>
      <c r="R497" s="68" t="str">
        <f t="shared" si="7"/>
        <v/>
      </c>
      <c r="S497" s="68" t="str" cm="1">
        <f t="array" ref="S497">IF(TRIM($A497)="","",IFERROR(_xlfn.TEXTJOIN(", ",TRUE,_xlfn.UNIQUE(_xlfn.VSTACK(_xlfn._xlws.FILTER('Card Test Cases'!$G$4:$G$1000,('Card Test Cases'!$B$4:$B$1000=$A497)*('Card Test Cases'!$G$4:$G$1000&lt;&gt;""),""),_xlfn._xlws.FILTER('E2E core flow'!$U$15:$U$1000,('E2E core flow'!$A$15:$A$1000&lt;&gt;"")*ISNUMBER(SEARCH('E2E core flow'!$A$15:$A$1000,$E497))*('E2E core flow'!$U$15:$U$1000&lt;&gt;""),"")))),"-"))</f>
        <v/>
      </c>
    </row>
    <row r="498" spans="7:19" x14ac:dyDescent="0.3">
      <c r="G498" s="68" t="str" cm="1">
        <f t="array" ref="G498">_xlfn.LET(_xlpm.ids,'E2E core flow'!$A$15:$A$1000,_xlpm.v,'E2E core flow'!$W$15:$W$1000,_xlpm.m,(_xlpm.ids&lt;&gt;"")*ISNUMBER(SEARCH(_xlpm.ids,$E498)),_xlpm.f,SUM(_xlpm.m*(_xlpm.v="Failed")),_xlpm.b,SUM(_xlpm.m*(_xlpm.v="Blocked")),_xlpm.nr,SUM(_xlpm.m*(_xlpm.v="Not Run")),_xlpm.cp,SUM(_xlpm.m*(_xlpm.v="Conditionally Passed")),_xlpm.p,SUM(_xlpm.m*(_xlpm.v="Passed")),IF(TRIM($A498)="","",IF(TRIM($E498)="","Pending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98" s="68" t="str">
        <f>IF(TRIM($A498)="","",IF($J498="Passed","",IF($J498="Passed with Known Issue","Known Issue",IF($J498="",IF(OR($H498&lt;&gt;"No",AND($F498&lt;&gt;"Medium",$F498&lt;&gt;"Low")),"Pending Result",""),IF(OR($H498&lt;&gt;"No",AND($F498&lt;&gt;"Medium",$F498&lt;&gt;"Low")),IF(COUNTIFS(Dashboard!$B$105:$B$124,$A498,Dashboard!$I$105:$I$124,"CAB")&gt;0,"Accepted (CF)","Blocking"),IF($J498="Failed","Deferrable","Carry Over"))))))</f>
        <v/>
      </c>
      <c r="M498" s="68" t="str">
        <f>IF(OR(TRIM($A498)="",TRIM($E498)=""),"",IFERROR(INDEX('E2E core flow'!$B$15:$B$1000,MATCH(1,INDEX(('E2E core flow'!$A$15:$A$1000&lt;&gt;"")*ISNUMBER(SEARCH('E2E core flow'!$A$15:$A$1000,$E498)),0),0))&amp;"","-"))</f>
        <v/>
      </c>
      <c r="N498" s="68" t="str">
        <f>IF(TRIM($A498)="","",IF($O498=0,IF(COUNTIFS('Card Test Cases'!$B$4:$B$1000,$A498,'Card Test Cases'!$A$4:$A$1000,"&lt;&gt;")&gt;0,"Out of Scope","No TC"),IF($Q498&gt;0,"Failed",IF(COUNTIFS('Card Test Cases'!$B$4:$B$1000,$A498,'Card Test Cases'!$A$4:$A$1000,"&lt;&gt;",'Card Test Cases'!$F$4:$F$1000,"Blocked")&gt;0,"Blocked",IF($R498&gt;0,"In Progress","Passed")))))</f>
        <v/>
      </c>
      <c r="O498" s="68" t="str">
        <f>IF(TRIM($A498)="","",COUNTIFS('Card Test Cases'!$B$4:$B$1000,$A498,'Card Test Cases'!$A$4:$A$1000,"&lt;&gt;",'Card Test Cases'!$F$4:$F$1000,"&lt;&gt;Out of Scope"))</f>
        <v/>
      </c>
      <c r="P498" s="68" t="str">
        <f>IF(TRIM($A498)="","",COUNTIFS('Card Test Cases'!$B$4:$B$1000,$A498,'Card Test Cases'!$A$4:$A$1000,"&lt;&gt;",'Card Test Cases'!$F$4:$F$1000,"Passed"))</f>
        <v/>
      </c>
      <c r="Q498" s="68" t="str">
        <f>IF(TRIM($A498)="","",COUNTIFS('Card Test Cases'!$B$4:$B$1000,$A498,'Card Test Cases'!$A$4:$A$1000,"&lt;&gt;",'Card Test Cases'!$F$4:$F$1000,"Failed"))</f>
        <v/>
      </c>
      <c r="R498" s="68" t="str">
        <f t="shared" si="7"/>
        <v/>
      </c>
      <c r="S498" s="68" t="str" cm="1">
        <f t="array" ref="S498">IF(TRIM($A498)="","",IFERROR(_xlfn.TEXTJOIN(", ",TRUE,_xlfn.UNIQUE(_xlfn.VSTACK(_xlfn._xlws.FILTER('Card Test Cases'!$G$4:$G$1000,('Card Test Cases'!$B$4:$B$1000=$A498)*('Card Test Cases'!$G$4:$G$1000&lt;&gt;""),""),_xlfn._xlws.FILTER('E2E core flow'!$U$15:$U$1000,('E2E core flow'!$A$15:$A$1000&lt;&gt;"")*ISNUMBER(SEARCH('E2E core flow'!$A$15:$A$1000,$E498))*('E2E core flow'!$U$15:$U$1000&lt;&gt;""),"")))),"-"))</f>
        <v/>
      </c>
    </row>
    <row r="499" spans="7:19" x14ac:dyDescent="0.3">
      <c r="G499" s="68" t="str" cm="1">
        <f t="array" ref="G499">_xlfn.LET(_xlpm.ids,'E2E core flow'!$A$15:$A$1000,_xlpm.v,'E2E core flow'!$W$15:$W$1000,_xlpm.m,(_xlpm.ids&lt;&gt;"")*ISNUMBER(SEARCH(_xlpm.ids,$E499)),_xlpm.f,SUM(_xlpm.m*(_xlpm.v="Failed")),_xlpm.b,SUM(_xlpm.m*(_xlpm.v="Blocked")),_xlpm.nr,SUM(_xlpm.m*(_xlpm.v="Not Run")),_xlpm.cp,SUM(_xlpm.m*(_xlpm.v="Conditionally Passed")),_xlpm.p,SUM(_xlpm.m*(_xlpm.v="Passed")),IF(TRIM($A499)="","",IF(TRIM($E499)="","Pending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499" s="68" t="str">
        <f>IF(TRIM($A499)="","",IF($J499="Passed","",IF($J499="Passed with Known Issue","Known Issue",IF($J499="",IF(OR($H499&lt;&gt;"No",AND($F499&lt;&gt;"Medium",$F499&lt;&gt;"Low")),"Pending Result",""),IF(OR($H499&lt;&gt;"No",AND($F499&lt;&gt;"Medium",$F499&lt;&gt;"Low")),IF(COUNTIFS(Dashboard!$B$105:$B$124,$A499,Dashboard!$I$105:$I$124,"CAB")&gt;0,"Accepted (CF)","Blocking"),IF($J499="Failed","Deferrable","Carry Over"))))))</f>
        <v/>
      </c>
      <c r="M499" s="68" t="str">
        <f>IF(OR(TRIM($A499)="",TRIM($E499)=""),"",IFERROR(INDEX('E2E core flow'!$B$15:$B$1000,MATCH(1,INDEX(('E2E core flow'!$A$15:$A$1000&lt;&gt;"")*ISNUMBER(SEARCH('E2E core flow'!$A$15:$A$1000,$E499)),0),0))&amp;"","-"))</f>
        <v/>
      </c>
      <c r="N499" s="68" t="str">
        <f>IF(TRIM($A499)="","",IF($O499=0,IF(COUNTIFS('Card Test Cases'!$B$4:$B$1000,$A499,'Card Test Cases'!$A$4:$A$1000,"&lt;&gt;")&gt;0,"Out of Scope","No TC"),IF($Q499&gt;0,"Failed",IF(COUNTIFS('Card Test Cases'!$B$4:$B$1000,$A499,'Card Test Cases'!$A$4:$A$1000,"&lt;&gt;",'Card Test Cases'!$F$4:$F$1000,"Blocked")&gt;0,"Blocked",IF($R499&gt;0,"In Progress","Passed")))))</f>
        <v/>
      </c>
      <c r="O499" s="68" t="str">
        <f>IF(TRIM($A499)="","",COUNTIFS('Card Test Cases'!$B$4:$B$1000,$A499,'Card Test Cases'!$A$4:$A$1000,"&lt;&gt;",'Card Test Cases'!$F$4:$F$1000,"&lt;&gt;Out of Scope"))</f>
        <v/>
      </c>
      <c r="P499" s="68" t="str">
        <f>IF(TRIM($A499)="","",COUNTIFS('Card Test Cases'!$B$4:$B$1000,$A499,'Card Test Cases'!$A$4:$A$1000,"&lt;&gt;",'Card Test Cases'!$F$4:$F$1000,"Passed"))</f>
        <v/>
      </c>
      <c r="Q499" s="68" t="str">
        <f>IF(TRIM($A499)="","",COUNTIFS('Card Test Cases'!$B$4:$B$1000,$A499,'Card Test Cases'!$A$4:$A$1000,"&lt;&gt;",'Card Test Cases'!$F$4:$F$1000,"Failed"))</f>
        <v/>
      </c>
      <c r="R499" s="68" t="str">
        <f t="shared" si="7"/>
        <v/>
      </c>
      <c r="S499" s="68" t="str" cm="1">
        <f t="array" ref="S499">IF(TRIM($A499)="","",IFERROR(_xlfn.TEXTJOIN(", ",TRUE,_xlfn.UNIQUE(_xlfn.VSTACK(_xlfn._xlws.FILTER('Card Test Cases'!$G$4:$G$1000,('Card Test Cases'!$B$4:$B$1000=$A499)*('Card Test Cases'!$G$4:$G$1000&lt;&gt;""),""),_xlfn._xlws.FILTER('E2E core flow'!$U$15:$U$1000,('E2E core flow'!$A$15:$A$1000&lt;&gt;"")*ISNUMBER(SEARCH('E2E core flow'!$A$15:$A$1000,$E499))*('E2E core flow'!$U$15:$U$1000&lt;&gt;""),"")))),"-"))</f>
        <v/>
      </c>
    </row>
    <row r="500" spans="7:19" x14ac:dyDescent="0.3">
      <c r="G500" s="68" t="str" cm="1">
        <f t="array" ref="G500">_xlfn.LET(_xlpm.ids,'E2E core flow'!$A$15:$A$1000,_xlpm.v,'E2E core flow'!$W$15:$W$1000,_xlpm.m,(_xlpm.ids&lt;&gt;"")*ISNUMBER(SEARCH(_xlpm.ids,$E500)),_xlpm.f,SUM(_xlpm.m*(_xlpm.v="Failed")),_xlpm.b,SUM(_xlpm.m*(_xlpm.v="Blocked")),_xlpm.nr,SUM(_xlpm.m*(_xlpm.v="Not Run")),_xlpm.cp,SUM(_xlpm.m*(_xlpm.v="Conditionally Passed")),_xlpm.p,SUM(_xlpm.m*(_xlpm.v="Passed")),IF(TRIM($A500)="","",IF(TRIM($E500)="","Pending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00" s="68" t="str">
        <f>IF(TRIM($A500)="","",IF($J500="Passed","",IF($J500="Passed with Known Issue","Known Issue",IF($J500="",IF(OR($H500&lt;&gt;"No",AND($F500&lt;&gt;"Medium",$F500&lt;&gt;"Low")),"Pending Result",""),IF(OR($H500&lt;&gt;"No",AND($F500&lt;&gt;"Medium",$F500&lt;&gt;"Low")),IF(COUNTIFS(Dashboard!$B$105:$B$124,$A500,Dashboard!$I$105:$I$124,"CAB")&gt;0,"Accepted (CF)","Blocking"),IF($J500="Failed","Deferrable","Carry Over"))))))</f>
        <v/>
      </c>
      <c r="M500" s="68" t="str">
        <f>IF(OR(TRIM($A500)="",TRIM($E500)=""),"",IFERROR(INDEX('E2E core flow'!$B$15:$B$1000,MATCH(1,INDEX(('E2E core flow'!$A$15:$A$1000&lt;&gt;"")*ISNUMBER(SEARCH('E2E core flow'!$A$15:$A$1000,$E500)),0),0))&amp;"","-"))</f>
        <v/>
      </c>
      <c r="N500" s="68" t="str">
        <f>IF(TRIM($A500)="","",IF($O500=0,IF(COUNTIFS('Card Test Cases'!$B$4:$B$1000,$A500,'Card Test Cases'!$A$4:$A$1000,"&lt;&gt;")&gt;0,"Out of Scope","No TC"),IF($Q500&gt;0,"Failed",IF(COUNTIFS('Card Test Cases'!$B$4:$B$1000,$A500,'Card Test Cases'!$A$4:$A$1000,"&lt;&gt;",'Card Test Cases'!$F$4:$F$1000,"Blocked")&gt;0,"Blocked",IF($R500&gt;0,"In Progress","Passed")))))</f>
        <v/>
      </c>
      <c r="O500" s="68" t="str">
        <f>IF(TRIM($A500)="","",COUNTIFS('Card Test Cases'!$B$4:$B$1000,$A500,'Card Test Cases'!$A$4:$A$1000,"&lt;&gt;",'Card Test Cases'!$F$4:$F$1000,"&lt;&gt;Out of Scope"))</f>
        <v/>
      </c>
      <c r="P500" s="68" t="str">
        <f>IF(TRIM($A500)="","",COUNTIFS('Card Test Cases'!$B$4:$B$1000,$A500,'Card Test Cases'!$A$4:$A$1000,"&lt;&gt;",'Card Test Cases'!$F$4:$F$1000,"Passed"))</f>
        <v/>
      </c>
      <c r="Q500" s="68" t="str">
        <f>IF(TRIM($A500)="","",COUNTIFS('Card Test Cases'!$B$4:$B$1000,$A500,'Card Test Cases'!$A$4:$A$1000,"&lt;&gt;",'Card Test Cases'!$F$4:$F$1000,"Failed"))</f>
        <v/>
      </c>
      <c r="R500" s="68" t="str">
        <f t="shared" si="7"/>
        <v/>
      </c>
      <c r="S500" s="68" t="str" cm="1">
        <f t="array" ref="S500">IF(TRIM($A500)="","",IFERROR(_xlfn.TEXTJOIN(", ",TRUE,_xlfn.UNIQUE(_xlfn.VSTACK(_xlfn._xlws.FILTER('Card Test Cases'!$G$4:$G$1000,('Card Test Cases'!$B$4:$B$1000=$A500)*('Card Test Cases'!$G$4:$G$1000&lt;&gt;""),""),_xlfn._xlws.FILTER('E2E core flow'!$U$15:$U$1000,('E2E core flow'!$A$15:$A$1000&lt;&gt;"")*ISNUMBER(SEARCH('E2E core flow'!$A$15:$A$1000,$E500))*('E2E core flow'!$U$15:$U$1000&lt;&gt;""),"")))),"-"))</f>
        <v/>
      </c>
    </row>
    <row r="501" spans="7:19" x14ac:dyDescent="0.3">
      <c r="G501" s="68" t="str" cm="1">
        <f t="array" ref="G501">_xlfn.LET(_xlpm.ids,'E2E core flow'!$A$15:$A$1000,_xlpm.v,'E2E core flow'!$W$15:$W$1000,_xlpm.m,(_xlpm.ids&lt;&gt;"")*ISNUMBER(SEARCH(_xlpm.ids,$E501)),_xlpm.f,SUM(_xlpm.m*(_xlpm.v="Failed")),_xlpm.b,SUM(_xlpm.m*(_xlpm.v="Blocked")),_xlpm.nr,SUM(_xlpm.m*(_xlpm.v="Not Run")),_xlpm.cp,SUM(_xlpm.m*(_xlpm.v="Conditionally Passed")),_xlpm.p,SUM(_xlpm.m*(_xlpm.v="Passed")),IF(TRIM($A501)="","",IF(TRIM($E501)="","Pending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01" s="68" t="str">
        <f>IF(TRIM($A501)="","",IF($J501="Passed","",IF($J501="Passed with Known Issue","Known Issue",IF($J501="",IF(OR($H501&lt;&gt;"No",AND($F501&lt;&gt;"Medium",$F501&lt;&gt;"Low")),"Pending Result",""),IF(OR($H501&lt;&gt;"No",AND($F501&lt;&gt;"Medium",$F501&lt;&gt;"Low")),IF(COUNTIFS(Dashboard!$B$105:$B$124,$A501,Dashboard!$I$105:$I$124,"CAB")&gt;0,"Accepted (CF)","Blocking"),IF($J501="Failed","Deferrable","Carry Over"))))))</f>
        <v/>
      </c>
      <c r="M501" s="68" t="str">
        <f>IF(OR(TRIM($A501)="",TRIM($E501)=""),"",IFERROR(INDEX('E2E core flow'!$B$15:$B$1000,MATCH(1,INDEX(('E2E core flow'!$A$15:$A$1000&lt;&gt;"")*ISNUMBER(SEARCH('E2E core flow'!$A$15:$A$1000,$E501)),0),0))&amp;"","-"))</f>
        <v/>
      </c>
      <c r="N501" s="68" t="str">
        <f>IF(TRIM($A501)="","",IF($O501=0,IF(COUNTIFS('Card Test Cases'!$B$4:$B$1000,$A501,'Card Test Cases'!$A$4:$A$1000,"&lt;&gt;")&gt;0,"Out of Scope","No TC"),IF($Q501&gt;0,"Failed",IF(COUNTIFS('Card Test Cases'!$B$4:$B$1000,$A501,'Card Test Cases'!$A$4:$A$1000,"&lt;&gt;",'Card Test Cases'!$F$4:$F$1000,"Blocked")&gt;0,"Blocked",IF($R501&gt;0,"In Progress","Passed")))))</f>
        <v/>
      </c>
      <c r="O501" s="68" t="str">
        <f>IF(TRIM($A501)="","",COUNTIFS('Card Test Cases'!$B$4:$B$1000,$A501,'Card Test Cases'!$A$4:$A$1000,"&lt;&gt;",'Card Test Cases'!$F$4:$F$1000,"&lt;&gt;Out of Scope"))</f>
        <v/>
      </c>
      <c r="P501" s="68" t="str">
        <f>IF(TRIM($A501)="","",COUNTIFS('Card Test Cases'!$B$4:$B$1000,$A501,'Card Test Cases'!$A$4:$A$1000,"&lt;&gt;",'Card Test Cases'!$F$4:$F$1000,"Passed"))</f>
        <v/>
      </c>
      <c r="Q501" s="68" t="str">
        <f>IF(TRIM($A501)="","",COUNTIFS('Card Test Cases'!$B$4:$B$1000,$A501,'Card Test Cases'!$A$4:$A$1000,"&lt;&gt;",'Card Test Cases'!$F$4:$F$1000,"Failed"))</f>
        <v/>
      </c>
      <c r="R501" s="68" t="str">
        <f t="shared" si="7"/>
        <v/>
      </c>
      <c r="S501" s="68" t="str" cm="1">
        <f t="array" ref="S501">IF(TRIM($A501)="","",IFERROR(_xlfn.TEXTJOIN(", ",TRUE,_xlfn.UNIQUE(_xlfn.VSTACK(_xlfn._xlws.FILTER('Card Test Cases'!$G$4:$G$1000,('Card Test Cases'!$B$4:$B$1000=$A501)*('Card Test Cases'!$G$4:$G$1000&lt;&gt;""),""),_xlfn._xlws.FILTER('E2E core flow'!$U$15:$U$1000,('E2E core flow'!$A$15:$A$1000&lt;&gt;"")*ISNUMBER(SEARCH('E2E core flow'!$A$15:$A$1000,$E501))*('E2E core flow'!$U$15:$U$1000&lt;&gt;""),"")))),"-"))</f>
        <v/>
      </c>
    </row>
    <row r="502" spans="7:19" x14ac:dyDescent="0.3">
      <c r="G502" s="68" t="str" cm="1">
        <f t="array" ref="G502">_xlfn.LET(_xlpm.ids,'E2E core flow'!$A$15:$A$1000,_xlpm.v,'E2E core flow'!$W$15:$W$1000,_xlpm.m,(_xlpm.ids&lt;&gt;"")*ISNUMBER(SEARCH(_xlpm.ids,$E502)),_xlpm.f,SUM(_xlpm.m*(_xlpm.v="Failed")),_xlpm.b,SUM(_xlpm.m*(_xlpm.v="Blocked")),_xlpm.nr,SUM(_xlpm.m*(_xlpm.v="Not Run")),_xlpm.cp,SUM(_xlpm.m*(_xlpm.v="Conditionally Passed")),_xlpm.p,SUM(_xlpm.m*(_xlpm.v="Passed")),IF(TRIM($A502)="","",IF(TRIM($E502)="","Pending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02" s="68" t="str">
        <f>IF(TRIM($A502)="","",IF($J502="Passed","",IF($J502="Passed with Known Issue","Known Issue",IF($J502="",IF(OR($H502&lt;&gt;"No",AND($F502&lt;&gt;"Medium",$F502&lt;&gt;"Low")),"Pending Result",""),IF(OR($H502&lt;&gt;"No",AND($F502&lt;&gt;"Medium",$F502&lt;&gt;"Low")),IF(COUNTIFS(Dashboard!$B$105:$B$124,$A502,Dashboard!$I$105:$I$124,"CAB")&gt;0,"Accepted (CF)","Blocking"),IF($J502="Failed","Deferrable","Carry Over"))))))</f>
        <v/>
      </c>
      <c r="M502" s="68" t="str">
        <f>IF(OR(TRIM($A502)="",TRIM($E502)=""),"",IFERROR(INDEX('E2E core flow'!$B$15:$B$1000,MATCH(1,INDEX(('E2E core flow'!$A$15:$A$1000&lt;&gt;"")*ISNUMBER(SEARCH('E2E core flow'!$A$15:$A$1000,$E502)),0),0))&amp;"","-"))</f>
        <v/>
      </c>
      <c r="N502" s="68" t="str">
        <f>IF(TRIM($A502)="","",IF($O502=0,IF(COUNTIFS('Card Test Cases'!$B$4:$B$1000,$A502,'Card Test Cases'!$A$4:$A$1000,"&lt;&gt;")&gt;0,"Out of Scope","No TC"),IF($Q502&gt;0,"Failed",IF(COUNTIFS('Card Test Cases'!$B$4:$B$1000,$A502,'Card Test Cases'!$A$4:$A$1000,"&lt;&gt;",'Card Test Cases'!$F$4:$F$1000,"Blocked")&gt;0,"Blocked",IF($R502&gt;0,"In Progress","Passed")))))</f>
        <v/>
      </c>
      <c r="O502" s="68" t="str">
        <f>IF(TRIM($A502)="","",COUNTIFS('Card Test Cases'!$B$4:$B$1000,$A502,'Card Test Cases'!$A$4:$A$1000,"&lt;&gt;",'Card Test Cases'!$F$4:$F$1000,"&lt;&gt;Out of Scope"))</f>
        <v/>
      </c>
      <c r="P502" s="68" t="str">
        <f>IF(TRIM($A502)="","",COUNTIFS('Card Test Cases'!$B$4:$B$1000,$A502,'Card Test Cases'!$A$4:$A$1000,"&lt;&gt;",'Card Test Cases'!$F$4:$F$1000,"Passed"))</f>
        <v/>
      </c>
      <c r="Q502" s="68" t="str">
        <f>IF(TRIM($A502)="","",COUNTIFS('Card Test Cases'!$B$4:$B$1000,$A502,'Card Test Cases'!$A$4:$A$1000,"&lt;&gt;",'Card Test Cases'!$F$4:$F$1000,"Failed"))</f>
        <v/>
      </c>
      <c r="R502" s="68" t="str">
        <f t="shared" si="7"/>
        <v/>
      </c>
      <c r="S502" s="68" t="str" cm="1">
        <f t="array" ref="S502">IF(TRIM($A502)="","",IFERROR(_xlfn.TEXTJOIN(", ",TRUE,_xlfn.UNIQUE(_xlfn.VSTACK(_xlfn._xlws.FILTER('Card Test Cases'!$G$4:$G$1000,('Card Test Cases'!$B$4:$B$1000=$A502)*('Card Test Cases'!$G$4:$G$1000&lt;&gt;""),""),_xlfn._xlws.FILTER('E2E core flow'!$U$15:$U$1000,('E2E core flow'!$A$15:$A$1000&lt;&gt;"")*ISNUMBER(SEARCH('E2E core flow'!$A$15:$A$1000,$E502))*('E2E core flow'!$U$15:$U$1000&lt;&gt;""),"")))),"-"))</f>
        <v/>
      </c>
    </row>
    <row r="503" spans="7:19" x14ac:dyDescent="0.3">
      <c r="G503" s="68" t="str" cm="1">
        <f t="array" ref="G503">_xlfn.LET(_xlpm.ids,'E2E core flow'!$A$15:$A$1000,_xlpm.v,'E2E core flow'!$W$15:$W$1000,_xlpm.m,(_xlpm.ids&lt;&gt;"")*ISNUMBER(SEARCH(_xlpm.ids,$E503)),_xlpm.f,SUM(_xlpm.m*(_xlpm.v="Failed")),_xlpm.b,SUM(_xlpm.m*(_xlpm.v="Blocked")),_xlpm.nr,SUM(_xlpm.m*(_xlpm.v="Not Run")),_xlpm.cp,SUM(_xlpm.m*(_xlpm.v="Conditionally Passed")),_xlpm.p,SUM(_xlpm.m*(_xlpm.v="Passed")),IF(TRIM($A503)="","",IF(TRIM($E503)="","Pending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03" s="68" t="str">
        <f>IF(TRIM($A503)="","",IF($J503="Passed","",IF($J503="Passed with Known Issue","Known Issue",IF($J503="",IF(OR($H503&lt;&gt;"No",AND($F503&lt;&gt;"Medium",$F503&lt;&gt;"Low")),"Pending Result",""),IF(OR($H503&lt;&gt;"No",AND($F503&lt;&gt;"Medium",$F503&lt;&gt;"Low")),IF(COUNTIFS(Dashboard!$B$105:$B$124,$A503,Dashboard!$I$105:$I$124,"CAB")&gt;0,"Accepted (CF)","Blocking"),IF($J503="Failed","Deferrable","Carry Over"))))))</f>
        <v/>
      </c>
      <c r="M503" s="68" t="str">
        <f>IF(OR(TRIM($A503)="",TRIM($E503)=""),"",IFERROR(INDEX('E2E core flow'!$B$15:$B$1000,MATCH(1,INDEX(('E2E core flow'!$A$15:$A$1000&lt;&gt;"")*ISNUMBER(SEARCH('E2E core flow'!$A$15:$A$1000,$E503)),0),0))&amp;"","-"))</f>
        <v/>
      </c>
      <c r="N503" s="68" t="str">
        <f>IF(TRIM($A503)="","",IF($O503=0,IF(COUNTIFS('Card Test Cases'!$B$4:$B$1000,$A503,'Card Test Cases'!$A$4:$A$1000,"&lt;&gt;")&gt;0,"Out of Scope","No TC"),IF($Q503&gt;0,"Failed",IF(COUNTIFS('Card Test Cases'!$B$4:$B$1000,$A503,'Card Test Cases'!$A$4:$A$1000,"&lt;&gt;",'Card Test Cases'!$F$4:$F$1000,"Blocked")&gt;0,"Blocked",IF($R503&gt;0,"In Progress","Passed")))))</f>
        <v/>
      </c>
      <c r="O503" s="68" t="str">
        <f>IF(TRIM($A503)="","",COUNTIFS('Card Test Cases'!$B$4:$B$1000,$A503,'Card Test Cases'!$A$4:$A$1000,"&lt;&gt;",'Card Test Cases'!$F$4:$F$1000,"&lt;&gt;Out of Scope"))</f>
        <v/>
      </c>
      <c r="P503" s="68" t="str">
        <f>IF(TRIM($A503)="","",COUNTIFS('Card Test Cases'!$B$4:$B$1000,$A503,'Card Test Cases'!$A$4:$A$1000,"&lt;&gt;",'Card Test Cases'!$F$4:$F$1000,"Passed"))</f>
        <v/>
      </c>
      <c r="Q503" s="68" t="str">
        <f>IF(TRIM($A503)="","",COUNTIFS('Card Test Cases'!$B$4:$B$1000,$A503,'Card Test Cases'!$A$4:$A$1000,"&lt;&gt;",'Card Test Cases'!$F$4:$F$1000,"Failed"))</f>
        <v/>
      </c>
      <c r="R503" s="68" t="str">
        <f t="shared" si="7"/>
        <v/>
      </c>
      <c r="S503" s="68" t="str" cm="1">
        <f t="array" ref="S503">IF(TRIM($A503)="","",IFERROR(_xlfn.TEXTJOIN(", ",TRUE,_xlfn.UNIQUE(_xlfn.VSTACK(_xlfn._xlws.FILTER('Card Test Cases'!$G$4:$G$1000,('Card Test Cases'!$B$4:$B$1000=$A503)*('Card Test Cases'!$G$4:$G$1000&lt;&gt;""),""),_xlfn._xlws.FILTER('E2E core flow'!$U$15:$U$1000,('E2E core flow'!$A$15:$A$1000&lt;&gt;"")*ISNUMBER(SEARCH('E2E core flow'!$A$15:$A$1000,$E503))*('E2E core flow'!$U$15:$U$1000&lt;&gt;""),"")))),"-"))</f>
        <v/>
      </c>
    </row>
    <row r="504" spans="7:19" x14ac:dyDescent="0.3">
      <c r="G504" s="68" t="str" cm="1">
        <f t="array" ref="G504">_xlfn.LET(_xlpm.ids,'E2E core flow'!$A$15:$A$1000,_xlpm.v,'E2E core flow'!$W$15:$W$1000,_xlpm.m,(_xlpm.ids&lt;&gt;"")*ISNUMBER(SEARCH(_xlpm.ids,$E504)),_xlpm.f,SUM(_xlpm.m*(_xlpm.v="Failed")),_xlpm.b,SUM(_xlpm.m*(_xlpm.v="Blocked")),_xlpm.nr,SUM(_xlpm.m*(_xlpm.v="Not Run")),_xlpm.cp,SUM(_xlpm.m*(_xlpm.v="Conditionally Passed")),_xlpm.p,SUM(_xlpm.m*(_xlpm.v="Passed")),IF(TRIM($A504)="","",IF(TRIM($E504)="","Pending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04" s="68" t="str">
        <f>IF(TRIM($A504)="","",IF($J504="Passed","",IF($J504="Passed with Known Issue","Known Issue",IF($J504="",IF(OR($H504&lt;&gt;"No",AND($F504&lt;&gt;"Medium",$F504&lt;&gt;"Low")),"Pending Result",""),IF(OR($H504&lt;&gt;"No",AND($F504&lt;&gt;"Medium",$F504&lt;&gt;"Low")),IF(COUNTIFS(Dashboard!$B$105:$B$124,$A504,Dashboard!$I$105:$I$124,"CAB")&gt;0,"Accepted (CF)","Blocking"),IF($J504="Failed","Deferrable","Carry Over"))))))</f>
        <v/>
      </c>
      <c r="M504" s="68" t="str">
        <f>IF(OR(TRIM($A504)="",TRIM($E504)=""),"",IFERROR(INDEX('E2E core flow'!$B$15:$B$1000,MATCH(1,INDEX(('E2E core flow'!$A$15:$A$1000&lt;&gt;"")*ISNUMBER(SEARCH('E2E core flow'!$A$15:$A$1000,$E504)),0),0))&amp;"","-"))</f>
        <v/>
      </c>
      <c r="N504" s="68" t="str">
        <f>IF(TRIM($A504)="","",IF($O504=0,IF(COUNTIFS('Card Test Cases'!$B$4:$B$1000,$A504,'Card Test Cases'!$A$4:$A$1000,"&lt;&gt;")&gt;0,"Out of Scope","No TC"),IF($Q504&gt;0,"Failed",IF(COUNTIFS('Card Test Cases'!$B$4:$B$1000,$A504,'Card Test Cases'!$A$4:$A$1000,"&lt;&gt;",'Card Test Cases'!$F$4:$F$1000,"Blocked")&gt;0,"Blocked",IF($R504&gt;0,"In Progress","Passed")))))</f>
        <v/>
      </c>
      <c r="O504" s="68" t="str">
        <f>IF(TRIM($A504)="","",COUNTIFS('Card Test Cases'!$B$4:$B$1000,$A504,'Card Test Cases'!$A$4:$A$1000,"&lt;&gt;",'Card Test Cases'!$F$4:$F$1000,"&lt;&gt;Out of Scope"))</f>
        <v/>
      </c>
      <c r="P504" s="68" t="str">
        <f>IF(TRIM($A504)="","",COUNTIFS('Card Test Cases'!$B$4:$B$1000,$A504,'Card Test Cases'!$A$4:$A$1000,"&lt;&gt;",'Card Test Cases'!$F$4:$F$1000,"Passed"))</f>
        <v/>
      </c>
      <c r="Q504" s="68" t="str">
        <f>IF(TRIM($A504)="","",COUNTIFS('Card Test Cases'!$B$4:$B$1000,$A504,'Card Test Cases'!$A$4:$A$1000,"&lt;&gt;",'Card Test Cases'!$F$4:$F$1000,"Failed"))</f>
        <v/>
      </c>
      <c r="R504" s="68" t="str">
        <f t="shared" si="7"/>
        <v/>
      </c>
      <c r="S504" s="68" t="str" cm="1">
        <f t="array" ref="S504">IF(TRIM($A504)="","",IFERROR(_xlfn.TEXTJOIN(", ",TRUE,_xlfn.UNIQUE(_xlfn.VSTACK(_xlfn._xlws.FILTER('Card Test Cases'!$G$4:$G$1000,('Card Test Cases'!$B$4:$B$1000=$A504)*('Card Test Cases'!$G$4:$G$1000&lt;&gt;""),""),_xlfn._xlws.FILTER('E2E core flow'!$U$15:$U$1000,('E2E core flow'!$A$15:$A$1000&lt;&gt;"")*ISNUMBER(SEARCH('E2E core flow'!$A$15:$A$1000,$E504))*('E2E core flow'!$U$15:$U$1000&lt;&gt;""),"")))),"-"))</f>
        <v/>
      </c>
    </row>
    <row r="505" spans="7:19" x14ac:dyDescent="0.3">
      <c r="G505" s="68" t="str" cm="1">
        <f t="array" ref="G505">_xlfn.LET(_xlpm.ids,'E2E core flow'!$A$15:$A$1000,_xlpm.v,'E2E core flow'!$W$15:$W$1000,_xlpm.m,(_xlpm.ids&lt;&gt;"")*ISNUMBER(SEARCH(_xlpm.ids,$E505)),_xlpm.f,SUM(_xlpm.m*(_xlpm.v="Failed")),_xlpm.b,SUM(_xlpm.m*(_xlpm.v="Blocked")),_xlpm.nr,SUM(_xlpm.m*(_xlpm.v="Not Run")),_xlpm.cp,SUM(_xlpm.m*(_xlpm.v="Conditionally Passed")),_xlpm.p,SUM(_xlpm.m*(_xlpm.v="Passed")),IF(TRIM($A505)="","",IF(TRIM($E505)="","Pending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05" s="68" t="str">
        <f>IF(TRIM($A505)="","",IF($J505="Passed","",IF($J505="Passed with Known Issue","Known Issue",IF($J505="",IF(OR($H505&lt;&gt;"No",AND($F505&lt;&gt;"Medium",$F505&lt;&gt;"Low")),"Pending Result",""),IF(OR($H505&lt;&gt;"No",AND($F505&lt;&gt;"Medium",$F505&lt;&gt;"Low")),IF(COUNTIFS(Dashboard!$B$105:$B$124,$A505,Dashboard!$I$105:$I$124,"CAB")&gt;0,"Accepted (CF)","Blocking"),IF($J505="Failed","Deferrable","Carry Over"))))))</f>
        <v/>
      </c>
      <c r="M505" s="68" t="str">
        <f>IF(OR(TRIM($A505)="",TRIM($E505)=""),"",IFERROR(INDEX('E2E core flow'!$B$15:$B$1000,MATCH(1,INDEX(('E2E core flow'!$A$15:$A$1000&lt;&gt;"")*ISNUMBER(SEARCH('E2E core flow'!$A$15:$A$1000,$E505)),0),0))&amp;"","-"))</f>
        <v/>
      </c>
      <c r="N505" s="68" t="str">
        <f>IF(TRIM($A505)="","",IF($O505=0,IF(COUNTIFS('Card Test Cases'!$B$4:$B$1000,$A505,'Card Test Cases'!$A$4:$A$1000,"&lt;&gt;")&gt;0,"Out of Scope","No TC"),IF($Q505&gt;0,"Failed",IF(COUNTIFS('Card Test Cases'!$B$4:$B$1000,$A505,'Card Test Cases'!$A$4:$A$1000,"&lt;&gt;",'Card Test Cases'!$F$4:$F$1000,"Blocked")&gt;0,"Blocked",IF($R505&gt;0,"In Progress","Passed")))))</f>
        <v/>
      </c>
      <c r="O505" s="68" t="str">
        <f>IF(TRIM($A505)="","",COUNTIFS('Card Test Cases'!$B$4:$B$1000,$A505,'Card Test Cases'!$A$4:$A$1000,"&lt;&gt;",'Card Test Cases'!$F$4:$F$1000,"&lt;&gt;Out of Scope"))</f>
        <v/>
      </c>
      <c r="P505" s="68" t="str">
        <f>IF(TRIM($A505)="","",COUNTIFS('Card Test Cases'!$B$4:$B$1000,$A505,'Card Test Cases'!$A$4:$A$1000,"&lt;&gt;",'Card Test Cases'!$F$4:$F$1000,"Passed"))</f>
        <v/>
      </c>
      <c r="Q505" s="68" t="str">
        <f>IF(TRIM($A505)="","",COUNTIFS('Card Test Cases'!$B$4:$B$1000,$A505,'Card Test Cases'!$A$4:$A$1000,"&lt;&gt;",'Card Test Cases'!$F$4:$F$1000,"Failed"))</f>
        <v/>
      </c>
      <c r="R505" s="68" t="str">
        <f t="shared" si="7"/>
        <v/>
      </c>
      <c r="S505" s="68" t="str" cm="1">
        <f t="array" ref="S505">IF(TRIM($A505)="","",IFERROR(_xlfn.TEXTJOIN(", ",TRUE,_xlfn.UNIQUE(_xlfn.VSTACK(_xlfn._xlws.FILTER('Card Test Cases'!$G$4:$G$1000,('Card Test Cases'!$B$4:$B$1000=$A505)*('Card Test Cases'!$G$4:$G$1000&lt;&gt;""),""),_xlfn._xlws.FILTER('E2E core flow'!$U$15:$U$1000,('E2E core flow'!$A$15:$A$1000&lt;&gt;"")*ISNUMBER(SEARCH('E2E core flow'!$A$15:$A$1000,$E505))*('E2E core flow'!$U$15:$U$1000&lt;&gt;""),"")))),"-"))</f>
        <v/>
      </c>
    </row>
    <row r="506" spans="7:19" x14ac:dyDescent="0.3">
      <c r="G506" s="68" t="str" cm="1">
        <f t="array" ref="G506">_xlfn.LET(_xlpm.ids,'E2E core flow'!$A$15:$A$1000,_xlpm.v,'E2E core flow'!$W$15:$W$1000,_xlpm.m,(_xlpm.ids&lt;&gt;"")*ISNUMBER(SEARCH(_xlpm.ids,$E506)),_xlpm.f,SUM(_xlpm.m*(_xlpm.v="Failed")),_xlpm.b,SUM(_xlpm.m*(_xlpm.v="Blocked")),_xlpm.nr,SUM(_xlpm.m*(_xlpm.v="Not Run")),_xlpm.cp,SUM(_xlpm.m*(_xlpm.v="Conditionally Passed")),_xlpm.p,SUM(_xlpm.m*(_xlpm.v="Passed")),IF(TRIM($A506)="","",IF(TRIM($E506)="","Pending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06" s="68" t="str">
        <f>IF(TRIM($A506)="","",IF($J506="Passed","",IF($J506="Passed with Known Issue","Known Issue",IF($J506="",IF(OR($H506&lt;&gt;"No",AND($F506&lt;&gt;"Medium",$F506&lt;&gt;"Low")),"Pending Result",""),IF(OR($H506&lt;&gt;"No",AND($F506&lt;&gt;"Medium",$F506&lt;&gt;"Low")),IF(COUNTIFS(Dashboard!$B$105:$B$124,$A506,Dashboard!$I$105:$I$124,"CAB")&gt;0,"Accepted (CF)","Blocking"),IF($J506="Failed","Deferrable","Carry Over"))))))</f>
        <v/>
      </c>
      <c r="M506" s="68" t="str">
        <f>IF(OR(TRIM($A506)="",TRIM($E506)=""),"",IFERROR(INDEX('E2E core flow'!$B$15:$B$1000,MATCH(1,INDEX(('E2E core flow'!$A$15:$A$1000&lt;&gt;"")*ISNUMBER(SEARCH('E2E core flow'!$A$15:$A$1000,$E506)),0),0))&amp;"","-"))</f>
        <v/>
      </c>
      <c r="N506" s="68" t="str">
        <f>IF(TRIM($A506)="","",IF($O506=0,IF(COUNTIFS('Card Test Cases'!$B$4:$B$1000,$A506,'Card Test Cases'!$A$4:$A$1000,"&lt;&gt;")&gt;0,"Out of Scope","No TC"),IF($Q506&gt;0,"Failed",IF(COUNTIFS('Card Test Cases'!$B$4:$B$1000,$A506,'Card Test Cases'!$A$4:$A$1000,"&lt;&gt;",'Card Test Cases'!$F$4:$F$1000,"Blocked")&gt;0,"Blocked",IF($R506&gt;0,"In Progress","Passed")))))</f>
        <v/>
      </c>
      <c r="O506" s="68" t="str">
        <f>IF(TRIM($A506)="","",COUNTIFS('Card Test Cases'!$B$4:$B$1000,$A506,'Card Test Cases'!$A$4:$A$1000,"&lt;&gt;",'Card Test Cases'!$F$4:$F$1000,"&lt;&gt;Out of Scope"))</f>
        <v/>
      </c>
      <c r="P506" s="68" t="str">
        <f>IF(TRIM($A506)="","",COUNTIFS('Card Test Cases'!$B$4:$B$1000,$A506,'Card Test Cases'!$A$4:$A$1000,"&lt;&gt;",'Card Test Cases'!$F$4:$F$1000,"Passed"))</f>
        <v/>
      </c>
      <c r="Q506" s="68" t="str">
        <f>IF(TRIM($A506)="","",COUNTIFS('Card Test Cases'!$B$4:$B$1000,$A506,'Card Test Cases'!$A$4:$A$1000,"&lt;&gt;",'Card Test Cases'!$F$4:$F$1000,"Failed"))</f>
        <v/>
      </c>
      <c r="R506" s="68" t="str">
        <f t="shared" si="7"/>
        <v/>
      </c>
      <c r="S506" s="68" t="str" cm="1">
        <f t="array" ref="S506">IF(TRIM($A506)="","",IFERROR(_xlfn.TEXTJOIN(", ",TRUE,_xlfn.UNIQUE(_xlfn.VSTACK(_xlfn._xlws.FILTER('Card Test Cases'!$G$4:$G$1000,('Card Test Cases'!$B$4:$B$1000=$A506)*('Card Test Cases'!$G$4:$G$1000&lt;&gt;""),""),_xlfn._xlws.FILTER('E2E core flow'!$U$15:$U$1000,('E2E core flow'!$A$15:$A$1000&lt;&gt;"")*ISNUMBER(SEARCH('E2E core flow'!$A$15:$A$1000,$E506))*('E2E core flow'!$U$15:$U$1000&lt;&gt;""),"")))),"-"))</f>
        <v/>
      </c>
    </row>
    <row r="507" spans="7:19" x14ac:dyDescent="0.3">
      <c r="G507" s="68" t="str" cm="1">
        <f t="array" ref="G507">_xlfn.LET(_xlpm.ids,'E2E core flow'!$A$15:$A$1000,_xlpm.v,'E2E core flow'!$W$15:$W$1000,_xlpm.m,(_xlpm.ids&lt;&gt;"")*ISNUMBER(SEARCH(_xlpm.ids,$E507)),_xlpm.f,SUM(_xlpm.m*(_xlpm.v="Failed")),_xlpm.b,SUM(_xlpm.m*(_xlpm.v="Blocked")),_xlpm.nr,SUM(_xlpm.m*(_xlpm.v="Not Run")),_xlpm.cp,SUM(_xlpm.m*(_xlpm.v="Conditionally Passed")),_xlpm.p,SUM(_xlpm.m*(_xlpm.v="Passed")),IF(TRIM($A507)="","",IF(TRIM($E507)="","Pending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07" s="68" t="str">
        <f>IF(TRIM($A507)="","",IF($J507="Passed","",IF($J507="Passed with Known Issue","Known Issue",IF($J507="",IF(OR($H507&lt;&gt;"No",AND($F507&lt;&gt;"Medium",$F507&lt;&gt;"Low")),"Pending Result",""),IF(OR($H507&lt;&gt;"No",AND($F507&lt;&gt;"Medium",$F507&lt;&gt;"Low")),IF(COUNTIFS(Dashboard!$B$105:$B$124,$A507,Dashboard!$I$105:$I$124,"CAB")&gt;0,"Accepted (CF)","Blocking"),IF($J507="Failed","Deferrable","Carry Over"))))))</f>
        <v/>
      </c>
      <c r="M507" s="68" t="str">
        <f>IF(OR(TRIM($A507)="",TRIM($E507)=""),"",IFERROR(INDEX('E2E core flow'!$B$15:$B$1000,MATCH(1,INDEX(('E2E core flow'!$A$15:$A$1000&lt;&gt;"")*ISNUMBER(SEARCH('E2E core flow'!$A$15:$A$1000,$E507)),0),0))&amp;"","-"))</f>
        <v/>
      </c>
      <c r="N507" s="68" t="str">
        <f>IF(TRIM($A507)="","",IF($O507=0,IF(COUNTIFS('Card Test Cases'!$B$4:$B$1000,$A507,'Card Test Cases'!$A$4:$A$1000,"&lt;&gt;")&gt;0,"Out of Scope","No TC"),IF($Q507&gt;0,"Failed",IF(COUNTIFS('Card Test Cases'!$B$4:$B$1000,$A507,'Card Test Cases'!$A$4:$A$1000,"&lt;&gt;",'Card Test Cases'!$F$4:$F$1000,"Blocked")&gt;0,"Blocked",IF($R507&gt;0,"In Progress","Passed")))))</f>
        <v/>
      </c>
      <c r="O507" s="68" t="str">
        <f>IF(TRIM($A507)="","",COUNTIFS('Card Test Cases'!$B$4:$B$1000,$A507,'Card Test Cases'!$A$4:$A$1000,"&lt;&gt;",'Card Test Cases'!$F$4:$F$1000,"&lt;&gt;Out of Scope"))</f>
        <v/>
      </c>
      <c r="P507" s="68" t="str">
        <f>IF(TRIM($A507)="","",COUNTIFS('Card Test Cases'!$B$4:$B$1000,$A507,'Card Test Cases'!$A$4:$A$1000,"&lt;&gt;",'Card Test Cases'!$F$4:$F$1000,"Passed"))</f>
        <v/>
      </c>
      <c r="Q507" s="68" t="str">
        <f>IF(TRIM($A507)="","",COUNTIFS('Card Test Cases'!$B$4:$B$1000,$A507,'Card Test Cases'!$A$4:$A$1000,"&lt;&gt;",'Card Test Cases'!$F$4:$F$1000,"Failed"))</f>
        <v/>
      </c>
      <c r="R507" s="68" t="str">
        <f t="shared" si="7"/>
        <v/>
      </c>
      <c r="S507" s="68" t="str" cm="1">
        <f t="array" ref="S507">IF(TRIM($A507)="","",IFERROR(_xlfn.TEXTJOIN(", ",TRUE,_xlfn.UNIQUE(_xlfn.VSTACK(_xlfn._xlws.FILTER('Card Test Cases'!$G$4:$G$1000,('Card Test Cases'!$B$4:$B$1000=$A507)*('Card Test Cases'!$G$4:$G$1000&lt;&gt;""),""),_xlfn._xlws.FILTER('E2E core flow'!$U$15:$U$1000,('E2E core flow'!$A$15:$A$1000&lt;&gt;"")*ISNUMBER(SEARCH('E2E core flow'!$A$15:$A$1000,$E507))*('E2E core flow'!$U$15:$U$1000&lt;&gt;""),"")))),"-"))</f>
        <v/>
      </c>
    </row>
    <row r="508" spans="7:19" x14ac:dyDescent="0.3">
      <c r="G508" s="68" t="str" cm="1">
        <f t="array" ref="G508">_xlfn.LET(_xlpm.ids,'E2E core flow'!$A$15:$A$1000,_xlpm.v,'E2E core flow'!$W$15:$W$1000,_xlpm.m,(_xlpm.ids&lt;&gt;"")*ISNUMBER(SEARCH(_xlpm.ids,$E508)),_xlpm.f,SUM(_xlpm.m*(_xlpm.v="Failed")),_xlpm.b,SUM(_xlpm.m*(_xlpm.v="Blocked")),_xlpm.nr,SUM(_xlpm.m*(_xlpm.v="Not Run")),_xlpm.cp,SUM(_xlpm.m*(_xlpm.v="Conditionally Passed")),_xlpm.p,SUM(_xlpm.m*(_xlpm.v="Passed")),IF(TRIM($A508)="","",IF(TRIM($E508)="","Pending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08" s="68" t="str">
        <f>IF(TRIM($A508)="","",IF($J508="Passed","",IF($J508="Passed with Known Issue","Known Issue",IF($J508="",IF(OR($H508&lt;&gt;"No",AND($F508&lt;&gt;"Medium",$F508&lt;&gt;"Low")),"Pending Result",""),IF(OR($H508&lt;&gt;"No",AND($F508&lt;&gt;"Medium",$F508&lt;&gt;"Low")),IF(COUNTIFS(Dashboard!$B$105:$B$124,$A508,Dashboard!$I$105:$I$124,"CAB")&gt;0,"Accepted (CF)","Blocking"),IF($J508="Failed","Deferrable","Carry Over"))))))</f>
        <v/>
      </c>
      <c r="M508" s="68" t="str">
        <f>IF(OR(TRIM($A508)="",TRIM($E508)=""),"",IFERROR(INDEX('E2E core flow'!$B$15:$B$1000,MATCH(1,INDEX(('E2E core flow'!$A$15:$A$1000&lt;&gt;"")*ISNUMBER(SEARCH('E2E core flow'!$A$15:$A$1000,$E508)),0),0))&amp;"","-"))</f>
        <v/>
      </c>
      <c r="N508" s="68" t="str">
        <f>IF(TRIM($A508)="","",IF($O508=0,IF(COUNTIFS('Card Test Cases'!$B$4:$B$1000,$A508,'Card Test Cases'!$A$4:$A$1000,"&lt;&gt;")&gt;0,"Out of Scope","No TC"),IF($Q508&gt;0,"Failed",IF(COUNTIFS('Card Test Cases'!$B$4:$B$1000,$A508,'Card Test Cases'!$A$4:$A$1000,"&lt;&gt;",'Card Test Cases'!$F$4:$F$1000,"Blocked")&gt;0,"Blocked",IF($R508&gt;0,"In Progress","Passed")))))</f>
        <v/>
      </c>
      <c r="O508" s="68" t="str">
        <f>IF(TRIM($A508)="","",COUNTIFS('Card Test Cases'!$B$4:$B$1000,$A508,'Card Test Cases'!$A$4:$A$1000,"&lt;&gt;",'Card Test Cases'!$F$4:$F$1000,"&lt;&gt;Out of Scope"))</f>
        <v/>
      </c>
      <c r="P508" s="68" t="str">
        <f>IF(TRIM($A508)="","",COUNTIFS('Card Test Cases'!$B$4:$B$1000,$A508,'Card Test Cases'!$A$4:$A$1000,"&lt;&gt;",'Card Test Cases'!$F$4:$F$1000,"Passed"))</f>
        <v/>
      </c>
      <c r="Q508" s="68" t="str">
        <f>IF(TRIM($A508)="","",COUNTIFS('Card Test Cases'!$B$4:$B$1000,$A508,'Card Test Cases'!$A$4:$A$1000,"&lt;&gt;",'Card Test Cases'!$F$4:$F$1000,"Failed"))</f>
        <v/>
      </c>
      <c r="R508" s="68" t="str">
        <f t="shared" si="7"/>
        <v/>
      </c>
      <c r="S508" s="68" t="str" cm="1">
        <f t="array" ref="S508">IF(TRIM($A508)="","",IFERROR(_xlfn.TEXTJOIN(", ",TRUE,_xlfn.UNIQUE(_xlfn.VSTACK(_xlfn._xlws.FILTER('Card Test Cases'!$G$4:$G$1000,('Card Test Cases'!$B$4:$B$1000=$A508)*('Card Test Cases'!$G$4:$G$1000&lt;&gt;""),""),_xlfn._xlws.FILTER('E2E core flow'!$U$15:$U$1000,('E2E core flow'!$A$15:$A$1000&lt;&gt;"")*ISNUMBER(SEARCH('E2E core flow'!$A$15:$A$1000,$E508))*('E2E core flow'!$U$15:$U$1000&lt;&gt;""),"")))),"-"))</f>
        <v/>
      </c>
    </row>
    <row r="509" spans="7:19" x14ac:dyDescent="0.3">
      <c r="G509" s="68" t="str" cm="1">
        <f t="array" ref="G509">_xlfn.LET(_xlpm.ids,'E2E core flow'!$A$15:$A$1000,_xlpm.v,'E2E core flow'!$W$15:$W$1000,_xlpm.m,(_xlpm.ids&lt;&gt;"")*ISNUMBER(SEARCH(_xlpm.ids,$E509)),_xlpm.f,SUM(_xlpm.m*(_xlpm.v="Failed")),_xlpm.b,SUM(_xlpm.m*(_xlpm.v="Blocked")),_xlpm.nr,SUM(_xlpm.m*(_xlpm.v="Not Run")),_xlpm.cp,SUM(_xlpm.m*(_xlpm.v="Conditionally Passed")),_xlpm.p,SUM(_xlpm.m*(_xlpm.v="Passed")),IF(TRIM($A509)="","",IF(TRIM($E509)="","Pending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09" s="68" t="str">
        <f>IF(TRIM($A509)="","",IF($J509="Passed","",IF($J509="Passed with Known Issue","Known Issue",IF($J509="",IF(OR($H509&lt;&gt;"No",AND($F509&lt;&gt;"Medium",$F509&lt;&gt;"Low")),"Pending Result",""),IF(OR($H509&lt;&gt;"No",AND($F509&lt;&gt;"Medium",$F509&lt;&gt;"Low")),IF(COUNTIFS(Dashboard!$B$105:$B$124,$A509,Dashboard!$I$105:$I$124,"CAB")&gt;0,"Accepted (CF)","Blocking"),IF($J509="Failed","Deferrable","Carry Over"))))))</f>
        <v/>
      </c>
      <c r="M509" s="68" t="str">
        <f>IF(OR(TRIM($A509)="",TRIM($E509)=""),"",IFERROR(INDEX('E2E core flow'!$B$15:$B$1000,MATCH(1,INDEX(('E2E core flow'!$A$15:$A$1000&lt;&gt;"")*ISNUMBER(SEARCH('E2E core flow'!$A$15:$A$1000,$E509)),0),0))&amp;"","-"))</f>
        <v/>
      </c>
      <c r="N509" s="68" t="str">
        <f>IF(TRIM($A509)="","",IF($O509=0,IF(COUNTIFS('Card Test Cases'!$B$4:$B$1000,$A509,'Card Test Cases'!$A$4:$A$1000,"&lt;&gt;")&gt;0,"Out of Scope","No TC"),IF($Q509&gt;0,"Failed",IF(COUNTIFS('Card Test Cases'!$B$4:$B$1000,$A509,'Card Test Cases'!$A$4:$A$1000,"&lt;&gt;",'Card Test Cases'!$F$4:$F$1000,"Blocked")&gt;0,"Blocked",IF($R509&gt;0,"In Progress","Passed")))))</f>
        <v/>
      </c>
      <c r="O509" s="68" t="str">
        <f>IF(TRIM($A509)="","",COUNTIFS('Card Test Cases'!$B$4:$B$1000,$A509,'Card Test Cases'!$A$4:$A$1000,"&lt;&gt;",'Card Test Cases'!$F$4:$F$1000,"&lt;&gt;Out of Scope"))</f>
        <v/>
      </c>
      <c r="P509" s="68" t="str">
        <f>IF(TRIM($A509)="","",COUNTIFS('Card Test Cases'!$B$4:$B$1000,$A509,'Card Test Cases'!$A$4:$A$1000,"&lt;&gt;",'Card Test Cases'!$F$4:$F$1000,"Passed"))</f>
        <v/>
      </c>
      <c r="Q509" s="68" t="str">
        <f>IF(TRIM($A509)="","",COUNTIFS('Card Test Cases'!$B$4:$B$1000,$A509,'Card Test Cases'!$A$4:$A$1000,"&lt;&gt;",'Card Test Cases'!$F$4:$F$1000,"Failed"))</f>
        <v/>
      </c>
      <c r="R509" s="68" t="str">
        <f t="shared" si="7"/>
        <v/>
      </c>
      <c r="S509" s="68" t="str" cm="1">
        <f t="array" ref="S509">IF(TRIM($A509)="","",IFERROR(_xlfn.TEXTJOIN(", ",TRUE,_xlfn.UNIQUE(_xlfn.VSTACK(_xlfn._xlws.FILTER('Card Test Cases'!$G$4:$G$1000,('Card Test Cases'!$B$4:$B$1000=$A509)*('Card Test Cases'!$G$4:$G$1000&lt;&gt;""),""),_xlfn._xlws.FILTER('E2E core flow'!$U$15:$U$1000,('E2E core flow'!$A$15:$A$1000&lt;&gt;"")*ISNUMBER(SEARCH('E2E core flow'!$A$15:$A$1000,$E509))*('E2E core flow'!$U$15:$U$1000&lt;&gt;""),"")))),"-"))</f>
        <v/>
      </c>
    </row>
    <row r="510" spans="7:19" x14ac:dyDescent="0.3">
      <c r="G510" s="68" t="str" cm="1">
        <f t="array" ref="G510">_xlfn.LET(_xlpm.ids,'E2E core flow'!$A$15:$A$1000,_xlpm.v,'E2E core flow'!$W$15:$W$1000,_xlpm.m,(_xlpm.ids&lt;&gt;"")*ISNUMBER(SEARCH(_xlpm.ids,$E510)),_xlpm.f,SUM(_xlpm.m*(_xlpm.v="Failed")),_xlpm.b,SUM(_xlpm.m*(_xlpm.v="Blocked")),_xlpm.nr,SUM(_xlpm.m*(_xlpm.v="Not Run")),_xlpm.cp,SUM(_xlpm.m*(_xlpm.v="Conditionally Passed")),_xlpm.p,SUM(_xlpm.m*(_xlpm.v="Passed")),IF(TRIM($A510)="","",IF(TRIM($E510)="","Pending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10" s="68" t="str">
        <f>IF(TRIM($A510)="","",IF($J510="Passed","",IF($J510="Passed with Known Issue","Known Issue",IF($J510="",IF(OR($H510&lt;&gt;"No",AND($F510&lt;&gt;"Medium",$F510&lt;&gt;"Low")),"Pending Result",""),IF(OR($H510&lt;&gt;"No",AND($F510&lt;&gt;"Medium",$F510&lt;&gt;"Low")),IF(COUNTIFS(Dashboard!$B$105:$B$124,$A510,Dashboard!$I$105:$I$124,"CAB")&gt;0,"Accepted (CF)","Blocking"),IF($J510="Failed","Deferrable","Carry Over"))))))</f>
        <v/>
      </c>
      <c r="M510" s="68" t="str">
        <f>IF(OR(TRIM($A510)="",TRIM($E510)=""),"",IFERROR(INDEX('E2E core flow'!$B$15:$B$1000,MATCH(1,INDEX(('E2E core flow'!$A$15:$A$1000&lt;&gt;"")*ISNUMBER(SEARCH('E2E core flow'!$A$15:$A$1000,$E510)),0),0))&amp;"","-"))</f>
        <v/>
      </c>
      <c r="N510" s="68" t="str">
        <f>IF(TRIM($A510)="","",IF($O510=0,IF(COUNTIFS('Card Test Cases'!$B$4:$B$1000,$A510,'Card Test Cases'!$A$4:$A$1000,"&lt;&gt;")&gt;0,"Out of Scope","No TC"),IF($Q510&gt;0,"Failed",IF(COUNTIFS('Card Test Cases'!$B$4:$B$1000,$A510,'Card Test Cases'!$A$4:$A$1000,"&lt;&gt;",'Card Test Cases'!$F$4:$F$1000,"Blocked")&gt;0,"Blocked",IF($R510&gt;0,"In Progress","Passed")))))</f>
        <v/>
      </c>
      <c r="O510" s="68" t="str">
        <f>IF(TRIM($A510)="","",COUNTIFS('Card Test Cases'!$B$4:$B$1000,$A510,'Card Test Cases'!$A$4:$A$1000,"&lt;&gt;",'Card Test Cases'!$F$4:$F$1000,"&lt;&gt;Out of Scope"))</f>
        <v/>
      </c>
      <c r="P510" s="68" t="str">
        <f>IF(TRIM($A510)="","",COUNTIFS('Card Test Cases'!$B$4:$B$1000,$A510,'Card Test Cases'!$A$4:$A$1000,"&lt;&gt;",'Card Test Cases'!$F$4:$F$1000,"Passed"))</f>
        <v/>
      </c>
      <c r="Q510" s="68" t="str">
        <f>IF(TRIM($A510)="","",COUNTIFS('Card Test Cases'!$B$4:$B$1000,$A510,'Card Test Cases'!$A$4:$A$1000,"&lt;&gt;",'Card Test Cases'!$F$4:$F$1000,"Failed"))</f>
        <v/>
      </c>
      <c r="R510" s="68" t="str">
        <f t="shared" si="7"/>
        <v/>
      </c>
      <c r="S510" s="68" t="str" cm="1">
        <f t="array" ref="S510">IF(TRIM($A510)="","",IFERROR(_xlfn.TEXTJOIN(", ",TRUE,_xlfn.UNIQUE(_xlfn.VSTACK(_xlfn._xlws.FILTER('Card Test Cases'!$G$4:$G$1000,('Card Test Cases'!$B$4:$B$1000=$A510)*('Card Test Cases'!$G$4:$G$1000&lt;&gt;""),""),_xlfn._xlws.FILTER('E2E core flow'!$U$15:$U$1000,('E2E core flow'!$A$15:$A$1000&lt;&gt;"")*ISNUMBER(SEARCH('E2E core flow'!$A$15:$A$1000,$E510))*('E2E core flow'!$U$15:$U$1000&lt;&gt;""),"")))),"-"))</f>
        <v/>
      </c>
    </row>
    <row r="511" spans="7:19" x14ac:dyDescent="0.3">
      <c r="G511" s="68" t="str" cm="1">
        <f t="array" ref="G511">_xlfn.LET(_xlpm.ids,'E2E core flow'!$A$15:$A$1000,_xlpm.v,'E2E core flow'!$W$15:$W$1000,_xlpm.m,(_xlpm.ids&lt;&gt;"")*ISNUMBER(SEARCH(_xlpm.ids,$E511)),_xlpm.f,SUM(_xlpm.m*(_xlpm.v="Failed")),_xlpm.b,SUM(_xlpm.m*(_xlpm.v="Blocked")),_xlpm.nr,SUM(_xlpm.m*(_xlpm.v="Not Run")),_xlpm.cp,SUM(_xlpm.m*(_xlpm.v="Conditionally Passed")),_xlpm.p,SUM(_xlpm.m*(_xlpm.v="Passed")),IF(TRIM($A511)="","",IF(TRIM($E511)="","Pending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11" s="68" t="str">
        <f>IF(TRIM($A511)="","",IF($J511="Passed","",IF($J511="Passed with Known Issue","Known Issue",IF($J511="",IF(OR($H511&lt;&gt;"No",AND($F511&lt;&gt;"Medium",$F511&lt;&gt;"Low")),"Pending Result",""),IF(OR($H511&lt;&gt;"No",AND($F511&lt;&gt;"Medium",$F511&lt;&gt;"Low")),IF(COUNTIFS(Dashboard!$B$105:$B$124,$A511,Dashboard!$I$105:$I$124,"CAB")&gt;0,"Accepted (CF)","Blocking"),IF($J511="Failed","Deferrable","Carry Over"))))))</f>
        <v/>
      </c>
      <c r="M511" s="68" t="str">
        <f>IF(OR(TRIM($A511)="",TRIM($E511)=""),"",IFERROR(INDEX('E2E core flow'!$B$15:$B$1000,MATCH(1,INDEX(('E2E core flow'!$A$15:$A$1000&lt;&gt;"")*ISNUMBER(SEARCH('E2E core flow'!$A$15:$A$1000,$E511)),0),0))&amp;"","-"))</f>
        <v/>
      </c>
      <c r="N511" s="68" t="str">
        <f>IF(TRIM($A511)="","",IF($O511=0,IF(COUNTIFS('Card Test Cases'!$B$4:$B$1000,$A511,'Card Test Cases'!$A$4:$A$1000,"&lt;&gt;")&gt;0,"Out of Scope","No TC"),IF($Q511&gt;0,"Failed",IF(COUNTIFS('Card Test Cases'!$B$4:$B$1000,$A511,'Card Test Cases'!$A$4:$A$1000,"&lt;&gt;",'Card Test Cases'!$F$4:$F$1000,"Blocked")&gt;0,"Blocked",IF($R511&gt;0,"In Progress","Passed")))))</f>
        <v/>
      </c>
      <c r="O511" s="68" t="str">
        <f>IF(TRIM($A511)="","",COUNTIFS('Card Test Cases'!$B$4:$B$1000,$A511,'Card Test Cases'!$A$4:$A$1000,"&lt;&gt;",'Card Test Cases'!$F$4:$F$1000,"&lt;&gt;Out of Scope"))</f>
        <v/>
      </c>
      <c r="P511" s="68" t="str">
        <f>IF(TRIM($A511)="","",COUNTIFS('Card Test Cases'!$B$4:$B$1000,$A511,'Card Test Cases'!$A$4:$A$1000,"&lt;&gt;",'Card Test Cases'!$F$4:$F$1000,"Passed"))</f>
        <v/>
      </c>
      <c r="Q511" s="68" t="str">
        <f>IF(TRIM($A511)="","",COUNTIFS('Card Test Cases'!$B$4:$B$1000,$A511,'Card Test Cases'!$A$4:$A$1000,"&lt;&gt;",'Card Test Cases'!$F$4:$F$1000,"Failed"))</f>
        <v/>
      </c>
      <c r="R511" s="68" t="str">
        <f t="shared" si="7"/>
        <v/>
      </c>
      <c r="S511" s="68" t="str" cm="1">
        <f t="array" ref="S511">IF(TRIM($A511)="","",IFERROR(_xlfn.TEXTJOIN(", ",TRUE,_xlfn.UNIQUE(_xlfn.VSTACK(_xlfn._xlws.FILTER('Card Test Cases'!$G$4:$G$1000,('Card Test Cases'!$B$4:$B$1000=$A511)*('Card Test Cases'!$G$4:$G$1000&lt;&gt;""),""),_xlfn._xlws.FILTER('E2E core flow'!$U$15:$U$1000,('E2E core flow'!$A$15:$A$1000&lt;&gt;"")*ISNUMBER(SEARCH('E2E core flow'!$A$15:$A$1000,$E511))*('E2E core flow'!$U$15:$U$1000&lt;&gt;""),"")))),"-"))</f>
        <v/>
      </c>
    </row>
    <row r="512" spans="7:19" x14ac:dyDescent="0.3">
      <c r="G512" s="68" t="str" cm="1">
        <f t="array" ref="G512">_xlfn.LET(_xlpm.ids,'E2E core flow'!$A$15:$A$1000,_xlpm.v,'E2E core flow'!$W$15:$W$1000,_xlpm.m,(_xlpm.ids&lt;&gt;"")*ISNUMBER(SEARCH(_xlpm.ids,$E512)),_xlpm.f,SUM(_xlpm.m*(_xlpm.v="Failed")),_xlpm.b,SUM(_xlpm.m*(_xlpm.v="Blocked")),_xlpm.nr,SUM(_xlpm.m*(_xlpm.v="Not Run")),_xlpm.cp,SUM(_xlpm.m*(_xlpm.v="Conditionally Passed")),_xlpm.p,SUM(_xlpm.m*(_xlpm.v="Passed")),IF(TRIM($A512)="","",IF(TRIM($E512)="","Pending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12" s="68" t="str">
        <f>IF(TRIM($A512)="","",IF($J512="Passed","",IF($J512="Passed with Known Issue","Known Issue",IF($J512="",IF(OR($H512&lt;&gt;"No",AND($F512&lt;&gt;"Medium",$F512&lt;&gt;"Low")),"Pending Result",""),IF(OR($H512&lt;&gt;"No",AND($F512&lt;&gt;"Medium",$F512&lt;&gt;"Low")),IF(COUNTIFS(Dashboard!$B$105:$B$124,$A512,Dashboard!$I$105:$I$124,"CAB")&gt;0,"Accepted (CF)","Blocking"),IF($J512="Failed","Deferrable","Carry Over"))))))</f>
        <v/>
      </c>
      <c r="M512" s="68" t="str">
        <f>IF(OR(TRIM($A512)="",TRIM($E512)=""),"",IFERROR(INDEX('E2E core flow'!$B$15:$B$1000,MATCH(1,INDEX(('E2E core flow'!$A$15:$A$1000&lt;&gt;"")*ISNUMBER(SEARCH('E2E core flow'!$A$15:$A$1000,$E512)),0),0))&amp;"","-"))</f>
        <v/>
      </c>
      <c r="N512" s="68" t="str">
        <f>IF(TRIM($A512)="","",IF($O512=0,IF(COUNTIFS('Card Test Cases'!$B$4:$B$1000,$A512,'Card Test Cases'!$A$4:$A$1000,"&lt;&gt;")&gt;0,"Out of Scope","No TC"),IF($Q512&gt;0,"Failed",IF(COUNTIFS('Card Test Cases'!$B$4:$B$1000,$A512,'Card Test Cases'!$A$4:$A$1000,"&lt;&gt;",'Card Test Cases'!$F$4:$F$1000,"Blocked")&gt;0,"Blocked",IF($R512&gt;0,"In Progress","Passed")))))</f>
        <v/>
      </c>
      <c r="O512" s="68" t="str">
        <f>IF(TRIM($A512)="","",COUNTIFS('Card Test Cases'!$B$4:$B$1000,$A512,'Card Test Cases'!$A$4:$A$1000,"&lt;&gt;",'Card Test Cases'!$F$4:$F$1000,"&lt;&gt;Out of Scope"))</f>
        <v/>
      </c>
      <c r="P512" s="68" t="str">
        <f>IF(TRIM($A512)="","",COUNTIFS('Card Test Cases'!$B$4:$B$1000,$A512,'Card Test Cases'!$A$4:$A$1000,"&lt;&gt;",'Card Test Cases'!$F$4:$F$1000,"Passed"))</f>
        <v/>
      </c>
      <c r="Q512" s="68" t="str">
        <f>IF(TRIM($A512)="","",COUNTIFS('Card Test Cases'!$B$4:$B$1000,$A512,'Card Test Cases'!$A$4:$A$1000,"&lt;&gt;",'Card Test Cases'!$F$4:$F$1000,"Failed"))</f>
        <v/>
      </c>
      <c r="R512" s="68" t="str">
        <f t="shared" si="7"/>
        <v/>
      </c>
      <c r="S512" s="68" t="str" cm="1">
        <f t="array" ref="S512">IF(TRIM($A512)="","",IFERROR(_xlfn.TEXTJOIN(", ",TRUE,_xlfn.UNIQUE(_xlfn.VSTACK(_xlfn._xlws.FILTER('Card Test Cases'!$G$4:$G$1000,('Card Test Cases'!$B$4:$B$1000=$A512)*('Card Test Cases'!$G$4:$G$1000&lt;&gt;""),""),_xlfn._xlws.FILTER('E2E core flow'!$U$15:$U$1000,('E2E core flow'!$A$15:$A$1000&lt;&gt;"")*ISNUMBER(SEARCH('E2E core flow'!$A$15:$A$1000,$E512))*('E2E core flow'!$U$15:$U$1000&lt;&gt;""),"")))),"-"))</f>
        <v/>
      </c>
    </row>
    <row r="513" spans="7:19" x14ac:dyDescent="0.3">
      <c r="G513" s="68" t="str" cm="1">
        <f t="array" ref="G513">_xlfn.LET(_xlpm.ids,'E2E core flow'!$A$15:$A$1000,_xlpm.v,'E2E core flow'!$W$15:$W$1000,_xlpm.m,(_xlpm.ids&lt;&gt;"")*ISNUMBER(SEARCH(_xlpm.ids,$E513)),_xlpm.f,SUM(_xlpm.m*(_xlpm.v="Failed")),_xlpm.b,SUM(_xlpm.m*(_xlpm.v="Blocked")),_xlpm.nr,SUM(_xlpm.m*(_xlpm.v="Not Run")),_xlpm.cp,SUM(_xlpm.m*(_xlpm.v="Conditionally Passed")),_xlpm.p,SUM(_xlpm.m*(_xlpm.v="Passed")),IF(TRIM($A513)="","",IF(TRIM($E513)="","Pending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13" s="68" t="str">
        <f>IF(TRIM($A513)="","",IF($J513="Passed","",IF($J513="Passed with Known Issue","Known Issue",IF($J513="",IF(OR($H513&lt;&gt;"No",AND($F513&lt;&gt;"Medium",$F513&lt;&gt;"Low")),"Pending Result",""),IF(OR($H513&lt;&gt;"No",AND($F513&lt;&gt;"Medium",$F513&lt;&gt;"Low")),IF(COUNTIFS(Dashboard!$B$105:$B$124,$A513,Dashboard!$I$105:$I$124,"CAB")&gt;0,"Accepted (CF)","Blocking"),IF($J513="Failed","Deferrable","Carry Over"))))))</f>
        <v/>
      </c>
      <c r="M513" s="68" t="str">
        <f>IF(OR(TRIM($A513)="",TRIM($E513)=""),"",IFERROR(INDEX('E2E core flow'!$B$15:$B$1000,MATCH(1,INDEX(('E2E core flow'!$A$15:$A$1000&lt;&gt;"")*ISNUMBER(SEARCH('E2E core flow'!$A$15:$A$1000,$E513)),0),0))&amp;"","-"))</f>
        <v/>
      </c>
      <c r="N513" s="68" t="str">
        <f>IF(TRIM($A513)="","",IF($O513=0,IF(COUNTIFS('Card Test Cases'!$B$4:$B$1000,$A513,'Card Test Cases'!$A$4:$A$1000,"&lt;&gt;")&gt;0,"Out of Scope","No TC"),IF($Q513&gt;0,"Failed",IF(COUNTIFS('Card Test Cases'!$B$4:$B$1000,$A513,'Card Test Cases'!$A$4:$A$1000,"&lt;&gt;",'Card Test Cases'!$F$4:$F$1000,"Blocked")&gt;0,"Blocked",IF($R513&gt;0,"In Progress","Passed")))))</f>
        <v/>
      </c>
      <c r="O513" s="68" t="str">
        <f>IF(TRIM($A513)="","",COUNTIFS('Card Test Cases'!$B$4:$B$1000,$A513,'Card Test Cases'!$A$4:$A$1000,"&lt;&gt;",'Card Test Cases'!$F$4:$F$1000,"&lt;&gt;Out of Scope"))</f>
        <v/>
      </c>
      <c r="P513" s="68" t="str">
        <f>IF(TRIM($A513)="","",COUNTIFS('Card Test Cases'!$B$4:$B$1000,$A513,'Card Test Cases'!$A$4:$A$1000,"&lt;&gt;",'Card Test Cases'!$F$4:$F$1000,"Passed"))</f>
        <v/>
      </c>
      <c r="Q513" s="68" t="str">
        <f>IF(TRIM($A513)="","",COUNTIFS('Card Test Cases'!$B$4:$B$1000,$A513,'Card Test Cases'!$A$4:$A$1000,"&lt;&gt;",'Card Test Cases'!$F$4:$F$1000,"Failed"))</f>
        <v/>
      </c>
      <c r="R513" s="68" t="str">
        <f t="shared" si="7"/>
        <v/>
      </c>
      <c r="S513" s="68" t="str" cm="1">
        <f t="array" ref="S513">IF(TRIM($A513)="","",IFERROR(_xlfn.TEXTJOIN(", ",TRUE,_xlfn.UNIQUE(_xlfn.VSTACK(_xlfn._xlws.FILTER('Card Test Cases'!$G$4:$G$1000,('Card Test Cases'!$B$4:$B$1000=$A513)*('Card Test Cases'!$G$4:$G$1000&lt;&gt;""),""),_xlfn._xlws.FILTER('E2E core flow'!$U$15:$U$1000,('E2E core flow'!$A$15:$A$1000&lt;&gt;"")*ISNUMBER(SEARCH('E2E core flow'!$A$15:$A$1000,$E513))*('E2E core flow'!$U$15:$U$1000&lt;&gt;""),"")))),"-"))</f>
        <v/>
      </c>
    </row>
    <row r="514" spans="7:19" x14ac:dyDescent="0.3">
      <c r="G514" s="68" t="str" cm="1">
        <f t="array" ref="G514">_xlfn.LET(_xlpm.ids,'E2E core flow'!$A$15:$A$1000,_xlpm.v,'E2E core flow'!$W$15:$W$1000,_xlpm.m,(_xlpm.ids&lt;&gt;"")*ISNUMBER(SEARCH(_xlpm.ids,$E514)),_xlpm.f,SUM(_xlpm.m*(_xlpm.v="Failed")),_xlpm.b,SUM(_xlpm.m*(_xlpm.v="Blocked")),_xlpm.nr,SUM(_xlpm.m*(_xlpm.v="Not Run")),_xlpm.cp,SUM(_xlpm.m*(_xlpm.v="Conditionally Passed")),_xlpm.p,SUM(_xlpm.m*(_xlpm.v="Passed")),IF(TRIM($A514)="","",IF(TRIM($E514)="","Pending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14" s="68" t="str">
        <f>IF(TRIM($A514)="","",IF($J514="Passed","",IF($J514="Passed with Known Issue","Known Issue",IF($J514="",IF(OR($H514&lt;&gt;"No",AND($F514&lt;&gt;"Medium",$F514&lt;&gt;"Low")),"Pending Result",""),IF(OR($H514&lt;&gt;"No",AND($F514&lt;&gt;"Medium",$F514&lt;&gt;"Low")),IF(COUNTIFS(Dashboard!$B$105:$B$124,$A514,Dashboard!$I$105:$I$124,"CAB")&gt;0,"Accepted (CF)","Blocking"),IF($J514="Failed","Deferrable","Carry Over"))))))</f>
        <v/>
      </c>
      <c r="M514" s="68" t="str">
        <f>IF(OR(TRIM($A514)="",TRIM($E514)=""),"",IFERROR(INDEX('E2E core flow'!$B$15:$B$1000,MATCH(1,INDEX(('E2E core flow'!$A$15:$A$1000&lt;&gt;"")*ISNUMBER(SEARCH('E2E core flow'!$A$15:$A$1000,$E514)),0),0))&amp;"","-"))</f>
        <v/>
      </c>
      <c r="N514" s="68" t="str">
        <f>IF(TRIM($A514)="","",IF($O514=0,IF(COUNTIFS('Card Test Cases'!$B$4:$B$1000,$A514,'Card Test Cases'!$A$4:$A$1000,"&lt;&gt;")&gt;0,"Out of Scope","No TC"),IF($Q514&gt;0,"Failed",IF(COUNTIFS('Card Test Cases'!$B$4:$B$1000,$A514,'Card Test Cases'!$A$4:$A$1000,"&lt;&gt;",'Card Test Cases'!$F$4:$F$1000,"Blocked")&gt;0,"Blocked",IF($R514&gt;0,"In Progress","Passed")))))</f>
        <v/>
      </c>
      <c r="O514" s="68" t="str">
        <f>IF(TRIM($A514)="","",COUNTIFS('Card Test Cases'!$B$4:$B$1000,$A514,'Card Test Cases'!$A$4:$A$1000,"&lt;&gt;",'Card Test Cases'!$F$4:$F$1000,"&lt;&gt;Out of Scope"))</f>
        <v/>
      </c>
      <c r="P514" s="68" t="str">
        <f>IF(TRIM($A514)="","",COUNTIFS('Card Test Cases'!$B$4:$B$1000,$A514,'Card Test Cases'!$A$4:$A$1000,"&lt;&gt;",'Card Test Cases'!$F$4:$F$1000,"Passed"))</f>
        <v/>
      </c>
      <c r="Q514" s="68" t="str">
        <f>IF(TRIM($A514)="","",COUNTIFS('Card Test Cases'!$B$4:$B$1000,$A514,'Card Test Cases'!$A$4:$A$1000,"&lt;&gt;",'Card Test Cases'!$F$4:$F$1000,"Failed"))</f>
        <v/>
      </c>
      <c r="R514" s="68" t="str">
        <f t="shared" si="7"/>
        <v/>
      </c>
      <c r="S514" s="68" t="str" cm="1">
        <f t="array" ref="S514">IF(TRIM($A514)="","",IFERROR(_xlfn.TEXTJOIN(", ",TRUE,_xlfn.UNIQUE(_xlfn.VSTACK(_xlfn._xlws.FILTER('Card Test Cases'!$G$4:$G$1000,('Card Test Cases'!$B$4:$B$1000=$A514)*('Card Test Cases'!$G$4:$G$1000&lt;&gt;""),""),_xlfn._xlws.FILTER('E2E core flow'!$U$15:$U$1000,('E2E core flow'!$A$15:$A$1000&lt;&gt;"")*ISNUMBER(SEARCH('E2E core flow'!$A$15:$A$1000,$E514))*('E2E core flow'!$U$15:$U$1000&lt;&gt;""),"")))),"-"))</f>
        <v/>
      </c>
    </row>
    <row r="515" spans="7:19" x14ac:dyDescent="0.3">
      <c r="G515" s="68" t="str" cm="1">
        <f t="array" ref="G515">_xlfn.LET(_xlpm.ids,'E2E core flow'!$A$15:$A$1000,_xlpm.v,'E2E core flow'!$W$15:$W$1000,_xlpm.m,(_xlpm.ids&lt;&gt;"")*ISNUMBER(SEARCH(_xlpm.ids,$E515)),_xlpm.f,SUM(_xlpm.m*(_xlpm.v="Failed")),_xlpm.b,SUM(_xlpm.m*(_xlpm.v="Blocked")),_xlpm.nr,SUM(_xlpm.m*(_xlpm.v="Not Run")),_xlpm.cp,SUM(_xlpm.m*(_xlpm.v="Conditionally Passed")),_xlpm.p,SUM(_xlpm.m*(_xlpm.v="Passed")),IF(TRIM($A515)="","",IF(TRIM($E515)="","Pending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15" s="68" t="str">
        <f>IF(TRIM($A515)="","",IF($J515="Passed","",IF($J515="Passed with Known Issue","Known Issue",IF($J515="",IF(OR($H515&lt;&gt;"No",AND($F515&lt;&gt;"Medium",$F515&lt;&gt;"Low")),"Pending Result",""),IF(OR($H515&lt;&gt;"No",AND($F515&lt;&gt;"Medium",$F515&lt;&gt;"Low")),IF(COUNTIFS(Dashboard!$B$105:$B$124,$A515,Dashboard!$I$105:$I$124,"CAB")&gt;0,"Accepted (CF)","Blocking"),IF($J515="Failed","Deferrable","Carry Over"))))))</f>
        <v/>
      </c>
      <c r="M515" s="68" t="str">
        <f>IF(OR(TRIM($A515)="",TRIM($E515)=""),"",IFERROR(INDEX('E2E core flow'!$B$15:$B$1000,MATCH(1,INDEX(('E2E core flow'!$A$15:$A$1000&lt;&gt;"")*ISNUMBER(SEARCH('E2E core flow'!$A$15:$A$1000,$E515)),0),0))&amp;"","-"))</f>
        <v/>
      </c>
      <c r="N515" s="68" t="str">
        <f>IF(TRIM($A515)="","",IF($O515=0,IF(COUNTIFS('Card Test Cases'!$B$4:$B$1000,$A515,'Card Test Cases'!$A$4:$A$1000,"&lt;&gt;")&gt;0,"Out of Scope","No TC"),IF($Q515&gt;0,"Failed",IF(COUNTIFS('Card Test Cases'!$B$4:$B$1000,$A515,'Card Test Cases'!$A$4:$A$1000,"&lt;&gt;",'Card Test Cases'!$F$4:$F$1000,"Blocked")&gt;0,"Blocked",IF($R515&gt;0,"In Progress","Passed")))))</f>
        <v/>
      </c>
      <c r="O515" s="68" t="str">
        <f>IF(TRIM($A515)="","",COUNTIFS('Card Test Cases'!$B$4:$B$1000,$A515,'Card Test Cases'!$A$4:$A$1000,"&lt;&gt;",'Card Test Cases'!$F$4:$F$1000,"&lt;&gt;Out of Scope"))</f>
        <v/>
      </c>
      <c r="P515" s="68" t="str">
        <f>IF(TRIM($A515)="","",COUNTIFS('Card Test Cases'!$B$4:$B$1000,$A515,'Card Test Cases'!$A$4:$A$1000,"&lt;&gt;",'Card Test Cases'!$F$4:$F$1000,"Passed"))</f>
        <v/>
      </c>
      <c r="Q515" s="68" t="str">
        <f>IF(TRIM($A515)="","",COUNTIFS('Card Test Cases'!$B$4:$B$1000,$A515,'Card Test Cases'!$A$4:$A$1000,"&lt;&gt;",'Card Test Cases'!$F$4:$F$1000,"Failed"))</f>
        <v/>
      </c>
      <c r="R515" s="68" t="str">
        <f t="shared" si="7"/>
        <v/>
      </c>
      <c r="S515" s="68" t="str" cm="1">
        <f t="array" ref="S515">IF(TRIM($A515)="","",IFERROR(_xlfn.TEXTJOIN(", ",TRUE,_xlfn.UNIQUE(_xlfn.VSTACK(_xlfn._xlws.FILTER('Card Test Cases'!$G$4:$G$1000,('Card Test Cases'!$B$4:$B$1000=$A515)*('Card Test Cases'!$G$4:$G$1000&lt;&gt;""),""),_xlfn._xlws.FILTER('E2E core flow'!$U$15:$U$1000,('E2E core flow'!$A$15:$A$1000&lt;&gt;"")*ISNUMBER(SEARCH('E2E core flow'!$A$15:$A$1000,$E515))*('E2E core flow'!$U$15:$U$1000&lt;&gt;""),"")))),"-"))</f>
        <v/>
      </c>
    </row>
    <row r="516" spans="7:19" x14ac:dyDescent="0.3">
      <c r="G516" s="68" t="str" cm="1">
        <f t="array" ref="G516">_xlfn.LET(_xlpm.ids,'E2E core flow'!$A$15:$A$1000,_xlpm.v,'E2E core flow'!$W$15:$W$1000,_xlpm.m,(_xlpm.ids&lt;&gt;"")*ISNUMBER(SEARCH(_xlpm.ids,$E516)),_xlpm.f,SUM(_xlpm.m*(_xlpm.v="Failed")),_xlpm.b,SUM(_xlpm.m*(_xlpm.v="Blocked")),_xlpm.nr,SUM(_xlpm.m*(_xlpm.v="Not Run")),_xlpm.cp,SUM(_xlpm.m*(_xlpm.v="Conditionally Passed")),_xlpm.p,SUM(_xlpm.m*(_xlpm.v="Passed")),IF(TRIM($A516)="","",IF(TRIM($E516)="","Pending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16" s="68" t="str">
        <f>IF(TRIM($A516)="","",IF($J516="Passed","",IF($J516="Passed with Known Issue","Known Issue",IF($J516="",IF(OR($H516&lt;&gt;"No",AND($F516&lt;&gt;"Medium",$F516&lt;&gt;"Low")),"Pending Result",""),IF(OR($H516&lt;&gt;"No",AND($F516&lt;&gt;"Medium",$F516&lt;&gt;"Low")),IF(COUNTIFS(Dashboard!$B$105:$B$124,$A516,Dashboard!$I$105:$I$124,"CAB")&gt;0,"Accepted (CF)","Blocking"),IF($J516="Failed","Deferrable","Carry Over"))))))</f>
        <v/>
      </c>
      <c r="M516" s="68" t="str">
        <f>IF(OR(TRIM($A516)="",TRIM($E516)=""),"",IFERROR(INDEX('E2E core flow'!$B$15:$B$1000,MATCH(1,INDEX(('E2E core flow'!$A$15:$A$1000&lt;&gt;"")*ISNUMBER(SEARCH('E2E core flow'!$A$15:$A$1000,$E516)),0),0))&amp;"","-"))</f>
        <v/>
      </c>
      <c r="N516" s="68" t="str">
        <f>IF(TRIM($A516)="","",IF($O516=0,IF(COUNTIFS('Card Test Cases'!$B$4:$B$1000,$A516,'Card Test Cases'!$A$4:$A$1000,"&lt;&gt;")&gt;0,"Out of Scope","No TC"),IF($Q516&gt;0,"Failed",IF(COUNTIFS('Card Test Cases'!$B$4:$B$1000,$A516,'Card Test Cases'!$A$4:$A$1000,"&lt;&gt;",'Card Test Cases'!$F$4:$F$1000,"Blocked")&gt;0,"Blocked",IF($R516&gt;0,"In Progress","Passed")))))</f>
        <v/>
      </c>
      <c r="O516" s="68" t="str">
        <f>IF(TRIM($A516)="","",COUNTIFS('Card Test Cases'!$B$4:$B$1000,$A516,'Card Test Cases'!$A$4:$A$1000,"&lt;&gt;",'Card Test Cases'!$F$4:$F$1000,"&lt;&gt;Out of Scope"))</f>
        <v/>
      </c>
      <c r="P516" s="68" t="str">
        <f>IF(TRIM($A516)="","",COUNTIFS('Card Test Cases'!$B$4:$B$1000,$A516,'Card Test Cases'!$A$4:$A$1000,"&lt;&gt;",'Card Test Cases'!$F$4:$F$1000,"Passed"))</f>
        <v/>
      </c>
      <c r="Q516" s="68" t="str">
        <f>IF(TRIM($A516)="","",COUNTIFS('Card Test Cases'!$B$4:$B$1000,$A516,'Card Test Cases'!$A$4:$A$1000,"&lt;&gt;",'Card Test Cases'!$F$4:$F$1000,"Failed"))</f>
        <v/>
      </c>
      <c r="R516" s="68" t="str">
        <f t="shared" ref="R516:R579" si="8">IF(TRIM($A516)="","",$O516-$P516-$Q516)</f>
        <v/>
      </c>
      <c r="S516" s="68" t="str" cm="1">
        <f t="array" ref="S516">IF(TRIM($A516)="","",IFERROR(_xlfn.TEXTJOIN(", ",TRUE,_xlfn.UNIQUE(_xlfn.VSTACK(_xlfn._xlws.FILTER('Card Test Cases'!$G$4:$G$1000,('Card Test Cases'!$B$4:$B$1000=$A516)*('Card Test Cases'!$G$4:$G$1000&lt;&gt;""),""),_xlfn._xlws.FILTER('E2E core flow'!$U$15:$U$1000,('E2E core flow'!$A$15:$A$1000&lt;&gt;"")*ISNUMBER(SEARCH('E2E core flow'!$A$15:$A$1000,$E516))*('E2E core flow'!$U$15:$U$1000&lt;&gt;""),"")))),"-"))</f>
        <v/>
      </c>
    </row>
    <row r="517" spans="7:19" x14ac:dyDescent="0.3">
      <c r="G517" s="68" t="str" cm="1">
        <f t="array" ref="G517">_xlfn.LET(_xlpm.ids,'E2E core flow'!$A$15:$A$1000,_xlpm.v,'E2E core flow'!$W$15:$W$1000,_xlpm.m,(_xlpm.ids&lt;&gt;"")*ISNUMBER(SEARCH(_xlpm.ids,$E517)),_xlpm.f,SUM(_xlpm.m*(_xlpm.v="Failed")),_xlpm.b,SUM(_xlpm.m*(_xlpm.v="Blocked")),_xlpm.nr,SUM(_xlpm.m*(_xlpm.v="Not Run")),_xlpm.cp,SUM(_xlpm.m*(_xlpm.v="Conditionally Passed")),_xlpm.p,SUM(_xlpm.m*(_xlpm.v="Passed")),IF(TRIM($A517)="","",IF(TRIM($E517)="","Pending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17" s="68" t="str">
        <f>IF(TRIM($A517)="","",IF($J517="Passed","",IF($J517="Passed with Known Issue","Known Issue",IF($J517="",IF(OR($H517&lt;&gt;"No",AND($F517&lt;&gt;"Medium",$F517&lt;&gt;"Low")),"Pending Result",""),IF(OR($H517&lt;&gt;"No",AND($F517&lt;&gt;"Medium",$F517&lt;&gt;"Low")),IF(COUNTIFS(Dashboard!$B$105:$B$124,$A517,Dashboard!$I$105:$I$124,"CAB")&gt;0,"Accepted (CF)","Blocking"),IF($J517="Failed","Deferrable","Carry Over"))))))</f>
        <v/>
      </c>
      <c r="M517" s="68" t="str">
        <f>IF(OR(TRIM($A517)="",TRIM($E517)=""),"",IFERROR(INDEX('E2E core flow'!$B$15:$B$1000,MATCH(1,INDEX(('E2E core flow'!$A$15:$A$1000&lt;&gt;"")*ISNUMBER(SEARCH('E2E core flow'!$A$15:$A$1000,$E517)),0),0))&amp;"","-"))</f>
        <v/>
      </c>
      <c r="N517" s="68" t="str">
        <f>IF(TRIM($A517)="","",IF($O517=0,IF(COUNTIFS('Card Test Cases'!$B$4:$B$1000,$A517,'Card Test Cases'!$A$4:$A$1000,"&lt;&gt;")&gt;0,"Out of Scope","No TC"),IF($Q517&gt;0,"Failed",IF(COUNTIFS('Card Test Cases'!$B$4:$B$1000,$A517,'Card Test Cases'!$A$4:$A$1000,"&lt;&gt;",'Card Test Cases'!$F$4:$F$1000,"Blocked")&gt;0,"Blocked",IF($R517&gt;0,"In Progress","Passed")))))</f>
        <v/>
      </c>
      <c r="O517" s="68" t="str">
        <f>IF(TRIM($A517)="","",COUNTIFS('Card Test Cases'!$B$4:$B$1000,$A517,'Card Test Cases'!$A$4:$A$1000,"&lt;&gt;",'Card Test Cases'!$F$4:$F$1000,"&lt;&gt;Out of Scope"))</f>
        <v/>
      </c>
      <c r="P517" s="68" t="str">
        <f>IF(TRIM($A517)="","",COUNTIFS('Card Test Cases'!$B$4:$B$1000,$A517,'Card Test Cases'!$A$4:$A$1000,"&lt;&gt;",'Card Test Cases'!$F$4:$F$1000,"Passed"))</f>
        <v/>
      </c>
      <c r="Q517" s="68" t="str">
        <f>IF(TRIM($A517)="","",COUNTIFS('Card Test Cases'!$B$4:$B$1000,$A517,'Card Test Cases'!$A$4:$A$1000,"&lt;&gt;",'Card Test Cases'!$F$4:$F$1000,"Failed"))</f>
        <v/>
      </c>
      <c r="R517" s="68" t="str">
        <f t="shared" si="8"/>
        <v/>
      </c>
      <c r="S517" s="68" t="str" cm="1">
        <f t="array" ref="S517">IF(TRIM($A517)="","",IFERROR(_xlfn.TEXTJOIN(", ",TRUE,_xlfn.UNIQUE(_xlfn.VSTACK(_xlfn._xlws.FILTER('Card Test Cases'!$G$4:$G$1000,('Card Test Cases'!$B$4:$B$1000=$A517)*('Card Test Cases'!$G$4:$G$1000&lt;&gt;""),""),_xlfn._xlws.FILTER('E2E core flow'!$U$15:$U$1000,('E2E core flow'!$A$15:$A$1000&lt;&gt;"")*ISNUMBER(SEARCH('E2E core flow'!$A$15:$A$1000,$E517))*('E2E core flow'!$U$15:$U$1000&lt;&gt;""),"")))),"-"))</f>
        <v/>
      </c>
    </row>
    <row r="518" spans="7:19" x14ac:dyDescent="0.3">
      <c r="G518" s="68" t="str" cm="1">
        <f t="array" ref="G518">_xlfn.LET(_xlpm.ids,'E2E core flow'!$A$15:$A$1000,_xlpm.v,'E2E core flow'!$W$15:$W$1000,_xlpm.m,(_xlpm.ids&lt;&gt;"")*ISNUMBER(SEARCH(_xlpm.ids,$E518)),_xlpm.f,SUM(_xlpm.m*(_xlpm.v="Failed")),_xlpm.b,SUM(_xlpm.m*(_xlpm.v="Blocked")),_xlpm.nr,SUM(_xlpm.m*(_xlpm.v="Not Run")),_xlpm.cp,SUM(_xlpm.m*(_xlpm.v="Conditionally Passed")),_xlpm.p,SUM(_xlpm.m*(_xlpm.v="Passed")),IF(TRIM($A518)="","",IF(TRIM($E518)="","Pending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18" s="68" t="str">
        <f>IF(TRIM($A518)="","",IF($J518="Passed","",IF($J518="Passed with Known Issue","Known Issue",IF($J518="",IF(OR($H518&lt;&gt;"No",AND($F518&lt;&gt;"Medium",$F518&lt;&gt;"Low")),"Pending Result",""),IF(OR($H518&lt;&gt;"No",AND($F518&lt;&gt;"Medium",$F518&lt;&gt;"Low")),IF(COUNTIFS(Dashboard!$B$105:$B$124,$A518,Dashboard!$I$105:$I$124,"CAB")&gt;0,"Accepted (CF)","Blocking"),IF($J518="Failed","Deferrable","Carry Over"))))))</f>
        <v/>
      </c>
      <c r="M518" s="68" t="str">
        <f>IF(OR(TRIM($A518)="",TRIM($E518)=""),"",IFERROR(INDEX('E2E core flow'!$B$15:$B$1000,MATCH(1,INDEX(('E2E core flow'!$A$15:$A$1000&lt;&gt;"")*ISNUMBER(SEARCH('E2E core flow'!$A$15:$A$1000,$E518)),0),0))&amp;"","-"))</f>
        <v/>
      </c>
      <c r="N518" s="68" t="str">
        <f>IF(TRIM($A518)="","",IF($O518=0,IF(COUNTIFS('Card Test Cases'!$B$4:$B$1000,$A518,'Card Test Cases'!$A$4:$A$1000,"&lt;&gt;")&gt;0,"Out of Scope","No TC"),IF($Q518&gt;0,"Failed",IF(COUNTIFS('Card Test Cases'!$B$4:$B$1000,$A518,'Card Test Cases'!$A$4:$A$1000,"&lt;&gt;",'Card Test Cases'!$F$4:$F$1000,"Blocked")&gt;0,"Blocked",IF($R518&gt;0,"In Progress","Passed")))))</f>
        <v/>
      </c>
      <c r="O518" s="68" t="str">
        <f>IF(TRIM($A518)="","",COUNTIFS('Card Test Cases'!$B$4:$B$1000,$A518,'Card Test Cases'!$A$4:$A$1000,"&lt;&gt;",'Card Test Cases'!$F$4:$F$1000,"&lt;&gt;Out of Scope"))</f>
        <v/>
      </c>
      <c r="P518" s="68" t="str">
        <f>IF(TRIM($A518)="","",COUNTIFS('Card Test Cases'!$B$4:$B$1000,$A518,'Card Test Cases'!$A$4:$A$1000,"&lt;&gt;",'Card Test Cases'!$F$4:$F$1000,"Passed"))</f>
        <v/>
      </c>
      <c r="Q518" s="68" t="str">
        <f>IF(TRIM($A518)="","",COUNTIFS('Card Test Cases'!$B$4:$B$1000,$A518,'Card Test Cases'!$A$4:$A$1000,"&lt;&gt;",'Card Test Cases'!$F$4:$F$1000,"Failed"))</f>
        <v/>
      </c>
      <c r="R518" s="68" t="str">
        <f t="shared" si="8"/>
        <v/>
      </c>
      <c r="S518" s="68" t="str" cm="1">
        <f t="array" ref="S518">IF(TRIM($A518)="","",IFERROR(_xlfn.TEXTJOIN(", ",TRUE,_xlfn.UNIQUE(_xlfn.VSTACK(_xlfn._xlws.FILTER('Card Test Cases'!$G$4:$G$1000,('Card Test Cases'!$B$4:$B$1000=$A518)*('Card Test Cases'!$G$4:$G$1000&lt;&gt;""),""),_xlfn._xlws.FILTER('E2E core flow'!$U$15:$U$1000,('E2E core flow'!$A$15:$A$1000&lt;&gt;"")*ISNUMBER(SEARCH('E2E core flow'!$A$15:$A$1000,$E518))*('E2E core flow'!$U$15:$U$1000&lt;&gt;""),"")))),"-"))</f>
        <v/>
      </c>
    </row>
    <row r="519" spans="7:19" x14ac:dyDescent="0.3">
      <c r="G519" s="68" t="str" cm="1">
        <f t="array" ref="G519">_xlfn.LET(_xlpm.ids,'E2E core flow'!$A$15:$A$1000,_xlpm.v,'E2E core flow'!$W$15:$W$1000,_xlpm.m,(_xlpm.ids&lt;&gt;"")*ISNUMBER(SEARCH(_xlpm.ids,$E519)),_xlpm.f,SUM(_xlpm.m*(_xlpm.v="Failed")),_xlpm.b,SUM(_xlpm.m*(_xlpm.v="Blocked")),_xlpm.nr,SUM(_xlpm.m*(_xlpm.v="Not Run")),_xlpm.cp,SUM(_xlpm.m*(_xlpm.v="Conditionally Passed")),_xlpm.p,SUM(_xlpm.m*(_xlpm.v="Passed")),IF(TRIM($A519)="","",IF(TRIM($E519)="","Pending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19" s="68" t="str">
        <f>IF(TRIM($A519)="","",IF($J519="Passed","",IF($J519="Passed with Known Issue","Known Issue",IF($J519="",IF(OR($H519&lt;&gt;"No",AND($F519&lt;&gt;"Medium",$F519&lt;&gt;"Low")),"Pending Result",""),IF(OR($H519&lt;&gt;"No",AND($F519&lt;&gt;"Medium",$F519&lt;&gt;"Low")),IF(COUNTIFS(Dashboard!$B$105:$B$124,$A519,Dashboard!$I$105:$I$124,"CAB")&gt;0,"Accepted (CF)","Blocking"),IF($J519="Failed","Deferrable","Carry Over"))))))</f>
        <v/>
      </c>
      <c r="M519" s="68" t="str">
        <f>IF(OR(TRIM($A519)="",TRIM($E519)=""),"",IFERROR(INDEX('E2E core flow'!$B$15:$B$1000,MATCH(1,INDEX(('E2E core flow'!$A$15:$A$1000&lt;&gt;"")*ISNUMBER(SEARCH('E2E core flow'!$A$15:$A$1000,$E519)),0),0))&amp;"","-"))</f>
        <v/>
      </c>
      <c r="N519" s="68" t="str">
        <f>IF(TRIM($A519)="","",IF($O519=0,IF(COUNTIFS('Card Test Cases'!$B$4:$B$1000,$A519,'Card Test Cases'!$A$4:$A$1000,"&lt;&gt;")&gt;0,"Out of Scope","No TC"),IF($Q519&gt;0,"Failed",IF(COUNTIFS('Card Test Cases'!$B$4:$B$1000,$A519,'Card Test Cases'!$A$4:$A$1000,"&lt;&gt;",'Card Test Cases'!$F$4:$F$1000,"Blocked")&gt;0,"Blocked",IF($R519&gt;0,"In Progress","Passed")))))</f>
        <v/>
      </c>
      <c r="O519" s="68" t="str">
        <f>IF(TRIM($A519)="","",COUNTIFS('Card Test Cases'!$B$4:$B$1000,$A519,'Card Test Cases'!$A$4:$A$1000,"&lt;&gt;",'Card Test Cases'!$F$4:$F$1000,"&lt;&gt;Out of Scope"))</f>
        <v/>
      </c>
      <c r="P519" s="68" t="str">
        <f>IF(TRIM($A519)="","",COUNTIFS('Card Test Cases'!$B$4:$B$1000,$A519,'Card Test Cases'!$A$4:$A$1000,"&lt;&gt;",'Card Test Cases'!$F$4:$F$1000,"Passed"))</f>
        <v/>
      </c>
      <c r="Q519" s="68" t="str">
        <f>IF(TRIM($A519)="","",COUNTIFS('Card Test Cases'!$B$4:$B$1000,$A519,'Card Test Cases'!$A$4:$A$1000,"&lt;&gt;",'Card Test Cases'!$F$4:$F$1000,"Failed"))</f>
        <v/>
      </c>
      <c r="R519" s="68" t="str">
        <f t="shared" si="8"/>
        <v/>
      </c>
      <c r="S519" s="68" t="str" cm="1">
        <f t="array" ref="S519">IF(TRIM($A519)="","",IFERROR(_xlfn.TEXTJOIN(", ",TRUE,_xlfn.UNIQUE(_xlfn.VSTACK(_xlfn._xlws.FILTER('Card Test Cases'!$G$4:$G$1000,('Card Test Cases'!$B$4:$B$1000=$A519)*('Card Test Cases'!$G$4:$G$1000&lt;&gt;""),""),_xlfn._xlws.FILTER('E2E core flow'!$U$15:$U$1000,('E2E core flow'!$A$15:$A$1000&lt;&gt;"")*ISNUMBER(SEARCH('E2E core flow'!$A$15:$A$1000,$E519))*('E2E core flow'!$U$15:$U$1000&lt;&gt;""),"")))),"-"))</f>
        <v/>
      </c>
    </row>
    <row r="520" spans="7:19" x14ac:dyDescent="0.3">
      <c r="G520" s="68" t="str" cm="1">
        <f t="array" ref="G520">_xlfn.LET(_xlpm.ids,'E2E core flow'!$A$15:$A$1000,_xlpm.v,'E2E core flow'!$W$15:$W$1000,_xlpm.m,(_xlpm.ids&lt;&gt;"")*ISNUMBER(SEARCH(_xlpm.ids,$E520)),_xlpm.f,SUM(_xlpm.m*(_xlpm.v="Failed")),_xlpm.b,SUM(_xlpm.m*(_xlpm.v="Blocked")),_xlpm.nr,SUM(_xlpm.m*(_xlpm.v="Not Run")),_xlpm.cp,SUM(_xlpm.m*(_xlpm.v="Conditionally Passed")),_xlpm.p,SUM(_xlpm.m*(_xlpm.v="Passed")),IF(TRIM($A520)="","",IF(TRIM($E520)="","Pending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20" s="68" t="str">
        <f>IF(TRIM($A520)="","",IF($J520="Passed","",IF($J520="Passed with Known Issue","Known Issue",IF($J520="",IF(OR($H520&lt;&gt;"No",AND($F520&lt;&gt;"Medium",$F520&lt;&gt;"Low")),"Pending Result",""),IF(OR($H520&lt;&gt;"No",AND($F520&lt;&gt;"Medium",$F520&lt;&gt;"Low")),IF(COUNTIFS(Dashboard!$B$105:$B$124,$A520,Dashboard!$I$105:$I$124,"CAB")&gt;0,"Accepted (CF)","Blocking"),IF($J520="Failed","Deferrable","Carry Over"))))))</f>
        <v/>
      </c>
      <c r="M520" s="68" t="str">
        <f>IF(OR(TRIM($A520)="",TRIM($E520)=""),"",IFERROR(INDEX('E2E core flow'!$B$15:$B$1000,MATCH(1,INDEX(('E2E core flow'!$A$15:$A$1000&lt;&gt;"")*ISNUMBER(SEARCH('E2E core flow'!$A$15:$A$1000,$E520)),0),0))&amp;"","-"))</f>
        <v/>
      </c>
      <c r="N520" s="68" t="str">
        <f>IF(TRIM($A520)="","",IF($O520=0,IF(COUNTIFS('Card Test Cases'!$B$4:$B$1000,$A520,'Card Test Cases'!$A$4:$A$1000,"&lt;&gt;")&gt;0,"Out of Scope","No TC"),IF($Q520&gt;0,"Failed",IF(COUNTIFS('Card Test Cases'!$B$4:$B$1000,$A520,'Card Test Cases'!$A$4:$A$1000,"&lt;&gt;",'Card Test Cases'!$F$4:$F$1000,"Blocked")&gt;0,"Blocked",IF($R520&gt;0,"In Progress","Passed")))))</f>
        <v/>
      </c>
      <c r="O520" s="68" t="str">
        <f>IF(TRIM($A520)="","",COUNTIFS('Card Test Cases'!$B$4:$B$1000,$A520,'Card Test Cases'!$A$4:$A$1000,"&lt;&gt;",'Card Test Cases'!$F$4:$F$1000,"&lt;&gt;Out of Scope"))</f>
        <v/>
      </c>
      <c r="P520" s="68" t="str">
        <f>IF(TRIM($A520)="","",COUNTIFS('Card Test Cases'!$B$4:$B$1000,$A520,'Card Test Cases'!$A$4:$A$1000,"&lt;&gt;",'Card Test Cases'!$F$4:$F$1000,"Passed"))</f>
        <v/>
      </c>
      <c r="Q520" s="68" t="str">
        <f>IF(TRIM($A520)="","",COUNTIFS('Card Test Cases'!$B$4:$B$1000,$A520,'Card Test Cases'!$A$4:$A$1000,"&lt;&gt;",'Card Test Cases'!$F$4:$F$1000,"Failed"))</f>
        <v/>
      </c>
      <c r="R520" s="68" t="str">
        <f t="shared" si="8"/>
        <v/>
      </c>
      <c r="S520" s="68" t="str" cm="1">
        <f t="array" ref="S520">IF(TRIM($A520)="","",IFERROR(_xlfn.TEXTJOIN(", ",TRUE,_xlfn.UNIQUE(_xlfn.VSTACK(_xlfn._xlws.FILTER('Card Test Cases'!$G$4:$G$1000,('Card Test Cases'!$B$4:$B$1000=$A520)*('Card Test Cases'!$G$4:$G$1000&lt;&gt;""),""),_xlfn._xlws.FILTER('E2E core flow'!$U$15:$U$1000,('E2E core flow'!$A$15:$A$1000&lt;&gt;"")*ISNUMBER(SEARCH('E2E core flow'!$A$15:$A$1000,$E520))*('E2E core flow'!$U$15:$U$1000&lt;&gt;""),"")))),"-"))</f>
        <v/>
      </c>
    </row>
    <row r="521" spans="7:19" x14ac:dyDescent="0.3">
      <c r="G521" s="68" t="str" cm="1">
        <f t="array" ref="G521">_xlfn.LET(_xlpm.ids,'E2E core flow'!$A$15:$A$1000,_xlpm.v,'E2E core flow'!$W$15:$W$1000,_xlpm.m,(_xlpm.ids&lt;&gt;"")*ISNUMBER(SEARCH(_xlpm.ids,$E521)),_xlpm.f,SUM(_xlpm.m*(_xlpm.v="Failed")),_xlpm.b,SUM(_xlpm.m*(_xlpm.v="Blocked")),_xlpm.nr,SUM(_xlpm.m*(_xlpm.v="Not Run")),_xlpm.cp,SUM(_xlpm.m*(_xlpm.v="Conditionally Passed")),_xlpm.p,SUM(_xlpm.m*(_xlpm.v="Passed")),IF(TRIM($A521)="","",IF(TRIM($E521)="","Pending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21" s="68" t="str">
        <f>IF(TRIM($A521)="","",IF($J521="Passed","",IF($J521="Passed with Known Issue","Known Issue",IF($J521="",IF(OR($H521&lt;&gt;"No",AND($F521&lt;&gt;"Medium",$F521&lt;&gt;"Low")),"Pending Result",""),IF(OR($H521&lt;&gt;"No",AND($F521&lt;&gt;"Medium",$F521&lt;&gt;"Low")),IF(COUNTIFS(Dashboard!$B$105:$B$124,$A521,Dashboard!$I$105:$I$124,"CAB")&gt;0,"Accepted (CF)","Blocking"),IF($J521="Failed","Deferrable","Carry Over"))))))</f>
        <v/>
      </c>
      <c r="M521" s="68" t="str">
        <f>IF(OR(TRIM($A521)="",TRIM($E521)=""),"",IFERROR(INDEX('E2E core flow'!$B$15:$B$1000,MATCH(1,INDEX(('E2E core flow'!$A$15:$A$1000&lt;&gt;"")*ISNUMBER(SEARCH('E2E core flow'!$A$15:$A$1000,$E521)),0),0))&amp;"","-"))</f>
        <v/>
      </c>
      <c r="N521" s="68" t="str">
        <f>IF(TRIM($A521)="","",IF($O521=0,IF(COUNTIFS('Card Test Cases'!$B$4:$B$1000,$A521,'Card Test Cases'!$A$4:$A$1000,"&lt;&gt;")&gt;0,"Out of Scope","No TC"),IF($Q521&gt;0,"Failed",IF(COUNTIFS('Card Test Cases'!$B$4:$B$1000,$A521,'Card Test Cases'!$A$4:$A$1000,"&lt;&gt;",'Card Test Cases'!$F$4:$F$1000,"Blocked")&gt;0,"Blocked",IF($R521&gt;0,"In Progress","Passed")))))</f>
        <v/>
      </c>
      <c r="O521" s="68" t="str">
        <f>IF(TRIM($A521)="","",COUNTIFS('Card Test Cases'!$B$4:$B$1000,$A521,'Card Test Cases'!$A$4:$A$1000,"&lt;&gt;",'Card Test Cases'!$F$4:$F$1000,"&lt;&gt;Out of Scope"))</f>
        <v/>
      </c>
      <c r="P521" s="68" t="str">
        <f>IF(TRIM($A521)="","",COUNTIFS('Card Test Cases'!$B$4:$B$1000,$A521,'Card Test Cases'!$A$4:$A$1000,"&lt;&gt;",'Card Test Cases'!$F$4:$F$1000,"Passed"))</f>
        <v/>
      </c>
      <c r="Q521" s="68" t="str">
        <f>IF(TRIM($A521)="","",COUNTIFS('Card Test Cases'!$B$4:$B$1000,$A521,'Card Test Cases'!$A$4:$A$1000,"&lt;&gt;",'Card Test Cases'!$F$4:$F$1000,"Failed"))</f>
        <v/>
      </c>
      <c r="R521" s="68" t="str">
        <f t="shared" si="8"/>
        <v/>
      </c>
      <c r="S521" s="68" t="str" cm="1">
        <f t="array" ref="S521">IF(TRIM($A521)="","",IFERROR(_xlfn.TEXTJOIN(", ",TRUE,_xlfn.UNIQUE(_xlfn.VSTACK(_xlfn._xlws.FILTER('Card Test Cases'!$G$4:$G$1000,('Card Test Cases'!$B$4:$B$1000=$A521)*('Card Test Cases'!$G$4:$G$1000&lt;&gt;""),""),_xlfn._xlws.FILTER('E2E core flow'!$U$15:$U$1000,('E2E core flow'!$A$15:$A$1000&lt;&gt;"")*ISNUMBER(SEARCH('E2E core flow'!$A$15:$A$1000,$E521))*('E2E core flow'!$U$15:$U$1000&lt;&gt;""),"")))),"-"))</f>
        <v/>
      </c>
    </row>
    <row r="522" spans="7:19" x14ac:dyDescent="0.3">
      <c r="G522" s="68" t="str" cm="1">
        <f t="array" ref="G522">_xlfn.LET(_xlpm.ids,'E2E core flow'!$A$15:$A$1000,_xlpm.v,'E2E core flow'!$W$15:$W$1000,_xlpm.m,(_xlpm.ids&lt;&gt;"")*ISNUMBER(SEARCH(_xlpm.ids,$E522)),_xlpm.f,SUM(_xlpm.m*(_xlpm.v="Failed")),_xlpm.b,SUM(_xlpm.m*(_xlpm.v="Blocked")),_xlpm.nr,SUM(_xlpm.m*(_xlpm.v="Not Run")),_xlpm.cp,SUM(_xlpm.m*(_xlpm.v="Conditionally Passed")),_xlpm.p,SUM(_xlpm.m*(_xlpm.v="Passed")),IF(TRIM($A522)="","",IF(TRIM($E522)="","Pending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22" s="68" t="str">
        <f>IF(TRIM($A522)="","",IF($J522="Passed","",IF($J522="Passed with Known Issue","Known Issue",IF($J522="",IF(OR($H522&lt;&gt;"No",AND($F522&lt;&gt;"Medium",$F522&lt;&gt;"Low")),"Pending Result",""),IF(OR($H522&lt;&gt;"No",AND($F522&lt;&gt;"Medium",$F522&lt;&gt;"Low")),IF(COUNTIFS(Dashboard!$B$105:$B$124,$A522,Dashboard!$I$105:$I$124,"CAB")&gt;0,"Accepted (CF)","Blocking"),IF($J522="Failed","Deferrable","Carry Over"))))))</f>
        <v/>
      </c>
      <c r="M522" s="68" t="str">
        <f>IF(OR(TRIM($A522)="",TRIM($E522)=""),"",IFERROR(INDEX('E2E core flow'!$B$15:$B$1000,MATCH(1,INDEX(('E2E core flow'!$A$15:$A$1000&lt;&gt;"")*ISNUMBER(SEARCH('E2E core flow'!$A$15:$A$1000,$E522)),0),0))&amp;"","-"))</f>
        <v/>
      </c>
      <c r="N522" s="68" t="str">
        <f>IF(TRIM($A522)="","",IF($O522=0,IF(COUNTIFS('Card Test Cases'!$B$4:$B$1000,$A522,'Card Test Cases'!$A$4:$A$1000,"&lt;&gt;")&gt;0,"Out of Scope","No TC"),IF($Q522&gt;0,"Failed",IF(COUNTIFS('Card Test Cases'!$B$4:$B$1000,$A522,'Card Test Cases'!$A$4:$A$1000,"&lt;&gt;",'Card Test Cases'!$F$4:$F$1000,"Blocked")&gt;0,"Blocked",IF($R522&gt;0,"In Progress","Passed")))))</f>
        <v/>
      </c>
      <c r="O522" s="68" t="str">
        <f>IF(TRIM($A522)="","",COUNTIFS('Card Test Cases'!$B$4:$B$1000,$A522,'Card Test Cases'!$A$4:$A$1000,"&lt;&gt;",'Card Test Cases'!$F$4:$F$1000,"&lt;&gt;Out of Scope"))</f>
        <v/>
      </c>
      <c r="P522" s="68" t="str">
        <f>IF(TRIM($A522)="","",COUNTIFS('Card Test Cases'!$B$4:$B$1000,$A522,'Card Test Cases'!$A$4:$A$1000,"&lt;&gt;",'Card Test Cases'!$F$4:$F$1000,"Passed"))</f>
        <v/>
      </c>
      <c r="Q522" s="68" t="str">
        <f>IF(TRIM($A522)="","",COUNTIFS('Card Test Cases'!$B$4:$B$1000,$A522,'Card Test Cases'!$A$4:$A$1000,"&lt;&gt;",'Card Test Cases'!$F$4:$F$1000,"Failed"))</f>
        <v/>
      </c>
      <c r="R522" s="68" t="str">
        <f t="shared" si="8"/>
        <v/>
      </c>
      <c r="S522" s="68" t="str" cm="1">
        <f t="array" ref="S522">IF(TRIM($A522)="","",IFERROR(_xlfn.TEXTJOIN(", ",TRUE,_xlfn.UNIQUE(_xlfn.VSTACK(_xlfn._xlws.FILTER('Card Test Cases'!$G$4:$G$1000,('Card Test Cases'!$B$4:$B$1000=$A522)*('Card Test Cases'!$G$4:$G$1000&lt;&gt;""),""),_xlfn._xlws.FILTER('E2E core flow'!$U$15:$U$1000,('E2E core flow'!$A$15:$A$1000&lt;&gt;"")*ISNUMBER(SEARCH('E2E core flow'!$A$15:$A$1000,$E522))*('E2E core flow'!$U$15:$U$1000&lt;&gt;""),"")))),"-"))</f>
        <v/>
      </c>
    </row>
    <row r="523" spans="7:19" x14ac:dyDescent="0.3">
      <c r="G523" s="68" t="str" cm="1">
        <f t="array" ref="G523">_xlfn.LET(_xlpm.ids,'E2E core flow'!$A$15:$A$1000,_xlpm.v,'E2E core flow'!$W$15:$W$1000,_xlpm.m,(_xlpm.ids&lt;&gt;"")*ISNUMBER(SEARCH(_xlpm.ids,$E523)),_xlpm.f,SUM(_xlpm.m*(_xlpm.v="Failed")),_xlpm.b,SUM(_xlpm.m*(_xlpm.v="Blocked")),_xlpm.nr,SUM(_xlpm.m*(_xlpm.v="Not Run")),_xlpm.cp,SUM(_xlpm.m*(_xlpm.v="Conditionally Passed")),_xlpm.p,SUM(_xlpm.m*(_xlpm.v="Passed")),IF(TRIM($A523)="","",IF(TRIM($E523)="","Pending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23" s="68" t="str">
        <f>IF(TRIM($A523)="","",IF($J523="Passed","",IF($J523="Passed with Known Issue","Known Issue",IF($J523="",IF(OR($H523&lt;&gt;"No",AND($F523&lt;&gt;"Medium",$F523&lt;&gt;"Low")),"Pending Result",""),IF(OR($H523&lt;&gt;"No",AND($F523&lt;&gt;"Medium",$F523&lt;&gt;"Low")),IF(COUNTIFS(Dashboard!$B$105:$B$124,$A523,Dashboard!$I$105:$I$124,"CAB")&gt;0,"Accepted (CF)","Blocking"),IF($J523="Failed","Deferrable","Carry Over"))))))</f>
        <v/>
      </c>
      <c r="M523" s="68" t="str">
        <f>IF(OR(TRIM($A523)="",TRIM($E523)=""),"",IFERROR(INDEX('E2E core flow'!$B$15:$B$1000,MATCH(1,INDEX(('E2E core flow'!$A$15:$A$1000&lt;&gt;"")*ISNUMBER(SEARCH('E2E core flow'!$A$15:$A$1000,$E523)),0),0))&amp;"","-"))</f>
        <v/>
      </c>
      <c r="N523" s="68" t="str">
        <f>IF(TRIM($A523)="","",IF($O523=0,IF(COUNTIFS('Card Test Cases'!$B$4:$B$1000,$A523,'Card Test Cases'!$A$4:$A$1000,"&lt;&gt;")&gt;0,"Out of Scope","No TC"),IF($Q523&gt;0,"Failed",IF(COUNTIFS('Card Test Cases'!$B$4:$B$1000,$A523,'Card Test Cases'!$A$4:$A$1000,"&lt;&gt;",'Card Test Cases'!$F$4:$F$1000,"Blocked")&gt;0,"Blocked",IF($R523&gt;0,"In Progress","Passed")))))</f>
        <v/>
      </c>
      <c r="O523" s="68" t="str">
        <f>IF(TRIM($A523)="","",COUNTIFS('Card Test Cases'!$B$4:$B$1000,$A523,'Card Test Cases'!$A$4:$A$1000,"&lt;&gt;",'Card Test Cases'!$F$4:$F$1000,"&lt;&gt;Out of Scope"))</f>
        <v/>
      </c>
      <c r="P523" s="68" t="str">
        <f>IF(TRIM($A523)="","",COUNTIFS('Card Test Cases'!$B$4:$B$1000,$A523,'Card Test Cases'!$A$4:$A$1000,"&lt;&gt;",'Card Test Cases'!$F$4:$F$1000,"Passed"))</f>
        <v/>
      </c>
      <c r="Q523" s="68" t="str">
        <f>IF(TRIM($A523)="","",COUNTIFS('Card Test Cases'!$B$4:$B$1000,$A523,'Card Test Cases'!$A$4:$A$1000,"&lt;&gt;",'Card Test Cases'!$F$4:$F$1000,"Failed"))</f>
        <v/>
      </c>
      <c r="R523" s="68" t="str">
        <f t="shared" si="8"/>
        <v/>
      </c>
      <c r="S523" s="68" t="str" cm="1">
        <f t="array" ref="S523">IF(TRIM($A523)="","",IFERROR(_xlfn.TEXTJOIN(", ",TRUE,_xlfn.UNIQUE(_xlfn.VSTACK(_xlfn._xlws.FILTER('Card Test Cases'!$G$4:$G$1000,('Card Test Cases'!$B$4:$B$1000=$A523)*('Card Test Cases'!$G$4:$G$1000&lt;&gt;""),""),_xlfn._xlws.FILTER('E2E core flow'!$U$15:$U$1000,('E2E core flow'!$A$15:$A$1000&lt;&gt;"")*ISNUMBER(SEARCH('E2E core flow'!$A$15:$A$1000,$E523))*('E2E core flow'!$U$15:$U$1000&lt;&gt;""),"")))),"-"))</f>
        <v/>
      </c>
    </row>
    <row r="524" spans="7:19" x14ac:dyDescent="0.3">
      <c r="G524" s="68" t="str" cm="1">
        <f t="array" ref="G524">_xlfn.LET(_xlpm.ids,'E2E core flow'!$A$15:$A$1000,_xlpm.v,'E2E core flow'!$W$15:$W$1000,_xlpm.m,(_xlpm.ids&lt;&gt;"")*ISNUMBER(SEARCH(_xlpm.ids,$E524)),_xlpm.f,SUM(_xlpm.m*(_xlpm.v="Failed")),_xlpm.b,SUM(_xlpm.m*(_xlpm.v="Blocked")),_xlpm.nr,SUM(_xlpm.m*(_xlpm.v="Not Run")),_xlpm.cp,SUM(_xlpm.m*(_xlpm.v="Conditionally Passed")),_xlpm.p,SUM(_xlpm.m*(_xlpm.v="Passed")),IF(TRIM($A524)="","",IF(TRIM($E524)="","Pending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24" s="68" t="str">
        <f>IF(TRIM($A524)="","",IF($J524="Passed","",IF($J524="Passed with Known Issue","Known Issue",IF($J524="",IF(OR($H524&lt;&gt;"No",AND($F524&lt;&gt;"Medium",$F524&lt;&gt;"Low")),"Pending Result",""),IF(OR($H524&lt;&gt;"No",AND($F524&lt;&gt;"Medium",$F524&lt;&gt;"Low")),IF(COUNTIFS(Dashboard!$B$105:$B$124,$A524,Dashboard!$I$105:$I$124,"CAB")&gt;0,"Accepted (CF)","Blocking"),IF($J524="Failed","Deferrable","Carry Over"))))))</f>
        <v/>
      </c>
      <c r="M524" s="68" t="str">
        <f>IF(OR(TRIM($A524)="",TRIM($E524)=""),"",IFERROR(INDEX('E2E core flow'!$B$15:$B$1000,MATCH(1,INDEX(('E2E core flow'!$A$15:$A$1000&lt;&gt;"")*ISNUMBER(SEARCH('E2E core flow'!$A$15:$A$1000,$E524)),0),0))&amp;"","-"))</f>
        <v/>
      </c>
      <c r="N524" s="68" t="str">
        <f>IF(TRIM($A524)="","",IF($O524=0,IF(COUNTIFS('Card Test Cases'!$B$4:$B$1000,$A524,'Card Test Cases'!$A$4:$A$1000,"&lt;&gt;")&gt;0,"Out of Scope","No TC"),IF($Q524&gt;0,"Failed",IF(COUNTIFS('Card Test Cases'!$B$4:$B$1000,$A524,'Card Test Cases'!$A$4:$A$1000,"&lt;&gt;",'Card Test Cases'!$F$4:$F$1000,"Blocked")&gt;0,"Blocked",IF($R524&gt;0,"In Progress","Passed")))))</f>
        <v/>
      </c>
      <c r="O524" s="68" t="str">
        <f>IF(TRIM($A524)="","",COUNTIFS('Card Test Cases'!$B$4:$B$1000,$A524,'Card Test Cases'!$A$4:$A$1000,"&lt;&gt;",'Card Test Cases'!$F$4:$F$1000,"&lt;&gt;Out of Scope"))</f>
        <v/>
      </c>
      <c r="P524" s="68" t="str">
        <f>IF(TRIM($A524)="","",COUNTIFS('Card Test Cases'!$B$4:$B$1000,$A524,'Card Test Cases'!$A$4:$A$1000,"&lt;&gt;",'Card Test Cases'!$F$4:$F$1000,"Passed"))</f>
        <v/>
      </c>
      <c r="Q524" s="68" t="str">
        <f>IF(TRIM($A524)="","",COUNTIFS('Card Test Cases'!$B$4:$B$1000,$A524,'Card Test Cases'!$A$4:$A$1000,"&lt;&gt;",'Card Test Cases'!$F$4:$F$1000,"Failed"))</f>
        <v/>
      </c>
      <c r="R524" s="68" t="str">
        <f t="shared" si="8"/>
        <v/>
      </c>
      <c r="S524" s="68" t="str" cm="1">
        <f t="array" ref="S524">IF(TRIM($A524)="","",IFERROR(_xlfn.TEXTJOIN(", ",TRUE,_xlfn.UNIQUE(_xlfn.VSTACK(_xlfn._xlws.FILTER('Card Test Cases'!$G$4:$G$1000,('Card Test Cases'!$B$4:$B$1000=$A524)*('Card Test Cases'!$G$4:$G$1000&lt;&gt;""),""),_xlfn._xlws.FILTER('E2E core flow'!$U$15:$U$1000,('E2E core flow'!$A$15:$A$1000&lt;&gt;"")*ISNUMBER(SEARCH('E2E core flow'!$A$15:$A$1000,$E524))*('E2E core flow'!$U$15:$U$1000&lt;&gt;""),"")))),"-"))</f>
        <v/>
      </c>
    </row>
    <row r="525" spans="7:19" x14ac:dyDescent="0.3">
      <c r="G525" s="68" t="str" cm="1">
        <f t="array" ref="G525">_xlfn.LET(_xlpm.ids,'E2E core flow'!$A$15:$A$1000,_xlpm.v,'E2E core flow'!$W$15:$W$1000,_xlpm.m,(_xlpm.ids&lt;&gt;"")*ISNUMBER(SEARCH(_xlpm.ids,$E525)),_xlpm.f,SUM(_xlpm.m*(_xlpm.v="Failed")),_xlpm.b,SUM(_xlpm.m*(_xlpm.v="Blocked")),_xlpm.nr,SUM(_xlpm.m*(_xlpm.v="Not Run")),_xlpm.cp,SUM(_xlpm.m*(_xlpm.v="Conditionally Passed")),_xlpm.p,SUM(_xlpm.m*(_xlpm.v="Passed")),IF(TRIM($A525)="","",IF(TRIM($E525)="","Pending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25" s="68" t="str">
        <f>IF(TRIM($A525)="","",IF($J525="Passed","",IF($J525="Passed with Known Issue","Known Issue",IF($J525="",IF(OR($H525&lt;&gt;"No",AND($F525&lt;&gt;"Medium",$F525&lt;&gt;"Low")),"Pending Result",""),IF(OR($H525&lt;&gt;"No",AND($F525&lt;&gt;"Medium",$F525&lt;&gt;"Low")),IF(COUNTIFS(Dashboard!$B$105:$B$124,$A525,Dashboard!$I$105:$I$124,"CAB")&gt;0,"Accepted (CF)","Blocking"),IF($J525="Failed","Deferrable","Carry Over"))))))</f>
        <v/>
      </c>
      <c r="M525" s="68" t="str">
        <f>IF(OR(TRIM($A525)="",TRIM($E525)=""),"",IFERROR(INDEX('E2E core flow'!$B$15:$B$1000,MATCH(1,INDEX(('E2E core flow'!$A$15:$A$1000&lt;&gt;"")*ISNUMBER(SEARCH('E2E core flow'!$A$15:$A$1000,$E525)),0),0))&amp;"","-"))</f>
        <v/>
      </c>
      <c r="N525" s="68" t="str">
        <f>IF(TRIM($A525)="","",IF($O525=0,IF(COUNTIFS('Card Test Cases'!$B$4:$B$1000,$A525,'Card Test Cases'!$A$4:$A$1000,"&lt;&gt;")&gt;0,"Out of Scope","No TC"),IF($Q525&gt;0,"Failed",IF(COUNTIFS('Card Test Cases'!$B$4:$B$1000,$A525,'Card Test Cases'!$A$4:$A$1000,"&lt;&gt;",'Card Test Cases'!$F$4:$F$1000,"Blocked")&gt;0,"Blocked",IF($R525&gt;0,"In Progress","Passed")))))</f>
        <v/>
      </c>
      <c r="O525" s="68" t="str">
        <f>IF(TRIM($A525)="","",COUNTIFS('Card Test Cases'!$B$4:$B$1000,$A525,'Card Test Cases'!$A$4:$A$1000,"&lt;&gt;",'Card Test Cases'!$F$4:$F$1000,"&lt;&gt;Out of Scope"))</f>
        <v/>
      </c>
      <c r="P525" s="68" t="str">
        <f>IF(TRIM($A525)="","",COUNTIFS('Card Test Cases'!$B$4:$B$1000,$A525,'Card Test Cases'!$A$4:$A$1000,"&lt;&gt;",'Card Test Cases'!$F$4:$F$1000,"Passed"))</f>
        <v/>
      </c>
      <c r="Q525" s="68" t="str">
        <f>IF(TRIM($A525)="","",COUNTIFS('Card Test Cases'!$B$4:$B$1000,$A525,'Card Test Cases'!$A$4:$A$1000,"&lt;&gt;",'Card Test Cases'!$F$4:$F$1000,"Failed"))</f>
        <v/>
      </c>
      <c r="R525" s="68" t="str">
        <f t="shared" si="8"/>
        <v/>
      </c>
      <c r="S525" s="68" t="str" cm="1">
        <f t="array" ref="S525">IF(TRIM($A525)="","",IFERROR(_xlfn.TEXTJOIN(", ",TRUE,_xlfn.UNIQUE(_xlfn.VSTACK(_xlfn._xlws.FILTER('Card Test Cases'!$G$4:$G$1000,('Card Test Cases'!$B$4:$B$1000=$A525)*('Card Test Cases'!$G$4:$G$1000&lt;&gt;""),""),_xlfn._xlws.FILTER('E2E core flow'!$U$15:$U$1000,('E2E core flow'!$A$15:$A$1000&lt;&gt;"")*ISNUMBER(SEARCH('E2E core flow'!$A$15:$A$1000,$E525))*('E2E core flow'!$U$15:$U$1000&lt;&gt;""),"")))),"-"))</f>
        <v/>
      </c>
    </row>
    <row r="526" spans="7:19" x14ac:dyDescent="0.3">
      <c r="G526" s="68" t="str" cm="1">
        <f t="array" ref="G526">_xlfn.LET(_xlpm.ids,'E2E core flow'!$A$15:$A$1000,_xlpm.v,'E2E core flow'!$W$15:$W$1000,_xlpm.m,(_xlpm.ids&lt;&gt;"")*ISNUMBER(SEARCH(_xlpm.ids,$E526)),_xlpm.f,SUM(_xlpm.m*(_xlpm.v="Failed")),_xlpm.b,SUM(_xlpm.m*(_xlpm.v="Blocked")),_xlpm.nr,SUM(_xlpm.m*(_xlpm.v="Not Run")),_xlpm.cp,SUM(_xlpm.m*(_xlpm.v="Conditionally Passed")),_xlpm.p,SUM(_xlpm.m*(_xlpm.v="Passed")),IF(TRIM($A526)="","",IF(TRIM($E526)="","Pending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26" s="68" t="str">
        <f>IF(TRIM($A526)="","",IF($J526="Passed","",IF($J526="Passed with Known Issue","Known Issue",IF($J526="",IF(OR($H526&lt;&gt;"No",AND($F526&lt;&gt;"Medium",$F526&lt;&gt;"Low")),"Pending Result",""),IF(OR($H526&lt;&gt;"No",AND($F526&lt;&gt;"Medium",$F526&lt;&gt;"Low")),IF(COUNTIFS(Dashboard!$B$105:$B$124,$A526,Dashboard!$I$105:$I$124,"CAB")&gt;0,"Accepted (CF)","Blocking"),IF($J526="Failed","Deferrable","Carry Over"))))))</f>
        <v/>
      </c>
      <c r="M526" s="68" t="str">
        <f>IF(OR(TRIM($A526)="",TRIM($E526)=""),"",IFERROR(INDEX('E2E core flow'!$B$15:$B$1000,MATCH(1,INDEX(('E2E core flow'!$A$15:$A$1000&lt;&gt;"")*ISNUMBER(SEARCH('E2E core flow'!$A$15:$A$1000,$E526)),0),0))&amp;"","-"))</f>
        <v/>
      </c>
      <c r="N526" s="68" t="str">
        <f>IF(TRIM($A526)="","",IF($O526=0,IF(COUNTIFS('Card Test Cases'!$B$4:$B$1000,$A526,'Card Test Cases'!$A$4:$A$1000,"&lt;&gt;")&gt;0,"Out of Scope","No TC"),IF($Q526&gt;0,"Failed",IF(COUNTIFS('Card Test Cases'!$B$4:$B$1000,$A526,'Card Test Cases'!$A$4:$A$1000,"&lt;&gt;",'Card Test Cases'!$F$4:$F$1000,"Blocked")&gt;0,"Blocked",IF($R526&gt;0,"In Progress","Passed")))))</f>
        <v/>
      </c>
      <c r="O526" s="68" t="str">
        <f>IF(TRIM($A526)="","",COUNTIFS('Card Test Cases'!$B$4:$B$1000,$A526,'Card Test Cases'!$A$4:$A$1000,"&lt;&gt;",'Card Test Cases'!$F$4:$F$1000,"&lt;&gt;Out of Scope"))</f>
        <v/>
      </c>
      <c r="P526" s="68" t="str">
        <f>IF(TRIM($A526)="","",COUNTIFS('Card Test Cases'!$B$4:$B$1000,$A526,'Card Test Cases'!$A$4:$A$1000,"&lt;&gt;",'Card Test Cases'!$F$4:$F$1000,"Passed"))</f>
        <v/>
      </c>
      <c r="Q526" s="68" t="str">
        <f>IF(TRIM($A526)="","",COUNTIFS('Card Test Cases'!$B$4:$B$1000,$A526,'Card Test Cases'!$A$4:$A$1000,"&lt;&gt;",'Card Test Cases'!$F$4:$F$1000,"Failed"))</f>
        <v/>
      </c>
      <c r="R526" s="68" t="str">
        <f t="shared" si="8"/>
        <v/>
      </c>
      <c r="S526" s="68" t="str" cm="1">
        <f t="array" ref="S526">IF(TRIM($A526)="","",IFERROR(_xlfn.TEXTJOIN(", ",TRUE,_xlfn.UNIQUE(_xlfn.VSTACK(_xlfn._xlws.FILTER('Card Test Cases'!$G$4:$G$1000,('Card Test Cases'!$B$4:$B$1000=$A526)*('Card Test Cases'!$G$4:$G$1000&lt;&gt;""),""),_xlfn._xlws.FILTER('E2E core flow'!$U$15:$U$1000,('E2E core flow'!$A$15:$A$1000&lt;&gt;"")*ISNUMBER(SEARCH('E2E core flow'!$A$15:$A$1000,$E526))*('E2E core flow'!$U$15:$U$1000&lt;&gt;""),"")))),"-"))</f>
        <v/>
      </c>
    </row>
    <row r="527" spans="7:19" x14ac:dyDescent="0.3">
      <c r="G527" s="68" t="str" cm="1">
        <f t="array" ref="G527">_xlfn.LET(_xlpm.ids,'E2E core flow'!$A$15:$A$1000,_xlpm.v,'E2E core flow'!$W$15:$W$1000,_xlpm.m,(_xlpm.ids&lt;&gt;"")*ISNUMBER(SEARCH(_xlpm.ids,$E527)),_xlpm.f,SUM(_xlpm.m*(_xlpm.v="Failed")),_xlpm.b,SUM(_xlpm.m*(_xlpm.v="Blocked")),_xlpm.nr,SUM(_xlpm.m*(_xlpm.v="Not Run")),_xlpm.cp,SUM(_xlpm.m*(_xlpm.v="Conditionally Passed")),_xlpm.p,SUM(_xlpm.m*(_xlpm.v="Passed")),IF(TRIM($A527)="","",IF(TRIM($E527)="","Pending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27" s="68" t="str">
        <f>IF(TRIM($A527)="","",IF($J527="Passed","",IF($J527="Passed with Known Issue","Known Issue",IF($J527="",IF(OR($H527&lt;&gt;"No",AND($F527&lt;&gt;"Medium",$F527&lt;&gt;"Low")),"Pending Result",""),IF(OR($H527&lt;&gt;"No",AND($F527&lt;&gt;"Medium",$F527&lt;&gt;"Low")),IF(COUNTIFS(Dashboard!$B$105:$B$124,$A527,Dashboard!$I$105:$I$124,"CAB")&gt;0,"Accepted (CF)","Blocking"),IF($J527="Failed","Deferrable","Carry Over"))))))</f>
        <v/>
      </c>
      <c r="M527" s="68" t="str">
        <f>IF(OR(TRIM($A527)="",TRIM($E527)=""),"",IFERROR(INDEX('E2E core flow'!$B$15:$B$1000,MATCH(1,INDEX(('E2E core flow'!$A$15:$A$1000&lt;&gt;"")*ISNUMBER(SEARCH('E2E core flow'!$A$15:$A$1000,$E527)),0),0))&amp;"","-"))</f>
        <v/>
      </c>
      <c r="N527" s="68" t="str">
        <f>IF(TRIM($A527)="","",IF($O527=0,IF(COUNTIFS('Card Test Cases'!$B$4:$B$1000,$A527,'Card Test Cases'!$A$4:$A$1000,"&lt;&gt;")&gt;0,"Out of Scope","No TC"),IF($Q527&gt;0,"Failed",IF(COUNTIFS('Card Test Cases'!$B$4:$B$1000,$A527,'Card Test Cases'!$A$4:$A$1000,"&lt;&gt;",'Card Test Cases'!$F$4:$F$1000,"Blocked")&gt;0,"Blocked",IF($R527&gt;0,"In Progress","Passed")))))</f>
        <v/>
      </c>
      <c r="O527" s="68" t="str">
        <f>IF(TRIM($A527)="","",COUNTIFS('Card Test Cases'!$B$4:$B$1000,$A527,'Card Test Cases'!$A$4:$A$1000,"&lt;&gt;",'Card Test Cases'!$F$4:$F$1000,"&lt;&gt;Out of Scope"))</f>
        <v/>
      </c>
      <c r="P527" s="68" t="str">
        <f>IF(TRIM($A527)="","",COUNTIFS('Card Test Cases'!$B$4:$B$1000,$A527,'Card Test Cases'!$A$4:$A$1000,"&lt;&gt;",'Card Test Cases'!$F$4:$F$1000,"Passed"))</f>
        <v/>
      </c>
      <c r="Q527" s="68" t="str">
        <f>IF(TRIM($A527)="","",COUNTIFS('Card Test Cases'!$B$4:$B$1000,$A527,'Card Test Cases'!$A$4:$A$1000,"&lt;&gt;",'Card Test Cases'!$F$4:$F$1000,"Failed"))</f>
        <v/>
      </c>
      <c r="R527" s="68" t="str">
        <f t="shared" si="8"/>
        <v/>
      </c>
      <c r="S527" s="68" t="str" cm="1">
        <f t="array" ref="S527">IF(TRIM($A527)="","",IFERROR(_xlfn.TEXTJOIN(", ",TRUE,_xlfn.UNIQUE(_xlfn.VSTACK(_xlfn._xlws.FILTER('Card Test Cases'!$G$4:$G$1000,('Card Test Cases'!$B$4:$B$1000=$A527)*('Card Test Cases'!$G$4:$G$1000&lt;&gt;""),""),_xlfn._xlws.FILTER('E2E core flow'!$U$15:$U$1000,('E2E core flow'!$A$15:$A$1000&lt;&gt;"")*ISNUMBER(SEARCH('E2E core flow'!$A$15:$A$1000,$E527))*('E2E core flow'!$U$15:$U$1000&lt;&gt;""),"")))),"-"))</f>
        <v/>
      </c>
    </row>
    <row r="528" spans="7:19" x14ac:dyDescent="0.3">
      <c r="G528" s="68" t="str" cm="1">
        <f t="array" ref="G528">_xlfn.LET(_xlpm.ids,'E2E core flow'!$A$15:$A$1000,_xlpm.v,'E2E core flow'!$W$15:$W$1000,_xlpm.m,(_xlpm.ids&lt;&gt;"")*ISNUMBER(SEARCH(_xlpm.ids,$E528)),_xlpm.f,SUM(_xlpm.m*(_xlpm.v="Failed")),_xlpm.b,SUM(_xlpm.m*(_xlpm.v="Blocked")),_xlpm.nr,SUM(_xlpm.m*(_xlpm.v="Not Run")),_xlpm.cp,SUM(_xlpm.m*(_xlpm.v="Conditionally Passed")),_xlpm.p,SUM(_xlpm.m*(_xlpm.v="Passed")),IF(TRIM($A528)="","",IF(TRIM($E528)="","Pending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28" s="68" t="str">
        <f>IF(TRIM($A528)="","",IF($J528="Passed","",IF($J528="Passed with Known Issue","Known Issue",IF($J528="",IF(OR($H528&lt;&gt;"No",AND($F528&lt;&gt;"Medium",$F528&lt;&gt;"Low")),"Pending Result",""),IF(OR($H528&lt;&gt;"No",AND($F528&lt;&gt;"Medium",$F528&lt;&gt;"Low")),IF(COUNTIFS(Dashboard!$B$105:$B$124,$A528,Dashboard!$I$105:$I$124,"CAB")&gt;0,"Accepted (CF)","Blocking"),IF($J528="Failed","Deferrable","Carry Over"))))))</f>
        <v/>
      </c>
      <c r="M528" s="68" t="str">
        <f>IF(OR(TRIM($A528)="",TRIM($E528)=""),"",IFERROR(INDEX('E2E core flow'!$B$15:$B$1000,MATCH(1,INDEX(('E2E core flow'!$A$15:$A$1000&lt;&gt;"")*ISNUMBER(SEARCH('E2E core flow'!$A$15:$A$1000,$E528)),0),0))&amp;"","-"))</f>
        <v/>
      </c>
      <c r="N528" s="68" t="str">
        <f>IF(TRIM($A528)="","",IF($O528=0,IF(COUNTIFS('Card Test Cases'!$B$4:$B$1000,$A528,'Card Test Cases'!$A$4:$A$1000,"&lt;&gt;")&gt;0,"Out of Scope","No TC"),IF($Q528&gt;0,"Failed",IF(COUNTIFS('Card Test Cases'!$B$4:$B$1000,$A528,'Card Test Cases'!$A$4:$A$1000,"&lt;&gt;",'Card Test Cases'!$F$4:$F$1000,"Blocked")&gt;0,"Blocked",IF($R528&gt;0,"In Progress","Passed")))))</f>
        <v/>
      </c>
      <c r="O528" s="68" t="str">
        <f>IF(TRIM($A528)="","",COUNTIFS('Card Test Cases'!$B$4:$B$1000,$A528,'Card Test Cases'!$A$4:$A$1000,"&lt;&gt;",'Card Test Cases'!$F$4:$F$1000,"&lt;&gt;Out of Scope"))</f>
        <v/>
      </c>
      <c r="P528" s="68" t="str">
        <f>IF(TRIM($A528)="","",COUNTIFS('Card Test Cases'!$B$4:$B$1000,$A528,'Card Test Cases'!$A$4:$A$1000,"&lt;&gt;",'Card Test Cases'!$F$4:$F$1000,"Passed"))</f>
        <v/>
      </c>
      <c r="Q528" s="68" t="str">
        <f>IF(TRIM($A528)="","",COUNTIFS('Card Test Cases'!$B$4:$B$1000,$A528,'Card Test Cases'!$A$4:$A$1000,"&lt;&gt;",'Card Test Cases'!$F$4:$F$1000,"Failed"))</f>
        <v/>
      </c>
      <c r="R528" s="68" t="str">
        <f t="shared" si="8"/>
        <v/>
      </c>
      <c r="S528" s="68" t="str" cm="1">
        <f t="array" ref="S528">IF(TRIM($A528)="","",IFERROR(_xlfn.TEXTJOIN(", ",TRUE,_xlfn.UNIQUE(_xlfn.VSTACK(_xlfn._xlws.FILTER('Card Test Cases'!$G$4:$G$1000,('Card Test Cases'!$B$4:$B$1000=$A528)*('Card Test Cases'!$G$4:$G$1000&lt;&gt;""),""),_xlfn._xlws.FILTER('E2E core flow'!$U$15:$U$1000,('E2E core flow'!$A$15:$A$1000&lt;&gt;"")*ISNUMBER(SEARCH('E2E core flow'!$A$15:$A$1000,$E528))*('E2E core flow'!$U$15:$U$1000&lt;&gt;""),"")))),"-"))</f>
        <v/>
      </c>
    </row>
    <row r="529" spans="7:19" x14ac:dyDescent="0.3">
      <c r="G529" s="68" t="str" cm="1">
        <f t="array" ref="G529">_xlfn.LET(_xlpm.ids,'E2E core flow'!$A$15:$A$1000,_xlpm.v,'E2E core flow'!$W$15:$W$1000,_xlpm.m,(_xlpm.ids&lt;&gt;"")*ISNUMBER(SEARCH(_xlpm.ids,$E529)),_xlpm.f,SUM(_xlpm.m*(_xlpm.v="Failed")),_xlpm.b,SUM(_xlpm.m*(_xlpm.v="Blocked")),_xlpm.nr,SUM(_xlpm.m*(_xlpm.v="Not Run")),_xlpm.cp,SUM(_xlpm.m*(_xlpm.v="Conditionally Passed")),_xlpm.p,SUM(_xlpm.m*(_xlpm.v="Passed")),IF(TRIM($A529)="","",IF(TRIM($E529)="","Pending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29" s="68" t="str">
        <f>IF(TRIM($A529)="","",IF($J529="Passed","",IF($J529="Passed with Known Issue","Known Issue",IF($J529="",IF(OR($H529&lt;&gt;"No",AND($F529&lt;&gt;"Medium",$F529&lt;&gt;"Low")),"Pending Result",""),IF(OR($H529&lt;&gt;"No",AND($F529&lt;&gt;"Medium",$F529&lt;&gt;"Low")),IF(COUNTIFS(Dashboard!$B$105:$B$124,$A529,Dashboard!$I$105:$I$124,"CAB")&gt;0,"Accepted (CF)","Blocking"),IF($J529="Failed","Deferrable","Carry Over"))))))</f>
        <v/>
      </c>
      <c r="M529" s="68" t="str">
        <f>IF(OR(TRIM($A529)="",TRIM($E529)=""),"",IFERROR(INDEX('E2E core flow'!$B$15:$B$1000,MATCH(1,INDEX(('E2E core flow'!$A$15:$A$1000&lt;&gt;"")*ISNUMBER(SEARCH('E2E core flow'!$A$15:$A$1000,$E529)),0),0))&amp;"","-"))</f>
        <v/>
      </c>
      <c r="N529" s="68" t="str">
        <f>IF(TRIM($A529)="","",IF($O529=0,IF(COUNTIFS('Card Test Cases'!$B$4:$B$1000,$A529,'Card Test Cases'!$A$4:$A$1000,"&lt;&gt;")&gt;0,"Out of Scope","No TC"),IF($Q529&gt;0,"Failed",IF(COUNTIFS('Card Test Cases'!$B$4:$B$1000,$A529,'Card Test Cases'!$A$4:$A$1000,"&lt;&gt;",'Card Test Cases'!$F$4:$F$1000,"Blocked")&gt;0,"Blocked",IF($R529&gt;0,"In Progress","Passed")))))</f>
        <v/>
      </c>
      <c r="O529" s="68" t="str">
        <f>IF(TRIM($A529)="","",COUNTIFS('Card Test Cases'!$B$4:$B$1000,$A529,'Card Test Cases'!$A$4:$A$1000,"&lt;&gt;",'Card Test Cases'!$F$4:$F$1000,"&lt;&gt;Out of Scope"))</f>
        <v/>
      </c>
      <c r="P529" s="68" t="str">
        <f>IF(TRIM($A529)="","",COUNTIFS('Card Test Cases'!$B$4:$B$1000,$A529,'Card Test Cases'!$A$4:$A$1000,"&lt;&gt;",'Card Test Cases'!$F$4:$F$1000,"Passed"))</f>
        <v/>
      </c>
      <c r="Q529" s="68" t="str">
        <f>IF(TRIM($A529)="","",COUNTIFS('Card Test Cases'!$B$4:$B$1000,$A529,'Card Test Cases'!$A$4:$A$1000,"&lt;&gt;",'Card Test Cases'!$F$4:$F$1000,"Failed"))</f>
        <v/>
      </c>
      <c r="R529" s="68" t="str">
        <f t="shared" si="8"/>
        <v/>
      </c>
      <c r="S529" s="68" t="str" cm="1">
        <f t="array" ref="S529">IF(TRIM($A529)="","",IFERROR(_xlfn.TEXTJOIN(", ",TRUE,_xlfn.UNIQUE(_xlfn.VSTACK(_xlfn._xlws.FILTER('Card Test Cases'!$G$4:$G$1000,('Card Test Cases'!$B$4:$B$1000=$A529)*('Card Test Cases'!$G$4:$G$1000&lt;&gt;""),""),_xlfn._xlws.FILTER('E2E core flow'!$U$15:$U$1000,('E2E core flow'!$A$15:$A$1000&lt;&gt;"")*ISNUMBER(SEARCH('E2E core flow'!$A$15:$A$1000,$E529))*('E2E core flow'!$U$15:$U$1000&lt;&gt;""),"")))),"-"))</f>
        <v/>
      </c>
    </row>
    <row r="530" spans="7:19" x14ac:dyDescent="0.3">
      <c r="G530" s="68" t="str" cm="1">
        <f t="array" ref="G530">_xlfn.LET(_xlpm.ids,'E2E core flow'!$A$15:$A$1000,_xlpm.v,'E2E core flow'!$W$15:$W$1000,_xlpm.m,(_xlpm.ids&lt;&gt;"")*ISNUMBER(SEARCH(_xlpm.ids,$E530)),_xlpm.f,SUM(_xlpm.m*(_xlpm.v="Failed")),_xlpm.b,SUM(_xlpm.m*(_xlpm.v="Blocked")),_xlpm.nr,SUM(_xlpm.m*(_xlpm.v="Not Run")),_xlpm.cp,SUM(_xlpm.m*(_xlpm.v="Conditionally Passed")),_xlpm.p,SUM(_xlpm.m*(_xlpm.v="Passed")),IF(TRIM($A530)="","",IF(TRIM($E530)="","Pending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30" s="68" t="str">
        <f>IF(TRIM($A530)="","",IF($J530="Passed","",IF($J530="Passed with Known Issue","Known Issue",IF($J530="",IF(OR($H530&lt;&gt;"No",AND($F530&lt;&gt;"Medium",$F530&lt;&gt;"Low")),"Pending Result",""),IF(OR($H530&lt;&gt;"No",AND($F530&lt;&gt;"Medium",$F530&lt;&gt;"Low")),IF(COUNTIFS(Dashboard!$B$105:$B$124,$A530,Dashboard!$I$105:$I$124,"CAB")&gt;0,"Accepted (CF)","Blocking"),IF($J530="Failed","Deferrable","Carry Over"))))))</f>
        <v/>
      </c>
      <c r="M530" s="68" t="str">
        <f>IF(OR(TRIM($A530)="",TRIM($E530)=""),"",IFERROR(INDEX('E2E core flow'!$B$15:$B$1000,MATCH(1,INDEX(('E2E core flow'!$A$15:$A$1000&lt;&gt;"")*ISNUMBER(SEARCH('E2E core flow'!$A$15:$A$1000,$E530)),0),0))&amp;"","-"))</f>
        <v/>
      </c>
      <c r="N530" s="68" t="str">
        <f>IF(TRIM($A530)="","",IF($O530=0,IF(COUNTIFS('Card Test Cases'!$B$4:$B$1000,$A530,'Card Test Cases'!$A$4:$A$1000,"&lt;&gt;")&gt;0,"Out of Scope","No TC"),IF($Q530&gt;0,"Failed",IF(COUNTIFS('Card Test Cases'!$B$4:$B$1000,$A530,'Card Test Cases'!$A$4:$A$1000,"&lt;&gt;",'Card Test Cases'!$F$4:$F$1000,"Blocked")&gt;0,"Blocked",IF($R530&gt;0,"In Progress","Passed")))))</f>
        <v/>
      </c>
      <c r="O530" s="68" t="str">
        <f>IF(TRIM($A530)="","",COUNTIFS('Card Test Cases'!$B$4:$B$1000,$A530,'Card Test Cases'!$A$4:$A$1000,"&lt;&gt;",'Card Test Cases'!$F$4:$F$1000,"&lt;&gt;Out of Scope"))</f>
        <v/>
      </c>
      <c r="P530" s="68" t="str">
        <f>IF(TRIM($A530)="","",COUNTIFS('Card Test Cases'!$B$4:$B$1000,$A530,'Card Test Cases'!$A$4:$A$1000,"&lt;&gt;",'Card Test Cases'!$F$4:$F$1000,"Passed"))</f>
        <v/>
      </c>
      <c r="Q530" s="68" t="str">
        <f>IF(TRIM($A530)="","",COUNTIFS('Card Test Cases'!$B$4:$B$1000,$A530,'Card Test Cases'!$A$4:$A$1000,"&lt;&gt;",'Card Test Cases'!$F$4:$F$1000,"Failed"))</f>
        <v/>
      </c>
      <c r="R530" s="68" t="str">
        <f t="shared" si="8"/>
        <v/>
      </c>
      <c r="S530" s="68" t="str" cm="1">
        <f t="array" ref="S530">IF(TRIM($A530)="","",IFERROR(_xlfn.TEXTJOIN(", ",TRUE,_xlfn.UNIQUE(_xlfn.VSTACK(_xlfn._xlws.FILTER('Card Test Cases'!$G$4:$G$1000,('Card Test Cases'!$B$4:$B$1000=$A530)*('Card Test Cases'!$G$4:$G$1000&lt;&gt;""),""),_xlfn._xlws.FILTER('E2E core flow'!$U$15:$U$1000,('E2E core flow'!$A$15:$A$1000&lt;&gt;"")*ISNUMBER(SEARCH('E2E core flow'!$A$15:$A$1000,$E530))*('E2E core flow'!$U$15:$U$1000&lt;&gt;""),"")))),"-"))</f>
        <v/>
      </c>
    </row>
    <row r="531" spans="7:19" x14ac:dyDescent="0.3">
      <c r="G531" s="68" t="str" cm="1">
        <f t="array" ref="G531">_xlfn.LET(_xlpm.ids,'E2E core flow'!$A$15:$A$1000,_xlpm.v,'E2E core flow'!$W$15:$W$1000,_xlpm.m,(_xlpm.ids&lt;&gt;"")*ISNUMBER(SEARCH(_xlpm.ids,$E531)),_xlpm.f,SUM(_xlpm.m*(_xlpm.v="Failed")),_xlpm.b,SUM(_xlpm.m*(_xlpm.v="Blocked")),_xlpm.nr,SUM(_xlpm.m*(_xlpm.v="Not Run")),_xlpm.cp,SUM(_xlpm.m*(_xlpm.v="Conditionally Passed")),_xlpm.p,SUM(_xlpm.m*(_xlpm.v="Passed")),IF(TRIM($A531)="","",IF(TRIM($E531)="","Pending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31" s="68" t="str">
        <f>IF(TRIM($A531)="","",IF($J531="Passed","",IF($J531="Passed with Known Issue","Known Issue",IF($J531="",IF(OR($H531&lt;&gt;"No",AND($F531&lt;&gt;"Medium",$F531&lt;&gt;"Low")),"Pending Result",""),IF(OR($H531&lt;&gt;"No",AND($F531&lt;&gt;"Medium",$F531&lt;&gt;"Low")),IF(COUNTIFS(Dashboard!$B$105:$B$124,$A531,Dashboard!$I$105:$I$124,"CAB")&gt;0,"Accepted (CF)","Blocking"),IF($J531="Failed","Deferrable","Carry Over"))))))</f>
        <v/>
      </c>
      <c r="M531" s="68" t="str">
        <f>IF(OR(TRIM($A531)="",TRIM($E531)=""),"",IFERROR(INDEX('E2E core flow'!$B$15:$B$1000,MATCH(1,INDEX(('E2E core flow'!$A$15:$A$1000&lt;&gt;"")*ISNUMBER(SEARCH('E2E core flow'!$A$15:$A$1000,$E531)),0),0))&amp;"","-"))</f>
        <v/>
      </c>
      <c r="N531" s="68" t="str">
        <f>IF(TRIM($A531)="","",IF($O531=0,IF(COUNTIFS('Card Test Cases'!$B$4:$B$1000,$A531,'Card Test Cases'!$A$4:$A$1000,"&lt;&gt;")&gt;0,"Out of Scope","No TC"),IF($Q531&gt;0,"Failed",IF(COUNTIFS('Card Test Cases'!$B$4:$B$1000,$A531,'Card Test Cases'!$A$4:$A$1000,"&lt;&gt;",'Card Test Cases'!$F$4:$F$1000,"Blocked")&gt;0,"Blocked",IF($R531&gt;0,"In Progress","Passed")))))</f>
        <v/>
      </c>
      <c r="O531" s="68" t="str">
        <f>IF(TRIM($A531)="","",COUNTIFS('Card Test Cases'!$B$4:$B$1000,$A531,'Card Test Cases'!$A$4:$A$1000,"&lt;&gt;",'Card Test Cases'!$F$4:$F$1000,"&lt;&gt;Out of Scope"))</f>
        <v/>
      </c>
      <c r="P531" s="68" t="str">
        <f>IF(TRIM($A531)="","",COUNTIFS('Card Test Cases'!$B$4:$B$1000,$A531,'Card Test Cases'!$A$4:$A$1000,"&lt;&gt;",'Card Test Cases'!$F$4:$F$1000,"Passed"))</f>
        <v/>
      </c>
      <c r="Q531" s="68" t="str">
        <f>IF(TRIM($A531)="","",COUNTIFS('Card Test Cases'!$B$4:$B$1000,$A531,'Card Test Cases'!$A$4:$A$1000,"&lt;&gt;",'Card Test Cases'!$F$4:$F$1000,"Failed"))</f>
        <v/>
      </c>
      <c r="R531" s="68" t="str">
        <f t="shared" si="8"/>
        <v/>
      </c>
      <c r="S531" s="68" t="str" cm="1">
        <f t="array" ref="S531">IF(TRIM($A531)="","",IFERROR(_xlfn.TEXTJOIN(", ",TRUE,_xlfn.UNIQUE(_xlfn.VSTACK(_xlfn._xlws.FILTER('Card Test Cases'!$G$4:$G$1000,('Card Test Cases'!$B$4:$B$1000=$A531)*('Card Test Cases'!$G$4:$G$1000&lt;&gt;""),""),_xlfn._xlws.FILTER('E2E core flow'!$U$15:$U$1000,('E2E core flow'!$A$15:$A$1000&lt;&gt;"")*ISNUMBER(SEARCH('E2E core flow'!$A$15:$A$1000,$E531))*('E2E core flow'!$U$15:$U$1000&lt;&gt;""),"")))),"-"))</f>
        <v/>
      </c>
    </row>
    <row r="532" spans="7:19" x14ac:dyDescent="0.3">
      <c r="G532" s="68" t="str" cm="1">
        <f t="array" ref="G532">_xlfn.LET(_xlpm.ids,'E2E core flow'!$A$15:$A$1000,_xlpm.v,'E2E core flow'!$W$15:$W$1000,_xlpm.m,(_xlpm.ids&lt;&gt;"")*ISNUMBER(SEARCH(_xlpm.ids,$E532)),_xlpm.f,SUM(_xlpm.m*(_xlpm.v="Failed")),_xlpm.b,SUM(_xlpm.m*(_xlpm.v="Blocked")),_xlpm.nr,SUM(_xlpm.m*(_xlpm.v="Not Run")),_xlpm.cp,SUM(_xlpm.m*(_xlpm.v="Conditionally Passed")),_xlpm.p,SUM(_xlpm.m*(_xlpm.v="Passed")),IF(TRIM($A532)="","",IF(TRIM($E532)="","Pending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32" s="68" t="str">
        <f>IF(TRIM($A532)="","",IF($J532="Passed","",IF($J532="Passed with Known Issue","Known Issue",IF($J532="",IF(OR($H532&lt;&gt;"No",AND($F532&lt;&gt;"Medium",$F532&lt;&gt;"Low")),"Pending Result",""),IF(OR($H532&lt;&gt;"No",AND($F532&lt;&gt;"Medium",$F532&lt;&gt;"Low")),IF(COUNTIFS(Dashboard!$B$105:$B$124,$A532,Dashboard!$I$105:$I$124,"CAB")&gt;0,"Accepted (CF)","Blocking"),IF($J532="Failed","Deferrable","Carry Over"))))))</f>
        <v/>
      </c>
      <c r="M532" s="68" t="str">
        <f>IF(OR(TRIM($A532)="",TRIM($E532)=""),"",IFERROR(INDEX('E2E core flow'!$B$15:$B$1000,MATCH(1,INDEX(('E2E core flow'!$A$15:$A$1000&lt;&gt;"")*ISNUMBER(SEARCH('E2E core flow'!$A$15:$A$1000,$E532)),0),0))&amp;"","-"))</f>
        <v/>
      </c>
      <c r="N532" s="68" t="str">
        <f>IF(TRIM($A532)="","",IF($O532=0,IF(COUNTIFS('Card Test Cases'!$B$4:$B$1000,$A532,'Card Test Cases'!$A$4:$A$1000,"&lt;&gt;")&gt;0,"Out of Scope","No TC"),IF($Q532&gt;0,"Failed",IF(COUNTIFS('Card Test Cases'!$B$4:$B$1000,$A532,'Card Test Cases'!$A$4:$A$1000,"&lt;&gt;",'Card Test Cases'!$F$4:$F$1000,"Blocked")&gt;0,"Blocked",IF($R532&gt;0,"In Progress","Passed")))))</f>
        <v/>
      </c>
      <c r="O532" s="68" t="str">
        <f>IF(TRIM($A532)="","",COUNTIFS('Card Test Cases'!$B$4:$B$1000,$A532,'Card Test Cases'!$A$4:$A$1000,"&lt;&gt;",'Card Test Cases'!$F$4:$F$1000,"&lt;&gt;Out of Scope"))</f>
        <v/>
      </c>
      <c r="P532" s="68" t="str">
        <f>IF(TRIM($A532)="","",COUNTIFS('Card Test Cases'!$B$4:$B$1000,$A532,'Card Test Cases'!$A$4:$A$1000,"&lt;&gt;",'Card Test Cases'!$F$4:$F$1000,"Passed"))</f>
        <v/>
      </c>
      <c r="Q532" s="68" t="str">
        <f>IF(TRIM($A532)="","",COUNTIFS('Card Test Cases'!$B$4:$B$1000,$A532,'Card Test Cases'!$A$4:$A$1000,"&lt;&gt;",'Card Test Cases'!$F$4:$F$1000,"Failed"))</f>
        <v/>
      </c>
      <c r="R532" s="68" t="str">
        <f t="shared" si="8"/>
        <v/>
      </c>
      <c r="S532" s="68" t="str" cm="1">
        <f t="array" ref="S532">IF(TRIM($A532)="","",IFERROR(_xlfn.TEXTJOIN(", ",TRUE,_xlfn.UNIQUE(_xlfn.VSTACK(_xlfn._xlws.FILTER('Card Test Cases'!$G$4:$G$1000,('Card Test Cases'!$B$4:$B$1000=$A532)*('Card Test Cases'!$G$4:$G$1000&lt;&gt;""),""),_xlfn._xlws.FILTER('E2E core flow'!$U$15:$U$1000,('E2E core flow'!$A$15:$A$1000&lt;&gt;"")*ISNUMBER(SEARCH('E2E core flow'!$A$15:$A$1000,$E532))*('E2E core flow'!$U$15:$U$1000&lt;&gt;""),"")))),"-"))</f>
        <v/>
      </c>
    </row>
    <row r="533" spans="7:19" x14ac:dyDescent="0.3">
      <c r="G533" s="68" t="str" cm="1">
        <f t="array" ref="G533">_xlfn.LET(_xlpm.ids,'E2E core flow'!$A$15:$A$1000,_xlpm.v,'E2E core flow'!$W$15:$W$1000,_xlpm.m,(_xlpm.ids&lt;&gt;"")*ISNUMBER(SEARCH(_xlpm.ids,$E533)),_xlpm.f,SUM(_xlpm.m*(_xlpm.v="Failed")),_xlpm.b,SUM(_xlpm.m*(_xlpm.v="Blocked")),_xlpm.nr,SUM(_xlpm.m*(_xlpm.v="Not Run")),_xlpm.cp,SUM(_xlpm.m*(_xlpm.v="Conditionally Passed")),_xlpm.p,SUM(_xlpm.m*(_xlpm.v="Passed")),IF(TRIM($A533)="","",IF(TRIM($E533)="","Pending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33" s="68" t="str">
        <f>IF(TRIM($A533)="","",IF($J533="Passed","",IF($J533="Passed with Known Issue","Known Issue",IF($J533="",IF(OR($H533&lt;&gt;"No",AND($F533&lt;&gt;"Medium",$F533&lt;&gt;"Low")),"Pending Result",""),IF(OR($H533&lt;&gt;"No",AND($F533&lt;&gt;"Medium",$F533&lt;&gt;"Low")),IF(COUNTIFS(Dashboard!$B$105:$B$124,$A533,Dashboard!$I$105:$I$124,"CAB")&gt;0,"Accepted (CF)","Blocking"),IF($J533="Failed","Deferrable","Carry Over"))))))</f>
        <v/>
      </c>
      <c r="M533" s="68" t="str">
        <f>IF(OR(TRIM($A533)="",TRIM($E533)=""),"",IFERROR(INDEX('E2E core flow'!$B$15:$B$1000,MATCH(1,INDEX(('E2E core flow'!$A$15:$A$1000&lt;&gt;"")*ISNUMBER(SEARCH('E2E core flow'!$A$15:$A$1000,$E533)),0),0))&amp;"","-"))</f>
        <v/>
      </c>
      <c r="N533" s="68" t="str">
        <f>IF(TRIM($A533)="","",IF($O533=0,IF(COUNTIFS('Card Test Cases'!$B$4:$B$1000,$A533,'Card Test Cases'!$A$4:$A$1000,"&lt;&gt;")&gt;0,"Out of Scope","No TC"),IF($Q533&gt;0,"Failed",IF(COUNTIFS('Card Test Cases'!$B$4:$B$1000,$A533,'Card Test Cases'!$A$4:$A$1000,"&lt;&gt;",'Card Test Cases'!$F$4:$F$1000,"Blocked")&gt;0,"Blocked",IF($R533&gt;0,"In Progress","Passed")))))</f>
        <v/>
      </c>
      <c r="O533" s="68" t="str">
        <f>IF(TRIM($A533)="","",COUNTIFS('Card Test Cases'!$B$4:$B$1000,$A533,'Card Test Cases'!$A$4:$A$1000,"&lt;&gt;",'Card Test Cases'!$F$4:$F$1000,"&lt;&gt;Out of Scope"))</f>
        <v/>
      </c>
      <c r="P533" s="68" t="str">
        <f>IF(TRIM($A533)="","",COUNTIFS('Card Test Cases'!$B$4:$B$1000,$A533,'Card Test Cases'!$A$4:$A$1000,"&lt;&gt;",'Card Test Cases'!$F$4:$F$1000,"Passed"))</f>
        <v/>
      </c>
      <c r="Q533" s="68" t="str">
        <f>IF(TRIM($A533)="","",COUNTIFS('Card Test Cases'!$B$4:$B$1000,$A533,'Card Test Cases'!$A$4:$A$1000,"&lt;&gt;",'Card Test Cases'!$F$4:$F$1000,"Failed"))</f>
        <v/>
      </c>
      <c r="R533" s="68" t="str">
        <f t="shared" si="8"/>
        <v/>
      </c>
      <c r="S533" s="68" t="str" cm="1">
        <f t="array" ref="S533">IF(TRIM($A533)="","",IFERROR(_xlfn.TEXTJOIN(", ",TRUE,_xlfn.UNIQUE(_xlfn.VSTACK(_xlfn._xlws.FILTER('Card Test Cases'!$G$4:$G$1000,('Card Test Cases'!$B$4:$B$1000=$A533)*('Card Test Cases'!$G$4:$G$1000&lt;&gt;""),""),_xlfn._xlws.FILTER('E2E core flow'!$U$15:$U$1000,('E2E core flow'!$A$15:$A$1000&lt;&gt;"")*ISNUMBER(SEARCH('E2E core flow'!$A$15:$A$1000,$E533))*('E2E core flow'!$U$15:$U$1000&lt;&gt;""),"")))),"-"))</f>
        <v/>
      </c>
    </row>
    <row r="534" spans="7:19" x14ac:dyDescent="0.3">
      <c r="G534" s="68" t="str" cm="1">
        <f t="array" ref="G534">_xlfn.LET(_xlpm.ids,'E2E core flow'!$A$15:$A$1000,_xlpm.v,'E2E core flow'!$W$15:$W$1000,_xlpm.m,(_xlpm.ids&lt;&gt;"")*ISNUMBER(SEARCH(_xlpm.ids,$E534)),_xlpm.f,SUM(_xlpm.m*(_xlpm.v="Failed")),_xlpm.b,SUM(_xlpm.m*(_xlpm.v="Blocked")),_xlpm.nr,SUM(_xlpm.m*(_xlpm.v="Not Run")),_xlpm.cp,SUM(_xlpm.m*(_xlpm.v="Conditionally Passed")),_xlpm.p,SUM(_xlpm.m*(_xlpm.v="Passed")),IF(TRIM($A534)="","",IF(TRIM($E534)="","Pending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34" s="68" t="str">
        <f>IF(TRIM($A534)="","",IF($J534="Passed","",IF($J534="Passed with Known Issue","Known Issue",IF($J534="",IF(OR($H534&lt;&gt;"No",AND($F534&lt;&gt;"Medium",$F534&lt;&gt;"Low")),"Pending Result",""),IF(OR($H534&lt;&gt;"No",AND($F534&lt;&gt;"Medium",$F534&lt;&gt;"Low")),IF(COUNTIFS(Dashboard!$B$105:$B$124,$A534,Dashboard!$I$105:$I$124,"CAB")&gt;0,"Accepted (CF)","Blocking"),IF($J534="Failed","Deferrable","Carry Over"))))))</f>
        <v/>
      </c>
      <c r="M534" s="68" t="str">
        <f>IF(OR(TRIM($A534)="",TRIM($E534)=""),"",IFERROR(INDEX('E2E core flow'!$B$15:$B$1000,MATCH(1,INDEX(('E2E core flow'!$A$15:$A$1000&lt;&gt;"")*ISNUMBER(SEARCH('E2E core flow'!$A$15:$A$1000,$E534)),0),0))&amp;"","-"))</f>
        <v/>
      </c>
      <c r="N534" s="68" t="str">
        <f>IF(TRIM($A534)="","",IF($O534=0,IF(COUNTIFS('Card Test Cases'!$B$4:$B$1000,$A534,'Card Test Cases'!$A$4:$A$1000,"&lt;&gt;")&gt;0,"Out of Scope","No TC"),IF($Q534&gt;0,"Failed",IF(COUNTIFS('Card Test Cases'!$B$4:$B$1000,$A534,'Card Test Cases'!$A$4:$A$1000,"&lt;&gt;",'Card Test Cases'!$F$4:$F$1000,"Blocked")&gt;0,"Blocked",IF($R534&gt;0,"In Progress","Passed")))))</f>
        <v/>
      </c>
      <c r="O534" s="68" t="str">
        <f>IF(TRIM($A534)="","",COUNTIFS('Card Test Cases'!$B$4:$B$1000,$A534,'Card Test Cases'!$A$4:$A$1000,"&lt;&gt;",'Card Test Cases'!$F$4:$F$1000,"&lt;&gt;Out of Scope"))</f>
        <v/>
      </c>
      <c r="P534" s="68" t="str">
        <f>IF(TRIM($A534)="","",COUNTIFS('Card Test Cases'!$B$4:$B$1000,$A534,'Card Test Cases'!$A$4:$A$1000,"&lt;&gt;",'Card Test Cases'!$F$4:$F$1000,"Passed"))</f>
        <v/>
      </c>
      <c r="Q534" s="68" t="str">
        <f>IF(TRIM($A534)="","",COUNTIFS('Card Test Cases'!$B$4:$B$1000,$A534,'Card Test Cases'!$A$4:$A$1000,"&lt;&gt;",'Card Test Cases'!$F$4:$F$1000,"Failed"))</f>
        <v/>
      </c>
      <c r="R534" s="68" t="str">
        <f t="shared" si="8"/>
        <v/>
      </c>
      <c r="S534" s="68" t="str" cm="1">
        <f t="array" ref="S534">IF(TRIM($A534)="","",IFERROR(_xlfn.TEXTJOIN(", ",TRUE,_xlfn.UNIQUE(_xlfn.VSTACK(_xlfn._xlws.FILTER('Card Test Cases'!$G$4:$G$1000,('Card Test Cases'!$B$4:$B$1000=$A534)*('Card Test Cases'!$G$4:$G$1000&lt;&gt;""),""),_xlfn._xlws.FILTER('E2E core flow'!$U$15:$U$1000,('E2E core flow'!$A$15:$A$1000&lt;&gt;"")*ISNUMBER(SEARCH('E2E core flow'!$A$15:$A$1000,$E534))*('E2E core flow'!$U$15:$U$1000&lt;&gt;""),"")))),"-"))</f>
        <v/>
      </c>
    </row>
    <row r="535" spans="7:19" x14ac:dyDescent="0.3">
      <c r="G535" s="68" t="str" cm="1">
        <f t="array" ref="G535">_xlfn.LET(_xlpm.ids,'E2E core flow'!$A$15:$A$1000,_xlpm.v,'E2E core flow'!$W$15:$W$1000,_xlpm.m,(_xlpm.ids&lt;&gt;"")*ISNUMBER(SEARCH(_xlpm.ids,$E535)),_xlpm.f,SUM(_xlpm.m*(_xlpm.v="Failed")),_xlpm.b,SUM(_xlpm.m*(_xlpm.v="Blocked")),_xlpm.nr,SUM(_xlpm.m*(_xlpm.v="Not Run")),_xlpm.cp,SUM(_xlpm.m*(_xlpm.v="Conditionally Passed")),_xlpm.p,SUM(_xlpm.m*(_xlpm.v="Passed")),IF(TRIM($A535)="","",IF(TRIM($E535)="","Pending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35" s="68" t="str">
        <f>IF(TRIM($A535)="","",IF($J535="Passed","",IF($J535="Passed with Known Issue","Known Issue",IF($J535="",IF(OR($H535&lt;&gt;"No",AND($F535&lt;&gt;"Medium",$F535&lt;&gt;"Low")),"Pending Result",""),IF(OR($H535&lt;&gt;"No",AND($F535&lt;&gt;"Medium",$F535&lt;&gt;"Low")),IF(COUNTIFS(Dashboard!$B$105:$B$124,$A535,Dashboard!$I$105:$I$124,"CAB")&gt;0,"Accepted (CF)","Blocking"),IF($J535="Failed","Deferrable","Carry Over"))))))</f>
        <v/>
      </c>
      <c r="M535" s="68" t="str">
        <f>IF(OR(TRIM($A535)="",TRIM($E535)=""),"",IFERROR(INDEX('E2E core flow'!$B$15:$B$1000,MATCH(1,INDEX(('E2E core flow'!$A$15:$A$1000&lt;&gt;"")*ISNUMBER(SEARCH('E2E core flow'!$A$15:$A$1000,$E535)),0),0))&amp;"","-"))</f>
        <v/>
      </c>
      <c r="N535" s="68" t="str">
        <f>IF(TRIM($A535)="","",IF($O535=0,IF(COUNTIFS('Card Test Cases'!$B$4:$B$1000,$A535,'Card Test Cases'!$A$4:$A$1000,"&lt;&gt;")&gt;0,"Out of Scope","No TC"),IF($Q535&gt;0,"Failed",IF(COUNTIFS('Card Test Cases'!$B$4:$B$1000,$A535,'Card Test Cases'!$A$4:$A$1000,"&lt;&gt;",'Card Test Cases'!$F$4:$F$1000,"Blocked")&gt;0,"Blocked",IF($R535&gt;0,"In Progress","Passed")))))</f>
        <v/>
      </c>
      <c r="O535" s="68" t="str">
        <f>IF(TRIM($A535)="","",COUNTIFS('Card Test Cases'!$B$4:$B$1000,$A535,'Card Test Cases'!$A$4:$A$1000,"&lt;&gt;",'Card Test Cases'!$F$4:$F$1000,"&lt;&gt;Out of Scope"))</f>
        <v/>
      </c>
      <c r="P535" s="68" t="str">
        <f>IF(TRIM($A535)="","",COUNTIFS('Card Test Cases'!$B$4:$B$1000,$A535,'Card Test Cases'!$A$4:$A$1000,"&lt;&gt;",'Card Test Cases'!$F$4:$F$1000,"Passed"))</f>
        <v/>
      </c>
      <c r="Q535" s="68" t="str">
        <f>IF(TRIM($A535)="","",COUNTIFS('Card Test Cases'!$B$4:$B$1000,$A535,'Card Test Cases'!$A$4:$A$1000,"&lt;&gt;",'Card Test Cases'!$F$4:$F$1000,"Failed"))</f>
        <v/>
      </c>
      <c r="R535" s="68" t="str">
        <f t="shared" si="8"/>
        <v/>
      </c>
      <c r="S535" s="68" t="str" cm="1">
        <f t="array" ref="S535">IF(TRIM($A535)="","",IFERROR(_xlfn.TEXTJOIN(", ",TRUE,_xlfn.UNIQUE(_xlfn.VSTACK(_xlfn._xlws.FILTER('Card Test Cases'!$G$4:$G$1000,('Card Test Cases'!$B$4:$B$1000=$A535)*('Card Test Cases'!$G$4:$G$1000&lt;&gt;""),""),_xlfn._xlws.FILTER('E2E core flow'!$U$15:$U$1000,('E2E core flow'!$A$15:$A$1000&lt;&gt;"")*ISNUMBER(SEARCH('E2E core flow'!$A$15:$A$1000,$E535))*('E2E core flow'!$U$15:$U$1000&lt;&gt;""),"")))),"-"))</f>
        <v/>
      </c>
    </row>
    <row r="536" spans="7:19" x14ac:dyDescent="0.3">
      <c r="G536" s="68" t="str" cm="1">
        <f t="array" ref="G536">_xlfn.LET(_xlpm.ids,'E2E core flow'!$A$15:$A$1000,_xlpm.v,'E2E core flow'!$W$15:$W$1000,_xlpm.m,(_xlpm.ids&lt;&gt;"")*ISNUMBER(SEARCH(_xlpm.ids,$E536)),_xlpm.f,SUM(_xlpm.m*(_xlpm.v="Failed")),_xlpm.b,SUM(_xlpm.m*(_xlpm.v="Blocked")),_xlpm.nr,SUM(_xlpm.m*(_xlpm.v="Not Run")),_xlpm.cp,SUM(_xlpm.m*(_xlpm.v="Conditionally Passed")),_xlpm.p,SUM(_xlpm.m*(_xlpm.v="Passed")),IF(TRIM($A536)="","",IF(TRIM($E536)="","Pending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36" s="68" t="str">
        <f>IF(TRIM($A536)="","",IF($J536="Passed","",IF($J536="Passed with Known Issue","Known Issue",IF($J536="",IF(OR($H536&lt;&gt;"No",AND($F536&lt;&gt;"Medium",$F536&lt;&gt;"Low")),"Pending Result",""),IF(OR($H536&lt;&gt;"No",AND($F536&lt;&gt;"Medium",$F536&lt;&gt;"Low")),IF(COUNTIFS(Dashboard!$B$105:$B$124,$A536,Dashboard!$I$105:$I$124,"CAB")&gt;0,"Accepted (CF)","Blocking"),IF($J536="Failed","Deferrable","Carry Over"))))))</f>
        <v/>
      </c>
      <c r="M536" s="68" t="str">
        <f>IF(OR(TRIM($A536)="",TRIM($E536)=""),"",IFERROR(INDEX('E2E core flow'!$B$15:$B$1000,MATCH(1,INDEX(('E2E core flow'!$A$15:$A$1000&lt;&gt;"")*ISNUMBER(SEARCH('E2E core flow'!$A$15:$A$1000,$E536)),0),0))&amp;"","-"))</f>
        <v/>
      </c>
      <c r="N536" s="68" t="str">
        <f>IF(TRIM($A536)="","",IF($O536=0,IF(COUNTIFS('Card Test Cases'!$B$4:$B$1000,$A536,'Card Test Cases'!$A$4:$A$1000,"&lt;&gt;")&gt;0,"Out of Scope","No TC"),IF($Q536&gt;0,"Failed",IF(COUNTIFS('Card Test Cases'!$B$4:$B$1000,$A536,'Card Test Cases'!$A$4:$A$1000,"&lt;&gt;",'Card Test Cases'!$F$4:$F$1000,"Blocked")&gt;0,"Blocked",IF($R536&gt;0,"In Progress","Passed")))))</f>
        <v/>
      </c>
      <c r="O536" s="68" t="str">
        <f>IF(TRIM($A536)="","",COUNTIFS('Card Test Cases'!$B$4:$B$1000,$A536,'Card Test Cases'!$A$4:$A$1000,"&lt;&gt;",'Card Test Cases'!$F$4:$F$1000,"&lt;&gt;Out of Scope"))</f>
        <v/>
      </c>
      <c r="P536" s="68" t="str">
        <f>IF(TRIM($A536)="","",COUNTIFS('Card Test Cases'!$B$4:$B$1000,$A536,'Card Test Cases'!$A$4:$A$1000,"&lt;&gt;",'Card Test Cases'!$F$4:$F$1000,"Passed"))</f>
        <v/>
      </c>
      <c r="Q536" s="68" t="str">
        <f>IF(TRIM($A536)="","",COUNTIFS('Card Test Cases'!$B$4:$B$1000,$A536,'Card Test Cases'!$A$4:$A$1000,"&lt;&gt;",'Card Test Cases'!$F$4:$F$1000,"Failed"))</f>
        <v/>
      </c>
      <c r="R536" s="68" t="str">
        <f t="shared" si="8"/>
        <v/>
      </c>
      <c r="S536" s="68" t="str" cm="1">
        <f t="array" ref="S536">IF(TRIM($A536)="","",IFERROR(_xlfn.TEXTJOIN(", ",TRUE,_xlfn.UNIQUE(_xlfn.VSTACK(_xlfn._xlws.FILTER('Card Test Cases'!$G$4:$G$1000,('Card Test Cases'!$B$4:$B$1000=$A536)*('Card Test Cases'!$G$4:$G$1000&lt;&gt;""),""),_xlfn._xlws.FILTER('E2E core flow'!$U$15:$U$1000,('E2E core flow'!$A$15:$A$1000&lt;&gt;"")*ISNUMBER(SEARCH('E2E core flow'!$A$15:$A$1000,$E536))*('E2E core flow'!$U$15:$U$1000&lt;&gt;""),"")))),"-"))</f>
        <v/>
      </c>
    </row>
    <row r="537" spans="7:19" x14ac:dyDescent="0.3">
      <c r="G537" s="68" t="str" cm="1">
        <f t="array" ref="G537">_xlfn.LET(_xlpm.ids,'E2E core flow'!$A$15:$A$1000,_xlpm.v,'E2E core flow'!$W$15:$W$1000,_xlpm.m,(_xlpm.ids&lt;&gt;"")*ISNUMBER(SEARCH(_xlpm.ids,$E537)),_xlpm.f,SUM(_xlpm.m*(_xlpm.v="Failed")),_xlpm.b,SUM(_xlpm.m*(_xlpm.v="Blocked")),_xlpm.nr,SUM(_xlpm.m*(_xlpm.v="Not Run")),_xlpm.cp,SUM(_xlpm.m*(_xlpm.v="Conditionally Passed")),_xlpm.p,SUM(_xlpm.m*(_xlpm.v="Passed")),IF(TRIM($A537)="","",IF(TRIM($E537)="","Pending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37" s="68" t="str">
        <f>IF(TRIM($A537)="","",IF($J537="Passed","",IF($J537="Passed with Known Issue","Known Issue",IF($J537="",IF(OR($H537&lt;&gt;"No",AND($F537&lt;&gt;"Medium",$F537&lt;&gt;"Low")),"Pending Result",""),IF(OR($H537&lt;&gt;"No",AND($F537&lt;&gt;"Medium",$F537&lt;&gt;"Low")),IF(COUNTIFS(Dashboard!$B$105:$B$124,$A537,Dashboard!$I$105:$I$124,"CAB")&gt;0,"Accepted (CF)","Blocking"),IF($J537="Failed","Deferrable","Carry Over"))))))</f>
        <v/>
      </c>
      <c r="M537" s="68" t="str">
        <f>IF(OR(TRIM($A537)="",TRIM($E537)=""),"",IFERROR(INDEX('E2E core flow'!$B$15:$B$1000,MATCH(1,INDEX(('E2E core flow'!$A$15:$A$1000&lt;&gt;"")*ISNUMBER(SEARCH('E2E core flow'!$A$15:$A$1000,$E537)),0),0))&amp;"","-"))</f>
        <v/>
      </c>
      <c r="N537" s="68" t="str">
        <f>IF(TRIM($A537)="","",IF($O537=0,IF(COUNTIFS('Card Test Cases'!$B$4:$B$1000,$A537,'Card Test Cases'!$A$4:$A$1000,"&lt;&gt;")&gt;0,"Out of Scope","No TC"),IF($Q537&gt;0,"Failed",IF(COUNTIFS('Card Test Cases'!$B$4:$B$1000,$A537,'Card Test Cases'!$A$4:$A$1000,"&lt;&gt;",'Card Test Cases'!$F$4:$F$1000,"Blocked")&gt;0,"Blocked",IF($R537&gt;0,"In Progress","Passed")))))</f>
        <v/>
      </c>
      <c r="O537" s="68" t="str">
        <f>IF(TRIM($A537)="","",COUNTIFS('Card Test Cases'!$B$4:$B$1000,$A537,'Card Test Cases'!$A$4:$A$1000,"&lt;&gt;",'Card Test Cases'!$F$4:$F$1000,"&lt;&gt;Out of Scope"))</f>
        <v/>
      </c>
      <c r="P537" s="68" t="str">
        <f>IF(TRIM($A537)="","",COUNTIFS('Card Test Cases'!$B$4:$B$1000,$A537,'Card Test Cases'!$A$4:$A$1000,"&lt;&gt;",'Card Test Cases'!$F$4:$F$1000,"Passed"))</f>
        <v/>
      </c>
      <c r="Q537" s="68" t="str">
        <f>IF(TRIM($A537)="","",COUNTIFS('Card Test Cases'!$B$4:$B$1000,$A537,'Card Test Cases'!$A$4:$A$1000,"&lt;&gt;",'Card Test Cases'!$F$4:$F$1000,"Failed"))</f>
        <v/>
      </c>
      <c r="R537" s="68" t="str">
        <f t="shared" si="8"/>
        <v/>
      </c>
      <c r="S537" s="68" t="str" cm="1">
        <f t="array" ref="S537">IF(TRIM($A537)="","",IFERROR(_xlfn.TEXTJOIN(", ",TRUE,_xlfn.UNIQUE(_xlfn.VSTACK(_xlfn._xlws.FILTER('Card Test Cases'!$G$4:$G$1000,('Card Test Cases'!$B$4:$B$1000=$A537)*('Card Test Cases'!$G$4:$G$1000&lt;&gt;""),""),_xlfn._xlws.FILTER('E2E core flow'!$U$15:$U$1000,('E2E core flow'!$A$15:$A$1000&lt;&gt;"")*ISNUMBER(SEARCH('E2E core flow'!$A$15:$A$1000,$E537))*('E2E core flow'!$U$15:$U$1000&lt;&gt;""),"")))),"-"))</f>
        <v/>
      </c>
    </row>
    <row r="538" spans="7:19" x14ac:dyDescent="0.3">
      <c r="G538" s="68" t="str" cm="1">
        <f t="array" ref="G538">_xlfn.LET(_xlpm.ids,'E2E core flow'!$A$15:$A$1000,_xlpm.v,'E2E core flow'!$W$15:$W$1000,_xlpm.m,(_xlpm.ids&lt;&gt;"")*ISNUMBER(SEARCH(_xlpm.ids,$E538)),_xlpm.f,SUM(_xlpm.m*(_xlpm.v="Failed")),_xlpm.b,SUM(_xlpm.m*(_xlpm.v="Blocked")),_xlpm.nr,SUM(_xlpm.m*(_xlpm.v="Not Run")),_xlpm.cp,SUM(_xlpm.m*(_xlpm.v="Conditionally Passed")),_xlpm.p,SUM(_xlpm.m*(_xlpm.v="Passed")),IF(TRIM($A538)="","",IF(TRIM($E538)="","Pending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38" s="68" t="str">
        <f>IF(TRIM($A538)="","",IF($J538="Passed","",IF($J538="Passed with Known Issue","Known Issue",IF($J538="",IF(OR($H538&lt;&gt;"No",AND($F538&lt;&gt;"Medium",$F538&lt;&gt;"Low")),"Pending Result",""),IF(OR($H538&lt;&gt;"No",AND($F538&lt;&gt;"Medium",$F538&lt;&gt;"Low")),IF(COUNTIFS(Dashboard!$B$105:$B$124,$A538,Dashboard!$I$105:$I$124,"CAB")&gt;0,"Accepted (CF)","Blocking"),IF($J538="Failed","Deferrable","Carry Over"))))))</f>
        <v/>
      </c>
      <c r="M538" s="68" t="str">
        <f>IF(OR(TRIM($A538)="",TRIM($E538)=""),"",IFERROR(INDEX('E2E core flow'!$B$15:$B$1000,MATCH(1,INDEX(('E2E core flow'!$A$15:$A$1000&lt;&gt;"")*ISNUMBER(SEARCH('E2E core flow'!$A$15:$A$1000,$E538)),0),0))&amp;"","-"))</f>
        <v/>
      </c>
      <c r="N538" s="68" t="str">
        <f>IF(TRIM($A538)="","",IF($O538=0,IF(COUNTIFS('Card Test Cases'!$B$4:$B$1000,$A538,'Card Test Cases'!$A$4:$A$1000,"&lt;&gt;")&gt;0,"Out of Scope","No TC"),IF($Q538&gt;0,"Failed",IF(COUNTIFS('Card Test Cases'!$B$4:$B$1000,$A538,'Card Test Cases'!$A$4:$A$1000,"&lt;&gt;",'Card Test Cases'!$F$4:$F$1000,"Blocked")&gt;0,"Blocked",IF($R538&gt;0,"In Progress","Passed")))))</f>
        <v/>
      </c>
      <c r="O538" s="68" t="str">
        <f>IF(TRIM($A538)="","",COUNTIFS('Card Test Cases'!$B$4:$B$1000,$A538,'Card Test Cases'!$A$4:$A$1000,"&lt;&gt;",'Card Test Cases'!$F$4:$F$1000,"&lt;&gt;Out of Scope"))</f>
        <v/>
      </c>
      <c r="P538" s="68" t="str">
        <f>IF(TRIM($A538)="","",COUNTIFS('Card Test Cases'!$B$4:$B$1000,$A538,'Card Test Cases'!$A$4:$A$1000,"&lt;&gt;",'Card Test Cases'!$F$4:$F$1000,"Passed"))</f>
        <v/>
      </c>
      <c r="Q538" s="68" t="str">
        <f>IF(TRIM($A538)="","",COUNTIFS('Card Test Cases'!$B$4:$B$1000,$A538,'Card Test Cases'!$A$4:$A$1000,"&lt;&gt;",'Card Test Cases'!$F$4:$F$1000,"Failed"))</f>
        <v/>
      </c>
      <c r="R538" s="68" t="str">
        <f t="shared" si="8"/>
        <v/>
      </c>
      <c r="S538" s="68" t="str" cm="1">
        <f t="array" ref="S538">IF(TRIM($A538)="","",IFERROR(_xlfn.TEXTJOIN(", ",TRUE,_xlfn.UNIQUE(_xlfn.VSTACK(_xlfn._xlws.FILTER('Card Test Cases'!$G$4:$G$1000,('Card Test Cases'!$B$4:$B$1000=$A538)*('Card Test Cases'!$G$4:$G$1000&lt;&gt;""),""),_xlfn._xlws.FILTER('E2E core flow'!$U$15:$U$1000,('E2E core flow'!$A$15:$A$1000&lt;&gt;"")*ISNUMBER(SEARCH('E2E core flow'!$A$15:$A$1000,$E538))*('E2E core flow'!$U$15:$U$1000&lt;&gt;""),"")))),"-"))</f>
        <v/>
      </c>
    </row>
    <row r="539" spans="7:19" x14ac:dyDescent="0.3">
      <c r="G539" s="68" t="str" cm="1">
        <f t="array" ref="G539">_xlfn.LET(_xlpm.ids,'E2E core flow'!$A$15:$A$1000,_xlpm.v,'E2E core flow'!$W$15:$W$1000,_xlpm.m,(_xlpm.ids&lt;&gt;"")*ISNUMBER(SEARCH(_xlpm.ids,$E539)),_xlpm.f,SUM(_xlpm.m*(_xlpm.v="Failed")),_xlpm.b,SUM(_xlpm.m*(_xlpm.v="Blocked")),_xlpm.nr,SUM(_xlpm.m*(_xlpm.v="Not Run")),_xlpm.cp,SUM(_xlpm.m*(_xlpm.v="Conditionally Passed")),_xlpm.p,SUM(_xlpm.m*(_xlpm.v="Passed")),IF(TRIM($A539)="","",IF(TRIM($E539)="","Pending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39" s="68" t="str">
        <f>IF(TRIM($A539)="","",IF($J539="Passed","",IF($J539="Passed with Known Issue","Known Issue",IF($J539="",IF(OR($H539&lt;&gt;"No",AND($F539&lt;&gt;"Medium",$F539&lt;&gt;"Low")),"Pending Result",""),IF(OR($H539&lt;&gt;"No",AND($F539&lt;&gt;"Medium",$F539&lt;&gt;"Low")),IF(COUNTIFS(Dashboard!$B$105:$B$124,$A539,Dashboard!$I$105:$I$124,"CAB")&gt;0,"Accepted (CF)","Blocking"),IF($J539="Failed","Deferrable","Carry Over"))))))</f>
        <v/>
      </c>
      <c r="M539" s="68" t="str">
        <f>IF(OR(TRIM($A539)="",TRIM($E539)=""),"",IFERROR(INDEX('E2E core flow'!$B$15:$B$1000,MATCH(1,INDEX(('E2E core flow'!$A$15:$A$1000&lt;&gt;"")*ISNUMBER(SEARCH('E2E core flow'!$A$15:$A$1000,$E539)),0),0))&amp;"","-"))</f>
        <v/>
      </c>
      <c r="N539" s="68" t="str">
        <f>IF(TRIM($A539)="","",IF($O539=0,IF(COUNTIFS('Card Test Cases'!$B$4:$B$1000,$A539,'Card Test Cases'!$A$4:$A$1000,"&lt;&gt;")&gt;0,"Out of Scope","No TC"),IF($Q539&gt;0,"Failed",IF(COUNTIFS('Card Test Cases'!$B$4:$B$1000,$A539,'Card Test Cases'!$A$4:$A$1000,"&lt;&gt;",'Card Test Cases'!$F$4:$F$1000,"Blocked")&gt;0,"Blocked",IF($R539&gt;0,"In Progress","Passed")))))</f>
        <v/>
      </c>
      <c r="O539" s="68" t="str">
        <f>IF(TRIM($A539)="","",COUNTIFS('Card Test Cases'!$B$4:$B$1000,$A539,'Card Test Cases'!$A$4:$A$1000,"&lt;&gt;",'Card Test Cases'!$F$4:$F$1000,"&lt;&gt;Out of Scope"))</f>
        <v/>
      </c>
      <c r="P539" s="68" t="str">
        <f>IF(TRIM($A539)="","",COUNTIFS('Card Test Cases'!$B$4:$B$1000,$A539,'Card Test Cases'!$A$4:$A$1000,"&lt;&gt;",'Card Test Cases'!$F$4:$F$1000,"Passed"))</f>
        <v/>
      </c>
      <c r="Q539" s="68" t="str">
        <f>IF(TRIM($A539)="","",COUNTIFS('Card Test Cases'!$B$4:$B$1000,$A539,'Card Test Cases'!$A$4:$A$1000,"&lt;&gt;",'Card Test Cases'!$F$4:$F$1000,"Failed"))</f>
        <v/>
      </c>
      <c r="R539" s="68" t="str">
        <f t="shared" si="8"/>
        <v/>
      </c>
      <c r="S539" s="68" t="str" cm="1">
        <f t="array" ref="S539">IF(TRIM($A539)="","",IFERROR(_xlfn.TEXTJOIN(", ",TRUE,_xlfn.UNIQUE(_xlfn.VSTACK(_xlfn._xlws.FILTER('Card Test Cases'!$G$4:$G$1000,('Card Test Cases'!$B$4:$B$1000=$A539)*('Card Test Cases'!$G$4:$G$1000&lt;&gt;""),""),_xlfn._xlws.FILTER('E2E core flow'!$U$15:$U$1000,('E2E core flow'!$A$15:$A$1000&lt;&gt;"")*ISNUMBER(SEARCH('E2E core flow'!$A$15:$A$1000,$E539))*('E2E core flow'!$U$15:$U$1000&lt;&gt;""),"")))),"-"))</f>
        <v/>
      </c>
    </row>
    <row r="540" spans="7:19" x14ac:dyDescent="0.3">
      <c r="G540" s="68" t="str" cm="1">
        <f t="array" ref="G540">_xlfn.LET(_xlpm.ids,'E2E core flow'!$A$15:$A$1000,_xlpm.v,'E2E core flow'!$W$15:$W$1000,_xlpm.m,(_xlpm.ids&lt;&gt;"")*ISNUMBER(SEARCH(_xlpm.ids,$E540)),_xlpm.f,SUM(_xlpm.m*(_xlpm.v="Failed")),_xlpm.b,SUM(_xlpm.m*(_xlpm.v="Blocked")),_xlpm.nr,SUM(_xlpm.m*(_xlpm.v="Not Run")),_xlpm.cp,SUM(_xlpm.m*(_xlpm.v="Conditionally Passed")),_xlpm.p,SUM(_xlpm.m*(_xlpm.v="Passed")),IF(TRIM($A540)="","",IF(TRIM($E540)="","Pending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40" s="68" t="str">
        <f>IF(TRIM($A540)="","",IF($J540="Passed","",IF($J540="Passed with Known Issue","Known Issue",IF($J540="",IF(OR($H540&lt;&gt;"No",AND($F540&lt;&gt;"Medium",$F540&lt;&gt;"Low")),"Pending Result",""),IF(OR($H540&lt;&gt;"No",AND($F540&lt;&gt;"Medium",$F540&lt;&gt;"Low")),IF(COUNTIFS(Dashboard!$B$105:$B$124,$A540,Dashboard!$I$105:$I$124,"CAB")&gt;0,"Accepted (CF)","Blocking"),IF($J540="Failed","Deferrable","Carry Over"))))))</f>
        <v/>
      </c>
      <c r="M540" s="68" t="str">
        <f>IF(OR(TRIM($A540)="",TRIM($E540)=""),"",IFERROR(INDEX('E2E core flow'!$B$15:$B$1000,MATCH(1,INDEX(('E2E core flow'!$A$15:$A$1000&lt;&gt;"")*ISNUMBER(SEARCH('E2E core flow'!$A$15:$A$1000,$E540)),0),0))&amp;"","-"))</f>
        <v/>
      </c>
      <c r="N540" s="68" t="str">
        <f>IF(TRIM($A540)="","",IF($O540=0,IF(COUNTIFS('Card Test Cases'!$B$4:$B$1000,$A540,'Card Test Cases'!$A$4:$A$1000,"&lt;&gt;")&gt;0,"Out of Scope","No TC"),IF($Q540&gt;0,"Failed",IF(COUNTIFS('Card Test Cases'!$B$4:$B$1000,$A540,'Card Test Cases'!$A$4:$A$1000,"&lt;&gt;",'Card Test Cases'!$F$4:$F$1000,"Blocked")&gt;0,"Blocked",IF($R540&gt;0,"In Progress","Passed")))))</f>
        <v/>
      </c>
      <c r="O540" s="68" t="str">
        <f>IF(TRIM($A540)="","",COUNTIFS('Card Test Cases'!$B$4:$B$1000,$A540,'Card Test Cases'!$A$4:$A$1000,"&lt;&gt;",'Card Test Cases'!$F$4:$F$1000,"&lt;&gt;Out of Scope"))</f>
        <v/>
      </c>
      <c r="P540" s="68" t="str">
        <f>IF(TRIM($A540)="","",COUNTIFS('Card Test Cases'!$B$4:$B$1000,$A540,'Card Test Cases'!$A$4:$A$1000,"&lt;&gt;",'Card Test Cases'!$F$4:$F$1000,"Passed"))</f>
        <v/>
      </c>
      <c r="Q540" s="68" t="str">
        <f>IF(TRIM($A540)="","",COUNTIFS('Card Test Cases'!$B$4:$B$1000,$A540,'Card Test Cases'!$A$4:$A$1000,"&lt;&gt;",'Card Test Cases'!$F$4:$F$1000,"Failed"))</f>
        <v/>
      </c>
      <c r="R540" s="68" t="str">
        <f t="shared" si="8"/>
        <v/>
      </c>
      <c r="S540" s="68" t="str" cm="1">
        <f t="array" ref="S540">IF(TRIM($A540)="","",IFERROR(_xlfn.TEXTJOIN(", ",TRUE,_xlfn.UNIQUE(_xlfn.VSTACK(_xlfn._xlws.FILTER('Card Test Cases'!$G$4:$G$1000,('Card Test Cases'!$B$4:$B$1000=$A540)*('Card Test Cases'!$G$4:$G$1000&lt;&gt;""),""),_xlfn._xlws.FILTER('E2E core flow'!$U$15:$U$1000,('E2E core flow'!$A$15:$A$1000&lt;&gt;"")*ISNUMBER(SEARCH('E2E core flow'!$A$15:$A$1000,$E540))*('E2E core flow'!$U$15:$U$1000&lt;&gt;""),"")))),"-"))</f>
        <v/>
      </c>
    </row>
    <row r="541" spans="7:19" x14ac:dyDescent="0.3">
      <c r="G541" s="68" t="str" cm="1">
        <f t="array" ref="G541">_xlfn.LET(_xlpm.ids,'E2E core flow'!$A$15:$A$1000,_xlpm.v,'E2E core flow'!$W$15:$W$1000,_xlpm.m,(_xlpm.ids&lt;&gt;"")*ISNUMBER(SEARCH(_xlpm.ids,$E541)),_xlpm.f,SUM(_xlpm.m*(_xlpm.v="Failed")),_xlpm.b,SUM(_xlpm.m*(_xlpm.v="Blocked")),_xlpm.nr,SUM(_xlpm.m*(_xlpm.v="Not Run")),_xlpm.cp,SUM(_xlpm.m*(_xlpm.v="Conditionally Passed")),_xlpm.p,SUM(_xlpm.m*(_xlpm.v="Passed")),IF(TRIM($A541)="","",IF(TRIM($E541)="","Pending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41" s="68" t="str">
        <f>IF(TRIM($A541)="","",IF($J541="Passed","",IF($J541="Passed with Known Issue","Known Issue",IF($J541="",IF(OR($H541&lt;&gt;"No",AND($F541&lt;&gt;"Medium",$F541&lt;&gt;"Low")),"Pending Result",""),IF(OR($H541&lt;&gt;"No",AND($F541&lt;&gt;"Medium",$F541&lt;&gt;"Low")),IF(COUNTIFS(Dashboard!$B$105:$B$124,$A541,Dashboard!$I$105:$I$124,"CAB")&gt;0,"Accepted (CF)","Blocking"),IF($J541="Failed","Deferrable","Carry Over"))))))</f>
        <v/>
      </c>
      <c r="M541" s="68" t="str">
        <f>IF(OR(TRIM($A541)="",TRIM($E541)=""),"",IFERROR(INDEX('E2E core flow'!$B$15:$B$1000,MATCH(1,INDEX(('E2E core flow'!$A$15:$A$1000&lt;&gt;"")*ISNUMBER(SEARCH('E2E core flow'!$A$15:$A$1000,$E541)),0),0))&amp;"","-"))</f>
        <v/>
      </c>
      <c r="N541" s="68" t="str">
        <f>IF(TRIM($A541)="","",IF($O541=0,IF(COUNTIFS('Card Test Cases'!$B$4:$B$1000,$A541,'Card Test Cases'!$A$4:$A$1000,"&lt;&gt;")&gt;0,"Out of Scope","No TC"),IF($Q541&gt;0,"Failed",IF(COUNTIFS('Card Test Cases'!$B$4:$B$1000,$A541,'Card Test Cases'!$A$4:$A$1000,"&lt;&gt;",'Card Test Cases'!$F$4:$F$1000,"Blocked")&gt;0,"Blocked",IF($R541&gt;0,"In Progress","Passed")))))</f>
        <v/>
      </c>
      <c r="O541" s="68" t="str">
        <f>IF(TRIM($A541)="","",COUNTIFS('Card Test Cases'!$B$4:$B$1000,$A541,'Card Test Cases'!$A$4:$A$1000,"&lt;&gt;",'Card Test Cases'!$F$4:$F$1000,"&lt;&gt;Out of Scope"))</f>
        <v/>
      </c>
      <c r="P541" s="68" t="str">
        <f>IF(TRIM($A541)="","",COUNTIFS('Card Test Cases'!$B$4:$B$1000,$A541,'Card Test Cases'!$A$4:$A$1000,"&lt;&gt;",'Card Test Cases'!$F$4:$F$1000,"Passed"))</f>
        <v/>
      </c>
      <c r="Q541" s="68" t="str">
        <f>IF(TRIM($A541)="","",COUNTIFS('Card Test Cases'!$B$4:$B$1000,$A541,'Card Test Cases'!$A$4:$A$1000,"&lt;&gt;",'Card Test Cases'!$F$4:$F$1000,"Failed"))</f>
        <v/>
      </c>
      <c r="R541" s="68" t="str">
        <f t="shared" si="8"/>
        <v/>
      </c>
      <c r="S541" s="68" t="str" cm="1">
        <f t="array" ref="S541">IF(TRIM($A541)="","",IFERROR(_xlfn.TEXTJOIN(", ",TRUE,_xlfn.UNIQUE(_xlfn.VSTACK(_xlfn._xlws.FILTER('Card Test Cases'!$G$4:$G$1000,('Card Test Cases'!$B$4:$B$1000=$A541)*('Card Test Cases'!$G$4:$G$1000&lt;&gt;""),""),_xlfn._xlws.FILTER('E2E core flow'!$U$15:$U$1000,('E2E core flow'!$A$15:$A$1000&lt;&gt;"")*ISNUMBER(SEARCH('E2E core flow'!$A$15:$A$1000,$E541))*('E2E core flow'!$U$15:$U$1000&lt;&gt;""),"")))),"-"))</f>
        <v/>
      </c>
    </row>
    <row r="542" spans="7:19" x14ac:dyDescent="0.3">
      <c r="G542" s="68" t="str" cm="1">
        <f t="array" ref="G542">_xlfn.LET(_xlpm.ids,'E2E core flow'!$A$15:$A$1000,_xlpm.v,'E2E core flow'!$W$15:$W$1000,_xlpm.m,(_xlpm.ids&lt;&gt;"")*ISNUMBER(SEARCH(_xlpm.ids,$E542)),_xlpm.f,SUM(_xlpm.m*(_xlpm.v="Failed")),_xlpm.b,SUM(_xlpm.m*(_xlpm.v="Blocked")),_xlpm.nr,SUM(_xlpm.m*(_xlpm.v="Not Run")),_xlpm.cp,SUM(_xlpm.m*(_xlpm.v="Conditionally Passed")),_xlpm.p,SUM(_xlpm.m*(_xlpm.v="Passed")),IF(TRIM($A542)="","",IF(TRIM($E542)="","Pending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42" s="68" t="str">
        <f>IF(TRIM($A542)="","",IF($J542="Passed","",IF($J542="Passed with Known Issue","Known Issue",IF($J542="",IF(OR($H542&lt;&gt;"No",AND($F542&lt;&gt;"Medium",$F542&lt;&gt;"Low")),"Pending Result",""),IF(OR($H542&lt;&gt;"No",AND($F542&lt;&gt;"Medium",$F542&lt;&gt;"Low")),IF(COUNTIFS(Dashboard!$B$105:$B$124,$A542,Dashboard!$I$105:$I$124,"CAB")&gt;0,"Accepted (CF)","Blocking"),IF($J542="Failed","Deferrable","Carry Over"))))))</f>
        <v/>
      </c>
      <c r="M542" s="68" t="str">
        <f>IF(OR(TRIM($A542)="",TRIM($E542)=""),"",IFERROR(INDEX('E2E core flow'!$B$15:$B$1000,MATCH(1,INDEX(('E2E core flow'!$A$15:$A$1000&lt;&gt;"")*ISNUMBER(SEARCH('E2E core flow'!$A$15:$A$1000,$E542)),0),0))&amp;"","-"))</f>
        <v/>
      </c>
      <c r="N542" s="68" t="str">
        <f>IF(TRIM($A542)="","",IF($O542=0,IF(COUNTIFS('Card Test Cases'!$B$4:$B$1000,$A542,'Card Test Cases'!$A$4:$A$1000,"&lt;&gt;")&gt;0,"Out of Scope","No TC"),IF($Q542&gt;0,"Failed",IF(COUNTIFS('Card Test Cases'!$B$4:$B$1000,$A542,'Card Test Cases'!$A$4:$A$1000,"&lt;&gt;",'Card Test Cases'!$F$4:$F$1000,"Blocked")&gt;0,"Blocked",IF($R542&gt;0,"In Progress","Passed")))))</f>
        <v/>
      </c>
      <c r="O542" s="68" t="str">
        <f>IF(TRIM($A542)="","",COUNTIFS('Card Test Cases'!$B$4:$B$1000,$A542,'Card Test Cases'!$A$4:$A$1000,"&lt;&gt;",'Card Test Cases'!$F$4:$F$1000,"&lt;&gt;Out of Scope"))</f>
        <v/>
      </c>
      <c r="P542" s="68" t="str">
        <f>IF(TRIM($A542)="","",COUNTIFS('Card Test Cases'!$B$4:$B$1000,$A542,'Card Test Cases'!$A$4:$A$1000,"&lt;&gt;",'Card Test Cases'!$F$4:$F$1000,"Passed"))</f>
        <v/>
      </c>
      <c r="Q542" s="68" t="str">
        <f>IF(TRIM($A542)="","",COUNTIFS('Card Test Cases'!$B$4:$B$1000,$A542,'Card Test Cases'!$A$4:$A$1000,"&lt;&gt;",'Card Test Cases'!$F$4:$F$1000,"Failed"))</f>
        <v/>
      </c>
      <c r="R542" s="68" t="str">
        <f t="shared" si="8"/>
        <v/>
      </c>
      <c r="S542" s="68" t="str" cm="1">
        <f t="array" ref="S542">IF(TRIM($A542)="","",IFERROR(_xlfn.TEXTJOIN(", ",TRUE,_xlfn.UNIQUE(_xlfn.VSTACK(_xlfn._xlws.FILTER('Card Test Cases'!$G$4:$G$1000,('Card Test Cases'!$B$4:$B$1000=$A542)*('Card Test Cases'!$G$4:$G$1000&lt;&gt;""),""),_xlfn._xlws.FILTER('E2E core flow'!$U$15:$U$1000,('E2E core flow'!$A$15:$A$1000&lt;&gt;"")*ISNUMBER(SEARCH('E2E core flow'!$A$15:$A$1000,$E542))*('E2E core flow'!$U$15:$U$1000&lt;&gt;""),"")))),"-"))</f>
        <v/>
      </c>
    </row>
    <row r="543" spans="7:19" x14ac:dyDescent="0.3">
      <c r="G543" s="68" t="str" cm="1">
        <f t="array" ref="G543">_xlfn.LET(_xlpm.ids,'E2E core flow'!$A$15:$A$1000,_xlpm.v,'E2E core flow'!$W$15:$W$1000,_xlpm.m,(_xlpm.ids&lt;&gt;"")*ISNUMBER(SEARCH(_xlpm.ids,$E543)),_xlpm.f,SUM(_xlpm.m*(_xlpm.v="Failed")),_xlpm.b,SUM(_xlpm.m*(_xlpm.v="Blocked")),_xlpm.nr,SUM(_xlpm.m*(_xlpm.v="Not Run")),_xlpm.cp,SUM(_xlpm.m*(_xlpm.v="Conditionally Passed")),_xlpm.p,SUM(_xlpm.m*(_xlpm.v="Passed")),IF(TRIM($A543)="","",IF(TRIM($E543)="","Pending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43" s="68" t="str">
        <f>IF(TRIM($A543)="","",IF($J543="Passed","",IF($J543="Passed with Known Issue","Known Issue",IF($J543="",IF(OR($H543&lt;&gt;"No",AND($F543&lt;&gt;"Medium",$F543&lt;&gt;"Low")),"Pending Result",""),IF(OR($H543&lt;&gt;"No",AND($F543&lt;&gt;"Medium",$F543&lt;&gt;"Low")),IF(COUNTIFS(Dashboard!$B$105:$B$124,$A543,Dashboard!$I$105:$I$124,"CAB")&gt;0,"Accepted (CF)","Blocking"),IF($J543="Failed","Deferrable","Carry Over"))))))</f>
        <v/>
      </c>
      <c r="M543" s="68" t="str">
        <f>IF(OR(TRIM($A543)="",TRIM($E543)=""),"",IFERROR(INDEX('E2E core flow'!$B$15:$B$1000,MATCH(1,INDEX(('E2E core flow'!$A$15:$A$1000&lt;&gt;"")*ISNUMBER(SEARCH('E2E core flow'!$A$15:$A$1000,$E543)),0),0))&amp;"","-"))</f>
        <v/>
      </c>
      <c r="N543" s="68" t="str">
        <f>IF(TRIM($A543)="","",IF($O543=0,IF(COUNTIFS('Card Test Cases'!$B$4:$B$1000,$A543,'Card Test Cases'!$A$4:$A$1000,"&lt;&gt;")&gt;0,"Out of Scope","No TC"),IF($Q543&gt;0,"Failed",IF(COUNTIFS('Card Test Cases'!$B$4:$B$1000,$A543,'Card Test Cases'!$A$4:$A$1000,"&lt;&gt;",'Card Test Cases'!$F$4:$F$1000,"Blocked")&gt;0,"Blocked",IF($R543&gt;0,"In Progress","Passed")))))</f>
        <v/>
      </c>
      <c r="O543" s="68" t="str">
        <f>IF(TRIM($A543)="","",COUNTIFS('Card Test Cases'!$B$4:$B$1000,$A543,'Card Test Cases'!$A$4:$A$1000,"&lt;&gt;",'Card Test Cases'!$F$4:$F$1000,"&lt;&gt;Out of Scope"))</f>
        <v/>
      </c>
      <c r="P543" s="68" t="str">
        <f>IF(TRIM($A543)="","",COUNTIFS('Card Test Cases'!$B$4:$B$1000,$A543,'Card Test Cases'!$A$4:$A$1000,"&lt;&gt;",'Card Test Cases'!$F$4:$F$1000,"Passed"))</f>
        <v/>
      </c>
      <c r="Q543" s="68" t="str">
        <f>IF(TRIM($A543)="","",COUNTIFS('Card Test Cases'!$B$4:$B$1000,$A543,'Card Test Cases'!$A$4:$A$1000,"&lt;&gt;",'Card Test Cases'!$F$4:$F$1000,"Failed"))</f>
        <v/>
      </c>
      <c r="R543" s="68" t="str">
        <f t="shared" si="8"/>
        <v/>
      </c>
      <c r="S543" s="68" t="str" cm="1">
        <f t="array" ref="S543">IF(TRIM($A543)="","",IFERROR(_xlfn.TEXTJOIN(", ",TRUE,_xlfn.UNIQUE(_xlfn.VSTACK(_xlfn._xlws.FILTER('Card Test Cases'!$G$4:$G$1000,('Card Test Cases'!$B$4:$B$1000=$A543)*('Card Test Cases'!$G$4:$G$1000&lt;&gt;""),""),_xlfn._xlws.FILTER('E2E core flow'!$U$15:$U$1000,('E2E core flow'!$A$15:$A$1000&lt;&gt;"")*ISNUMBER(SEARCH('E2E core flow'!$A$15:$A$1000,$E543))*('E2E core flow'!$U$15:$U$1000&lt;&gt;""),"")))),"-"))</f>
        <v/>
      </c>
    </row>
    <row r="544" spans="7:19" x14ac:dyDescent="0.3">
      <c r="G544" s="68" t="str" cm="1">
        <f t="array" ref="G544">_xlfn.LET(_xlpm.ids,'E2E core flow'!$A$15:$A$1000,_xlpm.v,'E2E core flow'!$W$15:$W$1000,_xlpm.m,(_xlpm.ids&lt;&gt;"")*ISNUMBER(SEARCH(_xlpm.ids,$E544)),_xlpm.f,SUM(_xlpm.m*(_xlpm.v="Failed")),_xlpm.b,SUM(_xlpm.m*(_xlpm.v="Blocked")),_xlpm.nr,SUM(_xlpm.m*(_xlpm.v="Not Run")),_xlpm.cp,SUM(_xlpm.m*(_xlpm.v="Conditionally Passed")),_xlpm.p,SUM(_xlpm.m*(_xlpm.v="Passed")),IF(TRIM($A544)="","",IF(TRIM($E544)="","Pending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44" s="68" t="str">
        <f>IF(TRIM($A544)="","",IF($J544="Passed","",IF($J544="Passed with Known Issue","Known Issue",IF($J544="",IF(OR($H544&lt;&gt;"No",AND($F544&lt;&gt;"Medium",$F544&lt;&gt;"Low")),"Pending Result",""),IF(OR($H544&lt;&gt;"No",AND($F544&lt;&gt;"Medium",$F544&lt;&gt;"Low")),IF(COUNTIFS(Dashboard!$B$105:$B$124,$A544,Dashboard!$I$105:$I$124,"CAB")&gt;0,"Accepted (CF)","Blocking"),IF($J544="Failed","Deferrable","Carry Over"))))))</f>
        <v/>
      </c>
      <c r="M544" s="68" t="str">
        <f>IF(OR(TRIM($A544)="",TRIM($E544)=""),"",IFERROR(INDEX('E2E core flow'!$B$15:$B$1000,MATCH(1,INDEX(('E2E core flow'!$A$15:$A$1000&lt;&gt;"")*ISNUMBER(SEARCH('E2E core flow'!$A$15:$A$1000,$E544)),0),0))&amp;"","-"))</f>
        <v/>
      </c>
      <c r="N544" s="68" t="str">
        <f>IF(TRIM($A544)="","",IF($O544=0,IF(COUNTIFS('Card Test Cases'!$B$4:$B$1000,$A544,'Card Test Cases'!$A$4:$A$1000,"&lt;&gt;")&gt;0,"Out of Scope","No TC"),IF($Q544&gt;0,"Failed",IF(COUNTIFS('Card Test Cases'!$B$4:$B$1000,$A544,'Card Test Cases'!$A$4:$A$1000,"&lt;&gt;",'Card Test Cases'!$F$4:$F$1000,"Blocked")&gt;0,"Blocked",IF($R544&gt;0,"In Progress","Passed")))))</f>
        <v/>
      </c>
      <c r="O544" s="68" t="str">
        <f>IF(TRIM($A544)="","",COUNTIFS('Card Test Cases'!$B$4:$B$1000,$A544,'Card Test Cases'!$A$4:$A$1000,"&lt;&gt;",'Card Test Cases'!$F$4:$F$1000,"&lt;&gt;Out of Scope"))</f>
        <v/>
      </c>
      <c r="P544" s="68" t="str">
        <f>IF(TRIM($A544)="","",COUNTIFS('Card Test Cases'!$B$4:$B$1000,$A544,'Card Test Cases'!$A$4:$A$1000,"&lt;&gt;",'Card Test Cases'!$F$4:$F$1000,"Passed"))</f>
        <v/>
      </c>
      <c r="Q544" s="68" t="str">
        <f>IF(TRIM($A544)="","",COUNTIFS('Card Test Cases'!$B$4:$B$1000,$A544,'Card Test Cases'!$A$4:$A$1000,"&lt;&gt;",'Card Test Cases'!$F$4:$F$1000,"Failed"))</f>
        <v/>
      </c>
      <c r="R544" s="68" t="str">
        <f t="shared" si="8"/>
        <v/>
      </c>
      <c r="S544" s="68" t="str" cm="1">
        <f t="array" ref="S544">IF(TRIM($A544)="","",IFERROR(_xlfn.TEXTJOIN(", ",TRUE,_xlfn.UNIQUE(_xlfn.VSTACK(_xlfn._xlws.FILTER('Card Test Cases'!$G$4:$G$1000,('Card Test Cases'!$B$4:$B$1000=$A544)*('Card Test Cases'!$G$4:$G$1000&lt;&gt;""),""),_xlfn._xlws.FILTER('E2E core flow'!$U$15:$U$1000,('E2E core flow'!$A$15:$A$1000&lt;&gt;"")*ISNUMBER(SEARCH('E2E core flow'!$A$15:$A$1000,$E544))*('E2E core flow'!$U$15:$U$1000&lt;&gt;""),"")))),"-"))</f>
        <v/>
      </c>
    </row>
    <row r="545" spans="7:19" x14ac:dyDescent="0.3">
      <c r="G545" s="68" t="str" cm="1">
        <f t="array" ref="G545">_xlfn.LET(_xlpm.ids,'E2E core flow'!$A$15:$A$1000,_xlpm.v,'E2E core flow'!$W$15:$W$1000,_xlpm.m,(_xlpm.ids&lt;&gt;"")*ISNUMBER(SEARCH(_xlpm.ids,$E545)),_xlpm.f,SUM(_xlpm.m*(_xlpm.v="Failed")),_xlpm.b,SUM(_xlpm.m*(_xlpm.v="Blocked")),_xlpm.nr,SUM(_xlpm.m*(_xlpm.v="Not Run")),_xlpm.cp,SUM(_xlpm.m*(_xlpm.v="Conditionally Passed")),_xlpm.p,SUM(_xlpm.m*(_xlpm.v="Passed")),IF(TRIM($A545)="","",IF(TRIM($E545)="","Pending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45" s="68" t="str">
        <f>IF(TRIM($A545)="","",IF($J545="Passed","",IF($J545="Passed with Known Issue","Known Issue",IF($J545="",IF(OR($H545&lt;&gt;"No",AND($F545&lt;&gt;"Medium",$F545&lt;&gt;"Low")),"Pending Result",""),IF(OR($H545&lt;&gt;"No",AND($F545&lt;&gt;"Medium",$F545&lt;&gt;"Low")),IF(COUNTIFS(Dashboard!$B$105:$B$124,$A545,Dashboard!$I$105:$I$124,"CAB")&gt;0,"Accepted (CF)","Blocking"),IF($J545="Failed","Deferrable","Carry Over"))))))</f>
        <v/>
      </c>
      <c r="M545" s="68" t="str">
        <f>IF(OR(TRIM($A545)="",TRIM($E545)=""),"",IFERROR(INDEX('E2E core flow'!$B$15:$B$1000,MATCH(1,INDEX(('E2E core flow'!$A$15:$A$1000&lt;&gt;"")*ISNUMBER(SEARCH('E2E core flow'!$A$15:$A$1000,$E545)),0),0))&amp;"","-"))</f>
        <v/>
      </c>
      <c r="N545" s="68" t="str">
        <f>IF(TRIM($A545)="","",IF($O545=0,IF(COUNTIFS('Card Test Cases'!$B$4:$B$1000,$A545,'Card Test Cases'!$A$4:$A$1000,"&lt;&gt;")&gt;0,"Out of Scope","No TC"),IF($Q545&gt;0,"Failed",IF(COUNTIFS('Card Test Cases'!$B$4:$B$1000,$A545,'Card Test Cases'!$A$4:$A$1000,"&lt;&gt;",'Card Test Cases'!$F$4:$F$1000,"Blocked")&gt;0,"Blocked",IF($R545&gt;0,"In Progress","Passed")))))</f>
        <v/>
      </c>
      <c r="O545" s="68" t="str">
        <f>IF(TRIM($A545)="","",COUNTIFS('Card Test Cases'!$B$4:$B$1000,$A545,'Card Test Cases'!$A$4:$A$1000,"&lt;&gt;",'Card Test Cases'!$F$4:$F$1000,"&lt;&gt;Out of Scope"))</f>
        <v/>
      </c>
      <c r="P545" s="68" t="str">
        <f>IF(TRIM($A545)="","",COUNTIFS('Card Test Cases'!$B$4:$B$1000,$A545,'Card Test Cases'!$A$4:$A$1000,"&lt;&gt;",'Card Test Cases'!$F$4:$F$1000,"Passed"))</f>
        <v/>
      </c>
      <c r="Q545" s="68" t="str">
        <f>IF(TRIM($A545)="","",COUNTIFS('Card Test Cases'!$B$4:$B$1000,$A545,'Card Test Cases'!$A$4:$A$1000,"&lt;&gt;",'Card Test Cases'!$F$4:$F$1000,"Failed"))</f>
        <v/>
      </c>
      <c r="R545" s="68" t="str">
        <f t="shared" si="8"/>
        <v/>
      </c>
      <c r="S545" s="68" t="str" cm="1">
        <f t="array" ref="S545">IF(TRIM($A545)="","",IFERROR(_xlfn.TEXTJOIN(", ",TRUE,_xlfn.UNIQUE(_xlfn.VSTACK(_xlfn._xlws.FILTER('Card Test Cases'!$G$4:$G$1000,('Card Test Cases'!$B$4:$B$1000=$A545)*('Card Test Cases'!$G$4:$G$1000&lt;&gt;""),""),_xlfn._xlws.FILTER('E2E core flow'!$U$15:$U$1000,('E2E core flow'!$A$15:$A$1000&lt;&gt;"")*ISNUMBER(SEARCH('E2E core flow'!$A$15:$A$1000,$E545))*('E2E core flow'!$U$15:$U$1000&lt;&gt;""),"")))),"-"))</f>
        <v/>
      </c>
    </row>
    <row r="546" spans="7:19" x14ac:dyDescent="0.3">
      <c r="G546" s="68" t="str" cm="1">
        <f t="array" ref="G546">_xlfn.LET(_xlpm.ids,'E2E core flow'!$A$15:$A$1000,_xlpm.v,'E2E core flow'!$W$15:$W$1000,_xlpm.m,(_xlpm.ids&lt;&gt;"")*ISNUMBER(SEARCH(_xlpm.ids,$E546)),_xlpm.f,SUM(_xlpm.m*(_xlpm.v="Failed")),_xlpm.b,SUM(_xlpm.m*(_xlpm.v="Blocked")),_xlpm.nr,SUM(_xlpm.m*(_xlpm.v="Not Run")),_xlpm.cp,SUM(_xlpm.m*(_xlpm.v="Conditionally Passed")),_xlpm.p,SUM(_xlpm.m*(_xlpm.v="Passed")),IF(TRIM($A546)="","",IF(TRIM($E546)="","Pending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46" s="68" t="str">
        <f>IF(TRIM($A546)="","",IF($J546="Passed","",IF($J546="Passed with Known Issue","Known Issue",IF($J546="",IF(OR($H546&lt;&gt;"No",AND($F546&lt;&gt;"Medium",$F546&lt;&gt;"Low")),"Pending Result",""),IF(OR($H546&lt;&gt;"No",AND($F546&lt;&gt;"Medium",$F546&lt;&gt;"Low")),IF(COUNTIFS(Dashboard!$B$105:$B$124,$A546,Dashboard!$I$105:$I$124,"CAB")&gt;0,"Accepted (CF)","Blocking"),IF($J546="Failed","Deferrable","Carry Over"))))))</f>
        <v/>
      </c>
      <c r="M546" s="68" t="str">
        <f>IF(OR(TRIM($A546)="",TRIM($E546)=""),"",IFERROR(INDEX('E2E core flow'!$B$15:$B$1000,MATCH(1,INDEX(('E2E core flow'!$A$15:$A$1000&lt;&gt;"")*ISNUMBER(SEARCH('E2E core flow'!$A$15:$A$1000,$E546)),0),0))&amp;"","-"))</f>
        <v/>
      </c>
      <c r="N546" s="68" t="str">
        <f>IF(TRIM($A546)="","",IF($O546=0,IF(COUNTIFS('Card Test Cases'!$B$4:$B$1000,$A546,'Card Test Cases'!$A$4:$A$1000,"&lt;&gt;")&gt;0,"Out of Scope","No TC"),IF($Q546&gt;0,"Failed",IF(COUNTIFS('Card Test Cases'!$B$4:$B$1000,$A546,'Card Test Cases'!$A$4:$A$1000,"&lt;&gt;",'Card Test Cases'!$F$4:$F$1000,"Blocked")&gt;0,"Blocked",IF($R546&gt;0,"In Progress","Passed")))))</f>
        <v/>
      </c>
      <c r="O546" s="68" t="str">
        <f>IF(TRIM($A546)="","",COUNTIFS('Card Test Cases'!$B$4:$B$1000,$A546,'Card Test Cases'!$A$4:$A$1000,"&lt;&gt;",'Card Test Cases'!$F$4:$F$1000,"&lt;&gt;Out of Scope"))</f>
        <v/>
      </c>
      <c r="P546" s="68" t="str">
        <f>IF(TRIM($A546)="","",COUNTIFS('Card Test Cases'!$B$4:$B$1000,$A546,'Card Test Cases'!$A$4:$A$1000,"&lt;&gt;",'Card Test Cases'!$F$4:$F$1000,"Passed"))</f>
        <v/>
      </c>
      <c r="Q546" s="68" t="str">
        <f>IF(TRIM($A546)="","",COUNTIFS('Card Test Cases'!$B$4:$B$1000,$A546,'Card Test Cases'!$A$4:$A$1000,"&lt;&gt;",'Card Test Cases'!$F$4:$F$1000,"Failed"))</f>
        <v/>
      </c>
      <c r="R546" s="68" t="str">
        <f t="shared" si="8"/>
        <v/>
      </c>
      <c r="S546" s="68" t="str" cm="1">
        <f t="array" ref="S546">IF(TRIM($A546)="","",IFERROR(_xlfn.TEXTJOIN(", ",TRUE,_xlfn.UNIQUE(_xlfn.VSTACK(_xlfn._xlws.FILTER('Card Test Cases'!$G$4:$G$1000,('Card Test Cases'!$B$4:$B$1000=$A546)*('Card Test Cases'!$G$4:$G$1000&lt;&gt;""),""),_xlfn._xlws.FILTER('E2E core flow'!$U$15:$U$1000,('E2E core flow'!$A$15:$A$1000&lt;&gt;"")*ISNUMBER(SEARCH('E2E core flow'!$A$15:$A$1000,$E546))*('E2E core flow'!$U$15:$U$1000&lt;&gt;""),"")))),"-"))</f>
        <v/>
      </c>
    </row>
    <row r="547" spans="7:19" x14ac:dyDescent="0.3">
      <c r="G547" s="68" t="str" cm="1">
        <f t="array" ref="G547">_xlfn.LET(_xlpm.ids,'E2E core flow'!$A$15:$A$1000,_xlpm.v,'E2E core flow'!$W$15:$W$1000,_xlpm.m,(_xlpm.ids&lt;&gt;"")*ISNUMBER(SEARCH(_xlpm.ids,$E547)),_xlpm.f,SUM(_xlpm.m*(_xlpm.v="Failed")),_xlpm.b,SUM(_xlpm.m*(_xlpm.v="Blocked")),_xlpm.nr,SUM(_xlpm.m*(_xlpm.v="Not Run")),_xlpm.cp,SUM(_xlpm.m*(_xlpm.v="Conditionally Passed")),_xlpm.p,SUM(_xlpm.m*(_xlpm.v="Passed")),IF(TRIM($A547)="","",IF(TRIM($E547)="","Pending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47" s="68" t="str">
        <f>IF(TRIM($A547)="","",IF($J547="Passed","",IF($J547="Passed with Known Issue","Known Issue",IF($J547="",IF(OR($H547&lt;&gt;"No",AND($F547&lt;&gt;"Medium",$F547&lt;&gt;"Low")),"Pending Result",""),IF(OR($H547&lt;&gt;"No",AND($F547&lt;&gt;"Medium",$F547&lt;&gt;"Low")),IF(COUNTIFS(Dashboard!$B$105:$B$124,$A547,Dashboard!$I$105:$I$124,"CAB")&gt;0,"Accepted (CF)","Blocking"),IF($J547="Failed","Deferrable","Carry Over"))))))</f>
        <v/>
      </c>
      <c r="M547" s="68" t="str">
        <f>IF(OR(TRIM($A547)="",TRIM($E547)=""),"",IFERROR(INDEX('E2E core flow'!$B$15:$B$1000,MATCH(1,INDEX(('E2E core flow'!$A$15:$A$1000&lt;&gt;"")*ISNUMBER(SEARCH('E2E core flow'!$A$15:$A$1000,$E547)),0),0))&amp;"","-"))</f>
        <v/>
      </c>
      <c r="N547" s="68" t="str">
        <f>IF(TRIM($A547)="","",IF($O547=0,IF(COUNTIFS('Card Test Cases'!$B$4:$B$1000,$A547,'Card Test Cases'!$A$4:$A$1000,"&lt;&gt;")&gt;0,"Out of Scope","No TC"),IF($Q547&gt;0,"Failed",IF(COUNTIFS('Card Test Cases'!$B$4:$B$1000,$A547,'Card Test Cases'!$A$4:$A$1000,"&lt;&gt;",'Card Test Cases'!$F$4:$F$1000,"Blocked")&gt;0,"Blocked",IF($R547&gt;0,"In Progress","Passed")))))</f>
        <v/>
      </c>
      <c r="O547" s="68" t="str">
        <f>IF(TRIM($A547)="","",COUNTIFS('Card Test Cases'!$B$4:$B$1000,$A547,'Card Test Cases'!$A$4:$A$1000,"&lt;&gt;",'Card Test Cases'!$F$4:$F$1000,"&lt;&gt;Out of Scope"))</f>
        <v/>
      </c>
      <c r="P547" s="68" t="str">
        <f>IF(TRIM($A547)="","",COUNTIFS('Card Test Cases'!$B$4:$B$1000,$A547,'Card Test Cases'!$A$4:$A$1000,"&lt;&gt;",'Card Test Cases'!$F$4:$F$1000,"Passed"))</f>
        <v/>
      </c>
      <c r="Q547" s="68" t="str">
        <f>IF(TRIM($A547)="","",COUNTIFS('Card Test Cases'!$B$4:$B$1000,$A547,'Card Test Cases'!$A$4:$A$1000,"&lt;&gt;",'Card Test Cases'!$F$4:$F$1000,"Failed"))</f>
        <v/>
      </c>
      <c r="R547" s="68" t="str">
        <f t="shared" si="8"/>
        <v/>
      </c>
      <c r="S547" s="68" t="str" cm="1">
        <f t="array" ref="S547">IF(TRIM($A547)="","",IFERROR(_xlfn.TEXTJOIN(", ",TRUE,_xlfn.UNIQUE(_xlfn.VSTACK(_xlfn._xlws.FILTER('Card Test Cases'!$G$4:$G$1000,('Card Test Cases'!$B$4:$B$1000=$A547)*('Card Test Cases'!$G$4:$G$1000&lt;&gt;""),""),_xlfn._xlws.FILTER('E2E core flow'!$U$15:$U$1000,('E2E core flow'!$A$15:$A$1000&lt;&gt;"")*ISNUMBER(SEARCH('E2E core flow'!$A$15:$A$1000,$E547))*('E2E core flow'!$U$15:$U$1000&lt;&gt;""),"")))),"-"))</f>
        <v/>
      </c>
    </row>
    <row r="548" spans="7:19" x14ac:dyDescent="0.3">
      <c r="G548" s="68" t="str" cm="1">
        <f t="array" ref="G548">_xlfn.LET(_xlpm.ids,'E2E core flow'!$A$15:$A$1000,_xlpm.v,'E2E core flow'!$W$15:$W$1000,_xlpm.m,(_xlpm.ids&lt;&gt;"")*ISNUMBER(SEARCH(_xlpm.ids,$E548)),_xlpm.f,SUM(_xlpm.m*(_xlpm.v="Failed")),_xlpm.b,SUM(_xlpm.m*(_xlpm.v="Blocked")),_xlpm.nr,SUM(_xlpm.m*(_xlpm.v="Not Run")),_xlpm.cp,SUM(_xlpm.m*(_xlpm.v="Conditionally Passed")),_xlpm.p,SUM(_xlpm.m*(_xlpm.v="Passed")),IF(TRIM($A548)="","",IF(TRIM($E548)="","Pending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48" s="68" t="str">
        <f>IF(TRIM($A548)="","",IF($J548="Passed","",IF($J548="Passed with Known Issue","Known Issue",IF($J548="",IF(OR($H548&lt;&gt;"No",AND($F548&lt;&gt;"Medium",$F548&lt;&gt;"Low")),"Pending Result",""),IF(OR($H548&lt;&gt;"No",AND($F548&lt;&gt;"Medium",$F548&lt;&gt;"Low")),IF(COUNTIFS(Dashboard!$B$105:$B$124,$A548,Dashboard!$I$105:$I$124,"CAB")&gt;0,"Accepted (CF)","Blocking"),IF($J548="Failed","Deferrable","Carry Over"))))))</f>
        <v/>
      </c>
      <c r="M548" s="68" t="str">
        <f>IF(OR(TRIM($A548)="",TRIM($E548)=""),"",IFERROR(INDEX('E2E core flow'!$B$15:$B$1000,MATCH(1,INDEX(('E2E core flow'!$A$15:$A$1000&lt;&gt;"")*ISNUMBER(SEARCH('E2E core flow'!$A$15:$A$1000,$E548)),0),0))&amp;"","-"))</f>
        <v/>
      </c>
      <c r="N548" s="68" t="str">
        <f>IF(TRIM($A548)="","",IF($O548=0,IF(COUNTIFS('Card Test Cases'!$B$4:$B$1000,$A548,'Card Test Cases'!$A$4:$A$1000,"&lt;&gt;")&gt;0,"Out of Scope","No TC"),IF($Q548&gt;0,"Failed",IF(COUNTIFS('Card Test Cases'!$B$4:$B$1000,$A548,'Card Test Cases'!$A$4:$A$1000,"&lt;&gt;",'Card Test Cases'!$F$4:$F$1000,"Blocked")&gt;0,"Blocked",IF($R548&gt;0,"In Progress","Passed")))))</f>
        <v/>
      </c>
      <c r="O548" s="68" t="str">
        <f>IF(TRIM($A548)="","",COUNTIFS('Card Test Cases'!$B$4:$B$1000,$A548,'Card Test Cases'!$A$4:$A$1000,"&lt;&gt;",'Card Test Cases'!$F$4:$F$1000,"&lt;&gt;Out of Scope"))</f>
        <v/>
      </c>
      <c r="P548" s="68" t="str">
        <f>IF(TRIM($A548)="","",COUNTIFS('Card Test Cases'!$B$4:$B$1000,$A548,'Card Test Cases'!$A$4:$A$1000,"&lt;&gt;",'Card Test Cases'!$F$4:$F$1000,"Passed"))</f>
        <v/>
      </c>
      <c r="Q548" s="68" t="str">
        <f>IF(TRIM($A548)="","",COUNTIFS('Card Test Cases'!$B$4:$B$1000,$A548,'Card Test Cases'!$A$4:$A$1000,"&lt;&gt;",'Card Test Cases'!$F$4:$F$1000,"Failed"))</f>
        <v/>
      </c>
      <c r="R548" s="68" t="str">
        <f t="shared" si="8"/>
        <v/>
      </c>
      <c r="S548" s="68" t="str" cm="1">
        <f t="array" ref="S548">IF(TRIM($A548)="","",IFERROR(_xlfn.TEXTJOIN(", ",TRUE,_xlfn.UNIQUE(_xlfn.VSTACK(_xlfn._xlws.FILTER('Card Test Cases'!$G$4:$G$1000,('Card Test Cases'!$B$4:$B$1000=$A548)*('Card Test Cases'!$G$4:$G$1000&lt;&gt;""),""),_xlfn._xlws.FILTER('E2E core flow'!$U$15:$U$1000,('E2E core flow'!$A$15:$A$1000&lt;&gt;"")*ISNUMBER(SEARCH('E2E core flow'!$A$15:$A$1000,$E548))*('E2E core flow'!$U$15:$U$1000&lt;&gt;""),"")))),"-"))</f>
        <v/>
      </c>
    </row>
    <row r="549" spans="7:19" x14ac:dyDescent="0.3">
      <c r="G549" s="68" t="str" cm="1">
        <f t="array" ref="G549">_xlfn.LET(_xlpm.ids,'E2E core flow'!$A$15:$A$1000,_xlpm.v,'E2E core flow'!$W$15:$W$1000,_xlpm.m,(_xlpm.ids&lt;&gt;"")*ISNUMBER(SEARCH(_xlpm.ids,$E549)),_xlpm.f,SUM(_xlpm.m*(_xlpm.v="Failed")),_xlpm.b,SUM(_xlpm.m*(_xlpm.v="Blocked")),_xlpm.nr,SUM(_xlpm.m*(_xlpm.v="Not Run")),_xlpm.cp,SUM(_xlpm.m*(_xlpm.v="Conditionally Passed")),_xlpm.p,SUM(_xlpm.m*(_xlpm.v="Passed")),IF(TRIM($A549)="","",IF(TRIM($E549)="","Pending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49" s="68" t="str">
        <f>IF(TRIM($A549)="","",IF($J549="Passed","",IF($J549="Passed with Known Issue","Known Issue",IF($J549="",IF(OR($H549&lt;&gt;"No",AND($F549&lt;&gt;"Medium",$F549&lt;&gt;"Low")),"Pending Result",""),IF(OR($H549&lt;&gt;"No",AND($F549&lt;&gt;"Medium",$F549&lt;&gt;"Low")),IF(COUNTIFS(Dashboard!$B$105:$B$124,$A549,Dashboard!$I$105:$I$124,"CAB")&gt;0,"Accepted (CF)","Blocking"),IF($J549="Failed","Deferrable","Carry Over"))))))</f>
        <v/>
      </c>
      <c r="M549" s="68" t="str">
        <f>IF(OR(TRIM($A549)="",TRIM($E549)=""),"",IFERROR(INDEX('E2E core flow'!$B$15:$B$1000,MATCH(1,INDEX(('E2E core flow'!$A$15:$A$1000&lt;&gt;"")*ISNUMBER(SEARCH('E2E core flow'!$A$15:$A$1000,$E549)),0),0))&amp;"","-"))</f>
        <v/>
      </c>
      <c r="N549" s="68" t="str">
        <f>IF(TRIM($A549)="","",IF($O549=0,IF(COUNTIFS('Card Test Cases'!$B$4:$B$1000,$A549,'Card Test Cases'!$A$4:$A$1000,"&lt;&gt;")&gt;0,"Out of Scope","No TC"),IF($Q549&gt;0,"Failed",IF(COUNTIFS('Card Test Cases'!$B$4:$B$1000,$A549,'Card Test Cases'!$A$4:$A$1000,"&lt;&gt;",'Card Test Cases'!$F$4:$F$1000,"Blocked")&gt;0,"Blocked",IF($R549&gt;0,"In Progress","Passed")))))</f>
        <v/>
      </c>
      <c r="O549" s="68" t="str">
        <f>IF(TRIM($A549)="","",COUNTIFS('Card Test Cases'!$B$4:$B$1000,$A549,'Card Test Cases'!$A$4:$A$1000,"&lt;&gt;",'Card Test Cases'!$F$4:$F$1000,"&lt;&gt;Out of Scope"))</f>
        <v/>
      </c>
      <c r="P549" s="68" t="str">
        <f>IF(TRIM($A549)="","",COUNTIFS('Card Test Cases'!$B$4:$B$1000,$A549,'Card Test Cases'!$A$4:$A$1000,"&lt;&gt;",'Card Test Cases'!$F$4:$F$1000,"Passed"))</f>
        <v/>
      </c>
      <c r="Q549" s="68" t="str">
        <f>IF(TRIM($A549)="","",COUNTIFS('Card Test Cases'!$B$4:$B$1000,$A549,'Card Test Cases'!$A$4:$A$1000,"&lt;&gt;",'Card Test Cases'!$F$4:$F$1000,"Failed"))</f>
        <v/>
      </c>
      <c r="R549" s="68" t="str">
        <f t="shared" si="8"/>
        <v/>
      </c>
      <c r="S549" s="68" t="str" cm="1">
        <f t="array" ref="S549">IF(TRIM($A549)="","",IFERROR(_xlfn.TEXTJOIN(", ",TRUE,_xlfn.UNIQUE(_xlfn.VSTACK(_xlfn._xlws.FILTER('Card Test Cases'!$G$4:$G$1000,('Card Test Cases'!$B$4:$B$1000=$A549)*('Card Test Cases'!$G$4:$G$1000&lt;&gt;""),""),_xlfn._xlws.FILTER('E2E core flow'!$U$15:$U$1000,('E2E core flow'!$A$15:$A$1000&lt;&gt;"")*ISNUMBER(SEARCH('E2E core flow'!$A$15:$A$1000,$E549))*('E2E core flow'!$U$15:$U$1000&lt;&gt;""),"")))),"-"))</f>
        <v/>
      </c>
    </row>
    <row r="550" spans="7:19" x14ac:dyDescent="0.3">
      <c r="G550" s="68" t="str" cm="1">
        <f t="array" ref="G550">_xlfn.LET(_xlpm.ids,'E2E core flow'!$A$15:$A$1000,_xlpm.v,'E2E core flow'!$W$15:$W$1000,_xlpm.m,(_xlpm.ids&lt;&gt;"")*ISNUMBER(SEARCH(_xlpm.ids,$E550)),_xlpm.f,SUM(_xlpm.m*(_xlpm.v="Failed")),_xlpm.b,SUM(_xlpm.m*(_xlpm.v="Blocked")),_xlpm.nr,SUM(_xlpm.m*(_xlpm.v="Not Run")),_xlpm.cp,SUM(_xlpm.m*(_xlpm.v="Conditionally Passed")),_xlpm.p,SUM(_xlpm.m*(_xlpm.v="Passed")),IF(TRIM($A550)="","",IF(TRIM($E550)="","Pending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50" s="68" t="str">
        <f>IF(TRIM($A550)="","",IF($J550="Passed","",IF($J550="Passed with Known Issue","Known Issue",IF($J550="",IF(OR($H550&lt;&gt;"No",AND($F550&lt;&gt;"Medium",$F550&lt;&gt;"Low")),"Pending Result",""),IF(OR($H550&lt;&gt;"No",AND($F550&lt;&gt;"Medium",$F550&lt;&gt;"Low")),IF(COUNTIFS(Dashboard!$B$105:$B$124,$A550,Dashboard!$I$105:$I$124,"CAB")&gt;0,"Accepted (CF)","Blocking"),IF($J550="Failed","Deferrable","Carry Over"))))))</f>
        <v/>
      </c>
      <c r="M550" s="68" t="str">
        <f>IF(OR(TRIM($A550)="",TRIM($E550)=""),"",IFERROR(INDEX('E2E core flow'!$B$15:$B$1000,MATCH(1,INDEX(('E2E core flow'!$A$15:$A$1000&lt;&gt;"")*ISNUMBER(SEARCH('E2E core flow'!$A$15:$A$1000,$E550)),0),0))&amp;"","-"))</f>
        <v/>
      </c>
      <c r="N550" s="68" t="str">
        <f>IF(TRIM($A550)="","",IF($O550=0,IF(COUNTIFS('Card Test Cases'!$B$4:$B$1000,$A550,'Card Test Cases'!$A$4:$A$1000,"&lt;&gt;")&gt;0,"Out of Scope","No TC"),IF($Q550&gt;0,"Failed",IF(COUNTIFS('Card Test Cases'!$B$4:$B$1000,$A550,'Card Test Cases'!$A$4:$A$1000,"&lt;&gt;",'Card Test Cases'!$F$4:$F$1000,"Blocked")&gt;0,"Blocked",IF($R550&gt;0,"In Progress","Passed")))))</f>
        <v/>
      </c>
      <c r="O550" s="68" t="str">
        <f>IF(TRIM($A550)="","",COUNTIFS('Card Test Cases'!$B$4:$B$1000,$A550,'Card Test Cases'!$A$4:$A$1000,"&lt;&gt;",'Card Test Cases'!$F$4:$F$1000,"&lt;&gt;Out of Scope"))</f>
        <v/>
      </c>
      <c r="P550" s="68" t="str">
        <f>IF(TRIM($A550)="","",COUNTIFS('Card Test Cases'!$B$4:$B$1000,$A550,'Card Test Cases'!$A$4:$A$1000,"&lt;&gt;",'Card Test Cases'!$F$4:$F$1000,"Passed"))</f>
        <v/>
      </c>
      <c r="Q550" s="68" t="str">
        <f>IF(TRIM($A550)="","",COUNTIFS('Card Test Cases'!$B$4:$B$1000,$A550,'Card Test Cases'!$A$4:$A$1000,"&lt;&gt;",'Card Test Cases'!$F$4:$F$1000,"Failed"))</f>
        <v/>
      </c>
      <c r="R550" s="68" t="str">
        <f t="shared" si="8"/>
        <v/>
      </c>
      <c r="S550" s="68" t="str" cm="1">
        <f t="array" ref="S550">IF(TRIM($A550)="","",IFERROR(_xlfn.TEXTJOIN(", ",TRUE,_xlfn.UNIQUE(_xlfn.VSTACK(_xlfn._xlws.FILTER('Card Test Cases'!$G$4:$G$1000,('Card Test Cases'!$B$4:$B$1000=$A550)*('Card Test Cases'!$G$4:$G$1000&lt;&gt;""),""),_xlfn._xlws.FILTER('E2E core flow'!$U$15:$U$1000,('E2E core flow'!$A$15:$A$1000&lt;&gt;"")*ISNUMBER(SEARCH('E2E core flow'!$A$15:$A$1000,$E550))*('E2E core flow'!$U$15:$U$1000&lt;&gt;""),"")))),"-"))</f>
        <v/>
      </c>
    </row>
    <row r="551" spans="7:19" x14ac:dyDescent="0.3">
      <c r="G551" s="68" t="str" cm="1">
        <f t="array" ref="G551">_xlfn.LET(_xlpm.ids,'E2E core flow'!$A$15:$A$1000,_xlpm.v,'E2E core flow'!$W$15:$W$1000,_xlpm.m,(_xlpm.ids&lt;&gt;"")*ISNUMBER(SEARCH(_xlpm.ids,$E551)),_xlpm.f,SUM(_xlpm.m*(_xlpm.v="Failed")),_xlpm.b,SUM(_xlpm.m*(_xlpm.v="Blocked")),_xlpm.nr,SUM(_xlpm.m*(_xlpm.v="Not Run")),_xlpm.cp,SUM(_xlpm.m*(_xlpm.v="Conditionally Passed")),_xlpm.p,SUM(_xlpm.m*(_xlpm.v="Passed")),IF(TRIM($A551)="","",IF(TRIM($E551)="","Pending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51" s="68" t="str">
        <f>IF(TRIM($A551)="","",IF($J551="Passed","",IF($J551="Passed with Known Issue","Known Issue",IF($J551="",IF(OR($H551&lt;&gt;"No",AND($F551&lt;&gt;"Medium",$F551&lt;&gt;"Low")),"Pending Result",""),IF(OR($H551&lt;&gt;"No",AND($F551&lt;&gt;"Medium",$F551&lt;&gt;"Low")),IF(COUNTIFS(Dashboard!$B$105:$B$124,$A551,Dashboard!$I$105:$I$124,"CAB")&gt;0,"Accepted (CF)","Blocking"),IF($J551="Failed","Deferrable","Carry Over"))))))</f>
        <v/>
      </c>
      <c r="M551" s="68" t="str">
        <f>IF(OR(TRIM($A551)="",TRIM($E551)=""),"",IFERROR(INDEX('E2E core flow'!$B$15:$B$1000,MATCH(1,INDEX(('E2E core flow'!$A$15:$A$1000&lt;&gt;"")*ISNUMBER(SEARCH('E2E core flow'!$A$15:$A$1000,$E551)),0),0))&amp;"","-"))</f>
        <v/>
      </c>
      <c r="N551" s="68" t="str">
        <f>IF(TRIM($A551)="","",IF($O551=0,IF(COUNTIFS('Card Test Cases'!$B$4:$B$1000,$A551,'Card Test Cases'!$A$4:$A$1000,"&lt;&gt;")&gt;0,"Out of Scope","No TC"),IF($Q551&gt;0,"Failed",IF(COUNTIFS('Card Test Cases'!$B$4:$B$1000,$A551,'Card Test Cases'!$A$4:$A$1000,"&lt;&gt;",'Card Test Cases'!$F$4:$F$1000,"Blocked")&gt;0,"Blocked",IF($R551&gt;0,"In Progress","Passed")))))</f>
        <v/>
      </c>
      <c r="O551" s="68" t="str">
        <f>IF(TRIM($A551)="","",COUNTIFS('Card Test Cases'!$B$4:$B$1000,$A551,'Card Test Cases'!$A$4:$A$1000,"&lt;&gt;",'Card Test Cases'!$F$4:$F$1000,"&lt;&gt;Out of Scope"))</f>
        <v/>
      </c>
      <c r="P551" s="68" t="str">
        <f>IF(TRIM($A551)="","",COUNTIFS('Card Test Cases'!$B$4:$B$1000,$A551,'Card Test Cases'!$A$4:$A$1000,"&lt;&gt;",'Card Test Cases'!$F$4:$F$1000,"Passed"))</f>
        <v/>
      </c>
      <c r="Q551" s="68" t="str">
        <f>IF(TRIM($A551)="","",COUNTIFS('Card Test Cases'!$B$4:$B$1000,$A551,'Card Test Cases'!$A$4:$A$1000,"&lt;&gt;",'Card Test Cases'!$F$4:$F$1000,"Failed"))</f>
        <v/>
      </c>
      <c r="R551" s="68" t="str">
        <f t="shared" si="8"/>
        <v/>
      </c>
      <c r="S551" s="68" t="str" cm="1">
        <f t="array" ref="S551">IF(TRIM($A551)="","",IFERROR(_xlfn.TEXTJOIN(", ",TRUE,_xlfn.UNIQUE(_xlfn.VSTACK(_xlfn._xlws.FILTER('Card Test Cases'!$G$4:$G$1000,('Card Test Cases'!$B$4:$B$1000=$A551)*('Card Test Cases'!$G$4:$G$1000&lt;&gt;""),""),_xlfn._xlws.FILTER('E2E core flow'!$U$15:$U$1000,('E2E core flow'!$A$15:$A$1000&lt;&gt;"")*ISNUMBER(SEARCH('E2E core flow'!$A$15:$A$1000,$E551))*('E2E core flow'!$U$15:$U$1000&lt;&gt;""),"")))),"-"))</f>
        <v/>
      </c>
    </row>
    <row r="552" spans="7:19" x14ac:dyDescent="0.3">
      <c r="G552" s="68" t="str" cm="1">
        <f t="array" ref="G552">_xlfn.LET(_xlpm.ids,'E2E core flow'!$A$15:$A$1000,_xlpm.v,'E2E core flow'!$W$15:$W$1000,_xlpm.m,(_xlpm.ids&lt;&gt;"")*ISNUMBER(SEARCH(_xlpm.ids,$E552)),_xlpm.f,SUM(_xlpm.m*(_xlpm.v="Failed")),_xlpm.b,SUM(_xlpm.m*(_xlpm.v="Blocked")),_xlpm.nr,SUM(_xlpm.m*(_xlpm.v="Not Run")),_xlpm.cp,SUM(_xlpm.m*(_xlpm.v="Conditionally Passed")),_xlpm.p,SUM(_xlpm.m*(_xlpm.v="Passed")),IF(TRIM($A552)="","",IF(TRIM($E552)="","Pending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52" s="68" t="str">
        <f>IF(TRIM($A552)="","",IF($J552="Passed","",IF($J552="Passed with Known Issue","Known Issue",IF($J552="",IF(OR($H552&lt;&gt;"No",AND($F552&lt;&gt;"Medium",$F552&lt;&gt;"Low")),"Pending Result",""),IF(OR($H552&lt;&gt;"No",AND($F552&lt;&gt;"Medium",$F552&lt;&gt;"Low")),IF(COUNTIFS(Dashboard!$B$105:$B$124,$A552,Dashboard!$I$105:$I$124,"CAB")&gt;0,"Accepted (CF)","Blocking"),IF($J552="Failed","Deferrable","Carry Over"))))))</f>
        <v/>
      </c>
      <c r="M552" s="68" t="str">
        <f>IF(OR(TRIM($A552)="",TRIM($E552)=""),"",IFERROR(INDEX('E2E core flow'!$B$15:$B$1000,MATCH(1,INDEX(('E2E core flow'!$A$15:$A$1000&lt;&gt;"")*ISNUMBER(SEARCH('E2E core flow'!$A$15:$A$1000,$E552)),0),0))&amp;"","-"))</f>
        <v/>
      </c>
      <c r="N552" s="68" t="str">
        <f>IF(TRIM($A552)="","",IF($O552=0,IF(COUNTIFS('Card Test Cases'!$B$4:$B$1000,$A552,'Card Test Cases'!$A$4:$A$1000,"&lt;&gt;")&gt;0,"Out of Scope","No TC"),IF($Q552&gt;0,"Failed",IF(COUNTIFS('Card Test Cases'!$B$4:$B$1000,$A552,'Card Test Cases'!$A$4:$A$1000,"&lt;&gt;",'Card Test Cases'!$F$4:$F$1000,"Blocked")&gt;0,"Blocked",IF($R552&gt;0,"In Progress","Passed")))))</f>
        <v/>
      </c>
      <c r="O552" s="68" t="str">
        <f>IF(TRIM($A552)="","",COUNTIFS('Card Test Cases'!$B$4:$B$1000,$A552,'Card Test Cases'!$A$4:$A$1000,"&lt;&gt;",'Card Test Cases'!$F$4:$F$1000,"&lt;&gt;Out of Scope"))</f>
        <v/>
      </c>
      <c r="P552" s="68" t="str">
        <f>IF(TRIM($A552)="","",COUNTIFS('Card Test Cases'!$B$4:$B$1000,$A552,'Card Test Cases'!$A$4:$A$1000,"&lt;&gt;",'Card Test Cases'!$F$4:$F$1000,"Passed"))</f>
        <v/>
      </c>
      <c r="Q552" s="68" t="str">
        <f>IF(TRIM($A552)="","",COUNTIFS('Card Test Cases'!$B$4:$B$1000,$A552,'Card Test Cases'!$A$4:$A$1000,"&lt;&gt;",'Card Test Cases'!$F$4:$F$1000,"Failed"))</f>
        <v/>
      </c>
      <c r="R552" s="68" t="str">
        <f t="shared" si="8"/>
        <v/>
      </c>
      <c r="S552" s="68" t="str" cm="1">
        <f t="array" ref="S552">IF(TRIM($A552)="","",IFERROR(_xlfn.TEXTJOIN(", ",TRUE,_xlfn.UNIQUE(_xlfn.VSTACK(_xlfn._xlws.FILTER('Card Test Cases'!$G$4:$G$1000,('Card Test Cases'!$B$4:$B$1000=$A552)*('Card Test Cases'!$G$4:$G$1000&lt;&gt;""),""),_xlfn._xlws.FILTER('E2E core flow'!$U$15:$U$1000,('E2E core flow'!$A$15:$A$1000&lt;&gt;"")*ISNUMBER(SEARCH('E2E core flow'!$A$15:$A$1000,$E552))*('E2E core flow'!$U$15:$U$1000&lt;&gt;""),"")))),"-"))</f>
        <v/>
      </c>
    </row>
    <row r="553" spans="7:19" x14ac:dyDescent="0.3">
      <c r="G553" s="68" t="str" cm="1">
        <f t="array" ref="G553">_xlfn.LET(_xlpm.ids,'E2E core flow'!$A$15:$A$1000,_xlpm.v,'E2E core flow'!$W$15:$W$1000,_xlpm.m,(_xlpm.ids&lt;&gt;"")*ISNUMBER(SEARCH(_xlpm.ids,$E553)),_xlpm.f,SUM(_xlpm.m*(_xlpm.v="Failed")),_xlpm.b,SUM(_xlpm.m*(_xlpm.v="Blocked")),_xlpm.nr,SUM(_xlpm.m*(_xlpm.v="Not Run")),_xlpm.cp,SUM(_xlpm.m*(_xlpm.v="Conditionally Passed")),_xlpm.p,SUM(_xlpm.m*(_xlpm.v="Passed")),IF(TRIM($A553)="","",IF(TRIM($E553)="","Pending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53" s="68" t="str">
        <f>IF(TRIM($A553)="","",IF($J553="Passed","",IF($J553="Passed with Known Issue","Known Issue",IF($J553="",IF(OR($H553&lt;&gt;"No",AND($F553&lt;&gt;"Medium",$F553&lt;&gt;"Low")),"Pending Result",""),IF(OR($H553&lt;&gt;"No",AND($F553&lt;&gt;"Medium",$F553&lt;&gt;"Low")),IF(COUNTIFS(Dashboard!$B$105:$B$124,$A553,Dashboard!$I$105:$I$124,"CAB")&gt;0,"Accepted (CF)","Blocking"),IF($J553="Failed","Deferrable","Carry Over"))))))</f>
        <v/>
      </c>
      <c r="M553" s="68" t="str">
        <f>IF(OR(TRIM($A553)="",TRIM($E553)=""),"",IFERROR(INDEX('E2E core flow'!$B$15:$B$1000,MATCH(1,INDEX(('E2E core flow'!$A$15:$A$1000&lt;&gt;"")*ISNUMBER(SEARCH('E2E core flow'!$A$15:$A$1000,$E553)),0),0))&amp;"","-"))</f>
        <v/>
      </c>
      <c r="N553" s="68" t="str">
        <f>IF(TRIM($A553)="","",IF($O553=0,IF(COUNTIFS('Card Test Cases'!$B$4:$B$1000,$A553,'Card Test Cases'!$A$4:$A$1000,"&lt;&gt;")&gt;0,"Out of Scope","No TC"),IF($Q553&gt;0,"Failed",IF(COUNTIFS('Card Test Cases'!$B$4:$B$1000,$A553,'Card Test Cases'!$A$4:$A$1000,"&lt;&gt;",'Card Test Cases'!$F$4:$F$1000,"Blocked")&gt;0,"Blocked",IF($R553&gt;0,"In Progress","Passed")))))</f>
        <v/>
      </c>
      <c r="O553" s="68" t="str">
        <f>IF(TRIM($A553)="","",COUNTIFS('Card Test Cases'!$B$4:$B$1000,$A553,'Card Test Cases'!$A$4:$A$1000,"&lt;&gt;",'Card Test Cases'!$F$4:$F$1000,"&lt;&gt;Out of Scope"))</f>
        <v/>
      </c>
      <c r="P553" s="68" t="str">
        <f>IF(TRIM($A553)="","",COUNTIFS('Card Test Cases'!$B$4:$B$1000,$A553,'Card Test Cases'!$A$4:$A$1000,"&lt;&gt;",'Card Test Cases'!$F$4:$F$1000,"Passed"))</f>
        <v/>
      </c>
      <c r="Q553" s="68" t="str">
        <f>IF(TRIM($A553)="","",COUNTIFS('Card Test Cases'!$B$4:$B$1000,$A553,'Card Test Cases'!$A$4:$A$1000,"&lt;&gt;",'Card Test Cases'!$F$4:$F$1000,"Failed"))</f>
        <v/>
      </c>
      <c r="R553" s="68" t="str">
        <f t="shared" si="8"/>
        <v/>
      </c>
      <c r="S553" s="68" t="str" cm="1">
        <f t="array" ref="S553">IF(TRIM($A553)="","",IFERROR(_xlfn.TEXTJOIN(", ",TRUE,_xlfn.UNIQUE(_xlfn.VSTACK(_xlfn._xlws.FILTER('Card Test Cases'!$G$4:$G$1000,('Card Test Cases'!$B$4:$B$1000=$A553)*('Card Test Cases'!$G$4:$G$1000&lt;&gt;""),""),_xlfn._xlws.FILTER('E2E core flow'!$U$15:$U$1000,('E2E core flow'!$A$15:$A$1000&lt;&gt;"")*ISNUMBER(SEARCH('E2E core flow'!$A$15:$A$1000,$E553))*('E2E core flow'!$U$15:$U$1000&lt;&gt;""),"")))),"-"))</f>
        <v/>
      </c>
    </row>
    <row r="554" spans="7:19" x14ac:dyDescent="0.3">
      <c r="G554" s="68" t="str" cm="1">
        <f t="array" ref="G554">_xlfn.LET(_xlpm.ids,'E2E core flow'!$A$15:$A$1000,_xlpm.v,'E2E core flow'!$W$15:$W$1000,_xlpm.m,(_xlpm.ids&lt;&gt;"")*ISNUMBER(SEARCH(_xlpm.ids,$E554)),_xlpm.f,SUM(_xlpm.m*(_xlpm.v="Failed")),_xlpm.b,SUM(_xlpm.m*(_xlpm.v="Blocked")),_xlpm.nr,SUM(_xlpm.m*(_xlpm.v="Not Run")),_xlpm.cp,SUM(_xlpm.m*(_xlpm.v="Conditionally Passed")),_xlpm.p,SUM(_xlpm.m*(_xlpm.v="Passed")),IF(TRIM($A554)="","",IF(TRIM($E554)="","Pending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54" s="68" t="str">
        <f>IF(TRIM($A554)="","",IF($J554="Passed","",IF($J554="Passed with Known Issue","Known Issue",IF($J554="",IF(OR($H554&lt;&gt;"No",AND($F554&lt;&gt;"Medium",$F554&lt;&gt;"Low")),"Pending Result",""),IF(OR($H554&lt;&gt;"No",AND($F554&lt;&gt;"Medium",$F554&lt;&gt;"Low")),IF(COUNTIFS(Dashboard!$B$105:$B$124,$A554,Dashboard!$I$105:$I$124,"CAB")&gt;0,"Accepted (CF)","Blocking"),IF($J554="Failed","Deferrable","Carry Over"))))))</f>
        <v/>
      </c>
      <c r="M554" s="68" t="str">
        <f>IF(OR(TRIM($A554)="",TRIM($E554)=""),"",IFERROR(INDEX('E2E core flow'!$B$15:$B$1000,MATCH(1,INDEX(('E2E core flow'!$A$15:$A$1000&lt;&gt;"")*ISNUMBER(SEARCH('E2E core flow'!$A$15:$A$1000,$E554)),0),0))&amp;"","-"))</f>
        <v/>
      </c>
      <c r="N554" s="68" t="str">
        <f>IF(TRIM($A554)="","",IF($O554=0,IF(COUNTIFS('Card Test Cases'!$B$4:$B$1000,$A554,'Card Test Cases'!$A$4:$A$1000,"&lt;&gt;")&gt;0,"Out of Scope","No TC"),IF($Q554&gt;0,"Failed",IF(COUNTIFS('Card Test Cases'!$B$4:$B$1000,$A554,'Card Test Cases'!$A$4:$A$1000,"&lt;&gt;",'Card Test Cases'!$F$4:$F$1000,"Blocked")&gt;0,"Blocked",IF($R554&gt;0,"In Progress","Passed")))))</f>
        <v/>
      </c>
      <c r="O554" s="68" t="str">
        <f>IF(TRIM($A554)="","",COUNTIFS('Card Test Cases'!$B$4:$B$1000,$A554,'Card Test Cases'!$A$4:$A$1000,"&lt;&gt;",'Card Test Cases'!$F$4:$F$1000,"&lt;&gt;Out of Scope"))</f>
        <v/>
      </c>
      <c r="P554" s="68" t="str">
        <f>IF(TRIM($A554)="","",COUNTIFS('Card Test Cases'!$B$4:$B$1000,$A554,'Card Test Cases'!$A$4:$A$1000,"&lt;&gt;",'Card Test Cases'!$F$4:$F$1000,"Passed"))</f>
        <v/>
      </c>
      <c r="Q554" s="68" t="str">
        <f>IF(TRIM($A554)="","",COUNTIFS('Card Test Cases'!$B$4:$B$1000,$A554,'Card Test Cases'!$A$4:$A$1000,"&lt;&gt;",'Card Test Cases'!$F$4:$F$1000,"Failed"))</f>
        <v/>
      </c>
      <c r="R554" s="68" t="str">
        <f t="shared" si="8"/>
        <v/>
      </c>
      <c r="S554" s="68" t="str" cm="1">
        <f t="array" ref="S554">IF(TRIM($A554)="","",IFERROR(_xlfn.TEXTJOIN(", ",TRUE,_xlfn.UNIQUE(_xlfn.VSTACK(_xlfn._xlws.FILTER('Card Test Cases'!$G$4:$G$1000,('Card Test Cases'!$B$4:$B$1000=$A554)*('Card Test Cases'!$G$4:$G$1000&lt;&gt;""),""),_xlfn._xlws.FILTER('E2E core flow'!$U$15:$U$1000,('E2E core flow'!$A$15:$A$1000&lt;&gt;"")*ISNUMBER(SEARCH('E2E core flow'!$A$15:$A$1000,$E554))*('E2E core flow'!$U$15:$U$1000&lt;&gt;""),"")))),"-"))</f>
        <v/>
      </c>
    </row>
    <row r="555" spans="7:19" x14ac:dyDescent="0.3">
      <c r="G555" s="68" t="str" cm="1">
        <f t="array" ref="G555">_xlfn.LET(_xlpm.ids,'E2E core flow'!$A$15:$A$1000,_xlpm.v,'E2E core flow'!$W$15:$W$1000,_xlpm.m,(_xlpm.ids&lt;&gt;"")*ISNUMBER(SEARCH(_xlpm.ids,$E555)),_xlpm.f,SUM(_xlpm.m*(_xlpm.v="Failed")),_xlpm.b,SUM(_xlpm.m*(_xlpm.v="Blocked")),_xlpm.nr,SUM(_xlpm.m*(_xlpm.v="Not Run")),_xlpm.cp,SUM(_xlpm.m*(_xlpm.v="Conditionally Passed")),_xlpm.p,SUM(_xlpm.m*(_xlpm.v="Passed")),IF(TRIM($A555)="","",IF(TRIM($E555)="","Pending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55" s="68" t="str">
        <f>IF(TRIM($A555)="","",IF($J555="Passed","",IF($J555="Passed with Known Issue","Known Issue",IF($J555="",IF(OR($H555&lt;&gt;"No",AND($F555&lt;&gt;"Medium",$F555&lt;&gt;"Low")),"Pending Result",""),IF(OR($H555&lt;&gt;"No",AND($F555&lt;&gt;"Medium",$F555&lt;&gt;"Low")),IF(COUNTIFS(Dashboard!$B$105:$B$124,$A555,Dashboard!$I$105:$I$124,"CAB")&gt;0,"Accepted (CF)","Blocking"),IF($J555="Failed","Deferrable","Carry Over"))))))</f>
        <v/>
      </c>
      <c r="M555" s="68" t="str">
        <f>IF(OR(TRIM($A555)="",TRIM($E555)=""),"",IFERROR(INDEX('E2E core flow'!$B$15:$B$1000,MATCH(1,INDEX(('E2E core flow'!$A$15:$A$1000&lt;&gt;"")*ISNUMBER(SEARCH('E2E core flow'!$A$15:$A$1000,$E555)),0),0))&amp;"","-"))</f>
        <v/>
      </c>
      <c r="N555" s="68" t="str">
        <f>IF(TRIM($A555)="","",IF($O555=0,IF(COUNTIFS('Card Test Cases'!$B$4:$B$1000,$A555,'Card Test Cases'!$A$4:$A$1000,"&lt;&gt;")&gt;0,"Out of Scope","No TC"),IF($Q555&gt;0,"Failed",IF(COUNTIFS('Card Test Cases'!$B$4:$B$1000,$A555,'Card Test Cases'!$A$4:$A$1000,"&lt;&gt;",'Card Test Cases'!$F$4:$F$1000,"Blocked")&gt;0,"Blocked",IF($R555&gt;0,"In Progress","Passed")))))</f>
        <v/>
      </c>
      <c r="O555" s="68" t="str">
        <f>IF(TRIM($A555)="","",COUNTIFS('Card Test Cases'!$B$4:$B$1000,$A555,'Card Test Cases'!$A$4:$A$1000,"&lt;&gt;",'Card Test Cases'!$F$4:$F$1000,"&lt;&gt;Out of Scope"))</f>
        <v/>
      </c>
      <c r="P555" s="68" t="str">
        <f>IF(TRIM($A555)="","",COUNTIFS('Card Test Cases'!$B$4:$B$1000,$A555,'Card Test Cases'!$A$4:$A$1000,"&lt;&gt;",'Card Test Cases'!$F$4:$F$1000,"Passed"))</f>
        <v/>
      </c>
      <c r="Q555" s="68" t="str">
        <f>IF(TRIM($A555)="","",COUNTIFS('Card Test Cases'!$B$4:$B$1000,$A555,'Card Test Cases'!$A$4:$A$1000,"&lt;&gt;",'Card Test Cases'!$F$4:$F$1000,"Failed"))</f>
        <v/>
      </c>
      <c r="R555" s="68" t="str">
        <f t="shared" si="8"/>
        <v/>
      </c>
      <c r="S555" s="68" t="str" cm="1">
        <f t="array" ref="S555">IF(TRIM($A555)="","",IFERROR(_xlfn.TEXTJOIN(", ",TRUE,_xlfn.UNIQUE(_xlfn.VSTACK(_xlfn._xlws.FILTER('Card Test Cases'!$G$4:$G$1000,('Card Test Cases'!$B$4:$B$1000=$A555)*('Card Test Cases'!$G$4:$G$1000&lt;&gt;""),""),_xlfn._xlws.FILTER('E2E core flow'!$U$15:$U$1000,('E2E core flow'!$A$15:$A$1000&lt;&gt;"")*ISNUMBER(SEARCH('E2E core flow'!$A$15:$A$1000,$E555))*('E2E core flow'!$U$15:$U$1000&lt;&gt;""),"")))),"-"))</f>
        <v/>
      </c>
    </row>
    <row r="556" spans="7:19" x14ac:dyDescent="0.3">
      <c r="G556" s="68" t="str" cm="1">
        <f t="array" ref="G556">_xlfn.LET(_xlpm.ids,'E2E core flow'!$A$15:$A$1000,_xlpm.v,'E2E core flow'!$W$15:$W$1000,_xlpm.m,(_xlpm.ids&lt;&gt;"")*ISNUMBER(SEARCH(_xlpm.ids,$E556)),_xlpm.f,SUM(_xlpm.m*(_xlpm.v="Failed")),_xlpm.b,SUM(_xlpm.m*(_xlpm.v="Blocked")),_xlpm.nr,SUM(_xlpm.m*(_xlpm.v="Not Run")),_xlpm.cp,SUM(_xlpm.m*(_xlpm.v="Conditionally Passed")),_xlpm.p,SUM(_xlpm.m*(_xlpm.v="Passed")),IF(TRIM($A556)="","",IF(TRIM($E556)="","Pending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56" s="68" t="str">
        <f>IF(TRIM($A556)="","",IF($J556="Passed","",IF($J556="Passed with Known Issue","Known Issue",IF($J556="",IF(OR($H556&lt;&gt;"No",AND($F556&lt;&gt;"Medium",$F556&lt;&gt;"Low")),"Pending Result",""),IF(OR($H556&lt;&gt;"No",AND($F556&lt;&gt;"Medium",$F556&lt;&gt;"Low")),IF(COUNTIFS(Dashboard!$B$105:$B$124,$A556,Dashboard!$I$105:$I$124,"CAB")&gt;0,"Accepted (CF)","Blocking"),IF($J556="Failed","Deferrable","Carry Over"))))))</f>
        <v/>
      </c>
      <c r="M556" s="68" t="str">
        <f>IF(OR(TRIM($A556)="",TRIM($E556)=""),"",IFERROR(INDEX('E2E core flow'!$B$15:$B$1000,MATCH(1,INDEX(('E2E core flow'!$A$15:$A$1000&lt;&gt;"")*ISNUMBER(SEARCH('E2E core flow'!$A$15:$A$1000,$E556)),0),0))&amp;"","-"))</f>
        <v/>
      </c>
      <c r="N556" s="68" t="str">
        <f>IF(TRIM($A556)="","",IF($O556=0,IF(COUNTIFS('Card Test Cases'!$B$4:$B$1000,$A556,'Card Test Cases'!$A$4:$A$1000,"&lt;&gt;")&gt;0,"Out of Scope","No TC"),IF($Q556&gt;0,"Failed",IF(COUNTIFS('Card Test Cases'!$B$4:$B$1000,$A556,'Card Test Cases'!$A$4:$A$1000,"&lt;&gt;",'Card Test Cases'!$F$4:$F$1000,"Blocked")&gt;0,"Blocked",IF($R556&gt;0,"In Progress","Passed")))))</f>
        <v/>
      </c>
      <c r="O556" s="68" t="str">
        <f>IF(TRIM($A556)="","",COUNTIFS('Card Test Cases'!$B$4:$B$1000,$A556,'Card Test Cases'!$A$4:$A$1000,"&lt;&gt;",'Card Test Cases'!$F$4:$F$1000,"&lt;&gt;Out of Scope"))</f>
        <v/>
      </c>
      <c r="P556" s="68" t="str">
        <f>IF(TRIM($A556)="","",COUNTIFS('Card Test Cases'!$B$4:$B$1000,$A556,'Card Test Cases'!$A$4:$A$1000,"&lt;&gt;",'Card Test Cases'!$F$4:$F$1000,"Passed"))</f>
        <v/>
      </c>
      <c r="Q556" s="68" t="str">
        <f>IF(TRIM($A556)="","",COUNTIFS('Card Test Cases'!$B$4:$B$1000,$A556,'Card Test Cases'!$A$4:$A$1000,"&lt;&gt;",'Card Test Cases'!$F$4:$F$1000,"Failed"))</f>
        <v/>
      </c>
      <c r="R556" s="68" t="str">
        <f t="shared" si="8"/>
        <v/>
      </c>
      <c r="S556" s="68" t="str" cm="1">
        <f t="array" ref="S556">IF(TRIM($A556)="","",IFERROR(_xlfn.TEXTJOIN(", ",TRUE,_xlfn.UNIQUE(_xlfn.VSTACK(_xlfn._xlws.FILTER('Card Test Cases'!$G$4:$G$1000,('Card Test Cases'!$B$4:$B$1000=$A556)*('Card Test Cases'!$G$4:$G$1000&lt;&gt;""),""),_xlfn._xlws.FILTER('E2E core flow'!$U$15:$U$1000,('E2E core flow'!$A$15:$A$1000&lt;&gt;"")*ISNUMBER(SEARCH('E2E core flow'!$A$15:$A$1000,$E556))*('E2E core flow'!$U$15:$U$1000&lt;&gt;""),"")))),"-"))</f>
        <v/>
      </c>
    </row>
    <row r="557" spans="7:19" x14ac:dyDescent="0.3">
      <c r="G557" s="68" t="str" cm="1">
        <f t="array" ref="G557">_xlfn.LET(_xlpm.ids,'E2E core flow'!$A$15:$A$1000,_xlpm.v,'E2E core flow'!$W$15:$W$1000,_xlpm.m,(_xlpm.ids&lt;&gt;"")*ISNUMBER(SEARCH(_xlpm.ids,$E557)),_xlpm.f,SUM(_xlpm.m*(_xlpm.v="Failed")),_xlpm.b,SUM(_xlpm.m*(_xlpm.v="Blocked")),_xlpm.nr,SUM(_xlpm.m*(_xlpm.v="Not Run")),_xlpm.cp,SUM(_xlpm.m*(_xlpm.v="Conditionally Passed")),_xlpm.p,SUM(_xlpm.m*(_xlpm.v="Passed")),IF(TRIM($A557)="","",IF(TRIM($E557)="","Pending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57" s="68" t="str">
        <f>IF(TRIM($A557)="","",IF($J557="Passed","",IF($J557="Passed with Known Issue","Known Issue",IF($J557="",IF(OR($H557&lt;&gt;"No",AND($F557&lt;&gt;"Medium",$F557&lt;&gt;"Low")),"Pending Result",""),IF(OR($H557&lt;&gt;"No",AND($F557&lt;&gt;"Medium",$F557&lt;&gt;"Low")),IF(COUNTIFS(Dashboard!$B$105:$B$124,$A557,Dashboard!$I$105:$I$124,"CAB")&gt;0,"Accepted (CF)","Blocking"),IF($J557="Failed","Deferrable","Carry Over"))))))</f>
        <v/>
      </c>
      <c r="M557" s="68" t="str">
        <f>IF(OR(TRIM($A557)="",TRIM($E557)=""),"",IFERROR(INDEX('E2E core flow'!$B$15:$B$1000,MATCH(1,INDEX(('E2E core flow'!$A$15:$A$1000&lt;&gt;"")*ISNUMBER(SEARCH('E2E core flow'!$A$15:$A$1000,$E557)),0),0))&amp;"","-"))</f>
        <v/>
      </c>
      <c r="N557" s="68" t="str">
        <f>IF(TRIM($A557)="","",IF($O557=0,IF(COUNTIFS('Card Test Cases'!$B$4:$B$1000,$A557,'Card Test Cases'!$A$4:$A$1000,"&lt;&gt;")&gt;0,"Out of Scope","No TC"),IF($Q557&gt;0,"Failed",IF(COUNTIFS('Card Test Cases'!$B$4:$B$1000,$A557,'Card Test Cases'!$A$4:$A$1000,"&lt;&gt;",'Card Test Cases'!$F$4:$F$1000,"Blocked")&gt;0,"Blocked",IF($R557&gt;0,"In Progress","Passed")))))</f>
        <v/>
      </c>
      <c r="O557" s="68" t="str">
        <f>IF(TRIM($A557)="","",COUNTIFS('Card Test Cases'!$B$4:$B$1000,$A557,'Card Test Cases'!$A$4:$A$1000,"&lt;&gt;",'Card Test Cases'!$F$4:$F$1000,"&lt;&gt;Out of Scope"))</f>
        <v/>
      </c>
      <c r="P557" s="68" t="str">
        <f>IF(TRIM($A557)="","",COUNTIFS('Card Test Cases'!$B$4:$B$1000,$A557,'Card Test Cases'!$A$4:$A$1000,"&lt;&gt;",'Card Test Cases'!$F$4:$F$1000,"Passed"))</f>
        <v/>
      </c>
      <c r="Q557" s="68" t="str">
        <f>IF(TRIM($A557)="","",COUNTIFS('Card Test Cases'!$B$4:$B$1000,$A557,'Card Test Cases'!$A$4:$A$1000,"&lt;&gt;",'Card Test Cases'!$F$4:$F$1000,"Failed"))</f>
        <v/>
      </c>
      <c r="R557" s="68" t="str">
        <f t="shared" si="8"/>
        <v/>
      </c>
      <c r="S557" s="68" t="str" cm="1">
        <f t="array" ref="S557">IF(TRIM($A557)="","",IFERROR(_xlfn.TEXTJOIN(", ",TRUE,_xlfn.UNIQUE(_xlfn.VSTACK(_xlfn._xlws.FILTER('Card Test Cases'!$G$4:$G$1000,('Card Test Cases'!$B$4:$B$1000=$A557)*('Card Test Cases'!$G$4:$G$1000&lt;&gt;""),""),_xlfn._xlws.FILTER('E2E core flow'!$U$15:$U$1000,('E2E core flow'!$A$15:$A$1000&lt;&gt;"")*ISNUMBER(SEARCH('E2E core flow'!$A$15:$A$1000,$E557))*('E2E core flow'!$U$15:$U$1000&lt;&gt;""),"")))),"-"))</f>
        <v/>
      </c>
    </row>
    <row r="558" spans="7:19" x14ac:dyDescent="0.3">
      <c r="G558" s="68" t="str" cm="1">
        <f t="array" ref="G558">_xlfn.LET(_xlpm.ids,'E2E core flow'!$A$15:$A$1000,_xlpm.v,'E2E core flow'!$W$15:$W$1000,_xlpm.m,(_xlpm.ids&lt;&gt;"")*ISNUMBER(SEARCH(_xlpm.ids,$E558)),_xlpm.f,SUM(_xlpm.m*(_xlpm.v="Failed")),_xlpm.b,SUM(_xlpm.m*(_xlpm.v="Blocked")),_xlpm.nr,SUM(_xlpm.m*(_xlpm.v="Not Run")),_xlpm.cp,SUM(_xlpm.m*(_xlpm.v="Conditionally Passed")),_xlpm.p,SUM(_xlpm.m*(_xlpm.v="Passed")),IF(TRIM($A558)="","",IF(TRIM($E558)="","Pending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58" s="68" t="str">
        <f>IF(TRIM($A558)="","",IF($J558="Passed","",IF($J558="Passed with Known Issue","Known Issue",IF($J558="",IF(OR($H558&lt;&gt;"No",AND($F558&lt;&gt;"Medium",$F558&lt;&gt;"Low")),"Pending Result",""),IF(OR($H558&lt;&gt;"No",AND($F558&lt;&gt;"Medium",$F558&lt;&gt;"Low")),IF(COUNTIFS(Dashboard!$B$105:$B$124,$A558,Dashboard!$I$105:$I$124,"CAB")&gt;0,"Accepted (CF)","Blocking"),IF($J558="Failed","Deferrable","Carry Over"))))))</f>
        <v/>
      </c>
      <c r="M558" s="68" t="str">
        <f>IF(OR(TRIM($A558)="",TRIM($E558)=""),"",IFERROR(INDEX('E2E core flow'!$B$15:$B$1000,MATCH(1,INDEX(('E2E core flow'!$A$15:$A$1000&lt;&gt;"")*ISNUMBER(SEARCH('E2E core flow'!$A$15:$A$1000,$E558)),0),0))&amp;"","-"))</f>
        <v/>
      </c>
      <c r="N558" s="68" t="str">
        <f>IF(TRIM($A558)="","",IF($O558=0,IF(COUNTIFS('Card Test Cases'!$B$4:$B$1000,$A558,'Card Test Cases'!$A$4:$A$1000,"&lt;&gt;")&gt;0,"Out of Scope","No TC"),IF($Q558&gt;0,"Failed",IF(COUNTIFS('Card Test Cases'!$B$4:$B$1000,$A558,'Card Test Cases'!$A$4:$A$1000,"&lt;&gt;",'Card Test Cases'!$F$4:$F$1000,"Blocked")&gt;0,"Blocked",IF($R558&gt;0,"In Progress","Passed")))))</f>
        <v/>
      </c>
      <c r="O558" s="68" t="str">
        <f>IF(TRIM($A558)="","",COUNTIFS('Card Test Cases'!$B$4:$B$1000,$A558,'Card Test Cases'!$A$4:$A$1000,"&lt;&gt;",'Card Test Cases'!$F$4:$F$1000,"&lt;&gt;Out of Scope"))</f>
        <v/>
      </c>
      <c r="P558" s="68" t="str">
        <f>IF(TRIM($A558)="","",COUNTIFS('Card Test Cases'!$B$4:$B$1000,$A558,'Card Test Cases'!$A$4:$A$1000,"&lt;&gt;",'Card Test Cases'!$F$4:$F$1000,"Passed"))</f>
        <v/>
      </c>
      <c r="Q558" s="68" t="str">
        <f>IF(TRIM($A558)="","",COUNTIFS('Card Test Cases'!$B$4:$B$1000,$A558,'Card Test Cases'!$A$4:$A$1000,"&lt;&gt;",'Card Test Cases'!$F$4:$F$1000,"Failed"))</f>
        <v/>
      </c>
      <c r="R558" s="68" t="str">
        <f t="shared" si="8"/>
        <v/>
      </c>
      <c r="S558" s="68" t="str" cm="1">
        <f t="array" ref="S558">IF(TRIM($A558)="","",IFERROR(_xlfn.TEXTJOIN(", ",TRUE,_xlfn.UNIQUE(_xlfn.VSTACK(_xlfn._xlws.FILTER('Card Test Cases'!$G$4:$G$1000,('Card Test Cases'!$B$4:$B$1000=$A558)*('Card Test Cases'!$G$4:$G$1000&lt;&gt;""),""),_xlfn._xlws.FILTER('E2E core flow'!$U$15:$U$1000,('E2E core flow'!$A$15:$A$1000&lt;&gt;"")*ISNUMBER(SEARCH('E2E core flow'!$A$15:$A$1000,$E558))*('E2E core flow'!$U$15:$U$1000&lt;&gt;""),"")))),"-"))</f>
        <v/>
      </c>
    </row>
    <row r="559" spans="7:19" x14ac:dyDescent="0.3">
      <c r="G559" s="68" t="str" cm="1">
        <f t="array" ref="G559">_xlfn.LET(_xlpm.ids,'E2E core flow'!$A$15:$A$1000,_xlpm.v,'E2E core flow'!$W$15:$W$1000,_xlpm.m,(_xlpm.ids&lt;&gt;"")*ISNUMBER(SEARCH(_xlpm.ids,$E559)),_xlpm.f,SUM(_xlpm.m*(_xlpm.v="Failed")),_xlpm.b,SUM(_xlpm.m*(_xlpm.v="Blocked")),_xlpm.nr,SUM(_xlpm.m*(_xlpm.v="Not Run")),_xlpm.cp,SUM(_xlpm.m*(_xlpm.v="Conditionally Passed")),_xlpm.p,SUM(_xlpm.m*(_xlpm.v="Passed")),IF(TRIM($A559)="","",IF(TRIM($E559)="","Pending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59" s="68" t="str">
        <f>IF(TRIM($A559)="","",IF($J559="Passed","",IF($J559="Passed with Known Issue","Known Issue",IF($J559="",IF(OR($H559&lt;&gt;"No",AND($F559&lt;&gt;"Medium",$F559&lt;&gt;"Low")),"Pending Result",""),IF(OR($H559&lt;&gt;"No",AND($F559&lt;&gt;"Medium",$F559&lt;&gt;"Low")),IF(COUNTIFS(Dashboard!$B$105:$B$124,$A559,Dashboard!$I$105:$I$124,"CAB")&gt;0,"Accepted (CF)","Blocking"),IF($J559="Failed","Deferrable","Carry Over"))))))</f>
        <v/>
      </c>
      <c r="M559" s="68" t="str">
        <f>IF(OR(TRIM($A559)="",TRIM($E559)=""),"",IFERROR(INDEX('E2E core flow'!$B$15:$B$1000,MATCH(1,INDEX(('E2E core flow'!$A$15:$A$1000&lt;&gt;"")*ISNUMBER(SEARCH('E2E core flow'!$A$15:$A$1000,$E559)),0),0))&amp;"","-"))</f>
        <v/>
      </c>
      <c r="N559" s="68" t="str">
        <f>IF(TRIM($A559)="","",IF($O559=0,IF(COUNTIFS('Card Test Cases'!$B$4:$B$1000,$A559,'Card Test Cases'!$A$4:$A$1000,"&lt;&gt;")&gt;0,"Out of Scope","No TC"),IF($Q559&gt;0,"Failed",IF(COUNTIFS('Card Test Cases'!$B$4:$B$1000,$A559,'Card Test Cases'!$A$4:$A$1000,"&lt;&gt;",'Card Test Cases'!$F$4:$F$1000,"Blocked")&gt;0,"Blocked",IF($R559&gt;0,"In Progress","Passed")))))</f>
        <v/>
      </c>
      <c r="O559" s="68" t="str">
        <f>IF(TRIM($A559)="","",COUNTIFS('Card Test Cases'!$B$4:$B$1000,$A559,'Card Test Cases'!$A$4:$A$1000,"&lt;&gt;",'Card Test Cases'!$F$4:$F$1000,"&lt;&gt;Out of Scope"))</f>
        <v/>
      </c>
      <c r="P559" s="68" t="str">
        <f>IF(TRIM($A559)="","",COUNTIFS('Card Test Cases'!$B$4:$B$1000,$A559,'Card Test Cases'!$A$4:$A$1000,"&lt;&gt;",'Card Test Cases'!$F$4:$F$1000,"Passed"))</f>
        <v/>
      </c>
      <c r="Q559" s="68" t="str">
        <f>IF(TRIM($A559)="","",COUNTIFS('Card Test Cases'!$B$4:$B$1000,$A559,'Card Test Cases'!$A$4:$A$1000,"&lt;&gt;",'Card Test Cases'!$F$4:$F$1000,"Failed"))</f>
        <v/>
      </c>
      <c r="R559" s="68" t="str">
        <f t="shared" si="8"/>
        <v/>
      </c>
      <c r="S559" s="68" t="str" cm="1">
        <f t="array" ref="S559">IF(TRIM($A559)="","",IFERROR(_xlfn.TEXTJOIN(", ",TRUE,_xlfn.UNIQUE(_xlfn.VSTACK(_xlfn._xlws.FILTER('Card Test Cases'!$G$4:$G$1000,('Card Test Cases'!$B$4:$B$1000=$A559)*('Card Test Cases'!$G$4:$G$1000&lt;&gt;""),""),_xlfn._xlws.FILTER('E2E core flow'!$U$15:$U$1000,('E2E core flow'!$A$15:$A$1000&lt;&gt;"")*ISNUMBER(SEARCH('E2E core flow'!$A$15:$A$1000,$E559))*('E2E core flow'!$U$15:$U$1000&lt;&gt;""),"")))),"-"))</f>
        <v/>
      </c>
    </row>
    <row r="560" spans="7:19" x14ac:dyDescent="0.3">
      <c r="G560" s="68" t="str" cm="1">
        <f t="array" ref="G560">_xlfn.LET(_xlpm.ids,'E2E core flow'!$A$15:$A$1000,_xlpm.v,'E2E core flow'!$W$15:$W$1000,_xlpm.m,(_xlpm.ids&lt;&gt;"")*ISNUMBER(SEARCH(_xlpm.ids,$E560)),_xlpm.f,SUM(_xlpm.m*(_xlpm.v="Failed")),_xlpm.b,SUM(_xlpm.m*(_xlpm.v="Blocked")),_xlpm.nr,SUM(_xlpm.m*(_xlpm.v="Not Run")),_xlpm.cp,SUM(_xlpm.m*(_xlpm.v="Conditionally Passed")),_xlpm.p,SUM(_xlpm.m*(_xlpm.v="Passed")),IF(TRIM($A560)="","",IF(TRIM($E560)="","Pending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60" s="68" t="str">
        <f>IF(TRIM($A560)="","",IF($J560="Passed","",IF($J560="Passed with Known Issue","Known Issue",IF($J560="",IF(OR($H560&lt;&gt;"No",AND($F560&lt;&gt;"Medium",$F560&lt;&gt;"Low")),"Pending Result",""),IF(OR($H560&lt;&gt;"No",AND($F560&lt;&gt;"Medium",$F560&lt;&gt;"Low")),IF(COUNTIFS(Dashboard!$B$105:$B$124,$A560,Dashboard!$I$105:$I$124,"CAB")&gt;0,"Accepted (CF)","Blocking"),IF($J560="Failed","Deferrable","Carry Over"))))))</f>
        <v/>
      </c>
      <c r="M560" s="68" t="str">
        <f>IF(OR(TRIM($A560)="",TRIM($E560)=""),"",IFERROR(INDEX('E2E core flow'!$B$15:$B$1000,MATCH(1,INDEX(('E2E core flow'!$A$15:$A$1000&lt;&gt;"")*ISNUMBER(SEARCH('E2E core flow'!$A$15:$A$1000,$E560)),0),0))&amp;"","-"))</f>
        <v/>
      </c>
      <c r="N560" s="68" t="str">
        <f>IF(TRIM($A560)="","",IF($O560=0,IF(COUNTIFS('Card Test Cases'!$B$4:$B$1000,$A560,'Card Test Cases'!$A$4:$A$1000,"&lt;&gt;")&gt;0,"Out of Scope","No TC"),IF($Q560&gt;0,"Failed",IF(COUNTIFS('Card Test Cases'!$B$4:$B$1000,$A560,'Card Test Cases'!$A$4:$A$1000,"&lt;&gt;",'Card Test Cases'!$F$4:$F$1000,"Blocked")&gt;0,"Blocked",IF($R560&gt;0,"In Progress","Passed")))))</f>
        <v/>
      </c>
      <c r="O560" s="68" t="str">
        <f>IF(TRIM($A560)="","",COUNTIFS('Card Test Cases'!$B$4:$B$1000,$A560,'Card Test Cases'!$A$4:$A$1000,"&lt;&gt;",'Card Test Cases'!$F$4:$F$1000,"&lt;&gt;Out of Scope"))</f>
        <v/>
      </c>
      <c r="P560" s="68" t="str">
        <f>IF(TRIM($A560)="","",COUNTIFS('Card Test Cases'!$B$4:$B$1000,$A560,'Card Test Cases'!$A$4:$A$1000,"&lt;&gt;",'Card Test Cases'!$F$4:$F$1000,"Passed"))</f>
        <v/>
      </c>
      <c r="Q560" s="68" t="str">
        <f>IF(TRIM($A560)="","",COUNTIFS('Card Test Cases'!$B$4:$B$1000,$A560,'Card Test Cases'!$A$4:$A$1000,"&lt;&gt;",'Card Test Cases'!$F$4:$F$1000,"Failed"))</f>
        <v/>
      </c>
      <c r="R560" s="68" t="str">
        <f t="shared" si="8"/>
        <v/>
      </c>
      <c r="S560" s="68" t="str" cm="1">
        <f t="array" ref="S560">IF(TRIM($A560)="","",IFERROR(_xlfn.TEXTJOIN(", ",TRUE,_xlfn.UNIQUE(_xlfn.VSTACK(_xlfn._xlws.FILTER('Card Test Cases'!$G$4:$G$1000,('Card Test Cases'!$B$4:$B$1000=$A560)*('Card Test Cases'!$G$4:$G$1000&lt;&gt;""),""),_xlfn._xlws.FILTER('E2E core flow'!$U$15:$U$1000,('E2E core flow'!$A$15:$A$1000&lt;&gt;"")*ISNUMBER(SEARCH('E2E core flow'!$A$15:$A$1000,$E560))*('E2E core flow'!$U$15:$U$1000&lt;&gt;""),"")))),"-"))</f>
        <v/>
      </c>
    </row>
    <row r="561" spans="7:19" x14ac:dyDescent="0.3">
      <c r="G561" s="68" t="str" cm="1">
        <f t="array" ref="G561">_xlfn.LET(_xlpm.ids,'E2E core flow'!$A$15:$A$1000,_xlpm.v,'E2E core flow'!$W$15:$W$1000,_xlpm.m,(_xlpm.ids&lt;&gt;"")*ISNUMBER(SEARCH(_xlpm.ids,$E561)),_xlpm.f,SUM(_xlpm.m*(_xlpm.v="Failed")),_xlpm.b,SUM(_xlpm.m*(_xlpm.v="Blocked")),_xlpm.nr,SUM(_xlpm.m*(_xlpm.v="Not Run")),_xlpm.cp,SUM(_xlpm.m*(_xlpm.v="Conditionally Passed")),_xlpm.p,SUM(_xlpm.m*(_xlpm.v="Passed")),IF(TRIM($A561)="","",IF(TRIM($E561)="","Pending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61" s="68" t="str">
        <f>IF(TRIM($A561)="","",IF($J561="Passed","",IF($J561="Passed with Known Issue","Known Issue",IF($J561="",IF(OR($H561&lt;&gt;"No",AND($F561&lt;&gt;"Medium",$F561&lt;&gt;"Low")),"Pending Result",""),IF(OR($H561&lt;&gt;"No",AND($F561&lt;&gt;"Medium",$F561&lt;&gt;"Low")),IF(COUNTIFS(Dashboard!$B$105:$B$124,$A561,Dashboard!$I$105:$I$124,"CAB")&gt;0,"Accepted (CF)","Blocking"),IF($J561="Failed","Deferrable","Carry Over"))))))</f>
        <v/>
      </c>
      <c r="M561" s="68" t="str">
        <f>IF(OR(TRIM($A561)="",TRIM($E561)=""),"",IFERROR(INDEX('E2E core flow'!$B$15:$B$1000,MATCH(1,INDEX(('E2E core flow'!$A$15:$A$1000&lt;&gt;"")*ISNUMBER(SEARCH('E2E core flow'!$A$15:$A$1000,$E561)),0),0))&amp;"","-"))</f>
        <v/>
      </c>
      <c r="N561" s="68" t="str">
        <f>IF(TRIM($A561)="","",IF($O561=0,IF(COUNTIFS('Card Test Cases'!$B$4:$B$1000,$A561,'Card Test Cases'!$A$4:$A$1000,"&lt;&gt;")&gt;0,"Out of Scope","No TC"),IF($Q561&gt;0,"Failed",IF(COUNTIFS('Card Test Cases'!$B$4:$B$1000,$A561,'Card Test Cases'!$A$4:$A$1000,"&lt;&gt;",'Card Test Cases'!$F$4:$F$1000,"Blocked")&gt;0,"Blocked",IF($R561&gt;0,"In Progress","Passed")))))</f>
        <v/>
      </c>
      <c r="O561" s="68" t="str">
        <f>IF(TRIM($A561)="","",COUNTIFS('Card Test Cases'!$B$4:$B$1000,$A561,'Card Test Cases'!$A$4:$A$1000,"&lt;&gt;",'Card Test Cases'!$F$4:$F$1000,"&lt;&gt;Out of Scope"))</f>
        <v/>
      </c>
      <c r="P561" s="68" t="str">
        <f>IF(TRIM($A561)="","",COUNTIFS('Card Test Cases'!$B$4:$B$1000,$A561,'Card Test Cases'!$A$4:$A$1000,"&lt;&gt;",'Card Test Cases'!$F$4:$F$1000,"Passed"))</f>
        <v/>
      </c>
      <c r="Q561" s="68" t="str">
        <f>IF(TRIM($A561)="","",COUNTIFS('Card Test Cases'!$B$4:$B$1000,$A561,'Card Test Cases'!$A$4:$A$1000,"&lt;&gt;",'Card Test Cases'!$F$4:$F$1000,"Failed"))</f>
        <v/>
      </c>
      <c r="R561" s="68" t="str">
        <f t="shared" si="8"/>
        <v/>
      </c>
      <c r="S561" s="68" t="str" cm="1">
        <f t="array" ref="S561">IF(TRIM($A561)="","",IFERROR(_xlfn.TEXTJOIN(", ",TRUE,_xlfn.UNIQUE(_xlfn.VSTACK(_xlfn._xlws.FILTER('Card Test Cases'!$G$4:$G$1000,('Card Test Cases'!$B$4:$B$1000=$A561)*('Card Test Cases'!$G$4:$G$1000&lt;&gt;""),""),_xlfn._xlws.FILTER('E2E core flow'!$U$15:$U$1000,('E2E core flow'!$A$15:$A$1000&lt;&gt;"")*ISNUMBER(SEARCH('E2E core flow'!$A$15:$A$1000,$E561))*('E2E core flow'!$U$15:$U$1000&lt;&gt;""),"")))),"-"))</f>
        <v/>
      </c>
    </row>
    <row r="562" spans="7:19" x14ac:dyDescent="0.3">
      <c r="G562" s="68" t="str" cm="1">
        <f t="array" ref="G562">_xlfn.LET(_xlpm.ids,'E2E core flow'!$A$15:$A$1000,_xlpm.v,'E2E core flow'!$W$15:$W$1000,_xlpm.m,(_xlpm.ids&lt;&gt;"")*ISNUMBER(SEARCH(_xlpm.ids,$E562)),_xlpm.f,SUM(_xlpm.m*(_xlpm.v="Failed")),_xlpm.b,SUM(_xlpm.m*(_xlpm.v="Blocked")),_xlpm.nr,SUM(_xlpm.m*(_xlpm.v="Not Run")),_xlpm.cp,SUM(_xlpm.m*(_xlpm.v="Conditionally Passed")),_xlpm.p,SUM(_xlpm.m*(_xlpm.v="Passed")),IF(TRIM($A562)="","",IF(TRIM($E562)="","Pending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62" s="68" t="str">
        <f>IF(TRIM($A562)="","",IF($J562="Passed","",IF($J562="Passed with Known Issue","Known Issue",IF($J562="",IF(OR($H562&lt;&gt;"No",AND($F562&lt;&gt;"Medium",$F562&lt;&gt;"Low")),"Pending Result",""),IF(OR($H562&lt;&gt;"No",AND($F562&lt;&gt;"Medium",$F562&lt;&gt;"Low")),IF(COUNTIFS(Dashboard!$B$105:$B$124,$A562,Dashboard!$I$105:$I$124,"CAB")&gt;0,"Accepted (CF)","Blocking"),IF($J562="Failed","Deferrable","Carry Over"))))))</f>
        <v/>
      </c>
      <c r="M562" s="68" t="str">
        <f>IF(OR(TRIM($A562)="",TRIM($E562)=""),"",IFERROR(INDEX('E2E core flow'!$B$15:$B$1000,MATCH(1,INDEX(('E2E core flow'!$A$15:$A$1000&lt;&gt;"")*ISNUMBER(SEARCH('E2E core flow'!$A$15:$A$1000,$E562)),0),0))&amp;"","-"))</f>
        <v/>
      </c>
      <c r="N562" s="68" t="str">
        <f>IF(TRIM($A562)="","",IF($O562=0,IF(COUNTIFS('Card Test Cases'!$B$4:$B$1000,$A562,'Card Test Cases'!$A$4:$A$1000,"&lt;&gt;")&gt;0,"Out of Scope","No TC"),IF($Q562&gt;0,"Failed",IF(COUNTIFS('Card Test Cases'!$B$4:$B$1000,$A562,'Card Test Cases'!$A$4:$A$1000,"&lt;&gt;",'Card Test Cases'!$F$4:$F$1000,"Blocked")&gt;0,"Blocked",IF($R562&gt;0,"In Progress","Passed")))))</f>
        <v/>
      </c>
      <c r="O562" s="68" t="str">
        <f>IF(TRIM($A562)="","",COUNTIFS('Card Test Cases'!$B$4:$B$1000,$A562,'Card Test Cases'!$A$4:$A$1000,"&lt;&gt;",'Card Test Cases'!$F$4:$F$1000,"&lt;&gt;Out of Scope"))</f>
        <v/>
      </c>
      <c r="P562" s="68" t="str">
        <f>IF(TRIM($A562)="","",COUNTIFS('Card Test Cases'!$B$4:$B$1000,$A562,'Card Test Cases'!$A$4:$A$1000,"&lt;&gt;",'Card Test Cases'!$F$4:$F$1000,"Passed"))</f>
        <v/>
      </c>
      <c r="Q562" s="68" t="str">
        <f>IF(TRIM($A562)="","",COUNTIFS('Card Test Cases'!$B$4:$B$1000,$A562,'Card Test Cases'!$A$4:$A$1000,"&lt;&gt;",'Card Test Cases'!$F$4:$F$1000,"Failed"))</f>
        <v/>
      </c>
      <c r="R562" s="68" t="str">
        <f t="shared" si="8"/>
        <v/>
      </c>
      <c r="S562" s="68" t="str" cm="1">
        <f t="array" ref="S562">IF(TRIM($A562)="","",IFERROR(_xlfn.TEXTJOIN(", ",TRUE,_xlfn.UNIQUE(_xlfn.VSTACK(_xlfn._xlws.FILTER('Card Test Cases'!$G$4:$G$1000,('Card Test Cases'!$B$4:$B$1000=$A562)*('Card Test Cases'!$G$4:$G$1000&lt;&gt;""),""),_xlfn._xlws.FILTER('E2E core flow'!$U$15:$U$1000,('E2E core flow'!$A$15:$A$1000&lt;&gt;"")*ISNUMBER(SEARCH('E2E core flow'!$A$15:$A$1000,$E562))*('E2E core flow'!$U$15:$U$1000&lt;&gt;""),"")))),"-"))</f>
        <v/>
      </c>
    </row>
    <row r="563" spans="7:19" x14ac:dyDescent="0.3">
      <c r="G563" s="68" t="str" cm="1">
        <f t="array" ref="G563">_xlfn.LET(_xlpm.ids,'E2E core flow'!$A$15:$A$1000,_xlpm.v,'E2E core flow'!$W$15:$W$1000,_xlpm.m,(_xlpm.ids&lt;&gt;"")*ISNUMBER(SEARCH(_xlpm.ids,$E563)),_xlpm.f,SUM(_xlpm.m*(_xlpm.v="Failed")),_xlpm.b,SUM(_xlpm.m*(_xlpm.v="Blocked")),_xlpm.nr,SUM(_xlpm.m*(_xlpm.v="Not Run")),_xlpm.cp,SUM(_xlpm.m*(_xlpm.v="Conditionally Passed")),_xlpm.p,SUM(_xlpm.m*(_xlpm.v="Passed")),IF(TRIM($A563)="","",IF(TRIM($E563)="","Pending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63" s="68" t="str">
        <f>IF(TRIM($A563)="","",IF($J563="Passed","",IF($J563="Passed with Known Issue","Known Issue",IF($J563="",IF(OR($H563&lt;&gt;"No",AND($F563&lt;&gt;"Medium",$F563&lt;&gt;"Low")),"Pending Result",""),IF(OR($H563&lt;&gt;"No",AND($F563&lt;&gt;"Medium",$F563&lt;&gt;"Low")),IF(COUNTIFS(Dashboard!$B$105:$B$124,$A563,Dashboard!$I$105:$I$124,"CAB")&gt;0,"Accepted (CF)","Blocking"),IF($J563="Failed","Deferrable","Carry Over"))))))</f>
        <v/>
      </c>
      <c r="M563" s="68" t="str">
        <f>IF(OR(TRIM($A563)="",TRIM($E563)=""),"",IFERROR(INDEX('E2E core flow'!$B$15:$B$1000,MATCH(1,INDEX(('E2E core flow'!$A$15:$A$1000&lt;&gt;"")*ISNUMBER(SEARCH('E2E core flow'!$A$15:$A$1000,$E563)),0),0))&amp;"","-"))</f>
        <v/>
      </c>
      <c r="N563" s="68" t="str">
        <f>IF(TRIM($A563)="","",IF($O563=0,IF(COUNTIFS('Card Test Cases'!$B$4:$B$1000,$A563,'Card Test Cases'!$A$4:$A$1000,"&lt;&gt;")&gt;0,"Out of Scope","No TC"),IF($Q563&gt;0,"Failed",IF(COUNTIFS('Card Test Cases'!$B$4:$B$1000,$A563,'Card Test Cases'!$A$4:$A$1000,"&lt;&gt;",'Card Test Cases'!$F$4:$F$1000,"Blocked")&gt;0,"Blocked",IF($R563&gt;0,"In Progress","Passed")))))</f>
        <v/>
      </c>
      <c r="O563" s="68" t="str">
        <f>IF(TRIM($A563)="","",COUNTIFS('Card Test Cases'!$B$4:$B$1000,$A563,'Card Test Cases'!$A$4:$A$1000,"&lt;&gt;",'Card Test Cases'!$F$4:$F$1000,"&lt;&gt;Out of Scope"))</f>
        <v/>
      </c>
      <c r="P563" s="68" t="str">
        <f>IF(TRIM($A563)="","",COUNTIFS('Card Test Cases'!$B$4:$B$1000,$A563,'Card Test Cases'!$A$4:$A$1000,"&lt;&gt;",'Card Test Cases'!$F$4:$F$1000,"Passed"))</f>
        <v/>
      </c>
      <c r="Q563" s="68" t="str">
        <f>IF(TRIM($A563)="","",COUNTIFS('Card Test Cases'!$B$4:$B$1000,$A563,'Card Test Cases'!$A$4:$A$1000,"&lt;&gt;",'Card Test Cases'!$F$4:$F$1000,"Failed"))</f>
        <v/>
      </c>
      <c r="R563" s="68" t="str">
        <f t="shared" si="8"/>
        <v/>
      </c>
      <c r="S563" s="68" t="str" cm="1">
        <f t="array" ref="S563">IF(TRIM($A563)="","",IFERROR(_xlfn.TEXTJOIN(", ",TRUE,_xlfn.UNIQUE(_xlfn.VSTACK(_xlfn._xlws.FILTER('Card Test Cases'!$G$4:$G$1000,('Card Test Cases'!$B$4:$B$1000=$A563)*('Card Test Cases'!$G$4:$G$1000&lt;&gt;""),""),_xlfn._xlws.FILTER('E2E core flow'!$U$15:$U$1000,('E2E core flow'!$A$15:$A$1000&lt;&gt;"")*ISNUMBER(SEARCH('E2E core flow'!$A$15:$A$1000,$E563))*('E2E core flow'!$U$15:$U$1000&lt;&gt;""),"")))),"-"))</f>
        <v/>
      </c>
    </row>
    <row r="564" spans="7:19" x14ac:dyDescent="0.3">
      <c r="G564" s="68" t="str" cm="1">
        <f t="array" ref="G564">_xlfn.LET(_xlpm.ids,'E2E core flow'!$A$15:$A$1000,_xlpm.v,'E2E core flow'!$W$15:$W$1000,_xlpm.m,(_xlpm.ids&lt;&gt;"")*ISNUMBER(SEARCH(_xlpm.ids,$E564)),_xlpm.f,SUM(_xlpm.m*(_xlpm.v="Failed")),_xlpm.b,SUM(_xlpm.m*(_xlpm.v="Blocked")),_xlpm.nr,SUM(_xlpm.m*(_xlpm.v="Not Run")),_xlpm.cp,SUM(_xlpm.m*(_xlpm.v="Conditionally Passed")),_xlpm.p,SUM(_xlpm.m*(_xlpm.v="Passed")),IF(TRIM($A564)="","",IF(TRIM($E564)="","Pending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64" s="68" t="str">
        <f>IF(TRIM($A564)="","",IF($J564="Passed","",IF($J564="Passed with Known Issue","Known Issue",IF($J564="",IF(OR($H564&lt;&gt;"No",AND($F564&lt;&gt;"Medium",$F564&lt;&gt;"Low")),"Pending Result",""),IF(OR($H564&lt;&gt;"No",AND($F564&lt;&gt;"Medium",$F564&lt;&gt;"Low")),IF(COUNTIFS(Dashboard!$B$105:$B$124,$A564,Dashboard!$I$105:$I$124,"CAB")&gt;0,"Accepted (CF)","Blocking"),IF($J564="Failed","Deferrable","Carry Over"))))))</f>
        <v/>
      </c>
      <c r="M564" s="68" t="str">
        <f>IF(OR(TRIM($A564)="",TRIM($E564)=""),"",IFERROR(INDEX('E2E core flow'!$B$15:$B$1000,MATCH(1,INDEX(('E2E core flow'!$A$15:$A$1000&lt;&gt;"")*ISNUMBER(SEARCH('E2E core flow'!$A$15:$A$1000,$E564)),0),0))&amp;"","-"))</f>
        <v/>
      </c>
      <c r="N564" s="68" t="str">
        <f>IF(TRIM($A564)="","",IF($O564=0,IF(COUNTIFS('Card Test Cases'!$B$4:$B$1000,$A564,'Card Test Cases'!$A$4:$A$1000,"&lt;&gt;")&gt;0,"Out of Scope","No TC"),IF($Q564&gt;0,"Failed",IF(COUNTIFS('Card Test Cases'!$B$4:$B$1000,$A564,'Card Test Cases'!$A$4:$A$1000,"&lt;&gt;",'Card Test Cases'!$F$4:$F$1000,"Blocked")&gt;0,"Blocked",IF($R564&gt;0,"In Progress","Passed")))))</f>
        <v/>
      </c>
      <c r="O564" s="68" t="str">
        <f>IF(TRIM($A564)="","",COUNTIFS('Card Test Cases'!$B$4:$B$1000,$A564,'Card Test Cases'!$A$4:$A$1000,"&lt;&gt;",'Card Test Cases'!$F$4:$F$1000,"&lt;&gt;Out of Scope"))</f>
        <v/>
      </c>
      <c r="P564" s="68" t="str">
        <f>IF(TRIM($A564)="","",COUNTIFS('Card Test Cases'!$B$4:$B$1000,$A564,'Card Test Cases'!$A$4:$A$1000,"&lt;&gt;",'Card Test Cases'!$F$4:$F$1000,"Passed"))</f>
        <v/>
      </c>
      <c r="Q564" s="68" t="str">
        <f>IF(TRIM($A564)="","",COUNTIFS('Card Test Cases'!$B$4:$B$1000,$A564,'Card Test Cases'!$A$4:$A$1000,"&lt;&gt;",'Card Test Cases'!$F$4:$F$1000,"Failed"))</f>
        <v/>
      </c>
      <c r="R564" s="68" t="str">
        <f t="shared" si="8"/>
        <v/>
      </c>
      <c r="S564" s="68" t="str" cm="1">
        <f t="array" ref="S564">IF(TRIM($A564)="","",IFERROR(_xlfn.TEXTJOIN(", ",TRUE,_xlfn.UNIQUE(_xlfn.VSTACK(_xlfn._xlws.FILTER('Card Test Cases'!$G$4:$G$1000,('Card Test Cases'!$B$4:$B$1000=$A564)*('Card Test Cases'!$G$4:$G$1000&lt;&gt;""),""),_xlfn._xlws.FILTER('E2E core flow'!$U$15:$U$1000,('E2E core flow'!$A$15:$A$1000&lt;&gt;"")*ISNUMBER(SEARCH('E2E core flow'!$A$15:$A$1000,$E564))*('E2E core flow'!$U$15:$U$1000&lt;&gt;""),"")))),"-"))</f>
        <v/>
      </c>
    </row>
    <row r="565" spans="7:19" x14ac:dyDescent="0.3">
      <c r="G565" s="68" t="str" cm="1">
        <f t="array" ref="G565">_xlfn.LET(_xlpm.ids,'E2E core flow'!$A$15:$A$1000,_xlpm.v,'E2E core flow'!$W$15:$W$1000,_xlpm.m,(_xlpm.ids&lt;&gt;"")*ISNUMBER(SEARCH(_xlpm.ids,$E565)),_xlpm.f,SUM(_xlpm.m*(_xlpm.v="Failed")),_xlpm.b,SUM(_xlpm.m*(_xlpm.v="Blocked")),_xlpm.nr,SUM(_xlpm.m*(_xlpm.v="Not Run")),_xlpm.cp,SUM(_xlpm.m*(_xlpm.v="Conditionally Passed")),_xlpm.p,SUM(_xlpm.m*(_xlpm.v="Passed")),IF(TRIM($A565)="","",IF(TRIM($E565)="","Pending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65" s="68" t="str">
        <f>IF(TRIM($A565)="","",IF($J565="Passed","",IF($J565="Passed with Known Issue","Known Issue",IF($J565="",IF(OR($H565&lt;&gt;"No",AND($F565&lt;&gt;"Medium",$F565&lt;&gt;"Low")),"Pending Result",""),IF(OR($H565&lt;&gt;"No",AND($F565&lt;&gt;"Medium",$F565&lt;&gt;"Low")),IF(COUNTIFS(Dashboard!$B$105:$B$124,$A565,Dashboard!$I$105:$I$124,"CAB")&gt;0,"Accepted (CF)","Blocking"),IF($J565="Failed","Deferrable","Carry Over"))))))</f>
        <v/>
      </c>
      <c r="M565" s="68" t="str">
        <f>IF(OR(TRIM($A565)="",TRIM($E565)=""),"",IFERROR(INDEX('E2E core flow'!$B$15:$B$1000,MATCH(1,INDEX(('E2E core flow'!$A$15:$A$1000&lt;&gt;"")*ISNUMBER(SEARCH('E2E core flow'!$A$15:$A$1000,$E565)),0),0))&amp;"","-"))</f>
        <v/>
      </c>
      <c r="N565" s="68" t="str">
        <f>IF(TRIM($A565)="","",IF($O565=0,IF(COUNTIFS('Card Test Cases'!$B$4:$B$1000,$A565,'Card Test Cases'!$A$4:$A$1000,"&lt;&gt;")&gt;0,"Out of Scope","No TC"),IF($Q565&gt;0,"Failed",IF(COUNTIFS('Card Test Cases'!$B$4:$B$1000,$A565,'Card Test Cases'!$A$4:$A$1000,"&lt;&gt;",'Card Test Cases'!$F$4:$F$1000,"Blocked")&gt;0,"Blocked",IF($R565&gt;0,"In Progress","Passed")))))</f>
        <v/>
      </c>
      <c r="O565" s="68" t="str">
        <f>IF(TRIM($A565)="","",COUNTIFS('Card Test Cases'!$B$4:$B$1000,$A565,'Card Test Cases'!$A$4:$A$1000,"&lt;&gt;",'Card Test Cases'!$F$4:$F$1000,"&lt;&gt;Out of Scope"))</f>
        <v/>
      </c>
      <c r="P565" s="68" t="str">
        <f>IF(TRIM($A565)="","",COUNTIFS('Card Test Cases'!$B$4:$B$1000,$A565,'Card Test Cases'!$A$4:$A$1000,"&lt;&gt;",'Card Test Cases'!$F$4:$F$1000,"Passed"))</f>
        <v/>
      </c>
      <c r="Q565" s="68" t="str">
        <f>IF(TRIM($A565)="","",COUNTIFS('Card Test Cases'!$B$4:$B$1000,$A565,'Card Test Cases'!$A$4:$A$1000,"&lt;&gt;",'Card Test Cases'!$F$4:$F$1000,"Failed"))</f>
        <v/>
      </c>
      <c r="R565" s="68" t="str">
        <f t="shared" si="8"/>
        <v/>
      </c>
      <c r="S565" s="68" t="str" cm="1">
        <f t="array" ref="S565">IF(TRIM($A565)="","",IFERROR(_xlfn.TEXTJOIN(", ",TRUE,_xlfn.UNIQUE(_xlfn.VSTACK(_xlfn._xlws.FILTER('Card Test Cases'!$G$4:$G$1000,('Card Test Cases'!$B$4:$B$1000=$A565)*('Card Test Cases'!$G$4:$G$1000&lt;&gt;""),""),_xlfn._xlws.FILTER('E2E core flow'!$U$15:$U$1000,('E2E core flow'!$A$15:$A$1000&lt;&gt;"")*ISNUMBER(SEARCH('E2E core flow'!$A$15:$A$1000,$E565))*('E2E core flow'!$U$15:$U$1000&lt;&gt;""),"")))),"-"))</f>
        <v/>
      </c>
    </row>
    <row r="566" spans="7:19" x14ac:dyDescent="0.3">
      <c r="G566" s="68" t="str" cm="1">
        <f t="array" ref="G566">_xlfn.LET(_xlpm.ids,'E2E core flow'!$A$15:$A$1000,_xlpm.v,'E2E core flow'!$W$15:$W$1000,_xlpm.m,(_xlpm.ids&lt;&gt;"")*ISNUMBER(SEARCH(_xlpm.ids,$E566)),_xlpm.f,SUM(_xlpm.m*(_xlpm.v="Failed")),_xlpm.b,SUM(_xlpm.m*(_xlpm.v="Blocked")),_xlpm.nr,SUM(_xlpm.m*(_xlpm.v="Not Run")),_xlpm.cp,SUM(_xlpm.m*(_xlpm.v="Conditionally Passed")),_xlpm.p,SUM(_xlpm.m*(_xlpm.v="Passed")),IF(TRIM($A566)="","",IF(TRIM($E566)="","Pending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66" s="68" t="str">
        <f>IF(TRIM($A566)="","",IF($J566="Passed","",IF($J566="Passed with Known Issue","Known Issue",IF($J566="",IF(OR($H566&lt;&gt;"No",AND($F566&lt;&gt;"Medium",$F566&lt;&gt;"Low")),"Pending Result",""),IF(OR($H566&lt;&gt;"No",AND($F566&lt;&gt;"Medium",$F566&lt;&gt;"Low")),IF(COUNTIFS(Dashboard!$B$105:$B$124,$A566,Dashboard!$I$105:$I$124,"CAB")&gt;0,"Accepted (CF)","Blocking"),IF($J566="Failed","Deferrable","Carry Over"))))))</f>
        <v/>
      </c>
      <c r="M566" s="68" t="str">
        <f>IF(OR(TRIM($A566)="",TRIM($E566)=""),"",IFERROR(INDEX('E2E core flow'!$B$15:$B$1000,MATCH(1,INDEX(('E2E core flow'!$A$15:$A$1000&lt;&gt;"")*ISNUMBER(SEARCH('E2E core flow'!$A$15:$A$1000,$E566)),0),0))&amp;"","-"))</f>
        <v/>
      </c>
      <c r="N566" s="68" t="str">
        <f>IF(TRIM($A566)="","",IF($O566=0,IF(COUNTIFS('Card Test Cases'!$B$4:$B$1000,$A566,'Card Test Cases'!$A$4:$A$1000,"&lt;&gt;")&gt;0,"Out of Scope","No TC"),IF($Q566&gt;0,"Failed",IF(COUNTIFS('Card Test Cases'!$B$4:$B$1000,$A566,'Card Test Cases'!$A$4:$A$1000,"&lt;&gt;",'Card Test Cases'!$F$4:$F$1000,"Blocked")&gt;0,"Blocked",IF($R566&gt;0,"In Progress","Passed")))))</f>
        <v/>
      </c>
      <c r="O566" s="68" t="str">
        <f>IF(TRIM($A566)="","",COUNTIFS('Card Test Cases'!$B$4:$B$1000,$A566,'Card Test Cases'!$A$4:$A$1000,"&lt;&gt;",'Card Test Cases'!$F$4:$F$1000,"&lt;&gt;Out of Scope"))</f>
        <v/>
      </c>
      <c r="P566" s="68" t="str">
        <f>IF(TRIM($A566)="","",COUNTIFS('Card Test Cases'!$B$4:$B$1000,$A566,'Card Test Cases'!$A$4:$A$1000,"&lt;&gt;",'Card Test Cases'!$F$4:$F$1000,"Passed"))</f>
        <v/>
      </c>
      <c r="Q566" s="68" t="str">
        <f>IF(TRIM($A566)="","",COUNTIFS('Card Test Cases'!$B$4:$B$1000,$A566,'Card Test Cases'!$A$4:$A$1000,"&lt;&gt;",'Card Test Cases'!$F$4:$F$1000,"Failed"))</f>
        <v/>
      </c>
      <c r="R566" s="68" t="str">
        <f t="shared" si="8"/>
        <v/>
      </c>
      <c r="S566" s="68" t="str" cm="1">
        <f t="array" ref="S566">IF(TRIM($A566)="","",IFERROR(_xlfn.TEXTJOIN(", ",TRUE,_xlfn.UNIQUE(_xlfn.VSTACK(_xlfn._xlws.FILTER('Card Test Cases'!$G$4:$G$1000,('Card Test Cases'!$B$4:$B$1000=$A566)*('Card Test Cases'!$G$4:$G$1000&lt;&gt;""),""),_xlfn._xlws.FILTER('E2E core flow'!$U$15:$U$1000,('E2E core flow'!$A$15:$A$1000&lt;&gt;"")*ISNUMBER(SEARCH('E2E core flow'!$A$15:$A$1000,$E566))*('E2E core flow'!$U$15:$U$1000&lt;&gt;""),"")))),"-"))</f>
        <v/>
      </c>
    </row>
    <row r="567" spans="7:19" x14ac:dyDescent="0.3">
      <c r="G567" s="68" t="str" cm="1">
        <f t="array" ref="G567">_xlfn.LET(_xlpm.ids,'E2E core flow'!$A$15:$A$1000,_xlpm.v,'E2E core flow'!$W$15:$W$1000,_xlpm.m,(_xlpm.ids&lt;&gt;"")*ISNUMBER(SEARCH(_xlpm.ids,$E567)),_xlpm.f,SUM(_xlpm.m*(_xlpm.v="Failed")),_xlpm.b,SUM(_xlpm.m*(_xlpm.v="Blocked")),_xlpm.nr,SUM(_xlpm.m*(_xlpm.v="Not Run")),_xlpm.cp,SUM(_xlpm.m*(_xlpm.v="Conditionally Passed")),_xlpm.p,SUM(_xlpm.m*(_xlpm.v="Passed")),IF(TRIM($A567)="","",IF(TRIM($E567)="","Pending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67" s="68" t="str">
        <f>IF(TRIM($A567)="","",IF($J567="Passed","",IF($J567="Passed with Known Issue","Known Issue",IF($J567="",IF(OR($H567&lt;&gt;"No",AND($F567&lt;&gt;"Medium",$F567&lt;&gt;"Low")),"Pending Result",""),IF(OR($H567&lt;&gt;"No",AND($F567&lt;&gt;"Medium",$F567&lt;&gt;"Low")),IF(COUNTIFS(Dashboard!$B$105:$B$124,$A567,Dashboard!$I$105:$I$124,"CAB")&gt;0,"Accepted (CF)","Blocking"),IF($J567="Failed","Deferrable","Carry Over"))))))</f>
        <v/>
      </c>
      <c r="M567" s="68" t="str">
        <f>IF(OR(TRIM($A567)="",TRIM($E567)=""),"",IFERROR(INDEX('E2E core flow'!$B$15:$B$1000,MATCH(1,INDEX(('E2E core flow'!$A$15:$A$1000&lt;&gt;"")*ISNUMBER(SEARCH('E2E core flow'!$A$15:$A$1000,$E567)),0),0))&amp;"","-"))</f>
        <v/>
      </c>
      <c r="N567" s="68" t="str">
        <f>IF(TRIM($A567)="","",IF($O567=0,IF(COUNTIFS('Card Test Cases'!$B$4:$B$1000,$A567,'Card Test Cases'!$A$4:$A$1000,"&lt;&gt;")&gt;0,"Out of Scope","No TC"),IF($Q567&gt;0,"Failed",IF(COUNTIFS('Card Test Cases'!$B$4:$B$1000,$A567,'Card Test Cases'!$A$4:$A$1000,"&lt;&gt;",'Card Test Cases'!$F$4:$F$1000,"Blocked")&gt;0,"Blocked",IF($R567&gt;0,"In Progress","Passed")))))</f>
        <v/>
      </c>
      <c r="O567" s="68" t="str">
        <f>IF(TRIM($A567)="","",COUNTIFS('Card Test Cases'!$B$4:$B$1000,$A567,'Card Test Cases'!$A$4:$A$1000,"&lt;&gt;",'Card Test Cases'!$F$4:$F$1000,"&lt;&gt;Out of Scope"))</f>
        <v/>
      </c>
      <c r="P567" s="68" t="str">
        <f>IF(TRIM($A567)="","",COUNTIFS('Card Test Cases'!$B$4:$B$1000,$A567,'Card Test Cases'!$A$4:$A$1000,"&lt;&gt;",'Card Test Cases'!$F$4:$F$1000,"Passed"))</f>
        <v/>
      </c>
      <c r="Q567" s="68" t="str">
        <f>IF(TRIM($A567)="","",COUNTIFS('Card Test Cases'!$B$4:$B$1000,$A567,'Card Test Cases'!$A$4:$A$1000,"&lt;&gt;",'Card Test Cases'!$F$4:$F$1000,"Failed"))</f>
        <v/>
      </c>
      <c r="R567" s="68" t="str">
        <f t="shared" si="8"/>
        <v/>
      </c>
      <c r="S567" s="68" t="str" cm="1">
        <f t="array" ref="S567">IF(TRIM($A567)="","",IFERROR(_xlfn.TEXTJOIN(", ",TRUE,_xlfn.UNIQUE(_xlfn.VSTACK(_xlfn._xlws.FILTER('Card Test Cases'!$G$4:$G$1000,('Card Test Cases'!$B$4:$B$1000=$A567)*('Card Test Cases'!$G$4:$G$1000&lt;&gt;""),""),_xlfn._xlws.FILTER('E2E core flow'!$U$15:$U$1000,('E2E core flow'!$A$15:$A$1000&lt;&gt;"")*ISNUMBER(SEARCH('E2E core flow'!$A$15:$A$1000,$E567))*('E2E core flow'!$U$15:$U$1000&lt;&gt;""),"")))),"-"))</f>
        <v/>
      </c>
    </row>
    <row r="568" spans="7:19" x14ac:dyDescent="0.3">
      <c r="G568" s="68" t="str" cm="1">
        <f t="array" ref="G568">_xlfn.LET(_xlpm.ids,'E2E core flow'!$A$15:$A$1000,_xlpm.v,'E2E core flow'!$W$15:$W$1000,_xlpm.m,(_xlpm.ids&lt;&gt;"")*ISNUMBER(SEARCH(_xlpm.ids,$E568)),_xlpm.f,SUM(_xlpm.m*(_xlpm.v="Failed")),_xlpm.b,SUM(_xlpm.m*(_xlpm.v="Blocked")),_xlpm.nr,SUM(_xlpm.m*(_xlpm.v="Not Run")),_xlpm.cp,SUM(_xlpm.m*(_xlpm.v="Conditionally Passed")),_xlpm.p,SUM(_xlpm.m*(_xlpm.v="Passed")),IF(TRIM($A568)="","",IF(TRIM($E568)="","Pending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68" s="68" t="str">
        <f>IF(TRIM($A568)="","",IF($J568="Passed","",IF($J568="Passed with Known Issue","Known Issue",IF($J568="",IF(OR($H568&lt;&gt;"No",AND($F568&lt;&gt;"Medium",$F568&lt;&gt;"Low")),"Pending Result",""),IF(OR($H568&lt;&gt;"No",AND($F568&lt;&gt;"Medium",$F568&lt;&gt;"Low")),IF(COUNTIFS(Dashboard!$B$105:$B$124,$A568,Dashboard!$I$105:$I$124,"CAB")&gt;0,"Accepted (CF)","Blocking"),IF($J568="Failed","Deferrable","Carry Over"))))))</f>
        <v/>
      </c>
      <c r="M568" s="68" t="str">
        <f>IF(OR(TRIM($A568)="",TRIM($E568)=""),"",IFERROR(INDEX('E2E core flow'!$B$15:$B$1000,MATCH(1,INDEX(('E2E core flow'!$A$15:$A$1000&lt;&gt;"")*ISNUMBER(SEARCH('E2E core flow'!$A$15:$A$1000,$E568)),0),0))&amp;"","-"))</f>
        <v/>
      </c>
      <c r="N568" s="68" t="str">
        <f>IF(TRIM($A568)="","",IF($O568=0,IF(COUNTIFS('Card Test Cases'!$B$4:$B$1000,$A568,'Card Test Cases'!$A$4:$A$1000,"&lt;&gt;")&gt;0,"Out of Scope","No TC"),IF($Q568&gt;0,"Failed",IF(COUNTIFS('Card Test Cases'!$B$4:$B$1000,$A568,'Card Test Cases'!$A$4:$A$1000,"&lt;&gt;",'Card Test Cases'!$F$4:$F$1000,"Blocked")&gt;0,"Blocked",IF($R568&gt;0,"In Progress","Passed")))))</f>
        <v/>
      </c>
      <c r="O568" s="68" t="str">
        <f>IF(TRIM($A568)="","",COUNTIFS('Card Test Cases'!$B$4:$B$1000,$A568,'Card Test Cases'!$A$4:$A$1000,"&lt;&gt;",'Card Test Cases'!$F$4:$F$1000,"&lt;&gt;Out of Scope"))</f>
        <v/>
      </c>
      <c r="P568" s="68" t="str">
        <f>IF(TRIM($A568)="","",COUNTIFS('Card Test Cases'!$B$4:$B$1000,$A568,'Card Test Cases'!$A$4:$A$1000,"&lt;&gt;",'Card Test Cases'!$F$4:$F$1000,"Passed"))</f>
        <v/>
      </c>
      <c r="Q568" s="68" t="str">
        <f>IF(TRIM($A568)="","",COUNTIFS('Card Test Cases'!$B$4:$B$1000,$A568,'Card Test Cases'!$A$4:$A$1000,"&lt;&gt;",'Card Test Cases'!$F$4:$F$1000,"Failed"))</f>
        <v/>
      </c>
      <c r="R568" s="68" t="str">
        <f t="shared" si="8"/>
        <v/>
      </c>
      <c r="S568" s="68" t="str" cm="1">
        <f t="array" ref="S568">IF(TRIM($A568)="","",IFERROR(_xlfn.TEXTJOIN(", ",TRUE,_xlfn.UNIQUE(_xlfn.VSTACK(_xlfn._xlws.FILTER('Card Test Cases'!$G$4:$G$1000,('Card Test Cases'!$B$4:$B$1000=$A568)*('Card Test Cases'!$G$4:$G$1000&lt;&gt;""),""),_xlfn._xlws.FILTER('E2E core flow'!$U$15:$U$1000,('E2E core flow'!$A$15:$A$1000&lt;&gt;"")*ISNUMBER(SEARCH('E2E core flow'!$A$15:$A$1000,$E568))*('E2E core flow'!$U$15:$U$1000&lt;&gt;""),"")))),"-"))</f>
        <v/>
      </c>
    </row>
    <row r="569" spans="7:19" x14ac:dyDescent="0.3">
      <c r="G569" s="68" t="str" cm="1">
        <f t="array" ref="G569">_xlfn.LET(_xlpm.ids,'E2E core flow'!$A$15:$A$1000,_xlpm.v,'E2E core flow'!$W$15:$W$1000,_xlpm.m,(_xlpm.ids&lt;&gt;"")*ISNUMBER(SEARCH(_xlpm.ids,$E569)),_xlpm.f,SUM(_xlpm.m*(_xlpm.v="Failed")),_xlpm.b,SUM(_xlpm.m*(_xlpm.v="Blocked")),_xlpm.nr,SUM(_xlpm.m*(_xlpm.v="Not Run")),_xlpm.cp,SUM(_xlpm.m*(_xlpm.v="Conditionally Passed")),_xlpm.p,SUM(_xlpm.m*(_xlpm.v="Passed")),IF(TRIM($A569)="","",IF(TRIM($E569)="","Pending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69" s="68" t="str">
        <f>IF(TRIM($A569)="","",IF($J569="Passed","",IF($J569="Passed with Known Issue","Known Issue",IF($J569="",IF(OR($H569&lt;&gt;"No",AND($F569&lt;&gt;"Medium",$F569&lt;&gt;"Low")),"Pending Result",""),IF(OR($H569&lt;&gt;"No",AND($F569&lt;&gt;"Medium",$F569&lt;&gt;"Low")),IF(COUNTIFS(Dashboard!$B$105:$B$124,$A569,Dashboard!$I$105:$I$124,"CAB")&gt;0,"Accepted (CF)","Blocking"),IF($J569="Failed","Deferrable","Carry Over"))))))</f>
        <v/>
      </c>
      <c r="M569" s="68" t="str">
        <f>IF(OR(TRIM($A569)="",TRIM($E569)=""),"",IFERROR(INDEX('E2E core flow'!$B$15:$B$1000,MATCH(1,INDEX(('E2E core flow'!$A$15:$A$1000&lt;&gt;"")*ISNUMBER(SEARCH('E2E core flow'!$A$15:$A$1000,$E569)),0),0))&amp;"","-"))</f>
        <v/>
      </c>
      <c r="N569" s="68" t="str">
        <f>IF(TRIM($A569)="","",IF($O569=0,IF(COUNTIFS('Card Test Cases'!$B$4:$B$1000,$A569,'Card Test Cases'!$A$4:$A$1000,"&lt;&gt;")&gt;0,"Out of Scope","No TC"),IF($Q569&gt;0,"Failed",IF(COUNTIFS('Card Test Cases'!$B$4:$B$1000,$A569,'Card Test Cases'!$A$4:$A$1000,"&lt;&gt;",'Card Test Cases'!$F$4:$F$1000,"Blocked")&gt;0,"Blocked",IF($R569&gt;0,"In Progress","Passed")))))</f>
        <v/>
      </c>
      <c r="O569" s="68" t="str">
        <f>IF(TRIM($A569)="","",COUNTIFS('Card Test Cases'!$B$4:$B$1000,$A569,'Card Test Cases'!$A$4:$A$1000,"&lt;&gt;",'Card Test Cases'!$F$4:$F$1000,"&lt;&gt;Out of Scope"))</f>
        <v/>
      </c>
      <c r="P569" s="68" t="str">
        <f>IF(TRIM($A569)="","",COUNTIFS('Card Test Cases'!$B$4:$B$1000,$A569,'Card Test Cases'!$A$4:$A$1000,"&lt;&gt;",'Card Test Cases'!$F$4:$F$1000,"Passed"))</f>
        <v/>
      </c>
      <c r="Q569" s="68" t="str">
        <f>IF(TRIM($A569)="","",COUNTIFS('Card Test Cases'!$B$4:$B$1000,$A569,'Card Test Cases'!$A$4:$A$1000,"&lt;&gt;",'Card Test Cases'!$F$4:$F$1000,"Failed"))</f>
        <v/>
      </c>
      <c r="R569" s="68" t="str">
        <f t="shared" si="8"/>
        <v/>
      </c>
      <c r="S569" s="68" t="str" cm="1">
        <f t="array" ref="S569">IF(TRIM($A569)="","",IFERROR(_xlfn.TEXTJOIN(", ",TRUE,_xlfn.UNIQUE(_xlfn.VSTACK(_xlfn._xlws.FILTER('Card Test Cases'!$G$4:$G$1000,('Card Test Cases'!$B$4:$B$1000=$A569)*('Card Test Cases'!$G$4:$G$1000&lt;&gt;""),""),_xlfn._xlws.FILTER('E2E core flow'!$U$15:$U$1000,('E2E core flow'!$A$15:$A$1000&lt;&gt;"")*ISNUMBER(SEARCH('E2E core flow'!$A$15:$A$1000,$E569))*('E2E core flow'!$U$15:$U$1000&lt;&gt;""),"")))),"-"))</f>
        <v/>
      </c>
    </row>
    <row r="570" spans="7:19" x14ac:dyDescent="0.3">
      <c r="G570" s="68" t="str" cm="1">
        <f t="array" ref="G570">_xlfn.LET(_xlpm.ids,'E2E core flow'!$A$15:$A$1000,_xlpm.v,'E2E core flow'!$W$15:$W$1000,_xlpm.m,(_xlpm.ids&lt;&gt;"")*ISNUMBER(SEARCH(_xlpm.ids,$E570)),_xlpm.f,SUM(_xlpm.m*(_xlpm.v="Failed")),_xlpm.b,SUM(_xlpm.m*(_xlpm.v="Blocked")),_xlpm.nr,SUM(_xlpm.m*(_xlpm.v="Not Run")),_xlpm.cp,SUM(_xlpm.m*(_xlpm.v="Conditionally Passed")),_xlpm.p,SUM(_xlpm.m*(_xlpm.v="Passed")),IF(TRIM($A570)="","",IF(TRIM($E570)="","Pending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70" s="68" t="str">
        <f>IF(TRIM($A570)="","",IF($J570="Passed","",IF($J570="Passed with Known Issue","Known Issue",IF($J570="",IF(OR($H570&lt;&gt;"No",AND($F570&lt;&gt;"Medium",$F570&lt;&gt;"Low")),"Pending Result",""),IF(OR($H570&lt;&gt;"No",AND($F570&lt;&gt;"Medium",$F570&lt;&gt;"Low")),IF(COUNTIFS(Dashboard!$B$105:$B$124,$A570,Dashboard!$I$105:$I$124,"CAB")&gt;0,"Accepted (CF)","Blocking"),IF($J570="Failed","Deferrable","Carry Over"))))))</f>
        <v/>
      </c>
      <c r="M570" s="68" t="str">
        <f>IF(OR(TRIM($A570)="",TRIM($E570)=""),"",IFERROR(INDEX('E2E core flow'!$B$15:$B$1000,MATCH(1,INDEX(('E2E core flow'!$A$15:$A$1000&lt;&gt;"")*ISNUMBER(SEARCH('E2E core flow'!$A$15:$A$1000,$E570)),0),0))&amp;"","-"))</f>
        <v/>
      </c>
      <c r="N570" s="68" t="str">
        <f>IF(TRIM($A570)="","",IF($O570=0,IF(COUNTIFS('Card Test Cases'!$B$4:$B$1000,$A570,'Card Test Cases'!$A$4:$A$1000,"&lt;&gt;")&gt;0,"Out of Scope","No TC"),IF($Q570&gt;0,"Failed",IF(COUNTIFS('Card Test Cases'!$B$4:$B$1000,$A570,'Card Test Cases'!$A$4:$A$1000,"&lt;&gt;",'Card Test Cases'!$F$4:$F$1000,"Blocked")&gt;0,"Blocked",IF($R570&gt;0,"In Progress","Passed")))))</f>
        <v/>
      </c>
      <c r="O570" s="68" t="str">
        <f>IF(TRIM($A570)="","",COUNTIFS('Card Test Cases'!$B$4:$B$1000,$A570,'Card Test Cases'!$A$4:$A$1000,"&lt;&gt;",'Card Test Cases'!$F$4:$F$1000,"&lt;&gt;Out of Scope"))</f>
        <v/>
      </c>
      <c r="P570" s="68" t="str">
        <f>IF(TRIM($A570)="","",COUNTIFS('Card Test Cases'!$B$4:$B$1000,$A570,'Card Test Cases'!$A$4:$A$1000,"&lt;&gt;",'Card Test Cases'!$F$4:$F$1000,"Passed"))</f>
        <v/>
      </c>
      <c r="Q570" s="68" t="str">
        <f>IF(TRIM($A570)="","",COUNTIFS('Card Test Cases'!$B$4:$B$1000,$A570,'Card Test Cases'!$A$4:$A$1000,"&lt;&gt;",'Card Test Cases'!$F$4:$F$1000,"Failed"))</f>
        <v/>
      </c>
      <c r="R570" s="68" t="str">
        <f t="shared" si="8"/>
        <v/>
      </c>
      <c r="S570" s="68" t="str" cm="1">
        <f t="array" ref="S570">IF(TRIM($A570)="","",IFERROR(_xlfn.TEXTJOIN(", ",TRUE,_xlfn.UNIQUE(_xlfn.VSTACK(_xlfn._xlws.FILTER('Card Test Cases'!$G$4:$G$1000,('Card Test Cases'!$B$4:$B$1000=$A570)*('Card Test Cases'!$G$4:$G$1000&lt;&gt;""),""),_xlfn._xlws.FILTER('E2E core flow'!$U$15:$U$1000,('E2E core flow'!$A$15:$A$1000&lt;&gt;"")*ISNUMBER(SEARCH('E2E core flow'!$A$15:$A$1000,$E570))*('E2E core flow'!$U$15:$U$1000&lt;&gt;""),"")))),"-"))</f>
        <v/>
      </c>
    </row>
    <row r="571" spans="7:19" x14ac:dyDescent="0.3">
      <c r="G571" s="68" t="str" cm="1">
        <f t="array" ref="G571">_xlfn.LET(_xlpm.ids,'E2E core flow'!$A$15:$A$1000,_xlpm.v,'E2E core flow'!$W$15:$W$1000,_xlpm.m,(_xlpm.ids&lt;&gt;"")*ISNUMBER(SEARCH(_xlpm.ids,$E571)),_xlpm.f,SUM(_xlpm.m*(_xlpm.v="Failed")),_xlpm.b,SUM(_xlpm.m*(_xlpm.v="Blocked")),_xlpm.nr,SUM(_xlpm.m*(_xlpm.v="Not Run")),_xlpm.cp,SUM(_xlpm.m*(_xlpm.v="Conditionally Passed")),_xlpm.p,SUM(_xlpm.m*(_xlpm.v="Passed")),IF(TRIM($A571)="","",IF(TRIM($E571)="","Pending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71" s="68" t="str">
        <f>IF(TRIM($A571)="","",IF($J571="Passed","",IF($J571="Passed with Known Issue","Known Issue",IF($J571="",IF(OR($H571&lt;&gt;"No",AND($F571&lt;&gt;"Medium",$F571&lt;&gt;"Low")),"Pending Result",""),IF(OR($H571&lt;&gt;"No",AND($F571&lt;&gt;"Medium",$F571&lt;&gt;"Low")),IF(COUNTIFS(Dashboard!$B$105:$B$124,$A571,Dashboard!$I$105:$I$124,"CAB")&gt;0,"Accepted (CF)","Blocking"),IF($J571="Failed","Deferrable","Carry Over"))))))</f>
        <v/>
      </c>
      <c r="M571" s="68" t="str">
        <f>IF(OR(TRIM($A571)="",TRIM($E571)=""),"",IFERROR(INDEX('E2E core flow'!$B$15:$B$1000,MATCH(1,INDEX(('E2E core flow'!$A$15:$A$1000&lt;&gt;"")*ISNUMBER(SEARCH('E2E core flow'!$A$15:$A$1000,$E571)),0),0))&amp;"","-"))</f>
        <v/>
      </c>
      <c r="N571" s="68" t="str">
        <f>IF(TRIM($A571)="","",IF($O571=0,IF(COUNTIFS('Card Test Cases'!$B$4:$B$1000,$A571,'Card Test Cases'!$A$4:$A$1000,"&lt;&gt;")&gt;0,"Out of Scope","No TC"),IF($Q571&gt;0,"Failed",IF(COUNTIFS('Card Test Cases'!$B$4:$B$1000,$A571,'Card Test Cases'!$A$4:$A$1000,"&lt;&gt;",'Card Test Cases'!$F$4:$F$1000,"Blocked")&gt;0,"Blocked",IF($R571&gt;0,"In Progress","Passed")))))</f>
        <v/>
      </c>
      <c r="O571" s="68" t="str">
        <f>IF(TRIM($A571)="","",COUNTIFS('Card Test Cases'!$B$4:$B$1000,$A571,'Card Test Cases'!$A$4:$A$1000,"&lt;&gt;",'Card Test Cases'!$F$4:$F$1000,"&lt;&gt;Out of Scope"))</f>
        <v/>
      </c>
      <c r="P571" s="68" t="str">
        <f>IF(TRIM($A571)="","",COUNTIFS('Card Test Cases'!$B$4:$B$1000,$A571,'Card Test Cases'!$A$4:$A$1000,"&lt;&gt;",'Card Test Cases'!$F$4:$F$1000,"Passed"))</f>
        <v/>
      </c>
      <c r="Q571" s="68" t="str">
        <f>IF(TRIM($A571)="","",COUNTIFS('Card Test Cases'!$B$4:$B$1000,$A571,'Card Test Cases'!$A$4:$A$1000,"&lt;&gt;",'Card Test Cases'!$F$4:$F$1000,"Failed"))</f>
        <v/>
      </c>
      <c r="R571" s="68" t="str">
        <f t="shared" si="8"/>
        <v/>
      </c>
      <c r="S571" s="68" t="str" cm="1">
        <f t="array" ref="S571">IF(TRIM($A571)="","",IFERROR(_xlfn.TEXTJOIN(", ",TRUE,_xlfn.UNIQUE(_xlfn.VSTACK(_xlfn._xlws.FILTER('Card Test Cases'!$G$4:$G$1000,('Card Test Cases'!$B$4:$B$1000=$A571)*('Card Test Cases'!$G$4:$G$1000&lt;&gt;""),""),_xlfn._xlws.FILTER('E2E core flow'!$U$15:$U$1000,('E2E core flow'!$A$15:$A$1000&lt;&gt;"")*ISNUMBER(SEARCH('E2E core flow'!$A$15:$A$1000,$E571))*('E2E core flow'!$U$15:$U$1000&lt;&gt;""),"")))),"-"))</f>
        <v/>
      </c>
    </row>
    <row r="572" spans="7:19" x14ac:dyDescent="0.3">
      <c r="G572" s="68" t="str" cm="1">
        <f t="array" ref="G572">_xlfn.LET(_xlpm.ids,'E2E core flow'!$A$15:$A$1000,_xlpm.v,'E2E core flow'!$W$15:$W$1000,_xlpm.m,(_xlpm.ids&lt;&gt;"")*ISNUMBER(SEARCH(_xlpm.ids,$E572)),_xlpm.f,SUM(_xlpm.m*(_xlpm.v="Failed")),_xlpm.b,SUM(_xlpm.m*(_xlpm.v="Blocked")),_xlpm.nr,SUM(_xlpm.m*(_xlpm.v="Not Run")),_xlpm.cp,SUM(_xlpm.m*(_xlpm.v="Conditionally Passed")),_xlpm.p,SUM(_xlpm.m*(_xlpm.v="Passed")),IF(TRIM($A572)="","",IF(TRIM($E572)="","Pending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72" s="68" t="str">
        <f>IF(TRIM($A572)="","",IF($J572="Passed","",IF($J572="Passed with Known Issue","Known Issue",IF($J572="",IF(OR($H572&lt;&gt;"No",AND($F572&lt;&gt;"Medium",$F572&lt;&gt;"Low")),"Pending Result",""),IF(OR($H572&lt;&gt;"No",AND($F572&lt;&gt;"Medium",$F572&lt;&gt;"Low")),IF(COUNTIFS(Dashboard!$B$105:$B$124,$A572,Dashboard!$I$105:$I$124,"CAB")&gt;0,"Accepted (CF)","Blocking"),IF($J572="Failed","Deferrable","Carry Over"))))))</f>
        <v/>
      </c>
      <c r="M572" s="68" t="str">
        <f>IF(OR(TRIM($A572)="",TRIM($E572)=""),"",IFERROR(INDEX('E2E core flow'!$B$15:$B$1000,MATCH(1,INDEX(('E2E core flow'!$A$15:$A$1000&lt;&gt;"")*ISNUMBER(SEARCH('E2E core flow'!$A$15:$A$1000,$E572)),0),0))&amp;"","-"))</f>
        <v/>
      </c>
      <c r="N572" s="68" t="str">
        <f>IF(TRIM($A572)="","",IF($O572=0,IF(COUNTIFS('Card Test Cases'!$B$4:$B$1000,$A572,'Card Test Cases'!$A$4:$A$1000,"&lt;&gt;")&gt;0,"Out of Scope","No TC"),IF($Q572&gt;0,"Failed",IF(COUNTIFS('Card Test Cases'!$B$4:$B$1000,$A572,'Card Test Cases'!$A$4:$A$1000,"&lt;&gt;",'Card Test Cases'!$F$4:$F$1000,"Blocked")&gt;0,"Blocked",IF($R572&gt;0,"In Progress","Passed")))))</f>
        <v/>
      </c>
      <c r="O572" s="68" t="str">
        <f>IF(TRIM($A572)="","",COUNTIFS('Card Test Cases'!$B$4:$B$1000,$A572,'Card Test Cases'!$A$4:$A$1000,"&lt;&gt;",'Card Test Cases'!$F$4:$F$1000,"&lt;&gt;Out of Scope"))</f>
        <v/>
      </c>
      <c r="P572" s="68" t="str">
        <f>IF(TRIM($A572)="","",COUNTIFS('Card Test Cases'!$B$4:$B$1000,$A572,'Card Test Cases'!$A$4:$A$1000,"&lt;&gt;",'Card Test Cases'!$F$4:$F$1000,"Passed"))</f>
        <v/>
      </c>
      <c r="Q572" s="68" t="str">
        <f>IF(TRIM($A572)="","",COUNTIFS('Card Test Cases'!$B$4:$B$1000,$A572,'Card Test Cases'!$A$4:$A$1000,"&lt;&gt;",'Card Test Cases'!$F$4:$F$1000,"Failed"))</f>
        <v/>
      </c>
      <c r="R572" s="68" t="str">
        <f t="shared" si="8"/>
        <v/>
      </c>
      <c r="S572" s="68" t="str" cm="1">
        <f t="array" ref="S572">IF(TRIM($A572)="","",IFERROR(_xlfn.TEXTJOIN(", ",TRUE,_xlfn.UNIQUE(_xlfn.VSTACK(_xlfn._xlws.FILTER('Card Test Cases'!$G$4:$G$1000,('Card Test Cases'!$B$4:$B$1000=$A572)*('Card Test Cases'!$G$4:$G$1000&lt;&gt;""),""),_xlfn._xlws.FILTER('E2E core flow'!$U$15:$U$1000,('E2E core flow'!$A$15:$A$1000&lt;&gt;"")*ISNUMBER(SEARCH('E2E core flow'!$A$15:$A$1000,$E572))*('E2E core flow'!$U$15:$U$1000&lt;&gt;""),"")))),"-"))</f>
        <v/>
      </c>
    </row>
    <row r="573" spans="7:19" x14ac:dyDescent="0.3">
      <c r="G573" s="68" t="str" cm="1">
        <f t="array" ref="G573">_xlfn.LET(_xlpm.ids,'E2E core flow'!$A$15:$A$1000,_xlpm.v,'E2E core flow'!$W$15:$W$1000,_xlpm.m,(_xlpm.ids&lt;&gt;"")*ISNUMBER(SEARCH(_xlpm.ids,$E573)),_xlpm.f,SUM(_xlpm.m*(_xlpm.v="Failed")),_xlpm.b,SUM(_xlpm.m*(_xlpm.v="Blocked")),_xlpm.nr,SUM(_xlpm.m*(_xlpm.v="Not Run")),_xlpm.cp,SUM(_xlpm.m*(_xlpm.v="Conditionally Passed")),_xlpm.p,SUM(_xlpm.m*(_xlpm.v="Passed")),IF(TRIM($A573)="","",IF(TRIM($E573)="","Pending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73" s="68" t="str">
        <f>IF(TRIM($A573)="","",IF($J573="Passed","",IF($J573="Passed with Known Issue","Known Issue",IF($J573="",IF(OR($H573&lt;&gt;"No",AND($F573&lt;&gt;"Medium",$F573&lt;&gt;"Low")),"Pending Result",""),IF(OR($H573&lt;&gt;"No",AND($F573&lt;&gt;"Medium",$F573&lt;&gt;"Low")),IF(COUNTIFS(Dashboard!$B$105:$B$124,$A573,Dashboard!$I$105:$I$124,"CAB")&gt;0,"Accepted (CF)","Blocking"),IF($J573="Failed","Deferrable","Carry Over"))))))</f>
        <v/>
      </c>
      <c r="M573" s="68" t="str">
        <f>IF(OR(TRIM($A573)="",TRIM($E573)=""),"",IFERROR(INDEX('E2E core flow'!$B$15:$B$1000,MATCH(1,INDEX(('E2E core flow'!$A$15:$A$1000&lt;&gt;"")*ISNUMBER(SEARCH('E2E core flow'!$A$15:$A$1000,$E573)),0),0))&amp;"","-"))</f>
        <v/>
      </c>
      <c r="N573" s="68" t="str">
        <f>IF(TRIM($A573)="","",IF($O573=0,IF(COUNTIFS('Card Test Cases'!$B$4:$B$1000,$A573,'Card Test Cases'!$A$4:$A$1000,"&lt;&gt;")&gt;0,"Out of Scope","No TC"),IF($Q573&gt;0,"Failed",IF(COUNTIFS('Card Test Cases'!$B$4:$B$1000,$A573,'Card Test Cases'!$A$4:$A$1000,"&lt;&gt;",'Card Test Cases'!$F$4:$F$1000,"Blocked")&gt;0,"Blocked",IF($R573&gt;0,"In Progress","Passed")))))</f>
        <v/>
      </c>
      <c r="O573" s="68" t="str">
        <f>IF(TRIM($A573)="","",COUNTIFS('Card Test Cases'!$B$4:$B$1000,$A573,'Card Test Cases'!$A$4:$A$1000,"&lt;&gt;",'Card Test Cases'!$F$4:$F$1000,"&lt;&gt;Out of Scope"))</f>
        <v/>
      </c>
      <c r="P573" s="68" t="str">
        <f>IF(TRIM($A573)="","",COUNTIFS('Card Test Cases'!$B$4:$B$1000,$A573,'Card Test Cases'!$A$4:$A$1000,"&lt;&gt;",'Card Test Cases'!$F$4:$F$1000,"Passed"))</f>
        <v/>
      </c>
      <c r="Q573" s="68" t="str">
        <f>IF(TRIM($A573)="","",COUNTIFS('Card Test Cases'!$B$4:$B$1000,$A573,'Card Test Cases'!$A$4:$A$1000,"&lt;&gt;",'Card Test Cases'!$F$4:$F$1000,"Failed"))</f>
        <v/>
      </c>
      <c r="R573" s="68" t="str">
        <f t="shared" si="8"/>
        <v/>
      </c>
      <c r="S573" s="68" t="str" cm="1">
        <f t="array" ref="S573">IF(TRIM($A573)="","",IFERROR(_xlfn.TEXTJOIN(", ",TRUE,_xlfn.UNIQUE(_xlfn.VSTACK(_xlfn._xlws.FILTER('Card Test Cases'!$G$4:$G$1000,('Card Test Cases'!$B$4:$B$1000=$A573)*('Card Test Cases'!$G$4:$G$1000&lt;&gt;""),""),_xlfn._xlws.FILTER('E2E core flow'!$U$15:$U$1000,('E2E core flow'!$A$15:$A$1000&lt;&gt;"")*ISNUMBER(SEARCH('E2E core flow'!$A$15:$A$1000,$E573))*('E2E core flow'!$U$15:$U$1000&lt;&gt;""),"")))),"-"))</f>
        <v/>
      </c>
    </row>
    <row r="574" spans="7:19" x14ac:dyDescent="0.3">
      <c r="G574" s="68" t="str" cm="1">
        <f t="array" ref="G574">_xlfn.LET(_xlpm.ids,'E2E core flow'!$A$15:$A$1000,_xlpm.v,'E2E core flow'!$W$15:$W$1000,_xlpm.m,(_xlpm.ids&lt;&gt;"")*ISNUMBER(SEARCH(_xlpm.ids,$E574)),_xlpm.f,SUM(_xlpm.m*(_xlpm.v="Failed")),_xlpm.b,SUM(_xlpm.m*(_xlpm.v="Blocked")),_xlpm.nr,SUM(_xlpm.m*(_xlpm.v="Not Run")),_xlpm.cp,SUM(_xlpm.m*(_xlpm.v="Conditionally Passed")),_xlpm.p,SUM(_xlpm.m*(_xlpm.v="Passed")),IF(TRIM($A574)="","",IF(TRIM($E574)="","Pending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74" s="68" t="str">
        <f>IF(TRIM($A574)="","",IF($J574="Passed","",IF($J574="Passed with Known Issue","Known Issue",IF($J574="",IF(OR($H574&lt;&gt;"No",AND($F574&lt;&gt;"Medium",$F574&lt;&gt;"Low")),"Pending Result",""),IF(OR($H574&lt;&gt;"No",AND($F574&lt;&gt;"Medium",$F574&lt;&gt;"Low")),IF(COUNTIFS(Dashboard!$B$105:$B$124,$A574,Dashboard!$I$105:$I$124,"CAB")&gt;0,"Accepted (CF)","Blocking"),IF($J574="Failed","Deferrable","Carry Over"))))))</f>
        <v/>
      </c>
      <c r="M574" s="68" t="str">
        <f>IF(OR(TRIM($A574)="",TRIM($E574)=""),"",IFERROR(INDEX('E2E core flow'!$B$15:$B$1000,MATCH(1,INDEX(('E2E core flow'!$A$15:$A$1000&lt;&gt;"")*ISNUMBER(SEARCH('E2E core flow'!$A$15:$A$1000,$E574)),0),0))&amp;"","-"))</f>
        <v/>
      </c>
      <c r="N574" s="68" t="str">
        <f>IF(TRIM($A574)="","",IF($O574=0,IF(COUNTIFS('Card Test Cases'!$B$4:$B$1000,$A574,'Card Test Cases'!$A$4:$A$1000,"&lt;&gt;")&gt;0,"Out of Scope","No TC"),IF($Q574&gt;0,"Failed",IF(COUNTIFS('Card Test Cases'!$B$4:$B$1000,$A574,'Card Test Cases'!$A$4:$A$1000,"&lt;&gt;",'Card Test Cases'!$F$4:$F$1000,"Blocked")&gt;0,"Blocked",IF($R574&gt;0,"In Progress","Passed")))))</f>
        <v/>
      </c>
      <c r="O574" s="68" t="str">
        <f>IF(TRIM($A574)="","",COUNTIFS('Card Test Cases'!$B$4:$B$1000,$A574,'Card Test Cases'!$A$4:$A$1000,"&lt;&gt;",'Card Test Cases'!$F$4:$F$1000,"&lt;&gt;Out of Scope"))</f>
        <v/>
      </c>
      <c r="P574" s="68" t="str">
        <f>IF(TRIM($A574)="","",COUNTIFS('Card Test Cases'!$B$4:$B$1000,$A574,'Card Test Cases'!$A$4:$A$1000,"&lt;&gt;",'Card Test Cases'!$F$4:$F$1000,"Passed"))</f>
        <v/>
      </c>
      <c r="Q574" s="68" t="str">
        <f>IF(TRIM($A574)="","",COUNTIFS('Card Test Cases'!$B$4:$B$1000,$A574,'Card Test Cases'!$A$4:$A$1000,"&lt;&gt;",'Card Test Cases'!$F$4:$F$1000,"Failed"))</f>
        <v/>
      </c>
      <c r="R574" s="68" t="str">
        <f t="shared" si="8"/>
        <v/>
      </c>
      <c r="S574" s="68" t="str" cm="1">
        <f t="array" ref="S574">IF(TRIM($A574)="","",IFERROR(_xlfn.TEXTJOIN(", ",TRUE,_xlfn.UNIQUE(_xlfn.VSTACK(_xlfn._xlws.FILTER('Card Test Cases'!$G$4:$G$1000,('Card Test Cases'!$B$4:$B$1000=$A574)*('Card Test Cases'!$G$4:$G$1000&lt;&gt;""),""),_xlfn._xlws.FILTER('E2E core flow'!$U$15:$U$1000,('E2E core flow'!$A$15:$A$1000&lt;&gt;"")*ISNUMBER(SEARCH('E2E core flow'!$A$15:$A$1000,$E574))*('E2E core flow'!$U$15:$U$1000&lt;&gt;""),"")))),"-"))</f>
        <v/>
      </c>
    </row>
    <row r="575" spans="7:19" x14ac:dyDescent="0.3">
      <c r="G575" s="68" t="str" cm="1">
        <f t="array" ref="G575">_xlfn.LET(_xlpm.ids,'E2E core flow'!$A$15:$A$1000,_xlpm.v,'E2E core flow'!$W$15:$W$1000,_xlpm.m,(_xlpm.ids&lt;&gt;"")*ISNUMBER(SEARCH(_xlpm.ids,$E575)),_xlpm.f,SUM(_xlpm.m*(_xlpm.v="Failed")),_xlpm.b,SUM(_xlpm.m*(_xlpm.v="Blocked")),_xlpm.nr,SUM(_xlpm.m*(_xlpm.v="Not Run")),_xlpm.cp,SUM(_xlpm.m*(_xlpm.v="Conditionally Passed")),_xlpm.p,SUM(_xlpm.m*(_xlpm.v="Passed")),IF(TRIM($A575)="","",IF(TRIM($E575)="","Pending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75" s="68" t="str">
        <f>IF(TRIM($A575)="","",IF($J575="Passed","",IF($J575="Passed with Known Issue","Known Issue",IF($J575="",IF(OR($H575&lt;&gt;"No",AND($F575&lt;&gt;"Medium",$F575&lt;&gt;"Low")),"Pending Result",""),IF(OR($H575&lt;&gt;"No",AND($F575&lt;&gt;"Medium",$F575&lt;&gt;"Low")),IF(COUNTIFS(Dashboard!$B$105:$B$124,$A575,Dashboard!$I$105:$I$124,"CAB")&gt;0,"Accepted (CF)","Blocking"),IF($J575="Failed","Deferrable","Carry Over"))))))</f>
        <v/>
      </c>
      <c r="M575" s="68" t="str">
        <f>IF(OR(TRIM($A575)="",TRIM($E575)=""),"",IFERROR(INDEX('E2E core flow'!$B$15:$B$1000,MATCH(1,INDEX(('E2E core flow'!$A$15:$A$1000&lt;&gt;"")*ISNUMBER(SEARCH('E2E core flow'!$A$15:$A$1000,$E575)),0),0))&amp;"","-"))</f>
        <v/>
      </c>
      <c r="N575" s="68" t="str">
        <f>IF(TRIM($A575)="","",IF($O575=0,IF(COUNTIFS('Card Test Cases'!$B$4:$B$1000,$A575,'Card Test Cases'!$A$4:$A$1000,"&lt;&gt;")&gt;0,"Out of Scope","No TC"),IF($Q575&gt;0,"Failed",IF(COUNTIFS('Card Test Cases'!$B$4:$B$1000,$A575,'Card Test Cases'!$A$4:$A$1000,"&lt;&gt;",'Card Test Cases'!$F$4:$F$1000,"Blocked")&gt;0,"Blocked",IF($R575&gt;0,"In Progress","Passed")))))</f>
        <v/>
      </c>
      <c r="O575" s="68" t="str">
        <f>IF(TRIM($A575)="","",COUNTIFS('Card Test Cases'!$B$4:$B$1000,$A575,'Card Test Cases'!$A$4:$A$1000,"&lt;&gt;",'Card Test Cases'!$F$4:$F$1000,"&lt;&gt;Out of Scope"))</f>
        <v/>
      </c>
      <c r="P575" s="68" t="str">
        <f>IF(TRIM($A575)="","",COUNTIFS('Card Test Cases'!$B$4:$B$1000,$A575,'Card Test Cases'!$A$4:$A$1000,"&lt;&gt;",'Card Test Cases'!$F$4:$F$1000,"Passed"))</f>
        <v/>
      </c>
      <c r="Q575" s="68" t="str">
        <f>IF(TRIM($A575)="","",COUNTIFS('Card Test Cases'!$B$4:$B$1000,$A575,'Card Test Cases'!$A$4:$A$1000,"&lt;&gt;",'Card Test Cases'!$F$4:$F$1000,"Failed"))</f>
        <v/>
      </c>
      <c r="R575" s="68" t="str">
        <f t="shared" si="8"/>
        <v/>
      </c>
      <c r="S575" s="68" t="str" cm="1">
        <f t="array" ref="S575">IF(TRIM($A575)="","",IFERROR(_xlfn.TEXTJOIN(", ",TRUE,_xlfn.UNIQUE(_xlfn.VSTACK(_xlfn._xlws.FILTER('Card Test Cases'!$G$4:$G$1000,('Card Test Cases'!$B$4:$B$1000=$A575)*('Card Test Cases'!$G$4:$G$1000&lt;&gt;""),""),_xlfn._xlws.FILTER('E2E core flow'!$U$15:$U$1000,('E2E core flow'!$A$15:$A$1000&lt;&gt;"")*ISNUMBER(SEARCH('E2E core flow'!$A$15:$A$1000,$E575))*('E2E core flow'!$U$15:$U$1000&lt;&gt;""),"")))),"-"))</f>
        <v/>
      </c>
    </row>
    <row r="576" spans="7:19" x14ac:dyDescent="0.3">
      <c r="G576" s="68" t="str" cm="1">
        <f t="array" ref="G576">_xlfn.LET(_xlpm.ids,'E2E core flow'!$A$15:$A$1000,_xlpm.v,'E2E core flow'!$W$15:$W$1000,_xlpm.m,(_xlpm.ids&lt;&gt;"")*ISNUMBER(SEARCH(_xlpm.ids,$E576)),_xlpm.f,SUM(_xlpm.m*(_xlpm.v="Failed")),_xlpm.b,SUM(_xlpm.m*(_xlpm.v="Blocked")),_xlpm.nr,SUM(_xlpm.m*(_xlpm.v="Not Run")),_xlpm.cp,SUM(_xlpm.m*(_xlpm.v="Conditionally Passed")),_xlpm.p,SUM(_xlpm.m*(_xlpm.v="Passed")),IF(TRIM($A576)="","",IF(TRIM($E576)="","Pending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76" s="68" t="str">
        <f>IF(TRIM($A576)="","",IF($J576="Passed","",IF($J576="Passed with Known Issue","Known Issue",IF($J576="",IF(OR($H576&lt;&gt;"No",AND($F576&lt;&gt;"Medium",$F576&lt;&gt;"Low")),"Pending Result",""),IF(OR($H576&lt;&gt;"No",AND($F576&lt;&gt;"Medium",$F576&lt;&gt;"Low")),IF(COUNTIFS(Dashboard!$B$105:$B$124,$A576,Dashboard!$I$105:$I$124,"CAB")&gt;0,"Accepted (CF)","Blocking"),IF($J576="Failed","Deferrable","Carry Over"))))))</f>
        <v/>
      </c>
      <c r="M576" s="68" t="str">
        <f>IF(OR(TRIM($A576)="",TRIM($E576)=""),"",IFERROR(INDEX('E2E core flow'!$B$15:$B$1000,MATCH(1,INDEX(('E2E core flow'!$A$15:$A$1000&lt;&gt;"")*ISNUMBER(SEARCH('E2E core flow'!$A$15:$A$1000,$E576)),0),0))&amp;"","-"))</f>
        <v/>
      </c>
      <c r="N576" s="68" t="str">
        <f>IF(TRIM($A576)="","",IF($O576=0,IF(COUNTIFS('Card Test Cases'!$B$4:$B$1000,$A576,'Card Test Cases'!$A$4:$A$1000,"&lt;&gt;")&gt;0,"Out of Scope","No TC"),IF($Q576&gt;0,"Failed",IF(COUNTIFS('Card Test Cases'!$B$4:$B$1000,$A576,'Card Test Cases'!$A$4:$A$1000,"&lt;&gt;",'Card Test Cases'!$F$4:$F$1000,"Blocked")&gt;0,"Blocked",IF($R576&gt;0,"In Progress","Passed")))))</f>
        <v/>
      </c>
      <c r="O576" s="68" t="str">
        <f>IF(TRIM($A576)="","",COUNTIFS('Card Test Cases'!$B$4:$B$1000,$A576,'Card Test Cases'!$A$4:$A$1000,"&lt;&gt;",'Card Test Cases'!$F$4:$F$1000,"&lt;&gt;Out of Scope"))</f>
        <v/>
      </c>
      <c r="P576" s="68" t="str">
        <f>IF(TRIM($A576)="","",COUNTIFS('Card Test Cases'!$B$4:$B$1000,$A576,'Card Test Cases'!$A$4:$A$1000,"&lt;&gt;",'Card Test Cases'!$F$4:$F$1000,"Passed"))</f>
        <v/>
      </c>
      <c r="Q576" s="68" t="str">
        <f>IF(TRIM($A576)="","",COUNTIFS('Card Test Cases'!$B$4:$B$1000,$A576,'Card Test Cases'!$A$4:$A$1000,"&lt;&gt;",'Card Test Cases'!$F$4:$F$1000,"Failed"))</f>
        <v/>
      </c>
      <c r="R576" s="68" t="str">
        <f t="shared" si="8"/>
        <v/>
      </c>
      <c r="S576" s="68" t="str" cm="1">
        <f t="array" ref="S576">IF(TRIM($A576)="","",IFERROR(_xlfn.TEXTJOIN(", ",TRUE,_xlfn.UNIQUE(_xlfn.VSTACK(_xlfn._xlws.FILTER('Card Test Cases'!$G$4:$G$1000,('Card Test Cases'!$B$4:$B$1000=$A576)*('Card Test Cases'!$G$4:$G$1000&lt;&gt;""),""),_xlfn._xlws.FILTER('E2E core flow'!$U$15:$U$1000,('E2E core flow'!$A$15:$A$1000&lt;&gt;"")*ISNUMBER(SEARCH('E2E core flow'!$A$15:$A$1000,$E576))*('E2E core flow'!$U$15:$U$1000&lt;&gt;""),"")))),"-"))</f>
        <v/>
      </c>
    </row>
    <row r="577" spans="7:19" x14ac:dyDescent="0.3">
      <c r="G577" s="68" t="str" cm="1">
        <f t="array" ref="G577">_xlfn.LET(_xlpm.ids,'E2E core flow'!$A$15:$A$1000,_xlpm.v,'E2E core flow'!$W$15:$W$1000,_xlpm.m,(_xlpm.ids&lt;&gt;"")*ISNUMBER(SEARCH(_xlpm.ids,$E577)),_xlpm.f,SUM(_xlpm.m*(_xlpm.v="Failed")),_xlpm.b,SUM(_xlpm.m*(_xlpm.v="Blocked")),_xlpm.nr,SUM(_xlpm.m*(_xlpm.v="Not Run")),_xlpm.cp,SUM(_xlpm.m*(_xlpm.v="Conditionally Passed")),_xlpm.p,SUM(_xlpm.m*(_xlpm.v="Passed")),IF(TRIM($A577)="","",IF(TRIM($E577)="","Pending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77" s="68" t="str">
        <f>IF(TRIM($A577)="","",IF($J577="Passed","",IF($J577="Passed with Known Issue","Known Issue",IF($J577="",IF(OR($H577&lt;&gt;"No",AND($F577&lt;&gt;"Medium",$F577&lt;&gt;"Low")),"Pending Result",""),IF(OR($H577&lt;&gt;"No",AND($F577&lt;&gt;"Medium",$F577&lt;&gt;"Low")),IF(COUNTIFS(Dashboard!$B$105:$B$124,$A577,Dashboard!$I$105:$I$124,"CAB")&gt;0,"Accepted (CF)","Blocking"),IF($J577="Failed","Deferrable","Carry Over"))))))</f>
        <v/>
      </c>
      <c r="M577" s="68" t="str">
        <f>IF(OR(TRIM($A577)="",TRIM($E577)=""),"",IFERROR(INDEX('E2E core flow'!$B$15:$B$1000,MATCH(1,INDEX(('E2E core flow'!$A$15:$A$1000&lt;&gt;"")*ISNUMBER(SEARCH('E2E core flow'!$A$15:$A$1000,$E577)),0),0))&amp;"","-"))</f>
        <v/>
      </c>
      <c r="N577" s="68" t="str">
        <f>IF(TRIM($A577)="","",IF($O577=0,IF(COUNTIFS('Card Test Cases'!$B$4:$B$1000,$A577,'Card Test Cases'!$A$4:$A$1000,"&lt;&gt;")&gt;0,"Out of Scope","No TC"),IF($Q577&gt;0,"Failed",IF(COUNTIFS('Card Test Cases'!$B$4:$B$1000,$A577,'Card Test Cases'!$A$4:$A$1000,"&lt;&gt;",'Card Test Cases'!$F$4:$F$1000,"Blocked")&gt;0,"Blocked",IF($R577&gt;0,"In Progress","Passed")))))</f>
        <v/>
      </c>
      <c r="O577" s="68" t="str">
        <f>IF(TRIM($A577)="","",COUNTIFS('Card Test Cases'!$B$4:$B$1000,$A577,'Card Test Cases'!$A$4:$A$1000,"&lt;&gt;",'Card Test Cases'!$F$4:$F$1000,"&lt;&gt;Out of Scope"))</f>
        <v/>
      </c>
      <c r="P577" s="68" t="str">
        <f>IF(TRIM($A577)="","",COUNTIFS('Card Test Cases'!$B$4:$B$1000,$A577,'Card Test Cases'!$A$4:$A$1000,"&lt;&gt;",'Card Test Cases'!$F$4:$F$1000,"Passed"))</f>
        <v/>
      </c>
      <c r="Q577" s="68" t="str">
        <f>IF(TRIM($A577)="","",COUNTIFS('Card Test Cases'!$B$4:$B$1000,$A577,'Card Test Cases'!$A$4:$A$1000,"&lt;&gt;",'Card Test Cases'!$F$4:$F$1000,"Failed"))</f>
        <v/>
      </c>
      <c r="R577" s="68" t="str">
        <f t="shared" si="8"/>
        <v/>
      </c>
      <c r="S577" s="68" t="str" cm="1">
        <f t="array" ref="S577">IF(TRIM($A577)="","",IFERROR(_xlfn.TEXTJOIN(", ",TRUE,_xlfn.UNIQUE(_xlfn.VSTACK(_xlfn._xlws.FILTER('Card Test Cases'!$G$4:$G$1000,('Card Test Cases'!$B$4:$B$1000=$A577)*('Card Test Cases'!$G$4:$G$1000&lt;&gt;""),""),_xlfn._xlws.FILTER('E2E core flow'!$U$15:$U$1000,('E2E core flow'!$A$15:$A$1000&lt;&gt;"")*ISNUMBER(SEARCH('E2E core flow'!$A$15:$A$1000,$E577))*('E2E core flow'!$U$15:$U$1000&lt;&gt;""),"")))),"-"))</f>
        <v/>
      </c>
    </row>
    <row r="578" spans="7:19" x14ac:dyDescent="0.3">
      <c r="G578" s="68" t="str" cm="1">
        <f t="array" ref="G578">_xlfn.LET(_xlpm.ids,'E2E core flow'!$A$15:$A$1000,_xlpm.v,'E2E core flow'!$W$15:$W$1000,_xlpm.m,(_xlpm.ids&lt;&gt;"")*ISNUMBER(SEARCH(_xlpm.ids,$E578)),_xlpm.f,SUM(_xlpm.m*(_xlpm.v="Failed")),_xlpm.b,SUM(_xlpm.m*(_xlpm.v="Blocked")),_xlpm.nr,SUM(_xlpm.m*(_xlpm.v="Not Run")),_xlpm.cp,SUM(_xlpm.m*(_xlpm.v="Conditionally Passed")),_xlpm.p,SUM(_xlpm.m*(_xlpm.v="Passed")),IF(TRIM($A578)="","",IF(TRIM($E578)="","Pending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78" s="68" t="str">
        <f>IF(TRIM($A578)="","",IF($J578="Passed","",IF($J578="Passed with Known Issue","Known Issue",IF($J578="",IF(OR($H578&lt;&gt;"No",AND($F578&lt;&gt;"Medium",$F578&lt;&gt;"Low")),"Pending Result",""),IF(OR($H578&lt;&gt;"No",AND($F578&lt;&gt;"Medium",$F578&lt;&gt;"Low")),IF(COUNTIFS(Dashboard!$B$105:$B$124,$A578,Dashboard!$I$105:$I$124,"CAB")&gt;0,"Accepted (CF)","Blocking"),IF($J578="Failed","Deferrable","Carry Over"))))))</f>
        <v/>
      </c>
      <c r="M578" s="68" t="str">
        <f>IF(OR(TRIM($A578)="",TRIM($E578)=""),"",IFERROR(INDEX('E2E core flow'!$B$15:$B$1000,MATCH(1,INDEX(('E2E core flow'!$A$15:$A$1000&lt;&gt;"")*ISNUMBER(SEARCH('E2E core flow'!$A$15:$A$1000,$E578)),0),0))&amp;"","-"))</f>
        <v/>
      </c>
      <c r="N578" s="68" t="str">
        <f>IF(TRIM($A578)="","",IF($O578=0,IF(COUNTIFS('Card Test Cases'!$B$4:$B$1000,$A578,'Card Test Cases'!$A$4:$A$1000,"&lt;&gt;")&gt;0,"Out of Scope","No TC"),IF($Q578&gt;0,"Failed",IF(COUNTIFS('Card Test Cases'!$B$4:$B$1000,$A578,'Card Test Cases'!$A$4:$A$1000,"&lt;&gt;",'Card Test Cases'!$F$4:$F$1000,"Blocked")&gt;0,"Blocked",IF($R578&gt;0,"In Progress","Passed")))))</f>
        <v/>
      </c>
      <c r="O578" s="68" t="str">
        <f>IF(TRIM($A578)="","",COUNTIFS('Card Test Cases'!$B$4:$B$1000,$A578,'Card Test Cases'!$A$4:$A$1000,"&lt;&gt;",'Card Test Cases'!$F$4:$F$1000,"&lt;&gt;Out of Scope"))</f>
        <v/>
      </c>
      <c r="P578" s="68" t="str">
        <f>IF(TRIM($A578)="","",COUNTIFS('Card Test Cases'!$B$4:$B$1000,$A578,'Card Test Cases'!$A$4:$A$1000,"&lt;&gt;",'Card Test Cases'!$F$4:$F$1000,"Passed"))</f>
        <v/>
      </c>
      <c r="Q578" s="68" t="str">
        <f>IF(TRIM($A578)="","",COUNTIFS('Card Test Cases'!$B$4:$B$1000,$A578,'Card Test Cases'!$A$4:$A$1000,"&lt;&gt;",'Card Test Cases'!$F$4:$F$1000,"Failed"))</f>
        <v/>
      </c>
      <c r="R578" s="68" t="str">
        <f t="shared" si="8"/>
        <v/>
      </c>
      <c r="S578" s="68" t="str" cm="1">
        <f t="array" ref="S578">IF(TRIM($A578)="","",IFERROR(_xlfn.TEXTJOIN(", ",TRUE,_xlfn.UNIQUE(_xlfn.VSTACK(_xlfn._xlws.FILTER('Card Test Cases'!$G$4:$G$1000,('Card Test Cases'!$B$4:$B$1000=$A578)*('Card Test Cases'!$G$4:$G$1000&lt;&gt;""),""),_xlfn._xlws.FILTER('E2E core flow'!$U$15:$U$1000,('E2E core flow'!$A$15:$A$1000&lt;&gt;"")*ISNUMBER(SEARCH('E2E core flow'!$A$15:$A$1000,$E578))*('E2E core flow'!$U$15:$U$1000&lt;&gt;""),"")))),"-"))</f>
        <v/>
      </c>
    </row>
    <row r="579" spans="7:19" x14ac:dyDescent="0.3">
      <c r="G579" s="68" t="str" cm="1">
        <f t="array" ref="G579">_xlfn.LET(_xlpm.ids,'E2E core flow'!$A$15:$A$1000,_xlpm.v,'E2E core flow'!$W$15:$W$1000,_xlpm.m,(_xlpm.ids&lt;&gt;"")*ISNUMBER(SEARCH(_xlpm.ids,$E579)),_xlpm.f,SUM(_xlpm.m*(_xlpm.v="Failed")),_xlpm.b,SUM(_xlpm.m*(_xlpm.v="Blocked")),_xlpm.nr,SUM(_xlpm.m*(_xlpm.v="Not Run")),_xlpm.cp,SUM(_xlpm.m*(_xlpm.v="Conditionally Passed")),_xlpm.p,SUM(_xlpm.m*(_xlpm.v="Passed")),IF(TRIM($A579)="","",IF(TRIM($E579)="","Pending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79" s="68" t="str">
        <f>IF(TRIM($A579)="","",IF($J579="Passed","",IF($J579="Passed with Known Issue","Known Issue",IF($J579="",IF(OR($H579&lt;&gt;"No",AND($F579&lt;&gt;"Medium",$F579&lt;&gt;"Low")),"Pending Result",""),IF(OR($H579&lt;&gt;"No",AND($F579&lt;&gt;"Medium",$F579&lt;&gt;"Low")),IF(COUNTIFS(Dashboard!$B$105:$B$124,$A579,Dashboard!$I$105:$I$124,"CAB")&gt;0,"Accepted (CF)","Blocking"),IF($J579="Failed","Deferrable","Carry Over"))))))</f>
        <v/>
      </c>
      <c r="M579" s="68" t="str">
        <f>IF(OR(TRIM($A579)="",TRIM($E579)=""),"",IFERROR(INDEX('E2E core flow'!$B$15:$B$1000,MATCH(1,INDEX(('E2E core flow'!$A$15:$A$1000&lt;&gt;"")*ISNUMBER(SEARCH('E2E core flow'!$A$15:$A$1000,$E579)),0),0))&amp;"","-"))</f>
        <v/>
      </c>
      <c r="N579" s="68" t="str">
        <f>IF(TRIM($A579)="","",IF($O579=0,IF(COUNTIFS('Card Test Cases'!$B$4:$B$1000,$A579,'Card Test Cases'!$A$4:$A$1000,"&lt;&gt;")&gt;0,"Out of Scope","No TC"),IF($Q579&gt;0,"Failed",IF(COUNTIFS('Card Test Cases'!$B$4:$B$1000,$A579,'Card Test Cases'!$A$4:$A$1000,"&lt;&gt;",'Card Test Cases'!$F$4:$F$1000,"Blocked")&gt;0,"Blocked",IF($R579&gt;0,"In Progress","Passed")))))</f>
        <v/>
      </c>
      <c r="O579" s="68" t="str">
        <f>IF(TRIM($A579)="","",COUNTIFS('Card Test Cases'!$B$4:$B$1000,$A579,'Card Test Cases'!$A$4:$A$1000,"&lt;&gt;",'Card Test Cases'!$F$4:$F$1000,"&lt;&gt;Out of Scope"))</f>
        <v/>
      </c>
      <c r="P579" s="68" t="str">
        <f>IF(TRIM($A579)="","",COUNTIFS('Card Test Cases'!$B$4:$B$1000,$A579,'Card Test Cases'!$A$4:$A$1000,"&lt;&gt;",'Card Test Cases'!$F$4:$F$1000,"Passed"))</f>
        <v/>
      </c>
      <c r="Q579" s="68" t="str">
        <f>IF(TRIM($A579)="","",COUNTIFS('Card Test Cases'!$B$4:$B$1000,$A579,'Card Test Cases'!$A$4:$A$1000,"&lt;&gt;",'Card Test Cases'!$F$4:$F$1000,"Failed"))</f>
        <v/>
      </c>
      <c r="R579" s="68" t="str">
        <f t="shared" si="8"/>
        <v/>
      </c>
      <c r="S579" s="68" t="str" cm="1">
        <f t="array" ref="S579">IF(TRIM($A579)="","",IFERROR(_xlfn.TEXTJOIN(", ",TRUE,_xlfn.UNIQUE(_xlfn.VSTACK(_xlfn._xlws.FILTER('Card Test Cases'!$G$4:$G$1000,('Card Test Cases'!$B$4:$B$1000=$A579)*('Card Test Cases'!$G$4:$G$1000&lt;&gt;""),""),_xlfn._xlws.FILTER('E2E core flow'!$U$15:$U$1000,('E2E core flow'!$A$15:$A$1000&lt;&gt;"")*ISNUMBER(SEARCH('E2E core flow'!$A$15:$A$1000,$E579))*('E2E core flow'!$U$15:$U$1000&lt;&gt;""),"")))),"-"))</f>
        <v/>
      </c>
    </row>
    <row r="580" spans="7:19" x14ac:dyDescent="0.3">
      <c r="G580" s="68" t="str" cm="1">
        <f t="array" ref="G580">_xlfn.LET(_xlpm.ids,'E2E core flow'!$A$15:$A$1000,_xlpm.v,'E2E core flow'!$W$15:$W$1000,_xlpm.m,(_xlpm.ids&lt;&gt;"")*ISNUMBER(SEARCH(_xlpm.ids,$E580)),_xlpm.f,SUM(_xlpm.m*(_xlpm.v="Failed")),_xlpm.b,SUM(_xlpm.m*(_xlpm.v="Blocked")),_xlpm.nr,SUM(_xlpm.m*(_xlpm.v="Not Run")),_xlpm.cp,SUM(_xlpm.m*(_xlpm.v="Conditionally Passed")),_xlpm.p,SUM(_xlpm.m*(_xlpm.v="Passed")),IF(TRIM($A580)="","",IF(TRIM($E580)="","Pending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80" s="68" t="str">
        <f>IF(TRIM($A580)="","",IF($J580="Passed","",IF($J580="Passed with Known Issue","Known Issue",IF($J580="",IF(OR($H580&lt;&gt;"No",AND($F580&lt;&gt;"Medium",$F580&lt;&gt;"Low")),"Pending Result",""),IF(OR($H580&lt;&gt;"No",AND($F580&lt;&gt;"Medium",$F580&lt;&gt;"Low")),IF(COUNTIFS(Dashboard!$B$105:$B$124,$A580,Dashboard!$I$105:$I$124,"CAB")&gt;0,"Accepted (CF)","Blocking"),IF($J580="Failed","Deferrable","Carry Over"))))))</f>
        <v/>
      </c>
      <c r="M580" s="68" t="str">
        <f>IF(OR(TRIM($A580)="",TRIM($E580)=""),"",IFERROR(INDEX('E2E core flow'!$B$15:$B$1000,MATCH(1,INDEX(('E2E core flow'!$A$15:$A$1000&lt;&gt;"")*ISNUMBER(SEARCH('E2E core flow'!$A$15:$A$1000,$E580)),0),0))&amp;"","-"))</f>
        <v/>
      </c>
      <c r="N580" s="68" t="str">
        <f>IF(TRIM($A580)="","",IF($O580=0,IF(COUNTIFS('Card Test Cases'!$B$4:$B$1000,$A580,'Card Test Cases'!$A$4:$A$1000,"&lt;&gt;")&gt;0,"Out of Scope","No TC"),IF($Q580&gt;0,"Failed",IF(COUNTIFS('Card Test Cases'!$B$4:$B$1000,$A580,'Card Test Cases'!$A$4:$A$1000,"&lt;&gt;",'Card Test Cases'!$F$4:$F$1000,"Blocked")&gt;0,"Blocked",IF($R580&gt;0,"In Progress","Passed")))))</f>
        <v/>
      </c>
      <c r="O580" s="68" t="str">
        <f>IF(TRIM($A580)="","",COUNTIFS('Card Test Cases'!$B$4:$B$1000,$A580,'Card Test Cases'!$A$4:$A$1000,"&lt;&gt;",'Card Test Cases'!$F$4:$F$1000,"&lt;&gt;Out of Scope"))</f>
        <v/>
      </c>
      <c r="P580" s="68" t="str">
        <f>IF(TRIM($A580)="","",COUNTIFS('Card Test Cases'!$B$4:$B$1000,$A580,'Card Test Cases'!$A$4:$A$1000,"&lt;&gt;",'Card Test Cases'!$F$4:$F$1000,"Passed"))</f>
        <v/>
      </c>
      <c r="Q580" s="68" t="str">
        <f>IF(TRIM($A580)="","",COUNTIFS('Card Test Cases'!$B$4:$B$1000,$A580,'Card Test Cases'!$A$4:$A$1000,"&lt;&gt;",'Card Test Cases'!$F$4:$F$1000,"Failed"))</f>
        <v/>
      </c>
      <c r="R580" s="68" t="str">
        <f t="shared" ref="R580:R643" si="9">IF(TRIM($A580)="","",$O580-$P580-$Q580)</f>
        <v/>
      </c>
      <c r="S580" s="68" t="str" cm="1">
        <f t="array" ref="S580">IF(TRIM($A580)="","",IFERROR(_xlfn.TEXTJOIN(", ",TRUE,_xlfn.UNIQUE(_xlfn.VSTACK(_xlfn._xlws.FILTER('Card Test Cases'!$G$4:$G$1000,('Card Test Cases'!$B$4:$B$1000=$A580)*('Card Test Cases'!$G$4:$G$1000&lt;&gt;""),""),_xlfn._xlws.FILTER('E2E core flow'!$U$15:$U$1000,('E2E core flow'!$A$15:$A$1000&lt;&gt;"")*ISNUMBER(SEARCH('E2E core flow'!$A$15:$A$1000,$E580))*('E2E core flow'!$U$15:$U$1000&lt;&gt;""),"")))),"-"))</f>
        <v/>
      </c>
    </row>
    <row r="581" spans="7:19" x14ac:dyDescent="0.3">
      <c r="G581" s="68" t="str" cm="1">
        <f t="array" ref="G581">_xlfn.LET(_xlpm.ids,'E2E core flow'!$A$15:$A$1000,_xlpm.v,'E2E core flow'!$W$15:$W$1000,_xlpm.m,(_xlpm.ids&lt;&gt;"")*ISNUMBER(SEARCH(_xlpm.ids,$E581)),_xlpm.f,SUM(_xlpm.m*(_xlpm.v="Failed")),_xlpm.b,SUM(_xlpm.m*(_xlpm.v="Blocked")),_xlpm.nr,SUM(_xlpm.m*(_xlpm.v="Not Run")),_xlpm.cp,SUM(_xlpm.m*(_xlpm.v="Conditionally Passed")),_xlpm.p,SUM(_xlpm.m*(_xlpm.v="Passed")),IF(TRIM($A581)="","",IF(TRIM($E581)="","Pending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81" s="68" t="str">
        <f>IF(TRIM($A581)="","",IF($J581="Passed","",IF($J581="Passed with Known Issue","Known Issue",IF($J581="",IF(OR($H581&lt;&gt;"No",AND($F581&lt;&gt;"Medium",$F581&lt;&gt;"Low")),"Pending Result",""),IF(OR($H581&lt;&gt;"No",AND($F581&lt;&gt;"Medium",$F581&lt;&gt;"Low")),IF(COUNTIFS(Dashboard!$B$105:$B$124,$A581,Dashboard!$I$105:$I$124,"CAB")&gt;0,"Accepted (CF)","Blocking"),IF($J581="Failed","Deferrable","Carry Over"))))))</f>
        <v/>
      </c>
      <c r="M581" s="68" t="str">
        <f>IF(OR(TRIM($A581)="",TRIM($E581)=""),"",IFERROR(INDEX('E2E core flow'!$B$15:$B$1000,MATCH(1,INDEX(('E2E core flow'!$A$15:$A$1000&lt;&gt;"")*ISNUMBER(SEARCH('E2E core flow'!$A$15:$A$1000,$E581)),0),0))&amp;"","-"))</f>
        <v/>
      </c>
      <c r="N581" s="68" t="str">
        <f>IF(TRIM($A581)="","",IF($O581=0,IF(COUNTIFS('Card Test Cases'!$B$4:$B$1000,$A581,'Card Test Cases'!$A$4:$A$1000,"&lt;&gt;")&gt;0,"Out of Scope","No TC"),IF($Q581&gt;0,"Failed",IF(COUNTIFS('Card Test Cases'!$B$4:$B$1000,$A581,'Card Test Cases'!$A$4:$A$1000,"&lt;&gt;",'Card Test Cases'!$F$4:$F$1000,"Blocked")&gt;0,"Blocked",IF($R581&gt;0,"In Progress","Passed")))))</f>
        <v/>
      </c>
      <c r="O581" s="68" t="str">
        <f>IF(TRIM($A581)="","",COUNTIFS('Card Test Cases'!$B$4:$B$1000,$A581,'Card Test Cases'!$A$4:$A$1000,"&lt;&gt;",'Card Test Cases'!$F$4:$F$1000,"&lt;&gt;Out of Scope"))</f>
        <v/>
      </c>
      <c r="P581" s="68" t="str">
        <f>IF(TRIM($A581)="","",COUNTIFS('Card Test Cases'!$B$4:$B$1000,$A581,'Card Test Cases'!$A$4:$A$1000,"&lt;&gt;",'Card Test Cases'!$F$4:$F$1000,"Passed"))</f>
        <v/>
      </c>
      <c r="Q581" s="68" t="str">
        <f>IF(TRIM($A581)="","",COUNTIFS('Card Test Cases'!$B$4:$B$1000,$A581,'Card Test Cases'!$A$4:$A$1000,"&lt;&gt;",'Card Test Cases'!$F$4:$F$1000,"Failed"))</f>
        <v/>
      </c>
      <c r="R581" s="68" t="str">
        <f t="shared" si="9"/>
        <v/>
      </c>
      <c r="S581" s="68" t="str" cm="1">
        <f t="array" ref="S581">IF(TRIM($A581)="","",IFERROR(_xlfn.TEXTJOIN(", ",TRUE,_xlfn.UNIQUE(_xlfn.VSTACK(_xlfn._xlws.FILTER('Card Test Cases'!$G$4:$G$1000,('Card Test Cases'!$B$4:$B$1000=$A581)*('Card Test Cases'!$G$4:$G$1000&lt;&gt;""),""),_xlfn._xlws.FILTER('E2E core flow'!$U$15:$U$1000,('E2E core flow'!$A$15:$A$1000&lt;&gt;"")*ISNUMBER(SEARCH('E2E core flow'!$A$15:$A$1000,$E581))*('E2E core flow'!$U$15:$U$1000&lt;&gt;""),"")))),"-"))</f>
        <v/>
      </c>
    </row>
    <row r="582" spans="7:19" x14ac:dyDescent="0.3">
      <c r="G582" s="68" t="str" cm="1">
        <f t="array" ref="G582">_xlfn.LET(_xlpm.ids,'E2E core flow'!$A$15:$A$1000,_xlpm.v,'E2E core flow'!$W$15:$W$1000,_xlpm.m,(_xlpm.ids&lt;&gt;"")*ISNUMBER(SEARCH(_xlpm.ids,$E582)),_xlpm.f,SUM(_xlpm.m*(_xlpm.v="Failed")),_xlpm.b,SUM(_xlpm.m*(_xlpm.v="Blocked")),_xlpm.nr,SUM(_xlpm.m*(_xlpm.v="Not Run")),_xlpm.cp,SUM(_xlpm.m*(_xlpm.v="Conditionally Passed")),_xlpm.p,SUM(_xlpm.m*(_xlpm.v="Passed")),IF(TRIM($A582)="","",IF(TRIM($E582)="","Pending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82" s="68" t="str">
        <f>IF(TRIM($A582)="","",IF($J582="Passed","",IF($J582="Passed with Known Issue","Known Issue",IF($J582="",IF(OR($H582&lt;&gt;"No",AND($F582&lt;&gt;"Medium",$F582&lt;&gt;"Low")),"Pending Result",""),IF(OR($H582&lt;&gt;"No",AND($F582&lt;&gt;"Medium",$F582&lt;&gt;"Low")),IF(COUNTIFS(Dashboard!$B$105:$B$124,$A582,Dashboard!$I$105:$I$124,"CAB")&gt;0,"Accepted (CF)","Blocking"),IF($J582="Failed","Deferrable","Carry Over"))))))</f>
        <v/>
      </c>
      <c r="M582" s="68" t="str">
        <f>IF(OR(TRIM($A582)="",TRIM($E582)=""),"",IFERROR(INDEX('E2E core flow'!$B$15:$B$1000,MATCH(1,INDEX(('E2E core flow'!$A$15:$A$1000&lt;&gt;"")*ISNUMBER(SEARCH('E2E core flow'!$A$15:$A$1000,$E582)),0),0))&amp;"","-"))</f>
        <v/>
      </c>
      <c r="N582" s="68" t="str">
        <f>IF(TRIM($A582)="","",IF($O582=0,IF(COUNTIFS('Card Test Cases'!$B$4:$B$1000,$A582,'Card Test Cases'!$A$4:$A$1000,"&lt;&gt;")&gt;0,"Out of Scope","No TC"),IF($Q582&gt;0,"Failed",IF(COUNTIFS('Card Test Cases'!$B$4:$B$1000,$A582,'Card Test Cases'!$A$4:$A$1000,"&lt;&gt;",'Card Test Cases'!$F$4:$F$1000,"Blocked")&gt;0,"Blocked",IF($R582&gt;0,"In Progress","Passed")))))</f>
        <v/>
      </c>
      <c r="O582" s="68" t="str">
        <f>IF(TRIM($A582)="","",COUNTIFS('Card Test Cases'!$B$4:$B$1000,$A582,'Card Test Cases'!$A$4:$A$1000,"&lt;&gt;",'Card Test Cases'!$F$4:$F$1000,"&lt;&gt;Out of Scope"))</f>
        <v/>
      </c>
      <c r="P582" s="68" t="str">
        <f>IF(TRIM($A582)="","",COUNTIFS('Card Test Cases'!$B$4:$B$1000,$A582,'Card Test Cases'!$A$4:$A$1000,"&lt;&gt;",'Card Test Cases'!$F$4:$F$1000,"Passed"))</f>
        <v/>
      </c>
      <c r="Q582" s="68" t="str">
        <f>IF(TRIM($A582)="","",COUNTIFS('Card Test Cases'!$B$4:$B$1000,$A582,'Card Test Cases'!$A$4:$A$1000,"&lt;&gt;",'Card Test Cases'!$F$4:$F$1000,"Failed"))</f>
        <v/>
      </c>
      <c r="R582" s="68" t="str">
        <f t="shared" si="9"/>
        <v/>
      </c>
      <c r="S582" s="68" t="str" cm="1">
        <f t="array" ref="S582">IF(TRIM($A582)="","",IFERROR(_xlfn.TEXTJOIN(", ",TRUE,_xlfn.UNIQUE(_xlfn.VSTACK(_xlfn._xlws.FILTER('Card Test Cases'!$G$4:$G$1000,('Card Test Cases'!$B$4:$B$1000=$A582)*('Card Test Cases'!$G$4:$G$1000&lt;&gt;""),""),_xlfn._xlws.FILTER('E2E core flow'!$U$15:$U$1000,('E2E core flow'!$A$15:$A$1000&lt;&gt;"")*ISNUMBER(SEARCH('E2E core flow'!$A$15:$A$1000,$E582))*('E2E core flow'!$U$15:$U$1000&lt;&gt;""),"")))),"-"))</f>
        <v/>
      </c>
    </row>
    <row r="583" spans="7:19" x14ac:dyDescent="0.3">
      <c r="G583" s="68" t="str" cm="1">
        <f t="array" ref="G583">_xlfn.LET(_xlpm.ids,'E2E core flow'!$A$15:$A$1000,_xlpm.v,'E2E core flow'!$W$15:$W$1000,_xlpm.m,(_xlpm.ids&lt;&gt;"")*ISNUMBER(SEARCH(_xlpm.ids,$E583)),_xlpm.f,SUM(_xlpm.m*(_xlpm.v="Failed")),_xlpm.b,SUM(_xlpm.m*(_xlpm.v="Blocked")),_xlpm.nr,SUM(_xlpm.m*(_xlpm.v="Not Run")),_xlpm.cp,SUM(_xlpm.m*(_xlpm.v="Conditionally Passed")),_xlpm.p,SUM(_xlpm.m*(_xlpm.v="Passed")),IF(TRIM($A583)="","",IF(TRIM($E583)="","Pending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83" s="68" t="str">
        <f>IF(TRIM($A583)="","",IF($J583="Passed","",IF($J583="Passed with Known Issue","Known Issue",IF($J583="",IF(OR($H583&lt;&gt;"No",AND($F583&lt;&gt;"Medium",$F583&lt;&gt;"Low")),"Pending Result",""),IF(OR($H583&lt;&gt;"No",AND($F583&lt;&gt;"Medium",$F583&lt;&gt;"Low")),IF(COUNTIFS(Dashboard!$B$105:$B$124,$A583,Dashboard!$I$105:$I$124,"CAB")&gt;0,"Accepted (CF)","Blocking"),IF($J583="Failed","Deferrable","Carry Over"))))))</f>
        <v/>
      </c>
      <c r="M583" s="68" t="str">
        <f>IF(OR(TRIM($A583)="",TRIM($E583)=""),"",IFERROR(INDEX('E2E core flow'!$B$15:$B$1000,MATCH(1,INDEX(('E2E core flow'!$A$15:$A$1000&lt;&gt;"")*ISNUMBER(SEARCH('E2E core flow'!$A$15:$A$1000,$E583)),0),0))&amp;"","-"))</f>
        <v/>
      </c>
      <c r="N583" s="68" t="str">
        <f>IF(TRIM($A583)="","",IF($O583=0,IF(COUNTIFS('Card Test Cases'!$B$4:$B$1000,$A583,'Card Test Cases'!$A$4:$A$1000,"&lt;&gt;")&gt;0,"Out of Scope","No TC"),IF($Q583&gt;0,"Failed",IF(COUNTIFS('Card Test Cases'!$B$4:$B$1000,$A583,'Card Test Cases'!$A$4:$A$1000,"&lt;&gt;",'Card Test Cases'!$F$4:$F$1000,"Blocked")&gt;0,"Blocked",IF($R583&gt;0,"In Progress","Passed")))))</f>
        <v/>
      </c>
      <c r="O583" s="68" t="str">
        <f>IF(TRIM($A583)="","",COUNTIFS('Card Test Cases'!$B$4:$B$1000,$A583,'Card Test Cases'!$A$4:$A$1000,"&lt;&gt;",'Card Test Cases'!$F$4:$F$1000,"&lt;&gt;Out of Scope"))</f>
        <v/>
      </c>
      <c r="P583" s="68" t="str">
        <f>IF(TRIM($A583)="","",COUNTIFS('Card Test Cases'!$B$4:$B$1000,$A583,'Card Test Cases'!$A$4:$A$1000,"&lt;&gt;",'Card Test Cases'!$F$4:$F$1000,"Passed"))</f>
        <v/>
      </c>
      <c r="Q583" s="68" t="str">
        <f>IF(TRIM($A583)="","",COUNTIFS('Card Test Cases'!$B$4:$B$1000,$A583,'Card Test Cases'!$A$4:$A$1000,"&lt;&gt;",'Card Test Cases'!$F$4:$F$1000,"Failed"))</f>
        <v/>
      </c>
      <c r="R583" s="68" t="str">
        <f t="shared" si="9"/>
        <v/>
      </c>
      <c r="S583" s="68" t="str" cm="1">
        <f t="array" ref="S583">IF(TRIM($A583)="","",IFERROR(_xlfn.TEXTJOIN(", ",TRUE,_xlfn.UNIQUE(_xlfn.VSTACK(_xlfn._xlws.FILTER('Card Test Cases'!$G$4:$G$1000,('Card Test Cases'!$B$4:$B$1000=$A583)*('Card Test Cases'!$G$4:$G$1000&lt;&gt;""),""),_xlfn._xlws.FILTER('E2E core flow'!$U$15:$U$1000,('E2E core flow'!$A$15:$A$1000&lt;&gt;"")*ISNUMBER(SEARCH('E2E core flow'!$A$15:$A$1000,$E583))*('E2E core flow'!$U$15:$U$1000&lt;&gt;""),"")))),"-"))</f>
        <v/>
      </c>
    </row>
    <row r="584" spans="7:19" x14ac:dyDescent="0.3">
      <c r="G584" s="68" t="str" cm="1">
        <f t="array" ref="G584">_xlfn.LET(_xlpm.ids,'E2E core flow'!$A$15:$A$1000,_xlpm.v,'E2E core flow'!$W$15:$W$1000,_xlpm.m,(_xlpm.ids&lt;&gt;"")*ISNUMBER(SEARCH(_xlpm.ids,$E584)),_xlpm.f,SUM(_xlpm.m*(_xlpm.v="Failed")),_xlpm.b,SUM(_xlpm.m*(_xlpm.v="Blocked")),_xlpm.nr,SUM(_xlpm.m*(_xlpm.v="Not Run")),_xlpm.cp,SUM(_xlpm.m*(_xlpm.v="Conditionally Passed")),_xlpm.p,SUM(_xlpm.m*(_xlpm.v="Passed")),IF(TRIM($A584)="","",IF(TRIM($E584)="","Pending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84" s="68" t="str">
        <f>IF(TRIM($A584)="","",IF($J584="Passed","",IF($J584="Passed with Known Issue","Known Issue",IF($J584="",IF(OR($H584&lt;&gt;"No",AND($F584&lt;&gt;"Medium",$F584&lt;&gt;"Low")),"Pending Result",""),IF(OR($H584&lt;&gt;"No",AND($F584&lt;&gt;"Medium",$F584&lt;&gt;"Low")),IF(COUNTIFS(Dashboard!$B$105:$B$124,$A584,Dashboard!$I$105:$I$124,"CAB")&gt;0,"Accepted (CF)","Blocking"),IF($J584="Failed","Deferrable","Carry Over"))))))</f>
        <v/>
      </c>
      <c r="M584" s="68" t="str">
        <f>IF(OR(TRIM($A584)="",TRIM($E584)=""),"",IFERROR(INDEX('E2E core flow'!$B$15:$B$1000,MATCH(1,INDEX(('E2E core flow'!$A$15:$A$1000&lt;&gt;"")*ISNUMBER(SEARCH('E2E core flow'!$A$15:$A$1000,$E584)),0),0))&amp;"","-"))</f>
        <v/>
      </c>
      <c r="N584" s="68" t="str">
        <f>IF(TRIM($A584)="","",IF($O584=0,IF(COUNTIFS('Card Test Cases'!$B$4:$B$1000,$A584,'Card Test Cases'!$A$4:$A$1000,"&lt;&gt;")&gt;0,"Out of Scope","No TC"),IF($Q584&gt;0,"Failed",IF(COUNTIFS('Card Test Cases'!$B$4:$B$1000,$A584,'Card Test Cases'!$A$4:$A$1000,"&lt;&gt;",'Card Test Cases'!$F$4:$F$1000,"Blocked")&gt;0,"Blocked",IF($R584&gt;0,"In Progress","Passed")))))</f>
        <v/>
      </c>
      <c r="O584" s="68" t="str">
        <f>IF(TRIM($A584)="","",COUNTIFS('Card Test Cases'!$B$4:$B$1000,$A584,'Card Test Cases'!$A$4:$A$1000,"&lt;&gt;",'Card Test Cases'!$F$4:$F$1000,"&lt;&gt;Out of Scope"))</f>
        <v/>
      </c>
      <c r="P584" s="68" t="str">
        <f>IF(TRIM($A584)="","",COUNTIFS('Card Test Cases'!$B$4:$B$1000,$A584,'Card Test Cases'!$A$4:$A$1000,"&lt;&gt;",'Card Test Cases'!$F$4:$F$1000,"Passed"))</f>
        <v/>
      </c>
      <c r="Q584" s="68" t="str">
        <f>IF(TRIM($A584)="","",COUNTIFS('Card Test Cases'!$B$4:$B$1000,$A584,'Card Test Cases'!$A$4:$A$1000,"&lt;&gt;",'Card Test Cases'!$F$4:$F$1000,"Failed"))</f>
        <v/>
      </c>
      <c r="R584" s="68" t="str">
        <f t="shared" si="9"/>
        <v/>
      </c>
      <c r="S584" s="68" t="str" cm="1">
        <f t="array" ref="S584">IF(TRIM($A584)="","",IFERROR(_xlfn.TEXTJOIN(", ",TRUE,_xlfn.UNIQUE(_xlfn.VSTACK(_xlfn._xlws.FILTER('Card Test Cases'!$G$4:$G$1000,('Card Test Cases'!$B$4:$B$1000=$A584)*('Card Test Cases'!$G$4:$G$1000&lt;&gt;""),""),_xlfn._xlws.FILTER('E2E core flow'!$U$15:$U$1000,('E2E core flow'!$A$15:$A$1000&lt;&gt;"")*ISNUMBER(SEARCH('E2E core flow'!$A$15:$A$1000,$E584))*('E2E core flow'!$U$15:$U$1000&lt;&gt;""),"")))),"-"))</f>
        <v/>
      </c>
    </row>
    <row r="585" spans="7:19" x14ac:dyDescent="0.3">
      <c r="G585" s="68" t="str" cm="1">
        <f t="array" ref="G585">_xlfn.LET(_xlpm.ids,'E2E core flow'!$A$15:$A$1000,_xlpm.v,'E2E core flow'!$W$15:$W$1000,_xlpm.m,(_xlpm.ids&lt;&gt;"")*ISNUMBER(SEARCH(_xlpm.ids,$E585)),_xlpm.f,SUM(_xlpm.m*(_xlpm.v="Failed")),_xlpm.b,SUM(_xlpm.m*(_xlpm.v="Blocked")),_xlpm.nr,SUM(_xlpm.m*(_xlpm.v="Not Run")),_xlpm.cp,SUM(_xlpm.m*(_xlpm.v="Conditionally Passed")),_xlpm.p,SUM(_xlpm.m*(_xlpm.v="Passed")),IF(TRIM($A585)="","",IF(TRIM($E585)="","Pending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85" s="68" t="str">
        <f>IF(TRIM($A585)="","",IF($J585="Passed","",IF($J585="Passed with Known Issue","Known Issue",IF($J585="",IF(OR($H585&lt;&gt;"No",AND($F585&lt;&gt;"Medium",$F585&lt;&gt;"Low")),"Pending Result",""),IF(OR($H585&lt;&gt;"No",AND($F585&lt;&gt;"Medium",$F585&lt;&gt;"Low")),IF(COUNTIFS(Dashboard!$B$105:$B$124,$A585,Dashboard!$I$105:$I$124,"CAB")&gt;0,"Accepted (CF)","Blocking"),IF($J585="Failed","Deferrable","Carry Over"))))))</f>
        <v/>
      </c>
      <c r="M585" s="68" t="str">
        <f>IF(OR(TRIM($A585)="",TRIM($E585)=""),"",IFERROR(INDEX('E2E core flow'!$B$15:$B$1000,MATCH(1,INDEX(('E2E core flow'!$A$15:$A$1000&lt;&gt;"")*ISNUMBER(SEARCH('E2E core flow'!$A$15:$A$1000,$E585)),0),0))&amp;"","-"))</f>
        <v/>
      </c>
      <c r="N585" s="68" t="str">
        <f>IF(TRIM($A585)="","",IF($O585=0,IF(COUNTIFS('Card Test Cases'!$B$4:$B$1000,$A585,'Card Test Cases'!$A$4:$A$1000,"&lt;&gt;")&gt;0,"Out of Scope","No TC"),IF($Q585&gt;0,"Failed",IF(COUNTIFS('Card Test Cases'!$B$4:$B$1000,$A585,'Card Test Cases'!$A$4:$A$1000,"&lt;&gt;",'Card Test Cases'!$F$4:$F$1000,"Blocked")&gt;0,"Blocked",IF($R585&gt;0,"In Progress","Passed")))))</f>
        <v/>
      </c>
      <c r="O585" s="68" t="str">
        <f>IF(TRIM($A585)="","",COUNTIFS('Card Test Cases'!$B$4:$B$1000,$A585,'Card Test Cases'!$A$4:$A$1000,"&lt;&gt;",'Card Test Cases'!$F$4:$F$1000,"&lt;&gt;Out of Scope"))</f>
        <v/>
      </c>
      <c r="P585" s="68" t="str">
        <f>IF(TRIM($A585)="","",COUNTIFS('Card Test Cases'!$B$4:$B$1000,$A585,'Card Test Cases'!$A$4:$A$1000,"&lt;&gt;",'Card Test Cases'!$F$4:$F$1000,"Passed"))</f>
        <v/>
      </c>
      <c r="Q585" s="68" t="str">
        <f>IF(TRIM($A585)="","",COUNTIFS('Card Test Cases'!$B$4:$B$1000,$A585,'Card Test Cases'!$A$4:$A$1000,"&lt;&gt;",'Card Test Cases'!$F$4:$F$1000,"Failed"))</f>
        <v/>
      </c>
      <c r="R585" s="68" t="str">
        <f t="shared" si="9"/>
        <v/>
      </c>
      <c r="S585" s="68" t="str" cm="1">
        <f t="array" ref="S585">IF(TRIM($A585)="","",IFERROR(_xlfn.TEXTJOIN(", ",TRUE,_xlfn.UNIQUE(_xlfn.VSTACK(_xlfn._xlws.FILTER('Card Test Cases'!$G$4:$G$1000,('Card Test Cases'!$B$4:$B$1000=$A585)*('Card Test Cases'!$G$4:$G$1000&lt;&gt;""),""),_xlfn._xlws.FILTER('E2E core flow'!$U$15:$U$1000,('E2E core flow'!$A$15:$A$1000&lt;&gt;"")*ISNUMBER(SEARCH('E2E core flow'!$A$15:$A$1000,$E585))*('E2E core flow'!$U$15:$U$1000&lt;&gt;""),"")))),"-"))</f>
        <v/>
      </c>
    </row>
    <row r="586" spans="7:19" x14ac:dyDescent="0.3">
      <c r="G586" s="68" t="str" cm="1">
        <f t="array" ref="G586">_xlfn.LET(_xlpm.ids,'E2E core flow'!$A$15:$A$1000,_xlpm.v,'E2E core flow'!$W$15:$W$1000,_xlpm.m,(_xlpm.ids&lt;&gt;"")*ISNUMBER(SEARCH(_xlpm.ids,$E586)),_xlpm.f,SUM(_xlpm.m*(_xlpm.v="Failed")),_xlpm.b,SUM(_xlpm.m*(_xlpm.v="Blocked")),_xlpm.nr,SUM(_xlpm.m*(_xlpm.v="Not Run")),_xlpm.cp,SUM(_xlpm.m*(_xlpm.v="Conditionally Passed")),_xlpm.p,SUM(_xlpm.m*(_xlpm.v="Passed")),IF(TRIM($A586)="","",IF(TRIM($E586)="","Pending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86" s="68" t="str">
        <f>IF(TRIM($A586)="","",IF($J586="Passed","",IF($J586="Passed with Known Issue","Known Issue",IF($J586="",IF(OR($H586&lt;&gt;"No",AND($F586&lt;&gt;"Medium",$F586&lt;&gt;"Low")),"Pending Result",""),IF(OR($H586&lt;&gt;"No",AND($F586&lt;&gt;"Medium",$F586&lt;&gt;"Low")),IF(COUNTIFS(Dashboard!$B$105:$B$124,$A586,Dashboard!$I$105:$I$124,"CAB")&gt;0,"Accepted (CF)","Blocking"),IF($J586="Failed","Deferrable","Carry Over"))))))</f>
        <v/>
      </c>
      <c r="M586" s="68" t="str">
        <f>IF(OR(TRIM($A586)="",TRIM($E586)=""),"",IFERROR(INDEX('E2E core flow'!$B$15:$B$1000,MATCH(1,INDEX(('E2E core flow'!$A$15:$A$1000&lt;&gt;"")*ISNUMBER(SEARCH('E2E core flow'!$A$15:$A$1000,$E586)),0),0))&amp;"","-"))</f>
        <v/>
      </c>
      <c r="N586" s="68" t="str">
        <f>IF(TRIM($A586)="","",IF($O586=0,IF(COUNTIFS('Card Test Cases'!$B$4:$B$1000,$A586,'Card Test Cases'!$A$4:$A$1000,"&lt;&gt;")&gt;0,"Out of Scope","No TC"),IF($Q586&gt;0,"Failed",IF(COUNTIFS('Card Test Cases'!$B$4:$B$1000,$A586,'Card Test Cases'!$A$4:$A$1000,"&lt;&gt;",'Card Test Cases'!$F$4:$F$1000,"Blocked")&gt;0,"Blocked",IF($R586&gt;0,"In Progress","Passed")))))</f>
        <v/>
      </c>
      <c r="O586" s="68" t="str">
        <f>IF(TRIM($A586)="","",COUNTIFS('Card Test Cases'!$B$4:$B$1000,$A586,'Card Test Cases'!$A$4:$A$1000,"&lt;&gt;",'Card Test Cases'!$F$4:$F$1000,"&lt;&gt;Out of Scope"))</f>
        <v/>
      </c>
      <c r="P586" s="68" t="str">
        <f>IF(TRIM($A586)="","",COUNTIFS('Card Test Cases'!$B$4:$B$1000,$A586,'Card Test Cases'!$A$4:$A$1000,"&lt;&gt;",'Card Test Cases'!$F$4:$F$1000,"Passed"))</f>
        <v/>
      </c>
      <c r="Q586" s="68" t="str">
        <f>IF(TRIM($A586)="","",COUNTIFS('Card Test Cases'!$B$4:$B$1000,$A586,'Card Test Cases'!$A$4:$A$1000,"&lt;&gt;",'Card Test Cases'!$F$4:$F$1000,"Failed"))</f>
        <v/>
      </c>
      <c r="R586" s="68" t="str">
        <f t="shared" si="9"/>
        <v/>
      </c>
      <c r="S586" s="68" t="str" cm="1">
        <f t="array" ref="S586">IF(TRIM($A586)="","",IFERROR(_xlfn.TEXTJOIN(", ",TRUE,_xlfn.UNIQUE(_xlfn.VSTACK(_xlfn._xlws.FILTER('Card Test Cases'!$G$4:$G$1000,('Card Test Cases'!$B$4:$B$1000=$A586)*('Card Test Cases'!$G$4:$G$1000&lt;&gt;""),""),_xlfn._xlws.FILTER('E2E core flow'!$U$15:$U$1000,('E2E core flow'!$A$15:$A$1000&lt;&gt;"")*ISNUMBER(SEARCH('E2E core flow'!$A$15:$A$1000,$E586))*('E2E core flow'!$U$15:$U$1000&lt;&gt;""),"")))),"-"))</f>
        <v/>
      </c>
    </row>
    <row r="587" spans="7:19" x14ac:dyDescent="0.3">
      <c r="G587" s="68" t="str" cm="1">
        <f t="array" ref="G587">_xlfn.LET(_xlpm.ids,'E2E core flow'!$A$15:$A$1000,_xlpm.v,'E2E core flow'!$W$15:$W$1000,_xlpm.m,(_xlpm.ids&lt;&gt;"")*ISNUMBER(SEARCH(_xlpm.ids,$E587)),_xlpm.f,SUM(_xlpm.m*(_xlpm.v="Failed")),_xlpm.b,SUM(_xlpm.m*(_xlpm.v="Blocked")),_xlpm.nr,SUM(_xlpm.m*(_xlpm.v="Not Run")),_xlpm.cp,SUM(_xlpm.m*(_xlpm.v="Conditionally Passed")),_xlpm.p,SUM(_xlpm.m*(_xlpm.v="Passed")),IF(TRIM($A587)="","",IF(TRIM($E587)="","Pending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87" s="68" t="str">
        <f>IF(TRIM($A587)="","",IF($J587="Passed","",IF($J587="Passed with Known Issue","Known Issue",IF($J587="",IF(OR($H587&lt;&gt;"No",AND($F587&lt;&gt;"Medium",$F587&lt;&gt;"Low")),"Pending Result",""),IF(OR($H587&lt;&gt;"No",AND($F587&lt;&gt;"Medium",$F587&lt;&gt;"Low")),IF(COUNTIFS(Dashboard!$B$105:$B$124,$A587,Dashboard!$I$105:$I$124,"CAB")&gt;0,"Accepted (CF)","Blocking"),IF($J587="Failed","Deferrable","Carry Over"))))))</f>
        <v/>
      </c>
      <c r="M587" s="68" t="str">
        <f>IF(OR(TRIM($A587)="",TRIM($E587)=""),"",IFERROR(INDEX('E2E core flow'!$B$15:$B$1000,MATCH(1,INDEX(('E2E core flow'!$A$15:$A$1000&lt;&gt;"")*ISNUMBER(SEARCH('E2E core flow'!$A$15:$A$1000,$E587)),0),0))&amp;"","-"))</f>
        <v/>
      </c>
      <c r="N587" s="68" t="str">
        <f>IF(TRIM($A587)="","",IF($O587=0,IF(COUNTIFS('Card Test Cases'!$B$4:$B$1000,$A587,'Card Test Cases'!$A$4:$A$1000,"&lt;&gt;")&gt;0,"Out of Scope","No TC"),IF($Q587&gt;0,"Failed",IF(COUNTIFS('Card Test Cases'!$B$4:$B$1000,$A587,'Card Test Cases'!$A$4:$A$1000,"&lt;&gt;",'Card Test Cases'!$F$4:$F$1000,"Blocked")&gt;0,"Blocked",IF($R587&gt;0,"In Progress","Passed")))))</f>
        <v/>
      </c>
      <c r="O587" s="68" t="str">
        <f>IF(TRIM($A587)="","",COUNTIFS('Card Test Cases'!$B$4:$B$1000,$A587,'Card Test Cases'!$A$4:$A$1000,"&lt;&gt;",'Card Test Cases'!$F$4:$F$1000,"&lt;&gt;Out of Scope"))</f>
        <v/>
      </c>
      <c r="P587" s="68" t="str">
        <f>IF(TRIM($A587)="","",COUNTIFS('Card Test Cases'!$B$4:$B$1000,$A587,'Card Test Cases'!$A$4:$A$1000,"&lt;&gt;",'Card Test Cases'!$F$4:$F$1000,"Passed"))</f>
        <v/>
      </c>
      <c r="Q587" s="68" t="str">
        <f>IF(TRIM($A587)="","",COUNTIFS('Card Test Cases'!$B$4:$B$1000,$A587,'Card Test Cases'!$A$4:$A$1000,"&lt;&gt;",'Card Test Cases'!$F$4:$F$1000,"Failed"))</f>
        <v/>
      </c>
      <c r="R587" s="68" t="str">
        <f t="shared" si="9"/>
        <v/>
      </c>
      <c r="S587" s="68" t="str" cm="1">
        <f t="array" ref="S587">IF(TRIM($A587)="","",IFERROR(_xlfn.TEXTJOIN(", ",TRUE,_xlfn.UNIQUE(_xlfn.VSTACK(_xlfn._xlws.FILTER('Card Test Cases'!$G$4:$G$1000,('Card Test Cases'!$B$4:$B$1000=$A587)*('Card Test Cases'!$G$4:$G$1000&lt;&gt;""),""),_xlfn._xlws.FILTER('E2E core flow'!$U$15:$U$1000,('E2E core flow'!$A$15:$A$1000&lt;&gt;"")*ISNUMBER(SEARCH('E2E core flow'!$A$15:$A$1000,$E587))*('E2E core flow'!$U$15:$U$1000&lt;&gt;""),"")))),"-"))</f>
        <v/>
      </c>
    </row>
    <row r="588" spans="7:19" x14ac:dyDescent="0.3">
      <c r="G588" s="68" t="str" cm="1">
        <f t="array" ref="G588">_xlfn.LET(_xlpm.ids,'E2E core flow'!$A$15:$A$1000,_xlpm.v,'E2E core flow'!$W$15:$W$1000,_xlpm.m,(_xlpm.ids&lt;&gt;"")*ISNUMBER(SEARCH(_xlpm.ids,$E588)),_xlpm.f,SUM(_xlpm.m*(_xlpm.v="Failed")),_xlpm.b,SUM(_xlpm.m*(_xlpm.v="Blocked")),_xlpm.nr,SUM(_xlpm.m*(_xlpm.v="Not Run")),_xlpm.cp,SUM(_xlpm.m*(_xlpm.v="Conditionally Passed")),_xlpm.p,SUM(_xlpm.m*(_xlpm.v="Passed")),IF(TRIM($A588)="","",IF(TRIM($E588)="","Pending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88" s="68" t="str">
        <f>IF(TRIM($A588)="","",IF($J588="Passed","",IF($J588="Passed with Known Issue","Known Issue",IF($J588="",IF(OR($H588&lt;&gt;"No",AND($F588&lt;&gt;"Medium",$F588&lt;&gt;"Low")),"Pending Result",""),IF(OR($H588&lt;&gt;"No",AND($F588&lt;&gt;"Medium",$F588&lt;&gt;"Low")),IF(COUNTIFS(Dashboard!$B$105:$B$124,$A588,Dashboard!$I$105:$I$124,"CAB")&gt;0,"Accepted (CF)","Blocking"),IF($J588="Failed","Deferrable","Carry Over"))))))</f>
        <v/>
      </c>
      <c r="M588" s="68" t="str">
        <f>IF(OR(TRIM($A588)="",TRIM($E588)=""),"",IFERROR(INDEX('E2E core flow'!$B$15:$B$1000,MATCH(1,INDEX(('E2E core flow'!$A$15:$A$1000&lt;&gt;"")*ISNUMBER(SEARCH('E2E core flow'!$A$15:$A$1000,$E588)),0),0))&amp;"","-"))</f>
        <v/>
      </c>
      <c r="N588" s="68" t="str">
        <f>IF(TRIM($A588)="","",IF($O588=0,IF(COUNTIFS('Card Test Cases'!$B$4:$B$1000,$A588,'Card Test Cases'!$A$4:$A$1000,"&lt;&gt;")&gt;0,"Out of Scope","No TC"),IF($Q588&gt;0,"Failed",IF(COUNTIFS('Card Test Cases'!$B$4:$B$1000,$A588,'Card Test Cases'!$A$4:$A$1000,"&lt;&gt;",'Card Test Cases'!$F$4:$F$1000,"Blocked")&gt;0,"Blocked",IF($R588&gt;0,"In Progress","Passed")))))</f>
        <v/>
      </c>
      <c r="O588" s="68" t="str">
        <f>IF(TRIM($A588)="","",COUNTIFS('Card Test Cases'!$B$4:$B$1000,$A588,'Card Test Cases'!$A$4:$A$1000,"&lt;&gt;",'Card Test Cases'!$F$4:$F$1000,"&lt;&gt;Out of Scope"))</f>
        <v/>
      </c>
      <c r="P588" s="68" t="str">
        <f>IF(TRIM($A588)="","",COUNTIFS('Card Test Cases'!$B$4:$B$1000,$A588,'Card Test Cases'!$A$4:$A$1000,"&lt;&gt;",'Card Test Cases'!$F$4:$F$1000,"Passed"))</f>
        <v/>
      </c>
      <c r="Q588" s="68" t="str">
        <f>IF(TRIM($A588)="","",COUNTIFS('Card Test Cases'!$B$4:$B$1000,$A588,'Card Test Cases'!$A$4:$A$1000,"&lt;&gt;",'Card Test Cases'!$F$4:$F$1000,"Failed"))</f>
        <v/>
      </c>
      <c r="R588" s="68" t="str">
        <f t="shared" si="9"/>
        <v/>
      </c>
      <c r="S588" s="68" t="str" cm="1">
        <f t="array" ref="S588">IF(TRIM($A588)="","",IFERROR(_xlfn.TEXTJOIN(", ",TRUE,_xlfn.UNIQUE(_xlfn.VSTACK(_xlfn._xlws.FILTER('Card Test Cases'!$G$4:$G$1000,('Card Test Cases'!$B$4:$B$1000=$A588)*('Card Test Cases'!$G$4:$G$1000&lt;&gt;""),""),_xlfn._xlws.FILTER('E2E core flow'!$U$15:$U$1000,('E2E core flow'!$A$15:$A$1000&lt;&gt;"")*ISNUMBER(SEARCH('E2E core flow'!$A$15:$A$1000,$E588))*('E2E core flow'!$U$15:$U$1000&lt;&gt;""),"")))),"-"))</f>
        <v/>
      </c>
    </row>
    <row r="589" spans="7:19" x14ac:dyDescent="0.3">
      <c r="G589" s="68" t="str" cm="1">
        <f t="array" ref="G589">_xlfn.LET(_xlpm.ids,'E2E core flow'!$A$15:$A$1000,_xlpm.v,'E2E core flow'!$W$15:$W$1000,_xlpm.m,(_xlpm.ids&lt;&gt;"")*ISNUMBER(SEARCH(_xlpm.ids,$E589)),_xlpm.f,SUM(_xlpm.m*(_xlpm.v="Failed")),_xlpm.b,SUM(_xlpm.m*(_xlpm.v="Blocked")),_xlpm.nr,SUM(_xlpm.m*(_xlpm.v="Not Run")),_xlpm.cp,SUM(_xlpm.m*(_xlpm.v="Conditionally Passed")),_xlpm.p,SUM(_xlpm.m*(_xlpm.v="Passed")),IF(TRIM($A589)="","",IF(TRIM($E589)="","Pending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89" s="68" t="str">
        <f>IF(TRIM($A589)="","",IF($J589="Passed","",IF($J589="Passed with Known Issue","Known Issue",IF($J589="",IF(OR($H589&lt;&gt;"No",AND($F589&lt;&gt;"Medium",$F589&lt;&gt;"Low")),"Pending Result",""),IF(OR($H589&lt;&gt;"No",AND($F589&lt;&gt;"Medium",$F589&lt;&gt;"Low")),IF(COUNTIFS(Dashboard!$B$105:$B$124,$A589,Dashboard!$I$105:$I$124,"CAB")&gt;0,"Accepted (CF)","Blocking"),IF($J589="Failed","Deferrable","Carry Over"))))))</f>
        <v/>
      </c>
      <c r="M589" s="68" t="str">
        <f>IF(OR(TRIM($A589)="",TRIM($E589)=""),"",IFERROR(INDEX('E2E core flow'!$B$15:$B$1000,MATCH(1,INDEX(('E2E core flow'!$A$15:$A$1000&lt;&gt;"")*ISNUMBER(SEARCH('E2E core flow'!$A$15:$A$1000,$E589)),0),0))&amp;"","-"))</f>
        <v/>
      </c>
      <c r="N589" s="68" t="str">
        <f>IF(TRIM($A589)="","",IF($O589=0,IF(COUNTIFS('Card Test Cases'!$B$4:$B$1000,$A589,'Card Test Cases'!$A$4:$A$1000,"&lt;&gt;")&gt;0,"Out of Scope","No TC"),IF($Q589&gt;0,"Failed",IF(COUNTIFS('Card Test Cases'!$B$4:$B$1000,$A589,'Card Test Cases'!$A$4:$A$1000,"&lt;&gt;",'Card Test Cases'!$F$4:$F$1000,"Blocked")&gt;0,"Blocked",IF($R589&gt;0,"In Progress","Passed")))))</f>
        <v/>
      </c>
      <c r="O589" s="68" t="str">
        <f>IF(TRIM($A589)="","",COUNTIFS('Card Test Cases'!$B$4:$B$1000,$A589,'Card Test Cases'!$A$4:$A$1000,"&lt;&gt;",'Card Test Cases'!$F$4:$F$1000,"&lt;&gt;Out of Scope"))</f>
        <v/>
      </c>
      <c r="P589" s="68" t="str">
        <f>IF(TRIM($A589)="","",COUNTIFS('Card Test Cases'!$B$4:$B$1000,$A589,'Card Test Cases'!$A$4:$A$1000,"&lt;&gt;",'Card Test Cases'!$F$4:$F$1000,"Passed"))</f>
        <v/>
      </c>
      <c r="Q589" s="68" t="str">
        <f>IF(TRIM($A589)="","",COUNTIFS('Card Test Cases'!$B$4:$B$1000,$A589,'Card Test Cases'!$A$4:$A$1000,"&lt;&gt;",'Card Test Cases'!$F$4:$F$1000,"Failed"))</f>
        <v/>
      </c>
      <c r="R589" s="68" t="str">
        <f t="shared" si="9"/>
        <v/>
      </c>
      <c r="S589" s="68" t="str" cm="1">
        <f t="array" ref="S589">IF(TRIM($A589)="","",IFERROR(_xlfn.TEXTJOIN(", ",TRUE,_xlfn.UNIQUE(_xlfn.VSTACK(_xlfn._xlws.FILTER('Card Test Cases'!$G$4:$G$1000,('Card Test Cases'!$B$4:$B$1000=$A589)*('Card Test Cases'!$G$4:$G$1000&lt;&gt;""),""),_xlfn._xlws.FILTER('E2E core flow'!$U$15:$U$1000,('E2E core flow'!$A$15:$A$1000&lt;&gt;"")*ISNUMBER(SEARCH('E2E core flow'!$A$15:$A$1000,$E589))*('E2E core flow'!$U$15:$U$1000&lt;&gt;""),"")))),"-"))</f>
        <v/>
      </c>
    </row>
    <row r="590" spans="7:19" x14ac:dyDescent="0.3">
      <c r="G590" s="68" t="str" cm="1">
        <f t="array" ref="G590">_xlfn.LET(_xlpm.ids,'E2E core flow'!$A$15:$A$1000,_xlpm.v,'E2E core flow'!$W$15:$W$1000,_xlpm.m,(_xlpm.ids&lt;&gt;"")*ISNUMBER(SEARCH(_xlpm.ids,$E590)),_xlpm.f,SUM(_xlpm.m*(_xlpm.v="Failed")),_xlpm.b,SUM(_xlpm.m*(_xlpm.v="Blocked")),_xlpm.nr,SUM(_xlpm.m*(_xlpm.v="Not Run")),_xlpm.cp,SUM(_xlpm.m*(_xlpm.v="Conditionally Passed")),_xlpm.p,SUM(_xlpm.m*(_xlpm.v="Passed")),IF(TRIM($A590)="","",IF(TRIM($E590)="","Pending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90" s="68" t="str">
        <f>IF(TRIM($A590)="","",IF($J590="Passed","",IF($J590="Passed with Known Issue","Known Issue",IF($J590="",IF(OR($H590&lt;&gt;"No",AND($F590&lt;&gt;"Medium",$F590&lt;&gt;"Low")),"Pending Result",""),IF(OR($H590&lt;&gt;"No",AND($F590&lt;&gt;"Medium",$F590&lt;&gt;"Low")),IF(COUNTIFS(Dashboard!$B$105:$B$124,$A590,Dashboard!$I$105:$I$124,"CAB")&gt;0,"Accepted (CF)","Blocking"),IF($J590="Failed","Deferrable","Carry Over"))))))</f>
        <v/>
      </c>
      <c r="M590" s="68" t="str">
        <f>IF(OR(TRIM($A590)="",TRIM($E590)=""),"",IFERROR(INDEX('E2E core flow'!$B$15:$B$1000,MATCH(1,INDEX(('E2E core flow'!$A$15:$A$1000&lt;&gt;"")*ISNUMBER(SEARCH('E2E core flow'!$A$15:$A$1000,$E590)),0),0))&amp;"","-"))</f>
        <v/>
      </c>
      <c r="N590" s="68" t="str">
        <f>IF(TRIM($A590)="","",IF($O590=0,IF(COUNTIFS('Card Test Cases'!$B$4:$B$1000,$A590,'Card Test Cases'!$A$4:$A$1000,"&lt;&gt;")&gt;0,"Out of Scope","No TC"),IF($Q590&gt;0,"Failed",IF(COUNTIFS('Card Test Cases'!$B$4:$B$1000,$A590,'Card Test Cases'!$A$4:$A$1000,"&lt;&gt;",'Card Test Cases'!$F$4:$F$1000,"Blocked")&gt;0,"Blocked",IF($R590&gt;0,"In Progress","Passed")))))</f>
        <v/>
      </c>
      <c r="O590" s="68" t="str">
        <f>IF(TRIM($A590)="","",COUNTIFS('Card Test Cases'!$B$4:$B$1000,$A590,'Card Test Cases'!$A$4:$A$1000,"&lt;&gt;",'Card Test Cases'!$F$4:$F$1000,"&lt;&gt;Out of Scope"))</f>
        <v/>
      </c>
      <c r="P590" s="68" t="str">
        <f>IF(TRIM($A590)="","",COUNTIFS('Card Test Cases'!$B$4:$B$1000,$A590,'Card Test Cases'!$A$4:$A$1000,"&lt;&gt;",'Card Test Cases'!$F$4:$F$1000,"Passed"))</f>
        <v/>
      </c>
      <c r="Q590" s="68" t="str">
        <f>IF(TRIM($A590)="","",COUNTIFS('Card Test Cases'!$B$4:$B$1000,$A590,'Card Test Cases'!$A$4:$A$1000,"&lt;&gt;",'Card Test Cases'!$F$4:$F$1000,"Failed"))</f>
        <v/>
      </c>
      <c r="R590" s="68" t="str">
        <f t="shared" si="9"/>
        <v/>
      </c>
      <c r="S590" s="68" t="str" cm="1">
        <f t="array" ref="S590">IF(TRIM($A590)="","",IFERROR(_xlfn.TEXTJOIN(", ",TRUE,_xlfn.UNIQUE(_xlfn.VSTACK(_xlfn._xlws.FILTER('Card Test Cases'!$G$4:$G$1000,('Card Test Cases'!$B$4:$B$1000=$A590)*('Card Test Cases'!$G$4:$G$1000&lt;&gt;""),""),_xlfn._xlws.FILTER('E2E core flow'!$U$15:$U$1000,('E2E core flow'!$A$15:$A$1000&lt;&gt;"")*ISNUMBER(SEARCH('E2E core flow'!$A$15:$A$1000,$E590))*('E2E core flow'!$U$15:$U$1000&lt;&gt;""),"")))),"-"))</f>
        <v/>
      </c>
    </row>
    <row r="591" spans="7:19" x14ac:dyDescent="0.3">
      <c r="G591" s="68" t="str" cm="1">
        <f t="array" ref="G591">_xlfn.LET(_xlpm.ids,'E2E core flow'!$A$15:$A$1000,_xlpm.v,'E2E core flow'!$W$15:$W$1000,_xlpm.m,(_xlpm.ids&lt;&gt;"")*ISNUMBER(SEARCH(_xlpm.ids,$E591)),_xlpm.f,SUM(_xlpm.m*(_xlpm.v="Failed")),_xlpm.b,SUM(_xlpm.m*(_xlpm.v="Blocked")),_xlpm.nr,SUM(_xlpm.m*(_xlpm.v="Not Run")),_xlpm.cp,SUM(_xlpm.m*(_xlpm.v="Conditionally Passed")),_xlpm.p,SUM(_xlpm.m*(_xlpm.v="Passed")),IF(TRIM($A591)="","",IF(TRIM($E591)="","Pending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91" s="68" t="str">
        <f>IF(TRIM($A591)="","",IF($J591="Passed","",IF($J591="Passed with Known Issue","Known Issue",IF($J591="",IF(OR($H591&lt;&gt;"No",AND($F591&lt;&gt;"Medium",$F591&lt;&gt;"Low")),"Pending Result",""),IF(OR($H591&lt;&gt;"No",AND($F591&lt;&gt;"Medium",$F591&lt;&gt;"Low")),IF(COUNTIFS(Dashboard!$B$105:$B$124,$A591,Dashboard!$I$105:$I$124,"CAB")&gt;0,"Accepted (CF)","Blocking"),IF($J591="Failed","Deferrable","Carry Over"))))))</f>
        <v/>
      </c>
      <c r="M591" s="68" t="str">
        <f>IF(OR(TRIM($A591)="",TRIM($E591)=""),"",IFERROR(INDEX('E2E core flow'!$B$15:$B$1000,MATCH(1,INDEX(('E2E core flow'!$A$15:$A$1000&lt;&gt;"")*ISNUMBER(SEARCH('E2E core flow'!$A$15:$A$1000,$E591)),0),0))&amp;"","-"))</f>
        <v/>
      </c>
      <c r="N591" s="68" t="str">
        <f>IF(TRIM($A591)="","",IF($O591=0,IF(COUNTIFS('Card Test Cases'!$B$4:$B$1000,$A591,'Card Test Cases'!$A$4:$A$1000,"&lt;&gt;")&gt;0,"Out of Scope","No TC"),IF($Q591&gt;0,"Failed",IF(COUNTIFS('Card Test Cases'!$B$4:$B$1000,$A591,'Card Test Cases'!$A$4:$A$1000,"&lt;&gt;",'Card Test Cases'!$F$4:$F$1000,"Blocked")&gt;0,"Blocked",IF($R591&gt;0,"In Progress","Passed")))))</f>
        <v/>
      </c>
      <c r="O591" s="68" t="str">
        <f>IF(TRIM($A591)="","",COUNTIFS('Card Test Cases'!$B$4:$B$1000,$A591,'Card Test Cases'!$A$4:$A$1000,"&lt;&gt;",'Card Test Cases'!$F$4:$F$1000,"&lt;&gt;Out of Scope"))</f>
        <v/>
      </c>
      <c r="P591" s="68" t="str">
        <f>IF(TRIM($A591)="","",COUNTIFS('Card Test Cases'!$B$4:$B$1000,$A591,'Card Test Cases'!$A$4:$A$1000,"&lt;&gt;",'Card Test Cases'!$F$4:$F$1000,"Passed"))</f>
        <v/>
      </c>
      <c r="Q591" s="68" t="str">
        <f>IF(TRIM($A591)="","",COUNTIFS('Card Test Cases'!$B$4:$B$1000,$A591,'Card Test Cases'!$A$4:$A$1000,"&lt;&gt;",'Card Test Cases'!$F$4:$F$1000,"Failed"))</f>
        <v/>
      </c>
      <c r="R591" s="68" t="str">
        <f t="shared" si="9"/>
        <v/>
      </c>
      <c r="S591" s="68" t="str" cm="1">
        <f t="array" ref="S591">IF(TRIM($A591)="","",IFERROR(_xlfn.TEXTJOIN(", ",TRUE,_xlfn.UNIQUE(_xlfn.VSTACK(_xlfn._xlws.FILTER('Card Test Cases'!$G$4:$G$1000,('Card Test Cases'!$B$4:$B$1000=$A591)*('Card Test Cases'!$G$4:$G$1000&lt;&gt;""),""),_xlfn._xlws.FILTER('E2E core flow'!$U$15:$U$1000,('E2E core flow'!$A$15:$A$1000&lt;&gt;"")*ISNUMBER(SEARCH('E2E core flow'!$A$15:$A$1000,$E591))*('E2E core flow'!$U$15:$U$1000&lt;&gt;""),"")))),"-"))</f>
        <v/>
      </c>
    </row>
    <row r="592" spans="7:19" x14ac:dyDescent="0.3">
      <c r="G592" s="68" t="str" cm="1">
        <f t="array" ref="G592">_xlfn.LET(_xlpm.ids,'E2E core flow'!$A$15:$A$1000,_xlpm.v,'E2E core flow'!$W$15:$W$1000,_xlpm.m,(_xlpm.ids&lt;&gt;"")*ISNUMBER(SEARCH(_xlpm.ids,$E592)),_xlpm.f,SUM(_xlpm.m*(_xlpm.v="Failed")),_xlpm.b,SUM(_xlpm.m*(_xlpm.v="Blocked")),_xlpm.nr,SUM(_xlpm.m*(_xlpm.v="Not Run")),_xlpm.cp,SUM(_xlpm.m*(_xlpm.v="Conditionally Passed")),_xlpm.p,SUM(_xlpm.m*(_xlpm.v="Passed")),IF(TRIM($A592)="","",IF(TRIM($E592)="","Pending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92" s="68" t="str">
        <f>IF(TRIM($A592)="","",IF($J592="Passed","",IF($J592="Passed with Known Issue","Known Issue",IF($J592="",IF(OR($H592&lt;&gt;"No",AND($F592&lt;&gt;"Medium",$F592&lt;&gt;"Low")),"Pending Result",""),IF(OR($H592&lt;&gt;"No",AND($F592&lt;&gt;"Medium",$F592&lt;&gt;"Low")),IF(COUNTIFS(Dashboard!$B$105:$B$124,$A592,Dashboard!$I$105:$I$124,"CAB")&gt;0,"Accepted (CF)","Blocking"),IF($J592="Failed","Deferrable","Carry Over"))))))</f>
        <v/>
      </c>
      <c r="M592" s="68" t="str">
        <f>IF(OR(TRIM($A592)="",TRIM($E592)=""),"",IFERROR(INDEX('E2E core flow'!$B$15:$B$1000,MATCH(1,INDEX(('E2E core flow'!$A$15:$A$1000&lt;&gt;"")*ISNUMBER(SEARCH('E2E core flow'!$A$15:$A$1000,$E592)),0),0))&amp;"","-"))</f>
        <v/>
      </c>
      <c r="N592" s="68" t="str">
        <f>IF(TRIM($A592)="","",IF($O592=0,IF(COUNTIFS('Card Test Cases'!$B$4:$B$1000,$A592,'Card Test Cases'!$A$4:$A$1000,"&lt;&gt;")&gt;0,"Out of Scope","No TC"),IF($Q592&gt;0,"Failed",IF(COUNTIFS('Card Test Cases'!$B$4:$B$1000,$A592,'Card Test Cases'!$A$4:$A$1000,"&lt;&gt;",'Card Test Cases'!$F$4:$F$1000,"Blocked")&gt;0,"Blocked",IF($R592&gt;0,"In Progress","Passed")))))</f>
        <v/>
      </c>
      <c r="O592" s="68" t="str">
        <f>IF(TRIM($A592)="","",COUNTIFS('Card Test Cases'!$B$4:$B$1000,$A592,'Card Test Cases'!$A$4:$A$1000,"&lt;&gt;",'Card Test Cases'!$F$4:$F$1000,"&lt;&gt;Out of Scope"))</f>
        <v/>
      </c>
      <c r="P592" s="68" t="str">
        <f>IF(TRIM($A592)="","",COUNTIFS('Card Test Cases'!$B$4:$B$1000,$A592,'Card Test Cases'!$A$4:$A$1000,"&lt;&gt;",'Card Test Cases'!$F$4:$F$1000,"Passed"))</f>
        <v/>
      </c>
      <c r="Q592" s="68" t="str">
        <f>IF(TRIM($A592)="","",COUNTIFS('Card Test Cases'!$B$4:$B$1000,$A592,'Card Test Cases'!$A$4:$A$1000,"&lt;&gt;",'Card Test Cases'!$F$4:$F$1000,"Failed"))</f>
        <v/>
      </c>
      <c r="R592" s="68" t="str">
        <f t="shared" si="9"/>
        <v/>
      </c>
      <c r="S592" s="68" t="str" cm="1">
        <f t="array" ref="S592">IF(TRIM($A592)="","",IFERROR(_xlfn.TEXTJOIN(", ",TRUE,_xlfn.UNIQUE(_xlfn.VSTACK(_xlfn._xlws.FILTER('Card Test Cases'!$G$4:$G$1000,('Card Test Cases'!$B$4:$B$1000=$A592)*('Card Test Cases'!$G$4:$G$1000&lt;&gt;""),""),_xlfn._xlws.FILTER('E2E core flow'!$U$15:$U$1000,('E2E core flow'!$A$15:$A$1000&lt;&gt;"")*ISNUMBER(SEARCH('E2E core flow'!$A$15:$A$1000,$E592))*('E2E core flow'!$U$15:$U$1000&lt;&gt;""),"")))),"-"))</f>
        <v/>
      </c>
    </row>
    <row r="593" spans="7:19" x14ac:dyDescent="0.3">
      <c r="G593" s="68" t="str" cm="1">
        <f t="array" ref="G593">_xlfn.LET(_xlpm.ids,'E2E core flow'!$A$15:$A$1000,_xlpm.v,'E2E core flow'!$W$15:$W$1000,_xlpm.m,(_xlpm.ids&lt;&gt;"")*ISNUMBER(SEARCH(_xlpm.ids,$E593)),_xlpm.f,SUM(_xlpm.m*(_xlpm.v="Failed")),_xlpm.b,SUM(_xlpm.m*(_xlpm.v="Blocked")),_xlpm.nr,SUM(_xlpm.m*(_xlpm.v="Not Run")),_xlpm.cp,SUM(_xlpm.m*(_xlpm.v="Conditionally Passed")),_xlpm.p,SUM(_xlpm.m*(_xlpm.v="Passed")),IF(TRIM($A593)="","",IF(TRIM($E593)="","Pending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93" s="68" t="str">
        <f>IF(TRIM($A593)="","",IF($J593="Passed","",IF($J593="Passed with Known Issue","Known Issue",IF($J593="",IF(OR($H593&lt;&gt;"No",AND($F593&lt;&gt;"Medium",$F593&lt;&gt;"Low")),"Pending Result",""),IF(OR($H593&lt;&gt;"No",AND($F593&lt;&gt;"Medium",$F593&lt;&gt;"Low")),IF(COUNTIFS(Dashboard!$B$105:$B$124,$A593,Dashboard!$I$105:$I$124,"CAB")&gt;0,"Accepted (CF)","Blocking"),IF($J593="Failed","Deferrable","Carry Over"))))))</f>
        <v/>
      </c>
      <c r="M593" s="68" t="str">
        <f>IF(OR(TRIM($A593)="",TRIM($E593)=""),"",IFERROR(INDEX('E2E core flow'!$B$15:$B$1000,MATCH(1,INDEX(('E2E core flow'!$A$15:$A$1000&lt;&gt;"")*ISNUMBER(SEARCH('E2E core flow'!$A$15:$A$1000,$E593)),0),0))&amp;"","-"))</f>
        <v/>
      </c>
      <c r="N593" s="68" t="str">
        <f>IF(TRIM($A593)="","",IF($O593=0,IF(COUNTIFS('Card Test Cases'!$B$4:$B$1000,$A593,'Card Test Cases'!$A$4:$A$1000,"&lt;&gt;")&gt;0,"Out of Scope","No TC"),IF($Q593&gt;0,"Failed",IF(COUNTIFS('Card Test Cases'!$B$4:$B$1000,$A593,'Card Test Cases'!$A$4:$A$1000,"&lt;&gt;",'Card Test Cases'!$F$4:$F$1000,"Blocked")&gt;0,"Blocked",IF($R593&gt;0,"In Progress","Passed")))))</f>
        <v/>
      </c>
      <c r="O593" s="68" t="str">
        <f>IF(TRIM($A593)="","",COUNTIFS('Card Test Cases'!$B$4:$B$1000,$A593,'Card Test Cases'!$A$4:$A$1000,"&lt;&gt;",'Card Test Cases'!$F$4:$F$1000,"&lt;&gt;Out of Scope"))</f>
        <v/>
      </c>
      <c r="P593" s="68" t="str">
        <f>IF(TRIM($A593)="","",COUNTIFS('Card Test Cases'!$B$4:$B$1000,$A593,'Card Test Cases'!$A$4:$A$1000,"&lt;&gt;",'Card Test Cases'!$F$4:$F$1000,"Passed"))</f>
        <v/>
      </c>
      <c r="Q593" s="68" t="str">
        <f>IF(TRIM($A593)="","",COUNTIFS('Card Test Cases'!$B$4:$B$1000,$A593,'Card Test Cases'!$A$4:$A$1000,"&lt;&gt;",'Card Test Cases'!$F$4:$F$1000,"Failed"))</f>
        <v/>
      </c>
      <c r="R593" s="68" t="str">
        <f t="shared" si="9"/>
        <v/>
      </c>
      <c r="S593" s="68" t="str" cm="1">
        <f t="array" ref="S593">IF(TRIM($A593)="","",IFERROR(_xlfn.TEXTJOIN(", ",TRUE,_xlfn.UNIQUE(_xlfn.VSTACK(_xlfn._xlws.FILTER('Card Test Cases'!$G$4:$G$1000,('Card Test Cases'!$B$4:$B$1000=$A593)*('Card Test Cases'!$G$4:$G$1000&lt;&gt;""),""),_xlfn._xlws.FILTER('E2E core flow'!$U$15:$U$1000,('E2E core flow'!$A$15:$A$1000&lt;&gt;"")*ISNUMBER(SEARCH('E2E core flow'!$A$15:$A$1000,$E593))*('E2E core flow'!$U$15:$U$1000&lt;&gt;""),"")))),"-"))</f>
        <v/>
      </c>
    </row>
    <row r="594" spans="7:19" x14ac:dyDescent="0.3">
      <c r="G594" s="68" t="str" cm="1">
        <f t="array" ref="G594">_xlfn.LET(_xlpm.ids,'E2E core flow'!$A$15:$A$1000,_xlpm.v,'E2E core flow'!$W$15:$W$1000,_xlpm.m,(_xlpm.ids&lt;&gt;"")*ISNUMBER(SEARCH(_xlpm.ids,$E594)),_xlpm.f,SUM(_xlpm.m*(_xlpm.v="Failed")),_xlpm.b,SUM(_xlpm.m*(_xlpm.v="Blocked")),_xlpm.nr,SUM(_xlpm.m*(_xlpm.v="Not Run")),_xlpm.cp,SUM(_xlpm.m*(_xlpm.v="Conditionally Passed")),_xlpm.p,SUM(_xlpm.m*(_xlpm.v="Passed")),IF(TRIM($A594)="","",IF(TRIM($E594)="","Pending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94" s="68" t="str">
        <f>IF(TRIM($A594)="","",IF($J594="Passed","",IF($J594="Passed with Known Issue","Known Issue",IF($J594="",IF(OR($H594&lt;&gt;"No",AND($F594&lt;&gt;"Medium",$F594&lt;&gt;"Low")),"Pending Result",""),IF(OR($H594&lt;&gt;"No",AND($F594&lt;&gt;"Medium",$F594&lt;&gt;"Low")),IF(COUNTIFS(Dashboard!$B$105:$B$124,$A594,Dashboard!$I$105:$I$124,"CAB")&gt;0,"Accepted (CF)","Blocking"),IF($J594="Failed","Deferrable","Carry Over"))))))</f>
        <v/>
      </c>
      <c r="M594" s="68" t="str">
        <f>IF(OR(TRIM($A594)="",TRIM($E594)=""),"",IFERROR(INDEX('E2E core flow'!$B$15:$B$1000,MATCH(1,INDEX(('E2E core flow'!$A$15:$A$1000&lt;&gt;"")*ISNUMBER(SEARCH('E2E core flow'!$A$15:$A$1000,$E594)),0),0))&amp;"","-"))</f>
        <v/>
      </c>
      <c r="N594" s="68" t="str">
        <f>IF(TRIM($A594)="","",IF($O594=0,IF(COUNTIFS('Card Test Cases'!$B$4:$B$1000,$A594,'Card Test Cases'!$A$4:$A$1000,"&lt;&gt;")&gt;0,"Out of Scope","No TC"),IF($Q594&gt;0,"Failed",IF(COUNTIFS('Card Test Cases'!$B$4:$B$1000,$A594,'Card Test Cases'!$A$4:$A$1000,"&lt;&gt;",'Card Test Cases'!$F$4:$F$1000,"Blocked")&gt;0,"Blocked",IF($R594&gt;0,"In Progress","Passed")))))</f>
        <v/>
      </c>
      <c r="O594" s="68" t="str">
        <f>IF(TRIM($A594)="","",COUNTIFS('Card Test Cases'!$B$4:$B$1000,$A594,'Card Test Cases'!$A$4:$A$1000,"&lt;&gt;",'Card Test Cases'!$F$4:$F$1000,"&lt;&gt;Out of Scope"))</f>
        <v/>
      </c>
      <c r="P594" s="68" t="str">
        <f>IF(TRIM($A594)="","",COUNTIFS('Card Test Cases'!$B$4:$B$1000,$A594,'Card Test Cases'!$A$4:$A$1000,"&lt;&gt;",'Card Test Cases'!$F$4:$F$1000,"Passed"))</f>
        <v/>
      </c>
      <c r="Q594" s="68" t="str">
        <f>IF(TRIM($A594)="","",COUNTIFS('Card Test Cases'!$B$4:$B$1000,$A594,'Card Test Cases'!$A$4:$A$1000,"&lt;&gt;",'Card Test Cases'!$F$4:$F$1000,"Failed"))</f>
        <v/>
      </c>
      <c r="R594" s="68" t="str">
        <f t="shared" si="9"/>
        <v/>
      </c>
      <c r="S594" s="68" t="str" cm="1">
        <f t="array" ref="S594">IF(TRIM($A594)="","",IFERROR(_xlfn.TEXTJOIN(", ",TRUE,_xlfn.UNIQUE(_xlfn.VSTACK(_xlfn._xlws.FILTER('Card Test Cases'!$G$4:$G$1000,('Card Test Cases'!$B$4:$B$1000=$A594)*('Card Test Cases'!$G$4:$G$1000&lt;&gt;""),""),_xlfn._xlws.FILTER('E2E core flow'!$U$15:$U$1000,('E2E core flow'!$A$15:$A$1000&lt;&gt;"")*ISNUMBER(SEARCH('E2E core flow'!$A$15:$A$1000,$E594))*('E2E core flow'!$U$15:$U$1000&lt;&gt;""),"")))),"-"))</f>
        <v/>
      </c>
    </row>
    <row r="595" spans="7:19" x14ac:dyDescent="0.3">
      <c r="G595" s="68" t="str" cm="1">
        <f t="array" ref="G595">_xlfn.LET(_xlpm.ids,'E2E core flow'!$A$15:$A$1000,_xlpm.v,'E2E core flow'!$W$15:$W$1000,_xlpm.m,(_xlpm.ids&lt;&gt;"")*ISNUMBER(SEARCH(_xlpm.ids,$E595)),_xlpm.f,SUM(_xlpm.m*(_xlpm.v="Failed")),_xlpm.b,SUM(_xlpm.m*(_xlpm.v="Blocked")),_xlpm.nr,SUM(_xlpm.m*(_xlpm.v="Not Run")),_xlpm.cp,SUM(_xlpm.m*(_xlpm.v="Conditionally Passed")),_xlpm.p,SUM(_xlpm.m*(_xlpm.v="Passed")),IF(TRIM($A595)="","",IF(TRIM($E595)="","Pending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95" s="68" t="str">
        <f>IF(TRIM($A595)="","",IF($J595="Passed","",IF($J595="Passed with Known Issue","Known Issue",IF($J595="",IF(OR($H595&lt;&gt;"No",AND($F595&lt;&gt;"Medium",$F595&lt;&gt;"Low")),"Pending Result",""),IF(OR($H595&lt;&gt;"No",AND($F595&lt;&gt;"Medium",$F595&lt;&gt;"Low")),IF(COUNTIFS(Dashboard!$B$105:$B$124,$A595,Dashboard!$I$105:$I$124,"CAB")&gt;0,"Accepted (CF)","Blocking"),IF($J595="Failed","Deferrable","Carry Over"))))))</f>
        <v/>
      </c>
      <c r="M595" s="68" t="str">
        <f>IF(OR(TRIM($A595)="",TRIM($E595)=""),"",IFERROR(INDEX('E2E core flow'!$B$15:$B$1000,MATCH(1,INDEX(('E2E core flow'!$A$15:$A$1000&lt;&gt;"")*ISNUMBER(SEARCH('E2E core flow'!$A$15:$A$1000,$E595)),0),0))&amp;"","-"))</f>
        <v/>
      </c>
      <c r="N595" s="68" t="str">
        <f>IF(TRIM($A595)="","",IF($O595=0,IF(COUNTIFS('Card Test Cases'!$B$4:$B$1000,$A595,'Card Test Cases'!$A$4:$A$1000,"&lt;&gt;")&gt;0,"Out of Scope","No TC"),IF($Q595&gt;0,"Failed",IF(COUNTIFS('Card Test Cases'!$B$4:$B$1000,$A595,'Card Test Cases'!$A$4:$A$1000,"&lt;&gt;",'Card Test Cases'!$F$4:$F$1000,"Blocked")&gt;0,"Blocked",IF($R595&gt;0,"In Progress","Passed")))))</f>
        <v/>
      </c>
      <c r="O595" s="68" t="str">
        <f>IF(TRIM($A595)="","",COUNTIFS('Card Test Cases'!$B$4:$B$1000,$A595,'Card Test Cases'!$A$4:$A$1000,"&lt;&gt;",'Card Test Cases'!$F$4:$F$1000,"&lt;&gt;Out of Scope"))</f>
        <v/>
      </c>
      <c r="P595" s="68" t="str">
        <f>IF(TRIM($A595)="","",COUNTIFS('Card Test Cases'!$B$4:$B$1000,$A595,'Card Test Cases'!$A$4:$A$1000,"&lt;&gt;",'Card Test Cases'!$F$4:$F$1000,"Passed"))</f>
        <v/>
      </c>
      <c r="Q595" s="68" t="str">
        <f>IF(TRIM($A595)="","",COUNTIFS('Card Test Cases'!$B$4:$B$1000,$A595,'Card Test Cases'!$A$4:$A$1000,"&lt;&gt;",'Card Test Cases'!$F$4:$F$1000,"Failed"))</f>
        <v/>
      </c>
      <c r="R595" s="68" t="str">
        <f t="shared" si="9"/>
        <v/>
      </c>
      <c r="S595" s="68" t="str" cm="1">
        <f t="array" ref="S595">IF(TRIM($A595)="","",IFERROR(_xlfn.TEXTJOIN(", ",TRUE,_xlfn.UNIQUE(_xlfn.VSTACK(_xlfn._xlws.FILTER('Card Test Cases'!$G$4:$G$1000,('Card Test Cases'!$B$4:$B$1000=$A595)*('Card Test Cases'!$G$4:$G$1000&lt;&gt;""),""),_xlfn._xlws.FILTER('E2E core flow'!$U$15:$U$1000,('E2E core flow'!$A$15:$A$1000&lt;&gt;"")*ISNUMBER(SEARCH('E2E core flow'!$A$15:$A$1000,$E595))*('E2E core flow'!$U$15:$U$1000&lt;&gt;""),"")))),"-"))</f>
        <v/>
      </c>
    </row>
    <row r="596" spans="7:19" x14ac:dyDescent="0.3">
      <c r="G596" s="68" t="str" cm="1">
        <f t="array" ref="G596">_xlfn.LET(_xlpm.ids,'E2E core flow'!$A$15:$A$1000,_xlpm.v,'E2E core flow'!$W$15:$W$1000,_xlpm.m,(_xlpm.ids&lt;&gt;"")*ISNUMBER(SEARCH(_xlpm.ids,$E596)),_xlpm.f,SUM(_xlpm.m*(_xlpm.v="Failed")),_xlpm.b,SUM(_xlpm.m*(_xlpm.v="Blocked")),_xlpm.nr,SUM(_xlpm.m*(_xlpm.v="Not Run")),_xlpm.cp,SUM(_xlpm.m*(_xlpm.v="Conditionally Passed")),_xlpm.p,SUM(_xlpm.m*(_xlpm.v="Passed")),IF(TRIM($A596)="","",IF(TRIM($E596)="","Pending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96" s="68" t="str">
        <f>IF(TRIM($A596)="","",IF($J596="Passed","",IF($J596="Passed with Known Issue","Known Issue",IF($J596="",IF(OR($H596&lt;&gt;"No",AND($F596&lt;&gt;"Medium",$F596&lt;&gt;"Low")),"Pending Result",""),IF(OR($H596&lt;&gt;"No",AND($F596&lt;&gt;"Medium",$F596&lt;&gt;"Low")),IF(COUNTIFS(Dashboard!$B$105:$B$124,$A596,Dashboard!$I$105:$I$124,"CAB")&gt;0,"Accepted (CF)","Blocking"),IF($J596="Failed","Deferrable","Carry Over"))))))</f>
        <v/>
      </c>
      <c r="M596" s="68" t="str">
        <f>IF(OR(TRIM($A596)="",TRIM($E596)=""),"",IFERROR(INDEX('E2E core flow'!$B$15:$B$1000,MATCH(1,INDEX(('E2E core flow'!$A$15:$A$1000&lt;&gt;"")*ISNUMBER(SEARCH('E2E core flow'!$A$15:$A$1000,$E596)),0),0))&amp;"","-"))</f>
        <v/>
      </c>
      <c r="N596" s="68" t="str">
        <f>IF(TRIM($A596)="","",IF($O596=0,IF(COUNTIFS('Card Test Cases'!$B$4:$B$1000,$A596,'Card Test Cases'!$A$4:$A$1000,"&lt;&gt;")&gt;0,"Out of Scope","No TC"),IF($Q596&gt;0,"Failed",IF(COUNTIFS('Card Test Cases'!$B$4:$B$1000,$A596,'Card Test Cases'!$A$4:$A$1000,"&lt;&gt;",'Card Test Cases'!$F$4:$F$1000,"Blocked")&gt;0,"Blocked",IF($R596&gt;0,"In Progress","Passed")))))</f>
        <v/>
      </c>
      <c r="O596" s="68" t="str">
        <f>IF(TRIM($A596)="","",COUNTIFS('Card Test Cases'!$B$4:$B$1000,$A596,'Card Test Cases'!$A$4:$A$1000,"&lt;&gt;",'Card Test Cases'!$F$4:$F$1000,"&lt;&gt;Out of Scope"))</f>
        <v/>
      </c>
      <c r="P596" s="68" t="str">
        <f>IF(TRIM($A596)="","",COUNTIFS('Card Test Cases'!$B$4:$B$1000,$A596,'Card Test Cases'!$A$4:$A$1000,"&lt;&gt;",'Card Test Cases'!$F$4:$F$1000,"Passed"))</f>
        <v/>
      </c>
      <c r="Q596" s="68" t="str">
        <f>IF(TRIM($A596)="","",COUNTIFS('Card Test Cases'!$B$4:$B$1000,$A596,'Card Test Cases'!$A$4:$A$1000,"&lt;&gt;",'Card Test Cases'!$F$4:$F$1000,"Failed"))</f>
        <v/>
      </c>
      <c r="R596" s="68" t="str">
        <f t="shared" si="9"/>
        <v/>
      </c>
      <c r="S596" s="68" t="str" cm="1">
        <f t="array" ref="S596">IF(TRIM($A596)="","",IFERROR(_xlfn.TEXTJOIN(", ",TRUE,_xlfn.UNIQUE(_xlfn.VSTACK(_xlfn._xlws.FILTER('Card Test Cases'!$G$4:$G$1000,('Card Test Cases'!$B$4:$B$1000=$A596)*('Card Test Cases'!$G$4:$G$1000&lt;&gt;""),""),_xlfn._xlws.FILTER('E2E core flow'!$U$15:$U$1000,('E2E core flow'!$A$15:$A$1000&lt;&gt;"")*ISNUMBER(SEARCH('E2E core flow'!$A$15:$A$1000,$E596))*('E2E core flow'!$U$15:$U$1000&lt;&gt;""),"")))),"-"))</f>
        <v/>
      </c>
    </row>
    <row r="597" spans="7:19" x14ac:dyDescent="0.3">
      <c r="G597" s="68" t="str" cm="1">
        <f t="array" ref="G597">_xlfn.LET(_xlpm.ids,'E2E core flow'!$A$15:$A$1000,_xlpm.v,'E2E core flow'!$W$15:$W$1000,_xlpm.m,(_xlpm.ids&lt;&gt;"")*ISNUMBER(SEARCH(_xlpm.ids,$E597)),_xlpm.f,SUM(_xlpm.m*(_xlpm.v="Failed")),_xlpm.b,SUM(_xlpm.m*(_xlpm.v="Blocked")),_xlpm.nr,SUM(_xlpm.m*(_xlpm.v="Not Run")),_xlpm.cp,SUM(_xlpm.m*(_xlpm.v="Conditionally Passed")),_xlpm.p,SUM(_xlpm.m*(_xlpm.v="Passed")),IF(TRIM($A597)="","",IF(TRIM($E597)="","Pending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97" s="68" t="str">
        <f>IF(TRIM($A597)="","",IF($J597="Passed","",IF($J597="Passed with Known Issue","Known Issue",IF($J597="",IF(OR($H597&lt;&gt;"No",AND($F597&lt;&gt;"Medium",$F597&lt;&gt;"Low")),"Pending Result",""),IF(OR($H597&lt;&gt;"No",AND($F597&lt;&gt;"Medium",$F597&lt;&gt;"Low")),IF(COUNTIFS(Dashboard!$B$105:$B$124,$A597,Dashboard!$I$105:$I$124,"CAB")&gt;0,"Accepted (CF)","Blocking"),IF($J597="Failed","Deferrable","Carry Over"))))))</f>
        <v/>
      </c>
      <c r="M597" s="68" t="str">
        <f>IF(OR(TRIM($A597)="",TRIM($E597)=""),"",IFERROR(INDEX('E2E core flow'!$B$15:$B$1000,MATCH(1,INDEX(('E2E core flow'!$A$15:$A$1000&lt;&gt;"")*ISNUMBER(SEARCH('E2E core flow'!$A$15:$A$1000,$E597)),0),0))&amp;"","-"))</f>
        <v/>
      </c>
      <c r="N597" s="68" t="str">
        <f>IF(TRIM($A597)="","",IF($O597=0,IF(COUNTIFS('Card Test Cases'!$B$4:$B$1000,$A597,'Card Test Cases'!$A$4:$A$1000,"&lt;&gt;")&gt;0,"Out of Scope","No TC"),IF($Q597&gt;0,"Failed",IF(COUNTIFS('Card Test Cases'!$B$4:$B$1000,$A597,'Card Test Cases'!$A$4:$A$1000,"&lt;&gt;",'Card Test Cases'!$F$4:$F$1000,"Blocked")&gt;0,"Blocked",IF($R597&gt;0,"In Progress","Passed")))))</f>
        <v/>
      </c>
      <c r="O597" s="68" t="str">
        <f>IF(TRIM($A597)="","",COUNTIFS('Card Test Cases'!$B$4:$B$1000,$A597,'Card Test Cases'!$A$4:$A$1000,"&lt;&gt;",'Card Test Cases'!$F$4:$F$1000,"&lt;&gt;Out of Scope"))</f>
        <v/>
      </c>
      <c r="P597" s="68" t="str">
        <f>IF(TRIM($A597)="","",COUNTIFS('Card Test Cases'!$B$4:$B$1000,$A597,'Card Test Cases'!$A$4:$A$1000,"&lt;&gt;",'Card Test Cases'!$F$4:$F$1000,"Passed"))</f>
        <v/>
      </c>
      <c r="Q597" s="68" t="str">
        <f>IF(TRIM($A597)="","",COUNTIFS('Card Test Cases'!$B$4:$B$1000,$A597,'Card Test Cases'!$A$4:$A$1000,"&lt;&gt;",'Card Test Cases'!$F$4:$F$1000,"Failed"))</f>
        <v/>
      </c>
      <c r="R597" s="68" t="str">
        <f t="shared" si="9"/>
        <v/>
      </c>
      <c r="S597" s="68" t="str" cm="1">
        <f t="array" ref="S597">IF(TRIM($A597)="","",IFERROR(_xlfn.TEXTJOIN(", ",TRUE,_xlfn.UNIQUE(_xlfn.VSTACK(_xlfn._xlws.FILTER('Card Test Cases'!$G$4:$G$1000,('Card Test Cases'!$B$4:$B$1000=$A597)*('Card Test Cases'!$G$4:$G$1000&lt;&gt;""),""),_xlfn._xlws.FILTER('E2E core flow'!$U$15:$U$1000,('E2E core flow'!$A$15:$A$1000&lt;&gt;"")*ISNUMBER(SEARCH('E2E core flow'!$A$15:$A$1000,$E597))*('E2E core flow'!$U$15:$U$1000&lt;&gt;""),"")))),"-"))</f>
        <v/>
      </c>
    </row>
    <row r="598" spans="7:19" x14ac:dyDescent="0.3">
      <c r="G598" s="68" t="str" cm="1">
        <f t="array" ref="G598">_xlfn.LET(_xlpm.ids,'E2E core flow'!$A$15:$A$1000,_xlpm.v,'E2E core flow'!$W$15:$W$1000,_xlpm.m,(_xlpm.ids&lt;&gt;"")*ISNUMBER(SEARCH(_xlpm.ids,$E598)),_xlpm.f,SUM(_xlpm.m*(_xlpm.v="Failed")),_xlpm.b,SUM(_xlpm.m*(_xlpm.v="Blocked")),_xlpm.nr,SUM(_xlpm.m*(_xlpm.v="Not Run")),_xlpm.cp,SUM(_xlpm.m*(_xlpm.v="Conditionally Passed")),_xlpm.p,SUM(_xlpm.m*(_xlpm.v="Passed")),IF(TRIM($A598)="","",IF(TRIM($E598)="","Pending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98" s="68" t="str">
        <f>IF(TRIM($A598)="","",IF($J598="Passed","",IF($J598="Passed with Known Issue","Known Issue",IF($J598="",IF(OR($H598&lt;&gt;"No",AND($F598&lt;&gt;"Medium",$F598&lt;&gt;"Low")),"Pending Result",""),IF(OR($H598&lt;&gt;"No",AND($F598&lt;&gt;"Medium",$F598&lt;&gt;"Low")),IF(COUNTIFS(Dashboard!$B$105:$B$124,$A598,Dashboard!$I$105:$I$124,"CAB")&gt;0,"Accepted (CF)","Blocking"),IF($J598="Failed","Deferrable","Carry Over"))))))</f>
        <v/>
      </c>
      <c r="M598" s="68" t="str">
        <f>IF(OR(TRIM($A598)="",TRIM($E598)=""),"",IFERROR(INDEX('E2E core flow'!$B$15:$B$1000,MATCH(1,INDEX(('E2E core flow'!$A$15:$A$1000&lt;&gt;"")*ISNUMBER(SEARCH('E2E core flow'!$A$15:$A$1000,$E598)),0),0))&amp;"","-"))</f>
        <v/>
      </c>
      <c r="N598" s="68" t="str">
        <f>IF(TRIM($A598)="","",IF($O598=0,IF(COUNTIFS('Card Test Cases'!$B$4:$B$1000,$A598,'Card Test Cases'!$A$4:$A$1000,"&lt;&gt;")&gt;0,"Out of Scope","No TC"),IF($Q598&gt;0,"Failed",IF(COUNTIFS('Card Test Cases'!$B$4:$B$1000,$A598,'Card Test Cases'!$A$4:$A$1000,"&lt;&gt;",'Card Test Cases'!$F$4:$F$1000,"Blocked")&gt;0,"Blocked",IF($R598&gt;0,"In Progress","Passed")))))</f>
        <v/>
      </c>
      <c r="O598" s="68" t="str">
        <f>IF(TRIM($A598)="","",COUNTIFS('Card Test Cases'!$B$4:$B$1000,$A598,'Card Test Cases'!$A$4:$A$1000,"&lt;&gt;",'Card Test Cases'!$F$4:$F$1000,"&lt;&gt;Out of Scope"))</f>
        <v/>
      </c>
      <c r="P598" s="68" t="str">
        <f>IF(TRIM($A598)="","",COUNTIFS('Card Test Cases'!$B$4:$B$1000,$A598,'Card Test Cases'!$A$4:$A$1000,"&lt;&gt;",'Card Test Cases'!$F$4:$F$1000,"Passed"))</f>
        <v/>
      </c>
      <c r="Q598" s="68" t="str">
        <f>IF(TRIM($A598)="","",COUNTIFS('Card Test Cases'!$B$4:$B$1000,$A598,'Card Test Cases'!$A$4:$A$1000,"&lt;&gt;",'Card Test Cases'!$F$4:$F$1000,"Failed"))</f>
        <v/>
      </c>
      <c r="R598" s="68" t="str">
        <f t="shared" si="9"/>
        <v/>
      </c>
      <c r="S598" s="68" t="str" cm="1">
        <f t="array" ref="S598">IF(TRIM($A598)="","",IFERROR(_xlfn.TEXTJOIN(", ",TRUE,_xlfn.UNIQUE(_xlfn.VSTACK(_xlfn._xlws.FILTER('Card Test Cases'!$G$4:$G$1000,('Card Test Cases'!$B$4:$B$1000=$A598)*('Card Test Cases'!$G$4:$G$1000&lt;&gt;""),""),_xlfn._xlws.FILTER('E2E core flow'!$U$15:$U$1000,('E2E core flow'!$A$15:$A$1000&lt;&gt;"")*ISNUMBER(SEARCH('E2E core flow'!$A$15:$A$1000,$E598))*('E2E core flow'!$U$15:$U$1000&lt;&gt;""),"")))),"-"))</f>
        <v/>
      </c>
    </row>
    <row r="599" spans="7:19" x14ac:dyDescent="0.3">
      <c r="G599" s="68" t="str" cm="1">
        <f t="array" ref="G599">_xlfn.LET(_xlpm.ids,'E2E core flow'!$A$15:$A$1000,_xlpm.v,'E2E core flow'!$W$15:$W$1000,_xlpm.m,(_xlpm.ids&lt;&gt;"")*ISNUMBER(SEARCH(_xlpm.ids,$E599)),_xlpm.f,SUM(_xlpm.m*(_xlpm.v="Failed")),_xlpm.b,SUM(_xlpm.m*(_xlpm.v="Blocked")),_xlpm.nr,SUM(_xlpm.m*(_xlpm.v="Not Run")),_xlpm.cp,SUM(_xlpm.m*(_xlpm.v="Conditionally Passed")),_xlpm.p,SUM(_xlpm.m*(_xlpm.v="Passed")),IF(TRIM($A599)="","",IF(TRIM($E599)="","Pending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599" s="68" t="str">
        <f>IF(TRIM($A599)="","",IF($J599="Passed","",IF($J599="Passed with Known Issue","Known Issue",IF($J599="",IF(OR($H599&lt;&gt;"No",AND($F599&lt;&gt;"Medium",$F599&lt;&gt;"Low")),"Pending Result",""),IF(OR($H599&lt;&gt;"No",AND($F599&lt;&gt;"Medium",$F599&lt;&gt;"Low")),IF(COUNTIFS(Dashboard!$B$105:$B$124,$A599,Dashboard!$I$105:$I$124,"CAB")&gt;0,"Accepted (CF)","Blocking"),IF($J599="Failed","Deferrable","Carry Over"))))))</f>
        <v/>
      </c>
      <c r="M599" s="68" t="str">
        <f>IF(OR(TRIM($A599)="",TRIM($E599)=""),"",IFERROR(INDEX('E2E core flow'!$B$15:$B$1000,MATCH(1,INDEX(('E2E core flow'!$A$15:$A$1000&lt;&gt;"")*ISNUMBER(SEARCH('E2E core flow'!$A$15:$A$1000,$E599)),0),0))&amp;"","-"))</f>
        <v/>
      </c>
      <c r="N599" s="68" t="str">
        <f>IF(TRIM($A599)="","",IF($O599=0,IF(COUNTIFS('Card Test Cases'!$B$4:$B$1000,$A599,'Card Test Cases'!$A$4:$A$1000,"&lt;&gt;")&gt;0,"Out of Scope","No TC"),IF($Q599&gt;0,"Failed",IF(COUNTIFS('Card Test Cases'!$B$4:$B$1000,$A599,'Card Test Cases'!$A$4:$A$1000,"&lt;&gt;",'Card Test Cases'!$F$4:$F$1000,"Blocked")&gt;0,"Blocked",IF($R599&gt;0,"In Progress","Passed")))))</f>
        <v/>
      </c>
      <c r="O599" s="68" t="str">
        <f>IF(TRIM($A599)="","",COUNTIFS('Card Test Cases'!$B$4:$B$1000,$A599,'Card Test Cases'!$A$4:$A$1000,"&lt;&gt;",'Card Test Cases'!$F$4:$F$1000,"&lt;&gt;Out of Scope"))</f>
        <v/>
      </c>
      <c r="P599" s="68" t="str">
        <f>IF(TRIM($A599)="","",COUNTIFS('Card Test Cases'!$B$4:$B$1000,$A599,'Card Test Cases'!$A$4:$A$1000,"&lt;&gt;",'Card Test Cases'!$F$4:$F$1000,"Passed"))</f>
        <v/>
      </c>
      <c r="Q599" s="68" t="str">
        <f>IF(TRIM($A599)="","",COUNTIFS('Card Test Cases'!$B$4:$B$1000,$A599,'Card Test Cases'!$A$4:$A$1000,"&lt;&gt;",'Card Test Cases'!$F$4:$F$1000,"Failed"))</f>
        <v/>
      </c>
      <c r="R599" s="68" t="str">
        <f t="shared" si="9"/>
        <v/>
      </c>
      <c r="S599" s="68" t="str" cm="1">
        <f t="array" ref="S599">IF(TRIM($A599)="","",IFERROR(_xlfn.TEXTJOIN(", ",TRUE,_xlfn.UNIQUE(_xlfn.VSTACK(_xlfn._xlws.FILTER('Card Test Cases'!$G$4:$G$1000,('Card Test Cases'!$B$4:$B$1000=$A599)*('Card Test Cases'!$G$4:$G$1000&lt;&gt;""),""),_xlfn._xlws.FILTER('E2E core flow'!$U$15:$U$1000,('E2E core flow'!$A$15:$A$1000&lt;&gt;"")*ISNUMBER(SEARCH('E2E core flow'!$A$15:$A$1000,$E599))*('E2E core flow'!$U$15:$U$1000&lt;&gt;""),"")))),"-"))</f>
        <v/>
      </c>
    </row>
    <row r="600" spans="7:19" x14ac:dyDescent="0.3">
      <c r="G600" s="68" t="str" cm="1">
        <f t="array" ref="G600">_xlfn.LET(_xlpm.ids,'E2E core flow'!$A$15:$A$1000,_xlpm.v,'E2E core flow'!$W$15:$W$1000,_xlpm.m,(_xlpm.ids&lt;&gt;"")*ISNUMBER(SEARCH(_xlpm.ids,$E600)),_xlpm.f,SUM(_xlpm.m*(_xlpm.v="Failed")),_xlpm.b,SUM(_xlpm.m*(_xlpm.v="Blocked")),_xlpm.nr,SUM(_xlpm.m*(_xlpm.v="Not Run")),_xlpm.cp,SUM(_xlpm.m*(_xlpm.v="Conditionally Passed")),_xlpm.p,SUM(_xlpm.m*(_xlpm.v="Passed")),IF(TRIM($A600)="","",IF(TRIM($E600)="","Pending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00" s="68" t="str">
        <f>IF(TRIM($A600)="","",IF($J600="Passed","",IF($J600="Passed with Known Issue","Known Issue",IF($J600="",IF(OR($H600&lt;&gt;"No",AND($F600&lt;&gt;"Medium",$F600&lt;&gt;"Low")),"Pending Result",""),IF(OR($H600&lt;&gt;"No",AND($F600&lt;&gt;"Medium",$F600&lt;&gt;"Low")),IF(COUNTIFS(Dashboard!$B$105:$B$124,$A600,Dashboard!$I$105:$I$124,"CAB")&gt;0,"Accepted (CF)","Blocking"),IF($J600="Failed","Deferrable","Carry Over"))))))</f>
        <v/>
      </c>
      <c r="M600" s="68" t="str">
        <f>IF(OR(TRIM($A600)="",TRIM($E600)=""),"",IFERROR(INDEX('E2E core flow'!$B$15:$B$1000,MATCH(1,INDEX(('E2E core flow'!$A$15:$A$1000&lt;&gt;"")*ISNUMBER(SEARCH('E2E core flow'!$A$15:$A$1000,$E600)),0),0))&amp;"","-"))</f>
        <v/>
      </c>
      <c r="N600" s="68" t="str">
        <f>IF(TRIM($A600)="","",IF($O600=0,IF(COUNTIFS('Card Test Cases'!$B$4:$B$1000,$A600,'Card Test Cases'!$A$4:$A$1000,"&lt;&gt;")&gt;0,"Out of Scope","No TC"),IF($Q600&gt;0,"Failed",IF(COUNTIFS('Card Test Cases'!$B$4:$B$1000,$A600,'Card Test Cases'!$A$4:$A$1000,"&lt;&gt;",'Card Test Cases'!$F$4:$F$1000,"Blocked")&gt;0,"Blocked",IF($R600&gt;0,"In Progress","Passed")))))</f>
        <v/>
      </c>
      <c r="O600" s="68" t="str">
        <f>IF(TRIM($A600)="","",COUNTIFS('Card Test Cases'!$B$4:$B$1000,$A600,'Card Test Cases'!$A$4:$A$1000,"&lt;&gt;",'Card Test Cases'!$F$4:$F$1000,"&lt;&gt;Out of Scope"))</f>
        <v/>
      </c>
      <c r="P600" s="68" t="str">
        <f>IF(TRIM($A600)="","",COUNTIFS('Card Test Cases'!$B$4:$B$1000,$A600,'Card Test Cases'!$A$4:$A$1000,"&lt;&gt;",'Card Test Cases'!$F$4:$F$1000,"Passed"))</f>
        <v/>
      </c>
      <c r="Q600" s="68" t="str">
        <f>IF(TRIM($A600)="","",COUNTIFS('Card Test Cases'!$B$4:$B$1000,$A600,'Card Test Cases'!$A$4:$A$1000,"&lt;&gt;",'Card Test Cases'!$F$4:$F$1000,"Failed"))</f>
        <v/>
      </c>
      <c r="R600" s="68" t="str">
        <f t="shared" si="9"/>
        <v/>
      </c>
      <c r="S600" s="68" t="str" cm="1">
        <f t="array" ref="S600">IF(TRIM($A600)="","",IFERROR(_xlfn.TEXTJOIN(", ",TRUE,_xlfn.UNIQUE(_xlfn.VSTACK(_xlfn._xlws.FILTER('Card Test Cases'!$G$4:$G$1000,('Card Test Cases'!$B$4:$B$1000=$A600)*('Card Test Cases'!$G$4:$G$1000&lt;&gt;""),""),_xlfn._xlws.FILTER('E2E core flow'!$U$15:$U$1000,('E2E core flow'!$A$15:$A$1000&lt;&gt;"")*ISNUMBER(SEARCH('E2E core flow'!$A$15:$A$1000,$E600))*('E2E core flow'!$U$15:$U$1000&lt;&gt;""),"")))),"-"))</f>
        <v/>
      </c>
    </row>
    <row r="601" spans="7:19" x14ac:dyDescent="0.3">
      <c r="G601" s="68" t="str" cm="1">
        <f t="array" ref="G601">_xlfn.LET(_xlpm.ids,'E2E core flow'!$A$15:$A$1000,_xlpm.v,'E2E core flow'!$W$15:$W$1000,_xlpm.m,(_xlpm.ids&lt;&gt;"")*ISNUMBER(SEARCH(_xlpm.ids,$E601)),_xlpm.f,SUM(_xlpm.m*(_xlpm.v="Failed")),_xlpm.b,SUM(_xlpm.m*(_xlpm.v="Blocked")),_xlpm.nr,SUM(_xlpm.m*(_xlpm.v="Not Run")),_xlpm.cp,SUM(_xlpm.m*(_xlpm.v="Conditionally Passed")),_xlpm.p,SUM(_xlpm.m*(_xlpm.v="Passed")),IF(TRIM($A601)="","",IF(TRIM($E601)="","Pending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01" s="68" t="str">
        <f>IF(TRIM($A601)="","",IF($J601="Passed","",IF($J601="Passed with Known Issue","Known Issue",IF($J601="",IF(OR($H601&lt;&gt;"No",AND($F601&lt;&gt;"Medium",$F601&lt;&gt;"Low")),"Pending Result",""),IF(OR($H601&lt;&gt;"No",AND($F601&lt;&gt;"Medium",$F601&lt;&gt;"Low")),IF(COUNTIFS(Dashboard!$B$105:$B$124,$A601,Dashboard!$I$105:$I$124,"CAB")&gt;0,"Accepted (CF)","Blocking"),IF($J601="Failed","Deferrable","Carry Over"))))))</f>
        <v/>
      </c>
      <c r="M601" s="68" t="str">
        <f>IF(OR(TRIM($A601)="",TRIM($E601)=""),"",IFERROR(INDEX('E2E core flow'!$B$15:$B$1000,MATCH(1,INDEX(('E2E core flow'!$A$15:$A$1000&lt;&gt;"")*ISNUMBER(SEARCH('E2E core flow'!$A$15:$A$1000,$E601)),0),0))&amp;"","-"))</f>
        <v/>
      </c>
      <c r="N601" s="68" t="str">
        <f>IF(TRIM($A601)="","",IF($O601=0,IF(COUNTIFS('Card Test Cases'!$B$4:$B$1000,$A601,'Card Test Cases'!$A$4:$A$1000,"&lt;&gt;")&gt;0,"Out of Scope","No TC"),IF($Q601&gt;0,"Failed",IF(COUNTIFS('Card Test Cases'!$B$4:$B$1000,$A601,'Card Test Cases'!$A$4:$A$1000,"&lt;&gt;",'Card Test Cases'!$F$4:$F$1000,"Blocked")&gt;0,"Blocked",IF($R601&gt;0,"In Progress","Passed")))))</f>
        <v/>
      </c>
      <c r="O601" s="68" t="str">
        <f>IF(TRIM($A601)="","",COUNTIFS('Card Test Cases'!$B$4:$B$1000,$A601,'Card Test Cases'!$A$4:$A$1000,"&lt;&gt;",'Card Test Cases'!$F$4:$F$1000,"&lt;&gt;Out of Scope"))</f>
        <v/>
      </c>
      <c r="P601" s="68" t="str">
        <f>IF(TRIM($A601)="","",COUNTIFS('Card Test Cases'!$B$4:$B$1000,$A601,'Card Test Cases'!$A$4:$A$1000,"&lt;&gt;",'Card Test Cases'!$F$4:$F$1000,"Passed"))</f>
        <v/>
      </c>
      <c r="Q601" s="68" t="str">
        <f>IF(TRIM($A601)="","",COUNTIFS('Card Test Cases'!$B$4:$B$1000,$A601,'Card Test Cases'!$A$4:$A$1000,"&lt;&gt;",'Card Test Cases'!$F$4:$F$1000,"Failed"))</f>
        <v/>
      </c>
      <c r="R601" s="68" t="str">
        <f t="shared" si="9"/>
        <v/>
      </c>
      <c r="S601" s="68" t="str" cm="1">
        <f t="array" ref="S601">IF(TRIM($A601)="","",IFERROR(_xlfn.TEXTJOIN(", ",TRUE,_xlfn.UNIQUE(_xlfn.VSTACK(_xlfn._xlws.FILTER('Card Test Cases'!$G$4:$G$1000,('Card Test Cases'!$B$4:$B$1000=$A601)*('Card Test Cases'!$G$4:$G$1000&lt;&gt;""),""),_xlfn._xlws.FILTER('E2E core flow'!$U$15:$U$1000,('E2E core flow'!$A$15:$A$1000&lt;&gt;"")*ISNUMBER(SEARCH('E2E core flow'!$A$15:$A$1000,$E601))*('E2E core flow'!$U$15:$U$1000&lt;&gt;""),"")))),"-"))</f>
        <v/>
      </c>
    </row>
    <row r="602" spans="7:19" x14ac:dyDescent="0.3">
      <c r="G602" s="68" t="str" cm="1">
        <f t="array" ref="G602">_xlfn.LET(_xlpm.ids,'E2E core flow'!$A$15:$A$1000,_xlpm.v,'E2E core flow'!$W$15:$W$1000,_xlpm.m,(_xlpm.ids&lt;&gt;"")*ISNUMBER(SEARCH(_xlpm.ids,$E602)),_xlpm.f,SUM(_xlpm.m*(_xlpm.v="Failed")),_xlpm.b,SUM(_xlpm.m*(_xlpm.v="Blocked")),_xlpm.nr,SUM(_xlpm.m*(_xlpm.v="Not Run")),_xlpm.cp,SUM(_xlpm.m*(_xlpm.v="Conditionally Passed")),_xlpm.p,SUM(_xlpm.m*(_xlpm.v="Passed")),IF(TRIM($A602)="","",IF(TRIM($E602)="","Pending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02" s="68" t="str">
        <f>IF(TRIM($A602)="","",IF($J602="Passed","",IF($J602="Passed with Known Issue","Known Issue",IF($J602="",IF(OR($H602&lt;&gt;"No",AND($F602&lt;&gt;"Medium",$F602&lt;&gt;"Low")),"Pending Result",""),IF(OR($H602&lt;&gt;"No",AND($F602&lt;&gt;"Medium",$F602&lt;&gt;"Low")),IF(COUNTIFS(Dashboard!$B$105:$B$124,$A602,Dashboard!$I$105:$I$124,"CAB")&gt;0,"Accepted (CF)","Blocking"),IF($J602="Failed","Deferrable","Carry Over"))))))</f>
        <v/>
      </c>
      <c r="M602" s="68" t="str">
        <f>IF(OR(TRIM($A602)="",TRIM($E602)=""),"",IFERROR(INDEX('E2E core flow'!$B$15:$B$1000,MATCH(1,INDEX(('E2E core flow'!$A$15:$A$1000&lt;&gt;"")*ISNUMBER(SEARCH('E2E core flow'!$A$15:$A$1000,$E602)),0),0))&amp;"","-"))</f>
        <v/>
      </c>
      <c r="N602" s="68" t="str">
        <f>IF(TRIM($A602)="","",IF($O602=0,IF(COUNTIFS('Card Test Cases'!$B$4:$B$1000,$A602,'Card Test Cases'!$A$4:$A$1000,"&lt;&gt;")&gt;0,"Out of Scope","No TC"),IF($Q602&gt;0,"Failed",IF(COUNTIFS('Card Test Cases'!$B$4:$B$1000,$A602,'Card Test Cases'!$A$4:$A$1000,"&lt;&gt;",'Card Test Cases'!$F$4:$F$1000,"Blocked")&gt;0,"Blocked",IF($R602&gt;0,"In Progress","Passed")))))</f>
        <v/>
      </c>
      <c r="O602" s="68" t="str">
        <f>IF(TRIM($A602)="","",COUNTIFS('Card Test Cases'!$B$4:$B$1000,$A602,'Card Test Cases'!$A$4:$A$1000,"&lt;&gt;",'Card Test Cases'!$F$4:$F$1000,"&lt;&gt;Out of Scope"))</f>
        <v/>
      </c>
      <c r="P602" s="68" t="str">
        <f>IF(TRIM($A602)="","",COUNTIFS('Card Test Cases'!$B$4:$B$1000,$A602,'Card Test Cases'!$A$4:$A$1000,"&lt;&gt;",'Card Test Cases'!$F$4:$F$1000,"Passed"))</f>
        <v/>
      </c>
      <c r="Q602" s="68" t="str">
        <f>IF(TRIM($A602)="","",COUNTIFS('Card Test Cases'!$B$4:$B$1000,$A602,'Card Test Cases'!$A$4:$A$1000,"&lt;&gt;",'Card Test Cases'!$F$4:$F$1000,"Failed"))</f>
        <v/>
      </c>
      <c r="R602" s="68" t="str">
        <f t="shared" si="9"/>
        <v/>
      </c>
      <c r="S602" s="68" t="str" cm="1">
        <f t="array" ref="S602">IF(TRIM($A602)="","",IFERROR(_xlfn.TEXTJOIN(", ",TRUE,_xlfn.UNIQUE(_xlfn.VSTACK(_xlfn._xlws.FILTER('Card Test Cases'!$G$4:$G$1000,('Card Test Cases'!$B$4:$B$1000=$A602)*('Card Test Cases'!$G$4:$G$1000&lt;&gt;""),""),_xlfn._xlws.FILTER('E2E core flow'!$U$15:$U$1000,('E2E core flow'!$A$15:$A$1000&lt;&gt;"")*ISNUMBER(SEARCH('E2E core flow'!$A$15:$A$1000,$E602))*('E2E core flow'!$U$15:$U$1000&lt;&gt;""),"")))),"-"))</f>
        <v/>
      </c>
    </row>
    <row r="603" spans="7:19" x14ac:dyDescent="0.3">
      <c r="G603" s="68" t="str" cm="1">
        <f t="array" ref="G603">_xlfn.LET(_xlpm.ids,'E2E core flow'!$A$15:$A$1000,_xlpm.v,'E2E core flow'!$W$15:$W$1000,_xlpm.m,(_xlpm.ids&lt;&gt;"")*ISNUMBER(SEARCH(_xlpm.ids,$E603)),_xlpm.f,SUM(_xlpm.m*(_xlpm.v="Failed")),_xlpm.b,SUM(_xlpm.m*(_xlpm.v="Blocked")),_xlpm.nr,SUM(_xlpm.m*(_xlpm.v="Not Run")),_xlpm.cp,SUM(_xlpm.m*(_xlpm.v="Conditionally Passed")),_xlpm.p,SUM(_xlpm.m*(_xlpm.v="Passed")),IF(TRIM($A603)="","",IF(TRIM($E603)="","Pending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03" s="68" t="str">
        <f>IF(TRIM($A603)="","",IF($J603="Passed","",IF($J603="Passed with Known Issue","Known Issue",IF($J603="",IF(OR($H603&lt;&gt;"No",AND($F603&lt;&gt;"Medium",$F603&lt;&gt;"Low")),"Pending Result",""),IF(OR($H603&lt;&gt;"No",AND($F603&lt;&gt;"Medium",$F603&lt;&gt;"Low")),IF(COUNTIFS(Dashboard!$B$105:$B$124,$A603,Dashboard!$I$105:$I$124,"CAB")&gt;0,"Accepted (CF)","Blocking"),IF($J603="Failed","Deferrable","Carry Over"))))))</f>
        <v/>
      </c>
      <c r="M603" s="68" t="str">
        <f>IF(OR(TRIM($A603)="",TRIM($E603)=""),"",IFERROR(INDEX('E2E core flow'!$B$15:$B$1000,MATCH(1,INDEX(('E2E core flow'!$A$15:$A$1000&lt;&gt;"")*ISNUMBER(SEARCH('E2E core flow'!$A$15:$A$1000,$E603)),0),0))&amp;"","-"))</f>
        <v/>
      </c>
      <c r="N603" s="68" t="str">
        <f>IF(TRIM($A603)="","",IF($O603=0,IF(COUNTIFS('Card Test Cases'!$B$4:$B$1000,$A603,'Card Test Cases'!$A$4:$A$1000,"&lt;&gt;")&gt;0,"Out of Scope","No TC"),IF($Q603&gt;0,"Failed",IF(COUNTIFS('Card Test Cases'!$B$4:$B$1000,$A603,'Card Test Cases'!$A$4:$A$1000,"&lt;&gt;",'Card Test Cases'!$F$4:$F$1000,"Blocked")&gt;0,"Blocked",IF($R603&gt;0,"In Progress","Passed")))))</f>
        <v/>
      </c>
      <c r="O603" s="68" t="str">
        <f>IF(TRIM($A603)="","",COUNTIFS('Card Test Cases'!$B$4:$B$1000,$A603,'Card Test Cases'!$A$4:$A$1000,"&lt;&gt;",'Card Test Cases'!$F$4:$F$1000,"&lt;&gt;Out of Scope"))</f>
        <v/>
      </c>
      <c r="P603" s="68" t="str">
        <f>IF(TRIM($A603)="","",COUNTIFS('Card Test Cases'!$B$4:$B$1000,$A603,'Card Test Cases'!$A$4:$A$1000,"&lt;&gt;",'Card Test Cases'!$F$4:$F$1000,"Passed"))</f>
        <v/>
      </c>
      <c r="Q603" s="68" t="str">
        <f>IF(TRIM($A603)="","",COUNTIFS('Card Test Cases'!$B$4:$B$1000,$A603,'Card Test Cases'!$A$4:$A$1000,"&lt;&gt;",'Card Test Cases'!$F$4:$F$1000,"Failed"))</f>
        <v/>
      </c>
      <c r="R603" s="68" t="str">
        <f t="shared" si="9"/>
        <v/>
      </c>
      <c r="S603" s="68" t="str" cm="1">
        <f t="array" ref="S603">IF(TRIM($A603)="","",IFERROR(_xlfn.TEXTJOIN(", ",TRUE,_xlfn.UNIQUE(_xlfn.VSTACK(_xlfn._xlws.FILTER('Card Test Cases'!$G$4:$G$1000,('Card Test Cases'!$B$4:$B$1000=$A603)*('Card Test Cases'!$G$4:$G$1000&lt;&gt;""),""),_xlfn._xlws.FILTER('E2E core flow'!$U$15:$U$1000,('E2E core flow'!$A$15:$A$1000&lt;&gt;"")*ISNUMBER(SEARCH('E2E core flow'!$A$15:$A$1000,$E603))*('E2E core flow'!$U$15:$U$1000&lt;&gt;""),"")))),"-"))</f>
        <v/>
      </c>
    </row>
    <row r="604" spans="7:19" x14ac:dyDescent="0.3">
      <c r="G604" s="68" t="str" cm="1">
        <f t="array" ref="G604">_xlfn.LET(_xlpm.ids,'E2E core flow'!$A$15:$A$1000,_xlpm.v,'E2E core flow'!$W$15:$W$1000,_xlpm.m,(_xlpm.ids&lt;&gt;"")*ISNUMBER(SEARCH(_xlpm.ids,$E604)),_xlpm.f,SUM(_xlpm.m*(_xlpm.v="Failed")),_xlpm.b,SUM(_xlpm.m*(_xlpm.v="Blocked")),_xlpm.nr,SUM(_xlpm.m*(_xlpm.v="Not Run")),_xlpm.cp,SUM(_xlpm.m*(_xlpm.v="Conditionally Passed")),_xlpm.p,SUM(_xlpm.m*(_xlpm.v="Passed")),IF(TRIM($A604)="","",IF(TRIM($E604)="","Pending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04" s="68" t="str">
        <f>IF(TRIM($A604)="","",IF($J604="Passed","",IF($J604="Passed with Known Issue","Known Issue",IF($J604="",IF(OR($H604&lt;&gt;"No",AND($F604&lt;&gt;"Medium",$F604&lt;&gt;"Low")),"Pending Result",""),IF(OR($H604&lt;&gt;"No",AND($F604&lt;&gt;"Medium",$F604&lt;&gt;"Low")),IF(COUNTIFS(Dashboard!$B$105:$B$124,$A604,Dashboard!$I$105:$I$124,"CAB")&gt;0,"Accepted (CF)","Blocking"),IF($J604="Failed","Deferrable","Carry Over"))))))</f>
        <v/>
      </c>
      <c r="M604" s="68" t="str">
        <f>IF(OR(TRIM($A604)="",TRIM($E604)=""),"",IFERROR(INDEX('E2E core flow'!$B$15:$B$1000,MATCH(1,INDEX(('E2E core flow'!$A$15:$A$1000&lt;&gt;"")*ISNUMBER(SEARCH('E2E core flow'!$A$15:$A$1000,$E604)),0),0))&amp;"","-"))</f>
        <v/>
      </c>
      <c r="N604" s="68" t="str">
        <f>IF(TRIM($A604)="","",IF($O604=0,IF(COUNTIFS('Card Test Cases'!$B$4:$B$1000,$A604,'Card Test Cases'!$A$4:$A$1000,"&lt;&gt;")&gt;0,"Out of Scope","No TC"),IF($Q604&gt;0,"Failed",IF(COUNTIFS('Card Test Cases'!$B$4:$B$1000,$A604,'Card Test Cases'!$A$4:$A$1000,"&lt;&gt;",'Card Test Cases'!$F$4:$F$1000,"Blocked")&gt;0,"Blocked",IF($R604&gt;0,"In Progress","Passed")))))</f>
        <v/>
      </c>
      <c r="O604" s="68" t="str">
        <f>IF(TRIM($A604)="","",COUNTIFS('Card Test Cases'!$B$4:$B$1000,$A604,'Card Test Cases'!$A$4:$A$1000,"&lt;&gt;",'Card Test Cases'!$F$4:$F$1000,"&lt;&gt;Out of Scope"))</f>
        <v/>
      </c>
      <c r="P604" s="68" t="str">
        <f>IF(TRIM($A604)="","",COUNTIFS('Card Test Cases'!$B$4:$B$1000,$A604,'Card Test Cases'!$A$4:$A$1000,"&lt;&gt;",'Card Test Cases'!$F$4:$F$1000,"Passed"))</f>
        <v/>
      </c>
      <c r="Q604" s="68" t="str">
        <f>IF(TRIM($A604)="","",COUNTIFS('Card Test Cases'!$B$4:$B$1000,$A604,'Card Test Cases'!$A$4:$A$1000,"&lt;&gt;",'Card Test Cases'!$F$4:$F$1000,"Failed"))</f>
        <v/>
      </c>
      <c r="R604" s="68" t="str">
        <f t="shared" si="9"/>
        <v/>
      </c>
      <c r="S604" s="68" t="str" cm="1">
        <f t="array" ref="S604">IF(TRIM($A604)="","",IFERROR(_xlfn.TEXTJOIN(", ",TRUE,_xlfn.UNIQUE(_xlfn.VSTACK(_xlfn._xlws.FILTER('Card Test Cases'!$G$4:$G$1000,('Card Test Cases'!$B$4:$B$1000=$A604)*('Card Test Cases'!$G$4:$G$1000&lt;&gt;""),""),_xlfn._xlws.FILTER('E2E core flow'!$U$15:$U$1000,('E2E core flow'!$A$15:$A$1000&lt;&gt;"")*ISNUMBER(SEARCH('E2E core flow'!$A$15:$A$1000,$E604))*('E2E core flow'!$U$15:$U$1000&lt;&gt;""),"")))),"-"))</f>
        <v/>
      </c>
    </row>
    <row r="605" spans="7:19" x14ac:dyDescent="0.3">
      <c r="G605" s="68" t="str" cm="1">
        <f t="array" ref="G605">_xlfn.LET(_xlpm.ids,'E2E core flow'!$A$15:$A$1000,_xlpm.v,'E2E core flow'!$W$15:$W$1000,_xlpm.m,(_xlpm.ids&lt;&gt;"")*ISNUMBER(SEARCH(_xlpm.ids,$E605)),_xlpm.f,SUM(_xlpm.m*(_xlpm.v="Failed")),_xlpm.b,SUM(_xlpm.m*(_xlpm.v="Blocked")),_xlpm.nr,SUM(_xlpm.m*(_xlpm.v="Not Run")),_xlpm.cp,SUM(_xlpm.m*(_xlpm.v="Conditionally Passed")),_xlpm.p,SUM(_xlpm.m*(_xlpm.v="Passed")),IF(TRIM($A605)="","",IF(TRIM($E605)="","Pending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05" s="68" t="str">
        <f>IF(TRIM($A605)="","",IF($J605="Passed","",IF($J605="Passed with Known Issue","Known Issue",IF($J605="",IF(OR($H605&lt;&gt;"No",AND($F605&lt;&gt;"Medium",$F605&lt;&gt;"Low")),"Pending Result",""),IF(OR($H605&lt;&gt;"No",AND($F605&lt;&gt;"Medium",$F605&lt;&gt;"Low")),IF(COUNTIFS(Dashboard!$B$105:$B$124,$A605,Dashboard!$I$105:$I$124,"CAB")&gt;0,"Accepted (CF)","Blocking"),IF($J605="Failed","Deferrable","Carry Over"))))))</f>
        <v/>
      </c>
      <c r="M605" s="68" t="str">
        <f>IF(OR(TRIM($A605)="",TRIM($E605)=""),"",IFERROR(INDEX('E2E core flow'!$B$15:$B$1000,MATCH(1,INDEX(('E2E core flow'!$A$15:$A$1000&lt;&gt;"")*ISNUMBER(SEARCH('E2E core flow'!$A$15:$A$1000,$E605)),0),0))&amp;"","-"))</f>
        <v/>
      </c>
      <c r="N605" s="68" t="str">
        <f>IF(TRIM($A605)="","",IF($O605=0,IF(COUNTIFS('Card Test Cases'!$B$4:$B$1000,$A605,'Card Test Cases'!$A$4:$A$1000,"&lt;&gt;")&gt;0,"Out of Scope","No TC"),IF($Q605&gt;0,"Failed",IF(COUNTIFS('Card Test Cases'!$B$4:$B$1000,$A605,'Card Test Cases'!$A$4:$A$1000,"&lt;&gt;",'Card Test Cases'!$F$4:$F$1000,"Blocked")&gt;0,"Blocked",IF($R605&gt;0,"In Progress","Passed")))))</f>
        <v/>
      </c>
      <c r="O605" s="68" t="str">
        <f>IF(TRIM($A605)="","",COUNTIFS('Card Test Cases'!$B$4:$B$1000,$A605,'Card Test Cases'!$A$4:$A$1000,"&lt;&gt;",'Card Test Cases'!$F$4:$F$1000,"&lt;&gt;Out of Scope"))</f>
        <v/>
      </c>
      <c r="P605" s="68" t="str">
        <f>IF(TRIM($A605)="","",COUNTIFS('Card Test Cases'!$B$4:$B$1000,$A605,'Card Test Cases'!$A$4:$A$1000,"&lt;&gt;",'Card Test Cases'!$F$4:$F$1000,"Passed"))</f>
        <v/>
      </c>
      <c r="Q605" s="68" t="str">
        <f>IF(TRIM($A605)="","",COUNTIFS('Card Test Cases'!$B$4:$B$1000,$A605,'Card Test Cases'!$A$4:$A$1000,"&lt;&gt;",'Card Test Cases'!$F$4:$F$1000,"Failed"))</f>
        <v/>
      </c>
      <c r="R605" s="68" t="str">
        <f t="shared" si="9"/>
        <v/>
      </c>
      <c r="S605" s="68" t="str" cm="1">
        <f t="array" ref="S605">IF(TRIM($A605)="","",IFERROR(_xlfn.TEXTJOIN(", ",TRUE,_xlfn.UNIQUE(_xlfn.VSTACK(_xlfn._xlws.FILTER('Card Test Cases'!$G$4:$G$1000,('Card Test Cases'!$B$4:$B$1000=$A605)*('Card Test Cases'!$G$4:$G$1000&lt;&gt;""),""),_xlfn._xlws.FILTER('E2E core flow'!$U$15:$U$1000,('E2E core flow'!$A$15:$A$1000&lt;&gt;"")*ISNUMBER(SEARCH('E2E core flow'!$A$15:$A$1000,$E605))*('E2E core flow'!$U$15:$U$1000&lt;&gt;""),"")))),"-"))</f>
        <v/>
      </c>
    </row>
    <row r="606" spans="7:19" x14ac:dyDescent="0.3">
      <c r="G606" s="68" t="str" cm="1">
        <f t="array" ref="G606">_xlfn.LET(_xlpm.ids,'E2E core flow'!$A$15:$A$1000,_xlpm.v,'E2E core flow'!$W$15:$W$1000,_xlpm.m,(_xlpm.ids&lt;&gt;"")*ISNUMBER(SEARCH(_xlpm.ids,$E606)),_xlpm.f,SUM(_xlpm.m*(_xlpm.v="Failed")),_xlpm.b,SUM(_xlpm.m*(_xlpm.v="Blocked")),_xlpm.nr,SUM(_xlpm.m*(_xlpm.v="Not Run")),_xlpm.cp,SUM(_xlpm.m*(_xlpm.v="Conditionally Passed")),_xlpm.p,SUM(_xlpm.m*(_xlpm.v="Passed")),IF(TRIM($A606)="","",IF(TRIM($E606)="","Pending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06" s="68" t="str">
        <f>IF(TRIM($A606)="","",IF($J606="Passed","",IF($J606="Passed with Known Issue","Known Issue",IF($J606="",IF(OR($H606&lt;&gt;"No",AND($F606&lt;&gt;"Medium",$F606&lt;&gt;"Low")),"Pending Result",""),IF(OR($H606&lt;&gt;"No",AND($F606&lt;&gt;"Medium",$F606&lt;&gt;"Low")),IF(COUNTIFS(Dashboard!$B$105:$B$124,$A606,Dashboard!$I$105:$I$124,"CAB")&gt;0,"Accepted (CF)","Blocking"),IF($J606="Failed","Deferrable","Carry Over"))))))</f>
        <v/>
      </c>
      <c r="M606" s="68" t="str">
        <f>IF(OR(TRIM($A606)="",TRIM($E606)=""),"",IFERROR(INDEX('E2E core flow'!$B$15:$B$1000,MATCH(1,INDEX(('E2E core flow'!$A$15:$A$1000&lt;&gt;"")*ISNUMBER(SEARCH('E2E core flow'!$A$15:$A$1000,$E606)),0),0))&amp;"","-"))</f>
        <v/>
      </c>
      <c r="N606" s="68" t="str">
        <f>IF(TRIM($A606)="","",IF($O606=0,IF(COUNTIFS('Card Test Cases'!$B$4:$B$1000,$A606,'Card Test Cases'!$A$4:$A$1000,"&lt;&gt;")&gt;0,"Out of Scope","No TC"),IF($Q606&gt;0,"Failed",IF(COUNTIFS('Card Test Cases'!$B$4:$B$1000,$A606,'Card Test Cases'!$A$4:$A$1000,"&lt;&gt;",'Card Test Cases'!$F$4:$F$1000,"Blocked")&gt;0,"Blocked",IF($R606&gt;0,"In Progress","Passed")))))</f>
        <v/>
      </c>
      <c r="O606" s="68" t="str">
        <f>IF(TRIM($A606)="","",COUNTIFS('Card Test Cases'!$B$4:$B$1000,$A606,'Card Test Cases'!$A$4:$A$1000,"&lt;&gt;",'Card Test Cases'!$F$4:$F$1000,"&lt;&gt;Out of Scope"))</f>
        <v/>
      </c>
      <c r="P606" s="68" t="str">
        <f>IF(TRIM($A606)="","",COUNTIFS('Card Test Cases'!$B$4:$B$1000,$A606,'Card Test Cases'!$A$4:$A$1000,"&lt;&gt;",'Card Test Cases'!$F$4:$F$1000,"Passed"))</f>
        <v/>
      </c>
      <c r="Q606" s="68" t="str">
        <f>IF(TRIM($A606)="","",COUNTIFS('Card Test Cases'!$B$4:$B$1000,$A606,'Card Test Cases'!$A$4:$A$1000,"&lt;&gt;",'Card Test Cases'!$F$4:$F$1000,"Failed"))</f>
        <v/>
      </c>
      <c r="R606" s="68" t="str">
        <f t="shared" si="9"/>
        <v/>
      </c>
      <c r="S606" s="68" t="str" cm="1">
        <f t="array" ref="S606">IF(TRIM($A606)="","",IFERROR(_xlfn.TEXTJOIN(", ",TRUE,_xlfn.UNIQUE(_xlfn.VSTACK(_xlfn._xlws.FILTER('Card Test Cases'!$G$4:$G$1000,('Card Test Cases'!$B$4:$B$1000=$A606)*('Card Test Cases'!$G$4:$G$1000&lt;&gt;""),""),_xlfn._xlws.FILTER('E2E core flow'!$U$15:$U$1000,('E2E core flow'!$A$15:$A$1000&lt;&gt;"")*ISNUMBER(SEARCH('E2E core flow'!$A$15:$A$1000,$E606))*('E2E core flow'!$U$15:$U$1000&lt;&gt;""),"")))),"-"))</f>
        <v/>
      </c>
    </row>
    <row r="607" spans="7:19" x14ac:dyDescent="0.3">
      <c r="G607" s="68" t="str" cm="1">
        <f t="array" ref="G607">_xlfn.LET(_xlpm.ids,'E2E core flow'!$A$15:$A$1000,_xlpm.v,'E2E core flow'!$W$15:$W$1000,_xlpm.m,(_xlpm.ids&lt;&gt;"")*ISNUMBER(SEARCH(_xlpm.ids,$E607)),_xlpm.f,SUM(_xlpm.m*(_xlpm.v="Failed")),_xlpm.b,SUM(_xlpm.m*(_xlpm.v="Blocked")),_xlpm.nr,SUM(_xlpm.m*(_xlpm.v="Not Run")),_xlpm.cp,SUM(_xlpm.m*(_xlpm.v="Conditionally Passed")),_xlpm.p,SUM(_xlpm.m*(_xlpm.v="Passed")),IF(TRIM($A607)="","",IF(TRIM($E607)="","Pending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07" s="68" t="str">
        <f>IF(TRIM($A607)="","",IF($J607="Passed","",IF($J607="Passed with Known Issue","Known Issue",IF($J607="",IF(OR($H607&lt;&gt;"No",AND($F607&lt;&gt;"Medium",$F607&lt;&gt;"Low")),"Pending Result",""),IF(OR($H607&lt;&gt;"No",AND($F607&lt;&gt;"Medium",$F607&lt;&gt;"Low")),IF(COUNTIFS(Dashboard!$B$105:$B$124,$A607,Dashboard!$I$105:$I$124,"CAB")&gt;0,"Accepted (CF)","Blocking"),IF($J607="Failed","Deferrable","Carry Over"))))))</f>
        <v/>
      </c>
      <c r="M607" s="68" t="str">
        <f>IF(OR(TRIM($A607)="",TRIM($E607)=""),"",IFERROR(INDEX('E2E core flow'!$B$15:$B$1000,MATCH(1,INDEX(('E2E core flow'!$A$15:$A$1000&lt;&gt;"")*ISNUMBER(SEARCH('E2E core flow'!$A$15:$A$1000,$E607)),0),0))&amp;"","-"))</f>
        <v/>
      </c>
      <c r="N607" s="68" t="str">
        <f>IF(TRIM($A607)="","",IF($O607=0,IF(COUNTIFS('Card Test Cases'!$B$4:$B$1000,$A607,'Card Test Cases'!$A$4:$A$1000,"&lt;&gt;")&gt;0,"Out of Scope","No TC"),IF($Q607&gt;0,"Failed",IF(COUNTIFS('Card Test Cases'!$B$4:$B$1000,$A607,'Card Test Cases'!$A$4:$A$1000,"&lt;&gt;",'Card Test Cases'!$F$4:$F$1000,"Blocked")&gt;0,"Blocked",IF($R607&gt;0,"In Progress","Passed")))))</f>
        <v/>
      </c>
      <c r="O607" s="68" t="str">
        <f>IF(TRIM($A607)="","",COUNTIFS('Card Test Cases'!$B$4:$B$1000,$A607,'Card Test Cases'!$A$4:$A$1000,"&lt;&gt;",'Card Test Cases'!$F$4:$F$1000,"&lt;&gt;Out of Scope"))</f>
        <v/>
      </c>
      <c r="P607" s="68" t="str">
        <f>IF(TRIM($A607)="","",COUNTIFS('Card Test Cases'!$B$4:$B$1000,$A607,'Card Test Cases'!$A$4:$A$1000,"&lt;&gt;",'Card Test Cases'!$F$4:$F$1000,"Passed"))</f>
        <v/>
      </c>
      <c r="Q607" s="68" t="str">
        <f>IF(TRIM($A607)="","",COUNTIFS('Card Test Cases'!$B$4:$B$1000,$A607,'Card Test Cases'!$A$4:$A$1000,"&lt;&gt;",'Card Test Cases'!$F$4:$F$1000,"Failed"))</f>
        <v/>
      </c>
      <c r="R607" s="68" t="str">
        <f t="shared" si="9"/>
        <v/>
      </c>
      <c r="S607" s="68" t="str" cm="1">
        <f t="array" ref="S607">IF(TRIM($A607)="","",IFERROR(_xlfn.TEXTJOIN(", ",TRUE,_xlfn.UNIQUE(_xlfn.VSTACK(_xlfn._xlws.FILTER('Card Test Cases'!$G$4:$G$1000,('Card Test Cases'!$B$4:$B$1000=$A607)*('Card Test Cases'!$G$4:$G$1000&lt;&gt;""),""),_xlfn._xlws.FILTER('E2E core flow'!$U$15:$U$1000,('E2E core flow'!$A$15:$A$1000&lt;&gt;"")*ISNUMBER(SEARCH('E2E core flow'!$A$15:$A$1000,$E607))*('E2E core flow'!$U$15:$U$1000&lt;&gt;""),"")))),"-"))</f>
        <v/>
      </c>
    </row>
    <row r="608" spans="7:19" x14ac:dyDescent="0.3">
      <c r="G608" s="68" t="str" cm="1">
        <f t="array" ref="G608">_xlfn.LET(_xlpm.ids,'E2E core flow'!$A$15:$A$1000,_xlpm.v,'E2E core flow'!$W$15:$W$1000,_xlpm.m,(_xlpm.ids&lt;&gt;"")*ISNUMBER(SEARCH(_xlpm.ids,$E608)),_xlpm.f,SUM(_xlpm.m*(_xlpm.v="Failed")),_xlpm.b,SUM(_xlpm.m*(_xlpm.v="Blocked")),_xlpm.nr,SUM(_xlpm.m*(_xlpm.v="Not Run")),_xlpm.cp,SUM(_xlpm.m*(_xlpm.v="Conditionally Passed")),_xlpm.p,SUM(_xlpm.m*(_xlpm.v="Passed")),IF(TRIM($A608)="","",IF(TRIM($E608)="","Pending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08" s="68" t="str">
        <f>IF(TRIM($A608)="","",IF($J608="Passed","",IF($J608="Passed with Known Issue","Known Issue",IF($J608="",IF(OR($H608&lt;&gt;"No",AND($F608&lt;&gt;"Medium",$F608&lt;&gt;"Low")),"Pending Result",""),IF(OR($H608&lt;&gt;"No",AND($F608&lt;&gt;"Medium",$F608&lt;&gt;"Low")),IF(COUNTIFS(Dashboard!$B$105:$B$124,$A608,Dashboard!$I$105:$I$124,"CAB")&gt;0,"Accepted (CF)","Blocking"),IF($J608="Failed","Deferrable","Carry Over"))))))</f>
        <v/>
      </c>
      <c r="M608" s="68" t="str">
        <f>IF(OR(TRIM($A608)="",TRIM($E608)=""),"",IFERROR(INDEX('E2E core flow'!$B$15:$B$1000,MATCH(1,INDEX(('E2E core flow'!$A$15:$A$1000&lt;&gt;"")*ISNUMBER(SEARCH('E2E core flow'!$A$15:$A$1000,$E608)),0),0))&amp;"","-"))</f>
        <v/>
      </c>
      <c r="N608" s="68" t="str">
        <f>IF(TRIM($A608)="","",IF($O608=0,IF(COUNTIFS('Card Test Cases'!$B$4:$B$1000,$A608,'Card Test Cases'!$A$4:$A$1000,"&lt;&gt;")&gt;0,"Out of Scope","No TC"),IF($Q608&gt;0,"Failed",IF(COUNTIFS('Card Test Cases'!$B$4:$B$1000,$A608,'Card Test Cases'!$A$4:$A$1000,"&lt;&gt;",'Card Test Cases'!$F$4:$F$1000,"Blocked")&gt;0,"Blocked",IF($R608&gt;0,"In Progress","Passed")))))</f>
        <v/>
      </c>
      <c r="O608" s="68" t="str">
        <f>IF(TRIM($A608)="","",COUNTIFS('Card Test Cases'!$B$4:$B$1000,$A608,'Card Test Cases'!$A$4:$A$1000,"&lt;&gt;",'Card Test Cases'!$F$4:$F$1000,"&lt;&gt;Out of Scope"))</f>
        <v/>
      </c>
      <c r="P608" s="68" t="str">
        <f>IF(TRIM($A608)="","",COUNTIFS('Card Test Cases'!$B$4:$B$1000,$A608,'Card Test Cases'!$A$4:$A$1000,"&lt;&gt;",'Card Test Cases'!$F$4:$F$1000,"Passed"))</f>
        <v/>
      </c>
      <c r="Q608" s="68" t="str">
        <f>IF(TRIM($A608)="","",COUNTIFS('Card Test Cases'!$B$4:$B$1000,$A608,'Card Test Cases'!$A$4:$A$1000,"&lt;&gt;",'Card Test Cases'!$F$4:$F$1000,"Failed"))</f>
        <v/>
      </c>
      <c r="R608" s="68" t="str">
        <f t="shared" si="9"/>
        <v/>
      </c>
      <c r="S608" s="68" t="str" cm="1">
        <f t="array" ref="S608">IF(TRIM($A608)="","",IFERROR(_xlfn.TEXTJOIN(", ",TRUE,_xlfn.UNIQUE(_xlfn.VSTACK(_xlfn._xlws.FILTER('Card Test Cases'!$G$4:$G$1000,('Card Test Cases'!$B$4:$B$1000=$A608)*('Card Test Cases'!$G$4:$G$1000&lt;&gt;""),""),_xlfn._xlws.FILTER('E2E core flow'!$U$15:$U$1000,('E2E core flow'!$A$15:$A$1000&lt;&gt;"")*ISNUMBER(SEARCH('E2E core flow'!$A$15:$A$1000,$E608))*('E2E core flow'!$U$15:$U$1000&lt;&gt;""),"")))),"-"))</f>
        <v/>
      </c>
    </row>
    <row r="609" spans="7:19" x14ac:dyDescent="0.3">
      <c r="G609" s="68" t="str" cm="1">
        <f t="array" ref="G609">_xlfn.LET(_xlpm.ids,'E2E core flow'!$A$15:$A$1000,_xlpm.v,'E2E core flow'!$W$15:$W$1000,_xlpm.m,(_xlpm.ids&lt;&gt;"")*ISNUMBER(SEARCH(_xlpm.ids,$E609)),_xlpm.f,SUM(_xlpm.m*(_xlpm.v="Failed")),_xlpm.b,SUM(_xlpm.m*(_xlpm.v="Blocked")),_xlpm.nr,SUM(_xlpm.m*(_xlpm.v="Not Run")),_xlpm.cp,SUM(_xlpm.m*(_xlpm.v="Conditionally Passed")),_xlpm.p,SUM(_xlpm.m*(_xlpm.v="Passed")),IF(TRIM($A609)="","",IF(TRIM($E609)="","Pending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09" s="68" t="str">
        <f>IF(TRIM($A609)="","",IF($J609="Passed","",IF($J609="Passed with Known Issue","Known Issue",IF($J609="",IF(OR($H609&lt;&gt;"No",AND($F609&lt;&gt;"Medium",$F609&lt;&gt;"Low")),"Pending Result",""),IF(OR($H609&lt;&gt;"No",AND($F609&lt;&gt;"Medium",$F609&lt;&gt;"Low")),IF(COUNTIFS(Dashboard!$B$105:$B$124,$A609,Dashboard!$I$105:$I$124,"CAB")&gt;0,"Accepted (CF)","Blocking"),IF($J609="Failed","Deferrable","Carry Over"))))))</f>
        <v/>
      </c>
      <c r="M609" s="68" t="str">
        <f>IF(OR(TRIM($A609)="",TRIM($E609)=""),"",IFERROR(INDEX('E2E core flow'!$B$15:$B$1000,MATCH(1,INDEX(('E2E core flow'!$A$15:$A$1000&lt;&gt;"")*ISNUMBER(SEARCH('E2E core flow'!$A$15:$A$1000,$E609)),0),0))&amp;"","-"))</f>
        <v/>
      </c>
      <c r="N609" s="68" t="str">
        <f>IF(TRIM($A609)="","",IF($O609=0,IF(COUNTIFS('Card Test Cases'!$B$4:$B$1000,$A609,'Card Test Cases'!$A$4:$A$1000,"&lt;&gt;")&gt;0,"Out of Scope","No TC"),IF($Q609&gt;0,"Failed",IF(COUNTIFS('Card Test Cases'!$B$4:$B$1000,$A609,'Card Test Cases'!$A$4:$A$1000,"&lt;&gt;",'Card Test Cases'!$F$4:$F$1000,"Blocked")&gt;0,"Blocked",IF($R609&gt;0,"In Progress","Passed")))))</f>
        <v/>
      </c>
      <c r="O609" s="68" t="str">
        <f>IF(TRIM($A609)="","",COUNTIFS('Card Test Cases'!$B$4:$B$1000,$A609,'Card Test Cases'!$A$4:$A$1000,"&lt;&gt;",'Card Test Cases'!$F$4:$F$1000,"&lt;&gt;Out of Scope"))</f>
        <v/>
      </c>
      <c r="P609" s="68" t="str">
        <f>IF(TRIM($A609)="","",COUNTIFS('Card Test Cases'!$B$4:$B$1000,$A609,'Card Test Cases'!$A$4:$A$1000,"&lt;&gt;",'Card Test Cases'!$F$4:$F$1000,"Passed"))</f>
        <v/>
      </c>
      <c r="Q609" s="68" t="str">
        <f>IF(TRIM($A609)="","",COUNTIFS('Card Test Cases'!$B$4:$B$1000,$A609,'Card Test Cases'!$A$4:$A$1000,"&lt;&gt;",'Card Test Cases'!$F$4:$F$1000,"Failed"))</f>
        <v/>
      </c>
      <c r="R609" s="68" t="str">
        <f t="shared" si="9"/>
        <v/>
      </c>
      <c r="S609" s="68" t="str" cm="1">
        <f t="array" ref="S609">IF(TRIM($A609)="","",IFERROR(_xlfn.TEXTJOIN(", ",TRUE,_xlfn.UNIQUE(_xlfn.VSTACK(_xlfn._xlws.FILTER('Card Test Cases'!$G$4:$G$1000,('Card Test Cases'!$B$4:$B$1000=$A609)*('Card Test Cases'!$G$4:$G$1000&lt;&gt;""),""),_xlfn._xlws.FILTER('E2E core flow'!$U$15:$U$1000,('E2E core flow'!$A$15:$A$1000&lt;&gt;"")*ISNUMBER(SEARCH('E2E core flow'!$A$15:$A$1000,$E609))*('E2E core flow'!$U$15:$U$1000&lt;&gt;""),"")))),"-"))</f>
        <v/>
      </c>
    </row>
    <row r="610" spans="7:19" x14ac:dyDescent="0.3">
      <c r="G610" s="68" t="str" cm="1">
        <f t="array" ref="G610">_xlfn.LET(_xlpm.ids,'E2E core flow'!$A$15:$A$1000,_xlpm.v,'E2E core flow'!$W$15:$W$1000,_xlpm.m,(_xlpm.ids&lt;&gt;"")*ISNUMBER(SEARCH(_xlpm.ids,$E610)),_xlpm.f,SUM(_xlpm.m*(_xlpm.v="Failed")),_xlpm.b,SUM(_xlpm.m*(_xlpm.v="Blocked")),_xlpm.nr,SUM(_xlpm.m*(_xlpm.v="Not Run")),_xlpm.cp,SUM(_xlpm.m*(_xlpm.v="Conditionally Passed")),_xlpm.p,SUM(_xlpm.m*(_xlpm.v="Passed")),IF(TRIM($A610)="","",IF(TRIM($E610)="","Pending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10" s="68" t="str">
        <f>IF(TRIM($A610)="","",IF($J610="Passed","",IF($J610="Passed with Known Issue","Known Issue",IF($J610="",IF(OR($H610&lt;&gt;"No",AND($F610&lt;&gt;"Medium",$F610&lt;&gt;"Low")),"Pending Result",""),IF(OR($H610&lt;&gt;"No",AND($F610&lt;&gt;"Medium",$F610&lt;&gt;"Low")),IF(COUNTIFS(Dashboard!$B$105:$B$124,$A610,Dashboard!$I$105:$I$124,"CAB")&gt;0,"Accepted (CF)","Blocking"),IF($J610="Failed","Deferrable","Carry Over"))))))</f>
        <v/>
      </c>
      <c r="M610" s="68" t="str">
        <f>IF(OR(TRIM($A610)="",TRIM($E610)=""),"",IFERROR(INDEX('E2E core flow'!$B$15:$B$1000,MATCH(1,INDEX(('E2E core flow'!$A$15:$A$1000&lt;&gt;"")*ISNUMBER(SEARCH('E2E core flow'!$A$15:$A$1000,$E610)),0),0))&amp;"","-"))</f>
        <v/>
      </c>
      <c r="N610" s="68" t="str">
        <f>IF(TRIM($A610)="","",IF($O610=0,IF(COUNTIFS('Card Test Cases'!$B$4:$B$1000,$A610,'Card Test Cases'!$A$4:$A$1000,"&lt;&gt;")&gt;0,"Out of Scope","No TC"),IF($Q610&gt;0,"Failed",IF(COUNTIFS('Card Test Cases'!$B$4:$B$1000,$A610,'Card Test Cases'!$A$4:$A$1000,"&lt;&gt;",'Card Test Cases'!$F$4:$F$1000,"Blocked")&gt;0,"Blocked",IF($R610&gt;0,"In Progress","Passed")))))</f>
        <v/>
      </c>
      <c r="O610" s="68" t="str">
        <f>IF(TRIM($A610)="","",COUNTIFS('Card Test Cases'!$B$4:$B$1000,$A610,'Card Test Cases'!$A$4:$A$1000,"&lt;&gt;",'Card Test Cases'!$F$4:$F$1000,"&lt;&gt;Out of Scope"))</f>
        <v/>
      </c>
      <c r="P610" s="68" t="str">
        <f>IF(TRIM($A610)="","",COUNTIFS('Card Test Cases'!$B$4:$B$1000,$A610,'Card Test Cases'!$A$4:$A$1000,"&lt;&gt;",'Card Test Cases'!$F$4:$F$1000,"Passed"))</f>
        <v/>
      </c>
      <c r="Q610" s="68" t="str">
        <f>IF(TRIM($A610)="","",COUNTIFS('Card Test Cases'!$B$4:$B$1000,$A610,'Card Test Cases'!$A$4:$A$1000,"&lt;&gt;",'Card Test Cases'!$F$4:$F$1000,"Failed"))</f>
        <v/>
      </c>
      <c r="R610" s="68" t="str">
        <f t="shared" si="9"/>
        <v/>
      </c>
      <c r="S610" s="68" t="str" cm="1">
        <f t="array" ref="S610">IF(TRIM($A610)="","",IFERROR(_xlfn.TEXTJOIN(", ",TRUE,_xlfn.UNIQUE(_xlfn.VSTACK(_xlfn._xlws.FILTER('Card Test Cases'!$G$4:$G$1000,('Card Test Cases'!$B$4:$B$1000=$A610)*('Card Test Cases'!$G$4:$G$1000&lt;&gt;""),""),_xlfn._xlws.FILTER('E2E core flow'!$U$15:$U$1000,('E2E core flow'!$A$15:$A$1000&lt;&gt;"")*ISNUMBER(SEARCH('E2E core flow'!$A$15:$A$1000,$E610))*('E2E core flow'!$U$15:$U$1000&lt;&gt;""),"")))),"-"))</f>
        <v/>
      </c>
    </row>
    <row r="611" spans="7:19" x14ac:dyDescent="0.3">
      <c r="G611" s="68" t="str" cm="1">
        <f t="array" ref="G611">_xlfn.LET(_xlpm.ids,'E2E core flow'!$A$15:$A$1000,_xlpm.v,'E2E core flow'!$W$15:$W$1000,_xlpm.m,(_xlpm.ids&lt;&gt;"")*ISNUMBER(SEARCH(_xlpm.ids,$E611)),_xlpm.f,SUM(_xlpm.m*(_xlpm.v="Failed")),_xlpm.b,SUM(_xlpm.m*(_xlpm.v="Blocked")),_xlpm.nr,SUM(_xlpm.m*(_xlpm.v="Not Run")),_xlpm.cp,SUM(_xlpm.m*(_xlpm.v="Conditionally Passed")),_xlpm.p,SUM(_xlpm.m*(_xlpm.v="Passed")),IF(TRIM($A611)="","",IF(TRIM($E611)="","Pending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11" s="68" t="str">
        <f>IF(TRIM($A611)="","",IF($J611="Passed","",IF($J611="Passed with Known Issue","Known Issue",IF($J611="",IF(OR($H611&lt;&gt;"No",AND($F611&lt;&gt;"Medium",$F611&lt;&gt;"Low")),"Pending Result",""),IF(OR($H611&lt;&gt;"No",AND($F611&lt;&gt;"Medium",$F611&lt;&gt;"Low")),IF(COUNTIFS(Dashboard!$B$105:$B$124,$A611,Dashboard!$I$105:$I$124,"CAB")&gt;0,"Accepted (CF)","Blocking"),IF($J611="Failed","Deferrable","Carry Over"))))))</f>
        <v/>
      </c>
      <c r="M611" s="68" t="str">
        <f>IF(OR(TRIM($A611)="",TRIM($E611)=""),"",IFERROR(INDEX('E2E core flow'!$B$15:$B$1000,MATCH(1,INDEX(('E2E core flow'!$A$15:$A$1000&lt;&gt;"")*ISNUMBER(SEARCH('E2E core flow'!$A$15:$A$1000,$E611)),0),0))&amp;"","-"))</f>
        <v/>
      </c>
      <c r="N611" s="68" t="str">
        <f>IF(TRIM($A611)="","",IF($O611=0,IF(COUNTIFS('Card Test Cases'!$B$4:$B$1000,$A611,'Card Test Cases'!$A$4:$A$1000,"&lt;&gt;")&gt;0,"Out of Scope","No TC"),IF($Q611&gt;0,"Failed",IF(COUNTIFS('Card Test Cases'!$B$4:$B$1000,$A611,'Card Test Cases'!$A$4:$A$1000,"&lt;&gt;",'Card Test Cases'!$F$4:$F$1000,"Blocked")&gt;0,"Blocked",IF($R611&gt;0,"In Progress","Passed")))))</f>
        <v/>
      </c>
      <c r="O611" s="68" t="str">
        <f>IF(TRIM($A611)="","",COUNTIFS('Card Test Cases'!$B$4:$B$1000,$A611,'Card Test Cases'!$A$4:$A$1000,"&lt;&gt;",'Card Test Cases'!$F$4:$F$1000,"&lt;&gt;Out of Scope"))</f>
        <v/>
      </c>
      <c r="P611" s="68" t="str">
        <f>IF(TRIM($A611)="","",COUNTIFS('Card Test Cases'!$B$4:$B$1000,$A611,'Card Test Cases'!$A$4:$A$1000,"&lt;&gt;",'Card Test Cases'!$F$4:$F$1000,"Passed"))</f>
        <v/>
      </c>
      <c r="Q611" s="68" t="str">
        <f>IF(TRIM($A611)="","",COUNTIFS('Card Test Cases'!$B$4:$B$1000,$A611,'Card Test Cases'!$A$4:$A$1000,"&lt;&gt;",'Card Test Cases'!$F$4:$F$1000,"Failed"))</f>
        <v/>
      </c>
      <c r="R611" s="68" t="str">
        <f t="shared" si="9"/>
        <v/>
      </c>
      <c r="S611" s="68" t="str" cm="1">
        <f t="array" ref="S611">IF(TRIM($A611)="","",IFERROR(_xlfn.TEXTJOIN(", ",TRUE,_xlfn.UNIQUE(_xlfn.VSTACK(_xlfn._xlws.FILTER('Card Test Cases'!$G$4:$G$1000,('Card Test Cases'!$B$4:$B$1000=$A611)*('Card Test Cases'!$G$4:$G$1000&lt;&gt;""),""),_xlfn._xlws.FILTER('E2E core flow'!$U$15:$U$1000,('E2E core flow'!$A$15:$A$1000&lt;&gt;"")*ISNUMBER(SEARCH('E2E core flow'!$A$15:$A$1000,$E611))*('E2E core flow'!$U$15:$U$1000&lt;&gt;""),"")))),"-"))</f>
        <v/>
      </c>
    </row>
    <row r="612" spans="7:19" x14ac:dyDescent="0.3">
      <c r="G612" s="68" t="str" cm="1">
        <f t="array" ref="G612">_xlfn.LET(_xlpm.ids,'E2E core flow'!$A$15:$A$1000,_xlpm.v,'E2E core flow'!$W$15:$W$1000,_xlpm.m,(_xlpm.ids&lt;&gt;"")*ISNUMBER(SEARCH(_xlpm.ids,$E612)),_xlpm.f,SUM(_xlpm.m*(_xlpm.v="Failed")),_xlpm.b,SUM(_xlpm.m*(_xlpm.v="Blocked")),_xlpm.nr,SUM(_xlpm.m*(_xlpm.v="Not Run")),_xlpm.cp,SUM(_xlpm.m*(_xlpm.v="Conditionally Passed")),_xlpm.p,SUM(_xlpm.m*(_xlpm.v="Passed")),IF(TRIM($A612)="","",IF(TRIM($E612)="","Pending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12" s="68" t="str">
        <f>IF(TRIM($A612)="","",IF($J612="Passed","",IF($J612="Passed with Known Issue","Known Issue",IF($J612="",IF(OR($H612&lt;&gt;"No",AND($F612&lt;&gt;"Medium",$F612&lt;&gt;"Low")),"Pending Result",""),IF(OR($H612&lt;&gt;"No",AND($F612&lt;&gt;"Medium",$F612&lt;&gt;"Low")),IF(COUNTIFS(Dashboard!$B$105:$B$124,$A612,Dashboard!$I$105:$I$124,"CAB")&gt;0,"Accepted (CF)","Blocking"),IF($J612="Failed","Deferrable","Carry Over"))))))</f>
        <v/>
      </c>
      <c r="M612" s="68" t="str">
        <f>IF(OR(TRIM($A612)="",TRIM($E612)=""),"",IFERROR(INDEX('E2E core flow'!$B$15:$B$1000,MATCH(1,INDEX(('E2E core flow'!$A$15:$A$1000&lt;&gt;"")*ISNUMBER(SEARCH('E2E core flow'!$A$15:$A$1000,$E612)),0),0))&amp;"","-"))</f>
        <v/>
      </c>
      <c r="N612" s="68" t="str">
        <f>IF(TRIM($A612)="","",IF($O612=0,IF(COUNTIFS('Card Test Cases'!$B$4:$B$1000,$A612,'Card Test Cases'!$A$4:$A$1000,"&lt;&gt;")&gt;0,"Out of Scope","No TC"),IF($Q612&gt;0,"Failed",IF(COUNTIFS('Card Test Cases'!$B$4:$B$1000,$A612,'Card Test Cases'!$A$4:$A$1000,"&lt;&gt;",'Card Test Cases'!$F$4:$F$1000,"Blocked")&gt;0,"Blocked",IF($R612&gt;0,"In Progress","Passed")))))</f>
        <v/>
      </c>
      <c r="O612" s="68" t="str">
        <f>IF(TRIM($A612)="","",COUNTIFS('Card Test Cases'!$B$4:$B$1000,$A612,'Card Test Cases'!$A$4:$A$1000,"&lt;&gt;",'Card Test Cases'!$F$4:$F$1000,"&lt;&gt;Out of Scope"))</f>
        <v/>
      </c>
      <c r="P612" s="68" t="str">
        <f>IF(TRIM($A612)="","",COUNTIFS('Card Test Cases'!$B$4:$B$1000,$A612,'Card Test Cases'!$A$4:$A$1000,"&lt;&gt;",'Card Test Cases'!$F$4:$F$1000,"Passed"))</f>
        <v/>
      </c>
      <c r="Q612" s="68" t="str">
        <f>IF(TRIM($A612)="","",COUNTIFS('Card Test Cases'!$B$4:$B$1000,$A612,'Card Test Cases'!$A$4:$A$1000,"&lt;&gt;",'Card Test Cases'!$F$4:$F$1000,"Failed"))</f>
        <v/>
      </c>
      <c r="R612" s="68" t="str">
        <f t="shared" si="9"/>
        <v/>
      </c>
      <c r="S612" s="68" t="str" cm="1">
        <f t="array" ref="S612">IF(TRIM($A612)="","",IFERROR(_xlfn.TEXTJOIN(", ",TRUE,_xlfn.UNIQUE(_xlfn.VSTACK(_xlfn._xlws.FILTER('Card Test Cases'!$G$4:$G$1000,('Card Test Cases'!$B$4:$B$1000=$A612)*('Card Test Cases'!$G$4:$G$1000&lt;&gt;""),""),_xlfn._xlws.FILTER('E2E core flow'!$U$15:$U$1000,('E2E core flow'!$A$15:$A$1000&lt;&gt;"")*ISNUMBER(SEARCH('E2E core flow'!$A$15:$A$1000,$E612))*('E2E core flow'!$U$15:$U$1000&lt;&gt;""),"")))),"-"))</f>
        <v/>
      </c>
    </row>
    <row r="613" spans="7:19" x14ac:dyDescent="0.3">
      <c r="G613" s="68" t="str" cm="1">
        <f t="array" ref="G613">_xlfn.LET(_xlpm.ids,'E2E core flow'!$A$15:$A$1000,_xlpm.v,'E2E core flow'!$W$15:$W$1000,_xlpm.m,(_xlpm.ids&lt;&gt;"")*ISNUMBER(SEARCH(_xlpm.ids,$E613)),_xlpm.f,SUM(_xlpm.m*(_xlpm.v="Failed")),_xlpm.b,SUM(_xlpm.m*(_xlpm.v="Blocked")),_xlpm.nr,SUM(_xlpm.m*(_xlpm.v="Not Run")),_xlpm.cp,SUM(_xlpm.m*(_xlpm.v="Conditionally Passed")),_xlpm.p,SUM(_xlpm.m*(_xlpm.v="Passed")),IF(TRIM($A613)="","",IF(TRIM($E613)="","Pending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13" s="68" t="str">
        <f>IF(TRIM($A613)="","",IF($J613="Passed","",IF($J613="Passed with Known Issue","Known Issue",IF($J613="",IF(OR($H613&lt;&gt;"No",AND($F613&lt;&gt;"Medium",$F613&lt;&gt;"Low")),"Pending Result",""),IF(OR($H613&lt;&gt;"No",AND($F613&lt;&gt;"Medium",$F613&lt;&gt;"Low")),IF(COUNTIFS(Dashboard!$B$105:$B$124,$A613,Dashboard!$I$105:$I$124,"CAB")&gt;0,"Accepted (CF)","Blocking"),IF($J613="Failed","Deferrable","Carry Over"))))))</f>
        <v/>
      </c>
      <c r="M613" s="68" t="str">
        <f>IF(OR(TRIM($A613)="",TRIM($E613)=""),"",IFERROR(INDEX('E2E core flow'!$B$15:$B$1000,MATCH(1,INDEX(('E2E core flow'!$A$15:$A$1000&lt;&gt;"")*ISNUMBER(SEARCH('E2E core flow'!$A$15:$A$1000,$E613)),0),0))&amp;"","-"))</f>
        <v/>
      </c>
      <c r="N613" s="68" t="str">
        <f>IF(TRIM($A613)="","",IF($O613=0,IF(COUNTIFS('Card Test Cases'!$B$4:$B$1000,$A613,'Card Test Cases'!$A$4:$A$1000,"&lt;&gt;")&gt;0,"Out of Scope","No TC"),IF($Q613&gt;0,"Failed",IF(COUNTIFS('Card Test Cases'!$B$4:$B$1000,$A613,'Card Test Cases'!$A$4:$A$1000,"&lt;&gt;",'Card Test Cases'!$F$4:$F$1000,"Blocked")&gt;0,"Blocked",IF($R613&gt;0,"In Progress","Passed")))))</f>
        <v/>
      </c>
      <c r="O613" s="68" t="str">
        <f>IF(TRIM($A613)="","",COUNTIFS('Card Test Cases'!$B$4:$B$1000,$A613,'Card Test Cases'!$A$4:$A$1000,"&lt;&gt;",'Card Test Cases'!$F$4:$F$1000,"&lt;&gt;Out of Scope"))</f>
        <v/>
      </c>
      <c r="P613" s="68" t="str">
        <f>IF(TRIM($A613)="","",COUNTIFS('Card Test Cases'!$B$4:$B$1000,$A613,'Card Test Cases'!$A$4:$A$1000,"&lt;&gt;",'Card Test Cases'!$F$4:$F$1000,"Passed"))</f>
        <v/>
      </c>
      <c r="Q613" s="68" t="str">
        <f>IF(TRIM($A613)="","",COUNTIFS('Card Test Cases'!$B$4:$B$1000,$A613,'Card Test Cases'!$A$4:$A$1000,"&lt;&gt;",'Card Test Cases'!$F$4:$F$1000,"Failed"))</f>
        <v/>
      </c>
      <c r="R613" s="68" t="str">
        <f t="shared" si="9"/>
        <v/>
      </c>
      <c r="S613" s="68" t="str" cm="1">
        <f t="array" ref="S613">IF(TRIM($A613)="","",IFERROR(_xlfn.TEXTJOIN(", ",TRUE,_xlfn.UNIQUE(_xlfn.VSTACK(_xlfn._xlws.FILTER('Card Test Cases'!$G$4:$G$1000,('Card Test Cases'!$B$4:$B$1000=$A613)*('Card Test Cases'!$G$4:$G$1000&lt;&gt;""),""),_xlfn._xlws.FILTER('E2E core flow'!$U$15:$U$1000,('E2E core flow'!$A$15:$A$1000&lt;&gt;"")*ISNUMBER(SEARCH('E2E core flow'!$A$15:$A$1000,$E613))*('E2E core flow'!$U$15:$U$1000&lt;&gt;""),"")))),"-"))</f>
        <v/>
      </c>
    </row>
    <row r="614" spans="7:19" x14ac:dyDescent="0.3">
      <c r="G614" s="68" t="str" cm="1">
        <f t="array" ref="G614">_xlfn.LET(_xlpm.ids,'E2E core flow'!$A$15:$A$1000,_xlpm.v,'E2E core flow'!$W$15:$W$1000,_xlpm.m,(_xlpm.ids&lt;&gt;"")*ISNUMBER(SEARCH(_xlpm.ids,$E614)),_xlpm.f,SUM(_xlpm.m*(_xlpm.v="Failed")),_xlpm.b,SUM(_xlpm.m*(_xlpm.v="Blocked")),_xlpm.nr,SUM(_xlpm.m*(_xlpm.v="Not Run")),_xlpm.cp,SUM(_xlpm.m*(_xlpm.v="Conditionally Passed")),_xlpm.p,SUM(_xlpm.m*(_xlpm.v="Passed")),IF(TRIM($A614)="","",IF(TRIM($E614)="","Pending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14" s="68" t="str">
        <f>IF(TRIM($A614)="","",IF($J614="Passed","",IF($J614="Passed with Known Issue","Known Issue",IF($J614="",IF(OR($H614&lt;&gt;"No",AND($F614&lt;&gt;"Medium",$F614&lt;&gt;"Low")),"Pending Result",""),IF(OR($H614&lt;&gt;"No",AND($F614&lt;&gt;"Medium",$F614&lt;&gt;"Low")),IF(COUNTIFS(Dashboard!$B$105:$B$124,$A614,Dashboard!$I$105:$I$124,"CAB")&gt;0,"Accepted (CF)","Blocking"),IF($J614="Failed","Deferrable","Carry Over"))))))</f>
        <v/>
      </c>
      <c r="M614" s="68" t="str">
        <f>IF(OR(TRIM($A614)="",TRIM($E614)=""),"",IFERROR(INDEX('E2E core flow'!$B$15:$B$1000,MATCH(1,INDEX(('E2E core flow'!$A$15:$A$1000&lt;&gt;"")*ISNUMBER(SEARCH('E2E core flow'!$A$15:$A$1000,$E614)),0),0))&amp;"","-"))</f>
        <v/>
      </c>
      <c r="N614" s="68" t="str">
        <f>IF(TRIM($A614)="","",IF($O614=0,IF(COUNTIFS('Card Test Cases'!$B$4:$B$1000,$A614,'Card Test Cases'!$A$4:$A$1000,"&lt;&gt;")&gt;0,"Out of Scope","No TC"),IF($Q614&gt;0,"Failed",IF(COUNTIFS('Card Test Cases'!$B$4:$B$1000,$A614,'Card Test Cases'!$A$4:$A$1000,"&lt;&gt;",'Card Test Cases'!$F$4:$F$1000,"Blocked")&gt;0,"Blocked",IF($R614&gt;0,"In Progress","Passed")))))</f>
        <v/>
      </c>
      <c r="O614" s="68" t="str">
        <f>IF(TRIM($A614)="","",COUNTIFS('Card Test Cases'!$B$4:$B$1000,$A614,'Card Test Cases'!$A$4:$A$1000,"&lt;&gt;",'Card Test Cases'!$F$4:$F$1000,"&lt;&gt;Out of Scope"))</f>
        <v/>
      </c>
      <c r="P614" s="68" t="str">
        <f>IF(TRIM($A614)="","",COUNTIFS('Card Test Cases'!$B$4:$B$1000,$A614,'Card Test Cases'!$A$4:$A$1000,"&lt;&gt;",'Card Test Cases'!$F$4:$F$1000,"Passed"))</f>
        <v/>
      </c>
      <c r="Q614" s="68" t="str">
        <f>IF(TRIM($A614)="","",COUNTIFS('Card Test Cases'!$B$4:$B$1000,$A614,'Card Test Cases'!$A$4:$A$1000,"&lt;&gt;",'Card Test Cases'!$F$4:$F$1000,"Failed"))</f>
        <v/>
      </c>
      <c r="R614" s="68" t="str">
        <f t="shared" si="9"/>
        <v/>
      </c>
      <c r="S614" s="68" t="str" cm="1">
        <f t="array" ref="S614">IF(TRIM($A614)="","",IFERROR(_xlfn.TEXTJOIN(", ",TRUE,_xlfn.UNIQUE(_xlfn.VSTACK(_xlfn._xlws.FILTER('Card Test Cases'!$G$4:$G$1000,('Card Test Cases'!$B$4:$B$1000=$A614)*('Card Test Cases'!$G$4:$G$1000&lt;&gt;""),""),_xlfn._xlws.FILTER('E2E core flow'!$U$15:$U$1000,('E2E core flow'!$A$15:$A$1000&lt;&gt;"")*ISNUMBER(SEARCH('E2E core flow'!$A$15:$A$1000,$E614))*('E2E core flow'!$U$15:$U$1000&lt;&gt;""),"")))),"-"))</f>
        <v/>
      </c>
    </row>
    <row r="615" spans="7:19" x14ac:dyDescent="0.3">
      <c r="G615" s="68" t="str" cm="1">
        <f t="array" ref="G615">_xlfn.LET(_xlpm.ids,'E2E core flow'!$A$15:$A$1000,_xlpm.v,'E2E core flow'!$W$15:$W$1000,_xlpm.m,(_xlpm.ids&lt;&gt;"")*ISNUMBER(SEARCH(_xlpm.ids,$E615)),_xlpm.f,SUM(_xlpm.m*(_xlpm.v="Failed")),_xlpm.b,SUM(_xlpm.m*(_xlpm.v="Blocked")),_xlpm.nr,SUM(_xlpm.m*(_xlpm.v="Not Run")),_xlpm.cp,SUM(_xlpm.m*(_xlpm.v="Conditionally Passed")),_xlpm.p,SUM(_xlpm.m*(_xlpm.v="Passed")),IF(TRIM($A615)="","",IF(TRIM($E615)="","Pending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15" s="68" t="str">
        <f>IF(TRIM($A615)="","",IF($J615="Passed","",IF($J615="Passed with Known Issue","Known Issue",IF($J615="",IF(OR($H615&lt;&gt;"No",AND($F615&lt;&gt;"Medium",$F615&lt;&gt;"Low")),"Pending Result",""),IF(OR($H615&lt;&gt;"No",AND($F615&lt;&gt;"Medium",$F615&lt;&gt;"Low")),IF(COUNTIFS(Dashboard!$B$105:$B$124,$A615,Dashboard!$I$105:$I$124,"CAB")&gt;0,"Accepted (CF)","Blocking"),IF($J615="Failed","Deferrable","Carry Over"))))))</f>
        <v/>
      </c>
      <c r="M615" s="68" t="str">
        <f>IF(OR(TRIM($A615)="",TRIM($E615)=""),"",IFERROR(INDEX('E2E core flow'!$B$15:$B$1000,MATCH(1,INDEX(('E2E core flow'!$A$15:$A$1000&lt;&gt;"")*ISNUMBER(SEARCH('E2E core flow'!$A$15:$A$1000,$E615)),0),0))&amp;"","-"))</f>
        <v/>
      </c>
      <c r="N615" s="68" t="str">
        <f>IF(TRIM($A615)="","",IF($O615=0,IF(COUNTIFS('Card Test Cases'!$B$4:$B$1000,$A615,'Card Test Cases'!$A$4:$A$1000,"&lt;&gt;")&gt;0,"Out of Scope","No TC"),IF($Q615&gt;0,"Failed",IF(COUNTIFS('Card Test Cases'!$B$4:$B$1000,$A615,'Card Test Cases'!$A$4:$A$1000,"&lt;&gt;",'Card Test Cases'!$F$4:$F$1000,"Blocked")&gt;0,"Blocked",IF($R615&gt;0,"In Progress","Passed")))))</f>
        <v/>
      </c>
      <c r="O615" s="68" t="str">
        <f>IF(TRIM($A615)="","",COUNTIFS('Card Test Cases'!$B$4:$B$1000,$A615,'Card Test Cases'!$A$4:$A$1000,"&lt;&gt;",'Card Test Cases'!$F$4:$F$1000,"&lt;&gt;Out of Scope"))</f>
        <v/>
      </c>
      <c r="P615" s="68" t="str">
        <f>IF(TRIM($A615)="","",COUNTIFS('Card Test Cases'!$B$4:$B$1000,$A615,'Card Test Cases'!$A$4:$A$1000,"&lt;&gt;",'Card Test Cases'!$F$4:$F$1000,"Passed"))</f>
        <v/>
      </c>
      <c r="Q615" s="68" t="str">
        <f>IF(TRIM($A615)="","",COUNTIFS('Card Test Cases'!$B$4:$B$1000,$A615,'Card Test Cases'!$A$4:$A$1000,"&lt;&gt;",'Card Test Cases'!$F$4:$F$1000,"Failed"))</f>
        <v/>
      </c>
      <c r="R615" s="68" t="str">
        <f t="shared" si="9"/>
        <v/>
      </c>
      <c r="S615" s="68" t="str" cm="1">
        <f t="array" ref="S615">IF(TRIM($A615)="","",IFERROR(_xlfn.TEXTJOIN(", ",TRUE,_xlfn.UNIQUE(_xlfn.VSTACK(_xlfn._xlws.FILTER('Card Test Cases'!$G$4:$G$1000,('Card Test Cases'!$B$4:$B$1000=$A615)*('Card Test Cases'!$G$4:$G$1000&lt;&gt;""),""),_xlfn._xlws.FILTER('E2E core flow'!$U$15:$U$1000,('E2E core flow'!$A$15:$A$1000&lt;&gt;"")*ISNUMBER(SEARCH('E2E core flow'!$A$15:$A$1000,$E615))*('E2E core flow'!$U$15:$U$1000&lt;&gt;""),"")))),"-"))</f>
        <v/>
      </c>
    </row>
    <row r="616" spans="7:19" x14ac:dyDescent="0.3">
      <c r="G616" s="68" t="str" cm="1">
        <f t="array" ref="G616">_xlfn.LET(_xlpm.ids,'E2E core flow'!$A$15:$A$1000,_xlpm.v,'E2E core flow'!$W$15:$W$1000,_xlpm.m,(_xlpm.ids&lt;&gt;"")*ISNUMBER(SEARCH(_xlpm.ids,$E616)),_xlpm.f,SUM(_xlpm.m*(_xlpm.v="Failed")),_xlpm.b,SUM(_xlpm.m*(_xlpm.v="Blocked")),_xlpm.nr,SUM(_xlpm.m*(_xlpm.v="Not Run")),_xlpm.cp,SUM(_xlpm.m*(_xlpm.v="Conditionally Passed")),_xlpm.p,SUM(_xlpm.m*(_xlpm.v="Passed")),IF(TRIM($A616)="","",IF(TRIM($E616)="","Pending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16" s="68" t="str">
        <f>IF(TRIM($A616)="","",IF($J616="Passed","",IF($J616="Passed with Known Issue","Known Issue",IF($J616="",IF(OR($H616&lt;&gt;"No",AND($F616&lt;&gt;"Medium",$F616&lt;&gt;"Low")),"Pending Result",""),IF(OR($H616&lt;&gt;"No",AND($F616&lt;&gt;"Medium",$F616&lt;&gt;"Low")),IF(COUNTIFS(Dashboard!$B$105:$B$124,$A616,Dashboard!$I$105:$I$124,"CAB")&gt;0,"Accepted (CF)","Blocking"),IF($J616="Failed","Deferrable","Carry Over"))))))</f>
        <v/>
      </c>
      <c r="M616" s="68" t="str">
        <f>IF(OR(TRIM($A616)="",TRIM($E616)=""),"",IFERROR(INDEX('E2E core flow'!$B$15:$B$1000,MATCH(1,INDEX(('E2E core flow'!$A$15:$A$1000&lt;&gt;"")*ISNUMBER(SEARCH('E2E core flow'!$A$15:$A$1000,$E616)),0),0))&amp;"","-"))</f>
        <v/>
      </c>
      <c r="N616" s="68" t="str">
        <f>IF(TRIM($A616)="","",IF($O616=0,IF(COUNTIFS('Card Test Cases'!$B$4:$B$1000,$A616,'Card Test Cases'!$A$4:$A$1000,"&lt;&gt;")&gt;0,"Out of Scope","No TC"),IF($Q616&gt;0,"Failed",IF(COUNTIFS('Card Test Cases'!$B$4:$B$1000,$A616,'Card Test Cases'!$A$4:$A$1000,"&lt;&gt;",'Card Test Cases'!$F$4:$F$1000,"Blocked")&gt;0,"Blocked",IF($R616&gt;0,"In Progress","Passed")))))</f>
        <v/>
      </c>
      <c r="O616" s="68" t="str">
        <f>IF(TRIM($A616)="","",COUNTIFS('Card Test Cases'!$B$4:$B$1000,$A616,'Card Test Cases'!$A$4:$A$1000,"&lt;&gt;",'Card Test Cases'!$F$4:$F$1000,"&lt;&gt;Out of Scope"))</f>
        <v/>
      </c>
      <c r="P616" s="68" t="str">
        <f>IF(TRIM($A616)="","",COUNTIFS('Card Test Cases'!$B$4:$B$1000,$A616,'Card Test Cases'!$A$4:$A$1000,"&lt;&gt;",'Card Test Cases'!$F$4:$F$1000,"Passed"))</f>
        <v/>
      </c>
      <c r="Q616" s="68" t="str">
        <f>IF(TRIM($A616)="","",COUNTIFS('Card Test Cases'!$B$4:$B$1000,$A616,'Card Test Cases'!$A$4:$A$1000,"&lt;&gt;",'Card Test Cases'!$F$4:$F$1000,"Failed"))</f>
        <v/>
      </c>
      <c r="R616" s="68" t="str">
        <f t="shared" si="9"/>
        <v/>
      </c>
      <c r="S616" s="68" t="str" cm="1">
        <f t="array" ref="S616">IF(TRIM($A616)="","",IFERROR(_xlfn.TEXTJOIN(", ",TRUE,_xlfn.UNIQUE(_xlfn.VSTACK(_xlfn._xlws.FILTER('Card Test Cases'!$G$4:$G$1000,('Card Test Cases'!$B$4:$B$1000=$A616)*('Card Test Cases'!$G$4:$G$1000&lt;&gt;""),""),_xlfn._xlws.FILTER('E2E core flow'!$U$15:$U$1000,('E2E core flow'!$A$15:$A$1000&lt;&gt;"")*ISNUMBER(SEARCH('E2E core flow'!$A$15:$A$1000,$E616))*('E2E core flow'!$U$15:$U$1000&lt;&gt;""),"")))),"-"))</f>
        <v/>
      </c>
    </row>
    <row r="617" spans="7:19" x14ac:dyDescent="0.3">
      <c r="G617" s="68" t="str" cm="1">
        <f t="array" ref="G617">_xlfn.LET(_xlpm.ids,'E2E core flow'!$A$15:$A$1000,_xlpm.v,'E2E core flow'!$W$15:$W$1000,_xlpm.m,(_xlpm.ids&lt;&gt;"")*ISNUMBER(SEARCH(_xlpm.ids,$E617)),_xlpm.f,SUM(_xlpm.m*(_xlpm.v="Failed")),_xlpm.b,SUM(_xlpm.m*(_xlpm.v="Blocked")),_xlpm.nr,SUM(_xlpm.m*(_xlpm.v="Not Run")),_xlpm.cp,SUM(_xlpm.m*(_xlpm.v="Conditionally Passed")),_xlpm.p,SUM(_xlpm.m*(_xlpm.v="Passed")),IF(TRIM($A617)="","",IF(TRIM($E617)="","Pending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17" s="68" t="str">
        <f>IF(TRIM($A617)="","",IF($J617="Passed","",IF($J617="Passed with Known Issue","Known Issue",IF($J617="",IF(OR($H617&lt;&gt;"No",AND($F617&lt;&gt;"Medium",$F617&lt;&gt;"Low")),"Pending Result",""),IF(OR($H617&lt;&gt;"No",AND($F617&lt;&gt;"Medium",$F617&lt;&gt;"Low")),IF(COUNTIFS(Dashboard!$B$105:$B$124,$A617,Dashboard!$I$105:$I$124,"CAB")&gt;0,"Accepted (CF)","Blocking"),IF($J617="Failed","Deferrable","Carry Over"))))))</f>
        <v/>
      </c>
      <c r="M617" s="68" t="str">
        <f>IF(OR(TRIM($A617)="",TRIM($E617)=""),"",IFERROR(INDEX('E2E core flow'!$B$15:$B$1000,MATCH(1,INDEX(('E2E core flow'!$A$15:$A$1000&lt;&gt;"")*ISNUMBER(SEARCH('E2E core flow'!$A$15:$A$1000,$E617)),0),0))&amp;"","-"))</f>
        <v/>
      </c>
      <c r="N617" s="68" t="str">
        <f>IF(TRIM($A617)="","",IF($O617=0,IF(COUNTIFS('Card Test Cases'!$B$4:$B$1000,$A617,'Card Test Cases'!$A$4:$A$1000,"&lt;&gt;")&gt;0,"Out of Scope","No TC"),IF($Q617&gt;0,"Failed",IF(COUNTIFS('Card Test Cases'!$B$4:$B$1000,$A617,'Card Test Cases'!$A$4:$A$1000,"&lt;&gt;",'Card Test Cases'!$F$4:$F$1000,"Blocked")&gt;0,"Blocked",IF($R617&gt;0,"In Progress","Passed")))))</f>
        <v/>
      </c>
      <c r="O617" s="68" t="str">
        <f>IF(TRIM($A617)="","",COUNTIFS('Card Test Cases'!$B$4:$B$1000,$A617,'Card Test Cases'!$A$4:$A$1000,"&lt;&gt;",'Card Test Cases'!$F$4:$F$1000,"&lt;&gt;Out of Scope"))</f>
        <v/>
      </c>
      <c r="P617" s="68" t="str">
        <f>IF(TRIM($A617)="","",COUNTIFS('Card Test Cases'!$B$4:$B$1000,$A617,'Card Test Cases'!$A$4:$A$1000,"&lt;&gt;",'Card Test Cases'!$F$4:$F$1000,"Passed"))</f>
        <v/>
      </c>
      <c r="Q617" s="68" t="str">
        <f>IF(TRIM($A617)="","",COUNTIFS('Card Test Cases'!$B$4:$B$1000,$A617,'Card Test Cases'!$A$4:$A$1000,"&lt;&gt;",'Card Test Cases'!$F$4:$F$1000,"Failed"))</f>
        <v/>
      </c>
      <c r="R617" s="68" t="str">
        <f t="shared" si="9"/>
        <v/>
      </c>
      <c r="S617" s="68" t="str" cm="1">
        <f t="array" ref="S617">IF(TRIM($A617)="","",IFERROR(_xlfn.TEXTJOIN(", ",TRUE,_xlfn.UNIQUE(_xlfn.VSTACK(_xlfn._xlws.FILTER('Card Test Cases'!$G$4:$G$1000,('Card Test Cases'!$B$4:$B$1000=$A617)*('Card Test Cases'!$G$4:$G$1000&lt;&gt;""),""),_xlfn._xlws.FILTER('E2E core flow'!$U$15:$U$1000,('E2E core flow'!$A$15:$A$1000&lt;&gt;"")*ISNUMBER(SEARCH('E2E core flow'!$A$15:$A$1000,$E617))*('E2E core flow'!$U$15:$U$1000&lt;&gt;""),"")))),"-"))</f>
        <v/>
      </c>
    </row>
    <row r="618" spans="7:19" x14ac:dyDescent="0.3">
      <c r="G618" s="68" t="str" cm="1">
        <f t="array" ref="G618">_xlfn.LET(_xlpm.ids,'E2E core flow'!$A$15:$A$1000,_xlpm.v,'E2E core flow'!$W$15:$W$1000,_xlpm.m,(_xlpm.ids&lt;&gt;"")*ISNUMBER(SEARCH(_xlpm.ids,$E618)),_xlpm.f,SUM(_xlpm.m*(_xlpm.v="Failed")),_xlpm.b,SUM(_xlpm.m*(_xlpm.v="Blocked")),_xlpm.nr,SUM(_xlpm.m*(_xlpm.v="Not Run")),_xlpm.cp,SUM(_xlpm.m*(_xlpm.v="Conditionally Passed")),_xlpm.p,SUM(_xlpm.m*(_xlpm.v="Passed")),IF(TRIM($A618)="","",IF(TRIM($E618)="","Pending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18" s="68" t="str">
        <f>IF(TRIM($A618)="","",IF($J618="Passed","",IF($J618="Passed with Known Issue","Known Issue",IF($J618="",IF(OR($H618&lt;&gt;"No",AND($F618&lt;&gt;"Medium",$F618&lt;&gt;"Low")),"Pending Result",""),IF(OR($H618&lt;&gt;"No",AND($F618&lt;&gt;"Medium",$F618&lt;&gt;"Low")),IF(COUNTIFS(Dashboard!$B$105:$B$124,$A618,Dashboard!$I$105:$I$124,"CAB")&gt;0,"Accepted (CF)","Blocking"),IF($J618="Failed","Deferrable","Carry Over"))))))</f>
        <v/>
      </c>
      <c r="M618" s="68" t="str">
        <f>IF(OR(TRIM($A618)="",TRIM($E618)=""),"",IFERROR(INDEX('E2E core flow'!$B$15:$B$1000,MATCH(1,INDEX(('E2E core flow'!$A$15:$A$1000&lt;&gt;"")*ISNUMBER(SEARCH('E2E core flow'!$A$15:$A$1000,$E618)),0),0))&amp;"","-"))</f>
        <v/>
      </c>
      <c r="N618" s="68" t="str">
        <f>IF(TRIM($A618)="","",IF($O618=0,IF(COUNTIFS('Card Test Cases'!$B$4:$B$1000,$A618,'Card Test Cases'!$A$4:$A$1000,"&lt;&gt;")&gt;0,"Out of Scope","No TC"),IF($Q618&gt;0,"Failed",IF(COUNTIFS('Card Test Cases'!$B$4:$B$1000,$A618,'Card Test Cases'!$A$4:$A$1000,"&lt;&gt;",'Card Test Cases'!$F$4:$F$1000,"Blocked")&gt;0,"Blocked",IF($R618&gt;0,"In Progress","Passed")))))</f>
        <v/>
      </c>
      <c r="O618" s="68" t="str">
        <f>IF(TRIM($A618)="","",COUNTIFS('Card Test Cases'!$B$4:$B$1000,$A618,'Card Test Cases'!$A$4:$A$1000,"&lt;&gt;",'Card Test Cases'!$F$4:$F$1000,"&lt;&gt;Out of Scope"))</f>
        <v/>
      </c>
      <c r="P618" s="68" t="str">
        <f>IF(TRIM($A618)="","",COUNTIFS('Card Test Cases'!$B$4:$B$1000,$A618,'Card Test Cases'!$A$4:$A$1000,"&lt;&gt;",'Card Test Cases'!$F$4:$F$1000,"Passed"))</f>
        <v/>
      </c>
      <c r="Q618" s="68" t="str">
        <f>IF(TRIM($A618)="","",COUNTIFS('Card Test Cases'!$B$4:$B$1000,$A618,'Card Test Cases'!$A$4:$A$1000,"&lt;&gt;",'Card Test Cases'!$F$4:$F$1000,"Failed"))</f>
        <v/>
      </c>
      <c r="R618" s="68" t="str">
        <f t="shared" si="9"/>
        <v/>
      </c>
      <c r="S618" s="68" t="str" cm="1">
        <f t="array" ref="S618">IF(TRIM($A618)="","",IFERROR(_xlfn.TEXTJOIN(", ",TRUE,_xlfn.UNIQUE(_xlfn.VSTACK(_xlfn._xlws.FILTER('Card Test Cases'!$G$4:$G$1000,('Card Test Cases'!$B$4:$B$1000=$A618)*('Card Test Cases'!$G$4:$G$1000&lt;&gt;""),""),_xlfn._xlws.FILTER('E2E core flow'!$U$15:$U$1000,('E2E core flow'!$A$15:$A$1000&lt;&gt;"")*ISNUMBER(SEARCH('E2E core flow'!$A$15:$A$1000,$E618))*('E2E core flow'!$U$15:$U$1000&lt;&gt;""),"")))),"-"))</f>
        <v/>
      </c>
    </row>
    <row r="619" spans="7:19" x14ac:dyDescent="0.3">
      <c r="G619" s="68" t="str" cm="1">
        <f t="array" ref="G619">_xlfn.LET(_xlpm.ids,'E2E core flow'!$A$15:$A$1000,_xlpm.v,'E2E core flow'!$W$15:$W$1000,_xlpm.m,(_xlpm.ids&lt;&gt;"")*ISNUMBER(SEARCH(_xlpm.ids,$E619)),_xlpm.f,SUM(_xlpm.m*(_xlpm.v="Failed")),_xlpm.b,SUM(_xlpm.m*(_xlpm.v="Blocked")),_xlpm.nr,SUM(_xlpm.m*(_xlpm.v="Not Run")),_xlpm.cp,SUM(_xlpm.m*(_xlpm.v="Conditionally Passed")),_xlpm.p,SUM(_xlpm.m*(_xlpm.v="Passed")),IF(TRIM($A619)="","",IF(TRIM($E619)="","Pending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19" s="68" t="str">
        <f>IF(TRIM($A619)="","",IF($J619="Passed","",IF($J619="Passed with Known Issue","Known Issue",IF($J619="",IF(OR($H619&lt;&gt;"No",AND($F619&lt;&gt;"Medium",$F619&lt;&gt;"Low")),"Pending Result",""),IF(OR($H619&lt;&gt;"No",AND($F619&lt;&gt;"Medium",$F619&lt;&gt;"Low")),IF(COUNTIFS(Dashboard!$B$105:$B$124,$A619,Dashboard!$I$105:$I$124,"CAB")&gt;0,"Accepted (CF)","Blocking"),IF($J619="Failed","Deferrable","Carry Over"))))))</f>
        <v/>
      </c>
      <c r="M619" s="68" t="str">
        <f>IF(OR(TRIM($A619)="",TRIM($E619)=""),"",IFERROR(INDEX('E2E core flow'!$B$15:$B$1000,MATCH(1,INDEX(('E2E core flow'!$A$15:$A$1000&lt;&gt;"")*ISNUMBER(SEARCH('E2E core flow'!$A$15:$A$1000,$E619)),0),0))&amp;"","-"))</f>
        <v/>
      </c>
      <c r="N619" s="68" t="str">
        <f>IF(TRIM($A619)="","",IF($O619=0,IF(COUNTIFS('Card Test Cases'!$B$4:$B$1000,$A619,'Card Test Cases'!$A$4:$A$1000,"&lt;&gt;")&gt;0,"Out of Scope","No TC"),IF($Q619&gt;0,"Failed",IF(COUNTIFS('Card Test Cases'!$B$4:$B$1000,$A619,'Card Test Cases'!$A$4:$A$1000,"&lt;&gt;",'Card Test Cases'!$F$4:$F$1000,"Blocked")&gt;0,"Blocked",IF($R619&gt;0,"In Progress","Passed")))))</f>
        <v/>
      </c>
      <c r="O619" s="68" t="str">
        <f>IF(TRIM($A619)="","",COUNTIFS('Card Test Cases'!$B$4:$B$1000,$A619,'Card Test Cases'!$A$4:$A$1000,"&lt;&gt;",'Card Test Cases'!$F$4:$F$1000,"&lt;&gt;Out of Scope"))</f>
        <v/>
      </c>
      <c r="P619" s="68" t="str">
        <f>IF(TRIM($A619)="","",COUNTIFS('Card Test Cases'!$B$4:$B$1000,$A619,'Card Test Cases'!$A$4:$A$1000,"&lt;&gt;",'Card Test Cases'!$F$4:$F$1000,"Passed"))</f>
        <v/>
      </c>
      <c r="Q619" s="68" t="str">
        <f>IF(TRIM($A619)="","",COUNTIFS('Card Test Cases'!$B$4:$B$1000,$A619,'Card Test Cases'!$A$4:$A$1000,"&lt;&gt;",'Card Test Cases'!$F$4:$F$1000,"Failed"))</f>
        <v/>
      </c>
      <c r="R619" s="68" t="str">
        <f t="shared" si="9"/>
        <v/>
      </c>
      <c r="S619" s="68" t="str" cm="1">
        <f t="array" ref="S619">IF(TRIM($A619)="","",IFERROR(_xlfn.TEXTJOIN(", ",TRUE,_xlfn.UNIQUE(_xlfn.VSTACK(_xlfn._xlws.FILTER('Card Test Cases'!$G$4:$G$1000,('Card Test Cases'!$B$4:$B$1000=$A619)*('Card Test Cases'!$G$4:$G$1000&lt;&gt;""),""),_xlfn._xlws.FILTER('E2E core flow'!$U$15:$U$1000,('E2E core flow'!$A$15:$A$1000&lt;&gt;"")*ISNUMBER(SEARCH('E2E core flow'!$A$15:$A$1000,$E619))*('E2E core flow'!$U$15:$U$1000&lt;&gt;""),"")))),"-"))</f>
        <v/>
      </c>
    </row>
    <row r="620" spans="7:19" x14ac:dyDescent="0.3">
      <c r="G620" s="68" t="str" cm="1">
        <f t="array" ref="G620">_xlfn.LET(_xlpm.ids,'E2E core flow'!$A$15:$A$1000,_xlpm.v,'E2E core flow'!$W$15:$W$1000,_xlpm.m,(_xlpm.ids&lt;&gt;"")*ISNUMBER(SEARCH(_xlpm.ids,$E620)),_xlpm.f,SUM(_xlpm.m*(_xlpm.v="Failed")),_xlpm.b,SUM(_xlpm.m*(_xlpm.v="Blocked")),_xlpm.nr,SUM(_xlpm.m*(_xlpm.v="Not Run")),_xlpm.cp,SUM(_xlpm.m*(_xlpm.v="Conditionally Passed")),_xlpm.p,SUM(_xlpm.m*(_xlpm.v="Passed")),IF(TRIM($A620)="","",IF(TRIM($E620)="","Pending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20" s="68" t="str">
        <f>IF(TRIM($A620)="","",IF($J620="Passed","",IF($J620="Passed with Known Issue","Known Issue",IF($J620="",IF(OR($H620&lt;&gt;"No",AND($F620&lt;&gt;"Medium",$F620&lt;&gt;"Low")),"Pending Result",""),IF(OR($H620&lt;&gt;"No",AND($F620&lt;&gt;"Medium",$F620&lt;&gt;"Low")),IF(COUNTIFS(Dashboard!$B$105:$B$124,$A620,Dashboard!$I$105:$I$124,"CAB")&gt;0,"Accepted (CF)","Blocking"),IF($J620="Failed","Deferrable","Carry Over"))))))</f>
        <v/>
      </c>
      <c r="M620" s="68" t="str">
        <f>IF(OR(TRIM($A620)="",TRIM($E620)=""),"",IFERROR(INDEX('E2E core flow'!$B$15:$B$1000,MATCH(1,INDEX(('E2E core flow'!$A$15:$A$1000&lt;&gt;"")*ISNUMBER(SEARCH('E2E core flow'!$A$15:$A$1000,$E620)),0),0))&amp;"","-"))</f>
        <v/>
      </c>
      <c r="N620" s="68" t="str">
        <f>IF(TRIM($A620)="","",IF($O620=0,IF(COUNTIFS('Card Test Cases'!$B$4:$B$1000,$A620,'Card Test Cases'!$A$4:$A$1000,"&lt;&gt;")&gt;0,"Out of Scope","No TC"),IF($Q620&gt;0,"Failed",IF(COUNTIFS('Card Test Cases'!$B$4:$B$1000,$A620,'Card Test Cases'!$A$4:$A$1000,"&lt;&gt;",'Card Test Cases'!$F$4:$F$1000,"Blocked")&gt;0,"Blocked",IF($R620&gt;0,"In Progress","Passed")))))</f>
        <v/>
      </c>
      <c r="O620" s="68" t="str">
        <f>IF(TRIM($A620)="","",COUNTIFS('Card Test Cases'!$B$4:$B$1000,$A620,'Card Test Cases'!$A$4:$A$1000,"&lt;&gt;",'Card Test Cases'!$F$4:$F$1000,"&lt;&gt;Out of Scope"))</f>
        <v/>
      </c>
      <c r="P620" s="68" t="str">
        <f>IF(TRIM($A620)="","",COUNTIFS('Card Test Cases'!$B$4:$B$1000,$A620,'Card Test Cases'!$A$4:$A$1000,"&lt;&gt;",'Card Test Cases'!$F$4:$F$1000,"Passed"))</f>
        <v/>
      </c>
      <c r="Q620" s="68" t="str">
        <f>IF(TRIM($A620)="","",COUNTIFS('Card Test Cases'!$B$4:$B$1000,$A620,'Card Test Cases'!$A$4:$A$1000,"&lt;&gt;",'Card Test Cases'!$F$4:$F$1000,"Failed"))</f>
        <v/>
      </c>
      <c r="R620" s="68" t="str">
        <f t="shared" si="9"/>
        <v/>
      </c>
      <c r="S620" s="68" t="str" cm="1">
        <f t="array" ref="S620">IF(TRIM($A620)="","",IFERROR(_xlfn.TEXTJOIN(", ",TRUE,_xlfn.UNIQUE(_xlfn.VSTACK(_xlfn._xlws.FILTER('Card Test Cases'!$G$4:$G$1000,('Card Test Cases'!$B$4:$B$1000=$A620)*('Card Test Cases'!$G$4:$G$1000&lt;&gt;""),""),_xlfn._xlws.FILTER('E2E core flow'!$U$15:$U$1000,('E2E core flow'!$A$15:$A$1000&lt;&gt;"")*ISNUMBER(SEARCH('E2E core flow'!$A$15:$A$1000,$E620))*('E2E core flow'!$U$15:$U$1000&lt;&gt;""),"")))),"-"))</f>
        <v/>
      </c>
    </row>
    <row r="621" spans="7:19" x14ac:dyDescent="0.3">
      <c r="G621" s="68" t="str" cm="1">
        <f t="array" ref="G621">_xlfn.LET(_xlpm.ids,'E2E core flow'!$A$15:$A$1000,_xlpm.v,'E2E core flow'!$W$15:$W$1000,_xlpm.m,(_xlpm.ids&lt;&gt;"")*ISNUMBER(SEARCH(_xlpm.ids,$E621)),_xlpm.f,SUM(_xlpm.m*(_xlpm.v="Failed")),_xlpm.b,SUM(_xlpm.m*(_xlpm.v="Blocked")),_xlpm.nr,SUM(_xlpm.m*(_xlpm.v="Not Run")),_xlpm.cp,SUM(_xlpm.m*(_xlpm.v="Conditionally Passed")),_xlpm.p,SUM(_xlpm.m*(_xlpm.v="Passed")),IF(TRIM($A621)="","",IF(TRIM($E621)="","Pending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21" s="68" t="str">
        <f>IF(TRIM($A621)="","",IF($J621="Passed","",IF($J621="Passed with Known Issue","Known Issue",IF($J621="",IF(OR($H621&lt;&gt;"No",AND($F621&lt;&gt;"Medium",$F621&lt;&gt;"Low")),"Pending Result",""),IF(OR($H621&lt;&gt;"No",AND($F621&lt;&gt;"Medium",$F621&lt;&gt;"Low")),IF(COUNTIFS(Dashboard!$B$105:$B$124,$A621,Dashboard!$I$105:$I$124,"CAB")&gt;0,"Accepted (CF)","Blocking"),IF($J621="Failed","Deferrable","Carry Over"))))))</f>
        <v/>
      </c>
      <c r="M621" s="68" t="str">
        <f>IF(OR(TRIM($A621)="",TRIM($E621)=""),"",IFERROR(INDEX('E2E core flow'!$B$15:$B$1000,MATCH(1,INDEX(('E2E core flow'!$A$15:$A$1000&lt;&gt;"")*ISNUMBER(SEARCH('E2E core flow'!$A$15:$A$1000,$E621)),0),0))&amp;"","-"))</f>
        <v/>
      </c>
      <c r="N621" s="68" t="str">
        <f>IF(TRIM($A621)="","",IF($O621=0,IF(COUNTIFS('Card Test Cases'!$B$4:$B$1000,$A621,'Card Test Cases'!$A$4:$A$1000,"&lt;&gt;")&gt;0,"Out of Scope","No TC"),IF($Q621&gt;0,"Failed",IF(COUNTIFS('Card Test Cases'!$B$4:$B$1000,$A621,'Card Test Cases'!$A$4:$A$1000,"&lt;&gt;",'Card Test Cases'!$F$4:$F$1000,"Blocked")&gt;0,"Blocked",IF($R621&gt;0,"In Progress","Passed")))))</f>
        <v/>
      </c>
      <c r="O621" s="68" t="str">
        <f>IF(TRIM($A621)="","",COUNTIFS('Card Test Cases'!$B$4:$B$1000,$A621,'Card Test Cases'!$A$4:$A$1000,"&lt;&gt;",'Card Test Cases'!$F$4:$F$1000,"&lt;&gt;Out of Scope"))</f>
        <v/>
      </c>
      <c r="P621" s="68" t="str">
        <f>IF(TRIM($A621)="","",COUNTIFS('Card Test Cases'!$B$4:$B$1000,$A621,'Card Test Cases'!$A$4:$A$1000,"&lt;&gt;",'Card Test Cases'!$F$4:$F$1000,"Passed"))</f>
        <v/>
      </c>
      <c r="Q621" s="68" t="str">
        <f>IF(TRIM($A621)="","",COUNTIFS('Card Test Cases'!$B$4:$B$1000,$A621,'Card Test Cases'!$A$4:$A$1000,"&lt;&gt;",'Card Test Cases'!$F$4:$F$1000,"Failed"))</f>
        <v/>
      </c>
      <c r="R621" s="68" t="str">
        <f t="shared" si="9"/>
        <v/>
      </c>
      <c r="S621" s="68" t="str" cm="1">
        <f t="array" ref="S621">IF(TRIM($A621)="","",IFERROR(_xlfn.TEXTJOIN(", ",TRUE,_xlfn.UNIQUE(_xlfn.VSTACK(_xlfn._xlws.FILTER('Card Test Cases'!$G$4:$G$1000,('Card Test Cases'!$B$4:$B$1000=$A621)*('Card Test Cases'!$G$4:$G$1000&lt;&gt;""),""),_xlfn._xlws.FILTER('E2E core flow'!$U$15:$U$1000,('E2E core flow'!$A$15:$A$1000&lt;&gt;"")*ISNUMBER(SEARCH('E2E core flow'!$A$15:$A$1000,$E621))*('E2E core flow'!$U$15:$U$1000&lt;&gt;""),"")))),"-"))</f>
        <v/>
      </c>
    </row>
    <row r="622" spans="7:19" x14ac:dyDescent="0.3">
      <c r="G622" s="68" t="str" cm="1">
        <f t="array" ref="G622">_xlfn.LET(_xlpm.ids,'E2E core flow'!$A$15:$A$1000,_xlpm.v,'E2E core flow'!$W$15:$W$1000,_xlpm.m,(_xlpm.ids&lt;&gt;"")*ISNUMBER(SEARCH(_xlpm.ids,$E622)),_xlpm.f,SUM(_xlpm.m*(_xlpm.v="Failed")),_xlpm.b,SUM(_xlpm.m*(_xlpm.v="Blocked")),_xlpm.nr,SUM(_xlpm.m*(_xlpm.v="Not Run")),_xlpm.cp,SUM(_xlpm.m*(_xlpm.v="Conditionally Passed")),_xlpm.p,SUM(_xlpm.m*(_xlpm.v="Passed")),IF(TRIM($A622)="","",IF(TRIM($E622)="","Pending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22" s="68" t="str">
        <f>IF(TRIM($A622)="","",IF($J622="Passed","",IF($J622="Passed with Known Issue","Known Issue",IF($J622="",IF(OR($H622&lt;&gt;"No",AND($F622&lt;&gt;"Medium",$F622&lt;&gt;"Low")),"Pending Result",""),IF(OR($H622&lt;&gt;"No",AND($F622&lt;&gt;"Medium",$F622&lt;&gt;"Low")),IF(COUNTIFS(Dashboard!$B$105:$B$124,$A622,Dashboard!$I$105:$I$124,"CAB")&gt;0,"Accepted (CF)","Blocking"),IF($J622="Failed","Deferrable","Carry Over"))))))</f>
        <v/>
      </c>
      <c r="M622" s="68" t="str">
        <f>IF(OR(TRIM($A622)="",TRIM($E622)=""),"",IFERROR(INDEX('E2E core flow'!$B$15:$B$1000,MATCH(1,INDEX(('E2E core flow'!$A$15:$A$1000&lt;&gt;"")*ISNUMBER(SEARCH('E2E core flow'!$A$15:$A$1000,$E622)),0),0))&amp;"","-"))</f>
        <v/>
      </c>
      <c r="N622" s="68" t="str">
        <f>IF(TRIM($A622)="","",IF($O622=0,IF(COUNTIFS('Card Test Cases'!$B$4:$B$1000,$A622,'Card Test Cases'!$A$4:$A$1000,"&lt;&gt;")&gt;0,"Out of Scope","No TC"),IF($Q622&gt;0,"Failed",IF(COUNTIFS('Card Test Cases'!$B$4:$B$1000,$A622,'Card Test Cases'!$A$4:$A$1000,"&lt;&gt;",'Card Test Cases'!$F$4:$F$1000,"Blocked")&gt;0,"Blocked",IF($R622&gt;0,"In Progress","Passed")))))</f>
        <v/>
      </c>
      <c r="O622" s="68" t="str">
        <f>IF(TRIM($A622)="","",COUNTIFS('Card Test Cases'!$B$4:$B$1000,$A622,'Card Test Cases'!$A$4:$A$1000,"&lt;&gt;",'Card Test Cases'!$F$4:$F$1000,"&lt;&gt;Out of Scope"))</f>
        <v/>
      </c>
      <c r="P622" s="68" t="str">
        <f>IF(TRIM($A622)="","",COUNTIFS('Card Test Cases'!$B$4:$B$1000,$A622,'Card Test Cases'!$A$4:$A$1000,"&lt;&gt;",'Card Test Cases'!$F$4:$F$1000,"Passed"))</f>
        <v/>
      </c>
      <c r="Q622" s="68" t="str">
        <f>IF(TRIM($A622)="","",COUNTIFS('Card Test Cases'!$B$4:$B$1000,$A622,'Card Test Cases'!$A$4:$A$1000,"&lt;&gt;",'Card Test Cases'!$F$4:$F$1000,"Failed"))</f>
        <v/>
      </c>
      <c r="R622" s="68" t="str">
        <f t="shared" si="9"/>
        <v/>
      </c>
      <c r="S622" s="68" t="str" cm="1">
        <f t="array" ref="S622">IF(TRIM($A622)="","",IFERROR(_xlfn.TEXTJOIN(", ",TRUE,_xlfn.UNIQUE(_xlfn.VSTACK(_xlfn._xlws.FILTER('Card Test Cases'!$G$4:$G$1000,('Card Test Cases'!$B$4:$B$1000=$A622)*('Card Test Cases'!$G$4:$G$1000&lt;&gt;""),""),_xlfn._xlws.FILTER('E2E core flow'!$U$15:$U$1000,('E2E core flow'!$A$15:$A$1000&lt;&gt;"")*ISNUMBER(SEARCH('E2E core flow'!$A$15:$A$1000,$E622))*('E2E core flow'!$U$15:$U$1000&lt;&gt;""),"")))),"-"))</f>
        <v/>
      </c>
    </row>
    <row r="623" spans="7:19" x14ac:dyDescent="0.3">
      <c r="G623" s="68" t="str" cm="1">
        <f t="array" ref="G623">_xlfn.LET(_xlpm.ids,'E2E core flow'!$A$15:$A$1000,_xlpm.v,'E2E core flow'!$W$15:$W$1000,_xlpm.m,(_xlpm.ids&lt;&gt;"")*ISNUMBER(SEARCH(_xlpm.ids,$E623)),_xlpm.f,SUM(_xlpm.m*(_xlpm.v="Failed")),_xlpm.b,SUM(_xlpm.m*(_xlpm.v="Blocked")),_xlpm.nr,SUM(_xlpm.m*(_xlpm.v="Not Run")),_xlpm.cp,SUM(_xlpm.m*(_xlpm.v="Conditionally Passed")),_xlpm.p,SUM(_xlpm.m*(_xlpm.v="Passed")),IF(TRIM($A623)="","",IF(TRIM($E623)="","Pending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23" s="68" t="str">
        <f>IF(TRIM($A623)="","",IF($J623="Passed","",IF($J623="Passed with Known Issue","Known Issue",IF($J623="",IF(OR($H623&lt;&gt;"No",AND($F623&lt;&gt;"Medium",$F623&lt;&gt;"Low")),"Pending Result",""),IF(OR($H623&lt;&gt;"No",AND($F623&lt;&gt;"Medium",$F623&lt;&gt;"Low")),IF(COUNTIFS(Dashboard!$B$105:$B$124,$A623,Dashboard!$I$105:$I$124,"CAB")&gt;0,"Accepted (CF)","Blocking"),IF($J623="Failed","Deferrable","Carry Over"))))))</f>
        <v/>
      </c>
      <c r="M623" s="68" t="str">
        <f>IF(OR(TRIM($A623)="",TRIM($E623)=""),"",IFERROR(INDEX('E2E core flow'!$B$15:$B$1000,MATCH(1,INDEX(('E2E core flow'!$A$15:$A$1000&lt;&gt;"")*ISNUMBER(SEARCH('E2E core flow'!$A$15:$A$1000,$E623)),0),0))&amp;"","-"))</f>
        <v/>
      </c>
      <c r="N623" s="68" t="str">
        <f>IF(TRIM($A623)="","",IF($O623=0,IF(COUNTIFS('Card Test Cases'!$B$4:$B$1000,$A623,'Card Test Cases'!$A$4:$A$1000,"&lt;&gt;")&gt;0,"Out of Scope","No TC"),IF($Q623&gt;0,"Failed",IF(COUNTIFS('Card Test Cases'!$B$4:$B$1000,$A623,'Card Test Cases'!$A$4:$A$1000,"&lt;&gt;",'Card Test Cases'!$F$4:$F$1000,"Blocked")&gt;0,"Blocked",IF($R623&gt;0,"In Progress","Passed")))))</f>
        <v/>
      </c>
      <c r="O623" s="68" t="str">
        <f>IF(TRIM($A623)="","",COUNTIFS('Card Test Cases'!$B$4:$B$1000,$A623,'Card Test Cases'!$A$4:$A$1000,"&lt;&gt;",'Card Test Cases'!$F$4:$F$1000,"&lt;&gt;Out of Scope"))</f>
        <v/>
      </c>
      <c r="P623" s="68" t="str">
        <f>IF(TRIM($A623)="","",COUNTIFS('Card Test Cases'!$B$4:$B$1000,$A623,'Card Test Cases'!$A$4:$A$1000,"&lt;&gt;",'Card Test Cases'!$F$4:$F$1000,"Passed"))</f>
        <v/>
      </c>
      <c r="Q623" s="68" t="str">
        <f>IF(TRIM($A623)="","",COUNTIFS('Card Test Cases'!$B$4:$B$1000,$A623,'Card Test Cases'!$A$4:$A$1000,"&lt;&gt;",'Card Test Cases'!$F$4:$F$1000,"Failed"))</f>
        <v/>
      </c>
      <c r="R623" s="68" t="str">
        <f t="shared" si="9"/>
        <v/>
      </c>
      <c r="S623" s="68" t="str" cm="1">
        <f t="array" ref="S623">IF(TRIM($A623)="","",IFERROR(_xlfn.TEXTJOIN(", ",TRUE,_xlfn.UNIQUE(_xlfn.VSTACK(_xlfn._xlws.FILTER('Card Test Cases'!$G$4:$G$1000,('Card Test Cases'!$B$4:$B$1000=$A623)*('Card Test Cases'!$G$4:$G$1000&lt;&gt;""),""),_xlfn._xlws.FILTER('E2E core flow'!$U$15:$U$1000,('E2E core flow'!$A$15:$A$1000&lt;&gt;"")*ISNUMBER(SEARCH('E2E core flow'!$A$15:$A$1000,$E623))*('E2E core flow'!$U$15:$U$1000&lt;&gt;""),"")))),"-"))</f>
        <v/>
      </c>
    </row>
    <row r="624" spans="7:19" x14ac:dyDescent="0.3">
      <c r="G624" s="68" t="str" cm="1">
        <f t="array" ref="G624">_xlfn.LET(_xlpm.ids,'E2E core flow'!$A$15:$A$1000,_xlpm.v,'E2E core flow'!$W$15:$W$1000,_xlpm.m,(_xlpm.ids&lt;&gt;"")*ISNUMBER(SEARCH(_xlpm.ids,$E624)),_xlpm.f,SUM(_xlpm.m*(_xlpm.v="Failed")),_xlpm.b,SUM(_xlpm.m*(_xlpm.v="Blocked")),_xlpm.nr,SUM(_xlpm.m*(_xlpm.v="Not Run")),_xlpm.cp,SUM(_xlpm.m*(_xlpm.v="Conditionally Passed")),_xlpm.p,SUM(_xlpm.m*(_xlpm.v="Passed")),IF(TRIM($A624)="","",IF(TRIM($E624)="","Pending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24" s="68" t="str">
        <f>IF(TRIM($A624)="","",IF($J624="Passed","",IF($J624="Passed with Known Issue","Known Issue",IF($J624="",IF(OR($H624&lt;&gt;"No",AND($F624&lt;&gt;"Medium",$F624&lt;&gt;"Low")),"Pending Result",""),IF(OR($H624&lt;&gt;"No",AND($F624&lt;&gt;"Medium",$F624&lt;&gt;"Low")),IF(COUNTIFS(Dashboard!$B$105:$B$124,$A624,Dashboard!$I$105:$I$124,"CAB")&gt;0,"Accepted (CF)","Blocking"),IF($J624="Failed","Deferrable","Carry Over"))))))</f>
        <v/>
      </c>
      <c r="M624" s="68" t="str">
        <f>IF(OR(TRIM($A624)="",TRIM($E624)=""),"",IFERROR(INDEX('E2E core flow'!$B$15:$B$1000,MATCH(1,INDEX(('E2E core flow'!$A$15:$A$1000&lt;&gt;"")*ISNUMBER(SEARCH('E2E core flow'!$A$15:$A$1000,$E624)),0),0))&amp;"","-"))</f>
        <v/>
      </c>
      <c r="N624" s="68" t="str">
        <f>IF(TRIM($A624)="","",IF($O624=0,IF(COUNTIFS('Card Test Cases'!$B$4:$B$1000,$A624,'Card Test Cases'!$A$4:$A$1000,"&lt;&gt;")&gt;0,"Out of Scope","No TC"),IF($Q624&gt;0,"Failed",IF(COUNTIFS('Card Test Cases'!$B$4:$B$1000,$A624,'Card Test Cases'!$A$4:$A$1000,"&lt;&gt;",'Card Test Cases'!$F$4:$F$1000,"Blocked")&gt;0,"Blocked",IF($R624&gt;0,"In Progress","Passed")))))</f>
        <v/>
      </c>
      <c r="O624" s="68" t="str">
        <f>IF(TRIM($A624)="","",COUNTIFS('Card Test Cases'!$B$4:$B$1000,$A624,'Card Test Cases'!$A$4:$A$1000,"&lt;&gt;",'Card Test Cases'!$F$4:$F$1000,"&lt;&gt;Out of Scope"))</f>
        <v/>
      </c>
      <c r="P624" s="68" t="str">
        <f>IF(TRIM($A624)="","",COUNTIFS('Card Test Cases'!$B$4:$B$1000,$A624,'Card Test Cases'!$A$4:$A$1000,"&lt;&gt;",'Card Test Cases'!$F$4:$F$1000,"Passed"))</f>
        <v/>
      </c>
      <c r="Q624" s="68" t="str">
        <f>IF(TRIM($A624)="","",COUNTIFS('Card Test Cases'!$B$4:$B$1000,$A624,'Card Test Cases'!$A$4:$A$1000,"&lt;&gt;",'Card Test Cases'!$F$4:$F$1000,"Failed"))</f>
        <v/>
      </c>
      <c r="R624" s="68" t="str">
        <f t="shared" si="9"/>
        <v/>
      </c>
      <c r="S624" s="68" t="str" cm="1">
        <f t="array" ref="S624">IF(TRIM($A624)="","",IFERROR(_xlfn.TEXTJOIN(", ",TRUE,_xlfn.UNIQUE(_xlfn.VSTACK(_xlfn._xlws.FILTER('Card Test Cases'!$G$4:$G$1000,('Card Test Cases'!$B$4:$B$1000=$A624)*('Card Test Cases'!$G$4:$G$1000&lt;&gt;""),""),_xlfn._xlws.FILTER('E2E core flow'!$U$15:$U$1000,('E2E core flow'!$A$15:$A$1000&lt;&gt;"")*ISNUMBER(SEARCH('E2E core flow'!$A$15:$A$1000,$E624))*('E2E core flow'!$U$15:$U$1000&lt;&gt;""),"")))),"-"))</f>
        <v/>
      </c>
    </row>
    <row r="625" spans="7:19" x14ac:dyDescent="0.3">
      <c r="G625" s="68" t="str" cm="1">
        <f t="array" ref="G625">_xlfn.LET(_xlpm.ids,'E2E core flow'!$A$15:$A$1000,_xlpm.v,'E2E core flow'!$W$15:$W$1000,_xlpm.m,(_xlpm.ids&lt;&gt;"")*ISNUMBER(SEARCH(_xlpm.ids,$E625)),_xlpm.f,SUM(_xlpm.m*(_xlpm.v="Failed")),_xlpm.b,SUM(_xlpm.m*(_xlpm.v="Blocked")),_xlpm.nr,SUM(_xlpm.m*(_xlpm.v="Not Run")),_xlpm.cp,SUM(_xlpm.m*(_xlpm.v="Conditionally Passed")),_xlpm.p,SUM(_xlpm.m*(_xlpm.v="Passed")),IF(TRIM($A625)="","",IF(TRIM($E625)="","Pending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25" s="68" t="str">
        <f>IF(TRIM($A625)="","",IF($J625="Passed","",IF($J625="Passed with Known Issue","Known Issue",IF($J625="",IF(OR($H625&lt;&gt;"No",AND($F625&lt;&gt;"Medium",$F625&lt;&gt;"Low")),"Pending Result",""),IF(OR($H625&lt;&gt;"No",AND($F625&lt;&gt;"Medium",$F625&lt;&gt;"Low")),IF(COUNTIFS(Dashboard!$B$105:$B$124,$A625,Dashboard!$I$105:$I$124,"CAB")&gt;0,"Accepted (CF)","Blocking"),IF($J625="Failed","Deferrable","Carry Over"))))))</f>
        <v/>
      </c>
      <c r="M625" s="68" t="str">
        <f>IF(OR(TRIM($A625)="",TRIM($E625)=""),"",IFERROR(INDEX('E2E core flow'!$B$15:$B$1000,MATCH(1,INDEX(('E2E core flow'!$A$15:$A$1000&lt;&gt;"")*ISNUMBER(SEARCH('E2E core flow'!$A$15:$A$1000,$E625)),0),0))&amp;"","-"))</f>
        <v/>
      </c>
      <c r="N625" s="68" t="str">
        <f>IF(TRIM($A625)="","",IF($O625=0,IF(COUNTIFS('Card Test Cases'!$B$4:$B$1000,$A625,'Card Test Cases'!$A$4:$A$1000,"&lt;&gt;")&gt;0,"Out of Scope","No TC"),IF($Q625&gt;0,"Failed",IF(COUNTIFS('Card Test Cases'!$B$4:$B$1000,$A625,'Card Test Cases'!$A$4:$A$1000,"&lt;&gt;",'Card Test Cases'!$F$4:$F$1000,"Blocked")&gt;0,"Blocked",IF($R625&gt;0,"In Progress","Passed")))))</f>
        <v/>
      </c>
      <c r="O625" s="68" t="str">
        <f>IF(TRIM($A625)="","",COUNTIFS('Card Test Cases'!$B$4:$B$1000,$A625,'Card Test Cases'!$A$4:$A$1000,"&lt;&gt;",'Card Test Cases'!$F$4:$F$1000,"&lt;&gt;Out of Scope"))</f>
        <v/>
      </c>
      <c r="P625" s="68" t="str">
        <f>IF(TRIM($A625)="","",COUNTIFS('Card Test Cases'!$B$4:$B$1000,$A625,'Card Test Cases'!$A$4:$A$1000,"&lt;&gt;",'Card Test Cases'!$F$4:$F$1000,"Passed"))</f>
        <v/>
      </c>
      <c r="Q625" s="68" t="str">
        <f>IF(TRIM($A625)="","",COUNTIFS('Card Test Cases'!$B$4:$B$1000,$A625,'Card Test Cases'!$A$4:$A$1000,"&lt;&gt;",'Card Test Cases'!$F$4:$F$1000,"Failed"))</f>
        <v/>
      </c>
      <c r="R625" s="68" t="str">
        <f t="shared" si="9"/>
        <v/>
      </c>
      <c r="S625" s="68" t="str" cm="1">
        <f t="array" ref="S625">IF(TRIM($A625)="","",IFERROR(_xlfn.TEXTJOIN(", ",TRUE,_xlfn.UNIQUE(_xlfn.VSTACK(_xlfn._xlws.FILTER('Card Test Cases'!$G$4:$G$1000,('Card Test Cases'!$B$4:$B$1000=$A625)*('Card Test Cases'!$G$4:$G$1000&lt;&gt;""),""),_xlfn._xlws.FILTER('E2E core flow'!$U$15:$U$1000,('E2E core flow'!$A$15:$A$1000&lt;&gt;"")*ISNUMBER(SEARCH('E2E core flow'!$A$15:$A$1000,$E625))*('E2E core flow'!$U$15:$U$1000&lt;&gt;""),"")))),"-"))</f>
        <v/>
      </c>
    </row>
    <row r="626" spans="7:19" x14ac:dyDescent="0.3">
      <c r="G626" s="68" t="str" cm="1">
        <f t="array" ref="G626">_xlfn.LET(_xlpm.ids,'E2E core flow'!$A$15:$A$1000,_xlpm.v,'E2E core flow'!$W$15:$W$1000,_xlpm.m,(_xlpm.ids&lt;&gt;"")*ISNUMBER(SEARCH(_xlpm.ids,$E626)),_xlpm.f,SUM(_xlpm.m*(_xlpm.v="Failed")),_xlpm.b,SUM(_xlpm.m*(_xlpm.v="Blocked")),_xlpm.nr,SUM(_xlpm.m*(_xlpm.v="Not Run")),_xlpm.cp,SUM(_xlpm.m*(_xlpm.v="Conditionally Passed")),_xlpm.p,SUM(_xlpm.m*(_xlpm.v="Passed")),IF(TRIM($A626)="","",IF(TRIM($E626)="","Pending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26" s="68" t="str">
        <f>IF(TRIM($A626)="","",IF($J626="Passed","",IF($J626="Passed with Known Issue","Known Issue",IF($J626="",IF(OR($H626&lt;&gt;"No",AND($F626&lt;&gt;"Medium",$F626&lt;&gt;"Low")),"Pending Result",""),IF(OR($H626&lt;&gt;"No",AND($F626&lt;&gt;"Medium",$F626&lt;&gt;"Low")),IF(COUNTIFS(Dashboard!$B$105:$B$124,$A626,Dashboard!$I$105:$I$124,"CAB")&gt;0,"Accepted (CF)","Blocking"),IF($J626="Failed","Deferrable","Carry Over"))))))</f>
        <v/>
      </c>
      <c r="M626" s="68" t="str">
        <f>IF(OR(TRIM($A626)="",TRIM($E626)=""),"",IFERROR(INDEX('E2E core flow'!$B$15:$B$1000,MATCH(1,INDEX(('E2E core flow'!$A$15:$A$1000&lt;&gt;"")*ISNUMBER(SEARCH('E2E core flow'!$A$15:$A$1000,$E626)),0),0))&amp;"","-"))</f>
        <v/>
      </c>
      <c r="N626" s="68" t="str">
        <f>IF(TRIM($A626)="","",IF($O626=0,IF(COUNTIFS('Card Test Cases'!$B$4:$B$1000,$A626,'Card Test Cases'!$A$4:$A$1000,"&lt;&gt;")&gt;0,"Out of Scope","No TC"),IF($Q626&gt;0,"Failed",IF(COUNTIFS('Card Test Cases'!$B$4:$B$1000,$A626,'Card Test Cases'!$A$4:$A$1000,"&lt;&gt;",'Card Test Cases'!$F$4:$F$1000,"Blocked")&gt;0,"Blocked",IF($R626&gt;0,"In Progress","Passed")))))</f>
        <v/>
      </c>
      <c r="O626" s="68" t="str">
        <f>IF(TRIM($A626)="","",COUNTIFS('Card Test Cases'!$B$4:$B$1000,$A626,'Card Test Cases'!$A$4:$A$1000,"&lt;&gt;",'Card Test Cases'!$F$4:$F$1000,"&lt;&gt;Out of Scope"))</f>
        <v/>
      </c>
      <c r="P626" s="68" t="str">
        <f>IF(TRIM($A626)="","",COUNTIFS('Card Test Cases'!$B$4:$B$1000,$A626,'Card Test Cases'!$A$4:$A$1000,"&lt;&gt;",'Card Test Cases'!$F$4:$F$1000,"Passed"))</f>
        <v/>
      </c>
      <c r="Q626" s="68" t="str">
        <f>IF(TRIM($A626)="","",COUNTIFS('Card Test Cases'!$B$4:$B$1000,$A626,'Card Test Cases'!$A$4:$A$1000,"&lt;&gt;",'Card Test Cases'!$F$4:$F$1000,"Failed"))</f>
        <v/>
      </c>
      <c r="R626" s="68" t="str">
        <f t="shared" si="9"/>
        <v/>
      </c>
      <c r="S626" s="68" t="str" cm="1">
        <f t="array" ref="S626">IF(TRIM($A626)="","",IFERROR(_xlfn.TEXTJOIN(", ",TRUE,_xlfn.UNIQUE(_xlfn.VSTACK(_xlfn._xlws.FILTER('Card Test Cases'!$G$4:$G$1000,('Card Test Cases'!$B$4:$B$1000=$A626)*('Card Test Cases'!$G$4:$G$1000&lt;&gt;""),""),_xlfn._xlws.FILTER('E2E core flow'!$U$15:$U$1000,('E2E core flow'!$A$15:$A$1000&lt;&gt;"")*ISNUMBER(SEARCH('E2E core flow'!$A$15:$A$1000,$E626))*('E2E core flow'!$U$15:$U$1000&lt;&gt;""),"")))),"-"))</f>
        <v/>
      </c>
    </row>
    <row r="627" spans="7:19" x14ac:dyDescent="0.3">
      <c r="G627" s="68" t="str" cm="1">
        <f t="array" ref="G627">_xlfn.LET(_xlpm.ids,'E2E core flow'!$A$15:$A$1000,_xlpm.v,'E2E core flow'!$W$15:$W$1000,_xlpm.m,(_xlpm.ids&lt;&gt;"")*ISNUMBER(SEARCH(_xlpm.ids,$E627)),_xlpm.f,SUM(_xlpm.m*(_xlpm.v="Failed")),_xlpm.b,SUM(_xlpm.m*(_xlpm.v="Blocked")),_xlpm.nr,SUM(_xlpm.m*(_xlpm.v="Not Run")),_xlpm.cp,SUM(_xlpm.m*(_xlpm.v="Conditionally Passed")),_xlpm.p,SUM(_xlpm.m*(_xlpm.v="Passed")),IF(TRIM($A627)="","",IF(TRIM($E627)="","Pending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27" s="68" t="str">
        <f>IF(TRIM($A627)="","",IF($J627="Passed","",IF($J627="Passed with Known Issue","Known Issue",IF($J627="",IF(OR($H627&lt;&gt;"No",AND($F627&lt;&gt;"Medium",$F627&lt;&gt;"Low")),"Pending Result",""),IF(OR($H627&lt;&gt;"No",AND($F627&lt;&gt;"Medium",$F627&lt;&gt;"Low")),IF(COUNTIFS(Dashboard!$B$105:$B$124,$A627,Dashboard!$I$105:$I$124,"CAB")&gt;0,"Accepted (CF)","Blocking"),IF($J627="Failed","Deferrable","Carry Over"))))))</f>
        <v/>
      </c>
      <c r="M627" s="68" t="str">
        <f>IF(OR(TRIM($A627)="",TRIM($E627)=""),"",IFERROR(INDEX('E2E core flow'!$B$15:$B$1000,MATCH(1,INDEX(('E2E core flow'!$A$15:$A$1000&lt;&gt;"")*ISNUMBER(SEARCH('E2E core flow'!$A$15:$A$1000,$E627)),0),0))&amp;"","-"))</f>
        <v/>
      </c>
      <c r="N627" s="68" t="str">
        <f>IF(TRIM($A627)="","",IF($O627=0,IF(COUNTIFS('Card Test Cases'!$B$4:$B$1000,$A627,'Card Test Cases'!$A$4:$A$1000,"&lt;&gt;")&gt;0,"Out of Scope","No TC"),IF($Q627&gt;0,"Failed",IF(COUNTIFS('Card Test Cases'!$B$4:$B$1000,$A627,'Card Test Cases'!$A$4:$A$1000,"&lt;&gt;",'Card Test Cases'!$F$4:$F$1000,"Blocked")&gt;0,"Blocked",IF($R627&gt;0,"In Progress","Passed")))))</f>
        <v/>
      </c>
      <c r="O627" s="68" t="str">
        <f>IF(TRIM($A627)="","",COUNTIFS('Card Test Cases'!$B$4:$B$1000,$A627,'Card Test Cases'!$A$4:$A$1000,"&lt;&gt;",'Card Test Cases'!$F$4:$F$1000,"&lt;&gt;Out of Scope"))</f>
        <v/>
      </c>
      <c r="P627" s="68" t="str">
        <f>IF(TRIM($A627)="","",COUNTIFS('Card Test Cases'!$B$4:$B$1000,$A627,'Card Test Cases'!$A$4:$A$1000,"&lt;&gt;",'Card Test Cases'!$F$4:$F$1000,"Passed"))</f>
        <v/>
      </c>
      <c r="Q627" s="68" t="str">
        <f>IF(TRIM($A627)="","",COUNTIFS('Card Test Cases'!$B$4:$B$1000,$A627,'Card Test Cases'!$A$4:$A$1000,"&lt;&gt;",'Card Test Cases'!$F$4:$F$1000,"Failed"))</f>
        <v/>
      </c>
      <c r="R627" s="68" t="str">
        <f t="shared" si="9"/>
        <v/>
      </c>
      <c r="S627" s="68" t="str" cm="1">
        <f t="array" ref="S627">IF(TRIM($A627)="","",IFERROR(_xlfn.TEXTJOIN(", ",TRUE,_xlfn.UNIQUE(_xlfn.VSTACK(_xlfn._xlws.FILTER('Card Test Cases'!$G$4:$G$1000,('Card Test Cases'!$B$4:$B$1000=$A627)*('Card Test Cases'!$G$4:$G$1000&lt;&gt;""),""),_xlfn._xlws.FILTER('E2E core flow'!$U$15:$U$1000,('E2E core flow'!$A$15:$A$1000&lt;&gt;"")*ISNUMBER(SEARCH('E2E core flow'!$A$15:$A$1000,$E627))*('E2E core flow'!$U$15:$U$1000&lt;&gt;""),"")))),"-"))</f>
        <v/>
      </c>
    </row>
    <row r="628" spans="7:19" x14ac:dyDescent="0.3">
      <c r="G628" s="68" t="str" cm="1">
        <f t="array" ref="G628">_xlfn.LET(_xlpm.ids,'E2E core flow'!$A$15:$A$1000,_xlpm.v,'E2E core flow'!$W$15:$W$1000,_xlpm.m,(_xlpm.ids&lt;&gt;"")*ISNUMBER(SEARCH(_xlpm.ids,$E628)),_xlpm.f,SUM(_xlpm.m*(_xlpm.v="Failed")),_xlpm.b,SUM(_xlpm.m*(_xlpm.v="Blocked")),_xlpm.nr,SUM(_xlpm.m*(_xlpm.v="Not Run")),_xlpm.cp,SUM(_xlpm.m*(_xlpm.v="Conditionally Passed")),_xlpm.p,SUM(_xlpm.m*(_xlpm.v="Passed")),IF(TRIM($A628)="","",IF(TRIM($E628)="","Pending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28" s="68" t="str">
        <f>IF(TRIM($A628)="","",IF($J628="Passed","",IF($J628="Passed with Known Issue","Known Issue",IF($J628="",IF(OR($H628&lt;&gt;"No",AND($F628&lt;&gt;"Medium",$F628&lt;&gt;"Low")),"Pending Result",""),IF(OR($H628&lt;&gt;"No",AND($F628&lt;&gt;"Medium",$F628&lt;&gt;"Low")),IF(COUNTIFS(Dashboard!$B$105:$B$124,$A628,Dashboard!$I$105:$I$124,"CAB")&gt;0,"Accepted (CF)","Blocking"),IF($J628="Failed","Deferrable","Carry Over"))))))</f>
        <v/>
      </c>
      <c r="M628" s="68" t="str">
        <f>IF(OR(TRIM($A628)="",TRIM($E628)=""),"",IFERROR(INDEX('E2E core flow'!$B$15:$B$1000,MATCH(1,INDEX(('E2E core flow'!$A$15:$A$1000&lt;&gt;"")*ISNUMBER(SEARCH('E2E core flow'!$A$15:$A$1000,$E628)),0),0))&amp;"","-"))</f>
        <v/>
      </c>
      <c r="N628" s="68" t="str">
        <f>IF(TRIM($A628)="","",IF($O628=0,IF(COUNTIFS('Card Test Cases'!$B$4:$B$1000,$A628,'Card Test Cases'!$A$4:$A$1000,"&lt;&gt;")&gt;0,"Out of Scope","No TC"),IF($Q628&gt;0,"Failed",IF(COUNTIFS('Card Test Cases'!$B$4:$B$1000,$A628,'Card Test Cases'!$A$4:$A$1000,"&lt;&gt;",'Card Test Cases'!$F$4:$F$1000,"Blocked")&gt;0,"Blocked",IF($R628&gt;0,"In Progress","Passed")))))</f>
        <v/>
      </c>
      <c r="O628" s="68" t="str">
        <f>IF(TRIM($A628)="","",COUNTIFS('Card Test Cases'!$B$4:$B$1000,$A628,'Card Test Cases'!$A$4:$A$1000,"&lt;&gt;",'Card Test Cases'!$F$4:$F$1000,"&lt;&gt;Out of Scope"))</f>
        <v/>
      </c>
      <c r="P628" s="68" t="str">
        <f>IF(TRIM($A628)="","",COUNTIFS('Card Test Cases'!$B$4:$B$1000,$A628,'Card Test Cases'!$A$4:$A$1000,"&lt;&gt;",'Card Test Cases'!$F$4:$F$1000,"Passed"))</f>
        <v/>
      </c>
      <c r="Q628" s="68" t="str">
        <f>IF(TRIM($A628)="","",COUNTIFS('Card Test Cases'!$B$4:$B$1000,$A628,'Card Test Cases'!$A$4:$A$1000,"&lt;&gt;",'Card Test Cases'!$F$4:$F$1000,"Failed"))</f>
        <v/>
      </c>
      <c r="R628" s="68" t="str">
        <f t="shared" si="9"/>
        <v/>
      </c>
      <c r="S628" s="68" t="str" cm="1">
        <f t="array" ref="S628">IF(TRIM($A628)="","",IFERROR(_xlfn.TEXTJOIN(", ",TRUE,_xlfn.UNIQUE(_xlfn.VSTACK(_xlfn._xlws.FILTER('Card Test Cases'!$G$4:$G$1000,('Card Test Cases'!$B$4:$B$1000=$A628)*('Card Test Cases'!$G$4:$G$1000&lt;&gt;""),""),_xlfn._xlws.FILTER('E2E core flow'!$U$15:$U$1000,('E2E core flow'!$A$15:$A$1000&lt;&gt;"")*ISNUMBER(SEARCH('E2E core flow'!$A$15:$A$1000,$E628))*('E2E core flow'!$U$15:$U$1000&lt;&gt;""),"")))),"-"))</f>
        <v/>
      </c>
    </row>
    <row r="629" spans="7:19" x14ac:dyDescent="0.3">
      <c r="G629" s="68" t="str" cm="1">
        <f t="array" ref="G629">_xlfn.LET(_xlpm.ids,'E2E core flow'!$A$15:$A$1000,_xlpm.v,'E2E core flow'!$W$15:$W$1000,_xlpm.m,(_xlpm.ids&lt;&gt;"")*ISNUMBER(SEARCH(_xlpm.ids,$E629)),_xlpm.f,SUM(_xlpm.m*(_xlpm.v="Failed")),_xlpm.b,SUM(_xlpm.m*(_xlpm.v="Blocked")),_xlpm.nr,SUM(_xlpm.m*(_xlpm.v="Not Run")),_xlpm.cp,SUM(_xlpm.m*(_xlpm.v="Conditionally Passed")),_xlpm.p,SUM(_xlpm.m*(_xlpm.v="Passed")),IF(TRIM($A629)="","",IF(TRIM($E629)="","Pending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29" s="68" t="str">
        <f>IF(TRIM($A629)="","",IF($J629="Passed","",IF($J629="Passed with Known Issue","Known Issue",IF($J629="",IF(OR($H629&lt;&gt;"No",AND($F629&lt;&gt;"Medium",$F629&lt;&gt;"Low")),"Pending Result",""),IF(OR($H629&lt;&gt;"No",AND($F629&lt;&gt;"Medium",$F629&lt;&gt;"Low")),IF(COUNTIFS(Dashboard!$B$105:$B$124,$A629,Dashboard!$I$105:$I$124,"CAB")&gt;0,"Accepted (CF)","Blocking"),IF($J629="Failed","Deferrable","Carry Over"))))))</f>
        <v/>
      </c>
      <c r="M629" s="68" t="str">
        <f>IF(OR(TRIM($A629)="",TRIM($E629)=""),"",IFERROR(INDEX('E2E core flow'!$B$15:$B$1000,MATCH(1,INDEX(('E2E core flow'!$A$15:$A$1000&lt;&gt;"")*ISNUMBER(SEARCH('E2E core flow'!$A$15:$A$1000,$E629)),0),0))&amp;"","-"))</f>
        <v/>
      </c>
      <c r="N629" s="68" t="str">
        <f>IF(TRIM($A629)="","",IF($O629=0,IF(COUNTIFS('Card Test Cases'!$B$4:$B$1000,$A629,'Card Test Cases'!$A$4:$A$1000,"&lt;&gt;")&gt;0,"Out of Scope","No TC"),IF($Q629&gt;0,"Failed",IF(COUNTIFS('Card Test Cases'!$B$4:$B$1000,$A629,'Card Test Cases'!$A$4:$A$1000,"&lt;&gt;",'Card Test Cases'!$F$4:$F$1000,"Blocked")&gt;0,"Blocked",IF($R629&gt;0,"In Progress","Passed")))))</f>
        <v/>
      </c>
      <c r="O629" s="68" t="str">
        <f>IF(TRIM($A629)="","",COUNTIFS('Card Test Cases'!$B$4:$B$1000,$A629,'Card Test Cases'!$A$4:$A$1000,"&lt;&gt;",'Card Test Cases'!$F$4:$F$1000,"&lt;&gt;Out of Scope"))</f>
        <v/>
      </c>
      <c r="P629" s="68" t="str">
        <f>IF(TRIM($A629)="","",COUNTIFS('Card Test Cases'!$B$4:$B$1000,$A629,'Card Test Cases'!$A$4:$A$1000,"&lt;&gt;",'Card Test Cases'!$F$4:$F$1000,"Passed"))</f>
        <v/>
      </c>
      <c r="Q629" s="68" t="str">
        <f>IF(TRIM($A629)="","",COUNTIFS('Card Test Cases'!$B$4:$B$1000,$A629,'Card Test Cases'!$A$4:$A$1000,"&lt;&gt;",'Card Test Cases'!$F$4:$F$1000,"Failed"))</f>
        <v/>
      </c>
      <c r="R629" s="68" t="str">
        <f t="shared" si="9"/>
        <v/>
      </c>
      <c r="S629" s="68" t="str" cm="1">
        <f t="array" ref="S629">IF(TRIM($A629)="","",IFERROR(_xlfn.TEXTJOIN(", ",TRUE,_xlfn.UNIQUE(_xlfn.VSTACK(_xlfn._xlws.FILTER('Card Test Cases'!$G$4:$G$1000,('Card Test Cases'!$B$4:$B$1000=$A629)*('Card Test Cases'!$G$4:$G$1000&lt;&gt;""),""),_xlfn._xlws.FILTER('E2E core flow'!$U$15:$U$1000,('E2E core flow'!$A$15:$A$1000&lt;&gt;"")*ISNUMBER(SEARCH('E2E core flow'!$A$15:$A$1000,$E629))*('E2E core flow'!$U$15:$U$1000&lt;&gt;""),"")))),"-"))</f>
        <v/>
      </c>
    </row>
    <row r="630" spans="7:19" x14ac:dyDescent="0.3">
      <c r="G630" s="68" t="str" cm="1">
        <f t="array" ref="G630">_xlfn.LET(_xlpm.ids,'E2E core flow'!$A$15:$A$1000,_xlpm.v,'E2E core flow'!$W$15:$W$1000,_xlpm.m,(_xlpm.ids&lt;&gt;"")*ISNUMBER(SEARCH(_xlpm.ids,$E630)),_xlpm.f,SUM(_xlpm.m*(_xlpm.v="Failed")),_xlpm.b,SUM(_xlpm.m*(_xlpm.v="Blocked")),_xlpm.nr,SUM(_xlpm.m*(_xlpm.v="Not Run")),_xlpm.cp,SUM(_xlpm.m*(_xlpm.v="Conditionally Passed")),_xlpm.p,SUM(_xlpm.m*(_xlpm.v="Passed")),IF(TRIM($A630)="","",IF(TRIM($E630)="","Pending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30" s="68" t="str">
        <f>IF(TRIM($A630)="","",IF($J630="Passed","",IF($J630="Passed with Known Issue","Known Issue",IF($J630="",IF(OR($H630&lt;&gt;"No",AND($F630&lt;&gt;"Medium",$F630&lt;&gt;"Low")),"Pending Result",""),IF(OR($H630&lt;&gt;"No",AND($F630&lt;&gt;"Medium",$F630&lt;&gt;"Low")),IF(COUNTIFS(Dashboard!$B$105:$B$124,$A630,Dashboard!$I$105:$I$124,"CAB")&gt;0,"Accepted (CF)","Blocking"),IF($J630="Failed","Deferrable","Carry Over"))))))</f>
        <v/>
      </c>
      <c r="M630" s="68" t="str">
        <f>IF(OR(TRIM($A630)="",TRIM($E630)=""),"",IFERROR(INDEX('E2E core flow'!$B$15:$B$1000,MATCH(1,INDEX(('E2E core flow'!$A$15:$A$1000&lt;&gt;"")*ISNUMBER(SEARCH('E2E core flow'!$A$15:$A$1000,$E630)),0),0))&amp;"","-"))</f>
        <v/>
      </c>
      <c r="N630" s="68" t="str">
        <f>IF(TRIM($A630)="","",IF($O630=0,IF(COUNTIFS('Card Test Cases'!$B$4:$B$1000,$A630,'Card Test Cases'!$A$4:$A$1000,"&lt;&gt;")&gt;0,"Out of Scope","No TC"),IF($Q630&gt;0,"Failed",IF(COUNTIFS('Card Test Cases'!$B$4:$B$1000,$A630,'Card Test Cases'!$A$4:$A$1000,"&lt;&gt;",'Card Test Cases'!$F$4:$F$1000,"Blocked")&gt;0,"Blocked",IF($R630&gt;0,"In Progress","Passed")))))</f>
        <v/>
      </c>
      <c r="O630" s="68" t="str">
        <f>IF(TRIM($A630)="","",COUNTIFS('Card Test Cases'!$B$4:$B$1000,$A630,'Card Test Cases'!$A$4:$A$1000,"&lt;&gt;",'Card Test Cases'!$F$4:$F$1000,"&lt;&gt;Out of Scope"))</f>
        <v/>
      </c>
      <c r="P630" s="68" t="str">
        <f>IF(TRIM($A630)="","",COUNTIFS('Card Test Cases'!$B$4:$B$1000,$A630,'Card Test Cases'!$A$4:$A$1000,"&lt;&gt;",'Card Test Cases'!$F$4:$F$1000,"Passed"))</f>
        <v/>
      </c>
      <c r="Q630" s="68" t="str">
        <f>IF(TRIM($A630)="","",COUNTIFS('Card Test Cases'!$B$4:$B$1000,$A630,'Card Test Cases'!$A$4:$A$1000,"&lt;&gt;",'Card Test Cases'!$F$4:$F$1000,"Failed"))</f>
        <v/>
      </c>
      <c r="R630" s="68" t="str">
        <f t="shared" si="9"/>
        <v/>
      </c>
      <c r="S630" s="68" t="str" cm="1">
        <f t="array" ref="S630">IF(TRIM($A630)="","",IFERROR(_xlfn.TEXTJOIN(", ",TRUE,_xlfn.UNIQUE(_xlfn.VSTACK(_xlfn._xlws.FILTER('Card Test Cases'!$G$4:$G$1000,('Card Test Cases'!$B$4:$B$1000=$A630)*('Card Test Cases'!$G$4:$G$1000&lt;&gt;""),""),_xlfn._xlws.FILTER('E2E core flow'!$U$15:$U$1000,('E2E core flow'!$A$15:$A$1000&lt;&gt;"")*ISNUMBER(SEARCH('E2E core flow'!$A$15:$A$1000,$E630))*('E2E core flow'!$U$15:$U$1000&lt;&gt;""),"")))),"-"))</f>
        <v/>
      </c>
    </row>
    <row r="631" spans="7:19" x14ac:dyDescent="0.3">
      <c r="G631" s="68" t="str" cm="1">
        <f t="array" ref="G631">_xlfn.LET(_xlpm.ids,'E2E core flow'!$A$15:$A$1000,_xlpm.v,'E2E core flow'!$W$15:$W$1000,_xlpm.m,(_xlpm.ids&lt;&gt;"")*ISNUMBER(SEARCH(_xlpm.ids,$E631)),_xlpm.f,SUM(_xlpm.m*(_xlpm.v="Failed")),_xlpm.b,SUM(_xlpm.m*(_xlpm.v="Blocked")),_xlpm.nr,SUM(_xlpm.m*(_xlpm.v="Not Run")),_xlpm.cp,SUM(_xlpm.m*(_xlpm.v="Conditionally Passed")),_xlpm.p,SUM(_xlpm.m*(_xlpm.v="Passed")),IF(TRIM($A631)="","",IF(TRIM($E631)="","Pending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31" s="68" t="str">
        <f>IF(TRIM($A631)="","",IF($J631="Passed","",IF($J631="Passed with Known Issue","Known Issue",IF($J631="",IF(OR($H631&lt;&gt;"No",AND($F631&lt;&gt;"Medium",$F631&lt;&gt;"Low")),"Pending Result",""),IF(OR($H631&lt;&gt;"No",AND($F631&lt;&gt;"Medium",$F631&lt;&gt;"Low")),IF(COUNTIFS(Dashboard!$B$105:$B$124,$A631,Dashboard!$I$105:$I$124,"CAB")&gt;0,"Accepted (CF)","Blocking"),IF($J631="Failed","Deferrable","Carry Over"))))))</f>
        <v/>
      </c>
      <c r="M631" s="68" t="str">
        <f>IF(OR(TRIM($A631)="",TRIM($E631)=""),"",IFERROR(INDEX('E2E core flow'!$B$15:$B$1000,MATCH(1,INDEX(('E2E core flow'!$A$15:$A$1000&lt;&gt;"")*ISNUMBER(SEARCH('E2E core flow'!$A$15:$A$1000,$E631)),0),0))&amp;"","-"))</f>
        <v/>
      </c>
      <c r="N631" s="68" t="str">
        <f>IF(TRIM($A631)="","",IF($O631=0,IF(COUNTIFS('Card Test Cases'!$B$4:$B$1000,$A631,'Card Test Cases'!$A$4:$A$1000,"&lt;&gt;")&gt;0,"Out of Scope","No TC"),IF($Q631&gt;0,"Failed",IF(COUNTIFS('Card Test Cases'!$B$4:$B$1000,$A631,'Card Test Cases'!$A$4:$A$1000,"&lt;&gt;",'Card Test Cases'!$F$4:$F$1000,"Blocked")&gt;0,"Blocked",IF($R631&gt;0,"In Progress","Passed")))))</f>
        <v/>
      </c>
      <c r="O631" s="68" t="str">
        <f>IF(TRIM($A631)="","",COUNTIFS('Card Test Cases'!$B$4:$B$1000,$A631,'Card Test Cases'!$A$4:$A$1000,"&lt;&gt;",'Card Test Cases'!$F$4:$F$1000,"&lt;&gt;Out of Scope"))</f>
        <v/>
      </c>
      <c r="P631" s="68" t="str">
        <f>IF(TRIM($A631)="","",COUNTIFS('Card Test Cases'!$B$4:$B$1000,$A631,'Card Test Cases'!$A$4:$A$1000,"&lt;&gt;",'Card Test Cases'!$F$4:$F$1000,"Passed"))</f>
        <v/>
      </c>
      <c r="Q631" s="68" t="str">
        <f>IF(TRIM($A631)="","",COUNTIFS('Card Test Cases'!$B$4:$B$1000,$A631,'Card Test Cases'!$A$4:$A$1000,"&lt;&gt;",'Card Test Cases'!$F$4:$F$1000,"Failed"))</f>
        <v/>
      </c>
      <c r="R631" s="68" t="str">
        <f t="shared" si="9"/>
        <v/>
      </c>
      <c r="S631" s="68" t="str" cm="1">
        <f t="array" ref="S631">IF(TRIM($A631)="","",IFERROR(_xlfn.TEXTJOIN(", ",TRUE,_xlfn.UNIQUE(_xlfn.VSTACK(_xlfn._xlws.FILTER('Card Test Cases'!$G$4:$G$1000,('Card Test Cases'!$B$4:$B$1000=$A631)*('Card Test Cases'!$G$4:$G$1000&lt;&gt;""),""),_xlfn._xlws.FILTER('E2E core flow'!$U$15:$U$1000,('E2E core flow'!$A$15:$A$1000&lt;&gt;"")*ISNUMBER(SEARCH('E2E core flow'!$A$15:$A$1000,$E631))*('E2E core flow'!$U$15:$U$1000&lt;&gt;""),"")))),"-"))</f>
        <v/>
      </c>
    </row>
    <row r="632" spans="7:19" x14ac:dyDescent="0.3">
      <c r="G632" s="68" t="str" cm="1">
        <f t="array" ref="G632">_xlfn.LET(_xlpm.ids,'E2E core flow'!$A$15:$A$1000,_xlpm.v,'E2E core flow'!$W$15:$W$1000,_xlpm.m,(_xlpm.ids&lt;&gt;"")*ISNUMBER(SEARCH(_xlpm.ids,$E632)),_xlpm.f,SUM(_xlpm.m*(_xlpm.v="Failed")),_xlpm.b,SUM(_xlpm.m*(_xlpm.v="Blocked")),_xlpm.nr,SUM(_xlpm.m*(_xlpm.v="Not Run")),_xlpm.cp,SUM(_xlpm.m*(_xlpm.v="Conditionally Passed")),_xlpm.p,SUM(_xlpm.m*(_xlpm.v="Passed")),IF(TRIM($A632)="","",IF(TRIM($E632)="","Pending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32" s="68" t="str">
        <f>IF(TRIM($A632)="","",IF($J632="Passed","",IF($J632="Passed with Known Issue","Known Issue",IF($J632="",IF(OR($H632&lt;&gt;"No",AND($F632&lt;&gt;"Medium",$F632&lt;&gt;"Low")),"Pending Result",""),IF(OR($H632&lt;&gt;"No",AND($F632&lt;&gt;"Medium",$F632&lt;&gt;"Low")),IF(COUNTIFS(Dashboard!$B$105:$B$124,$A632,Dashboard!$I$105:$I$124,"CAB")&gt;0,"Accepted (CF)","Blocking"),IF($J632="Failed","Deferrable","Carry Over"))))))</f>
        <v/>
      </c>
      <c r="M632" s="68" t="str">
        <f>IF(OR(TRIM($A632)="",TRIM($E632)=""),"",IFERROR(INDEX('E2E core flow'!$B$15:$B$1000,MATCH(1,INDEX(('E2E core flow'!$A$15:$A$1000&lt;&gt;"")*ISNUMBER(SEARCH('E2E core flow'!$A$15:$A$1000,$E632)),0),0))&amp;"","-"))</f>
        <v/>
      </c>
      <c r="N632" s="68" t="str">
        <f>IF(TRIM($A632)="","",IF($O632=0,IF(COUNTIFS('Card Test Cases'!$B$4:$B$1000,$A632,'Card Test Cases'!$A$4:$A$1000,"&lt;&gt;")&gt;0,"Out of Scope","No TC"),IF($Q632&gt;0,"Failed",IF(COUNTIFS('Card Test Cases'!$B$4:$B$1000,$A632,'Card Test Cases'!$A$4:$A$1000,"&lt;&gt;",'Card Test Cases'!$F$4:$F$1000,"Blocked")&gt;0,"Blocked",IF($R632&gt;0,"In Progress","Passed")))))</f>
        <v/>
      </c>
      <c r="O632" s="68" t="str">
        <f>IF(TRIM($A632)="","",COUNTIFS('Card Test Cases'!$B$4:$B$1000,$A632,'Card Test Cases'!$A$4:$A$1000,"&lt;&gt;",'Card Test Cases'!$F$4:$F$1000,"&lt;&gt;Out of Scope"))</f>
        <v/>
      </c>
      <c r="P632" s="68" t="str">
        <f>IF(TRIM($A632)="","",COUNTIFS('Card Test Cases'!$B$4:$B$1000,$A632,'Card Test Cases'!$A$4:$A$1000,"&lt;&gt;",'Card Test Cases'!$F$4:$F$1000,"Passed"))</f>
        <v/>
      </c>
      <c r="Q632" s="68" t="str">
        <f>IF(TRIM($A632)="","",COUNTIFS('Card Test Cases'!$B$4:$B$1000,$A632,'Card Test Cases'!$A$4:$A$1000,"&lt;&gt;",'Card Test Cases'!$F$4:$F$1000,"Failed"))</f>
        <v/>
      </c>
      <c r="R632" s="68" t="str">
        <f t="shared" si="9"/>
        <v/>
      </c>
      <c r="S632" s="68" t="str" cm="1">
        <f t="array" ref="S632">IF(TRIM($A632)="","",IFERROR(_xlfn.TEXTJOIN(", ",TRUE,_xlfn.UNIQUE(_xlfn.VSTACK(_xlfn._xlws.FILTER('Card Test Cases'!$G$4:$G$1000,('Card Test Cases'!$B$4:$B$1000=$A632)*('Card Test Cases'!$G$4:$G$1000&lt;&gt;""),""),_xlfn._xlws.FILTER('E2E core flow'!$U$15:$U$1000,('E2E core flow'!$A$15:$A$1000&lt;&gt;"")*ISNUMBER(SEARCH('E2E core flow'!$A$15:$A$1000,$E632))*('E2E core flow'!$U$15:$U$1000&lt;&gt;""),"")))),"-"))</f>
        <v/>
      </c>
    </row>
    <row r="633" spans="7:19" x14ac:dyDescent="0.3">
      <c r="G633" s="68" t="str" cm="1">
        <f t="array" ref="G633">_xlfn.LET(_xlpm.ids,'E2E core flow'!$A$15:$A$1000,_xlpm.v,'E2E core flow'!$W$15:$W$1000,_xlpm.m,(_xlpm.ids&lt;&gt;"")*ISNUMBER(SEARCH(_xlpm.ids,$E633)),_xlpm.f,SUM(_xlpm.m*(_xlpm.v="Failed")),_xlpm.b,SUM(_xlpm.m*(_xlpm.v="Blocked")),_xlpm.nr,SUM(_xlpm.m*(_xlpm.v="Not Run")),_xlpm.cp,SUM(_xlpm.m*(_xlpm.v="Conditionally Passed")),_xlpm.p,SUM(_xlpm.m*(_xlpm.v="Passed")),IF(TRIM($A633)="","",IF(TRIM($E633)="","Pending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33" s="68" t="str">
        <f>IF(TRIM($A633)="","",IF($J633="Passed","",IF($J633="Passed with Known Issue","Known Issue",IF($J633="",IF(OR($H633&lt;&gt;"No",AND($F633&lt;&gt;"Medium",$F633&lt;&gt;"Low")),"Pending Result",""),IF(OR($H633&lt;&gt;"No",AND($F633&lt;&gt;"Medium",$F633&lt;&gt;"Low")),IF(COUNTIFS(Dashboard!$B$105:$B$124,$A633,Dashboard!$I$105:$I$124,"CAB")&gt;0,"Accepted (CF)","Blocking"),IF($J633="Failed","Deferrable","Carry Over"))))))</f>
        <v/>
      </c>
      <c r="M633" s="68" t="str">
        <f>IF(OR(TRIM($A633)="",TRIM($E633)=""),"",IFERROR(INDEX('E2E core flow'!$B$15:$B$1000,MATCH(1,INDEX(('E2E core flow'!$A$15:$A$1000&lt;&gt;"")*ISNUMBER(SEARCH('E2E core flow'!$A$15:$A$1000,$E633)),0),0))&amp;"","-"))</f>
        <v/>
      </c>
      <c r="N633" s="68" t="str">
        <f>IF(TRIM($A633)="","",IF($O633=0,IF(COUNTIFS('Card Test Cases'!$B$4:$B$1000,$A633,'Card Test Cases'!$A$4:$A$1000,"&lt;&gt;")&gt;0,"Out of Scope","No TC"),IF($Q633&gt;0,"Failed",IF(COUNTIFS('Card Test Cases'!$B$4:$B$1000,$A633,'Card Test Cases'!$A$4:$A$1000,"&lt;&gt;",'Card Test Cases'!$F$4:$F$1000,"Blocked")&gt;0,"Blocked",IF($R633&gt;0,"In Progress","Passed")))))</f>
        <v/>
      </c>
      <c r="O633" s="68" t="str">
        <f>IF(TRIM($A633)="","",COUNTIFS('Card Test Cases'!$B$4:$B$1000,$A633,'Card Test Cases'!$A$4:$A$1000,"&lt;&gt;",'Card Test Cases'!$F$4:$F$1000,"&lt;&gt;Out of Scope"))</f>
        <v/>
      </c>
      <c r="P633" s="68" t="str">
        <f>IF(TRIM($A633)="","",COUNTIFS('Card Test Cases'!$B$4:$B$1000,$A633,'Card Test Cases'!$A$4:$A$1000,"&lt;&gt;",'Card Test Cases'!$F$4:$F$1000,"Passed"))</f>
        <v/>
      </c>
      <c r="Q633" s="68" t="str">
        <f>IF(TRIM($A633)="","",COUNTIFS('Card Test Cases'!$B$4:$B$1000,$A633,'Card Test Cases'!$A$4:$A$1000,"&lt;&gt;",'Card Test Cases'!$F$4:$F$1000,"Failed"))</f>
        <v/>
      </c>
      <c r="R633" s="68" t="str">
        <f t="shared" si="9"/>
        <v/>
      </c>
      <c r="S633" s="68" t="str" cm="1">
        <f t="array" ref="S633">IF(TRIM($A633)="","",IFERROR(_xlfn.TEXTJOIN(", ",TRUE,_xlfn.UNIQUE(_xlfn.VSTACK(_xlfn._xlws.FILTER('Card Test Cases'!$G$4:$G$1000,('Card Test Cases'!$B$4:$B$1000=$A633)*('Card Test Cases'!$G$4:$G$1000&lt;&gt;""),""),_xlfn._xlws.FILTER('E2E core flow'!$U$15:$U$1000,('E2E core flow'!$A$15:$A$1000&lt;&gt;"")*ISNUMBER(SEARCH('E2E core flow'!$A$15:$A$1000,$E633))*('E2E core flow'!$U$15:$U$1000&lt;&gt;""),"")))),"-"))</f>
        <v/>
      </c>
    </row>
    <row r="634" spans="7:19" x14ac:dyDescent="0.3">
      <c r="G634" s="68" t="str" cm="1">
        <f t="array" ref="G634">_xlfn.LET(_xlpm.ids,'E2E core flow'!$A$15:$A$1000,_xlpm.v,'E2E core flow'!$W$15:$W$1000,_xlpm.m,(_xlpm.ids&lt;&gt;"")*ISNUMBER(SEARCH(_xlpm.ids,$E634)),_xlpm.f,SUM(_xlpm.m*(_xlpm.v="Failed")),_xlpm.b,SUM(_xlpm.m*(_xlpm.v="Blocked")),_xlpm.nr,SUM(_xlpm.m*(_xlpm.v="Not Run")),_xlpm.cp,SUM(_xlpm.m*(_xlpm.v="Conditionally Passed")),_xlpm.p,SUM(_xlpm.m*(_xlpm.v="Passed")),IF(TRIM($A634)="","",IF(TRIM($E634)="","Pending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34" s="68" t="str">
        <f>IF(TRIM($A634)="","",IF($J634="Passed","",IF($J634="Passed with Known Issue","Known Issue",IF($J634="",IF(OR($H634&lt;&gt;"No",AND($F634&lt;&gt;"Medium",$F634&lt;&gt;"Low")),"Pending Result",""),IF(OR($H634&lt;&gt;"No",AND($F634&lt;&gt;"Medium",$F634&lt;&gt;"Low")),IF(COUNTIFS(Dashboard!$B$105:$B$124,$A634,Dashboard!$I$105:$I$124,"CAB")&gt;0,"Accepted (CF)","Blocking"),IF($J634="Failed","Deferrable","Carry Over"))))))</f>
        <v/>
      </c>
      <c r="M634" s="68" t="str">
        <f>IF(OR(TRIM($A634)="",TRIM($E634)=""),"",IFERROR(INDEX('E2E core flow'!$B$15:$B$1000,MATCH(1,INDEX(('E2E core flow'!$A$15:$A$1000&lt;&gt;"")*ISNUMBER(SEARCH('E2E core flow'!$A$15:$A$1000,$E634)),0),0))&amp;"","-"))</f>
        <v/>
      </c>
      <c r="N634" s="68" t="str">
        <f>IF(TRIM($A634)="","",IF($O634=0,IF(COUNTIFS('Card Test Cases'!$B$4:$B$1000,$A634,'Card Test Cases'!$A$4:$A$1000,"&lt;&gt;")&gt;0,"Out of Scope","No TC"),IF($Q634&gt;0,"Failed",IF(COUNTIFS('Card Test Cases'!$B$4:$B$1000,$A634,'Card Test Cases'!$A$4:$A$1000,"&lt;&gt;",'Card Test Cases'!$F$4:$F$1000,"Blocked")&gt;0,"Blocked",IF($R634&gt;0,"In Progress","Passed")))))</f>
        <v/>
      </c>
      <c r="O634" s="68" t="str">
        <f>IF(TRIM($A634)="","",COUNTIFS('Card Test Cases'!$B$4:$B$1000,$A634,'Card Test Cases'!$A$4:$A$1000,"&lt;&gt;",'Card Test Cases'!$F$4:$F$1000,"&lt;&gt;Out of Scope"))</f>
        <v/>
      </c>
      <c r="P634" s="68" t="str">
        <f>IF(TRIM($A634)="","",COUNTIFS('Card Test Cases'!$B$4:$B$1000,$A634,'Card Test Cases'!$A$4:$A$1000,"&lt;&gt;",'Card Test Cases'!$F$4:$F$1000,"Passed"))</f>
        <v/>
      </c>
      <c r="Q634" s="68" t="str">
        <f>IF(TRIM($A634)="","",COUNTIFS('Card Test Cases'!$B$4:$B$1000,$A634,'Card Test Cases'!$A$4:$A$1000,"&lt;&gt;",'Card Test Cases'!$F$4:$F$1000,"Failed"))</f>
        <v/>
      </c>
      <c r="R634" s="68" t="str">
        <f t="shared" si="9"/>
        <v/>
      </c>
      <c r="S634" s="68" t="str" cm="1">
        <f t="array" ref="S634">IF(TRIM($A634)="","",IFERROR(_xlfn.TEXTJOIN(", ",TRUE,_xlfn.UNIQUE(_xlfn.VSTACK(_xlfn._xlws.FILTER('Card Test Cases'!$G$4:$G$1000,('Card Test Cases'!$B$4:$B$1000=$A634)*('Card Test Cases'!$G$4:$G$1000&lt;&gt;""),""),_xlfn._xlws.FILTER('E2E core flow'!$U$15:$U$1000,('E2E core flow'!$A$15:$A$1000&lt;&gt;"")*ISNUMBER(SEARCH('E2E core flow'!$A$15:$A$1000,$E634))*('E2E core flow'!$U$15:$U$1000&lt;&gt;""),"")))),"-"))</f>
        <v/>
      </c>
    </row>
    <row r="635" spans="7:19" x14ac:dyDescent="0.3">
      <c r="G635" s="68" t="str" cm="1">
        <f t="array" ref="G635">_xlfn.LET(_xlpm.ids,'E2E core flow'!$A$15:$A$1000,_xlpm.v,'E2E core flow'!$W$15:$W$1000,_xlpm.m,(_xlpm.ids&lt;&gt;"")*ISNUMBER(SEARCH(_xlpm.ids,$E635)),_xlpm.f,SUM(_xlpm.m*(_xlpm.v="Failed")),_xlpm.b,SUM(_xlpm.m*(_xlpm.v="Blocked")),_xlpm.nr,SUM(_xlpm.m*(_xlpm.v="Not Run")),_xlpm.cp,SUM(_xlpm.m*(_xlpm.v="Conditionally Passed")),_xlpm.p,SUM(_xlpm.m*(_xlpm.v="Passed")),IF(TRIM($A635)="","",IF(TRIM($E635)="","Pending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35" s="68" t="str">
        <f>IF(TRIM($A635)="","",IF($J635="Passed","",IF($J635="Passed with Known Issue","Known Issue",IF($J635="",IF(OR($H635&lt;&gt;"No",AND($F635&lt;&gt;"Medium",$F635&lt;&gt;"Low")),"Pending Result",""),IF(OR($H635&lt;&gt;"No",AND($F635&lt;&gt;"Medium",$F635&lt;&gt;"Low")),IF(COUNTIFS(Dashboard!$B$105:$B$124,$A635,Dashboard!$I$105:$I$124,"CAB")&gt;0,"Accepted (CF)","Blocking"),IF($J635="Failed","Deferrable","Carry Over"))))))</f>
        <v/>
      </c>
      <c r="M635" s="68" t="str">
        <f>IF(OR(TRIM($A635)="",TRIM($E635)=""),"",IFERROR(INDEX('E2E core flow'!$B$15:$B$1000,MATCH(1,INDEX(('E2E core flow'!$A$15:$A$1000&lt;&gt;"")*ISNUMBER(SEARCH('E2E core flow'!$A$15:$A$1000,$E635)),0),0))&amp;"","-"))</f>
        <v/>
      </c>
      <c r="N635" s="68" t="str">
        <f>IF(TRIM($A635)="","",IF($O635=0,IF(COUNTIFS('Card Test Cases'!$B$4:$B$1000,$A635,'Card Test Cases'!$A$4:$A$1000,"&lt;&gt;")&gt;0,"Out of Scope","No TC"),IF($Q635&gt;0,"Failed",IF(COUNTIFS('Card Test Cases'!$B$4:$B$1000,$A635,'Card Test Cases'!$A$4:$A$1000,"&lt;&gt;",'Card Test Cases'!$F$4:$F$1000,"Blocked")&gt;0,"Blocked",IF($R635&gt;0,"In Progress","Passed")))))</f>
        <v/>
      </c>
      <c r="O635" s="68" t="str">
        <f>IF(TRIM($A635)="","",COUNTIFS('Card Test Cases'!$B$4:$B$1000,$A635,'Card Test Cases'!$A$4:$A$1000,"&lt;&gt;",'Card Test Cases'!$F$4:$F$1000,"&lt;&gt;Out of Scope"))</f>
        <v/>
      </c>
      <c r="P635" s="68" t="str">
        <f>IF(TRIM($A635)="","",COUNTIFS('Card Test Cases'!$B$4:$B$1000,$A635,'Card Test Cases'!$A$4:$A$1000,"&lt;&gt;",'Card Test Cases'!$F$4:$F$1000,"Passed"))</f>
        <v/>
      </c>
      <c r="Q635" s="68" t="str">
        <f>IF(TRIM($A635)="","",COUNTIFS('Card Test Cases'!$B$4:$B$1000,$A635,'Card Test Cases'!$A$4:$A$1000,"&lt;&gt;",'Card Test Cases'!$F$4:$F$1000,"Failed"))</f>
        <v/>
      </c>
      <c r="R635" s="68" t="str">
        <f t="shared" si="9"/>
        <v/>
      </c>
      <c r="S635" s="68" t="str" cm="1">
        <f t="array" ref="S635">IF(TRIM($A635)="","",IFERROR(_xlfn.TEXTJOIN(", ",TRUE,_xlfn.UNIQUE(_xlfn.VSTACK(_xlfn._xlws.FILTER('Card Test Cases'!$G$4:$G$1000,('Card Test Cases'!$B$4:$B$1000=$A635)*('Card Test Cases'!$G$4:$G$1000&lt;&gt;""),""),_xlfn._xlws.FILTER('E2E core flow'!$U$15:$U$1000,('E2E core flow'!$A$15:$A$1000&lt;&gt;"")*ISNUMBER(SEARCH('E2E core flow'!$A$15:$A$1000,$E635))*('E2E core flow'!$U$15:$U$1000&lt;&gt;""),"")))),"-"))</f>
        <v/>
      </c>
    </row>
    <row r="636" spans="7:19" x14ac:dyDescent="0.3">
      <c r="G636" s="68" t="str" cm="1">
        <f t="array" ref="G636">_xlfn.LET(_xlpm.ids,'E2E core flow'!$A$15:$A$1000,_xlpm.v,'E2E core flow'!$W$15:$W$1000,_xlpm.m,(_xlpm.ids&lt;&gt;"")*ISNUMBER(SEARCH(_xlpm.ids,$E636)),_xlpm.f,SUM(_xlpm.m*(_xlpm.v="Failed")),_xlpm.b,SUM(_xlpm.m*(_xlpm.v="Blocked")),_xlpm.nr,SUM(_xlpm.m*(_xlpm.v="Not Run")),_xlpm.cp,SUM(_xlpm.m*(_xlpm.v="Conditionally Passed")),_xlpm.p,SUM(_xlpm.m*(_xlpm.v="Passed")),IF(TRIM($A636)="","",IF(TRIM($E636)="","Pending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36" s="68" t="str">
        <f>IF(TRIM($A636)="","",IF($J636="Passed","",IF($J636="Passed with Known Issue","Known Issue",IF($J636="",IF(OR($H636&lt;&gt;"No",AND($F636&lt;&gt;"Medium",$F636&lt;&gt;"Low")),"Pending Result",""),IF(OR($H636&lt;&gt;"No",AND($F636&lt;&gt;"Medium",$F636&lt;&gt;"Low")),IF(COUNTIFS(Dashboard!$B$105:$B$124,$A636,Dashboard!$I$105:$I$124,"CAB")&gt;0,"Accepted (CF)","Blocking"),IF($J636="Failed","Deferrable","Carry Over"))))))</f>
        <v/>
      </c>
      <c r="M636" s="68" t="str">
        <f>IF(OR(TRIM($A636)="",TRIM($E636)=""),"",IFERROR(INDEX('E2E core flow'!$B$15:$B$1000,MATCH(1,INDEX(('E2E core flow'!$A$15:$A$1000&lt;&gt;"")*ISNUMBER(SEARCH('E2E core flow'!$A$15:$A$1000,$E636)),0),0))&amp;"","-"))</f>
        <v/>
      </c>
      <c r="N636" s="68" t="str">
        <f>IF(TRIM($A636)="","",IF($O636=0,IF(COUNTIFS('Card Test Cases'!$B$4:$B$1000,$A636,'Card Test Cases'!$A$4:$A$1000,"&lt;&gt;")&gt;0,"Out of Scope","No TC"),IF($Q636&gt;0,"Failed",IF(COUNTIFS('Card Test Cases'!$B$4:$B$1000,$A636,'Card Test Cases'!$A$4:$A$1000,"&lt;&gt;",'Card Test Cases'!$F$4:$F$1000,"Blocked")&gt;0,"Blocked",IF($R636&gt;0,"In Progress","Passed")))))</f>
        <v/>
      </c>
      <c r="O636" s="68" t="str">
        <f>IF(TRIM($A636)="","",COUNTIFS('Card Test Cases'!$B$4:$B$1000,$A636,'Card Test Cases'!$A$4:$A$1000,"&lt;&gt;",'Card Test Cases'!$F$4:$F$1000,"&lt;&gt;Out of Scope"))</f>
        <v/>
      </c>
      <c r="P636" s="68" t="str">
        <f>IF(TRIM($A636)="","",COUNTIFS('Card Test Cases'!$B$4:$B$1000,$A636,'Card Test Cases'!$A$4:$A$1000,"&lt;&gt;",'Card Test Cases'!$F$4:$F$1000,"Passed"))</f>
        <v/>
      </c>
      <c r="Q636" s="68" t="str">
        <f>IF(TRIM($A636)="","",COUNTIFS('Card Test Cases'!$B$4:$B$1000,$A636,'Card Test Cases'!$A$4:$A$1000,"&lt;&gt;",'Card Test Cases'!$F$4:$F$1000,"Failed"))</f>
        <v/>
      </c>
      <c r="R636" s="68" t="str">
        <f t="shared" si="9"/>
        <v/>
      </c>
      <c r="S636" s="68" t="str" cm="1">
        <f t="array" ref="S636">IF(TRIM($A636)="","",IFERROR(_xlfn.TEXTJOIN(", ",TRUE,_xlfn.UNIQUE(_xlfn.VSTACK(_xlfn._xlws.FILTER('Card Test Cases'!$G$4:$G$1000,('Card Test Cases'!$B$4:$B$1000=$A636)*('Card Test Cases'!$G$4:$G$1000&lt;&gt;""),""),_xlfn._xlws.FILTER('E2E core flow'!$U$15:$U$1000,('E2E core flow'!$A$15:$A$1000&lt;&gt;"")*ISNUMBER(SEARCH('E2E core flow'!$A$15:$A$1000,$E636))*('E2E core flow'!$U$15:$U$1000&lt;&gt;""),"")))),"-"))</f>
        <v/>
      </c>
    </row>
    <row r="637" spans="7:19" x14ac:dyDescent="0.3">
      <c r="G637" s="68" t="str" cm="1">
        <f t="array" ref="G637">_xlfn.LET(_xlpm.ids,'E2E core flow'!$A$15:$A$1000,_xlpm.v,'E2E core flow'!$W$15:$W$1000,_xlpm.m,(_xlpm.ids&lt;&gt;"")*ISNUMBER(SEARCH(_xlpm.ids,$E637)),_xlpm.f,SUM(_xlpm.m*(_xlpm.v="Failed")),_xlpm.b,SUM(_xlpm.m*(_xlpm.v="Blocked")),_xlpm.nr,SUM(_xlpm.m*(_xlpm.v="Not Run")),_xlpm.cp,SUM(_xlpm.m*(_xlpm.v="Conditionally Passed")),_xlpm.p,SUM(_xlpm.m*(_xlpm.v="Passed")),IF(TRIM($A637)="","",IF(TRIM($E637)="","Pending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37" s="68" t="str">
        <f>IF(TRIM($A637)="","",IF($J637="Passed","",IF($J637="Passed with Known Issue","Known Issue",IF($J637="",IF(OR($H637&lt;&gt;"No",AND($F637&lt;&gt;"Medium",$F637&lt;&gt;"Low")),"Pending Result",""),IF(OR($H637&lt;&gt;"No",AND($F637&lt;&gt;"Medium",$F637&lt;&gt;"Low")),IF(COUNTIFS(Dashboard!$B$105:$B$124,$A637,Dashboard!$I$105:$I$124,"CAB")&gt;0,"Accepted (CF)","Blocking"),IF($J637="Failed","Deferrable","Carry Over"))))))</f>
        <v/>
      </c>
      <c r="M637" s="68" t="str">
        <f>IF(OR(TRIM($A637)="",TRIM($E637)=""),"",IFERROR(INDEX('E2E core flow'!$B$15:$B$1000,MATCH(1,INDEX(('E2E core flow'!$A$15:$A$1000&lt;&gt;"")*ISNUMBER(SEARCH('E2E core flow'!$A$15:$A$1000,$E637)),0),0))&amp;"","-"))</f>
        <v/>
      </c>
      <c r="N637" s="68" t="str">
        <f>IF(TRIM($A637)="","",IF($O637=0,IF(COUNTIFS('Card Test Cases'!$B$4:$B$1000,$A637,'Card Test Cases'!$A$4:$A$1000,"&lt;&gt;")&gt;0,"Out of Scope","No TC"),IF($Q637&gt;0,"Failed",IF(COUNTIFS('Card Test Cases'!$B$4:$B$1000,$A637,'Card Test Cases'!$A$4:$A$1000,"&lt;&gt;",'Card Test Cases'!$F$4:$F$1000,"Blocked")&gt;0,"Blocked",IF($R637&gt;0,"In Progress","Passed")))))</f>
        <v/>
      </c>
      <c r="O637" s="68" t="str">
        <f>IF(TRIM($A637)="","",COUNTIFS('Card Test Cases'!$B$4:$B$1000,$A637,'Card Test Cases'!$A$4:$A$1000,"&lt;&gt;",'Card Test Cases'!$F$4:$F$1000,"&lt;&gt;Out of Scope"))</f>
        <v/>
      </c>
      <c r="P637" s="68" t="str">
        <f>IF(TRIM($A637)="","",COUNTIFS('Card Test Cases'!$B$4:$B$1000,$A637,'Card Test Cases'!$A$4:$A$1000,"&lt;&gt;",'Card Test Cases'!$F$4:$F$1000,"Passed"))</f>
        <v/>
      </c>
      <c r="Q637" s="68" t="str">
        <f>IF(TRIM($A637)="","",COUNTIFS('Card Test Cases'!$B$4:$B$1000,$A637,'Card Test Cases'!$A$4:$A$1000,"&lt;&gt;",'Card Test Cases'!$F$4:$F$1000,"Failed"))</f>
        <v/>
      </c>
      <c r="R637" s="68" t="str">
        <f t="shared" si="9"/>
        <v/>
      </c>
      <c r="S637" s="68" t="str" cm="1">
        <f t="array" ref="S637">IF(TRIM($A637)="","",IFERROR(_xlfn.TEXTJOIN(", ",TRUE,_xlfn.UNIQUE(_xlfn.VSTACK(_xlfn._xlws.FILTER('Card Test Cases'!$G$4:$G$1000,('Card Test Cases'!$B$4:$B$1000=$A637)*('Card Test Cases'!$G$4:$G$1000&lt;&gt;""),""),_xlfn._xlws.FILTER('E2E core flow'!$U$15:$U$1000,('E2E core flow'!$A$15:$A$1000&lt;&gt;"")*ISNUMBER(SEARCH('E2E core flow'!$A$15:$A$1000,$E637))*('E2E core flow'!$U$15:$U$1000&lt;&gt;""),"")))),"-"))</f>
        <v/>
      </c>
    </row>
    <row r="638" spans="7:19" x14ac:dyDescent="0.3">
      <c r="G638" s="68" t="str" cm="1">
        <f t="array" ref="G638">_xlfn.LET(_xlpm.ids,'E2E core flow'!$A$15:$A$1000,_xlpm.v,'E2E core flow'!$W$15:$W$1000,_xlpm.m,(_xlpm.ids&lt;&gt;"")*ISNUMBER(SEARCH(_xlpm.ids,$E638)),_xlpm.f,SUM(_xlpm.m*(_xlpm.v="Failed")),_xlpm.b,SUM(_xlpm.m*(_xlpm.v="Blocked")),_xlpm.nr,SUM(_xlpm.m*(_xlpm.v="Not Run")),_xlpm.cp,SUM(_xlpm.m*(_xlpm.v="Conditionally Passed")),_xlpm.p,SUM(_xlpm.m*(_xlpm.v="Passed")),IF(TRIM($A638)="","",IF(TRIM($E638)="","Pending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38" s="68" t="str">
        <f>IF(TRIM($A638)="","",IF($J638="Passed","",IF($J638="Passed with Known Issue","Known Issue",IF($J638="",IF(OR($H638&lt;&gt;"No",AND($F638&lt;&gt;"Medium",$F638&lt;&gt;"Low")),"Pending Result",""),IF(OR($H638&lt;&gt;"No",AND($F638&lt;&gt;"Medium",$F638&lt;&gt;"Low")),IF(COUNTIFS(Dashboard!$B$105:$B$124,$A638,Dashboard!$I$105:$I$124,"CAB")&gt;0,"Accepted (CF)","Blocking"),IF($J638="Failed","Deferrable","Carry Over"))))))</f>
        <v/>
      </c>
      <c r="M638" s="68" t="str">
        <f>IF(OR(TRIM($A638)="",TRIM($E638)=""),"",IFERROR(INDEX('E2E core flow'!$B$15:$B$1000,MATCH(1,INDEX(('E2E core flow'!$A$15:$A$1000&lt;&gt;"")*ISNUMBER(SEARCH('E2E core flow'!$A$15:$A$1000,$E638)),0),0))&amp;"","-"))</f>
        <v/>
      </c>
      <c r="N638" s="68" t="str">
        <f>IF(TRIM($A638)="","",IF($O638=0,IF(COUNTIFS('Card Test Cases'!$B$4:$B$1000,$A638,'Card Test Cases'!$A$4:$A$1000,"&lt;&gt;")&gt;0,"Out of Scope","No TC"),IF($Q638&gt;0,"Failed",IF(COUNTIFS('Card Test Cases'!$B$4:$B$1000,$A638,'Card Test Cases'!$A$4:$A$1000,"&lt;&gt;",'Card Test Cases'!$F$4:$F$1000,"Blocked")&gt;0,"Blocked",IF($R638&gt;0,"In Progress","Passed")))))</f>
        <v/>
      </c>
      <c r="O638" s="68" t="str">
        <f>IF(TRIM($A638)="","",COUNTIFS('Card Test Cases'!$B$4:$B$1000,$A638,'Card Test Cases'!$A$4:$A$1000,"&lt;&gt;",'Card Test Cases'!$F$4:$F$1000,"&lt;&gt;Out of Scope"))</f>
        <v/>
      </c>
      <c r="P638" s="68" t="str">
        <f>IF(TRIM($A638)="","",COUNTIFS('Card Test Cases'!$B$4:$B$1000,$A638,'Card Test Cases'!$A$4:$A$1000,"&lt;&gt;",'Card Test Cases'!$F$4:$F$1000,"Passed"))</f>
        <v/>
      </c>
      <c r="Q638" s="68" t="str">
        <f>IF(TRIM($A638)="","",COUNTIFS('Card Test Cases'!$B$4:$B$1000,$A638,'Card Test Cases'!$A$4:$A$1000,"&lt;&gt;",'Card Test Cases'!$F$4:$F$1000,"Failed"))</f>
        <v/>
      </c>
      <c r="R638" s="68" t="str">
        <f t="shared" si="9"/>
        <v/>
      </c>
      <c r="S638" s="68" t="str" cm="1">
        <f t="array" ref="S638">IF(TRIM($A638)="","",IFERROR(_xlfn.TEXTJOIN(", ",TRUE,_xlfn.UNIQUE(_xlfn.VSTACK(_xlfn._xlws.FILTER('Card Test Cases'!$G$4:$G$1000,('Card Test Cases'!$B$4:$B$1000=$A638)*('Card Test Cases'!$G$4:$G$1000&lt;&gt;""),""),_xlfn._xlws.FILTER('E2E core flow'!$U$15:$U$1000,('E2E core flow'!$A$15:$A$1000&lt;&gt;"")*ISNUMBER(SEARCH('E2E core flow'!$A$15:$A$1000,$E638))*('E2E core flow'!$U$15:$U$1000&lt;&gt;""),"")))),"-"))</f>
        <v/>
      </c>
    </row>
    <row r="639" spans="7:19" x14ac:dyDescent="0.3">
      <c r="G639" s="68" t="str" cm="1">
        <f t="array" ref="G639">_xlfn.LET(_xlpm.ids,'E2E core flow'!$A$15:$A$1000,_xlpm.v,'E2E core flow'!$W$15:$W$1000,_xlpm.m,(_xlpm.ids&lt;&gt;"")*ISNUMBER(SEARCH(_xlpm.ids,$E639)),_xlpm.f,SUM(_xlpm.m*(_xlpm.v="Failed")),_xlpm.b,SUM(_xlpm.m*(_xlpm.v="Blocked")),_xlpm.nr,SUM(_xlpm.m*(_xlpm.v="Not Run")),_xlpm.cp,SUM(_xlpm.m*(_xlpm.v="Conditionally Passed")),_xlpm.p,SUM(_xlpm.m*(_xlpm.v="Passed")),IF(TRIM($A639)="","",IF(TRIM($E639)="","Pending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39" s="68" t="str">
        <f>IF(TRIM($A639)="","",IF($J639="Passed","",IF($J639="Passed with Known Issue","Known Issue",IF($J639="",IF(OR($H639&lt;&gt;"No",AND($F639&lt;&gt;"Medium",$F639&lt;&gt;"Low")),"Pending Result",""),IF(OR($H639&lt;&gt;"No",AND($F639&lt;&gt;"Medium",$F639&lt;&gt;"Low")),IF(COUNTIFS(Dashboard!$B$105:$B$124,$A639,Dashboard!$I$105:$I$124,"CAB")&gt;0,"Accepted (CF)","Blocking"),IF($J639="Failed","Deferrable","Carry Over"))))))</f>
        <v/>
      </c>
      <c r="M639" s="68" t="str">
        <f>IF(OR(TRIM($A639)="",TRIM($E639)=""),"",IFERROR(INDEX('E2E core flow'!$B$15:$B$1000,MATCH(1,INDEX(('E2E core flow'!$A$15:$A$1000&lt;&gt;"")*ISNUMBER(SEARCH('E2E core flow'!$A$15:$A$1000,$E639)),0),0))&amp;"","-"))</f>
        <v/>
      </c>
      <c r="N639" s="68" t="str">
        <f>IF(TRIM($A639)="","",IF($O639=0,IF(COUNTIFS('Card Test Cases'!$B$4:$B$1000,$A639,'Card Test Cases'!$A$4:$A$1000,"&lt;&gt;")&gt;0,"Out of Scope","No TC"),IF($Q639&gt;0,"Failed",IF(COUNTIFS('Card Test Cases'!$B$4:$B$1000,$A639,'Card Test Cases'!$A$4:$A$1000,"&lt;&gt;",'Card Test Cases'!$F$4:$F$1000,"Blocked")&gt;0,"Blocked",IF($R639&gt;0,"In Progress","Passed")))))</f>
        <v/>
      </c>
      <c r="O639" s="68" t="str">
        <f>IF(TRIM($A639)="","",COUNTIFS('Card Test Cases'!$B$4:$B$1000,$A639,'Card Test Cases'!$A$4:$A$1000,"&lt;&gt;",'Card Test Cases'!$F$4:$F$1000,"&lt;&gt;Out of Scope"))</f>
        <v/>
      </c>
      <c r="P639" s="68" t="str">
        <f>IF(TRIM($A639)="","",COUNTIFS('Card Test Cases'!$B$4:$B$1000,$A639,'Card Test Cases'!$A$4:$A$1000,"&lt;&gt;",'Card Test Cases'!$F$4:$F$1000,"Passed"))</f>
        <v/>
      </c>
      <c r="Q639" s="68" t="str">
        <f>IF(TRIM($A639)="","",COUNTIFS('Card Test Cases'!$B$4:$B$1000,$A639,'Card Test Cases'!$A$4:$A$1000,"&lt;&gt;",'Card Test Cases'!$F$4:$F$1000,"Failed"))</f>
        <v/>
      </c>
      <c r="R639" s="68" t="str">
        <f t="shared" si="9"/>
        <v/>
      </c>
      <c r="S639" s="68" t="str" cm="1">
        <f t="array" ref="S639">IF(TRIM($A639)="","",IFERROR(_xlfn.TEXTJOIN(", ",TRUE,_xlfn.UNIQUE(_xlfn.VSTACK(_xlfn._xlws.FILTER('Card Test Cases'!$G$4:$G$1000,('Card Test Cases'!$B$4:$B$1000=$A639)*('Card Test Cases'!$G$4:$G$1000&lt;&gt;""),""),_xlfn._xlws.FILTER('E2E core flow'!$U$15:$U$1000,('E2E core flow'!$A$15:$A$1000&lt;&gt;"")*ISNUMBER(SEARCH('E2E core flow'!$A$15:$A$1000,$E639))*('E2E core flow'!$U$15:$U$1000&lt;&gt;""),"")))),"-"))</f>
        <v/>
      </c>
    </row>
    <row r="640" spans="7:19" x14ac:dyDescent="0.3">
      <c r="G640" s="68" t="str" cm="1">
        <f t="array" ref="G640">_xlfn.LET(_xlpm.ids,'E2E core flow'!$A$15:$A$1000,_xlpm.v,'E2E core flow'!$W$15:$W$1000,_xlpm.m,(_xlpm.ids&lt;&gt;"")*ISNUMBER(SEARCH(_xlpm.ids,$E640)),_xlpm.f,SUM(_xlpm.m*(_xlpm.v="Failed")),_xlpm.b,SUM(_xlpm.m*(_xlpm.v="Blocked")),_xlpm.nr,SUM(_xlpm.m*(_xlpm.v="Not Run")),_xlpm.cp,SUM(_xlpm.m*(_xlpm.v="Conditionally Passed")),_xlpm.p,SUM(_xlpm.m*(_xlpm.v="Passed")),IF(TRIM($A640)="","",IF(TRIM($E640)="","Pending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40" s="68" t="str">
        <f>IF(TRIM($A640)="","",IF($J640="Passed","",IF($J640="Passed with Known Issue","Known Issue",IF($J640="",IF(OR($H640&lt;&gt;"No",AND($F640&lt;&gt;"Medium",$F640&lt;&gt;"Low")),"Pending Result",""),IF(OR($H640&lt;&gt;"No",AND($F640&lt;&gt;"Medium",$F640&lt;&gt;"Low")),IF(COUNTIFS(Dashboard!$B$105:$B$124,$A640,Dashboard!$I$105:$I$124,"CAB")&gt;0,"Accepted (CF)","Blocking"),IF($J640="Failed","Deferrable","Carry Over"))))))</f>
        <v/>
      </c>
      <c r="M640" s="68" t="str">
        <f>IF(OR(TRIM($A640)="",TRIM($E640)=""),"",IFERROR(INDEX('E2E core flow'!$B$15:$B$1000,MATCH(1,INDEX(('E2E core flow'!$A$15:$A$1000&lt;&gt;"")*ISNUMBER(SEARCH('E2E core flow'!$A$15:$A$1000,$E640)),0),0))&amp;"","-"))</f>
        <v/>
      </c>
      <c r="N640" s="68" t="str">
        <f>IF(TRIM($A640)="","",IF($O640=0,IF(COUNTIFS('Card Test Cases'!$B$4:$B$1000,$A640,'Card Test Cases'!$A$4:$A$1000,"&lt;&gt;")&gt;0,"Out of Scope","No TC"),IF($Q640&gt;0,"Failed",IF(COUNTIFS('Card Test Cases'!$B$4:$B$1000,$A640,'Card Test Cases'!$A$4:$A$1000,"&lt;&gt;",'Card Test Cases'!$F$4:$F$1000,"Blocked")&gt;0,"Blocked",IF($R640&gt;0,"In Progress","Passed")))))</f>
        <v/>
      </c>
      <c r="O640" s="68" t="str">
        <f>IF(TRIM($A640)="","",COUNTIFS('Card Test Cases'!$B$4:$B$1000,$A640,'Card Test Cases'!$A$4:$A$1000,"&lt;&gt;",'Card Test Cases'!$F$4:$F$1000,"&lt;&gt;Out of Scope"))</f>
        <v/>
      </c>
      <c r="P640" s="68" t="str">
        <f>IF(TRIM($A640)="","",COUNTIFS('Card Test Cases'!$B$4:$B$1000,$A640,'Card Test Cases'!$A$4:$A$1000,"&lt;&gt;",'Card Test Cases'!$F$4:$F$1000,"Passed"))</f>
        <v/>
      </c>
      <c r="Q640" s="68" t="str">
        <f>IF(TRIM($A640)="","",COUNTIFS('Card Test Cases'!$B$4:$B$1000,$A640,'Card Test Cases'!$A$4:$A$1000,"&lt;&gt;",'Card Test Cases'!$F$4:$F$1000,"Failed"))</f>
        <v/>
      </c>
      <c r="R640" s="68" t="str">
        <f t="shared" si="9"/>
        <v/>
      </c>
      <c r="S640" s="68" t="str" cm="1">
        <f t="array" ref="S640">IF(TRIM($A640)="","",IFERROR(_xlfn.TEXTJOIN(", ",TRUE,_xlfn.UNIQUE(_xlfn.VSTACK(_xlfn._xlws.FILTER('Card Test Cases'!$G$4:$G$1000,('Card Test Cases'!$B$4:$B$1000=$A640)*('Card Test Cases'!$G$4:$G$1000&lt;&gt;""),""),_xlfn._xlws.FILTER('E2E core flow'!$U$15:$U$1000,('E2E core flow'!$A$15:$A$1000&lt;&gt;"")*ISNUMBER(SEARCH('E2E core flow'!$A$15:$A$1000,$E640))*('E2E core flow'!$U$15:$U$1000&lt;&gt;""),"")))),"-"))</f>
        <v/>
      </c>
    </row>
    <row r="641" spans="7:19" x14ac:dyDescent="0.3">
      <c r="G641" s="68" t="str" cm="1">
        <f t="array" ref="G641">_xlfn.LET(_xlpm.ids,'E2E core flow'!$A$15:$A$1000,_xlpm.v,'E2E core flow'!$W$15:$W$1000,_xlpm.m,(_xlpm.ids&lt;&gt;"")*ISNUMBER(SEARCH(_xlpm.ids,$E641)),_xlpm.f,SUM(_xlpm.m*(_xlpm.v="Failed")),_xlpm.b,SUM(_xlpm.m*(_xlpm.v="Blocked")),_xlpm.nr,SUM(_xlpm.m*(_xlpm.v="Not Run")),_xlpm.cp,SUM(_xlpm.m*(_xlpm.v="Conditionally Passed")),_xlpm.p,SUM(_xlpm.m*(_xlpm.v="Passed")),IF(TRIM($A641)="","",IF(TRIM($E641)="","Pending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41" s="68" t="str">
        <f>IF(TRIM($A641)="","",IF($J641="Passed","",IF($J641="Passed with Known Issue","Known Issue",IF($J641="",IF(OR($H641&lt;&gt;"No",AND($F641&lt;&gt;"Medium",$F641&lt;&gt;"Low")),"Pending Result",""),IF(OR($H641&lt;&gt;"No",AND($F641&lt;&gt;"Medium",$F641&lt;&gt;"Low")),IF(COUNTIFS(Dashboard!$B$105:$B$124,$A641,Dashboard!$I$105:$I$124,"CAB")&gt;0,"Accepted (CF)","Blocking"),IF($J641="Failed","Deferrable","Carry Over"))))))</f>
        <v/>
      </c>
      <c r="M641" s="68" t="str">
        <f>IF(OR(TRIM($A641)="",TRIM($E641)=""),"",IFERROR(INDEX('E2E core flow'!$B$15:$B$1000,MATCH(1,INDEX(('E2E core flow'!$A$15:$A$1000&lt;&gt;"")*ISNUMBER(SEARCH('E2E core flow'!$A$15:$A$1000,$E641)),0),0))&amp;"","-"))</f>
        <v/>
      </c>
      <c r="N641" s="68" t="str">
        <f>IF(TRIM($A641)="","",IF($O641=0,IF(COUNTIFS('Card Test Cases'!$B$4:$B$1000,$A641,'Card Test Cases'!$A$4:$A$1000,"&lt;&gt;")&gt;0,"Out of Scope","No TC"),IF($Q641&gt;0,"Failed",IF(COUNTIFS('Card Test Cases'!$B$4:$B$1000,$A641,'Card Test Cases'!$A$4:$A$1000,"&lt;&gt;",'Card Test Cases'!$F$4:$F$1000,"Blocked")&gt;0,"Blocked",IF($R641&gt;0,"In Progress","Passed")))))</f>
        <v/>
      </c>
      <c r="O641" s="68" t="str">
        <f>IF(TRIM($A641)="","",COUNTIFS('Card Test Cases'!$B$4:$B$1000,$A641,'Card Test Cases'!$A$4:$A$1000,"&lt;&gt;",'Card Test Cases'!$F$4:$F$1000,"&lt;&gt;Out of Scope"))</f>
        <v/>
      </c>
      <c r="P641" s="68" t="str">
        <f>IF(TRIM($A641)="","",COUNTIFS('Card Test Cases'!$B$4:$B$1000,$A641,'Card Test Cases'!$A$4:$A$1000,"&lt;&gt;",'Card Test Cases'!$F$4:$F$1000,"Passed"))</f>
        <v/>
      </c>
      <c r="Q641" s="68" t="str">
        <f>IF(TRIM($A641)="","",COUNTIFS('Card Test Cases'!$B$4:$B$1000,$A641,'Card Test Cases'!$A$4:$A$1000,"&lt;&gt;",'Card Test Cases'!$F$4:$F$1000,"Failed"))</f>
        <v/>
      </c>
      <c r="R641" s="68" t="str">
        <f t="shared" si="9"/>
        <v/>
      </c>
      <c r="S641" s="68" t="str" cm="1">
        <f t="array" ref="S641">IF(TRIM($A641)="","",IFERROR(_xlfn.TEXTJOIN(", ",TRUE,_xlfn.UNIQUE(_xlfn.VSTACK(_xlfn._xlws.FILTER('Card Test Cases'!$G$4:$G$1000,('Card Test Cases'!$B$4:$B$1000=$A641)*('Card Test Cases'!$G$4:$G$1000&lt;&gt;""),""),_xlfn._xlws.FILTER('E2E core flow'!$U$15:$U$1000,('E2E core flow'!$A$15:$A$1000&lt;&gt;"")*ISNUMBER(SEARCH('E2E core flow'!$A$15:$A$1000,$E641))*('E2E core flow'!$U$15:$U$1000&lt;&gt;""),"")))),"-"))</f>
        <v/>
      </c>
    </row>
    <row r="642" spans="7:19" x14ac:dyDescent="0.3">
      <c r="G642" s="68" t="str" cm="1">
        <f t="array" ref="G642">_xlfn.LET(_xlpm.ids,'E2E core flow'!$A$15:$A$1000,_xlpm.v,'E2E core flow'!$W$15:$W$1000,_xlpm.m,(_xlpm.ids&lt;&gt;"")*ISNUMBER(SEARCH(_xlpm.ids,$E642)),_xlpm.f,SUM(_xlpm.m*(_xlpm.v="Failed")),_xlpm.b,SUM(_xlpm.m*(_xlpm.v="Blocked")),_xlpm.nr,SUM(_xlpm.m*(_xlpm.v="Not Run")),_xlpm.cp,SUM(_xlpm.m*(_xlpm.v="Conditionally Passed")),_xlpm.p,SUM(_xlpm.m*(_xlpm.v="Passed")),IF(TRIM($A642)="","",IF(TRIM($E642)="","Pending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42" s="68" t="str">
        <f>IF(TRIM($A642)="","",IF($J642="Passed","",IF($J642="Passed with Known Issue","Known Issue",IF($J642="",IF(OR($H642&lt;&gt;"No",AND($F642&lt;&gt;"Medium",$F642&lt;&gt;"Low")),"Pending Result",""),IF(OR($H642&lt;&gt;"No",AND($F642&lt;&gt;"Medium",$F642&lt;&gt;"Low")),IF(COUNTIFS(Dashboard!$B$105:$B$124,$A642,Dashboard!$I$105:$I$124,"CAB")&gt;0,"Accepted (CF)","Blocking"),IF($J642="Failed","Deferrable","Carry Over"))))))</f>
        <v/>
      </c>
      <c r="M642" s="68" t="str">
        <f>IF(OR(TRIM($A642)="",TRIM($E642)=""),"",IFERROR(INDEX('E2E core flow'!$B$15:$B$1000,MATCH(1,INDEX(('E2E core flow'!$A$15:$A$1000&lt;&gt;"")*ISNUMBER(SEARCH('E2E core flow'!$A$15:$A$1000,$E642)),0),0))&amp;"","-"))</f>
        <v/>
      </c>
      <c r="N642" s="68" t="str">
        <f>IF(TRIM($A642)="","",IF($O642=0,IF(COUNTIFS('Card Test Cases'!$B$4:$B$1000,$A642,'Card Test Cases'!$A$4:$A$1000,"&lt;&gt;")&gt;0,"Out of Scope","No TC"),IF($Q642&gt;0,"Failed",IF(COUNTIFS('Card Test Cases'!$B$4:$B$1000,$A642,'Card Test Cases'!$A$4:$A$1000,"&lt;&gt;",'Card Test Cases'!$F$4:$F$1000,"Blocked")&gt;0,"Blocked",IF($R642&gt;0,"In Progress","Passed")))))</f>
        <v/>
      </c>
      <c r="O642" s="68" t="str">
        <f>IF(TRIM($A642)="","",COUNTIFS('Card Test Cases'!$B$4:$B$1000,$A642,'Card Test Cases'!$A$4:$A$1000,"&lt;&gt;",'Card Test Cases'!$F$4:$F$1000,"&lt;&gt;Out of Scope"))</f>
        <v/>
      </c>
      <c r="P642" s="68" t="str">
        <f>IF(TRIM($A642)="","",COUNTIFS('Card Test Cases'!$B$4:$B$1000,$A642,'Card Test Cases'!$A$4:$A$1000,"&lt;&gt;",'Card Test Cases'!$F$4:$F$1000,"Passed"))</f>
        <v/>
      </c>
      <c r="Q642" s="68" t="str">
        <f>IF(TRIM($A642)="","",COUNTIFS('Card Test Cases'!$B$4:$B$1000,$A642,'Card Test Cases'!$A$4:$A$1000,"&lt;&gt;",'Card Test Cases'!$F$4:$F$1000,"Failed"))</f>
        <v/>
      </c>
      <c r="R642" s="68" t="str">
        <f t="shared" si="9"/>
        <v/>
      </c>
      <c r="S642" s="68" t="str" cm="1">
        <f t="array" ref="S642">IF(TRIM($A642)="","",IFERROR(_xlfn.TEXTJOIN(", ",TRUE,_xlfn.UNIQUE(_xlfn.VSTACK(_xlfn._xlws.FILTER('Card Test Cases'!$G$4:$G$1000,('Card Test Cases'!$B$4:$B$1000=$A642)*('Card Test Cases'!$G$4:$G$1000&lt;&gt;""),""),_xlfn._xlws.FILTER('E2E core flow'!$U$15:$U$1000,('E2E core flow'!$A$15:$A$1000&lt;&gt;"")*ISNUMBER(SEARCH('E2E core flow'!$A$15:$A$1000,$E642))*('E2E core flow'!$U$15:$U$1000&lt;&gt;""),"")))),"-"))</f>
        <v/>
      </c>
    </row>
    <row r="643" spans="7:19" x14ac:dyDescent="0.3">
      <c r="G643" s="68" t="str" cm="1">
        <f t="array" ref="G643">_xlfn.LET(_xlpm.ids,'E2E core flow'!$A$15:$A$1000,_xlpm.v,'E2E core flow'!$W$15:$W$1000,_xlpm.m,(_xlpm.ids&lt;&gt;"")*ISNUMBER(SEARCH(_xlpm.ids,$E643)),_xlpm.f,SUM(_xlpm.m*(_xlpm.v="Failed")),_xlpm.b,SUM(_xlpm.m*(_xlpm.v="Blocked")),_xlpm.nr,SUM(_xlpm.m*(_xlpm.v="Not Run")),_xlpm.cp,SUM(_xlpm.m*(_xlpm.v="Conditionally Passed")),_xlpm.p,SUM(_xlpm.m*(_xlpm.v="Passed")),IF(TRIM($A643)="","",IF(TRIM($E643)="","Pending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43" s="68" t="str">
        <f>IF(TRIM($A643)="","",IF($J643="Passed","",IF($J643="Passed with Known Issue","Known Issue",IF($J643="",IF(OR($H643&lt;&gt;"No",AND($F643&lt;&gt;"Medium",$F643&lt;&gt;"Low")),"Pending Result",""),IF(OR($H643&lt;&gt;"No",AND($F643&lt;&gt;"Medium",$F643&lt;&gt;"Low")),IF(COUNTIFS(Dashboard!$B$105:$B$124,$A643,Dashboard!$I$105:$I$124,"CAB")&gt;0,"Accepted (CF)","Blocking"),IF($J643="Failed","Deferrable","Carry Over"))))))</f>
        <v/>
      </c>
      <c r="M643" s="68" t="str">
        <f>IF(OR(TRIM($A643)="",TRIM($E643)=""),"",IFERROR(INDEX('E2E core flow'!$B$15:$B$1000,MATCH(1,INDEX(('E2E core flow'!$A$15:$A$1000&lt;&gt;"")*ISNUMBER(SEARCH('E2E core flow'!$A$15:$A$1000,$E643)),0),0))&amp;"","-"))</f>
        <v/>
      </c>
      <c r="N643" s="68" t="str">
        <f>IF(TRIM($A643)="","",IF($O643=0,IF(COUNTIFS('Card Test Cases'!$B$4:$B$1000,$A643,'Card Test Cases'!$A$4:$A$1000,"&lt;&gt;")&gt;0,"Out of Scope","No TC"),IF($Q643&gt;0,"Failed",IF(COUNTIFS('Card Test Cases'!$B$4:$B$1000,$A643,'Card Test Cases'!$A$4:$A$1000,"&lt;&gt;",'Card Test Cases'!$F$4:$F$1000,"Blocked")&gt;0,"Blocked",IF($R643&gt;0,"In Progress","Passed")))))</f>
        <v/>
      </c>
      <c r="O643" s="68" t="str">
        <f>IF(TRIM($A643)="","",COUNTIFS('Card Test Cases'!$B$4:$B$1000,$A643,'Card Test Cases'!$A$4:$A$1000,"&lt;&gt;",'Card Test Cases'!$F$4:$F$1000,"&lt;&gt;Out of Scope"))</f>
        <v/>
      </c>
      <c r="P643" s="68" t="str">
        <f>IF(TRIM($A643)="","",COUNTIFS('Card Test Cases'!$B$4:$B$1000,$A643,'Card Test Cases'!$A$4:$A$1000,"&lt;&gt;",'Card Test Cases'!$F$4:$F$1000,"Passed"))</f>
        <v/>
      </c>
      <c r="Q643" s="68" t="str">
        <f>IF(TRIM($A643)="","",COUNTIFS('Card Test Cases'!$B$4:$B$1000,$A643,'Card Test Cases'!$A$4:$A$1000,"&lt;&gt;",'Card Test Cases'!$F$4:$F$1000,"Failed"))</f>
        <v/>
      </c>
      <c r="R643" s="68" t="str">
        <f t="shared" si="9"/>
        <v/>
      </c>
      <c r="S643" s="68" t="str" cm="1">
        <f t="array" ref="S643">IF(TRIM($A643)="","",IFERROR(_xlfn.TEXTJOIN(", ",TRUE,_xlfn.UNIQUE(_xlfn.VSTACK(_xlfn._xlws.FILTER('Card Test Cases'!$G$4:$G$1000,('Card Test Cases'!$B$4:$B$1000=$A643)*('Card Test Cases'!$G$4:$G$1000&lt;&gt;""),""),_xlfn._xlws.FILTER('E2E core flow'!$U$15:$U$1000,('E2E core flow'!$A$15:$A$1000&lt;&gt;"")*ISNUMBER(SEARCH('E2E core flow'!$A$15:$A$1000,$E643))*('E2E core flow'!$U$15:$U$1000&lt;&gt;""),"")))),"-"))</f>
        <v/>
      </c>
    </row>
    <row r="644" spans="7:19" x14ac:dyDescent="0.3">
      <c r="G644" s="68" t="str" cm="1">
        <f t="array" ref="G644">_xlfn.LET(_xlpm.ids,'E2E core flow'!$A$15:$A$1000,_xlpm.v,'E2E core flow'!$W$15:$W$1000,_xlpm.m,(_xlpm.ids&lt;&gt;"")*ISNUMBER(SEARCH(_xlpm.ids,$E644)),_xlpm.f,SUM(_xlpm.m*(_xlpm.v="Failed")),_xlpm.b,SUM(_xlpm.m*(_xlpm.v="Blocked")),_xlpm.nr,SUM(_xlpm.m*(_xlpm.v="Not Run")),_xlpm.cp,SUM(_xlpm.m*(_xlpm.v="Conditionally Passed")),_xlpm.p,SUM(_xlpm.m*(_xlpm.v="Passed")),IF(TRIM($A644)="","",IF(TRIM($E644)="","Pending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44" s="68" t="str">
        <f>IF(TRIM($A644)="","",IF($J644="Passed","",IF($J644="Passed with Known Issue","Known Issue",IF($J644="",IF(OR($H644&lt;&gt;"No",AND($F644&lt;&gt;"Medium",$F644&lt;&gt;"Low")),"Pending Result",""),IF(OR($H644&lt;&gt;"No",AND($F644&lt;&gt;"Medium",$F644&lt;&gt;"Low")),IF(COUNTIFS(Dashboard!$B$105:$B$124,$A644,Dashboard!$I$105:$I$124,"CAB")&gt;0,"Accepted (CF)","Blocking"),IF($J644="Failed","Deferrable","Carry Over"))))))</f>
        <v/>
      </c>
      <c r="M644" s="68" t="str">
        <f>IF(OR(TRIM($A644)="",TRIM($E644)=""),"",IFERROR(INDEX('E2E core flow'!$B$15:$B$1000,MATCH(1,INDEX(('E2E core flow'!$A$15:$A$1000&lt;&gt;"")*ISNUMBER(SEARCH('E2E core flow'!$A$15:$A$1000,$E644)),0),0))&amp;"","-"))</f>
        <v/>
      </c>
      <c r="N644" s="68" t="str">
        <f>IF(TRIM($A644)="","",IF($O644=0,IF(COUNTIFS('Card Test Cases'!$B$4:$B$1000,$A644,'Card Test Cases'!$A$4:$A$1000,"&lt;&gt;")&gt;0,"Out of Scope","No TC"),IF($Q644&gt;0,"Failed",IF(COUNTIFS('Card Test Cases'!$B$4:$B$1000,$A644,'Card Test Cases'!$A$4:$A$1000,"&lt;&gt;",'Card Test Cases'!$F$4:$F$1000,"Blocked")&gt;0,"Blocked",IF($R644&gt;0,"In Progress","Passed")))))</f>
        <v/>
      </c>
      <c r="O644" s="68" t="str">
        <f>IF(TRIM($A644)="","",COUNTIFS('Card Test Cases'!$B$4:$B$1000,$A644,'Card Test Cases'!$A$4:$A$1000,"&lt;&gt;",'Card Test Cases'!$F$4:$F$1000,"&lt;&gt;Out of Scope"))</f>
        <v/>
      </c>
      <c r="P644" s="68" t="str">
        <f>IF(TRIM($A644)="","",COUNTIFS('Card Test Cases'!$B$4:$B$1000,$A644,'Card Test Cases'!$A$4:$A$1000,"&lt;&gt;",'Card Test Cases'!$F$4:$F$1000,"Passed"))</f>
        <v/>
      </c>
      <c r="Q644" s="68" t="str">
        <f>IF(TRIM($A644)="","",COUNTIFS('Card Test Cases'!$B$4:$B$1000,$A644,'Card Test Cases'!$A$4:$A$1000,"&lt;&gt;",'Card Test Cases'!$F$4:$F$1000,"Failed"))</f>
        <v/>
      </c>
      <c r="R644" s="68" t="str">
        <f t="shared" ref="R644:R707" si="10">IF(TRIM($A644)="","",$O644-$P644-$Q644)</f>
        <v/>
      </c>
      <c r="S644" s="68" t="str" cm="1">
        <f t="array" ref="S644">IF(TRIM($A644)="","",IFERROR(_xlfn.TEXTJOIN(", ",TRUE,_xlfn.UNIQUE(_xlfn.VSTACK(_xlfn._xlws.FILTER('Card Test Cases'!$G$4:$G$1000,('Card Test Cases'!$B$4:$B$1000=$A644)*('Card Test Cases'!$G$4:$G$1000&lt;&gt;""),""),_xlfn._xlws.FILTER('E2E core flow'!$U$15:$U$1000,('E2E core flow'!$A$15:$A$1000&lt;&gt;"")*ISNUMBER(SEARCH('E2E core flow'!$A$15:$A$1000,$E644))*('E2E core flow'!$U$15:$U$1000&lt;&gt;""),"")))),"-"))</f>
        <v/>
      </c>
    </row>
    <row r="645" spans="7:19" x14ac:dyDescent="0.3">
      <c r="G645" s="68" t="str" cm="1">
        <f t="array" ref="G645">_xlfn.LET(_xlpm.ids,'E2E core flow'!$A$15:$A$1000,_xlpm.v,'E2E core flow'!$W$15:$W$1000,_xlpm.m,(_xlpm.ids&lt;&gt;"")*ISNUMBER(SEARCH(_xlpm.ids,$E645)),_xlpm.f,SUM(_xlpm.m*(_xlpm.v="Failed")),_xlpm.b,SUM(_xlpm.m*(_xlpm.v="Blocked")),_xlpm.nr,SUM(_xlpm.m*(_xlpm.v="Not Run")),_xlpm.cp,SUM(_xlpm.m*(_xlpm.v="Conditionally Passed")),_xlpm.p,SUM(_xlpm.m*(_xlpm.v="Passed")),IF(TRIM($A645)="","",IF(TRIM($E645)="","Pending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45" s="68" t="str">
        <f>IF(TRIM($A645)="","",IF($J645="Passed","",IF($J645="Passed with Known Issue","Known Issue",IF($J645="",IF(OR($H645&lt;&gt;"No",AND($F645&lt;&gt;"Medium",$F645&lt;&gt;"Low")),"Pending Result",""),IF(OR($H645&lt;&gt;"No",AND($F645&lt;&gt;"Medium",$F645&lt;&gt;"Low")),IF(COUNTIFS(Dashboard!$B$105:$B$124,$A645,Dashboard!$I$105:$I$124,"CAB")&gt;0,"Accepted (CF)","Blocking"),IF($J645="Failed","Deferrable","Carry Over"))))))</f>
        <v/>
      </c>
      <c r="M645" s="68" t="str">
        <f>IF(OR(TRIM($A645)="",TRIM($E645)=""),"",IFERROR(INDEX('E2E core flow'!$B$15:$B$1000,MATCH(1,INDEX(('E2E core flow'!$A$15:$A$1000&lt;&gt;"")*ISNUMBER(SEARCH('E2E core flow'!$A$15:$A$1000,$E645)),0),0))&amp;"","-"))</f>
        <v/>
      </c>
      <c r="N645" s="68" t="str">
        <f>IF(TRIM($A645)="","",IF($O645=0,IF(COUNTIFS('Card Test Cases'!$B$4:$B$1000,$A645,'Card Test Cases'!$A$4:$A$1000,"&lt;&gt;")&gt;0,"Out of Scope","No TC"),IF($Q645&gt;0,"Failed",IF(COUNTIFS('Card Test Cases'!$B$4:$B$1000,$A645,'Card Test Cases'!$A$4:$A$1000,"&lt;&gt;",'Card Test Cases'!$F$4:$F$1000,"Blocked")&gt;0,"Blocked",IF($R645&gt;0,"In Progress","Passed")))))</f>
        <v/>
      </c>
      <c r="O645" s="68" t="str">
        <f>IF(TRIM($A645)="","",COUNTIFS('Card Test Cases'!$B$4:$B$1000,$A645,'Card Test Cases'!$A$4:$A$1000,"&lt;&gt;",'Card Test Cases'!$F$4:$F$1000,"&lt;&gt;Out of Scope"))</f>
        <v/>
      </c>
      <c r="P645" s="68" t="str">
        <f>IF(TRIM($A645)="","",COUNTIFS('Card Test Cases'!$B$4:$B$1000,$A645,'Card Test Cases'!$A$4:$A$1000,"&lt;&gt;",'Card Test Cases'!$F$4:$F$1000,"Passed"))</f>
        <v/>
      </c>
      <c r="Q645" s="68" t="str">
        <f>IF(TRIM($A645)="","",COUNTIFS('Card Test Cases'!$B$4:$B$1000,$A645,'Card Test Cases'!$A$4:$A$1000,"&lt;&gt;",'Card Test Cases'!$F$4:$F$1000,"Failed"))</f>
        <v/>
      </c>
      <c r="R645" s="68" t="str">
        <f t="shared" si="10"/>
        <v/>
      </c>
      <c r="S645" s="68" t="str" cm="1">
        <f t="array" ref="S645">IF(TRIM($A645)="","",IFERROR(_xlfn.TEXTJOIN(", ",TRUE,_xlfn.UNIQUE(_xlfn.VSTACK(_xlfn._xlws.FILTER('Card Test Cases'!$G$4:$G$1000,('Card Test Cases'!$B$4:$B$1000=$A645)*('Card Test Cases'!$G$4:$G$1000&lt;&gt;""),""),_xlfn._xlws.FILTER('E2E core flow'!$U$15:$U$1000,('E2E core flow'!$A$15:$A$1000&lt;&gt;"")*ISNUMBER(SEARCH('E2E core flow'!$A$15:$A$1000,$E645))*('E2E core flow'!$U$15:$U$1000&lt;&gt;""),"")))),"-"))</f>
        <v/>
      </c>
    </row>
    <row r="646" spans="7:19" x14ac:dyDescent="0.3">
      <c r="G646" s="68" t="str" cm="1">
        <f t="array" ref="G646">_xlfn.LET(_xlpm.ids,'E2E core flow'!$A$15:$A$1000,_xlpm.v,'E2E core flow'!$W$15:$W$1000,_xlpm.m,(_xlpm.ids&lt;&gt;"")*ISNUMBER(SEARCH(_xlpm.ids,$E646)),_xlpm.f,SUM(_xlpm.m*(_xlpm.v="Failed")),_xlpm.b,SUM(_xlpm.m*(_xlpm.v="Blocked")),_xlpm.nr,SUM(_xlpm.m*(_xlpm.v="Not Run")),_xlpm.cp,SUM(_xlpm.m*(_xlpm.v="Conditionally Passed")),_xlpm.p,SUM(_xlpm.m*(_xlpm.v="Passed")),IF(TRIM($A646)="","",IF(TRIM($E646)="","Pending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46" s="68" t="str">
        <f>IF(TRIM($A646)="","",IF($J646="Passed","",IF($J646="Passed with Known Issue","Known Issue",IF($J646="",IF(OR($H646&lt;&gt;"No",AND($F646&lt;&gt;"Medium",$F646&lt;&gt;"Low")),"Pending Result",""),IF(OR($H646&lt;&gt;"No",AND($F646&lt;&gt;"Medium",$F646&lt;&gt;"Low")),IF(COUNTIFS(Dashboard!$B$105:$B$124,$A646,Dashboard!$I$105:$I$124,"CAB")&gt;0,"Accepted (CF)","Blocking"),IF($J646="Failed","Deferrable","Carry Over"))))))</f>
        <v/>
      </c>
      <c r="M646" s="68" t="str">
        <f>IF(OR(TRIM($A646)="",TRIM($E646)=""),"",IFERROR(INDEX('E2E core flow'!$B$15:$B$1000,MATCH(1,INDEX(('E2E core flow'!$A$15:$A$1000&lt;&gt;"")*ISNUMBER(SEARCH('E2E core flow'!$A$15:$A$1000,$E646)),0),0))&amp;"","-"))</f>
        <v/>
      </c>
      <c r="N646" s="68" t="str">
        <f>IF(TRIM($A646)="","",IF($O646=0,IF(COUNTIFS('Card Test Cases'!$B$4:$B$1000,$A646,'Card Test Cases'!$A$4:$A$1000,"&lt;&gt;")&gt;0,"Out of Scope","No TC"),IF($Q646&gt;0,"Failed",IF(COUNTIFS('Card Test Cases'!$B$4:$B$1000,$A646,'Card Test Cases'!$A$4:$A$1000,"&lt;&gt;",'Card Test Cases'!$F$4:$F$1000,"Blocked")&gt;0,"Blocked",IF($R646&gt;0,"In Progress","Passed")))))</f>
        <v/>
      </c>
      <c r="O646" s="68" t="str">
        <f>IF(TRIM($A646)="","",COUNTIFS('Card Test Cases'!$B$4:$B$1000,$A646,'Card Test Cases'!$A$4:$A$1000,"&lt;&gt;",'Card Test Cases'!$F$4:$F$1000,"&lt;&gt;Out of Scope"))</f>
        <v/>
      </c>
      <c r="P646" s="68" t="str">
        <f>IF(TRIM($A646)="","",COUNTIFS('Card Test Cases'!$B$4:$B$1000,$A646,'Card Test Cases'!$A$4:$A$1000,"&lt;&gt;",'Card Test Cases'!$F$4:$F$1000,"Passed"))</f>
        <v/>
      </c>
      <c r="Q646" s="68" t="str">
        <f>IF(TRIM($A646)="","",COUNTIFS('Card Test Cases'!$B$4:$B$1000,$A646,'Card Test Cases'!$A$4:$A$1000,"&lt;&gt;",'Card Test Cases'!$F$4:$F$1000,"Failed"))</f>
        <v/>
      </c>
      <c r="R646" s="68" t="str">
        <f t="shared" si="10"/>
        <v/>
      </c>
      <c r="S646" s="68" t="str" cm="1">
        <f t="array" ref="S646">IF(TRIM($A646)="","",IFERROR(_xlfn.TEXTJOIN(", ",TRUE,_xlfn.UNIQUE(_xlfn.VSTACK(_xlfn._xlws.FILTER('Card Test Cases'!$G$4:$G$1000,('Card Test Cases'!$B$4:$B$1000=$A646)*('Card Test Cases'!$G$4:$G$1000&lt;&gt;""),""),_xlfn._xlws.FILTER('E2E core flow'!$U$15:$U$1000,('E2E core flow'!$A$15:$A$1000&lt;&gt;"")*ISNUMBER(SEARCH('E2E core flow'!$A$15:$A$1000,$E646))*('E2E core flow'!$U$15:$U$1000&lt;&gt;""),"")))),"-"))</f>
        <v/>
      </c>
    </row>
    <row r="647" spans="7:19" x14ac:dyDescent="0.3">
      <c r="G647" s="68" t="str" cm="1">
        <f t="array" ref="G647">_xlfn.LET(_xlpm.ids,'E2E core flow'!$A$15:$A$1000,_xlpm.v,'E2E core flow'!$W$15:$W$1000,_xlpm.m,(_xlpm.ids&lt;&gt;"")*ISNUMBER(SEARCH(_xlpm.ids,$E647)),_xlpm.f,SUM(_xlpm.m*(_xlpm.v="Failed")),_xlpm.b,SUM(_xlpm.m*(_xlpm.v="Blocked")),_xlpm.nr,SUM(_xlpm.m*(_xlpm.v="Not Run")),_xlpm.cp,SUM(_xlpm.m*(_xlpm.v="Conditionally Passed")),_xlpm.p,SUM(_xlpm.m*(_xlpm.v="Passed")),IF(TRIM($A647)="","",IF(TRIM($E647)="","Pending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47" s="68" t="str">
        <f>IF(TRIM($A647)="","",IF($J647="Passed","",IF($J647="Passed with Known Issue","Known Issue",IF($J647="",IF(OR($H647&lt;&gt;"No",AND($F647&lt;&gt;"Medium",$F647&lt;&gt;"Low")),"Pending Result",""),IF(OR($H647&lt;&gt;"No",AND($F647&lt;&gt;"Medium",$F647&lt;&gt;"Low")),IF(COUNTIFS(Dashboard!$B$105:$B$124,$A647,Dashboard!$I$105:$I$124,"CAB")&gt;0,"Accepted (CF)","Blocking"),IF($J647="Failed","Deferrable","Carry Over"))))))</f>
        <v/>
      </c>
      <c r="M647" s="68" t="str">
        <f>IF(OR(TRIM($A647)="",TRIM($E647)=""),"",IFERROR(INDEX('E2E core flow'!$B$15:$B$1000,MATCH(1,INDEX(('E2E core flow'!$A$15:$A$1000&lt;&gt;"")*ISNUMBER(SEARCH('E2E core flow'!$A$15:$A$1000,$E647)),0),0))&amp;"","-"))</f>
        <v/>
      </c>
      <c r="N647" s="68" t="str">
        <f>IF(TRIM($A647)="","",IF($O647=0,IF(COUNTIFS('Card Test Cases'!$B$4:$B$1000,$A647,'Card Test Cases'!$A$4:$A$1000,"&lt;&gt;")&gt;0,"Out of Scope","No TC"),IF($Q647&gt;0,"Failed",IF(COUNTIFS('Card Test Cases'!$B$4:$B$1000,$A647,'Card Test Cases'!$A$4:$A$1000,"&lt;&gt;",'Card Test Cases'!$F$4:$F$1000,"Blocked")&gt;0,"Blocked",IF($R647&gt;0,"In Progress","Passed")))))</f>
        <v/>
      </c>
      <c r="O647" s="68" t="str">
        <f>IF(TRIM($A647)="","",COUNTIFS('Card Test Cases'!$B$4:$B$1000,$A647,'Card Test Cases'!$A$4:$A$1000,"&lt;&gt;",'Card Test Cases'!$F$4:$F$1000,"&lt;&gt;Out of Scope"))</f>
        <v/>
      </c>
      <c r="P647" s="68" t="str">
        <f>IF(TRIM($A647)="","",COUNTIFS('Card Test Cases'!$B$4:$B$1000,$A647,'Card Test Cases'!$A$4:$A$1000,"&lt;&gt;",'Card Test Cases'!$F$4:$F$1000,"Passed"))</f>
        <v/>
      </c>
      <c r="Q647" s="68" t="str">
        <f>IF(TRIM($A647)="","",COUNTIFS('Card Test Cases'!$B$4:$B$1000,$A647,'Card Test Cases'!$A$4:$A$1000,"&lt;&gt;",'Card Test Cases'!$F$4:$F$1000,"Failed"))</f>
        <v/>
      </c>
      <c r="R647" s="68" t="str">
        <f t="shared" si="10"/>
        <v/>
      </c>
      <c r="S647" s="68" t="str" cm="1">
        <f t="array" ref="S647">IF(TRIM($A647)="","",IFERROR(_xlfn.TEXTJOIN(", ",TRUE,_xlfn.UNIQUE(_xlfn.VSTACK(_xlfn._xlws.FILTER('Card Test Cases'!$G$4:$G$1000,('Card Test Cases'!$B$4:$B$1000=$A647)*('Card Test Cases'!$G$4:$G$1000&lt;&gt;""),""),_xlfn._xlws.FILTER('E2E core flow'!$U$15:$U$1000,('E2E core flow'!$A$15:$A$1000&lt;&gt;"")*ISNUMBER(SEARCH('E2E core flow'!$A$15:$A$1000,$E647))*('E2E core flow'!$U$15:$U$1000&lt;&gt;""),"")))),"-"))</f>
        <v/>
      </c>
    </row>
    <row r="648" spans="7:19" x14ac:dyDescent="0.3">
      <c r="G648" s="68" t="str" cm="1">
        <f t="array" ref="G648">_xlfn.LET(_xlpm.ids,'E2E core flow'!$A$15:$A$1000,_xlpm.v,'E2E core flow'!$W$15:$W$1000,_xlpm.m,(_xlpm.ids&lt;&gt;"")*ISNUMBER(SEARCH(_xlpm.ids,$E648)),_xlpm.f,SUM(_xlpm.m*(_xlpm.v="Failed")),_xlpm.b,SUM(_xlpm.m*(_xlpm.v="Blocked")),_xlpm.nr,SUM(_xlpm.m*(_xlpm.v="Not Run")),_xlpm.cp,SUM(_xlpm.m*(_xlpm.v="Conditionally Passed")),_xlpm.p,SUM(_xlpm.m*(_xlpm.v="Passed")),IF(TRIM($A648)="","",IF(TRIM($E648)="","Pending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48" s="68" t="str">
        <f>IF(TRIM($A648)="","",IF($J648="Passed","",IF($J648="Passed with Known Issue","Known Issue",IF($J648="",IF(OR($H648&lt;&gt;"No",AND($F648&lt;&gt;"Medium",$F648&lt;&gt;"Low")),"Pending Result",""),IF(OR($H648&lt;&gt;"No",AND($F648&lt;&gt;"Medium",$F648&lt;&gt;"Low")),IF(COUNTIFS(Dashboard!$B$105:$B$124,$A648,Dashboard!$I$105:$I$124,"CAB")&gt;0,"Accepted (CF)","Blocking"),IF($J648="Failed","Deferrable","Carry Over"))))))</f>
        <v/>
      </c>
      <c r="M648" s="68" t="str">
        <f>IF(OR(TRIM($A648)="",TRIM($E648)=""),"",IFERROR(INDEX('E2E core flow'!$B$15:$B$1000,MATCH(1,INDEX(('E2E core flow'!$A$15:$A$1000&lt;&gt;"")*ISNUMBER(SEARCH('E2E core flow'!$A$15:$A$1000,$E648)),0),0))&amp;"","-"))</f>
        <v/>
      </c>
      <c r="N648" s="68" t="str">
        <f>IF(TRIM($A648)="","",IF($O648=0,IF(COUNTIFS('Card Test Cases'!$B$4:$B$1000,$A648,'Card Test Cases'!$A$4:$A$1000,"&lt;&gt;")&gt;0,"Out of Scope","No TC"),IF($Q648&gt;0,"Failed",IF(COUNTIFS('Card Test Cases'!$B$4:$B$1000,$A648,'Card Test Cases'!$A$4:$A$1000,"&lt;&gt;",'Card Test Cases'!$F$4:$F$1000,"Blocked")&gt;0,"Blocked",IF($R648&gt;0,"In Progress","Passed")))))</f>
        <v/>
      </c>
      <c r="O648" s="68" t="str">
        <f>IF(TRIM($A648)="","",COUNTIFS('Card Test Cases'!$B$4:$B$1000,$A648,'Card Test Cases'!$A$4:$A$1000,"&lt;&gt;",'Card Test Cases'!$F$4:$F$1000,"&lt;&gt;Out of Scope"))</f>
        <v/>
      </c>
      <c r="P648" s="68" t="str">
        <f>IF(TRIM($A648)="","",COUNTIFS('Card Test Cases'!$B$4:$B$1000,$A648,'Card Test Cases'!$A$4:$A$1000,"&lt;&gt;",'Card Test Cases'!$F$4:$F$1000,"Passed"))</f>
        <v/>
      </c>
      <c r="Q648" s="68" t="str">
        <f>IF(TRIM($A648)="","",COUNTIFS('Card Test Cases'!$B$4:$B$1000,$A648,'Card Test Cases'!$A$4:$A$1000,"&lt;&gt;",'Card Test Cases'!$F$4:$F$1000,"Failed"))</f>
        <v/>
      </c>
      <c r="R648" s="68" t="str">
        <f t="shared" si="10"/>
        <v/>
      </c>
      <c r="S648" s="68" t="str" cm="1">
        <f t="array" ref="S648">IF(TRIM($A648)="","",IFERROR(_xlfn.TEXTJOIN(", ",TRUE,_xlfn.UNIQUE(_xlfn.VSTACK(_xlfn._xlws.FILTER('Card Test Cases'!$G$4:$G$1000,('Card Test Cases'!$B$4:$B$1000=$A648)*('Card Test Cases'!$G$4:$G$1000&lt;&gt;""),""),_xlfn._xlws.FILTER('E2E core flow'!$U$15:$U$1000,('E2E core flow'!$A$15:$A$1000&lt;&gt;"")*ISNUMBER(SEARCH('E2E core flow'!$A$15:$A$1000,$E648))*('E2E core flow'!$U$15:$U$1000&lt;&gt;""),"")))),"-"))</f>
        <v/>
      </c>
    </row>
    <row r="649" spans="7:19" x14ac:dyDescent="0.3">
      <c r="G649" s="68" t="str" cm="1">
        <f t="array" ref="G649">_xlfn.LET(_xlpm.ids,'E2E core flow'!$A$15:$A$1000,_xlpm.v,'E2E core flow'!$W$15:$W$1000,_xlpm.m,(_xlpm.ids&lt;&gt;"")*ISNUMBER(SEARCH(_xlpm.ids,$E649)),_xlpm.f,SUM(_xlpm.m*(_xlpm.v="Failed")),_xlpm.b,SUM(_xlpm.m*(_xlpm.v="Blocked")),_xlpm.nr,SUM(_xlpm.m*(_xlpm.v="Not Run")),_xlpm.cp,SUM(_xlpm.m*(_xlpm.v="Conditionally Passed")),_xlpm.p,SUM(_xlpm.m*(_xlpm.v="Passed")),IF(TRIM($A649)="","",IF(TRIM($E649)="","Pending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49" s="68" t="str">
        <f>IF(TRIM($A649)="","",IF($J649="Passed","",IF($J649="Passed with Known Issue","Known Issue",IF($J649="",IF(OR($H649&lt;&gt;"No",AND($F649&lt;&gt;"Medium",$F649&lt;&gt;"Low")),"Pending Result",""),IF(OR($H649&lt;&gt;"No",AND($F649&lt;&gt;"Medium",$F649&lt;&gt;"Low")),IF(COUNTIFS(Dashboard!$B$105:$B$124,$A649,Dashboard!$I$105:$I$124,"CAB")&gt;0,"Accepted (CF)","Blocking"),IF($J649="Failed","Deferrable","Carry Over"))))))</f>
        <v/>
      </c>
      <c r="M649" s="68" t="str">
        <f>IF(OR(TRIM($A649)="",TRIM($E649)=""),"",IFERROR(INDEX('E2E core flow'!$B$15:$B$1000,MATCH(1,INDEX(('E2E core flow'!$A$15:$A$1000&lt;&gt;"")*ISNUMBER(SEARCH('E2E core flow'!$A$15:$A$1000,$E649)),0),0))&amp;"","-"))</f>
        <v/>
      </c>
      <c r="N649" s="68" t="str">
        <f>IF(TRIM($A649)="","",IF($O649=0,IF(COUNTIFS('Card Test Cases'!$B$4:$B$1000,$A649,'Card Test Cases'!$A$4:$A$1000,"&lt;&gt;")&gt;0,"Out of Scope","No TC"),IF($Q649&gt;0,"Failed",IF(COUNTIFS('Card Test Cases'!$B$4:$B$1000,$A649,'Card Test Cases'!$A$4:$A$1000,"&lt;&gt;",'Card Test Cases'!$F$4:$F$1000,"Blocked")&gt;0,"Blocked",IF($R649&gt;0,"In Progress","Passed")))))</f>
        <v/>
      </c>
      <c r="O649" s="68" t="str">
        <f>IF(TRIM($A649)="","",COUNTIFS('Card Test Cases'!$B$4:$B$1000,$A649,'Card Test Cases'!$A$4:$A$1000,"&lt;&gt;",'Card Test Cases'!$F$4:$F$1000,"&lt;&gt;Out of Scope"))</f>
        <v/>
      </c>
      <c r="P649" s="68" t="str">
        <f>IF(TRIM($A649)="","",COUNTIFS('Card Test Cases'!$B$4:$B$1000,$A649,'Card Test Cases'!$A$4:$A$1000,"&lt;&gt;",'Card Test Cases'!$F$4:$F$1000,"Passed"))</f>
        <v/>
      </c>
      <c r="Q649" s="68" t="str">
        <f>IF(TRIM($A649)="","",COUNTIFS('Card Test Cases'!$B$4:$B$1000,$A649,'Card Test Cases'!$A$4:$A$1000,"&lt;&gt;",'Card Test Cases'!$F$4:$F$1000,"Failed"))</f>
        <v/>
      </c>
      <c r="R649" s="68" t="str">
        <f t="shared" si="10"/>
        <v/>
      </c>
      <c r="S649" s="68" t="str" cm="1">
        <f t="array" ref="S649">IF(TRIM($A649)="","",IFERROR(_xlfn.TEXTJOIN(", ",TRUE,_xlfn.UNIQUE(_xlfn.VSTACK(_xlfn._xlws.FILTER('Card Test Cases'!$G$4:$G$1000,('Card Test Cases'!$B$4:$B$1000=$A649)*('Card Test Cases'!$G$4:$G$1000&lt;&gt;""),""),_xlfn._xlws.FILTER('E2E core flow'!$U$15:$U$1000,('E2E core flow'!$A$15:$A$1000&lt;&gt;"")*ISNUMBER(SEARCH('E2E core flow'!$A$15:$A$1000,$E649))*('E2E core flow'!$U$15:$U$1000&lt;&gt;""),"")))),"-"))</f>
        <v/>
      </c>
    </row>
    <row r="650" spans="7:19" x14ac:dyDescent="0.3">
      <c r="G650" s="68" t="str" cm="1">
        <f t="array" ref="G650">_xlfn.LET(_xlpm.ids,'E2E core flow'!$A$15:$A$1000,_xlpm.v,'E2E core flow'!$W$15:$W$1000,_xlpm.m,(_xlpm.ids&lt;&gt;"")*ISNUMBER(SEARCH(_xlpm.ids,$E650)),_xlpm.f,SUM(_xlpm.m*(_xlpm.v="Failed")),_xlpm.b,SUM(_xlpm.m*(_xlpm.v="Blocked")),_xlpm.nr,SUM(_xlpm.m*(_xlpm.v="Not Run")),_xlpm.cp,SUM(_xlpm.m*(_xlpm.v="Conditionally Passed")),_xlpm.p,SUM(_xlpm.m*(_xlpm.v="Passed")),IF(TRIM($A650)="","",IF(TRIM($E650)="","Pending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50" s="68" t="str">
        <f>IF(TRIM($A650)="","",IF($J650="Passed","",IF($J650="Passed with Known Issue","Known Issue",IF($J650="",IF(OR($H650&lt;&gt;"No",AND($F650&lt;&gt;"Medium",$F650&lt;&gt;"Low")),"Pending Result",""),IF(OR($H650&lt;&gt;"No",AND($F650&lt;&gt;"Medium",$F650&lt;&gt;"Low")),IF(COUNTIFS(Dashboard!$B$105:$B$124,$A650,Dashboard!$I$105:$I$124,"CAB")&gt;0,"Accepted (CF)","Blocking"),IF($J650="Failed","Deferrable","Carry Over"))))))</f>
        <v/>
      </c>
      <c r="M650" s="68" t="str">
        <f>IF(OR(TRIM($A650)="",TRIM($E650)=""),"",IFERROR(INDEX('E2E core flow'!$B$15:$B$1000,MATCH(1,INDEX(('E2E core flow'!$A$15:$A$1000&lt;&gt;"")*ISNUMBER(SEARCH('E2E core flow'!$A$15:$A$1000,$E650)),0),0))&amp;"","-"))</f>
        <v/>
      </c>
      <c r="N650" s="68" t="str">
        <f>IF(TRIM($A650)="","",IF($O650=0,IF(COUNTIFS('Card Test Cases'!$B$4:$B$1000,$A650,'Card Test Cases'!$A$4:$A$1000,"&lt;&gt;")&gt;0,"Out of Scope","No TC"),IF($Q650&gt;0,"Failed",IF(COUNTIFS('Card Test Cases'!$B$4:$B$1000,$A650,'Card Test Cases'!$A$4:$A$1000,"&lt;&gt;",'Card Test Cases'!$F$4:$F$1000,"Blocked")&gt;0,"Blocked",IF($R650&gt;0,"In Progress","Passed")))))</f>
        <v/>
      </c>
      <c r="O650" s="68" t="str">
        <f>IF(TRIM($A650)="","",COUNTIFS('Card Test Cases'!$B$4:$B$1000,$A650,'Card Test Cases'!$A$4:$A$1000,"&lt;&gt;",'Card Test Cases'!$F$4:$F$1000,"&lt;&gt;Out of Scope"))</f>
        <v/>
      </c>
      <c r="P650" s="68" t="str">
        <f>IF(TRIM($A650)="","",COUNTIFS('Card Test Cases'!$B$4:$B$1000,$A650,'Card Test Cases'!$A$4:$A$1000,"&lt;&gt;",'Card Test Cases'!$F$4:$F$1000,"Passed"))</f>
        <v/>
      </c>
      <c r="Q650" s="68" t="str">
        <f>IF(TRIM($A650)="","",COUNTIFS('Card Test Cases'!$B$4:$B$1000,$A650,'Card Test Cases'!$A$4:$A$1000,"&lt;&gt;",'Card Test Cases'!$F$4:$F$1000,"Failed"))</f>
        <v/>
      </c>
      <c r="R650" s="68" t="str">
        <f t="shared" si="10"/>
        <v/>
      </c>
      <c r="S650" s="68" t="str" cm="1">
        <f t="array" ref="S650">IF(TRIM($A650)="","",IFERROR(_xlfn.TEXTJOIN(", ",TRUE,_xlfn.UNIQUE(_xlfn.VSTACK(_xlfn._xlws.FILTER('Card Test Cases'!$G$4:$G$1000,('Card Test Cases'!$B$4:$B$1000=$A650)*('Card Test Cases'!$G$4:$G$1000&lt;&gt;""),""),_xlfn._xlws.FILTER('E2E core flow'!$U$15:$U$1000,('E2E core flow'!$A$15:$A$1000&lt;&gt;"")*ISNUMBER(SEARCH('E2E core flow'!$A$15:$A$1000,$E650))*('E2E core flow'!$U$15:$U$1000&lt;&gt;""),"")))),"-"))</f>
        <v/>
      </c>
    </row>
    <row r="651" spans="7:19" x14ac:dyDescent="0.3">
      <c r="G651" s="68" t="str" cm="1">
        <f t="array" ref="G651">_xlfn.LET(_xlpm.ids,'E2E core flow'!$A$15:$A$1000,_xlpm.v,'E2E core flow'!$W$15:$W$1000,_xlpm.m,(_xlpm.ids&lt;&gt;"")*ISNUMBER(SEARCH(_xlpm.ids,$E651)),_xlpm.f,SUM(_xlpm.m*(_xlpm.v="Failed")),_xlpm.b,SUM(_xlpm.m*(_xlpm.v="Blocked")),_xlpm.nr,SUM(_xlpm.m*(_xlpm.v="Not Run")),_xlpm.cp,SUM(_xlpm.m*(_xlpm.v="Conditionally Passed")),_xlpm.p,SUM(_xlpm.m*(_xlpm.v="Passed")),IF(TRIM($A651)="","",IF(TRIM($E651)="","Pending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51" s="68" t="str">
        <f>IF(TRIM($A651)="","",IF($J651="Passed","",IF($J651="Passed with Known Issue","Known Issue",IF($J651="",IF(OR($H651&lt;&gt;"No",AND($F651&lt;&gt;"Medium",$F651&lt;&gt;"Low")),"Pending Result",""),IF(OR($H651&lt;&gt;"No",AND($F651&lt;&gt;"Medium",$F651&lt;&gt;"Low")),IF(COUNTIFS(Dashboard!$B$105:$B$124,$A651,Dashboard!$I$105:$I$124,"CAB")&gt;0,"Accepted (CF)","Blocking"),IF($J651="Failed","Deferrable","Carry Over"))))))</f>
        <v/>
      </c>
      <c r="M651" s="68" t="str">
        <f>IF(OR(TRIM($A651)="",TRIM($E651)=""),"",IFERROR(INDEX('E2E core flow'!$B$15:$B$1000,MATCH(1,INDEX(('E2E core flow'!$A$15:$A$1000&lt;&gt;"")*ISNUMBER(SEARCH('E2E core flow'!$A$15:$A$1000,$E651)),0),0))&amp;"","-"))</f>
        <v/>
      </c>
      <c r="N651" s="68" t="str">
        <f>IF(TRIM($A651)="","",IF($O651=0,IF(COUNTIFS('Card Test Cases'!$B$4:$B$1000,$A651,'Card Test Cases'!$A$4:$A$1000,"&lt;&gt;")&gt;0,"Out of Scope","No TC"),IF($Q651&gt;0,"Failed",IF(COUNTIFS('Card Test Cases'!$B$4:$B$1000,$A651,'Card Test Cases'!$A$4:$A$1000,"&lt;&gt;",'Card Test Cases'!$F$4:$F$1000,"Blocked")&gt;0,"Blocked",IF($R651&gt;0,"In Progress","Passed")))))</f>
        <v/>
      </c>
      <c r="O651" s="68" t="str">
        <f>IF(TRIM($A651)="","",COUNTIFS('Card Test Cases'!$B$4:$B$1000,$A651,'Card Test Cases'!$A$4:$A$1000,"&lt;&gt;",'Card Test Cases'!$F$4:$F$1000,"&lt;&gt;Out of Scope"))</f>
        <v/>
      </c>
      <c r="P651" s="68" t="str">
        <f>IF(TRIM($A651)="","",COUNTIFS('Card Test Cases'!$B$4:$B$1000,$A651,'Card Test Cases'!$A$4:$A$1000,"&lt;&gt;",'Card Test Cases'!$F$4:$F$1000,"Passed"))</f>
        <v/>
      </c>
      <c r="Q651" s="68" t="str">
        <f>IF(TRIM($A651)="","",COUNTIFS('Card Test Cases'!$B$4:$B$1000,$A651,'Card Test Cases'!$A$4:$A$1000,"&lt;&gt;",'Card Test Cases'!$F$4:$F$1000,"Failed"))</f>
        <v/>
      </c>
      <c r="R651" s="68" t="str">
        <f t="shared" si="10"/>
        <v/>
      </c>
      <c r="S651" s="68" t="str" cm="1">
        <f t="array" ref="S651">IF(TRIM($A651)="","",IFERROR(_xlfn.TEXTJOIN(", ",TRUE,_xlfn.UNIQUE(_xlfn.VSTACK(_xlfn._xlws.FILTER('Card Test Cases'!$G$4:$G$1000,('Card Test Cases'!$B$4:$B$1000=$A651)*('Card Test Cases'!$G$4:$G$1000&lt;&gt;""),""),_xlfn._xlws.FILTER('E2E core flow'!$U$15:$U$1000,('E2E core flow'!$A$15:$A$1000&lt;&gt;"")*ISNUMBER(SEARCH('E2E core flow'!$A$15:$A$1000,$E651))*('E2E core flow'!$U$15:$U$1000&lt;&gt;""),"")))),"-"))</f>
        <v/>
      </c>
    </row>
    <row r="652" spans="7:19" x14ac:dyDescent="0.3">
      <c r="G652" s="68" t="str" cm="1">
        <f t="array" ref="G652">_xlfn.LET(_xlpm.ids,'E2E core flow'!$A$15:$A$1000,_xlpm.v,'E2E core flow'!$W$15:$W$1000,_xlpm.m,(_xlpm.ids&lt;&gt;"")*ISNUMBER(SEARCH(_xlpm.ids,$E652)),_xlpm.f,SUM(_xlpm.m*(_xlpm.v="Failed")),_xlpm.b,SUM(_xlpm.m*(_xlpm.v="Blocked")),_xlpm.nr,SUM(_xlpm.m*(_xlpm.v="Not Run")),_xlpm.cp,SUM(_xlpm.m*(_xlpm.v="Conditionally Passed")),_xlpm.p,SUM(_xlpm.m*(_xlpm.v="Passed")),IF(TRIM($A652)="","",IF(TRIM($E652)="","Pending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52" s="68" t="str">
        <f>IF(TRIM($A652)="","",IF($J652="Passed","",IF($J652="Passed with Known Issue","Known Issue",IF($J652="",IF(OR($H652&lt;&gt;"No",AND($F652&lt;&gt;"Medium",$F652&lt;&gt;"Low")),"Pending Result",""),IF(OR($H652&lt;&gt;"No",AND($F652&lt;&gt;"Medium",$F652&lt;&gt;"Low")),IF(COUNTIFS(Dashboard!$B$105:$B$124,$A652,Dashboard!$I$105:$I$124,"CAB")&gt;0,"Accepted (CF)","Blocking"),IF($J652="Failed","Deferrable","Carry Over"))))))</f>
        <v/>
      </c>
      <c r="M652" s="68" t="str">
        <f>IF(OR(TRIM($A652)="",TRIM($E652)=""),"",IFERROR(INDEX('E2E core flow'!$B$15:$B$1000,MATCH(1,INDEX(('E2E core flow'!$A$15:$A$1000&lt;&gt;"")*ISNUMBER(SEARCH('E2E core flow'!$A$15:$A$1000,$E652)),0),0))&amp;"","-"))</f>
        <v/>
      </c>
      <c r="N652" s="68" t="str">
        <f>IF(TRIM($A652)="","",IF($O652=0,IF(COUNTIFS('Card Test Cases'!$B$4:$B$1000,$A652,'Card Test Cases'!$A$4:$A$1000,"&lt;&gt;")&gt;0,"Out of Scope","No TC"),IF($Q652&gt;0,"Failed",IF(COUNTIFS('Card Test Cases'!$B$4:$B$1000,$A652,'Card Test Cases'!$A$4:$A$1000,"&lt;&gt;",'Card Test Cases'!$F$4:$F$1000,"Blocked")&gt;0,"Blocked",IF($R652&gt;0,"In Progress","Passed")))))</f>
        <v/>
      </c>
      <c r="O652" s="68" t="str">
        <f>IF(TRIM($A652)="","",COUNTIFS('Card Test Cases'!$B$4:$B$1000,$A652,'Card Test Cases'!$A$4:$A$1000,"&lt;&gt;",'Card Test Cases'!$F$4:$F$1000,"&lt;&gt;Out of Scope"))</f>
        <v/>
      </c>
      <c r="P652" s="68" t="str">
        <f>IF(TRIM($A652)="","",COUNTIFS('Card Test Cases'!$B$4:$B$1000,$A652,'Card Test Cases'!$A$4:$A$1000,"&lt;&gt;",'Card Test Cases'!$F$4:$F$1000,"Passed"))</f>
        <v/>
      </c>
      <c r="Q652" s="68" t="str">
        <f>IF(TRIM($A652)="","",COUNTIFS('Card Test Cases'!$B$4:$B$1000,$A652,'Card Test Cases'!$A$4:$A$1000,"&lt;&gt;",'Card Test Cases'!$F$4:$F$1000,"Failed"))</f>
        <v/>
      </c>
      <c r="R652" s="68" t="str">
        <f t="shared" si="10"/>
        <v/>
      </c>
      <c r="S652" s="68" t="str" cm="1">
        <f t="array" ref="S652">IF(TRIM($A652)="","",IFERROR(_xlfn.TEXTJOIN(", ",TRUE,_xlfn.UNIQUE(_xlfn.VSTACK(_xlfn._xlws.FILTER('Card Test Cases'!$G$4:$G$1000,('Card Test Cases'!$B$4:$B$1000=$A652)*('Card Test Cases'!$G$4:$G$1000&lt;&gt;""),""),_xlfn._xlws.FILTER('E2E core flow'!$U$15:$U$1000,('E2E core flow'!$A$15:$A$1000&lt;&gt;"")*ISNUMBER(SEARCH('E2E core flow'!$A$15:$A$1000,$E652))*('E2E core flow'!$U$15:$U$1000&lt;&gt;""),"")))),"-"))</f>
        <v/>
      </c>
    </row>
    <row r="653" spans="7:19" x14ac:dyDescent="0.3">
      <c r="G653" s="68" t="str" cm="1">
        <f t="array" ref="G653">_xlfn.LET(_xlpm.ids,'E2E core flow'!$A$15:$A$1000,_xlpm.v,'E2E core flow'!$W$15:$W$1000,_xlpm.m,(_xlpm.ids&lt;&gt;"")*ISNUMBER(SEARCH(_xlpm.ids,$E653)),_xlpm.f,SUM(_xlpm.m*(_xlpm.v="Failed")),_xlpm.b,SUM(_xlpm.m*(_xlpm.v="Blocked")),_xlpm.nr,SUM(_xlpm.m*(_xlpm.v="Not Run")),_xlpm.cp,SUM(_xlpm.m*(_xlpm.v="Conditionally Passed")),_xlpm.p,SUM(_xlpm.m*(_xlpm.v="Passed")),IF(TRIM($A653)="","",IF(TRIM($E653)="","Pending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53" s="68" t="str">
        <f>IF(TRIM($A653)="","",IF($J653="Passed","",IF($J653="Passed with Known Issue","Known Issue",IF($J653="",IF(OR($H653&lt;&gt;"No",AND($F653&lt;&gt;"Medium",$F653&lt;&gt;"Low")),"Pending Result",""),IF(OR($H653&lt;&gt;"No",AND($F653&lt;&gt;"Medium",$F653&lt;&gt;"Low")),IF(COUNTIFS(Dashboard!$B$105:$B$124,$A653,Dashboard!$I$105:$I$124,"CAB")&gt;0,"Accepted (CF)","Blocking"),IF($J653="Failed","Deferrable","Carry Over"))))))</f>
        <v/>
      </c>
      <c r="M653" s="68" t="str">
        <f>IF(OR(TRIM($A653)="",TRIM($E653)=""),"",IFERROR(INDEX('E2E core flow'!$B$15:$B$1000,MATCH(1,INDEX(('E2E core flow'!$A$15:$A$1000&lt;&gt;"")*ISNUMBER(SEARCH('E2E core flow'!$A$15:$A$1000,$E653)),0),0))&amp;"","-"))</f>
        <v/>
      </c>
      <c r="N653" s="68" t="str">
        <f>IF(TRIM($A653)="","",IF($O653=0,IF(COUNTIFS('Card Test Cases'!$B$4:$B$1000,$A653,'Card Test Cases'!$A$4:$A$1000,"&lt;&gt;")&gt;0,"Out of Scope","No TC"),IF($Q653&gt;0,"Failed",IF(COUNTIFS('Card Test Cases'!$B$4:$B$1000,$A653,'Card Test Cases'!$A$4:$A$1000,"&lt;&gt;",'Card Test Cases'!$F$4:$F$1000,"Blocked")&gt;0,"Blocked",IF($R653&gt;0,"In Progress","Passed")))))</f>
        <v/>
      </c>
      <c r="O653" s="68" t="str">
        <f>IF(TRIM($A653)="","",COUNTIFS('Card Test Cases'!$B$4:$B$1000,$A653,'Card Test Cases'!$A$4:$A$1000,"&lt;&gt;",'Card Test Cases'!$F$4:$F$1000,"&lt;&gt;Out of Scope"))</f>
        <v/>
      </c>
      <c r="P653" s="68" t="str">
        <f>IF(TRIM($A653)="","",COUNTIFS('Card Test Cases'!$B$4:$B$1000,$A653,'Card Test Cases'!$A$4:$A$1000,"&lt;&gt;",'Card Test Cases'!$F$4:$F$1000,"Passed"))</f>
        <v/>
      </c>
      <c r="Q653" s="68" t="str">
        <f>IF(TRIM($A653)="","",COUNTIFS('Card Test Cases'!$B$4:$B$1000,$A653,'Card Test Cases'!$A$4:$A$1000,"&lt;&gt;",'Card Test Cases'!$F$4:$F$1000,"Failed"))</f>
        <v/>
      </c>
      <c r="R653" s="68" t="str">
        <f t="shared" si="10"/>
        <v/>
      </c>
      <c r="S653" s="68" t="str" cm="1">
        <f t="array" ref="S653">IF(TRIM($A653)="","",IFERROR(_xlfn.TEXTJOIN(", ",TRUE,_xlfn.UNIQUE(_xlfn.VSTACK(_xlfn._xlws.FILTER('Card Test Cases'!$G$4:$G$1000,('Card Test Cases'!$B$4:$B$1000=$A653)*('Card Test Cases'!$G$4:$G$1000&lt;&gt;""),""),_xlfn._xlws.FILTER('E2E core flow'!$U$15:$U$1000,('E2E core flow'!$A$15:$A$1000&lt;&gt;"")*ISNUMBER(SEARCH('E2E core flow'!$A$15:$A$1000,$E653))*('E2E core flow'!$U$15:$U$1000&lt;&gt;""),"")))),"-"))</f>
        <v/>
      </c>
    </row>
    <row r="654" spans="7:19" x14ac:dyDescent="0.3">
      <c r="G654" s="68" t="str" cm="1">
        <f t="array" ref="G654">_xlfn.LET(_xlpm.ids,'E2E core flow'!$A$15:$A$1000,_xlpm.v,'E2E core flow'!$W$15:$W$1000,_xlpm.m,(_xlpm.ids&lt;&gt;"")*ISNUMBER(SEARCH(_xlpm.ids,$E654)),_xlpm.f,SUM(_xlpm.m*(_xlpm.v="Failed")),_xlpm.b,SUM(_xlpm.m*(_xlpm.v="Blocked")),_xlpm.nr,SUM(_xlpm.m*(_xlpm.v="Not Run")),_xlpm.cp,SUM(_xlpm.m*(_xlpm.v="Conditionally Passed")),_xlpm.p,SUM(_xlpm.m*(_xlpm.v="Passed")),IF(TRIM($A654)="","",IF(TRIM($E654)="","Pending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54" s="68" t="str">
        <f>IF(TRIM($A654)="","",IF($J654="Passed","",IF($J654="Passed with Known Issue","Known Issue",IF($J654="",IF(OR($H654&lt;&gt;"No",AND($F654&lt;&gt;"Medium",$F654&lt;&gt;"Low")),"Pending Result",""),IF(OR($H654&lt;&gt;"No",AND($F654&lt;&gt;"Medium",$F654&lt;&gt;"Low")),IF(COUNTIFS(Dashboard!$B$105:$B$124,$A654,Dashboard!$I$105:$I$124,"CAB")&gt;0,"Accepted (CF)","Blocking"),IF($J654="Failed","Deferrable","Carry Over"))))))</f>
        <v/>
      </c>
      <c r="M654" s="68" t="str">
        <f>IF(OR(TRIM($A654)="",TRIM($E654)=""),"",IFERROR(INDEX('E2E core flow'!$B$15:$B$1000,MATCH(1,INDEX(('E2E core flow'!$A$15:$A$1000&lt;&gt;"")*ISNUMBER(SEARCH('E2E core flow'!$A$15:$A$1000,$E654)),0),0))&amp;"","-"))</f>
        <v/>
      </c>
      <c r="N654" s="68" t="str">
        <f>IF(TRIM($A654)="","",IF($O654=0,IF(COUNTIFS('Card Test Cases'!$B$4:$B$1000,$A654,'Card Test Cases'!$A$4:$A$1000,"&lt;&gt;")&gt;0,"Out of Scope","No TC"),IF($Q654&gt;0,"Failed",IF(COUNTIFS('Card Test Cases'!$B$4:$B$1000,$A654,'Card Test Cases'!$A$4:$A$1000,"&lt;&gt;",'Card Test Cases'!$F$4:$F$1000,"Blocked")&gt;0,"Blocked",IF($R654&gt;0,"In Progress","Passed")))))</f>
        <v/>
      </c>
      <c r="O654" s="68" t="str">
        <f>IF(TRIM($A654)="","",COUNTIFS('Card Test Cases'!$B$4:$B$1000,$A654,'Card Test Cases'!$A$4:$A$1000,"&lt;&gt;",'Card Test Cases'!$F$4:$F$1000,"&lt;&gt;Out of Scope"))</f>
        <v/>
      </c>
      <c r="P654" s="68" t="str">
        <f>IF(TRIM($A654)="","",COUNTIFS('Card Test Cases'!$B$4:$B$1000,$A654,'Card Test Cases'!$A$4:$A$1000,"&lt;&gt;",'Card Test Cases'!$F$4:$F$1000,"Passed"))</f>
        <v/>
      </c>
      <c r="Q654" s="68" t="str">
        <f>IF(TRIM($A654)="","",COUNTIFS('Card Test Cases'!$B$4:$B$1000,$A654,'Card Test Cases'!$A$4:$A$1000,"&lt;&gt;",'Card Test Cases'!$F$4:$F$1000,"Failed"))</f>
        <v/>
      </c>
      <c r="R654" s="68" t="str">
        <f t="shared" si="10"/>
        <v/>
      </c>
      <c r="S654" s="68" t="str" cm="1">
        <f t="array" ref="S654">IF(TRIM($A654)="","",IFERROR(_xlfn.TEXTJOIN(", ",TRUE,_xlfn.UNIQUE(_xlfn.VSTACK(_xlfn._xlws.FILTER('Card Test Cases'!$G$4:$G$1000,('Card Test Cases'!$B$4:$B$1000=$A654)*('Card Test Cases'!$G$4:$G$1000&lt;&gt;""),""),_xlfn._xlws.FILTER('E2E core flow'!$U$15:$U$1000,('E2E core flow'!$A$15:$A$1000&lt;&gt;"")*ISNUMBER(SEARCH('E2E core flow'!$A$15:$A$1000,$E654))*('E2E core flow'!$U$15:$U$1000&lt;&gt;""),"")))),"-"))</f>
        <v/>
      </c>
    </row>
    <row r="655" spans="7:19" x14ac:dyDescent="0.3">
      <c r="G655" s="68" t="str" cm="1">
        <f t="array" ref="G655">_xlfn.LET(_xlpm.ids,'E2E core flow'!$A$15:$A$1000,_xlpm.v,'E2E core flow'!$W$15:$W$1000,_xlpm.m,(_xlpm.ids&lt;&gt;"")*ISNUMBER(SEARCH(_xlpm.ids,$E655)),_xlpm.f,SUM(_xlpm.m*(_xlpm.v="Failed")),_xlpm.b,SUM(_xlpm.m*(_xlpm.v="Blocked")),_xlpm.nr,SUM(_xlpm.m*(_xlpm.v="Not Run")),_xlpm.cp,SUM(_xlpm.m*(_xlpm.v="Conditionally Passed")),_xlpm.p,SUM(_xlpm.m*(_xlpm.v="Passed")),IF(TRIM($A655)="","",IF(TRIM($E655)="","Pending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55" s="68" t="str">
        <f>IF(TRIM($A655)="","",IF($J655="Passed","",IF($J655="Passed with Known Issue","Known Issue",IF($J655="",IF(OR($H655&lt;&gt;"No",AND($F655&lt;&gt;"Medium",$F655&lt;&gt;"Low")),"Pending Result",""),IF(OR($H655&lt;&gt;"No",AND($F655&lt;&gt;"Medium",$F655&lt;&gt;"Low")),IF(COUNTIFS(Dashboard!$B$105:$B$124,$A655,Dashboard!$I$105:$I$124,"CAB")&gt;0,"Accepted (CF)","Blocking"),IF($J655="Failed","Deferrable","Carry Over"))))))</f>
        <v/>
      </c>
      <c r="M655" s="68" t="str">
        <f>IF(OR(TRIM($A655)="",TRIM($E655)=""),"",IFERROR(INDEX('E2E core flow'!$B$15:$B$1000,MATCH(1,INDEX(('E2E core flow'!$A$15:$A$1000&lt;&gt;"")*ISNUMBER(SEARCH('E2E core flow'!$A$15:$A$1000,$E655)),0),0))&amp;"","-"))</f>
        <v/>
      </c>
      <c r="N655" s="68" t="str">
        <f>IF(TRIM($A655)="","",IF($O655=0,IF(COUNTIFS('Card Test Cases'!$B$4:$B$1000,$A655,'Card Test Cases'!$A$4:$A$1000,"&lt;&gt;")&gt;0,"Out of Scope","No TC"),IF($Q655&gt;0,"Failed",IF(COUNTIFS('Card Test Cases'!$B$4:$B$1000,$A655,'Card Test Cases'!$A$4:$A$1000,"&lt;&gt;",'Card Test Cases'!$F$4:$F$1000,"Blocked")&gt;0,"Blocked",IF($R655&gt;0,"In Progress","Passed")))))</f>
        <v/>
      </c>
      <c r="O655" s="68" t="str">
        <f>IF(TRIM($A655)="","",COUNTIFS('Card Test Cases'!$B$4:$B$1000,$A655,'Card Test Cases'!$A$4:$A$1000,"&lt;&gt;",'Card Test Cases'!$F$4:$F$1000,"&lt;&gt;Out of Scope"))</f>
        <v/>
      </c>
      <c r="P655" s="68" t="str">
        <f>IF(TRIM($A655)="","",COUNTIFS('Card Test Cases'!$B$4:$B$1000,$A655,'Card Test Cases'!$A$4:$A$1000,"&lt;&gt;",'Card Test Cases'!$F$4:$F$1000,"Passed"))</f>
        <v/>
      </c>
      <c r="Q655" s="68" t="str">
        <f>IF(TRIM($A655)="","",COUNTIFS('Card Test Cases'!$B$4:$B$1000,$A655,'Card Test Cases'!$A$4:$A$1000,"&lt;&gt;",'Card Test Cases'!$F$4:$F$1000,"Failed"))</f>
        <v/>
      </c>
      <c r="R655" s="68" t="str">
        <f t="shared" si="10"/>
        <v/>
      </c>
      <c r="S655" s="68" t="str" cm="1">
        <f t="array" ref="S655">IF(TRIM($A655)="","",IFERROR(_xlfn.TEXTJOIN(", ",TRUE,_xlfn.UNIQUE(_xlfn.VSTACK(_xlfn._xlws.FILTER('Card Test Cases'!$G$4:$G$1000,('Card Test Cases'!$B$4:$B$1000=$A655)*('Card Test Cases'!$G$4:$G$1000&lt;&gt;""),""),_xlfn._xlws.FILTER('E2E core flow'!$U$15:$U$1000,('E2E core flow'!$A$15:$A$1000&lt;&gt;"")*ISNUMBER(SEARCH('E2E core flow'!$A$15:$A$1000,$E655))*('E2E core flow'!$U$15:$U$1000&lt;&gt;""),"")))),"-"))</f>
        <v/>
      </c>
    </row>
    <row r="656" spans="7:19" x14ac:dyDescent="0.3">
      <c r="G656" s="68" t="str" cm="1">
        <f t="array" ref="G656">_xlfn.LET(_xlpm.ids,'E2E core flow'!$A$15:$A$1000,_xlpm.v,'E2E core flow'!$W$15:$W$1000,_xlpm.m,(_xlpm.ids&lt;&gt;"")*ISNUMBER(SEARCH(_xlpm.ids,$E656)),_xlpm.f,SUM(_xlpm.m*(_xlpm.v="Failed")),_xlpm.b,SUM(_xlpm.m*(_xlpm.v="Blocked")),_xlpm.nr,SUM(_xlpm.m*(_xlpm.v="Not Run")),_xlpm.cp,SUM(_xlpm.m*(_xlpm.v="Conditionally Passed")),_xlpm.p,SUM(_xlpm.m*(_xlpm.v="Passed")),IF(TRIM($A656)="","",IF(TRIM($E656)="","Pending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56" s="68" t="str">
        <f>IF(TRIM($A656)="","",IF($J656="Passed","",IF($J656="Passed with Known Issue","Known Issue",IF($J656="",IF(OR($H656&lt;&gt;"No",AND($F656&lt;&gt;"Medium",$F656&lt;&gt;"Low")),"Pending Result",""),IF(OR($H656&lt;&gt;"No",AND($F656&lt;&gt;"Medium",$F656&lt;&gt;"Low")),IF(COUNTIFS(Dashboard!$B$105:$B$124,$A656,Dashboard!$I$105:$I$124,"CAB")&gt;0,"Accepted (CF)","Blocking"),IF($J656="Failed","Deferrable","Carry Over"))))))</f>
        <v/>
      </c>
      <c r="M656" s="68" t="str">
        <f>IF(OR(TRIM($A656)="",TRIM($E656)=""),"",IFERROR(INDEX('E2E core flow'!$B$15:$B$1000,MATCH(1,INDEX(('E2E core flow'!$A$15:$A$1000&lt;&gt;"")*ISNUMBER(SEARCH('E2E core flow'!$A$15:$A$1000,$E656)),0),0))&amp;"","-"))</f>
        <v/>
      </c>
      <c r="N656" s="68" t="str">
        <f>IF(TRIM($A656)="","",IF($O656=0,IF(COUNTIFS('Card Test Cases'!$B$4:$B$1000,$A656,'Card Test Cases'!$A$4:$A$1000,"&lt;&gt;")&gt;0,"Out of Scope","No TC"),IF($Q656&gt;0,"Failed",IF(COUNTIFS('Card Test Cases'!$B$4:$B$1000,$A656,'Card Test Cases'!$A$4:$A$1000,"&lt;&gt;",'Card Test Cases'!$F$4:$F$1000,"Blocked")&gt;0,"Blocked",IF($R656&gt;0,"In Progress","Passed")))))</f>
        <v/>
      </c>
      <c r="O656" s="68" t="str">
        <f>IF(TRIM($A656)="","",COUNTIFS('Card Test Cases'!$B$4:$B$1000,$A656,'Card Test Cases'!$A$4:$A$1000,"&lt;&gt;",'Card Test Cases'!$F$4:$F$1000,"&lt;&gt;Out of Scope"))</f>
        <v/>
      </c>
      <c r="P656" s="68" t="str">
        <f>IF(TRIM($A656)="","",COUNTIFS('Card Test Cases'!$B$4:$B$1000,$A656,'Card Test Cases'!$A$4:$A$1000,"&lt;&gt;",'Card Test Cases'!$F$4:$F$1000,"Passed"))</f>
        <v/>
      </c>
      <c r="Q656" s="68" t="str">
        <f>IF(TRIM($A656)="","",COUNTIFS('Card Test Cases'!$B$4:$B$1000,$A656,'Card Test Cases'!$A$4:$A$1000,"&lt;&gt;",'Card Test Cases'!$F$4:$F$1000,"Failed"))</f>
        <v/>
      </c>
      <c r="R656" s="68" t="str">
        <f t="shared" si="10"/>
        <v/>
      </c>
      <c r="S656" s="68" t="str" cm="1">
        <f t="array" ref="S656">IF(TRIM($A656)="","",IFERROR(_xlfn.TEXTJOIN(", ",TRUE,_xlfn.UNIQUE(_xlfn.VSTACK(_xlfn._xlws.FILTER('Card Test Cases'!$G$4:$G$1000,('Card Test Cases'!$B$4:$B$1000=$A656)*('Card Test Cases'!$G$4:$G$1000&lt;&gt;""),""),_xlfn._xlws.FILTER('E2E core flow'!$U$15:$U$1000,('E2E core flow'!$A$15:$A$1000&lt;&gt;"")*ISNUMBER(SEARCH('E2E core flow'!$A$15:$A$1000,$E656))*('E2E core flow'!$U$15:$U$1000&lt;&gt;""),"")))),"-"))</f>
        <v/>
      </c>
    </row>
    <row r="657" spans="7:19" x14ac:dyDescent="0.3">
      <c r="G657" s="68" t="str" cm="1">
        <f t="array" ref="G657">_xlfn.LET(_xlpm.ids,'E2E core flow'!$A$15:$A$1000,_xlpm.v,'E2E core flow'!$W$15:$W$1000,_xlpm.m,(_xlpm.ids&lt;&gt;"")*ISNUMBER(SEARCH(_xlpm.ids,$E657)),_xlpm.f,SUM(_xlpm.m*(_xlpm.v="Failed")),_xlpm.b,SUM(_xlpm.m*(_xlpm.v="Blocked")),_xlpm.nr,SUM(_xlpm.m*(_xlpm.v="Not Run")),_xlpm.cp,SUM(_xlpm.m*(_xlpm.v="Conditionally Passed")),_xlpm.p,SUM(_xlpm.m*(_xlpm.v="Passed")),IF(TRIM($A657)="","",IF(TRIM($E657)="","Pending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57" s="68" t="str">
        <f>IF(TRIM($A657)="","",IF($J657="Passed","",IF($J657="Passed with Known Issue","Known Issue",IF($J657="",IF(OR($H657&lt;&gt;"No",AND($F657&lt;&gt;"Medium",$F657&lt;&gt;"Low")),"Pending Result",""),IF(OR($H657&lt;&gt;"No",AND($F657&lt;&gt;"Medium",$F657&lt;&gt;"Low")),IF(COUNTIFS(Dashboard!$B$105:$B$124,$A657,Dashboard!$I$105:$I$124,"CAB")&gt;0,"Accepted (CF)","Blocking"),IF($J657="Failed","Deferrable","Carry Over"))))))</f>
        <v/>
      </c>
      <c r="M657" s="68" t="str">
        <f>IF(OR(TRIM($A657)="",TRIM($E657)=""),"",IFERROR(INDEX('E2E core flow'!$B$15:$B$1000,MATCH(1,INDEX(('E2E core flow'!$A$15:$A$1000&lt;&gt;"")*ISNUMBER(SEARCH('E2E core flow'!$A$15:$A$1000,$E657)),0),0))&amp;"","-"))</f>
        <v/>
      </c>
      <c r="N657" s="68" t="str">
        <f>IF(TRIM($A657)="","",IF($O657=0,IF(COUNTIFS('Card Test Cases'!$B$4:$B$1000,$A657,'Card Test Cases'!$A$4:$A$1000,"&lt;&gt;")&gt;0,"Out of Scope","No TC"),IF($Q657&gt;0,"Failed",IF(COUNTIFS('Card Test Cases'!$B$4:$B$1000,$A657,'Card Test Cases'!$A$4:$A$1000,"&lt;&gt;",'Card Test Cases'!$F$4:$F$1000,"Blocked")&gt;0,"Blocked",IF($R657&gt;0,"In Progress","Passed")))))</f>
        <v/>
      </c>
      <c r="O657" s="68" t="str">
        <f>IF(TRIM($A657)="","",COUNTIFS('Card Test Cases'!$B$4:$B$1000,$A657,'Card Test Cases'!$A$4:$A$1000,"&lt;&gt;",'Card Test Cases'!$F$4:$F$1000,"&lt;&gt;Out of Scope"))</f>
        <v/>
      </c>
      <c r="P657" s="68" t="str">
        <f>IF(TRIM($A657)="","",COUNTIFS('Card Test Cases'!$B$4:$B$1000,$A657,'Card Test Cases'!$A$4:$A$1000,"&lt;&gt;",'Card Test Cases'!$F$4:$F$1000,"Passed"))</f>
        <v/>
      </c>
      <c r="Q657" s="68" t="str">
        <f>IF(TRIM($A657)="","",COUNTIFS('Card Test Cases'!$B$4:$B$1000,$A657,'Card Test Cases'!$A$4:$A$1000,"&lt;&gt;",'Card Test Cases'!$F$4:$F$1000,"Failed"))</f>
        <v/>
      </c>
      <c r="R657" s="68" t="str">
        <f t="shared" si="10"/>
        <v/>
      </c>
      <c r="S657" s="68" t="str" cm="1">
        <f t="array" ref="S657">IF(TRIM($A657)="","",IFERROR(_xlfn.TEXTJOIN(", ",TRUE,_xlfn.UNIQUE(_xlfn.VSTACK(_xlfn._xlws.FILTER('Card Test Cases'!$G$4:$G$1000,('Card Test Cases'!$B$4:$B$1000=$A657)*('Card Test Cases'!$G$4:$G$1000&lt;&gt;""),""),_xlfn._xlws.FILTER('E2E core flow'!$U$15:$U$1000,('E2E core flow'!$A$15:$A$1000&lt;&gt;"")*ISNUMBER(SEARCH('E2E core flow'!$A$15:$A$1000,$E657))*('E2E core flow'!$U$15:$U$1000&lt;&gt;""),"")))),"-"))</f>
        <v/>
      </c>
    </row>
    <row r="658" spans="7:19" x14ac:dyDescent="0.3">
      <c r="G658" s="68" t="str" cm="1">
        <f t="array" ref="G658">_xlfn.LET(_xlpm.ids,'E2E core flow'!$A$15:$A$1000,_xlpm.v,'E2E core flow'!$W$15:$W$1000,_xlpm.m,(_xlpm.ids&lt;&gt;"")*ISNUMBER(SEARCH(_xlpm.ids,$E658)),_xlpm.f,SUM(_xlpm.m*(_xlpm.v="Failed")),_xlpm.b,SUM(_xlpm.m*(_xlpm.v="Blocked")),_xlpm.nr,SUM(_xlpm.m*(_xlpm.v="Not Run")),_xlpm.cp,SUM(_xlpm.m*(_xlpm.v="Conditionally Passed")),_xlpm.p,SUM(_xlpm.m*(_xlpm.v="Passed")),IF(TRIM($A658)="","",IF(TRIM($E658)="","Pending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58" s="68" t="str">
        <f>IF(TRIM($A658)="","",IF($J658="Passed","",IF($J658="Passed with Known Issue","Known Issue",IF($J658="",IF(OR($H658&lt;&gt;"No",AND($F658&lt;&gt;"Medium",$F658&lt;&gt;"Low")),"Pending Result",""),IF(OR($H658&lt;&gt;"No",AND($F658&lt;&gt;"Medium",$F658&lt;&gt;"Low")),IF(COUNTIFS(Dashboard!$B$105:$B$124,$A658,Dashboard!$I$105:$I$124,"CAB")&gt;0,"Accepted (CF)","Blocking"),IF($J658="Failed","Deferrable","Carry Over"))))))</f>
        <v/>
      </c>
      <c r="M658" s="68" t="str">
        <f>IF(OR(TRIM($A658)="",TRIM($E658)=""),"",IFERROR(INDEX('E2E core flow'!$B$15:$B$1000,MATCH(1,INDEX(('E2E core flow'!$A$15:$A$1000&lt;&gt;"")*ISNUMBER(SEARCH('E2E core flow'!$A$15:$A$1000,$E658)),0),0))&amp;"","-"))</f>
        <v/>
      </c>
      <c r="N658" s="68" t="str">
        <f>IF(TRIM($A658)="","",IF($O658=0,IF(COUNTIFS('Card Test Cases'!$B$4:$B$1000,$A658,'Card Test Cases'!$A$4:$A$1000,"&lt;&gt;")&gt;0,"Out of Scope","No TC"),IF($Q658&gt;0,"Failed",IF(COUNTIFS('Card Test Cases'!$B$4:$B$1000,$A658,'Card Test Cases'!$A$4:$A$1000,"&lt;&gt;",'Card Test Cases'!$F$4:$F$1000,"Blocked")&gt;0,"Blocked",IF($R658&gt;0,"In Progress","Passed")))))</f>
        <v/>
      </c>
      <c r="O658" s="68" t="str">
        <f>IF(TRIM($A658)="","",COUNTIFS('Card Test Cases'!$B$4:$B$1000,$A658,'Card Test Cases'!$A$4:$A$1000,"&lt;&gt;",'Card Test Cases'!$F$4:$F$1000,"&lt;&gt;Out of Scope"))</f>
        <v/>
      </c>
      <c r="P658" s="68" t="str">
        <f>IF(TRIM($A658)="","",COUNTIFS('Card Test Cases'!$B$4:$B$1000,$A658,'Card Test Cases'!$A$4:$A$1000,"&lt;&gt;",'Card Test Cases'!$F$4:$F$1000,"Passed"))</f>
        <v/>
      </c>
      <c r="Q658" s="68" t="str">
        <f>IF(TRIM($A658)="","",COUNTIFS('Card Test Cases'!$B$4:$B$1000,$A658,'Card Test Cases'!$A$4:$A$1000,"&lt;&gt;",'Card Test Cases'!$F$4:$F$1000,"Failed"))</f>
        <v/>
      </c>
      <c r="R658" s="68" t="str">
        <f t="shared" si="10"/>
        <v/>
      </c>
      <c r="S658" s="68" t="str" cm="1">
        <f t="array" ref="S658">IF(TRIM($A658)="","",IFERROR(_xlfn.TEXTJOIN(", ",TRUE,_xlfn.UNIQUE(_xlfn.VSTACK(_xlfn._xlws.FILTER('Card Test Cases'!$G$4:$G$1000,('Card Test Cases'!$B$4:$B$1000=$A658)*('Card Test Cases'!$G$4:$G$1000&lt;&gt;""),""),_xlfn._xlws.FILTER('E2E core flow'!$U$15:$U$1000,('E2E core flow'!$A$15:$A$1000&lt;&gt;"")*ISNUMBER(SEARCH('E2E core flow'!$A$15:$A$1000,$E658))*('E2E core flow'!$U$15:$U$1000&lt;&gt;""),"")))),"-"))</f>
        <v/>
      </c>
    </row>
    <row r="659" spans="7:19" x14ac:dyDescent="0.3">
      <c r="G659" s="68" t="str" cm="1">
        <f t="array" ref="G659">_xlfn.LET(_xlpm.ids,'E2E core flow'!$A$15:$A$1000,_xlpm.v,'E2E core flow'!$W$15:$W$1000,_xlpm.m,(_xlpm.ids&lt;&gt;"")*ISNUMBER(SEARCH(_xlpm.ids,$E659)),_xlpm.f,SUM(_xlpm.m*(_xlpm.v="Failed")),_xlpm.b,SUM(_xlpm.m*(_xlpm.v="Blocked")),_xlpm.nr,SUM(_xlpm.m*(_xlpm.v="Not Run")),_xlpm.cp,SUM(_xlpm.m*(_xlpm.v="Conditionally Passed")),_xlpm.p,SUM(_xlpm.m*(_xlpm.v="Passed")),IF(TRIM($A659)="","",IF(TRIM($E659)="","Pending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59" s="68" t="str">
        <f>IF(TRIM($A659)="","",IF($J659="Passed","",IF($J659="Passed with Known Issue","Known Issue",IF($J659="",IF(OR($H659&lt;&gt;"No",AND($F659&lt;&gt;"Medium",$F659&lt;&gt;"Low")),"Pending Result",""),IF(OR($H659&lt;&gt;"No",AND($F659&lt;&gt;"Medium",$F659&lt;&gt;"Low")),IF(COUNTIFS(Dashboard!$B$105:$B$124,$A659,Dashboard!$I$105:$I$124,"CAB")&gt;0,"Accepted (CF)","Blocking"),IF($J659="Failed","Deferrable","Carry Over"))))))</f>
        <v/>
      </c>
      <c r="M659" s="68" t="str">
        <f>IF(OR(TRIM($A659)="",TRIM($E659)=""),"",IFERROR(INDEX('E2E core flow'!$B$15:$B$1000,MATCH(1,INDEX(('E2E core flow'!$A$15:$A$1000&lt;&gt;"")*ISNUMBER(SEARCH('E2E core flow'!$A$15:$A$1000,$E659)),0),0))&amp;"","-"))</f>
        <v/>
      </c>
      <c r="N659" s="68" t="str">
        <f>IF(TRIM($A659)="","",IF($O659=0,IF(COUNTIFS('Card Test Cases'!$B$4:$B$1000,$A659,'Card Test Cases'!$A$4:$A$1000,"&lt;&gt;")&gt;0,"Out of Scope","No TC"),IF($Q659&gt;0,"Failed",IF(COUNTIFS('Card Test Cases'!$B$4:$B$1000,$A659,'Card Test Cases'!$A$4:$A$1000,"&lt;&gt;",'Card Test Cases'!$F$4:$F$1000,"Blocked")&gt;0,"Blocked",IF($R659&gt;0,"In Progress","Passed")))))</f>
        <v/>
      </c>
      <c r="O659" s="68" t="str">
        <f>IF(TRIM($A659)="","",COUNTIFS('Card Test Cases'!$B$4:$B$1000,$A659,'Card Test Cases'!$A$4:$A$1000,"&lt;&gt;",'Card Test Cases'!$F$4:$F$1000,"&lt;&gt;Out of Scope"))</f>
        <v/>
      </c>
      <c r="P659" s="68" t="str">
        <f>IF(TRIM($A659)="","",COUNTIFS('Card Test Cases'!$B$4:$B$1000,$A659,'Card Test Cases'!$A$4:$A$1000,"&lt;&gt;",'Card Test Cases'!$F$4:$F$1000,"Passed"))</f>
        <v/>
      </c>
      <c r="Q659" s="68" t="str">
        <f>IF(TRIM($A659)="","",COUNTIFS('Card Test Cases'!$B$4:$B$1000,$A659,'Card Test Cases'!$A$4:$A$1000,"&lt;&gt;",'Card Test Cases'!$F$4:$F$1000,"Failed"))</f>
        <v/>
      </c>
      <c r="R659" s="68" t="str">
        <f t="shared" si="10"/>
        <v/>
      </c>
      <c r="S659" s="68" t="str" cm="1">
        <f t="array" ref="S659">IF(TRIM($A659)="","",IFERROR(_xlfn.TEXTJOIN(", ",TRUE,_xlfn.UNIQUE(_xlfn.VSTACK(_xlfn._xlws.FILTER('Card Test Cases'!$G$4:$G$1000,('Card Test Cases'!$B$4:$B$1000=$A659)*('Card Test Cases'!$G$4:$G$1000&lt;&gt;""),""),_xlfn._xlws.FILTER('E2E core flow'!$U$15:$U$1000,('E2E core flow'!$A$15:$A$1000&lt;&gt;"")*ISNUMBER(SEARCH('E2E core flow'!$A$15:$A$1000,$E659))*('E2E core flow'!$U$15:$U$1000&lt;&gt;""),"")))),"-"))</f>
        <v/>
      </c>
    </row>
    <row r="660" spans="7:19" x14ac:dyDescent="0.3">
      <c r="G660" s="68" t="str" cm="1">
        <f t="array" ref="G660">_xlfn.LET(_xlpm.ids,'E2E core flow'!$A$15:$A$1000,_xlpm.v,'E2E core flow'!$W$15:$W$1000,_xlpm.m,(_xlpm.ids&lt;&gt;"")*ISNUMBER(SEARCH(_xlpm.ids,$E660)),_xlpm.f,SUM(_xlpm.m*(_xlpm.v="Failed")),_xlpm.b,SUM(_xlpm.m*(_xlpm.v="Blocked")),_xlpm.nr,SUM(_xlpm.m*(_xlpm.v="Not Run")),_xlpm.cp,SUM(_xlpm.m*(_xlpm.v="Conditionally Passed")),_xlpm.p,SUM(_xlpm.m*(_xlpm.v="Passed")),IF(TRIM($A660)="","",IF(TRIM($E660)="","Pending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60" s="68" t="str">
        <f>IF(TRIM($A660)="","",IF($J660="Passed","",IF($J660="Passed with Known Issue","Known Issue",IF($J660="",IF(OR($H660&lt;&gt;"No",AND($F660&lt;&gt;"Medium",$F660&lt;&gt;"Low")),"Pending Result",""),IF(OR($H660&lt;&gt;"No",AND($F660&lt;&gt;"Medium",$F660&lt;&gt;"Low")),IF(COUNTIFS(Dashboard!$B$105:$B$124,$A660,Dashboard!$I$105:$I$124,"CAB")&gt;0,"Accepted (CF)","Blocking"),IF($J660="Failed","Deferrable","Carry Over"))))))</f>
        <v/>
      </c>
      <c r="M660" s="68" t="str">
        <f>IF(OR(TRIM($A660)="",TRIM($E660)=""),"",IFERROR(INDEX('E2E core flow'!$B$15:$B$1000,MATCH(1,INDEX(('E2E core flow'!$A$15:$A$1000&lt;&gt;"")*ISNUMBER(SEARCH('E2E core flow'!$A$15:$A$1000,$E660)),0),0))&amp;"","-"))</f>
        <v/>
      </c>
      <c r="N660" s="68" t="str">
        <f>IF(TRIM($A660)="","",IF($O660=0,IF(COUNTIFS('Card Test Cases'!$B$4:$B$1000,$A660,'Card Test Cases'!$A$4:$A$1000,"&lt;&gt;")&gt;0,"Out of Scope","No TC"),IF($Q660&gt;0,"Failed",IF(COUNTIFS('Card Test Cases'!$B$4:$B$1000,$A660,'Card Test Cases'!$A$4:$A$1000,"&lt;&gt;",'Card Test Cases'!$F$4:$F$1000,"Blocked")&gt;0,"Blocked",IF($R660&gt;0,"In Progress","Passed")))))</f>
        <v/>
      </c>
      <c r="O660" s="68" t="str">
        <f>IF(TRIM($A660)="","",COUNTIFS('Card Test Cases'!$B$4:$B$1000,$A660,'Card Test Cases'!$A$4:$A$1000,"&lt;&gt;",'Card Test Cases'!$F$4:$F$1000,"&lt;&gt;Out of Scope"))</f>
        <v/>
      </c>
      <c r="P660" s="68" t="str">
        <f>IF(TRIM($A660)="","",COUNTIFS('Card Test Cases'!$B$4:$B$1000,$A660,'Card Test Cases'!$A$4:$A$1000,"&lt;&gt;",'Card Test Cases'!$F$4:$F$1000,"Passed"))</f>
        <v/>
      </c>
      <c r="Q660" s="68" t="str">
        <f>IF(TRIM($A660)="","",COUNTIFS('Card Test Cases'!$B$4:$B$1000,$A660,'Card Test Cases'!$A$4:$A$1000,"&lt;&gt;",'Card Test Cases'!$F$4:$F$1000,"Failed"))</f>
        <v/>
      </c>
      <c r="R660" s="68" t="str">
        <f t="shared" si="10"/>
        <v/>
      </c>
      <c r="S660" s="68" t="str" cm="1">
        <f t="array" ref="S660">IF(TRIM($A660)="","",IFERROR(_xlfn.TEXTJOIN(", ",TRUE,_xlfn.UNIQUE(_xlfn.VSTACK(_xlfn._xlws.FILTER('Card Test Cases'!$G$4:$G$1000,('Card Test Cases'!$B$4:$B$1000=$A660)*('Card Test Cases'!$G$4:$G$1000&lt;&gt;""),""),_xlfn._xlws.FILTER('E2E core flow'!$U$15:$U$1000,('E2E core flow'!$A$15:$A$1000&lt;&gt;"")*ISNUMBER(SEARCH('E2E core flow'!$A$15:$A$1000,$E660))*('E2E core flow'!$U$15:$U$1000&lt;&gt;""),"")))),"-"))</f>
        <v/>
      </c>
    </row>
    <row r="661" spans="7:19" x14ac:dyDescent="0.3">
      <c r="G661" s="68" t="str" cm="1">
        <f t="array" ref="G661">_xlfn.LET(_xlpm.ids,'E2E core flow'!$A$15:$A$1000,_xlpm.v,'E2E core flow'!$W$15:$W$1000,_xlpm.m,(_xlpm.ids&lt;&gt;"")*ISNUMBER(SEARCH(_xlpm.ids,$E661)),_xlpm.f,SUM(_xlpm.m*(_xlpm.v="Failed")),_xlpm.b,SUM(_xlpm.m*(_xlpm.v="Blocked")),_xlpm.nr,SUM(_xlpm.m*(_xlpm.v="Not Run")),_xlpm.cp,SUM(_xlpm.m*(_xlpm.v="Conditionally Passed")),_xlpm.p,SUM(_xlpm.m*(_xlpm.v="Passed")),IF(TRIM($A661)="","",IF(TRIM($E661)="","Pending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61" s="68" t="str">
        <f>IF(TRIM($A661)="","",IF($J661="Passed","",IF($J661="Passed with Known Issue","Known Issue",IF($J661="",IF(OR($H661&lt;&gt;"No",AND($F661&lt;&gt;"Medium",$F661&lt;&gt;"Low")),"Pending Result",""),IF(OR($H661&lt;&gt;"No",AND($F661&lt;&gt;"Medium",$F661&lt;&gt;"Low")),IF(COUNTIFS(Dashboard!$B$105:$B$124,$A661,Dashboard!$I$105:$I$124,"CAB")&gt;0,"Accepted (CF)","Blocking"),IF($J661="Failed","Deferrable","Carry Over"))))))</f>
        <v/>
      </c>
      <c r="M661" s="68" t="str">
        <f>IF(OR(TRIM($A661)="",TRIM($E661)=""),"",IFERROR(INDEX('E2E core flow'!$B$15:$B$1000,MATCH(1,INDEX(('E2E core flow'!$A$15:$A$1000&lt;&gt;"")*ISNUMBER(SEARCH('E2E core flow'!$A$15:$A$1000,$E661)),0),0))&amp;"","-"))</f>
        <v/>
      </c>
      <c r="N661" s="68" t="str">
        <f>IF(TRIM($A661)="","",IF($O661=0,IF(COUNTIFS('Card Test Cases'!$B$4:$B$1000,$A661,'Card Test Cases'!$A$4:$A$1000,"&lt;&gt;")&gt;0,"Out of Scope","No TC"),IF($Q661&gt;0,"Failed",IF(COUNTIFS('Card Test Cases'!$B$4:$B$1000,$A661,'Card Test Cases'!$A$4:$A$1000,"&lt;&gt;",'Card Test Cases'!$F$4:$F$1000,"Blocked")&gt;0,"Blocked",IF($R661&gt;0,"In Progress","Passed")))))</f>
        <v/>
      </c>
      <c r="O661" s="68" t="str">
        <f>IF(TRIM($A661)="","",COUNTIFS('Card Test Cases'!$B$4:$B$1000,$A661,'Card Test Cases'!$A$4:$A$1000,"&lt;&gt;",'Card Test Cases'!$F$4:$F$1000,"&lt;&gt;Out of Scope"))</f>
        <v/>
      </c>
      <c r="P661" s="68" t="str">
        <f>IF(TRIM($A661)="","",COUNTIFS('Card Test Cases'!$B$4:$B$1000,$A661,'Card Test Cases'!$A$4:$A$1000,"&lt;&gt;",'Card Test Cases'!$F$4:$F$1000,"Passed"))</f>
        <v/>
      </c>
      <c r="Q661" s="68" t="str">
        <f>IF(TRIM($A661)="","",COUNTIFS('Card Test Cases'!$B$4:$B$1000,$A661,'Card Test Cases'!$A$4:$A$1000,"&lt;&gt;",'Card Test Cases'!$F$4:$F$1000,"Failed"))</f>
        <v/>
      </c>
      <c r="R661" s="68" t="str">
        <f t="shared" si="10"/>
        <v/>
      </c>
      <c r="S661" s="68" t="str" cm="1">
        <f t="array" ref="S661">IF(TRIM($A661)="","",IFERROR(_xlfn.TEXTJOIN(", ",TRUE,_xlfn.UNIQUE(_xlfn.VSTACK(_xlfn._xlws.FILTER('Card Test Cases'!$G$4:$G$1000,('Card Test Cases'!$B$4:$B$1000=$A661)*('Card Test Cases'!$G$4:$G$1000&lt;&gt;""),""),_xlfn._xlws.FILTER('E2E core flow'!$U$15:$U$1000,('E2E core flow'!$A$15:$A$1000&lt;&gt;"")*ISNUMBER(SEARCH('E2E core flow'!$A$15:$A$1000,$E661))*('E2E core flow'!$U$15:$U$1000&lt;&gt;""),"")))),"-"))</f>
        <v/>
      </c>
    </row>
    <row r="662" spans="7:19" x14ac:dyDescent="0.3">
      <c r="G662" s="68" t="str" cm="1">
        <f t="array" ref="G662">_xlfn.LET(_xlpm.ids,'E2E core flow'!$A$15:$A$1000,_xlpm.v,'E2E core flow'!$W$15:$W$1000,_xlpm.m,(_xlpm.ids&lt;&gt;"")*ISNUMBER(SEARCH(_xlpm.ids,$E662)),_xlpm.f,SUM(_xlpm.m*(_xlpm.v="Failed")),_xlpm.b,SUM(_xlpm.m*(_xlpm.v="Blocked")),_xlpm.nr,SUM(_xlpm.m*(_xlpm.v="Not Run")),_xlpm.cp,SUM(_xlpm.m*(_xlpm.v="Conditionally Passed")),_xlpm.p,SUM(_xlpm.m*(_xlpm.v="Passed")),IF(TRIM($A662)="","",IF(TRIM($E662)="","Pending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62" s="68" t="str">
        <f>IF(TRIM($A662)="","",IF($J662="Passed","",IF($J662="Passed with Known Issue","Known Issue",IF($J662="",IF(OR($H662&lt;&gt;"No",AND($F662&lt;&gt;"Medium",$F662&lt;&gt;"Low")),"Pending Result",""),IF(OR($H662&lt;&gt;"No",AND($F662&lt;&gt;"Medium",$F662&lt;&gt;"Low")),IF(COUNTIFS(Dashboard!$B$105:$B$124,$A662,Dashboard!$I$105:$I$124,"CAB")&gt;0,"Accepted (CF)","Blocking"),IF($J662="Failed","Deferrable","Carry Over"))))))</f>
        <v/>
      </c>
      <c r="M662" s="68" t="str">
        <f>IF(OR(TRIM($A662)="",TRIM($E662)=""),"",IFERROR(INDEX('E2E core flow'!$B$15:$B$1000,MATCH(1,INDEX(('E2E core flow'!$A$15:$A$1000&lt;&gt;"")*ISNUMBER(SEARCH('E2E core flow'!$A$15:$A$1000,$E662)),0),0))&amp;"","-"))</f>
        <v/>
      </c>
      <c r="N662" s="68" t="str">
        <f>IF(TRIM($A662)="","",IF($O662=0,IF(COUNTIFS('Card Test Cases'!$B$4:$B$1000,$A662,'Card Test Cases'!$A$4:$A$1000,"&lt;&gt;")&gt;0,"Out of Scope","No TC"),IF($Q662&gt;0,"Failed",IF(COUNTIFS('Card Test Cases'!$B$4:$B$1000,$A662,'Card Test Cases'!$A$4:$A$1000,"&lt;&gt;",'Card Test Cases'!$F$4:$F$1000,"Blocked")&gt;0,"Blocked",IF($R662&gt;0,"In Progress","Passed")))))</f>
        <v/>
      </c>
      <c r="O662" s="68" t="str">
        <f>IF(TRIM($A662)="","",COUNTIFS('Card Test Cases'!$B$4:$B$1000,$A662,'Card Test Cases'!$A$4:$A$1000,"&lt;&gt;",'Card Test Cases'!$F$4:$F$1000,"&lt;&gt;Out of Scope"))</f>
        <v/>
      </c>
      <c r="P662" s="68" t="str">
        <f>IF(TRIM($A662)="","",COUNTIFS('Card Test Cases'!$B$4:$B$1000,$A662,'Card Test Cases'!$A$4:$A$1000,"&lt;&gt;",'Card Test Cases'!$F$4:$F$1000,"Passed"))</f>
        <v/>
      </c>
      <c r="Q662" s="68" t="str">
        <f>IF(TRIM($A662)="","",COUNTIFS('Card Test Cases'!$B$4:$B$1000,$A662,'Card Test Cases'!$A$4:$A$1000,"&lt;&gt;",'Card Test Cases'!$F$4:$F$1000,"Failed"))</f>
        <v/>
      </c>
      <c r="R662" s="68" t="str">
        <f t="shared" si="10"/>
        <v/>
      </c>
      <c r="S662" s="68" t="str" cm="1">
        <f t="array" ref="S662">IF(TRIM($A662)="","",IFERROR(_xlfn.TEXTJOIN(", ",TRUE,_xlfn.UNIQUE(_xlfn.VSTACK(_xlfn._xlws.FILTER('Card Test Cases'!$G$4:$G$1000,('Card Test Cases'!$B$4:$B$1000=$A662)*('Card Test Cases'!$G$4:$G$1000&lt;&gt;""),""),_xlfn._xlws.FILTER('E2E core flow'!$U$15:$U$1000,('E2E core flow'!$A$15:$A$1000&lt;&gt;"")*ISNUMBER(SEARCH('E2E core flow'!$A$15:$A$1000,$E662))*('E2E core flow'!$U$15:$U$1000&lt;&gt;""),"")))),"-"))</f>
        <v/>
      </c>
    </row>
    <row r="663" spans="7:19" x14ac:dyDescent="0.3">
      <c r="G663" s="68" t="str" cm="1">
        <f t="array" ref="G663">_xlfn.LET(_xlpm.ids,'E2E core flow'!$A$15:$A$1000,_xlpm.v,'E2E core flow'!$W$15:$W$1000,_xlpm.m,(_xlpm.ids&lt;&gt;"")*ISNUMBER(SEARCH(_xlpm.ids,$E663)),_xlpm.f,SUM(_xlpm.m*(_xlpm.v="Failed")),_xlpm.b,SUM(_xlpm.m*(_xlpm.v="Blocked")),_xlpm.nr,SUM(_xlpm.m*(_xlpm.v="Not Run")),_xlpm.cp,SUM(_xlpm.m*(_xlpm.v="Conditionally Passed")),_xlpm.p,SUM(_xlpm.m*(_xlpm.v="Passed")),IF(TRIM($A663)="","",IF(TRIM($E663)="","Pending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63" s="68" t="str">
        <f>IF(TRIM($A663)="","",IF($J663="Passed","",IF($J663="Passed with Known Issue","Known Issue",IF($J663="",IF(OR($H663&lt;&gt;"No",AND($F663&lt;&gt;"Medium",$F663&lt;&gt;"Low")),"Pending Result",""),IF(OR($H663&lt;&gt;"No",AND($F663&lt;&gt;"Medium",$F663&lt;&gt;"Low")),IF(COUNTIFS(Dashboard!$B$105:$B$124,$A663,Dashboard!$I$105:$I$124,"CAB")&gt;0,"Accepted (CF)","Blocking"),IF($J663="Failed","Deferrable","Carry Over"))))))</f>
        <v/>
      </c>
      <c r="M663" s="68" t="str">
        <f>IF(OR(TRIM($A663)="",TRIM($E663)=""),"",IFERROR(INDEX('E2E core flow'!$B$15:$B$1000,MATCH(1,INDEX(('E2E core flow'!$A$15:$A$1000&lt;&gt;"")*ISNUMBER(SEARCH('E2E core flow'!$A$15:$A$1000,$E663)),0),0))&amp;"","-"))</f>
        <v/>
      </c>
      <c r="N663" s="68" t="str">
        <f>IF(TRIM($A663)="","",IF($O663=0,IF(COUNTIFS('Card Test Cases'!$B$4:$B$1000,$A663,'Card Test Cases'!$A$4:$A$1000,"&lt;&gt;")&gt;0,"Out of Scope","No TC"),IF($Q663&gt;0,"Failed",IF(COUNTIFS('Card Test Cases'!$B$4:$B$1000,$A663,'Card Test Cases'!$A$4:$A$1000,"&lt;&gt;",'Card Test Cases'!$F$4:$F$1000,"Blocked")&gt;0,"Blocked",IF($R663&gt;0,"In Progress","Passed")))))</f>
        <v/>
      </c>
      <c r="O663" s="68" t="str">
        <f>IF(TRIM($A663)="","",COUNTIFS('Card Test Cases'!$B$4:$B$1000,$A663,'Card Test Cases'!$A$4:$A$1000,"&lt;&gt;",'Card Test Cases'!$F$4:$F$1000,"&lt;&gt;Out of Scope"))</f>
        <v/>
      </c>
      <c r="P663" s="68" t="str">
        <f>IF(TRIM($A663)="","",COUNTIFS('Card Test Cases'!$B$4:$B$1000,$A663,'Card Test Cases'!$A$4:$A$1000,"&lt;&gt;",'Card Test Cases'!$F$4:$F$1000,"Passed"))</f>
        <v/>
      </c>
      <c r="Q663" s="68" t="str">
        <f>IF(TRIM($A663)="","",COUNTIFS('Card Test Cases'!$B$4:$B$1000,$A663,'Card Test Cases'!$A$4:$A$1000,"&lt;&gt;",'Card Test Cases'!$F$4:$F$1000,"Failed"))</f>
        <v/>
      </c>
      <c r="R663" s="68" t="str">
        <f t="shared" si="10"/>
        <v/>
      </c>
      <c r="S663" s="68" t="str" cm="1">
        <f t="array" ref="S663">IF(TRIM($A663)="","",IFERROR(_xlfn.TEXTJOIN(", ",TRUE,_xlfn.UNIQUE(_xlfn.VSTACK(_xlfn._xlws.FILTER('Card Test Cases'!$G$4:$G$1000,('Card Test Cases'!$B$4:$B$1000=$A663)*('Card Test Cases'!$G$4:$G$1000&lt;&gt;""),""),_xlfn._xlws.FILTER('E2E core flow'!$U$15:$U$1000,('E2E core flow'!$A$15:$A$1000&lt;&gt;"")*ISNUMBER(SEARCH('E2E core flow'!$A$15:$A$1000,$E663))*('E2E core flow'!$U$15:$U$1000&lt;&gt;""),"")))),"-"))</f>
        <v/>
      </c>
    </row>
    <row r="664" spans="7:19" x14ac:dyDescent="0.3">
      <c r="G664" s="68" t="str" cm="1">
        <f t="array" ref="G664">_xlfn.LET(_xlpm.ids,'E2E core flow'!$A$15:$A$1000,_xlpm.v,'E2E core flow'!$W$15:$W$1000,_xlpm.m,(_xlpm.ids&lt;&gt;"")*ISNUMBER(SEARCH(_xlpm.ids,$E664)),_xlpm.f,SUM(_xlpm.m*(_xlpm.v="Failed")),_xlpm.b,SUM(_xlpm.m*(_xlpm.v="Blocked")),_xlpm.nr,SUM(_xlpm.m*(_xlpm.v="Not Run")),_xlpm.cp,SUM(_xlpm.m*(_xlpm.v="Conditionally Passed")),_xlpm.p,SUM(_xlpm.m*(_xlpm.v="Passed")),IF(TRIM($A664)="","",IF(TRIM($E664)="","Pending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64" s="68" t="str">
        <f>IF(TRIM($A664)="","",IF($J664="Passed","",IF($J664="Passed with Known Issue","Known Issue",IF($J664="",IF(OR($H664&lt;&gt;"No",AND($F664&lt;&gt;"Medium",$F664&lt;&gt;"Low")),"Pending Result",""),IF(OR($H664&lt;&gt;"No",AND($F664&lt;&gt;"Medium",$F664&lt;&gt;"Low")),IF(COUNTIFS(Dashboard!$B$105:$B$124,$A664,Dashboard!$I$105:$I$124,"CAB")&gt;0,"Accepted (CF)","Blocking"),IF($J664="Failed","Deferrable","Carry Over"))))))</f>
        <v/>
      </c>
      <c r="M664" s="68" t="str">
        <f>IF(OR(TRIM($A664)="",TRIM($E664)=""),"",IFERROR(INDEX('E2E core flow'!$B$15:$B$1000,MATCH(1,INDEX(('E2E core flow'!$A$15:$A$1000&lt;&gt;"")*ISNUMBER(SEARCH('E2E core flow'!$A$15:$A$1000,$E664)),0),0))&amp;"","-"))</f>
        <v/>
      </c>
      <c r="N664" s="68" t="str">
        <f>IF(TRIM($A664)="","",IF($O664=0,IF(COUNTIFS('Card Test Cases'!$B$4:$B$1000,$A664,'Card Test Cases'!$A$4:$A$1000,"&lt;&gt;")&gt;0,"Out of Scope","No TC"),IF($Q664&gt;0,"Failed",IF(COUNTIFS('Card Test Cases'!$B$4:$B$1000,$A664,'Card Test Cases'!$A$4:$A$1000,"&lt;&gt;",'Card Test Cases'!$F$4:$F$1000,"Blocked")&gt;0,"Blocked",IF($R664&gt;0,"In Progress","Passed")))))</f>
        <v/>
      </c>
      <c r="O664" s="68" t="str">
        <f>IF(TRIM($A664)="","",COUNTIFS('Card Test Cases'!$B$4:$B$1000,$A664,'Card Test Cases'!$A$4:$A$1000,"&lt;&gt;",'Card Test Cases'!$F$4:$F$1000,"&lt;&gt;Out of Scope"))</f>
        <v/>
      </c>
      <c r="P664" s="68" t="str">
        <f>IF(TRIM($A664)="","",COUNTIFS('Card Test Cases'!$B$4:$B$1000,$A664,'Card Test Cases'!$A$4:$A$1000,"&lt;&gt;",'Card Test Cases'!$F$4:$F$1000,"Passed"))</f>
        <v/>
      </c>
      <c r="Q664" s="68" t="str">
        <f>IF(TRIM($A664)="","",COUNTIFS('Card Test Cases'!$B$4:$B$1000,$A664,'Card Test Cases'!$A$4:$A$1000,"&lt;&gt;",'Card Test Cases'!$F$4:$F$1000,"Failed"))</f>
        <v/>
      </c>
      <c r="R664" s="68" t="str">
        <f t="shared" si="10"/>
        <v/>
      </c>
      <c r="S664" s="68" t="str" cm="1">
        <f t="array" ref="S664">IF(TRIM($A664)="","",IFERROR(_xlfn.TEXTJOIN(", ",TRUE,_xlfn.UNIQUE(_xlfn.VSTACK(_xlfn._xlws.FILTER('Card Test Cases'!$G$4:$G$1000,('Card Test Cases'!$B$4:$B$1000=$A664)*('Card Test Cases'!$G$4:$G$1000&lt;&gt;""),""),_xlfn._xlws.FILTER('E2E core flow'!$U$15:$U$1000,('E2E core flow'!$A$15:$A$1000&lt;&gt;"")*ISNUMBER(SEARCH('E2E core flow'!$A$15:$A$1000,$E664))*('E2E core flow'!$U$15:$U$1000&lt;&gt;""),"")))),"-"))</f>
        <v/>
      </c>
    </row>
    <row r="665" spans="7:19" x14ac:dyDescent="0.3">
      <c r="G665" s="68" t="str" cm="1">
        <f t="array" ref="G665">_xlfn.LET(_xlpm.ids,'E2E core flow'!$A$15:$A$1000,_xlpm.v,'E2E core flow'!$W$15:$W$1000,_xlpm.m,(_xlpm.ids&lt;&gt;"")*ISNUMBER(SEARCH(_xlpm.ids,$E665)),_xlpm.f,SUM(_xlpm.m*(_xlpm.v="Failed")),_xlpm.b,SUM(_xlpm.m*(_xlpm.v="Blocked")),_xlpm.nr,SUM(_xlpm.m*(_xlpm.v="Not Run")),_xlpm.cp,SUM(_xlpm.m*(_xlpm.v="Conditionally Passed")),_xlpm.p,SUM(_xlpm.m*(_xlpm.v="Passed")),IF(TRIM($A665)="","",IF(TRIM($E665)="","Pending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65" s="68" t="str">
        <f>IF(TRIM($A665)="","",IF($J665="Passed","",IF($J665="Passed with Known Issue","Known Issue",IF($J665="",IF(OR($H665&lt;&gt;"No",AND($F665&lt;&gt;"Medium",$F665&lt;&gt;"Low")),"Pending Result",""),IF(OR($H665&lt;&gt;"No",AND($F665&lt;&gt;"Medium",$F665&lt;&gt;"Low")),IF(COUNTIFS(Dashboard!$B$105:$B$124,$A665,Dashboard!$I$105:$I$124,"CAB")&gt;0,"Accepted (CF)","Blocking"),IF($J665="Failed","Deferrable","Carry Over"))))))</f>
        <v/>
      </c>
      <c r="M665" s="68" t="str">
        <f>IF(OR(TRIM($A665)="",TRIM($E665)=""),"",IFERROR(INDEX('E2E core flow'!$B$15:$B$1000,MATCH(1,INDEX(('E2E core flow'!$A$15:$A$1000&lt;&gt;"")*ISNUMBER(SEARCH('E2E core flow'!$A$15:$A$1000,$E665)),0),0))&amp;"","-"))</f>
        <v/>
      </c>
      <c r="N665" s="68" t="str">
        <f>IF(TRIM($A665)="","",IF($O665=0,IF(COUNTIFS('Card Test Cases'!$B$4:$B$1000,$A665,'Card Test Cases'!$A$4:$A$1000,"&lt;&gt;")&gt;0,"Out of Scope","No TC"),IF($Q665&gt;0,"Failed",IF(COUNTIFS('Card Test Cases'!$B$4:$B$1000,$A665,'Card Test Cases'!$A$4:$A$1000,"&lt;&gt;",'Card Test Cases'!$F$4:$F$1000,"Blocked")&gt;0,"Blocked",IF($R665&gt;0,"In Progress","Passed")))))</f>
        <v/>
      </c>
      <c r="O665" s="68" t="str">
        <f>IF(TRIM($A665)="","",COUNTIFS('Card Test Cases'!$B$4:$B$1000,$A665,'Card Test Cases'!$A$4:$A$1000,"&lt;&gt;",'Card Test Cases'!$F$4:$F$1000,"&lt;&gt;Out of Scope"))</f>
        <v/>
      </c>
      <c r="P665" s="68" t="str">
        <f>IF(TRIM($A665)="","",COUNTIFS('Card Test Cases'!$B$4:$B$1000,$A665,'Card Test Cases'!$A$4:$A$1000,"&lt;&gt;",'Card Test Cases'!$F$4:$F$1000,"Passed"))</f>
        <v/>
      </c>
      <c r="Q665" s="68" t="str">
        <f>IF(TRIM($A665)="","",COUNTIFS('Card Test Cases'!$B$4:$B$1000,$A665,'Card Test Cases'!$A$4:$A$1000,"&lt;&gt;",'Card Test Cases'!$F$4:$F$1000,"Failed"))</f>
        <v/>
      </c>
      <c r="R665" s="68" t="str">
        <f t="shared" si="10"/>
        <v/>
      </c>
      <c r="S665" s="68" t="str" cm="1">
        <f t="array" ref="S665">IF(TRIM($A665)="","",IFERROR(_xlfn.TEXTJOIN(", ",TRUE,_xlfn.UNIQUE(_xlfn.VSTACK(_xlfn._xlws.FILTER('Card Test Cases'!$G$4:$G$1000,('Card Test Cases'!$B$4:$B$1000=$A665)*('Card Test Cases'!$G$4:$G$1000&lt;&gt;""),""),_xlfn._xlws.FILTER('E2E core flow'!$U$15:$U$1000,('E2E core flow'!$A$15:$A$1000&lt;&gt;"")*ISNUMBER(SEARCH('E2E core flow'!$A$15:$A$1000,$E665))*('E2E core flow'!$U$15:$U$1000&lt;&gt;""),"")))),"-"))</f>
        <v/>
      </c>
    </row>
    <row r="666" spans="7:19" x14ac:dyDescent="0.3">
      <c r="G666" s="68" t="str" cm="1">
        <f t="array" ref="G666">_xlfn.LET(_xlpm.ids,'E2E core flow'!$A$15:$A$1000,_xlpm.v,'E2E core flow'!$W$15:$W$1000,_xlpm.m,(_xlpm.ids&lt;&gt;"")*ISNUMBER(SEARCH(_xlpm.ids,$E666)),_xlpm.f,SUM(_xlpm.m*(_xlpm.v="Failed")),_xlpm.b,SUM(_xlpm.m*(_xlpm.v="Blocked")),_xlpm.nr,SUM(_xlpm.m*(_xlpm.v="Not Run")),_xlpm.cp,SUM(_xlpm.m*(_xlpm.v="Conditionally Passed")),_xlpm.p,SUM(_xlpm.m*(_xlpm.v="Passed")),IF(TRIM($A666)="","",IF(TRIM($E666)="","Pending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66" s="68" t="str">
        <f>IF(TRIM($A666)="","",IF($J666="Passed","",IF($J666="Passed with Known Issue","Known Issue",IF($J666="",IF(OR($H666&lt;&gt;"No",AND($F666&lt;&gt;"Medium",$F666&lt;&gt;"Low")),"Pending Result",""),IF(OR($H666&lt;&gt;"No",AND($F666&lt;&gt;"Medium",$F666&lt;&gt;"Low")),IF(COUNTIFS(Dashboard!$B$105:$B$124,$A666,Dashboard!$I$105:$I$124,"CAB")&gt;0,"Accepted (CF)","Blocking"),IF($J666="Failed","Deferrable","Carry Over"))))))</f>
        <v/>
      </c>
      <c r="M666" s="68" t="str">
        <f>IF(OR(TRIM($A666)="",TRIM($E666)=""),"",IFERROR(INDEX('E2E core flow'!$B$15:$B$1000,MATCH(1,INDEX(('E2E core flow'!$A$15:$A$1000&lt;&gt;"")*ISNUMBER(SEARCH('E2E core flow'!$A$15:$A$1000,$E666)),0),0))&amp;"","-"))</f>
        <v/>
      </c>
      <c r="N666" s="68" t="str">
        <f>IF(TRIM($A666)="","",IF($O666=0,IF(COUNTIFS('Card Test Cases'!$B$4:$B$1000,$A666,'Card Test Cases'!$A$4:$A$1000,"&lt;&gt;")&gt;0,"Out of Scope","No TC"),IF($Q666&gt;0,"Failed",IF(COUNTIFS('Card Test Cases'!$B$4:$B$1000,$A666,'Card Test Cases'!$A$4:$A$1000,"&lt;&gt;",'Card Test Cases'!$F$4:$F$1000,"Blocked")&gt;0,"Blocked",IF($R666&gt;0,"In Progress","Passed")))))</f>
        <v/>
      </c>
      <c r="O666" s="68" t="str">
        <f>IF(TRIM($A666)="","",COUNTIFS('Card Test Cases'!$B$4:$B$1000,$A666,'Card Test Cases'!$A$4:$A$1000,"&lt;&gt;",'Card Test Cases'!$F$4:$F$1000,"&lt;&gt;Out of Scope"))</f>
        <v/>
      </c>
      <c r="P666" s="68" t="str">
        <f>IF(TRIM($A666)="","",COUNTIFS('Card Test Cases'!$B$4:$B$1000,$A666,'Card Test Cases'!$A$4:$A$1000,"&lt;&gt;",'Card Test Cases'!$F$4:$F$1000,"Passed"))</f>
        <v/>
      </c>
      <c r="Q666" s="68" t="str">
        <f>IF(TRIM($A666)="","",COUNTIFS('Card Test Cases'!$B$4:$B$1000,$A666,'Card Test Cases'!$A$4:$A$1000,"&lt;&gt;",'Card Test Cases'!$F$4:$F$1000,"Failed"))</f>
        <v/>
      </c>
      <c r="R666" s="68" t="str">
        <f t="shared" si="10"/>
        <v/>
      </c>
      <c r="S666" s="68" t="str" cm="1">
        <f t="array" ref="S666">IF(TRIM($A666)="","",IFERROR(_xlfn.TEXTJOIN(", ",TRUE,_xlfn.UNIQUE(_xlfn.VSTACK(_xlfn._xlws.FILTER('Card Test Cases'!$G$4:$G$1000,('Card Test Cases'!$B$4:$B$1000=$A666)*('Card Test Cases'!$G$4:$G$1000&lt;&gt;""),""),_xlfn._xlws.FILTER('E2E core flow'!$U$15:$U$1000,('E2E core flow'!$A$15:$A$1000&lt;&gt;"")*ISNUMBER(SEARCH('E2E core flow'!$A$15:$A$1000,$E666))*('E2E core flow'!$U$15:$U$1000&lt;&gt;""),"")))),"-"))</f>
        <v/>
      </c>
    </row>
    <row r="667" spans="7:19" x14ac:dyDescent="0.3">
      <c r="G667" s="68" t="str" cm="1">
        <f t="array" ref="G667">_xlfn.LET(_xlpm.ids,'E2E core flow'!$A$15:$A$1000,_xlpm.v,'E2E core flow'!$W$15:$W$1000,_xlpm.m,(_xlpm.ids&lt;&gt;"")*ISNUMBER(SEARCH(_xlpm.ids,$E667)),_xlpm.f,SUM(_xlpm.m*(_xlpm.v="Failed")),_xlpm.b,SUM(_xlpm.m*(_xlpm.v="Blocked")),_xlpm.nr,SUM(_xlpm.m*(_xlpm.v="Not Run")),_xlpm.cp,SUM(_xlpm.m*(_xlpm.v="Conditionally Passed")),_xlpm.p,SUM(_xlpm.m*(_xlpm.v="Passed")),IF(TRIM($A667)="","",IF(TRIM($E667)="","Pending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67" s="68" t="str">
        <f>IF(TRIM($A667)="","",IF($J667="Passed","",IF($J667="Passed with Known Issue","Known Issue",IF($J667="",IF(OR($H667&lt;&gt;"No",AND($F667&lt;&gt;"Medium",$F667&lt;&gt;"Low")),"Pending Result",""),IF(OR($H667&lt;&gt;"No",AND($F667&lt;&gt;"Medium",$F667&lt;&gt;"Low")),IF(COUNTIFS(Dashboard!$B$105:$B$124,$A667,Dashboard!$I$105:$I$124,"CAB")&gt;0,"Accepted (CF)","Blocking"),IF($J667="Failed","Deferrable","Carry Over"))))))</f>
        <v/>
      </c>
      <c r="M667" s="68" t="str">
        <f>IF(OR(TRIM($A667)="",TRIM($E667)=""),"",IFERROR(INDEX('E2E core flow'!$B$15:$B$1000,MATCH(1,INDEX(('E2E core flow'!$A$15:$A$1000&lt;&gt;"")*ISNUMBER(SEARCH('E2E core flow'!$A$15:$A$1000,$E667)),0),0))&amp;"","-"))</f>
        <v/>
      </c>
      <c r="N667" s="68" t="str">
        <f>IF(TRIM($A667)="","",IF($O667=0,IF(COUNTIFS('Card Test Cases'!$B$4:$B$1000,$A667,'Card Test Cases'!$A$4:$A$1000,"&lt;&gt;")&gt;0,"Out of Scope","No TC"),IF($Q667&gt;0,"Failed",IF(COUNTIFS('Card Test Cases'!$B$4:$B$1000,$A667,'Card Test Cases'!$A$4:$A$1000,"&lt;&gt;",'Card Test Cases'!$F$4:$F$1000,"Blocked")&gt;0,"Blocked",IF($R667&gt;0,"In Progress","Passed")))))</f>
        <v/>
      </c>
      <c r="O667" s="68" t="str">
        <f>IF(TRIM($A667)="","",COUNTIFS('Card Test Cases'!$B$4:$B$1000,$A667,'Card Test Cases'!$A$4:$A$1000,"&lt;&gt;",'Card Test Cases'!$F$4:$F$1000,"&lt;&gt;Out of Scope"))</f>
        <v/>
      </c>
      <c r="P667" s="68" t="str">
        <f>IF(TRIM($A667)="","",COUNTIFS('Card Test Cases'!$B$4:$B$1000,$A667,'Card Test Cases'!$A$4:$A$1000,"&lt;&gt;",'Card Test Cases'!$F$4:$F$1000,"Passed"))</f>
        <v/>
      </c>
      <c r="Q667" s="68" t="str">
        <f>IF(TRIM($A667)="","",COUNTIFS('Card Test Cases'!$B$4:$B$1000,$A667,'Card Test Cases'!$A$4:$A$1000,"&lt;&gt;",'Card Test Cases'!$F$4:$F$1000,"Failed"))</f>
        <v/>
      </c>
      <c r="R667" s="68" t="str">
        <f t="shared" si="10"/>
        <v/>
      </c>
      <c r="S667" s="68" t="str" cm="1">
        <f t="array" ref="S667">IF(TRIM($A667)="","",IFERROR(_xlfn.TEXTJOIN(", ",TRUE,_xlfn.UNIQUE(_xlfn.VSTACK(_xlfn._xlws.FILTER('Card Test Cases'!$G$4:$G$1000,('Card Test Cases'!$B$4:$B$1000=$A667)*('Card Test Cases'!$G$4:$G$1000&lt;&gt;""),""),_xlfn._xlws.FILTER('E2E core flow'!$U$15:$U$1000,('E2E core flow'!$A$15:$A$1000&lt;&gt;"")*ISNUMBER(SEARCH('E2E core flow'!$A$15:$A$1000,$E667))*('E2E core flow'!$U$15:$U$1000&lt;&gt;""),"")))),"-"))</f>
        <v/>
      </c>
    </row>
    <row r="668" spans="7:19" x14ac:dyDescent="0.3">
      <c r="G668" s="68" t="str" cm="1">
        <f t="array" ref="G668">_xlfn.LET(_xlpm.ids,'E2E core flow'!$A$15:$A$1000,_xlpm.v,'E2E core flow'!$W$15:$W$1000,_xlpm.m,(_xlpm.ids&lt;&gt;"")*ISNUMBER(SEARCH(_xlpm.ids,$E668)),_xlpm.f,SUM(_xlpm.m*(_xlpm.v="Failed")),_xlpm.b,SUM(_xlpm.m*(_xlpm.v="Blocked")),_xlpm.nr,SUM(_xlpm.m*(_xlpm.v="Not Run")),_xlpm.cp,SUM(_xlpm.m*(_xlpm.v="Conditionally Passed")),_xlpm.p,SUM(_xlpm.m*(_xlpm.v="Passed")),IF(TRIM($A668)="","",IF(TRIM($E668)="","Pending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68" s="68" t="str">
        <f>IF(TRIM($A668)="","",IF($J668="Passed","",IF($J668="Passed with Known Issue","Known Issue",IF($J668="",IF(OR($H668&lt;&gt;"No",AND($F668&lt;&gt;"Medium",$F668&lt;&gt;"Low")),"Pending Result",""),IF(OR($H668&lt;&gt;"No",AND($F668&lt;&gt;"Medium",$F668&lt;&gt;"Low")),IF(COUNTIFS(Dashboard!$B$105:$B$124,$A668,Dashboard!$I$105:$I$124,"CAB")&gt;0,"Accepted (CF)","Blocking"),IF($J668="Failed","Deferrable","Carry Over"))))))</f>
        <v/>
      </c>
      <c r="M668" s="68" t="str">
        <f>IF(OR(TRIM($A668)="",TRIM($E668)=""),"",IFERROR(INDEX('E2E core flow'!$B$15:$B$1000,MATCH(1,INDEX(('E2E core flow'!$A$15:$A$1000&lt;&gt;"")*ISNUMBER(SEARCH('E2E core flow'!$A$15:$A$1000,$E668)),0),0))&amp;"","-"))</f>
        <v/>
      </c>
      <c r="N668" s="68" t="str">
        <f>IF(TRIM($A668)="","",IF($O668=0,IF(COUNTIFS('Card Test Cases'!$B$4:$B$1000,$A668,'Card Test Cases'!$A$4:$A$1000,"&lt;&gt;")&gt;0,"Out of Scope","No TC"),IF($Q668&gt;0,"Failed",IF(COUNTIFS('Card Test Cases'!$B$4:$B$1000,$A668,'Card Test Cases'!$A$4:$A$1000,"&lt;&gt;",'Card Test Cases'!$F$4:$F$1000,"Blocked")&gt;0,"Blocked",IF($R668&gt;0,"In Progress","Passed")))))</f>
        <v/>
      </c>
      <c r="O668" s="68" t="str">
        <f>IF(TRIM($A668)="","",COUNTIFS('Card Test Cases'!$B$4:$B$1000,$A668,'Card Test Cases'!$A$4:$A$1000,"&lt;&gt;",'Card Test Cases'!$F$4:$F$1000,"&lt;&gt;Out of Scope"))</f>
        <v/>
      </c>
      <c r="P668" s="68" t="str">
        <f>IF(TRIM($A668)="","",COUNTIFS('Card Test Cases'!$B$4:$B$1000,$A668,'Card Test Cases'!$A$4:$A$1000,"&lt;&gt;",'Card Test Cases'!$F$4:$F$1000,"Passed"))</f>
        <v/>
      </c>
      <c r="Q668" s="68" t="str">
        <f>IF(TRIM($A668)="","",COUNTIFS('Card Test Cases'!$B$4:$B$1000,$A668,'Card Test Cases'!$A$4:$A$1000,"&lt;&gt;",'Card Test Cases'!$F$4:$F$1000,"Failed"))</f>
        <v/>
      </c>
      <c r="R668" s="68" t="str">
        <f t="shared" si="10"/>
        <v/>
      </c>
      <c r="S668" s="68" t="str" cm="1">
        <f t="array" ref="S668">IF(TRIM($A668)="","",IFERROR(_xlfn.TEXTJOIN(", ",TRUE,_xlfn.UNIQUE(_xlfn.VSTACK(_xlfn._xlws.FILTER('Card Test Cases'!$G$4:$G$1000,('Card Test Cases'!$B$4:$B$1000=$A668)*('Card Test Cases'!$G$4:$G$1000&lt;&gt;""),""),_xlfn._xlws.FILTER('E2E core flow'!$U$15:$U$1000,('E2E core flow'!$A$15:$A$1000&lt;&gt;"")*ISNUMBER(SEARCH('E2E core flow'!$A$15:$A$1000,$E668))*('E2E core flow'!$U$15:$U$1000&lt;&gt;""),"")))),"-"))</f>
        <v/>
      </c>
    </row>
    <row r="669" spans="7:19" x14ac:dyDescent="0.3">
      <c r="G669" s="68" t="str" cm="1">
        <f t="array" ref="G669">_xlfn.LET(_xlpm.ids,'E2E core flow'!$A$15:$A$1000,_xlpm.v,'E2E core flow'!$W$15:$W$1000,_xlpm.m,(_xlpm.ids&lt;&gt;"")*ISNUMBER(SEARCH(_xlpm.ids,$E669)),_xlpm.f,SUM(_xlpm.m*(_xlpm.v="Failed")),_xlpm.b,SUM(_xlpm.m*(_xlpm.v="Blocked")),_xlpm.nr,SUM(_xlpm.m*(_xlpm.v="Not Run")),_xlpm.cp,SUM(_xlpm.m*(_xlpm.v="Conditionally Passed")),_xlpm.p,SUM(_xlpm.m*(_xlpm.v="Passed")),IF(TRIM($A669)="","",IF(TRIM($E669)="","Pending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69" s="68" t="str">
        <f>IF(TRIM($A669)="","",IF($J669="Passed","",IF($J669="Passed with Known Issue","Known Issue",IF($J669="",IF(OR($H669&lt;&gt;"No",AND($F669&lt;&gt;"Medium",$F669&lt;&gt;"Low")),"Pending Result",""),IF(OR($H669&lt;&gt;"No",AND($F669&lt;&gt;"Medium",$F669&lt;&gt;"Low")),IF(COUNTIFS(Dashboard!$B$105:$B$124,$A669,Dashboard!$I$105:$I$124,"CAB")&gt;0,"Accepted (CF)","Blocking"),IF($J669="Failed","Deferrable","Carry Over"))))))</f>
        <v/>
      </c>
      <c r="M669" s="68" t="str">
        <f>IF(OR(TRIM($A669)="",TRIM($E669)=""),"",IFERROR(INDEX('E2E core flow'!$B$15:$B$1000,MATCH(1,INDEX(('E2E core flow'!$A$15:$A$1000&lt;&gt;"")*ISNUMBER(SEARCH('E2E core flow'!$A$15:$A$1000,$E669)),0),0))&amp;"","-"))</f>
        <v/>
      </c>
      <c r="N669" s="68" t="str">
        <f>IF(TRIM($A669)="","",IF($O669=0,IF(COUNTIFS('Card Test Cases'!$B$4:$B$1000,$A669,'Card Test Cases'!$A$4:$A$1000,"&lt;&gt;")&gt;0,"Out of Scope","No TC"),IF($Q669&gt;0,"Failed",IF(COUNTIFS('Card Test Cases'!$B$4:$B$1000,$A669,'Card Test Cases'!$A$4:$A$1000,"&lt;&gt;",'Card Test Cases'!$F$4:$F$1000,"Blocked")&gt;0,"Blocked",IF($R669&gt;0,"In Progress","Passed")))))</f>
        <v/>
      </c>
      <c r="O669" s="68" t="str">
        <f>IF(TRIM($A669)="","",COUNTIFS('Card Test Cases'!$B$4:$B$1000,$A669,'Card Test Cases'!$A$4:$A$1000,"&lt;&gt;",'Card Test Cases'!$F$4:$F$1000,"&lt;&gt;Out of Scope"))</f>
        <v/>
      </c>
      <c r="P669" s="68" t="str">
        <f>IF(TRIM($A669)="","",COUNTIFS('Card Test Cases'!$B$4:$B$1000,$A669,'Card Test Cases'!$A$4:$A$1000,"&lt;&gt;",'Card Test Cases'!$F$4:$F$1000,"Passed"))</f>
        <v/>
      </c>
      <c r="Q669" s="68" t="str">
        <f>IF(TRIM($A669)="","",COUNTIFS('Card Test Cases'!$B$4:$B$1000,$A669,'Card Test Cases'!$A$4:$A$1000,"&lt;&gt;",'Card Test Cases'!$F$4:$F$1000,"Failed"))</f>
        <v/>
      </c>
      <c r="R669" s="68" t="str">
        <f t="shared" si="10"/>
        <v/>
      </c>
      <c r="S669" s="68" t="str" cm="1">
        <f t="array" ref="S669">IF(TRIM($A669)="","",IFERROR(_xlfn.TEXTJOIN(", ",TRUE,_xlfn.UNIQUE(_xlfn.VSTACK(_xlfn._xlws.FILTER('Card Test Cases'!$G$4:$G$1000,('Card Test Cases'!$B$4:$B$1000=$A669)*('Card Test Cases'!$G$4:$G$1000&lt;&gt;""),""),_xlfn._xlws.FILTER('E2E core flow'!$U$15:$U$1000,('E2E core flow'!$A$15:$A$1000&lt;&gt;"")*ISNUMBER(SEARCH('E2E core flow'!$A$15:$A$1000,$E669))*('E2E core flow'!$U$15:$U$1000&lt;&gt;""),"")))),"-"))</f>
        <v/>
      </c>
    </row>
    <row r="670" spans="7:19" x14ac:dyDescent="0.3">
      <c r="G670" s="68" t="str" cm="1">
        <f t="array" ref="G670">_xlfn.LET(_xlpm.ids,'E2E core flow'!$A$15:$A$1000,_xlpm.v,'E2E core flow'!$W$15:$W$1000,_xlpm.m,(_xlpm.ids&lt;&gt;"")*ISNUMBER(SEARCH(_xlpm.ids,$E670)),_xlpm.f,SUM(_xlpm.m*(_xlpm.v="Failed")),_xlpm.b,SUM(_xlpm.m*(_xlpm.v="Blocked")),_xlpm.nr,SUM(_xlpm.m*(_xlpm.v="Not Run")),_xlpm.cp,SUM(_xlpm.m*(_xlpm.v="Conditionally Passed")),_xlpm.p,SUM(_xlpm.m*(_xlpm.v="Passed")),IF(TRIM($A670)="","",IF(TRIM($E670)="","Pending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70" s="68" t="str">
        <f>IF(TRIM($A670)="","",IF($J670="Passed","",IF($J670="Passed with Known Issue","Known Issue",IF($J670="",IF(OR($H670&lt;&gt;"No",AND($F670&lt;&gt;"Medium",$F670&lt;&gt;"Low")),"Pending Result",""),IF(OR($H670&lt;&gt;"No",AND($F670&lt;&gt;"Medium",$F670&lt;&gt;"Low")),IF(COUNTIFS(Dashboard!$B$105:$B$124,$A670,Dashboard!$I$105:$I$124,"CAB")&gt;0,"Accepted (CF)","Blocking"),IF($J670="Failed","Deferrable","Carry Over"))))))</f>
        <v/>
      </c>
      <c r="M670" s="68" t="str">
        <f>IF(OR(TRIM($A670)="",TRIM($E670)=""),"",IFERROR(INDEX('E2E core flow'!$B$15:$B$1000,MATCH(1,INDEX(('E2E core flow'!$A$15:$A$1000&lt;&gt;"")*ISNUMBER(SEARCH('E2E core flow'!$A$15:$A$1000,$E670)),0),0))&amp;"","-"))</f>
        <v/>
      </c>
      <c r="N670" s="68" t="str">
        <f>IF(TRIM($A670)="","",IF($O670=0,IF(COUNTIFS('Card Test Cases'!$B$4:$B$1000,$A670,'Card Test Cases'!$A$4:$A$1000,"&lt;&gt;")&gt;0,"Out of Scope","No TC"),IF($Q670&gt;0,"Failed",IF(COUNTIFS('Card Test Cases'!$B$4:$B$1000,$A670,'Card Test Cases'!$A$4:$A$1000,"&lt;&gt;",'Card Test Cases'!$F$4:$F$1000,"Blocked")&gt;0,"Blocked",IF($R670&gt;0,"In Progress","Passed")))))</f>
        <v/>
      </c>
      <c r="O670" s="68" t="str">
        <f>IF(TRIM($A670)="","",COUNTIFS('Card Test Cases'!$B$4:$B$1000,$A670,'Card Test Cases'!$A$4:$A$1000,"&lt;&gt;",'Card Test Cases'!$F$4:$F$1000,"&lt;&gt;Out of Scope"))</f>
        <v/>
      </c>
      <c r="P670" s="68" t="str">
        <f>IF(TRIM($A670)="","",COUNTIFS('Card Test Cases'!$B$4:$B$1000,$A670,'Card Test Cases'!$A$4:$A$1000,"&lt;&gt;",'Card Test Cases'!$F$4:$F$1000,"Passed"))</f>
        <v/>
      </c>
      <c r="Q670" s="68" t="str">
        <f>IF(TRIM($A670)="","",COUNTIFS('Card Test Cases'!$B$4:$B$1000,$A670,'Card Test Cases'!$A$4:$A$1000,"&lt;&gt;",'Card Test Cases'!$F$4:$F$1000,"Failed"))</f>
        <v/>
      </c>
      <c r="R670" s="68" t="str">
        <f t="shared" si="10"/>
        <v/>
      </c>
      <c r="S670" s="68" t="str" cm="1">
        <f t="array" ref="S670">IF(TRIM($A670)="","",IFERROR(_xlfn.TEXTJOIN(", ",TRUE,_xlfn.UNIQUE(_xlfn.VSTACK(_xlfn._xlws.FILTER('Card Test Cases'!$G$4:$G$1000,('Card Test Cases'!$B$4:$B$1000=$A670)*('Card Test Cases'!$G$4:$G$1000&lt;&gt;""),""),_xlfn._xlws.FILTER('E2E core flow'!$U$15:$U$1000,('E2E core flow'!$A$15:$A$1000&lt;&gt;"")*ISNUMBER(SEARCH('E2E core flow'!$A$15:$A$1000,$E670))*('E2E core flow'!$U$15:$U$1000&lt;&gt;""),"")))),"-"))</f>
        <v/>
      </c>
    </row>
    <row r="671" spans="7:19" x14ac:dyDescent="0.3">
      <c r="G671" s="68" t="str" cm="1">
        <f t="array" ref="G671">_xlfn.LET(_xlpm.ids,'E2E core flow'!$A$15:$A$1000,_xlpm.v,'E2E core flow'!$W$15:$W$1000,_xlpm.m,(_xlpm.ids&lt;&gt;"")*ISNUMBER(SEARCH(_xlpm.ids,$E671)),_xlpm.f,SUM(_xlpm.m*(_xlpm.v="Failed")),_xlpm.b,SUM(_xlpm.m*(_xlpm.v="Blocked")),_xlpm.nr,SUM(_xlpm.m*(_xlpm.v="Not Run")),_xlpm.cp,SUM(_xlpm.m*(_xlpm.v="Conditionally Passed")),_xlpm.p,SUM(_xlpm.m*(_xlpm.v="Passed")),IF(TRIM($A671)="","",IF(TRIM($E671)="","Pending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71" s="68" t="str">
        <f>IF(TRIM($A671)="","",IF($J671="Passed","",IF($J671="Passed with Known Issue","Known Issue",IF($J671="",IF(OR($H671&lt;&gt;"No",AND($F671&lt;&gt;"Medium",$F671&lt;&gt;"Low")),"Pending Result",""),IF(OR($H671&lt;&gt;"No",AND($F671&lt;&gt;"Medium",$F671&lt;&gt;"Low")),IF(COUNTIFS(Dashboard!$B$105:$B$124,$A671,Dashboard!$I$105:$I$124,"CAB")&gt;0,"Accepted (CF)","Blocking"),IF($J671="Failed","Deferrable","Carry Over"))))))</f>
        <v/>
      </c>
      <c r="M671" s="68" t="str">
        <f>IF(OR(TRIM($A671)="",TRIM($E671)=""),"",IFERROR(INDEX('E2E core flow'!$B$15:$B$1000,MATCH(1,INDEX(('E2E core flow'!$A$15:$A$1000&lt;&gt;"")*ISNUMBER(SEARCH('E2E core flow'!$A$15:$A$1000,$E671)),0),0))&amp;"","-"))</f>
        <v/>
      </c>
      <c r="N671" s="68" t="str">
        <f>IF(TRIM($A671)="","",IF($O671=0,IF(COUNTIFS('Card Test Cases'!$B$4:$B$1000,$A671,'Card Test Cases'!$A$4:$A$1000,"&lt;&gt;")&gt;0,"Out of Scope","No TC"),IF($Q671&gt;0,"Failed",IF(COUNTIFS('Card Test Cases'!$B$4:$B$1000,$A671,'Card Test Cases'!$A$4:$A$1000,"&lt;&gt;",'Card Test Cases'!$F$4:$F$1000,"Blocked")&gt;0,"Blocked",IF($R671&gt;0,"In Progress","Passed")))))</f>
        <v/>
      </c>
      <c r="O671" s="68" t="str">
        <f>IF(TRIM($A671)="","",COUNTIFS('Card Test Cases'!$B$4:$B$1000,$A671,'Card Test Cases'!$A$4:$A$1000,"&lt;&gt;",'Card Test Cases'!$F$4:$F$1000,"&lt;&gt;Out of Scope"))</f>
        <v/>
      </c>
      <c r="P671" s="68" t="str">
        <f>IF(TRIM($A671)="","",COUNTIFS('Card Test Cases'!$B$4:$B$1000,$A671,'Card Test Cases'!$A$4:$A$1000,"&lt;&gt;",'Card Test Cases'!$F$4:$F$1000,"Passed"))</f>
        <v/>
      </c>
      <c r="Q671" s="68" t="str">
        <f>IF(TRIM($A671)="","",COUNTIFS('Card Test Cases'!$B$4:$B$1000,$A671,'Card Test Cases'!$A$4:$A$1000,"&lt;&gt;",'Card Test Cases'!$F$4:$F$1000,"Failed"))</f>
        <v/>
      </c>
      <c r="R671" s="68" t="str">
        <f t="shared" si="10"/>
        <v/>
      </c>
      <c r="S671" s="68" t="str" cm="1">
        <f t="array" ref="S671">IF(TRIM($A671)="","",IFERROR(_xlfn.TEXTJOIN(", ",TRUE,_xlfn.UNIQUE(_xlfn.VSTACK(_xlfn._xlws.FILTER('Card Test Cases'!$G$4:$G$1000,('Card Test Cases'!$B$4:$B$1000=$A671)*('Card Test Cases'!$G$4:$G$1000&lt;&gt;""),""),_xlfn._xlws.FILTER('E2E core flow'!$U$15:$U$1000,('E2E core flow'!$A$15:$A$1000&lt;&gt;"")*ISNUMBER(SEARCH('E2E core flow'!$A$15:$A$1000,$E671))*('E2E core flow'!$U$15:$U$1000&lt;&gt;""),"")))),"-"))</f>
        <v/>
      </c>
    </row>
    <row r="672" spans="7:19" x14ac:dyDescent="0.3">
      <c r="G672" s="68" t="str" cm="1">
        <f t="array" ref="G672">_xlfn.LET(_xlpm.ids,'E2E core flow'!$A$15:$A$1000,_xlpm.v,'E2E core flow'!$W$15:$W$1000,_xlpm.m,(_xlpm.ids&lt;&gt;"")*ISNUMBER(SEARCH(_xlpm.ids,$E672)),_xlpm.f,SUM(_xlpm.m*(_xlpm.v="Failed")),_xlpm.b,SUM(_xlpm.m*(_xlpm.v="Blocked")),_xlpm.nr,SUM(_xlpm.m*(_xlpm.v="Not Run")),_xlpm.cp,SUM(_xlpm.m*(_xlpm.v="Conditionally Passed")),_xlpm.p,SUM(_xlpm.m*(_xlpm.v="Passed")),IF(TRIM($A672)="","",IF(TRIM($E672)="","Pending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72" s="68" t="str">
        <f>IF(TRIM($A672)="","",IF($J672="Passed","",IF($J672="Passed with Known Issue","Known Issue",IF($J672="",IF(OR($H672&lt;&gt;"No",AND($F672&lt;&gt;"Medium",$F672&lt;&gt;"Low")),"Pending Result",""),IF(OR($H672&lt;&gt;"No",AND($F672&lt;&gt;"Medium",$F672&lt;&gt;"Low")),IF(COUNTIFS(Dashboard!$B$105:$B$124,$A672,Dashboard!$I$105:$I$124,"CAB")&gt;0,"Accepted (CF)","Blocking"),IF($J672="Failed","Deferrable","Carry Over"))))))</f>
        <v/>
      </c>
      <c r="M672" s="68" t="str">
        <f>IF(OR(TRIM($A672)="",TRIM($E672)=""),"",IFERROR(INDEX('E2E core flow'!$B$15:$B$1000,MATCH(1,INDEX(('E2E core flow'!$A$15:$A$1000&lt;&gt;"")*ISNUMBER(SEARCH('E2E core flow'!$A$15:$A$1000,$E672)),0),0))&amp;"","-"))</f>
        <v/>
      </c>
      <c r="N672" s="68" t="str">
        <f>IF(TRIM($A672)="","",IF($O672=0,IF(COUNTIFS('Card Test Cases'!$B$4:$B$1000,$A672,'Card Test Cases'!$A$4:$A$1000,"&lt;&gt;")&gt;0,"Out of Scope","No TC"),IF($Q672&gt;0,"Failed",IF(COUNTIFS('Card Test Cases'!$B$4:$B$1000,$A672,'Card Test Cases'!$A$4:$A$1000,"&lt;&gt;",'Card Test Cases'!$F$4:$F$1000,"Blocked")&gt;0,"Blocked",IF($R672&gt;0,"In Progress","Passed")))))</f>
        <v/>
      </c>
      <c r="O672" s="68" t="str">
        <f>IF(TRIM($A672)="","",COUNTIFS('Card Test Cases'!$B$4:$B$1000,$A672,'Card Test Cases'!$A$4:$A$1000,"&lt;&gt;",'Card Test Cases'!$F$4:$F$1000,"&lt;&gt;Out of Scope"))</f>
        <v/>
      </c>
      <c r="P672" s="68" t="str">
        <f>IF(TRIM($A672)="","",COUNTIFS('Card Test Cases'!$B$4:$B$1000,$A672,'Card Test Cases'!$A$4:$A$1000,"&lt;&gt;",'Card Test Cases'!$F$4:$F$1000,"Passed"))</f>
        <v/>
      </c>
      <c r="Q672" s="68" t="str">
        <f>IF(TRIM($A672)="","",COUNTIFS('Card Test Cases'!$B$4:$B$1000,$A672,'Card Test Cases'!$A$4:$A$1000,"&lt;&gt;",'Card Test Cases'!$F$4:$F$1000,"Failed"))</f>
        <v/>
      </c>
      <c r="R672" s="68" t="str">
        <f t="shared" si="10"/>
        <v/>
      </c>
      <c r="S672" s="68" t="str" cm="1">
        <f t="array" ref="S672">IF(TRIM($A672)="","",IFERROR(_xlfn.TEXTJOIN(", ",TRUE,_xlfn.UNIQUE(_xlfn.VSTACK(_xlfn._xlws.FILTER('Card Test Cases'!$G$4:$G$1000,('Card Test Cases'!$B$4:$B$1000=$A672)*('Card Test Cases'!$G$4:$G$1000&lt;&gt;""),""),_xlfn._xlws.FILTER('E2E core flow'!$U$15:$U$1000,('E2E core flow'!$A$15:$A$1000&lt;&gt;"")*ISNUMBER(SEARCH('E2E core flow'!$A$15:$A$1000,$E672))*('E2E core flow'!$U$15:$U$1000&lt;&gt;""),"")))),"-"))</f>
        <v/>
      </c>
    </row>
    <row r="673" spans="7:19" x14ac:dyDescent="0.3">
      <c r="G673" s="68" t="str" cm="1">
        <f t="array" ref="G673">_xlfn.LET(_xlpm.ids,'E2E core flow'!$A$15:$A$1000,_xlpm.v,'E2E core flow'!$W$15:$W$1000,_xlpm.m,(_xlpm.ids&lt;&gt;"")*ISNUMBER(SEARCH(_xlpm.ids,$E673)),_xlpm.f,SUM(_xlpm.m*(_xlpm.v="Failed")),_xlpm.b,SUM(_xlpm.m*(_xlpm.v="Blocked")),_xlpm.nr,SUM(_xlpm.m*(_xlpm.v="Not Run")),_xlpm.cp,SUM(_xlpm.m*(_xlpm.v="Conditionally Passed")),_xlpm.p,SUM(_xlpm.m*(_xlpm.v="Passed")),IF(TRIM($A673)="","",IF(TRIM($E673)="","Pending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73" s="68" t="str">
        <f>IF(TRIM($A673)="","",IF($J673="Passed","",IF($J673="Passed with Known Issue","Known Issue",IF($J673="",IF(OR($H673&lt;&gt;"No",AND($F673&lt;&gt;"Medium",$F673&lt;&gt;"Low")),"Pending Result",""),IF(OR($H673&lt;&gt;"No",AND($F673&lt;&gt;"Medium",$F673&lt;&gt;"Low")),IF(COUNTIFS(Dashboard!$B$105:$B$124,$A673,Dashboard!$I$105:$I$124,"CAB")&gt;0,"Accepted (CF)","Blocking"),IF($J673="Failed","Deferrable","Carry Over"))))))</f>
        <v/>
      </c>
      <c r="M673" s="68" t="str">
        <f>IF(OR(TRIM($A673)="",TRIM($E673)=""),"",IFERROR(INDEX('E2E core flow'!$B$15:$B$1000,MATCH(1,INDEX(('E2E core flow'!$A$15:$A$1000&lt;&gt;"")*ISNUMBER(SEARCH('E2E core flow'!$A$15:$A$1000,$E673)),0),0))&amp;"","-"))</f>
        <v/>
      </c>
      <c r="N673" s="68" t="str">
        <f>IF(TRIM($A673)="","",IF($O673=0,IF(COUNTIFS('Card Test Cases'!$B$4:$B$1000,$A673,'Card Test Cases'!$A$4:$A$1000,"&lt;&gt;")&gt;0,"Out of Scope","No TC"),IF($Q673&gt;0,"Failed",IF(COUNTIFS('Card Test Cases'!$B$4:$B$1000,$A673,'Card Test Cases'!$A$4:$A$1000,"&lt;&gt;",'Card Test Cases'!$F$4:$F$1000,"Blocked")&gt;0,"Blocked",IF($R673&gt;0,"In Progress","Passed")))))</f>
        <v/>
      </c>
      <c r="O673" s="68" t="str">
        <f>IF(TRIM($A673)="","",COUNTIFS('Card Test Cases'!$B$4:$B$1000,$A673,'Card Test Cases'!$A$4:$A$1000,"&lt;&gt;",'Card Test Cases'!$F$4:$F$1000,"&lt;&gt;Out of Scope"))</f>
        <v/>
      </c>
      <c r="P673" s="68" t="str">
        <f>IF(TRIM($A673)="","",COUNTIFS('Card Test Cases'!$B$4:$B$1000,$A673,'Card Test Cases'!$A$4:$A$1000,"&lt;&gt;",'Card Test Cases'!$F$4:$F$1000,"Passed"))</f>
        <v/>
      </c>
      <c r="Q673" s="68" t="str">
        <f>IF(TRIM($A673)="","",COUNTIFS('Card Test Cases'!$B$4:$B$1000,$A673,'Card Test Cases'!$A$4:$A$1000,"&lt;&gt;",'Card Test Cases'!$F$4:$F$1000,"Failed"))</f>
        <v/>
      </c>
      <c r="R673" s="68" t="str">
        <f t="shared" si="10"/>
        <v/>
      </c>
      <c r="S673" s="68" t="str" cm="1">
        <f t="array" ref="S673">IF(TRIM($A673)="","",IFERROR(_xlfn.TEXTJOIN(", ",TRUE,_xlfn.UNIQUE(_xlfn.VSTACK(_xlfn._xlws.FILTER('Card Test Cases'!$G$4:$G$1000,('Card Test Cases'!$B$4:$B$1000=$A673)*('Card Test Cases'!$G$4:$G$1000&lt;&gt;""),""),_xlfn._xlws.FILTER('E2E core flow'!$U$15:$U$1000,('E2E core flow'!$A$15:$A$1000&lt;&gt;"")*ISNUMBER(SEARCH('E2E core flow'!$A$15:$A$1000,$E673))*('E2E core flow'!$U$15:$U$1000&lt;&gt;""),"")))),"-"))</f>
        <v/>
      </c>
    </row>
    <row r="674" spans="7:19" x14ac:dyDescent="0.3">
      <c r="G674" s="68" t="str" cm="1">
        <f t="array" ref="G674">_xlfn.LET(_xlpm.ids,'E2E core flow'!$A$15:$A$1000,_xlpm.v,'E2E core flow'!$W$15:$W$1000,_xlpm.m,(_xlpm.ids&lt;&gt;"")*ISNUMBER(SEARCH(_xlpm.ids,$E674)),_xlpm.f,SUM(_xlpm.m*(_xlpm.v="Failed")),_xlpm.b,SUM(_xlpm.m*(_xlpm.v="Blocked")),_xlpm.nr,SUM(_xlpm.m*(_xlpm.v="Not Run")),_xlpm.cp,SUM(_xlpm.m*(_xlpm.v="Conditionally Passed")),_xlpm.p,SUM(_xlpm.m*(_xlpm.v="Passed")),IF(TRIM($A674)="","",IF(TRIM($E674)="","Pending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74" s="68" t="str">
        <f>IF(TRIM($A674)="","",IF($J674="Passed","",IF($J674="Passed with Known Issue","Known Issue",IF($J674="",IF(OR($H674&lt;&gt;"No",AND($F674&lt;&gt;"Medium",$F674&lt;&gt;"Low")),"Pending Result",""),IF(OR($H674&lt;&gt;"No",AND($F674&lt;&gt;"Medium",$F674&lt;&gt;"Low")),IF(COUNTIFS(Dashboard!$B$105:$B$124,$A674,Dashboard!$I$105:$I$124,"CAB")&gt;0,"Accepted (CF)","Blocking"),IF($J674="Failed","Deferrable","Carry Over"))))))</f>
        <v/>
      </c>
      <c r="M674" s="68" t="str">
        <f>IF(OR(TRIM($A674)="",TRIM($E674)=""),"",IFERROR(INDEX('E2E core flow'!$B$15:$B$1000,MATCH(1,INDEX(('E2E core flow'!$A$15:$A$1000&lt;&gt;"")*ISNUMBER(SEARCH('E2E core flow'!$A$15:$A$1000,$E674)),0),0))&amp;"","-"))</f>
        <v/>
      </c>
      <c r="N674" s="68" t="str">
        <f>IF(TRIM($A674)="","",IF($O674=0,IF(COUNTIFS('Card Test Cases'!$B$4:$B$1000,$A674,'Card Test Cases'!$A$4:$A$1000,"&lt;&gt;")&gt;0,"Out of Scope","No TC"),IF($Q674&gt;0,"Failed",IF(COUNTIFS('Card Test Cases'!$B$4:$B$1000,$A674,'Card Test Cases'!$A$4:$A$1000,"&lt;&gt;",'Card Test Cases'!$F$4:$F$1000,"Blocked")&gt;0,"Blocked",IF($R674&gt;0,"In Progress","Passed")))))</f>
        <v/>
      </c>
      <c r="O674" s="68" t="str">
        <f>IF(TRIM($A674)="","",COUNTIFS('Card Test Cases'!$B$4:$B$1000,$A674,'Card Test Cases'!$A$4:$A$1000,"&lt;&gt;",'Card Test Cases'!$F$4:$F$1000,"&lt;&gt;Out of Scope"))</f>
        <v/>
      </c>
      <c r="P674" s="68" t="str">
        <f>IF(TRIM($A674)="","",COUNTIFS('Card Test Cases'!$B$4:$B$1000,$A674,'Card Test Cases'!$A$4:$A$1000,"&lt;&gt;",'Card Test Cases'!$F$4:$F$1000,"Passed"))</f>
        <v/>
      </c>
      <c r="Q674" s="68" t="str">
        <f>IF(TRIM($A674)="","",COUNTIFS('Card Test Cases'!$B$4:$B$1000,$A674,'Card Test Cases'!$A$4:$A$1000,"&lt;&gt;",'Card Test Cases'!$F$4:$F$1000,"Failed"))</f>
        <v/>
      </c>
      <c r="R674" s="68" t="str">
        <f t="shared" si="10"/>
        <v/>
      </c>
      <c r="S674" s="68" t="str" cm="1">
        <f t="array" ref="S674">IF(TRIM($A674)="","",IFERROR(_xlfn.TEXTJOIN(", ",TRUE,_xlfn.UNIQUE(_xlfn.VSTACK(_xlfn._xlws.FILTER('Card Test Cases'!$G$4:$G$1000,('Card Test Cases'!$B$4:$B$1000=$A674)*('Card Test Cases'!$G$4:$G$1000&lt;&gt;""),""),_xlfn._xlws.FILTER('E2E core flow'!$U$15:$U$1000,('E2E core flow'!$A$15:$A$1000&lt;&gt;"")*ISNUMBER(SEARCH('E2E core flow'!$A$15:$A$1000,$E674))*('E2E core flow'!$U$15:$U$1000&lt;&gt;""),"")))),"-"))</f>
        <v/>
      </c>
    </row>
    <row r="675" spans="7:19" x14ac:dyDescent="0.3">
      <c r="G675" s="68" t="str" cm="1">
        <f t="array" ref="G675">_xlfn.LET(_xlpm.ids,'E2E core flow'!$A$15:$A$1000,_xlpm.v,'E2E core flow'!$W$15:$W$1000,_xlpm.m,(_xlpm.ids&lt;&gt;"")*ISNUMBER(SEARCH(_xlpm.ids,$E675)),_xlpm.f,SUM(_xlpm.m*(_xlpm.v="Failed")),_xlpm.b,SUM(_xlpm.m*(_xlpm.v="Blocked")),_xlpm.nr,SUM(_xlpm.m*(_xlpm.v="Not Run")),_xlpm.cp,SUM(_xlpm.m*(_xlpm.v="Conditionally Passed")),_xlpm.p,SUM(_xlpm.m*(_xlpm.v="Passed")),IF(TRIM($A675)="","",IF(TRIM($E675)="","Pending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75" s="68" t="str">
        <f>IF(TRIM($A675)="","",IF($J675="Passed","",IF($J675="Passed with Known Issue","Known Issue",IF($J675="",IF(OR($H675&lt;&gt;"No",AND($F675&lt;&gt;"Medium",$F675&lt;&gt;"Low")),"Pending Result",""),IF(OR($H675&lt;&gt;"No",AND($F675&lt;&gt;"Medium",$F675&lt;&gt;"Low")),IF(COUNTIFS(Dashboard!$B$105:$B$124,$A675,Dashboard!$I$105:$I$124,"CAB")&gt;0,"Accepted (CF)","Blocking"),IF($J675="Failed","Deferrable","Carry Over"))))))</f>
        <v/>
      </c>
      <c r="M675" s="68" t="str">
        <f>IF(OR(TRIM($A675)="",TRIM($E675)=""),"",IFERROR(INDEX('E2E core flow'!$B$15:$B$1000,MATCH(1,INDEX(('E2E core flow'!$A$15:$A$1000&lt;&gt;"")*ISNUMBER(SEARCH('E2E core flow'!$A$15:$A$1000,$E675)),0),0))&amp;"","-"))</f>
        <v/>
      </c>
      <c r="N675" s="68" t="str">
        <f>IF(TRIM($A675)="","",IF($O675=0,IF(COUNTIFS('Card Test Cases'!$B$4:$B$1000,$A675,'Card Test Cases'!$A$4:$A$1000,"&lt;&gt;")&gt;0,"Out of Scope","No TC"),IF($Q675&gt;0,"Failed",IF(COUNTIFS('Card Test Cases'!$B$4:$B$1000,$A675,'Card Test Cases'!$A$4:$A$1000,"&lt;&gt;",'Card Test Cases'!$F$4:$F$1000,"Blocked")&gt;0,"Blocked",IF($R675&gt;0,"In Progress","Passed")))))</f>
        <v/>
      </c>
      <c r="O675" s="68" t="str">
        <f>IF(TRIM($A675)="","",COUNTIFS('Card Test Cases'!$B$4:$B$1000,$A675,'Card Test Cases'!$A$4:$A$1000,"&lt;&gt;",'Card Test Cases'!$F$4:$F$1000,"&lt;&gt;Out of Scope"))</f>
        <v/>
      </c>
      <c r="P675" s="68" t="str">
        <f>IF(TRIM($A675)="","",COUNTIFS('Card Test Cases'!$B$4:$B$1000,$A675,'Card Test Cases'!$A$4:$A$1000,"&lt;&gt;",'Card Test Cases'!$F$4:$F$1000,"Passed"))</f>
        <v/>
      </c>
      <c r="Q675" s="68" t="str">
        <f>IF(TRIM($A675)="","",COUNTIFS('Card Test Cases'!$B$4:$B$1000,$A675,'Card Test Cases'!$A$4:$A$1000,"&lt;&gt;",'Card Test Cases'!$F$4:$F$1000,"Failed"))</f>
        <v/>
      </c>
      <c r="R675" s="68" t="str">
        <f t="shared" si="10"/>
        <v/>
      </c>
      <c r="S675" s="68" t="str" cm="1">
        <f t="array" ref="S675">IF(TRIM($A675)="","",IFERROR(_xlfn.TEXTJOIN(", ",TRUE,_xlfn.UNIQUE(_xlfn.VSTACK(_xlfn._xlws.FILTER('Card Test Cases'!$G$4:$G$1000,('Card Test Cases'!$B$4:$B$1000=$A675)*('Card Test Cases'!$G$4:$G$1000&lt;&gt;""),""),_xlfn._xlws.FILTER('E2E core flow'!$U$15:$U$1000,('E2E core flow'!$A$15:$A$1000&lt;&gt;"")*ISNUMBER(SEARCH('E2E core flow'!$A$15:$A$1000,$E675))*('E2E core flow'!$U$15:$U$1000&lt;&gt;""),"")))),"-"))</f>
        <v/>
      </c>
    </row>
    <row r="676" spans="7:19" x14ac:dyDescent="0.3">
      <c r="G676" s="68" t="str" cm="1">
        <f t="array" ref="G676">_xlfn.LET(_xlpm.ids,'E2E core flow'!$A$15:$A$1000,_xlpm.v,'E2E core flow'!$W$15:$W$1000,_xlpm.m,(_xlpm.ids&lt;&gt;"")*ISNUMBER(SEARCH(_xlpm.ids,$E676)),_xlpm.f,SUM(_xlpm.m*(_xlpm.v="Failed")),_xlpm.b,SUM(_xlpm.m*(_xlpm.v="Blocked")),_xlpm.nr,SUM(_xlpm.m*(_xlpm.v="Not Run")),_xlpm.cp,SUM(_xlpm.m*(_xlpm.v="Conditionally Passed")),_xlpm.p,SUM(_xlpm.m*(_xlpm.v="Passed")),IF(TRIM($A676)="","",IF(TRIM($E676)="","Pending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76" s="68" t="str">
        <f>IF(TRIM($A676)="","",IF($J676="Passed","",IF($J676="Passed with Known Issue","Known Issue",IF($J676="",IF(OR($H676&lt;&gt;"No",AND($F676&lt;&gt;"Medium",$F676&lt;&gt;"Low")),"Pending Result",""),IF(OR($H676&lt;&gt;"No",AND($F676&lt;&gt;"Medium",$F676&lt;&gt;"Low")),IF(COUNTIFS(Dashboard!$B$105:$B$124,$A676,Dashboard!$I$105:$I$124,"CAB")&gt;0,"Accepted (CF)","Blocking"),IF($J676="Failed","Deferrable","Carry Over"))))))</f>
        <v/>
      </c>
      <c r="M676" s="68" t="str">
        <f>IF(OR(TRIM($A676)="",TRIM($E676)=""),"",IFERROR(INDEX('E2E core flow'!$B$15:$B$1000,MATCH(1,INDEX(('E2E core flow'!$A$15:$A$1000&lt;&gt;"")*ISNUMBER(SEARCH('E2E core flow'!$A$15:$A$1000,$E676)),0),0))&amp;"","-"))</f>
        <v/>
      </c>
      <c r="N676" s="68" t="str">
        <f>IF(TRIM($A676)="","",IF($O676=0,IF(COUNTIFS('Card Test Cases'!$B$4:$B$1000,$A676,'Card Test Cases'!$A$4:$A$1000,"&lt;&gt;")&gt;0,"Out of Scope","No TC"),IF($Q676&gt;0,"Failed",IF(COUNTIFS('Card Test Cases'!$B$4:$B$1000,$A676,'Card Test Cases'!$A$4:$A$1000,"&lt;&gt;",'Card Test Cases'!$F$4:$F$1000,"Blocked")&gt;0,"Blocked",IF($R676&gt;0,"In Progress","Passed")))))</f>
        <v/>
      </c>
      <c r="O676" s="68" t="str">
        <f>IF(TRIM($A676)="","",COUNTIFS('Card Test Cases'!$B$4:$B$1000,$A676,'Card Test Cases'!$A$4:$A$1000,"&lt;&gt;",'Card Test Cases'!$F$4:$F$1000,"&lt;&gt;Out of Scope"))</f>
        <v/>
      </c>
      <c r="P676" s="68" t="str">
        <f>IF(TRIM($A676)="","",COUNTIFS('Card Test Cases'!$B$4:$B$1000,$A676,'Card Test Cases'!$A$4:$A$1000,"&lt;&gt;",'Card Test Cases'!$F$4:$F$1000,"Passed"))</f>
        <v/>
      </c>
      <c r="Q676" s="68" t="str">
        <f>IF(TRIM($A676)="","",COUNTIFS('Card Test Cases'!$B$4:$B$1000,$A676,'Card Test Cases'!$A$4:$A$1000,"&lt;&gt;",'Card Test Cases'!$F$4:$F$1000,"Failed"))</f>
        <v/>
      </c>
      <c r="R676" s="68" t="str">
        <f t="shared" si="10"/>
        <v/>
      </c>
      <c r="S676" s="68" t="str" cm="1">
        <f t="array" ref="S676">IF(TRIM($A676)="","",IFERROR(_xlfn.TEXTJOIN(", ",TRUE,_xlfn.UNIQUE(_xlfn.VSTACK(_xlfn._xlws.FILTER('Card Test Cases'!$G$4:$G$1000,('Card Test Cases'!$B$4:$B$1000=$A676)*('Card Test Cases'!$G$4:$G$1000&lt;&gt;""),""),_xlfn._xlws.FILTER('E2E core flow'!$U$15:$U$1000,('E2E core flow'!$A$15:$A$1000&lt;&gt;"")*ISNUMBER(SEARCH('E2E core flow'!$A$15:$A$1000,$E676))*('E2E core flow'!$U$15:$U$1000&lt;&gt;""),"")))),"-"))</f>
        <v/>
      </c>
    </row>
    <row r="677" spans="7:19" x14ac:dyDescent="0.3">
      <c r="G677" s="68" t="str" cm="1">
        <f t="array" ref="G677">_xlfn.LET(_xlpm.ids,'E2E core flow'!$A$15:$A$1000,_xlpm.v,'E2E core flow'!$W$15:$W$1000,_xlpm.m,(_xlpm.ids&lt;&gt;"")*ISNUMBER(SEARCH(_xlpm.ids,$E677)),_xlpm.f,SUM(_xlpm.m*(_xlpm.v="Failed")),_xlpm.b,SUM(_xlpm.m*(_xlpm.v="Blocked")),_xlpm.nr,SUM(_xlpm.m*(_xlpm.v="Not Run")),_xlpm.cp,SUM(_xlpm.m*(_xlpm.v="Conditionally Passed")),_xlpm.p,SUM(_xlpm.m*(_xlpm.v="Passed")),IF(TRIM($A677)="","",IF(TRIM($E677)="","Pending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77" s="68" t="str">
        <f>IF(TRIM($A677)="","",IF($J677="Passed","",IF($J677="Passed with Known Issue","Known Issue",IF($J677="",IF(OR($H677&lt;&gt;"No",AND($F677&lt;&gt;"Medium",$F677&lt;&gt;"Low")),"Pending Result",""),IF(OR($H677&lt;&gt;"No",AND($F677&lt;&gt;"Medium",$F677&lt;&gt;"Low")),IF(COUNTIFS(Dashboard!$B$105:$B$124,$A677,Dashboard!$I$105:$I$124,"CAB")&gt;0,"Accepted (CF)","Blocking"),IF($J677="Failed","Deferrable","Carry Over"))))))</f>
        <v/>
      </c>
      <c r="M677" s="68" t="str">
        <f>IF(OR(TRIM($A677)="",TRIM($E677)=""),"",IFERROR(INDEX('E2E core flow'!$B$15:$B$1000,MATCH(1,INDEX(('E2E core flow'!$A$15:$A$1000&lt;&gt;"")*ISNUMBER(SEARCH('E2E core flow'!$A$15:$A$1000,$E677)),0),0))&amp;"","-"))</f>
        <v/>
      </c>
      <c r="N677" s="68" t="str">
        <f>IF(TRIM($A677)="","",IF($O677=0,IF(COUNTIFS('Card Test Cases'!$B$4:$B$1000,$A677,'Card Test Cases'!$A$4:$A$1000,"&lt;&gt;")&gt;0,"Out of Scope","No TC"),IF($Q677&gt;0,"Failed",IF(COUNTIFS('Card Test Cases'!$B$4:$B$1000,$A677,'Card Test Cases'!$A$4:$A$1000,"&lt;&gt;",'Card Test Cases'!$F$4:$F$1000,"Blocked")&gt;0,"Blocked",IF($R677&gt;0,"In Progress","Passed")))))</f>
        <v/>
      </c>
      <c r="O677" s="68" t="str">
        <f>IF(TRIM($A677)="","",COUNTIFS('Card Test Cases'!$B$4:$B$1000,$A677,'Card Test Cases'!$A$4:$A$1000,"&lt;&gt;",'Card Test Cases'!$F$4:$F$1000,"&lt;&gt;Out of Scope"))</f>
        <v/>
      </c>
      <c r="P677" s="68" t="str">
        <f>IF(TRIM($A677)="","",COUNTIFS('Card Test Cases'!$B$4:$B$1000,$A677,'Card Test Cases'!$A$4:$A$1000,"&lt;&gt;",'Card Test Cases'!$F$4:$F$1000,"Passed"))</f>
        <v/>
      </c>
      <c r="Q677" s="68" t="str">
        <f>IF(TRIM($A677)="","",COUNTIFS('Card Test Cases'!$B$4:$B$1000,$A677,'Card Test Cases'!$A$4:$A$1000,"&lt;&gt;",'Card Test Cases'!$F$4:$F$1000,"Failed"))</f>
        <v/>
      </c>
      <c r="R677" s="68" t="str">
        <f t="shared" si="10"/>
        <v/>
      </c>
      <c r="S677" s="68" t="str" cm="1">
        <f t="array" ref="S677">IF(TRIM($A677)="","",IFERROR(_xlfn.TEXTJOIN(", ",TRUE,_xlfn.UNIQUE(_xlfn.VSTACK(_xlfn._xlws.FILTER('Card Test Cases'!$G$4:$G$1000,('Card Test Cases'!$B$4:$B$1000=$A677)*('Card Test Cases'!$G$4:$G$1000&lt;&gt;""),""),_xlfn._xlws.FILTER('E2E core flow'!$U$15:$U$1000,('E2E core flow'!$A$15:$A$1000&lt;&gt;"")*ISNUMBER(SEARCH('E2E core flow'!$A$15:$A$1000,$E677))*('E2E core flow'!$U$15:$U$1000&lt;&gt;""),"")))),"-"))</f>
        <v/>
      </c>
    </row>
    <row r="678" spans="7:19" x14ac:dyDescent="0.3">
      <c r="G678" s="68" t="str" cm="1">
        <f t="array" ref="G678">_xlfn.LET(_xlpm.ids,'E2E core flow'!$A$15:$A$1000,_xlpm.v,'E2E core flow'!$W$15:$W$1000,_xlpm.m,(_xlpm.ids&lt;&gt;"")*ISNUMBER(SEARCH(_xlpm.ids,$E678)),_xlpm.f,SUM(_xlpm.m*(_xlpm.v="Failed")),_xlpm.b,SUM(_xlpm.m*(_xlpm.v="Blocked")),_xlpm.nr,SUM(_xlpm.m*(_xlpm.v="Not Run")),_xlpm.cp,SUM(_xlpm.m*(_xlpm.v="Conditionally Passed")),_xlpm.p,SUM(_xlpm.m*(_xlpm.v="Passed")),IF(TRIM($A678)="","",IF(TRIM($E678)="","Pending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78" s="68" t="str">
        <f>IF(TRIM($A678)="","",IF($J678="Passed","",IF($J678="Passed with Known Issue","Known Issue",IF($J678="",IF(OR($H678&lt;&gt;"No",AND($F678&lt;&gt;"Medium",$F678&lt;&gt;"Low")),"Pending Result",""),IF(OR($H678&lt;&gt;"No",AND($F678&lt;&gt;"Medium",$F678&lt;&gt;"Low")),IF(COUNTIFS(Dashboard!$B$105:$B$124,$A678,Dashboard!$I$105:$I$124,"CAB")&gt;0,"Accepted (CF)","Blocking"),IF($J678="Failed","Deferrable","Carry Over"))))))</f>
        <v/>
      </c>
      <c r="M678" s="68" t="str">
        <f>IF(OR(TRIM($A678)="",TRIM($E678)=""),"",IFERROR(INDEX('E2E core flow'!$B$15:$B$1000,MATCH(1,INDEX(('E2E core flow'!$A$15:$A$1000&lt;&gt;"")*ISNUMBER(SEARCH('E2E core flow'!$A$15:$A$1000,$E678)),0),0))&amp;"","-"))</f>
        <v/>
      </c>
      <c r="N678" s="68" t="str">
        <f>IF(TRIM($A678)="","",IF($O678=0,IF(COUNTIFS('Card Test Cases'!$B$4:$B$1000,$A678,'Card Test Cases'!$A$4:$A$1000,"&lt;&gt;")&gt;0,"Out of Scope","No TC"),IF($Q678&gt;0,"Failed",IF(COUNTIFS('Card Test Cases'!$B$4:$B$1000,$A678,'Card Test Cases'!$A$4:$A$1000,"&lt;&gt;",'Card Test Cases'!$F$4:$F$1000,"Blocked")&gt;0,"Blocked",IF($R678&gt;0,"In Progress","Passed")))))</f>
        <v/>
      </c>
      <c r="O678" s="68" t="str">
        <f>IF(TRIM($A678)="","",COUNTIFS('Card Test Cases'!$B$4:$B$1000,$A678,'Card Test Cases'!$A$4:$A$1000,"&lt;&gt;",'Card Test Cases'!$F$4:$F$1000,"&lt;&gt;Out of Scope"))</f>
        <v/>
      </c>
      <c r="P678" s="68" t="str">
        <f>IF(TRIM($A678)="","",COUNTIFS('Card Test Cases'!$B$4:$B$1000,$A678,'Card Test Cases'!$A$4:$A$1000,"&lt;&gt;",'Card Test Cases'!$F$4:$F$1000,"Passed"))</f>
        <v/>
      </c>
      <c r="Q678" s="68" t="str">
        <f>IF(TRIM($A678)="","",COUNTIFS('Card Test Cases'!$B$4:$B$1000,$A678,'Card Test Cases'!$A$4:$A$1000,"&lt;&gt;",'Card Test Cases'!$F$4:$F$1000,"Failed"))</f>
        <v/>
      </c>
      <c r="R678" s="68" t="str">
        <f t="shared" si="10"/>
        <v/>
      </c>
      <c r="S678" s="68" t="str" cm="1">
        <f t="array" ref="S678">IF(TRIM($A678)="","",IFERROR(_xlfn.TEXTJOIN(", ",TRUE,_xlfn.UNIQUE(_xlfn.VSTACK(_xlfn._xlws.FILTER('Card Test Cases'!$G$4:$G$1000,('Card Test Cases'!$B$4:$B$1000=$A678)*('Card Test Cases'!$G$4:$G$1000&lt;&gt;""),""),_xlfn._xlws.FILTER('E2E core flow'!$U$15:$U$1000,('E2E core flow'!$A$15:$A$1000&lt;&gt;"")*ISNUMBER(SEARCH('E2E core flow'!$A$15:$A$1000,$E678))*('E2E core flow'!$U$15:$U$1000&lt;&gt;""),"")))),"-"))</f>
        <v/>
      </c>
    </row>
    <row r="679" spans="7:19" x14ac:dyDescent="0.3">
      <c r="G679" s="68" t="str" cm="1">
        <f t="array" ref="G679">_xlfn.LET(_xlpm.ids,'E2E core flow'!$A$15:$A$1000,_xlpm.v,'E2E core flow'!$W$15:$W$1000,_xlpm.m,(_xlpm.ids&lt;&gt;"")*ISNUMBER(SEARCH(_xlpm.ids,$E679)),_xlpm.f,SUM(_xlpm.m*(_xlpm.v="Failed")),_xlpm.b,SUM(_xlpm.m*(_xlpm.v="Blocked")),_xlpm.nr,SUM(_xlpm.m*(_xlpm.v="Not Run")),_xlpm.cp,SUM(_xlpm.m*(_xlpm.v="Conditionally Passed")),_xlpm.p,SUM(_xlpm.m*(_xlpm.v="Passed")),IF(TRIM($A679)="","",IF(TRIM($E679)="","Pending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79" s="68" t="str">
        <f>IF(TRIM($A679)="","",IF($J679="Passed","",IF($J679="Passed with Known Issue","Known Issue",IF($J679="",IF(OR($H679&lt;&gt;"No",AND($F679&lt;&gt;"Medium",$F679&lt;&gt;"Low")),"Pending Result",""),IF(OR($H679&lt;&gt;"No",AND($F679&lt;&gt;"Medium",$F679&lt;&gt;"Low")),IF(COUNTIFS(Dashboard!$B$105:$B$124,$A679,Dashboard!$I$105:$I$124,"CAB")&gt;0,"Accepted (CF)","Blocking"),IF($J679="Failed","Deferrable","Carry Over"))))))</f>
        <v/>
      </c>
      <c r="M679" s="68" t="str">
        <f>IF(OR(TRIM($A679)="",TRIM($E679)=""),"",IFERROR(INDEX('E2E core flow'!$B$15:$B$1000,MATCH(1,INDEX(('E2E core flow'!$A$15:$A$1000&lt;&gt;"")*ISNUMBER(SEARCH('E2E core flow'!$A$15:$A$1000,$E679)),0),0))&amp;"","-"))</f>
        <v/>
      </c>
      <c r="N679" s="68" t="str">
        <f>IF(TRIM($A679)="","",IF($O679=0,IF(COUNTIFS('Card Test Cases'!$B$4:$B$1000,$A679,'Card Test Cases'!$A$4:$A$1000,"&lt;&gt;")&gt;0,"Out of Scope","No TC"),IF($Q679&gt;0,"Failed",IF(COUNTIFS('Card Test Cases'!$B$4:$B$1000,$A679,'Card Test Cases'!$A$4:$A$1000,"&lt;&gt;",'Card Test Cases'!$F$4:$F$1000,"Blocked")&gt;0,"Blocked",IF($R679&gt;0,"In Progress","Passed")))))</f>
        <v/>
      </c>
      <c r="O679" s="68" t="str">
        <f>IF(TRIM($A679)="","",COUNTIFS('Card Test Cases'!$B$4:$B$1000,$A679,'Card Test Cases'!$A$4:$A$1000,"&lt;&gt;",'Card Test Cases'!$F$4:$F$1000,"&lt;&gt;Out of Scope"))</f>
        <v/>
      </c>
      <c r="P679" s="68" t="str">
        <f>IF(TRIM($A679)="","",COUNTIFS('Card Test Cases'!$B$4:$B$1000,$A679,'Card Test Cases'!$A$4:$A$1000,"&lt;&gt;",'Card Test Cases'!$F$4:$F$1000,"Passed"))</f>
        <v/>
      </c>
      <c r="Q679" s="68" t="str">
        <f>IF(TRIM($A679)="","",COUNTIFS('Card Test Cases'!$B$4:$B$1000,$A679,'Card Test Cases'!$A$4:$A$1000,"&lt;&gt;",'Card Test Cases'!$F$4:$F$1000,"Failed"))</f>
        <v/>
      </c>
      <c r="R679" s="68" t="str">
        <f t="shared" si="10"/>
        <v/>
      </c>
      <c r="S679" s="68" t="str" cm="1">
        <f t="array" ref="S679">IF(TRIM($A679)="","",IFERROR(_xlfn.TEXTJOIN(", ",TRUE,_xlfn.UNIQUE(_xlfn.VSTACK(_xlfn._xlws.FILTER('Card Test Cases'!$G$4:$G$1000,('Card Test Cases'!$B$4:$B$1000=$A679)*('Card Test Cases'!$G$4:$G$1000&lt;&gt;""),""),_xlfn._xlws.FILTER('E2E core flow'!$U$15:$U$1000,('E2E core flow'!$A$15:$A$1000&lt;&gt;"")*ISNUMBER(SEARCH('E2E core flow'!$A$15:$A$1000,$E679))*('E2E core flow'!$U$15:$U$1000&lt;&gt;""),"")))),"-"))</f>
        <v/>
      </c>
    </row>
    <row r="680" spans="7:19" x14ac:dyDescent="0.3">
      <c r="G680" s="68" t="str" cm="1">
        <f t="array" ref="G680">_xlfn.LET(_xlpm.ids,'E2E core flow'!$A$15:$A$1000,_xlpm.v,'E2E core flow'!$W$15:$W$1000,_xlpm.m,(_xlpm.ids&lt;&gt;"")*ISNUMBER(SEARCH(_xlpm.ids,$E680)),_xlpm.f,SUM(_xlpm.m*(_xlpm.v="Failed")),_xlpm.b,SUM(_xlpm.m*(_xlpm.v="Blocked")),_xlpm.nr,SUM(_xlpm.m*(_xlpm.v="Not Run")),_xlpm.cp,SUM(_xlpm.m*(_xlpm.v="Conditionally Passed")),_xlpm.p,SUM(_xlpm.m*(_xlpm.v="Passed")),IF(TRIM($A680)="","",IF(TRIM($E680)="","Pending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80" s="68" t="str">
        <f>IF(TRIM($A680)="","",IF($J680="Passed","",IF($J680="Passed with Known Issue","Known Issue",IF($J680="",IF(OR($H680&lt;&gt;"No",AND($F680&lt;&gt;"Medium",$F680&lt;&gt;"Low")),"Pending Result",""),IF(OR($H680&lt;&gt;"No",AND($F680&lt;&gt;"Medium",$F680&lt;&gt;"Low")),IF(COUNTIFS(Dashboard!$B$105:$B$124,$A680,Dashboard!$I$105:$I$124,"CAB")&gt;0,"Accepted (CF)","Blocking"),IF($J680="Failed","Deferrable","Carry Over"))))))</f>
        <v/>
      </c>
      <c r="M680" s="68" t="str">
        <f>IF(OR(TRIM($A680)="",TRIM($E680)=""),"",IFERROR(INDEX('E2E core flow'!$B$15:$B$1000,MATCH(1,INDEX(('E2E core flow'!$A$15:$A$1000&lt;&gt;"")*ISNUMBER(SEARCH('E2E core flow'!$A$15:$A$1000,$E680)),0),0))&amp;"","-"))</f>
        <v/>
      </c>
      <c r="N680" s="68" t="str">
        <f>IF(TRIM($A680)="","",IF($O680=0,IF(COUNTIFS('Card Test Cases'!$B$4:$B$1000,$A680,'Card Test Cases'!$A$4:$A$1000,"&lt;&gt;")&gt;0,"Out of Scope","No TC"),IF($Q680&gt;0,"Failed",IF(COUNTIFS('Card Test Cases'!$B$4:$B$1000,$A680,'Card Test Cases'!$A$4:$A$1000,"&lt;&gt;",'Card Test Cases'!$F$4:$F$1000,"Blocked")&gt;0,"Blocked",IF($R680&gt;0,"In Progress","Passed")))))</f>
        <v/>
      </c>
      <c r="O680" s="68" t="str">
        <f>IF(TRIM($A680)="","",COUNTIFS('Card Test Cases'!$B$4:$B$1000,$A680,'Card Test Cases'!$A$4:$A$1000,"&lt;&gt;",'Card Test Cases'!$F$4:$F$1000,"&lt;&gt;Out of Scope"))</f>
        <v/>
      </c>
      <c r="P680" s="68" t="str">
        <f>IF(TRIM($A680)="","",COUNTIFS('Card Test Cases'!$B$4:$B$1000,$A680,'Card Test Cases'!$A$4:$A$1000,"&lt;&gt;",'Card Test Cases'!$F$4:$F$1000,"Passed"))</f>
        <v/>
      </c>
      <c r="Q680" s="68" t="str">
        <f>IF(TRIM($A680)="","",COUNTIFS('Card Test Cases'!$B$4:$B$1000,$A680,'Card Test Cases'!$A$4:$A$1000,"&lt;&gt;",'Card Test Cases'!$F$4:$F$1000,"Failed"))</f>
        <v/>
      </c>
      <c r="R680" s="68" t="str">
        <f t="shared" si="10"/>
        <v/>
      </c>
      <c r="S680" s="68" t="str" cm="1">
        <f t="array" ref="S680">IF(TRIM($A680)="","",IFERROR(_xlfn.TEXTJOIN(", ",TRUE,_xlfn.UNIQUE(_xlfn.VSTACK(_xlfn._xlws.FILTER('Card Test Cases'!$G$4:$G$1000,('Card Test Cases'!$B$4:$B$1000=$A680)*('Card Test Cases'!$G$4:$G$1000&lt;&gt;""),""),_xlfn._xlws.FILTER('E2E core flow'!$U$15:$U$1000,('E2E core flow'!$A$15:$A$1000&lt;&gt;"")*ISNUMBER(SEARCH('E2E core flow'!$A$15:$A$1000,$E680))*('E2E core flow'!$U$15:$U$1000&lt;&gt;""),"")))),"-"))</f>
        <v/>
      </c>
    </row>
    <row r="681" spans="7:19" x14ac:dyDescent="0.3">
      <c r="G681" s="68" t="str" cm="1">
        <f t="array" ref="G681">_xlfn.LET(_xlpm.ids,'E2E core flow'!$A$15:$A$1000,_xlpm.v,'E2E core flow'!$W$15:$W$1000,_xlpm.m,(_xlpm.ids&lt;&gt;"")*ISNUMBER(SEARCH(_xlpm.ids,$E681)),_xlpm.f,SUM(_xlpm.m*(_xlpm.v="Failed")),_xlpm.b,SUM(_xlpm.m*(_xlpm.v="Blocked")),_xlpm.nr,SUM(_xlpm.m*(_xlpm.v="Not Run")),_xlpm.cp,SUM(_xlpm.m*(_xlpm.v="Conditionally Passed")),_xlpm.p,SUM(_xlpm.m*(_xlpm.v="Passed")),IF(TRIM($A681)="","",IF(TRIM($E681)="","Pending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81" s="68" t="str">
        <f>IF(TRIM($A681)="","",IF($J681="Passed","",IF($J681="Passed with Known Issue","Known Issue",IF($J681="",IF(OR($H681&lt;&gt;"No",AND($F681&lt;&gt;"Medium",$F681&lt;&gt;"Low")),"Pending Result",""),IF(OR($H681&lt;&gt;"No",AND($F681&lt;&gt;"Medium",$F681&lt;&gt;"Low")),IF(COUNTIFS(Dashboard!$B$105:$B$124,$A681,Dashboard!$I$105:$I$124,"CAB")&gt;0,"Accepted (CF)","Blocking"),IF($J681="Failed","Deferrable","Carry Over"))))))</f>
        <v/>
      </c>
      <c r="M681" s="68" t="str">
        <f>IF(OR(TRIM($A681)="",TRIM($E681)=""),"",IFERROR(INDEX('E2E core flow'!$B$15:$B$1000,MATCH(1,INDEX(('E2E core flow'!$A$15:$A$1000&lt;&gt;"")*ISNUMBER(SEARCH('E2E core flow'!$A$15:$A$1000,$E681)),0),0))&amp;"","-"))</f>
        <v/>
      </c>
      <c r="N681" s="68" t="str">
        <f>IF(TRIM($A681)="","",IF($O681=0,IF(COUNTIFS('Card Test Cases'!$B$4:$B$1000,$A681,'Card Test Cases'!$A$4:$A$1000,"&lt;&gt;")&gt;0,"Out of Scope","No TC"),IF($Q681&gt;0,"Failed",IF(COUNTIFS('Card Test Cases'!$B$4:$B$1000,$A681,'Card Test Cases'!$A$4:$A$1000,"&lt;&gt;",'Card Test Cases'!$F$4:$F$1000,"Blocked")&gt;0,"Blocked",IF($R681&gt;0,"In Progress","Passed")))))</f>
        <v/>
      </c>
      <c r="O681" s="68" t="str">
        <f>IF(TRIM($A681)="","",COUNTIFS('Card Test Cases'!$B$4:$B$1000,$A681,'Card Test Cases'!$A$4:$A$1000,"&lt;&gt;",'Card Test Cases'!$F$4:$F$1000,"&lt;&gt;Out of Scope"))</f>
        <v/>
      </c>
      <c r="P681" s="68" t="str">
        <f>IF(TRIM($A681)="","",COUNTIFS('Card Test Cases'!$B$4:$B$1000,$A681,'Card Test Cases'!$A$4:$A$1000,"&lt;&gt;",'Card Test Cases'!$F$4:$F$1000,"Passed"))</f>
        <v/>
      </c>
      <c r="Q681" s="68" t="str">
        <f>IF(TRIM($A681)="","",COUNTIFS('Card Test Cases'!$B$4:$B$1000,$A681,'Card Test Cases'!$A$4:$A$1000,"&lt;&gt;",'Card Test Cases'!$F$4:$F$1000,"Failed"))</f>
        <v/>
      </c>
      <c r="R681" s="68" t="str">
        <f t="shared" si="10"/>
        <v/>
      </c>
      <c r="S681" s="68" t="str" cm="1">
        <f t="array" ref="S681">IF(TRIM($A681)="","",IFERROR(_xlfn.TEXTJOIN(", ",TRUE,_xlfn.UNIQUE(_xlfn.VSTACK(_xlfn._xlws.FILTER('Card Test Cases'!$G$4:$G$1000,('Card Test Cases'!$B$4:$B$1000=$A681)*('Card Test Cases'!$G$4:$G$1000&lt;&gt;""),""),_xlfn._xlws.FILTER('E2E core flow'!$U$15:$U$1000,('E2E core flow'!$A$15:$A$1000&lt;&gt;"")*ISNUMBER(SEARCH('E2E core flow'!$A$15:$A$1000,$E681))*('E2E core flow'!$U$15:$U$1000&lt;&gt;""),"")))),"-"))</f>
        <v/>
      </c>
    </row>
    <row r="682" spans="7:19" x14ac:dyDescent="0.3">
      <c r="G682" s="68" t="str" cm="1">
        <f t="array" ref="G682">_xlfn.LET(_xlpm.ids,'E2E core flow'!$A$15:$A$1000,_xlpm.v,'E2E core flow'!$W$15:$W$1000,_xlpm.m,(_xlpm.ids&lt;&gt;"")*ISNUMBER(SEARCH(_xlpm.ids,$E682)),_xlpm.f,SUM(_xlpm.m*(_xlpm.v="Failed")),_xlpm.b,SUM(_xlpm.m*(_xlpm.v="Blocked")),_xlpm.nr,SUM(_xlpm.m*(_xlpm.v="Not Run")),_xlpm.cp,SUM(_xlpm.m*(_xlpm.v="Conditionally Passed")),_xlpm.p,SUM(_xlpm.m*(_xlpm.v="Passed")),IF(TRIM($A682)="","",IF(TRIM($E682)="","Pending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82" s="68" t="str">
        <f>IF(TRIM($A682)="","",IF($J682="Passed","",IF($J682="Passed with Known Issue","Known Issue",IF($J682="",IF(OR($H682&lt;&gt;"No",AND($F682&lt;&gt;"Medium",$F682&lt;&gt;"Low")),"Pending Result",""),IF(OR($H682&lt;&gt;"No",AND($F682&lt;&gt;"Medium",$F682&lt;&gt;"Low")),IF(COUNTIFS(Dashboard!$B$105:$B$124,$A682,Dashboard!$I$105:$I$124,"CAB")&gt;0,"Accepted (CF)","Blocking"),IF($J682="Failed","Deferrable","Carry Over"))))))</f>
        <v/>
      </c>
      <c r="M682" s="68" t="str">
        <f>IF(OR(TRIM($A682)="",TRIM($E682)=""),"",IFERROR(INDEX('E2E core flow'!$B$15:$B$1000,MATCH(1,INDEX(('E2E core flow'!$A$15:$A$1000&lt;&gt;"")*ISNUMBER(SEARCH('E2E core flow'!$A$15:$A$1000,$E682)),0),0))&amp;"","-"))</f>
        <v/>
      </c>
      <c r="N682" s="68" t="str">
        <f>IF(TRIM($A682)="","",IF($O682=0,IF(COUNTIFS('Card Test Cases'!$B$4:$B$1000,$A682,'Card Test Cases'!$A$4:$A$1000,"&lt;&gt;")&gt;0,"Out of Scope","No TC"),IF($Q682&gt;0,"Failed",IF(COUNTIFS('Card Test Cases'!$B$4:$B$1000,$A682,'Card Test Cases'!$A$4:$A$1000,"&lt;&gt;",'Card Test Cases'!$F$4:$F$1000,"Blocked")&gt;0,"Blocked",IF($R682&gt;0,"In Progress","Passed")))))</f>
        <v/>
      </c>
      <c r="O682" s="68" t="str">
        <f>IF(TRIM($A682)="","",COUNTIFS('Card Test Cases'!$B$4:$B$1000,$A682,'Card Test Cases'!$A$4:$A$1000,"&lt;&gt;",'Card Test Cases'!$F$4:$F$1000,"&lt;&gt;Out of Scope"))</f>
        <v/>
      </c>
      <c r="P682" s="68" t="str">
        <f>IF(TRIM($A682)="","",COUNTIFS('Card Test Cases'!$B$4:$B$1000,$A682,'Card Test Cases'!$A$4:$A$1000,"&lt;&gt;",'Card Test Cases'!$F$4:$F$1000,"Passed"))</f>
        <v/>
      </c>
      <c r="Q682" s="68" t="str">
        <f>IF(TRIM($A682)="","",COUNTIFS('Card Test Cases'!$B$4:$B$1000,$A682,'Card Test Cases'!$A$4:$A$1000,"&lt;&gt;",'Card Test Cases'!$F$4:$F$1000,"Failed"))</f>
        <v/>
      </c>
      <c r="R682" s="68" t="str">
        <f t="shared" si="10"/>
        <v/>
      </c>
      <c r="S682" s="68" t="str" cm="1">
        <f t="array" ref="S682">IF(TRIM($A682)="","",IFERROR(_xlfn.TEXTJOIN(", ",TRUE,_xlfn.UNIQUE(_xlfn.VSTACK(_xlfn._xlws.FILTER('Card Test Cases'!$G$4:$G$1000,('Card Test Cases'!$B$4:$B$1000=$A682)*('Card Test Cases'!$G$4:$G$1000&lt;&gt;""),""),_xlfn._xlws.FILTER('E2E core flow'!$U$15:$U$1000,('E2E core flow'!$A$15:$A$1000&lt;&gt;"")*ISNUMBER(SEARCH('E2E core flow'!$A$15:$A$1000,$E682))*('E2E core flow'!$U$15:$U$1000&lt;&gt;""),"")))),"-"))</f>
        <v/>
      </c>
    </row>
    <row r="683" spans="7:19" x14ac:dyDescent="0.3">
      <c r="G683" s="68" t="str" cm="1">
        <f t="array" ref="G683">_xlfn.LET(_xlpm.ids,'E2E core flow'!$A$15:$A$1000,_xlpm.v,'E2E core flow'!$W$15:$W$1000,_xlpm.m,(_xlpm.ids&lt;&gt;"")*ISNUMBER(SEARCH(_xlpm.ids,$E683)),_xlpm.f,SUM(_xlpm.m*(_xlpm.v="Failed")),_xlpm.b,SUM(_xlpm.m*(_xlpm.v="Blocked")),_xlpm.nr,SUM(_xlpm.m*(_xlpm.v="Not Run")),_xlpm.cp,SUM(_xlpm.m*(_xlpm.v="Conditionally Passed")),_xlpm.p,SUM(_xlpm.m*(_xlpm.v="Passed")),IF(TRIM($A683)="","",IF(TRIM($E683)="","Pending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83" s="68" t="str">
        <f>IF(TRIM($A683)="","",IF($J683="Passed","",IF($J683="Passed with Known Issue","Known Issue",IF($J683="",IF(OR($H683&lt;&gt;"No",AND($F683&lt;&gt;"Medium",$F683&lt;&gt;"Low")),"Pending Result",""),IF(OR($H683&lt;&gt;"No",AND($F683&lt;&gt;"Medium",$F683&lt;&gt;"Low")),IF(COUNTIFS(Dashboard!$B$105:$B$124,$A683,Dashboard!$I$105:$I$124,"CAB")&gt;0,"Accepted (CF)","Blocking"),IF($J683="Failed","Deferrable","Carry Over"))))))</f>
        <v/>
      </c>
      <c r="M683" s="68" t="str">
        <f>IF(OR(TRIM($A683)="",TRIM($E683)=""),"",IFERROR(INDEX('E2E core flow'!$B$15:$B$1000,MATCH(1,INDEX(('E2E core flow'!$A$15:$A$1000&lt;&gt;"")*ISNUMBER(SEARCH('E2E core flow'!$A$15:$A$1000,$E683)),0),0))&amp;"","-"))</f>
        <v/>
      </c>
      <c r="N683" s="68" t="str">
        <f>IF(TRIM($A683)="","",IF($O683=0,IF(COUNTIFS('Card Test Cases'!$B$4:$B$1000,$A683,'Card Test Cases'!$A$4:$A$1000,"&lt;&gt;")&gt;0,"Out of Scope","No TC"),IF($Q683&gt;0,"Failed",IF(COUNTIFS('Card Test Cases'!$B$4:$B$1000,$A683,'Card Test Cases'!$A$4:$A$1000,"&lt;&gt;",'Card Test Cases'!$F$4:$F$1000,"Blocked")&gt;0,"Blocked",IF($R683&gt;0,"In Progress","Passed")))))</f>
        <v/>
      </c>
      <c r="O683" s="68" t="str">
        <f>IF(TRIM($A683)="","",COUNTIFS('Card Test Cases'!$B$4:$B$1000,$A683,'Card Test Cases'!$A$4:$A$1000,"&lt;&gt;",'Card Test Cases'!$F$4:$F$1000,"&lt;&gt;Out of Scope"))</f>
        <v/>
      </c>
      <c r="P683" s="68" t="str">
        <f>IF(TRIM($A683)="","",COUNTIFS('Card Test Cases'!$B$4:$B$1000,$A683,'Card Test Cases'!$A$4:$A$1000,"&lt;&gt;",'Card Test Cases'!$F$4:$F$1000,"Passed"))</f>
        <v/>
      </c>
      <c r="Q683" s="68" t="str">
        <f>IF(TRIM($A683)="","",COUNTIFS('Card Test Cases'!$B$4:$B$1000,$A683,'Card Test Cases'!$A$4:$A$1000,"&lt;&gt;",'Card Test Cases'!$F$4:$F$1000,"Failed"))</f>
        <v/>
      </c>
      <c r="R683" s="68" t="str">
        <f t="shared" si="10"/>
        <v/>
      </c>
      <c r="S683" s="68" t="str" cm="1">
        <f t="array" ref="S683">IF(TRIM($A683)="","",IFERROR(_xlfn.TEXTJOIN(", ",TRUE,_xlfn.UNIQUE(_xlfn.VSTACK(_xlfn._xlws.FILTER('Card Test Cases'!$G$4:$G$1000,('Card Test Cases'!$B$4:$B$1000=$A683)*('Card Test Cases'!$G$4:$G$1000&lt;&gt;""),""),_xlfn._xlws.FILTER('E2E core flow'!$U$15:$U$1000,('E2E core flow'!$A$15:$A$1000&lt;&gt;"")*ISNUMBER(SEARCH('E2E core flow'!$A$15:$A$1000,$E683))*('E2E core flow'!$U$15:$U$1000&lt;&gt;""),"")))),"-"))</f>
        <v/>
      </c>
    </row>
    <row r="684" spans="7:19" x14ac:dyDescent="0.3">
      <c r="G684" s="68" t="str" cm="1">
        <f t="array" ref="G684">_xlfn.LET(_xlpm.ids,'E2E core flow'!$A$15:$A$1000,_xlpm.v,'E2E core flow'!$W$15:$W$1000,_xlpm.m,(_xlpm.ids&lt;&gt;"")*ISNUMBER(SEARCH(_xlpm.ids,$E684)),_xlpm.f,SUM(_xlpm.m*(_xlpm.v="Failed")),_xlpm.b,SUM(_xlpm.m*(_xlpm.v="Blocked")),_xlpm.nr,SUM(_xlpm.m*(_xlpm.v="Not Run")),_xlpm.cp,SUM(_xlpm.m*(_xlpm.v="Conditionally Passed")),_xlpm.p,SUM(_xlpm.m*(_xlpm.v="Passed")),IF(TRIM($A684)="","",IF(TRIM($E684)="","Pending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84" s="68" t="str">
        <f>IF(TRIM($A684)="","",IF($J684="Passed","",IF($J684="Passed with Known Issue","Known Issue",IF($J684="",IF(OR($H684&lt;&gt;"No",AND($F684&lt;&gt;"Medium",$F684&lt;&gt;"Low")),"Pending Result",""),IF(OR($H684&lt;&gt;"No",AND($F684&lt;&gt;"Medium",$F684&lt;&gt;"Low")),IF(COUNTIFS(Dashboard!$B$105:$B$124,$A684,Dashboard!$I$105:$I$124,"CAB")&gt;0,"Accepted (CF)","Blocking"),IF($J684="Failed","Deferrable","Carry Over"))))))</f>
        <v/>
      </c>
      <c r="M684" s="68" t="str">
        <f>IF(OR(TRIM($A684)="",TRIM($E684)=""),"",IFERROR(INDEX('E2E core flow'!$B$15:$B$1000,MATCH(1,INDEX(('E2E core flow'!$A$15:$A$1000&lt;&gt;"")*ISNUMBER(SEARCH('E2E core flow'!$A$15:$A$1000,$E684)),0),0))&amp;"","-"))</f>
        <v/>
      </c>
      <c r="N684" s="68" t="str">
        <f>IF(TRIM($A684)="","",IF($O684=0,IF(COUNTIFS('Card Test Cases'!$B$4:$B$1000,$A684,'Card Test Cases'!$A$4:$A$1000,"&lt;&gt;")&gt;0,"Out of Scope","No TC"),IF($Q684&gt;0,"Failed",IF(COUNTIFS('Card Test Cases'!$B$4:$B$1000,$A684,'Card Test Cases'!$A$4:$A$1000,"&lt;&gt;",'Card Test Cases'!$F$4:$F$1000,"Blocked")&gt;0,"Blocked",IF($R684&gt;0,"In Progress","Passed")))))</f>
        <v/>
      </c>
      <c r="O684" s="68" t="str">
        <f>IF(TRIM($A684)="","",COUNTIFS('Card Test Cases'!$B$4:$B$1000,$A684,'Card Test Cases'!$A$4:$A$1000,"&lt;&gt;",'Card Test Cases'!$F$4:$F$1000,"&lt;&gt;Out of Scope"))</f>
        <v/>
      </c>
      <c r="P684" s="68" t="str">
        <f>IF(TRIM($A684)="","",COUNTIFS('Card Test Cases'!$B$4:$B$1000,$A684,'Card Test Cases'!$A$4:$A$1000,"&lt;&gt;",'Card Test Cases'!$F$4:$F$1000,"Passed"))</f>
        <v/>
      </c>
      <c r="Q684" s="68" t="str">
        <f>IF(TRIM($A684)="","",COUNTIFS('Card Test Cases'!$B$4:$B$1000,$A684,'Card Test Cases'!$A$4:$A$1000,"&lt;&gt;",'Card Test Cases'!$F$4:$F$1000,"Failed"))</f>
        <v/>
      </c>
      <c r="R684" s="68" t="str">
        <f t="shared" si="10"/>
        <v/>
      </c>
      <c r="S684" s="68" t="str" cm="1">
        <f t="array" ref="S684">IF(TRIM($A684)="","",IFERROR(_xlfn.TEXTJOIN(", ",TRUE,_xlfn.UNIQUE(_xlfn.VSTACK(_xlfn._xlws.FILTER('Card Test Cases'!$G$4:$G$1000,('Card Test Cases'!$B$4:$B$1000=$A684)*('Card Test Cases'!$G$4:$G$1000&lt;&gt;""),""),_xlfn._xlws.FILTER('E2E core flow'!$U$15:$U$1000,('E2E core flow'!$A$15:$A$1000&lt;&gt;"")*ISNUMBER(SEARCH('E2E core flow'!$A$15:$A$1000,$E684))*('E2E core flow'!$U$15:$U$1000&lt;&gt;""),"")))),"-"))</f>
        <v/>
      </c>
    </row>
    <row r="685" spans="7:19" x14ac:dyDescent="0.3">
      <c r="G685" s="68" t="str" cm="1">
        <f t="array" ref="G685">_xlfn.LET(_xlpm.ids,'E2E core flow'!$A$15:$A$1000,_xlpm.v,'E2E core flow'!$W$15:$W$1000,_xlpm.m,(_xlpm.ids&lt;&gt;"")*ISNUMBER(SEARCH(_xlpm.ids,$E685)),_xlpm.f,SUM(_xlpm.m*(_xlpm.v="Failed")),_xlpm.b,SUM(_xlpm.m*(_xlpm.v="Blocked")),_xlpm.nr,SUM(_xlpm.m*(_xlpm.v="Not Run")),_xlpm.cp,SUM(_xlpm.m*(_xlpm.v="Conditionally Passed")),_xlpm.p,SUM(_xlpm.m*(_xlpm.v="Passed")),IF(TRIM($A685)="","",IF(TRIM($E685)="","Pending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85" s="68" t="str">
        <f>IF(TRIM($A685)="","",IF($J685="Passed","",IF($J685="Passed with Known Issue","Known Issue",IF($J685="",IF(OR($H685&lt;&gt;"No",AND($F685&lt;&gt;"Medium",$F685&lt;&gt;"Low")),"Pending Result",""),IF(OR($H685&lt;&gt;"No",AND($F685&lt;&gt;"Medium",$F685&lt;&gt;"Low")),IF(COUNTIFS(Dashboard!$B$105:$B$124,$A685,Dashboard!$I$105:$I$124,"CAB")&gt;0,"Accepted (CF)","Blocking"),IF($J685="Failed","Deferrable","Carry Over"))))))</f>
        <v/>
      </c>
      <c r="M685" s="68" t="str">
        <f>IF(OR(TRIM($A685)="",TRIM($E685)=""),"",IFERROR(INDEX('E2E core flow'!$B$15:$B$1000,MATCH(1,INDEX(('E2E core flow'!$A$15:$A$1000&lt;&gt;"")*ISNUMBER(SEARCH('E2E core flow'!$A$15:$A$1000,$E685)),0),0))&amp;"","-"))</f>
        <v/>
      </c>
      <c r="N685" s="68" t="str">
        <f>IF(TRIM($A685)="","",IF($O685=0,IF(COUNTIFS('Card Test Cases'!$B$4:$B$1000,$A685,'Card Test Cases'!$A$4:$A$1000,"&lt;&gt;")&gt;0,"Out of Scope","No TC"),IF($Q685&gt;0,"Failed",IF(COUNTIFS('Card Test Cases'!$B$4:$B$1000,$A685,'Card Test Cases'!$A$4:$A$1000,"&lt;&gt;",'Card Test Cases'!$F$4:$F$1000,"Blocked")&gt;0,"Blocked",IF($R685&gt;0,"In Progress","Passed")))))</f>
        <v/>
      </c>
      <c r="O685" s="68" t="str">
        <f>IF(TRIM($A685)="","",COUNTIFS('Card Test Cases'!$B$4:$B$1000,$A685,'Card Test Cases'!$A$4:$A$1000,"&lt;&gt;",'Card Test Cases'!$F$4:$F$1000,"&lt;&gt;Out of Scope"))</f>
        <v/>
      </c>
      <c r="P685" s="68" t="str">
        <f>IF(TRIM($A685)="","",COUNTIFS('Card Test Cases'!$B$4:$B$1000,$A685,'Card Test Cases'!$A$4:$A$1000,"&lt;&gt;",'Card Test Cases'!$F$4:$F$1000,"Passed"))</f>
        <v/>
      </c>
      <c r="Q685" s="68" t="str">
        <f>IF(TRIM($A685)="","",COUNTIFS('Card Test Cases'!$B$4:$B$1000,$A685,'Card Test Cases'!$A$4:$A$1000,"&lt;&gt;",'Card Test Cases'!$F$4:$F$1000,"Failed"))</f>
        <v/>
      </c>
      <c r="R685" s="68" t="str">
        <f t="shared" si="10"/>
        <v/>
      </c>
      <c r="S685" s="68" t="str" cm="1">
        <f t="array" ref="S685">IF(TRIM($A685)="","",IFERROR(_xlfn.TEXTJOIN(", ",TRUE,_xlfn.UNIQUE(_xlfn.VSTACK(_xlfn._xlws.FILTER('Card Test Cases'!$G$4:$G$1000,('Card Test Cases'!$B$4:$B$1000=$A685)*('Card Test Cases'!$G$4:$G$1000&lt;&gt;""),""),_xlfn._xlws.FILTER('E2E core flow'!$U$15:$U$1000,('E2E core flow'!$A$15:$A$1000&lt;&gt;"")*ISNUMBER(SEARCH('E2E core flow'!$A$15:$A$1000,$E685))*('E2E core flow'!$U$15:$U$1000&lt;&gt;""),"")))),"-"))</f>
        <v/>
      </c>
    </row>
    <row r="686" spans="7:19" x14ac:dyDescent="0.3">
      <c r="G686" s="68" t="str" cm="1">
        <f t="array" ref="G686">_xlfn.LET(_xlpm.ids,'E2E core flow'!$A$15:$A$1000,_xlpm.v,'E2E core flow'!$W$15:$W$1000,_xlpm.m,(_xlpm.ids&lt;&gt;"")*ISNUMBER(SEARCH(_xlpm.ids,$E686)),_xlpm.f,SUM(_xlpm.m*(_xlpm.v="Failed")),_xlpm.b,SUM(_xlpm.m*(_xlpm.v="Blocked")),_xlpm.nr,SUM(_xlpm.m*(_xlpm.v="Not Run")),_xlpm.cp,SUM(_xlpm.m*(_xlpm.v="Conditionally Passed")),_xlpm.p,SUM(_xlpm.m*(_xlpm.v="Passed")),IF(TRIM($A686)="","",IF(TRIM($E686)="","Pending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86" s="68" t="str">
        <f>IF(TRIM($A686)="","",IF($J686="Passed","",IF($J686="Passed with Known Issue","Known Issue",IF($J686="",IF(OR($H686&lt;&gt;"No",AND($F686&lt;&gt;"Medium",$F686&lt;&gt;"Low")),"Pending Result",""),IF(OR($H686&lt;&gt;"No",AND($F686&lt;&gt;"Medium",$F686&lt;&gt;"Low")),IF(COUNTIFS(Dashboard!$B$105:$B$124,$A686,Dashboard!$I$105:$I$124,"CAB")&gt;0,"Accepted (CF)","Blocking"),IF($J686="Failed","Deferrable","Carry Over"))))))</f>
        <v/>
      </c>
      <c r="M686" s="68" t="str">
        <f>IF(OR(TRIM($A686)="",TRIM($E686)=""),"",IFERROR(INDEX('E2E core flow'!$B$15:$B$1000,MATCH(1,INDEX(('E2E core flow'!$A$15:$A$1000&lt;&gt;"")*ISNUMBER(SEARCH('E2E core flow'!$A$15:$A$1000,$E686)),0),0))&amp;"","-"))</f>
        <v/>
      </c>
      <c r="N686" s="68" t="str">
        <f>IF(TRIM($A686)="","",IF($O686=0,IF(COUNTIFS('Card Test Cases'!$B$4:$B$1000,$A686,'Card Test Cases'!$A$4:$A$1000,"&lt;&gt;")&gt;0,"Out of Scope","No TC"),IF($Q686&gt;0,"Failed",IF(COUNTIFS('Card Test Cases'!$B$4:$B$1000,$A686,'Card Test Cases'!$A$4:$A$1000,"&lt;&gt;",'Card Test Cases'!$F$4:$F$1000,"Blocked")&gt;0,"Blocked",IF($R686&gt;0,"In Progress","Passed")))))</f>
        <v/>
      </c>
      <c r="O686" s="68" t="str">
        <f>IF(TRIM($A686)="","",COUNTIFS('Card Test Cases'!$B$4:$B$1000,$A686,'Card Test Cases'!$A$4:$A$1000,"&lt;&gt;",'Card Test Cases'!$F$4:$F$1000,"&lt;&gt;Out of Scope"))</f>
        <v/>
      </c>
      <c r="P686" s="68" t="str">
        <f>IF(TRIM($A686)="","",COUNTIFS('Card Test Cases'!$B$4:$B$1000,$A686,'Card Test Cases'!$A$4:$A$1000,"&lt;&gt;",'Card Test Cases'!$F$4:$F$1000,"Passed"))</f>
        <v/>
      </c>
      <c r="Q686" s="68" t="str">
        <f>IF(TRIM($A686)="","",COUNTIFS('Card Test Cases'!$B$4:$B$1000,$A686,'Card Test Cases'!$A$4:$A$1000,"&lt;&gt;",'Card Test Cases'!$F$4:$F$1000,"Failed"))</f>
        <v/>
      </c>
      <c r="R686" s="68" t="str">
        <f t="shared" si="10"/>
        <v/>
      </c>
      <c r="S686" s="68" t="str" cm="1">
        <f t="array" ref="S686">IF(TRIM($A686)="","",IFERROR(_xlfn.TEXTJOIN(", ",TRUE,_xlfn.UNIQUE(_xlfn.VSTACK(_xlfn._xlws.FILTER('Card Test Cases'!$G$4:$G$1000,('Card Test Cases'!$B$4:$B$1000=$A686)*('Card Test Cases'!$G$4:$G$1000&lt;&gt;""),""),_xlfn._xlws.FILTER('E2E core flow'!$U$15:$U$1000,('E2E core flow'!$A$15:$A$1000&lt;&gt;"")*ISNUMBER(SEARCH('E2E core flow'!$A$15:$A$1000,$E686))*('E2E core flow'!$U$15:$U$1000&lt;&gt;""),"")))),"-"))</f>
        <v/>
      </c>
    </row>
    <row r="687" spans="7:19" x14ac:dyDescent="0.3">
      <c r="G687" s="68" t="str" cm="1">
        <f t="array" ref="G687">_xlfn.LET(_xlpm.ids,'E2E core flow'!$A$15:$A$1000,_xlpm.v,'E2E core flow'!$W$15:$W$1000,_xlpm.m,(_xlpm.ids&lt;&gt;"")*ISNUMBER(SEARCH(_xlpm.ids,$E687)),_xlpm.f,SUM(_xlpm.m*(_xlpm.v="Failed")),_xlpm.b,SUM(_xlpm.m*(_xlpm.v="Blocked")),_xlpm.nr,SUM(_xlpm.m*(_xlpm.v="Not Run")),_xlpm.cp,SUM(_xlpm.m*(_xlpm.v="Conditionally Passed")),_xlpm.p,SUM(_xlpm.m*(_xlpm.v="Passed")),IF(TRIM($A687)="","",IF(TRIM($E687)="","Pending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87" s="68" t="str">
        <f>IF(TRIM($A687)="","",IF($J687="Passed","",IF($J687="Passed with Known Issue","Known Issue",IF($J687="",IF(OR($H687&lt;&gt;"No",AND($F687&lt;&gt;"Medium",$F687&lt;&gt;"Low")),"Pending Result",""),IF(OR($H687&lt;&gt;"No",AND($F687&lt;&gt;"Medium",$F687&lt;&gt;"Low")),IF(COUNTIFS(Dashboard!$B$105:$B$124,$A687,Dashboard!$I$105:$I$124,"CAB")&gt;0,"Accepted (CF)","Blocking"),IF($J687="Failed","Deferrable","Carry Over"))))))</f>
        <v/>
      </c>
      <c r="M687" s="68" t="str">
        <f>IF(OR(TRIM($A687)="",TRIM($E687)=""),"",IFERROR(INDEX('E2E core flow'!$B$15:$B$1000,MATCH(1,INDEX(('E2E core flow'!$A$15:$A$1000&lt;&gt;"")*ISNUMBER(SEARCH('E2E core flow'!$A$15:$A$1000,$E687)),0),0))&amp;"","-"))</f>
        <v/>
      </c>
      <c r="N687" s="68" t="str">
        <f>IF(TRIM($A687)="","",IF($O687=0,IF(COUNTIFS('Card Test Cases'!$B$4:$B$1000,$A687,'Card Test Cases'!$A$4:$A$1000,"&lt;&gt;")&gt;0,"Out of Scope","No TC"),IF($Q687&gt;0,"Failed",IF(COUNTIFS('Card Test Cases'!$B$4:$B$1000,$A687,'Card Test Cases'!$A$4:$A$1000,"&lt;&gt;",'Card Test Cases'!$F$4:$F$1000,"Blocked")&gt;0,"Blocked",IF($R687&gt;0,"In Progress","Passed")))))</f>
        <v/>
      </c>
      <c r="O687" s="68" t="str">
        <f>IF(TRIM($A687)="","",COUNTIFS('Card Test Cases'!$B$4:$B$1000,$A687,'Card Test Cases'!$A$4:$A$1000,"&lt;&gt;",'Card Test Cases'!$F$4:$F$1000,"&lt;&gt;Out of Scope"))</f>
        <v/>
      </c>
      <c r="P687" s="68" t="str">
        <f>IF(TRIM($A687)="","",COUNTIFS('Card Test Cases'!$B$4:$B$1000,$A687,'Card Test Cases'!$A$4:$A$1000,"&lt;&gt;",'Card Test Cases'!$F$4:$F$1000,"Passed"))</f>
        <v/>
      </c>
      <c r="Q687" s="68" t="str">
        <f>IF(TRIM($A687)="","",COUNTIFS('Card Test Cases'!$B$4:$B$1000,$A687,'Card Test Cases'!$A$4:$A$1000,"&lt;&gt;",'Card Test Cases'!$F$4:$F$1000,"Failed"))</f>
        <v/>
      </c>
      <c r="R687" s="68" t="str">
        <f t="shared" si="10"/>
        <v/>
      </c>
      <c r="S687" s="68" t="str" cm="1">
        <f t="array" ref="S687">IF(TRIM($A687)="","",IFERROR(_xlfn.TEXTJOIN(", ",TRUE,_xlfn.UNIQUE(_xlfn.VSTACK(_xlfn._xlws.FILTER('Card Test Cases'!$G$4:$G$1000,('Card Test Cases'!$B$4:$B$1000=$A687)*('Card Test Cases'!$G$4:$G$1000&lt;&gt;""),""),_xlfn._xlws.FILTER('E2E core flow'!$U$15:$U$1000,('E2E core flow'!$A$15:$A$1000&lt;&gt;"")*ISNUMBER(SEARCH('E2E core flow'!$A$15:$A$1000,$E687))*('E2E core flow'!$U$15:$U$1000&lt;&gt;""),"")))),"-"))</f>
        <v/>
      </c>
    </row>
    <row r="688" spans="7:19" x14ac:dyDescent="0.3">
      <c r="G688" s="68" t="str" cm="1">
        <f t="array" ref="G688">_xlfn.LET(_xlpm.ids,'E2E core flow'!$A$15:$A$1000,_xlpm.v,'E2E core flow'!$W$15:$W$1000,_xlpm.m,(_xlpm.ids&lt;&gt;"")*ISNUMBER(SEARCH(_xlpm.ids,$E688)),_xlpm.f,SUM(_xlpm.m*(_xlpm.v="Failed")),_xlpm.b,SUM(_xlpm.m*(_xlpm.v="Blocked")),_xlpm.nr,SUM(_xlpm.m*(_xlpm.v="Not Run")),_xlpm.cp,SUM(_xlpm.m*(_xlpm.v="Conditionally Passed")),_xlpm.p,SUM(_xlpm.m*(_xlpm.v="Passed")),IF(TRIM($A688)="","",IF(TRIM($E688)="","Pending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88" s="68" t="str">
        <f>IF(TRIM($A688)="","",IF($J688="Passed","",IF($J688="Passed with Known Issue","Known Issue",IF($J688="",IF(OR($H688&lt;&gt;"No",AND($F688&lt;&gt;"Medium",$F688&lt;&gt;"Low")),"Pending Result",""),IF(OR($H688&lt;&gt;"No",AND($F688&lt;&gt;"Medium",$F688&lt;&gt;"Low")),IF(COUNTIFS(Dashboard!$B$105:$B$124,$A688,Dashboard!$I$105:$I$124,"CAB")&gt;0,"Accepted (CF)","Blocking"),IF($J688="Failed","Deferrable","Carry Over"))))))</f>
        <v/>
      </c>
      <c r="M688" s="68" t="str">
        <f>IF(OR(TRIM($A688)="",TRIM($E688)=""),"",IFERROR(INDEX('E2E core flow'!$B$15:$B$1000,MATCH(1,INDEX(('E2E core flow'!$A$15:$A$1000&lt;&gt;"")*ISNUMBER(SEARCH('E2E core flow'!$A$15:$A$1000,$E688)),0),0))&amp;"","-"))</f>
        <v/>
      </c>
      <c r="N688" s="68" t="str">
        <f>IF(TRIM($A688)="","",IF($O688=0,IF(COUNTIFS('Card Test Cases'!$B$4:$B$1000,$A688,'Card Test Cases'!$A$4:$A$1000,"&lt;&gt;")&gt;0,"Out of Scope","No TC"),IF($Q688&gt;0,"Failed",IF(COUNTIFS('Card Test Cases'!$B$4:$B$1000,$A688,'Card Test Cases'!$A$4:$A$1000,"&lt;&gt;",'Card Test Cases'!$F$4:$F$1000,"Blocked")&gt;0,"Blocked",IF($R688&gt;0,"In Progress","Passed")))))</f>
        <v/>
      </c>
      <c r="O688" s="68" t="str">
        <f>IF(TRIM($A688)="","",COUNTIFS('Card Test Cases'!$B$4:$B$1000,$A688,'Card Test Cases'!$A$4:$A$1000,"&lt;&gt;",'Card Test Cases'!$F$4:$F$1000,"&lt;&gt;Out of Scope"))</f>
        <v/>
      </c>
      <c r="P688" s="68" t="str">
        <f>IF(TRIM($A688)="","",COUNTIFS('Card Test Cases'!$B$4:$B$1000,$A688,'Card Test Cases'!$A$4:$A$1000,"&lt;&gt;",'Card Test Cases'!$F$4:$F$1000,"Passed"))</f>
        <v/>
      </c>
      <c r="Q688" s="68" t="str">
        <f>IF(TRIM($A688)="","",COUNTIFS('Card Test Cases'!$B$4:$B$1000,$A688,'Card Test Cases'!$A$4:$A$1000,"&lt;&gt;",'Card Test Cases'!$F$4:$F$1000,"Failed"))</f>
        <v/>
      </c>
      <c r="R688" s="68" t="str">
        <f t="shared" si="10"/>
        <v/>
      </c>
      <c r="S688" s="68" t="str" cm="1">
        <f t="array" ref="S688">IF(TRIM($A688)="","",IFERROR(_xlfn.TEXTJOIN(", ",TRUE,_xlfn.UNIQUE(_xlfn.VSTACK(_xlfn._xlws.FILTER('Card Test Cases'!$G$4:$G$1000,('Card Test Cases'!$B$4:$B$1000=$A688)*('Card Test Cases'!$G$4:$G$1000&lt;&gt;""),""),_xlfn._xlws.FILTER('E2E core flow'!$U$15:$U$1000,('E2E core flow'!$A$15:$A$1000&lt;&gt;"")*ISNUMBER(SEARCH('E2E core flow'!$A$15:$A$1000,$E688))*('E2E core flow'!$U$15:$U$1000&lt;&gt;""),"")))),"-"))</f>
        <v/>
      </c>
    </row>
    <row r="689" spans="7:19" x14ac:dyDescent="0.3">
      <c r="G689" s="68" t="str" cm="1">
        <f t="array" ref="G689">_xlfn.LET(_xlpm.ids,'E2E core flow'!$A$15:$A$1000,_xlpm.v,'E2E core flow'!$W$15:$W$1000,_xlpm.m,(_xlpm.ids&lt;&gt;"")*ISNUMBER(SEARCH(_xlpm.ids,$E689)),_xlpm.f,SUM(_xlpm.m*(_xlpm.v="Failed")),_xlpm.b,SUM(_xlpm.m*(_xlpm.v="Blocked")),_xlpm.nr,SUM(_xlpm.m*(_xlpm.v="Not Run")),_xlpm.cp,SUM(_xlpm.m*(_xlpm.v="Conditionally Passed")),_xlpm.p,SUM(_xlpm.m*(_xlpm.v="Passed")),IF(TRIM($A689)="","",IF(TRIM($E689)="","Pending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89" s="68" t="str">
        <f>IF(TRIM($A689)="","",IF($J689="Passed","",IF($J689="Passed with Known Issue","Known Issue",IF($J689="",IF(OR($H689&lt;&gt;"No",AND($F689&lt;&gt;"Medium",$F689&lt;&gt;"Low")),"Pending Result",""),IF(OR($H689&lt;&gt;"No",AND($F689&lt;&gt;"Medium",$F689&lt;&gt;"Low")),IF(COUNTIFS(Dashboard!$B$105:$B$124,$A689,Dashboard!$I$105:$I$124,"CAB")&gt;0,"Accepted (CF)","Blocking"),IF($J689="Failed","Deferrable","Carry Over"))))))</f>
        <v/>
      </c>
      <c r="M689" s="68" t="str">
        <f>IF(OR(TRIM($A689)="",TRIM($E689)=""),"",IFERROR(INDEX('E2E core flow'!$B$15:$B$1000,MATCH(1,INDEX(('E2E core flow'!$A$15:$A$1000&lt;&gt;"")*ISNUMBER(SEARCH('E2E core flow'!$A$15:$A$1000,$E689)),0),0))&amp;"","-"))</f>
        <v/>
      </c>
      <c r="N689" s="68" t="str">
        <f>IF(TRIM($A689)="","",IF($O689=0,IF(COUNTIFS('Card Test Cases'!$B$4:$B$1000,$A689,'Card Test Cases'!$A$4:$A$1000,"&lt;&gt;")&gt;0,"Out of Scope","No TC"),IF($Q689&gt;0,"Failed",IF(COUNTIFS('Card Test Cases'!$B$4:$B$1000,$A689,'Card Test Cases'!$A$4:$A$1000,"&lt;&gt;",'Card Test Cases'!$F$4:$F$1000,"Blocked")&gt;0,"Blocked",IF($R689&gt;0,"In Progress","Passed")))))</f>
        <v/>
      </c>
      <c r="O689" s="68" t="str">
        <f>IF(TRIM($A689)="","",COUNTIFS('Card Test Cases'!$B$4:$B$1000,$A689,'Card Test Cases'!$A$4:$A$1000,"&lt;&gt;",'Card Test Cases'!$F$4:$F$1000,"&lt;&gt;Out of Scope"))</f>
        <v/>
      </c>
      <c r="P689" s="68" t="str">
        <f>IF(TRIM($A689)="","",COUNTIFS('Card Test Cases'!$B$4:$B$1000,$A689,'Card Test Cases'!$A$4:$A$1000,"&lt;&gt;",'Card Test Cases'!$F$4:$F$1000,"Passed"))</f>
        <v/>
      </c>
      <c r="Q689" s="68" t="str">
        <f>IF(TRIM($A689)="","",COUNTIFS('Card Test Cases'!$B$4:$B$1000,$A689,'Card Test Cases'!$A$4:$A$1000,"&lt;&gt;",'Card Test Cases'!$F$4:$F$1000,"Failed"))</f>
        <v/>
      </c>
      <c r="R689" s="68" t="str">
        <f t="shared" si="10"/>
        <v/>
      </c>
      <c r="S689" s="68" t="str" cm="1">
        <f t="array" ref="S689">IF(TRIM($A689)="","",IFERROR(_xlfn.TEXTJOIN(", ",TRUE,_xlfn.UNIQUE(_xlfn.VSTACK(_xlfn._xlws.FILTER('Card Test Cases'!$G$4:$G$1000,('Card Test Cases'!$B$4:$B$1000=$A689)*('Card Test Cases'!$G$4:$G$1000&lt;&gt;""),""),_xlfn._xlws.FILTER('E2E core flow'!$U$15:$U$1000,('E2E core flow'!$A$15:$A$1000&lt;&gt;"")*ISNUMBER(SEARCH('E2E core flow'!$A$15:$A$1000,$E689))*('E2E core flow'!$U$15:$U$1000&lt;&gt;""),"")))),"-"))</f>
        <v/>
      </c>
    </row>
    <row r="690" spans="7:19" x14ac:dyDescent="0.3">
      <c r="G690" s="68" t="str" cm="1">
        <f t="array" ref="G690">_xlfn.LET(_xlpm.ids,'E2E core flow'!$A$15:$A$1000,_xlpm.v,'E2E core flow'!$W$15:$W$1000,_xlpm.m,(_xlpm.ids&lt;&gt;"")*ISNUMBER(SEARCH(_xlpm.ids,$E690)),_xlpm.f,SUM(_xlpm.m*(_xlpm.v="Failed")),_xlpm.b,SUM(_xlpm.m*(_xlpm.v="Blocked")),_xlpm.nr,SUM(_xlpm.m*(_xlpm.v="Not Run")),_xlpm.cp,SUM(_xlpm.m*(_xlpm.v="Conditionally Passed")),_xlpm.p,SUM(_xlpm.m*(_xlpm.v="Passed")),IF(TRIM($A690)="","",IF(TRIM($E690)="","Pending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90" s="68" t="str">
        <f>IF(TRIM($A690)="","",IF($J690="Passed","",IF($J690="Passed with Known Issue","Known Issue",IF($J690="",IF(OR($H690&lt;&gt;"No",AND($F690&lt;&gt;"Medium",$F690&lt;&gt;"Low")),"Pending Result",""),IF(OR($H690&lt;&gt;"No",AND($F690&lt;&gt;"Medium",$F690&lt;&gt;"Low")),IF(COUNTIFS(Dashboard!$B$105:$B$124,$A690,Dashboard!$I$105:$I$124,"CAB")&gt;0,"Accepted (CF)","Blocking"),IF($J690="Failed","Deferrable","Carry Over"))))))</f>
        <v/>
      </c>
      <c r="M690" s="68" t="str">
        <f>IF(OR(TRIM($A690)="",TRIM($E690)=""),"",IFERROR(INDEX('E2E core flow'!$B$15:$B$1000,MATCH(1,INDEX(('E2E core flow'!$A$15:$A$1000&lt;&gt;"")*ISNUMBER(SEARCH('E2E core flow'!$A$15:$A$1000,$E690)),0),0))&amp;"","-"))</f>
        <v/>
      </c>
      <c r="N690" s="68" t="str">
        <f>IF(TRIM($A690)="","",IF($O690=0,IF(COUNTIFS('Card Test Cases'!$B$4:$B$1000,$A690,'Card Test Cases'!$A$4:$A$1000,"&lt;&gt;")&gt;0,"Out of Scope","No TC"),IF($Q690&gt;0,"Failed",IF(COUNTIFS('Card Test Cases'!$B$4:$B$1000,$A690,'Card Test Cases'!$A$4:$A$1000,"&lt;&gt;",'Card Test Cases'!$F$4:$F$1000,"Blocked")&gt;0,"Blocked",IF($R690&gt;0,"In Progress","Passed")))))</f>
        <v/>
      </c>
      <c r="O690" s="68" t="str">
        <f>IF(TRIM($A690)="","",COUNTIFS('Card Test Cases'!$B$4:$B$1000,$A690,'Card Test Cases'!$A$4:$A$1000,"&lt;&gt;",'Card Test Cases'!$F$4:$F$1000,"&lt;&gt;Out of Scope"))</f>
        <v/>
      </c>
      <c r="P690" s="68" t="str">
        <f>IF(TRIM($A690)="","",COUNTIFS('Card Test Cases'!$B$4:$B$1000,$A690,'Card Test Cases'!$A$4:$A$1000,"&lt;&gt;",'Card Test Cases'!$F$4:$F$1000,"Passed"))</f>
        <v/>
      </c>
      <c r="Q690" s="68" t="str">
        <f>IF(TRIM($A690)="","",COUNTIFS('Card Test Cases'!$B$4:$B$1000,$A690,'Card Test Cases'!$A$4:$A$1000,"&lt;&gt;",'Card Test Cases'!$F$4:$F$1000,"Failed"))</f>
        <v/>
      </c>
      <c r="R690" s="68" t="str">
        <f t="shared" si="10"/>
        <v/>
      </c>
      <c r="S690" s="68" t="str" cm="1">
        <f t="array" ref="S690">IF(TRIM($A690)="","",IFERROR(_xlfn.TEXTJOIN(", ",TRUE,_xlfn.UNIQUE(_xlfn.VSTACK(_xlfn._xlws.FILTER('Card Test Cases'!$G$4:$G$1000,('Card Test Cases'!$B$4:$B$1000=$A690)*('Card Test Cases'!$G$4:$G$1000&lt;&gt;""),""),_xlfn._xlws.FILTER('E2E core flow'!$U$15:$U$1000,('E2E core flow'!$A$15:$A$1000&lt;&gt;"")*ISNUMBER(SEARCH('E2E core flow'!$A$15:$A$1000,$E690))*('E2E core flow'!$U$15:$U$1000&lt;&gt;""),"")))),"-"))</f>
        <v/>
      </c>
    </row>
    <row r="691" spans="7:19" x14ac:dyDescent="0.3">
      <c r="G691" s="68" t="str" cm="1">
        <f t="array" ref="G691">_xlfn.LET(_xlpm.ids,'E2E core flow'!$A$15:$A$1000,_xlpm.v,'E2E core flow'!$W$15:$W$1000,_xlpm.m,(_xlpm.ids&lt;&gt;"")*ISNUMBER(SEARCH(_xlpm.ids,$E691)),_xlpm.f,SUM(_xlpm.m*(_xlpm.v="Failed")),_xlpm.b,SUM(_xlpm.m*(_xlpm.v="Blocked")),_xlpm.nr,SUM(_xlpm.m*(_xlpm.v="Not Run")),_xlpm.cp,SUM(_xlpm.m*(_xlpm.v="Conditionally Passed")),_xlpm.p,SUM(_xlpm.m*(_xlpm.v="Passed")),IF(TRIM($A691)="","",IF(TRIM($E691)="","Pending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91" s="68" t="str">
        <f>IF(TRIM($A691)="","",IF($J691="Passed","",IF($J691="Passed with Known Issue","Known Issue",IF($J691="",IF(OR($H691&lt;&gt;"No",AND($F691&lt;&gt;"Medium",$F691&lt;&gt;"Low")),"Pending Result",""),IF(OR($H691&lt;&gt;"No",AND($F691&lt;&gt;"Medium",$F691&lt;&gt;"Low")),IF(COUNTIFS(Dashboard!$B$105:$B$124,$A691,Dashboard!$I$105:$I$124,"CAB")&gt;0,"Accepted (CF)","Blocking"),IF($J691="Failed","Deferrable","Carry Over"))))))</f>
        <v/>
      </c>
      <c r="M691" s="68" t="str">
        <f>IF(OR(TRIM($A691)="",TRIM($E691)=""),"",IFERROR(INDEX('E2E core flow'!$B$15:$B$1000,MATCH(1,INDEX(('E2E core flow'!$A$15:$A$1000&lt;&gt;"")*ISNUMBER(SEARCH('E2E core flow'!$A$15:$A$1000,$E691)),0),0))&amp;"","-"))</f>
        <v/>
      </c>
      <c r="N691" s="68" t="str">
        <f>IF(TRIM($A691)="","",IF($O691=0,IF(COUNTIFS('Card Test Cases'!$B$4:$B$1000,$A691,'Card Test Cases'!$A$4:$A$1000,"&lt;&gt;")&gt;0,"Out of Scope","No TC"),IF($Q691&gt;0,"Failed",IF(COUNTIFS('Card Test Cases'!$B$4:$B$1000,$A691,'Card Test Cases'!$A$4:$A$1000,"&lt;&gt;",'Card Test Cases'!$F$4:$F$1000,"Blocked")&gt;0,"Blocked",IF($R691&gt;0,"In Progress","Passed")))))</f>
        <v/>
      </c>
      <c r="O691" s="68" t="str">
        <f>IF(TRIM($A691)="","",COUNTIFS('Card Test Cases'!$B$4:$B$1000,$A691,'Card Test Cases'!$A$4:$A$1000,"&lt;&gt;",'Card Test Cases'!$F$4:$F$1000,"&lt;&gt;Out of Scope"))</f>
        <v/>
      </c>
      <c r="P691" s="68" t="str">
        <f>IF(TRIM($A691)="","",COUNTIFS('Card Test Cases'!$B$4:$B$1000,$A691,'Card Test Cases'!$A$4:$A$1000,"&lt;&gt;",'Card Test Cases'!$F$4:$F$1000,"Passed"))</f>
        <v/>
      </c>
      <c r="Q691" s="68" t="str">
        <f>IF(TRIM($A691)="","",COUNTIFS('Card Test Cases'!$B$4:$B$1000,$A691,'Card Test Cases'!$A$4:$A$1000,"&lt;&gt;",'Card Test Cases'!$F$4:$F$1000,"Failed"))</f>
        <v/>
      </c>
      <c r="R691" s="68" t="str">
        <f t="shared" si="10"/>
        <v/>
      </c>
      <c r="S691" s="68" t="str" cm="1">
        <f t="array" ref="S691">IF(TRIM($A691)="","",IFERROR(_xlfn.TEXTJOIN(", ",TRUE,_xlfn.UNIQUE(_xlfn.VSTACK(_xlfn._xlws.FILTER('Card Test Cases'!$G$4:$G$1000,('Card Test Cases'!$B$4:$B$1000=$A691)*('Card Test Cases'!$G$4:$G$1000&lt;&gt;""),""),_xlfn._xlws.FILTER('E2E core flow'!$U$15:$U$1000,('E2E core flow'!$A$15:$A$1000&lt;&gt;"")*ISNUMBER(SEARCH('E2E core flow'!$A$15:$A$1000,$E691))*('E2E core flow'!$U$15:$U$1000&lt;&gt;""),"")))),"-"))</f>
        <v/>
      </c>
    </row>
    <row r="692" spans="7:19" x14ac:dyDescent="0.3">
      <c r="G692" s="68" t="str" cm="1">
        <f t="array" ref="G692">_xlfn.LET(_xlpm.ids,'E2E core flow'!$A$15:$A$1000,_xlpm.v,'E2E core flow'!$W$15:$W$1000,_xlpm.m,(_xlpm.ids&lt;&gt;"")*ISNUMBER(SEARCH(_xlpm.ids,$E692)),_xlpm.f,SUM(_xlpm.m*(_xlpm.v="Failed")),_xlpm.b,SUM(_xlpm.m*(_xlpm.v="Blocked")),_xlpm.nr,SUM(_xlpm.m*(_xlpm.v="Not Run")),_xlpm.cp,SUM(_xlpm.m*(_xlpm.v="Conditionally Passed")),_xlpm.p,SUM(_xlpm.m*(_xlpm.v="Passed")),IF(TRIM($A692)="","",IF(TRIM($E692)="","Pending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92" s="68" t="str">
        <f>IF(TRIM($A692)="","",IF($J692="Passed","",IF($J692="Passed with Known Issue","Known Issue",IF($J692="",IF(OR($H692&lt;&gt;"No",AND($F692&lt;&gt;"Medium",$F692&lt;&gt;"Low")),"Pending Result",""),IF(OR($H692&lt;&gt;"No",AND($F692&lt;&gt;"Medium",$F692&lt;&gt;"Low")),IF(COUNTIFS(Dashboard!$B$105:$B$124,$A692,Dashboard!$I$105:$I$124,"CAB")&gt;0,"Accepted (CF)","Blocking"),IF($J692="Failed","Deferrable","Carry Over"))))))</f>
        <v/>
      </c>
      <c r="M692" s="68" t="str">
        <f>IF(OR(TRIM($A692)="",TRIM($E692)=""),"",IFERROR(INDEX('E2E core flow'!$B$15:$B$1000,MATCH(1,INDEX(('E2E core flow'!$A$15:$A$1000&lt;&gt;"")*ISNUMBER(SEARCH('E2E core flow'!$A$15:$A$1000,$E692)),0),0))&amp;"","-"))</f>
        <v/>
      </c>
      <c r="N692" s="68" t="str">
        <f>IF(TRIM($A692)="","",IF($O692=0,IF(COUNTIFS('Card Test Cases'!$B$4:$B$1000,$A692,'Card Test Cases'!$A$4:$A$1000,"&lt;&gt;")&gt;0,"Out of Scope","No TC"),IF($Q692&gt;0,"Failed",IF(COUNTIFS('Card Test Cases'!$B$4:$B$1000,$A692,'Card Test Cases'!$A$4:$A$1000,"&lt;&gt;",'Card Test Cases'!$F$4:$F$1000,"Blocked")&gt;0,"Blocked",IF($R692&gt;0,"In Progress","Passed")))))</f>
        <v/>
      </c>
      <c r="O692" s="68" t="str">
        <f>IF(TRIM($A692)="","",COUNTIFS('Card Test Cases'!$B$4:$B$1000,$A692,'Card Test Cases'!$A$4:$A$1000,"&lt;&gt;",'Card Test Cases'!$F$4:$F$1000,"&lt;&gt;Out of Scope"))</f>
        <v/>
      </c>
      <c r="P692" s="68" t="str">
        <f>IF(TRIM($A692)="","",COUNTIFS('Card Test Cases'!$B$4:$B$1000,$A692,'Card Test Cases'!$A$4:$A$1000,"&lt;&gt;",'Card Test Cases'!$F$4:$F$1000,"Passed"))</f>
        <v/>
      </c>
      <c r="Q692" s="68" t="str">
        <f>IF(TRIM($A692)="","",COUNTIFS('Card Test Cases'!$B$4:$B$1000,$A692,'Card Test Cases'!$A$4:$A$1000,"&lt;&gt;",'Card Test Cases'!$F$4:$F$1000,"Failed"))</f>
        <v/>
      </c>
      <c r="R692" s="68" t="str">
        <f t="shared" si="10"/>
        <v/>
      </c>
      <c r="S692" s="68" t="str" cm="1">
        <f t="array" ref="S692">IF(TRIM($A692)="","",IFERROR(_xlfn.TEXTJOIN(", ",TRUE,_xlfn.UNIQUE(_xlfn.VSTACK(_xlfn._xlws.FILTER('Card Test Cases'!$G$4:$G$1000,('Card Test Cases'!$B$4:$B$1000=$A692)*('Card Test Cases'!$G$4:$G$1000&lt;&gt;""),""),_xlfn._xlws.FILTER('E2E core flow'!$U$15:$U$1000,('E2E core flow'!$A$15:$A$1000&lt;&gt;"")*ISNUMBER(SEARCH('E2E core flow'!$A$15:$A$1000,$E692))*('E2E core flow'!$U$15:$U$1000&lt;&gt;""),"")))),"-"))</f>
        <v/>
      </c>
    </row>
    <row r="693" spans="7:19" x14ac:dyDescent="0.3">
      <c r="G693" s="68" t="str" cm="1">
        <f t="array" ref="G693">_xlfn.LET(_xlpm.ids,'E2E core flow'!$A$15:$A$1000,_xlpm.v,'E2E core flow'!$W$15:$W$1000,_xlpm.m,(_xlpm.ids&lt;&gt;"")*ISNUMBER(SEARCH(_xlpm.ids,$E693)),_xlpm.f,SUM(_xlpm.m*(_xlpm.v="Failed")),_xlpm.b,SUM(_xlpm.m*(_xlpm.v="Blocked")),_xlpm.nr,SUM(_xlpm.m*(_xlpm.v="Not Run")),_xlpm.cp,SUM(_xlpm.m*(_xlpm.v="Conditionally Passed")),_xlpm.p,SUM(_xlpm.m*(_xlpm.v="Passed")),IF(TRIM($A693)="","",IF(TRIM($E693)="","Pending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93" s="68" t="str">
        <f>IF(TRIM($A693)="","",IF($J693="Passed","",IF($J693="Passed with Known Issue","Known Issue",IF($J693="",IF(OR($H693&lt;&gt;"No",AND($F693&lt;&gt;"Medium",$F693&lt;&gt;"Low")),"Pending Result",""),IF(OR($H693&lt;&gt;"No",AND($F693&lt;&gt;"Medium",$F693&lt;&gt;"Low")),IF(COUNTIFS(Dashboard!$B$105:$B$124,$A693,Dashboard!$I$105:$I$124,"CAB")&gt;0,"Accepted (CF)","Blocking"),IF($J693="Failed","Deferrable","Carry Over"))))))</f>
        <v/>
      </c>
      <c r="M693" s="68" t="str">
        <f>IF(OR(TRIM($A693)="",TRIM($E693)=""),"",IFERROR(INDEX('E2E core flow'!$B$15:$B$1000,MATCH(1,INDEX(('E2E core flow'!$A$15:$A$1000&lt;&gt;"")*ISNUMBER(SEARCH('E2E core flow'!$A$15:$A$1000,$E693)),0),0))&amp;"","-"))</f>
        <v/>
      </c>
      <c r="N693" s="68" t="str">
        <f>IF(TRIM($A693)="","",IF($O693=0,IF(COUNTIFS('Card Test Cases'!$B$4:$B$1000,$A693,'Card Test Cases'!$A$4:$A$1000,"&lt;&gt;")&gt;0,"Out of Scope","No TC"),IF($Q693&gt;0,"Failed",IF(COUNTIFS('Card Test Cases'!$B$4:$B$1000,$A693,'Card Test Cases'!$A$4:$A$1000,"&lt;&gt;",'Card Test Cases'!$F$4:$F$1000,"Blocked")&gt;0,"Blocked",IF($R693&gt;0,"In Progress","Passed")))))</f>
        <v/>
      </c>
      <c r="O693" s="68" t="str">
        <f>IF(TRIM($A693)="","",COUNTIFS('Card Test Cases'!$B$4:$B$1000,$A693,'Card Test Cases'!$A$4:$A$1000,"&lt;&gt;",'Card Test Cases'!$F$4:$F$1000,"&lt;&gt;Out of Scope"))</f>
        <v/>
      </c>
      <c r="P693" s="68" t="str">
        <f>IF(TRIM($A693)="","",COUNTIFS('Card Test Cases'!$B$4:$B$1000,$A693,'Card Test Cases'!$A$4:$A$1000,"&lt;&gt;",'Card Test Cases'!$F$4:$F$1000,"Passed"))</f>
        <v/>
      </c>
      <c r="Q693" s="68" t="str">
        <f>IF(TRIM($A693)="","",COUNTIFS('Card Test Cases'!$B$4:$B$1000,$A693,'Card Test Cases'!$A$4:$A$1000,"&lt;&gt;",'Card Test Cases'!$F$4:$F$1000,"Failed"))</f>
        <v/>
      </c>
      <c r="R693" s="68" t="str">
        <f t="shared" si="10"/>
        <v/>
      </c>
      <c r="S693" s="68" t="str" cm="1">
        <f t="array" ref="S693">IF(TRIM($A693)="","",IFERROR(_xlfn.TEXTJOIN(", ",TRUE,_xlfn.UNIQUE(_xlfn.VSTACK(_xlfn._xlws.FILTER('Card Test Cases'!$G$4:$G$1000,('Card Test Cases'!$B$4:$B$1000=$A693)*('Card Test Cases'!$G$4:$G$1000&lt;&gt;""),""),_xlfn._xlws.FILTER('E2E core flow'!$U$15:$U$1000,('E2E core flow'!$A$15:$A$1000&lt;&gt;"")*ISNUMBER(SEARCH('E2E core flow'!$A$15:$A$1000,$E693))*('E2E core flow'!$U$15:$U$1000&lt;&gt;""),"")))),"-"))</f>
        <v/>
      </c>
    </row>
    <row r="694" spans="7:19" x14ac:dyDescent="0.3">
      <c r="G694" s="68" t="str" cm="1">
        <f t="array" ref="G694">_xlfn.LET(_xlpm.ids,'E2E core flow'!$A$15:$A$1000,_xlpm.v,'E2E core flow'!$W$15:$W$1000,_xlpm.m,(_xlpm.ids&lt;&gt;"")*ISNUMBER(SEARCH(_xlpm.ids,$E694)),_xlpm.f,SUM(_xlpm.m*(_xlpm.v="Failed")),_xlpm.b,SUM(_xlpm.m*(_xlpm.v="Blocked")),_xlpm.nr,SUM(_xlpm.m*(_xlpm.v="Not Run")),_xlpm.cp,SUM(_xlpm.m*(_xlpm.v="Conditionally Passed")),_xlpm.p,SUM(_xlpm.m*(_xlpm.v="Passed")),IF(TRIM($A694)="","",IF(TRIM($E694)="","Pending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94" s="68" t="str">
        <f>IF(TRIM($A694)="","",IF($J694="Passed","",IF($J694="Passed with Known Issue","Known Issue",IF($J694="",IF(OR($H694&lt;&gt;"No",AND($F694&lt;&gt;"Medium",$F694&lt;&gt;"Low")),"Pending Result",""),IF(OR($H694&lt;&gt;"No",AND($F694&lt;&gt;"Medium",$F694&lt;&gt;"Low")),IF(COUNTIFS(Dashboard!$B$105:$B$124,$A694,Dashboard!$I$105:$I$124,"CAB")&gt;0,"Accepted (CF)","Blocking"),IF($J694="Failed","Deferrable","Carry Over"))))))</f>
        <v/>
      </c>
      <c r="M694" s="68" t="str">
        <f>IF(OR(TRIM($A694)="",TRIM($E694)=""),"",IFERROR(INDEX('E2E core flow'!$B$15:$B$1000,MATCH(1,INDEX(('E2E core flow'!$A$15:$A$1000&lt;&gt;"")*ISNUMBER(SEARCH('E2E core flow'!$A$15:$A$1000,$E694)),0),0))&amp;"","-"))</f>
        <v/>
      </c>
      <c r="N694" s="68" t="str">
        <f>IF(TRIM($A694)="","",IF($O694=0,IF(COUNTIFS('Card Test Cases'!$B$4:$B$1000,$A694,'Card Test Cases'!$A$4:$A$1000,"&lt;&gt;")&gt;0,"Out of Scope","No TC"),IF($Q694&gt;0,"Failed",IF(COUNTIFS('Card Test Cases'!$B$4:$B$1000,$A694,'Card Test Cases'!$A$4:$A$1000,"&lt;&gt;",'Card Test Cases'!$F$4:$F$1000,"Blocked")&gt;0,"Blocked",IF($R694&gt;0,"In Progress","Passed")))))</f>
        <v/>
      </c>
      <c r="O694" s="68" t="str">
        <f>IF(TRIM($A694)="","",COUNTIFS('Card Test Cases'!$B$4:$B$1000,$A694,'Card Test Cases'!$A$4:$A$1000,"&lt;&gt;",'Card Test Cases'!$F$4:$F$1000,"&lt;&gt;Out of Scope"))</f>
        <v/>
      </c>
      <c r="P694" s="68" t="str">
        <f>IF(TRIM($A694)="","",COUNTIFS('Card Test Cases'!$B$4:$B$1000,$A694,'Card Test Cases'!$A$4:$A$1000,"&lt;&gt;",'Card Test Cases'!$F$4:$F$1000,"Passed"))</f>
        <v/>
      </c>
      <c r="Q694" s="68" t="str">
        <f>IF(TRIM($A694)="","",COUNTIFS('Card Test Cases'!$B$4:$B$1000,$A694,'Card Test Cases'!$A$4:$A$1000,"&lt;&gt;",'Card Test Cases'!$F$4:$F$1000,"Failed"))</f>
        <v/>
      </c>
      <c r="R694" s="68" t="str">
        <f t="shared" si="10"/>
        <v/>
      </c>
      <c r="S694" s="68" t="str" cm="1">
        <f t="array" ref="S694">IF(TRIM($A694)="","",IFERROR(_xlfn.TEXTJOIN(", ",TRUE,_xlfn.UNIQUE(_xlfn.VSTACK(_xlfn._xlws.FILTER('Card Test Cases'!$G$4:$G$1000,('Card Test Cases'!$B$4:$B$1000=$A694)*('Card Test Cases'!$G$4:$G$1000&lt;&gt;""),""),_xlfn._xlws.FILTER('E2E core flow'!$U$15:$U$1000,('E2E core flow'!$A$15:$A$1000&lt;&gt;"")*ISNUMBER(SEARCH('E2E core flow'!$A$15:$A$1000,$E694))*('E2E core flow'!$U$15:$U$1000&lt;&gt;""),"")))),"-"))</f>
        <v/>
      </c>
    </row>
    <row r="695" spans="7:19" x14ac:dyDescent="0.3">
      <c r="G695" s="68" t="str" cm="1">
        <f t="array" ref="G695">_xlfn.LET(_xlpm.ids,'E2E core flow'!$A$15:$A$1000,_xlpm.v,'E2E core flow'!$W$15:$W$1000,_xlpm.m,(_xlpm.ids&lt;&gt;"")*ISNUMBER(SEARCH(_xlpm.ids,$E695)),_xlpm.f,SUM(_xlpm.m*(_xlpm.v="Failed")),_xlpm.b,SUM(_xlpm.m*(_xlpm.v="Blocked")),_xlpm.nr,SUM(_xlpm.m*(_xlpm.v="Not Run")),_xlpm.cp,SUM(_xlpm.m*(_xlpm.v="Conditionally Passed")),_xlpm.p,SUM(_xlpm.m*(_xlpm.v="Passed")),IF(TRIM($A695)="","",IF(TRIM($E695)="","Pending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95" s="68" t="str">
        <f>IF(TRIM($A695)="","",IF($J695="Passed","",IF($J695="Passed with Known Issue","Known Issue",IF($J695="",IF(OR($H695&lt;&gt;"No",AND($F695&lt;&gt;"Medium",$F695&lt;&gt;"Low")),"Pending Result",""),IF(OR($H695&lt;&gt;"No",AND($F695&lt;&gt;"Medium",$F695&lt;&gt;"Low")),IF(COUNTIFS(Dashboard!$B$105:$B$124,$A695,Dashboard!$I$105:$I$124,"CAB")&gt;0,"Accepted (CF)","Blocking"),IF($J695="Failed","Deferrable","Carry Over"))))))</f>
        <v/>
      </c>
      <c r="M695" s="68" t="str">
        <f>IF(OR(TRIM($A695)="",TRIM($E695)=""),"",IFERROR(INDEX('E2E core flow'!$B$15:$B$1000,MATCH(1,INDEX(('E2E core flow'!$A$15:$A$1000&lt;&gt;"")*ISNUMBER(SEARCH('E2E core flow'!$A$15:$A$1000,$E695)),0),0))&amp;"","-"))</f>
        <v/>
      </c>
      <c r="N695" s="68" t="str">
        <f>IF(TRIM($A695)="","",IF($O695=0,IF(COUNTIFS('Card Test Cases'!$B$4:$B$1000,$A695,'Card Test Cases'!$A$4:$A$1000,"&lt;&gt;")&gt;0,"Out of Scope","No TC"),IF($Q695&gt;0,"Failed",IF(COUNTIFS('Card Test Cases'!$B$4:$B$1000,$A695,'Card Test Cases'!$A$4:$A$1000,"&lt;&gt;",'Card Test Cases'!$F$4:$F$1000,"Blocked")&gt;0,"Blocked",IF($R695&gt;0,"In Progress","Passed")))))</f>
        <v/>
      </c>
      <c r="O695" s="68" t="str">
        <f>IF(TRIM($A695)="","",COUNTIFS('Card Test Cases'!$B$4:$B$1000,$A695,'Card Test Cases'!$A$4:$A$1000,"&lt;&gt;",'Card Test Cases'!$F$4:$F$1000,"&lt;&gt;Out of Scope"))</f>
        <v/>
      </c>
      <c r="P695" s="68" t="str">
        <f>IF(TRIM($A695)="","",COUNTIFS('Card Test Cases'!$B$4:$B$1000,$A695,'Card Test Cases'!$A$4:$A$1000,"&lt;&gt;",'Card Test Cases'!$F$4:$F$1000,"Passed"))</f>
        <v/>
      </c>
      <c r="Q695" s="68" t="str">
        <f>IF(TRIM($A695)="","",COUNTIFS('Card Test Cases'!$B$4:$B$1000,$A695,'Card Test Cases'!$A$4:$A$1000,"&lt;&gt;",'Card Test Cases'!$F$4:$F$1000,"Failed"))</f>
        <v/>
      </c>
      <c r="R695" s="68" t="str">
        <f t="shared" si="10"/>
        <v/>
      </c>
      <c r="S695" s="68" t="str" cm="1">
        <f t="array" ref="S695">IF(TRIM($A695)="","",IFERROR(_xlfn.TEXTJOIN(", ",TRUE,_xlfn.UNIQUE(_xlfn.VSTACK(_xlfn._xlws.FILTER('Card Test Cases'!$G$4:$G$1000,('Card Test Cases'!$B$4:$B$1000=$A695)*('Card Test Cases'!$G$4:$G$1000&lt;&gt;""),""),_xlfn._xlws.FILTER('E2E core flow'!$U$15:$U$1000,('E2E core flow'!$A$15:$A$1000&lt;&gt;"")*ISNUMBER(SEARCH('E2E core flow'!$A$15:$A$1000,$E695))*('E2E core flow'!$U$15:$U$1000&lt;&gt;""),"")))),"-"))</f>
        <v/>
      </c>
    </row>
    <row r="696" spans="7:19" x14ac:dyDescent="0.3">
      <c r="G696" s="68" t="str" cm="1">
        <f t="array" ref="G696">_xlfn.LET(_xlpm.ids,'E2E core flow'!$A$15:$A$1000,_xlpm.v,'E2E core flow'!$W$15:$W$1000,_xlpm.m,(_xlpm.ids&lt;&gt;"")*ISNUMBER(SEARCH(_xlpm.ids,$E696)),_xlpm.f,SUM(_xlpm.m*(_xlpm.v="Failed")),_xlpm.b,SUM(_xlpm.m*(_xlpm.v="Blocked")),_xlpm.nr,SUM(_xlpm.m*(_xlpm.v="Not Run")),_xlpm.cp,SUM(_xlpm.m*(_xlpm.v="Conditionally Passed")),_xlpm.p,SUM(_xlpm.m*(_xlpm.v="Passed")),IF(TRIM($A696)="","",IF(TRIM($E696)="","Pending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96" s="68" t="str">
        <f>IF(TRIM($A696)="","",IF($J696="Passed","",IF($J696="Passed with Known Issue","Known Issue",IF($J696="",IF(OR($H696&lt;&gt;"No",AND($F696&lt;&gt;"Medium",$F696&lt;&gt;"Low")),"Pending Result",""),IF(OR($H696&lt;&gt;"No",AND($F696&lt;&gt;"Medium",$F696&lt;&gt;"Low")),IF(COUNTIFS(Dashboard!$B$105:$B$124,$A696,Dashboard!$I$105:$I$124,"CAB")&gt;0,"Accepted (CF)","Blocking"),IF($J696="Failed","Deferrable","Carry Over"))))))</f>
        <v/>
      </c>
      <c r="M696" s="68" t="str">
        <f>IF(OR(TRIM($A696)="",TRIM($E696)=""),"",IFERROR(INDEX('E2E core flow'!$B$15:$B$1000,MATCH(1,INDEX(('E2E core flow'!$A$15:$A$1000&lt;&gt;"")*ISNUMBER(SEARCH('E2E core flow'!$A$15:$A$1000,$E696)),0),0))&amp;"","-"))</f>
        <v/>
      </c>
      <c r="N696" s="68" t="str">
        <f>IF(TRIM($A696)="","",IF($O696=0,IF(COUNTIFS('Card Test Cases'!$B$4:$B$1000,$A696,'Card Test Cases'!$A$4:$A$1000,"&lt;&gt;")&gt;0,"Out of Scope","No TC"),IF($Q696&gt;0,"Failed",IF(COUNTIFS('Card Test Cases'!$B$4:$B$1000,$A696,'Card Test Cases'!$A$4:$A$1000,"&lt;&gt;",'Card Test Cases'!$F$4:$F$1000,"Blocked")&gt;0,"Blocked",IF($R696&gt;0,"In Progress","Passed")))))</f>
        <v/>
      </c>
      <c r="O696" s="68" t="str">
        <f>IF(TRIM($A696)="","",COUNTIFS('Card Test Cases'!$B$4:$B$1000,$A696,'Card Test Cases'!$A$4:$A$1000,"&lt;&gt;",'Card Test Cases'!$F$4:$F$1000,"&lt;&gt;Out of Scope"))</f>
        <v/>
      </c>
      <c r="P696" s="68" t="str">
        <f>IF(TRIM($A696)="","",COUNTIFS('Card Test Cases'!$B$4:$B$1000,$A696,'Card Test Cases'!$A$4:$A$1000,"&lt;&gt;",'Card Test Cases'!$F$4:$F$1000,"Passed"))</f>
        <v/>
      </c>
      <c r="Q696" s="68" t="str">
        <f>IF(TRIM($A696)="","",COUNTIFS('Card Test Cases'!$B$4:$B$1000,$A696,'Card Test Cases'!$A$4:$A$1000,"&lt;&gt;",'Card Test Cases'!$F$4:$F$1000,"Failed"))</f>
        <v/>
      </c>
      <c r="R696" s="68" t="str">
        <f t="shared" si="10"/>
        <v/>
      </c>
      <c r="S696" s="68" t="str" cm="1">
        <f t="array" ref="S696">IF(TRIM($A696)="","",IFERROR(_xlfn.TEXTJOIN(", ",TRUE,_xlfn.UNIQUE(_xlfn.VSTACK(_xlfn._xlws.FILTER('Card Test Cases'!$G$4:$G$1000,('Card Test Cases'!$B$4:$B$1000=$A696)*('Card Test Cases'!$G$4:$G$1000&lt;&gt;""),""),_xlfn._xlws.FILTER('E2E core flow'!$U$15:$U$1000,('E2E core flow'!$A$15:$A$1000&lt;&gt;"")*ISNUMBER(SEARCH('E2E core flow'!$A$15:$A$1000,$E696))*('E2E core flow'!$U$15:$U$1000&lt;&gt;""),"")))),"-"))</f>
        <v/>
      </c>
    </row>
    <row r="697" spans="7:19" x14ac:dyDescent="0.3">
      <c r="G697" s="68" t="str" cm="1">
        <f t="array" ref="G697">_xlfn.LET(_xlpm.ids,'E2E core flow'!$A$15:$A$1000,_xlpm.v,'E2E core flow'!$W$15:$W$1000,_xlpm.m,(_xlpm.ids&lt;&gt;"")*ISNUMBER(SEARCH(_xlpm.ids,$E697)),_xlpm.f,SUM(_xlpm.m*(_xlpm.v="Failed")),_xlpm.b,SUM(_xlpm.m*(_xlpm.v="Blocked")),_xlpm.nr,SUM(_xlpm.m*(_xlpm.v="Not Run")),_xlpm.cp,SUM(_xlpm.m*(_xlpm.v="Conditionally Passed")),_xlpm.p,SUM(_xlpm.m*(_xlpm.v="Passed")),IF(TRIM($A697)="","",IF(TRIM($E697)="","Pending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97" s="68" t="str">
        <f>IF(TRIM($A697)="","",IF($J697="Passed","",IF($J697="Passed with Known Issue","Known Issue",IF($J697="",IF(OR($H697&lt;&gt;"No",AND($F697&lt;&gt;"Medium",$F697&lt;&gt;"Low")),"Pending Result",""),IF(OR($H697&lt;&gt;"No",AND($F697&lt;&gt;"Medium",$F697&lt;&gt;"Low")),IF(COUNTIFS(Dashboard!$B$105:$B$124,$A697,Dashboard!$I$105:$I$124,"CAB")&gt;0,"Accepted (CF)","Blocking"),IF($J697="Failed","Deferrable","Carry Over"))))))</f>
        <v/>
      </c>
      <c r="M697" s="68" t="str">
        <f>IF(OR(TRIM($A697)="",TRIM($E697)=""),"",IFERROR(INDEX('E2E core flow'!$B$15:$B$1000,MATCH(1,INDEX(('E2E core flow'!$A$15:$A$1000&lt;&gt;"")*ISNUMBER(SEARCH('E2E core flow'!$A$15:$A$1000,$E697)),0),0))&amp;"","-"))</f>
        <v/>
      </c>
      <c r="N697" s="68" t="str">
        <f>IF(TRIM($A697)="","",IF($O697=0,IF(COUNTIFS('Card Test Cases'!$B$4:$B$1000,$A697,'Card Test Cases'!$A$4:$A$1000,"&lt;&gt;")&gt;0,"Out of Scope","No TC"),IF($Q697&gt;0,"Failed",IF(COUNTIFS('Card Test Cases'!$B$4:$B$1000,$A697,'Card Test Cases'!$A$4:$A$1000,"&lt;&gt;",'Card Test Cases'!$F$4:$F$1000,"Blocked")&gt;0,"Blocked",IF($R697&gt;0,"In Progress","Passed")))))</f>
        <v/>
      </c>
      <c r="O697" s="68" t="str">
        <f>IF(TRIM($A697)="","",COUNTIFS('Card Test Cases'!$B$4:$B$1000,$A697,'Card Test Cases'!$A$4:$A$1000,"&lt;&gt;",'Card Test Cases'!$F$4:$F$1000,"&lt;&gt;Out of Scope"))</f>
        <v/>
      </c>
      <c r="P697" s="68" t="str">
        <f>IF(TRIM($A697)="","",COUNTIFS('Card Test Cases'!$B$4:$B$1000,$A697,'Card Test Cases'!$A$4:$A$1000,"&lt;&gt;",'Card Test Cases'!$F$4:$F$1000,"Passed"))</f>
        <v/>
      </c>
      <c r="Q697" s="68" t="str">
        <f>IF(TRIM($A697)="","",COUNTIFS('Card Test Cases'!$B$4:$B$1000,$A697,'Card Test Cases'!$A$4:$A$1000,"&lt;&gt;",'Card Test Cases'!$F$4:$F$1000,"Failed"))</f>
        <v/>
      </c>
      <c r="R697" s="68" t="str">
        <f t="shared" si="10"/>
        <v/>
      </c>
      <c r="S697" s="68" t="str" cm="1">
        <f t="array" ref="S697">IF(TRIM($A697)="","",IFERROR(_xlfn.TEXTJOIN(", ",TRUE,_xlfn.UNIQUE(_xlfn.VSTACK(_xlfn._xlws.FILTER('Card Test Cases'!$G$4:$G$1000,('Card Test Cases'!$B$4:$B$1000=$A697)*('Card Test Cases'!$G$4:$G$1000&lt;&gt;""),""),_xlfn._xlws.FILTER('E2E core flow'!$U$15:$U$1000,('E2E core flow'!$A$15:$A$1000&lt;&gt;"")*ISNUMBER(SEARCH('E2E core flow'!$A$15:$A$1000,$E697))*('E2E core flow'!$U$15:$U$1000&lt;&gt;""),"")))),"-"))</f>
        <v/>
      </c>
    </row>
    <row r="698" spans="7:19" x14ac:dyDescent="0.3">
      <c r="G698" s="68" t="str" cm="1">
        <f t="array" ref="G698">_xlfn.LET(_xlpm.ids,'E2E core flow'!$A$15:$A$1000,_xlpm.v,'E2E core flow'!$W$15:$W$1000,_xlpm.m,(_xlpm.ids&lt;&gt;"")*ISNUMBER(SEARCH(_xlpm.ids,$E698)),_xlpm.f,SUM(_xlpm.m*(_xlpm.v="Failed")),_xlpm.b,SUM(_xlpm.m*(_xlpm.v="Blocked")),_xlpm.nr,SUM(_xlpm.m*(_xlpm.v="Not Run")),_xlpm.cp,SUM(_xlpm.m*(_xlpm.v="Conditionally Passed")),_xlpm.p,SUM(_xlpm.m*(_xlpm.v="Passed")),IF(TRIM($A698)="","",IF(TRIM($E698)="","Pending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98" s="68" t="str">
        <f>IF(TRIM($A698)="","",IF($J698="Passed","",IF($J698="Passed with Known Issue","Known Issue",IF($J698="",IF(OR($H698&lt;&gt;"No",AND($F698&lt;&gt;"Medium",$F698&lt;&gt;"Low")),"Pending Result",""),IF(OR($H698&lt;&gt;"No",AND($F698&lt;&gt;"Medium",$F698&lt;&gt;"Low")),IF(COUNTIFS(Dashboard!$B$105:$B$124,$A698,Dashboard!$I$105:$I$124,"CAB")&gt;0,"Accepted (CF)","Blocking"),IF($J698="Failed","Deferrable","Carry Over"))))))</f>
        <v/>
      </c>
      <c r="M698" s="68" t="str">
        <f>IF(OR(TRIM($A698)="",TRIM($E698)=""),"",IFERROR(INDEX('E2E core flow'!$B$15:$B$1000,MATCH(1,INDEX(('E2E core flow'!$A$15:$A$1000&lt;&gt;"")*ISNUMBER(SEARCH('E2E core flow'!$A$15:$A$1000,$E698)),0),0))&amp;"","-"))</f>
        <v/>
      </c>
      <c r="N698" s="68" t="str">
        <f>IF(TRIM($A698)="","",IF($O698=0,IF(COUNTIFS('Card Test Cases'!$B$4:$B$1000,$A698,'Card Test Cases'!$A$4:$A$1000,"&lt;&gt;")&gt;0,"Out of Scope","No TC"),IF($Q698&gt;0,"Failed",IF(COUNTIFS('Card Test Cases'!$B$4:$B$1000,$A698,'Card Test Cases'!$A$4:$A$1000,"&lt;&gt;",'Card Test Cases'!$F$4:$F$1000,"Blocked")&gt;0,"Blocked",IF($R698&gt;0,"In Progress","Passed")))))</f>
        <v/>
      </c>
      <c r="O698" s="68" t="str">
        <f>IF(TRIM($A698)="","",COUNTIFS('Card Test Cases'!$B$4:$B$1000,$A698,'Card Test Cases'!$A$4:$A$1000,"&lt;&gt;",'Card Test Cases'!$F$4:$F$1000,"&lt;&gt;Out of Scope"))</f>
        <v/>
      </c>
      <c r="P698" s="68" t="str">
        <f>IF(TRIM($A698)="","",COUNTIFS('Card Test Cases'!$B$4:$B$1000,$A698,'Card Test Cases'!$A$4:$A$1000,"&lt;&gt;",'Card Test Cases'!$F$4:$F$1000,"Passed"))</f>
        <v/>
      </c>
      <c r="Q698" s="68" t="str">
        <f>IF(TRIM($A698)="","",COUNTIFS('Card Test Cases'!$B$4:$B$1000,$A698,'Card Test Cases'!$A$4:$A$1000,"&lt;&gt;",'Card Test Cases'!$F$4:$F$1000,"Failed"))</f>
        <v/>
      </c>
      <c r="R698" s="68" t="str">
        <f t="shared" si="10"/>
        <v/>
      </c>
      <c r="S698" s="68" t="str" cm="1">
        <f t="array" ref="S698">IF(TRIM($A698)="","",IFERROR(_xlfn.TEXTJOIN(", ",TRUE,_xlfn.UNIQUE(_xlfn.VSTACK(_xlfn._xlws.FILTER('Card Test Cases'!$G$4:$G$1000,('Card Test Cases'!$B$4:$B$1000=$A698)*('Card Test Cases'!$G$4:$G$1000&lt;&gt;""),""),_xlfn._xlws.FILTER('E2E core flow'!$U$15:$U$1000,('E2E core flow'!$A$15:$A$1000&lt;&gt;"")*ISNUMBER(SEARCH('E2E core flow'!$A$15:$A$1000,$E698))*('E2E core flow'!$U$15:$U$1000&lt;&gt;""),"")))),"-"))</f>
        <v/>
      </c>
    </row>
    <row r="699" spans="7:19" x14ac:dyDescent="0.3">
      <c r="G699" s="68" t="str" cm="1">
        <f t="array" ref="G699">_xlfn.LET(_xlpm.ids,'E2E core flow'!$A$15:$A$1000,_xlpm.v,'E2E core flow'!$W$15:$W$1000,_xlpm.m,(_xlpm.ids&lt;&gt;"")*ISNUMBER(SEARCH(_xlpm.ids,$E699)),_xlpm.f,SUM(_xlpm.m*(_xlpm.v="Failed")),_xlpm.b,SUM(_xlpm.m*(_xlpm.v="Blocked")),_xlpm.nr,SUM(_xlpm.m*(_xlpm.v="Not Run")),_xlpm.cp,SUM(_xlpm.m*(_xlpm.v="Conditionally Passed")),_xlpm.p,SUM(_xlpm.m*(_xlpm.v="Passed")),IF(TRIM($A699)="","",IF(TRIM($E699)="","Pending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699" s="68" t="str">
        <f>IF(TRIM($A699)="","",IF($J699="Passed","",IF($J699="Passed with Known Issue","Known Issue",IF($J699="",IF(OR($H699&lt;&gt;"No",AND($F699&lt;&gt;"Medium",$F699&lt;&gt;"Low")),"Pending Result",""),IF(OR($H699&lt;&gt;"No",AND($F699&lt;&gt;"Medium",$F699&lt;&gt;"Low")),IF(COUNTIFS(Dashboard!$B$105:$B$124,$A699,Dashboard!$I$105:$I$124,"CAB")&gt;0,"Accepted (CF)","Blocking"),IF($J699="Failed","Deferrable","Carry Over"))))))</f>
        <v/>
      </c>
      <c r="M699" s="68" t="str">
        <f>IF(OR(TRIM($A699)="",TRIM($E699)=""),"",IFERROR(INDEX('E2E core flow'!$B$15:$B$1000,MATCH(1,INDEX(('E2E core flow'!$A$15:$A$1000&lt;&gt;"")*ISNUMBER(SEARCH('E2E core flow'!$A$15:$A$1000,$E699)),0),0))&amp;"","-"))</f>
        <v/>
      </c>
      <c r="N699" s="68" t="str">
        <f>IF(TRIM($A699)="","",IF($O699=0,IF(COUNTIFS('Card Test Cases'!$B$4:$B$1000,$A699,'Card Test Cases'!$A$4:$A$1000,"&lt;&gt;")&gt;0,"Out of Scope","No TC"),IF($Q699&gt;0,"Failed",IF(COUNTIFS('Card Test Cases'!$B$4:$B$1000,$A699,'Card Test Cases'!$A$4:$A$1000,"&lt;&gt;",'Card Test Cases'!$F$4:$F$1000,"Blocked")&gt;0,"Blocked",IF($R699&gt;0,"In Progress","Passed")))))</f>
        <v/>
      </c>
      <c r="O699" s="68" t="str">
        <f>IF(TRIM($A699)="","",COUNTIFS('Card Test Cases'!$B$4:$B$1000,$A699,'Card Test Cases'!$A$4:$A$1000,"&lt;&gt;",'Card Test Cases'!$F$4:$F$1000,"&lt;&gt;Out of Scope"))</f>
        <v/>
      </c>
      <c r="P699" s="68" t="str">
        <f>IF(TRIM($A699)="","",COUNTIFS('Card Test Cases'!$B$4:$B$1000,$A699,'Card Test Cases'!$A$4:$A$1000,"&lt;&gt;",'Card Test Cases'!$F$4:$F$1000,"Passed"))</f>
        <v/>
      </c>
      <c r="Q699" s="68" t="str">
        <f>IF(TRIM($A699)="","",COUNTIFS('Card Test Cases'!$B$4:$B$1000,$A699,'Card Test Cases'!$A$4:$A$1000,"&lt;&gt;",'Card Test Cases'!$F$4:$F$1000,"Failed"))</f>
        <v/>
      </c>
      <c r="R699" s="68" t="str">
        <f t="shared" si="10"/>
        <v/>
      </c>
      <c r="S699" s="68" t="str" cm="1">
        <f t="array" ref="S699">IF(TRIM($A699)="","",IFERROR(_xlfn.TEXTJOIN(", ",TRUE,_xlfn.UNIQUE(_xlfn.VSTACK(_xlfn._xlws.FILTER('Card Test Cases'!$G$4:$G$1000,('Card Test Cases'!$B$4:$B$1000=$A699)*('Card Test Cases'!$G$4:$G$1000&lt;&gt;""),""),_xlfn._xlws.FILTER('E2E core flow'!$U$15:$U$1000,('E2E core flow'!$A$15:$A$1000&lt;&gt;"")*ISNUMBER(SEARCH('E2E core flow'!$A$15:$A$1000,$E699))*('E2E core flow'!$U$15:$U$1000&lt;&gt;""),"")))),"-"))</f>
        <v/>
      </c>
    </row>
    <row r="700" spans="7:19" x14ac:dyDescent="0.3">
      <c r="G700" s="68" t="str" cm="1">
        <f t="array" ref="G700">_xlfn.LET(_xlpm.ids,'E2E core flow'!$A$15:$A$1000,_xlpm.v,'E2E core flow'!$W$15:$W$1000,_xlpm.m,(_xlpm.ids&lt;&gt;"")*ISNUMBER(SEARCH(_xlpm.ids,$E700)),_xlpm.f,SUM(_xlpm.m*(_xlpm.v="Failed")),_xlpm.b,SUM(_xlpm.m*(_xlpm.v="Blocked")),_xlpm.nr,SUM(_xlpm.m*(_xlpm.v="Not Run")),_xlpm.cp,SUM(_xlpm.m*(_xlpm.v="Conditionally Passed")),_xlpm.p,SUM(_xlpm.m*(_xlpm.v="Passed")),IF(TRIM($A700)="","",IF(TRIM($E700)="","Pending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00" s="68" t="str">
        <f>IF(TRIM($A700)="","",IF($J700="Passed","",IF($J700="Passed with Known Issue","Known Issue",IF($J700="",IF(OR($H700&lt;&gt;"No",AND($F700&lt;&gt;"Medium",$F700&lt;&gt;"Low")),"Pending Result",""),IF(OR($H700&lt;&gt;"No",AND($F700&lt;&gt;"Medium",$F700&lt;&gt;"Low")),IF(COUNTIFS(Dashboard!$B$105:$B$124,$A700,Dashboard!$I$105:$I$124,"CAB")&gt;0,"Accepted (CF)","Blocking"),IF($J700="Failed","Deferrable","Carry Over"))))))</f>
        <v/>
      </c>
      <c r="M700" s="68" t="str">
        <f>IF(OR(TRIM($A700)="",TRIM($E700)=""),"",IFERROR(INDEX('E2E core flow'!$B$15:$B$1000,MATCH(1,INDEX(('E2E core flow'!$A$15:$A$1000&lt;&gt;"")*ISNUMBER(SEARCH('E2E core flow'!$A$15:$A$1000,$E700)),0),0))&amp;"","-"))</f>
        <v/>
      </c>
      <c r="N700" s="68" t="str">
        <f>IF(TRIM($A700)="","",IF($O700=0,IF(COUNTIFS('Card Test Cases'!$B$4:$B$1000,$A700,'Card Test Cases'!$A$4:$A$1000,"&lt;&gt;")&gt;0,"Out of Scope","No TC"),IF($Q700&gt;0,"Failed",IF(COUNTIFS('Card Test Cases'!$B$4:$B$1000,$A700,'Card Test Cases'!$A$4:$A$1000,"&lt;&gt;",'Card Test Cases'!$F$4:$F$1000,"Blocked")&gt;0,"Blocked",IF($R700&gt;0,"In Progress","Passed")))))</f>
        <v/>
      </c>
      <c r="O700" s="68" t="str">
        <f>IF(TRIM($A700)="","",COUNTIFS('Card Test Cases'!$B$4:$B$1000,$A700,'Card Test Cases'!$A$4:$A$1000,"&lt;&gt;",'Card Test Cases'!$F$4:$F$1000,"&lt;&gt;Out of Scope"))</f>
        <v/>
      </c>
      <c r="P700" s="68" t="str">
        <f>IF(TRIM($A700)="","",COUNTIFS('Card Test Cases'!$B$4:$B$1000,$A700,'Card Test Cases'!$A$4:$A$1000,"&lt;&gt;",'Card Test Cases'!$F$4:$F$1000,"Passed"))</f>
        <v/>
      </c>
      <c r="Q700" s="68" t="str">
        <f>IF(TRIM($A700)="","",COUNTIFS('Card Test Cases'!$B$4:$B$1000,$A700,'Card Test Cases'!$A$4:$A$1000,"&lt;&gt;",'Card Test Cases'!$F$4:$F$1000,"Failed"))</f>
        <v/>
      </c>
      <c r="R700" s="68" t="str">
        <f t="shared" si="10"/>
        <v/>
      </c>
      <c r="S700" s="68" t="str" cm="1">
        <f t="array" ref="S700">IF(TRIM($A700)="","",IFERROR(_xlfn.TEXTJOIN(", ",TRUE,_xlfn.UNIQUE(_xlfn.VSTACK(_xlfn._xlws.FILTER('Card Test Cases'!$G$4:$G$1000,('Card Test Cases'!$B$4:$B$1000=$A700)*('Card Test Cases'!$G$4:$G$1000&lt;&gt;""),""),_xlfn._xlws.FILTER('E2E core flow'!$U$15:$U$1000,('E2E core flow'!$A$15:$A$1000&lt;&gt;"")*ISNUMBER(SEARCH('E2E core flow'!$A$15:$A$1000,$E700))*('E2E core flow'!$U$15:$U$1000&lt;&gt;""),"")))),"-"))</f>
        <v/>
      </c>
    </row>
    <row r="701" spans="7:19" x14ac:dyDescent="0.3">
      <c r="G701" s="68" t="str" cm="1">
        <f t="array" ref="G701">_xlfn.LET(_xlpm.ids,'E2E core flow'!$A$15:$A$1000,_xlpm.v,'E2E core flow'!$W$15:$W$1000,_xlpm.m,(_xlpm.ids&lt;&gt;"")*ISNUMBER(SEARCH(_xlpm.ids,$E701)),_xlpm.f,SUM(_xlpm.m*(_xlpm.v="Failed")),_xlpm.b,SUM(_xlpm.m*(_xlpm.v="Blocked")),_xlpm.nr,SUM(_xlpm.m*(_xlpm.v="Not Run")),_xlpm.cp,SUM(_xlpm.m*(_xlpm.v="Conditionally Passed")),_xlpm.p,SUM(_xlpm.m*(_xlpm.v="Passed")),IF(TRIM($A701)="","",IF(TRIM($E701)="","Pending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01" s="68" t="str">
        <f>IF(TRIM($A701)="","",IF($J701="Passed","",IF($J701="Passed with Known Issue","Known Issue",IF($J701="",IF(OR($H701&lt;&gt;"No",AND($F701&lt;&gt;"Medium",$F701&lt;&gt;"Low")),"Pending Result",""),IF(OR($H701&lt;&gt;"No",AND($F701&lt;&gt;"Medium",$F701&lt;&gt;"Low")),IF(COUNTIFS(Dashboard!$B$105:$B$124,$A701,Dashboard!$I$105:$I$124,"CAB")&gt;0,"Accepted (CF)","Blocking"),IF($J701="Failed","Deferrable","Carry Over"))))))</f>
        <v/>
      </c>
      <c r="M701" s="68" t="str">
        <f>IF(OR(TRIM($A701)="",TRIM($E701)=""),"",IFERROR(INDEX('E2E core flow'!$B$15:$B$1000,MATCH(1,INDEX(('E2E core flow'!$A$15:$A$1000&lt;&gt;"")*ISNUMBER(SEARCH('E2E core flow'!$A$15:$A$1000,$E701)),0),0))&amp;"","-"))</f>
        <v/>
      </c>
      <c r="N701" s="68" t="str">
        <f>IF(TRIM($A701)="","",IF($O701=0,IF(COUNTIFS('Card Test Cases'!$B$4:$B$1000,$A701,'Card Test Cases'!$A$4:$A$1000,"&lt;&gt;")&gt;0,"Out of Scope","No TC"),IF($Q701&gt;0,"Failed",IF(COUNTIFS('Card Test Cases'!$B$4:$B$1000,$A701,'Card Test Cases'!$A$4:$A$1000,"&lt;&gt;",'Card Test Cases'!$F$4:$F$1000,"Blocked")&gt;0,"Blocked",IF($R701&gt;0,"In Progress","Passed")))))</f>
        <v/>
      </c>
      <c r="O701" s="68" t="str">
        <f>IF(TRIM($A701)="","",COUNTIFS('Card Test Cases'!$B$4:$B$1000,$A701,'Card Test Cases'!$A$4:$A$1000,"&lt;&gt;",'Card Test Cases'!$F$4:$F$1000,"&lt;&gt;Out of Scope"))</f>
        <v/>
      </c>
      <c r="P701" s="68" t="str">
        <f>IF(TRIM($A701)="","",COUNTIFS('Card Test Cases'!$B$4:$B$1000,$A701,'Card Test Cases'!$A$4:$A$1000,"&lt;&gt;",'Card Test Cases'!$F$4:$F$1000,"Passed"))</f>
        <v/>
      </c>
      <c r="Q701" s="68" t="str">
        <f>IF(TRIM($A701)="","",COUNTIFS('Card Test Cases'!$B$4:$B$1000,$A701,'Card Test Cases'!$A$4:$A$1000,"&lt;&gt;",'Card Test Cases'!$F$4:$F$1000,"Failed"))</f>
        <v/>
      </c>
      <c r="R701" s="68" t="str">
        <f t="shared" si="10"/>
        <v/>
      </c>
      <c r="S701" s="68" t="str" cm="1">
        <f t="array" ref="S701">IF(TRIM($A701)="","",IFERROR(_xlfn.TEXTJOIN(", ",TRUE,_xlfn.UNIQUE(_xlfn.VSTACK(_xlfn._xlws.FILTER('Card Test Cases'!$G$4:$G$1000,('Card Test Cases'!$B$4:$B$1000=$A701)*('Card Test Cases'!$G$4:$G$1000&lt;&gt;""),""),_xlfn._xlws.FILTER('E2E core flow'!$U$15:$U$1000,('E2E core flow'!$A$15:$A$1000&lt;&gt;"")*ISNUMBER(SEARCH('E2E core flow'!$A$15:$A$1000,$E701))*('E2E core flow'!$U$15:$U$1000&lt;&gt;""),"")))),"-"))</f>
        <v/>
      </c>
    </row>
    <row r="702" spans="7:19" x14ac:dyDescent="0.3">
      <c r="G702" s="68" t="str" cm="1">
        <f t="array" ref="G702">_xlfn.LET(_xlpm.ids,'E2E core flow'!$A$15:$A$1000,_xlpm.v,'E2E core flow'!$W$15:$W$1000,_xlpm.m,(_xlpm.ids&lt;&gt;"")*ISNUMBER(SEARCH(_xlpm.ids,$E702)),_xlpm.f,SUM(_xlpm.m*(_xlpm.v="Failed")),_xlpm.b,SUM(_xlpm.m*(_xlpm.v="Blocked")),_xlpm.nr,SUM(_xlpm.m*(_xlpm.v="Not Run")),_xlpm.cp,SUM(_xlpm.m*(_xlpm.v="Conditionally Passed")),_xlpm.p,SUM(_xlpm.m*(_xlpm.v="Passed")),IF(TRIM($A702)="","",IF(TRIM($E702)="","Pending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02" s="68" t="str">
        <f>IF(TRIM($A702)="","",IF($J702="Passed","",IF($J702="Passed with Known Issue","Known Issue",IF($J702="",IF(OR($H702&lt;&gt;"No",AND($F702&lt;&gt;"Medium",$F702&lt;&gt;"Low")),"Pending Result",""),IF(OR($H702&lt;&gt;"No",AND($F702&lt;&gt;"Medium",$F702&lt;&gt;"Low")),IF(COUNTIFS(Dashboard!$B$105:$B$124,$A702,Dashboard!$I$105:$I$124,"CAB")&gt;0,"Accepted (CF)","Blocking"),IF($J702="Failed","Deferrable","Carry Over"))))))</f>
        <v/>
      </c>
      <c r="M702" s="68" t="str">
        <f>IF(OR(TRIM($A702)="",TRIM($E702)=""),"",IFERROR(INDEX('E2E core flow'!$B$15:$B$1000,MATCH(1,INDEX(('E2E core flow'!$A$15:$A$1000&lt;&gt;"")*ISNUMBER(SEARCH('E2E core flow'!$A$15:$A$1000,$E702)),0),0))&amp;"","-"))</f>
        <v/>
      </c>
      <c r="N702" s="68" t="str">
        <f>IF(TRIM($A702)="","",IF($O702=0,IF(COUNTIFS('Card Test Cases'!$B$4:$B$1000,$A702,'Card Test Cases'!$A$4:$A$1000,"&lt;&gt;")&gt;0,"Out of Scope","No TC"),IF($Q702&gt;0,"Failed",IF(COUNTIFS('Card Test Cases'!$B$4:$B$1000,$A702,'Card Test Cases'!$A$4:$A$1000,"&lt;&gt;",'Card Test Cases'!$F$4:$F$1000,"Blocked")&gt;0,"Blocked",IF($R702&gt;0,"In Progress","Passed")))))</f>
        <v/>
      </c>
      <c r="O702" s="68" t="str">
        <f>IF(TRIM($A702)="","",COUNTIFS('Card Test Cases'!$B$4:$B$1000,$A702,'Card Test Cases'!$A$4:$A$1000,"&lt;&gt;",'Card Test Cases'!$F$4:$F$1000,"&lt;&gt;Out of Scope"))</f>
        <v/>
      </c>
      <c r="P702" s="68" t="str">
        <f>IF(TRIM($A702)="","",COUNTIFS('Card Test Cases'!$B$4:$B$1000,$A702,'Card Test Cases'!$A$4:$A$1000,"&lt;&gt;",'Card Test Cases'!$F$4:$F$1000,"Passed"))</f>
        <v/>
      </c>
      <c r="Q702" s="68" t="str">
        <f>IF(TRIM($A702)="","",COUNTIFS('Card Test Cases'!$B$4:$B$1000,$A702,'Card Test Cases'!$A$4:$A$1000,"&lt;&gt;",'Card Test Cases'!$F$4:$F$1000,"Failed"))</f>
        <v/>
      </c>
      <c r="R702" s="68" t="str">
        <f t="shared" si="10"/>
        <v/>
      </c>
      <c r="S702" s="68" t="str" cm="1">
        <f t="array" ref="S702">IF(TRIM($A702)="","",IFERROR(_xlfn.TEXTJOIN(", ",TRUE,_xlfn.UNIQUE(_xlfn.VSTACK(_xlfn._xlws.FILTER('Card Test Cases'!$G$4:$G$1000,('Card Test Cases'!$B$4:$B$1000=$A702)*('Card Test Cases'!$G$4:$G$1000&lt;&gt;""),""),_xlfn._xlws.FILTER('E2E core flow'!$U$15:$U$1000,('E2E core flow'!$A$15:$A$1000&lt;&gt;"")*ISNUMBER(SEARCH('E2E core flow'!$A$15:$A$1000,$E702))*('E2E core flow'!$U$15:$U$1000&lt;&gt;""),"")))),"-"))</f>
        <v/>
      </c>
    </row>
    <row r="703" spans="7:19" x14ac:dyDescent="0.3">
      <c r="G703" s="68" t="str" cm="1">
        <f t="array" ref="G703">_xlfn.LET(_xlpm.ids,'E2E core flow'!$A$15:$A$1000,_xlpm.v,'E2E core flow'!$W$15:$W$1000,_xlpm.m,(_xlpm.ids&lt;&gt;"")*ISNUMBER(SEARCH(_xlpm.ids,$E703)),_xlpm.f,SUM(_xlpm.m*(_xlpm.v="Failed")),_xlpm.b,SUM(_xlpm.m*(_xlpm.v="Blocked")),_xlpm.nr,SUM(_xlpm.m*(_xlpm.v="Not Run")),_xlpm.cp,SUM(_xlpm.m*(_xlpm.v="Conditionally Passed")),_xlpm.p,SUM(_xlpm.m*(_xlpm.v="Passed")),IF(TRIM($A703)="","",IF(TRIM($E703)="","Pending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03" s="68" t="str">
        <f>IF(TRIM($A703)="","",IF($J703="Passed","",IF($J703="Passed with Known Issue","Known Issue",IF($J703="",IF(OR($H703&lt;&gt;"No",AND($F703&lt;&gt;"Medium",$F703&lt;&gt;"Low")),"Pending Result",""),IF(OR($H703&lt;&gt;"No",AND($F703&lt;&gt;"Medium",$F703&lt;&gt;"Low")),IF(COUNTIFS(Dashboard!$B$105:$B$124,$A703,Dashboard!$I$105:$I$124,"CAB")&gt;0,"Accepted (CF)","Blocking"),IF($J703="Failed","Deferrable","Carry Over"))))))</f>
        <v/>
      </c>
      <c r="M703" s="68" t="str">
        <f>IF(OR(TRIM($A703)="",TRIM($E703)=""),"",IFERROR(INDEX('E2E core flow'!$B$15:$B$1000,MATCH(1,INDEX(('E2E core flow'!$A$15:$A$1000&lt;&gt;"")*ISNUMBER(SEARCH('E2E core flow'!$A$15:$A$1000,$E703)),0),0))&amp;"","-"))</f>
        <v/>
      </c>
      <c r="N703" s="68" t="str">
        <f>IF(TRIM($A703)="","",IF($O703=0,IF(COUNTIFS('Card Test Cases'!$B$4:$B$1000,$A703,'Card Test Cases'!$A$4:$A$1000,"&lt;&gt;")&gt;0,"Out of Scope","No TC"),IF($Q703&gt;0,"Failed",IF(COUNTIFS('Card Test Cases'!$B$4:$B$1000,$A703,'Card Test Cases'!$A$4:$A$1000,"&lt;&gt;",'Card Test Cases'!$F$4:$F$1000,"Blocked")&gt;0,"Blocked",IF($R703&gt;0,"In Progress","Passed")))))</f>
        <v/>
      </c>
      <c r="O703" s="68" t="str">
        <f>IF(TRIM($A703)="","",COUNTIFS('Card Test Cases'!$B$4:$B$1000,$A703,'Card Test Cases'!$A$4:$A$1000,"&lt;&gt;",'Card Test Cases'!$F$4:$F$1000,"&lt;&gt;Out of Scope"))</f>
        <v/>
      </c>
      <c r="P703" s="68" t="str">
        <f>IF(TRIM($A703)="","",COUNTIFS('Card Test Cases'!$B$4:$B$1000,$A703,'Card Test Cases'!$A$4:$A$1000,"&lt;&gt;",'Card Test Cases'!$F$4:$F$1000,"Passed"))</f>
        <v/>
      </c>
      <c r="Q703" s="68" t="str">
        <f>IF(TRIM($A703)="","",COUNTIFS('Card Test Cases'!$B$4:$B$1000,$A703,'Card Test Cases'!$A$4:$A$1000,"&lt;&gt;",'Card Test Cases'!$F$4:$F$1000,"Failed"))</f>
        <v/>
      </c>
      <c r="R703" s="68" t="str">
        <f t="shared" si="10"/>
        <v/>
      </c>
      <c r="S703" s="68" t="str" cm="1">
        <f t="array" ref="S703">IF(TRIM($A703)="","",IFERROR(_xlfn.TEXTJOIN(", ",TRUE,_xlfn.UNIQUE(_xlfn.VSTACK(_xlfn._xlws.FILTER('Card Test Cases'!$G$4:$G$1000,('Card Test Cases'!$B$4:$B$1000=$A703)*('Card Test Cases'!$G$4:$G$1000&lt;&gt;""),""),_xlfn._xlws.FILTER('E2E core flow'!$U$15:$U$1000,('E2E core flow'!$A$15:$A$1000&lt;&gt;"")*ISNUMBER(SEARCH('E2E core flow'!$A$15:$A$1000,$E703))*('E2E core flow'!$U$15:$U$1000&lt;&gt;""),"")))),"-"))</f>
        <v/>
      </c>
    </row>
    <row r="704" spans="7:19" x14ac:dyDescent="0.3">
      <c r="G704" s="68" t="str" cm="1">
        <f t="array" ref="G704">_xlfn.LET(_xlpm.ids,'E2E core flow'!$A$15:$A$1000,_xlpm.v,'E2E core flow'!$W$15:$W$1000,_xlpm.m,(_xlpm.ids&lt;&gt;"")*ISNUMBER(SEARCH(_xlpm.ids,$E704)),_xlpm.f,SUM(_xlpm.m*(_xlpm.v="Failed")),_xlpm.b,SUM(_xlpm.m*(_xlpm.v="Blocked")),_xlpm.nr,SUM(_xlpm.m*(_xlpm.v="Not Run")),_xlpm.cp,SUM(_xlpm.m*(_xlpm.v="Conditionally Passed")),_xlpm.p,SUM(_xlpm.m*(_xlpm.v="Passed")),IF(TRIM($A704)="","",IF(TRIM($E704)="","Pending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04" s="68" t="str">
        <f>IF(TRIM($A704)="","",IF($J704="Passed","",IF($J704="Passed with Known Issue","Known Issue",IF($J704="",IF(OR($H704&lt;&gt;"No",AND($F704&lt;&gt;"Medium",$F704&lt;&gt;"Low")),"Pending Result",""),IF(OR($H704&lt;&gt;"No",AND($F704&lt;&gt;"Medium",$F704&lt;&gt;"Low")),IF(COUNTIFS(Dashboard!$B$105:$B$124,$A704,Dashboard!$I$105:$I$124,"CAB")&gt;0,"Accepted (CF)","Blocking"),IF($J704="Failed","Deferrable","Carry Over"))))))</f>
        <v/>
      </c>
      <c r="M704" s="68" t="str">
        <f>IF(OR(TRIM($A704)="",TRIM($E704)=""),"",IFERROR(INDEX('E2E core flow'!$B$15:$B$1000,MATCH(1,INDEX(('E2E core flow'!$A$15:$A$1000&lt;&gt;"")*ISNUMBER(SEARCH('E2E core flow'!$A$15:$A$1000,$E704)),0),0))&amp;"","-"))</f>
        <v/>
      </c>
      <c r="N704" s="68" t="str">
        <f>IF(TRIM($A704)="","",IF($O704=0,IF(COUNTIFS('Card Test Cases'!$B$4:$B$1000,$A704,'Card Test Cases'!$A$4:$A$1000,"&lt;&gt;")&gt;0,"Out of Scope","No TC"),IF($Q704&gt;0,"Failed",IF(COUNTIFS('Card Test Cases'!$B$4:$B$1000,$A704,'Card Test Cases'!$A$4:$A$1000,"&lt;&gt;",'Card Test Cases'!$F$4:$F$1000,"Blocked")&gt;0,"Blocked",IF($R704&gt;0,"In Progress","Passed")))))</f>
        <v/>
      </c>
      <c r="O704" s="68" t="str">
        <f>IF(TRIM($A704)="","",COUNTIFS('Card Test Cases'!$B$4:$B$1000,$A704,'Card Test Cases'!$A$4:$A$1000,"&lt;&gt;",'Card Test Cases'!$F$4:$F$1000,"&lt;&gt;Out of Scope"))</f>
        <v/>
      </c>
      <c r="P704" s="68" t="str">
        <f>IF(TRIM($A704)="","",COUNTIFS('Card Test Cases'!$B$4:$B$1000,$A704,'Card Test Cases'!$A$4:$A$1000,"&lt;&gt;",'Card Test Cases'!$F$4:$F$1000,"Passed"))</f>
        <v/>
      </c>
      <c r="Q704" s="68" t="str">
        <f>IF(TRIM($A704)="","",COUNTIFS('Card Test Cases'!$B$4:$B$1000,$A704,'Card Test Cases'!$A$4:$A$1000,"&lt;&gt;",'Card Test Cases'!$F$4:$F$1000,"Failed"))</f>
        <v/>
      </c>
      <c r="R704" s="68" t="str">
        <f t="shared" si="10"/>
        <v/>
      </c>
      <c r="S704" s="68" t="str" cm="1">
        <f t="array" ref="S704">IF(TRIM($A704)="","",IFERROR(_xlfn.TEXTJOIN(", ",TRUE,_xlfn.UNIQUE(_xlfn.VSTACK(_xlfn._xlws.FILTER('Card Test Cases'!$G$4:$G$1000,('Card Test Cases'!$B$4:$B$1000=$A704)*('Card Test Cases'!$G$4:$G$1000&lt;&gt;""),""),_xlfn._xlws.FILTER('E2E core flow'!$U$15:$U$1000,('E2E core flow'!$A$15:$A$1000&lt;&gt;"")*ISNUMBER(SEARCH('E2E core flow'!$A$15:$A$1000,$E704))*('E2E core flow'!$U$15:$U$1000&lt;&gt;""),"")))),"-"))</f>
        <v/>
      </c>
    </row>
    <row r="705" spans="7:19" x14ac:dyDescent="0.3">
      <c r="G705" s="68" t="str" cm="1">
        <f t="array" ref="G705">_xlfn.LET(_xlpm.ids,'E2E core flow'!$A$15:$A$1000,_xlpm.v,'E2E core flow'!$W$15:$W$1000,_xlpm.m,(_xlpm.ids&lt;&gt;"")*ISNUMBER(SEARCH(_xlpm.ids,$E705)),_xlpm.f,SUM(_xlpm.m*(_xlpm.v="Failed")),_xlpm.b,SUM(_xlpm.m*(_xlpm.v="Blocked")),_xlpm.nr,SUM(_xlpm.m*(_xlpm.v="Not Run")),_xlpm.cp,SUM(_xlpm.m*(_xlpm.v="Conditionally Passed")),_xlpm.p,SUM(_xlpm.m*(_xlpm.v="Passed")),IF(TRIM($A705)="","",IF(TRIM($E705)="","Pending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05" s="68" t="str">
        <f>IF(TRIM($A705)="","",IF($J705="Passed","",IF($J705="Passed with Known Issue","Known Issue",IF($J705="",IF(OR($H705&lt;&gt;"No",AND($F705&lt;&gt;"Medium",$F705&lt;&gt;"Low")),"Pending Result",""),IF(OR($H705&lt;&gt;"No",AND($F705&lt;&gt;"Medium",$F705&lt;&gt;"Low")),IF(COUNTIFS(Dashboard!$B$105:$B$124,$A705,Dashboard!$I$105:$I$124,"CAB")&gt;0,"Accepted (CF)","Blocking"),IF($J705="Failed","Deferrable","Carry Over"))))))</f>
        <v/>
      </c>
      <c r="M705" s="68" t="str">
        <f>IF(OR(TRIM($A705)="",TRIM($E705)=""),"",IFERROR(INDEX('E2E core flow'!$B$15:$B$1000,MATCH(1,INDEX(('E2E core flow'!$A$15:$A$1000&lt;&gt;"")*ISNUMBER(SEARCH('E2E core flow'!$A$15:$A$1000,$E705)),0),0))&amp;"","-"))</f>
        <v/>
      </c>
      <c r="N705" s="68" t="str">
        <f>IF(TRIM($A705)="","",IF($O705=0,IF(COUNTIFS('Card Test Cases'!$B$4:$B$1000,$A705,'Card Test Cases'!$A$4:$A$1000,"&lt;&gt;")&gt;0,"Out of Scope","No TC"),IF($Q705&gt;0,"Failed",IF(COUNTIFS('Card Test Cases'!$B$4:$B$1000,$A705,'Card Test Cases'!$A$4:$A$1000,"&lt;&gt;",'Card Test Cases'!$F$4:$F$1000,"Blocked")&gt;0,"Blocked",IF($R705&gt;0,"In Progress","Passed")))))</f>
        <v/>
      </c>
      <c r="O705" s="68" t="str">
        <f>IF(TRIM($A705)="","",COUNTIFS('Card Test Cases'!$B$4:$B$1000,$A705,'Card Test Cases'!$A$4:$A$1000,"&lt;&gt;",'Card Test Cases'!$F$4:$F$1000,"&lt;&gt;Out of Scope"))</f>
        <v/>
      </c>
      <c r="P705" s="68" t="str">
        <f>IF(TRIM($A705)="","",COUNTIFS('Card Test Cases'!$B$4:$B$1000,$A705,'Card Test Cases'!$A$4:$A$1000,"&lt;&gt;",'Card Test Cases'!$F$4:$F$1000,"Passed"))</f>
        <v/>
      </c>
      <c r="Q705" s="68" t="str">
        <f>IF(TRIM($A705)="","",COUNTIFS('Card Test Cases'!$B$4:$B$1000,$A705,'Card Test Cases'!$A$4:$A$1000,"&lt;&gt;",'Card Test Cases'!$F$4:$F$1000,"Failed"))</f>
        <v/>
      </c>
      <c r="R705" s="68" t="str">
        <f t="shared" si="10"/>
        <v/>
      </c>
      <c r="S705" s="68" t="str" cm="1">
        <f t="array" ref="S705">IF(TRIM($A705)="","",IFERROR(_xlfn.TEXTJOIN(", ",TRUE,_xlfn.UNIQUE(_xlfn.VSTACK(_xlfn._xlws.FILTER('Card Test Cases'!$G$4:$G$1000,('Card Test Cases'!$B$4:$B$1000=$A705)*('Card Test Cases'!$G$4:$G$1000&lt;&gt;""),""),_xlfn._xlws.FILTER('E2E core flow'!$U$15:$U$1000,('E2E core flow'!$A$15:$A$1000&lt;&gt;"")*ISNUMBER(SEARCH('E2E core flow'!$A$15:$A$1000,$E705))*('E2E core flow'!$U$15:$U$1000&lt;&gt;""),"")))),"-"))</f>
        <v/>
      </c>
    </row>
    <row r="706" spans="7:19" x14ac:dyDescent="0.3">
      <c r="G706" s="68" t="str" cm="1">
        <f t="array" ref="G706">_xlfn.LET(_xlpm.ids,'E2E core flow'!$A$15:$A$1000,_xlpm.v,'E2E core flow'!$W$15:$W$1000,_xlpm.m,(_xlpm.ids&lt;&gt;"")*ISNUMBER(SEARCH(_xlpm.ids,$E706)),_xlpm.f,SUM(_xlpm.m*(_xlpm.v="Failed")),_xlpm.b,SUM(_xlpm.m*(_xlpm.v="Blocked")),_xlpm.nr,SUM(_xlpm.m*(_xlpm.v="Not Run")),_xlpm.cp,SUM(_xlpm.m*(_xlpm.v="Conditionally Passed")),_xlpm.p,SUM(_xlpm.m*(_xlpm.v="Passed")),IF(TRIM($A706)="","",IF(TRIM($E706)="","Pending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06" s="68" t="str">
        <f>IF(TRIM($A706)="","",IF($J706="Passed","",IF($J706="Passed with Known Issue","Known Issue",IF($J706="",IF(OR($H706&lt;&gt;"No",AND($F706&lt;&gt;"Medium",$F706&lt;&gt;"Low")),"Pending Result",""),IF(OR($H706&lt;&gt;"No",AND($F706&lt;&gt;"Medium",$F706&lt;&gt;"Low")),IF(COUNTIFS(Dashboard!$B$105:$B$124,$A706,Dashboard!$I$105:$I$124,"CAB")&gt;0,"Accepted (CF)","Blocking"),IF($J706="Failed","Deferrable","Carry Over"))))))</f>
        <v/>
      </c>
      <c r="M706" s="68" t="str">
        <f>IF(OR(TRIM($A706)="",TRIM($E706)=""),"",IFERROR(INDEX('E2E core flow'!$B$15:$B$1000,MATCH(1,INDEX(('E2E core flow'!$A$15:$A$1000&lt;&gt;"")*ISNUMBER(SEARCH('E2E core flow'!$A$15:$A$1000,$E706)),0),0))&amp;"","-"))</f>
        <v/>
      </c>
      <c r="N706" s="68" t="str">
        <f>IF(TRIM($A706)="","",IF($O706=0,IF(COUNTIFS('Card Test Cases'!$B$4:$B$1000,$A706,'Card Test Cases'!$A$4:$A$1000,"&lt;&gt;")&gt;0,"Out of Scope","No TC"),IF($Q706&gt;0,"Failed",IF(COUNTIFS('Card Test Cases'!$B$4:$B$1000,$A706,'Card Test Cases'!$A$4:$A$1000,"&lt;&gt;",'Card Test Cases'!$F$4:$F$1000,"Blocked")&gt;0,"Blocked",IF($R706&gt;0,"In Progress","Passed")))))</f>
        <v/>
      </c>
      <c r="O706" s="68" t="str">
        <f>IF(TRIM($A706)="","",COUNTIFS('Card Test Cases'!$B$4:$B$1000,$A706,'Card Test Cases'!$A$4:$A$1000,"&lt;&gt;",'Card Test Cases'!$F$4:$F$1000,"&lt;&gt;Out of Scope"))</f>
        <v/>
      </c>
      <c r="P706" s="68" t="str">
        <f>IF(TRIM($A706)="","",COUNTIFS('Card Test Cases'!$B$4:$B$1000,$A706,'Card Test Cases'!$A$4:$A$1000,"&lt;&gt;",'Card Test Cases'!$F$4:$F$1000,"Passed"))</f>
        <v/>
      </c>
      <c r="Q706" s="68" t="str">
        <f>IF(TRIM($A706)="","",COUNTIFS('Card Test Cases'!$B$4:$B$1000,$A706,'Card Test Cases'!$A$4:$A$1000,"&lt;&gt;",'Card Test Cases'!$F$4:$F$1000,"Failed"))</f>
        <v/>
      </c>
      <c r="R706" s="68" t="str">
        <f t="shared" si="10"/>
        <v/>
      </c>
      <c r="S706" s="68" t="str" cm="1">
        <f t="array" ref="S706">IF(TRIM($A706)="","",IFERROR(_xlfn.TEXTJOIN(", ",TRUE,_xlfn.UNIQUE(_xlfn.VSTACK(_xlfn._xlws.FILTER('Card Test Cases'!$G$4:$G$1000,('Card Test Cases'!$B$4:$B$1000=$A706)*('Card Test Cases'!$G$4:$G$1000&lt;&gt;""),""),_xlfn._xlws.FILTER('E2E core flow'!$U$15:$U$1000,('E2E core flow'!$A$15:$A$1000&lt;&gt;"")*ISNUMBER(SEARCH('E2E core flow'!$A$15:$A$1000,$E706))*('E2E core flow'!$U$15:$U$1000&lt;&gt;""),"")))),"-"))</f>
        <v/>
      </c>
    </row>
    <row r="707" spans="7:19" x14ac:dyDescent="0.3">
      <c r="G707" s="68" t="str" cm="1">
        <f t="array" ref="G707">_xlfn.LET(_xlpm.ids,'E2E core flow'!$A$15:$A$1000,_xlpm.v,'E2E core flow'!$W$15:$W$1000,_xlpm.m,(_xlpm.ids&lt;&gt;"")*ISNUMBER(SEARCH(_xlpm.ids,$E707)),_xlpm.f,SUM(_xlpm.m*(_xlpm.v="Failed")),_xlpm.b,SUM(_xlpm.m*(_xlpm.v="Blocked")),_xlpm.nr,SUM(_xlpm.m*(_xlpm.v="Not Run")),_xlpm.cp,SUM(_xlpm.m*(_xlpm.v="Conditionally Passed")),_xlpm.p,SUM(_xlpm.m*(_xlpm.v="Passed")),IF(TRIM($A707)="","",IF(TRIM($E707)="","Pending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07" s="68" t="str">
        <f>IF(TRIM($A707)="","",IF($J707="Passed","",IF($J707="Passed with Known Issue","Known Issue",IF($J707="",IF(OR($H707&lt;&gt;"No",AND($F707&lt;&gt;"Medium",$F707&lt;&gt;"Low")),"Pending Result",""),IF(OR($H707&lt;&gt;"No",AND($F707&lt;&gt;"Medium",$F707&lt;&gt;"Low")),IF(COUNTIFS(Dashboard!$B$105:$B$124,$A707,Dashboard!$I$105:$I$124,"CAB")&gt;0,"Accepted (CF)","Blocking"),IF($J707="Failed","Deferrable","Carry Over"))))))</f>
        <v/>
      </c>
      <c r="M707" s="68" t="str">
        <f>IF(OR(TRIM($A707)="",TRIM($E707)=""),"",IFERROR(INDEX('E2E core flow'!$B$15:$B$1000,MATCH(1,INDEX(('E2E core flow'!$A$15:$A$1000&lt;&gt;"")*ISNUMBER(SEARCH('E2E core flow'!$A$15:$A$1000,$E707)),0),0))&amp;"","-"))</f>
        <v/>
      </c>
      <c r="N707" s="68" t="str">
        <f>IF(TRIM($A707)="","",IF($O707=0,IF(COUNTIFS('Card Test Cases'!$B$4:$B$1000,$A707,'Card Test Cases'!$A$4:$A$1000,"&lt;&gt;")&gt;0,"Out of Scope","No TC"),IF($Q707&gt;0,"Failed",IF(COUNTIFS('Card Test Cases'!$B$4:$B$1000,$A707,'Card Test Cases'!$A$4:$A$1000,"&lt;&gt;",'Card Test Cases'!$F$4:$F$1000,"Blocked")&gt;0,"Blocked",IF($R707&gt;0,"In Progress","Passed")))))</f>
        <v/>
      </c>
      <c r="O707" s="68" t="str">
        <f>IF(TRIM($A707)="","",COUNTIFS('Card Test Cases'!$B$4:$B$1000,$A707,'Card Test Cases'!$A$4:$A$1000,"&lt;&gt;",'Card Test Cases'!$F$4:$F$1000,"&lt;&gt;Out of Scope"))</f>
        <v/>
      </c>
      <c r="P707" s="68" t="str">
        <f>IF(TRIM($A707)="","",COUNTIFS('Card Test Cases'!$B$4:$B$1000,$A707,'Card Test Cases'!$A$4:$A$1000,"&lt;&gt;",'Card Test Cases'!$F$4:$F$1000,"Passed"))</f>
        <v/>
      </c>
      <c r="Q707" s="68" t="str">
        <f>IF(TRIM($A707)="","",COUNTIFS('Card Test Cases'!$B$4:$B$1000,$A707,'Card Test Cases'!$A$4:$A$1000,"&lt;&gt;",'Card Test Cases'!$F$4:$F$1000,"Failed"))</f>
        <v/>
      </c>
      <c r="R707" s="68" t="str">
        <f t="shared" si="10"/>
        <v/>
      </c>
      <c r="S707" s="68" t="str" cm="1">
        <f t="array" ref="S707">IF(TRIM($A707)="","",IFERROR(_xlfn.TEXTJOIN(", ",TRUE,_xlfn.UNIQUE(_xlfn.VSTACK(_xlfn._xlws.FILTER('Card Test Cases'!$G$4:$G$1000,('Card Test Cases'!$B$4:$B$1000=$A707)*('Card Test Cases'!$G$4:$G$1000&lt;&gt;""),""),_xlfn._xlws.FILTER('E2E core flow'!$U$15:$U$1000,('E2E core flow'!$A$15:$A$1000&lt;&gt;"")*ISNUMBER(SEARCH('E2E core flow'!$A$15:$A$1000,$E707))*('E2E core flow'!$U$15:$U$1000&lt;&gt;""),"")))),"-"))</f>
        <v/>
      </c>
    </row>
    <row r="708" spans="7:19" x14ac:dyDescent="0.3">
      <c r="G708" s="68" t="str" cm="1">
        <f t="array" ref="G708">_xlfn.LET(_xlpm.ids,'E2E core flow'!$A$15:$A$1000,_xlpm.v,'E2E core flow'!$W$15:$W$1000,_xlpm.m,(_xlpm.ids&lt;&gt;"")*ISNUMBER(SEARCH(_xlpm.ids,$E708)),_xlpm.f,SUM(_xlpm.m*(_xlpm.v="Failed")),_xlpm.b,SUM(_xlpm.m*(_xlpm.v="Blocked")),_xlpm.nr,SUM(_xlpm.m*(_xlpm.v="Not Run")),_xlpm.cp,SUM(_xlpm.m*(_xlpm.v="Conditionally Passed")),_xlpm.p,SUM(_xlpm.m*(_xlpm.v="Passed")),IF(TRIM($A708)="","",IF(TRIM($E708)="","Pending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08" s="68" t="str">
        <f>IF(TRIM($A708)="","",IF($J708="Passed","",IF($J708="Passed with Known Issue","Known Issue",IF($J708="",IF(OR($H708&lt;&gt;"No",AND($F708&lt;&gt;"Medium",$F708&lt;&gt;"Low")),"Pending Result",""),IF(OR($H708&lt;&gt;"No",AND($F708&lt;&gt;"Medium",$F708&lt;&gt;"Low")),IF(COUNTIFS(Dashboard!$B$105:$B$124,$A708,Dashboard!$I$105:$I$124,"CAB")&gt;0,"Accepted (CF)","Blocking"),IF($J708="Failed","Deferrable","Carry Over"))))))</f>
        <v/>
      </c>
      <c r="M708" s="68" t="str">
        <f>IF(OR(TRIM($A708)="",TRIM($E708)=""),"",IFERROR(INDEX('E2E core flow'!$B$15:$B$1000,MATCH(1,INDEX(('E2E core flow'!$A$15:$A$1000&lt;&gt;"")*ISNUMBER(SEARCH('E2E core flow'!$A$15:$A$1000,$E708)),0),0))&amp;"","-"))</f>
        <v/>
      </c>
      <c r="N708" s="68" t="str">
        <f>IF(TRIM($A708)="","",IF($O708=0,IF(COUNTIFS('Card Test Cases'!$B$4:$B$1000,$A708,'Card Test Cases'!$A$4:$A$1000,"&lt;&gt;")&gt;0,"Out of Scope","No TC"),IF($Q708&gt;0,"Failed",IF(COUNTIFS('Card Test Cases'!$B$4:$B$1000,$A708,'Card Test Cases'!$A$4:$A$1000,"&lt;&gt;",'Card Test Cases'!$F$4:$F$1000,"Blocked")&gt;0,"Blocked",IF($R708&gt;0,"In Progress","Passed")))))</f>
        <v/>
      </c>
      <c r="O708" s="68" t="str">
        <f>IF(TRIM($A708)="","",COUNTIFS('Card Test Cases'!$B$4:$B$1000,$A708,'Card Test Cases'!$A$4:$A$1000,"&lt;&gt;",'Card Test Cases'!$F$4:$F$1000,"&lt;&gt;Out of Scope"))</f>
        <v/>
      </c>
      <c r="P708" s="68" t="str">
        <f>IF(TRIM($A708)="","",COUNTIFS('Card Test Cases'!$B$4:$B$1000,$A708,'Card Test Cases'!$A$4:$A$1000,"&lt;&gt;",'Card Test Cases'!$F$4:$F$1000,"Passed"))</f>
        <v/>
      </c>
      <c r="Q708" s="68" t="str">
        <f>IF(TRIM($A708)="","",COUNTIFS('Card Test Cases'!$B$4:$B$1000,$A708,'Card Test Cases'!$A$4:$A$1000,"&lt;&gt;",'Card Test Cases'!$F$4:$F$1000,"Failed"))</f>
        <v/>
      </c>
      <c r="R708" s="68" t="str">
        <f t="shared" ref="R708:R771" si="11">IF(TRIM($A708)="","",$O708-$P708-$Q708)</f>
        <v/>
      </c>
      <c r="S708" s="68" t="str" cm="1">
        <f t="array" ref="S708">IF(TRIM($A708)="","",IFERROR(_xlfn.TEXTJOIN(", ",TRUE,_xlfn.UNIQUE(_xlfn.VSTACK(_xlfn._xlws.FILTER('Card Test Cases'!$G$4:$G$1000,('Card Test Cases'!$B$4:$B$1000=$A708)*('Card Test Cases'!$G$4:$G$1000&lt;&gt;""),""),_xlfn._xlws.FILTER('E2E core flow'!$U$15:$U$1000,('E2E core flow'!$A$15:$A$1000&lt;&gt;"")*ISNUMBER(SEARCH('E2E core flow'!$A$15:$A$1000,$E708))*('E2E core flow'!$U$15:$U$1000&lt;&gt;""),"")))),"-"))</f>
        <v/>
      </c>
    </row>
    <row r="709" spans="7:19" x14ac:dyDescent="0.3">
      <c r="G709" s="68" t="str" cm="1">
        <f t="array" ref="G709">_xlfn.LET(_xlpm.ids,'E2E core flow'!$A$15:$A$1000,_xlpm.v,'E2E core flow'!$W$15:$W$1000,_xlpm.m,(_xlpm.ids&lt;&gt;"")*ISNUMBER(SEARCH(_xlpm.ids,$E709)),_xlpm.f,SUM(_xlpm.m*(_xlpm.v="Failed")),_xlpm.b,SUM(_xlpm.m*(_xlpm.v="Blocked")),_xlpm.nr,SUM(_xlpm.m*(_xlpm.v="Not Run")),_xlpm.cp,SUM(_xlpm.m*(_xlpm.v="Conditionally Passed")),_xlpm.p,SUM(_xlpm.m*(_xlpm.v="Passed")),IF(TRIM($A709)="","",IF(TRIM($E709)="","Pending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09" s="68" t="str">
        <f>IF(TRIM($A709)="","",IF($J709="Passed","",IF($J709="Passed with Known Issue","Known Issue",IF($J709="",IF(OR($H709&lt;&gt;"No",AND($F709&lt;&gt;"Medium",$F709&lt;&gt;"Low")),"Pending Result",""),IF(OR($H709&lt;&gt;"No",AND($F709&lt;&gt;"Medium",$F709&lt;&gt;"Low")),IF(COUNTIFS(Dashboard!$B$105:$B$124,$A709,Dashboard!$I$105:$I$124,"CAB")&gt;0,"Accepted (CF)","Blocking"),IF($J709="Failed","Deferrable","Carry Over"))))))</f>
        <v/>
      </c>
      <c r="M709" s="68" t="str">
        <f>IF(OR(TRIM($A709)="",TRIM($E709)=""),"",IFERROR(INDEX('E2E core flow'!$B$15:$B$1000,MATCH(1,INDEX(('E2E core flow'!$A$15:$A$1000&lt;&gt;"")*ISNUMBER(SEARCH('E2E core flow'!$A$15:$A$1000,$E709)),0),0))&amp;"","-"))</f>
        <v/>
      </c>
      <c r="N709" s="68" t="str">
        <f>IF(TRIM($A709)="","",IF($O709=0,IF(COUNTIFS('Card Test Cases'!$B$4:$B$1000,$A709,'Card Test Cases'!$A$4:$A$1000,"&lt;&gt;")&gt;0,"Out of Scope","No TC"),IF($Q709&gt;0,"Failed",IF(COUNTIFS('Card Test Cases'!$B$4:$B$1000,$A709,'Card Test Cases'!$A$4:$A$1000,"&lt;&gt;",'Card Test Cases'!$F$4:$F$1000,"Blocked")&gt;0,"Blocked",IF($R709&gt;0,"In Progress","Passed")))))</f>
        <v/>
      </c>
      <c r="O709" s="68" t="str">
        <f>IF(TRIM($A709)="","",COUNTIFS('Card Test Cases'!$B$4:$B$1000,$A709,'Card Test Cases'!$A$4:$A$1000,"&lt;&gt;",'Card Test Cases'!$F$4:$F$1000,"&lt;&gt;Out of Scope"))</f>
        <v/>
      </c>
      <c r="P709" s="68" t="str">
        <f>IF(TRIM($A709)="","",COUNTIFS('Card Test Cases'!$B$4:$B$1000,$A709,'Card Test Cases'!$A$4:$A$1000,"&lt;&gt;",'Card Test Cases'!$F$4:$F$1000,"Passed"))</f>
        <v/>
      </c>
      <c r="Q709" s="68" t="str">
        <f>IF(TRIM($A709)="","",COUNTIFS('Card Test Cases'!$B$4:$B$1000,$A709,'Card Test Cases'!$A$4:$A$1000,"&lt;&gt;",'Card Test Cases'!$F$4:$F$1000,"Failed"))</f>
        <v/>
      </c>
      <c r="R709" s="68" t="str">
        <f t="shared" si="11"/>
        <v/>
      </c>
      <c r="S709" s="68" t="str" cm="1">
        <f t="array" ref="S709">IF(TRIM($A709)="","",IFERROR(_xlfn.TEXTJOIN(", ",TRUE,_xlfn.UNIQUE(_xlfn.VSTACK(_xlfn._xlws.FILTER('Card Test Cases'!$G$4:$G$1000,('Card Test Cases'!$B$4:$B$1000=$A709)*('Card Test Cases'!$G$4:$G$1000&lt;&gt;""),""),_xlfn._xlws.FILTER('E2E core flow'!$U$15:$U$1000,('E2E core flow'!$A$15:$A$1000&lt;&gt;"")*ISNUMBER(SEARCH('E2E core flow'!$A$15:$A$1000,$E709))*('E2E core flow'!$U$15:$U$1000&lt;&gt;""),"")))),"-"))</f>
        <v/>
      </c>
    </row>
    <row r="710" spans="7:19" x14ac:dyDescent="0.3">
      <c r="G710" s="68" t="str" cm="1">
        <f t="array" ref="G710">_xlfn.LET(_xlpm.ids,'E2E core flow'!$A$15:$A$1000,_xlpm.v,'E2E core flow'!$W$15:$W$1000,_xlpm.m,(_xlpm.ids&lt;&gt;"")*ISNUMBER(SEARCH(_xlpm.ids,$E710)),_xlpm.f,SUM(_xlpm.m*(_xlpm.v="Failed")),_xlpm.b,SUM(_xlpm.m*(_xlpm.v="Blocked")),_xlpm.nr,SUM(_xlpm.m*(_xlpm.v="Not Run")),_xlpm.cp,SUM(_xlpm.m*(_xlpm.v="Conditionally Passed")),_xlpm.p,SUM(_xlpm.m*(_xlpm.v="Passed")),IF(TRIM($A710)="","",IF(TRIM($E710)="","Pending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10" s="68" t="str">
        <f>IF(TRIM($A710)="","",IF($J710="Passed","",IF($J710="Passed with Known Issue","Known Issue",IF($J710="",IF(OR($H710&lt;&gt;"No",AND($F710&lt;&gt;"Medium",$F710&lt;&gt;"Low")),"Pending Result",""),IF(OR($H710&lt;&gt;"No",AND($F710&lt;&gt;"Medium",$F710&lt;&gt;"Low")),IF(COUNTIFS(Dashboard!$B$105:$B$124,$A710,Dashboard!$I$105:$I$124,"CAB")&gt;0,"Accepted (CF)","Blocking"),IF($J710="Failed","Deferrable","Carry Over"))))))</f>
        <v/>
      </c>
      <c r="M710" s="68" t="str">
        <f>IF(OR(TRIM($A710)="",TRIM($E710)=""),"",IFERROR(INDEX('E2E core flow'!$B$15:$B$1000,MATCH(1,INDEX(('E2E core flow'!$A$15:$A$1000&lt;&gt;"")*ISNUMBER(SEARCH('E2E core flow'!$A$15:$A$1000,$E710)),0),0))&amp;"","-"))</f>
        <v/>
      </c>
      <c r="N710" s="68" t="str">
        <f>IF(TRIM($A710)="","",IF($O710=0,IF(COUNTIFS('Card Test Cases'!$B$4:$B$1000,$A710,'Card Test Cases'!$A$4:$A$1000,"&lt;&gt;")&gt;0,"Out of Scope","No TC"),IF($Q710&gt;0,"Failed",IF(COUNTIFS('Card Test Cases'!$B$4:$B$1000,$A710,'Card Test Cases'!$A$4:$A$1000,"&lt;&gt;",'Card Test Cases'!$F$4:$F$1000,"Blocked")&gt;0,"Blocked",IF($R710&gt;0,"In Progress","Passed")))))</f>
        <v/>
      </c>
      <c r="O710" s="68" t="str">
        <f>IF(TRIM($A710)="","",COUNTIFS('Card Test Cases'!$B$4:$B$1000,$A710,'Card Test Cases'!$A$4:$A$1000,"&lt;&gt;",'Card Test Cases'!$F$4:$F$1000,"&lt;&gt;Out of Scope"))</f>
        <v/>
      </c>
      <c r="P710" s="68" t="str">
        <f>IF(TRIM($A710)="","",COUNTIFS('Card Test Cases'!$B$4:$B$1000,$A710,'Card Test Cases'!$A$4:$A$1000,"&lt;&gt;",'Card Test Cases'!$F$4:$F$1000,"Passed"))</f>
        <v/>
      </c>
      <c r="Q710" s="68" t="str">
        <f>IF(TRIM($A710)="","",COUNTIFS('Card Test Cases'!$B$4:$B$1000,$A710,'Card Test Cases'!$A$4:$A$1000,"&lt;&gt;",'Card Test Cases'!$F$4:$F$1000,"Failed"))</f>
        <v/>
      </c>
      <c r="R710" s="68" t="str">
        <f t="shared" si="11"/>
        <v/>
      </c>
      <c r="S710" s="68" t="str" cm="1">
        <f t="array" ref="S710">IF(TRIM($A710)="","",IFERROR(_xlfn.TEXTJOIN(", ",TRUE,_xlfn.UNIQUE(_xlfn.VSTACK(_xlfn._xlws.FILTER('Card Test Cases'!$G$4:$G$1000,('Card Test Cases'!$B$4:$B$1000=$A710)*('Card Test Cases'!$G$4:$G$1000&lt;&gt;""),""),_xlfn._xlws.FILTER('E2E core flow'!$U$15:$U$1000,('E2E core flow'!$A$15:$A$1000&lt;&gt;"")*ISNUMBER(SEARCH('E2E core flow'!$A$15:$A$1000,$E710))*('E2E core flow'!$U$15:$U$1000&lt;&gt;""),"")))),"-"))</f>
        <v/>
      </c>
    </row>
    <row r="711" spans="7:19" x14ac:dyDescent="0.3">
      <c r="G711" s="68" t="str" cm="1">
        <f t="array" ref="G711">_xlfn.LET(_xlpm.ids,'E2E core flow'!$A$15:$A$1000,_xlpm.v,'E2E core flow'!$W$15:$W$1000,_xlpm.m,(_xlpm.ids&lt;&gt;"")*ISNUMBER(SEARCH(_xlpm.ids,$E711)),_xlpm.f,SUM(_xlpm.m*(_xlpm.v="Failed")),_xlpm.b,SUM(_xlpm.m*(_xlpm.v="Blocked")),_xlpm.nr,SUM(_xlpm.m*(_xlpm.v="Not Run")),_xlpm.cp,SUM(_xlpm.m*(_xlpm.v="Conditionally Passed")),_xlpm.p,SUM(_xlpm.m*(_xlpm.v="Passed")),IF(TRIM($A711)="","",IF(TRIM($E711)="","Pending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11" s="68" t="str">
        <f>IF(TRIM($A711)="","",IF($J711="Passed","",IF($J711="Passed with Known Issue","Known Issue",IF($J711="",IF(OR($H711&lt;&gt;"No",AND($F711&lt;&gt;"Medium",$F711&lt;&gt;"Low")),"Pending Result",""),IF(OR($H711&lt;&gt;"No",AND($F711&lt;&gt;"Medium",$F711&lt;&gt;"Low")),IF(COUNTIFS(Dashboard!$B$105:$B$124,$A711,Dashboard!$I$105:$I$124,"CAB")&gt;0,"Accepted (CF)","Blocking"),IF($J711="Failed","Deferrable","Carry Over"))))))</f>
        <v/>
      </c>
      <c r="M711" s="68" t="str">
        <f>IF(OR(TRIM($A711)="",TRIM($E711)=""),"",IFERROR(INDEX('E2E core flow'!$B$15:$B$1000,MATCH(1,INDEX(('E2E core flow'!$A$15:$A$1000&lt;&gt;"")*ISNUMBER(SEARCH('E2E core flow'!$A$15:$A$1000,$E711)),0),0))&amp;"","-"))</f>
        <v/>
      </c>
      <c r="N711" s="68" t="str">
        <f>IF(TRIM($A711)="","",IF($O711=0,IF(COUNTIFS('Card Test Cases'!$B$4:$B$1000,$A711,'Card Test Cases'!$A$4:$A$1000,"&lt;&gt;")&gt;0,"Out of Scope","No TC"),IF($Q711&gt;0,"Failed",IF(COUNTIFS('Card Test Cases'!$B$4:$B$1000,$A711,'Card Test Cases'!$A$4:$A$1000,"&lt;&gt;",'Card Test Cases'!$F$4:$F$1000,"Blocked")&gt;0,"Blocked",IF($R711&gt;0,"In Progress","Passed")))))</f>
        <v/>
      </c>
      <c r="O711" s="68" t="str">
        <f>IF(TRIM($A711)="","",COUNTIFS('Card Test Cases'!$B$4:$B$1000,$A711,'Card Test Cases'!$A$4:$A$1000,"&lt;&gt;",'Card Test Cases'!$F$4:$F$1000,"&lt;&gt;Out of Scope"))</f>
        <v/>
      </c>
      <c r="P711" s="68" t="str">
        <f>IF(TRIM($A711)="","",COUNTIFS('Card Test Cases'!$B$4:$B$1000,$A711,'Card Test Cases'!$A$4:$A$1000,"&lt;&gt;",'Card Test Cases'!$F$4:$F$1000,"Passed"))</f>
        <v/>
      </c>
      <c r="Q711" s="68" t="str">
        <f>IF(TRIM($A711)="","",COUNTIFS('Card Test Cases'!$B$4:$B$1000,$A711,'Card Test Cases'!$A$4:$A$1000,"&lt;&gt;",'Card Test Cases'!$F$4:$F$1000,"Failed"))</f>
        <v/>
      </c>
      <c r="R711" s="68" t="str">
        <f t="shared" si="11"/>
        <v/>
      </c>
      <c r="S711" s="68" t="str" cm="1">
        <f t="array" ref="S711">IF(TRIM($A711)="","",IFERROR(_xlfn.TEXTJOIN(", ",TRUE,_xlfn.UNIQUE(_xlfn.VSTACK(_xlfn._xlws.FILTER('Card Test Cases'!$G$4:$G$1000,('Card Test Cases'!$B$4:$B$1000=$A711)*('Card Test Cases'!$G$4:$G$1000&lt;&gt;""),""),_xlfn._xlws.FILTER('E2E core flow'!$U$15:$U$1000,('E2E core flow'!$A$15:$A$1000&lt;&gt;"")*ISNUMBER(SEARCH('E2E core flow'!$A$15:$A$1000,$E711))*('E2E core flow'!$U$15:$U$1000&lt;&gt;""),"")))),"-"))</f>
        <v/>
      </c>
    </row>
    <row r="712" spans="7:19" x14ac:dyDescent="0.3">
      <c r="G712" s="68" t="str" cm="1">
        <f t="array" ref="G712">_xlfn.LET(_xlpm.ids,'E2E core flow'!$A$15:$A$1000,_xlpm.v,'E2E core flow'!$W$15:$W$1000,_xlpm.m,(_xlpm.ids&lt;&gt;"")*ISNUMBER(SEARCH(_xlpm.ids,$E712)),_xlpm.f,SUM(_xlpm.m*(_xlpm.v="Failed")),_xlpm.b,SUM(_xlpm.m*(_xlpm.v="Blocked")),_xlpm.nr,SUM(_xlpm.m*(_xlpm.v="Not Run")),_xlpm.cp,SUM(_xlpm.m*(_xlpm.v="Conditionally Passed")),_xlpm.p,SUM(_xlpm.m*(_xlpm.v="Passed")),IF(TRIM($A712)="","",IF(TRIM($E712)="","Pending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12" s="68" t="str">
        <f>IF(TRIM($A712)="","",IF($J712="Passed","",IF($J712="Passed with Known Issue","Known Issue",IF($J712="",IF(OR($H712&lt;&gt;"No",AND($F712&lt;&gt;"Medium",$F712&lt;&gt;"Low")),"Pending Result",""),IF(OR($H712&lt;&gt;"No",AND($F712&lt;&gt;"Medium",$F712&lt;&gt;"Low")),IF(COUNTIFS(Dashboard!$B$105:$B$124,$A712,Dashboard!$I$105:$I$124,"CAB")&gt;0,"Accepted (CF)","Blocking"),IF($J712="Failed","Deferrable","Carry Over"))))))</f>
        <v/>
      </c>
      <c r="M712" s="68" t="str">
        <f>IF(OR(TRIM($A712)="",TRIM($E712)=""),"",IFERROR(INDEX('E2E core flow'!$B$15:$B$1000,MATCH(1,INDEX(('E2E core flow'!$A$15:$A$1000&lt;&gt;"")*ISNUMBER(SEARCH('E2E core flow'!$A$15:$A$1000,$E712)),0),0))&amp;"","-"))</f>
        <v/>
      </c>
      <c r="N712" s="68" t="str">
        <f>IF(TRIM($A712)="","",IF($O712=0,IF(COUNTIFS('Card Test Cases'!$B$4:$B$1000,$A712,'Card Test Cases'!$A$4:$A$1000,"&lt;&gt;")&gt;0,"Out of Scope","No TC"),IF($Q712&gt;0,"Failed",IF(COUNTIFS('Card Test Cases'!$B$4:$B$1000,$A712,'Card Test Cases'!$A$4:$A$1000,"&lt;&gt;",'Card Test Cases'!$F$4:$F$1000,"Blocked")&gt;0,"Blocked",IF($R712&gt;0,"In Progress","Passed")))))</f>
        <v/>
      </c>
      <c r="O712" s="68" t="str">
        <f>IF(TRIM($A712)="","",COUNTIFS('Card Test Cases'!$B$4:$B$1000,$A712,'Card Test Cases'!$A$4:$A$1000,"&lt;&gt;",'Card Test Cases'!$F$4:$F$1000,"&lt;&gt;Out of Scope"))</f>
        <v/>
      </c>
      <c r="P712" s="68" t="str">
        <f>IF(TRIM($A712)="","",COUNTIFS('Card Test Cases'!$B$4:$B$1000,$A712,'Card Test Cases'!$A$4:$A$1000,"&lt;&gt;",'Card Test Cases'!$F$4:$F$1000,"Passed"))</f>
        <v/>
      </c>
      <c r="Q712" s="68" t="str">
        <f>IF(TRIM($A712)="","",COUNTIFS('Card Test Cases'!$B$4:$B$1000,$A712,'Card Test Cases'!$A$4:$A$1000,"&lt;&gt;",'Card Test Cases'!$F$4:$F$1000,"Failed"))</f>
        <v/>
      </c>
      <c r="R712" s="68" t="str">
        <f t="shared" si="11"/>
        <v/>
      </c>
      <c r="S712" s="68" t="str" cm="1">
        <f t="array" ref="S712">IF(TRIM($A712)="","",IFERROR(_xlfn.TEXTJOIN(", ",TRUE,_xlfn.UNIQUE(_xlfn.VSTACK(_xlfn._xlws.FILTER('Card Test Cases'!$G$4:$G$1000,('Card Test Cases'!$B$4:$B$1000=$A712)*('Card Test Cases'!$G$4:$G$1000&lt;&gt;""),""),_xlfn._xlws.FILTER('E2E core flow'!$U$15:$U$1000,('E2E core flow'!$A$15:$A$1000&lt;&gt;"")*ISNUMBER(SEARCH('E2E core flow'!$A$15:$A$1000,$E712))*('E2E core flow'!$U$15:$U$1000&lt;&gt;""),"")))),"-"))</f>
        <v/>
      </c>
    </row>
    <row r="713" spans="7:19" x14ac:dyDescent="0.3">
      <c r="G713" s="68" t="str" cm="1">
        <f t="array" ref="G713">_xlfn.LET(_xlpm.ids,'E2E core flow'!$A$15:$A$1000,_xlpm.v,'E2E core flow'!$W$15:$W$1000,_xlpm.m,(_xlpm.ids&lt;&gt;"")*ISNUMBER(SEARCH(_xlpm.ids,$E713)),_xlpm.f,SUM(_xlpm.m*(_xlpm.v="Failed")),_xlpm.b,SUM(_xlpm.m*(_xlpm.v="Blocked")),_xlpm.nr,SUM(_xlpm.m*(_xlpm.v="Not Run")),_xlpm.cp,SUM(_xlpm.m*(_xlpm.v="Conditionally Passed")),_xlpm.p,SUM(_xlpm.m*(_xlpm.v="Passed")),IF(TRIM($A713)="","",IF(TRIM($E713)="","Pending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13" s="68" t="str">
        <f>IF(TRIM($A713)="","",IF($J713="Passed","",IF($J713="Passed with Known Issue","Known Issue",IF($J713="",IF(OR($H713&lt;&gt;"No",AND($F713&lt;&gt;"Medium",$F713&lt;&gt;"Low")),"Pending Result",""),IF(OR($H713&lt;&gt;"No",AND($F713&lt;&gt;"Medium",$F713&lt;&gt;"Low")),IF(COUNTIFS(Dashboard!$B$105:$B$124,$A713,Dashboard!$I$105:$I$124,"CAB")&gt;0,"Accepted (CF)","Blocking"),IF($J713="Failed","Deferrable","Carry Over"))))))</f>
        <v/>
      </c>
      <c r="M713" s="68" t="str">
        <f>IF(OR(TRIM($A713)="",TRIM($E713)=""),"",IFERROR(INDEX('E2E core flow'!$B$15:$B$1000,MATCH(1,INDEX(('E2E core flow'!$A$15:$A$1000&lt;&gt;"")*ISNUMBER(SEARCH('E2E core flow'!$A$15:$A$1000,$E713)),0),0))&amp;"","-"))</f>
        <v/>
      </c>
      <c r="N713" s="68" t="str">
        <f>IF(TRIM($A713)="","",IF($O713=0,IF(COUNTIFS('Card Test Cases'!$B$4:$B$1000,$A713,'Card Test Cases'!$A$4:$A$1000,"&lt;&gt;")&gt;0,"Out of Scope","No TC"),IF($Q713&gt;0,"Failed",IF(COUNTIFS('Card Test Cases'!$B$4:$B$1000,$A713,'Card Test Cases'!$A$4:$A$1000,"&lt;&gt;",'Card Test Cases'!$F$4:$F$1000,"Blocked")&gt;0,"Blocked",IF($R713&gt;0,"In Progress","Passed")))))</f>
        <v/>
      </c>
      <c r="O713" s="68" t="str">
        <f>IF(TRIM($A713)="","",COUNTIFS('Card Test Cases'!$B$4:$B$1000,$A713,'Card Test Cases'!$A$4:$A$1000,"&lt;&gt;",'Card Test Cases'!$F$4:$F$1000,"&lt;&gt;Out of Scope"))</f>
        <v/>
      </c>
      <c r="P713" s="68" t="str">
        <f>IF(TRIM($A713)="","",COUNTIFS('Card Test Cases'!$B$4:$B$1000,$A713,'Card Test Cases'!$A$4:$A$1000,"&lt;&gt;",'Card Test Cases'!$F$4:$F$1000,"Passed"))</f>
        <v/>
      </c>
      <c r="Q713" s="68" t="str">
        <f>IF(TRIM($A713)="","",COUNTIFS('Card Test Cases'!$B$4:$B$1000,$A713,'Card Test Cases'!$A$4:$A$1000,"&lt;&gt;",'Card Test Cases'!$F$4:$F$1000,"Failed"))</f>
        <v/>
      </c>
      <c r="R713" s="68" t="str">
        <f t="shared" si="11"/>
        <v/>
      </c>
      <c r="S713" s="68" t="str" cm="1">
        <f t="array" ref="S713">IF(TRIM($A713)="","",IFERROR(_xlfn.TEXTJOIN(", ",TRUE,_xlfn.UNIQUE(_xlfn.VSTACK(_xlfn._xlws.FILTER('Card Test Cases'!$G$4:$G$1000,('Card Test Cases'!$B$4:$B$1000=$A713)*('Card Test Cases'!$G$4:$G$1000&lt;&gt;""),""),_xlfn._xlws.FILTER('E2E core flow'!$U$15:$U$1000,('E2E core flow'!$A$15:$A$1000&lt;&gt;"")*ISNUMBER(SEARCH('E2E core flow'!$A$15:$A$1000,$E713))*('E2E core flow'!$U$15:$U$1000&lt;&gt;""),"")))),"-"))</f>
        <v/>
      </c>
    </row>
    <row r="714" spans="7:19" x14ac:dyDescent="0.3">
      <c r="G714" s="68" t="str" cm="1">
        <f t="array" ref="G714">_xlfn.LET(_xlpm.ids,'E2E core flow'!$A$15:$A$1000,_xlpm.v,'E2E core flow'!$W$15:$W$1000,_xlpm.m,(_xlpm.ids&lt;&gt;"")*ISNUMBER(SEARCH(_xlpm.ids,$E714)),_xlpm.f,SUM(_xlpm.m*(_xlpm.v="Failed")),_xlpm.b,SUM(_xlpm.m*(_xlpm.v="Blocked")),_xlpm.nr,SUM(_xlpm.m*(_xlpm.v="Not Run")),_xlpm.cp,SUM(_xlpm.m*(_xlpm.v="Conditionally Passed")),_xlpm.p,SUM(_xlpm.m*(_xlpm.v="Passed")),IF(TRIM($A714)="","",IF(TRIM($E714)="","Pending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14" s="68" t="str">
        <f>IF(TRIM($A714)="","",IF($J714="Passed","",IF($J714="Passed with Known Issue","Known Issue",IF($J714="",IF(OR($H714&lt;&gt;"No",AND($F714&lt;&gt;"Medium",$F714&lt;&gt;"Low")),"Pending Result",""),IF(OR($H714&lt;&gt;"No",AND($F714&lt;&gt;"Medium",$F714&lt;&gt;"Low")),IF(COUNTIFS(Dashboard!$B$105:$B$124,$A714,Dashboard!$I$105:$I$124,"CAB")&gt;0,"Accepted (CF)","Blocking"),IF($J714="Failed","Deferrable","Carry Over"))))))</f>
        <v/>
      </c>
      <c r="M714" s="68" t="str">
        <f>IF(OR(TRIM($A714)="",TRIM($E714)=""),"",IFERROR(INDEX('E2E core flow'!$B$15:$B$1000,MATCH(1,INDEX(('E2E core flow'!$A$15:$A$1000&lt;&gt;"")*ISNUMBER(SEARCH('E2E core flow'!$A$15:$A$1000,$E714)),0),0))&amp;"","-"))</f>
        <v/>
      </c>
      <c r="N714" s="68" t="str">
        <f>IF(TRIM($A714)="","",IF($O714=0,IF(COUNTIFS('Card Test Cases'!$B$4:$B$1000,$A714,'Card Test Cases'!$A$4:$A$1000,"&lt;&gt;")&gt;0,"Out of Scope","No TC"),IF($Q714&gt;0,"Failed",IF(COUNTIFS('Card Test Cases'!$B$4:$B$1000,$A714,'Card Test Cases'!$A$4:$A$1000,"&lt;&gt;",'Card Test Cases'!$F$4:$F$1000,"Blocked")&gt;0,"Blocked",IF($R714&gt;0,"In Progress","Passed")))))</f>
        <v/>
      </c>
      <c r="O714" s="68" t="str">
        <f>IF(TRIM($A714)="","",COUNTIFS('Card Test Cases'!$B$4:$B$1000,$A714,'Card Test Cases'!$A$4:$A$1000,"&lt;&gt;",'Card Test Cases'!$F$4:$F$1000,"&lt;&gt;Out of Scope"))</f>
        <v/>
      </c>
      <c r="P714" s="68" t="str">
        <f>IF(TRIM($A714)="","",COUNTIFS('Card Test Cases'!$B$4:$B$1000,$A714,'Card Test Cases'!$A$4:$A$1000,"&lt;&gt;",'Card Test Cases'!$F$4:$F$1000,"Passed"))</f>
        <v/>
      </c>
      <c r="Q714" s="68" t="str">
        <f>IF(TRIM($A714)="","",COUNTIFS('Card Test Cases'!$B$4:$B$1000,$A714,'Card Test Cases'!$A$4:$A$1000,"&lt;&gt;",'Card Test Cases'!$F$4:$F$1000,"Failed"))</f>
        <v/>
      </c>
      <c r="R714" s="68" t="str">
        <f t="shared" si="11"/>
        <v/>
      </c>
      <c r="S714" s="68" t="str" cm="1">
        <f t="array" ref="S714">IF(TRIM($A714)="","",IFERROR(_xlfn.TEXTJOIN(", ",TRUE,_xlfn.UNIQUE(_xlfn.VSTACK(_xlfn._xlws.FILTER('Card Test Cases'!$G$4:$G$1000,('Card Test Cases'!$B$4:$B$1000=$A714)*('Card Test Cases'!$G$4:$G$1000&lt;&gt;""),""),_xlfn._xlws.FILTER('E2E core flow'!$U$15:$U$1000,('E2E core flow'!$A$15:$A$1000&lt;&gt;"")*ISNUMBER(SEARCH('E2E core flow'!$A$15:$A$1000,$E714))*('E2E core flow'!$U$15:$U$1000&lt;&gt;""),"")))),"-"))</f>
        <v/>
      </c>
    </row>
    <row r="715" spans="7:19" x14ac:dyDescent="0.3">
      <c r="G715" s="68" t="str" cm="1">
        <f t="array" ref="G715">_xlfn.LET(_xlpm.ids,'E2E core flow'!$A$15:$A$1000,_xlpm.v,'E2E core flow'!$W$15:$W$1000,_xlpm.m,(_xlpm.ids&lt;&gt;"")*ISNUMBER(SEARCH(_xlpm.ids,$E715)),_xlpm.f,SUM(_xlpm.m*(_xlpm.v="Failed")),_xlpm.b,SUM(_xlpm.m*(_xlpm.v="Blocked")),_xlpm.nr,SUM(_xlpm.m*(_xlpm.v="Not Run")),_xlpm.cp,SUM(_xlpm.m*(_xlpm.v="Conditionally Passed")),_xlpm.p,SUM(_xlpm.m*(_xlpm.v="Passed")),IF(TRIM($A715)="","",IF(TRIM($E715)="","Pending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15" s="68" t="str">
        <f>IF(TRIM($A715)="","",IF($J715="Passed","",IF($J715="Passed with Known Issue","Known Issue",IF($J715="",IF(OR($H715&lt;&gt;"No",AND($F715&lt;&gt;"Medium",$F715&lt;&gt;"Low")),"Pending Result",""),IF(OR($H715&lt;&gt;"No",AND($F715&lt;&gt;"Medium",$F715&lt;&gt;"Low")),IF(COUNTIFS(Dashboard!$B$105:$B$124,$A715,Dashboard!$I$105:$I$124,"CAB")&gt;0,"Accepted (CF)","Blocking"),IF($J715="Failed","Deferrable","Carry Over"))))))</f>
        <v/>
      </c>
      <c r="M715" s="68" t="str">
        <f>IF(OR(TRIM($A715)="",TRIM($E715)=""),"",IFERROR(INDEX('E2E core flow'!$B$15:$B$1000,MATCH(1,INDEX(('E2E core flow'!$A$15:$A$1000&lt;&gt;"")*ISNUMBER(SEARCH('E2E core flow'!$A$15:$A$1000,$E715)),0),0))&amp;"","-"))</f>
        <v/>
      </c>
      <c r="N715" s="68" t="str">
        <f>IF(TRIM($A715)="","",IF($O715=0,IF(COUNTIFS('Card Test Cases'!$B$4:$B$1000,$A715,'Card Test Cases'!$A$4:$A$1000,"&lt;&gt;")&gt;0,"Out of Scope","No TC"),IF($Q715&gt;0,"Failed",IF(COUNTIFS('Card Test Cases'!$B$4:$B$1000,$A715,'Card Test Cases'!$A$4:$A$1000,"&lt;&gt;",'Card Test Cases'!$F$4:$F$1000,"Blocked")&gt;0,"Blocked",IF($R715&gt;0,"In Progress","Passed")))))</f>
        <v/>
      </c>
      <c r="O715" s="68" t="str">
        <f>IF(TRIM($A715)="","",COUNTIFS('Card Test Cases'!$B$4:$B$1000,$A715,'Card Test Cases'!$A$4:$A$1000,"&lt;&gt;",'Card Test Cases'!$F$4:$F$1000,"&lt;&gt;Out of Scope"))</f>
        <v/>
      </c>
      <c r="P715" s="68" t="str">
        <f>IF(TRIM($A715)="","",COUNTIFS('Card Test Cases'!$B$4:$B$1000,$A715,'Card Test Cases'!$A$4:$A$1000,"&lt;&gt;",'Card Test Cases'!$F$4:$F$1000,"Passed"))</f>
        <v/>
      </c>
      <c r="Q715" s="68" t="str">
        <f>IF(TRIM($A715)="","",COUNTIFS('Card Test Cases'!$B$4:$B$1000,$A715,'Card Test Cases'!$A$4:$A$1000,"&lt;&gt;",'Card Test Cases'!$F$4:$F$1000,"Failed"))</f>
        <v/>
      </c>
      <c r="R715" s="68" t="str">
        <f t="shared" si="11"/>
        <v/>
      </c>
      <c r="S715" s="68" t="str" cm="1">
        <f t="array" ref="S715">IF(TRIM($A715)="","",IFERROR(_xlfn.TEXTJOIN(", ",TRUE,_xlfn.UNIQUE(_xlfn.VSTACK(_xlfn._xlws.FILTER('Card Test Cases'!$G$4:$G$1000,('Card Test Cases'!$B$4:$B$1000=$A715)*('Card Test Cases'!$G$4:$G$1000&lt;&gt;""),""),_xlfn._xlws.FILTER('E2E core flow'!$U$15:$U$1000,('E2E core flow'!$A$15:$A$1000&lt;&gt;"")*ISNUMBER(SEARCH('E2E core flow'!$A$15:$A$1000,$E715))*('E2E core flow'!$U$15:$U$1000&lt;&gt;""),"")))),"-"))</f>
        <v/>
      </c>
    </row>
    <row r="716" spans="7:19" x14ac:dyDescent="0.3">
      <c r="G716" s="68" t="str" cm="1">
        <f t="array" ref="G716">_xlfn.LET(_xlpm.ids,'E2E core flow'!$A$15:$A$1000,_xlpm.v,'E2E core flow'!$W$15:$W$1000,_xlpm.m,(_xlpm.ids&lt;&gt;"")*ISNUMBER(SEARCH(_xlpm.ids,$E716)),_xlpm.f,SUM(_xlpm.m*(_xlpm.v="Failed")),_xlpm.b,SUM(_xlpm.m*(_xlpm.v="Blocked")),_xlpm.nr,SUM(_xlpm.m*(_xlpm.v="Not Run")),_xlpm.cp,SUM(_xlpm.m*(_xlpm.v="Conditionally Passed")),_xlpm.p,SUM(_xlpm.m*(_xlpm.v="Passed")),IF(TRIM($A716)="","",IF(TRIM($E716)="","Pending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16" s="68" t="str">
        <f>IF(TRIM($A716)="","",IF($J716="Passed","",IF($J716="Passed with Known Issue","Known Issue",IF($J716="",IF(OR($H716&lt;&gt;"No",AND($F716&lt;&gt;"Medium",$F716&lt;&gt;"Low")),"Pending Result",""),IF(OR($H716&lt;&gt;"No",AND($F716&lt;&gt;"Medium",$F716&lt;&gt;"Low")),IF(COUNTIFS(Dashboard!$B$105:$B$124,$A716,Dashboard!$I$105:$I$124,"CAB")&gt;0,"Accepted (CF)","Blocking"),IF($J716="Failed","Deferrable","Carry Over"))))))</f>
        <v/>
      </c>
      <c r="M716" s="68" t="str">
        <f>IF(OR(TRIM($A716)="",TRIM($E716)=""),"",IFERROR(INDEX('E2E core flow'!$B$15:$B$1000,MATCH(1,INDEX(('E2E core flow'!$A$15:$A$1000&lt;&gt;"")*ISNUMBER(SEARCH('E2E core flow'!$A$15:$A$1000,$E716)),0),0))&amp;"","-"))</f>
        <v/>
      </c>
      <c r="N716" s="68" t="str">
        <f>IF(TRIM($A716)="","",IF($O716=0,IF(COUNTIFS('Card Test Cases'!$B$4:$B$1000,$A716,'Card Test Cases'!$A$4:$A$1000,"&lt;&gt;")&gt;0,"Out of Scope","No TC"),IF($Q716&gt;0,"Failed",IF(COUNTIFS('Card Test Cases'!$B$4:$B$1000,$A716,'Card Test Cases'!$A$4:$A$1000,"&lt;&gt;",'Card Test Cases'!$F$4:$F$1000,"Blocked")&gt;0,"Blocked",IF($R716&gt;0,"In Progress","Passed")))))</f>
        <v/>
      </c>
      <c r="O716" s="68" t="str">
        <f>IF(TRIM($A716)="","",COUNTIFS('Card Test Cases'!$B$4:$B$1000,$A716,'Card Test Cases'!$A$4:$A$1000,"&lt;&gt;",'Card Test Cases'!$F$4:$F$1000,"&lt;&gt;Out of Scope"))</f>
        <v/>
      </c>
      <c r="P716" s="68" t="str">
        <f>IF(TRIM($A716)="","",COUNTIFS('Card Test Cases'!$B$4:$B$1000,$A716,'Card Test Cases'!$A$4:$A$1000,"&lt;&gt;",'Card Test Cases'!$F$4:$F$1000,"Passed"))</f>
        <v/>
      </c>
      <c r="Q716" s="68" t="str">
        <f>IF(TRIM($A716)="","",COUNTIFS('Card Test Cases'!$B$4:$B$1000,$A716,'Card Test Cases'!$A$4:$A$1000,"&lt;&gt;",'Card Test Cases'!$F$4:$F$1000,"Failed"))</f>
        <v/>
      </c>
      <c r="R716" s="68" t="str">
        <f t="shared" si="11"/>
        <v/>
      </c>
      <c r="S716" s="68" t="str" cm="1">
        <f t="array" ref="S716">IF(TRIM($A716)="","",IFERROR(_xlfn.TEXTJOIN(", ",TRUE,_xlfn.UNIQUE(_xlfn.VSTACK(_xlfn._xlws.FILTER('Card Test Cases'!$G$4:$G$1000,('Card Test Cases'!$B$4:$B$1000=$A716)*('Card Test Cases'!$G$4:$G$1000&lt;&gt;""),""),_xlfn._xlws.FILTER('E2E core flow'!$U$15:$U$1000,('E2E core flow'!$A$15:$A$1000&lt;&gt;"")*ISNUMBER(SEARCH('E2E core flow'!$A$15:$A$1000,$E716))*('E2E core flow'!$U$15:$U$1000&lt;&gt;""),"")))),"-"))</f>
        <v/>
      </c>
    </row>
    <row r="717" spans="7:19" x14ac:dyDescent="0.3">
      <c r="G717" s="68" t="str" cm="1">
        <f t="array" ref="G717">_xlfn.LET(_xlpm.ids,'E2E core flow'!$A$15:$A$1000,_xlpm.v,'E2E core flow'!$W$15:$W$1000,_xlpm.m,(_xlpm.ids&lt;&gt;"")*ISNUMBER(SEARCH(_xlpm.ids,$E717)),_xlpm.f,SUM(_xlpm.m*(_xlpm.v="Failed")),_xlpm.b,SUM(_xlpm.m*(_xlpm.v="Blocked")),_xlpm.nr,SUM(_xlpm.m*(_xlpm.v="Not Run")),_xlpm.cp,SUM(_xlpm.m*(_xlpm.v="Conditionally Passed")),_xlpm.p,SUM(_xlpm.m*(_xlpm.v="Passed")),IF(TRIM($A717)="","",IF(TRIM($E717)="","Pending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17" s="68" t="str">
        <f>IF(TRIM($A717)="","",IF($J717="Passed","",IF($J717="Passed with Known Issue","Known Issue",IF($J717="",IF(OR($H717&lt;&gt;"No",AND($F717&lt;&gt;"Medium",$F717&lt;&gt;"Low")),"Pending Result",""),IF(OR($H717&lt;&gt;"No",AND($F717&lt;&gt;"Medium",$F717&lt;&gt;"Low")),IF(COUNTIFS(Dashboard!$B$105:$B$124,$A717,Dashboard!$I$105:$I$124,"CAB")&gt;0,"Accepted (CF)","Blocking"),IF($J717="Failed","Deferrable","Carry Over"))))))</f>
        <v/>
      </c>
      <c r="M717" s="68" t="str">
        <f>IF(OR(TRIM($A717)="",TRIM($E717)=""),"",IFERROR(INDEX('E2E core flow'!$B$15:$B$1000,MATCH(1,INDEX(('E2E core flow'!$A$15:$A$1000&lt;&gt;"")*ISNUMBER(SEARCH('E2E core flow'!$A$15:$A$1000,$E717)),0),0))&amp;"","-"))</f>
        <v/>
      </c>
      <c r="N717" s="68" t="str">
        <f>IF(TRIM($A717)="","",IF($O717=0,IF(COUNTIFS('Card Test Cases'!$B$4:$B$1000,$A717,'Card Test Cases'!$A$4:$A$1000,"&lt;&gt;")&gt;0,"Out of Scope","No TC"),IF($Q717&gt;0,"Failed",IF(COUNTIFS('Card Test Cases'!$B$4:$B$1000,$A717,'Card Test Cases'!$A$4:$A$1000,"&lt;&gt;",'Card Test Cases'!$F$4:$F$1000,"Blocked")&gt;0,"Blocked",IF($R717&gt;0,"In Progress","Passed")))))</f>
        <v/>
      </c>
      <c r="O717" s="68" t="str">
        <f>IF(TRIM($A717)="","",COUNTIFS('Card Test Cases'!$B$4:$B$1000,$A717,'Card Test Cases'!$A$4:$A$1000,"&lt;&gt;",'Card Test Cases'!$F$4:$F$1000,"&lt;&gt;Out of Scope"))</f>
        <v/>
      </c>
      <c r="P717" s="68" t="str">
        <f>IF(TRIM($A717)="","",COUNTIFS('Card Test Cases'!$B$4:$B$1000,$A717,'Card Test Cases'!$A$4:$A$1000,"&lt;&gt;",'Card Test Cases'!$F$4:$F$1000,"Passed"))</f>
        <v/>
      </c>
      <c r="Q717" s="68" t="str">
        <f>IF(TRIM($A717)="","",COUNTIFS('Card Test Cases'!$B$4:$B$1000,$A717,'Card Test Cases'!$A$4:$A$1000,"&lt;&gt;",'Card Test Cases'!$F$4:$F$1000,"Failed"))</f>
        <v/>
      </c>
      <c r="R717" s="68" t="str">
        <f t="shared" si="11"/>
        <v/>
      </c>
      <c r="S717" s="68" t="str" cm="1">
        <f t="array" ref="S717">IF(TRIM($A717)="","",IFERROR(_xlfn.TEXTJOIN(", ",TRUE,_xlfn.UNIQUE(_xlfn.VSTACK(_xlfn._xlws.FILTER('Card Test Cases'!$G$4:$G$1000,('Card Test Cases'!$B$4:$B$1000=$A717)*('Card Test Cases'!$G$4:$G$1000&lt;&gt;""),""),_xlfn._xlws.FILTER('E2E core flow'!$U$15:$U$1000,('E2E core flow'!$A$15:$A$1000&lt;&gt;"")*ISNUMBER(SEARCH('E2E core flow'!$A$15:$A$1000,$E717))*('E2E core flow'!$U$15:$U$1000&lt;&gt;""),"")))),"-"))</f>
        <v/>
      </c>
    </row>
    <row r="718" spans="7:19" x14ac:dyDescent="0.3">
      <c r="G718" s="68" t="str" cm="1">
        <f t="array" ref="G718">_xlfn.LET(_xlpm.ids,'E2E core flow'!$A$15:$A$1000,_xlpm.v,'E2E core flow'!$W$15:$W$1000,_xlpm.m,(_xlpm.ids&lt;&gt;"")*ISNUMBER(SEARCH(_xlpm.ids,$E718)),_xlpm.f,SUM(_xlpm.m*(_xlpm.v="Failed")),_xlpm.b,SUM(_xlpm.m*(_xlpm.v="Blocked")),_xlpm.nr,SUM(_xlpm.m*(_xlpm.v="Not Run")),_xlpm.cp,SUM(_xlpm.m*(_xlpm.v="Conditionally Passed")),_xlpm.p,SUM(_xlpm.m*(_xlpm.v="Passed")),IF(TRIM($A718)="","",IF(TRIM($E718)="","Pending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18" s="68" t="str">
        <f>IF(TRIM($A718)="","",IF($J718="Passed","",IF($J718="Passed with Known Issue","Known Issue",IF($J718="",IF(OR($H718&lt;&gt;"No",AND($F718&lt;&gt;"Medium",$F718&lt;&gt;"Low")),"Pending Result",""),IF(OR($H718&lt;&gt;"No",AND($F718&lt;&gt;"Medium",$F718&lt;&gt;"Low")),IF(COUNTIFS(Dashboard!$B$105:$B$124,$A718,Dashboard!$I$105:$I$124,"CAB")&gt;0,"Accepted (CF)","Blocking"),IF($J718="Failed","Deferrable","Carry Over"))))))</f>
        <v/>
      </c>
      <c r="M718" s="68" t="str">
        <f>IF(OR(TRIM($A718)="",TRIM($E718)=""),"",IFERROR(INDEX('E2E core flow'!$B$15:$B$1000,MATCH(1,INDEX(('E2E core flow'!$A$15:$A$1000&lt;&gt;"")*ISNUMBER(SEARCH('E2E core flow'!$A$15:$A$1000,$E718)),0),0))&amp;"","-"))</f>
        <v/>
      </c>
      <c r="N718" s="68" t="str">
        <f>IF(TRIM($A718)="","",IF($O718=0,IF(COUNTIFS('Card Test Cases'!$B$4:$B$1000,$A718,'Card Test Cases'!$A$4:$A$1000,"&lt;&gt;")&gt;0,"Out of Scope","No TC"),IF($Q718&gt;0,"Failed",IF(COUNTIFS('Card Test Cases'!$B$4:$B$1000,$A718,'Card Test Cases'!$A$4:$A$1000,"&lt;&gt;",'Card Test Cases'!$F$4:$F$1000,"Blocked")&gt;0,"Blocked",IF($R718&gt;0,"In Progress","Passed")))))</f>
        <v/>
      </c>
      <c r="O718" s="68" t="str">
        <f>IF(TRIM($A718)="","",COUNTIFS('Card Test Cases'!$B$4:$B$1000,$A718,'Card Test Cases'!$A$4:$A$1000,"&lt;&gt;",'Card Test Cases'!$F$4:$F$1000,"&lt;&gt;Out of Scope"))</f>
        <v/>
      </c>
      <c r="P718" s="68" t="str">
        <f>IF(TRIM($A718)="","",COUNTIFS('Card Test Cases'!$B$4:$B$1000,$A718,'Card Test Cases'!$A$4:$A$1000,"&lt;&gt;",'Card Test Cases'!$F$4:$F$1000,"Passed"))</f>
        <v/>
      </c>
      <c r="Q718" s="68" t="str">
        <f>IF(TRIM($A718)="","",COUNTIFS('Card Test Cases'!$B$4:$B$1000,$A718,'Card Test Cases'!$A$4:$A$1000,"&lt;&gt;",'Card Test Cases'!$F$4:$F$1000,"Failed"))</f>
        <v/>
      </c>
      <c r="R718" s="68" t="str">
        <f t="shared" si="11"/>
        <v/>
      </c>
      <c r="S718" s="68" t="str" cm="1">
        <f t="array" ref="S718">IF(TRIM($A718)="","",IFERROR(_xlfn.TEXTJOIN(", ",TRUE,_xlfn.UNIQUE(_xlfn.VSTACK(_xlfn._xlws.FILTER('Card Test Cases'!$G$4:$G$1000,('Card Test Cases'!$B$4:$B$1000=$A718)*('Card Test Cases'!$G$4:$G$1000&lt;&gt;""),""),_xlfn._xlws.FILTER('E2E core flow'!$U$15:$U$1000,('E2E core flow'!$A$15:$A$1000&lt;&gt;"")*ISNUMBER(SEARCH('E2E core flow'!$A$15:$A$1000,$E718))*('E2E core flow'!$U$15:$U$1000&lt;&gt;""),"")))),"-"))</f>
        <v/>
      </c>
    </row>
    <row r="719" spans="7:19" x14ac:dyDescent="0.3">
      <c r="G719" s="68" t="str" cm="1">
        <f t="array" ref="G719">_xlfn.LET(_xlpm.ids,'E2E core flow'!$A$15:$A$1000,_xlpm.v,'E2E core flow'!$W$15:$W$1000,_xlpm.m,(_xlpm.ids&lt;&gt;"")*ISNUMBER(SEARCH(_xlpm.ids,$E719)),_xlpm.f,SUM(_xlpm.m*(_xlpm.v="Failed")),_xlpm.b,SUM(_xlpm.m*(_xlpm.v="Blocked")),_xlpm.nr,SUM(_xlpm.m*(_xlpm.v="Not Run")),_xlpm.cp,SUM(_xlpm.m*(_xlpm.v="Conditionally Passed")),_xlpm.p,SUM(_xlpm.m*(_xlpm.v="Passed")),IF(TRIM($A719)="","",IF(TRIM($E719)="","Pending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19" s="68" t="str">
        <f>IF(TRIM($A719)="","",IF($J719="Passed","",IF($J719="Passed with Known Issue","Known Issue",IF($J719="",IF(OR($H719&lt;&gt;"No",AND($F719&lt;&gt;"Medium",$F719&lt;&gt;"Low")),"Pending Result",""),IF(OR($H719&lt;&gt;"No",AND($F719&lt;&gt;"Medium",$F719&lt;&gt;"Low")),IF(COUNTIFS(Dashboard!$B$105:$B$124,$A719,Dashboard!$I$105:$I$124,"CAB")&gt;0,"Accepted (CF)","Blocking"),IF($J719="Failed","Deferrable","Carry Over"))))))</f>
        <v/>
      </c>
      <c r="M719" s="68" t="str">
        <f>IF(OR(TRIM($A719)="",TRIM($E719)=""),"",IFERROR(INDEX('E2E core flow'!$B$15:$B$1000,MATCH(1,INDEX(('E2E core flow'!$A$15:$A$1000&lt;&gt;"")*ISNUMBER(SEARCH('E2E core flow'!$A$15:$A$1000,$E719)),0),0))&amp;"","-"))</f>
        <v/>
      </c>
      <c r="N719" s="68" t="str">
        <f>IF(TRIM($A719)="","",IF($O719=0,IF(COUNTIFS('Card Test Cases'!$B$4:$B$1000,$A719,'Card Test Cases'!$A$4:$A$1000,"&lt;&gt;")&gt;0,"Out of Scope","No TC"),IF($Q719&gt;0,"Failed",IF(COUNTIFS('Card Test Cases'!$B$4:$B$1000,$A719,'Card Test Cases'!$A$4:$A$1000,"&lt;&gt;",'Card Test Cases'!$F$4:$F$1000,"Blocked")&gt;0,"Blocked",IF($R719&gt;0,"In Progress","Passed")))))</f>
        <v/>
      </c>
      <c r="O719" s="68" t="str">
        <f>IF(TRIM($A719)="","",COUNTIFS('Card Test Cases'!$B$4:$B$1000,$A719,'Card Test Cases'!$A$4:$A$1000,"&lt;&gt;",'Card Test Cases'!$F$4:$F$1000,"&lt;&gt;Out of Scope"))</f>
        <v/>
      </c>
      <c r="P719" s="68" t="str">
        <f>IF(TRIM($A719)="","",COUNTIFS('Card Test Cases'!$B$4:$B$1000,$A719,'Card Test Cases'!$A$4:$A$1000,"&lt;&gt;",'Card Test Cases'!$F$4:$F$1000,"Passed"))</f>
        <v/>
      </c>
      <c r="Q719" s="68" t="str">
        <f>IF(TRIM($A719)="","",COUNTIFS('Card Test Cases'!$B$4:$B$1000,$A719,'Card Test Cases'!$A$4:$A$1000,"&lt;&gt;",'Card Test Cases'!$F$4:$F$1000,"Failed"))</f>
        <v/>
      </c>
      <c r="R719" s="68" t="str">
        <f t="shared" si="11"/>
        <v/>
      </c>
      <c r="S719" s="68" t="str" cm="1">
        <f t="array" ref="S719">IF(TRIM($A719)="","",IFERROR(_xlfn.TEXTJOIN(", ",TRUE,_xlfn.UNIQUE(_xlfn.VSTACK(_xlfn._xlws.FILTER('Card Test Cases'!$G$4:$G$1000,('Card Test Cases'!$B$4:$B$1000=$A719)*('Card Test Cases'!$G$4:$G$1000&lt;&gt;""),""),_xlfn._xlws.FILTER('E2E core flow'!$U$15:$U$1000,('E2E core flow'!$A$15:$A$1000&lt;&gt;"")*ISNUMBER(SEARCH('E2E core flow'!$A$15:$A$1000,$E719))*('E2E core flow'!$U$15:$U$1000&lt;&gt;""),"")))),"-"))</f>
        <v/>
      </c>
    </row>
    <row r="720" spans="7:19" x14ac:dyDescent="0.3">
      <c r="G720" s="68" t="str" cm="1">
        <f t="array" ref="G720">_xlfn.LET(_xlpm.ids,'E2E core flow'!$A$15:$A$1000,_xlpm.v,'E2E core flow'!$W$15:$W$1000,_xlpm.m,(_xlpm.ids&lt;&gt;"")*ISNUMBER(SEARCH(_xlpm.ids,$E720)),_xlpm.f,SUM(_xlpm.m*(_xlpm.v="Failed")),_xlpm.b,SUM(_xlpm.m*(_xlpm.v="Blocked")),_xlpm.nr,SUM(_xlpm.m*(_xlpm.v="Not Run")),_xlpm.cp,SUM(_xlpm.m*(_xlpm.v="Conditionally Passed")),_xlpm.p,SUM(_xlpm.m*(_xlpm.v="Passed")),IF(TRIM($A720)="","",IF(TRIM($E720)="","Pending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20" s="68" t="str">
        <f>IF(TRIM($A720)="","",IF($J720="Passed","",IF($J720="Passed with Known Issue","Known Issue",IF($J720="",IF(OR($H720&lt;&gt;"No",AND($F720&lt;&gt;"Medium",$F720&lt;&gt;"Low")),"Pending Result",""),IF(OR($H720&lt;&gt;"No",AND($F720&lt;&gt;"Medium",$F720&lt;&gt;"Low")),IF(COUNTIFS(Dashboard!$B$105:$B$124,$A720,Dashboard!$I$105:$I$124,"CAB")&gt;0,"Accepted (CF)","Blocking"),IF($J720="Failed","Deferrable","Carry Over"))))))</f>
        <v/>
      </c>
      <c r="M720" s="68" t="str">
        <f>IF(OR(TRIM($A720)="",TRIM($E720)=""),"",IFERROR(INDEX('E2E core flow'!$B$15:$B$1000,MATCH(1,INDEX(('E2E core flow'!$A$15:$A$1000&lt;&gt;"")*ISNUMBER(SEARCH('E2E core flow'!$A$15:$A$1000,$E720)),0),0))&amp;"","-"))</f>
        <v/>
      </c>
      <c r="N720" s="68" t="str">
        <f>IF(TRIM($A720)="","",IF($O720=0,IF(COUNTIFS('Card Test Cases'!$B$4:$B$1000,$A720,'Card Test Cases'!$A$4:$A$1000,"&lt;&gt;")&gt;0,"Out of Scope","No TC"),IF($Q720&gt;0,"Failed",IF(COUNTIFS('Card Test Cases'!$B$4:$B$1000,$A720,'Card Test Cases'!$A$4:$A$1000,"&lt;&gt;",'Card Test Cases'!$F$4:$F$1000,"Blocked")&gt;0,"Blocked",IF($R720&gt;0,"In Progress","Passed")))))</f>
        <v/>
      </c>
      <c r="O720" s="68" t="str">
        <f>IF(TRIM($A720)="","",COUNTIFS('Card Test Cases'!$B$4:$B$1000,$A720,'Card Test Cases'!$A$4:$A$1000,"&lt;&gt;",'Card Test Cases'!$F$4:$F$1000,"&lt;&gt;Out of Scope"))</f>
        <v/>
      </c>
      <c r="P720" s="68" t="str">
        <f>IF(TRIM($A720)="","",COUNTIFS('Card Test Cases'!$B$4:$B$1000,$A720,'Card Test Cases'!$A$4:$A$1000,"&lt;&gt;",'Card Test Cases'!$F$4:$F$1000,"Passed"))</f>
        <v/>
      </c>
      <c r="Q720" s="68" t="str">
        <f>IF(TRIM($A720)="","",COUNTIFS('Card Test Cases'!$B$4:$B$1000,$A720,'Card Test Cases'!$A$4:$A$1000,"&lt;&gt;",'Card Test Cases'!$F$4:$F$1000,"Failed"))</f>
        <v/>
      </c>
      <c r="R720" s="68" t="str">
        <f t="shared" si="11"/>
        <v/>
      </c>
      <c r="S720" s="68" t="str" cm="1">
        <f t="array" ref="S720">IF(TRIM($A720)="","",IFERROR(_xlfn.TEXTJOIN(", ",TRUE,_xlfn.UNIQUE(_xlfn.VSTACK(_xlfn._xlws.FILTER('Card Test Cases'!$G$4:$G$1000,('Card Test Cases'!$B$4:$B$1000=$A720)*('Card Test Cases'!$G$4:$G$1000&lt;&gt;""),""),_xlfn._xlws.FILTER('E2E core flow'!$U$15:$U$1000,('E2E core flow'!$A$15:$A$1000&lt;&gt;"")*ISNUMBER(SEARCH('E2E core flow'!$A$15:$A$1000,$E720))*('E2E core flow'!$U$15:$U$1000&lt;&gt;""),"")))),"-"))</f>
        <v/>
      </c>
    </row>
    <row r="721" spans="7:19" x14ac:dyDescent="0.3">
      <c r="G721" s="68" t="str" cm="1">
        <f t="array" ref="G721">_xlfn.LET(_xlpm.ids,'E2E core flow'!$A$15:$A$1000,_xlpm.v,'E2E core flow'!$W$15:$W$1000,_xlpm.m,(_xlpm.ids&lt;&gt;"")*ISNUMBER(SEARCH(_xlpm.ids,$E721)),_xlpm.f,SUM(_xlpm.m*(_xlpm.v="Failed")),_xlpm.b,SUM(_xlpm.m*(_xlpm.v="Blocked")),_xlpm.nr,SUM(_xlpm.m*(_xlpm.v="Not Run")),_xlpm.cp,SUM(_xlpm.m*(_xlpm.v="Conditionally Passed")),_xlpm.p,SUM(_xlpm.m*(_xlpm.v="Passed")),IF(TRIM($A721)="","",IF(TRIM($E721)="","Pending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21" s="68" t="str">
        <f>IF(TRIM($A721)="","",IF($J721="Passed","",IF($J721="Passed with Known Issue","Known Issue",IF($J721="",IF(OR($H721&lt;&gt;"No",AND($F721&lt;&gt;"Medium",$F721&lt;&gt;"Low")),"Pending Result",""),IF(OR($H721&lt;&gt;"No",AND($F721&lt;&gt;"Medium",$F721&lt;&gt;"Low")),IF(COUNTIFS(Dashboard!$B$105:$B$124,$A721,Dashboard!$I$105:$I$124,"CAB")&gt;0,"Accepted (CF)","Blocking"),IF($J721="Failed","Deferrable","Carry Over"))))))</f>
        <v/>
      </c>
      <c r="M721" s="68" t="str">
        <f>IF(OR(TRIM($A721)="",TRIM($E721)=""),"",IFERROR(INDEX('E2E core flow'!$B$15:$B$1000,MATCH(1,INDEX(('E2E core flow'!$A$15:$A$1000&lt;&gt;"")*ISNUMBER(SEARCH('E2E core flow'!$A$15:$A$1000,$E721)),0),0))&amp;"","-"))</f>
        <v/>
      </c>
      <c r="N721" s="68" t="str">
        <f>IF(TRIM($A721)="","",IF($O721=0,IF(COUNTIFS('Card Test Cases'!$B$4:$B$1000,$A721,'Card Test Cases'!$A$4:$A$1000,"&lt;&gt;")&gt;0,"Out of Scope","No TC"),IF($Q721&gt;0,"Failed",IF(COUNTIFS('Card Test Cases'!$B$4:$B$1000,$A721,'Card Test Cases'!$A$4:$A$1000,"&lt;&gt;",'Card Test Cases'!$F$4:$F$1000,"Blocked")&gt;0,"Blocked",IF($R721&gt;0,"In Progress","Passed")))))</f>
        <v/>
      </c>
      <c r="O721" s="68" t="str">
        <f>IF(TRIM($A721)="","",COUNTIFS('Card Test Cases'!$B$4:$B$1000,$A721,'Card Test Cases'!$A$4:$A$1000,"&lt;&gt;",'Card Test Cases'!$F$4:$F$1000,"&lt;&gt;Out of Scope"))</f>
        <v/>
      </c>
      <c r="P721" s="68" t="str">
        <f>IF(TRIM($A721)="","",COUNTIFS('Card Test Cases'!$B$4:$B$1000,$A721,'Card Test Cases'!$A$4:$A$1000,"&lt;&gt;",'Card Test Cases'!$F$4:$F$1000,"Passed"))</f>
        <v/>
      </c>
      <c r="Q721" s="68" t="str">
        <f>IF(TRIM($A721)="","",COUNTIFS('Card Test Cases'!$B$4:$B$1000,$A721,'Card Test Cases'!$A$4:$A$1000,"&lt;&gt;",'Card Test Cases'!$F$4:$F$1000,"Failed"))</f>
        <v/>
      </c>
      <c r="R721" s="68" t="str">
        <f t="shared" si="11"/>
        <v/>
      </c>
      <c r="S721" s="68" t="str" cm="1">
        <f t="array" ref="S721">IF(TRIM($A721)="","",IFERROR(_xlfn.TEXTJOIN(", ",TRUE,_xlfn.UNIQUE(_xlfn.VSTACK(_xlfn._xlws.FILTER('Card Test Cases'!$G$4:$G$1000,('Card Test Cases'!$B$4:$B$1000=$A721)*('Card Test Cases'!$G$4:$G$1000&lt;&gt;""),""),_xlfn._xlws.FILTER('E2E core flow'!$U$15:$U$1000,('E2E core flow'!$A$15:$A$1000&lt;&gt;"")*ISNUMBER(SEARCH('E2E core flow'!$A$15:$A$1000,$E721))*('E2E core flow'!$U$15:$U$1000&lt;&gt;""),"")))),"-"))</f>
        <v/>
      </c>
    </row>
    <row r="722" spans="7:19" x14ac:dyDescent="0.3">
      <c r="G722" s="68" t="str" cm="1">
        <f t="array" ref="G722">_xlfn.LET(_xlpm.ids,'E2E core flow'!$A$15:$A$1000,_xlpm.v,'E2E core flow'!$W$15:$W$1000,_xlpm.m,(_xlpm.ids&lt;&gt;"")*ISNUMBER(SEARCH(_xlpm.ids,$E722)),_xlpm.f,SUM(_xlpm.m*(_xlpm.v="Failed")),_xlpm.b,SUM(_xlpm.m*(_xlpm.v="Blocked")),_xlpm.nr,SUM(_xlpm.m*(_xlpm.v="Not Run")),_xlpm.cp,SUM(_xlpm.m*(_xlpm.v="Conditionally Passed")),_xlpm.p,SUM(_xlpm.m*(_xlpm.v="Passed")),IF(TRIM($A722)="","",IF(TRIM($E722)="","Pending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22" s="68" t="str">
        <f>IF(TRIM($A722)="","",IF($J722="Passed","",IF($J722="Passed with Known Issue","Known Issue",IF($J722="",IF(OR($H722&lt;&gt;"No",AND($F722&lt;&gt;"Medium",$F722&lt;&gt;"Low")),"Pending Result",""),IF(OR($H722&lt;&gt;"No",AND($F722&lt;&gt;"Medium",$F722&lt;&gt;"Low")),IF(COUNTIFS(Dashboard!$B$105:$B$124,$A722,Dashboard!$I$105:$I$124,"CAB")&gt;0,"Accepted (CF)","Blocking"),IF($J722="Failed","Deferrable","Carry Over"))))))</f>
        <v/>
      </c>
      <c r="M722" s="68" t="str">
        <f>IF(OR(TRIM($A722)="",TRIM($E722)=""),"",IFERROR(INDEX('E2E core flow'!$B$15:$B$1000,MATCH(1,INDEX(('E2E core flow'!$A$15:$A$1000&lt;&gt;"")*ISNUMBER(SEARCH('E2E core flow'!$A$15:$A$1000,$E722)),0),0))&amp;"","-"))</f>
        <v/>
      </c>
      <c r="N722" s="68" t="str">
        <f>IF(TRIM($A722)="","",IF($O722=0,IF(COUNTIFS('Card Test Cases'!$B$4:$B$1000,$A722,'Card Test Cases'!$A$4:$A$1000,"&lt;&gt;")&gt;0,"Out of Scope","No TC"),IF($Q722&gt;0,"Failed",IF(COUNTIFS('Card Test Cases'!$B$4:$B$1000,$A722,'Card Test Cases'!$A$4:$A$1000,"&lt;&gt;",'Card Test Cases'!$F$4:$F$1000,"Blocked")&gt;0,"Blocked",IF($R722&gt;0,"In Progress","Passed")))))</f>
        <v/>
      </c>
      <c r="O722" s="68" t="str">
        <f>IF(TRIM($A722)="","",COUNTIFS('Card Test Cases'!$B$4:$B$1000,$A722,'Card Test Cases'!$A$4:$A$1000,"&lt;&gt;",'Card Test Cases'!$F$4:$F$1000,"&lt;&gt;Out of Scope"))</f>
        <v/>
      </c>
      <c r="P722" s="68" t="str">
        <f>IF(TRIM($A722)="","",COUNTIFS('Card Test Cases'!$B$4:$B$1000,$A722,'Card Test Cases'!$A$4:$A$1000,"&lt;&gt;",'Card Test Cases'!$F$4:$F$1000,"Passed"))</f>
        <v/>
      </c>
      <c r="Q722" s="68" t="str">
        <f>IF(TRIM($A722)="","",COUNTIFS('Card Test Cases'!$B$4:$B$1000,$A722,'Card Test Cases'!$A$4:$A$1000,"&lt;&gt;",'Card Test Cases'!$F$4:$F$1000,"Failed"))</f>
        <v/>
      </c>
      <c r="R722" s="68" t="str">
        <f t="shared" si="11"/>
        <v/>
      </c>
      <c r="S722" s="68" t="str" cm="1">
        <f t="array" ref="S722">IF(TRIM($A722)="","",IFERROR(_xlfn.TEXTJOIN(", ",TRUE,_xlfn.UNIQUE(_xlfn.VSTACK(_xlfn._xlws.FILTER('Card Test Cases'!$G$4:$G$1000,('Card Test Cases'!$B$4:$B$1000=$A722)*('Card Test Cases'!$G$4:$G$1000&lt;&gt;""),""),_xlfn._xlws.FILTER('E2E core flow'!$U$15:$U$1000,('E2E core flow'!$A$15:$A$1000&lt;&gt;"")*ISNUMBER(SEARCH('E2E core flow'!$A$15:$A$1000,$E722))*('E2E core flow'!$U$15:$U$1000&lt;&gt;""),"")))),"-"))</f>
        <v/>
      </c>
    </row>
    <row r="723" spans="7:19" x14ac:dyDescent="0.3">
      <c r="G723" s="68" t="str" cm="1">
        <f t="array" ref="G723">_xlfn.LET(_xlpm.ids,'E2E core flow'!$A$15:$A$1000,_xlpm.v,'E2E core flow'!$W$15:$W$1000,_xlpm.m,(_xlpm.ids&lt;&gt;"")*ISNUMBER(SEARCH(_xlpm.ids,$E723)),_xlpm.f,SUM(_xlpm.m*(_xlpm.v="Failed")),_xlpm.b,SUM(_xlpm.m*(_xlpm.v="Blocked")),_xlpm.nr,SUM(_xlpm.m*(_xlpm.v="Not Run")),_xlpm.cp,SUM(_xlpm.m*(_xlpm.v="Conditionally Passed")),_xlpm.p,SUM(_xlpm.m*(_xlpm.v="Passed")),IF(TRIM($A723)="","",IF(TRIM($E723)="","Pending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23" s="68" t="str">
        <f>IF(TRIM($A723)="","",IF($J723="Passed","",IF($J723="Passed with Known Issue","Known Issue",IF($J723="",IF(OR($H723&lt;&gt;"No",AND($F723&lt;&gt;"Medium",$F723&lt;&gt;"Low")),"Pending Result",""),IF(OR($H723&lt;&gt;"No",AND($F723&lt;&gt;"Medium",$F723&lt;&gt;"Low")),IF(COUNTIFS(Dashboard!$B$105:$B$124,$A723,Dashboard!$I$105:$I$124,"CAB")&gt;0,"Accepted (CF)","Blocking"),IF($J723="Failed","Deferrable","Carry Over"))))))</f>
        <v/>
      </c>
      <c r="M723" s="68" t="str">
        <f>IF(OR(TRIM($A723)="",TRIM($E723)=""),"",IFERROR(INDEX('E2E core flow'!$B$15:$B$1000,MATCH(1,INDEX(('E2E core flow'!$A$15:$A$1000&lt;&gt;"")*ISNUMBER(SEARCH('E2E core flow'!$A$15:$A$1000,$E723)),0),0))&amp;"","-"))</f>
        <v/>
      </c>
      <c r="N723" s="68" t="str">
        <f>IF(TRIM($A723)="","",IF($O723=0,IF(COUNTIFS('Card Test Cases'!$B$4:$B$1000,$A723,'Card Test Cases'!$A$4:$A$1000,"&lt;&gt;")&gt;0,"Out of Scope","No TC"),IF($Q723&gt;0,"Failed",IF(COUNTIFS('Card Test Cases'!$B$4:$B$1000,$A723,'Card Test Cases'!$A$4:$A$1000,"&lt;&gt;",'Card Test Cases'!$F$4:$F$1000,"Blocked")&gt;0,"Blocked",IF($R723&gt;0,"In Progress","Passed")))))</f>
        <v/>
      </c>
      <c r="O723" s="68" t="str">
        <f>IF(TRIM($A723)="","",COUNTIFS('Card Test Cases'!$B$4:$B$1000,$A723,'Card Test Cases'!$A$4:$A$1000,"&lt;&gt;",'Card Test Cases'!$F$4:$F$1000,"&lt;&gt;Out of Scope"))</f>
        <v/>
      </c>
      <c r="P723" s="68" t="str">
        <f>IF(TRIM($A723)="","",COUNTIFS('Card Test Cases'!$B$4:$B$1000,$A723,'Card Test Cases'!$A$4:$A$1000,"&lt;&gt;",'Card Test Cases'!$F$4:$F$1000,"Passed"))</f>
        <v/>
      </c>
      <c r="Q723" s="68" t="str">
        <f>IF(TRIM($A723)="","",COUNTIFS('Card Test Cases'!$B$4:$B$1000,$A723,'Card Test Cases'!$A$4:$A$1000,"&lt;&gt;",'Card Test Cases'!$F$4:$F$1000,"Failed"))</f>
        <v/>
      </c>
      <c r="R723" s="68" t="str">
        <f t="shared" si="11"/>
        <v/>
      </c>
      <c r="S723" s="68" t="str" cm="1">
        <f t="array" ref="S723">IF(TRIM($A723)="","",IFERROR(_xlfn.TEXTJOIN(", ",TRUE,_xlfn.UNIQUE(_xlfn.VSTACK(_xlfn._xlws.FILTER('Card Test Cases'!$G$4:$G$1000,('Card Test Cases'!$B$4:$B$1000=$A723)*('Card Test Cases'!$G$4:$G$1000&lt;&gt;""),""),_xlfn._xlws.FILTER('E2E core flow'!$U$15:$U$1000,('E2E core flow'!$A$15:$A$1000&lt;&gt;"")*ISNUMBER(SEARCH('E2E core flow'!$A$15:$A$1000,$E723))*('E2E core flow'!$U$15:$U$1000&lt;&gt;""),"")))),"-"))</f>
        <v/>
      </c>
    </row>
    <row r="724" spans="7:19" x14ac:dyDescent="0.3">
      <c r="G724" s="68" t="str" cm="1">
        <f t="array" ref="G724">_xlfn.LET(_xlpm.ids,'E2E core flow'!$A$15:$A$1000,_xlpm.v,'E2E core flow'!$W$15:$W$1000,_xlpm.m,(_xlpm.ids&lt;&gt;"")*ISNUMBER(SEARCH(_xlpm.ids,$E724)),_xlpm.f,SUM(_xlpm.m*(_xlpm.v="Failed")),_xlpm.b,SUM(_xlpm.m*(_xlpm.v="Blocked")),_xlpm.nr,SUM(_xlpm.m*(_xlpm.v="Not Run")),_xlpm.cp,SUM(_xlpm.m*(_xlpm.v="Conditionally Passed")),_xlpm.p,SUM(_xlpm.m*(_xlpm.v="Passed")),IF(TRIM($A724)="","",IF(TRIM($E724)="","Pending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24" s="68" t="str">
        <f>IF(TRIM($A724)="","",IF($J724="Passed","",IF($J724="Passed with Known Issue","Known Issue",IF($J724="",IF(OR($H724&lt;&gt;"No",AND($F724&lt;&gt;"Medium",$F724&lt;&gt;"Low")),"Pending Result",""),IF(OR($H724&lt;&gt;"No",AND($F724&lt;&gt;"Medium",$F724&lt;&gt;"Low")),IF(COUNTIFS(Dashboard!$B$105:$B$124,$A724,Dashboard!$I$105:$I$124,"CAB")&gt;0,"Accepted (CF)","Blocking"),IF($J724="Failed","Deferrable","Carry Over"))))))</f>
        <v/>
      </c>
      <c r="M724" s="68" t="str">
        <f>IF(OR(TRIM($A724)="",TRIM($E724)=""),"",IFERROR(INDEX('E2E core flow'!$B$15:$B$1000,MATCH(1,INDEX(('E2E core flow'!$A$15:$A$1000&lt;&gt;"")*ISNUMBER(SEARCH('E2E core flow'!$A$15:$A$1000,$E724)),0),0))&amp;"","-"))</f>
        <v/>
      </c>
      <c r="N724" s="68" t="str">
        <f>IF(TRIM($A724)="","",IF($O724=0,IF(COUNTIFS('Card Test Cases'!$B$4:$B$1000,$A724,'Card Test Cases'!$A$4:$A$1000,"&lt;&gt;")&gt;0,"Out of Scope","No TC"),IF($Q724&gt;0,"Failed",IF(COUNTIFS('Card Test Cases'!$B$4:$B$1000,$A724,'Card Test Cases'!$A$4:$A$1000,"&lt;&gt;",'Card Test Cases'!$F$4:$F$1000,"Blocked")&gt;0,"Blocked",IF($R724&gt;0,"In Progress","Passed")))))</f>
        <v/>
      </c>
      <c r="O724" s="68" t="str">
        <f>IF(TRIM($A724)="","",COUNTIFS('Card Test Cases'!$B$4:$B$1000,$A724,'Card Test Cases'!$A$4:$A$1000,"&lt;&gt;",'Card Test Cases'!$F$4:$F$1000,"&lt;&gt;Out of Scope"))</f>
        <v/>
      </c>
      <c r="P724" s="68" t="str">
        <f>IF(TRIM($A724)="","",COUNTIFS('Card Test Cases'!$B$4:$B$1000,$A724,'Card Test Cases'!$A$4:$A$1000,"&lt;&gt;",'Card Test Cases'!$F$4:$F$1000,"Passed"))</f>
        <v/>
      </c>
      <c r="Q724" s="68" t="str">
        <f>IF(TRIM($A724)="","",COUNTIFS('Card Test Cases'!$B$4:$B$1000,$A724,'Card Test Cases'!$A$4:$A$1000,"&lt;&gt;",'Card Test Cases'!$F$4:$F$1000,"Failed"))</f>
        <v/>
      </c>
      <c r="R724" s="68" t="str">
        <f t="shared" si="11"/>
        <v/>
      </c>
      <c r="S724" s="68" t="str" cm="1">
        <f t="array" ref="S724">IF(TRIM($A724)="","",IFERROR(_xlfn.TEXTJOIN(", ",TRUE,_xlfn.UNIQUE(_xlfn.VSTACK(_xlfn._xlws.FILTER('Card Test Cases'!$G$4:$G$1000,('Card Test Cases'!$B$4:$B$1000=$A724)*('Card Test Cases'!$G$4:$G$1000&lt;&gt;""),""),_xlfn._xlws.FILTER('E2E core flow'!$U$15:$U$1000,('E2E core flow'!$A$15:$A$1000&lt;&gt;"")*ISNUMBER(SEARCH('E2E core flow'!$A$15:$A$1000,$E724))*('E2E core flow'!$U$15:$U$1000&lt;&gt;""),"")))),"-"))</f>
        <v/>
      </c>
    </row>
    <row r="725" spans="7:19" x14ac:dyDescent="0.3">
      <c r="G725" s="68" t="str" cm="1">
        <f t="array" ref="G725">_xlfn.LET(_xlpm.ids,'E2E core flow'!$A$15:$A$1000,_xlpm.v,'E2E core flow'!$W$15:$W$1000,_xlpm.m,(_xlpm.ids&lt;&gt;"")*ISNUMBER(SEARCH(_xlpm.ids,$E725)),_xlpm.f,SUM(_xlpm.m*(_xlpm.v="Failed")),_xlpm.b,SUM(_xlpm.m*(_xlpm.v="Blocked")),_xlpm.nr,SUM(_xlpm.m*(_xlpm.v="Not Run")),_xlpm.cp,SUM(_xlpm.m*(_xlpm.v="Conditionally Passed")),_xlpm.p,SUM(_xlpm.m*(_xlpm.v="Passed")),IF(TRIM($A725)="","",IF(TRIM($E725)="","Pending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25" s="68" t="str">
        <f>IF(TRIM($A725)="","",IF($J725="Passed","",IF($J725="Passed with Known Issue","Known Issue",IF($J725="",IF(OR($H725&lt;&gt;"No",AND($F725&lt;&gt;"Medium",$F725&lt;&gt;"Low")),"Pending Result",""),IF(OR($H725&lt;&gt;"No",AND($F725&lt;&gt;"Medium",$F725&lt;&gt;"Low")),IF(COUNTIFS(Dashboard!$B$105:$B$124,$A725,Dashboard!$I$105:$I$124,"CAB")&gt;0,"Accepted (CF)","Blocking"),IF($J725="Failed","Deferrable","Carry Over"))))))</f>
        <v/>
      </c>
      <c r="M725" s="68" t="str">
        <f>IF(OR(TRIM($A725)="",TRIM($E725)=""),"",IFERROR(INDEX('E2E core flow'!$B$15:$B$1000,MATCH(1,INDEX(('E2E core flow'!$A$15:$A$1000&lt;&gt;"")*ISNUMBER(SEARCH('E2E core flow'!$A$15:$A$1000,$E725)),0),0))&amp;"","-"))</f>
        <v/>
      </c>
      <c r="N725" s="68" t="str">
        <f>IF(TRIM($A725)="","",IF($O725=0,IF(COUNTIFS('Card Test Cases'!$B$4:$B$1000,$A725,'Card Test Cases'!$A$4:$A$1000,"&lt;&gt;")&gt;0,"Out of Scope","No TC"),IF($Q725&gt;0,"Failed",IF(COUNTIFS('Card Test Cases'!$B$4:$B$1000,$A725,'Card Test Cases'!$A$4:$A$1000,"&lt;&gt;",'Card Test Cases'!$F$4:$F$1000,"Blocked")&gt;0,"Blocked",IF($R725&gt;0,"In Progress","Passed")))))</f>
        <v/>
      </c>
      <c r="O725" s="68" t="str">
        <f>IF(TRIM($A725)="","",COUNTIFS('Card Test Cases'!$B$4:$B$1000,$A725,'Card Test Cases'!$A$4:$A$1000,"&lt;&gt;",'Card Test Cases'!$F$4:$F$1000,"&lt;&gt;Out of Scope"))</f>
        <v/>
      </c>
      <c r="P725" s="68" t="str">
        <f>IF(TRIM($A725)="","",COUNTIFS('Card Test Cases'!$B$4:$B$1000,$A725,'Card Test Cases'!$A$4:$A$1000,"&lt;&gt;",'Card Test Cases'!$F$4:$F$1000,"Passed"))</f>
        <v/>
      </c>
      <c r="Q725" s="68" t="str">
        <f>IF(TRIM($A725)="","",COUNTIFS('Card Test Cases'!$B$4:$B$1000,$A725,'Card Test Cases'!$A$4:$A$1000,"&lt;&gt;",'Card Test Cases'!$F$4:$F$1000,"Failed"))</f>
        <v/>
      </c>
      <c r="R725" s="68" t="str">
        <f t="shared" si="11"/>
        <v/>
      </c>
      <c r="S725" s="68" t="str" cm="1">
        <f t="array" ref="S725">IF(TRIM($A725)="","",IFERROR(_xlfn.TEXTJOIN(", ",TRUE,_xlfn.UNIQUE(_xlfn.VSTACK(_xlfn._xlws.FILTER('Card Test Cases'!$G$4:$G$1000,('Card Test Cases'!$B$4:$B$1000=$A725)*('Card Test Cases'!$G$4:$G$1000&lt;&gt;""),""),_xlfn._xlws.FILTER('E2E core flow'!$U$15:$U$1000,('E2E core flow'!$A$15:$A$1000&lt;&gt;"")*ISNUMBER(SEARCH('E2E core flow'!$A$15:$A$1000,$E725))*('E2E core flow'!$U$15:$U$1000&lt;&gt;""),"")))),"-"))</f>
        <v/>
      </c>
    </row>
    <row r="726" spans="7:19" x14ac:dyDescent="0.3">
      <c r="G726" s="68" t="str" cm="1">
        <f t="array" ref="G726">_xlfn.LET(_xlpm.ids,'E2E core flow'!$A$15:$A$1000,_xlpm.v,'E2E core flow'!$W$15:$W$1000,_xlpm.m,(_xlpm.ids&lt;&gt;"")*ISNUMBER(SEARCH(_xlpm.ids,$E726)),_xlpm.f,SUM(_xlpm.m*(_xlpm.v="Failed")),_xlpm.b,SUM(_xlpm.m*(_xlpm.v="Blocked")),_xlpm.nr,SUM(_xlpm.m*(_xlpm.v="Not Run")),_xlpm.cp,SUM(_xlpm.m*(_xlpm.v="Conditionally Passed")),_xlpm.p,SUM(_xlpm.m*(_xlpm.v="Passed")),IF(TRIM($A726)="","",IF(TRIM($E726)="","Pending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26" s="68" t="str">
        <f>IF(TRIM($A726)="","",IF($J726="Passed","",IF($J726="Passed with Known Issue","Known Issue",IF($J726="",IF(OR($H726&lt;&gt;"No",AND($F726&lt;&gt;"Medium",$F726&lt;&gt;"Low")),"Pending Result",""),IF(OR($H726&lt;&gt;"No",AND($F726&lt;&gt;"Medium",$F726&lt;&gt;"Low")),IF(COUNTIFS(Dashboard!$B$105:$B$124,$A726,Dashboard!$I$105:$I$124,"CAB")&gt;0,"Accepted (CF)","Blocking"),IF($J726="Failed","Deferrable","Carry Over"))))))</f>
        <v/>
      </c>
      <c r="M726" s="68" t="str">
        <f>IF(OR(TRIM($A726)="",TRIM($E726)=""),"",IFERROR(INDEX('E2E core flow'!$B$15:$B$1000,MATCH(1,INDEX(('E2E core flow'!$A$15:$A$1000&lt;&gt;"")*ISNUMBER(SEARCH('E2E core flow'!$A$15:$A$1000,$E726)),0),0))&amp;"","-"))</f>
        <v/>
      </c>
      <c r="N726" s="68" t="str">
        <f>IF(TRIM($A726)="","",IF($O726=0,IF(COUNTIFS('Card Test Cases'!$B$4:$B$1000,$A726,'Card Test Cases'!$A$4:$A$1000,"&lt;&gt;")&gt;0,"Out of Scope","No TC"),IF($Q726&gt;0,"Failed",IF(COUNTIFS('Card Test Cases'!$B$4:$B$1000,$A726,'Card Test Cases'!$A$4:$A$1000,"&lt;&gt;",'Card Test Cases'!$F$4:$F$1000,"Blocked")&gt;0,"Blocked",IF($R726&gt;0,"In Progress","Passed")))))</f>
        <v/>
      </c>
      <c r="O726" s="68" t="str">
        <f>IF(TRIM($A726)="","",COUNTIFS('Card Test Cases'!$B$4:$B$1000,$A726,'Card Test Cases'!$A$4:$A$1000,"&lt;&gt;",'Card Test Cases'!$F$4:$F$1000,"&lt;&gt;Out of Scope"))</f>
        <v/>
      </c>
      <c r="P726" s="68" t="str">
        <f>IF(TRIM($A726)="","",COUNTIFS('Card Test Cases'!$B$4:$B$1000,$A726,'Card Test Cases'!$A$4:$A$1000,"&lt;&gt;",'Card Test Cases'!$F$4:$F$1000,"Passed"))</f>
        <v/>
      </c>
      <c r="Q726" s="68" t="str">
        <f>IF(TRIM($A726)="","",COUNTIFS('Card Test Cases'!$B$4:$B$1000,$A726,'Card Test Cases'!$A$4:$A$1000,"&lt;&gt;",'Card Test Cases'!$F$4:$F$1000,"Failed"))</f>
        <v/>
      </c>
      <c r="R726" s="68" t="str">
        <f t="shared" si="11"/>
        <v/>
      </c>
      <c r="S726" s="68" t="str" cm="1">
        <f t="array" ref="S726">IF(TRIM($A726)="","",IFERROR(_xlfn.TEXTJOIN(", ",TRUE,_xlfn.UNIQUE(_xlfn.VSTACK(_xlfn._xlws.FILTER('Card Test Cases'!$G$4:$G$1000,('Card Test Cases'!$B$4:$B$1000=$A726)*('Card Test Cases'!$G$4:$G$1000&lt;&gt;""),""),_xlfn._xlws.FILTER('E2E core flow'!$U$15:$U$1000,('E2E core flow'!$A$15:$A$1000&lt;&gt;"")*ISNUMBER(SEARCH('E2E core flow'!$A$15:$A$1000,$E726))*('E2E core flow'!$U$15:$U$1000&lt;&gt;""),"")))),"-"))</f>
        <v/>
      </c>
    </row>
    <row r="727" spans="7:19" x14ac:dyDescent="0.3">
      <c r="G727" s="68" t="str" cm="1">
        <f t="array" ref="G727">_xlfn.LET(_xlpm.ids,'E2E core flow'!$A$15:$A$1000,_xlpm.v,'E2E core flow'!$W$15:$W$1000,_xlpm.m,(_xlpm.ids&lt;&gt;"")*ISNUMBER(SEARCH(_xlpm.ids,$E727)),_xlpm.f,SUM(_xlpm.m*(_xlpm.v="Failed")),_xlpm.b,SUM(_xlpm.m*(_xlpm.v="Blocked")),_xlpm.nr,SUM(_xlpm.m*(_xlpm.v="Not Run")),_xlpm.cp,SUM(_xlpm.m*(_xlpm.v="Conditionally Passed")),_xlpm.p,SUM(_xlpm.m*(_xlpm.v="Passed")),IF(TRIM($A727)="","",IF(TRIM($E727)="","Pending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27" s="68" t="str">
        <f>IF(TRIM($A727)="","",IF($J727="Passed","",IF($J727="Passed with Known Issue","Known Issue",IF($J727="",IF(OR($H727&lt;&gt;"No",AND($F727&lt;&gt;"Medium",$F727&lt;&gt;"Low")),"Pending Result",""),IF(OR($H727&lt;&gt;"No",AND($F727&lt;&gt;"Medium",$F727&lt;&gt;"Low")),IF(COUNTIFS(Dashboard!$B$105:$B$124,$A727,Dashboard!$I$105:$I$124,"CAB")&gt;0,"Accepted (CF)","Blocking"),IF($J727="Failed","Deferrable","Carry Over"))))))</f>
        <v/>
      </c>
      <c r="M727" s="68" t="str">
        <f>IF(OR(TRIM($A727)="",TRIM($E727)=""),"",IFERROR(INDEX('E2E core flow'!$B$15:$B$1000,MATCH(1,INDEX(('E2E core flow'!$A$15:$A$1000&lt;&gt;"")*ISNUMBER(SEARCH('E2E core flow'!$A$15:$A$1000,$E727)),0),0))&amp;"","-"))</f>
        <v/>
      </c>
      <c r="N727" s="68" t="str">
        <f>IF(TRIM($A727)="","",IF($O727=0,IF(COUNTIFS('Card Test Cases'!$B$4:$B$1000,$A727,'Card Test Cases'!$A$4:$A$1000,"&lt;&gt;")&gt;0,"Out of Scope","No TC"),IF($Q727&gt;0,"Failed",IF(COUNTIFS('Card Test Cases'!$B$4:$B$1000,$A727,'Card Test Cases'!$A$4:$A$1000,"&lt;&gt;",'Card Test Cases'!$F$4:$F$1000,"Blocked")&gt;0,"Blocked",IF($R727&gt;0,"In Progress","Passed")))))</f>
        <v/>
      </c>
      <c r="O727" s="68" t="str">
        <f>IF(TRIM($A727)="","",COUNTIFS('Card Test Cases'!$B$4:$B$1000,$A727,'Card Test Cases'!$A$4:$A$1000,"&lt;&gt;",'Card Test Cases'!$F$4:$F$1000,"&lt;&gt;Out of Scope"))</f>
        <v/>
      </c>
      <c r="P727" s="68" t="str">
        <f>IF(TRIM($A727)="","",COUNTIFS('Card Test Cases'!$B$4:$B$1000,$A727,'Card Test Cases'!$A$4:$A$1000,"&lt;&gt;",'Card Test Cases'!$F$4:$F$1000,"Passed"))</f>
        <v/>
      </c>
      <c r="Q727" s="68" t="str">
        <f>IF(TRIM($A727)="","",COUNTIFS('Card Test Cases'!$B$4:$B$1000,$A727,'Card Test Cases'!$A$4:$A$1000,"&lt;&gt;",'Card Test Cases'!$F$4:$F$1000,"Failed"))</f>
        <v/>
      </c>
      <c r="R727" s="68" t="str">
        <f t="shared" si="11"/>
        <v/>
      </c>
      <c r="S727" s="68" t="str" cm="1">
        <f t="array" ref="S727">IF(TRIM($A727)="","",IFERROR(_xlfn.TEXTJOIN(", ",TRUE,_xlfn.UNIQUE(_xlfn.VSTACK(_xlfn._xlws.FILTER('Card Test Cases'!$G$4:$G$1000,('Card Test Cases'!$B$4:$B$1000=$A727)*('Card Test Cases'!$G$4:$G$1000&lt;&gt;""),""),_xlfn._xlws.FILTER('E2E core flow'!$U$15:$U$1000,('E2E core flow'!$A$15:$A$1000&lt;&gt;"")*ISNUMBER(SEARCH('E2E core flow'!$A$15:$A$1000,$E727))*('E2E core flow'!$U$15:$U$1000&lt;&gt;""),"")))),"-"))</f>
        <v/>
      </c>
    </row>
    <row r="728" spans="7:19" x14ac:dyDescent="0.3">
      <c r="G728" s="68" t="str" cm="1">
        <f t="array" ref="G728">_xlfn.LET(_xlpm.ids,'E2E core flow'!$A$15:$A$1000,_xlpm.v,'E2E core flow'!$W$15:$W$1000,_xlpm.m,(_xlpm.ids&lt;&gt;"")*ISNUMBER(SEARCH(_xlpm.ids,$E728)),_xlpm.f,SUM(_xlpm.m*(_xlpm.v="Failed")),_xlpm.b,SUM(_xlpm.m*(_xlpm.v="Blocked")),_xlpm.nr,SUM(_xlpm.m*(_xlpm.v="Not Run")),_xlpm.cp,SUM(_xlpm.m*(_xlpm.v="Conditionally Passed")),_xlpm.p,SUM(_xlpm.m*(_xlpm.v="Passed")),IF(TRIM($A728)="","",IF(TRIM($E728)="","Pending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28" s="68" t="str">
        <f>IF(TRIM($A728)="","",IF($J728="Passed","",IF($J728="Passed with Known Issue","Known Issue",IF($J728="",IF(OR($H728&lt;&gt;"No",AND($F728&lt;&gt;"Medium",$F728&lt;&gt;"Low")),"Pending Result",""),IF(OR($H728&lt;&gt;"No",AND($F728&lt;&gt;"Medium",$F728&lt;&gt;"Low")),IF(COUNTIFS(Dashboard!$B$105:$B$124,$A728,Dashboard!$I$105:$I$124,"CAB")&gt;0,"Accepted (CF)","Blocking"),IF($J728="Failed","Deferrable","Carry Over"))))))</f>
        <v/>
      </c>
      <c r="M728" s="68" t="str">
        <f>IF(OR(TRIM($A728)="",TRIM($E728)=""),"",IFERROR(INDEX('E2E core flow'!$B$15:$B$1000,MATCH(1,INDEX(('E2E core flow'!$A$15:$A$1000&lt;&gt;"")*ISNUMBER(SEARCH('E2E core flow'!$A$15:$A$1000,$E728)),0),0))&amp;"","-"))</f>
        <v/>
      </c>
      <c r="N728" s="68" t="str">
        <f>IF(TRIM($A728)="","",IF($O728=0,IF(COUNTIFS('Card Test Cases'!$B$4:$B$1000,$A728,'Card Test Cases'!$A$4:$A$1000,"&lt;&gt;")&gt;0,"Out of Scope","No TC"),IF($Q728&gt;0,"Failed",IF(COUNTIFS('Card Test Cases'!$B$4:$B$1000,$A728,'Card Test Cases'!$A$4:$A$1000,"&lt;&gt;",'Card Test Cases'!$F$4:$F$1000,"Blocked")&gt;0,"Blocked",IF($R728&gt;0,"In Progress","Passed")))))</f>
        <v/>
      </c>
      <c r="O728" s="68" t="str">
        <f>IF(TRIM($A728)="","",COUNTIFS('Card Test Cases'!$B$4:$B$1000,$A728,'Card Test Cases'!$A$4:$A$1000,"&lt;&gt;",'Card Test Cases'!$F$4:$F$1000,"&lt;&gt;Out of Scope"))</f>
        <v/>
      </c>
      <c r="P728" s="68" t="str">
        <f>IF(TRIM($A728)="","",COUNTIFS('Card Test Cases'!$B$4:$B$1000,$A728,'Card Test Cases'!$A$4:$A$1000,"&lt;&gt;",'Card Test Cases'!$F$4:$F$1000,"Passed"))</f>
        <v/>
      </c>
      <c r="Q728" s="68" t="str">
        <f>IF(TRIM($A728)="","",COUNTIFS('Card Test Cases'!$B$4:$B$1000,$A728,'Card Test Cases'!$A$4:$A$1000,"&lt;&gt;",'Card Test Cases'!$F$4:$F$1000,"Failed"))</f>
        <v/>
      </c>
      <c r="R728" s="68" t="str">
        <f t="shared" si="11"/>
        <v/>
      </c>
      <c r="S728" s="68" t="str" cm="1">
        <f t="array" ref="S728">IF(TRIM($A728)="","",IFERROR(_xlfn.TEXTJOIN(", ",TRUE,_xlfn.UNIQUE(_xlfn.VSTACK(_xlfn._xlws.FILTER('Card Test Cases'!$G$4:$G$1000,('Card Test Cases'!$B$4:$B$1000=$A728)*('Card Test Cases'!$G$4:$G$1000&lt;&gt;""),""),_xlfn._xlws.FILTER('E2E core flow'!$U$15:$U$1000,('E2E core flow'!$A$15:$A$1000&lt;&gt;"")*ISNUMBER(SEARCH('E2E core flow'!$A$15:$A$1000,$E728))*('E2E core flow'!$U$15:$U$1000&lt;&gt;""),"")))),"-"))</f>
        <v/>
      </c>
    </row>
    <row r="729" spans="7:19" x14ac:dyDescent="0.3">
      <c r="G729" s="68" t="str" cm="1">
        <f t="array" ref="G729">_xlfn.LET(_xlpm.ids,'E2E core flow'!$A$15:$A$1000,_xlpm.v,'E2E core flow'!$W$15:$W$1000,_xlpm.m,(_xlpm.ids&lt;&gt;"")*ISNUMBER(SEARCH(_xlpm.ids,$E729)),_xlpm.f,SUM(_xlpm.m*(_xlpm.v="Failed")),_xlpm.b,SUM(_xlpm.m*(_xlpm.v="Blocked")),_xlpm.nr,SUM(_xlpm.m*(_xlpm.v="Not Run")),_xlpm.cp,SUM(_xlpm.m*(_xlpm.v="Conditionally Passed")),_xlpm.p,SUM(_xlpm.m*(_xlpm.v="Passed")),IF(TRIM($A729)="","",IF(TRIM($E729)="","Pending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29" s="68" t="str">
        <f>IF(TRIM($A729)="","",IF($J729="Passed","",IF($J729="Passed with Known Issue","Known Issue",IF($J729="",IF(OR($H729&lt;&gt;"No",AND($F729&lt;&gt;"Medium",$F729&lt;&gt;"Low")),"Pending Result",""),IF(OR($H729&lt;&gt;"No",AND($F729&lt;&gt;"Medium",$F729&lt;&gt;"Low")),IF(COUNTIFS(Dashboard!$B$105:$B$124,$A729,Dashboard!$I$105:$I$124,"CAB")&gt;0,"Accepted (CF)","Blocking"),IF($J729="Failed","Deferrable","Carry Over"))))))</f>
        <v/>
      </c>
      <c r="M729" s="68" t="str">
        <f>IF(OR(TRIM($A729)="",TRIM($E729)=""),"",IFERROR(INDEX('E2E core flow'!$B$15:$B$1000,MATCH(1,INDEX(('E2E core flow'!$A$15:$A$1000&lt;&gt;"")*ISNUMBER(SEARCH('E2E core flow'!$A$15:$A$1000,$E729)),0),0))&amp;"","-"))</f>
        <v/>
      </c>
      <c r="N729" s="68" t="str">
        <f>IF(TRIM($A729)="","",IF($O729=0,IF(COUNTIFS('Card Test Cases'!$B$4:$B$1000,$A729,'Card Test Cases'!$A$4:$A$1000,"&lt;&gt;")&gt;0,"Out of Scope","No TC"),IF($Q729&gt;0,"Failed",IF(COUNTIFS('Card Test Cases'!$B$4:$B$1000,$A729,'Card Test Cases'!$A$4:$A$1000,"&lt;&gt;",'Card Test Cases'!$F$4:$F$1000,"Blocked")&gt;0,"Blocked",IF($R729&gt;0,"In Progress","Passed")))))</f>
        <v/>
      </c>
      <c r="O729" s="68" t="str">
        <f>IF(TRIM($A729)="","",COUNTIFS('Card Test Cases'!$B$4:$B$1000,$A729,'Card Test Cases'!$A$4:$A$1000,"&lt;&gt;",'Card Test Cases'!$F$4:$F$1000,"&lt;&gt;Out of Scope"))</f>
        <v/>
      </c>
      <c r="P729" s="68" t="str">
        <f>IF(TRIM($A729)="","",COUNTIFS('Card Test Cases'!$B$4:$B$1000,$A729,'Card Test Cases'!$A$4:$A$1000,"&lt;&gt;",'Card Test Cases'!$F$4:$F$1000,"Passed"))</f>
        <v/>
      </c>
      <c r="Q729" s="68" t="str">
        <f>IF(TRIM($A729)="","",COUNTIFS('Card Test Cases'!$B$4:$B$1000,$A729,'Card Test Cases'!$A$4:$A$1000,"&lt;&gt;",'Card Test Cases'!$F$4:$F$1000,"Failed"))</f>
        <v/>
      </c>
      <c r="R729" s="68" t="str">
        <f t="shared" si="11"/>
        <v/>
      </c>
      <c r="S729" s="68" t="str" cm="1">
        <f t="array" ref="S729">IF(TRIM($A729)="","",IFERROR(_xlfn.TEXTJOIN(", ",TRUE,_xlfn.UNIQUE(_xlfn.VSTACK(_xlfn._xlws.FILTER('Card Test Cases'!$G$4:$G$1000,('Card Test Cases'!$B$4:$B$1000=$A729)*('Card Test Cases'!$G$4:$G$1000&lt;&gt;""),""),_xlfn._xlws.FILTER('E2E core flow'!$U$15:$U$1000,('E2E core flow'!$A$15:$A$1000&lt;&gt;"")*ISNUMBER(SEARCH('E2E core flow'!$A$15:$A$1000,$E729))*('E2E core flow'!$U$15:$U$1000&lt;&gt;""),"")))),"-"))</f>
        <v/>
      </c>
    </row>
    <row r="730" spans="7:19" x14ac:dyDescent="0.3">
      <c r="G730" s="68" t="str" cm="1">
        <f t="array" ref="G730">_xlfn.LET(_xlpm.ids,'E2E core flow'!$A$15:$A$1000,_xlpm.v,'E2E core flow'!$W$15:$W$1000,_xlpm.m,(_xlpm.ids&lt;&gt;"")*ISNUMBER(SEARCH(_xlpm.ids,$E730)),_xlpm.f,SUM(_xlpm.m*(_xlpm.v="Failed")),_xlpm.b,SUM(_xlpm.m*(_xlpm.v="Blocked")),_xlpm.nr,SUM(_xlpm.m*(_xlpm.v="Not Run")),_xlpm.cp,SUM(_xlpm.m*(_xlpm.v="Conditionally Passed")),_xlpm.p,SUM(_xlpm.m*(_xlpm.v="Passed")),IF(TRIM($A730)="","",IF(TRIM($E730)="","Pending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30" s="68" t="str">
        <f>IF(TRIM($A730)="","",IF($J730="Passed","",IF($J730="Passed with Known Issue","Known Issue",IF($J730="",IF(OR($H730&lt;&gt;"No",AND($F730&lt;&gt;"Medium",$F730&lt;&gt;"Low")),"Pending Result",""),IF(OR($H730&lt;&gt;"No",AND($F730&lt;&gt;"Medium",$F730&lt;&gt;"Low")),IF(COUNTIFS(Dashboard!$B$105:$B$124,$A730,Dashboard!$I$105:$I$124,"CAB")&gt;0,"Accepted (CF)","Blocking"),IF($J730="Failed","Deferrable","Carry Over"))))))</f>
        <v/>
      </c>
      <c r="M730" s="68" t="str">
        <f>IF(OR(TRIM($A730)="",TRIM($E730)=""),"",IFERROR(INDEX('E2E core flow'!$B$15:$B$1000,MATCH(1,INDEX(('E2E core flow'!$A$15:$A$1000&lt;&gt;"")*ISNUMBER(SEARCH('E2E core flow'!$A$15:$A$1000,$E730)),0),0))&amp;"","-"))</f>
        <v/>
      </c>
      <c r="N730" s="68" t="str">
        <f>IF(TRIM($A730)="","",IF($O730=0,IF(COUNTIFS('Card Test Cases'!$B$4:$B$1000,$A730,'Card Test Cases'!$A$4:$A$1000,"&lt;&gt;")&gt;0,"Out of Scope","No TC"),IF($Q730&gt;0,"Failed",IF(COUNTIFS('Card Test Cases'!$B$4:$B$1000,$A730,'Card Test Cases'!$A$4:$A$1000,"&lt;&gt;",'Card Test Cases'!$F$4:$F$1000,"Blocked")&gt;0,"Blocked",IF($R730&gt;0,"In Progress","Passed")))))</f>
        <v/>
      </c>
      <c r="O730" s="68" t="str">
        <f>IF(TRIM($A730)="","",COUNTIFS('Card Test Cases'!$B$4:$B$1000,$A730,'Card Test Cases'!$A$4:$A$1000,"&lt;&gt;",'Card Test Cases'!$F$4:$F$1000,"&lt;&gt;Out of Scope"))</f>
        <v/>
      </c>
      <c r="P730" s="68" t="str">
        <f>IF(TRIM($A730)="","",COUNTIFS('Card Test Cases'!$B$4:$B$1000,$A730,'Card Test Cases'!$A$4:$A$1000,"&lt;&gt;",'Card Test Cases'!$F$4:$F$1000,"Passed"))</f>
        <v/>
      </c>
      <c r="Q730" s="68" t="str">
        <f>IF(TRIM($A730)="","",COUNTIFS('Card Test Cases'!$B$4:$B$1000,$A730,'Card Test Cases'!$A$4:$A$1000,"&lt;&gt;",'Card Test Cases'!$F$4:$F$1000,"Failed"))</f>
        <v/>
      </c>
      <c r="R730" s="68" t="str">
        <f t="shared" si="11"/>
        <v/>
      </c>
      <c r="S730" s="68" t="str" cm="1">
        <f t="array" ref="S730">IF(TRIM($A730)="","",IFERROR(_xlfn.TEXTJOIN(", ",TRUE,_xlfn.UNIQUE(_xlfn.VSTACK(_xlfn._xlws.FILTER('Card Test Cases'!$G$4:$G$1000,('Card Test Cases'!$B$4:$B$1000=$A730)*('Card Test Cases'!$G$4:$G$1000&lt;&gt;""),""),_xlfn._xlws.FILTER('E2E core flow'!$U$15:$U$1000,('E2E core flow'!$A$15:$A$1000&lt;&gt;"")*ISNUMBER(SEARCH('E2E core flow'!$A$15:$A$1000,$E730))*('E2E core flow'!$U$15:$U$1000&lt;&gt;""),"")))),"-"))</f>
        <v/>
      </c>
    </row>
    <row r="731" spans="7:19" x14ac:dyDescent="0.3">
      <c r="G731" s="68" t="str" cm="1">
        <f t="array" ref="G731">_xlfn.LET(_xlpm.ids,'E2E core flow'!$A$15:$A$1000,_xlpm.v,'E2E core flow'!$W$15:$W$1000,_xlpm.m,(_xlpm.ids&lt;&gt;"")*ISNUMBER(SEARCH(_xlpm.ids,$E731)),_xlpm.f,SUM(_xlpm.m*(_xlpm.v="Failed")),_xlpm.b,SUM(_xlpm.m*(_xlpm.v="Blocked")),_xlpm.nr,SUM(_xlpm.m*(_xlpm.v="Not Run")),_xlpm.cp,SUM(_xlpm.m*(_xlpm.v="Conditionally Passed")),_xlpm.p,SUM(_xlpm.m*(_xlpm.v="Passed")),IF(TRIM($A731)="","",IF(TRIM($E731)="","Pending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31" s="68" t="str">
        <f>IF(TRIM($A731)="","",IF($J731="Passed","",IF($J731="Passed with Known Issue","Known Issue",IF($J731="",IF(OR($H731&lt;&gt;"No",AND($F731&lt;&gt;"Medium",$F731&lt;&gt;"Low")),"Pending Result",""),IF(OR($H731&lt;&gt;"No",AND($F731&lt;&gt;"Medium",$F731&lt;&gt;"Low")),IF(COUNTIFS(Dashboard!$B$105:$B$124,$A731,Dashboard!$I$105:$I$124,"CAB")&gt;0,"Accepted (CF)","Blocking"),IF($J731="Failed","Deferrable","Carry Over"))))))</f>
        <v/>
      </c>
      <c r="M731" s="68" t="str">
        <f>IF(OR(TRIM($A731)="",TRIM($E731)=""),"",IFERROR(INDEX('E2E core flow'!$B$15:$B$1000,MATCH(1,INDEX(('E2E core flow'!$A$15:$A$1000&lt;&gt;"")*ISNUMBER(SEARCH('E2E core flow'!$A$15:$A$1000,$E731)),0),0))&amp;"","-"))</f>
        <v/>
      </c>
      <c r="N731" s="68" t="str">
        <f>IF(TRIM($A731)="","",IF($O731=0,IF(COUNTIFS('Card Test Cases'!$B$4:$B$1000,$A731,'Card Test Cases'!$A$4:$A$1000,"&lt;&gt;")&gt;0,"Out of Scope","No TC"),IF($Q731&gt;0,"Failed",IF(COUNTIFS('Card Test Cases'!$B$4:$B$1000,$A731,'Card Test Cases'!$A$4:$A$1000,"&lt;&gt;",'Card Test Cases'!$F$4:$F$1000,"Blocked")&gt;0,"Blocked",IF($R731&gt;0,"In Progress","Passed")))))</f>
        <v/>
      </c>
      <c r="O731" s="68" t="str">
        <f>IF(TRIM($A731)="","",COUNTIFS('Card Test Cases'!$B$4:$B$1000,$A731,'Card Test Cases'!$A$4:$A$1000,"&lt;&gt;",'Card Test Cases'!$F$4:$F$1000,"&lt;&gt;Out of Scope"))</f>
        <v/>
      </c>
      <c r="P731" s="68" t="str">
        <f>IF(TRIM($A731)="","",COUNTIFS('Card Test Cases'!$B$4:$B$1000,$A731,'Card Test Cases'!$A$4:$A$1000,"&lt;&gt;",'Card Test Cases'!$F$4:$F$1000,"Passed"))</f>
        <v/>
      </c>
      <c r="Q731" s="68" t="str">
        <f>IF(TRIM($A731)="","",COUNTIFS('Card Test Cases'!$B$4:$B$1000,$A731,'Card Test Cases'!$A$4:$A$1000,"&lt;&gt;",'Card Test Cases'!$F$4:$F$1000,"Failed"))</f>
        <v/>
      </c>
      <c r="R731" s="68" t="str">
        <f t="shared" si="11"/>
        <v/>
      </c>
      <c r="S731" s="68" t="str" cm="1">
        <f t="array" ref="S731">IF(TRIM($A731)="","",IFERROR(_xlfn.TEXTJOIN(", ",TRUE,_xlfn.UNIQUE(_xlfn.VSTACK(_xlfn._xlws.FILTER('Card Test Cases'!$G$4:$G$1000,('Card Test Cases'!$B$4:$B$1000=$A731)*('Card Test Cases'!$G$4:$G$1000&lt;&gt;""),""),_xlfn._xlws.FILTER('E2E core flow'!$U$15:$U$1000,('E2E core flow'!$A$15:$A$1000&lt;&gt;"")*ISNUMBER(SEARCH('E2E core flow'!$A$15:$A$1000,$E731))*('E2E core flow'!$U$15:$U$1000&lt;&gt;""),"")))),"-"))</f>
        <v/>
      </c>
    </row>
    <row r="732" spans="7:19" x14ac:dyDescent="0.3">
      <c r="G732" s="68" t="str" cm="1">
        <f t="array" ref="G732">_xlfn.LET(_xlpm.ids,'E2E core flow'!$A$15:$A$1000,_xlpm.v,'E2E core flow'!$W$15:$W$1000,_xlpm.m,(_xlpm.ids&lt;&gt;"")*ISNUMBER(SEARCH(_xlpm.ids,$E732)),_xlpm.f,SUM(_xlpm.m*(_xlpm.v="Failed")),_xlpm.b,SUM(_xlpm.m*(_xlpm.v="Blocked")),_xlpm.nr,SUM(_xlpm.m*(_xlpm.v="Not Run")),_xlpm.cp,SUM(_xlpm.m*(_xlpm.v="Conditionally Passed")),_xlpm.p,SUM(_xlpm.m*(_xlpm.v="Passed")),IF(TRIM($A732)="","",IF(TRIM($E732)="","Pending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32" s="68" t="str">
        <f>IF(TRIM($A732)="","",IF($J732="Passed","",IF($J732="Passed with Known Issue","Known Issue",IF($J732="",IF(OR($H732&lt;&gt;"No",AND($F732&lt;&gt;"Medium",$F732&lt;&gt;"Low")),"Pending Result",""),IF(OR($H732&lt;&gt;"No",AND($F732&lt;&gt;"Medium",$F732&lt;&gt;"Low")),IF(COUNTIFS(Dashboard!$B$105:$B$124,$A732,Dashboard!$I$105:$I$124,"CAB")&gt;0,"Accepted (CF)","Blocking"),IF($J732="Failed","Deferrable","Carry Over"))))))</f>
        <v/>
      </c>
      <c r="M732" s="68" t="str">
        <f>IF(OR(TRIM($A732)="",TRIM($E732)=""),"",IFERROR(INDEX('E2E core flow'!$B$15:$B$1000,MATCH(1,INDEX(('E2E core flow'!$A$15:$A$1000&lt;&gt;"")*ISNUMBER(SEARCH('E2E core flow'!$A$15:$A$1000,$E732)),0),0))&amp;"","-"))</f>
        <v/>
      </c>
      <c r="N732" s="68" t="str">
        <f>IF(TRIM($A732)="","",IF($O732=0,IF(COUNTIFS('Card Test Cases'!$B$4:$B$1000,$A732,'Card Test Cases'!$A$4:$A$1000,"&lt;&gt;")&gt;0,"Out of Scope","No TC"),IF($Q732&gt;0,"Failed",IF(COUNTIFS('Card Test Cases'!$B$4:$B$1000,$A732,'Card Test Cases'!$A$4:$A$1000,"&lt;&gt;",'Card Test Cases'!$F$4:$F$1000,"Blocked")&gt;0,"Blocked",IF($R732&gt;0,"In Progress","Passed")))))</f>
        <v/>
      </c>
      <c r="O732" s="68" t="str">
        <f>IF(TRIM($A732)="","",COUNTIFS('Card Test Cases'!$B$4:$B$1000,$A732,'Card Test Cases'!$A$4:$A$1000,"&lt;&gt;",'Card Test Cases'!$F$4:$F$1000,"&lt;&gt;Out of Scope"))</f>
        <v/>
      </c>
      <c r="P732" s="68" t="str">
        <f>IF(TRIM($A732)="","",COUNTIFS('Card Test Cases'!$B$4:$B$1000,$A732,'Card Test Cases'!$A$4:$A$1000,"&lt;&gt;",'Card Test Cases'!$F$4:$F$1000,"Passed"))</f>
        <v/>
      </c>
      <c r="Q732" s="68" t="str">
        <f>IF(TRIM($A732)="","",COUNTIFS('Card Test Cases'!$B$4:$B$1000,$A732,'Card Test Cases'!$A$4:$A$1000,"&lt;&gt;",'Card Test Cases'!$F$4:$F$1000,"Failed"))</f>
        <v/>
      </c>
      <c r="R732" s="68" t="str">
        <f t="shared" si="11"/>
        <v/>
      </c>
      <c r="S732" s="68" t="str" cm="1">
        <f t="array" ref="S732">IF(TRIM($A732)="","",IFERROR(_xlfn.TEXTJOIN(", ",TRUE,_xlfn.UNIQUE(_xlfn.VSTACK(_xlfn._xlws.FILTER('Card Test Cases'!$G$4:$G$1000,('Card Test Cases'!$B$4:$B$1000=$A732)*('Card Test Cases'!$G$4:$G$1000&lt;&gt;""),""),_xlfn._xlws.FILTER('E2E core flow'!$U$15:$U$1000,('E2E core flow'!$A$15:$A$1000&lt;&gt;"")*ISNUMBER(SEARCH('E2E core flow'!$A$15:$A$1000,$E732))*('E2E core flow'!$U$15:$U$1000&lt;&gt;""),"")))),"-"))</f>
        <v/>
      </c>
    </row>
    <row r="733" spans="7:19" x14ac:dyDescent="0.3">
      <c r="G733" s="68" t="str" cm="1">
        <f t="array" ref="G733">_xlfn.LET(_xlpm.ids,'E2E core flow'!$A$15:$A$1000,_xlpm.v,'E2E core flow'!$W$15:$W$1000,_xlpm.m,(_xlpm.ids&lt;&gt;"")*ISNUMBER(SEARCH(_xlpm.ids,$E733)),_xlpm.f,SUM(_xlpm.m*(_xlpm.v="Failed")),_xlpm.b,SUM(_xlpm.m*(_xlpm.v="Blocked")),_xlpm.nr,SUM(_xlpm.m*(_xlpm.v="Not Run")),_xlpm.cp,SUM(_xlpm.m*(_xlpm.v="Conditionally Passed")),_xlpm.p,SUM(_xlpm.m*(_xlpm.v="Passed")),IF(TRIM($A733)="","",IF(TRIM($E733)="","Pending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33" s="68" t="str">
        <f>IF(TRIM($A733)="","",IF($J733="Passed","",IF($J733="Passed with Known Issue","Known Issue",IF($J733="",IF(OR($H733&lt;&gt;"No",AND($F733&lt;&gt;"Medium",$F733&lt;&gt;"Low")),"Pending Result",""),IF(OR($H733&lt;&gt;"No",AND($F733&lt;&gt;"Medium",$F733&lt;&gt;"Low")),IF(COUNTIFS(Dashboard!$B$105:$B$124,$A733,Dashboard!$I$105:$I$124,"CAB")&gt;0,"Accepted (CF)","Blocking"),IF($J733="Failed","Deferrable","Carry Over"))))))</f>
        <v/>
      </c>
      <c r="M733" s="68" t="str">
        <f>IF(OR(TRIM($A733)="",TRIM($E733)=""),"",IFERROR(INDEX('E2E core flow'!$B$15:$B$1000,MATCH(1,INDEX(('E2E core flow'!$A$15:$A$1000&lt;&gt;"")*ISNUMBER(SEARCH('E2E core flow'!$A$15:$A$1000,$E733)),0),0))&amp;"","-"))</f>
        <v/>
      </c>
      <c r="N733" s="68" t="str">
        <f>IF(TRIM($A733)="","",IF($O733=0,IF(COUNTIFS('Card Test Cases'!$B$4:$B$1000,$A733,'Card Test Cases'!$A$4:$A$1000,"&lt;&gt;")&gt;0,"Out of Scope","No TC"),IF($Q733&gt;0,"Failed",IF(COUNTIFS('Card Test Cases'!$B$4:$B$1000,$A733,'Card Test Cases'!$A$4:$A$1000,"&lt;&gt;",'Card Test Cases'!$F$4:$F$1000,"Blocked")&gt;0,"Blocked",IF($R733&gt;0,"In Progress","Passed")))))</f>
        <v/>
      </c>
      <c r="O733" s="68" t="str">
        <f>IF(TRIM($A733)="","",COUNTIFS('Card Test Cases'!$B$4:$B$1000,$A733,'Card Test Cases'!$A$4:$A$1000,"&lt;&gt;",'Card Test Cases'!$F$4:$F$1000,"&lt;&gt;Out of Scope"))</f>
        <v/>
      </c>
      <c r="P733" s="68" t="str">
        <f>IF(TRIM($A733)="","",COUNTIFS('Card Test Cases'!$B$4:$B$1000,$A733,'Card Test Cases'!$A$4:$A$1000,"&lt;&gt;",'Card Test Cases'!$F$4:$F$1000,"Passed"))</f>
        <v/>
      </c>
      <c r="Q733" s="68" t="str">
        <f>IF(TRIM($A733)="","",COUNTIFS('Card Test Cases'!$B$4:$B$1000,$A733,'Card Test Cases'!$A$4:$A$1000,"&lt;&gt;",'Card Test Cases'!$F$4:$F$1000,"Failed"))</f>
        <v/>
      </c>
      <c r="R733" s="68" t="str">
        <f t="shared" si="11"/>
        <v/>
      </c>
      <c r="S733" s="68" t="str" cm="1">
        <f t="array" ref="S733">IF(TRIM($A733)="","",IFERROR(_xlfn.TEXTJOIN(", ",TRUE,_xlfn.UNIQUE(_xlfn.VSTACK(_xlfn._xlws.FILTER('Card Test Cases'!$G$4:$G$1000,('Card Test Cases'!$B$4:$B$1000=$A733)*('Card Test Cases'!$G$4:$G$1000&lt;&gt;""),""),_xlfn._xlws.FILTER('E2E core flow'!$U$15:$U$1000,('E2E core flow'!$A$15:$A$1000&lt;&gt;"")*ISNUMBER(SEARCH('E2E core flow'!$A$15:$A$1000,$E733))*('E2E core flow'!$U$15:$U$1000&lt;&gt;""),"")))),"-"))</f>
        <v/>
      </c>
    </row>
    <row r="734" spans="7:19" x14ac:dyDescent="0.3">
      <c r="G734" s="68" t="str" cm="1">
        <f t="array" ref="G734">_xlfn.LET(_xlpm.ids,'E2E core flow'!$A$15:$A$1000,_xlpm.v,'E2E core flow'!$W$15:$W$1000,_xlpm.m,(_xlpm.ids&lt;&gt;"")*ISNUMBER(SEARCH(_xlpm.ids,$E734)),_xlpm.f,SUM(_xlpm.m*(_xlpm.v="Failed")),_xlpm.b,SUM(_xlpm.m*(_xlpm.v="Blocked")),_xlpm.nr,SUM(_xlpm.m*(_xlpm.v="Not Run")),_xlpm.cp,SUM(_xlpm.m*(_xlpm.v="Conditionally Passed")),_xlpm.p,SUM(_xlpm.m*(_xlpm.v="Passed")),IF(TRIM($A734)="","",IF(TRIM($E734)="","Pending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34" s="68" t="str">
        <f>IF(TRIM($A734)="","",IF($J734="Passed","",IF($J734="Passed with Known Issue","Known Issue",IF($J734="",IF(OR($H734&lt;&gt;"No",AND($F734&lt;&gt;"Medium",$F734&lt;&gt;"Low")),"Pending Result",""),IF(OR($H734&lt;&gt;"No",AND($F734&lt;&gt;"Medium",$F734&lt;&gt;"Low")),IF(COUNTIFS(Dashboard!$B$105:$B$124,$A734,Dashboard!$I$105:$I$124,"CAB")&gt;0,"Accepted (CF)","Blocking"),IF($J734="Failed","Deferrable","Carry Over"))))))</f>
        <v/>
      </c>
      <c r="M734" s="68" t="str">
        <f>IF(OR(TRIM($A734)="",TRIM($E734)=""),"",IFERROR(INDEX('E2E core flow'!$B$15:$B$1000,MATCH(1,INDEX(('E2E core flow'!$A$15:$A$1000&lt;&gt;"")*ISNUMBER(SEARCH('E2E core flow'!$A$15:$A$1000,$E734)),0),0))&amp;"","-"))</f>
        <v/>
      </c>
      <c r="N734" s="68" t="str">
        <f>IF(TRIM($A734)="","",IF($O734=0,IF(COUNTIFS('Card Test Cases'!$B$4:$B$1000,$A734,'Card Test Cases'!$A$4:$A$1000,"&lt;&gt;")&gt;0,"Out of Scope","No TC"),IF($Q734&gt;0,"Failed",IF(COUNTIFS('Card Test Cases'!$B$4:$B$1000,$A734,'Card Test Cases'!$A$4:$A$1000,"&lt;&gt;",'Card Test Cases'!$F$4:$F$1000,"Blocked")&gt;0,"Blocked",IF($R734&gt;0,"In Progress","Passed")))))</f>
        <v/>
      </c>
      <c r="O734" s="68" t="str">
        <f>IF(TRIM($A734)="","",COUNTIFS('Card Test Cases'!$B$4:$B$1000,$A734,'Card Test Cases'!$A$4:$A$1000,"&lt;&gt;",'Card Test Cases'!$F$4:$F$1000,"&lt;&gt;Out of Scope"))</f>
        <v/>
      </c>
      <c r="P734" s="68" t="str">
        <f>IF(TRIM($A734)="","",COUNTIFS('Card Test Cases'!$B$4:$B$1000,$A734,'Card Test Cases'!$A$4:$A$1000,"&lt;&gt;",'Card Test Cases'!$F$4:$F$1000,"Passed"))</f>
        <v/>
      </c>
      <c r="Q734" s="68" t="str">
        <f>IF(TRIM($A734)="","",COUNTIFS('Card Test Cases'!$B$4:$B$1000,$A734,'Card Test Cases'!$A$4:$A$1000,"&lt;&gt;",'Card Test Cases'!$F$4:$F$1000,"Failed"))</f>
        <v/>
      </c>
      <c r="R734" s="68" t="str">
        <f t="shared" si="11"/>
        <v/>
      </c>
      <c r="S734" s="68" t="str" cm="1">
        <f t="array" ref="S734">IF(TRIM($A734)="","",IFERROR(_xlfn.TEXTJOIN(", ",TRUE,_xlfn.UNIQUE(_xlfn.VSTACK(_xlfn._xlws.FILTER('Card Test Cases'!$G$4:$G$1000,('Card Test Cases'!$B$4:$B$1000=$A734)*('Card Test Cases'!$G$4:$G$1000&lt;&gt;""),""),_xlfn._xlws.FILTER('E2E core flow'!$U$15:$U$1000,('E2E core flow'!$A$15:$A$1000&lt;&gt;"")*ISNUMBER(SEARCH('E2E core flow'!$A$15:$A$1000,$E734))*('E2E core flow'!$U$15:$U$1000&lt;&gt;""),"")))),"-"))</f>
        <v/>
      </c>
    </row>
    <row r="735" spans="7:19" x14ac:dyDescent="0.3">
      <c r="G735" s="68" t="str" cm="1">
        <f t="array" ref="G735">_xlfn.LET(_xlpm.ids,'E2E core flow'!$A$15:$A$1000,_xlpm.v,'E2E core flow'!$W$15:$W$1000,_xlpm.m,(_xlpm.ids&lt;&gt;"")*ISNUMBER(SEARCH(_xlpm.ids,$E735)),_xlpm.f,SUM(_xlpm.m*(_xlpm.v="Failed")),_xlpm.b,SUM(_xlpm.m*(_xlpm.v="Blocked")),_xlpm.nr,SUM(_xlpm.m*(_xlpm.v="Not Run")),_xlpm.cp,SUM(_xlpm.m*(_xlpm.v="Conditionally Passed")),_xlpm.p,SUM(_xlpm.m*(_xlpm.v="Passed")),IF(TRIM($A735)="","",IF(TRIM($E735)="","Pending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35" s="68" t="str">
        <f>IF(TRIM($A735)="","",IF($J735="Passed","",IF($J735="Passed with Known Issue","Known Issue",IF($J735="",IF(OR($H735&lt;&gt;"No",AND($F735&lt;&gt;"Medium",$F735&lt;&gt;"Low")),"Pending Result",""),IF(OR($H735&lt;&gt;"No",AND($F735&lt;&gt;"Medium",$F735&lt;&gt;"Low")),IF(COUNTIFS(Dashboard!$B$105:$B$124,$A735,Dashboard!$I$105:$I$124,"CAB")&gt;0,"Accepted (CF)","Blocking"),IF($J735="Failed","Deferrable","Carry Over"))))))</f>
        <v/>
      </c>
      <c r="M735" s="68" t="str">
        <f>IF(OR(TRIM($A735)="",TRIM($E735)=""),"",IFERROR(INDEX('E2E core flow'!$B$15:$B$1000,MATCH(1,INDEX(('E2E core flow'!$A$15:$A$1000&lt;&gt;"")*ISNUMBER(SEARCH('E2E core flow'!$A$15:$A$1000,$E735)),0),0))&amp;"","-"))</f>
        <v/>
      </c>
      <c r="N735" s="68" t="str">
        <f>IF(TRIM($A735)="","",IF($O735=0,IF(COUNTIFS('Card Test Cases'!$B$4:$B$1000,$A735,'Card Test Cases'!$A$4:$A$1000,"&lt;&gt;")&gt;0,"Out of Scope","No TC"),IF($Q735&gt;0,"Failed",IF(COUNTIFS('Card Test Cases'!$B$4:$B$1000,$A735,'Card Test Cases'!$A$4:$A$1000,"&lt;&gt;",'Card Test Cases'!$F$4:$F$1000,"Blocked")&gt;0,"Blocked",IF($R735&gt;0,"In Progress","Passed")))))</f>
        <v/>
      </c>
      <c r="O735" s="68" t="str">
        <f>IF(TRIM($A735)="","",COUNTIFS('Card Test Cases'!$B$4:$B$1000,$A735,'Card Test Cases'!$A$4:$A$1000,"&lt;&gt;",'Card Test Cases'!$F$4:$F$1000,"&lt;&gt;Out of Scope"))</f>
        <v/>
      </c>
      <c r="P735" s="68" t="str">
        <f>IF(TRIM($A735)="","",COUNTIFS('Card Test Cases'!$B$4:$B$1000,$A735,'Card Test Cases'!$A$4:$A$1000,"&lt;&gt;",'Card Test Cases'!$F$4:$F$1000,"Passed"))</f>
        <v/>
      </c>
      <c r="Q735" s="68" t="str">
        <f>IF(TRIM($A735)="","",COUNTIFS('Card Test Cases'!$B$4:$B$1000,$A735,'Card Test Cases'!$A$4:$A$1000,"&lt;&gt;",'Card Test Cases'!$F$4:$F$1000,"Failed"))</f>
        <v/>
      </c>
      <c r="R735" s="68" t="str">
        <f t="shared" si="11"/>
        <v/>
      </c>
      <c r="S735" s="68" t="str" cm="1">
        <f t="array" ref="S735">IF(TRIM($A735)="","",IFERROR(_xlfn.TEXTJOIN(", ",TRUE,_xlfn.UNIQUE(_xlfn.VSTACK(_xlfn._xlws.FILTER('Card Test Cases'!$G$4:$G$1000,('Card Test Cases'!$B$4:$B$1000=$A735)*('Card Test Cases'!$G$4:$G$1000&lt;&gt;""),""),_xlfn._xlws.FILTER('E2E core flow'!$U$15:$U$1000,('E2E core flow'!$A$15:$A$1000&lt;&gt;"")*ISNUMBER(SEARCH('E2E core flow'!$A$15:$A$1000,$E735))*('E2E core flow'!$U$15:$U$1000&lt;&gt;""),"")))),"-"))</f>
        <v/>
      </c>
    </row>
    <row r="736" spans="7:19" x14ac:dyDescent="0.3">
      <c r="G736" s="68" t="str" cm="1">
        <f t="array" ref="G736">_xlfn.LET(_xlpm.ids,'E2E core flow'!$A$15:$A$1000,_xlpm.v,'E2E core flow'!$W$15:$W$1000,_xlpm.m,(_xlpm.ids&lt;&gt;"")*ISNUMBER(SEARCH(_xlpm.ids,$E736)),_xlpm.f,SUM(_xlpm.m*(_xlpm.v="Failed")),_xlpm.b,SUM(_xlpm.m*(_xlpm.v="Blocked")),_xlpm.nr,SUM(_xlpm.m*(_xlpm.v="Not Run")),_xlpm.cp,SUM(_xlpm.m*(_xlpm.v="Conditionally Passed")),_xlpm.p,SUM(_xlpm.m*(_xlpm.v="Passed")),IF(TRIM($A736)="","",IF(TRIM($E736)="","Pending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36" s="68" t="str">
        <f>IF(TRIM($A736)="","",IF($J736="Passed","",IF($J736="Passed with Known Issue","Known Issue",IF($J736="",IF(OR($H736&lt;&gt;"No",AND($F736&lt;&gt;"Medium",$F736&lt;&gt;"Low")),"Pending Result",""),IF(OR($H736&lt;&gt;"No",AND($F736&lt;&gt;"Medium",$F736&lt;&gt;"Low")),IF(COUNTIFS(Dashboard!$B$105:$B$124,$A736,Dashboard!$I$105:$I$124,"CAB")&gt;0,"Accepted (CF)","Blocking"),IF($J736="Failed","Deferrable","Carry Over"))))))</f>
        <v/>
      </c>
      <c r="M736" s="68" t="str">
        <f>IF(OR(TRIM($A736)="",TRIM($E736)=""),"",IFERROR(INDEX('E2E core flow'!$B$15:$B$1000,MATCH(1,INDEX(('E2E core flow'!$A$15:$A$1000&lt;&gt;"")*ISNUMBER(SEARCH('E2E core flow'!$A$15:$A$1000,$E736)),0),0))&amp;"","-"))</f>
        <v/>
      </c>
      <c r="N736" s="68" t="str">
        <f>IF(TRIM($A736)="","",IF($O736=0,IF(COUNTIFS('Card Test Cases'!$B$4:$B$1000,$A736,'Card Test Cases'!$A$4:$A$1000,"&lt;&gt;")&gt;0,"Out of Scope","No TC"),IF($Q736&gt;0,"Failed",IF(COUNTIFS('Card Test Cases'!$B$4:$B$1000,$A736,'Card Test Cases'!$A$4:$A$1000,"&lt;&gt;",'Card Test Cases'!$F$4:$F$1000,"Blocked")&gt;0,"Blocked",IF($R736&gt;0,"In Progress","Passed")))))</f>
        <v/>
      </c>
      <c r="O736" s="68" t="str">
        <f>IF(TRIM($A736)="","",COUNTIFS('Card Test Cases'!$B$4:$B$1000,$A736,'Card Test Cases'!$A$4:$A$1000,"&lt;&gt;",'Card Test Cases'!$F$4:$F$1000,"&lt;&gt;Out of Scope"))</f>
        <v/>
      </c>
      <c r="P736" s="68" t="str">
        <f>IF(TRIM($A736)="","",COUNTIFS('Card Test Cases'!$B$4:$B$1000,$A736,'Card Test Cases'!$A$4:$A$1000,"&lt;&gt;",'Card Test Cases'!$F$4:$F$1000,"Passed"))</f>
        <v/>
      </c>
      <c r="Q736" s="68" t="str">
        <f>IF(TRIM($A736)="","",COUNTIFS('Card Test Cases'!$B$4:$B$1000,$A736,'Card Test Cases'!$A$4:$A$1000,"&lt;&gt;",'Card Test Cases'!$F$4:$F$1000,"Failed"))</f>
        <v/>
      </c>
      <c r="R736" s="68" t="str">
        <f t="shared" si="11"/>
        <v/>
      </c>
      <c r="S736" s="68" t="str" cm="1">
        <f t="array" ref="S736">IF(TRIM($A736)="","",IFERROR(_xlfn.TEXTJOIN(", ",TRUE,_xlfn.UNIQUE(_xlfn.VSTACK(_xlfn._xlws.FILTER('Card Test Cases'!$G$4:$G$1000,('Card Test Cases'!$B$4:$B$1000=$A736)*('Card Test Cases'!$G$4:$G$1000&lt;&gt;""),""),_xlfn._xlws.FILTER('E2E core flow'!$U$15:$U$1000,('E2E core flow'!$A$15:$A$1000&lt;&gt;"")*ISNUMBER(SEARCH('E2E core flow'!$A$15:$A$1000,$E736))*('E2E core flow'!$U$15:$U$1000&lt;&gt;""),"")))),"-"))</f>
        <v/>
      </c>
    </row>
    <row r="737" spans="7:19" x14ac:dyDescent="0.3">
      <c r="G737" s="68" t="str" cm="1">
        <f t="array" ref="G737">_xlfn.LET(_xlpm.ids,'E2E core flow'!$A$15:$A$1000,_xlpm.v,'E2E core flow'!$W$15:$W$1000,_xlpm.m,(_xlpm.ids&lt;&gt;"")*ISNUMBER(SEARCH(_xlpm.ids,$E737)),_xlpm.f,SUM(_xlpm.m*(_xlpm.v="Failed")),_xlpm.b,SUM(_xlpm.m*(_xlpm.v="Blocked")),_xlpm.nr,SUM(_xlpm.m*(_xlpm.v="Not Run")),_xlpm.cp,SUM(_xlpm.m*(_xlpm.v="Conditionally Passed")),_xlpm.p,SUM(_xlpm.m*(_xlpm.v="Passed")),IF(TRIM($A737)="","",IF(TRIM($E737)="","Pending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37" s="68" t="str">
        <f>IF(TRIM($A737)="","",IF($J737="Passed","",IF($J737="Passed with Known Issue","Known Issue",IF($J737="",IF(OR($H737&lt;&gt;"No",AND($F737&lt;&gt;"Medium",$F737&lt;&gt;"Low")),"Pending Result",""),IF(OR($H737&lt;&gt;"No",AND($F737&lt;&gt;"Medium",$F737&lt;&gt;"Low")),IF(COUNTIFS(Dashboard!$B$105:$B$124,$A737,Dashboard!$I$105:$I$124,"CAB")&gt;0,"Accepted (CF)","Blocking"),IF($J737="Failed","Deferrable","Carry Over"))))))</f>
        <v/>
      </c>
      <c r="M737" s="68" t="str">
        <f>IF(OR(TRIM($A737)="",TRIM($E737)=""),"",IFERROR(INDEX('E2E core flow'!$B$15:$B$1000,MATCH(1,INDEX(('E2E core flow'!$A$15:$A$1000&lt;&gt;"")*ISNUMBER(SEARCH('E2E core flow'!$A$15:$A$1000,$E737)),0),0))&amp;"","-"))</f>
        <v/>
      </c>
      <c r="N737" s="68" t="str">
        <f>IF(TRIM($A737)="","",IF($O737=0,IF(COUNTIFS('Card Test Cases'!$B$4:$B$1000,$A737,'Card Test Cases'!$A$4:$A$1000,"&lt;&gt;")&gt;0,"Out of Scope","No TC"),IF($Q737&gt;0,"Failed",IF(COUNTIFS('Card Test Cases'!$B$4:$B$1000,$A737,'Card Test Cases'!$A$4:$A$1000,"&lt;&gt;",'Card Test Cases'!$F$4:$F$1000,"Blocked")&gt;0,"Blocked",IF($R737&gt;0,"In Progress","Passed")))))</f>
        <v/>
      </c>
      <c r="O737" s="68" t="str">
        <f>IF(TRIM($A737)="","",COUNTIFS('Card Test Cases'!$B$4:$B$1000,$A737,'Card Test Cases'!$A$4:$A$1000,"&lt;&gt;",'Card Test Cases'!$F$4:$F$1000,"&lt;&gt;Out of Scope"))</f>
        <v/>
      </c>
      <c r="P737" s="68" t="str">
        <f>IF(TRIM($A737)="","",COUNTIFS('Card Test Cases'!$B$4:$B$1000,$A737,'Card Test Cases'!$A$4:$A$1000,"&lt;&gt;",'Card Test Cases'!$F$4:$F$1000,"Passed"))</f>
        <v/>
      </c>
      <c r="Q737" s="68" t="str">
        <f>IF(TRIM($A737)="","",COUNTIFS('Card Test Cases'!$B$4:$B$1000,$A737,'Card Test Cases'!$A$4:$A$1000,"&lt;&gt;",'Card Test Cases'!$F$4:$F$1000,"Failed"))</f>
        <v/>
      </c>
      <c r="R737" s="68" t="str">
        <f t="shared" si="11"/>
        <v/>
      </c>
      <c r="S737" s="68" t="str" cm="1">
        <f t="array" ref="S737">IF(TRIM($A737)="","",IFERROR(_xlfn.TEXTJOIN(", ",TRUE,_xlfn.UNIQUE(_xlfn.VSTACK(_xlfn._xlws.FILTER('Card Test Cases'!$G$4:$G$1000,('Card Test Cases'!$B$4:$B$1000=$A737)*('Card Test Cases'!$G$4:$G$1000&lt;&gt;""),""),_xlfn._xlws.FILTER('E2E core flow'!$U$15:$U$1000,('E2E core flow'!$A$15:$A$1000&lt;&gt;"")*ISNUMBER(SEARCH('E2E core flow'!$A$15:$A$1000,$E737))*('E2E core flow'!$U$15:$U$1000&lt;&gt;""),"")))),"-"))</f>
        <v/>
      </c>
    </row>
    <row r="738" spans="7:19" x14ac:dyDescent="0.3">
      <c r="G738" s="68" t="str" cm="1">
        <f t="array" ref="G738">_xlfn.LET(_xlpm.ids,'E2E core flow'!$A$15:$A$1000,_xlpm.v,'E2E core flow'!$W$15:$W$1000,_xlpm.m,(_xlpm.ids&lt;&gt;"")*ISNUMBER(SEARCH(_xlpm.ids,$E738)),_xlpm.f,SUM(_xlpm.m*(_xlpm.v="Failed")),_xlpm.b,SUM(_xlpm.m*(_xlpm.v="Blocked")),_xlpm.nr,SUM(_xlpm.m*(_xlpm.v="Not Run")),_xlpm.cp,SUM(_xlpm.m*(_xlpm.v="Conditionally Passed")),_xlpm.p,SUM(_xlpm.m*(_xlpm.v="Passed")),IF(TRIM($A738)="","",IF(TRIM($E738)="","Pending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38" s="68" t="str">
        <f>IF(TRIM($A738)="","",IF($J738="Passed","",IF($J738="Passed with Known Issue","Known Issue",IF($J738="",IF(OR($H738&lt;&gt;"No",AND($F738&lt;&gt;"Medium",$F738&lt;&gt;"Low")),"Pending Result",""),IF(OR($H738&lt;&gt;"No",AND($F738&lt;&gt;"Medium",$F738&lt;&gt;"Low")),IF(COUNTIFS(Dashboard!$B$105:$B$124,$A738,Dashboard!$I$105:$I$124,"CAB")&gt;0,"Accepted (CF)","Blocking"),IF($J738="Failed","Deferrable","Carry Over"))))))</f>
        <v/>
      </c>
      <c r="M738" s="68" t="str">
        <f>IF(OR(TRIM($A738)="",TRIM($E738)=""),"",IFERROR(INDEX('E2E core flow'!$B$15:$B$1000,MATCH(1,INDEX(('E2E core flow'!$A$15:$A$1000&lt;&gt;"")*ISNUMBER(SEARCH('E2E core flow'!$A$15:$A$1000,$E738)),0),0))&amp;"","-"))</f>
        <v/>
      </c>
      <c r="N738" s="68" t="str">
        <f>IF(TRIM($A738)="","",IF($O738=0,IF(COUNTIFS('Card Test Cases'!$B$4:$B$1000,$A738,'Card Test Cases'!$A$4:$A$1000,"&lt;&gt;")&gt;0,"Out of Scope","No TC"),IF($Q738&gt;0,"Failed",IF(COUNTIFS('Card Test Cases'!$B$4:$B$1000,$A738,'Card Test Cases'!$A$4:$A$1000,"&lt;&gt;",'Card Test Cases'!$F$4:$F$1000,"Blocked")&gt;0,"Blocked",IF($R738&gt;0,"In Progress","Passed")))))</f>
        <v/>
      </c>
      <c r="O738" s="68" t="str">
        <f>IF(TRIM($A738)="","",COUNTIFS('Card Test Cases'!$B$4:$B$1000,$A738,'Card Test Cases'!$A$4:$A$1000,"&lt;&gt;",'Card Test Cases'!$F$4:$F$1000,"&lt;&gt;Out of Scope"))</f>
        <v/>
      </c>
      <c r="P738" s="68" t="str">
        <f>IF(TRIM($A738)="","",COUNTIFS('Card Test Cases'!$B$4:$B$1000,$A738,'Card Test Cases'!$A$4:$A$1000,"&lt;&gt;",'Card Test Cases'!$F$4:$F$1000,"Passed"))</f>
        <v/>
      </c>
      <c r="Q738" s="68" t="str">
        <f>IF(TRIM($A738)="","",COUNTIFS('Card Test Cases'!$B$4:$B$1000,$A738,'Card Test Cases'!$A$4:$A$1000,"&lt;&gt;",'Card Test Cases'!$F$4:$F$1000,"Failed"))</f>
        <v/>
      </c>
      <c r="R738" s="68" t="str">
        <f t="shared" si="11"/>
        <v/>
      </c>
      <c r="S738" s="68" t="str" cm="1">
        <f t="array" ref="S738">IF(TRIM($A738)="","",IFERROR(_xlfn.TEXTJOIN(", ",TRUE,_xlfn.UNIQUE(_xlfn.VSTACK(_xlfn._xlws.FILTER('Card Test Cases'!$G$4:$G$1000,('Card Test Cases'!$B$4:$B$1000=$A738)*('Card Test Cases'!$G$4:$G$1000&lt;&gt;""),""),_xlfn._xlws.FILTER('E2E core flow'!$U$15:$U$1000,('E2E core flow'!$A$15:$A$1000&lt;&gt;"")*ISNUMBER(SEARCH('E2E core flow'!$A$15:$A$1000,$E738))*('E2E core flow'!$U$15:$U$1000&lt;&gt;""),"")))),"-"))</f>
        <v/>
      </c>
    </row>
    <row r="739" spans="7:19" x14ac:dyDescent="0.3">
      <c r="G739" s="68" t="str" cm="1">
        <f t="array" ref="G739">_xlfn.LET(_xlpm.ids,'E2E core flow'!$A$15:$A$1000,_xlpm.v,'E2E core flow'!$W$15:$W$1000,_xlpm.m,(_xlpm.ids&lt;&gt;"")*ISNUMBER(SEARCH(_xlpm.ids,$E739)),_xlpm.f,SUM(_xlpm.m*(_xlpm.v="Failed")),_xlpm.b,SUM(_xlpm.m*(_xlpm.v="Blocked")),_xlpm.nr,SUM(_xlpm.m*(_xlpm.v="Not Run")),_xlpm.cp,SUM(_xlpm.m*(_xlpm.v="Conditionally Passed")),_xlpm.p,SUM(_xlpm.m*(_xlpm.v="Passed")),IF(TRIM($A739)="","",IF(TRIM($E739)="","Pending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39" s="68" t="str">
        <f>IF(TRIM($A739)="","",IF($J739="Passed","",IF($J739="Passed with Known Issue","Known Issue",IF($J739="",IF(OR($H739&lt;&gt;"No",AND($F739&lt;&gt;"Medium",$F739&lt;&gt;"Low")),"Pending Result",""),IF(OR($H739&lt;&gt;"No",AND($F739&lt;&gt;"Medium",$F739&lt;&gt;"Low")),IF(COUNTIFS(Dashboard!$B$105:$B$124,$A739,Dashboard!$I$105:$I$124,"CAB")&gt;0,"Accepted (CF)","Blocking"),IF($J739="Failed","Deferrable","Carry Over"))))))</f>
        <v/>
      </c>
      <c r="M739" s="68" t="str">
        <f>IF(OR(TRIM($A739)="",TRIM($E739)=""),"",IFERROR(INDEX('E2E core flow'!$B$15:$B$1000,MATCH(1,INDEX(('E2E core flow'!$A$15:$A$1000&lt;&gt;"")*ISNUMBER(SEARCH('E2E core flow'!$A$15:$A$1000,$E739)),0),0))&amp;"","-"))</f>
        <v/>
      </c>
      <c r="N739" s="68" t="str">
        <f>IF(TRIM($A739)="","",IF($O739=0,IF(COUNTIFS('Card Test Cases'!$B$4:$B$1000,$A739,'Card Test Cases'!$A$4:$A$1000,"&lt;&gt;")&gt;0,"Out of Scope","No TC"),IF($Q739&gt;0,"Failed",IF(COUNTIFS('Card Test Cases'!$B$4:$B$1000,$A739,'Card Test Cases'!$A$4:$A$1000,"&lt;&gt;",'Card Test Cases'!$F$4:$F$1000,"Blocked")&gt;0,"Blocked",IF($R739&gt;0,"In Progress","Passed")))))</f>
        <v/>
      </c>
      <c r="O739" s="68" t="str">
        <f>IF(TRIM($A739)="","",COUNTIFS('Card Test Cases'!$B$4:$B$1000,$A739,'Card Test Cases'!$A$4:$A$1000,"&lt;&gt;",'Card Test Cases'!$F$4:$F$1000,"&lt;&gt;Out of Scope"))</f>
        <v/>
      </c>
      <c r="P739" s="68" t="str">
        <f>IF(TRIM($A739)="","",COUNTIFS('Card Test Cases'!$B$4:$B$1000,$A739,'Card Test Cases'!$A$4:$A$1000,"&lt;&gt;",'Card Test Cases'!$F$4:$F$1000,"Passed"))</f>
        <v/>
      </c>
      <c r="Q739" s="68" t="str">
        <f>IF(TRIM($A739)="","",COUNTIFS('Card Test Cases'!$B$4:$B$1000,$A739,'Card Test Cases'!$A$4:$A$1000,"&lt;&gt;",'Card Test Cases'!$F$4:$F$1000,"Failed"))</f>
        <v/>
      </c>
      <c r="R739" s="68" t="str">
        <f t="shared" si="11"/>
        <v/>
      </c>
      <c r="S739" s="68" t="str" cm="1">
        <f t="array" ref="S739">IF(TRIM($A739)="","",IFERROR(_xlfn.TEXTJOIN(", ",TRUE,_xlfn.UNIQUE(_xlfn.VSTACK(_xlfn._xlws.FILTER('Card Test Cases'!$G$4:$G$1000,('Card Test Cases'!$B$4:$B$1000=$A739)*('Card Test Cases'!$G$4:$G$1000&lt;&gt;""),""),_xlfn._xlws.FILTER('E2E core flow'!$U$15:$U$1000,('E2E core flow'!$A$15:$A$1000&lt;&gt;"")*ISNUMBER(SEARCH('E2E core flow'!$A$15:$A$1000,$E739))*('E2E core flow'!$U$15:$U$1000&lt;&gt;""),"")))),"-"))</f>
        <v/>
      </c>
    </row>
    <row r="740" spans="7:19" x14ac:dyDescent="0.3">
      <c r="G740" s="68" t="str" cm="1">
        <f t="array" ref="G740">_xlfn.LET(_xlpm.ids,'E2E core flow'!$A$15:$A$1000,_xlpm.v,'E2E core flow'!$W$15:$W$1000,_xlpm.m,(_xlpm.ids&lt;&gt;"")*ISNUMBER(SEARCH(_xlpm.ids,$E740)),_xlpm.f,SUM(_xlpm.m*(_xlpm.v="Failed")),_xlpm.b,SUM(_xlpm.m*(_xlpm.v="Blocked")),_xlpm.nr,SUM(_xlpm.m*(_xlpm.v="Not Run")),_xlpm.cp,SUM(_xlpm.m*(_xlpm.v="Conditionally Passed")),_xlpm.p,SUM(_xlpm.m*(_xlpm.v="Passed")),IF(TRIM($A740)="","",IF(TRIM($E740)="","Pending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40" s="68" t="str">
        <f>IF(TRIM($A740)="","",IF($J740="Passed","",IF($J740="Passed with Known Issue","Known Issue",IF($J740="",IF(OR($H740&lt;&gt;"No",AND($F740&lt;&gt;"Medium",$F740&lt;&gt;"Low")),"Pending Result",""),IF(OR($H740&lt;&gt;"No",AND($F740&lt;&gt;"Medium",$F740&lt;&gt;"Low")),IF(COUNTIFS(Dashboard!$B$105:$B$124,$A740,Dashboard!$I$105:$I$124,"CAB")&gt;0,"Accepted (CF)","Blocking"),IF($J740="Failed","Deferrable","Carry Over"))))))</f>
        <v/>
      </c>
      <c r="M740" s="68" t="str">
        <f>IF(OR(TRIM($A740)="",TRIM($E740)=""),"",IFERROR(INDEX('E2E core flow'!$B$15:$B$1000,MATCH(1,INDEX(('E2E core flow'!$A$15:$A$1000&lt;&gt;"")*ISNUMBER(SEARCH('E2E core flow'!$A$15:$A$1000,$E740)),0),0))&amp;"","-"))</f>
        <v/>
      </c>
      <c r="N740" s="68" t="str">
        <f>IF(TRIM($A740)="","",IF($O740=0,IF(COUNTIFS('Card Test Cases'!$B$4:$B$1000,$A740,'Card Test Cases'!$A$4:$A$1000,"&lt;&gt;")&gt;0,"Out of Scope","No TC"),IF($Q740&gt;0,"Failed",IF(COUNTIFS('Card Test Cases'!$B$4:$B$1000,$A740,'Card Test Cases'!$A$4:$A$1000,"&lt;&gt;",'Card Test Cases'!$F$4:$F$1000,"Blocked")&gt;0,"Blocked",IF($R740&gt;0,"In Progress","Passed")))))</f>
        <v/>
      </c>
      <c r="O740" s="68" t="str">
        <f>IF(TRIM($A740)="","",COUNTIFS('Card Test Cases'!$B$4:$B$1000,$A740,'Card Test Cases'!$A$4:$A$1000,"&lt;&gt;",'Card Test Cases'!$F$4:$F$1000,"&lt;&gt;Out of Scope"))</f>
        <v/>
      </c>
      <c r="P740" s="68" t="str">
        <f>IF(TRIM($A740)="","",COUNTIFS('Card Test Cases'!$B$4:$B$1000,$A740,'Card Test Cases'!$A$4:$A$1000,"&lt;&gt;",'Card Test Cases'!$F$4:$F$1000,"Passed"))</f>
        <v/>
      </c>
      <c r="Q740" s="68" t="str">
        <f>IF(TRIM($A740)="","",COUNTIFS('Card Test Cases'!$B$4:$B$1000,$A740,'Card Test Cases'!$A$4:$A$1000,"&lt;&gt;",'Card Test Cases'!$F$4:$F$1000,"Failed"))</f>
        <v/>
      </c>
      <c r="R740" s="68" t="str">
        <f t="shared" si="11"/>
        <v/>
      </c>
      <c r="S740" s="68" t="str" cm="1">
        <f t="array" ref="S740">IF(TRIM($A740)="","",IFERROR(_xlfn.TEXTJOIN(", ",TRUE,_xlfn.UNIQUE(_xlfn.VSTACK(_xlfn._xlws.FILTER('Card Test Cases'!$G$4:$G$1000,('Card Test Cases'!$B$4:$B$1000=$A740)*('Card Test Cases'!$G$4:$G$1000&lt;&gt;""),""),_xlfn._xlws.FILTER('E2E core flow'!$U$15:$U$1000,('E2E core flow'!$A$15:$A$1000&lt;&gt;"")*ISNUMBER(SEARCH('E2E core flow'!$A$15:$A$1000,$E740))*('E2E core flow'!$U$15:$U$1000&lt;&gt;""),"")))),"-"))</f>
        <v/>
      </c>
    </row>
    <row r="741" spans="7:19" x14ac:dyDescent="0.3">
      <c r="G741" s="68" t="str" cm="1">
        <f t="array" ref="G741">_xlfn.LET(_xlpm.ids,'E2E core flow'!$A$15:$A$1000,_xlpm.v,'E2E core flow'!$W$15:$W$1000,_xlpm.m,(_xlpm.ids&lt;&gt;"")*ISNUMBER(SEARCH(_xlpm.ids,$E741)),_xlpm.f,SUM(_xlpm.m*(_xlpm.v="Failed")),_xlpm.b,SUM(_xlpm.m*(_xlpm.v="Blocked")),_xlpm.nr,SUM(_xlpm.m*(_xlpm.v="Not Run")),_xlpm.cp,SUM(_xlpm.m*(_xlpm.v="Conditionally Passed")),_xlpm.p,SUM(_xlpm.m*(_xlpm.v="Passed")),IF(TRIM($A741)="","",IF(TRIM($E741)="","Pending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41" s="68" t="str">
        <f>IF(TRIM($A741)="","",IF($J741="Passed","",IF($J741="Passed with Known Issue","Known Issue",IF($J741="",IF(OR($H741&lt;&gt;"No",AND($F741&lt;&gt;"Medium",$F741&lt;&gt;"Low")),"Pending Result",""),IF(OR($H741&lt;&gt;"No",AND($F741&lt;&gt;"Medium",$F741&lt;&gt;"Low")),IF(COUNTIFS(Dashboard!$B$105:$B$124,$A741,Dashboard!$I$105:$I$124,"CAB")&gt;0,"Accepted (CF)","Blocking"),IF($J741="Failed","Deferrable","Carry Over"))))))</f>
        <v/>
      </c>
      <c r="M741" s="68" t="str">
        <f>IF(OR(TRIM($A741)="",TRIM($E741)=""),"",IFERROR(INDEX('E2E core flow'!$B$15:$B$1000,MATCH(1,INDEX(('E2E core flow'!$A$15:$A$1000&lt;&gt;"")*ISNUMBER(SEARCH('E2E core flow'!$A$15:$A$1000,$E741)),0),0))&amp;"","-"))</f>
        <v/>
      </c>
      <c r="N741" s="68" t="str">
        <f>IF(TRIM($A741)="","",IF($O741=0,IF(COUNTIFS('Card Test Cases'!$B$4:$B$1000,$A741,'Card Test Cases'!$A$4:$A$1000,"&lt;&gt;")&gt;0,"Out of Scope","No TC"),IF($Q741&gt;0,"Failed",IF(COUNTIFS('Card Test Cases'!$B$4:$B$1000,$A741,'Card Test Cases'!$A$4:$A$1000,"&lt;&gt;",'Card Test Cases'!$F$4:$F$1000,"Blocked")&gt;0,"Blocked",IF($R741&gt;0,"In Progress","Passed")))))</f>
        <v/>
      </c>
      <c r="O741" s="68" t="str">
        <f>IF(TRIM($A741)="","",COUNTIFS('Card Test Cases'!$B$4:$B$1000,$A741,'Card Test Cases'!$A$4:$A$1000,"&lt;&gt;",'Card Test Cases'!$F$4:$F$1000,"&lt;&gt;Out of Scope"))</f>
        <v/>
      </c>
      <c r="P741" s="68" t="str">
        <f>IF(TRIM($A741)="","",COUNTIFS('Card Test Cases'!$B$4:$B$1000,$A741,'Card Test Cases'!$A$4:$A$1000,"&lt;&gt;",'Card Test Cases'!$F$4:$F$1000,"Passed"))</f>
        <v/>
      </c>
      <c r="Q741" s="68" t="str">
        <f>IF(TRIM($A741)="","",COUNTIFS('Card Test Cases'!$B$4:$B$1000,$A741,'Card Test Cases'!$A$4:$A$1000,"&lt;&gt;",'Card Test Cases'!$F$4:$F$1000,"Failed"))</f>
        <v/>
      </c>
      <c r="R741" s="68" t="str">
        <f t="shared" si="11"/>
        <v/>
      </c>
      <c r="S741" s="68" t="str" cm="1">
        <f t="array" ref="S741">IF(TRIM($A741)="","",IFERROR(_xlfn.TEXTJOIN(", ",TRUE,_xlfn.UNIQUE(_xlfn.VSTACK(_xlfn._xlws.FILTER('Card Test Cases'!$G$4:$G$1000,('Card Test Cases'!$B$4:$B$1000=$A741)*('Card Test Cases'!$G$4:$G$1000&lt;&gt;""),""),_xlfn._xlws.FILTER('E2E core flow'!$U$15:$U$1000,('E2E core flow'!$A$15:$A$1000&lt;&gt;"")*ISNUMBER(SEARCH('E2E core flow'!$A$15:$A$1000,$E741))*('E2E core flow'!$U$15:$U$1000&lt;&gt;""),"")))),"-"))</f>
        <v/>
      </c>
    </row>
    <row r="742" spans="7:19" x14ac:dyDescent="0.3">
      <c r="G742" s="68" t="str" cm="1">
        <f t="array" ref="G742">_xlfn.LET(_xlpm.ids,'E2E core flow'!$A$15:$A$1000,_xlpm.v,'E2E core flow'!$W$15:$W$1000,_xlpm.m,(_xlpm.ids&lt;&gt;"")*ISNUMBER(SEARCH(_xlpm.ids,$E742)),_xlpm.f,SUM(_xlpm.m*(_xlpm.v="Failed")),_xlpm.b,SUM(_xlpm.m*(_xlpm.v="Blocked")),_xlpm.nr,SUM(_xlpm.m*(_xlpm.v="Not Run")),_xlpm.cp,SUM(_xlpm.m*(_xlpm.v="Conditionally Passed")),_xlpm.p,SUM(_xlpm.m*(_xlpm.v="Passed")),IF(TRIM($A742)="","",IF(TRIM($E742)="","Pending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42" s="68" t="str">
        <f>IF(TRIM($A742)="","",IF($J742="Passed","",IF($J742="Passed with Known Issue","Known Issue",IF($J742="",IF(OR($H742&lt;&gt;"No",AND($F742&lt;&gt;"Medium",$F742&lt;&gt;"Low")),"Pending Result",""),IF(OR($H742&lt;&gt;"No",AND($F742&lt;&gt;"Medium",$F742&lt;&gt;"Low")),IF(COUNTIFS(Dashboard!$B$105:$B$124,$A742,Dashboard!$I$105:$I$124,"CAB")&gt;0,"Accepted (CF)","Blocking"),IF($J742="Failed","Deferrable","Carry Over"))))))</f>
        <v/>
      </c>
      <c r="M742" s="68" t="str">
        <f>IF(OR(TRIM($A742)="",TRIM($E742)=""),"",IFERROR(INDEX('E2E core flow'!$B$15:$B$1000,MATCH(1,INDEX(('E2E core flow'!$A$15:$A$1000&lt;&gt;"")*ISNUMBER(SEARCH('E2E core flow'!$A$15:$A$1000,$E742)),0),0))&amp;"","-"))</f>
        <v/>
      </c>
      <c r="N742" s="68" t="str">
        <f>IF(TRIM($A742)="","",IF($O742=0,IF(COUNTIFS('Card Test Cases'!$B$4:$B$1000,$A742,'Card Test Cases'!$A$4:$A$1000,"&lt;&gt;")&gt;0,"Out of Scope","No TC"),IF($Q742&gt;0,"Failed",IF(COUNTIFS('Card Test Cases'!$B$4:$B$1000,$A742,'Card Test Cases'!$A$4:$A$1000,"&lt;&gt;",'Card Test Cases'!$F$4:$F$1000,"Blocked")&gt;0,"Blocked",IF($R742&gt;0,"In Progress","Passed")))))</f>
        <v/>
      </c>
      <c r="O742" s="68" t="str">
        <f>IF(TRIM($A742)="","",COUNTIFS('Card Test Cases'!$B$4:$B$1000,$A742,'Card Test Cases'!$A$4:$A$1000,"&lt;&gt;",'Card Test Cases'!$F$4:$F$1000,"&lt;&gt;Out of Scope"))</f>
        <v/>
      </c>
      <c r="P742" s="68" t="str">
        <f>IF(TRIM($A742)="","",COUNTIFS('Card Test Cases'!$B$4:$B$1000,$A742,'Card Test Cases'!$A$4:$A$1000,"&lt;&gt;",'Card Test Cases'!$F$4:$F$1000,"Passed"))</f>
        <v/>
      </c>
      <c r="Q742" s="68" t="str">
        <f>IF(TRIM($A742)="","",COUNTIFS('Card Test Cases'!$B$4:$B$1000,$A742,'Card Test Cases'!$A$4:$A$1000,"&lt;&gt;",'Card Test Cases'!$F$4:$F$1000,"Failed"))</f>
        <v/>
      </c>
      <c r="R742" s="68" t="str">
        <f t="shared" si="11"/>
        <v/>
      </c>
      <c r="S742" s="68" t="str" cm="1">
        <f t="array" ref="S742">IF(TRIM($A742)="","",IFERROR(_xlfn.TEXTJOIN(", ",TRUE,_xlfn.UNIQUE(_xlfn.VSTACK(_xlfn._xlws.FILTER('Card Test Cases'!$G$4:$G$1000,('Card Test Cases'!$B$4:$B$1000=$A742)*('Card Test Cases'!$G$4:$G$1000&lt;&gt;""),""),_xlfn._xlws.FILTER('E2E core flow'!$U$15:$U$1000,('E2E core flow'!$A$15:$A$1000&lt;&gt;"")*ISNUMBER(SEARCH('E2E core flow'!$A$15:$A$1000,$E742))*('E2E core flow'!$U$15:$U$1000&lt;&gt;""),"")))),"-"))</f>
        <v/>
      </c>
    </row>
    <row r="743" spans="7:19" x14ac:dyDescent="0.3">
      <c r="G743" s="68" t="str" cm="1">
        <f t="array" ref="G743">_xlfn.LET(_xlpm.ids,'E2E core flow'!$A$15:$A$1000,_xlpm.v,'E2E core flow'!$W$15:$W$1000,_xlpm.m,(_xlpm.ids&lt;&gt;"")*ISNUMBER(SEARCH(_xlpm.ids,$E743)),_xlpm.f,SUM(_xlpm.m*(_xlpm.v="Failed")),_xlpm.b,SUM(_xlpm.m*(_xlpm.v="Blocked")),_xlpm.nr,SUM(_xlpm.m*(_xlpm.v="Not Run")),_xlpm.cp,SUM(_xlpm.m*(_xlpm.v="Conditionally Passed")),_xlpm.p,SUM(_xlpm.m*(_xlpm.v="Passed")),IF(TRIM($A743)="","",IF(TRIM($E743)="","Pending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43" s="68" t="str">
        <f>IF(TRIM($A743)="","",IF($J743="Passed","",IF($J743="Passed with Known Issue","Known Issue",IF($J743="",IF(OR($H743&lt;&gt;"No",AND($F743&lt;&gt;"Medium",$F743&lt;&gt;"Low")),"Pending Result",""),IF(OR($H743&lt;&gt;"No",AND($F743&lt;&gt;"Medium",$F743&lt;&gt;"Low")),IF(COUNTIFS(Dashboard!$B$105:$B$124,$A743,Dashboard!$I$105:$I$124,"CAB")&gt;0,"Accepted (CF)","Blocking"),IF($J743="Failed","Deferrable","Carry Over"))))))</f>
        <v/>
      </c>
      <c r="M743" s="68" t="str">
        <f>IF(OR(TRIM($A743)="",TRIM($E743)=""),"",IFERROR(INDEX('E2E core flow'!$B$15:$B$1000,MATCH(1,INDEX(('E2E core flow'!$A$15:$A$1000&lt;&gt;"")*ISNUMBER(SEARCH('E2E core flow'!$A$15:$A$1000,$E743)),0),0))&amp;"","-"))</f>
        <v/>
      </c>
      <c r="N743" s="68" t="str">
        <f>IF(TRIM($A743)="","",IF($O743=0,IF(COUNTIFS('Card Test Cases'!$B$4:$B$1000,$A743,'Card Test Cases'!$A$4:$A$1000,"&lt;&gt;")&gt;0,"Out of Scope","No TC"),IF($Q743&gt;0,"Failed",IF(COUNTIFS('Card Test Cases'!$B$4:$B$1000,$A743,'Card Test Cases'!$A$4:$A$1000,"&lt;&gt;",'Card Test Cases'!$F$4:$F$1000,"Blocked")&gt;0,"Blocked",IF($R743&gt;0,"In Progress","Passed")))))</f>
        <v/>
      </c>
      <c r="O743" s="68" t="str">
        <f>IF(TRIM($A743)="","",COUNTIFS('Card Test Cases'!$B$4:$B$1000,$A743,'Card Test Cases'!$A$4:$A$1000,"&lt;&gt;",'Card Test Cases'!$F$4:$F$1000,"&lt;&gt;Out of Scope"))</f>
        <v/>
      </c>
      <c r="P743" s="68" t="str">
        <f>IF(TRIM($A743)="","",COUNTIFS('Card Test Cases'!$B$4:$B$1000,$A743,'Card Test Cases'!$A$4:$A$1000,"&lt;&gt;",'Card Test Cases'!$F$4:$F$1000,"Passed"))</f>
        <v/>
      </c>
      <c r="Q743" s="68" t="str">
        <f>IF(TRIM($A743)="","",COUNTIFS('Card Test Cases'!$B$4:$B$1000,$A743,'Card Test Cases'!$A$4:$A$1000,"&lt;&gt;",'Card Test Cases'!$F$4:$F$1000,"Failed"))</f>
        <v/>
      </c>
      <c r="R743" s="68" t="str">
        <f t="shared" si="11"/>
        <v/>
      </c>
      <c r="S743" s="68" t="str" cm="1">
        <f t="array" ref="S743">IF(TRIM($A743)="","",IFERROR(_xlfn.TEXTJOIN(", ",TRUE,_xlfn.UNIQUE(_xlfn.VSTACK(_xlfn._xlws.FILTER('Card Test Cases'!$G$4:$G$1000,('Card Test Cases'!$B$4:$B$1000=$A743)*('Card Test Cases'!$G$4:$G$1000&lt;&gt;""),""),_xlfn._xlws.FILTER('E2E core flow'!$U$15:$U$1000,('E2E core flow'!$A$15:$A$1000&lt;&gt;"")*ISNUMBER(SEARCH('E2E core flow'!$A$15:$A$1000,$E743))*('E2E core flow'!$U$15:$U$1000&lt;&gt;""),"")))),"-"))</f>
        <v/>
      </c>
    </row>
    <row r="744" spans="7:19" x14ac:dyDescent="0.3">
      <c r="G744" s="68" t="str" cm="1">
        <f t="array" ref="G744">_xlfn.LET(_xlpm.ids,'E2E core flow'!$A$15:$A$1000,_xlpm.v,'E2E core flow'!$W$15:$W$1000,_xlpm.m,(_xlpm.ids&lt;&gt;"")*ISNUMBER(SEARCH(_xlpm.ids,$E744)),_xlpm.f,SUM(_xlpm.m*(_xlpm.v="Failed")),_xlpm.b,SUM(_xlpm.m*(_xlpm.v="Blocked")),_xlpm.nr,SUM(_xlpm.m*(_xlpm.v="Not Run")),_xlpm.cp,SUM(_xlpm.m*(_xlpm.v="Conditionally Passed")),_xlpm.p,SUM(_xlpm.m*(_xlpm.v="Passed")),IF(TRIM($A744)="","",IF(TRIM($E744)="","Pending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44" s="68" t="str">
        <f>IF(TRIM($A744)="","",IF($J744="Passed","",IF($J744="Passed with Known Issue","Known Issue",IF($J744="",IF(OR($H744&lt;&gt;"No",AND($F744&lt;&gt;"Medium",$F744&lt;&gt;"Low")),"Pending Result",""),IF(OR($H744&lt;&gt;"No",AND($F744&lt;&gt;"Medium",$F744&lt;&gt;"Low")),IF(COUNTIFS(Dashboard!$B$105:$B$124,$A744,Dashboard!$I$105:$I$124,"CAB")&gt;0,"Accepted (CF)","Blocking"),IF($J744="Failed","Deferrable","Carry Over"))))))</f>
        <v/>
      </c>
      <c r="M744" s="68" t="str">
        <f>IF(OR(TRIM($A744)="",TRIM($E744)=""),"",IFERROR(INDEX('E2E core flow'!$B$15:$B$1000,MATCH(1,INDEX(('E2E core flow'!$A$15:$A$1000&lt;&gt;"")*ISNUMBER(SEARCH('E2E core flow'!$A$15:$A$1000,$E744)),0),0))&amp;"","-"))</f>
        <v/>
      </c>
      <c r="N744" s="68" t="str">
        <f>IF(TRIM($A744)="","",IF($O744=0,IF(COUNTIFS('Card Test Cases'!$B$4:$B$1000,$A744,'Card Test Cases'!$A$4:$A$1000,"&lt;&gt;")&gt;0,"Out of Scope","No TC"),IF($Q744&gt;0,"Failed",IF(COUNTIFS('Card Test Cases'!$B$4:$B$1000,$A744,'Card Test Cases'!$A$4:$A$1000,"&lt;&gt;",'Card Test Cases'!$F$4:$F$1000,"Blocked")&gt;0,"Blocked",IF($R744&gt;0,"In Progress","Passed")))))</f>
        <v/>
      </c>
      <c r="O744" s="68" t="str">
        <f>IF(TRIM($A744)="","",COUNTIFS('Card Test Cases'!$B$4:$B$1000,$A744,'Card Test Cases'!$A$4:$A$1000,"&lt;&gt;",'Card Test Cases'!$F$4:$F$1000,"&lt;&gt;Out of Scope"))</f>
        <v/>
      </c>
      <c r="P744" s="68" t="str">
        <f>IF(TRIM($A744)="","",COUNTIFS('Card Test Cases'!$B$4:$B$1000,$A744,'Card Test Cases'!$A$4:$A$1000,"&lt;&gt;",'Card Test Cases'!$F$4:$F$1000,"Passed"))</f>
        <v/>
      </c>
      <c r="Q744" s="68" t="str">
        <f>IF(TRIM($A744)="","",COUNTIFS('Card Test Cases'!$B$4:$B$1000,$A744,'Card Test Cases'!$A$4:$A$1000,"&lt;&gt;",'Card Test Cases'!$F$4:$F$1000,"Failed"))</f>
        <v/>
      </c>
      <c r="R744" s="68" t="str">
        <f t="shared" si="11"/>
        <v/>
      </c>
      <c r="S744" s="68" t="str" cm="1">
        <f t="array" ref="S744">IF(TRIM($A744)="","",IFERROR(_xlfn.TEXTJOIN(", ",TRUE,_xlfn.UNIQUE(_xlfn.VSTACK(_xlfn._xlws.FILTER('Card Test Cases'!$G$4:$G$1000,('Card Test Cases'!$B$4:$B$1000=$A744)*('Card Test Cases'!$G$4:$G$1000&lt;&gt;""),""),_xlfn._xlws.FILTER('E2E core flow'!$U$15:$U$1000,('E2E core flow'!$A$15:$A$1000&lt;&gt;"")*ISNUMBER(SEARCH('E2E core flow'!$A$15:$A$1000,$E744))*('E2E core flow'!$U$15:$U$1000&lt;&gt;""),"")))),"-"))</f>
        <v/>
      </c>
    </row>
    <row r="745" spans="7:19" x14ac:dyDescent="0.3">
      <c r="G745" s="68" t="str" cm="1">
        <f t="array" ref="G745">_xlfn.LET(_xlpm.ids,'E2E core flow'!$A$15:$A$1000,_xlpm.v,'E2E core flow'!$W$15:$W$1000,_xlpm.m,(_xlpm.ids&lt;&gt;"")*ISNUMBER(SEARCH(_xlpm.ids,$E745)),_xlpm.f,SUM(_xlpm.m*(_xlpm.v="Failed")),_xlpm.b,SUM(_xlpm.m*(_xlpm.v="Blocked")),_xlpm.nr,SUM(_xlpm.m*(_xlpm.v="Not Run")),_xlpm.cp,SUM(_xlpm.m*(_xlpm.v="Conditionally Passed")),_xlpm.p,SUM(_xlpm.m*(_xlpm.v="Passed")),IF(TRIM($A745)="","",IF(TRIM($E745)="","Pending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45" s="68" t="str">
        <f>IF(TRIM($A745)="","",IF($J745="Passed","",IF($J745="Passed with Known Issue","Known Issue",IF($J745="",IF(OR($H745&lt;&gt;"No",AND($F745&lt;&gt;"Medium",$F745&lt;&gt;"Low")),"Pending Result",""),IF(OR($H745&lt;&gt;"No",AND($F745&lt;&gt;"Medium",$F745&lt;&gt;"Low")),IF(COUNTIFS(Dashboard!$B$105:$B$124,$A745,Dashboard!$I$105:$I$124,"CAB")&gt;0,"Accepted (CF)","Blocking"),IF($J745="Failed","Deferrable","Carry Over"))))))</f>
        <v/>
      </c>
      <c r="M745" s="68" t="str">
        <f>IF(OR(TRIM($A745)="",TRIM($E745)=""),"",IFERROR(INDEX('E2E core flow'!$B$15:$B$1000,MATCH(1,INDEX(('E2E core flow'!$A$15:$A$1000&lt;&gt;"")*ISNUMBER(SEARCH('E2E core flow'!$A$15:$A$1000,$E745)),0),0))&amp;"","-"))</f>
        <v/>
      </c>
      <c r="N745" s="68" t="str">
        <f>IF(TRIM($A745)="","",IF($O745=0,IF(COUNTIFS('Card Test Cases'!$B$4:$B$1000,$A745,'Card Test Cases'!$A$4:$A$1000,"&lt;&gt;")&gt;0,"Out of Scope","No TC"),IF($Q745&gt;0,"Failed",IF(COUNTIFS('Card Test Cases'!$B$4:$B$1000,$A745,'Card Test Cases'!$A$4:$A$1000,"&lt;&gt;",'Card Test Cases'!$F$4:$F$1000,"Blocked")&gt;0,"Blocked",IF($R745&gt;0,"In Progress","Passed")))))</f>
        <v/>
      </c>
      <c r="O745" s="68" t="str">
        <f>IF(TRIM($A745)="","",COUNTIFS('Card Test Cases'!$B$4:$B$1000,$A745,'Card Test Cases'!$A$4:$A$1000,"&lt;&gt;",'Card Test Cases'!$F$4:$F$1000,"&lt;&gt;Out of Scope"))</f>
        <v/>
      </c>
      <c r="P745" s="68" t="str">
        <f>IF(TRIM($A745)="","",COUNTIFS('Card Test Cases'!$B$4:$B$1000,$A745,'Card Test Cases'!$A$4:$A$1000,"&lt;&gt;",'Card Test Cases'!$F$4:$F$1000,"Passed"))</f>
        <v/>
      </c>
      <c r="Q745" s="68" t="str">
        <f>IF(TRIM($A745)="","",COUNTIFS('Card Test Cases'!$B$4:$B$1000,$A745,'Card Test Cases'!$A$4:$A$1000,"&lt;&gt;",'Card Test Cases'!$F$4:$F$1000,"Failed"))</f>
        <v/>
      </c>
      <c r="R745" s="68" t="str">
        <f t="shared" si="11"/>
        <v/>
      </c>
      <c r="S745" s="68" t="str" cm="1">
        <f t="array" ref="S745">IF(TRIM($A745)="","",IFERROR(_xlfn.TEXTJOIN(", ",TRUE,_xlfn.UNIQUE(_xlfn.VSTACK(_xlfn._xlws.FILTER('Card Test Cases'!$G$4:$G$1000,('Card Test Cases'!$B$4:$B$1000=$A745)*('Card Test Cases'!$G$4:$G$1000&lt;&gt;""),""),_xlfn._xlws.FILTER('E2E core flow'!$U$15:$U$1000,('E2E core flow'!$A$15:$A$1000&lt;&gt;"")*ISNUMBER(SEARCH('E2E core flow'!$A$15:$A$1000,$E745))*('E2E core flow'!$U$15:$U$1000&lt;&gt;""),"")))),"-"))</f>
        <v/>
      </c>
    </row>
    <row r="746" spans="7:19" x14ac:dyDescent="0.3">
      <c r="G746" s="68" t="str" cm="1">
        <f t="array" ref="G746">_xlfn.LET(_xlpm.ids,'E2E core flow'!$A$15:$A$1000,_xlpm.v,'E2E core flow'!$W$15:$W$1000,_xlpm.m,(_xlpm.ids&lt;&gt;"")*ISNUMBER(SEARCH(_xlpm.ids,$E746)),_xlpm.f,SUM(_xlpm.m*(_xlpm.v="Failed")),_xlpm.b,SUM(_xlpm.m*(_xlpm.v="Blocked")),_xlpm.nr,SUM(_xlpm.m*(_xlpm.v="Not Run")),_xlpm.cp,SUM(_xlpm.m*(_xlpm.v="Conditionally Passed")),_xlpm.p,SUM(_xlpm.m*(_xlpm.v="Passed")),IF(TRIM($A746)="","",IF(TRIM($E746)="","Pending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46" s="68" t="str">
        <f>IF(TRIM($A746)="","",IF($J746="Passed","",IF($J746="Passed with Known Issue","Known Issue",IF($J746="",IF(OR($H746&lt;&gt;"No",AND($F746&lt;&gt;"Medium",$F746&lt;&gt;"Low")),"Pending Result",""),IF(OR($H746&lt;&gt;"No",AND($F746&lt;&gt;"Medium",$F746&lt;&gt;"Low")),IF(COUNTIFS(Dashboard!$B$105:$B$124,$A746,Dashboard!$I$105:$I$124,"CAB")&gt;0,"Accepted (CF)","Blocking"),IF($J746="Failed","Deferrable","Carry Over"))))))</f>
        <v/>
      </c>
      <c r="M746" s="68" t="str">
        <f>IF(OR(TRIM($A746)="",TRIM($E746)=""),"",IFERROR(INDEX('E2E core flow'!$B$15:$B$1000,MATCH(1,INDEX(('E2E core flow'!$A$15:$A$1000&lt;&gt;"")*ISNUMBER(SEARCH('E2E core flow'!$A$15:$A$1000,$E746)),0),0))&amp;"","-"))</f>
        <v/>
      </c>
      <c r="N746" s="68" t="str">
        <f>IF(TRIM($A746)="","",IF($O746=0,IF(COUNTIFS('Card Test Cases'!$B$4:$B$1000,$A746,'Card Test Cases'!$A$4:$A$1000,"&lt;&gt;")&gt;0,"Out of Scope","No TC"),IF($Q746&gt;0,"Failed",IF(COUNTIFS('Card Test Cases'!$B$4:$B$1000,$A746,'Card Test Cases'!$A$4:$A$1000,"&lt;&gt;",'Card Test Cases'!$F$4:$F$1000,"Blocked")&gt;0,"Blocked",IF($R746&gt;0,"In Progress","Passed")))))</f>
        <v/>
      </c>
      <c r="O746" s="68" t="str">
        <f>IF(TRIM($A746)="","",COUNTIFS('Card Test Cases'!$B$4:$B$1000,$A746,'Card Test Cases'!$A$4:$A$1000,"&lt;&gt;",'Card Test Cases'!$F$4:$F$1000,"&lt;&gt;Out of Scope"))</f>
        <v/>
      </c>
      <c r="P746" s="68" t="str">
        <f>IF(TRIM($A746)="","",COUNTIFS('Card Test Cases'!$B$4:$B$1000,$A746,'Card Test Cases'!$A$4:$A$1000,"&lt;&gt;",'Card Test Cases'!$F$4:$F$1000,"Passed"))</f>
        <v/>
      </c>
      <c r="Q746" s="68" t="str">
        <f>IF(TRIM($A746)="","",COUNTIFS('Card Test Cases'!$B$4:$B$1000,$A746,'Card Test Cases'!$A$4:$A$1000,"&lt;&gt;",'Card Test Cases'!$F$4:$F$1000,"Failed"))</f>
        <v/>
      </c>
      <c r="R746" s="68" t="str">
        <f t="shared" si="11"/>
        <v/>
      </c>
      <c r="S746" s="68" t="str" cm="1">
        <f t="array" ref="S746">IF(TRIM($A746)="","",IFERROR(_xlfn.TEXTJOIN(", ",TRUE,_xlfn.UNIQUE(_xlfn.VSTACK(_xlfn._xlws.FILTER('Card Test Cases'!$G$4:$G$1000,('Card Test Cases'!$B$4:$B$1000=$A746)*('Card Test Cases'!$G$4:$G$1000&lt;&gt;""),""),_xlfn._xlws.FILTER('E2E core flow'!$U$15:$U$1000,('E2E core flow'!$A$15:$A$1000&lt;&gt;"")*ISNUMBER(SEARCH('E2E core flow'!$A$15:$A$1000,$E746))*('E2E core flow'!$U$15:$U$1000&lt;&gt;""),"")))),"-"))</f>
        <v/>
      </c>
    </row>
    <row r="747" spans="7:19" x14ac:dyDescent="0.3">
      <c r="G747" s="68" t="str" cm="1">
        <f t="array" ref="G747">_xlfn.LET(_xlpm.ids,'E2E core flow'!$A$15:$A$1000,_xlpm.v,'E2E core flow'!$W$15:$W$1000,_xlpm.m,(_xlpm.ids&lt;&gt;"")*ISNUMBER(SEARCH(_xlpm.ids,$E747)),_xlpm.f,SUM(_xlpm.m*(_xlpm.v="Failed")),_xlpm.b,SUM(_xlpm.m*(_xlpm.v="Blocked")),_xlpm.nr,SUM(_xlpm.m*(_xlpm.v="Not Run")),_xlpm.cp,SUM(_xlpm.m*(_xlpm.v="Conditionally Passed")),_xlpm.p,SUM(_xlpm.m*(_xlpm.v="Passed")),IF(TRIM($A747)="","",IF(TRIM($E747)="","Pending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47" s="68" t="str">
        <f>IF(TRIM($A747)="","",IF($J747="Passed","",IF($J747="Passed with Known Issue","Known Issue",IF($J747="",IF(OR($H747&lt;&gt;"No",AND($F747&lt;&gt;"Medium",$F747&lt;&gt;"Low")),"Pending Result",""),IF(OR($H747&lt;&gt;"No",AND($F747&lt;&gt;"Medium",$F747&lt;&gt;"Low")),IF(COUNTIFS(Dashboard!$B$105:$B$124,$A747,Dashboard!$I$105:$I$124,"CAB")&gt;0,"Accepted (CF)","Blocking"),IF($J747="Failed","Deferrable","Carry Over"))))))</f>
        <v/>
      </c>
      <c r="M747" s="68" t="str">
        <f>IF(OR(TRIM($A747)="",TRIM($E747)=""),"",IFERROR(INDEX('E2E core flow'!$B$15:$B$1000,MATCH(1,INDEX(('E2E core flow'!$A$15:$A$1000&lt;&gt;"")*ISNUMBER(SEARCH('E2E core flow'!$A$15:$A$1000,$E747)),0),0))&amp;"","-"))</f>
        <v/>
      </c>
      <c r="N747" s="68" t="str">
        <f>IF(TRIM($A747)="","",IF($O747=0,IF(COUNTIFS('Card Test Cases'!$B$4:$B$1000,$A747,'Card Test Cases'!$A$4:$A$1000,"&lt;&gt;")&gt;0,"Out of Scope","No TC"),IF($Q747&gt;0,"Failed",IF(COUNTIFS('Card Test Cases'!$B$4:$B$1000,$A747,'Card Test Cases'!$A$4:$A$1000,"&lt;&gt;",'Card Test Cases'!$F$4:$F$1000,"Blocked")&gt;0,"Blocked",IF($R747&gt;0,"In Progress","Passed")))))</f>
        <v/>
      </c>
      <c r="O747" s="68" t="str">
        <f>IF(TRIM($A747)="","",COUNTIFS('Card Test Cases'!$B$4:$B$1000,$A747,'Card Test Cases'!$A$4:$A$1000,"&lt;&gt;",'Card Test Cases'!$F$4:$F$1000,"&lt;&gt;Out of Scope"))</f>
        <v/>
      </c>
      <c r="P747" s="68" t="str">
        <f>IF(TRIM($A747)="","",COUNTIFS('Card Test Cases'!$B$4:$B$1000,$A747,'Card Test Cases'!$A$4:$A$1000,"&lt;&gt;",'Card Test Cases'!$F$4:$F$1000,"Passed"))</f>
        <v/>
      </c>
      <c r="Q747" s="68" t="str">
        <f>IF(TRIM($A747)="","",COUNTIFS('Card Test Cases'!$B$4:$B$1000,$A747,'Card Test Cases'!$A$4:$A$1000,"&lt;&gt;",'Card Test Cases'!$F$4:$F$1000,"Failed"))</f>
        <v/>
      </c>
      <c r="R747" s="68" t="str">
        <f t="shared" si="11"/>
        <v/>
      </c>
      <c r="S747" s="68" t="str" cm="1">
        <f t="array" ref="S747">IF(TRIM($A747)="","",IFERROR(_xlfn.TEXTJOIN(", ",TRUE,_xlfn.UNIQUE(_xlfn.VSTACK(_xlfn._xlws.FILTER('Card Test Cases'!$G$4:$G$1000,('Card Test Cases'!$B$4:$B$1000=$A747)*('Card Test Cases'!$G$4:$G$1000&lt;&gt;""),""),_xlfn._xlws.FILTER('E2E core flow'!$U$15:$U$1000,('E2E core flow'!$A$15:$A$1000&lt;&gt;"")*ISNUMBER(SEARCH('E2E core flow'!$A$15:$A$1000,$E747))*('E2E core flow'!$U$15:$U$1000&lt;&gt;""),"")))),"-"))</f>
        <v/>
      </c>
    </row>
    <row r="748" spans="7:19" x14ac:dyDescent="0.3">
      <c r="G748" s="68" t="str" cm="1">
        <f t="array" ref="G748">_xlfn.LET(_xlpm.ids,'E2E core flow'!$A$15:$A$1000,_xlpm.v,'E2E core flow'!$W$15:$W$1000,_xlpm.m,(_xlpm.ids&lt;&gt;"")*ISNUMBER(SEARCH(_xlpm.ids,$E748)),_xlpm.f,SUM(_xlpm.m*(_xlpm.v="Failed")),_xlpm.b,SUM(_xlpm.m*(_xlpm.v="Blocked")),_xlpm.nr,SUM(_xlpm.m*(_xlpm.v="Not Run")),_xlpm.cp,SUM(_xlpm.m*(_xlpm.v="Conditionally Passed")),_xlpm.p,SUM(_xlpm.m*(_xlpm.v="Passed")),IF(TRIM($A748)="","",IF(TRIM($E748)="","Pending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48" s="68" t="str">
        <f>IF(TRIM($A748)="","",IF($J748="Passed","",IF($J748="Passed with Known Issue","Known Issue",IF($J748="",IF(OR($H748&lt;&gt;"No",AND($F748&lt;&gt;"Medium",$F748&lt;&gt;"Low")),"Pending Result",""),IF(OR($H748&lt;&gt;"No",AND($F748&lt;&gt;"Medium",$F748&lt;&gt;"Low")),IF(COUNTIFS(Dashboard!$B$105:$B$124,$A748,Dashboard!$I$105:$I$124,"CAB")&gt;0,"Accepted (CF)","Blocking"),IF($J748="Failed","Deferrable","Carry Over"))))))</f>
        <v/>
      </c>
      <c r="M748" s="68" t="str">
        <f>IF(OR(TRIM($A748)="",TRIM($E748)=""),"",IFERROR(INDEX('E2E core flow'!$B$15:$B$1000,MATCH(1,INDEX(('E2E core flow'!$A$15:$A$1000&lt;&gt;"")*ISNUMBER(SEARCH('E2E core flow'!$A$15:$A$1000,$E748)),0),0))&amp;"","-"))</f>
        <v/>
      </c>
      <c r="N748" s="68" t="str">
        <f>IF(TRIM($A748)="","",IF($O748=0,IF(COUNTIFS('Card Test Cases'!$B$4:$B$1000,$A748,'Card Test Cases'!$A$4:$A$1000,"&lt;&gt;")&gt;0,"Out of Scope","No TC"),IF($Q748&gt;0,"Failed",IF(COUNTIFS('Card Test Cases'!$B$4:$B$1000,$A748,'Card Test Cases'!$A$4:$A$1000,"&lt;&gt;",'Card Test Cases'!$F$4:$F$1000,"Blocked")&gt;0,"Blocked",IF($R748&gt;0,"In Progress","Passed")))))</f>
        <v/>
      </c>
      <c r="O748" s="68" t="str">
        <f>IF(TRIM($A748)="","",COUNTIFS('Card Test Cases'!$B$4:$B$1000,$A748,'Card Test Cases'!$A$4:$A$1000,"&lt;&gt;",'Card Test Cases'!$F$4:$F$1000,"&lt;&gt;Out of Scope"))</f>
        <v/>
      </c>
      <c r="P748" s="68" t="str">
        <f>IF(TRIM($A748)="","",COUNTIFS('Card Test Cases'!$B$4:$B$1000,$A748,'Card Test Cases'!$A$4:$A$1000,"&lt;&gt;",'Card Test Cases'!$F$4:$F$1000,"Passed"))</f>
        <v/>
      </c>
      <c r="Q748" s="68" t="str">
        <f>IF(TRIM($A748)="","",COUNTIFS('Card Test Cases'!$B$4:$B$1000,$A748,'Card Test Cases'!$A$4:$A$1000,"&lt;&gt;",'Card Test Cases'!$F$4:$F$1000,"Failed"))</f>
        <v/>
      </c>
      <c r="R748" s="68" t="str">
        <f t="shared" si="11"/>
        <v/>
      </c>
      <c r="S748" s="68" t="str" cm="1">
        <f t="array" ref="S748">IF(TRIM($A748)="","",IFERROR(_xlfn.TEXTJOIN(", ",TRUE,_xlfn.UNIQUE(_xlfn.VSTACK(_xlfn._xlws.FILTER('Card Test Cases'!$G$4:$G$1000,('Card Test Cases'!$B$4:$B$1000=$A748)*('Card Test Cases'!$G$4:$G$1000&lt;&gt;""),""),_xlfn._xlws.FILTER('E2E core flow'!$U$15:$U$1000,('E2E core flow'!$A$15:$A$1000&lt;&gt;"")*ISNUMBER(SEARCH('E2E core flow'!$A$15:$A$1000,$E748))*('E2E core flow'!$U$15:$U$1000&lt;&gt;""),"")))),"-"))</f>
        <v/>
      </c>
    </row>
    <row r="749" spans="7:19" x14ac:dyDescent="0.3">
      <c r="G749" s="68" t="str" cm="1">
        <f t="array" ref="G749">_xlfn.LET(_xlpm.ids,'E2E core flow'!$A$15:$A$1000,_xlpm.v,'E2E core flow'!$W$15:$W$1000,_xlpm.m,(_xlpm.ids&lt;&gt;"")*ISNUMBER(SEARCH(_xlpm.ids,$E749)),_xlpm.f,SUM(_xlpm.m*(_xlpm.v="Failed")),_xlpm.b,SUM(_xlpm.m*(_xlpm.v="Blocked")),_xlpm.nr,SUM(_xlpm.m*(_xlpm.v="Not Run")),_xlpm.cp,SUM(_xlpm.m*(_xlpm.v="Conditionally Passed")),_xlpm.p,SUM(_xlpm.m*(_xlpm.v="Passed")),IF(TRIM($A749)="","",IF(TRIM($E749)="","Pending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49" s="68" t="str">
        <f>IF(TRIM($A749)="","",IF($J749="Passed","",IF($J749="Passed with Known Issue","Known Issue",IF($J749="",IF(OR($H749&lt;&gt;"No",AND($F749&lt;&gt;"Medium",$F749&lt;&gt;"Low")),"Pending Result",""),IF(OR($H749&lt;&gt;"No",AND($F749&lt;&gt;"Medium",$F749&lt;&gt;"Low")),IF(COUNTIFS(Dashboard!$B$105:$B$124,$A749,Dashboard!$I$105:$I$124,"CAB")&gt;0,"Accepted (CF)","Blocking"),IF($J749="Failed","Deferrable","Carry Over"))))))</f>
        <v/>
      </c>
      <c r="M749" s="68" t="str">
        <f>IF(OR(TRIM($A749)="",TRIM($E749)=""),"",IFERROR(INDEX('E2E core flow'!$B$15:$B$1000,MATCH(1,INDEX(('E2E core flow'!$A$15:$A$1000&lt;&gt;"")*ISNUMBER(SEARCH('E2E core flow'!$A$15:$A$1000,$E749)),0),0))&amp;"","-"))</f>
        <v/>
      </c>
      <c r="N749" s="68" t="str">
        <f>IF(TRIM($A749)="","",IF($O749=0,IF(COUNTIFS('Card Test Cases'!$B$4:$B$1000,$A749,'Card Test Cases'!$A$4:$A$1000,"&lt;&gt;")&gt;0,"Out of Scope","No TC"),IF($Q749&gt;0,"Failed",IF(COUNTIFS('Card Test Cases'!$B$4:$B$1000,$A749,'Card Test Cases'!$A$4:$A$1000,"&lt;&gt;",'Card Test Cases'!$F$4:$F$1000,"Blocked")&gt;0,"Blocked",IF($R749&gt;0,"In Progress","Passed")))))</f>
        <v/>
      </c>
      <c r="O749" s="68" t="str">
        <f>IF(TRIM($A749)="","",COUNTIFS('Card Test Cases'!$B$4:$B$1000,$A749,'Card Test Cases'!$A$4:$A$1000,"&lt;&gt;",'Card Test Cases'!$F$4:$F$1000,"&lt;&gt;Out of Scope"))</f>
        <v/>
      </c>
      <c r="P749" s="68" t="str">
        <f>IF(TRIM($A749)="","",COUNTIFS('Card Test Cases'!$B$4:$B$1000,$A749,'Card Test Cases'!$A$4:$A$1000,"&lt;&gt;",'Card Test Cases'!$F$4:$F$1000,"Passed"))</f>
        <v/>
      </c>
      <c r="Q749" s="68" t="str">
        <f>IF(TRIM($A749)="","",COUNTIFS('Card Test Cases'!$B$4:$B$1000,$A749,'Card Test Cases'!$A$4:$A$1000,"&lt;&gt;",'Card Test Cases'!$F$4:$F$1000,"Failed"))</f>
        <v/>
      </c>
      <c r="R749" s="68" t="str">
        <f t="shared" si="11"/>
        <v/>
      </c>
      <c r="S749" s="68" t="str" cm="1">
        <f t="array" ref="S749">IF(TRIM($A749)="","",IFERROR(_xlfn.TEXTJOIN(", ",TRUE,_xlfn.UNIQUE(_xlfn.VSTACK(_xlfn._xlws.FILTER('Card Test Cases'!$G$4:$G$1000,('Card Test Cases'!$B$4:$B$1000=$A749)*('Card Test Cases'!$G$4:$G$1000&lt;&gt;""),""),_xlfn._xlws.FILTER('E2E core flow'!$U$15:$U$1000,('E2E core flow'!$A$15:$A$1000&lt;&gt;"")*ISNUMBER(SEARCH('E2E core flow'!$A$15:$A$1000,$E749))*('E2E core flow'!$U$15:$U$1000&lt;&gt;""),"")))),"-"))</f>
        <v/>
      </c>
    </row>
    <row r="750" spans="7:19" x14ac:dyDescent="0.3">
      <c r="G750" s="68" t="str" cm="1">
        <f t="array" ref="G750">_xlfn.LET(_xlpm.ids,'E2E core flow'!$A$15:$A$1000,_xlpm.v,'E2E core flow'!$W$15:$W$1000,_xlpm.m,(_xlpm.ids&lt;&gt;"")*ISNUMBER(SEARCH(_xlpm.ids,$E750)),_xlpm.f,SUM(_xlpm.m*(_xlpm.v="Failed")),_xlpm.b,SUM(_xlpm.m*(_xlpm.v="Blocked")),_xlpm.nr,SUM(_xlpm.m*(_xlpm.v="Not Run")),_xlpm.cp,SUM(_xlpm.m*(_xlpm.v="Conditionally Passed")),_xlpm.p,SUM(_xlpm.m*(_xlpm.v="Passed")),IF(TRIM($A750)="","",IF(TRIM($E750)="","Pending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50" s="68" t="str">
        <f>IF(TRIM($A750)="","",IF($J750="Passed","",IF($J750="Passed with Known Issue","Known Issue",IF($J750="",IF(OR($H750&lt;&gt;"No",AND($F750&lt;&gt;"Medium",$F750&lt;&gt;"Low")),"Pending Result",""),IF(OR($H750&lt;&gt;"No",AND($F750&lt;&gt;"Medium",$F750&lt;&gt;"Low")),IF(COUNTIFS(Dashboard!$B$105:$B$124,$A750,Dashboard!$I$105:$I$124,"CAB")&gt;0,"Accepted (CF)","Blocking"),IF($J750="Failed","Deferrable","Carry Over"))))))</f>
        <v/>
      </c>
      <c r="M750" s="68" t="str">
        <f>IF(OR(TRIM($A750)="",TRIM($E750)=""),"",IFERROR(INDEX('E2E core flow'!$B$15:$B$1000,MATCH(1,INDEX(('E2E core flow'!$A$15:$A$1000&lt;&gt;"")*ISNUMBER(SEARCH('E2E core flow'!$A$15:$A$1000,$E750)),0),0))&amp;"","-"))</f>
        <v/>
      </c>
      <c r="N750" s="68" t="str">
        <f>IF(TRIM($A750)="","",IF($O750=0,IF(COUNTIFS('Card Test Cases'!$B$4:$B$1000,$A750,'Card Test Cases'!$A$4:$A$1000,"&lt;&gt;")&gt;0,"Out of Scope","No TC"),IF($Q750&gt;0,"Failed",IF(COUNTIFS('Card Test Cases'!$B$4:$B$1000,$A750,'Card Test Cases'!$A$4:$A$1000,"&lt;&gt;",'Card Test Cases'!$F$4:$F$1000,"Blocked")&gt;0,"Blocked",IF($R750&gt;0,"In Progress","Passed")))))</f>
        <v/>
      </c>
      <c r="O750" s="68" t="str">
        <f>IF(TRIM($A750)="","",COUNTIFS('Card Test Cases'!$B$4:$B$1000,$A750,'Card Test Cases'!$A$4:$A$1000,"&lt;&gt;",'Card Test Cases'!$F$4:$F$1000,"&lt;&gt;Out of Scope"))</f>
        <v/>
      </c>
      <c r="P750" s="68" t="str">
        <f>IF(TRIM($A750)="","",COUNTIFS('Card Test Cases'!$B$4:$B$1000,$A750,'Card Test Cases'!$A$4:$A$1000,"&lt;&gt;",'Card Test Cases'!$F$4:$F$1000,"Passed"))</f>
        <v/>
      </c>
      <c r="Q750" s="68" t="str">
        <f>IF(TRIM($A750)="","",COUNTIFS('Card Test Cases'!$B$4:$B$1000,$A750,'Card Test Cases'!$A$4:$A$1000,"&lt;&gt;",'Card Test Cases'!$F$4:$F$1000,"Failed"))</f>
        <v/>
      </c>
      <c r="R750" s="68" t="str">
        <f t="shared" si="11"/>
        <v/>
      </c>
      <c r="S750" s="68" t="str" cm="1">
        <f t="array" ref="S750">IF(TRIM($A750)="","",IFERROR(_xlfn.TEXTJOIN(", ",TRUE,_xlfn.UNIQUE(_xlfn.VSTACK(_xlfn._xlws.FILTER('Card Test Cases'!$G$4:$G$1000,('Card Test Cases'!$B$4:$B$1000=$A750)*('Card Test Cases'!$G$4:$G$1000&lt;&gt;""),""),_xlfn._xlws.FILTER('E2E core flow'!$U$15:$U$1000,('E2E core flow'!$A$15:$A$1000&lt;&gt;"")*ISNUMBER(SEARCH('E2E core flow'!$A$15:$A$1000,$E750))*('E2E core flow'!$U$15:$U$1000&lt;&gt;""),"")))),"-"))</f>
        <v/>
      </c>
    </row>
    <row r="751" spans="7:19" x14ac:dyDescent="0.3">
      <c r="G751" s="68" t="str" cm="1">
        <f t="array" ref="G751">_xlfn.LET(_xlpm.ids,'E2E core flow'!$A$15:$A$1000,_xlpm.v,'E2E core flow'!$W$15:$W$1000,_xlpm.m,(_xlpm.ids&lt;&gt;"")*ISNUMBER(SEARCH(_xlpm.ids,$E751)),_xlpm.f,SUM(_xlpm.m*(_xlpm.v="Failed")),_xlpm.b,SUM(_xlpm.m*(_xlpm.v="Blocked")),_xlpm.nr,SUM(_xlpm.m*(_xlpm.v="Not Run")),_xlpm.cp,SUM(_xlpm.m*(_xlpm.v="Conditionally Passed")),_xlpm.p,SUM(_xlpm.m*(_xlpm.v="Passed")),IF(TRIM($A751)="","",IF(TRIM($E751)="","Pending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51" s="68" t="str">
        <f>IF(TRIM($A751)="","",IF($J751="Passed","",IF($J751="Passed with Known Issue","Known Issue",IF($J751="",IF(OR($H751&lt;&gt;"No",AND($F751&lt;&gt;"Medium",$F751&lt;&gt;"Low")),"Pending Result",""),IF(OR($H751&lt;&gt;"No",AND($F751&lt;&gt;"Medium",$F751&lt;&gt;"Low")),IF(COUNTIFS(Dashboard!$B$105:$B$124,$A751,Dashboard!$I$105:$I$124,"CAB")&gt;0,"Accepted (CF)","Blocking"),IF($J751="Failed","Deferrable","Carry Over"))))))</f>
        <v/>
      </c>
      <c r="M751" s="68" t="str">
        <f>IF(OR(TRIM($A751)="",TRIM($E751)=""),"",IFERROR(INDEX('E2E core flow'!$B$15:$B$1000,MATCH(1,INDEX(('E2E core flow'!$A$15:$A$1000&lt;&gt;"")*ISNUMBER(SEARCH('E2E core flow'!$A$15:$A$1000,$E751)),0),0))&amp;"","-"))</f>
        <v/>
      </c>
      <c r="N751" s="68" t="str">
        <f>IF(TRIM($A751)="","",IF($O751=0,IF(COUNTIFS('Card Test Cases'!$B$4:$B$1000,$A751,'Card Test Cases'!$A$4:$A$1000,"&lt;&gt;")&gt;0,"Out of Scope","No TC"),IF($Q751&gt;0,"Failed",IF(COUNTIFS('Card Test Cases'!$B$4:$B$1000,$A751,'Card Test Cases'!$A$4:$A$1000,"&lt;&gt;",'Card Test Cases'!$F$4:$F$1000,"Blocked")&gt;0,"Blocked",IF($R751&gt;0,"In Progress","Passed")))))</f>
        <v/>
      </c>
      <c r="O751" s="68" t="str">
        <f>IF(TRIM($A751)="","",COUNTIFS('Card Test Cases'!$B$4:$B$1000,$A751,'Card Test Cases'!$A$4:$A$1000,"&lt;&gt;",'Card Test Cases'!$F$4:$F$1000,"&lt;&gt;Out of Scope"))</f>
        <v/>
      </c>
      <c r="P751" s="68" t="str">
        <f>IF(TRIM($A751)="","",COUNTIFS('Card Test Cases'!$B$4:$B$1000,$A751,'Card Test Cases'!$A$4:$A$1000,"&lt;&gt;",'Card Test Cases'!$F$4:$F$1000,"Passed"))</f>
        <v/>
      </c>
      <c r="Q751" s="68" t="str">
        <f>IF(TRIM($A751)="","",COUNTIFS('Card Test Cases'!$B$4:$B$1000,$A751,'Card Test Cases'!$A$4:$A$1000,"&lt;&gt;",'Card Test Cases'!$F$4:$F$1000,"Failed"))</f>
        <v/>
      </c>
      <c r="R751" s="68" t="str">
        <f t="shared" si="11"/>
        <v/>
      </c>
      <c r="S751" s="68" t="str" cm="1">
        <f t="array" ref="S751">IF(TRIM($A751)="","",IFERROR(_xlfn.TEXTJOIN(", ",TRUE,_xlfn.UNIQUE(_xlfn.VSTACK(_xlfn._xlws.FILTER('Card Test Cases'!$G$4:$G$1000,('Card Test Cases'!$B$4:$B$1000=$A751)*('Card Test Cases'!$G$4:$G$1000&lt;&gt;""),""),_xlfn._xlws.FILTER('E2E core flow'!$U$15:$U$1000,('E2E core flow'!$A$15:$A$1000&lt;&gt;"")*ISNUMBER(SEARCH('E2E core flow'!$A$15:$A$1000,$E751))*('E2E core flow'!$U$15:$U$1000&lt;&gt;""),"")))),"-"))</f>
        <v/>
      </c>
    </row>
    <row r="752" spans="7:19" x14ac:dyDescent="0.3">
      <c r="G752" s="68" t="str" cm="1">
        <f t="array" ref="G752">_xlfn.LET(_xlpm.ids,'E2E core flow'!$A$15:$A$1000,_xlpm.v,'E2E core flow'!$W$15:$W$1000,_xlpm.m,(_xlpm.ids&lt;&gt;"")*ISNUMBER(SEARCH(_xlpm.ids,$E752)),_xlpm.f,SUM(_xlpm.m*(_xlpm.v="Failed")),_xlpm.b,SUM(_xlpm.m*(_xlpm.v="Blocked")),_xlpm.nr,SUM(_xlpm.m*(_xlpm.v="Not Run")),_xlpm.cp,SUM(_xlpm.m*(_xlpm.v="Conditionally Passed")),_xlpm.p,SUM(_xlpm.m*(_xlpm.v="Passed")),IF(TRIM($A752)="","",IF(TRIM($E752)="","Pending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52" s="68" t="str">
        <f>IF(TRIM($A752)="","",IF($J752="Passed","",IF($J752="Passed with Known Issue","Known Issue",IF($J752="",IF(OR($H752&lt;&gt;"No",AND($F752&lt;&gt;"Medium",$F752&lt;&gt;"Low")),"Pending Result",""),IF(OR($H752&lt;&gt;"No",AND($F752&lt;&gt;"Medium",$F752&lt;&gt;"Low")),IF(COUNTIFS(Dashboard!$B$105:$B$124,$A752,Dashboard!$I$105:$I$124,"CAB")&gt;0,"Accepted (CF)","Blocking"),IF($J752="Failed","Deferrable","Carry Over"))))))</f>
        <v/>
      </c>
      <c r="M752" s="68" t="str">
        <f>IF(OR(TRIM($A752)="",TRIM($E752)=""),"",IFERROR(INDEX('E2E core flow'!$B$15:$B$1000,MATCH(1,INDEX(('E2E core flow'!$A$15:$A$1000&lt;&gt;"")*ISNUMBER(SEARCH('E2E core flow'!$A$15:$A$1000,$E752)),0),0))&amp;"","-"))</f>
        <v/>
      </c>
      <c r="N752" s="68" t="str">
        <f>IF(TRIM($A752)="","",IF($O752=0,IF(COUNTIFS('Card Test Cases'!$B$4:$B$1000,$A752,'Card Test Cases'!$A$4:$A$1000,"&lt;&gt;")&gt;0,"Out of Scope","No TC"),IF($Q752&gt;0,"Failed",IF(COUNTIFS('Card Test Cases'!$B$4:$B$1000,$A752,'Card Test Cases'!$A$4:$A$1000,"&lt;&gt;",'Card Test Cases'!$F$4:$F$1000,"Blocked")&gt;0,"Blocked",IF($R752&gt;0,"In Progress","Passed")))))</f>
        <v/>
      </c>
      <c r="O752" s="68" t="str">
        <f>IF(TRIM($A752)="","",COUNTIFS('Card Test Cases'!$B$4:$B$1000,$A752,'Card Test Cases'!$A$4:$A$1000,"&lt;&gt;",'Card Test Cases'!$F$4:$F$1000,"&lt;&gt;Out of Scope"))</f>
        <v/>
      </c>
      <c r="P752" s="68" t="str">
        <f>IF(TRIM($A752)="","",COUNTIFS('Card Test Cases'!$B$4:$B$1000,$A752,'Card Test Cases'!$A$4:$A$1000,"&lt;&gt;",'Card Test Cases'!$F$4:$F$1000,"Passed"))</f>
        <v/>
      </c>
      <c r="Q752" s="68" t="str">
        <f>IF(TRIM($A752)="","",COUNTIFS('Card Test Cases'!$B$4:$B$1000,$A752,'Card Test Cases'!$A$4:$A$1000,"&lt;&gt;",'Card Test Cases'!$F$4:$F$1000,"Failed"))</f>
        <v/>
      </c>
      <c r="R752" s="68" t="str">
        <f t="shared" si="11"/>
        <v/>
      </c>
      <c r="S752" s="68" t="str" cm="1">
        <f t="array" ref="S752">IF(TRIM($A752)="","",IFERROR(_xlfn.TEXTJOIN(", ",TRUE,_xlfn.UNIQUE(_xlfn.VSTACK(_xlfn._xlws.FILTER('Card Test Cases'!$G$4:$G$1000,('Card Test Cases'!$B$4:$B$1000=$A752)*('Card Test Cases'!$G$4:$G$1000&lt;&gt;""),""),_xlfn._xlws.FILTER('E2E core flow'!$U$15:$U$1000,('E2E core flow'!$A$15:$A$1000&lt;&gt;"")*ISNUMBER(SEARCH('E2E core flow'!$A$15:$A$1000,$E752))*('E2E core flow'!$U$15:$U$1000&lt;&gt;""),"")))),"-"))</f>
        <v/>
      </c>
    </row>
    <row r="753" spans="7:19" x14ac:dyDescent="0.3">
      <c r="G753" s="68" t="str" cm="1">
        <f t="array" ref="G753">_xlfn.LET(_xlpm.ids,'E2E core flow'!$A$15:$A$1000,_xlpm.v,'E2E core flow'!$W$15:$W$1000,_xlpm.m,(_xlpm.ids&lt;&gt;"")*ISNUMBER(SEARCH(_xlpm.ids,$E753)),_xlpm.f,SUM(_xlpm.m*(_xlpm.v="Failed")),_xlpm.b,SUM(_xlpm.m*(_xlpm.v="Blocked")),_xlpm.nr,SUM(_xlpm.m*(_xlpm.v="Not Run")),_xlpm.cp,SUM(_xlpm.m*(_xlpm.v="Conditionally Passed")),_xlpm.p,SUM(_xlpm.m*(_xlpm.v="Passed")),IF(TRIM($A753)="","",IF(TRIM($E753)="","Pending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53" s="68" t="str">
        <f>IF(TRIM($A753)="","",IF($J753="Passed","",IF($J753="Passed with Known Issue","Known Issue",IF($J753="",IF(OR($H753&lt;&gt;"No",AND($F753&lt;&gt;"Medium",$F753&lt;&gt;"Low")),"Pending Result",""),IF(OR($H753&lt;&gt;"No",AND($F753&lt;&gt;"Medium",$F753&lt;&gt;"Low")),IF(COUNTIFS(Dashboard!$B$105:$B$124,$A753,Dashboard!$I$105:$I$124,"CAB")&gt;0,"Accepted (CF)","Blocking"),IF($J753="Failed","Deferrable","Carry Over"))))))</f>
        <v/>
      </c>
      <c r="M753" s="68" t="str">
        <f>IF(OR(TRIM($A753)="",TRIM($E753)=""),"",IFERROR(INDEX('E2E core flow'!$B$15:$B$1000,MATCH(1,INDEX(('E2E core flow'!$A$15:$A$1000&lt;&gt;"")*ISNUMBER(SEARCH('E2E core flow'!$A$15:$A$1000,$E753)),0),0))&amp;"","-"))</f>
        <v/>
      </c>
      <c r="N753" s="68" t="str">
        <f>IF(TRIM($A753)="","",IF($O753=0,IF(COUNTIFS('Card Test Cases'!$B$4:$B$1000,$A753,'Card Test Cases'!$A$4:$A$1000,"&lt;&gt;")&gt;0,"Out of Scope","No TC"),IF($Q753&gt;0,"Failed",IF(COUNTIFS('Card Test Cases'!$B$4:$B$1000,$A753,'Card Test Cases'!$A$4:$A$1000,"&lt;&gt;",'Card Test Cases'!$F$4:$F$1000,"Blocked")&gt;0,"Blocked",IF($R753&gt;0,"In Progress","Passed")))))</f>
        <v/>
      </c>
      <c r="O753" s="68" t="str">
        <f>IF(TRIM($A753)="","",COUNTIFS('Card Test Cases'!$B$4:$B$1000,$A753,'Card Test Cases'!$A$4:$A$1000,"&lt;&gt;",'Card Test Cases'!$F$4:$F$1000,"&lt;&gt;Out of Scope"))</f>
        <v/>
      </c>
      <c r="P753" s="68" t="str">
        <f>IF(TRIM($A753)="","",COUNTIFS('Card Test Cases'!$B$4:$B$1000,$A753,'Card Test Cases'!$A$4:$A$1000,"&lt;&gt;",'Card Test Cases'!$F$4:$F$1000,"Passed"))</f>
        <v/>
      </c>
      <c r="Q753" s="68" t="str">
        <f>IF(TRIM($A753)="","",COUNTIFS('Card Test Cases'!$B$4:$B$1000,$A753,'Card Test Cases'!$A$4:$A$1000,"&lt;&gt;",'Card Test Cases'!$F$4:$F$1000,"Failed"))</f>
        <v/>
      </c>
      <c r="R753" s="68" t="str">
        <f t="shared" si="11"/>
        <v/>
      </c>
      <c r="S753" s="68" t="str" cm="1">
        <f t="array" ref="S753">IF(TRIM($A753)="","",IFERROR(_xlfn.TEXTJOIN(", ",TRUE,_xlfn.UNIQUE(_xlfn.VSTACK(_xlfn._xlws.FILTER('Card Test Cases'!$G$4:$G$1000,('Card Test Cases'!$B$4:$B$1000=$A753)*('Card Test Cases'!$G$4:$G$1000&lt;&gt;""),""),_xlfn._xlws.FILTER('E2E core flow'!$U$15:$U$1000,('E2E core flow'!$A$15:$A$1000&lt;&gt;"")*ISNUMBER(SEARCH('E2E core flow'!$A$15:$A$1000,$E753))*('E2E core flow'!$U$15:$U$1000&lt;&gt;""),"")))),"-"))</f>
        <v/>
      </c>
    </row>
    <row r="754" spans="7:19" x14ac:dyDescent="0.3">
      <c r="G754" s="68" t="str" cm="1">
        <f t="array" ref="G754">_xlfn.LET(_xlpm.ids,'E2E core flow'!$A$15:$A$1000,_xlpm.v,'E2E core flow'!$W$15:$W$1000,_xlpm.m,(_xlpm.ids&lt;&gt;"")*ISNUMBER(SEARCH(_xlpm.ids,$E754)),_xlpm.f,SUM(_xlpm.m*(_xlpm.v="Failed")),_xlpm.b,SUM(_xlpm.m*(_xlpm.v="Blocked")),_xlpm.nr,SUM(_xlpm.m*(_xlpm.v="Not Run")),_xlpm.cp,SUM(_xlpm.m*(_xlpm.v="Conditionally Passed")),_xlpm.p,SUM(_xlpm.m*(_xlpm.v="Passed")),IF(TRIM($A754)="","",IF(TRIM($E754)="","Pending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54" s="68" t="str">
        <f>IF(TRIM($A754)="","",IF($J754="Passed","",IF($J754="Passed with Known Issue","Known Issue",IF($J754="",IF(OR($H754&lt;&gt;"No",AND($F754&lt;&gt;"Medium",$F754&lt;&gt;"Low")),"Pending Result",""),IF(OR($H754&lt;&gt;"No",AND($F754&lt;&gt;"Medium",$F754&lt;&gt;"Low")),IF(COUNTIFS(Dashboard!$B$105:$B$124,$A754,Dashboard!$I$105:$I$124,"CAB")&gt;0,"Accepted (CF)","Blocking"),IF($J754="Failed","Deferrable","Carry Over"))))))</f>
        <v/>
      </c>
      <c r="M754" s="68" t="str">
        <f>IF(OR(TRIM($A754)="",TRIM($E754)=""),"",IFERROR(INDEX('E2E core flow'!$B$15:$B$1000,MATCH(1,INDEX(('E2E core flow'!$A$15:$A$1000&lt;&gt;"")*ISNUMBER(SEARCH('E2E core flow'!$A$15:$A$1000,$E754)),0),0))&amp;"","-"))</f>
        <v/>
      </c>
      <c r="N754" s="68" t="str">
        <f>IF(TRIM($A754)="","",IF($O754=0,IF(COUNTIFS('Card Test Cases'!$B$4:$B$1000,$A754,'Card Test Cases'!$A$4:$A$1000,"&lt;&gt;")&gt;0,"Out of Scope","No TC"),IF($Q754&gt;0,"Failed",IF(COUNTIFS('Card Test Cases'!$B$4:$B$1000,$A754,'Card Test Cases'!$A$4:$A$1000,"&lt;&gt;",'Card Test Cases'!$F$4:$F$1000,"Blocked")&gt;0,"Blocked",IF($R754&gt;0,"In Progress","Passed")))))</f>
        <v/>
      </c>
      <c r="O754" s="68" t="str">
        <f>IF(TRIM($A754)="","",COUNTIFS('Card Test Cases'!$B$4:$B$1000,$A754,'Card Test Cases'!$A$4:$A$1000,"&lt;&gt;",'Card Test Cases'!$F$4:$F$1000,"&lt;&gt;Out of Scope"))</f>
        <v/>
      </c>
      <c r="P754" s="68" t="str">
        <f>IF(TRIM($A754)="","",COUNTIFS('Card Test Cases'!$B$4:$B$1000,$A754,'Card Test Cases'!$A$4:$A$1000,"&lt;&gt;",'Card Test Cases'!$F$4:$F$1000,"Passed"))</f>
        <v/>
      </c>
      <c r="Q754" s="68" t="str">
        <f>IF(TRIM($A754)="","",COUNTIFS('Card Test Cases'!$B$4:$B$1000,$A754,'Card Test Cases'!$A$4:$A$1000,"&lt;&gt;",'Card Test Cases'!$F$4:$F$1000,"Failed"))</f>
        <v/>
      </c>
      <c r="R754" s="68" t="str">
        <f t="shared" si="11"/>
        <v/>
      </c>
      <c r="S754" s="68" t="str" cm="1">
        <f t="array" ref="S754">IF(TRIM($A754)="","",IFERROR(_xlfn.TEXTJOIN(", ",TRUE,_xlfn.UNIQUE(_xlfn.VSTACK(_xlfn._xlws.FILTER('Card Test Cases'!$G$4:$G$1000,('Card Test Cases'!$B$4:$B$1000=$A754)*('Card Test Cases'!$G$4:$G$1000&lt;&gt;""),""),_xlfn._xlws.FILTER('E2E core flow'!$U$15:$U$1000,('E2E core flow'!$A$15:$A$1000&lt;&gt;"")*ISNUMBER(SEARCH('E2E core flow'!$A$15:$A$1000,$E754))*('E2E core flow'!$U$15:$U$1000&lt;&gt;""),"")))),"-"))</f>
        <v/>
      </c>
    </row>
    <row r="755" spans="7:19" x14ac:dyDescent="0.3">
      <c r="G755" s="68" t="str" cm="1">
        <f t="array" ref="G755">_xlfn.LET(_xlpm.ids,'E2E core flow'!$A$15:$A$1000,_xlpm.v,'E2E core flow'!$W$15:$W$1000,_xlpm.m,(_xlpm.ids&lt;&gt;"")*ISNUMBER(SEARCH(_xlpm.ids,$E755)),_xlpm.f,SUM(_xlpm.m*(_xlpm.v="Failed")),_xlpm.b,SUM(_xlpm.m*(_xlpm.v="Blocked")),_xlpm.nr,SUM(_xlpm.m*(_xlpm.v="Not Run")),_xlpm.cp,SUM(_xlpm.m*(_xlpm.v="Conditionally Passed")),_xlpm.p,SUM(_xlpm.m*(_xlpm.v="Passed")),IF(TRIM($A755)="","",IF(TRIM($E755)="","Pending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55" s="68" t="str">
        <f>IF(TRIM($A755)="","",IF($J755="Passed","",IF($J755="Passed with Known Issue","Known Issue",IF($J755="",IF(OR($H755&lt;&gt;"No",AND($F755&lt;&gt;"Medium",$F755&lt;&gt;"Low")),"Pending Result",""),IF(OR($H755&lt;&gt;"No",AND($F755&lt;&gt;"Medium",$F755&lt;&gt;"Low")),IF(COUNTIFS(Dashboard!$B$105:$B$124,$A755,Dashboard!$I$105:$I$124,"CAB")&gt;0,"Accepted (CF)","Blocking"),IF($J755="Failed","Deferrable","Carry Over"))))))</f>
        <v/>
      </c>
      <c r="M755" s="68" t="str">
        <f>IF(OR(TRIM($A755)="",TRIM($E755)=""),"",IFERROR(INDEX('E2E core flow'!$B$15:$B$1000,MATCH(1,INDEX(('E2E core flow'!$A$15:$A$1000&lt;&gt;"")*ISNUMBER(SEARCH('E2E core flow'!$A$15:$A$1000,$E755)),0),0))&amp;"","-"))</f>
        <v/>
      </c>
      <c r="N755" s="68" t="str">
        <f>IF(TRIM($A755)="","",IF($O755=0,IF(COUNTIFS('Card Test Cases'!$B$4:$B$1000,$A755,'Card Test Cases'!$A$4:$A$1000,"&lt;&gt;")&gt;0,"Out of Scope","No TC"),IF($Q755&gt;0,"Failed",IF(COUNTIFS('Card Test Cases'!$B$4:$B$1000,$A755,'Card Test Cases'!$A$4:$A$1000,"&lt;&gt;",'Card Test Cases'!$F$4:$F$1000,"Blocked")&gt;0,"Blocked",IF($R755&gt;0,"In Progress","Passed")))))</f>
        <v/>
      </c>
      <c r="O755" s="68" t="str">
        <f>IF(TRIM($A755)="","",COUNTIFS('Card Test Cases'!$B$4:$B$1000,$A755,'Card Test Cases'!$A$4:$A$1000,"&lt;&gt;",'Card Test Cases'!$F$4:$F$1000,"&lt;&gt;Out of Scope"))</f>
        <v/>
      </c>
      <c r="P755" s="68" t="str">
        <f>IF(TRIM($A755)="","",COUNTIFS('Card Test Cases'!$B$4:$B$1000,$A755,'Card Test Cases'!$A$4:$A$1000,"&lt;&gt;",'Card Test Cases'!$F$4:$F$1000,"Passed"))</f>
        <v/>
      </c>
      <c r="Q755" s="68" t="str">
        <f>IF(TRIM($A755)="","",COUNTIFS('Card Test Cases'!$B$4:$B$1000,$A755,'Card Test Cases'!$A$4:$A$1000,"&lt;&gt;",'Card Test Cases'!$F$4:$F$1000,"Failed"))</f>
        <v/>
      </c>
      <c r="R755" s="68" t="str">
        <f t="shared" si="11"/>
        <v/>
      </c>
      <c r="S755" s="68" t="str" cm="1">
        <f t="array" ref="S755">IF(TRIM($A755)="","",IFERROR(_xlfn.TEXTJOIN(", ",TRUE,_xlfn.UNIQUE(_xlfn.VSTACK(_xlfn._xlws.FILTER('Card Test Cases'!$G$4:$G$1000,('Card Test Cases'!$B$4:$B$1000=$A755)*('Card Test Cases'!$G$4:$G$1000&lt;&gt;""),""),_xlfn._xlws.FILTER('E2E core flow'!$U$15:$U$1000,('E2E core flow'!$A$15:$A$1000&lt;&gt;"")*ISNUMBER(SEARCH('E2E core flow'!$A$15:$A$1000,$E755))*('E2E core flow'!$U$15:$U$1000&lt;&gt;""),"")))),"-"))</f>
        <v/>
      </c>
    </row>
    <row r="756" spans="7:19" x14ac:dyDescent="0.3">
      <c r="G756" s="68" t="str" cm="1">
        <f t="array" ref="G756">_xlfn.LET(_xlpm.ids,'E2E core flow'!$A$15:$A$1000,_xlpm.v,'E2E core flow'!$W$15:$W$1000,_xlpm.m,(_xlpm.ids&lt;&gt;"")*ISNUMBER(SEARCH(_xlpm.ids,$E756)),_xlpm.f,SUM(_xlpm.m*(_xlpm.v="Failed")),_xlpm.b,SUM(_xlpm.m*(_xlpm.v="Blocked")),_xlpm.nr,SUM(_xlpm.m*(_xlpm.v="Not Run")),_xlpm.cp,SUM(_xlpm.m*(_xlpm.v="Conditionally Passed")),_xlpm.p,SUM(_xlpm.m*(_xlpm.v="Passed")),IF(TRIM($A756)="","",IF(TRIM($E756)="","Pending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56" s="68" t="str">
        <f>IF(TRIM($A756)="","",IF($J756="Passed","",IF($J756="Passed with Known Issue","Known Issue",IF($J756="",IF(OR($H756&lt;&gt;"No",AND($F756&lt;&gt;"Medium",$F756&lt;&gt;"Low")),"Pending Result",""),IF(OR($H756&lt;&gt;"No",AND($F756&lt;&gt;"Medium",$F756&lt;&gt;"Low")),IF(COUNTIFS(Dashboard!$B$105:$B$124,$A756,Dashboard!$I$105:$I$124,"CAB")&gt;0,"Accepted (CF)","Blocking"),IF($J756="Failed","Deferrable","Carry Over"))))))</f>
        <v/>
      </c>
      <c r="M756" s="68" t="str">
        <f>IF(OR(TRIM($A756)="",TRIM($E756)=""),"",IFERROR(INDEX('E2E core flow'!$B$15:$B$1000,MATCH(1,INDEX(('E2E core flow'!$A$15:$A$1000&lt;&gt;"")*ISNUMBER(SEARCH('E2E core flow'!$A$15:$A$1000,$E756)),0),0))&amp;"","-"))</f>
        <v/>
      </c>
      <c r="N756" s="68" t="str">
        <f>IF(TRIM($A756)="","",IF($O756=0,IF(COUNTIFS('Card Test Cases'!$B$4:$B$1000,$A756,'Card Test Cases'!$A$4:$A$1000,"&lt;&gt;")&gt;0,"Out of Scope","No TC"),IF($Q756&gt;0,"Failed",IF(COUNTIFS('Card Test Cases'!$B$4:$B$1000,$A756,'Card Test Cases'!$A$4:$A$1000,"&lt;&gt;",'Card Test Cases'!$F$4:$F$1000,"Blocked")&gt;0,"Blocked",IF($R756&gt;0,"In Progress","Passed")))))</f>
        <v/>
      </c>
      <c r="O756" s="68" t="str">
        <f>IF(TRIM($A756)="","",COUNTIFS('Card Test Cases'!$B$4:$B$1000,$A756,'Card Test Cases'!$A$4:$A$1000,"&lt;&gt;",'Card Test Cases'!$F$4:$F$1000,"&lt;&gt;Out of Scope"))</f>
        <v/>
      </c>
      <c r="P756" s="68" t="str">
        <f>IF(TRIM($A756)="","",COUNTIFS('Card Test Cases'!$B$4:$B$1000,$A756,'Card Test Cases'!$A$4:$A$1000,"&lt;&gt;",'Card Test Cases'!$F$4:$F$1000,"Passed"))</f>
        <v/>
      </c>
      <c r="Q756" s="68" t="str">
        <f>IF(TRIM($A756)="","",COUNTIFS('Card Test Cases'!$B$4:$B$1000,$A756,'Card Test Cases'!$A$4:$A$1000,"&lt;&gt;",'Card Test Cases'!$F$4:$F$1000,"Failed"))</f>
        <v/>
      </c>
      <c r="R756" s="68" t="str">
        <f t="shared" si="11"/>
        <v/>
      </c>
      <c r="S756" s="68" t="str" cm="1">
        <f t="array" ref="S756">IF(TRIM($A756)="","",IFERROR(_xlfn.TEXTJOIN(", ",TRUE,_xlfn.UNIQUE(_xlfn.VSTACK(_xlfn._xlws.FILTER('Card Test Cases'!$G$4:$G$1000,('Card Test Cases'!$B$4:$B$1000=$A756)*('Card Test Cases'!$G$4:$G$1000&lt;&gt;""),""),_xlfn._xlws.FILTER('E2E core flow'!$U$15:$U$1000,('E2E core flow'!$A$15:$A$1000&lt;&gt;"")*ISNUMBER(SEARCH('E2E core flow'!$A$15:$A$1000,$E756))*('E2E core flow'!$U$15:$U$1000&lt;&gt;""),"")))),"-"))</f>
        <v/>
      </c>
    </row>
    <row r="757" spans="7:19" x14ac:dyDescent="0.3">
      <c r="G757" s="68" t="str" cm="1">
        <f t="array" ref="G757">_xlfn.LET(_xlpm.ids,'E2E core flow'!$A$15:$A$1000,_xlpm.v,'E2E core flow'!$W$15:$W$1000,_xlpm.m,(_xlpm.ids&lt;&gt;"")*ISNUMBER(SEARCH(_xlpm.ids,$E757)),_xlpm.f,SUM(_xlpm.m*(_xlpm.v="Failed")),_xlpm.b,SUM(_xlpm.m*(_xlpm.v="Blocked")),_xlpm.nr,SUM(_xlpm.m*(_xlpm.v="Not Run")),_xlpm.cp,SUM(_xlpm.m*(_xlpm.v="Conditionally Passed")),_xlpm.p,SUM(_xlpm.m*(_xlpm.v="Passed")),IF(TRIM($A757)="","",IF(TRIM($E757)="","Pending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57" s="68" t="str">
        <f>IF(TRIM($A757)="","",IF($J757="Passed","",IF($J757="Passed with Known Issue","Known Issue",IF($J757="",IF(OR($H757&lt;&gt;"No",AND($F757&lt;&gt;"Medium",$F757&lt;&gt;"Low")),"Pending Result",""),IF(OR($H757&lt;&gt;"No",AND($F757&lt;&gt;"Medium",$F757&lt;&gt;"Low")),IF(COUNTIFS(Dashboard!$B$105:$B$124,$A757,Dashboard!$I$105:$I$124,"CAB")&gt;0,"Accepted (CF)","Blocking"),IF($J757="Failed","Deferrable","Carry Over"))))))</f>
        <v/>
      </c>
      <c r="M757" s="68" t="str">
        <f>IF(OR(TRIM($A757)="",TRIM($E757)=""),"",IFERROR(INDEX('E2E core flow'!$B$15:$B$1000,MATCH(1,INDEX(('E2E core flow'!$A$15:$A$1000&lt;&gt;"")*ISNUMBER(SEARCH('E2E core flow'!$A$15:$A$1000,$E757)),0),0))&amp;"","-"))</f>
        <v/>
      </c>
      <c r="N757" s="68" t="str">
        <f>IF(TRIM($A757)="","",IF($O757=0,IF(COUNTIFS('Card Test Cases'!$B$4:$B$1000,$A757,'Card Test Cases'!$A$4:$A$1000,"&lt;&gt;")&gt;0,"Out of Scope","No TC"),IF($Q757&gt;0,"Failed",IF(COUNTIFS('Card Test Cases'!$B$4:$B$1000,$A757,'Card Test Cases'!$A$4:$A$1000,"&lt;&gt;",'Card Test Cases'!$F$4:$F$1000,"Blocked")&gt;0,"Blocked",IF($R757&gt;0,"In Progress","Passed")))))</f>
        <v/>
      </c>
      <c r="O757" s="68" t="str">
        <f>IF(TRIM($A757)="","",COUNTIFS('Card Test Cases'!$B$4:$B$1000,$A757,'Card Test Cases'!$A$4:$A$1000,"&lt;&gt;",'Card Test Cases'!$F$4:$F$1000,"&lt;&gt;Out of Scope"))</f>
        <v/>
      </c>
      <c r="P757" s="68" t="str">
        <f>IF(TRIM($A757)="","",COUNTIFS('Card Test Cases'!$B$4:$B$1000,$A757,'Card Test Cases'!$A$4:$A$1000,"&lt;&gt;",'Card Test Cases'!$F$4:$F$1000,"Passed"))</f>
        <v/>
      </c>
      <c r="Q757" s="68" t="str">
        <f>IF(TRIM($A757)="","",COUNTIFS('Card Test Cases'!$B$4:$B$1000,$A757,'Card Test Cases'!$A$4:$A$1000,"&lt;&gt;",'Card Test Cases'!$F$4:$F$1000,"Failed"))</f>
        <v/>
      </c>
      <c r="R757" s="68" t="str">
        <f t="shared" si="11"/>
        <v/>
      </c>
      <c r="S757" s="68" t="str" cm="1">
        <f t="array" ref="S757">IF(TRIM($A757)="","",IFERROR(_xlfn.TEXTJOIN(", ",TRUE,_xlfn.UNIQUE(_xlfn.VSTACK(_xlfn._xlws.FILTER('Card Test Cases'!$G$4:$G$1000,('Card Test Cases'!$B$4:$B$1000=$A757)*('Card Test Cases'!$G$4:$G$1000&lt;&gt;""),""),_xlfn._xlws.FILTER('E2E core flow'!$U$15:$U$1000,('E2E core flow'!$A$15:$A$1000&lt;&gt;"")*ISNUMBER(SEARCH('E2E core flow'!$A$15:$A$1000,$E757))*('E2E core flow'!$U$15:$U$1000&lt;&gt;""),"")))),"-"))</f>
        <v/>
      </c>
    </row>
    <row r="758" spans="7:19" x14ac:dyDescent="0.3">
      <c r="G758" s="68" t="str" cm="1">
        <f t="array" ref="G758">_xlfn.LET(_xlpm.ids,'E2E core flow'!$A$15:$A$1000,_xlpm.v,'E2E core flow'!$W$15:$W$1000,_xlpm.m,(_xlpm.ids&lt;&gt;"")*ISNUMBER(SEARCH(_xlpm.ids,$E758)),_xlpm.f,SUM(_xlpm.m*(_xlpm.v="Failed")),_xlpm.b,SUM(_xlpm.m*(_xlpm.v="Blocked")),_xlpm.nr,SUM(_xlpm.m*(_xlpm.v="Not Run")),_xlpm.cp,SUM(_xlpm.m*(_xlpm.v="Conditionally Passed")),_xlpm.p,SUM(_xlpm.m*(_xlpm.v="Passed")),IF(TRIM($A758)="","",IF(TRIM($E758)="","Pending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58" s="68" t="str">
        <f>IF(TRIM($A758)="","",IF($J758="Passed","",IF($J758="Passed with Known Issue","Known Issue",IF($J758="",IF(OR($H758&lt;&gt;"No",AND($F758&lt;&gt;"Medium",$F758&lt;&gt;"Low")),"Pending Result",""),IF(OR($H758&lt;&gt;"No",AND($F758&lt;&gt;"Medium",$F758&lt;&gt;"Low")),IF(COUNTIFS(Dashboard!$B$105:$B$124,$A758,Dashboard!$I$105:$I$124,"CAB")&gt;0,"Accepted (CF)","Blocking"),IF($J758="Failed","Deferrable","Carry Over"))))))</f>
        <v/>
      </c>
      <c r="M758" s="68" t="str">
        <f>IF(OR(TRIM($A758)="",TRIM($E758)=""),"",IFERROR(INDEX('E2E core flow'!$B$15:$B$1000,MATCH(1,INDEX(('E2E core flow'!$A$15:$A$1000&lt;&gt;"")*ISNUMBER(SEARCH('E2E core flow'!$A$15:$A$1000,$E758)),0),0))&amp;"","-"))</f>
        <v/>
      </c>
      <c r="N758" s="68" t="str">
        <f>IF(TRIM($A758)="","",IF($O758=0,IF(COUNTIFS('Card Test Cases'!$B$4:$B$1000,$A758,'Card Test Cases'!$A$4:$A$1000,"&lt;&gt;")&gt;0,"Out of Scope","No TC"),IF($Q758&gt;0,"Failed",IF(COUNTIFS('Card Test Cases'!$B$4:$B$1000,$A758,'Card Test Cases'!$A$4:$A$1000,"&lt;&gt;",'Card Test Cases'!$F$4:$F$1000,"Blocked")&gt;0,"Blocked",IF($R758&gt;0,"In Progress","Passed")))))</f>
        <v/>
      </c>
      <c r="O758" s="68" t="str">
        <f>IF(TRIM($A758)="","",COUNTIFS('Card Test Cases'!$B$4:$B$1000,$A758,'Card Test Cases'!$A$4:$A$1000,"&lt;&gt;",'Card Test Cases'!$F$4:$F$1000,"&lt;&gt;Out of Scope"))</f>
        <v/>
      </c>
      <c r="P758" s="68" t="str">
        <f>IF(TRIM($A758)="","",COUNTIFS('Card Test Cases'!$B$4:$B$1000,$A758,'Card Test Cases'!$A$4:$A$1000,"&lt;&gt;",'Card Test Cases'!$F$4:$F$1000,"Passed"))</f>
        <v/>
      </c>
      <c r="Q758" s="68" t="str">
        <f>IF(TRIM($A758)="","",COUNTIFS('Card Test Cases'!$B$4:$B$1000,$A758,'Card Test Cases'!$A$4:$A$1000,"&lt;&gt;",'Card Test Cases'!$F$4:$F$1000,"Failed"))</f>
        <v/>
      </c>
      <c r="R758" s="68" t="str">
        <f t="shared" si="11"/>
        <v/>
      </c>
      <c r="S758" s="68" t="str" cm="1">
        <f t="array" ref="S758">IF(TRIM($A758)="","",IFERROR(_xlfn.TEXTJOIN(", ",TRUE,_xlfn.UNIQUE(_xlfn.VSTACK(_xlfn._xlws.FILTER('Card Test Cases'!$G$4:$G$1000,('Card Test Cases'!$B$4:$B$1000=$A758)*('Card Test Cases'!$G$4:$G$1000&lt;&gt;""),""),_xlfn._xlws.FILTER('E2E core flow'!$U$15:$U$1000,('E2E core flow'!$A$15:$A$1000&lt;&gt;"")*ISNUMBER(SEARCH('E2E core flow'!$A$15:$A$1000,$E758))*('E2E core flow'!$U$15:$U$1000&lt;&gt;""),"")))),"-"))</f>
        <v/>
      </c>
    </row>
    <row r="759" spans="7:19" x14ac:dyDescent="0.3">
      <c r="G759" s="68" t="str" cm="1">
        <f t="array" ref="G759">_xlfn.LET(_xlpm.ids,'E2E core flow'!$A$15:$A$1000,_xlpm.v,'E2E core flow'!$W$15:$W$1000,_xlpm.m,(_xlpm.ids&lt;&gt;"")*ISNUMBER(SEARCH(_xlpm.ids,$E759)),_xlpm.f,SUM(_xlpm.m*(_xlpm.v="Failed")),_xlpm.b,SUM(_xlpm.m*(_xlpm.v="Blocked")),_xlpm.nr,SUM(_xlpm.m*(_xlpm.v="Not Run")),_xlpm.cp,SUM(_xlpm.m*(_xlpm.v="Conditionally Passed")),_xlpm.p,SUM(_xlpm.m*(_xlpm.v="Passed")),IF(TRIM($A759)="","",IF(TRIM($E759)="","Pending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59" s="68" t="str">
        <f>IF(TRIM($A759)="","",IF($J759="Passed","",IF($J759="Passed with Known Issue","Known Issue",IF($J759="",IF(OR($H759&lt;&gt;"No",AND($F759&lt;&gt;"Medium",$F759&lt;&gt;"Low")),"Pending Result",""),IF(OR($H759&lt;&gt;"No",AND($F759&lt;&gt;"Medium",$F759&lt;&gt;"Low")),IF(COUNTIFS(Dashboard!$B$105:$B$124,$A759,Dashboard!$I$105:$I$124,"CAB")&gt;0,"Accepted (CF)","Blocking"),IF($J759="Failed","Deferrable","Carry Over"))))))</f>
        <v/>
      </c>
      <c r="M759" s="68" t="str">
        <f>IF(OR(TRIM($A759)="",TRIM($E759)=""),"",IFERROR(INDEX('E2E core flow'!$B$15:$B$1000,MATCH(1,INDEX(('E2E core flow'!$A$15:$A$1000&lt;&gt;"")*ISNUMBER(SEARCH('E2E core flow'!$A$15:$A$1000,$E759)),0),0))&amp;"","-"))</f>
        <v/>
      </c>
      <c r="N759" s="68" t="str">
        <f>IF(TRIM($A759)="","",IF($O759=0,IF(COUNTIFS('Card Test Cases'!$B$4:$B$1000,$A759,'Card Test Cases'!$A$4:$A$1000,"&lt;&gt;")&gt;0,"Out of Scope","No TC"),IF($Q759&gt;0,"Failed",IF(COUNTIFS('Card Test Cases'!$B$4:$B$1000,$A759,'Card Test Cases'!$A$4:$A$1000,"&lt;&gt;",'Card Test Cases'!$F$4:$F$1000,"Blocked")&gt;0,"Blocked",IF($R759&gt;0,"In Progress","Passed")))))</f>
        <v/>
      </c>
      <c r="O759" s="68" t="str">
        <f>IF(TRIM($A759)="","",COUNTIFS('Card Test Cases'!$B$4:$B$1000,$A759,'Card Test Cases'!$A$4:$A$1000,"&lt;&gt;",'Card Test Cases'!$F$4:$F$1000,"&lt;&gt;Out of Scope"))</f>
        <v/>
      </c>
      <c r="P759" s="68" t="str">
        <f>IF(TRIM($A759)="","",COUNTIFS('Card Test Cases'!$B$4:$B$1000,$A759,'Card Test Cases'!$A$4:$A$1000,"&lt;&gt;",'Card Test Cases'!$F$4:$F$1000,"Passed"))</f>
        <v/>
      </c>
      <c r="Q759" s="68" t="str">
        <f>IF(TRIM($A759)="","",COUNTIFS('Card Test Cases'!$B$4:$B$1000,$A759,'Card Test Cases'!$A$4:$A$1000,"&lt;&gt;",'Card Test Cases'!$F$4:$F$1000,"Failed"))</f>
        <v/>
      </c>
      <c r="R759" s="68" t="str">
        <f t="shared" si="11"/>
        <v/>
      </c>
      <c r="S759" s="68" t="str" cm="1">
        <f t="array" ref="S759">IF(TRIM($A759)="","",IFERROR(_xlfn.TEXTJOIN(", ",TRUE,_xlfn.UNIQUE(_xlfn.VSTACK(_xlfn._xlws.FILTER('Card Test Cases'!$G$4:$G$1000,('Card Test Cases'!$B$4:$B$1000=$A759)*('Card Test Cases'!$G$4:$G$1000&lt;&gt;""),""),_xlfn._xlws.FILTER('E2E core flow'!$U$15:$U$1000,('E2E core flow'!$A$15:$A$1000&lt;&gt;"")*ISNUMBER(SEARCH('E2E core flow'!$A$15:$A$1000,$E759))*('E2E core flow'!$U$15:$U$1000&lt;&gt;""),"")))),"-"))</f>
        <v/>
      </c>
    </row>
    <row r="760" spans="7:19" x14ac:dyDescent="0.3">
      <c r="G760" s="68" t="str" cm="1">
        <f t="array" ref="G760">_xlfn.LET(_xlpm.ids,'E2E core flow'!$A$15:$A$1000,_xlpm.v,'E2E core flow'!$W$15:$W$1000,_xlpm.m,(_xlpm.ids&lt;&gt;"")*ISNUMBER(SEARCH(_xlpm.ids,$E760)),_xlpm.f,SUM(_xlpm.m*(_xlpm.v="Failed")),_xlpm.b,SUM(_xlpm.m*(_xlpm.v="Blocked")),_xlpm.nr,SUM(_xlpm.m*(_xlpm.v="Not Run")),_xlpm.cp,SUM(_xlpm.m*(_xlpm.v="Conditionally Passed")),_xlpm.p,SUM(_xlpm.m*(_xlpm.v="Passed")),IF(TRIM($A760)="","",IF(TRIM($E760)="","Pending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60" s="68" t="str">
        <f>IF(TRIM($A760)="","",IF($J760="Passed","",IF($J760="Passed with Known Issue","Known Issue",IF($J760="",IF(OR($H760&lt;&gt;"No",AND($F760&lt;&gt;"Medium",$F760&lt;&gt;"Low")),"Pending Result",""),IF(OR($H760&lt;&gt;"No",AND($F760&lt;&gt;"Medium",$F760&lt;&gt;"Low")),IF(COUNTIFS(Dashboard!$B$105:$B$124,$A760,Dashboard!$I$105:$I$124,"CAB")&gt;0,"Accepted (CF)","Blocking"),IF($J760="Failed","Deferrable","Carry Over"))))))</f>
        <v/>
      </c>
      <c r="M760" s="68" t="str">
        <f>IF(OR(TRIM($A760)="",TRIM($E760)=""),"",IFERROR(INDEX('E2E core flow'!$B$15:$B$1000,MATCH(1,INDEX(('E2E core flow'!$A$15:$A$1000&lt;&gt;"")*ISNUMBER(SEARCH('E2E core flow'!$A$15:$A$1000,$E760)),0),0))&amp;"","-"))</f>
        <v/>
      </c>
      <c r="N760" s="68" t="str">
        <f>IF(TRIM($A760)="","",IF($O760=0,IF(COUNTIFS('Card Test Cases'!$B$4:$B$1000,$A760,'Card Test Cases'!$A$4:$A$1000,"&lt;&gt;")&gt;0,"Out of Scope","No TC"),IF($Q760&gt;0,"Failed",IF(COUNTIFS('Card Test Cases'!$B$4:$B$1000,$A760,'Card Test Cases'!$A$4:$A$1000,"&lt;&gt;",'Card Test Cases'!$F$4:$F$1000,"Blocked")&gt;0,"Blocked",IF($R760&gt;0,"In Progress","Passed")))))</f>
        <v/>
      </c>
      <c r="O760" s="68" t="str">
        <f>IF(TRIM($A760)="","",COUNTIFS('Card Test Cases'!$B$4:$B$1000,$A760,'Card Test Cases'!$A$4:$A$1000,"&lt;&gt;",'Card Test Cases'!$F$4:$F$1000,"&lt;&gt;Out of Scope"))</f>
        <v/>
      </c>
      <c r="P760" s="68" t="str">
        <f>IF(TRIM($A760)="","",COUNTIFS('Card Test Cases'!$B$4:$B$1000,$A760,'Card Test Cases'!$A$4:$A$1000,"&lt;&gt;",'Card Test Cases'!$F$4:$F$1000,"Passed"))</f>
        <v/>
      </c>
      <c r="Q760" s="68" t="str">
        <f>IF(TRIM($A760)="","",COUNTIFS('Card Test Cases'!$B$4:$B$1000,$A760,'Card Test Cases'!$A$4:$A$1000,"&lt;&gt;",'Card Test Cases'!$F$4:$F$1000,"Failed"))</f>
        <v/>
      </c>
      <c r="R760" s="68" t="str">
        <f t="shared" si="11"/>
        <v/>
      </c>
      <c r="S760" s="68" t="str" cm="1">
        <f t="array" ref="S760">IF(TRIM($A760)="","",IFERROR(_xlfn.TEXTJOIN(", ",TRUE,_xlfn.UNIQUE(_xlfn.VSTACK(_xlfn._xlws.FILTER('Card Test Cases'!$G$4:$G$1000,('Card Test Cases'!$B$4:$B$1000=$A760)*('Card Test Cases'!$G$4:$G$1000&lt;&gt;""),""),_xlfn._xlws.FILTER('E2E core flow'!$U$15:$U$1000,('E2E core flow'!$A$15:$A$1000&lt;&gt;"")*ISNUMBER(SEARCH('E2E core flow'!$A$15:$A$1000,$E760))*('E2E core flow'!$U$15:$U$1000&lt;&gt;""),"")))),"-"))</f>
        <v/>
      </c>
    </row>
    <row r="761" spans="7:19" x14ac:dyDescent="0.3">
      <c r="G761" s="68" t="str" cm="1">
        <f t="array" ref="G761">_xlfn.LET(_xlpm.ids,'E2E core flow'!$A$15:$A$1000,_xlpm.v,'E2E core flow'!$W$15:$W$1000,_xlpm.m,(_xlpm.ids&lt;&gt;"")*ISNUMBER(SEARCH(_xlpm.ids,$E761)),_xlpm.f,SUM(_xlpm.m*(_xlpm.v="Failed")),_xlpm.b,SUM(_xlpm.m*(_xlpm.v="Blocked")),_xlpm.nr,SUM(_xlpm.m*(_xlpm.v="Not Run")),_xlpm.cp,SUM(_xlpm.m*(_xlpm.v="Conditionally Passed")),_xlpm.p,SUM(_xlpm.m*(_xlpm.v="Passed")),IF(TRIM($A761)="","",IF(TRIM($E761)="","Pending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61" s="68" t="str">
        <f>IF(TRIM($A761)="","",IF($J761="Passed","",IF($J761="Passed with Known Issue","Known Issue",IF($J761="",IF(OR($H761&lt;&gt;"No",AND($F761&lt;&gt;"Medium",$F761&lt;&gt;"Low")),"Pending Result",""),IF(OR($H761&lt;&gt;"No",AND($F761&lt;&gt;"Medium",$F761&lt;&gt;"Low")),IF(COUNTIFS(Dashboard!$B$105:$B$124,$A761,Dashboard!$I$105:$I$124,"CAB")&gt;0,"Accepted (CF)","Blocking"),IF($J761="Failed","Deferrable","Carry Over"))))))</f>
        <v/>
      </c>
      <c r="M761" s="68" t="str">
        <f>IF(OR(TRIM($A761)="",TRIM($E761)=""),"",IFERROR(INDEX('E2E core flow'!$B$15:$B$1000,MATCH(1,INDEX(('E2E core flow'!$A$15:$A$1000&lt;&gt;"")*ISNUMBER(SEARCH('E2E core flow'!$A$15:$A$1000,$E761)),0),0))&amp;"","-"))</f>
        <v/>
      </c>
      <c r="N761" s="68" t="str">
        <f>IF(TRIM($A761)="","",IF($O761=0,IF(COUNTIFS('Card Test Cases'!$B$4:$B$1000,$A761,'Card Test Cases'!$A$4:$A$1000,"&lt;&gt;")&gt;0,"Out of Scope","No TC"),IF($Q761&gt;0,"Failed",IF(COUNTIFS('Card Test Cases'!$B$4:$B$1000,$A761,'Card Test Cases'!$A$4:$A$1000,"&lt;&gt;",'Card Test Cases'!$F$4:$F$1000,"Blocked")&gt;0,"Blocked",IF($R761&gt;0,"In Progress","Passed")))))</f>
        <v/>
      </c>
      <c r="O761" s="68" t="str">
        <f>IF(TRIM($A761)="","",COUNTIFS('Card Test Cases'!$B$4:$B$1000,$A761,'Card Test Cases'!$A$4:$A$1000,"&lt;&gt;",'Card Test Cases'!$F$4:$F$1000,"&lt;&gt;Out of Scope"))</f>
        <v/>
      </c>
      <c r="P761" s="68" t="str">
        <f>IF(TRIM($A761)="","",COUNTIFS('Card Test Cases'!$B$4:$B$1000,$A761,'Card Test Cases'!$A$4:$A$1000,"&lt;&gt;",'Card Test Cases'!$F$4:$F$1000,"Passed"))</f>
        <v/>
      </c>
      <c r="Q761" s="68" t="str">
        <f>IF(TRIM($A761)="","",COUNTIFS('Card Test Cases'!$B$4:$B$1000,$A761,'Card Test Cases'!$A$4:$A$1000,"&lt;&gt;",'Card Test Cases'!$F$4:$F$1000,"Failed"))</f>
        <v/>
      </c>
      <c r="R761" s="68" t="str">
        <f t="shared" si="11"/>
        <v/>
      </c>
      <c r="S761" s="68" t="str" cm="1">
        <f t="array" ref="S761">IF(TRIM($A761)="","",IFERROR(_xlfn.TEXTJOIN(", ",TRUE,_xlfn.UNIQUE(_xlfn.VSTACK(_xlfn._xlws.FILTER('Card Test Cases'!$G$4:$G$1000,('Card Test Cases'!$B$4:$B$1000=$A761)*('Card Test Cases'!$G$4:$G$1000&lt;&gt;""),""),_xlfn._xlws.FILTER('E2E core flow'!$U$15:$U$1000,('E2E core flow'!$A$15:$A$1000&lt;&gt;"")*ISNUMBER(SEARCH('E2E core flow'!$A$15:$A$1000,$E761))*('E2E core flow'!$U$15:$U$1000&lt;&gt;""),"")))),"-"))</f>
        <v/>
      </c>
    </row>
    <row r="762" spans="7:19" x14ac:dyDescent="0.3">
      <c r="G762" s="68" t="str" cm="1">
        <f t="array" ref="G762">_xlfn.LET(_xlpm.ids,'E2E core flow'!$A$15:$A$1000,_xlpm.v,'E2E core flow'!$W$15:$W$1000,_xlpm.m,(_xlpm.ids&lt;&gt;"")*ISNUMBER(SEARCH(_xlpm.ids,$E762)),_xlpm.f,SUM(_xlpm.m*(_xlpm.v="Failed")),_xlpm.b,SUM(_xlpm.m*(_xlpm.v="Blocked")),_xlpm.nr,SUM(_xlpm.m*(_xlpm.v="Not Run")),_xlpm.cp,SUM(_xlpm.m*(_xlpm.v="Conditionally Passed")),_xlpm.p,SUM(_xlpm.m*(_xlpm.v="Passed")),IF(TRIM($A762)="","",IF(TRIM($E762)="","Pending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62" s="68" t="str">
        <f>IF(TRIM($A762)="","",IF($J762="Passed","",IF($J762="Passed with Known Issue","Known Issue",IF($J762="",IF(OR($H762&lt;&gt;"No",AND($F762&lt;&gt;"Medium",$F762&lt;&gt;"Low")),"Pending Result",""),IF(OR($H762&lt;&gt;"No",AND($F762&lt;&gt;"Medium",$F762&lt;&gt;"Low")),IF(COUNTIFS(Dashboard!$B$105:$B$124,$A762,Dashboard!$I$105:$I$124,"CAB")&gt;0,"Accepted (CF)","Blocking"),IF($J762="Failed","Deferrable","Carry Over"))))))</f>
        <v/>
      </c>
      <c r="M762" s="68" t="str">
        <f>IF(OR(TRIM($A762)="",TRIM($E762)=""),"",IFERROR(INDEX('E2E core flow'!$B$15:$B$1000,MATCH(1,INDEX(('E2E core flow'!$A$15:$A$1000&lt;&gt;"")*ISNUMBER(SEARCH('E2E core flow'!$A$15:$A$1000,$E762)),0),0))&amp;"","-"))</f>
        <v/>
      </c>
      <c r="N762" s="68" t="str">
        <f>IF(TRIM($A762)="","",IF($O762=0,IF(COUNTIFS('Card Test Cases'!$B$4:$B$1000,$A762,'Card Test Cases'!$A$4:$A$1000,"&lt;&gt;")&gt;0,"Out of Scope","No TC"),IF($Q762&gt;0,"Failed",IF(COUNTIFS('Card Test Cases'!$B$4:$B$1000,$A762,'Card Test Cases'!$A$4:$A$1000,"&lt;&gt;",'Card Test Cases'!$F$4:$F$1000,"Blocked")&gt;0,"Blocked",IF($R762&gt;0,"In Progress","Passed")))))</f>
        <v/>
      </c>
      <c r="O762" s="68" t="str">
        <f>IF(TRIM($A762)="","",COUNTIFS('Card Test Cases'!$B$4:$B$1000,$A762,'Card Test Cases'!$A$4:$A$1000,"&lt;&gt;",'Card Test Cases'!$F$4:$F$1000,"&lt;&gt;Out of Scope"))</f>
        <v/>
      </c>
      <c r="P762" s="68" t="str">
        <f>IF(TRIM($A762)="","",COUNTIFS('Card Test Cases'!$B$4:$B$1000,$A762,'Card Test Cases'!$A$4:$A$1000,"&lt;&gt;",'Card Test Cases'!$F$4:$F$1000,"Passed"))</f>
        <v/>
      </c>
      <c r="Q762" s="68" t="str">
        <f>IF(TRIM($A762)="","",COUNTIFS('Card Test Cases'!$B$4:$B$1000,$A762,'Card Test Cases'!$A$4:$A$1000,"&lt;&gt;",'Card Test Cases'!$F$4:$F$1000,"Failed"))</f>
        <v/>
      </c>
      <c r="R762" s="68" t="str">
        <f t="shared" si="11"/>
        <v/>
      </c>
      <c r="S762" s="68" t="str" cm="1">
        <f t="array" ref="S762">IF(TRIM($A762)="","",IFERROR(_xlfn.TEXTJOIN(", ",TRUE,_xlfn.UNIQUE(_xlfn.VSTACK(_xlfn._xlws.FILTER('Card Test Cases'!$G$4:$G$1000,('Card Test Cases'!$B$4:$B$1000=$A762)*('Card Test Cases'!$G$4:$G$1000&lt;&gt;""),""),_xlfn._xlws.FILTER('E2E core flow'!$U$15:$U$1000,('E2E core flow'!$A$15:$A$1000&lt;&gt;"")*ISNUMBER(SEARCH('E2E core flow'!$A$15:$A$1000,$E762))*('E2E core flow'!$U$15:$U$1000&lt;&gt;""),"")))),"-"))</f>
        <v/>
      </c>
    </row>
    <row r="763" spans="7:19" x14ac:dyDescent="0.3">
      <c r="G763" s="68" t="str" cm="1">
        <f t="array" ref="G763">_xlfn.LET(_xlpm.ids,'E2E core flow'!$A$15:$A$1000,_xlpm.v,'E2E core flow'!$W$15:$W$1000,_xlpm.m,(_xlpm.ids&lt;&gt;"")*ISNUMBER(SEARCH(_xlpm.ids,$E763)),_xlpm.f,SUM(_xlpm.m*(_xlpm.v="Failed")),_xlpm.b,SUM(_xlpm.m*(_xlpm.v="Blocked")),_xlpm.nr,SUM(_xlpm.m*(_xlpm.v="Not Run")),_xlpm.cp,SUM(_xlpm.m*(_xlpm.v="Conditionally Passed")),_xlpm.p,SUM(_xlpm.m*(_xlpm.v="Passed")),IF(TRIM($A763)="","",IF(TRIM($E763)="","Pending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63" s="68" t="str">
        <f>IF(TRIM($A763)="","",IF($J763="Passed","",IF($J763="Passed with Known Issue","Known Issue",IF($J763="",IF(OR($H763&lt;&gt;"No",AND($F763&lt;&gt;"Medium",$F763&lt;&gt;"Low")),"Pending Result",""),IF(OR($H763&lt;&gt;"No",AND($F763&lt;&gt;"Medium",$F763&lt;&gt;"Low")),IF(COUNTIFS(Dashboard!$B$105:$B$124,$A763,Dashboard!$I$105:$I$124,"CAB")&gt;0,"Accepted (CF)","Blocking"),IF($J763="Failed","Deferrable","Carry Over"))))))</f>
        <v/>
      </c>
      <c r="M763" s="68" t="str">
        <f>IF(OR(TRIM($A763)="",TRIM($E763)=""),"",IFERROR(INDEX('E2E core flow'!$B$15:$B$1000,MATCH(1,INDEX(('E2E core flow'!$A$15:$A$1000&lt;&gt;"")*ISNUMBER(SEARCH('E2E core flow'!$A$15:$A$1000,$E763)),0),0))&amp;"","-"))</f>
        <v/>
      </c>
      <c r="N763" s="68" t="str">
        <f>IF(TRIM($A763)="","",IF($O763=0,IF(COUNTIFS('Card Test Cases'!$B$4:$B$1000,$A763,'Card Test Cases'!$A$4:$A$1000,"&lt;&gt;")&gt;0,"Out of Scope","No TC"),IF($Q763&gt;0,"Failed",IF(COUNTIFS('Card Test Cases'!$B$4:$B$1000,$A763,'Card Test Cases'!$A$4:$A$1000,"&lt;&gt;",'Card Test Cases'!$F$4:$F$1000,"Blocked")&gt;0,"Blocked",IF($R763&gt;0,"In Progress","Passed")))))</f>
        <v/>
      </c>
      <c r="O763" s="68" t="str">
        <f>IF(TRIM($A763)="","",COUNTIFS('Card Test Cases'!$B$4:$B$1000,$A763,'Card Test Cases'!$A$4:$A$1000,"&lt;&gt;",'Card Test Cases'!$F$4:$F$1000,"&lt;&gt;Out of Scope"))</f>
        <v/>
      </c>
      <c r="P763" s="68" t="str">
        <f>IF(TRIM($A763)="","",COUNTIFS('Card Test Cases'!$B$4:$B$1000,$A763,'Card Test Cases'!$A$4:$A$1000,"&lt;&gt;",'Card Test Cases'!$F$4:$F$1000,"Passed"))</f>
        <v/>
      </c>
      <c r="Q763" s="68" t="str">
        <f>IF(TRIM($A763)="","",COUNTIFS('Card Test Cases'!$B$4:$B$1000,$A763,'Card Test Cases'!$A$4:$A$1000,"&lt;&gt;",'Card Test Cases'!$F$4:$F$1000,"Failed"))</f>
        <v/>
      </c>
      <c r="R763" s="68" t="str">
        <f t="shared" si="11"/>
        <v/>
      </c>
      <c r="S763" s="68" t="str" cm="1">
        <f t="array" ref="S763">IF(TRIM($A763)="","",IFERROR(_xlfn.TEXTJOIN(", ",TRUE,_xlfn.UNIQUE(_xlfn.VSTACK(_xlfn._xlws.FILTER('Card Test Cases'!$G$4:$G$1000,('Card Test Cases'!$B$4:$B$1000=$A763)*('Card Test Cases'!$G$4:$G$1000&lt;&gt;""),""),_xlfn._xlws.FILTER('E2E core flow'!$U$15:$U$1000,('E2E core flow'!$A$15:$A$1000&lt;&gt;"")*ISNUMBER(SEARCH('E2E core flow'!$A$15:$A$1000,$E763))*('E2E core flow'!$U$15:$U$1000&lt;&gt;""),"")))),"-"))</f>
        <v/>
      </c>
    </row>
    <row r="764" spans="7:19" x14ac:dyDescent="0.3">
      <c r="G764" s="68" t="str" cm="1">
        <f t="array" ref="G764">_xlfn.LET(_xlpm.ids,'E2E core flow'!$A$15:$A$1000,_xlpm.v,'E2E core flow'!$W$15:$W$1000,_xlpm.m,(_xlpm.ids&lt;&gt;"")*ISNUMBER(SEARCH(_xlpm.ids,$E764)),_xlpm.f,SUM(_xlpm.m*(_xlpm.v="Failed")),_xlpm.b,SUM(_xlpm.m*(_xlpm.v="Blocked")),_xlpm.nr,SUM(_xlpm.m*(_xlpm.v="Not Run")),_xlpm.cp,SUM(_xlpm.m*(_xlpm.v="Conditionally Passed")),_xlpm.p,SUM(_xlpm.m*(_xlpm.v="Passed")),IF(TRIM($A764)="","",IF(TRIM($E764)="","Pending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64" s="68" t="str">
        <f>IF(TRIM($A764)="","",IF($J764="Passed","",IF($J764="Passed with Known Issue","Known Issue",IF($J764="",IF(OR($H764&lt;&gt;"No",AND($F764&lt;&gt;"Medium",$F764&lt;&gt;"Low")),"Pending Result",""),IF(OR($H764&lt;&gt;"No",AND($F764&lt;&gt;"Medium",$F764&lt;&gt;"Low")),IF(COUNTIFS(Dashboard!$B$105:$B$124,$A764,Dashboard!$I$105:$I$124,"CAB")&gt;0,"Accepted (CF)","Blocking"),IF($J764="Failed","Deferrable","Carry Over"))))))</f>
        <v/>
      </c>
      <c r="M764" s="68" t="str">
        <f>IF(OR(TRIM($A764)="",TRIM($E764)=""),"",IFERROR(INDEX('E2E core flow'!$B$15:$B$1000,MATCH(1,INDEX(('E2E core flow'!$A$15:$A$1000&lt;&gt;"")*ISNUMBER(SEARCH('E2E core flow'!$A$15:$A$1000,$E764)),0),0))&amp;"","-"))</f>
        <v/>
      </c>
      <c r="N764" s="68" t="str">
        <f>IF(TRIM($A764)="","",IF($O764=0,IF(COUNTIFS('Card Test Cases'!$B$4:$B$1000,$A764,'Card Test Cases'!$A$4:$A$1000,"&lt;&gt;")&gt;0,"Out of Scope","No TC"),IF($Q764&gt;0,"Failed",IF(COUNTIFS('Card Test Cases'!$B$4:$B$1000,$A764,'Card Test Cases'!$A$4:$A$1000,"&lt;&gt;",'Card Test Cases'!$F$4:$F$1000,"Blocked")&gt;0,"Blocked",IF($R764&gt;0,"In Progress","Passed")))))</f>
        <v/>
      </c>
      <c r="O764" s="68" t="str">
        <f>IF(TRIM($A764)="","",COUNTIFS('Card Test Cases'!$B$4:$B$1000,$A764,'Card Test Cases'!$A$4:$A$1000,"&lt;&gt;",'Card Test Cases'!$F$4:$F$1000,"&lt;&gt;Out of Scope"))</f>
        <v/>
      </c>
      <c r="P764" s="68" t="str">
        <f>IF(TRIM($A764)="","",COUNTIFS('Card Test Cases'!$B$4:$B$1000,$A764,'Card Test Cases'!$A$4:$A$1000,"&lt;&gt;",'Card Test Cases'!$F$4:$F$1000,"Passed"))</f>
        <v/>
      </c>
      <c r="Q764" s="68" t="str">
        <f>IF(TRIM($A764)="","",COUNTIFS('Card Test Cases'!$B$4:$B$1000,$A764,'Card Test Cases'!$A$4:$A$1000,"&lt;&gt;",'Card Test Cases'!$F$4:$F$1000,"Failed"))</f>
        <v/>
      </c>
      <c r="R764" s="68" t="str">
        <f t="shared" si="11"/>
        <v/>
      </c>
      <c r="S764" s="68" t="str" cm="1">
        <f t="array" ref="S764">IF(TRIM($A764)="","",IFERROR(_xlfn.TEXTJOIN(", ",TRUE,_xlfn.UNIQUE(_xlfn.VSTACK(_xlfn._xlws.FILTER('Card Test Cases'!$G$4:$G$1000,('Card Test Cases'!$B$4:$B$1000=$A764)*('Card Test Cases'!$G$4:$G$1000&lt;&gt;""),""),_xlfn._xlws.FILTER('E2E core flow'!$U$15:$U$1000,('E2E core flow'!$A$15:$A$1000&lt;&gt;"")*ISNUMBER(SEARCH('E2E core flow'!$A$15:$A$1000,$E764))*('E2E core flow'!$U$15:$U$1000&lt;&gt;""),"")))),"-"))</f>
        <v/>
      </c>
    </row>
    <row r="765" spans="7:19" x14ac:dyDescent="0.3">
      <c r="G765" s="68" t="str" cm="1">
        <f t="array" ref="G765">_xlfn.LET(_xlpm.ids,'E2E core flow'!$A$15:$A$1000,_xlpm.v,'E2E core flow'!$W$15:$W$1000,_xlpm.m,(_xlpm.ids&lt;&gt;"")*ISNUMBER(SEARCH(_xlpm.ids,$E765)),_xlpm.f,SUM(_xlpm.m*(_xlpm.v="Failed")),_xlpm.b,SUM(_xlpm.m*(_xlpm.v="Blocked")),_xlpm.nr,SUM(_xlpm.m*(_xlpm.v="Not Run")),_xlpm.cp,SUM(_xlpm.m*(_xlpm.v="Conditionally Passed")),_xlpm.p,SUM(_xlpm.m*(_xlpm.v="Passed")),IF(TRIM($A765)="","",IF(TRIM($E765)="","Pending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65" s="68" t="str">
        <f>IF(TRIM($A765)="","",IF($J765="Passed","",IF($J765="Passed with Known Issue","Known Issue",IF($J765="",IF(OR($H765&lt;&gt;"No",AND($F765&lt;&gt;"Medium",$F765&lt;&gt;"Low")),"Pending Result",""),IF(OR($H765&lt;&gt;"No",AND($F765&lt;&gt;"Medium",$F765&lt;&gt;"Low")),IF(COUNTIFS(Dashboard!$B$105:$B$124,$A765,Dashboard!$I$105:$I$124,"CAB")&gt;0,"Accepted (CF)","Blocking"),IF($J765="Failed","Deferrable","Carry Over"))))))</f>
        <v/>
      </c>
      <c r="M765" s="68" t="str">
        <f>IF(OR(TRIM($A765)="",TRIM($E765)=""),"",IFERROR(INDEX('E2E core flow'!$B$15:$B$1000,MATCH(1,INDEX(('E2E core flow'!$A$15:$A$1000&lt;&gt;"")*ISNUMBER(SEARCH('E2E core flow'!$A$15:$A$1000,$E765)),0),0))&amp;"","-"))</f>
        <v/>
      </c>
      <c r="N765" s="68" t="str">
        <f>IF(TRIM($A765)="","",IF($O765=0,IF(COUNTIFS('Card Test Cases'!$B$4:$B$1000,$A765,'Card Test Cases'!$A$4:$A$1000,"&lt;&gt;")&gt;0,"Out of Scope","No TC"),IF($Q765&gt;0,"Failed",IF(COUNTIFS('Card Test Cases'!$B$4:$B$1000,$A765,'Card Test Cases'!$A$4:$A$1000,"&lt;&gt;",'Card Test Cases'!$F$4:$F$1000,"Blocked")&gt;0,"Blocked",IF($R765&gt;0,"In Progress","Passed")))))</f>
        <v/>
      </c>
      <c r="O765" s="68" t="str">
        <f>IF(TRIM($A765)="","",COUNTIFS('Card Test Cases'!$B$4:$B$1000,$A765,'Card Test Cases'!$A$4:$A$1000,"&lt;&gt;",'Card Test Cases'!$F$4:$F$1000,"&lt;&gt;Out of Scope"))</f>
        <v/>
      </c>
      <c r="P765" s="68" t="str">
        <f>IF(TRIM($A765)="","",COUNTIFS('Card Test Cases'!$B$4:$B$1000,$A765,'Card Test Cases'!$A$4:$A$1000,"&lt;&gt;",'Card Test Cases'!$F$4:$F$1000,"Passed"))</f>
        <v/>
      </c>
      <c r="Q765" s="68" t="str">
        <f>IF(TRIM($A765)="","",COUNTIFS('Card Test Cases'!$B$4:$B$1000,$A765,'Card Test Cases'!$A$4:$A$1000,"&lt;&gt;",'Card Test Cases'!$F$4:$F$1000,"Failed"))</f>
        <v/>
      </c>
      <c r="R765" s="68" t="str">
        <f t="shared" si="11"/>
        <v/>
      </c>
      <c r="S765" s="68" t="str" cm="1">
        <f t="array" ref="S765">IF(TRIM($A765)="","",IFERROR(_xlfn.TEXTJOIN(", ",TRUE,_xlfn.UNIQUE(_xlfn.VSTACK(_xlfn._xlws.FILTER('Card Test Cases'!$G$4:$G$1000,('Card Test Cases'!$B$4:$B$1000=$A765)*('Card Test Cases'!$G$4:$G$1000&lt;&gt;""),""),_xlfn._xlws.FILTER('E2E core flow'!$U$15:$U$1000,('E2E core flow'!$A$15:$A$1000&lt;&gt;"")*ISNUMBER(SEARCH('E2E core flow'!$A$15:$A$1000,$E765))*('E2E core flow'!$U$15:$U$1000&lt;&gt;""),"")))),"-"))</f>
        <v/>
      </c>
    </row>
    <row r="766" spans="7:19" x14ac:dyDescent="0.3">
      <c r="G766" s="68" t="str" cm="1">
        <f t="array" ref="G766">_xlfn.LET(_xlpm.ids,'E2E core flow'!$A$15:$A$1000,_xlpm.v,'E2E core flow'!$W$15:$W$1000,_xlpm.m,(_xlpm.ids&lt;&gt;"")*ISNUMBER(SEARCH(_xlpm.ids,$E766)),_xlpm.f,SUM(_xlpm.m*(_xlpm.v="Failed")),_xlpm.b,SUM(_xlpm.m*(_xlpm.v="Blocked")),_xlpm.nr,SUM(_xlpm.m*(_xlpm.v="Not Run")),_xlpm.cp,SUM(_xlpm.m*(_xlpm.v="Conditionally Passed")),_xlpm.p,SUM(_xlpm.m*(_xlpm.v="Passed")),IF(TRIM($A766)="","",IF(TRIM($E766)="","Pending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66" s="68" t="str">
        <f>IF(TRIM($A766)="","",IF($J766="Passed","",IF($J766="Passed with Known Issue","Known Issue",IF($J766="",IF(OR($H766&lt;&gt;"No",AND($F766&lt;&gt;"Medium",$F766&lt;&gt;"Low")),"Pending Result",""),IF(OR($H766&lt;&gt;"No",AND($F766&lt;&gt;"Medium",$F766&lt;&gt;"Low")),IF(COUNTIFS(Dashboard!$B$105:$B$124,$A766,Dashboard!$I$105:$I$124,"CAB")&gt;0,"Accepted (CF)","Blocking"),IF($J766="Failed","Deferrable","Carry Over"))))))</f>
        <v/>
      </c>
      <c r="M766" s="68" t="str">
        <f>IF(OR(TRIM($A766)="",TRIM($E766)=""),"",IFERROR(INDEX('E2E core flow'!$B$15:$B$1000,MATCH(1,INDEX(('E2E core flow'!$A$15:$A$1000&lt;&gt;"")*ISNUMBER(SEARCH('E2E core flow'!$A$15:$A$1000,$E766)),0),0))&amp;"","-"))</f>
        <v/>
      </c>
      <c r="N766" s="68" t="str">
        <f>IF(TRIM($A766)="","",IF($O766=0,IF(COUNTIFS('Card Test Cases'!$B$4:$B$1000,$A766,'Card Test Cases'!$A$4:$A$1000,"&lt;&gt;")&gt;0,"Out of Scope","No TC"),IF($Q766&gt;0,"Failed",IF(COUNTIFS('Card Test Cases'!$B$4:$B$1000,$A766,'Card Test Cases'!$A$4:$A$1000,"&lt;&gt;",'Card Test Cases'!$F$4:$F$1000,"Blocked")&gt;0,"Blocked",IF($R766&gt;0,"In Progress","Passed")))))</f>
        <v/>
      </c>
      <c r="O766" s="68" t="str">
        <f>IF(TRIM($A766)="","",COUNTIFS('Card Test Cases'!$B$4:$B$1000,$A766,'Card Test Cases'!$A$4:$A$1000,"&lt;&gt;",'Card Test Cases'!$F$4:$F$1000,"&lt;&gt;Out of Scope"))</f>
        <v/>
      </c>
      <c r="P766" s="68" t="str">
        <f>IF(TRIM($A766)="","",COUNTIFS('Card Test Cases'!$B$4:$B$1000,$A766,'Card Test Cases'!$A$4:$A$1000,"&lt;&gt;",'Card Test Cases'!$F$4:$F$1000,"Passed"))</f>
        <v/>
      </c>
      <c r="Q766" s="68" t="str">
        <f>IF(TRIM($A766)="","",COUNTIFS('Card Test Cases'!$B$4:$B$1000,$A766,'Card Test Cases'!$A$4:$A$1000,"&lt;&gt;",'Card Test Cases'!$F$4:$F$1000,"Failed"))</f>
        <v/>
      </c>
      <c r="R766" s="68" t="str">
        <f t="shared" si="11"/>
        <v/>
      </c>
      <c r="S766" s="68" t="str" cm="1">
        <f t="array" ref="S766">IF(TRIM($A766)="","",IFERROR(_xlfn.TEXTJOIN(", ",TRUE,_xlfn.UNIQUE(_xlfn.VSTACK(_xlfn._xlws.FILTER('Card Test Cases'!$G$4:$G$1000,('Card Test Cases'!$B$4:$B$1000=$A766)*('Card Test Cases'!$G$4:$G$1000&lt;&gt;""),""),_xlfn._xlws.FILTER('E2E core flow'!$U$15:$U$1000,('E2E core flow'!$A$15:$A$1000&lt;&gt;"")*ISNUMBER(SEARCH('E2E core flow'!$A$15:$A$1000,$E766))*('E2E core flow'!$U$15:$U$1000&lt;&gt;""),"")))),"-"))</f>
        <v/>
      </c>
    </row>
    <row r="767" spans="7:19" x14ac:dyDescent="0.3">
      <c r="G767" s="68" t="str" cm="1">
        <f t="array" ref="G767">_xlfn.LET(_xlpm.ids,'E2E core flow'!$A$15:$A$1000,_xlpm.v,'E2E core flow'!$W$15:$W$1000,_xlpm.m,(_xlpm.ids&lt;&gt;"")*ISNUMBER(SEARCH(_xlpm.ids,$E767)),_xlpm.f,SUM(_xlpm.m*(_xlpm.v="Failed")),_xlpm.b,SUM(_xlpm.m*(_xlpm.v="Blocked")),_xlpm.nr,SUM(_xlpm.m*(_xlpm.v="Not Run")),_xlpm.cp,SUM(_xlpm.m*(_xlpm.v="Conditionally Passed")),_xlpm.p,SUM(_xlpm.m*(_xlpm.v="Passed")),IF(TRIM($A767)="","",IF(TRIM($E767)="","Pending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67" s="68" t="str">
        <f>IF(TRIM($A767)="","",IF($J767="Passed","",IF($J767="Passed with Known Issue","Known Issue",IF($J767="",IF(OR($H767&lt;&gt;"No",AND($F767&lt;&gt;"Medium",$F767&lt;&gt;"Low")),"Pending Result",""),IF(OR($H767&lt;&gt;"No",AND($F767&lt;&gt;"Medium",$F767&lt;&gt;"Low")),IF(COUNTIFS(Dashboard!$B$105:$B$124,$A767,Dashboard!$I$105:$I$124,"CAB")&gt;0,"Accepted (CF)","Blocking"),IF($J767="Failed","Deferrable","Carry Over"))))))</f>
        <v/>
      </c>
      <c r="M767" s="68" t="str">
        <f>IF(OR(TRIM($A767)="",TRIM($E767)=""),"",IFERROR(INDEX('E2E core flow'!$B$15:$B$1000,MATCH(1,INDEX(('E2E core flow'!$A$15:$A$1000&lt;&gt;"")*ISNUMBER(SEARCH('E2E core flow'!$A$15:$A$1000,$E767)),0),0))&amp;"","-"))</f>
        <v/>
      </c>
      <c r="N767" s="68" t="str">
        <f>IF(TRIM($A767)="","",IF($O767=0,IF(COUNTIFS('Card Test Cases'!$B$4:$B$1000,$A767,'Card Test Cases'!$A$4:$A$1000,"&lt;&gt;")&gt;0,"Out of Scope","No TC"),IF($Q767&gt;0,"Failed",IF(COUNTIFS('Card Test Cases'!$B$4:$B$1000,$A767,'Card Test Cases'!$A$4:$A$1000,"&lt;&gt;",'Card Test Cases'!$F$4:$F$1000,"Blocked")&gt;0,"Blocked",IF($R767&gt;0,"In Progress","Passed")))))</f>
        <v/>
      </c>
      <c r="O767" s="68" t="str">
        <f>IF(TRIM($A767)="","",COUNTIFS('Card Test Cases'!$B$4:$B$1000,$A767,'Card Test Cases'!$A$4:$A$1000,"&lt;&gt;",'Card Test Cases'!$F$4:$F$1000,"&lt;&gt;Out of Scope"))</f>
        <v/>
      </c>
      <c r="P767" s="68" t="str">
        <f>IF(TRIM($A767)="","",COUNTIFS('Card Test Cases'!$B$4:$B$1000,$A767,'Card Test Cases'!$A$4:$A$1000,"&lt;&gt;",'Card Test Cases'!$F$4:$F$1000,"Passed"))</f>
        <v/>
      </c>
      <c r="Q767" s="68" t="str">
        <f>IF(TRIM($A767)="","",COUNTIFS('Card Test Cases'!$B$4:$B$1000,$A767,'Card Test Cases'!$A$4:$A$1000,"&lt;&gt;",'Card Test Cases'!$F$4:$F$1000,"Failed"))</f>
        <v/>
      </c>
      <c r="R767" s="68" t="str">
        <f t="shared" si="11"/>
        <v/>
      </c>
      <c r="S767" s="68" t="str" cm="1">
        <f t="array" ref="S767">IF(TRIM($A767)="","",IFERROR(_xlfn.TEXTJOIN(", ",TRUE,_xlfn.UNIQUE(_xlfn.VSTACK(_xlfn._xlws.FILTER('Card Test Cases'!$G$4:$G$1000,('Card Test Cases'!$B$4:$B$1000=$A767)*('Card Test Cases'!$G$4:$G$1000&lt;&gt;""),""),_xlfn._xlws.FILTER('E2E core flow'!$U$15:$U$1000,('E2E core flow'!$A$15:$A$1000&lt;&gt;"")*ISNUMBER(SEARCH('E2E core flow'!$A$15:$A$1000,$E767))*('E2E core flow'!$U$15:$U$1000&lt;&gt;""),"")))),"-"))</f>
        <v/>
      </c>
    </row>
    <row r="768" spans="7:19" x14ac:dyDescent="0.3">
      <c r="G768" s="68" t="str" cm="1">
        <f t="array" ref="G768">_xlfn.LET(_xlpm.ids,'E2E core flow'!$A$15:$A$1000,_xlpm.v,'E2E core flow'!$W$15:$W$1000,_xlpm.m,(_xlpm.ids&lt;&gt;"")*ISNUMBER(SEARCH(_xlpm.ids,$E768)),_xlpm.f,SUM(_xlpm.m*(_xlpm.v="Failed")),_xlpm.b,SUM(_xlpm.m*(_xlpm.v="Blocked")),_xlpm.nr,SUM(_xlpm.m*(_xlpm.v="Not Run")),_xlpm.cp,SUM(_xlpm.m*(_xlpm.v="Conditionally Passed")),_xlpm.p,SUM(_xlpm.m*(_xlpm.v="Passed")),IF(TRIM($A768)="","",IF(TRIM($E768)="","Pending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68" s="68" t="str">
        <f>IF(TRIM($A768)="","",IF($J768="Passed","",IF($J768="Passed with Known Issue","Known Issue",IF($J768="",IF(OR($H768&lt;&gt;"No",AND($F768&lt;&gt;"Medium",$F768&lt;&gt;"Low")),"Pending Result",""),IF(OR($H768&lt;&gt;"No",AND($F768&lt;&gt;"Medium",$F768&lt;&gt;"Low")),IF(COUNTIFS(Dashboard!$B$105:$B$124,$A768,Dashboard!$I$105:$I$124,"CAB")&gt;0,"Accepted (CF)","Blocking"),IF($J768="Failed","Deferrable","Carry Over"))))))</f>
        <v/>
      </c>
      <c r="M768" s="68" t="str">
        <f>IF(OR(TRIM($A768)="",TRIM($E768)=""),"",IFERROR(INDEX('E2E core flow'!$B$15:$B$1000,MATCH(1,INDEX(('E2E core flow'!$A$15:$A$1000&lt;&gt;"")*ISNUMBER(SEARCH('E2E core flow'!$A$15:$A$1000,$E768)),0),0))&amp;"","-"))</f>
        <v/>
      </c>
      <c r="N768" s="68" t="str">
        <f>IF(TRIM($A768)="","",IF($O768=0,IF(COUNTIFS('Card Test Cases'!$B$4:$B$1000,$A768,'Card Test Cases'!$A$4:$A$1000,"&lt;&gt;")&gt;0,"Out of Scope","No TC"),IF($Q768&gt;0,"Failed",IF(COUNTIFS('Card Test Cases'!$B$4:$B$1000,$A768,'Card Test Cases'!$A$4:$A$1000,"&lt;&gt;",'Card Test Cases'!$F$4:$F$1000,"Blocked")&gt;0,"Blocked",IF($R768&gt;0,"In Progress","Passed")))))</f>
        <v/>
      </c>
      <c r="O768" s="68" t="str">
        <f>IF(TRIM($A768)="","",COUNTIFS('Card Test Cases'!$B$4:$B$1000,$A768,'Card Test Cases'!$A$4:$A$1000,"&lt;&gt;",'Card Test Cases'!$F$4:$F$1000,"&lt;&gt;Out of Scope"))</f>
        <v/>
      </c>
      <c r="P768" s="68" t="str">
        <f>IF(TRIM($A768)="","",COUNTIFS('Card Test Cases'!$B$4:$B$1000,$A768,'Card Test Cases'!$A$4:$A$1000,"&lt;&gt;",'Card Test Cases'!$F$4:$F$1000,"Passed"))</f>
        <v/>
      </c>
      <c r="Q768" s="68" t="str">
        <f>IF(TRIM($A768)="","",COUNTIFS('Card Test Cases'!$B$4:$B$1000,$A768,'Card Test Cases'!$A$4:$A$1000,"&lt;&gt;",'Card Test Cases'!$F$4:$F$1000,"Failed"))</f>
        <v/>
      </c>
      <c r="R768" s="68" t="str">
        <f t="shared" si="11"/>
        <v/>
      </c>
      <c r="S768" s="68" t="str" cm="1">
        <f t="array" ref="S768">IF(TRIM($A768)="","",IFERROR(_xlfn.TEXTJOIN(", ",TRUE,_xlfn.UNIQUE(_xlfn.VSTACK(_xlfn._xlws.FILTER('Card Test Cases'!$G$4:$G$1000,('Card Test Cases'!$B$4:$B$1000=$A768)*('Card Test Cases'!$G$4:$G$1000&lt;&gt;""),""),_xlfn._xlws.FILTER('E2E core flow'!$U$15:$U$1000,('E2E core flow'!$A$15:$A$1000&lt;&gt;"")*ISNUMBER(SEARCH('E2E core flow'!$A$15:$A$1000,$E768))*('E2E core flow'!$U$15:$U$1000&lt;&gt;""),"")))),"-"))</f>
        <v/>
      </c>
    </row>
    <row r="769" spans="7:19" x14ac:dyDescent="0.3">
      <c r="G769" s="68" t="str" cm="1">
        <f t="array" ref="G769">_xlfn.LET(_xlpm.ids,'E2E core flow'!$A$15:$A$1000,_xlpm.v,'E2E core flow'!$W$15:$W$1000,_xlpm.m,(_xlpm.ids&lt;&gt;"")*ISNUMBER(SEARCH(_xlpm.ids,$E769)),_xlpm.f,SUM(_xlpm.m*(_xlpm.v="Failed")),_xlpm.b,SUM(_xlpm.m*(_xlpm.v="Blocked")),_xlpm.nr,SUM(_xlpm.m*(_xlpm.v="Not Run")),_xlpm.cp,SUM(_xlpm.m*(_xlpm.v="Conditionally Passed")),_xlpm.p,SUM(_xlpm.m*(_xlpm.v="Passed")),IF(TRIM($A769)="","",IF(TRIM($E769)="","Pending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69" s="68" t="str">
        <f>IF(TRIM($A769)="","",IF($J769="Passed","",IF($J769="Passed with Known Issue","Known Issue",IF($J769="",IF(OR($H769&lt;&gt;"No",AND($F769&lt;&gt;"Medium",$F769&lt;&gt;"Low")),"Pending Result",""),IF(OR($H769&lt;&gt;"No",AND($F769&lt;&gt;"Medium",$F769&lt;&gt;"Low")),IF(COUNTIFS(Dashboard!$B$105:$B$124,$A769,Dashboard!$I$105:$I$124,"CAB")&gt;0,"Accepted (CF)","Blocking"),IF($J769="Failed","Deferrable","Carry Over"))))))</f>
        <v/>
      </c>
      <c r="M769" s="68" t="str">
        <f>IF(OR(TRIM($A769)="",TRIM($E769)=""),"",IFERROR(INDEX('E2E core flow'!$B$15:$B$1000,MATCH(1,INDEX(('E2E core flow'!$A$15:$A$1000&lt;&gt;"")*ISNUMBER(SEARCH('E2E core flow'!$A$15:$A$1000,$E769)),0),0))&amp;"","-"))</f>
        <v/>
      </c>
      <c r="N769" s="68" t="str">
        <f>IF(TRIM($A769)="","",IF($O769=0,IF(COUNTIFS('Card Test Cases'!$B$4:$B$1000,$A769,'Card Test Cases'!$A$4:$A$1000,"&lt;&gt;")&gt;0,"Out of Scope","No TC"),IF($Q769&gt;0,"Failed",IF(COUNTIFS('Card Test Cases'!$B$4:$B$1000,$A769,'Card Test Cases'!$A$4:$A$1000,"&lt;&gt;",'Card Test Cases'!$F$4:$F$1000,"Blocked")&gt;0,"Blocked",IF($R769&gt;0,"In Progress","Passed")))))</f>
        <v/>
      </c>
      <c r="O769" s="68" t="str">
        <f>IF(TRIM($A769)="","",COUNTIFS('Card Test Cases'!$B$4:$B$1000,$A769,'Card Test Cases'!$A$4:$A$1000,"&lt;&gt;",'Card Test Cases'!$F$4:$F$1000,"&lt;&gt;Out of Scope"))</f>
        <v/>
      </c>
      <c r="P769" s="68" t="str">
        <f>IF(TRIM($A769)="","",COUNTIFS('Card Test Cases'!$B$4:$B$1000,$A769,'Card Test Cases'!$A$4:$A$1000,"&lt;&gt;",'Card Test Cases'!$F$4:$F$1000,"Passed"))</f>
        <v/>
      </c>
      <c r="Q769" s="68" t="str">
        <f>IF(TRIM($A769)="","",COUNTIFS('Card Test Cases'!$B$4:$B$1000,$A769,'Card Test Cases'!$A$4:$A$1000,"&lt;&gt;",'Card Test Cases'!$F$4:$F$1000,"Failed"))</f>
        <v/>
      </c>
      <c r="R769" s="68" t="str">
        <f t="shared" si="11"/>
        <v/>
      </c>
      <c r="S769" s="68" t="str" cm="1">
        <f t="array" ref="S769">IF(TRIM($A769)="","",IFERROR(_xlfn.TEXTJOIN(", ",TRUE,_xlfn.UNIQUE(_xlfn.VSTACK(_xlfn._xlws.FILTER('Card Test Cases'!$G$4:$G$1000,('Card Test Cases'!$B$4:$B$1000=$A769)*('Card Test Cases'!$G$4:$G$1000&lt;&gt;""),""),_xlfn._xlws.FILTER('E2E core flow'!$U$15:$U$1000,('E2E core flow'!$A$15:$A$1000&lt;&gt;"")*ISNUMBER(SEARCH('E2E core flow'!$A$15:$A$1000,$E769))*('E2E core flow'!$U$15:$U$1000&lt;&gt;""),"")))),"-"))</f>
        <v/>
      </c>
    </row>
    <row r="770" spans="7:19" x14ac:dyDescent="0.3">
      <c r="G770" s="68" t="str" cm="1">
        <f t="array" ref="G770">_xlfn.LET(_xlpm.ids,'E2E core flow'!$A$15:$A$1000,_xlpm.v,'E2E core flow'!$W$15:$W$1000,_xlpm.m,(_xlpm.ids&lt;&gt;"")*ISNUMBER(SEARCH(_xlpm.ids,$E770)),_xlpm.f,SUM(_xlpm.m*(_xlpm.v="Failed")),_xlpm.b,SUM(_xlpm.m*(_xlpm.v="Blocked")),_xlpm.nr,SUM(_xlpm.m*(_xlpm.v="Not Run")),_xlpm.cp,SUM(_xlpm.m*(_xlpm.v="Conditionally Passed")),_xlpm.p,SUM(_xlpm.m*(_xlpm.v="Passed")),IF(TRIM($A770)="","",IF(TRIM($E770)="","Pending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70" s="68" t="str">
        <f>IF(TRIM($A770)="","",IF($J770="Passed","",IF($J770="Passed with Known Issue","Known Issue",IF($J770="",IF(OR($H770&lt;&gt;"No",AND($F770&lt;&gt;"Medium",$F770&lt;&gt;"Low")),"Pending Result",""),IF(OR($H770&lt;&gt;"No",AND($F770&lt;&gt;"Medium",$F770&lt;&gt;"Low")),IF(COUNTIFS(Dashboard!$B$105:$B$124,$A770,Dashboard!$I$105:$I$124,"CAB")&gt;0,"Accepted (CF)","Blocking"),IF($J770="Failed","Deferrable","Carry Over"))))))</f>
        <v/>
      </c>
      <c r="M770" s="68" t="str">
        <f>IF(OR(TRIM($A770)="",TRIM($E770)=""),"",IFERROR(INDEX('E2E core flow'!$B$15:$B$1000,MATCH(1,INDEX(('E2E core flow'!$A$15:$A$1000&lt;&gt;"")*ISNUMBER(SEARCH('E2E core flow'!$A$15:$A$1000,$E770)),0),0))&amp;"","-"))</f>
        <v/>
      </c>
      <c r="N770" s="68" t="str">
        <f>IF(TRIM($A770)="","",IF($O770=0,IF(COUNTIFS('Card Test Cases'!$B$4:$B$1000,$A770,'Card Test Cases'!$A$4:$A$1000,"&lt;&gt;")&gt;0,"Out of Scope","No TC"),IF($Q770&gt;0,"Failed",IF(COUNTIFS('Card Test Cases'!$B$4:$B$1000,$A770,'Card Test Cases'!$A$4:$A$1000,"&lt;&gt;",'Card Test Cases'!$F$4:$F$1000,"Blocked")&gt;0,"Blocked",IF($R770&gt;0,"In Progress","Passed")))))</f>
        <v/>
      </c>
      <c r="O770" s="68" t="str">
        <f>IF(TRIM($A770)="","",COUNTIFS('Card Test Cases'!$B$4:$B$1000,$A770,'Card Test Cases'!$A$4:$A$1000,"&lt;&gt;",'Card Test Cases'!$F$4:$F$1000,"&lt;&gt;Out of Scope"))</f>
        <v/>
      </c>
      <c r="P770" s="68" t="str">
        <f>IF(TRIM($A770)="","",COUNTIFS('Card Test Cases'!$B$4:$B$1000,$A770,'Card Test Cases'!$A$4:$A$1000,"&lt;&gt;",'Card Test Cases'!$F$4:$F$1000,"Passed"))</f>
        <v/>
      </c>
      <c r="Q770" s="68" t="str">
        <f>IF(TRIM($A770)="","",COUNTIFS('Card Test Cases'!$B$4:$B$1000,$A770,'Card Test Cases'!$A$4:$A$1000,"&lt;&gt;",'Card Test Cases'!$F$4:$F$1000,"Failed"))</f>
        <v/>
      </c>
      <c r="R770" s="68" t="str">
        <f t="shared" si="11"/>
        <v/>
      </c>
      <c r="S770" s="68" t="str" cm="1">
        <f t="array" ref="S770">IF(TRIM($A770)="","",IFERROR(_xlfn.TEXTJOIN(", ",TRUE,_xlfn.UNIQUE(_xlfn.VSTACK(_xlfn._xlws.FILTER('Card Test Cases'!$G$4:$G$1000,('Card Test Cases'!$B$4:$B$1000=$A770)*('Card Test Cases'!$G$4:$G$1000&lt;&gt;""),""),_xlfn._xlws.FILTER('E2E core flow'!$U$15:$U$1000,('E2E core flow'!$A$15:$A$1000&lt;&gt;"")*ISNUMBER(SEARCH('E2E core flow'!$A$15:$A$1000,$E770))*('E2E core flow'!$U$15:$U$1000&lt;&gt;""),"")))),"-"))</f>
        <v/>
      </c>
    </row>
    <row r="771" spans="7:19" x14ac:dyDescent="0.3">
      <c r="G771" s="68" t="str" cm="1">
        <f t="array" ref="G771">_xlfn.LET(_xlpm.ids,'E2E core flow'!$A$15:$A$1000,_xlpm.v,'E2E core flow'!$W$15:$W$1000,_xlpm.m,(_xlpm.ids&lt;&gt;"")*ISNUMBER(SEARCH(_xlpm.ids,$E771)),_xlpm.f,SUM(_xlpm.m*(_xlpm.v="Failed")),_xlpm.b,SUM(_xlpm.m*(_xlpm.v="Blocked")),_xlpm.nr,SUM(_xlpm.m*(_xlpm.v="Not Run")),_xlpm.cp,SUM(_xlpm.m*(_xlpm.v="Conditionally Passed")),_xlpm.p,SUM(_xlpm.m*(_xlpm.v="Passed")),IF(TRIM($A771)="","",IF(TRIM($E771)="","Pending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71" s="68" t="str">
        <f>IF(TRIM($A771)="","",IF($J771="Passed","",IF($J771="Passed with Known Issue","Known Issue",IF($J771="",IF(OR($H771&lt;&gt;"No",AND($F771&lt;&gt;"Medium",$F771&lt;&gt;"Low")),"Pending Result",""),IF(OR($H771&lt;&gt;"No",AND($F771&lt;&gt;"Medium",$F771&lt;&gt;"Low")),IF(COUNTIFS(Dashboard!$B$105:$B$124,$A771,Dashboard!$I$105:$I$124,"CAB")&gt;0,"Accepted (CF)","Blocking"),IF($J771="Failed","Deferrable","Carry Over"))))))</f>
        <v/>
      </c>
      <c r="M771" s="68" t="str">
        <f>IF(OR(TRIM($A771)="",TRIM($E771)=""),"",IFERROR(INDEX('E2E core flow'!$B$15:$B$1000,MATCH(1,INDEX(('E2E core flow'!$A$15:$A$1000&lt;&gt;"")*ISNUMBER(SEARCH('E2E core flow'!$A$15:$A$1000,$E771)),0),0))&amp;"","-"))</f>
        <v/>
      </c>
      <c r="N771" s="68" t="str">
        <f>IF(TRIM($A771)="","",IF($O771=0,IF(COUNTIFS('Card Test Cases'!$B$4:$B$1000,$A771,'Card Test Cases'!$A$4:$A$1000,"&lt;&gt;")&gt;0,"Out of Scope","No TC"),IF($Q771&gt;0,"Failed",IF(COUNTIFS('Card Test Cases'!$B$4:$B$1000,$A771,'Card Test Cases'!$A$4:$A$1000,"&lt;&gt;",'Card Test Cases'!$F$4:$F$1000,"Blocked")&gt;0,"Blocked",IF($R771&gt;0,"In Progress","Passed")))))</f>
        <v/>
      </c>
      <c r="O771" s="68" t="str">
        <f>IF(TRIM($A771)="","",COUNTIFS('Card Test Cases'!$B$4:$B$1000,$A771,'Card Test Cases'!$A$4:$A$1000,"&lt;&gt;",'Card Test Cases'!$F$4:$F$1000,"&lt;&gt;Out of Scope"))</f>
        <v/>
      </c>
      <c r="P771" s="68" t="str">
        <f>IF(TRIM($A771)="","",COUNTIFS('Card Test Cases'!$B$4:$B$1000,$A771,'Card Test Cases'!$A$4:$A$1000,"&lt;&gt;",'Card Test Cases'!$F$4:$F$1000,"Passed"))</f>
        <v/>
      </c>
      <c r="Q771" s="68" t="str">
        <f>IF(TRIM($A771)="","",COUNTIFS('Card Test Cases'!$B$4:$B$1000,$A771,'Card Test Cases'!$A$4:$A$1000,"&lt;&gt;",'Card Test Cases'!$F$4:$F$1000,"Failed"))</f>
        <v/>
      </c>
      <c r="R771" s="68" t="str">
        <f t="shared" si="11"/>
        <v/>
      </c>
      <c r="S771" s="68" t="str" cm="1">
        <f t="array" ref="S771">IF(TRIM($A771)="","",IFERROR(_xlfn.TEXTJOIN(", ",TRUE,_xlfn.UNIQUE(_xlfn.VSTACK(_xlfn._xlws.FILTER('Card Test Cases'!$G$4:$G$1000,('Card Test Cases'!$B$4:$B$1000=$A771)*('Card Test Cases'!$G$4:$G$1000&lt;&gt;""),""),_xlfn._xlws.FILTER('E2E core flow'!$U$15:$U$1000,('E2E core flow'!$A$15:$A$1000&lt;&gt;"")*ISNUMBER(SEARCH('E2E core flow'!$A$15:$A$1000,$E771))*('E2E core flow'!$U$15:$U$1000&lt;&gt;""),"")))),"-"))</f>
        <v/>
      </c>
    </row>
    <row r="772" spans="7:19" x14ac:dyDescent="0.3">
      <c r="G772" s="68" t="str" cm="1">
        <f t="array" ref="G772">_xlfn.LET(_xlpm.ids,'E2E core flow'!$A$15:$A$1000,_xlpm.v,'E2E core flow'!$W$15:$W$1000,_xlpm.m,(_xlpm.ids&lt;&gt;"")*ISNUMBER(SEARCH(_xlpm.ids,$E772)),_xlpm.f,SUM(_xlpm.m*(_xlpm.v="Failed")),_xlpm.b,SUM(_xlpm.m*(_xlpm.v="Blocked")),_xlpm.nr,SUM(_xlpm.m*(_xlpm.v="Not Run")),_xlpm.cp,SUM(_xlpm.m*(_xlpm.v="Conditionally Passed")),_xlpm.p,SUM(_xlpm.m*(_xlpm.v="Passed")),IF(TRIM($A772)="","",IF(TRIM($E772)="","Pending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72" s="68" t="str">
        <f>IF(TRIM($A772)="","",IF($J772="Passed","",IF($J772="Passed with Known Issue","Known Issue",IF($J772="",IF(OR($H772&lt;&gt;"No",AND($F772&lt;&gt;"Medium",$F772&lt;&gt;"Low")),"Pending Result",""),IF(OR($H772&lt;&gt;"No",AND($F772&lt;&gt;"Medium",$F772&lt;&gt;"Low")),IF(COUNTIFS(Dashboard!$B$105:$B$124,$A772,Dashboard!$I$105:$I$124,"CAB")&gt;0,"Accepted (CF)","Blocking"),IF($J772="Failed","Deferrable","Carry Over"))))))</f>
        <v/>
      </c>
      <c r="M772" s="68" t="str">
        <f>IF(OR(TRIM($A772)="",TRIM($E772)=""),"",IFERROR(INDEX('E2E core flow'!$B$15:$B$1000,MATCH(1,INDEX(('E2E core flow'!$A$15:$A$1000&lt;&gt;"")*ISNUMBER(SEARCH('E2E core flow'!$A$15:$A$1000,$E772)),0),0))&amp;"","-"))</f>
        <v/>
      </c>
      <c r="N772" s="68" t="str">
        <f>IF(TRIM($A772)="","",IF($O772=0,IF(COUNTIFS('Card Test Cases'!$B$4:$B$1000,$A772,'Card Test Cases'!$A$4:$A$1000,"&lt;&gt;")&gt;0,"Out of Scope","No TC"),IF($Q772&gt;0,"Failed",IF(COUNTIFS('Card Test Cases'!$B$4:$B$1000,$A772,'Card Test Cases'!$A$4:$A$1000,"&lt;&gt;",'Card Test Cases'!$F$4:$F$1000,"Blocked")&gt;0,"Blocked",IF($R772&gt;0,"In Progress","Passed")))))</f>
        <v/>
      </c>
      <c r="O772" s="68" t="str">
        <f>IF(TRIM($A772)="","",COUNTIFS('Card Test Cases'!$B$4:$B$1000,$A772,'Card Test Cases'!$A$4:$A$1000,"&lt;&gt;",'Card Test Cases'!$F$4:$F$1000,"&lt;&gt;Out of Scope"))</f>
        <v/>
      </c>
      <c r="P772" s="68" t="str">
        <f>IF(TRIM($A772)="","",COUNTIFS('Card Test Cases'!$B$4:$B$1000,$A772,'Card Test Cases'!$A$4:$A$1000,"&lt;&gt;",'Card Test Cases'!$F$4:$F$1000,"Passed"))</f>
        <v/>
      </c>
      <c r="Q772" s="68" t="str">
        <f>IF(TRIM($A772)="","",COUNTIFS('Card Test Cases'!$B$4:$B$1000,$A772,'Card Test Cases'!$A$4:$A$1000,"&lt;&gt;",'Card Test Cases'!$F$4:$F$1000,"Failed"))</f>
        <v/>
      </c>
      <c r="R772" s="68" t="str">
        <f t="shared" ref="R772:R835" si="12">IF(TRIM($A772)="","",$O772-$P772-$Q772)</f>
        <v/>
      </c>
      <c r="S772" s="68" t="str" cm="1">
        <f t="array" ref="S772">IF(TRIM($A772)="","",IFERROR(_xlfn.TEXTJOIN(", ",TRUE,_xlfn.UNIQUE(_xlfn.VSTACK(_xlfn._xlws.FILTER('Card Test Cases'!$G$4:$G$1000,('Card Test Cases'!$B$4:$B$1000=$A772)*('Card Test Cases'!$G$4:$G$1000&lt;&gt;""),""),_xlfn._xlws.FILTER('E2E core flow'!$U$15:$U$1000,('E2E core flow'!$A$15:$A$1000&lt;&gt;"")*ISNUMBER(SEARCH('E2E core flow'!$A$15:$A$1000,$E772))*('E2E core flow'!$U$15:$U$1000&lt;&gt;""),"")))),"-"))</f>
        <v/>
      </c>
    </row>
    <row r="773" spans="7:19" x14ac:dyDescent="0.3">
      <c r="G773" s="68" t="str" cm="1">
        <f t="array" ref="G773">_xlfn.LET(_xlpm.ids,'E2E core flow'!$A$15:$A$1000,_xlpm.v,'E2E core flow'!$W$15:$W$1000,_xlpm.m,(_xlpm.ids&lt;&gt;"")*ISNUMBER(SEARCH(_xlpm.ids,$E773)),_xlpm.f,SUM(_xlpm.m*(_xlpm.v="Failed")),_xlpm.b,SUM(_xlpm.m*(_xlpm.v="Blocked")),_xlpm.nr,SUM(_xlpm.m*(_xlpm.v="Not Run")),_xlpm.cp,SUM(_xlpm.m*(_xlpm.v="Conditionally Passed")),_xlpm.p,SUM(_xlpm.m*(_xlpm.v="Passed")),IF(TRIM($A773)="","",IF(TRIM($E773)="","Pending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73" s="68" t="str">
        <f>IF(TRIM($A773)="","",IF($J773="Passed","",IF($J773="Passed with Known Issue","Known Issue",IF($J773="",IF(OR($H773&lt;&gt;"No",AND($F773&lt;&gt;"Medium",$F773&lt;&gt;"Low")),"Pending Result",""),IF(OR($H773&lt;&gt;"No",AND($F773&lt;&gt;"Medium",$F773&lt;&gt;"Low")),IF(COUNTIFS(Dashboard!$B$105:$B$124,$A773,Dashboard!$I$105:$I$124,"CAB")&gt;0,"Accepted (CF)","Blocking"),IF($J773="Failed","Deferrable","Carry Over"))))))</f>
        <v/>
      </c>
      <c r="M773" s="68" t="str">
        <f>IF(OR(TRIM($A773)="",TRIM($E773)=""),"",IFERROR(INDEX('E2E core flow'!$B$15:$B$1000,MATCH(1,INDEX(('E2E core flow'!$A$15:$A$1000&lt;&gt;"")*ISNUMBER(SEARCH('E2E core flow'!$A$15:$A$1000,$E773)),0),0))&amp;"","-"))</f>
        <v/>
      </c>
      <c r="N773" s="68" t="str">
        <f>IF(TRIM($A773)="","",IF($O773=0,IF(COUNTIFS('Card Test Cases'!$B$4:$B$1000,$A773,'Card Test Cases'!$A$4:$A$1000,"&lt;&gt;")&gt;0,"Out of Scope","No TC"),IF($Q773&gt;0,"Failed",IF(COUNTIFS('Card Test Cases'!$B$4:$B$1000,$A773,'Card Test Cases'!$A$4:$A$1000,"&lt;&gt;",'Card Test Cases'!$F$4:$F$1000,"Blocked")&gt;0,"Blocked",IF($R773&gt;0,"In Progress","Passed")))))</f>
        <v/>
      </c>
      <c r="O773" s="68" t="str">
        <f>IF(TRIM($A773)="","",COUNTIFS('Card Test Cases'!$B$4:$B$1000,$A773,'Card Test Cases'!$A$4:$A$1000,"&lt;&gt;",'Card Test Cases'!$F$4:$F$1000,"&lt;&gt;Out of Scope"))</f>
        <v/>
      </c>
      <c r="P773" s="68" t="str">
        <f>IF(TRIM($A773)="","",COUNTIFS('Card Test Cases'!$B$4:$B$1000,$A773,'Card Test Cases'!$A$4:$A$1000,"&lt;&gt;",'Card Test Cases'!$F$4:$F$1000,"Passed"))</f>
        <v/>
      </c>
      <c r="Q773" s="68" t="str">
        <f>IF(TRIM($A773)="","",COUNTIFS('Card Test Cases'!$B$4:$B$1000,$A773,'Card Test Cases'!$A$4:$A$1000,"&lt;&gt;",'Card Test Cases'!$F$4:$F$1000,"Failed"))</f>
        <v/>
      </c>
      <c r="R773" s="68" t="str">
        <f t="shared" si="12"/>
        <v/>
      </c>
      <c r="S773" s="68" t="str" cm="1">
        <f t="array" ref="S773">IF(TRIM($A773)="","",IFERROR(_xlfn.TEXTJOIN(", ",TRUE,_xlfn.UNIQUE(_xlfn.VSTACK(_xlfn._xlws.FILTER('Card Test Cases'!$G$4:$G$1000,('Card Test Cases'!$B$4:$B$1000=$A773)*('Card Test Cases'!$G$4:$G$1000&lt;&gt;""),""),_xlfn._xlws.FILTER('E2E core flow'!$U$15:$U$1000,('E2E core flow'!$A$15:$A$1000&lt;&gt;"")*ISNUMBER(SEARCH('E2E core flow'!$A$15:$A$1000,$E773))*('E2E core flow'!$U$15:$U$1000&lt;&gt;""),"")))),"-"))</f>
        <v/>
      </c>
    </row>
    <row r="774" spans="7:19" x14ac:dyDescent="0.3">
      <c r="G774" s="68" t="str" cm="1">
        <f t="array" ref="G774">_xlfn.LET(_xlpm.ids,'E2E core flow'!$A$15:$A$1000,_xlpm.v,'E2E core flow'!$W$15:$W$1000,_xlpm.m,(_xlpm.ids&lt;&gt;"")*ISNUMBER(SEARCH(_xlpm.ids,$E774)),_xlpm.f,SUM(_xlpm.m*(_xlpm.v="Failed")),_xlpm.b,SUM(_xlpm.m*(_xlpm.v="Blocked")),_xlpm.nr,SUM(_xlpm.m*(_xlpm.v="Not Run")),_xlpm.cp,SUM(_xlpm.m*(_xlpm.v="Conditionally Passed")),_xlpm.p,SUM(_xlpm.m*(_xlpm.v="Passed")),IF(TRIM($A774)="","",IF(TRIM($E774)="","Pending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74" s="68" t="str">
        <f>IF(TRIM($A774)="","",IF($J774="Passed","",IF($J774="Passed with Known Issue","Known Issue",IF($J774="",IF(OR($H774&lt;&gt;"No",AND($F774&lt;&gt;"Medium",$F774&lt;&gt;"Low")),"Pending Result",""),IF(OR($H774&lt;&gt;"No",AND($F774&lt;&gt;"Medium",$F774&lt;&gt;"Low")),IF(COUNTIFS(Dashboard!$B$105:$B$124,$A774,Dashboard!$I$105:$I$124,"CAB")&gt;0,"Accepted (CF)","Blocking"),IF($J774="Failed","Deferrable","Carry Over"))))))</f>
        <v/>
      </c>
      <c r="M774" s="68" t="str">
        <f>IF(OR(TRIM($A774)="",TRIM($E774)=""),"",IFERROR(INDEX('E2E core flow'!$B$15:$B$1000,MATCH(1,INDEX(('E2E core flow'!$A$15:$A$1000&lt;&gt;"")*ISNUMBER(SEARCH('E2E core flow'!$A$15:$A$1000,$E774)),0),0))&amp;"","-"))</f>
        <v/>
      </c>
      <c r="N774" s="68" t="str">
        <f>IF(TRIM($A774)="","",IF($O774=0,IF(COUNTIFS('Card Test Cases'!$B$4:$B$1000,$A774,'Card Test Cases'!$A$4:$A$1000,"&lt;&gt;")&gt;0,"Out of Scope","No TC"),IF($Q774&gt;0,"Failed",IF(COUNTIFS('Card Test Cases'!$B$4:$B$1000,$A774,'Card Test Cases'!$A$4:$A$1000,"&lt;&gt;",'Card Test Cases'!$F$4:$F$1000,"Blocked")&gt;0,"Blocked",IF($R774&gt;0,"In Progress","Passed")))))</f>
        <v/>
      </c>
      <c r="O774" s="68" t="str">
        <f>IF(TRIM($A774)="","",COUNTIFS('Card Test Cases'!$B$4:$B$1000,$A774,'Card Test Cases'!$A$4:$A$1000,"&lt;&gt;",'Card Test Cases'!$F$4:$F$1000,"&lt;&gt;Out of Scope"))</f>
        <v/>
      </c>
      <c r="P774" s="68" t="str">
        <f>IF(TRIM($A774)="","",COUNTIFS('Card Test Cases'!$B$4:$B$1000,$A774,'Card Test Cases'!$A$4:$A$1000,"&lt;&gt;",'Card Test Cases'!$F$4:$F$1000,"Passed"))</f>
        <v/>
      </c>
      <c r="Q774" s="68" t="str">
        <f>IF(TRIM($A774)="","",COUNTIFS('Card Test Cases'!$B$4:$B$1000,$A774,'Card Test Cases'!$A$4:$A$1000,"&lt;&gt;",'Card Test Cases'!$F$4:$F$1000,"Failed"))</f>
        <v/>
      </c>
      <c r="R774" s="68" t="str">
        <f t="shared" si="12"/>
        <v/>
      </c>
      <c r="S774" s="68" t="str" cm="1">
        <f t="array" ref="S774">IF(TRIM($A774)="","",IFERROR(_xlfn.TEXTJOIN(", ",TRUE,_xlfn.UNIQUE(_xlfn.VSTACK(_xlfn._xlws.FILTER('Card Test Cases'!$G$4:$G$1000,('Card Test Cases'!$B$4:$B$1000=$A774)*('Card Test Cases'!$G$4:$G$1000&lt;&gt;""),""),_xlfn._xlws.FILTER('E2E core flow'!$U$15:$U$1000,('E2E core flow'!$A$15:$A$1000&lt;&gt;"")*ISNUMBER(SEARCH('E2E core flow'!$A$15:$A$1000,$E774))*('E2E core flow'!$U$15:$U$1000&lt;&gt;""),"")))),"-"))</f>
        <v/>
      </c>
    </row>
    <row r="775" spans="7:19" x14ac:dyDescent="0.3">
      <c r="G775" s="68" t="str" cm="1">
        <f t="array" ref="G775">_xlfn.LET(_xlpm.ids,'E2E core flow'!$A$15:$A$1000,_xlpm.v,'E2E core flow'!$W$15:$W$1000,_xlpm.m,(_xlpm.ids&lt;&gt;"")*ISNUMBER(SEARCH(_xlpm.ids,$E775)),_xlpm.f,SUM(_xlpm.m*(_xlpm.v="Failed")),_xlpm.b,SUM(_xlpm.m*(_xlpm.v="Blocked")),_xlpm.nr,SUM(_xlpm.m*(_xlpm.v="Not Run")),_xlpm.cp,SUM(_xlpm.m*(_xlpm.v="Conditionally Passed")),_xlpm.p,SUM(_xlpm.m*(_xlpm.v="Passed")),IF(TRIM($A775)="","",IF(TRIM($E775)="","Pending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75" s="68" t="str">
        <f>IF(TRIM($A775)="","",IF($J775="Passed","",IF($J775="Passed with Known Issue","Known Issue",IF($J775="",IF(OR($H775&lt;&gt;"No",AND($F775&lt;&gt;"Medium",$F775&lt;&gt;"Low")),"Pending Result",""),IF(OR($H775&lt;&gt;"No",AND($F775&lt;&gt;"Medium",$F775&lt;&gt;"Low")),IF(COUNTIFS(Dashboard!$B$105:$B$124,$A775,Dashboard!$I$105:$I$124,"CAB")&gt;0,"Accepted (CF)","Blocking"),IF($J775="Failed","Deferrable","Carry Over"))))))</f>
        <v/>
      </c>
      <c r="M775" s="68" t="str">
        <f>IF(OR(TRIM($A775)="",TRIM($E775)=""),"",IFERROR(INDEX('E2E core flow'!$B$15:$B$1000,MATCH(1,INDEX(('E2E core flow'!$A$15:$A$1000&lt;&gt;"")*ISNUMBER(SEARCH('E2E core flow'!$A$15:$A$1000,$E775)),0),0))&amp;"","-"))</f>
        <v/>
      </c>
      <c r="N775" s="68" t="str">
        <f>IF(TRIM($A775)="","",IF($O775=0,IF(COUNTIFS('Card Test Cases'!$B$4:$B$1000,$A775,'Card Test Cases'!$A$4:$A$1000,"&lt;&gt;")&gt;0,"Out of Scope","No TC"),IF($Q775&gt;0,"Failed",IF(COUNTIFS('Card Test Cases'!$B$4:$B$1000,$A775,'Card Test Cases'!$A$4:$A$1000,"&lt;&gt;",'Card Test Cases'!$F$4:$F$1000,"Blocked")&gt;0,"Blocked",IF($R775&gt;0,"In Progress","Passed")))))</f>
        <v/>
      </c>
      <c r="O775" s="68" t="str">
        <f>IF(TRIM($A775)="","",COUNTIFS('Card Test Cases'!$B$4:$B$1000,$A775,'Card Test Cases'!$A$4:$A$1000,"&lt;&gt;",'Card Test Cases'!$F$4:$F$1000,"&lt;&gt;Out of Scope"))</f>
        <v/>
      </c>
      <c r="P775" s="68" t="str">
        <f>IF(TRIM($A775)="","",COUNTIFS('Card Test Cases'!$B$4:$B$1000,$A775,'Card Test Cases'!$A$4:$A$1000,"&lt;&gt;",'Card Test Cases'!$F$4:$F$1000,"Passed"))</f>
        <v/>
      </c>
      <c r="Q775" s="68" t="str">
        <f>IF(TRIM($A775)="","",COUNTIFS('Card Test Cases'!$B$4:$B$1000,$A775,'Card Test Cases'!$A$4:$A$1000,"&lt;&gt;",'Card Test Cases'!$F$4:$F$1000,"Failed"))</f>
        <v/>
      </c>
      <c r="R775" s="68" t="str">
        <f t="shared" si="12"/>
        <v/>
      </c>
      <c r="S775" s="68" t="str" cm="1">
        <f t="array" ref="S775">IF(TRIM($A775)="","",IFERROR(_xlfn.TEXTJOIN(", ",TRUE,_xlfn.UNIQUE(_xlfn.VSTACK(_xlfn._xlws.FILTER('Card Test Cases'!$G$4:$G$1000,('Card Test Cases'!$B$4:$B$1000=$A775)*('Card Test Cases'!$G$4:$G$1000&lt;&gt;""),""),_xlfn._xlws.FILTER('E2E core flow'!$U$15:$U$1000,('E2E core flow'!$A$15:$A$1000&lt;&gt;"")*ISNUMBER(SEARCH('E2E core flow'!$A$15:$A$1000,$E775))*('E2E core flow'!$U$15:$U$1000&lt;&gt;""),"")))),"-"))</f>
        <v/>
      </c>
    </row>
    <row r="776" spans="7:19" x14ac:dyDescent="0.3">
      <c r="G776" s="68" t="str" cm="1">
        <f t="array" ref="G776">_xlfn.LET(_xlpm.ids,'E2E core flow'!$A$15:$A$1000,_xlpm.v,'E2E core flow'!$W$15:$W$1000,_xlpm.m,(_xlpm.ids&lt;&gt;"")*ISNUMBER(SEARCH(_xlpm.ids,$E776)),_xlpm.f,SUM(_xlpm.m*(_xlpm.v="Failed")),_xlpm.b,SUM(_xlpm.m*(_xlpm.v="Blocked")),_xlpm.nr,SUM(_xlpm.m*(_xlpm.v="Not Run")),_xlpm.cp,SUM(_xlpm.m*(_xlpm.v="Conditionally Passed")),_xlpm.p,SUM(_xlpm.m*(_xlpm.v="Passed")),IF(TRIM($A776)="","",IF(TRIM($E776)="","Pending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76" s="68" t="str">
        <f>IF(TRIM($A776)="","",IF($J776="Passed","",IF($J776="Passed with Known Issue","Known Issue",IF($J776="",IF(OR($H776&lt;&gt;"No",AND($F776&lt;&gt;"Medium",$F776&lt;&gt;"Low")),"Pending Result",""),IF(OR($H776&lt;&gt;"No",AND($F776&lt;&gt;"Medium",$F776&lt;&gt;"Low")),IF(COUNTIFS(Dashboard!$B$105:$B$124,$A776,Dashboard!$I$105:$I$124,"CAB")&gt;0,"Accepted (CF)","Blocking"),IF($J776="Failed","Deferrable","Carry Over"))))))</f>
        <v/>
      </c>
      <c r="M776" s="68" t="str">
        <f>IF(OR(TRIM($A776)="",TRIM($E776)=""),"",IFERROR(INDEX('E2E core flow'!$B$15:$B$1000,MATCH(1,INDEX(('E2E core flow'!$A$15:$A$1000&lt;&gt;"")*ISNUMBER(SEARCH('E2E core flow'!$A$15:$A$1000,$E776)),0),0))&amp;"","-"))</f>
        <v/>
      </c>
      <c r="N776" s="68" t="str">
        <f>IF(TRIM($A776)="","",IF($O776=0,IF(COUNTIFS('Card Test Cases'!$B$4:$B$1000,$A776,'Card Test Cases'!$A$4:$A$1000,"&lt;&gt;")&gt;0,"Out of Scope","No TC"),IF($Q776&gt;0,"Failed",IF(COUNTIFS('Card Test Cases'!$B$4:$B$1000,$A776,'Card Test Cases'!$A$4:$A$1000,"&lt;&gt;",'Card Test Cases'!$F$4:$F$1000,"Blocked")&gt;0,"Blocked",IF($R776&gt;0,"In Progress","Passed")))))</f>
        <v/>
      </c>
      <c r="O776" s="68" t="str">
        <f>IF(TRIM($A776)="","",COUNTIFS('Card Test Cases'!$B$4:$B$1000,$A776,'Card Test Cases'!$A$4:$A$1000,"&lt;&gt;",'Card Test Cases'!$F$4:$F$1000,"&lt;&gt;Out of Scope"))</f>
        <v/>
      </c>
      <c r="P776" s="68" t="str">
        <f>IF(TRIM($A776)="","",COUNTIFS('Card Test Cases'!$B$4:$B$1000,$A776,'Card Test Cases'!$A$4:$A$1000,"&lt;&gt;",'Card Test Cases'!$F$4:$F$1000,"Passed"))</f>
        <v/>
      </c>
      <c r="Q776" s="68" t="str">
        <f>IF(TRIM($A776)="","",COUNTIFS('Card Test Cases'!$B$4:$B$1000,$A776,'Card Test Cases'!$A$4:$A$1000,"&lt;&gt;",'Card Test Cases'!$F$4:$F$1000,"Failed"))</f>
        <v/>
      </c>
      <c r="R776" s="68" t="str">
        <f t="shared" si="12"/>
        <v/>
      </c>
      <c r="S776" s="68" t="str" cm="1">
        <f t="array" ref="S776">IF(TRIM($A776)="","",IFERROR(_xlfn.TEXTJOIN(", ",TRUE,_xlfn.UNIQUE(_xlfn.VSTACK(_xlfn._xlws.FILTER('Card Test Cases'!$G$4:$G$1000,('Card Test Cases'!$B$4:$B$1000=$A776)*('Card Test Cases'!$G$4:$G$1000&lt;&gt;""),""),_xlfn._xlws.FILTER('E2E core flow'!$U$15:$U$1000,('E2E core flow'!$A$15:$A$1000&lt;&gt;"")*ISNUMBER(SEARCH('E2E core flow'!$A$15:$A$1000,$E776))*('E2E core flow'!$U$15:$U$1000&lt;&gt;""),"")))),"-"))</f>
        <v/>
      </c>
    </row>
    <row r="777" spans="7:19" x14ac:dyDescent="0.3">
      <c r="G777" s="68" t="str" cm="1">
        <f t="array" ref="G777">_xlfn.LET(_xlpm.ids,'E2E core flow'!$A$15:$A$1000,_xlpm.v,'E2E core flow'!$W$15:$W$1000,_xlpm.m,(_xlpm.ids&lt;&gt;"")*ISNUMBER(SEARCH(_xlpm.ids,$E777)),_xlpm.f,SUM(_xlpm.m*(_xlpm.v="Failed")),_xlpm.b,SUM(_xlpm.m*(_xlpm.v="Blocked")),_xlpm.nr,SUM(_xlpm.m*(_xlpm.v="Not Run")),_xlpm.cp,SUM(_xlpm.m*(_xlpm.v="Conditionally Passed")),_xlpm.p,SUM(_xlpm.m*(_xlpm.v="Passed")),IF(TRIM($A777)="","",IF(TRIM($E777)="","Pending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77" s="68" t="str">
        <f>IF(TRIM($A777)="","",IF($J777="Passed","",IF($J777="Passed with Known Issue","Known Issue",IF($J777="",IF(OR($H777&lt;&gt;"No",AND($F777&lt;&gt;"Medium",$F777&lt;&gt;"Low")),"Pending Result",""),IF(OR($H777&lt;&gt;"No",AND($F777&lt;&gt;"Medium",$F777&lt;&gt;"Low")),IF(COUNTIFS(Dashboard!$B$105:$B$124,$A777,Dashboard!$I$105:$I$124,"CAB")&gt;0,"Accepted (CF)","Blocking"),IF($J777="Failed","Deferrable","Carry Over"))))))</f>
        <v/>
      </c>
      <c r="M777" s="68" t="str">
        <f>IF(OR(TRIM($A777)="",TRIM($E777)=""),"",IFERROR(INDEX('E2E core flow'!$B$15:$B$1000,MATCH(1,INDEX(('E2E core flow'!$A$15:$A$1000&lt;&gt;"")*ISNUMBER(SEARCH('E2E core flow'!$A$15:$A$1000,$E777)),0),0))&amp;"","-"))</f>
        <v/>
      </c>
      <c r="N777" s="68" t="str">
        <f>IF(TRIM($A777)="","",IF($O777=0,IF(COUNTIFS('Card Test Cases'!$B$4:$B$1000,$A777,'Card Test Cases'!$A$4:$A$1000,"&lt;&gt;")&gt;0,"Out of Scope","No TC"),IF($Q777&gt;0,"Failed",IF(COUNTIFS('Card Test Cases'!$B$4:$B$1000,$A777,'Card Test Cases'!$A$4:$A$1000,"&lt;&gt;",'Card Test Cases'!$F$4:$F$1000,"Blocked")&gt;0,"Blocked",IF($R777&gt;0,"In Progress","Passed")))))</f>
        <v/>
      </c>
      <c r="O777" s="68" t="str">
        <f>IF(TRIM($A777)="","",COUNTIFS('Card Test Cases'!$B$4:$B$1000,$A777,'Card Test Cases'!$A$4:$A$1000,"&lt;&gt;",'Card Test Cases'!$F$4:$F$1000,"&lt;&gt;Out of Scope"))</f>
        <v/>
      </c>
      <c r="P777" s="68" t="str">
        <f>IF(TRIM($A777)="","",COUNTIFS('Card Test Cases'!$B$4:$B$1000,$A777,'Card Test Cases'!$A$4:$A$1000,"&lt;&gt;",'Card Test Cases'!$F$4:$F$1000,"Passed"))</f>
        <v/>
      </c>
      <c r="Q777" s="68" t="str">
        <f>IF(TRIM($A777)="","",COUNTIFS('Card Test Cases'!$B$4:$B$1000,$A777,'Card Test Cases'!$A$4:$A$1000,"&lt;&gt;",'Card Test Cases'!$F$4:$F$1000,"Failed"))</f>
        <v/>
      </c>
      <c r="R777" s="68" t="str">
        <f t="shared" si="12"/>
        <v/>
      </c>
      <c r="S777" s="68" t="str" cm="1">
        <f t="array" ref="S777">IF(TRIM($A777)="","",IFERROR(_xlfn.TEXTJOIN(", ",TRUE,_xlfn.UNIQUE(_xlfn.VSTACK(_xlfn._xlws.FILTER('Card Test Cases'!$G$4:$G$1000,('Card Test Cases'!$B$4:$B$1000=$A777)*('Card Test Cases'!$G$4:$G$1000&lt;&gt;""),""),_xlfn._xlws.FILTER('E2E core flow'!$U$15:$U$1000,('E2E core flow'!$A$15:$A$1000&lt;&gt;"")*ISNUMBER(SEARCH('E2E core flow'!$A$15:$A$1000,$E777))*('E2E core flow'!$U$15:$U$1000&lt;&gt;""),"")))),"-"))</f>
        <v/>
      </c>
    </row>
    <row r="778" spans="7:19" x14ac:dyDescent="0.3">
      <c r="G778" s="68" t="str" cm="1">
        <f t="array" ref="G778">_xlfn.LET(_xlpm.ids,'E2E core flow'!$A$15:$A$1000,_xlpm.v,'E2E core flow'!$W$15:$W$1000,_xlpm.m,(_xlpm.ids&lt;&gt;"")*ISNUMBER(SEARCH(_xlpm.ids,$E778)),_xlpm.f,SUM(_xlpm.m*(_xlpm.v="Failed")),_xlpm.b,SUM(_xlpm.m*(_xlpm.v="Blocked")),_xlpm.nr,SUM(_xlpm.m*(_xlpm.v="Not Run")),_xlpm.cp,SUM(_xlpm.m*(_xlpm.v="Conditionally Passed")),_xlpm.p,SUM(_xlpm.m*(_xlpm.v="Passed")),IF(TRIM($A778)="","",IF(TRIM($E778)="","Pending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78" s="68" t="str">
        <f>IF(TRIM($A778)="","",IF($J778="Passed","",IF($J778="Passed with Known Issue","Known Issue",IF($J778="",IF(OR($H778&lt;&gt;"No",AND($F778&lt;&gt;"Medium",$F778&lt;&gt;"Low")),"Pending Result",""),IF(OR($H778&lt;&gt;"No",AND($F778&lt;&gt;"Medium",$F778&lt;&gt;"Low")),IF(COUNTIFS(Dashboard!$B$105:$B$124,$A778,Dashboard!$I$105:$I$124,"CAB")&gt;0,"Accepted (CF)","Blocking"),IF($J778="Failed","Deferrable","Carry Over"))))))</f>
        <v/>
      </c>
      <c r="M778" s="68" t="str">
        <f>IF(OR(TRIM($A778)="",TRIM($E778)=""),"",IFERROR(INDEX('E2E core flow'!$B$15:$B$1000,MATCH(1,INDEX(('E2E core flow'!$A$15:$A$1000&lt;&gt;"")*ISNUMBER(SEARCH('E2E core flow'!$A$15:$A$1000,$E778)),0),0))&amp;"","-"))</f>
        <v/>
      </c>
      <c r="N778" s="68" t="str">
        <f>IF(TRIM($A778)="","",IF($O778=0,IF(COUNTIFS('Card Test Cases'!$B$4:$B$1000,$A778,'Card Test Cases'!$A$4:$A$1000,"&lt;&gt;")&gt;0,"Out of Scope","No TC"),IF($Q778&gt;0,"Failed",IF(COUNTIFS('Card Test Cases'!$B$4:$B$1000,$A778,'Card Test Cases'!$A$4:$A$1000,"&lt;&gt;",'Card Test Cases'!$F$4:$F$1000,"Blocked")&gt;0,"Blocked",IF($R778&gt;0,"In Progress","Passed")))))</f>
        <v/>
      </c>
      <c r="O778" s="68" t="str">
        <f>IF(TRIM($A778)="","",COUNTIFS('Card Test Cases'!$B$4:$B$1000,$A778,'Card Test Cases'!$A$4:$A$1000,"&lt;&gt;",'Card Test Cases'!$F$4:$F$1000,"&lt;&gt;Out of Scope"))</f>
        <v/>
      </c>
      <c r="P778" s="68" t="str">
        <f>IF(TRIM($A778)="","",COUNTIFS('Card Test Cases'!$B$4:$B$1000,$A778,'Card Test Cases'!$A$4:$A$1000,"&lt;&gt;",'Card Test Cases'!$F$4:$F$1000,"Passed"))</f>
        <v/>
      </c>
      <c r="Q778" s="68" t="str">
        <f>IF(TRIM($A778)="","",COUNTIFS('Card Test Cases'!$B$4:$B$1000,$A778,'Card Test Cases'!$A$4:$A$1000,"&lt;&gt;",'Card Test Cases'!$F$4:$F$1000,"Failed"))</f>
        <v/>
      </c>
      <c r="R778" s="68" t="str">
        <f t="shared" si="12"/>
        <v/>
      </c>
      <c r="S778" s="68" t="str" cm="1">
        <f t="array" ref="S778">IF(TRIM($A778)="","",IFERROR(_xlfn.TEXTJOIN(", ",TRUE,_xlfn.UNIQUE(_xlfn.VSTACK(_xlfn._xlws.FILTER('Card Test Cases'!$G$4:$G$1000,('Card Test Cases'!$B$4:$B$1000=$A778)*('Card Test Cases'!$G$4:$G$1000&lt;&gt;""),""),_xlfn._xlws.FILTER('E2E core flow'!$U$15:$U$1000,('E2E core flow'!$A$15:$A$1000&lt;&gt;"")*ISNUMBER(SEARCH('E2E core flow'!$A$15:$A$1000,$E778))*('E2E core flow'!$U$15:$U$1000&lt;&gt;""),"")))),"-"))</f>
        <v/>
      </c>
    </row>
    <row r="779" spans="7:19" x14ac:dyDescent="0.3">
      <c r="G779" s="68" t="str" cm="1">
        <f t="array" ref="G779">_xlfn.LET(_xlpm.ids,'E2E core flow'!$A$15:$A$1000,_xlpm.v,'E2E core flow'!$W$15:$W$1000,_xlpm.m,(_xlpm.ids&lt;&gt;"")*ISNUMBER(SEARCH(_xlpm.ids,$E779)),_xlpm.f,SUM(_xlpm.m*(_xlpm.v="Failed")),_xlpm.b,SUM(_xlpm.m*(_xlpm.v="Blocked")),_xlpm.nr,SUM(_xlpm.m*(_xlpm.v="Not Run")),_xlpm.cp,SUM(_xlpm.m*(_xlpm.v="Conditionally Passed")),_xlpm.p,SUM(_xlpm.m*(_xlpm.v="Passed")),IF(TRIM($A779)="","",IF(TRIM($E779)="","Pending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79" s="68" t="str">
        <f>IF(TRIM($A779)="","",IF($J779="Passed","",IF($J779="Passed with Known Issue","Known Issue",IF($J779="",IF(OR($H779&lt;&gt;"No",AND($F779&lt;&gt;"Medium",$F779&lt;&gt;"Low")),"Pending Result",""),IF(OR($H779&lt;&gt;"No",AND($F779&lt;&gt;"Medium",$F779&lt;&gt;"Low")),IF(COUNTIFS(Dashboard!$B$105:$B$124,$A779,Dashboard!$I$105:$I$124,"CAB")&gt;0,"Accepted (CF)","Blocking"),IF($J779="Failed","Deferrable","Carry Over"))))))</f>
        <v/>
      </c>
      <c r="M779" s="68" t="str">
        <f>IF(OR(TRIM($A779)="",TRIM($E779)=""),"",IFERROR(INDEX('E2E core flow'!$B$15:$B$1000,MATCH(1,INDEX(('E2E core flow'!$A$15:$A$1000&lt;&gt;"")*ISNUMBER(SEARCH('E2E core flow'!$A$15:$A$1000,$E779)),0),0))&amp;"","-"))</f>
        <v/>
      </c>
      <c r="N779" s="68" t="str">
        <f>IF(TRIM($A779)="","",IF($O779=0,IF(COUNTIFS('Card Test Cases'!$B$4:$B$1000,$A779,'Card Test Cases'!$A$4:$A$1000,"&lt;&gt;")&gt;0,"Out of Scope","No TC"),IF($Q779&gt;0,"Failed",IF(COUNTIFS('Card Test Cases'!$B$4:$B$1000,$A779,'Card Test Cases'!$A$4:$A$1000,"&lt;&gt;",'Card Test Cases'!$F$4:$F$1000,"Blocked")&gt;0,"Blocked",IF($R779&gt;0,"In Progress","Passed")))))</f>
        <v/>
      </c>
      <c r="O779" s="68" t="str">
        <f>IF(TRIM($A779)="","",COUNTIFS('Card Test Cases'!$B$4:$B$1000,$A779,'Card Test Cases'!$A$4:$A$1000,"&lt;&gt;",'Card Test Cases'!$F$4:$F$1000,"&lt;&gt;Out of Scope"))</f>
        <v/>
      </c>
      <c r="P779" s="68" t="str">
        <f>IF(TRIM($A779)="","",COUNTIFS('Card Test Cases'!$B$4:$B$1000,$A779,'Card Test Cases'!$A$4:$A$1000,"&lt;&gt;",'Card Test Cases'!$F$4:$F$1000,"Passed"))</f>
        <v/>
      </c>
      <c r="Q779" s="68" t="str">
        <f>IF(TRIM($A779)="","",COUNTIFS('Card Test Cases'!$B$4:$B$1000,$A779,'Card Test Cases'!$A$4:$A$1000,"&lt;&gt;",'Card Test Cases'!$F$4:$F$1000,"Failed"))</f>
        <v/>
      </c>
      <c r="R779" s="68" t="str">
        <f t="shared" si="12"/>
        <v/>
      </c>
      <c r="S779" s="68" t="str" cm="1">
        <f t="array" ref="S779">IF(TRIM($A779)="","",IFERROR(_xlfn.TEXTJOIN(", ",TRUE,_xlfn.UNIQUE(_xlfn.VSTACK(_xlfn._xlws.FILTER('Card Test Cases'!$G$4:$G$1000,('Card Test Cases'!$B$4:$B$1000=$A779)*('Card Test Cases'!$G$4:$G$1000&lt;&gt;""),""),_xlfn._xlws.FILTER('E2E core flow'!$U$15:$U$1000,('E2E core flow'!$A$15:$A$1000&lt;&gt;"")*ISNUMBER(SEARCH('E2E core flow'!$A$15:$A$1000,$E779))*('E2E core flow'!$U$15:$U$1000&lt;&gt;""),"")))),"-"))</f>
        <v/>
      </c>
    </row>
    <row r="780" spans="7:19" x14ac:dyDescent="0.3">
      <c r="G780" s="68" t="str" cm="1">
        <f t="array" ref="G780">_xlfn.LET(_xlpm.ids,'E2E core flow'!$A$15:$A$1000,_xlpm.v,'E2E core flow'!$W$15:$W$1000,_xlpm.m,(_xlpm.ids&lt;&gt;"")*ISNUMBER(SEARCH(_xlpm.ids,$E780)),_xlpm.f,SUM(_xlpm.m*(_xlpm.v="Failed")),_xlpm.b,SUM(_xlpm.m*(_xlpm.v="Blocked")),_xlpm.nr,SUM(_xlpm.m*(_xlpm.v="Not Run")),_xlpm.cp,SUM(_xlpm.m*(_xlpm.v="Conditionally Passed")),_xlpm.p,SUM(_xlpm.m*(_xlpm.v="Passed")),IF(TRIM($A780)="","",IF(TRIM($E780)="","Pending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80" s="68" t="str">
        <f>IF(TRIM($A780)="","",IF($J780="Passed","",IF($J780="Passed with Known Issue","Known Issue",IF($J780="",IF(OR($H780&lt;&gt;"No",AND($F780&lt;&gt;"Medium",$F780&lt;&gt;"Low")),"Pending Result",""),IF(OR($H780&lt;&gt;"No",AND($F780&lt;&gt;"Medium",$F780&lt;&gt;"Low")),IF(COUNTIFS(Dashboard!$B$105:$B$124,$A780,Dashboard!$I$105:$I$124,"CAB")&gt;0,"Accepted (CF)","Blocking"),IF($J780="Failed","Deferrable","Carry Over"))))))</f>
        <v/>
      </c>
      <c r="M780" s="68" t="str">
        <f>IF(OR(TRIM($A780)="",TRIM($E780)=""),"",IFERROR(INDEX('E2E core flow'!$B$15:$B$1000,MATCH(1,INDEX(('E2E core flow'!$A$15:$A$1000&lt;&gt;"")*ISNUMBER(SEARCH('E2E core flow'!$A$15:$A$1000,$E780)),0),0))&amp;"","-"))</f>
        <v/>
      </c>
      <c r="N780" s="68" t="str">
        <f>IF(TRIM($A780)="","",IF($O780=0,IF(COUNTIFS('Card Test Cases'!$B$4:$B$1000,$A780,'Card Test Cases'!$A$4:$A$1000,"&lt;&gt;")&gt;0,"Out of Scope","No TC"),IF($Q780&gt;0,"Failed",IF(COUNTIFS('Card Test Cases'!$B$4:$B$1000,$A780,'Card Test Cases'!$A$4:$A$1000,"&lt;&gt;",'Card Test Cases'!$F$4:$F$1000,"Blocked")&gt;0,"Blocked",IF($R780&gt;0,"In Progress","Passed")))))</f>
        <v/>
      </c>
      <c r="O780" s="68" t="str">
        <f>IF(TRIM($A780)="","",COUNTIFS('Card Test Cases'!$B$4:$B$1000,$A780,'Card Test Cases'!$A$4:$A$1000,"&lt;&gt;",'Card Test Cases'!$F$4:$F$1000,"&lt;&gt;Out of Scope"))</f>
        <v/>
      </c>
      <c r="P780" s="68" t="str">
        <f>IF(TRIM($A780)="","",COUNTIFS('Card Test Cases'!$B$4:$B$1000,$A780,'Card Test Cases'!$A$4:$A$1000,"&lt;&gt;",'Card Test Cases'!$F$4:$F$1000,"Passed"))</f>
        <v/>
      </c>
      <c r="Q780" s="68" t="str">
        <f>IF(TRIM($A780)="","",COUNTIFS('Card Test Cases'!$B$4:$B$1000,$A780,'Card Test Cases'!$A$4:$A$1000,"&lt;&gt;",'Card Test Cases'!$F$4:$F$1000,"Failed"))</f>
        <v/>
      </c>
      <c r="R780" s="68" t="str">
        <f t="shared" si="12"/>
        <v/>
      </c>
      <c r="S780" s="68" t="str" cm="1">
        <f t="array" ref="S780">IF(TRIM($A780)="","",IFERROR(_xlfn.TEXTJOIN(", ",TRUE,_xlfn.UNIQUE(_xlfn.VSTACK(_xlfn._xlws.FILTER('Card Test Cases'!$G$4:$G$1000,('Card Test Cases'!$B$4:$B$1000=$A780)*('Card Test Cases'!$G$4:$G$1000&lt;&gt;""),""),_xlfn._xlws.FILTER('E2E core flow'!$U$15:$U$1000,('E2E core flow'!$A$15:$A$1000&lt;&gt;"")*ISNUMBER(SEARCH('E2E core flow'!$A$15:$A$1000,$E780))*('E2E core flow'!$U$15:$U$1000&lt;&gt;""),"")))),"-"))</f>
        <v/>
      </c>
    </row>
    <row r="781" spans="7:19" x14ac:dyDescent="0.3">
      <c r="G781" s="68" t="str" cm="1">
        <f t="array" ref="G781">_xlfn.LET(_xlpm.ids,'E2E core flow'!$A$15:$A$1000,_xlpm.v,'E2E core flow'!$W$15:$W$1000,_xlpm.m,(_xlpm.ids&lt;&gt;"")*ISNUMBER(SEARCH(_xlpm.ids,$E781)),_xlpm.f,SUM(_xlpm.m*(_xlpm.v="Failed")),_xlpm.b,SUM(_xlpm.m*(_xlpm.v="Blocked")),_xlpm.nr,SUM(_xlpm.m*(_xlpm.v="Not Run")),_xlpm.cp,SUM(_xlpm.m*(_xlpm.v="Conditionally Passed")),_xlpm.p,SUM(_xlpm.m*(_xlpm.v="Passed")),IF(TRIM($A781)="","",IF(TRIM($E781)="","Pending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81" s="68" t="str">
        <f>IF(TRIM($A781)="","",IF($J781="Passed","",IF($J781="Passed with Known Issue","Known Issue",IF($J781="",IF(OR($H781&lt;&gt;"No",AND($F781&lt;&gt;"Medium",$F781&lt;&gt;"Low")),"Pending Result",""),IF(OR($H781&lt;&gt;"No",AND($F781&lt;&gt;"Medium",$F781&lt;&gt;"Low")),IF(COUNTIFS(Dashboard!$B$105:$B$124,$A781,Dashboard!$I$105:$I$124,"CAB")&gt;0,"Accepted (CF)","Blocking"),IF($J781="Failed","Deferrable","Carry Over"))))))</f>
        <v/>
      </c>
      <c r="M781" s="68" t="str">
        <f>IF(OR(TRIM($A781)="",TRIM($E781)=""),"",IFERROR(INDEX('E2E core flow'!$B$15:$B$1000,MATCH(1,INDEX(('E2E core flow'!$A$15:$A$1000&lt;&gt;"")*ISNUMBER(SEARCH('E2E core flow'!$A$15:$A$1000,$E781)),0),0))&amp;"","-"))</f>
        <v/>
      </c>
      <c r="N781" s="68" t="str">
        <f>IF(TRIM($A781)="","",IF($O781=0,IF(COUNTIFS('Card Test Cases'!$B$4:$B$1000,$A781,'Card Test Cases'!$A$4:$A$1000,"&lt;&gt;")&gt;0,"Out of Scope","No TC"),IF($Q781&gt;0,"Failed",IF(COUNTIFS('Card Test Cases'!$B$4:$B$1000,$A781,'Card Test Cases'!$A$4:$A$1000,"&lt;&gt;",'Card Test Cases'!$F$4:$F$1000,"Blocked")&gt;0,"Blocked",IF($R781&gt;0,"In Progress","Passed")))))</f>
        <v/>
      </c>
      <c r="O781" s="68" t="str">
        <f>IF(TRIM($A781)="","",COUNTIFS('Card Test Cases'!$B$4:$B$1000,$A781,'Card Test Cases'!$A$4:$A$1000,"&lt;&gt;",'Card Test Cases'!$F$4:$F$1000,"&lt;&gt;Out of Scope"))</f>
        <v/>
      </c>
      <c r="P781" s="68" t="str">
        <f>IF(TRIM($A781)="","",COUNTIFS('Card Test Cases'!$B$4:$B$1000,$A781,'Card Test Cases'!$A$4:$A$1000,"&lt;&gt;",'Card Test Cases'!$F$4:$F$1000,"Passed"))</f>
        <v/>
      </c>
      <c r="Q781" s="68" t="str">
        <f>IF(TRIM($A781)="","",COUNTIFS('Card Test Cases'!$B$4:$B$1000,$A781,'Card Test Cases'!$A$4:$A$1000,"&lt;&gt;",'Card Test Cases'!$F$4:$F$1000,"Failed"))</f>
        <v/>
      </c>
      <c r="R781" s="68" t="str">
        <f t="shared" si="12"/>
        <v/>
      </c>
      <c r="S781" s="68" t="str" cm="1">
        <f t="array" ref="S781">IF(TRIM($A781)="","",IFERROR(_xlfn.TEXTJOIN(", ",TRUE,_xlfn.UNIQUE(_xlfn.VSTACK(_xlfn._xlws.FILTER('Card Test Cases'!$G$4:$G$1000,('Card Test Cases'!$B$4:$B$1000=$A781)*('Card Test Cases'!$G$4:$G$1000&lt;&gt;""),""),_xlfn._xlws.FILTER('E2E core flow'!$U$15:$U$1000,('E2E core flow'!$A$15:$A$1000&lt;&gt;"")*ISNUMBER(SEARCH('E2E core flow'!$A$15:$A$1000,$E781))*('E2E core flow'!$U$15:$U$1000&lt;&gt;""),"")))),"-"))</f>
        <v/>
      </c>
    </row>
    <row r="782" spans="7:19" x14ac:dyDescent="0.3">
      <c r="G782" s="68" t="str" cm="1">
        <f t="array" ref="G782">_xlfn.LET(_xlpm.ids,'E2E core flow'!$A$15:$A$1000,_xlpm.v,'E2E core flow'!$W$15:$W$1000,_xlpm.m,(_xlpm.ids&lt;&gt;"")*ISNUMBER(SEARCH(_xlpm.ids,$E782)),_xlpm.f,SUM(_xlpm.m*(_xlpm.v="Failed")),_xlpm.b,SUM(_xlpm.m*(_xlpm.v="Blocked")),_xlpm.nr,SUM(_xlpm.m*(_xlpm.v="Not Run")),_xlpm.cp,SUM(_xlpm.m*(_xlpm.v="Conditionally Passed")),_xlpm.p,SUM(_xlpm.m*(_xlpm.v="Passed")),IF(TRIM($A782)="","",IF(TRIM($E782)="","Pending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82" s="68" t="str">
        <f>IF(TRIM($A782)="","",IF($J782="Passed","",IF($J782="Passed with Known Issue","Known Issue",IF($J782="",IF(OR($H782&lt;&gt;"No",AND($F782&lt;&gt;"Medium",$F782&lt;&gt;"Low")),"Pending Result",""),IF(OR($H782&lt;&gt;"No",AND($F782&lt;&gt;"Medium",$F782&lt;&gt;"Low")),IF(COUNTIFS(Dashboard!$B$105:$B$124,$A782,Dashboard!$I$105:$I$124,"CAB")&gt;0,"Accepted (CF)","Blocking"),IF($J782="Failed","Deferrable","Carry Over"))))))</f>
        <v/>
      </c>
      <c r="M782" s="68" t="str">
        <f>IF(OR(TRIM($A782)="",TRIM($E782)=""),"",IFERROR(INDEX('E2E core flow'!$B$15:$B$1000,MATCH(1,INDEX(('E2E core flow'!$A$15:$A$1000&lt;&gt;"")*ISNUMBER(SEARCH('E2E core flow'!$A$15:$A$1000,$E782)),0),0))&amp;"","-"))</f>
        <v/>
      </c>
      <c r="N782" s="68" t="str">
        <f>IF(TRIM($A782)="","",IF($O782=0,IF(COUNTIFS('Card Test Cases'!$B$4:$B$1000,$A782,'Card Test Cases'!$A$4:$A$1000,"&lt;&gt;")&gt;0,"Out of Scope","No TC"),IF($Q782&gt;0,"Failed",IF(COUNTIFS('Card Test Cases'!$B$4:$B$1000,$A782,'Card Test Cases'!$A$4:$A$1000,"&lt;&gt;",'Card Test Cases'!$F$4:$F$1000,"Blocked")&gt;0,"Blocked",IF($R782&gt;0,"In Progress","Passed")))))</f>
        <v/>
      </c>
      <c r="O782" s="68" t="str">
        <f>IF(TRIM($A782)="","",COUNTIFS('Card Test Cases'!$B$4:$B$1000,$A782,'Card Test Cases'!$A$4:$A$1000,"&lt;&gt;",'Card Test Cases'!$F$4:$F$1000,"&lt;&gt;Out of Scope"))</f>
        <v/>
      </c>
      <c r="P782" s="68" t="str">
        <f>IF(TRIM($A782)="","",COUNTIFS('Card Test Cases'!$B$4:$B$1000,$A782,'Card Test Cases'!$A$4:$A$1000,"&lt;&gt;",'Card Test Cases'!$F$4:$F$1000,"Passed"))</f>
        <v/>
      </c>
      <c r="Q782" s="68" t="str">
        <f>IF(TRIM($A782)="","",COUNTIFS('Card Test Cases'!$B$4:$B$1000,$A782,'Card Test Cases'!$A$4:$A$1000,"&lt;&gt;",'Card Test Cases'!$F$4:$F$1000,"Failed"))</f>
        <v/>
      </c>
      <c r="R782" s="68" t="str">
        <f t="shared" si="12"/>
        <v/>
      </c>
      <c r="S782" s="68" t="str" cm="1">
        <f t="array" ref="S782">IF(TRIM($A782)="","",IFERROR(_xlfn.TEXTJOIN(", ",TRUE,_xlfn.UNIQUE(_xlfn.VSTACK(_xlfn._xlws.FILTER('Card Test Cases'!$G$4:$G$1000,('Card Test Cases'!$B$4:$B$1000=$A782)*('Card Test Cases'!$G$4:$G$1000&lt;&gt;""),""),_xlfn._xlws.FILTER('E2E core flow'!$U$15:$U$1000,('E2E core flow'!$A$15:$A$1000&lt;&gt;"")*ISNUMBER(SEARCH('E2E core flow'!$A$15:$A$1000,$E782))*('E2E core flow'!$U$15:$U$1000&lt;&gt;""),"")))),"-"))</f>
        <v/>
      </c>
    </row>
    <row r="783" spans="7:19" x14ac:dyDescent="0.3">
      <c r="G783" s="68" t="str" cm="1">
        <f t="array" ref="G783">_xlfn.LET(_xlpm.ids,'E2E core flow'!$A$15:$A$1000,_xlpm.v,'E2E core flow'!$W$15:$W$1000,_xlpm.m,(_xlpm.ids&lt;&gt;"")*ISNUMBER(SEARCH(_xlpm.ids,$E783)),_xlpm.f,SUM(_xlpm.m*(_xlpm.v="Failed")),_xlpm.b,SUM(_xlpm.m*(_xlpm.v="Blocked")),_xlpm.nr,SUM(_xlpm.m*(_xlpm.v="Not Run")),_xlpm.cp,SUM(_xlpm.m*(_xlpm.v="Conditionally Passed")),_xlpm.p,SUM(_xlpm.m*(_xlpm.v="Passed")),IF(TRIM($A783)="","",IF(TRIM($E783)="","Pending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83" s="68" t="str">
        <f>IF(TRIM($A783)="","",IF($J783="Passed","",IF($J783="Passed with Known Issue","Known Issue",IF($J783="",IF(OR($H783&lt;&gt;"No",AND($F783&lt;&gt;"Medium",$F783&lt;&gt;"Low")),"Pending Result",""),IF(OR($H783&lt;&gt;"No",AND($F783&lt;&gt;"Medium",$F783&lt;&gt;"Low")),IF(COUNTIFS(Dashboard!$B$105:$B$124,$A783,Dashboard!$I$105:$I$124,"CAB")&gt;0,"Accepted (CF)","Blocking"),IF($J783="Failed","Deferrable","Carry Over"))))))</f>
        <v/>
      </c>
      <c r="M783" s="68" t="str">
        <f>IF(OR(TRIM($A783)="",TRIM($E783)=""),"",IFERROR(INDEX('E2E core flow'!$B$15:$B$1000,MATCH(1,INDEX(('E2E core flow'!$A$15:$A$1000&lt;&gt;"")*ISNUMBER(SEARCH('E2E core flow'!$A$15:$A$1000,$E783)),0),0))&amp;"","-"))</f>
        <v/>
      </c>
      <c r="N783" s="68" t="str">
        <f>IF(TRIM($A783)="","",IF($O783=0,IF(COUNTIFS('Card Test Cases'!$B$4:$B$1000,$A783,'Card Test Cases'!$A$4:$A$1000,"&lt;&gt;")&gt;0,"Out of Scope","No TC"),IF($Q783&gt;0,"Failed",IF(COUNTIFS('Card Test Cases'!$B$4:$B$1000,$A783,'Card Test Cases'!$A$4:$A$1000,"&lt;&gt;",'Card Test Cases'!$F$4:$F$1000,"Blocked")&gt;0,"Blocked",IF($R783&gt;0,"In Progress","Passed")))))</f>
        <v/>
      </c>
      <c r="O783" s="68" t="str">
        <f>IF(TRIM($A783)="","",COUNTIFS('Card Test Cases'!$B$4:$B$1000,$A783,'Card Test Cases'!$A$4:$A$1000,"&lt;&gt;",'Card Test Cases'!$F$4:$F$1000,"&lt;&gt;Out of Scope"))</f>
        <v/>
      </c>
      <c r="P783" s="68" t="str">
        <f>IF(TRIM($A783)="","",COUNTIFS('Card Test Cases'!$B$4:$B$1000,$A783,'Card Test Cases'!$A$4:$A$1000,"&lt;&gt;",'Card Test Cases'!$F$4:$F$1000,"Passed"))</f>
        <v/>
      </c>
      <c r="Q783" s="68" t="str">
        <f>IF(TRIM($A783)="","",COUNTIFS('Card Test Cases'!$B$4:$B$1000,$A783,'Card Test Cases'!$A$4:$A$1000,"&lt;&gt;",'Card Test Cases'!$F$4:$F$1000,"Failed"))</f>
        <v/>
      </c>
      <c r="R783" s="68" t="str">
        <f t="shared" si="12"/>
        <v/>
      </c>
      <c r="S783" s="68" t="str" cm="1">
        <f t="array" ref="S783">IF(TRIM($A783)="","",IFERROR(_xlfn.TEXTJOIN(", ",TRUE,_xlfn.UNIQUE(_xlfn.VSTACK(_xlfn._xlws.FILTER('Card Test Cases'!$G$4:$G$1000,('Card Test Cases'!$B$4:$B$1000=$A783)*('Card Test Cases'!$G$4:$G$1000&lt;&gt;""),""),_xlfn._xlws.FILTER('E2E core flow'!$U$15:$U$1000,('E2E core flow'!$A$15:$A$1000&lt;&gt;"")*ISNUMBER(SEARCH('E2E core flow'!$A$15:$A$1000,$E783))*('E2E core flow'!$U$15:$U$1000&lt;&gt;""),"")))),"-"))</f>
        <v/>
      </c>
    </row>
    <row r="784" spans="7:19" x14ac:dyDescent="0.3">
      <c r="G784" s="68" t="str" cm="1">
        <f t="array" ref="G784">_xlfn.LET(_xlpm.ids,'E2E core flow'!$A$15:$A$1000,_xlpm.v,'E2E core flow'!$W$15:$W$1000,_xlpm.m,(_xlpm.ids&lt;&gt;"")*ISNUMBER(SEARCH(_xlpm.ids,$E784)),_xlpm.f,SUM(_xlpm.m*(_xlpm.v="Failed")),_xlpm.b,SUM(_xlpm.m*(_xlpm.v="Blocked")),_xlpm.nr,SUM(_xlpm.m*(_xlpm.v="Not Run")),_xlpm.cp,SUM(_xlpm.m*(_xlpm.v="Conditionally Passed")),_xlpm.p,SUM(_xlpm.m*(_xlpm.v="Passed")),IF(TRIM($A784)="","",IF(TRIM($E784)="","Pending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84" s="68" t="str">
        <f>IF(TRIM($A784)="","",IF($J784="Passed","",IF($J784="Passed with Known Issue","Known Issue",IF($J784="",IF(OR($H784&lt;&gt;"No",AND($F784&lt;&gt;"Medium",$F784&lt;&gt;"Low")),"Pending Result",""),IF(OR($H784&lt;&gt;"No",AND($F784&lt;&gt;"Medium",$F784&lt;&gt;"Low")),IF(COUNTIFS(Dashboard!$B$105:$B$124,$A784,Dashboard!$I$105:$I$124,"CAB")&gt;0,"Accepted (CF)","Blocking"),IF($J784="Failed","Deferrable","Carry Over"))))))</f>
        <v/>
      </c>
      <c r="M784" s="68" t="str">
        <f>IF(OR(TRIM($A784)="",TRIM($E784)=""),"",IFERROR(INDEX('E2E core flow'!$B$15:$B$1000,MATCH(1,INDEX(('E2E core flow'!$A$15:$A$1000&lt;&gt;"")*ISNUMBER(SEARCH('E2E core flow'!$A$15:$A$1000,$E784)),0),0))&amp;"","-"))</f>
        <v/>
      </c>
      <c r="N784" s="68" t="str">
        <f>IF(TRIM($A784)="","",IF($O784=0,IF(COUNTIFS('Card Test Cases'!$B$4:$B$1000,$A784,'Card Test Cases'!$A$4:$A$1000,"&lt;&gt;")&gt;0,"Out of Scope","No TC"),IF($Q784&gt;0,"Failed",IF(COUNTIFS('Card Test Cases'!$B$4:$B$1000,$A784,'Card Test Cases'!$A$4:$A$1000,"&lt;&gt;",'Card Test Cases'!$F$4:$F$1000,"Blocked")&gt;0,"Blocked",IF($R784&gt;0,"In Progress","Passed")))))</f>
        <v/>
      </c>
      <c r="O784" s="68" t="str">
        <f>IF(TRIM($A784)="","",COUNTIFS('Card Test Cases'!$B$4:$B$1000,$A784,'Card Test Cases'!$A$4:$A$1000,"&lt;&gt;",'Card Test Cases'!$F$4:$F$1000,"&lt;&gt;Out of Scope"))</f>
        <v/>
      </c>
      <c r="P784" s="68" t="str">
        <f>IF(TRIM($A784)="","",COUNTIFS('Card Test Cases'!$B$4:$B$1000,$A784,'Card Test Cases'!$A$4:$A$1000,"&lt;&gt;",'Card Test Cases'!$F$4:$F$1000,"Passed"))</f>
        <v/>
      </c>
      <c r="Q784" s="68" t="str">
        <f>IF(TRIM($A784)="","",COUNTIFS('Card Test Cases'!$B$4:$B$1000,$A784,'Card Test Cases'!$A$4:$A$1000,"&lt;&gt;",'Card Test Cases'!$F$4:$F$1000,"Failed"))</f>
        <v/>
      </c>
      <c r="R784" s="68" t="str">
        <f t="shared" si="12"/>
        <v/>
      </c>
      <c r="S784" s="68" t="str" cm="1">
        <f t="array" ref="S784">IF(TRIM($A784)="","",IFERROR(_xlfn.TEXTJOIN(", ",TRUE,_xlfn.UNIQUE(_xlfn.VSTACK(_xlfn._xlws.FILTER('Card Test Cases'!$G$4:$G$1000,('Card Test Cases'!$B$4:$B$1000=$A784)*('Card Test Cases'!$G$4:$G$1000&lt;&gt;""),""),_xlfn._xlws.FILTER('E2E core flow'!$U$15:$U$1000,('E2E core flow'!$A$15:$A$1000&lt;&gt;"")*ISNUMBER(SEARCH('E2E core flow'!$A$15:$A$1000,$E784))*('E2E core flow'!$U$15:$U$1000&lt;&gt;""),"")))),"-"))</f>
        <v/>
      </c>
    </row>
    <row r="785" spans="7:19" x14ac:dyDescent="0.3">
      <c r="G785" s="68" t="str" cm="1">
        <f t="array" ref="G785">_xlfn.LET(_xlpm.ids,'E2E core flow'!$A$15:$A$1000,_xlpm.v,'E2E core flow'!$W$15:$W$1000,_xlpm.m,(_xlpm.ids&lt;&gt;"")*ISNUMBER(SEARCH(_xlpm.ids,$E785)),_xlpm.f,SUM(_xlpm.m*(_xlpm.v="Failed")),_xlpm.b,SUM(_xlpm.m*(_xlpm.v="Blocked")),_xlpm.nr,SUM(_xlpm.m*(_xlpm.v="Not Run")),_xlpm.cp,SUM(_xlpm.m*(_xlpm.v="Conditionally Passed")),_xlpm.p,SUM(_xlpm.m*(_xlpm.v="Passed")),IF(TRIM($A785)="","",IF(TRIM($E785)="","Pending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85" s="68" t="str">
        <f>IF(TRIM($A785)="","",IF($J785="Passed","",IF($J785="Passed with Known Issue","Known Issue",IF($J785="",IF(OR($H785&lt;&gt;"No",AND($F785&lt;&gt;"Medium",$F785&lt;&gt;"Low")),"Pending Result",""),IF(OR($H785&lt;&gt;"No",AND($F785&lt;&gt;"Medium",$F785&lt;&gt;"Low")),IF(COUNTIFS(Dashboard!$B$105:$B$124,$A785,Dashboard!$I$105:$I$124,"CAB")&gt;0,"Accepted (CF)","Blocking"),IF($J785="Failed","Deferrable","Carry Over"))))))</f>
        <v/>
      </c>
      <c r="M785" s="68" t="str">
        <f>IF(OR(TRIM($A785)="",TRIM($E785)=""),"",IFERROR(INDEX('E2E core flow'!$B$15:$B$1000,MATCH(1,INDEX(('E2E core flow'!$A$15:$A$1000&lt;&gt;"")*ISNUMBER(SEARCH('E2E core flow'!$A$15:$A$1000,$E785)),0),0))&amp;"","-"))</f>
        <v/>
      </c>
      <c r="N785" s="68" t="str">
        <f>IF(TRIM($A785)="","",IF($O785=0,IF(COUNTIFS('Card Test Cases'!$B$4:$B$1000,$A785,'Card Test Cases'!$A$4:$A$1000,"&lt;&gt;")&gt;0,"Out of Scope","No TC"),IF($Q785&gt;0,"Failed",IF(COUNTIFS('Card Test Cases'!$B$4:$B$1000,$A785,'Card Test Cases'!$A$4:$A$1000,"&lt;&gt;",'Card Test Cases'!$F$4:$F$1000,"Blocked")&gt;0,"Blocked",IF($R785&gt;0,"In Progress","Passed")))))</f>
        <v/>
      </c>
      <c r="O785" s="68" t="str">
        <f>IF(TRIM($A785)="","",COUNTIFS('Card Test Cases'!$B$4:$B$1000,$A785,'Card Test Cases'!$A$4:$A$1000,"&lt;&gt;",'Card Test Cases'!$F$4:$F$1000,"&lt;&gt;Out of Scope"))</f>
        <v/>
      </c>
      <c r="P785" s="68" t="str">
        <f>IF(TRIM($A785)="","",COUNTIFS('Card Test Cases'!$B$4:$B$1000,$A785,'Card Test Cases'!$A$4:$A$1000,"&lt;&gt;",'Card Test Cases'!$F$4:$F$1000,"Passed"))</f>
        <v/>
      </c>
      <c r="Q785" s="68" t="str">
        <f>IF(TRIM($A785)="","",COUNTIFS('Card Test Cases'!$B$4:$B$1000,$A785,'Card Test Cases'!$A$4:$A$1000,"&lt;&gt;",'Card Test Cases'!$F$4:$F$1000,"Failed"))</f>
        <v/>
      </c>
      <c r="R785" s="68" t="str">
        <f t="shared" si="12"/>
        <v/>
      </c>
      <c r="S785" s="68" t="str" cm="1">
        <f t="array" ref="S785">IF(TRIM($A785)="","",IFERROR(_xlfn.TEXTJOIN(", ",TRUE,_xlfn.UNIQUE(_xlfn.VSTACK(_xlfn._xlws.FILTER('Card Test Cases'!$G$4:$G$1000,('Card Test Cases'!$B$4:$B$1000=$A785)*('Card Test Cases'!$G$4:$G$1000&lt;&gt;""),""),_xlfn._xlws.FILTER('E2E core flow'!$U$15:$U$1000,('E2E core flow'!$A$15:$A$1000&lt;&gt;"")*ISNUMBER(SEARCH('E2E core flow'!$A$15:$A$1000,$E785))*('E2E core flow'!$U$15:$U$1000&lt;&gt;""),"")))),"-"))</f>
        <v/>
      </c>
    </row>
    <row r="786" spans="7:19" x14ac:dyDescent="0.3">
      <c r="G786" s="68" t="str" cm="1">
        <f t="array" ref="G786">_xlfn.LET(_xlpm.ids,'E2E core flow'!$A$15:$A$1000,_xlpm.v,'E2E core flow'!$W$15:$W$1000,_xlpm.m,(_xlpm.ids&lt;&gt;"")*ISNUMBER(SEARCH(_xlpm.ids,$E786)),_xlpm.f,SUM(_xlpm.m*(_xlpm.v="Failed")),_xlpm.b,SUM(_xlpm.m*(_xlpm.v="Blocked")),_xlpm.nr,SUM(_xlpm.m*(_xlpm.v="Not Run")),_xlpm.cp,SUM(_xlpm.m*(_xlpm.v="Conditionally Passed")),_xlpm.p,SUM(_xlpm.m*(_xlpm.v="Passed")),IF(TRIM($A786)="","",IF(TRIM($E786)="","Pending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86" s="68" t="str">
        <f>IF(TRIM($A786)="","",IF($J786="Passed","",IF($J786="Passed with Known Issue","Known Issue",IF($J786="",IF(OR($H786&lt;&gt;"No",AND($F786&lt;&gt;"Medium",$F786&lt;&gt;"Low")),"Pending Result",""),IF(OR($H786&lt;&gt;"No",AND($F786&lt;&gt;"Medium",$F786&lt;&gt;"Low")),IF(COUNTIFS(Dashboard!$B$105:$B$124,$A786,Dashboard!$I$105:$I$124,"CAB")&gt;0,"Accepted (CF)","Blocking"),IF($J786="Failed","Deferrable","Carry Over"))))))</f>
        <v/>
      </c>
      <c r="M786" s="68" t="str">
        <f>IF(OR(TRIM($A786)="",TRIM($E786)=""),"",IFERROR(INDEX('E2E core flow'!$B$15:$B$1000,MATCH(1,INDEX(('E2E core flow'!$A$15:$A$1000&lt;&gt;"")*ISNUMBER(SEARCH('E2E core flow'!$A$15:$A$1000,$E786)),0),0))&amp;"","-"))</f>
        <v/>
      </c>
      <c r="N786" s="68" t="str">
        <f>IF(TRIM($A786)="","",IF($O786=0,IF(COUNTIFS('Card Test Cases'!$B$4:$B$1000,$A786,'Card Test Cases'!$A$4:$A$1000,"&lt;&gt;")&gt;0,"Out of Scope","No TC"),IF($Q786&gt;0,"Failed",IF(COUNTIFS('Card Test Cases'!$B$4:$B$1000,$A786,'Card Test Cases'!$A$4:$A$1000,"&lt;&gt;",'Card Test Cases'!$F$4:$F$1000,"Blocked")&gt;0,"Blocked",IF($R786&gt;0,"In Progress","Passed")))))</f>
        <v/>
      </c>
      <c r="O786" s="68" t="str">
        <f>IF(TRIM($A786)="","",COUNTIFS('Card Test Cases'!$B$4:$B$1000,$A786,'Card Test Cases'!$A$4:$A$1000,"&lt;&gt;",'Card Test Cases'!$F$4:$F$1000,"&lt;&gt;Out of Scope"))</f>
        <v/>
      </c>
      <c r="P786" s="68" t="str">
        <f>IF(TRIM($A786)="","",COUNTIFS('Card Test Cases'!$B$4:$B$1000,$A786,'Card Test Cases'!$A$4:$A$1000,"&lt;&gt;",'Card Test Cases'!$F$4:$F$1000,"Passed"))</f>
        <v/>
      </c>
      <c r="Q786" s="68" t="str">
        <f>IF(TRIM($A786)="","",COUNTIFS('Card Test Cases'!$B$4:$B$1000,$A786,'Card Test Cases'!$A$4:$A$1000,"&lt;&gt;",'Card Test Cases'!$F$4:$F$1000,"Failed"))</f>
        <v/>
      </c>
      <c r="R786" s="68" t="str">
        <f t="shared" si="12"/>
        <v/>
      </c>
      <c r="S786" s="68" t="str" cm="1">
        <f t="array" ref="S786">IF(TRIM($A786)="","",IFERROR(_xlfn.TEXTJOIN(", ",TRUE,_xlfn.UNIQUE(_xlfn.VSTACK(_xlfn._xlws.FILTER('Card Test Cases'!$G$4:$G$1000,('Card Test Cases'!$B$4:$B$1000=$A786)*('Card Test Cases'!$G$4:$G$1000&lt;&gt;""),""),_xlfn._xlws.FILTER('E2E core flow'!$U$15:$U$1000,('E2E core flow'!$A$15:$A$1000&lt;&gt;"")*ISNUMBER(SEARCH('E2E core flow'!$A$15:$A$1000,$E786))*('E2E core flow'!$U$15:$U$1000&lt;&gt;""),"")))),"-"))</f>
        <v/>
      </c>
    </row>
    <row r="787" spans="7:19" x14ac:dyDescent="0.3">
      <c r="G787" s="68" t="str" cm="1">
        <f t="array" ref="G787">_xlfn.LET(_xlpm.ids,'E2E core flow'!$A$15:$A$1000,_xlpm.v,'E2E core flow'!$W$15:$W$1000,_xlpm.m,(_xlpm.ids&lt;&gt;"")*ISNUMBER(SEARCH(_xlpm.ids,$E787)),_xlpm.f,SUM(_xlpm.m*(_xlpm.v="Failed")),_xlpm.b,SUM(_xlpm.m*(_xlpm.v="Blocked")),_xlpm.nr,SUM(_xlpm.m*(_xlpm.v="Not Run")),_xlpm.cp,SUM(_xlpm.m*(_xlpm.v="Conditionally Passed")),_xlpm.p,SUM(_xlpm.m*(_xlpm.v="Passed")),IF(TRIM($A787)="","",IF(TRIM($E787)="","Pending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87" s="68" t="str">
        <f>IF(TRIM($A787)="","",IF($J787="Passed","",IF($J787="Passed with Known Issue","Known Issue",IF($J787="",IF(OR($H787&lt;&gt;"No",AND($F787&lt;&gt;"Medium",$F787&lt;&gt;"Low")),"Pending Result",""),IF(OR($H787&lt;&gt;"No",AND($F787&lt;&gt;"Medium",$F787&lt;&gt;"Low")),IF(COUNTIFS(Dashboard!$B$105:$B$124,$A787,Dashboard!$I$105:$I$124,"CAB")&gt;0,"Accepted (CF)","Blocking"),IF($J787="Failed","Deferrable","Carry Over"))))))</f>
        <v/>
      </c>
      <c r="M787" s="68" t="str">
        <f>IF(OR(TRIM($A787)="",TRIM($E787)=""),"",IFERROR(INDEX('E2E core flow'!$B$15:$B$1000,MATCH(1,INDEX(('E2E core flow'!$A$15:$A$1000&lt;&gt;"")*ISNUMBER(SEARCH('E2E core flow'!$A$15:$A$1000,$E787)),0),0))&amp;"","-"))</f>
        <v/>
      </c>
      <c r="N787" s="68" t="str">
        <f>IF(TRIM($A787)="","",IF($O787=0,IF(COUNTIFS('Card Test Cases'!$B$4:$B$1000,$A787,'Card Test Cases'!$A$4:$A$1000,"&lt;&gt;")&gt;0,"Out of Scope","No TC"),IF($Q787&gt;0,"Failed",IF(COUNTIFS('Card Test Cases'!$B$4:$B$1000,$A787,'Card Test Cases'!$A$4:$A$1000,"&lt;&gt;",'Card Test Cases'!$F$4:$F$1000,"Blocked")&gt;0,"Blocked",IF($R787&gt;0,"In Progress","Passed")))))</f>
        <v/>
      </c>
      <c r="O787" s="68" t="str">
        <f>IF(TRIM($A787)="","",COUNTIFS('Card Test Cases'!$B$4:$B$1000,$A787,'Card Test Cases'!$A$4:$A$1000,"&lt;&gt;",'Card Test Cases'!$F$4:$F$1000,"&lt;&gt;Out of Scope"))</f>
        <v/>
      </c>
      <c r="P787" s="68" t="str">
        <f>IF(TRIM($A787)="","",COUNTIFS('Card Test Cases'!$B$4:$B$1000,$A787,'Card Test Cases'!$A$4:$A$1000,"&lt;&gt;",'Card Test Cases'!$F$4:$F$1000,"Passed"))</f>
        <v/>
      </c>
      <c r="Q787" s="68" t="str">
        <f>IF(TRIM($A787)="","",COUNTIFS('Card Test Cases'!$B$4:$B$1000,$A787,'Card Test Cases'!$A$4:$A$1000,"&lt;&gt;",'Card Test Cases'!$F$4:$F$1000,"Failed"))</f>
        <v/>
      </c>
      <c r="R787" s="68" t="str">
        <f t="shared" si="12"/>
        <v/>
      </c>
      <c r="S787" s="68" t="str" cm="1">
        <f t="array" ref="S787">IF(TRIM($A787)="","",IFERROR(_xlfn.TEXTJOIN(", ",TRUE,_xlfn.UNIQUE(_xlfn.VSTACK(_xlfn._xlws.FILTER('Card Test Cases'!$G$4:$G$1000,('Card Test Cases'!$B$4:$B$1000=$A787)*('Card Test Cases'!$G$4:$G$1000&lt;&gt;""),""),_xlfn._xlws.FILTER('E2E core flow'!$U$15:$U$1000,('E2E core flow'!$A$15:$A$1000&lt;&gt;"")*ISNUMBER(SEARCH('E2E core flow'!$A$15:$A$1000,$E787))*('E2E core flow'!$U$15:$U$1000&lt;&gt;""),"")))),"-"))</f>
        <v/>
      </c>
    </row>
    <row r="788" spans="7:19" x14ac:dyDescent="0.3">
      <c r="G788" s="68" t="str" cm="1">
        <f t="array" ref="G788">_xlfn.LET(_xlpm.ids,'E2E core flow'!$A$15:$A$1000,_xlpm.v,'E2E core flow'!$W$15:$W$1000,_xlpm.m,(_xlpm.ids&lt;&gt;"")*ISNUMBER(SEARCH(_xlpm.ids,$E788)),_xlpm.f,SUM(_xlpm.m*(_xlpm.v="Failed")),_xlpm.b,SUM(_xlpm.m*(_xlpm.v="Blocked")),_xlpm.nr,SUM(_xlpm.m*(_xlpm.v="Not Run")),_xlpm.cp,SUM(_xlpm.m*(_xlpm.v="Conditionally Passed")),_xlpm.p,SUM(_xlpm.m*(_xlpm.v="Passed")),IF(TRIM($A788)="","",IF(TRIM($E788)="","Pending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88" s="68" t="str">
        <f>IF(TRIM($A788)="","",IF($J788="Passed","",IF($J788="Passed with Known Issue","Known Issue",IF($J788="",IF(OR($H788&lt;&gt;"No",AND($F788&lt;&gt;"Medium",$F788&lt;&gt;"Low")),"Pending Result",""),IF(OR($H788&lt;&gt;"No",AND($F788&lt;&gt;"Medium",$F788&lt;&gt;"Low")),IF(COUNTIFS(Dashboard!$B$105:$B$124,$A788,Dashboard!$I$105:$I$124,"CAB")&gt;0,"Accepted (CF)","Blocking"),IF($J788="Failed","Deferrable","Carry Over"))))))</f>
        <v/>
      </c>
      <c r="M788" s="68" t="str">
        <f>IF(OR(TRIM($A788)="",TRIM($E788)=""),"",IFERROR(INDEX('E2E core flow'!$B$15:$B$1000,MATCH(1,INDEX(('E2E core flow'!$A$15:$A$1000&lt;&gt;"")*ISNUMBER(SEARCH('E2E core flow'!$A$15:$A$1000,$E788)),0),0))&amp;"","-"))</f>
        <v/>
      </c>
      <c r="N788" s="68" t="str">
        <f>IF(TRIM($A788)="","",IF($O788=0,IF(COUNTIFS('Card Test Cases'!$B$4:$B$1000,$A788,'Card Test Cases'!$A$4:$A$1000,"&lt;&gt;")&gt;0,"Out of Scope","No TC"),IF($Q788&gt;0,"Failed",IF(COUNTIFS('Card Test Cases'!$B$4:$B$1000,$A788,'Card Test Cases'!$A$4:$A$1000,"&lt;&gt;",'Card Test Cases'!$F$4:$F$1000,"Blocked")&gt;0,"Blocked",IF($R788&gt;0,"In Progress","Passed")))))</f>
        <v/>
      </c>
      <c r="O788" s="68" t="str">
        <f>IF(TRIM($A788)="","",COUNTIFS('Card Test Cases'!$B$4:$B$1000,$A788,'Card Test Cases'!$A$4:$A$1000,"&lt;&gt;",'Card Test Cases'!$F$4:$F$1000,"&lt;&gt;Out of Scope"))</f>
        <v/>
      </c>
      <c r="P788" s="68" t="str">
        <f>IF(TRIM($A788)="","",COUNTIFS('Card Test Cases'!$B$4:$B$1000,$A788,'Card Test Cases'!$A$4:$A$1000,"&lt;&gt;",'Card Test Cases'!$F$4:$F$1000,"Passed"))</f>
        <v/>
      </c>
      <c r="Q788" s="68" t="str">
        <f>IF(TRIM($A788)="","",COUNTIFS('Card Test Cases'!$B$4:$B$1000,$A788,'Card Test Cases'!$A$4:$A$1000,"&lt;&gt;",'Card Test Cases'!$F$4:$F$1000,"Failed"))</f>
        <v/>
      </c>
      <c r="R788" s="68" t="str">
        <f t="shared" si="12"/>
        <v/>
      </c>
      <c r="S788" s="68" t="str" cm="1">
        <f t="array" ref="S788">IF(TRIM($A788)="","",IFERROR(_xlfn.TEXTJOIN(", ",TRUE,_xlfn.UNIQUE(_xlfn.VSTACK(_xlfn._xlws.FILTER('Card Test Cases'!$G$4:$G$1000,('Card Test Cases'!$B$4:$B$1000=$A788)*('Card Test Cases'!$G$4:$G$1000&lt;&gt;""),""),_xlfn._xlws.FILTER('E2E core flow'!$U$15:$U$1000,('E2E core flow'!$A$15:$A$1000&lt;&gt;"")*ISNUMBER(SEARCH('E2E core flow'!$A$15:$A$1000,$E788))*('E2E core flow'!$U$15:$U$1000&lt;&gt;""),"")))),"-"))</f>
        <v/>
      </c>
    </row>
    <row r="789" spans="7:19" x14ac:dyDescent="0.3">
      <c r="G789" s="68" t="str" cm="1">
        <f t="array" ref="G789">_xlfn.LET(_xlpm.ids,'E2E core flow'!$A$15:$A$1000,_xlpm.v,'E2E core flow'!$W$15:$W$1000,_xlpm.m,(_xlpm.ids&lt;&gt;"")*ISNUMBER(SEARCH(_xlpm.ids,$E789)),_xlpm.f,SUM(_xlpm.m*(_xlpm.v="Failed")),_xlpm.b,SUM(_xlpm.m*(_xlpm.v="Blocked")),_xlpm.nr,SUM(_xlpm.m*(_xlpm.v="Not Run")),_xlpm.cp,SUM(_xlpm.m*(_xlpm.v="Conditionally Passed")),_xlpm.p,SUM(_xlpm.m*(_xlpm.v="Passed")),IF(TRIM($A789)="","",IF(TRIM($E789)="","Pending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89" s="68" t="str">
        <f>IF(TRIM($A789)="","",IF($J789="Passed","",IF($J789="Passed with Known Issue","Known Issue",IF($J789="",IF(OR($H789&lt;&gt;"No",AND($F789&lt;&gt;"Medium",$F789&lt;&gt;"Low")),"Pending Result",""),IF(OR($H789&lt;&gt;"No",AND($F789&lt;&gt;"Medium",$F789&lt;&gt;"Low")),IF(COUNTIFS(Dashboard!$B$105:$B$124,$A789,Dashboard!$I$105:$I$124,"CAB")&gt;0,"Accepted (CF)","Blocking"),IF($J789="Failed","Deferrable","Carry Over"))))))</f>
        <v/>
      </c>
      <c r="M789" s="68" t="str">
        <f>IF(OR(TRIM($A789)="",TRIM($E789)=""),"",IFERROR(INDEX('E2E core flow'!$B$15:$B$1000,MATCH(1,INDEX(('E2E core flow'!$A$15:$A$1000&lt;&gt;"")*ISNUMBER(SEARCH('E2E core flow'!$A$15:$A$1000,$E789)),0),0))&amp;"","-"))</f>
        <v/>
      </c>
      <c r="N789" s="68" t="str">
        <f>IF(TRIM($A789)="","",IF($O789=0,IF(COUNTIFS('Card Test Cases'!$B$4:$B$1000,$A789,'Card Test Cases'!$A$4:$A$1000,"&lt;&gt;")&gt;0,"Out of Scope","No TC"),IF($Q789&gt;0,"Failed",IF(COUNTIFS('Card Test Cases'!$B$4:$B$1000,$A789,'Card Test Cases'!$A$4:$A$1000,"&lt;&gt;",'Card Test Cases'!$F$4:$F$1000,"Blocked")&gt;0,"Blocked",IF($R789&gt;0,"In Progress","Passed")))))</f>
        <v/>
      </c>
      <c r="O789" s="68" t="str">
        <f>IF(TRIM($A789)="","",COUNTIFS('Card Test Cases'!$B$4:$B$1000,$A789,'Card Test Cases'!$A$4:$A$1000,"&lt;&gt;",'Card Test Cases'!$F$4:$F$1000,"&lt;&gt;Out of Scope"))</f>
        <v/>
      </c>
      <c r="P789" s="68" t="str">
        <f>IF(TRIM($A789)="","",COUNTIFS('Card Test Cases'!$B$4:$B$1000,$A789,'Card Test Cases'!$A$4:$A$1000,"&lt;&gt;",'Card Test Cases'!$F$4:$F$1000,"Passed"))</f>
        <v/>
      </c>
      <c r="Q789" s="68" t="str">
        <f>IF(TRIM($A789)="","",COUNTIFS('Card Test Cases'!$B$4:$B$1000,$A789,'Card Test Cases'!$A$4:$A$1000,"&lt;&gt;",'Card Test Cases'!$F$4:$F$1000,"Failed"))</f>
        <v/>
      </c>
      <c r="R789" s="68" t="str">
        <f t="shared" si="12"/>
        <v/>
      </c>
      <c r="S789" s="68" t="str" cm="1">
        <f t="array" ref="S789">IF(TRIM($A789)="","",IFERROR(_xlfn.TEXTJOIN(", ",TRUE,_xlfn.UNIQUE(_xlfn.VSTACK(_xlfn._xlws.FILTER('Card Test Cases'!$G$4:$G$1000,('Card Test Cases'!$B$4:$B$1000=$A789)*('Card Test Cases'!$G$4:$G$1000&lt;&gt;""),""),_xlfn._xlws.FILTER('E2E core flow'!$U$15:$U$1000,('E2E core flow'!$A$15:$A$1000&lt;&gt;"")*ISNUMBER(SEARCH('E2E core flow'!$A$15:$A$1000,$E789))*('E2E core flow'!$U$15:$U$1000&lt;&gt;""),"")))),"-"))</f>
        <v/>
      </c>
    </row>
    <row r="790" spans="7:19" x14ac:dyDescent="0.3">
      <c r="G790" s="68" t="str" cm="1">
        <f t="array" ref="G790">_xlfn.LET(_xlpm.ids,'E2E core flow'!$A$15:$A$1000,_xlpm.v,'E2E core flow'!$W$15:$W$1000,_xlpm.m,(_xlpm.ids&lt;&gt;"")*ISNUMBER(SEARCH(_xlpm.ids,$E790)),_xlpm.f,SUM(_xlpm.m*(_xlpm.v="Failed")),_xlpm.b,SUM(_xlpm.m*(_xlpm.v="Blocked")),_xlpm.nr,SUM(_xlpm.m*(_xlpm.v="Not Run")),_xlpm.cp,SUM(_xlpm.m*(_xlpm.v="Conditionally Passed")),_xlpm.p,SUM(_xlpm.m*(_xlpm.v="Passed")),IF(TRIM($A790)="","",IF(TRIM($E790)="","Pending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90" s="68" t="str">
        <f>IF(TRIM($A790)="","",IF($J790="Passed","",IF($J790="Passed with Known Issue","Known Issue",IF($J790="",IF(OR($H790&lt;&gt;"No",AND($F790&lt;&gt;"Medium",$F790&lt;&gt;"Low")),"Pending Result",""),IF(OR($H790&lt;&gt;"No",AND($F790&lt;&gt;"Medium",$F790&lt;&gt;"Low")),IF(COUNTIFS(Dashboard!$B$105:$B$124,$A790,Dashboard!$I$105:$I$124,"CAB")&gt;0,"Accepted (CF)","Blocking"),IF($J790="Failed","Deferrable","Carry Over"))))))</f>
        <v/>
      </c>
      <c r="M790" s="68" t="str">
        <f>IF(OR(TRIM($A790)="",TRIM($E790)=""),"",IFERROR(INDEX('E2E core flow'!$B$15:$B$1000,MATCH(1,INDEX(('E2E core flow'!$A$15:$A$1000&lt;&gt;"")*ISNUMBER(SEARCH('E2E core flow'!$A$15:$A$1000,$E790)),0),0))&amp;"","-"))</f>
        <v/>
      </c>
      <c r="N790" s="68" t="str">
        <f>IF(TRIM($A790)="","",IF($O790=0,IF(COUNTIFS('Card Test Cases'!$B$4:$B$1000,$A790,'Card Test Cases'!$A$4:$A$1000,"&lt;&gt;")&gt;0,"Out of Scope","No TC"),IF($Q790&gt;0,"Failed",IF(COUNTIFS('Card Test Cases'!$B$4:$B$1000,$A790,'Card Test Cases'!$A$4:$A$1000,"&lt;&gt;",'Card Test Cases'!$F$4:$F$1000,"Blocked")&gt;0,"Blocked",IF($R790&gt;0,"In Progress","Passed")))))</f>
        <v/>
      </c>
      <c r="O790" s="68" t="str">
        <f>IF(TRIM($A790)="","",COUNTIFS('Card Test Cases'!$B$4:$B$1000,$A790,'Card Test Cases'!$A$4:$A$1000,"&lt;&gt;",'Card Test Cases'!$F$4:$F$1000,"&lt;&gt;Out of Scope"))</f>
        <v/>
      </c>
      <c r="P790" s="68" t="str">
        <f>IF(TRIM($A790)="","",COUNTIFS('Card Test Cases'!$B$4:$B$1000,$A790,'Card Test Cases'!$A$4:$A$1000,"&lt;&gt;",'Card Test Cases'!$F$4:$F$1000,"Passed"))</f>
        <v/>
      </c>
      <c r="Q790" s="68" t="str">
        <f>IF(TRIM($A790)="","",COUNTIFS('Card Test Cases'!$B$4:$B$1000,$A790,'Card Test Cases'!$A$4:$A$1000,"&lt;&gt;",'Card Test Cases'!$F$4:$F$1000,"Failed"))</f>
        <v/>
      </c>
      <c r="R790" s="68" t="str">
        <f t="shared" si="12"/>
        <v/>
      </c>
      <c r="S790" s="68" t="str" cm="1">
        <f t="array" ref="S790">IF(TRIM($A790)="","",IFERROR(_xlfn.TEXTJOIN(", ",TRUE,_xlfn.UNIQUE(_xlfn.VSTACK(_xlfn._xlws.FILTER('Card Test Cases'!$G$4:$G$1000,('Card Test Cases'!$B$4:$B$1000=$A790)*('Card Test Cases'!$G$4:$G$1000&lt;&gt;""),""),_xlfn._xlws.FILTER('E2E core flow'!$U$15:$U$1000,('E2E core flow'!$A$15:$A$1000&lt;&gt;"")*ISNUMBER(SEARCH('E2E core flow'!$A$15:$A$1000,$E790))*('E2E core flow'!$U$15:$U$1000&lt;&gt;""),"")))),"-"))</f>
        <v/>
      </c>
    </row>
    <row r="791" spans="7:19" x14ac:dyDescent="0.3">
      <c r="G791" s="68" t="str" cm="1">
        <f t="array" ref="G791">_xlfn.LET(_xlpm.ids,'E2E core flow'!$A$15:$A$1000,_xlpm.v,'E2E core flow'!$W$15:$W$1000,_xlpm.m,(_xlpm.ids&lt;&gt;"")*ISNUMBER(SEARCH(_xlpm.ids,$E791)),_xlpm.f,SUM(_xlpm.m*(_xlpm.v="Failed")),_xlpm.b,SUM(_xlpm.m*(_xlpm.v="Blocked")),_xlpm.nr,SUM(_xlpm.m*(_xlpm.v="Not Run")),_xlpm.cp,SUM(_xlpm.m*(_xlpm.v="Conditionally Passed")),_xlpm.p,SUM(_xlpm.m*(_xlpm.v="Passed")),IF(TRIM($A791)="","",IF(TRIM($E791)="","Pending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91" s="68" t="str">
        <f>IF(TRIM($A791)="","",IF($J791="Passed","",IF($J791="Passed with Known Issue","Known Issue",IF($J791="",IF(OR($H791&lt;&gt;"No",AND($F791&lt;&gt;"Medium",$F791&lt;&gt;"Low")),"Pending Result",""),IF(OR($H791&lt;&gt;"No",AND($F791&lt;&gt;"Medium",$F791&lt;&gt;"Low")),IF(COUNTIFS(Dashboard!$B$105:$B$124,$A791,Dashboard!$I$105:$I$124,"CAB")&gt;0,"Accepted (CF)","Blocking"),IF($J791="Failed","Deferrable","Carry Over"))))))</f>
        <v/>
      </c>
      <c r="M791" s="68" t="str">
        <f>IF(OR(TRIM($A791)="",TRIM($E791)=""),"",IFERROR(INDEX('E2E core flow'!$B$15:$B$1000,MATCH(1,INDEX(('E2E core flow'!$A$15:$A$1000&lt;&gt;"")*ISNUMBER(SEARCH('E2E core flow'!$A$15:$A$1000,$E791)),0),0))&amp;"","-"))</f>
        <v/>
      </c>
      <c r="N791" s="68" t="str">
        <f>IF(TRIM($A791)="","",IF($O791=0,IF(COUNTIFS('Card Test Cases'!$B$4:$B$1000,$A791,'Card Test Cases'!$A$4:$A$1000,"&lt;&gt;")&gt;0,"Out of Scope","No TC"),IF($Q791&gt;0,"Failed",IF(COUNTIFS('Card Test Cases'!$B$4:$B$1000,$A791,'Card Test Cases'!$A$4:$A$1000,"&lt;&gt;",'Card Test Cases'!$F$4:$F$1000,"Blocked")&gt;0,"Blocked",IF($R791&gt;0,"In Progress","Passed")))))</f>
        <v/>
      </c>
      <c r="O791" s="68" t="str">
        <f>IF(TRIM($A791)="","",COUNTIFS('Card Test Cases'!$B$4:$B$1000,$A791,'Card Test Cases'!$A$4:$A$1000,"&lt;&gt;",'Card Test Cases'!$F$4:$F$1000,"&lt;&gt;Out of Scope"))</f>
        <v/>
      </c>
      <c r="P791" s="68" t="str">
        <f>IF(TRIM($A791)="","",COUNTIFS('Card Test Cases'!$B$4:$B$1000,$A791,'Card Test Cases'!$A$4:$A$1000,"&lt;&gt;",'Card Test Cases'!$F$4:$F$1000,"Passed"))</f>
        <v/>
      </c>
      <c r="Q791" s="68" t="str">
        <f>IF(TRIM($A791)="","",COUNTIFS('Card Test Cases'!$B$4:$B$1000,$A791,'Card Test Cases'!$A$4:$A$1000,"&lt;&gt;",'Card Test Cases'!$F$4:$F$1000,"Failed"))</f>
        <v/>
      </c>
      <c r="R791" s="68" t="str">
        <f t="shared" si="12"/>
        <v/>
      </c>
      <c r="S791" s="68" t="str" cm="1">
        <f t="array" ref="S791">IF(TRIM($A791)="","",IFERROR(_xlfn.TEXTJOIN(", ",TRUE,_xlfn.UNIQUE(_xlfn.VSTACK(_xlfn._xlws.FILTER('Card Test Cases'!$G$4:$G$1000,('Card Test Cases'!$B$4:$B$1000=$A791)*('Card Test Cases'!$G$4:$G$1000&lt;&gt;""),""),_xlfn._xlws.FILTER('E2E core flow'!$U$15:$U$1000,('E2E core flow'!$A$15:$A$1000&lt;&gt;"")*ISNUMBER(SEARCH('E2E core flow'!$A$15:$A$1000,$E791))*('E2E core flow'!$U$15:$U$1000&lt;&gt;""),"")))),"-"))</f>
        <v/>
      </c>
    </row>
    <row r="792" spans="7:19" x14ac:dyDescent="0.3">
      <c r="G792" s="68" t="str" cm="1">
        <f t="array" ref="G792">_xlfn.LET(_xlpm.ids,'E2E core flow'!$A$15:$A$1000,_xlpm.v,'E2E core flow'!$W$15:$W$1000,_xlpm.m,(_xlpm.ids&lt;&gt;"")*ISNUMBER(SEARCH(_xlpm.ids,$E792)),_xlpm.f,SUM(_xlpm.m*(_xlpm.v="Failed")),_xlpm.b,SUM(_xlpm.m*(_xlpm.v="Blocked")),_xlpm.nr,SUM(_xlpm.m*(_xlpm.v="Not Run")),_xlpm.cp,SUM(_xlpm.m*(_xlpm.v="Conditionally Passed")),_xlpm.p,SUM(_xlpm.m*(_xlpm.v="Passed")),IF(TRIM($A792)="","",IF(TRIM($E792)="","Pending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92" s="68" t="str">
        <f>IF(TRIM($A792)="","",IF($J792="Passed","",IF($J792="Passed with Known Issue","Known Issue",IF($J792="",IF(OR($H792&lt;&gt;"No",AND($F792&lt;&gt;"Medium",$F792&lt;&gt;"Low")),"Pending Result",""),IF(OR($H792&lt;&gt;"No",AND($F792&lt;&gt;"Medium",$F792&lt;&gt;"Low")),IF(COUNTIFS(Dashboard!$B$105:$B$124,$A792,Dashboard!$I$105:$I$124,"CAB")&gt;0,"Accepted (CF)","Blocking"),IF($J792="Failed","Deferrable","Carry Over"))))))</f>
        <v/>
      </c>
      <c r="M792" s="68" t="str">
        <f>IF(OR(TRIM($A792)="",TRIM($E792)=""),"",IFERROR(INDEX('E2E core flow'!$B$15:$B$1000,MATCH(1,INDEX(('E2E core flow'!$A$15:$A$1000&lt;&gt;"")*ISNUMBER(SEARCH('E2E core flow'!$A$15:$A$1000,$E792)),0),0))&amp;"","-"))</f>
        <v/>
      </c>
      <c r="N792" s="68" t="str">
        <f>IF(TRIM($A792)="","",IF($O792=0,IF(COUNTIFS('Card Test Cases'!$B$4:$B$1000,$A792,'Card Test Cases'!$A$4:$A$1000,"&lt;&gt;")&gt;0,"Out of Scope","No TC"),IF($Q792&gt;0,"Failed",IF(COUNTIFS('Card Test Cases'!$B$4:$B$1000,$A792,'Card Test Cases'!$A$4:$A$1000,"&lt;&gt;",'Card Test Cases'!$F$4:$F$1000,"Blocked")&gt;0,"Blocked",IF($R792&gt;0,"In Progress","Passed")))))</f>
        <v/>
      </c>
      <c r="O792" s="68" t="str">
        <f>IF(TRIM($A792)="","",COUNTIFS('Card Test Cases'!$B$4:$B$1000,$A792,'Card Test Cases'!$A$4:$A$1000,"&lt;&gt;",'Card Test Cases'!$F$4:$F$1000,"&lt;&gt;Out of Scope"))</f>
        <v/>
      </c>
      <c r="P792" s="68" t="str">
        <f>IF(TRIM($A792)="","",COUNTIFS('Card Test Cases'!$B$4:$B$1000,$A792,'Card Test Cases'!$A$4:$A$1000,"&lt;&gt;",'Card Test Cases'!$F$4:$F$1000,"Passed"))</f>
        <v/>
      </c>
      <c r="Q792" s="68" t="str">
        <f>IF(TRIM($A792)="","",COUNTIFS('Card Test Cases'!$B$4:$B$1000,$A792,'Card Test Cases'!$A$4:$A$1000,"&lt;&gt;",'Card Test Cases'!$F$4:$F$1000,"Failed"))</f>
        <v/>
      </c>
      <c r="R792" s="68" t="str">
        <f t="shared" si="12"/>
        <v/>
      </c>
      <c r="S792" s="68" t="str" cm="1">
        <f t="array" ref="S792">IF(TRIM($A792)="","",IFERROR(_xlfn.TEXTJOIN(", ",TRUE,_xlfn.UNIQUE(_xlfn.VSTACK(_xlfn._xlws.FILTER('Card Test Cases'!$G$4:$G$1000,('Card Test Cases'!$B$4:$B$1000=$A792)*('Card Test Cases'!$G$4:$G$1000&lt;&gt;""),""),_xlfn._xlws.FILTER('E2E core flow'!$U$15:$U$1000,('E2E core flow'!$A$15:$A$1000&lt;&gt;"")*ISNUMBER(SEARCH('E2E core flow'!$A$15:$A$1000,$E792))*('E2E core flow'!$U$15:$U$1000&lt;&gt;""),"")))),"-"))</f>
        <v/>
      </c>
    </row>
    <row r="793" spans="7:19" x14ac:dyDescent="0.3">
      <c r="G793" s="68" t="str" cm="1">
        <f t="array" ref="G793">_xlfn.LET(_xlpm.ids,'E2E core flow'!$A$15:$A$1000,_xlpm.v,'E2E core flow'!$W$15:$W$1000,_xlpm.m,(_xlpm.ids&lt;&gt;"")*ISNUMBER(SEARCH(_xlpm.ids,$E793)),_xlpm.f,SUM(_xlpm.m*(_xlpm.v="Failed")),_xlpm.b,SUM(_xlpm.m*(_xlpm.v="Blocked")),_xlpm.nr,SUM(_xlpm.m*(_xlpm.v="Not Run")),_xlpm.cp,SUM(_xlpm.m*(_xlpm.v="Conditionally Passed")),_xlpm.p,SUM(_xlpm.m*(_xlpm.v="Passed")),IF(TRIM($A793)="","",IF(TRIM($E793)="","Pending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93" s="68" t="str">
        <f>IF(TRIM($A793)="","",IF($J793="Passed","",IF($J793="Passed with Known Issue","Known Issue",IF($J793="",IF(OR($H793&lt;&gt;"No",AND($F793&lt;&gt;"Medium",$F793&lt;&gt;"Low")),"Pending Result",""),IF(OR($H793&lt;&gt;"No",AND($F793&lt;&gt;"Medium",$F793&lt;&gt;"Low")),IF(COUNTIFS(Dashboard!$B$105:$B$124,$A793,Dashboard!$I$105:$I$124,"CAB")&gt;0,"Accepted (CF)","Blocking"),IF($J793="Failed","Deferrable","Carry Over"))))))</f>
        <v/>
      </c>
      <c r="M793" s="68" t="str">
        <f>IF(OR(TRIM($A793)="",TRIM($E793)=""),"",IFERROR(INDEX('E2E core flow'!$B$15:$B$1000,MATCH(1,INDEX(('E2E core flow'!$A$15:$A$1000&lt;&gt;"")*ISNUMBER(SEARCH('E2E core flow'!$A$15:$A$1000,$E793)),0),0))&amp;"","-"))</f>
        <v/>
      </c>
      <c r="N793" s="68" t="str">
        <f>IF(TRIM($A793)="","",IF($O793=0,IF(COUNTIFS('Card Test Cases'!$B$4:$B$1000,$A793,'Card Test Cases'!$A$4:$A$1000,"&lt;&gt;")&gt;0,"Out of Scope","No TC"),IF($Q793&gt;0,"Failed",IF(COUNTIFS('Card Test Cases'!$B$4:$B$1000,$A793,'Card Test Cases'!$A$4:$A$1000,"&lt;&gt;",'Card Test Cases'!$F$4:$F$1000,"Blocked")&gt;0,"Blocked",IF($R793&gt;0,"In Progress","Passed")))))</f>
        <v/>
      </c>
      <c r="O793" s="68" t="str">
        <f>IF(TRIM($A793)="","",COUNTIFS('Card Test Cases'!$B$4:$B$1000,$A793,'Card Test Cases'!$A$4:$A$1000,"&lt;&gt;",'Card Test Cases'!$F$4:$F$1000,"&lt;&gt;Out of Scope"))</f>
        <v/>
      </c>
      <c r="P793" s="68" t="str">
        <f>IF(TRIM($A793)="","",COUNTIFS('Card Test Cases'!$B$4:$B$1000,$A793,'Card Test Cases'!$A$4:$A$1000,"&lt;&gt;",'Card Test Cases'!$F$4:$F$1000,"Passed"))</f>
        <v/>
      </c>
      <c r="Q793" s="68" t="str">
        <f>IF(TRIM($A793)="","",COUNTIFS('Card Test Cases'!$B$4:$B$1000,$A793,'Card Test Cases'!$A$4:$A$1000,"&lt;&gt;",'Card Test Cases'!$F$4:$F$1000,"Failed"))</f>
        <v/>
      </c>
      <c r="R793" s="68" t="str">
        <f t="shared" si="12"/>
        <v/>
      </c>
      <c r="S793" s="68" t="str" cm="1">
        <f t="array" ref="S793">IF(TRIM($A793)="","",IFERROR(_xlfn.TEXTJOIN(", ",TRUE,_xlfn.UNIQUE(_xlfn.VSTACK(_xlfn._xlws.FILTER('Card Test Cases'!$G$4:$G$1000,('Card Test Cases'!$B$4:$B$1000=$A793)*('Card Test Cases'!$G$4:$G$1000&lt;&gt;""),""),_xlfn._xlws.FILTER('E2E core flow'!$U$15:$U$1000,('E2E core flow'!$A$15:$A$1000&lt;&gt;"")*ISNUMBER(SEARCH('E2E core flow'!$A$15:$A$1000,$E793))*('E2E core flow'!$U$15:$U$1000&lt;&gt;""),"")))),"-"))</f>
        <v/>
      </c>
    </row>
    <row r="794" spans="7:19" x14ac:dyDescent="0.3">
      <c r="G794" s="68" t="str" cm="1">
        <f t="array" ref="G794">_xlfn.LET(_xlpm.ids,'E2E core flow'!$A$15:$A$1000,_xlpm.v,'E2E core flow'!$W$15:$W$1000,_xlpm.m,(_xlpm.ids&lt;&gt;"")*ISNUMBER(SEARCH(_xlpm.ids,$E794)),_xlpm.f,SUM(_xlpm.m*(_xlpm.v="Failed")),_xlpm.b,SUM(_xlpm.m*(_xlpm.v="Blocked")),_xlpm.nr,SUM(_xlpm.m*(_xlpm.v="Not Run")),_xlpm.cp,SUM(_xlpm.m*(_xlpm.v="Conditionally Passed")),_xlpm.p,SUM(_xlpm.m*(_xlpm.v="Passed")),IF(TRIM($A794)="","",IF(TRIM($E794)="","Pending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94" s="68" t="str">
        <f>IF(TRIM($A794)="","",IF($J794="Passed","",IF($J794="Passed with Known Issue","Known Issue",IF($J794="",IF(OR($H794&lt;&gt;"No",AND($F794&lt;&gt;"Medium",$F794&lt;&gt;"Low")),"Pending Result",""),IF(OR($H794&lt;&gt;"No",AND($F794&lt;&gt;"Medium",$F794&lt;&gt;"Low")),IF(COUNTIFS(Dashboard!$B$105:$B$124,$A794,Dashboard!$I$105:$I$124,"CAB")&gt;0,"Accepted (CF)","Blocking"),IF($J794="Failed","Deferrable","Carry Over"))))))</f>
        <v/>
      </c>
      <c r="M794" s="68" t="str">
        <f>IF(OR(TRIM($A794)="",TRIM($E794)=""),"",IFERROR(INDEX('E2E core flow'!$B$15:$B$1000,MATCH(1,INDEX(('E2E core flow'!$A$15:$A$1000&lt;&gt;"")*ISNUMBER(SEARCH('E2E core flow'!$A$15:$A$1000,$E794)),0),0))&amp;"","-"))</f>
        <v/>
      </c>
      <c r="N794" s="68" t="str">
        <f>IF(TRIM($A794)="","",IF($O794=0,IF(COUNTIFS('Card Test Cases'!$B$4:$B$1000,$A794,'Card Test Cases'!$A$4:$A$1000,"&lt;&gt;")&gt;0,"Out of Scope","No TC"),IF($Q794&gt;0,"Failed",IF(COUNTIFS('Card Test Cases'!$B$4:$B$1000,$A794,'Card Test Cases'!$A$4:$A$1000,"&lt;&gt;",'Card Test Cases'!$F$4:$F$1000,"Blocked")&gt;0,"Blocked",IF($R794&gt;0,"In Progress","Passed")))))</f>
        <v/>
      </c>
      <c r="O794" s="68" t="str">
        <f>IF(TRIM($A794)="","",COUNTIFS('Card Test Cases'!$B$4:$B$1000,$A794,'Card Test Cases'!$A$4:$A$1000,"&lt;&gt;",'Card Test Cases'!$F$4:$F$1000,"&lt;&gt;Out of Scope"))</f>
        <v/>
      </c>
      <c r="P794" s="68" t="str">
        <f>IF(TRIM($A794)="","",COUNTIFS('Card Test Cases'!$B$4:$B$1000,$A794,'Card Test Cases'!$A$4:$A$1000,"&lt;&gt;",'Card Test Cases'!$F$4:$F$1000,"Passed"))</f>
        <v/>
      </c>
      <c r="Q794" s="68" t="str">
        <f>IF(TRIM($A794)="","",COUNTIFS('Card Test Cases'!$B$4:$B$1000,$A794,'Card Test Cases'!$A$4:$A$1000,"&lt;&gt;",'Card Test Cases'!$F$4:$F$1000,"Failed"))</f>
        <v/>
      </c>
      <c r="R794" s="68" t="str">
        <f t="shared" si="12"/>
        <v/>
      </c>
      <c r="S794" s="68" t="str" cm="1">
        <f t="array" ref="S794">IF(TRIM($A794)="","",IFERROR(_xlfn.TEXTJOIN(", ",TRUE,_xlfn.UNIQUE(_xlfn.VSTACK(_xlfn._xlws.FILTER('Card Test Cases'!$G$4:$G$1000,('Card Test Cases'!$B$4:$B$1000=$A794)*('Card Test Cases'!$G$4:$G$1000&lt;&gt;""),""),_xlfn._xlws.FILTER('E2E core flow'!$U$15:$U$1000,('E2E core flow'!$A$15:$A$1000&lt;&gt;"")*ISNUMBER(SEARCH('E2E core flow'!$A$15:$A$1000,$E794))*('E2E core flow'!$U$15:$U$1000&lt;&gt;""),"")))),"-"))</f>
        <v/>
      </c>
    </row>
    <row r="795" spans="7:19" x14ac:dyDescent="0.3">
      <c r="G795" s="68" t="str" cm="1">
        <f t="array" ref="G795">_xlfn.LET(_xlpm.ids,'E2E core flow'!$A$15:$A$1000,_xlpm.v,'E2E core flow'!$W$15:$W$1000,_xlpm.m,(_xlpm.ids&lt;&gt;"")*ISNUMBER(SEARCH(_xlpm.ids,$E795)),_xlpm.f,SUM(_xlpm.m*(_xlpm.v="Failed")),_xlpm.b,SUM(_xlpm.m*(_xlpm.v="Blocked")),_xlpm.nr,SUM(_xlpm.m*(_xlpm.v="Not Run")),_xlpm.cp,SUM(_xlpm.m*(_xlpm.v="Conditionally Passed")),_xlpm.p,SUM(_xlpm.m*(_xlpm.v="Passed")),IF(TRIM($A795)="","",IF(TRIM($E795)="","Pending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95" s="68" t="str">
        <f>IF(TRIM($A795)="","",IF($J795="Passed","",IF($J795="Passed with Known Issue","Known Issue",IF($J795="",IF(OR($H795&lt;&gt;"No",AND($F795&lt;&gt;"Medium",$F795&lt;&gt;"Low")),"Pending Result",""),IF(OR($H795&lt;&gt;"No",AND($F795&lt;&gt;"Medium",$F795&lt;&gt;"Low")),IF(COUNTIFS(Dashboard!$B$105:$B$124,$A795,Dashboard!$I$105:$I$124,"CAB")&gt;0,"Accepted (CF)","Blocking"),IF($J795="Failed","Deferrable","Carry Over"))))))</f>
        <v/>
      </c>
      <c r="M795" s="68" t="str">
        <f>IF(OR(TRIM($A795)="",TRIM($E795)=""),"",IFERROR(INDEX('E2E core flow'!$B$15:$B$1000,MATCH(1,INDEX(('E2E core flow'!$A$15:$A$1000&lt;&gt;"")*ISNUMBER(SEARCH('E2E core flow'!$A$15:$A$1000,$E795)),0),0))&amp;"","-"))</f>
        <v/>
      </c>
      <c r="N795" s="68" t="str">
        <f>IF(TRIM($A795)="","",IF($O795=0,IF(COUNTIFS('Card Test Cases'!$B$4:$B$1000,$A795,'Card Test Cases'!$A$4:$A$1000,"&lt;&gt;")&gt;0,"Out of Scope","No TC"),IF($Q795&gt;0,"Failed",IF(COUNTIFS('Card Test Cases'!$B$4:$B$1000,$A795,'Card Test Cases'!$A$4:$A$1000,"&lt;&gt;",'Card Test Cases'!$F$4:$F$1000,"Blocked")&gt;0,"Blocked",IF($R795&gt;0,"In Progress","Passed")))))</f>
        <v/>
      </c>
      <c r="O795" s="68" t="str">
        <f>IF(TRIM($A795)="","",COUNTIFS('Card Test Cases'!$B$4:$B$1000,$A795,'Card Test Cases'!$A$4:$A$1000,"&lt;&gt;",'Card Test Cases'!$F$4:$F$1000,"&lt;&gt;Out of Scope"))</f>
        <v/>
      </c>
      <c r="P795" s="68" t="str">
        <f>IF(TRIM($A795)="","",COUNTIFS('Card Test Cases'!$B$4:$B$1000,$A795,'Card Test Cases'!$A$4:$A$1000,"&lt;&gt;",'Card Test Cases'!$F$4:$F$1000,"Passed"))</f>
        <v/>
      </c>
      <c r="Q795" s="68" t="str">
        <f>IF(TRIM($A795)="","",COUNTIFS('Card Test Cases'!$B$4:$B$1000,$A795,'Card Test Cases'!$A$4:$A$1000,"&lt;&gt;",'Card Test Cases'!$F$4:$F$1000,"Failed"))</f>
        <v/>
      </c>
      <c r="R795" s="68" t="str">
        <f t="shared" si="12"/>
        <v/>
      </c>
      <c r="S795" s="68" t="str" cm="1">
        <f t="array" ref="S795">IF(TRIM($A795)="","",IFERROR(_xlfn.TEXTJOIN(", ",TRUE,_xlfn.UNIQUE(_xlfn.VSTACK(_xlfn._xlws.FILTER('Card Test Cases'!$G$4:$G$1000,('Card Test Cases'!$B$4:$B$1000=$A795)*('Card Test Cases'!$G$4:$G$1000&lt;&gt;""),""),_xlfn._xlws.FILTER('E2E core flow'!$U$15:$U$1000,('E2E core flow'!$A$15:$A$1000&lt;&gt;"")*ISNUMBER(SEARCH('E2E core flow'!$A$15:$A$1000,$E795))*('E2E core flow'!$U$15:$U$1000&lt;&gt;""),"")))),"-"))</f>
        <v/>
      </c>
    </row>
    <row r="796" spans="7:19" x14ac:dyDescent="0.3">
      <c r="G796" s="68" t="str" cm="1">
        <f t="array" ref="G796">_xlfn.LET(_xlpm.ids,'E2E core flow'!$A$15:$A$1000,_xlpm.v,'E2E core flow'!$W$15:$W$1000,_xlpm.m,(_xlpm.ids&lt;&gt;"")*ISNUMBER(SEARCH(_xlpm.ids,$E796)),_xlpm.f,SUM(_xlpm.m*(_xlpm.v="Failed")),_xlpm.b,SUM(_xlpm.m*(_xlpm.v="Blocked")),_xlpm.nr,SUM(_xlpm.m*(_xlpm.v="Not Run")),_xlpm.cp,SUM(_xlpm.m*(_xlpm.v="Conditionally Passed")),_xlpm.p,SUM(_xlpm.m*(_xlpm.v="Passed")),IF(TRIM($A796)="","",IF(TRIM($E796)="","Pending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96" s="68" t="str">
        <f>IF(TRIM($A796)="","",IF($J796="Passed","",IF($J796="Passed with Known Issue","Known Issue",IF($J796="",IF(OR($H796&lt;&gt;"No",AND($F796&lt;&gt;"Medium",$F796&lt;&gt;"Low")),"Pending Result",""),IF(OR($H796&lt;&gt;"No",AND($F796&lt;&gt;"Medium",$F796&lt;&gt;"Low")),IF(COUNTIFS(Dashboard!$B$105:$B$124,$A796,Dashboard!$I$105:$I$124,"CAB")&gt;0,"Accepted (CF)","Blocking"),IF($J796="Failed","Deferrable","Carry Over"))))))</f>
        <v/>
      </c>
      <c r="M796" s="68" t="str">
        <f>IF(OR(TRIM($A796)="",TRIM($E796)=""),"",IFERROR(INDEX('E2E core flow'!$B$15:$B$1000,MATCH(1,INDEX(('E2E core flow'!$A$15:$A$1000&lt;&gt;"")*ISNUMBER(SEARCH('E2E core flow'!$A$15:$A$1000,$E796)),0),0))&amp;"","-"))</f>
        <v/>
      </c>
      <c r="N796" s="68" t="str">
        <f>IF(TRIM($A796)="","",IF($O796=0,IF(COUNTIFS('Card Test Cases'!$B$4:$B$1000,$A796,'Card Test Cases'!$A$4:$A$1000,"&lt;&gt;")&gt;0,"Out of Scope","No TC"),IF($Q796&gt;0,"Failed",IF(COUNTIFS('Card Test Cases'!$B$4:$B$1000,$A796,'Card Test Cases'!$A$4:$A$1000,"&lt;&gt;",'Card Test Cases'!$F$4:$F$1000,"Blocked")&gt;0,"Blocked",IF($R796&gt;0,"In Progress","Passed")))))</f>
        <v/>
      </c>
      <c r="O796" s="68" t="str">
        <f>IF(TRIM($A796)="","",COUNTIFS('Card Test Cases'!$B$4:$B$1000,$A796,'Card Test Cases'!$A$4:$A$1000,"&lt;&gt;",'Card Test Cases'!$F$4:$F$1000,"&lt;&gt;Out of Scope"))</f>
        <v/>
      </c>
      <c r="P796" s="68" t="str">
        <f>IF(TRIM($A796)="","",COUNTIFS('Card Test Cases'!$B$4:$B$1000,$A796,'Card Test Cases'!$A$4:$A$1000,"&lt;&gt;",'Card Test Cases'!$F$4:$F$1000,"Passed"))</f>
        <v/>
      </c>
      <c r="Q796" s="68" t="str">
        <f>IF(TRIM($A796)="","",COUNTIFS('Card Test Cases'!$B$4:$B$1000,$A796,'Card Test Cases'!$A$4:$A$1000,"&lt;&gt;",'Card Test Cases'!$F$4:$F$1000,"Failed"))</f>
        <v/>
      </c>
      <c r="R796" s="68" t="str">
        <f t="shared" si="12"/>
        <v/>
      </c>
      <c r="S796" s="68" t="str" cm="1">
        <f t="array" ref="S796">IF(TRIM($A796)="","",IFERROR(_xlfn.TEXTJOIN(", ",TRUE,_xlfn.UNIQUE(_xlfn.VSTACK(_xlfn._xlws.FILTER('Card Test Cases'!$G$4:$G$1000,('Card Test Cases'!$B$4:$B$1000=$A796)*('Card Test Cases'!$G$4:$G$1000&lt;&gt;""),""),_xlfn._xlws.FILTER('E2E core flow'!$U$15:$U$1000,('E2E core flow'!$A$15:$A$1000&lt;&gt;"")*ISNUMBER(SEARCH('E2E core flow'!$A$15:$A$1000,$E796))*('E2E core flow'!$U$15:$U$1000&lt;&gt;""),"")))),"-"))</f>
        <v/>
      </c>
    </row>
    <row r="797" spans="7:19" x14ac:dyDescent="0.3">
      <c r="G797" s="68" t="str" cm="1">
        <f t="array" ref="G797">_xlfn.LET(_xlpm.ids,'E2E core flow'!$A$15:$A$1000,_xlpm.v,'E2E core flow'!$W$15:$W$1000,_xlpm.m,(_xlpm.ids&lt;&gt;"")*ISNUMBER(SEARCH(_xlpm.ids,$E797)),_xlpm.f,SUM(_xlpm.m*(_xlpm.v="Failed")),_xlpm.b,SUM(_xlpm.m*(_xlpm.v="Blocked")),_xlpm.nr,SUM(_xlpm.m*(_xlpm.v="Not Run")),_xlpm.cp,SUM(_xlpm.m*(_xlpm.v="Conditionally Passed")),_xlpm.p,SUM(_xlpm.m*(_xlpm.v="Passed")),IF(TRIM($A797)="","",IF(TRIM($E797)="","Pending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97" s="68" t="str">
        <f>IF(TRIM($A797)="","",IF($J797="Passed","",IF($J797="Passed with Known Issue","Known Issue",IF($J797="",IF(OR($H797&lt;&gt;"No",AND($F797&lt;&gt;"Medium",$F797&lt;&gt;"Low")),"Pending Result",""),IF(OR($H797&lt;&gt;"No",AND($F797&lt;&gt;"Medium",$F797&lt;&gt;"Low")),IF(COUNTIFS(Dashboard!$B$105:$B$124,$A797,Dashboard!$I$105:$I$124,"CAB")&gt;0,"Accepted (CF)","Blocking"),IF($J797="Failed","Deferrable","Carry Over"))))))</f>
        <v/>
      </c>
      <c r="M797" s="68" t="str">
        <f>IF(OR(TRIM($A797)="",TRIM($E797)=""),"",IFERROR(INDEX('E2E core flow'!$B$15:$B$1000,MATCH(1,INDEX(('E2E core flow'!$A$15:$A$1000&lt;&gt;"")*ISNUMBER(SEARCH('E2E core flow'!$A$15:$A$1000,$E797)),0),0))&amp;"","-"))</f>
        <v/>
      </c>
      <c r="N797" s="68" t="str">
        <f>IF(TRIM($A797)="","",IF($O797=0,IF(COUNTIFS('Card Test Cases'!$B$4:$B$1000,$A797,'Card Test Cases'!$A$4:$A$1000,"&lt;&gt;")&gt;0,"Out of Scope","No TC"),IF($Q797&gt;0,"Failed",IF(COUNTIFS('Card Test Cases'!$B$4:$B$1000,$A797,'Card Test Cases'!$A$4:$A$1000,"&lt;&gt;",'Card Test Cases'!$F$4:$F$1000,"Blocked")&gt;0,"Blocked",IF($R797&gt;0,"In Progress","Passed")))))</f>
        <v/>
      </c>
      <c r="O797" s="68" t="str">
        <f>IF(TRIM($A797)="","",COUNTIFS('Card Test Cases'!$B$4:$B$1000,$A797,'Card Test Cases'!$A$4:$A$1000,"&lt;&gt;",'Card Test Cases'!$F$4:$F$1000,"&lt;&gt;Out of Scope"))</f>
        <v/>
      </c>
      <c r="P797" s="68" t="str">
        <f>IF(TRIM($A797)="","",COUNTIFS('Card Test Cases'!$B$4:$B$1000,$A797,'Card Test Cases'!$A$4:$A$1000,"&lt;&gt;",'Card Test Cases'!$F$4:$F$1000,"Passed"))</f>
        <v/>
      </c>
      <c r="Q797" s="68" t="str">
        <f>IF(TRIM($A797)="","",COUNTIFS('Card Test Cases'!$B$4:$B$1000,$A797,'Card Test Cases'!$A$4:$A$1000,"&lt;&gt;",'Card Test Cases'!$F$4:$F$1000,"Failed"))</f>
        <v/>
      </c>
      <c r="R797" s="68" t="str">
        <f t="shared" si="12"/>
        <v/>
      </c>
      <c r="S797" s="68" t="str" cm="1">
        <f t="array" ref="S797">IF(TRIM($A797)="","",IFERROR(_xlfn.TEXTJOIN(", ",TRUE,_xlfn.UNIQUE(_xlfn.VSTACK(_xlfn._xlws.FILTER('Card Test Cases'!$G$4:$G$1000,('Card Test Cases'!$B$4:$B$1000=$A797)*('Card Test Cases'!$G$4:$G$1000&lt;&gt;""),""),_xlfn._xlws.FILTER('E2E core flow'!$U$15:$U$1000,('E2E core flow'!$A$15:$A$1000&lt;&gt;"")*ISNUMBER(SEARCH('E2E core flow'!$A$15:$A$1000,$E797))*('E2E core flow'!$U$15:$U$1000&lt;&gt;""),"")))),"-"))</f>
        <v/>
      </c>
    </row>
    <row r="798" spans="7:19" x14ac:dyDescent="0.3">
      <c r="G798" s="68" t="str" cm="1">
        <f t="array" ref="G798">_xlfn.LET(_xlpm.ids,'E2E core flow'!$A$15:$A$1000,_xlpm.v,'E2E core flow'!$W$15:$W$1000,_xlpm.m,(_xlpm.ids&lt;&gt;"")*ISNUMBER(SEARCH(_xlpm.ids,$E798)),_xlpm.f,SUM(_xlpm.m*(_xlpm.v="Failed")),_xlpm.b,SUM(_xlpm.m*(_xlpm.v="Blocked")),_xlpm.nr,SUM(_xlpm.m*(_xlpm.v="Not Run")),_xlpm.cp,SUM(_xlpm.m*(_xlpm.v="Conditionally Passed")),_xlpm.p,SUM(_xlpm.m*(_xlpm.v="Passed")),IF(TRIM($A798)="","",IF(TRIM($E798)="","Pending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98" s="68" t="str">
        <f>IF(TRIM($A798)="","",IF($J798="Passed","",IF($J798="Passed with Known Issue","Known Issue",IF($J798="",IF(OR($H798&lt;&gt;"No",AND($F798&lt;&gt;"Medium",$F798&lt;&gt;"Low")),"Pending Result",""),IF(OR($H798&lt;&gt;"No",AND($F798&lt;&gt;"Medium",$F798&lt;&gt;"Low")),IF(COUNTIFS(Dashboard!$B$105:$B$124,$A798,Dashboard!$I$105:$I$124,"CAB")&gt;0,"Accepted (CF)","Blocking"),IF($J798="Failed","Deferrable","Carry Over"))))))</f>
        <v/>
      </c>
      <c r="M798" s="68" t="str">
        <f>IF(OR(TRIM($A798)="",TRIM($E798)=""),"",IFERROR(INDEX('E2E core flow'!$B$15:$B$1000,MATCH(1,INDEX(('E2E core flow'!$A$15:$A$1000&lt;&gt;"")*ISNUMBER(SEARCH('E2E core flow'!$A$15:$A$1000,$E798)),0),0))&amp;"","-"))</f>
        <v/>
      </c>
      <c r="N798" s="68" t="str">
        <f>IF(TRIM($A798)="","",IF($O798=0,IF(COUNTIFS('Card Test Cases'!$B$4:$B$1000,$A798,'Card Test Cases'!$A$4:$A$1000,"&lt;&gt;")&gt;0,"Out of Scope","No TC"),IF($Q798&gt;0,"Failed",IF(COUNTIFS('Card Test Cases'!$B$4:$B$1000,$A798,'Card Test Cases'!$A$4:$A$1000,"&lt;&gt;",'Card Test Cases'!$F$4:$F$1000,"Blocked")&gt;0,"Blocked",IF($R798&gt;0,"In Progress","Passed")))))</f>
        <v/>
      </c>
      <c r="O798" s="68" t="str">
        <f>IF(TRIM($A798)="","",COUNTIFS('Card Test Cases'!$B$4:$B$1000,$A798,'Card Test Cases'!$A$4:$A$1000,"&lt;&gt;",'Card Test Cases'!$F$4:$F$1000,"&lt;&gt;Out of Scope"))</f>
        <v/>
      </c>
      <c r="P798" s="68" t="str">
        <f>IF(TRIM($A798)="","",COUNTIFS('Card Test Cases'!$B$4:$B$1000,$A798,'Card Test Cases'!$A$4:$A$1000,"&lt;&gt;",'Card Test Cases'!$F$4:$F$1000,"Passed"))</f>
        <v/>
      </c>
      <c r="Q798" s="68" t="str">
        <f>IF(TRIM($A798)="","",COUNTIFS('Card Test Cases'!$B$4:$B$1000,$A798,'Card Test Cases'!$A$4:$A$1000,"&lt;&gt;",'Card Test Cases'!$F$4:$F$1000,"Failed"))</f>
        <v/>
      </c>
      <c r="R798" s="68" t="str">
        <f t="shared" si="12"/>
        <v/>
      </c>
      <c r="S798" s="68" t="str" cm="1">
        <f t="array" ref="S798">IF(TRIM($A798)="","",IFERROR(_xlfn.TEXTJOIN(", ",TRUE,_xlfn.UNIQUE(_xlfn.VSTACK(_xlfn._xlws.FILTER('Card Test Cases'!$G$4:$G$1000,('Card Test Cases'!$B$4:$B$1000=$A798)*('Card Test Cases'!$G$4:$G$1000&lt;&gt;""),""),_xlfn._xlws.FILTER('E2E core flow'!$U$15:$U$1000,('E2E core flow'!$A$15:$A$1000&lt;&gt;"")*ISNUMBER(SEARCH('E2E core flow'!$A$15:$A$1000,$E798))*('E2E core flow'!$U$15:$U$1000&lt;&gt;""),"")))),"-"))</f>
        <v/>
      </c>
    </row>
    <row r="799" spans="7:19" x14ac:dyDescent="0.3">
      <c r="G799" s="68" t="str" cm="1">
        <f t="array" ref="G799">_xlfn.LET(_xlpm.ids,'E2E core flow'!$A$15:$A$1000,_xlpm.v,'E2E core flow'!$W$15:$W$1000,_xlpm.m,(_xlpm.ids&lt;&gt;"")*ISNUMBER(SEARCH(_xlpm.ids,$E799)),_xlpm.f,SUM(_xlpm.m*(_xlpm.v="Failed")),_xlpm.b,SUM(_xlpm.m*(_xlpm.v="Blocked")),_xlpm.nr,SUM(_xlpm.m*(_xlpm.v="Not Run")),_xlpm.cp,SUM(_xlpm.m*(_xlpm.v="Conditionally Passed")),_xlpm.p,SUM(_xlpm.m*(_xlpm.v="Passed")),IF(TRIM($A799)="","",IF(TRIM($E799)="","Pending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799" s="68" t="str">
        <f>IF(TRIM($A799)="","",IF($J799="Passed","",IF($J799="Passed with Known Issue","Known Issue",IF($J799="",IF(OR($H799&lt;&gt;"No",AND($F799&lt;&gt;"Medium",$F799&lt;&gt;"Low")),"Pending Result",""),IF(OR($H799&lt;&gt;"No",AND($F799&lt;&gt;"Medium",$F799&lt;&gt;"Low")),IF(COUNTIFS(Dashboard!$B$105:$B$124,$A799,Dashboard!$I$105:$I$124,"CAB")&gt;0,"Accepted (CF)","Blocking"),IF($J799="Failed","Deferrable","Carry Over"))))))</f>
        <v/>
      </c>
      <c r="M799" s="68" t="str">
        <f>IF(OR(TRIM($A799)="",TRIM($E799)=""),"",IFERROR(INDEX('E2E core flow'!$B$15:$B$1000,MATCH(1,INDEX(('E2E core flow'!$A$15:$A$1000&lt;&gt;"")*ISNUMBER(SEARCH('E2E core flow'!$A$15:$A$1000,$E799)),0),0))&amp;"","-"))</f>
        <v/>
      </c>
      <c r="N799" s="68" t="str">
        <f>IF(TRIM($A799)="","",IF($O799=0,IF(COUNTIFS('Card Test Cases'!$B$4:$B$1000,$A799,'Card Test Cases'!$A$4:$A$1000,"&lt;&gt;")&gt;0,"Out of Scope","No TC"),IF($Q799&gt;0,"Failed",IF(COUNTIFS('Card Test Cases'!$B$4:$B$1000,$A799,'Card Test Cases'!$A$4:$A$1000,"&lt;&gt;",'Card Test Cases'!$F$4:$F$1000,"Blocked")&gt;0,"Blocked",IF($R799&gt;0,"In Progress","Passed")))))</f>
        <v/>
      </c>
      <c r="O799" s="68" t="str">
        <f>IF(TRIM($A799)="","",COUNTIFS('Card Test Cases'!$B$4:$B$1000,$A799,'Card Test Cases'!$A$4:$A$1000,"&lt;&gt;",'Card Test Cases'!$F$4:$F$1000,"&lt;&gt;Out of Scope"))</f>
        <v/>
      </c>
      <c r="P799" s="68" t="str">
        <f>IF(TRIM($A799)="","",COUNTIFS('Card Test Cases'!$B$4:$B$1000,$A799,'Card Test Cases'!$A$4:$A$1000,"&lt;&gt;",'Card Test Cases'!$F$4:$F$1000,"Passed"))</f>
        <v/>
      </c>
      <c r="Q799" s="68" t="str">
        <f>IF(TRIM($A799)="","",COUNTIFS('Card Test Cases'!$B$4:$B$1000,$A799,'Card Test Cases'!$A$4:$A$1000,"&lt;&gt;",'Card Test Cases'!$F$4:$F$1000,"Failed"))</f>
        <v/>
      </c>
      <c r="R799" s="68" t="str">
        <f t="shared" si="12"/>
        <v/>
      </c>
      <c r="S799" s="68" t="str" cm="1">
        <f t="array" ref="S799">IF(TRIM($A799)="","",IFERROR(_xlfn.TEXTJOIN(", ",TRUE,_xlfn.UNIQUE(_xlfn.VSTACK(_xlfn._xlws.FILTER('Card Test Cases'!$G$4:$G$1000,('Card Test Cases'!$B$4:$B$1000=$A799)*('Card Test Cases'!$G$4:$G$1000&lt;&gt;""),""),_xlfn._xlws.FILTER('E2E core flow'!$U$15:$U$1000,('E2E core flow'!$A$15:$A$1000&lt;&gt;"")*ISNUMBER(SEARCH('E2E core flow'!$A$15:$A$1000,$E799))*('E2E core flow'!$U$15:$U$1000&lt;&gt;""),"")))),"-"))</f>
        <v/>
      </c>
    </row>
    <row r="800" spans="7:19" x14ac:dyDescent="0.3">
      <c r="G800" s="68" t="str" cm="1">
        <f t="array" ref="G800">_xlfn.LET(_xlpm.ids,'E2E core flow'!$A$15:$A$1000,_xlpm.v,'E2E core flow'!$W$15:$W$1000,_xlpm.m,(_xlpm.ids&lt;&gt;"")*ISNUMBER(SEARCH(_xlpm.ids,$E800)),_xlpm.f,SUM(_xlpm.m*(_xlpm.v="Failed")),_xlpm.b,SUM(_xlpm.m*(_xlpm.v="Blocked")),_xlpm.nr,SUM(_xlpm.m*(_xlpm.v="Not Run")),_xlpm.cp,SUM(_xlpm.m*(_xlpm.v="Conditionally Passed")),_xlpm.p,SUM(_xlpm.m*(_xlpm.v="Passed")),IF(TRIM($A800)="","",IF(TRIM($E800)="","Pending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00" s="68" t="str">
        <f>IF(TRIM($A800)="","",IF($J800="Passed","",IF($J800="Passed with Known Issue","Known Issue",IF($J800="",IF(OR($H800&lt;&gt;"No",AND($F800&lt;&gt;"Medium",$F800&lt;&gt;"Low")),"Pending Result",""),IF(OR($H800&lt;&gt;"No",AND($F800&lt;&gt;"Medium",$F800&lt;&gt;"Low")),IF(COUNTIFS(Dashboard!$B$105:$B$124,$A800,Dashboard!$I$105:$I$124,"CAB")&gt;0,"Accepted (CF)","Blocking"),IF($J800="Failed","Deferrable","Carry Over"))))))</f>
        <v/>
      </c>
      <c r="M800" s="68" t="str">
        <f>IF(OR(TRIM($A800)="",TRIM($E800)=""),"",IFERROR(INDEX('E2E core flow'!$B$15:$B$1000,MATCH(1,INDEX(('E2E core flow'!$A$15:$A$1000&lt;&gt;"")*ISNUMBER(SEARCH('E2E core flow'!$A$15:$A$1000,$E800)),0),0))&amp;"","-"))</f>
        <v/>
      </c>
      <c r="N800" s="68" t="str">
        <f>IF(TRIM($A800)="","",IF($O800=0,IF(COUNTIFS('Card Test Cases'!$B$4:$B$1000,$A800,'Card Test Cases'!$A$4:$A$1000,"&lt;&gt;")&gt;0,"Out of Scope","No TC"),IF($Q800&gt;0,"Failed",IF(COUNTIFS('Card Test Cases'!$B$4:$B$1000,$A800,'Card Test Cases'!$A$4:$A$1000,"&lt;&gt;",'Card Test Cases'!$F$4:$F$1000,"Blocked")&gt;0,"Blocked",IF($R800&gt;0,"In Progress","Passed")))))</f>
        <v/>
      </c>
      <c r="O800" s="68" t="str">
        <f>IF(TRIM($A800)="","",COUNTIFS('Card Test Cases'!$B$4:$B$1000,$A800,'Card Test Cases'!$A$4:$A$1000,"&lt;&gt;",'Card Test Cases'!$F$4:$F$1000,"&lt;&gt;Out of Scope"))</f>
        <v/>
      </c>
      <c r="P800" s="68" t="str">
        <f>IF(TRIM($A800)="","",COUNTIFS('Card Test Cases'!$B$4:$B$1000,$A800,'Card Test Cases'!$A$4:$A$1000,"&lt;&gt;",'Card Test Cases'!$F$4:$F$1000,"Passed"))</f>
        <v/>
      </c>
      <c r="Q800" s="68" t="str">
        <f>IF(TRIM($A800)="","",COUNTIFS('Card Test Cases'!$B$4:$B$1000,$A800,'Card Test Cases'!$A$4:$A$1000,"&lt;&gt;",'Card Test Cases'!$F$4:$F$1000,"Failed"))</f>
        <v/>
      </c>
      <c r="R800" s="68" t="str">
        <f t="shared" si="12"/>
        <v/>
      </c>
      <c r="S800" s="68" t="str" cm="1">
        <f t="array" ref="S800">IF(TRIM($A800)="","",IFERROR(_xlfn.TEXTJOIN(", ",TRUE,_xlfn.UNIQUE(_xlfn.VSTACK(_xlfn._xlws.FILTER('Card Test Cases'!$G$4:$G$1000,('Card Test Cases'!$B$4:$B$1000=$A800)*('Card Test Cases'!$G$4:$G$1000&lt;&gt;""),""),_xlfn._xlws.FILTER('E2E core flow'!$U$15:$U$1000,('E2E core flow'!$A$15:$A$1000&lt;&gt;"")*ISNUMBER(SEARCH('E2E core flow'!$A$15:$A$1000,$E800))*('E2E core flow'!$U$15:$U$1000&lt;&gt;""),"")))),"-"))</f>
        <v/>
      </c>
    </row>
    <row r="801" spans="7:19" x14ac:dyDescent="0.3">
      <c r="G801" s="68" t="str" cm="1">
        <f t="array" ref="G801">_xlfn.LET(_xlpm.ids,'E2E core flow'!$A$15:$A$1000,_xlpm.v,'E2E core flow'!$W$15:$W$1000,_xlpm.m,(_xlpm.ids&lt;&gt;"")*ISNUMBER(SEARCH(_xlpm.ids,$E801)),_xlpm.f,SUM(_xlpm.m*(_xlpm.v="Failed")),_xlpm.b,SUM(_xlpm.m*(_xlpm.v="Blocked")),_xlpm.nr,SUM(_xlpm.m*(_xlpm.v="Not Run")),_xlpm.cp,SUM(_xlpm.m*(_xlpm.v="Conditionally Passed")),_xlpm.p,SUM(_xlpm.m*(_xlpm.v="Passed")),IF(TRIM($A801)="","",IF(TRIM($E801)="","Pending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01" s="68" t="str">
        <f>IF(TRIM($A801)="","",IF($J801="Passed","",IF($J801="Passed with Known Issue","Known Issue",IF($J801="",IF(OR($H801&lt;&gt;"No",AND($F801&lt;&gt;"Medium",$F801&lt;&gt;"Low")),"Pending Result",""),IF(OR($H801&lt;&gt;"No",AND($F801&lt;&gt;"Medium",$F801&lt;&gt;"Low")),IF(COUNTIFS(Dashboard!$B$105:$B$124,$A801,Dashboard!$I$105:$I$124,"CAB")&gt;0,"Accepted (CF)","Blocking"),IF($J801="Failed","Deferrable","Carry Over"))))))</f>
        <v/>
      </c>
      <c r="M801" s="68" t="str">
        <f>IF(OR(TRIM($A801)="",TRIM($E801)=""),"",IFERROR(INDEX('E2E core flow'!$B$15:$B$1000,MATCH(1,INDEX(('E2E core flow'!$A$15:$A$1000&lt;&gt;"")*ISNUMBER(SEARCH('E2E core flow'!$A$15:$A$1000,$E801)),0),0))&amp;"","-"))</f>
        <v/>
      </c>
      <c r="N801" s="68" t="str">
        <f>IF(TRIM($A801)="","",IF($O801=0,IF(COUNTIFS('Card Test Cases'!$B$4:$B$1000,$A801,'Card Test Cases'!$A$4:$A$1000,"&lt;&gt;")&gt;0,"Out of Scope","No TC"),IF($Q801&gt;0,"Failed",IF(COUNTIFS('Card Test Cases'!$B$4:$B$1000,$A801,'Card Test Cases'!$A$4:$A$1000,"&lt;&gt;",'Card Test Cases'!$F$4:$F$1000,"Blocked")&gt;0,"Blocked",IF($R801&gt;0,"In Progress","Passed")))))</f>
        <v/>
      </c>
      <c r="O801" s="68" t="str">
        <f>IF(TRIM($A801)="","",COUNTIFS('Card Test Cases'!$B$4:$B$1000,$A801,'Card Test Cases'!$A$4:$A$1000,"&lt;&gt;",'Card Test Cases'!$F$4:$F$1000,"&lt;&gt;Out of Scope"))</f>
        <v/>
      </c>
      <c r="P801" s="68" t="str">
        <f>IF(TRIM($A801)="","",COUNTIFS('Card Test Cases'!$B$4:$B$1000,$A801,'Card Test Cases'!$A$4:$A$1000,"&lt;&gt;",'Card Test Cases'!$F$4:$F$1000,"Passed"))</f>
        <v/>
      </c>
      <c r="Q801" s="68" t="str">
        <f>IF(TRIM($A801)="","",COUNTIFS('Card Test Cases'!$B$4:$B$1000,$A801,'Card Test Cases'!$A$4:$A$1000,"&lt;&gt;",'Card Test Cases'!$F$4:$F$1000,"Failed"))</f>
        <v/>
      </c>
      <c r="R801" s="68" t="str">
        <f t="shared" si="12"/>
        <v/>
      </c>
      <c r="S801" s="68" t="str" cm="1">
        <f t="array" ref="S801">IF(TRIM($A801)="","",IFERROR(_xlfn.TEXTJOIN(", ",TRUE,_xlfn.UNIQUE(_xlfn.VSTACK(_xlfn._xlws.FILTER('Card Test Cases'!$G$4:$G$1000,('Card Test Cases'!$B$4:$B$1000=$A801)*('Card Test Cases'!$G$4:$G$1000&lt;&gt;""),""),_xlfn._xlws.FILTER('E2E core flow'!$U$15:$U$1000,('E2E core flow'!$A$15:$A$1000&lt;&gt;"")*ISNUMBER(SEARCH('E2E core flow'!$A$15:$A$1000,$E801))*('E2E core flow'!$U$15:$U$1000&lt;&gt;""),"")))),"-"))</f>
        <v/>
      </c>
    </row>
    <row r="802" spans="7:19" x14ac:dyDescent="0.3">
      <c r="G802" s="68" t="str" cm="1">
        <f t="array" ref="G802">_xlfn.LET(_xlpm.ids,'E2E core flow'!$A$15:$A$1000,_xlpm.v,'E2E core flow'!$W$15:$W$1000,_xlpm.m,(_xlpm.ids&lt;&gt;"")*ISNUMBER(SEARCH(_xlpm.ids,$E802)),_xlpm.f,SUM(_xlpm.m*(_xlpm.v="Failed")),_xlpm.b,SUM(_xlpm.m*(_xlpm.v="Blocked")),_xlpm.nr,SUM(_xlpm.m*(_xlpm.v="Not Run")),_xlpm.cp,SUM(_xlpm.m*(_xlpm.v="Conditionally Passed")),_xlpm.p,SUM(_xlpm.m*(_xlpm.v="Passed")),IF(TRIM($A802)="","",IF(TRIM($E802)="","Pending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02" s="68" t="str">
        <f>IF(TRIM($A802)="","",IF($J802="Passed","",IF($J802="Passed with Known Issue","Known Issue",IF($J802="",IF(OR($H802&lt;&gt;"No",AND($F802&lt;&gt;"Medium",$F802&lt;&gt;"Low")),"Pending Result",""),IF(OR($H802&lt;&gt;"No",AND($F802&lt;&gt;"Medium",$F802&lt;&gt;"Low")),IF(COUNTIFS(Dashboard!$B$105:$B$124,$A802,Dashboard!$I$105:$I$124,"CAB")&gt;0,"Accepted (CF)","Blocking"),IF($J802="Failed","Deferrable","Carry Over"))))))</f>
        <v/>
      </c>
      <c r="M802" s="68" t="str">
        <f>IF(OR(TRIM($A802)="",TRIM($E802)=""),"",IFERROR(INDEX('E2E core flow'!$B$15:$B$1000,MATCH(1,INDEX(('E2E core flow'!$A$15:$A$1000&lt;&gt;"")*ISNUMBER(SEARCH('E2E core flow'!$A$15:$A$1000,$E802)),0),0))&amp;"","-"))</f>
        <v/>
      </c>
      <c r="N802" s="68" t="str">
        <f>IF(TRIM($A802)="","",IF($O802=0,IF(COUNTIFS('Card Test Cases'!$B$4:$B$1000,$A802,'Card Test Cases'!$A$4:$A$1000,"&lt;&gt;")&gt;0,"Out of Scope","No TC"),IF($Q802&gt;0,"Failed",IF(COUNTIFS('Card Test Cases'!$B$4:$B$1000,$A802,'Card Test Cases'!$A$4:$A$1000,"&lt;&gt;",'Card Test Cases'!$F$4:$F$1000,"Blocked")&gt;0,"Blocked",IF($R802&gt;0,"In Progress","Passed")))))</f>
        <v/>
      </c>
      <c r="O802" s="68" t="str">
        <f>IF(TRIM($A802)="","",COUNTIFS('Card Test Cases'!$B$4:$B$1000,$A802,'Card Test Cases'!$A$4:$A$1000,"&lt;&gt;",'Card Test Cases'!$F$4:$F$1000,"&lt;&gt;Out of Scope"))</f>
        <v/>
      </c>
      <c r="P802" s="68" t="str">
        <f>IF(TRIM($A802)="","",COUNTIFS('Card Test Cases'!$B$4:$B$1000,$A802,'Card Test Cases'!$A$4:$A$1000,"&lt;&gt;",'Card Test Cases'!$F$4:$F$1000,"Passed"))</f>
        <v/>
      </c>
      <c r="Q802" s="68" t="str">
        <f>IF(TRIM($A802)="","",COUNTIFS('Card Test Cases'!$B$4:$B$1000,$A802,'Card Test Cases'!$A$4:$A$1000,"&lt;&gt;",'Card Test Cases'!$F$4:$F$1000,"Failed"))</f>
        <v/>
      </c>
      <c r="R802" s="68" t="str">
        <f t="shared" si="12"/>
        <v/>
      </c>
      <c r="S802" s="68" t="str" cm="1">
        <f t="array" ref="S802">IF(TRIM($A802)="","",IFERROR(_xlfn.TEXTJOIN(", ",TRUE,_xlfn.UNIQUE(_xlfn.VSTACK(_xlfn._xlws.FILTER('Card Test Cases'!$G$4:$G$1000,('Card Test Cases'!$B$4:$B$1000=$A802)*('Card Test Cases'!$G$4:$G$1000&lt;&gt;""),""),_xlfn._xlws.FILTER('E2E core flow'!$U$15:$U$1000,('E2E core flow'!$A$15:$A$1000&lt;&gt;"")*ISNUMBER(SEARCH('E2E core flow'!$A$15:$A$1000,$E802))*('E2E core flow'!$U$15:$U$1000&lt;&gt;""),"")))),"-"))</f>
        <v/>
      </c>
    </row>
    <row r="803" spans="7:19" x14ac:dyDescent="0.3">
      <c r="G803" s="68" t="str" cm="1">
        <f t="array" ref="G803">_xlfn.LET(_xlpm.ids,'E2E core flow'!$A$15:$A$1000,_xlpm.v,'E2E core flow'!$W$15:$W$1000,_xlpm.m,(_xlpm.ids&lt;&gt;"")*ISNUMBER(SEARCH(_xlpm.ids,$E803)),_xlpm.f,SUM(_xlpm.m*(_xlpm.v="Failed")),_xlpm.b,SUM(_xlpm.m*(_xlpm.v="Blocked")),_xlpm.nr,SUM(_xlpm.m*(_xlpm.v="Not Run")),_xlpm.cp,SUM(_xlpm.m*(_xlpm.v="Conditionally Passed")),_xlpm.p,SUM(_xlpm.m*(_xlpm.v="Passed")),IF(TRIM($A803)="","",IF(TRIM($E803)="","Pending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03" s="68" t="str">
        <f>IF(TRIM($A803)="","",IF($J803="Passed","",IF($J803="Passed with Known Issue","Known Issue",IF($J803="",IF(OR($H803&lt;&gt;"No",AND($F803&lt;&gt;"Medium",$F803&lt;&gt;"Low")),"Pending Result",""),IF(OR($H803&lt;&gt;"No",AND($F803&lt;&gt;"Medium",$F803&lt;&gt;"Low")),IF(COUNTIFS(Dashboard!$B$105:$B$124,$A803,Dashboard!$I$105:$I$124,"CAB")&gt;0,"Accepted (CF)","Blocking"),IF($J803="Failed","Deferrable","Carry Over"))))))</f>
        <v/>
      </c>
      <c r="M803" s="68" t="str">
        <f>IF(OR(TRIM($A803)="",TRIM($E803)=""),"",IFERROR(INDEX('E2E core flow'!$B$15:$B$1000,MATCH(1,INDEX(('E2E core flow'!$A$15:$A$1000&lt;&gt;"")*ISNUMBER(SEARCH('E2E core flow'!$A$15:$A$1000,$E803)),0),0))&amp;"","-"))</f>
        <v/>
      </c>
      <c r="N803" s="68" t="str">
        <f>IF(TRIM($A803)="","",IF($O803=0,IF(COUNTIFS('Card Test Cases'!$B$4:$B$1000,$A803,'Card Test Cases'!$A$4:$A$1000,"&lt;&gt;")&gt;0,"Out of Scope","No TC"),IF($Q803&gt;0,"Failed",IF(COUNTIFS('Card Test Cases'!$B$4:$B$1000,$A803,'Card Test Cases'!$A$4:$A$1000,"&lt;&gt;",'Card Test Cases'!$F$4:$F$1000,"Blocked")&gt;0,"Blocked",IF($R803&gt;0,"In Progress","Passed")))))</f>
        <v/>
      </c>
      <c r="O803" s="68" t="str">
        <f>IF(TRIM($A803)="","",COUNTIFS('Card Test Cases'!$B$4:$B$1000,$A803,'Card Test Cases'!$A$4:$A$1000,"&lt;&gt;",'Card Test Cases'!$F$4:$F$1000,"&lt;&gt;Out of Scope"))</f>
        <v/>
      </c>
      <c r="P803" s="68" t="str">
        <f>IF(TRIM($A803)="","",COUNTIFS('Card Test Cases'!$B$4:$B$1000,$A803,'Card Test Cases'!$A$4:$A$1000,"&lt;&gt;",'Card Test Cases'!$F$4:$F$1000,"Passed"))</f>
        <v/>
      </c>
      <c r="Q803" s="68" t="str">
        <f>IF(TRIM($A803)="","",COUNTIFS('Card Test Cases'!$B$4:$B$1000,$A803,'Card Test Cases'!$A$4:$A$1000,"&lt;&gt;",'Card Test Cases'!$F$4:$F$1000,"Failed"))</f>
        <v/>
      </c>
      <c r="R803" s="68" t="str">
        <f t="shared" si="12"/>
        <v/>
      </c>
      <c r="S803" s="68" t="str" cm="1">
        <f t="array" ref="S803">IF(TRIM($A803)="","",IFERROR(_xlfn.TEXTJOIN(", ",TRUE,_xlfn.UNIQUE(_xlfn.VSTACK(_xlfn._xlws.FILTER('Card Test Cases'!$G$4:$G$1000,('Card Test Cases'!$B$4:$B$1000=$A803)*('Card Test Cases'!$G$4:$G$1000&lt;&gt;""),""),_xlfn._xlws.FILTER('E2E core flow'!$U$15:$U$1000,('E2E core flow'!$A$15:$A$1000&lt;&gt;"")*ISNUMBER(SEARCH('E2E core flow'!$A$15:$A$1000,$E803))*('E2E core flow'!$U$15:$U$1000&lt;&gt;""),"")))),"-"))</f>
        <v/>
      </c>
    </row>
    <row r="804" spans="7:19" x14ac:dyDescent="0.3">
      <c r="G804" s="68" t="str" cm="1">
        <f t="array" ref="G804">_xlfn.LET(_xlpm.ids,'E2E core flow'!$A$15:$A$1000,_xlpm.v,'E2E core flow'!$W$15:$W$1000,_xlpm.m,(_xlpm.ids&lt;&gt;"")*ISNUMBER(SEARCH(_xlpm.ids,$E804)),_xlpm.f,SUM(_xlpm.m*(_xlpm.v="Failed")),_xlpm.b,SUM(_xlpm.m*(_xlpm.v="Blocked")),_xlpm.nr,SUM(_xlpm.m*(_xlpm.v="Not Run")),_xlpm.cp,SUM(_xlpm.m*(_xlpm.v="Conditionally Passed")),_xlpm.p,SUM(_xlpm.m*(_xlpm.v="Passed")),IF(TRIM($A804)="","",IF(TRIM($E804)="","Pending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04" s="68" t="str">
        <f>IF(TRIM($A804)="","",IF($J804="Passed","",IF($J804="Passed with Known Issue","Known Issue",IF($J804="",IF(OR($H804&lt;&gt;"No",AND($F804&lt;&gt;"Medium",$F804&lt;&gt;"Low")),"Pending Result",""),IF(OR($H804&lt;&gt;"No",AND($F804&lt;&gt;"Medium",$F804&lt;&gt;"Low")),IF(COUNTIFS(Dashboard!$B$105:$B$124,$A804,Dashboard!$I$105:$I$124,"CAB")&gt;0,"Accepted (CF)","Blocking"),IF($J804="Failed","Deferrable","Carry Over"))))))</f>
        <v/>
      </c>
      <c r="M804" s="68" t="str">
        <f>IF(OR(TRIM($A804)="",TRIM($E804)=""),"",IFERROR(INDEX('E2E core flow'!$B$15:$B$1000,MATCH(1,INDEX(('E2E core flow'!$A$15:$A$1000&lt;&gt;"")*ISNUMBER(SEARCH('E2E core flow'!$A$15:$A$1000,$E804)),0),0))&amp;"","-"))</f>
        <v/>
      </c>
      <c r="N804" s="68" t="str">
        <f>IF(TRIM($A804)="","",IF($O804=0,IF(COUNTIFS('Card Test Cases'!$B$4:$B$1000,$A804,'Card Test Cases'!$A$4:$A$1000,"&lt;&gt;")&gt;0,"Out of Scope","No TC"),IF($Q804&gt;0,"Failed",IF(COUNTIFS('Card Test Cases'!$B$4:$B$1000,$A804,'Card Test Cases'!$A$4:$A$1000,"&lt;&gt;",'Card Test Cases'!$F$4:$F$1000,"Blocked")&gt;0,"Blocked",IF($R804&gt;0,"In Progress","Passed")))))</f>
        <v/>
      </c>
      <c r="O804" s="68" t="str">
        <f>IF(TRIM($A804)="","",COUNTIFS('Card Test Cases'!$B$4:$B$1000,$A804,'Card Test Cases'!$A$4:$A$1000,"&lt;&gt;",'Card Test Cases'!$F$4:$F$1000,"&lt;&gt;Out of Scope"))</f>
        <v/>
      </c>
      <c r="P804" s="68" t="str">
        <f>IF(TRIM($A804)="","",COUNTIFS('Card Test Cases'!$B$4:$B$1000,$A804,'Card Test Cases'!$A$4:$A$1000,"&lt;&gt;",'Card Test Cases'!$F$4:$F$1000,"Passed"))</f>
        <v/>
      </c>
      <c r="Q804" s="68" t="str">
        <f>IF(TRIM($A804)="","",COUNTIFS('Card Test Cases'!$B$4:$B$1000,$A804,'Card Test Cases'!$A$4:$A$1000,"&lt;&gt;",'Card Test Cases'!$F$4:$F$1000,"Failed"))</f>
        <v/>
      </c>
      <c r="R804" s="68" t="str">
        <f t="shared" si="12"/>
        <v/>
      </c>
      <c r="S804" s="68" t="str" cm="1">
        <f t="array" ref="S804">IF(TRIM($A804)="","",IFERROR(_xlfn.TEXTJOIN(", ",TRUE,_xlfn.UNIQUE(_xlfn.VSTACK(_xlfn._xlws.FILTER('Card Test Cases'!$G$4:$G$1000,('Card Test Cases'!$B$4:$B$1000=$A804)*('Card Test Cases'!$G$4:$G$1000&lt;&gt;""),""),_xlfn._xlws.FILTER('E2E core flow'!$U$15:$U$1000,('E2E core flow'!$A$15:$A$1000&lt;&gt;"")*ISNUMBER(SEARCH('E2E core flow'!$A$15:$A$1000,$E804))*('E2E core flow'!$U$15:$U$1000&lt;&gt;""),"")))),"-"))</f>
        <v/>
      </c>
    </row>
    <row r="805" spans="7:19" x14ac:dyDescent="0.3">
      <c r="G805" s="68" t="str" cm="1">
        <f t="array" ref="G805">_xlfn.LET(_xlpm.ids,'E2E core flow'!$A$15:$A$1000,_xlpm.v,'E2E core flow'!$W$15:$W$1000,_xlpm.m,(_xlpm.ids&lt;&gt;"")*ISNUMBER(SEARCH(_xlpm.ids,$E805)),_xlpm.f,SUM(_xlpm.m*(_xlpm.v="Failed")),_xlpm.b,SUM(_xlpm.m*(_xlpm.v="Blocked")),_xlpm.nr,SUM(_xlpm.m*(_xlpm.v="Not Run")),_xlpm.cp,SUM(_xlpm.m*(_xlpm.v="Conditionally Passed")),_xlpm.p,SUM(_xlpm.m*(_xlpm.v="Passed")),IF(TRIM($A805)="","",IF(TRIM($E805)="","Pending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05" s="68" t="str">
        <f>IF(TRIM($A805)="","",IF($J805="Passed","",IF($J805="Passed with Known Issue","Known Issue",IF($J805="",IF(OR($H805&lt;&gt;"No",AND($F805&lt;&gt;"Medium",$F805&lt;&gt;"Low")),"Pending Result",""),IF(OR($H805&lt;&gt;"No",AND($F805&lt;&gt;"Medium",$F805&lt;&gt;"Low")),IF(COUNTIFS(Dashboard!$B$105:$B$124,$A805,Dashboard!$I$105:$I$124,"CAB")&gt;0,"Accepted (CF)","Blocking"),IF($J805="Failed","Deferrable","Carry Over"))))))</f>
        <v/>
      </c>
      <c r="M805" s="68" t="str">
        <f>IF(OR(TRIM($A805)="",TRIM($E805)=""),"",IFERROR(INDEX('E2E core flow'!$B$15:$B$1000,MATCH(1,INDEX(('E2E core flow'!$A$15:$A$1000&lt;&gt;"")*ISNUMBER(SEARCH('E2E core flow'!$A$15:$A$1000,$E805)),0),0))&amp;"","-"))</f>
        <v/>
      </c>
      <c r="N805" s="68" t="str">
        <f>IF(TRIM($A805)="","",IF($O805=0,IF(COUNTIFS('Card Test Cases'!$B$4:$B$1000,$A805,'Card Test Cases'!$A$4:$A$1000,"&lt;&gt;")&gt;0,"Out of Scope","No TC"),IF($Q805&gt;0,"Failed",IF(COUNTIFS('Card Test Cases'!$B$4:$B$1000,$A805,'Card Test Cases'!$A$4:$A$1000,"&lt;&gt;",'Card Test Cases'!$F$4:$F$1000,"Blocked")&gt;0,"Blocked",IF($R805&gt;0,"In Progress","Passed")))))</f>
        <v/>
      </c>
      <c r="O805" s="68" t="str">
        <f>IF(TRIM($A805)="","",COUNTIFS('Card Test Cases'!$B$4:$B$1000,$A805,'Card Test Cases'!$A$4:$A$1000,"&lt;&gt;",'Card Test Cases'!$F$4:$F$1000,"&lt;&gt;Out of Scope"))</f>
        <v/>
      </c>
      <c r="P805" s="68" t="str">
        <f>IF(TRIM($A805)="","",COUNTIFS('Card Test Cases'!$B$4:$B$1000,$A805,'Card Test Cases'!$A$4:$A$1000,"&lt;&gt;",'Card Test Cases'!$F$4:$F$1000,"Passed"))</f>
        <v/>
      </c>
      <c r="Q805" s="68" t="str">
        <f>IF(TRIM($A805)="","",COUNTIFS('Card Test Cases'!$B$4:$B$1000,$A805,'Card Test Cases'!$A$4:$A$1000,"&lt;&gt;",'Card Test Cases'!$F$4:$F$1000,"Failed"))</f>
        <v/>
      </c>
      <c r="R805" s="68" t="str">
        <f t="shared" si="12"/>
        <v/>
      </c>
      <c r="S805" s="68" t="str" cm="1">
        <f t="array" ref="S805">IF(TRIM($A805)="","",IFERROR(_xlfn.TEXTJOIN(", ",TRUE,_xlfn.UNIQUE(_xlfn.VSTACK(_xlfn._xlws.FILTER('Card Test Cases'!$G$4:$G$1000,('Card Test Cases'!$B$4:$B$1000=$A805)*('Card Test Cases'!$G$4:$G$1000&lt;&gt;""),""),_xlfn._xlws.FILTER('E2E core flow'!$U$15:$U$1000,('E2E core flow'!$A$15:$A$1000&lt;&gt;"")*ISNUMBER(SEARCH('E2E core flow'!$A$15:$A$1000,$E805))*('E2E core flow'!$U$15:$U$1000&lt;&gt;""),"")))),"-"))</f>
        <v/>
      </c>
    </row>
    <row r="806" spans="7:19" x14ac:dyDescent="0.3">
      <c r="G806" s="68" t="str" cm="1">
        <f t="array" ref="G806">_xlfn.LET(_xlpm.ids,'E2E core flow'!$A$15:$A$1000,_xlpm.v,'E2E core flow'!$W$15:$W$1000,_xlpm.m,(_xlpm.ids&lt;&gt;"")*ISNUMBER(SEARCH(_xlpm.ids,$E806)),_xlpm.f,SUM(_xlpm.m*(_xlpm.v="Failed")),_xlpm.b,SUM(_xlpm.m*(_xlpm.v="Blocked")),_xlpm.nr,SUM(_xlpm.m*(_xlpm.v="Not Run")),_xlpm.cp,SUM(_xlpm.m*(_xlpm.v="Conditionally Passed")),_xlpm.p,SUM(_xlpm.m*(_xlpm.v="Passed")),IF(TRIM($A806)="","",IF(TRIM($E806)="","Pending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06" s="68" t="str">
        <f>IF(TRIM($A806)="","",IF($J806="Passed","",IF($J806="Passed with Known Issue","Known Issue",IF($J806="",IF(OR($H806&lt;&gt;"No",AND($F806&lt;&gt;"Medium",$F806&lt;&gt;"Low")),"Pending Result",""),IF(OR($H806&lt;&gt;"No",AND($F806&lt;&gt;"Medium",$F806&lt;&gt;"Low")),IF(COUNTIFS(Dashboard!$B$105:$B$124,$A806,Dashboard!$I$105:$I$124,"CAB")&gt;0,"Accepted (CF)","Blocking"),IF($J806="Failed","Deferrable","Carry Over"))))))</f>
        <v/>
      </c>
      <c r="M806" s="68" t="str">
        <f>IF(OR(TRIM($A806)="",TRIM($E806)=""),"",IFERROR(INDEX('E2E core flow'!$B$15:$B$1000,MATCH(1,INDEX(('E2E core flow'!$A$15:$A$1000&lt;&gt;"")*ISNUMBER(SEARCH('E2E core flow'!$A$15:$A$1000,$E806)),0),0))&amp;"","-"))</f>
        <v/>
      </c>
      <c r="N806" s="68" t="str">
        <f>IF(TRIM($A806)="","",IF($O806=0,IF(COUNTIFS('Card Test Cases'!$B$4:$B$1000,$A806,'Card Test Cases'!$A$4:$A$1000,"&lt;&gt;")&gt;0,"Out of Scope","No TC"),IF($Q806&gt;0,"Failed",IF(COUNTIFS('Card Test Cases'!$B$4:$B$1000,$A806,'Card Test Cases'!$A$4:$A$1000,"&lt;&gt;",'Card Test Cases'!$F$4:$F$1000,"Blocked")&gt;0,"Blocked",IF($R806&gt;0,"In Progress","Passed")))))</f>
        <v/>
      </c>
      <c r="O806" s="68" t="str">
        <f>IF(TRIM($A806)="","",COUNTIFS('Card Test Cases'!$B$4:$B$1000,$A806,'Card Test Cases'!$A$4:$A$1000,"&lt;&gt;",'Card Test Cases'!$F$4:$F$1000,"&lt;&gt;Out of Scope"))</f>
        <v/>
      </c>
      <c r="P806" s="68" t="str">
        <f>IF(TRIM($A806)="","",COUNTIFS('Card Test Cases'!$B$4:$B$1000,$A806,'Card Test Cases'!$A$4:$A$1000,"&lt;&gt;",'Card Test Cases'!$F$4:$F$1000,"Passed"))</f>
        <v/>
      </c>
      <c r="Q806" s="68" t="str">
        <f>IF(TRIM($A806)="","",COUNTIFS('Card Test Cases'!$B$4:$B$1000,$A806,'Card Test Cases'!$A$4:$A$1000,"&lt;&gt;",'Card Test Cases'!$F$4:$F$1000,"Failed"))</f>
        <v/>
      </c>
      <c r="R806" s="68" t="str">
        <f t="shared" si="12"/>
        <v/>
      </c>
      <c r="S806" s="68" t="str" cm="1">
        <f t="array" ref="S806">IF(TRIM($A806)="","",IFERROR(_xlfn.TEXTJOIN(", ",TRUE,_xlfn.UNIQUE(_xlfn.VSTACK(_xlfn._xlws.FILTER('Card Test Cases'!$G$4:$G$1000,('Card Test Cases'!$B$4:$B$1000=$A806)*('Card Test Cases'!$G$4:$G$1000&lt;&gt;""),""),_xlfn._xlws.FILTER('E2E core flow'!$U$15:$U$1000,('E2E core flow'!$A$15:$A$1000&lt;&gt;"")*ISNUMBER(SEARCH('E2E core flow'!$A$15:$A$1000,$E806))*('E2E core flow'!$U$15:$U$1000&lt;&gt;""),"")))),"-"))</f>
        <v/>
      </c>
    </row>
    <row r="807" spans="7:19" x14ac:dyDescent="0.3">
      <c r="G807" s="68" t="str" cm="1">
        <f t="array" ref="G807">_xlfn.LET(_xlpm.ids,'E2E core flow'!$A$15:$A$1000,_xlpm.v,'E2E core flow'!$W$15:$W$1000,_xlpm.m,(_xlpm.ids&lt;&gt;"")*ISNUMBER(SEARCH(_xlpm.ids,$E807)),_xlpm.f,SUM(_xlpm.m*(_xlpm.v="Failed")),_xlpm.b,SUM(_xlpm.m*(_xlpm.v="Blocked")),_xlpm.nr,SUM(_xlpm.m*(_xlpm.v="Not Run")),_xlpm.cp,SUM(_xlpm.m*(_xlpm.v="Conditionally Passed")),_xlpm.p,SUM(_xlpm.m*(_xlpm.v="Passed")),IF(TRIM($A807)="","",IF(TRIM($E807)="","Pending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07" s="68" t="str">
        <f>IF(TRIM($A807)="","",IF($J807="Passed","",IF($J807="Passed with Known Issue","Known Issue",IF($J807="",IF(OR($H807&lt;&gt;"No",AND($F807&lt;&gt;"Medium",$F807&lt;&gt;"Low")),"Pending Result",""),IF(OR($H807&lt;&gt;"No",AND($F807&lt;&gt;"Medium",$F807&lt;&gt;"Low")),IF(COUNTIFS(Dashboard!$B$105:$B$124,$A807,Dashboard!$I$105:$I$124,"CAB")&gt;0,"Accepted (CF)","Blocking"),IF($J807="Failed","Deferrable","Carry Over"))))))</f>
        <v/>
      </c>
      <c r="M807" s="68" t="str">
        <f>IF(OR(TRIM($A807)="",TRIM($E807)=""),"",IFERROR(INDEX('E2E core flow'!$B$15:$B$1000,MATCH(1,INDEX(('E2E core flow'!$A$15:$A$1000&lt;&gt;"")*ISNUMBER(SEARCH('E2E core flow'!$A$15:$A$1000,$E807)),0),0))&amp;"","-"))</f>
        <v/>
      </c>
      <c r="N807" s="68" t="str">
        <f>IF(TRIM($A807)="","",IF($O807=0,IF(COUNTIFS('Card Test Cases'!$B$4:$B$1000,$A807,'Card Test Cases'!$A$4:$A$1000,"&lt;&gt;")&gt;0,"Out of Scope","No TC"),IF($Q807&gt;0,"Failed",IF(COUNTIFS('Card Test Cases'!$B$4:$B$1000,$A807,'Card Test Cases'!$A$4:$A$1000,"&lt;&gt;",'Card Test Cases'!$F$4:$F$1000,"Blocked")&gt;0,"Blocked",IF($R807&gt;0,"In Progress","Passed")))))</f>
        <v/>
      </c>
      <c r="O807" s="68" t="str">
        <f>IF(TRIM($A807)="","",COUNTIFS('Card Test Cases'!$B$4:$B$1000,$A807,'Card Test Cases'!$A$4:$A$1000,"&lt;&gt;",'Card Test Cases'!$F$4:$F$1000,"&lt;&gt;Out of Scope"))</f>
        <v/>
      </c>
      <c r="P807" s="68" t="str">
        <f>IF(TRIM($A807)="","",COUNTIFS('Card Test Cases'!$B$4:$B$1000,$A807,'Card Test Cases'!$A$4:$A$1000,"&lt;&gt;",'Card Test Cases'!$F$4:$F$1000,"Passed"))</f>
        <v/>
      </c>
      <c r="Q807" s="68" t="str">
        <f>IF(TRIM($A807)="","",COUNTIFS('Card Test Cases'!$B$4:$B$1000,$A807,'Card Test Cases'!$A$4:$A$1000,"&lt;&gt;",'Card Test Cases'!$F$4:$F$1000,"Failed"))</f>
        <v/>
      </c>
      <c r="R807" s="68" t="str">
        <f t="shared" si="12"/>
        <v/>
      </c>
      <c r="S807" s="68" t="str" cm="1">
        <f t="array" ref="S807">IF(TRIM($A807)="","",IFERROR(_xlfn.TEXTJOIN(", ",TRUE,_xlfn.UNIQUE(_xlfn.VSTACK(_xlfn._xlws.FILTER('Card Test Cases'!$G$4:$G$1000,('Card Test Cases'!$B$4:$B$1000=$A807)*('Card Test Cases'!$G$4:$G$1000&lt;&gt;""),""),_xlfn._xlws.FILTER('E2E core flow'!$U$15:$U$1000,('E2E core flow'!$A$15:$A$1000&lt;&gt;"")*ISNUMBER(SEARCH('E2E core flow'!$A$15:$A$1000,$E807))*('E2E core flow'!$U$15:$U$1000&lt;&gt;""),"")))),"-"))</f>
        <v/>
      </c>
    </row>
    <row r="808" spans="7:19" x14ac:dyDescent="0.3">
      <c r="G808" s="68" t="str" cm="1">
        <f t="array" ref="G808">_xlfn.LET(_xlpm.ids,'E2E core flow'!$A$15:$A$1000,_xlpm.v,'E2E core flow'!$W$15:$W$1000,_xlpm.m,(_xlpm.ids&lt;&gt;"")*ISNUMBER(SEARCH(_xlpm.ids,$E808)),_xlpm.f,SUM(_xlpm.m*(_xlpm.v="Failed")),_xlpm.b,SUM(_xlpm.m*(_xlpm.v="Blocked")),_xlpm.nr,SUM(_xlpm.m*(_xlpm.v="Not Run")),_xlpm.cp,SUM(_xlpm.m*(_xlpm.v="Conditionally Passed")),_xlpm.p,SUM(_xlpm.m*(_xlpm.v="Passed")),IF(TRIM($A808)="","",IF(TRIM($E808)="","Pending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08" s="68" t="str">
        <f>IF(TRIM($A808)="","",IF($J808="Passed","",IF($J808="Passed with Known Issue","Known Issue",IF($J808="",IF(OR($H808&lt;&gt;"No",AND($F808&lt;&gt;"Medium",$F808&lt;&gt;"Low")),"Pending Result",""),IF(OR($H808&lt;&gt;"No",AND($F808&lt;&gt;"Medium",$F808&lt;&gt;"Low")),IF(COUNTIFS(Dashboard!$B$105:$B$124,$A808,Dashboard!$I$105:$I$124,"CAB")&gt;0,"Accepted (CF)","Blocking"),IF($J808="Failed","Deferrable","Carry Over"))))))</f>
        <v/>
      </c>
      <c r="M808" s="68" t="str">
        <f>IF(OR(TRIM($A808)="",TRIM($E808)=""),"",IFERROR(INDEX('E2E core flow'!$B$15:$B$1000,MATCH(1,INDEX(('E2E core flow'!$A$15:$A$1000&lt;&gt;"")*ISNUMBER(SEARCH('E2E core flow'!$A$15:$A$1000,$E808)),0),0))&amp;"","-"))</f>
        <v/>
      </c>
      <c r="N808" s="68" t="str">
        <f>IF(TRIM($A808)="","",IF($O808=0,IF(COUNTIFS('Card Test Cases'!$B$4:$B$1000,$A808,'Card Test Cases'!$A$4:$A$1000,"&lt;&gt;")&gt;0,"Out of Scope","No TC"),IF($Q808&gt;0,"Failed",IF(COUNTIFS('Card Test Cases'!$B$4:$B$1000,$A808,'Card Test Cases'!$A$4:$A$1000,"&lt;&gt;",'Card Test Cases'!$F$4:$F$1000,"Blocked")&gt;0,"Blocked",IF($R808&gt;0,"In Progress","Passed")))))</f>
        <v/>
      </c>
      <c r="O808" s="68" t="str">
        <f>IF(TRIM($A808)="","",COUNTIFS('Card Test Cases'!$B$4:$B$1000,$A808,'Card Test Cases'!$A$4:$A$1000,"&lt;&gt;",'Card Test Cases'!$F$4:$F$1000,"&lt;&gt;Out of Scope"))</f>
        <v/>
      </c>
      <c r="P808" s="68" t="str">
        <f>IF(TRIM($A808)="","",COUNTIFS('Card Test Cases'!$B$4:$B$1000,$A808,'Card Test Cases'!$A$4:$A$1000,"&lt;&gt;",'Card Test Cases'!$F$4:$F$1000,"Passed"))</f>
        <v/>
      </c>
      <c r="Q808" s="68" t="str">
        <f>IF(TRIM($A808)="","",COUNTIFS('Card Test Cases'!$B$4:$B$1000,$A808,'Card Test Cases'!$A$4:$A$1000,"&lt;&gt;",'Card Test Cases'!$F$4:$F$1000,"Failed"))</f>
        <v/>
      </c>
      <c r="R808" s="68" t="str">
        <f t="shared" si="12"/>
        <v/>
      </c>
      <c r="S808" s="68" t="str" cm="1">
        <f t="array" ref="S808">IF(TRIM($A808)="","",IFERROR(_xlfn.TEXTJOIN(", ",TRUE,_xlfn.UNIQUE(_xlfn.VSTACK(_xlfn._xlws.FILTER('Card Test Cases'!$G$4:$G$1000,('Card Test Cases'!$B$4:$B$1000=$A808)*('Card Test Cases'!$G$4:$G$1000&lt;&gt;""),""),_xlfn._xlws.FILTER('E2E core flow'!$U$15:$U$1000,('E2E core flow'!$A$15:$A$1000&lt;&gt;"")*ISNUMBER(SEARCH('E2E core flow'!$A$15:$A$1000,$E808))*('E2E core flow'!$U$15:$U$1000&lt;&gt;""),"")))),"-"))</f>
        <v/>
      </c>
    </row>
    <row r="809" spans="7:19" x14ac:dyDescent="0.3">
      <c r="G809" s="68" t="str" cm="1">
        <f t="array" ref="G809">_xlfn.LET(_xlpm.ids,'E2E core flow'!$A$15:$A$1000,_xlpm.v,'E2E core flow'!$W$15:$W$1000,_xlpm.m,(_xlpm.ids&lt;&gt;"")*ISNUMBER(SEARCH(_xlpm.ids,$E809)),_xlpm.f,SUM(_xlpm.m*(_xlpm.v="Failed")),_xlpm.b,SUM(_xlpm.m*(_xlpm.v="Blocked")),_xlpm.nr,SUM(_xlpm.m*(_xlpm.v="Not Run")),_xlpm.cp,SUM(_xlpm.m*(_xlpm.v="Conditionally Passed")),_xlpm.p,SUM(_xlpm.m*(_xlpm.v="Passed")),IF(TRIM($A809)="","",IF(TRIM($E809)="","Pending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09" s="68" t="str">
        <f>IF(TRIM($A809)="","",IF($J809="Passed","",IF($J809="Passed with Known Issue","Known Issue",IF($J809="",IF(OR($H809&lt;&gt;"No",AND($F809&lt;&gt;"Medium",$F809&lt;&gt;"Low")),"Pending Result",""),IF(OR($H809&lt;&gt;"No",AND($F809&lt;&gt;"Medium",$F809&lt;&gt;"Low")),IF(COUNTIFS(Dashboard!$B$105:$B$124,$A809,Dashboard!$I$105:$I$124,"CAB")&gt;0,"Accepted (CF)","Blocking"),IF($J809="Failed","Deferrable","Carry Over"))))))</f>
        <v/>
      </c>
      <c r="M809" s="68" t="str">
        <f>IF(OR(TRIM($A809)="",TRIM($E809)=""),"",IFERROR(INDEX('E2E core flow'!$B$15:$B$1000,MATCH(1,INDEX(('E2E core flow'!$A$15:$A$1000&lt;&gt;"")*ISNUMBER(SEARCH('E2E core flow'!$A$15:$A$1000,$E809)),0),0))&amp;"","-"))</f>
        <v/>
      </c>
      <c r="N809" s="68" t="str">
        <f>IF(TRIM($A809)="","",IF($O809=0,IF(COUNTIFS('Card Test Cases'!$B$4:$B$1000,$A809,'Card Test Cases'!$A$4:$A$1000,"&lt;&gt;")&gt;0,"Out of Scope","No TC"),IF($Q809&gt;0,"Failed",IF(COUNTIFS('Card Test Cases'!$B$4:$B$1000,$A809,'Card Test Cases'!$A$4:$A$1000,"&lt;&gt;",'Card Test Cases'!$F$4:$F$1000,"Blocked")&gt;0,"Blocked",IF($R809&gt;0,"In Progress","Passed")))))</f>
        <v/>
      </c>
      <c r="O809" s="68" t="str">
        <f>IF(TRIM($A809)="","",COUNTIFS('Card Test Cases'!$B$4:$B$1000,$A809,'Card Test Cases'!$A$4:$A$1000,"&lt;&gt;",'Card Test Cases'!$F$4:$F$1000,"&lt;&gt;Out of Scope"))</f>
        <v/>
      </c>
      <c r="P809" s="68" t="str">
        <f>IF(TRIM($A809)="","",COUNTIFS('Card Test Cases'!$B$4:$B$1000,$A809,'Card Test Cases'!$A$4:$A$1000,"&lt;&gt;",'Card Test Cases'!$F$4:$F$1000,"Passed"))</f>
        <v/>
      </c>
      <c r="Q809" s="68" t="str">
        <f>IF(TRIM($A809)="","",COUNTIFS('Card Test Cases'!$B$4:$B$1000,$A809,'Card Test Cases'!$A$4:$A$1000,"&lt;&gt;",'Card Test Cases'!$F$4:$F$1000,"Failed"))</f>
        <v/>
      </c>
      <c r="R809" s="68" t="str">
        <f t="shared" si="12"/>
        <v/>
      </c>
      <c r="S809" s="68" t="str" cm="1">
        <f t="array" ref="S809">IF(TRIM($A809)="","",IFERROR(_xlfn.TEXTJOIN(", ",TRUE,_xlfn.UNIQUE(_xlfn.VSTACK(_xlfn._xlws.FILTER('Card Test Cases'!$G$4:$G$1000,('Card Test Cases'!$B$4:$B$1000=$A809)*('Card Test Cases'!$G$4:$G$1000&lt;&gt;""),""),_xlfn._xlws.FILTER('E2E core flow'!$U$15:$U$1000,('E2E core flow'!$A$15:$A$1000&lt;&gt;"")*ISNUMBER(SEARCH('E2E core flow'!$A$15:$A$1000,$E809))*('E2E core flow'!$U$15:$U$1000&lt;&gt;""),"")))),"-"))</f>
        <v/>
      </c>
    </row>
    <row r="810" spans="7:19" x14ac:dyDescent="0.3">
      <c r="G810" s="68" t="str" cm="1">
        <f t="array" ref="G810">_xlfn.LET(_xlpm.ids,'E2E core flow'!$A$15:$A$1000,_xlpm.v,'E2E core flow'!$W$15:$W$1000,_xlpm.m,(_xlpm.ids&lt;&gt;"")*ISNUMBER(SEARCH(_xlpm.ids,$E810)),_xlpm.f,SUM(_xlpm.m*(_xlpm.v="Failed")),_xlpm.b,SUM(_xlpm.m*(_xlpm.v="Blocked")),_xlpm.nr,SUM(_xlpm.m*(_xlpm.v="Not Run")),_xlpm.cp,SUM(_xlpm.m*(_xlpm.v="Conditionally Passed")),_xlpm.p,SUM(_xlpm.m*(_xlpm.v="Passed")),IF(TRIM($A810)="","",IF(TRIM($E810)="","Pending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10" s="68" t="str">
        <f>IF(TRIM($A810)="","",IF($J810="Passed","",IF($J810="Passed with Known Issue","Known Issue",IF($J810="",IF(OR($H810&lt;&gt;"No",AND($F810&lt;&gt;"Medium",$F810&lt;&gt;"Low")),"Pending Result",""),IF(OR($H810&lt;&gt;"No",AND($F810&lt;&gt;"Medium",$F810&lt;&gt;"Low")),IF(COUNTIFS(Dashboard!$B$105:$B$124,$A810,Dashboard!$I$105:$I$124,"CAB")&gt;0,"Accepted (CF)","Blocking"),IF($J810="Failed","Deferrable","Carry Over"))))))</f>
        <v/>
      </c>
      <c r="M810" s="68" t="str">
        <f>IF(OR(TRIM($A810)="",TRIM($E810)=""),"",IFERROR(INDEX('E2E core flow'!$B$15:$B$1000,MATCH(1,INDEX(('E2E core flow'!$A$15:$A$1000&lt;&gt;"")*ISNUMBER(SEARCH('E2E core flow'!$A$15:$A$1000,$E810)),0),0))&amp;"","-"))</f>
        <v/>
      </c>
      <c r="N810" s="68" t="str">
        <f>IF(TRIM($A810)="","",IF($O810=0,IF(COUNTIFS('Card Test Cases'!$B$4:$B$1000,$A810,'Card Test Cases'!$A$4:$A$1000,"&lt;&gt;")&gt;0,"Out of Scope","No TC"),IF($Q810&gt;0,"Failed",IF(COUNTIFS('Card Test Cases'!$B$4:$B$1000,$A810,'Card Test Cases'!$A$4:$A$1000,"&lt;&gt;",'Card Test Cases'!$F$4:$F$1000,"Blocked")&gt;0,"Blocked",IF($R810&gt;0,"In Progress","Passed")))))</f>
        <v/>
      </c>
      <c r="O810" s="68" t="str">
        <f>IF(TRIM($A810)="","",COUNTIFS('Card Test Cases'!$B$4:$B$1000,$A810,'Card Test Cases'!$A$4:$A$1000,"&lt;&gt;",'Card Test Cases'!$F$4:$F$1000,"&lt;&gt;Out of Scope"))</f>
        <v/>
      </c>
      <c r="P810" s="68" t="str">
        <f>IF(TRIM($A810)="","",COUNTIFS('Card Test Cases'!$B$4:$B$1000,$A810,'Card Test Cases'!$A$4:$A$1000,"&lt;&gt;",'Card Test Cases'!$F$4:$F$1000,"Passed"))</f>
        <v/>
      </c>
      <c r="Q810" s="68" t="str">
        <f>IF(TRIM($A810)="","",COUNTIFS('Card Test Cases'!$B$4:$B$1000,$A810,'Card Test Cases'!$A$4:$A$1000,"&lt;&gt;",'Card Test Cases'!$F$4:$F$1000,"Failed"))</f>
        <v/>
      </c>
      <c r="R810" s="68" t="str">
        <f t="shared" si="12"/>
        <v/>
      </c>
      <c r="S810" s="68" t="str" cm="1">
        <f t="array" ref="S810">IF(TRIM($A810)="","",IFERROR(_xlfn.TEXTJOIN(", ",TRUE,_xlfn.UNIQUE(_xlfn.VSTACK(_xlfn._xlws.FILTER('Card Test Cases'!$G$4:$G$1000,('Card Test Cases'!$B$4:$B$1000=$A810)*('Card Test Cases'!$G$4:$G$1000&lt;&gt;""),""),_xlfn._xlws.FILTER('E2E core flow'!$U$15:$U$1000,('E2E core flow'!$A$15:$A$1000&lt;&gt;"")*ISNUMBER(SEARCH('E2E core flow'!$A$15:$A$1000,$E810))*('E2E core flow'!$U$15:$U$1000&lt;&gt;""),"")))),"-"))</f>
        <v/>
      </c>
    </row>
    <row r="811" spans="7:19" x14ac:dyDescent="0.3">
      <c r="G811" s="68" t="str" cm="1">
        <f t="array" ref="G811">_xlfn.LET(_xlpm.ids,'E2E core flow'!$A$15:$A$1000,_xlpm.v,'E2E core flow'!$W$15:$W$1000,_xlpm.m,(_xlpm.ids&lt;&gt;"")*ISNUMBER(SEARCH(_xlpm.ids,$E811)),_xlpm.f,SUM(_xlpm.m*(_xlpm.v="Failed")),_xlpm.b,SUM(_xlpm.m*(_xlpm.v="Blocked")),_xlpm.nr,SUM(_xlpm.m*(_xlpm.v="Not Run")),_xlpm.cp,SUM(_xlpm.m*(_xlpm.v="Conditionally Passed")),_xlpm.p,SUM(_xlpm.m*(_xlpm.v="Passed")),IF(TRIM($A811)="","",IF(TRIM($E811)="","Pending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11" s="68" t="str">
        <f>IF(TRIM($A811)="","",IF($J811="Passed","",IF($J811="Passed with Known Issue","Known Issue",IF($J811="",IF(OR($H811&lt;&gt;"No",AND($F811&lt;&gt;"Medium",$F811&lt;&gt;"Low")),"Pending Result",""),IF(OR($H811&lt;&gt;"No",AND($F811&lt;&gt;"Medium",$F811&lt;&gt;"Low")),IF(COUNTIFS(Dashboard!$B$105:$B$124,$A811,Dashboard!$I$105:$I$124,"CAB")&gt;0,"Accepted (CF)","Blocking"),IF($J811="Failed","Deferrable","Carry Over"))))))</f>
        <v/>
      </c>
      <c r="M811" s="68" t="str">
        <f>IF(OR(TRIM($A811)="",TRIM($E811)=""),"",IFERROR(INDEX('E2E core flow'!$B$15:$B$1000,MATCH(1,INDEX(('E2E core flow'!$A$15:$A$1000&lt;&gt;"")*ISNUMBER(SEARCH('E2E core flow'!$A$15:$A$1000,$E811)),0),0))&amp;"","-"))</f>
        <v/>
      </c>
      <c r="N811" s="68" t="str">
        <f>IF(TRIM($A811)="","",IF($O811=0,IF(COUNTIFS('Card Test Cases'!$B$4:$B$1000,$A811,'Card Test Cases'!$A$4:$A$1000,"&lt;&gt;")&gt;0,"Out of Scope","No TC"),IF($Q811&gt;0,"Failed",IF(COUNTIFS('Card Test Cases'!$B$4:$B$1000,$A811,'Card Test Cases'!$A$4:$A$1000,"&lt;&gt;",'Card Test Cases'!$F$4:$F$1000,"Blocked")&gt;0,"Blocked",IF($R811&gt;0,"In Progress","Passed")))))</f>
        <v/>
      </c>
      <c r="O811" s="68" t="str">
        <f>IF(TRIM($A811)="","",COUNTIFS('Card Test Cases'!$B$4:$B$1000,$A811,'Card Test Cases'!$A$4:$A$1000,"&lt;&gt;",'Card Test Cases'!$F$4:$F$1000,"&lt;&gt;Out of Scope"))</f>
        <v/>
      </c>
      <c r="P811" s="68" t="str">
        <f>IF(TRIM($A811)="","",COUNTIFS('Card Test Cases'!$B$4:$B$1000,$A811,'Card Test Cases'!$A$4:$A$1000,"&lt;&gt;",'Card Test Cases'!$F$4:$F$1000,"Passed"))</f>
        <v/>
      </c>
      <c r="Q811" s="68" t="str">
        <f>IF(TRIM($A811)="","",COUNTIFS('Card Test Cases'!$B$4:$B$1000,$A811,'Card Test Cases'!$A$4:$A$1000,"&lt;&gt;",'Card Test Cases'!$F$4:$F$1000,"Failed"))</f>
        <v/>
      </c>
      <c r="R811" s="68" t="str">
        <f t="shared" si="12"/>
        <v/>
      </c>
      <c r="S811" s="68" t="str" cm="1">
        <f t="array" ref="S811">IF(TRIM($A811)="","",IFERROR(_xlfn.TEXTJOIN(", ",TRUE,_xlfn.UNIQUE(_xlfn.VSTACK(_xlfn._xlws.FILTER('Card Test Cases'!$G$4:$G$1000,('Card Test Cases'!$B$4:$B$1000=$A811)*('Card Test Cases'!$G$4:$G$1000&lt;&gt;""),""),_xlfn._xlws.FILTER('E2E core flow'!$U$15:$U$1000,('E2E core flow'!$A$15:$A$1000&lt;&gt;"")*ISNUMBER(SEARCH('E2E core flow'!$A$15:$A$1000,$E811))*('E2E core flow'!$U$15:$U$1000&lt;&gt;""),"")))),"-"))</f>
        <v/>
      </c>
    </row>
    <row r="812" spans="7:19" x14ac:dyDescent="0.3">
      <c r="G812" s="68" t="str" cm="1">
        <f t="array" ref="G812">_xlfn.LET(_xlpm.ids,'E2E core flow'!$A$15:$A$1000,_xlpm.v,'E2E core flow'!$W$15:$W$1000,_xlpm.m,(_xlpm.ids&lt;&gt;"")*ISNUMBER(SEARCH(_xlpm.ids,$E812)),_xlpm.f,SUM(_xlpm.m*(_xlpm.v="Failed")),_xlpm.b,SUM(_xlpm.m*(_xlpm.v="Blocked")),_xlpm.nr,SUM(_xlpm.m*(_xlpm.v="Not Run")),_xlpm.cp,SUM(_xlpm.m*(_xlpm.v="Conditionally Passed")),_xlpm.p,SUM(_xlpm.m*(_xlpm.v="Passed")),IF(TRIM($A812)="","",IF(TRIM($E812)="","Pending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12" s="68" t="str">
        <f>IF(TRIM($A812)="","",IF($J812="Passed","",IF($J812="Passed with Known Issue","Known Issue",IF($J812="",IF(OR($H812&lt;&gt;"No",AND($F812&lt;&gt;"Medium",$F812&lt;&gt;"Low")),"Pending Result",""),IF(OR($H812&lt;&gt;"No",AND($F812&lt;&gt;"Medium",$F812&lt;&gt;"Low")),IF(COUNTIFS(Dashboard!$B$105:$B$124,$A812,Dashboard!$I$105:$I$124,"CAB")&gt;0,"Accepted (CF)","Blocking"),IF($J812="Failed","Deferrable","Carry Over"))))))</f>
        <v/>
      </c>
      <c r="M812" s="68" t="str">
        <f>IF(OR(TRIM($A812)="",TRIM($E812)=""),"",IFERROR(INDEX('E2E core flow'!$B$15:$B$1000,MATCH(1,INDEX(('E2E core flow'!$A$15:$A$1000&lt;&gt;"")*ISNUMBER(SEARCH('E2E core flow'!$A$15:$A$1000,$E812)),0),0))&amp;"","-"))</f>
        <v/>
      </c>
      <c r="N812" s="68" t="str">
        <f>IF(TRIM($A812)="","",IF($O812=0,IF(COUNTIFS('Card Test Cases'!$B$4:$B$1000,$A812,'Card Test Cases'!$A$4:$A$1000,"&lt;&gt;")&gt;0,"Out of Scope","No TC"),IF($Q812&gt;0,"Failed",IF(COUNTIFS('Card Test Cases'!$B$4:$B$1000,$A812,'Card Test Cases'!$A$4:$A$1000,"&lt;&gt;",'Card Test Cases'!$F$4:$F$1000,"Blocked")&gt;0,"Blocked",IF($R812&gt;0,"In Progress","Passed")))))</f>
        <v/>
      </c>
      <c r="O812" s="68" t="str">
        <f>IF(TRIM($A812)="","",COUNTIFS('Card Test Cases'!$B$4:$B$1000,$A812,'Card Test Cases'!$A$4:$A$1000,"&lt;&gt;",'Card Test Cases'!$F$4:$F$1000,"&lt;&gt;Out of Scope"))</f>
        <v/>
      </c>
      <c r="P812" s="68" t="str">
        <f>IF(TRIM($A812)="","",COUNTIFS('Card Test Cases'!$B$4:$B$1000,$A812,'Card Test Cases'!$A$4:$A$1000,"&lt;&gt;",'Card Test Cases'!$F$4:$F$1000,"Passed"))</f>
        <v/>
      </c>
      <c r="Q812" s="68" t="str">
        <f>IF(TRIM($A812)="","",COUNTIFS('Card Test Cases'!$B$4:$B$1000,$A812,'Card Test Cases'!$A$4:$A$1000,"&lt;&gt;",'Card Test Cases'!$F$4:$F$1000,"Failed"))</f>
        <v/>
      </c>
      <c r="R812" s="68" t="str">
        <f t="shared" si="12"/>
        <v/>
      </c>
      <c r="S812" s="68" t="str" cm="1">
        <f t="array" ref="S812">IF(TRIM($A812)="","",IFERROR(_xlfn.TEXTJOIN(", ",TRUE,_xlfn.UNIQUE(_xlfn.VSTACK(_xlfn._xlws.FILTER('Card Test Cases'!$G$4:$G$1000,('Card Test Cases'!$B$4:$B$1000=$A812)*('Card Test Cases'!$G$4:$G$1000&lt;&gt;""),""),_xlfn._xlws.FILTER('E2E core flow'!$U$15:$U$1000,('E2E core flow'!$A$15:$A$1000&lt;&gt;"")*ISNUMBER(SEARCH('E2E core flow'!$A$15:$A$1000,$E812))*('E2E core flow'!$U$15:$U$1000&lt;&gt;""),"")))),"-"))</f>
        <v/>
      </c>
    </row>
    <row r="813" spans="7:19" x14ac:dyDescent="0.3">
      <c r="G813" s="68" t="str" cm="1">
        <f t="array" ref="G813">_xlfn.LET(_xlpm.ids,'E2E core flow'!$A$15:$A$1000,_xlpm.v,'E2E core flow'!$W$15:$W$1000,_xlpm.m,(_xlpm.ids&lt;&gt;"")*ISNUMBER(SEARCH(_xlpm.ids,$E813)),_xlpm.f,SUM(_xlpm.m*(_xlpm.v="Failed")),_xlpm.b,SUM(_xlpm.m*(_xlpm.v="Blocked")),_xlpm.nr,SUM(_xlpm.m*(_xlpm.v="Not Run")),_xlpm.cp,SUM(_xlpm.m*(_xlpm.v="Conditionally Passed")),_xlpm.p,SUM(_xlpm.m*(_xlpm.v="Passed")),IF(TRIM($A813)="","",IF(TRIM($E813)="","Pending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13" s="68" t="str">
        <f>IF(TRIM($A813)="","",IF($J813="Passed","",IF($J813="Passed with Known Issue","Known Issue",IF($J813="",IF(OR($H813&lt;&gt;"No",AND($F813&lt;&gt;"Medium",$F813&lt;&gt;"Low")),"Pending Result",""),IF(OR($H813&lt;&gt;"No",AND($F813&lt;&gt;"Medium",$F813&lt;&gt;"Low")),IF(COUNTIFS(Dashboard!$B$105:$B$124,$A813,Dashboard!$I$105:$I$124,"CAB")&gt;0,"Accepted (CF)","Blocking"),IF($J813="Failed","Deferrable","Carry Over"))))))</f>
        <v/>
      </c>
      <c r="M813" s="68" t="str">
        <f>IF(OR(TRIM($A813)="",TRIM($E813)=""),"",IFERROR(INDEX('E2E core flow'!$B$15:$B$1000,MATCH(1,INDEX(('E2E core flow'!$A$15:$A$1000&lt;&gt;"")*ISNUMBER(SEARCH('E2E core flow'!$A$15:$A$1000,$E813)),0),0))&amp;"","-"))</f>
        <v/>
      </c>
      <c r="N813" s="68" t="str">
        <f>IF(TRIM($A813)="","",IF($O813=0,IF(COUNTIFS('Card Test Cases'!$B$4:$B$1000,$A813,'Card Test Cases'!$A$4:$A$1000,"&lt;&gt;")&gt;0,"Out of Scope","No TC"),IF($Q813&gt;0,"Failed",IF(COUNTIFS('Card Test Cases'!$B$4:$B$1000,$A813,'Card Test Cases'!$A$4:$A$1000,"&lt;&gt;",'Card Test Cases'!$F$4:$F$1000,"Blocked")&gt;0,"Blocked",IF($R813&gt;0,"In Progress","Passed")))))</f>
        <v/>
      </c>
      <c r="O813" s="68" t="str">
        <f>IF(TRIM($A813)="","",COUNTIFS('Card Test Cases'!$B$4:$B$1000,$A813,'Card Test Cases'!$A$4:$A$1000,"&lt;&gt;",'Card Test Cases'!$F$4:$F$1000,"&lt;&gt;Out of Scope"))</f>
        <v/>
      </c>
      <c r="P813" s="68" t="str">
        <f>IF(TRIM($A813)="","",COUNTIFS('Card Test Cases'!$B$4:$B$1000,$A813,'Card Test Cases'!$A$4:$A$1000,"&lt;&gt;",'Card Test Cases'!$F$4:$F$1000,"Passed"))</f>
        <v/>
      </c>
      <c r="Q813" s="68" t="str">
        <f>IF(TRIM($A813)="","",COUNTIFS('Card Test Cases'!$B$4:$B$1000,$A813,'Card Test Cases'!$A$4:$A$1000,"&lt;&gt;",'Card Test Cases'!$F$4:$F$1000,"Failed"))</f>
        <v/>
      </c>
      <c r="R813" s="68" t="str">
        <f t="shared" si="12"/>
        <v/>
      </c>
      <c r="S813" s="68" t="str" cm="1">
        <f t="array" ref="S813">IF(TRIM($A813)="","",IFERROR(_xlfn.TEXTJOIN(", ",TRUE,_xlfn.UNIQUE(_xlfn.VSTACK(_xlfn._xlws.FILTER('Card Test Cases'!$G$4:$G$1000,('Card Test Cases'!$B$4:$B$1000=$A813)*('Card Test Cases'!$G$4:$G$1000&lt;&gt;""),""),_xlfn._xlws.FILTER('E2E core flow'!$U$15:$U$1000,('E2E core flow'!$A$15:$A$1000&lt;&gt;"")*ISNUMBER(SEARCH('E2E core flow'!$A$15:$A$1000,$E813))*('E2E core flow'!$U$15:$U$1000&lt;&gt;""),"")))),"-"))</f>
        <v/>
      </c>
    </row>
    <row r="814" spans="7:19" x14ac:dyDescent="0.3">
      <c r="G814" s="68" t="str" cm="1">
        <f t="array" ref="G814">_xlfn.LET(_xlpm.ids,'E2E core flow'!$A$15:$A$1000,_xlpm.v,'E2E core flow'!$W$15:$W$1000,_xlpm.m,(_xlpm.ids&lt;&gt;"")*ISNUMBER(SEARCH(_xlpm.ids,$E814)),_xlpm.f,SUM(_xlpm.m*(_xlpm.v="Failed")),_xlpm.b,SUM(_xlpm.m*(_xlpm.v="Blocked")),_xlpm.nr,SUM(_xlpm.m*(_xlpm.v="Not Run")),_xlpm.cp,SUM(_xlpm.m*(_xlpm.v="Conditionally Passed")),_xlpm.p,SUM(_xlpm.m*(_xlpm.v="Passed")),IF(TRIM($A814)="","",IF(TRIM($E814)="","Pending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14" s="68" t="str">
        <f>IF(TRIM($A814)="","",IF($J814="Passed","",IF($J814="Passed with Known Issue","Known Issue",IF($J814="",IF(OR($H814&lt;&gt;"No",AND($F814&lt;&gt;"Medium",$F814&lt;&gt;"Low")),"Pending Result",""),IF(OR($H814&lt;&gt;"No",AND($F814&lt;&gt;"Medium",$F814&lt;&gt;"Low")),IF(COUNTIFS(Dashboard!$B$105:$B$124,$A814,Dashboard!$I$105:$I$124,"CAB")&gt;0,"Accepted (CF)","Blocking"),IF($J814="Failed","Deferrable","Carry Over"))))))</f>
        <v/>
      </c>
      <c r="M814" s="68" t="str">
        <f>IF(OR(TRIM($A814)="",TRIM($E814)=""),"",IFERROR(INDEX('E2E core flow'!$B$15:$B$1000,MATCH(1,INDEX(('E2E core flow'!$A$15:$A$1000&lt;&gt;"")*ISNUMBER(SEARCH('E2E core flow'!$A$15:$A$1000,$E814)),0),0))&amp;"","-"))</f>
        <v/>
      </c>
      <c r="N814" s="68" t="str">
        <f>IF(TRIM($A814)="","",IF($O814=0,IF(COUNTIFS('Card Test Cases'!$B$4:$B$1000,$A814,'Card Test Cases'!$A$4:$A$1000,"&lt;&gt;")&gt;0,"Out of Scope","No TC"),IF($Q814&gt;0,"Failed",IF(COUNTIFS('Card Test Cases'!$B$4:$B$1000,$A814,'Card Test Cases'!$A$4:$A$1000,"&lt;&gt;",'Card Test Cases'!$F$4:$F$1000,"Blocked")&gt;0,"Blocked",IF($R814&gt;0,"In Progress","Passed")))))</f>
        <v/>
      </c>
      <c r="O814" s="68" t="str">
        <f>IF(TRIM($A814)="","",COUNTIFS('Card Test Cases'!$B$4:$B$1000,$A814,'Card Test Cases'!$A$4:$A$1000,"&lt;&gt;",'Card Test Cases'!$F$4:$F$1000,"&lt;&gt;Out of Scope"))</f>
        <v/>
      </c>
      <c r="P814" s="68" t="str">
        <f>IF(TRIM($A814)="","",COUNTIFS('Card Test Cases'!$B$4:$B$1000,$A814,'Card Test Cases'!$A$4:$A$1000,"&lt;&gt;",'Card Test Cases'!$F$4:$F$1000,"Passed"))</f>
        <v/>
      </c>
      <c r="Q814" s="68" t="str">
        <f>IF(TRIM($A814)="","",COUNTIFS('Card Test Cases'!$B$4:$B$1000,$A814,'Card Test Cases'!$A$4:$A$1000,"&lt;&gt;",'Card Test Cases'!$F$4:$F$1000,"Failed"))</f>
        <v/>
      </c>
      <c r="R814" s="68" t="str">
        <f t="shared" si="12"/>
        <v/>
      </c>
      <c r="S814" s="68" t="str" cm="1">
        <f t="array" ref="S814">IF(TRIM($A814)="","",IFERROR(_xlfn.TEXTJOIN(", ",TRUE,_xlfn.UNIQUE(_xlfn.VSTACK(_xlfn._xlws.FILTER('Card Test Cases'!$G$4:$G$1000,('Card Test Cases'!$B$4:$B$1000=$A814)*('Card Test Cases'!$G$4:$G$1000&lt;&gt;""),""),_xlfn._xlws.FILTER('E2E core flow'!$U$15:$U$1000,('E2E core flow'!$A$15:$A$1000&lt;&gt;"")*ISNUMBER(SEARCH('E2E core flow'!$A$15:$A$1000,$E814))*('E2E core flow'!$U$15:$U$1000&lt;&gt;""),"")))),"-"))</f>
        <v/>
      </c>
    </row>
    <row r="815" spans="7:19" x14ac:dyDescent="0.3">
      <c r="G815" s="68" t="str" cm="1">
        <f t="array" ref="G815">_xlfn.LET(_xlpm.ids,'E2E core flow'!$A$15:$A$1000,_xlpm.v,'E2E core flow'!$W$15:$W$1000,_xlpm.m,(_xlpm.ids&lt;&gt;"")*ISNUMBER(SEARCH(_xlpm.ids,$E815)),_xlpm.f,SUM(_xlpm.m*(_xlpm.v="Failed")),_xlpm.b,SUM(_xlpm.m*(_xlpm.v="Blocked")),_xlpm.nr,SUM(_xlpm.m*(_xlpm.v="Not Run")),_xlpm.cp,SUM(_xlpm.m*(_xlpm.v="Conditionally Passed")),_xlpm.p,SUM(_xlpm.m*(_xlpm.v="Passed")),IF(TRIM($A815)="","",IF(TRIM($E815)="","Pending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15" s="68" t="str">
        <f>IF(TRIM($A815)="","",IF($J815="Passed","",IF($J815="Passed with Known Issue","Known Issue",IF($J815="",IF(OR($H815&lt;&gt;"No",AND($F815&lt;&gt;"Medium",$F815&lt;&gt;"Low")),"Pending Result",""),IF(OR($H815&lt;&gt;"No",AND($F815&lt;&gt;"Medium",$F815&lt;&gt;"Low")),IF(COUNTIFS(Dashboard!$B$105:$B$124,$A815,Dashboard!$I$105:$I$124,"CAB")&gt;0,"Accepted (CF)","Blocking"),IF($J815="Failed","Deferrable","Carry Over"))))))</f>
        <v/>
      </c>
      <c r="M815" s="68" t="str">
        <f>IF(OR(TRIM($A815)="",TRIM($E815)=""),"",IFERROR(INDEX('E2E core flow'!$B$15:$B$1000,MATCH(1,INDEX(('E2E core flow'!$A$15:$A$1000&lt;&gt;"")*ISNUMBER(SEARCH('E2E core flow'!$A$15:$A$1000,$E815)),0),0))&amp;"","-"))</f>
        <v/>
      </c>
      <c r="N815" s="68" t="str">
        <f>IF(TRIM($A815)="","",IF($O815=0,IF(COUNTIFS('Card Test Cases'!$B$4:$B$1000,$A815,'Card Test Cases'!$A$4:$A$1000,"&lt;&gt;")&gt;0,"Out of Scope","No TC"),IF($Q815&gt;0,"Failed",IF(COUNTIFS('Card Test Cases'!$B$4:$B$1000,$A815,'Card Test Cases'!$A$4:$A$1000,"&lt;&gt;",'Card Test Cases'!$F$4:$F$1000,"Blocked")&gt;0,"Blocked",IF($R815&gt;0,"In Progress","Passed")))))</f>
        <v/>
      </c>
      <c r="O815" s="68" t="str">
        <f>IF(TRIM($A815)="","",COUNTIFS('Card Test Cases'!$B$4:$B$1000,$A815,'Card Test Cases'!$A$4:$A$1000,"&lt;&gt;",'Card Test Cases'!$F$4:$F$1000,"&lt;&gt;Out of Scope"))</f>
        <v/>
      </c>
      <c r="P815" s="68" t="str">
        <f>IF(TRIM($A815)="","",COUNTIFS('Card Test Cases'!$B$4:$B$1000,$A815,'Card Test Cases'!$A$4:$A$1000,"&lt;&gt;",'Card Test Cases'!$F$4:$F$1000,"Passed"))</f>
        <v/>
      </c>
      <c r="Q815" s="68" t="str">
        <f>IF(TRIM($A815)="","",COUNTIFS('Card Test Cases'!$B$4:$B$1000,$A815,'Card Test Cases'!$A$4:$A$1000,"&lt;&gt;",'Card Test Cases'!$F$4:$F$1000,"Failed"))</f>
        <v/>
      </c>
      <c r="R815" s="68" t="str">
        <f t="shared" si="12"/>
        <v/>
      </c>
      <c r="S815" s="68" t="str" cm="1">
        <f t="array" ref="S815">IF(TRIM($A815)="","",IFERROR(_xlfn.TEXTJOIN(", ",TRUE,_xlfn.UNIQUE(_xlfn.VSTACK(_xlfn._xlws.FILTER('Card Test Cases'!$G$4:$G$1000,('Card Test Cases'!$B$4:$B$1000=$A815)*('Card Test Cases'!$G$4:$G$1000&lt;&gt;""),""),_xlfn._xlws.FILTER('E2E core flow'!$U$15:$U$1000,('E2E core flow'!$A$15:$A$1000&lt;&gt;"")*ISNUMBER(SEARCH('E2E core flow'!$A$15:$A$1000,$E815))*('E2E core flow'!$U$15:$U$1000&lt;&gt;""),"")))),"-"))</f>
        <v/>
      </c>
    </row>
    <row r="816" spans="7:19" x14ac:dyDescent="0.3">
      <c r="G816" s="68" t="str" cm="1">
        <f t="array" ref="G816">_xlfn.LET(_xlpm.ids,'E2E core flow'!$A$15:$A$1000,_xlpm.v,'E2E core flow'!$W$15:$W$1000,_xlpm.m,(_xlpm.ids&lt;&gt;"")*ISNUMBER(SEARCH(_xlpm.ids,$E816)),_xlpm.f,SUM(_xlpm.m*(_xlpm.v="Failed")),_xlpm.b,SUM(_xlpm.m*(_xlpm.v="Blocked")),_xlpm.nr,SUM(_xlpm.m*(_xlpm.v="Not Run")),_xlpm.cp,SUM(_xlpm.m*(_xlpm.v="Conditionally Passed")),_xlpm.p,SUM(_xlpm.m*(_xlpm.v="Passed")),IF(TRIM($A816)="","",IF(TRIM($E816)="","Pending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16" s="68" t="str">
        <f>IF(TRIM($A816)="","",IF($J816="Passed","",IF($J816="Passed with Known Issue","Known Issue",IF($J816="",IF(OR($H816&lt;&gt;"No",AND($F816&lt;&gt;"Medium",$F816&lt;&gt;"Low")),"Pending Result",""),IF(OR($H816&lt;&gt;"No",AND($F816&lt;&gt;"Medium",$F816&lt;&gt;"Low")),IF(COUNTIFS(Dashboard!$B$105:$B$124,$A816,Dashboard!$I$105:$I$124,"CAB")&gt;0,"Accepted (CF)","Blocking"),IF($J816="Failed","Deferrable","Carry Over"))))))</f>
        <v/>
      </c>
      <c r="M816" s="68" t="str">
        <f>IF(OR(TRIM($A816)="",TRIM($E816)=""),"",IFERROR(INDEX('E2E core flow'!$B$15:$B$1000,MATCH(1,INDEX(('E2E core flow'!$A$15:$A$1000&lt;&gt;"")*ISNUMBER(SEARCH('E2E core flow'!$A$15:$A$1000,$E816)),0),0))&amp;"","-"))</f>
        <v/>
      </c>
      <c r="N816" s="68" t="str">
        <f>IF(TRIM($A816)="","",IF($O816=0,IF(COUNTIFS('Card Test Cases'!$B$4:$B$1000,$A816,'Card Test Cases'!$A$4:$A$1000,"&lt;&gt;")&gt;0,"Out of Scope","No TC"),IF($Q816&gt;0,"Failed",IF(COUNTIFS('Card Test Cases'!$B$4:$B$1000,$A816,'Card Test Cases'!$A$4:$A$1000,"&lt;&gt;",'Card Test Cases'!$F$4:$F$1000,"Blocked")&gt;0,"Blocked",IF($R816&gt;0,"In Progress","Passed")))))</f>
        <v/>
      </c>
      <c r="O816" s="68" t="str">
        <f>IF(TRIM($A816)="","",COUNTIFS('Card Test Cases'!$B$4:$B$1000,$A816,'Card Test Cases'!$A$4:$A$1000,"&lt;&gt;",'Card Test Cases'!$F$4:$F$1000,"&lt;&gt;Out of Scope"))</f>
        <v/>
      </c>
      <c r="P816" s="68" t="str">
        <f>IF(TRIM($A816)="","",COUNTIFS('Card Test Cases'!$B$4:$B$1000,$A816,'Card Test Cases'!$A$4:$A$1000,"&lt;&gt;",'Card Test Cases'!$F$4:$F$1000,"Passed"))</f>
        <v/>
      </c>
      <c r="Q816" s="68" t="str">
        <f>IF(TRIM($A816)="","",COUNTIFS('Card Test Cases'!$B$4:$B$1000,$A816,'Card Test Cases'!$A$4:$A$1000,"&lt;&gt;",'Card Test Cases'!$F$4:$F$1000,"Failed"))</f>
        <v/>
      </c>
      <c r="R816" s="68" t="str">
        <f t="shared" si="12"/>
        <v/>
      </c>
      <c r="S816" s="68" t="str" cm="1">
        <f t="array" ref="S816">IF(TRIM($A816)="","",IFERROR(_xlfn.TEXTJOIN(", ",TRUE,_xlfn.UNIQUE(_xlfn.VSTACK(_xlfn._xlws.FILTER('Card Test Cases'!$G$4:$G$1000,('Card Test Cases'!$B$4:$B$1000=$A816)*('Card Test Cases'!$G$4:$G$1000&lt;&gt;""),""),_xlfn._xlws.FILTER('E2E core flow'!$U$15:$U$1000,('E2E core flow'!$A$15:$A$1000&lt;&gt;"")*ISNUMBER(SEARCH('E2E core flow'!$A$15:$A$1000,$E816))*('E2E core flow'!$U$15:$U$1000&lt;&gt;""),"")))),"-"))</f>
        <v/>
      </c>
    </row>
    <row r="817" spans="7:19" x14ac:dyDescent="0.3">
      <c r="G817" s="68" t="str" cm="1">
        <f t="array" ref="G817">_xlfn.LET(_xlpm.ids,'E2E core flow'!$A$15:$A$1000,_xlpm.v,'E2E core flow'!$W$15:$W$1000,_xlpm.m,(_xlpm.ids&lt;&gt;"")*ISNUMBER(SEARCH(_xlpm.ids,$E817)),_xlpm.f,SUM(_xlpm.m*(_xlpm.v="Failed")),_xlpm.b,SUM(_xlpm.m*(_xlpm.v="Blocked")),_xlpm.nr,SUM(_xlpm.m*(_xlpm.v="Not Run")),_xlpm.cp,SUM(_xlpm.m*(_xlpm.v="Conditionally Passed")),_xlpm.p,SUM(_xlpm.m*(_xlpm.v="Passed")),IF(TRIM($A817)="","",IF(TRIM($E817)="","Pending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17" s="68" t="str">
        <f>IF(TRIM($A817)="","",IF($J817="Passed","",IF($J817="Passed with Known Issue","Known Issue",IF($J817="",IF(OR($H817&lt;&gt;"No",AND($F817&lt;&gt;"Medium",$F817&lt;&gt;"Low")),"Pending Result",""),IF(OR($H817&lt;&gt;"No",AND($F817&lt;&gt;"Medium",$F817&lt;&gt;"Low")),IF(COUNTIFS(Dashboard!$B$105:$B$124,$A817,Dashboard!$I$105:$I$124,"CAB")&gt;0,"Accepted (CF)","Blocking"),IF($J817="Failed","Deferrable","Carry Over"))))))</f>
        <v/>
      </c>
      <c r="M817" s="68" t="str">
        <f>IF(OR(TRIM($A817)="",TRIM($E817)=""),"",IFERROR(INDEX('E2E core flow'!$B$15:$B$1000,MATCH(1,INDEX(('E2E core flow'!$A$15:$A$1000&lt;&gt;"")*ISNUMBER(SEARCH('E2E core flow'!$A$15:$A$1000,$E817)),0),0))&amp;"","-"))</f>
        <v/>
      </c>
      <c r="N817" s="68" t="str">
        <f>IF(TRIM($A817)="","",IF($O817=0,IF(COUNTIFS('Card Test Cases'!$B$4:$B$1000,$A817,'Card Test Cases'!$A$4:$A$1000,"&lt;&gt;")&gt;0,"Out of Scope","No TC"),IF($Q817&gt;0,"Failed",IF(COUNTIFS('Card Test Cases'!$B$4:$B$1000,$A817,'Card Test Cases'!$A$4:$A$1000,"&lt;&gt;",'Card Test Cases'!$F$4:$F$1000,"Blocked")&gt;0,"Blocked",IF($R817&gt;0,"In Progress","Passed")))))</f>
        <v/>
      </c>
      <c r="O817" s="68" t="str">
        <f>IF(TRIM($A817)="","",COUNTIFS('Card Test Cases'!$B$4:$B$1000,$A817,'Card Test Cases'!$A$4:$A$1000,"&lt;&gt;",'Card Test Cases'!$F$4:$F$1000,"&lt;&gt;Out of Scope"))</f>
        <v/>
      </c>
      <c r="P817" s="68" t="str">
        <f>IF(TRIM($A817)="","",COUNTIFS('Card Test Cases'!$B$4:$B$1000,$A817,'Card Test Cases'!$A$4:$A$1000,"&lt;&gt;",'Card Test Cases'!$F$4:$F$1000,"Passed"))</f>
        <v/>
      </c>
      <c r="Q817" s="68" t="str">
        <f>IF(TRIM($A817)="","",COUNTIFS('Card Test Cases'!$B$4:$B$1000,$A817,'Card Test Cases'!$A$4:$A$1000,"&lt;&gt;",'Card Test Cases'!$F$4:$F$1000,"Failed"))</f>
        <v/>
      </c>
      <c r="R817" s="68" t="str">
        <f t="shared" si="12"/>
        <v/>
      </c>
      <c r="S817" s="68" t="str" cm="1">
        <f t="array" ref="S817">IF(TRIM($A817)="","",IFERROR(_xlfn.TEXTJOIN(", ",TRUE,_xlfn.UNIQUE(_xlfn.VSTACK(_xlfn._xlws.FILTER('Card Test Cases'!$G$4:$G$1000,('Card Test Cases'!$B$4:$B$1000=$A817)*('Card Test Cases'!$G$4:$G$1000&lt;&gt;""),""),_xlfn._xlws.FILTER('E2E core flow'!$U$15:$U$1000,('E2E core flow'!$A$15:$A$1000&lt;&gt;"")*ISNUMBER(SEARCH('E2E core flow'!$A$15:$A$1000,$E817))*('E2E core flow'!$U$15:$U$1000&lt;&gt;""),"")))),"-"))</f>
        <v/>
      </c>
    </row>
    <row r="818" spans="7:19" x14ac:dyDescent="0.3">
      <c r="G818" s="68" t="str" cm="1">
        <f t="array" ref="G818">_xlfn.LET(_xlpm.ids,'E2E core flow'!$A$15:$A$1000,_xlpm.v,'E2E core flow'!$W$15:$W$1000,_xlpm.m,(_xlpm.ids&lt;&gt;"")*ISNUMBER(SEARCH(_xlpm.ids,$E818)),_xlpm.f,SUM(_xlpm.m*(_xlpm.v="Failed")),_xlpm.b,SUM(_xlpm.m*(_xlpm.v="Blocked")),_xlpm.nr,SUM(_xlpm.m*(_xlpm.v="Not Run")),_xlpm.cp,SUM(_xlpm.m*(_xlpm.v="Conditionally Passed")),_xlpm.p,SUM(_xlpm.m*(_xlpm.v="Passed")),IF(TRIM($A818)="","",IF(TRIM($E818)="","Pending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18" s="68" t="str">
        <f>IF(TRIM($A818)="","",IF($J818="Passed","",IF($J818="Passed with Known Issue","Known Issue",IF($J818="",IF(OR($H818&lt;&gt;"No",AND($F818&lt;&gt;"Medium",$F818&lt;&gt;"Low")),"Pending Result",""),IF(OR($H818&lt;&gt;"No",AND($F818&lt;&gt;"Medium",$F818&lt;&gt;"Low")),IF(COUNTIFS(Dashboard!$B$105:$B$124,$A818,Dashboard!$I$105:$I$124,"CAB")&gt;0,"Accepted (CF)","Blocking"),IF($J818="Failed","Deferrable","Carry Over"))))))</f>
        <v/>
      </c>
      <c r="M818" s="68" t="str">
        <f>IF(OR(TRIM($A818)="",TRIM($E818)=""),"",IFERROR(INDEX('E2E core flow'!$B$15:$B$1000,MATCH(1,INDEX(('E2E core flow'!$A$15:$A$1000&lt;&gt;"")*ISNUMBER(SEARCH('E2E core flow'!$A$15:$A$1000,$E818)),0),0))&amp;"","-"))</f>
        <v/>
      </c>
      <c r="N818" s="68" t="str">
        <f>IF(TRIM($A818)="","",IF($O818=0,IF(COUNTIFS('Card Test Cases'!$B$4:$B$1000,$A818,'Card Test Cases'!$A$4:$A$1000,"&lt;&gt;")&gt;0,"Out of Scope","No TC"),IF($Q818&gt;0,"Failed",IF(COUNTIFS('Card Test Cases'!$B$4:$B$1000,$A818,'Card Test Cases'!$A$4:$A$1000,"&lt;&gt;",'Card Test Cases'!$F$4:$F$1000,"Blocked")&gt;0,"Blocked",IF($R818&gt;0,"In Progress","Passed")))))</f>
        <v/>
      </c>
      <c r="O818" s="68" t="str">
        <f>IF(TRIM($A818)="","",COUNTIFS('Card Test Cases'!$B$4:$B$1000,$A818,'Card Test Cases'!$A$4:$A$1000,"&lt;&gt;",'Card Test Cases'!$F$4:$F$1000,"&lt;&gt;Out of Scope"))</f>
        <v/>
      </c>
      <c r="P818" s="68" t="str">
        <f>IF(TRIM($A818)="","",COUNTIFS('Card Test Cases'!$B$4:$B$1000,$A818,'Card Test Cases'!$A$4:$A$1000,"&lt;&gt;",'Card Test Cases'!$F$4:$F$1000,"Passed"))</f>
        <v/>
      </c>
      <c r="Q818" s="68" t="str">
        <f>IF(TRIM($A818)="","",COUNTIFS('Card Test Cases'!$B$4:$B$1000,$A818,'Card Test Cases'!$A$4:$A$1000,"&lt;&gt;",'Card Test Cases'!$F$4:$F$1000,"Failed"))</f>
        <v/>
      </c>
      <c r="R818" s="68" t="str">
        <f t="shared" si="12"/>
        <v/>
      </c>
      <c r="S818" s="68" t="str" cm="1">
        <f t="array" ref="S818">IF(TRIM($A818)="","",IFERROR(_xlfn.TEXTJOIN(", ",TRUE,_xlfn.UNIQUE(_xlfn.VSTACK(_xlfn._xlws.FILTER('Card Test Cases'!$G$4:$G$1000,('Card Test Cases'!$B$4:$B$1000=$A818)*('Card Test Cases'!$G$4:$G$1000&lt;&gt;""),""),_xlfn._xlws.FILTER('E2E core flow'!$U$15:$U$1000,('E2E core flow'!$A$15:$A$1000&lt;&gt;"")*ISNUMBER(SEARCH('E2E core flow'!$A$15:$A$1000,$E818))*('E2E core flow'!$U$15:$U$1000&lt;&gt;""),"")))),"-"))</f>
        <v/>
      </c>
    </row>
    <row r="819" spans="7:19" x14ac:dyDescent="0.3">
      <c r="G819" s="68" t="str" cm="1">
        <f t="array" ref="G819">_xlfn.LET(_xlpm.ids,'E2E core flow'!$A$15:$A$1000,_xlpm.v,'E2E core flow'!$W$15:$W$1000,_xlpm.m,(_xlpm.ids&lt;&gt;"")*ISNUMBER(SEARCH(_xlpm.ids,$E819)),_xlpm.f,SUM(_xlpm.m*(_xlpm.v="Failed")),_xlpm.b,SUM(_xlpm.m*(_xlpm.v="Blocked")),_xlpm.nr,SUM(_xlpm.m*(_xlpm.v="Not Run")),_xlpm.cp,SUM(_xlpm.m*(_xlpm.v="Conditionally Passed")),_xlpm.p,SUM(_xlpm.m*(_xlpm.v="Passed")),IF(TRIM($A819)="","",IF(TRIM($E819)="","Pending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19" s="68" t="str">
        <f>IF(TRIM($A819)="","",IF($J819="Passed","",IF($J819="Passed with Known Issue","Known Issue",IF($J819="",IF(OR($H819&lt;&gt;"No",AND($F819&lt;&gt;"Medium",$F819&lt;&gt;"Low")),"Pending Result",""),IF(OR($H819&lt;&gt;"No",AND($F819&lt;&gt;"Medium",$F819&lt;&gt;"Low")),IF(COUNTIFS(Dashboard!$B$105:$B$124,$A819,Dashboard!$I$105:$I$124,"CAB")&gt;0,"Accepted (CF)","Blocking"),IF($J819="Failed","Deferrable","Carry Over"))))))</f>
        <v/>
      </c>
      <c r="M819" s="68" t="str">
        <f>IF(OR(TRIM($A819)="",TRIM($E819)=""),"",IFERROR(INDEX('E2E core flow'!$B$15:$B$1000,MATCH(1,INDEX(('E2E core flow'!$A$15:$A$1000&lt;&gt;"")*ISNUMBER(SEARCH('E2E core flow'!$A$15:$A$1000,$E819)),0),0))&amp;"","-"))</f>
        <v/>
      </c>
      <c r="N819" s="68" t="str">
        <f>IF(TRIM($A819)="","",IF($O819=0,IF(COUNTIFS('Card Test Cases'!$B$4:$B$1000,$A819,'Card Test Cases'!$A$4:$A$1000,"&lt;&gt;")&gt;0,"Out of Scope","No TC"),IF($Q819&gt;0,"Failed",IF(COUNTIFS('Card Test Cases'!$B$4:$B$1000,$A819,'Card Test Cases'!$A$4:$A$1000,"&lt;&gt;",'Card Test Cases'!$F$4:$F$1000,"Blocked")&gt;0,"Blocked",IF($R819&gt;0,"In Progress","Passed")))))</f>
        <v/>
      </c>
      <c r="O819" s="68" t="str">
        <f>IF(TRIM($A819)="","",COUNTIFS('Card Test Cases'!$B$4:$B$1000,$A819,'Card Test Cases'!$A$4:$A$1000,"&lt;&gt;",'Card Test Cases'!$F$4:$F$1000,"&lt;&gt;Out of Scope"))</f>
        <v/>
      </c>
      <c r="P819" s="68" t="str">
        <f>IF(TRIM($A819)="","",COUNTIFS('Card Test Cases'!$B$4:$B$1000,$A819,'Card Test Cases'!$A$4:$A$1000,"&lt;&gt;",'Card Test Cases'!$F$4:$F$1000,"Passed"))</f>
        <v/>
      </c>
      <c r="Q819" s="68" t="str">
        <f>IF(TRIM($A819)="","",COUNTIFS('Card Test Cases'!$B$4:$B$1000,$A819,'Card Test Cases'!$A$4:$A$1000,"&lt;&gt;",'Card Test Cases'!$F$4:$F$1000,"Failed"))</f>
        <v/>
      </c>
      <c r="R819" s="68" t="str">
        <f t="shared" si="12"/>
        <v/>
      </c>
      <c r="S819" s="68" t="str" cm="1">
        <f t="array" ref="S819">IF(TRIM($A819)="","",IFERROR(_xlfn.TEXTJOIN(", ",TRUE,_xlfn.UNIQUE(_xlfn.VSTACK(_xlfn._xlws.FILTER('Card Test Cases'!$G$4:$G$1000,('Card Test Cases'!$B$4:$B$1000=$A819)*('Card Test Cases'!$G$4:$G$1000&lt;&gt;""),""),_xlfn._xlws.FILTER('E2E core flow'!$U$15:$U$1000,('E2E core flow'!$A$15:$A$1000&lt;&gt;"")*ISNUMBER(SEARCH('E2E core flow'!$A$15:$A$1000,$E819))*('E2E core flow'!$U$15:$U$1000&lt;&gt;""),"")))),"-"))</f>
        <v/>
      </c>
    </row>
    <row r="820" spans="7:19" x14ac:dyDescent="0.3">
      <c r="G820" s="68" t="str" cm="1">
        <f t="array" ref="G820">_xlfn.LET(_xlpm.ids,'E2E core flow'!$A$15:$A$1000,_xlpm.v,'E2E core flow'!$W$15:$W$1000,_xlpm.m,(_xlpm.ids&lt;&gt;"")*ISNUMBER(SEARCH(_xlpm.ids,$E820)),_xlpm.f,SUM(_xlpm.m*(_xlpm.v="Failed")),_xlpm.b,SUM(_xlpm.m*(_xlpm.v="Blocked")),_xlpm.nr,SUM(_xlpm.m*(_xlpm.v="Not Run")),_xlpm.cp,SUM(_xlpm.m*(_xlpm.v="Conditionally Passed")),_xlpm.p,SUM(_xlpm.m*(_xlpm.v="Passed")),IF(TRIM($A820)="","",IF(TRIM($E820)="","Pending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20" s="68" t="str">
        <f>IF(TRIM($A820)="","",IF($J820="Passed","",IF($J820="Passed with Known Issue","Known Issue",IF($J820="",IF(OR($H820&lt;&gt;"No",AND($F820&lt;&gt;"Medium",$F820&lt;&gt;"Low")),"Pending Result",""),IF(OR($H820&lt;&gt;"No",AND($F820&lt;&gt;"Medium",$F820&lt;&gt;"Low")),IF(COUNTIFS(Dashboard!$B$105:$B$124,$A820,Dashboard!$I$105:$I$124,"CAB")&gt;0,"Accepted (CF)","Blocking"),IF($J820="Failed","Deferrable","Carry Over"))))))</f>
        <v/>
      </c>
      <c r="M820" s="68" t="str">
        <f>IF(OR(TRIM($A820)="",TRIM($E820)=""),"",IFERROR(INDEX('E2E core flow'!$B$15:$B$1000,MATCH(1,INDEX(('E2E core flow'!$A$15:$A$1000&lt;&gt;"")*ISNUMBER(SEARCH('E2E core flow'!$A$15:$A$1000,$E820)),0),0))&amp;"","-"))</f>
        <v/>
      </c>
      <c r="N820" s="68" t="str">
        <f>IF(TRIM($A820)="","",IF($O820=0,IF(COUNTIFS('Card Test Cases'!$B$4:$B$1000,$A820,'Card Test Cases'!$A$4:$A$1000,"&lt;&gt;")&gt;0,"Out of Scope","No TC"),IF($Q820&gt;0,"Failed",IF(COUNTIFS('Card Test Cases'!$B$4:$B$1000,$A820,'Card Test Cases'!$A$4:$A$1000,"&lt;&gt;",'Card Test Cases'!$F$4:$F$1000,"Blocked")&gt;0,"Blocked",IF($R820&gt;0,"In Progress","Passed")))))</f>
        <v/>
      </c>
      <c r="O820" s="68" t="str">
        <f>IF(TRIM($A820)="","",COUNTIFS('Card Test Cases'!$B$4:$B$1000,$A820,'Card Test Cases'!$A$4:$A$1000,"&lt;&gt;",'Card Test Cases'!$F$4:$F$1000,"&lt;&gt;Out of Scope"))</f>
        <v/>
      </c>
      <c r="P820" s="68" t="str">
        <f>IF(TRIM($A820)="","",COUNTIFS('Card Test Cases'!$B$4:$B$1000,$A820,'Card Test Cases'!$A$4:$A$1000,"&lt;&gt;",'Card Test Cases'!$F$4:$F$1000,"Passed"))</f>
        <v/>
      </c>
      <c r="Q820" s="68" t="str">
        <f>IF(TRIM($A820)="","",COUNTIFS('Card Test Cases'!$B$4:$B$1000,$A820,'Card Test Cases'!$A$4:$A$1000,"&lt;&gt;",'Card Test Cases'!$F$4:$F$1000,"Failed"))</f>
        <v/>
      </c>
      <c r="R820" s="68" t="str">
        <f t="shared" si="12"/>
        <v/>
      </c>
      <c r="S820" s="68" t="str" cm="1">
        <f t="array" ref="S820">IF(TRIM($A820)="","",IFERROR(_xlfn.TEXTJOIN(", ",TRUE,_xlfn.UNIQUE(_xlfn.VSTACK(_xlfn._xlws.FILTER('Card Test Cases'!$G$4:$G$1000,('Card Test Cases'!$B$4:$B$1000=$A820)*('Card Test Cases'!$G$4:$G$1000&lt;&gt;""),""),_xlfn._xlws.FILTER('E2E core flow'!$U$15:$U$1000,('E2E core flow'!$A$15:$A$1000&lt;&gt;"")*ISNUMBER(SEARCH('E2E core flow'!$A$15:$A$1000,$E820))*('E2E core flow'!$U$15:$U$1000&lt;&gt;""),"")))),"-"))</f>
        <v/>
      </c>
    </row>
    <row r="821" spans="7:19" x14ac:dyDescent="0.3">
      <c r="G821" s="68" t="str" cm="1">
        <f t="array" ref="G821">_xlfn.LET(_xlpm.ids,'E2E core flow'!$A$15:$A$1000,_xlpm.v,'E2E core flow'!$W$15:$W$1000,_xlpm.m,(_xlpm.ids&lt;&gt;"")*ISNUMBER(SEARCH(_xlpm.ids,$E821)),_xlpm.f,SUM(_xlpm.m*(_xlpm.v="Failed")),_xlpm.b,SUM(_xlpm.m*(_xlpm.v="Blocked")),_xlpm.nr,SUM(_xlpm.m*(_xlpm.v="Not Run")),_xlpm.cp,SUM(_xlpm.m*(_xlpm.v="Conditionally Passed")),_xlpm.p,SUM(_xlpm.m*(_xlpm.v="Passed")),IF(TRIM($A821)="","",IF(TRIM($E821)="","Pending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21" s="68" t="str">
        <f>IF(TRIM($A821)="","",IF($J821="Passed","",IF($J821="Passed with Known Issue","Known Issue",IF($J821="",IF(OR($H821&lt;&gt;"No",AND($F821&lt;&gt;"Medium",$F821&lt;&gt;"Low")),"Pending Result",""),IF(OR($H821&lt;&gt;"No",AND($F821&lt;&gt;"Medium",$F821&lt;&gt;"Low")),IF(COUNTIFS(Dashboard!$B$105:$B$124,$A821,Dashboard!$I$105:$I$124,"CAB")&gt;0,"Accepted (CF)","Blocking"),IF($J821="Failed","Deferrable","Carry Over"))))))</f>
        <v/>
      </c>
      <c r="M821" s="68" t="str">
        <f>IF(OR(TRIM($A821)="",TRIM($E821)=""),"",IFERROR(INDEX('E2E core flow'!$B$15:$B$1000,MATCH(1,INDEX(('E2E core flow'!$A$15:$A$1000&lt;&gt;"")*ISNUMBER(SEARCH('E2E core flow'!$A$15:$A$1000,$E821)),0),0))&amp;"","-"))</f>
        <v/>
      </c>
      <c r="N821" s="68" t="str">
        <f>IF(TRIM($A821)="","",IF($O821=0,IF(COUNTIFS('Card Test Cases'!$B$4:$B$1000,$A821,'Card Test Cases'!$A$4:$A$1000,"&lt;&gt;")&gt;0,"Out of Scope","No TC"),IF($Q821&gt;0,"Failed",IF(COUNTIFS('Card Test Cases'!$B$4:$B$1000,$A821,'Card Test Cases'!$A$4:$A$1000,"&lt;&gt;",'Card Test Cases'!$F$4:$F$1000,"Blocked")&gt;0,"Blocked",IF($R821&gt;0,"In Progress","Passed")))))</f>
        <v/>
      </c>
      <c r="O821" s="68" t="str">
        <f>IF(TRIM($A821)="","",COUNTIFS('Card Test Cases'!$B$4:$B$1000,$A821,'Card Test Cases'!$A$4:$A$1000,"&lt;&gt;",'Card Test Cases'!$F$4:$F$1000,"&lt;&gt;Out of Scope"))</f>
        <v/>
      </c>
      <c r="P821" s="68" t="str">
        <f>IF(TRIM($A821)="","",COUNTIFS('Card Test Cases'!$B$4:$B$1000,$A821,'Card Test Cases'!$A$4:$A$1000,"&lt;&gt;",'Card Test Cases'!$F$4:$F$1000,"Passed"))</f>
        <v/>
      </c>
      <c r="Q821" s="68" t="str">
        <f>IF(TRIM($A821)="","",COUNTIFS('Card Test Cases'!$B$4:$B$1000,$A821,'Card Test Cases'!$A$4:$A$1000,"&lt;&gt;",'Card Test Cases'!$F$4:$F$1000,"Failed"))</f>
        <v/>
      </c>
      <c r="R821" s="68" t="str">
        <f t="shared" si="12"/>
        <v/>
      </c>
      <c r="S821" s="68" t="str" cm="1">
        <f t="array" ref="S821">IF(TRIM($A821)="","",IFERROR(_xlfn.TEXTJOIN(", ",TRUE,_xlfn.UNIQUE(_xlfn.VSTACK(_xlfn._xlws.FILTER('Card Test Cases'!$G$4:$G$1000,('Card Test Cases'!$B$4:$B$1000=$A821)*('Card Test Cases'!$G$4:$G$1000&lt;&gt;""),""),_xlfn._xlws.FILTER('E2E core flow'!$U$15:$U$1000,('E2E core flow'!$A$15:$A$1000&lt;&gt;"")*ISNUMBER(SEARCH('E2E core flow'!$A$15:$A$1000,$E821))*('E2E core flow'!$U$15:$U$1000&lt;&gt;""),"")))),"-"))</f>
        <v/>
      </c>
    </row>
    <row r="822" spans="7:19" x14ac:dyDescent="0.3">
      <c r="G822" s="68" t="str" cm="1">
        <f t="array" ref="G822">_xlfn.LET(_xlpm.ids,'E2E core flow'!$A$15:$A$1000,_xlpm.v,'E2E core flow'!$W$15:$W$1000,_xlpm.m,(_xlpm.ids&lt;&gt;"")*ISNUMBER(SEARCH(_xlpm.ids,$E822)),_xlpm.f,SUM(_xlpm.m*(_xlpm.v="Failed")),_xlpm.b,SUM(_xlpm.m*(_xlpm.v="Blocked")),_xlpm.nr,SUM(_xlpm.m*(_xlpm.v="Not Run")),_xlpm.cp,SUM(_xlpm.m*(_xlpm.v="Conditionally Passed")),_xlpm.p,SUM(_xlpm.m*(_xlpm.v="Passed")),IF(TRIM($A822)="","",IF(TRIM($E822)="","Pending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22" s="68" t="str">
        <f>IF(TRIM($A822)="","",IF($J822="Passed","",IF($J822="Passed with Known Issue","Known Issue",IF($J822="",IF(OR($H822&lt;&gt;"No",AND($F822&lt;&gt;"Medium",$F822&lt;&gt;"Low")),"Pending Result",""),IF(OR($H822&lt;&gt;"No",AND($F822&lt;&gt;"Medium",$F822&lt;&gt;"Low")),IF(COUNTIFS(Dashboard!$B$105:$B$124,$A822,Dashboard!$I$105:$I$124,"CAB")&gt;0,"Accepted (CF)","Blocking"),IF($J822="Failed","Deferrable","Carry Over"))))))</f>
        <v/>
      </c>
      <c r="M822" s="68" t="str">
        <f>IF(OR(TRIM($A822)="",TRIM($E822)=""),"",IFERROR(INDEX('E2E core flow'!$B$15:$B$1000,MATCH(1,INDEX(('E2E core flow'!$A$15:$A$1000&lt;&gt;"")*ISNUMBER(SEARCH('E2E core flow'!$A$15:$A$1000,$E822)),0),0))&amp;"","-"))</f>
        <v/>
      </c>
      <c r="N822" s="68" t="str">
        <f>IF(TRIM($A822)="","",IF($O822=0,IF(COUNTIFS('Card Test Cases'!$B$4:$B$1000,$A822,'Card Test Cases'!$A$4:$A$1000,"&lt;&gt;")&gt;0,"Out of Scope","No TC"),IF($Q822&gt;0,"Failed",IF(COUNTIFS('Card Test Cases'!$B$4:$B$1000,$A822,'Card Test Cases'!$A$4:$A$1000,"&lt;&gt;",'Card Test Cases'!$F$4:$F$1000,"Blocked")&gt;0,"Blocked",IF($R822&gt;0,"In Progress","Passed")))))</f>
        <v/>
      </c>
      <c r="O822" s="68" t="str">
        <f>IF(TRIM($A822)="","",COUNTIFS('Card Test Cases'!$B$4:$B$1000,$A822,'Card Test Cases'!$A$4:$A$1000,"&lt;&gt;",'Card Test Cases'!$F$4:$F$1000,"&lt;&gt;Out of Scope"))</f>
        <v/>
      </c>
      <c r="P822" s="68" t="str">
        <f>IF(TRIM($A822)="","",COUNTIFS('Card Test Cases'!$B$4:$B$1000,$A822,'Card Test Cases'!$A$4:$A$1000,"&lt;&gt;",'Card Test Cases'!$F$4:$F$1000,"Passed"))</f>
        <v/>
      </c>
      <c r="Q822" s="68" t="str">
        <f>IF(TRIM($A822)="","",COUNTIFS('Card Test Cases'!$B$4:$B$1000,$A822,'Card Test Cases'!$A$4:$A$1000,"&lt;&gt;",'Card Test Cases'!$F$4:$F$1000,"Failed"))</f>
        <v/>
      </c>
      <c r="R822" s="68" t="str">
        <f t="shared" si="12"/>
        <v/>
      </c>
      <c r="S822" s="68" t="str" cm="1">
        <f t="array" ref="S822">IF(TRIM($A822)="","",IFERROR(_xlfn.TEXTJOIN(", ",TRUE,_xlfn.UNIQUE(_xlfn.VSTACK(_xlfn._xlws.FILTER('Card Test Cases'!$G$4:$G$1000,('Card Test Cases'!$B$4:$B$1000=$A822)*('Card Test Cases'!$G$4:$G$1000&lt;&gt;""),""),_xlfn._xlws.FILTER('E2E core flow'!$U$15:$U$1000,('E2E core flow'!$A$15:$A$1000&lt;&gt;"")*ISNUMBER(SEARCH('E2E core flow'!$A$15:$A$1000,$E822))*('E2E core flow'!$U$15:$U$1000&lt;&gt;""),"")))),"-"))</f>
        <v/>
      </c>
    </row>
    <row r="823" spans="7:19" x14ac:dyDescent="0.3">
      <c r="G823" s="68" t="str" cm="1">
        <f t="array" ref="G823">_xlfn.LET(_xlpm.ids,'E2E core flow'!$A$15:$A$1000,_xlpm.v,'E2E core flow'!$W$15:$W$1000,_xlpm.m,(_xlpm.ids&lt;&gt;"")*ISNUMBER(SEARCH(_xlpm.ids,$E823)),_xlpm.f,SUM(_xlpm.m*(_xlpm.v="Failed")),_xlpm.b,SUM(_xlpm.m*(_xlpm.v="Blocked")),_xlpm.nr,SUM(_xlpm.m*(_xlpm.v="Not Run")),_xlpm.cp,SUM(_xlpm.m*(_xlpm.v="Conditionally Passed")),_xlpm.p,SUM(_xlpm.m*(_xlpm.v="Passed")),IF(TRIM($A823)="","",IF(TRIM($E823)="","Pending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23" s="68" t="str">
        <f>IF(TRIM($A823)="","",IF($J823="Passed","",IF($J823="Passed with Known Issue","Known Issue",IF($J823="",IF(OR($H823&lt;&gt;"No",AND($F823&lt;&gt;"Medium",$F823&lt;&gt;"Low")),"Pending Result",""),IF(OR($H823&lt;&gt;"No",AND($F823&lt;&gt;"Medium",$F823&lt;&gt;"Low")),IF(COUNTIFS(Dashboard!$B$105:$B$124,$A823,Dashboard!$I$105:$I$124,"CAB")&gt;0,"Accepted (CF)","Blocking"),IF($J823="Failed","Deferrable","Carry Over"))))))</f>
        <v/>
      </c>
      <c r="M823" s="68" t="str">
        <f>IF(OR(TRIM($A823)="",TRIM($E823)=""),"",IFERROR(INDEX('E2E core flow'!$B$15:$B$1000,MATCH(1,INDEX(('E2E core flow'!$A$15:$A$1000&lt;&gt;"")*ISNUMBER(SEARCH('E2E core flow'!$A$15:$A$1000,$E823)),0),0))&amp;"","-"))</f>
        <v/>
      </c>
      <c r="N823" s="68" t="str">
        <f>IF(TRIM($A823)="","",IF($O823=0,IF(COUNTIFS('Card Test Cases'!$B$4:$B$1000,$A823,'Card Test Cases'!$A$4:$A$1000,"&lt;&gt;")&gt;0,"Out of Scope","No TC"),IF($Q823&gt;0,"Failed",IF(COUNTIFS('Card Test Cases'!$B$4:$B$1000,$A823,'Card Test Cases'!$A$4:$A$1000,"&lt;&gt;",'Card Test Cases'!$F$4:$F$1000,"Blocked")&gt;0,"Blocked",IF($R823&gt;0,"In Progress","Passed")))))</f>
        <v/>
      </c>
      <c r="O823" s="68" t="str">
        <f>IF(TRIM($A823)="","",COUNTIFS('Card Test Cases'!$B$4:$B$1000,$A823,'Card Test Cases'!$A$4:$A$1000,"&lt;&gt;",'Card Test Cases'!$F$4:$F$1000,"&lt;&gt;Out of Scope"))</f>
        <v/>
      </c>
      <c r="P823" s="68" t="str">
        <f>IF(TRIM($A823)="","",COUNTIFS('Card Test Cases'!$B$4:$B$1000,$A823,'Card Test Cases'!$A$4:$A$1000,"&lt;&gt;",'Card Test Cases'!$F$4:$F$1000,"Passed"))</f>
        <v/>
      </c>
      <c r="Q823" s="68" t="str">
        <f>IF(TRIM($A823)="","",COUNTIFS('Card Test Cases'!$B$4:$B$1000,$A823,'Card Test Cases'!$A$4:$A$1000,"&lt;&gt;",'Card Test Cases'!$F$4:$F$1000,"Failed"))</f>
        <v/>
      </c>
      <c r="R823" s="68" t="str">
        <f t="shared" si="12"/>
        <v/>
      </c>
      <c r="S823" s="68" t="str" cm="1">
        <f t="array" ref="S823">IF(TRIM($A823)="","",IFERROR(_xlfn.TEXTJOIN(", ",TRUE,_xlfn.UNIQUE(_xlfn.VSTACK(_xlfn._xlws.FILTER('Card Test Cases'!$G$4:$G$1000,('Card Test Cases'!$B$4:$B$1000=$A823)*('Card Test Cases'!$G$4:$G$1000&lt;&gt;""),""),_xlfn._xlws.FILTER('E2E core flow'!$U$15:$U$1000,('E2E core flow'!$A$15:$A$1000&lt;&gt;"")*ISNUMBER(SEARCH('E2E core flow'!$A$15:$A$1000,$E823))*('E2E core flow'!$U$15:$U$1000&lt;&gt;""),"")))),"-"))</f>
        <v/>
      </c>
    </row>
    <row r="824" spans="7:19" x14ac:dyDescent="0.3">
      <c r="G824" s="68" t="str" cm="1">
        <f t="array" ref="G824">_xlfn.LET(_xlpm.ids,'E2E core flow'!$A$15:$A$1000,_xlpm.v,'E2E core flow'!$W$15:$W$1000,_xlpm.m,(_xlpm.ids&lt;&gt;"")*ISNUMBER(SEARCH(_xlpm.ids,$E824)),_xlpm.f,SUM(_xlpm.m*(_xlpm.v="Failed")),_xlpm.b,SUM(_xlpm.m*(_xlpm.v="Blocked")),_xlpm.nr,SUM(_xlpm.m*(_xlpm.v="Not Run")),_xlpm.cp,SUM(_xlpm.m*(_xlpm.v="Conditionally Passed")),_xlpm.p,SUM(_xlpm.m*(_xlpm.v="Passed")),IF(TRIM($A824)="","",IF(TRIM($E824)="","Pending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24" s="68" t="str">
        <f>IF(TRIM($A824)="","",IF($J824="Passed","",IF($J824="Passed with Known Issue","Known Issue",IF($J824="",IF(OR($H824&lt;&gt;"No",AND($F824&lt;&gt;"Medium",$F824&lt;&gt;"Low")),"Pending Result",""),IF(OR($H824&lt;&gt;"No",AND($F824&lt;&gt;"Medium",$F824&lt;&gt;"Low")),IF(COUNTIFS(Dashboard!$B$105:$B$124,$A824,Dashboard!$I$105:$I$124,"CAB")&gt;0,"Accepted (CF)","Blocking"),IF($J824="Failed","Deferrable","Carry Over"))))))</f>
        <v/>
      </c>
      <c r="M824" s="68" t="str">
        <f>IF(OR(TRIM($A824)="",TRIM($E824)=""),"",IFERROR(INDEX('E2E core flow'!$B$15:$B$1000,MATCH(1,INDEX(('E2E core flow'!$A$15:$A$1000&lt;&gt;"")*ISNUMBER(SEARCH('E2E core flow'!$A$15:$A$1000,$E824)),0),0))&amp;"","-"))</f>
        <v/>
      </c>
      <c r="N824" s="68" t="str">
        <f>IF(TRIM($A824)="","",IF($O824=0,IF(COUNTIFS('Card Test Cases'!$B$4:$B$1000,$A824,'Card Test Cases'!$A$4:$A$1000,"&lt;&gt;")&gt;0,"Out of Scope","No TC"),IF($Q824&gt;0,"Failed",IF(COUNTIFS('Card Test Cases'!$B$4:$B$1000,$A824,'Card Test Cases'!$A$4:$A$1000,"&lt;&gt;",'Card Test Cases'!$F$4:$F$1000,"Blocked")&gt;0,"Blocked",IF($R824&gt;0,"In Progress","Passed")))))</f>
        <v/>
      </c>
      <c r="O824" s="68" t="str">
        <f>IF(TRIM($A824)="","",COUNTIFS('Card Test Cases'!$B$4:$B$1000,$A824,'Card Test Cases'!$A$4:$A$1000,"&lt;&gt;",'Card Test Cases'!$F$4:$F$1000,"&lt;&gt;Out of Scope"))</f>
        <v/>
      </c>
      <c r="P824" s="68" t="str">
        <f>IF(TRIM($A824)="","",COUNTIFS('Card Test Cases'!$B$4:$B$1000,$A824,'Card Test Cases'!$A$4:$A$1000,"&lt;&gt;",'Card Test Cases'!$F$4:$F$1000,"Passed"))</f>
        <v/>
      </c>
      <c r="Q824" s="68" t="str">
        <f>IF(TRIM($A824)="","",COUNTIFS('Card Test Cases'!$B$4:$B$1000,$A824,'Card Test Cases'!$A$4:$A$1000,"&lt;&gt;",'Card Test Cases'!$F$4:$F$1000,"Failed"))</f>
        <v/>
      </c>
      <c r="R824" s="68" t="str">
        <f t="shared" si="12"/>
        <v/>
      </c>
      <c r="S824" s="68" t="str" cm="1">
        <f t="array" ref="S824">IF(TRIM($A824)="","",IFERROR(_xlfn.TEXTJOIN(", ",TRUE,_xlfn.UNIQUE(_xlfn.VSTACK(_xlfn._xlws.FILTER('Card Test Cases'!$G$4:$G$1000,('Card Test Cases'!$B$4:$B$1000=$A824)*('Card Test Cases'!$G$4:$G$1000&lt;&gt;""),""),_xlfn._xlws.FILTER('E2E core flow'!$U$15:$U$1000,('E2E core flow'!$A$15:$A$1000&lt;&gt;"")*ISNUMBER(SEARCH('E2E core flow'!$A$15:$A$1000,$E824))*('E2E core flow'!$U$15:$U$1000&lt;&gt;""),"")))),"-"))</f>
        <v/>
      </c>
    </row>
    <row r="825" spans="7:19" x14ac:dyDescent="0.3">
      <c r="G825" s="68" t="str" cm="1">
        <f t="array" ref="G825">_xlfn.LET(_xlpm.ids,'E2E core flow'!$A$15:$A$1000,_xlpm.v,'E2E core flow'!$W$15:$W$1000,_xlpm.m,(_xlpm.ids&lt;&gt;"")*ISNUMBER(SEARCH(_xlpm.ids,$E825)),_xlpm.f,SUM(_xlpm.m*(_xlpm.v="Failed")),_xlpm.b,SUM(_xlpm.m*(_xlpm.v="Blocked")),_xlpm.nr,SUM(_xlpm.m*(_xlpm.v="Not Run")),_xlpm.cp,SUM(_xlpm.m*(_xlpm.v="Conditionally Passed")),_xlpm.p,SUM(_xlpm.m*(_xlpm.v="Passed")),IF(TRIM($A825)="","",IF(TRIM($E825)="","Pending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25" s="68" t="str">
        <f>IF(TRIM($A825)="","",IF($J825="Passed","",IF($J825="Passed with Known Issue","Known Issue",IF($J825="",IF(OR($H825&lt;&gt;"No",AND($F825&lt;&gt;"Medium",$F825&lt;&gt;"Low")),"Pending Result",""),IF(OR($H825&lt;&gt;"No",AND($F825&lt;&gt;"Medium",$F825&lt;&gt;"Low")),IF(COUNTIFS(Dashboard!$B$105:$B$124,$A825,Dashboard!$I$105:$I$124,"CAB")&gt;0,"Accepted (CF)","Blocking"),IF($J825="Failed","Deferrable","Carry Over"))))))</f>
        <v/>
      </c>
      <c r="M825" s="68" t="str">
        <f>IF(OR(TRIM($A825)="",TRIM($E825)=""),"",IFERROR(INDEX('E2E core flow'!$B$15:$B$1000,MATCH(1,INDEX(('E2E core flow'!$A$15:$A$1000&lt;&gt;"")*ISNUMBER(SEARCH('E2E core flow'!$A$15:$A$1000,$E825)),0),0))&amp;"","-"))</f>
        <v/>
      </c>
      <c r="N825" s="68" t="str">
        <f>IF(TRIM($A825)="","",IF($O825=0,IF(COUNTIFS('Card Test Cases'!$B$4:$B$1000,$A825,'Card Test Cases'!$A$4:$A$1000,"&lt;&gt;")&gt;0,"Out of Scope","No TC"),IF($Q825&gt;0,"Failed",IF(COUNTIFS('Card Test Cases'!$B$4:$B$1000,$A825,'Card Test Cases'!$A$4:$A$1000,"&lt;&gt;",'Card Test Cases'!$F$4:$F$1000,"Blocked")&gt;0,"Blocked",IF($R825&gt;0,"In Progress","Passed")))))</f>
        <v/>
      </c>
      <c r="O825" s="68" t="str">
        <f>IF(TRIM($A825)="","",COUNTIFS('Card Test Cases'!$B$4:$B$1000,$A825,'Card Test Cases'!$A$4:$A$1000,"&lt;&gt;",'Card Test Cases'!$F$4:$F$1000,"&lt;&gt;Out of Scope"))</f>
        <v/>
      </c>
      <c r="P825" s="68" t="str">
        <f>IF(TRIM($A825)="","",COUNTIFS('Card Test Cases'!$B$4:$B$1000,$A825,'Card Test Cases'!$A$4:$A$1000,"&lt;&gt;",'Card Test Cases'!$F$4:$F$1000,"Passed"))</f>
        <v/>
      </c>
      <c r="Q825" s="68" t="str">
        <f>IF(TRIM($A825)="","",COUNTIFS('Card Test Cases'!$B$4:$B$1000,$A825,'Card Test Cases'!$A$4:$A$1000,"&lt;&gt;",'Card Test Cases'!$F$4:$F$1000,"Failed"))</f>
        <v/>
      </c>
      <c r="R825" s="68" t="str">
        <f t="shared" si="12"/>
        <v/>
      </c>
      <c r="S825" s="68" t="str" cm="1">
        <f t="array" ref="S825">IF(TRIM($A825)="","",IFERROR(_xlfn.TEXTJOIN(", ",TRUE,_xlfn.UNIQUE(_xlfn.VSTACK(_xlfn._xlws.FILTER('Card Test Cases'!$G$4:$G$1000,('Card Test Cases'!$B$4:$B$1000=$A825)*('Card Test Cases'!$G$4:$G$1000&lt;&gt;""),""),_xlfn._xlws.FILTER('E2E core flow'!$U$15:$U$1000,('E2E core flow'!$A$15:$A$1000&lt;&gt;"")*ISNUMBER(SEARCH('E2E core flow'!$A$15:$A$1000,$E825))*('E2E core flow'!$U$15:$U$1000&lt;&gt;""),"")))),"-"))</f>
        <v/>
      </c>
    </row>
    <row r="826" spans="7:19" x14ac:dyDescent="0.3">
      <c r="G826" s="68" t="str" cm="1">
        <f t="array" ref="G826">_xlfn.LET(_xlpm.ids,'E2E core flow'!$A$15:$A$1000,_xlpm.v,'E2E core flow'!$W$15:$W$1000,_xlpm.m,(_xlpm.ids&lt;&gt;"")*ISNUMBER(SEARCH(_xlpm.ids,$E826)),_xlpm.f,SUM(_xlpm.m*(_xlpm.v="Failed")),_xlpm.b,SUM(_xlpm.m*(_xlpm.v="Blocked")),_xlpm.nr,SUM(_xlpm.m*(_xlpm.v="Not Run")),_xlpm.cp,SUM(_xlpm.m*(_xlpm.v="Conditionally Passed")),_xlpm.p,SUM(_xlpm.m*(_xlpm.v="Passed")),IF(TRIM($A826)="","",IF(TRIM($E826)="","Pending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26" s="68" t="str">
        <f>IF(TRIM($A826)="","",IF($J826="Passed","",IF($J826="Passed with Known Issue","Known Issue",IF($J826="",IF(OR($H826&lt;&gt;"No",AND($F826&lt;&gt;"Medium",$F826&lt;&gt;"Low")),"Pending Result",""),IF(OR($H826&lt;&gt;"No",AND($F826&lt;&gt;"Medium",$F826&lt;&gt;"Low")),IF(COUNTIFS(Dashboard!$B$105:$B$124,$A826,Dashboard!$I$105:$I$124,"CAB")&gt;0,"Accepted (CF)","Blocking"),IF($J826="Failed","Deferrable","Carry Over"))))))</f>
        <v/>
      </c>
      <c r="M826" s="68" t="str">
        <f>IF(OR(TRIM($A826)="",TRIM($E826)=""),"",IFERROR(INDEX('E2E core flow'!$B$15:$B$1000,MATCH(1,INDEX(('E2E core flow'!$A$15:$A$1000&lt;&gt;"")*ISNUMBER(SEARCH('E2E core flow'!$A$15:$A$1000,$E826)),0),0))&amp;"","-"))</f>
        <v/>
      </c>
      <c r="N826" s="68" t="str">
        <f>IF(TRIM($A826)="","",IF($O826=0,IF(COUNTIFS('Card Test Cases'!$B$4:$B$1000,$A826,'Card Test Cases'!$A$4:$A$1000,"&lt;&gt;")&gt;0,"Out of Scope","No TC"),IF($Q826&gt;0,"Failed",IF(COUNTIFS('Card Test Cases'!$B$4:$B$1000,$A826,'Card Test Cases'!$A$4:$A$1000,"&lt;&gt;",'Card Test Cases'!$F$4:$F$1000,"Blocked")&gt;0,"Blocked",IF($R826&gt;0,"In Progress","Passed")))))</f>
        <v/>
      </c>
      <c r="O826" s="68" t="str">
        <f>IF(TRIM($A826)="","",COUNTIFS('Card Test Cases'!$B$4:$B$1000,$A826,'Card Test Cases'!$A$4:$A$1000,"&lt;&gt;",'Card Test Cases'!$F$4:$F$1000,"&lt;&gt;Out of Scope"))</f>
        <v/>
      </c>
      <c r="P826" s="68" t="str">
        <f>IF(TRIM($A826)="","",COUNTIFS('Card Test Cases'!$B$4:$B$1000,$A826,'Card Test Cases'!$A$4:$A$1000,"&lt;&gt;",'Card Test Cases'!$F$4:$F$1000,"Passed"))</f>
        <v/>
      </c>
      <c r="Q826" s="68" t="str">
        <f>IF(TRIM($A826)="","",COUNTIFS('Card Test Cases'!$B$4:$B$1000,$A826,'Card Test Cases'!$A$4:$A$1000,"&lt;&gt;",'Card Test Cases'!$F$4:$F$1000,"Failed"))</f>
        <v/>
      </c>
      <c r="R826" s="68" t="str">
        <f t="shared" si="12"/>
        <v/>
      </c>
      <c r="S826" s="68" t="str" cm="1">
        <f t="array" ref="S826">IF(TRIM($A826)="","",IFERROR(_xlfn.TEXTJOIN(", ",TRUE,_xlfn.UNIQUE(_xlfn.VSTACK(_xlfn._xlws.FILTER('Card Test Cases'!$G$4:$G$1000,('Card Test Cases'!$B$4:$B$1000=$A826)*('Card Test Cases'!$G$4:$G$1000&lt;&gt;""),""),_xlfn._xlws.FILTER('E2E core flow'!$U$15:$U$1000,('E2E core flow'!$A$15:$A$1000&lt;&gt;"")*ISNUMBER(SEARCH('E2E core flow'!$A$15:$A$1000,$E826))*('E2E core flow'!$U$15:$U$1000&lt;&gt;""),"")))),"-"))</f>
        <v/>
      </c>
    </row>
    <row r="827" spans="7:19" x14ac:dyDescent="0.3">
      <c r="G827" s="68" t="str" cm="1">
        <f t="array" ref="G827">_xlfn.LET(_xlpm.ids,'E2E core flow'!$A$15:$A$1000,_xlpm.v,'E2E core flow'!$W$15:$W$1000,_xlpm.m,(_xlpm.ids&lt;&gt;"")*ISNUMBER(SEARCH(_xlpm.ids,$E827)),_xlpm.f,SUM(_xlpm.m*(_xlpm.v="Failed")),_xlpm.b,SUM(_xlpm.m*(_xlpm.v="Blocked")),_xlpm.nr,SUM(_xlpm.m*(_xlpm.v="Not Run")),_xlpm.cp,SUM(_xlpm.m*(_xlpm.v="Conditionally Passed")),_xlpm.p,SUM(_xlpm.m*(_xlpm.v="Passed")),IF(TRIM($A827)="","",IF(TRIM($E827)="","Pending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27" s="68" t="str">
        <f>IF(TRIM($A827)="","",IF($J827="Passed","",IF($J827="Passed with Known Issue","Known Issue",IF($J827="",IF(OR($H827&lt;&gt;"No",AND($F827&lt;&gt;"Medium",$F827&lt;&gt;"Low")),"Pending Result",""),IF(OR($H827&lt;&gt;"No",AND($F827&lt;&gt;"Medium",$F827&lt;&gt;"Low")),IF(COUNTIFS(Dashboard!$B$105:$B$124,$A827,Dashboard!$I$105:$I$124,"CAB")&gt;0,"Accepted (CF)","Blocking"),IF($J827="Failed","Deferrable","Carry Over"))))))</f>
        <v/>
      </c>
      <c r="M827" s="68" t="str">
        <f>IF(OR(TRIM($A827)="",TRIM($E827)=""),"",IFERROR(INDEX('E2E core flow'!$B$15:$B$1000,MATCH(1,INDEX(('E2E core flow'!$A$15:$A$1000&lt;&gt;"")*ISNUMBER(SEARCH('E2E core flow'!$A$15:$A$1000,$E827)),0),0))&amp;"","-"))</f>
        <v/>
      </c>
      <c r="N827" s="68" t="str">
        <f>IF(TRIM($A827)="","",IF($O827=0,IF(COUNTIFS('Card Test Cases'!$B$4:$B$1000,$A827,'Card Test Cases'!$A$4:$A$1000,"&lt;&gt;")&gt;0,"Out of Scope","No TC"),IF($Q827&gt;0,"Failed",IF(COUNTIFS('Card Test Cases'!$B$4:$B$1000,$A827,'Card Test Cases'!$A$4:$A$1000,"&lt;&gt;",'Card Test Cases'!$F$4:$F$1000,"Blocked")&gt;0,"Blocked",IF($R827&gt;0,"In Progress","Passed")))))</f>
        <v/>
      </c>
      <c r="O827" s="68" t="str">
        <f>IF(TRIM($A827)="","",COUNTIFS('Card Test Cases'!$B$4:$B$1000,$A827,'Card Test Cases'!$A$4:$A$1000,"&lt;&gt;",'Card Test Cases'!$F$4:$F$1000,"&lt;&gt;Out of Scope"))</f>
        <v/>
      </c>
      <c r="P827" s="68" t="str">
        <f>IF(TRIM($A827)="","",COUNTIFS('Card Test Cases'!$B$4:$B$1000,$A827,'Card Test Cases'!$A$4:$A$1000,"&lt;&gt;",'Card Test Cases'!$F$4:$F$1000,"Passed"))</f>
        <v/>
      </c>
      <c r="Q827" s="68" t="str">
        <f>IF(TRIM($A827)="","",COUNTIFS('Card Test Cases'!$B$4:$B$1000,$A827,'Card Test Cases'!$A$4:$A$1000,"&lt;&gt;",'Card Test Cases'!$F$4:$F$1000,"Failed"))</f>
        <v/>
      </c>
      <c r="R827" s="68" t="str">
        <f t="shared" si="12"/>
        <v/>
      </c>
      <c r="S827" s="68" t="str" cm="1">
        <f t="array" ref="S827">IF(TRIM($A827)="","",IFERROR(_xlfn.TEXTJOIN(", ",TRUE,_xlfn.UNIQUE(_xlfn.VSTACK(_xlfn._xlws.FILTER('Card Test Cases'!$G$4:$G$1000,('Card Test Cases'!$B$4:$B$1000=$A827)*('Card Test Cases'!$G$4:$G$1000&lt;&gt;""),""),_xlfn._xlws.FILTER('E2E core flow'!$U$15:$U$1000,('E2E core flow'!$A$15:$A$1000&lt;&gt;"")*ISNUMBER(SEARCH('E2E core flow'!$A$15:$A$1000,$E827))*('E2E core flow'!$U$15:$U$1000&lt;&gt;""),"")))),"-"))</f>
        <v/>
      </c>
    </row>
    <row r="828" spans="7:19" x14ac:dyDescent="0.3">
      <c r="G828" s="68" t="str" cm="1">
        <f t="array" ref="G828">_xlfn.LET(_xlpm.ids,'E2E core flow'!$A$15:$A$1000,_xlpm.v,'E2E core flow'!$W$15:$W$1000,_xlpm.m,(_xlpm.ids&lt;&gt;"")*ISNUMBER(SEARCH(_xlpm.ids,$E828)),_xlpm.f,SUM(_xlpm.m*(_xlpm.v="Failed")),_xlpm.b,SUM(_xlpm.m*(_xlpm.v="Blocked")),_xlpm.nr,SUM(_xlpm.m*(_xlpm.v="Not Run")),_xlpm.cp,SUM(_xlpm.m*(_xlpm.v="Conditionally Passed")),_xlpm.p,SUM(_xlpm.m*(_xlpm.v="Passed")),IF(TRIM($A828)="","",IF(TRIM($E828)="","Pending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28" s="68" t="str">
        <f>IF(TRIM($A828)="","",IF($J828="Passed","",IF($J828="Passed with Known Issue","Known Issue",IF($J828="",IF(OR($H828&lt;&gt;"No",AND($F828&lt;&gt;"Medium",$F828&lt;&gt;"Low")),"Pending Result",""),IF(OR($H828&lt;&gt;"No",AND($F828&lt;&gt;"Medium",$F828&lt;&gt;"Low")),IF(COUNTIFS(Dashboard!$B$105:$B$124,$A828,Dashboard!$I$105:$I$124,"CAB")&gt;0,"Accepted (CF)","Blocking"),IF($J828="Failed","Deferrable","Carry Over"))))))</f>
        <v/>
      </c>
      <c r="M828" s="68" t="str">
        <f>IF(OR(TRIM($A828)="",TRIM($E828)=""),"",IFERROR(INDEX('E2E core flow'!$B$15:$B$1000,MATCH(1,INDEX(('E2E core flow'!$A$15:$A$1000&lt;&gt;"")*ISNUMBER(SEARCH('E2E core flow'!$A$15:$A$1000,$E828)),0),0))&amp;"","-"))</f>
        <v/>
      </c>
      <c r="N828" s="68" t="str">
        <f>IF(TRIM($A828)="","",IF($O828=0,IF(COUNTIFS('Card Test Cases'!$B$4:$B$1000,$A828,'Card Test Cases'!$A$4:$A$1000,"&lt;&gt;")&gt;0,"Out of Scope","No TC"),IF($Q828&gt;0,"Failed",IF(COUNTIFS('Card Test Cases'!$B$4:$B$1000,$A828,'Card Test Cases'!$A$4:$A$1000,"&lt;&gt;",'Card Test Cases'!$F$4:$F$1000,"Blocked")&gt;0,"Blocked",IF($R828&gt;0,"In Progress","Passed")))))</f>
        <v/>
      </c>
      <c r="O828" s="68" t="str">
        <f>IF(TRIM($A828)="","",COUNTIFS('Card Test Cases'!$B$4:$B$1000,$A828,'Card Test Cases'!$A$4:$A$1000,"&lt;&gt;",'Card Test Cases'!$F$4:$F$1000,"&lt;&gt;Out of Scope"))</f>
        <v/>
      </c>
      <c r="P828" s="68" t="str">
        <f>IF(TRIM($A828)="","",COUNTIFS('Card Test Cases'!$B$4:$B$1000,$A828,'Card Test Cases'!$A$4:$A$1000,"&lt;&gt;",'Card Test Cases'!$F$4:$F$1000,"Passed"))</f>
        <v/>
      </c>
      <c r="Q828" s="68" t="str">
        <f>IF(TRIM($A828)="","",COUNTIFS('Card Test Cases'!$B$4:$B$1000,$A828,'Card Test Cases'!$A$4:$A$1000,"&lt;&gt;",'Card Test Cases'!$F$4:$F$1000,"Failed"))</f>
        <v/>
      </c>
      <c r="R828" s="68" t="str">
        <f t="shared" si="12"/>
        <v/>
      </c>
      <c r="S828" s="68" t="str" cm="1">
        <f t="array" ref="S828">IF(TRIM($A828)="","",IFERROR(_xlfn.TEXTJOIN(", ",TRUE,_xlfn.UNIQUE(_xlfn.VSTACK(_xlfn._xlws.FILTER('Card Test Cases'!$G$4:$G$1000,('Card Test Cases'!$B$4:$B$1000=$A828)*('Card Test Cases'!$G$4:$G$1000&lt;&gt;""),""),_xlfn._xlws.FILTER('E2E core flow'!$U$15:$U$1000,('E2E core flow'!$A$15:$A$1000&lt;&gt;"")*ISNUMBER(SEARCH('E2E core flow'!$A$15:$A$1000,$E828))*('E2E core flow'!$U$15:$U$1000&lt;&gt;""),"")))),"-"))</f>
        <v/>
      </c>
    </row>
    <row r="829" spans="7:19" x14ac:dyDescent="0.3">
      <c r="G829" s="68" t="str" cm="1">
        <f t="array" ref="G829">_xlfn.LET(_xlpm.ids,'E2E core flow'!$A$15:$A$1000,_xlpm.v,'E2E core flow'!$W$15:$W$1000,_xlpm.m,(_xlpm.ids&lt;&gt;"")*ISNUMBER(SEARCH(_xlpm.ids,$E829)),_xlpm.f,SUM(_xlpm.m*(_xlpm.v="Failed")),_xlpm.b,SUM(_xlpm.m*(_xlpm.v="Blocked")),_xlpm.nr,SUM(_xlpm.m*(_xlpm.v="Not Run")),_xlpm.cp,SUM(_xlpm.m*(_xlpm.v="Conditionally Passed")),_xlpm.p,SUM(_xlpm.m*(_xlpm.v="Passed")),IF(TRIM($A829)="","",IF(TRIM($E829)="","Pending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29" s="68" t="str">
        <f>IF(TRIM($A829)="","",IF($J829="Passed","",IF($J829="Passed with Known Issue","Known Issue",IF($J829="",IF(OR($H829&lt;&gt;"No",AND($F829&lt;&gt;"Medium",$F829&lt;&gt;"Low")),"Pending Result",""),IF(OR($H829&lt;&gt;"No",AND($F829&lt;&gt;"Medium",$F829&lt;&gt;"Low")),IF(COUNTIFS(Dashboard!$B$105:$B$124,$A829,Dashboard!$I$105:$I$124,"CAB")&gt;0,"Accepted (CF)","Blocking"),IF($J829="Failed","Deferrable","Carry Over"))))))</f>
        <v/>
      </c>
      <c r="M829" s="68" t="str">
        <f>IF(OR(TRIM($A829)="",TRIM($E829)=""),"",IFERROR(INDEX('E2E core flow'!$B$15:$B$1000,MATCH(1,INDEX(('E2E core flow'!$A$15:$A$1000&lt;&gt;"")*ISNUMBER(SEARCH('E2E core flow'!$A$15:$A$1000,$E829)),0),0))&amp;"","-"))</f>
        <v/>
      </c>
      <c r="N829" s="68" t="str">
        <f>IF(TRIM($A829)="","",IF($O829=0,IF(COUNTIFS('Card Test Cases'!$B$4:$B$1000,$A829,'Card Test Cases'!$A$4:$A$1000,"&lt;&gt;")&gt;0,"Out of Scope","No TC"),IF($Q829&gt;0,"Failed",IF(COUNTIFS('Card Test Cases'!$B$4:$B$1000,$A829,'Card Test Cases'!$A$4:$A$1000,"&lt;&gt;",'Card Test Cases'!$F$4:$F$1000,"Blocked")&gt;0,"Blocked",IF($R829&gt;0,"In Progress","Passed")))))</f>
        <v/>
      </c>
      <c r="O829" s="68" t="str">
        <f>IF(TRIM($A829)="","",COUNTIFS('Card Test Cases'!$B$4:$B$1000,$A829,'Card Test Cases'!$A$4:$A$1000,"&lt;&gt;",'Card Test Cases'!$F$4:$F$1000,"&lt;&gt;Out of Scope"))</f>
        <v/>
      </c>
      <c r="P829" s="68" t="str">
        <f>IF(TRIM($A829)="","",COUNTIFS('Card Test Cases'!$B$4:$B$1000,$A829,'Card Test Cases'!$A$4:$A$1000,"&lt;&gt;",'Card Test Cases'!$F$4:$F$1000,"Passed"))</f>
        <v/>
      </c>
      <c r="Q829" s="68" t="str">
        <f>IF(TRIM($A829)="","",COUNTIFS('Card Test Cases'!$B$4:$B$1000,$A829,'Card Test Cases'!$A$4:$A$1000,"&lt;&gt;",'Card Test Cases'!$F$4:$F$1000,"Failed"))</f>
        <v/>
      </c>
      <c r="R829" s="68" t="str">
        <f t="shared" si="12"/>
        <v/>
      </c>
      <c r="S829" s="68" t="str" cm="1">
        <f t="array" ref="S829">IF(TRIM($A829)="","",IFERROR(_xlfn.TEXTJOIN(", ",TRUE,_xlfn.UNIQUE(_xlfn.VSTACK(_xlfn._xlws.FILTER('Card Test Cases'!$G$4:$G$1000,('Card Test Cases'!$B$4:$B$1000=$A829)*('Card Test Cases'!$G$4:$G$1000&lt;&gt;""),""),_xlfn._xlws.FILTER('E2E core flow'!$U$15:$U$1000,('E2E core flow'!$A$15:$A$1000&lt;&gt;"")*ISNUMBER(SEARCH('E2E core flow'!$A$15:$A$1000,$E829))*('E2E core flow'!$U$15:$U$1000&lt;&gt;""),"")))),"-"))</f>
        <v/>
      </c>
    </row>
    <row r="830" spans="7:19" x14ac:dyDescent="0.3">
      <c r="G830" s="68" t="str" cm="1">
        <f t="array" ref="G830">_xlfn.LET(_xlpm.ids,'E2E core flow'!$A$15:$A$1000,_xlpm.v,'E2E core flow'!$W$15:$W$1000,_xlpm.m,(_xlpm.ids&lt;&gt;"")*ISNUMBER(SEARCH(_xlpm.ids,$E830)),_xlpm.f,SUM(_xlpm.m*(_xlpm.v="Failed")),_xlpm.b,SUM(_xlpm.m*(_xlpm.v="Blocked")),_xlpm.nr,SUM(_xlpm.m*(_xlpm.v="Not Run")),_xlpm.cp,SUM(_xlpm.m*(_xlpm.v="Conditionally Passed")),_xlpm.p,SUM(_xlpm.m*(_xlpm.v="Passed")),IF(TRIM($A830)="","",IF(TRIM($E830)="","Pending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30" s="68" t="str">
        <f>IF(TRIM($A830)="","",IF($J830="Passed","",IF($J830="Passed with Known Issue","Known Issue",IF($J830="",IF(OR($H830&lt;&gt;"No",AND($F830&lt;&gt;"Medium",$F830&lt;&gt;"Low")),"Pending Result",""),IF(OR($H830&lt;&gt;"No",AND($F830&lt;&gt;"Medium",$F830&lt;&gt;"Low")),IF(COUNTIFS(Dashboard!$B$105:$B$124,$A830,Dashboard!$I$105:$I$124,"CAB")&gt;0,"Accepted (CF)","Blocking"),IF($J830="Failed","Deferrable","Carry Over"))))))</f>
        <v/>
      </c>
      <c r="M830" s="68" t="str">
        <f>IF(OR(TRIM($A830)="",TRIM($E830)=""),"",IFERROR(INDEX('E2E core flow'!$B$15:$B$1000,MATCH(1,INDEX(('E2E core flow'!$A$15:$A$1000&lt;&gt;"")*ISNUMBER(SEARCH('E2E core flow'!$A$15:$A$1000,$E830)),0),0))&amp;"","-"))</f>
        <v/>
      </c>
      <c r="N830" s="68" t="str">
        <f>IF(TRIM($A830)="","",IF($O830=0,IF(COUNTIFS('Card Test Cases'!$B$4:$B$1000,$A830,'Card Test Cases'!$A$4:$A$1000,"&lt;&gt;")&gt;0,"Out of Scope","No TC"),IF($Q830&gt;0,"Failed",IF(COUNTIFS('Card Test Cases'!$B$4:$B$1000,$A830,'Card Test Cases'!$A$4:$A$1000,"&lt;&gt;",'Card Test Cases'!$F$4:$F$1000,"Blocked")&gt;0,"Blocked",IF($R830&gt;0,"In Progress","Passed")))))</f>
        <v/>
      </c>
      <c r="O830" s="68" t="str">
        <f>IF(TRIM($A830)="","",COUNTIFS('Card Test Cases'!$B$4:$B$1000,$A830,'Card Test Cases'!$A$4:$A$1000,"&lt;&gt;",'Card Test Cases'!$F$4:$F$1000,"&lt;&gt;Out of Scope"))</f>
        <v/>
      </c>
      <c r="P830" s="68" t="str">
        <f>IF(TRIM($A830)="","",COUNTIFS('Card Test Cases'!$B$4:$B$1000,$A830,'Card Test Cases'!$A$4:$A$1000,"&lt;&gt;",'Card Test Cases'!$F$4:$F$1000,"Passed"))</f>
        <v/>
      </c>
      <c r="Q830" s="68" t="str">
        <f>IF(TRIM($A830)="","",COUNTIFS('Card Test Cases'!$B$4:$B$1000,$A830,'Card Test Cases'!$A$4:$A$1000,"&lt;&gt;",'Card Test Cases'!$F$4:$F$1000,"Failed"))</f>
        <v/>
      </c>
      <c r="R830" s="68" t="str">
        <f t="shared" si="12"/>
        <v/>
      </c>
      <c r="S830" s="68" t="str" cm="1">
        <f t="array" ref="S830">IF(TRIM($A830)="","",IFERROR(_xlfn.TEXTJOIN(", ",TRUE,_xlfn.UNIQUE(_xlfn.VSTACK(_xlfn._xlws.FILTER('Card Test Cases'!$G$4:$G$1000,('Card Test Cases'!$B$4:$B$1000=$A830)*('Card Test Cases'!$G$4:$G$1000&lt;&gt;""),""),_xlfn._xlws.FILTER('E2E core flow'!$U$15:$U$1000,('E2E core flow'!$A$15:$A$1000&lt;&gt;"")*ISNUMBER(SEARCH('E2E core flow'!$A$15:$A$1000,$E830))*('E2E core flow'!$U$15:$U$1000&lt;&gt;""),"")))),"-"))</f>
        <v/>
      </c>
    </row>
    <row r="831" spans="7:19" x14ac:dyDescent="0.3">
      <c r="G831" s="68" t="str" cm="1">
        <f t="array" ref="G831">_xlfn.LET(_xlpm.ids,'E2E core flow'!$A$15:$A$1000,_xlpm.v,'E2E core flow'!$W$15:$W$1000,_xlpm.m,(_xlpm.ids&lt;&gt;"")*ISNUMBER(SEARCH(_xlpm.ids,$E831)),_xlpm.f,SUM(_xlpm.m*(_xlpm.v="Failed")),_xlpm.b,SUM(_xlpm.m*(_xlpm.v="Blocked")),_xlpm.nr,SUM(_xlpm.m*(_xlpm.v="Not Run")),_xlpm.cp,SUM(_xlpm.m*(_xlpm.v="Conditionally Passed")),_xlpm.p,SUM(_xlpm.m*(_xlpm.v="Passed")),IF(TRIM($A831)="","",IF(TRIM($E831)="","Pending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31" s="68" t="str">
        <f>IF(TRIM($A831)="","",IF($J831="Passed","",IF($J831="Passed with Known Issue","Known Issue",IF($J831="",IF(OR($H831&lt;&gt;"No",AND($F831&lt;&gt;"Medium",$F831&lt;&gt;"Low")),"Pending Result",""),IF(OR($H831&lt;&gt;"No",AND($F831&lt;&gt;"Medium",$F831&lt;&gt;"Low")),IF(COUNTIFS(Dashboard!$B$105:$B$124,$A831,Dashboard!$I$105:$I$124,"CAB")&gt;0,"Accepted (CF)","Blocking"),IF($J831="Failed","Deferrable","Carry Over"))))))</f>
        <v/>
      </c>
      <c r="M831" s="68" t="str">
        <f>IF(OR(TRIM($A831)="",TRIM($E831)=""),"",IFERROR(INDEX('E2E core flow'!$B$15:$B$1000,MATCH(1,INDEX(('E2E core flow'!$A$15:$A$1000&lt;&gt;"")*ISNUMBER(SEARCH('E2E core flow'!$A$15:$A$1000,$E831)),0),0))&amp;"","-"))</f>
        <v/>
      </c>
      <c r="N831" s="68" t="str">
        <f>IF(TRIM($A831)="","",IF($O831=0,IF(COUNTIFS('Card Test Cases'!$B$4:$B$1000,$A831,'Card Test Cases'!$A$4:$A$1000,"&lt;&gt;")&gt;0,"Out of Scope","No TC"),IF($Q831&gt;0,"Failed",IF(COUNTIFS('Card Test Cases'!$B$4:$B$1000,$A831,'Card Test Cases'!$A$4:$A$1000,"&lt;&gt;",'Card Test Cases'!$F$4:$F$1000,"Blocked")&gt;0,"Blocked",IF($R831&gt;0,"In Progress","Passed")))))</f>
        <v/>
      </c>
      <c r="O831" s="68" t="str">
        <f>IF(TRIM($A831)="","",COUNTIFS('Card Test Cases'!$B$4:$B$1000,$A831,'Card Test Cases'!$A$4:$A$1000,"&lt;&gt;",'Card Test Cases'!$F$4:$F$1000,"&lt;&gt;Out of Scope"))</f>
        <v/>
      </c>
      <c r="P831" s="68" t="str">
        <f>IF(TRIM($A831)="","",COUNTIFS('Card Test Cases'!$B$4:$B$1000,$A831,'Card Test Cases'!$A$4:$A$1000,"&lt;&gt;",'Card Test Cases'!$F$4:$F$1000,"Passed"))</f>
        <v/>
      </c>
      <c r="Q831" s="68" t="str">
        <f>IF(TRIM($A831)="","",COUNTIFS('Card Test Cases'!$B$4:$B$1000,$A831,'Card Test Cases'!$A$4:$A$1000,"&lt;&gt;",'Card Test Cases'!$F$4:$F$1000,"Failed"))</f>
        <v/>
      </c>
      <c r="R831" s="68" t="str">
        <f t="shared" si="12"/>
        <v/>
      </c>
      <c r="S831" s="68" t="str" cm="1">
        <f t="array" ref="S831">IF(TRIM($A831)="","",IFERROR(_xlfn.TEXTJOIN(", ",TRUE,_xlfn.UNIQUE(_xlfn.VSTACK(_xlfn._xlws.FILTER('Card Test Cases'!$G$4:$G$1000,('Card Test Cases'!$B$4:$B$1000=$A831)*('Card Test Cases'!$G$4:$G$1000&lt;&gt;""),""),_xlfn._xlws.FILTER('E2E core flow'!$U$15:$U$1000,('E2E core flow'!$A$15:$A$1000&lt;&gt;"")*ISNUMBER(SEARCH('E2E core flow'!$A$15:$A$1000,$E831))*('E2E core flow'!$U$15:$U$1000&lt;&gt;""),"")))),"-"))</f>
        <v/>
      </c>
    </row>
    <row r="832" spans="7:19" x14ac:dyDescent="0.3">
      <c r="G832" s="68" t="str" cm="1">
        <f t="array" ref="G832">_xlfn.LET(_xlpm.ids,'E2E core flow'!$A$15:$A$1000,_xlpm.v,'E2E core flow'!$W$15:$W$1000,_xlpm.m,(_xlpm.ids&lt;&gt;"")*ISNUMBER(SEARCH(_xlpm.ids,$E832)),_xlpm.f,SUM(_xlpm.m*(_xlpm.v="Failed")),_xlpm.b,SUM(_xlpm.m*(_xlpm.v="Blocked")),_xlpm.nr,SUM(_xlpm.m*(_xlpm.v="Not Run")),_xlpm.cp,SUM(_xlpm.m*(_xlpm.v="Conditionally Passed")),_xlpm.p,SUM(_xlpm.m*(_xlpm.v="Passed")),IF(TRIM($A832)="","",IF(TRIM($E832)="","Pending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32" s="68" t="str">
        <f>IF(TRIM($A832)="","",IF($J832="Passed","",IF($J832="Passed with Known Issue","Known Issue",IF($J832="",IF(OR($H832&lt;&gt;"No",AND($F832&lt;&gt;"Medium",$F832&lt;&gt;"Low")),"Pending Result",""),IF(OR($H832&lt;&gt;"No",AND($F832&lt;&gt;"Medium",$F832&lt;&gt;"Low")),IF(COUNTIFS(Dashboard!$B$105:$B$124,$A832,Dashboard!$I$105:$I$124,"CAB")&gt;0,"Accepted (CF)","Blocking"),IF($J832="Failed","Deferrable","Carry Over"))))))</f>
        <v/>
      </c>
      <c r="M832" s="68" t="str">
        <f>IF(OR(TRIM($A832)="",TRIM($E832)=""),"",IFERROR(INDEX('E2E core flow'!$B$15:$B$1000,MATCH(1,INDEX(('E2E core flow'!$A$15:$A$1000&lt;&gt;"")*ISNUMBER(SEARCH('E2E core flow'!$A$15:$A$1000,$E832)),0),0))&amp;"","-"))</f>
        <v/>
      </c>
      <c r="N832" s="68" t="str">
        <f>IF(TRIM($A832)="","",IF($O832=0,IF(COUNTIFS('Card Test Cases'!$B$4:$B$1000,$A832,'Card Test Cases'!$A$4:$A$1000,"&lt;&gt;")&gt;0,"Out of Scope","No TC"),IF($Q832&gt;0,"Failed",IF(COUNTIFS('Card Test Cases'!$B$4:$B$1000,$A832,'Card Test Cases'!$A$4:$A$1000,"&lt;&gt;",'Card Test Cases'!$F$4:$F$1000,"Blocked")&gt;0,"Blocked",IF($R832&gt;0,"In Progress","Passed")))))</f>
        <v/>
      </c>
      <c r="O832" s="68" t="str">
        <f>IF(TRIM($A832)="","",COUNTIFS('Card Test Cases'!$B$4:$B$1000,$A832,'Card Test Cases'!$A$4:$A$1000,"&lt;&gt;",'Card Test Cases'!$F$4:$F$1000,"&lt;&gt;Out of Scope"))</f>
        <v/>
      </c>
      <c r="P832" s="68" t="str">
        <f>IF(TRIM($A832)="","",COUNTIFS('Card Test Cases'!$B$4:$B$1000,$A832,'Card Test Cases'!$A$4:$A$1000,"&lt;&gt;",'Card Test Cases'!$F$4:$F$1000,"Passed"))</f>
        <v/>
      </c>
      <c r="Q832" s="68" t="str">
        <f>IF(TRIM($A832)="","",COUNTIFS('Card Test Cases'!$B$4:$B$1000,$A832,'Card Test Cases'!$A$4:$A$1000,"&lt;&gt;",'Card Test Cases'!$F$4:$F$1000,"Failed"))</f>
        <v/>
      </c>
      <c r="R832" s="68" t="str">
        <f t="shared" si="12"/>
        <v/>
      </c>
      <c r="S832" s="68" t="str" cm="1">
        <f t="array" ref="S832">IF(TRIM($A832)="","",IFERROR(_xlfn.TEXTJOIN(", ",TRUE,_xlfn.UNIQUE(_xlfn.VSTACK(_xlfn._xlws.FILTER('Card Test Cases'!$G$4:$G$1000,('Card Test Cases'!$B$4:$B$1000=$A832)*('Card Test Cases'!$G$4:$G$1000&lt;&gt;""),""),_xlfn._xlws.FILTER('E2E core flow'!$U$15:$U$1000,('E2E core flow'!$A$15:$A$1000&lt;&gt;"")*ISNUMBER(SEARCH('E2E core flow'!$A$15:$A$1000,$E832))*('E2E core flow'!$U$15:$U$1000&lt;&gt;""),"")))),"-"))</f>
        <v/>
      </c>
    </row>
    <row r="833" spans="7:19" x14ac:dyDescent="0.3">
      <c r="G833" s="68" t="str" cm="1">
        <f t="array" ref="G833">_xlfn.LET(_xlpm.ids,'E2E core flow'!$A$15:$A$1000,_xlpm.v,'E2E core flow'!$W$15:$W$1000,_xlpm.m,(_xlpm.ids&lt;&gt;"")*ISNUMBER(SEARCH(_xlpm.ids,$E833)),_xlpm.f,SUM(_xlpm.m*(_xlpm.v="Failed")),_xlpm.b,SUM(_xlpm.m*(_xlpm.v="Blocked")),_xlpm.nr,SUM(_xlpm.m*(_xlpm.v="Not Run")),_xlpm.cp,SUM(_xlpm.m*(_xlpm.v="Conditionally Passed")),_xlpm.p,SUM(_xlpm.m*(_xlpm.v="Passed")),IF(TRIM($A833)="","",IF(TRIM($E833)="","Pending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33" s="68" t="str">
        <f>IF(TRIM($A833)="","",IF($J833="Passed","",IF($J833="Passed with Known Issue","Known Issue",IF($J833="",IF(OR($H833&lt;&gt;"No",AND($F833&lt;&gt;"Medium",$F833&lt;&gt;"Low")),"Pending Result",""),IF(OR($H833&lt;&gt;"No",AND($F833&lt;&gt;"Medium",$F833&lt;&gt;"Low")),IF(COUNTIFS(Dashboard!$B$105:$B$124,$A833,Dashboard!$I$105:$I$124,"CAB")&gt;0,"Accepted (CF)","Blocking"),IF($J833="Failed","Deferrable","Carry Over"))))))</f>
        <v/>
      </c>
      <c r="M833" s="68" t="str">
        <f>IF(OR(TRIM($A833)="",TRIM($E833)=""),"",IFERROR(INDEX('E2E core flow'!$B$15:$B$1000,MATCH(1,INDEX(('E2E core flow'!$A$15:$A$1000&lt;&gt;"")*ISNUMBER(SEARCH('E2E core flow'!$A$15:$A$1000,$E833)),0),0))&amp;"","-"))</f>
        <v/>
      </c>
      <c r="N833" s="68" t="str">
        <f>IF(TRIM($A833)="","",IF($O833=0,IF(COUNTIFS('Card Test Cases'!$B$4:$B$1000,$A833,'Card Test Cases'!$A$4:$A$1000,"&lt;&gt;")&gt;0,"Out of Scope","No TC"),IF($Q833&gt;0,"Failed",IF(COUNTIFS('Card Test Cases'!$B$4:$B$1000,$A833,'Card Test Cases'!$A$4:$A$1000,"&lt;&gt;",'Card Test Cases'!$F$4:$F$1000,"Blocked")&gt;0,"Blocked",IF($R833&gt;0,"In Progress","Passed")))))</f>
        <v/>
      </c>
      <c r="O833" s="68" t="str">
        <f>IF(TRIM($A833)="","",COUNTIFS('Card Test Cases'!$B$4:$B$1000,$A833,'Card Test Cases'!$A$4:$A$1000,"&lt;&gt;",'Card Test Cases'!$F$4:$F$1000,"&lt;&gt;Out of Scope"))</f>
        <v/>
      </c>
      <c r="P833" s="68" t="str">
        <f>IF(TRIM($A833)="","",COUNTIFS('Card Test Cases'!$B$4:$B$1000,$A833,'Card Test Cases'!$A$4:$A$1000,"&lt;&gt;",'Card Test Cases'!$F$4:$F$1000,"Passed"))</f>
        <v/>
      </c>
      <c r="Q833" s="68" t="str">
        <f>IF(TRIM($A833)="","",COUNTIFS('Card Test Cases'!$B$4:$B$1000,$A833,'Card Test Cases'!$A$4:$A$1000,"&lt;&gt;",'Card Test Cases'!$F$4:$F$1000,"Failed"))</f>
        <v/>
      </c>
      <c r="R833" s="68" t="str">
        <f t="shared" si="12"/>
        <v/>
      </c>
      <c r="S833" s="68" t="str" cm="1">
        <f t="array" ref="S833">IF(TRIM($A833)="","",IFERROR(_xlfn.TEXTJOIN(", ",TRUE,_xlfn.UNIQUE(_xlfn.VSTACK(_xlfn._xlws.FILTER('Card Test Cases'!$G$4:$G$1000,('Card Test Cases'!$B$4:$B$1000=$A833)*('Card Test Cases'!$G$4:$G$1000&lt;&gt;""),""),_xlfn._xlws.FILTER('E2E core flow'!$U$15:$U$1000,('E2E core flow'!$A$15:$A$1000&lt;&gt;"")*ISNUMBER(SEARCH('E2E core flow'!$A$15:$A$1000,$E833))*('E2E core flow'!$U$15:$U$1000&lt;&gt;""),"")))),"-"))</f>
        <v/>
      </c>
    </row>
    <row r="834" spans="7:19" x14ac:dyDescent="0.3">
      <c r="G834" s="68" t="str" cm="1">
        <f t="array" ref="G834">_xlfn.LET(_xlpm.ids,'E2E core flow'!$A$15:$A$1000,_xlpm.v,'E2E core flow'!$W$15:$W$1000,_xlpm.m,(_xlpm.ids&lt;&gt;"")*ISNUMBER(SEARCH(_xlpm.ids,$E834)),_xlpm.f,SUM(_xlpm.m*(_xlpm.v="Failed")),_xlpm.b,SUM(_xlpm.m*(_xlpm.v="Blocked")),_xlpm.nr,SUM(_xlpm.m*(_xlpm.v="Not Run")),_xlpm.cp,SUM(_xlpm.m*(_xlpm.v="Conditionally Passed")),_xlpm.p,SUM(_xlpm.m*(_xlpm.v="Passed")),IF(TRIM($A834)="","",IF(TRIM($E834)="","Pending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34" s="68" t="str">
        <f>IF(TRIM($A834)="","",IF($J834="Passed","",IF($J834="Passed with Known Issue","Known Issue",IF($J834="",IF(OR($H834&lt;&gt;"No",AND($F834&lt;&gt;"Medium",$F834&lt;&gt;"Low")),"Pending Result",""),IF(OR($H834&lt;&gt;"No",AND($F834&lt;&gt;"Medium",$F834&lt;&gt;"Low")),IF(COUNTIFS(Dashboard!$B$105:$B$124,$A834,Dashboard!$I$105:$I$124,"CAB")&gt;0,"Accepted (CF)","Blocking"),IF($J834="Failed","Deferrable","Carry Over"))))))</f>
        <v/>
      </c>
      <c r="M834" s="68" t="str">
        <f>IF(OR(TRIM($A834)="",TRIM($E834)=""),"",IFERROR(INDEX('E2E core flow'!$B$15:$B$1000,MATCH(1,INDEX(('E2E core flow'!$A$15:$A$1000&lt;&gt;"")*ISNUMBER(SEARCH('E2E core flow'!$A$15:$A$1000,$E834)),0),0))&amp;"","-"))</f>
        <v/>
      </c>
      <c r="N834" s="68" t="str">
        <f>IF(TRIM($A834)="","",IF($O834=0,IF(COUNTIFS('Card Test Cases'!$B$4:$B$1000,$A834,'Card Test Cases'!$A$4:$A$1000,"&lt;&gt;")&gt;0,"Out of Scope","No TC"),IF($Q834&gt;0,"Failed",IF(COUNTIFS('Card Test Cases'!$B$4:$B$1000,$A834,'Card Test Cases'!$A$4:$A$1000,"&lt;&gt;",'Card Test Cases'!$F$4:$F$1000,"Blocked")&gt;0,"Blocked",IF($R834&gt;0,"In Progress","Passed")))))</f>
        <v/>
      </c>
      <c r="O834" s="68" t="str">
        <f>IF(TRIM($A834)="","",COUNTIFS('Card Test Cases'!$B$4:$B$1000,$A834,'Card Test Cases'!$A$4:$A$1000,"&lt;&gt;",'Card Test Cases'!$F$4:$F$1000,"&lt;&gt;Out of Scope"))</f>
        <v/>
      </c>
      <c r="P834" s="68" t="str">
        <f>IF(TRIM($A834)="","",COUNTIFS('Card Test Cases'!$B$4:$B$1000,$A834,'Card Test Cases'!$A$4:$A$1000,"&lt;&gt;",'Card Test Cases'!$F$4:$F$1000,"Passed"))</f>
        <v/>
      </c>
      <c r="Q834" s="68" t="str">
        <f>IF(TRIM($A834)="","",COUNTIFS('Card Test Cases'!$B$4:$B$1000,$A834,'Card Test Cases'!$A$4:$A$1000,"&lt;&gt;",'Card Test Cases'!$F$4:$F$1000,"Failed"))</f>
        <v/>
      </c>
      <c r="R834" s="68" t="str">
        <f t="shared" si="12"/>
        <v/>
      </c>
      <c r="S834" s="68" t="str" cm="1">
        <f t="array" ref="S834">IF(TRIM($A834)="","",IFERROR(_xlfn.TEXTJOIN(", ",TRUE,_xlfn.UNIQUE(_xlfn.VSTACK(_xlfn._xlws.FILTER('Card Test Cases'!$G$4:$G$1000,('Card Test Cases'!$B$4:$B$1000=$A834)*('Card Test Cases'!$G$4:$G$1000&lt;&gt;""),""),_xlfn._xlws.FILTER('E2E core flow'!$U$15:$U$1000,('E2E core flow'!$A$15:$A$1000&lt;&gt;"")*ISNUMBER(SEARCH('E2E core flow'!$A$15:$A$1000,$E834))*('E2E core flow'!$U$15:$U$1000&lt;&gt;""),"")))),"-"))</f>
        <v/>
      </c>
    </row>
    <row r="835" spans="7:19" x14ac:dyDescent="0.3">
      <c r="G835" s="68" t="str" cm="1">
        <f t="array" ref="G835">_xlfn.LET(_xlpm.ids,'E2E core flow'!$A$15:$A$1000,_xlpm.v,'E2E core flow'!$W$15:$W$1000,_xlpm.m,(_xlpm.ids&lt;&gt;"")*ISNUMBER(SEARCH(_xlpm.ids,$E835)),_xlpm.f,SUM(_xlpm.m*(_xlpm.v="Failed")),_xlpm.b,SUM(_xlpm.m*(_xlpm.v="Blocked")),_xlpm.nr,SUM(_xlpm.m*(_xlpm.v="Not Run")),_xlpm.cp,SUM(_xlpm.m*(_xlpm.v="Conditionally Passed")),_xlpm.p,SUM(_xlpm.m*(_xlpm.v="Passed")),IF(TRIM($A835)="","",IF(TRIM($E835)="","Pending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35" s="68" t="str">
        <f>IF(TRIM($A835)="","",IF($J835="Passed","",IF($J835="Passed with Known Issue","Known Issue",IF($J835="",IF(OR($H835&lt;&gt;"No",AND($F835&lt;&gt;"Medium",$F835&lt;&gt;"Low")),"Pending Result",""),IF(OR($H835&lt;&gt;"No",AND($F835&lt;&gt;"Medium",$F835&lt;&gt;"Low")),IF(COUNTIFS(Dashboard!$B$105:$B$124,$A835,Dashboard!$I$105:$I$124,"CAB")&gt;0,"Accepted (CF)","Blocking"),IF($J835="Failed","Deferrable","Carry Over"))))))</f>
        <v/>
      </c>
      <c r="M835" s="68" t="str">
        <f>IF(OR(TRIM($A835)="",TRIM($E835)=""),"",IFERROR(INDEX('E2E core flow'!$B$15:$B$1000,MATCH(1,INDEX(('E2E core flow'!$A$15:$A$1000&lt;&gt;"")*ISNUMBER(SEARCH('E2E core flow'!$A$15:$A$1000,$E835)),0),0))&amp;"","-"))</f>
        <v/>
      </c>
      <c r="N835" s="68" t="str">
        <f>IF(TRIM($A835)="","",IF($O835=0,IF(COUNTIFS('Card Test Cases'!$B$4:$B$1000,$A835,'Card Test Cases'!$A$4:$A$1000,"&lt;&gt;")&gt;0,"Out of Scope","No TC"),IF($Q835&gt;0,"Failed",IF(COUNTIFS('Card Test Cases'!$B$4:$B$1000,$A835,'Card Test Cases'!$A$4:$A$1000,"&lt;&gt;",'Card Test Cases'!$F$4:$F$1000,"Blocked")&gt;0,"Blocked",IF($R835&gt;0,"In Progress","Passed")))))</f>
        <v/>
      </c>
      <c r="O835" s="68" t="str">
        <f>IF(TRIM($A835)="","",COUNTIFS('Card Test Cases'!$B$4:$B$1000,$A835,'Card Test Cases'!$A$4:$A$1000,"&lt;&gt;",'Card Test Cases'!$F$4:$F$1000,"&lt;&gt;Out of Scope"))</f>
        <v/>
      </c>
      <c r="P835" s="68" t="str">
        <f>IF(TRIM($A835)="","",COUNTIFS('Card Test Cases'!$B$4:$B$1000,$A835,'Card Test Cases'!$A$4:$A$1000,"&lt;&gt;",'Card Test Cases'!$F$4:$F$1000,"Passed"))</f>
        <v/>
      </c>
      <c r="Q835" s="68" t="str">
        <f>IF(TRIM($A835)="","",COUNTIFS('Card Test Cases'!$B$4:$B$1000,$A835,'Card Test Cases'!$A$4:$A$1000,"&lt;&gt;",'Card Test Cases'!$F$4:$F$1000,"Failed"))</f>
        <v/>
      </c>
      <c r="R835" s="68" t="str">
        <f t="shared" si="12"/>
        <v/>
      </c>
      <c r="S835" s="68" t="str" cm="1">
        <f t="array" ref="S835">IF(TRIM($A835)="","",IFERROR(_xlfn.TEXTJOIN(", ",TRUE,_xlfn.UNIQUE(_xlfn.VSTACK(_xlfn._xlws.FILTER('Card Test Cases'!$G$4:$G$1000,('Card Test Cases'!$B$4:$B$1000=$A835)*('Card Test Cases'!$G$4:$G$1000&lt;&gt;""),""),_xlfn._xlws.FILTER('E2E core flow'!$U$15:$U$1000,('E2E core flow'!$A$15:$A$1000&lt;&gt;"")*ISNUMBER(SEARCH('E2E core flow'!$A$15:$A$1000,$E835))*('E2E core flow'!$U$15:$U$1000&lt;&gt;""),"")))),"-"))</f>
        <v/>
      </c>
    </row>
    <row r="836" spans="7:19" x14ac:dyDescent="0.3">
      <c r="G836" s="68" t="str" cm="1">
        <f t="array" ref="G836">_xlfn.LET(_xlpm.ids,'E2E core flow'!$A$15:$A$1000,_xlpm.v,'E2E core flow'!$W$15:$W$1000,_xlpm.m,(_xlpm.ids&lt;&gt;"")*ISNUMBER(SEARCH(_xlpm.ids,$E836)),_xlpm.f,SUM(_xlpm.m*(_xlpm.v="Failed")),_xlpm.b,SUM(_xlpm.m*(_xlpm.v="Blocked")),_xlpm.nr,SUM(_xlpm.m*(_xlpm.v="Not Run")),_xlpm.cp,SUM(_xlpm.m*(_xlpm.v="Conditionally Passed")),_xlpm.p,SUM(_xlpm.m*(_xlpm.v="Passed")),IF(TRIM($A836)="","",IF(TRIM($E836)="","Pending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36" s="68" t="str">
        <f>IF(TRIM($A836)="","",IF($J836="Passed","",IF($J836="Passed with Known Issue","Known Issue",IF($J836="",IF(OR($H836&lt;&gt;"No",AND($F836&lt;&gt;"Medium",$F836&lt;&gt;"Low")),"Pending Result",""),IF(OR($H836&lt;&gt;"No",AND($F836&lt;&gt;"Medium",$F836&lt;&gt;"Low")),IF(COUNTIFS(Dashboard!$B$105:$B$124,$A836,Dashboard!$I$105:$I$124,"CAB")&gt;0,"Accepted (CF)","Blocking"),IF($J836="Failed","Deferrable","Carry Over"))))))</f>
        <v/>
      </c>
      <c r="M836" s="68" t="str">
        <f>IF(OR(TRIM($A836)="",TRIM($E836)=""),"",IFERROR(INDEX('E2E core flow'!$B$15:$B$1000,MATCH(1,INDEX(('E2E core flow'!$A$15:$A$1000&lt;&gt;"")*ISNUMBER(SEARCH('E2E core flow'!$A$15:$A$1000,$E836)),0),0))&amp;"","-"))</f>
        <v/>
      </c>
      <c r="N836" s="68" t="str">
        <f>IF(TRIM($A836)="","",IF($O836=0,IF(COUNTIFS('Card Test Cases'!$B$4:$B$1000,$A836,'Card Test Cases'!$A$4:$A$1000,"&lt;&gt;")&gt;0,"Out of Scope","No TC"),IF($Q836&gt;0,"Failed",IF(COUNTIFS('Card Test Cases'!$B$4:$B$1000,$A836,'Card Test Cases'!$A$4:$A$1000,"&lt;&gt;",'Card Test Cases'!$F$4:$F$1000,"Blocked")&gt;0,"Blocked",IF($R836&gt;0,"In Progress","Passed")))))</f>
        <v/>
      </c>
      <c r="O836" s="68" t="str">
        <f>IF(TRIM($A836)="","",COUNTIFS('Card Test Cases'!$B$4:$B$1000,$A836,'Card Test Cases'!$A$4:$A$1000,"&lt;&gt;",'Card Test Cases'!$F$4:$F$1000,"&lt;&gt;Out of Scope"))</f>
        <v/>
      </c>
      <c r="P836" s="68" t="str">
        <f>IF(TRIM($A836)="","",COUNTIFS('Card Test Cases'!$B$4:$B$1000,$A836,'Card Test Cases'!$A$4:$A$1000,"&lt;&gt;",'Card Test Cases'!$F$4:$F$1000,"Passed"))</f>
        <v/>
      </c>
      <c r="Q836" s="68" t="str">
        <f>IF(TRIM($A836)="","",COUNTIFS('Card Test Cases'!$B$4:$B$1000,$A836,'Card Test Cases'!$A$4:$A$1000,"&lt;&gt;",'Card Test Cases'!$F$4:$F$1000,"Failed"))</f>
        <v/>
      </c>
      <c r="R836" s="68" t="str">
        <f t="shared" ref="R836:R899" si="13">IF(TRIM($A836)="","",$O836-$P836-$Q836)</f>
        <v/>
      </c>
      <c r="S836" s="68" t="str" cm="1">
        <f t="array" ref="S836">IF(TRIM($A836)="","",IFERROR(_xlfn.TEXTJOIN(", ",TRUE,_xlfn.UNIQUE(_xlfn.VSTACK(_xlfn._xlws.FILTER('Card Test Cases'!$G$4:$G$1000,('Card Test Cases'!$B$4:$B$1000=$A836)*('Card Test Cases'!$G$4:$G$1000&lt;&gt;""),""),_xlfn._xlws.FILTER('E2E core flow'!$U$15:$U$1000,('E2E core flow'!$A$15:$A$1000&lt;&gt;"")*ISNUMBER(SEARCH('E2E core flow'!$A$15:$A$1000,$E836))*('E2E core flow'!$U$15:$U$1000&lt;&gt;""),"")))),"-"))</f>
        <v/>
      </c>
    </row>
    <row r="837" spans="7:19" x14ac:dyDescent="0.3">
      <c r="G837" s="68" t="str" cm="1">
        <f t="array" ref="G837">_xlfn.LET(_xlpm.ids,'E2E core flow'!$A$15:$A$1000,_xlpm.v,'E2E core flow'!$W$15:$W$1000,_xlpm.m,(_xlpm.ids&lt;&gt;"")*ISNUMBER(SEARCH(_xlpm.ids,$E837)),_xlpm.f,SUM(_xlpm.m*(_xlpm.v="Failed")),_xlpm.b,SUM(_xlpm.m*(_xlpm.v="Blocked")),_xlpm.nr,SUM(_xlpm.m*(_xlpm.v="Not Run")),_xlpm.cp,SUM(_xlpm.m*(_xlpm.v="Conditionally Passed")),_xlpm.p,SUM(_xlpm.m*(_xlpm.v="Passed")),IF(TRIM($A837)="","",IF(TRIM($E837)="","Pending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37" s="68" t="str">
        <f>IF(TRIM($A837)="","",IF($J837="Passed","",IF($J837="Passed with Known Issue","Known Issue",IF($J837="",IF(OR($H837&lt;&gt;"No",AND($F837&lt;&gt;"Medium",$F837&lt;&gt;"Low")),"Pending Result",""),IF(OR($H837&lt;&gt;"No",AND($F837&lt;&gt;"Medium",$F837&lt;&gt;"Low")),IF(COUNTIFS(Dashboard!$B$105:$B$124,$A837,Dashboard!$I$105:$I$124,"CAB")&gt;0,"Accepted (CF)","Blocking"),IF($J837="Failed","Deferrable","Carry Over"))))))</f>
        <v/>
      </c>
      <c r="M837" s="68" t="str">
        <f>IF(OR(TRIM($A837)="",TRIM($E837)=""),"",IFERROR(INDEX('E2E core flow'!$B$15:$B$1000,MATCH(1,INDEX(('E2E core flow'!$A$15:$A$1000&lt;&gt;"")*ISNUMBER(SEARCH('E2E core flow'!$A$15:$A$1000,$E837)),0),0))&amp;"","-"))</f>
        <v/>
      </c>
      <c r="N837" s="68" t="str">
        <f>IF(TRIM($A837)="","",IF($O837=0,IF(COUNTIFS('Card Test Cases'!$B$4:$B$1000,$A837,'Card Test Cases'!$A$4:$A$1000,"&lt;&gt;")&gt;0,"Out of Scope","No TC"),IF($Q837&gt;0,"Failed",IF(COUNTIFS('Card Test Cases'!$B$4:$B$1000,$A837,'Card Test Cases'!$A$4:$A$1000,"&lt;&gt;",'Card Test Cases'!$F$4:$F$1000,"Blocked")&gt;0,"Blocked",IF($R837&gt;0,"In Progress","Passed")))))</f>
        <v/>
      </c>
      <c r="O837" s="68" t="str">
        <f>IF(TRIM($A837)="","",COUNTIFS('Card Test Cases'!$B$4:$B$1000,$A837,'Card Test Cases'!$A$4:$A$1000,"&lt;&gt;",'Card Test Cases'!$F$4:$F$1000,"&lt;&gt;Out of Scope"))</f>
        <v/>
      </c>
      <c r="P837" s="68" t="str">
        <f>IF(TRIM($A837)="","",COUNTIFS('Card Test Cases'!$B$4:$B$1000,$A837,'Card Test Cases'!$A$4:$A$1000,"&lt;&gt;",'Card Test Cases'!$F$4:$F$1000,"Passed"))</f>
        <v/>
      </c>
      <c r="Q837" s="68" t="str">
        <f>IF(TRIM($A837)="","",COUNTIFS('Card Test Cases'!$B$4:$B$1000,$A837,'Card Test Cases'!$A$4:$A$1000,"&lt;&gt;",'Card Test Cases'!$F$4:$F$1000,"Failed"))</f>
        <v/>
      </c>
      <c r="R837" s="68" t="str">
        <f t="shared" si="13"/>
        <v/>
      </c>
      <c r="S837" s="68" t="str" cm="1">
        <f t="array" ref="S837">IF(TRIM($A837)="","",IFERROR(_xlfn.TEXTJOIN(", ",TRUE,_xlfn.UNIQUE(_xlfn.VSTACK(_xlfn._xlws.FILTER('Card Test Cases'!$G$4:$G$1000,('Card Test Cases'!$B$4:$B$1000=$A837)*('Card Test Cases'!$G$4:$G$1000&lt;&gt;""),""),_xlfn._xlws.FILTER('E2E core flow'!$U$15:$U$1000,('E2E core flow'!$A$15:$A$1000&lt;&gt;"")*ISNUMBER(SEARCH('E2E core flow'!$A$15:$A$1000,$E837))*('E2E core flow'!$U$15:$U$1000&lt;&gt;""),"")))),"-"))</f>
        <v/>
      </c>
    </row>
    <row r="838" spans="7:19" x14ac:dyDescent="0.3">
      <c r="G838" s="68" t="str" cm="1">
        <f t="array" ref="G838">_xlfn.LET(_xlpm.ids,'E2E core flow'!$A$15:$A$1000,_xlpm.v,'E2E core flow'!$W$15:$W$1000,_xlpm.m,(_xlpm.ids&lt;&gt;"")*ISNUMBER(SEARCH(_xlpm.ids,$E838)),_xlpm.f,SUM(_xlpm.m*(_xlpm.v="Failed")),_xlpm.b,SUM(_xlpm.m*(_xlpm.v="Blocked")),_xlpm.nr,SUM(_xlpm.m*(_xlpm.v="Not Run")),_xlpm.cp,SUM(_xlpm.m*(_xlpm.v="Conditionally Passed")),_xlpm.p,SUM(_xlpm.m*(_xlpm.v="Passed")),IF(TRIM($A838)="","",IF(TRIM($E838)="","Pending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38" s="68" t="str">
        <f>IF(TRIM($A838)="","",IF($J838="Passed","",IF($J838="Passed with Known Issue","Known Issue",IF($J838="",IF(OR($H838&lt;&gt;"No",AND($F838&lt;&gt;"Medium",$F838&lt;&gt;"Low")),"Pending Result",""),IF(OR($H838&lt;&gt;"No",AND($F838&lt;&gt;"Medium",$F838&lt;&gt;"Low")),IF(COUNTIFS(Dashboard!$B$105:$B$124,$A838,Dashboard!$I$105:$I$124,"CAB")&gt;0,"Accepted (CF)","Blocking"),IF($J838="Failed","Deferrable","Carry Over"))))))</f>
        <v/>
      </c>
      <c r="M838" s="68" t="str">
        <f>IF(OR(TRIM($A838)="",TRIM($E838)=""),"",IFERROR(INDEX('E2E core flow'!$B$15:$B$1000,MATCH(1,INDEX(('E2E core flow'!$A$15:$A$1000&lt;&gt;"")*ISNUMBER(SEARCH('E2E core flow'!$A$15:$A$1000,$E838)),0),0))&amp;"","-"))</f>
        <v/>
      </c>
      <c r="N838" s="68" t="str">
        <f>IF(TRIM($A838)="","",IF($O838=0,IF(COUNTIFS('Card Test Cases'!$B$4:$B$1000,$A838,'Card Test Cases'!$A$4:$A$1000,"&lt;&gt;")&gt;0,"Out of Scope","No TC"),IF($Q838&gt;0,"Failed",IF(COUNTIFS('Card Test Cases'!$B$4:$B$1000,$A838,'Card Test Cases'!$A$4:$A$1000,"&lt;&gt;",'Card Test Cases'!$F$4:$F$1000,"Blocked")&gt;0,"Blocked",IF($R838&gt;0,"In Progress","Passed")))))</f>
        <v/>
      </c>
      <c r="O838" s="68" t="str">
        <f>IF(TRIM($A838)="","",COUNTIFS('Card Test Cases'!$B$4:$B$1000,$A838,'Card Test Cases'!$A$4:$A$1000,"&lt;&gt;",'Card Test Cases'!$F$4:$F$1000,"&lt;&gt;Out of Scope"))</f>
        <v/>
      </c>
      <c r="P838" s="68" t="str">
        <f>IF(TRIM($A838)="","",COUNTIFS('Card Test Cases'!$B$4:$B$1000,$A838,'Card Test Cases'!$A$4:$A$1000,"&lt;&gt;",'Card Test Cases'!$F$4:$F$1000,"Passed"))</f>
        <v/>
      </c>
      <c r="Q838" s="68" t="str">
        <f>IF(TRIM($A838)="","",COUNTIFS('Card Test Cases'!$B$4:$B$1000,$A838,'Card Test Cases'!$A$4:$A$1000,"&lt;&gt;",'Card Test Cases'!$F$4:$F$1000,"Failed"))</f>
        <v/>
      </c>
      <c r="R838" s="68" t="str">
        <f t="shared" si="13"/>
        <v/>
      </c>
      <c r="S838" s="68" t="str" cm="1">
        <f t="array" ref="S838">IF(TRIM($A838)="","",IFERROR(_xlfn.TEXTJOIN(", ",TRUE,_xlfn.UNIQUE(_xlfn.VSTACK(_xlfn._xlws.FILTER('Card Test Cases'!$G$4:$G$1000,('Card Test Cases'!$B$4:$B$1000=$A838)*('Card Test Cases'!$G$4:$G$1000&lt;&gt;""),""),_xlfn._xlws.FILTER('E2E core flow'!$U$15:$U$1000,('E2E core flow'!$A$15:$A$1000&lt;&gt;"")*ISNUMBER(SEARCH('E2E core flow'!$A$15:$A$1000,$E838))*('E2E core flow'!$U$15:$U$1000&lt;&gt;""),"")))),"-"))</f>
        <v/>
      </c>
    </row>
    <row r="839" spans="7:19" x14ac:dyDescent="0.3">
      <c r="G839" s="68" t="str" cm="1">
        <f t="array" ref="G839">_xlfn.LET(_xlpm.ids,'E2E core flow'!$A$15:$A$1000,_xlpm.v,'E2E core flow'!$W$15:$W$1000,_xlpm.m,(_xlpm.ids&lt;&gt;"")*ISNUMBER(SEARCH(_xlpm.ids,$E839)),_xlpm.f,SUM(_xlpm.m*(_xlpm.v="Failed")),_xlpm.b,SUM(_xlpm.m*(_xlpm.v="Blocked")),_xlpm.nr,SUM(_xlpm.m*(_xlpm.v="Not Run")),_xlpm.cp,SUM(_xlpm.m*(_xlpm.v="Conditionally Passed")),_xlpm.p,SUM(_xlpm.m*(_xlpm.v="Passed")),IF(TRIM($A839)="","",IF(TRIM($E839)="","Pending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39" s="68" t="str">
        <f>IF(TRIM($A839)="","",IF($J839="Passed","",IF($J839="Passed with Known Issue","Known Issue",IF($J839="",IF(OR($H839&lt;&gt;"No",AND($F839&lt;&gt;"Medium",$F839&lt;&gt;"Low")),"Pending Result",""),IF(OR($H839&lt;&gt;"No",AND($F839&lt;&gt;"Medium",$F839&lt;&gt;"Low")),IF(COUNTIFS(Dashboard!$B$105:$B$124,$A839,Dashboard!$I$105:$I$124,"CAB")&gt;0,"Accepted (CF)","Blocking"),IF($J839="Failed","Deferrable","Carry Over"))))))</f>
        <v/>
      </c>
      <c r="M839" s="68" t="str">
        <f>IF(OR(TRIM($A839)="",TRIM($E839)=""),"",IFERROR(INDEX('E2E core flow'!$B$15:$B$1000,MATCH(1,INDEX(('E2E core flow'!$A$15:$A$1000&lt;&gt;"")*ISNUMBER(SEARCH('E2E core flow'!$A$15:$A$1000,$E839)),0),0))&amp;"","-"))</f>
        <v/>
      </c>
      <c r="N839" s="68" t="str">
        <f>IF(TRIM($A839)="","",IF($O839=0,IF(COUNTIFS('Card Test Cases'!$B$4:$B$1000,$A839,'Card Test Cases'!$A$4:$A$1000,"&lt;&gt;")&gt;0,"Out of Scope","No TC"),IF($Q839&gt;0,"Failed",IF(COUNTIFS('Card Test Cases'!$B$4:$B$1000,$A839,'Card Test Cases'!$A$4:$A$1000,"&lt;&gt;",'Card Test Cases'!$F$4:$F$1000,"Blocked")&gt;0,"Blocked",IF($R839&gt;0,"In Progress","Passed")))))</f>
        <v/>
      </c>
      <c r="O839" s="68" t="str">
        <f>IF(TRIM($A839)="","",COUNTIFS('Card Test Cases'!$B$4:$B$1000,$A839,'Card Test Cases'!$A$4:$A$1000,"&lt;&gt;",'Card Test Cases'!$F$4:$F$1000,"&lt;&gt;Out of Scope"))</f>
        <v/>
      </c>
      <c r="P839" s="68" t="str">
        <f>IF(TRIM($A839)="","",COUNTIFS('Card Test Cases'!$B$4:$B$1000,$A839,'Card Test Cases'!$A$4:$A$1000,"&lt;&gt;",'Card Test Cases'!$F$4:$F$1000,"Passed"))</f>
        <v/>
      </c>
      <c r="Q839" s="68" t="str">
        <f>IF(TRIM($A839)="","",COUNTIFS('Card Test Cases'!$B$4:$B$1000,$A839,'Card Test Cases'!$A$4:$A$1000,"&lt;&gt;",'Card Test Cases'!$F$4:$F$1000,"Failed"))</f>
        <v/>
      </c>
      <c r="R839" s="68" t="str">
        <f t="shared" si="13"/>
        <v/>
      </c>
      <c r="S839" s="68" t="str" cm="1">
        <f t="array" ref="S839">IF(TRIM($A839)="","",IFERROR(_xlfn.TEXTJOIN(", ",TRUE,_xlfn.UNIQUE(_xlfn.VSTACK(_xlfn._xlws.FILTER('Card Test Cases'!$G$4:$G$1000,('Card Test Cases'!$B$4:$B$1000=$A839)*('Card Test Cases'!$G$4:$G$1000&lt;&gt;""),""),_xlfn._xlws.FILTER('E2E core flow'!$U$15:$U$1000,('E2E core flow'!$A$15:$A$1000&lt;&gt;"")*ISNUMBER(SEARCH('E2E core flow'!$A$15:$A$1000,$E839))*('E2E core flow'!$U$15:$U$1000&lt;&gt;""),"")))),"-"))</f>
        <v/>
      </c>
    </row>
    <row r="840" spans="7:19" x14ac:dyDescent="0.3">
      <c r="G840" s="68" t="str" cm="1">
        <f t="array" ref="G840">_xlfn.LET(_xlpm.ids,'E2E core flow'!$A$15:$A$1000,_xlpm.v,'E2E core flow'!$W$15:$W$1000,_xlpm.m,(_xlpm.ids&lt;&gt;"")*ISNUMBER(SEARCH(_xlpm.ids,$E840)),_xlpm.f,SUM(_xlpm.m*(_xlpm.v="Failed")),_xlpm.b,SUM(_xlpm.m*(_xlpm.v="Blocked")),_xlpm.nr,SUM(_xlpm.m*(_xlpm.v="Not Run")),_xlpm.cp,SUM(_xlpm.m*(_xlpm.v="Conditionally Passed")),_xlpm.p,SUM(_xlpm.m*(_xlpm.v="Passed")),IF(TRIM($A840)="","",IF(TRIM($E840)="","Pending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40" s="68" t="str">
        <f>IF(TRIM($A840)="","",IF($J840="Passed","",IF($J840="Passed with Known Issue","Known Issue",IF($J840="",IF(OR($H840&lt;&gt;"No",AND($F840&lt;&gt;"Medium",$F840&lt;&gt;"Low")),"Pending Result",""),IF(OR($H840&lt;&gt;"No",AND($F840&lt;&gt;"Medium",$F840&lt;&gt;"Low")),IF(COUNTIFS(Dashboard!$B$105:$B$124,$A840,Dashboard!$I$105:$I$124,"CAB")&gt;0,"Accepted (CF)","Blocking"),IF($J840="Failed","Deferrable","Carry Over"))))))</f>
        <v/>
      </c>
      <c r="M840" s="68" t="str">
        <f>IF(OR(TRIM($A840)="",TRIM($E840)=""),"",IFERROR(INDEX('E2E core flow'!$B$15:$B$1000,MATCH(1,INDEX(('E2E core flow'!$A$15:$A$1000&lt;&gt;"")*ISNUMBER(SEARCH('E2E core flow'!$A$15:$A$1000,$E840)),0),0))&amp;"","-"))</f>
        <v/>
      </c>
      <c r="N840" s="68" t="str">
        <f>IF(TRIM($A840)="","",IF($O840=0,IF(COUNTIFS('Card Test Cases'!$B$4:$B$1000,$A840,'Card Test Cases'!$A$4:$A$1000,"&lt;&gt;")&gt;0,"Out of Scope","No TC"),IF($Q840&gt;0,"Failed",IF(COUNTIFS('Card Test Cases'!$B$4:$B$1000,$A840,'Card Test Cases'!$A$4:$A$1000,"&lt;&gt;",'Card Test Cases'!$F$4:$F$1000,"Blocked")&gt;0,"Blocked",IF($R840&gt;0,"In Progress","Passed")))))</f>
        <v/>
      </c>
      <c r="O840" s="68" t="str">
        <f>IF(TRIM($A840)="","",COUNTIFS('Card Test Cases'!$B$4:$B$1000,$A840,'Card Test Cases'!$A$4:$A$1000,"&lt;&gt;",'Card Test Cases'!$F$4:$F$1000,"&lt;&gt;Out of Scope"))</f>
        <v/>
      </c>
      <c r="P840" s="68" t="str">
        <f>IF(TRIM($A840)="","",COUNTIFS('Card Test Cases'!$B$4:$B$1000,$A840,'Card Test Cases'!$A$4:$A$1000,"&lt;&gt;",'Card Test Cases'!$F$4:$F$1000,"Passed"))</f>
        <v/>
      </c>
      <c r="Q840" s="68" t="str">
        <f>IF(TRIM($A840)="","",COUNTIFS('Card Test Cases'!$B$4:$B$1000,$A840,'Card Test Cases'!$A$4:$A$1000,"&lt;&gt;",'Card Test Cases'!$F$4:$F$1000,"Failed"))</f>
        <v/>
      </c>
      <c r="R840" s="68" t="str">
        <f t="shared" si="13"/>
        <v/>
      </c>
      <c r="S840" s="68" t="str" cm="1">
        <f t="array" ref="S840">IF(TRIM($A840)="","",IFERROR(_xlfn.TEXTJOIN(", ",TRUE,_xlfn.UNIQUE(_xlfn.VSTACK(_xlfn._xlws.FILTER('Card Test Cases'!$G$4:$G$1000,('Card Test Cases'!$B$4:$B$1000=$A840)*('Card Test Cases'!$G$4:$G$1000&lt;&gt;""),""),_xlfn._xlws.FILTER('E2E core flow'!$U$15:$U$1000,('E2E core flow'!$A$15:$A$1000&lt;&gt;"")*ISNUMBER(SEARCH('E2E core flow'!$A$15:$A$1000,$E840))*('E2E core flow'!$U$15:$U$1000&lt;&gt;""),"")))),"-"))</f>
        <v/>
      </c>
    </row>
    <row r="841" spans="7:19" x14ac:dyDescent="0.3">
      <c r="G841" s="68" t="str" cm="1">
        <f t="array" ref="G841">_xlfn.LET(_xlpm.ids,'E2E core flow'!$A$15:$A$1000,_xlpm.v,'E2E core flow'!$W$15:$W$1000,_xlpm.m,(_xlpm.ids&lt;&gt;"")*ISNUMBER(SEARCH(_xlpm.ids,$E841)),_xlpm.f,SUM(_xlpm.m*(_xlpm.v="Failed")),_xlpm.b,SUM(_xlpm.m*(_xlpm.v="Blocked")),_xlpm.nr,SUM(_xlpm.m*(_xlpm.v="Not Run")),_xlpm.cp,SUM(_xlpm.m*(_xlpm.v="Conditionally Passed")),_xlpm.p,SUM(_xlpm.m*(_xlpm.v="Passed")),IF(TRIM($A841)="","",IF(TRIM($E841)="","Pending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41" s="68" t="str">
        <f>IF(TRIM($A841)="","",IF($J841="Passed","",IF($J841="Passed with Known Issue","Known Issue",IF($J841="",IF(OR($H841&lt;&gt;"No",AND($F841&lt;&gt;"Medium",$F841&lt;&gt;"Low")),"Pending Result",""),IF(OR($H841&lt;&gt;"No",AND($F841&lt;&gt;"Medium",$F841&lt;&gt;"Low")),IF(COUNTIFS(Dashboard!$B$105:$B$124,$A841,Dashboard!$I$105:$I$124,"CAB")&gt;0,"Accepted (CF)","Blocking"),IF($J841="Failed","Deferrable","Carry Over"))))))</f>
        <v/>
      </c>
      <c r="M841" s="68" t="str">
        <f>IF(OR(TRIM($A841)="",TRIM($E841)=""),"",IFERROR(INDEX('E2E core flow'!$B$15:$B$1000,MATCH(1,INDEX(('E2E core flow'!$A$15:$A$1000&lt;&gt;"")*ISNUMBER(SEARCH('E2E core flow'!$A$15:$A$1000,$E841)),0),0))&amp;"","-"))</f>
        <v/>
      </c>
      <c r="N841" s="68" t="str">
        <f>IF(TRIM($A841)="","",IF($O841=0,IF(COUNTIFS('Card Test Cases'!$B$4:$B$1000,$A841,'Card Test Cases'!$A$4:$A$1000,"&lt;&gt;")&gt;0,"Out of Scope","No TC"),IF($Q841&gt;0,"Failed",IF(COUNTIFS('Card Test Cases'!$B$4:$B$1000,$A841,'Card Test Cases'!$A$4:$A$1000,"&lt;&gt;",'Card Test Cases'!$F$4:$F$1000,"Blocked")&gt;0,"Blocked",IF($R841&gt;0,"In Progress","Passed")))))</f>
        <v/>
      </c>
      <c r="O841" s="68" t="str">
        <f>IF(TRIM($A841)="","",COUNTIFS('Card Test Cases'!$B$4:$B$1000,$A841,'Card Test Cases'!$A$4:$A$1000,"&lt;&gt;",'Card Test Cases'!$F$4:$F$1000,"&lt;&gt;Out of Scope"))</f>
        <v/>
      </c>
      <c r="P841" s="68" t="str">
        <f>IF(TRIM($A841)="","",COUNTIFS('Card Test Cases'!$B$4:$B$1000,$A841,'Card Test Cases'!$A$4:$A$1000,"&lt;&gt;",'Card Test Cases'!$F$4:$F$1000,"Passed"))</f>
        <v/>
      </c>
      <c r="Q841" s="68" t="str">
        <f>IF(TRIM($A841)="","",COUNTIFS('Card Test Cases'!$B$4:$B$1000,$A841,'Card Test Cases'!$A$4:$A$1000,"&lt;&gt;",'Card Test Cases'!$F$4:$F$1000,"Failed"))</f>
        <v/>
      </c>
      <c r="R841" s="68" t="str">
        <f t="shared" si="13"/>
        <v/>
      </c>
      <c r="S841" s="68" t="str" cm="1">
        <f t="array" ref="S841">IF(TRIM($A841)="","",IFERROR(_xlfn.TEXTJOIN(", ",TRUE,_xlfn.UNIQUE(_xlfn.VSTACK(_xlfn._xlws.FILTER('Card Test Cases'!$G$4:$G$1000,('Card Test Cases'!$B$4:$B$1000=$A841)*('Card Test Cases'!$G$4:$G$1000&lt;&gt;""),""),_xlfn._xlws.FILTER('E2E core flow'!$U$15:$U$1000,('E2E core flow'!$A$15:$A$1000&lt;&gt;"")*ISNUMBER(SEARCH('E2E core flow'!$A$15:$A$1000,$E841))*('E2E core flow'!$U$15:$U$1000&lt;&gt;""),"")))),"-"))</f>
        <v/>
      </c>
    </row>
    <row r="842" spans="7:19" x14ac:dyDescent="0.3">
      <c r="G842" s="68" t="str" cm="1">
        <f t="array" ref="G842">_xlfn.LET(_xlpm.ids,'E2E core flow'!$A$15:$A$1000,_xlpm.v,'E2E core flow'!$W$15:$W$1000,_xlpm.m,(_xlpm.ids&lt;&gt;"")*ISNUMBER(SEARCH(_xlpm.ids,$E842)),_xlpm.f,SUM(_xlpm.m*(_xlpm.v="Failed")),_xlpm.b,SUM(_xlpm.m*(_xlpm.v="Blocked")),_xlpm.nr,SUM(_xlpm.m*(_xlpm.v="Not Run")),_xlpm.cp,SUM(_xlpm.m*(_xlpm.v="Conditionally Passed")),_xlpm.p,SUM(_xlpm.m*(_xlpm.v="Passed")),IF(TRIM($A842)="","",IF(TRIM($E842)="","Pending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42" s="68" t="str">
        <f>IF(TRIM($A842)="","",IF($J842="Passed","",IF($J842="Passed with Known Issue","Known Issue",IF($J842="",IF(OR($H842&lt;&gt;"No",AND($F842&lt;&gt;"Medium",$F842&lt;&gt;"Low")),"Pending Result",""),IF(OR($H842&lt;&gt;"No",AND($F842&lt;&gt;"Medium",$F842&lt;&gt;"Low")),IF(COUNTIFS(Dashboard!$B$105:$B$124,$A842,Dashboard!$I$105:$I$124,"CAB")&gt;0,"Accepted (CF)","Blocking"),IF($J842="Failed","Deferrable","Carry Over"))))))</f>
        <v/>
      </c>
      <c r="M842" s="68" t="str">
        <f>IF(OR(TRIM($A842)="",TRIM($E842)=""),"",IFERROR(INDEX('E2E core flow'!$B$15:$B$1000,MATCH(1,INDEX(('E2E core flow'!$A$15:$A$1000&lt;&gt;"")*ISNUMBER(SEARCH('E2E core flow'!$A$15:$A$1000,$E842)),0),0))&amp;"","-"))</f>
        <v/>
      </c>
      <c r="N842" s="68" t="str">
        <f>IF(TRIM($A842)="","",IF($O842=0,IF(COUNTIFS('Card Test Cases'!$B$4:$B$1000,$A842,'Card Test Cases'!$A$4:$A$1000,"&lt;&gt;")&gt;0,"Out of Scope","No TC"),IF($Q842&gt;0,"Failed",IF(COUNTIFS('Card Test Cases'!$B$4:$B$1000,$A842,'Card Test Cases'!$A$4:$A$1000,"&lt;&gt;",'Card Test Cases'!$F$4:$F$1000,"Blocked")&gt;0,"Blocked",IF($R842&gt;0,"In Progress","Passed")))))</f>
        <v/>
      </c>
      <c r="O842" s="68" t="str">
        <f>IF(TRIM($A842)="","",COUNTIFS('Card Test Cases'!$B$4:$B$1000,$A842,'Card Test Cases'!$A$4:$A$1000,"&lt;&gt;",'Card Test Cases'!$F$4:$F$1000,"&lt;&gt;Out of Scope"))</f>
        <v/>
      </c>
      <c r="P842" s="68" t="str">
        <f>IF(TRIM($A842)="","",COUNTIFS('Card Test Cases'!$B$4:$B$1000,$A842,'Card Test Cases'!$A$4:$A$1000,"&lt;&gt;",'Card Test Cases'!$F$4:$F$1000,"Passed"))</f>
        <v/>
      </c>
      <c r="Q842" s="68" t="str">
        <f>IF(TRIM($A842)="","",COUNTIFS('Card Test Cases'!$B$4:$B$1000,$A842,'Card Test Cases'!$A$4:$A$1000,"&lt;&gt;",'Card Test Cases'!$F$4:$F$1000,"Failed"))</f>
        <v/>
      </c>
      <c r="R842" s="68" t="str">
        <f t="shared" si="13"/>
        <v/>
      </c>
      <c r="S842" s="68" t="str" cm="1">
        <f t="array" ref="S842">IF(TRIM($A842)="","",IFERROR(_xlfn.TEXTJOIN(", ",TRUE,_xlfn.UNIQUE(_xlfn.VSTACK(_xlfn._xlws.FILTER('Card Test Cases'!$G$4:$G$1000,('Card Test Cases'!$B$4:$B$1000=$A842)*('Card Test Cases'!$G$4:$G$1000&lt;&gt;""),""),_xlfn._xlws.FILTER('E2E core flow'!$U$15:$U$1000,('E2E core flow'!$A$15:$A$1000&lt;&gt;"")*ISNUMBER(SEARCH('E2E core flow'!$A$15:$A$1000,$E842))*('E2E core flow'!$U$15:$U$1000&lt;&gt;""),"")))),"-"))</f>
        <v/>
      </c>
    </row>
    <row r="843" spans="7:19" x14ac:dyDescent="0.3">
      <c r="G843" s="68" t="str" cm="1">
        <f t="array" ref="G843">_xlfn.LET(_xlpm.ids,'E2E core flow'!$A$15:$A$1000,_xlpm.v,'E2E core flow'!$W$15:$W$1000,_xlpm.m,(_xlpm.ids&lt;&gt;"")*ISNUMBER(SEARCH(_xlpm.ids,$E843)),_xlpm.f,SUM(_xlpm.m*(_xlpm.v="Failed")),_xlpm.b,SUM(_xlpm.m*(_xlpm.v="Blocked")),_xlpm.nr,SUM(_xlpm.m*(_xlpm.v="Not Run")),_xlpm.cp,SUM(_xlpm.m*(_xlpm.v="Conditionally Passed")),_xlpm.p,SUM(_xlpm.m*(_xlpm.v="Passed")),IF(TRIM($A843)="","",IF(TRIM($E843)="","Pending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43" s="68" t="str">
        <f>IF(TRIM($A843)="","",IF($J843="Passed","",IF($J843="Passed with Known Issue","Known Issue",IF($J843="",IF(OR($H843&lt;&gt;"No",AND($F843&lt;&gt;"Medium",$F843&lt;&gt;"Low")),"Pending Result",""),IF(OR($H843&lt;&gt;"No",AND($F843&lt;&gt;"Medium",$F843&lt;&gt;"Low")),IF(COUNTIFS(Dashboard!$B$105:$B$124,$A843,Dashboard!$I$105:$I$124,"CAB")&gt;0,"Accepted (CF)","Blocking"),IF($J843="Failed","Deferrable","Carry Over"))))))</f>
        <v/>
      </c>
      <c r="M843" s="68" t="str">
        <f>IF(OR(TRIM($A843)="",TRIM($E843)=""),"",IFERROR(INDEX('E2E core flow'!$B$15:$B$1000,MATCH(1,INDEX(('E2E core flow'!$A$15:$A$1000&lt;&gt;"")*ISNUMBER(SEARCH('E2E core flow'!$A$15:$A$1000,$E843)),0),0))&amp;"","-"))</f>
        <v/>
      </c>
      <c r="N843" s="68" t="str">
        <f>IF(TRIM($A843)="","",IF($O843=0,IF(COUNTIFS('Card Test Cases'!$B$4:$B$1000,$A843,'Card Test Cases'!$A$4:$A$1000,"&lt;&gt;")&gt;0,"Out of Scope","No TC"),IF($Q843&gt;0,"Failed",IF(COUNTIFS('Card Test Cases'!$B$4:$B$1000,$A843,'Card Test Cases'!$A$4:$A$1000,"&lt;&gt;",'Card Test Cases'!$F$4:$F$1000,"Blocked")&gt;0,"Blocked",IF($R843&gt;0,"In Progress","Passed")))))</f>
        <v/>
      </c>
      <c r="O843" s="68" t="str">
        <f>IF(TRIM($A843)="","",COUNTIFS('Card Test Cases'!$B$4:$B$1000,$A843,'Card Test Cases'!$A$4:$A$1000,"&lt;&gt;",'Card Test Cases'!$F$4:$F$1000,"&lt;&gt;Out of Scope"))</f>
        <v/>
      </c>
      <c r="P843" s="68" t="str">
        <f>IF(TRIM($A843)="","",COUNTIFS('Card Test Cases'!$B$4:$B$1000,$A843,'Card Test Cases'!$A$4:$A$1000,"&lt;&gt;",'Card Test Cases'!$F$4:$F$1000,"Passed"))</f>
        <v/>
      </c>
      <c r="Q843" s="68" t="str">
        <f>IF(TRIM($A843)="","",COUNTIFS('Card Test Cases'!$B$4:$B$1000,$A843,'Card Test Cases'!$A$4:$A$1000,"&lt;&gt;",'Card Test Cases'!$F$4:$F$1000,"Failed"))</f>
        <v/>
      </c>
      <c r="R843" s="68" t="str">
        <f t="shared" si="13"/>
        <v/>
      </c>
      <c r="S843" s="68" t="str" cm="1">
        <f t="array" ref="S843">IF(TRIM($A843)="","",IFERROR(_xlfn.TEXTJOIN(", ",TRUE,_xlfn.UNIQUE(_xlfn.VSTACK(_xlfn._xlws.FILTER('Card Test Cases'!$G$4:$G$1000,('Card Test Cases'!$B$4:$B$1000=$A843)*('Card Test Cases'!$G$4:$G$1000&lt;&gt;""),""),_xlfn._xlws.FILTER('E2E core flow'!$U$15:$U$1000,('E2E core flow'!$A$15:$A$1000&lt;&gt;"")*ISNUMBER(SEARCH('E2E core flow'!$A$15:$A$1000,$E843))*('E2E core flow'!$U$15:$U$1000&lt;&gt;""),"")))),"-"))</f>
        <v/>
      </c>
    </row>
    <row r="844" spans="7:19" x14ac:dyDescent="0.3">
      <c r="G844" s="68" t="str" cm="1">
        <f t="array" ref="G844">_xlfn.LET(_xlpm.ids,'E2E core flow'!$A$15:$A$1000,_xlpm.v,'E2E core flow'!$W$15:$W$1000,_xlpm.m,(_xlpm.ids&lt;&gt;"")*ISNUMBER(SEARCH(_xlpm.ids,$E844)),_xlpm.f,SUM(_xlpm.m*(_xlpm.v="Failed")),_xlpm.b,SUM(_xlpm.m*(_xlpm.v="Blocked")),_xlpm.nr,SUM(_xlpm.m*(_xlpm.v="Not Run")),_xlpm.cp,SUM(_xlpm.m*(_xlpm.v="Conditionally Passed")),_xlpm.p,SUM(_xlpm.m*(_xlpm.v="Passed")),IF(TRIM($A844)="","",IF(TRIM($E844)="","Pending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44" s="68" t="str">
        <f>IF(TRIM($A844)="","",IF($J844="Passed","",IF($J844="Passed with Known Issue","Known Issue",IF($J844="",IF(OR($H844&lt;&gt;"No",AND($F844&lt;&gt;"Medium",$F844&lt;&gt;"Low")),"Pending Result",""),IF(OR($H844&lt;&gt;"No",AND($F844&lt;&gt;"Medium",$F844&lt;&gt;"Low")),IF(COUNTIFS(Dashboard!$B$105:$B$124,$A844,Dashboard!$I$105:$I$124,"CAB")&gt;0,"Accepted (CF)","Blocking"),IF($J844="Failed","Deferrable","Carry Over"))))))</f>
        <v/>
      </c>
      <c r="M844" s="68" t="str">
        <f>IF(OR(TRIM($A844)="",TRIM($E844)=""),"",IFERROR(INDEX('E2E core flow'!$B$15:$B$1000,MATCH(1,INDEX(('E2E core flow'!$A$15:$A$1000&lt;&gt;"")*ISNUMBER(SEARCH('E2E core flow'!$A$15:$A$1000,$E844)),0),0))&amp;"","-"))</f>
        <v/>
      </c>
      <c r="N844" s="68" t="str">
        <f>IF(TRIM($A844)="","",IF($O844=0,IF(COUNTIFS('Card Test Cases'!$B$4:$B$1000,$A844,'Card Test Cases'!$A$4:$A$1000,"&lt;&gt;")&gt;0,"Out of Scope","No TC"),IF($Q844&gt;0,"Failed",IF(COUNTIFS('Card Test Cases'!$B$4:$B$1000,$A844,'Card Test Cases'!$A$4:$A$1000,"&lt;&gt;",'Card Test Cases'!$F$4:$F$1000,"Blocked")&gt;0,"Blocked",IF($R844&gt;0,"In Progress","Passed")))))</f>
        <v/>
      </c>
      <c r="O844" s="68" t="str">
        <f>IF(TRIM($A844)="","",COUNTIFS('Card Test Cases'!$B$4:$B$1000,$A844,'Card Test Cases'!$A$4:$A$1000,"&lt;&gt;",'Card Test Cases'!$F$4:$F$1000,"&lt;&gt;Out of Scope"))</f>
        <v/>
      </c>
      <c r="P844" s="68" t="str">
        <f>IF(TRIM($A844)="","",COUNTIFS('Card Test Cases'!$B$4:$B$1000,$A844,'Card Test Cases'!$A$4:$A$1000,"&lt;&gt;",'Card Test Cases'!$F$4:$F$1000,"Passed"))</f>
        <v/>
      </c>
      <c r="Q844" s="68" t="str">
        <f>IF(TRIM($A844)="","",COUNTIFS('Card Test Cases'!$B$4:$B$1000,$A844,'Card Test Cases'!$A$4:$A$1000,"&lt;&gt;",'Card Test Cases'!$F$4:$F$1000,"Failed"))</f>
        <v/>
      </c>
      <c r="R844" s="68" t="str">
        <f t="shared" si="13"/>
        <v/>
      </c>
      <c r="S844" s="68" t="str" cm="1">
        <f t="array" ref="S844">IF(TRIM($A844)="","",IFERROR(_xlfn.TEXTJOIN(", ",TRUE,_xlfn.UNIQUE(_xlfn.VSTACK(_xlfn._xlws.FILTER('Card Test Cases'!$G$4:$G$1000,('Card Test Cases'!$B$4:$B$1000=$A844)*('Card Test Cases'!$G$4:$G$1000&lt;&gt;""),""),_xlfn._xlws.FILTER('E2E core flow'!$U$15:$U$1000,('E2E core flow'!$A$15:$A$1000&lt;&gt;"")*ISNUMBER(SEARCH('E2E core flow'!$A$15:$A$1000,$E844))*('E2E core flow'!$U$15:$U$1000&lt;&gt;""),"")))),"-"))</f>
        <v/>
      </c>
    </row>
    <row r="845" spans="7:19" x14ac:dyDescent="0.3">
      <c r="G845" s="68" t="str" cm="1">
        <f t="array" ref="G845">_xlfn.LET(_xlpm.ids,'E2E core flow'!$A$15:$A$1000,_xlpm.v,'E2E core flow'!$W$15:$W$1000,_xlpm.m,(_xlpm.ids&lt;&gt;"")*ISNUMBER(SEARCH(_xlpm.ids,$E845)),_xlpm.f,SUM(_xlpm.m*(_xlpm.v="Failed")),_xlpm.b,SUM(_xlpm.m*(_xlpm.v="Blocked")),_xlpm.nr,SUM(_xlpm.m*(_xlpm.v="Not Run")),_xlpm.cp,SUM(_xlpm.m*(_xlpm.v="Conditionally Passed")),_xlpm.p,SUM(_xlpm.m*(_xlpm.v="Passed")),IF(TRIM($A845)="","",IF(TRIM($E845)="","Pending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45" s="68" t="str">
        <f>IF(TRIM($A845)="","",IF($J845="Passed","",IF($J845="Passed with Known Issue","Known Issue",IF($J845="",IF(OR($H845&lt;&gt;"No",AND($F845&lt;&gt;"Medium",$F845&lt;&gt;"Low")),"Pending Result",""),IF(OR($H845&lt;&gt;"No",AND($F845&lt;&gt;"Medium",$F845&lt;&gt;"Low")),IF(COUNTIFS(Dashboard!$B$105:$B$124,$A845,Dashboard!$I$105:$I$124,"CAB")&gt;0,"Accepted (CF)","Blocking"),IF($J845="Failed","Deferrable","Carry Over"))))))</f>
        <v/>
      </c>
      <c r="M845" s="68" t="str">
        <f>IF(OR(TRIM($A845)="",TRIM($E845)=""),"",IFERROR(INDEX('E2E core flow'!$B$15:$B$1000,MATCH(1,INDEX(('E2E core flow'!$A$15:$A$1000&lt;&gt;"")*ISNUMBER(SEARCH('E2E core flow'!$A$15:$A$1000,$E845)),0),0))&amp;"","-"))</f>
        <v/>
      </c>
      <c r="N845" s="68" t="str">
        <f>IF(TRIM($A845)="","",IF($O845=0,IF(COUNTIFS('Card Test Cases'!$B$4:$B$1000,$A845,'Card Test Cases'!$A$4:$A$1000,"&lt;&gt;")&gt;0,"Out of Scope","No TC"),IF($Q845&gt;0,"Failed",IF(COUNTIFS('Card Test Cases'!$B$4:$B$1000,$A845,'Card Test Cases'!$A$4:$A$1000,"&lt;&gt;",'Card Test Cases'!$F$4:$F$1000,"Blocked")&gt;0,"Blocked",IF($R845&gt;0,"In Progress","Passed")))))</f>
        <v/>
      </c>
      <c r="O845" s="68" t="str">
        <f>IF(TRIM($A845)="","",COUNTIFS('Card Test Cases'!$B$4:$B$1000,$A845,'Card Test Cases'!$A$4:$A$1000,"&lt;&gt;",'Card Test Cases'!$F$4:$F$1000,"&lt;&gt;Out of Scope"))</f>
        <v/>
      </c>
      <c r="P845" s="68" t="str">
        <f>IF(TRIM($A845)="","",COUNTIFS('Card Test Cases'!$B$4:$B$1000,$A845,'Card Test Cases'!$A$4:$A$1000,"&lt;&gt;",'Card Test Cases'!$F$4:$F$1000,"Passed"))</f>
        <v/>
      </c>
      <c r="Q845" s="68" t="str">
        <f>IF(TRIM($A845)="","",COUNTIFS('Card Test Cases'!$B$4:$B$1000,$A845,'Card Test Cases'!$A$4:$A$1000,"&lt;&gt;",'Card Test Cases'!$F$4:$F$1000,"Failed"))</f>
        <v/>
      </c>
      <c r="R845" s="68" t="str">
        <f t="shared" si="13"/>
        <v/>
      </c>
      <c r="S845" s="68" t="str" cm="1">
        <f t="array" ref="S845">IF(TRIM($A845)="","",IFERROR(_xlfn.TEXTJOIN(", ",TRUE,_xlfn.UNIQUE(_xlfn.VSTACK(_xlfn._xlws.FILTER('Card Test Cases'!$G$4:$G$1000,('Card Test Cases'!$B$4:$B$1000=$A845)*('Card Test Cases'!$G$4:$G$1000&lt;&gt;""),""),_xlfn._xlws.FILTER('E2E core flow'!$U$15:$U$1000,('E2E core flow'!$A$15:$A$1000&lt;&gt;"")*ISNUMBER(SEARCH('E2E core flow'!$A$15:$A$1000,$E845))*('E2E core flow'!$U$15:$U$1000&lt;&gt;""),"")))),"-"))</f>
        <v/>
      </c>
    </row>
    <row r="846" spans="7:19" x14ac:dyDescent="0.3">
      <c r="G846" s="68" t="str" cm="1">
        <f t="array" ref="G846">_xlfn.LET(_xlpm.ids,'E2E core flow'!$A$15:$A$1000,_xlpm.v,'E2E core flow'!$W$15:$W$1000,_xlpm.m,(_xlpm.ids&lt;&gt;"")*ISNUMBER(SEARCH(_xlpm.ids,$E846)),_xlpm.f,SUM(_xlpm.m*(_xlpm.v="Failed")),_xlpm.b,SUM(_xlpm.m*(_xlpm.v="Blocked")),_xlpm.nr,SUM(_xlpm.m*(_xlpm.v="Not Run")),_xlpm.cp,SUM(_xlpm.m*(_xlpm.v="Conditionally Passed")),_xlpm.p,SUM(_xlpm.m*(_xlpm.v="Passed")),IF(TRIM($A846)="","",IF(TRIM($E846)="","Pending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46" s="68" t="str">
        <f>IF(TRIM($A846)="","",IF($J846="Passed","",IF($J846="Passed with Known Issue","Known Issue",IF($J846="",IF(OR($H846&lt;&gt;"No",AND($F846&lt;&gt;"Medium",$F846&lt;&gt;"Low")),"Pending Result",""),IF(OR($H846&lt;&gt;"No",AND($F846&lt;&gt;"Medium",$F846&lt;&gt;"Low")),IF(COUNTIFS(Dashboard!$B$105:$B$124,$A846,Dashboard!$I$105:$I$124,"CAB")&gt;0,"Accepted (CF)","Blocking"),IF($J846="Failed","Deferrable","Carry Over"))))))</f>
        <v/>
      </c>
      <c r="M846" s="68" t="str">
        <f>IF(OR(TRIM($A846)="",TRIM($E846)=""),"",IFERROR(INDEX('E2E core flow'!$B$15:$B$1000,MATCH(1,INDEX(('E2E core flow'!$A$15:$A$1000&lt;&gt;"")*ISNUMBER(SEARCH('E2E core flow'!$A$15:$A$1000,$E846)),0),0))&amp;"","-"))</f>
        <v/>
      </c>
      <c r="N846" s="68" t="str">
        <f>IF(TRIM($A846)="","",IF($O846=0,IF(COUNTIFS('Card Test Cases'!$B$4:$B$1000,$A846,'Card Test Cases'!$A$4:$A$1000,"&lt;&gt;")&gt;0,"Out of Scope","No TC"),IF($Q846&gt;0,"Failed",IF(COUNTIFS('Card Test Cases'!$B$4:$B$1000,$A846,'Card Test Cases'!$A$4:$A$1000,"&lt;&gt;",'Card Test Cases'!$F$4:$F$1000,"Blocked")&gt;0,"Blocked",IF($R846&gt;0,"In Progress","Passed")))))</f>
        <v/>
      </c>
      <c r="O846" s="68" t="str">
        <f>IF(TRIM($A846)="","",COUNTIFS('Card Test Cases'!$B$4:$B$1000,$A846,'Card Test Cases'!$A$4:$A$1000,"&lt;&gt;",'Card Test Cases'!$F$4:$F$1000,"&lt;&gt;Out of Scope"))</f>
        <v/>
      </c>
      <c r="P846" s="68" t="str">
        <f>IF(TRIM($A846)="","",COUNTIFS('Card Test Cases'!$B$4:$B$1000,$A846,'Card Test Cases'!$A$4:$A$1000,"&lt;&gt;",'Card Test Cases'!$F$4:$F$1000,"Passed"))</f>
        <v/>
      </c>
      <c r="Q846" s="68" t="str">
        <f>IF(TRIM($A846)="","",COUNTIFS('Card Test Cases'!$B$4:$B$1000,$A846,'Card Test Cases'!$A$4:$A$1000,"&lt;&gt;",'Card Test Cases'!$F$4:$F$1000,"Failed"))</f>
        <v/>
      </c>
      <c r="R846" s="68" t="str">
        <f t="shared" si="13"/>
        <v/>
      </c>
      <c r="S846" s="68" t="str" cm="1">
        <f t="array" ref="S846">IF(TRIM($A846)="","",IFERROR(_xlfn.TEXTJOIN(", ",TRUE,_xlfn.UNIQUE(_xlfn.VSTACK(_xlfn._xlws.FILTER('Card Test Cases'!$G$4:$G$1000,('Card Test Cases'!$B$4:$B$1000=$A846)*('Card Test Cases'!$G$4:$G$1000&lt;&gt;""),""),_xlfn._xlws.FILTER('E2E core flow'!$U$15:$U$1000,('E2E core flow'!$A$15:$A$1000&lt;&gt;"")*ISNUMBER(SEARCH('E2E core flow'!$A$15:$A$1000,$E846))*('E2E core flow'!$U$15:$U$1000&lt;&gt;""),"")))),"-"))</f>
        <v/>
      </c>
    </row>
    <row r="847" spans="7:19" x14ac:dyDescent="0.3">
      <c r="G847" s="68" t="str" cm="1">
        <f t="array" ref="G847">_xlfn.LET(_xlpm.ids,'E2E core flow'!$A$15:$A$1000,_xlpm.v,'E2E core flow'!$W$15:$W$1000,_xlpm.m,(_xlpm.ids&lt;&gt;"")*ISNUMBER(SEARCH(_xlpm.ids,$E847)),_xlpm.f,SUM(_xlpm.m*(_xlpm.v="Failed")),_xlpm.b,SUM(_xlpm.m*(_xlpm.v="Blocked")),_xlpm.nr,SUM(_xlpm.m*(_xlpm.v="Not Run")),_xlpm.cp,SUM(_xlpm.m*(_xlpm.v="Conditionally Passed")),_xlpm.p,SUM(_xlpm.m*(_xlpm.v="Passed")),IF(TRIM($A847)="","",IF(TRIM($E847)="","Pending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47" s="68" t="str">
        <f>IF(TRIM($A847)="","",IF($J847="Passed","",IF($J847="Passed with Known Issue","Known Issue",IF($J847="",IF(OR($H847&lt;&gt;"No",AND($F847&lt;&gt;"Medium",$F847&lt;&gt;"Low")),"Pending Result",""),IF(OR($H847&lt;&gt;"No",AND($F847&lt;&gt;"Medium",$F847&lt;&gt;"Low")),IF(COUNTIFS(Dashboard!$B$105:$B$124,$A847,Dashboard!$I$105:$I$124,"CAB")&gt;0,"Accepted (CF)","Blocking"),IF($J847="Failed","Deferrable","Carry Over"))))))</f>
        <v/>
      </c>
      <c r="M847" s="68" t="str">
        <f>IF(OR(TRIM($A847)="",TRIM($E847)=""),"",IFERROR(INDEX('E2E core flow'!$B$15:$B$1000,MATCH(1,INDEX(('E2E core flow'!$A$15:$A$1000&lt;&gt;"")*ISNUMBER(SEARCH('E2E core flow'!$A$15:$A$1000,$E847)),0),0))&amp;"","-"))</f>
        <v/>
      </c>
      <c r="N847" s="68" t="str">
        <f>IF(TRIM($A847)="","",IF($O847=0,IF(COUNTIFS('Card Test Cases'!$B$4:$B$1000,$A847,'Card Test Cases'!$A$4:$A$1000,"&lt;&gt;")&gt;0,"Out of Scope","No TC"),IF($Q847&gt;0,"Failed",IF(COUNTIFS('Card Test Cases'!$B$4:$B$1000,$A847,'Card Test Cases'!$A$4:$A$1000,"&lt;&gt;",'Card Test Cases'!$F$4:$F$1000,"Blocked")&gt;0,"Blocked",IF($R847&gt;0,"In Progress","Passed")))))</f>
        <v/>
      </c>
      <c r="O847" s="68" t="str">
        <f>IF(TRIM($A847)="","",COUNTIFS('Card Test Cases'!$B$4:$B$1000,$A847,'Card Test Cases'!$A$4:$A$1000,"&lt;&gt;",'Card Test Cases'!$F$4:$F$1000,"&lt;&gt;Out of Scope"))</f>
        <v/>
      </c>
      <c r="P847" s="68" t="str">
        <f>IF(TRIM($A847)="","",COUNTIFS('Card Test Cases'!$B$4:$B$1000,$A847,'Card Test Cases'!$A$4:$A$1000,"&lt;&gt;",'Card Test Cases'!$F$4:$F$1000,"Passed"))</f>
        <v/>
      </c>
      <c r="Q847" s="68" t="str">
        <f>IF(TRIM($A847)="","",COUNTIFS('Card Test Cases'!$B$4:$B$1000,$A847,'Card Test Cases'!$A$4:$A$1000,"&lt;&gt;",'Card Test Cases'!$F$4:$F$1000,"Failed"))</f>
        <v/>
      </c>
      <c r="R847" s="68" t="str">
        <f t="shared" si="13"/>
        <v/>
      </c>
      <c r="S847" s="68" t="str" cm="1">
        <f t="array" ref="S847">IF(TRIM($A847)="","",IFERROR(_xlfn.TEXTJOIN(", ",TRUE,_xlfn.UNIQUE(_xlfn.VSTACK(_xlfn._xlws.FILTER('Card Test Cases'!$G$4:$G$1000,('Card Test Cases'!$B$4:$B$1000=$A847)*('Card Test Cases'!$G$4:$G$1000&lt;&gt;""),""),_xlfn._xlws.FILTER('E2E core flow'!$U$15:$U$1000,('E2E core flow'!$A$15:$A$1000&lt;&gt;"")*ISNUMBER(SEARCH('E2E core flow'!$A$15:$A$1000,$E847))*('E2E core flow'!$U$15:$U$1000&lt;&gt;""),"")))),"-"))</f>
        <v/>
      </c>
    </row>
    <row r="848" spans="7:19" x14ac:dyDescent="0.3">
      <c r="G848" s="68" t="str" cm="1">
        <f t="array" ref="G848">_xlfn.LET(_xlpm.ids,'E2E core flow'!$A$15:$A$1000,_xlpm.v,'E2E core flow'!$W$15:$W$1000,_xlpm.m,(_xlpm.ids&lt;&gt;"")*ISNUMBER(SEARCH(_xlpm.ids,$E848)),_xlpm.f,SUM(_xlpm.m*(_xlpm.v="Failed")),_xlpm.b,SUM(_xlpm.m*(_xlpm.v="Blocked")),_xlpm.nr,SUM(_xlpm.m*(_xlpm.v="Not Run")),_xlpm.cp,SUM(_xlpm.m*(_xlpm.v="Conditionally Passed")),_xlpm.p,SUM(_xlpm.m*(_xlpm.v="Passed")),IF(TRIM($A848)="","",IF(TRIM($E848)="","Pending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48" s="68" t="str">
        <f>IF(TRIM($A848)="","",IF($J848="Passed","",IF($J848="Passed with Known Issue","Known Issue",IF($J848="",IF(OR($H848&lt;&gt;"No",AND($F848&lt;&gt;"Medium",$F848&lt;&gt;"Low")),"Pending Result",""),IF(OR($H848&lt;&gt;"No",AND($F848&lt;&gt;"Medium",$F848&lt;&gt;"Low")),IF(COUNTIFS(Dashboard!$B$105:$B$124,$A848,Dashboard!$I$105:$I$124,"CAB")&gt;0,"Accepted (CF)","Blocking"),IF($J848="Failed","Deferrable","Carry Over"))))))</f>
        <v/>
      </c>
      <c r="M848" s="68" t="str">
        <f>IF(OR(TRIM($A848)="",TRIM($E848)=""),"",IFERROR(INDEX('E2E core flow'!$B$15:$B$1000,MATCH(1,INDEX(('E2E core flow'!$A$15:$A$1000&lt;&gt;"")*ISNUMBER(SEARCH('E2E core flow'!$A$15:$A$1000,$E848)),0),0))&amp;"","-"))</f>
        <v/>
      </c>
      <c r="N848" s="68" t="str">
        <f>IF(TRIM($A848)="","",IF($O848=0,IF(COUNTIFS('Card Test Cases'!$B$4:$B$1000,$A848,'Card Test Cases'!$A$4:$A$1000,"&lt;&gt;")&gt;0,"Out of Scope","No TC"),IF($Q848&gt;0,"Failed",IF(COUNTIFS('Card Test Cases'!$B$4:$B$1000,$A848,'Card Test Cases'!$A$4:$A$1000,"&lt;&gt;",'Card Test Cases'!$F$4:$F$1000,"Blocked")&gt;0,"Blocked",IF($R848&gt;0,"In Progress","Passed")))))</f>
        <v/>
      </c>
      <c r="O848" s="68" t="str">
        <f>IF(TRIM($A848)="","",COUNTIFS('Card Test Cases'!$B$4:$B$1000,$A848,'Card Test Cases'!$A$4:$A$1000,"&lt;&gt;",'Card Test Cases'!$F$4:$F$1000,"&lt;&gt;Out of Scope"))</f>
        <v/>
      </c>
      <c r="P848" s="68" t="str">
        <f>IF(TRIM($A848)="","",COUNTIFS('Card Test Cases'!$B$4:$B$1000,$A848,'Card Test Cases'!$A$4:$A$1000,"&lt;&gt;",'Card Test Cases'!$F$4:$F$1000,"Passed"))</f>
        <v/>
      </c>
      <c r="Q848" s="68" t="str">
        <f>IF(TRIM($A848)="","",COUNTIFS('Card Test Cases'!$B$4:$B$1000,$A848,'Card Test Cases'!$A$4:$A$1000,"&lt;&gt;",'Card Test Cases'!$F$4:$F$1000,"Failed"))</f>
        <v/>
      </c>
      <c r="R848" s="68" t="str">
        <f t="shared" si="13"/>
        <v/>
      </c>
      <c r="S848" s="68" t="str" cm="1">
        <f t="array" ref="S848">IF(TRIM($A848)="","",IFERROR(_xlfn.TEXTJOIN(", ",TRUE,_xlfn.UNIQUE(_xlfn.VSTACK(_xlfn._xlws.FILTER('Card Test Cases'!$G$4:$G$1000,('Card Test Cases'!$B$4:$B$1000=$A848)*('Card Test Cases'!$G$4:$G$1000&lt;&gt;""),""),_xlfn._xlws.FILTER('E2E core flow'!$U$15:$U$1000,('E2E core flow'!$A$15:$A$1000&lt;&gt;"")*ISNUMBER(SEARCH('E2E core flow'!$A$15:$A$1000,$E848))*('E2E core flow'!$U$15:$U$1000&lt;&gt;""),"")))),"-"))</f>
        <v/>
      </c>
    </row>
    <row r="849" spans="7:19" x14ac:dyDescent="0.3">
      <c r="G849" s="68" t="str" cm="1">
        <f t="array" ref="G849">_xlfn.LET(_xlpm.ids,'E2E core flow'!$A$15:$A$1000,_xlpm.v,'E2E core flow'!$W$15:$W$1000,_xlpm.m,(_xlpm.ids&lt;&gt;"")*ISNUMBER(SEARCH(_xlpm.ids,$E849)),_xlpm.f,SUM(_xlpm.m*(_xlpm.v="Failed")),_xlpm.b,SUM(_xlpm.m*(_xlpm.v="Blocked")),_xlpm.nr,SUM(_xlpm.m*(_xlpm.v="Not Run")),_xlpm.cp,SUM(_xlpm.m*(_xlpm.v="Conditionally Passed")),_xlpm.p,SUM(_xlpm.m*(_xlpm.v="Passed")),IF(TRIM($A849)="","",IF(TRIM($E849)="","Pending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49" s="68" t="str">
        <f>IF(TRIM($A849)="","",IF($J849="Passed","",IF($J849="Passed with Known Issue","Known Issue",IF($J849="",IF(OR($H849&lt;&gt;"No",AND($F849&lt;&gt;"Medium",$F849&lt;&gt;"Low")),"Pending Result",""),IF(OR($H849&lt;&gt;"No",AND($F849&lt;&gt;"Medium",$F849&lt;&gt;"Low")),IF(COUNTIFS(Dashboard!$B$105:$B$124,$A849,Dashboard!$I$105:$I$124,"CAB")&gt;0,"Accepted (CF)","Blocking"),IF($J849="Failed","Deferrable","Carry Over"))))))</f>
        <v/>
      </c>
      <c r="M849" s="68" t="str">
        <f>IF(OR(TRIM($A849)="",TRIM($E849)=""),"",IFERROR(INDEX('E2E core flow'!$B$15:$B$1000,MATCH(1,INDEX(('E2E core flow'!$A$15:$A$1000&lt;&gt;"")*ISNUMBER(SEARCH('E2E core flow'!$A$15:$A$1000,$E849)),0),0))&amp;"","-"))</f>
        <v/>
      </c>
      <c r="N849" s="68" t="str">
        <f>IF(TRIM($A849)="","",IF($O849=0,IF(COUNTIFS('Card Test Cases'!$B$4:$B$1000,$A849,'Card Test Cases'!$A$4:$A$1000,"&lt;&gt;")&gt;0,"Out of Scope","No TC"),IF($Q849&gt;0,"Failed",IF(COUNTIFS('Card Test Cases'!$B$4:$B$1000,$A849,'Card Test Cases'!$A$4:$A$1000,"&lt;&gt;",'Card Test Cases'!$F$4:$F$1000,"Blocked")&gt;0,"Blocked",IF($R849&gt;0,"In Progress","Passed")))))</f>
        <v/>
      </c>
      <c r="O849" s="68" t="str">
        <f>IF(TRIM($A849)="","",COUNTIFS('Card Test Cases'!$B$4:$B$1000,$A849,'Card Test Cases'!$A$4:$A$1000,"&lt;&gt;",'Card Test Cases'!$F$4:$F$1000,"&lt;&gt;Out of Scope"))</f>
        <v/>
      </c>
      <c r="P849" s="68" t="str">
        <f>IF(TRIM($A849)="","",COUNTIFS('Card Test Cases'!$B$4:$B$1000,$A849,'Card Test Cases'!$A$4:$A$1000,"&lt;&gt;",'Card Test Cases'!$F$4:$F$1000,"Passed"))</f>
        <v/>
      </c>
      <c r="Q849" s="68" t="str">
        <f>IF(TRIM($A849)="","",COUNTIFS('Card Test Cases'!$B$4:$B$1000,$A849,'Card Test Cases'!$A$4:$A$1000,"&lt;&gt;",'Card Test Cases'!$F$4:$F$1000,"Failed"))</f>
        <v/>
      </c>
      <c r="R849" s="68" t="str">
        <f t="shared" si="13"/>
        <v/>
      </c>
      <c r="S849" s="68" t="str" cm="1">
        <f t="array" ref="S849">IF(TRIM($A849)="","",IFERROR(_xlfn.TEXTJOIN(", ",TRUE,_xlfn.UNIQUE(_xlfn.VSTACK(_xlfn._xlws.FILTER('Card Test Cases'!$G$4:$G$1000,('Card Test Cases'!$B$4:$B$1000=$A849)*('Card Test Cases'!$G$4:$G$1000&lt;&gt;""),""),_xlfn._xlws.FILTER('E2E core flow'!$U$15:$U$1000,('E2E core flow'!$A$15:$A$1000&lt;&gt;"")*ISNUMBER(SEARCH('E2E core flow'!$A$15:$A$1000,$E849))*('E2E core flow'!$U$15:$U$1000&lt;&gt;""),"")))),"-"))</f>
        <v/>
      </c>
    </row>
    <row r="850" spans="7:19" x14ac:dyDescent="0.3">
      <c r="G850" s="68" t="str" cm="1">
        <f t="array" ref="G850">_xlfn.LET(_xlpm.ids,'E2E core flow'!$A$15:$A$1000,_xlpm.v,'E2E core flow'!$W$15:$W$1000,_xlpm.m,(_xlpm.ids&lt;&gt;"")*ISNUMBER(SEARCH(_xlpm.ids,$E850)),_xlpm.f,SUM(_xlpm.m*(_xlpm.v="Failed")),_xlpm.b,SUM(_xlpm.m*(_xlpm.v="Blocked")),_xlpm.nr,SUM(_xlpm.m*(_xlpm.v="Not Run")),_xlpm.cp,SUM(_xlpm.m*(_xlpm.v="Conditionally Passed")),_xlpm.p,SUM(_xlpm.m*(_xlpm.v="Passed")),IF(TRIM($A850)="","",IF(TRIM($E850)="","Pending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50" s="68" t="str">
        <f>IF(TRIM($A850)="","",IF($J850="Passed","",IF($J850="Passed with Known Issue","Known Issue",IF($J850="",IF(OR($H850&lt;&gt;"No",AND($F850&lt;&gt;"Medium",$F850&lt;&gt;"Low")),"Pending Result",""),IF(OR($H850&lt;&gt;"No",AND($F850&lt;&gt;"Medium",$F850&lt;&gt;"Low")),IF(COUNTIFS(Dashboard!$B$105:$B$124,$A850,Dashboard!$I$105:$I$124,"CAB")&gt;0,"Accepted (CF)","Blocking"),IF($J850="Failed","Deferrable","Carry Over"))))))</f>
        <v/>
      </c>
      <c r="M850" s="68" t="str">
        <f>IF(OR(TRIM($A850)="",TRIM($E850)=""),"",IFERROR(INDEX('E2E core flow'!$B$15:$B$1000,MATCH(1,INDEX(('E2E core flow'!$A$15:$A$1000&lt;&gt;"")*ISNUMBER(SEARCH('E2E core flow'!$A$15:$A$1000,$E850)),0),0))&amp;"","-"))</f>
        <v/>
      </c>
      <c r="N850" s="68" t="str">
        <f>IF(TRIM($A850)="","",IF($O850=0,IF(COUNTIFS('Card Test Cases'!$B$4:$B$1000,$A850,'Card Test Cases'!$A$4:$A$1000,"&lt;&gt;")&gt;0,"Out of Scope","No TC"),IF($Q850&gt;0,"Failed",IF(COUNTIFS('Card Test Cases'!$B$4:$B$1000,$A850,'Card Test Cases'!$A$4:$A$1000,"&lt;&gt;",'Card Test Cases'!$F$4:$F$1000,"Blocked")&gt;0,"Blocked",IF($R850&gt;0,"In Progress","Passed")))))</f>
        <v/>
      </c>
      <c r="O850" s="68" t="str">
        <f>IF(TRIM($A850)="","",COUNTIFS('Card Test Cases'!$B$4:$B$1000,$A850,'Card Test Cases'!$A$4:$A$1000,"&lt;&gt;",'Card Test Cases'!$F$4:$F$1000,"&lt;&gt;Out of Scope"))</f>
        <v/>
      </c>
      <c r="P850" s="68" t="str">
        <f>IF(TRIM($A850)="","",COUNTIFS('Card Test Cases'!$B$4:$B$1000,$A850,'Card Test Cases'!$A$4:$A$1000,"&lt;&gt;",'Card Test Cases'!$F$4:$F$1000,"Passed"))</f>
        <v/>
      </c>
      <c r="Q850" s="68" t="str">
        <f>IF(TRIM($A850)="","",COUNTIFS('Card Test Cases'!$B$4:$B$1000,$A850,'Card Test Cases'!$A$4:$A$1000,"&lt;&gt;",'Card Test Cases'!$F$4:$F$1000,"Failed"))</f>
        <v/>
      </c>
      <c r="R850" s="68" t="str">
        <f t="shared" si="13"/>
        <v/>
      </c>
      <c r="S850" s="68" t="str" cm="1">
        <f t="array" ref="S850">IF(TRIM($A850)="","",IFERROR(_xlfn.TEXTJOIN(", ",TRUE,_xlfn.UNIQUE(_xlfn.VSTACK(_xlfn._xlws.FILTER('Card Test Cases'!$G$4:$G$1000,('Card Test Cases'!$B$4:$B$1000=$A850)*('Card Test Cases'!$G$4:$G$1000&lt;&gt;""),""),_xlfn._xlws.FILTER('E2E core flow'!$U$15:$U$1000,('E2E core flow'!$A$15:$A$1000&lt;&gt;"")*ISNUMBER(SEARCH('E2E core flow'!$A$15:$A$1000,$E850))*('E2E core flow'!$U$15:$U$1000&lt;&gt;""),"")))),"-"))</f>
        <v/>
      </c>
    </row>
    <row r="851" spans="7:19" x14ac:dyDescent="0.3">
      <c r="G851" s="68" t="str" cm="1">
        <f t="array" ref="G851">_xlfn.LET(_xlpm.ids,'E2E core flow'!$A$15:$A$1000,_xlpm.v,'E2E core flow'!$W$15:$W$1000,_xlpm.m,(_xlpm.ids&lt;&gt;"")*ISNUMBER(SEARCH(_xlpm.ids,$E851)),_xlpm.f,SUM(_xlpm.m*(_xlpm.v="Failed")),_xlpm.b,SUM(_xlpm.m*(_xlpm.v="Blocked")),_xlpm.nr,SUM(_xlpm.m*(_xlpm.v="Not Run")),_xlpm.cp,SUM(_xlpm.m*(_xlpm.v="Conditionally Passed")),_xlpm.p,SUM(_xlpm.m*(_xlpm.v="Passed")),IF(TRIM($A851)="","",IF(TRIM($E851)="","Pending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51" s="68" t="str">
        <f>IF(TRIM($A851)="","",IF($J851="Passed","",IF($J851="Passed with Known Issue","Known Issue",IF($J851="",IF(OR($H851&lt;&gt;"No",AND($F851&lt;&gt;"Medium",$F851&lt;&gt;"Low")),"Pending Result",""),IF(OR($H851&lt;&gt;"No",AND($F851&lt;&gt;"Medium",$F851&lt;&gt;"Low")),IF(COUNTIFS(Dashboard!$B$105:$B$124,$A851,Dashboard!$I$105:$I$124,"CAB")&gt;0,"Accepted (CF)","Blocking"),IF($J851="Failed","Deferrable","Carry Over"))))))</f>
        <v/>
      </c>
      <c r="M851" s="68" t="str">
        <f>IF(OR(TRIM($A851)="",TRIM($E851)=""),"",IFERROR(INDEX('E2E core flow'!$B$15:$B$1000,MATCH(1,INDEX(('E2E core flow'!$A$15:$A$1000&lt;&gt;"")*ISNUMBER(SEARCH('E2E core flow'!$A$15:$A$1000,$E851)),0),0))&amp;"","-"))</f>
        <v/>
      </c>
      <c r="N851" s="68" t="str">
        <f>IF(TRIM($A851)="","",IF($O851=0,IF(COUNTIFS('Card Test Cases'!$B$4:$B$1000,$A851,'Card Test Cases'!$A$4:$A$1000,"&lt;&gt;")&gt;0,"Out of Scope","No TC"),IF($Q851&gt;0,"Failed",IF(COUNTIFS('Card Test Cases'!$B$4:$B$1000,$A851,'Card Test Cases'!$A$4:$A$1000,"&lt;&gt;",'Card Test Cases'!$F$4:$F$1000,"Blocked")&gt;0,"Blocked",IF($R851&gt;0,"In Progress","Passed")))))</f>
        <v/>
      </c>
      <c r="O851" s="68" t="str">
        <f>IF(TRIM($A851)="","",COUNTIFS('Card Test Cases'!$B$4:$B$1000,$A851,'Card Test Cases'!$A$4:$A$1000,"&lt;&gt;",'Card Test Cases'!$F$4:$F$1000,"&lt;&gt;Out of Scope"))</f>
        <v/>
      </c>
      <c r="P851" s="68" t="str">
        <f>IF(TRIM($A851)="","",COUNTIFS('Card Test Cases'!$B$4:$B$1000,$A851,'Card Test Cases'!$A$4:$A$1000,"&lt;&gt;",'Card Test Cases'!$F$4:$F$1000,"Passed"))</f>
        <v/>
      </c>
      <c r="Q851" s="68" t="str">
        <f>IF(TRIM($A851)="","",COUNTIFS('Card Test Cases'!$B$4:$B$1000,$A851,'Card Test Cases'!$A$4:$A$1000,"&lt;&gt;",'Card Test Cases'!$F$4:$F$1000,"Failed"))</f>
        <v/>
      </c>
      <c r="R851" s="68" t="str">
        <f t="shared" si="13"/>
        <v/>
      </c>
      <c r="S851" s="68" t="str" cm="1">
        <f t="array" ref="S851">IF(TRIM($A851)="","",IFERROR(_xlfn.TEXTJOIN(", ",TRUE,_xlfn.UNIQUE(_xlfn.VSTACK(_xlfn._xlws.FILTER('Card Test Cases'!$G$4:$G$1000,('Card Test Cases'!$B$4:$B$1000=$A851)*('Card Test Cases'!$G$4:$G$1000&lt;&gt;""),""),_xlfn._xlws.FILTER('E2E core flow'!$U$15:$U$1000,('E2E core flow'!$A$15:$A$1000&lt;&gt;"")*ISNUMBER(SEARCH('E2E core flow'!$A$15:$A$1000,$E851))*('E2E core flow'!$U$15:$U$1000&lt;&gt;""),"")))),"-"))</f>
        <v/>
      </c>
    </row>
    <row r="852" spans="7:19" x14ac:dyDescent="0.3">
      <c r="G852" s="68" t="str" cm="1">
        <f t="array" ref="G852">_xlfn.LET(_xlpm.ids,'E2E core flow'!$A$15:$A$1000,_xlpm.v,'E2E core flow'!$W$15:$W$1000,_xlpm.m,(_xlpm.ids&lt;&gt;"")*ISNUMBER(SEARCH(_xlpm.ids,$E852)),_xlpm.f,SUM(_xlpm.m*(_xlpm.v="Failed")),_xlpm.b,SUM(_xlpm.m*(_xlpm.v="Blocked")),_xlpm.nr,SUM(_xlpm.m*(_xlpm.v="Not Run")),_xlpm.cp,SUM(_xlpm.m*(_xlpm.v="Conditionally Passed")),_xlpm.p,SUM(_xlpm.m*(_xlpm.v="Passed")),IF(TRIM($A852)="","",IF(TRIM($E852)="","Pending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52" s="68" t="str">
        <f>IF(TRIM($A852)="","",IF($J852="Passed","",IF($J852="Passed with Known Issue","Known Issue",IF($J852="",IF(OR($H852&lt;&gt;"No",AND($F852&lt;&gt;"Medium",$F852&lt;&gt;"Low")),"Pending Result",""),IF(OR($H852&lt;&gt;"No",AND($F852&lt;&gt;"Medium",$F852&lt;&gt;"Low")),IF(COUNTIFS(Dashboard!$B$105:$B$124,$A852,Dashboard!$I$105:$I$124,"CAB")&gt;0,"Accepted (CF)","Blocking"),IF($J852="Failed","Deferrable","Carry Over"))))))</f>
        <v/>
      </c>
      <c r="M852" s="68" t="str">
        <f>IF(OR(TRIM($A852)="",TRIM($E852)=""),"",IFERROR(INDEX('E2E core flow'!$B$15:$B$1000,MATCH(1,INDEX(('E2E core flow'!$A$15:$A$1000&lt;&gt;"")*ISNUMBER(SEARCH('E2E core flow'!$A$15:$A$1000,$E852)),0),0))&amp;"","-"))</f>
        <v/>
      </c>
      <c r="N852" s="68" t="str">
        <f>IF(TRIM($A852)="","",IF($O852=0,IF(COUNTIFS('Card Test Cases'!$B$4:$B$1000,$A852,'Card Test Cases'!$A$4:$A$1000,"&lt;&gt;")&gt;0,"Out of Scope","No TC"),IF($Q852&gt;0,"Failed",IF(COUNTIFS('Card Test Cases'!$B$4:$B$1000,$A852,'Card Test Cases'!$A$4:$A$1000,"&lt;&gt;",'Card Test Cases'!$F$4:$F$1000,"Blocked")&gt;0,"Blocked",IF($R852&gt;0,"In Progress","Passed")))))</f>
        <v/>
      </c>
      <c r="O852" s="68" t="str">
        <f>IF(TRIM($A852)="","",COUNTIFS('Card Test Cases'!$B$4:$B$1000,$A852,'Card Test Cases'!$A$4:$A$1000,"&lt;&gt;",'Card Test Cases'!$F$4:$F$1000,"&lt;&gt;Out of Scope"))</f>
        <v/>
      </c>
      <c r="P852" s="68" t="str">
        <f>IF(TRIM($A852)="","",COUNTIFS('Card Test Cases'!$B$4:$B$1000,$A852,'Card Test Cases'!$A$4:$A$1000,"&lt;&gt;",'Card Test Cases'!$F$4:$F$1000,"Passed"))</f>
        <v/>
      </c>
      <c r="Q852" s="68" t="str">
        <f>IF(TRIM($A852)="","",COUNTIFS('Card Test Cases'!$B$4:$B$1000,$A852,'Card Test Cases'!$A$4:$A$1000,"&lt;&gt;",'Card Test Cases'!$F$4:$F$1000,"Failed"))</f>
        <v/>
      </c>
      <c r="R852" s="68" t="str">
        <f t="shared" si="13"/>
        <v/>
      </c>
      <c r="S852" s="68" t="str" cm="1">
        <f t="array" ref="S852">IF(TRIM($A852)="","",IFERROR(_xlfn.TEXTJOIN(", ",TRUE,_xlfn.UNIQUE(_xlfn.VSTACK(_xlfn._xlws.FILTER('Card Test Cases'!$G$4:$G$1000,('Card Test Cases'!$B$4:$B$1000=$A852)*('Card Test Cases'!$G$4:$G$1000&lt;&gt;""),""),_xlfn._xlws.FILTER('E2E core flow'!$U$15:$U$1000,('E2E core flow'!$A$15:$A$1000&lt;&gt;"")*ISNUMBER(SEARCH('E2E core flow'!$A$15:$A$1000,$E852))*('E2E core flow'!$U$15:$U$1000&lt;&gt;""),"")))),"-"))</f>
        <v/>
      </c>
    </row>
    <row r="853" spans="7:19" x14ac:dyDescent="0.3">
      <c r="G853" s="68" t="str" cm="1">
        <f t="array" ref="G853">_xlfn.LET(_xlpm.ids,'E2E core flow'!$A$15:$A$1000,_xlpm.v,'E2E core flow'!$W$15:$W$1000,_xlpm.m,(_xlpm.ids&lt;&gt;"")*ISNUMBER(SEARCH(_xlpm.ids,$E853)),_xlpm.f,SUM(_xlpm.m*(_xlpm.v="Failed")),_xlpm.b,SUM(_xlpm.m*(_xlpm.v="Blocked")),_xlpm.nr,SUM(_xlpm.m*(_xlpm.v="Not Run")),_xlpm.cp,SUM(_xlpm.m*(_xlpm.v="Conditionally Passed")),_xlpm.p,SUM(_xlpm.m*(_xlpm.v="Passed")),IF(TRIM($A853)="","",IF(TRIM($E853)="","Pending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53" s="68" t="str">
        <f>IF(TRIM($A853)="","",IF($J853="Passed","",IF($J853="Passed with Known Issue","Known Issue",IF($J853="",IF(OR($H853&lt;&gt;"No",AND($F853&lt;&gt;"Medium",$F853&lt;&gt;"Low")),"Pending Result",""),IF(OR($H853&lt;&gt;"No",AND($F853&lt;&gt;"Medium",$F853&lt;&gt;"Low")),IF(COUNTIFS(Dashboard!$B$105:$B$124,$A853,Dashboard!$I$105:$I$124,"CAB")&gt;0,"Accepted (CF)","Blocking"),IF($J853="Failed","Deferrable","Carry Over"))))))</f>
        <v/>
      </c>
      <c r="M853" s="68" t="str">
        <f>IF(OR(TRIM($A853)="",TRIM($E853)=""),"",IFERROR(INDEX('E2E core flow'!$B$15:$B$1000,MATCH(1,INDEX(('E2E core flow'!$A$15:$A$1000&lt;&gt;"")*ISNUMBER(SEARCH('E2E core flow'!$A$15:$A$1000,$E853)),0),0))&amp;"","-"))</f>
        <v/>
      </c>
      <c r="N853" s="68" t="str">
        <f>IF(TRIM($A853)="","",IF($O853=0,IF(COUNTIFS('Card Test Cases'!$B$4:$B$1000,$A853,'Card Test Cases'!$A$4:$A$1000,"&lt;&gt;")&gt;0,"Out of Scope","No TC"),IF($Q853&gt;0,"Failed",IF(COUNTIFS('Card Test Cases'!$B$4:$B$1000,$A853,'Card Test Cases'!$A$4:$A$1000,"&lt;&gt;",'Card Test Cases'!$F$4:$F$1000,"Blocked")&gt;0,"Blocked",IF($R853&gt;0,"In Progress","Passed")))))</f>
        <v/>
      </c>
      <c r="O853" s="68" t="str">
        <f>IF(TRIM($A853)="","",COUNTIFS('Card Test Cases'!$B$4:$B$1000,$A853,'Card Test Cases'!$A$4:$A$1000,"&lt;&gt;",'Card Test Cases'!$F$4:$F$1000,"&lt;&gt;Out of Scope"))</f>
        <v/>
      </c>
      <c r="P853" s="68" t="str">
        <f>IF(TRIM($A853)="","",COUNTIFS('Card Test Cases'!$B$4:$B$1000,$A853,'Card Test Cases'!$A$4:$A$1000,"&lt;&gt;",'Card Test Cases'!$F$4:$F$1000,"Passed"))</f>
        <v/>
      </c>
      <c r="Q853" s="68" t="str">
        <f>IF(TRIM($A853)="","",COUNTIFS('Card Test Cases'!$B$4:$B$1000,$A853,'Card Test Cases'!$A$4:$A$1000,"&lt;&gt;",'Card Test Cases'!$F$4:$F$1000,"Failed"))</f>
        <v/>
      </c>
      <c r="R853" s="68" t="str">
        <f t="shared" si="13"/>
        <v/>
      </c>
      <c r="S853" s="68" t="str" cm="1">
        <f t="array" ref="S853">IF(TRIM($A853)="","",IFERROR(_xlfn.TEXTJOIN(", ",TRUE,_xlfn.UNIQUE(_xlfn.VSTACK(_xlfn._xlws.FILTER('Card Test Cases'!$G$4:$G$1000,('Card Test Cases'!$B$4:$B$1000=$A853)*('Card Test Cases'!$G$4:$G$1000&lt;&gt;""),""),_xlfn._xlws.FILTER('E2E core flow'!$U$15:$U$1000,('E2E core flow'!$A$15:$A$1000&lt;&gt;"")*ISNUMBER(SEARCH('E2E core flow'!$A$15:$A$1000,$E853))*('E2E core flow'!$U$15:$U$1000&lt;&gt;""),"")))),"-"))</f>
        <v/>
      </c>
    </row>
    <row r="854" spans="7:19" x14ac:dyDescent="0.3">
      <c r="G854" s="68" t="str" cm="1">
        <f t="array" ref="G854">_xlfn.LET(_xlpm.ids,'E2E core flow'!$A$15:$A$1000,_xlpm.v,'E2E core flow'!$W$15:$W$1000,_xlpm.m,(_xlpm.ids&lt;&gt;"")*ISNUMBER(SEARCH(_xlpm.ids,$E854)),_xlpm.f,SUM(_xlpm.m*(_xlpm.v="Failed")),_xlpm.b,SUM(_xlpm.m*(_xlpm.v="Blocked")),_xlpm.nr,SUM(_xlpm.m*(_xlpm.v="Not Run")),_xlpm.cp,SUM(_xlpm.m*(_xlpm.v="Conditionally Passed")),_xlpm.p,SUM(_xlpm.m*(_xlpm.v="Passed")),IF(TRIM($A854)="","",IF(TRIM($E854)="","Pending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54" s="68" t="str">
        <f>IF(TRIM($A854)="","",IF($J854="Passed","",IF($J854="Passed with Known Issue","Known Issue",IF($J854="",IF(OR($H854&lt;&gt;"No",AND($F854&lt;&gt;"Medium",$F854&lt;&gt;"Low")),"Pending Result",""),IF(OR($H854&lt;&gt;"No",AND($F854&lt;&gt;"Medium",$F854&lt;&gt;"Low")),IF(COUNTIFS(Dashboard!$B$105:$B$124,$A854,Dashboard!$I$105:$I$124,"CAB")&gt;0,"Accepted (CF)","Blocking"),IF($J854="Failed","Deferrable","Carry Over"))))))</f>
        <v/>
      </c>
      <c r="M854" s="68" t="str">
        <f>IF(OR(TRIM($A854)="",TRIM($E854)=""),"",IFERROR(INDEX('E2E core flow'!$B$15:$B$1000,MATCH(1,INDEX(('E2E core flow'!$A$15:$A$1000&lt;&gt;"")*ISNUMBER(SEARCH('E2E core flow'!$A$15:$A$1000,$E854)),0),0))&amp;"","-"))</f>
        <v/>
      </c>
      <c r="N854" s="68" t="str">
        <f>IF(TRIM($A854)="","",IF($O854=0,IF(COUNTIFS('Card Test Cases'!$B$4:$B$1000,$A854,'Card Test Cases'!$A$4:$A$1000,"&lt;&gt;")&gt;0,"Out of Scope","No TC"),IF($Q854&gt;0,"Failed",IF(COUNTIFS('Card Test Cases'!$B$4:$B$1000,$A854,'Card Test Cases'!$A$4:$A$1000,"&lt;&gt;",'Card Test Cases'!$F$4:$F$1000,"Blocked")&gt;0,"Blocked",IF($R854&gt;0,"In Progress","Passed")))))</f>
        <v/>
      </c>
      <c r="O854" s="68" t="str">
        <f>IF(TRIM($A854)="","",COUNTIFS('Card Test Cases'!$B$4:$B$1000,$A854,'Card Test Cases'!$A$4:$A$1000,"&lt;&gt;",'Card Test Cases'!$F$4:$F$1000,"&lt;&gt;Out of Scope"))</f>
        <v/>
      </c>
      <c r="P854" s="68" t="str">
        <f>IF(TRIM($A854)="","",COUNTIFS('Card Test Cases'!$B$4:$B$1000,$A854,'Card Test Cases'!$A$4:$A$1000,"&lt;&gt;",'Card Test Cases'!$F$4:$F$1000,"Passed"))</f>
        <v/>
      </c>
      <c r="Q854" s="68" t="str">
        <f>IF(TRIM($A854)="","",COUNTIFS('Card Test Cases'!$B$4:$B$1000,$A854,'Card Test Cases'!$A$4:$A$1000,"&lt;&gt;",'Card Test Cases'!$F$4:$F$1000,"Failed"))</f>
        <v/>
      </c>
      <c r="R854" s="68" t="str">
        <f t="shared" si="13"/>
        <v/>
      </c>
      <c r="S854" s="68" t="str" cm="1">
        <f t="array" ref="S854">IF(TRIM($A854)="","",IFERROR(_xlfn.TEXTJOIN(", ",TRUE,_xlfn.UNIQUE(_xlfn.VSTACK(_xlfn._xlws.FILTER('Card Test Cases'!$G$4:$G$1000,('Card Test Cases'!$B$4:$B$1000=$A854)*('Card Test Cases'!$G$4:$G$1000&lt;&gt;""),""),_xlfn._xlws.FILTER('E2E core flow'!$U$15:$U$1000,('E2E core flow'!$A$15:$A$1000&lt;&gt;"")*ISNUMBER(SEARCH('E2E core flow'!$A$15:$A$1000,$E854))*('E2E core flow'!$U$15:$U$1000&lt;&gt;""),"")))),"-"))</f>
        <v/>
      </c>
    </row>
    <row r="855" spans="7:19" x14ac:dyDescent="0.3">
      <c r="G855" s="68" t="str" cm="1">
        <f t="array" ref="G855">_xlfn.LET(_xlpm.ids,'E2E core flow'!$A$15:$A$1000,_xlpm.v,'E2E core flow'!$W$15:$W$1000,_xlpm.m,(_xlpm.ids&lt;&gt;"")*ISNUMBER(SEARCH(_xlpm.ids,$E855)),_xlpm.f,SUM(_xlpm.m*(_xlpm.v="Failed")),_xlpm.b,SUM(_xlpm.m*(_xlpm.v="Blocked")),_xlpm.nr,SUM(_xlpm.m*(_xlpm.v="Not Run")),_xlpm.cp,SUM(_xlpm.m*(_xlpm.v="Conditionally Passed")),_xlpm.p,SUM(_xlpm.m*(_xlpm.v="Passed")),IF(TRIM($A855)="","",IF(TRIM($E855)="","Pending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55" s="68" t="str">
        <f>IF(TRIM($A855)="","",IF($J855="Passed","",IF($J855="Passed with Known Issue","Known Issue",IF($J855="",IF(OR($H855&lt;&gt;"No",AND($F855&lt;&gt;"Medium",$F855&lt;&gt;"Low")),"Pending Result",""),IF(OR($H855&lt;&gt;"No",AND($F855&lt;&gt;"Medium",$F855&lt;&gt;"Low")),IF(COUNTIFS(Dashboard!$B$105:$B$124,$A855,Dashboard!$I$105:$I$124,"CAB")&gt;0,"Accepted (CF)","Blocking"),IF($J855="Failed","Deferrable","Carry Over"))))))</f>
        <v/>
      </c>
      <c r="M855" s="68" t="str">
        <f>IF(OR(TRIM($A855)="",TRIM($E855)=""),"",IFERROR(INDEX('E2E core flow'!$B$15:$B$1000,MATCH(1,INDEX(('E2E core flow'!$A$15:$A$1000&lt;&gt;"")*ISNUMBER(SEARCH('E2E core flow'!$A$15:$A$1000,$E855)),0),0))&amp;"","-"))</f>
        <v/>
      </c>
      <c r="N855" s="68" t="str">
        <f>IF(TRIM($A855)="","",IF($O855=0,IF(COUNTIFS('Card Test Cases'!$B$4:$B$1000,$A855,'Card Test Cases'!$A$4:$A$1000,"&lt;&gt;")&gt;0,"Out of Scope","No TC"),IF($Q855&gt;0,"Failed",IF(COUNTIFS('Card Test Cases'!$B$4:$B$1000,$A855,'Card Test Cases'!$A$4:$A$1000,"&lt;&gt;",'Card Test Cases'!$F$4:$F$1000,"Blocked")&gt;0,"Blocked",IF($R855&gt;0,"In Progress","Passed")))))</f>
        <v/>
      </c>
      <c r="O855" s="68" t="str">
        <f>IF(TRIM($A855)="","",COUNTIFS('Card Test Cases'!$B$4:$B$1000,$A855,'Card Test Cases'!$A$4:$A$1000,"&lt;&gt;",'Card Test Cases'!$F$4:$F$1000,"&lt;&gt;Out of Scope"))</f>
        <v/>
      </c>
      <c r="P855" s="68" t="str">
        <f>IF(TRIM($A855)="","",COUNTIFS('Card Test Cases'!$B$4:$B$1000,$A855,'Card Test Cases'!$A$4:$A$1000,"&lt;&gt;",'Card Test Cases'!$F$4:$F$1000,"Passed"))</f>
        <v/>
      </c>
      <c r="Q855" s="68" t="str">
        <f>IF(TRIM($A855)="","",COUNTIFS('Card Test Cases'!$B$4:$B$1000,$A855,'Card Test Cases'!$A$4:$A$1000,"&lt;&gt;",'Card Test Cases'!$F$4:$F$1000,"Failed"))</f>
        <v/>
      </c>
      <c r="R855" s="68" t="str">
        <f t="shared" si="13"/>
        <v/>
      </c>
      <c r="S855" s="68" t="str" cm="1">
        <f t="array" ref="S855">IF(TRIM($A855)="","",IFERROR(_xlfn.TEXTJOIN(", ",TRUE,_xlfn.UNIQUE(_xlfn.VSTACK(_xlfn._xlws.FILTER('Card Test Cases'!$G$4:$G$1000,('Card Test Cases'!$B$4:$B$1000=$A855)*('Card Test Cases'!$G$4:$G$1000&lt;&gt;""),""),_xlfn._xlws.FILTER('E2E core flow'!$U$15:$U$1000,('E2E core flow'!$A$15:$A$1000&lt;&gt;"")*ISNUMBER(SEARCH('E2E core flow'!$A$15:$A$1000,$E855))*('E2E core flow'!$U$15:$U$1000&lt;&gt;""),"")))),"-"))</f>
        <v/>
      </c>
    </row>
    <row r="856" spans="7:19" x14ac:dyDescent="0.3">
      <c r="G856" s="68" t="str" cm="1">
        <f t="array" ref="G856">_xlfn.LET(_xlpm.ids,'E2E core flow'!$A$15:$A$1000,_xlpm.v,'E2E core flow'!$W$15:$W$1000,_xlpm.m,(_xlpm.ids&lt;&gt;"")*ISNUMBER(SEARCH(_xlpm.ids,$E856)),_xlpm.f,SUM(_xlpm.m*(_xlpm.v="Failed")),_xlpm.b,SUM(_xlpm.m*(_xlpm.v="Blocked")),_xlpm.nr,SUM(_xlpm.m*(_xlpm.v="Not Run")),_xlpm.cp,SUM(_xlpm.m*(_xlpm.v="Conditionally Passed")),_xlpm.p,SUM(_xlpm.m*(_xlpm.v="Passed")),IF(TRIM($A856)="","",IF(TRIM($E856)="","Pending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56" s="68" t="str">
        <f>IF(TRIM($A856)="","",IF($J856="Passed","",IF($J856="Passed with Known Issue","Known Issue",IF($J856="",IF(OR($H856&lt;&gt;"No",AND($F856&lt;&gt;"Medium",$F856&lt;&gt;"Low")),"Pending Result",""),IF(OR($H856&lt;&gt;"No",AND($F856&lt;&gt;"Medium",$F856&lt;&gt;"Low")),IF(COUNTIFS(Dashboard!$B$105:$B$124,$A856,Dashboard!$I$105:$I$124,"CAB")&gt;0,"Accepted (CF)","Blocking"),IF($J856="Failed","Deferrable","Carry Over"))))))</f>
        <v/>
      </c>
      <c r="M856" s="68" t="str">
        <f>IF(OR(TRIM($A856)="",TRIM($E856)=""),"",IFERROR(INDEX('E2E core flow'!$B$15:$B$1000,MATCH(1,INDEX(('E2E core flow'!$A$15:$A$1000&lt;&gt;"")*ISNUMBER(SEARCH('E2E core flow'!$A$15:$A$1000,$E856)),0),0))&amp;"","-"))</f>
        <v/>
      </c>
      <c r="N856" s="68" t="str">
        <f>IF(TRIM($A856)="","",IF($O856=0,IF(COUNTIFS('Card Test Cases'!$B$4:$B$1000,$A856,'Card Test Cases'!$A$4:$A$1000,"&lt;&gt;")&gt;0,"Out of Scope","No TC"),IF($Q856&gt;0,"Failed",IF(COUNTIFS('Card Test Cases'!$B$4:$B$1000,$A856,'Card Test Cases'!$A$4:$A$1000,"&lt;&gt;",'Card Test Cases'!$F$4:$F$1000,"Blocked")&gt;0,"Blocked",IF($R856&gt;0,"In Progress","Passed")))))</f>
        <v/>
      </c>
      <c r="O856" s="68" t="str">
        <f>IF(TRIM($A856)="","",COUNTIFS('Card Test Cases'!$B$4:$B$1000,$A856,'Card Test Cases'!$A$4:$A$1000,"&lt;&gt;",'Card Test Cases'!$F$4:$F$1000,"&lt;&gt;Out of Scope"))</f>
        <v/>
      </c>
      <c r="P856" s="68" t="str">
        <f>IF(TRIM($A856)="","",COUNTIFS('Card Test Cases'!$B$4:$B$1000,$A856,'Card Test Cases'!$A$4:$A$1000,"&lt;&gt;",'Card Test Cases'!$F$4:$F$1000,"Passed"))</f>
        <v/>
      </c>
      <c r="Q856" s="68" t="str">
        <f>IF(TRIM($A856)="","",COUNTIFS('Card Test Cases'!$B$4:$B$1000,$A856,'Card Test Cases'!$A$4:$A$1000,"&lt;&gt;",'Card Test Cases'!$F$4:$F$1000,"Failed"))</f>
        <v/>
      </c>
      <c r="R856" s="68" t="str">
        <f t="shared" si="13"/>
        <v/>
      </c>
      <c r="S856" s="68" t="str" cm="1">
        <f t="array" ref="S856">IF(TRIM($A856)="","",IFERROR(_xlfn.TEXTJOIN(", ",TRUE,_xlfn.UNIQUE(_xlfn.VSTACK(_xlfn._xlws.FILTER('Card Test Cases'!$G$4:$G$1000,('Card Test Cases'!$B$4:$B$1000=$A856)*('Card Test Cases'!$G$4:$G$1000&lt;&gt;""),""),_xlfn._xlws.FILTER('E2E core flow'!$U$15:$U$1000,('E2E core flow'!$A$15:$A$1000&lt;&gt;"")*ISNUMBER(SEARCH('E2E core flow'!$A$15:$A$1000,$E856))*('E2E core flow'!$U$15:$U$1000&lt;&gt;""),"")))),"-"))</f>
        <v/>
      </c>
    </row>
    <row r="857" spans="7:19" x14ac:dyDescent="0.3">
      <c r="G857" s="68" t="str" cm="1">
        <f t="array" ref="G857">_xlfn.LET(_xlpm.ids,'E2E core flow'!$A$15:$A$1000,_xlpm.v,'E2E core flow'!$W$15:$W$1000,_xlpm.m,(_xlpm.ids&lt;&gt;"")*ISNUMBER(SEARCH(_xlpm.ids,$E857)),_xlpm.f,SUM(_xlpm.m*(_xlpm.v="Failed")),_xlpm.b,SUM(_xlpm.m*(_xlpm.v="Blocked")),_xlpm.nr,SUM(_xlpm.m*(_xlpm.v="Not Run")),_xlpm.cp,SUM(_xlpm.m*(_xlpm.v="Conditionally Passed")),_xlpm.p,SUM(_xlpm.m*(_xlpm.v="Passed")),IF(TRIM($A857)="","",IF(TRIM($E857)="","Pending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57" s="68" t="str">
        <f>IF(TRIM($A857)="","",IF($J857="Passed","",IF($J857="Passed with Known Issue","Known Issue",IF($J857="",IF(OR($H857&lt;&gt;"No",AND($F857&lt;&gt;"Medium",$F857&lt;&gt;"Low")),"Pending Result",""),IF(OR($H857&lt;&gt;"No",AND($F857&lt;&gt;"Medium",$F857&lt;&gt;"Low")),IF(COUNTIFS(Dashboard!$B$105:$B$124,$A857,Dashboard!$I$105:$I$124,"CAB")&gt;0,"Accepted (CF)","Blocking"),IF($J857="Failed","Deferrable","Carry Over"))))))</f>
        <v/>
      </c>
      <c r="M857" s="68" t="str">
        <f>IF(OR(TRIM($A857)="",TRIM($E857)=""),"",IFERROR(INDEX('E2E core flow'!$B$15:$B$1000,MATCH(1,INDEX(('E2E core flow'!$A$15:$A$1000&lt;&gt;"")*ISNUMBER(SEARCH('E2E core flow'!$A$15:$A$1000,$E857)),0),0))&amp;"","-"))</f>
        <v/>
      </c>
      <c r="N857" s="68" t="str">
        <f>IF(TRIM($A857)="","",IF($O857=0,IF(COUNTIFS('Card Test Cases'!$B$4:$B$1000,$A857,'Card Test Cases'!$A$4:$A$1000,"&lt;&gt;")&gt;0,"Out of Scope","No TC"),IF($Q857&gt;0,"Failed",IF(COUNTIFS('Card Test Cases'!$B$4:$B$1000,$A857,'Card Test Cases'!$A$4:$A$1000,"&lt;&gt;",'Card Test Cases'!$F$4:$F$1000,"Blocked")&gt;0,"Blocked",IF($R857&gt;0,"In Progress","Passed")))))</f>
        <v/>
      </c>
      <c r="O857" s="68" t="str">
        <f>IF(TRIM($A857)="","",COUNTIFS('Card Test Cases'!$B$4:$B$1000,$A857,'Card Test Cases'!$A$4:$A$1000,"&lt;&gt;",'Card Test Cases'!$F$4:$F$1000,"&lt;&gt;Out of Scope"))</f>
        <v/>
      </c>
      <c r="P857" s="68" t="str">
        <f>IF(TRIM($A857)="","",COUNTIFS('Card Test Cases'!$B$4:$B$1000,$A857,'Card Test Cases'!$A$4:$A$1000,"&lt;&gt;",'Card Test Cases'!$F$4:$F$1000,"Passed"))</f>
        <v/>
      </c>
      <c r="Q857" s="68" t="str">
        <f>IF(TRIM($A857)="","",COUNTIFS('Card Test Cases'!$B$4:$B$1000,$A857,'Card Test Cases'!$A$4:$A$1000,"&lt;&gt;",'Card Test Cases'!$F$4:$F$1000,"Failed"))</f>
        <v/>
      </c>
      <c r="R857" s="68" t="str">
        <f t="shared" si="13"/>
        <v/>
      </c>
      <c r="S857" s="68" t="str" cm="1">
        <f t="array" ref="S857">IF(TRIM($A857)="","",IFERROR(_xlfn.TEXTJOIN(", ",TRUE,_xlfn.UNIQUE(_xlfn.VSTACK(_xlfn._xlws.FILTER('Card Test Cases'!$G$4:$G$1000,('Card Test Cases'!$B$4:$B$1000=$A857)*('Card Test Cases'!$G$4:$G$1000&lt;&gt;""),""),_xlfn._xlws.FILTER('E2E core flow'!$U$15:$U$1000,('E2E core flow'!$A$15:$A$1000&lt;&gt;"")*ISNUMBER(SEARCH('E2E core flow'!$A$15:$A$1000,$E857))*('E2E core flow'!$U$15:$U$1000&lt;&gt;""),"")))),"-"))</f>
        <v/>
      </c>
    </row>
    <row r="858" spans="7:19" x14ac:dyDescent="0.3">
      <c r="G858" s="68" t="str" cm="1">
        <f t="array" ref="G858">_xlfn.LET(_xlpm.ids,'E2E core flow'!$A$15:$A$1000,_xlpm.v,'E2E core flow'!$W$15:$W$1000,_xlpm.m,(_xlpm.ids&lt;&gt;"")*ISNUMBER(SEARCH(_xlpm.ids,$E858)),_xlpm.f,SUM(_xlpm.m*(_xlpm.v="Failed")),_xlpm.b,SUM(_xlpm.m*(_xlpm.v="Blocked")),_xlpm.nr,SUM(_xlpm.m*(_xlpm.v="Not Run")),_xlpm.cp,SUM(_xlpm.m*(_xlpm.v="Conditionally Passed")),_xlpm.p,SUM(_xlpm.m*(_xlpm.v="Passed")),IF(TRIM($A858)="","",IF(TRIM($E858)="","Pending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58" s="68" t="str">
        <f>IF(TRIM($A858)="","",IF($J858="Passed","",IF($J858="Passed with Known Issue","Known Issue",IF($J858="",IF(OR($H858&lt;&gt;"No",AND($F858&lt;&gt;"Medium",$F858&lt;&gt;"Low")),"Pending Result",""),IF(OR($H858&lt;&gt;"No",AND($F858&lt;&gt;"Medium",$F858&lt;&gt;"Low")),IF(COUNTIFS(Dashboard!$B$105:$B$124,$A858,Dashboard!$I$105:$I$124,"CAB")&gt;0,"Accepted (CF)","Blocking"),IF($J858="Failed","Deferrable","Carry Over"))))))</f>
        <v/>
      </c>
      <c r="M858" s="68" t="str">
        <f>IF(OR(TRIM($A858)="",TRIM($E858)=""),"",IFERROR(INDEX('E2E core flow'!$B$15:$B$1000,MATCH(1,INDEX(('E2E core flow'!$A$15:$A$1000&lt;&gt;"")*ISNUMBER(SEARCH('E2E core flow'!$A$15:$A$1000,$E858)),0),0))&amp;"","-"))</f>
        <v/>
      </c>
      <c r="N858" s="68" t="str">
        <f>IF(TRIM($A858)="","",IF($O858=0,IF(COUNTIFS('Card Test Cases'!$B$4:$B$1000,$A858,'Card Test Cases'!$A$4:$A$1000,"&lt;&gt;")&gt;0,"Out of Scope","No TC"),IF($Q858&gt;0,"Failed",IF(COUNTIFS('Card Test Cases'!$B$4:$B$1000,$A858,'Card Test Cases'!$A$4:$A$1000,"&lt;&gt;",'Card Test Cases'!$F$4:$F$1000,"Blocked")&gt;0,"Blocked",IF($R858&gt;0,"In Progress","Passed")))))</f>
        <v/>
      </c>
      <c r="O858" s="68" t="str">
        <f>IF(TRIM($A858)="","",COUNTIFS('Card Test Cases'!$B$4:$B$1000,$A858,'Card Test Cases'!$A$4:$A$1000,"&lt;&gt;",'Card Test Cases'!$F$4:$F$1000,"&lt;&gt;Out of Scope"))</f>
        <v/>
      </c>
      <c r="P858" s="68" t="str">
        <f>IF(TRIM($A858)="","",COUNTIFS('Card Test Cases'!$B$4:$B$1000,$A858,'Card Test Cases'!$A$4:$A$1000,"&lt;&gt;",'Card Test Cases'!$F$4:$F$1000,"Passed"))</f>
        <v/>
      </c>
      <c r="Q858" s="68" t="str">
        <f>IF(TRIM($A858)="","",COUNTIFS('Card Test Cases'!$B$4:$B$1000,$A858,'Card Test Cases'!$A$4:$A$1000,"&lt;&gt;",'Card Test Cases'!$F$4:$F$1000,"Failed"))</f>
        <v/>
      </c>
      <c r="R858" s="68" t="str">
        <f t="shared" si="13"/>
        <v/>
      </c>
      <c r="S858" s="68" t="str" cm="1">
        <f t="array" ref="S858">IF(TRIM($A858)="","",IFERROR(_xlfn.TEXTJOIN(", ",TRUE,_xlfn.UNIQUE(_xlfn.VSTACK(_xlfn._xlws.FILTER('Card Test Cases'!$G$4:$G$1000,('Card Test Cases'!$B$4:$B$1000=$A858)*('Card Test Cases'!$G$4:$G$1000&lt;&gt;""),""),_xlfn._xlws.FILTER('E2E core flow'!$U$15:$U$1000,('E2E core flow'!$A$15:$A$1000&lt;&gt;"")*ISNUMBER(SEARCH('E2E core flow'!$A$15:$A$1000,$E858))*('E2E core flow'!$U$15:$U$1000&lt;&gt;""),"")))),"-"))</f>
        <v/>
      </c>
    </row>
    <row r="859" spans="7:19" x14ac:dyDescent="0.3">
      <c r="G859" s="68" t="str" cm="1">
        <f t="array" ref="G859">_xlfn.LET(_xlpm.ids,'E2E core flow'!$A$15:$A$1000,_xlpm.v,'E2E core flow'!$W$15:$W$1000,_xlpm.m,(_xlpm.ids&lt;&gt;"")*ISNUMBER(SEARCH(_xlpm.ids,$E859)),_xlpm.f,SUM(_xlpm.m*(_xlpm.v="Failed")),_xlpm.b,SUM(_xlpm.m*(_xlpm.v="Blocked")),_xlpm.nr,SUM(_xlpm.m*(_xlpm.v="Not Run")),_xlpm.cp,SUM(_xlpm.m*(_xlpm.v="Conditionally Passed")),_xlpm.p,SUM(_xlpm.m*(_xlpm.v="Passed")),IF(TRIM($A859)="","",IF(TRIM($E859)="","Pending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59" s="68" t="str">
        <f>IF(TRIM($A859)="","",IF($J859="Passed","",IF($J859="Passed with Known Issue","Known Issue",IF($J859="",IF(OR($H859&lt;&gt;"No",AND($F859&lt;&gt;"Medium",$F859&lt;&gt;"Low")),"Pending Result",""),IF(OR($H859&lt;&gt;"No",AND($F859&lt;&gt;"Medium",$F859&lt;&gt;"Low")),IF(COUNTIFS(Dashboard!$B$105:$B$124,$A859,Dashboard!$I$105:$I$124,"CAB")&gt;0,"Accepted (CF)","Blocking"),IF($J859="Failed","Deferrable","Carry Over"))))))</f>
        <v/>
      </c>
      <c r="M859" s="68" t="str">
        <f>IF(OR(TRIM($A859)="",TRIM($E859)=""),"",IFERROR(INDEX('E2E core flow'!$B$15:$B$1000,MATCH(1,INDEX(('E2E core flow'!$A$15:$A$1000&lt;&gt;"")*ISNUMBER(SEARCH('E2E core flow'!$A$15:$A$1000,$E859)),0),0))&amp;"","-"))</f>
        <v/>
      </c>
      <c r="N859" s="68" t="str">
        <f>IF(TRIM($A859)="","",IF($O859=0,IF(COUNTIFS('Card Test Cases'!$B$4:$B$1000,$A859,'Card Test Cases'!$A$4:$A$1000,"&lt;&gt;")&gt;0,"Out of Scope","No TC"),IF($Q859&gt;0,"Failed",IF(COUNTIFS('Card Test Cases'!$B$4:$B$1000,$A859,'Card Test Cases'!$A$4:$A$1000,"&lt;&gt;",'Card Test Cases'!$F$4:$F$1000,"Blocked")&gt;0,"Blocked",IF($R859&gt;0,"In Progress","Passed")))))</f>
        <v/>
      </c>
      <c r="O859" s="68" t="str">
        <f>IF(TRIM($A859)="","",COUNTIFS('Card Test Cases'!$B$4:$B$1000,$A859,'Card Test Cases'!$A$4:$A$1000,"&lt;&gt;",'Card Test Cases'!$F$4:$F$1000,"&lt;&gt;Out of Scope"))</f>
        <v/>
      </c>
      <c r="P859" s="68" t="str">
        <f>IF(TRIM($A859)="","",COUNTIFS('Card Test Cases'!$B$4:$B$1000,$A859,'Card Test Cases'!$A$4:$A$1000,"&lt;&gt;",'Card Test Cases'!$F$4:$F$1000,"Passed"))</f>
        <v/>
      </c>
      <c r="Q859" s="68" t="str">
        <f>IF(TRIM($A859)="","",COUNTIFS('Card Test Cases'!$B$4:$B$1000,$A859,'Card Test Cases'!$A$4:$A$1000,"&lt;&gt;",'Card Test Cases'!$F$4:$F$1000,"Failed"))</f>
        <v/>
      </c>
      <c r="R859" s="68" t="str">
        <f t="shared" si="13"/>
        <v/>
      </c>
      <c r="S859" s="68" t="str" cm="1">
        <f t="array" ref="S859">IF(TRIM($A859)="","",IFERROR(_xlfn.TEXTJOIN(", ",TRUE,_xlfn.UNIQUE(_xlfn.VSTACK(_xlfn._xlws.FILTER('Card Test Cases'!$G$4:$G$1000,('Card Test Cases'!$B$4:$B$1000=$A859)*('Card Test Cases'!$G$4:$G$1000&lt;&gt;""),""),_xlfn._xlws.FILTER('E2E core flow'!$U$15:$U$1000,('E2E core flow'!$A$15:$A$1000&lt;&gt;"")*ISNUMBER(SEARCH('E2E core flow'!$A$15:$A$1000,$E859))*('E2E core flow'!$U$15:$U$1000&lt;&gt;""),"")))),"-"))</f>
        <v/>
      </c>
    </row>
    <row r="860" spans="7:19" x14ac:dyDescent="0.3">
      <c r="G860" s="68" t="str" cm="1">
        <f t="array" ref="G860">_xlfn.LET(_xlpm.ids,'E2E core flow'!$A$15:$A$1000,_xlpm.v,'E2E core flow'!$W$15:$W$1000,_xlpm.m,(_xlpm.ids&lt;&gt;"")*ISNUMBER(SEARCH(_xlpm.ids,$E860)),_xlpm.f,SUM(_xlpm.m*(_xlpm.v="Failed")),_xlpm.b,SUM(_xlpm.m*(_xlpm.v="Blocked")),_xlpm.nr,SUM(_xlpm.m*(_xlpm.v="Not Run")),_xlpm.cp,SUM(_xlpm.m*(_xlpm.v="Conditionally Passed")),_xlpm.p,SUM(_xlpm.m*(_xlpm.v="Passed")),IF(TRIM($A860)="","",IF(TRIM($E860)="","Pending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60" s="68" t="str">
        <f>IF(TRIM($A860)="","",IF($J860="Passed","",IF($J860="Passed with Known Issue","Known Issue",IF($J860="",IF(OR($H860&lt;&gt;"No",AND($F860&lt;&gt;"Medium",$F860&lt;&gt;"Low")),"Pending Result",""),IF(OR($H860&lt;&gt;"No",AND($F860&lt;&gt;"Medium",$F860&lt;&gt;"Low")),IF(COUNTIFS(Dashboard!$B$105:$B$124,$A860,Dashboard!$I$105:$I$124,"CAB")&gt;0,"Accepted (CF)","Blocking"),IF($J860="Failed","Deferrable","Carry Over"))))))</f>
        <v/>
      </c>
      <c r="M860" s="68" t="str">
        <f>IF(OR(TRIM($A860)="",TRIM($E860)=""),"",IFERROR(INDEX('E2E core flow'!$B$15:$B$1000,MATCH(1,INDEX(('E2E core flow'!$A$15:$A$1000&lt;&gt;"")*ISNUMBER(SEARCH('E2E core flow'!$A$15:$A$1000,$E860)),0),0))&amp;"","-"))</f>
        <v/>
      </c>
      <c r="N860" s="68" t="str">
        <f>IF(TRIM($A860)="","",IF($O860=0,IF(COUNTIFS('Card Test Cases'!$B$4:$B$1000,$A860,'Card Test Cases'!$A$4:$A$1000,"&lt;&gt;")&gt;0,"Out of Scope","No TC"),IF($Q860&gt;0,"Failed",IF(COUNTIFS('Card Test Cases'!$B$4:$B$1000,$A860,'Card Test Cases'!$A$4:$A$1000,"&lt;&gt;",'Card Test Cases'!$F$4:$F$1000,"Blocked")&gt;0,"Blocked",IF($R860&gt;0,"In Progress","Passed")))))</f>
        <v/>
      </c>
      <c r="O860" s="68" t="str">
        <f>IF(TRIM($A860)="","",COUNTIFS('Card Test Cases'!$B$4:$B$1000,$A860,'Card Test Cases'!$A$4:$A$1000,"&lt;&gt;",'Card Test Cases'!$F$4:$F$1000,"&lt;&gt;Out of Scope"))</f>
        <v/>
      </c>
      <c r="P860" s="68" t="str">
        <f>IF(TRIM($A860)="","",COUNTIFS('Card Test Cases'!$B$4:$B$1000,$A860,'Card Test Cases'!$A$4:$A$1000,"&lt;&gt;",'Card Test Cases'!$F$4:$F$1000,"Passed"))</f>
        <v/>
      </c>
      <c r="Q860" s="68" t="str">
        <f>IF(TRIM($A860)="","",COUNTIFS('Card Test Cases'!$B$4:$B$1000,$A860,'Card Test Cases'!$A$4:$A$1000,"&lt;&gt;",'Card Test Cases'!$F$4:$F$1000,"Failed"))</f>
        <v/>
      </c>
      <c r="R860" s="68" t="str">
        <f t="shared" si="13"/>
        <v/>
      </c>
      <c r="S860" s="68" t="str" cm="1">
        <f t="array" ref="S860">IF(TRIM($A860)="","",IFERROR(_xlfn.TEXTJOIN(", ",TRUE,_xlfn.UNIQUE(_xlfn.VSTACK(_xlfn._xlws.FILTER('Card Test Cases'!$G$4:$G$1000,('Card Test Cases'!$B$4:$B$1000=$A860)*('Card Test Cases'!$G$4:$G$1000&lt;&gt;""),""),_xlfn._xlws.FILTER('E2E core flow'!$U$15:$U$1000,('E2E core flow'!$A$15:$A$1000&lt;&gt;"")*ISNUMBER(SEARCH('E2E core flow'!$A$15:$A$1000,$E860))*('E2E core flow'!$U$15:$U$1000&lt;&gt;""),"")))),"-"))</f>
        <v/>
      </c>
    </row>
    <row r="861" spans="7:19" x14ac:dyDescent="0.3">
      <c r="G861" s="68" t="str" cm="1">
        <f t="array" ref="G861">_xlfn.LET(_xlpm.ids,'E2E core flow'!$A$15:$A$1000,_xlpm.v,'E2E core flow'!$W$15:$W$1000,_xlpm.m,(_xlpm.ids&lt;&gt;"")*ISNUMBER(SEARCH(_xlpm.ids,$E861)),_xlpm.f,SUM(_xlpm.m*(_xlpm.v="Failed")),_xlpm.b,SUM(_xlpm.m*(_xlpm.v="Blocked")),_xlpm.nr,SUM(_xlpm.m*(_xlpm.v="Not Run")),_xlpm.cp,SUM(_xlpm.m*(_xlpm.v="Conditionally Passed")),_xlpm.p,SUM(_xlpm.m*(_xlpm.v="Passed")),IF(TRIM($A861)="","",IF(TRIM($E861)="","Pending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61" s="68" t="str">
        <f>IF(TRIM($A861)="","",IF($J861="Passed","",IF($J861="Passed with Known Issue","Known Issue",IF($J861="",IF(OR($H861&lt;&gt;"No",AND($F861&lt;&gt;"Medium",$F861&lt;&gt;"Low")),"Pending Result",""),IF(OR($H861&lt;&gt;"No",AND($F861&lt;&gt;"Medium",$F861&lt;&gt;"Low")),IF(COUNTIFS(Dashboard!$B$105:$B$124,$A861,Dashboard!$I$105:$I$124,"CAB")&gt;0,"Accepted (CF)","Blocking"),IF($J861="Failed","Deferrable","Carry Over"))))))</f>
        <v/>
      </c>
      <c r="M861" s="68" t="str">
        <f>IF(OR(TRIM($A861)="",TRIM($E861)=""),"",IFERROR(INDEX('E2E core flow'!$B$15:$B$1000,MATCH(1,INDEX(('E2E core flow'!$A$15:$A$1000&lt;&gt;"")*ISNUMBER(SEARCH('E2E core flow'!$A$15:$A$1000,$E861)),0),0))&amp;"","-"))</f>
        <v/>
      </c>
      <c r="N861" s="68" t="str">
        <f>IF(TRIM($A861)="","",IF($O861=0,IF(COUNTIFS('Card Test Cases'!$B$4:$B$1000,$A861,'Card Test Cases'!$A$4:$A$1000,"&lt;&gt;")&gt;0,"Out of Scope","No TC"),IF($Q861&gt;0,"Failed",IF(COUNTIFS('Card Test Cases'!$B$4:$B$1000,$A861,'Card Test Cases'!$A$4:$A$1000,"&lt;&gt;",'Card Test Cases'!$F$4:$F$1000,"Blocked")&gt;0,"Blocked",IF($R861&gt;0,"In Progress","Passed")))))</f>
        <v/>
      </c>
      <c r="O861" s="68" t="str">
        <f>IF(TRIM($A861)="","",COUNTIFS('Card Test Cases'!$B$4:$B$1000,$A861,'Card Test Cases'!$A$4:$A$1000,"&lt;&gt;",'Card Test Cases'!$F$4:$F$1000,"&lt;&gt;Out of Scope"))</f>
        <v/>
      </c>
      <c r="P861" s="68" t="str">
        <f>IF(TRIM($A861)="","",COUNTIFS('Card Test Cases'!$B$4:$B$1000,$A861,'Card Test Cases'!$A$4:$A$1000,"&lt;&gt;",'Card Test Cases'!$F$4:$F$1000,"Passed"))</f>
        <v/>
      </c>
      <c r="Q861" s="68" t="str">
        <f>IF(TRIM($A861)="","",COUNTIFS('Card Test Cases'!$B$4:$B$1000,$A861,'Card Test Cases'!$A$4:$A$1000,"&lt;&gt;",'Card Test Cases'!$F$4:$F$1000,"Failed"))</f>
        <v/>
      </c>
      <c r="R861" s="68" t="str">
        <f t="shared" si="13"/>
        <v/>
      </c>
      <c r="S861" s="68" t="str" cm="1">
        <f t="array" ref="S861">IF(TRIM($A861)="","",IFERROR(_xlfn.TEXTJOIN(", ",TRUE,_xlfn.UNIQUE(_xlfn.VSTACK(_xlfn._xlws.FILTER('Card Test Cases'!$G$4:$G$1000,('Card Test Cases'!$B$4:$B$1000=$A861)*('Card Test Cases'!$G$4:$G$1000&lt;&gt;""),""),_xlfn._xlws.FILTER('E2E core flow'!$U$15:$U$1000,('E2E core flow'!$A$15:$A$1000&lt;&gt;"")*ISNUMBER(SEARCH('E2E core flow'!$A$15:$A$1000,$E861))*('E2E core flow'!$U$15:$U$1000&lt;&gt;""),"")))),"-"))</f>
        <v/>
      </c>
    </row>
    <row r="862" spans="7:19" x14ac:dyDescent="0.3">
      <c r="G862" s="68" t="str" cm="1">
        <f t="array" ref="G862">_xlfn.LET(_xlpm.ids,'E2E core flow'!$A$15:$A$1000,_xlpm.v,'E2E core flow'!$W$15:$W$1000,_xlpm.m,(_xlpm.ids&lt;&gt;"")*ISNUMBER(SEARCH(_xlpm.ids,$E862)),_xlpm.f,SUM(_xlpm.m*(_xlpm.v="Failed")),_xlpm.b,SUM(_xlpm.m*(_xlpm.v="Blocked")),_xlpm.nr,SUM(_xlpm.m*(_xlpm.v="Not Run")),_xlpm.cp,SUM(_xlpm.m*(_xlpm.v="Conditionally Passed")),_xlpm.p,SUM(_xlpm.m*(_xlpm.v="Passed")),IF(TRIM($A862)="","",IF(TRIM($E862)="","Pending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62" s="68" t="str">
        <f>IF(TRIM($A862)="","",IF($J862="Passed","",IF($J862="Passed with Known Issue","Known Issue",IF($J862="",IF(OR($H862&lt;&gt;"No",AND($F862&lt;&gt;"Medium",$F862&lt;&gt;"Low")),"Pending Result",""),IF(OR($H862&lt;&gt;"No",AND($F862&lt;&gt;"Medium",$F862&lt;&gt;"Low")),IF(COUNTIFS(Dashboard!$B$105:$B$124,$A862,Dashboard!$I$105:$I$124,"CAB")&gt;0,"Accepted (CF)","Blocking"),IF($J862="Failed","Deferrable","Carry Over"))))))</f>
        <v/>
      </c>
      <c r="M862" s="68" t="str">
        <f>IF(OR(TRIM($A862)="",TRIM($E862)=""),"",IFERROR(INDEX('E2E core flow'!$B$15:$B$1000,MATCH(1,INDEX(('E2E core flow'!$A$15:$A$1000&lt;&gt;"")*ISNUMBER(SEARCH('E2E core flow'!$A$15:$A$1000,$E862)),0),0))&amp;"","-"))</f>
        <v/>
      </c>
      <c r="N862" s="68" t="str">
        <f>IF(TRIM($A862)="","",IF($O862=0,IF(COUNTIFS('Card Test Cases'!$B$4:$B$1000,$A862,'Card Test Cases'!$A$4:$A$1000,"&lt;&gt;")&gt;0,"Out of Scope","No TC"),IF($Q862&gt;0,"Failed",IF(COUNTIFS('Card Test Cases'!$B$4:$B$1000,$A862,'Card Test Cases'!$A$4:$A$1000,"&lt;&gt;",'Card Test Cases'!$F$4:$F$1000,"Blocked")&gt;0,"Blocked",IF($R862&gt;0,"In Progress","Passed")))))</f>
        <v/>
      </c>
      <c r="O862" s="68" t="str">
        <f>IF(TRIM($A862)="","",COUNTIFS('Card Test Cases'!$B$4:$B$1000,$A862,'Card Test Cases'!$A$4:$A$1000,"&lt;&gt;",'Card Test Cases'!$F$4:$F$1000,"&lt;&gt;Out of Scope"))</f>
        <v/>
      </c>
      <c r="P862" s="68" t="str">
        <f>IF(TRIM($A862)="","",COUNTIFS('Card Test Cases'!$B$4:$B$1000,$A862,'Card Test Cases'!$A$4:$A$1000,"&lt;&gt;",'Card Test Cases'!$F$4:$F$1000,"Passed"))</f>
        <v/>
      </c>
      <c r="Q862" s="68" t="str">
        <f>IF(TRIM($A862)="","",COUNTIFS('Card Test Cases'!$B$4:$B$1000,$A862,'Card Test Cases'!$A$4:$A$1000,"&lt;&gt;",'Card Test Cases'!$F$4:$F$1000,"Failed"))</f>
        <v/>
      </c>
      <c r="R862" s="68" t="str">
        <f t="shared" si="13"/>
        <v/>
      </c>
      <c r="S862" s="68" t="str" cm="1">
        <f t="array" ref="S862">IF(TRIM($A862)="","",IFERROR(_xlfn.TEXTJOIN(", ",TRUE,_xlfn.UNIQUE(_xlfn.VSTACK(_xlfn._xlws.FILTER('Card Test Cases'!$G$4:$G$1000,('Card Test Cases'!$B$4:$B$1000=$A862)*('Card Test Cases'!$G$4:$G$1000&lt;&gt;""),""),_xlfn._xlws.FILTER('E2E core flow'!$U$15:$U$1000,('E2E core flow'!$A$15:$A$1000&lt;&gt;"")*ISNUMBER(SEARCH('E2E core flow'!$A$15:$A$1000,$E862))*('E2E core flow'!$U$15:$U$1000&lt;&gt;""),"")))),"-"))</f>
        <v/>
      </c>
    </row>
    <row r="863" spans="7:19" x14ac:dyDescent="0.3">
      <c r="G863" s="68" t="str" cm="1">
        <f t="array" ref="G863">_xlfn.LET(_xlpm.ids,'E2E core flow'!$A$15:$A$1000,_xlpm.v,'E2E core flow'!$W$15:$W$1000,_xlpm.m,(_xlpm.ids&lt;&gt;"")*ISNUMBER(SEARCH(_xlpm.ids,$E863)),_xlpm.f,SUM(_xlpm.m*(_xlpm.v="Failed")),_xlpm.b,SUM(_xlpm.m*(_xlpm.v="Blocked")),_xlpm.nr,SUM(_xlpm.m*(_xlpm.v="Not Run")),_xlpm.cp,SUM(_xlpm.m*(_xlpm.v="Conditionally Passed")),_xlpm.p,SUM(_xlpm.m*(_xlpm.v="Passed")),IF(TRIM($A863)="","",IF(TRIM($E863)="","Pending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63" s="68" t="str">
        <f>IF(TRIM($A863)="","",IF($J863="Passed","",IF($J863="Passed with Known Issue","Known Issue",IF($J863="",IF(OR($H863&lt;&gt;"No",AND($F863&lt;&gt;"Medium",$F863&lt;&gt;"Low")),"Pending Result",""),IF(OR($H863&lt;&gt;"No",AND($F863&lt;&gt;"Medium",$F863&lt;&gt;"Low")),IF(COUNTIFS(Dashboard!$B$105:$B$124,$A863,Dashboard!$I$105:$I$124,"CAB")&gt;0,"Accepted (CF)","Blocking"),IF($J863="Failed","Deferrable","Carry Over"))))))</f>
        <v/>
      </c>
      <c r="M863" s="68" t="str">
        <f>IF(OR(TRIM($A863)="",TRIM($E863)=""),"",IFERROR(INDEX('E2E core flow'!$B$15:$B$1000,MATCH(1,INDEX(('E2E core flow'!$A$15:$A$1000&lt;&gt;"")*ISNUMBER(SEARCH('E2E core flow'!$A$15:$A$1000,$E863)),0),0))&amp;"","-"))</f>
        <v/>
      </c>
      <c r="N863" s="68" t="str">
        <f>IF(TRIM($A863)="","",IF($O863=0,IF(COUNTIFS('Card Test Cases'!$B$4:$B$1000,$A863,'Card Test Cases'!$A$4:$A$1000,"&lt;&gt;")&gt;0,"Out of Scope","No TC"),IF($Q863&gt;0,"Failed",IF(COUNTIFS('Card Test Cases'!$B$4:$B$1000,$A863,'Card Test Cases'!$A$4:$A$1000,"&lt;&gt;",'Card Test Cases'!$F$4:$F$1000,"Blocked")&gt;0,"Blocked",IF($R863&gt;0,"In Progress","Passed")))))</f>
        <v/>
      </c>
      <c r="O863" s="68" t="str">
        <f>IF(TRIM($A863)="","",COUNTIFS('Card Test Cases'!$B$4:$B$1000,$A863,'Card Test Cases'!$A$4:$A$1000,"&lt;&gt;",'Card Test Cases'!$F$4:$F$1000,"&lt;&gt;Out of Scope"))</f>
        <v/>
      </c>
      <c r="P863" s="68" t="str">
        <f>IF(TRIM($A863)="","",COUNTIFS('Card Test Cases'!$B$4:$B$1000,$A863,'Card Test Cases'!$A$4:$A$1000,"&lt;&gt;",'Card Test Cases'!$F$4:$F$1000,"Passed"))</f>
        <v/>
      </c>
      <c r="Q863" s="68" t="str">
        <f>IF(TRIM($A863)="","",COUNTIFS('Card Test Cases'!$B$4:$B$1000,$A863,'Card Test Cases'!$A$4:$A$1000,"&lt;&gt;",'Card Test Cases'!$F$4:$F$1000,"Failed"))</f>
        <v/>
      </c>
      <c r="R863" s="68" t="str">
        <f t="shared" si="13"/>
        <v/>
      </c>
      <c r="S863" s="68" t="str" cm="1">
        <f t="array" ref="S863">IF(TRIM($A863)="","",IFERROR(_xlfn.TEXTJOIN(", ",TRUE,_xlfn.UNIQUE(_xlfn.VSTACK(_xlfn._xlws.FILTER('Card Test Cases'!$G$4:$G$1000,('Card Test Cases'!$B$4:$B$1000=$A863)*('Card Test Cases'!$G$4:$G$1000&lt;&gt;""),""),_xlfn._xlws.FILTER('E2E core flow'!$U$15:$U$1000,('E2E core flow'!$A$15:$A$1000&lt;&gt;"")*ISNUMBER(SEARCH('E2E core flow'!$A$15:$A$1000,$E863))*('E2E core flow'!$U$15:$U$1000&lt;&gt;""),"")))),"-"))</f>
        <v/>
      </c>
    </row>
    <row r="864" spans="7:19" x14ac:dyDescent="0.3">
      <c r="G864" s="68" t="str" cm="1">
        <f t="array" ref="G864">_xlfn.LET(_xlpm.ids,'E2E core flow'!$A$15:$A$1000,_xlpm.v,'E2E core flow'!$W$15:$W$1000,_xlpm.m,(_xlpm.ids&lt;&gt;"")*ISNUMBER(SEARCH(_xlpm.ids,$E864)),_xlpm.f,SUM(_xlpm.m*(_xlpm.v="Failed")),_xlpm.b,SUM(_xlpm.m*(_xlpm.v="Blocked")),_xlpm.nr,SUM(_xlpm.m*(_xlpm.v="Not Run")),_xlpm.cp,SUM(_xlpm.m*(_xlpm.v="Conditionally Passed")),_xlpm.p,SUM(_xlpm.m*(_xlpm.v="Passed")),IF(TRIM($A864)="","",IF(TRIM($E864)="","Pending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64" s="68" t="str">
        <f>IF(TRIM($A864)="","",IF($J864="Passed","",IF($J864="Passed with Known Issue","Known Issue",IF($J864="",IF(OR($H864&lt;&gt;"No",AND($F864&lt;&gt;"Medium",$F864&lt;&gt;"Low")),"Pending Result",""),IF(OR($H864&lt;&gt;"No",AND($F864&lt;&gt;"Medium",$F864&lt;&gt;"Low")),IF(COUNTIFS(Dashboard!$B$105:$B$124,$A864,Dashboard!$I$105:$I$124,"CAB")&gt;0,"Accepted (CF)","Blocking"),IF($J864="Failed","Deferrable","Carry Over"))))))</f>
        <v/>
      </c>
      <c r="M864" s="68" t="str">
        <f>IF(OR(TRIM($A864)="",TRIM($E864)=""),"",IFERROR(INDEX('E2E core flow'!$B$15:$B$1000,MATCH(1,INDEX(('E2E core flow'!$A$15:$A$1000&lt;&gt;"")*ISNUMBER(SEARCH('E2E core flow'!$A$15:$A$1000,$E864)),0),0))&amp;"","-"))</f>
        <v/>
      </c>
      <c r="N864" s="68" t="str">
        <f>IF(TRIM($A864)="","",IF($O864=0,IF(COUNTIFS('Card Test Cases'!$B$4:$B$1000,$A864,'Card Test Cases'!$A$4:$A$1000,"&lt;&gt;")&gt;0,"Out of Scope","No TC"),IF($Q864&gt;0,"Failed",IF(COUNTIFS('Card Test Cases'!$B$4:$B$1000,$A864,'Card Test Cases'!$A$4:$A$1000,"&lt;&gt;",'Card Test Cases'!$F$4:$F$1000,"Blocked")&gt;0,"Blocked",IF($R864&gt;0,"In Progress","Passed")))))</f>
        <v/>
      </c>
      <c r="O864" s="68" t="str">
        <f>IF(TRIM($A864)="","",COUNTIFS('Card Test Cases'!$B$4:$B$1000,$A864,'Card Test Cases'!$A$4:$A$1000,"&lt;&gt;",'Card Test Cases'!$F$4:$F$1000,"&lt;&gt;Out of Scope"))</f>
        <v/>
      </c>
      <c r="P864" s="68" t="str">
        <f>IF(TRIM($A864)="","",COUNTIFS('Card Test Cases'!$B$4:$B$1000,$A864,'Card Test Cases'!$A$4:$A$1000,"&lt;&gt;",'Card Test Cases'!$F$4:$F$1000,"Passed"))</f>
        <v/>
      </c>
      <c r="Q864" s="68" t="str">
        <f>IF(TRIM($A864)="","",COUNTIFS('Card Test Cases'!$B$4:$B$1000,$A864,'Card Test Cases'!$A$4:$A$1000,"&lt;&gt;",'Card Test Cases'!$F$4:$F$1000,"Failed"))</f>
        <v/>
      </c>
      <c r="R864" s="68" t="str">
        <f t="shared" si="13"/>
        <v/>
      </c>
      <c r="S864" s="68" t="str" cm="1">
        <f t="array" ref="S864">IF(TRIM($A864)="","",IFERROR(_xlfn.TEXTJOIN(", ",TRUE,_xlfn.UNIQUE(_xlfn.VSTACK(_xlfn._xlws.FILTER('Card Test Cases'!$G$4:$G$1000,('Card Test Cases'!$B$4:$B$1000=$A864)*('Card Test Cases'!$G$4:$G$1000&lt;&gt;""),""),_xlfn._xlws.FILTER('E2E core flow'!$U$15:$U$1000,('E2E core flow'!$A$15:$A$1000&lt;&gt;"")*ISNUMBER(SEARCH('E2E core flow'!$A$15:$A$1000,$E864))*('E2E core flow'!$U$15:$U$1000&lt;&gt;""),"")))),"-"))</f>
        <v/>
      </c>
    </row>
    <row r="865" spans="7:19" x14ac:dyDescent="0.3">
      <c r="G865" s="68" t="str" cm="1">
        <f t="array" ref="G865">_xlfn.LET(_xlpm.ids,'E2E core flow'!$A$15:$A$1000,_xlpm.v,'E2E core flow'!$W$15:$W$1000,_xlpm.m,(_xlpm.ids&lt;&gt;"")*ISNUMBER(SEARCH(_xlpm.ids,$E865)),_xlpm.f,SUM(_xlpm.m*(_xlpm.v="Failed")),_xlpm.b,SUM(_xlpm.m*(_xlpm.v="Blocked")),_xlpm.nr,SUM(_xlpm.m*(_xlpm.v="Not Run")),_xlpm.cp,SUM(_xlpm.m*(_xlpm.v="Conditionally Passed")),_xlpm.p,SUM(_xlpm.m*(_xlpm.v="Passed")),IF(TRIM($A865)="","",IF(TRIM($E865)="","Pending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65" s="68" t="str">
        <f>IF(TRIM($A865)="","",IF($J865="Passed","",IF($J865="Passed with Known Issue","Known Issue",IF($J865="",IF(OR($H865&lt;&gt;"No",AND($F865&lt;&gt;"Medium",$F865&lt;&gt;"Low")),"Pending Result",""),IF(OR($H865&lt;&gt;"No",AND($F865&lt;&gt;"Medium",$F865&lt;&gt;"Low")),IF(COUNTIFS(Dashboard!$B$105:$B$124,$A865,Dashboard!$I$105:$I$124,"CAB")&gt;0,"Accepted (CF)","Blocking"),IF($J865="Failed","Deferrable","Carry Over"))))))</f>
        <v/>
      </c>
      <c r="M865" s="68" t="str">
        <f>IF(OR(TRIM($A865)="",TRIM($E865)=""),"",IFERROR(INDEX('E2E core flow'!$B$15:$B$1000,MATCH(1,INDEX(('E2E core flow'!$A$15:$A$1000&lt;&gt;"")*ISNUMBER(SEARCH('E2E core flow'!$A$15:$A$1000,$E865)),0),0))&amp;"","-"))</f>
        <v/>
      </c>
      <c r="N865" s="68" t="str">
        <f>IF(TRIM($A865)="","",IF($O865=0,IF(COUNTIFS('Card Test Cases'!$B$4:$B$1000,$A865,'Card Test Cases'!$A$4:$A$1000,"&lt;&gt;")&gt;0,"Out of Scope","No TC"),IF($Q865&gt;0,"Failed",IF(COUNTIFS('Card Test Cases'!$B$4:$B$1000,$A865,'Card Test Cases'!$A$4:$A$1000,"&lt;&gt;",'Card Test Cases'!$F$4:$F$1000,"Blocked")&gt;0,"Blocked",IF($R865&gt;0,"In Progress","Passed")))))</f>
        <v/>
      </c>
      <c r="O865" s="68" t="str">
        <f>IF(TRIM($A865)="","",COUNTIFS('Card Test Cases'!$B$4:$B$1000,$A865,'Card Test Cases'!$A$4:$A$1000,"&lt;&gt;",'Card Test Cases'!$F$4:$F$1000,"&lt;&gt;Out of Scope"))</f>
        <v/>
      </c>
      <c r="P865" s="68" t="str">
        <f>IF(TRIM($A865)="","",COUNTIFS('Card Test Cases'!$B$4:$B$1000,$A865,'Card Test Cases'!$A$4:$A$1000,"&lt;&gt;",'Card Test Cases'!$F$4:$F$1000,"Passed"))</f>
        <v/>
      </c>
      <c r="Q865" s="68" t="str">
        <f>IF(TRIM($A865)="","",COUNTIFS('Card Test Cases'!$B$4:$B$1000,$A865,'Card Test Cases'!$A$4:$A$1000,"&lt;&gt;",'Card Test Cases'!$F$4:$F$1000,"Failed"))</f>
        <v/>
      </c>
      <c r="R865" s="68" t="str">
        <f t="shared" si="13"/>
        <v/>
      </c>
      <c r="S865" s="68" t="str" cm="1">
        <f t="array" ref="S865">IF(TRIM($A865)="","",IFERROR(_xlfn.TEXTJOIN(", ",TRUE,_xlfn.UNIQUE(_xlfn.VSTACK(_xlfn._xlws.FILTER('Card Test Cases'!$G$4:$G$1000,('Card Test Cases'!$B$4:$B$1000=$A865)*('Card Test Cases'!$G$4:$G$1000&lt;&gt;""),""),_xlfn._xlws.FILTER('E2E core flow'!$U$15:$U$1000,('E2E core flow'!$A$15:$A$1000&lt;&gt;"")*ISNUMBER(SEARCH('E2E core flow'!$A$15:$A$1000,$E865))*('E2E core flow'!$U$15:$U$1000&lt;&gt;""),"")))),"-"))</f>
        <v/>
      </c>
    </row>
    <row r="866" spans="7:19" x14ac:dyDescent="0.3">
      <c r="G866" s="68" t="str" cm="1">
        <f t="array" ref="G866">_xlfn.LET(_xlpm.ids,'E2E core flow'!$A$15:$A$1000,_xlpm.v,'E2E core flow'!$W$15:$W$1000,_xlpm.m,(_xlpm.ids&lt;&gt;"")*ISNUMBER(SEARCH(_xlpm.ids,$E866)),_xlpm.f,SUM(_xlpm.m*(_xlpm.v="Failed")),_xlpm.b,SUM(_xlpm.m*(_xlpm.v="Blocked")),_xlpm.nr,SUM(_xlpm.m*(_xlpm.v="Not Run")),_xlpm.cp,SUM(_xlpm.m*(_xlpm.v="Conditionally Passed")),_xlpm.p,SUM(_xlpm.m*(_xlpm.v="Passed")),IF(TRIM($A866)="","",IF(TRIM($E866)="","Pending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66" s="68" t="str">
        <f>IF(TRIM($A866)="","",IF($J866="Passed","",IF($J866="Passed with Known Issue","Known Issue",IF($J866="",IF(OR($H866&lt;&gt;"No",AND($F866&lt;&gt;"Medium",$F866&lt;&gt;"Low")),"Pending Result",""),IF(OR($H866&lt;&gt;"No",AND($F866&lt;&gt;"Medium",$F866&lt;&gt;"Low")),IF(COUNTIFS(Dashboard!$B$105:$B$124,$A866,Dashboard!$I$105:$I$124,"CAB")&gt;0,"Accepted (CF)","Blocking"),IF($J866="Failed","Deferrable","Carry Over"))))))</f>
        <v/>
      </c>
      <c r="M866" s="68" t="str">
        <f>IF(OR(TRIM($A866)="",TRIM($E866)=""),"",IFERROR(INDEX('E2E core flow'!$B$15:$B$1000,MATCH(1,INDEX(('E2E core flow'!$A$15:$A$1000&lt;&gt;"")*ISNUMBER(SEARCH('E2E core flow'!$A$15:$A$1000,$E866)),0),0))&amp;"","-"))</f>
        <v/>
      </c>
      <c r="N866" s="68" t="str">
        <f>IF(TRIM($A866)="","",IF($O866=0,IF(COUNTIFS('Card Test Cases'!$B$4:$B$1000,$A866,'Card Test Cases'!$A$4:$A$1000,"&lt;&gt;")&gt;0,"Out of Scope","No TC"),IF($Q866&gt;0,"Failed",IF(COUNTIFS('Card Test Cases'!$B$4:$B$1000,$A866,'Card Test Cases'!$A$4:$A$1000,"&lt;&gt;",'Card Test Cases'!$F$4:$F$1000,"Blocked")&gt;0,"Blocked",IF($R866&gt;0,"In Progress","Passed")))))</f>
        <v/>
      </c>
      <c r="O866" s="68" t="str">
        <f>IF(TRIM($A866)="","",COUNTIFS('Card Test Cases'!$B$4:$B$1000,$A866,'Card Test Cases'!$A$4:$A$1000,"&lt;&gt;",'Card Test Cases'!$F$4:$F$1000,"&lt;&gt;Out of Scope"))</f>
        <v/>
      </c>
      <c r="P866" s="68" t="str">
        <f>IF(TRIM($A866)="","",COUNTIFS('Card Test Cases'!$B$4:$B$1000,$A866,'Card Test Cases'!$A$4:$A$1000,"&lt;&gt;",'Card Test Cases'!$F$4:$F$1000,"Passed"))</f>
        <v/>
      </c>
      <c r="Q866" s="68" t="str">
        <f>IF(TRIM($A866)="","",COUNTIFS('Card Test Cases'!$B$4:$B$1000,$A866,'Card Test Cases'!$A$4:$A$1000,"&lt;&gt;",'Card Test Cases'!$F$4:$F$1000,"Failed"))</f>
        <v/>
      </c>
      <c r="R866" s="68" t="str">
        <f t="shared" si="13"/>
        <v/>
      </c>
      <c r="S866" s="68" t="str" cm="1">
        <f t="array" ref="S866">IF(TRIM($A866)="","",IFERROR(_xlfn.TEXTJOIN(", ",TRUE,_xlfn.UNIQUE(_xlfn.VSTACK(_xlfn._xlws.FILTER('Card Test Cases'!$G$4:$G$1000,('Card Test Cases'!$B$4:$B$1000=$A866)*('Card Test Cases'!$G$4:$G$1000&lt;&gt;""),""),_xlfn._xlws.FILTER('E2E core flow'!$U$15:$U$1000,('E2E core flow'!$A$15:$A$1000&lt;&gt;"")*ISNUMBER(SEARCH('E2E core flow'!$A$15:$A$1000,$E866))*('E2E core flow'!$U$15:$U$1000&lt;&gt;""),"")))),"-"))</f>
        <v/>
      </c>
    </row>
    <row r="867" spans="7:19" x14ac:dyDescent="0.3">
      <c r="G867" s="68" t="str" cm="1">
        <f t="array" ref="G867">_xlfn.LET(_xlpm.ids,'E2E core flow'!$A$15:$A$1000,_xlpm.v,'E2E core flow'!$W$15:$W$1000,_xlpm.m,(_xlpm.ids&lt;&gt;"")*ISNUMBER(SEARCH(_xlpm.ids,$E867)),_xlpm.f,SUM(_xlpm.m*(_xlpm.v="Failed")),_xlpm.b,SUM(_xlpm.m*(_xlpm.v="Blocked")),_xlpm.nr,SUM(_xlpm.m*(_xlpm.v="Not Run")),_xlpm.cp,SUM(_xlpm.m*(_xlpm.v="Conditionally Passed")),_xlpm.p,SUM(_xlpm.m*(_xlpm.v="Passed")),IF(TRIM($A867)="","",IF(TRIM($E867)="","Pending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67" s="68" t="str">
        <f>IF(TRIM($A867)="","",IF($J867="Passed","",IF($J867="Passed with Known Issue","Known Issue",IF($J867="",IF(OR($H867&lt;&gt;"No",AND($F867&lt;&gt;"Medium",$F867&lt;&gt;"Low")),"Pending Result",""),IF(OR($H867&lt;&gt;"No",AND($F867&lt;&gt;"Medium",$F867&lt;&gt;"Low")),IF(COUNTIFS(Dashboard!$B$105:$B$124,$A867,Dashboard!$I$105:$I$124,"CAB")&gt;0,"Accepted (CF)","Blocking"),IF($J867="Failed","Deferrable","Carry Over"))))))</f>
        <v/>
      </c>
      <c r="M867" s="68" t="str">
        <f>IF(OR(TRIM($A867)="",TRIM($E867)=""),"",IFERROR(INDEX('E2E core flow'!$B$15:$B$1000,MATCH(1,INDEX(('E2E core flow'!$A$15:$A$1000&lt;&gt;"")*ISNUMBER(SEARCH('E2E core flow'!$A$15:$A$1000,$E867)),0),0))&amp;"","-"))</f>
        <v/>
      </c>
      <c r="N867" s="68" t="str">
        <f>IF(TRIM($A867)="","",IF($O867=0,IF(COUNTIFS('Card Test Cases'!$B$4:$B$1000,$A867,'Card Test Cases'!$A$4:$A$1000,"&lt;&gt;")&gt;0,"Out of Scope","No TC"),IF($Q867&gt;0,"Failed",IF(COUNTIFS('Card Test Cases'!$B$4:$B$1000,$A867,'Card Test Cases'!$A$4:$A$1000,"&lt;&gt;",'Card Test Cases'!$F$4:$F$1000,"Blocked")&gt;0,"Blocked",IF($R867&gt;0,"In Progress","Passed")))))</f>
        <v/>
      </c>
      <c r="O867" s="68" t="str">
        <f>IF(TRIM($A867)="","",COUNTIFS('Card Test Cases'!$B$4:$B$1000,$A867,'Card Test Cases'!$A$4:$A$1000,"&lt;&gt;",'Card Test Cases'!$F$4:$F$1000,"&lt;&gt;Out of Scope"))</f>
        <v/>
      </c>
      <c r="P867" s="68" t="str">
        <f>IF(TRIM($A867)="","",COUNTIFS('Card Test Cases'!$B$4:$B$1000,$A867,'Card Test Cases'!$A$4:$A$1000,"&lt;&gt;",'Card Test Cases'!$F$4:$F$1000,"Passed"))</f>
        <v/>
      </c>
      <c r="Q867" s="68" t="str">
        <f>IF(TRIM($A867)="","",COUNTIFS('Card Test Cases'!$B$4:$B$1000,$A867,'Card Test Cases'!$A$4:$A$1000,"&lt;&gt;",'Card Test Cases'!$F$4:$F$1000,"Failed"))</f>
        <v/>
      </c>
      <c r="R867" s="68" t="str">
        <f t="shared" si="13"/>
        <v/>
      </c>
      <c r="S867" s="68" t="str" cm="1">
        <f t="array" ref="S867">IF(TRIM($A867)="","",IFERROR(_xlfn.TEXTJOIN(", ",TRUE,_xlfn.UNIQUE(_xlfn.VSTACK(_xlfn._xlws.FILTER('Card Test Cases'!$G$4:$G$1000,('Card Test Cases'!$B$4:$B$1000=$A867)*('Card Test Cases'!$G$4:$G$1000&lt;&gt;""),""),_xlfn._xlws.FILTER('E2E core flow'!$U$15:$U$1000,('E2E core flow'!$A$15:$A$1000&lt;&gt;"")*ISNUMBER(SEARCH('E2E core flow'!$A$15:$A$1000,$E867))*('E2E core flow'!$U$15:$U$1000&lt;&gt;""),"")))),"-"))</f>
        <v/>
      </c>
    </row>
    <row r="868" spans="7:19" x14ac:dyDescent="0.3">
      <c r="G868" s="68" t="str" cm="1">
        <f t="array" ref="G868">_xlfn.LET(_xlpm.ids,'E2E core flow'!$A$15:$A$1000,_xlpm.v,'E2E core flow'!$W$15:$W$1000,_xlpm.m,(_xlpm.ids&lt;&gt;"")*ISNUMBER(SEARCH(_xlpm.ids,$E868)),_xlpm.f,SUM(_xlpm.m*(_xlpm.v="Failed")),_xlpm.b,SUM(_xlpm.m*(_xlpm.v="Blocked")),_xlpm.nr,SUM(_xlpm.m*(_xlpm.v="Not Run")),_xlpm.cp,SUM(_xlpm.m*(_xlpm.v="Conditionally Passed")),_xlpm.p,SUM(_xlpm.m*(_xlpm.v="Passed")),IF(TRIM($A868)="","",IF(TRIM($E868)="","Pending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68" s="68" t="str">
        <f>IF(TRIM($A868)="","",IF($J868="Passed","",IF($J868="Passed with Known Issue","Known Issue",IF($J868="",IF(OR($H868&lt;&gt;"No",AND($F868&lt;&gt;"Medium",$F868&lt;&gt;"Low")),"Pending Result",""),IF(OR($H868&lt;&gt;"No",AND($F868&lt;&gt;"Medium",$F868&lt;&gt;"Low")),IF(COUNTIFS(Dashboard!$B$105:$B$124,$A868,Dashboard!$I$105:$I$124,"CAB")&gt;0,"Accepted (CF)","Blocking"),IF($J868="Failed","Deferrable","Carry Over"))))))</f>
        <v/>
      </c>
      <c r="M868" s="68" t="str">
        <f>IF(OR(TRIM($A868)="",TRIM($E868)=""),"",IFERROR(INDEX('E2E core flow'!$B$15:$B$1000,MATCH(1,INDEX(('E2E core flow'!$A$15:$A$1000&lt;&gt;"")*ISNUMBER(SEARCH('E2E core flow'!$A$15:$A$1000,$E868)),0),0))&amp;"","-"))</f>
        <v/>
      </c>
      <c r="N868" s="68" t="str">
        <f>IF(TRIM($A868)="","",IF($O868=0,IF(COUNTIFS('Card Test Cases'!$B$4:$B$1000,$A868,'Card Test Cases'!$A$4:$A$1000,"&lt;&gt;")&gt;0,"Out of Scope","No TC"),IF($Q868&gt;0,"Failed",IF(COUNTIFS('Card Test Cases'!$B$4:$B$1000,$A868,'Card Test Cases'!$A$4:$A$1000,"&lt;&gt;",'Card Test Cases'!$F$4:$F$1000,"Blocked")&gt;0,"Blocked",IF($R868&gt;0,"In Progress","Passed")))))</f>
        <v/>
      </c>
      <c r="O868" s="68" t="str">
        <f>IF(TRIM($A868)="","",COUNTIFS('Card Test Cases'!$B$4:$B$1000,$A868,'Card Test Cases'!$A$4:$A$1000,"&lt;&gt;",'Card Test Cases'!$F$4:$F$1000,"&lt;&gt;Out of Scope"))</f>
        <v/>
      </c>
      <c r="P868" s="68" t="str">
        <f>IF(TRIM($A868)="","",COUNTIFS('Card Test Cases'!$B$4:$B$1000,$A868,'Card Test Cases'!$A$4:$A$1000,"&lt;&gt;",'Card Test Cases'!$F$4:$F$1000,"Passed"))</f>
        <v/>
      </c>
      <c r="Q868" s="68" t="str">
        <f>IF(TRIM($A868)="","",COUNTIFS('Card Test Cases'!$B$4:$B$1000,$A868,'Card Test Cases'!$A$4:$A$1000,"&lt;&gt;",'Card Test Cases'!$F$4:$F$1000,"Failed"))</f>
        <v/>
      </c>
      <c r="R868" s="68" t="str">
        <f t="shared" si="13"/>
        <v/>
      </c>
      <c r="S868" s="68" t="str" cm="1">
        <f t="array" ref="S868">IF(TRIM($A868)="","",IFERROR(_xlfn.TEXTJOIN(", ",TRUE,_xlfn.UNIQUE(_xlfn.VSTACK(_xlfn._xlws.FILTER('Card Test Cases'!$G$4:$G$1000,('Card Test Cases'!$B$4:$B$1000=$A868)*('Card Test Cases'!$G$4:$G$1000&lt;&gt;""),""),_xlfn._xlws.FILTER('E2E core flow'!$U$15:$U$1000,('E2E core flow'!$A$15:$A$1000&lt;&gt;"")*ISNUMBER(SEARCH('E2E core flow'!$A$15:$A$1000,$E868))*('E2E core flow'!$U$15:$U$1000&lt;&gt;""),"")))),"-"))</f>
        <v/>
      </c>
    </row>
    <row r="869" spans="7:19" x14ac:dyDescent="0.3">
      <c r="G869" s="68" t="str" cm="1">
        <f t="array" ref="G869">_xlfn.LET(_xlpm.ids,'E2E core flow'!$A$15:$A$1000,_xlpm.v,'E2E core flow'!$W$15:$W$1000,_xlpm.m,(_xlpm.ids&lt;&gt;"")*ISNUMBER(SEARCH(_xlpm.ids,$E869)),_xlpm.f,SUM(_xlpm.m*(_xlpm.v="Failed")),_xlpm.b,SUM(_xlpm.m*(_xlpm.v="Blocked")),_xlpm.nr,SUM(_xlpm.m*(_xlpm.v="Not Run")),_xlpm.cp,SUM(_xlpm.m*(_xlpm.v="Conditionally Passed")),_xlpm.p,SUM(_xlpm.m*(_xlpm.v="Passed")),IF(TRIM($A869)="","",IF(TRIM($E869)="","Pending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69" s="68" t="str">
        <f>IF(TRIM($A869)="","",IF($J869="Passed","",IF($J869="Passed with Known Issue","Known Issue",IF($J869="",IF(OR($H869&lt;&gt;"No",AND($F869&lt;&gt;"Medium",$F869&lt;&gt;"Low")),"Pending Result",""),IF(OR($H869&lt;&gt;"No",AND($F869&lt;&gt;"Medium",$F869&lt;&gt;"Low")),IF(COUNTIFS(Dashboard!$B$105:$B$124,$A869,Dashboard!$I$105:$I$124,"CAB")&gt;0,"Accepted (CF)","Blocking"),IF($J869="Failed","Deferrable","Carry Over"))))))</f>
        <v/>
      </c>
      <c r="M869" s="68" t="str">
        <f>IF(OR(TRIM($A869)="",TRIM($E869)=""),"",IFERROR(INDEX('E2E core flow'!$B$15:$B$1000,MATCH(1,INDEX(('E2E core flow'!$A$15:$A$1000&lt;&gt;"")*ISNUMBER(SEARCH('E2E core flow'!$A$15:$A$1000,$E869)),0),0))&amp;"","-"))</f>
        <v/>
      </c>
      <c r="N869" s="68" t="str">
        <f>IF(TRIM($A869)="","",IF($O869=0,IF(COUNTIFS('Card Test Cases'!$B$4:$B$1000,$A869,'Card Test Cases'!$A$4:$A$1000,"&lt;&gt;")&gt;0,"Out of Scope","No TC"),IF($Q869&gt;0,"Failed",IF(COUNTIFS('Card Test Cases'!$B$4:$B$1000,$A869,'Card Test Cases'!$A$4:$A$1000,"&lt;&gt;",'Card Test Cases'!$F$4:$F$1000,"Blocked")&gt;0,"Blocked",IF($R869&gt;0,"In Progress","Passed")))))</f>
        <v/>
      </c>
      <c r="O869" s="68" t="str">
        <f>IF(TRIM($A869)="","",COUNTIFS('Card Test Cases'!$B$4:$B$1000,$A869,'Card Test Cases'!$A$4:$A$1000,"&lt;&gt;",'Card Test Cases'!$F$4:$F$1000,"&lt;&gt;Out of Scope"))</f>
        <v/>
      </c>
      <c r="P869" s="68" t="str">
        <f>IF(TRIM($A869)="","",COUNTIFS('Card Test Cases'!$B$4:$B$1000,$A869,'Card Test Cases'!$A$4:$A$1000,"&lt;&gt;",'Card Test Cases'!$F$4:$F$1000,"Passed"))</f>
        <v/>
      </c>
      <c r="Q869" s="68" t="str">
        <f>IF(TRIM($A869)="","",COUNTIFS('Card Test Cases'!$B$4:$B$1000,$A869,'Card Test Cases'!$A$4:$A$1000,"&lt;&gt;",'Card Test Cases'!$F$4:$F$1000,"Failed"))</f>
        <v/>
      </c>
      <c r="R869" s="68" t="str">
        <f t="shared" si="13"/>
        <v/>
      </c>
      <c r="S869" s="68" t="str" cm="1">
        <f t="array" ref="S869">IF(TRIM($A869)="","",IFERROR(_xlfn.TEXTJOIN(", ",TRUE,_xlfn.UNIQUE(_xlfn.VSTACK(_xlfn._xlws.FILTER('Card Test Cases'!$G$4:$G$1000,('Card Test Cases'!$B$4:$B$1000=$A869)*('Card Test Cases'!$G$4:$G$1000&lt;&gt;""),""),_xlfn._xlws.FILTER('E2E core flow'!$U$15:$U$1000,('E2E core flow'!$A$15:$A$1000&lt;&gt;"")*ISNUMBER(SEARCH('E2E core flow'!$A$15:$A$1000,$E869))*('E2E core flow'!$U$15:$U$1000&lt;&gt;""),"")))),"-"))</f>
        <v/>
      </c>
    </row>
    <row r="870" spans="7:19" x14ac:dyDescent="0.3">
      <c r="G870" s="68" t="str" cm="1">
        <f t="array" ref="G870">_xlfn.LET(_xlpm.ids,'E2E core flow'!$A$15:$A$1000,_xlpm.v,'E2E core flow'!$W$15:$W$1000,_xlpm.m,(_xlpm.ids&lt;&gt;"")*ISNUMBER(SEARCH(_xlpm.ids,$E870)),_xlpm.f,SUM(_xlpm.m*(_xlpm.v="Failed")),_xlpm.b,SUM(_xlpm.m*(_xlpm.v="Blocked")),_xlpm.nr,SUM(_xlpm.m*(_xlpm.v="Not Run")),_xlpm.cp,SUM(_xlpm.m*(_xlpm.v="Conditionally Passed")),_xlpm.p,SUM(_xlpm.m*(_xlpm.v="Passed")),IF(TRIM($A870)="","",IF(TRIM($E870)="","Pending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70" s="68" t="str">
        <f>IF(TRIM($A870)="","",IF($J870="Passed","",IF($J870="Passed with Known Issue","Known Issue",IF($J870="",IF(OR($H870&lt;&gt;"No",AND($F870&lt;&gt;"Medium",$F870&lt;&gt;"Low")),"Pending Result",""),IF(OR($H870&lt;&gt;"No",AND($F870&lt;&gt;"Medium",$F870&lt;&gt;"Low")),IF(COUNTIFS(Dashboard!$B$105:$B$124,$A870,Dashboard!$I$105:$I$124,"CAB")&gt;0,"Accepted (CF)","Blocking"),IF($J870="Failed","Deferrable","Carry Over"))))))</f>
        <v/>
      </c>
      <c r="M870" s="68" t="str">
        <f>IF(OR(TRIM($A870)="",TRIM($E870)=""),"",IFERROR(INDEX('E2E core flow'!$B$15:$B$1000,MATCH(1,INDEX(('E2E core flow'!$A$15:$A$1000&lt;&gt;"")*ISNUMBER(SEARCH('E2E core flow'!$A$15:$A$1000,$E870)),0),0))&amp;"","-"))</f>
        <v/>
      </c>
      <c r="N870" s="68" t="str">
        <f>IF(TRIM($A870)="","",IF($O870=0,IF(COUNTIFS('Card Test Cases'!$B$4:$B$1000,$A870,'Card Test Cases'!$A$4:$A$1000,"&lt;&gt;")&gt;0,"Out of Scope","No TC"),IF($Q870&gt;0,"Failed",IF(COUNTIFS('Card Test Cases'!$B$4:$B$1000,$A870,'Card Test Cases'!$A$4:$A$1000,"&lt;&gt;",'Card Test Cases'!$F$4:$F$1000,"Blocked")&gt;0,"Blocked",IF($R870&gt;0,"In Progress","Passed")))))</f>
        <v/>
      </c>
      <c r="O870" s="68" t="str">
        <f>IF(TRIM($A870)="","",COUNTIFS('Card Test Cases'!$B$4:$B$1000,$A870,'Card Test Cases'!$A$4:$A$1000,"&lt;&gt;",'Card Test Cases'!$F$4:$F$1000,"&lt;&gt;Out of Scope"))</f>
        <v/>
      </c>
      <c r="P870" s="68" t="str">
        <f>IF(TRIM($A870)="","",COUNTIFS('Card Test Cases'!$B$4:$B$1000,$A870,'Card Test Cases'!$A$4:$A$1000,"&lt;&gt;",'Card Test Cases'!$F$4:$F$1000,"Passed"))</f>
        <v/>
      </c>
      <c r="Q870" s="68" t="str">
        <f>IF(TRIM($A870)="","",COUNTIFS('Card Test Cases'!$B$4:$B$1000,$A870,'Card Test Cases'!$A$4:$A$1000,"&lt;&gt;",'Card Test Cases'!$F$4:$F$1000,"Failed"))</f>
        <v/>
      </c>
      <c r="R870" s="68" t="str">
        <f t="shared" si="13"/>
        <v/>
      </c>
      <c r="S870" s="68" t="str" cm="1">
        <f t="array" ref="S870">IF(TRIM($A870)="","",IFERROR(_xlfn.TEXTJOIN(", ",TRUE,_xlfn.UNIQUE(_xlfn.VSTACK(_xlfn._xlws.FILTER('Card Test Cases'!$G$4:$G$1000,('Card Test Cases'!$B$4:$B$1000=$A870)*('Card Test Cases'!$G$4:$G$1000&lt;&gt;""),""),_xlfn._xlws.FILTER('E2E core flow'!$U$15:$U$1000,('E2E core flow'!$A$15:$A$1000&lt;&gt;"")*ISNUMBER(SEARCH('E2E core flow'!$A$15:$A$1000,$E870))*('E2E core flow'!$U$15:$U$1000&lt;&gt;""),"")))),"-"))</f>
        <v/>
      </c>
    </row>
    <row r="871" spans="7:19" x14ac:dyDescent="0.3">
      <c r="G871" s="68" t="str" cm="1">
        <f t="array" ref="G871">_xlfn.LET(_xlpm.ids,'E2E core flow'!$A$15:$A$1000,_xlpm.v,'E2E core flow'!$W$15:$W$1000,_xlpm.m,(_xlpm.ids&lt;&gt;"")*ISNUMBER(SEARCH(_xlpm.ids,$E871)),_xlpm.f,SUM(_xlpm.m*(_xlpm.v="Failed")),_xlpm.b,SUM(_xlpm.m*(_xlpm.v="Blocked")),_xlpm.nr,SUM(_xlpm.m*(_xlpm.v="Not Run")),_xlpm.cp,SUM(_xlpm.m*(_xlpm.v="Conditionally Passed")),_xlpm.p,SUM(_xlpm.m*(_xlpm.v="Passed")),IF(TRIM($A871)="","",IF(TRIM($E871)="","Pending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71" s="68" t="str">
        <f>IF(TRIM($A871)="","",IF($J871="Passed","",IF($J871="Passed with Known Issue","Known Issue",IF($J871="",IF(OR($H871&lt;&gt;"No",AND($F871&lt;&gt;"Medium",$F871&lt;&gt;"Low")),"Pending Result",""),IF(OR($H871&lt;&gt;"No",AND($F871&lt;&gt;"Medium",$F871&lt;&gt;"Low")),IF(COUNTIFS(Dashboard!$B$105:$B$124,$A871,Dashboard!$I$105:$I$124,"CAB")&gt;0,"Accepted (CF)","Blocking"),IF($J871="Failed","Deferrable","Carry Over"))))))</f>
        <v/>
      </c>
      <c r="M871" s="68" t="str">
        <f>IF(OR(TRIM($A871)="",TRIM($E871)=""),"",IFERROR(INDEX('E2E core flow'!$B$15:$B$1000,MATCH(1,INDEX(('E2E core flow'!$A$15:$A$1000&lt;&gt;"")*ISNUMBER(SEARCH('E2E core flow'!$A$15:$A$1000,$E871)),0),0))&amp;"","-"))</f>
        <v/>
      </c>
      <c r="N871" s="68" t="str">
        <f>IF(TRIM($A871)="","",IF($O871=0,IF(COUNTIFS('Card Test Cases'!$B$4:$B$1000,$A871,'Card Test Cases'!$A$4:$A$1000,"&lt;&gt;")&gt;0,"Out of Scope","No TC"),IF($Q871&gt;0,"Failed",IF(COUNTIFS('Card Test Cases'!$B$4:$B$1000,$A871,'Card Test Cases'!$A$4:$A$1000,"&lt;&gt;",'Card Test Cases'!$F$4:$F$1000,"Blocked")&gt;0,"Blocked",IF($R871&gt;0,"In Progress","Passed")))))</f>
        <v/>
      </c>
      <c r="O871" s="68" t="str">
        <f>IF(TRIM($A871)="","",COUNTIFS('Card Test Cases'!$B$4:$B$1000,$A871,'Card Test Cases'!$A$4:$A$1000,"&lt;&gt;",'Card Test Cases'!$F$4:$F$1000,"&lt;&gt;Out of Scope"))</f>
        <v/>
      </c>
      <c r="P871" s="68" t="str">
        <f>IF(TRIM($A871)="","",COUNTIFS('Card Test Cases'!$B$4:$B$1000,$A871,'Card Test Cases'!$A$4:$A$1000,"&lt;&gt;",'Card Test Cases'!$F$4:$F$1000,"Passed"))</f>
        <v/>
      </c>
      <c r="Q871" s="68" t="str">
        <f>IF(TRIM($A871)="","",COUNTIFS('Card Test Cases'!$B$4:$B$1000,$A871,'Card Test Cases'!$A$4:$A$1000,"&lt;&gt;",'Card Test Cases'!$F$4:$F$1000,"Failed"))</f>
        <v/>
      </c>
      <c r="R871" s="68" t="str">
        <f t="shared" si="13"/>
        <v/>
      </c>
      <c r="S871" s="68" t="str" cm="1">
        <f t="array" ref="S871">IF(TRIM($A871)="","",IFERROR(_xlfn.TEXTJOIN(", ",TRUE,_xlfn.UNIQUE(_xlfn.VSTACK(_xlfn._xlws.FILTER('Card Test Cases'!$G$4:$G$1000,('Card Test Cases'!$B$4:$B$1000=$A871)*('Card Test Cases'!$G$4:$G$1000&lt;&gt;""),""),_xlfn._xlws.FILTER('E2E core flow'!$U$15:$U$1000,('E2E core flow'!$A$15:$A$1000&lt;&gt;"")*ISNUMBER(SEARCH('E2E core flow'!$A$15:$A$1000,$E871))*('E2E core flow'!$U$15:$U$1000&lt;&gt;""),"")))),"-"))</f>
        <v/>
      </c>
    </row>
    <row r="872" spans="7:19" x14ac:dyDescent="0.3">
      <c r="G872" s="68" t="str" cm="1">
        <f t="array" ref="G872">_xlfn.LET(_xlpm.ids,'E2E core flow'!$A$15:$A$1000,_xlpm.v,'E2E core flow'!$W$15:$W$1000,_xlpm.m,(_xlpm.ids&lt;&gt;"")*ISNUMBER(SEARCH(_xlpm.ids,$E872)),_xlpm.f,SUM(_xlpm.m*(_xlpm.v="Failed")),_xlpm.b,SUM(_xlpm.m*(_xlpm.v="Blocked")),_xlpm.nr,SUM(_xlpm.m*(_xlpm.v="Not Run")),_xlpm.cp,SUM(_xlpm.m*(_xlpm.v="Conditionally Passed")),_xlpm.p,SUM(_xlpm.m*(_xlpm.v="Passed")),IF(TRIM($A872)="","",IF(TRIM($E872)="","Pending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72" s="68" t="str">
        <f>IF(TRIM($A872)="","",IF($J872="Passed","",IF($J872="Passed with Known Issue","Known Issue",IF($J872="",IF(OR($H872&lt;&gt;"No",AND($F872&lt;&gt;"Medium",$F872&lt;&gt;"Low")),"Pending Result",""),IF(OR($H872&lt;&gt;"No",AND($F872&lt;&gt;"Medium",$F872&lt;&gt;"Low")),IF(COUNTIFS(Dashboard!$B$105:$B$124,$A872,Dashboard!$I$105:$I$124,"CAB")&gt;0,"Accepted (CF)","Blocking"),IF($J872="Failed","Deferrable","Carry Over"))))))</f>
        <v/>
      </c>
      <c r="M872" s="68" t="str">
        <f>IF(OR(TRIM($A872)="",TRIM($E872)=""),"",IFERROR(INDEX('E2E core flow'!$B$15:$B$1000,MATCH(1,INDEX(('E2E core flow'!$A$15:$A$1000&lt;&gt;"")*ISNUMBER(SEARCH('E2E core flow'!$A$15:$A$1000,$E872)),0),0))&amp;"","-"))</f>
        <v/>
      </c>
      <c r="N872" s="68" t="str">
        <f>IF(TRIM($A872)="","",IF($O872=0,IF(COUNTIFS('Card Test Cases'!$B$4:$B$1000,$A872,'Card Test Cases'!$A$4:$A$1000,"&lt;&gt;")&gt;0,"Out of Scope","No TC"),IF($Q872&gt;0,"Failed",IF(COUNTIFS('Card Test Cases'!$B$4:$B$1000,$A872,'Card Test Cases'!$A$4:$A$1000,"&lt;&gt;",'Card Test Cases'!$F$4:$F$1000,"Blocked")&gt;0,"Blocked",IF($R872&gt;0,"In Progress","Passed")))))</f>
        <v/>
      </c>
      <c r="O872" s="68" t="str">
        <f>IF(TRIM($A872)="","",COUNTIFS('Card Test Cases'!$B$4:$B$1000,$A872,'Card Test Cases'!$A$4:$A$1000,"&lt;&gt;",'Card Test Cases'!$F$4:$F$1000,"&lt;&gt;Out of Scope"))</f>
        <v/>
      </c>
      <c r="P872" s="68" t="str">
        <f>IF(TRIM($A872)="","",COUNTIFS('Card Test Cases'!$B$4:$B$1000,$A872,'Card Test Cases'!$A$4:$A$1000,"&lt;&gt;",'Card Test Cases'!$F$4:$F$1000,"Passed"))</f>
        <v/>
      </c>
      <c r="Q872" s="68" t="str">
        <f>IF(TRIM($A872)="","",COUNTIFS('Card Test Cases'!$B$4:$B$1000,$A872,'Card Test Cases'!$A$4:$A$1000,"&lt;&gt;",'Card Test Cases'!$F$4:$F$1000,"Failed"))</f>
        <v/>
      </c>
      <c r="R872" s="68" t="str">
        <f t="shared" si="13"/>
        <v/>
      </c>
      <c r="S872" s="68" t="str" cm="1">
        <f t="array" ref="S872">IF(TRIM($A872)="","",IFERROR(_xlfn.TEXTJOIN(", ",TRUE,_xlfn.UNIQUE(_xlfn.VSTACK(_xlfn._xlws.FILTER('Card Test Cases'!$G$4:$G$1000,('Card Test Cases'!$B$4:$B$1000=$A872)*('Card Test Cases'!$G$4:$G$1000&lt;&gt;""),""),_xlfn._xlws.FILTER('E2E core flow'!$U$15:$U$1000,('E2E core flow'!$A$15:$A$1000&lt;&gt;"")*ISNUMBER(SEARCH('E2E core flow'!$A$15:$A$1000,$E872))*('E2E core flow'!$U$15:$U$1000&lt;&gt;""),"")))),"-"))</f>
        <v/>
      </c>
    </row>
    <row r="873" spans="7:19" x14ac:dyDescent="0.3">
      <c r="G873" s="68" t="str" cm="1">
        <f t="array" ref="G873">_xlfn.LET(_xlpm.ids,'E2E core flow'!$A$15:$A$1000,_xlpm.v,'E2E core flow'!$W$15:$W$1000,_xlpm.m,(_xlpm.ids&lt;&gt;"")*ISNUMBER(SEARCH(_xlpm.ids,$E873)),_xlpm.f,SUM(_xlpm.m*(_xlpm.v="Failed")),_xlpm.b,SUM(_xlpm.m*(_xlpm.v="Blocked")),_xlpm.nr,SUM(_xlpm.m*(_xlpm.v="Not Run")),_xlpm.cp,SUM(_xlpm.m*(_xlpm.v="Conditionally Passed")),_xlpm.p,SUM(_xlpm.m*(_xlpm.v="Passed")),IF(TRIM($A873)="","",IF(TRIM($E873)="","Pending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73" s="68" t="str">
        <f>IF(TRIM($A873)="","",IF($J873="Passed","",IF($J873="Passed with Known Issue","Known Issue",IF($J873="",IF(OR($H873&lt;&gt;"No",AND($F873&lt;&gt;"Medium",$F873&lt;&gt;"Low")),"Pending Result",""),IF(OR($H873&lt;&gt;"No",AND($F873&lt;&gt;"Medium",$F873&lt;&gt;"Low")),IF(COUNTIFS(Dashboard!$B$105:$B$124,$A873,Dashboard!$I$105:$I$124,"CAB")&gt;0,"Accepted (CF)","Blocking"),IF($J873="Failed","Deferrable","Carry Over"))))))</f>
        <v/>
      </c>
      <c r="M873" s="68" t="str">
        <f>IF(OR(TRIM($A873)="",TRIM($E873)=""),"",IFERROR(INDEX('E2E core flow'!$B$15:$B$1000,MATCH(1,INDEX(('E2E core flow'!$A$15:$A$1000&lt;&gt;"")*ISNUMBER(SEARCH('E2E core flow'!$A$15:$A$1000,$E873)),0),0))&amp;"","-"))</f>
        <v/>
      </c>
      <c r="N873" s="68" t="str">
        <f>IF(TRIM($A873)="","",IF($O873=0,IF(COUNTIFS('Card Test Cases'!$B$4:$B$1000,$A873,'Card Test Cases'!$A$4:$A$1000,"&lt;&gt;")&gt;0,"Out of Scope","No TC"),IF($Q873&gt;0,"Failed",IF(COUNTIFS('Card Test Cases'!$B$4:$B$1000,$A873,'Card Test Cases'!$A$4:$A$1000,"&lt;&gt;",'Card Test Cases'!$F$4:$F$1000,"Blocked")&gt;0,"Blocked",IF($R873&gt;0,"In Progress","Passed")))))</f>
        <v/>
      </c>
      <c r="O873" s="68" t="str">
        <f>IF(TRIM($A873)="","",COUNTIFS('Card Test Cases'!$B$4:$B$1000,$A873,'Card Test Cases'!$A$4:$A$1000,"&lt;&gt;",'Card Test Cases'!$F$4:$F$1000,"&lt;&gt;Out of Scope"))</f>
        <v/>
      </c>
      <c r="P873" s="68" t="str">
        <f>IF(TRIM($A873)="","",COUNTIFS('Card Test Cases'!$B$4:$B$1000,$A873,'Card Test Cases'!$A$4:$A$1000,"&lt;&gt;",'Card Test Cases'!$F$4:$F$1000,"Passed"))</f>
        <v/>
      </c>
      <c r="Q873" s="68" t="str">
        <f>IF(TRIM($A873)="","",COUNTIFS('Card Test Cases'!$B$4:$B$1000,$A873,'Card Test Cases'!$A$4:$A$1000,"&lt;&gt;",'Card Test Cases'!$F$4:$F$1000,"Failed"))</f>
        <v/>
      </c>
      <c r="R873" s="68" t="str">
        <f t="shared" si="13"/>
        <v/>
      </c>
      <c r="S873" s="68" t="str" cm="1">
        <f t="array" ref="S873">IF(TRIM($A873)="","",IFERROR(_xlfn.TEXTJOIN(", ",TRUE,_xlfn.UNIQUE(_xlfn.VSTACK(_xlfn._xlws.FILTER('Card Test Cases'!$G$4:$G$1000,('Card Test Cases'!$B$4:$B$1000=$A873)*('Card Test Cases'!$G$4:$G$1000&lt;&gt;""),""),_xlfn._xlws.FILTER('E2E core flow'!$U$15:$U$1000,('E2E core flow'!$A$15:$A$1000&lt;&gt;"")*ISNUMBER(SEARCH('E2E core flow'!$A$15:$A$1000,$E873))*('E2E core flow'!$U$15:$U$1000&lt;&gt;""),"")))),"-"))</f>
        <v/>
      </c>
    </row>
    <row r="874" spans="7:19" x14ac:dyDescent="0.3">
      <c r="G874" s="68" t="str" cm="1">
        <f t="array" ref="G874">_xlfn.LET(_xlpm.ids,'E2E core flow'!$A$15:$A$1000,_xlpm.v,'E2E core flow'!$W$15:$W$1000,_xlpm.m,(_xlpm.ids&lt;&gt;"")*ISNUMBER(SEARCH(_xlpm.ids,$E874)),_xlpm.f,SUM(_xlpm.m*(_xlpm.v="Failed")),_xlpm.b,SUM(_xlpm.m*(_xlpm.v="Blocked")),_xlpm.nr,SUM(_xlpm.m*(_xlpm.v="Not Run")),_xlpm.cp,SUM(_xlpm.m*(_xlpm.v="Conditionally Passed")),_xlpm.p,SUM(_xlpm.m*(_xlpm.v="Passed")),IF(TRIM($A874)="","",IF(TRIM($E874)="","Pending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74" s="68" t="str">
        <f>IF(TRIM($A874)="","",IF($J874="Passed","",IF($J874="Passed with Known Issue","Known Issue",IF($J874="",IF(OR($H874&lt;&gt;"No",AND($F874&lt;&gt;"Medium",$F874&lt;&gt;"Low")),"Pending Result",""),IF(OR($H874&lt;&gt;"No",AND($F874&lt;&gt;"Medium",$F874&lt;&gt;"Low")),IF(COUNTIFS(Dashboard!$B$105:$B$124,$A874,Dashboard!$I$105:$I$124,"CAB")&gt;0,"Accepted (CF)","Blocking"),IF($J874="Failed","Deferrable","Carry Over"))))))</f>
        <v/>
      </c>
      <c r="M874" s="68" t="str">
        <f>IF(OR(TRIM($A874)="",TRIM($E874)=""),"",IFERROR(INDEX('E2E core flow'!$B$15:$B$1000,MATCH(1,INDEX(('E2E core flow'!$A$15:$A$1000&lt;&gt;"")*ISNUMBER(SEARCH('E2E core flow'!$A$15:$A$1000,$E874)),0),0))&amp;"","-"))</f>
        <v/>
      </c>
      <c r="N874" s="68" t="str">
        <f>IF(TRIM($A874)="","",IF($O874=0,IF(COUNTIFS('Card Test Cases'!$B$4:$B$1000,$A874,'Card Test Cases'!$A$4:$A$1000,"&lt;&gt;")&gt;0,"Out of Scope","No TC"),IF($Q874&gt;0,"Failed",IF(COUNTIFS('Card Test Cases'!$B$4:$B$1000,$A874,'Card Test Cases'!$A$4:$A$1000,"&lt;&gt;",'Card Test Cases'!$F$4:$F$1000,"Blocked")&gt;0,"Blocked",IF($R874&gt;0,"In Progress","Passed")))))</f>
        <v/>
      </c>
      <c r="O874" s="68" t="str">
        <f>IF(TRIM($A874)="","",COUNTIFS('Card Test Cases'!$B$4:$B$1000,$A874,'Card Test Cases'!$A$4:$A$1000,"&lt;&gt;",'Card Test Cases'!$F$4:$F$1000,"&lt;&gt;Out of Scope"))</f>
        <v/>
      </c>
      <c r="P874" s="68" t="str">
        <f>IF(TRIM($A874)="","",COUNTIFS('Card Test Cases'!$B$4:$B$1000,$A874,'Card Test Cases'!$A$4:$A$1000,"&lt;&gt;",'Card Test Cases'!$F$4:$F$1000,"Passed"))</f>
        <v/>
      </c>
      <c r="Q874" s="68" t="str">
        <f>IF(TRIM($A874)="","",COUNTIFS('Card Test Cases'!$B$4:$B$1000,$A874,'Card Test Cases'!$A$4:$A$1000,"&lt;&gt;",'Card Test Cases'!$F$4:$F$1000,"Failed"))</f>
        <v/>
      </c>
      <c r="R874" s="68" t="str">
        <f t="shared" si="13"/>
        <v/>
      </c>
      <c r="S874" s="68" t="str" cm="1">
        <f t="array" ref="S874">IF(TRIM($A874)="","",IFERROR(_xlfn.TEXTJOIN(", ",TRUE,_xlfn.UNIQUE(_xlfn.VSTACK(_xlfn._xlws.FILTER('Card Test Cases'!$G$4:$G$1000,('Card Test Cases'!$B$4:$B$1000=$A874)*('Card Test Cases'!$G$4:$G$1000&lt;&gt;""),""),_xlfn._xlws.FILTER('E2E core flow'!$U$15:$U$1000,('E2E core flow'!$A$15:$A$1000&lt;&gt;"")*ISNUMBER(SEARCH('E2E core flow'!$A$15:$A$1000,$E874))*('E2E core flow'!$U$15:$U$1000&lt;&gt;""),"")))),"-"))</f>
        <v/>
      </c>
    </row>
    <row r="875" spans="7:19" x14ac:dyDescent="0.3">
      <c r="G875" s="68" t="str" cm="1">
        <f t="array" ref="G875">_xlfn.LET(_xlpm.ids,'E2E core flow'!$A$15:$A$1000,_xlpm.v,'E2E core flow'!$W$15:$W$1000,_xlpm.m,(_xlpm.ids&lt;&gt;"")*ISNUMBER(SEARCH(_xlpm.ids,$E875)),_xlpm.f,SUM(_xlpm.m*(_xlpm.v="Failed")),_xlpm.b,SUM(_xlpm.m*(_xlpm.v="Blocked")),_xlpm.nr,SUM(_xlpm.m*(_xlpm.v="Not Run")),_xlpm.cp,SUM(_xlpm.m*(_xlpm.v="Conditionally Passed")),_xlpm.p,SUM(_xlpm.m*(_xlpm.v="Passed")),IF(TRIM($A875)="","",IF(TRIM($E875)="","Pending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75" s="68" t="str">
        <f>IF(TRIM($A875)="","",IF($J875="Passed","",IF($J875="Passed with Known Issue","Known Issue",IF($J875="",IF(OR($H875&lt;&gt;"No",AND($F875&lt;&gt;"Medium",$F875&lt;&gt;"Low")),"Pending Result",""),IF(OR($H875&lt;&gt;"No",AND($F875&lt;&gt;"Medium",$F875&lt;&gt;"Low")),IF(COUNTIFS(Dashboard!$B$105:$B$124,$A875,Dashboard!$I$105:$I$124,"CAB")&gt;0,"Accepted (CF)","Blocking"),IF($J875="Failed","Deferrable","Carry Over"))))))</f>
        <v/>
      </c>
      <c r="M875" s="68" t="str">
        <f>IF(OR(TRIM($A875)="",TRIM($E875)=""),"",IFERROR(INDEX('E2E core flow'!$B$15:$B$1000,MATCH(1,INDEX(('E2E core flow'!$A$15:$A$1000&lt;&gt;"")*ISNUMBER(SEARCH('E2E core flow'!$A$15:$A$1000,$E875)),0),0))&amp;"","-"))</f>
        <v/>
      </c>
      <c r="N875" s="68" t="str">
        <f>IF(TRIM($A875)="","",IF($O875=0,IF(COUNTIFS('Card Test Cases'!$B$4:$B$1000,$A875,'Card Test Cases'!$A$4:$A$1000,"&lt;&gt;")&gt;0,"Out of Scope","No TC"),IF($Q875&gt;0,"Failed",IF(COUNTIFS('Card Test Cases'!$B$4:$B$1000,$A875,'Card Test Cases'!$A$4:$A$1000,"&lt;&gt;",'Card Test Cases'!$F$4:$F$1000,"Blocked")&gt;0,"Blocked",IF($R875&gt;0,"In Progress","Passed")))))</f>
        <v/>
      </c>
      <c r="O875" s="68" t="str">
        <f>IF(TRIM($A875)="","",COUNTIFS('Card Test Cases'!$B$4:$B$1000,$A875,'Card Test Cases'!$A$4:$A$1000,"&lt;&gt;",'Card Test Cases'!$F$4:$F$1000,"&lt;&gt;Out of Scope"))</f>
        <v/>
      </c>
      <c r="P875" s="68" t="str">
        <f>IF(TRIM($A875)="","",COUNTIFS('Card Test Cases'!$B$4:$B$1000,$A875,'Card Test Cases'!$A$4:$A$1000,"&lt;&gt;",'Card Test Cases'!$F$4:$F$1000,"Passed"))</f>
        <v/>
      </c>
      <c r="Q875" s="68" t="str">
        <f>IF(TRIM($A875)="","",COUNTIFS('Card Test Cases'!$B$4:$B$1000,$A875,'Card Test Cases'!$A$4:$A$1000,"&lt;&gt;",'Card Test Cases'!$F$4:$F$1000,"Failed"))</f>
        <v/>
      </c>
      <c r="R875" s="68" t="str">
        <f t="shared" si="13"/>
        <v/>
      </c>
      <c r="S875" s="68" t="str" cm="1">
        <f t="array" ref="S875">IF(TRIM($A875)="","",IFERROR(_xlfn.TEXTJOIN(", ",TRUE,_xlfn.UNIQUE(_xlfn.VSTACK(_xlfn._xlws.FILTER('Card Test Cases'!$G$4:$G$1000,('Card Test Cases'!$B$4:$B$1000=$A875)*('Card Test Cases'!$G$4:$G$1000&lt;&gt;""),""),_xlfn._xlws.FILTER('E2E core flow'!$U$15:$U$1000,('E2E core flow'!$A$15:$A$1000&lt;&gt;"")*ISNUMBER(SEARCH('E2E core flow'!$A$15:$A$1000,$E875))*('E2E core flow'!$U$15:$U$1000&lt;&gt;""),"")))),"-"))</f>
        <v/>
      </c>
    </row>
    <row r="876" spans="7:19" x14ac:dyDescent="0.3">
      <c r="G876" s="68" t="str" cm="1">
        <f t="array" ref="G876">_xlfn.LET(_xlpm.ids,'E2E core flow'!$A$15:$A$1000,_xlpm.v,'E2E core flow'!$W$15:$W$1000,_xlpm.m,(_xlpm.ids&lt;&gt;"")*ISNUMBER(SEARCH(_xlpm.ids,$E876)),_xlpm.f,SUM(_xlpm.m*(_xlpm.v="Failed")),_xlpm.b,SUM(_xlpm.m*(_xlpm.v="Blocked")),_xlpm.nr,SUM(_xlpm.m*(_xlpm.v="Not Run")),_xlpm.cp,SUM(_xlpm.m*(_xlpm.v="Conditionally Passed")),_xlpm.p,SUM(_xlpm.m*(_xlpm.v="Passed")),IF(TRIM($A876)="","",IF(TRIM($E876)="","Pending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76" s="68" t="str">
        <f>IF(TRIM($A876)="","",IF($J876="Passed","",IF($J876="Passed with Known Issue","Known Issue",IF($J876="",IF(OR($H876&lt;&gt;"No",AND($F876&lt;&gt;"Medium",$F876&lt;&gt;"Low")),"Pending Result",""),IF(OR($H876&lt;&gt;"No",AND($F876&lt;&gt;"Medium",$F876&lt;&gt;"Low")),IF(COUNTIFS(Dashboard!$B$105:$B$124,$A876,Dashboard!$I$105:$I$124,"CAB")&gt;0,"Accepted (CF)","Blocking"),IF($J876="Failed","Deferrable","Carry Over"))))))</f>
        <v/>
      </c>
      <c r="M876" s="68" t="str">
        <f>IF(OR(TRIM($A876)="",TRIM($E876)=""),"",IFERROR(INDEX('E2E core flow'!$B$15:$B$1000,MATCH(1,INDEX(('E2E core flow'!$A$15:$A$1000&lt;&gt;"")*ISNUMBER(SEARCH('E2E core flow'!$A$15:$A$1000,$E876)),0),0))&amp;"","-"))</f>
        <v/>
      </c>
      <c r="N876" s="68" t="str">
        <f>IF(TRIM($A876)="","",IF($O876=0,IF(COUNTIFS('Card Test Cases'!$B$4:$B$1000,$A876,'Card Test Cases'!$A$4:$A$1000,"&lt;&gt;")&gt;0,"Out of Scope","No TC"),IF($Q876&gt;0,"Failed",IF(COUNTIFS('Card Test Cases'!$B$4:$B$1000,$A876,'Card Test Cases'!$A$4:$A$1000,"&lt;&gt;",'Card Test Cases'!$F$4:$F$1000,"Blocked")&gt;0,"Blocked",IF($R876&gt;0,"In Progress","Passed")))))</f>
        <v/>
      </c>
      <c r="O876" s="68" t="str">
        <f>IF(TRIM($A876)="","",COUNTIFS('Card Test Cases'!$B$4:$B$1000,$A876,'Card Test Cases'!$A$4:$A$1000,"&lt;&gt;",'Card Test Cases'!$F$4:$F$1000,"&lt;&gt;Out of Scope"))</f>
        <v/>
      </c>
      <c r="P876" s="68" t="str">
        <f>IF(TRIM($A876)="","",COUNTIFS('Card Test Cases'!$B$4:$B$1000,$A876,'Card Test Cases'!$A$4:$A$1000,"&lt;&gt;",'Card Test Cases'!$F$4:$F$1000,"Passed"))</f>
        <v/>
      </c>
      <c r="Q876" s="68" t="str">
        <f>IF(TRIM($A876)="","",COUNTIFS('Card Test Cases'!$B$4:$B$1000,$A876,'Card Test Cases'!$A$4:$A$1000,"&lt;&gt;",'Card Test Cases'!$F$4:$F$1000,"Failed"))</f>
        <v/>
      </c>
      <c r="R876" s="68" t="str">
        <f t="shared" si="13"/>
        <v/>
      </c>
      <c r="S876" s="68" t="str" cm="1">
        <f t="array" ref="S876">IF(TRIM($A876)="","",IFERROR(_xlfn.TEXTJOIN(", ",TRUE,_xlfn.UNIQUE(_xlfn.VSTACK(_xlfn._xlws.FILTER('Card Test Cases'!$G$4:$G$1000,('Card Test Cases'!$B$4:$B$1000=$A876)*('Card Test Cases'!$G$4:$G$1000&lt;&gt;""),""),_xlfn._xlws.FILTER('E2E core flow'!$U$15:$U$1000,('E2E core flow'!$A$15:$A$1000&lt;&gt;"")*ISNUMBER(SEARCH('E2E core flow'!$A$15:$A$1000,$E876))*('E2E core flow'!$U$15:$U$1000&lt;&gt;""),"")))),"-"))</f>
        <v/>
      </c>
    </row>
    <row r="877" spans="7:19" x14ac:dyDescent="0.3">
      <c r="G877" s="68" t="str" cm="1">
        <f t="array" ref="G877">_xlfn.LET(_xlpm.ids,'E2E core flow'!$A$15:$A$1000,_xlpm.v,'E2E core flow'!$W$15:$W$1000,_xlpm.m,(_xlpm.ids&lt;&gt;"")*ISNUMBER(SEARCH(_xlpm.ids,$E877)),_xlpm.f,SUM(_xlpm.m*(_xlpm.v="Failed")),_xlpm.b,SUM(_xlpm.m*(_xlpm.v="Blocked")),_xlpm.nr,SUM(_xlpm.m*(_xlpm.v="Not Run")),_xlpm.cp,SUM(_xlpm.m*(_xlpm.v="Conditionally Passed")),_xlpm.p,SUM(_xlpm.m*(_xlpm.v="Passed")),IF(TRIM($A877)="","",IF(TRIM($E877)="","Pending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77" s="68" t="str">
        <f>IF(TRIM($A877)="","",IF($J877="Passed","",IF($J877="Passed with Known Issue","Known Issue",IF($J877="",IF(OR($H877&lt;&gt;"No",AND($F877&lt;&gt;"Medium",$F877&lt;&gt;"Low")),"Pending Result",""),IF(OR($H877&lt;&gt;"No",AND($F877&lt;&gt;"Medium",$F877&lt;&gt;"Low")),IF(COUNTIFS(Dashboard!$B$105:$B$124,$A877,Dashboard!$I$105:$I$124,"CAB")&gt;0,"Accepted (CF)","Blocking"),IF($J877="Failed","Deferrable","Carry Over"))))))</f>
        <v/>
      </c>
      <c r="M877" s="68" t="str">
        <f>IF(OR(TRIM($A877)="",TRIM($E877)=""),"",IFERROR(INDEX('E2E core flow'!$B$15:$B$1000,MATCH(1,INDEX(('E2E core flow'!$A$15:$A$1000&lt;&gt;"")*ISNUMBER(SEARCH('E2E core flow'!$A$15:$A$1000,$E877)),0),0))&amp;"","-"))</f>
        <v/>
      </c>
      <c r="N877" s="68" t="str">
        <f>IF(TRIM($A877)="","",IF($O877=0,IF(COUNTIFS('Card Test Cases'!$B$4:$B$1000,$A877,'Card Test Cases'!$A$4:$A$1000,"&lt;&gt;")&gt;0,"Out of Scope","No TC"),IF($Q877&gt;0,"Failed",IF(COUNTIFS('Card Test Cases'!$B$4:$B$1000,$A877,'Card Test Cases'!$A$4:$A$1000,"&lt;&gt;",'Card Test Cases'!$F$4:$F$1000,"Blocked")&gt;0,"Blocked",IF($R877&gt;0,"In Progress","Passed")))))</f>
        <v/>
      </c>
      <c r="O877" s="68" t="str">
        <f>IF(TRIM($A877)="","",COUNTIFS('Card Test Cases'!$B$4:$B$1000,$A877,'Card Test Cases'!$A$4:$A$1000,"&lt;&gt;",'Card Test Cases'!$F$4:$F$1000,"&lt;&gt;Out of Scope"))</f>
        <v/>
      </c>
      <c r="P877" s="68" t="str">
        <f>IF(TRIM($A877)="","",COUNTIFS('Card Test Cases'!$B$4:$B$1000,$A877,'Card Test Cases'!$A$4:$A$1000,"&lt;&gt;",'Card Test Cases'!$F$4:$F$1000,"Passed"))</f>
        <v/>
      </c>
      <c r="Q877" s="68" t="str">
        <f>IF(TRIM($A877)="","",COUNTIFS('Card Test Cases'!$B$4:$B$1000,$A877,'Card Test Cases'!$A$4:$A$1000,"&lt;&gt;",'Card Test Cases'!$F$4:$F$1000,"Failed"))</f>
        <v/>
      </c>
      <c r="R877" s="68" t="str">
        <f t="shared" si="13"/>
        <v/>
      </c>
      <c r="S877" s="68" t="str" cm="1">
        <f t="array" ref="S877">IF(TRIM($A877)="","",IFERROR(_xlfn.TEXTJOIN(", ",TRUE,_xlfn.UNIQUE(_xlfn.VSTACK(_xlfn._xlws.FILTER('Card Test Cases'!$G$4:$G$1000,('Card Test Cases'!$B$4:$B$1000=$A877)*('Card Test Cases'!$G$4:$G$1000&lt;&gt;""),""),_xlfn._xlws.FILTER('E2E core flow'!$U$15:$U$1000,('E2E core flow'!$A$15:$A$1000&lt;&gt;"")*ISNUMBER(SEARCH('E2E core flow'!$A$15:$A$1000,$E877))*('E2E core flow'!$U$15:$U$1000&lt;&gt;""),"")))),"-"))</f>
        <v/>
      </c>
    </row>
    <row r="878" spans="7:19" x14ac:dyDescent="0.3">
      <c r="G878" s="68" t="str" cm="1">
        <f t="array" ref="G878">_xlfn.LET(_xlpm.ids,'E2E core flow'!$A$15:$A$1000,_xlpm.v,'E2E core flow'!$W$15:$W$1000,_xlpm.m,(_xlpm.ids&lt;&gt;"")*ISNUMBER(SEARCH(_xlpm.ids,$E878)),_xlpm.f,SUM(_xlpm.m*(_xlpm.v="Failed")),_xlpm.b,SUM(_xlpm.m*(_xlpm.v="Blocked")),_xlpm.nr,SUM(_xlpm.m*(_xlpm.v="Not Run")),_xlpm.cp,SUM(_xlpm.m*(_xlpm.v="Conditionally Passed")),_xlpm.p,SUM(_xlpm.m*(_xlpm.v="Passed")),IF(TRIM($A878)="","",IF(TRIM($E878)="","Pending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78" s="68" t="str">
        <f>IF(TRIM($A878)="","",IF($J878="Passed","",IF($J878="Passed with Known Issue","Known Issue",IF($J878="",IF(OR($H878&lt;&gt;"No",AND($F878&lt;&gt;"Medium",$F878&lt;&gt;"Low")),"Pending Result",""),IF(OR($H878&lt;&gt;"No",AND($F878&lt;&gt;"Medium",$F878&lt;&gt;"Low")),IF(COUNTIFS(Dashboard!$B$105:$B$124,$A878,Dashboard!$I$105:$I$124,"CAB")&gt;0,"Accepted (CF)","Blocking"),IF($J878="Failed","Deferrable","Carry Over"))))))</f>
        <v/>
      </c>
      <c r="M878" s="68" t="str">
        <f>IF(OR(TRIM($A878)="",TRIM($E878)=""),"",IFERROR(INDEX('E2E core flow'!$B$15:$B$1000,MATCH(1,INDEX(('E2E core flow'!$A$15:$A$1000&lt;&gt;"")*ISNUMBER(SEARCH('E2E core flow'!$A$15:$A$1000,$E878)),0),0))&amp;"","-"))</f>
        <v/>
      </c>
      <c r="N878" s="68" t="str">
        <f>IF(TRIM($A878)="","",IF($O878=0,IF(COUNTIFS('Card Test Cases'!$B$4:$B$1000,$A878,'Card Test Cases'!$A$4:$A$1000,"&lt;&gt;")&gt;0,"Out of Scope","No TC"),IF($Q878&gt;0,"Failed",IF(COUNTIFS('Card Test Cases'!$B$4:$B$1000,$A878,'Card Test Cases'!$A$4:$A$1000,"&lt;&gt;",'Card Test Cases'!$F$4:$F$1000,"Blocked")&gt;0,"Blocked",IF($R878&gt;0,"In Progress","Passed")))))</f>
        <v/>
      </c>
      <c r="O878" s="68" t="str">
        <f>IF(TRIM($A878)="","",COUNTIFS('Card Test Cases'!$B$4:$B$1000,$A878,'Card Test Cases'!$A$4:$A$1000,"&lt;&gt;",'Card Test Cases'!$F$4:$F$1000,"&lt;&gt;Out of Scope"))</f>
        <v/>
      </c>
      <c r="P878" s="68" t="str">
        <f>IF(TRIM($A878)="","",COUNTIFS('Card Test Cases'!$B$4:$B$1000,$A878,'Card Test Cases'!$A$4:$A$1000,"&lt;&gt;",'Card Test Cases'!$F$4:$F$1000,"Passed"))</f>
        <v/>
      </c>
      <c r="Q878" s="68" t="str">
        <f>IF(TRIM($A878)="","",COUNTIFS('Card Test Cases'!$B$4:$B$1000,$A878,'Card Test Cases'!$A$4:$A$1000,"&lt;&gt;",'Card Test Cases'!$F$4:$F$1000,"Failed"))</f>
        <v/>
      </c>
      <c r="R878" s="68" t="str">
        <f t="shared" si="13"/>
        <v/>
      </c>
      <c r="S878" s="68" t="str" cm="1">
        <f t="array" ref="S878">IF(TRIM($A878)="","",IFERROR(_xlfn.TEXTJOIN(", ",TRUE,_xlfn.UNIQUE(_xlfn.VSTACK(_xlfn._xlws.FILTER('Card Test Cases'!$G$4:$G$1000,('Card Test Cases'!$B$4:$B$1000=$A878)*('Card Test Cases'!$G$4:$G$1000&lt;&gt;""),""),_xlfn._xlws.FILTER('E2E core flow'!$U$15:$U$1000,('E2E core flow'!$A$15:$A$1000&lt;&gt;"")*ISNUMBER(SEARCH('E2E core flow'!$A$15:$A$1000,$E878))*('E2E core flow'!$U$15:$U$1000&lt;&gt;""),"")))),"-"))</f>
        <v/>
      </c>
    </row>
    <row r="879" spans="7:19" x14ac:dyDescent="0.3">
      <c r="G879" s="68" t="str" cm="1">
        <f t="array" ref="G879">_xlfn.LET(_xlpm.ids,'E2E core flow'!$A$15:$A$1000,_xlpm.v,'E2E core flow'!$W$15:$W$1000,_xlpm.m,(_xlpm.ids&lt;&gt;"")*ISNUMBER(SEARCH(_xlpm.ids,$E879)),_xlpm.f,SUM(_xlpm.m*(_xlpm.v="Failed")),_xlpm.b,SUM(_xlpm.m*(_xlpm.v="Blocked")),_xlpm.nr,SUM(_xlpm.m*(_xlpm.v="Not Run")),_xlpm.cp,SUM(_xlpm.m*(_xlpm.v="Conditionally Passed")),_xlpm.p,SUM(_xlpm.m*(_xlpm.v="Passed")),IF(TRIM($A879)="","",IF(TRIM($E879)="","Pending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79" s="68" t="str">
        <f>IF(TRIM($A879)="","",IF($J879="Passed","",IF($J879="Passed with Known Issue","Known Issue",IF($J879="",IF(OR($H879&lt;&gt;"No",AND($F879&lt;&gt;"Medium",$F879&lt;&gt;"Low")),"Pending Result",""),IF(OR($H879&lt;&gt;"No",AND($F879&lt;&gt;"Medium",$F879&lt;&gt;"Low")),IF(COUNTIFS(Dashboard!$B$105:$B$124,$A879,Dashboard!$I$105:$I$124,"CAB")&gt;0,"Accepted (CF)","Blocking"),IF($J879="Failed","Deferrable","Carry Over"))))))</f>
        <v/>
      </c>
      <c r="M879" s="68" t="str">
        <f>IF(OR(TRIM($A879)="",TRIM($E879)=""),"",IFERROR(INDEX('E2E core flow'!$B$15:$B$1000,MATCH(1,INDEX(('E2E core flow'!$A$15:$A$1000&lt;&gt;"")*ISNUMBER(SEARCH('E2E core flow'!$A$15:$A$1000,$E879)),0),0))&amp;"","-"))</f>
        <v/>
      </c>
      <c r="N879" s="68" t="str">
        <f>IF(TRIM($A879)="","",IF($O879=0,IF(COUNTIFS('Card Test Cases'!$B$4:$B$1000,$A879,'Card Test Cases'!$A$4:$A$1000,"&lt;&gt;")&gt;0,"Out of Scope","No TC"),IF($Q879&gt;0,"Failed",IF(COUNTIFS('Card Test Cases'!$B$4:$B$1000,$A879,'Card Test Cases'!$A$4:$A$1000,"&lt;&gt;",'Card Test Cases'!$F$4:$F$1000,"Blocked")&gt;0,"Blocked",IF($R879&gt;0,"In Progress","Passed")))))</f>
        <v/>
      </c>
      <c r="O879" s="68" t="str">
        <f>IF(TRIM($A879)="","",COUNTIFS('Card Test Cases'!$B$4:$B$1000,$A879,'Card Test Cases'!$A$4:$A$1000,"&lt;&gt;",'Card Test Cases'!$F$4:$F$1000,"&lt;&gt;Out of Scope"))</f>
        <v/>
      </c>
      <c r="P879" s="68" t="str">
        <f>IF(TRIM($A879)="","",COUNTIFS('Card Test Cases'!$B$4:$B$1000,$A879,'Card Test Cases'!$A$4:$A$1000,"&lt;&gt;",'Card Test Cases'!$F$4:$F$1000,"Passed"))</f>
        <v/>
      </c>
      <c r="Q879" s="68" t="str">
        <f>IF(TRIM($A879)="","",COUNTIFS('Card Test Cases'!$B$4:$B$1000,$A879,'Card Test Cases'!$A$4:$A$1000,"&lt;&gt;",'Card Test Cases'!$F$4:$F$1000,"Failed"))</f>
        <v/>
      </c>
      <c r="R879" s="68" t="str">
        <f t="shared" si="13"/>
        <v/>
      </c>
      <c r="S879" s="68" t="str" cm="1">
        <f t="array" ref="S879">IF(TRIM($A879)="","",IFERROR(_xlfn.TEXTJOIN(", ",TRUE,_xlfn.UNIQUE(_xlfn.VSTACK(_xlfn._xlws.FILTER('Card Test Cases'!$G$4:$G$1000,('Card Test Cases'!$B$4:$B$1000=$A879)*('Card Test Cases'!$G$4:$G$1000&lt;&gt;""),""),_xlfn._xlws.FILTER('E2E core flow'!$U$15:$U$1000,('E2E core flow'!$A$15:$A$1000&lt;&gt;"")*ISNUMBER(SEARCH('E2E core flow'!$A$15:$A$1000,$E879))*('E2E core flow'!$U$15:$U$1000&lt;&gt;""),"")))),"-"))</f>
        <v/>
      </c>
    </row>
    <row r="880" spans="7:19" x14ac:dyDescent="0.3">
      <c r="G880" s="68" t="str" cm="1">
        <f t="array" ref="G880">_xlfn.LET(_xlpm.ids,'E2E core flow'!$A$15:$A$1000,_xlpm.v,'E2E core flow'!$W$15:$W$1000,_xlpm.m,(_xlpm.ids&lt;&gt;"")*ISNUMBER(SEARCH(_xlpm.ids,$E880)),_xlpm.f,SUM(_xlpm.m*(_xlpm.v="Failed")),_xlpm.b,SUM(_xlpm.m*(_xlpm.v="Blocked")),_xlpm.nr,SUM(_xlpm.m*(_xlpm.v="Not Run")),_xlpm.cp,SUM(_xlpm.m*(_xlpm.v="Conditionally Passed")),_xlpm.p,SUM(_xlpm.m*(_xlpm.v="Passed")),IF(TRIM($A880)="","",IF(TRIM($E880)="","Pending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80" s="68" t="str">
        <f>IF(TRIM($A880)="","",IF($J880="Passed","",IF($J880="Passed with Known Issue","Known Issue",IF($J880="",IF(OR($H880&lt;&gt;"No",AND($F880&lt;&gt;"Medium",$F880&lt;&gt;"Low")),"Pending Result",""),IF(OR($H880&lt;&gt;"No",AND($F880&lt;&gt;"Medium",$F880&lt;&gt;"Low")),IF(COUNTIFS(Dashboard!$B$105:$B$124,$A880,Dashboard!$I$105:$I$124,"CAB")&gt;0,"Accepted (CF)","Blocking"),IF($J880="Failed","Deferrable","Carry Over"))))))</f>
        <v/>
      </c>
      <c r="M880" s="68" t="str">
        <f>IF(OR(TRIM($A880)="",TRIM($E880)=""),"",IFERROR(INDEX('E2E core flow'!$B$15:$B$1000,MATCH(1,INDEX(('E2E core flow'!$A$15:$A$1000&lt;&gt;"")*ISNUMBER(SEARCH('E2E core flow'!$A$15:$A$1000,$E880)),0),0))&amp;"","-"))</f>
        <v/>
      </c>
      <c r="N880" s="68" t="str">
        <f>IF(TRIM($A880)="","",IF($O880=0,IF(COUNTIFS('Card Test Cases'!$B$4:$B$1000,$A880,'Card Test Cases'!$A$4:$A$1000,"&lt;&gt;")&gt;0,"Out of Scope","No TC"),IF($Q880&gt;0,"Failed",IF(COUNTIFS('Card Test Cases'!$B$4:$B$1000,$A880,'Card Test Cases'!$A$4:$A$1000,"&lt;&gt;",'Card Test Cases'!$F$4:$F$1000,"Blocked")&gt;0,"Blocked",IF($R880&gt;0,"In Progress","Passed")))))</f>
        <v/>
      </c>
      <c r="O880" s="68" t="str">
        <f>IF(TRIM($A880)="","",COUNTIFS('Card Test Cases'!$B$4:$B$1000,$A880,'Card Test Cases'!$A$4:$A$1000,"&lt;&gt;",'Card Test Cases'!$F$4:$F$1000,"&lt;&gt;Out of Scope"))</f>
        <v/>
      </c>
      <c r="P880" s="68" t="str">
        <f>IF(TRIM($A880)="","",COUNTIFS('Card Test Cases'!$B$4:$B$1000,$A880,'Card Test Cases'!$A$4:$A$1000,"&lt;&gt;",'Card Test Cases'!$F$4:$F$1000,"Passed"))</f>
        <v/>
      </c>
      <c r="Q880" s="68" t="str">
        <f>IF(TRIM($A880)="","",COUNTIFS('Card Test Cases'!$B$4:$B$1000,$A880,'Card Test Cases'!$A$4:$A$1000,"&lt;&gt;",'Card Test Cases'!$F$4:$F$1000,"Failed"))</f>
        <v/>
      </c>
      <c r="R880" s="68" t="str">
        <f t="shared" si="13"/>
        <v/>
      </c>
      <c r="S880" s="68" t="str" cm="1">
        <f t="array" ref="S880">IF(TRIM($A880)="","",IFERROR(_xlfn.TEXTJOIN(", ",TRUE,_xlfn.UNIQUE(_xlfn.VSTACK(_xlfn._xlws.FILTER('Card Test Cases'!$G$4:$G$1000,('Card Test Cases'!$B$4:$B$1000=$A880)*('Card Test Cases'!$G$4:$G$1000&lt;&gt;""),""),_xlfn._xlws.FILTER('E2E core flow'!$U$15:$U$1000,('E2E core flow'!$A$15:$A$1000&lt;&gt;"")*ISNUMBER(SEARCH('E2E core flow'!$A$15:$A$1000,$E880))*('E2E core flow'!$U$15:$U$1000&lt;&gt;""),"")))),"-"))</f>
        <v/>
      </c>
    </row>
    <row r="881" spans="7:19" x14ac:dyDescent="0.3">
      <c r="G881" s="68" t="str" cm="1">
        <f t="array" ref="G881">_xlfn.LET(_xlpm.ids,'E2E core flow'!$A$15:$A$1000,_xlpm.v,'E2E core flow'!$W$15:$W$1000,_xlpm.m,(_xlpm.ids&lt;&gt;"")*ISNUMBER(SEARCH(_xlpm.ids,$E881)),_xlpm.f,SUM(_xlpm.m*(_xlpm.v="Failed")),_xlpm.b,SUM(_xlpm.m*(_xlpm.v="Blocked")),_xlpm.nr,SUM(_xlpm.m*(_xlpm.v="Not Run")),_xlpm.cp,SUM(_xlpm.m*(_xlpm.v="Conditionally Passed")),_xlpm.p,SUM(_xlpm.m*(_xlpm.v="Passed")),IF(TRIM($A881)="","",IF(TRIM($E881)="","Pending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81" s="68" t="str">
        <f>IF(TRIM($A881)="","",IF($J881="Passed","",IF($J881="Passed with Known Issue","Known Issue",IF($J881="",IF(OR($H881&lt;&gt;"No",AND($F881&lt;&gt;"Medium",$F881&lt;&gt;"Low")),"Pending Result",""),IF(OR($H881&lt;&gt;"No",AND($F881&lt;&gt;"Medium",$F881&lt;&gt;"Low")),IF(COUNTIFS(Dashboard!$B$105:$B$124,$A881,Dashboard!$I$105:$I$124,"CAB")&gt;0,"Accepted (CF)","Blocking"),IF($J881="Failed","Deferrable","Carry Over"))))))</f>
        <v/>
      </c>
      <c r="M881" s="68" t="str">
        <f>IF(OR(TRIM($A881)="",TRIM($E881)=""),"",IFERROR(INDEX('E2E core flow'!$B$15:$B$1000,MATCH(1,INDEX(('E2E core flow'!$A$15:$A$1000&lt;&gt;"")*ISNUMBER(SEARCH('E2E core flow'!$A$15:$A$1000,$E881)),0),0))&amp;"","-"))</f>
        <v/>
      </c>
      <c r="N881" s="68" t="str">
        <f>IF(TRIM($A881)="","",IF($O881=0,IF(COUNTIFS('Card Test Cases'!$B$4:$B$1000,$A881,'Card Test Cases'!$A$4:$A$1000,"&lt;&gt;")&gt;0,"Out of Scope","No TC"),IF($Q881&gt;0,"Failed",IF(COUNTIFS('Card Test Cases'!$B$4:$B$1000,$A881,'Card Test Cases'!$A$4:$A$1000,"&lt;&gt;",'Card Test Cases'!$F$4:$F$1000,"Blocked")&gt;0,"Blocked",IF($R881&gt;0,"In Progress","Passed")))))</f>
        <v/>
      </c>
      <c r="O881" s="68" t="str">
        <f>IF(TRIM($A881)="","",COUNTIFS('Card Test Cases'!$B$4:$B$1000,$A881,'Card Test Cases'!$A$4:$A$1000,"&lt;&gt;",'Card Test Cases'!$F$4:$F$1000,"&lt;&gt;Out of Scope"))</f>
        <v/>
      </c>
      <c r="P881" s="68" t="str">
        <f>IF(TRIM($A881)="","",COUNTIFS('Card Test Cases'!$B$4:$B$1000,$A881,'Card Test Cases'!$A$4:$A$1000,"&lt;&gt;",'Card Test Cases'!$F$4:$F$1000,"Passed"))</f>
        <v/>
      </c>
      <c r="Q881" s="68" t="str">
        <f>IF(TRIM($A881)="","",COUNTIFS('Card Test Cases'!$B$4:$B$1000,$A881,'Card Test Cases'!$A$4:$A$1000,"&lt;&gt;",'Card Test Cases'!$F$4:$F$1000,"Failed"))</f>
        <v/>
      </c>
      <c r="R881" s="68" t="str">
        <f t="shared" si="13"/>
        <v/>
      </c>
      <c r="S881" s="68" t="str" cm="1">
        <f t="array" ref="S881">IF(TRIM($A881)="","",IFERROR(_xlfn.TEXTJOIN(", ",TRUE,_xlfn.UNIQUE(_xlfn.VSTACK(_xlfn._xlws.FILTER('Card Test Cases'!$G$4:$G$1000,('Card Test Cases'!$B$4:$B$1000=$A881)*('Card Test Cases'!$G$4:$G$1000&lt;&gt;""),""),_xlfn._xlws.FILTER('E2E core flow'!$U$15:$U$1000,('E2E core flow'!$A$15:$A$1000&lt;&gt;"")*ISNUMBER(SEARCH('E2E core flow'!$A$15:$A$1000,$E881))*('E2E core flow'!$U$15:$U$1000&lt;&gt;""),"")))),"-"))</f>
        <v/>
      </c>
    </row>
    <row r="882" spans="7:19" x14ac:dyDescent="0.3">
      <c r="G882" s="68" t="str" cm="1">
        <f t="array" ref="G882">_xlfn.LET(_xlpm.ids,'E2E core flow'!$A$15:$A$1000,_xlpm.v,'E2E core flow'!$W$15:$W$1000,_xlpm.m,(_xlpm.ids&lt;&gt;"")*ISNUMBER(SEARCH(_xlpm.ids,$E882)),_xlpm.f,SUM(_xlpm.m*(_xlpm.v="Failed")),_xlpm.b,SUM(_xlpm.m*(_xlpm.v="Blocked")),_xlpm.nr,SUM(_xlpm.m*(_xlpm.v="Not Run")),_xlpm.cp,SUM(_xlpm.m*(_xlpm.v="Conditionally Passed")),_xlpm.p,SUM(_xlpm.m*(_xlpm.v="Passed")),IF(TRIM($A882)="","",IF(TRIM($E882)="","Pending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82" s="68" t="str">
        <f>IF(TRIM($A882)="","",IF($J882="Passed","",IF($J882="Passed with Known Issue","Known Issue",IF($J882="",IF(OR($H882&lt;&gt;"No",AND($F882&lt;&gt;"Medium",$F882&lt;&gt;"Low")),"Pending Result",""),IF(OR($H882&lt;&gt;"No",AND($F882&lt;&gt;"Medium",$F882&lt;&gt;"Low")),IF(COUNTIFS(Dashboard!$B$105:$B$124,$A882,Dashboard!$I$105:$I$124,"CAB")&gt;0,"Accepted (CF)","Blocking"),IF($J882="Failed","Deferrable","Carry Over"))))))</f>
        <v/>
      </c>
      <c r="M882" s="68" t="str">
        <f>IF(OR(TRIM($A882)="",TRIM($E882)=""),"",IFERROR(INDEX('E2E core flow'!$B$15:$B$1000,MATCH(1,INDEX(('E2E core flow'!$A$15:$A$1000&lt;&gt;"")*ISNUMBER(SEARCH('E2E core flow'!$A$15:$A$1000,$E882)),0),0))&amp;"","-"))</f>
        <v/>
      </c>
      <c r="N882" s="68" t="str">
        <f>IF(TRIM($A882)="","",IF($O882=0,IF(COUNTIFS('Card Test Cases'!$B$4:$B$1000,$A882,'Card Test Cases'!$A$4:$A$1000,"&lt;&gt;")&gt;0,"Out of Scope","No TC"),IF($Q882&gt;0,"Failed",IF(COUNTIFS('Card Test Cases'!$B$4:$B$1000,$A882,'Card Test Cases'!$A$4:$A$1000,"&lt;&gt;",'Card Test Cases'!$F$4:$F$1000,"Blocked")&gt;0,"Blocked",IF($R882&gt;0,"In Progress","Passed")))))</f>
        <v/>
      </c>
      <c r="O882" s="68" t="str">
        <f>IF(TRIM($A882)="","",COUNTIFS('Card Test Cases'!$B$4:$B$1000,$A882,'Card Test Cases'!$A$4:$A$1000,"&lt;&gt;",'Card Test Cases'!$F$4:$F$1000,"&lt;&gt;Out of Scope"))</f>
        <v/>
      </c>
      <c r="P882" s="68" t="str">
        <f>IF(TRIM($A882)="","",COUNTIFS('Card Test Cases'!$B$4:$B$1000,$A882,'Card Test Cases'!$A$4:$A$1000,"&lt;&gt;",'Card Test Cases'!$F$4:$F$1000,"Passed"))</f>
        <v/>
      </c>
      <c r="Q882" s="68" t="str">
        <f>IF(TRIM($A882)="","",COUNTIFS('Card Test Cases'!$B$4:$B$1000,$A882,'Card Test Cases'!$A$4:$A$1000,"&lt;&gt;",'Card Test Cases'!$F$4:$F$1000,"Failed"))</f>
        <v/>
      </c>
      <c r="R882" s="68" t="str">
        <f t="shared" si="13"/>
        <v/>
      </c>
      <c r="S882" s="68" t="str" cm="1">
        <f t="array" ref="S882">IF(TRIM($A882)="","",IFERROR(_xlfn.TEXTJOIN(", ",TRUE,_xlfn.UNIQUE(_xlfn.VSTACK(_xlfn._xlws.FILTER('Card Test Cases'!$G$4:$G$1000,('Card Test Cases'!$B$4:$B$1000=$A882)*('Card Test Cases'!$G$4:$G$1000&lt;&gt;""),""),_xlfn._xlws.FILTER('E2E core flow'!$U$15:$U$1000,('E2E core flow'!$A$15:$A$1000&lt;&gt;"")*ISNUMBER(SEARCH('E2E core flow'!$A$15:$A$1000,$E882))*('E2E core flow'!$U$15:$U$1000&lt;&gt;""),"")))),"-"))</f>
        <v/>
      </c>
    </row>
    <row r="883" spans="7:19" x14ac:dyDescent="0.3">
      <c r="G883" s="68" t="str" cm="1">
        <f t="array" ref="G883">_xlfn.LET(_xlpm.ids,'E2E core flow'!$A$15:$A$1000,_xlpm.v,'E2E core flow'!$W$15:$W$1000,_xlpm.m,(_xlpm.ids&lt;&gt;"")*ISNUMBER(SEARCH(_xlpm.ids,$E883)),_xlpm.f,SUM(_xlpm.m*(_xlpm.v="Failed")),_xlpm.b,SUM(_xlpm.m*(_xlpm.v="Blocked")),_xlpm.nr,SUM(_xlpm.m*(_xlpm.v="Not Run")),_xlpm.cp,SUM(_xlpm.m*(_xlpm.v="Conditionally Passed")),_xlpm.p,SUM(_xlpm.m*(_xlpm.v="Passed")),IF(TRIM($A883)="","",IF(TRIM($E883)="","Pending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83" s="68" t="str">
        <f>IF(TRIM($A883)="","",IF($J883="Passed","",IF($J883="Passed with Known Issue","Known Issue",IF($J883="",IF(OR($H883&lt;&gt;"No",AND($F883&lt;&gt;"Medium",$F883&lt;&gt;"Low")),"Pending Result",""),IF(OR($H883&lt;&gt;"No",AND($F883&lt;&gt;"Medium",$F883&lt;&gt;"Low")),IF(COUNTIFS(Dashboard!$B$105:$B$124,$A883,Dashboard!$I$105:$I$124,"CAB")&gt;0,"Accepted (CF)","Blocking"),IF($J883="Failed","Deferrable","Carry Over"))))))</f>
        <v/>
      </c>
      <c r="M883" s="68" t="str">
        <f>IF(OR(TRIM($A883)="",TRIM($E883)=""),"",IFERROR(INDEX('E2E core flow'!$B$15:$B$1000,MATCH(1,INDEX(('E2E core flow'!$A$15:$A$1000&lt;&gt;"")*ISNUMBER(SEARCH('E2E core flow'!$A$15:$A$1000,$E883)),0),0))&amp;"","-"))</f>
        <v/>
      </c>
      <c r="N883" s="68" t="str">
        <f>IF(TRIM($A883)="","",IF($O883=0,IF(COUNTIFS('Card Test Cases'!$B$4:$B$1000,$A883,'Card Test Cases'!$A$4:$A$1000,"&lt;&gt;")&gt;0,"Out of Scope","No TC"),IF($Q883&gt;0,"Failed",IF(COUNTIFS('Card Test Cases'!$B$4:$B$1000,$A883,'Card Test Cases'!$A$4:$A$1000,"&lt;&gt;",'Card Test Cases'!$F$4:$F$1000,"Blocked")&gt;0,"Blocked",IF($R883&gt;0,"In Progress","Passed")))))</f>
        <v/>
      </c>
      <c r="O883" s="68" t="str">
        <f>IF(TRIM($A883)="","",COUNTIFS('Card Test Cases'!$B$4:$B$1000,$A883,'Card Test Cases'!$A$4:$A$1000,"&lt;&gt;",'Card Test Cases'!$F$4:$F$1000,"&lt;&gt;Out of Scope"))</f>
        <v/>
      </c>
      <c r="P883" s="68" t="str">
        <f>IF(TRIM($A883)="","",COUNTIFS('Card Test Cases'!$B$4:$B$1000,$A883,'Card Test Cases'!$A$4:$A$1000,"&lt;&gt;",'Card Test Cases'!$F$4:$F$1000,"Passed"))</f>
        <v/>
      </c>
      <c r="Q883" s="68" t="str">
        <f>IF(TRIM($A883)="","",COUNTIFS('Card Test Cases'!$B$4:$B$1000,$A883,'Card Test Cases'!$A$4:$A$1000,"&lt;&gt;",'Card Test Cases'!$F$4:$F$1000,"Failed"))</f>
        <v/>
      </c>
      <c r="R883" s="68" t="str">
        <f t="shared" si="13"/>
        <v/>
      </c>
      <c r="S883" s="68" t="str" cm="1">
        <f t="array" ref="S883">IF(TRIM($A883)="","",IFERROR(_xlfn.TEXTJOIN(", ",TRUE,_xlfn.UNIQUE(_xlfn.VSTACK(_xlfn._xlws.FILTER('Card Test Cases'!$G$4:$G$1000,('Card Test Cases'!$B$4:$B$1000=$A883)*('Card Test Cases'!$G$4:$G$1000&lt;&gt;""),""),_xlfn._xlws.FILTER('E2E core flow'!$U$15:$U$1000,('E2E core flow'!$A$15:$A$1000&lt;&gt;"")*ISNUMBER(SEARCH('E2E core flow'!$A$15:$A$1000,$E883))*('E2E core flow'!$U$15:$U$1000&lt;&gt;""),"")))),"-"))</f>
        <v/>
      </c>
    </row>
    <row r="884" spans="7:19" x14ac:dyDescent="0.3">
      <c r="G884" s="68" t="str" cm="1">
        <f t="array" ref="G884">_xlfn.LET(_xlpm.ids,'E2E core flow'!$A$15:$A$1000,_xlpm.v,'E2E core flow'!$W$15:$W$1000,_xlpm.m,(_xlpm.ids&lt;&gt;"")*ISNUMBER(SEARCH(_xlpm.ids,$E884)),_xlpm.f,SUM(_xlpm.m*(_xlpm.v="Failed")),_xlpm.b,SUM(_xlpm.m*(_xlpm.v="Blocked")),_xlpm.nr,SUM(_xlpm.m*(_xlpm.v="Not Run")),_xlpm.cp,SUM(_xlpm.m*(_xlpm.v="Conditionally Passed")),_xlpm.p,SUM(_xlpm.m*(_xlpm.v="Passed")),IF(TRIM($A884)="","",IF(TRIM($E884)="","Pending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84" s="68" t="str">
        <f>IF(TRIM($A884)="","",IF($J884="Passed","",IF($J884="Passed with Known Issue","Known Issue",IF($J884="",IF(OR($H884&lt;&gt;"No",AND($F884&lt;&gt;"Medium",$F884&lt;&gt;"Low")),"Pending Result",""),IF(OR($H884&lt;&gt;"No",AND($F884&lt;&gt;"Medium",$F884&lt;&gt;"Low")),IF(COUNTIFS(Dashboard!$B$105:$B$124,$A884,Dashboard!$I$105:$I$124,"CAB")&gt;0,"Accepted (CF)","Blocking"),IF($J884="Failed","Deferrable","Carry Over"))))))</f>
        <v/>
      </c>
      <c r="M884" s="68" t="str">
        <f>IF(OR(TRIM($A884)="",TRIM($E884)=""),"",IFERROR(INDEX('E2E core flow'!$B$15:$B$1000,MATCH(1,INDEX(('E2E core flow'!$A$15:$A$1000&lt;&gt;"")*ISNUMBER(SEARCH('E2E core flow'!$A$15:$A$1000,$E884)),0),0))&amp;"","-"))</f>
        <v/>
      </c>
      <c r="N884" s="68" t="str">
        <f>IF(TRIM($A884)="","",IF($O884=0,IF(COUNTIFS('Card Test Cases'!$B$4:$B$1000,$A884,'Card Test Cases'!$A$4:$A$1000,"&lt;&gt;")&gt;0,"Out of Scope","No TC"),IF($Q884&gt;0,"Failed",IF(COUNTIFS('Card Test Cases'!$B$4:$B$1000,$A884,'Card Test Cases'!$A$4:$A$1000,"&lt;&gt;",'Card Test Cases'!$F$4:$F$1000,"Blocked")&gt;0,"Blocked",IF($R884&gt;0,"In Progress","Passed")))))</f>
        <v/>
      </c>
      <c r="O884" s="68" t="str">
        <f>IF(TRIM($A884)="","",COUNTIFS('Card Test Cases'!$B$4:$B$1000,$A884,'Card Test Cases'!$A$4:$A$1000,"&lt;&gt;",'Card Test Cases'!$F$4:$F$1000,"&lt;&gt;Out of Scope"))</f>
        <v/>
      </c>
      <c r="P884" s="68" t="str">
        <f>IF(TRIM($A884)="","",COUNTIFS('Card Test Cases'!$B$4:$B$1000,$A884,'Card Test Cases'!$A$4:$A$1000,"&lt;&gt;",'Card Test Cases'!$F$4:$F$1000,"Passed"))</f>
        <v/>
      </c>
      <c r="Q884" s="68" t="str">
        <f>IF(TRIM($A884)="","",COUNTIFS('Card Test Cases'!$B$4:$B$1000,$A884,'Card Test Cases'!$A$4:$A$1000,"&lt;&gt;",'Card Test Cases'!$F$4:$F$1000,"Failed"))</f>
        <v/>
      </c>
      <c r="R884" s="68" t="str">
        <f t="shared" si="13"/>
        <v/>
      </c>
      <c r="S884" s="68" t="str" cm="1">
        <f t="array" ref="S884">IF(TRIM($A884)="","",IFERROR(_xlfn.TEXTJOIN(", ",TRUE,_xlfn.UNIQUE(_xlfn.VSTACK(_xlfn._xlws.FILTER('Card Test Cases'!$G$4:$G$1000,('Card Test Cases'!$B$4:$B$1000=$A884)*('Card Test Cases'!$G$4:$G$1000&lt;&gt;""),""),_xlfn._xlws.FILTER('E2E core flow'!$U$15:$U$1000,('E2E core flow'!$A$15:$A$1000&lt;&gt;"")*ISNUMBER(SEARCH('E2E core flow'!$A$15:$A$1000,$E884))*('E2E core flow'!$U$15:$U$1000&lt;&gt;""),"")))),"-"))</f>
        <v/>
      </c>
    </row>
    <row r="885" spans="7:19" x14ac:dyDescent="0.3">
      <c r="G885" s="68" t="str" cm="1">
        <f t="array" ref="G885">_xlfn.LET(_xlpm.ids,'E2E core flow'!$A$15:$A$1000,_xlpm.v,'E2E core flow'!$W$15:$W$1000,_xlpm.m,(_xlpm.ids&lt;&gt;"")*ISNUMBER(SEARCH(_xlpm.ids,$E885)),_xlpm.f,SUM(_xlpm.m*(_xlpm.v="Failed")),_xlpm.b,SUM(_xlpm.m*(_xlpm.v="Blocked")),_xlpm.nr,SUM(_xlpm.m*(_xlpm.v="Not Run")),_xlpm.cp,SUM(_xlpm.m*(_xlpm.v="Conditionally Passed")),_xlpm.p,SUM(_xlpm.m*(_xlpm.v="Passed")),IF(TRIM($A885)="","",IF(TRIM($E885)="","Pending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85" s="68" t="str">
        <f>IF(TRIM($A885)="","",IF($J885="Passed","",IF($J885="Passed with Known Issue","Known Issue",IF($J885="",IF(OR($H885&lt;&gt;"No",AND($F885&lt;&gt;"Medium",$F885&lt;&gt;"Low")),"Pending Result",""),IF(OR($H885&lt;&gt;"No",AND($F885&lt;&gt;"Medium",$F885&lt;&gt;"Low")),IF(COUNTIFS(Dashboard!$B$105:$B$124,$A885,Dashboard!$I$105:$I$124,"CAB")&gt;0,"Accepted (CF)","Blocking"),IF($J885="Failed","Deferrable","Carry Over"))))))</f>
        <v/>
      </c>
      <c r="M885" s="68" t="str">
        <f>IF(OR(TRIM($A885)="",TRIM($E885)=""),"",IFERROR(INDEX('E2E core flow'!$B$15:$B$1000,MATCH(1,INDEX(('E2E core flow'!$A$15:$A$1000&lt;&gt;"")*ISNUMBER(SEARCH('E2E core flow'!$A$15:$A$1000,$E885)),0),0))&amp;"","-"))</f>
        <v/>
      </c>
      <c r="N885" s="68" t="str">
        <f>IF(TRIM($A885)="","",IF($O885=0,IF(COUNTIFS('Card Test Cases'!$B$4:$B$1000,$A885,'Card Test Cases'!$A$4:$A$1000,"&lt;&gt;")&gt;0,"Out of Scope","No TC"),IF($Q885&gt;0,"Failed",IF(COUNTIFS('Card Test Cases'!$B$4:$B$1000,$A885,'Card Test Cases'!$A$4:$A$1000,"&lt;&gt;",'Card Test Cases'!$F$4:$F$1000,"Blocked")&gt;0,"Blocked",IF($R885&gt;0,"In Progress","Passed")))))</f>
        <v/>
      </c>
      <c r="O885" s="68" t="str">
        <f>IF(TRIM($A885)="","",COUNTIFS('Card Test Cases'!$B$4:$B$1000,$A885,'Card Test Cases'!$A$4:$A$1000,"&lt;&gt;",'Card Test Cases'!$F$4:$F$1000,"&lt;&gt;Out of Scope"))</f>
        <v/>
      </c>
      <c r="P885" s="68" t="str">
        <f>IF(TRIM($A885)="","",COUNTIFS('Card Test Cases'!$B$4:$B$1000,$A885,'Card Test Cases'!$A$4:$A$1000,"&lt;&gt;",'Card Test Cases'!$F$4:$F$1000,"Passed"))</f>
        <v/>
      </c>
      <c r="Q885" s="68" t="str">
        <f>IF(TRIM($A885)="","",COUNTIFS('Card Test Cases'!$B$4:$B$1000,$A885,'Card Test Cases'!$A$4:$A$1000,"&lt;&gt;",'Card Test Cases'!$F$4:$F$1000,"Failed"))</f>
        <v/>
      </c>
      <c r="R885" s="68" t="str">
        <f t="shared" si="13"/>
        <v/>
      </c>
      <c r="S885" s="68" t="str" cm="1">
        <f t="array" ref="S885">IF(TRIM($A885)="","",IFERROR(_xlfn.TEXTJOIN(", ",TRUE,_xlfn.UNIQUE(_xlfn.VSTACK(_xlfn._xlws.FILTER('Card Test Cases'!$G$4:$G$1000,('Card Test Cases'!$B$4:$B$1000=$A885)*('Card Test Cases'!$G$4:$G$1000&lt;&gt;""),""),_xlfn._xlws.FILTER('E2E core flow'!$U$15:$U$1000,('E2E core flow'!$A$15:$A$1000&lt;&gt;"")*ISNUMBER(SEARCH('E2E core flow'!$A$15:$A$1000,$E885))*('E2E core flow'!$U$15:$U$1000&lt;&gt;""),"")))),"-"))</f>
        <v/>
      </c>
    </row>
    <row r="886" spans="7:19" x14ac:dyDescent="0.3">
      <c r="G886" s="68" t="str" cm="1">
        <f t="array" ref="G886">_xlfn.LET(_xlpm.ids,'E2E core flow'!$A$15:$A$1000,_xlpm.v,'E2E core flow'!$W$15:$W$1000,_xlpm.m,(_xlpm.ids&lt;&gt;"")*ISNUMBER(SEARCH(_xlpm.ids,$E886)),_xlpm.f,SUM(_xlpm.m*(_xlpm.v="Failed")),_xlpm.b,SUM(_xlpm.m*(_xlpm.v="Blocked")),_xlpm.nr,SUM(_xlpm.m*(_xlpm.v="Not Run")),_xlpm.cp,SUM(_xlpm.m*(_xlpm.v="Conditionally Passed")),_xlpm.p,SUM(_xlpm.m*(_xlpm.v="Passed")),IF(TRIM($A886)="","",IF(TRIM($E886)="","Pending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86" s="68" t="str">
        <f>IF(TRIM($A886)="","",IF($J886="Passed","",IF($J886="Passed with Known Issue","Known Issue",IF($J886="",IF(OR($H886&lt;&gt;"No",AND($F886&lt;&gt;"Medium",$F886&lt;&gt;"Low")),"Pending Result",""),IF(OR($H886&lt;&gt;"No",AND($F886&lt;&gt;"Medium",$F886&lt;&gt;"Low")),IF(COUNTIFS(Dashboard!$B$105:$B$124,$A886,Dashboard!$I$105:$I$124,"CAB")&gt;0,"Accepted (CF)","Blocking"),IF($J886="Failed","Deferrable","Carry Over"))))))</f>
        <v/>
      </c>
      <c r="M886" s="68" t="str">
        <f>IF(OR(TRIM($A886)="",TRIM($E886)=""),"",IFERROR(INDEX('E2E core flow'!$B$15:$B$1000,MATCH(1,INDEX(('E2E core flow'!$A$15:$A$1000&lt;&gt;"")*ISNUMBER(SEARCH('E2E core flow'!$A$15:$A$1000,$E886)),0),0))&amp;"","-"))</f>
        <v/>
      </c>
      <c r="N886" s="68" t="str">
        <f>IF(TRIM($A886)="","",IF($O886=0,IF(COUNTIFS('Card Test Cases'!$B$4:$B$1000,$A886,'Card Test Cases'!$A$4:$A$1000,"&lt;&gt;")&gt;0,"Out of Scope","No TC"),IF($Q886&gt;0,"Failed",IF(COUNTIFS('Card Test Cases'!$B$4:$B$1000,$A886,'Card Test Cases'!$A$4:$A$1000,"&lt;&gt;",'Card Test Cases'!$F$4:$F$1000,"Blocked")&gt;0,"Blocked",IF($R886&gt;0,"In Progress","Passed")))))</f>
        <v/>
      </c>
      <c r="O886" s="68" t="str">
        <f>IF(TRIM($A886)="","",COUNTIFS('Card Test Cases'!$B$4:$B$1000,$A886,'Card Test Cases'!$A$4:$A$1000,"&lt;&gt;",'Card Test Cases'!$F$4:$F$1000,"&lt;&gt;Out of Scope"))</f>
        <v/>
      </c>
      <c r="P886" s="68" t="str">
        <f>IF(TRIM($A886)="","",COUNTIFS('Card Test Cases'!$B$4:$B$1000,$A886,'Card Test Cases'!$A$4:$A$1000,"&lt;&gt;",'Card Test Cases'!$F$4:$F$1000,"Passed"))</f>
        <v/>
      </c>
      <c r="Q886" s="68" t="str">
        <f>IF(TRIM($A886)="","",COUNTIFS('Card Test Cases'!$B$4:$B$1000,$A886,'Card Test Cases'!$A$4:$A$1000,"&lt;&gt;",'Card Test Cases'!$F$4:$F$1000,"Failed"))</f>
        <v/>
      </c>
      <c r="R886" s="68" t="str">
        <f t="shared" si="13"/>
        <v/>
      </c>
      <c r="S886" s="68" t="str" cm="1">
        <f t="array" ref="S886">IF(TRIM($A886)="","",IFERROR(_xlfn.TEXTJOIN(", ",TRUE,_xlfn.UNIQUE(_xlfn.VSTACK(_xlfn._xlws.FILTER('Card Test Cases'!$G$4:$G$1000,('Card Test Cases'!$B$4:$B$1000=$A886)*('Card Test Cases'!$G$4:$G$1000&lt;&gt;""),""),_xlfn._xlws.FILTER('E2E core flow'!$U$15:$U$1000,('E2E core flow'!$A$15:$A$1000&lt;&gt;"")*ISNUMBER(SEARCH('E2E core flow'!$A$15:$A$1000,$E886))*('E2E core flow'!$U$15:$U$1000&lt;&gt;""),"")))),"-"))</f>
        <v/>
      </c>
    </row>
    <row r="887" spans="7:19" x14ac:dyDescent="0.3">
      <c r="G887" s="68" t="str" cm="1">
        <f t="array" ref="G887">_xlfn.LET(_xlpm.ids,'E2E core flow'!$A$15:$A$1000,_xlpm.v,'E2E core flow'!$W$15:$W$1000,_xlpm.m,(_xlpm.ids&lt;&gt;"")*ISNUMBER(SEARCH(_xlpm.ids,$E887)),_xlpm.f,SUM(_xlpm.m*(_xlpm.v="Failed")),_xlpm.b,SUM(_xlpm.m*(_xlpm.v="Blocked")),_xlpm.nr,SUM(_xlpm.m*(_xlpm.v="Not Run")),_xlpm.cp,SUM(_xlpm.m*(_xlpm.v="Conditionally Passed")),_xlpm.p,SUM(_xlpm.m*(_xlpm.v="Passed")),IF(TRIM($A887)="","",IF(TRIM($E887)="","Pending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87" s="68" t="str">
        <f>IF(TRIM($A887)="","",IF($J887="Passed","",IF($J887="Passed with Known Issue","Known Issue",IF($J887="",IF(OR($H887&lt;&gt;"No",AND($F887&lt;&gt;"Medium",$F887&lt;&gt;"Low")),"Pending Result",""),IF(OR($H887&lt;&gt;"No",AND($F887&lt;&gt;"Medium",$F887&lt;&gt;"Low")),IF(COUNTIFS(Dashboard!$B$105:$B$124,$A887,Dashboard!$I$105:$I$124,"CAB")&gt;0,"Accepted (CF)","Blocking"),IF($J887="Failed","Deferrable","Carry Over"))))))</f>
        <v/>
      </c>
      <c r="M887" s="68" t="str">
        <f>IF(OR(TRIM($A887)="",TRIM($E887)=""),"",IFERROR(INDEX('E2E core flow'!$B$15:$B$1000,MATCH(1,INDEX(('E2E core flow'!$A$15:$A$1000&lt;&gt;"")*ISNUMBER(SEARCH('E2E core flow'!$A$15:$A$1000,$E887)),0),0))&amp;"","-"))</f>
        <v/>
      </c>
      <c r="N887" s="68" t="str">
        <f>IF(TRIM($A887)="","",IF($O887=0,IF(COUNTIFS('Card Test Cases'!$B$4:$B$1000,$A887,'Card Test Cases'!$A$4:$A$1000,"&lt;&gt;")&gt;0,"Out of Scope","No TC"),IF($Q887&gt;0,"Failed",IF(COUNTIFS('Card Test Cases'!$B$4:$B$1000,$A887,'Card Test Cases'!$A$4:$A$1000,"&lt;&gt;",'Card Test Cases'!$F$4:$F$1000,"Blocked")&gt;0,"Blocked",IF($R887&gt;0,"In Progress","Passed")))))</f>
        <v/>
      </c>
      <c r="O887" s="68" t="str">
        <f>IF(TRIM($A887)="","",COUNTIFS('Card Test Cases'!$B$4:$B$1000,$A887,'Card Test Cases'!$A$4:$A$1000,"&lt;&gt;",'Card Test Cases'!$F$4:$F$1000,"&lt;&gt;Out of Scope"))</f>
        <v/>
      </c>
      <c r="P887" s="68" t="str">
        <f>IF(TRIM($A887)="","",COUNTIFS('Card Test Cases'!$B$4:$B$1000,$A887,'Card Test Cases'!$A$4:$A$1000,"&lt;&gt;",'Card Test Cases'!$F$4:$F$1000,"Passed"))</f>
        <v/>
      </c>
      <c r="Q887" s="68" t="str">
        <f>IF(TRIM($A887)="","",COUNTIFS('Card Test Cases'!$B$4:$B$1000,$A887,'Card Test Cases'!$A$4:$A$1000,"&lt;&gt;",'Card Test Cases'!$F$4:$F$1000,"Failed"))</f>
        <v/>
      </c>
      <c r="R887" s="68" t="str">
        <f t="shared" si="13"/>
        <v/>
      </c>
      <c r="S887" s="68" t="str" cm="1">
        <f t="array" ref="S887">IF(TRIM($A887)="","",IFERROR(_xlfn.TEXTJOIN(", ",TRUE,_xlfn.UNIQUE(_xlfn.VSTACK(_xlfn._xlws.FILTER('Card Test Cases'!$G$4:$G$1000,('Card Test Cases'!$B$4:$B$1000=$A887)*('Card Test Cases'!$G$4:$G$1000&lt;&gt;""),""),_xlfn._xlws.FILTER('E2E core flow'!$U$15:$U$1000,('E2E core flow'!$A$15:$A$1000&lt;&gt;"")*ISNUMBER(SEARCH('E2E core flow'!$A$15:$A$1000,$E887))*('E2E core flow'!$U$15:$U$1000&lt;&gt;""),"")))),"-"))</f>
        <v/>
      </c>
    </row>
    <row r="888" spans="7:19" x14ac:dyDescent="0.3">
      <c r="G888" s="68" t="str" cm="1">
        <f t="array" ref="G888">_xlfn.LET(_xlpm.ids,'E2E core flow'!$A$15:$A$1000,_xlpm.v,'E2E core flow'!$W$15:$W$1000,_xlpm.m,(_xlpm.ids&lt;&gt;"")*ISNUMBER(SEARCH(_xlpm.ids,$E888)),_xlpm.f,SUM(_xlpm.m*(_xlpm.v="Failed")),_xlpm.b,SUM(_xlpm.m*(_xlpm.v="Blocked")),_xlpm.nr,SUM(_xlpm.m*(_xlpm.v="Not Run")),_xlpm.cp,SUM(_xlpm.m*(_xlpm.v="Conditionally Passed")),_xlpm.p,SUM(_xlpm.m*(_xlpm.v="Passed")),IF(TRIM($A888)="","",IF(TRIM($E888)="","Pending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88" s="68" t="str">
        <f>IF(TRIM($A888)="","",IF($J888="Passed","",IF($J888="Passed with Known Issue","Known Issue",IF($J888="",IF(OR($H888&lt;&gt;"No",AND($F888&lt;&gt;"Medium",$F888&lt;&gt;"Low")),"Pending Result",""),IF(OR($H888&lt;&gt;"No",AND($F888&lt;&gt;"Medium",$F888&lt;&gt;"Low")),IF(COUNTIFS(Dashboard!$B$105:$B$124,$A888,Dashboard!$I$105:$I$124,"CAB")&gt;0,"Accepted (CF)","Blocking"),IF($J888="Failed","Deferrable","Carry Over"))))))</f>
        <v/>
      </c>
      <c r="M888" s="68" t="str">
        <f>IF(OR(TRIM($A888)="",TRIM($E888)=""),"",IFERROR(INDEX('E2E core flow'!$B$15:$B$1000,MATCH(1,INDEX(('E2E core flow'!$A$15:$A$1000&lt;&gt;"")*ISNUMBER(SEARCH('E2E core flow'!$A$15:$A$1000,$E888)),0),0))&amp;"","-"))</f>
        <v/>
      </c>
      <c r="N888" s="68" t="str">
        <f>IF(TRIM($A888)="","",IF($O888=0,IF(COUNTIFS('Card Test Cases'!$B$4:$B$1000,$A888,'Card Test Cases'!$A$4:$A$1000,"&lt;&gt;")&gt;0,"Out of Scope","No TC"),IF($Q888&gt;0,"Failed",IF(COUNTIFS('Card Test Cases'!$B$4:$B$1000,$A888,'Card Test Cases'!$A$4:$A$1000,"&lt;&gt;",'Card Test Cases'!$F$4:$F$1000,"Blocked")&gt;0,"Blocked",IF($R888&gt;0,"In Progress","Passed")))))</f>
        <v/>
      </c>
      <c r="O888" s="68" t="str">
        <f>IF(TRIM($A888)="","",COUNTIFS('Card Test Cases'!$B$4:$B$1000,$A888,'Card Test Cases'!$A$4:$A$1000,"&lt;&gt;",'Card Test Cases'!$F$4:$F$1000,"&lt;&gt;Out of Scope"))</f>
        <v/>
      </c>
      <c r="P888" s="68" t="str">
        <f>IF(TRIM($A888)="","",COUNTIFS('Card Test Cases'!$B$4:$B$1000,$A888,'Card Test Cases'!$A$4:$A$1000,"&lt;&gt;",'Card Test Cases'!$F$4:$F$1000,"Passed"))</f>
        <v/>
      </c>
      <c r="Q888" s="68" t="str">
        <f>IF(TRIM($A888)="","",COUNTIFS('Card Test Cases'!$B$4:$B$1000,$A888,'Card Test Cases'!$A$4:$A$1000,"&lt;&gt;",'Card Test Cases'!$F$4:$F$1000,"Failed"))</f>
        <v/>
      </c>
      <c r="R888" s="68" t="str">
        <f t="shared" si="13"/>
        <v/>
      </c>
      <c r="S888" s="68" t="str" cm="1">
        <f t="array" ref="S888">IF(TRIM($A888)="","",IFERROR(_xlfn.TEXTJOIN(", ",TRUE,_xlfn.UNIQUE(_xlfn.VSTACK(_xlfn._xlws.FILTER('Card Test Cases'!$G$4:$G$1000,('Card Test Cases'!$B$4:$B$1000=$A888)*('Card Test Cases'!$G$4:$G$1000&lt;&gt;""),""),_xlfn._xlws.FILTER('E2E core flow'!$U$15:$U$1000,('E2E core flow'!$A$15:$A$1000&lt;&gt;"")*ISNUMBER(SEARCH('E2E core flow'!$A$15:$A$1000,$E888))*('E2E core flow'!$U$15:$U$1000&lt;&gt;""),"")))),"-"))</f>
        <v/>
      </c>
    </row>
    <row r="889" spans="7:19" x14ac:dyDescent="0.3">
      <c r="G889" s="68" t="str" cm="1">
        <f t="array" ref="G889">_xlfn.LET(_xlpm.ids,'E2E core flow'!$A$15:$A$1000,_xlpm.v,'E2E core flow'!$W$15:$W$1000,_xlpm.m,(_xlpm.ids&lt;&gt;"")*ISNUMBER(SEARCH(_xlpm.ids,$E889)),_xlpm.f,SUM(_xlpm.m*(_xlpm.v="Failed")),_xlpm.b,SUM(_xlpm.m*(_xlpm.v="Blocked")),_xlpm.nr,SUM(_xlpm.m*(_xlpm.v="Not Run")),_xlpm.cp,SUM(_xlpm.m*(_xlpm.v="Conditionally Passed")),_xlpm.p,SUM(_xlpm.m*(_xlpm.v="Passed")),IF(TRIM($A889)="","",IF(TRIM($E889)="","Pending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89" s="68" t="str">
        <f>IF(TRIM($A889)="","",IF($J889="Passed","",IF($J889="Passed with Known Issue","Known Issue",IF($J889="",IF(OR($H889&lt;&gt;"No",AND($F889&lt;&gt;"Medium",$F889&lt;&gt;"Low")),"Pending Result",""),IF(OR($H889&lt;&gt;"No",AND($F889&lt;&gt;"Medium",$F889&lt;&gt;"Low")),IF(COUNTIFS(Dashboard!$B$105:$B$124,$A889,Dashboard!$I$105:$I$124,"CAB")&gt;0,"Accepted (CF)","Blocking"),IF($J889="Failed","Deferrable","Carry Over"))))))</f>
        <v/>
      </c>
      <c r="M889" s="68" t="str">
        <f>IF(OR(TRIM($A889)="",TRIM($E889)=""),"",IFERROR(INDEX('E2E core flow'!$B$15:$B$1000,MATCH(1,INDEX(('E2E core flow'!$A$15:$A$1000&lt;&gt;"")*ISNUMBER(SEARCH('E2E core flow'!$A$15:$A$1000,$E889)),0),0))&amp;"","-"))</f>
        <v/>
      </c>
      <c r="N889" s="68" t="str">
        <f>IF(TRIM($A889)="","",IF($O889=0,IF(COUNTIFS('Card Test Cases'!$B$4:$B$1000,$A889,'Card Test Cases'!$A$4:$A$1000,"&lt;&gt;")&gt;0,"Out of Scope","No TC"),IF($Q889&gt;0,"Failed",IF(COUNTIFS('Card Test Cases'!$B$4:$B$1000,$A889,'Card Test Cases'!$A$4:$A$1000,"&lt;&gt;",'Card Test Cases'!$F$4:$F$1000,"Blocked")&gt;0,"Blocked",IF($R889&gt;0,"In Progress","Passed")))))</f>
        <v/>
      </c>
      <c r="O889" s="68" t="str">
        <f>IF(TRIM($A889)="","",COUNTIFS('Card Test Cases'!$B$4:$B$1000,$A889,'Card Test Cases'!$A$4:$A$1000,"&lt;&gt;",'Card Test Cases'!$F$4:$F$1000,"&lt;&gt;Out of Scope"))</f>
        <v/>
      </c>
      <c r="P889" s="68" t="str">
        <f>IF(TRIM($A889)="","",COUNTIFS('Card Test Cases'!$B$4:$B$1000,$A889,'Card Test Cases'!$A$4:$A$1000,"&lt;&gt;",'Card Test Cases'!$F$4:$F$1000,"Passed"))</f>
        <v/>
      </c>
      <c r="Q889" s="68" t="str">
        <f>IF(TRIM($A889)="","",COUNTIFS('Card Test Cases'!$B$4:$B$1000,$A889,'Card Test Cases'!$A$4:$A$1000,"&lt;&gt;",'Card Test Cases'!$F$4:$F$1000,"Failed"))</f>
        <v/>
      </c>
      <c r="R889" s="68" t="str">
        <f t="shared" si="13"/>
        <v/>
      </c>
      <c r="S889" s="68" t="str" cm="1">
        <f t="array" ref="S889">IF(TRIM($A889)="","",IFERROR(_xlfn.TEXTJOIN(", ",TRUE,_xlfn.UNIQUE(_xlfn.VSTACK(_xlfn._xlws.FILTER('Card Test Cases'!$G$4:$G$1000,('Card Test Cases'!$B$4:$B$1000=$A889)*('Card Test Cases'!$G$4:$G$1000&lt;&gt;""),""),_xlfn._xlws.FILTER('E2E core flow'!$U$15:$U$1000,('E2E core flow'!$A$15:$A$1000&lt;&gt;"")*ISNUMBER(SEARCH('E2E core flow'!$A$15:$A$1000,$E889))*('E2E core flow'!$U$15:$U$1000&lt;&gt;""),"")))),"-"))</f>
        <v/>
      </c>
    </row>
    <row r="890" spans="7:19" x14ac:dyDescent="0.3">
      <c r="G890" s="68" t="str" cm="1">
        <f t="array" ref="G890">_xlfn.LET(_xlpm.ids,'E2E core flow'!$A$15:$A$1000,_xlpm.v,'E2E core flow'!$W$15:$W$1000,_xlpm.m,(_xlpm.ids&lt;&gt;"")*ISNUMBER(SEARCH(_xlpm.ids,$E890)),_xlpm.f,SUM(_xlpm.m*(_xlpm.v="Failed")),_xlpm.b,SUM(_xlpm.m*(_xlpm.v="Blocked")),_xlpm.nr,SUM(_xlpm.m*(_xlpm.v="Not Run")),_xlpm.cp,SUM(_xlpm.m*(_xlpm.v="Conditionally Passed")),_xlpm.p,SUM(_xlpm.m*(_xlpm.v="Passed")),IF(TRIM($A890)="","",IF(TRIM($E890)="","Pending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90" s="68" t="str">
        <f>IF(TRIM($A890)="","",IF($J890="Passed","",IF($J890="Passed with Known Issue","Known Issue",IF($J890="",IF(OR($H890&lt;&gt;"No",AND($F890&lt;&gt;"Medium",$F890&lt;&gt;"Low")),"Pending Result",""),IF(OR($H890&lt;&gt;"No",AND($F890&lt;&gt;"Medium",$F890&lt;&gt;"Low")),IF(COUNTIFS(Dashboard!$B$105:$B$124,$A890,Dashboard!$I$105:$I$124,"CAB")&gt;0,"Accepted (CF)","Blocking"),IF($J890="Failed","Deferrable","Carry Over"))))))</f>
        <v/>
      </c>
      <c r="M890" s="68" t="str">
        <f>IF(OR(TRIM($A890)="",TRIM($E890)=""),"",IFERROR(INDEX('E2E core flow'!$B$15:$B$1000,MATCH(1,INDEX(('E2E core flow'!$A$15:$A$1000&lt;&gt;"")*ISNUMBER(SEARCH('E2E core flow'!$A$15:$A$1000,$E890)),0),0))&amp;"","-"))</f>
        <v/>
      </c>
      <c r="N890" s="68" t="str">
        <f>IF(TRIM($A890)="","",IF($O890=0,IF(COUNTIFS('Card Test Cases'!$B$4:$B$1000,$A890,'Card Test Cases'!$A$4:$A$1000,"&lt;&gt;")&gt;0,"Out of Scope","No TC"),IF($Q890&gt;0,"Failed",IF(COUNTIFS('Card Test Cases'!$B$4:$B$1000,$A890,'Card Test Cases'!$A$4:$A$1000,"&lt;&gt;",'Card Test Cases'!$F$4:$F$1000,"Blocked")&gt;0,"Blocked",IF($R890&gt;0,"In Progress","Passed")))))</f>
        <v/>
      </c>
      <c r="O890" s="68" t="str">
        <f>IF(TRIM($A890)="","",COUNTIFS('Card Test Cases'!$B$4:$B$1000,$A890,'Card Test Cases'!$A$4:$A$1000,"&lt;&gt;",'Card Test Cases'!$F$4:$F$1000,"&lt;&gt;Out of Scope"))</f>
        <v/>
      </c>
      <c r="P890" s="68" t="str">
        <f>IF(TRIM($A890)="","",COUNTIFS('Card Test Cases'!$B$4:$B$1000,$A890,'Card Test Cases'!$A$4:$A$1000,"&lt;&gt;",'Card Test Cases'!$F$4:$F$1000,"Passed"))</f>
        <v/>
      </c>
      <c r="Q890" s="68" t="str">
        <f>IF(TRIM($A890)="","",COUNTIFS('Card Test Cases'!$B$4:$B$1000,$A890,'Card Test Cases'!$A$4:$A$1000,"&lt;&gt;",'Card Test Cases'!$F$4:$F$1000,"Failed"))</f>
        <v/>
      </c>
      <c r="R890" s="68" t="str">
        <f t="shared" si="13"/>
        <v/>
      </c>
      <c r="S890" s="68" t="str" cm="1">
        <f t="array" ref="S890">IF(TRIM($A890)="","",IFERROR(_xlfn.TEXTJOIN(", ",TRUE,_xlfn.UNIQUE(_xlfn.VSTACK(_xlfn._xlws.FILTER('Card Test Cases'!$G$4:$G$1000,('Card Test Cases'!$B$4:$B$1000=$A890)*('Card Test Cases'!$G$4:$G$1000&lt;&gt;""),""),_xlfn._xlws.FILTER('E2E core flow'!$U$15:$U$1000,('E2E core flow'!$A$15:$A$1000&lt;&gt;"")*ISNUMBER(SEARCH('E2E core flow'!$A$15:$A$1000,$E890))*('E2E core flow'!$U$15:$U$1000&lt;&gt;""),"")))),"-"))</f>
        <v/>
      </c>
    </row>
    <row r="891" spans="7:19" x14ac:dyDescent="0.3">
      <c r="G891" s="68" t="str" cm="1">
        <f t="array" ref="G891">_xlfn.LET(_xlpm.ids,'E2E core flow'!$A$15:$A$1000,_xlpm.v,'E2E core flow'!$W$15:$W$1000,_xlpm.m,(_xlpm.ids&lt;&gt;"")*ISNUMBER(SEARCH(_xlpm.ids,$E891)),_xlpm.f,SUM(_xlpm.m*(_xlpm.v="Failed")),_xlpm.b,SUM(_xlpm.m*(_xlpm.v="Blocked")),_xlpm.nr,SUM(_xlpm.m*(_xlpm.v="Not Run")),_xlpm.cp,SUM(_xlpm.m*(_xlpm.v="Conditionally Passed")),_xlpm.p,SUM(_xlpm.m*(_xlpm.v="Passed")),IF(TRIM($A891)="","",IF(TRIM($E891)="","Pending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91" s="68" t="str">
        <f>IF(TRIM($A891)="","",IF($J891="Passed","",IF($J891="Passed with Known Issue","Known Issue",IF($J891="",IF(OR($H891&lt;&gt;"No",AND($F891&lt;&gt;"Medium",$F891&lt;&gt;"Low")),"Pending Result",""),IF(OR($H891&lt;&gt;"No",AND($F891&lt;&gt;"Medium",$F891&lt;&gt;"Low")),IF(COUNTIFS(Dashboard!$B$105:$B$124,$A891,Dashboard!$I$105:$I$124,"CAB")&gt;0,"Accepted (CF)","Blocking"),IF($J891="Failed","Deferrable","Carry Over"))))))</f>
        <v/>
      </c>
      <c r="M891" s="68" t="str">
        <f>IF(OR(TRIM($A891)="",TRIM($E891)=""),"",IFERROR(INDEX('E2E core flow'!$B$15:$B$1000,MATCH(1,INDEX(('E2E core flow'!$A$15:$A$1000&lt;&gt;"")*ISNUMBER(SEARCH('E2E core flow'!$A$15:$A$1000,$E891)),0),0))&amp;"","-"))</f>
        <v/>
      </c>
      <c r="N891" s="68" t="str">
        <f>IF(TRIM($A891)="","",IF($O891=0,IF(COUNTIFS('Card Test Cases'!$B$4:$B$1000,$A891,'Card Test Cases'!$A$4:$A$1000,"&lt;&gt;")&gt;0,"Out of Scope","No TC"),IF($Q891&gt;0,"Failed",IF(COUNTIFS('Card Test Cases'!$B$4:$B$1000,$A891,'Card Test Cases'!$A$4:$A$1000,"&lt;&gt;",'Card Test Cases'!$F$4:$F$1000,"Blocked")&gt;0,"Blocked",IF($R891&gt;0,"In Progress","Passed")))))</f>
        <v/>
      </c>
      <c r="O891" s="68" t="str">
        <f>IF(TRIM($A891)="","",COUNTIFS('Card Test Cases'!$B$4:$B$1000,$A891,'Card Test Cases'!$A$4:$A$1000,"&lt;&gt;",'Card Test Cases'!$F$4:$F$1000,"&lt;&gt;Out of Scope"))</f>
        <v/>
      </c>
      <c r="P891" s="68" t="str">
        <f>IF(TRIM($A891)="","",COUNTIFS('Card Test Cases'!$B$4:$B$1000,$A891,'Card Test Cases'!$A$4:$A$1000,"&lt;&gt;",'Card Test Cases'!$F$4:$F$1000,"Passed"))</f>
        <v/>
      </c>
      <c r="Q891" s="68" t="str">
        <f>IF(TRIM($A891)="","",COUNTIFS('Card Test Cases'!$B$4:$B$1000,$A891,'Card Test Cases'!$A$4:$A$1000,"&lt;&gt;",'Card Test Cases'!$F$4:$F$1000,"Failed"))</f>
        <v/>
      </c>
      <c r="R891" s="68" t="str">
        <f t="shared" si="13"/>
        <v/>
      </c>
      <c r="S891" s="68" t="str" cm="1">
        <f t="array" ref="S891">IF(TRIM($A891)="","",IFERROR(_xlfn.TEXTJOIN(", ",TRUE,_xlfn.UNIQUE(_xlfn.VSTACK(_xlfn._xlws.FILTER('Card Test Cases'!$G$4:$G$1000,('Card Test Cases'!$B$4:$B$1000=$A891)*('Card Test Cases'!$G$4:$G$1000&lt;&gt;""),""),_xlfn._xlws.FILTER('E2E core flow'!$U$15:$U$1000,('E2E core flow'!$A$15:$A$1000&lt;&gt;"")*ISNUMBER(SEARCH('E2E core flow'!$A$15:$A$1000,$E891))*('E2E core flow'!$U$15:$U$1000&lt;&gt;""),"")))),"-"))</f>
        <v/>
      </c>
    </row>
    <row r="892" spans="7:19" x14ac:dyDescent="0.3">
      <c r="G892" s="68" t="str" cm="1">
        <f t="array" ref="G892">_xlfn.LET(_xlpm.ids,'E2E core flow'!$A$15:$A$1000,_xlpm.v,'E2E core flow'!$W$15:$W$1000,_xlpm.m,(_xlpm.ids&lt;&gt;"")*ISNUMBER(SEARCH(_xlpm.ids,$E892)),_xlpm.f,SUM(_xlpm.m*(_xlpm.v="Failed")),_xlpm.b,SUM(_xlpm.m*(_xlpm.v="Blocked")),_xlpm.nr,SUM(_xlpm.m*(_xlpm.v="Not Run")),_xlpm.cp,SUM(_xlpm.m*(_xlpm.v="Conditionally Passed")),_xlpm.p,SUM(_xlpm.m*(_xlpm.v="Passed")),IF(TRIM($A892)="","",IF(TRIM($E892)="","Pending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92" s="68" t="str">
        <f>IF(TRIM($A892)="","",IF($J892="Passed","",IF($J892="Passed with Known Issue","Known Issue",IF($J892="",IF(OR($H892&lt;&gt;"No",AND($F892&lt;&gt;"Medium",$F892&lt;&gt;"Low")),"Pending Result",""),IF(OR($H892&lt;&gt;"No",AND($F892&lt;&gt;"Medium",$F892&lt;&gt;"Low")),IF(COUNTIFS(Dashboard!$B$105:$B$124,$A892,Dashboard!$I$105:$I$124,"CAB")&gt;0,"Accepted (CF)","Blocking"),IF($J892="Failed","Deferrable","Carry Over"))))))</f>
        <v/>
      </c>
      <c r="M892" s="68" t="str">
        <f>IF(OR(TRIM($A892)="",TRIM($E892)=""),"",IFERROR(INDEX('E2E core flow'!$B$15:$B$1000,MATCH(1,INDEX(('E2E core flow'!$A$15:$A$1000&lt;&gt;"")*ISNUMBER(SEARCH('E2E core flow'!$A$15:$A$1000,$E892)),0),0))&amp;"","-"))</f>
        <v/>
      </c>
      <c r="N892" s="68" t="str">
        <f>IF(TRIM($A892)="","",IF($O892=0,IF(COUNTIFS('Card Test Cases'!$B$4:$B$1000,$A892,'Card Test Cases'!$A$4:$A$1000,"&lt;&gt;")&gt;0,"Out of Scope","No TC"),IF($Q892&gt;0,"Failed",IF(COUNTIFS('Card Test Cases'!$B$4:$B$1000,$A892,'Card Test Cases'!$A$4:$A$1000,"&lt;&gt;",'Card Test Cases'!$F$4:$F$1000,"Blocked")&gt;0,"Blocked",IF($R892&gt;0,"In Progress","Passed")))))</f>
        <v/>
      </c>
      <c r="O892" s="68" t="str">
        <f>IF(TRIM($A892)="","",COUNTIFS('Card Test Cases'!$B$4:$B$1000,$A892,'Card Test Cases'!$A$4:$A$1000,"&lt;&gt;",'Card Test Cases'!$F$4:$F$1000,"&lt;&gt;Out of Scope"))</f>
        <v/>
      </c>
      <c r="P892" s="68" t="str">
        <f>IF(TRIM($A892)="","",COUNTIFS('Card Test Cases'!$B$4:$B$1000,$A892,'Card Test Cases'!$A$4:$A$1000,"&lt;&gt;",'Card Test Cases'!$F$4:$F$1000,"Passed"))</f>
        <v/>
      </c>
      <c r="Q892" s="68" t="str">
        <f>IF(TRIM($A892)="","",COUNTIFS('Card Test Cases'!$B$4:$B$1000,$A892,'Card Test Cases'!$A$4:$A$1000,"&lt;&gt;",'Card Test Cases'!$F$4:$F$1000,"Failed"))</f>
        <v/>
      </c>
      <c r="R892" s="68" t="str">
        <f t="shared" si="13"/>
        <v/>
      </c>
      <c r="S892" s="68" t="str" cm="1">
        <f t="array" ref="S892">IF(TRIM($A892)="","",IFERROR(_xlfn.TEXTJOIN(", ",TRUE,_xlfn.UNIQUE(_xlfn.VSTACK(_xlfn._xlws.FILTER('Card Test Cases'!$G$4:$G$1000,('Card Test Cases'!$B$4:$B$1000=$A892)*('Card Test Cases'!$G$4:$G$1000&lt;&gt;""),""),_xlfn._xlws.FILTER('E2E core flow'!$U$15:$U$1000,('E2E core flow'!$A$15:$A$1000&lt;&gt;"")*ISNUMBER(SEARCH('E2E core flow'!$A$15:$A$1000,$E892))*('E2E core flow'!$U$15:$U$1000&lt;&gt;""),"")))),"-"))</f>
        <v/>
      </c>
    </row>
    <row r="893" spans="7:19" x14ac:dyDescent="0.3">
      <c r="G893" s="68" t="str" cm="1">
        <f t="array" ref="G893">_xlfn.LET(_xlpm.ids,'E2E core flow'!$A$15:$A$1000,_xlpm.v,'E2E core flow'!$W$15:$W$1000,_xlpm.m,(_xlpm.ids&lt;&gt;"")*ISNUMBER(SEARCH(_xlpm.ids,$E893)),_xlpm.f,SUM(_xlpm.m*(_xlpm.v="Failed")),_xlpm.b,SUM(_xlpm.m*(_xlpm.v="Blocked")),_xlpm.nr,SUM(_xlpm.m*(_xlpm.v="Not Run")),_xlpm.cp,SUM(_xlpm.m*(_xlpm.v="Conditionally Passed")),_xlpm.p,SUM(_xlpm.m*(_xlpm.v="Passed")),IF(TRIM($A893)="","",IF(TRIM($E893)="","Pending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93" s="68" t="str">
        <f>IF(TRIM($A893)="","",IF($J893="Passed","",IF($J893="Passed with Known Issue","Known Issue",IF($J893="",IF(OR($H893&lt;&gt;"No",AND($F893&lt;&gt;"Medium",$F893&lt;&gt;"Low")),"Pending Result",""),IF(OR($H893&lt;&gt;"No",AND($F893&lt;&gt;"Medium",$F893&lt;&gt;"Low")),IF(COUNTIFS(Dashboard!$B$105:$B$124,$A893,Dashboard!$I$105:$I$124,"CAB")&gt;0,"Accepted (CF)","Blocking"),IF($J893="Failed","Deferrable","Carry Over"))))))</f>
        <v/>
      </c>
      <c r="M893" s="68" t="str">
        <f>IF(OR(TRIM($A893)="",TRIM($E893)=""),"",IFERROR(INDEX('E2E core flow'!$B$15:$B$1000,MATCH(1,INDEX(('E2E core flow'!$A$15:$A$1000&lt;&gt;"")*ISNUMBER(SEARCH('E2E core flow'!$A$15:$A$1000,$E893)),0),0))&amp;"","-"))</f>
        <v/>
      </c>
      <c r="N893" s="68" t="str">
        <f>IF(TRIM($A893)="","",IF($O893=0,IF(COUNTIFS('Card Test Cases'!$B$4:$B$1000,$A893,'Card Test Cases'!$A$4:$A$1000,"&lt;&gt;")&gt;0,"Out of Scope","No TC"),IF($Q893&gt;0,"Failed",IF(COUNTIFS('Card Test Cases'!$B$4:$B$1000,$A893,'Card Test Cases'!$A$4:$A$1000,"&lt;&gt;",'Card Test Cases'!$F$4:$F$1000,"Blocked")&gt;0,"Blocked",IF($R893&gt;0,"In Progress","Passed")))))</f>
        <v/>
      </c>
      <c r="O893" s="68" t="str">
        <f>IF(TRIM($A893)="","",COUNTIFS('Card Test Cases'!$B$4:$B$1000,$A893,'Card Test Cases'!$A$4:$A$1000,"&lt;&gt;",'Card Test Cases'!$F$4:$F$1000,"&lt;&gt;Out of Scope"))</f>
        <v/>
      </c>
      <c r="P893" s="68" t="str">
        <f>IF(TRIM($A893)="","",COUNTIFS('Card Test Cases'!$B$4:$B$1000,$A893,'Card Test Cases'!$A$4:$A$1000,"&lt;&gt;",'Card Test Cases'!$F$4:$F$1000,"Passed"))</f>
        <v/>
      </c>
      <c r="Q893" s="68" t="str">
        <f>IF(TRIM($A893)="","",COUNTIFS('Card Test Cases'!$B$4:$B$1000,$A893,'Card Test Cases'!$A$4:$A$1000,"&lt;&gt;",'Card Test Cases'!$F$4:$F$1000,"Failed"))</f>
        <v/>
      </c>
      <c r="R893" s="68" t="str">
        <f t="shared" si="13"/>
        <v/>
      </c>
      <c r="S893" s="68" t="str" cm="1">
        <f t="array" ref="S893">IF(TRIM($A893)="","",IFERROR(_xlfn.TEXTJOIN(", ",TRUE,_xlfn.UNIQUE(_xlfn.VSTACK(_xlfn._xlws.FILTER('Card Test Cases'!$G$4:$G$1000,('Card Test Cases'!$B$4:$B$1000=$A893)*('Card Test Cases'!$G$4:$G$1000&lt;&gt;""),""),_xlfn._xlws.FILTER('E2E core flow'!$U$15:$U$1000,('E2E core flow'!$A$15:$A$1000&lt;&gt;"")*ISNUMBER(SEARCH('E2E core flow'!$A$15:$A$1000,$E893))*('E2E core flow'!$U$15:$U$1000&lt;&gt;""),"")))),"-"))</f>
        <v/>
      </c>
    </row>
    <row r="894" spans="7:19" x14ac:dyDescent="0.3">
      <c r="G894" s="68" t="str" cm="1">
        <f t="array" ref="G894">_xlfn.LET(_xlpm.ids,'E2E core flow'!$A$15:$A$1000,_xlpm.v,'E2E core flow'!$W$15:$W$1000,_xlpm.m,(_xlpm.ids&lt;&gt;"")*ISNUMBER(SEARCH(_xlpm.ids,$E894)),_xlpm.f,SUM(_xlpm.m*(_xlpm.v="Failed")),_xlpm.b,SUM(_xlpm.m*(_xlpm.v="Blocked")),_xlpm.nr,SUM(_xlpm.m*(_xlpm.v="Not Run")),_xlpm.cp,SUM(_xlpm.m*(_xlpm.v="Conditionally Passed")),_xlpm.p,SUM(_xlpm.m*(_xlpm.v="Passed")),IF(TRIM($A894)="","",IF(TRIM($E894)="","Pending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94" s="68" t="str">
        <f>IF(TRIM($A894)="","",IF($J894="Passed","",IF($J894="Passed with Known Issue","Known Issue",IF($J894="",IF(OR($H894&lt;&gt;"No",AND($F894&lt;&gt;"Medium",$F894&lt;&gt;"Low")),"Pending Result",""),IF(OR($H894&lt;&gt;"No",AND($F894&lt;&gt;"Medium",$F894&lt;&gt;"Low")),IF(COUNTIFS(Dashboard!$B$105:$B$124,$A894,Dashboard!$I$105:$I$124,"CAB")&gt;0,"Accepted (CF)","Blocking"),IF($J894="Failed","Deferrable","Carry Over"))))))</f>
        <v/>
      </c>
      <c r="M894" s="68" t="str">
        <f>IF(OR(TRIM($A894)="",TRIM($E894)=""),"",IFERROR(INDEX('E2E core flow'!$B$15:$B$1000,MATCH(1,INDEX(('E2E core flow'!$A$15:$A$1000&lt;&gt;"")*ISNUMBER(SEARCH('E2E core flow'!$A$15:$A$1000,$E894)),0),0))&amp;"","-"))</f>
        <v/>
      </c>
      <c r="N894" s="68" t="str">
        <f>IF(TRIM($A894)="","",IF($O894=0,IF(COUNTIFS('Card Test Cases'!$B$4:$B$1000,$A894,'Card Test Cases'!$A$4:$A$1000,"&lt;&gt;")&gt;0,"Out of Scope","No TC"),IF($Q894&gt;0,"Failed",IF(COUNTIFS('Card Test Cases'!$B$4:$B$1000,$A894,'Card Test Cases'!$A$4:$A$1000,"&lt;&gt;",'Card Test Cases'!$F$4:$F$1000,"Blocked")&gt;0,"Blocked",IF($R894&gt;0,"In Progress","Passed")))))</f>
        <v/>
      </c>
      <c r="O894" s="68" t="str">
        <f>IF(TRIM($A894)="","",COUNTIFS('Card Test Cases'!$B$4:$B$1000,$A894,'Card Test Cases'!$A$4:$A$1000,"&lt;&gt;",'Card Test Cases'!$F$4:$F$1000,"&lt;&gt;Out of Scope"))</f>
        <v/>
      </c>
      <c r="P894" s="68" t="str">
        <f>IF(TRIM($A894)="","",COUNTIFS('Card Test Cases'!$B$4:$B$1000,$A894,'Card Test Cases'!$A$4:$A$1000,"&lt;&gt;",'Card Test Cases'!$F$4:$F$1000,"Passed"))</f>
        <v/>
      </c>
      <c r="Q894" s="68" t="str">
        <f>IF(TRIM($A894)="","",COUNTIFS('Card Test Cases'!$B$4:$B$1000,$A894,'Card Test Cases'!$A$4:$A$1000,"&lt;&gt;",'Card Test Cases'!$F$4:$F$1000,"Failed"))</f>
        <v/>
      </c>
      <c r="R894" s="68" t="str">
        <f t="shared" si="13"/>
        <v/>
      </c>
      <c r="S894" s="68" t="str" cm="1">
        <f t="array" ref="S894">IF(TRIM($A894)="","",IFERROR(_xlfn.TEXTJOIN(", ",TRUE,_xlfn.UNIQUE(_xlfn.VSTACK(_xlfn._xlws.FILTER('Card Test Cases'!$G$4:$G$1000,('Card Test Cases'!$B$4:$B$1000=$A894)*('Card Test Cases'!$G$4:$G$1000&lt;&gt;""),""),_xlfn._xlws.FILTER('E2E core flow'!$U$15:$U$1000,('E2E core flow'!$A$15:$A$1000&lt;&gt;"")*ISNUMBER(SEARCH('E2E core flow'!$A$15:$A$1000,$E894))*('E2E core flow'!$U$15:$U$1000&lt;&gt;""),"")))),"-"))</f>
        <v/>
      </c>
    </row>
    <row r="895" spans="7:19" x14ac:dyDescent="0.3">
      <c r="G895" s="68" t="str" cm="1">
        <f t="array" ref="G895">_xlfn.LET(_xlpm.ids,'E2E core flow'!$A$15:$A$1000,_xlpm.v,'E2E core flow'!$W$15:$W$1000,_xlpm.m,(_xlpm.ids&lt;&gt;"")*ISNUMBER(SEARCH(_xlpm.ids,$E895)),_xlpm.f,SUM(_xlpm.m*(_xlpm.v="Failed")),_xlpm.b,SUM(_xlpm.m*(_xlpm.v="Blocked")),_xlpm.nr,SUM(_xlpm.m*(_xlpm.v="Not Run")),_xlpm.cp,SUM(_xlpm.m*(_xlpm.v="Conditionally Passed")),_xlpm.p,SUM(_xlpm.m*(_xlpm.v="Passed")),IF(TRIM($A895)="","",IF(TRIM($E895)="","Pending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95" s="68" t="str">
        <f>IF(TRIM($A895)="","",IF($J895="Passed","",IF($J895="Passed with Known Issue","Known Issue",IF($J895="",IF(OR($H895&lt;&gt;"No",AND($F895&lt;&gt;"Medium",$F895&lt;&gt;"Low")),"Pending Result",""),IF(OR($H895&lt;&gt;"No",AND($F895&lt;&gt;"Medium",$F895&lt;&gt;"Low")),IF(COUNTIFS(Dashboard!$B$105:$B$124,$A895,Dashboard!$I$105:$I$124,"CAB")&gt;0,"Accepted (CF)","Blocking"),IF($J895="Failed","Deferrable","Carry Over"))))))</f>
        <v/>
      </c>
      <c r="M895" s="68" t="str">
        <f>IF(OR(TRIM($A895)="",TRIM($E895)=""),"",IFERROR(INDEX('E2E core flow'!$B$15:$B$1000,MATCH(1,INDEX(('E2E core flow'!$A$15:$A$1000&lt;&gt;"")*ISNUMBER(SEARCH('E2E core flow'!$A$15:$A$1000,$E895)),0),0))&amp;"","-"))</f>
        <v/>
      </c>
      <c r="N895" s="68" t="str">
        <f>IF(TRIM($A895)="","",IF($O895=0,IF(COUNTIFS('Card Test Cases'!$B$4:$B$1000,$A895,'Card Test Cases'!$A$4:$A$1000,"&lt;&gt;")&gt;0,"Out of Scope","No TC"),IF($Q895&gt;0,"Failed",IF(COUNTIFS('Card Test Cases'!$B$4:$B$1000,$A895,'Card Test Cases'!$A$4:$A$1000,"&lt;&gt;",'Card Test Cases'!$F$4:$F$1000,"Blocked")&gt;0,"Blocked",IF($R895&gt;0,"In Progress","Passed")))))</f>
        <v/>
      </c>
      <c r="O895" s="68" t="str">
        <f>IF(TRIM($A895)="","",COUNTIFS('Card Test Cases'!$B$4:$B$1000,$A895,'Card Test Cases'!$A$4:$A$1000,"&lt;&gt;",'Card Test Cases'!$F$4:$F$1000,"&lt;&gt;Out of Scope"))</f>
        <v/>
      </c>
      <c r="P895" s="68" t="str">
        <f>IF(TRIM($A895)="","",COUNTIFS('Card Test Cases'!$B$4:$B$1000,$A895,'Card Test Cases'!$A$4:$A$1000,"&lt;&gt;",'Card Test Cases'!$F$4:$F$1000,"Passed"))</f>
        <v/>
      </c>
      <c r="Q895" s="68" t="str">
        <f>IF(TRIM($A895)="","",COUNTIFS('Card Test Cases'!$B$4:$B$1000,$A895,'Card Test Cases'!$A$4:$A$1000,"&lt;&gt;",'Card Test Cases'!$F$4:$F$1000,"Failed"))</f>
        <v/>
      </c>
      <c r="R895" s="68" t="str">
        <f t="shared" si="13"/>
        <v/>
      </c>
      <c r="S895" s="68" t="str" cm="1">
        <f t="array" ref="S895">IF(TRIM($A895)="","",IFERROR(_xlfn.TEXTJOIN(", ",TRUE,_xlfn.UNIQUE(_xlfn.VSTACK(_xlfn._xlws.FILTER('Card Test Cases'!$G$4:$G$1000,('Card Test Cases'!$B$4:$B$1000=$A895)*('Card Test Cases'!$G$4:$G$1000&lt;&gt;""),""),_xlfn._xlws.FILTER('E2E core flow'!$U$15:$U$1000,('E2E core flow'!$A$15:$A$1000&lt;&gt;"")*ISNUMBER(SEARCH('E2E core flow'!$A$15:$A$1000,$E895))*('E2E core flow'!$U$15:$U$1000&lt;&gt;""),"")))),"-"))</f>
        <v/>
      </c>
    </row>
    <row r="896" spans="7:19" x14ac:dyDescent="0.3">
      <c r="G896" s="68" t="str" cm="1">
        <f t="array" ref="G896">_xlfn.LET(_xlpm.ids,'E2E core flow'!$A$15:$A$1000,_xlpm.v,'E2E core flow'!$W$15:$W$1000,_xlpm.m,(_xlpm.ids&lt;&gt;"")*ISNUMBER(SEARCH(_xlpm.ids,$E896)),_xlpm.f,SUM(_xlpm.m*(_xlpm.v="Failed")),_xlpm.b,SUM(_xlpm.m*(_xlpm.v="Blocked")),_xlpm.nr,SUM(_xlpm.m*(_xlpm.v="Not Run")),_xlpm.cp,SUM(_xlpm.m*(_xlpm.v="Conditionally Passed")),_xlpm.p,SUM(_xlpm.m*(_xlpm.v="Passed")),IF(TRIM($A896)="","",IF(TRIM($E896)="","Pending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96" s="68" t="str">
        <f>IF(TRIM($A896)="","",IF($J896="Passed","",IF($J896="Passed with Known Issue","Known Issue",IF($J896="",IF(OR($H896&lt;&gt;"No",AND($F896&lt;&gt;"Medium",$F896&lt;&gt;"Low")),"Pending Result",""),IF(OR($H896&lt;&gt;"No",AND($F896&lt;&gt;"Medium",$F896&lt;&gt;"Low")),IF(COUNTIFS(Dashboard!$B$105:$B$124,$A896,Dashboard!$I$105:$I$124,"CAB")&gt;0,"Accepted (CF)","Blocking"),IF($J896="Failed","Deferrable","Carry Over"))))))</f>
        <v/>
      </c>
      <c r="M896" s="68" t="str">
        <f>IF(OR(TRIM($A896)="",TRIM($E896)=""),"",IFERROR(INDEX('E2E core flow'!$B$15:$B$1000,MATCH(1,INDEX(('E2E core flow'!$A$15:$A$1000&lt;&gt;"")*ISNUMBER(SEARCH('E2E core flow'!$A$15:$A$1000,$E896)),0),0))&amp;"","-"))</f>
        <v/>
      </c>
      <c r="N896" s="68" t="str">
        <f>IF(TRIM($A896)="","",IF($O896=0,IF(COUNTIFS('Card Test Cases'!$B$4:$B$1000,$A896,'Card Test Cases'!$A$4:$A$1000,"&lt;&gt;")&gt;0,"Out of Scope","No TC"),IF($Q896&gt;0,"Failed",IF(COUNTIFS('Card Test Cases'!$B$4:$B$1000,$A896,'Card Test Cases'!$A$4:$A$1000,"&lt;&gt;",'Card Test Cases'!$F$4:$F$1000,"Blocked")&gt;0,"Blocked",IF($R896&gt;0,"In Progress","Passed")))))</f>
        <v/>
      </c>
      <c r="O896" s="68" t="str">
        <f>IF(TRIM($A896)="","",COUNTIFS('Card Test Cases'!$B$4:$B$1000,$A896,'Card Test Cases'!$A$4:$A$1000,"&lt;&gt;",'Card Test Cases'!$F$4:$F$1000,"&lt;&gt;Out of Scope"))</f>
        <v/>
      </c>
      <c r="P896" s="68" t="str">
        <f>IF(TRIM($A896)="","",COUNTIFS('Card Test Cases'!$B$4:$B$1000,$A896,'Card Test Cases'!$A$4:$A$1000,"&lt;&gt;",'Card Test Cases'!$F$4:$F$1000,"Passed"))</f>
        <v/>
      </c>
      <c r="Q896" s="68" t="str">
        <f>IF(TRIM($A896)="","",COUNTIFS('Card Test Cases'!$B$4:$B$1000,$A896,'Card Test Cases'!$A$4:$A$1000,"&lt;&gt;",'Card Test Cases'!$F$4:$F$1000,"Failed"))</f>
        <v/>
      </c>
      <c r="R896" s="68" t="str">
        <f t="shared" si="13"/>
        <v/>
      </c>
      <c r="S896" s="68" t="str" cm="1">
        <f t="array" ref="S896">IF(TRIM($A896)="","",IFERROR(_xlfn.TEXTJOIN(", ",TRUE,_xlfn.UNIQUE(_xlfn.VSTACK(_xlfn._xlws.FILTER('Card Test Cases'!$G$4:$G$1000,('Card Test Cases'!$B$4:$B$1000=$A896)*('Card Test Cases'!$G$4:$G$1000&lt;&gt;""),""),_xlfn._xlws.FILTER('E2E core flow'!$U$15:$U$1000,('E2E core flow'!$A$15:$A$1000&lt;&gt;"")*ISNUMBER(SEARCH('E2E core flow'!$A$15:$A$1000,$E896))*('E2E core flow'!$U$15:$U$1000&lt;&gt;""),"")))),"-"))</f>
        <v/>
      </c>
    </row>
    <row r="897" spans="7:19" x14ac:dyDescent="0.3">
      <c r="G897" s="68" t="str" cm="1">
        <f t="array" ref="G897">_xlfn.LET(_xlpm.ids,'E2E core flow'!$A$15:$A$1000,_xlpm.v,'E2E core flow'!$W$15:$W$1000,_xlpm.m,(_xlpm.ids&lt;&gt;"")*ISNUMBER(SEARCH(_xlpm.ids,$E897)),_xlpm.f,SUM(_xlpm.m*(_xlpm.v="Failed")),_xlpm.b,SUM(_xlpm.m*(_xlpm.v="Blocked")),_xlpm.nr,SUM(_xlpm.m*(_xlpm.v="Not Run")),_xlpm.cp,SUM(_xlpm.m*(_xlpm.v="Conditionally Passed")),_xlpm.p,SUM(_xlpm.m*(_xlpm.v="Passed")),IF(TRIM($A897)="","",IF(TRIM($E897)="","Pending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97" s="68" t="str">
        <f>IF(TRIM($A897)="","",IF($J897="Passed","",IF($J897="Passed with Known Issue","Known Issue",IF($J897="",IF(OR($H897&lt;&gt;"No",AND($F897&lt;&gt;"Medium",$F897&lt;&gt;"Low")),"Pending Result",""),IF(OR($H897&lt;&gt;"No",AND($F897&lt;&gt;"Medium",$F897&lt;&gt;"Low")),IF(COUNTIFS(Dashboard!$B$105:$B$124,$A897,Dashboard!$I$105:$I$124,"CAB")&gt;0,"Accepted (CF)","Blocking"),IF($J897="Failed","Deferrable","Carry Over"))))))</f>
        <v/>
      </c>
      <c r="M897" s="68" t="str">
        <f>IF(OR(TRIM($A897)="",TRIM($E897)=""),"",IFERROR(INDEX('E2E core flow'!$B$15:$B$1000,MATCH(1,INDEX(('E2E core flow'!$A$15:$A$1000&lt;&gt;"")*ISNUMBER(SEARCH('E2E core flow'!$A$15:$A$1000,$E897)),0),0))&amp;"","-"))</f>
        <v/>
      </c>
      <c r="N897" s="68" t="str">
        <f>IF(TRIM($A897)="","",IF($O897=0,IF(COUNTIFS('Card Test Cases'!$B$4:$B$1000,$A897,'Card Test Cases'!$A$4:$A$1000,"&lt;&gt;")&gt;0,"Out of Scope","No TC"),IF($Q897&gt;0,"Failed",IF(COUNTIFS('Card Test Cases'!$B$4:$B$1000,$A897,'Card Test Cases'!$A$4:$A$1000,"&lt;&gt;",'Card Test Cases'!$F$4:$F$1000,"Blocked")&gt;0,"Blocked",IF($R897&gt;0,"In Progress","Passed")))))</f>
        <v/>
      </c>
      <c r="O897" s="68" t="str">
        <f>IF(TRIM($A897)="","",COUNTIFS('Card Test Cases'!$B$4:$B$1000,$A897,'Card Test Cases'!$A$4:$A$1000,"&lt;&gt;",'Card Test Cases'!$F$4:$F$1000,"&lt;&gt;Out of Scope"))</f>
        <v/>
      </c>
      <c r="P897" s="68" t="str">
        <f>IF(TRIM($A897)="","",COUNTIFS('Card Test Cases'!$B$4:$B$1000,$A897,'Card Test Cases'!$A$4:$A$1000,"&lt;&gt;",'Card Test Cases'!$F$4:$F$1000,"Passed"))</f>
        <v/>
      </c>
      <c r="Q897" s="68" t="str">
        <f>IF(TRIM($A897)="","",COUNTIFS('Card Test Cases'!$B$4:$B$1000,$A897,'Card Test Cases'!$A$4:$A$1000,"&lt;&gt;",'Card Test Cases'!$F$4:$F$1000,"Failed"))</f>
        <v/>
      </c>
      <c r="R897" s="68" t="str">
        <f t="shared" si="13"/>
        <v/>
      </c>
      <c r="S897" s="68" t="str" cm="1">
        <f t="array" ref="S897">IF(TRIM($A897)="","",IFERROR(_xlfn.TEXTJOIN(", ",TRUE,_xlfn.UNIQUE(_xlfn.VSTACK(_xlfn._xlws.FILTER('Card Test Cases'!$G$4:$G$1000,('Card Test Cases'!$B$4:$B$1000=$A897)*('Card Test Cases'!$G$4:$G$1000&lt;&gt;""),""),_xlfn._xlws.FILTER('E2E core flow'!$U$15:$U$1000,('E2E core flow'!$A$15:$A$1000&lt;&gt;"")*ISNUMBER(SEARCH('E2E core flow'!$A$15:$A$1000,$E897))*('E2E core flow'!$U$15:$U$1000&lt;&gt;""),"")))),"-"))</f>
        <v/>
      </c>
    </row>
    <row r="898" spans="7:19" x14ac:dyDescent="0.3">
      <c r="G898" s="68" t="str" cm="1">
        <f t="array" ref="G898">_xlfn.LET(_xlpm.ids,'E2E core flow'!$A$15:$A$1000,_xlpm.v,'E2E core flow'!$W$15:$W$1000,_xlpm.m,(_xlpm.ids&lt;&gt;"")*ISNUMBER(SEARCH(_xlpm.ids,$E898)),_xlpm.f,SUM(_xlpm.m*(_xlpm.v="Failed")),_xlpm.b,SUM(_xlpm.m*(_xlpm.v="Blocked")),_xlpm.nr,SUM(_xlpm.m*(_xlpm.v="Not Run")),_xlpm.cp,SUM(_xlpm.m*(_xlpm.v="Conditionally Passed")),_xlpm.p,SUM(_xlpm.m*(_xlpm.v="Passed")),IF(TRIM($A898)="","",IF(TRIM($E898)="","Pending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98" s="68" t="str">
        <f>IF(TRIM($A898)="","",IF($J898="Passed","",IF($J898="Passed with Known Issue","Known Issue",IF($J898="",IF(OR($H898&lt;&gt;"No",AND($F898&lt;&gt;"Medium",$F898&lt;&gt;"Low")),"Pending Result",""),IF(OR($H898&lt;&gt;"No",AND($F898&lt;&gt;"Medium",$F898&lt;&gt;"Low")),IF(COUNTIFS(Dashboard!$B$105:$B$124,$A898,Dashboard!$I$105:$I$124,"CAB")&gt;0,"Accepted (CF)","Blocking"),IF($J898="Failed","Deferrable","Carry Over"))))))</f>
        <v/>
      </c>
      <c r="M898" s="68" t="str">
        <f>IF(OR(TRIM($A898)="",TRIM($E898)=""),"",IFERROR(INDEX('E2E core flow'!$B$15:$B$1000,MATCH(1,INDEX(('E2E core flow'!$A$15:$A$1000&lt;&gt;"")*ISNUMBER(SEARCH('E2E core flow'!$A$15:$A$1000,$E898)),0),0))&amp;"","-"))</f>
        <v/>
      </c>
      <c r="N898" s="68" t="str">
        <f>IF(TRIM($A898)="","",IF($O898=0,IF(COUNTIFS('Card Test Cases'!$B$4:$B$1000,$A898,'Card Test Cases'!$A$4:$A$1000,"&lt;&gt;")&gt;0,"Out of Scope","No TC"),IF($Q898&gt;0,"Failed",IF(COUNTIFS('Card Test Cases'!$B$4:$B$1000,$A898,'Card Test Cases'!$A$4:$A$1000,"&lt;&gt;",'Card Test Cases'!$F$4:$F$1000,"Blocked")&gt;0,"Blocked",IF($R898&gt;0,"In Progress","Passed")))))</f>
        <v/>
      </c>
      <c r="O898" s="68" t="str">
        <f>IF(TRIM($A898)="","",COUNTIFS('Card Test Cases'!$B$4:$B$1000,$A898,'Card Test Cases'!$A$4:$A$1000,"&lt;&gt;",'Card Test Cases'!$F$4:$F$1000,"&lt;&gt;Out of Scope"))</f>
        <v/>
      </c>
      <c r="P898" s="68" t="str">
        <f>IF(TRIM($A898)="","",COUNTIFS('Card Test Cases'!$B$4:$B$1000,$A898,'Card Test Cases'!$A$4:$A$1000,"&lt;&gt;",'Card Test Cases'!$F$4:$F$1000,"Passed"))</f>
        <v/>
      </c>
      <c r="Q898" s="68" t="str">
        <f>IF(TRIM($A898)="","",COUNTIFS('Card Test Cases'!$B$4:$B$1000,$A898,'Card Test Cases'!$A$4:$A$1000,"&lt;&gt;",'Card Test Cases'!$F$4:$F$1000,"Failed"))</f>
        <v/>
      </c>
      <c r="R898" s="68" t="str">
        <f t="shared" si="13"/>
        <v/>
      </c>
      <c r="S898" s="68" t="str" cm="1">
        <f t="array" ref="S898">IF(TRIM($A898)="","",IFERROR(_xlfn.TEXTJOIN(", ",TRUE,_xlfn.UNIQUE(_xlfn.VSTACK(_xlfn._xlws.FILTER('Card Test Cases'!$G$4:$G$1000,('Card Test Cases'!$B$4:$B$1000=$A898)*('Card Test Cases'!$G$4:$G$1000&lt;&gt;""),""),_xlfn._xlws.FILTER('E2E core flow'!$U$15:$U$1000,('E2E core flow'!$A$15:$A$1000&lt;&gt;"")*ISNUMBER(SEARCH('E2E core flow'!$A$15:$A$1000,$E898))*('E2E core flow'!$U$15:$U$1000&lt;&gt;""),"")))),"-"))</f>
        <v/>
      </c>
    </row>
    <row r="899" spans="7:19" x14ac:dyDescent="0.3">
      <c r="G899" s="68" t="str" cm="1">
        <f t="array" ref="G899">_xlfn.LET(_xlpm.ids,'E2E core flow'!$A$15:$A$1000,_xlpm.v,'E2E core flow'!$W$15:$W$1000,_xlpm.m,(_xlpm.ids&lt;&gt;"")*ISNUMBER(SEARCH(_xlpm.ids,$E899)),_xlpm.f,SUM(_xlpm.m*(_xlpm.v="Failed")),_xlpm.b,SUM(_xlpm.m*(_xlpm.v="Blocked")),_xlpm.nr,SUM(_xlpm.m*(_xlpm.v="Not Run")),_xlpm.cp,SUM(_xlpm.m*(_xlpm.v="Conditionally Passed")),_xlpm.p,SUM(_xlpm.m*(_xlpm.v="Passed")),IF(TRIM($A899)="","",IF(TRIM($E899)="","Pending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899" s="68" t="str">
        <f>IF(TRIM($A899)="","",IF($J899="Passed","",IF($J899="Passed with Known Issue","Known Issue",IF($J899="",IF(OR($H899&lt;&gt;"No",AND($F899&lt;&gt;"Medium",$F899&lt;&gt;"Low")),"Pending Result",""),IF(OR($H899&lt;&gt;"No",AND($F899&lt;&gt;"Medium",$F899&lt;&gt;"Low")),IF(COUNTIFS(Dashboard!$B$105:$B$124,$A899,Dashboard!$I$105:$I$124,"CAB")&gt;0,"Accepted (CF)","Blocking"),IF($J899="Failed","Deferrable","Carry Over"))))))</f>
        <v/>
      </c>
      <c r="M899" s="68" t="str">
        <f>IF(OR(TRIM($A899)="",TRIM($E899)=""),"",IFERROR(INDEX('E2E core flow'!$B$15:$B$1000,MATCH(1,INDEX(('E2E core flow'!$A$15:$A$1000&lt;&gt;"")*ISNUMBER(SEARCH('E2E core flow'!$A$15:$A$1000,$E899)),0),0))&amp;"","-"))</f>
        <v/>
      </c>
      <c r="N899" s="68" t="str">
        <f>IF(TRIM($A899)="","",IF($O899=0,IF(COUNTIFS('Card Test Cases'!$B$4:$B$1000,$A899,'Card Test Cases'!$A$4:$A$1000,"&lt;&gt;")&gt;0,"Out of Scope","No TC"),IF($Q899&gt;0,"Failed",IF(COUNTIFS('Card Test Cases'!$B$4:$B$1000,$A899,'Card Test Cases'!$A$4:$A$1000,"&lt;&gt;",'Card Test Cases'!$F$4:$F$1000,"Blocked")&gt;0,"Blocked",IF($R899&gt;0,"In Progress","Passed")))))</f>
        <v/>
      </c>
      <c r="O899" s="68" t="str">
        <f>IF(TRIM($A899)="","",COUNTIFS('Card Test Cases'!$B$4:$B$1000,$A899,'Card Test Cases'!$A$4:$A$1000,"&lt;&gt;",'Card Test Cases'!$F$4:$F$1000,"&lt;&gt;Out of Scope"))</f>
        <v/>
      </c>
      <c r="P899" s="68" t="str">
        <f>IF(TRIM($A899)="","",COUNTIFS('Card Test Cases'!$B$4:$B$1000,$A899,'Card Test Cases'!$A$4:$A$1000,"&lt;&gt;",'Card Test Cases'!$F$4:$F$1000,"Passed"))</f>
        <v/>
      </c>
      <c r="Q899" s="68" t="str">
        <f>IF(TRIM($A899)="","",COUNTIFS('Card Test Cases'!$B$4:$B$1000,$A899,'Card Test Cases'!$A$4:$A$1000,"&lt;&gt;",'Card Test Cases'!$F$4:$F$1000,"Failed"))</f>
        <v/>
      </c>
      <c r="R899" s="68" t="str">
        <f t="shared" si="13"/>
        <v/>
      </c>
      <c r="S899" s="68" t="str" cm="1">
        <f t="array" ref="S899">IF(TRIM($A899)="","",IFERROR(_xlfn.TEXTJOIN(", ",TRUE,_xlfn.UNIQUE(_xlfn.VSTACK(_xlfn._xlws.FILTER('Card Test Cases'!$G$4:$G$1000,('Card Test Cases'!$B$4:$B$1000=$A899)*('Card Test Cases'!$G$4:$G$1000&lt;&gt;""),""),_xlfn._xlws.FILTER('E2E core flow'!$U$15:$U$1000,('E2E core flow'!$A$15:$A$1000&lt;&gt;"")*ISNUMBER(SEARCH('E2E core flow'!$A$15:$A$1000,$E899))*('E2E core flow'!$U$15:$U$1000&lt;&gt;""),"")))),"-"))</f>
        <v/>
      </c>
    </row>
    <row r="900" spans="7:19" x14ac:dyDescent="0.3">
      <c r="G900" s="68" t="str" cm="1">
        <f t="array" ref="G900">_xlfn.LET(_xlpm.ids,'E2E core flow'!$A$15:$A$1000,_xlpm.v,'E2E core flow'!$W$15:$W$1000,_xlpm.m,(_xlpm.ids&lt;&gt;"")*ISNUMBER(SEARCH(_xlpm.ids,$E900)),_xlpm.f,SUM(_xlpm.m*(_xlpm.v="Failed")),_xlpm.b,SUM(_xlpm.m*(_xlpm.v="Blocked")),_xlpm.nr,SUM(_xlpm.m*(_xlpm.v="Not Run")),_xlpm.cp,SUM(_xlpm.m*(_xlpm.v="Conditionally Passed")),_xlpm.p,SUM(_xlpm.m*(_xlpm.v="Passed")),IF(TRIM($A900)="","",IF(TRIM($E900)="","Pending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00" s="68" t="str">
        <f>IF(TRIM($A900)="","",IF($J900="Passed","",IF($J900="Passed with Known Issue","Known Issue",IF($J900="",IF(OR($H900&lt;&gt;"No",AND($F900&lt;&gt;"Medium",$F900&lt;&gt;"Low")),"Pending Result",""),IF(OR($H900&lt;&gt;"No",AND($F900&lt;&gt;"Medium",$F900&lt;&gt;"Low")),IF(COUNTIFS(Dashboard!$B$105:$B$124,$A900,Dashboard!$I$105:$I$124,"CAB")&gt;0,"Accepted (CF)","Blocking"),IF($J900="Failed","Deferrable","Carry Over"))))))</f>
        <v/>
      </c>
      <c r="M900" s="68" t="str">
        <f>IF(OR(TRIM($A900)="",TRIM($E900)=""),"",IFERROR(INDEX('E2E core flow'!$B$15:$B$1000,MATCH(1,INDEX(('E2E core flow'!$A$15:$A$1000&lt;&gt;"")*ISNUMBER(SEARCH('E2E core flow'!$A$15:$A$1000,$E900)),0),0))&amp;"","-"))</f>
        <v/>
      </c>
      <c r="N900" s="68" t="str">
        <f>IF(TRIM($A900)="","",IF($O900=0,IF(COUNTIFS('Card Test Cases'!$B$4:$B$1000,$A900,'Card Test Cases'!$A$4:$A$1000,"&lt;&gt;")&gt;0,"Out of Scope","No TC"),IF($Q900&gt;0,"Failed",IF(COUNTIFS('Card Test Cases'!$B$4:$B$1000,$A900,'Card Test Cases'!$A$4:$A$1000,"&lt;&gt;",'Card Test Cases'!$F$4:$F$1000,"Blocked")&gt;0,"Blocked",IF($R900&gt;0,"In Progress","Passed")))))</f>
        <v/>
      </c>
      <c r="O900" s="68" t="str">
        <f>IF(TRIM($A900)="","",COUNTIFS('Card Test Cases'!$B$4:$B$1000,$A900,'Card Test Cases'!$A$4:$A$1000,"&lt;&gt;",'Card Test Cases'!$F$4:$F$1000,"&lt;&gt;Out of Scope"))</f>
        <v/>
      </c>
      <c r="P900" s="68" t="str">
        <f>IF(TRIM($A900)="","",COUNTIFS('Card Test Cases'!$B$4:$B$1000,$A900,'Card Test Cases'!$A$4:$A$1000,"&lt;&gt;",'Card Test Cases'!$F$4:$F$1000,"Passed"))</f>
        <v/>
      </c>
      <c r="Q900" s="68" t="str">
        <f>IF(TRIM($A900)="","",COUNTIFS('Card Test Cases'!$B$4:$B$1000,$A900,'Card Test Cases'!$A$4:$A$1000,"&lt;&gt;",'Card Test Cases'!$F$4:$F$1000,"Failed"))</f>
        <v/>
      </c>
      <c r="R900" s="68" t="str">
        <f t="shared" ref="R900:R963" si="14">IF(TRIM($A900)="","",$O900-$P900-$Q900)</f>
        <v/>
      </c>
      <c r="S900" s="68" t="str" cm="1">
        <f t="array" ref="S900">IF(TRIM($A900)="","",IFERROR(_xlfn.TEXTJOIN(", ",TRUE,_xlfn.UNIQUE(_xlfn.VSTACK(_xlfn._xlws.FILTER('Card Test Cases'!$G$4:$G$1000,('Card Test Cases'!$B$4:$B$1000=$A900)*('Card Test Cases'!$G$4:$G$1000&lt;&gt;""),""),_xlfn._xlws.FILTER('E2E core flow'!$U$15:$U$1000,('E2E core flow'!$A$15:$A$1000&lt;&gt;"")*ISNUMBER(SEARCH('E2E core flow'!$A$15:$A$1000,$E900))*('E2E core flow'!$U$15:$U$1000&lt;&gt;""),"")))),"-"))</f>
        <v/>
      </c>
    </row>
    <row r="901" spans="7:19" x14ac:dyDescent="0.3">
      <c r="G901" s="68" t="str" cm="1">
        <f t="array" ref="G901">_xlfn.LET(_xlpm.ids,'E2E core flow'!$A$15:$A$1000,_xlpm.v,'E2E core flow'!$W$15:$W$1000,_xlpm.m,(_xlpm.ids&lt;&gt;"")*ISNUMBER(SEARCH(_xlpm.ids,$E901)),_xlpm.f,SUM(_xlpm.m*(_xlpm.v="Failed")),_xlpm.b,SUM(_xlpm.m*(_xlpm.v="Blocked")),_xlpm.nr,SUM(_xlpm.m*(_xlpm.v="Not Run")),_xlpm.cp,SUM(_xlpm.m*(_xlpm.v="Conditionally Passed")),_xlpm.p,SUM(_xlpm.m*(_xlpm.v="Passed")),IF(TRIM($A901)="","",IF(TRIM($E901)="","Pending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01" s="68" t="str">
        <f>IF(TRIM($A901)="","",IF($J901="Passed","",IF($J901="Passed with Known Issue","Known Issue",IF($J901="",IF(OR($H901&lt;&gt;"No",AND($F901&lt;&gt;"Medium",$F901&lt;&gt;"Low")),"Pending Result",""),IF(OR($H901&lt;&gt;"No",AND($F901&lt;&gt;"Medium",$F901&lt;&gt;"Low")),IF(COUNTIFS(Dashboard!$B$105:$B$124,$A901,Dashboard!$I$105:$I$124,"CAB")&gt;0,"Accepted (CF)","Blocking"),IF($J901="Failed","Deferrable","Carry Over"))))))</f>
        <v/>
      </c>
      <c r="M901" s="68" t="str">
        <f>IF(OR(TRIM($A901)="",TRIM($E901)=""),"",IFERROR(INDEX('E2E core flow'!$B$15:$B$1000,MATCH(1,INDEX(('E2E core flow'!$A$15:$A$1000&lt;&gt;"")*ISNUMBER(SEARCH('E2E core flow'!$A$15:$A$1000,$E901)),0),0))&amp;"","-"))</f>
        <v/>
      </c>
      <c r="N901" s="68" t="str">
        <f>IF(TRIM($A901)="","",IF($O901=0,IF(COUNTIFS('Card Test Cases'!$B$4:$B$1000,$A901,'Card Test Cases'!$A$4:$A$1000,"&lt;&gt;")&gt;0,"Out of Scope","No TC"),IF($Q901&gt;0,"Failed",IF(COUNTIFS('Card Test Cases'!$B$4:$B$1000,$A901,'Card Test Cases'!$A$4:$A$1000,"&lt;&gt;",'Card Test Cases'!$F$4:$F$1000,"Blocked")&gt;0,"Blocked",IF($R901&gt;0,"In Progress","Passed")))))</f>
        <v/>
      </c>
      <c r="O901" s="68" t="str">
        <f>IF(TRIM($A901)="","",COUNTIFS('Card Test Cases'!$B$4:$B$1000,$A901,'Card Test Cases'!$A$4:$A$1000,"&lt;&gt;",'Card Test Cases'!$F$4:$F$1000,"&lt;&gt;Out of Scope"))</f>
        <v/>
      </c>
      <c r="P901" s="68" t="str">
        <f>IF(TRIM($A901)="","",COUNTIFS('Card Test Cases'!$B$4:$B$1000,$A901,'Card Test Cases'!$A$4:$A$1000,"&lt;&gt;",'Card Test Cases'!$F$4:$F$1000,"Passed"))</f>
        <v/>
      </c>
      <c r="Q901" s="68" t="str">
        <f>IF(TRIM($A901)="","",COUNTIFS('Card Test Cases'!$B$4:$B$1000,$A901,'Card Test Cases'!$A$4:$A$1000,"&lt;&gt;",'Card Test Cases'!$F$4:$F$1000,"Failed"))</f>
        <v/>
      </c>
      <c r="R901" s="68" t="str">
        <f t="shared" si="14"/>
        <v/>
      </c>
      <c r="S901" s="68" t="str" cm="1">
        <f t="array" ref="S901">IF(TRIM($A901)="","",IFERROR(_xlfn.TEXTJOIN(", ",TRUE,_xlfn.UNIQUE(_xlfn.VSTACK(_xlfn._xlws.FILTER('Card Test Cases'!$G$4:$G$1000,('Card Test Cases'!$B$4:$B$1000=$A901)*('Card Test Cases'!$G$4:$G$1000&lt;&gt;""),""),_xlfn._xlws.FILTER('E2E core flow'!$U$15:$U$1000,('E2E core flow'!$A$15:$A$1000&lt;&gt;"")*ISNUMBER(SEARCH('E2E core flow'!$A$15:$A$1000,$E901))*('E2E core flow'!$U$15:$U$1000&lt;&gt;""),"")))),"-"))</f>
        <v/>
      </c>
    </row>
    <row r="902" spans="7:19" x14ac:dyDescent="0.3">
      <c r="G902" s="68" t="str" cm="1">
        <f t="array" ref="G902">_xlfn.LET(_xlpm.ids,'E2E core flow'!$A$15:$A$1000,_xlpm.v,'E2E core flow'!$W$15:$W$1000,_xlpm.m,(_xlpm.ids&lt;&gt;"")*ISNUMBER(SEARCH(_xlpm.ids,$E902)),_xlpm.f,SUM(_xlpm.m*(_xlpm.v="Failed")),_xlpm.b,SUM(_xlpm.m*(_xlpm.v="Blocked")),_xlpm.nr,SUM(_xlpm.m*(_xlpm.v="Not Run")),_xlpm.cp,SUM(_xlpm.m*(_xlpm.v="Conditionally Passed")),_xlpm.p,SUM(_xlpm.m*(_xlpm.v="Passed")),IF(TRIM($A902)="","",IF(TRIM($E902)="","Pending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02" s="68" t="str">
        <f>IF(TRIM($A902)="","",IF($J902="Passed","",IF($J902="Passed with Known Issue","Known Issue",IF($J902="",IF(OR($H902&lt;&gt;"No",AND($F902&lt;&gt;"Medium",$F902&lt;&gt;"Low")),"Pending Result",""),IF(OR($H902&lt;&gt;"No",AND($F902&lt;&gt;"Medium",$F902&lt;&gt;"Low")),IF(COUNTIFS(Dashboard!$B$105:$B$124,$A902,Dashboard!$I$105:$I$124,"CAB")&gt;0,"Accepted (CF)","Blocking"),IF($J902="Failed","Deferrable","Carry Over"))))))</f>
        <v/>
      </c>
      <c r="M902" s="68" t="str">
        <f>IF(OR(TRIM($A902)="",TRIM($E902)=""),"",IFERROR(INDEX('E2E core flow'!$B$15:$B$1000,MATCH(1,INDEX(('E2E core flow'!$A$15:$A$1000&lt;&gt;"")*ISNUMBER(SEARCH('E2E core flow'!$A$15:$A$1000,$E902)),0),0))&amp;"","-"))</f>
        <v/>
      </c>
      <c r="N902" s="68" t="str">
        <f>IF(TRIM($A902)="","",IF($O902=0,IF(COUNTIFS('Card Test Cases'!$B$4:$B$1000,$A902,'Card Test Cases'!$A$4:$A$1000,"&lt;&gt;")&gt;0,"Out of Scope","No TC"),IF($Q902&gt;0,"Failed",IF(COUNTIFS('Card Test Cases'!$B$4:$B$1000,$A902,'Card Test Cases'!$A$4:$A$1000,"&lt;&gt;",'Card Test Cases'!$F$4:$F$1000,"Blocked")&gt;0,"Blocked",IF($R902&gt;0,"In Progress","Passed")))))</f>
        <v/>
      </c>
      <c r="O902" s="68" t="str">
        <f>IF(TRIM($A902)="","",COUNTIFS('Card Test Cases'!$B$4:$B$1000,$A902,'Card Test Cases'!$A$4:$A$1000,"&lt;&gt;",'Card Test Cases'!$F$4:$F$1000,"&lt;&gt;Out of Scope"))</f>
        <v/>
      </c>
      <c r="P902" s="68" t="str">
        <f>IF(TRIM($A902)="","",COUNTIFS('Card Test Cases'!$B$4:$B$1000,$A902,'Card Test Cases'!$A$4:$A$1000,"&lt;&gt;",'Card Test Cases'!$F$4:$F$1000,"Passed"))</f>
        <v/>
      </c>
      <c r="Q902" s="68" t="str">
        <f>IF(TRIM($A902)="","",COUNTIFS('Card Test Cases'!$B$4:$B$1000,$A902,'Card Test Cases'!$A$4:$A$1000,"&lt;&gt;",'Card Test Cases'!$F$4:$F$1000,"Failed"))</f>
        <v/>
      </c>
      <c r="R902" s="68" t="str">
        <f t="shared" si="14"/>
        <v/>
      </c>
      <c r="S902" s="68" t="str" cm="1">
        <f t="array" ref="S902">IF(TRIM($A902)="","",IFERROR(_xlfn.TEXTJOIN(", ",TRUE,_xlfn.UNIQUE(_xlfn.VSTACK(_xlfn._xlws.FILTER('Card Test Cases'!$G$4:$G$1000,('Card Test Cases'!$B$4:$B$1000=$A902)*('Card Test Cases'!$G$4:$G$1000&lt;&gt;""),""),_xlfn._xlws.FILTER('E2E core flow'!$U$15:$U$1000,('E2E core flow'!$A$15:$A$1000&lt;&gt;"")*ISNUMBER(SEARCH('E2E core flow'!$A$15:$A$1000,$E902))*('E2E core flow'!$U$15:$U$1000&lt;&gt;""),"")))),"-"))</f>
        <v/>
      </c>
    </row>
    <row r="903" spans="7:19" x14ac:dyDescent="0.3">
      <c r="G903" s="68" t="str" cm="1">
        <f t="array" ref="G903">_xlfn.LET(_xlpm.ids,'E2E core flow'!$A$15:$A$1000,_xlpm.v,'E2E core flow'!$W$15:$W$1000,_xlpm.m,(_xlpm.ids&lt;&gt;"")*ISNUMBER(SEARCH(_xlpm.ids,$E903)),_xlpm.f,SUM(_xlpm.m*(_xlpm.v="Failed")),_xlpm.b,SUM(_xlpm.m*(_xlpm.v="Blocked")),_xlpm.nr,SUM(_xlpm.m*(_xlpm.v="Not Run")),_xlpm.cp,SUM(_xlpm.m*(_xlpm.v="Conditionally Passed")),_xlpm.p,SUM(_xlpm.m*(_xlpm.v="Passed")),IF(TRIM($A903)="","",IF(TRIM($E903)="","Pending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03" s="68" t="str">
        <f>IF(TRIM($A903)="","",IF($J903="Passed","",IF($J903="Passed with Known Issue","Known Issue",IF($J903="",IF(OR($H903&lt;&gt;"No",AND($F903&lt;&gt;"Medium",$F903&lt;&gt;"Low")),"Pending Result",""),IF(OR($H903&lt;&gt;"No",AND($F903&lt;&gt;"Medium",$F903&lt;&gt;"Low")),IF(COUNTIFS(Dashboard!$B$105:$B$124,$A903,Dashboard!$I$105:$I$124,"CAB")&gt;0,"Accepted (CF)","Blocking"),IF($J903="Failed","Deferrable","Carry Over"))))))</f>
        <v/>
      </c>
      <c r="M903" s="68" t="str">
        <f>IF(OR(TRIM($A903)="",TRIM($E903)=""),"",IFERROR(INDEX('E2E core flow'!$B$15:$B$1000,MATCH(1,INDEX(('E2E core flow'!$A$15:$A$1000&lt;&gt;"")*ISNUMBER(SEARCH('E2E core flow'!$A$15:$A$1000,$E903)),0),0))&amp;"","-"))</f>
        <v/>
      </c>
      <c r="N903" s="68" t="str">
        <f>IF(TRIM($A903)="","",IF($O903=0,IF(COUNTIFS('Card Test Cases'!$B$4:$B$1000,$A903,'Card Test Cases'!$A$4:$A$1000,"&lt;&gt;")&gt;0,"Out of Scope","No TC"),IF($Q903&gt;0,"Failed",IF(COUNTIFS('Card Test Cases'!$B$4:$B$1000,$A903,'Card Test Cases'!$A$4:$A$1000,"&lt;&gt;",'Card Test Cases'!$F$4:$F$1000,"Blocked")&gt;0,"Blocked",IF($R903&gt;0,"In Progress","Passed")))))</f>
        <v/>
      </c>
      <c r="O903" s="68" t="str">
        <f>IF(TRIM($A903)="","",COUNTIFS('Card Test Cases'!$B$4:$B$1000,$A903,'Card Test Cases'!$A$4:$A$1000,"&lt;&gt;",'Card Test Cases'!$F$4:$F$1000,"&lt;&gt;Out of Scope"))</f>
        <v/>
      </c>
      <c r="P903" s="68" t="str">
        <f>IF(TRIM($A903)="","",COUNTIFS('Card Test Cases'!$B$4:$B$1000,$A903,'Card Test Cases'!$A$4:$A$1000,"&lt;&gt;",'Card Test Cases'!$F$4:$F$1000,"Passed"))</f>
        <v/>
      </c>
      <c r="Q903" s="68" t="str">
        <f>IF(TRIM($A903)="","",COUNTIFS('Card Test Cases'!$B$4:$B$1000,$A903,'Card Test Cases'!$A$4:$A$1000,"&lt;&gt;",'Card Test Cases'!$F$4:$F$1000,"Failed"))</f>
        <v/>
      </c>
      <c r="R903" s="68" t="str">
        <f t="shared" si="14"/>
        <v/>
      </c>
      <c r="S903" s="68" t="str" cm="1">
        <f t="array" ref="S903">IF(TRIM($A903)="","",IFERROR(_xlfn.TEXTJOIN(", ",TRUE,_xlfn.UNIQUE(_xlfn.VSTACK(_xlfn._xlws.FILTER('Card Test Cases'!$G$4:$G$1000,('Card Test Cases'!$B$4:$B$1000=$A903)*('Card Test Cases'!$G$4:$G$1000&lt;&gt;""),""),_xlfn._xlws.FILTER('E2E core flow'!$U$15:$U$1000,('E2E core flow'!$A$15:$A$1000&lt;&gt;"")*ISNUMBER(SEARCH('E2E core flow'!$A$15:$A$1000,$E903))*('E2E core flow'!$U$15:$U$1000&lt;&gt;""),"")))),"-"))</f>
        <v/>
      </c>
    </row>
    <row r="904" spans="7:19" x14ac:dyDescent="0.3">
      <c r="G904" s="68" t="str" cm="1">
        <f t="array" ref="G904">_xlfn.LET(_xlpm.ids,'E2E core flow'!$A$15:$A$1000,_xlpm.v,'E2E core flow'!$W$15:$W$1000,_xlpm.m,(_xlpm.ids&lt;&gt;"")*ISNUMBER(SEARCH(_xlpm.ids,$E904)),_xlpm.f,SUM(_xlpm.m*(_xlpm.v="Failed")),_xlpm.b,SUM(_xlpm.m*(_xlpm.v="Blocked")),_xlpm.nr,SUM(_xlpm.m*(_xlpm.v="Not Run")),_xlpm.cp,SUM(_xlpm.m*(_xlpm.v="Conditionally Passed")),_xlpm.p,SUM(_xlpm.m*(_xlpm.v="Passed")),IF(TRIM($A904)="","",IF(TRIM($E904)="","Pending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04" s="68" t="str">
        <f>IF(TRIM($A904)="","",IF($J904="Passed","",IF($J904="Passed with Known Issue","Known Issue",IF($J904="",IF(OR($H904&lt;&gt;"No",AND($F904&lt;&gt;"Medium",$F904&lt;&gt;"Low")),"Pending Result",""),IF(OR($H904&lt;&gt;"No",AND($F904&lt;&gt;"Medium",$F904&lt;&gt;"Low")),IF(COUNTIFS(Dashboard!$B$105:$B$124,$A904,Dashboard!$I$105:$I$124,"CAB")&gt;0,"Accepted (CF)","Blocking"),IF($J904="Failed","Deferrable","Carry Over"))))))</f>
        <v/>
      </c>
      <c r="M904" s="68" t="str">
        <f>IF(OR(TRIM($A904)="",TRIM($E904)=""),"",IFERROR(INDEX('E2E core flow'!$B$15:$B$1000,MATCH(1,INDEX(('E2E core flow'!$A$15:$A$1000&lt;&gt;"")*ISNUMBER(SEARCH('E2E core flow'!$A$15:$A$1000,$E904)),0),0))&amp;"","-"))</f>
        <v/>
      </c>
      <c r="N904" s="68" t="str">
        <f>IF(TRIM($A904)="","",IF($O904=0,IF(COUNTIFS('Card Test Cases'!$B$4:$B$1000,$A904,'Card Test Cases'!$A$4:$A$1000,"&lt;&gt;")&gt;0,"Out of Scope","No TC"),IF($Q904&gt;0,"Failed",IF(COUNTIFS('Card Test Cases'!$B$4:$B$1000,$A904,'Card Test Cases'!$A$4:$A$1000,"&lt;&gt;",'Card Test Cases'!$F$4:$F$1000,"Blocked")&gt;0,"Blocked",IF($R904&gt;0,"In Progress","Passed")))))</f>
        <v/>
      </c>
      <c r="O904" s="68" t="str">
        <f>IF(TRIM($A904)="","",COUNTIFS('Card Test Cases'!$B$4:$B$1000,$A904,'Card Test Cases'!$A$4:$A$1000,"&lt;&gt;",'Card Test Cases'!$F$4:$F$1000,"&lt;&gt;Out of Scope"))</f>
        <v/>
      </c>
      <c r="P904" s="68" t="str">
        <f>IF(TRIM($A904)="","",COUNTIFS('Card Test Cases'!$B$4:$B$1000,$A904,'Card Test Cases'!$A$4:$A$1000,"&lt;&gt;",'Card Test Cases'!$F$4:$F$1000,"Passed"))</f>
        <v/>
      </c>
      <c r="Q904" s="68" t="str">
        <f>IF(TRIM($A904)="","",COUNTIFS('Card Test Cases'!$B$4:$B$1000,$A904,'Card Test Cases'!$A$4:$A$1000,"&lt;&gt;",'Card Test Cases'!$F$4:$F$1000,"Failed"))</f>
        <v/>
      </c>
      <c r="R904" s="68" t="str">
        <f t="shared" si="14"/>
        <v/>
      </c>
      <c r="S904" s="68" t="str" cm="1">
        <f t="array" ref="S904">IF(TRIM($A904)="","",IFERROR(_xlfn.TEXTJOIN(", ",TRUE,_xlfn.UNIQUE(_xlfn.VSTACK(_xlfn._xlws.FILTER('Card Test Cases'!$G$4:$G$1000,('Card Test Cases'!$B$4:$B$1000=$A904)*('Card Test Cases'!$G$4:$G$1000&lt;&gt;""),""),_xlfn._xlws.FILTER('E2E core flow'!$U$15:$U$1000,('E2E core flow'!$A$15:$A$1000&lt;&gt;"")*ISNUMBER(SEARCH('E2E core flow'!$A$15:$A$1000,$E904))*('E2E core flow'!$U$15:$U$1000&lt;&gt;""),"")))),"-"))</f>
        <v/>
      </c>
    </row>
    <row r="905" spans="7:19" x14ac:dyDescent="0.3">
      <c r="G905" s="68" t="str" cm="1">
        <f t="array" ref="G905">_xlfn.LET(_xlpm.ids,'E2E core flow'!$A$15:$A$1000,_xlpm.v,'E2E core flow'!$W$15:$W$1000,_xlpm.m,(_xlpm.ids&lt;&gt;"")*ISNUMBER(SEARCH(_xlpm.ids,$E905)),_xlpm.f,SUM(_xlpm.m*(_xlpm.v="Failed")),_xlpm.b,SUM(_xlpm.m*(_xlpm.v="Blocked")),_xlpm.nr,SUM(_xlpm.m*(_xlpm.v="Not Run")),_xlpm.cp,SUM(_xlpm.m*(_xlpm.v="Conditionally Passed")),_xlpm.p,SUM(_xlpm.m*(_xlpm.v="Passed")),IF(TRIM($A905)="","",IF(TRIM($E905)="","Pending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05" s="68" t="str">
        <f>IF(TRIM($A905)="","",IF($J905="Passed","",IF($J905="Passed with Known Issue","Known Issue",IF($J905="",IF(OR($H905&lt;&gt;"No",AND($F905&lt;&gt;"Medium",$F905&lt;&gt;"Low")),"Pending Result",""),IF(OR($H905&lt;&gt;"No",AND($F905&lt;&gt;"Medium",$F905&lt;&gt;"Low")),IF(COUNTIFS(Dashboard!$B$105:$B$124,$A905,Dashboard!$I$105:$I$124,"CAB")&gt;0,"Accepted (CF)","Blocking"),IF($J905="Failed","Deferrable","Carry Over"))))))</f>
        <v/>
      </c>
      <c r="M905" s="68" t="str">
        <f>IF(OR(TRIM($A905)="",TRIM($E905)=""),"",IFERROR(INDEX('E2E core flow'!$B$15:$B$1000,MATCH(1,INDEX(('E2E core flow'!$A$15:$A$1000&lt;&gt;"")*ISNUMBER(SEARCH('E2E core flow'!$A$15:$A$1000,$E905)),0),0))&amp;"","-"))</f>
        <v/>
      </c>
      <c r="N905" s="68" t="str">
        <f>IF(TRIM($A905)="","",IF($O905=0,IF(COUNTIFS('Card Test Cases'!$B$4:$B$1000,$A905,'Card Test Cases'!$A$4:$A$1000,"&lt;&gt;")&gt;0,"Out of Scope","No TC"),IF($Q905&gt;0,"Failed",IF(COUNTIFS('Card Test Cases'!$B$4:$B$1000,$A905,'Card Test Cases'!$A$4:$A$1000,"&lt;&gt;",'Card Test Cases'!$F$4:$F$1000,"Blocked")&gt;0,"Blocked",IF($R905&gt;0,"In Progress","Passed")))))</f>
        <v/>
      </c>
      <c r="O905" s="68" t="str">
        <f>IF(TRIM($A905)="","",COUNTIFS('Card Test Cases'!$B$4:$B$1000,$A905,'Card Test Cases'!$A$4:$A$1000,"&lt;&gt;",'Card Test Cases'!$F$4:$F$1000,"&lt;&gt;Out of Scope"))</f>
        <v/>
      </c>
      <c r="P905" s="68" t="str">
        <f>IF(TRIM($A905)="","",COUNTIFS('Card Test Cases'!$B$4:$B$1000,$A905,'Card Test Cases'!$A$4:$A$1000,"&lt;&gt;",'Card Test Cases'!$F$4:$F$1000,"Passed"))</f>
        <v/>
      </c>
      <c r="Q905" s="68" t="str">
        <f>IF(TRIM($A905)="","",COUNTIFS('Card Test Cases'!$B$4:$B$1000,$A905,'Card Test Cases'!$A$4:$A$1000,"&lt;&gt;",'Card Test Cases'!$F$4:$F$1000,"Failed"))</f>
        <v/>
      </c>
      <c r="R905" s="68" t="str">
        <f t="shared" si="14"/>
        <v/>
      </c>
      <c r="S905" s="68" t="str" cm="1">
        <f t="array" ref="S905">IF(TRIM($A905)="","",IFERROR(_xlfn.TEXTJOIN(", ",TRUE,_xlfn.UNIQUE(_xlfn.VSTACK(_xlfn._xlws.FILTER('Card Test Cases'!$G$4:$G$1000,('Card Test Cases'!$B$4:$B$1000=$A905)*('Card Test Cases'!$G$4:$G$1000&lt;&gt;""),""),_xlfn._xlws.FILTER('E2E core flow'!$U$15:$U$1000,('E2E core flow'!$A$15:$A$1000&lt;&gt;"")*ISNUMBER(SEARCH('E2E core flow'!$A$15:$A$1000,$E905))*('E2E core flow'!$U$15:$U$1000&lt;&gt;""),"")))),"-"))</f>
        <v/>
      </c>
    </row>
    <row r="906" spans="7:19" x14ac:dyDescent="0.3">
      <c r="G906" s="68" t="str" cm="1">
        <f t="array" ref="G906">_xlfn.LET(_xlpm.ids,'E2E core flow'!$A$15:$A$1000,_xlpm.v,'E2E core flow'!$W$15:$W$1000,_xlpm.m,(_xlpm.ids&lt;&gt;"")*ISNUMBER(SEARCH(_xlpm.ids,$E906)),_xlpm.f,SUM(_xlpm.m*(_xlpm.v="Failed")),_xlpm.b,SUM(_xlpm.m*(_xlpm.v="Blocked")),_xlpm.nr,SUM(_xlpm.m*(_xlpm.v="Not Run")),_xlpm.cp,SUM(_xlpm.m*(_xlpm.v="Conditionally Passed")),_xlpm.p,SUM(_xlpm.m*(_xlpm.v="Passed")),IF(TRIM($A906)="","",IF(TRIM($E906)="","Pending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06" s="68" t="str">
        <f>IF(TRIM($A906)="","",IF($J906="Passed","",IF($J906="Passed with Known Issue","Known Issue",IF($J906="",IF(OR($H906&lt;&gt;"No",AND($F906&lt;&gt;"Medium",$F906&lt;&gt;"Low")),"Pending Result",""),IF(OR($H906&lt;&gt;"No",AND($F906&lt;&gt;"Medium",$F906&lt;&gt;"Low")),IF(COUNTIFS(Dashboard!$B$105:$B$124,$A906,Dashboard!$I$105:$I$124,"CAB")&gt;0,"Accepted (CF)","Blocking"),IF($J906="Failed","Deferrable","Carry Over"))))))</f>
        <v/>
      </c>
      <c r="M906" s="68" t="str">
        <f>IF(OR(TRIM($A906)="",TRIM($E906)=""),"",IFERROR(INDEX('E2E core flow'!$B$15:$B$1000,MATCH(1,INDEX(('E2E core flow'!$A$15:$A$1000&lt;&gt;"")*ISNUMBER(SEARCH('E2E core flow'!$A$15:$A$1000,$E906)),0),0))&amp;"","-"))</f>
        <v/>
      </c>
      <c r="N906" s="68" t="str">
        <f>IF(TRIM($A906)="","",IF($O906=0,IF(COUNTIFS('Card Test Cases'!$B$4:$B$1000,$A906,'Card Test Cases'!$A$4:$A$1000,"&lt;&gt;")&gt;0,"Out of Scope","No TC"),IF($Q906&gt;0,"Failed",IF(COUNTIFS('Card Test Cases'!$B$4:$B$1000,$A906,'Card Test Cases'!$A$4:$A$1000,"&lt;&gt;",'Card Test Cases'!$F$4:$F$1000,"Blocked")&gt;0,"Blocked",IF($R906&gt;0,"In Progress","Passed")))))</f>
        <v/>
      </c>
      <c r="O906" s="68" t="str">
        <f>IF(TRIM($A906)="","",COUNTIFS('Card Test Cases'!$B$4:$B$1000,$A906,'Card Test Cases'!$A$4:$A$1000,"&lt;&gt;",'Card Test Cases'!$F$4:$F$1000,"&lt;&gt;Out of Scope"))</f>
        <v/>
      </c>
      <c r="P906" s="68" t="str">
        <f>IF(TRIM($A906)="","",COUNTIFS('Card Test Cases'!$B$4:$B$1000,$A906,'Card Test Cases'!$A$4:$A$1000,"&lt;&gt;",'Card Test Cases'!$F$4:$F$1000,"Passed"))</f>
        <v/>
      </c>
      <c r="Q906" s="68" t="str">
        <f>IF(TRIM($A906)="","",COUNTIFS('Card Test Cases'!$B$4:$B$1000,$A906,'Card Test Cases'!$A$4:$A$1000,"&lt;&gt;",'Card Test Cases'!$F$4:$F$1000,"Failed"))</f>
        <v/>
      </c>
      <c r="R906" s="68" t="str">
        <f t="shared" si="14"/>
        <v/>
      </c>
      <c r="S906" s="68" t="str" cm="1">
        <f t="array" ref="S906">IF(TRIM($A906)="","",IFERROR(_xlfn.TEXTJOIN(", ",TRUE,_xlfn.UNIQUE(_xlfn.VSTACK(_xlfn._xlws.FILTER('Card Test Cases'!$G$4:$G$1000,('Card Test Cases'!$B$4:$B$1000=$A906)*('Card Test Cases'!$G$4:$G$1000&lt;&gt;""),""),_xlfn._xlws.FILTER('E2E core flow'!$U$15:$U$1000,('E2E core flow'!$A$15:$A$1000&lt;&gt;"")*ISNUMBER(SEARCH('E2E core flow'!$A$15:$A$1000,$E906))*('E2E core flow'!$U$15:$U$1000&lt;&gt;""),"")))),"-"))</f>
        <v/>
      </c>
    </row>
    <row r="907" spans="7:19" x14ac:dyDescent="0.3">
      <c r="G907" s="68" t="str" cm="1">
        <f t="array" ref="G907">_xlfn.LET(_xlpm.ids,'E2E core flow'!$A$15:$A$1000,_xlpm.v,'E2E core flow'!$W$15:$W$1000,_xlpm.m,(_xlpm.ids&lt;&gt;"")*ISNUMBER(SEARCH(_xlpm.ids,$E907)),_xlpm.f,SUM(_xlpm.m*(_xlpm.v="Failed")),_xlpm.b,SUM(_xlpm.m*(_xlpm.v="Blocked")),_xlpm.nr,SUM(_xlpm.m*(_xlpm.v="Not Run")),_xlpm.cp,SUM(_xlpm.m*(_xlpm.v="Conditionally Passed")),_xlpm.p,SUM(_xlpm.m*(_xlpm.v="Passed")),IF(TRIM($A907)="","",IF(TRIM($E907)="","Pending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07" s="68" t="str">
        <f>IF(TRIM($A907)="","",IF($J907="Passed","",IF($J907="Passed with Known Issue","Known Issue",IF($J907="",IF(OR($H907&lt;&gt;"No",AND($F907&lt;&gt;"Medium",$F907&lt;&gt;"Low")),"Pending Result",""),IF(OR($H907&lt;&gt;"No",AND($F907&lt;&gt;"Medium",$F907&lt;&gt;"Low")),IF(COUNTIFS(Dashboard!$B$105:$B$124,$A907,Dashboard!$I$105:$I$124,"CAB")&gt;0,"Accepted (CF)","Blocking"),IF($J907="Failed","Deferrable","Carry Over"))))))</f>
        <v/>
      </c>
      <c r="M907" s="68" t="str">
        <f>IF(OR(TRIM($A907)="",TRIM($E907)=""),"",IFERROR(INDEX('E2E core flow'!$B$15:$B$1000,MATCH(1,INDEX(('E2E core flow'!$A$15:$A$1000&lt;&gt;"")*ISNUMBER(SEARCH('E2E core flow'!$A$15:$A$1000,$E907)),0),0))&amp;"","-"))</f>
        <v/>
      </c>
      <c r="N907" s="68" t="str">
        <f>IF(TRIM($A907)="","",IF($O907=0,IF(COUNTIFS('Card Test Cases'!$B$4:$B$1000,$A907,'Card Test Cases'!$A$4:$A$1000,"&lt;&gt;")&gt;0,"Out of Scope","No TC"),IF($Q907&gt;0,"Failed",IF(COUNTIFS('Card Test Cases'!$B$4:$B$1000,$A907,'Card Test Cases'!$A$4:$A$1000,"&lt;&gt;",'Card Test Cases'!$F$4:$F$1000,"Blocked")&gt;0,"Blocked",IF($R907&gt;0,"In Progress","Passed")))))</f>
        <v/>
      </c>
      <c r="O907" s="68" t="str">
        <f>IF(TRIM($A907)="","",COUNTIFS('Card Test Cases'!$B$4:$B$1000,$A907,'Card Test Cases'!$A$4:$A$1000,"&lt;&gt;",'Card Test Cases'!$F$4:$F$1000,"&lt;&gt;Out of Scope"))</f>
        <v/>
      </c>
      <c r="P907" s="68" t="str">
        <f>IF(TRIM($A907)="","",COUNTIFS('Card Test Cases'!$B$4:$B$1000,$A907,'Card Test Cases'!$A$4:$A$1000,"&lt;&gt;",'Card Test Cases'!$F$4:$F$1000,"Passed"))</f>
        <v/>
      </c>
      <c r="Q907" s="68" t="str">
        <f>IF(TRIM($A907)="","",COUNTIFS('Card Test Cases'!$B$4:$B$1000,$A907,'Card Test Cases'!$A$4:$A$1000,"&lt;&gt;",'Card Test Cases'!$F$4:$F$1000,"Failed"))</f>
        <v/>
      </c>
      <c r="R907" s="68" t="str">
        <f t="shared" si="14"/>
        <v/>
      </c>
      <c r="S907" s="68" t="str" cm="1">
        <f t="array" ref="S907">IF(TRIM($A907)="","",IFERROR(_xlfn.TEXTJOIN(", ",TRUE,_xlfn.UNIQUE(_xlfn.VSTACK(_xlfn._xlws.FILTER('Card Test Cases'!$G$4:$G$1000,('Card Test Cases'!$B$4:$B$1000=$A907)*('Card Test Cases'!$G$4:$G$1000&lt;&gt;""),""),_xlfn._xlws.FILTER('E2E core flow'!$U$15:$U$1000,('E2E core flow'!$A$15:$A$1000&lt;&gt;"")*ISNUMBER(SEARCH('E2E core flow'!$A$15:$A$1000,$E907))*('E2E core flow'!$U$15:$U$1000&lt;&gt;""),"")))),"-"))</f>
        <v/>
      </c>
    </row>
    <row r="908" spans="7:19" x14ac:dyDescent="0.3">
      <c r="G908" s="68" t="str" cm="1">
        <f t="array" ref="G908">_xlfn.LET(_xlpm.ids,'E2E core flow'!$A$15:$A$1000,_xlpm.v,'E2E core flow'!$W$15:$W$1000,_xlpm.m,(_xlpm.ids&lt;&gt;"")*ISNUMBER(SEARCH(_xlpm.ids,$E908)),_xlpm.f,SUM(_xlpm.m*(_xlpm.v="Failed")),_xlpm.b,SUM(_xlpm.m*(_xlpm.v="Blocked")),_xlpm.nr,SUM(_xlpm.m*(_xlpm.v="Not Run")),_xlpm.cp,SUM(_xlpm.m*(_xlpm.v="Conditionally Passed")),_xlpm.p,SUM(_xlpm.m*(_xlpm.v="Passed")),IF(TRIM($A908)="","",IF(TRIM($E908)="","Pending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08" s="68" t="str">
        <f>IF(TRIM($A908)="","",IF($J908="Passed","",IF($J908="Passed with Known Issue","Known Issue",IF($J908="",IF(OR($H908&lt;&gt;"No",AND($F908&lt;&gt;"Medium",$F908&lt;&gt;"Low")),"Pending Result",""),IF(OR($H908&lt;&gt;"No",AND($F908&lt;&gt;"Medium",$F908&lt;&gt;"Low")),IF(COUNTIFS(Dashboard!$B$105:$B$124,$A908,Dashboard!$I$105:$I$124,"CAB")&gt;0,"Accepted (CF)","Blocking"),IF($J908="Failed","Deferrable","Carry Over"))))))</f>
        <v/>
      </c>
      <c r="M908" s="68" t="str">
        <f>IF(OR(TRIM($A908)="",TRIM($E908)=""),"",IFERROR(INDEX('E2E core flow'!$B$15:$B$1000,MATCH(1,INDEX(('E2E core flow'!$A$15:$A$1000&lt;&gt;"")*ISNUMBER(SEARCH('E2E core flow'!$A$15:$A$1000,$E908)),0),0))&amp;"","-"))</f>
        <v/>
      </c>
      <c r="N908" s="68" t="str">
        <f>IF(TRIM($A908)="","",IF($O908=0,IF(COUNTIFS('Card Test Cases'!$B$4:$B$1000,$A908,'Card Test Cases'!$A$4:$A$1000,"&lt;&gt;")&gt;0,"Out of Scope","No TC"),IF($Q908&gt;0,"Failed",IF(COUNTIFS('Card Test Cases'!$B$4:$B$1000,$A908,'Card Test Cases'!$A$4:$A$1000,"&lt;&gt;",'Card Test Cases'!$F$4:$F$1000,"Blocked")&gt;0,"Blocked",IF($R908&gt;0,"In Progress","Passed")))))</f>
        <v/>
      </c>
      <c r="O908" s="68" t="str">
        <f>IF(TRIM($A908)="","",COUNTIFS('Card Test Cases'!$B$4:$B$1000,$A908,'Card Test Cases'!$A$4:$A$1000,"&lt;&gt;",'Card Test Cases'!$F$4:$F$1000,"&lt;&gt;Out of Scope"))</f>
        <v/>
      </c>
      <c r="P908" s="68" t="str">
        <f>IF(TRIM($A908)="","",COUNTIFS('Card Test Cases'!$B$4:$B$1000,$A908,'Card Test Cases'!$A$4:$A$1000,"&lt;&gt;",'Card Test Cases'!$F$4:$F$1000,"Passed"))</f>
        <v/>
      </c>
      <c r="Q908" s="68" t="str">
        <f>IF(TRIM($A908)="","",COUNTIFS('Card Test Cases'!$B$4:$B$1000,$A908,'Card Test Cases'!$A$4:$A$1000,"&lt;&gt;",'Card Test Cases'!$F$4:$F$1000,"Failed"))</f>
        <v/>
      </c>
      <c r="R908" s="68" t="str">
        <f t="shared" si="14"/>
        <v/>
      </c>
      <c r="S908" s="68" t="str" cm="1">
        <f t="array" ref="S908">IF(TRIM($A908)="","",IFERROR(_xlfn.TEXTJOIN(", ",TRUE,_xlfn.UNIQUE(_xlfn.VSTACK(_xlfn._xlws.FILTER('Card Test Cases'!$G$4:$G$1000,('Card Test Cases'!$B$4:$B$1000=$A908)*('Card Test Cases'!$G$4:$G$1000&lt;&gt;""),""),_xlfn._xlws.FILTER('E2E core flow'!$U$15:$U$1000,('E2E core flow'!$A$15:$A$1000&lt;&gt;"")*ISNUMBER(SEARCH('E2E core flow'!$A$15:$A$1000,$E908))*('E2E core flow'!$U$15:$U$1000&lt;&gt;""),"")))),"-"))</f>
        <v/>
      </c>
    </row>
    <row r="909" spans="7:19" x14ac:dyDescent="0.3">
      <c r="G909" s="68" t="str" cm="1">
        <f t="array" ref="G909">_xlfn.LET(_xlpm.ids,'E2E core flow'!$A$15:$A$1000,_xlpm.v,'E2E core flow'!$W$15:$W$1000,_xlpm.m,(_xlpm.ids&lt;&gt;"")*ISNUMBER(SEARCH(_xlpm.ids,$E909)),_xlpm.f,SUM(_xlpm.m*(_xlpm.v="Failed")),_xlpm.b,SUM(_xlpm.m*(_xlpm.v="Blocked")),_xlpm.nr,SUM(_xlpm.m*(_xlpm.v="Not Run")),_xlpm.cp,SUM(_xlpm.m*(_xlpm.v="Conditionally Passed")),_xlpm.p,SUM(_xlpm.m*(_xlpm.v="Passed")),IF(TRIM($A909)="","",IF(TRIM($E909)="","Pending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09" s="68" t="str">
        <f>IF(TRIM($A909)="","",IF($J909="Passed","",IF($J909="Passed with Known Issue","Known Issue",IF($J909="",IF(OR($H909&lt;&gt;"No",AND($F909&lt;&gt;"Medium",$F909&lt;&gt;"Low")),"Pending Result",""),IF(OR($H909&lt;&gt;"No",AND($F909&lt;&gt;"Medium",$F909&lt;&gt;"Low")),IF(COUNTIFS(Dashboard!$B$105:$B$124,$A909,Dashboard!$I$105:$I$124,"CAB")&gt;0,"Accepted (CF)","Blocking"),IF($J909="Failed","Deferrable","Carry Over"))))))</f>
        <v/>
      </c>
      <c r="M909" s="68" t="str">
        <f>IF(OR(TRIM($A909)="",TRIM($E909)=""),"",IFERROR(INDEX('E2E core flow'!$B$15:$B$1000,MATCH(1,INDEX(('E2E core flow'!$A$15:$A$1000&lt;&gt;"")*ISNUMBER(SEARCH('E2E core flow'!$A$15:$A$1000,$E909)),0),0))&amp;"","-"))</f>
        <v/>
      </c>
      <c r="N909" s="68" t="str">
        <f>IF(TRIM($A909)="","",IF($O909=0,IF(COUNTIFS('Card Test Cases'!$B$4:$B$1000,$A909,'Card Test Cases'!$A$4:$A$1000,"&lt;&gt;")&gt;0,"Out of Scope","No TC"),IF($Q909&gt;0,"Failed",IF(COUNTIFS('Card Test Cases'!$B$4:$B$1000,$A909,'Card Test Cases'!$A$4:$A$1000,"&lt;&gt;",'Card Test Cases'!$F$4:$F$1000,"Blocked")&gt;0,"Blocked",IF($R909&gt;0,"In Progress","Passed")))))</f>
        <v/>
      </c>
      <c r="O909" s="68" t="str">
        <f>IF(TRIM($A909)="","",COUNTIFS('Card Test Cases'!$B$4:$B$1000,$A909,'Card Test Cases'!$A$4:$A$1000,"&lt;&gt;",'Card Test Cases'!$F$4:$F$1000,"&lt;&gt;Out of Scope"))</f>
        <v/>
      </c>
      <c r="P909" s="68" t="str">
        <f>IF(TRIM($A909)="","",COUNTIFS('Card Test Cases'!$B$4:$B$1000,$A909,'Card Test Cases'!$A$4:$A$1000,"&lt;&gt;",'Card Test Cases'!$F$4:$F$1000,"Passed"))</f>
        <v/>
      </c>
      <c r="Q909" s="68" t="str">
        <f>IF(TRIM($A909)="","",COUNTIFS('Card Test Cases'!$B$4:$B$1000,$A909,'Card Test Cases'!$A$4:$A$1000,"&lt;&gt;",'Card Test Cases'!$F$4:$F$1000,"Failed"))</f>
        <v/>
      </c>
      <c r="R909" s="68" t="str">
        <f t="shared" si="14"/>
        <v/>
      </c>
      <c r="S909" s="68" t="str" cm="1">
        <f t="array" ref="S909">IF(TRIM($A909)="","",IFERROR(_xlfn.TEXTJOIN(", ",TRUE,_xlfn.UNIQUE(_xlfn.VSTACK(_xlfn._xlws.FILTER('Card Test Cases'!$G$4:$G$1000,('Card Test Cases'!$B$4:$B$1000=$A909)*('Card Test Cases'!$G$4:$G$1000&lt;&gt;""),""),_xlfn._xlws.FILTER('E2E core flow'!$U$15:$U$1000,('E2E core flow'!$A$15:$A$1000&lt;&gt;"")*ISNUMBER(SEARCH('E2E core flow'!$A$15:$A$1000,$E909))*('E2E core flow'!$U$15:$U$1000&lt;&gt;""),"")))),"-"))</f>
        <v/>
      </c>
    </row>
    <row r="910" spans="7:19" x14ac:dyDescent="0.3">
      <c r="G910" s="68" t="str" cm="1">
        <f t="array" ref="G910">_xlfn.LET(_xlpm.ids,'E2E core flow'!$A$15:$A$1000,_xlpm.v,'E2E core flow'!$W$15:$W$1000,_xlpm.m,(_xlpm.ids&lt;&gt;"")*ISNUMBER(SEARCH(_xlpm.ids,$E910)),_xlpm.f,SUM(_xlpm.m*(_xlpm.v="Failed")),_xlpm.b,SUM(_xlpm.m*(_xlpm.v="Blocked")),_xlpm.nr,SUM(_xlpm.m*(_xlpm.v="Not Run")),_xlpm.cp,SUM(_xlpm.m*(_xlpm.v="Conditionally Passed")),_xlpm.p,SUM(_xlpm.m*(_xlpm.v="Passed")),IF(TRIM($A910)="","",IF(TRIM($E910)="","Pending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10" s="68" t="str">
        <f>IF(TRIM($A910)="","",IF($J910="Passed","",IF($J910="Passed with Known Issue","Known Issue",IF($J910="",IF(OR($H910&lt;&gt;"No",AND($F910&lt;&gt;"Medium",$F910&lt;&gt;"Low")),"Pending Result",""),IF(OR($H910&lt;&gt;"No",AND($F910&lt;&gt;"Medium",$F910&lt;&gt;"Low")),IF(COUNTIFS(Dashboard!$B$105:$B$124,$A910,Dashboard!$I$105:$I$124,"CAB")&gt;0,"Accepted (CF)","Blocking"),IF($J910="Failed","Deferrable","Carry Over"))))))</f>
        <v/>
      </c>
      <c r="M910" s="68" t="str">
        <f>IF(OR(TRIM($A910)="",TRIM($E910)=""),"",IFERROR(INDEX('E2E core flow'!$B$15:$B$1000,MATCH(1,INDEX(('E2E core flow'!$A$15:$A$1000&lt;&gt;"")*ISNUMBER(SEARCH('E2E core flow'!$A$15:$A$1000,$E910)),0),0))&amp;"","-"))</f>
        <v/>
      </c>
      <c r="N910" s="68" t="str">
        <f>IF(TRIM($A910)="","",IF($O910=0,IF(COUNTIFS('Card Test Cases'!$B$4:$B$1000,$A910,'Card Test Cases'!$A$4:$A$1000,"&lt;&gt;")&gt;0,"Out of Scope","No TC"),IF($Q910&gt;0,"Failed",IF(COUNTIFS('Card Test Cases'!$B$4:$B$1000,$A910,'Card Test Cases'!$A$4:$A$1000,"&lt;&gt;",'Card Test Cases'!$F$4:$F$1000,"Blocked")&gt;0,"Blocked",IF($R910&gt;0,"In Progress","Passed")))))</f>
        <v/>
      </c>
      <c r="O910" s="68" t="str">
        <f>IF(TRIM($A910)="","",COUNTIFS('Card Test Cases'!$B$4:$B$1000,$A910,'Card Test Cases'!$A$4:$A$1000,"&lt;&gt;",'Card Test Cases'!$F$4:$F$1000,"&lt;&gt;Out of Scope"))</f>
        <v/>
      </c>
      <c r="P910" s="68" t="str">
        <f>IF(TRIM($A910)="","",COUNTIFS('Card Test Cases'!$B$4:$B$1000,$A910,'Card Test Cases'!$A$4:$A$1000,"&lt;&gt;",'Card Test Cases'!$F$4:$F$1000,"Passed"))</f>
        <v/>
      </c>
      <c r="Q910" s="68" t="str">
        <f>IF(TRIM($A910)="","",COUNTIFS('Card Test Cases'!$B$4:$B$1000,$A910,'Card Test Cases'!$A$4:$A$1000,"&lt;&gt;",'Card Test Cases'!$F$4:$F$1000,"Failed"))</f>
        <v/>
      </c>
      <c r="R910" s="68" t="str">
        <f t="shared" si="14"/>
        <v/>
      </c>
      <c r="S910" s="68" t="str" cm="1">
        <f t="array" ref="S910">IF(TRIM($A910)="","",IFERROR(_xlfn.TEXTJOIN(", ",TRUE,_xlfn.UNIQUE(_xlfn.VSTACK(_xlfn._xlws.FILTER('Card Test Cases'!$G$4:$G$1000,('Card Test Cases'!$B$4:$B$1000=$A910)*('Card Test Cases'!$G$4:$G$1000&lt;&gt;""),""),_xlfn._xlws.FILTER('E2E core flow'!$U$15:$U$1000,('E2E core flow'!$A$15:$A$1000&lt;&gt;"")*ISNUMBER(SEARCH('E2E core flow'!$A$15:$A$1000,$E910))*('E2E core flow'!$U$15:$U$1000&lt;&gt;""),"")))),"-"))</f>
        <v/>
      </c>
    </row>
    <row r="911" spans="7:19" x14ac:dyDescent="0.3">
      <c r="G911" s="68" t="str" cm="1">
        <f t="array" ref="G911">_xlfn.LET(_xlpm.ids,'E2E core flow'!$A$15:$A$1000,_xlpm.v,'E2E core flow'!$W$15:$W$1000,_xlpm.m,(_xlpm.ids&lt;&gt;"")*ISNUMBER(SEARCH(_xlpm.ids,$E911)),_xlpm.f,SUM(_xlpm.m*(_xlpm.v="Failed")),_xlpm.b,SUM(_xlpm.m*(_xlpm.v="Blocked")),_xlpm.nr,SUM(_xlpm.m*(_xlpm.v="Not Run")),_xlpm.cp,SUM(_xlpm.m*(_xlpm.v="Conditionally Passed")),_xlpm.p,SUM(_xlpm.m*(_xlpm.v="Passed")),IF(TRIM($A911)="","",IF(TRIM($E911)="","Pending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11" s="68" t="str">
        <f>IF(TRIM($A911)="","",IF($J911="Passed","",IF($J911="Passed with Known Issue","Known Issue",IF($J911="",IF(OR($H911&lt;&gt;"No",AND($F911&lt;&gt;"Medium",$F911&lt;&gt;"Low")),"Pending Result",""),IF(OR($H911&lt;&gt;"No",AND($F911&lt;&gt;"Medium",$F911&lt;&gt;"Low")),IF(COUNTIFS(Dashboard!$B$105:$B$124,$A911,Dashboard!$I$105:$I$124,"CAB")&gt;0,"Accepted (CF)","Blocking"),IF($J911="Failed","Deferrable","Carry Over"))))))</f>
        <v/>
      </c>
      <c r="M911" s="68" t="str">
        <f>IF(OR(TRIM($A911)="",TRIM($E911)=""),"",IFERROR(INDEX('E2E core flow'!$B$15:$B$1000,MATCH(1,INDEX(('E2E core flow'!$A$15:$A$1000&lt;&gt;"")*ISNUMBER(SEARCH('E2E core flow'!$A$15:$A$1000,$E911)),0),0))&amp;"","-"))</f>
        <v/>
      </c>
      <c r="N911" s="68" t="str">
        <f>IF(TRIM($A911)="","",IF($O911=0,IF(COUNTIFS('Card Test Cases'!$B$4:$B$1000,$A911,'Card Test Cases'!$A$4:$A$1000,"&lt;&gt;")&gt;0,"Out of Scope","No TC"),IF($Q911&gt;0,"Failed",IF(COUNTIFS('Card Test Cases'!$B$4:$B$1000,$A911,'Card Test Cases'!$A$4:$A$1000,"&lt;&gt;",'Card Test Cases'!$F$4:$F$1000,"Blocked")&gt;0,"Blocked",IF($R911&gt;0,"In Progress","Passed")))))</f>
        <v/>
      </c>
      <c r="O911" s="68" t="str">
        <f>IF(TRIM($A911)="","",COUNTIFS('Card Test Cases'!$B$4:$B$1000,$A911,'Card Test Cases'!$A$4:$A$1000,"&lt;&gt;",'Card Test Cases'!$F$4:$F$1000,"&lt;&gt;Out of Scope"))</f>
        <v/>
      </c>
      <c r="P911" s="68" t="str">
        <f>IF(TRIM($A911)="","",COUNTIFS('Card Test Cases'!$B$4:$B$1000,$A911,'Card Test Cases'!$A$4:$A$1000,"&lt;&gt;",'Card Test Cases'!$F$4:$F$1000,"Passed"))</f>
        <v/>
      </c>
      <c r="Q911" s="68" t="str">
        <f>IF(TRIM($A911)="","",COUNTIFS('Card Test Cases'!$B$4:$B$1000,$A911,'Card Test Cases'!$A$4:$A$1000,"&lt;&gt;",'Card Test Cases'!$F$4:$F$1000,"Failed"))</f>
        <v/>
      </c>
      <c r="R911" s="68" t="str">
        <f t="shared" si="14"/>
        <v/>
      </c>
      <c r="S911" s="68" t="str" cm="1">
        <f t="array" ref="S911">IF(TRIM($A911)="","",IFERROR(_xlfn.TEXTJOIN(", ",TRUE,_xlfn.UNIQUE(_xlfn.VSTACK(_xlfn._xlws.FILTER('Card Test Cases'!$G$4:$G$1000,('Card Test Cases'!$B$4:$B$1000=$A911)*('Card Test Cases'!$G$4:$G$1000&lt;&gt;""),""),_xlfn._xlws.FILTER('E2E core flow'!$U$15:$U$1000,('E2E core flow'!$A$15:$A$1000&lt;&gt;"")*ISNUMBER(SEARCH('E2E core flow'!$A$15:$A$1000,$E911))*('E2E core flow'!$U$15:$U$1000&lt;&gt;""),"")))),"-"))</f>
        <v/>
      </c>
    </row>
    <row r="912" spans="7:19" x14ac:dyDescent="0.3">
      <c r="G912" s="68" t="str" cm="1">
        <f t="array" ref="G912">_xlfn.LET(_xlpm.ids,'E2E core flow'!$A$15:$A$1000,_xlpm.v,'E2E core flow'!$W$15:$W$1000,_xlpm.m,(_xlpm.ids&lt;&gt;"")*ISNUMBER(SEARCH(_xlpm.ids,$E912)),_xlpm.f,SUM(_xlpm.m*(_xlpm.v="Failed")),_xlpm.b,SUM(_xlpm.m*(_xlpm.v="Blocked")),_xlpm.nr,SUM(_xlpm.m*(_xlpm.v="Not Run")),_xlpm.cp,SUM(_xlpm.m*(_xlpm.v="Conditionally Passed")),_xlpm.p,SUM(_xlpm.m*(_xlpm.v="Passed")),IF(TRIM($A912)="","",IF(TRIM($E912)="","Pending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12" s="68" t="str">
        <f>IF(TRIM($A912)="","",IF($J912="Passed","",IF($J912="Passed with Known Issue","Known Issue",IF($J912="",IF(OR($H912&lt;&gt;"No",AND($F912&lt;&gt;"Medium",$F912&lt;&gt;"Low")),"Pending Result",""),IF(OR($H912&lt;&gt;"No",AND($F912&lt;&gt;"Medium",$F912&lt;&gt;"Low")),IF(COUNTIFS(Dashboard!$B$105:$B$124,$A912,Dashboard!$I$105:$I$124,"CAB")&gt;0,"Accepted (CF)","Blocking"),IF($J912="Failed","Deferrable","Carry Over"))))))</f>
        <v/>
      </c>
      <c r="M912" s="68" t="str">
        <f>IF(OR(TRIM($A912)="",TRIM($E912)=""),"",IFERROR(INDEX('E2E core flow'!$B$15:$B$1000,MATCH(1,INDEX(('E2E core flow'!$A$15:$A$1000&lt;&gt;"")*ISNUMBER(SEARCH('E2E core flow'!$A$15:$A$1000,$E912)),0),0))&amp;"","-"))</f>
        <v/>
      </c>
      <c r="N912" s="68" t="str">
        <f>IF(TRIM($A912)="","",IF($O912=0,IF(COUNTIFS('Card Test Cases'!$B$4:$B$1000,$A912,'Card Test Cases'!$A$4:$A$1000,"&lt;&gt;")&gt;0,"Out of Scope","No TC"),IF($Q912&gt;0,"Failed",IF(COUNTIFS('Card Test Cases'!$B$4:$B$1000,$A912,'Card Test Cases'!$A$4:$A$1000,"&lt;&gt;",'Card Test Cases'!$F$4:$F$1000,"Blocked")&gt;0,"Blocked",IF($R912&gt;0,"In Progress","Passed")))))</f>
        <v/>
      </c>
      <c r="O912" s="68" t="str">
        <f>IF(TRIM($A912)="","",COUNTIFS('Card Test Cases'!$B$4:$B$1000,$A912,'Card Test Cases'!$A$4:$A$1000,"&lt;&gt;",'Card Test Cases'!$F$4:$F$1000,"&lt;&gt;Out of Scope"))</f>
        <v/>
      </c>
      <c r="P912" s="68" t="str">
        <f>IF(TRIM($A912)="","",COUNTIFS('Card Test Cases'!$B$4:$B$1000,$A912,'Card Test Cases'!$A$4:$A$1000,"&lt;&gt;",'Card Test Cases'!$F$4:$F$1000,"Passed"))</f>
        <v/>
      </c>
      <c r="Q912" s="68" t="str">
        <f>IF(TRIM($A912)="","",COUNTIFS('Card Test Cases'!$B$4:$B$1000,$A912,'Card Test Cases'!$A$4:$A$1000,"&lt;&gt;",'Card Test Cases'!$F$4:$F$1000,"Failed"))</f>
        <v/>
      </c>
      <c r="R912" s="68" t="str">
        <f t="shared" si="14"/>
        <v/>
      </c>
      <c r="S912" s="68" t="str" cm="1">
        <f t="array" ref="S912">IF(TRIM($A912)="","",IFERROR(_xlfn.TEXTJOIN(", ",TRUE,_xlfn.UNIQUE(_xlfn.VSTACK(_xlfn._xlws.FILTER('Card Test Cases'!$G$4:$G$1000,('Card Test Cases'!$B$4:$B$1000=$A912)*('Card Test Cases'!$G$4:$G$1000&lt;&gt;""),""),_xlfn._xlws.FILTER('E2E core flow'!$U$15:$U$1000,('E2E core flow'!$A$15:$A$1000&lt;&gt;"")*ISNUMBER(SEARCH('E2E core flow'!$A$15:$A$1000,$E912))*('E2E core flow'!$U$15:$U$1000&lt;&gt;""),"")))),"-"))</f>
        <v/>
      </c>
    </row>
    <row r="913" spans="7:19" x14ac:dyDescent="0.3">
      <c r="G913" s="68" t="str" cm="1">
        <f t="array" ref="G913">_xlfn.LET(_xlpm.ids,'E2E core flow'!$A$15:$A$1000,_xlpm.v,'E2E core flow'!$W$15:$W$1000,_xlpm.m,(_xlpm.ids&lt;&gt;"")*ISNUMBER(SEARCH(_xlpm.ids,$E913)),_xlpm.f,SUM(_xlpm.m*(_xlpm.v="Failed")),_xlpm.b,SUM(_xlpm.m*(_xlpm.v="Blocked")),_xlpm.nr,SUM(_xlpm.m*(_xlpm.v="Not Run")),_xlpm.cp,SUM(_xlpm.m*(_xlpm.v="Conditionally Passed")),_xlpm.p,SUM(_xlpm.m*(_xlpm.v="Passed")),IF(TRIM($A913)="","",IF(TRIM($E913)="","Pending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13" s="68" t="str">
        <f>IF(TRIM($A913)="","",IF($J913="Passed","",IF($J913="Passed with Known Issue","Known Issue",IF($J913="",IF(OR($H913&lt;&gt;"No",AND($F913&lt;&gt;"Medium",$F913&lt;&gt;"Low")),"Pending Result",""),IF(OR($H913&lt;&gt;"No",AND($F913&lt;&gt;"Medium",$F913&lt;&gt;"Low")),IF(COUNTIFS(Dashboard!$B$105:$B$124,$A913,Dashboard!$I$105:$I$124,"CAB")&gt;0,"Accepted (CF)","Blocking"),IF($J913="Failed","Deferrable","Carry Over"))))))</f>
        <v/>
      </c>
      <c r="M913" s="68" t="str">
        <f>IF(OR(TRIM($A913)="",TRIM($E913)=""),"",IFERROR(INDEX('E2E core flow'!$B$15:$B$1000,MATCH(1,INDEX(('E2E core flow'!$A$15:$A$1000&lt;&gt;"")*ISNUMBER(SEARCH('E2E core flow'!$A$15:$A$1000,$E913)),0),0))&amp;"","-"))</f>
        <v/>
      </c>
      <c r="N913" s="68" t="str">
        <f>IF(TRIM($A913)="","",IF($O913=0,IF(COUNTIFS('Card Test Cases'!$B$4:$B$1000,$A913,'Card Test Cases'!$A$4:$A$1000,"&lt;&gt;")&gt;0,"Out of Scope","No TC"),IF($Q913&gt;0,"Failed",IF(COUNTIFS('Card Test Cases'!$B$4:$B$1000,$A913,'Card Test Cases'!$A$4:$A$1000,"&lt;&gt;",'Card Test Cases'!$F$4:$F$1000,"Blocked")&gt;0,"Blocked",IF($R913&gt;0,"In Progress","Passed")))))</f>
        <v/>
      </c>
      <c r="O913" s="68" t="str">
        <f>IF(TRIM($A913)="","",COUNTIFS('Card Test Cases'!$B$4:$B$1000,$A913,'Card Test Cases'!$A$4:$A$1000,"&lt;&gt;",'Card Test Cases'!$F$4:$F$1000,"&lt;&gt;Out of Scope"))</f>
        <v/>
      </c>
      <c r="P913" s="68" t="str">
        <f>IF(TRIM($A913)="","",COUNTIFS('Card Test Cases'!$B$4:$B$1000,$A913,'Card Test Cases'!$A$4:$A$1000,"&lt;&gt;",'Card Test Cases'!$F$4:$F$1000,"Passed"))</f>
        <v/>
      </c>
      <c r="Q913" s="68" t="str">
        <f>IF(TRIM($A913)="","",COUNTIFS('Card Test Cases'!$B$4:$B$1000,$A913,'Card Test Cases'!$A$4:$A$1000,"&lt;&gt;",'Card Test Cases'!$F$4:$F$1000,"Failed"))</f>
        <v/>
      </c>
      <c r="R913" s="68" t="str">
        <f t="shared" si="14"/>
        <v/>
      </c>
      <c r="S913" s="68" t="str" cm="1">
        <f t="array" ref="S913">IF(TRIM($A913)="","",IFERROR(_xlfn.TEXTJOIN(", ",TRUE,_xlfn.UNIQUE(_xlfn.VSTACK(_xlfn._xlws.FILTER('Card Test Cases'!$G$4:$G$1000,('Card Test Cases'!$B$4:$B$1000=$A913)*('Card Test Cases'!$G$4:$G$1000&lt;&gt;""),""),_xlfn._xlws.FILTER('E2E core flow'!$U$15:$U$1000,('E2E core flow'!$A$15:$A$1000&lt;&gt;"")*ISNUMBER(SEARCH('E2E core flow'!$A$15:$A$1000,$E913))*('E2E core flow'!$U$15:$U$1000&lt;&gt;""),"")))),"-"))</f>
        <v/>
      </c>
    </row>
    <row r="914" spans="7:19" x14ac:dyDescent="0.3">
      <c r="G914" s="68" t="str" cm="1">
        <f t="array" ref="G914">_xlfn.LET(_xlpm.ids,'E2E core flow'!$A$15:$A$1000,_xlpm.v,'E2E core flow'!$W$15:$W$1000,_xlpm.m,(_xlpm.ids&lt;&gt;"")*ISNUMBER(SEARCH(_xlpm.ids,$E914)),_xlpm.f,SUM(_xlpm.m*(_xlpm.v="Failed")),_xlpm.b,SUM(_xlpm.m*(_xlpm.v="Blocked")),_xlpm.nr,SUM(_xlpm.m*(_xlpm.v="Not Run")),_xlpm.cp,SUM(_xlpm.m*(_xlpm.v="Conditionally Passed")),_xlpm.p,SUM(_xlpm.m*(_xlpm.v="Passed")),IF(TRIM($A914)="","",IF(TRIM($E914)="","Pending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14" s="68" t="str">
        <f>IF(TRIM($A914)="","",IF($J914="Passed","",IF($J914="Passed with Known Issue","Known Issue",IF($J914="",IF(OR($H914&lt;&gt;"No",AND($F914&lt;&gt;"Medium",$F914&lt;&gt;"Low")),"Pending Result",""),IF(OR($H914&lt;&gt;"No",AND($F914&lt;&gt;"Medium",$F914&lt;&gt;"Low")),IF(COUNTIFS(Dashboard!$B$105:$B$124,$A914,Dashboard!$I$105:$I$124,"CAB")&gt;0,"Accepted (CF)","Blocking"),IF($J914="Failed","Deferrable","Carry Over"))))))</f>
        <v/>
      </c>
      <c r="M914" s="68" t="str">
        <f>IF(OR(TRIM($A914)="",TRIM($E914)=""),"",IFERROR(INDEX('E2E core flow'!$B$15:$B$1000,MATCH(1,INDEX(('E2E core flow'!$A$15:$A$1000&lt;&gt;"")*ISNUMBER(SEARCH('E2E core flow'!$A$15:$A$1000,$E914)),0),0))&amp;"","-"))</f>
        <v/>
      </c>
      <c r="N914" s="68" t="str">
        <f>IF(TRIM($A914)="","",IF($O914=0,IF(COUNTIFS('Card Test Cases'!$B$4:$B$1000,$A914,'Card Test Cases'!$A$4:$A$1000,"&lt;&gt;")&gt;0,"Out of Scope","No TC"),IF($Q914&gt;0,"Failed",IF(COUNTIFS('Card Test Cases'!$B$4:$B$1000,$A914,'Card Test Cases'!$A$4:$A$1000,"&lt;&gt;",'Card Test Cases'!$F$4:$F$1000,"Blocked")&gt;0,"Blocked",IF($R914&gt;0,"In Progress","Passed")))))</f>
        <v/>
      </c>
      <c r="O914" s="68" t="str">
        <f>IF(TRIM($A914)="","",COUNTIFS('Card Test Cases'!$B$4:$B$1000,$A914,'Card Test Cases'!$A$4:$A$1000,"&lt;&gt;",'Card Test Cases'!$F$4:$F$1000,"&lt;&gt;Out of Scope"))</f>
        <v/>
      </c>
      <c r="P914" s="68" t="str">
        <f>IF(TRIM($A914)="","",COUNTIFS('Card Test Cases'!$B$4:$B$1000,$A914,'Card Test Cases'!$A$4:$A$1000,"&lt;&gt;",'Card Test Cases'!$F$4:$F$1000,"Passed"))</f>
        <v/>
      </c>
      <c r="Q914" s="68" t="str">
        <f>IF(TRIM($A914)="","",COUNTIFS('Card Test Cases'!$B$4:$B$1000,$A914,'Card Test Cases'!$A$4:$A$1000,"&lt;&gt;",'Card Test Cases'!$F$4:$F$1000,"Failed"))</f>
        <v/>
      </c>
      <c r="R914" s="68" t="str">
        <f t="shared" si="14"/>
        <v/>
      </c>
      <c r="S914" s="68" t="str" cm="1">
        <f t="array" ref="S914">IF(TRIM($A914)="","",IFERROR(_xlfn.TEXTJOIN(", ",TRUE,_xlfn.UNIQUE(_xlfn.VSTACK(_xlfn._xlws.FILTER('Card Test Cases'!$G$4:$G$1000,('Card Test Cases'!$B$4:$B$1000=$A914)*('Card Test Cases'!$G$4:$G$1000&lt;&gt;""),""),_xlfn._xlws.FILTER('E2E core flow'!$U$15:$U$1000,('E2E core flow'!$A$15:$A$1000&lt;&gt;"")*ISNUMBER(SEARCH('E2E core flow'!$A$15:$A$1000,$E914))*('E2E core flow'!$U$15:$U$1000&lt;&gt;""),"")))),"-"))</f>
        <v/>
      </c>
    </row>
    <row r="915" spans="7:19" x14ac:dyDescent="0.3">
      <c r="G915" s="68" t="str" cm="1">
        <f t="array" ref="G915">_xlfn.LET(_xlpm.ids,'E2E core flow'!$A$15:$A$1000,_xlpm.v,'E2E core flow'!$W$15:$W$1000,_xlpm.m,(_xlpm.ids&lt;&gt;"")*ISNUMBER(SEARCH(_xlpm.ids,$E915)),_xlpm.f,SUM(_xlpm.m*(_xlpm.v="Failed")),_xlpm.b,SUM(_xlpm.m*(_xlpm.v="Blocked")),_xlpm.nr,SUM(_xlpm.m*(_xlpm.v="Not Run")),_xlpm.cp,SUM(_xlpm.m*(_xlpm.v="Conditionally Passed")),_xlpm.p,SUM(_xlpm.m*(_xlpm.v="Passed")),IF(TRIM($A915)="","",IF(TRIM($E915)="","Pending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15" s="68" t="str">
        <f>IF(TRIM($A915)="","",IF($J915="Passed","",IF($J915="Passed with Known Issue","Known Issue",IF($J915="",IF(OR($H915&lt;&gt;"No",AND($F915&lt;&gt;"Medium",$F915&lt;&gt;"Low")),"Pending Result",""),IF(OR($H915&lt;&gt;"No",AND($F915&lt;&gt;"Medium",$F915&lt;&gt;"Low")),IF(COUNTIFS(Dashboard!$B$105:$B$124,$A915,Dashboard!$I$105:$I$124,"CAB")&gt;0,"Accepted (CF)","Blocking"),IF($J915="Failed","Deferrable","Carry Over"))))))</f>
        <v/>
      </c>
      <c r="M915" s="68" t="str">
        <f>IF(OR(TRIM($A915)="",TRIM($E915)=""),"",IFERROR(INDEX('E2E core flow'!$B$15:$B$1000,MATCH(1,INDEX(('E2E core flow'!$A$15:$A$1000&lt;&gt;"")*ISNUMBER(SEARCH('E2E core flow'!$A$15:$A$1000,$E915)),0),0))&amp;"","-"))</f>
        <v/>
      </c>
      <c r="N915" s="68" t="str">
        <f>IF(TRIM($A915)="","",IF($O915=0,IF(COUNTIFS('Card Test Cases'!$B$4:$B$1000,$A915,'Card Test Cases'!$A$4:$A$1000,"&lt;&gt;")&gt;0,"Out of Scope","No TC"),IF($Q915&gt;0,"Failed",IF(COUNTIFS('Card Test Cases'!$B$4:$B$1000,$A915,'Card Test Cases'!$A$4:$A$1000,"&lt;&gt;",'Card Test Cases'!$F$4:$F$1000,"Blocked")&gt;0,"Blocked",IF($R915&gt;0,"In Progress","Passed")))))</f>
        <v/>
      </c>
      <c r="O915" s="68" t="str">
        <f>IF(TRIM($A915)="","",COUNTIFS('Card Test Cases'!$B$4:$B$1000,$A915,'Card Test Cases'!$A$4:$A$1000,"&lt;&gt;",'Card Test Cases'!$F$4:$F$1000,"&lt;&gt;Out of Scope"))</f>
        <v/>
      </c>
      <c r="P915" s="68" t="str">
        <f>IF(TRIM($A915)="","",COUNTIFS('Card Test Cases'!$B$4:$B$1000,$A915,'Card Test Cases'!$A$4:$A$1000,"&lt;&gt;",'Card Test Cases'!$F$4:$F$1000,"Passed"))</f>
        <v/>
      </c>
      <c r="Q915" s="68" t="str">
        <f>IF(TRIM($A915)="","",COUNTIFS('Card Test Cases'!$B$4:$B$1000,$A915,'Card Test Cases'!$A$4:$A$1000,"&lt;&gt;",'Card Test Cases'!$F$4:$F$1000,"Failed"))</f>
        <v/>
      </c>
      <c r="R915" s="68" t="str">
        <f t="shared" si="14"/>
        <v/>
      </c>
      <c r="S915" s="68" t="str" cm="1">
        <f t="array" ref="S915">IF(TRIM($A915)="","",IFERROR(_xlfn.TEXTJOIN(", ",TRUE,_xlfn.UNIQUE(_xlfn.VSTACK(_xlfn._xlws.FILTER('Card Test Cases'!$G$4:$G$1000,('Card Test Cases'!$B$4:$B$1000=$A915)*('Card Test Cases'!$G$4:$G$1000&lt;&gt;""),""),_xlfn._xlws.FILTER('E2E core flow'!$U$15:$U$1000,('E2E core flow'!$A$15:$A$1000&lt;&gt;"")*ISNUMBER(SEARCH('E2E core flow'!$A$15:$A$1000,$E915))*('E2E core flow'!$U$15:$U$1000&lt;&gt;""),"")))),"-"))</f>
        <v/>
      </c>
    </row>
    <row r="916" spans="7:19" x14ac:dyDescent="0.3">
      <c r="G916" s="68" t="str" cm="1">
        <f t="array" ref="G916">_xlfn.LET(_xlpm.ids,'E2E core flow'!$A$15:$A$1000,_xlpm.v,'E2E core flow'!$W$15:$W$1000,_xlpm.m,(_xlpm.ids&lt;&gt;"")*ISNUMBER(SEARCH(_xlpm.ids,$E916)),_xlpm.f,SUM(_xlpm.m*(_xlpm.v="Failed")),_xlpm.b,SUM(_xlpm.m*(_xlpm.v="Blocked")),_xlpm.nr,SUM(_xlpm.m*(_xlpm.v="Not Run")),_xlpm.cp,SUM(_xlpm.m*(_xlpm.v="Conditionally Passed")),_xlpm.p,SUM(_xlpm.m*(_xlpm.v="Passed")),IF(TRIM($A916)="","",IF(TRIM($E916)="","Pending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16" s="68" t="str">
        <f>IF(TRIM($A916)="","",IF($J916="Passed","",IF($J916="Passed with Known Issue","Known Issue",IF($J916="",IF(OR($H916&lt;&gt;"No",AND($F916&lt;&gt;"Medium",$F916&lt;&gt;"Low")),"Pending Result",""),IF(OR($H916&lt;&gt;"No",AND($F916&lt;&gt;"Medium",$F916&lt;&gt;"Low")),IF(COUNTIFS(Dashboard!$B$105:$B$124,$A916,Dashboard!$I$105:$I$124,"CAB")&gt;0,"Accepted (CF)","Blocking"),IF($J916="Failed","Deferrable","Carry Over"))))))</f>
        <v/>
      </c>
      <c r="M916" s="68" t="str">
        <f>IF(OR(TRIM($A916)="",TRIM($E916)=""),"",IFERROR(INDEX('E2E core flow'!$B$15:$B$1000,MATCH(1,INDEX(('E2E core flow'!$A$15:$A$1000&lt;&gt;"")*ISNUMBER(SEARCH('E2E core flow'!$A$15:$A$1000,$E916)),0),0))&amp;"","-"))</f>
        <v/>
      </c>
      <c r="N916" s="68" t="str">
        <f>IF(TRIM($A916)="","",IF($O916=0,IF(COUNTIFS('Card Test Cases'!$B$4:$B$1000,$A916,'Card Test Cases'!$A$4:$A$1000,"&lt;&gt;")&gt;0,"Out of Scope","No TC"),IF($Q916&gt;0,"Failed",IF(COUNTIFS('Card Test Cases'!$B$4:$B$1000,$A916,'Card Test Cases'!$A$4:$A$1000,"&lt;&gt;",'Card Test Cases'!$F$4:$F$1000,"Blocked")&gt;0,"Blocked",IF($R916&gt;0,"In Progress","Passed")))))</f>
        <v/>
      </c>
      <c r="O916" s="68" t="str">
        <f>IF(TRIM($A916)="","",COUNTIFS('Card Test Cases'!$B$4:$B$1000,$A916,'Card Test Cases'!$A$4:$A$1000,"&lt;&gt;",'Card Test Cases'!$F$4:$F$1000,"&lt;&gt;Out of Scope"))</f>
        <v/>
      </c>
      <c r="P916" s="68" t="str">
        <f>IF(TRIM($A916)="","",COUNTIFS('Card Test Cases'!$B$4:$B$1000,$A916,'Card Test Cases'!$A$4:$A$1000,"&lt;&gt;",'Card Test Cases'!$F$4:$F$1000,"Passed"))</f>
        <v/>
      </c>
      <c r="Q916" s="68" t="str">
        <f>IF(TRIM($A916)="","",COUNTIFS('Card Test Cases'!$B$4:$B$1000,$A916,'Card Test Cases'!$A$4:$A$1000,"&lt;&gt;",'Card Test Cases'!$F$4:$F$1000,"Failed"))</f>
        <v/>
      </c>
      <c r="R916" s="68" t="str">
        <f t="shared" si="14"/>
        <v/>
      </c>
      <c r="S916" s="68" t="str" cm="1">
        <f t="array" ref="S916">IF(TRIM($A916)="","",IFERROR(_xlfn.TEXTJOIN(", ",TRUE,_xlfn.UNIQUE(_xlfn.VSTACK(_xlfn._xlws.FILTER('Card Test Cases'!$G$4:$G$1000,('Card Test Cases'!$B$4:$B$1000=$A916)*('Card Test Cases'!$G$4:$G$1000&lt;&gt;""),""),_xlfn._xlws.FILTER('E2E core flow'!$U$15:$U$1000,('E2E core flow'!$A$15:$A$1000&lt;&gt;"")*ISNUMBER(SEARCH('E2E core flow'!$A$15:$A$1000,$E916))*('E2E core flow'!$U$15:$U$1000&lt;&gt;""),"")))),"-"))</f>
        <v/>
      </c>
    </row>
    <row r="917" spans="7:19" x14ac:dyDescent="0.3">
      <c r="G917" s="68" t="str" cm="1">
        <f t="array" ref="G917">_xlfn.LET(_xlpm.ids,'E2E core flow'!$A$15:$A$1000,_xlpm.v,'E2E core flow'!$W$15:$W$1000,_xlpm.m,(_xlpm.ids&lt;&gt;"")*ISNUMBER(SEARCH(_xlpm.ids,$E917)),_xlpm.f,SUM(_xlpm.m*(_xlpm.v="Failed")),_xlpm.b,SUM(_xlpm.m*(_xlpm.v="Blocked")),_xlpm.nr,SUM(_xlpm.m*(_xlpm.v="Not Run")),_xlpm.cp,SUM(_xlpm.m*(_xlpm.v="Conditionally Passed")),_xlpm.p,SUM(_xlpm.m*(_xlpm.v="Passed")),IF(TRIM($A917)="","",IF(TRIM($E917)="","Pending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17" s="68" t="str">
        <f>IF(TRIM($A917)="","",IF($J917="Passed","",IF($J917="Passed with Known Issue","Known Issue",IF($J917="",IF(OR($H917&lt;&gt;"No",AND($F917&lt;&gt;"Medium",$F917&lt;&gt;"Low")),"Pending Result",""),IF(OR($H917&lt;&gt;"No",AND($F917&lt;&gt;"Medium",$F917&lt;&gt;"Low")),IF(COUNTIFS(Dashboard!$B$105:$B$124,$A917,Dashboard!$I$105:$I$124,"CAB")&gt;0,"Accepted (CF)","Blocking"),IF($J917="Failed","Deferrable","Carry Over"))))))</f>
        <v/>
      </c>
      <c r="M917" s="68" t="str">
        <f>IF(OR(TRIM($A917)="",TRIM($E917)=""),"",IFERROR(INDEX('E2E core flow'!$B$15:$B$1000,MATCH(1,INDEX(('E2E core flow'!$A$15:$A$1000&lt;&gt;"")*ISNUMBER(SEARCH('E2E core flow'!$A$15:$A$1000,$E917)),0),0))&amp;"","-"))</f>
        <v/>
      </c>
      <c r="N917" s="68" t="str">
        <f>IF(TRIM($A917)="","",IF($O917=0,IF(COUNTIFS('Card Test Cases'!$B$4:$B$1000,$A917,'Card Test Cases'!$A$4:$A$1000,"&lt;&gt;")&gt;0,"Out of Scope","No TC"),IF($Q917&gt;0,"Failed",IF(COUNTIFS('Card Test Cases'!$B$4:$B$1000,$A917,'Card Test Cases'!$A$4:$A$1000,"&lt;&gt;",'Card Test Cases'!$F$4:$F$1000,"Blocked")&gt;0,"Blocked",IF($R917&gt;0,"In Progress","Passed")))))</f>
        <v/>
      </c>
      <c r="O917" s="68" t="str">
        <f>IF(TRIM($A917)="","",COUNTIFS('Card Test Cases'!$B$4:$B$1000,$A917,'Card Test Cases'!$A$4:$A$1000,"&lt;&gt;",'Card Test Cases'!$F$4:$F$1000,"&lt;&gt;Out of Scope"))</f>
        <v/>
      </c>
      <c r="P917" s="68" t="str">
        <f>IF(TRIM($A917)="","",COUNTIFS('Card Test Cases'!$B$4:$B$1000,$A917,'Card Test Cases'!$A$4:$A$1000,"&lt;&gt;",'Card Test Cases'!$F$4:$F$1000,"Passed"))</f>
        <v/>
      </c>
      <c r="Q917" s="68" t="str">
        <f>IF(TRIM($A917)="","",COUNTIFS('Card Test Cases'!$B$4:$B$1000,$A917,'Card Test Cases'!$A$4:$A$1000,"&lt;&gt;",'Card Test Cases'!$F$4:$F$1000,"Failed"))</f>
        <v/>
      </c>
      <c r="R917" s="68" t="str">
        <f t="shared" si="14"/>
        <v/>
      </c>
      <c r="S917" s="68" t="str" cm="1">
        <f t="array" ref="S917">IF(TRIM($A917)="","",IFERROR(_xlfn.TEXTJOIN(", ",TRUE,_xlfn.UNIQUE(_xlfn.VSTACK(_xlfn._xlws.FILTER('Card Test Cases'!$G$4:$G$1000,('Card Test Cases'!$B$4:$B$1000=$A917)*('Card Test Cases'!$G$4:$G$1000&lt;&gt;""),""),_xlfn._xlws.FILTER('E2E core flow'!$U$15:$U$1000,('E2E core flow'!$A$15:$A$1000&lt;&gt;"")*ISNUMBER(SEARCH('E2E core flow'!$A$15:$A$1000,$E917))*('E2E core flow'!$U$15:$U$1000&lt;&gt;""),"")))),"-"))</f>
        <v/>
      </c>
    </row>
    <row r="918" spans="7:19" x14ac:dyDescent="0.3">
      <c r="G918" s="68" t="str" cm="1">
        <f t="array" ref="G918">_xlfn.LET(_xlpm.ids,'E2E core flow'!$A$15:$A$1000,_xlpm.v,'E2E core flow'!$W$15:$W$1000,_xlpm.m,(_xlpm.ids&lt;&gt;"")*ISNUMBER(SEARCH(_xlpm.ids,$E918)),_xlpm.f,SUM(_xlpm.m*(_xlpm.v="Failed")),_xlpm.b,SUM(_xlpm.m*(_xlpm.v="Blocked")),_xlpm.nr,SUM(_xlpm.m*(_xlpm.v="Not Run")),_xlpm.cp,SUM(_xlpm.m*(_xlpm.v="Conditionally Passed")),_xlpm.p,SUM(_xlpm.m*(_xlpm.v="Passed")),IF(TRIM($A918)="","",IF(TRIM($E918)="","Pending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18" s="68" t="str">
        <f>IF(TRIM($A918)="","",IF($J918="Passed","",IF($J918="Passed with Known Issue","Known Issue",IF($J918="",IF(OR($H918&lt;&gt;"No",AND($F918&lt;&gt;"Medium",$F918&lt;&gt;"Low")),"Pending Result",""),IF(OR($H918&lt;&gt;"No",AND($F918&lt;&gt;"Medium",$F918&lt;&gt;"Low")),IF(COUNTIFS(Dashboard!$B$105:$B$124,$A918,Dashboard!$I$105:$I$124,"CAB")&gt;0,"Accepted (CF)","Blocking"),IF($J918="Failed","Deferrable","Carry Over"))))))</f>
        <v/>
      </c>
      <c r="M918" s="68" t="str">
        <f>IF(OR(TRIM($A918)="",TRIM($E918)=""),"",IFERROR(INDEX('E2E core flow'!$B$15:$B$1000,MATCH(1,INDEX(('E2E core flow'!$A$15:$A$1000&lt;&gt;"")*ISNUMBER(SEARCH('E2E core flow'!$A$15:$A$1000,$E918)),0),0))&amp;"","-"))</f>
        <v/>
      </c>
      <c r="N918" s="68" t="str">
        <f>IF(TRIM($A918)="","",IF($O918=0,IF(COUNTIFS('Card Test Cases'!$B$4:$B$1000,$A918,'Card Test Cases'!$A$4:$A$1000,"&lt;&gt;")&gt;0,"Out of Scope","No TC"),IF($Q918&gt;0,"Failed",IF(COUNTIFS('Card Test Cases'!$B$4:$B$1000,$A918,'Card Test Cases'!$A$4:$A$1000,"&lt;&gt;",'Card Test Cases'!$F$4:$F$1000,"Blocked")&gt;0,"Blocked",IF($R918&gt;0,"In Progress","Passed")))))</f>
        <v/>
      </c>
      <c r="O918" s="68" t="str">
        <f>IF(TRIM($A918)="","",COUNTIFS('Card Test Cases'!$B$4:$B$1000,$A918,'Card Test Cases'!$A$4:$A$1000,"&lt;&gt;",'Card Test Cases'!$F$4:$F$1000,"&lt;&gt;Out of Scope"))</f>
        <v/>
      </c>
      <c r="P918" s="68" t="str">
        <f>IF(TRIM($A918)="","",COUNTIFS('Card Test Cases'!$B$4:$B$1000,$A918,'Card Test Cases'!$A$4:$A$1000,"&lt;&gt;",'Card Test Cases'!$F$4:$F$1000,"Passed"))</f>
        <v/>
      </c>
      <c r="Q918" s="68" t="str">
        <f>IF(TRIM($A918)="","",COUNTIFS('Card Test Cases'!$B$4:$B$1000,$A918,'Card Test Cases'!$A$4:$A$1000,"&lt;&gt;",'Card Test Cases'!$F$4:$F$1000,"Failed"))</f>
        <v/>
      </c>
      <c r="R918" s="68" t="str">
        <f t="shared" si="14"/>
        <v/>
      </c>
      <c r="S918" s="68" t="str" cm="1">
        <f t="array" ref="S918">IF(TRIM($A918)="","",IFERROR(_xlfn.TEXTJOIN(", ",TRUE,_xlfn.UNIQUE(_xlfn.VSTACK(_xlfn._xlws.FILTER('Card Test Cases'!$G$4:$G$1000,('Card Test Cases'!$B$4:$B$1000=$A918)*('Card Test Cases'!$G$4:$G$1000&lt;&gt;""),""),_xlfn._xlws.FILTER('E2E core flow'!$U$15:$U$1000,('E2E core flow'!$A$15:$A$1000&lt;&gt;"")*ISNUMBER(SEARCH('E2E core flow'!$A$15:$A$1000,$E918))*('E2E core flow'!$U$15:$U$1000&lt;&gt;""),"")))),"-"))</f>
        <v/>
      </c>
    </row>
    <row r="919" spans="7:19" x14ac:dyDescent="0.3">
      <c r="G919" s="68" t="str" cm="1">
        <f t="array" ref="G919">_xlfn.LET(_xlpm.ids,'E2E core flow'!$A$15:$A$1000,_xlpm.v,'E2E core flow'!$W$15:$W$1000,_xlpm.m,(_xlpm.ids&lt;&gt;"")*ISNUMBER(SEARCH(_xlpm.ids,$E919)),_xlpm.f,SUM(_xlpm.m*(_xlpm.v="Failed")),_xlpm.b,SUM(_xlpm.m*(_xlpm.v="Blocked")),_xlpm.nr,SUM(_xlpm.m*(_xlpm.v="Not Run")),_xlpm.cp,SUM(_xlpm.m*(_xlpm.v="Conditionally Passed")),_xlpm.p,SUM(_xlpm.m*(_xlpm.v="Passed")),IF(TRIM($A919)="","",IF(TRIM($E919)="","Pending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19" s="68" t="str">
        <f>IF(TRIM($A919)="","",IF($J919="Passed","",IF($J919="Passed with Known Issue","Known Issue",IF($J919="",IF(OR($H919&lt;&gt;"No",AND($F919&lt;&gt;"Medium",$F919&lt;&gt;"Low")),"Pending Result",""),IF(OR($H919&lt;&gt;"No",AND($F919&lt;&gt;"Medium",$F919&lt;&gt;"Low")),IF(COUNTIFS(Dashboard!$B$105:$B$124,$A919,Dashboard!$I$105:$I$124,"CAB")&gt;0,"Accepted (CF)","Blocking"),IF($J919="Failed","Deferrable","Carry Over"))))))</f>
        <v/>
      </c>
      <c r="M919" s="68" t="str">
        <f>IF(OR(TRIM($A919)="",TRIM($E919)=""),"",IFERROR(INDEX('E2E core flow'!$B$15:$B$1000,MATCH(1,INDEX(('E2E core flow'!$A$15:$A$1000&lt;&gt;"")*ISNUMBER(SEARCH('E2E core flow'!$A$15:$A$1000,$E919)),0),0))&amp;"","-"))</f>
        <v/>
      </c>
      <c r="N919" s="68" t="str">
        <f>IF(TRIM($A919)="","",IF($O919=0,IF(COUNTIFS('Card Test Cases'!$B$4:$B$1000,$A919,'Card Test Cases'!$A$4:$A$1000,"&lt;&gt;")&gt;0,"Out of Scope","No TC"),IF($Q919&gt;0,"Failed",IF(COUNTIFS('Card Test Cases'!$B$4:$B$1000,$A919,'Card Test Cases'!$A$4:$A$1000,"&lt;&gt;",'Card Test Cases'!$F$4:$F$1000,"Blocked")&gt;0,"Blocked",IF($R919&gt;0,"In Progress","Passed")))))</f>
        <v/>
      </c>
      <c r="O919" s="68" t="str">
        <f>IF(TRIM($A919)="","",COUNTIFS('Card Test Cases'!$B$4:$B$1000,$A919,'Card Test Cases'!$A$4:$A$1000,"&lt;&gt;",'Card Test Cases'!$F$4:$F$1000,"&lt;&gt;Out of Scope"))</f>
        <v/>
      </c>
      <c r="P919" s="68" t="str">
        <f>IF(TRIM($A919)="","",COUNTIFS('Card Test Cases'!$B$4:$B$1000,$A919,'Card Test Cases'!$A$4:$A$1000,"&lt;&gt;",'Card Test Cases'!$F$4:$F$1000,"Passed"))</f>
        <v/>
      </c>
      <c r="Q919" s="68" t="str">
        <f>IF(TRIM($A919)="","",COUNTIFS('Card Test Cases'!$B$4:$B$1000,$A919,'Card Test Cases'!$A$4:$A$1000,"&lt;&gt;",'Card Test Cases'!$F$4:$F$1000,"Failed"))</f>
        <v/>
      </c>
      <c r="R919" s="68" t="str">
        <f t="shared" si="14"/>
        <v/>
      </c>
      <c r="S919" s="68" t="str" cm="1">
        <f t="array" ref="S919">IF(TRIM($A919)="","",IFERROR(_xlfn.TEXTJOIN(", ",TRUE,_xlfn.UNIQUE(_xlfn.VSTACK(_xlfn._xlws.FILTER('Card Test Cases'!$G$4:$G$1000,('Card Test Cases'!$B$4:$B$1000=$A919)*('Card Test Cases'!$G$4:$G$1000&lt;&gt;""),""),_xlfn._xlws.FILTER('E2E core flow'!$U$15:$U$1000,('E2E core flow'!$A$15:$A$1000&lt;&gt;"")*ISNUMBER(SEARCH('E2E core flow'!$A$15:$A$1000,$E919))*('E2E core flow'!$U$15:$U$1000&lt;&gt;""),"")))),"-"))</f>
        <v/>
      </c>
    </row>
    <row r="920" spans="7:19" x14ac:dyDescent="0.3">
      <c r="G920" s="68" t="str" cm="1">
        <f t="array" ref="G920">_xlfn.LET(_xlpm.ids,'E2E core flow'!$A$15:$A$1000,_xlpm.v,'E2E core flow'!$W$15:$W$1000,_xlpm.m,(_xlpm.ids&lt;&gt;"")*ISNUMBER(SEARCH(_xlpm.ids,$E920)),_xlpm.f,SUM(_xlpm.m*(_xlpm.v="Failed")),_xlpm.b,SUM(_xlpm.m*(_xlpm.v="Blocked")),_xlpm.nr,SUM(_xlpm.m*(_xlpm.v="Not Run")),_xlpm.cp,SUM(_xlpm.m*(_xlpm.v="Conditionally Passed")),_xlpm.p,SUM(_xlpm.m*(_xlpm.v="Passed")),IF(TRIM($A920)="","",IF(TRIM($E920)="","Pending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20" s="68" t="str">
        <f>IF(TRIM($A920)="","",IF($J920="Passed","",IF($J920="Passed with Known Issue","Known Issue",IF($J920="",IF(OR($H920&lt;&gt;"No",AND($F920&lt;&gt;"Medium",$F920&lt;&gt;"Low")),"Pending Result",""),IF(OR($H920&lt;&gt;"No",AND($F920&lt;&gt;"Medium",$F920&lt;&gt;"Low")),IF(COUNTIFS(Dashboard!$B$105:$B$124,$A920,Dashboard!$I$105:$I$124,"CAB")&gt;0,"Accepted (CF)","Blocking"),IF($J920="Failed","Deferrable","Carry Over"))))))</f>
        <v/>
      </c>
      <c r="M920" s="68" t="str">
        <f>IF(OR(TRIM($A920)="",TRIM($E920)=""),"",IFERROR(INDEX('E2E core flow'!$B$15:$B$1000,MATCH(1,INDEX(('E2E core flow'!$A$15:$A$1000&lt;&gt;"")*ISNUMBER(SEARCH('E2E core flow'!$A$15:$A$1000,$E920)),0),0))&amp;"","-"))</f>
        <v/>
      </c>
      <c r="N920" s="68" t="str">
        <f>IF(TRIM($A920)="","",IF($O920=0,IF(COUNTIFS('Card Test Cases'!$B$4:$B$1000,$A920,'Card Test Cases'!$A$4:$A$1000,"&lt;&gt;")&gt;0,"Out of Scope","No TC"),IF($Q920&gt;0,"Failed",IF(COUNTIFS('Card Test Cases'!$B$4:$B$1000,$A920,'Card Test Cases'!$A$4:$A$1000,"&lt;&gt;",'Card Test Cases'!$F$4:$F$1000,"Blocked")&gt;0,"Blocked",IF($R920&gt;0,"In Progress","Passed")))))</f>
        <v/>
      </c>
      <c r="O920" s="68" t="str">
        <f>IF(TRIM($A920)="","",COUNTIFS('Card Test Cases'!$B$4:$B$1000,$A920,'Card Test Cases'!$A$4:$A$1000,"&lt;&gt;",'Card Test Cases'!$F$4:$F$1000,"&lt;&gt;Out of Scope"))</f>
        <v/>
      </c>
      <c r="P920" s="68" t="str">
        <f>IF(TRIM($A920)="","",COUNTIFS('Card Test Cases'!$B$4:$B$1000,$A920,'Card Test Cases'!$A$4:$A$1000,"&lt;&gt;",'Card Test Cases'!$F$4:$F$1000,"Passed"))</f>
        <v/>
      </c>
      <c r="Q920" s="68" t="str">
        <f>IF(TRIM($A920)="","",COUNTIFS('Card Test Cases'!$B$4:$B$1000,$A920,'Card Test Cases'!$A$4:$A$1000,"&lt;&gt;",'Card Test Cases'!$F$4:$F$1000,"Failed"))</f>
        <v/>
      </c>
      <c r="R920" s="68" t="str">
        <f t="shared" si="14"/>
        <v/>
      </c>
      <c r="S920" s="68" t="str" cm="1">
        <f t="array" ref="S920">IF(TRIM($A920)="","",IFERROR(_xlfn.TEXTJOIN(", ",TRUE,_xlfn.UNIQUE(_xlfn.VSTACK(_xlfn._xlws.FILTER('Card Test Cases'!$G$4:$G$1000,('Card Test Cases'!$B$4:$B$1000=$A920)*('Card Test Cases'!$G$4:$G$1000&lt;&gt;""),""),_xlfn._xlws.FILTER('E2E core flow'!$U$15:$U$1000,('E2E core flow'!$A$15:$A$1000&lt;&gt;"")*ISNUMBER(SEARCH('E2E core flow'!$A$15:$A$1000,$E920))*('E2E core flow'!$U$15:$U$1000&lt;&gt;""),"")))),"-"))</f>
        <v/>
      </c>
    </row>
    <row r="921" spans="7:19" x14ac:dyDescent="0.3">
      <c r="G921" s="68" t="str" cm="1">
        <f t="array" ref="G921">_xlfn.LET(_xlpm.ids,'E2E core flow'!$A$15:$A$1000,_xlpm.v,'E2E core flow'!$W$15:$W$1000,_xlpm.m,(_xlpm.ids&lt;&gt;"")*ISNUMBER(SEARCH(_xlpm.ids,$E921)),_xlpm.f,SUM(_xlpm.m*(_xlpm.v="Failed")),_xlpm.b,SUM(_xlpm.m*(_xlpm.v="Blocked")),_xlpm.nr,SUM(_xlpm.m*(_xlpm.v="Not Run")),_xlpm.cp,SUM(_xlpm.m*(_xlpm.v="Conditionally Passed")),_xlpm.p,SUM(_xlpm.m*(_xlpm.v="Passed")),IF(TRIM($A921)="","",IF(TRIM($E921)="","Pending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21" s="68" t="str">
        <f>IF(TRIM($A921)="","",IF($J921="Passed","",IF($J921="Passed with Known Issue","Known Issue",IF($J921="",IF(OR($H921&lt;&gt;"No",AND($F921&lt;&gt;"Medium",$F921&lt;&gt;"Low")),"Pending Result",""),IF(OR($H921&lt;&gt;"No",AND($F921&lt;&gt;"Medium",$F921&lt;&gt;"Low")),IF(COUNTIFS(Dashboard!$B$105:$B$124,$A921,Dashboard!$I$105:$I$124,"CAB")&gt;0,"Accepted (CF)","Blocking"),IF($J921="Failed","Deferrable","Carry Over"))))))</f>
        <v/>
      </c>
      <c r="M921" s="68" t="str">
        <f>IF(OR(TRIM($A921)="",TRIM($E921)=""),"",IFERROR(INDEX('E2E core flow'!$B$15:$B$1000,MATCH(1,INDEX(('E2E core flow'!$A$15:$A$1000&lt;&gt;"")*ISNUMBER(SEARCH('E2E core flow'!$A$15:$A$1000,$E921)),0),0))&amp;"","-"))</f>
        <v/>
      </c>
      <c r="N921" s="68" t="str">
        <f>IF(TRIM($A921)="","",IF($O921=0,IF(COUNTIFS('Card Test Cases'!$B$4:$B$1000,$A921,'Card Test Cases'!$A$4:$A$1000,"&lt;&gt;")&gt;0,"Out of Scope","No TC"),IF($Q921&gt;0,"Failed",IF(COUNTIFS('Card Test Cases'!$B$4:$B$1000,$A921,'Card Test Cases'!$A$4:$A$1000,"&lt;&gt;",'Card Test Cases'!$F$4:$F$1000,"Blocked")&gt;0,"Blocked",IF($R921&gt;0,"In Progress","Passed")))))</f>
        <v/>
      </c>
      <c r="O921" s="68" t="str">
        <f>IF(TRIM($A921)="","",COUNTIFS('Card Test Cases'!$B$4:$B$1000,$A921,'Card Test Cases'!$A$4:$A$1000,"&lt;&gt;",'Card Test Cases'!$F$4:$F$1000,"&lt;&gt;Out of Scope"))</f>
        <v/>
      </c>
      <c r="P921" s="68" t="str">
        <f>IF(TRIM($A921)="","",COUNTIFS('Card Test Cases'!$B$4:$B$1000,$A921,'Card Test Cases'!$A$4:$A$1000,"&lt;&gt;",'Card Test Cases'!$F$4:$F$1000,"Passed"))</f>
        <v/>
      </c>
      <c r="Q921" s="68" t="str">
        <f>IF(TRIM($A921)="","",COUNTIFS('Card Test Cases'!$B$4:$B$1000,$A921,'Card Test Cases'!$A$4:$A$1000,"&lt;&gt;",'Card Test Cases'!$F$4:$F$1000,"Failed"))</f>
        <v/>
      </c>
      <c r="R921" s="68" t="str">
        <f t="shared" si="14"/>
        <v/>
      </c>
      <c r="S921" s="68" t="str" cm="1">
        <f t="array" ref="S921">IF(TRIM($A921)="","",IFERROR(_xlfn.TEXTJOIN(", ",TRUE,_xlfn.UNIQUE(_xlfn.VSTACK(_xlfn._xlws.FILTER('Card Test Cases'!$G$4:$G$1000,('Card Test Cases'!$B$4:$B$1000=$A921)*('Card Test Cases'!$G$4:$G$1000&lt;&gt;""),""),_xlfn._xlws.FILTER('E2E core flow'!$U$15:$U$1000,('E2E core flow'!$A$15:$A$1000&lt;&gt;"")*ISNUMBER(SEARCH('E2E core flow'!$A$15:$A$1000,$E921))*('E2E core flow'!$U$15:$U$1000&lt;&gt;""),"")))),"-"))</f>
        <v/>
      </c>
    </row>
    <row r="922" spans="7:19" x14ac:dyDescent="0.3">
      <c r="G922" s="68" t="str" cm="1">
        <f t="array" ref="G922">_xlfn.LET(_xlpm.ids,'E2E core flow'!$A$15:$A$1000,_xlpm.v,'E2E core flow'!$W$15:$W$1000,_xlpm.m,(_xlpm.ids&lt;&gt;"")*ISNUMBER(SEARCH(_xlpm.ids,$E922)),_xlpm.f,SUM(_xlpm.m*(_xlpm.v="Failed")),_xlpm.b,SUM(_xlpm.m*(_xlpm.v="Blocked")),_xlpm.nr,SUM(_xlpm.m*(_xlpm.v="Not Run")),_xlpm.cp,SUM(_xlpm.m*(_xlpm.v="Conditionally Passed")),_xlpm.p,SUM(_xlpm.m*(_xlpm.v="Passed")),IF(TRIM($A922)="","",IF(TRIM($E922)="","Pending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22" s="68" t="str">
        <f>IF(TRIM($A922)="","",IF($J922="Passed","",IF($J922="Passed with Known Issue","Known Issue",IF($J922="",IF(OR($H922&lt;&gt;"No",AND($F922&lt;&gt;"Medium",$F922&lt;&gt;"Low")),"Pending Result",""),IF(OR($H922&lt;&gt;"No",AND($F922&lt;&gt;"Medium",$F922&lt;&gt;"Low")),IF(COUNTIFS(Dashboard!$B$105:$B$124,$A922,Dashboard!$I$105:$I$124,"CAB")&gt;0,"Accepted (CF)","Blocking"),IF($J922="Failed","Deferrable","Carry Over"))))))</f>
        <v/>
      </c>
      <c r="M922" s="68" t="str">
        <f>IF(OR(TRIM($A922)="",TRIM($E922)=""),"",IFERROR(INDEX('E2E core flow'!$B$15:$B$1000,MATCH(1,INDEX(('E2E core flow'!$A$15:$A$1000&lt;&gt;"")*ISNUMBER(SEARCH('E2E core flow'!$A$15:$A$1000,$E922)),0),0))&amp;"","-"))</f>
        <v/>
      </c>
      <c r="N922" s="68" t="str">
        <f>IF(TRIM($A922)="","",IF($O922=0,IF(COUNTIFS('Card Test Cases'!$B$4:$B$1000,$A922,'Card Test Cases'!$A$4:$A$1000,"&lt;&gt;")&gt;0,"Out of Scope","No TC"),IF($Q922&gt;0,"Failed",IF(COUNTIFS('Card Test Cases'!$B$4:$B$1000,$A922,'Card Test Cases'!$A$4:$A$1000,"&lt;&gt;",'Card Test Cases'!$F$4:$F$1000,"Blocked")&gt;0,"Blocked",IF($R922&gt;0,"In Progress","Passed")))))</f>
        <v/>
      </c>
      <c r="O922" s="68" t="str">
        <f>IF(TRIM($A922)="","",COUNTIFS('Card Test Cases'!$B$4:$B$1000,$A922,'Card Test Cases'!$A$4:$A$1000,"&lt;&gt;",'Card Test Cases'!$F$4:$F$1000,"&lt;&gt;Out of Scope"))</f>
        <v/>
      </c>
      <c r="P922" s="68" t="str">
        <f>IF(TRIM($A922)="","",COUNTIFS('Card Test Cases'!$B$4:$B$1000,$A922,'Card Test Cases'!$A$4:$A$1000,"&lt;&gt;",'Card Test Cases'!$F$4:$F$1000,"Passed"))</f>
        <v/>
      </c>
      <c r="Q922" s="68" t="str">
        <f>IF(TRIM($A922)="","",COUNTIFS('Card Test Cases'!$B$4:$B$1000,$A922,'Card Test Cases'!$A$4:$A$1000,"&lt;&gt;",'Card Test Cases'!$F$4:$F$1000,"Failed"))</f>
        <v/>
      </c>
      <c r="R922" s="68" t="str">
        <f t="shared" si="14"/>
        <v/>
      </c>
      <c r="S922" s="68" t="str" cm="1">
        <f t="array" ref="S922">IF(TRIM($A922)="","",IFERROR(_xlfn.TEXTJOIN(", ",TRUE,_xlfn.UNIQUE(_xlfn.VSTACK(_xlfn._xlws.FILTER('Card Test Cases'!$G$4:$G$1000,('Card Test Cases'!$B$4:$B$1000=$A922)*('Card Test Cases'!$G$4:$G$1000&lt;&gt;""),""),_xlfn._xlws.FILTER('E2E core flow'!$U$15:$U$1000,('E2E core flow'!$A$15:$A$1000&lt;&gt;"")*ISNUMBER(SEARCH('E2E core flow'!$A$15:$A$1000,$E922))*('E2E core flow'!$U$15:$U$1000&lt;&gt;""),"")))),"-"))</f>
        <v/>
      </c>
    </row>
    <row r="923" spans="7:19" x14ac:dyDescent="0.3">
      <c r="G923" s="68" t="str" cm="1">
        <f t="array" ref="G923">_xlfn.LET(_xlpm.ids,'E2E core flow'!$A$15:$A$1000,_xlpm.v,'E2E core flow'!$W$15:$W$1000,_xlpm.m,(_xlpm.ids&lt;&gt;"")*ISNUMBER(SEARCH(_xlpm.ids,$E923)),_xlpm.f,SUM(_xlpm.m*(_xlpm.v="Failed")),_xlpm.b,SUM(_xlpm.m*(_xlpm.v="Blocked")),_xlpm.nr,SUM(_xlpm.m*(_xlpm.v="Not Run")),_xlpm.cp,SUM(_xlpm.m*(_xlpm.v="Conditionally Passed")),_xlpm.p,SUM(_xlpm.m*(_xlpm.v="Passed")),IF(TRIM($A923)="","",IF(TRIM($E923)="","Pending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23" s="68" t="str">
        <f>IF(TRIM($A923)="","",IF($J923="Passed","",IF($J923="Passed with Known Issue","Known Issue",IF($J923="",IF(OR($H923&lt;&gt;"No",AND($F923&lt;&gt;"Medium",$F923&lt;&gt;"Low")),"Pending Result",""),IF(OR($H923&lt;&gt;"No",AND($F923&lt;&gt;"Medium",$F923&lt;&gt;"Low")),IF(COUNTIFS(Dashboard!$B$105:$B$124,$A923,Dashboard!$I$105:$I$124,"CAB")&gt;0,"Accepted (CF)","Blocking"),IF($J923="Failed","Deferrable","Carry Over"))))))</f>
        <v/>
      </c>
      <c r="M923" s="68" t="str">
        <f>IF(OR(TRIM($A923)="",TRIM($E923)=""),"",IFERROR(INDEX('E2E core flow'!$B$15:$B$1000,MATCH(1,INDEX(('E2E core flow'!$A$15:$A$1000&lt;&gt;"")*ISNUMBER(SEARCH('E2E core flow'!$A$15:$A$1000,$E923)),0),0))&amp;"","-"))</f>
        <v/>
      </c>
      <c r="N923" s="68" t="str">
        <f>IF(TRIM($A923)="","",IF($O923=0,IF(COUNTIFS('Card Test Cases'!$B$4:$B$1000,$A923,'Card Test Cases'!$A$4:$A$1000,"&lt;&gt;")&gt;0,"Out of Scope","No TC"),IF($Q923&gt;0,"Failed",IF(COUNTIFS('Card Test Cases'!$B$4:$B$1000,$A923,'Card Test Cases'!$A$4:$A$1000,"&lt;&gt;",'Card Test Cases'!$F$4:$F$1000,"Blocked")&gt;0,"Blocked",IF($R923&gt;0,"In Progress","Passed")))))</f>
        <v/>
      </c>
      <c r="O923" s="68" t="str">
        <f>IF(TRIM($A923)="","",COUNTIFS('Card Test Cases'!$B$4:$B$1000,$A923,'Card Test Cases'!$A$4:$A$1000,"&lt;&gt;",'Card Test Cases'!$F$4:$F$1000,"&lt;&gt;Out of Scope"))</f>
        <v/>
      </c>
      <c r="P923" s="68" t="str">
        <f>IF(TRIM($A923)="","",COUNTIFS('Card Test Cases'!$B$4:$B$1000,$A923,'Card Test Cases'!$A$4:$A$1000,"&lt;&gt;",'Card Test Cases'!$F$4:$F$1000,"Passed"))</f>
        <v/>
      </c>
      <c r="Q923" s="68" t="str">
        <f>IF(TRIM($A923)="","",COUNTIFS('Card Test Cases'!$B$4:$B$1000,$A923,'Card Test Cases'!$A$4:$A$1000,"&lt;&gt;",'Card Test Cases'!$F$4:$F$1000,"Failed"))</f>
        <v/>
      </c>
      <c r="R923" s="68" t="str">
        <f t="shared" si="14"/>
        <v/>
      </c>
      <c r="S923" s="68" t="str" cm="1">
        <f t="array" ref="S923">IF(TRIM($A923)="","",IFERROR(_xlfn.TEXTJOIN(", ",TRUE,_xlfn.UNIQUE(_xlfn.VSTACK(_xlfn._xlws.FILTER('Card Test Cases'!$G$4:$G$1000,('Card Test Cases'!$B$4:$B$1000=$A923)*('Card Test Cases'!$G$4:$G$1000&lt;&gt;""),""),_xlfn._xlws.FILTER('E2E core flow'!$U$15:$U$1000,('E2E core flow'!$A$15:$A$1000&lt;&gt;"")*ISNUMBER(SEARCH('E2E core flow'!$A$15:$A$1000,$E923))*('E2E core flow'!$U$15:$U$1000&lt;&gt;""),"")))),"-"))</f>
        <v/>
      </c>
    </row>
    <row r="924" spans="7:19" x14ac:dyDescent="0.3">
      <c r="G924" s="68" t="str" cm="1">
        <f t="array" ref="G924">_xlfn.LET(_xlpm.ids,'E2E core flow'!$A$15:$A$1000,_xlpm.v,'E2E core flow'!$W$15:$W$1000,_xlpm.m,(_xlpm.ids&lt;&gt;"")*ISNUMBER(SEARCH(_xlpm.ids,$E924)),_xlpm.f,SUM(_xlpm.m*(_xlpm.v="Failed")),_xlpm.b,SUM(_xlpm.m*(_xlpm.v="Blocked")),_xlpm.nr,SUM(_xlpm.m*(_xlpm.v="Not Run")),_xlpm.cp,SUM(_xlpm.m*(_xlpm.v="Conditionally Passed")),_xlpm.p,SUM(_xlpm.m*(_xlpm.v="Passed")),IF(TRIM($A924)="","",IF(TRIM($E924)="","Pending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24" s="68" t="str">
        <f>IF(TRIM($A924)="","",IF($J924="Passed","",IF($J924="Passed with Known Issue","Known Issue",IF($J924="",IF(OR($H924&lt;&gt;"No",AND($F924&lt;&gt;"Medium",$F924&lt;&gt;"Low")),"Pending Result",""),IF(OR($H924&lt;&gt;"No",AND($F924&lt;&gt;"Medium",$F924&lt;&gt;"Low")),IF(COUNTIFS(Dashboard!$B$105:$B$124,$A924,Dashboard!$I$105:$I$124,"CAB")&gt;0,"Accepted (CF)","Blocking"),IF($J924="Failed","Deferrable","Carry Over"))))))</f>
        <v/>
      </c>
      <c r="M924" s="68" t="str">
        <f>IF(OR(TRIM($A924)="",TRIM($E924)=""),"",IFERROR(INDEX('E2E core flow'!$B$15:$B$1000,MATCH(1,INDEX(('E2E core flow'!$A$15:$A$1000&lt;&gt;"")*ISNUMBER(SEARCH('E2E core flow'!$A$15:$A$1000,$E924)),0),0))&amp;"","-"))</f>
        <v/>
      </c>
      <c r="N924" s="68" t="str">
        <f>IF(TRIM($A924)="","",IF($O924=0,IF(COUNTIFS('Card Test Cases'!$B$4:$B$1000,$A924,'Card Test Cases'!$A$4:$A$1000,"&lt;&gt;")&gt;0,"Out of Scope","No TC"),IF($Q924&gt;0,"Failed",IF(COUNTIFS('Card Test Cases'!$B$4:$B$1000,$A924,'Card Test Cases'!$A$4:$A$1000,"&lt;&gt;",'Card Test Cases'!$F$4:$F$1000,"Blocked")&gt;0,"Blocked",IF($R924&gt;0,"In Progress","Passed")))))</f>
        <v/>
      </c>
      <c r="O924" s="68" t="str">
        <f>IF(TRIM($A924)="","",COUNTIFS('Card Test Cases'!$B$4:$B$1000,$A924,'Card Test Cases'!$A$4:$A$1000,"&lt;&gt;",'Card Test Cases'!$F$4:$F$1000,"&lt;&gt;Out of Scope"))</f>
        <v/>
      </c>
      <c r="P924" s="68" t="str">
        <f>IF(TRIM($A924)="","",COUNTIFS('Card Test Cases'!$B$4:$B$1000,$A924,'Card Test Cases'!$A$4:$A$1000,"&lt;&gt;",'Card Test Cases'!$F$4:$F$1000,"Passed"))</f>
        <v/>
      </c>
      <c r="Q924" s="68" t="str">
        <f>IF(TRIM($A924)="","",COUNTIFS('Card Test Cases'!$B$4:$B$1000,$A924,'Card Test Cases'!$A$4:$A$1000,"&lt;&gt;",'Card Test Cases'!$F$4:$F$1000,"Failed"))</f>
        <v/>
      </c>
      <c r="R924" s="68" t="str">
        <f t="shared" si="14"/>
        <v/>
      </c>
      <c r="S924" s="68" t="str" cm="1">
        <f t="array" ref="S924">IF(TRIM($A924)="","",IFERROR(_xlfn.TEXTJOIN(", ",TRUE,_xlfn.UNIQUE(_xlfn.VSTACK(_xlfn._xlws.FILTER('Card Test Cases'!$G$4:$G$1000,('Card Test Cases'!$B$4:$B$1000=$A924)*('Card Test Cases'!$G$4:$G$1000&lt;&gt;""),""),_xlfn._xlws.FILTER('E2E core flow'!$U$15:$U$1000,('E2E core flow'!$A$15:$A$1000&lt;&gt;"")*ISNUMBER(SEARCH('E2E core flow'!$A$15:$A$1000,$E924))*('E2E core flow'!$U$15:$U$1000&lt;&gt;""),"")))),"-"))</f>
        <v/>
      </c>
    </row>
    <row r="925" spans="7:19" x14ac:dyDescent="0.3">
      <c r="G925" s="68" t="str" cm="1">
        <f t="array" ref="G925">_xlfn.LET(_xlpm.ids,'E2E core flow'!$A$15:$A$1000,_xlpm.v,'E2E core flow'!$W$15:$W$1000,_xlpm.m,(_xlpm.ids&lt;&gt;"")*ISNUMBER(SEARCH(_xlpm.ids,$E925)),_xlpm.f,SUM(_xlpm.m*(_xlpm.v="Failed")),_xlpm.b,SUM(_xlpm.m*(_xlpm.v="Blocked")),_xlpm.nr,SUM(_xlpm.m*(_xlpm.v="Not Run")),_xlpm.cp,SUM(_xlpm.m*(_xlpm.v="Conditionally Passed")),_xlpm.p,SUM(_xlpm.m*(_xlpm.v="Passed")),IF(TRIM($A925)="","",IF(TRIM($E925)="","Pending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25" s="68" t="str">
        <f>IF(TRIM($A925)="","",IF($J925="Passed","",IF($J925="Passed with Known Issue","Known Issue",IF($J925="",IF(OR($H925&lt;&gt;"No",AND($F925&lt;&gt;"Medium",$F925&lt;&gt;"Low")),"Pending Result",""),IF(OR($H925&lt;&gt;"No",AND($F925&lt;&gt;"Medium",$F925&lt;&gt;"Low")),IF(COUNTIFS(Dashboard!$B$105:$B$124,$A925,Dashboard!$I$105:$I$124,"CAB")&gt;0,"Accepted (CF)","Blocking"),IF($J925="Failed","Deferrable","Carry Over"))))))</f>
        <v/>
      </c>
      <c r="M925" s="68" t="str">
        <f>IF(OR(TRIM($A925)="",TRIM($E925)=""),"",IFERROR(INDEX('E2E core flow'!$B$15:$B$1000,MATCH(1,INDEX(('E2E core flow'!$A$15:$A$1000&lt;&gt;"")*ISNUMBER(SEARCH('E2E core flow'!$A$15:$A$1000,$E925)),0),0))&amp;"","-"))</f>
        <v/>
      </c>
      <c r="N925" s="68" t="str">
        <f>IF(TRIM($A925)="","",IF($O925=0,IF(COUNTIFS('Card Test Cases'!$B$4:$B$1000,$A925,'Card Test Cases'!$A$4:$A$1000,"&lt;&gt;")&gt;0,"Out of Scope","No TC"),IF($Q925&gt;0,"Failed",IF(COUNTIFS('Card Test Cases'!$B$4:$B$1000,$A925,'Card Test Cases'!$A$4:$A$1000,"&lt;&gt;",'Card Test Cases'!$F$4:$F$1000,"Blocked")&gt;0,"Blocked",IF($R925&gt;0,"In Progress","Passed")))))</f>
        <v/>
      </c>
      <c r="O925" s="68" t="str">
        <f>IF(TRIM($A925)="","",COUNTIFS('Card Test Cases'!$B$4:$B$1000,$A925,'Card Test Cases'!$A$4:$A$1000,"&lt;&gt;",'Card Test Cases'!$F$4:$F$1000,"&lt;&gt;Out of Scope"))</f>
        <v/>
      </c>
      <c r="P925" s="68" t="str">
        <f>IF(TRIM($A925)="","",COUNTIFS('Card Test Cases'!$B$4:$B$1000,$A925,'Card Test Cases'!$A$4:$A$1000,"&lt;&gt;",'Card Test Cases'!$F$4:$F$1000,"Passed"))</f>
        <v/>
      </c>
      <c r="Q925" s="68" t="str">
        <f>IF(TRIM($A925)="","",COUNTIFS('Card Test Cases'!$B$4:$B$1000,$A925,'Card Test Cases'!$A$4:$A$1000,"&lt;&gt;",'Card Test Cases'!$F$4:$F$1000,"Failed"))</f>
        <v/>
      </c>
      <c r="R925" s="68" t="str">
        <f t="shared" si="14"/>
        <v/>
      </c>
      <c r="S925" s="68" t="str" cm="1">
        <f t="array" ref="S925">IF(TRIM($A925)="","",IFERROR(_xlfn.TEXTJOIN(", ",TRUE,_xlfn.UNIQUE(_xlfn.VSTACK(_xlfn._xlws.FILTER('Card Test Cases'!$G$4:$G$1000,('Card Test Cases'!$B$4:$B$1000=$A925)*('Card Test Cases'!$G$4:$G$1000&lt;&gt;""),""),_xlfn._xlws.FILTER('E2E core flow'!$U$15:$U$1000,('E2E core flow'!$A$15:$A$1000&lt;&gt;"")*ISNUMBER(SEARCH('E2E core flow'!$A$15:$A$1000,$E925))*('E2E core flow'!$U$15:$U$1000&lt;&gt;""),"")))),"-"))</f>
        <v/>
      </c>
    </row>
    <row r="926" spans="7:19" x14ac:dyDescent="0.3">
      <c r="G926" s="68" t="str" cm="1">
        <f t="array" ref="G926">_xlfn.LET(_xlpm.ids,'E2E core flow'!$A$15:$A$1000,_xlpm.v,'E2E core flow'!$W$15:$W$1000,_xlpm.m,(_xlpm.ids&lt;&gt;"")*ISNUMBER(SEARCH(_xlpm.ids,$E926)),_xlpm.f,SUM(_xlpm.m*(_xlpm.v="Failed")),_xlpm.b,SUM(_xlpm.m*(_xlpm.v="Blocked")),_xlpm.nr,SUM(_xlpm.m*(_xlpm.v="Not Run")),_xlpm.cp,SUM(_xlpm.m*(_xlpm.v="Conditionally Passed")),_xlpm.p,SUM(_xlpm.m*(_xlpm.v="Passed")),IF(TRIM($A926)="","",IF(TRIM($E926)="","Pending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26" s="68" t="str">
        <f>IF(TRIM($A926)="","",IF($J926="Passed","",IF($J926="Passed with Known Issue","Known Issue",IF($J926="",IF(OR($H926&lt;&gt;"No",AND($F926&lt;&gt;"Medium",$F926&lt;&gt;"Low")),"Pending Result",""),IF(OR($H926&lt;&gt;"No",AND($F926&lt;&gt;"Medium",$F926&lt;&gt;"Low")),IF(COUNTIFS(Dashboard!$B$105:$B$124,$A926,Dashboard!$I$105:$I$124,"CAB")&gt;0,"Accepted (CF)","Blocking"),IF($J926="Failed","Deferrable","Carry Over"))))))</f>
        <v/>
      </c>
      <c r="M926" s="68" t="str">
        <f>IF(OR(TRIM($A926)="",TRIM($E926)=""),"",IFERROR(INDEX('E2E core flow'!$B$15:$B$1000,MATCH(1,INDEX(('E2E core flow'!$A$15:$A$1000&lt;&gt;"")*ISNUMBER(SEARCH('E2E core flow'!$A$15:$A$1000,$E926)),0),0))&amp;"","-"))</f>
        <v/>
      </c>
      <c r="N926" s="68" t="str">
        <f>IF(TRIM($A926)="","",IF($O926=0,IF(COUNTIFS('Card Test Cases'!$B$4:$B$1000,$A926,'Card Test Cases'!$A$4:$A$1000,"&lt;&gt;")&gt;0,"Out of Scope","No TC"),IF($Q926&gt;0,"Failed",IF(COUNTIFS('Card Test Cases'!$B$4:$B$1000,$A926,'Card Test Cases'!$A$4:$A$1000,"&lt;&gt;",'Card Test Cases'!$F$4:$F$1000,"Blocked")&gt;0,"Blocked",IF($R926&gt;0,"In Progress","Passed")))))</f>
        <v/>
      </c>
      <c r="O926" s="68" t="str">
        <f>IF(TRIM($A926)="","",COUNTIFS('Card Test Cases'!$B$4:$B$1000,$A926,'Card Test Cases'!$A$4:$A$1000,"&lt;&gt;",'Card Test Cases'!$F$4:$F$1000,"&lt;&gt;Out of Scope"))</f>
        <v/>
      </c>
      <c r="P926" s="68" t="str">
        <f>IF(TRIM($A926)="","",COUNTIFS('Card Test Cases'!$B$4:$B$1000,$A926,'Card Test Cases'!$A$4:$A$1000,"&lt;&gt;",'Card Test Cases'!$F$4:$F$1000,"Passed"))</f>
        <v/>
      </c>
      <c r="Q926" s="68" t="str">
        <f>IF(TRIM($A926)="","",COUNTIFS('Card Test Cases'!$B$4:$B$1000,$A926,'Card Test Cases'!$A$4:$A$1000,"&lt;&gt;",'Card Test Cases'!$F$4:$F$1000,"Failed"))</f>
        <v/>
      </c>
      <c r="R926" s="68" t="str">
        <f t="shared" si="14"/>
        <v/>
      </c>
      <c r="S926" s="68" t="str" cm="1">
        <f t="array" ref="S926">IF(TRIM($A926)="","",IFERROR(_xlfn.TEXTJOIN(", ",TRUE,_xlfn.UNIQUE(_xlfn.VSTACK(_xlfn._xlws.FILTER('Card Test Cases'!$G$4:$G$1000,('Card Test Cases'!$B$4:$B$1000=$A926)*('Card Test Cases'!$G$4:$G$1000&lt;&gt;""),""),_xlfn._xlws.FILTER('E2E core flow'!$U$15:$U$1000,('E2E core flow'!$A$15:$A$1000&lt;&gt;"")*ISNUMBER(SEARCH('E2E core flow'!$A$15:$A$1000,$E926))*('E2E core flow'!$U$15:$U$1000&lt;&gt;""),"")))),"-"))</f>
        <v/>
      </c>
    </row>
    <row r="927" spans="7:19" x14ac:dyDescent="0.3">
      <c r="G927" s="68" t="str" cm="1">
        <f t="array" ref="G927">_xlfn.LET(_xlpm.ids,'E2E core flow'!$A$15:$A$1000,_xlpm.v,'E2E core flow'!$W$15:$W$1000,_xlpm.m,(_xlpm.ids&lt;&gt;"")*ISNUMBER(SEARCH(_xlpm.ids,$E927)),_xlpm.f,SUM(_xlpm.m*(_xlpm.v="Failed")),_xlpm.b,SUM(_xlpm.m*(_xlpm.v="Blocked")),_xlpm.nr,SUM(_xlpm.m*(_xlpm.v="Not Run")),_xlpm.cp,SUM(_xlpm.m*(_xlpm.v="Conditionally Passed")),_xlpm.p,SUM(_xlpm.m*(_xlpm.v="Passed")),IF(TRIM($A927)="","",IF(TRIM($E927)="","Pending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27" s="68" t="str">
        <f>IF(TRIM($A927)="","",IF($J927="Passed","",IF($J927="Passed with Known Issue","Known Issue",IF($J927="",IF(OR($H927&lt;&gt;"No",AND($F927&lt;&gt;"Medium",$F927&lt;&gt;"Low")),"Pending Result",""),IF(OR($H927&lt;&gt;"No",AND($F927&lt;&gt;"Medium",$F927&lt;&gt;"Low")),IF(COUNTIFS(Dashboard!$B$105:$B$124,$A927,Dashboard!$I$105:$I$124,"CAB")&gt;0,"Accepted (CF)","Blocking"),IF($J927="Failed","Deferrable","Carry Over"))))))</f>
        <v/>
      </c>
      <c r="M927" s="68" t="str">
        <f>IF(OR(TRIM($A927)="",TRIM($E927)=""),"",IFERROR(INDEX('E2E core flow'!$B$15:$B$1000,MATCH(1,INDEX(('E2E core flow'!$A$15:$A$1000&lt;&gt;"")*ISNUMBER(SEARCH('E2E core flow'!$A$15:$A$1000,$E927)),0),0))&amp;"","-"))</f>
        <v/>
      </c>
      <c r="N927" s="68" t="str">
        <f>IF(TRIM($A927)="","",IF($O927=0,IF(COUNTIFS('Card Test Cases'!$B$4:$B$1000,$A927,'Card Test Cases'!$A$4:$A$1000,"&lt;&gt;")&gt;0,"Out of Scope","No TC"),IF($Q927&gt;0,"Failed",IF(COUNTIFS('Card Test Cases'!$B$4:$B$1000,$A927,'Card Test Cases'!$A$4:$A$1000,"&lt;&gt;",'Card Test Cases'!$F$4:$F$1000,"Blocked")&gt;0,"Blocked",IF($R927&gt;0,"In Progress","Passed")))))</f>
        <v/>
      </c>
      <c r="O927" s="68" t="str">
        <f>IF(TRIM($A927)="","",COUNTIFS('Card Test Cases'!$B$4:$B$1000,$A927,'Card Test Cases'!$A$4:$A$1000,"&lt;&gt;",'Card Test Cases'!$F$4:$F$1000,"&lt;&gt;Out of Scope"))</f>
        <v/>
      </c>
      <c r="P927" s="68" t="str">
        <f>IF(TRIM($A927)="","",COUNTIFS('Card Test Cases'!$B$4:$B$1000,$A927,'Card Test Cases'!$A$4:$A$1000,"&lt;&gt;",'Card Test Cases'!$F$4:$F$1000,"Passed"))</f>
        <v/>
      </c>
      <c r="Q927" s="68" t="str">
        <f>IF(TRIM($A927)="","",COUNTIFS('Card Test Cases'!$B$4:$B$1000,$A927,'Card Test Cases'!$A$4:$A$1000,"&lt;&gt;",'Card Test Cases'!$F$4:$F$1000,"Failed"))</f>
        <v/>
      </c>
      <c r="R927" s="68" t="str">
        <f t="shared" si="14"/>
        <v/>
      </c>
      <c r="S927" s="68" t="str" cm="1">
        <f t="array" ref="S927">IF(TRIM($A927)="","",IFERROR(_xlfn.TEXTJOIN(", ",TRUE,_xlfn.UNIQUE(_xlfn.VSTACK(_xlfn._xlws.FILTER('Card Test Cases'!$G$4:$G$1000,('Card Test Cases'!$B$4:$B$1000=$A927)*('Card Test Cases'!$G$4:$G$1000&lt;&gt;""),""),_xlfn._xlws.FILTER('E2E core flow'!$U$15:$U$1000,('E2E core flow'!$A$15:$A$1000&lt;&gt;"")*ISNUMBER(SEARCH('E2E core flow'!$A$15:$A$1000,$E927))*('E2E core flow'!$U$15:$U$1000&lt;&gt;""),"")))),"-"))</f>
        <v/>
      </c>
    </row>
    <row r="928" spans="7:19" x14ac:dyDescent="0.3">
      <c r="G928" s="68" t="str" cm="1">
        <f t="array" ref="G928">_xlfn.LET(_xlpm.ids,'E2E core flow'!$A$15:$A$1000,_xlpm.v,'E2E core flow'!$W$15:$W$1000,_xlpm.m,(_xlpm.ids&lt;&gt;"")*ISNUMBER(SEARCH(_xlpm.ids,$E928)),_xlpm.f,SUM(_xlpm.m*(_xlpm.v="Failed")),_xlpm.b,SUM(_xlpm.m*(_xlpm.v="Blocked")),_xlpm.nr,SUM(_xlpm.m*(_xlpm.v="Not Run")),_xlpm.cp,SUM(_xlpm.m*(_xlpm.v="Conditionally Passed")),_xlpm.p,SUM(_xlpm.m*(_xlpm.v="Passed")),IF(TRIM($A928)="","",IF(TRIM($E928)="","Pending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28" s="68" t="str">
        <f>IF(TRIM($A928)="","",IF($J928="Passed","",IF($J928="Passed with Known Issue","Known Issue",IF($J928="",IF(OR($H928&lt;&gt;"No",AND($F928&lt;&gt;"Medium",$F928&lt;&gt;"Low")),"Pending Result",""),IF(OR($H928&lt;&gt;"No",AND($F928&lt;&gt;"Medium",$F928&lt;&gt;"Low")),IF(COUNTIFS(Dashboard!$B$105:$B$124,$A928,Dashboard!$I$105:$I$124,"CAB")&gt;0,"Accepted (CF)","Blocking"),IF($J928="Failed","Deferrable","Carry Over"))))))</f>
        <v/>
      </c>
      <c r="M928" s="68" t="str">
        <f>IF(OR(TRIM($A928)="",TRIM($E928)=""),"",IFERROR(INDEX('E2E core flow'!$B$15:$B$1000,MATCH(1,INDEX(('E2E core flow'!$A$15:$A$1000&lt;&gt;"")*ISNUMBER(SEARCH('E2E core flow'!$A$15:$A$1000,$E928)),0),0))&amp;"","-"))</f>
        <v/>
      </c>
      <c r="N928" s="68" t="str">
        <f>IF(TRIM($A928)="","",IF($O928=0,IF(COUNTIFS('Card Test Cases'!$B$4:$B$1000,$A928,'Card Test Cases'!$A$4:$A$1000,"&lt;&gt;")&gt;0,"Out of Scope","No TC"),IF($Q928&gt;0,"Failed",IF(COUNTIFS('Card Test Cases'!$B$4:$B$1000,$A928,'Card Test Cases'!$A$4:$A$1000,"&lt;&gt;",'Card Test Cases'!$F$4:$F$1000,"Blocked")&gt;0,"Blocked",IF($R928&gt;0,"In Progress","Passed")))))</f>
        <v/>
      </c>
      <c r="O928" s="68" t="str">
        <f>IF(TRIM($A928)="","",COUNTIFS('Card Test Cases'!$B$4:$B$1000,$A928,'Card Test Cases'!$A$4:$A$1000,"&lt;&gt;",'Card Test Cases'!$F$4:$F$1000,"&lt;&gt;Out of Scope"))</f>
        <v/>
      </c>
      <c r="P928" s="68" t="str">
        <f>IF(TRIM($A928)="","",COUNTIFS('Card Test Cases'!$B$4:$B$1000,$A928,'Card Test Cases'!$A$4:$A$1000,"&lt;&gt;",'Card Test Cases'!$F$4:$F$1000,"Passed"))</f>
        <v/>
      </c>
      <c r="Q928" s="68" t="str">
        <f>IF(TRIM($A928)="","",COUNTIFS('Card Test Cases'!$B$4:$B$1000,$A928,'Card Test Cases'!$A$4:$A$1000,"&lt;&gt;",'Card Test Cases'!$F$4:$F$1000,"Failed"))</f>
        <v/>
      </c>
      <c r="R928" s="68" t="str">
        <f t="shared" si="14"/>
        <v/>
      </c>
      <c r="S928" s="68" t="str" cm="1">
        <f t="array" ref="S928">IF(TRIM($A928)="","",IFERROR(_xlfn.TEXTJOIN(", ",TRUE,_xlfn.UNIQUE(_xlfn.VSTACK(_xlfn._xlws.FILTER('Card Test Cases'!$G$4:$G$1000,('Card Test Cases'!$B$4:$B$1000=$A928)*('Card Test Cases'!$G$4:$G$1000&lt;&gt;""),""),_xlfn._xlws.FILTER('E2E core flow'!$U$15:$U$1000,('E2E core flow'!$A$15:$A$1000&lt;&gt;"")*ISNUMBER(SEARCH('E2E core flow'!$A$15:$A$1000,$E928))*('E2E core flow'!$U$15:$U$1000&lt;&gt;""),"")))),"-"))</f>
        <v/>
      </c>
    </row>
    <row r="929" spans="7:19" x14ac:dyDescent="0.3">
      <c r="G929" s="68" t="str" cm="1">
        <f t="array" ref="G929">_xlfn.LET(_xlpm.ids,'E2E core flow'!$A$15:$A$1000,_xlpm.v,'E2E core flow'!$W$15:$W$1000,_xlpm.m,(_xlpm.ids&lt;&gt;"")*ISNUMBER(SEARCH(_xlpm.ids,$E929)),_xlpm.f,SUM(_xlpm.m*(_xlpm.v="Failed")),_xlpm.b,SUM(_xlpm.m*(_xlpm.v="Blocked")),_xlpm.nr,SUM(_xlpm.m*(_xlpm.v="Not Run")),_xlpm.cp,SUM(_xlpm.m*(_xlpm.v="Conditionally Passed")),_xlpm.p,SUM(_xlpm.m*(_xlpm.v="Passed")),IF(TRIM($A929)="","",IF(TRIM($E929)="","Pending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29" s="68" t="str">
        <f>IF(TRIM($A929)="","",IF($J929="Passed","",IF($J929="Passed with Known Issue","Known Issue",IF($J929="",IF(OR($H929&lt;&gt;"No",AND($F929&lt;&gt;"Medium",$F929&lt;&gt;"Low")),"Pending Result",""),IF(OR($H929&lt;&gt;"No",AND($F929&lt;&gt;"Medium",$F929&lt;&gt;"Low")),IF(COUNTIFS(Dashboard!$B$105:$B$124,$A929,Dashboard!$I$105:$I$124,"CAB")&gt;0,"Accepted (CF)","Blocking"),IF($J929="Failed","Deferrable","Carry Over"))))))</f>
        <v/>
      </c>
      <c r="M929" s="68" t="str">
        <f>IF(OR(TRIM($A929)="",TRIM($E929)=""),"",IFERROR(INDEX('E2E core flow'!$B$15:$B$1000,MATCH(1,INDEX(('E2E core flow'!$A$15:$A$1000&lt;&gt;"")*ISNUMBER(SEARCH('E2E core flow'!$A$15:$A$1000,$E929)),0),0))&amp;"","-"))</f>
        <v/>
      </c>
      <c r="N929" s="68" t="str">
        <f>IF(TRIM($A929)="","",IF($O929=0,IF(COUNTIFS('Card Test Cases'!$B$4:$B$1000,$A929,'Card Test Cases'!$A$4:$A$1000,"&lt;&gt;")&gt;0,"Out of Scope","No TC"),IF($Q929&gt;0,"Failed",IF(COUNTIFS('Card Test Cases'!$B$4:$B$1000,$A929,'Card Test Cases'!$A$4:$A$1000,"&lt;&gt;",'Card Test Cases'!$F$4:$F$1000,"Blocked")&gt;0,"Blocked",IF($R929&gt;0,"In Progress","Passed")))))</f>
        <v/>
      </c>
      <c r="O929" s="68" t="str">
        <f>IF(TRIM($A929)="","",COUNTIFS('Card Test Cases'!$B$4:$B$1000,$A929,'Card Test Cases'!$A$4:$A$1000,"&lt;&gt;",'Card Test Cases'!$F$4:$F$1000,"&lt;&gt;Out of Scope"))</f>
        <v/>
      </c>
      <c r="P929" s="68" t="str">
        <f>IF(TRIM($A929)="","",COUNTIFS('Card Test Cases'!$B$4:$B$1000,$A929,'Card Test Cases'!$A$4:$A$1000,"&lt;&gt;",'Card Test Cases'!$F$4:$F$1000,"Passed"))</f>
        <v/>
      </c>
      <c r="Q929" s="68" t="str">
        <f>IF(TRIM($A929)="","",COUNTIFS('Card Test Cases'!$B$4:$B$1000,$A929,'Card Test Cases'!$A$4:$A$1000,"&lt;&gt;",'Card Test Cases'!$F$4:$F$1000,"Failed"))</f>
        <v/>
      </c>
      <c r="R929" s="68" t="str">
        <f t="shared" si="14"/>
        <v/>
      </c>
      <c r="S929" s="68" t="str" cm="1">
        <f t="array" ref="S929">IF(TRIM($A929)="","",IFERROR(_xlfn.TEXTJOIN(", ",TRUE,_xlfn.UNIQUE(_xlfn.VSTACK(_xlfn._xlws.FILTER('Card Test Cases'!$G$4:$G$1000,('Card Test Cases'!$B$4:$B$1000=$A929)*('Card Test Cases'!$G$4:$G$1000&lt;&gt;""),""),_xlfn._xlws.FILTER('E2E core flow'!$U$15:$U$1000,('E2E core flow'!$A$15:$A$1000&lt;&gt;"")*ISNUMBER(SEARCH('E2E core flow'!$A$15:$A$1000,$E929))*('E2E core flow'!$U$15:$U$1000&lt;&gt;""),"")))),"-"))</f>
        <v/>
      </c>
    </row>
    <row r="930" spans="7:19" x14ac:dyDescent="0.3">
      <c r="G930" s="68" t="str" cm="1">
        <f t="array" ref="G930">_xlfn.LET(_xlpm.ids,'E2E core flow'!$A$15:$A$1000,_xlpm.v,'E2E core flow'!$W$15:$W$1000,_xlpm.m,(_xlpm.ids&lt;&gt;"")*ISNUMBER(SEARCH(_xlpm.ids,$E930)),_xlpm.f,SUM(_xlpm.m*(_xlpm.v="Failed")),_xlpm.b,SUM(_xlpm.m*(_xlpm.v="Blocked")),_xlpm.nr,SUM(_xlpm.m*(_xlpm.v="Not Run")),_xlpm.cp,SUM(_xlpm.m*(_xlpm.v="Conditionally Passed")),_xlpm.p,SUM(_xlpm.m*(_xlpm.v="Passed")),IF(TRIM($A930)="","",IF(TRIM($E930)="","Pending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30" s="68" t="str">
        <f>IF(TRIM($A930)="","",IF($J930="Passed","",IF($J930="Passed with Known Issue","Known Issue",IF($J930="",IF(OR($H930&lt;&gt;"No",AND($F930&lt;&gt;"Medium",$F930&lt;&gt;"Low")),"Pending Result",""),IF(OR($H930&lt;&gt;"No",AND($F930&lt;&gt;"Medium",$F930&lt;&gt;"Low")),IF(COUNTIFS(Dashboard!$B$105:$B$124,$A930,Dashboard!$I$105:$I$124,"CAB")&gt;0,"Accepted (CF)","Blocking"),IF($J930="Failed","Deferrable","Carry Over"))))))</f>
        <v/>
      </c>
      <c r="M930" s="68" t="str">
        <f>IF(OR(TRIM($A930)="",TRIM($E930)=""),"",IFERROR(INDEX('E2E core flow'!$B$15:$B$1000,MATCH(1,INDEX(('E2E core flow'!$A$15:$A$1000&lt;&gt;"")*ISNUMBER(SEARCH('E2E core flow'!$A$15:$A$1000,$E930)),0),0))&amp;"","-"))</f>
        <v/>
      </c>
      <c r="N930" s="68" t="str">
        <f>IF(TRIM($A930)="","",IF($O930=0,IF(COUNTIFS('Card Test Cases'!$B$4:$B$1000,$A930,'Card Test Cases'!$A$4:$A$1000,"&lt;&gt;")&gt;0,"Out of Scope","No TC"),IF($Q930&gt;0,"Failed",IF(COUNTIFS('Card Test Cases'!$B$4:$B$1000,$A930,'Card Test Cases'!$A$4:$A$1000,"&lt;&gt;",'Card Test Cases'!$F$4:$F$1000,"Blocked")&gt;0,"Blocked",IF($R930&gt;0,"In Progress","Passed")))))</f>
        <v/>
      </c>
      <c r="O930" s="68" t="str">
        <f>IF(TRIM($A930)="","",COUNTIFS('Card Test Cases'!$B$4:$B$1000,$A930,'Card Test Cases'!$A$4:$A$1000,"&lt;&gt;",'Card Test Cases'!$F$4:$F$1000,"&lt;&gt;Out of Scope"))</f>
        <v/>
      </c>
      <c r="P930" s="68" t="str">
        <f>IF(TRIM($A930)="","",COUNTIFS('Card Test Cases'!$B$4:$B$1000,$A930,'Card Test Cases'!$A$4:$A$1000,"&lt;&gt;",'Card Test Cases'!$F$4:$F$1000,"Passed"))</f>
        <v/>
      </c>
      <c r="Q930" s="68" t="str">
        <f>IF(TRIM($A930)="","",COUNTIFS('Card Test Cases'!$B$4:$B$1000,$A930,'Card Test Cases'!$A$4:$A$1000,"&lt;&gt;",'Card Test Cases'!$F$4:$F$1000,"Failed"))</f>
        <v/>
      </c>
      <c r="R930" s="68" t="str">
        <f t="shared" si="14"/>
        <v/>
      </c>
      <c r="S930" s="68" t="str" cm="1">
        <f t="array" ref="S930">IF(TRIM($A930)="","",IFERROR(_xlfn.TEXTJOIN(", ",TRUE,_xlfn.UNIQUE(_xlfn.VSTACK(_xlfn._xlws.FILTER('Card Test Cases'!$G$4:$G$1000,('Card Test Cases'!$B$4:$B$1000=$A930)*('Card Test Cases'!$G$4:$G$1000&lt;&gt;""),""),_xlfn._xlws.FILTER('E2E core flow'!$U$15:$U$1000,('E2E core flow'!$A$15:$A$1000&lt;&gt;"")*ISNUMBER(SEARCH('E2E core flow'!$A$15:$A$1000,$E930))*('E2E core flow'!$U$15:$U$1000&lt;&gt;""),"")))),"-"))</f>
        <v/>
      </c>
    </row>
    <row r="931" spans="7:19" x14ac:dyDescent="0.3">
      <c r="G931" s="68" t="str" cm="1">
        <f t="array" ref="G931">_xlfn.LET(_xlpm.ids,'E2E core flow'!$A$15:$A$1000,_xlpm.v,'E2E core flow'!$W$15:$W$1000,_xlpm.m,(_xlpm.ids&lt;&gt;"")*ISNUMBER(SEARCH(_xlpm.ids,$E931)),_xlpm.f,SUM(_xlpm.m*(_xlpm.v="Failed")),_xlpm.b,SUM(_xlpm.m*(_xlpm.v="Blocked")),_xlpm.nr,SUM(_xlpm.m*(_xlpm.v="Not Run")),_xlpm.cp,SUM(_xlpm.m*(_xlpm.v="Conditionally Passed")),_xlpm.p,SUM(_xlpm.m*(_xlpm.v="Passed")),IF(TRIM($A931)="","",IF(TRIM($E931)="","Pending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31" s="68" t="str">
        <f>IF(TRIM($A931)="","",IF($J931="Passed","",IF($J931="Passed with Known Issue","Known Issue",IF($J931="",IF(OR($H931&lt;&gt;"No",AND($F931&lt;&gt;"Medium",$F931&lt;&gt;"Low")),"Pending Result",""),IF(OR($H931&lt;&gt;"No",AND($F931&lt;&gt;"Medium",$F931&lt;&gt;"Low")),IF(COUNTIFS(Dashboard!$B$105:$B$124,$A931,Dashboard!$I$105:$I$124,"CAB")&gt;0,"Accepted (CF)","Blocking"),IF($J931="Failed","Deferrable","Carry Over"))))))</f>
        <v/>
      </c>
      <c r="M931" s="68" t="str">
        <f>IF(OR(TRIM($A931)="",TRIM($E931)=""),"",IFERROR(INDEX('E2E core flow'!$B$15:$B$1000,MATCH(1,INDEX(('E2E core flow'!$A$15:$A$1000&lt;&gt;"")*ISNUMBER(SEARCH('E2E core flow'!$A$15:$A$1000,$E931)),0),0))&amp;"","-"))</f>
        <v/>
      </c>
      <c r="N931" s="68" t="str">
        <f>IF(TRIM($A931)="","",IF($O931=0,IF(COUNTIFS('Card Test Cases'!$B$4:$B$1000,$A931,'Card Test Cases'!$A$4:$A$1000,"&lt;&gt;")&gt;0,"Out of Scope","No TC"),IF($Q931&gt;0,"Failed",IF(COUNTIFS('Card Test Cases'!$B$4:$B$1000,$A931,'Card Test Cases'!$A$4:$A$1000,"&lt;&gt;",'Card Test Cases'!$F$4:$F$1000,"Blocked")&gt;0,"Blocked",IF($R931&gt;0,"In Progress","Passed")))))</f>
        <v/>
      </c>
      <c r="O931" s="68" t="str">
        <f>IF(TRIM($A931)="","",COUNTIFS('Card Test Cases'!$B$4:$B$1000,$A931,'Card Test Cases'!$A$4:$A$1000,"&lt;&gt;",'Card Test Cases'!$F$4:$F$1000,"&lt;&gt;Out of Scope"))</f>
        <v/>
      </c>
      <c r="P931" s="68" t="str">
        <f>IF(TRIM($A931)="","",COUNTIFS('Card Test Cases'!$B$4:$B$1000,$A931,'Card Test Cases'!$A$4:$A$1000,"&lt;&gt;",'Card Test Cases'!$F$4:$F$1000,"Passed"))</f>
        <v/>
      </c>
      <c r="Q931" s="68" t="str">
        <f>IF(TRIM($A931)="","",COUNTIFS('Card Test Cases'!$B$4:$B$1000,$A931,'Card Test Cases'!$A$4:$A$1000,"&lt;&gt;",'Card Test Cases'!$F$4:$F$1000,"Failed"))</f>
        <v/>
      </c>
      <c r="R931" s="68" t="str">
        <f t="shared" si="14"/>
        <v/>
      </c>
      <c r="S931" s="68" t="str" cm="1">
        <f t="array" ref="S931">IF(TRIM($A931)="","",IFERROR(_xlfn.TEXTJOIN(", ",TRUE,_xlfn.UNIQUE(_xlfn.VSTACK(_xlfn._xlws.FILTER('Card Test Cases'!$G$4:$G$1000,('Card Test Cases'!$B$4:$B$1000=$A931)*('Card Test Cases'!$G$4:$G$1000&lt;&gt;""),""),_xlfn._xlws.FILTER('E2E core flow'!$U$15:$U$1000,('E2E core flow'!$A$15:$A$1000&lt;&gt;"")*ISNUMBER(SEARCH('E2E core flow'!$A$15:$A$1000,$E931))*('E2E core flow'!$U$15:$U$1000&lt;&gt;""),"")))),"-"))</f>
        <v/>
      </c>
    </row>
    <row r="932" spans="7:19" x14ac:dyDescent="0.3">
      <c r="G932" s="68" t="str" cm="1">
        <f t="array" ref="G932">_xlfn.LET(_xlpm.ids,'E2E core flow'!$A$15:$A$1000,_xlpm.v,'E2E core flow'!$W$15:$W$1000,_xlpm.m,(_xlpm.ids&lt;&gt;"")*ISNUMBER(SEARCH(_xlpm.ids,$E932)),_xlpm.f,SUM(_xlpm.m*(_xlpm.v="Failed")),_xlpm.b,SUM(_xlpm.m*(_xlpm.v="Blocked")),_xlpm.nr,SUM(_xlpm.m*(_xlpm.v="Not Run")),_xlpm.cp,SUM(_xlpm.m*(_xlpm.v="Conditionally Passed")),_xlpm.p,SUM(_xlpm.m*(_xlpm.v="Passed")),IF(TRIM($A932)="","",IF(TRIM($E932)="","Pending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32" s="68" t="str">
        <f>IF(TRIM($A932)="","",IF($J932="Passed","",IF($J932="Passed with Known Issue","Known Issue",IF($J932="",IF(OR($H932&lt;&gt;"No",AND($F932&lt;&gt;"Medium",$F932&lt;&gt;"Low")),"Pending Result",""),IF(OR($H932&lt;&gt;"No",AND($F932&lt;&gt;"Medium",$F932&lt;&gt;"Low")),IF(COUNTIFS(Dashboard!$B$105:$B$124,$A932,Dashboard!$I$105:$I$124,"CAB")&gt;0,"Accepted (CF)","Blocking"),IF($J932="Failed","Deferrable","Carry Over"))))))</f>
        <v/>
      </c>
      <c r="M932" s="68" t="str">
        <f>IF(OR(TRIM($A932)="",TRIM($E932)=""),"",IFERROR(INDEX('E2E core flow'!$B$15:$B$1000,MATCH(1,INDEX(('E2E core flow'!$A$15:$A$1000&lt;&gt;"")*ISNUMBER(SEARCH('E2E core flow'!$A$15:$A$1000,$E932)),0),0))&amp;"","-"))</f>
        <v/>
      </c>
      <c r="N932" s="68" t="str">
        <f>IF(TRIM($A932)="","",IF($O932=0,IF(COUNTIFS('Card Test Cases'!$B$4:$B$1000,$A932,'Card Test Cases'!$A$4:$A$1000,"&lt;&gt;")&gt;0,"Out of Scope","No TC"),IF($Q932&gt;0,"Failed",IF(COUNTIFS('Card Test Cases'!$B$4:$B$1000,$A932,'Card Test Cases'!$A$4:$A$1000,"&lt;&gt;",'Card Test Cases'!$F$4:$F$1000,"Blocked")&gt;0,"Blocked",IF($R932&gt;0,"In Progress","Passed")))))</f>
        <v/>
      </c>
      <c r="O932" s="68" t="str">
        <f>IF(TRIM($A932)="","",COUNTIFS('Card Test Cases'!$B$4:$B$1000,$A932,'Card Test Cases'!$A$4:$A$1000,"&lt;&gt;",'Card Test Cases'!$F$4:$F$1000,"&lt;&gt;Out of Scope"))</f>
        <v/>
      </c>
      <c r="P932" s="68" t="str">
        <f>IF(TRIM($A932)="","",COUNTIFS('Card Test Cases'!$B$4:$B$1000,$A932,'Card Test Cases'!$A$4:$A$1000,"&lt;&gt;",'Card Test Cases'!$F$4:$F$1000,"Passed"))</f>
        <v/>
      </c>
      <c r="Q932" s="68" t="str">
        <f>IF(TRIM($A932)="","",COUNTIFS('Card Test Cases'!$B$4:$B$1000,$A932,'Card Test Cases'!$A$4:$A$1000,"&lt;&gt;",'Card Test Cases'!$F$4:$F$1000,"Failed"))</f>
        <v/>
      </c>
      <c r="R932" s="68" t="str">
        <f t="shared" si="14"/>
        <v/>
      </c>
      <c r="S932" s="68" t="str" cm="1">
        <f t="array" ref="S932">IF(TRIM($A932)="","",IFERROR(_xlfn.TEXTJOIN(", ",TRUE,_xlfn.UNIQUE(_xlfn.VSTACK(_xlfn._xlws.FILTER('Card Test Cases'!$G$4:$G$1000,('Card Test Cases'!$B$4:$B$1000=$A932)*('Card Test Cases'!$G$4:$G$1000&lt;&gt;""),""),_xlfn._xlws.FILTER('E2E core flow'!$U$15:$U$1000,('E2E core flow'!$A$15:$A$1000&lt;&gt;"")*ISNUMBER(SEARCH('E2E core flow'!$A$15:$A$1000,$E932))*('E2E core flow'!$U$15:$U$1000&lt;&gt;""),"")))),"-"))</f>
        <v/>
      </c>
    </row>
    <row r="933" spans="7:19" x14ac:dyDescent="0.3">
      <c r="G933" s="68" t="str" cm="1">
        <f t="array" ref="G933">_xlfn.LET(_xlpm.ids,'E2E core flow'!$A$15:$A$1000,_xlpm.v,'E2E core flow'!$W$15:$W$1000,_xlpm.m,(_xlpm.ids&lt;&gt;"")*ISNUMBER(SEARCH(_xlpm.ids,$E933)),_xlpm.f,SUM(_xlpm.m*(_xlpm.v="Failed")),_xlpm.b,SUM(_xlpm.m*(_xlpm.v="Blocked")),_xlpm.nr,SUM(_xlpm.m*(_xlpm.v="Not Run")),_xlpm.cp,SUM(_xlpm.m*(_xlpm.v="Conditionally Passed")),_xlpm.p,SUM(_xlpm.m*(_xlpm.v="Passed")),IF(TRIM($A933)="","",IF(TRIM($E933)="","Pending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33" s="68" t="str">
        <f>IF(TRIM($A933)="","",IF($J933="Passed","",IF($J933="Passed with Known Issue","Known Issue",IF($J933="",IF(OR($H933&lt;&gt;"No",AND($F933&lt;&gt;"Medium",$F933&lt;&gt;"Low")),"Pending Result",""),IF(OR($H933&lt;&gt;"No",AND($F933&lt;&gt;"Medium",$F933&lt;&gt;"Low")),IF(COUNTIFS(Dashboard!$B$105:$B$124,$A933,Dashboard!$I$105:$I$124,"CAB")&gt;0,"Accepted (CF)","Blocking"),IF($J933="Failed","Deferrable","Carry Over"))))))</f>
        <v/>
      </c>
      <c r="M933" s="68" t="str">
        <f>IF(OR(TRIM($A933)="",TRIM($E933)=""),"",IFERROR(INDEX('E2E core flow'!$B$15:$B$1000,MATCH(1,INDEX(('E2E core flow'!$A$15:$A$1000&lt;&gt;"")*ISNUMBER(SEARCH('E2E core flow'!$A$15:$A$1000,$E933)),0),0))&amp;"","-"))</f>
        <v/>
      </c>
      <c r="N933" s="68" t="str">
        <f>IF(TRIM($A933)="","",IF($O933=0,IF(COUNTIFS('Card Test Cases'!$B$4:$B$1000,$A933,'Card Test Cases'!$A$4:$A$1000,"&lt;&gt;")&gt;0,"Out of Scope","No TC"),IF($Q933&gt;0,"Failed",IF(COUNTIFS('Card Test Cases'!$B$4:$B$1000,$A933,'Card Test Cases'!$A$4:$A$1000,"&lt;&gt;",'Card Test Cases'!$F$4:$F$1000,"Blocked")&gt;0,"Blocked",IF($R933&gt;0,"In Progress","Passed")))))</f>
        <v/>
      </c>
      <c r="O933" s="68" t="str">
        <f>IF(TRIM($A933)="","",COUNTIFS('Card Test Cases'!$B$4:$B$1000,$A933,'Card Test Cases'!$A$4:$A$1000,"&lt;&gt;",'Card Test Cases'!$F$4:$F$1000,"&lt;&gt;Out of Scope"))</f>
        <v/>
      </c>
      <c r="P933" s="68" t="str">
        <f>IF(TRIM($A933)="","",COUNTIFS('Card Test Cases'!$B$4:$B$1000,$A933,'Card Test Cases'!$A$4:$A$1000,"&lt;&gt;",'Card Test Cases'!$F$4:$F$1000,"Passed"))</f>
        <v/>
      </c>
      <c r="Q933" s="68" t="str">
        <f>IF(TRIM($A933)="","",COUNTIFS('Card Test Cases'!$B$4:$B$1000,$A933,'Card Test Cases'!$A$4:$A$1000,"&lt;&gt;",'Card Test Cases'!$F$4:$F$1000,"Failed"))</f>
        <v/>
      </c>
      <c r="R933" s="68" t="str">
        <f t="shared" si="14"/>
        <v/>
      </c>
      <c r="S933" s="68" t="str" cm="1">
        <f t="array" ref="S933">IF(TRIM($A933)="","",IFERROR(_xlfn.TEXTJOIN(", ",TRUE,_xlfn.UNIQUE(_xlfn.VSTACK(_xlfn._xlws.FILTER('Card Test Cases'!$G$4:$G$1000,('Card Test Cases'!$B$4:$B$1000=$A933)*('Card Test Cases'!$G$4:$G$1000&lt;&gt;""),""),_xlfn._xlws.FILTER('E2E core flow'!$U$15:$U$1000,('E2E core flow'!$A$15:$A$1000&lt;&gt;"")*ISNUMBER(SEARCH('E2E core flow'!$A$15:$A$1000,$E933))*('E2E core flow'!$U$15:$U$1000&lt;&gt;""),"")))),"-"))</f>
        <v/>
      </c>
    </row>
    <row r="934" spans="7:19" x14ac:dyDescent="0.3">
      <c r="G934" s="68" t="str" cm="1">
        <f t="array" ref="G934">_xlfn.LET(_xlpm.ids,'E2E core flow'!$A$15:$A$1000,_xlpm.v,'E2E core flow'!$W$15:$W$1000,_xlpm.m,(_xlpm.ids&lt;&gt;"")*ISNUMBER(SEARCH(_xlpm.ids,$E934)),_xlpm.f,SUM(_xlpm.m*(_xlpm.v="Failed")),_xlpm.b,SUM(_xlpm.m*(_xlpm.v="Blocked")),_xlpm.nr,SUM(_xlpm.m*(_xlpm.v="Not Run")),_xlpm.cp,SUM(_xlpm.m*(_xlpm.v="Conditionally Passed")),_xlpm.p,SUM(_xlpm.m*(_xlpm.v="Passed")),IF(TRIM($A934)="","",IF(TRIM($E934)="","Pending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34" s="68" t="str">
        <f>IF(TRIM($A934)="","",IF($J934="Passed","",IF($J934="Passed with Known Issue","Known Issue",IF($J934="",IF(OR($H934&lt;&gt;"No",AND($F934&lt;&gt;"Medium",$F934&lt;&gt;"Low")),"Pending Result",""),IF(OR($H934&lt;&gt;"No",AND($F934&lt;&gt;"Medium",$F934&lt;&gt;"Low")),IF(COUNTIFS(Dashboard!$B$105:$B$124,$A934,Dashboard!$I$105:$I$124,"CAB")&gt;0,"Accepted (CF)","Blocking"),IF($J934="Failed","Deferrable","Carry Over"))))))</f>
        <v/>
      </c>
      <c r="M934" s="68" t="str">
        <f>IF(OR(TRIM($A934)="",TRIM($E934)=""),"",IFERROR(INDEX('E2E core flow'!$B$15:$B$1000,MATCH(1,INDEX(('E2E core flow'!$A$15:$A$1000&lt;&gt;"")*ISNUMBER(SEARCH('E2E core flow'!$A$15:$A$1000,$E934)),0),0))&amp;"","-"))</f>
        <v/>
      </c>
      <c r="N934" s="68" t="str">
        <f>IF(TRIM($A934)="","",IF($O934=0,IF(COUNTIFS('Card Test Cases'!$B$4:$B$1000,$A934,'Card Test Cases'!$A$4:$A$1000,"&lt;&gt;")&gt;0,"Out of Scope","No TC"),IF($Q934&gt;0,"Failed",IF(COUNTIFS('Card Test Cases'!$B$4:$B$1000,$A934,'Card Test Cases'!$A$4:$A$1000,"&lt;&gt;",'Card Test Cases'!$F$4:$F$1000,"Blocked")&gt;0,"Blocked",IF($R934&gt;0,"In Progress","Passed")))))</f>
        <v/>
      </c>
      <c r="O934" s="68" t="str">
        <f>IF(TRIM($A934)="","",COUNTIFS('Card Test Cases'!$B$4:$B$1000,$A934,'Card Test Cases'!$A$4:$A$1000,"&lt;&gt;",'Card Test Cases'!$F$4:$F$1000,"&lt;&gt;Out of Scope"))</f>
        <v/>
      </c>
      <c r="P934" s="68" t="str">
        <f>IF(TRIM($A934)="","",COUNTIFS('Card Test Cases'!$B$4:$B$1000,$A934,'Card Test Cases'!$A$4:$A$1000,"&lt;&gt;",'Card Test Cases'!$F$4:$F$1000,"Passed"))</f>
        <v/>
      </c>
      <c r="Q934" s="68" t="str">
        <f>IF(TRIM($A934)="","",COUNTIFS('Card Test Cases'!$B$4:$B$1000,$A934,'Card Test Cases'!$A$4:$A$1000,"&lt;&gt;",'Card Test Cases'!$F$4:$F$1000,"Failed"))</f>
        <v/>
      </c>
      <c r="R934" s="68" t="str">
        <f t="shared" si="14"/>
        <v/>
      </c>
      <c r="S934" s="68" t="str" cm="1">
        <f t="array" ref="S934">IF(TRIM($A934)="","",IFERROR(_xlfn.TEXTJOIN(", ",TRUE,_xlfn.UNIQUE(_xlfn.VSTACK(_xlfn._xlws.FILTER('Card Test Cases'!$G$4:$G$1000,('Card Test Cases'!$B$4:$B$1000=$A934)*('Card Test Cases'!$G$4:$G$1000&lt;&gt;""),""),_xlfn._xlws.FILTER('E2E core flow'!$U$15:$U$1000,('E2E core flow'!$A$15:$A$1000&lt;&gt;"")*ISNUMBER(SEARCH('E2E core flow'!$A$15:$A$1000,$E934))*('E2E core flow'!$U$15:$U$1000&lt;&gt;""),"")))),"-"))</f>
        <v/>
      </c>
    </row>
    <row r="935" spans="7:19" x14ac:dyDescent="0.3">
      <c r="G935" s="68" t="str" cm="1">
        <f t="array" ref="G935">_xlfn.LET(_xlpm.ids,'E2E core flow'!$A$15:$A$1000,_xlpm.v,'E2E core flow'!$W$15:$W$1000,_xlpm.m,(_xlpm.ids&lt;&gt;"")*ISNUMBER(SEARCH(_xlpm.ids,$E935)),_xlpm.f,SUM(_xlpm.m*(_xlpm.v="Failed")),_xlpm.b,SUM(_xlpm.m*(_xlpm.v="Blocked")),_xlpm.nr,SUM(_xlpm.m*(_xlpm.v="Not Run")),_xlpm.cp,SUM(_xlpm.m*(_xlpm.v="Conditionally Passed")),_xlpm.p,SUM(_xlpm.m*(_xlpm.v="Passed")),IF(TRIM($A935)="","",IF(TRIM($E935)="","Pending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35" s="68" t="str">
        <f>IF(TRIM($A935)="","",IF($J935="Passed","",IF($J935="Passed with Known Issue","Known Issue",IF($J935="",IF(OR($H935&lt;&gt;"No",AND($F935&lt;&gt;"Medium",$F935&lt;&gt;"Low")),"Pending Result",""),IF(OR($H935&lt;&gt;"No",AND($F935&lt;&gt;"Medium",$F935&lt;&gt;"Low")),IF(COUNTIFS(Dashboard!$B$105:$B$124,$A935,Dashboard!$I$105:$I$124,"CAB")&gt;0,"Accepted (CF)","Blocking"),IF($J935="Failed","Deferrable","Carry Over"))))))</f>
        <v/>
      </c>
      <c r="M935" s="68" t="str">
        <f>IF(OR(TRIM($A935)="",TRIM($E935)=""),"",IFERROR(INDEX('E2E core flow'!$B$15:$B$1000,MATCH(1,INDEX(('E2E core flow'!$A$15:$A$1000&lt;&gt;"")*ISNUMBER(SEARCH('E2E core flow'!$A$15:$A$1000,$E935)),0),0))&amp;"","-"))</f>
        <v/>
      </c>
      <c r="N935" s="68" t="str">
        <f>IF(TRIM($A935)="","",IF($O935=0,IF(COUNTIFS('Card Test Cases'!$B$4:$B$1000,$A935,'Card Test Cases'!$A$4:$A$1000,"&lt;&gt;")&gt;0,"Out of Scope","No TC"),IF($Q935&gt;0,"Failed",IF(COUNTIFS('Card Test Cases'!$B$4:$B$1000,$A935,'Card Test Cases'!$A$4:$A$1000,"&lt;&gt;",'Card Test Cases'!$F$4:$F$1000,"Blocked")&gt;0,"Blocked",IF($R935&gt;0,"In Progress","Passed")))))</f>
        <v/>
      </c>
      <c r="O935" s="68" t="str">
        <f>IF(TRIM($A935)="","",COUNTIFS('Card Test Cases'!$B$4:$B$1000,$A935,'Card Test Cases'!$A$4:$A$1000,"&lt;&gt;",'Card Test Cases'!$F$4:$F$1000,"&lt;&gt;Out of Scope"))</f>
        <v/>
      </c>
      <c r="P935" s="68" t="str">
        <f>IF(TRIM($A935)="","",COUNTIFS('Card Test Cases'!$B$4:$B$1000,$A935,'Card Test Cases'!$A$4:$A$1000,"&lt;&gt;",'Card Test Cases'!$F$4:$F$1000,"Passed"))</f>
        <v/>
      </c>
      <c r="Q935" s="68" t="str">
        <f>IF(TRIM($A935)="","",COUNTIFS('Card Test Cases'!$B$4:$B$1000,$A935,'Card Test Cases'!$A$4:$A$1000,"&lt;&gt;",'Card Test Cases'!$F$4:$F$1000,"Failed"))</f>
        <v/>
      </c>
      <c r="R935" s="68" t="str">
        <f t="shared" si="14"/>
        <v/>
      </c>
      <c r="S935" s="68" t="str" cm="1">
        <f t="array" ref="S935">IF(TRIM($A935)="","",IFERROR(_xlfn.TEXTJOIN(", ",TRUE,_xlfn.UNIQUE(_xlfn.VSTACK(_xlfn._xlws.FILTER('Card Test Cases'!$G$4:$G$1000,('Card Test Cases'!$B$4:$B$1000=$A935)*('Card Test Cases'!$G$4:$G$1000&lt;&gt;""),""),_xlfn._xlws.FILTER('E2E core flow'!$U$15:$U$1000,('E2E core flow'!$A$15:$A$1000&lt;&gt;"")*ISNUMBER(SEARCH('E2E core flow'!$A$15:$A$1000,$E935))*('E2E core flow'!$U$15:$U$1000&lt;&gt;""),"")))),"-"))</f>
        <v/>
      </c>
    </row>
    <row r="936" spans="7:19" x14ac:dyDescent="0.3">
      <c r="G936" s="68" t="str" cm="1">
        <f t="array" ref="G936">_xlfn.LET(_xlpm.ids,'E2E core flow'!$A$15:$A$1000,_xlpm.v,'E2E core flow'!$W$15:$W$1000,_xlpm.m,(_xlpm.ids&lt;&gt;"")*ISNUMBER(SEARCH(_xlpm.ids,$E936)),_xlpm.f,SUM(_xlpm.m*(_xlpm.v="Failed")),_xlpm.b,SUM(_xlpm.m*(_xlpm.v="Blocked")),_xlpm.nr,SUM(_xlpm.m*(_xlpm.v="Not Run")),_xlpm.cp,SUM(_xlpm.m*(_xlpm.v="Conditionally Passed")),_xlpm.p,SUM(_xlpm.m*(_xlpm.v="Passed")),IF(TRIM($A936)="","",IF(TRIM($E936)="","Pending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36" s="68" t="str">
        <f>IF(TRIM($A936)="","",IF($J936="Passed","",IF($J936="Passed with Known Issue","Known Issue",IF($J936="",IF(OR($H936&lt;&gt;"No",AND($F936&lt;&gt;"Medium",$F936&lt;&gt;"Low")),"Pending Result",""),IF(OR($H936&lt;&gt;"No",AND($F936&lt;&gt;"Medium",$F936&lt;&gt;"Low")),IF(COUNTIFS(Dashboard!$B$105:$B$124,$A936,Dashboard!$I$105:$I$124,"CAB")&gt;0,"Accepted (CF)","Blocking"),IF($J936="Failed","Deferrable","Carry Over"))))))</f>
        <v/>
      </c>
      <c r="M936" s="68" t="str">
        <f>IF(OR(TRIM($A936)="",TRIM($E936)=""),"",IFERROR(INDEX('E2E core flow'!$B$15:$B$1000,MATCH(1,INDEX(('E2E core flow'!$A$15:$A$1000&lt;&gt;"")*ISNUMBER(SEARCH('E2E core flow'!$A$15:$A$1000,$E936)),0),0))&amp;"","-"))</f>
        <v/>
      </c>
      <c r="N936" s="68" t="str">
        <f>IF(TRIM($A936)="","",IF($O936=0,IF(COUNTIFS('Card Test Cases'!$B$4:$B$1000,$A936,'Card Test Cases'!$A$4:$A$1000,"&lt;&gt;")&gt;0,"Out of Scope","No TC"),IF($Q936&gt;0,"Failed",IF(COUNTIFS('Card Test Cases'!$B$4:$B$1000,$A936,'Card Test Cases'!$A$4:$A$1000,"&lt;&gt;",'Card Test Cases'!$F$4:$F$1000,"Blocked")&gt;0,"Blocked",IF($R936&gt;0,"In Progress","Passed")))))</f>
        <v/>
      </c>
      <c r="O936" s="68" t="str">
        <f>IF(TRIM($A936)="","",COUNTIFS('Card Test Cases'!$B$4:$B$1000,$A936,'Card Test Cases'!$A$4:$A$1000,"&lt;&gt;",'Card Test Cases'!$F$4:$F$1000,"&lt;&gt;Out of Scope"))</f>
        <v/>
      </c>
      <c r="P936" s="68" t="str">
        <f>IF(TRIM($A936)="","",COUNTIFS('Card Test Cases'!$B$4:$B$1000,$A936,'Card Test Cases'!$A$4:$A$1000,"&lt;&gt;",'Card Test Cases'!$F$4:$F$1000,"Passed"))</f>
        <v/>
      </c>
      <c r="Q936" s="68" t="str">
        <f>IF(TRIM($A936)="","",COUNTIFS('Card Test Cases'!$B$4:$B$1000,$A936,'Card Test Cases'!$A$4:$A$1000,"&lt;&gt;",'Card Test Cases'!$F$4:$F$1000,"Failed"))</f>
        <v/>
      </c>
      <c r="R936" s="68" t="str">
        <f t="shared" si="14"/>
        <v/>
      </c>
      <c r="S936" s="68" t="str" cm="1">
        <f t="array" ref="S936">IF(TRIM($A936)="","",IFERROR(_xlfn.TEXTJOIN(", ",TRUE,_xlfn.UNIQUE(_xlfn.VSTACK(_xlfn._xlws.FILTER('Card Test Cases'!$G$4:$G$1000,('Card Test Cases'!$B$4:$B$1000=$A936)*('Card Test Cases'!$G$4:$G$1000&lt;&gt;""),""),_xlfn._xlws.FILTER('E2E core flow'!$U$15:$U$1000,('E2E core flow'!$A$15:$A$1000&lt;&gt;"")*ISNUMBER(SEARCH('E2E core flow'!$A$15:$A$1000,$E936))*('E2E core flow'!$U$15:$U$1000&lt;&gt;""),"")))),"-"))</f>
        <v/>
      </c>
    </row>
    <row r="937" spans="7:19" x14ac:dyDescent="0.3">
      <c r="G937" s="68" t="str" cm="1">
        <f t="array" ref="G937">_xlfn.LET(_xlpm.ids,'E2E core flow'!$A$15:$A$1000,_xlpm.v,'E2E core flow'!$W$15:$W$1000,_xlpm.m,(_xlpm.ids&lt;&gt;"")*ISNUMBER(SEARCH(_xlpm.ids,$E937)),_xlpm.f,SUM(_xlpm.m*(_xlpm.v="Failed")),_xlpm.b,SUM(_xlpm.m*(_xlpm.v="Blocked")),_xlpm.nr,SUM(_xlpm.m*(_xlpm.v="Not Run")),_xlpm.cp,SUM(_xlpm.m*(_xlpm.v="Conditionally Passed")),_xlpm.p,SUM(_xlpm.m*(_xlpm.v="Passed")),IF(TRIM($A937)="","",IF(TRIM($E937)="","Pending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37" s="68" t="str">
        <f>IF(TRIM($A937)="","",IF($J937="Passed","",IF($J937="Passed with Known Issue","Known Issue",IF($J937="",IF(OR($H937&lt;&gt;"No",AND($F937&lt;&gt;"Medium",$F937&lt;&gt;"Low")),"Pending Result",""),IF(OR($H937&lt;&gt;"No",AND($F937&lt;&gt;"Medium",$F937&lt;&gt;"Low")),IF(COUNTIFS(Dashboard!$B$105:$B$124,$A937,Dashboard!$I$105:$I$124,"CAB")&gt;0,"Accepted (CF)","Blocking"),IF($J937="Failed","Deferrable","Carry Over"))))))</f>
        <v/>
      </c>
      <c r="M937" s="68" t="str">
        <f>IF(OR(TRIM($A937)="",TRIM($E937)=""),"",IFERROR(INDEX('E2E core flow'!$B$15:$B$1000,MATCH(1,INDEX(('E2E core flow'!$A$15:$A$1000&lt;&gt;"")*ISNUMBER(SEARCH('E2E core flow'!$A$15:$A$1000,$E937)),0),0))&amp;"","-"))</f>
        <v/>
      </c>
      <c r="N937" s="68" t="str">
        <f>IF(TRIM($A937)="","",IF($O937=0,IF(COUNTIFS('Card Test Cases'!$B$4:$B$1000,$A937,'Card Test Cases'!$A$4:$A$1000,"&lt;&gt;")&gt;0,"Out of Scope","No TC"),IF($Q937&gt;0,"Failed",IF(COUNTIFS('Card Test Cases'!$B$4:$B$1000,$A937,'Card Test Cases'!$A$4:$A$1000,"&lt;&gt;",'Card Test Cases'!$F$4:$F$1000,"Blocked")&gt;0,"Blocked",IF($R937&gt;0,"In Progress","Passed")))))</f>
        <v/>
      </c>
      <c r="O937" s="68" t="str">
        <f>IF(TRIM($A937)="","",COUNTIFS('Card Test Cases'!$B$4:$B$1000,$A937,'Card Test Cases'!$A$4:$A$1000,"&lt;&gt;",'Card Test Cases'!$F$4:$F$1000,"&lt;&gt;Out of Scope"))</f>
        <v/>
      </c>
      <c r="P937" s="68" t="str">
        <f>IF(TRIM($A937)="","",COUNTIFS('Card Test Cases'!$B$4:$B$1000,$A937,'Card Test Cases'!$A$4:$A$1000,"&lt;&gt;",'Card Test Cases'!$F$4:$F$1000,"Passed"))</f>
        <v/>
      </c>
      <c r="Q937" s="68" t="str">
        <f>IF(TRIM($A937)="","",COUNTIFS('Card Test Cases'!$B$4:$B$1000,$A937,'Card Test Cases'!$A$4:$A$1000,"&lt;&gt;",'Card Test Cases'!$F$4:$F$1000,"Failed"))</f>
        <v/>
      </c>
      <c r="R937" s="68" t="str">
        <f t="shared" si="14"/>
        <v/>
      </c>
      <c r="S937" s="68" t="str" cm="1">
        <f t="array" ref="S937">IF(TRIM($A937)="","",IFERROR(_xlfn.TEXTJOIN(", ",TRUE,_xlfn.UNIQUE(_xlfn.VSTACK(_xlfn._xlws.FILTER('Card Test Cases'!$G$4:$G$1000,('Card Test Cases'!$B$4:$B$1000=$A937)*('Card Test Cases'!$G$4:$G$1000&lt;&gt;""),""),_xlfn._xlws.FILTER('E2E core flow'!$U$15:$U$1000,('E2E core flow'!$A$15:$A$1000&lt;&gt;"")*ISNUMBER(SEARCH('E2E core flow'!$A$15:$A$1000,$E937))*('E2E core flow'!$U$15:$U$1000&lt;&gt;""),"")))),"-"))</f>
        <v/>
      </c>
    </row>
    <row r="938" spans="7:19" x14ac:dyDescent="0.3">
      <c r="G938" s="68" t="str" cm="1">
        <f t="array" ref="G938">_xlfn.LET(_xlpm.ids,'E2E core flow'!$A$15:$A$1000,_xlpm.v,'E2E core flow'!$W$15:$W$1000,_xlpm.m,(_xlpm.ids&lt;&gt;"")*ISNUMBER(SEARCH(_xlpm.ids,$E938)),_xlpm.f,SUM(_xlpm.m*(_xlpm.v="Failed")),_xlpm.b,SUM(_xlpm.m*(_xlpm.v="Blocked")),_xlpm.nr,SUM(_xlpm.m*(_xlpm.v="Not Run")),_xlpm.cp,SUM(_xlpm.m*(_xlpm.v="Conditionally Passed")),_xlpm.p,SUM(_xlpm.m*(_xlpm.v="Passed")),IF(TRIM($A938)="","",IF(TRIM($E938)="","Pending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38" s="68" t="str">
        <f>IF(TRIM($A938)="","",IF($J938="Passed","",IF($J938="Passed with Known Issue","Known Issue",IF($J938="",IF(OR($H938&lt;&gt;"No",AND($F938&lt;&gt;"Medium",$F938&lt;&gt;"Low")),"Pending Result",""),IF(OR($H938&lt;&gt;"No",AND($F938&lt;&gt;"Medium",$F938&lt;&gt;"Low")),IF(COUNTIFS(Dashboard!$B$105:$B$124,$A938,Dashboard!$I$105:$I$124,"CAB")&gt;0,"Accepted (CF)","Blocking"),IF($J938="Failed","Deferrable","Carry Over"))))))</f>
        <v/>
      </c>
      <c r="M938" s="68" t="str">
        <f>IF(OR(TRIM($A938)="",TRIM($E938)=""),"",IFERROR(INDEX('E2E core flow'!$B$15:$B$1000,MATCH(1,INDEX(('E2E core flow'!$A$15:$A$1000&lt;&gt;"")*ISNUMBER(SEARCH('E2E core flow'!$A$15:$A$1000,$E938)),0),0))&amp;"","-"))</f>
        <v/>
      </c>
      <c r="N938" s="68" t="str">
        <f>IF(TRIM($A938)="","",IF($O938=0,IF(COUNTIFS('Card Test Cases'!$B$4:$B$1000,$A938,'Card Test Cases'!$A$4:$A$1000,"&lt;&gt;")&gt;0,"Out of Scope","No TC"),IF($Q938&gt;0,"Failed",IF(COUNTIFS('Card Test Cases'!$B$4:$B$1000,$A938,'Card Test Cases'!$A$4:$A$1000,"&lt;&gt;",'Card Test Cases'!$F$4:$F$1000,"Blocked")&gt;0,"Blocked",IF($R938&gt;0,"In Progress","Passed")))))</f>
        <v/>
      </c>
      <c r="O938" s="68" t="str">
        <f>IF(TRIM($A938)="","",COUNTIFS('Card Test Cases'!$B$4:$B$1000,$A938,'Card Test Cases'!$A$4:$A$1000,"&lt;&gt;",'Card Test Cases'!$F$4:$F$1000,"&lt;&gt;Out of Scope"))</f>
        <v/>
      </c>
      <c r="P938" s="68" t="str">
        <f>IF(TRIM($A938)="","",COUNTIFS('Card Test Cases'!$B$4:$B$1000,$A938,'Card Test Cases'!$A$4:$A$1000,"&lt;&gt;",'Card Test Cases'!$F$4:$F$1000,"Passed"))</f>
        <v/>
      </c>
      <c r="Q938" s="68" t="str">
        <f>IF(TRIM($A938)="","",COUNTIFS('Card Test Cases'!$B$4:$B$1000,$A938,'Card Test Cases'!$A$4:$A$1000,"&lt;&gt;",'Card Test Cases'!$F$4:$F$1000,"Failed"))</f>
        <v/>
      </c>
      <c r="R938" s="68" t="str">
        <f t="shared" si="14"/>
        <v/>
      </c>
      <c r="S938" s="68" t="str" cm="1">
        <f t="array" ref="S938">IF(TRIM($A938)="","",IFERROR(_xlfn.TEXTJOIN(", ",TRUE,_xlfn.UNIQUE(_xlfn.VSTACK(_xlfn._xlws.FILTER('Card Test Cases'!$G$4:$G$1000,('Card Test Cases'!$B$4:$B$1000=$A938)*('Card Test Cases'!$G$4:$G$1000&lt;&gt;""),""),_xlfn._xlws.FILTER('E2E core flow'!$U$15:$U$1000,('E2E core flow'!$A$15:$A$1000&lt;&gt;"")*ISNUMBER(SEARCH('E2E core flow'!$A$15:$A$1000,$E938))*('E2E core flow'!$U$15:$U$1000&lt;&gt;""),"")))),"-"))</f>
        <v/>
      </c>
    </row>
    <row r="939" spans="7:19" x14ac:dyDescent="0.3">
      <c r="G939" s="68" t="str" cm="1">
        <f t="array" ref="G939">_xlfn.LET(_xlpm.ids,'E2E core flow'!$A$15:$A$1000,_xlpm.v,'E2E core flow'!$W$15:$W$1000,_xlpm.m,(_xlpm.ids&lt;&gt;"")*ISNUMBER(SEARCH(_xlpm.ids,$E939)),_xlpm.f,SUM(_xlpm.m*(_xlpm.v="Failed")),_xlpm.b,SUM(_xlpm.m*(_xlpm.v="Blocked")),_xlpm.nr,SUM(_xlpm.m*(_xlpm.v="Not Run")),_xlpm.cp,SUM(_xlpm.m*(_xlpm.v="Conditionally Passed")),_xlpm.p,SUM(_xlpm.m*(_xlpm.v="Passed")),IF(TRIM($A939)="","",IF(TRIM($E939)="","Pending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39" s="68" t="str">
        <f>IF(TRIM($A939)="","",IF($J939="Passed","",IF($J939="Passed with Known Issue","Known Issue",IF($J939="",IF(OR($H939&lt;&gt;"No",AND($F939&lt;&gt;"Medium",$F939&lt;&gt;"Low")),"Pending Result",""),IF(OR($H939&lt;&gt;"No",AND($F939&lt;&gt;"Medium",$F939&lt;&gt;"Low")),IF(COUNTIFS(Dashboard!$B$105:$B$124,$A939,Dashboard!$I$105:$I$124,"CAB")&gt;0,"Accepted (CF)","Blocking"),IF($J939="Failed","Deferrable","Carry Over"))))))</f>
        <v/>
      </c>
      <c r="M939" s="68" t="str">
        <f>IF(OR(TRIM($A939)="",TRIM($E939)=""),"",IFERROR(INDEX('E2E core flow'!$B$15:$B$1000,MATCH(1,INDEX(('E2E core flow'!$A$15:$A$1000&lt;&gt;"")*ISNUMBER(SEARCH('E2E core flow'!$A$15:$A$1000,$E939)),0),0))&amp;"","-"))</f>
        <v/>
      </c>
      <c r="N939" s="68" t="str">
        <f>IF(TRIM($A939)="","",IF($O939=0,IF(COUNTIFS('Card Test Cases'!$B$4:$B$1000,$A939,'Card Test Cases'!$A$4:$A$1000,"&lt;&gt;")&gt;0,"Out of Scope","No TC"),IF($Q939&gt;0,"Failed",IF(COUNTIFS('Card Test Cases'!$B$4:$B$1000,$A939,'Card Test Cases'!$A$4:$A$1000,"&lt;&gt;",'Card Test Cases'!$F$4:$F$1000,"Blocked")&gt;0,"Blocked",IF($R939&gt;0,"In Progress","Passed")))))</f>
        <v/>
      </c>
      <c r="O939" s="68" t="str">
        <f>IF(TRIM($A939)="","",COUNTIFS('Card Test Cases'!$B$4:$B$1000,$A939,'Card Test Cases'!$A$4:$A$1000,"&lt;&gt;",'Card Test Cases'!$F$4:$F$1000,"&lt;&gt;Out of Scope"))</f>
        <v/>
      </c>
      <c r="P939" s="68" t="str">
        <f>IF(TRIM($A939)="","",COUNTIFS('Card Test Cases'!$B$4:$B$1000,$A939,'Card Test Cases'!$A$4:$A$1000,"&lt;&gt;",'Card Test Cases'!$F$4:$F$1000,"Passed"))</f>
        <v/>
      </c>
      <c r="Q939" s="68" t="str">
        <f>IF(TRIM($A939)="","",COUNTIFS('Card Test Cases'!$B$4:$B$1000,$A939,'Card Test Cases'!$A$4:$A$1000,"&lt;&gt;",'Card Test Cases'!$F$4:$F$1000,"Failed"))</f>
        <v/>
      </c>
      <c r="R939" s="68" t="str">
        <f t="shared" si="14"/>
        <v/>
      </c>
      <c r="S939" s="68" t="str" cm="1">
        <f t="array" ref="S939">IF(TRIM($A939)="","",IFERROR(_xlfn.TEXTJOIN(", ",TRUE,_xlfn.UNIQUE(_xlfn.VSTACK(_xlfn._xlws.FILTER('Card Test Cases'!$G$4:$G$1000,('Card Test Cases'!$B$4:$B$1000=$A939)*('Card Test Cases'!$G$4:$G$1000&lt;&gt;""),""),_xlfn._xlws.FILTER('E2E core flow'!$U$15:$U$1000,('E2E core flow'!$A$15:$A$1000&lt;&gt;"")*ISNUMBER(SEARCH('E2E core flow'!$A$15:$A$1000,$E939))*('E2E core flow'!$U$15:$U$1000&lt;&gt;""),"")))),"-"))</f>
        <v/>
      </c>
    </row>
    <row r="940" spans="7:19" x14ac:dyDescent="0.3">
      <c r="G940" s="68" t="str" cm="1">
        <f t="array" ref="G940">_xlfn.LET(_xlpm.ids,'E2E core flow'!$A$15:$A$1000,_xlpm.v,'E2E core flow'!$W$15:$W$1000,_xlpm.m,(_xlpm.ids&lt;&gt;"")*ISNUMBER(SEARCH(_xlpm.ids,$E940)),_xlpm.f,SUM(_xlpm.m*(_xlpm.v="Failed")),_xlpm.b,SUM(_xlpm.m*(_xlpm.v="Blocked")),_xlpm.nr,SUM(_xlpm.m*(_xlpm.v="Not Run")),_xlpm.cp,SUM(_xlpm.m*(_xlpm.v="Conditionally Passed")),_xlpm.p,SUM(_xlpm.m*(_xlpm.v="Passed")),IF(TRIM($A940)="","",IF(TRIM($E940)="","Pending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40" s="68" t="str">
        <f>IF(TRIM($A940)="","",IF($J940="Passed","",IF($J940="Passed with Known Issue","Known Issue",IF($J940="",IF(OR($H940&lt;&gt;"No",AND($F940&lt;&gt;"Medium",$F940&lt;&gt;"Low")),"Pending Result",""),IF(OR($H940&lt;&gt;"No",AND($F940&lt;&gt;"Medium",$F940&lt;&gt;"Low")),IF(COUNTIFS(Dashboard!$B$105:$B$124,$A940,Dashboard!$I$105:$I$124,"CAB")&gt;0,"Accepted (CF)","Blocking"),IF($J940="Failed","Deferrable","Carry Over"))))))</f>
        <v/>
      </c>
      <c r="M940" s="68" t="str">
        <f>IF(OR(TRIM($A940)="",TRIM($E940)=""),"",IFERROR(INDEX('E2E core flow'!$B$15:$B$1000,MATCH(1,INDEX(('E2E core flow'!$A$15:$A$1000&lt;&gt;"")*ISNUMBER(SEARCH('E2E core flow'!$A$15:$A$1000,$E940)),0),0))&amp;"","-"))</f>
        <v/>
      </c>
      <c r="N940" s="68" t="str">
        <f>IF(TRIM($A940)="","",IF($O940=0,IF(COUNTIFS('Card Test Cases'!$B$4:$B$1000,$A940,'Card Test Cases'!$A$4:$A$1000,"&lt;&gt;")&gt;0,"Out of Scope","No TC"),IF($Q940&gt;0,"Failed",IF(COUNTIFS('Card Test Cases'!$B$4:$B$1000,$A940,'Card Test Cases'!$A$4:$A$1000,"&lt;&gt;",'Card Test Cases'!$F$4:$F$1000,"Blocked")&gt;0,"Blocked",IF($R940&gt;0,"In Progress","Passed")))))</f>
        <v/>
      </c>
      <c r="O940" s="68" t="str">
        <f>IF(TRIM($A940)="","",COUNTIFS('Card Test Cases'!$B$4:$B$1000,$A940,'Card Test Cases'!$A$4:$A$1000,"&lt;&gt;",'Card Test Cases'!$F$4:$F$1000,"&lt;&gt;Out of Scope"))</f>
        <v/>
      </c>
      <c r="P940" s="68" t="str">
        <f>IF(TRIM($A940)="","",COUNTIFS('Card Test Cases'!$B$4:$B$1000,$A940,'Card Test Cases'!$A$4:$A$1000,"&lt;&gt;",'Card Test Cases'!$F$4:$F$1000,"Passed"))</f>
        <v/>
      </c>
      <c r="Q940" s="68" t="str">
        <f>IF(TRIM($A940)="","",COUNTIFS('Card Test Cases'!$B$4:$B$1000,$A940,'Card Test Cases'!$A$4:$A$1000,"&lt;&gt;",'Card Test Cases'!$F$4:$F$1000,"Failed"))</f>
        <v/>
      </c>
      <c r="R940" s="68" t="str">
        <f t="shared" si="14"/>
        <v/>
      </c>
      <c r="S940" s="68" t="str" cm="1">
        <f t="array" ref="S940">IF(TRIM($A940)="","",IFERROR(_xlfn.TEXTJOIN(", ",TRUE,_xlfn.UNIQUE(_xlfn.VSTACK(_xlfn._xlws.FILTER('Card Test Cases'!$G$4:$G$1000,('Card Test Cases'!$B$4:$B$1000=$A940)*('Card Test Cases'!$G$4:$G$1000&lt;&gt;""),""),_xlfn._xlws.FILTER('E2E core flow'!$U$15:$U$1000,('E2E core flow'!$A$15:$A$1000&lt;&gt;"")*ISNUMBER(SEARCH('E2E core flow'!$A$15:$A$1000,$E940))*('E2E core flow'!$U$15:$U$1000&lt;&gt;""),"")))),"-"))</f>
        <v/>
      </c>
    </row>
    <row r="941" spans="7:19" x14ac:dyDescent="0.3">
      <c r="G941" s="68" t="str" cm="1">
        <f t="array" ref="G941">_xlfn.LET(_xlpm.ids,'E2E core flow'!$A$15:$A$1000,_xlpm.v,'E2E core flow'!$W$15:$W$1000,_xlpm.m,(_xlpm.ids&lt;&gt;"")*ISNUMBER(SEARCH(_xlpm.ids,$E941)),_xlpm.f,SUM(_xlpm.m*(_xlpm.v="Failed")),_xlpm.b,SUM(_xlpm.m*(_xlpm.v="Blocked")),_xlpm.nr,SUM(_xlpm.m*(_xlpm.v="Not Run")),_xlpm.cp,SUM(_xlpm.m*(_xlpm.v="Conditionally Passed")),_xlpm.p,SUM(_xlpm.m*(_xlpm.v="Passed")),IF(TRIM($A941)="","",IF(TRIM($E941)="","Pending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41" s="68" t="str">
        <f>IF(TRIM($A941)="","",IF($J941="Passed","",IF($J941="Passed with Known Issue","Known Issue",IF($J941="",IF(OR($H941&lt;&gt;"No",AND($F941&lt;&gt;"Medium",$F941&lt;&gt;"Low")),"Pending Result",""),IF(OR($H941&lt;&gt;"No",AND($F941&lt;&gt;"Medium",$F941&lt;&gt;"Low")),IF(COUNTIFS(Dashboard!$B$105:$B$124,$A941,Dashboard!$I$105:$I$124,"CAB")&gt;0,"Accepted (CF)","Blocking"),IF($J941="Failed","Deferrable","Carry Over"))))))</f>
        <v/>
      </c>
      <c r="M941" s="68" t="str">
        <f>IF(OR(TRIM($A941)="",TRIM($E941)=""),"",IFERROR(INDEX('E2E core flow'!$B$15:$B$1000,MATCH(1,INDEX(('E2E core flow'!$A$15:$A$1000&lt;&gt;"")*ISNUMBER(SEARCH('E2E core flow'!$A$15:$A$1000,$E941)),0),0))&amp;"","-"))</f>
        <v/>
      </c>
      <c r="N941" s="68" t="str">
        <f>IF(TRIM($A941)="","",IF($O941=0,IF(COUNTIFS('Card Test Cases'!$B$4:$B$1000,$A941,'Card Test Cases'!$A$4:$A$1000,"&lt;&gt;")&gt;0,"Out of Scope","No TC"),IF($Q941&gt;0,"Failed",IF(COUNTIFS('Card Test Cases'!$B$4:$B$1000,$A941,'Card Test Cases'!$A$4:$A$1000,"&lt;&gt;",'Card Test Cases'!$F$4:$F$1000,"Blocked")&gt;0,"Blocked",IF($R941&gt;0,"In Progress","Passed")))))</f>
        <v/>
      </c>
      <c r="O941" s="68" t="str">
        <f>IF(TRIM($A941)="","",COUNTIFS('Card Test Cases'!$B$4:$B$1000,$A941,'Card Test Cases'!$A$4:$A$1000,"&lt;&gt;",'Card Test Cases'!$F$4:$F$1000,"&lt;&gt;Out of Scope"))</f>
        <v/>
      </c>
      <c r="P941" s="68" t="str">
        <f>IF(TRIM($A941)="","",COUNTIFS('Card Test Cases'!$B$4:$B$1000,$A941,'Card Test Cases'!$A$4:$A$1000,"&lt;&gt;",'Card Test Cases'!$F$4:$F$1000,"Passed"))</f>
        <v/>
      </c>
      <c r="Q941" s="68" t="str">
        <f>IF(TRIM($A941)="","",COUNTIFS('Card Test Cases'!$B$4:$B$1000,$A941,'Card Test Cases'!$A$4:$A$1000,"&lt;&gt;",'Card Test Cases'!$F$4:$F$1000,"Failed"))</f>
        <v/>
      </c>
      <c r="R941" s="68" t="str">
        <f t="shared" si="14"/>
        <v/>
      </c>
      <c r="S941" s="68" t="str" cm="1">
        <f t="array" ref="S941">IF(TRIM($A941)="","",IFERROR(_xlfn.TEXTJOIN(", ",TRUE,_xlfn.UNIQUE(_xlfn.VSTACK(_xlfn._xlws.FILTER('Card Test Cases'!$G$4:$G$1000,('Card Test Cases'!$B$4:$B$1000=$A941)*('Card Test Cases'!$G$4:$G$1000&lt;&gt;""),""),_xlfn._xlws.FILTER('E2E core flow'!$U$15:$U$1000,('E2E core flow'!$A$15:$A$1000&lt;&gt;"")*ISNUMBER(SEARCH('E2E core flow'!$A$15:$A$1000,$E941))*('E2E core flow'!$U$15:$U$1000&lt;&gt;""),"")))),"-"))</f>
        <v/>
      </c>
    </row>
    <row r="942" spans="7:19" x14ac:dyDescent="0.3">
      <c r="G942" s="68" t="str" cm="1">
        <f t="array" ref="G942">_xlfn.LET(_xlpm.ids,'E2E core flow'!$A$15:$A$1000,_xlpm.v,'E2E core flow'!$W$15:$W$1000,_xlpm.m,(_xlpm.ids&lt;&gt;"")*ISNUMBER(SEARCH(_xlpm.ids,$E942)),_xlpm.f,SUM(_xlpm.m*(_xlpm.v="Failed")),_xlpm.b,SUM(_xlpm.m*(_xlpm.v="Blocked")),_xlpm.nr,SUM(_xlpm.m*(_xlpm.v="Not Run")),_xlpm.cp,SUM(_xlpm.m*(_xlpm.v="Conditionally Passed")),_xlpm.p,SUM(_xlpm.m*(_xlpm.v="Passed")),IF(TRIM($A942)="","",IF(TRIM($E942)="","Pending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42" s="68" t="str">
        <f>IF(TRIM($A942)="","",IF($J942="Passed","",IF($J942="Passed with Known Issue","Known Issue",IF($J942="",IF(OR($H942&lt;&gt;"No",AND($F942&lt;&gt;"Medium",$F942&lt;&gt;"Low")),"Pending Result",""),IF(OR($H942&lt;&gt;"No",AND($F942&lt;&gt;"Medium",$F942&lt;&gt;"Low")),IF(COUNTIFS(Dashboard!$B$105:$B$124,$A942,Dashboard!$I$105:$I$124,"CAB")&gt;0,"Accepted (CF)","Blocking"),IF($J942="Failed","Deferrable","Carry Over"))))))</f>
        <v/>
      </c>
      <c r="M942" s="68" t="str">
        <f>IF(OR(TRIM($A942)="",TRIM($E942)=""),"",IFERROR(INDEX('E2E core flow'!$B$15:$B$1000,MATCH(1,INDEX(('E2E core flow'!$A$15:$A$1000&lt;&gt;"")*ISNUMBER(SEARCH('E2E core flow'!$A$15:$A$1000,$E942)),0),0))&amp;"","-"))</f>
        <v/>
      </c>
      <c r="N942" s="68" t="str">
        <f>IF(TRIM($A942)="","",IF($O942=0,IF(COUNTIFS('Card Test Cases'!$B$4:$B$1000,$A942,'Card Test Cases'!$A$4:$A$1000,"&lt;&gt;")&gt;0,"Out of Scope","No TC"),IF($Q942&gt;0,"Failed",IF(COUNTIFS('Card Test Cases'!$B$4:$B$1000,$A942,'Card Test Cases'!$A$4:$A$1000,"&lt;&gt;",'Card Test Cases'!$F$4:$F$1000,"Blocked")&gt;0,"Blocked",IF($R942&gt;0,"In Progress","Passed")))))</f>
        <v/>
      </c>
      <c r="O942" s="68" t="str">
        <f>IF(TRIM($A942)="","",COUNTIFS('Card Test Cases'!$B$4:$B$1000,$A942,'Card Test Cases'!$A$4:$A$1000,"&lt;&gt;",'Card Test Cases'!$F$4:$F$1000,"&lt;&gt;Out of Scope"))</f>
        <v/>
      </c>
      <c r="P942" s="68" t="str">
        <f>IF(TRIM($A942)="","",COUNTIFS('Card Test Cases'!$B$4:$B$1000,$A942,'Card Test Cases'!$A$4:$A$1000,"&lt;&gt;",'Card Test Cases'!$F$4:$F$1000,"Passed"))</f>
        <v/>
      </c>
      <c r="Q942" s="68" t="str">
        <f>IF(TRIM($A942)="","",COUNTIFS('Card Test Cases'!$B$4:$B$1000,$A942,'Card Test Cases'!$A$4:$A$1000,"&lt;&gt;",'Card Test Cases'!$F$4:$F$1000,"Failed"))</f>
        <v/>
      </c>
      <c r="R942" s="68" t="str">
        <f t="shared" si="14"/>
        <v/>
      </c>
      <c r="S942" s="68" t="str" cm="1">
        <f t="array" ref="S942">IF(TRIM($A942)="","",IFERROR(_xlfn.TEXTJOIN(", ",TRUE,_xlfn.UNIQUE(_xlfn.VSTACK(_xlfn._xlws.FILTER('Card Test Cases'!$G$4:$G$1000,('Card Test Cases'!$B$4:$B$1000=$A942)*('Card Test Cases'!$G$4:$G$1000&lt;&gt;""),""),_xlfn._xlws.FILTER('E2E core flow'!$U$15:$U$1000,('E2E core flow'!$A$15:$A$1000&lt;&gt;"")*ISNUMBER(SEARCH('E2E core flow'!$A$15:$A$1000,$E942))*('E2E core flow'!$U$15:$U$1000&lt;&gt;""),"")))),"-"))</f>
        <v/>
      </c>
    </row>
    <row r="943" spans="7:19" x14ac:dyDescent="0.3">
      <c r="G943" s="68" t="str" cm="1">
        <f t="array" ref="G943">_xlfn.LET(_xlpm.ids,'E2E core flow'!$A$15:$A$1000,_xlpm.v,'E2E core flow'!$W$15:$W$1000,_xlpm.m,(_xlpm.ids&lt;&gt;"")*ISNUMBER(SEARCH(_xlpm.ids,$E943)),_xlpm.f,SUM(_xlpm.m*(_xlpm.v="Failed")),_xlpm.b,SUM(_xlpm.m*(_xlpm.v="Blocked")),_xlpm.nr,SUM(_xlpm.m*(_xlpm.v="Not Run")),_xlpm.cp,SUM(_xlpm.m*(_xlpm.v="Conditionally Passed")),_xlpm.p,SUM(_xlpm.m*(_xlpm.v="Passed")),IF(TRIM($A943)="","",IF(TRIM($E943)="","Pending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43" s="68" t="str">
        <f>IF(TRIM($A943)="","",IF($J943="Passed","",IF($J943="Passed with Known Issue","Known Issue",IF($J943="",IF(OR($H943&lt;&gt;"No",AND($F943&lt;&gt;"Medium",$F943&lt;&gt;"Low")),"Pending Result",""),IF(OR($H943&lt;&gt;"No",AND($F943&lt;&gt;"Medium",$F943&lt;&gt;"Low")),IF(COUNTIFS(Dashboard!$B$105:$B$124,$A943,Dashboard!$I$105:$I$124,"CAB")&gt;0,"Accepted (CF)","Blocking"),IF($J943="Failed","Deferrable","Carry Over"))))))</f>
        <v/>
      </c>
      <c r="M943" s="68" t="str">
        <f>IF(OR(TRIM($A943)="",TRIM($E943)=""),"",IFERROR(INDEX('E2E core flow'!$B$15:$B$1000,MATCH(1,INDEX(('E2E core flow'!$A$15:$A$1000&lt;&gt;"")*ISNUMBER(SEARCH('E2E core flow'!$A$15:$A$1000,$E943)),0),0))&amp;"","-"))</f>
        <v/>
      </c>
      <c r="N943" s="68" t="str">
        <f>IF(TRIM($A943)="","",IF($O943=0,IF(COUNTIFS('Card Test Cases'!$B$4:$B$1000,$A943,'Card Test Cases'!$A$4:$A$1000,"&lt;&gt;")&gt;0,"Out of Scope","No TC"),IF($Q943&gt;0,"Failed",IF(COUNTIFS('Card Test Cases'!$B$4:$B$1000,$A943,'Card Test Cases'!$A$4:$A$1000,"&lt;&gt;",'Card Test Cases'!$F$4:$F$1000,"Blocked")&gt;0,"Blocked",IF($R943&gt;0,"In Progress","Passed")))))</f>
        <v/>
      </c>
      <c r="O943" s="68" t="str">
        <f>IF(TRIM($A943)="","",COUNTIFS('Card Test Cases'!$B$4:$B$1000,$A943,'Card Test Cases'!$A$4:$A$1000,"&lt;&gt;",'Card Test Cases'!$F$4:$F$1000,"&lt;&gt;Out of Scope"))</f>
        <v/>
      </c>
      <c r="P943" s="68" t="str">
        <f>IF(TRIM($A943)="","",COUNTIFS('Card Test Cases'!$B$4:$B$1000,$A943,'Card Test Cases'!$A$4:$A$1000,"&lt;&gt;",'Card Test Cases'!$F$4:$F$1000,"Passed"))</f>
        <v/>
      </c>
      <c r="Q943" s="68" t="str">
        <f>IF(TRIM($A943)="","",COUNTIFS('Card Test Cases'!$B$4:$B$1000,$A943,'Card Test Cases'!$A$4:$A$1000,"&lt;&gt;",'Card Test Cases'!$F$4:$F$1000,"Failed"))</f>
        <v/>
      </c>
      <c r="R943" s="68" t="str">
        <f t="shared" si="14"/>
        <v/>
      </c>
      <c r="S943" s="68" t="str" cm="1">
        <f t="array" ref="S943">IF(TRIM($A943)="","",IFERROR(_xlfn.TEXTJOIN(", ",TRUE,_xlfn.UNIQUE(_xlfn.VSTACK(_xlfn._xlws.FILTER('Card Test Cases'!$G$4:$G$1000,('Card Test Cases'!$B$4:$B$1000=$A943)*('Card Test Cases'!$G$4:$G$1000&lt;&gt;""),""),_xlfn._xlws.FILTER('E2E core flow'!$U$15:$U$1000,('E2E core flow'!$A$15:$A$1000&lt;&gt;"")*ISNUMBER(SEARCH('E2E core flow'!$A$15:$A$1000,$E943))*('E2E core flow'!$U$15:$U$1000&lt;&gt;""),"")))),"-"))</f>
        <v/>
      </c>
    </row>
    <row r="944" spans="7:19" x14ac:dyDescent="0.3">
      <c r="G944" s="68" t="str" cm="1">
        <f t="array" ref="G944">_xlfn.LET(_xlpm.ids,'E2E core flow'!$A$15:$A$1000,_xlpm.v,'E2E core flow'!$W$15:$W$1000,_xlpm.m,(_xlpm.ids&lt;&gt;"")*ISNUMBER(SEARCH(_xlpm.ids,$E944)),_xlpm.f,SUM(_xlpm.m*(_xlpm.v="Failed")),_xlpm.b,SUM(_xlpm.m*(_xlpm.v="Blocked")),_xlpm.nr,SUM(_xlpm.m*(_xlpm.v="Not Run")),_xlpm.cp,SUM(_xlpm.m*(_xlpm.v="Conditionally Passed")),_xlpm.p,SUM(_xlpm.m*(_xlpm.v="Passed")),IF(TRIM($A944)="","",IF(TRIM($E944)="","Pending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44" s="68" t="str">
        <f>IF(TRIM($A944)="","",IF($J944="Passed","",IF($J944="Passed with Known Issue","Known Issue",IF($J944="",IF(OR($H944&lt;&gt;"No",AND($F944&lt;&gt;"Medium",$F944&lt;&gt;"Low")),"Pending Result",""),IF(OR($H944&lt;&gt;"No",AND($F944&lt;&gt;"Medium",$F944&lt;&gt;"Low")),IF(COUNTIFS(Dashboard!$B$105:$B$124,$A944,Dashboard!$I$105:$I$124,"CAB")&gt;0,"Accepted (CF)","Blocking"),IF($J944="Failed","Deferrable","Carry Over"))))))</f>
        <v/>
      </c>
      <c r="M944" s="68" t="str">
        <f>IF(OR(TRIM($A944)="",TRIM($E944)=""),"",IFERROR(INDEX('E2E core flow'!$B$15:$B$1000,MATCH(1,INDEX(('E2E core flow'!$A$15:$A$1000&lt;&gt;"")*ISNUMBER(SEARCH('E2E core flow'!$A$15:$A$1000,$E944)),0),0))&amp;"","-"))</f>
        <v/>
      </c>
      <c r="N944" s="68" t="str">
        <f>IF(TRIM($A944)="","",IF($O944=0,IF(COUNTIFS('Card Test Cases'!$B$4:$B$1000,$A944,'Card Test Cases'!$A$4:$A$1000,"&lt;&gt;")&gt;0,"Out of Scope","No TC"),IF($Q944&gt;0,"Failed",IF(COUNTIFS('Card Test Cases'!$B$4:$B$1000,$A944,'Card Test Cases'!$A$4:$A$1000,"&lt;&gt;",'Card Test Cases'!$F$4:$F$1000,"Blocked")&gt;0,"Blocked",IF($R944&gt;0,"In Progress","Passed")))))</f>
        <v/>
      </c>
      <c r="O944" s="68" t="str">
        <f>IF(TRIM($A944)="","",COUNTIFS('Card Test Cases'!$B$4:$B$1000,$A944,'Card Test Cases'!$A$4:$A$1000,"&lt;&gt;",'Card Test Cases'!$F$4:$F$1000,"&lt;&gt;Out of Scope"))</f>
        <v/>
      </c>
      <c r="P944" s="68" t="str">
        <f>IF(TRIM($A944)="","",COUNTIFS('Card Test Cases'!$B$4:$B$1000,$A944,'Card Test Cases'!$A$4:$A$1000,"&lt;&gt;",'Card Test Cases'!$F$4:$F$1000,"Passed"))</f>
        <v/>
      </c>
      <c r="Q944" s="68" t="str">
        <f>IF(TRIM($A944)="","",COUNTIFS('Card Test Cases'!$B$4:$B$1000,$A944,'Card Test Cases'!$A$4:$A$1000,"&lt;&gt;",'Card Test Cases'!$F$4:$F$1000,"Failed"))</f>
        <v/>
      </c>
      <c r="R944" s="68" t="str">
        <f t="shared" si="14"/>
        <v/>
      </c>
      <c r="S944" s="68" t="str" cm="1">
        <f t="array" ref="S944">IF(TRIM($A944)="","",IFERROR(_xlfn.TEXTJOIN(", ",TRUE,_xlfn.UNIQUE(_xlfn.VSTACK(_xlfn._xlws.FILTER('Card Test Cases'!$G$4:$G$1000,('Card Test Cases'!$B$4:$B$1000=$A944)*('Card Test Cases'!$G$4:$G$1000&lt;&gt;""),""),_xlfn._xlws.FILTER('E2E core flow'!$U$15:$U$1000,('E2E core flow'!$A$15:$A$1000&lt;&gt;"")*ISNUMBER(SEARCH('E2E core flow'!$A$15:$A$1000,$E944))*('E2E core flow'!$U$15:$U$1000&lt;&gt;""),"")))),"-"))</f>
        <v/>
      </c>
    </row>
    <row r="945" spans="7:19" x14ac:dyDescent="0.3">
      <c r="G945" s="68" t="str" cm="1">
        <f t="array" ref="G945">_xlfn.LET(_xlpm.ids,'E2E core flow'!$A$15:$A$1000,_xlpm.v,'E2E core flow'!$W$15:$W$1000,_xlpm.m,(_xlpm.ids&lt;&gt;"")*ISNUMBER(SEARCH(_xlpm.ids,$E945)),_xlpm.f,SUM(_xlpm.m*(_xlpm.v="Failed")),_xlpm.b,SUM(_xlpm.m*(_xlpm.v="Blocked")),_xlpm.nr,SUM(_xlpm.m*(_xlpm.v="Not Run")),_xlpm.cp,SUM(_xlpm.m*(_xlpm.v="Conditionally Passed")),_xlpm.p,SUM(_xlpm.m*(_xlpm.v="Passed")),IF(TRIM($A945)="","",IF(TRIM($E945)="","Pending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45" s="68" t="str">
        <f>IF(TRIM($A945)="","",IF($J945="Passed","",IF($J945="Passed with Known Issue","Known Issue",IF($J945="",IF(OR($H945&lt;&gt;"No",AND($F945&lt;&gt;"Medium",$F945&lt;&gt;"Low")),"Pending Result",""),IF(OR($H945&lt;&gt;"No",AND($F945&lt;&gt;"Medium",$F945&lt;&gt;"Low")),IF(COUNTIFS(Dashboard!$B$105:$B$124,$A945,Dashboard!$I$105:$I$124,"CAB")&gt;0,"Accepted (CF)","Blocking"),IF($J945="Failed","Deferrable","Carry Over"))))))</f>
        <v/>
      </c>
      <c r="M945" s="68" t="str">
        <f>IF(OR(TRIM($A945)="",TRIM($E945)=""),"",IFERROR(INDEX('E2E core flow'!$B$15:$B$1000,MATCH(1,INDEX(('E2E core flow'!$A$15:$A$1000&lt;&gt;"")*ISNUMBER(SEARCH('E2E core flow'!$A$15:$A$1000,$E945)),0),0))&amp;"","-"))</f>
        <v/>
      </c>
      <c r="N945" s="68" t="str">
        <f>IF(TRIM($A945)="","",IF($O945=0,IF(COUNTIFS('Card Test Cases'!$B$4:$B$1000,$A945,'Card Test Cases'!$A$4:$A$1000,"&lt;&gt;")&gt;0,"Out of Scope","No TC"),IF($Q945&gt;0,"Failed",IF(COUNTIFS('Card Test Cases'!$B$4:$B$1000,$A945,'Card Test Cases'!$A$4:$A$1000,"&lt;&gt;",'Card Test Cases'!$F$4:$F$1000,"Blocked")&gt;0,"Blocked",IF($R945&gt;0,"In Progress","Passed")))))</f>
        <v/>
      </c>
      <c r="O945" s="68" t="str">
        <f>IF(TRIM($A945)="","",COUNTIFS('Card Test Cases'!$B$4:$B$1000,$A945,'Card Test Cases'!$A$4:$A$1000,"&lt;&gt;",'Card Test Cases'!$F$4:$F$1000,"&lt;&gt;Out of Scope"))</f>
        <v/>
      </c>
      <c r="P945" s="68" t="str">
        <f>IF(TRIM($A945)="","",COUNTIFS('Card Test Cases'!$B$4:$B$1000,$A945,'Card Test Cases'!$A$4:$A$1000,"&lt;&gt;",'Card Test Cases'!$F$4:$F$1000,"Passed"))</f>
        <v/>
      </c>
      <c r="Q945" s="68" t="str">
        <f>IF(TRIM($A945)="","",COUNTIFS('Card Test Cases'!$B$4:$B$1000,$A945,'Card Test Cases'!$A$4:$A$1000,"&lt;&gt;",'Card Test Cases'!$F$4:$F$1000,"Failed"))</f>
        <v/>
      </c>
      <c r="R945" s="68" t="str">
        <f t="shared" si="14"/>
        <v/>
      </c>
      <c r="S945" s="68" t="str" cm="1">
        <f t="array" ref="S945">IF(TRIM($A945)="","",IFERROR(_xlfn.TEXTJOIN(", ",TRUE,_xlfn.UNIQUE(_xlfn.VSTACK(_xlfn._xlws.FILTER('Card Test Cases'!$G$4:$G$1000,('Card Test Cases'!$B$4:$B$1000=$A945)*('Card Test Cases'!$G$4:$G$1000&lt;&gt;""),""),_xlfn._xlws.FILTER('E2E core flow'!$U$15:$U$1000,('E2E core flow'!$A$15:$A$1000&lt;&gt;"")*ISNUMBER(SEARCH('E2E core flow'!$A$15:$A$1000,$E945))*('E2E core flow'!$U$15:$U$1000&lt;&gt;""),"")))),"-"))</f>
        <v/>
      </c>
    </row>
    <row r="946" spans="7:19" x14ac:dyDescent="0.3">
      <c r="G946" s="68" t="str" cm="1">
        <f t="array" ref="G946">_xlfn.LET(_xlpm.ids,'E2E core flow'!$A$15:$A$1000,_xlpm.v,'E2E core flow'!$W$15:$W$1000,_xlpm.m,(_xlpm.ids&lt;&gt;"")*ISNUMBER(SEARCH(_xlpm.ids,$E946)),_xlpm.f,SUM(_xlpm.m*(_xlpm.v="Failed")),_xlpm.b,SUM(_xlpm.m*(_xlpm.v="Blocked")),_xlpm.nr,SUM(_xlpm.m*(_xlpm.v="Not Run")),_xlpm.cp,SUM(_xlpm.m*(_xlpm.v="Conditionally Passed")),_xlpm.p,SUM(_xlpm.m*(_xlpm.v="Passed")),IF(TRIM($A946)="","",IF(TRIM($E946)="","Pending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46" s="68" t="str">
        <f>IF(TRIM($A946)="","",IF($J946="Passed","",IF($J946="Passed with Known Issue","Known Issue",IF($J946="",IF(OR($H946&lt;&gt;"No",AND($F946&lt;&gt;"Medium",$F946&lt;&gt;"Low")),"Pending Result",""),IF(OR($H946&lt;&gt;"No",AND($F946&lt;&gt;"Medium",$F946&lt;&gt;"Low")),IF(COUNTIFS(Dashboard!$B$105:$B$124,$A946,Dashboard!$I$105:$I$124,"CAB")&gt;0,"Accepted (CF)","Blocking"),IF($J946="Failed","Deferrable","Carry Over"))))))</f>
        <v/>
      </c>
      <c r="M946" s="68" t="str">
        <f>IF(OR(TRIM($A946)="",TRIM($E946)=""),"",IFERROR(INDEX('E2E core flow'!$B$15:$B$1000,MATCH(1,INDEX(('E2E core flow'!$A$15:$A$1000&lt;&gt;"")*ISNUMBER(SEARCH('E2E core flow'!$A$15:$A$1000,$E946)),0),0))&amp;"","-"))</f>
        <v/>
      </c>
      <c r="N946" s="68" t="str">
        <f>IF(TRIM($A946)="","",IF($O946=0,IF(COUNTIFS('Card Test Cases'!$B$4:$B$1000,$A946,'Card Test Cases'!$A$4:$A$1000,"&lt;&gt;")&gt;0,"Out of Scope","No TC"),IF($Q946&gt;0,"Failed",IF(COUNTIFS('Card Test Cases'!$B$4:$B$1000,$A946,'Card Test Cases'!$A$4:$A$1000,"&lt;&gt;",'Card Test Cases'!$F$4:$F$1000,"Blocked")&gt;0,"Blocked",IF($R946&gt;0,"In Progress","Passed")))))</f>
        <v/>
      </c>
      <c r="O946" s="68" t="str">
        <f>IF(TRIM($A946)="","",COUNTIFS('Card Test Cases'!$B$4:$B$1000,$A946,'Card Test Cases'!$A$4:$A$1000,"&lt;&gt;",'Card Test Cases'!$F$4:$F$1000,"&lt;&gt;Out of Scope"))</f>
        <v/>
      </c>
      <c r="P946" s="68" t="str">
        <f>IF(TRIM($A946)="","",COUNTIFS('Card Test Cases'!$B$4:$B$1000,$A946,'Card Test Cases'!$A$4:$A$1000,"&lt;&gt;",'Card Test Cases'!$F$4:$F$1000,"Passed"))</f>
        <v/>
      </c>
      <c r="Q946" s="68" t="str">
        <f>IF(TRIM($A946)="","",COUNTIFS('Card Test Cases'!$B$4:$B$1000,$A946,'Card Test Cases'!$A$4:$A$1000,"&lt;&gt;",'Card Test Cases'!$F$4:$F$1000,"Failed"))</f>
        <v/>
      </c>
      <c r="R946" s="68" t="str">
        <f t="shared" si="14"/>
        <v/>
      </c>
      <c r="S946" s="68" t="str" cm="1">
        <f t="array" ref="S946">IF(TRIM($A946)="","",IFERROR(_xlfn.TEXTJOIN(", ",TRUE,_xlfn.UNIQUE(_xlfn.VSTACK(_xlfn._xlws.FILTER('Card Test Cases'!$G$4:$G$1000,('Card Test Cases'!$B$4:$B$1000=$A946)*('Card Test Cases'!$G$4:$G$1000&lt;&gt;""),""),_xlfn._xlws.FILTER('E2E core flow'!$U$15:$U$1000,('E2E core flow'!$A$15:$A$1000&lt;&gt;"")*ISNUMBER(SEARCH('E2E core flow'!$A$15:$A$1000,$E946))*('E2E core flow'!$U$15:$U$1000&lt;&gt;""),"")))),"-"))</f>
        <v/>
      </c>
    </row>
    <row r="947" spans="7:19" x14ac:dyDescent="0.3">
      <c r="G947" s="68" t="str" cm="1">
        <f t="array" ref="G947">_xlfn.LET(_xlpm.ids,'E2E core flow'!$A$15:$A$1000,_xlpm.v,'E2E core flow'!$W$15:$W$1000,_xlpm.m,(_xlpm.ids&lt;&gt;"")*ISNUMBER(SEARCH(_xlpm.ids,$E947)),_xlpm.f,SUM(_xlpm.m*(_xlpm.v="Failed")),_xlpm.b,SUM(_xlpm.m*(_xlpm.v="Blocked")),_xlpm.nr,SUM(_xlpm.m*(_xlpm.v="Not Run")),_xlpm.cp,SUM(_xlpm.m*(_xlpm.v="Conditionally Passed")),_xlpm.p,SUM(_xlpm.m*(_xlpm.v="Passed")),IF(TRIM($A947)="","",IF(TRIM($E947)="","Pending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47" s="68" t="str">
        <f>IF(TRIM($A947)="","",IF($J947="Passed","",IF($J947="Passed with Known Issue","Known Issue",IF($J947="",IF(OR($H947&lt;&gt;"No",AND($F947&lt;&gt;"Medium",$F947&lt;&gt;"Low")),"Pending Result",""),IF(OR($H947&lt;&gt;"No",AND($F947&lt;&gt;"Medium",$F947&lt;&gt;"Low")),IF(COUNTIFS(Dashboard!$B$105:$B$124,$A947,Dashboard!$I$105:$I$124,"CAB")&gt;0,"Accepted (CF)","Blocking"),IF($J947="Failed","Deferrable","Carry Over"))))))</f>
        <v/>
      </c>
      <c r="M947" s="68" t="str">
        <f>IF(OR(TRIM($A947)="",TRIM($E947)=""),"",IFERROR(INDEX('E2E core flow'!$B$15:$B$1000,MATCH(1,INDEX(('E2E core flow'!$A$15:$A$1000&lt;&gt;"")*ISNUMBER(SEARCH('E2E core flow'!$A$15:$A$1000,$E947)),0),0))&amp;"","-"))</f>
        <v/>
      </c>
      <c r="N947" s="68" t="str">
        <f>IF(TRIM($A947)="","",IF($O947=0,IF(COUNTIFS('Card Test Cases'!$B$4:$B$1000,$A947,'Card Test Cases'!$A$4:$A$1000,"&lt;&gt;")&gt;0,"Out of Scope","No TC"),IF($Q947&gt;0,"Failed",IF(COUNTIFS('Card Test Cases'!$B$4:$B$1000,$A947,'Card Test Cases'!$A$4:$A$1000,"&lt;&gt;",'Card Test Cases'!$F$4:$F$1000,"Blocked")&gt;0,"Blocked",IF($R947&gt;0,"In Progress","Passed")))))</f>
        <v/>
      </c>
      <c r="O947" s="68" t="str">
        <f>IF(TRIM($A947)="","",COUNTIFS('Card Test Cases'!$B$4:$B$1000,$A947,'Card Test Cases'!$A$4:$A$1000,"&lt;&gt;",'Card Test Cases'!$F$4:$F$1000,"&lt;&gt;Out of Scope"))</f>
        <v/>
      </c>
      <c r="P947" s="68" t="str">
        <f>IF(TRIM($A947)="","",COUNTIFS('Card Test Cases'!$B$4:$B$1000,$A947,'Card Test Cases'!$A$4:$A$1000,"&lt;&gt;",'Card Test Cases'!$F$4:$F$1000,"Passed"))</f>
        <v/>
      </c>
      <c r="Q947" s="68" t="str">
        <f>IF(TRIM($A947)="","",COUNTIFS('Card Test Cases'!$B$4:$B$1000,$A947,'Card Test Cases'!$A$4:$A$1000,"&lt;&gt;",'Card Test Cases'!$F$4:$F$1000,"Failed"))</f>
        <v/>
      </c>
      <c r="R947" s="68" t="str">
        <f t="shared" si="14"/>
        <v/>
      </c>
      <c r="S947" s="68" t="str" cm="1">
        <f t="array" ref="S947">IF(TRIM($A947)="","",IFERROR(_xlfn.TEXTJOIN(", ",TRUE,_xlfn.UNIQUE(_xlfn.VSTACK(_xlfn._xlws.FILTER('Card Test Cases'!$G$4:$G$1000,('Card Test Cases'!$B$4:$B$1000=$A947)*('Card Test Cases'!$G$4:$G$1000&lt;&gt;""),""),_xlfn._xlws.FILTER('E2E core flow'!$U$15:$U$1000,('E2E core flow'!$A$15:$A$1000&lt;&gt;"")*ISNUMBER(SEARCH('E2E core flow'!$A$15:$A$1000,$E947))*('E2E core flow'!$U$15:$U$1000&lt;&gt;""),"")))),"-"))</f>
        <v/>
      </c>
    </row>
    <row r="948" spans="7:19" x14ac:dyDescent="0.3">
      <c r="G948" s="68" t="str" cm="1">
        <f t="array" ref="G948">_xlfn.LET(_xlpm.ids,'E2E core flow'!$A$15:$A$1000,_xlpm.v,'E2E core flow'!$W$15:$W$1000,_xlpm.m,(_xlpm.ids&lt;&gt;"")*ISNUMBER(SEARCH(_xlpm.ids,$E948)),_xlpm.f,SUM(_xlpm.m*(_xlpm.v="Failed")),_xlpm.b,SUM(_xlpm.m*(_xlpm.v="Blocked")),_xlpm.nr,SUM(_xlpm.m*(_xlpm.v="Not Run")),_xlpm.cp,SUM(_xlpm.m*(_xlpm.v="Conditionally Passed")),_xlpm.p,SUM(_xlpm.m*(_xlpm.v="Passed")),IF(TRIM($A948)="","",IF(TRIM($E948)="","Pending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48" s="68" t="str">
        <f>IF(TRIM($A948)="","",IF($J948="Passed","",IF($J948="Passed with Known Issue","Known Issue",IF($J948="",IF(OR($H948&lt;&gt;"No",AND($F948&lt;&gt;"Medium",$F948&lt;&gt;"Low")),"Pending Result",""),IF(OR($H948&lt;&gt;"No",AND($F948&lt;&gt;"Medium",$F948&lt;&gt;"Low")),IF(COUNTIFS(Dashboard!$B$105:$B$124,$A948,Dashboard!$I$105:$I$124,"CAB")&gt;0,"Accepted (CF)","Blocking"),IF($J948="Failed","Deferrable","Carry Over"))))))</f>
        <v/>
      </c>
      <c r="M948" s="68" t="str">
        <f>IF(OR(TRIM($A948)="",TRIM($E948)=""),"",IFERROR(INDEX('E2E core flow'!$B$15:$B$1000,MATCH(1,INDEX(('E2E core flow'!$A$15:$A$1000&lt;&gt;"")*ISNUMBER(SEARCH('E2E core flow'!$A$15:$A$1000,$E948)),0),0))&amp;"","-"))</f>
        <v/>
      </c>
      <c r="N948" s="68" t="str">
        <f>IF(TRIM($A948)="","",IF($O948=0,IF(COUNTIFS('Card Test Cases'!$B$4:$B$1000,$A948,'Card Test Cases'!$A$4:$A$1000,"&lt;&gt;")&gt;0,"Out of Scope","No TC"),IF($Q948&gt;0,"Failed",IF(COUNTIFS('Card Test Cases'!$B$4:$B$1000,$A948,'Card Test Cases'!$A$4:$A$1000,"&lt;&gt;",'Card Test Cases'!$F$4:$F$1000,"Blocked")&gt;0,"Blocked",IF($R948&gt;0,"In Progress","Passed")))))</f>
        <v/>
      </c>
      <c r="O948" s="68" t="str">
        <f>IF(TRIM($A948)="","",COUNTIFS('Card Test Cases'!$B$4:$B$1000,$A948,'Card Test Cases'!$A$4:$A$1000,"&lt;&gt;",'Card Test Cases'!$F$4:$F$1000,"&lt;&gt;Out of Scope"))</f>
        <v/>
      </c>
      <c r="P948" s="68" t="str">
        <f>IF(TRIM($A948)="","",COUNTIFS('Card Test Cases'!$B$4:$B$1000,$A948,'Card Test Cases'!$A$4:$A$1000,"&lt;&gt;",'Card Test Cases'!$F$4:$F$1000,"Passed"))</f>
        <v/>
      </c>
      <c r="Q948" s="68" t="str">
        <f>IF(TRIM($A948)="","",COUNTIFS('Card Test Cases'!$B$4:$B$1000,$A948,'Card Test Cases'!$A$4:$A$1000,"&lt;&gt;",'Card Test Cases'!$F$4:$F$1000,"Failed"))</f>
        <v/>
      </c>
      <c r="R948" s="68" t="str">
        <f t="shared" si="14"/>
        <v/>
      </c>
      <c r="S948" s="68" t="str" cm="1">
        <f t="array" ref="S948">IF(TRIM($A948)="","",IFERROR(_xlfn.TEXTJOIN(", ",TRUE,_xlfn.UNIQUE(_xlfn.VSTACK(_xlfn._xlws.FILTER('Card Test Cases'!$G$4:$G$1000,('Card Test Cases'!$B$4:$B$1000=$A948)*('Card Test Cases'!$G$4:$G$1000&lt;&gt;""),""),_xlfn._xlws.FILTER('E2E core flow'!$U$15:$U$1000,('E2E core flow'!$A$15:$A$1000&lt;&gt;"")*ISNUMBER(SEARCH('E2E core flow'!$A$15:$A$1000,$E948))*('E2E core flow'!$U$15:$U$1000&lt;&gt;""),"")))),"-"))</f>
        <v/>
      </c>
    </row>
    <row r="949" spans="7:19" x14ac:dyDescent="0.3">
      <c r="G949" s="68" t="str" cm="1">
        <f t="array" ref="G949">_xlfn.LET(_xlpm.ids,'E2E core flow'!$A$15:$A$1000,_xlpm.v,'E2E core flow'!$W$15:$W$1000,_xlpm.m,(_xlpm.ids&lt;&gt;"")*ISNUMBER(SEARCH(_xlpm.ids,$E949)),_xlpm.f,SUM(_xlpm.m*(_xlpm.v="Failed")),_xlpm.b,SUM(_xlpm.m*(_xlpm.v="Blocked")),_xlpm.nr,SUM(_xlpm.m*(_xlpm.v="Not Run")),_xlpm.cp,SUM(_xlpm.m*(_xlpm.v="Conditionally Passed")),_xlpm.p,SUM(_xlpm.m*(_xlpm.v="Passed")),IF(TRIM($A949)="","",IF(TRIM($E949)="","Pending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49" s="68" t="str">
        <f>IF(TRIM($A949)="","",IF($J949="Passed","",IF($J949="Passed with Known Issue","Known Issue",IF($J949="",IF(OR($H949&lt;&gt;"No",AND($F949&lt;&gt;"Medium",$F949&lt;&gt;"Low")),"Pending Result",""),IF(OR($H949&lt;&gt;"No",AND($F949&lt;&gt;"Medium",$F949&lt;&gt;"Low")),IF(COUNTIFS(Dashboard!$B$105:$B$124,$A949,Dashboard!$I$105:$I$124,"CAB")&gt;0,"Accepted (CF)","Blocking"),IF($J949="Failed","Deferrable","Carry Over"))))))</f>
        <v/>
      </c>
      <c r="M949" s="68" t="str">
        <f>IF(OR(TRIM($A949)="",TRIM($E949)=""),"",IFERROR(INDEX('E2E core flow'!$B$15:$B$1000,MATCH(1,INDEX(('E2E core flow'!$A$15:$A$1000&lt;&gt;"")*ISNUMBER(SEARCH('E2E core flow'!$A$15:$A$1000,$E949)),0),0))&amp;"","-"))</f>
        <v/>
      </c>
      <c r="N949" s="68" t="str">
        <f>IF(TRIM($A949)="","",IF($O949=0,IF(COUNTIFS('Card Test Cases'!$B$4:$B$1000,$A949,'Card Test Cases'!$A$4:$A$1000,"&lt;&gt;")&gt;0,"Out of Scope","No TC"),IF($Q949&gt;0,"Failed",IF(COUNTIFS('Card Test Cases'!$B$4:$B$1000,$A949,'Card Test Cases'!$A$4:$A$1000,"&lt;&gt;",'Card Test Cases'!$F$4:$F$1000,"Blocked")&gt;0,"Blocked",IF($R949&gt;0,"In Progress","Passed")))))</f>
        <v/>
      </c>
      <c r="O949" s="68" t="str">
        <f>IF(TRIM($A949)="","",COUNTIFS('Card Test Cases'!$B$4:$B$1000,$A949,'Card Test Cases'!$A$4:$A$1000,"&lt;&gt;",'Card Test Cases'!$F$4:$F$1000,"&lt;&gt;Out of Scope"))</f>
        <v/>
      </c>
      <c r="P949" s="68" t="str">
        <f>IF(TRIM($A949)="","",COUNTIFS('Card Test Cases'!$B$4:$B$1000,$A949,'Card Test Cases'!$A$4:$A$1000,"&lt;&gt;",'Card Test Cases'!$F$4:$F$1000,"Passed"))</f>
        <v/>
      </c>
      <c r="Q949" s="68" t="str">
        <f>IF(TRIM($A949)="","",COUNTIFS('Card Test Cases'!$B$4:$B$1000,$A949,'Card Test Cases'!$A$4:$A$1000,"&lt;&gt;",'Card Test Cases'!$F$4:$F$1000,"Failed"))</f>
        <v/>
      </c>
      <c r="R949" s="68" t="str">
        <f t="shared" si="14"/>
        <v/>
      </c>
      <c r="S949" s="68" t="str" cm="1">
        <f t="array" ref="S949">IF(TRIM($A949)="","",IFERROR(_xlfn.TEXTJOIN(", ",TRUE,_xlfn.UNIQUE(_xlfn.VSTACK(_xlfn._xlws.FILTER('Card Test Cases'!$G$4:$G$1000,('Card Test Cases'!$B$4:$B$1000=$A949)*('Card Test Cases'!$G$4:$G$1000&lt;&gt;""),""),_xlfn._xlws.FILTER('E2E core flow'!$U$15:$U$1000,('E2E core flow'!$A$15:$A$1000&lt;&gt;"")*ISNUMBER(SEARCH('E2E core flow'!$A$15:$A$1000,$E949))*('E2E core flow'!$U$15:$U$1000&lt;&gt;""),"")))),"-"))</f>
        <v/>
      </c>
    </row>
    <row r="950" spans="7:19" x14ac:dyDescent="0.3">
      <c r="G950" s="68" t="str" cm="1">
        <f t="array" ref="G950">_xlfn.LET(_xlpm.ids,'E2E core flow'!$A$15:$A$1000,_xlpm.v,'E2E core flow'!$W$15:$W$1000,_xlpm.m,(_xlpm.ids&lt;&gt;"")*ISNUMBER(SEARCH(_xlpm.ids,$E950)),_xlpm.f,SUM(_xlpm.m*(_xlpm.v="Failed")),_xlpm.b,SUM(_xlpm.m*(_xlpm.v="Blocked")),_xlpm.nr,SUM(_xlpm.m*(_xlpm.v="Not Run")),_xlpm.cp,SUM(_xlpm.m*(_xlpm.v="Conditionally Passed")),_xlpm.p,SUM(_xlpm.m*(_xlpm.v="Passed")),IF(TRIM($A950)="","",IF(TRIM($E950)="","Pending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50" s="68" t="str">
        <f>IF(TRIM($A950)="","",IF($J950="Passed","",IF($J950="Passed with Known Issue","Known Issue",IF($J950="",IF(OR($H950&lt;&gt;"No",AND($F950&lt;&gt;"Medium",$F950&lt;&gt;"Low")),"Pending Result",""),IF(OR($H950&lt;&gt;"No",AND($F950&lt;&gt;"Medium",$F950&lt;&gt;"Low")),IF(COUNTIFS(Dashboard!$B$105:$B$124,$A950,Dashboard!$I$105:$I$124,"CAB")&gt;0,"Accepted (CF)","Blocking"),IF($J950="Failed","Deferrable","Carry Over"))))))</f>
        <v/>
      </c>
      <c r="M950" s="68" t="str">
        <f>IF(OR(TRIM($A950)="",TRIM($E950)=""),"",IFERROR(INDEX('E2E core flow'!$B$15:$B$1000,MATCH(1,INDEX(('E2E core flow'!$A$15:$A$1000&lt;&gt;"")*ISNUMBER(SEARCH('E2E core flow'!$A$15:$A$1000,$E950)),0),0))&amp;"","-"))</f>
        <v/>
      </c>
      <c r="N950" s="68" t="str">
        <f>IF(TRIM($A950)="","",IF($O950=0,IF(COUNTIFS('Card Test Cases'!$B$4:$B$1000,$A950,'Card Test Cases'!$A$4:$A$1000,"&lt;&gt;")&gt;0,"Out of Scope","No TC"),IF($Q950&gt;0,"Failed",IF(COUNTIFS('Card Test Cases'!$B$4:$B$1000,$A950,'Card Test Cases'!$A$4:$A$1000,"&lt;&gt;",'Card Test Cases'!$F$4:$F$1000,"Blocked")&gt;0,"Blocked",IF($R950&gt;0,"In Progress","Passed")))))</f>
        <v/>
      </c>
      <c r="O950" s="68" t="str">
        <f>IF(TRIM($A950)="","",COUNTIFS('Card Test Cases'!$B$4:$B$1000,$A950,'Card Test Cases'!$A$4:$A$1000,"&lt;&gt;",'Card Test Cases'!$F$4:$F$1000,"&lt;&gt;Out of Scope"))</f>
        <v/>
      </c>
      <c r="P950" s="68" t="str">
        <f>IF(TRIM($A950)="","",COUNTIFS('Card Test Cases'!$B$4:$B$1000,$A950,'Card Test Cases'!$A$4:$A$1000,"&lt;&gt;",'Card Test Cases'!$F$4:$F$1000,"Passed"))</f>
        <v/>
      </c>
      <c r="Q950" s="68" t="str">
        <f>IF(TRIM($A950)="","",COUNTIFS('Card Test Cases'!$B$4:$B$1000,$A950,'Card Test Cases'!$A$4:$A$1000,"&lt;&gt;",'Card Test Cases'!$F$4:$F$1000,"Failed"))</f>
        <v/>
      </c>
      <c r="R950" s="68" t="str">
        <f t="shared" si="14"/>
        <v/>
      </c>
      <c r="S950" s="68" t="str" cm="1">
        <f t="array" ref="S950">IF(TRIM($A950)="","",IFERROR(_xlfn.TEXTJOIN(", ",TRUE,_xlfn.UNIQUE(_xlfn.VSTACK(_xlfn._xlws.FILTER('Card Test Cases'!$G$4:$G$1000,('Card Test Cases'!$B$4:$B$1000=$A950)*('Card Test Cases'!$G$4:$G$1000&lt;&gt;""),""),_xlfn._xlws.FILTER('E2E core flow'!$U$15:$U$1000,('E2E core flow'!$A$15:$A$1000&lt;&gt;"")*ISNUMBER(SEARCH('E2E core flow'!$A$15:$A$1000,$E950))*('E2E core flow'!$U$15:$U$1000&lt;&gt;""),"")))),"-"))</f>
        <v/>
      </c>
    </row>
    <row r="951" spans="7:19" x14ac:dyDescent="0.3">
      <c r="G951" s="68" t="str" cm="1">
        <f t="array" ref="G951">_xlfn.LET(_xlpm.ids,'E2E core flow'!$A$15:$A$1000,_xlpm.v,'E2E core flow'!$W$15:$W$1000,_xlpm.m,(_xlpm.ids&lt;&gt;"")*ISNUMBER(SEARCH(_xlpm.ids,$E951)),_xlpm.f,SUM(_xlpm.m*(_xlpm.v="Failed")),_xlpm.b,SUM(_xlpm.m*(_xlpm.v="Blocked")),_xlpm.nr,SUM(_xlpm.m*(_xlpm.v="Not Run")),_xlpm.cp,SUM(_xlpm.m*(_xlpm.v="Conditionally Passed")),_xlpm.p,SUM(_xlpm.m*(_xlpm.v="Passed")),IF(TRIM($A951)="","",IF(TRIM($E951)="","Pending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51" s="68" t="str">
        <f>IF(TRIM($A951)="","",IF($J951="Passed","",IF($J951="Passed with Known Issue","Known Issue",IF($J951="",IF(OR($H951&lt;&gt;"No",AND($F951&lt;&gt;"Medium",$F951&lt;&gt;"Low")),"Pending Result",""),IF(OR($H951&lt;&gt;"No",AND($F951&lt;&gt;"Medium",$F951&lt;&gt;"Low")),IF(COUNTIFS(Dashboard!$B$105:$B$124,$A951,Dashboard!$I$105:$I$124,"CAB")&gt;0,"Accepted (CF)","Blocking"),IF($J951="Failed","Deferrable","Carry Over"))))))</f>
        <v/>
      </c>
      <c r="M951" s="68" t="str">
        <f>IF(OR(TRIM($A951)="",TRIM($E951)=""),"",IFERROR(INDEX('E2E core flow'!$B$15:$B$1000,MATCH(1,INDEX(('E2E core flow'!$A$15:$A$1000&lt;&gt;"")*ISNUMBER(SEARCH('E2E core flow'!$A$15:$A$1000,$E951)),0),0))&amp;"","-"))</f>
        <v/>
      </c>
      <c r="N951" s="68" t="str">
        <f>IF(TRIM($A951)="","",IF($O951=0,IF(COUNTIFS('Card Test Cases'!$B$4:$B$1000,$A951,'Card Test Cases'!$A$4:$A$1000,"&lt;&gt;")&gt;0,"Out of Scope","No TC"),IF($Q951&gt;0,"Failed",IF(COUNTIFS('Card Test Cases'!$B$4:$B$1000,$A951,'Card Test Cases'!$A$4:$A$1000,"&lt;&gt;",'Card Test Cases'!$F$4:$F$1000,"Blocked")&gt;0,"Blocked",IF($R951&gt;0,"In Progress","Passed")))))</f>
        <v/>
      </c>
      <c r="O951" s="68" t="str">
        <f>IF(TRIM($A951)="","",COUNTIFS('Card Test Cases'!$B$4:$B$1000,$A951,'Card Test Cases'!$A$4:$A$1000,"&lt;&gt;",'Card Test Cases'!$F$4:$F$1000,"&lt;&gt;Out of Scope"))</f>
        <v/>
      </c>
      <c r="P951" s="68" t="str">
        <f>IF(TRIM($A951)="","",COUNTIFS('Card Test Cases'!$B$4:$B$1000,$A951,'Card Test Cases'!$A$4:$A$1000,"&lt;&gt;",'Card Test Cases'!$F$4:$F$1000,"Passed"))</f>
        <v/>
      </c>
      <c r="Q951" s="68" t="str">
        <f>IF(TRIM($A951)="","",COUNTIFS('Card Test Cases'!$B$4:$B$1000,$A951,'Card Test Cases'!$A$4:$A$1000,"&lt;&gt;",'Card Test Cases'!$F$4:$F$1000,"Failed"))</f>
        <v/>
      </c>
      <c r="R951" s="68" t="str">
        <f t="shared" si="14"/>
        <v/>
      </c>
      <c r="S951" s="68" t="str" cm="1">
        <f t="array" ref="S951">IF(TRIM($A951)="","",IFERROR(_xlfn.TEXTJOIN(", ",TRUE,_xlfn.UNIQUE(_xlfn.VSTACK(_xlfn._xlws.FILTER('Card Test Cases'!$G$4:$G$1000,('Card Test Cases'!$B$4:$B$1000=$A951)*('Card Test Cases'!$G$4:$G$1000&lt;&gt;""),""),_xlfn._xlws.FILTER('E2E core flow'!$U$15:$U$1000,('E2E core flow'!$A$15:$A$1000&lt;&gt;"")*ISNUMBER(SEARCH('E2E core flow'!$A$15:$A$1000,$E951))*('E2E core flow'!$U$15:$U$1000&lt;&gt;""),"")))),"-"))</f>
        <v/>
      </c>
    </row>
    <row r="952" spans="7:19" x14ac:dyDescent="0.3">
      <c r="G952" s="68" t="str" cm="1">
        <f t="array" ref="G952">_xlfn.LET(_xlpm.ids,'E2E core flow'!$A$15:$A$1000,_xlpm.v,'E2E core flow'!$W$15:$W$1000,_xlpm.m,(_xlpm.ids&lt;&gt;"")*ISNUMBER(SEARCH(_xlpm.ids,$E952)),_xlpm.f,SUM(_xlpm.m*(_xlpm.v="Failed")),_xlpm.b,SUM(_xlpm.m*(_xlpm.v="Blocked")),_xlpm.nr,SUM(_xlpm.m*(_xlpm.v="Not Run")),_xlpm.cp,SUM(_xlpm.m*(_xlpm.v="Conditionally Passed")),_xlpm.p,SUM(_xlpm.m*(_xlpm.v="Passed")),IF(TRIM($A952)="","",IF(TRIM($E952)="","Pending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52" s="68" t="str">
        <f>IF(TRIM($A952)="","",IF($J952="Passed","",IF($J952="Passed with Known Issue","Known Issue",IF($J952="",IF(OR($H952&lt;&gt;"No",AND($F952&lt;&gt;"Medium",$F952&lt;&gt;"Low")),"Pending Result",""),IF(OR($H952&lt;&gt;"No",AND($F952&lt;&gt;"Medium",$F952&lt;&gt;"Low")),IF(COUNTIFS(Dashboard!$B$105:$B$124,$A952,Dashboard!$I$105:$I$124,"CAB")&gt;0,"Accepted (CF)","Blocking"),IF($J952="Failed","Deferrable","Carry Over"))))))</f>
        <v/>
      </c>
      <c r="M952" s="68" t="str">
        <f>IF(OR(TRIM($A952)="",TRIM($E952)=""),"",IFERROR(INDEX('E2E core flow'!$B$15:$B$1000,MATCH(1,INDEX(('E2E core flow'!$A$15:$A$1000&lt;&gt;"")*ISNUMBER(SEARCH('E2E core flow'!$A$15:$A$1000,$E952)),0),0))&amp;"","-"))</f>
        <v/>
      </c>
      <c r="N952" s="68" t="str">
        <f>IF(TRIM($A952)="","",IF($O952=0,IF(COUNTIFS('Card Test Cases'!$B$4:$B$1000,$A952,'Card Test Cases'!$A$4:$A$1000,"&lt;&gt;")&gt;0,"Out of Scope","No TC"),IF($Q952&gt;0,"Failed",IF(COUNTIFS('Card Test Cases'!$B$4:$B$1000,$A952,'Card Test Cases'!$A$4:$A$1000,"&lt;&gt;",'Card Test Cases'!$F$4:$F$1000,"Blocked")&gt;0,"Blocked",IF($R952&gt;0,"In Progress","Passed")))))</f>
        <v/>
      </c>
      <c r="O952" s="68" t="str">
        <f>IF(TRIM($A952)="","",COUNTIFS('Card Test Cases'!$B$4:$B$1000,$A952,'Card Test Cases'!$A$4:$A$1000,"&lt;&gt;",'Card Test Cases'!$F$4:$F$1000,"&lt;&gt;Out of Scope"))</f>
        <v/>
      </c>
      <c r="P952" s="68" t="str">
        <f>IF(TRIM($A952)="","",COUNTIFS('Card Test Cases'!$B$4:$B$1000,$A952,'Card Test Cases'!$A$4:$A$1000,"&lt;&gt;",'Card Test Cases'!$F$4:$F$1000,"Passed"))</f>
        <v/>
      </c>
      <c r="Q952" s="68" t="str">
        <f>IF(TRIM($A952)="","",COUNTIFS('Card Test Cases'!$B$4:$B$1000,$A952,'Card Test Cases'!$A$4:$A$1000,"&lt;&gt;",'Card Test Cases'!$F$4:$F$1000,"Failed"))</f>
        <v/>
      </c>
      <c r="R952" s="68" t="str">
        <f t="shared" si="14"/>
        <v/>
      </c>
      <c r="S952" s="68" t="str" cm="1">
        <f t="array" ref="S952">IF(TRIM($A952)="","",IFERROR(_xlfn.TEXTJOIN(", ",TRUE,_xlfn.UNIQUE(_xlfn.VSTACK(_xlfn._xlws.FILTER('Card Test Cases'!$G$4:$G$1000,('Card Test Cases'!$B$4:$B$1000=$A952)*('Card Test Cases'!$G$4:$G$1000&lt;&gt;""),""),_xlfn._xlws.FILTER('E2E core flow'!$U$15:$U$1000,('E2E core flow'!$A$15:$A$1000&lt;&gt;"")*ISNUMBER(SEARCH('E2E core flow'!$A$15:$A$1000,$E952))*('E2E core flow'!$U$15:$U$1000&lt;&gt;""),"")))),"-"))</f>
        <v/>
      </c>
    </row>
    <row r="953" spans="7:19" x14ac:dyDescent="0.3">
      <c r="G953" s="68" t="str" cm="1">
        <f t="array" ref="G953">_xlfn.LET(_xlpm.ids,'E2E core flow'!$A$15:$A$1000,_xlpm.v,'E2E core flow'!$W$15:$W$1000,_xlpm.m,(_xlpm.ids&lt;&gt;"")*ISNUMBER(SEARCH(_xlpm.ids,$E953)),_xlpm.f,SUM(_xlpm.m*(_xlpm.v="Failed")),_xlpm.b,SUM(_xlpm.m*(_xlpm.v="Blocked")),_xlpm.nr,SUM(_xlpm.m*(_xlpm.v="Not Run")),_xlpm.cp,SUM(_xlpm.m*(_xlpm.v="Conditionally Passed")),_xlpm.p,SUM(_xlpm.m*(_xlpm.v="Passed")),IF(TRIM($A953)="","",IF(TRIM($E953)="","Pending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53" s="68" t="str">
        <f>IF(TRIM($A953)="","",IF($J953="Passed","",IF($J953="Passed with Known Issue","Known Issue",IF($J953="",IF(OR($H953&lt;&gt;"No",AND($F953&lt;&gt;"Medium",$F953&lt;&gt;"Low")),"Pending Result",""),IF(OR($H953&lt;&gt;"No",AND($F953&lt;&gt;"Medium",$F953&lt;&gt;"Low")),IF(COUNTIFS(Dashboard!$B$105:$B$124,$A953,Dashboard!$I$105:$I$124,"CAB")&gt;0,"Accepted (CF)","Blocking"),IF($J953="Failed","Deferrable","Carry Over"))))))</f>
        <v/>
      </c>
      <c r="M953" s="68" t="str">
        <f>IF(OR(TRIM($A953)="",TRIM($E953)=""),"",IFERROR(INDEX('E2E core flow'!$B$15:$B$1000,MATCH(1,INDEX(('E2E core flow'!$A$15:$A$1000&lt;&gt;"")*ISNUMBER(SEARCH('E2E core flow'!$A$15:$A$1000,$E953)),0),0))&amp;"","-"))</f>
        <v/>
      </c>
      <c r="N953" s="68" t="str">
        <f>IF(TRIM($A953)="","",IF($O953=0,IF(COUNTIFS('Card Test Cases'!$B$4:$B$1000,$A953,'Card Test Cases'!$A$4:$A$1000,"&lt;&gt;")&gt;0,"Out of Scope","No TC"),IF($Q953&gt;0,"Failed",IF(COUNTIFS('Card Test Cases'!$B$4:$B$1000,$A953,'Card Test Cases'!$A$4:$A$1000,"&lt;&gt;",'Card Test Cases'!$F$4:$F$1000,"Blocked")&gt;0,"Blocked",IF($R953&gt;0,"In Progress","Passed")))))</f>
        <v/>
      </c>
      <c r="O953" s="68" t="str">
        <f>IF(TRIM($A953)="","",COUNTIFS('Card Test Cases'!$B$4:$B$1000,$A953,'Card Test Cases'!$A$4:$A$1000,"&lt;&gt;",'Card Test Cases'!$F$4:$F$1000,"&lt;&gt;Out of Scope"))</f>
        <v/>
      </c>
      <c r="P953" s="68" t="str">
        <f>IF(TRIM($A953)="","",COUNTIFS('Card Test Cases'!$B$4:$B$1000,$A953,'Card Test Cases'!$A$4:$A$1000,"&lt;&gt;",'Card Test Cases'!$F$4:$F$1000,"Passed"))</f>
        <v/>
      </c>
      <c r="Q953" s="68" t="str">
        <f>IF(TRIM($A953)="","",COUNTIFS('Card Test Cases'!$B$4:$B$1000,$A953,'Card Test Cases'!$A$4:$A$1000,"&lt;&gt;",'Card Test Cases'!$F$4:$F$1000,"Failed"))</f>
        <v/>
      </c>
      <c r="R953" s="68" t="str">
        <f t="shared" si="14"/>
        <v/>
      </c>
      <c r="S953" s="68" t="str" cm="1">
        <f t="array" ref="S953">IF(TRIM($A953)="","",IFERROR(_xlfn.TEXTJOIN(", ",TRUE,_xlfn.UNIQUE(_xlfn.VSTACK(_xlfn._xlws.FILTER('Card Test Cases'!$G$4:$G$1000,('Card Test Cases'!$B$4:$B$1000=$A953)*('Card Test Cases'!$G$4:$G$1000&lt;&gt;""),""),_xlfn._xlws.FILTER('E2E core flow'!$U$15:$U$1000,('E2E core flow'!$A$15:$A$1000&lt;&gt;"")*ISNUMBER(SEARCH('E2E core flow'!$A$15:$A$1000,$E953))*('E2E core flow'!$U$15:$U$1000&lt;&gt;""),"")))),"-"))</f>
        <v/>
      </c>
    </row>
    <row r="954" spans="7:19" x14ac:dyDescent="0.3">
      <c r="G954" s="68" t="str" cm="1">
        <f t="array" ref="G954">_xlfn.LET(_xlpm.ids,'E2E core flow'!$A$15:$A$1000,_xlpm.v,'E2E core flow'!$W$15:$W$1000,_xlpm.m,(_xlpm.ids&lt;&gt;"")*ISNUMBER(SEARCH(_xlpm.ids,$E954)),_xlpm.f,SUM(_xlpm.m*(_xlpm.v="Failed")),_xlpm.b,SUM(_xlpm.m*(_xlpm.v="Blocked")),_xlpm.nr,SUM(_xlpm.m*(_xlpm.v="Not Run")),_xlpm.cp,SUM(_xlpm.m*(_xlpm.v="Conditionally Passed")),_xlpm.p,SUM(_xlpm.m*(_xlpm.v="Passed")),IF(TRIM($A954)="","",IF(TRIM($E954)="","Pending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54" s="68" t="str">
        <f>IF(TRIM($A954)="","",IF($J954="Passed","",IF($J954="Passed with Known Issue","Known Issue",IF($J954="",IF(OR($H954&lt;&gt;"No",AND($F954&lt;&gt;"Medium",$F954&lt;&gt;"Low")),"Pending Result",""),IF(OR($H954&lt;&gt;"No",AND($F954&lt;&gt;"Medium",$F954&lt;&gt;"Low")),IF(COUNTIFS(Dashboard!$B$105:$B$124,$A954,Dashboard!$I$105:$I$124,"CAB")&gt;0,"Accepted (CF)","Blocking"),IF($J954="Failed","Deferrable","Carry Over"))))))</f>
        <v/>
      </c>
      <c r="M954" s="68" t="str">
        <f>IF(OR(TRIM($A954)="",TRIM($E954)=""),"",IFERROR(INDEX('E2E core flow'!$B$15:$B$1000,MATCH(1,INDEX(('E2E core flow'!$A$15:$A$1000&lt;&gt;"")*ISNUMBER(SEARCH('E2E core flow'!$A$15:$A$1000,$E954)),0),0))&amp;"","-"))</f>
        <v/>
      </c>
      <c r="N954" s="68" t="str">
        <f>IF(TRIM($A954)="","",IF($O954=0,IF(COUNTIFS('Card Test Cases'!$B$4:$B$1000,$A954,'Card Test Cases'!$A$4:$A$1000,"&lt;&gt;")&gt;0,"Out of Scope","No TC"),IF($Q954&gt;0,"Failed",IF(COUNTIFS('Card Test Cases'!$B$4:$B$1000,$A954,'Card Test Cases'!$A$4:$A$1000,"&lt;&gt;",'Card Test Cases'!$F$4:$F$1000,"Blocked")&gt;0,"Blocked",IF($R954&gt;0,"In Progress","Passed")))))</f>
        <v/>
      </c>
      <c r="O954" s="68" t="str">
        <f>IF(TRIM($A954)="","",COUNTIFS('Card Test Cases'!$B$4:$B$1000,$A954,'Card Test Cases'!$A$4:$A$1000,"&lt;&gt;",'Card Test Cases'!$F$4:$F$1000,"&lt;&gt;Out of Scope"))</f>
        <v/>
      </c>
      <c r="P954" s="68" t="str">
        <f>IF(TRIM($A954)="","",COUNTIFS('Card Test Cases'!$B$4:$B$1000,$A954,'Card Test Cases'!$A$4:$A$1000,"&lt;&gt;",'Card Test Cases'!$F$4:$F$1000,"Passed"))</f>
        <v/>
      </c>
      <c r="Q954" s="68" t="str">
        <f>IF(TRIM($A954)="","",COUNTIFS('Card Test Cases'!$B$4:$B$1000,$A954,'Card Test Cases'!$A$4:$A$1000,"&lt;&gt;",'Card Test Cases'!$F$4:$F$1000,"Failed"))</f>
        <v/>
      </c>
      <c r="R954" s="68" t="str">
        <f t="shared" si="14"/>
        <v/>
      </c>
      <c r="S954" s="68" t="str" cm="1">
        <f t="array" ref="S954">IF(TRIM($A954)="","",IFERROR(_xlfn.TEXTJOIN(", ",TRUE,_xlfn.UNIQUE(_xlfn.VSTACK(_xlfn._xlws.FILTER('Card Test Cases'!$G$4:$G$1000,('Card Test Cases'!$B$4:$B$1000=$A954)*('Card Test Cases'!$G$4:$G$1000&lt;&gt;""),""),_xlfn._xlws.FILTER('E2E core flow'!$U$15:$U$1000,('E2E core flow'!$A$15:$A$1000&lt;&gt;"")*ISNUMBER(SEARCH('E2E core flow'!$A$15:$A$1000,$E954))*('E2E core flow'!$U$15:$U$1000&lt;&gt;""),"")))),"-"))</f>
        <v/>
      </c>
    </row>
    <row r="955" spans="7:19" x14ac:dyDescent="0.3">
      <c r="G955" s="68" t="str" cm="1">
        <f t="array" ref="G955">_xlfn.LET(_xlpm.ids,'E2E core flow'!$A$15:$A$1000,_xlpm.v,'E2E core flow'!$W$15:$W$1000,_xlpm.m,(_xlpm.ids&lt;&gt;"")*ISNUMBER(SEARCH(_xlpm.ids,$E955)),_xlpm.f,SUM(_xlpm.m*(_xlpm.v="Failed")),_xlpm.b,SUM(_xlpm.m*(_xlpm.v="Blocked")),_xlpm.nr,SUM(_xlpm.m*(_xlpm.v="Not Run")),_xlpm.cp,SUM(_xlpm.m*(_xlpm.v="Conditionally Passed")),_xlpm.p,SUM(_xlpm.m*(_xlpm.v="Passed")),IF(TRIM($A955)="","",IF(TRIM($E955)="","Pending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55" s="68" t="str">
        <f>IF(TRIM($A955)="","",IF($J955="Passed","",IF($J955="Passed with Known Issue","Known Issue",IF($J955="",IF(OR($H955&lt;&gt;"No",AND($F955&lt;&gt;"Medium",$F955&lt;&gt;"Low")),"Pending Result",""),IF(OR($H955&lt;&gt;"No",AND($F955&lt;&gt;"Medium",$F955&lt;&gt;"Low")),IF(COUNTIFS(Dashboard!$B$105:$B$124,$A955,Dashboard!$I$105:$I$124,"CAB")&gt;0,"Accepted (CF)","Blocking"),IF($J955="Failed","Deferrable","Carry Over"))))))</f>
        <v/>
      </c>
      <c r="M955" s="68" t="str">
        <f>IF(OR(TRIM($A955)="",TRIM($E955)=""),"",IFERROR(INDEX('E2E core flow'!$B$15:$B$1000,MATCH(1,INDEX(('E2E core flow'!$A$15:$A$1000&lt;&gt;"")*ISNUMBER(SEARCH('E2E core flow'!$A$15:$A$1000,$E955)),0),0))&amp;"","-"))</f>
        <v/>
      </c>
      <c r="N955" s="68" t="str">
        <f>IF(TRIM($A955)="","",IF($O955=0,IF(COUNTIFS('Card Test Cases'!$B$4:$B$1000,$A955,'Card Test Cases'!$A$4:$A$1000,"&lt;&gt;")&gt;0,"Out of Scope","No TC"),IF($Q955&gt;0,"Failed",IF(COUNTIFS('Card Test Cases'!$B$4:$B$1000,$A955,'Card Test Cases'!$A$4:$A$1000,"&lt;&gt;",'Card Test Cases'!$F$4:$F$1000,"Blocked")&gt;0,"Blocked",IF($R955&gt;0,"In Progress","Passed")))))</f>
        <v/>
      </c>
      <c r="O955" s="68" t="str">
        <f>IF(TRIM($A955)="","",COUNTIFS('Card Test Cases'!$B$4:$B$1000,$A955,'Card Test Cases'!$A$4:$A$1000,"&lt;&gt;",'Card Test Cases'!$F$4:$F$1000,"&lt;&gt;Out of Scope"))</f>
        <v/>
      </c>
      <c r="P955" s="68" t="str">
        <f>IF(TRIM($A955)="","",COUNTIFS('Card Test Cases'!$B$4:$B$1000,$A955,'Card Test Cases'!$A$4:$A$1000,"&lt;&gt;",'Card Test Cases'!$F$4:$F$1000,"Passed"))</f>
        <v/>
      </c>
      <c r="Q955" s="68" t="str">
        <f>IF(TRIM($A955)="","",COUNTIFS('Card Test Cases'!$B$4:$B$1000,$A955,'Card Test Cases'!$A$4:$A$1000,"&lt;&gt;",'Card Test Cases'!$F$4:$F$1000,"Failed"))</f>
        <v/>
      </c>
      <c r="R955" s="68" t="str">
        <f t="shared" si="14"/>
        <v/>
      </c>
      <c r="S955" s="68" t="str" cm="1">
        <f t="array" ref="S955">IF(TRIM($A955)="","",IFERROR(_xlfn.TEXTJOIN(", ",TRUE,_xlfn.UNIQUE(_xlfn.VSTACK(_xlfn._xlws.FILTER('Card Test Cases'!$G$4:$G$1000,('Card Test Cases'!$B$4:$B$1000=$A955)*('Card Test Cases'!$G$4:$G$1000&lt;&gt;""),""),_xlfn._xlws.FILTER('E2E core flow'!$U$15:$U$1000,('E2E core flow'!$A$15:$A$1000&lt;&gt;"")*ISNUMBER(SEARCH('E2E core flow'!$A$15:$A$1000,$E955))*('E2E core flow'!$U$15:$U$1000&lt;&gt;""),"")))),"-"))</f>
        <v/>
      </c>
    </row>
    <row r="956" spans="7:19" x14ac:dyDescent="0.3">
      <c r="G956" s="68" t="str" cm="1">
        <f t="array" ref="G956">_xlfn.LET(_xlpm.ids,'E2E core flow'!$A$15:$A$1000,_xlpm.v,'E2E core flow'!$W$15:$W$1000,_xlpm.m,(_xlpm.ids&lt;&gt;"")*ISNUMBER(SEARCH(_xlpm.ids,$E956)),_xlpm.f,SUM(_xlpm.m*(_xlpm.v="Failed")),_xlpm.b,SUM(_xlpm.m*(_xlpm.v="Blocked")),_xlpm.nr,SUM(_xlpm.m*(_xlpm.v="Not Run")),_xlpm.cp,SUM(_xlpm.m*(_xlpm.v="Conditionally Passed")),_xlpm.p,SUM(_xlpm.m*(_xlpm.v="Passed")),IF(TRIM($A956)="","",IF(TRIM($E956)="","Pending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56" s="68" t="str">
        <f>IF(TRIM($A956)="","",IF($J956="Passed","",IF($J956="Passed with Known Issue","Known Issue",IF($J956="",IF(OR($H956&lt;&gt;"No",AND($F956&lt;&gt;"Medium",$F956&lt;&gt;"Low")),"Pending Result",""),IF(OR($H956&lt;&gt;"No",AND($F956&lt;&gt;"Medium",$F956&lt;&gt;"Low")),IF(COUNTIFS(Dashboard!$B$105:$B$124,$A956,Dashboard!$I$105:$I$124,"CAB")&gt;0,"Accepted (CF)","Blocking"),IF($J956="Failed","Deferrable","Carry Over"))))))</f>
        <v/>
      </c>
      <c r="M956" s="68" t="str">
        <f>IF(OR(TRIM($A956)="",TRIM($E956)=""),"",IFERROR(INDEX('E2E core flow'!$B$15:$B$1000,MATCH(1,INDEX(('E2E core flow'!$A$15:$A$1000&lt;&gt;"")*ISNUMBER(SEARCH('E2E core flow'!$A$15:$A$1000,$E956)),0),0))&amp;"","-"))</f>
        <v/>
      </c>
      <c r="N956" s="68" t="str">
        <f>IF(TRIM($A956)="","",IF($O956=0,IF(COUNTIFS('Card Test Cases'!$B$4:$B$1000,$A956,'Card Test Cases'!$A$4:$A$1000,"&lt;&gt;")&gt;0,"Out of Scope","No TC"),IF($Q956&gt;0,"Failed",IF(COUNTIFS('Card Test Cases'!$B$4:$B$1000,$A956,'Card Test Cases'!$A$4:$A$1000,"&lt;&gt;",'Card Test Cases'!$F$4:$F$1000,"Blocked")&gt;0,"Blocked",IF($R956&gt;0,"In Progress","Passed")))))</f>
        <v/>
      </c>
      <c r="O956" s="68" t="str">
        <f>IF(TRIM($A956)="","",COUNTIFS('Card Test Cases'!$B$4:$B$1000,$A956,'Card Test Cases'!$A$4:$A$1000,"&lt;&gt;",'Card Test Cases'!$F$4:$F$1000,"&lt;&gt;Out of Scope"))</f>
        <v/>
      </c>
      <c r="P956" s="68" t="str">
        <f>IF(TRIM($A956)="","",COUNTIFS('Card Test Cases'!$B$4:$B$1000,$A956,'Card Test Cases'!$A$4:$A$1000,"&lt;&gt;",'Card Test Cases'!$F$4:$F$1000,"Passed"))</f>
        <v/>
      </c>
      <c r="Q956" s="68" t="str">
        <f>IF(TRIM($A956)="","",COUNTIFS('Card Test Cases'!$B$4:$B$1000,$A956,'Card Test Cases'!$A$4:$A$1000,"&lt;&gt;",'Card Test Cases'!$F$4:$F$1000,"Failed"))</f>
        <v/>
      </c>
      <c r="R956" s="68" t="str">
        <f t="shared" si="14"/>
        <v/>
      </c>
      <c r="S956" s="68" t="str" cm="1">
        <f t="array" ref="S956">IF(TRIM($A956)="","",IFERROR(_xlfn.TEXTJOIN(", ",TRUE,_xlfn.UNIQUE(_xlfn.VSTACK(_xlfn._xlws.FILTER('Card Test Cases'!$G$4:$G$1000,('Card Test Cases'!$B$4:$B$1000=$A956)*('Card Test Cases'!$G$4:$G$1000&lt;&gt;""),""),_xlfn._xlws.FILTER('E2E core flow'!$U$15:$U$1000,('E2E core flow'!$A$15:$A$1000&lt;&gt;"")*ISNUMBER(SEARCH('E2E core flow'!$A$15:$A$1000,$E956))*('E2E core flow'!$U$15:$U$1000&lt;&gt;""),"")))),"-"))</f>
        <v/>
      </c>
    </row>
    <row r="957" spans="7:19" x14ac:dyDescent="0.3">
      <c r="G957" s="68" t="str" cm="1">
        <f t="array" ref="G957">_xlfn.LET(_xlpm.ids,'E2E core flow'!$A$15:$A$1000,_xlpm.v,'E2E core flow'!$W$15:$W$1000,_xlpm.m,(_xlpm.ids&lt;&gt;"")*ISNUMBER(SEARCH(_xlpm.ids,$E957)),_xlpm.f,SUM(_xlpm.m*(_xlpm.v="Failed")),_xlpm.b,SUM(_xlpm.m*(_xlpm.v="Blocked")),_xlpm.nr,SUM(_xlpm.m*(_xlpm.v="Not Run")),_xlpm.cp,SUM(_xlpm.m*(_xlpm.v="Conditionally Passed")),_xlpm.p,SUM(_xlpm.m*(_xlpm.v="Passed")),IF(TRIM($A957)="","",IF(TRIM($E957)="","Pending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57" s="68" t="str">
        <f>IF(TRIM($A957)="","",IF($J957="Passed","",IF($J957="Passed with Known Issue","Known Issue",IF($J957="",IF(OR($H957&lt;&gt;"No",AND($F957&lt;&gt;"Medium",$F957&lt;&gt;"Low")),"Pending Result",""),IF(OR($H957&lt;&gt;"No",AND($F957&lt;&gt;"Medium",$F957&lt;&gt;"Low")),IF(COUNTIFS(Dashboard!$B$105:$B$124,$A957,Dashboard!$I$105:$I$124,"CAB")&gt;0,"Accepted (CF)","Blocking"),IF($J957="Failed","Deferrable","Carry Over"))))))</f>
        <v/>
      </c>
      <c r="M957" s="68" t="str">
        <f>IF(OR(TRIM($A957)="",TRIM($E957)=""),"",IFERROR(INDEX('E2E core flow'!$B$15:$B$1000,MATCH(1,INDEX(('E2E core flow'!$A$15:$A$1000&lt;&gt;"")*ISNUMBER(SEARCH('E2E core flow'!$A$15:$A$1000,$E957)),0),0))&amp;"","-"))</f>
        <v/>
      </c>
      <c r="N957" s="68" t="str">
        <f>IF(TRIM($A957)="","",IF($O957=0,IF(COUNTIFS('Card Test Cases'!$B$4:$B$1000,$A957,'Card Test Cases'!$A$4:$A$1000,"&lt;&gt;")&gt;0,"Out of Scope","No TC"),IF($Q957&gt;0,"Failed",IF(COUNTIFS('Card Test Cases'!$B$4:$B$1000,$A957,'Card Test Cases'!$A$4:$A$1000,"&lt;&gt;",'Card Test Cases'!$F$4:$F$1000,"Blocked")&gt;0,"Blocked",IF($R957&gt;0,"In Progress","Passed")))))</f>
        <v/>
      </c>
      <c r="O957" s="68" t="str">
        <f>IF(TRIM($A957)="","",COUNTIFS('Card Test Cases'!$B$4:$B$1000,$A957,'Card Test Cases'!$A$4:$A$1000,"&lt;&gt;",'Card Test Cases'!$F$4:$F$1000,"&lt;&gt;Out of Scope"))</f>
        <v/>
      </c>
      <c r="P957" s="68" t="str">
        <f>IF(TRIM($A957)="","",COUNTIFS('Card Test Cases'!$B$4:$B$1000,$A957,'Card Test Cases'!$A$4:$A$1000,"&lt;&gt;",'Card Test Cases'!$F$4:$F$1000,"Passed"))</f>
        <v/>
      </c>
      <c r="Q957" s="68" t="str">
        <f>IF(TRIM($A957)="","",COUNTIFS('Card Test Cases'!$B$4:$B$1000,$A957,'Card Test Cases'!$A$4:$A$1000,"&lt;&gt;",'Card Test Cases'!$F$4:$F$1000,"Failed"))</f>
        <v/>
      </c>
      <c r="R957" s="68" t="str">
        <f t="shared" si="14"/>
        <v/>
      </c>
      <c r="S957" s="68" t="str" cm="1">
        <f t="array" ref="S957">IF(TRIM($A957)="","",IFERROR(_xlfn.TEXTJOIN(", ",TRUE,_xlfn.UNIQUE(_xlfn.VSTACK(_xlfn._xlws.FILTER('Card Test Cases'!$G$4:$G$1000,('Card Test Cases'!$B$4:$B$1000=$A957)*('Card Test Cases'!$G$4:$G$1000&lt;&gt;""),""),_xlfn._xlws.FILTER('E2E core flow'!$U$15:$U$1000,('E2E core flow'!$A$15:$A$1000&lt;&gt;"")*ISNUMBER(SEARCH('E2E core flow'!$A$15:$A$1000,$E957))*('E2E core flow'!$U$15:$U$1000&lt;&gt;""),"")))),"-"))</f>
        <v/>
      </c>
    </row>
    <row r="958" spans="7:19" x14ac:dyDescent="0.3">
      <c r="G958" s="68" t="str" cm="1">
        <f t="array" ref="G958">_xlfn.LET(_xlpm.ids,'E2E core flow'!$A$15:$A$1000,_xlpm.v,'E2E core flow'!$W$15:$W$1000,_xlpm.m,(_xlpm.ids&lt;&gt;"")*ISNUMBER(SEARCH(_xlpm.ids,$E958)),_xlpm.f,SUM(_xlpm.m*(_xlpm.v="Failed")),_xlpm.b,SUM(_xlpm.m*(_xlpm.v="Blocked")),_xlpm.nr,SUM(_xlpm.m*(_xlpm.v="Not Run")),_xlpm.cp,SUM(_xlpm.m*(_xlpm.v="Conditionally Passed")),_xlpm.p,SUM(_xlpm.m*(_xlpm.v="Passed")),IF(TRIM($A958)="","",IF(TRIM($E958)="","Pending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58" s="68" t="str">
        <f>IF(TRIM($A958)="","",IF($J958="Passed","",IF($J958="Passed with Known Issue","Known Issue",IF($J958="",IF(OR($H958&lt;&gt;"No",AND($F958&lt;&gt;"Medium",$F958&lt;&gt;"Low")),"Pending Result",""),IF(OR($H958&lt;&gt;"No",AND($F958&lt;&gt;"Medium",$F958&lt;&gt;"Low")),IF(COUNTIFS(Dashboard!$B$105:$B$124,$A958,Dashboard!$I$105:$I$124,"CAB")&gt;0,"Accepted (CF)","Blocking"),IF($J958="Failed","Deferrable","Carry Over"))))))</f>
        <v/>
      </c>
      <c r="M958" s="68" t="str">
        <f>IF(OR(TRIM($A958)="",TRIM($E958)=""),"",IFERROR(INDEX('E2E core flow'!$B$15:$B$1000,MATCH(1,INDEX(('E2E core flow'!$A$15:$A$1000&lt;&gt;"")*ISNUMBER(SEARCH('E2E core flow'!$A$15:$A$1000,$E958)),0),0))&amp;"","-"))</f>
        <v/>
      </c>
      <c r="N958" s="68" t="str">
        <f>IF(TRIM($A958)="","",IF($O958=0,IF(COUNTIFS('Card Test Cases'!$B$4:$B$1000,$A958,'Card Test Cases'!$A$4:$A$1000,"&lt;&gt;")&gt;0,"Out of Scope","No TC"),IF($Q958&gt;0,"Failed",IF(COUNTIFS('Card Test Cases'!$B$4:$B$1000,$A958,'Card Test Cases'!$A$4:$A$1000,"&lt;&gt;",'Card Test Cases'!$F$4:$F$1000,"Blocked")&gt;0,"Blocked",IF($R958&gt;0,"In Progress","Passed")))))</f>
        <v/>
      </c>
      <c r="O958" s="68" t="str">
        <f>IF(TRIM($A958)="","",COUNTIFS('Card Test Cases'!$B$4:$B$1000,$A958,'Card Test Cases'!$A$4:$A$1000,"&lt;&gt;",'Card Test Cases'!$F$4:$F$1000,"&lt;&gt;Out of Scope"))</f>
        <v/>
      </c>
      <c r="P958" s="68" t="str">
        <f>IF(TRIM($A958)="","",COUNTIFS('Card Test Cases'!$B$4:$B$1000,$A958,'Card Test Cases'!$A$4:$A$1000,"&lt;&gt;",'Card Test Cases'!$F$4:$F$1000,"Passed"))</f>
        <v/>
      </c>
      <c r="Q958" s="68" t="str">
        <f>IF(TRIM($A958)="","",COUNTIFS('Card Test Cases'!$B$4:$B$1000,$A958,'Card Test Cases'!$A$4:$A$1000,"&lt;&gt;",'Card Test Cases'!$F$4:$F$1000,"Failed"))</f>
        <v/>
      </c>
      <c r="R958" s="68" t="str">
        <f t="shared" si="14"/>
        <v/>
      </c>
      <c r="S958" s="68" t="str" cm="1">
        <f t="array" ref="S958">IF(TRIM($A958)="","",IFERROR(_xlfn.TEXTJOIN(", ",TRUE,_xlfn.UNIQUE(_xlfn.VSTACK(_xlfn._xlws.FILTER('Card Test Cases'!$G$4:$G$1000,('Card Test Cases'!$B$4:$B$1000=$A958)*('Card Test Cases'!$G$4:$G$1000&lt;&gt;""),""),_xlfn._xlws.FILTER('E2E core flow'!$U$15:$U$1000,('E2E core flow'!$A$15:$A$1000&lt;&gt;"")*ISNUMBER(SEARCH('E2E core flow'!$A$15:$A$1000,$E958))*('E2E core flow'!$U$15:$U$1000&lt;&gt;""),"")))),"-"))</f>
        <v/>
      </c>
    </row>
    <row r="959" spans="7:19" x14ac:dyDescent="0.3">
      <c r="G959" s="68" t="str" cm="1">
        <f t="array" ref="G959">_xlfn.LET(_xlpm.ids,'E2E core flow'!$A$15:$A$1000,_xlpm.v,'E2E core flow'!$W$15:$W$1000,_xlpm.m,(_xlpm.ids&lt;&gt;"")*ISNUMBER(SEARCH(_xlpm.ids,$E959)),_xlpm.f,SUM(_xlpm.m*(_xlpm.v="Failed")),_xlpm.b,SUM(_xlpm.m*(_xlpm.v="Blocked")),_xlpm.nr,SUM(_xlpm.m*(_xlpm.v="Not Run")),_xlpm.cp,SUM(_xlpm.m*(_xlpm.v="Conditionally Passed")),_xlpm.p,SUM(_xlpm.m*(_xlpm.v="Passed")),IF(TRIM($A959)="","",IF(TRIM($E959)="","Pending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59" s="68" t="str">
        <f>IF(TRIM($A959)="","",IF($J959="Passed","",IF($J959="Passed with Known Issue","Known Issue",IF($J959="",IF(OR($H959&lt;&gt;"No",AND($F959&lt;&gt;"Medium",$F959&lt;&gt;"Low")),"Pending Result",""),IF(OR($H959&lt;&gt;"No",AND($F959&lt;&gt;"Medium",$F959&lt;&gt;"Low")),IF(COUNTIFS(Dashboard!$B$105:$B$124,$A959,Dashboard!$I$105:$I$124,"CAB")&gt;0,"Accepted (CF)","Blocking"),IF($J959="Failed","Deferrable","Carry Over"))))))</f>
        <v/>
      </c>
      <c r="M959" s="68" t="str">
        <f>IF(OR(TRIM($A959)="",TRIM($E959)=""),"",IFERROR(INDEX('E2E core flow'!$B$15:$B$1000,MATCH(1,INDEX(('E2E core flow'!$A$15:$A$1000&lt;&gt;"")*ISNUMBER(SEARCH('E2E core flow'!$A$15:$A$1000,$E959)),0),0))&amp;"","-"))</f>
        <v/>
      </c>
      <c r="N959" s="68" t="str">
        <f>IF(TRIM($A959)="","",IF($O959=0,IF(COUNTIFS('Card Test Cases'!$B$4:$B$1000,$A959,'Card Test Cases'!$A$4:$A$1000,"&lt;&gt;")&gt;0,"Out of Scope","No TC"),IF($Q959&gt;0,"Failed",IF(COUNTIFS('Card Test Cases'!$B$4:$B$1000,$A959,'Card Test Cases'!$A$4:$A$1000,"&lt;&gt;",'Card Test Cases'!$F$4:$F$1000,"Blocked")&gt;0,"Blocked",IF($R959&gt;0,"In Progress","Passed")))))</f>
        <v/>
      </c>
      <c r="O959" s="68" t="str">
        <f>IF(TRIM($A959)="","",COUNTIFS('Card Test Cases'!$B$4:$B$1000,$A959,'Card Test Cases'!$A$4:$A$1000,"&lt;&gt;",'Card Test Cases'!$F$4:$F$1000,"&lt;&gt;Out of Scope"))</f>
        <v/>
      </c>
      <c r="P959" s="68" t="str">
        <f>IF(TRIM($A959)="","",COUNTIFS('Card Test Cases'!$B$4:$B$1000,$A959,'Card Test Cases'!$A$4:$A$1000,"&lt;&gt;",'Card Test Cases'!$F$4:$F$1000,"Passed"))</f>
        <v/>
      </c>
      <c r="Q959" s="68" t="str">
        <f>IF(TRIM($A959)="","",COUNTIFS('Card Test Cases'!$B$4:$B$1000,$A959,'Card Test Cases'!$A$4:$A$1000,"&lt;&gt;",'Card Test Cases'!$F$4:$F$1000,"Failed"))</f>
        <v/>
      </c>
      <c r="R959" s="68" t="str">
        <f t="shared" si="14"/>
        <v/>
      </c>
      <c r="S959" s="68" t="str" cm="1">
        <f t="array" ref="S959">IF(TRIM($A959)="","",IFERROR(_xlfn.TEXTJOIN(", ",TRUE,_xlfn.UNIQUE(_xlfn.VSTACK(_xlfn._xlws.FILTER('Card Test Cases'!$G$4:$G$1000,('Card Test Cases'!$B$4:$B$1000=$A959)*('Card Test Cases'!$G$4:$G$1000&lt;&gt;""),""),_xlfn._xlws.FILTER('E2E core flow'!$U$15:$U$1000,('E2E core flow'!$A$15:$A$1000&lt;&gt;"")*ISNUMBER(SEARCH('E2E core flow'!$A$15:$A$1000,$E959))*('E2E core flow'!$U$15:$U$1000&lt;&gt;""),"")))),"-"))</f>
        <v/>
      </c>
    </row>
    <row r="960" spans="7:19" x14ac:dyDescent="0.3">
      <c r="G960" s="68" t="str" cm="1">
        <f t="array" ref="G960">_xlfn.LET(_xlpm.ids,'E2E core flow'!$A$15:$A$1000,_xlpm.v,'E2E core flow'!$W$15:$W$1000,_xlpm.m,(_xlpm.ids&lt;&gt;"")*ISNUMBER(SEARCH(_xlpm.ids,$E960)),_xlpm.f,SUM(_xlpm.m*(_xlpm.v="Failed")),_xlpm.b,SUM(_xlpm.m*(_xlpm.v="Blocked")),_xlpm.nr,SUM(_xlpm.m*(_xlpm.v="Not Run")),_xlpm.cp,SUM(_xlpm.m*(_xlpm.v="Conditionally Passed")),_xlpm.p,SUM(_xlpm.m*(_xlpm.v="Passed")),IF(TRIM($A960)="","",IF(TRIM($E960)="","Pending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60" s="68" t="str">
        <f>IF(TRIM($A960)="","",IF($J960="Passed","",IF($J960="Passed with Known Issue","Known Issue",IF($J960="",IF(OR($H960&lt;&gt;"No",AND($F960&lt;&gt;"Medium",$F960&lt;&gt;"Low")),"Pending Result",""),IF(OR($H960&lt;&gt;"No",AND($F960&lt;&gt;"Medium",$F960&lt;&gt;"Low")),IF(COUNTIFS(Dashboard!$B$105:$B$124,$A960,Dashboard!$I$105:$I$124,"CAB")&gt;0,"Accepted (CF)","Blocking"),IF($J960="Failed","Deferrable","Carry Over"))))))</f>
        <v/>
      </c>
      <c r="M960" s="68" t="str">
        <f>IF(OR(TRIM($A960)="",TRIM($E960)=""),"",IFERROR(INDEX('E2E core flow'!$B$15:$B$1000,MATCH(1,INDEX(('E2E core flow'!$A$15:$A$1000&lt;&gt;"")*ISNUMBER(SEARCH('E2E core flow'!$A$15:$A$1000,$E960)),0),0))&amp;"","-"))</f>
        <v/>
      </c>
      <c r="N960" s="68" t="str">
        <f>IF(TRIM($A960)="","",IF($O960=0,IF(COUNTIFS('Card Test Cases'!$B$4:$B$1000,$A960,'Card Test Cases'!$A$4:$A$1000,"&lt;&gt;")&gt;0,"Out of Scope","No TC"),IF($Q960&gt;0,"Failed",IF(COUNTIFS('Card Test Cases'!$B$4:$B$1000,$A960,'Card Test Cases'!$A$4:$A$1000,"&lt;&gt;",'Card Test Cases'!$F$4:$F$1000,"Blocked")&gt;0,"Blocked",IF($R960&gt;0,"In Progress","Passed")))))</f>
        <v/>
      </c>
      <c r="O960" s="68" t="str">
        <f>IF(TRIM($A960)="","",COUNTIFS('Card Test Cases'!$B$4:$B$1000,$A960,'Card Test Cases'!$A$4:$A$1000,"&lt;&gt;",'Card Test Cases'!$F$4:$F$1000,"&lt;&gt;Out of Scope"))</f>
        <v/>
      </c>
      <c r="P960" s="68" t="str">
        <f>IF(TRIM($A960)="","",COUNTIFS('Card Test Cases'!$B$4:$B$1000,$A960,'Card Test Cases'!$A$4:$A$1000,"&lt;&gt;",'Card Test Cases'!$F$4:$F$1000,"Passed"))</f>
        <v/>
      </c>
      <c r="Q960" s="68" t="str">
        <f>IF(TRIM($A960)="","",COUNTIFS('Card Test Cases'!$B$4:$B$1000,$A960,'Card Test Cases'!$A$4:$A$1000,"&lt;&gt;",'Card Test Cases'!$F$4:$F$1000,"Failed"))</f>
        <v/>
      </c>
      <c r="R960" s="68" t="str">
        <f t="shared" si="14"/>
        <v/>
      </c>
      <c r="S960" s="68" t="str" cm="1">
        <f t="array" ref="S960">IF(TRIM($A960)="","",IFERROR(_xlfn.TEXTJOIN(", ",TRUE,_xlfn.UNIQUE(_xlfn.VSTACK(_xlfn._xlws.FILTER('Card Test Cases'!$G$4:$G$1000,('Card Test Cases'!$B$4:$B$1000=$A960)*('Card Test Cases'!$G$4:$G$1000&lt;&gt;""),""),_xlfn._xlws.FILTER('E2E core flow'!$U$15:$U$1000,('E2E core flow'!$A$15:$A$1000&lt;&gt;"")*ISNUMBER(SEARCH('E2E core flow'!$A$15:$A$1000,$E960))*('E2E core flow'!$U$15:$U$1000&lt;&gt;""),"")))),"-"))</f>
        <v/>
      </c>
    </row>
    <row r="961" spans="7:19" x14ac:dyDescent="0.3">
      <c r="G961" s="68" t="str" cm="1">
        <f t="array" ref="G961">_xlfn.LET(_xlpm.ids,'E2E core flow'!$A$15:$A$1000,_xlpm.v,'E2E core flow'!$W$15:$W$1000,_xlpm.m,(_xlpm.ids&lt;&gt;"")*ISNUMBER(SEARCH(_xlpm.ids,$E961)),_xlpm.f,SUM(_xlpm.m*(_xlpm.v="Failed")),_xlpm.b,SUM(_xlpm.m*(_xlpm.v="Blocked")),_xlpm.nr,SUM(_xlpm.m*(_xlpm.v="Not Run")),_xlpm.cp,SUM(_xlpm.m*(_xlpm.v="Conditionally Passed")),_xlpm.p,SUM(_xlpm.m*(_xlpm.v="Passed")),IF(TRIM($A961)="","",IF(TRIM($E961)="","Pending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61" s="68" t="str">
        <f>IF(TRIM($A961)="","",IF($J961="Passed","",IF($J961="Passed with Known Issue","Known Issue",IF($J961="",IF(OR($H961&lt;&gt;"No",AND($F961&lt;&gt;"Medium",$F961&lt;&gt;"Low")),"Pending Result",""),IF(OR($H961&lt;&gt;"No",AND($F961&lt;&gt;"Medium",$F961&lt;&gt;"Low")),IF(COUNTIFS(Dashboard!$B$105:$B$124,$A961,Dashboard!$I$105:$I$124,"CAB")&gt;0,"Accepted (CF)","Blocking"),IF($J961="Failed","Deferrable","Carry Over"))))))</f>
        <v/>
      </c>
      <c r="M961" s="68" t="str">
        <f>IF(OR(TRIM($A961)="",TRIM($E961)=""),"",IFERROR(INDEX('E2E core flow'!$B$15:$B$1000,MATCH(1,INDEX(('E2E core flow'!$A$15:$A$1000&lt;&gt;"")*ISNUMBER(SEARCH('E2E core flow'!$A$15:$A$1000,$E961)),0),0))&amp;"","-"))</f>
        <v/>
      </c>
      <c r="N961" s="68" t="str">
        <f>IF(TRIM($A961)="","",IF($O961=0,IF(COUNTIFS('Card Test Cases'!$B$4:$B$1000,$A961,'Card Test Cases'!$A$4:$A$1000,"&lt;&gt;")&gt;0,"Out of Scope","No TC"),IF($Q961&gt;0,"Failed",IF(COUNTIFS('Card Test Cases'!$B$4:$B$1000,$A961,'Card Test Cases'!$A$4:$A$1000,"&lt;&gt;",'Card Test Cases'!$F$4:$F$1000,"Blocked")&gt;0,"Blocked",IF($R961&gt;0,"In Progress","Passed")))))</f>
        <v/>
      </c>
      <c r="O961" s="68" t="str">
        <f>IF(TRIM($A961)="","",COUNTIFS('Card Test Cases'!$B$4:$B$1000,$A961,'Card Test Cases'!$A$4:$A$1000,"&lt;&gt;",'Card Test Cases'!$F$4:$F$1000,"&lt;&gt;Out of Scope"))</f>
        <v/>
      </c>
      <c r="P961" s="68" t="str">
        <f>IF(TRIM($A961)="","",COUNTIFS('Card Test Cases'!$B$4:$B$1000,$A961,'Card Test Cases'!$A$4:$A$1000,"&lt;&gt;",'Card Test Cases'!$F$4:$F$1000,"Passed"))</f>
        <v/>
      </c>
      <c r="Q961" s="68" t="str">
        <f>IF(TRIM($A961)="","",COUNTIFS('Card Test Cases'!$B$4:$B$1000,$A961,'Card Test Cases'!$A$4:$A$1000,"&lt;&gt;",'Card Test Cases'!$F$4:$F$1000,"Failed"))</f>
        <v/>
      </c>
      <c r="R961" s="68" t="str">
        <f t="shared" si="14"/>
        <v/>
      </c>
      <c r="S961" s="68" t="str" cm="1">
        <f t="array" ref="S961">IF(TRIM($A961)="","",IFERROR(_xlfn.TEXTJOIN(", ",TRUE,_xlfn.UNIQUE(_xlfn.VSTACK(_xlfn._xlws.FILTER('Card Test Cases'!$G$4:$G$1000,('Card Test Cases'!$B$4:$B$1000=$A961)*('Card Test Cases'!$G$4:$G$1000&lt;&gt;""),""),_xlfn._xlws.FILTER('E2E core flow'!$U$15:$U$1000,('E2E core flow'!$A$15:$A$1000&lt;&gt;"")*ISNUMBER(SEARCH('E2E core flow'!$A$15:$A$1000,$E961))*('E2E core flow'!$U$15:$U$1000&lt;&gt;""),"")))),"-"))</f>
        <v/>
      </c>
    </row>
    <row r="962" spans="7:19" x14ac:dyDescent="0.3">
      <c r="G962" s="68" t="str" cm="1">
        <f t="array" ref="G962">_xlfn.LET(_xlpm.ids,'E2E core flow'!$A$15:$A$1000,_xlpm.v,'E2E core flow'!$W$15:$W$1000,_xlpm.m,(_xlpm.ids&lt;&gt;"")*ISNUMBER(SEARCH(_xlpm.ids,$E962)),_xlpm.f,SUM(_xlpm.m*(_xlpm.v="Failed")),_xlpm.b,SUM(_xlpm.m*(_xlpm.v="Blocked")),_xlpm.nr,SUM(_xlpm.m*(_xlpm.v="Not Run")),_xlpm.cp,SUM(_xlpm.m*(_xlpm.v="Conditionally Passed")),_xlpm.p,SUM(_xlpm.m*(_xlpm.v="Passed")),IF(TRIM($A962)="","",IF(TRIM($E962)="","Pending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62" s="68" t="str">
        <f>IF(TRIM($A962)="","",IF($J962="Passed","",IF($J962="Passed with Known Issue","Known Issue",IF($J962="",IF(OR($H962&lt;&gt;"No",AND($F962&lt;&gt;"Medium",$F962&lt;&gt;"Low")),"Pending Result",""),IF(OR($H962&lt;&gt;"No",AND($F962&lt;&gt;"Medium",$F962&lt;&gt;"Low")),IF(COUNTIFS(Dashboard!$B$105:$B$124,$A962,Dashboard!$I$105:$I$124,"CAB")&gt;0,"Accepted (CF)","Blocking"),IF($J962="Failed","Deferrable","Carry Over"))))))</f>
        <v/>
      </c>
      <c r="M962" s="68" t="str">
        <f>IF(OR(TRIM($A962)="",TRIM($E962)=""),"",IFERROR(INDEX('E2E core flow'!$B$15:$B$1000,MATCH(1,INDEX(('E2E core flow'!$A$15:$A$1000&lt;&gt;"")*ISNUMBER(SEARCH('E2E core flow'!$A$15:$A$1000,$E962)),0),0))&amp;"","-"))</f>
        <v/>
      </c>
      <c r="N962" s="68" t="str">
        <f>IF(TRIM($A962)="","",IF($O962=0,IF(COUNTIFS('Card Test Cases'!$B$4:$B$1000,$A962,'Card Test Cases'!$A$4:$A$1000,"&lt;&gt;")&gt;0,"Out of Scope","No TC"),IF($Q962&gt;0,"Failed",IF(COUNTIFS('Card Test Cases'!$B$4:$B$1000,$A962,'Card Test Cases'!$A$4:$A$1000,"&lt;&gt;",'Card Test Cases'!$F$4:$F$1000,"Blocked")&gt;0,"Blocked",IF($R962&gt;0,"In Progress","Passed")))))</f>
        <v/>
      </c>
      <c r="O962" s="68" t="str">
        <f>IF(TRIM($A962)="","",COUNTIFS('Card Test Cases'!$B$4:$B$1000,$A962,'Card Test Cases'!$A$4:$A$1000,"&lt;&gt;",'Card Test Cases'!$F$4:$F$1000,"&lt;&gt;Out of Scope"))</f>
        <v/>
      </c>
      <c r="P962" s="68" t="str">
        <f>IF(TRIM($A962)="","",COUNTIFS('Card Test Cases'!$B$4:$B$1000,$A962,'Card Test Cases'!$A$4:$A$1000,"&lt;&gt;",'Card Test Cases'!$F$4:$F$1000,"Passed"))</f>
        <v/>
      </c>
      <c r="Q962" s="68" t="str">
        <f>IF(TRIM($A962)="","",COUNTIFS('Card Test Cases'!$B$4:$B$1000,$A962,'Card Test Cases'!$A$4:$A$1000,"&lt;&gt;",'Card Test Cases'!$F$4:$F$1000,"Failed"))</f>
        <v/>
      </c>
      <c r="R962" s="68" t="str">
        <f t="shared" si="14"/>
        <v/>
      </c>
      <c r="S962" s="68" t="str" cm="1">
        <f t="array" ref="S962">IF(TRIM($A962)="","",IFERROR(_xlfn.TEXTJOIN(", ",TRUE,_xlfn.UNIQUE(_xlfn.VSTACK(_xlfn._xlws.FILTER('Card Test Cases'!$G$4:$G$1000,('Card Test Cases'!$B$4:$B$1000=$A962)*('Card Test Cases'!$G$4:$G$1000&lt;&gt;""),""),_xlfn._xlws.FILTER('E2E core flow'!$U$15:$U$1000,('E2E core flow'!$A$15:$A$1000&lt;&gt;"")*ISNUMBER(SEARCH('E2E core flow'!$A$15:$A$1000,$E962))*('E2E core flow'!$U$15:$U$1000&lt;&gt;""),"")))),"-"))</f>
        <v/>
      </c>
    </row>
    <row r="963" spans="7:19" x14ac:dyDescent="0.3">
      <c r="G963" s="68" t="str" cm="1">
        <f t="array" ref="G963">_xlfn.LET(_xlpm.ids,'E2E core flow'!$A$15:$A$1000,_xlpm.v,'E2E core flow'!$W$15:$W$1000,_xlpm.m,(_xlpm.ids&lt;&gt;"")*ISNUMBER(SEARCH(_xlpm.ids,$E963)),_xlpm.f,SUM(_xlpm.m*(_xlpm.v="Failed")),_xlpm.b,SUM(_xlpm.m*(_xlpm.v="Blocked")),_xlpm.nr,SUM(_xlpm.m*(_xlpm.v="Not Run")),_xlpm.cp,SUM(_xlpm.m*(_xlpm.v="Conditionally Passed")),_xlpm.p,SUM(_xlpm.m*(_xlpm.v="Passed")),IF(TRIM($A963)="","",IF(TRIM($E963)="","Pending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63" s="68" t="str">
        <f>IF(TRIM($A963)="","",IF($J963="Passed","",IF($J963="Passed with Known Issue","Known Issue",IF($J963="",IF(OR($H963&lt;&gt;"No",AND($F963&lt;&gt;"Medium",$F963&lt;&gt;"Low")),"Pending Result",""),IF(OR($H963&lt;&gt;"No",AND($F963&lt;&gt;"Medium",$F963&lt;&gt;"Low")),IF(COUNTIFS(Dashboard!$B$105:$B$124,$A963,Dashboard!$I$105:$I$124,"CAB")&gt;0,"Accepted (CF)","Blocking"),IF($J963="Failed","Deferrable","Carry Over"))))))</f>
        <v/>
      </c>
      <c r="M963" s="68" t="str">
        <f>IF(OR(TRIM($A963)="",TRIM($E963)=""),"",IFERROR(INDEX('E2E core flow'!$B$15:$B$1000,MATCH(1,INDEX(('E2E core flow'!$A$15:$A$1000&lt;&gt;"")*ISNUMBER(SEARCH('E2E core flow'!$A$15:$A$1000,$E963)),0),0))&amp;"","-"))</f>
        <v/>
      </c>
      <c r="N963" s="68" t="str">
        <f>IF(TRIM($A963)="","",IF($O963=0,IF(COUNTIFS('Card Test Cases'!$B$4:$B$1000,$A963,'Card Test Cases'!$A$4:$A$1000,"&lt;&gt;")&gt;0,"Out of Scope","No TC"),IF($Q963&gt;0,"Failed",IF(COUNTIFS('Card Test Cases'!$B$4:$B$1000,$A963,'Card Test Cases'!$A$4:$A$1000,"&lt;&gt;",'Card Test Cases'!$F$4:$F$1000,"Blocked")&gt;0,"Blocked",IF($R963&gt;0,"In Progress","Passed")))))</f>
        <v/>
      </c>
      <c r="O963" s="68" t="str">
        <f>IF(TRIM($A963)="","",COUNTIFS('Card Test Cases'!$B$4:$B$1000,$A963,'Card Test Cases'!$A$4:$A$1000,"&lt;&gt;",'Card Test Cases'!$F$4:$F$1000,"&lt;&gt;Out of Scope"))</f>
        <v/>
      </c>
      <c r="P963" s="68" t="str">
        <f>IF(TRIM($A963)="","",COUNTIFS('Card Test Cases'!$B$4:$B$1000,$A963,'Card Test Cases'!$A$4:$A$1000,"&lt;&gt;",'Card Test Cases'!$F$4:$F$1000,"Passed"))</f>
        <v/>
      </c>
      <c r="Q963" s="68" t="str">
        <f>IF(TRIM($A963)="","",COUNTIFS('Card Test Cases'!$B$4:$B$1000,$A963,'Card Test Cases'!$A$4:$A$1000,"&lt;&gt;",'Card Test Cases'!$F$4:$F$1000,"Failed"))</f>
        <v/>
      </c>
      <c r="R963" s="68" t="str">
        <f t="shared" si="14"/>
        <v/>
      </c>
      <c r="S963" s="68" t="str" cm="1">
        <f t="array" ref="S963">IF(TRIM($A963)="","",IFERROR(_xlfn.TEXTJOIN(", ",TRUE,_xlfn.UNIQUE(_xlfn.VSTACK(_xlfn._xlws.FILTER('Card Test Cases'!$G$4:$G$1000,('Card Test Cases'!$B$4:$B$1000=$A963)*('Card Test Cases'!$G$4:$G$1000&lt;&gt;""),""),_xlfn._xlws.FILTER('E2E core flow'!$U$15:$U$1000,('E2E core flow'!$A$15:$A$1000&lt;&gt;"")*ISNUMBER(SEARCH('E2E core flow'!$A$15:$A$1000,$E963))*('E2E core flow'!$U$15:$U$1000&lt;&gt;""),"")))),"-"))</f>
        <v/>
      </c>
    </row>
    <row r="964" spans="7:19" x14ac:dyDescent="0.3">
      <c r="G964" s="68" t="str" cm="1">
        <f t="array" ref="G964">_xlfn.LET(_xlpm.ids,'E2E core flow'!$A$15:$A$1000,_xlpm.v,'E2E core flow'!$W$15:$W$1000,_xlpm.m,(_xlpm.ids&lt;&gt;"")*ISNUMBER(SEARCH(_xlpm.ids,$E964)),_xlpm.f,SUM(_xlpm.m*(_xlpm.v="Failed")),_xlpm.b,SUM(_xlpm.m*(_xlpm.v="Blocked")),_xlpm.nr,SUM(_xlpm.m*(_xlpm.v="Not Run")),_xlpm.cp,SUM(_xlpm.m*(_xlpm.v="Conditionally Passed")),_xlpm.p,SUM(_xlpm.m*(_xlpm.v="Passed")),IF(TRIM($A964)="","",IF(TRIM($E964)="","Pending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64" s="68" t="str">
        <f>IF(TRIM($A964)="","",IF($J964="Passed","",IF($J964="Passed with Known Issue","Known Issue",IF($J964="",IF(OR($H964&lt;&gt;"No",AND($F964&lt;&gt;"Medium",$F964&lt;&gt;"Low")),"Pending Result",""),IF(OR($H964&lt;&gt;"No",AND($F964&lt;&gt;"Medium",$F964&lt;&gt;"Low")),IF(COUNTIFS(Dashboard!$B$105:$B$124,$A964,Dashboard!$I$105:$I$124,"CAB")&gt;0,"Accepted (CF)","Blocking"),IF($J964="Failed","Deferrable","Carry Over"))))))</f>
        <v/>
      </c>
      <c r="M964" s="68" t="str">
        <f>IF(OR(TRIM($A964)="",TRIM($E964)=""),"",IFERROR(INDEX('E2E core flow'!$B$15:$B$1000,MATCH(1,INDEX(('E2E core flow'!$A$15:$A$1000&lt;&gt;"")*ISNUMBER(SEARCH('E2E core flow'!$A$15:$A$1000,$E964)),0),0))&amp;"","-"))</f>
        <v/>
      </c>
      <c r="N964" s="68" t="str">
        <f>IF(TRIM($A964)="","",IF($O964=0,IF(COUNTIFS('Card Test Cases'!$B$4:$B$1000,$A964,'Card Test Cases'!$A$4:$A$1000,"&lt;&gt;")&gt;0,"Out of Scope","No TC"),IF($Q964&gt;0,"Failed",IF(COUNTIFS('Card Test Cases'!$B$4:$B$1000,$A964,'Card Test Cases'!$A$4:$A$1000,"&lt;&gt;",'Card Test Cases'!$F$4:$F$1000,"Blocked")&gt;0,"Blocked",IF($R964&gt;0,"In Progress","Passed")))))</f>
        <v/>
      </c>
      <c r="O964" s="68" t="str">
        <f>IF(TRIM($A964)="","",COUNTIFS('Card Test Cases'!$B$4:$B$1000,$A964,'Card Test Cases'!$A$4:$A$1000,"&lt;&gt;",'Card Test Cases'!$F$4:$F$1000,"&lt;&gt;Out of Scope"))</f>
        <v/>
      </c>
      <c r="P964" s="68" t="str">
        <f>IF(TRIM($A964)="","",COUNTIFS('Card Test Cases'!$B$4:$B$1000,$A964,'Card Test Cases'!$A$4:$A$1000,"&lt;&gt;",'Card Test Cases'!$F$4:$F$1000,"Passed"))</f>
        <v/>
      </c>
      <c r="Q964" s="68" t="str">
        <f>IF(TRIM($A964)="","",COUNTIFS('Card Test Cases'!$B$4:$B$1000,$A964,'Card Test Cases'!$A$4:$A$1000,"&lt;&gt;",'Card Test Cases'!$F$4:$F$1000,"Failed"))</f>
        <v/>
      </c>
      <c r="R964" s="68" t="str">
        <f t="shared" ref="R964:R1000" si="15">IF(TRIM($A964)="","",$O964-$P964-$Q964)</f>
        <v/>
      </c>
      <c r="S964" s="68" t="str" cm="1">
        <f t="array" ref="S964">IF(TRIM($A964)="","",IFERROR(_xlfn.TEXTJOIN(", ",TRUE,_xlfn.UNIQUE(_xlfn.VSTACK(_xlfn._xlws.FILTER('Card Test Cases'!$G$4:$G$1000,('Card Test Cases'!$B$4:$B$1000=$A964)*('Card Test Cases'!$G$4:$G$1000&lt;&gt;""),""),_xlfn._xlws.FILTER('E2E core flow'!$U$15:$U$1000,('E2E core flow'!$A$15:$A$1000&lt;&gt;"")*ISNUMBER(SEARCH('E2E core flow'!$A$15:$A$1000,$E964))*('E2E core flow'!$U$15:$U$1000&lt;&gt;""),"")))),"-"))</f>
        <v/>
      </c>
    </row>
    <row r="965" spans="7:19" x14ac:dyDescent="0.3">
      <c r="G965" s="68" t="str" cm="1">
        <f t="array" ref="G965">_xlfn.LET(_xlpm.ids,'E2E core flow'!$A$15:$A$1000,_xlpm.v,'E2E core flow'!$W$15:$W$1000,_xlpm.m,(_xlpm.ids&lt;&gt;"")*ISNUMBER(SEARCH(_xlpm.ids,$E965)),_xlpm.f,SUM(_xlpm.m*(_xlpm.v="Failed")),_xlpm.b,SUM(_xlpm.m*(_xlpm.v="Blocked")),_xlpm.nr,SUM(_xlpm.m*(_xlpm.v="Not Run")),_xlpm.cp,SUM(_xlpm.m*(_xlpm.v="Conditionally Passed")),_xlpm.p,SUM(_xlpm.m*(_xlpm.v="Passed")),IF(TRIM($A965)="","",IF(TRIM($E965)="","Pending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65" s="68" t="str">
        <f>IF(TRIM($A965)="","",IF($J965="Passed","",IF($J965="Passed with Known Issue","Known Issue",IF($J965="",IF(OR($H965&lt;&gt;"No",AND($F965&lt;&gt;"Medium",$F965&lt;&gt;"Low")),"Pending Result",""),IF(OR($H965&lt;&gt;"No",AND($F965&lt;&gt;"Medium",$F965&lt;&gt;"Low")),IF(COUNTIFS(Dashboard!$B$105:$B$124,$A965,Dashboard!$I$105:$I$124,"CAB")&gt;0,"Accepted (CF)","Blocking"),IF($J965="Failed","Deferrable","Carry Over"))))))</f>
        <v/>
      </c>
      <c r="M965" s="68" t="str">
        <f>IF(OR(TRIM($A965)="",TRIM($E965)=""),"",IFERROR(INDEX('E2E core flow'!$B$15:$B$1000,MATCH(1,INDEX(('E2E core flow'!$A$15:$A$1000&lt;&gt;"")*ISNUMBER(SEARCH('E2E core flow'!$A$15:$A$1000,$E965)),0),0))&amp;"","-"))</f>
        <v/>
      </c>
      <c r="N965" s="68" t="str">
        <f>IF(TRIM($A965)="","",IF($O965=0,IF(COUNTIFS('Card Test Cases'!$B$4:$B$1000,$A965,'Card Test Cases'!$A$4:$A$1000,"&lt;&gt;")&gt;0,"Out of Scope","No TC"),IF($Q965&gt;0,"Failed",IF(COUNTIFS('Card Test Cases'!$B$4:$B$1000,$A965,'Card Test Cases'!$A$4:$A$1000,"&lt;&gt;",'Card Test Cases'!$F$4:$F$1000,"Blocked")&gt;0,"Blocked",IF($R965&gt;0,"In Progress","Passed")))))</f>
        <v/>
      </c>
      <c r="O965" s="68" t="str">
        <f>IF(TRIM($A965)="","",COUNTIFS('Card Test Cases'!$B$4:$B$1000,$A965,'Card Test Cases'!$A$4:$A$1000,"&lt;&gt;",'Card Test Cases'!$F$4:$F$1000,"&lt;&gt;Out of Scope"))</f>
        <v/>
      </c>
      <c r="P965" s="68" t="str">
        <f>IF(TRIM($A965)="","",COUNTIFS('Card Test Cases'!$B$4:$B$1000,$A965,'Card Test Cases'!$A$4:$A$1000,"&lt;&gt;",'Card Test Cases'!$F$4:$F$1000,"Passed"))</f>
        <v/>
      </c>
      <c r="Q965" s="68" t="str">
        <f>IF(TRIM($A965)="","",COUNTIFS('Card Test Cases'!$B$4:$B$1000,$A965,'Card Test Cases'!$A$4:$A$1000,"&lt;&gt;",'Card Test Cases'!$F$4:$F$1000,"Failed"))</f>
        <v/>
      </c>
      <c r="R965" s="68" t="str">
        <f t="shared" si="15"/>
        <v/>
      </c>
      <c r="S965" s="68" t="str" cm="1">
        <f t="array" ref="S965">IF(TRIM($A965)="","",IFERROR(_xlfn.TEXTJOIN(", ",TRUE,_xlfn.UNIQUE(_xlfn.VSTACK(_xlfn._xlws.FILTER('Card Test Cases'!$G$4:$G$1000,('Card Test Cases'!$B$4:$B$1000=$A965)*('Card Test Cases'!$G$4:$G$1000&lt;&gt;""),""),_xlfn._xlws.FILTER('E2E core flow'!$U$15:$U$1000,('E2E core flow'!$A$15:$A$1000&lt;&gt;"")*ISNUMBER(SEARCH('E2E core flow'!$A$15:$A$1000,$E965))*('E2E core flow'!$U$15:$U$1000&lt;&gt;""),"")))),"-"))</f>
        <v/>
      </c>
    </row>
    <row r="966" spans="7:19" x14ac:dyDescent="0.3">
      <c r="G966" s="68" t="str" cm="1">
        <f t="array" ref="G966">_xlfn.LET(_xlpm.ids,'E2E core flow'!$A$15:$A$1000,_xlpm.v,'E2E core flow'!$W$15:$W$1000,_xlpm.m,(_xlpm.ids&lt;&gt;"")*ISNUMBER(SEARCH(_xlpm.ids,$E966)),_xlpm.f,SUM(_xlpm.m*(_xlpm.v="Failed")),_xlpm.b,SUM(_xlpm.m*(_xlpm.v="Blocked")),_xlpm.nr,SUM(_xlpm.m*(_xlpm.v="Not Run")),_xlpm.cp,SUM(_xlpm.m*(_xlpm.v="Conditionally Passed")),_xlpm.p,SUM(_xlpm.m*(_xlpm.v="Passed")),IF(TRIM($A966)="","",IF(TRIM($E966)="","Pending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66" s="68" t="str">
        <f>IF(TRIM($A966)="","",IF($J966="Passed","",IF($J966="Passed with Known Issue","Known Issue",IF($J966="",IF(OR($H966&lt;&gt;"No",AND($F966&lt;&gt;"Medium",$F966&lt;&gt;"Low")),"Pending Result",""),IF(OR($H966&lt;&gt;"No",AND($F966&lt;&gt;"Medium",$F966&lt;&gt;"Low")),IF(COUNTIFS(Dashboard!$B$105:$B$124,$A966,Dashboard!$I$105:$I$124,"CAB")&gt;0,"Accepted (CF)","Blocking"),IF($J966="Failed","Deferrable","Carry Over"))))))</f>
        <v/>
      </c>
      <c r="M966" s="68" t="str">
        <f>IF(OR(TRIM($A966)="",TRIM($E966)=""),"",IFERROR(INDEX('E2E core flow'!$B$15:$B$1000,MATCH(1,INDEX(('E2E core flow'!$A$15:$A$1000&lt;&gt;"")*ISNUMBER(SEARCH('E2E core flow'!$A$15:$A$1000,$E966)),0),0))&amp;"","-"))</f>
        <v/>
      </c>
      <c r="N966" s="68" t="str">
        <f>IF(TRIM($A966)="","",IF($O966=0,IF(COUNTIFS('Card Test Cases'!$B$4:$B$1000,$A966,'Card Test Cases'!$A$4:$A$1000,"&lt;&gt;")&gt;0,"Out of Scope","No TC"),IF($Q966&gt;0,"Failed",IF(COUNTIFS('Card Test Cases'!$B$4:$B$1000,$A966,'Card Test Cases'!$A$4:$A$1000,"&lt;&gt;",'Card Test Cases'!$F$4:$F$1000,"Blocked")&gt;0,"Blocked",IF($R966&gt;0,"In Progress","Passed")))))</f>
        <v/>
      </c>
      <c r="O966" s="68" t="str">
        <f>IF(TRIM($A966)="","",COUNTIFS('Card Test Cases'!$B$4:$B$1000,$A966,'Card Test Cases'!$A$4:$A$1000,"&lt;&gt;",'Card Test Cases'!$F$4:$F$1000,"&lt;&gt;Out of Scope"))</f>
        <v/>
      </c>
      <c r="P966" s="68" t="str">
        <f>IF(TRIM($A966)="","",COUNTIFS('Card Test Cases'!$B$4:$B$1000,$A966,'Card Test Cases'!$A$4:$A$1000,"&lt;&gt;",'Card Test Cases'!$F$4:$F$1000,"Passed"))</f>
        <v/>
      </c>
      <c r="Q966" s="68" t="str">
        <f>IF(TRIM($A966)="","",COUNTIFS('Card Test Cases'!$B$4:$B$1000,$A966,'Card Test Cases'!$A$4:$A$1000,"&lt;&gt;",'Card Test Cases'!$F$4:$F$1000,"Failed"))</f>
        <v/>
      </c>
      <c r="R966" s="68" t="str">
        <f t="shared" si="15"/>
        <v/>
      </c>
      <c r="S966" s="68" t="str" cm="1">
        <f t="array" ref="S966">IF(TRIM($A966)="","",IFERROR(_xlfn.TEXTJOIN(", ",TRUE,_xlfn.UNIQUE(_xlfn.VSTACK(_xlfn._xlws.FILTER('Card Test Cases'!$G$4:$G$1000,('Card Test Cases'!$B$4:$B$1000=$A966)*('Card Test Cases'!$G$4:$G$1000&lt;&gt;""),""),_xlfn._xlws.FILTER('E2E core flow'!$U$15:$U$1000,('E2E core flow'!$A$15:$A$1000&lt;&gt;"")*ISNUMBER(SEARCH('E2E core flow'!$A$15:$A$1000,$E966))*('E2E core flow'!$U$15:$U$1000&lt;&gt;""),"")))),"-"))</f>
        <v/>
      </c>
    </row>
    <row r="967" spans="7:19" x14ac:dyDescent="0.3">
      <c r="G967" s="68" t="str" cm="1">
        <f t="array" ref="G967">_xlfn.LET(_xlpm.ids,'E2E core flow'!$A$15:$A$1000,_xlpm.v,'E2E core flow'!$W$15:$W$1000,_xlpm.m,(_xlpm.ids&lt;&gt;"")*ISNUMBER(SEARCH(_xlpm.ids,$E967)),_xlpm.f,SUM(_xlpm.m*(_xlpm.v="Failed")),_xlpm.b,SUM(_xlpm.m*(_xlpm.v="Blocked")),_xlpm.nr,SUM(_xlpm.m*(_xlpm.v="Not Run")),_xlpm.cp,SUM(_xlpm.m*(_xlpm.v="Conditionally Passed")),_xlpm.p,SUM(_xlpm.m*(_xlpm.v="Passed")),IF(TRIM($A967)="","",IF(TRIM($E967)="","Pending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67" s="68" t="str">
        <f>IF(TRIM($A967)="","",IF($J967="Passed","",IF($J967="Passed with Known Issue","Known Issue",IF($J967="",IF(OR($H967&lt;&gt;"No",AND($F967&lt;&gt;"Medium",$F967&lt;&gt;"Low")),"Pending Result",""),IF(OR($H967&lt;&gt;"No",AND($F967&lt;&gt;"Medium",$F967&lt;&gt;"Low")),IF(COUNTIFS(Dashboard!$B$105:$B$124,$A967,Dashboard!$I$105:$I$124,"CAB")&gt;0,"Accepted (CF)","Blocking"),IF($J967="Failed","Deferrable","Carry Over"))))))</f>
        <v/>
      </c>
      <c r="M967" s="68" t="str">
        <f>IF(OR(TRIM($A967)="",TRIM($E967)=""),"",IFERROR(INDEX('E2E core flow'!$B$15:$B$1000,MATCH(1,INDEX(('E2E core flow'!$A$15:$A$1000&lt;&gt;"")*ISNUMBER(SEARCH('E2E core flow'!$A$15:$A$1000,$E967)),0),0))&amp;"","-"))</f>
        <v/>
      </c>
      <c r="N967" s="68" t="str">
        <f>IF(TRIM($A967)="","",IF($O967=0,IF(COUNTIFS('Card Test Cases'!$B$4:$B$1000,$A967,'Card Test Cases'!$A$4:$A$1000,"&lt;&gt;")&gt;0,"Out of Scope","No TC"),IF($Q967&gt;0,"Failed",IF(COUNTIFS('Card Test Cases'!$B$4:$B$1000,$A967,'Card Test Cases'!$A$4:$A$1000,"&lt;&gt;",'Card Test Cases'!$F$4:$F$1000,"Blocked")&gt;0,"Blocked",IF($R967&gt;0,"In Progress","Passed")))))</f>
        <v/>
      </c>
      <c r="O967" s="68" t="str">
        <f>IF(TRIM($A967)="","",COUNTIFS('Card Test Cases'!$B$4:$B$1000,$A967,'Card Test Cases'!$A$4:$A$1000,"&lt;&gt;",'Card Test Cases'!$F$4:$F$1000,"&lt;&gt;Out of Scope"))</f>
        <v/>
      </c>
      <c r="P967" s="68" t="str">
        <f>IF(TRIM($A967)="","",COUNTIFS('Card Test Cases'!$B$4:$B$1000,$A967,'Card Test Cases'!$A$4:$A$1000,"&lt;&gt;",'Card Test Cases'!$F$4:$F$1000,"Passed"))</f>
        <v/>
      </c>
      <c r="Q967" s="68" t="str">
        <f>IF(TRIM($A967)="","",COUNTIFS('Card Test Cases'!$B$4:$B$1000,$A967,'Card Test Cases'!$A$4:$A$1000,"&lt;&gt;",'Card Test Cases'!$F$4:$F$1000,"Failed"))</f>
        <v/>
      </c>
      <c r="R967" s="68" t="str">
        <f t="shared" si="15"/>
        <v/>
      </c>
      <c r="S967" s="68" t="str" cm="1">
        <f t="array" ref="S967">IF(TRIM($A967)="","",IFERROR(_xlfn.TEXTJOIN(", ",TRUE,_xlfn.UNIQUE(_xlfn.VSTACK(_xlfn._xlws.FILTER('Card Test Cases'!$G$4:$G$1000,('Card Test Cases'!$B$4:$B$1000=$A967)*('Card Test Cases'!$G$4:$G$1000&lt;&gt;""),""),_xlfn._xlws.FILTER('E2E core flow'!$U$15:$U$1000,('E2E core flow'!$A$15:$A$1000&lt;&gt;"")*ISNUMBER(SEARCH('E2E core flow'!$A$15:$A$1000,$E967))*('E2E core flow'!$U$15:$U$1000&lt;&gt;""),"")))),"-"))</f>
        <v/>
      </c>
    </row>
    <row r="968" spans="7:19" x14ac:dyDescent="0.3">
      <c r="G968" s="68" t="str" cm="1">
        <f t="array" ref="G968">_xlfn.LET(_xlpm.ids,'E2E core flow'!$A$15:$A$1000,_xlpm.v,'E2E core flow'!$W$15:$W$1000,_xlpm.m,(_xlpm.ids&lt;&gt;"")*ISNUMBER(SEARCH(_xlpm.ids,$E968)),_xlpm.f,SUM(_xlpm.m*(_xlpm.v="Failed")),_xlpm.b,SUM(_xlpm.m*(_xlpm.v="Blocked")),_xlpm.nr,SUM(_xlpm.m*(_xlpm.v="Not Run")),_xlpm.cp,SUM(_xlpm.m*(_xlpm.v="Conditionally Passed")),_xlpm.p,SUM(_xlpm.m*(_xlpm.v="Passed")),IF(TRIM($A968)="","",IF(TRIM($E968)="","Pending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68" s="68" t="str">
        <f>IF(TRIM($A968)="","",IF($J968="Passed","",IF($J968="Passed with Known Issue","Known Issue",IF($J968="",IF(OR($H968&lt;&gt;"No",AND($F968&lt;&gt;"Medium",$F968&lt;&gt;"Low")),"Pending Result",""),IF(OR($H968&lt;&gt;"No",AND($F968&lt;&gt;"Medium",$F968&lt;&gt;"Low")),IF(COUNTIFS(Dashboard!$B$105:$B$124,$A968,Dashboard!$I$105:$I$124,"CAB")&gt;0,"Accepted (CF)","Blocking"),IF($J968="Failed","Deferrable","Carry Over"))))))</f>
        <v/>
      </c>
      <c r="M968" s="68" t="str">
        <f>IF(OR(TRIM($A968)="",TRIM($E968)=""),"",IFERROR(INDEX('E2E core flow'!$B$15:$B$1000,MATCH(1,INDEX(('E2E core flow'!$A$15:$A$1000&lt;&gt;"")*ISNUMBER(SEARCH('E2E core flow'!$A$15:$A$1000,$E968)),0),0))&amp;"","-"))</f>
        <v/>
      </c>
      <c r="N968" s="68" t="str">
        <f>IF(TRIM($A968)="","",IF($O968=0,IF(COUNTIFS('Card Test Cases'!$B$4:$B$1000,$A968,'Card Test Cases'!$A$4:$A$1000,"&lt;&gt;")&gt;0,"Out of Scope","No TC"),IF($Q968&gt;0,"Failed",IF(COUNTIFS('Card Test Cases'!$B$4:$B$1000,$A968,'Card Test Cases'!$A$4:$A$1000,"&lt;&gt;",'Card Test Cases'!$F$4:$F$1000,"Blocked")&gt;0,"Blocked",IF($R968&gt;0,"In Progress","Passed")))))</f>
        <v/>
      </c>
      <c r="O968" s="68" t="str">
        <f>IF(TRIM($A968)="","",COUNTIFS('Card Test Cases'!$B$4:$B$1000,$A968,'Card Test Cases'!$A$4:$A$1000,"&lt;&gt;",'Card Test Cases'!$F$4:$F$1000,"&lt;&gt;Out of Scope"))</f>
        <v/>
      </c>
      <c r="P968" s="68" t="str">
        <f>IF(TRIM($A968)="","",COUNTIFS('Card Test Cases'!$B$4:$B$1000,$A968,'Card Test Cases'!$A$4:$A$1000,"&lt;&gt;",'Card Test Cases'!$F$4:$F$1000,"Passed"))</f>
        <v/>
      </c>
      <c r="Q968" s="68" t="str">
        <f>IF(TRIM($A968)="","",COUNTIFS('Card Test Cases'!$B$4:$B$1000,$A968,'Card Test Cases'!$A$4:$A$1000,"&lt;&gt;",'Card Test Cases'!$F$4:$F$1000,"Failed"))</f>
        <v/>
      </c>
      <c r="R968" s="68" t="str">
        <f t="shared" si="15"/>
        <v/>
      </c>
      <c r="S968" s="68" t="str" cm="1">
        <f t="array" ref="S968">IF(TRIM($A968)="","",IFERROR(_xlfn.TEXTJOIN(", ",TRUE,_xlfn.UNIQUE(_xlfn.VSTACK(_xlfn._xlws.FILTER('Card Test Cases'!$G$4:$G$1000,('Card Test Cases'!$B$4:$B$1000=$A968)*('Card Test Cases'!$G$4:$G$1000&lt;&gt;""),""),_xlfn._xlws.FILTER('E2E core flow'!$U$15:$U$1000,('E2E core flow'!$A$15:$A$1000&lt;&gt;"")*ISNUMBER(SEARCH('E2E core flow'!$A$15:$A$1000,$E968))*('E2E core flow'!$U$15:$U$1000&lt;&gt;""),"")))),"-"))</f>
        <v/>
      </c>
    </row>
    <row r="969" spans="7:19" x14ac:dyDescent="0.3">
      <c r="G969" s="68" t="str" cm="1">
        <f t="array" ref="G969">_xlfn.LET(_xlpm.ids,'E2E core flow'!$A$15:$A$1000,_xlpm.v,'E2E core flow'!$W$15:$W$1000,_xlpm.m,(_xlpm.ids&lt;&gt;"")*ISNUMBER(SEARCH(_xlpm.ids,$E969)),_xlpm.f,SUM(_xlpm.m*(_xlpm.v="Failed")),_xlpm.b,SUM(_xlpm.m*(_xlpm.v="Blocked")),_xlpm.nr,SUM(_xlpm.m*(_xlpm.v="Not Run")),_xlpm.cp,SUM(_xlpm.m*(_xlpm.v="Conditionally Passed")),_xlpm.p,SUM(_xlpm.m*(_xlpm.v="Passed")),IF(TRIM($A969)="","",IF(TRIM($E969)="","Pending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69" s="68" t="str">
        <f>IF(TRIM($A969)="","",IF($J969="Passed","",IF($J969="Passed with Known Issue","Known Issue",IF($J969="",IF(OR($H969&lt;&gt;"No",AND($F969&lt;&gt;"Medium",$F969&lt;&gt;"Low")),"Pending Result",""),IF(OR($H969&lt;&gt;"No",AND($F969&lt;&gt;"Medium",$F969&lt;&gt;"Low")),IF(COUNTIFS(Dashboard!$B$105:$B$124,$A969,Dashboard!$I$105:$I$124,"CAB")&gt;0,"Accepted (CF)","Blocking"),IF($J969="Failed","Deferrable","Carry Over"))))))</f>
        <v/>
      </c>
      <c r="M969" s="68" t="str">
        <f>IF(OR(TRIM($A969)="",TRIM($E969)=""),"",IFERROR(INDEX('E2E core flow'!$B$15:$B$1000,MATCH(1,INDEX(('E2E core flow'!$A$15:$A$1000&lt;&gt;"")*ISNUMBER(SEARCH('E2E core flow'!$A$15:$A$1000,$E969)),0),0))&amp;"","-"))</f>
        <v/>
      </c>
      <c r="N969" s="68" t="str">
        <f>IF(TRIM($A969)="","",IF($O969=0,IF(COUNTIFS('Card Test Cases'!$B$4:$B$1000,$A969,'Card Test Cases'!$A$4:$A$1000,"&lt;&gt;")&gt;0,"Out of Scope","No TC"),IF($Q969&gt;0,"Failed",IF(COUNTIFS('Card Test Cases'!$B$4:$B$1000,$A969,'Card Test Cases'!$A$4:$A$1000,"&lt;&gt;",'Card Test Cases'!$F$4:$F$1000,"Blocked")&gt;0,"Blocked",IF($R969&gt;0,"In Progress","Passed")))))</f>
        <v/>
      </c>
      <c r="O969" s="68" t="str">
        <f>IF(TRIM($A969)="","",COUNTIFS('Card Test Cases'!$B$4:$B$1000,$A969,'Card Test Cases'!$A$4:$A$1000,"&lt;&gt;",'Card Test Cases'!$F$4:$F$1000,"&lt;&gt;Out of Scope"))</f>
        <v/>
      </c>
      <c r="P969" s="68" t="str">
        <f>IF(TRIM($A969)="","",COUNTIFS('Card Test Cases'!$B$4:$B$1000,$A969,'Card Test Cases'!$A$4:$A$1000,"&lt;&gt;",'Card Test Cases'!$F$4:$F$1000,"Passed"))</f>
        <v/>
      </c>
      <c r="Q969" s="68" t="str">
        <f>IF(TRIM($A969)="","",COUNTIFS('Card Test Cases'!$B$4:$B$1000,$A969,'Card Test Cases'!$A$4:$A$1000,"&lt;&gt;",'Card Test Cases'!$F$4:$F$1000,"Failed"))</f>
        <v/>
      </c>
      <c r="R969" s="68" t="str">
        <f t="shared" si="15"/>
        <v/>
      </c>
      <c r="S969" s="68" t="str" cm="1">
        <f t="array" ref="S969">IF(TRIM($A969)="","",IFERROR(_xlfn.TEXTJOIN(", ",TRUE,_xlfn.UNIQUE(_xlfn.VSTACK(_xlfn._xlws.FILTER('Card Test Cases'!$G$4:$G$1000,('Card Test Cases'!$B$4:$B$1000=$A969)*('Card Test Cases'!$G$4:$G$1000&lt;&gt;""),""),_xlfn._xlws.FILTER('E2E core flow'!$U$15:$U$1000,('E2E core flow'!$A$15:$A$1000&lt;&gt;"")*ISNUMBER(SEARCH('E2E core flow'!$A$15:$A$1000,$E969))*('E2E core flow'!$U$15:$U$1000&lt;&gt;""),"")))),"-"))</f>
        <v/>
      </c>
    </row>
    <row r="970" spans="7:19" x14ac:dyDescent="0.3">
      <c r="G970" s="68" t="str" cm="1">
        <f t="array" ref="G970">_xlfn.LET(_xlpm.ids,'E2E core flow'!$A$15:$A$1000,_xlpm.v,'E2E core flow'!$W$15:$W$1000,_xlpm.m,(_xlpm.ids&lt;&gt;"")*ISNUMBER(SEARCH(_xlpm.ids,$E970)),_xlpm.f,SUM(_xlpm.m*(_xlpm.v="Failed")),_xlpm.b,SUM(_xlpm.m*(_xlpm.v="Blocked")),_xlpm.nr,SUM(_xlpm.m*(_xlpm.v="Not Run")),_xlpm.cp,SUM(_xlpm.m*(_xlpm.v="Conditionally Passed")),_xlpm.p,SUM(_xlpm.m*(_xlpm.v="Passed")),IF(TRIM($A970)="","",IF(TRIM($E970)="","Pending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70" s="68" t="str">
        <f>IF(TRIM($A970)="","",IF($J970="Passed","",IF($J970="Passed with Known Issue","Known Issue",IF($J970="",IF(OR($H970&lt;&gt;"No",AND($F970&lt;&gt;"Medium",$F970&lt;&gt;"Low")),"Pending Result",""),IF(OR($H970&lt;&gt;"No",AND($F970&lt;&gt;"Medium",$F970&lt;&gt;"Low")),IF(COUNTIFS(Dashboard!$B$105:$B$124,$A970,Dashboard!$I$105:$I$124,"CAB")&gt;0,"Accepted (CF)","Blocking"),IF($J970="Failed","Deferrable","Carry Over"))))))</f>
        <v/>
      </c>
      <c r="M970" s="68" t="str">
        <f>IF(OR(TRIM($A970)="",TRIM($E970)=""),"",IFERROR(INDEX('E2E core flow'!$B$15:$B$1000,MATCH(1,INDEX(('E2E core flow'!$A$15:$A$1000&lt;&gt;"")*ISNUMBER(SEARCH('E2E core flow'!$A$15:$A$1000,$E970)),0),0))&amp;"","-"))</f>
        <v/>
      </c>
      <c r="N970" s="68" t="str">
        <f>IF(TRIM($A970)="","",IF($O970=0,IF(COUNTIFS('Card Test Cases'!$B$4:$B$1000,$A970,'Card Test Cases'!$A$4:$A$1000,"&lt;&gt;")&gt;0,"Out of Scope","No TC"),IF($Q970&gt;0,"Failed",IF(COUNTIFS('Card Test Cases'!$B$4:$B$1000,$A970,'Card Test Cases'!$A$4:$A$1000,"&lt;&gt;",'Card Test Cases'!$F$4:$F$1000,"Blocked")&gt;0,"Blocked",IF($R970&gt;0,"In Progress","Passed")))))</f>
        <v/>
      </c>
      <c r="O970" s="68" t="str">
        <f>IF(TRIM($A970)="","",COUNTIFS('Card Test Cases'!$B$4:$B$1000,$A970,'Card Test Cases'!$A$4:$A$1000,"&lt;&gt;",'Card Test Cases'!$F$4:$F$1000,"&lt;&gt;Out of Scope"))</f>
        <v/>
      </c>
      <c r="P970" s="68" t="str">
        <f>IF(TRIM($A970)="","",COUNTIFS('Card Test Cases'!$B$4:$B$1000,$A970,'Card Test Cases'!$A$4:$A$1000,"&lt;&gt;",'Card Test Cases'!$F$4:$F$1000,"Passed"))</f>
        <v/>
      </c>
      <c r="Q970" s="68" t="str">
        <f>IF(TRIM($A970)="","",COUNTIFS('Card Test Cases'!$B$4:$B$1000,$A970,'Card Test Cases'!$A$4:$A$1000,"&lt;&gt;",'Card Test Cases'!$F$4:$F$1000,"Failed"))</f>
        <v/>
      </c>
      <c r="R970" s="68" t="str">
        <f t="shared" si="15"/>
        <v/>
      </c>
      <c r="S970" s="68" t="str" cm="1">
        <f t="array" ref="S970">IF(TRIM($A970)="","",IFERROR(_xlfn.TEXTJOIN(", ",TRUE,_xlfn.UNIQUE(_xlfn.VSTACK(_xlfn._xlws.FILTER('Card Test Cases'!$G$4:$G$1000,('Card Test Cases'!$B$4:$B$1000=$A970)*('Card Test Cases'!$G$4:$G$1000&lt;&gt;""),""),_xlfn._xlws.FILTER('E2E core flow'!$U$15:$U$1000,('E2E core flow'!$A$15:$A$1000&lt;&gt;"")*ISNUMBER(SEARCH('E2E core flow'!$A$15:$A$1000,$E970))*('E2E core flow'!$U$15:$U$1000&lt;&gt;""),"")))),"-"))</f>
        <v/>
      </c>
    </row>
    <row r="971" spans="7:19" x14ac:dyDescent="0.3">
      <c r="G971" s="68" t="str" cm="1">
        <f t="array" ref="G971">_xlfn.LET(_xlpm.ids,'E2E core flow'!$A$15:$A$1000,_xlpm.v,'E2E core flow'!$W$15:$W$1000,_xlpm.m,(_xlpm.ids&lt;&gt;"")*ISNUMBER(SEARCH(_xlpm.ids,$E971)),_xlpm.f,SUM(_xlpm.m*(_xlpm.v="Failed")),_xlpm.b,SUM(_xlpm.m*(_xlpm.v="Blocked")),_xlpm.nr,SUM(_xlpm.m*(_xlpm.v="Not Run")),_xlpm.cp,SUM(_xlpm.m*(_xlpm.v="Conditionally Passed")),_xlpm.p,SUM(_xlpm.m*(_xlpm.v="Passed")),IF(TRIM($A971)="","",IF(TRIM($E971)="","Pending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71" s="68" t="str">
        <f>IF(TRIM($A971)="","",IF($J971="Passed","",IF($J971="Passed with Known Issue","Known Issue",IF($J971="",IF(OR($H971&lt;&gt;"No",AND($F971&lt;&gt;"Medium",$F971&lt;&gt;"Low")),"Pending Result",""),IF(OR($H971&lt;&gt;"No",AND($F971&lt;&gt;"Medium",$F971&lt;&gt;"Low")),IF(COUNTIFS(Dashboard!$B$105:$B$124,$A971,Dashboard!$I$105:$I$124,"CAB")&gt;0,"Accepted (CF)","Blocking"),IF($J971="Failed","Deferrable","Carry Over"))))))</f>
        <v/>
      </c>
      <c r="M971" s="68" t="str">
        <f>IF(OR(TRIM($A971)="",TRIM($E971)=""),"",IFERROR(INDEX('E2E core flow'!$B$15:$B$1000,MATCH(1,INDEX(('E2E core flow'!$A$15:$A$1000&lt;&gt;"")*ISNUMBER(SEARCH('E2E core flow'!$A$15:$A$1000,$E971)),0),0))&amp;"","-"))</f>
        <v/>
      </c>
      <c r="N971" s="68" t="str">
        <f>IF(TRIM($A971)="","",IF($O971=0,IF(COUNTIFS('Card Test Cases'!$B$4:$B$1000,$A971,'Card Test Cases'!$A$4:$A$1000,"&lt;&gt;")&gt;0,"Out of Scope","No TC"),IF($Q971&gt;0,"Failed",IF(COUNTIFS('Card Test Cases'!$B$4:$B$1000,$A971,'Card Test Cases'!$A$4:$A$1000,"&lt;&gt;",'Card Test Cases'!$F$4:$F$1000,"Blocked")&gt;0,"Blocked",IF($R971&gt;0,"In Progress","Passed")))))</f>
        <v/>
      </c>
      <c r="O971" s="68" t="str">
        <f>IF(TRIM($A971)="","",COUNTIFS('Card Test Cases'!$B$4:$B$1000,$A971,'Card Test Cases'!$A$4:$A$1000,"&lt;&gt;",'Card Test Cases'!$F$4:$F$1000,"&lt;&gt;Out of Scope"))</f>
        <v/>
      </c>
      <c r="P971" s="68" t="str">
        <f>IF(TRIM($A971)="","",COUNTIFS('Card Test Cases'!$B$4:$B$1000,$A971,'Card Test Cases'!$A$4:$A$1000,"&lt;&gt;",'Card Test Cases'!$F$4:$F$1000,"Passed"))</f>
        <v/>
      </c>
      <c r="Q971" s="68" t="str">
        <f>IF(TRIM($A971)="","",COUNTIFS('Card Test Cases'!$B$4:$B$1000,$A971,'Card Test Cases'!$A$4:$A$1000,"&lt;&gt;",'Card Test Cases'!$F$4:$F$1000,"Failed"))</f>
        <v/>
      </c>
      <c r="R971" s="68" t="str">
        <f t="shared" si="15"/>
        <v/>
      </c>
      <c r="S971" s="68" t="str" cm="1">
        <f t="array" ref="S971">IF(TRIM($A971)="","",IFERROR(_xlfn.TEXTJOIN(", ",TRUE,_xlfn.UNIQUE(_xlfn.VSTACK(_xlfn._xlws.FILTER('Card Test Cases'!$G$4:$G$1000,('Card Test Cases'!$B$4:$B$1000=$A971)*('Card Test Cases'!$G$4:$G$1000&lt;&gt;""),""),_xlfn._xlws.FILTER('E2E core flow'!$U$15:$U$1000,('E2E core flow'!$A$15:$A$1000&lt;&gt;"")*ISNUMBER(SEARCH('E2E core flow'!$A$15:$A$1000,$E971))*('E2E core flow'!$U$15:$U$1000&lt;&gt;""),"")))),"-"))</f>
        <v/>
      </c>
    </row>
    <row r="972" spans="7:19" x14ac:dyDescent="0.3">
      <c r="G972" s="68" t="str" cm="1">
        <f t="array" ref="G972">_xlfn.LET(_xlpm.ids,'E2E core flow'!$A$15:$A$1000,_xlpm.v,'E2E core flow'!$W$15:$W$1000,_xlpm.m,(_xlpm.ids&lt;&gt;"")*ISNUMBER(SEARCH(_xlpm.ids,$E972)),_xlpm.f,SUM(_xlpm.m*(_xlpm.v="Failed")),_xlpm.b,SUM(_xlpm.m*(_xlpm.v="Blocked")),_xlpm.nr,SUM(_xlpm.m*(_xlpm.v="Not Run")),_xlpm.cp,SUM(_xlpm.m*(_xlpm.v="Conditionally Passed")),_xlpm.p,SUM(_xlpm.m*(_xlpm.v="Passed")),IF(TRIM($A972)="","",IF(TRIM($E972)="","Pending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72" s="68" t="str">
        <f>IF(TRIM($A972)="","",IF($J972="Passed","",IF($J972="Passed with Known Issue","Known Issue",IF($J972="",IF(OR($H972&lt;&gt;"No",AND($F972&lt;&gt;"Medium",$F972&lt;&gt;"Low")),"Pending Result",""),IF(OR($H972&lt;&gt;"No",AND($F972&lt;&gt;"Medium",$F972&lt;&gt;"Low")),IF(COUNTIFS(Dashboard!$B$105:$B$124,$A972,Dashboard!$I$105:$I$124,"CAB")&gt;0,"Accepted (CF)","Blocking"),IF($J972="Failed","Deferrable","Carry Over"))))))</f>
        <v/>
      </c>
      <c r="M972" s="68" t="str">
        <f>IF(OR(TRIM($A972)="",TRIM($E972)=""),"",IFERROR(INDEX('E2E core flow'!$B$15:$B$1000,MATCH(1,INDEX(('E2E core flow'!$A$15:$A$1000&lt;&gt;"")*ISNUMBER(SEARCH('E2E core flow'!$A$15:$A$1000,$E972)),0),0))&amp;"","-"))</f>
        <v/>
      </c>
      <c r="N972" s="68" t="str">
        <f>IF(TRIM($A972)="","",IF($O972=0,IF(COUNTIFS('Card Test Cases'!$B$4:$B$1000,$A972,'Card Test Cases'!$A$4:$A$1000,"&lt;&gt;")&gt;0,"Out of Scope","No TC"),IF($Q972&gt;0,"Failed",IF(COUNTIFS('Card Test Cases'!$B$4:$B$1000,$A972,'Card Test Cases'!$A$4:$A$1000,"&lt;&gt;",'Card Test Cases'!$F$4:$F$1000,"Blocked")&gt;0,"Blocked",IF($R972&gt;0,"In Progress","Passed")))))</f>
        <v/>
      </c>
      <c r="O972" s="68" t="str">
        <f>IF(TRIM($A972)="","",COUNTIFS('Card Test Cases'!$B$4:$B$1000,$A972,'Card Test Cases'!$A$4:$A$1000,"&lt;&gt;",'Card Test Cases'!$F$4:$F$1000,"&lt;&gt;Out of Scope"))</f>
        <v/>
      </c>
      <c r="P972" s="68" t="str">
        <f>IF(TRIM($A972)="","",COUNTIFS('Card Test Cases'!$B$4:$B$1000,$A972,'Card Test Cases'!$A$4:$A$1000,"&lt;&gt;",'Card Test Cases'!$F$4:$F$1000,"Passed"))</f>
        <v/>
      </c>
      <c r="Q972" s="68" t="str">
        <f>IF(TRIM($A972)="","",COUNTIFS('Card Test Cases'!$B$4:$B$1000,$A972,'Card Test Cases'!$A$4:$A$1000,"&lt;&gt;",'Card Test Cases'!$F$4:$F$1000,"Failed"))</f>
        <v/>
      </c>
      <c r="R972" s="68" t="str">
        <f t="shared" si="15"/>
        <v/>
      </c>
      <c r="S972" s="68" t="str" cm="1">
        <f t="array" ref="S972">IF(TRIM($A972)="","",IFERROR(_xlfn.TEXTJOIN(", ",TRUE,_xlfn.UNIQUE(_xlfn.VSTACK(_xlfn._xlws.FILTER('Card Test Cases'!$G$4:$G$1000,('Card Test Cases'!$B$4:$B$1000=$A972)*('Card Test Cases'!$G$4:$G$1000&lt;&gt;""),""),_xlfn._xlws.FILTER('E2E core flow'!$U$15:$U$1000,('E2E core flow'!$A$15:$A$1000&lt;&gt;"")*ISNUMBER(SEARCH('E2E core flow'!$A$15:$A$1000,$E972))*('E2E core flow'!$U$15:$U$1000&lt;&gt;""),"")))),"-"))</f>
        <v/>
      </c>
    </row>
    <row r="973" spans="7:19" x14ac:dyDescent="0.3">
      <c r="G973" s="68" t="str" cm="1">
        <f t="array" ref="G973">_xlfn.LET(_xlpm.ids,'E2E core flow'!$A$15:$A$1000,_xlpm.v,'E2E core flow'!$W$15:$W$1000,_xlpm.m,(_xlpm.ids&lt;&gt;"")*ISNUMBER(SEARCH(_xlpm.ids,$E973)),_xlpm.f,SUM(_xlpm.m*(_xlpm.v="Failed")),_xlpm.b,SUM(_xlpm.m*(_xlpm.v="Blocked")),_xlpm.nr,SUM(_xlpm.m*(_xlpm.v="Not Run")),_xlpm.cp,SUM(_xlpm.m*(_xlpm.v="Conditionally Passed")),_xlpm.p,SUM(_xlpm.m*(_xlpm.v="Passed")),IF(TRIM($A973)="","",IF(TRIM($E973)="","Pending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73" s="68" t="str">
        <f>IF(TRIM($A973)="","",IF($J973="Passed","",IF($J973="Passed with Known Issue","Known Issue",IF($J973="",IF(OR($H973&lt;&gt;"No",AND($F973&lt;&gt;"Medium",$F973&lt;&gt;"Low")),"Pending Result",""),IF(OR($H973&lt;&gt;"No",AND($F973&lt;&gt;"Medium",$F973&lt;&gt;"Low")),IF(COUNTIFS(Dashboard!$B$105:$B$124,$A973,Dashboard!$I$105:$I$124,"CAB")&gt;0,"Accepted (CF)","Blocking"),IF($J973="Failed","Deferrable","Carry Over"))))))</f>
        <v/>
      </c>
      <c r="M973" s="68" t="str">
        <f>IF(OR(TRIM($A973)="",TRIM($E973)=""),"",IFERROR(INDEX('E2E core flow'!$B$15:$B$1000,MATCH(1,INDEX(('E2E core flow'!$A$15:$A$1000&lt;&gt;"")*ISNUMBER(SEARCH('E2E core flow'!$A$15:$A$1000,$E973)),0),0))&amp;"","-"))</f>
        <v/>
      </c>
      <c r="N973" s="68" t="str">
        <f>IF(TRIM($A973)="","",IF($O973=0,IF(COUNTIFS('Card Test Cases'!$B$4:$B$1000,$A973,'Card Test Cases'!$A$4:$A$1000,"&lt;&gt;")&gt;0,"Out of Scope","No TC"),IF($Q973&gt;0,"Failed",IF(COUNTIFS('Card Test Cases'!$B$4:$B$1000,$A973,'Card Test Cases'!$A$4:$A$1000,"&lt;&gt;",'Card Test Cases'!$F$4:$F$1000,"Blocked")&gt;0,"Blocked",IF($R973&gt;0,"In Progress","Passed")))))</f>
        <v/>
      </c>
      <c r="O973" s="68" t="str">
        <f>IF(TRIM($A973)="","",COUNTIFS('Card Test Cases'!$B$4:$B$1000,$A973,'Card Test Cases'!$A$4:$A$1000,"&lt;&gt;",'Card Test Cases'!$F$4:$F$1000,"&lt;&gt;Out of Scope"))</f>
        <v/>
      </c>
      <c r="P973" s="68" t="str">
        <f>IF(TRIM($A973)="","",COUNTIFS('Card Test Cases'!$B$4:$B$1000,$A973,'Card Test Cases'!$A$4:$A$1000,"&lt;&gt;",'Card Test Cases'!$F$4:$F$1000,"Passed"))</f>
        <v/>
      </c>
      <c r="Q973" s="68" t="str">
        <f>IF(TRIM($A973)="","",COUNTIFS('Card Test Cases'!$B$4:$B$1000,$A973,'Card Test Cases'!$A$4:$A$1000,"&lt;&gt;",'Card Test Cases'!$F$4:$F$1000,"Failed"))</f>
        <v/>
      </c>
      <c r="R973" s="68" t="str">
        <f t="shared" si="15"/>
        <v/>
      </c>
      <c r="S973" s="68" t="str" cm="1">
        <f t="array" ref="S973">IF(TRIM($A973)="","",IFERROR(_xlfn.TEXTJOIN(", ",TRUE,_xlfn.UNIQUE(_xlfn.VSTACK(_xlfn._xlws.FILTER('Card Test Cases'!$G$4:$G$1000,('Card Test Cases'!$B$4:$B$1000=$A973)*('Card Test Cases'!$G$4:$G$1000&lt;&gt;""),""),_xlfn._xlws.FILTER('E2E core flow'!$U$15:$U$1000,('E2E core flow'!$A$15:$A$1000&lt;&gt;"")*ISNUMBER(SEARCH('E2E core flow'!$A$15:$A$1000,$E973))*('E2E core flow'!$U$15:$U$1000&lt;&gt;""),"")))),"-"))</f>
        <v/>
      </c>
    </row>
    <row r="974" spans="7:19" x14ac:dyDescent="0.3">
      <c r="G974" s="68" t="str" cm="1">
        <f t="array" ref="G974">_xlfn.LET(_xlpm.ids,'E2E core flow'!$A$15:$A$1000,_xlpm.v,'E2E core flow'!$W$15:$W$1000,_xlpm.m,(_xlpm.ids&lt;&gt;"")*ISNUMBER(SEARCH(_xlpm.ids,$E974)),_xlpm.f,SUM(_xlpm.m*(_xlpm.v="Failed")),_xlpm.b,SUM(_xlpm.m*(_xlpm.v="Blocked")),_xlpm.nr,SUM(_xlpm.m*(_xlpm.v="Not Run")),_xlpm.cp,SUM(_xlpm.m*(_xlpm.v="Conditionally Passed")),_xlpm.p,SUM(_xlpm.m*(_xlpm.v="Passed")),IF(TRIM($A974)="","",IF(TRIM($E974)="","Pending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74" s="68" t="str">
        <f>IF(TRIM($A974)="","",IF($J974="Passed","",IF($J974="Passed with Known Issue","Known Issue",IF($J974="",IF(OR($H974&lt;&gt;"No",AND($F974&lt;&gt;"Medium",$F974&lt;&gt;"Low")),"Pending Result",""),IF(OR($H974&lt;&gt;"No",AND($F974&lt;&gt;"Medium",$F974&lt;&gt;"Low")),IF(COUNTIFS(Dashboard!$B$105:$B$124,$A974,Dashboard!$I$105:$I$124,"CAB")&gt;0,"Accepted (CF)","Blocking"),IF($J974="Failed","Deferrable","Carry Over"))))))</f>
        <v/>
      </c>
      <c r="M974" s="68" t="str">
        <f>IF(OR(TRIM($A974)="",TRIM($E974)=""),"",IFERROR(INDEX('E2E core flow'!$B$15:$B$1000,MATCH(1,INDEX(('E2E core flow'!$A$15:$A$1000&lt;&gt;"")*ISNUMBER(SEARCH('E2E core flow'!$A$15:$A$1000,$E974)),0),0))&amp;"","-"))</f>
        <v/>
      </c>
      <c r="N974" s="68" t="str">
        <f>IF(TRIM($A974)="","",IF($O974=0,IF(COUNTIFS('Card Test Cases'!$B$4:$B$1000,$A974,'Card Test Cases'!$A$4:$A$1000,"&lt;&gt;")&gt;0,"Out of Scope","No TC"),IF($Q974&gt;0,"Failed",IF(COUNTIFS('Card Test Cases'!$B$4:$B$1000,$A974,'Card Test Cases'!$A$4:$A$1000,"&lt;&gt;",'Card Test Cases'!$F$4:$F$1000,"Blocked")&gt;0,"Blocked",IF($R974&gt;0,"In Progress","Passed")))))</f>
        <v/>
      </c>
      <c r="O974" s="68" t="str">
        <f>IF(TRIM($A974)="","",COUNTIFS('Card Test Cases'!$B$4:$B$1000,$A974,'Card Test Cases'!$A$4:$A$1000,"&lt;&gt;",'Card Test Cases'!$F$4:$F$1000,"&lt;&gt;Out of Scope"))</f>
        <v/>
      </c>
      <c r="P974" s="68" t="str">
        <f>IF(TRIM($A974)="","",COUNTIFS('Card Test Cases'!$B$4:$B$1000,$A974,'Card Test Cases'!$A$4:$A$1000,"&lt;&gt;",'Card Test Cases'!$F$4:$F$1000,"Passed"))</f>
        <v/>
      </c>
      <c r="Q974" s="68" t="str">
        <f>IF(TRIM($A974)="","",COUNTIFS('Card Test Cases'!$B$4:$B$1000,$A974,'Card Test Cases'!$A$4:$A$1000,"&lt;&gt;",'Card Test Cases'!$F$4:$F$1000,"Failed"))</f>
        <v/>
      </c>
      <c r="R974" s="68" t="str">
        <f t="shared" si="15"/>
        <v/>
      </c>
      <c r="S974" s="68" t="str" cm="1">
        <f t="array" ref="S974">IF(TRIM($A974)="","",IFERROR(_xlfn.TEXTJOIN(", ",TRUE,_xlfn.UNIQUE(_xlfn.VSTACK(_xlfn._xlws.FILTER('Card Test Cases'!$G$4:$G$1000,('Card Test Cases'!$B$4:$B$1000=$A974)*('Card Test Cases'!$G$4:$G$1000&lt;&gt;""),""),_xlfn._xlws.FILTER('E2E core flow'!$U$15:$U$1000,('E2E core flow'!$A$15:$A$1000&lt;&gt;"")*ISNUMBER(SEARCH('E2E core flow'!$A$15:$A$1000,$E974))*('E2E core flow'!$U$15:$U$1000&lt;&gt;""),"")))),"-"))</f>
        <v/>
      </c>
    </row>
    <row r="975" spans="7:19" x14ac:dyDescent="0.3">
      <c r="G975" s="68" t="str" cm="1">
        <f t="array" ref="G975">_xlfn.LET(_xlpm.ids,'E2E core flow'!$A$15:$A$1000,_xlpm.v,'E2E core flow'!$W$15:$W$1000,_xlpm.m,(_xlpm.ids&lt;&gt;"")*ISNUMBER(SEARCH(_xlpm.ids,$E975)),_xlpm.f,SUM(_xlpm.m*(_xlpm.v="Failed")),_xlpm.b,SUM(_xlpm.m*(_xlpm.v="Blocked")),_xlpm.nr,SUM(_xlpm.m*(_xlpm.v="Not Run")),_xlpm.cp,SUM(_xlpm.m*(_xlpm.v="Conditionally Passed")),_xlpm.p,SUM(_xlpm.m*(_xlpm.v="Passed")),IF(TRIM($A975)="","",IF(TRIM($E975)="","Pending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75" s="68" t="str">
        <f>IF(TRIM($A975)="","",IF($J975="Passed","",IF($J975="Passed with Known Issue","Known Issue",IF($J975="",IF(OR($H975&lt;&gt;"No",AND($F975&lt;&gt;"Medium",$F975&lt;&gt;"Low")),"Pending Result",""),IF(OR($H975&lt;&gt;"No",AND($F975&lt;&gt;"Medium",$F975&lt;&gt;"Low")),IF(COUNTIFS(Dashboard!$B$105:$B$124,$A975,Dashboard!$I$105:$I$124,"CAB")&gt;0,"Accepted (CF)","Blocking"),IF($J975="Failed","Deferrable","Carry Over"))))))</f>
        <v/>
      </c>
      <c r="M975" s="68" t="str">
        <f>IF(OR(TRIM($A975)="",TRIM($E975)=""),"",IFERROR(INDEX('E2E core flow'!$B$15:$B$1000,MATCH(1,INDEX(('E2E core flow'!$A$15:$A$1000&lt;&gt;"")*ISNUMBER(SEARCH('E2E core flow'!$A$15:$A$1000,$E975)),0),0))&amp;"","-"))</f>
        <v/>
      </c>
      <c r="N975" s="68" t="str">
        <f>IF(TRIM($A975)="","",IF($O975=0,IF(COUNTIFS('Card Test Cases'!$B$4:$B$1000,$A975,'Card Test Cases'!$A$4:$A$1000,"&lt;&gt;")&gt;0,"Out of Scope","No TC"),IF($Q975&gt;0,"Failed",IF(COUNTIFS('Card Test Cases'!$B$4:$B$1000,$A975,'Card Test Cases'!$A$4:$A$1000,"&lt;&gt;",'Card Test Cases'!$F$4:$F$1000,"Blocked")&gt;0,"Blocked",IF($R975&gt;0,"In Progress","Passed")))))</f>
        <v/>
      </c>
      <c r="O975" s="68" t="str">
        <f>IF(TRIM($A975)="","",COUNTIFS('Card Test Cases'!$B$4:$B$1000,$A975,'Card Test Cases'!$A$4:$A$1000,"&lt;&gt;",'Card Test Cases'!$F$4:$F$1000,"&lt;&gt;Out of Scope"))</f>
        <v/>
      </c>
      <c r="P975" s="68" t="str">
        <f>IF(TRIM($A975)="","",COUNTIFS('Card Test Cases'!$B$4:$B$1000,$A975,'Card Test Cases'!$A$4:$A$1000,"&lt;&gt;",'Card Test Cases'!$F$4:$F$1000,"Passed"))</f>
        <v/>
      </c>
      <c r="Q975" s="68" t="str">
        <f>IF(TRIM($A975)="","",COUNTIFS('Card Test Cases'!$B$4:$B$1000,$A975,'Card Test Cases'!$A$4:$A$1000,"&lt;&gt;",'Card Test Cases'!$F$4:$F$1000,"Failed"))</f>
        <v/>
      </c>
      <c r="R975" s="68" t="str">
        <f t="shared" si="15"/>
        <v/>
      </c>
      <c r="S975" s="68" t="str" cm="1">
        <f t="array" ref="S975">IF(TRIM($A975)="","",IFERROR(_xlfn.TEXTJOIN(", ",TRUE,_xlfn.UNIQUE(_xlfn.VSTACK(_xlfn._xlws.FILTER('Card Test Cases'!$G$4:$G$1000,('Card Test Cases'!$B$4:$B$1000=$A975)*('Card Test Cases'!$G$4:$G$1000&lt;&gt;""),""),_xlfn._xlws.FILTER('E2E core flow'!$U$15:$U$1000,('E2E core flow'!$A$15:$A$1000&lt;&gt;"")*ISNUMBER(SEARCH('E2E core flow'!$A$15:$A$1000,$E975))*('E2E core flow'!$U$15:$U$1000&lt;&gt;""),"")))),"-"))</f>
        <v/>
      </c>
    </row>
    <row r="976" spans="7:19" x14ac:dyDescent="0.3">
      <c r="G976" s="68" t="str" cm="1">
        <f t="array" ref="G976">_xlfn.LET(_xlpm.ids,'E2E core flow'!$A$15:$A$1000,_xlpm.v,'E2E core flow'!$W$15:$W$1000,_xlpm.m,(_xlpm.ids&lt;&gt;"")*ISNUMBER(SEARCH(_xlpm.ids,$E976)),_xlpm.f,SUM(_xlpm.m*(_xlpm.v="Failed")),_xlpm.b,SUM(_xlpm.m*(_xlpm.v="Blocked")),_xlpm.nr,SUM(_xlpm.m*(_xlpm.v="Not Run")),_xlpm.cp,SUM(_xlpm.m*(_xlpm.v="Conditionally Passed")),_xlpm.p,SUM(_xlpm.m*(_xlpm.v="Passed")),IF(TRIM($A976)="","",IF(TRIM($E976)="","Pending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76" s="68" t="str">
        <f>IF(TRIM($A976)="","",IF($J976="Passed","",IF($J976="Passed with Known Issue","Known Issue",IF($J976="",IF(OR($H976&lt;&gt;"No",AND($F976&lt;&gt;"Medium",$F976&lt;&gt;"Low")),"Pending Result",""),IF(OR($H976&lt;&gt;"No",AND($F976&lt;&gt;"Medium",$F976&lt;&gt;"Low")),IF(COUNTIFS(Dashboard!$B$105:$B$124,$A976,Dashboard!$I$105:$I$124,"CAB")&gt;0,"Accepted (CF)","Blocking"),IF($J976="Failed","Deferrable","Carry Over"))))))</f>
        <v/>
      </c>
      <c r="M976" s="68" t="str">
        <f>IF(OR(TRIM($A976)="",TRIM($E976)=""),"",IFERROR(INDEX('E2E core flow'!$B$15:$B$1000,MATCH(1,INDEX(('E2E core flow'!$A$15:$A$1000&lt;&gt;"")*ISNUMBER(SEARCH('E2E core flow'!$A$15:$A$1000,$E976)),0),0))&amp;"","-"))</f>
        <v/>
      </c>
      <c r="N976" s="68" t="str">
        <f>IF(TRIM($A976)="","",IF($O976=0,IF(COUNTIFS('Card Test Cases'!$B$4:$B$1000,$A976,'Card Test Cases'!$A$4:$A$1000,"&lt;&gt;")&gt;0,"Out of Scope","No TC"),IF($Q976&gt;0,"Failed",IF(COUNTIFS('Card Test Cases'!$B$4:$B$1000,$A976,'Card Test Cases'!$A$4:$A$1000,"&lt;&gt;",'Card Test Cases'!$F$4:$F$1000,"Blocked")&gt;0,"Blocked",IF($R976&gt;0,"In Progress","Passed")))))</f>
        <v/>
      </c>
      <c r="O976" s="68" t="str">
        <f>IF(TRIM($A976)="","",COUNTIFS('Card Test Cases'!$B$4:$B$1000,$A976,'Card Test Cases'!$A$4:$A$1000,"&lt;&gt;",'Card Test Cases'!$F$4:$F$1000,"&lt;&gt;Out of Scope"))</f>
        <v/>
      </c>
      <c r="P976" s="68" t="str">
        <f>IF(TRIM($A976)="","",COUNTIFS('Card Test Cases'!$B$4:$B$1000,$A976,'Card Test Cases'!$A$4:$A$1000,"&lt;&gt;",'Card Test Cases'!$F$4:$F$1000,"Passed"))</f>
        <v/>
      </c>
      <c r="Q976" s="68" t="str">
        <f>IF(TRIM($A976)="","",COUNTIFS('Card Test Cases'!$B$4:$B$1000,$A976,'Card Test Cases'!$A$4:$A$1000,"&lt;&gt;",'Card Test Cases'!$F$4:$F$1000,"Failed"))</f>
        <v/>
      </c>
      <c r="R976" s="68" t="str">
        <f t="shared" si="15"/>
        <v/>
      </c>
      <c r="S976" s="68" t="str" cm="1">
        <f t="array" ref="S976">IF(TRIM($A976)="","",IFERROR(_xlfn.TEXTJOIN(", ",TRUE,_xlfn.UNIQUE(_xlfn.VSTACK(_xlfn._xlws.FILTER('Card Test Cases'!$G$4:$G$1000,('Card Test Cases'!$B$4:$B$1000=$A976)*('Card Test Cases'!$G$4:$G$1000&lt;&gt;""),""),_xlfn._xlws.FILTER('E2E core flow'!$U$15:$U$1000,('E2E core flow'!$A$15:$A$1000&lt;&gt;"")*ISNUMBER(SEARCH('E2E core flow'!$A$15:$A$1000,$E976))*('E2E core flow'!$U$15:$U$1000&lt;&gt;""),"")))),"-"))</f>
        <v/>
      </c>
    </row>
    <row r="977" spans="7:19" x14ac:dyDescent="0.3">
      <c r="G977" s="68" t="str" cm="1">
        <f t="array" ref="G977">_xlfn.LET(_xlpm.ids,'E2E core flow'!$A$15:$A$1000,_xlpm.v,'E2E core flow'!$W$15:$W$1000,_xlpm.m,(_xlpm.ids&lt;&gt;"")*ISNUMBER(SEARCH(_xlpm.ids,$E977)),_xlpm.f,SUM(_xlpm.m*(_xlpm.v="Failed")),_xlpm.b,SUM(_xlpm.m*(_xlpm.v="Blocked")),_xlpm.nr,SUM(_xlpm.m*(_xlpm.v="Not Run")),_xlpm.cp,SUM(_xlpm.m*(_xlpm.v="Conditionally Passed")),_xlpm.p,SUM(_xlpm.m*(_xlpm.v="Passed")),IF(TRIM($A977)="","",IF(TRIM($E977)="","Pending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77" s="68" t="str">
        <f>IF(TRIM($A977)="","",IF($J977="Passed","",IF($J977="Passed with Known Issue","Known Issue",IF($J977="",IF(OR($H977&lt;&gt;"No",AND($F977&lt;&gt;"Medium",$F977&lt;&gt;"Low")),"Pending Result",""),IF(OR($H977&lt;&gt;"No",AND($F977&lt;&gt;"Medium",$F977&lt;&gt;"Low")),IF(COUNTIFS(Dashboard!$B$105:$B$124,$A977,Dashboard!$I$105:$I$124,"CAB")&gt;0,"Accepted (CF)","Blocking"),IF($J977="Failed","Deferrable","Carry Over"))))))</f>
        <v/>
      </c>
      <c r="M977" s="68" t="str">
        <f>IF(OR(TRIM($A977)="",TRIM($E977)=""),"",IFERROR(INDEX('E2E core flow'!$B$15:$B$1000,MATCH(1,INDEX(('E2E core flow'!$A$15:$A$1000&lt;&gt;"")*ISNUMBER(SEARCH('E2E core flow'!$A$15:$A$1000,$E977)),0),0))&amp;"","-"))</f>
        <v/>
      </c>
      <c r="N977" s="68" t="str">
        <f>IF(TRIM($A977)="","",IF($O977=0,IF(COUNTIFS('Card Test Cases'!$B$4:$B$1000,$A977,'Card Test Cases'!$A$4:$A$1000,"&lt;&gt;")&gt;0,"Out of Scope","No TC"),IF($Q977&gt;0,"Failed",IF(COUNTIFS('Card Test Cases'!$B$4:$B$1000,$A977,'Card Test Cases'!$A$4:$A$1000,"&lt;&gt;",'Card Test Cases'!$F$4:$F$1000,"Blocked")&gt;0,"Blocked",IF($R977&gt;0,"In Progress","Passed")))))</f>
        <v/>
      </c>
      <c r="O977" s="68" t="str">
        <f>IF(TRIM($A977)="","",COUNTIFS('Card Test Cases'!$B$4:$B$1000,$A977,'Card Test Cases'!$A$4:$A$1000,"&lt;&gt;",'Card Test Cases'!$F$4:$F$1000,"&lt;&gt;Out of Scope"))</f>
        <v/>
      </c>
      <c r="P977" s="68" t="str">
        <f>IF(TRIM($A977)="","",COUNTIFS('Card Test Cases'!$B$4:$B$1000,$A977,'Card Test Cases'!$A$4:$A$1000,"&lt;&gt;",'Card Test Cases'!$F$4:$F$1000,"Passed"))</f>
        <v/>
      </c>
      <c r="Q977" s="68" t="str">
        <f>IF(TRIM($A977)="","",COUNTIFS('Card Test Cases'!$B$4:$B$1000,$A977,'Card Test Cases'!$A$4:$A$1000,"&lt;&gt;",'Card Test Cases'!$F$4:$F$1000,"Failed"))</f>
        <v/>
      </c>
      <c r="R977" s="68" t="str">
        <f t="shared" si="15"/>
        <v/>
      </c>
      <c r="S977" s="68" t="str" cm="1">
        <f t="array" ref="S977">IF(TRIM($A977)="","",IFERROR(_xlfn.TEXTJOIN(", ",TRUE,_xlfn.UNIQUE(_xlfn.VSTACK(_xlfn._xlws.FILTER('Card Test Cases'!$G$4:$G$1000,('Card Test Cases'!$B$4:$B$1000=$A977)*('Card Test Cases'!$G$4:$G$1000&lt;&gt;""),""),_xlfn._xlws.FILTER('E2E core flow'!$U$15:$U$1000,('E2E core flow'!$A$15:$A$1000&lt;&gt;"")*ISNUMBER(SEARCH('E2E core flow'!$A$15:$A$1000,$E977))*('E2E core flow'!$U$15:$U$1000&lt;&gt;""),"")))),"-"))</f>
        <v/>
      </c>
    </row>
    <row r="978" spans="7:19" x14ac:dyDescent="0.3">
      <c r="G978" s="68" t="str" cm="1">
        <f t="array" ref="G978">_xlfn.LET(_xlpm.ids,'E2E core flow'!$A$15:$A$1000,_xlpm.v,'E2E core flow'!$W$15:$W$1000,_xlpm.m,(_xlpm.ids&lt;&gt;"")*ISNUMBER(SEARCH(_xlpm.ids,$E978)),_xlpm.f,SUM(_xlpm.m*(_xlpm.v="Failed")),_xlpm.b,SUM(_xlpm.m*(_xlpm.v="Blocked")),_xlpm.nr,SUM(_xlpm.m*(_xlpm.v="Not Run")),_xlpm.cp,SUM(_xlpm.m*(_xlpm.v="Conditionally Passed")),_xlpm.p,SUM(_xlpm.m*(_xlpm.v="Passed")),IF(TRIM($A978)="","",IF(TRIM($E978)="","Pending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78" s="68" t="str">
        <f>IF(TRIM($A978)="","",IF($J978="Passed","",IF($J978="Passed with Known Issue","Known Issue",IF($J978="",IF(OR($H978&lt;&gt;"No",AND($F978&lt;&gt;"Medium",$F978&lt;&gt;"Low")),"Pending Result",""),IF(OR($H978&lt;&gt;"No",AND($F978&lt;&gt;"Medium",$F978&lt;&gt;"Low")),IF(COUNTIFS(Dashboard!$B$105:$B$124,$A978,Dashboard!$I$105:$I$124,"CAB")&gt;0,"Accepted (CF)","Blocking"),IF($J978="Failed","Deferrable","Carry Over"))))))</f>
        <v/>
      </c>
      <c r="M978" s="68" t="str">
        <f>IF(OR(TRIM($A978)="",TRIM($E978)=""),"",IFERROR(INDEX('E2E core flow'!$B$15:$B$1000,MATCH(1,INDEX(('E2E core flow'!$A$15:$A$1000&lt;&gt;"")*ISNUMBER(SEARCH('E2E core flow'!$A$15:$A$1000,$E978)),0),0))&amp;"","-"))</f>
        <v/>
      </c>
      <c r="N978" s="68" t="str">
        <f>IF(TRIM($A978)="","",IF($O978=0,IF(COUNTIFS('Card Test Cases'!$B$4:$B$1000,$A978,'Card Test Cases'!$A$4:$A$1000,"&lt;&gt;")&gt;0,"Out of Scope","No TC"),IF($Q978&gt;0,"Failed",IF(COUNTIFS('Card Test Cases'!$B$4:$B$1000,$A978,'Card Test Cases'!$A$4:$A$1000,"&lt;&gt;",'Card Test Cases'!$F$4:$F$1000,"Blocked")&gt;0,"Blocked",IF($R978&gt;0,"In Progress","Passed")))))</f>
        <v/>
      </c>
      <c r="O978" s="68" t="str">
        <f>IF(TRIM($A978)="","",COUNTIFS('Card Test Cases'!$B$4:$B$1000,$A978,'Card Test Cases'!$A$4:$A$1000,"&lt;&gt;",'Card Test Cases'!$F$4:$F$1000,"&lt;&gt;Out of Scope"))</f>
        <v/>
      </c>
      <c r="P978" s="68" t="str">
        <f>IF(TRIM($A978)="","",COUNTIFS('Card Test Cases'!$B$4:$B$1000,$A978,'Card Test Cases'!$A$4:$A$1000,"&lt;&gt;",'Card Test Cases'!$F$4:$F$1000,"Passed"))</f>
        <v/>
      </c>
      <c r="Q978" s="68" t="str">
        <f>IF(TRIM($A978)="","",COUNTIFS('Card Test Cases'!$B$4:$B$1000,$A978,'Card Test Cases'!$A$4:$A$1000,"&lt;&gt;",'Card Test Cases'!$F$4:$F$1000,"Failed"))</f>
        <v/>
      </c>
      <c r="R978" s="68" t="str">
        <f t="shared" si="15"/>
        <v/>
      </c>
      <c r="S978" s="68" t="str" cm="1">
        <f t="array" ref="S978">IF(TRIM($A978)="","",IFERROR(_xlfn.TEXTJOIN(", ",TRUE,_xlfn.UNIQUE(_xlfn.VSTACK(_xlfn._xlws.FILTER('Card Test Cases'!$G$4:$G$1000,('Card Test Cases'!$B$4:$B$1000=$A978)*('Card Test Cases'!$G$4:$G$1000&lt;&gt;""),""),_xlfn._xlws.FILTER('E2E core flow'!$U$15:$U$1000,('E2E core flow'!$A$15:$A$1000&lt;&gt;"")*ISNUMBER(SEARCH('E2E core flow'!$A$15:$A$1000,$E978))*('E2E core flow'!$U$15:$U$1000&lt;&gt;""),"")))),"-"))</f>
        <v/>
      </c>
    </row>
    <row r="979" spans="7:19" x14ac:dyDescent="0.3">
      <c r="G979" s="68" t="str" cm="1">
        <f t="array" ref="G979">_xlfn.LET(_xlpm.ids,'E2E core flow'!$A$15:$A$1000,_xlpm.v,'E2E core flow'!$W$15:$W$1000,_xlpm.m,(_xlpm.ids&lt;&gt;"")*ISNUMBER(SEARCH(_xlpm.ids,$E979)),_xlpm.f,SUM(_xlpm.m*(_xlpm.v="Failed")),_xlpm.b,SUM(_xlpm.m*(_xlpm.v="Blocked")),_xlpm.nr,SUM(_xlpm.m*(_xlpm.v="Not Run")),_xlpm.cp,SUM(_xlpm.m*(_xlpm.v="Conditionally Passed")),_xlpm.p,SUM(_xlpm.m*(_xlpm.v="Passed")),IF(TRIM($A979)="","",IF(TRIM($E979)="","Pending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79" s="68" t="str">
        <f>IF(TRIM($A979)="","",IF($J979="Passed","",IF($J979="Passed with Known Issue","Known Issue",IF($J979="",IF(OR($H979&lt;&gt;"No",AND($F979&lt;&gt;"Medium",$F979&lt;&gt;"Low")),"Pending Result",""),IF(OR($H979&lt;&gt;"No",AND($F979&lt;&gt;"Medium",$F979&lt;&gt;"Low")),IF(COUNTIFS(Dashboard!$B$105:$B$124,$A979,Dashboard!$I$105:$I$124,"CAB")&gt;0,"Accepted (CF)","Blocking"),IF($J979="Failed","Deferrable","Carry Over"))))))</f>
        <v/>
      </c>
      <c r="M979" s="68" t="str">
        <f>IF(OR(TRIM($A979)="",TRIM($E979)=""),"",IFERROR(INDEX('E2E core flow'!$B$15:$B$1000,MATCH(1,INDEX(('E2E core flow'!$A$15:$A$1000&lt;&gt;"")*ISNUMBER(SEARCH('E2E core flow'!$A$15:$A$1000,$E979)),0),0))&amp;"","-"))</f>
        <v/>
      </c>
      <c r="N979" s="68" t="str">
        <f>IF(TRIM($A979)="","",IF($O979=0,IF(COUNTIFS('Card Test Cases'!$B$4:$B$1000,$A979,'Card Test Cases'!$A$4:$A$1000,"&lt;&gt;")&gt;0,"Out of Scope","No TC"),IF($Q979&gt;0,"Failed",IF(COUNTIFS('Card Test Cases'!$B$4:$B$1000,$A979,'Card Test Cases'!$A$4:$A$1000,"&lt;&gt;",'Card Test Cases'!$F$4:$F$1000,"Blocked")&gt;0,"Blocked",IF($R979&gt;0,"In Progress","Passed")))))</f>
        <v/>
      </c>
      <c r="O979" s="68" t="str">
        <f>IF(TRIM($A979)="","",COUNTIFS('Card Test Cases'!$B$4:$B$1000,$A979,'Card Test Cases'!$A$4:$A$1000,"&lt;&gt;",'Card Test Cases'!$F$4:$F$1000,"&lt;&gt;Out of Scope"))</f>
        <v/>
      </c>
      <c r="P979" s="68" t="str">
        <f>IF(TRIM($A979)="","",COUNTIFS('Card Test Cases'!$B$4:$B$1000,$A979,'Card Test Cases'!$A$4:$A$1000,"&lt;&gt;",'Card Test Cases'!$F$4:$F$1000,"Passed"))</f>
        <v/>
      </c>
      <c r="Q979" s="68" t="str">
        <f>IF(TRIM($A979)="","",COUNTIFS('Card Test Cases'!$B$4:$B$1000,$A979,'Card Test Cases'!$A$4:$A$1000,"&lt;&gt;",'Card Test Cases'!$F$4:$F$1000,"Failed"))</f>
        <v/>
      </c>
      <c r="R979" s="68" t="str">
        <f t="shared" si="15"/>
        <v/>
      </c>
      <c r="S979" s="68" t="str" cm="1">
        <f t="array" ref="S979">IF(TRIM($A979)="","",IFERROR(_xlfn.TEXTJOIN(", ",TRUE,_xlfn.UNIQUE(_xlfn.VSTACK(_xlfn._xlws.FILTER('Card Test Cases'!$G$4:$G$1000,('Card Test Cases'!$B$4:$B$1000=$A979)*('Card Test Cases'!$G$4:$G$1000&lt;&gt;""),""),_xlfn._xlws.FILTER('E2E core flow'!$U$15:$U$1000,('E2E core flow'!$A$15:$A$1000&lt;&gt;"")*ISNUMBER(SEARCH('E2E core flow'!$A$15:$A$1000,$E979))*('E2E core flow'!$U$15:$U$1000&lt;&gt;""),"")))),"-"))</f>
        <v/>
      </c>
    </row>
    <row r="980" spans="7:19" x14ac:dyDescent="0.3">
      <c r="G980" s="68" t="str" cm="1">
        <f t="array" ref="G980">_xlfn.LET(_xlpm.ids,'E2E core flow'!$A$15:$A$1000,_xlpm.v,'E2E core flow'!$W$15:$W$1000,_xlpm.m,(_xlpm.ids&lt;&gt;"")*ISNUMBER(SEARCH(_xlpm.ids,$E980)),_xlpm.f,SUM(_xlpm.m*(_xlpm.v="Failed")),_xlpm.b,SUM(_xlpm.m*(_xlpm.v="Blocked")),_xlpm.nr,SUM(_xlpm.m*(_xlpm.v="Not Run")),_xlpm.cp,SUM(_xlpm.m*(_xlpm.v="Conditionally Passed")),_xlpm.p,SUM(_xlpm.m*(_xlpm.v="Passed")),IF(TRIM($A980)="","",IF(TRIM($E980)="","Pending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80" s="68" t="str">
        <f>IF(TRIM($A980)="","",IF($J980="Passed","",IF($J980="Passed with Known Issue","Known Issue",IF($J980="",IF(OR($H980&lt;&gt;"No",AND($F980&lt;&gt;"Medium",$F980&lt;&gt;"Low")),"Pending Result",""),IF(OR($H980&lt;&gt;"No",AND($F980&lt;&gt;"Medium",$F980&lt;&gt;"Low")),IF(COUNTIFS(Dashboard!$B$105:$B$124,$A980,Dashboard!$I$105:$I$124,"CAB")&gt;0,"Accepted (CF)","Blocking"),IF($J980="Failed","Deferrable","Carry Over"))))))</f>
        <v/>
      </c>
      <c r="M980" s="68" t="str">
        <f>IF(OR(TRIM($A980)="",TRIM($E980)=""),"",IFERROR(INDEX('E2E core flow'!$B$15:$B$1000,MATCH(1,INDEX(('E2E core flow'!$A$15:$A$1000&lt;&gt;"")*ISNUMBER(SEARCH('E2E core flow'!$A$15:$A$1000,$E980)),0),0))&amp;"","-"))</f>
        <v/>
      </c>
      <c r="N980" s="68" t="str">
        <f>IF(TRIM($A980)="","",IF($O980=0,IF(COUNTIFS('Card Test Cases'!$B$4:$B$1000,$A980,'Card Test Cases'!$A$4:$A$1000,"&lt;&gt;")&gt;0,"Out of Scope","No TC"),IF($Q980&gt;0,"Failed",IF(COUNTIFS('Card Test Cases'!$B$4:$B$1000,$A980,'Card Test Cases'!$A$4:$A$1000,"&lt;&gt;",'Card Test Cases'!$F$4:$F$1000,"Blocked")&gt;0,"Blocked",IF($R980&gt;0,"In Progress","Passed")))))</f>
        <v/>
      </c>
      <c r="O980" s="68" t="str">
        <f>IF(TRIM($A980)="","",COUNTIFS('Card Test Cases'!$B$4:$B$1000,$A980,'Card Test Cases'!$A$4:$A$1000,"&lt;&gt;",'Card Test Cases'!$F$4:$F$1000,"&lt;&gt;Out of Scope"))</f>
        <v/>
      </c>
      <c r="P980" s="68" t="str">
        <f>IF(TRIM($A980)="","",COUNTIFS('Card Test Cases'!$B$4:$B$1000,$A980,'Card Test Cases'!$A$4:$A$1000,"&lt;&gt;",'Card Test Cases'!$F$4:$F$1000,"Passed"))</f>
        <v/>
      </c>
      <c r="Q980" s="68" t="str">
        <f>IF(TRIM($A980)="","",COUNTIFS('Card Test Cases'!$B$4:$B$1000,$A980,'Card Test Cases'!$A$4:$A$1000,"&lt;&gt;",'Card Test Cases'!$F$4:$F$1000,"Failed"))</f>
        <v/>
      </c>
      <c r="R980" s="68" t="str">
        <f t="shared" si="15"/>
        <v/>
      </c>
      <c r="S980" s="68" t="str" cm="1">
        <f t="array" ref="S980">IF(TRIM($A980)="","",IFERROR(_xlfn.TEXTJOIN(", ",TRUE,_xlfn.UNIQUE(_xlfn.VSTACK(_xlfn._xlws.FILTER('Card Test Cases'!$G$4:$G$1000,('Card Test Cases'!$B$4:$B$1000=$A980)*('Card Test Cases'!$G$4:$G$1000&lt;&gt;""),""),_xlfn._xlws.FILTER('E2E core flow'!$U$15:$U$1000,('E2E core flow'!$A$15:$A$1000&lt;&gt;"")*ISNUMBER(SEARCH('E2E core flow'!$A$15:$A$1000,$E980))*('E2E core flow'!$U$15:$U$1000&lt;&gt;""),"")))),"-"))</f>
        <v/>
      </c>
    </row>
    <row r="981" spans="7:19" x14ac:dyDescent="0.3">
      <c r="G981" s="68" t="str" cm="1">
        <f t="array" ref="G981">_xlfn.LET(_xlpm.ids,'E2E core flow'!$A$15:$A$1000,_xlpm.v,'E2E core flow'!$W$15:$W$1000,_xlpm.m,(_xlpm.ids&lt;&gt;"")*ISNUMBER(SEARCH(_xlpm.ids,$E981)),_xlpm.f,SUM(_xlpm.m*(_xlpm.v="Failed")),_xlpm.b,SUM(_xlpm.m*(_xlpm.v="Blocked")),_xlpm.nr,SUM(_xlpm.m*(_xlpm.v="Not Run")),_xlpm.cp,SUM(_xlpm.m*(_xlpm.v="Conditionally Passed")),_xlpm.p,SUM(_xlpm.m*(_xlpm.v="Passed")),IF(TRIM($A981)="","",IF(TRIM($E981)="","Pending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81" s="68" t="str">
        <f>IF(TRIM($A981)="","",IF($J981="Passed","",IF($J981="Passed with Known Issue","Known Issue",IF($J981="",IF(OR($H981&lt;&gt;"No",AND($F981&lt;&gt;"Medium",$F981&lt;&gt;"Low")),"Pending Result",""),IF(OR($H981&lt;&gt;"No",AND($F981&lt;&gt;"Medium",$F981&lt;&gt;"Low")),IF(COUNTIFS(Dashboard!$B$105:$B$124,$A981,Dashboard!$I$105:$I$124,"CAB")&gt;0,"Accepted (CF)","Blocking"),IF($J981="Failed","Deferrable","Carry Over"))))))</f>
        <v/>
      </c>
      <c r="M981" s="68" t="str">
        <f>IF(OR(TRIM($A981)="",TRIM($E981)=""),"",IFERROR(INDEX('E2E core flow'!$B$15:$B$1000,MATCH(1,INDEX(('E2E core flow'!$A$15:$A$1000&lt;&gt;"")*ISNUMBER(SEARCH('E2E core flow'!$A$15:$A$1000,$E981)),0),0))&amp;"","-"))</f>
        <v/>
      </c>
      <c r="N981" s="68" t="str">
        <f>IF(TRIM($A981)="","",IF($O981=0,IF(COUNTIFS('Card Test Cases'!$B$4:$B$1000,$A981,'Card Test Cases'!$A$4:$A$1000,"&lt;&gt;")&gt;0,"Out of Scope","No TC"),IF($Q981&gt;0,"Failed",IF(COUNTIFS('Card Test Cases'!$B$4:$B$1000,$A981,'Card Test Cases'!$A$4:$A$1000,"&lt;&gt;",'Card Test Cases'!$F$4:$F$1000,"Blocked")&gt;0,"Blocked",IF($R981&gt;0,"In Progress","Passed")))))</f>
        <v/>
      </c>
      <c r="O981" s="68" t="str">
        <f>IF(TRIM($A981)="","",COUNTIFS('Card Test Cases'!$B$4:$B$1000,$A981,'Card Test Cases'!$A$4:$A$1000,"&lt;&gt;",'Card Test Cases'!$F$4:$F$1000,"&lt;&gt;Out of Scope"))</f>
        <v/>
      </c>
      <c r="P981" s="68" t="str">
        <f>IF(TRIM($A981)="","",COUNTIFS('Card Test Cases'!$B$4:$B$1000,$A981,'Card Test Cases'!$A$4:$A$1000,"&lt;&gt;",'Card Test Cases'!$F$4:$F$1000,"Passed"))</f>
        <v/>
      </c>
      <c r="Q981" s="68" t="str">
        <f>IF(TRIM($A981)="","",COUNTIFS('Card Test Cases'!$B$4:$B$1000,$A981,'Card Test Cases'!$A$4:$A$1000,"&lt;&gt;",'Card Test Cases'!$F$4:$F$1000,"Failed"))</f>
        <v/>
      </c>
      <c r="R981" s="68" t="str">
        <f t="shared" si="15"/>
        <v/>
      </c>
      <c r="S981" s="68" t="str" cm="1">
        <f t="array" ref="S981">IF(TRIM($A981)="","",IFERROR(_xlfn.TEXTJOIN(", ",TRUE,_xlfn.UNIQUE(_xlfn.VSTACK(_xlfn._xlws.FILTER('Card Test Cases'!$G$4:$G$1000,('Card Test Cases'!$B$4:$B$1000=$A981)*('Card Test Cases'!$G$4:$G$1000&lt;&gt;""),""),_xlfn._xlws.FILTER('E2E core flow'!$U$15:$U$1000,('E2E core flow'!$A$15:$A$1000&lt;&gt;"")*ISNUMBER(SEARCH('E2E core flow'!$A$15:$A$1000,$E981))*('E2E core flow'!$U$15:$U$1000&lt;&gt;""),"")))),"-"))</f>
        <v/>
      </c>
    </row>
    <row r="982" spans="7:19" x14ac:dyDescent="0.3">
      <c r="G982" s="68" t="str" cm="1">
        <f t="array" ref="G982">_xlfn.LET(_xlpm.ids,'E2E core flow'!$A$15:$A$1000,_xlpm.v,'E2E core flow'!$W$15:$W$1000,_xlpm.m,(_xlpm.ids&lt;&gt;"")*ISNUMBER(SEARCH(_xlpm.ids,$E982)),_xlpm.f,SUM(_xlpm.m*(_xlpm.v="Failed")),_xlpm.b,SUM(_xlpm.m*(_xlpm.v="Blocked")),_xlpm.nr,SUM(_xlpm.m*(_xlpm.v="Not Run")),_xlpm.cp,SUM(_xlpm.m*(_xlpm.v="Conditionally Passed")),_xlpm.p,SUM(_xlpm.m*(_xlpm.v="Passed")),IF(TRIM($A982)="","",IF(TRIM($E982)="","Pending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82" s="68" t="str">
        <f>IF(TRIM($A982)="","",IF($J982="Passed","",IF($J982="Passed with Known Issue","Known Issue",IF($J982="",IF(OR($H982&lt;&gt;"No",AND($F982&lt;&gt;"Medium",$F982&lt;&gt;"Low")),"Pending Result",""),IF(OR($H982&lt;&gt;"No",AND($F982&lt;&gt;"Medium",$F982&lt;&gt;"Low")),IF(COUNTIFS(Dashboard!$B$105:$B$124,$A982,Dashboard!$I$105:$I$124,"CAB")&gt;0,"Accepted (CF)","Blocking"),IF($J982="Failed","Deferrable","Carry Over"))))))</f>
        <v/>
      </c>
      <c r="M982" s="68" t="str">
        <f>IF(OR(TRIM($A982)="",TRIM($E982)=""),"",IFERROR(INDEX('E2E core flow'!$B$15:$B$1000,MATCH(1,INDEX(('E2E core flow'!$A$15:$A$1000&lt;&gt;"")*ISNUMBER(SEARCH('E2E core flow'!$A$15:$A$1000,$E982)),0),0))&amp;"","-"))</f>
        <v/>
      </c>
      <c r="N982" s="68" t="str">
        <f>IF(TRIM($A982)="","",IF($O982=0,IF(COUNTIFS('Card Test Cases'!$B$4:$B$1000,$A982,'Card Test Cases'!$A$4:$A$1000,"&lt;&gt;")&gt;0,"Out of Scope","No TC"),IF($Q982&gt;0,"Failed",IF(COUNTIFS('Card Test Cases'!$B$4:$B$1000,$A982,'Card Test Cases'!$A$4:$A$1000,"&lt;&gt;",'Card Test Cases'!$F$4:$F$1000,"Blocked")&gt;0,"Blocked",IF($R982&gt;0,"In Progress","Passed")))))</f>
        <v/>
      </c>
      <c r="O982" s="68" t="str">
        <f>IF(TRIM($A982)="","",COUNTIFS('Card Test Cases'!$B$4:$B$1000,$A982,'Card Test Cases'!$A$4:$A$1000,"&lt;&gt;",'Card Test Cases'!$F$4:$F$1000,"&lt;&gt;Out of Scope"))</f>
        <v/>
      </c>
      <c r="P982" s="68" t="str">
        <f>IF(TRIM($A982)="","",COUNTIFS('Card Test Cases'!$B$4:$B$1000,$A982,'Card Test Cases'!$A$4:$A$1000,"&lt;&gt;",'Card Test Cases'!$F$4:$F$1000,"Passed"))</f>
        <v/>
      </c>
      <c r="Q982" s="68" t="str">
        <f>IF(TRIM($A982)="","",COUNTIFS('Card Test Cases'!$B$4:$B$1000,$A982,'Card Test Cases'!$A$4:$A$1000,"&lt;&gt;",'Card Test Cases'!$F$4:$F$1000,"Failed"))</f>
        <v/>
      </c>
      <c r="R982" s="68" t="str">
        <f t="shared" si="15"/>
        <v/>
      </c>
      <c r="S982" s="68" t="str" cm="1">
        <f t="array" ref="S982">IF(TRIM($A982)="","",IFERROR(_xlfn.TEXTJOIN(", ",TRUE,_xlfn.UNIQUE(_xlfn.VSTACK(_xlfn._xlws.FILTER('Card Test Cases'!$G$4:$G$1000,('Card Test Cases'!$B$4:$B$1000=$A982)*('Card Test Cases'!$G$4:$G$1000&lt;&gt;""),""),_xlfn._xlws.FILTER('E2E core flow'!$U$15:$U$1000,('E2E core flow'!$A$15:$A$1000&lt;&gt;"")*ISNUMBER(SEARCH('E2E core flow'!$A$15:$A$1000,$E982))*('E2E core flow'!$U$15:$U$1000&lt;&gt;""),"")))),"-"))</f>
        <v/>
      </c>
    </row>
    <row r="983" spans="7:19" x14ac:dyDescent="0.3">
      <c r="G983" s="68" t="str" cm="1">
        <f t="array" ref="G983">_xlfn.LET(_xlpm.ids,'E2E core flow'!$A$15:$A$1000,_xlpm.v,'E2E core flow'!$W$15:$W$1000,_xlpm.m,(_xlpm.ids&lt;&gt;"")*ISNUMBER(SEARCH(_xlpm.ids,$E983)),_xlpm.f,SUM(_xlpm.m*(_xlpm.v="Failed")),_xlpm.b,SUM(_xlpm.m*(_xlpm.v="Blocked")),_xlpm.nr,SUM(_xlpm.m*(_xlpm.v="Not Run")),_xlpm.cp,SUM(_xlpm.m*(_xlpm.v="Conditionally Passed")),_xlpm.p,SUM(_xlpm.m*(_xlpm.v="Passed")),IF(TRIM($A983)="","",IF(TRIM($E983)="","Pending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83" s="68" t="str">
        <f>IF(TRIM($A983)="","",IF($J983="Passed","",IF($J983="Passed with Known Issue","Known Issue",IF($J983="",IF(OR($H983&lt;&gt;"No",AND($F983&lt;&gt;"Medium",$F983&lt;&gt;"Low")),"Pending Result",""),IF(OR($H983&lt;&gt;"No",AND($F983&lt;&gt;"Medium",$F983&lt;&gt;"Low")),IF(COUNTIFS(Dashboard!$B$105:$B$124,$A983,Dashboard!$I$105:$I$124,"CAB")&gt;0,"Accepted (CF)","Blocking"),IF($J983="Failed","Deferrable","Carry Over"))))))</f>
        <v/>
      </c>
      <c r="M983" s="68" t="str">
        <f>IF(OR(TRIM($A983)="",TRIM($E983)=""),"",IFERROR(INDEX('E2E core flow'!$B$15:$B$1000,MATCH(1,INDEX(('E2E core flow'!$A$15:$A$1000&lt;&gt;"")*ISNUMBER(SEARCH('E2E core flow'!$A$15:$A$1000,$E983)),0),0))&amp;"","-"))</f>
        <v/>
      </c>
      <c r="N983" s="68" t="str">
        <f>IF(TRIM($A983)="","",IF($O983=0,IF(COUNTIFS('Card Test Cases'!$B$4:$B$1000,$A983,'Card Test Cases'!$A$4:$A$1000,"&lt;&gt;")&gt;0,"Out of Scope","No TC"),IF($Q983&gt;0,"Failed",IF(COUNTIFS('Card Test Cases'!$B$4:$B$1000,$A983,'Card Test Cases'!$A$4:$A$1000,"&lt;&gt;",'Card Test Cases'!$F$4:$F$1000,"Blocked")&gt;0,"Blocked",IF($R983&gt;0,"In Progress","Passed")))))</f>
        <v/>
      </c>
      <c r="O983" s="68" t="str">
        <f>IF(TRIM($A983)="","",COUNTIFS('Card Test Cases'!$B$4:$B$1000,$A983,'Card Test Cases'!$A$4:$A$1000,"&lt;&gt;",'Card Test Cases'!$F$4:$F$1000,"&lt;&gt;Out of Scope"))</f>
        <v/>
      </c>
      <c r="P983" s="68" t="str">
        <f>IF(TRIM($A983)="","",COUNTIFS('Card Test Cases'!$B$4:$B$1000,$A983,'Card Test Cases'!$A$4:$A$1000,"&lt;&gt;",'Card Test Cases'!$F$4:$F$1000,"Passed"))</f>
        <v/>
      </c>
      <c r="Q983" s="68" t="str">
        <f>IF(TRIM($A983)="","",COUNTIFS('Card Test Cases'!$B$4:$B$1000,$A983,'Card Test Cases'!$A$4:$A$1000,"&lt;&gt;",'Card Test Cases'!$F$4:$F$1000,"Failed"))</f>
        <v/>
      </c>
      <c r="R983" s="68" t="str">
        <f t="shared" si="15"/>
        <v/>
      </c>
      <c r="S983" s="68" t="str" cm="1">
        <f t="array" ref="S983">IF(TRIM($A983)="","",IFERROR(_xlfn.TEXTJOIN(", ",TRUE,_xlfn.UNIQUE(_xlfn.VSTACK(_xlfn._xlws.FILTER('Card Test Cases'!$G$4:$G$1000,('Card Test Cases'!$B$4:$B$1000=$A983)*('Card Test Cases'!$G$4:$G$1000&lt;&gt;""),""),_xlfn._xlws.FILTER('E2E core flow'!$U$15:$U$1000,('E2E core flow'!$A$15:$A$1000&lt;&gt;"")*ISNUMBER(SEARCH('E2E core flow'!$A$15:$A$1000,$E983))*('E2E core flow'!$U$15:$U$1000&lt;&gt;""),"")))),"-"))</f>
        <v/>
      </c>
    </row>
    <row r="984" spans="7:19" x14ac:dyDescent="0.3">
      <c r="G984" s="68" t="str" cm="1">
        <f t="array" ref="G984">_xlfn.LET(_xlpm.ids,'E2E core flow'!$A$15:$A$1000,_xlpm.v,'E2E core flow'!$W$15:$W$1000,_xlpm.m,(_xlpm.ids&lt;&gt;"")*ISNUMBER(SEARCH(_xlpm.ids,$E984)),_xlpm.f,SUM(_xlpm.m*(_xlpm.v="Failed")),_xlpm.b,SUM(_xlpm.m*(_xlpm.v="Blocked")),_xlpm.nr,SUM(_xlpm.m*(_xlpm.v="Not Run")),_xlpm.cp,SUM(_xlpm.m*(_xlpm.v="Conditionally Passed")),_xlpm.p,SUM(_xlpm.m*(_xlpm.v="Passed")),IF(TRIM($A984)="","",IF(TRIM($E984)="","Pending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84" s="68" t="str">
        <f>IF(TRIM($A984)="","",IF($J984="Passed","",IF($J984="Passed with Known Issue","Known Issue",IF($J984="",IF(OR($H984&lt;&gt;"No",AND($F984&lt;&gt;"Medium",$F984&lt;&gt;"Low")),"Pending Result",""),IF(OR($H984&lt;&gt;"No",AND($F984&lt;&gt;"Medium",$F984&lt;&gt;"Low")),IF(COUNTIFS(Dashboard!$B$105:$B$124,$A984,Dashboard!$I$105:$I$124,"CAB")&gt;0,"Accepted (CF)","Blocking"),IF($J984="Failed","Deferrable","Carry Over"))))))</f>
        <v/>
      </c>
      <c r="M984" s="68" t="str">
        <f>IF(OR(TRIM($A984)="",TRIM($E984)=""),"",IFERROR(INDEX('E2E core flow'!$B$15:$B$1000,MATCH(1,INDEX(('E2E core flow'!$A$15:$A$1000&lt;&gt;"")*ISNUMBER(SEARCH('E2E core flow'!$A$15:$A$1000,$E984)),0),0))&amp;"","-"))</f>
        <v/>
      </c>
      <c r="N984" s="68" t="str">
        <f>IF(TRIM($A984)="","",IF($O984=0,IF(COUNTIFS('Card Test Cases'!$B$4:$B$1000,$A984,'Card Test Cases'!$A$4:$A$1000,"&lt;&gt;")&gt;0,"Out of Scope","No TC"),IF($Q984&gt;0,"Failed",IF(COUNTIFS('Card Test Cases'!$B$4:$B$1000,$A984,'Card Test Cases'!$A$4:$A$1000,"&lt;&gt;",'Card Test Cases'!$F$4:$F$1000,"Blocked")&gt;0,"Blocked",IF($R984&gt;0,"In Progress","Passed")))))</f>
        <v/>
      </c>
      <c r="O984" s="68" t="str">
        <f>IF(TRIM($A984)="","",COUNTIFS('Card Test Cases'!$B$4:$B$1000,$A984,'Card Test Cases'!$A$4:$A$1000,"&lt;&gt;",'Card Test Cases'!$F$4:$F$1000,"&lt;&gt;Out of Scope"))</f>
        <v/>
      </c>
      <c r="P984" s="68" t="str">
        <f>IF(TRIM($A984)="","",COUNTIFS('Card Test Cases'!$B$4:$B$1000,$A984,'Card Test Cases'!$A$4:$A$1000,"&lt;&gt;",'Card Test Cases'!$F$4:$F$1000,"Passed"))</f>
        <v/>
      </c>
      <c r="Q984" s="68" t="str">
        <f>IF(TRIM($A984)="","",COUNTIFS('Card Test Cases'!$B$4:$B$1000,$A984,'Card Test Cases'!$A$4:$A$1000,"&lt;&gt;",'Card Test Cases'!$F$4:$F$1000,"Failed"))</f>
        <v/>
      </c>
      <c r="R984" s="68" t="str">
        <f t="shared" si="15"/>
        <v/>
      </c>
      <c r="S984" s="68" t="str" cm="1">
        <f t="array" ref="S984">IF(TRIM($A984)="","",IFERROR(_xlfn.TEXTJOIN(", ",TRUE,_xlfn.UNIQUE(_xlfn.VSTACK(_xlfn._xlws.FILTER('Card Test Cases'!$G$4:$G$1000,('Card Test Cases'!$B$4:$B$1000=$A984)*('Card Test Cases'!$G$4:$G$1000&lt;&gt;""),""),_xlfn._xlws.FILTER('E2E core flow'!$U$15:$U$1000,('E2E core flow'!$A$15:$A$1000&lt;&gt;"")*ISNUMBER(SEARCH('E2E core flow'!$A$15:$A$1000,$E984))*('E2E core flow'!$U$15:$U$1000&lt;&gt;""),"")))),"-"))</f>
        <v/>
      </c>
    </row>
    <row r="985" spans="7:19" x14ac:dyDescent="0.3">
      <c r="G985" s="68" t="str" cm="1">
        <f t="array" ref="G985">_xlfn.LET(_xlpm.ids,'E2E core flow'!$A$15:$A$1000,_xlpm.v,'E2E core flow'!$W$15:$W$1000,_xlpm.m,(_xlpm.ids&lt;&gt;"")*ISNUMBER(SEARCH(_xlpm.ids,$E985)),_xlpm.f,SUM(_xlpm.m*(_xlpm.v="Failed")),_xlpm.b,SUM(_xlpm.m*(_xlpm.v="Blocked")),_xlpm.nr,SUM(_xlpm.m*(_xlpm.v="Not Run")),_xlpm.cp,SUM(_xlpm.m*(_xlpm.v="Conditionally Passed")),_xlpm.p,SUM(_xlpm.m*(_xlpm.v="Passed")),IF(TRIM($A985)="","",IF(TRIM($E985)="","Pending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85" s="68" t="str">
        <f>IF(TRIM($A985)="","",IF($J985="Passed","",IF($J985="Passed with Known Issue","Known Issue",IF($J985="",IF(OR($H985&lt;&gt;"No",AND($F985&lt;&gt;"Medium",$F985&lt;&gt;"Low")),"Pending Result",""),IF(OR($H985&lt;&gt;"No",AND($F985&lt;&gt;"Medium",$F985&lt;&gt;"Low")),IF(COUNTIFS(Dashboard!$B$105:$B$124,$A985,Dashboard!$I$105:$I$124,"CAB")&gt;0,"Accepted (CF)","Blocking"),IF($J985="Failed","Deferrable","Carry Over"))))))</f>
        <v/>
      </c>
      <c r="M985" s="68" t="str">
        <f>IF(OR(TRIM($A985)="",TRIM($E985)=""),"",IFERROR(INDEX('E2E core flow'!$B$15:$B$1000,MATCH(1,INDEX(('E2E core flow'!$A$15:$A$1000&lt;&gt;"")*ISNUMBER(SEARCH('E2E core flow'!$A$15:$A$1000,$E985)),0),0))&amp;"","-"))</f>
        <v/>
      </c>
      <c r="N985" s="68" t="str">
        <f>IF(TRIM($A985)="","",IF($O985=0,IF(COUNTIFS('Card Test Cases'!$B$4:$B$1000,$A985,'Card Test Cases'!$A$4:$A$1000,"&lt;&gt;")&gt;0,"Out of Scope","No TC"),IF($Q985&gt;0,"Failed",IF(COUNTIFS('Card Test Cases'!$B$4:$B$1000,$A985,'Card Test Cases'!$A$4:$A$1000,"&lt;&gt;",'Card Test Cases'!$F$4:$F$1000,"Blocked")&gt;0,"Blocked",IF($R985&gt;0,"In Progress","Passed")))))</f>
        <v/>
      </c>
      <c r="O985" s="68" t="str">
        <f>IF(TRIM($A985)="","",COUNTIFS('Card Test Cases'!$B$4:$B$1000,$A985,'Card Test Cases'!$A$4:$A$1000,"&lt;&gt;",'Card Test Cases'!$F$4:$F$1000,"&lt;&gt;Out of Scope"))</f>
        <v/>
      </c>
      <c r="P985" s="68" t="str">
        <f>IF(TRIM($A985)="","",COUNTIFS('Card Test Cases'!$B$4:$B$1000,$A985,'Card Test Cases'!$A$4:$A$1000,"&lt;&gt;",'Card Test Cases'!$F$4:$F$1000,"Passed"))</f>
        <v/>
      </c>
      <c r="Q985" s="68" t="str">
        <f>IF(TRIM($A985)="","",COUNTIFS('Card Test Cases'!$B$4:$B$1000,$A985,'Card Test Cases'!$A$4:$A$1000,"&lt;&gt;",'Card Test Cases'!$F$4:$F$1000,"Failed"))</f>
        <v/>
      </c>
      <c r="R985" s="68" t="str">
        <f t="shared" si="15"/>
        <v/>
      </c>
      <c r="S985" s="68" t="str" cm="1">
        <f t="array" ref="S985">IF(TRIM($A985)="","",IFERROR(_xlfn.TEXTJOIN(", ",TRUE,_xlfn.UNIQUE(_xlfn.VSTACK(_xlfn._xlws.FILTER('Card Test Cases'!$G$4:$G$1000,('Card Test Cases'!$B$4:$B$1000=$A985)*('Card Test Cases'!$G$4:$G$1000&lt;&gt;""),""),_xlfn._xlws.FILTER('E2E core flow'!$U$15:$U$1000,('E2E core flow'!$A$15:$A$1000&lt;&gt;"")*ISNUMBER(SEARCH('E2E core flow'!$A$15:$A$1000,$E985))*('E2E core flow'!$U$15:$U$1000&lt;&gt;""),"")))),"-"))</f>
        <v/>
      </c>
    </row>
    <row r="986" spans="7:19" x14ac:dyDescent="0.3">
      <c r="G986" s="68" t="str" cm="1">
        <f t="array" ref="G986">_xlfn.LET(_xlpm.ids,'E2E core flow'!$A$15:$A$1000,_xlpm.v,'E2E core flow'!$W$15:$W$1000,_xlpm.m,(_xlpm.ids&lt;&gt;"")*ISNUMBER(SEARCH(_xlpm.ids,$E986)),_xlpm.f,SUM(_xlpm.m*(_xlpm.v="Failed")),_xlpm.b,SUM(_xlpm.m*(_xlpm.v="Blocked")),_xlpm.nr,SUM(_xlpm.m*(_xlpm.v="Not Run")),_xlpm.cp,SUM(_xlpm.m*(_xlpm.v="Conditionally Passed")),_xlpm.p,SUM(_xlpm.m*(_xlpm.v="Passed")),IF(TRIM($A986)="","",IF(TRIM($E986)="","Pending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86" s="68" t="str">
        <f>IF(TRIM($A986)="","",IF($J986="Passed","",IF($J986="Passed with Known Issue","Known Issue",IF($J986="",IF(OR($H986&lt;&gt;"No",AND($F986&lt;&gt;"Medium",$F986&lt;&gt;"Low")),"Pending Result",""),IF(OR($H986&lt;&gt;"No",AND($F986&lt;&gt;"Medium",$F986&lt;&gt;"Low")),IF(COUNTIFS(Dashboard!$B$105:$B$124,$A986,Dashboard!$I$105:$I$124,"CAB")&gt;0,"Accepted (CF)","Blocking"),IF($J986="Failed","Deferrable","Carry Over"))))))</f>
        <v/>
      </c>
      <c r="M986" s="68" t="str">
        <f>IF(OR(TRIM($A986)="",TRIM($E986)=""),"",IFERROR(INDEX('E2E core flow'!$B$15:$B$1000,MATCH(1,INDEX(('E2E core flow'!$A$15:$A$1000&lt;&gt;"")*ISNUMBER(SEARCH('E2E core flow'!$A$15:$A$1000,$E986)),0),0))&amp;"","-"))</f>
        <v/>
      </c>
      <c r="N986" s="68" t="str">
        <f>IF(TRIM($A986)="","",IF($O986=0,IF(COUNTIFS('Card Test Cases'!$B$4:$B$1000,$A986,'Card Test Cases'!$A$4:$A$1000,"&lt;&gt;")&gt;0,"Out of Scope","No TC"),IF($Q986&gt;0,"Failed",IF(COUNTIFS('Card Test Cases'!$B$4:$B$1000,$A986,'Card Test Cases'!$A$4:$A$1000,"&lt;&gt;",'Card Test Cases'!$F$4:$F$1000,"Blocked")&gt;0,"Blocked",IF($R986&gt;0,"In Progress","Passed")))))</f>
        <v/>
      </c>
      <c r="O986" s="68" t="str">
        <f>IF(TRIM($A986)="","",COUNTIFS('Card Test Cases'!$B$4:$B$1000,$A986,'Card Test Cases'!$A$4:$A$1000,"&lt;&gt;",'Card Test Cases'!$F$4:$F$1000,"&lt;&gt;Out of Scope"))</f>
        <v/>
      </c>
      <c r="P986" s="68" t="str">
        <f>IF(TRIM($A986)="","",COUNTIFS('Card Test Cases'!$B$4:$B$1000,$A986,'Card Test Cases'!$A$4:$A$1000,"&lt;&gt;",'Card Test Cases'!$F$4:$F$1000,"Passed"))</f>
        <v/>
      </c>
      <c r="Q986" s="68" t="str">
        <f>IF(TRIM($A986)="","",COUNTIFS('Card Test Cases'!$B$4:$B$1000,$A986,'Card Test Cases'!$A$4:$A$1000,"&lt;&gt;",'Card Test Cases'!$F$4:$F$1000,"Failed"))</f>
        <v/>
      </c>
      <c r="R986" s="68" t="str">
        <f t="shared" si="15"/>
        <v/>
      </c>
      <c r="S986" s="68" t="str" cm="1">
        <f t="array" ref="S986">IF(TRIM($A986)="","",IFERROR(_xlfn.TEXTJOIN(", ",TRUE,_xlfn.UNIQUE(_xlfn.VSTACK(_xlfn._xlws.FILTER('Card Test Cases'!$G$4:$G$1000,('Card Test Cases'!$B$4:$B$1000=$A986)*('Card Test Cases'!$G$4:$G$1000&lt;&gt;""),""),_xlfn._xlws.FILTER('E2E core flow'!$U$15:$U$1000,('E2E core flow'!$A$15:$A$1000&lt;&gt;"")*ISNUMBER(SEARCH('E2E core flow'!$A$15:$A$1000,$E986))*('E2E core flow'!$U$15:$U$1000&lt;&gt;""),"")))),"-"))</f>
        <v/>
      </c>
    </row>
    <row r="987" spans="7:19" x14ac:dyDescent="0.3">
      <c r="G987" s="68" t="str" cm="1">
        <f t="array" ref="G987">_xlfn.LET(_xlpm.ids,'E2E core flow'!$A$15:$A$1000,_xlpm.v,'E2E core flow'!$W$15:$W$1000,_xlpm.m,(_xlpm.ids&lt;&gt;"")*ISNUMBER(SEARCH(_xlpm.ids,$E987)),_xlpm.f,SUM(_xlpm.m*(_xlpm.v="Failed")),_xlpm.b,SUM(_xlpm.m*(_xlpm.v="Blocked")),_xlpm.nr,SUM(_xlpm.m*(_xlpm.v="Not Run")),_xlpm.cp,SUM(_xlpm.m*(_xlpm.v="Conditionally Passed")),_xlpm.p,SUM(_xlpm.m*(_xlpm.v="Passed")),IF(TRIM($A987)="","",IF(TRIM($E987)="","Pending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87" s="68" t="str">
        <f>IF(TRIM($A987)="","",IF($J987="Passed","",IF($J987="Passed with Known Issue","Known Issue",IF($J987="",IF(OR($H987&lt;&gt;"No",AND($F987&lt;&gt;"Medium",$F987&lt;&gt;"Low")),"Pending Result",""),IF(OR($H987&lt;&gt;"No",AND($F987&lt;&gt;"Medium",$F987&lt;&gt;"Low")),IF(COUNTIFS(Dashboard!$B$105:$B$124,$A987,Dashboard!$I$105:$I$124,"CAB")&gt;0,"Accepted (CF)","Blocking"),IF($J987="Failed","Deferrable","Carry Over"))))))</f>
        <v/>
      </c>
      <c r="M987" s="68" t="str">
        <f>IF(OR(TRIM($A987)="",TRIM($E987)=""),"",IFERROR(INDEX('E2E core flow'!$B$15:$B$1000,MATCH(1,INDEX(('E2E core flow'!$A$15:$A$1000&lt;&gt;"")*ISNUMBER(SEARCH('E2E core flow'!$A$15:$A$1000,$E987)),0),0))&amp;"","-"))</f>
        <v/>
      </c>
      <c r="N987" s="68" t="str">
        <f>IF(TRIM($A987)="","",IF($O987=0,IF(COUNTIFS('Card Test Cases'!$B$4:$B$1000,$A987,'Card Test Cases'!$A$4:$A$1000,"&lt;&gt;")&gt;0,"Out of Scope","No TC"),IF($Q987&gt;0,"Failed",IF(COUNTIFS('Card Test Cases'!$B$4:$B$1000,$A987,'Card Test Cases'!$A$4:$A$1000,"&lt;&gt;",'Card Test Cases'!$F$4:$F$1000,"Blocked")&gt;0,"Blocked",IF($R987&gt;0,"In Progress","Passed")))))</f>
        <v/>
      </c>
      <c r="O987" s="68" t="str">
        <f>IF(TRIM($A987)="","",COUNTIFS('Card Test Cases'!$B$4:$B$1000,$A987,'Card Test Cases'!$A$4:$A$1000,"&lt;&gt;",'Card Test Cases'!$F$4:$F$1000,"&lt;&gt;Out of Scope"))</f>
        <v/>
      </c>
      <c r="P987" s="68" t="str">
        <f>IF(TRIM($A987)="","",COUNTIFS('Card Test Cases'!$B$4:$B$1000,$A987,'Card Test Cases'!$A$4:$A$1000,"&lt;&gt;",'Card Test Cases'!$F$4:$F$1000,"Passed"))</f>
        <v/>
      </c>
      <c r="Q987" s="68" t="str">
        <f>IF(TRIM($A987)="","",COUNTIFS('Card Test Cases'!$B$4:$B$1000,$A987,'Card Test Cases'!$A$4:$A$1000,"&lt;&gt;",'Card Test Cases'!$F$4:$F$1000,"Failed"))</f>
        <v/>
      </c>
      <c r="R987" s="68" t="str">
        <f t="shared" si="15"/>
        <v/>
      </c>
      <c r="S987" s="68" t="str" cm="1">
        <f t="array" ref="S987">IF(TRIM($A987)="","",IFERROR(_xlfn.TEXTJOIN(", ",TRUE,_xlfn.UNIQUE(_xlfn.VSTACK(_xlfn._xlws.FILTER('Card Test Cases'!$G$4:$G$1000,('Card Test Cases'!$B$4:$B$1000=$A987)*('Card Test Cases'!$G$4:$G$1000&lt;&gt;""),""),_xlfn._xlws.FILTER('E2E core flow'!$U$15:$U$1000,('E2E core flow'!$A$15:$A$1000&lt;&gt;"")*ISNUMBER(SEARCH('E2E core flow'!$A$15:$A$1000,$E987))*('E2E core flow'!$U$15:$U$1000&lt;&gt;""),"")))),"-"))</f>
        <v/>
      </c>
    </row>
    <row r="988" spans="7:19" x14ac:dyDescent="0.3">
      <c r="G988" s="68" t="str" cm="1">
        <f t="array" ref="G988">_xlfn.LET(_xlpm.ids,'E2E core flow'!$A$15:$A$1000,_xlpm.v,'E2E core flow'!$W$15:$W$1000,_xlpm.m,(_xlpm.ids&lt;&gt;"")*ISNUMBER(SEARCH(_xlpm.ids,$E988)),_xlpm.f,SUM(_xlpm.m*(_xlpm.v="Failed")),_xlpm.b,SUM(_xlpm.m*(_xlpm.v="Blocked")),_xlpm.nr,SUM(_xlpm.m*(_xlpm.v="Not Run")),_xlpm.cp,SUM(_xlpm.m*(_xlpm.v="Conditionally Passed")),_xlpm.p,SUM(_xlpm.m*(_xlpm.v="Passed")),IF(TRIM($A988)="","",IF(TRIM($E988)="","Pending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88" s="68" t="str">
        <f>IF(TRIM($A988)="","",IF($J988="Passed","",IF($J988="Passed with Known Issue","Known Issue",IF($J988="",IF(OR($H988&lt;&gt;"No",AND($F988&lt;&gt;"Medium",$F988&lt;&gt;"Low")),"Pending Result",""),IF(OR($H988&lt;&gt;"No",AND($F988&lt;&gt;"Medium",$F988&lt;&gt;"Low")),IF(COUNTIFS(Dashboard!$B$105:$B$124,$A988,Dashboard!$I$105:$I$124,"CAB")&gt;0,"Accepted (CF)","Blocking"),IF($J988="Failed","Deferrable","Carry Over"))))))</f>
        <v/>
      </c>
      <c r="M988" s="68" t="str">
        <f>IF(OR(TRIM($A988)="",TRIM($E988)=""),"",IFERROR(INDEX('E2E core flow'!$B$15:$B$1000,MATCH(1,INDEX(('E2E core flow'!$A$15:$A$1000&lt;&gt;"")*ISNUMBER(SEARCH('E2E core flow'!$A$15:$A$1000,$E988)),0),0))&amp;"","-"))</f>
        <v/>
      </c>
      <c r="N988" s="68" t="str">
        <f>IF(TRIM($A988)="","",IF($O988=0,IF(COUNTIFS('Card Test Cases'!$B$4:$B$1000,$A988,'Card Test Cases'!$A$4:$A$1000,"&lt;&gt;")&gt;0,"Out of Scope","No TC"),IF($Q988&gt;0,"Failed",IF(COUNTIFS('Card Test Cases'!$B$4:$B$1000,$A988,'Card Test Cases'!$A$4:$A$1000,"&lt;&gt;",'Card Test Cases'!$F$4:$F$1000,"Blocked")&gt;0,"Blocked",IF($R988&gt;0,"In Progress","Passed")))))</f>
        <v/>
      </c>
      <c r="O988" s="68" t="str">
        <f>IF(TRIM($A988)="","",COUNTIFS('Card Test Cases'!$B$4:$B$1000,$A988,'Card Test Cases'!$A$4:$A$1000,"&lt;&gt;",'Card Test Cases'!$F$4:$F$1000,"&lt;&gt;Out of Scope"))</f>
        <v/>
      </c>
      <c r="P988" s="68" t="str">
        <f>IF(TRIM($A988)="","",COUNTIFS('Card Test Cases'!$B$4:$B$1000,$A988,'Card Test Cases'!$A$4:$A$1000,"&lt;&gt;",'Card Test Cases'!$F$4:$F$1000,"Passed"))</f>
        <v/>
      </c>
      <c r="Q988" s="68" t="str">
        <f>IF(TRIM($A988)="","",COUNTIFS('Card Test Cases'!$B$4:$B$1000,$A988,'Card Test Cases'!$A$4:$A$1000,"&lt;&gt;",'Card Test Cases'!$F$4:$F$1000,"Failed"))</f>
        <v/>
      </c>
      <c r="R988" s="68" t="str">
        <f t="shared" si="15"/>
        <v/>
      </c>
      <c r="S988" s="68" t="str" cm="1">
        <f t="array" ref="S988">IF(TRIM($A988)="","",IFERROR(_xlfn.TEXTJOIN(", ",TRUE,_xlfn.UNIQUE(_xlfn.VSTACK(_xlfn._xlws.FILTER('Card Test Cases'!$G$4:$G$1000,('Card Test Cases'!$B$4:$B$1000=$A988)*('Card Test Cases'!$G$4:$G$1000&lt;&gt;""),""),_xlfn._xlws.FILTER('E2E core flow'!$U$15:$U$1000,('E2E core flow'!$A$15:$A$1000&lt;&gt;"")*ISNUMBER(SEARCH('E2E core flow'!$A$15:$A$1000,$E988))*('E2E core flow'!$U$15:$U$1000&lt;&gt;""),"")))),"-"))</f>
        <v/>
      </c>
    </row>
    <row r="989" spans="7:19" x14ac:dyDescent="0.3">
      <c r="G989" s="68" t="str" cm="1">
        <f t="array" ref="G989">_xlfn.LET(_xlpm.ids,'E2E core flow'!$A$15:$A$1000,_xlpm.v,'E2E core flow'!$W$15:$W$1000,_xlpm.m,(_xlpm.ids&lt;&gt;"")*ISNUMBER(SEARCH(_xlpm.ids,$E989)),_xlpm.f,SUM(_xlpm.m*(_xlpm.v="Failed")),_xlpm.b,SUM(_xlpm.m*(_xlpm.v="Blocked")),_xlpm.nr,SUM(_xlpm.m*(_xlpm.v="Not Run")),_xlpm.cp,SUM(_xlpm.m*(_xlpm.v="Conditionally Passed")),_xlpm.p,SUM(_xlpm.m*(_xlpm.v="Passed")),IF(TRIM($A989)="","",IF(TRIM($E989)="","Pending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89" s="68" t="str">
        <f>IF(TRIM($A989)="","",IF($J989="Passed","",IF($J989="Passed with Known Issue","Known Issue",IF($J989="",IF(OR($H989&lt;&gt;"No",AND($F989&lt;&gt;"Medium",$F989&lt;&gt;"Low")),"Pending Result",""),IF(OR($H989&lt;&gt;"No",AND($F989&lt;&gt;"Medium",$F989&lt;&gt;"Low")),IF(COUNTIFS(Dashboard!$B$105:$B$124,$A989,Dashboard!$I$105:$I$124,"CAB")&gt;0,"Accepted (CF)","Blocking"),IF($J989="Failed","Deferrable","Carry Over"))))))</f>
        <v/>
      </c>
      <c r="M989" s="68" t="str">
        <f>IF(OR(TRIM($A989)="",TRIM($E989)=""),"",IFERROR(INDEX('E2E core flow'!$B$15:$B$1000,MATCH(1,INDEX(('E2E core flow'!$A$15:$A$1000&lt;&gt;"")*ISNUMBER(SEARCH('E2E core flow'!$A$15:$A$1000,$E989)),0),0))&amp;"","-"))</f>
        <v/>
      </c>
      <c r="N989" s="68" t="str">
        <f>IF(TRIM($A989)="","",IF($O989=0,IF(COUNTIFS('Card Test Cases'!$B$4:$B$1000,$A989,'Card Test Cases'!$A$4:$A$1000,"&lt;&gt;")&gt;0,"Out of Scope","No TC"),IF($Q989&gt;0,"Failed",IF(COUNTIFS('Card Test Cases'!$B$4:$B$1000,$A989,'Card Test Cases'!$A$4:$A$1000,"&lt;&gt;",'Card Test Cases'!$F$4:$F$1000,"Blocked")&gt;0,"Blocked",IF($R989&gt;0,"In Progress","Passed")))))</f>
        <v/>
      </c>
      <c r="O989" s="68" t="str">
        <f>IF(TRIM($A989)="","",COUNTIFS('Card Test Cases'!$B$4:$B$1000,$A989,'Card Test Cases'!$A$4:$A$1000,"&lt;&gt;",'Card Test Cases'!$F$4:$F$1000,"&lt;&gt;Out of Scope"))</f>
        <v/>
      </c>
      <c r="P989" s="68" t="str">
        <f>IF(TRIM($A989)="","",COUNTIFS('Card Test Cases'!$B$4:$B$1000,$A989,'Card Test Cases'!$A$4:$A$1000,"&lt;&gt;",'Card Test Cases'!$F$4:$F$1000,"Passed"))</f>
        <v/>
      </c>
      <c r="Q989" s="68" t="str">
        <f>IF(TRIM($A989)="","",COUNTIFS('Card Test Cases'!$B$4:$B$1000,$A989,'Card Test Cases'!$A$4:$A$1000,"&lt;&gt;",'Card Test Cases'!$F$4:$F$1000,"Failed"))</f>
        <v/>
      </c>
      <c r="R989" s="68" t="str">
        <f t="shared" si="15"/>
        <v/>
      </c>
      <c r="S989" s="68" t="str" cm="1">
        <f t="array" ref="S989">IF(TRIM($A989)="","",IFERROR(_xlfn.TEXTJOIN(", ",TRUE,_xlfn.UNIQUE(_xlfn.VSTACK(_xlfn._xlws.FILTER('Card Test Cases'!$G$4:$G$1000,('Card Test Cases'!$B$4:$B$1000=$A989)*('Card Test Cases'!$G$4:$G$1000&lt;&gt;""),""),_xlfn._xlws.FILTER('E2E core flow'!$U$15:$U$1000,('E2E core flow'!$A$15:$A$1000&lt;&gt;"")*ISNUMBER(SEARCH('E2E core flow'!$A$15:$A$1000,$E989))*('E2E core flow'!$U$15:$U$1000&lt;&gt;""),"")))),"-"))</f>
        <v/>
      </c>
    </row>
    <row r="990" spans="7:19" x14ac:dyDescent="0.3">
      <c r="G990" s="68" t="str" cm="1">
        <f t="array" ref="G990">_xlfn.LET(_xlpm.ids,'E2E core flow'!$A$15:$A$1000,_xlpm.v,'E2E core flow'!$W$15:$W$1000,_xlpm.m,(_xlpm.ids&lt;&gt;"")*ISNUMBER(SEARCH(_xlpm.ids,$E990)),_xlpm.f,SUM(_xlpm.m*(_xlpm.v="Failed")),_xlpm.b,SUM(_xlpm.m*(_xlpm.v="Blocked")),_xlpm.nr,SUM(_xlpm.m*(_xlpm.v="Not Run")),_xlpm.cp,SUM(_xlpm.m*(_xlpm.v="Conditionally Passed")),_xlpm.p,SUM(_xlpm.m*(_xlpm.v="Passed")),IF(TRIM($A990)="","",IF(TRIM($E990)="","Pending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90" s="68" t="str">
        <f>IF(TRIM($A990)="","",IF($J990="Passed","",IF($J990="Passed with Known Issue","Known Issue",IF($J990="",IF(OR($H990&lt;&gt;"No",AND($F990&lt;&gt;"Medium",$F990&lt;&gt;"Low")),"Pending Result",""),IF(OR($H990&lt;&gt;"No",AND($F990&lt;&gt;"Medium",$F990&lt;&gt;"Low")),IF(COUNTIFS(Dashboard!$B$105:$B$124,$A990,Dashboard!$I$105:$I$124,"CAB")&gt;0,"Accepted (CF)","Blocking"),IF($J990="Failed","Deferrable","Carry Over"))))))</f>
        <v/>
      </c>
      <c r="M990" s="68" t="str">
        <f>IF(OR(TRIM($A990)="",TRIM($E990)=""),"",IFERROR(INDEX('E2E core flow'!$B$15:$B$1000,MATCH(1,INDEX(('E2E core flow'!$A$15:$A$1000&lt;&gt;"")*ISNUMBER(SEARCH('E2E core flow'!$A$15:$A$1000,$E990)),0),0))&amp;"","-"))</f>
        <v/>
      </c>
      <c r="N990" s="68" t="str">
        <f>IF(TRIM($A990)="","",IF($O990=0,IF(COUNTIFS('Card Test Cases'!$B$4:$B$1000,$A990,'Card Test Cases'!$A$4:$A$1000,"&lt;&gt;")&gt;0,"Out of Scope","No TC"),IF($Q990&gt;0,"Failed",IF(COUNTIFS('Card Test Cases'!$B$4:$B$1000,$A990,'Card Test Cases'!$A$4:$A$1000,"&lt;&gt;",'Card Test Cases'!$F$4:$F$1000,"Blocked")&gt;0,"Blocked",IF($R990&gt;0,"In Progress","Passed")))))</f>
        <v/>
      </c>
      <c r="O990" s="68" t="str">
        <f>IF(TRIM($A990)="","",COUNTIFS('Card Test Cases'!$B$4:$B$1000,$A990,'Card Test Cases'!$A$4:$A$1000,"&lt;&gt;",'Card Test Cases'!$F$4:$F$1000,"&lt;&gt;Out of Scope"))</f>
        <v/>
      </c>
      <c r="P990" s="68" t="str">
        <f>IF(TRIM($A990)="","",COUNTIFS('Card Test Cases'!$B$4:$B$1000,$A990,'Card Test Cases'!$A$4:$A$1000,"&lt;&gt;",'Card Test Cases'!$F$4:$F$1000,"Passed"))</f>
        <v/>
      </c>
      <c r="Q990" s="68" t="str">
        <f>IF(TRIM($A990)="","",COUNTIFS('Card Test Cases'!$B$4:$B$1000,$A990,'Card Test Cases'!$A$4:$A$1000,"&lt;&gt;",'Card Test Cases'!$F$4:$F$1000,"Failed"))</f>
        <v/>
      </c>
      <c r="R990" s="68" t="str">
        <f t="shared" si="15"/>
        <v/>
      </c>
      <c r="S990" s="68" t="str" cm="1">
        <f t="array" ref="S990">IF(TRIM($A990)="","",IFERROR(_xlfn.TEXTJOIN(", ",TRUE,_xlfn.UNIQUE(_xlfn.VSTACK(_xlfn._xlws.FILTER('Card Test Cases'!$G$4:$G$1000,('Card Test Cases'!$B$4:$B$1000=$A990)*('Card Test Cases'!$G$4:$G$1000&lt;&gt;""),""),_xlfn._xlws.FILTER('E2E core flow'!$U$15:$U$1000,('E2E core flow'!$A$15:$A$1000&lt;&gt;"")*ISNUMBER(SEARCH('E2E core flow'!$A$15:$A$1000,$E990))*('E2E core flow'!$U$15:$U$1000&lt;&gt;""),"")))),"-"))</f>
        <v/>
      </c>
    </row>
    <row r="991" spans="7:19" x14ac:dyDescent="0.3">
      <c r="G991" s="68" t="str" cm="1">
        <f t="array" ref="G991">_xlfn.LET(_xlpm.ids,'E2E core flow'!$A$15:$A$1000,_xlpm.v,'E2E core flow'!$W$15:$W$1000,_xlpm.m,(_xlpm.ids&lt;&gt;"")*ISNUMBER(SEARCH(_xlpm.ids,$E991)),_xlpm.f,SUM(_xlpm.m*(_xlpm.v="Failed")),_xlpm.b,SUM(_xlpm.m*(_xlpm.v="Blocked")),_xlpm.nr,SUM(_xlpm.m*(_xlpm.v="Not Run")),_xlpm.cp,SUM(_xlpm.m*(_xlpm.v="Conditionally Passed")),_xlpm.p,SUM(_xlpm.m*(_xlpm.v="Passed")),IF(TRIM($A991)="","",IF(TRIM($E991)="","Pending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91" s="68" t="str">
        <f>IF(TRIM($A991)="","",IF($J991="Passed","",IF($J991="Passed with Known Issue","Known Issue",IF($J991="",IF(OR($H991&lt;&gt;"No",AND($F991&lt;&gt;"Medium",$F991&lt;&gt;"Low")),"Pending Result",""),IF(OR($H991&lt;&gt;"No",AND($F991&lt;&gt;"Medium",$F991&lt;&gt;"Low")),IF(COUNTIFS(Dashboard!$B$105:$B$124,$A991,Dashboard!$I$105:$I$124,"CAB")&gt;0,"Accepted (CF)","Blocking"),IF($J991="Failed","Deferrable","Carry Over"))))))</f>
        <v/>
      </c>
      <c r="M991" s="68" t="str">
        <f>IF(OR(TRIM($A991)="",TRIM($E991)=""),"",IFERROR(INDEX('E2E core flow'!$B$15:$B$1000,MATCH(1,INDEX(('E2E core flow'!$A$15:$A$1000&lt;&gt;"")*ISNUMBER(SEARCH('E2E core flow'!$A$15:$A$1000,$E991)),0),0))&amp;"","-"))</f>
        <v/>
      </c>
      <c r="N991" s="68" t="str">
        <f>IF(TRIM($A991)="","",IF($O991=0,IF(COUNTIFS('Card Test Cases'!$B$4:$B$1000,$A991,'Card Test Cases'!$A$4:$A$1000,"&lt;&gt;")&gt;0,"Out of Scope","No TC"),IF($Q991&gt;0,"Failed",IF(COUNTIFS('Card Test Cases'!$B$4:$B$1000,$A991,'Card Test Cases'!$A$4:$A$1000,"&lt;&gt;",'Card Test Cases'!$F$4:$F$1000,"Blocked")&gt;0,"Blocked",IF($R991&gt;0,"In Progress","Passed")))))</f>
        <v/>
      </c>
      <c r="O991" s="68" t="str">
        <f>IF(TRIM($A991)="","",COUNTIFS('Card Test Cases'!$B$4:$B$1000,$A991,'Card Test Cases'!$A$4:$A$1000,"&lt;&gt;",'Card Test Cases'!$F$4:$F$1000,"&lt;&gt;Out of Scope"))</f>
        <v/>
      </c>
      <c r="P991" s="68" t="str">
        <f>IF(TRIM($A991)="","",COUNTIFS('Card Test Cases'!$B$4:$B$1000,$A991,'Card Test Cases'!$A$4:$A$1000,"&lt;&gt;",'Card Test Cases'!$F$4:$F$1000,"Passed"))</f>
        <v/>
      </c>
      <c r="Q991" s="68" t="str">
        <f>IF(TRIM($A991)="","",COUNTIFS('Card Test Cases'!$B$4:$B$1000,$A991,'Card Test Cases'!$A$4:$A$1000,"&lt;&gt;",'Card Test Cases'!$F$4:$F$1000,"Failed"))</f>
        <v/>
      </c>
      <c r="R991" s="68" t="str">
        <f t="shared" si="15"/>
        <v/>
      </c>
      <c r="S991" s="68" t="str" cm="1">
        <f t="array" ref="S991">IF(TRIM($A991)="","",IFERROR(_xlfn.TEXTJOIN(", ",TRUE,_xlfn.UNIQUE(_xlfn.VSTACK(_xlfn._xlws.FILTER('Card Test Cases'!$G$4:$G$1000,('Card Test Cases'!$B$4:$B$1000=$A991)*('Card Test Cases'!$G$4:$G$1000&lt;&gt;""),""),_xlfn._xlws.FILTER('E2E core flow'!$U$15:$U$1000,('E2E core flow'!$A$15:$A$1000&lt;&gt;"")*ISNUMBER(SEARCH('E2E core flow'!$A$15:$A$1000,$E991))*('E2E core flow'!$U$15:$U$1000&lt;&gt;""),"")))),"-"))</f>
        <v/>
      </c>
    </row>
    <row r="992" spans="7:19" x14ac:dyDescent="0.3">
      <c r="G992" s="68" t="str" cm="1">
        <f t="array" ref="G992">_xlfn.LET(_xlpm.ids,'E2E core flow'!$A$15:$A$1000,_xlpm.v,'E2E core flow'!$W$15:$W$1000,_xlpm.m,(_xlpm.ids&lt;&gt;"")*ISNUMBER(SEARCH(_xlpm.ids,$E992)),_xlpm.f,SUM(_xlpm.m*(_xlpm.v="Failed")),_xlpm.b,SUM(_xlpm.m*(_xlpm.v="Blocked")),_xlpm.nr,SUM(_xlpm.m*(_xlpm.v="Not Run")),_xlpm.cp,SUM(_xlpm.m*(_xlpm.v="Conditionally Passed")),_xlpm.p,SUM(_xlpm.m*(_xlpm.v="Passed")),IF(TRIM($A992)="","",IF(TRIM($E992)="","Pending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92" s="68" t="str">
        <f>IF(TRIM($A992)="","",IF($J992="Passed","",IF($J992="Passed with Known Issue","Known Issue",IF($J992="",IF(OR($H992&lt;&gt;"No",AND($F992&lt;&gt;"Medium",$F992&lt;&gt;"Low")),"Pending Result",""),IF(OR($H992&lt;&gt;"No",AND($F992&lt;&gt;"Medium",$F992&lt;&gt;"Low")),IF(COUNTIFS(Dashboard!$B$105:$B$124,$A992,Dashboard!$I$105:$I$124,"CAB")&gt;0,"Accepted (CF)","Blocking"),IF($J992="Failed","Deferrable","Carry Over"))))))</f>
        <v/>
      </c>
      <c r="M992" s="68" t="str">
        <f>IF(OR(TRIM($A992)="",TRIM($E992)=""),"",IFERROR(INDEX('E2E core flow'!$B$15:$B$1000,MATCH(1,INDEX(('E2E core flow'!$A$15:$A$1000&lt;&gt;"")*ISNUMBER(SEARCH('E2E core flow'!$A$15:$A$1000,$E992)),0),0))&amp;"","-"))</f>
        <v/>
      </c>
      <c r="N992" s="68" t="str">
        <f>IF(TRIM($A992)="","",IF($O992=0,IF(COUNTIFS('Card Test Cases'!$B$4:$B$1000,$A992,'Card Test Cases'!$A$4:$A$1000,"&lt;&gt;")&gt;0,"Out of Scope","No TC"),IF($Q992&gt;0,"Failed",IF(COUNTIFS('Card Test Cases'!$B$4:$B$1000,$A992,'Card Test Cases'!$A$4:$A$1000,"&lt;&gt;",'Card Test Cases'!$F$4:$F$1000,"Blocked")&gt;0,"Blocked",IF($R992&gt;0,"In Progress","Passed")))))</f>
        <v/>
      </c>
      <c r="O992" s="68" t="str">
        <f>IF(TRIM($A992)="","",COUNTIFS('Card Test Cases'!$B$4:$B$1000,$A992,'Card Test Cases'!$A$4:$A$1000,"&lt;&gt;",'Card Test Cases'!$F$4:$F$1000,"&lt;&gt;Out of Scope"))</f>
        <v/>
      </c>
      <c r="P992" s="68" t="str">
        <f>IF(TRIM($A992)="","",COUNTIFS('Card Test Cases'!$B$4:$B$1000,$A992,'Card Test Cases'!$A$4:$A$1000,"&lt;&gt;",'Card Test Cases'!$F$4:$F$1000,"Passed"))</f>
        <v/>
      </c>
      <c r="Q992" s="68" t="str">
        <f>IF(TRIM($A992)="","",COUNTIFS('Card Test Cases'!$B$4:$B$1000,$A992,'Card Test Cases'!$A$4:$A$1000,"&lt;&gt;",'Card Test Cases'!$F$4:$F$1000,"Failed"))</f>
        <v/>
      </c>
      <c r="R992" s="68" t="str">
        <f t="shared" si="15"/>
        <v/>
      </c>
      <c r="S992" s="68" t="str" cm="1">
        <f t="array" ref="S992">IF(TRIM($A992)="","",IFERROR(_xlfn.TEXTJOIN(", ",TRUE,_xlfn.UNIQUE(_xlfn.VSTACK(_xlfn._xlws.FILTER('Card Test Cases'!$G$4:$G$1000,('Card Test Cases'!$B$4:$B$1000=$A992)*('Card Test Cases'!$G$4:$G$1000&lt;&gt;""),""),_xlfn._xlws.FILTER('E2E core flow'!$U$15:$U$1000,('E2E core flow'!$A$15:$A$1000&lt;&gt;"")*ISNUMBER(SEARCH('E2E core flow'!$A$15:$A$1000,$E992))*('E2E core flow'!$U$15:$U$1000&lt;&gt;""),"")))),"-"))</f>
        <v/>
      </c>
    </row>
    <row r="993" spans="7:19" x14ac:dyDescent="0.3">
      <c r="G993" s="68" t="str" cm="1">
        <f t="array" ref="G993">_xlfn.LET(_xlpm.ids,'E2E core flow'!$A$15:$A$1000,_xlpm.v,'E2E core flow'!$W$15:$W$1000,_xlpm.m,(_xlpm.ids&lt;&gt;"")*ISNUMBER(SEARCH(_xlpm.ids,$E993)),_xlpm.f,SUM(_xlpm.m*(_xlpm.v="Failed")),_xlpm.b,SUM(_xlpm.m*(_xlpm.v="Blocked")),_xlpm.nr,SUM(_xlpm.m*(_xlpm.v="Not Run")),_xlpm.cp,SUM(_xlpm.m*(_xlpm.v="Conditionally Passed")),_xlpm.p,SUM(_xlpm.m*(_xlpm.v="Passed")),IF(TRIM($A993)="","",IF(TRIM($E993)="","Pending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93" s="68" t="str">
        <f>IF(TRIM($A993)="","",IF($J993="Passed","",IF($J993="Passed with Known Issue","Known Issue",IF($J993="",IF(OR($H993&lt;&gt;"No",AND($F993&lt;&gt;"Medium",$F993&lt;&gt;"Low")),"Pending Result",""),IF(OR($H993&lt;&gt;"No",AND($F993&lt;&gt;"Medium",$F993&lt;&gt;"Low")),IF(COUNTIFS(Dashboard!$B$105:$B$124,$A993,Dashboard!$I$105:$I$124,"CAB")&gt;0,"Accepted (CF)","Blocking"),IF($J993="Failed","Deferrable","Carry Over"))))))</f>
        <v/>
      </c>
      <c r="M993" s="68" t="str">
        <f>IF(OR(TRIM($A993)="",TRIM($E993)=""),"",IFERROR(INDEX('E2E core flow'!$B$15:$B$1000,MATCH(1,INDEX(('E2E core flow'!$A$15:$A$1000&lt;&gt;"")*ISNUMBER(SEARCH('E2E core flow'!$A$15:$A$1000,$E993)),0),0))&amp;"","-"))</f>
        <v/>
      </c>
      <c r="N993" s="68" t="str">
        <f>IF(TRIM($A993)="","",IF($O993=0,IF(COUNTIFS('Card Test Cases'!$B$4:$B$1000,$A993,'Card Test Cases'!$A$4:$A$1000,"&lt;&gt;")&gt;0,"Out of Scope","No TC"),IF($Q993&gt;0,"Failed",IF(COUNTIFS('Card Test Cases'!$B$4:$B$1000,$A993,'Card Test Cases'!$A$4:$A$1000,"&lt;&gt;",'Card Test Cases'!$F$4:$F$1000,"Blocked")&gt;0,"Blocked",IF($R993&gt;0,"In Progress","Passed")))))</f>
        <v/>
      </c>
      <c r="O993" s="68" t="str">
        <f>IF(TRIM($A993)="","",COUNTIFS('Card Test Cases'!$B$4:$B$1000,$A993,'Card Test Cases'!$A$4:$A$1000,"&lt;&gt;",'Card Test Cases'!$F$4:$F$1000,"&lt;&gt;Out of Scope"))</f>
        <v/>
      </c>
      <c r="P993" s="68" t="str">
        <f>IF(TRIM($A993)="","",COUNTIFS('Card Test Cases'!$B$4:$B$1000,$A993,'Card Test Cases'!$A$4:$A$1000,"&lt;&gt;",'Card Test Cases'!$F$4:$F$1000,"Passed"))</f>
        <v/>
      </c>
      <c r="Q993" s="68" t="str">
        <f>IF(TRIM($A993)="","",COUNTIFS('Card Test Cases'!$B$4:$B$1000,$A993,'Card Test Cases'!$A$4:$A$1000,"&lt;&gt;",'Card Test Cases'!$F$4:$F$1000,"Failed"))</f>
        <v/>
      </c>
      <c r="R993" s="68" t="str">
        <f t="shared" si="15"/>
        <v/>
      </c>
      <c r="S993" s="68" t="str" cm="1">
        <f t="array" ref="S993">IF(TRIM($A993)="","",IFERROR(_xlfn.TEXTJOIN(", ",TRUE,_xlfn.UNIQUE(_xlfn.VSTACK(_xlfn._xlws.FILTER('Card Test Cases'!$G$4:$G$1000,('Card Test Cases'!$B$4:$B$1000=$A993)*('Card Test Cases'!$G$4:$G$1000&lt;&gt;""),""),_xlfn._xlws.FILTER('E2E core flow'!$U$15:$U$1000,('E2E core flow'!$A$15:$A$1000&lt;&gt;"")*ISNUMBER(SEARCH('E2E core flow'!$A$15:$A$1000,$E993))*('E2E core flow'!$U$15:$U$1000&lt;&gt;""),"")))),"-"))</f>
        <v/>
      </c>
    </row>
    <row r="994" spans="7:19" x14ac:dyDescent="0.3">
      <c r="G994" s="68" t="str" cm="1">
        <f t="array" ref="G994">_xlfn.LET(_xlpm.ids,'E2E core flow'!$A$15:$A$1000,_xlpm.v,'E2E core flow'!$W$15:$W$1000,_xlpm.m,(_xlpm.ids&lt;&gt;"")*ISNUMBER(SEARCH(_xlpm.ids,$E994)),_xlpm.f,SUM(_xlpm.m*(_xlpm.v="Failed")),_xlpm.b,SUM(_xlpm.m*(_xlpm.v="Blocked")),_xlpm.nr,SUM(_xlpm.m*(_xlpm.v="Not Run")),_xlpm.cp,SUM(_xlpm.m*(_xlpm.v="Conditionally Passed")),_xlpm.p,SUM(_xlpm.m*(_xlpm.v="Passed")),IF(TRIM($A994)="","",IF(TRIM($E994)="","Pending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94" s="68" t="str">
        <f>IF(TRIM($A994)="","",IF($J994="Passed","",IF($J994="Passed with Known Issue","Known Issue",IF($J994="",IF(OR($H994&lt;&gt;"No",AND($F994&lt;&gt;"Medium",$F994&lt;&gt;"Low")),"Pending Result",""),IF(OR($H994&lt;&gt;"No",AND($F994&lt;&gt;"Medium",$F994&lt;&gt;"Low")),IF(COUNTIFS(Dashboard!$B$105:$B$124,$A994,Dashboard!$I$105:$I$124,"CAB")&gt;0,"Accepted (CF)","Blocking"),IF($J994="Failed","Deferrable","Carry Over"))))))</f>
        <v/>
      </c>
      <c r="M994" s="68" t="str">
        <f>IF(OR(TRIM($A994)="",TRIM($E994)=""),"",IFERROR(INDEX('E2E core flow'!$B$15:$B$1000,MATCH(1,INDEX(('E2E core flow'!$A$15:$A$1000&lt;&gt;"")*ISNUMBER(SEARCH('E2E core flow'!$A$15:$A$1000,$E994)),0),0))&amp;"","-"))</f>
        <v/>
      </c>
      <c r="N994" s="68" t="str">
        <f>IF(TRIM($A994)="","",IF($O994=0,IF(COUNTIFS('Card Test Cases'!$B$4:$B$1000,$A994,'Card Test Cases'!$A$4:$A$1000,"&lt;&gt;")&gt;0,"Out of Scope","No TC"),IF($Q994&gt;0,"Failed",IF(COUNTIFS('Card Test Cases'!$B$4:$B$1000,$A994,'Card Test Cases'!$A$4:$A$1000,"&lt;&gt;",'Card Test Cases'!$F$4:$F$1000,"Blocked")&gt;0,"Blocked",IF($R994&gt;0,"In Progress","Passed")))))</f>
        <v/>
      </c>
      <c r="O994" s="68" t="str">
        <f>IF(TRIM($A994)="","",COUNTIFS('Card Test Cases'!$B$4:$B$1000,$A994,'Card Test Cases'!$A$4:$A$1000,"&lt;&gt;",'Card Test Cases'!$F$4:$F$1000,"&lt;&gt;Out of Scope"))</f>
        <v/>
      </c>
      <c r="P994" s="68" t="str">
        <f>IF(TRIM($A994)="","",COUNTIFS('Card Test Cases'!$B$4:$B$1000,$A994,'Card Test Cases'!$A$4:$A$1000,"&lt;&gt;",'Card Test Cases'!$F$4:$F$1000,"Passed"))</f>
        <v/>
      </c>
      <c r="Q994" s="68" t="str">
        <f>IF(TRIM($A994)="","",COUNTIFS('Card Test Cases'!$B$4:$B$1000,$A994,'Card Test Cases'!$A$4:$A$1000,"&lt;&gt;",'Card Test Cases'!$F$4:$F$1000,"Failed"))</f>
        <v/>
      </c>
      <c r="R994" s="68" t="str">
        <f t="shared" si="15"/>
        <v/>
      </c>
      <c r="S994" s="68" t="str" cm="1">
        <f t="array" ref="S994">IF(TRIM($A994)="","",IFERROR(_xlfn.TEXTJOIN(", ",TRUE,_xlfn.UNIQUE(_xlfn.VSTACK(_xlfn._xlws.FILTER('Card Test Cases'!$G$4:$G$1000,('Card Test Cases'!$B$4:$B$1000=$A994)*('Card Test Cases'!$G$4:$G$1000&lt;&gt;""),""),_xlfn._xlws.FILTER('E2E core flow'!$U$15:$U$1000,('E2E core flow'!$A$15:$A$1000&lt;&gt;"")*ISNUMBER(SEARCH('E2E core flow'!$A$15:$A$1000,$E994))*('E2E core flow'!$U$15:$U$1000&lt;&gt;""),"")))),"-"))</f>
        <v/>
      </c>
    </row>
    <row r="995" spans="7:19" x14ac:dyDescent="0.3">
      <c r="G995" s="68" t="str" cm="1">
        <f t="array" ref="G995">_xlfn.LET(_xlpm.ids,'E2E core flow'!$A$15:$A$1000,_xlpm.v,'E2E core flow'!$W$15:$W$1000,_xlpm.m,(_xlpm.ids&lt;&gt;"")*ISNUMBER(SEARCH(_xlpm.ids,$E995)),_xlpm.f,SUM(_xlpm.m*(_xlpm.v="Failed")),_xlpm.b,SUM(_xlpm.m*(_xlpm.v="Blocked")),_xlpm.nr,SUM(_xlpm.m*(_xlpm.v="Not Run")),_xlpm.cp,SUM(_xlpm.m*(_xlpm.v="Conditionally Passed")),_xlpm.p,SUM(_xlpm.m*(_xlpm.v="Passed")),IF(TRIM($A995)="","",IF(TRIM($E995)="","Pending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95" s="68" t="str">
        <f>IF(TRIM($A995)="","",IF($J995="Passed","",IF($J995="Passed with Known Issue","Known Issue",IF($J995="",IF(OR($H995&lt;&gt;"No",AND($F995&lt;&gt;"Medium",$F995&lt;&gt;"Low")),"Pending Result",""),IF(OR($H995&lt;&gt;"No",AND($F995&lt;&gt;"Medium",$F995&lt;&gt;"Low")),IF(COUNTIFS(Dashboard!$B$105:$B$124,$A995,Dashboard!$I$105:$I$124,"CAB")&gt;0,"Accepted (CF)","Blocking"),IF($J995="Failed","Deferrable","Carry Over"))))))</f>
        <v/>
      </c>
      <c r="M995" s="68" t="str">
        <f>IF(OR(TRIM($A995)="",TRIM($E995)=""),"",IFERROR(INDEX('E2E core flow'!$B$15:$B$1000,MATCH(1,INDEX(('E2E core flow'!$A$15:$A$1000&lt;&gt;"")*ISNUMBER(SEARCH('E2E core flow'!$A$15:$A$1000,$E995)),0),0))&amp;"","-"))</f>
        <v/>
      </c>
      <c r="N995" s="68" t="str">
        <f>IF(TRIM($A995)="","",IF($O995=0,IF(COUNTIFS('Card Test Cases'!$B$4:$B$1000,$A995,'Card Test Cases'!$A$4:$A$1000,"&lt;&gt;")&gt;0,"Out of Scope","No TC"),IF($Q995&gt;0,"Failed",IF(COUNTIFS('Card Test Cases'!$B$4:$B$1000,$A995,'Card Test Cases'!$A$4:$A$1000,"&lt;&gt;",'Card Test Cases'!$F$4:$F$1000,"Blocked")&gt;0,"Blocked",IF($R995&gt;0,"In Progress","Passed")))))</f>
        <v/>
      </c>
      <c r="O995" s="68" t="str">
        <f>IF(TRIM($A995)="","",COUNTIFS('Card Test Cases'!$B$4:$B$1000,$A995,'Card Test Cases'!$A$4:$A$1000,"&lt;&gt;",'Card Test Cases'!$F$4:$F$1000,"&lt;&gt;Out of Scope"))</f>
        <v/>
      </c>
      <c r="P995" s="68" t="str">
        <f>IF(TRIM($A995)="","",COUNTIFS('Card Test Cases'!$B$4:$B$1000,$A995,'Card Test Cases'!$A$4:$A$1000,"&lt;&gt;",'Card Test Cases'!$F$4:$F$1000,"Passed"))</f>
        <v/>
      </c>
      <c r="Q995" s="68" t="str">
        <f>IF(TRIM($A995)="","",COUNTIFS('Card Test Cases'!$B$4:$B$1000,$A995,'Card Test Cases'!$A$4:$A$1000,"&lt;&gt;",'Card Test Cases'!$F$4:$F$1000,"Failed"))</f>
        <v/>
      </c>
      <c r="R995" s="68" t="str">
        <f t="shared" si="15"/>
        <v/>
      </c>
      <c r="S995" s="68" t="str" cm="1">
        <f t="array" ref="S995">IF(TRIM($A995)="","",IFERROR(_xlfn.TEXTJOIN(", ",TRUE,_xlfn.UNIQUE(_xlfn.VSTACK(_xlfn._xlws.FILTER('Card Test Cases'!$G$4:$G$1000,('Card Test Cases'!$B$4:$B$1000=$A995)*('Card Test Cases'!$G$4:$G$1000&lt;&gt;""),""),_xlfn._xlws.FILTER('E2E core flow'!$U$15:$U$1000,('E2E core flow'!$A$15:$A$1000&lt;&gt;"")*ISNUMBER(SEARCH('E2E core flow'!$A$15:$A$1000,$E995))*('E2E core flow'!$U$15:$U$1000&lt;&gt;""),"")))),"-"))</f>
        <v/>
      </c>
    </row>
    <row r="996" spans="7:19" x14ac:dyDescent="0.3">
      <c r="G996" s="68" t="str" cm="1">
        <f t="array" ref="G996">_xlfn.LET(_xlpm.ids,'E2E core flow'!$A$15:$A$1000,_xlpm.v,'E2E core flow'!$W$15:$W$1000,_xlpm.m,(_xlpm.ids&lt;&gt;"")*ISNUMBER(SEARCH(_xlpm.ids,$E996)),_xlpm.f,SUM(_xlpm.m*(_xlpm.v="Failed")),_xlpm.b,SUM(_xlpm.m*(_xlpm.v="Blocked")),_xlpm.nr,SUM(_xlpm.m*(_xlpm.v="Not Run")),_xlpm.cp,SUM(_xlpm.m*(_xlpm.v="Conditionally Passed")),_xlpm.p,SUM(_xlpm.m*(_xlpm.v="Passed")),IF(TRIM($A996)="","",IF(TRIM($E996)="","Pending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96" s="68" t="str">
        <f>IF(TRIM($A996)="","",IF($J996="Passed","",IF($J996="Passed with Known Issue","Known Issue",IF($J996="",IF(OR($H996&lt;&gt;"No",AND($F996&lt;&gt;"Medium",$F996&lt;&gt;"Low")),"Pending Result",""),IF(OR($H996&lt;&gt;"No",AND($F996&lt;&gt;"Medium",$F996&lt;&gt;"Low")),IF(COUNTIFS(Dashboard!$B$105:$B$124,$A996,Dashboard!$I$105:$I$124,"CAB")&gt;0,"Accepted (CF)","Blocking"),IF($J996="Failed","Deferrable","Carry Over"))))))</f>
        <v/>
      </c>
      <c r="M996" s="68" t="str">
        <f>IF(OR(TRIM($A996)="",TRIM($E996)=""),"",IFERROR(INDEX('E2E core flow'!$B$15:$B$1000,MATCH(1,INDEX(('E2E core flow'!$A$15:$A$1000&lt;&gt;"")*ISNUMBER(SEARCH('E2E core flow'!$A$15:$A$1000,$E996)),0),0))&amp;"","-"))</f>
        <v/>
      </c>
      <c r="N996" s="68" t="str">
        <f>IF(TRIM($A996)="","",IF($O996=0,IF(COUNTIFS('Card Test Cases'!$B$4:$B$1000,$A996,'Card Test Cases'!$A$4:$A$1000,"&lt;&gt;")&gt;0,"Out of Scope","No TC"),IF($Q996&gt;0,"Failed",IF(COUNTIFS('Card Test Cases'!$B$4:$B$1000,$A996,'Card Test Cases'!$A$4:$A$1000,"&lt;&gt;",'Card Test Cases'!$F$4:$F$1000,"Blocked")&gt;0,"Blocked",IF($R996&gt;0,"In Progress","Passed")))))</f>
        <v/>
      </c>
      <c r="O996" s="68" t="str">
        <f>IF(TRIM($A996)="","",COUNTIFS('Card Test Cases'!$B$4:$B$1000,$A996,'Card Test Cases'!$A$4:$A$1000,"&lt;&gt;",'Card Test Cases'!$F$4:$F$1000,"&lt;&gt;Out of Scope"))</f>
        <v/>
      </c>
      <c r="P996" s="68" t="str">
        <f>IF(TRIM($A996)="","",COUNTIFS('Card Test Cases'!$B$4:$B$1000,$A996,'Card Test Cases'!$A$4:$A$1000,"&lt;&gt;",'Card Test Cases'!$F$4:$F$1000,"Passed"))</f>
        <v/>
      </c>
      <c r="Q996" s="68" t="str">
        <f>IF(TRIM($A996)="","",COUNTIFS('Card Test Cases'!$B$4:$B$1000,$A996,'Card Test Cases'!$A$4:$A$1000,"&lt;&gt;",'Card Test Cases'!$F$4:$F$1000,"Failed"))</f>
        <v/>
      </c>
      <c r="R996" s="68" t="str">
        <f t="shared" si="15"/>
        <v/>
      </c>
      <c r="S996" s="68" t="str" cm="1">
        <f t="array" ref="S996">IF(TRIM($A996)="","",IFERROR(_xlfn.TEXTJOIN(", ",TRUE,_xlfn.UNIQUE(_xlfn.VSTACK(_xlfn._xlws.FILTER('Card Test Cases'!$G$4:$G$1000,('Card Test Cases'!$B$4:$B$1000=$A996)*('Card Test Cases'!$G$4:$G$1000&lt;&gt;""),""),_xlfn._xlws.FILTER('E2E core flow'!$U$15:$U$1000,('E2E core flow'!$A$15:$A$1000&lt;&gt;"")*ISNUMBER(SEARCH('E2E core flow'!$A$15:$A$1000,$E996))*('E2E core flow'!$U$15:$U$1000&lt;&gt;""),"")))),"-"))</f>
        <v/>
      </c>
    </row>
    <row r="997" spans="7:19" x14ac:dyDescent="0.3">
      <c r="G997" s="68" t="str" cm="1">
        <f t="array" ref="G997">_xlfn.LET(_xlpm.ids,'E2E core flow'!$A$15:$A$1000,_xlpm.v,'E2E core flow'!$W$15:$W$1000,_xlpm.m,(_xlpm.ids&lt;&gt;"")*ISNUMBER(SEARCH(_xlpm.ids,$E997)),_xlpm.f,SUM(_xlpm.m*(_xlpm.v="Failed")),_xlpm.b,SUM(_xlpm.m*(_xlpm.v="Blocked")),_xlpm.nr,SUM(_xlpm.m*(_xlpm.v="Not Run")),_xlpm.cp,SUM(_xlpm.m*(_xlpm.v="Conditionally Passed")),_xlpm.p,SUM(_xlpm.m*(_xlpm.v="Passed")),IF(TRIM($A997)="","",IF(TRIM($E997)="","Pending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97" s="68" t="str">
        <f>IF(TRIM($A997)="","",IF($J997="Passed","",IF($J997="Passed with Known Issue","Known Issue",IF($J997="",IF(OR($H997&lt;&gt;"No",AND($F997&lt;&gt;"Medium",$F997&lt;&gt;"Low")),"Pending Result",""),IF(OR($H997&lt;&gt;"No",AND($F997&lt;&gt;"Medium",$F997&lt;&gt;"Low")),IF(COUNTIFS(Dashboard!$B$105:$B$124,$A997,Dashboard!$I$105:$I$124,"CAB")&gt;0,"Accepted (CF)","Blocking"),IF($J997="Failed","Deferrable","Carry Over"))))))</f>
        <v/>
      </c>
      <c r="M997" s="68" t="str">
        <f>IF(OR(TRIM($A997)="",TRIM($E997)=""),"",IFERROR(INDEX('E2E core flow'!$B$15:$B$1000,MATCH(1,INDEX(('E2E core flow'!$A$15:$A$1000&lt;&gt;"")*ISNUMBER(SEARCH('E2E core flow'!$A$15:$A$1000,$E997)),0),0))&amp;"","-"))</f>
        <v/>
      </c>
      <c r="N997" s="68" t="str">
        <f>IF(TRIM($A997)="","",IF($O997=0,IF(COUNTIFS('Card Test Cases'!$B$4:$B$1000,$A997,'Card Test Cases'!$A$4:$A$1000,"&lt;&gt;")&gt;0,"Out of Scope","No TC"),IF($Q997&gt;0,"Failed",IF(COUNTIFS('Card Test Cases'!$B$4:$B$1000,$A997,'Card Test Cases'!$A$4:$A$1000,"&lt;&gt;",'Card Test Cases'!$F$4:$F$1000,"Blocked")&gt;0,"Blocked",IF($R997&gt;0,"In Progress","Passed")))))</f>
        <v/>
      </c>
      <c r="O997" s="68" t="str">
        <f>IF(TRIM($A997)="","",COUNTIFS('Card Test Cases'!$B$4:$B$1000,$A997,'Card Test Cases'!$A$4:$A$1000,"&lt;&gt;",'Card Test Cases'!$F$4:$F$1000,"&lt;&gt;Out of Scope"))</f>
        <v/>
      </c>
      <c r="P997" s="68" t="str">
        <f>IF(TRIM($A997)="","",COUNTIFS('Card Test Cases'!$B$4:$B$1000,$A997,'Card Test Cases'!$A$4:$A$1000,"&lt;&gt;",'Card Test Cases'!$F$4:$F$1000,"Passed"))</f>
        <v/>
      </c>
      <c r="Q997" s="68" t="str">
        <f>IF(TRIM($A997)="","",COUNTIFS('Card Test Cases'!$B$4:$B$1000,$A997,'Card Test Cases'!$A$4:$A$1000,"&lt;&gt;",'Card Test Cases'!$F$4:$F$1000,"Failed"))</f>
        <v/>
      </c>
      <c r="R997" s="68" t="str">
        <f t="shared" si="15"/>
        <v/>
      </c>
      <c r="S997" s="68" t="str" cm="1">
        <f t="array" ref="S997">IF(TRIM($A997)="","",IFERROR(_xlfn.TEXTJOIN(", ",TRUE,_xlfn.UNIQUE(_xlfn.VSTACK(_xlfn._xlws.FILTER('Card Test Cases'!$G$4:$G$1000,('Card Test Cases'!$B$4:$B$1000=$A997)*('Card Test Cases'!$G$4:$G$1000&lt;&gt;""),""),_xlfn._xlws.FILTER('E2E core flow'!$U$15:$U$1000,('E2E core flow'!$A$15:$A$1000&lt;&gt;"")*ISNUMBER(SEARCH('E2E core flow'!$A$15:$A$1000,$E997))*('E2E core flow'!$U$15:$U$1000&lt;&gt;""),"")))),"-"))</f>
        <v/>
      </c>
    </row>
    <row r="998" spans="7:19" x14ac:dyDescent="0.3">
      <c r="G998" s="68" t="str" cm="1">
        <f t="array" ref="G998">_xlfn.LET(_xlpm.ids,'E2E core flow'!$A$15:$A$1000,_xlpm.v,'E2E core flow'!$W$15:$W$1000,_xlpm.m,(_xlpm.ids&lt;&gt;"")*ISNUMBER(SEARCH(_xlpm.ids,$E998)),_xlpm.f,SUM(_xlpm.m*(_xlpm.v="Failed")),_xlpm.b,SUM(_xlpm.m*(_xlpm.v="Blocked")),_xlpm.nr,SUM(_xlpm.m*(_xlpm.v="Not Run")),_xlpm.cp,SUM(_xlpm.m*(_xlpm.v="Conditionally Passed")),_xlpm.p,SUM(_xlpm.m*(_xlpm.v="Passed")),IF(TRIM($A998)="","",IF(TRIM($E998)="","Pending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98" s="68" t="str">
        <f>IF(TRIM($A998)="","",IF($J998="Passed","",IF($J998="Passed with Known Issue","Known Issue",IF($J998="",IF(OR($H998&lt;&gt;"No",AND($F998&lt;&gt;"Medium",$F998&lt;&gt;"Low")),"Pending Result",""),IF(OR($H998&lt;&gt;"No",AND($F998&lt;&gt;"Medium",$F998&lt;&gt;"Low")),IF(COUNTIFS(Dashboard!$B$105:$B$124,$A998,Dashboard!$I$105:$I$124,"CAB")&gt;0,"Accepted (CF)","Blocking"),IF($J998="Failed","Deferrable","Carry Over"))))))</f>
        <v/>
      </c>
      <c r="M998" s="68" t="str">
        <f>IF(OR(TRIM($A998)="",TRIM($E998)=""),"",IFERROR(INDEX('E2E core flow'!$B$15:$B$1000,MATCH(1,INDEX(('E2E core flow'!$A$15:$A$1000&lt;&gt;"")*ISNUMBER(SEARCH('E2E core flow'!$A$15:$A$1000,$E998)),0),0))&amp;"","-"))</f>
        <v/>
      </c>
      <c r="N998" s="68" t="str">
        <f>IF(TRIM($A998)="","",IF($O998=0,IF(COUNTIFS('Card Test Cases'!$B$4:$B$1000,$A998,'Card Test Cases'!$A$4:$A$1000,"&lt;&gt;")&gt;0,"Out of Scope","No TC"),IF($Q998&gt;0,"Failed",IF(COUNTIFS('Card Test Cases'!$B$4:$B$1000,$A998,'Card Test Cases'!$A$4:$A$1000,"&lt;&gt;",'Card Test Cases'!$F$4:$F$1000,"Blocked")&gt;0,"Blocked",IF($R998&gt;0,"In Progress","Passed")))))</f>
        <v/>
      </c>
      <c r="O998" s="68" t="str">
        <f>IF(TRIM($A998)="","",COUNTIFS('Card Test Cases'!$B$4:$B$1000,$A998,'Card Test Cases'!$A$4:$A$1000,"&lt;&gt;",'Card Test Cases'!$F$4:$F$1000,"&lt;&gt;Out of Scope"))</f>
        <v/>
      </c>
      <c r="P998" s="68" t="str">
        <f>IF(TRIM($A998)="","",COUNTIFS('Card Test Cases'!$B$4:$B$1000,$A998,'Card Test Cases'!$A$4:$A$1000,"&lt;&gt;",'Card Test Cases'!$F$4:$F$1000,"Passed"))</f>
        <v/>
      </c>
      <c r="Q998" s="68" t="str">
        <f>IF(TRIM($A998)="","",COUNTIFS('Card Test Cases'!$B$4:$B$1000,$A998,'Card Test Cases'!$A$4:$A$1000,"&lt;&gt;",'Card Test Cases'!$F$4:$F$1000,"Failed"))</f>
        <v/>
      </c>
      <c r="R998" s="68" t="str">
        <f t="shared" si="15"/>
        <v/>
      </c>
      <c r="S998" s="68" t="str" cm="1">
        <f t="array" ref="S998">IF(TRIM($A998)="","",IFERROR(_xlfn.TEXTJOIN(", ",TRUE,_xlfn.UNIQUE(_xlfn.VSTACK(_xlfn._xlws.FILTER('Card Test Cases'!$G$4:$G$1000,('Card Test Cases'!$B$4:$B$1000=$A998)*('Card Test Cases'!$G$4:$G$1000&lt;&gt;""),""),_xlfn._xlws.FILTER('E2E core flow'!$U$15:$U$1000,('E2E core flow'!$A$15:$A$1000&lt;&gt;"")*ISNUMBER(SEARCH('E2E core flow'!$A$15:$A$1000,$E998))*('E2E core flow'!$U$15:$U$1000&lt;&gt;""),"")))),"-"))</f>
        <v/>
      </c>
    </row>
    <row r="999" spans="7:19" x14ac:dyDescent="0.3">
      <c r="G999" s="68" t="str" cm="1">
        <f t="array" ref="G999">_xlfn.LET(_xlpm.ids,'E2E core flow'!$A$15:$A$1000,_xlpm.v,'E2E core flow'!$W$15:$W$1000,_xlpm.m,(_xlpm.ids&lt;&gt;"")*ISNUMBER(SEARCH(_xlpm.ids,$E999)),_xlpm.f,SUM(_xlpm.m*(_xlpm.v="Failed")),_xlpm.b,SUM(_xlpm.m*(_xlpm.v="Blocked")),_xlpm.nr,SUM(_xlpm.m*(_xlpm.v="Not Run")),_xlpm.cp,SUM(_xlpm.m*(_xlpm.v="Conditionally Passed")),_xlpm.p,SUM(_xlpm.m*(_xlpm.v="Passed")),IF(TRIM($A999)="","",IF(TRIM($E999)="","Pending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999" s="68" t="str">
        <f>IF(TRIM($A999)="","",IF($J999="Passed","",IF($J999="Passed with Known Issue","Known Issue",IF($J999="",IF(OR($H999&lt;&gt;"No",AND($F999&lt;&gt;"Medium",$F999&lt;&gt;"Low")),"Pending Result",""),IF(OR($H999&lt;&gt;"No",AND($F999&lt;&gt;"Medium",$F999&lt;&gt;"Low")),IF(COUNTIFS(Dashboard!$B$105:$B$124,$A999,Dashboard!$I$105:$I$124,"CAB")&gt;0,"Accepted (CF)","Blocking"),IF($J999="Failed","Deferrable","Carry Over"))))))</f>
        <v/>
      </c>
      <c r="M999" s="68" t="str">
        <f>IF(OR(TRIM($A999)="",TRIM($E999)=""),"",IFERROR(INDEX('E2E core flow'!$B$15:$B$1000,MATCH(1,INDEX(('E2E core flow'!$A$15:$A$1000&lt;&gt;"")*ISNUMBER(SEARCH('E2E core flow'!$A$15:$A$1000,$E999)),0),0))&amp;"","-"))</f>
        <v/>
      </c>
      <c r="N999" s="68" t="str">
        <f>IF(TRIM($A999)="","",IF($O999=0,IF(COUNTIFS('Card Test Cases'!$B$4:$B$1000,$A999,'Card Test Cases'!$A$4:$A$1000,"&lt;&gt;")&gt;0,"Out of Scope","No TC"),IF($Q999&gt;0,"Failed",IF(COUNTIFS('Card Test Cases'!$B$4:$B$1000,$A999,'Card Test Cases'!$A$4:$A$1000,"&lt;&gt;",'Card Test Cases'!$F$4:$F$1000,"Blocked")&gt;0,"Blocked",IF($R999&gt;0,"In Progress","Passed")))))</f>
        <v/>
      </c>
      <c r="O999" s="68" t="str">
        <f>IF(TRIM($A999)="","",COUNTIFS('Card Test Cases'!$B$4:$B$1000,$A999,'Card Test Cases'!$A$4:$A$1000,"&lt;&gt;",'Card Test Cases'!$F$4:$F$1000,"&lt;&gt;Out of Scope"))</f>
        <v/>
      </c>
      <c r="P999" s="68" t="str">
        <f>IF(TRIM($A999)="","",COUNTIFS('Card Test Cases'!$B$4:$B$1000,$A999,'Card Test Cases'!$A$4:$A$1000,"&lt;&gt;",'Card Test Cases'!$F$4:$F$1000,"Passed"))</f>
        <v/>
      </c>
      <c r="Q999" s="68" t="str">
        <f>IF(TRIM($A999)="","",COUNTIFS('Card Test Cases'!$B$4:$B$1000,$A999,'Card Test Cases'!$A$4:$A$1000,"&lt;&gt;",'Card Test Cases'!$F$4:$F$1000,"Failed"))</f>
        <v/>
      </c>
      <c r="R999" s="68" t="str">
        <f t="shared" si="15"/>
        <v/>
      </c>
      <c r="S999" s="68" t="str" cm="1">
        <f t="array" ref="S999">IF(TRIM($A999)="","",IFERROR(_xlfn.TEXTJOIN(", ",TRUE,_xlfn.UNIQUE(_xlfn.VSTACK(_xlfn._xlws.FILTER('Card Test Cases'!$G$4:$G$1000,('Card Test Cases'!$B$4:$B$1000=$A999)*('Card Test Cases'!$G$4:$G$1000&lt;&gt;""),""),_xlfn._xlws.FILTER('E2E core flow'!$U$15:$U$1000,('E2E core flow'!$A$15:$A$1000&lt;&gt;"")*ISNUMBER(SEARCH('E2E core flow'!$A$15:$A$1000,$E999))*('E2E core flow'!$U$15:$U$1000&lt;&gt;""),"")))),"-"))</f>
        <v/>
      </c>
    </row>
    <row r="1000" spans="7:19" x14ac:dyDescent="0.3">
      <c r="G1000" s="68" t="str" cm="1">
        <f t="array" ref="G1000">_xlfn.LET(_xlpm.ids,'E2E core flow'!$A$15:$A$1000,_xlpm.v,'E2E core flow'!$W$15:$W$1000,_xlpm.m,(_xlpm.ids&lt;&gt;"")*ISNUMBER(SEARCH(_xlpm.ids,$E1000)),_xlpm.f,SUM(_xlpm.m*(_xlpm.v="Failed")),_xlpm.b,SUM(_xlpm.m*(_xlpm.v="Blocked")),_xlpm.nr,SUM(_xlpm.m*(_xlpm.v="Not Run")),_xlpm.cp,SUM(_xlpm.m*(_xlpm.v="Conditionally Passed")),_xlpm.p,SUM(_xlpm.m*(_xlpm.v="Passed")),IF(TRIM($A1000)="","",IF(TRIM($E1000)="","Pending Mapping",IF(SUM(_xlpm.m)=0,"ไม่พบ Scenario ID ใน E2E",IF(_xlpm.f&gt;0,"Failed",IF(_xlpm.b&gt;0,"Blocked",IF(_xlpm.nr&gt;0,"Ready for Testing",IF(_xlpm.cp&gt;0,"Conditionally Passed",IF(_xlpm.p&gt;0,"Passed","Out of Scope")))))))))</f>
        <v/>
      </c>
      <c r="L1000" s="68" t="str">
        <f>IF(TRIM($A1000)="","",IF($J1000="Passed","",IF($J1000="Passed with Known Issue","Known Issue",IF($J1000="",IF(OR($H1000&lt;&gt;"No",AND($F1000&lt;&gt;"Medium",$F1000&lt;&gt;"Low")),"Pending Result",""),IF(OR($H1000&lt;&gt;"No",AND($F1000&lt;&gt;"Medium",$F1000&lt;&gt;"Low")),IF(COUNTIFS(Dashboard!$B$105:$B$124,$A1000,Dashboard!$I$105:$I$124,"CAB")&gt;0,"Accepted (CF)","Blocking"),IF($J1000="Failed","Deferrable","Carry Over"))))))</f>
        <v/>
      </c>
      <c r="M1000" s="68" t="str">
        <f>IF(OR(TRIM($A1000)="",TRIM($E1000)=""),"",IFERROR(INDEX('E2E core flow'!$B$15:$B$1000,MATCH(1,INDEX(('E2E core flow'!$A$15:$A$1000&lt;&gt;"")*ISNUMBER(SEARCH('E2E core flow'!$A$15:$A$1000,$E1000)),0),0))&amp;"","-"))</f>
        <v/>
      </c>
      <c r="N1000" s="68" t="str">
        <f>IF(TRIM($A1000)="","",IF($O1000=0,IF(COUNTIFS('Card Test Cases'!$B$4:$B$1000,$A1000,'Card Test Cases'!$A$4:$A$1000,"&lt;&gt;")&gt;0,"Out of Scope","No TC"),IF($Q1000&gt;0,"Failed",IF(COUNTIFS('Card Test Cases'!$B$4:$B$1000,$A1000,'Card Test Cases'!$A$4:$A$1000,"&lt;&gt;",'Card Test Cases'!$F$4:$F$1000,"Blocked")&gt;0,"Blocked",IF($R1000&gt;0,"In Progress","Passed")))))</f>
        <v/>
      </c>
      <c r="O1000" s="68" t="str">
        <f>IF(TRIM($A1000)="","",COUNTIFS('Card Test Cases'!$B$4:$B$1000,$A1000,'Card Test Cases'!$A$4:$A$1000,"&lt;&gt;",'Card Test Cases'!$F$4:$F$1000,"&lt;&gt;Out of Scope"))</f>
        <v/>
      </c>
      <c r="P1000" s="68" t="str">
        <f>IF(TRIM($A1000)="","",COUNTIFS('Card Test Cases'!$B$4:$B$1000,$A1000,'Card Test Cases'!$A$4:$A$1000,"&lt;&gt;",'Card Test Cases'!$F$4:$F$1000,"Passed"))</f>
        <v/>
      </c>
      <c r="Q1000" s="68" t="str">
        <f>IF(TRIM($A1000)="","",COUNTIFS('Card Test Cases'!$B$4:$B$1000,$A1000,'Card Test Cases'!$A$4:$A$1000,"&lt;&gt;",'Card Test Cases'!$F$4:$F$1000,"Failed"))</f>
        <v/>
      </c>
      <c r="R1000" s="68" t="str">
        <f t="shared" si="15"/>
        <v/>
      </c>
      <c r="S1000" s="68" t="str" cm="1">
        <f t="array" ref="S1000">IF(TRIM($A1000)="","",IFERROR(_xlfn.TEXTJOIN(", ",TRUE,_xlfn.UNIQUE(_xlfn.VSTACK(_xlfn._xlws.FILTER('Card Test Cases'!$G$4:$G$1000,('Card Test Cases'!$B$4:$B$1000=$A1000)*('Card Test Cases'!$G$4:$G$1000&lt;&gt;""),""),_xlfn._xlws.FILTER('E2E core flow'!$U$15:$U$1000,('E2E core flow'!$A$15:$A$1000&lt;&gt;"")*ISNUMBER(SEARCH('E2E core flow'!$A$15:$A$1000,$E1000))*('E2E core flow'!$U$15:$U$1000&lt;&gt;""),"")))),"-"))</f>
        <v/>
      </c>
    </row>
  </sheetData>
  <sheetProtection formatCells="0" formatColumns="0" formatRows="0" insertRows="0" deleteRows="0" sort="0" autoFilter="0"/>
  <mergeCells count="1">
    <mergeCell ref="A1:C1"/>
  </mergeCells>
  <conditionalFormatting sqref="F4:F1000">
    <cfRule type="expression" dxfId="36" priority="8">
      <formula>AND($A4&lt;&gt;"",$F4="")</formula>
    </cfRule>
  </conditionalFormatting>
  <conditionalFormatting sqref="G4:G1000">
    <cfRule type="beginsWith" dxfId="35" priority="1" operator="beginsWith" text="Failed">
      <formula>LEFT(G4,LEN("Failed"))="Failed"</formula>
    </cfRule>
    <cfRule type="beginsWith" dxfId="34" priority="2" operator="beginsWith" text="Blocked">
      <formula>LEFT(G4,LEN("Blocked"))="Blocked"</formula>
    </cfRule>
    <cfRule type="beginsWith" dxfId="33" priority="3" operator="beginsWith" text="Conditionally Passed">
      <formula>LEFT(G4,LEN("Conditionally Passed"))="Conditionally Passed"</formula>
    </cfRule>
    <cfRule type="beginsWith" dxfId="32" priority="4" operator="beginsWith" text="Passed">
      <formula>LEFT(G4,LEN("Passed"))="Passed"</formula>
    </cfRule>
    <cfRule type="beginsWith" dxfId="31" priority="5" operator="beginsWith" text="Ready">
      <formula>LEFT(G4,LEN("Ready"))="Ready"</formula>
    </cfRule>
    <cfRule type="beginsWith" dxfId="30" priority="6" operator="beginsWith" text="ไม่พบ">
      <formula>LEFT(G4,LEN("ไม่พบ"))="ไม่พบ"</formula>
    </cfRule>
    <cfRule type="beginsWith" dxfId="29" priority="7" operator="beginsWith" text="Pending">
      <formula>LEFT(G4,LEN("Pending"))="Pending"</formula>
    </cfRule>
  </conditionalFormatting>
  <conditionalFormatting sqref="H4:H1000">
    <cfRule type="expression" dxfId="28" priority="9">
      <formula>AND($A4&lt;&gt;"",$H4="")</formula>
    </cfRule>
  </conditionalFormatting>
  <conditionalFormatting sqref="J4:J1000">
    <cfRule type="expression" dxfId="27" priority="10">
      <formula>$J4="Failed"</formula>
    </cfRule>
    <cfRule type="expression" dxfId="26" priority="11">
      <formula>$J4="Not Tested"</formula>
    </cfRule>
    <cfRule type="expression" dxfId="25" priority="12">
      <formula>$J4="Passed with Known Issue"</formula>
    </cfRule>
    <cfRule type="expression" dxfId="24" priority="13">
      <formula>$J4="Passed"</formula>
    </cfRule>
  </conditionalFormatting>
  <conditionalFormatting sqref="L4:L1000">
    <cfRule type="expression" dxfId="23" priority="14">
      <formula>$L4="Blocking"</formula>
    </cfRule>
    <cfRule type="expression" dxfId="22" priority="15">
      <formula>$L4="Pending Result"</formula>
    </cfRule>
    <cfRule type="expression" dxfId="21" priority="16">
      <formula>$L4="Accepted (CF)"</formula>
    </cfRule>
    <cfRule type="expression" dxfId="20" priority="17">
      <formula>$L4="Deferrable"</formula>
    </cfRule>
    <cfRule type="expression" dxfId="19" priority="18">
      <formula>$L4="Known Issue"</formula>
    </cfRule>
    <cfRule type="expression" dxfId="18" priority="19">
      <formula>$L4="Carry Over"</formula>
    </cfRule>
  </conditionalFormatting>
  <conditionalFormatting sqref="N4:N1000">
    <cfRule type="expression" dxfId="17" priority="20">
      <formula>$N4="Failed"</formula>
    </cfRule>
    <cfRule type="expression" dxfId="16" priority="21">
      <formula>$N4="Blocked"</formula>
    </cfRule>
    <cfRule type="expression" dxfId="15" priority="22">
      <formula>$N4="Passed"</formula>
    </cfRule>
    <cfRule type="expression" dxfId="14" priority="23">
      <formula>$N4="In Progress"</formula>
    </cfRule>
  </conditionalFormatting>
  <dataValidations count="3">
    <dataValidation type="list" allowBlank="1" showInputMessage="1" showErrorMessage="1" promptTitle="Card Priority" prompt="Urgent / High / Medium / Low — ว่าง = นับเป็น Urgent/High เพื่อความปลอดภัย" sqref="F4:F1000" xr:uid="{00000000-0002-0000-0300-000000000000}">
      <formula1>"Urgent,High,Medium,Low"</formula1>
    </dataValidation>
    <dataValidation type="list" allowBlank="1" showInputMessage="1" showErrorMessage="1" promptTitle="TOR" prompt="Yes = การ์ดอยู่ใน TOR (QA Site ระบุตอนดึงการ์ด Day 0) · ว่าง = นับเป็น TOR" sqref="H4:H1000" xr:uid="{00000000-0002-0000-0300-000001000000}">
      <formula1>"Yes,No"</formula1>
    </dataValidation>
    <dataValidation type="list" allowBlank="1" showInputMessage="1" showErrorMessage="1" promptTitle="Card Result" prompt="QA Site ตัดสินจาก E2E + TC · Passed with Known Issue ต้อง QA Lead ยืนยัน (ใส่ชื่อใน Result Note)" sqref="J4:J1000" xr:uid="{00000000-0002-0000-0300-000002000000}">
      <formula1>"Passed,Passed with Known Issue,Failed,Not Tested"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6A32C-11A0-406A-9735-D89E7AFD8696}">
  <sheetPr>
    <tabColor rgb="FF00B050"/>
  </sheetPr>
  <dimension ref="A1:J1000"/>
  <sheetViews>
    <sheetView workbookViewId="0">
      <pane xSplit="2" ySplit="3" topLeftCell="C4" activePane="bottomRight" state="frozen"/>
      <selection pane="topRight"/>
      <selection pane="bottomLeft"/>
      <selection pane="bottomRight" activeCell="A4" sqref="A4"/>
    </sheetView>
  </sheetViews>
  <sheetFormatPr defaultColWidth="9.109375" defaultRowHeight="14.4" x14ac:dyDescent="0.3"/>
  <cols>
    <col min="1" max="1" width="22" style="13" customWidth="1"/>
    <col min="2" max="2" width="14" style="13" customWidth="1"/>
    <col min="3" max="3" width="40" style="15" customWidth="1"/>
    <col min="4" max="4" width="16.33203125" style="15" bestFit="1" customWidth="1"/>
    <col min="5" max="5" width="48" style="25" customWidth="1"/>
    <col min="6" max="6" width="16" style="13" customWidth="1"/>
    <col min="7" max="7" width="14" style="13" customWidth="1"/>
    <col min="8" max="8" width="14" style="35" customWidth="1"/>
    <col min="9" max="9" width="18" style="13" customWidth="1"/>
    <col min="10" max="10" width="40" style="25" customWidth="1"/>
    <col min="11" max="16384" width="9.109375" style="13"/>
  </cols>
  <sheetData>
    <row r="1" spans="1:10" ht="36" customHeight="1" x14ac:dyDescent="0.3">
      <c r="A1" s="126" t="s">
        <v>659</v>
      </c>
      <c r="B1" s="186"/>
      <c r="C1" s="187"/>
      <c r="D1" s="187"/>
      <c r="E1" s="188"/>
      <c r="F1" s="189" t="s">
        <v>660</v>
      </c>
      <c r="G1" s="186"/>
      <c r="H1" s="190"/>
      <c r="I1" s="186"/>
      <c r="J1" s="188"/>
    </row>
    <row r="2" spans="1:10" ht="17.399999999999999" x14ac:dyDescent="0.3">
      <c r="A2" s="69" t="s">
        <v>661</v>
      </c>
      <c r="B2" s="69" t="s">
        <v>646</v>
      </c>
      <c r="C2" s="72" t="s">
        <v>662</v>
      </c>
      <c r="D2" s="72" t="s">
        <v>652</v>
      </c>
      <c r="E2" s="69" t="s">
        <v>663</v>
      </c>
      <c r="F2" s="70" t="s">
        <v>336</v>
      </c>
      <c r="G2" s="70" t="s">
        <v>435</v>
      </c>
      <c r="H2" s="70" t="s">
        <v>212</v>
      </c>
      <c r="I2" s="70" t="s">
        <v>664</v>
      </c>
      <c r="J2" s="70" t="s">
        <v>430</v>
      </c>
    </row>
    <row r="3" spans="1:10" ht="45" customHeight="1" x14ac:dyDescent="0.3">
      <c r="A3" s="24" t="s">
        <v>665</v>
      </c>
      <c r="B3" s="24" t="s">
        <v>666</v>
      </c>
      <c r="C3" s="24" t="s">
        <v>667</v>
      </c>
      <c r="D3" s="24" t="s">
        <v>668</v>
      </c>
      <c r="E3" s="24" t="s">
        <v>669</v>
      </c>
      <c r="F3" s="24" t="s">
        <v>110</v>
      </c>
      <c r="G3" s="24" t="s">
        <v>670</v>
      </c>
      <c r="H3" s="24" t="s">
        <v>671</v>
      </c>
      <c r="I3" s="24" t="s">
        <v>672</v>
      </c>
      <c r="J3" s="24" t="s">
        <v>673</v>
      </c>
    </row>
    <row r="4" spans="1:10" x14ac:dyDescent="0.3">
      <c r="C4" s="68" t="str">
        <f>IF(TRIM($B4)="","",IFERROR(HYPERLINK("#'Cards'!A"&amp;(MATCH($B4,Cards!$A$4:$A$1000,0)+3),INDEX(Cards!$B$4:$B$1000,MATCH($B4,Cards!$A$4:$A$1000,0))),"ไม่พบ Card ID ในชีต Cards"))</f>
        <v/>
      </c>
      <c r="D4" s="68" t="str">
        <f>IF(TRIM($B4)="","",IFERROR(INDEX(Cards!$M$4:$M$1000,MATCH($B4,Cards!$A$4:$A$1000,0))&amp;"","-"))</f>
        <v/>
      </c>
    </row>
    <row r="5" spans="1:10" x14ac:dyDescent="0.3">
      <c r="C5" s="68" t="str">
        <f>IF(TRIM($B5)="","",IFERROR(HYPERLINK("#'Cards'!A"&amp;(MATCH($B5,Cards!$A$4:$A$1000,0)+3),INDEX(Cards!$B$4:$B$1000,MATCH($B5,Cards!$A$4:$A$1000,0))),"ไม่พบ Card ID ในชีต Cards"))</f>
        <v/>
      </c>
      <c r="D5" s="68" t="str">
        <f>IF(TRIM($B5)="","",IFERROR(INDEX(Cards!$M$4:$M$1000,MATCH($B5,Cards!$A$4:$A$1000,0))&amp;"","-"))</f>
        <v/>
      </c>
    </row>
    <row r="6" spans="1:10" x14ac:dyDescent="0.3">
      <c r="C6" s="68" t="str">
        <f>IF(TRIM($B6)="","",IFERROR(HYPERLINK("#'Cards'!A"&amp;(MATCH($B6,Cards!$A$4:$A$1000,0)+3),INDEX(Cards!$B$4:$B$1000,MATCH($B6,Cards!$A$4:$A$1000,0))),"ไม่พบ Card ID ในชีต Cards"))</f>
        <v/>
      </c>
      <c r="D6" s="68" t="str">
        <f>IF(TRIM($B6)="","",IFERROR(INDEX(Cards!$M$4:$M$1000,MATCH($B6,Cards!$A$4:$A$1000,0))&amp;"","-"))</f>
        <v/>
      </c>
    </row>
    <row r="7" spans="1:10" x14ac:dyDescent="0.3">
      <c r="C7" s="68" t="str">
        <f>IF(TRIM($B7)="","",IFERROR(HYPERLINK("#'Cards'!A"&amp;(MATCH($B7,Cards!$A$4:$A$1000,0)+3),INDEX(Cards!$B$4:$B$1000,MATCH($B7,Cards!$A$4:$A$1000,0))),"ไม่พบ Card ID ในชีต Cards"))</f>
        <v/>
      </c>
      <c r="D7" s="68" t="str">
        <f>IF(TRIM($B7)="","",IFERROR(INDEX(Cards!$M$4:$M$1000,MATCH($B7,Cards!$A$4:$A$1000,0))&amp;"","-"))</f>
        <v/>
      </c>
    </row>
    <row r="8" spans="1:10" x14ac:dyDescent="0.3">
      <c r="C8" s="68" t="str">
        <f>IF(TRIM($B8)="","",IFERROR(HYPERLINK("#'Cards'!A"&amp;(MATCH($B8,Cards!$A$4:$A$1000,0)+3),INDEX(Cards!$B$4:$B$1000,MATCH($B8,Cards!$A$4:$A$1000,0))),"ไม่พบ Card ID ในชีต Cards"))</f>
        <v/>
      </c>
      <c r="D8" s="68" t="str">
        <f>IF(TRIM($B8)="","",IFERROR(INDEX(Cards!$M$4:$M$1000,MATCH($B8,Cards!$A$4:$A$1000,0))&amp;"","-"))</f>
        <v/>
      </c>
    </row>
    <row r="9" spans="1:10" x14ac:dyDescent="0.3">
      <c r="C9" s="68" t="str">
        <f>IF(TRIM($B9)="","",IFERROR(HYPERLINK("#'Cards'!A"&amp;(MATCH($B9,Cards!$A$4:$A$1000,0)+3),INDEX(Cards!$B$4:$B$1000,MATCH($B9,Cards!$A$4:$A$1000,0))),"ไม่พบ Card ID ในชีต Cards"))</f>
        <v/>
      </c>
      <c r="D9" s="68" t="str">
        <f>IF(TRIM($B9)="","",IFERROR(INDEX(Cards!$M$4:$M$1000,MATCH($B9,Cards!$A$4:$A$1000,0))&amp;"","-"))</f>
        <v/>
      </c>
    </row>
    <row r="10" spans="1:10" x14ac:dyDescent="0.3">
      <c r="C10" s="68" t="str">
        <f>IF(TRIM($B10)="","",IFERROR(HYPERLINK("#'Cards'!A"&amp;(MATCH($B10,Cards!$A$4:$A$1000,0)+3),INDEX(Cards!$B$4:$B$1000,MATCH($B10,Cards!$A$4:$A$1000,0))),"ไม่พบ Card ID ในชีต Cards"))</f>
        <v/>
      </c>
      <c r="D10" s="68" t="str">
        <f>IF(TRIM($B10)="","",IFERROR(INDEX(Cards!$M$4:$M$1000,MATCH($B10,Cards!$A$4:$A$1000,0))&amp;"","-"))</f>
        <v/>
      </c>
    </row>
    <row r="11" spans="1:10" x14ac:dyDescent="0.3">
      <c r="C11" s="68" t="str">
        <f>IF(TRIM($B11)="","",IFERROR(HYPERLINK("#'Cards'!A"&amp;(MATCH($B11,Cards!$A$4:$A$1000,0)+3),INDEX(Cards!$B$4:$B$1000,MATCH($B11,Cards!$A$4:$A$1000,0))),"ไม่พบ Card ID ในชีต Cards"))</f>
        <v/>
      </c>
      <c r="D11" s="68" t="str">
        <f>IF(TRIM($B11)="","",IFERROR(INDEX(Cards!$M$4:$M$1000,MATCH($B11,Cards!$A$4:$A$1000,0))&amp;"","-"))</f>
        <v/>
      </c>
    </row>
    <row r="12" spans="1:10" x14ac:dyDescent="0.3">
      <c r="C12" s="68" t="str">
        <f>IF(TRIM($B12)="","",IFERROR(HYPERLINK("#'Cards'!A"&amp;(MATCH($B12,Cards!$A$4:$A$1000,0)+3),INDEX(Cards!$B$4:$B$1000,MATCH($B12,Cards!$A$4:$A$1000,0))),"ไม่พบ Card ID ในชีต Cards"))</f>
        <v/>
      </c>
      <c r="D12" s="68" t="str">
        <f>IF(TRIM($B12)="","",IFERROR(INDEX(Cards!$M$4:$M$1000,MATCH($B12,Cards!$A$4:$A$1000,0))&amp;"","-"))</f>
        <v/>
      </c>
    </row>
    <row r="13" spans="1:10" x14ac:dyDescent="0.3">
      <c r="C13" s="68" t="str">
        <f>IF(TRIM($B13)="","",IFERROR(HYPERLINK("#'Cards'!A"&amp;(MATCH($B13,Cards!$A$4:$A$1000,0)+3),INDEX(Cards!$B$4:$B$1000,MATCH($B13,Cards!$A$4:$A$1000,0))),"ไม่พบ Card ID ในชีต Cards"))</f>
        <v/>
      </c>
      <c r="D13" s="68" t="str">
        <f>IF(TRIM($B13)="","",IFERROR(INDEX(Cards!$M$4:$M$1000,MATCH($B13,Cards!$A$4:$A$1000,0))&amp;"","-"))</f>
        <v/>
      </c>
    </row>
    <row r="14" spans="1:10" x14ac:dyDescent="0.3">
      <c r="C14" s="68" t="str">
        <f>IF(TRIM($B14)="","",IFERROR(HYPERLINK("#'Cards'!A"&amp;(MATCH($B14,Cards!$A$4:$A$1000,0)+3),INDEX(Cards!$B$4:$B$1000,MATCH($B14,Cards!$A$4:$A$1000,0))),"ไม่พบ Card ID ในชีต Cards"))</f>
        <v/>
      </c>
      <c r="D14" s="68" t="str">
        <f>IF(TRIM($B14)="","",IFERROR(INDEX(Cards!$M$4:$M$1000,MATCH($B14,Cards!$A$4:$A$1000,0))&amp;"","-"))</f>
        <v/>
      </c>
    </row>
    <row r="15" spans="1:10" x14ac:dyDescent="0.3">
      <c r="C15" s="68" t="str">
        <f>IF(TRIM($B15)="","",IFERROR(HYPERLINK("#'Cards'!A"&amp;(MATCH($B15,Cards!$A$4:$A$1000,0)+3),INDEX(Cards!$B$4:$B$1000,MATCH($B15,Cards!$A$4:$A$1000,0))),"ไม่พบ Card ID ในชีต Cards"))</f>
        <v/>
      </c>
      <c r="D15" s="68" t="str">
        <f>IF(TRIM($B15)="","",IFERROR(INDEX(Cards!$M$4:$M$1000,MATCH($B15,Cards!$A$4:$A$1000,0))&amp;"","-"))</f>
        <v/>
      </c>
    </row>
    <row r="16" spans="1:10" x14ac:dyDescent="0.3">
      <c r="C16" s="68" t="str">
        <f>IF(TRIM($B16)="","",IFERROR(HYPERLINK("#'Cards'!A"&amp;(MATCH($B16,Cards!$A$4:$A$1000,0)+3),INDEX(Cards!$B$4:$B$1000,MATCH($B16,Cards!$A$4:$A$1000,0))),"ไม่พบ Card ID ในชีต Cards"))</f>
        <v/>
      </c>
      <c r="D16" s="68" t="str">
        <f>IF(TRIM($B16)="","",IFERROR(INDEX(Cards!$M$4:$M$1000,MATCH($B16,Cards!$A$4:$A$1000,0))&amp;"","-"))</f>
        <v/>
      </c>
    </row>
    <row r="17" spans="3:4" x14ac:dyDescent="0.3">
      <c r="C17" s="68" t="str">
        <f>IF(TRIM($B17)="","",IFERROR(HYPERLINK("#'Cards'!A"&amp;(MATCH($B17,Cards!$A$4:$A$1000,0)+3),INDEX(Cards!$B$4:$B$1000,MATCH($B17,Cards!$A$4:$A$1000,0))),"ไม่พบ Card ID ในชีต Cards"))</f>
        <v/>
      </c>
      <c r="D17" s="68" t="str">
        <f>IF(TRIM($B17)="","",IFERROR(INDEX(Cards!$M$4:$M$1000,MATCH($B17,Cards!$A$4:$A$1000,0))&amp;"","-"))</f>
        <v/>
      </c>
    </row>
    <row r="18" spans="3:4" x14ac:dyDescent="0.3">
      <c r="C18" s="68" t="str">
        <f>IF(TRIM($B18)="","",IFERROR(HYPERLINK("#'Cards'!A"&amp;(MATCH($B18,Cards!$A$4:$A$1000,0)+3),INDEX(Cards!$B$4:$B$1000,MATCH($B18,Cards!$A$4:$A$1000,0))),"ไม่พบ Card ID ในชีต Cards"))</f>
        <v/>
      </c>
      <c r="D18" s="68" t="str">
        <f>IF(TRIM($B18)="","",IFERROR(INDEX(Cards!$M$4:$M$1000,MATCH($B18,Cards!$A$4:$A$1000,0))&amp;"","-"))</f>
        <v/>
      </c>
    </row>
    <row r="19" spans="3:4" x14ac:dyDescent="0.3">
      <c r="C19" s="68" t="str">
        <f>IF(TRIM($B19)="","",IFERROR(HYPERLINK("#'Cards'!A"&amp;(MATCH($B19,Cards!$A$4:$A$1000,0)+3),INDEX(Cards!$B$4:$B$1000,MATCH($B19,Cards!$A$4:$A$1000,0))),"ไม่พบ Card ID ในชีต Cards"))</f>
        <v/>
      </c>
      <c r="D19" s="68" t="str">
        <f>IF(TRIM($B19)="","",IFERROR(INDEX(Cards!$M$4:$M$1000,MATCH($B19,Cards!$A$4:$A$1000,0))&amp;"","-"))</f>
        <v/>
      </c>
    </row>
    <row r="20" spans="3:4" x14ac:dyDescent="0.3">
      <c r="C20" s="68" t="str">
        <f>IF(TRIM($B20)="","",IFERROR(HYPERLINK("#'Cards'!A"&amp;(MATCH($B20,Cards!$A$4:$A$1000,0)+3),INDEX(Cards!$B$4:$B$1000,MATCH($B20,Cards!$A$4:$A$1000,0))),"ไม่พบ Card ID ในชีต Cards"))</f>
        <v/>
      </c>
      <c r="D20" s="68" t="str">
        <f>IF(TRIM($B20)="","",IFERROR(INDEX(Cards!$M$4:$M$1000,MATCH($B20,Cards!$A$4:$A$1000,0))&amp;"","-"))</f>
        <v/>
      </c>
    </row>
    <row r="21" spans="3:4" x14ac:dyDescent="0.3">
      <c r="C21" s="68" t="str">
        <f>IF(TRIM($B21)="","",IFERROR(HYPERLINK("#'Cards'!A"&amp;(MATCH($B21,Cards!$A$4:$A$1000,0)+3),INDEX(Cards!$B$4:$B$1000,MATCH($B21,Cards!$A$4:$A$1000,0))),"ไม่พบ Card ID ในชีต Cards"))</f>
        <v/>
      </c>
      <c r="D21" s="68" t="str">
        <f>IF(TRIM($B21)="","",IFERROR(INDEX(Cards!$M$4:$M$1000,MATCH($B21,Cards!$A$4:$A$1000,0))&amp;"","-"))</f>
        <v/>
      </c>
    </row>
    <row r="22" spans="3:4" x14ac:dyDescent="0.3">
      <c r="C22" s="68" t="str">
        <f>IF(TRIM($B22)="","",IFERROR(HYPERLINK("#'Cards'!A"&amp;(MATCH($B22,Cards!$A$4:$A$1000,0)+3),INDEX(Cards!$B$4:$B$1000,MATCH($B22,Cards!$A$4:$A$1000,0))),"ไม่พบ Card ID ในชีต Cards"))</f>
        <v/>
      </c>
      <c r="D22" s="68" t="str">
        <f>IF(TRIM($B22)="","",IFERROR(INDEX(Cards!$M$4:$M$1000,MATCH($B22,Cards!$A$4:$A$1000,0))&amp;"","-"))</f>
        <v/>
      </c>
    </row>
    <row r="23" spans="3:4" x14ac:dyDescent="0.3">
      <c r="C23" s="68" t="str">
        <f>IF(TRIM($B23)="","",IFERROR(HYPERLINK("#'Cards'!A"&amp;(MATCH($B23,Cards!$A$4:$A$1000,0)+3),INDEX(Cards!$B$4:$B$1000,MATCH($B23,Cards!$A$4:$A$1000,0))),"ไม่พบ Card ID ในชีต Cards"))</f>
        <v/>
      </c>
      <c r="D23" s="68" t="str">
        <f>IF(TRIM($B23)="","",IFERROR(INDEX(Cards!$M$4:$M$1000,MATCH($B23,Cards!$A$4:$A$1000,0))&amp;"","-"))</f>
        <v/>
      </c>
    </row>
    <row r="24" spans="3:4" x14ac:dyDescent="0.3">
      <c r="C24" s="68" t="str">
        <f>IF(TRIM($B24)="","",IFERROR(HYPERLINK("#'Cards'!A"&amp;(MATCH($B24,Cards!$A$4:$A$1000,0)+3),INDEX(Cards!$B$4:$B$1000,MATCH($B24,Cards!$A$4:$A$1000,0))),"ไม่พบ Card ID ในชีต Cards"))</f>
        <v/>
      </c>
      <c r="D24" s="68" t="str">
        <f>IF(TRIM($B24)="","",IFERROR(INDEX(Cards!$M$4:$M$1000,MATCH($B24,Cards!$A$4:$A$1000,0))&amp;"","-"))</f>
        <v/>
      </c>
    </row>
    <row r="25" spans="3:4" x14ac:dyDescent="0.3">
      <c r="C25" s="68" t="str">
        <f>IF(TRIM($B25)="","",IFERROR(HYPERLINK("#'Cards'!A"&amp;(MATCH($B25,Cards!$A$4:$A$1000,0)+3),INDEX(Cards!$B$4:$B$1000,MATCH($B25,Cards!$A$4:$A$1000,0))),"ไม่พบ Card ID ในชีต Cards"))</f>
        <v/>
      </c>
      <c r="D25" s="68" t="str">
        <f>IF(TRIM($B25)="","",IFERROR(INDEX(Cards!$M$4:$M$1000,MATCH($B25,Cards!$A$4:$A$1000,0))&amp;"","-"))</f>
        <v/>
      </c>
    </row>
    <row r="26" spans="3:4" x14ac:dyDescent="0.3">
      <c r="C26" s="68" t="str">
        <f>IF(TRIM($B26)="","",IFERROR(HYPERLINK("#'Cards'!A"&amp;(MATCH($B26,Cards!$A$4:$A$1000,0)+3),INDEX(Cards!$B$4:$B$1000,MATCH($B26,Cards!$A$4:$A$1000,0))),"ไม่พบ Card ID ในชีต Cards"))</f>
        <v/>
      </c>
      <c r="D26" s="68" t="str">
        <f>IF(TRIM($B26)="","",IFERROR(INDEX(Cards!$M$4:$M$1000,MATCH($B26,Cards!$A$4:$A$1000,0))&amp;"","-"))</f>
        <v/>
      </c>
    </row>
    <row r="27" spans="3:4" x14ac:dyDescent="0.3">
      <c r="C27" s="68" t="str">
        <f>IF(TRIM($B27)="","",IFERROR(HYPERLINK("#'Cards'!A"&amp;(MATCH($B27,Cards!$A$4:$A$1000,0)+3),INDEX(Cards!$B$4:$B$1000,MATCH($B27,Cards!$A$4:$A$1000,0))),"ไม่พบ Card ID ในชีต Cards"))</f>
        <v/>
      </c>
      <c r="D27" s="68" t="str">
        <f>IF(TRIM($B27)="","",IFERROR(INDEX(Cards!$M$4:$M$1000,MATCH($B27,Cards!$A$4:$A$1000,0))&amp;"","-"))</f>
        <v/>
      </c>
    </row>
    <row r="28" spans="3:4" x14ac:dyDescent="0.3">
      <c r="C28" s="68" t="str">
        <f>IF(TRIM($B28)="","",IFERROR(HYPERLINK("#'Cards'!A"&amp;(MATCH($B28,Cards!$A$4:$A$1000,0)+3),INDEX(Cards!$B$4:$B$1000,MATCH($B28,Cards!$A$4:$A$1000,0))),"ไม่พบ Card ID ในชีต Cards"))</f>
        <v/>
      </c>
      <c r="D28" s="68" t="str">
        <f>IF(TRIM($B28)="","",IFERROR(INDEX(Cards!$M$4:$M$1000,MATCH($B28,Cards!$A$4:$A$1000,0))&amp;"","-"))</f>
        <v/>
      </c>
    </row>
    <row r="29" spans="3:4" x14ac:dyDescent="0.3">
      <c r="C29" s="68" t="str">
        <f>IF(TRIM($B29)="","",IFERROR(HYPERLINK("#'Cards'!A"&amp;(MATCH($B29,Cards!$A$4:$A$1000,0)+3),INDEX(Cards!$B$4:$B$1000,MATCH($B29,Cards!$A$4:$A$1000,0))),"ไม่พบ Card ID ในชีต Cards"))</f>
        <v/>
      </c>
      <c r="D29" s="68" t="str">
        <f>IF(TRIM($B29)="","",IFERROR(INDEX(Cards!$M$4:$M$1000,MATCH($B29,Cards!$A$4:$A$1000,0))&amp;"","-"))</f>
        <v/>
      </c>
    </row>
    <row r="30" spans="3:4" x14ac:dyDescent="0.3">
      <c r="C30" s="68" t="str">
        <f>IF(TRIM($B30)="","",IFERROR(HYPERLINK("#'Cards'!A"&amp;(MATCH($B30,Cards!$A$4:$A$1000,0)+3),INDEX(Cards!$B$4:$B$1000,MATCH($B30,Cards!$A$4:$A$1000,0))),"ไม่พบ Card ID ในชีต Cards"))</f>
        <v/>
      </c>
      <c r="D30" s="68" t="str">
        <f>IF(TRIM($B30)="","",IFERROR(INDEX(Cards!$M$4:$M$1000,MATCH($B30,Cards!$A$4:$A$1000,0))&amp;"","-"))</f>
        <v/>
      </c>
    </row>
    <row r="31" spans="3:4" x14ac:dyDescent="0.3">
      <c r="C31" s="68" t="str">
        <f>IF(TRIM($B31)="","",IFERROR(HYPERLINK("#'Cards'!A"&amp;(MATCH($B31,Cards!$A$4:$A$1000,0)+3),INDEX(Cards!$B$4:$B$1000,MATCH($B31,Cards!$A$4:$A$1000,0))),"ไม่พบ Card ID ในชีต Cards"))</f>
        <v/>
      </c>
      <c r="D31" s="68" t="str">
        <f>IF(TRIM($B31)="","",IFERROR(INDEX(Cards!$M$4:$M$1000,MATCH($B31,Cards!$A$4:$A$1000,0))&amp;"","-"))</f>
        <v/>
      </c>
    </row>
    <row r="32" spans="3:4" x14ac:dyDescent="0.3">
      <c r="C32" s="68" t="str">
        <f>IF(TRIM($B32)="","",IFERROR(HYPERLINK("#'Cards'!A"&amp;(MATCH($B32,Cards!$A$4:$A$1000,0)+3),INDEX(Cards!$B$4:$B$1000,MATCH($B32,Cards!$A$4:$A$1000,0))),"ไม่พบ Card ID ในชีต Cards"))</f>
        <v/>
      </c>
      <c r="D32" s="68" t="str">
        <f>IF(TRIM($B32)="","",IFERROR(INDEX(Cards!$M$4:$M$1000,MATCH($B32,Cards!$A$4:$A$1000,0))&amp;"","-"))</f>
        <v/>
      </c>
    </row>
    <row r="33" spans="3:4" x14ac:dyDescent="0.3">
      <c r="C33" s="68" t="str">
        <f>IF(TRIM($B33)="","",IFERROR(HYPERLINK("#'Cards'!A"&amp;(MATCH($B33,Cards!$A$4:$A$1000,0)+3),INDEX(Cards!$B$4:$B$1000,MATCH($B33,Cards!$A$4:$A$1000,0))),"ไม่พบ Card ID ในชีต Cards"))</f>
        <v/>
      </c>
      <c r="D33" s="68" t="str">
        <f>IF(TRIM($B33)="","",IFERROR(INDEX(Cards!$M$4:$M$1000,MATCH($B33,Cards!$A$4:$A$1000,0))&amp;"","-"))</f>
        <v/>
      </c>
    </row>
    <row r="34" spans="3:4" x14ac:dyDescent="0.3">
      <c r="C34" s="68" t="str">
        <f>IF(TRIM($B34)="","",IFERROR(HYPERLINK("#'Cards'!A"&amp;(MATCH($B34,Cards!$A$4:$A$1000,0)+3),INDEX(Cards!$B$4:$B$1000,MATCH($B34,Cards!$A$4:$A$1000,0))),"ไม่พบ Card ID ในชีต Cards"))</f>
        <v/>
      </c>
      <c r="D34" s="68" t="str">
        <f>IF(TRIM($B34)="","",IFERROR(INDEX(Cards!$M$4:$M$1000,MATCH($B34,Cards!$A$4:$A$1000,0))&amp;"","-"))</f>
        <v/>
      </c>
    </row>
    <row r="35" spans="3:4" x14ac:dyDescent="0.3">
      <c r="C35" s="68" t="str">
        <f>IF(TRIM($B35)="","",IFERROR(HYPERLINK("#'Cards'!A"&amp;(MATCH($B35,Cards!$A$4:$A$1000,0)+3),INDEX(Cards!$B$4:$B$1000,MATCH($B35,Cards!$A$4:$A$1000,0))),"ไม่พบ Card ID ในชีต Cards"))</f>
        <v/>
      </c>
      <c r="D35" s="68" t="str">
        <f>IF(TRIM($B35)="","",IFERROR(INDEX(Cards!$M$4:$M$1000,MATCH($B35,Cards!$A$4:$A$1000,0))&amp;"","-"))</f>
        <v/>
      </c>
    </row>
    <row r="36" spans="3:4" x14ac:dyDescent="0.3">
      <c r="C36" s="68" t="str">
        <f>IF(TRIM($B36)="","",IFERROR(HYPERLINK("#'Cards'!A"&amp;(MATCH($B36,Cards!$A$4:$A$1000,0)+3),INDEX(Cards!$B$4:$B$1000,MATCH($B36,Cards!$A$4:$A$1000,0))),"ไม่พบ Card ID ในชีต Cards"))</f>
        <v/>
      </c>
      <c r="D36" s="68" t="str">
        <f>IF(TRIM($B36)="","",IFERROR(INDEX(Cards!$M$4:$M$1000,MATCH($B36,Cards!$A$4:$A$1000,0))&amp;"","-"))</f>
        <v/>
      </c>
    </row>
    <row r="37" spans="3:4" x14ac:dyDescent="0.3">
      <c r="C37" s="68" t="str">
        <f>IF(TRIM($B37)="","",IFERROR(HYPERLINK("#'Cards'!A"&amp;(MATCH($B37,Cards!$A$4:$A$1000,0)+3),INDEX(Cards!$B$4:$B$1000,MATCH($B37,Cards!$A$4:$A$1000,0))),"ไม่พบ Card ID ในชีต Cards"))</f>
        <v/>
      </c>
      <c r="D37" s="68" t="str">
        <f>IF(TRIM($B37)="","",IFERROR(INDEX(Cards!$M$4:$M$1000,MATCH($B37,Cards!$A$4:$A$1000,0))&amp;"","-"))</f>
        <v/>
      </c>
    </row>
    <row r="38" spans="3:4" x14ac:dyDescent="0.3">
      <c r="C38" s="68" t="str">
        <f>IF(TRIM($B38)="","",IFERROR(HYPERLINK("#'Cards'!A"&amp;(MATCH($B38,Cards!$A$4:$A$1000,0)+3),INDEX(Cards!$B$4:$B$1000,MATCH($B38,Cards!$A$4:$A$1000,0))),"ไม่พบ Card ID ในชีต Cards"))</f>
        <v/>
      </c>
      <c r="D38" s="68" t="str">
        <f>IF(TRIM($B38)="","",IFERROR(INDEX(Cards!$M$4:$M$1000,MATCH($B38,Cards!$A$4:$A$1000,0))&amp;"","-"))</f>
        <v/>
      </c>
    </row>
    <row r="39" spans="3:4" x14ac:dyDescent="0.3">
      <c r="C39" s="68" t="str">
        <f>IF(TRIM($B39)="","",IFERROR(HYPERLINK("#'Cards'!A"&amp;(MATCH($B39,Cards!$A$4:$A$1000,0)+3),INDEX(Cards!$B$4:$B$1000,MATCH($B39,Cards!$A$4:$A$1000,0))),"ไม่พบ Card ID ในชีต Cards"))</f>
        <v/>
      </c>
      <c r="D39" s="68" t="str">
        <f>IF(TRIM($B39)="","",IFERROR(INDEX(Cards!$M$4:$M$1000,MATCH($B39,Cards!$A$4:$A$1000,0))&amp;"","-"))</f>
        <v/>
      </c>
    </row>
    <row r="40" spans="3:4" x14ac:dyDescent="0.3">
      <c r="C40" s="68" t="str">
        <f>IF(TRIM($B40)="","",IFERROR(HYPERLINK("#'Cards'!A"&amp;(MATCH($B40,Cards!$A$4:$A$1000,0)+3),INDEX(Cards!$B$4:$B$1000,MATCH($B40,Cards!$A$4:$A$1000,0))),"ไม่พบ Card ID ในชีต Cards"))</f>
        <v/>
      </c>
      <c r="D40" s="68" t="str">
        <f>IF(TRIM($B40)="","",IFERROR(INDEX(Cards!$M$4:$M$1000,MATCH($B40,Cards!$A$4:$A$1000,0))&amp;"","-"))</f>
        <v/>
      </c>
    </row>
    <row r="41" spans="3:4" x14ac:dyDescent="0.3">
      <c r="C41" s="68" t="str">
        <f>IF(TRIM($B41)="","",IFERROR(HYPERLINK("#'Cards'!A"&amp;(MATCH($B41,Cards!$A$4:$A$1000,0)+3),INDEX(Cards!$B$4:$B$1000,MATCH($B41,Cards!$A$4:$A$1000,0))),"ไม่พบ Card ID ในชีต Cards"))</f>
        <v/>
      </c>
      <c r="D41" s="68" t="str">
        <f>IF(TRIM($B41)="","",IFERROR(INDEX(Cards!$M$4:$M$1000,MATCH($B41,Cards!$A$4:$A$1000,0))&amp;"","-"))</f>
        <v/>
      </c>
    </row>
    <row r="42" spans="3:4" x14ac:dyDescent="0.3">
      <c r="C42" s="68" t="str">
        <f>IF(TRIM($B42)="","",IFERROR(HYPERLINK("#'Cards'!A"&amp;(MATCH($B42,Cards!$A$4:$A$1000,0)+3),INDEX(Cards!$B$4:$B$1000,MATCH($B42,Cards!$A$4:$A$1000,0))),"ไม่พบ Card ID ในชีต Cards"))</f>
        <v/>
      </c>
      <c r="D42" s="68" t="str">
        <f>IF(TRIM($B42)="","",IFERROR(INDEX(Cards!$M$4:$M$1000,MATCH($B42,Cards!$A$4:$A$1000,0))&amp;"","-"))</f>
        <v/>
      </c>
    </row>
    <row r="43" spans="3:4" x14ac:dyDescent="0.3">
      <c r="C43" s="68" t="str">
        <f>IF(TRIM($B43)="","",IFERROR(HYPERLINK("#'Cards'!A"&amp;(MATCH($B43,Cards!$A$4:$A$1000,0)+3),INDEX(Cards!$B$4:$B$1000,MATCH($B43,Cards!$A$4:$A$1000,0))),"ไม่พบ Card ID ในชีต Cards"))</f>
        <v/>
      </c>
      <c r="D43" s="68" t="str">
        <f>IF(TRIM($B43)="","",IFERROR(INDEX(Cards!$M$4:$M$1000,MATCH($B43,Cards!$A$4:$A$1000,0))&amp;"","-"))</f>
        <v/>
      </c>
    </row>
    <row r="44" spans="3:4" x14ac:dyDescent="0.3">
      <c r="C44" s="68" t="str">
        <f>IF(TRIM($B44)="","",IFERROR(HYPERLINK("#'Cards'!A"&amp;(MATCH($B44,Cards!$A$4:$A$1000,0)+3),INDEX(Cards!$B$4:$B$1000,MATCH($B44,Cards!$A$4:$A$1000,0))),"ไม่พบ Card ID ในชีต Cards"))</f>
        <v/>
      </c>
      <c r="D44" s="68" t="str">
        <f>IF(TRIM($B44)="","",IFERROR(INDEX(Cards!$M$4:$M$1000,MATCH($B44,Cards!$A$4:$A$1000,0))&amp;"","-"))</f>
        <v/>
      </c>
    </row>
    <row r="45" spans="3:4" x14ac:dyDescent="0.3">
      <c r="C45" s="68" t="str">
        <f>IF(TRIM($B45)="","",IFERROR(HYPERLINK("#'Cards'!A"&amp;(MATCH($B45,Cards!$A$4:$A$1000,0)+3),INDEX(Cards!$B$4:$B$1000,MATCH($B45,Cards!$A$4:$A$1000,0))),"ไม่พบ Card ID ในชีต Cards"))</f>
        <v/>
      </c>
      <c r="D45" s="68" t="str">
        <f>IF(TRIM($B45)="","",IFERROR(INDEX(Cards!$M$4:$M$1000,MATCH($B45,Cards!$A$4:$A$1000,0))&amp;"","-"))</f>
        <v/>
      </c>
    </row>
    <row r="46" spans="3:4" x14ac:dyDescent="0.3">
      <c r="C46" s="68" t="str">
        <f>IF(TRIM($B46)="","",IFERROR(HYPERLINK("#'Cards'!A"&amp;(MATCH($B46,Cards!$A$4:$A$1000,0)+3),INDEX(Cards!$B$4:$B$1000,MATCH($B46,Cards!$A$4:$A$1000,0))),"ไม่พบ Card ID ในชีต Cards"))</f>
        <v/>
      </c>
      <c r="D46" s="68" t="str">
        <f>IF(TRIM($B46)="","",IFERROR(INDEX(Cards!$M$4:$M$1000,MATCH($B46,Cards!$A$4:$A$1000,0))&amp;"","-"))</f>
        <v/>
      </c>
    </row>
    <row r="47" spans="3:4" x14ac:dyDescent="0.3">
      <c r="C47" s="68" t="str">
        <f>IF(TRIM($B47)="","",IFERROR(HYPERLINK("#'Cards'!A"&amp;(MATCH($B47,Cards!$A$4:$A$1000,0)+3),INDEX(Cards!$B$4:$B$1000,MATCH($B47,Cards!$A$4:$A$1000,0))),"ไม่พบ Card ID ในชีต Cards"))</f>
        <v/>
      </c>
      <c r="D47" s="68" t="str">
        <f>IF(TRIM($B47)="","",IFERROR(INDEX(Cards!$M$4:$M$1000,MATCH($B47,Cards!$A$4:$A$1000,0))&amp;"","-"))</f>
        <v/>
      </c>
    </row>
    <row r="48" spans="3:4" x14ac:dyDescent="0.3">
      <c r="C48" s="68" t="str">
        <f>IF(TRIM($B48)="","",IFERROR(HYPERLINK("#'Cards'!A"&amp;(MATCH($B48,Cards!$A$4:$A$1000,0)+3),INDEX(Cards!$B$4:$B$1000,MATCH($B48,Cards!$A$4:$A$1000,0))),"ไม่พบ Card ID ในชีต Cards"))</f>
        <v/>
      </c>
      <c r="D48" s="68" t="str">
        <f>IF(TRIM($B48)="","",IFERROR(INDEX(Cards!$M$4:$M$1000,MATCH($B48,Cards!$A$4:$A$1000,0))&amp;"","-"))</f>
        <v/>
      </c>
    </row>
    <row r="49" spans="3:4" x14ac:dyDescent="0.3">
      <c r="C49" s="68" t="str">
        <f>IF(TRIM($B49)="","",IFERROR(HYPERLINK("#'Cards'!A"&amp;(MATCH($B49,Cards!$A$4:$A$1000,0)+3),INDEX(Cards!$B$4:$B$1000,MATCH($B49,Cards!$A$4:$A$1000,0))),"ไม่พบ Card ID ในชีต Cards"))</f>
        <v/>
      </c>
      <c r="D49" s="68" t="str">
        <f>IF(TRIM($B49)="","",IFERROR(INDEX(Cards!$M$4:$M$1000,MATCH($B49,Cards!$A$4:$A$1000,0))&amp;"","-"))</f>
        <v/>
      </c>
    </row>
    <row r="50" spans="3:4" x14ac:dyDescent="0.3">
      <c r="C50" s="68" t="str">
        <f>IF(TRIM($B50)="","",IFERROR(HYPERLINK("#'Cards'!A"&amp;(MATCH($B50,Cards!$A$4:$A$1000,0)+3),INDEX(Cards!$B$4:$B$1000,MATCH($B50,Cards!$A$4:$A$1000,0))),"ไม่พบ Card ID ในชีต Cards"))</f>
        <v/>
      </c>
      <c r="D50" s="68" t="str">
        <f>IF(TRIM($B50)="","",IFERROR(INDEX(Cards!$M$4:$M$1000,MATCH($B50,Cards!$A$4:$A$1000,0))&amp;"","-"))</f>
        <v/>
      </c>
    </row>
    <row r="51" spans="3:4" x14ac:dyDescent="0.3">
      <c r="C51" s="68" t="str">
        <f>IF(TRIM($B51)="","",IFERROR(HYPERLINK("#'Cards'!A"&amp;(MATCH($B51,Cards!$A$4:$A$1000,0)+3),INDEX(Cards!$B$4:$B$1000,MATCH($B51,Cards!$A$4:$A$1000,0))),"ไม่พบ Card ID ในชีต Cards"))</f>
        <v/>
      </c>
      <c r="D51" s="68" t="str">
        <f>IF(TRIM($B51)="","",IFERROR(INDEX(Cards!$M$4:$M$1000,MATCH($B51,Cards!$A$4:$A$1000,0))&amp;"","-"))</f>
        <v/>
      </c>
    </row>
    <row r="52" spans="3:4" x14ac:dyDescent="0.3">
      <c r="C52" s="68" t="str">
        <f>IF(TRIM($B52)="","",IFERROR(HYPERLINK("#'Cards'!A"&amp;(MATCH($B52,Cards!$A$4:$A$1000,0)+3),INDEX(Cards!$B$4:$B$1000,MATCH($B52,Cards!$A$4:$A$1000,0))),"ไม่พบ Card ID ในชีต Cards"))</f>
        <v/>
      </c>
      <c r="D52" s="68" t="str">
        <f>IF(TRIM($B52)="","",IFERROR(INDEX(Cards!$M$4:$M$1000,MATCH($B52,Cards!$A$4:$A$1000,0))&amp;"","-"))</f>
        <v/>
      </c>
    </row>
    <row r="53" spans="3:4" x14ac:dyDescent="0.3">
      <c r="C53" s="68" t="str">
        <f>IF(TRIM($B53)="","",IFERROR(HYPERLINK("#'Cards'!A"&amp;(MATCH($B53,Cards!$A$4:$A$1000,0)+3),INDEX(Cards!$B$4:$B$1000,MATCH($B53,Cards!$A$4:$A$1000,0))),"ไม่พบ Card ID ในชีต Cards"))</f>
        <v/>
      </c>
      <c r="D53" s="68" t="str">
        <f>IF(TRIM($B53)="","",IFERROR(INDEX(Cards!$M$4:$M$1000,MATCH($B53,Cards!$A$4:$A$1000,0))&amp;"","-"))</f>
        <v/>
      </c>
    </row>
    <row r="54" spans="3:4" x14ac:dyDescent="0.3">
      <c r="C54" s="68" t="str">
        <f>IF(TRIM($B54)="","",IFERROR(HYPERLINK("#'Cards'!A"&amp;(MATCH($B54,Cards!$A$4:$A$1000,0)+3),INDEX(Cards!$B$4:$B$1000,MATCH($B54,Cards!$A$4:$A$1000,0))),"ไม่พบ Card ID ในชีต Cards"))</f>
        <v/>
      </c>
      <c r="D54" s="68" t="str">
        <f>IF(TRIM($B54)="","",IFERROR(INDEX(Cards!$M$4:$M$1000,MATCH($B54,Cards!$A$4:$A$1000,0))&amp;"","-"))</f>
        <v/>
      </c>
    </row>
    <row r="55" spans="3:4" x14ac:dyDescent="0.3">
      <c r="C55" s="68" t="str">
        <f>IF(TRIM($B55)="","",IFERROR(HYPERLINK("#'Cards'!A"&amp;(MATCH($B55,Cards!$A$4:$A$1000,0)+3),INDEX(Cards!$B$4:$B$1000,MATCH($B55,Cards!$A$4:$A$1000,0))),"ไม่พบ Card ID ในชีต Cards"))</f>
        <v/>
      </c>
      <c r="D55" s="68" t="str">
        <f>IF(TRIM($B55)="","",IFERROR(INDEX(Cards!$M$4:$M$1000,MATCH($B55,Cards!$A$4:$A$1000,0))&amp;"","-"))</f>
        <v/>
      </c>
    </row>
    <row r="56" spans="3:4" x14ac:dyDescent="0.3">
      <c r="C56" s="68" t="str">
        <f>IF(TRIM($B56)="","",IFERROR(HYPERLINK("#'Cards'!A"&amp;(MATCH($B56,Cards!$A$4:$A$1000,0)+3),INDEX(Cards!$B$4:$B$1000,MATCH($B56,Cards!$A$4:$A$1000,0))),"ไม่พบ Card ID ในชีต Cards"))</f>
        <v/>
      </c>
      <c r="D56" s="68" t="str">
        <f>IF(TRIM($B56)="","",IFERROR(INDEX(Cards!$M$4:$M$1000,MATCH($B56,Cards!$A$4:$A$1000,0))&amp;"","-"))</f>
        <v/>
      </c>
    </row>
    <row r="57" spans="3:4" x14ac:dyDescent="0.3">
      <c r="C57" s="68" t="str">
        <f>IF(TRIM($B57)="","",IFERROR(HYPERLINK("#'Cards'!A"&amp;(MATCH($B57,Cards!$A$4:$A$1000,0)+3),INDEX(Cards!$B$4:$B$1000,MATCH($B57,Cards!$A$4:$A$1000,0))),"ไม่พบ Card ID ในชีต Cards"))</f>
        <v/>
      </c>
      <c r="D57" s="68" t="str">
        <f>IF(TRIM($B57)="","",IFERROR(INDEX(Cards!$M$4:$M$1000,MATCH($B57,Cards!$A$4:$A$1000,0))&amp;"","-"))</f>
        <v/>
      </c>
    </row>
    <row r="58" spans="3:4" x14ac:dyDescent="0.3">
      <c r="C58" s="68" t="str">
        <f>IF(TRIM($B58)="","",IFERROR(HYPERLINK("#'Cards'!A"&amp;(MATCH($B58,Cards!$A$4:$A$1000,0)+3),INDEX(Cards!$B$4:$B$1000,MATCH($B58,Cards!$A$4:$A$1000,0))),"ไม่พบ Card ID ในชีต Cards"))</f>
        <v/>
      </c>
      <c r="D58" s="68" t="str">
        <f>IF(TRIM($B58)="","",IFERROR(INDEX(Cards!$M$4:$M$1000,MATCH($B58,Cards!$A$4:$A$1000,0))&amp;"","-"))</f>
        <v/>
      </c>
    </row>
    <row r="59" spans="3:4" x14ac:dyDescent="0.3">
      <c r="C59" s="68" t="str">
        <f>IF(TRIM($B59)="","",IFERROR(HYPERLINK("#'Cards'!A"&amp;(MATCH($B59,Cards!$A$4:$A$1000,0)+3),INDEX(Cards!$B$4:$B$1000,MATCH($B59,Cards!$A$4:$A$1000,0))),"ไม่พบ Card ID ในชีต Cards"))</f>
        <v/>
      </c>
      <c r="D59" s="68" t="str">
        <f>IF(TRIM($B59)="","",IFERROR(INDEX(Cards!$M$4:$M$1000,MATCH($B59,Cards!$A$4:$A$1000,0))&amp;"","-"))</f>
        <v/>
      </c>
    </row>
    <row r="60" spans="3:4" x14ac:dyDescent="0.3">
      <c r="C60" s="68" t="str">
        <f>IF(TRIM($B60)="","",IFERROR(HYPERLINK("#'Cards'!A"&amp;(MATCH($B60,Cards!$A$4:$A$1000,0)+3),INDEX(Cards!$B$4:$B$1000,MATCH($B60,Cards!$A$4:$A$1000,0))),"ไม่พบ Card ID ในชีต Cards"))</f>
        <v/>
      </c>
      <c r="D60" s="68" t="str">
        <f>IF(TRIM($B60)="","",IFERROR(INDEX(Cards!$M$4:$M$1000,MATCH($B60,Cards!$A$4:$A$1000,0))&amp;"","-"))</f>
        <v/>
      </c>
    </row>
    <row r="61" spans="3:4" x14ac:dyDescent="0.3">
      <c r="C61" s="68" t="str">
        <f>IF(TRIM($B61)="","",IFERROR(HYPERLINK("#'Cards'!A"&amp;(MATCH($B61,Cards!$A$4:$A$1000,0)+3),INDEX(Cards!$B$4:$B$1000,MATCH($B61,Cards!$A$4:$A$1000,0))),"ไม่พบ Card ID ในชีต Cards"))</f>
        <v/>
      </c>
      <c r="D61" s="68" t="str">
        <f>IF(TRIM($B61)="","",IFERROR(INDEX(Cards!$M$4:$M$1000,MATCH($B61,Cards!$A$4:$A$1000,0))&amp;"","-"))</f>
        <v/>
      </c>
    </row>
    <row r="62" spans="3:4" x14ac:dyDescent="0.3">
      <c r="C62" s="68" t="str">
        <f>IF(TRIM($B62)="","",IFERROR(HYPERLINK("#'Cards'!A"&amp;(MATCH($B62,Cards!$A$4:$A$1000,0)+3),INDEX(Cards!$B$4:$B$1000,MATCH($B62,Cards!$A$4:$A$1000,0))),"ไม่พบ Card ID ในชีต Cards"))</f>
        <v/>
      </c>
      <c r="D62" s="68" t="str">
        <f>IF(TRIM($B62)="","",IFERROR(INDEX(Cards!$M$4:$M$1000,MATCH($B62,Cards!$A$4:$A$1000,0))&amp;"","-"))</f>
        <v/>
      </c>
    </row>
    <row r="63" spans="3:4" x14ac:dyDescent="0.3">
      <c r="C63" s="68" t="str">
        <f>IF(TRIM($B63)="","",IFERROR(HYPERLINK("#'Cards'!A"&amp;(MATCH($B63,Cards!$A$4:$A$1000,0)+3),INDEX(Cards!$B$4:$B$1000,MATCH($B63,Cards!$A$4:$A$1000,0))),"ไม่พบ Card ID ในชีต Cards"))</f>
        <v/>
      </c>
      <c r="D63" s="68" t="str">
        <f>IF(TRIM($B63)="","",IFERROR(INDEX(Cards!$M$4:$M$1000,MATCH($B63,Cards!$A$4:$A$1000,0))&amp;"","-"))</f>
        <v/>
      </c>
    </row>
    <row r="64" spans="3:4" x14ac:dyDescent="0.3">
      <c r="C64" s="68" t="str">
        <f>IF(TRIM($B64)="","",IFERROR(HYPERLINK("#'Cards'!A"&amp;(MATCH($B64,Cards!$A$4:$A$1000,0)+3),INDEX(Cards!$B$4:$B$1000,MATCH($B64,Cards!$A$4:$A$1000,0))),"ไม่พบ Card ID ในชีต Cards"))</f>
        <v/>
      </c>
      <c r="D64" s="68" t="str">
        <f>IF(TRIM($B64)="","",IFERROR(INDEX(Cards!$M$4:$M$1000,MATCH($B64,Cards!$A$4:$A$1000,0))&amp;"","-"))</f>
        <v/>
      </c>
    </row>
    <row r="65" spans="3:4" x14ac:dyDescent="0.3">
      <c r="C65" s="68" t="str">
        <f>IF(TRIM($B65)="","",IFERROR(HYPERLINK("#'Cards'!A"&amp;(MATCH($B65,Cards!$A$4:$A$1000,0)+3),INDEX(Cards!$B$4:$B$1000,MATCH($B65,Cards!$A$4:$A$1000,0))),"ไม่พบ Card ID ในชีต Cards"))</f>
        <v/>
      </c>
      <c r="D65" s="68" t="str">
        <f>IF(TRIM($B65)="","",IFERROR(INDEX(Cards!$M$4:$M$1000,MATCH($B65,Cards!$A$4:$A$1000,0))&amp;"","-"))</f>
        <v/>
      </c>
    </row>
    <row r="66" spans="3:4" x14ac:dyDescent="0.3">
      <c r="C66" s="68" t="str">
        <f>IF(TRIM($B66)="","",IFERROR(HYPERLINK("#'Cards'!A"&amp;(MATCH($B66,Cards!$A$4:$A$1000,0)+3),INDEX(Cards!$B$4:$B$1000,MATCH($B66,Cards!$A$4:$A$1000,0))),"ไม่พบ Card ID ในชีต Cards"))</f>
        <v/>
      </c>
      <c r="D66" s="68" t="str">
        <f>IF(TRIM($B66)="","",IFERROR(INDEX(Cards!$M$4:$M$1000,MATCH($B66,Cards!$A$4:$A$1000,0))&amp;"","-"))</f>
        <v/>
      </c>
    </row>
    <row r="67" spans="3:4" x14ac:dyDescent="0.3">
      <c r="C67" s="68" t="str">
        <f>IF(TRIM($B67)="","",IFERROR(HYPERLINK("#'Cards'!A"&amp;(MATCH($B67,Cards!$A$4:$A$1000,0)+3),INDEX(Cards!$B$4:$B$1000,MATCH($B67,Cards!$A$4:$A$1000,0))),"ไม่พบ Card ID ในชีต Cards"))</f>
        <v/>
      </c>
      <c r="D67" s="68" t="str">
        <f>IF(TRIM($B67)="","",IFERROR(INDEX(Cards!$M$4:$M$1000,MATCH($B67,Cards!$A$4:$A$1000,0))&amp;"","-"))</f>
        <v/>
      </c>
    </row>
    <row r="68" spans="3:4" x14ac:dyDescent="0.3">
      <c r="C68" s="68" t="str">
        <f>IF(TRIM($B68)="","",IFERROR(HYPERLINK("#'Cards'!A"&amp;(MATCH($B68,Cards!$A$4:$A$1000,0)+3),INDEX(Cards!$B$4:$B$1000,MATCH($B68,Cards!$A$4:$A$1000,0))),"ไม่พบ Card ID ในชีต Cards"))</f>
        <v/>
      </c>
      <c r="D68" s="68" t="str">
        <f>IF(TRIM($B68)="","",IFERROR(INDEX(Cards!$M$4:$M$1000,MATCH($B68,Cards!$A$4:$A$1000,0))&amp;"","-"))</f>
        <v/>
      </c>
    </row>
    <row r="69" spans="3:4" x14ac:dyDescent="0.3">
      <c r="C69" s="68" t="str">
        <f>IF(TRIM($B69)="","",IFERROR(HYPERLINK("#'Cards'!A"&amp;(MATCH($B69,Cards!$A$4:$A$1000,0)+3),INDEX(Cards!$B$4:$B$1000,MATCH($B69,Cards!$A$4:$A$1000,0))),"ไม่พบ Card ID ในชีต Cards"))</f>
        <v/>
      </c>
      <c r="D69" s="68" t="str">
        <f>IF(TRIM($B69)="","",IFERROR(INDEX(Cards!$M$4:$M$1000,MATCH($B69,Cards!$A$4:$A$1000,0))&amp;"","-"))</f>
        <v/>
      </c>
    </row>
    <row r="70" spans="3:4" x14ac:dyDescent="0.3">
      <c r="C70" s="68" t="str">
        <f>IF(TRIM($B70)="","",IFERROR(HYPERLINK("#'Cards'!A"&amp;(MATCH($B70,Cards!$A$4:$A$1000,0)+3),INDEX(Cards!$B$4:$B$1000,MATCH($B70,Cards!$A$4:$A$1000,0))),"ไม่พบ Card ID ในชีต Cards"))</f>
        <v/>
      </c>
      <c r="D70" s="68" t="str">
        <f>IF(TRIM($B70)="","",IFERROR(INDEX(Cards!$M$4:$M$1000,MATCH($B70,Cards!$A$4:$A$1000,0))&amp;"","-"))</f>
        <v/>
      </c>
    </row>
    <row r="71" spans="3:4" x14ac:dyDescent="0.3">
      <c r="C71" s="68" t="str">
        <f>IF(TRIM($B71)="","",IFERROR(HYPERLINK("#'Cards'!A"&amp;(MATCH($B71,Cards!$A$4:$A$1000,0)+3),INDEX(Cards!$B$4:$B$1000,MATCH($B71,Cards!$A$4:$A$1000,0))),"ไม่พบ Card ID ในชีต Cards"))</f>
        <v/>
      </c>
      <c r="D71" s="68" t="str">
        <f>IF(TRIM($B71)="","",IFERROR(INDEX(Cards!$M$4:$M$1000,MATCH($B71,Cards!$A$4:$A$1000,0))&amp;"","-"))</f>
        <v/>
      </c>
    </row>
    <row r="72" spans="3:4" x14ac:dyDescent="0.3">
      <c r="C72" s="68" t="str">
        <f>IF(TRIM($B72)="","",IFERROR(HYPERLINK("#'Cards'!A"&amp;(MATCH($B72,Cards!$A$4:$A$1000,0)+3),INDEX(Cards!$B$4:$B$1000,MATCH($B72,Cards!$A$4:$A$1000,0))),"ไม่พบ Card ID ในชีต Cards"))</f>
        <v/>
      </c>
      <c r="D72" s="68" t="str">
        <f>IF(TRIM($B72)="","",IFERROR(INDEX(Cards!$M$4:$M$1000,MATCH($B72,Cards!$A$4:$A$1000,0))&amp;"","-"))</f>
        <v/>
      </c>
    </row>
    <row r="73" spans="3:4" x14ac:dyDescent="0.3">
      <c r="C73" s="68" t="str">
        <f>IF(TRIM($B73)="","",IFERROR(HYPERLINK("#'Cards'!A"&amp;(MATCH($B73,Cards!$A$4:$A$1000,0)+3),INDEX(Cards!$B$4:$B$1000,MATCH($B73,Cards!$A$4:$A$1000,0))),"ไม่พบ Card ID ในชีต Cards"))</f>
        <v/>
      </c>
      <c r="D73" s="68" t="str">
        <f>IF(TRIM($B73)="","",IFERROR(INDEX(Cards!$M$4:$M$1000,MATCH($B73,Cards!$A$4:$A$1000,0))&amp;"","-"))</f>
        <v/>
      </c>
    </row>
    <row r="74" spans="3:4" x14ac:dyDescent="0.3">
      <c r="C74" s="68" t="str">
        <f>IF(TRIM($B74)="","",IFERROR(HYPERLINK("#'Cards'!A"&amp;(MATCH($B74,Cards!$A$4:$A$1000,0)+3),INDEX(Cards!$B$4:$B$1000,MATCH($B74,Cards!$A$4:$A$1000,0))),"ไม่พบ Card ID ในชีต Cards"))</f>
        <v/>
      </c>
      <c r="D74" s="68" t="str">
        <f>IF(TRIM($B74)="","",IFERROR(INDEX(Cards!$M$4:$M$1000,MATCH($B74,Cards!$A$4:$A$1000,0))&amp;"","-"))</f>
        <v/>
      </c>
    </row>
    <row r="75" spans="3:4" x14ac:dyDescent="0.3">
      <c r="C75" s="68" t="str">
        <f>IF(TRIM($B75)="","",IFERROR(HYPERLINK("#'Cards'!A"&amp;(MATCH($B75,Cards!$A$4:$A$1000,0)+3),INDEX(Cards!$B$4:$B$1000,MATCH($B75,Cards!$A$4:$A$1000,0))),"ไม่พบ Card ID ในชีต Cards"))</f>
        <v/>
      </c>
      <c r="D75" s="68" t="str">
        <f>IF(TRIM($B75)="","",IFERROR(INDEX(Cards!$M$4:$M$1000,MATCH($B75,Cards!$A$4:$A$1000,0))&amp;"","-"))</f>
        <v/>
      </c>
    </row>
    <row r="76" spans="3:4" x14ac:dyDescent="0.3">
      <c r="C76" s="68" t="str">
        <f>IF(TRIM($B76)="","",IFERROR(HYPERLINK("#'Cards'!A"&amp;(MATCH($B76,Cards!$A$4:$A$1000,0)+3),INDEX(Cards!$B$4:$B$1000,MATCH($B76,Cards!$A$4:$A$1000,0))),"ไม่พบ Card ID ในชีต Cards"))</f>
        <v/>
      </c>
      <c r="D76" s="68" t="str">
        <f>IF(TRIM($B76)="","",IFERROR(INDEX(Cards!$M$4:$M$1000,MATCH($B76,Cards!$A$4:$A$1000,0))&amp;"","-"))</f>
        <v/>
      </c>
    </row>
    <row r="77" spans="3:4" x14ac:dyDescent="0.3">
      <c r="C77" s="68" t="str">
        <f>IF(TRIM($B77)="","",IFERROR(HYPERLINK("#'Cards'!A"&amp;(MATCH($B77,Cards!$A$4:$A$1000,0)+3),INDEX(Cards!$B$4:$B$1000,MATCH($B77,Cards!$A$4:$A$1000,0))),"ไม่พบ Card ID ในชีต Cards"))</f>
        <v/>
      </c>
      <c r="D77" s="68" t="str">
        <f>IF(TRIM($B77)="","",IFERROR(INDEX(Cards!$M$4:$M$1000,MATCH($B77,Cards!$A$4:$A$1000,0))&amp;"","-"))</f>
        <v/>
      </c>
    </row>
    <row r="78" spans="3:4" x14ac:dyDescent="0.3">
      <c r="C78" s="68" t="str">
        <f>IF(TRIM($B78)="","",IFERROR(HYPERLINK("#'Cards'!A"&amp;(MATCH($B78,Cards!$A$4:$A$1000,0)+3),INDEX(Cards!$B$4:$B$1000,MATCH($B78,Cards!$A$4:$A$1000,0))),"ไม่พบ Card ID ในชีต Cards"))</f>
        <v/>
      </c>
      <c r="D78" s="68" t="str">
        <f>IF(TRIM($B78)="","",IFERROR(INDEX(Cards!$M$4:$M$1000,MATCH($B78,Cards!$A$4:$A$1000,0))&amp;"","-"))</f>
        <v/>
      </c>
    </row>
    <row r="79" spans="3:4" x14ac:dyDescent="0.3">
      <c r="C79" s="68" t="str">
        <f>IF(TRIM($B79)="","",IFERROR(HYPERLINK("#'Cards'!A"&amp;(MATCH($B79,Cards!$A$4:$A$1000,0)+3),INDEX(Cards!$B$4:$B$1000,MATCH($B79,Cards!$A$4:$A$1000,0))),"ไม่พบ Card ID ในชีต Cards"))</f>
        <v/>
      </c>
      <c r="D79" s="68" t="str">
        <f>IF(TRIM($B79)="","",IFERROR(INDEX(Cards!$M$4:$M$1000,MATCH($B79,Cards!$A$4:$A$1000,0))&amp;"","-"))</f>
        <v/>
      </c>
    </row>
    <row r="80" spans="3:4" x14ac:dyDescent="0.3">
      <c r="C80" s="68" t="str">
        <f>IF(TRIM($B80)="","",IFERROR(HYPERLINK("#'Cards'!A"&amp;(MATCH($B80,Cards!$A$4:$A$1000,0)+3),INDEX(Cards!$B$4:$B$1000,MATCH($B80,Cards!$A$4:$A$1000,0))),"ไม่พบ Card ID ในชีต Cards"))</f>
        <v/>
      </c>
      <c r="D80" s="68" t="str">
        <f>IF(TRIM($B80)="","",IFERROR(INDEX(Cards!$M$4:$M$1000,MATCH($B80,Cards!$A$4:$A$1000,0))&amp;"","-"))</f>
        <v/>
      </c>
    </row>
    <row r="81" spans="3:4" x14ac:dyDescent="0.3">
      <c r="C81" s="68" t="str">
        <f>IF(TRIM($B81)="","",IFERROR(HYPERLINK("#'Cards'!A"&amp;(MATCH($B81,Cards!$A$4:$A$1000,0)+3),INDEX(Cards!$B$4:$B$1000,MATCH($B81,Cards!$A$4:$A$1000,0))),"ไม่พบ Card ID ในชีต Cards"))</f>
        <v/>
      </c>
      <c r="D81" s="68" t="str">
        <f>IF(TRIM($B81)="","",IFERROR(INDEX(Cards!$M$4:$M$1000,MATCH($B81,Cards!$A$4:$A$1000,0))&amp;"","-"))</f>
        <v/>
      </c>
    </row>
    <row r="82" spans="3:4" x14ac:dyDescent="0.3">
      <c r="C82" s="68" t="str">
        <f>IF(TRIM($B82)="","",IFERROR(HYPERLINK("#'Cards'!A"&amp;(MATCH($B82,Cards!$A$4:$A$1000,0)+3),INDEX(Cards!$B$4:$B$1000,MATCH($B82,Cards!$A$4:$A$1000,0))),"ไม่พบ Card ID ในชีต Cards"))</f>
        <v/>
      </c>
      <c r="D82" s="68" t="str">
        <f>IF(TRIM($B82)="","",IFERROR(INDEX(Cards!$M$4:$M$1000,MATCH($B82,Cards!$A$4:$A$1000,0))&amp;"","-"))</f>
        <v/>
      </c>
    </row>
    <row r="83" spans="3:4" x14ac:dyDescent="0.3">
      <c r="C83" s="68" t="str">
        <f>IF(TRIM($B83)="","",IFERROR(HYPERLINK("#'Cards'!A"&amp;(MATCH($B83,Cards!$A$4:$A$1000,0)+3),INDEX(Cards!$B$4:$B$1000,MATCH($B83,Cards!$A$4:$A$1000,0))),"ไม่พบ Card ID ในชีต Cards"))</f>
        <v/>
      </c>
      <c r="D83" s="68" t="str">
        <f>IF(TRIM($B83)="","",IFERROR(INDEX(Cards!$M$4:$M$1000,MATCH($B83,Cards!$A$4:$A$1000,0))&amp;"","-"))</f>
        <v/>
      </c>
    </row>
    <row r="84" spans="3:4" x14ac:dyDescent="0.3">
      <c r="C84" s="68" t="str">
        <f>IF(TRIM($B84)="","",IFERROR(HYPERLINK("#'Cards'!A"&amp;(MATCH($B84,Cards!$A$4:$A$1000,0)+3),INDEX(Cards!$B$4:$B$1000,MATCH($B84,Cards!$A$4:$A$1000,0))),"ไม่พบ Card ID ในชีต Cards"))</f>
        <v/>
      </c>
      <c r="D84" s="68" t="str">
        <f>IF(TRIM($B84)="","",IFERROR(INDEX(Cards!$M$4:$M$1000,MATCH($B84,Cards!$A$4:$A$1000,0))&amp;"","-"))</f>
        <v/>
      </c>
    </row>
    <row r="85" spans="3:4" x14ac:dyDescent="0.3">
      <c r="C85" s="68" t="str">
        <f>IF(TRIM($B85)="","",IFERROR(HYPERLINK("#'Cards'!A"&amp;(MATCH($B85,Cards!$A$4:$A$1000,0)+3),INDEX(Cards!$B$4:$B$1000,MATCH($B85,Cards!$A$4:$A$1000,0))),"ไม่พบ Card ID ในชีต Cards"))</f>
        <v/>
      </c>
      <c r="D85" s="68" t="str">
        <f>IF(TRIM($B85)="","",IFERROR(INDEX(Cards!$M$4:$M$1000,MATCH($B85,Cards!$A$4:$A$1000,0))&amp;"","-"))</f>
        <v/>
      </c>
    </row>
    <row r="86" spans="3:4" x14ac:dyDescent="0.3">
      <c r="C86" s="68" t="str">
        <f>IF(TRIM($B86)="","",IFERROR(HYPERLINK("#'Cards'!A"&amp;(MATCH($B86,Cards!$A$4:$A$1000,0)+3),INDEX(Cards!$B$4:$B$1000,MATCH($B86,Cards!$A$4:$A$1000,0))),"ไม่พบ Card ID ในชีต Cards"))</f>
        <v/>
      </c>
      <c r="D86" s="68" t="str">
        <f>IF(TRIM($B86)="","",IFERROR(INDEX(Cards!$M$4:$M$1000,MATCH($B86,Cards!$A$4:$A$1000,0))&amp;"","-"))</f>
        <v/>
      </c>
    </row>
    <row r="87" spans="3:4" x14ac:dyDescent="0.3">
      <c r="C87" s="68" t="str">
        <f>IF(TRIM($B87)="","",IFERROR(HYPERLINK("#'Cards'!A"&amp;(MATCH($B87,Cards!$A$4:$A$1000,0)+3),INDEX(Cards!$B$4:$B$1000,MATCH($B87,Cards!$A$4:$A$1000,0))),"ไม่พบ Card ID ในชีต Cards"))</f>
        <v/>
      </c>
      <c r="D87" s="68" t="str">
        <f>IF(TRIM($B87)="","",IFERROR(INDEX(Cards!$M$4:$M$1000,MATCH($B87,Cards!$A$4:$A$1000,0))&amp;"","-"))</f>
        <v/>
      </c>
    </row>
    <row r="88" spans="3:4" x14ac:dyDescent="0.3">
      <c r="C88" s="68" t="str">
        <f>IF(TRIM($B88)="","",IFERROR(HYPERLINK("#'Cards'!A"&amp;(MATCH($B88,Cards!$A$4:$A$1000,0)+3),INDEX(Cards!$B$4:$B$1000,MATCH($B88,Cards!$A$4:$A$1000,0))),"ไม่พบ Card ID ในชีต Cards"))</f>
        <v/>
      </c>
      <c r="D88" s="68" t="str">
        <f>IF(TRIM($B88)="","",IFERROR(INDEX(Cards!$M$4:$M$1000,MATCH($B88,Cards!$A$4:$A$1000,0))&amp;"","-"))</f>
        <v/>
      </c>
    </row>
    <row r="89" spans="3:4" x14ac:dyDescent="0.3">
      <c r="C89" s="68" t="str">
        <f>IF(TRIM($B89)="","",IFERROR(HYPERLINK("#'Cards'!A"&amp;(MATCH($B89,Cards!$A$4:$A$1000,0)+3),INDEX(Cards!$B$4:$B$1000,MATCH($B89,Cards!$A$4:$A$1000,0))),"ไม่พบ Card ID ในชีต Cards"))</f>
        <v/>
      </c>
      <c r="D89" s="68" t="str">
        <f>IF(TRIM($B89)="","",IFERROR(INDEX(Cards!$M$4:$M$1000,MATCH($B89,Cards!$A$4:$A$1000,0))&amp;"","-"))</f>
        <v/>
      </c>
    </row>
    <row r="90" spans="3:4" x14ac:dyDescent="0.3">
      <c r="C90" s="68" t="str">
        <f>IF(TRIM($B90)="","",IFERROR(HYPERLINK("#'Cards'!A"&amp;(MATCH($B90,Cards!$A$4:$A$1000,0)+3),INDEX(Cards!$B$4:$B$1000,MATCH($B90,Cards!$A$4:$A$1000,0))),"ไม่พบ Card ID ในชีต Cards"))</f>
        <v/>
      </c>
      <c r="D90" s="68" t="str">
        <f>IF(TRIM($B90)="","",IFERROR(INDEX(Cards!$M$4:$M$1000,MATCH($B90,Cards!$A$4:$A$1000,0))&amp;"","-"))</f>
        <v/>
      </c>
    </row>
    <row r="91" spans="3:4" x14ac:dyDescent="0.3">
      <c r="C91" s="68" t="str">
        <f>IF(TRIM($B91)="","",IFERROR(HYPERLINK("#'Cards'!A"&amp;(MATCH($B91,Cards!$A$4:$A$1000,0)+3),INDEX(Cards!$B$4:$B$1000,MATCH($B91,Cards!$A$4:$A$1000,0))),"ไม่พบ Card ID ในชีต Cards"))</f>
        <v/>
      </c>
      <c r="D91" s="68" t="str">
        <f>IF(TRIM($B91)="","",IFERROR(INDEX(Cards!$M$4:$M$1000,MATCH($B91,Cards!$A$4:$A$1000,0))&amp;"","-"))</f>
        <v/>
      </c>
    </row>
    <row r="92" spans="3:4" x14ac:dyDescent="0.3">
      <c r="C92" s="68" t="str">
        <f>IF(TRIM($B92)="","",IFERROR(HYPERLINK("#'Cards'!A"&amp;(MATCH($B92,Cards!$A$4:$A$1000,0)+3),INDEX(Cards!$B$4:$B$1000,MATCH($B92,Cards!$A$4:$A$1000,0))),"ไม่พบ Card ID ในชีต Cards"))</f>
        <v/>
      </c>
      <c r="D92" s="68" t="str">
        <f>IF(TRIM($B92)="","",IFERROR(INDEX(Cards!$M$4:$M$1000,MATCH($B92,Cards!$A$4:$A$1000,0))&amp;"","-"))</f>
        <v/>
      </c>
    </row>
    <row r="93" spans="3:4" x14ac:dyDescent="0.3">
      <c r="C93" s="68" t="str">
        <f>IF(TRIM($B93)="","",IFERROR(HYPERLINK("#'Cards'!A"&amp;(MATCH($B93,Cards!$A$4:$A$1000,0)+3),INDEX(Cards!$B$4:$B$1000,MATCH($B93,Cards!$A$4:$A$1000,0))),"ไม่พบ Card ID ในชีต Cards"))</f>
        <v/>
      </c>
      <c r="D93" s="68" t="str">
        <f>IF(TRIM($B93)="","",IFERROR(INDEX(Cards!$M$4:$M$1000,MATCH($B93,Cards!$A$4:$A$1000,0))&amp;"","-"))</f>
        <v/>
      </c>
    </row>
    <row r="94" spans="3:4" x14ac:dyDescent="0.3">
      <c r="C94" s="68" t="str">
        <f>IF(TRIM($B94)="","",IFERROR(HYPERLINK("#'Cards'!A"&amp;(MATCH($B94,Cards!$A$4:$A$1000,0)+3),INDEX(Cards!$B$4:$B$1000,MATCH($B94,Cards!$A$4:$A$1000,0))),"ไม่พบ Card ID ในชีต Cards"))</f>
        <v/>
      </c>
      <c r="D94" s="68" t="str">
        <f>IF(TRIM($B94)="","",IFERROR(INDEX(Cards!$M$4:$M$1000,MATCH($B94,Cards!$A$4:$A$1000,0))&amp;"","-"))</f>
        <v/>
      </c>
    </row>
    <row r="95" spans="3:4" x14ac:dyDescent="0.3">
      <c r="C95" s="68" t="str">
        <f>IF(TRIM($B95)="","",IFERROR(HYPERLINK("#'Cards'!A"&amp;(MATCH($B95,Cards!$A$4:$A$1000,0)+3),INDEX(Cards!$B$4:$B$1000,MATCH($B95,Cards!$A$4:$A$1000,0))),"ไม่พบ Card ID ในชีต Cards"))</f>
        <v/>
      </c>
      <c r="D95" s="68" t="str">
        <f>IF(TRIM($B95)="","",IFERROR(INDEX(Cards!$M$4:$M$1000,MATCH($B95,Cards!$A$4:$A$1000,0))&amp;"","-"))</f>
        <v/>
      </c>
    </row>
    <row r="96" spans="3:4" x14ac:dyDescent="0.3">
      <c r="C96" s="68" t="str">
        <f>IF(TRIM($B96)="","",IFERROR(HYPERLINK("#'Cards'!A"&amp;(MATCH($B96,Cards!$A$4:$A$1000,0)+3),INDEX(Cards!$B$4:$B$1000,MATCH($B96,Cards!$A$4:$A$1000,0))),"ไม่พบ Card ID ในชีต Cards"))</f>
        <v/>
      </c>
      <c r="D96" s="68" t="str">
        <f>IF(TRIM($B96)="","",IFERROR(INDEX(Cards!$M$4:$M$1000,MATCH($B96,Cards!$A$4:$A$1000,0))&amp;"","-"))</f>
        <v/>
      </c>
    </row>
    <row r="97" spans="3:4" x14ac:dyDescent="0.3">
      <c r="C97" s="68" t="str">
        <f>IF(TRIM($B97)="","",IFERROR(HYPERLINK("#'Cards'!A"&amp;(MATCH($B97,Cards!$A$4:$A$1000,0)+3),INDEX(Cards!$B$4:$B$1000,MATCH($B97,Cards!$A$4:$A$1000,0))),"ไม่พบ Card ID ในชีต Cards"))</f>
        <v/>
      </c>
      <c r="D97" s="68" t="str">
        <f>IF(TRIM($B97)="","",IFERROR(INDEX(Cards!$M$4:$M$1000,MATCH($B97,Cards!$A$4:$A$1000,0))&amp;"","-"))</f>
        <v/>
      </c>
    </row>
    <row r="98" spans="3:4" x14ac:dyDescent="0.3">
      <c r="C98" s="68" t="str">
        <f>IF(TRIM($B98)="","",IFERROR(HYPERLINK("#'Cards'!A"&amp;(MATCH($B98,Cards!$A$4:$A$1000,0)+3),INDEX(Cards!$B$4:$B$1000,MATCH($B98,Cards!$A$4:$A$1000,0))),"ไม่พบ Card ID ในชีต Cards"))</f>
        <v/>
      </c>
      <c r="D98" s="68" t="str">
        <f>IF(TRIM($B98)="","",IFERROR(INDEX(Cards!$M$4:$M$1000,MATCH($B98,Cards!$A$4:$A$1000,0))&amp;"","-"))</f>
        <v/>
      </c>
    </row>
    <row r="99" spans="3:4" x14ac:dyDescent="0.3">
      <c r="C99" s="68" t="str">
        <f>IF(TRIM($B99)="","",IFERROR(HYPERLINK("#'Cards'!A"&amp;(MATCH($B99,Cards!$A$4:$A$1000,0)+3),INDEX(Cards!$B$4:$B$1000,MATCH($B99,Cards!$A$4:$A$1000,0))),"ไม่พบ Card ID ในชีต Cards"))</f>
        <v/>
      </c>
      <c r="D99" s="68" t="str">
        <f>IF(TRIM($B99)="","",IFERROR(INDEX(Cards!$M$4:$M$1000,MATCH($B99,Cards!$A$4:$A$1000,0))&amp;"","-"))</f>
        <v/>
      </c>
    </row>
    <row r="100" spans="3:4" x14ac:dyDescent="0.3">
      <c r="C100" s="68" t="str">
        <f>IF(TRIM($B100)="","",IFERROR(HYPERLINK("#'Cards'!A"&amp;(MATCH($B100,Cards!$A$4:$A$1000,0)+3),INDEX(Cards!$B$4:$B$1000,MATCH($B100,Cards!$A$4:$A$1000,0))),"ไม่พบ Card ID ในชีต Cards"))</f>
        <v/>
      </c>
      <c r="D100" s="68" t="str">
        <f>IF(TRIM($B100)="","",IFERROR(INDEX(Cards!$M$4:$M$1000,MATCH($B100,Cards!$A$4:$A$1000,0))&amp;"","-"))</f>
        <v/>
      </c>
    </row>
    <row r="101" spans="3:4" x14ac:dyDescent="0.3">
      <c r="C101" s="68" t="str">
        <f>IF(TRIM($B101)="","",IFERROR(HYPERLINK("#'Cards'!A"&amp;(MATCH($B101,Cards!$A$4:$A$1000,0)+3),INDEX(Cards!$B$4:$B$1000,MATCH($B101,Cards!$A$4:$A$1000,0))),"ไม่พบ Card ID ในชีต Cards"))</f>
        <v/>
      </c>
      <c r="D101" s="68" t="str">
        <f>IF(TRIM($B101)="","",IFERROR(INDEX(Cards!$M$4:$M$1000,MATCH($B101,Cards!$A$4:$A$1000,0))&amp;"","-"))</f>
        <v/>
      </c>
    </row>
    <row r="102" spans="3:4" x14ac:dyDescent="0.3">
      <c r="C102" s="68" t="str">
        <f>IF(TRIM($B102)="","",IFERROR(HYPERLINK("#'Cards'!A"&amp;(MATCH($B102,Cards!$A$4:$A$1000,0)+3),INDEX(Cards!$B$4:$B$1000,MATCH($B102,Cards!$A$4:$A$1000,0))),"ไม่พบ Card ID ในชีต Cards"))</f>
        <v/>
      </c>
      <c r="D102" s="68" t="str">
        <f>IF(TRIM($B102)="","",IFERROR(INDEX(Cards!$M$4:$M$1000,MATCH($B102,Cards!$A$4:$A$1000,0))&amp;"","-"))</f>
        <v/>
      </c>
    </row>
    <row r="103" spans="3:4" x14ac:dyDescent="0.3">
      <c r="C103" s="68" t="str">
        <f>IF(TRIM($B103)="","",IFERROR(HYPERLINK("#'Cards'!A"&amp;(MATCH($B103,Cards!$A$4:$A$1000,0)+3),INDEX(Cards!$B$4:$B$1000,MATCH($B103,Cards!$A$4:$A$1000,0))),"ไม่พบ Card ID ในชีต Cards"))</f>
        <v/>
      </c>
      <c r="D103" s="68" t="str">
        <f>IF(TRIM($B103)="","",IFERROR(INDEX(Cards!$M$4:$M$1000,MATCH($B103,Cards!$A$4:$A$1000,0))&amp;"","-"))</f>
        <v/>
      </c>
    </row>
    <row r="104" spans="3:4" x14ac:dyDescent="0.3">
      <c r="C104" s="68" t="str">
        <f>IF(TRIM($B104)="","",IFERROR(HYPERLINK("#'Cards'!A"&amp;(MATCH($B104,Cards!$A$4:$A$1000,0)+3),INDEX(Cards!$B$4:$B$1000,MATCH($B104,Cards!$A$4:$A$1000,0))),"ไม่พบ Card ID ในชีต Cards"))</f>
        <v/>
      </c>
      <c r="D104" s="68" t="str">
        <f>IF(TRIM($B104)="","",IFERROR(INDEX(Cards!$M$4:$M$1000,MATCH($B104,Cards!$A$4:$A$1000,0))&amp;"","-"))</f>
        <v/>
      </c>
    </row>
    <row r="105" spans="3:4" x14ac:dyDescent="0.3">
      <c r="C105" s="68" t="str">
        <f>IF(TRIM($B105)="","",IFERROR(HYPERLINK("#'Cards'!A"&amp;(MATCH($B105,Cards!$A$4:$A$1000,0)+3),INDEX(Cards!$B$4:$B$1000,MATCH($B105,Cards!$A$4:$A$1000,0))),"ไม่พบ Card ID ในชีต Cards"))</f>
        <v/>
      </c>
      <c r="D105" s="68" t="str">
        <f>IF(TRIM($B105)="","",IFERROR(INDEX(Cards!$M$4:$M$1000,MATCH($B105,Cards!$A$4:$A$1000,0))&amp;"","-"))</f>
        <v/>
      </c>
    </row>
    <row r="106" spans="3:4" x14ac:dyDescent="0.3">
      <c r="C106" s="68" t="str">
        <f>IF(TRIM($B106)="","",IFERROR(HYPERLINK("#'Cards'!A"&amp;(MATCH($B106,Cards!$A$4:$A$1000,0)+3),INDEX(Cards!$B$4:$B$1000,MATCH($B106,Cards!$A$4:$A$1000,0))),"ไม่พบ Card ID ในชีต Cards"))</f>
        <v/>
      </c>
      <c r="D106" s="68" t="str">
        <f>IF(TRIM($B106)="","",IFERROR(INDEX(Cards!$M$4:$M$1000,MATCH($B106,Cards!$A$4:$A$1000,0))&amp;"","-"))</f>
        <v/>
      </c>
    </row>
    <row r="107" spans="3:4" x14ac:dyDescent="0.3">
      <c r="C107" s="68" t="str">
        <f>IF(TRIM($B107)="","",IFERROR(HYPERLINK("#'Cards'!A"&amp;(MATCH($B107,Cards!$A$4:$A$1000,0)+3),INDEX(Cards!$B$4:$B$1000,MATCH($B107,Cards!$A$4:$A$1000,0))),"ไม่พบ Card ID ในชีต Cards"))</f>
        <v/>
      </c>
      <c r="D107" s="68" t="str">
        <f>IF(TRIM($B107)="","",IFERROR(INDEX(Cards!$M$4:$M$1000,MATCH($B107,Cards!$A$4:$A$1000,0))&amp;"","-"))</f>
        <v/>
      </c>
    </row>
    <row r="108" spans="3:4" x14ac:dyDescent="0.3">
      <c r="C108" s="68" t="str">
        <f>IF(TRIM($B108)="","",IFERROR(HYPERLINK("#'Cards'!A"&amp;(MATCH($B108,Cards!$A$4:$A$1000,0)+3),INDEX(Cards!$B$4:$B$1000,MATCH($B108,Cards!$A$4:$A$1000,0))),"ไม่พบ Card ID ในชีต Cards"))</f>
        <v/>
      </c>
      <c r="D108" s="68" t="str">
        <f>IF(TRIM($B108)="","",IFERROR(INDEX(Cards!$M$4:$M$1000,MATCH($B108,Cards!$A$4:$A$1000,0))&amp;"","-"))</f>
        <v/>
      </c>
    </row>
    <row r="109" spans="3:4" x14ac:dyDescent="0.3">
      <c r="C109" s="68" t="str">
        <f>IF(TRIM($B109)="","",IFERROR(HYPERLINK("#'Cards'!A"&amp;(MATCH($B109,Cards!$A$4:$A$1000,0)+3),INDEX(Cards!$B$4:$B$1000,MATCH($B109,Cards!$A$4:$A$1000,0))),"ไม่พบ Card ID ในชีต Cards"))</f>
        <v/>
      </c>
      <c r="D109" s="68" t="str">
        <f>IF(TRIM($B109)="","",IFERROR(INDEX(Cards!$M$4:$M$1000,MATCH($B109,Cards!$A$4:$A$1000,0))&amp;"","-"))</f>
        <v/>
      </c>
    </row>
    <row r="110" spans="3:4" x14ac:dyDescent="0.3">
      <c r="C110" s="68" t="str">
        <f>IF(TRIM($B110)="","",IFERROR(HYPERLINK("#'Cards'!A"&amp;(MATCH($B110,Cards!$A$4:$A$1000,0)+3),INDEX(Cards!$B$4:$B$1000,MATCH($B110,Cards!$A$4:$A$1000,0))),"ไม่พบ Card ID ในชีต Cards"))</f>
        <v/>
      </c>
      <c r="D110" s="68" t="str">
        <f>IF(TRIM($B110)="","",IFERROR(INDEX(Cards!$M$4:$M$1000,MATCH($B110,Cards!$A$4:$A$1000,0))&amp;"","-"))</f>
        <v/>
      </c>
    </row>
    <row r="111" spans="3:4" x14ac:dyDescent="0.3">
      <c r="C111" s="68" t="str">
        <f>IF(TRIM($B111)="","",IFERROR(HYPERLINK("#'Cards'!A"&amp;(MATCH($B111,Cards!$A$4:$A$1000,0)+3),INDEX(Cards!$B$4:$B$1000,MATCH($B111,Cards!$A$4:$A$1000,0))),"ไม่พบ Card ID ในชีต Cards"))</f>
        <v/>
      </c>
      <c r="D111" s="68" t="str">
        <f>IF(TRIM($B111)="","",IFERROR(INDEX(Cards!$M$4:$M$1000,MATCH($B111,Cards!$A$4:$A$1000,0))&amp;"","-"))</f>
        <v/>
      </c>
    </row>
    <row r="112" spans="3:4" x14ac:dyDescent="0.3">
      <c r="C112" s="68" t="str">
        <f>IF(TRIM($B112)="","",IFERROR(HYPERLINK("#'Cards'!A"&amp;(MATCH($B112,Cards!$A$4:$A$1000,0)+3),INDEX(Cards!$B$4:$B$1000,MATCH($B112,Cards!$A$4:$A$1000,0))),"ไม่พบ Card ID ในชีต Cards"))</f>
        <v/>
      </c>
      <c r="D112" s="68" t="str">
        <f>IF(TRIM($B112)="","",IFERROR(INDEX(Cards!$M$4:$M$1000,MATCH($B112,Cards!$A$4:$A$1000,0))&amp;"","-"))</f>
        <v/>
      </c>
    </row>
    <row r="113" spans="3:4" x14ac:dyDescent="0.3">
      <c r="C113" s="68" t="str">
        <f>IF(TRIM($B113)="","",IFERROR(HYPERLINK("#'Cards'!A"&amp;(MATCH($B113,Cards!$A$4:$A$1000,0)+3),INDEX(Cards!$B$4:$B$1000,MATCH($B113,Cards!$A$4:$A$1000,0))),"ไม่พบ Card ID ในชีต Cards"))</f>
        <v/>
      </c>
      <c r="D113" s="68" t="str">
        <f>IF(TRIM($B113)="","",IFERROR(INDEX(Cards!$M$4:$M$1000,MATCH($B113,Cards!$A$4:$A$1000,0))&amp;"","-"))</f>
        <v/>
      </c>
    </row>
    <row r="114" spans="3:4" x14ac:dyDescent="0.3">
      <c r="C114" s="68" t="str">
        <f>IF(TRIM($B114)="","",IFERROR(HYPERLINK("#'Cards'!A"&amp;(MATCH($B114,Cards!$A$4:$A$1000,0)+3),INDEX(Cards!$B$4:$B$1000,MATCH($B114,Cards!$A$4:$A$1000,0))),"ไม่พบ Card ID ในชีต Cards"))</f>
        <v/>
      </c>
      <c r="D114" s="68" t="str">
        <f>IF(TRIM($B114)="","",IFERROR(INDEX(Cards!$M$4:$M$1000,MATCH($B114,Cards!$A$4:$A$1000,0))&amp;"","-"))</f>
        <v/>
      </c>
    </row>
    <row r="115" spans="3:4" x14ac:dyDescent="0.3">
      <c r="C115" s="68" t="str">
        <f>IF(TRIM($B115)="","",IFERROR(HYPERLINK("#'Cards'!A"&amp;(MATCH($B115,Cards!$A$4:$A$1000,0)+3),INDEX(Cards!$B$4:$B$1000,MATCH($B115,Cards!$A$4:$A$1000,0))),"ไม่พบ Card ID ในชีต Cards"))</f>
        <v/>
      </c>
      <c r="D115" s="68" t="str">
        <f>IF(TRIM($B115)="","",IFERROR(INDEX(Cards!$M$4:$M$1000,MATCH($B115,Cards!$A$4:$A$1000,0))&amp;"","-"))</f>
        <v/>
      </c>
    </row>
    <row r="116" spans="3:4" x14ac:dyDescent="0.3">
      <c r="C116" s="68" t="str">
        <f>IF(TRIM($B116)="","",IFERROR(HYPERLINK("#'Cards'!A"&amp;(MATCH($B116,Cards!$A$4:$A$1000,0)+3),INDEX(Cards!$B$4:$B$1000,MATCH($B116,Cards!$A$4:$A$1000,0))),"ไม่พบ Card ID ในชีต Cards"))</f>
        <v/>
      </c>
      <c r="D116" s="68" t="str">
        <f>IF(TRIM($B116)="","",IFERROR(INDEX(Cards!$M$4:$M$1000,MATCH($B116,Cards!$A$4:$A$1000,0))&amp;"","-"))</f>
        <v/>
      </c>
    </row>
    <row r="117" spans="3:4" x14ac:dyDescent="0.3">
      <c r="C117" s="68" t="str">
        <f>IF(TRIM($B117)="","",IFERROR(HYPERLINK("#'Cards'!A"&amp;(MATCH($B117,Cards!$A$4:$A$1000,0)+3),INDEX(Cards!$B$4:$B$1000,MATCH($B117,Cards!$A$4:$A$1000,0))),"ไม่พบ Card ID ในชีต Cards"))</f>
        <v/>
      </c>
      <c r="D117" s="68" t="str">
        <f>IF(TRIM($B117)="","",IFERROR(INDEX(Cards!$M$4:$M$1000,MATCH($B117,Cards!$A$4:$A$1000,0))&amp;"","-"))</f>
        <v/>
      </c>
    </row>
    <row r="118" spans="3:4" x14ac:dyDescent="0.3">
      <c r="C118" s="68" t="str">
        <f>IF(TRIM($B118)="","",IFERROR(HYPERLINK("#'Cards'!A"&amp;(MATCH($B118,Cards!$A$4:$A$1000,0)+3),INDEX(Cards!$B$4:$B$1000,MATCH($B118,Cards!$A$4:$A$1000,0))),"ไม่พบ Card ID ในชีต Cards"))</f>
        <v/>
      </c>
      <c r="D118" s="68" t="str">
        <f>IF(TRIM($B118)="","",IFERROR(INDEX(Cards!$M$4:$M$1000,MATCH($B118,Cards!$A$4:$A$1000,0))&amp;"","-"))</f>
        <v/>
      </c>
    </row>
    <row r="119" spans="3:4" x14ac:dyDescent="0.3">
      <c r="C119" s="68" t="str">
        <f>IF(TRIM($B119)="","",IFERROR(HYPERLINK("#'Cards'!A"&amp;(MATCH($B119,Cards!$A$4:$A$1000,0)+3),INDEX(Cards!$B$4:$B$1000,MATCH($B119,Cards!$A$4:$A$1000,0))),"ไม่พบ Card ID ในชีต Cards"))</f>
        <v/>
      </c>
      <c r="D119" s="68" t="str">
        <f>IF(TRIM($B119)="","",IFERROR(INDEX(Cards!$M$4:$M$1000,MATCH($B119,Cards!$A$4:$A$1000,0))&amp;"","-"))</f>
        <v/>
      </c>
    </row>
    <row r="120" spans="3:4" x14ac:dyDescent="0.3">
      <c r="C120" s="68" t="str">
        <f>IF(TRIM($B120)="","",IFERROR(HYPERLINK("#'Cards'!A"&amp;(MATCH($B120,Cards!$A$4:$A$1000,0)+3),INDEX(Cards!$B$4:$B$1000,MATCH($B120,Cards!$A$4:$A$1000,0))),"ไม่พบ Card ID ในชีต Cards"))</f>
        <v/>
      </c>
      <c r="D120" s="68" t="str">
        <f>IF(TRIM($B120)="","",IFERROR(INDEX(Cards!$M$4:$M$1000,MATCH($B120,Cards!$A$4:$A$1000,0))&amp;"","-"))</f>
        <v/>
      </c>
    </row>
    <row r="121" spans="3:4" x14ac:dyDescent="0.3">
      <c r="C121" s="68" t="str">
        <f>IF(TRIM($B121)="","",IFERROR(HYPERLINK("#'Cards'!A"&amp;(MATCH($B121,Cards!$A$4:$A$1000,0)+3),INDEX(Cards!$B$4:$B$1000,MATCH($B121,Cards!$A$4:$A$1000,0))),"ไม่พบ Card ID ในชีต Cards"))</f>
        <v/>
      </c>
      <c r="D121" s="68" t="str">
        <f>IF(TRIM($B121)="","",IFERROR(INDEX(Cards!$M$4:$M$1000,MATCH($B121,Cards!$A$4:$A$1000,0))&amp;"","-"))</f>
        <v/>
      </c>
    </row>
    <row r="122" spans="3:4" x14ac:dyDescent="0.3">
      <c r="C122" s="68" t="str">
        <f>IF(TRIM($B122)="","",IFERROR(HYPERLINK("#'Cards'!A"&amp;(MATCH($B122,Cards!$A$4:$A$1000,0)+3),INDEX(Cards!$B$4:$B$1000,MATCH($B122,Cards!$A$4:$A$1000,0))),"ไม่พบ Card ID ในชีต Cards"))</f>
        <v/>
      </c>
      <c r="D122" s="68" t="str">
        <f>IF(TRIM($B122)="","",IFERROR(INDEX(Cards!$M$4:$M$1000,MATCH($B122,Cards!$A$4:$A$1000,0))&amp;"","-"))</f>
        <v/>
      </c>
    </row>
    <row r="123" spans="3:4" x14ac:dyDescent="0.3">
      <c r="C123" s="68" t="str">
        <f>IF(TRIM($B123)="","",IFERROR(HYPERLINK("#'Cards'!A"&amp;(MATCH($B123,Cards!$A$4:$A$1000,0)+3),INDEX(Cards!$B$4:$B$1000,MATCH($B123,Cards!$A$4:$A$1000,0))),"ไม่พบ Card ID ในชีต Cards"))</f>
        <v/>
      </c>
      <c r="D123" s="68" t="str">
        <f>IF(TRIM($B123)="","",IFERROR(INDEX(Cards!$M$4:$M$1000,MATCH($B123,Cards!$A$4:$A$1000,0))&amp;"","-"))</f>
        <v/>
      </c>
    </row>
    <row r="124" spans="3:4" x14ac:dyDescent="0.3">
      <c r="C124" s="68" t="str">
        <f>IF(TRIM($B124)="","",IFERROR(HYPERLINK("#'Cards'!A"&amp;(MATCH($B124,Cards!$A$4:$A$1000,0)+3),INDEX(Cards!$B$4:$B$1000,MATCH($B124,Cards!$A$4:$A$1000,0))),"ไม่พบ Card ID ในชีต Cards"))</f>
        <v/>
      </c>
      <c r="D124" s="68" t="str">
        <f>IF(TRIM($B124)="","",IFERROR(INDEX(Cards!$M$4:$M$1000,MATCH($B124,Cards!$A$4:$A$1000,0))&amp;"","-"))</f>
        <v/>
      </c>
    </row>
    <row r="125" spans="3:4" x14ac:dyDescent="0.3">
      <c r="C125" s="68" t="str">
        <f>IF(TRIM($B125)="","",IFERROR(HYPERLINK("#'Cards'!A"&amp;(MATCH($B125,Cards!$A$4:$A$1000,0)+3),INDEX(Cards!$B$4:$B$1000,MATCH($B125,Cards!$A$4:$A$1000,0))),"ไม่พบ Card ID ในชีต Cards"))</f>
        <v/>
      </c>
      <c r="D125" s="68" t="str">
        <f>IF(TRIM($B125)="","",IFERROR(INDEX(Cards!$M$4:$M$1000,MATCH($B125,Cards!$A$4:$A$1000,0))&amp;"","-"))</f>
        <v/>
      </c>
    </row>
    <row r="126" spans="3:4" x14ac:dyDescent="0.3">
      <c r="C126" s="68" t="str">
        <f>IF(TRIM($B126)="","",IFERROR(HYPERLINK("#'Cards'!A"&amp;(MATCH($B126,Cards!$A$4:$A$1000,0)+3),INDEX(Cards!$B$4:$B$1000,MATCH($B126,Cards!$A$4:$A$1000,0))),"ไม่พบ Card ID ในชีต Cards"))</f>
        <v/>
      </c>
      <c r="D126" s="68" t="str">
        <f>IF(TRIM($B126)="","",IFERROR(INDEX(Cards!$M$4:$M$1000,MATCH($B126,Cards!$A$4:$A$1000,0))&amp;"","-"))</f>
        <v/>
      </c>
    </row>
    <row r="127" spans="3:4" x14ac:dyDescent="0.3">
      <c r="C127" s="68" t="str">
        <f>IF(TRIM($B127)="","",IFERROR(HYPERLINK("#'Cards'!A"&amp;(MATCH($B127,Cards!$A$4:$A$1000,0)+3),INDEX(Cards!$B$4:$B$1000,MATCH($B127,Cards!$A$4:$A$1000,0))),"ไม่พบ Card ID ในชีต Cards"))</f>
        <v/>
      </c>
      <c r="D127" s="68" t="str">
        <f>IF(TRIM($B127)="","",IFERROR(INDEX(Cards!$M$4:$M$1000,MATCH($B127,Cards!$A$4:$A$1000,0))&amp;"","-"))</f>
        <v/>
      </c>
    </row>
    <row r="128" spans="3:4" x14ac:dyDescent="0.3">
      <c r="C128" s="68" t="str">
        <f>IF(TRIM($B128)="","",IFERROR(HYPERLINK("#'Cards'!A"&amp;(MATCH($B128,Cards!$A$4:$A$1000,0)+3),INDEX(Cards!$B$4:$B$1000,MATCH($B128,Cards!$A$4:$A$1000,0))),"ไม่พบ Card ID ในชีต Cards"))</f>
        <v/>
      </c>
      <c r="D128" s="68" t="str">
        <f>IF(TRIM($B128)="","",IFERROR(INDEX(Cards!$M$4:$M$1000,MATCH($B128,Cards!$A$4:$A$1000,0))&amp;"","-"))</f>
        <v/>
      </c>
    </row>
    <row r="129" spans="3:4" x14ac:dyDescent="0.3">
      <c r="C129" s="68" t="str">
        <f>IF(TRIM($B129)="","",IFERROR(HYPERLINK("#'Cards'!A"&amp;(MATCH($B129,Cards!$A$4:$A$1000,0)+3),INDEX(Cards!$B$4:$B$1000,MATCH($B129,Cards!$A$4:$A$1000,0))),"ไม่พบ Card ID ในชีต Cards"))</f>
        <v/>
      </c>
      <c r="D129" s="68" t="str">
        <f>IF(TRIM($B129)="","",IFERROR(INDEX(Cards!$M$4:$M$1000,MATCH($B129,Cards!$A$4:$A$1000,0))&amp;"","-"))</f>
        <v/>
      </c>
    </row>
    <row r="130" spans="3:4" x14ac:dyDescent="0.3">
      <c r="C130" s="68" t="str">
        <f>IF(TRIM($B130)="","",IFERROR(HYPERLINK("#'Cards'!A"&amp;(MATCH($B130,Cards!$A$4:$A$1000,0)+3),INDEX(Cards!$B$4:$B$1000,MATCH($B130,Cards!$A$4:$A$1000,0))),"ไม่พบ Card ID ในชีต Cards"))</f>
        <v/>
      </c>
      <c r="D130" s="68" t="str">
        <f>IF(TRIM($B130)="","",IFERROR(INDEX(Cards!$M$4:$M$1000,MATCH($B130,Cards!$A$4:$A$1000,0))&amp;"","-"))</f>
        <v/>
      </c>
    </row>
    <row r="131" spans="3:4" x14ac:dyDescent="0.3">
      <c r="C131" s="68" t="str">
        <f>IF(TRIM($B131)="","",IFERROR(HYPERLINK("#'Cards'!A"&amp;(MATCH($B131,Cards!$A$4:$A$1000,0)+3),INDEX(Cards!$B$4:$B$1000,MATCH($B131,Cards!$A$4:$A$1000,0))),"ไม่พบ Card ID ในชีต Cards"))</f>
        <v/>
      </c>
      <c r="D131" s="68" t="str">
        <f>IF(TRIM($B131)="","",IFERROR(INDEX(Cards!$M$4:$M$1000,MATCH($B131,Cards!$A$4:$A$1000,0))&amp;"","-"))</f>
        <v/>
      </c>
    </row>
    <row r="132" spans="3:4" x14ac:dyDescent="0.3">
      <c r="C132" s="68" t="str">
        <f>IF(TRIM($B132)="","",IFERROR(HYPERLINK("#'Cards'!A"&amp;(MATCH($B132,Cards!$A$4:$A$1000,0)+3),INDEX(Cards!$B$4:$B$1000,MATCH($B132,Cards!$A$4:$A$1000,0))),"ไม่พบ Card ID ในชีต Cards"))</f>
        <v/>
      </c>
      <c r="D132" s="68" t="str">
        <f>IF(TRIM($B132)="","",IFERROR(INDEX(Cards!$M$4:$M$1000,MATCH($B132,Cards!$A$4:$A$1000,0))&amp;"","-"))</f>
        <v/>
      </c>
    </row>
    <row r="133" spans="3:4" x14ac:dyDescent="0.3">
      <c r="C133" s="68" t="str">
        <f>IF(TRIM($B133)="","",IFERROR(HYPERLINK("#'Cards'!A"&amp;(MATCH($B133,Cards!$A$4:$A$1000,0)+3),INDEX(Cards!$B$4:$B$1000,MATCH($B133,Cards!$A$4:$A$1000,0))),"ไม่พบ Card ID ในชีต Cards"))</f>
        <v/>
      </c>
      <c r="D133" s="68" t="str">
        <f>IF(TRIM($B133)="","",IFERROR(INDEX(Cards!$M$4:$M$1000,MATCH($B133,Cards!$A$4:$A$1000,0))&amp;"","-"))</f>
        <v/>
      </c>
    </row>
    <row r="134" spans="3:4" x14ac:dyDescent="0.3">
      <c r="C134" s="68" t="str">
        <f>IF(TRIM($B134)="","",IFERROR(HYPERLINK("#'Cards'!A"&amp;(MATCH($B134,Cards!$A$4:$A$1000,0)+3),INDEX(Cards!$B$4:$B$1000,MATCH($B134,Cards!$A$4:$A$1000,0))),"ไม่พบ Card ID ในชีต Cards"))</f>
        <v/>
      </c>
      <c r="D134" s="68" t="str">
        <f>IF(TRIM($B134)="","",IFERROR(INDEX(Cards!$M$4:$M$1000,MATCH($B134,Cards!$A$4:$A$1000,0))&amp;"","-"))</f>
        <v/>
      </c>
    </row>
    <row r="135" spans="3:4" x14ac:dyDescent="0.3">
      <c r="C135" s="68" t="str">
        <f>IF(TRIM($B135)="","",IFERROR(HYPERLINK("#'Cards'!A"&amp;(MATCH($B135,Cards!$A$4:$A$1000,0)+3),INDEX(Cards!$B$4:$B$1000,MATCH($B135,Cards!$A$4:$A$1000,0))),"ไม่พบ Card ID ในชีต Cards"))</f>
        <v/>
      </c>
      <c r="D135" s="68" t="str">
        <f>IF(TRIM($B135)="","",IFERROR(INDEX(Cards!$M$4:$M$1000,MATCH($B135,Cards!$A$4:$A$1000,0))&amp;"","-"))</f>
        <v/>
      </c>
    </row>
    <row r="136" spans="3:4" x14ac:dyDescent="0.3">
      <c r="C136" s="68" t="str">
        <f>IF(TRIM($B136)="","",IFERROR(HYPERLINK("#'Cards'!A"&amp;(MATCH($B136,Cards!$A$4:$A$1000,0)+3),INDEX(Cards!$B$4:$B$1000,MATCH($B136,Cards!$A$4:$A$1000,0))),"ไม่พบ Card ID ในชีต Cards"))</f>
        <v/>
      </c>
      <c r="D136" s="68" t="str">
        <f>IF(TRIM($B136)="","",IFERROR(INDEX(Cards!$M$4:$M$1000,MATCH($B136,Cards!$A$4:$A$1000,0))&amp;"","-"))</f>
        <v/>
      </c>
    </row>
    <row r="137" spans="3:4" x14ac:dyDescent="0.3">
      <c r="C137" s="68" t="str">
        <f>IF(TRIM($B137)="","",IFERROR(HYPERLINK("#'Cards'!A"&amp;(MATCH($B137,Cards!$A$4:$A$1000,0)+3),INDEX(Cards!$B$4:$B$1000,MATCH($B137,Cards!$A$4:$A$1000,0))),"ไม่พบ Card ID ในชีต Cards"))</f>
        <v/>
      </c>
      <c r="D137" s="68" t="str">
        <f>IF(TRIM($B137)="","",IFERROR(INDEX(Cards!$M$4:$M$1000,MATCH($B137,Cards!$A$4:$A$1000,0))&amp;"","-"))</f>
        <v/>
      </c>
    </row>
    <row r="138" spans="3:4" x14ac:dyDescent="0.3">
      <c r="C138" s="68" t="str">
        <f>IF(TRIM($B138)="","",IFERROR(HYPERLINK("#'Cards'!A"&amp;(MATCH($B138,Cards!$A$4:$A$1000,0)+3),INDEX(Cards!$B$4:$B$1000,MATCH($B138,Cards!$A$4:$A$1000,0))),"ไม่พบ Card ID ในชีต Cards"))</f>
        <v/>
      </c>
      <c r="D138" s="68" t="str">
        <f>IF(TRIM($B138)="","",IFERROR(INDEX(Cards!$M$4:$M$1000,MATCH($B138,Cards!$A$4:$A$1000,0))&amp;"","-"))</f>
        <v/>
      </c>
    </row>
    <row r="139" spans="3:4" x14ac:dyDescent="0.3">
      <c r="C139" s="68" t="str">
        <f>IF(TRIM($B139)="","",IFERROR(HYPERLINK("#'Cards'!A"&amp;(MATCH($B139,Cards!$A$4:$A$1000,0)+3),INDEX(Cards!$B$4:$B$1000,MATCH($B139,Cards!$A$4:$A$1000,0))),"ไม่พบ Card ID ในชีต Cards"))</f>
        <v/>
      </c>
      <c r="D139" s="68" t="str">
        <f>IF(TRIM($B139)="","",IFERROR(INDEX(Cards!$M$4:$M$1000,MATCH($B139,Cards!$A$4:$A$1000,0))&amp;"","-"))</f>
        <v/>
      </c>
    </row>
    <row r="140" spans="3:4" x14ac:dyDescent="0.3">
      <c r="C140" s="68" t="str">
        <f>IF(TRIM($B140)="","",IFERROR(HYPERLINK("#'Cards'!A"&amp;(MATCH($B140,Cards!$A$4:$A$1000,0)+3),INDEX(Cards!$B$4:$B$1000,MATCH($B140,Cards!$A$4:$A$1000,0))),"ไม่พบ Card ID ในชีต Cards"))</f>
        <v/>
      </c>
      <c r="D140" s="68" t="str">
        <f>IF(TRIM($B140)="","",IFERROR(INDEX(Cards!$M$4:$M$1000,MATCH($B140,Cards!$A$4:$A$1000,0))&amp;"","-"))</f>
        <v/>
      </c>
    </row>
    <row r="141" spans="3:4" x14ac:dyDescent="0.3">
      <c r="C141" s="68" t="str">
        <f>IF(TRIM($B141)="","",IFERROR(HYPERLINK("#'Cards'!A"&amp;(MATCH($B141,Cards!$A$4:$A$1000,0)+3),INDEX(Cards!$B$4:$B$1000,MATCH($B141,Cards!$A$4:$A$1000,0))),"ไม่พบ Card ID ในชีต Cards"))</f>
        <v/>
      </c>
      <c r="D141" s="68" t="str">
        <f>IF(TRIM($B141)="","",IFERROR(INDEX(Cards!$M$4:$M$1000,MATCH($B141,Cards!$A$4:$A$1000,0))&amp;"","-"))</f>
        <v/>
      </c>
    </row>
    <row r="142" spans="3:4" x14ac:dyDescent="0.3">
      <c r="C142" s="68" t="str">
        <f>IF(TRIM($B142)="","",IFERROR(HYPERLINK("#'Cards'!A"&amp;(MATCH($B142,Cards!$A$4:$A$1000,0)+3),INDEX(Cards!$B$4:$B$1000,MATCH($B142,Cards!$A$4:$A$1000,0))),"ไม่พบ Card ID ในชีต Cards"))</f>
        <v/>
      </c>
      <c r="D142" s="68" t="str">
        <f>IF(TRIM($B142)="","",IFERROR(INDEX(Cards!$M$4:$M$1000,MATCH($B142,Cards!$A$4:$A$1000,0))&amp;"","-"))</f>
        <v/>
      </c>
    </row>
    <row r="143" spans="3:4" x14ac:dyDescent="0.3">
      <c r="C143" s="68" t="str">
        <f>IF(TRIM($B143)="","",IFERROR(HYPERLINK("#'Cards'!A"&amp;(MATCH($B143,Cards!$A$4:$A$1000,0)+3),INDEX(Cards!$B$4:$B$1000,MATCH($B143,Cards!$A$4:$A$1000,0))),"ไม่พบ Card ID ในชีต Cards"))</f>
        <v/>
      </c>
      <c r="D143" s="68" t="str">
        <f>IF(TRIM($B143)="","",IFERROR(INDEX(Cards!$M$4:$M$1000,MATCH($B143,Cards!$A$4:$A$1000,0))&amp;"","-"))</f>
        <v/>
      </c>
    </row>
    <row r="144" spans="3:4" x14ac:dyDescent="0.3">
      <c r="C144" s="68" t="str">
        <f>IF(TRIM($B144)="","",IFERROR(HYPERLINK("#'Cards'!A"&amp;(MATCH($B144,Cards!$A$4:$A$1000,0)+3),INDEX(Cards!$B$4:$B$1000,MATCH($B144,Cards!$A$4:$A$1000,0))),"ไม่พบ Card ID ในชีต Cards"))</f>
        <v/>
      </c>
      <c r="D144" s="68" t="str">
        <f>IF(TRIM($B144)="","",IFERROR(INDEX(Cards!$M$4:$M$1000,MATCH($B144,Cards!$A$4:$A$1000,0))&amp;"","-"))</f>
        <v/>
      </c>
    </row>
    <row r="145" spans="3:4" x14ac:dyDescent="0.3">
      <c r="C145" s="68" t="str">
        <f>IF(TRIM($B145)="","",IFERROR(HYPERLINK("#'Cards'!A"&amp;(MATCH($B145,Cards!$A$4:$A$1000,0)+3),INDEX(Cards!$B$4:$B$1000,MATCH($B145,Cards!$A$4:$A$1000,0))),"ไม่พบ Card ID ในชีต Cards"))</f>
        <v/>
      </c>
      <c r="D145" s="68" t="str">
        <f>IF(TRIM($B145)="","",IFERROR(INDEX(Cards!$M$4:$M$1000,MATCH($B145,Cards!$A$4:$A$1000,0))&amp;"","-"))</f>
        <v/>
      </c>
    </row>
    <row r="146" spans="3:4" x14ac:dyDescent="0.3">
      <c r="C146" s="68" t="str">
        <f>IF(TRIM($B146)="","",IFERROR(HYPERLINK("#'Cards'!A"&amp;(MATCH($B146,Cards!$A$4:$A$1000,0)+3),INDEX(Cards!$B$4:$B$1000,MATCH($B146,Cards!$A$4:$A$1000,0))),"ไม่พบ Card ID ในชีต Cards"))</f>
        <v/>
      </c>
      <c r="D146" s="68" t="str">
        <f>IF(TRIM($B146)="","",IFERROR(INDEX(Cards!$M$4:$M$1000,MATCH($B146,Cards!$A$4:$A$1000,0))&amp;"","-"))</f>
        <v/>
      </c>
    </row>
    <row r="147" spans="3:4" x14ac:dyDescent="0.3">
      <c r="C147" s="68" t="str">
        <f>IF(TRIM($B147)="","",IFERROR(HYPERLINK("#'Cards'!A"&amp;(MATCH($B147,Cards!$A$4:$A$1000,0)+3),INDEX(Cards!$B$4:$B$1000,MATCH($B147,Cards!$A$4:$A$1000,0))),"ไม่พบ Card ID ในชีต Cards"))</f>
        <v/>
      </c>
      <c r="D147" s="68" t="str">
        <f>IF(TRIM($B147)="","",IFERROR(INDEX(Cards!$M$4:$M$1000,MATCH($B147,Cards!$A$4:$A$1000,0))&amp;"","-"))</f>
        <v/>
      </c>
    </row>
    <row r="148" spans="3:4" x14ac:dyDescent="0.3">
      <c r="C148" s="68" t="str">
        <f>IF(TRIM($B148)="","",IFERROR(HYPERLINK("#'Cards'!A"&amp;(MATCH($B148,Cards!$A$4:$A$1000,0)+3),INDEX(Cards!$B$4:$B$1000,MATCH($B148,Cards!$A$4:$A$1000,0))),"ไม่พบ Card ID ในชีต Cards"))</f>
        <v/>
      </c>
      <c r="D148" s="68" t="str">
        <f>IF(TRIM($B148)="","",IFERROR(INDEX(Cards!$M$4:$M$1000,MATCH($B148,Cards!$A$4:$A$1000,0))&amp;"","-"))</f>
        <v/>
      </c>
    </row>
    <row r="149" spans="3:4" x14ac:dyDescent="0.3">
      <c r="C149" s="68" t="str">
        <f>IF(TRIM($B149)="","",IFERROR(HYPERLINK("#'Cards'!A"&amp;(MATCH($B149,Cards!$A$4:$A$1000,0)+3),INDEX(Cards!$B$4:$B$1000,MATCH($B149,Cards!$A$4:$A$1000,0))),"ไม่พบ Card ID ในชีต Cards"))</f>
        <v/>
      </c>
      <c r="D149" s="68" t="str">
        <f>IF(TRIM($B149)="","",IFERROR(INDEX(Cards!$M$4:$M$1000,MATCH($B149,Cards!$A$4:$A$1000,0))&amp;"","-"))</f>
        <v/>
      </c>
    </row>
    <row r="150" spans="3:4" x14ac:dyDescent="0.3">
      <c r="C150" s="68" t="str">
        <f>IF(TRIM($B150)="","",IFERROR(HYPERLINK("#'Cards'!A"&amp;(MATCH($B150,Cards!$A$4:$A$1000,0)+3),INDEX(Cards!$B$4:$B$1000,MATCH($B150,Cards!$A$4:$A$1000,0))),"ไม่พบ Card ID ในชีต Cards"))</f>
        <v/>
      </c>
      <c r="D150" s="68" t="str">
        <f>IF(TRIM($B150)="","",IFERROR(INDEX(Cards!$M$4:$M$1000,MATCH($B150,Cards!$A$4:$A$1000,0))&amp;"","-"))</f>
        <v/>
      </c>
    </row>
    <row r="151" spans="3:4" x14ac:dyDescent="0.3">
      <c r="C151" s="68" t="str">
        <f>IF(TRIM($B151)="","",IFERROR(HYPERLINK("#'Cards'!A"&amp;(MATCH($B151,Cards!$A$4:$A$1000,0)+3),INDEX(Cards!$B$4:$B$1000,MATCH($B151,Cards!$A$4:$A$1000,0))),"ไม่พบ Card ID ในชีต Cards"))</f>
        <v/>
      </c>
      <c r="D151" s="68" t="str">
        <f>IF(TRIM($B151)="","",IFERROR(INDEX(Cards!$M$4:$M$1000,MATCH($B151,Cards!$A$4:$A$1000,0))&amp;"","-"))</f>
        <v/>
      </c>
    </row>
    <row r="152" spans="3:4" x14ac:dyDescent="0.3">
      <c r="C152" s="68" t="str">
        <f>IF(TRIM($B152)="","",IFERROR(HYPERLINK("#'Cards'!A"&amp;(MATCH($B152,Cards!$A$4:$A$1000,0)+3),INDEX(Cards!$B$4:$B$1000,MATCH($B152,Cards!$A$4:$A$1000,0))),"ไม่พบ Card ID ในชีต Cards"))</f>
        <v/>
      </c>
      <c r="D152" s="68" t="str">
        <f>IF(TRIM($B152)="","",IFERROR(INDEX(Cards!$M$4:$M$1000,MATCH($B152,Cards!$A$4:$A$1000,0))&amp;"","-"))</f>
        <v/>
      </c>
    </row>
    <row r="153" spans="3:4" x14ac:dyDescent="0.3">
      <c r="C153" s="68" t="str">
        <f>IF(TRIM($B153)="","",IFERROR(HYPERLINK("#'Cards'!A"&amp;(MATCH($B153,Cards!$A$4:$A$1000,0)+3),INDEX(Cards!$B$4:$B$1000,MATCH($B153,Cards!$A$4:$A$1000,0))),"ไม่พบ Card ID ในชีต Cards"))</f>
        <v/>
      </c>
      <c r="D153" s="68" t="str">
        <f>IF(TRIM($B153)="","",IFERROR(INDEX(Cards!$M$4:$M$1000,MATCH($B153,Cards!$A$4:$A$1000,0))&amp;"","-"))</f>
        <v/>
      </c>
    </row>
    <row r="154" spans="3:4" x14ac:dyDescent="0.3">
      <c r="C154" s="68" t="str">
        <f>IF(TRIM($B154)="","",IFERROR(HYPERLINK("#'Cards'!A"&amp;(MATCH($B154,Cards!$A$4:$A$1000,0)+3),INDEX(Cards!$B$4:$B$1000,MATCH($B154,Cards!$A$4:$A$1000,0))),"ไม่พบ Card ID ในชีต Cards"))</f>
        <v/>
      </c>
      <c r="D154" s="68" t="str">
        <f>IF(TRIM($B154)="","",IFERROR(INDEX(Cards!$M$4:$M$1000,MATCH($B154,Cards!$A$4:$A$1000,0))&amp;"","-"))</f>
        <v/>
      </c>
    </row>
    <row r="155" spans="3:4" x14ac:dyDescent="0.3">
      <c r="C155" s="68" t="str">
        <f>IF(TRIM($B155)="","",IFERROR(HYPERLINK("#'Cards'!A"&amp;(MATCH($B155,Cards!$A$4:$A$1000,0)+3),INDEX(Cards!$B$4:$B$1000,MATCH($B155,Cards!$A$4:$A$1000,0))),"ไม่พบ Card ID ในชีต Cards"))</f>
        <v/>
      </c>
      <c r="D155" s="68" t="str">
        <f>IF(TRIM($B155)="","",IFERROR(INDEX(Cards!$M$4:$M$1000,MATCH($B155,Cards!$A$4:$A$1000,0))&amp;"","-"))</f>
        <v/>
      </c>
    </row>
    <row r="156" spans="3:4" x14ac:dyDescent="0.3">
      <c r="C156" s="68" t="str">
        <f>IF(TRIM($B156)="","",IFERROR(HYPERLINK("#'Cards'!A"&amp;(MATCH($B156,Cards!$A$4:$A$1000,0)+3),INDEX(Cards!$B$4:$B$1000,MATCH($B156,Cards!$A$4:$A$1000,0))),"ไม่พบ Card ID ในชีต Cards"))</f>
        <v/>
      </c>
      <c r="D156" s="68" t="str">
        <f>IF(TRIM($B156)="","",IFERROR(INDEX(Cards!$M$4:$M$1000,MATCH($B156,Cards!$A$4:$A$1000,0))&amp;"","-"))</f>
        <v/>
      </c>
    </row>
    <row r="157" spans="3:4" x14ac:dyDescent="0.3">
      <c r="C157" s="68" t="str">
        <f>IF(TRIM($B157)="","",IFERROR(HYPERLINK("#'Cards'!A"&amp;(MATCH($B157,Cards!$A$4:$A$1000,0)+3),INDEX(Cards!$B$4:$B$1000,MATCH($B157,Cards!$A$4:$A$1000,0))),"ไม่พบ Card ID ในชีต Cards"))</f>
        <v/>
      </c>
      <c r="D157" s="68" t="str">
        <f>IF(TRIM($B157)="","",IFERROR(INDEX(Cards!$M$4:$M$1000,MATCH($B157,Cards!$A$4:$A$1000,0))&amp;"","-"))</f>
        <v/>
      </c>
    </row>
    <row r="158" spans="3:4" x14ac:dyDescent="0.3">
      <c r="C158" s="68" t="str">
        <f>IF(TRIM($B158)="","",IFERROR(HYPERLINK("#'Cards'!A"&amp;(MATCH($B158,Cards!$A$4:$A$1000,0)+3),INDEX(Cards!$B$4:$B$1000,MATCH($B158,Cards!$A$4:$A$1000,0))),"ไม่พบ Card ID ในชีต Cards"))</f>
        <v/>
      </c>
      <c r="D158" s="68" t="str">
        <f>IF(TRIM($B158)="","",IFERROR(INDEX(Cards!$M$4:$M$1000,MATCH($B158,Cards!$A$4:$A$1000,0))&amp;"","-"))</f>
        <v/>
      </c>
    </row>
    <row r="159" spans="3:4" x14ac:dyDescent="0.3">
      <c r="C159" s="68" t="str">
        <f>IF(TRIM($B159)="","",IFERROR(HYPERLINK("#'Cards'!A"&amp;(MATCH($B159,Cards!$A$4:$A$1000,0)+3),INDEX(Cards!$B$4:$B$1000,MATCH($B159,Cards!$A$4:$A$1000,0))),"ไม่พบ Card ID ในชีต Cards"))</f>
        <v/>
      </c>
      <c r="D159" s="68" t="str">
        <f>IF(TRIM($B159)="","",IFERROR(INDEX(Cards!$M$4:$M$1000,MATCH($B159,Cards!$A$4:$A$1000,0))&amp;"","-"))</f>
        <v/>
      </c>
    </row>
    <row r="160" spans="3:4" x14ac:dyDescent="0.3">
      <c r="C160" s="68" t="str">
        <f>IF(TRIM($B160)="","",IFERROR(HYPERLINK("#'Cards'!A"&amp;(MATCH($B160,Cards!$A$4:$A$1000,0)+3),INDEX(Cards!$B$4:$B$1000,MATCH($B160,Cards!$A$4:$A$1000,0))),"ไม่พบ Card ID ในชีต Cards"))</f>
        <v/>
      </c>
      <c r="D160" s="68" t="str">
        <f>IF(TRIM($B160)="","",IFERROR(INDEX(Cards!$M$4:$M$1000,MATCH($B160,Cards!$A$4:$A$1000,0))&amp;"","-"))</f>
        <v/>
      </c>
    </row>
    <row r="161" spans="3:4" x14ac:dyDescent="0.3">
      <c r="C161" s="68" t="str">
        <f>IF(TRIM($B161)="","",IFERROR(HYPERLINK("#'Cards'!A"&amp;(MATCH($B161,Cards!$A$4:$A$1000,0)+3),INDEX(Cards!$B$4:$B$1000,MATCH($B161,Cards!$A$4:$A$1000,0))),"ไม่พบ Card ID ในชีต Cards"))</f>
        <v/>
      </c>
      <c r="D161" s="68" t="str">
        <f>IF(TRIM($B161)="","",IFERROR(INDEX(Cards!$M$4:$M$1000,MATCH($B161,Cards!$A$4:$A$1000,0))&amp;"","-"))</f>
        <v/>
      </c>
    </row>
    <row r="162" spans="3:4" x14ac:dyDescent="0.3">
      <c r="C162" s="68" t="str">
        <f>IF(TRIM($B162)="","",IFERROR(HYPERLINK("#'Cards'!A"&amp;(MATCH($B162,Cards!$A$4:$A$1000,0)+3),INDEX(Cards!$B$4:$B$1000,MATCH($B162,Cards!$A$4:$A$1000,0))),"ไม่พบ Card ID ในชีต Cards"))</f>
        <v/>
      </c>
      <c r="D162" s="68" t="str">
        <f>IF(TRIM($B162)="","",IFERROR(INDEX(Cards!$M$4:$M$1000,MATCH($B162,Cards!$A$4:$A$1000,0))&amp;"","-"))</f>
        <v/>
      </c>
    </row>
    <row r="163" spans="3:4" x14ac:dyDescent="0.3">
      <c r="C163" s="68" t="str">
        <f>IF(TRIM($B163)="","",IFERROR(HYPERLINK("#'Cards'!A"&amp;(MATCH($B163,Cards!$A$4:$A$1000,0)+3),INDEX(Cards!$B$4:$B$1000,MATCH($B163,Cards!$A$4:$A$1000,0))),"ไม่พบ Card ID ในชีต Cards"))</f>
        <v/>
      </c>
      <c r="D163" s="68" t="str">
        <f>IF(TRIM($B163)="","",IFERROR(INDEX(Cards!$M$4:$M$1000,MATCH($B163,Cards!$A$4:$A$1000,0))&amp;"","-"))</f>
        <v/>
      </c>
    </row>
    <row r="164" spans="3:4" x14ac:dyDescent="0.3">
      <c r="C164" s="68" t="str">
        <f>IF(TRIM($B164)="","",IFERROR(HYPERLINK("#'Cards'!A"&amp;(MATCH($B164,Cards!$A$4:$A$1000,0)+3),INDEX(Cards!$B$4:$B$1000,MATCH($B164,Cards!$A$4:$A$1000,0))),"ไม่พบ Card ID ในชีต Cards"))</f>
        <v/>
      </c>
      <c r="D164" s="68" t="str">
        <f>IF(TRIM($B164)="","",IFERROR(INDEX(Cards!$M$4:$M$1000,MATCH($B164,Cards!$A$4:$A$1000,0))&amp;"","-"))</f>
        <v/>
      </c>
    </row>
    <row r="165" spans="3:4" x14ac:dyDescent="0.3">
      <c r="C165" s="68" t="str">
        <f>IF(TRIM($B165)="","",IFERROR(HYPERLINK("#'Cards'!A"&amp;(MATCH($B165,Cards!$A$4:$A$1000,0)+3),INDEX(Cards!$B$4:$B$1000,MATCH($B165,Cards!$A$4:$A$1000,0))),"ไม่พบ Card ID ในชีต Cards"))</f>
        <v/>
      </c>
      <c r="D165" s="68" t="str">
        <f>IF(TRIM($B165)="","",IFERROR(INDEX(Cards!$M$4:$M$1000,MATCH($B165,Cards!$A$4:$A$1000,0))&amp;"","-"))</f>
        <v/>
      </c>
    </row>
    <row r="166" spans="3:4" x14ac:dyDescent="0.3">
      <c r="C166" s="68" t="str">
        <f>IF(TRIM($B166)="","",IFERROR(HYPERLINK("#'Cards'!A"&amp;(MATCH($B166,Cards!$A$4:$A$1000,0)+3),INDEX(Cards!$B$4:$B$1000,MATCH($B166,Cards!$A$4:$A$1000,0))),"ไม่พบ Card ID ในชีต Cards"))</f>
        <v/>
      </c>
      <c r="D166" s="68" t="str">
        <f>IF(TRIM($B166)="","",IFERROR(INDEX(Cards!$M$4:$M$1000,MATCH($B166,Cards!$A$4:$A$1000,0))&amp;"","-"))</f>
        <v/>
      </c>
    </row>
    <row r="167" spans="3:4" x14ac:dyDescent="0.3">
      <c r="C167" s="68" t="str">
        <f>IF(TRIM($B167)="","",IFERROR(HYPERLINK("#'Cards'!A"&amp;(MATCH($B167,Cards!$A$4:$A$1000,0)+3),INDEX(Cards!$B$4:$B$1000,MATCH($B167,Cards!$A$4:$A$1000,0))),"ไม่พบ Card ID ในชีต Cards"))</f>
        <v/>
      </c>
      <c r="D167" s="68" t="str">
        <f>IF(TRIM($B167)="","",IFERROR(INDEX(Cards!$M$4:$M$1000,MATCH($B167,Cards!$A$4:$A$1000,0))&amp;"","-"))</f>
        <v/>
      </c>
    </row>
    <row r="168" spans="3:4" x14ac:dyDescent="0.3">
      <c r="C168" s="68" t="str">
        <f>IF(TRIM($B168)="","",IFERROR(HYPERLINK("#'Cards'!A"&amp;(MATCH($B168,Cards!$A$4:$A$1000,0)+3),INDEX(Cards!$B$4:$B$1000,MATCH($B168,Cards!$A$4:$A$1000,0))),"ไม่พบ Card ID ในชีต Cards"))</f>
        <v/>
      </c>
      <c r="D168" s="68" t="str">
        <f>IF(TRIM($B168)="","",IFERROR(INDEX(Cards!$M$4:$M$1000,MATCH($B168,Cards!$A$4:$A$1000,0))&amp;"","-"))</f>
        <v/>
      </c>
    </row>
    <row r="169" spans="3:4" x14ac:dyDescent="0.3">
      <c r="C169" s="68" t="str">
        <f>IF(TRIM($B169)="","",IFERROR(HYPERLINK("#'Cards'!A"&amp;(MATCH($B169,Cards!$A$4:$A$1000,0)+3),INDEX(Cards!$B$4:$B$1000,MATCH($B169,Cards!$A$4:$A$1000,0))),"ไม่พบ Card ID ในชีต Cards"))</f>
        <v/>
      </c>
      <c r="D169" s="68" t="str">
        <f>IF(TRIM($B169)="","",IFERROR(INDEX(Cards!$M$4:$M$1000,MATCH($B169,Cards!$A$4:$A$1000,0))&amp;"","-"))</f>
        <v/>
      </c>
    </row>
    <row r="170" spans="3:4" x14ac:dyDescent="0.3">
      <c r="C170" s="68" t="str">
        <f>IF(TRIM($B170)="","",IFERROR(HYPERLINK("#'Cards'!A"&amp;(MATCH($B170,Cards!$A$4:$A$1000,0)+3),INDEX(Cards!$B$4:$B$1000,MATCH($B170,Cards!$A$4:$A$1000,0))),"ไม่พบ Card ID ในชีต Cards"))</f>
        <v/>
      </c>
      <c r="D170" s="68" t="str">
        <f>IF(TRIM($B170)="","",IFERROR(INDEX(Cards!$M$4:$M$1000,MATCH($B170,Cards!$A$4:$A$1000,0))&amp;"","-"))</f>
        <v/>
      </c>
    </row>
    <row r="171" spans="3:4" x14ac:dyDescent="0.3">
      <c r="C171" s="68" t="str">
        <f>IF(TRIM($B171)="","",IFERROR(HYPERLINK("#'Cards'!A"&amp;(MATCH($B171,Cards!$A$4:$A$1000,0)+3),INDEX(Cards!$B$4:$B$1000,MATCH($B171,Cards!$A$4:$A$1000,0))),"ไม่พบ Card ID ในชีต Cards"))</f>
        <v/>
      </c>
      <c r="D171" s="68" t="str">
        <f>IF(TRIM($B171)="","",IFERROR(INDEX(Cards!$M$4:$M$1000,MATCH($B171,Cards!$A$4:$A$1000,0))&amp;"","-"))</f>
        <v/>
      </c>
    </row>
    <row r="172" spans="3:4" x14ac:dyDescent="0.3">
      <c r="C172" s="68" t="str">
        <f>IF(TRIM($B172)="","",IFERROR(HYPERLINK("#'Cards'!A"&amp;(MATCH($B172,Cards!$A$4:$A$1000,0)+3),INDEX(Cards!$B$4:$B$1000,MATCH($B172,Cards!$A$4:$A$1000,0))),"ไม่พบ Card ID ในชีต Cards"))</f>
        <v/>
      </c>
      <c r="D172" s="68" t="str">
        <f>IF(TRIM($B172)="","",IFERROR(INDEX(Cards!$M$4:$M$1000,MATCH($B172,Cards!$A$4:$A$1000,0))&amp;"","-"))</f>
        <v/>
      </c>
    </row>
    <row r="173" spans="3:4" x14ac:dyDescent="0.3">
      <c r="C173" s="68" t="str">
        <f>IF(TRIM($B173)="","",IFERROR(HYPERLINK("#'Cards'!A"&amp;(MATCH($B173,Cards!$A$4:$A$1000,0)+3),INDEX(Cards!$B$4:$B$1000,MATCH($B173,Cards!$A$4:$A$1000,0))),"ไม่พบ Card ID ในชีต Cards"))</f>
        <v/>
      </c>
      <c r="D173" s="68" t="str">
        <f>IF(TRIM($B173)="","",IFERROR(INDEX(Cards!$M$4:$M$1000,MATCH($B173,Cards!$A$4:$A$1000,0))&amp;"","-"))</f>
        <v/>
      </c>
    </row>
    <row r="174" spans="3:4" x14ac:dyDescent="0.3">
      <c r="C174" s="68" t="str">
        <f>IF(TRIM($B174)="","",IFERROR(HYPERLINK("#'Cards'!A"&amp;(MATCH($B174,Cards!$A$4:$A$1000,0)+3),INDEX(Cards!$B$4:$B$1000,MATCH($B174,Cards!$A$4:$A$1000,0))),"ไม่พบ Card ID ในชีต Cards"))</f>
        <v/>
      </c>
      <c r="D174" s="68" t="str">
        <f>IF(TRIM($B174)="","",IFERROR(INDEX(Cards!$M$4:$M$1000,MATCH($B174,Cards!$A$4:$A$1000,0))&amp;"","-"))</f>
        <v/>
      </c>
    </row>
    <row r="175" spans="3:4" x14ac:dyDescent="0.3">
      <c r="C175" s="68" t="str">
        <f>IF(TRIM($B175)="","",IFERROR(HYPERLINK("#'Cards'!A"&amp;(MATCH($B175,Cards!$A$4:$A$1000,0)+3),INDEX(Cards!$B$4:$B$1000,MATCH($B175,Cards!$A$4:$A$1000,0))),"ไม่พบ Card ID ในชีต Cards"))</f>
        <v/>
      </c>
      <c r="D175" s="68" t="str">
        <f>IF(TRIM($B175)="","",IFERROR(INDEX(Cards!$M$4:$M$1000,MATCH($B175,Cards!$A$4:$A$1000,0))&amp;"","-"))</f>
        <v/>
      </c>
    </row>
    <row r="176" spans="3:4" x14ac:dyDescent="0.3">
      <c r="C176" s="68" t="str">
        <f>IF(TRIM($B176)="","",IFERROR(HYPERLINK("#'Cards'!A"&amp;(MATCH($B176,Cards!$A$4:$A$1000,0)+3),INDEX(Cards!$B$4:$B$1000,MATCH($B176,Cards!$A$4:$A$1000,0))),"ไม่พบ Card ID ในชีต Cards"))</f>
        <v/>
      </c>
      <c r="D176" s="68" t="str">
        <f>IF(TRIM($B176)="","",IFERROR(INDEX(Cards!$M$4:$M$1000,MATCH($B176,Cards!$A$4:$A$1000,0))&amp;"","-"))</f>
        <v/>
      </c>
    </row>
    <row r="177" spans="3:4" x14ac:dyDescent="0.3">
      <c r="C177" s="68" t="str">
        <f>IF(TRIM($B177)="","",IFERROR(HYPERLINK("#'Cards'!A"&amp;(MATCH($B177,Cards!$A$4:$A$1000,0)+3),INDEX(Cards!$B$4:$B$1000,MATCH($B177,Cards!$A$4:$A$1000,0))),"ไม่พบ Card ID ในชีต Cards"))</f>
        <v/>
      </c>
      <c r="D177" s="68" t="str">
        <f>IF(TRIM($B177)="","",IFERROR(INDEX(Cards!$M$4:$M$1000,MATCH($B177,Cards!$A$4:$A$1000,0))&amp;"","-"))</f>
        <v/>
      </c>
    </row>
    <row r="178" spans="3:4" x14ac:dyDescent="0.3">
      <c r="C178" s="68" t="str">
        <f>IF(TRIM($B178)="","",IFERROR(HYPERLINK("#'Cards'!A"&amp;(MATCH($B178,Cards!$A$4:$A$1000,0)+3),INDEX(Cards!$B$4:$B$1000,MATCH($B178,Cards!$A$4:$A$1000,0))),"ไม่พบ Card ID ในชีต Cards"))</f>
        <v/>
      </c>
      <c r="D178" s="68" t="str">
        <f>IF(TRIM($B178)="","",IFERROR(INDEX(Cards!$M$4:$M$1000,MATCH($B178,Cards!$A$4:$A$1000,0))&amp;"","-"))</f>
        <v/>
      </c>
    </row>
    <row r="179" spans="3:4" x14ac:dyDescent="0.3">
      <c r="C179" s="68" t="str">
        <f>IF(TRIM($B179)="","",IFERROR(HYPERLINK("#'Cards'!A"&amp;(MATCH($B179,Cards!$A$4:$A$1000,0)+3),INDEX(Cards!$B$4:$B$1000,MATCH($B179,Cards!$A$4:$A$1000,0))),"ไม่พบ Card ID ในชีต Cards"))</f>
        <v/>
      </c>
      <c r="D179" s="68" t="str">
        <f>IF(TRIM($B179)="","",IFERROR(INDEX(Cards!$M$4:$M$1000,MATCH($B179,Cards!$A$4:$A$1000,0))&amp;"","-"))</f>
        <v/>
      </c>
    </row>
    <row r="180" spans="3:4" x14ac:dyDescent="0.3">
      <c r="C180" s="68" t="str">
        <f>IF(TRIM($B180)="","",IFERROR(HYPERLINK("#'Cards'!A"&amp;(MATCH($B180,Cards!$A$4:$A$1000,0)+3),INDEX(Cards!$B$4:$B$1000,MATCH($B180,Cards!$A$4:$A$1000,0))),"ไม่พบ Card ID ในชีต Cards"))</f>
        <v/>
      </c>
      <c r="D180" s="68" t="str">
        <f>IF(TRIM($B180)="","",IFERROR(INDEX(Cards!$M$4:$M$1000,MATCH($B180,Cards!$A$4:$A$1000,0))&amp;"","-"))</f>
        <v/>
      </c>
    </row>
    <row r="181" spans="3:4" x14ac:dyDescent="0.3">
      <c r="C181" s="68" t="str">
        <f>IF(TRIM($B181)="","",IFERROR(HYPERLINK("#'Cards'!A"&amp;(MATCH($B181,Cards!$A$4:$A$1000,0)+3),INDEX(Cards!$B$4:$B$1000,MATCH($B181,Cards!$A$4:$A$1000,0))),"ไม่พบ Card ID ในชีต Cards"))</f>
        <v/>
      </c>
      <c r="D181" s="68" t="str">
        <f>IF(TRIM($B181)="","",IFERROR(INDEX(Cards!$M$4:$M$1000,MATCH($B181,Cards!$A$4:$A$1000,0))&amp;"","-"))</f>
        <v/>
      </c>
    </row>
    <row r="182" spans="3:4" x14ac:dyDescent="0.3">
      <c r="C182" s="68" t="str">
        <f>IF(TRIM($B182)="","",IFERROR(HYPERLINK("#'Cards'!A"&amp;(MATCH($B182,Cards!$A$4:$A$1000,0)+3),INDEX(Cards!$B$4:$B$1000,MATCH($B182,Cards!$A$4:$A$1000,0))),"ไม่พบ Card ID ในชีต Cards"))</f>
        <v/>
      </c>
      <c r="D182" s="68" t="str">
        <f>IF(TRIM($B182)="","",IFERROR(INDEX(Cards!$M$4:$M$1000,MATCH($B182,Cards!$A$4:$A$1000,0))&amp;"","-"))</f>
        <v/>
      </c>
    </row>
    <row r="183" spans="3:4" x14ac:dyDescent="0.3">
      <c r="C183" s="68" t="str">
        <f>IF(TRIM($B183)="","",IFERROR(HYPERLINK("#'Cards'!A"&amp;(MATCH($B183,Cards!$A$4:$A$1000,0)+3),INDEX(Cards!$B$4:$B$1000,MATCH($B183,Cards!$A$4:$A$1000,0))),"ไม่พบ Card ID ในชีต Cards"))</f>
        <v/>
      </c>
      <c r="D183" s="68" t="str">
        <f>IF(TRIM($B183)="","",IFERROR(INDEX(Cards!$M$4:$M$1000,MATCH($B183,Cards!$A$4:$A$1000,0))&amp;"","-"))</f>
        <v/>
      </c>
    </row>
    <row r="184" spans="3:4" x14ac:dyDescent="0.3">
      <c r="C184" s="68" t="str">
        <f>IF(TRIM($B184)="","",IFERROR(HYPERLINK("#'Cards'!A"&amp;(MATCH($B184,Cards!$A$4:$A$1000,0)+3),INDEX(Cards!$B$4:$B$1000,MATCH($B184,Cards!$A$4:$A$1000,0))),"ไม่พบ Card ID ในชีต Cards"))</f>
        <v/>
      </c>
      <c r="D184" s="68" t="str">
        <f>IF(TRIM($B184)="","",IFERROR(INDEX(Cards!$M$4:$M$1000,MATCH($B184,Cards!$A$4:$A$1000,0))&amp;"","-"))</f>
        <v/>
      </c>
    </row>
    <row r="185" spans="3:4" x14ac:dyDescent="0.3">
      <c r="C185" s="68" t="str">
        <f>IF(TRIM($B185)="","",IFERROR(HYPERLINK("#'Cards'!A"&amp;(MATCH($B185,Cards!$A$4:$A$1000,0)+3),INDEX(Cards!$B$4:$B$1000,MATCH($B185,Cards!$A$4:$A$1000,0))),"ไม่พบ Card ID ในชีต Cards"))</f>
        <v/>
      </c>
      <c r="D185" s="68" t="str">
        <f>IF(TRIM($B185)="","",IFERROR(INDEX(Cards!$M$4:$M$1000,MATCH($B185,Cards!$A$4:$A$1000,0))&amp;"","-"))</f>
        <v/>
      </c>
    </row>
    <row r="186" spans="3:4" x14ac:dyDescent="0.3">
      <c r="C186" s="68" t="str">
        <f>IF(TRIM($B186)="","",IFERROR(HYPERLINK("#'Cards'!A"&amp;(MATCH($B186,Cards!$A$4:$A$1000,0)+3),INDEX(Cards!$B$4:$B$1000,MATCH($B186,Cards!$A$4:$A$1000,0))),"ไม่พบ Card ID ในชีต Cards"))</f>
        <v/>
      </c>
      <c r="D186" s="68" t="str">
        <f>IF(TRIM($B186)="","",IFERROR(INDEX(Cards!$M$4:$M$1000,MATCH($B186,Cards!$A$4:$A$1000,0))&amp;"","-"))</f>
        <v/>
      </c>
    </row>
    <row r="187" spans="3:4" x14ac:dyDescent="0.3">
      <c r="C187" s="68" t="str">
        <f>IF(TRIM($B187)="","",IFERROR(HYPERLINK("#'Cards'!A"&amp;(MATCH($B187,Cards!$A$4:$A$1000,0)+3),INDEX(Cards!$B$4:$B$1000,MATCH($B187,Cards!$A$4:$A$1000,0))),"ไม่พบ Card ID ในชีต Cards"))</f>
        <v/>
      </c>
      <c r="D187" s="68" t="str">
        <f>IF(TRIM($B187)="","",IFERROR(INDEX(Cards!$M$4:$M$1000,MATCH($B187,Cards!$A$4:$A$1000,0))&amp;"","-"))</f>
        <v/>
      </c>
    </row>
    <row r="188" spans="3:4" x14ac:dyDescent="0.3">
      <c r="C188" s="68" t="str">
        <f>IF(TRIM($B188)="","",IFERROR(HYPERLINK("#'Cards'!A"&amp;(MATCH($B188,Cards!$A$4:$A$1000,0)+3),INDEX(Cards!$B$4:$B$1000,MATCH($B188,Cards!$A$4:$A$1000,0))),"ไม่พบ Card ID ในชีต Cards"))</f>
        <v/>
      </c>
      <c r="D188" s="68" t="str">
        <f>IF(TRIM($B188)="","",IFERROR(INDEX(Cards!$M$4:$M$1000,MATCH($B188,Cards!$A$4:$A$1000,0))&amp;"","-"))</f>
        <v/>
      </c>
    </row>
    <row r="189" spans="3:4" x14ac:dyDescent="0.3">
      <c r="C189" s="68" t="str">
        <f>IF(TRIM($B189)="","",IFERROR(HYPERLINK("#'Cards'!A"&amp;(MATCH($B189,Cards!$A$4:$A$1000,0)+3),INDEX(Cards!$B$4:$B$1000,MATCH($B189,Cards!$A$4:$A$1000,0))),"ไม่พบ Card ID ในชีต Cards"))</f>
        <v/>
      </c>
      <c r="D189" s="68" t="str">
        <f>IF(TRIM($B189)="","",IFERROR(INDEX(Cards!$M$4:$M$1000,MATCH($B189,Cards!$A$4:$A$1000,0))&amp;"","-"))</f>
        <v/>
      </c>
    </row>
    <row r="190" spans="3:4" x14ac:dyDescent="0.3">
      <c r="C190" s="68" t="str">
        <f>IF(TRIM($B190)="","",IFERROR(HYPERLINK("#'Cards'!A"&amp;(MATCH($B190,Cards!$A$4:$A$1000,0)+3),INDEX(Cards!$B$4:$B$1000,MATCH($B190,Cards!$A$4:$A$1000,0))),"ไม่พบ Card ID ในชีต Cards"))</f>
        <v/>
      </c>
      <c r="D190" s="68" t="str">
        <f>IF(TRIM($B190)="","",IFERROR(INDEX(Cards!$M$4:$M$1000,MATCH($B190,Cards!$A$4:$A$1000,0))&amp;"","-"))</f>
        <v/>
      </c>
    </row>
    <row r="191" spans="3:4" x14ac:dyDescent="0.3">
      <c r="C191" s="68" t="str">
        <f>IF(TRIM($B191)="","",IFERROR(HYPERLINK("#'Cards'!A"&amp;(MATCH($B191,Cards!$A$4:$A$1000,0)+3),INDEX(Cards!$B$4:$B$1000,MATCH($B191,Cards!$A$4:$A$1000,0))),"ไม่พบ Card ID ในชีต Cards"))</f>
        <v/>
      </c>
      <c r="D191" s="68" t="str">
        <f>IF(TRIM($B191)="","",IFERROR(INDEX(Cards!$M$4:$M$1000,MATCH($B191,Cards!$A$4:$A$1000,0))&amp;"","-"))</f>
        <v/>
      </c>
    </row>
    <row r="192" spans="3:4" x14ac:dyDescent="0.3">
      <c r="C192" s="68" t="str">
        <f>IF(TRIM($B192)="","",IFERROR(HYPERLINK("#'Cards'!A"&amp;(MATCH($B192,Cards!$A$4:$A$1000,0)+3),INDEX(Cards!$B$4:$B$1000,MATCH($B192,Cards!$A$4:$A$1000,0))),"ไม่พบ Card ID ในชีต Cards"))</f>
        <v/>
      </c>
      <c r="D192" s="68" t="str">
        <f>IF(TRIM($B192)="","",IFERROR(INDEX(Cards!$M$4:$M$1000,MATCH($B192,Cards!$A$4:$A$1000,0))&amp;"","-"))</f>
        <v/>
      </c>
    </row>
    <row r="193" spans="3:4" x14ac:dyDescent="0.3">
      <c r="C193" s="68" t="str">
        <f>IF(TRIM($B193)="","",IFERROR(HYPERLINK("#'Cards'!A"&amp;(MATCH($B193,Cards!$A$4:$A$1000,0)+3),INDEX(Cards!$B$4:$B$1000,MATCH($B193,Cards!$A$4:$A$1000,0))),"ไม่พบ Card ID ในชีต Cards"))</f>
        <v/>
      </c>
      <c r="D193" s="68" t="str">
        <f>IF(TRIM($B193)="","",IFERROR(INDEX(Cards!$M$4:$M$1000,MATCH($B193,Cards!$A$4:$A$1000,0))&amp;"","-"))</f>
        <v/>
      </c>
    </row>
    <row r="194" spans="3:4" x14ac:dyDescent="0.3">
      <c r="C194" s="68" t="str">
        <f>IF(TRIM($B194)="","",IFERROR(HYPERLINK("#'Cards'!A"&amp;(MATCH($B194,Cards!$A$4:$A$1000,0)+3),INDEX(Cards!$B$4:$B$1000,MATCH($B194,Cards!$A$4:$A$1000,0))),"ไม่พบ Card ID ในชีต Cards"))</f>
        <v/>
      </c>
      <c r="D194" s="68" t="str">
        <f>IF(TRIM($B194)="","",IFERROR(INDEX(Cards!$M$4:$M$1000,MATCH($B194,Cards!$A$4:$A$1000,0))&amp;"","-"))</f>
        <v/>
      </c>
    </row>
    <row r="195" spans="3:4" x14ac:dyDescent="0.3">
      <c r="C195" s="68" t="str">
        <f>IF(TRIM($B195)="","",IFERROR(HYPERLINK("#'Cards'!A"&amp;(MATCH($B195,Cards!$A$4:$A$1000,0)+3),INDEX(Cards!$B$4:$B$1000,MATCH($B195,Cards!$A$4:$A$1000,0))),"ไม่พบ Card ID ในชีต Cards"))</f>
        <v/>
      </c>
      <c r="D195" s="68" t="str">
        <f>IF(TRIM($B195)="","",IFERROR(INDEX(Cards!$M$4:$M$1000,MATCH($B195,Cards!$A$4:$A$1000,0))&amp;"","-"))</f>
        <v/>
      </c>
    </row>
    <row r="196" spans="3:4" x14ac:dyDescent="0.3">
      <c r="C196" s="68" t="str">
        <f>IF(TRIM($B196)="","",IFERROR(HYPERLINK("#'Cards'!A"&amp;(MATCH($B196,Cards!$A$4:$A$1000,0)+3),INDEX(Cards!$B$4:$B$1000,MATCH($B196,Cards!$A$4:$A$1000,0))),"ไม่พบ Card ID ในชีต Cards"))</f>
        <v/>
      </c>
      <c r="D196" s="68" t="str">
        <f>IF(TRIM($B196)="","",IFERROR(INDEX(Cards!$M$4:$M$1000,MATCH($B196,Cards!$A$4:$A$1000,0))&amp;"","-"))</f>
        <v/>
      </c>
    </row>
    <row r="197" spans="3:4" x14ac:dyDescent="0.3">
      <c r="C197" s="68" t="str">
        <f>IF(TRIM($B197)="","",IFERROR(HYPERLINK("#'Cards'!A"&amp;(MATCH($B197,Cards!$A$4:$A$1000,0)+3),INDEX(Cards!$B$4:$B$1000,MATCH($B197,Cards!$A$4:$A$1000,0))),"ไม่พบ Card ID ในชีต Cards"))</f>
        <v/>
      </c>
      <c r="D197" s="68" t="str">
        <f>IF(TRIM($B197)="","",IFERROR(INDEX(Cards!$M$4:$M$1000,MATCH($B197,Cards!$A$4:$A$1000,0))&amp;"","-"))</f>
        <v/>
      </c>
    </row>
    <row r="198" spans="3:4" x14ac:dyDescent="0.3">
      <c r="C198" s="68" t="str">
        <f>IF(TRIM($B198)="","",IFERROR(HYPERLINK("#'Cards'!A"&amp;(MATCH($B198,Cards!$A$4:$A$1000,0)+3),INDEX(Cards!$B$4:$B$1000,MATCH($B198,Cards!$A$4:$A$1000,0))),"ไม่พบ Card ID ในชีต Cards"))</f>
        <v/>
      </c>
      <c r="D198" s="68" t="str">
        <f>IF(TRIM($B198)="","",IFERROR(INDEX(Cards!$M$4:$M$1000,MATCH($B198,Cards!$A$4:$A$1000,0))&amp;"","-"))</f>
        <v/>
      </c>
    </row>
    <row r="199" spans="3:4" x14ac:dyDescent="0.3">
      <c r="C199" s="68" t="str">
        <f>IF(TRIM($B199)="","",IFERROR(HYPERLINK("#'Cards'!A"&amp;(MATCH($B199,Cards!$A$4:$A$1000,0)+3),INDEX(Cards!$B$4:$B$1000,MATCH($B199,Cards!$A$4:$A$1000,0))),"ไม่พบ Card ID ในชีต Cards"))</f>
        <v/>
      </c>
      <c r="D199" s="68" t="str">
        <f>IF(TRIM($B199)="","",IFERROR(INDEX(Cards!$M$4:$M$1000,MATCH($B199,Cards!$A$4:$A$1000,0))&amp;"","-"))</f>
        <v/>
      </c>
    </row>
    <row r="200" spans="3:4" x14ac:dyDescent="0.3">
      <c r="C200" s="68" t="str">
        <f>IF(TRIM($B200)="","",IFERROR(HYPERLINK("#'Cards'!A"&amp;(MATCH($B200,Cards!$A$4:$A$1000,0)+3),INDEX(Cards!$B$4:$B$1000,MATCH($B200,Cards!$A$4:$A$1000,0))),"ไม่พบ Card ID ในชีต Cards"))</f>
        <v/>
      </c>
      <c r="D200" s="68" t="str">
        <f>IF(TRIM($B200)="","",IFERROR(INDEX(Cards!$M$4:$M$1000,MATCH($B200,Cards!$A$4:$A$1000,0))&amp;"","-"))</f>
        <v/>
      </c>
    </row>
    <row r="201" spans="3:4" x14ac:dyDescent="0.3">
      <c r="C201" s="68" t="str">
        <f>IF(TRIM($B201)="","",IFERROR(HYPERLINK("#'Cards'!A"&amp;(MATCH($B201,Cards!$A$4:$A$1000,0)+3),INDEX(Cards!$B$4:$B$1000,MATCH($B201,Cards!$A$4:$A$1000,0))),"ไม่พบ Card ID ในชีต Cards"))</f>
        <v/>
      </c>
      <c r="D201" s="68" t="str">
        <f>IF(TRIM($B201)="","",IFERROR(INDEX(Cards!$M$4:$M$1000,MATCH($B201,Cards!$A$4:$A$1000,0))&amp;"","-"))</f>
        <v/>
      </c>
    </row>
    <row r="202" spans="3:4" x14ac:dyDescent="0.3">
      <c r="C202" s="68" t="str">
        <f>IF(TRIM($B202)="","",IFERROR(HYPERLINK("#'Cards'!A"&amp;(MATCH($B202,Cards!$A$4:$A$1000,0)+3),INDEX(Cards!$B$4:$B$1000,MATCH($B202,Cards!$A$4:$A$1000,0))),"ไม่พบ Card ID ในชีต Cards"))</f>
        <v/>
      </c>
      <c r="D202" s="68" t="str">
        <f>IF(TRIM($B202)="","",IFERROR(INDEX(Cards!$M$4:$M$1000,MATCH($B202,Cards!$A$4:$A$1000,0))&amp;"","-"))</f>
        <v/>
      </c>
    </row>
    <row r="203" spans="3:4" x14ac:dyDescent="0.3">
      <c r="C203" s="68" t="str">
        <f>IF(TRIM($B203)="","",IFERROR(HYPERLINK("#'Cards'!A"&amp;(MATCH($B203,Cards!$A$4:$A$1000,0)+3),INDEX(Cards!$B$4:$B$1000,MATCH($B203,Cards!$A$4:$A$1000,0))),"ไม่พบ Card ID ในชีต Cards"))</f>
        <v/>
      </c>
      <c r="D203" s="68" t="str">
        <f>IF(TRIM($B203)="","",IFERROR(INDEX(Cards!$M$4:$M$1000,MATCH($B203,Cards!$A$4:$A$1000,0))&amp;"","-"))</f>
        <v/>
      </c>
    </row>
    <row r="204" spans="3:4" x14ac:dyDescent="0.3">
      <c r="C204" s="68" t="str">
        <f>IF(TRIM($B204)="","",IFERROR(HYPERLINK("#'Cards'!A"&amp;(MATCH($B204,Cards!$A$4:$A$1000,0)+3),INDEX(Cards!$B$4:$B$1000,MATCH($B204,Cards!$A$4:$A$1000,0))),"ไม่พบ Card ID ในชีต Cards"))</f>
        <v/>
      </c>
      <c r="D204" s="68" t="str">
        <f>IF(TRIM($B204)="","",IFERROR(INDEX(Cards!$M$4:$M$1000,MATCH($B204,Cards!$A$4:$A$1000,0))&amp;"","-"))</f>
        <v/>
      </c>
    </row>
    <row r="205" spans="3:4" x14ac:dyDescent="0.3">
      <c r="C205" s="68" t="str">
        <f>IF(TRIM($B205)="","",IFERROR(HYPERLINK("#'Cards'!A"&amp;(MATCH($B205,Cards!$A$4:$A$1000,0)+3),INDEX(Cards!$B$4:$B$1000,MATCH($B205,Cards!$A$4:$A$1000,0))),"ไม่พบ Card ID ในชีต Cards"))</f>
        <v/>
      </c>
      <c r="D205" s="68" t="str">
        <f>IF(TRIM($B205)="","",IFERROR(INDEX(Cards!$M$4:$M$1000,MATCH($B205,Cards!$A$4:$A$1000,0))&amp;"","-"))</f>
        <v/>
      </c>
    </row>
    <row r="206" spans="3:4" x14ac:dyDescent="0.3">
      <c r="C206" s="68" t="str">
        <f>IF(TRIM($B206)="","",IFERROR(HYPERLINK("#'Cards'!A"&amp;(MATCH($B206,Cards!$A$4:$A$1000,0)+3),INDEX(Cards!$B$4:$B$1000,MATCH($B206,Cards!$A$4:$A$1000,0))),"ไม่พบ Card ID ในชีต Cards"))</f>
        <v/>
      </c>
      <c r="D206" s="68" t="str">
        <f>IF(TRIM($B206)="","",IFERROR(INDEX(Cards!$M$4:$M$1000,MATCH($B206,Cards!$A$4:$A$1000,0))&amp;"","-"))</f>
        <v/>
      </c>
    </row>
    <row r="207" spans="3:4" x14ac:dyDescent="0.3">
      <c r="C207" s="68" t="str">
        <f>IF(TRIM($B207)="","",IFERROR(HYPERLINK("#'Cards'!A"&amp;(MATCH($B207,Cards!$A$4:$A$1000,0)+3),INDEX(Cards!$B$4:$B$1000,MATCH($B207,Cards!$A$4:$A$1000,0))),"ไม่พบ Card ID ในชีต Cards"))</f>
        <v/>
      </c>
      <c r="D207" s="68" t="str">
        <f>IF(TRIM($B207)="","",IFERROR(INDEX(Cards!$M$4:$M$1000,MATCH($B207,Cards!$A$4:$A$1000,0))&amp;"","-"))</f>
        <v/>
      </c>
    </row>
    <row r="208" spans="3:4" x14ac:dyDescent="0.3">
      <c r="C208" s="68" t="str">
        <f>IF(TRIM($B208)="","",IFERROR(HYPERLINK("#'Cards'!A"&amp;(MATCH($B208,Cards!$A$4:$A$1000,0)+3),INDEX(Cards!$B$4:$B$1000,MATCH($B208,Cards!$A$4:$A$1000,0))),"ไม่พบ Card ID ในชีต Cards"))</f>
        <v/>
      </c>
      <c r="D208" s="68" t="str">
        <f>IF(TRIM($B208)="","",IFERROR(INDEX(Cards!$M$4:$M$1000,MATCH($B208,Cards!$A$4:$A$1000,0))&amp;"","-"))</f>
        <v/>
      </c>
    </row>
    <row r="209" spans="3:4" x14ac:dyDescent="0.3">
      <c r="C209" s="68" t="str">
        <f>IF(TRIM($B209)="","",IFERROR(HYPERLINK("#'Cards'!A"&amp;(MATCH($B209,Cards!$A$4:$A$1000,0)+3),INDEX(Cards!$B$4:$B$1000,MATCH($B209,Cards!$A$4:$A$1000,0))),"ไม่พบ Card ID ในชีต Cards"))</f>
        <v/>
      </c>
      <c r="D209" s="68" t="str">
        <f>IF(TRIM($B209)="","",IFERROR(INDEX(Cards!$M$4:$M$1000,MATCH($B209,Cards!$A$4:$A$1000,0))&amp;"","-"))</f>
        <v/>
      </c>
    </row>
    <row r="210" spans="3:4" x14ac:dyDescent="0.3">
      <c r="C210" s="68" t="str">
        <f>IF(TRIM($B210)="","",IFERROR(HYPERLINK("#'Cards'!A"&amp;(MATCH($B210,Cards!$A$4:$A$1000,0)+3),INDEX(Cards!$B$4:$B$1000,MATCH($B210,Cards!$A$4:$A$1000,0))),"ไม่พบ Card ID ในชีต Cards"))</f>
        <v/>
      </c>
      <c r="D210" s="68" t="str">
        <f>IF(TRIM($B210)="","",IFERROR(INDEX(Cards!$M$4:$M$1000,MATCH($B210,Cards!$A$4:$A$1000,0))&amp;"","-"))</f>
        <v/>
      </c>
    </row>
    <row r="211" spans="3:4" x14ac:dyDescent="0.3">
      <c r="C211" s="68" t="str">
        <f>IF(TRIM($B211)="","",IFERROR(HYPERLINK("#'Cards'!A"&amp;(MATCH($B211,Cards!$A$4:$A$1000,0)+3),INDEX(Cards!$B$4:$B$1000,MATCH($B211,Cards!$A$4:$A$1000,0))),"ไม่พบ Card ID ในชีต Cards"))</f>
        <v/>
      </c>
      <c r="D211" s="68" t="str">
        <f>IF(TRIM($B211)="","",IFERROR(INDEX(Cards!$M$4:$M$1000,MATCH($B211,Cards!$A$4:$A$1000,0))&amp;"","-"))</f>
        <v/>
      </c>
    </row>
    <row r="212" spans="3:4" x14ac:dyDescent="0.3">
      <c r="C212" s="68" t="str">
        <f>IF(TRIM($B212)="","",IFERROR(HYPERLINK("#'Cards'!A"&amp;(MATCH($B212,Cards!$A$4:$A$1000,0)+3),INDEX(Cards!$B$4:$B$1000,MATCH($B212,Cards!$A$4:$A$1000,0))),"ไม่พบ Card ID ในชีต Cards"))</f>
        <v/>
      </c>
      <c r="D212" s="68" t="str">
        <f>IF(TRIM($B212)="","",IFERROR(INDEX(Cards!$M$4:$M$1000,MATCH($B212,Cards!$A$4:$A$1000,0))&amp;"","-"))</f>
        <v/>
      </c>
    </row>
    <row r="213" spans="3:4" x14ac:dyDescent="0.3">
      <c r="C213" s="68" t="str">
        <f>IF(TRIM($B213)="","",IFERROR(HYPERLINK("#'Cards'!A"&amp;(MATCH($B213,Cards!$A$4:$A$1000,0)+3),INDEX(Cards!$B$4:$B$1000,MATCH($B213,Cards!$A$4:$A$1000,0))),"ไม่พบ Card ID ในชีต Cards"))</f>
        <v/>
      </c>
      <c r="D213" s="68" t="str">
        <f>IF(TRIM($B213)="","",IFERROR(INDEX(Cards!$M$4:$M$1000,MATCH($B213,Cards!$A$4:$A$1000,0))&amp;"","-"))</f>
        <v/>
      </c>
    </row>
    <row r="214" spans="3:4" x14ac:dyDescent="0.3">
      <c r="C214" s="68" t="str">
        <f>IF(TRIM($B214)="","",IFERROR(HYPERLINK("#'Cards'!A"&amp;(MATCH($B214,Cards!$A$4:$A$1000,0)+3),INDEX(Cards!$B$4:$B$1000,MATCH($B214,Cards!$A$4:$A$1000,0))),"ไม่พบ Card ID ในชีต Cards"))</f>
        <v/>
      </c>
      <c r="D214" s="68" t="str">
        <f>IF(TRIM($B214)="","",IFERROR(INDEX(Cards!$M$4:$M$1000,MATCH($B214,Cards!$A$4:$A$1000,0))&amp;"","-"))</f>
        <v/>
      </c>
    </row>
    <row r="215" spans="3:4" x14ac:dyDescent="0.3">
      <c r="C215" s="68" t="str">
        <f>IF(TRIM($B215)="","",IFERROR(HYPERLINK("#'Cards'!A"&amp;(MATCH($B215,Cards!$A$4:$A$1000,0)+3),INDEX(Cards!$B$4:$B$1000,MATCH($B215,Cards!$A$4:$A$1000,0))),"ไม่พบ Card ID ในชีต Cards"))</f>
        <v/>
      </c>
      <c r="D215" s="68" t="str">
        <f>IF(TRIM($B215)="","",IFERROR(INDEX(Cards!$M$4:$M$1000,MATCH($B215,Cards!$A$4:$A$1000,0))&amp;"","-"))</f>
        <v/>
      </c>
    </row>
    <row r="216" spans="3:4" x14ac:dyDescent="0.3">
      <c r="C216" s="68" t="str">
        <f>IF(TRIM($B216)="","",IFERROR(HYPERLINK("#'Cards'!A"&amp;(MATCH($B216,Cards!$A$4:$A$1000,0)+3),INDEX(Cards!$B$4:$B$1000,MATCH($B216,Cards!$A$4:$A$1000,0))),"ไม่พบ Card ID ในชีต Cards"))</f>
        <v/>
      </c>
      <c r="D216" s="68" t="str">
        <f>IF(TRIM($B216)="","",IFERROR(INDEX(Cards!$M$4:$M$1000,MATCH($B216,Cards!$A$4:$A$1000,0))&amp;"","-"))</f>
        <v/>
      </c>
    </row>
    <row r="217" spans="3:4" x14ac:dyDescent="0.3">
      <c r="C217" s="68" t="str">
        <f>IF(TRIM($B217)="","",IFERROR(HYPERLINK("#'Cards'!A"&amp;(MATCH($B217,Cards!$A$4:$A$1000,0)+3),INDEX(Cards!$B$4:$B$1000,MATCH($B217,Cards!$A$4:$A$1000,0))),"ไม่พบ Card ID ในชีต Cards"))</f>
        <v/>
      </c>
      <c r="D217" s="68" t="str">
        <f>IF(TRIM($B217)="","",IFERROR(INDEX(Cards!$M$4:$M$1000,MATCH($B217,Cards!$A$4:$A$1000,0))&amp;"","-"))</f>
        <v/>
      </c>
    </row>
    <row r="218" spans="3:4" x14ac:dyDescent="0.3">
      <c r="C218" s="68" t="str">
        <f>IF(TRIM($B218)="","",IFERROR(HYPERLINK("#'Cards'!A"&amp;(MATCH($B218,Cards!$A$4:$A$1000,0)+3),INDEX(Cards!$B$4:$B$1000,MATCH($B218,Cards!$A$4:$A$1000,0))),"ไม่พบ Card ID ในชีต Cards"))</f>
        <v/>
      </c>
      <c r="D218" s="68" t="str">
        <f>IF(TRIM($B218)="","",IFERROR(INDEX(Cards!$M$4:$M$1000,MATCH($B218,Cards!$A$4:$A$1000,0))&amp;"","-"))</f>
        <v/>
      </c>
    </row>
    <row r="219" spans="3:4" x14ac:dyDescent="0.3">
      <c r="C219" s="68" t="str">
        <f>IF(TRIM($B219)="","",IFERROR(HYPERLINK("#'Cards'!A"&amp;(MATCH($B219,Cards!$A$4:$A$1000,0)+3),INDEX(Cards!$B$4:$B$1000,MATCH($B219,Cards!$A$4:$A$1000,0))),"ไม่พบ Card ID ในชีต Cards"))</f>
        <v/>
      </c>
      <c r="D219" s="68" t="str">
        <f>IF(TRIM($B219)="","",IFERROR(INDEX(Cards!$M$4:$M$1000,MATCH($B219,Cards!$A$4:$A$1000,0))&amp;"","-"))</f>
        <v/>
      </c>
    </row>
    <row r="220" spans="3:4" x14ac:dyDescent="0.3">
      <c r="C220" s="68" t="str">
        <f>IF(TRIM($B220)="","",IFERROR(HYPERLINK("#'Cards'!A"&amp;(MATCH($B220,Cards!$A$4:$A$1000,0)+3),INDEX(Cards!$B$4:$B$1000,MATCH($B220,Cards!$A$4:$A$1000,0))),"ไม่พบ Card ID ในชีต Cards"))</f>
        <v/>
      </c>
      <c r="D220" s="68" t="str">
        <f>IF(TRIM($B220)="","",IFERROR(INDEX(Cards!$M$4:$M$1000,MATCH($B220,Cards!$A$4:$A$1000,0))&amp;"","-"))</f>
        <v/>
      </c>
    </row>
    <row r="221" spans="3:4" x14ac:dyDescent="0.3">
      <c r="C221" s="68" t="str">
        <f>IF(TRIM($B221)="","",IFERROR(HYPERLINK("#'Cards'!A"&amp;(MATCH($B221,Cards!$A$4:$A$1000,0)+3),INDEX(Cards!$B$4:$B$1000,MATCH($B221,Cards!$A$4:$A$1000,0))),"ไม่พบ Card ID ในชีต Cards"))</f>
        <v/>
      </c>
      <c r="D221" s="68" t="str">
        <f>IF(TRIM($B221)="","",IFERROR(INDEX(Cards!$M$4:$M$1000,MATCH($B221,Cards!$A$4:$A$1000,0))&amp;"","-"))</f>
        <v/>
      </c>
    </row>
    <row r="222" spans="3:4" x14ac:dyDescent="0.3">
      <c r="C222" s="68" t="str">
        <f>IF(TRIM($B222)="","",IFERROR(HYPERLINK("#'Cards'!A"&amp;(MATCH($B222,Cards!$A$4:$A$1000,0)+3),INDEX(Cards!$B$4:$B$1000,MATCH($B222,Cards!$A$4:$A$1000,0))),"ไม่พบ Card ID ในชีต Cards"))</f>
        <v/>
      </c>
      <c r="D222" s="68" t="str">
        <f>IF(TRIM($B222)="","",IFERROR(INDEX(Cards!$M$4:$M$1000,MATCH($B222,Cards!$A$4:$A$1000,0))&amp;"","-"))</f>
        <v/>
      </c>
    </row>
    <row r="223" spans="3:4" x14ac:dyDescent="0.3">
      <c r="C223" s="68" t="str">
        <f>IF(TRIM($B223)="","",IFERROR(HYPERLINK("#'Cards'!A"&amp;(MATCH($B223,Cards!$A$4:$A$1000,0)+3),INDEX(Cards!$B$4:$B$1000,MATCH($B223,Cards!$A$4:$A$1000,0))),"ไม่พบ Card ID ในชีต Cards"))</f>
        <v/>
      </c>
      <c r="D223" s="68" t="str">
        <f>IF(TRIM($B223)="","",IFERROR(INDEX(Cards!$M$4:$M$1000,MATCH($B223,Cards!$A$4:$A$1000,0))&amp;"","-"))</f>
        <v/>
      </c>
    </row>
    <row r="224" spans="3:4" x14ac:dyDescent="0.3">
      <c r="C224" s="68" t="str">
        <f>IF(TRIM($B224)="","",IFERROR(HYPERLINK("#'Cards'!A"&amp;(MATCH($B224,Cards!$A$4:$A$1000,0)+3),INDEX(Cards!$B$4:$B$1000,MATCH($B224,Cards!$A$4:$A$1000,0))),"ไม่พบ Card ID ในชีต Cards"))</f>
        <v/>
      </c>
      <c r="D224" s="68" t="str">
        <f>IF(TRIM($B224)="","",IFERROR(INDEX(Cards!$M$4:$M$1000,MATCH($B224,Cards!$A$4:$A$1000,0))&amp;"","-"))</f>
        <v/>
      </c>
    </row>
    <row r="225" spans="3:4" x14ac:dyDescent="0.3">
      <c r="C225" s="68" t="str">
        <f>IF(TRIM($B225)="","",IFERROR(HYPERLINK("#'Cards'!A"&amp;(MATCH($B225,Cards!$A$4:$A$1000,0)+3),INDEX(Cards!$B$4:$B$1000,MATCH($B225,Cards!$A$4:$A$1000,0))),"ไม่พบ Card ID ในชีต Cards"))</f>
        <v/>
      </c>
      <c r="D225" s="68" t="str">
        <f>IF(TRIM($B225)="","",IFERROR(INDEX(Cards!$M$4:$M$1000,MATCH($B225,Cards!$A$4:$A$1000,0))&amp;"","-"))</f>
        <v/>
      </c>
    </row>
    <row r="226" spans="3:4" x14ac:dyDescent="0.3">
      <c r="C226" s="68" t="str">
        <f>IF(TRIM($B226)="","",IFERROR(HYPERLINK("#'Cards'!A"&amp;(MATCH($B226,Cards!$A$4:$A$1000,0)+3),INDEX(Cards!$B$4:$B$1000,MATCH($B226,Cards!$A$4:$A$1000,0))),"ไม่พบ Card ID ในชีต Cards"))</f>
        <v/>
      </c>
      <c r="D226" s="68" t="str">
        <f>IF(TRIM($B226)="","",IFERROR(INDEX(Cards!$M$4:$M$1000,MATCH($B226,Cards!$A$4:$A$1000,0))&amp;"","-"))</f>
        <v/>
      </c>
    </row>
    <row r="227" spans="3:4" x14ac:dyDescent="0.3">
      <c r="C227" s="68" t="str">
        <f>IF(TRIM($B227)="","",IFERROR(HYPERLINK("#'Cards'!A"&amp;(MATCH($B227,Cards!$A$4:$A$1000,0)+3),INDEX(Cards!$B$4:$B$1000,MATCH($B227,Cards!$A$4:$A$1000,0))),"ไม่พบ Card ID ในชีต Cards"))</f>
        <v/>
      </c>
      <c r="D227" s="68" t="str">
        <f>IF(TRIM($B227)="","",IFERROR(INDEX(Cards!$M$4:$M$1000,MATCH($B227,Cards!$A$4:$A$1000,0))&amp;"","-"))</f>
        <v/>
      </c>
    </row>
    <row r="228" spans="3:4" x14ac:dyDescent="0.3">
      <c r="C228" s="68" t="str">
        <f>IF(TRIM($B228)="","",IFERROR(HYPERLINK("#'Cards'!A"&amp;(MATCH($B228,Cards!$A$4:$A$1000,0)+3),INDEX(Cards!$B$4:$B$1000,MATCH($B228,Cards!$A$4:$A$1000,0))),"ไม่พบ Card ID ในชีต Cards"))</f>
        <v/>
      </c>
      <c r="D228" s="68" t="str">
        <f>IF(TRIM($B228)="","",IFERROR(INDEX(Cards!$M$4:$M$1000,MATCH($B228,Cards!$A$4:$A$1000,0))&amp;"","-"))</f>
        <v/>
      </c>
    </row>
    <row r="229" spans="3:4" x14ac:dyDescent="0.3">
      <c r="C229" s="68" t="str">
        <f>IF(TRIM($B229)="","",IFERROR(HYPERLINK("#'Cards'!A"&amp;(MATCH($B229,Cards!$A$4:$A$1000,0)+3),INDEX(Cards!$B$4:$B$1000,MATCH($B229,Cards!$A$4:$A$1000,0))),"ไม่พบ Card ID ในชีต Cards"))</f>
        <v/>
      </c>
      <c r="D229" s="68" t="str">
        <f>IF(TRIM($B229)="","",IFERROR(INDEX(Cards!$M$4:$M$1000,MATCH($B229,Cards!$A$4:$A$1000,0))&amp;"","-"))</f>
        <v/>
      </c>
    </row>
    <row r="230" spans="3:4" x14ac:dyDescent="0.3">
      <c r="C230" s="68" t="str">
        <f>IF(TRIM($B230)="","",IFERROR(HYPERLINK("#'Cards'!A"&amp;(MATCH($B230,Cards!$A$4:$A$1000,0)+3),INDEX(Cards!$B$4:$B$1000,MATCH($B230,Cards!$A$4:$A$1000,0))),"ไม่พบ Card ID ในชีต Cards"))</f>
        <v/>
      </c>
      <c r="D230" s="68" t="str">
        <f>IF(TRIM($B230)="","",IFERROR(INDEX(Cards!$M$4:$M$1000,MATCH($B230,Cards!$A$4:$A$1000,0))&amp;"","-"))</f>
        <v/>
      </c>
    </row>
    <row r="231" spans="3:4" x14ac:dyDescent="0.3">
      <c r="C231" s="68" t="str">
        <f>IF(TRIM($B231)="","",IFERROR(HYPERLINK("#'Cards'!A"&amp;(MATCH($B231,Cards!$A$4:$A$1000,0)+3),INDEX(Cards!$B$4:$B$1000,MATCH($B231,Cards!$A$4:$A$1000,0))),"ไม่พบ Card ID ในชีต Cards"))</f>
        <v/>
      </c>
      <c r="D231" s="68" t="str">
        <f>IF(TRIM($B231)="","",IFERROR(INDEX(Cards!$M$4:$M$1000,MATCH($B231,Cards!$A$4:$A$1000,0))&amp;"","-"))</f>
        <v/>
      </c>
    </row>
    <row r="232" spans="3:4" x14ac:dyDescent="0.3">
      <c r="C232" s="68" t="str">
        <f>IF(TRIM($B232)="","",IFERROR(HYPERLINK("#'Cards'!A"&amp;(MATCH($B232,Cards!$A$4:$A$1000,0)+3),INDEX(Cards!$B$4:$B$1000,MATCH($B232,Cards!$A$4:$A$1000,0))),"ไม่พบ Card ID ในชีต Cards"))</f>
        <v/>
      </c>
      <c r="D232" s="68" t="str">
        <f>IF(TRIM($B232)="","",IFERROR(INDEX(Cards!$M$4:$M$1000,MATCH($B232,Cards!$A$4:$A$1000,0))&amp;"","-"))</f>
        <v/>
      </c>
    </row>
    <row r="233" spans="3:4" x14ac:dyDescent="0.3">
      <c r="C233" s="68" t="str">
        <f>IF(TRIM($B233)="","",IFERROR(HYPERLINK("#'Cards'!A"&amp;(MATCH($B233,Cards!$A$4:$A$1000,0)+3),INDEX(Cards!$B$4:$B$1000,MATCH($B233,Cards!$A$4:$A$1000,0))),"ไม่พบ Card ID ในชีต Cards"))</f>
        <v/>
      </c>
      <c r="D233" s="68" t="str">
        <f>IF(TRIM($B233)="","",IFERROR(INDEX(Cards!$M$4:$M$1000,MATCH($B233,Cards!$A$4:$A$1000,0))&amp;"","-"))</f>
        <v/>
      </c>
    </row>
    <row r="234" spans="3:4" x14ac:dyDescent="0.3">
      <c r="C234" s="68" t="str">
        <f>IF(TRIM($B234)="","",IFERROR(HYPERLINK("#'Cards'!A"&amp;(MATCH($B234,Cards!$A$4:$A$1000,0)+3),INDEX(Cards!$B$4:$B$1000,MATCH($B234,Cards!$A$4:$A$1000,0))),"ไม่พบ Card ID ในชีต Cards"))</f>
        <v/>
      </c>
      <c r="D234" s="68" t="str">
        <f>IF(TRIM($B234)="","",IFERROR(INDEX(Cards!$M$4:$M$1000,MATCH($B234,Cards!$A$4:$A$1000,0))&amp;"","-"))</f>
        <v/>
      </c>
    </row>
    <row r="235" spans="3:4" x14ac:dyDescent="0.3">
      <c r="C235" s="68" t="str">
        <f>IF(TRIM($B235)="","",IFERROR(HYPERLINK("#'Cards'!A"&amp;(MATCH($B235,Cards!$A$4:$A$1000,0)+3),INDEX(Cards!$B$4:$B$1000,MATCH($B235,Cards!$A$4:$A$1000,0))),"ไม่พบ Card ID ในชีต Cards"))</f>
        <v/>
      </c>
      <c r="D235" s="68" t="str">
        <f>IF(TRIM($B235)="","",IFERROR(INDEX(Cards!$M$4:$M$1000,MATCH($B235,Cards!$A$4:$A$1000,0))&amp;"","-"))</f>
        <v/>
      </c>
    </row>
    <row r="236" spans="3:4" x14ac:dyDescent="0.3">
      <c r="C236" s="68" t="str">
        <f>IF(TRIM($B236)="","",IFERROR(HYPERLINK("#'Cards'!A"&amp;(MATCH($B236,Cards!$A$4:$A$1000,0)+3),INDEX(Cards!$B$4:$B$1000,MATCH($B236,Cards!$A$4:$A$1000,0))),"ไม่พบ Card ID ในชีต Cards"))</f>
        <v/>
      </c>
      <c r="D236" s="68" t="str">
        <f>IF(TRIM($B236)="","",IFERROR(INDEX(Cards!$M$4:$M$1000,MATCH($B236,Cards!$A$4:$A$1000,0))&amp;"","-"))</f>
        <v/>
      </c>
    </row>
    <row r="237" spans="3:4" x14ac:dyDescent="0.3">
      <c r="C237" s="68" t="str">
        <f>IF(TRIM($B237)="","",IFERROR(HYPERLINK("#'Cards'!A"&amp;(MATCH($B237,Cards!$A$4:$A$1000,0)+3),INDEX(Cards!$B$4:$B$1000,MATCH($B237,Cards!$A$4:$A$1000,0))),"ไม่พบ Card ID ในชีต Cards"))</f>
        <v/>
      </c>
      <c r="D237" s="68" t="str">
        <f>IF(TRIM($B237)="","",IFERROR(INDEX(Cards!$M$4:$M$1000,MATCH($B237,Cards!$A$4:$A$1000,0))&amp;"","-"))</f>
        <v/>
      </c>
    </row>
    <row r="238" spans="3:4" x14ac:dyDescent="0.3">
      <c r="C238" s="68" t="str">
        <f>IF(TRIM($B238)="","",IFERROR(HYPERLINK("#'Cards'!A"&amp;(MATCH($B238,Cards!$A$4:$A$1000,0)+3),INDEX(Cards!$B$4:$B$1000,MATCH($B238,Cards!$A$4:$A$1000,0))),"ไม่พบ Card ID ในชีต Cards"))</f>
        <v/>
      </c>
      <c r="D238" s="68" t="str">
        <f>IF(TRIM($B238)="","",IFERROR(INDEX(Cards!$M$4:$M$1000,MATCH($B238,Cards!$A$4:$A$1000,0))&amp;"","-"))</f>
        <v/>
      </c>
    </row>
    <row r="239" spans="3:4" x14ac:dyDescent="0.3">
      <c r="C239" s="68" t="str">
        <f>IF(TRIM($B239)="","",IFERROR(HYPERLINK("#'Cards'!A"&amp;(MATCH($B239,Cards!$A$4:$A$1000,0)+3),INDEX(Cards!$B$4:$B$1000,MATCH($B239,Cards!$A$4:$A$1000,0))),"ไม่พบ Card ID ในชีต Cards"))</f>
        <v/>
      </c>
      <c r="D239" s="68" t="str">
        <f>IF(TRIM($B239)="","",IFERROR(INDEX(Cards!$M$4:$M$1000,MATCH($B239,Cards!$A$4:$A$1000,0))&amp;"","-"))</f>
        <v/>
      </c>
    </row>
    <row r="240" spans="3:4" x14ac:dyDescent="0.3">
      <c r="C240" s="68" t="str">
        <f>IF(TRIM($B240)="","",IFERROR(HYPERLINK("#'Cards'!A"&amp;(MATCH($B240,Cards!$A$4:$A$1000,0)+3),INDEX(Cards!$B$4:$B$1000,MATCH($B240,Cards!$A$4:$A$1000,0))),"ไม่พบ Card ID ในชีต Cards"))</f>
        <v/>
      </c>
      <c r="D240" s="68" t="str">
        <f>IF(TRIM($B240)="","",IFERROR(INDEX(Cards!$M$4:$M$1000,MATCH($B240,Cards!$A$4:$A$1000,0))&amp;"","-"))</f>
        <v/>
      </c>
    </row>
    <row r="241" spans="3:4" x14ac:dyDescent="0.3">
      <c r="C241" s="68" t="str">
        <f>IF(TRIM($B241)="","",IFERROR(HYPERLINK("#'Cards'!A"&amp;(MATCH($B241,Cards!$A$4:$A$1000,0)+3),INDEX(Cards!$B$4:$B$1000,MATCH($B241,Cards!$A$4:$A$1000,0))),"ไม่พบ Card ID ในชีต Cards"))</f>
        <v/>
      </c>
      <c r="D241" s="68" t="str">
        <f>IF(TRIM($B241)="","",IFERROR(INDEX(Cards!$M$4:$M$1000,MATCH($B241,Cards!$A$4:$A$1000,0))&amp;"","-"))</f>
        <v/>
      </c>
    </row>
    <row r="242" spans="3:4" x14ac:dyDescent="0.3">
      <c r="C242" s="68" t="str">
        <f>IF(TRIM($B242)="","",IFERROR(HYPERLINK("#'Cards'!A"&amp;(MATCH($B242,Cards!$A$4:$A$1000,0)+3),INDEX(Cards!$B$4:$B$1000,MATCH($B242,Cards!$A$4:$A$1000,0))),"ไม่พบ Card ID ในชีต Cards"))</f>
        <v/>
      </c>
      <c r="D242" s="68" t="str">
        <f>IF(TRIM($B242)="","",IFERROR(INDEX(Cards!$M$4:$M$1000,MATCH($B242,Cards!$A$4:$A$1000,0))&amp;"","-"))</f>
        <v/>
      </c>
    </row>
    <row r="243" spans="3:4" x14ac:dyDescent="0.3">
      <c r="C243" s="68" t="str">
        <f>IF(TRIM($B243)="","",IFERROR(HYPERLINK("#'Cards'!A"&amp;(MATCH($B243,Cards!$A$4:$A$1000,0)+3),INDEX(Cards!$B$4:$B$1000,MATCH($B243,Cards!$A$4:$A$1000,0))),"ไม่พบ Card ID ในชีต Cards"))</f>
        <v/>
      </c>
      <c r="D243" s="68" t="str">
        <f>IF(TRIM($B243)="","",IFERROR(INDEX(Cards!$M$4:$M$1000,MATCH($B243,Cards!$A$4:$A$1000,0))&amp;"","-"))</f>
        <v/>
      </c>
    </row>
    <row r="244" spans="3:4" x14ac:dyDescent="0.3">
      <c r="C244" s="68" t="str">
        <f>IF(TRIM($B244)="","",IFERROR(HYPERLINK("#'Cards'!A"&amp;(MATCH($B244,Cards!$A$4:$A$1000,0)+3),INDEX(Cards!$B$4:$B$1000,MATCH($B244,Cards!$A$4:$A$1000,0))),"ไม่พบ Card ID ในชีต Cards"))</f>
        <v/>
      </c>
      <c r="D244" s="68" t="str">
        <f>IF(TRIM($B244)="","",IFERROR(INDEX(Cards!$M$4:$M$1000,MATCH($B244,Cards!$A$4:$A$1000,0))&amp;"","-"))</f>
        <v/>
      </c>
    </row>
    <row r="245" spans="3:4" x14ac:dyDescent="0.3">
      <c r="C245" s="68" t="str">
        <f>IF(TRIM($B245)="","",IFERROR(HYPERLINK("#'Cards'!A"&amp;(MATCH($B245,Cards!$A$4:$A$1000,0)+3),INDEX(Cards!$B$4:$B$1000,MATCH($B245,Cards!$A$4:$A$1000,0))),"ไม่พบ Card ID ในชีต Cards"))</f>
        <v/>
      </c>
      <c r="D245" s="68" t="str">
        <f>IF(TRIM($B245)="","",IFERROR(INDEX(Cards!$M$4:$M$1000,MATCH($B245,Cards!$A$4:$A$1000,0))&amp;"","-"))</f>
        <v/>
      </c>
    </row>
    <row r="246" spans="3:4" x14ac:dyDescent="0.3">
      <c r="C246" s="68" t="str">
        <f>IF(TRIM($B246)="","",IFERROR(HYPERLINK("#'Cards'!A"&amp;(MATCH($B246,Cards!$A$4:$A$1000,0)+3),INDEX(Cards!$B$4:$B$1000,MATCH($B246,Cards!$A$4:$A$1000,0))),"ไม่พบ Card ID ในชีต Cards"))</f>
        <v/>
      </c>
      <c r="D246" s="68" t="str">
        <f>IF(TRIM($B246)="","",IFERROR(INDEX(Cards!$M$4:$M$1000,MATCH($B246,Cards!$A$4:$A$1000,0))&amp;"","-"))</f>
        <v/>
      </c>
    </row>
    <row r="247" spans="3:4" x14ac:dyDescent="0.3">
      <c r="C247" s="68" t="str">
        <f>IF(TRIM($B247)="","",IFERROR(HYPERLINK("#'Cards'!A"&amp;(MATCH($B247,Cards!$A$4:$A$1000,0)+3),INDEX(Cards!$B$4:$B$1000,MATCH($B247,Cards!$A$4:$A$1000,0))),"ไม่พบ Card ID ในชีต Cards"))</f>
        <v/>
      </c>
      <c r="D247" s="68" t="str">
        <f>IF(TRIM($B247)="","",IFERROR(INDEX(Cards!$M$4:$M$1000,MATCH($B247,Cards!$A$4:$A$1000,0))&amp;"","-"))</f>
        <v/>
      </c>
    </row>
    <row r="248" spans="3:4" x14ac:dyDescent="0.3">
      <c r="C248" s="68" t="str">
        <f>IF(TRIM($B248)="","",IFERROR(HYPERLINK("#'Cards'!A"&amp;(MATCH($B248,Cards!$A$4:$A$1000,0)+3),INDEX(Cards!$B$4:$B$1000,MATCH($B248,Cards!$A$4:$A$1000,0))),"ไม่พบ Card ID ในชีต Cards"))</f>
        <v/>
      </c>
      <c r="D248" s="68" t="str">
        <f>IF(TRIM($B248)="","",IFERROR(INDEX(Cards!$M$4:$M$1000,MATCH($B248,Cards!$A$4:$A$1000,0))&amp;"","-"))</f>
        <v/>
      </c>
    </row>
    <row r="249" spans="3:4" x14ac:dyDescent="0.3">
      <c r="C249" s="68" t="str">
        <f>IF(TRIM($B249)="","",IFERROR(HYPERLINK("#'Cards'!A"&amp;(MATCH($B249,Cards!$A$4:$A$1000,0)+3),INDEX(Cards!$B$4:$B$1000,MATCH($B249,Cards!$A$4:$A$1000,0))),"ไม่พบ Card ID ในชีต Cards"))</f>
        <v/>
      </c>
      <c r="D249" s="68" t="str">
        <f>IF(TRIM($B249)="","",IFERROR(INDEX(Cards!$M$4:$M$1000,MATCH($B249,Cards!$A$4:$A$1000,0))&amp;"","-"))</f>
        <v/>
      </c>
    </row>
    <row r="250" spans="3:4" x14ac:dyDescent="0.3">
      <c r="C250" s="68" t="str">
        <f>IF(TRIM($B250)="","",IFERROR(HYPERLINK("#'Cards'!A"&amp;(MATCH($B250,Cards!$A$4:$A$1000,0)+3),INDEX(Cards!$B$4:$B$1000,MATCH($B250,Cards!$A$4:$A$1000,0))),"ไม่พบ Card ID ในชีต Cards"))</f>
        <v/>
      </c>
      <c r="D250" s="68" t="str">
        <f>IF(TRIM($B250)="","",IFERROR(INDEX(Cards!$M$4:$M$1000,MATCH($B250,Cards!$A$4:$A$1000,0))&amp;"","-"))</f>
        <v/>
      </c>
    </row>
    <row r="251" spans="3:4" x14ac:dyDescent="0.3">
      <c r="C251" s="68" t="str">
        <f>IF(TRIM($B251)="","",IFERROR(HYPERLINK("#'Cards'!A"&amp;(MATCH($B251,Cards!$A$4:$A$1000,0)+3),INDEX(Cards!$B$4:$B$1000,MATCH($B251,Cards!$A$4:$A$1000,0))),"ไม่พบ Card ID ในชีต Cards"))</f>
        <v/>
      </c>
      <c r="D251" s="68" t="str">
        <f>IF(TRIM($B251)="","",IFERROR(INDEX(Cards!$M$4:$M$1000,MATCH($B251,Cards!$A$4:$A$1000,0))&amp;"","-"))</f>
        <v/>
      </c>
    </row>
    <row r="252" spans="3:4" x14ac:dyDescent="0.3">
      <c r="C252" s="68" t="str">
        <f>IF(TRIM($B252)="","",IFERROR(HYPERLINK("#'Cards'!A"&amp;(MATCH($B252,Cards!$A$4:$A$1000,0)+3),INDEX(Cards!$B$4:$B$1000,MATCH($B252,Cards!$A$4:$A$1000,0))),"ไม่พบ Card ID ในชีต Cards"))</f>
        <v/>
      </c>
      <c r="D252" s="68" t="str">
        <f>IF(TRIM($B252)="","",IFERROR(INDEX(Cards!$M$4:$M$1000,MATCH($B252,Cards!$A$4:$A$1000,0))&amp;"","-"))</f>
        <v/>
      </c>
    </row>
    <row r="253" spans="3:4" x14ac:dyDescent="0.3">
      <c r="C253" s="68" t="str">
        <f>IF(TRIM($B253)="","",IFERROR(HYPERLINK("#'Cards'!A"&amp;(MATCH($B253,Cards!$A$4:$A$1000,0)+3),INDEX(Cards!$B$4:$B$1000,MATCH($B253,Cards!$A$4:$A$1000,0))),"ไม่พบ Card ID ในชีต Cards"))</f>
        <v/>
      </c>
      <c r="D253" s="68" t="str">
        <f>IF(TRIM($B253)="","",IFERROR(INDEX(Cards!$M$4:$M$1000,MATCH($B253,Cards!$A$4:$A$1000,0))&amp;"","-"))</f>
        <v/>
      </c>
    </row>
    <row r="254" spans="3:4" x14ac:dyDescent="0.3">
      <c r="C254" s="68" t="str">
        <f>IF(TRIM($B254)="","",IFERROR(HYPERLINK("#'Cards'!A"&amp;(MATCH($B254,Cards!$A$4:$A$1000,0)+3),INDEX(Cards!$B$4:$B$1000,MATCH($B254,Cards!$A$4:$A$1000,0))),"ไม่พบ Card ID ในชีต Cards"))</f>
        <v/>
      </c>
      <c r="D254" s="68" t="str">
        <f>IF(TRIM($B254)="","",IFERROR(INDEX(Cards!$M$4:$M$1000,MATCH($B254,Cards!$A$4:$A$1000,0))&amp;"","-"))</f>
        <v/>
      </c>
    </row>
    <row r="255" spans="3:4" x14ac:dyDescent="0.3">
      <c r="C255" s="68" t="str">
        <f>IF(TRIM($B255)="","",IFERROR(HYPERLINK("#'Cards'!A"&amp;(MATCH($B255,Cards!$A$4:$A$1000,0)+3),INDEX(Cards!$B$4:$B$1000,MATCH($B255,Cards!$A$4:$A$1000,0))),"ไม่พบ Card ID ในชีต Cards"))</f>
        <v/>
      </c>
      <c r="D255" s="68" t="str">
        <f>IF(TRIM($B255)="","",IFERROR(INDEX(Cards!$M$4:$M$1000,MATCH($B255,Cards!$A$4:$A$1000,0))&amp;"","-"))</f>
        <v/>
      </c>
    </row>
    <row r="256" spans="3:4" x14ac:dyDescent="0.3">
      <c r="C256" s="68" t="str">
        <f>IF(TRIM($B256)="","",IFERROR(HYPERLINK("#'Cards'!A"&amp;(MATCH($B256,Cards!$A$4:$A$1000,0)+3),INDEX(Cards!$B$4:$B$1000,MATCH($B256,Cards!$A$4:$A$1000,0))),"ไม่พบ Card ID ในชีต Cards"))</f>
        <v/>
      </c>
      <c r="D256" s="68" t="str">
        <f>IF(TRIM($B256)="","",IFERROR(INDEX(Cards!$M$4:$M$1000,MATCH($B256,Cards!$A$4:$A$1000,0))&amp;"","-"))</f>
        <v/>
      </c>
    </row>
    <row r="257" spans="3:4" x14ac:dyDescent="0.3">
      <c r="C257" s="68" t="str">
        <f>IF(TRIM($B257)="","",IFERROR(HYPERLINK("#'Cards'!A"&amp;(MATCH($B257,Cards!$A$4:$A$1000,0)+3),INDEX(Cards!$B$4:$B$1000,MATCH($B257,Cards!$A$4:$A$1000,0))),"ไม่พบ Card ID ในชีต Cards"))</f>
        <v/>
      </c>
      <c r="D257" s="68" t="str">
        <f>IF(TRIM($B257)="","",IFERROR(INDEX(Cards!$M$4:$M$1000,MATCH($B257,Cards!$A$4:$A$1000,0))&amp;"","-"))</f>
        <v/>
      </c>
    </row>
    <row r="258" spans="3:4" x14ac:dyDescent="0.3">
      <c r="C258" s="68" t="str">
        <f>IF(TRIM($B258)="","",IFERROR(HYPERLINK("#'Cards'!A"&amp;(MATCH($B258,Cards!$A$4:$A$1000,0)+3),INDEX(Cards!$B$4:$B$1000,MATCH($B258,Cards!$A$4:$A$1000,0))),"ไม่พบ Card ID ในชีต Cards"))</f>
        <v/>
      </c>
      <c r="D258" s="68" t="str">
        <f>IF(TRIM($B258)="","",IFERROR(INDEX(Cards!$M$4:$M$1000,MATCH($B258,Cards!$A$4:$A$1000,0))&amp;"","-"))</f>
        <v/>
      </c>
    </row>
    <row r="259" spans="3:4" x14ac:dyDescent="0.3">
      <c r="C259" s="68" t="str">
        <f>IF(TRIM($B259)="","",IFERROR(HYPERLINK("#'Cards'!A"&amp;(MATCH($B259,Cards!$A$4:$A$1000,0)+3),INDEX(Cards!$B$4:$B$1000,MATCH($B259,Cards!$A$4:$A$1000,0))),"ไม่พบ Card ID ในชีต Cards"))</f>
        <v/>
      </c>
      <c r="D259" s="68" t="str">
        <f>IF(TRIM($B259)="","",IFERROR(INDEX(Cards!$M$4:$M$1000,MATCH($B259,Cards!$A$4:$A$1000,0))&amp;"","-"))</f>
        <v/>
      </c>
    </row>
    <row r="260" spans="3:4" x14ac:dyDescent="0.3">
      <c r="C260" s="68" t="str">
        <f>IF(TRIM($B260)="","",IFERROR(HYPERLINK("#'Cards'!A"&amp;(MATCH($B260,Cards!$A$4:$A$1000,0)+3),INDEX(Cards!$B$4:$B$1000,MATCH($B260,Cards!$A$4:$A$1000,0))),"ไม่พบ Card ID ในชีต Cards"))</f>
        <v/>
      </c>
      <c r="D260" s="68" t="str">
        <f>IF(TRIM($B260)="","",IFERROR(INDEX(Cards!$M$4:$M$1000,MATCH($B260,Cards!$A$4:$A$1000,0))&amp;"","-"))</f>
        <v/>
      </c>
    </row>
    <row r="261" spans="3:4" x14ac:dyDescent="0.3">
      <c r="C261" s="68" t="str">
        <f>IF(TRIM($B261)="","",IFERROR(HYPERLINK("#'Cards'!A"&amp;(MATCH($B261,Cards!$A$4:$A$1000,0)+3),INDEX(Cards!$B$4:$B$1000,MATCH($B261,Cards!$A$4:$A$1000,0))),"ไม่พบ Card ID ในชีต Cards"))</f>
        <v/>
      </c>
      <c r="D261" s="68" t="str">
        <f>IF(TRIM($B261)="","",IFERROR(INDEX(Cards!$M$4:$M$1000,MATCH($B261,Cards!$A$4:$A$1000,0))&amp;"","-"))</f>
        <v/>
      </c>
    </row>
    <row r="262" spans="3:4" x14ac:dyDescent="0.3">
      <c r="C262" s="68" t="str">
        <f>IF(TRIM($B262)="","",IFERROR(HYPERLINK("#'Cards'!A"&amp;(MATCH($B262,Cards!$A$4:$A$1000,0)+3),INDEX(Cards!$B$4:$B$1000,MATCH($B262,Cards!$A$4:$A$1000,0))),"ไม่พบ Card ID ในชีต Cards"))</f>
        <v/>
      </c>
      <c r="D262" s="68" t="str">
        <f>IF(TRIM($B262)="","",IFERROR(INDEX(Cards!$M$4:$M$1000,MATCH($B262,Cards!$A$4:$A$1000,0))&amp;"","-"))</f>
        <v/>
      </c>
    </row>
    <row r="263" spans="3:4" x14ac:dyDescent="0.3">
      <c r="C263" s="68" t="str">
        <f>IF(TRIM($B263)="","",IFERROR(HYPERLINK("#'Cards'!A"&amp;(MATCH($B263,Cards!$A$4:$A$1000,0)+3),INDEX(Cards!$B$4:$B$1000,MATCH($B263,Cards!$A$4:$A$1000,0))),"ไม่พบ Card ID ในชีต Cards"))</f>
        <v/>
      </c>
      <c r="D263" s="68" t="str">
        <f>IF(TRIM($B263)="","",IFERROR(INDEX(Cards!$M$4:$M$1000,MATCH($B263,Cards!$A$4:$A$1000,0))&amp;"","-"))</f>
        <v/>
      </c>
    </row>
    <row r="264" spans="3:4" x14ac:dyDescent="0.3">
      <c r="C264" s="68" t="str">
        <f>IF(TRIM($B264)="","",IFERROR(HYPERLINK("#'Cards'!A"&amp;(MATCH($B264,Cards!$A$4:$A$1000,0)+3),INDEX(Cards!$B$4:$B$1000,MATCH($B264,Cards!$A$4:$A$1000,0))),"ไม่พบ Card ID ในชีต Cards"))</f>
        <v/>
      </c>
      <c r="D264" s="68" t="str">
        <f>IF(TRIM($B264)="","",IFERROR(INDEX(Cards!$M$4:$M$1000,MATCH($B264,Cards!$A$4:$A$1000,0))&amp;"","-"))</f>
        <v/>
      </c>
    </row>
    <row r="265" spans="3:4" x14ac:dyDescent="0.3">
      <c r="C265" s="68" t="str">
        <f>IF(TRIM($B265)="","",IFERROR(HYPERLINK("#'Cards'!A"&amp;(MATCH($B265,Cards!$A$4:$A$1000,0)+3),INDEX(Cards!$B$4:$B$1000,MATCH($B265,Cards!$A$4:$A$1000,0))),"ไม่พบ Card ID ในชีต Cards"))</f>
        <v/>
      </c>
      <c r="D265" s="68" t="str">
        <f>IF(TRIM($B265)="","",IFERROR(INDEX(Cards!$M$4:$M$1000,MATCH($B265,Cards!$A$4:$A$1000,0))&amp;"","-"))</f>
        <v/>
      </c>
    </row>
    <row r="266" spans="3:4" x14ac:dyDescent="0.3">
      <c r="C266" s="68" t="str">
        <f>IF(TRIM($B266)="","",IFERROR(HYPERLINK("#'Cards'!A"&amp;(MATCH($B266,Cards!$A$4:$A$1000,0)+3),INDEX(Cards!$B$4:$B$1000,MATCH($B266,Cards!$A$4:$A$1000,0))),"ไม่พบ Card ID ในชีต Cards"))</f>
        <v/>
      </c>
      <c r="D266" s="68" t="str">
        <f>IF(TRIM($B266)="","",IFERROR(INDEX(Cards!$M$4:$M$1000,MATCH($B266,Cards!$A$4:$A$1000,0))&amp;"","-"))</f>
        <v/>
      </c>
    </row>
    <row r="267" spans="3:4" x14ac:dyDescent="0.3">
      <c r="C267" s="68" t="str">
        <f>IF(TRIM($B267)="","",IFERROR(HYPERLINK("#'Cards'!A"&amp;(MATCH($B267,Cards!$A$4:$A$1000,0)+3),INDEX(Cards!$B$4:$B$1000,MATCH($B267,Cards!$A$4:$A$1000,0))),"ไม่พบ Card ID ในชีต Cards"))</f>
        <v/>
      </c>
      <c r="D267" s="68" t="str">
        <f>IF(TRIM($B267)="","",IFERROR(INDEX(Cards!$M$4:$M$1000,MATCH($B267,Cards!$A$4:$A$1000,0))&amp;"","-"))</f>
        <v/>
      </c>
    </row>
    <row r="268" spans="3:4" x14ac:dyDescent="0.3">
      <c r="C268" s="68" t="str">
        <f>IF(TRIM($B268)="","",IFERROR(HYPERLINK("#'Cards'!A"&amp;(MATCH($B268,Cards!$A$4:$A$1000,0)+3),INDEX(Cards!$B$4:$B$1000,MATCH($B268,Cards!$A$4:$A$1000,0))),"ไม่พบ Card ID ในชีต Cards"))</f>
        <v/>
      </c>
      <c r="D268" s="68" t="str">
        <f>IF(TRIM($B268)="","",IFERROR(INDEX(Cards!$M$4:$M$1000,MATCH($B268,Cards!$A$4:$A$1000,0))&amp;"","-"))</f>
        <v/>
      </c>
    </row>
    <row r="269" spans="3:4" x14ac:dyDescent="0.3">
      <c r="C269" s="68" t="str">
        <f>IF(TRIM($B269)="","",IFERROR(HYPERLINK("#'Cards'!A"&amp;(MATCH($B269,Cards!$A$4:$A$1000,0)+3),INDEX(Cards!$B$4:$B$1000,MATCH($B269,Cards!$A$4:$A$1000,0))),"ไม่พบ Card ID ในชีต Cards"))</f>
        <v/>
      </c>
      <c r="D269" s="68" t="str">
        <f>IF(TRIM($B269)="","",IFERROR(INDEX(Cards!$M$4:$M$1000,MATCH($B269,Cards!$A$4:$A$1000,0))&amp;"","-"))</f>
        <v/>
      </c>
    </row>
    <row r="270" spans="3:4" x14ac:dyDescent="0.3">
      <c r="C270" s="68" t="str">
        <f>IF(TRIM($B270)="","",IFERROR(HYPERLINK("#'Cards'!A"&amp;(MATCH($B270,Cards!$A$4:$A$1000,0)+3),INDEX(Cards!$B$4:$B$1000,MATCH($B270,Cards!$A$4:$A$1000,0))),"ไม่พบ Card ID ในชีต Cards"))</f>
        <v/>
      </c>
      <c r="D270" s="68" t="str">
        <f>IF(TRIM($B270)="","",IFERROR(INDEX(Cards!$M$4:$M$1000,MATCH($B270,Cards!$A$4:$A$1000,0))&amp;"","-"))</f>
        <v/>
      </c>
    </row>
    <row r="271" spans="3:4" x14ac:dyDescent="0.3">
      <c r="C271" s="68" t="str">
        <f>IF(TRIM($B271)="","",IFERROR(HYPERLINK("#'Cards'!A"&amp;(MATCH($B271,Cards!$A$4:$A$1000,0)+3),INDEX(Cards!$B$4:$B$1000,MATCH($B271,Cards!$A$4:$A$1000,0))),"ไม่พบ Card ID ในชีต Cards"))</f>
        <v/>
      </c>
      <c r="D271" s="68" t="str">
        <f>IF(TRIM($B271)="","",IFERROR(INDEX(Cards!$M$4:$M$1000,MATCH($B271,Cards!$A$4:$A$1000,0))&amp;"","-"))</f>
        <v/>
      </c>
    </row>
    <row r="272" spans="3:4" x14ac:dyDescent="0.3">
      <c r="C272" s="68" t="str">
        <f>IF(TRIM($B272)="","",IFERROR(HYPERLINK("#'Cards'!A"&amp;(MATCH($B272,Cards!$A$4:$A$1000,0)+3),INDEX(Cards!$B$4:$B$1000,MATCH($B272,Cards!$A$4:$A$1000,0))),"ไม่พบ Card ID ในชีต Cards"))</f>
        <v/>
      </c>
      <c r="D272" s="68" t="str">
        <f>IF(TRIM($B272)="","",IFERROR(INDEX(Cards!$M$4:$M$1000,MATCH($B272,Cards!$A$4:$A$1000,0))&amp;"","-"))</f>
        <v/>
      </c>
    </row>
    <row r="273" spans="3:4" x14ac:dyDescent="0.3">
      <c r="C273" s="68" t="str">
        <f>IF(TRIM($B273)="","",IFERROR(HYPERLINK("#'Cards'!A"&amp;(MATCH($B273,Cards!$A$4:$A$1000,0)+3),INDEX(Cards!$B$4:$B$1000,MATCH($B273,Cards!$A$4:$A$1000,0))),"ไม่พบ Card ID ในชีต Cards"))</f>
        <v/>
      </c>
      <c r="D273" s="68" t="str">
        <f>IF(TRIM($B273)="","",IFERROR(INDEX(Cards!$M$4:$M$1000,MATCH($B273,Cards!$A$4:$A$1000,0))&amp;"","-"))</f>
        <v/>
      </c>
    </row>
    <row r="274" spans="3:4" x14ac:dyDescent="0.3">
      <c r="C274" s="68" t="str">
        <f>IF(TRIM($B274)="","",IFERROR(HYPERLINK("#'Cards'!A"&amp;(MATCH($B274,Cards!$A$4:$A$1000,0)+3),INDEX(Cards!$B$4:$B$1000,MATCH($B274,Cards!$A$4:$A$1000,0))),"ไม่พบ Card ID ในชีต Cards"))</f>
        <v/>
      </c>
      <c r="D274" s="68" t="str">
        <f>IF(TRIM($B274)="","",IFERROR(INDEX(Cards!$M$4:$M$1000,MATCH($B274,Cards!$A$4:$A$1000,0))&amp;"","-"))</f>
        <v/>
      </c>
    </row>
    <row r="275" spans="3:4" x14ac:dyDescent="0.3">
      <c r="C275" s="68" t="str">
        <f>IF(TRIM($B275)="","",IFERROR(HYPERLINK("#'Cards'!A"&amp;(MATCH($B275,Cards!$A$4:$A$1000,0)+3),INDEX(Cards!$B$4:$B$1000,MATCH($B275,Cards!$A$4:$A$1000,0))),"ไม่พบ Card ID ในชีต Cards"))</f>
        <v/>
      </c>
      <c r="D275" s="68" t="str">
        <f>IF(TRIM($B275)="","",IFERROR(INDEX(Cards!$M$4:$M$1000,MATCH($B275,Cards!$A$4:$A$1000,0))&amp;"","-"))</f>
        <v/>
      </c>
    </row>
    <row r="276" spans="3:4" x14ac:dyDescent="0.3">
      <c r="C276" s="68" t="str">
        <f>IF(TRIM($B276)="","",IFERROR(HYPERLINK("#'Cards'!A"&amp;(MATCH($B276,Cards!$A$4:$A$1000,0)+3),INDEX(Cards!$B$4:$B$1000,MATCH($B276,Cards!$A$4:$A$1000,0))),"ไม่พบ Card ID ในชีต Cards"))</f>
        <v/>
      </c>
      <c r="D276" s="68" t="str">
        <f>IF(TRIM($B276)="","",IFERROR(INDEX(Cards!$M$4:$M$1000,MATCH($B276,Cards!$A$4:$A$1000,0))&amp;"","-"))</f>
        <v/>
      </c>
    </row>
    <row r="277" spans="3:4" x14ac:dyDescent="0.3">
      <c r="C277" s="68" t="str">
        <f>IF(TRIM($B277)="","",IFERROR(HYPERLINK("#'Cards'!A"&amp;(MATCH($B277,Cards!$A$4:$A$1000,0)+3),INDEX(Cards!$B$4:$B$1000,MATCH($B277,Cards!$A$4:$A$1000,0))),"ไม่พบ Card ID ในชีต Cards"))</f>
        <v/>
      </c>
      <c r="D277" s="68" t="str">
        <f>IF(TRIM($B277)="","",IFERROR(INDEX(Cards!$M$4:$M$1000,MATCH($B277,Cards!$A$4:$A$1000,0))&amp;"","-"))</f>
        <v/>
      </c>
    </row>
    <row r="278" spans="3:4" x14ac:dyDescent="0.3">
      <c r="C278" s="68" t="str">
        <f>IF(TRIM($B278)="","",IFERROR(HYPERLINK("#'Cards'!A"&amp;(MATCH($B278,Cards!$A$4:$A$1000,0)+3),INDEX(Cards!$B$4:$B$1000,MATCH($B278,Cards!$A$4:$A$1000,0))),"ไม่พบ Card ID ในชีต Cards"))</f>
        <v/>
      </c>
      <c r="D278" s="68" t="str">
        <f>IF(TRIM($B278)="","",IFERROR(INDEX(Cards!$M$4:$M$1000,MATCH($B278,Cards!$A$4:$A$1000,0))&amp;"","-"))</f>
        <v/>
      </c>
    </row>
    <row r="279" spans="3:4" x14ac:dyDescent="0.3">
      <c r="C279" s="68" t="str">
        <f>IF(TRIM($B279)="","",IFERROR(HYPERLINK("#'Cards'!A"&amp;(MATCH($B279,Cards!$A$4:$A$1000,0)+3),INDEX(Cards!$B$4:$B$1000,MATCH($B279,Cards!$A$4:$A$1000,0))),"ไม่พบ Card ID ในชีต Cards"))</f>
        <v/>
      </c>
      <c r="D279" s="68" t="str">
        <f>IF(TRIM($B279)="","",IFERROR(INDEX(Cards!$M$4:$M$1000,MATCH($B279,Cards!$A$4:$A$1000,0))&amp;"","-"))</f>
        <v/>
      </c>
    </row>
    <row r="280" spans="3:4" x14ac:dyDescent="0.3">
      <c r="C280" s="68" t="str">
        <f>IF(TRIM($B280)="","",IFERROR(HYPERLINK("#'Cards'!A"&amp;(MATCH($B280,Cards!$A$4:$A$1000,0)+3),INDEX(Cards!$B$4:$B$1000,MATCH($B280,Cards!$A$4:$A$1000,0))),"ไม่พบ Card ID ในชีต Cards"))</f>
        <v/>
      </c>
      <c r="D280" s="68" t="str">
        <f>IF(TRIM($B280)="","",IFERROR(INDEX(Cards!$M$4:$M$1000,MATCH($B280,Cards!$A$4:$A$1000,0))&amp;"","-"))</f>
        <v/>
      </c>
    </row>
    <row r="281" spans="3:4" x14ac:dyDescent="0.3">
      <c r="C281" s="68" t="str">
        <f>IF(TRIM($B281)="","",IFERROR(HYPERLINK("#'Cards'!A"&amp;(MATCH($B281,Cards!$A$4:$A$1000,0)+3),INDEX(Cards!$B$4:$B$1000,MATCH($B281,Cards!$A$4:$A$1000,0))),"ไม่พบ Card ID ในชีต Cards"))</f>
        <v/>
      </c>
      <c r="D281" s="68" t="str">
        <f>IF(TRIM($B281)="","",IFERROR(INDEX(Cards!$M$4:$M$1000,MATCH($B281,Cards!$A$4:$A$1000,0))&amp;"","-"))</f>
        <v/>
      </c>
    </row>
    <row r="282" spans="3:4" x14ac:dyDescent="0.3">
      <c r="C282" s="68" t="str">
        <f>IF(TRIM($B282)="","",IFERROR(HYPERLINK("#'Cards'!A"&amp;(MATCH($B282,Cards!$A$4:$A$1000,0)+3),INDEX(Cards!$B$4:$B$1000,MATCH($B282,Cards!$A$4:$A$1000,0))),"ไม่พบ Card ID ในชีต Cards"))</f>
        <v/>
      </c>
      <c r="D282" s="68" t="str">
        <f>IF(TRIM($B282)="","",IFERROR(INDEX(Cards!$M$4:$M$1000,MATCH($B282,Cards!$A$4:$A$1000,0))&amp;"","-"))</f>
        <v/>
      </c>
    </row>
    <row r="283" spans="3:4" x14ac:dyDescent="0.3">
      <c r="C283" s="68" t="str">
        <f>IF(TRIM($B283)="","",IFERROR(HYPERLINK("#'Cards'!A"&amp;(MATCH($B283,Cards!$A$4:$A$1000,0)+3),INDEX(Cards!$B$4:$B$1000,MATCH($B283,Cards!$A$4:$A$1000,0))),"ไม่พบ Card ID ในชีต Cards"))</f>
        <v/>
      </c>
      <c r="D283" s="68" t="str">
        <f>IF(TRIM($B283)="","",IFERROR(INDEX(Cards!$M$4:$M$1000,MATCH($B283,Cards!$A$4:$A$1000,0))&amp;"","-"))</f>
        <v/>
      </c>
    </row>
    <row r="284" spans="3:4" x14ac:dyDescent="0.3">
      <c r="C284" s="68" t="str">
        <f>IF(TRIM($B284)="","",IFERROR(HYPERLINK("#'Cards'!A"&amp;(MATCH($B284,Cards!$A$4:$A$1000,0)+3),INDEX(Cards!$B$4:$B$1000,MATCH($B284,Cards!$A$4:$A$1000,0))),"ไม่พบ Card ID ในชีต Cards"))</f>
        <v/>
      </c>
      <c r="D284" s="68" t="str">
        <f>IF(TRIM($B284)="","",IFERROR(INDEX(Cards!$M$4:$M$1000,MATCH($B284,Cards!$A$4:$A$1000,0))&amp;"","-"))</f>
        <v/>
      </c>
    </row>
    <row r="285" spans="3:4" x14ac:dyDescent="0.3">
      <c r="C285" s="68" t="str">
        <f>IF(TRIM($B285)="","",IFERROR(HYPERLINK("#'Cards'!A"&amp;(MATCH($B285,Cards!$A$4:$A$1000,0)+3),INDEX(Cards!$B$4:$B$1000,MATCH($B285,Cards!$A$4:$A$1000,0))),"ไม่พบ Card ID ในชีต Cards"))</f>
        <v/>
      </c>
      <c r="D285" s="68" t="str">
        <f>IF(TRIM($B285)="","",IFERROR(INDEX(Cards!$M$4:$M$1000,MATCH($B285,Cards!$A$4:$A$1000,0))&amp;"","-"))</f>
        <v/>
      </c>
    </row>
    <row r="286" spans="3:4" x14ac:dyDescent="0.3">
      <c r="C286" s="68" t="str">
        <f>IF(TRIM($B286)="","",IFERROR(HYPERLINK("#'Cards'!A"&amp;(MATCH($B286,Cards!$A$4:$A$1000,0)+3),INDEX(Cards!$B$4:$B$1000,MATCH($B286,Cards!$A$4:$A$1000,0))),"ไม่พบ Card ID ในชีต Cards"))</f>
        <v/>
      </c>
      <c r="D286" s="68" t="str">
        <f>IF(TRIM($B286)="","",IFERROR(INDEX(Cards!$M$4:$M$1000,MATCH($B286,Cards!$A$4:$A$1000,0))&amp;"","-"))</f>
        <v/>
      </c>
    </row>
    <row r="287" spans="3:4" x14ac:dyDescent="0.3">
      <c r="C287" s="68" t="str">
        <f>IF(TRIM($B287)="","",IFERROR(HYPERLINK("#'Cards'!A"&amp;(MATCH($B287,Cards!$A$4:$A$1000,0)+3),INDEX(Cards!$B$4:$B$1000,MATCH($B287,Cards!$A$4:$A$1000,0))),"ไม่พบ Card ID ในชีต Cards"))</f>
        <v/>
      </c>
      <c r="D287" s="68" t="str">
        <f>IF(TRIM($B287)="","",IFERROR(INDEX(Cards!$M$4:$M$1000,MATCH($B287,Cards!$A$4:$A$1000,0))&amp;"","-"))</f>
        <v/>
      </c>
    </row>
    <row r="288" spans="3:4" x14ac:dyDescent="0.3">
      <c r="C288" s="68" t="str">
        <f>IF(TRIM($B288)="","",IFERROR(HYPERLINK("#'Cards'!A"&amp;(MATCH($B288,Cards!$A$4:$A$1000,0)+3),INDEX(Cards!$B$4:$B$1000,MATCH($B288,Cards!$A$4:$A$1000,0))),"ไม่พบ Card ID ในชีต Cards"))</f>
        <v/>
      </c>
      <c r="D288" s="68" t="str">
        <f>IF(TRIM($B288)="","",IFERROR(INDEX(Cards!$M$4:$M$1000,MATCH($B288,Cards!$A$4:$A$1000,0))&amp;"","-"))</f>
        <v/>
      </c>
    </row>
    <row r="289" spans="3:4" x14ac:dyDescent="0.3">
      <c r="C289" s="68" t="str">
        <f>IF(TRIM($B289)="","",IFERROR(HYPERLINK("#'Cards'!A"&amp;(MATCH($B289,Cards!$A$4:$A$1000,0)+3),INDEX(Cards!$B$4:$B$1000,MATCH($B289,Cards!$A$4:$A$1000,0))),"ไม่พบ Card ID ในชีต Cards"))</f>
        <v/>
      </c>
      <c r="D289" s="68" t="str">
        <f>IF(TRIM($B289)="","",IFERROR(INDEX(Cards!$M$4:$M$1000,MATCH($B289,Cards!$A$4:$A$1000,0))&amp;"","-"))</f>
        <v/>
      </c>
    </row>
    <row r="290" spans="3:4" x14ac:dyDescent="0.3">
      <c r="C290" s="68" t="str">
        <f>IF(TRIM($B290)="","",IFERROR(HYPERLINK("#'Cards'!A"&amp;(MATCH($B290,Cards!$A$4:$A$1000,0)+3),INDEX(Cards!$B$4:$B$1000,MATCH($B290,Cards!$A$4:$A$1000,0))),"ไม่พบ Card ID ในชีต Cards"))</f>
        <v/>
      </c>
      <c r="D290" s="68" t="str">
        <f>IF(TRIM($B290)="","",IFERROR(INDEX(Cards!$M$4:$M$1000,MATCH($B290,Cards!$A$4:$A$1000,0))&amp;"","-"))</f>
        <v/>
      </c>
    </row>
    <row r="291" spans="3:4" x14ac:dyDescent="0.3">
      <c r="C291" s="68" t="str">
        <f>IF(TRIM($B291)="","",IFERROR(HYPERLINK("#'Cards'!A"&amp;(MATCH($B291,Cards!$A$4:$A$1000,0)+3),INDEX(Cards!$B$4:$B$1000,MATCH($B291,Cards!$A$4:$A$1000,0))),"ไม่พบ Card ID ในชีต Cards"))</f>
        <v/>
      </c>
      <c r="D291" s="68" t="str">
        <f>IF(TRIM($B291)="","",IFERROR(INDEX(Cards!$M$4:$M$1000,MATCH($B291,Cards!$A$4:$A$1000,0))&amp;"","-"))</f>
        <v/>
      </c>
    </row>
    <row r="292" spans="3:4" x14ac:dyDescent="0.3">
      <c r="C292" s="68" t="str">
        <f>IF(TRIM($B292)="","",IFERROR(HYPERLINK("#'Cards'!A"&amp;(MATCH($B292,Cards!$A$4:$A$1000,0)+3),INDEX(Cards!$B$4:$B$1000,MATCH($B292,Cards!$A$4:$A$1000,0))),"ไม่พบ Card ID ในชีต Cards"))</f>
        <v/>
      </c>
      <c r="D292" s="68" t="str">
        <f>IF(TRIM($B292)="","",IFERROR(INDEX(Cards!$M$4:$M$1000,MATCH($B292,Cards!$A$4:$A$1000,0))&amp;"","-"))</f>
        <v/>
      </c>
    </row>
    <row r="293" spans="3:4" x14ac:dyDescent="0.3">
      <c r="C293" s="68" t="str">
        <f>IF(TRIM($B293)="","",IFERROR(HYPERLINK("#'Cards'!A"&amp;(MATCH($B293,Cards!$A$4:$A$1000,0)+3),INDEX(Cards!$B$4:$B$1000,MATCH($B293,Cards!$A$4:$A$1000,0))),"ไม่พบ Card ID ในชีต Cards"))</f>
        <v/>
      </c>
      <c r="D293" s="68" t="str">
        <f>IF(TRIM($B293)="","",IFERROR(INDEX(Cards!$M$4:$M$1000,MATCH($B293,Cards!$A$4:$A$1000,0))&amp;"","-"))</f>
        <v/>
      </c>
    </row>
    <row r="294" spans="3:4" x14ac:dyDescent="0.3">
      <c r="C294" s="68" t="str">
        <f>IF(TRIM($B294)="","",IFERROR(HYPERLINK("#'Cards'!A"&amp;(MATCH($B294,Cards!$A$4:$A$1000,0)+3),INDEX(Cards!$B$4:$B$1000,MATCH($B294,Cards!$A$4:$A$1000,0))),"ไม่พบ Card ID ในชีต Cards"))</f>
        <v/>
      </c>
      <c r="D294" s="68" t="str">
        <f>IF(TRIM($B294)="","",IFERROR(INDEX(Cards!$M$4:$M$1000,MATCH($B294,Cards!$A$4:$A$1000,0))&amp;"","-"))</f>
        <v/>
      </c>
    </row>
    <row r="295" spans="3:4" x14ac:dyDescent="0.3">
      <c r="C295" s="68" t="str">
        <f>IF(TRIM($B295)="","",IFERROR(HYPERLINK("#'Cards'!A"&amp;(MATCH($B295,Cards!$A$4:$A$1000,0)+3),INDEX(Cards!$B$4:$B$1000,MATCH($B295,Cards!$A$4:$A$1000,0))),"ไม่พบ Card ID ในชีต Cards"))</f>
        <v/>
      </c>
      <c r="D295" s="68" t="str">
        <f>IF(TRIM($B295)="","",IFERROR(INDEX(Cards!$M$4:$M$1000,MATCH($B295,Cards!$A$4:$A$1000,0))&amp;"","-"))</f>
        <v/>
      </c>
    </row>
    <row r="296" spans="3:4" x14ac:dyDescent="0.3">
      <c r="C296" s="68" t="str">
        <f>IF(TRIM($B296)="","",IFERROR(HYPERLINK("#'Cards'!A"&amp;(MATCH($B296,Cards!$A$4:$A$1000,0)+3),INDEX(Cards!$B$4:$B$1000,MATCH($B296,Cards!$A$4:$A$1000,0))),"ไม่พบ Card ID ในชีต Cards"))</f>
        <v/>
      </c>
      <c r="D296" s="68" t="str">
        <f>IF(TRIM($B296)="","",IFERROR(INDEX(Cards!$M$4:$M$1000,MATCH($B296,Cards!$A$4:$A$1000,0))&amp;"","-"))</f>
        <v/>
      </c>
    </row>
    <row r="297" spans="3:4" x14ac:dyDescent="0.3">
      <c r="C297" s="68" t="str">
        <f>IF(TRIM($B297)="","",IFERROR(HYPERLINK("#'Cards'!A"&amp;(MATCH($B297,Cards!$A$4:$A$1000,0)+3),INDEX(Cards!$B$4:$B$1000,MATCH($B297,Cards!$A$4:$A$1000,0))),"ไม่พบ Card ID ในชีต Cards"))</f>
        <v/>
      </c>
      <c r="D297" s="68" t="str">
        <f>IF(TRIM($B297)="","",IFERROR(INDEX(Cards!$M$4:$M$1000,MATCH($B297,Cards!$A$4:$A$1000,0))&amp;"","-"))</f>
        <v/>
      </c>
    </row>
    <row r="298" spans="3:4" x14ac:dyDescent="0.3">
      <c r="C298" s="68" t="str">
        <f>IF(TRIM($B298)="","",IFERROR(HYPERLINK("#'Cards'!A"&amp;(MATCH($B298,Cards!$A$4:$A$1000,0)+3),INDEX(Cards!$B$4:$B$1000,MATCH($B298,Cards!$A$4:$A$1000,0))),"ไม่พบ Card ID ในชีต Cards"))</f>
        <v/>
      </c>
      <c r="D298" s="68" t="str">
        <f>IF(TRIM($B298)="","",IFERROR(INDEX(Cards!$M$4:$M$1000,MATCH($B298,Cards!$A$4:$A$1000,0))&amp;"","-"))</f>
        <v/>
      </c>
    </row>
    <row r="299" spans="3:4" x14ac:dyDescent="0.3">
      <c r="C299" s="68" t="str">
        <f>IF(TRIM($B299)="","",IFERROR(HYPERLINK("#'Cards'!A"&amp;(MATCH($B299,Cards!$A$4:$A$1000,0)+3),INDEX(Cards!$B$4:$B$1000,MATCH($B299,Cards!$A$4:$A$1000,0))),"ไม่พบ Card ID ในชีต Cards"))</f>
        <v/>
      </c>
      <c r="D299" s="68" t="str">
        <f>IF(TRIM($B299)="","",IFERROR(INDEX(Cards!$M$4:$M$1000,MATCH($B299,Cards!$A$4:$A$1000,0))&amp;"","-"))</f>
        <v/>
      </c>
    </row>
    <row r="300" spans="3:4" x14ac:dyDescent="0.3">
      <c r="C300" s="68" t="str">
        <f>IF(TRIM($B300)="","",IFERROR(HYPERLINK("#'Cards'!A"&amp;(MATCH($B300,Cards!$A$4:$A$1000,0)+3),INDEX(Cards!$B$4:$B$1000,MATCH($B300,Cards!$A$4:$A$1000,0))),"ไม่พบ Card ID ในชีต Cards"))</f>
        <v/>
      </c>
      <c r="D300" s="68" t="str">
        <f>IF(TRIM($B300)="","",IFERROR(INDEX(Cards!$M$4:$M$1000,MATCH($B300,Cards!$A$4:$A$1000,0))&amp;"","-"))</f>
        <v/>
      </c>
    </row>
    <row r="301" spans="3:4" x14ac:dyDescent="0.3">
      <c r="C301" s="68" t="str">
        <f>IF(TRIM($B301)="","",IFERROR(HYPERLINK("#'Cards'!A"&amp;(MATCH($B301,Cards!$A$4:$A$1000,0)+3),INDEX(Cards!$B$4:$B$1000,MATCH($B301,Cards!$A$4:$A$1000,0))),"ไม่พบ Card ID ในชีต Cards"))</f>
        <v/>
      </c>
      <c r="D301" s="68" t="str">
        <f>IF(TRIM($B301)="","",IFERROR(INDEX(Cards!$M$4:$M$1000,MATCH($B301,Cards!$A$4:$A$1000,0))&amp;"","-"))</f>
        <v/>
      </c>
    </row>
    <row r="302" spans="3:4" x14ac:dyDescent="0.3">
      <c r="C302" s="68" t="str">
        <f>IF(TRIM($B302)="","",IFERROR(HYPERLINK("#'Cards'!A"&amp;(MATCH($B302,Cards!$A$4:$A$1000,0)+3),INDEX(Cards!$B$4:$B$1000,MATCH($B302,Cards!$A$4:$A$1000,0))),"ไม่พบ Card ID ในชีต Cards"))</f>
        <v/>
      </c>
      <c r="D302" s="68" t="str">
        <f>IF(TRIM($B302)="","",IFERROR(INDEX(Cards!$M$4:$M$1000,MATCH($B302,Cards!$A$4:$A$1000,0))&amp;"","-"))</f>
        <v/>
      </c>
    </row>
    <row r="303" spans="3:4" x14ac:dyDescent="0.3">
      <c r="C303" s="68" t="str">
        <f>IF(TRIM($B303)="","",IFERROR(HYPERLINK("#'Cards'!A"&amp;(MATCH($B303,Cards!$A$4:$A$1000,0)+3),INDEX(Cards!$B$4:$B$1000,MATCH($B303,Cards!$A$4:$A$1000,0))),"ไม่พบ Card ID ในชีต Cards"))</f>
        <v/>
      </c>
      <c r="D303" s="68" t="str">
        <f>IF(TRIM($B303)="","",IFERROR(INDEX(Cards!$M$4:$M$1000,MATCH($B303,Cards!$A$4:$A$1000,0))&amp;"","-"))</f>
        <v/>
      </c>
    </row>
    <row r="304" spans="3:4" x14ac:dyDescent="0.3">
      <c r="C304" s="68" t="str">
        <f>IF(TRIM($B304)="","",IFERROR(HYPERLINK("#'Cards'!A"&amp;(MATCH($B304,Cards!$A$4:$A$1000,0)+3),INDEX(Cards!$B$4:$B$1000,MATCH($B304,Cards!$A$4:$A$1000,0))),"ไม่พบ Card ID ในชีต Cards"))</f>
        <v/>
      </c>
      <c r="D304" s="68" t="str">
        <f>IF(TRIM($B304)="","",IFERROR(INDEX(Cards!$M$4:$M$1000,MATCH($B304,Cards!$A$4:$A$1000,0))&amp;"","-"))</f>
        <v/>
      </c>
    </row>
    <row r="305" spans="3:4" x14ac:dyDescent="0.3">
      <c r="C305" s="68" t="str">
        <f>IF(TRIM($B305)="","",IFERROR(HYPERLINK("#'Cards'!A"&amp;(MATCH($B305,Cards!$A$4:$A$1000,0)+3),INDEX(Cards!$B$4:$B$1000,MATCH($B305,Cards!$A$4:$A$1000,0))),"ไม่พบ Card ID ในชีต Cards"))</f>
        <v/>
      </c>
      <c r="D305" s="68" t="str">
        <f>IF(TRIM($B305)="","",IFERROR(INDEX(Cards!$M$4:$M$1000,MATCH($B305,Cards!$A$4:$A$1000,0))&amp;"","-"))</f>
        <v/>
      </c>
    </row>
    <row r="306" spans="3:4" x14ac:dyDescent="0.3">
      <c r="C306" s="68" t="str">
        <f>IF(TRIM($B306)="","",IFERROR(HYPERLINK("#'Cards'!A"&amp;(MATCH($B306,Cards!$A$4:$A$1000,0)+3),INDEX(Cards!$B$4:$B$1000,MATCH($B306,Cards!$A$4:$A$1000,0))),"ไม่พบ Card ID ในชีต Cards"))</f>
        <v/>
      </c>
      <c r="D306" s="68" t="str">
        <f>IF(TRIM($B306)="","",IFERROR(INDEX(Cards!$M$4:$M$1000,MATCH($B306,Cards!$A$4:$A$1000,0))&amp;"","-"))</f>
        <v/>
      </c>
    </row>
    <row r="307" spans="3:4" x14ac:dyDescent="0.3">
      <c r="C307" s="68" t="str">
        <f>IF(TRIM($B307)="","",IFERROR(HYPERLINK("#'Cards'!A"&amp;(MATCH($B307,Cards!$A$4:$A$1000,0)+3),INDEX(Cards!$B$4:$B$1000,MATCH($B307,Cards!$A$4:$A$1000,0))),"ไม่พบ Card ID ในชีต Cards"))</f>
        <v/>
      </c>
      <c r="D307" s="68" t="str">
        <f>IF(TRIM($B307)="","",IFERROR(INDEX(Cards!$M$4:$M$1000,MATCH($B307,Cards!$A$4:$A$1000,0))&amp;"","-"))</f>
        <v/>
      </c>
    </row>
    <row r="308" spans="3:4" x14ac:dyDescent="0.3">
      <c r="C308" s="68" t="str">
        <f>IF(TRIM($B308)="","",IFERROR(HYPERLINK("#'Cards'!A"&amp;(MATCH($B308,Cards!$A$4:$A$1000,0)+3),INDEX(Cards!$B$4:$B$1000,MATCH($B308,Cards!$A$4:$A$1000,0))),"ไม่พบ Card ID ในชีต Cards"))</f>
        <v/>
      </c>
      <c r="D308" s="68" t="str">
        <f>IF(TRIM($B308)="","",IFERROR(INDEX(Cards!$M$4:$M$1000,MATCH($B308,Cards!$A$4:$A$1000,0))&amp;"","-"))</f>
        <v/>
      </c>
    </row>
    <row r="309" spans="3:4" x14ac:dyDescent="0.3">
      <c r="C309" s="68" t="str">
        <f>IF(TRIM($B309)="","",IFERROR(HYPERLINK("#'Cards'!A"&amp;(MATCH($B309,Cards!$A$4:$A$1000,0)+3),INDEX(Cards!$B$4:$B$1000,MATCH($B309,Cards!$A$4:$A$1000,0))),"ไม่พบ Card ID ในชีต Cards"))</f>
        <v/>
      </c>
      <c r="D309" s="68" t="str">
        <f>IF(TRIM($B309)="","",IFERROR(INDEX(Cards!$M$4:$M$1000,MATCH($B309,Cards!$A$4:$A$1000,0))&amp;"","-"))</f>
        <v/>
      </c>
    </row>
    <row r="310" spans="3:4" x14ac:dyDescent="0.3">
      <c r="C310" s="68" t="str">
        <f>IF(TRIM($B310)="","",IFERROR(HYPERLINK("#'Cards'!A"&amp;(MATCH($B310,Cards!$A$4:$A$1000,0)+3),INDEX(Cards!$B$4:$B$1000,MATCH($B310,Cards!$A$4:$A$1000,0))),"ไม่พบ Card ID ในชีต Cards"))</f>
        <v/>
      </c>
      <c r="D310" s="68" t="str">
        <f>IF(TRIM($B310)="","",IFERROR(INDEX(Cards!$M$4:$M$1000,MATCH($B310,Cards!$A$4:$A$1000,0))&amp;"","-"))</f>
        <v/>
      </c>
    </row>
    <row r="311" spans="3:4" x14ac:dyDescent="0.3">
      <c r="C311" s="68" t="str">
        <f>IF(TRIM($B311)="","",IFERROR(HYPERLINK("#'Cards'!A"&amp;(MATCH($B311,Cards!$A$4:$A$1000,0)+3),INDEX(Cards!$B$4:$B$1000,MATCH($B311,Cards!$A$4:$A$1000,0))),"ไม่พบ Card ID ในชีต Cards"))</f>
        <v/>
      </c>
      <c r="D311" s="68" t="str">
        <f>IF(TRIM($B311)="","",IFERROR(INDEX(Cards!$M$4:$M$1000,MATCH($B311,Cards!$A$4:$A$1000,0))&amp;"","-"))</f>
        <v/>
      </c>
    </row>
    <row r="312" spans="3:4" x14ac:dyDescent="0.3">
      <c r="C312" s="68" t="str">
        <f>IF(TRIM($B312)="","",IFERROR(HYPERLINK("#'Cards'!A"&amp;(MATCH($B312,Cards!$A$4:$A$1000,0)+3),INDEX(Cards!$B$4:$B$1000,MATCH($B312,Cards!$A$4:$A$1000,0))),"ไม่พบ Card ID ในชีต Cards"))</f>
        <v/>
      </c>
      <c r="D312" s="68" t="str">
        <f>IF(TRIM($B312)="","",IFERROR(INDEX(Cards!$M$4:$M$1000,MATCH($B312,Cards!$A$4:$A$1000,0))&amp;"","-"))</f>
        <v/>
      </c>
    </row>
    <row r="313" spans="3:4" x14ac:dyDescent="0.3">
      <c r="C313" s="68" t="str">
        <f>IF(TRIM($B313)="","",IFERROR(HYPERLINK("#'Cards'!A"&amp;(MATCH($B313,Cards!$A$4:$A$1000,0)+3),INDEX(Cards!$B$4:$B$1000,MATCH($B313,Cards!$A$4:$A$1000,0))),"ไม่พบ Card ID ในชีต Cards"))</f>
        <v/>
      </c>
      <c r="D313" s="68" t="str">
        <f>IF(TRIM($B313)="","",IFERROR(INDEX(Cards!$M$4:$M$1000,MATCH($B313,Cards!$A$4:$A$1000,0))&amp;"","-"))</f>
        <v/>
      </c>
    </row>
    <row r="314" spans="3:4" x14ac:dyDescent="0.3">
      <c r="C314" s="68" t="str">
        <f>IF(TRIM($B314)="","",IFERROR(HYPERLINK("#'Cards'!A"&amp;(MATCH($B314,Cards!$A$4:$A$1000,0)+3),INDEX(Cards!$B$4:$B$1000,MATCH($B314,Cards!$A$4:$A$1000,0))),"ไม่พบ Card ID ในชีต Cards"))</f>
        <v/>
      </c>
      <c r="D314" s="68" t="str">
        <f>IF(TRIM($B314)="","",IFERROR(INDEX(Cards!$M$4:$M$1000,MATCH($B314,Cards!$A$4:$A$1000,0))&amp;"","-"))</f>
        <v/>
      </c>
    </row>
    <row r="315" spans="3:4" x14ac:dyDescent="0.3">
      <c r="C315" s="68" t="str">
        <f>IF(TRIM($B315)="","",IFERROR(HYPERLINK("#'Cards'!A"&amp;(MATCH($B315,Cards!$A$4:$A$1000,0)+3),INDEX(Cards!$B$4:$B$1000,MATCH($B315,Cards!$A$4:$A$1000,0))),"ไม่พบ Card ID ในชีต Cards"))</f>
        <v/>
      </c>
      <c r="D315" s="68" t="str">
        <f>IF(TRIM($B315)="","",IFERROR(INDEX(Cards!$M$4:$M$1000,MATCH($B315,Cards!$A$4:$A$1000,0))&amp;"","-"))</f>
        <v/>
      </c>
    </row>
    <row r="316" spans="3:4" x14ac:dyDescent="0.3">
      <c r="C316" s="68" t="str">
        <f>IF(TRIM($B316)="","",IFERROR(HYPERLINK("#'Cards'!A"&amp;(MATCH($B316,Cards!$A$4:$A$1000,0)+3),INDEX(Cards!$B$4:$B$1000,MATCH($B316,Cards!$A$4:$A$1000,0))),"ไม่พบ Card ID ในชีต Cards"))</f>
        <v/>
      </c>
      <c r="D316" s="68" t="str">
        <f>IF(TRIM($B316)="","",IFERROR(INDEX(Cards!$M$4:$M$1000,MATCH($B316,Cards!$A$4:$A$1000,0))&amp;"","-"))</f>
        <v/>
      </c>
    </row>
    <row r="317" spans="3:4" x14ac:dyDescent="0.3">
      <c r="C317" s="68" t="str">
        <f>IF(TRIM($B317)="","",IFERROR(HYPERLINK("#'Cards'!A"&amp;(MATCH($B317,Cards!$A$4:$A$1000,0)+3),INDEX(Cards!$B$4:$B$1000,MATCH($B317,Cards!$A$4:$A$1000,0))),"ไม่พบ Card ID ในชีต Cards"))</f>
        <v/>
      </c>
      <c r="D317" s="68" t="str">
        <f>IF(TRIM($B317)="","",IFERROR(INDEX(Cards!$M$4:$M$1000,MATCH($B317,Cards!$A$4:$A$1000,0))&amp;"","-"))</f>
        <v/>
      </c>
    </row>
    <row r="318" spans="3:4" x14ac:dyDescent="0.3">
      <c r="C318" s="68" t="str">
        <f>IF(TRIM($B318)="","",IFERROR(HYPERLINK("#'Cards'!A"&amp;(MATCH($B318,Cards!$A$4:$A$1000,0)+3),INDEX(Cards!$B$4:$B$1000,MATCH($B318,Cards!$A$4:$A$1000,0))),"ไม่พบ Card ID ในชีต Cards"))</f>
        <v/>
      </c>
      <c r="D318" s="68" t="str">
        <f>IF(TRIM($B318)="","",IFERROR(INDEX(Cards!$M$4:$M$1000,MATCH($B318,Cards!$A$4:$A$1000,0))&amp;"","-"))</f>
        <v/>
      </c>
    </row>
    <row r="319" spans="3:4" x14ac:dyDescent="0.3">
      <c r="C319" s="68" t="str">
        <f>IF(TRIM($B319)="","",IFERROR(HYPERLINK("#'Cards'!A"&amp;(MATCH($B319,Cards!$A$4:$A$1000,0)+3),INDEX(Cards!$B$4:$B$1000,MATCH($B319,Cards!$A$4:$A$1000,0))),"ไม่พบ Card ID ในชีต Cards"))</f>
        <v/>
      </c>
      <c r="D319" s="68" t="str">
        <f>IF(TRIM($B319)="","",IFERROR(INDEX(Cards!$M$4:$M$1000,MATCH($B319,Cards!$A$4:$A$1000,0))&amp;"","-"))</f>
        <v/>
      </c>
    </row>
    <row r="320" spans="3:4" x14ac:dyDescent="0.3">
      <c r="C320" s="68" t="str">
        <f>IF(TRIM($B320)="","",IFERROR(HYPERLINK("#'Cards'!A"&amp;(MATCH($B320,Cards!$A$4:$A$1000,0)+3),INDEX(Cards!$B$4:$B$1000,MATCH($B320,Cards!$A$4:$A$1000,0))),"ไม่พบ Card ID ในชีต Cards"))</f>
        <v/>
      </c>
      <c r="D320" s="68" t="str">
        <f>IF(TRIM($B320)="","",IFERROR(INDEX(Cards!$M$4:$M$1000,MATCH($B320,Cards!$A$4:$A$1000,0))&amp;"","-"))</f>
        <v/>
      </c>
    </row>
    <row r="321" spans="3:4" x14ac:dyDescent="0.3">
      <c r="C321" s="68" t="str">
        <f>IF(TRIM($B321)="","",IFERROR(HYPERLINK("#'Cards'!A"&amp;(MATCH($B321,Cards!$A$4:$A$1000,0)+3),INDEX(Cards!$B$4:$B$1000,MATCH($B321,Cards!$A$4:$A$1000,0))),"ไม่พบ Card ID ในชีต Cards"))</f>
        <v/>
      </c>
      <c r="D321" s="68" t="str">
        <f>IF(TRIM($B321)="","",IFERROR(INDEX(Cards!$M$4:$M$1000,MATCH($B321,Cards!$A$4:$A$1000,0))&amp;"","-"))</f>
        <v/>
      </c>
    </row>
    <row r="322" spans="3:4" x14ac:dyDescent="0.3">
      <c r="C322" s="68" t="str">
        <f>IF(TRIM($B322)="","",IFERROR(HYPERLINK("#'Cards'!A"&amp;(MATCH($B322,Cards!$A$4:$A$1000,0)+3),INDEX(Cards!$B$4:$B$1000,MATCH($B322,Cards!$A$4:$A$1000,0))),"ไม่พบ Card ID ในชีต Cards"))</f>
        <v/>
      </c>
      <c r="D322" s="68" t="str">
        <f>IF(TRIM($B322)="","",IFERROR(INDEX(Cards!$M$4:$M$1000,MATCH($B322,Cards!$A$4:$A$1000,0))&amp;"","-"))</f>
        <v/>
      </c>
    </row>
    <row r="323" spans="3:4" x14ac:dyDescent="0.3">
      <c r="C323" s="68" t="str">
        <f>IF(TRIM($B323)="","",IFERROR(HYPERLINK("#'Cards'!A"&amp;(MATCH($B323,Cards!$A$4:$A$1000,0)+3),INDEX(Cards!$B$4:$B$1000,MATCH($B323,Cards!$A$4:$A$1000,0))),"ไม่พบ Card ID ในชีต Cards"))</f>
        <v/>
      </c>
      <c r="D323" s="68" t="str">
        <f>IF(TRIM($B323)="","",IFERROR(INDEX(Cards!$M$4:$M$1000,MATCH($B323,Cards!$A$4:$A$1000,0))&amp;"","-"))</f>
        <v/>
      </c>
    </row>
    <row r="324" spans="3:4" x14ac:dyDescent="0.3">
      <c r="C324" s="68" t="str">
        <f>IF(TRIM($B324)="","",IFERROR(HYPERLINK("#'Cards'!A"&amp;(MATCH($B324,Cards!$A$4:$A$1000,0)+3),INDEX(Cards!$B$4:$B$1000,MATCH($B324,Cards!$A$4:$A$1000,0))),"ไม่พบ Card ID ในชีต Cards"))</f>
        <v/>
      </c>
      <c r="D324" s="68" t="str">
        <f>IF(TRIM($B324)="","",IFERROR(INDEX(Cards!$M$4:$M$1000,MATCH($B324,Cards!$A$4:$A$1000,0))&amp;"","-"))</f>
        <v/>
      </c>
    </row>
    <row r="325" spans="3:4" x14ac:dyDescent="0.3">
      <c r="C325" s="68" t="str">
        <f>IF(TRIM($B325)="","",IFERROR(HYPERLINK("#'Cards'!A"&amp;(MATCH($B325,Cards!$A$4:$A$1000,0)+3),INDEX(Cards!$B$4:$B$1000,MATCH($B325,Cards!$A$4:$A$1000,0))),"ไม่พบ Card ID ในชีต Cards"))</f>
        <v/>
      </c>
      <c r="D325" s="68" t="str">
        <f>IF(TRIM($B325)="","",IFERROR(INDEX(Cards!$M$4:$M$1000,MATCH($B325,Cards!$A$4:$A$1000,0))&amp;"","-"))</f>
        <v/>
      </c>
    </row>
    <row r="326" spans="3:4" x14ac:dyDescent="0.3">
      <c r="C326" s="68" t="str">
        <f>IF(TRIM($B326)="","",IFERROR(HYPERLINK("#'Cards'!A"&amp;(MATCH($B326,Cards!$A$4:$A$1000,0)+3),INDEX(Cards!$B$4:$B$1000,MATCH($B326,Cards!$A$4:$A$1000,0))),"ไม่พบ Card ID ในชีต Cards"))</f>
        <v/>
      </c>
      <c r="D326" s="68" t="str">
        <f>IF(TRIM($B326)="","",IFERROR(INDEX(Cards!$M$4:$M$1000,MATCH($B326,Cards!$A$4:$A$1000,0))&amp;"","-"))</f>
        <v/>
      </c>
    </row>
    <row r="327" spans="3:4" x14ac:dyDescent="0.3">
      <c r="C327" s="68" t="str">
        <f>IF(TRIM($B327)="","",IFERROR(HYPERLINK("#'Cards'!A"&amp;(MATCH($B327,Cards!$A$4:$A$1000,0)+3),INDEX(Cards!$B$4:$B$1000,MATCH($B327,Cards!$A$4:$A$1000,0))),"ไม่พบ Card ID ในชีต Cards"))</f>
        <v/>
      </c>
      <c r="D327" s="68" t="str">
        <f>IF(TRIM($B327)="","",IFERROR(INDEX(Cards!$M$4:$M$1000,MATCH($B327,Cards!$A$4:$A$1000,0))&amp;"","-"))</f>
        <v/>
      </c>
    </row>
    <row r="328" spans="3:4" x14ac:dyDescent="0.3">
      <c r="C328" s="68" t="str">
        <f>IF(TRIM($B328)="","",IFERROR(HYPERLINK("#'Cards'!A"&amp;(MATCH($B328,Cards!$A$4:$A$1000,0)+3),INDEX(Cards!$B$4:$B$1000,MATCH($B328,Cards!$A$4:$A$1000,0))),"ไม่พบ Card ID ในชีต Cards"))</f>
        <v/>
      </c>
      <c r="D328" s="68" t="str">
        <f>IF(TRIM($B328)="","",IFERROR(INDEX(Cards!$M$4:$M$1000,MATCH($B328,Cards!$A$4:$A$1000,0))&amp;"","-"))</f>
        <v/>
      </c>
    </row>
    <row r="329" spans="3:4" x14ac:dyDescent="0.3">
      <c r="C329" s="68" t="str">
        <f>IF(TRIM($B329)="","",IFERROR(HYPERLINK("#'Cards'!A"&amp;(MATCH($B329,Cards!$A$4:$A$1000,0)+3),INDEX(Cards!$B$4:$B$1000,MATCH($B329,Cards!$A$4:$A$1000,0))),"ไม่พบ Card ID ในชีต Cards"))</f>
        <v/>
      </c>
      <c r="D329" s="68" t="str">
        <f>IF(TRIM($B329)="","",IFERROR(INDEX(Cards!$M$4:$M$1000,MATCH($B329,Cards!$A$4:$A$1000,0))&amp;"","-"))</f>
        <v/>
      </c>
    </row>
    <row r="330" spans="3:4" x14ac:dyDescent="0.3">
      <c r="C330" s="68" t="str">
        <f>IF(TRIM($B330)="","",IFERROR(HYPERLINK("#'Cards'!A"&amp;(MATCH($B330,Cards!$A$4:$A$1000,0)+3),INDEX(Cards!$B$4:$B$1000,MATCH($B330,Cards!$A$4:$A$1000,0))),"ไม่พบ Card ID ในชีต Cards"))</f>
        <v/>
      </c>
      <c r="D330" s="68" t="str">
        <f>IF(TRIM($B330)="","",IFERROR(INDEX(Cards!$M$4:$M$1000,MATCH($B330,Cards!$A$4:$A$1000,0))&amp;"","-"))</f>
        <v/>
      </c>
    </row>
    <row r="331" spans="3:4" x14ac:dyDescent="0.3">
      <c r="C331" s="68" t="str">
        <f>IF(TRIM($B331)="","",IFERROR(HYPERLINK("#'Cards'!A"&amp;(MATCH($B331,Cards!$A$4:$A$1000,0)+3),INDEX(Cards!$B$4:$B$1000,MATCH($B331,Cards!$A$4:$A$1000,0))),"ไม่พบ Card ID ในชีต Cards"))</f>
        <v/>
      </c>
      <c r="D331" s="68" t="str">
        <f>IF(TRIM($B331)="","",IFERROR(INDEX(Cards!$M$4:$M$1000,MATCH($B331,Cards!$A$4:$A$1000,0))&amp;"","-"))</f>
        <v/>
      </c>
    </row>
    <row r="332" spans="3:4" x14ac:dyDescent="0.3">
      <c r="C332" s="68" t="str">
        <f>IF(TRIM($B332)="","",IFERROR(HYPERLINK("#'Cards'!A"&amp;(MATCH($B332,Cards!$A$4:$A$1000,0)+3),INDEX(Cards!$B$4:$B$1000,MATCH($B332,Cards!$A$4:$A$1000,0))),"ไม่พบ Card ID ในชีต Cards"))</f>
        <v/>
      </c>
      <c r="D332" s="68" t="str">
        <f>IF(TRIM($B332)="","",IFERROR(INDEX(Cards!$M$4:$M$1000,MATCH($B332,Cards!$A$4:$A$1000,0))&amp;"","-"))</f>
        <v/>
      </c>
    </row>
    <row r="333" spans="3:4" x14ac:dyDescent="0.3">
      <c r="C333" s="68" t="str">
        <f>IF(TRIM($B333)="","",IFERROR(HYPERLINK("#'Cards'!A"&amp;(MATCH($B333,Cards!$A$4:$A$1000,0)+3),INDEX(Cards!$B$4:$B$1000,MATCH($B333,Cards!$A$4:$A$1000,0))),"ไม่พบ Card ID ในชีต Cards"))</f>
        <v/>
      </c>
      <c r="D333" s="68" t="str">
        <f>IF(TRIM($B333)="","",IFERROR(INDEX(Cards!$M$4:$M$1000,MATCH($B333,Cards!$A$4:$A$1000,0))&amp;"","-"))</f>
        <v/>
      </c>
    </row>
    <row r="334" spans="3:4" x14ac:dyDescent="0.3">
      <c r="C334" s="68" t="str">
        <f>IF(TRIM($B334)="","",IFERROR(HYPERLINK("#'Cards'!A"&amp;(MATCH($B334,Cards!$A$4:$A$1000,0)+3),INDEX(Cards!$B$4:$B$1000,MATCH($B334,Cards!$A$4:$A$1000,0))),"ไม่พบ Card ID ในชีต Cards"))</f>
        <v/>
      </c>
      <c r="D334" s="68" t="str">
        <f>IF(TRIM($B334)="","",IFERROR(INDEX(Cards!$M$4:$M$1000,MATCH($B334,Cards!$A$4:$A$1000,0))&amp;"","-"))</f>
        <v/>
      </c>
    </row>
    <row r="335" spans="3:4" x14ac:dyDescent="0.3">
      <c r="C335" s="68" t="str">
        <f>IF(TRIM($B335)="","",IFERROR(HYPERLINK("#'Cards'!A"&amp;(MATCH($B335,Cards!$A$4:$A$1000,0)+3),INDEX(Cards!$B$4:$B$1000,MATCH($B335,Cards!$A$4:$A$1000,0))),"ไม่พบ Card ID ในชีต Cards"))</f>
        <v/>
      </c>
      <c r="D335" s="68" t="str">
        <f>IF(TRIM($B335)="","",IFERROR(INDEX(Cards!$M$4:$M$1000,MATCH($B335,Cards!$A$4:$A$1000,0))&amp;"","-"))</f>
        <v/>
      </c>
    </row>
    <row r="336" spans="3:4" x14ac:dyDescent="0.3">
      <c r="C336" s="68" t="str">
        <f>IF(TRIM($B336)="","",IFERROR(HYPERLINK("#'Cards'!A"&amp;(MATCH($B336,Cards!$A$4:$A$1000,0)+3),INDEX(Cards!$B$4:$B$1000,MATCH($B336,Cards!$A$4:$A$1000,0))),"ไม่พบ Card ID ในชีต Cards"))</f>
        <v/>
      </c>
      <c r="D336" s="68" t="str">
        <f>IF(TRIM($B336)="","",IFERROR(INDEX(Cards!$M$4:$M$1000,MATCH($B336,Cards!$A$4:$A$1000,0))&amp;"","-"))</f>
        <v/>
      </c>
    </row>
    <row r="337" spans="3:4" x14ac:dyDescent="0.3">
      <c r="C337" s="68" t="str">
        <f>IF(TRIM($B337)="","",IFERROR(HYPERLINK("#'Cards'!A"&amp;(MATCH($B337,Cards!$A$4:$A$1000,0)+3),INDEX(Cards!$B$4:$B$1000,MATCH($B337,Cards!$A$4:$A$1000,0))),"ไม่พบ Card ID ในชีต Cards"))</f>
        <v/>
      </c>
      <c r="D337" s="68" t="str">
        <f>IF(TRIM($B337)="","",IFERROR(INDEX(Cards!$M$4:$M$1000,MATCH($B337,Cards!$A$4:$A$1000,0))&amp;"","-"))</f>
        <v/>
      </c>
    </row>
    <row r="338" spans="3:4" x14ac:dyDescent="0.3">
      <c r="C338" s="68" t="str">
        <f>IF(TRIM($B338)="","",IFERROR(HYPERLINK("#'Cards'!A"&amp;(MATCH($B338,Cards!$A$4:$A$1000,0)+3),INDEX(Cards!$B$4:$B$1000,MATCH($B338,Cards!$A$4:$A$1000,0))),"ไม่พบ Card ID ในชีต Cards"))</f>
        <v/>
      </c>
      <c r="D338" s="68" t="str">
        <f>IF(TRIM($B338)="","",IFERROR(INDEX(Cards!$M$4:$M$1000,MATCH($B338,Cards!$A$4:$A$1000,0))&amp;"","-"))</f>
        <v/>
      </c>
    </row>
    <row r="339" spans="3:4" x14ac:dyDescent="0.3">
      <c r="C339" s="68" t="str">
        <f>IF(TRIM($B339)="","",IFERROR(HYPERLINK("#'Cards'!A"&amp;(MATCH($B339,Cards!$A$4:$A$1000,0)+3),INDEX(Cards!$B$4:$B$1000,MATCH($B339,Cards!$A$4:$A$1000,0))),"ไม่พบ Card ID ในชีต Cards"))</f>
        <v/>
      </c>
      <c r="D339" s="68" t="str">
        <f>IF(TRIM($B339)="","",IFERROR(INDEX(Cards!$M$4:$M$1000,MATCH($B339,Cards!$A$4:$A$1000,0))&amp;"","-"))</f>
        <v/>
      </c>
    </row>
    <row r="340" spans="3:4" x14ac:dyDescent="0.3">
      <c r="C340" s="68" t="str">
        <f>IF(TRIM($B340)="","",IFERROR(HYPERLINK("#'Cards'!A"&amp;(MATCH($B340,Cards!$A$4:$A$1000,0)+3),INDEX(Cards!$B$4:$B$1000,MATCH($B340,Cards!$A$4:$A$1000,0))),"ไม่พบ Card ID ในชีต Cards"))</f>
        <v/>
      </c>
      <c r="D340" s="68" t="str">
        <f>IF(TRIM($B340)="","",IFERROR(INDEX(Cards!$M$4:$M$1000,MATCH($B340,Cards!$A$4:$A$1000,0))&amp;"","-"))</f>
        <v/>
      </c>
    </row>
    <row r="341" spans="3:4" x14ac:dyDescent="0.3">
      <c r="C341" s="68" t="str">
        <f>IF(TRIM($B341)="","",IFERROR(HYPERLINK("#'Cards'!A"&amp;(MATCH($B341,Cards!$A$4:$A$1000,0)+3),INDEX(Cards!$B$4:$B$1000,MATCH($B341,Cards!$A$4:$A$1000,0))),"ไม่พบ Card ID ในชีต Cards"))</f>
        <v/>
      </c>
      <c r="D341" s="68" t="str">
        <f>IF(TRIM($B341)="","",IFERROR(INDEX(Cards!$M$4:$M$1000,MATCH($B341,Cards!$A$4:$A$1000,0))&amp;"","-"))</f>
        <v/>
      </c>
    </row>
    <row r="342" spans="3:4" x14ac:dyDescent="0.3">
      <c r="C342" s="68" t="str">
        <f>IF(TRIM($B342)="","",IFERROR(HYPERLINK("#'Cards'!A"&amp;(MATCH($B342,Cards!$A$4:$A$1000,0)+3),INDEX(Cards!$B$4:$B$1000,MATCH($B342,Cards!$A$4:$A$1000,0))),"ไม่พบ Card ID ในชีต Cards"))</f>
        <v/>
      </c>
      <c r="D342" s="68" t="str">
        <f>IF(TRIM($B342)="","",IFERROR(INDEX(Cards!$M$4:$M$1000,MATCH($B342,Cards!$A$4:$A$1000,0))&amp;"","-"))</f>
        <v/>
      </c>
    </row>
    <row r="343" spans="3:4" x14ac:dyDescent="0.3">
      <c r="C343" s="68" t="str">
        <f>IF(TRIM($B343)="","",IFERROR(HYPERLINK("#'Cards'!A"&amp;(MATCH($B343,Cards!$A$4:$A$1000,0)+3),INDEX(Cards!$B$4:$B$1000,MATCH($B343,Cards!$A$4:$A$1000,0))),"ไม่พบ Card ID ในชีต Cards"))</f>
        <v/>
      </c>
      <c r="D343" s="68" t="str">
        <f>IF(TRIM($B343)="","",IFERROR(INDEX(Cards!$M$4:$M$1000,MATCH($B343,Cards!$A$4:$A$1000,0))&amp;"","-"))</f>
        <v/>
      </c>
    </row>
    <row r="344" spans="3:4" x14ac:dyDescent="0.3">
      <c r="C344" s="68" t="str">
        <f>IF(TRIM($B344)="","",IFERROR(HYPERLINK("#'Cards'!A"&amp;(MATCH($B344,Cards!$A$4:$A$1000,0)+3),INDEX(Cards!$B$4:$B$1000,MATCH($B344,Cards!$A$4:$A$1000,0))),"ไม่พบ Card ID ในชีต Cards"))</f>
        <v/>
      </c>
      <c r="D344" s="68" t="str">
        <f>IF(TRIM($B344)="","",IFERROR(INDEX(Cards!$M$4:$M$1000,MATCH($B344,Cards!$A$4:$A$1000,0))&amp;"","-"))</f>
        <v/>
      </c>
    </row>
    <row r="345" spans="3:4" x14ac:dyDescent="0.3">
      <c r="C345" s="68" t="str">
        <f>IF(TRIM($B345)="","",IFERROR(HYPERLINK("#'Cards'!A"&amp;(MATCH($B345,Cards!$A$4:$A$1000,0)+3),INDEX(Cards!$B$4:$B$1000,MATCH($B345,Cards!$A$4:$A$1000,0))),"ไม่พบ Card ID ในชีต Cards"))</f>
        <v/>
      </c>
      <c r="D345" s="68" t="str">
        <f>IF(TRIM($B345)="","",IFERROR(INDEX(Cards!$M$4:$M$1000,MATCH($B345,Cards!$A$4:$A$1000,0))&amp;"","-"))</f>
        <v/>
      </c>
    </row>
    <row r="346" spans="3:4" x14ac:dyDescent="0.3">
      <c r="C346" s="68" t="str">
        <f>IF(TRIM($B346)="","",IFERROR(HYPERLINK("#'Cards'!A"&amp;(MATCH($B346,Cards!$A$4:$A$1000,0)+3),INDEX(Cards!$B$4:$B$1000,MATCH($B346,Cards!$A$4:$A$1000,0))),"ไม่พบ Card ID ในชีต Cards"))</f>
        <v/>
      </c>
      <c r="D346" s="68" t="str">
        <f>IF(TRIM($B346)="","",IFERROR(INDEX(Cards!$M$4:$M$1000,MATCH($B346,Cards!$A$4:$A$1000,0))&amp;"","-"))</f>
        <v/>
      </c>
    </row>
    <row r="347" spans="3:4" x14ac:dyDescent="0.3">
      <c r="C347" s="68" t="str">
        <f>IF(TRIM($B347)="","",IFERROR(HYPERLINK("#'Cards'!A"&amp;(MATCH($B347,Cards!$A$4:$A$1000,0)+3),INDEX(Cards!$B$4:$B$1000,MATCH($B347,Cards!$A$4:$A$1000,0))),"ไม่พบ Card ID ในชีต Cards"))</f>
        <v/>
      </c>
      <c r="D347" s="68" t="str">
        <f>IF(TRIM($B347)="","",IFERROR(INDEX(Cards!$M$4:$M$1000,MATCH($B347,Cards!$A$4:$A$1000,0))&amp;"","-"))</f>
        <v/>
      </c>
    </row>
    <row r="348" spans="3:4" x14ac:dyDescent="0.3">
      <c r="C348" s="68" t="str">
        <f>IF(TRIM($B348)="","",IFERROR(HYPERLINK("#'Cards'!A"&amp;(MATCH($B348,Cards!$A$4:$A$1000,0)+3),INDEX(Cards!$B$4:$B$1000,MATCH($B348,Cards!$A$4:$A$1000,0))),"ไม่พบ Card ID ในชีต Cards"))</f>
        <v/>
      </c>
      <c r="D348" s="68" t="str">
        <f>IF(TRIM($B348)="","",IFERROR(INDEX(Cards!$M$4:$M$1000,MATCH($B348,Cards!$A$4:$A$1000,0))&amp;"","-"))</f>
        <v/>
      </c>
    </row>
    <row r="349" spans="3:4" x14ac:dyDescent="0.3">
      <c r="C349" s="68" t="str">
        <f>IF(TRIM($B349)="","",IFERROR(HYPERLINK("#'Cards'!A"&amp;(MATCH($B349,Cards!$A$4:$A$1000,0)+3),INDEX(Cards!$B$4:$B$1000,MATCH($B349,Cards!$A$4:$A$1000,0))),"ไม่พบ Card ID ในชีต Cards"))</f>
        <v/>
      </c>
      <c r="D349" s="68" t="str">
        <f>IF(TRIM($B349)="","",IFERROR(INDEX(Cards!$M$4:$M$1000,MATCH($B349,Cards!$A$4:$A$1000,0))&amp;"","-"))</f>
        <v/>
      </c>
    </row>
    <row r="350" spans="3:4" x14ac:dyDescent="0.3">
      <c r="C350" s="68" t="str">
        <f>IF(TRIM($B350)="","",IFERROR(HYPERLINK("#'Cards'!A"&amp;(MATCH($B350,Cards!$A$4:$A$1000,0)+3),INDEX(Cards!$B$4:$B$1000,MATCH($B350,Cards!$A$4:$A$1000,0))),"ไม่พบ Card ID ในชีต Cards"))</f>
        <v/>
      </c>
      <c r="D350" s="68" t="str">
        <f>IF(TRIM($B350)="","",IFERROR(INDEX(Cards!$M$4:$M$1000,MATCH($B350,Cards!$A$4:$A$1000,0))&amp;"","-"))</f>
        <v/>
      </c>
    </row>
    <row r="351" spans="3:4" x14ac:dyDescent="0.3">
      <c r="C351" s="68" t="str">
        <f>IF(TRIM($B351)="","",IFERROR(HYPERLINK("#'Cards'!A"&amp;(MATCH($B351,Cards!$A$4:$A$1000,0)+3),INDEX(Cards!$B$4:$B$1000,MATCH($B351,Cards!$A$4:$A$1000,0))),"ไม่พบ Card ID ในชีต Cards"))</f>
        <v/>
      </c>
      <c r="D351" s="68" t="str">
        <f>IF(TRIM($B351)="","",IFERROR(INDEX(Cards!$M$4:$M$1000,MATCH($B351,Cards!$A$4:$A$1000,0))&amp;"","-"))</f>
        <v/>
      </c>
    </row>
    <row r="352" spans="3:4" x14ac:dyDescent="0.3">
      <c r="C352" s="68" t="str">
        <f>IF(TRIM($B352)="","",IFERROR(HYPERLINK("#'Cards'!A"&amp;(MATCH($B352,Cards!$A$4:$A$1000,0)+3),INDEX(Cards!$B$4:$B$1000,MATCH($B352,Cards!$A$4:$A$1000,0))),"ไม่พบ Card ID ในชีต Cards"))</f>
        <v/>
      </c>
      <c r="D352" s="68" t="str">
        <f>IF(TRIM($B352)="","",IFERROR(INDEX(Cards!$M$4:$M$1000,MATCH($B352,Cards!$A$4:$A$1000,0))&amp;"","-"))</f>
        <v/>
      </c>
    </row>
    <row r="353" spans="3:4" x14ac:dyDescent="0.3">
      <c r="C353" s="68" t="str">
        <f>IF(TRIM($B353)="","",IFERROR(HYPERLINK("#'Cards'!A"&amp;(MATCH($B353,Cards!$A$4:$A$1000,0)+3),INDEX(Cards!$B$4:$B$1000,MATCH($B353,Cards!$A$4:$A$1000,0))),"ไม่พบ Card ID ในชีต Cards"))</f>
        <v/>
      </c>
      <c r="D353" s="68" t="str">
        <f>IF(TRIM($B353)="","",IFERROR(INDEX(Cards!$M$4:$M$1000,MATCH($B353,Cards!$A$4:$A$1000,0))&amp;"","-"))</f>
        <v/>
      </c>
    </row>
    <row r="354" spans="3:4" x14ac:dyDescent="0.3">
      <c r="C354" s="68" t="str">
        <f>IF(TRIM($B354)="","",IFERROR(HYPERLINK("#'Cards'!A"&amp;(MATCH($B354,Cards!$A$4:$A$1000,0)+3),INDEX(Cards!$B$4:$B$1000,MATCH($B354,Cards!$A$4:$A$1000,0))),"ไม่พบ Card ID ในชีต Cards"))</f>
        <v/>
      </c>
      <c r="D354" s="68" t="str">
        <f>IF(TRIM($B354)="","",IFERROR(INDEX(Cards!$M$4:$M$1000,MATCH($B354,Cards!$A$4:$A$1000,0))&amp;"","-"))</f>
        <v/>
      </c>
    </row>
    <row r="355" spans="3:4" x14ac:dyDescent="0.3">
      <c r="C355" s="68" t="str">
        <f>IF(TRIM($B355)="","",IFERROR(HYPERLINK("#'Cards'!A"&amp;(MATCH($B355,Cards!$A$4:$A$1000,0)+3),INDEX(Cards!$B$4:$B$1000,MATCH($B355,Cards!$A$4:$A$1000,0))),"ไม่พบ Card ID ในชีต Cards"))</f>
        <v/>
      </c>
      <c r="D355" s="68" t="str">
        <f>IF(TRIM($B355)="","",IFERROR(INDEX(Cards!$M$4:$M$1000,MATCH($B355,Cards!$A$4:$A$1000,0))&amp;"","-"))</f>
        <v/>
      </c>
    </row>
    <row r="356" spans="3:4" x14ac:dyDescent="0.3">
      <c r="C356" s="68" t="str">
        <f>IF(TRIM($B356)="","",IFERROR(HYPERLINK("#'Cards'!A"&amp;(MATCH($B356,Cards!$A$4:$A$1000,0)+3),INDEX(Cards!$B$4:$B$1000,MATCH($B356,Cards!$A$4:$A$1000,0))),"ไม่พบ Card ID ในชีต Cards"))</f>
        <v/>
      </c>
      <c r="D356" s="68" t="str">
        <f>IF(TRIM($B356)="","",IFERROR(INDEX(Cards!$M$4:$M$1000,MATCH($B356,Cards!$A$4:$A$1000,0))&amp;"","-"))</f>
        <v/>
      </c>
    </row>
    <row r="357" spans="3:4" x14ac:dyDescent="0.3">
      <c r="C357" s="68" t="str">
        <f>IF(TRIM($B357)="","",IFERROR(HYPERLINK("#'Cards'!A"&amp;(MATCH($B357,Cards!$A$4:$A$1000,0)+3),INDEX(Cards!$B$4:$B$1000,MATCH($B357,Cards!$A$4:$A$1000,0))),"ไม่พบ Card ID ในชีต Cards"))</f>
        <v/>
      </c>
      <c r="D357" s="68" t="str">
        <f>IF(TRIM($B357)="","",IFERROR(INDEX(Cards!$M$4:$M$1000,MATCH($B357,Cards!$A$4:$A$1000,0))&amp;"","-"))</f>
        <v/>
      </c>
    </row>
    <row r="358" spans="3:4" x14ac:dyDescent="0.3">
      <c r="C358" s="68" t="str">
        <f>IF(TRIM($B358)="","",IFERROR(HYPERLINK("#'Cards'!A"&amp;(MATCH($B358,Cards!$A$4:$A$1000,0)+3),INDEX(Cards!$B$4:$B$1000,MATCH($B358,Cards!$A$4:$A$1000,0))),"ไม่พบ Card ID ในชีต Cards"))</f>
        <v/>
      </c>
      <c r="D358" s="68" t="str">
        <f>IF(TRIM($B358)="","",IFERROR(INDEX(Cards!$M$4:$M$1000,MATCH($B358,Cards!$A$4:$A$1000,0))&amp;"","-"))</f>
        <v/>
      </c>
    </row>
    <row r="359" spans="3:4" x14ac:dyDescent="0.3">
      <c r="C359" s="68" t="str">
        <f>IF(TRIM($B359)="","",IFERROR(HYPERLINK("#'Cards'!A"&amp;(MATCH($B359,Cards!$A$4:$A$1000,0)+3),INDEX(Cards!$B$4:$B$1000,MATCH($B359,Cards!$A$4:$A$1000,0))),"ไม่พบ Card ID ในชีต Cards"))</f>
        <v/>
      </c>
      <c r="D359" s="68" t="str">
        <f>IF(TRIM($B359)="","",IFERROR(INDEX(Cards!$M$4:$M$1000,MATCH($B359,Cards!$A$4:$A$1000,0))&amp;"","-"))</f>
        <v/>
      </c>
    </row>
    <row r="360" spans="3:4" x14ac:dyDescent="0.3">
      <c r="C360" s="68" t="str">
        <f>IF(TRIM($B360)="","",IFERROR(HYPERLINK("#'Cards'!A"&amp;(MATCH($B360,Cards!$A$4:$A$1000,0)+3),INDEX(Cards!$B$4:$B$1000,MATCH($B360,Cards!$A$4:$A$1000,0))),"ไม่พบ Card ID ในชีต Cards"))</f>
        <v/>
      </c>
      <c r="D360" s="68" t="str">
        <f>IF(TRIM($B360)="","",IFERROR(INDEX(Cards!$M$4:$M$1000,MATCH($B360,Cards!$A$4:$A$1000,0))&amp;"","-"))</f>
        <v/>
      </c>
    </row>
    <row r="361" spans="3:4" x14ac:dyDescent="0.3">
      <c r="C361" s="68" t="str">
        <f>IF(TRIM($B361)="","",IFERROR(HYPERLINK("#'Cards'!A"&amp;(MATCH($B361,Cards!$A$4:$A$1000,0)+3),INDEX(Cards!$B$4:$B$1000,MATCH($B361,Cards!$A$4:$A$1000,0))),"ไม่พบ Card ID ในชีต Cards"))</f>
        <v/>
      </c>
      <c r="D361" s="68" t="str">
        <f>IF(TRIM($B361)="","",IFERROR(INDEX(Cards!$M$4:$M$1000,MATCH($B361,Cards!$A$4:$A$1000,0))&amp;"","-"))</f>
        <v/>
      </c>
    </row>
    <row r="362" spans="3:4" x14ac:dyDescent="0.3">
      <c r="C362" s="68" t="str">
        <f>IF(TRIM($B362)="","",IFERROR(HYPERLINK("#'Cards'!A"&amp;(MATCH($B362,Cards!$A$4:$A$1000,0)+3),INDEX(Cards!$B$4:$B$1000,MATCH($B362,Cards!$A$4:$A$1000,0))),"ไม่พบ Card ID ในชีต Cards"))</f>
        <v/>
      </c>
      <c r="D362" s="68" t="str">
        <f>IF(TRIM($B362)="","",IFERROR(INDEX(Cards!$M$4:$M$1000,MATCH($B362,Cards!$A$4:$A$1000,0))&amp;"","-"))</f>
        <v/>
      </c>
    </row>
    <row r="363" spans="3:4" x14ac:dyDescent="0.3">
      <c r="C363" s="68" t="str">
        <f>IF(TRIM($B363)="","",IFERROR(HYPERLINK("#'Cards'!A"&amp;(MATCH($B363,Cards!$A$4:$A$1000,0)+3),INDEX(Cards!$B$4:$B$1000,MATCH($B363,Cards!$A$4:$A$1000,0))),"ไม่พบ Card ID ในชีต Cards"))</f>
        <v/>
      </c>
      <c r="D363" s="68" t="str">
        <f>IF(TRIM($B363)="","",IFERROR(INDEX(Cards!$M$4:$M$1000,MATCH($B363,Cards!$A$4:$A$1000,0))&amp;"","-"))</f>
        <v/>
      </c>
    </row>
    <row r="364" spans="3:4" x14ac:dyDescent="0.3">
      <c r="C364" s="68" t="str">
        <f>IF(TRIM($B364)="","",IFERROR(HYPERLINK("#'Cards'!A"&amp;(MATCH($B364,Cards!$A$4:$A$1000,0)+3),INDEX(Cards!$B$4:$B$1000,MATCH($B364,Cards!$A$4:$A$1000,0))),"ไม่พบ Card ID ในชีต Cards"))</f>
        <v/>
      </c>
      <c r="D364" s="68" t="str">
        <f>IF(TRIM($B364)="","",IFERROR(INDEX(Cards!$M$4:$M$1000,MATCH($B364,Cards!$A$4:$A$1000,0))&amp;"","-"))</f>
        <v/>
      </c>
    </row>
    <row r="365" spans="3:4" x14ac:dyDescent="0.3">
      <c r="C365" s="68" t="str">
        <f>IF(TRIM($B365)="","",IFERROR(HYPERLINK("#'Cards'!A"&amp;(MATCH($B365,Cards!$A$4:$A$1000,0)+3),INDEX(Cards!$B$4:$B$1000,MATCH($B365,Cards!$A$4:$A$1000,0))),"ไม่พบ Card ID ในชีต Cards"))</f>
        <v/>
      </c>
      <c r="D365" s="68" t="str">
        <f>IF(TRIM($B365)="","",IFERROR(INDEX(Cards!$M$4:$M$1000,MATCH($B365,Cards!$A$4:$A$1000,0))&amp;"","-"))</f>
        <v/>
      </c>
    </row>
    <row r="366" spans="3:4" x14ac:dyDescent="0.3">
      <c r="C366" s="68" t="str">
        <f>IF(TRIM($B366)="","",IFERROR(HYPERLINK("#'Cards'!A"&amp;(MATCH($B366,Cards!$A$4:$A$1000,0)+3),INDEX(Cards!$B$4:$B$1000,MATCH($B366,Cards!$A$4:$A$1000,0))),"ไม่พบ Card ID ในชีต Cards"))</f>
        <v/>
      </c>
      <c r="D366" s="68" t="str">
        <f>IF(TRIM($B366)="","",IFERROR(INDEX(Cards!$M$4:$M$1000,MATCH($B366,Cards!$A$4:$A$1000,0))&amp;"","-"))</f>
        <v/>
      </c>
    </row>
    <row r="367" spans="3:4" x14ac:dyDescent="0.3">
      <c r="C367" s="68" t="str">
        <f>IF(TRIM($B367)="","",IFERROR(HYPERLINK("#'Cards'!A"&amp;(MATCH($B367,Cards!$A$4:$A$1000,0)+3),INDEX(Cards!$B$4:$B$1000,MATCH($B367,Cards!$A$4:$A$1000,0))),"ไม่พบ Card ID ในชีต Cards"))</f>
        <v/>
      </c>
      <c r="D367" s="68" t="str">
        <f>IF(TRIM($B367)="","",IFERROR(INDEX(Cards!$M$4:$M$1000,MATCH($B367,Cards!$A$4:$A$1000,0))&amp;"","-"))</f>
        <v/>
      </c>
    </row>
    <row r="368" spans="3:4" x14ac:dyDescent="0.3">
      <c r="C368" s="68" t="str">
        <f>IF(TRIM($B368)="","",IFERROR(HYPERLINK("#'Cards'!A"&amp;(MATCH($B368,Cards!$A$4:$A$1000,0)+3),INDEX(Cards!$B$4:$B$1000,MATCH($B368,Cards!$A$4:$A$1000,0))),"ไม่พบ Card ID ในชีต Cards"))</f>
        <v/>
      </c>
      <c r="D368" s="68" t="str">
        <f>IF(TRIM($B368)="","",IFERROR(INDEX(Cards!$M$4:$M$1000,MATCH($B368,Cards!$A$4:$A$1000,0))&amp;"","-"))</f>
        <v/>
      </c>
    </row>
    <row r="369" spans="3:4" x14ac:dyDescent="0.3">
      <c r="C369" s="68" t="str">
        <f>IF(TRIM($B369)="","",IFERROR(HYPERLINK("#'Cards'!A"&amp;(MATCH($B369,Cards!$A$4:$A$1000,0)+3),INDEX(Cards!$B$4:$B$1000,MATCH($B369,Cards!$A$4:$A$1000,0))),"ไม่พบ Card ID ในชีต Cards"))</f>
        <v/>
      </c>
      <c r="D369" s="68" t="str">
        <f>IF(TRIM($B369)="","",IFERROR(INDEX(Cards!$M$4:$M$1000,MATCH($B369,Cards!$A$4:$A$1000,0))&amp;"","-"))</f>
        <v/>
      </c>
    </row>
    <row r="370" spans="3:4" x14ac:dyDescent="0.3">
      <c r="C370" s="68" t="str">
        <f>IF(TRIM($B370)="","",IFERROR(HYPERLINK("#'Cards'!A"&amp;(MATCH($B370,Cards!$A$4:$A$1000,0)+3),INDEX(Cards!$B$4:$B$1000,MATCH($B370,Cards!$A$4:$A$1000,0))),"ไม่พบ Card ID ในชีต Cards"))</f>
        <v/>
      </c>
      <c r="D370" s="68" t="str">
        <f>IF(TRIM($B370)="","",IFERROR(INDEX(Cards!$M$4:$M$1000,MATCH($B370,Cards!$A$4:$A$1000,0))&amp;"","-"))</f>
        <v/>
      </c>
    </row>
    <row r="371" spans="3:4" x14ac:dyDescent="0.3">
      <c r="C371" s="68" t="str">
        <f>IF(TRIM($B371)="","",IFERROR(HYPERLINK("#'Cards'!A"&amp;(MATCH($B371,Cards!$A$4:$A$1000,0)+3),INDEX(Cards!$B$4:$B$1000,MATCH($B371,Cards!$A$4:$A$1000,0))),"ไม่พบ Card ID ในชีต Cards"))</f>
        <v/>
      </c>
      <c r="D371" s="68" t="str">
        <f>IF(TRIM($B371)="","",IFERROR(INDEX(Cards!$M$4:$M$1000,MATCH($B371,Cards!$A$4:$A$1000,0))&amp;"","-"))</f>
        <v/>
      </c>
    </row>
    <row r="372" spans="3:4" x14ac:dyDescent="0.3">
      <c r="C372" s="68" t="str">
        <f>IF(TRIM($B372)="","",IFERROR(HYPERLINK("#'Cards'!A"&amp;(MATCH($B372,Cards!$A$4:$A$1000,0)+3),INDEX(Cards!$B$4:$B$1000,MATCH($B372,Cards!$A$4:$A$1000,0))),"ไม่พบ Card ID ในชีต Cards"))</f>
        <v/>
      </c>
      <c r="D372" s="68" t="str">
        <f>IF(TRIM($B372)="","",IFERROR(INDEX(Cards!$M$4:$M$1000,MATCH($B372,Cards!$A$4:$A$1000,0))&amp;"","-"))</f>
        <v/>
      </c>
    </row>
    <row r="373" spans="3:4" x14ac:dyDescent="0.3">
      <c r="C373" s="68" t="str">
        <f>IF(TRIM($B373)="","",IFERROR(HYPERLINK("#'Cards'!A"&amp;(MATCH($B373,Cards!$A$4:$A$1000,0)+3),INDEX(Cards!$B$4:$B$1000,MATCH($B373,Cards!$A$4:$A$1000,0))),"ไม่พบ Card ID ในชีต Cards"))</f>
        <v/>
      </c>
      <c r="D373" s="68" t="str">
        <f>IF(TRIM($B373)="","",IFERROR(INDEX(Cards!$M$4:$M$1000,MATCH($B373,Cards!$A$4:$A$1000,0))&amp;"","-"))</f>
        <v/>
      </c>
    </row>
    <row r="374" spans="3:4" x14ac:dyDescent="0.3">
      <c r="C374" s="68" t="str">
        <f>IF(TRIM($B374)="","",IFERROR(HYPERLINK("#'Cards'!A"&amp;(MATCH($B374,Cards!$A$4:$A$1000,0)+3),INDEX(Cards!$B$4:$B$1000,MATCH($B374,Cards!$A$4:$A$1000,0))),"ไม่พบ Card ID ในชีต Cards"))</f>
        <v/>
      </c>
      <c r="D374" s="68" t="str">
        <f>IF(TRIM($B374)="","",IFERROR(INDEX(Cards!$M$4:$M$1000,MATCH($B374,Cards!$A$4:$A$1000,0))&amp;"","-"))</f>
        <v/>
      </c>
    </row>
    <row r="375" spans="3:4" x14ac:dyDescent="0.3">
      <c r="C375" s="68" t="str">
        <f>IF(TRIM($B375)="","",IFERROR(HYPERLINK("#'Cards'!A"&amp;(MATCH($B375,Cards!$A$4:$A$1000,0)+3),INDEX(Cards!$B$4:$B$1000,MATCH($B375,Cards!$A$4:$A$1000,0))),"ไม่พบ Card ID ในชีต Cards"))</f>
        <v/>
      </c>
      <c r="D375" s="68" t="str">
        <f>IF(TRIM($B375)="","",IFERROR(INDEX(Cards!$M$4:$M$1000,MATCH($B375,Cards!$A$4:$A$1000,0))&amp;"","-"))</f>
        <v/>
      </c>
    </row>
    <row r="376" spans="3:4" x14ac:dyDescent="0.3">
      <c r="C376" s="68" t="str">
        <f>IF(TRIM($B376)="","",IFERROR(HYPERLINK("#'Cards'!A"&amp;(MATCH($B376,Cards!$A$4:$A$1000,0)+3),INDEX(Cards!$B$4:$B$1000,MATCH($B376,Cards!$A$4:$A$1000,0))),"ไม่พบ Card ID ในชีต Cards"))</f>
        <v/>
      </c>
      <c r="D376" s="68" t="str">
        <f>IF(TRIM($B376)="","",IFERROR(INDEX(Cards!$M$4:$M$1000,MATCH($B376,Cards!$A$4:$A$1000,0))&amp;"","-"))</f>
        <v/>
      </c>
    </row>
    <row r="377" spans="3:4" x14ac:dyDescent="0.3">
      <c r="C377" s="68" t="str">
        <f>IF(TRIM($B377)="","",IFERROR(HYPERLINK("#'Cards'!A"&amp;(MATCH($B377,Cards!$A$4:$A$1000,0)+3),INDEX(Cards!$B$4:$B$1000,MATCH($B377,Cards!$A$4:$A$1000,0))),"ไม่พบ Card ID ในชีต Cards"))</f>
        <v/>
      </c>
      <c r="D377" s="68" t="str">
        <f>IF(TRIM($B377)="","",IFERROR(INDEX(Cards!$M$4:$M$1000,MATCH($B377,Cards!$A$4:$A$1000,0))&amp;"","-"))</f>
        <v/>
      </c>
    </row>
    <row r="378" spans="3:4" x14ac:dyDescent="0.3">
      <c r="C378" s="68" t="str">
        <f>IF(TRIM($B378)="","",IFERROR(HYPERLINK("#'Cards'!A"&amp;(MATCH($B378,Cards!$A$4:$A$1000,0)+3),INDEX(Cards!$B$4:$B$1000,MATCH($B378,Cards!$A$4:$A$1000,0))),"ไม่พบ Card ID ในชีต Cards"))</f>
        <v/>
      </c>
      <c r="D378" s="68" t="str">
        <f>IF(TRIM($B378)="","",IFERROR(INDEX(Cards!$M$4:$M$1000,MATCH($B378,Cards!$A$4:$A$1000,0))&amp;"","-"))</f>
        <v/>
      </c>
    </row>
    <row r="379" spans="3:4" x14ac:dyDescent="0.3">
      <c r="C379" s="68" t="str">
        <f>IF(TRIM($B379)="","",IFERROR(HYPERLINK("#'Cards'!A"&amp;(MATCH($B379,Cards!$A$4:$A$1000,0)+3),INDEX(Cards!$B$4:$B$1000,MATCH($B379,Cards!$A$4:$A$1000,0))),"ไม่พบ Card ID ในชีต Cards"))</f>
        <v/>
      </c>
      <c r="D379" s="68" t="str">
        <f>IF(TRIM($B379)="","",IFERROR(INDEX(Cards!$M$4:$M$1000,MATCH($B379,Cards!$A$4:$A$1000,0))&amp;"","-"))</f>
        <v/>
      </c>
    </row>
    <row r="380" spans="3:4" x14ac:dyDescent="0.3">
      <c r="C380" s="68" t="str">
        <f>IF(TRIM($B380)="","",IFERROR(HYPERLINK("#'Cards'!A"&amp;(MATCH($B380,Cards!$A$4:$A$1000,0)+3),INDEX(Cards!$B$4:$B$1000,MATCH($B380,Cards!$A$4:$A$1000,0))),"ไม่พบ Card ID ในชีต Cards"))</f>
        <v/>
      </c>
      <c r="D380" s="68" t="str">
        <f>IF(TRIM($B380)="","",IFERROR(INDEX(Cards!$M$4:$M$1000,MATCH($B380,Cards!$A$4:$A$1000,0))&amp;"","-"))</f>
        <v/>
      </c>
    </row>
    <row r="381" spans="3:4" x14ac:dyDescent="0.3">
      <c r="C381" s="68" t="str">
        <f>IF(TRIM($B381)="","",IFERROR(HYPERLINK("#'Cards'!A"&amp;(MATCH($B381,Cards!$A$4:$A$1000,0)+3),INDEX(Cards!$B$4:$B$1000,MATCH($B381,Cards!$A$4:$A$1000,0))),"ไม่พบ Card ID ในชีต Cards"))</f>
        <v/>
      </c>
      <c r="D381" s="68" t="str">
        <f>IF(TRIM($B381)="","",IFERROR(INDEX(Cards!$M$4:$M$1000,MATCH($B381,Cards!$A$4:$A$1000,0))&amp;"","-"))</f>
        <v/>
      </c>
    </row>
    <row r="382" spans="3:4" x14ac:dyDescent="0.3">
      <c r="C382" s="68" t="str">
        <f>IF(TRIM($B382)="","",IFERROR(HYPERLINK("#'Cards'!A"&amp;(MATCH($B382,Cards!$A$4:$A$1000,0)+3),INDEX(Cards!$B$4:$B$1000,MATCH($B382,Cards!$A$4:$A$1000,0))),"ไม่พบ Card ID ในชีต Cards"))</f>
        <v/>
      </c>
      <c r="D382" s="68" t="str">
        <f>IF(TRIM($B382)="","",IFERROR(INDEX(Cards!$M$4:$M$1000,MATCH($B382,Cards!$A$4:$A$1000,0))&amp;"","-"))</f>
        <v/>
      </c>
    </row>
    <row r="383" spans="3:4" x14ac:dyDescent="0.3">
      <c r="C383" s="68" t="str">
        <f>IF(TRIM($B383)="","",IFERROR(HYPERLINK("#'Cards'!A"&amp;(MATCH($B383,Cards!$A$4:$A$1000,0)+3),INDEX(Cards!$B$4:$B$1000,MATCH($B383,Cards!$A$4:$A$1000,0))),"ไม่พบ Card ID ในชีต Cards"))</f>
        <v/>
      </c>
      <c r="D383" s="68" t="str">
        <f>IF(TRIM($B383)="","",IFERROR(INDEX(Cards!$M$4:$M$1000,MATCH($B383,Cards!$A$4:$A$1000,0))&amp;"","-"))</f>
        <v/>
      </c>
    </row>
    <row r="384" spans="3:4" x14ac:dyDescent="0.3">
      <c r="C384" s="68" t="str">
        <f>IF(TRIM($B384)="","",IFERROR(HYPERLINK("#'Cards'!A"&amp;(MATCH($B384,Cards!$A$4:$A$1000,0)+3),INDEX(Cards!$B$4:$B$1000,MATCH($B384,Cards!$A$4:$A$1000,0))),"ไม่พบ Card ID ในชีต Cards"))</f>
        <v/>
      </c>
      <c r="D384" s="68" t="str">
        <f>IF(TRIM($B384)="","",IFERROR(INDEX(Cards!$M$4:$M$1000,MATCH($B384,Cards!$A$4:$A$1000,0))&amp;"","-"))</f>
        <v/>
      </c>
    </row>
    <row r="385" spans="3:4" x14ac:dyDescent="0.3">
      <c r="C385" s="68" t="str">
        <f>IF(TRIM($B385)="","",IFERROR(HYPERLINK("#'Cards'!A"&amp;(MATCH($B385,Cards!$A$4:$A$1000,0)+3),INDEX(Cards!$B$4:$B$1000,MATCH($B385,Cards!$A$4:$A$1000,0))),"ไม่พบ Card ID ในชีต Cards"))</f>
        <v/>
      </c>
      <c r="D385" s="68" t="str">
        <f>IF(TRIM($B385)="","",IFERROR(INDEX(Cards!$M$4:$M$1000,MATCH($B385,Cards!$A$4:$A$1000,0))&amp;"","-"))</f>
        <v/>
      </c>
    </row>
    <row r="386" spans="3:4" x14ac:dyDescent="0.3">
      <c r="C386" s="68" t="str">
        <f>IF(TRIM($B386)="","",IFERROR(HYPERLINK("#'Cards'!A"&amp;(MATCH($B386,Cards!$A$4:$A$1000,0)+3),INDEX(Cards!$B$4:$B$1000,MATCH($B386,Cards!$A$4:$A$1000,0))),"ไม่พบ Card ID ในชีต Cards"))</f>
        <v/>
      </c>
      <c r="D386" s="68" t="str">
        <f>IF(TRIM($B386)="","",IFERROR(INDEX(Cards!$M$4:$M$1000,MATCH($B386,Cards!$A$4:$A$1000,0))&amp;"","-"))</f>
        <v/>
      </c>
    </row>
    <row r="387" spans="3:4" x14ac:dyDescent="0.3">
      <c r="C387" s="68" t="str">
        <f>IF(TRIM($B387)="","",IFERROR(HYPERLINK("#'Cards'!A"&amp;(MATCH($B387,Cards!$A$4:$A$1000,0)+3),INDEX(Cards!$B$4:$B$1000,MATCH($B387,Cards!$A$4:$A$1000,0))),"ไม่พบ Card ID ในชีต Cards"))</f>
        <v/>
      </c>
      <c r="D387" s="68" t="str">
        <f>IF(TRIM($B387)="","",IFERROR(INDEX(Cards!$M$4:$M$1000,MATCH($B387,Cards!$A$4:$A$1000,0))&amp;"","-"))</f>
        <v/>
      </c>
    </row>
    <row r="388" spans="3:4" x14ac:dyDescent="0.3">
      <c r="C388" s="68" t="str">
        <f>IF(TRIM($B388)="","",IFERROR(HYPERLINK("#'Cards'!A"&amp;(MATCH($B388,Cards!$A$4:$A$1000,0)+3),INDEX(Cards!$B$4:$B$1000,MATCH($B388,Cards!$A$4:$A$1000,0))),"ไม่พบ Card ID ในชีต Cards"))</f>
        <v/>
      </c>
      <c r="D388" s="68" t="str">
        <f>IF(TRIM($B388)="","",IFERROR(INDEX(Cards!$M$4:$M$1000,MATCH($B388,Cards!$A$4:$A$1000,0))&amp;"","-"))</f>
        <v/>
      </c>
    </row>
    <row r="389" spans="3:4" x14ac:dyDescent="0.3">
      <c r="C389" s="68" t="str">
        <f>IF(TRIM($B389)="","",IFERROR(HYPERLINK("#'Cards'!A"&amp;(MATCH($B389,Cards!$A$4:$A$1000,0)+3),INDEX(Cards!$B$4:$B$1000,MATCH($B389,Cards!$A$4:$A$1000,0))),"ไม่พบ Card ID ในชีต Cards"))</f>
        <v/>
      </c>
      <c r="D389" s="68" t="str">
        <f>IF(TRIM($B389)="","",IFERROR(INDEX(Cards!$M$4:$M$1000,MATCH($B389,Cards!$A$4:$A$1000,0))&amp;"","-"))</f>
        <v/>
      </c>
    </row>
    <row r="390" spans="3:4" x14ac:dyDescent="0.3">
      <c r="C390" s="68" t="str">
        <f>IF(TRIM($B390)="","",IFERROR(HYPERLINK("#'Cards'!A"&amp;(MATCH($B390,Cards!$A$4:$A$1000,0)+3),INDEX(Cards!$B$4:$B$1000,MATCH($B390,Cards!$A$4:$A$1000,0))),"ไม่พบ Card ID ในชีต Cards"))</f>
        <v/>
      </c>
      <c r="D390" s="68" t="str">
        <f>IF(TRIM($B390)="","",IFERROR(INDEX(Cards!$M$4:$M$1000,MATCH($B390,Cards!$A$4:$A$1000,0))&amp;"","-"))</f>
        <v/>
      </c>
    </row>
    <row r="391" spans="3:4" x14ac:dyDescent="0.3">
      <c r="C391" s="68" t="str">
        <f>IF(TRIM($B391)="","",IFERROR(HYPERLINK("#'Cards'!A"&amp;(MATCH($B391,Cards!$A$4:$A$1000,0)+3),INDEX(Cards!$B$4:$B$1000,MATCH($B391,Cards!$A$4:$A$1000,0))),"ไม่พบ Card ID ในชีต Cards"))</f>
        <v/>
      </c>
      <c r="D391" s="68" t="str">
        <f>IF(TRIM($B391)="","",IFERROR(INDEX(Cards!$M$4:$M$1000,MATCH($B391,Cards!$A$4:$A$1000,0))&amp;"","-"))</f>
        <v/>
      </c>
    </row>
    <row r="392" spans="3:4" x14ac:dyDescent="0.3">
      <c r="C392" s="68" t="str">
        <f>IF(TRIM($B392)="","",IFERROR(HYPERLINK("#'Cards'!A"&amp;(MATCH($B392,Cards!$A$4:$A$1000,0)+3),INDEX(Cards!$B$4:$B$1000,MATCH($B392,Cards!$A$4:$A$1000,0))),"ไม่พบ Card ID ในชีต Cards"))</f>
        <v/>
      </c>
      <c r="D392" s="68" t="str">
        <f>IF(TRIM($B392)="","",IFERROR(INDEX(Cards!$M$4:$M$1000,MATCH($B392,Cards!$A$4:$A$1000,0))&amp;"","-"))</f>
        <v/>
      </c>
    </row>
    <row r="393" spans="3:4" x14ac:dyDescent="0.3">
      <c r="C393" s="68" t="str">
        <f>IF(TRIM($B393)="","",IFERROR(HYPERLINK("#'Cards'!A"&amp;(MATCH($B393,Cards!$A$4:$A$1000,0)+3),INDEX(Cards!$B$4:$B$1000,MATCH($B393,Cards!$A$4:$A$1000,0))),"ไม่พบ Card ID ในชีต Cards"))</f>
        <v/>
      </c>
      <c r="D393" s="68" t="str">
        <f>IF(TRIM($B393)="","",IFERROR(INDEX(Cards!$M$4:$M$1000,MATCH($B393,Cards!$A$4:$A$1000,0))&amp;"","-"))</f>
        <v/>
      </c>
    </row>
    <row r="394" spans="3:4" x14ac:dyDescent="0.3">
      <c r="C394" s="68" t="str">
        <f>IF(TRIM($B394)="","",IFERROR(HYPERLINK("#'Cards'!A"&amp;(MATCH($B394,Cards!$A$4:$A$1000,0)+3),INDEX(Cards!$B$4:$B$1000,MATCH($B394,Cards!$A$4:$A$1000,0))),"ไม่พบ Card ID ในชีต Cards"))</f>
        <v/>
      </c>
      <c r="D394" s="68" t="str">
        <f>IF(TRIM($B394)="","",IFERROR(INDEX(Cards!$M$4:$M$1000,MATCH($B394,Cards!$A$4:$A$1000,0))&amp;"","-"))</f>
        <v/>
      </c>
    </row>
    <row r="395" spans="3:4" x14ac:dyDescent="0.3">
      <c r="C395" s="68" t="str">
        <f>IF(TRIM($B395)="","",IFERROR(HYPERLINK("#'Cards'!A"&amp;(MATCH($B395,Cards!$A$4:$A$1000,0)+3),INDEX(Cards!$B$4:$B$1000,MATCH($B395,Cards!$A$4:$A$1000,0))),"ไม่พบ Card ID ในชีต Cards"))</f>
        <v/>
      </c>
      <c r="D395" s="68" t="str">
        <f>IF(TRIM($B395)="","",IFERROR(INDEX(Cards!$M$4:$M$1000,MATCH($B395,Cards!$A$4:$A$1000,0))&amp;"","-"))</f>
        <v/>
      </c>
    </row>
    <row r="396" spans="3:4" x14ac:dyDescent="0.3">
      <c r="C396" s="68" t="str">
        <f>IF(TRIM($B396)="","",IFERROR(HYPERLINK("#'Cards'!A"&amp;(MATCH($B396,Cards!$A$4:$A$1000,0)+3),INDEX(Cards!$B$4:$B$1000,MATCH($B396,Cards!$A$4:$A$1000,0))),"ไม่พบ Card ID ในชีต Cards"))</f>
        <v/>
      </c>
      <c r="D396" s="68" t="str">
        <f>IF(TRIM($B396)="","",IFERROR(INDEX(Cards!$M$4:$M$1000,MATCH($B396,Cards!$A$4:$A$1000,0))&amp;"","-"))</f>
        <v/>
      </c>
    </row>
    <row r="397" spans="3:4" x14ac:dyDescent="0.3">
      <c r="C397" s="68" t="str">
        <f>IF(TRIM($B397)="","",IFERROR(HYPERLINK("#'Cards'!A"&amp;(MATCH($B397,Cards!$A$4:$A$1000,0)+3),INDEX(Cards!$B$4:$B$1000,MATCH($B397,Cards!$A$4:$A$1000,0))),"ไม่พบ Card ID ในชีต Cards"))</f>
        <v/>
      </c>
      <c r="D397" s="68" t="str">
        <f>IF(TRIM($B397)="","",IFERROR(INDEX(Cards!$M$4:$M$1000,MATCH($B397,Cards!$A$4:$A$1000,0))&amp;"","-"))</f>
        <v/>
      </c>
    </row>
    <row r="398" spans="3:4" x14ac:dyDescent="0.3">
      <c r="C398" s="68" t="str">
        <f>IF(TRIM($B398)="","",IFERROR(HYPERLINK("#'Cards'!A"&amp;(MATCH($B398,Cards!$A$4:$A$1000,0)+3),INDEX(Cards!$B$4:$B$1000,MATCH($B398,Cards!$A$4:$A$1000,0))),"ไม่พบ Card ID ในชีต Cards"))</f>
        <v/>
      </c>
      <c r="D398" s="68" t="str">
        <f>IF(TRIM($B398)="","",IFERROR(INDEX(Cards!$M$4:$M$1000,MATCH($B398,Cards!$A$4:$A$1000,0))&amp;"","-"))</f>
        <v/>
      </c>
    </row>
    <row r="399" spans="3:4" x14ac:dyDescent="0.3">
      <c r="C399" s="68" t="str">
        <f>IF(TRIM($B399)="","",IFERROR(HYPERLINK("#'Cards'!A"&amp;(MATCH($B399,Cards!$A$4:$A$1000,0)+3),INDEX(Cards!$B$4:$B$1000,MATCH($B399,Cards!$A$4:$A$1000,0))),"ไม่พบ Card ID ในชีต Cards"))</f>
        <v/>
      </c>
      <c r="D399" s="68" t="str">
        <f>IF(TRIM($B399)="","",IFERROR(INDEX(Cards!$M$4:$M$1000,MATCH($B399,Cards!$A$4:$A$1000,0))&amp;"","-"))</f>
        <v/>
      </c>
    </row>
    <row r="400" spans="3:4" x14ac:dyDescent="0.3">
      <c r="C400" s="68" t="str">
        <f>IF(TRIM($B400)="","",IFERROR(HYPERLINK("#'Cards'!A"&amp;(MATCH($B400,Cards!$A$4:$A$1000,0)+3),INDEX(Cards!$B$4:$B$1000,MATCH($B400,Cards!$A$4:$A$1000,0))),"ไม่พบ Card ID ในชีต Cards"))</f>
        <v/>
      </c>
      <c r="D400" s="68" t="str">
        <f>IF(TRIM($B400)="","",IFERROR(INDEX(Cards!$M$4:$M$1000,MATCH($B400,Cards!$A$4:$A$1000,0))&amp;"","-"))</f>
        <v/>
      </c>
    </row>
    <row r="401" spans="3:4" x14ac:dyDescent="0.3">
      <c r="C401" s="68" t="str">
        <f>IF(TRIM($B401)="","",IFERROR(HYPERLINK("#'Cards'!A"&amp;(MATCH($B401,Cards!$A$4:$A$1000,0)+3),INDEX(Cards!$B$4:$B$1000,MATCH($B401,Cards!$A$4:$A$1000,0))),"ไม่พบ Card ID ในชีต Cards"))</f>
        <v/>
      </c>
      <c r="D401" s="68" t="str">
        <f>IF(TRIM($B401)="","",IFERROR(INDEX(Cards!$M$4:$M$1000,MATCH($B401,Cards!$A$4:$A$1000,0))&amp;"","-"))</f>
        <v/>
      </c>
    </row>
    <row r="402" spans="3:4" x14ac:dyDescent="0.3">
      <c r="C402" s="68" t="str">
        <f>IF(TRIM($B402)="","",IFERROR(HYPERLINK("#'Cards'!A"&amp;(MATCH($B402,Cards!$A$4:$A$1000,0)+3),INDEX(Cards!$B$4:$B$1000,MATCH($B402,Cards!$A$4:$A$1000,0))),"ไม่พบ Card ID ในชีต Cards"))</f>
        <v/>
      </c>
      <c r="D402" s="68" t="str">
        <f>IF(TRIM($B402)="","",IFERROR(INDEX(Cards!$M$4:$M$1000,MATCH($B402,Cards!$A$4:$A$1000,0))&amp;"","-"))</f>
        <v/>
      </c>
    </row>
    <row r="403" spans="3:4" x14ac:dyDescent="0.3">
      <c r="C403" s="68" t="str">
        <f>IF(TRIM($B403)="","",IFERROR(HYPERLINK("#'Cards'!A"&amp;(MATCH($B403,Cards!$A$4:$A$1000,0)+3),INDEX(Cards!$B$4:$B$1000,MATCH($B403,Cards!$A$4:$A$1000,0))),"ไม่พบ Card ID ในชีต Cards"))</f>
        <v/>
      </c>
      <c r="D403" s="68" t="str">
        <f>IF(TRIM($B403)="","",IFERROR(INDEX(Cards!$M$4:$M$1000,MATCH($B403,Cards!$A$4:$A$1000,0))&amp;"","-"))</f>
        <v/>
      </c>
    </row>
    <row r="404" spans="3:4" x14ac:dyDescent="0.3">
      <c r="C404" s="68" t="str">
        <f>IF(TRIM($B404)="","",IFERROR(HYPERLINK("#'Cards'!A"&amp;(MATCH($B404,Cards!$A$4:$A$1000,0)+3),INDEX(Cards!$B$4:$B$1000,MATCH($B404,Cards!$A$4:$A$1000,0))),"ไม่พบ Card ID ในชีต Cards"))</f>
        <v/>
      </c>
      <c r="D404" s="68" t="str">
        <f>IF(TRIM($B404)="","",IFERROR(INDEX(Cards!$M$4:$M$1000,MATCH($B404,Cards!$A$4:$A$1000,0))&amp;"","-"))</f>
        <v/>
      </c>
    </row>
    <row r="405" spans="3:4" x14ac:dyDescent="0.3">
      <c r="C405" s="68" t="str">
        <f>IF(TRIM($B405)="","",IFERROR(HYPERLINK("#'Cards'!A"&amp;(MATCH($B405,Cards!$A$4:$A$1000,0)+3),INDEX(Cards!$B$4:$B$1000,MATCH($B405,Cards!$A$4:$A$1000,0))),"ไม่พบ Card ID ในชีต Cards"))</f>
        <v/>
      </c>
      <c r="D405" s="68" t="str">
        <f>IF(TRIM($B405)="","",IFERROR(INDEX(Cards!$M$4:$M$1000,MATCH($B405,Cards!$A$4:$A$1000,0))&amp;"","-"))</f>
        <v/>
      </c>
    </row>
    <row r="406" spans="3:4" x14ac:dyDescent="0.3">
      <c r="C406" s="68" t="str">
        <f>IF(TRIM($B406)="","",IFERROR(HYPERLINK("#'Cards'!A"&amp;(MATCH($B406,Cards!$A$4:$A$1000,0)+3),INDEX(Cards!$B$4:$B$1000,MATCH($B406,Cards!$A$4:$A$1000,0))),"ไม่พบ Card ID ในชีต Cards"))</f>
        <v/>
      </c>
      <c r="D406" s="68" t="str">
        <f>IF(TRIM($B406)="","",IFERROR(INDEX(Cards!$M$4:$M$1000,MATCH($B406,Cards!$A$4:$A$1000,0))&amp;"","-"))</f>
        <v/>
      </c>
    </row>
    <row r="407" spans="3:4" x14ac:dyDescent="0.3">
      <c r="C407" s="68" t="str">
        <f>IF(TRIM($B407)="","",IFERROR(HYPERLINK("#'Cards'!A"&amp;(MATCH($B407,Cards!$A$4:$A$1000,0)+3),INDEX(Cards!$B$4:$B$1000,MATCH($B407,Cards!$A$4:$A$1000,0))),"ไม่พบ Card ID ในชีต Cards"))</f>
        <v/>
      </c>
      <c r="D407" s="68" t="str">
        <f>IF(TRIM($B407)="","",IFERROR(INDEX(Cards!$M$4:$M$1000,MATCH($B407,Cards!$A$4:$A$1000,0))&amp;"","-"))</f>
        <v/>
      </c>
    </row>
    <row r="408" spans="3:4" x14ac:dyDescent="0.3">
      <c r="C408" s="68" t="str">
        <f>IF(TRIM($B408)="","",IFERROR(HYPERLINK("#'Cards'!A"&amp;(MATCH($B408,Cards!$A$4:$A$1000,0)+3),INDEX(Cards!$B$4:$B$1000,MATCH($B408,Cards!$A$4:$A$1000,0))),"ไม่พบ Card ID ในชีต Cards"))</f>
        <v/>
      </c>
      <c r="D408" s="68" t="str">
        <f>IF(TRIM($B408)="","",IFERROR(INDEX(Cards!$M$4:$M$1000,MATCH($B408,Cards!$A$4:$A$1000,0))&amp;"","-"))</f>
        <v/>
      </c>
    </row>
    <row r="409" spans="3:4" x14ac:dyDescent="0.3">
      <c r="C409" s="68" t="str">
        <f>IF(TRIM($B409)="","",IFERROR(HYPERLINK("#'Cards'!A"&amp;(MATCH($B409,Cards!$A$4:$A$1000,0)+3),INDEX(Cards!$B$4:$B$1000,MATCH($B409,Cards!$A$4:$A$1000,0))),"ไม่พบ Card ID ในชีต Cards"))</f>
        <v/>
      </c>
      <c r="D409" s="68" t="str">
        <f>IF(TRIM($B409)="","",IFERROR(INDEX(Cards!$M$4:$M$1000,MATCH($B409,Cards!$A$4:$A$1000,0))&amp;"","-"))</f>
        <v/>
      </c>
    </row>
    <row r="410" spans="3:4" x14ac:dyDescent="0.3">
      <c r="C410" s="68" t="str">
        <f>IF(TRIM($B410)="","",IFERROR(HYPERLINK("#'Cards'!A"&amp;(MATCH($B410,Cards!$A$4:$A$1000,0)+3),INDEX(Cards!$B$4:$B$1000,MATCH($B410,Cards!$A$4:$A$1000,0))),"ไม่พบ Card ID ในชีต Cards"))</f>
        <v/>
      </c>
      <c r="D410" s="68" t="str">
        <f>IF(TRIM($B410)="","",IFERROR(INDEX(Cards!$M$4:$M$1000,MATCH($B410,Cards!$A$4:$A$1000,0))&amp;"","-"))</f>
        <v/>
      </c>
    </row>
    <row r="411" spans="3:4" x14ac:dyDescent="0.3">
      <c r="C411" s="68" t="str">
        <f>IF(TRIM($B411)="","",IFERROR(HYPERLINK("#'Cards'!A"&amp;(MATCH($B411,Cards!$A$4:$A$1000,0)+3),INDEX(Cards!$B$4:$B$1000,MATCH($B411,Cards!$A$4:$A$1000,0))),"ไม่พบ Card ID ในชีต Cards"))</f>
        <v/>
      </c>
      <c r="D411" s="68" t="str">
        <f>IF(TRIM($B411)="","",IFERROR(INDEX(Cards!$M$4:$M$1000,MATCH($B411,Cards!$A$4:$A$1000,0))&amp;"","-"))</f>
        <v/>
      </c>
    </row>
    <row r="412" spans="3:4" x14ac:dyDescent="0.3">
      <c r="C412" s="68" t="str">
        <f>IF(TRIM($B412)="","",IFERROR(HYPERLINK("#'Cards'!A"&amp;(MATCH($B412,Cards!$A$4:$A$1000,0)+3),INDEX(Cards!$B$4:$B$1000,MATCH($B412,Cards!$A$4:$A$1000,0))),"ไม่พบ Card ID ในชีต Cards"))</f>
        <v/>
      </c>
      <c r="D412" s="68" t="str">
        <f>IF(TRIM($B412)="","",IFERROR(INDEX(Cards!$M$4:$M$1000,MATCH($B412,Cards!$A$4:$A$1000,0))&amp;"","-"))</f>
        <v/>
      </c>
    </row>
    <row r="413" spans="3:4" x14ac:dyDescent="0.3">
      <c r="C413" s="68" t="str">
        <f>IF(TRIM($B413)="","",IFERROR(HYPERLINK("#'Cards'!A"&amp;(MATCH($B413,Cards!$A$4:$A$1000,0)+3),INDEX(Cards!$B$4:$B$1000,MATCH($B413,Cards!$A$4:$A$1000,0))),"ไม่พบ Card ID ในชีต Cards"))</f>
        <v/>
      </c>
      <c r="D413" s="68" t="str">
        <f>IF(TRIM($B413)="","",IFERROR(INDEX(Cards!$M$4:$M$1000,MATCH($B413,Cards!$A$4:$A$1000,0))&amp;"","-"))</f>
        <v/>
      </c>
    </row>
    <row r="414" spans="3:4" x14ac:dyDescent="0.3">
      <c r="C414" s="68" t="str">
        <f>IF(TRIM($B414)="","",IFERROR(HYPERLINK("#'Cards'!A"&amp;(MATCH($B414,Cards!$A$4:$A$1000,0)+3),INDEX(Cards!$B$4:$B$1000,MATCH($B414,Cards!$A$4:$A$1000,0))),"ไม่พบ Card ID ในชีต Cards"))</f>
        <v/>
      </c>
      <c r="D414" s="68" t="str">
        <f>IF(TRIM($B414)="","",IFERROR(INDEX(Cards!$M$4:$M$1000,MATCH($B414,Cards!$A$4:$A$1000,0))&amp;"","-"))</f>
        <v/>
      </c>
    </row>
    <row r="415" spans="3:4" x14ac:dyDescent="0.3">
      <c r="C415" s="68" t="str">
        <f>IF(TRIM($B415)="","",IFERROR(HYPERLINK("#'Cards'!A"&amp;(MATCH($B415,Cards!$A$4:$A$1000,0)+3),INDEX(Cards!$B$4:$B$1000,MATCH($B415,Cards!$A$4:$A$1000,0))),"ไม่พบ Card ID ในชีต Cards"))</f>
        <v/>
      </c>
      <c r="D415" s="68" t="str">
        <f>IF(TRIM($B415)="","",IFERROR(INDEX(Cards!$M$4:$M$1000,MATCH($B415,Cards!$A$4:$A$1000,0))&amp;"","-"))</f>
        <v/>
      </c>
    </row>
    <row r="416" spans="3:4" x14ac:dyDescent="0.3">
      <c r="C416" s="68" t="str">
        <f>IF(TRIM($B416)="","",IFERROR(HYPERLINK("#'Cards'!A"&amp;(MATCH($B416,Cards!$A$4:$A$1000,0)+3),INDEX(Cards!$B$4:$B$1000,MATCH($B416,Cards!$A$4:$A$1000,0))),"ไม่พบ Card ID ในชีต Cards"))</f>
        <v/>
      </c>
      <c r="D416" s="68" t="str">
        <f>IF(TRIM($B416)="","",IFERROR(INDEX(Cards!$M$4:$M$1000,MATCH($B416,Cards!$A$4:$A$1000,0))&amp;"","-"))</f>
        <v/>
      </c>
    </row>
    <row r="417" spans="3:4" x14ac:dyDescent="0.3">
      <c r="C417" s="68" t="str">
        <f>IF(TRIM($B417)="","",IFERROR(HYPERLINK("#'Cards'!A"&amp;(MATCH($B417,Cards!$A$4:$A$1000,0)+3),INDEX(Cards!$B$4:$B$1000,MATCH($B417,Cards!$A$4:$A$1000,0))),"ไม่พบ Card ID ในชีต Cards"))</f>
        <v/>
      </c>
      <c r="D417" s="68" t="str">
        <f>IF(TRIM($B417)="","",IFERROR(INDEX(Cards!$M$4:$M$1000,MATCH($B417,Cards!$A$4:$A$1000,0))&amp;"","-"))</f>
        <v/>
      </c>
    </row>
    <row r="418" spans="3:4" x14ac:dyDescent="0.3">
      <c r="C418" s="68" t="str">
        <f>IF(TRIM($B418)="","",IFERROR(HYPERLINK("#'Cards'!A"&amp;(MATCH($B418,Cards!$A$4:$A$1000,0)+3),INDEX(Cards!$B$4:$B$1000,MATCH($B418,Cards!$A$4:$A$1000,0))),"ไม่พบ Card ID ในชีต Cards"))</f>
        <v/>
      </c>
      <c r="D418" s="68" t="str">
        <f>IF(TRIM($B418)="","",IFERROR(INDEX(Cards!$M$4:$M$1000,MATCH($B418,Cards!$A$4:$A$1000,0))&amp;"","-"))</f>
        <v/>
      </c>
    </row>
    <row r="419" spans="3:4" x14ac:dyDescent="0.3">
      <c r="C419" s="68" t="str">
        <f>IF(TRIM($B419)="","",IFERROR(HYPERLINK("#'Cards'!A"&amp;(MATCH($B419,Cards!$A$4:$A$1000,0)+3),INDEX(Cards!$B$4:$B$1000,MATCH($B419,Cards!$A$4:$A$1000,0))),"ไม่พบ Card ID ในชีต Cards"))</f>
        <v/>
      </c>
      <c r="D419" s="68" t="str">
        <f>IF(TRIM($B419)="","",IFERROR(INDEX(Cards!$M$4:$M$1000,MATCH($B419,Cards!$A$4:$A$1000,0))&amp;"","-"))</f>
        <v/>
      </c>
    </row>
    <row r="420" spans="3:4" x14ac:dyDescent="0.3">
      <c r="C420" s="68" t="str">
        <f>IF(TRIM($B420)="","",IFERROR(HYPERLINK("#'Cards'!A"&amp;(MATCH($B420,Cards!$A$4:$A$1000,0)+3),INDEX(Cards!$B$4:$B$1000,MATCH($B420,Cards!$A$4:$A$1000,0))),"ไม่พบ Card ID ในชีต Cards"))</f>
        <v/>
      </c>
      <c r="D420" s="68" t="str">
        <f>IF(TRIM($B420)="","",IFERROR(INDEX(Cards!$M$4:$M$1000,MATCH($B420,Cards!$A$4:$A$1000,0))&amp;"","-"))</f>
        <v/>
      </c>
    </row>
    <row r="421" spans="3:4" x14ac:dyDescent="0.3">
      <c r="C421" s="68" t="str">
        <f>IF(TRIM($B421)="","",IFERROR(HYPERLINK("#'Cards'!A"&amp;(MATCH($B421,Cards!$A$4:$A$1000,0)+3),INDEX(Cards!$B$4:$B$1000,MATCH($B421,Cards!$A$4:$A$1000,0))),"ไม่พบ Card ID ในชีต Cards"))</f>
        <v/>
      </c>
      <c r="D421" s="68" t="str">
        <f>IF(TRIM($B421)="","",IFERROR(INDEX(Cards!$M$4:$M$1000,MATCH($B421,Cards!$A$4:$A$1000,0))&amp;"","-"))</f>
        <v/>
      </c>
    </row>
    <row r="422" spans="3:4" x14ac:dyDescent="0.3">
      <c r="C422" s="68" t="str">
        <f>IF(TRIM($B422)="","",IFERROR(HYPERLINK("#'Cards'!A"&amp;(MATCH($B422,Cards!$A$4:$A$1000,0)+3),INDEX(Cards!$B$4:$B$1000,MATCH($B422,Cards!$A$4:$A$1000,0))),"ไม่พบ Card ID ในชีต Cards"))</f>
        <v/>
      </c>
      <c r="D422" s="68" t="str">
        <f>IF(TRIM($B422)="","",IFERROR(INDEX(Cards!$M$4:$M$1000,MATCH($B422,Cards!$A$4:$A$1000,0))&amp;"","-"))</f>
        <v/>
      </c>
    </row>
    <row r="423" spans="3:4" x14ac:dyDescent="0.3">
      <c r="C423" s="68" t="str">
        <f>IF(TRIM($B423)="","",IFERROR(HYPERLINK("#'Cards'!A"&amp;(MATCH($B423,Cards!$A$4:$A$1000,0)+3),INDEX(Cards!$B$4:$B$1000,MATCH($B423,Cards!$A$4:$A$1000,0))),"ไม่พบ Card ID ในชีต Cards"))</f>
        <v/>
      </c>
      <c r="D423" s="68" t="str">
        <f>IF(TRIM($B423)="","",IFERROR(INDEX(Cards!$M$4:$M$1000,MATCH($B423,Cards!$A$4:$A$1000,0))&amp;"","-"))</f>
        <v/>
      </c>
    </row>
    <row r="424" spans="3:4" x14ac:dyDescent="0.3">
      <c r="C424" s="68" t="str">
        <f>IF(TRIM($B424)="","",IFERROR(HYPERLINK("#'Cards'!A"&amp;(MATCH($B424,Cards!$A$4:$A$1000,0)+3),INDEX(Cards!$B$4:$B$1000,MATCH($B424,Cards!$A$4:$A$1000,0))),"ไม่พบ Card ID ในชีต Cards"))</f>
        <v/>
      </c>
      <c r="D424" s="68" t="str">
        <f>IF(TRIM($B424)="","",IFERROR(INDEX(Cards!$M$4:$M$1000,MATCH($B424,Cards!$A$4:$A$1000,0))&amp;"","-"))</f>
        <v/>
      </c>
    </row>
    <row r="425" spans="3:4" x14ac:dyDescent="0.3">
      <c r="C425" s="68" t="str">
        <f>IF(TRIM($B425)="","",IFERROR(HYPERLINK("#'Cards'!A"&amp;(MATCH($B425,Cards!$A$4:$A$1000,0)+3),INDEX(Cards!$B$4:$B$1000,MATCH($B425,Cards!$A$4:$A$1000,0))),"ไม่พบ Card ID ในชีต Cards"))</f>
        <v/>
      </c>
      <c r="D425" s="68" t="str">
        <f>IF(TRIM($B425)="","",IFERROR(INDEX(Cards!$M$4:$M$1000,MATCH($B425,Cards!$A$4:$A$1000,0))&amp;"","-"))</f>
        <v/>
      </c>
    </row>
    <row r="426" spans="3:4" x14ac:dyDescent="0.3">
      <c r="C426" s="68" t="str">
        <f>IF(TRIM($B426)="","",IFERROR(HYPERLINK("#'Cards'!A"&amp;(MATCH($B426,Cards!$A$4:$A$1000,0)+3),INDEX(Cards!$B$4:$B$1000,MATCH($B426,Cards!$A$4:$A$1000,0))),"ไม่พบ Card ID ในชีต Cards"))</f>
        <v/>
      </c>
      <c r="D426" s="68" t="str">
        <f>IF(TRIM($B426)="","",IFERROR(INDEX(Cards!$M$4:$M$1000,MATCH($B426,Cards!$A$4:$A$1000,0))&amp;"","-"))</f>
        <v/>
      </c>
    </row>
    <row r="427" spans="3:4" x14ac:dyDescent="0.3">
      <c r="C427" s="68" t="str">
        <f>IF(TRIM($B427)="","",IFERROR(HYPERLINK("#'Cards'!A"&amp;(MATCH($B427,Cards!$A$4:$A$1000,0)+3),INDEX(Cards!$B$4:$B$1000,MATCH($B427,Cards!$A$4:$A$1000,0))),"ไม่พบ Card ID ในชีต Cards"))</f>
        <v/>
      </c>
      <c r="D427" s="68" t="str">
        <f>IF(TRIM($B427)="","",IFERROR(INDEX(Cards!$M$4:$M$1000,MATCH($B427,Cards!$A$4:$A$1000,0))&amp;"","-"))</f>
        <v/>
      </c>
    </row>
    <row r="428" spans="3:4" x14ac:dyDescent="0.3">
      <c r="C428" s="68" t="str">
        <f>IF(TRIM($B428)="","",IFERROR(HYPERLINK("#'Cards'!A"&amp;(MATCH($B428,Cards!$A$4:$A$1000,0)+3),INDEX(Cards!$B$4:$B$1000,MATCH($B428,Cards!$A$4:$A$1000,0))),"ไม่พบ Card ID ในชีต Cards"))</f>
        <v/>
      </c>
      <c r="D428" s="68" t="str">
        <f>IF(TRIM($B428)="","",IFERROR(INDEX(Cards!$M$4:$M$1000,MATCH($B428,Cards!$A$4:$A$1000,0))&amp;"","-"))</f>
        <v/>
      </c>
    </row>
    <row r="429" spans="3:4" x14ac:dyDescent="0.3">
      <c r="C429" s="68" t="str">
        <f>IF(TRIM($B429)="","",IFERROR(HYPERLINK("#'Cards'!A"&amp;(MATCH($B429,Cards!$A$4:$A$1000,0)+3),INDEX(Cards!$B$4:$B$1000,MATCH($B429,Cards!$A$4:$A$1000,0))),"ไม่พบ Card ID ในชีต Cards"))</f>
        <v/>
      </c>
      <c r="D429" s="68" t="str">
        <f>IF(TRIM($B429)="","",IFERROR(INDEX(Cards!$M$4:$M$1000,MATCH($B429,Cards!$A$4:$A$1000,0))&amp;"","-"))</f>
        <v/>
      </c>
    </row>
    <row r="430" spans="3:4" x14ac:dyDescent="0.3">
      <c r="C430" s="68" t="str">
        <f>IF(TRIM($B430)="","",IFERROR(HYPERLINK("#'Cards'!A"&amp;(MATCH($B430,Cards!$A$4:$A$1000,0)+3),INDEX(Cards!$B$4:$B$1000,MATCH($B430,Cards!$A$4:$A$1000,0))),"ไม่พบ Card ID ในชีต Cards"))</f>
        <v/>
      </c>
      <c r="D430" s="68" t="str">
        <f>IF(TRIM($B430)="","",IFERROR(INDEX(Cards!$M$4:$M$1000,MATCH($B430,Cards!$A$4:$A$1000,0))&amp;"","-"))</f>
        <v/>
      </c>
    </row>
    <row r="431" spans="3:4" x14ac:dyDescent="0.3">
      <c r="C431" s="68" t="str">
        <f>IF(TRIM($B431)="","",IFERROR(HYPERLINK("#'Cards'!A"&amp;(MATCH($B431,Cards!$A$4:$A$1000,0)+3),INDEX(Cards!$B$4:$B$1000,MATCH($B431,Cards!$A$4:$A$1000,0))),"ไม่พบ Card ID ในชีต Cards"))</f>
        <v/>
      </c>
      <c r="D431" s="68" t="str">
        <f>IF(TRIM($B431)="","",IFERROR(INDEX(Cards!$M$4:$M$1000,MATCH($B431,Cards!$A$4:$A$1000,0))&amp;"","-"))</f>
        <v/>
      </c>
    </row>
    <row r="432" spans="3:4" x14ac:dyDescent="0.3">
      <c r="C432" s="68" t="str">
        <f>IF(TRIM($B432)="","",IFERROR(HYPERLINK("#'Cards'!A"&amp;(MATCH($B432,Cards!$A$4:$A$1000,0)+3),INDEX(Cards!$B$4:$B$1000,MATCH($B432,Cards!$A$4:$A$1000,0))),"ไม่พบ Card ID ในชีต Cards"))</f>
        <v/>
      </c>
      <c r="D432" s="68" t="str">
        <f>IF(TRIM($B432)="","",IFERROR(INDEX(Cards!$M$4:$M$1000,MATCH($B432,Cards!$A$4:$A$1000,0))&amp;"","-"))</f>
        <v/>
      </c>
    </row>
    <row r="433" spans="3:4" x14ac:dyDescent="0.3">
      <c r="C433" s="68" t="str">
        <f>IF(TRIM($B433)="","",IFERROR(HYPERLINK("#'Cards'!A"&amp;(MATCH($B433,Cards!$A$4:$A$1000,0)+3),INDEX(Cards!$B$4:$B$1000,MATCH($B433,Cards!$A$4:$A$1000,0))),"ไม่พบ Card ID ในชีต Cards"))</f>
        <v/>
      </c>
      <c r="D433" s="68" t="str">
        <f>IF(TRIM($B433)="","",IFERROR(INDEX(Cards!$M$4:$M$1000,MATCH($B433,Cards!$A$4:$A$1000,0))&amp;"","-"))</f>
        <v/>
      </c>
    </row>
    <row r="434" spans="3:4" x14ac:dyDescent="0.3">
      <c r="C434" s="68" t="str">
        <f>IF(TRIM($B434)="","",IFERROR(HYPERLINK("#'Cards'!A"&amp;(MATCH($B434,Cards!$A$4:$A$1000,0)+3),INDEX(Cards!$B$4:$B$1000,MATCH($B434,Cards!$A$4:$A$1000,0))),"ไม่พบ Card ID ในชีต Cards"))</f>
        <v/>
      </c>
      <c r="D434" s="68" t="str">
        <f>IF(TRIM($B434)="","",IFERROR(INDEX(Cards!$M$4:$M$1000,MATCH($B434,Cards!$A$4:$A$1000,0))&amp;"","-"))</f>
        <v/>
      </c>
    </row>
    <row r="435" spans="3:4" x14ac:dyDescent="0.3">
      <c r="C435" s="68" t="str">
        <f>IF(TRIM($B435)="","",IFERROR(HYPERLINK("#'Cards'!A"&amp;(MATCH($B435,Cards!$A$4:$A$1000,0)+3),INDEX(Cards!$B$4:$B$1000,MATCH($B435,Cards!$A$4:$A$1000,0))),"ไม่พบ Card ID ในชีต Cards"))</f>
        <v/>
      </c>
      <c r="D435" s="68" t="str">
        <f>IF(TRIM($B435)="","",IFERROR(INDEX(Cards!$M$4:$M$1000,MATCH($B435,Cards!$A$4:$A$1000,0))&amp;"","-"))</f>
        <v/>
      </c>
    </row>
    <row r="436" spans="3:4" x14ac:dyDescent="0.3">
      <c r="C436" s="68" t="str">
        <f>IF(TRIM($B436)="","",IFERROR(HYPERLINK("#'Cards'!A"&amp;(MATCH($B436,Cards!$A$4:$A$1000,0)+3),INDEX(Cards!$B$4:$B$1000,MATCH($B436,Cards!$A$4:$A$1000,0))),"ไม่พบ Card ID ในชีต Cards"))</f>
        <v/>
      </c>
      <c r="D436" s="68" t="str">
        <f>IF(TRIM($B436)="","",IFERROR(INDEX(Cards!$M$4:$M$1000,MATCH($B436,Cards!$A$4:$A$1000,0))&amp;"","-"))</f>
        <v/>
      </c>
    </row>
    <row r="437" spans="3:4" x14ac:dyDescent="0.3">
      <c r="C437" s="68" t="str">
        <f>IF(TRIM($B437)="","",IFERROR(HYPERLINK("#'Cards'!A"&amp;(MATCH($B437,Cards!$A$4:$A$1000,0)+3),INDEX(Cards!$B$4:$B$1000,MATCH($B437,Cards!$A$4:$A$1000,0))),"ไม่พบ Card ID ในชีต Cards"))</f>
        <v/>
      </c>
      <c r="D437" s="68" t="str">
        <f>IF(TRIM($B437)="","",IFERROR(INDEX(Cards!$M$4:$M$1000,MATCH($B437,Cards!$A$4:$A$1000,0))&amp;"","-"))</f>
        <v/>
      </c>
    </row>
    <row r="438" spans="3:4" x14ac:dyDescent="0.3">
      <c r="C438" s="68" t="str">
        <f>IF(TRIM($B438)="","",IFERROR(HYPERLINK("#'Cards'!A"&amp;(MATCH($B438,Cards!$A$4:$A$1000,0)+3),INDEX(Cards!$B$4:$B$1000,MATCH($B438,Cards!$A$4:$A$1000,0))),"ไม่พบ Card ID ในชีต Cards"))</f>
        <v/>
      </c>
      <c r="D438" s="68" t="str">
        <f>IF(TRIM($B438)="","",IFERROR(INDEX(Cards!$M$4:$M$1000,MATCH($B438,Cards!$A$4:$A$1000,0))&amp;"","-"))</f>
        <v/>
      </c>
    </row>
    <row r="439" spans="3:4" x14ac:dyDescent="0.3">
      <c r="C439" s="68" t="str">
        <f>IF(TRIM($B439)="","",IFERROR(HYPERLINK("#'Cards'!A"&amp;(MATCH($B439,Cards!$A$4:$A$1000,0)+3),INDEX(Cards!$B$4:$B$1000,MATCH($B439,Cards!$A$4:$A$1000,0))),"ไม่พบ Card ID ในชีต Cards"))</f>
        <v/>
      </c>
      <c r="D439" s="68" t="str">
        <f>IF(TRIM($B439)="","",IFERROR(INDEX(Cards!$M$4:$M$1000,MATCH($B439,Cards!$A$4:$A$1000,0))&amp;"","-"))</f>
        <v/>
      </c>
    </row>
    <row r="440" spans="3:4" x14ac:dyDescent="0.3">
      <c r="C440" s="68" t="str">
        <f>IF(TRIM($B440)="","",IFERROR(HYPERLINK("#'Cards'!A"&amp;(MATCH($B440,Cards!$A$4:$A$1000,0)+3),INDEX(Cards!$B$4:$B$1000,MATCH($B440,Cards!$A$4:$A$1000,0))),"ไม่พบ Card ID ในชีต Cards"))</f>
        <v/>
      </c>
      <c r="D440" s="68" t="str">
        <f>IF(TRIM($B440)="","",IFERROR(INDEX(Cards!$M$4:$M$1000,MATCH($B440,Cards!$A$4:$A$1000,0))&amp;"","-"))</f>
        <v/>
      </c>
    </row>
    <row r="441" spans="3:4" x14ac:dyDescent="0.3">
      <c r="C441" s="68" t="str">
        <f>IF(TRIM($B441)="","",IFERROR(HYPERLINK("#'Cards'!A"&amp;(MATCH($B441,Cards!$A$4:$A$1000,0)+3),INDEX(Cards!$B$4:$B$1000,MATCH($B441,Cards!$A$4:$A$1000,0))),"ไม่พบ Card ID ในชีต Cards"))</f>
        <v/>
      </c>
      <c r="D441" s="68" t="str">
        <f>IF(TRIM($B441)="","",IFERROR(INDEX(Cards!$M$4:$M$1000,MATCH($B441,Cards!$A$4:$A$1000,0))&amp;"","-"))</f>
        <v/>
      </c>
    </row>
    <row r="442" spans="3:4" x14ac:dyDescent="0.3">
      <c r="C442" s="68" t="str">
        <f>IF(TRIM($B442)="","",IFERROR(HYPERLINK("#'Cards'!A"&amp;(MATCH($B442,Cards!$A$4:$A$1000,0)+3),INDEX(Cards!$B$4:$B$1000,MATCH($B442,Cards!$A$4:$A$1000,0))),"ไม่พบ Card ID ในชีต Cards"))</f>
        <v/>
      </c>
      <c r="D442" s="68" t="str">
        <f>IF(TRIM($B442)="","",IFERROR(INDEX(Cards!$M$4:$M$1000,MATCH($B442,Cards!$A$4:$A$1000,0))&amp;"","-"))</f>
        <v/>
      </c>
    </row>
    <row r="443" spans="3:4" x14ac:dyDescent="0.3">
      <c r="C443" s="68" t="str">
        <f>IF(TRIM($B443)="","",IFERROR(HYPERLINK("#'Cards'!A"&amp;(MATCH($B443,Cards!$A$4:$A$1000,0)+3),INDEX(Cards!$B$4:$B$1000,MATCH($B443,Cards!$A$4:$A$1000,0))),"ไม่พบ Card ID ในชีต Cards"))</f>
        <v/>
      </c>
      <c r="D443" s="68" t="str">
        <f>IF(TRIM($B443)="","",IFERROR(INDEX(Cards!$M$4:$M$1000,MATCH($B443,Cards!$A$4:$A$1000,0))&amp;"","-"))</f>
        <v/>
      </c>
    </row>
    <row r="444" spans="3:4" x14ac:dyDescent="0.3">
      <c r="C444" s="68" t="str">
        <f>IF(TRIM($B444)="","",IFERROR(HYPERLINK("#'Cards'!A"&amp;(MATCH($B444,Cards!$A$4:$A$1000,0)+3),INDEX(Cards!$B$4:$B$1000,MATCH($B444,Cards!$A$4:$A$1000,0))),"ไม่พบ Card ID ในชีต Cards"))</f>
        <v/>
      </c>
      <c r="D444" s="68" t="str">
        <f>IF(TRIM($B444)="","",IFERROR(INDEX(Cards!$M$4:$M$1000,MATCH($B444,Cards!$A$4:$A$1000,0))&amp;"","-"))</f>
        <v/>
      </c>
    </row>
    <row r="445" spans="3:4" x14ac:dyDescent="0.3">
      <c r="C445" s="68" t="str">
        <f>IF(TRIM($B445)="","",IFERROR(HYPERLINK("#'Cards'!A"&amp;(MATCH($B445,Cards!$A$4:$A$1000,0)+3),INDEX(Cards!$B$4:$B$1000,MATCH($B445,Cards!$A$4:$A$1000,0))),"ไม่พบ Card ID ในชีต Cards"))</f>
        <v/>
      </c>
      <c r="D445" s="68" t="str">
        <f>IF(TRIM($B445)="","",IFERROR(INDEX(Cards!$M$4:$M$1000,MATCH($B445,Cards!$A$4:$A$1000,0))&amp;"","-"))</f>
        <v/>
      </c>
    </row>
    <row r="446" spans="3:4" x14ac:dyDescent="0.3">
      <c r="C446" s="68" t="str">
        <f>IF(TRIM($B446)="","",IFERROR(HYPERLINK("#'Cards'!A"&amp;(MATCH($B446,Cards!$A$4:$A$1000,0)+3),INDEX(Cards!$B$4:$B$1000,MATCH($B446,Cards!$A$4:$A$1000,0))),"ไม่พบ Card ID ในชีต Cards"))</f>
        <v/>
      </c>
      <c r="D446" s="68" t="str">
        <f>IF(TRIM($B446)="","",IFERROR(INDEX(Cards!$M$4:$M$1000,MATCH($B446,Cards!$A$4:$A$1000,0))&amp;"","-"))</f>
        <v/>
      </c>
    </row>
    <row r="447" spans="3:4" x14ac:dyDescent="0.3">
      <c r="C447" s="68" t="str">
        <f>IF(TRIM($B447)="","",IFERROR(HYPERLINK("#'Cards'!A"&amp;(MATCH($B447,Cards!$A$4:$A$1000,0)+3),INDEX(Cards!$B$4:$B$1000,MATCH($B447,Cards!$A$4:$A$1000,0))),"ไม่พบ Card ID ในชีต Cards"))</f>
        <v/>
      </c>
      <c r="D447" s="68" t="str">
        <f>IF(TRIM($B447)="","",IFERROR(INDEX(Cards!$M$4:$M$1000,MATCH($B447,Cards!$A$4:$A$1000,0))&amp;"","-"))</f>
        <v/>
      </c>
    </row>
    <row r="448" spans="3:4" x14ac:dyDescent="0.3">
      <c r="C448" s="68" t="str">
        <f>IF(TRIM($B448)="","",IFERROR(HYPERLINK("#'Cards'!A"&amp;(MATCH($B448,Cards!$A$4:$A$1000,0)+3),INDEX(Cards!$B$4:$B$1000,MATCH($B448,Cards!$A$4:$A$1000,0))),"ไม่พบ Card ID ในชีต Cards"))</f>
        <v/>
      </c>
      <c r="D448" s="68" t="str">
        <f>IF(TRIM($B448)="","",IFERROR(INDEX(Cards!$M$4:$M$1000,MATCH($B448,Cards!$A$4:$A$1000,0))&amp;"","-"))</f>
        <v/>
      </c>
    </row>
    <row r="449" spans="3:4" x14ac:dyDescent="0.3">
      <c r="C449" s="68" t="str">
        <f>IF(TRIM($B449)="","",IFERROR(HYPERLINK("#'Cards'!A"&amp;(MATCH($B449,Cards!$A$4:$A$1000,0)+3),INDEX(Cards!$B$4:$B$1000,MATCH($B449,Cards!$A$4:$A$1000,0))),"ไม่พบ Card ID ในชีต Cards"))</f>
        <v/>
      </c>
      <c r="D449" s="68" t="str">
        <f>IF(TRIM($B449)="","",IFERROR(INDEX(Cards!$M$4:$M$1000,MATCH($B449,Cards!$A$4:$A$1000,0))&amp;"","-"))</f>
        <v/>
      </c>
    </row>
    <row r="450" spans="3:4" x14ac:dyDescent="0.3">
      <c r="C450" s="68" t="str">
        <f>IF(TRIM($B450)="","",IFERROR(HYPERLINK("#'Cards'!A"&amp;(MATCH($B450,Cards!$A$4:$A$1000,0)+3),INDEX(Cards!$B$4:$B$1000,MATCH($B450,Cards!$A$4:$A$1000,0))),"ไม่พบ Card ID ในชีต Cards"))</f>
        <v/>
      </c>
      <c r="D450" s="68" t="str">
        <f>IF(TRIM($B450)="","",IFERROR(INDEX(Cards!$M$4:$M$1000,MATCH($B450,Cards!$A$4:$A$1000,0))&amp;"","-"))</f>
        <v/>
      </c>
    </row>
    <row r="451" spans="3:4" x14ac:dyDescent="0.3">
      <c r="C451" s="68" t="str">
        <f>IF(TRIM($B451)="","",IFERROR(HYPERLINK("#'Cards'!A"&amp;(MATCH($B451,Cards!$A$4:$A$1000,0)+3),INDEX(Cards!$B$4:$B$1000,MATCH($B451,Cards!$A$4:$A$1000,0))),"ไม่พบ Card ID ในชีต Cards"))</f>
        <v/>
      </c>
      <c r="D451" s="68" t="str">
        <f>IF(TRIM($B451)="","",IFERROR(INDEX(Cards!$M$4:$M$1000,MATCH($B451,Cards!$A$4:$A$1000,0))&amp;"","-"))</f>
        <v/>
      </c>
    </row>
    <row r="452" spans="3:4" x14ac:dyDescent="0.3">
      <c r="C452" s="68" t="str">
        <f>IF(TRIM($B452)="","",IFERROR(HYPERLINK("#'Cards'!A"&amp;(MATCH($B452,Cards!$A$4:$A$1000,0)+3),INDEX(Cards!$B$4:$B$1000,MATCH($B452,Cards!$A$4:$A$1000,0))),"ไม่พบ Card ID ในชีต Cards"))</f>
        <v/>
      </c>
      <c r="D452" s="68" t="str">
        <f>IF(TRIM($B452)="","",IFERROR(INDEX(Cards!$M$4:$M$1000,MATCH($B452,Cards!$A$4:$A$1000,0))&amp;"","-"))</f>
        <v/>
      </c>
    </row>
    <row r="453" spans="3:4" x14ac:dyDescent="0.3">
      <c r="C453" s="68" t="str">
        <f>IF(TRIM($B453)="","",IFERROR(HYPERLINK("#'Cards'!A"&amp;(MATCH($B453,Cards!$A$4:$A$1000,0)+3),INDEX(Cards!$B$4:$B$1000,MATCH($B453,Cards!$A$4:$A$1000,0))),"ไม่พบ Card ID ในชีต Cards"))</f>
        <v/>
      </c>
      <c r="D453" s="68" t="str">
        <f>IF(TRIM($B453)="","",IFERROR(INDEX(Cards!$M$4:$M$1000,MATCH($B453,Cards!$A$4:$A$1000,0))&amp;"","-"))</f>
        <v/>
      </c>
    </row>
    <row r="454" spans="3:4" x14ac:dyDescent="0.3">
      <c r="C454" s="68" t="str">
        <f>IF(TRIM($B454)="","",IFERROR(HYPERLINK("#'Cards'!A"&amp;(MATCH($B454,Cards!$A$4:$A$1000,0)+3),INDEX(Cards!$B$4:$B$1000,MATCH($B454,Cards!$A$4:$A$1000,0))),"ไม่พบ Card ID ในชีต Cards"))</f>
        <v/>
      </c>
      <c r="D454" s="68" t="str">
        <f>IF(TRIM($B454)="","",IFERROR(INDEX(Cards!$M$4:$M$1000,MATCH($B454,Cards!$A$4:$A$1000,0))&amp;"","-"))</f>
        <v/>
      </c>
    </row>
    <row r="455" spans="3:4" x14ac:dyDescent="0.3">
      <c r="C455" s="68" t="str">
        <f>IF(TRIM($B455)="","",IFERROR(HYPERLINK("#'Cards'!A"&amp;(MATCH($B455,Cards!$A$4:$A$1000,0)+3),INDEX(Cards!$B$4:$B$1000,MATCH($B455,Cards!$A$4:$A$1000,0))),"ไม่พบ Card ID ในชีต Cards"))</f>
        <v/>
      </c>
      <c r="D455" s="68" t="str">
        <f>IF(TRIM($B455)="","",IFERROR(INDEX(Cards!$M$4:$M$1000,MATCH($B455,Cards!$A$4:$A$1000,0))&amp;"","-"))</f>
        <v/>
      </c>
    </row>
    <row r="456" spans="3:4" x14ac:dyDescent="0.3">
      <c r="C456" s="68" t="str">
        <f>IF(TRIM($B456)="","",IFERROR(HYPERLINK("#'Cards'!A"&amp;(MATCH($B456,Cards!$A$4:$A$1000,0)+3),INDEX(Cards!$B$4:$B$1000,MATCH($B456,Cards!$A$4:$A$1000,0))),"ไม่พบ Card ID ในชีต Cards"))</f>
        <v/>
      </c>
      <c r="D456" s="68" t="str">
        <f>IF(TRIM($B456)="","",IFERROR(INDEX(Cards!$M$4:$M$1000,MATCH($B456,Cards!$A$4:$A$1000,0))&amp;"","-"))</f>
        <v/>
      </c>
    </row>
    <row r="457" spans="3:4" x14ac:dyDescent="0.3">
      <c r="C457" s="68" t="str">
        <f>IF(TRIM($B457)="","",IFERROR(HYPERLINK("#'Cards'!A"&amp;(MATCH($B457,Cards!$A$4:$A$1000,0)+3),INDEX(Cards!$B$4:$B$1000,MATCH($B457,Cards!$A$4:$A$1000,0))),"ไม่พบ Card ID ในชีต Cards"))</f>
        <v/>
      </c>
      <c r="D457" s="68" t="str">
        <f>IF(TRIM($B457)="","",IFERROR(INDEX(Cards!$M$4:$M$1000,MATCH($B457,Cards!$A$4:$A$1000,0))&amp;"","-"))</f>
        <v/>
      </c>
    </row>
    <row r="458" spans="3:4" x14ac:dyDescent="0.3">
      <c r="C458" s="68" t="str">
        <f>IF(TRIM($B458)="","",IFERROR(HYPERLINK("#'Cards'!A"&amp;(MATCH($B458,Cards!$A$4:$A$1000,0)+3),INDEX(Cards!$B$4:$B$1000,MATCH($B458,Cards!$A$4:$A$1000,0))),"ไม่พบ Card ID ในชีต Cards"))</f>
        <v/>
      </c>
      <c r="D458" s="68" t="str">
        <f>IF(TRIM($B458)="","",IFERROR(INDEX(Cards!$M$4:$M$1000,MATCH($B458,Cards!$A$4:$A$1000,0))&amp;"","-"))</f>
        <v/>
      </c>
    </row>
    <row r="459" spans="3:4" x14ac:dyDescent="0.3">
      <c r="C459" s="68" t="str">
        <f>IF(TRIM($B459)="","",IFERROR(HYPERLINK("#'Cards'!A"&amp;(MATCH($B459,Cards!$A$4:$A$1000,0)+3),INDEX(Cards!$B$4:$B$1000,MATCH($B459,Cards!$A$4:$A$1000,0))),"ไม่พบ Card ID ในชีต Cards"))</f>
        <v/>
      </c>
      <c r="D459" s="68" t="str">
        <f>IF(TRIM($B459)="","",IFERROR(INDEX(Cards!$M$4:$M$1000,MATCH($B459,Cards!$A$4:$A$1000,0))&amp;"","-"))</f>
        <v/>
      </c>
    </row>
    <row r="460" spans="3:4" x14ac:dyDescent="0.3">
      <c r="C460" s="68" t="str">
        <f>IF(TRIM($B460)="","",IFERROR(HYPERLINK("#'Cards'!A"&amp;(MATCH($B460,Cards!$A$4:$A$1000,0)+3),INDEX(Cards!$B$4:$B$1000,MATCH($B460,Cards!$A$4:$A$1000,0))),"ไม่พบ Card ID ในชีต Cards"))</f>
        <v/>
      </c>
      <c r="D460" s="68" t="str">
        <f>IF(TRIM($B460)="","",IFERROR(INDEX(Cards!$M$4:$M$1000,MATCH($B460,Cards!$A$4:$A$1000,0))&amp;"","-"))</f>
        <v/>
      </c>
    </row>
    <row r="461" spans="3:4" x14ac:dyDescent="0.3">
      <c r="C461" s="68" t="str">
        <f>IF(TRIM($B461)="","",IFERROR(HYPERLINK("#'Cards'!A"&amp;(MATCH($B461,Cards!$A$4:$A$1000,0)+3),INDEX(Cards!$B$4:$B$1000,MATCH($B461,Cards!$A$4:$A$1000,0))),"ไม่พบ Card ID ในชีต Cards"))</f>
        <v/>
      </c>
      <c r="D461" s="68" t="str">
        <f>IF(TRIM($B461)="","",IFERROR(INDEX(Cards!$M$4:$M$1000,MATCH($B461,Cards!$A$4:$A$1000,0))&amp;"","-"))</f>
        <v/>
      </c>
    </row>
    <row r="462" spans="3:4" x14ac:dyDescent="0.3">
      <c r="C462" s="68" t="str">
        <f>IF(TRIM($B462)="","",IFERROR(HYPERLINK("#'Cards'!A"&amp;(MATCH($B462,Cards!$A$4:$A$1000,0)+3),INDEX(Cards!$B$4:$B$1000,MATCH($B462,Cards!$A$4:$A$1000,0))),"ไม่พบ Card ID ในชีต Cards"))</f>
        <v/>
      </c>
      <c r="D462" s="68" t="str">
        <f>IF(TRIM($B462)="","",IFERROR(INDEX(Cards!$M$4:$M$1000,MATCH($B462,Cards!$A$4:$A$1000,0))&amp;"","-"))</f>
        <v/>
      </c>
    </row>
    <row r="463" spans="3:4" x14ac:dyDescent="0.3">
      <c r="C463" s="68" t="str">
        <f>IF(TRIM($B463)="","",IFERROR(HYPERLINK("#'Cards'!A"&amp;(MATCH($B463,Cards!$A$4:$A$1000,0)+3),INDEX(Cards!$B$4:$B$1000,MATCH($B463,Cards!$A$4:$A$1000,0))),"ไม่พบ Card ID ในชีต Cards"))</f>
        <v/>
      </c>
      <c r="D463" s="68" t="str">
        <f>IF(TRIM($B463)="","",IFERROR(INDEX(Cards!$M$4:$M$1000,MATCH($B463,Cards!$A$4:$A$1000,0))&amp;"","-"))</f>
        <v/>
      </c>
    </row>
    <row r="464" spans="3:4" x14ac:dyDescent="0.3">
      <c r="C464" s="68" t="str">
        <f>IF(TRIM($B464)="","",IFERROR(HYPERLINK("#'Cards'!A"&amp;(MATCH($B464,Cards!$A$4:$A$1000,0)+3),INDEX(Cards!$B$4:$B$1000,MATCH($B464,Cards!$A$4:$A$1000,0))),"ไม่พบ Card ID ในชีต Cards"))</f>
        <v/>
      </c>
      <c r="D464" s="68" t="str">
        <f>IF(TRIM($B464)="","",IFERROR(INDEX(Cards!$M$4:$M$1000,MATCH($B464,Cards!$A$4:$A$1000,0))&amp;"","-"))</f>
        <v/>
      </c>
    </row>
    <row r="465" spans="3:4" x14ac:dyDescent="0.3">
      <c r="C465" s="68" t="str">
        <f>IF(TRIM($B465)="","",IFERROR(HYPERLINK("#'Cards'!A"&amp;(MATCH($B465,Cards!$A$4:$A$1000,0)+3),INDEX(Cards!$B$4:$B$1000,MATCH($B465,Cards!$A$4:$A$1000,0))),"ไม่พบ Card ID ในชีต Cards"))</f>
        <v/>
      </c>
      <c r="D465" s="68" t="str">
        <f>IF(TRIM($B465)="","",IFERROR(INDEX(Cards!$M$4:$M$1000,MATCH($B465,Cards!$A$4:$A$1000,0))&amp;"","-"))</f>
        <v/>
      </c>
    </row>
    <row r="466" spans="3:4" x14ac:dyDescent="0.3">
      <c r="C466" s="68" t="str">
        <f>IF(TRIM($B466)="","",IFERROR(HYPERLINK("#'Cards'!A"&amp;(MATCH($B466,Cards!$A$4:$A$1000,0)+3),INDEX(Cards!$B$4:$B$1000,MATCH($B466,Cards!$A$4:$A$1000,0))),"ไม่พบ Card ID ในชีต Cards"))</f>
        <v/>
      </c>
      <c r="D466" s="68" t="str">
        <f>IF(TRIM($B466)="","",IFERROR(INDEX(Cards!$M$4:$M$1000,MATCH($B466,Cards!$A$4:$A$1000,0))&amp;"","-"))</f>
        <v/>
      </c>
    </row>
    <row r="467" spans="3:4" x14ac:dyDescent="0.3">
      <c r="C467" s="68" t="str">
        <f>IF(TRIM($B467)="","",IFERROR(HYPERLINK("#'Cards'!A"&amp;(MATCH($B467,Cards!$A$4:$A$1000,0)+3),INDEX(Cards!$B$4:$B$1000,MATCH($B467,Cards!$A$4:$A$1000,0))),"ไม่พบ Card ID ในชีต Cards"))</f>
        <v/>
      </c>
      <c r="D467" s="68" t="str">
        <f>IF(TRIM($B467)="","",IFERROR(INDEX(Cards!$M$4:$M$1000,MATCH($B467,Cards!$A$4:$A$1000,0))&amp;"","-"))</f>
        <v/>
      </c>
    </row>
    <row r="468" spans="3:4" x14ac:dyDescent="0.3">
      <c r="C468" s="68" t="str">
        <f>IF(TRIM($B468)="","",IFERROR(HYPERLINK("#'Cards'!A"&amp;(MATCH($B468,Cards!$A$4:$A$1000,0)+3),INDEX(Cards!$B$4:$B$1000,MATCH($B468,Cards!$A$4:$A$1000,0))),"ไม่พบ Card ID ในชีต Cards"))</f>
        <v/>
      </c>
      <c r="D468" s="68" t="str">
        <f>IF(TRIM($B468)="","",IFERROR(INDEX(Cards!$M$4:$M$1000,MATCH($B468,Cards!$A$4:$A$1000,0))&amp;"","-"))</f>
        <v/>
      </c>
    </row>
    <row r="469" spans="3:4" x14ac:dyDescent="0.3">
      <c r="C469" s="68" t="str">
        <f>IF(TRIM($B469)="","",IFERROR(HYPERLINK("#'Cards'!A"&amp;(MATCH($B469,Cards!$A$4:$A$1000,0)+3),INDEX(Cards!$B$4:$B$1000,MATCH($B469,Cards!$A$4:$A$1000,0))),"ไม่พบ Card ID ในชีต Cards"))</f>
        <v/>
      </c>
      <c r="D469" s="68" t="str">
        <f>IF(TRIM($B469)="","",IFERROR(INDEX(Cards!$M$4:$M$1000,MATCH($B469,Cards!$A$4:$A$1000,0))&amp;"","-"))</f>
        <v/>
      </c>
    </row>
    <row r="470" spans="3:4" x14ac:dyDescent="0.3">
      <c r="C470" s="68" t="str">
        <f>IF(TRIM($B470)="","",IFERROR(HYPERLINK("#'Cards'!A"&amp;(MATCH($B470,Cards!$A$4:$A$1000,0)+3),INDEX(Cards!$B$4:$B$1000,MATCH($B470,Cards!$A$4:$A$1000,0))),"ไม่พบ Card ID ในชีต Cards"))</f>
        <v/>
      </c>
      <c r="D470" s="68" t="str">
        <f>IF(TRIM($B470)="","",IFERROR(INDEX(Cards!$M$4:$M$1000,MATCH($B470,Cards!$A$4:$A$1000,0))&amp;"","-"))</f>
        <v/>
      </c>
    </row>
    <row r="471" spans="3:4" x14ac:dyDescent="0.3">
      <c r="C471" s="68" t="str">
        <f>IF(TRIM($B471)="","",IFERROR(HYPERLINK("#'Cards'!A"&amp;(MATCH($B471,Cards!$A$4:$A$1000,0)+3),INDEX(Cards!$B$4:$B$1000,MATCH($B471,Cards!$A$4:$A$1000,0))),"ไม่พบ Card ID ในชีต Cards"))</f>
        <v/>
      </c>
      <c r="D471" s="68" t="str">
        <f>IF(TRIM($B471)="","",IFERROR(INDEX(Cards!$M$4:$M$1000,MATCH($B471,Cards!$A$4:$A$1000,0))&amp;"","-"))</f>
        <v/>
      </c>
    </row>
    <row r="472" spans="3:4" x14ac:dyDescent="0.3">
      <c r="C472" s="68" t="str">
        <f>IF(TRIM($B472)="","",IFERROR(HYPERLINK("#'Cards'!A"&amp;(MATCH($B472,Cards!$A$4:$A$1000,0)+3),INDEX(Cards!$B$4:$B$1000,MATCH($B472,Cards!$A$4:$A$1000,0))),"ไม่พบ Card ID ในชีต Cards"))</f>
        <v/>
      </c>
      <c r="D472" s="68" t="str">
        <f>IF(TRIM($B472)="","",IFERROR(INDEX(Cards!$M$4:$M$1000,MATCH($B472,Cards!$A$4:$A$1000,0))&amp;"","-"))</f>
        <v/>
      </c>
    </row>
    <row r="473" spans="3:4" x14ac:dyDescent="0.3">
      <c r="C473" s="68" t="str">
        <f>IF(TRIM($B473)="","",IFERROR(HYPERLINK("#'Cards'!A"&amp;(MATCH($B473,Cards!$A$4:$A$1000,0)+3),INDEX(Cards!$B$4:$B$1000,MATCH($B473,Cards!$A$4:$A$1000,0))),"ไม่พบ Card ID ในชีต Cards"))</f>
        <v/>
      </c>
      <c r="D473" s="68" t="str">
        <f>IF(TRIM($B473)="","",IFERROR(INDEX(Cards!$M$4:$M$1000,MATCH($B473,Cards!$A$4:$A$1000,0))&amp;"","-"))</f>
        <v/>
      </c>
    </row>
    <row r="474" spans="3:4" x14ac:dyDescent="0.3">
      <c r="C474" s="68" t="str">
        <f>IF(TRIM($B474)="","",IFERROR(HYPERLINK("#'Cards'!A"&amp;(MATCH($B474,Cards!$A$4:$A$1000,0)+3),INDEX(Cards!$B$4:$B$1000,MATCH($B474,Cards!$A$4:$A$1000,0))),"ไม่พบ Card ID ในชีต Cards"))</f>
        <v/>
      </c>
      <c r="D474" s="68" t="str">
        <f>IF(TRIM($B474)="","",IFERROR(INDEX(Cards!$M$4:$M$1000,MATCH($B474,Cards!$A$4:$A$1000,0))&amp;"","-"))</f>
        <v/>
      </c>
    </row>
    <row r="475" spans="3:4" x14ac:dyDescent="0.3">
      <c r="C475" s="68" t="str">
        <f>IF(TRIM($B475)="","",IFERROR(HYPERLINK("#'Cards'!A"&amp;(MATCH($B475,Cards!$A$4:$A$1000,0)+3),INDEX(Cards!$B$4:$B$1000,MATCH($B475,Cards!$A$4:$A$1000,0))),"ไม่พบ Card ID ในชีต Cards"))</f>
        <v/>
      </c>
      <c r="D475" s="68" t="str">
        <f>IF(TRIM($B475)="","",IFERROR(INDEX(Cards!$M$4:$M$1000,MATCH($B475,Cards!$A$4:$A$1000,0))&amp;"","-"))</f>
        <v/>
      </c>
    </row>
    <row r="476" spans="3:4" x14ac:dyDescent="0.3">
      <c r="C476" s="68" t="str">
        <f>IF(TRIM($B476)="","",IFERROR(HYPERLINK("#'Cards'!A"&amp;(MATCH($B476,Cards!$A$4:$A$1000,0)+3),INDEX(Cards!$B$4:$B$1000,MATCH($B476,Cards!$A$4:$A$1000,0))),"ไม่พบ Card ID ในชีต Cards"))</f>
        <v/>
      </c>
      <c r="D476" s="68" t="str">
        <f>IF(TRIM($B476)="","",IFERROR(INDEX(Cards!$M$4:$M$1000,MATCH($B476,Cards!$A$4:$A$1000,0))&amp;"","-"))</f>
        <v/>
      </c>
    </row>
    <row r="477" spans="3:4" x14ac:dyDescent="0.3">
      <c r="C477" s="68" t="str">
        <f>IF(TRIM($B477)="","",IFERROR(HYPERLINK("#'Cards'!A"&amp;(MATCH($B477,Cards!$A$4:$A$1000,0)+3),INDEX(Cards!$B$4:$B$1000,MATCH($B477,Cards!$A$4:$A$1000,0))),"ไม่พบ Card ID ในชีต Cards"))</f>
        <v/>
      </c>
      <c r="D477" s="68" t="str">
        <f>IF(TRIM($B477)="","",IFERROR(INDEX(Cards!$M$4:$M$1000,MATCH($B477,Cards!$A$4:$A$1000,0))&amp;"","-"))</f>
        <v/>
      </c>
    </row>
    <row r="478" spans="3:4" x14ac:dyDescent="0.3">
      <c r="C478" s="68" t="str">
        <f>IF(TRIM($B478)="","",IFERROR(HYPERLINK("#'Cards'!A"&amp;(MATCH($B478,Cards!$A$4:$A$1000,0)+3),INDEX(Cards!$B$4:$B$1000,MATCH($B478,Cards!$A$4:$A$1000,0))),"ไม่พบ Card ID ในชีต Cards"))</f>
        <v/>
      </c>
      <c r="D478" s="68" t="str">
        <f>IF(TRIM($B478)="","",IFERROR(INDEX(Cards!$M$4:$M$1000,MATCH($B478,Cards!$A$4:$A$1000,0))&amp;"","-"))</f>
        <v/>
      </c>
    </row>
    <row r="479" spans="3:4" x14ac:dyDescent="0.3">
      <c r="C479" s="68" t="str">
        <f>IF(TRIM($B479)="","",IFERROR(HYPERLINK("#'Cards'!A"&amp;(MATCH($B479,Cards!$A$4:$A$1000,0)+3),INDEX(Cards!$B$4:$B$1000,MATCH($B479,Cards!$A$4:$A$1000,0))),"ไม่พบ Card ID ในชีต Cards"))</f>
        <v/>
      </c>
      <c r="D479" s="68" t="str">
        <f>IF(TRIM($B479)="","",IFERROR(INDEX(Cards!$M$4:$M$1000,MATCH($B479,Cards!$A$4:$A$1000,0))&amp;"","-"))</f>
        <v/>
      </c>
    </row>
    <row r="480" spans="3:4" x14ac:dyDescent="0.3">
      <c r="C480" s="68" t="str">
        <f>IF(TRIM($B480)="","",IFERROR(HYPERLINK("#'Cards'!A"&amp;(MATCH($B480,Cards!$A$4:$A$1000,0)+3),INDEX(Cards!$B$4:$B$1000,MATCH($B480,Cards!$A$4:$A$1000,0))),"ไม่พบ Card ID ในชีต Cards"))</f>
        <v/>
      </c>
      <c r="D480" s="68" t="str">
        <f>IF(TRIM($B480)="","",IFERROR(INDEX(Cards!$M$4:$M$1000,MATCH($B480,Cards!$A$4:$A$1000,0))&amp;"","-"))</f>
        <v/>
      </c>
    </row>
    <row r="481" spans="3:4" x14ac:dyDescent="0.3">
      <c r="C481" s="68" t="str">
        <f>IF(TRIM($B481)="","",IFERROR(HYPERLINK("#'Cards'!A"&amp;(MATCH($B481,Cards!$A$4:$A$1000,0)+3),INDEX(Cards!$B$4:$B$1000,MATCH($B481,Cards!$A$4:$A$1000,0))),"ไม่พบ Card ID ในชีต Cards"))</f>
        <v/>
      </c>
      <c r="D481" s="68" t="str">
        <f>IF(TRIM($B481)="","",IFERROR(INDEX(Cards!$M$4:$M$1000,MATCH($B481,Cards!$A$4:$A$1000,0))&amp;"","-"))</f>
        <v/>
      </c>
    </row>
    <row r="482" spans="3:4" x14ac:dyDescent="0.3">
      <c r="C482" s="68" t="str">
        <f>IF(TRIM($B482)="","",IFERROR(HYPERLINK("#'Cards'!A"&amp;(MATCH($B482,Cards!$A$4:$A$1000,0)+3),INDEX(Cards!$B$4:$B$1000,MATCH($B482,Cards!$A$4:$A$1000,0))),"ไม่พบ Card ID ในชีต Cards"))</f>
        <v/>
      </c>
      <c r="D482" s="68" t="str">
        <f>IF(TRIM($B482)="","",IFERROR(INDEX(Cards!$M$4:$M$1000,MATCH($B482,Cards!$A$4:$A$1000,0))&amp;"","-"))</f>
        <v/>
      </c>
    </row>
    <row r="483" spans="3:4" x14ac:dyDescent="0.3">
      <c r="C483" s="68" t="str">
        <f>IF(TRIM($B483)="","",IFERROR(HYPERLINK("#'Cards'!A"&amp;(MATCH($B483,Cards!$A$4:$A$1000,0)+3),INDEX(Cards!$B$4:$B$1000,MATCH($B483,Cards!$A$4:$A$1000,0))),"ไม่พบ Card ID ในชีต Cards"))</f>
        <v/>
      </c>
      <c r="D483" s="68" t="str">
        <f>IF(TRIM($B483)="","",IFERROR(INDEX(Cards!$M$4:$M$1000,MATCH($B483,Cards!$A$4:$A$1000,0))&amp;"","-"))</f>
        <v/>
      </c>
    </row>
    <row r="484" spans="3:4" x14ac:dyDescent="0.3">
      <c r="C484" s="68" t="str">
        <f>IF(TRIM($B484)="","",IFERROR(HYPERLINK("#'Cards'!A"&amp;(MATCH($B484,Cards!$A$4:$A$1000,0)+3),INDEX(Cards!$B$4:$B$1000,MATCH($B484,Cards!$A$4:$A$1000,0))),"ไม่พบ Card ID ในชีต Cards"))</f>
        <v/>
      </c>
      <c r="D484" s="68" t="str">
        <f>IF(TRIM($B484)="","",IFERROR(INDEX(Cards!$M$4:$M$1000,MATCH($B484,Cards!$A$4:$A$1000,0))&amp;"","-"))</f>
        <v/>
      </c>
    </row>
    <row r="485" spans="3:4" x14ac:dyDescent="0.3">
      <c r="C485" s="68" t="str">
        <f>IF(TRIM($B485)="","",IFERROR(HYPERLINK("#'Cards'!A"&amp;(MATCH($B485,Cards!$A$4:$A$1000,0)+3),INDEX(Cards!$B$4:$B$1000,MATCH($B485,Cards!$A$4:$A$1000,0))),"ไม่พบ Card ID ในชีต Cards"))</f>
        <v/>
      </c>
      <c r="D485" s="68" t="str">
        <f>IF(TRIM($B485)="","",IFERROR(INDEX(Cards!$M$4:$M$1000,MATCH($B485,Cards!$A$4:$A$1000,0))&amp;"","-"))</f>
        <v/>
      </c>
    </row>
    <row r="486" spans="3:4" x14ac:dyDescent="0.3">
      <c r="C486" s="68" t="str">
        <f>IF(TRIM($B486)="","",IFERROR(HYPERLINK("#'Cards'!A"&amp;(MATCH($B486,Cards!$A$4:$A$1000,0)+3),INDEX(Cards!$B$4:$B$1000,MATCH($B486,Cards!$A$4:$A$1000,0))),"ไม่พบ Card ID ในชีต Cards"))</f>
        <v/>
      </c>
      <c r="D486" s="68" t="str">
        <f>IF(TRIM($B486)="","",IFERROR(INDEX(Cards!$M$4:$M$1000,MATCH($B486,Cards!$A$4:$A$1000,0))&amp;"","-"))</f>
        <v/>
      </c>
    </row>
    <row r="487" spans="3:4" x14ac:dyDescent="0.3">
      <c r="C487" s="68" t="str">
        <f>IF(TRIM($B487)="","",IFERROR(HYPERLINK("#'Cards'!A"&amp;(MATCH($B487,Cards!$A$4:$A$1000,0)+3),INDEX(Cards!$B$4:$B$1000,MATCH($B487,Cards!$A$4:$A$1000,0))),"ไม่พบ Card ID ในชีต Cards"))</f>
        <v/>
      </c>
      <c r="D487" s="68" t="str">
        <f>IF(TRIM($B487)="","",IFERROR(INDEX(Cards!$M$4:$M$1000,MATCH($B487,Cards!$A$4:$A$1000,0))&amp;"","-"))</f>
        <v/>
      </c>
    </row>
    <row r="488" spans="3:4" x14ac:dyDescent="0.3">
      <c r="C488" s="68" t="str">
        <f>IF(TRIM($B488)="","",IFERROR(HYPERLINK("#'Cards'!A"&amp;(MATCH($B488,Cards!$A$4:$A$1000,0)+3),INDEX(Cards!$B$4:$B$1000,MATCH($B488,Cards!$A$4:$A$1000,0))),"ไม่พบ Card ID ในชีต Cards"))</f>
        <v/>
      </c>
      <c r="D488" s="68" t="str">
        <f>IF(TRIM($B488)="","",IFERROR(INDEX(Cards!$M$4:$M$1000,MATCH($B488,Cards!$A$4:$A$1000,0))&amp;"","-"))</f>
        <v/>
      </c>
    </row>
    <row r="489" spans="3:4" x14ac:dyDescent="0.3">
      <c r="C489" s="68" t="str">
        <f>IF(TRIM($B489)="","",IFERROR(HYPERLINK("#'Cards'!A"&amp;(MATCH($B489,Cards!$A$4:$A$1000,0)+3),INDEX(Cards!$B$4:$B$1000,MATCH($B489,Cards!$A$4:$A$1000,0))),"ไม่พบ Card ID ในชีต Cards"))</f>
        <v/>
      </c>
      <c r="D489" s="68" t="str">
        <f>IF(TRIM($B489)="","",IFERROR(INDEX(Cards!$M$4:$M$1000,MATCH($B489,Cards!$A$4:$A$1000,0))&amp;"","-"))</f>
        <v/>
      </c>
    </row>
    <row r="490" spans="3:4" x14ac:dyDescent="0.3">
      <c r="C490" s="68" t="str">
        <f>IF(TRIM($B490)="","",IFERROR(HYPERLINK("#'Cards'!A"&amp;(MATCH($B490,Cards!$A$4:$A$1000,0)+3),INDEX(Cards!$B$4:$B$1000,MATCH($B490,Cards!$A$4:$A$1000,0))),"ไม่พบ Card ID ในชีต Cards"))</f>
        <v/>
      </c>
      <c r="D490" s="68" t="str">
        <f>IF(TRIM($B490)="","",IFERROR(INDEX(Cards!$M$4:$M$1000,MATCH($B490,Cards!$A$4:$A$1000,0))&amp;"","-"))</f>
        <v/>
      </c>
    </row>
    <row r="491" spans="3:4" x14ac:dyDescent="0.3">
      <c r="C491" s="68" t="str">
        <f>IF(TRIM($B491)="","",IFERROR(HYPERLINK("#'Cards'!A"&amp;(MATCH($B491,Cards!$A$4:$A$1000,0)+3),INDEX(Cards!$B$4:$B$1000,MATCH($B491,Cards!$A$4:$A$1000,0))),"ไม่พบ Card ID ในชีต Cards"))</f>
        <v/>
      </c>
      <c r="D491" s="68" t="str">
        <f>IF(TRIM($B491)="","",IFERROR(INDEX(Cards!$M$4:$M$1000,MATCH($B491,Cards!$A$4:$A$1000,0))&amp;"","-"))</f>
        <v/>
      </c>
    </row>
    <row r="492" spans="3:4" x14ac:dyDescent="0.3">
      <c r="C492" s="68" t="str">
        <f>IF(TRIM($B492)="","",IFERROR(HYPERLINK("#'Cards'!A"&amp;(MATCH($B492,Cards!$A$4:$A$1000,0)+3),INDEX(Cards!$B$4:$B$1000,MATCH($B492,Cards!$A$4:$A$1000,0))),"ไม่พบ Card ID ในชีต Cards"))</f>
        <v/>
      </c>
      <c r="D492" s="68" t="str">
        <f>IF(TRIM($B492)="","",IFERROR(INDEX(Cards!$M$4:$M$1000,MATCH($B492,Cards!$A$4:$A$1000,0))&amp;"","-"))</f>
        <v/>
      </c>
    </row>
    <row r="493" spans="3:4" x14ac:dyDescent="0.3">
      <c r="C493" s="68" t="str">
        <f>IF(TRIM($B493)="","",IFERROR(HYPERLINK("#'Cards'!A"&amp;(MATCH($B493,Cards!$A$4:$A$1000,0)+3),INDEX(Cards!$B$4:$B$1000,MATCH($B493,Cards!$A$4:$A$1000,0))),"ไม่พบ Card ID ในชีต Cards"))</f>
        <v/>
      </c>
      <c r="D493" s="68" t="str">
        <f>IF(TRIM($B493)="","",IFERROR(INDEX(Cards!$M$4:$M$1000,MATCH($B493,Cards!$A$4:$A$1000,0))&amp;"","-"))</f>
        <v/>
      </c>
    </row>
    <row r="494" spans="3:4" x14ac:dyDescent="0.3">
      <c r="C494" s="68" t="str">
        <f>IF(TRIM($B494)="","",IFERROR(HYPERLINK("#'Cards'!A"&amp;(MATCH($B494,Cards!$A$4:$A$1000,0)+3),INDEX(Cards!$B$4:$B$1000,MATCH($B494,Cards!$A$4:$A$1000,0))),"ไม่พบ Card ID ในชีต Cards"))</f>
        <v/>
      </c>
      <c r="D494" s="68" t="str">
        <f>IF(TRIM($B494)="","",IFERROR(INDEX(Cards!$M$4:$M$1000,MATCH($B494,Cards!$A$4:$A$1000,0))&amp;"","-"))</f>
        <v/>
      </c>
    </row>
    <row r="495" spans="3:4" x14ac:dyDescent="0.3">
      <c r="C495" s="68" t="str">
        <f>IF(TRIM($B495)="","",IFERROR(HYPERLINK("#'Cards'!A"&amp;(MATCH($B495,Cards!$A$4:$A$1000,0)+3),INDEX(Cards!$B$4:$B$1000,MATCH($B495,Cards!$A$4:$A$1000,0))),"ไม่พบ Card ID ในชีต Cards"))</f>
        <v/>
      </c>
      <c r="D495" s="68" t="str">
        <f>IF(TRIM($B495)="","",IFERROR(INDEX(Cards!$M$4:$M$1000,MATCH($B495,Cards!$A$4:$A$1000,0))&amp;"","-"))</f>
        <v/>
      </c>
    </row>
    <row r="496" spans="3:4" x14ac:dyDescent="0.3">
      <c r="C496" s="68" t="str">
        <f>IF(TRIM($B496)="","",IFERROR(HYPERLINK("#'Cards'!A"&amp;(MATCH($B496,Cards!$A$4:$A$1000,0)+3),INDEX(Cards!$B$4:$B$1000,MATCH($B496,Cards!$A$4:$A$1000,0))),"ไม่พบ Card ID ในชีต Cards"))</f>
        <v/>
      </c>
      <c r="D496" s="68" t="str">
        <f>IF(TRIM($B496)="","",IFERROR(INDEX(Cards!$M$4:$M$1000,MATCH($B496,Cards!$A$4:$A$1000,0))&amp;"","-"))</f>
        <v/>
      </c>
    </row>
    <row r="497" spans="3:4" x14ac:dyDescent="0.3">
      <c r="C497" s="68" t="str">
        <f>IF(TRIM($B497)="","",IFERROR(HYPERLINK("#'Cards'!A"&amp;(MATCH($B497,Cards!$A$4:$A$1000,0)+3),INDEX(Cards!$B$4:$B$1000,MATCH($B497,Cards!$A$4:$A$1000,0))),"ไม่พบ Card ID ในชีต Cards"))</f>
        <v/>
      </c>
      <c r="D497" s="68" t="str">
        <f>IF(TRIM($B497)="","",IFERROR(INDEX(Cards!$M$4:$M$1000,MATCH($B497,Cards!$A$4:$A$1000,0))&amp;"","-"))</f>
        <v/>
      </c>
    </row>
    <row r="498" spans="3:4" x14ac:dyDescent="0.3">
      <c r="C498" s="68" t="str">
        <f>IF(TRIM($B498)="","",IFERROR(HYPERLINK("#'Cards'!A"&amp;(MATCH($B498,Cards!$A$4:$A$1000,0)+3),INDEX(Cards!$B$4:$B$1000,MATCH($B498,Cards!$A$4:$A$1000,0))),"ไม่พบ Card ID ในชีต Cards"))</f>
        <v/>
      </c>
      <c r="D498" s="68" t="str">
        <f>IF(TRIM($B498)="","",IFERROR(INDEX(Cards!$M$4:$M$1000,MATCH($B498,Cards!$A$4:$A$1000,0))&amp;"","-"))</f>
        <v/>
      </c>
    </row>
    <row r="499" spans="3:4" x14ac:dyDescent="0.3">
      <c r="C499" s="68" t="str">
        <f>IF(TRIM($B499)="","",IFERROR(HYPERLINK("#'Cards'!A"&amp;(MATCH($B499,Cards!$A$4:$A$1000,0)+3),INDEX(Cards!$B$4:$B$1000,MATCH($B499,Cards!$A$4:$A$1000,0))),"ไม่พบ Card ID ในชีต Cards"))</f>
        <v/>
      </c>
      <c r="D499" s="68" t="str">
        <f>IF(TRIM($B499)="","",IFERROR(INDEX(Cards!$M$4:$M$1000,MATCH($B499,Cards!$A$4:$A$1000,0))&amp;"","-"))</f>
        <v/>
      </c>
    </row>
    <row r="500" spans="3:4" x14ac:dyDescent="0.3">
      <c r="C500" s="68" t="str">
        <f>IF(TRIM($B500)="","",IFERROR(HYPERLINK("#'Cards'!A"&amp;(MATCH($B500,Cards!$A$4:$A$1000,0)+3),INDEX(Cards!$B$4:$B$1000,MATCH($B500,Cards!$A$4:$A$1000,0))),"ไม่พบ Card ID ในชีต Cards"))</f>
        <v/>
      </c>
      <c r="D500" s="68" t="str">
        <f>IF(TRIM($B500)="","",IFERROR(INDEX(Cards!$M$4:$M$1000,MATCH($B500,Cards!$A$4:$A$1000,0))&amp;"","-"))</f>
        <v/>
      </c>
    </row>
    <row r="501" spans="3:4" x14ac:dyDescent="0.3">
      <c r="C501" s="68" t="str">
        <f>IF(TRIM($B501)="","",IFERROR(HYPERLINK("#'Cards'!A"&amp;(MATCH($B501,Cards!$A$4:$A$1000,0)+3),INDEX(Cards!$B$4:$B$1000,MATCH($B501,Cards!$A$4:$A$1000,0))),"ไม่พบ Card ID ในชีต Cards"))</f>
        <v/>
      </c>
      <c r="D501" s="68" t="str">
        <f>IF(TRIM($B501)="","",IFERROR(INDEX(Cards!$M$4:$M$1000,MATCH($B501,Cards!$A$4:$A$1000,0))&amp;"","-"))</f>
        <v/>
      </c>
    </row>
    <row r="502" spans="3:4" x14ac:dyDescent="0.3">
      <c r="C502" s="68" t="str">
        <f>IF(TRIM($B502)="","",IFERROR(HYPERLINK("#'Cards'!A"&amp;(MATCH($B502,Cards!$A$4:$A$1000,0)+3),INDEX(Cards!$B$4:$B$1000,MATCH($B502,Cards!$A$4:$A$1000,0))),"ไม่พบ Card ID ในชีต Cards"))</f>
        <v/>
      </c>
      <c r="D502" s="68" t="str">
        <f>IF(TRIM($B502)="","",IFERROR(INDEX(Cards!$M$4:$M$1000,MATCH($B502,Cards!$A$4:$A$1000,0))&amp;"","-"))</f>
        <v/>
      </c>
    </row>
    <row r="503" spans="3:4" x14ac:dyDescent="0.3">
      <c r="C503" s="68" t="str">
        <f>IF(TRIM($B503)="","",IFERROR(HYPERLINK("#'Cards'!A"&amp;(MATCH($B503,Cards!$A$4:$A$1000,0)+3),INDEX(Cards!$B$4:$B$1000,MATCH($B503,Cards!$A$4:$A$1000,0))),"ไม่พบ Card ID ในชีต Cards"))</f>
        <v/>
      </c>
      <c r="D503" s="68" t="str">
        <f>IF(TRIM($B503)="","",IFERROR(INDEX(Cards!$M$4:$M$1000,MATCH($B503,Cards!$A$4:$A$1000,0))&amp;"","-"))</f>
        <v/>
      </c>
    </row>
    <row r="504" spans="3:4" x14ac:dyDescent="0.3">
      <c r="C504" s="68" t="str">
        <f>IF(TRIM($B504)="","",IFERROR(HYPERLINK("#'Cards'!A"&amp;(MATCH($B504,Cards!$A$4:$A$1000,0)+3),INDEX(Cards!$B$4:$B$1000,MATCH($B504,Cards!$A$4:$A$1000,0))),"ไม่พบ Card ID ในชีต Cards"))</f>
        <v/>
      </c>
      <c r="D504" s="68" t="str">
        <f>IF(TRIM($B504)="","",IFERROR(INDEX(Cards!$M$4:$M$1000,MATCH($B504,Cards!$A$4:$A$1000,0))&amp;"","-"))</f>
        <v/>
      </c>
    </row>
    <row r="505" spans="3:4" x14ac:dyDescent="0.3">
      <c r="C505" s="68" t="str">
        <f>IF(TRIM($B505)="","",IFERROR(HYPERLINK("#'Cards'!A"&amp;(MATCH($B505,Cards!$A$4:$A$1000,0)+3),INDEX(Cards!$B$4:$B$1000,MATCH($B505,Cards!$A$4:$A$1000,0))),"ไม่พบ Card ID ในชีต Cards"))</f>
        <v/>
      </c>
      <c r="D505" s="68" t="str">
        <f>IF(TRIM($B505)="","",IFERROR(INDEX(Cards!$M$4:$M$1000,MATCH($B505,Cards!$A$4:$A$1000,0))&amp;"","-"))</f>
        <v/>
      </c>
    </row>
    <row r="506" spans="3:4" x14ac:dyDescent="0.3">
      <c r="C506" s="68" t="str">
        <f>IF(TRIM($B506)="","",IFERROR(HYPERLINK("#'Cards'!A"&amp;(MATCH($B506,Cards!$A$4:$A$1000,0)+3),INDEX(Cards!$B$4:$B$1000,MATCH($B506,Cards!$A$4:$A$1000,0))),"ไม่พบ Card ID ในชีต Cards"))</f>
        <v/>
      </c>
      <c r="D506" s="68" t="str">
        <f>IF(TRIM($B506)="","",IFERROR(INDEX(Cards!$M$4:$M$1000,MATCH($B506,Cards!$A$4:$A$1000,0))&amp;"","-"))</f>
        <v/>
      </c>
    </row>
    <row r="507" spans="3:4" x14ac:dyDescent="0.3">
      <c r="C507" s="68" t="str">
        <f>IF(TRIM($B507)="","",IFERROR(HYPERLINK("#'Cards'!A"&amp;(MATCH($B507,Cards!$A$4:$A$1000,0)+3),INDEX(Cards!$B$4:$B$1000,MATCH($B507,Cards!$A$4:$A$1000,0))),"ไม่พบ Card ID ในชีต Cards"))</f>
        <v/>
      </c>
      <c r="D507" s="68" t="str">
        <f>IF(TRIM($B507)="","",IFERROR(INDEX(Cards!$M$4:$M$1000,MATCH($B507,Cards!$A$4:$A$1000,0))&amp;"","-"))</f>
        <v/>
      </c>
    </row>
    <row r="508" spans="3:4" x14ac:dyDescent="0.3">
      <c r="C508" s="68" t="str">
        <f>IF(TRIM($B508)="","",IFERROR(HYPERLINK("#'Cards'!A"&amp;(MATCH($B508,Cards!$A$4:$A$1000,0)+3),INDEX(Cards!$B$4:$B$1000,MATCH($B508,Cards!$A$4:$A$1000,0))),"ไม่พบ Card ID ในชีต Cards"))</f>
        <v/>
      </c>
      <c r="D508" s="68" t="str">
        <f>IF(TRIM($B508)="","",IFERROR(INDEX(Cards!$M$4:$M$1000,MATCH($B508,Cards!$A$4:$A$1000,0))&amp;"","-"))</f>
        <v/>
      </c>
    </row>
    <row r="509" spans="3:4" x14ac:dyDescent="0.3">
      <c r="C509" s="68" t="str">
        <f>IF(TRIM($B509)="","",IFERROR(HYPERLINK("#'Cards'!A"&amp;(MATCH($B509,Cards!$A$4:$A$1000,0)+3),INDEX(Cards!$B$4:$B$1000,MATCH($B509,Cards!$A$4:$A$1000,0))),"ไม่พบ Card ID ในชีต Cards"))</f>
        <v/>
      </c>
      <c r="D509" s="68" t="str">
        <f>IF(TRIM($B509)="","",IFERROR(INDEX(Cards!$M$4:$M$1000,MATCH($B509,Cards!$A$4:$A$1000,0))&amp;"","-"))</f>
        <v/>
      </c>
    </row>
    <row r="510" spans="3:4" x14ac:dyDescent="0.3">
      <c r="C510" s="68" t="str">
        <f>IF(TRIM($B510)="","",IFERROR(HYPERLINK("#'Cards'!A"&amp;(MATCH($B510,Cards!$A$4:$A$1000,0)+3),INDEX(Cards!$B$4:$B$1000,MATCH($B510,Cards!$A$4:$A$1000,0))),"ไม่พบ Card ID ในชีต Cards"))</f>
        <v/>
      </c>
      <c r="D510" s="68" t="str">
        <f>IF(TRIM($B510)="","",IFERROR(INDEX(Cards!$M$4:$M$1000,MATCH($B510,Cards!$A$4:$A$1000,0))&amp;"","-"))</f>
        <v/>
      </c>
    </row>
    <row r="511" spans="3:4" x14ac:dyDescent="0.3">
      <c r="C511" s="68" t="str">
        <f>IF(TRIM($B511)="","",IFERROR(HYPERLINK("#'Cards'!A"&amp;(MATCH($B511,Cards!$A$4:$A$1000,0)+3),INDEX(Cards!$B$4:$B$1000,MATCH($B511,Cards!$A$4:$A$1000,0))),"ไม่พบ Card ID ในชีต Cards"))</f>
        <v/>
      </c>
      <c r="D511" s="68" t="str">
        <f>IF(TRIM($B511)="","",IFERROR(INDEX(Cards!$M$4:$M$1000,MATCH($B511,Cards!$A$4:$A$1000,0))&amp;"","-"))</f>
        <v/>
      </c>
    </row>
    <row r="512" spans="3:4" x14ac:dyDescent="0.3">
      <c r="C512" s="68" t="str">
        <f>IF(TRIM($B512)="","",IFERROR(HYPERLINK("#'Cards'!A"&amp;(MATCH($B512,Cards!$A$4:$A$1000,0)+3),INDEX(Cards!$B$4:$B$1000,MATCH($B512,Cards!$A$4:$A$1000,0))),"ไม่พบ Card ID ในชีต Cards"))</f>
        <v/>
      </c>
      <c r="D512" s="68" t="str">
        <f>IF(TRIM($B512)="","",IFERROR(INDEX(Cards!$M$4:$M$1000,MATCH($B512,Cards!$A$4:$A$1000,0))&amp;"","-"))</f>
        <v/>
      </c>
    </row>
    <row r="513" spans="3:4" x14ac:dyDescent="0.3">
      <c r="C513" s="68" t="str">
        <f>IF(TRIM($B513)="","",IFERROR(HYPERLINK("#'Cards'!A"&amp;(MATCH($B513,Cards!$A$4:$A$1000,0)+3),INDEX(Cards!$B$4:$B$1000,MATCH($B513,Cards!$A$4:$A$1000,0))),"ไม่พบ Card ID ในชีต Cards"))</f>
        <v/>
      </c>
      <c r="D513" s="68" t="str">
        <f>IF(TRIM($B513)="","",IFERROR(INDEX(Cards!$M$4:$M$1000,MATCH($B513,Cards!$A$4:$A$1000,0))&amp;"","-"))</f>
        <v/>
      </c>
    </row>
    <row r="514" spans="3:4" x14ac:dyDescent="0.3">
      <c r="C514" s="68" t="str">
        <f>IF(TRIM($B514)="","",IFERROR(HYPERLINK("#'Cards'!A"&amp;(MATCH($B514,Cards!$A$4:$A$1000,0)+3),INDEX(Cards!$B$4:$B$1000,MATCH($B514,Cards!$A$4:$A$1000,0))),"ไม่พบ Card ID ในชีต Cards"))</f>
        <v/>
      </c>
      <c r="D514" s="68" t="str">
        <f>IF(TRIM($B514)="","",IFERROR(INDEX(Cards!$M$4:$M$1000,MATCH($B514,Cards!$A$4:$A$1000,0))&amp;"","-"))</f>
        <v/>
      </c>
    </row>
    <row r="515" spans="3:4" x14ac:dyDescent="0.3">
      <c r="C515" s="68" t="str">
        <f>IF(TRIM($B515)="","",IFERROR(HYPERLINK("#'Cards'!A"&amp;(MATCH($B515,Cards!$A$4:$A$1000,0)+3),INDEX(Cards!$B$4:$B$1000,MATCH($B515,Cards!$A$4:$A$1000,0))),"ไม่พบ Card ID ในชีต Cards"))</f>
        <v/>
      </c>
      <c r="D515" s="68" t="str">
        <f>IF(TRIM($B515)="","",IFERROR(INDEX(Cards!$M$4:$M$1000,MATCH($B515,Cards!$A$4:$A$1000,0))&amp;"","-"))</f>
        <v/>
      </c>
    </row>
    <row r="516" spans="3:4" x14ac:dyDescent="0.3">
      <c r="C516" s="68" t="str">
        <f>IF(TRIM($B516)="","",IFERROR(HYPERLINK("#'Cards'!A"&amp;(MATCH($B516,Cards!$A$4:$A$1000,0)+3),INDEX(Cards!$B$4:$B$1000,MATCH($B516,Cards!$A$4:$A$1000,0))),"ไม่พบ Card ID ในชีต Cards"))</f>
        <v/>
      </c>
      <c r="D516" s="68" t="str">
        <f>IF(TRIM($B516)="","",IFERROR(INDEX(Cards!$M$4:$M$1000,MATCH($B516,Cards!$A$4:$A$1000,0))&amp;"","-"))</f>
        <v/>
      </c>
    </row>
    <row r="517" spans="3:4" x14ac:dyDescent="0.3">
      <c r="C517" s="68" t="str">
        <f>IF(TRIM($B517)="","",IFERROR(HYPERLINK("#'Cards'!A"&amp;(MATCH($B517,Cards!$A$4:$A$1000,0)+3),INDEX(Cards!$B$4:$B$1000,MATCH($B517,Cards!$A$4:$A$1000,0))),"ไม่พบ Card ID ในชีต Cards"))</f>
        <v/>
      </c>
      <c r="D517" s="68" t="str">
        <f>IF(TRIM($B517)="","",IFERROR(INDEX(Cards!$M$4:$M$1000,MATCH($B517,Cards!$A$4:$A$1000,0))&amp;"","-"))</f>
        <v/>
      </c>
    </row>
    <row r="518" spans="3:4" x14ac:dyDescent="0.3">
      <c r="C518" s="68" t="str">
        <f>IF(TRIM($B518)="","",IFERROR(HYPERLINK("#'Cards'!A"&amp;(MATCH($B518,Cards!$A$4:$A$1000,0)+3),INDEX(Cards!$B$4:$B$1000,MATCH($B518,Cards!$A$4:$A$1000,0))),"ไม่พบ Card ID ในชีต Cards"))</f>
        <v/>
      </c>
      <c r="D518" s="68" t="str">
        <f>IF(TRIM($B518)="","",IFERROR(INDEX(Cards!$M$4:$M$1000,MATCH($B518,Cards!$A$4:$A$1000,0))&amp;"","-"))</f>
        <v/>
      </c>
    </row>
    <row r="519" spans="3:4" x14ac:dyDescent="0.3">
      <c r="C519" s="68" t="str">
        <f>IF(TRIM($B519)="","",IFERROR(HYPERLINK("#'Cards'!A"&amp;(MATCH($B519,Cards!$A$4:$A$1000,0)+3),INDEX(Cards!$B$4:$B$1000,MATCH($B519,Cards!$A$4:$A$1000,0))),"ไม่พบ Card ID ในชีต Cards"))</f>
        <v/>
      </c>
      <c r="D519" s="68" t="str">
        <f>IF(TRIM($B519)="","",IFERROR(INDEX(Cards!$M$4:$M$1000,MATCH($B519,Cards!$A$4:$A$1000,0))&amp;"","-"))</f>
        <v/>
      </c>
    </row>
    <row r="520" spans="3:4" x14ac:dyDescent="0.3">
      <c r="C520" s="68" t="str">
        <f>IF(TRIM($B520)="","",IFERROR(HYPERLINK("#'Cards'!A"&amp;(MATCH($B520,Cards!$A$4:$A$1000,0)+3),INDEX(Cards!$B$4:$B$1000,MATCH($B520,Cards!$A$4:$A$1000,0))),"ไม่พบ Card ID ในชีต Cards"))</f>
        <v/>
      </c>
      <c r="D520" s="68" t="str">
        <f>IF(TRIM($B520)="","",IFERROR(INDEX(Cards!$M$4:$M$1000,MATCH($B520,Cards!$A$4:$A$1000,0))&amp;"","-"))</f>
        <v/>
      </c>
    </row>
    <row r="521" spans="3:4" x14ac:dyDescent="0.3">
      <c r="C521" s="68" t="str">
        <f>IF(TRIM($B521)="","",IFERROR(HYPERLINK("#'Cards'!A"&amp;(MATCH($B521,Cards!$A$4:$A$1000,0)+3),INDEX(Cards!$B$4:$B$1000,MATCH($B521,Cards!$A$4:$A$1000,0))),"ไม่พบ Card ID ในชีต Cards"))</f>
        <v/>
      </c>
      <c r="D521" s="68" t="str">
        <f>IF(TRIM($B521)="","",IFERROR(INDEX(Cards!$M$4:$M$1000,MATCH($B521,Cards!$A$4:$A$1000,0))&amp;"","-"))</f>
        <v/>
      </c>
    </row>
    <row r="522" spans="3:4" x14ac:dyDescent="0.3">
      <c r="C522" s="68" t="str">
        <f>IF(TRIM($B522)="","",IFERROR(HYPERLINK("#'Cards'!A"&amp;(MATCH($B522,Cards!$A$4:$A$1000,0)+3),INDEX(Cards!$B$4:$B$1000,MATCH($B522,Cards!$A$4:$A$1000,0))),"ไม่พบ Card ID ในชีต Cards"))</f>
        <v/>
      </c>
      <c r="D522" s="68" t="str">
        <f>IF(TRIM($B522)="","",IFERROR(INDEX(Cards!$M$4:$M$1000,MATCH($B522,Cards!$A$4:$A$1000,0))&amp;"","-"))</f>
        <v/>
      </c>
    </row>
    <row r="523" spans="3:4" x14ac:dyDescent="0.3">
      <c r="C523" s="68" t="str">
        <f>IF(TRIM($B523)="","",IFERROR(HYPERLINK("#'Cards'!A"&amp;(MATCH($B523,Cards!$A$4:$A$1000,0)+3),INDEX(Cards!$B$4:$B$1000,MATCH($B523,Cards!$A$4:$A$1000,0))),"ไม่พบ Card ID ในชีต Cards"))</f>
        <v/>
      </c>
      <c r="D523" s="68" t="str">
        <f>IF(TRIM($B523)="","",IFERROR(INDEX(Cards!$M$4:$M$1000,MATCH($B523,Cards!$A$4:$A$1000,0))&amp;"","-"))</f>
        <v/>
      </c>
    </row>
    <row r="524" spans="3:4" x14ac:dyDescent="0.3">
      <c r="C524" s="68" t="str">
        <f>IF(TRIM($B524)="","",IFERROR(HYPERLINK("#'Cards'!A"&amp;(MATCH($B524,Cards!$A$4:$A$1000,0)+3),INDEX(Cards!$B$4:$B$1000,MATCH($B524,Cards!$A$4:$A$1000,0))),"ไม่พบ Card ID ในชีต Cards"))</f>
        <v/>
      </c>
      <c r="D524" s="68" t="str">
        <f>IF(TRIM($B524)="","",IFERROR(INDEX(Cards!$M$4:$M$1000,MATCH($B524,Cards!$A$4:$A$1000,0))&amp;"","-"))</f>
        <v/>
      </c>
    </row>
    <row r="525" spans="3:4" x14ac:dyDescent="0.3">
      <c r="C525" s="68" t="str">
        <f>IF(TRIM($B525)="","",IFERROR(HYPERLINK("#'Cards'!A"&amp;(MATCH($B525,Cards!$A$4:$A$1000,0)+3),INDEX(Cards!$B$4:$B$1000,MATCH($B525,Cards!$A$4:$A$1000,0))),"ไม่พบ Card ID ในชีต Cards"))</f>
        <v/>
      </c>
      <c r="D525" s="68" t="str">
        <f>IF(TRIM($B525)="","",IFERROR(INDEX(Cards!$M$4:$M$1000,MATCH($B525,Cards!$A$4:$A$1000,0))&amp;"","-"))</f>
        <v/>
      </c>
    </row>
    <row r="526" spans="3:4" x14ac:dyDescent="0.3">
      <c r="C526" s="68" t="str">
        <f>IF(TRIM($B526)="","",IFERROR(HYPERLINK("#'Cards'!A"&amp;(MATCH($B526,Cards!$A$4:$A$1000,0)+3),INDEX(Cards!$B$4:$B$1000,MATCH($B526,Cards!$A$4:$A$1000,0))),"ไม่พบ Card ID ในชีต Cards"))</f>
        <v/>
      </c>
      <c r="D526" s="68" t="str">
        <f>IF(TRIM($B526)="","",IFERROR(INDEX(Cards!$M$4:$M$1000,MATCH($B526,Cards!$A$4:$A$1000,0))&amp;"","-"))</f>
        <v/>
      </c>
    </row>
    <row r="527" spans="3:4" x14ac:dyDescent="0.3">
      <c r="C527" s="68" t="str">
        <f>IF(TRIM($B527)="","",IFERROR(HYPERLINK("#'Cards'!A"&amp;(MATCH($B527,Cards!$A$4:$A$1000,0)+3),INDEX(Cards!$B$4:$B$1000,MATCH($B527,Cards!$A$4:$A$1000,0))),"ไม่พบ Card ID ในชีต Cards"))</f>
        <v/>
      </c>
      <c r="D527" s="68" t="str">
        <f>IF(TRIM($B527)="","",IFERROR(INDEX(Cards!$M$4:$M$1000,MATCH($B527,Cards!$A$4:$A$1000,0))&amp;"","-"))</f>
        <v/>
      </c>
    </row>
    <row r="528" spans="3:4" x14ac:dyDescent="0.3">
      <c r="C528" s="68" t="str">
        <f>IF(TRIM($B528)="","",IFERROR(HYPERLINK("#'Cards'!A"&amp;(MATCH($B528,Cards!$A$4:$A$1000,0)+3),INDEX(Cards!$B$4:$B$1000,MATCH($B528,Cards!$A$4:$A$1000,0))),"ไม่พบ Card ID ในชีต Cards"))</f>
        <v/>
      </c>
      <c r="D528" s="68" t="str">
        <f>IF(TRIM($B528)="","",IFERROR(INDEX(Cards!$M$4:$M$1000,MATCH($B528,Cards!$A$4:$A$1000,0))&amp;"","-"))</f>
        <v/>
      </c>
    </row>
    <row r="529" spans="3:4" x14ac:dyDescent="0.3">
      <c r="C529" s="68" t="str">
        <f>IF(TRIM($B529)="","",IFERROR(HYPERLINK("#'Cards'!A"&amp;(MATCH($B529,Cards!$A$4:$A$1000,0)+3),INDEX(Cards!$B$4:$B$1000,MATCH($B529,Cards!$A$4:$A$1000,0))),"ไม่พบ Card ID ในชีต Cards"))</f>
        <v/>
      </c>
      <c r="D529" s="68" t="str">
        <f>IF(TRIM($B529)="","",IFERROR(INDEX(Cards!$M$4:$M$1000,MATCH($B529,Cards!$A$4:$A$1000,0))&amp;"","-"))</f>
        <v/>
      </c>
    </row>
    <row r="530" spans="3:4" x14ac:dyDescent="0.3">
      <c r="C530" s="68" t="str">
        <f>IF(TRIM($B530)="","",IFERROR(HYPERLINK("#'Cards'!A"&amp;(MATCH($B530,Cards!$A$4:$A$1000,0)+3),INDEX(Cards!$B$4:$B$1000,MATCH($B530,Cards!$A$4:$A$1000,0))),"ไม่พบ Card ID ในชีต Cards"))</f>
        <v/>
      </c>
      <c r="D530" s="68" t="str">
        <f>IF(TRIM($B530)="","",IFERROR(INDEX(Cards!$M$4:$M$1000,MATCH($B530,Cards!$A$4:$A$1000,0))&amp;"","-"))</f>
        <v/>
      </c>
    </row>
    <row r="531" spans="3:4" x14ac:dyDescent="0.3">
      <c r="C531" s="68" t="str">
        <f>IF(TRIM($B531)="","",IFERROR(HYPERLINK("#'Cards'!A"&amp;(MATCH($B531,Cards!$A$4:$A$1000,0)+3),INDEX(Cards!$B$4:$B$1000,MATCH($B531,Cards!$A$4:$A$1000,0))),"ไม่พบ Card ID ในชีต Cards"))</f>
        <v/>
      </c>
      <c r="D531" s="68" t="str">
        <f>IF(TRIM($B531)="","",IFERROR(INDEX(Cards!$M$4:$M$1000,MATCH($B531,Cards!$A$4:$A$1000,0))&amp;"","-"))</f>
        <v/>
      </c>
    </row>
    <row r="532" spans="3:4" x14ac:dyDescent="0.3">
      <c r="C532" s="68" t="str">
        <f>IF(TRIM($B532)="","",IFERROR(HYPERLINK("#'Cards'!A"&amp;(MATCH($B532,Cards!$A$4:$A$1000,0)+3),INDEX(Cards!$B$4:$B$1000,MATCH($B532,Cards!$A$4:$A$1000,0))),"ไม่พบ Card ID ในชีต Cards"))</f>
        <v/>
      </c>
      <c r="D532" s="68" t="str">
        <f>IF(TRIM($B532)="","",IFERROR(INDEX(Cards!$M$4:$M$1000,MATCH($B532,Cards!$A$4:$A$1000,0))&amp;"","-"))</f>
        <v/>
      </c>
    </row>
    <row r="533" spans="3:4" x14ac:dyDescent="0.3">
      <c r="C533" s="68" t="str">
        <f>IF(TRIM($B533)="","",IFERROR(HYPERLINK("#'Cards'!A"&amp;(MATCH($B533,Cards!$A$4:$A$1000,0)+3),INDEX(Cards!$B$4:$B$1000,MATCH($B533,Cards!$A$4:$A$1000,0))),"ไม่พบ Card ID ในชีต Cards"))</f>
        <v/>
      </c>
      <c r="D533" s="68" t="str">
        <f>IF(TRIM($B533)="","",IFERROR(INDEX(Cards!$M$4:$M$1000,MATCH($B533,Cards!$A$4:$A$1000,0))&amp;"","-"))</f>
        <v/>
      </c>
    </row>
    <row r="534" spans="3:4" x14ac:dyDescent="0.3">
      <c r="C534" s="68" t="str">
        <f>IF(TRIM($B534)="","",IFERROR(HYPERLINK("#'Cards'!A"&amp;(MATCH($B534,Cards!$A$4:$A$1000,0)+3),INDEX(Cards!$B$4:$B$1000,MATCH($B534,Cards!$A$4:$A$1000,0))),"ไม่พบ Card ID ในชีต Cards"))</f>
        <v/>
      </c>
      <c r="D534" s="68" t="str">
        <f>IF(TRIM($B534)="","",IFERROR(INDEX(Cards!$M$4:$M$1000,MATCH($B534,Cards!$A$4:$A$1000,0))&amp;"","-"))</f>
        <v/>
      </c>
    </row>
    <row r="535" spans="3:4" x14ac:dyDescent="0.3">
      <c r="C535" s="68" t="str">
        <f>IF(TRIM($B535)="","",IFERROR(HYPERLINK("#'Cards'!A"&amp;(MATCH($B535,Cards!$A$4:$A$1000,0)+3),INDEX(Cards!$B$4:$B$1000,MATCH($B535,Cards!$A$4:$A$1000,0))),"ไม่พบ Card ID ในชีต Cards"))</f>
        <v/>
      </c>
      <c r="D535" s="68" t="str">
        <f>IF(TRIM($B535)="","",IFERROR(INDEX(Cards!$M$4:$M$1000,MATCH($B535,Cards!$A$4:$A$1000,0))&amp;"","-"))</f>
        <v/>
      </c>
    </row>
    <row r="536" spans="3:4" x14ac:dyDescent="0.3">
      <c r="C536" s="68" t="str">
        <f>IF(TRIM($B536)="","",IFERROR(HYPERLINK("#'Cards'!A"&amp;(MATCH($B536,Cards!$A$4:$A$1000,0)+3),INDEX(Cards!$B$4:$B$1000,MATCH($B536,Cards!$A$4:$A$1000,0))),"ไม่พบ Card ID ในชีต Cards"))</f>
        <v/>
      </c>
      <c r="D536" s="68" t="str">
        <f>IF(TRIM($B536)="","",IFERROR(INDEX(Cards!$M$4:$M$1000,MATCH($B536,Cards!$A$4:$A$1000,0))&amp;"","-"))</f>
        <v/>
      </c>
    </row>
    <row r="537" spans="3:4" x14ac:dyDescent="0.3">
      <c r="C537" s="68" t="str">
        <f>IF(TRIM($B537)="","",IFERROR(HYPERLINK("#'Cards'!A"&amp;(MATCH($B537,Cards!$A$4:$A$1000,0)+3),INDEX(Cards!$B$4:$B$1000,MATCH($B537,Cards!$A$4:$A$1000,0))),"ไม่พบ Card ID ในชีต Cards"))</f>
        <v/>
      </c>
      <c r="D537" s="68" t="str">
        <f>IF(TRIM($B537)="","",IFERROR(INDEX(Cards!$M$4:$M$1000,MATCH($B537,Cards!$A$4:$A$1000,0))&amp;"","-"))</f>
        <v/>
      </c>
    </row>
    <row r="538" spans="3:4" x14ac:dyDescent="0.3">
      <c r="C538" s="68" t="str">
        <f>IF(TRIM($B538)="","",IFERROR(HYPERLINK("#'Cards'!A"&amp;(MATCH($B538,Cards!$A$4:$A$1000,0)+3),INDEX(Cards!$B$4:$B$1000,MATCH($B538,Cards!$A$4:$A$1000,0))),"ไม่พบ Card ID ในชีต Cards"))</f>
        <v/>
      </c>
      <c r="D538" s="68" t="str">
        <f>IF(TRIM($B538)="","",IFERROR(INDEX(Cards!$M$4:$M$1000,MATCH($B538,Cards!$A$4:$A$1000,0))&amp;"","-"))</f>
        <v/>
      </c>
    </row>
    <row r="539" spans="3:4" x14ac:dyDescent="0.3">
      <c r="C539" s="68" t="str">
        <f>IF(TRIM($B539)="","",IFERROR(HYPERLINK("#'Cards'!A"&amp;(MATCH($B539,Cards!$A$4:$A$1000,0)+3),INDEX(Cards!$B$4:$B$1000,MATCH($B539,Cards!$A$4:$A$1000,0))),"ไม่พบ Card ID ในชีต Cards"))</f>
        <v/>
      </c>
      <c r="D539" s="68" t="str">
        <f>IF(TRIM($B539)="","",IFERROR(INDEX(Cards!$M$4:$M$1000,MATCH($B539,Cards!$A$4:$A$1000,0))&amp;"","-"))</f>
        <v/>
      </c>
    </row>
    <row r="540" spans="3:4" x14ac:dyDescent="0.3">
      <c r="C540" s="68" t="str">
        <f>IF(TRIM($B540)="","",IFERROR(HYPERLINK("#'Cards'!A"&amp;(MATCH($B540,Cards!$A$4:$A$1000,0)+3),INDEX(Cards!$B$4:$B$1000,MATCH($B540,Cards!$A$4:$A$1000,0))),"ไม่พบ Card ID ในชีต Cards"))</f>
        <v/>
      </c>
      <c r="D540" s="68" t="str">
        <f>IF(TRIM($B540)="","",IFERROR(INDEX(Cards!$M$4:$M$1000,MATCH($B540,Cards!$A$4:$A$1000,0))&amp;"","-"))</f>
        <v/>
      </c>
    </row>
    <row r="541" spans="3:4" x14ac:dyDescent="0.3">
      <c r="C541" s="68" t="str">
        <f>IF(TRIM($B541)="","",IFERROR(HYPERLINK("#'Cards'!A"&amp;(MATCH($B541,Cards!$A$4:$A$1000,0)+3),INDEX(Cards!$B$4:$B$1000,MATCH($B541,Cards!$A$4:$A$1000,0))),"ไม่พบ Card ID ในชีต Cards"))</f>
        <v/>
      </c>
      <c r="D541" s="68" t="str">
        <f>IF(TRIM($B541)="","",IFERROR(INDEX(Cards!$M$4:$M$1000,MATCH($B541,Cards!$A$4:$A$1000,0))&amp;"","-"))</f>
        <v/>
      </c>
    </row>
    <row r="542" spans="3:4" x14ac:dyDescent="0.3">
      <c r="C542" s="68" t="str">
        <f>IF(TRIM($B542)="","",IFERROR(HYPERLINK("#'Cards'!A"&amp;(MATCH($B542,Cards!$A$4:$A$1000,0)+3),INDEX(Cards!$B$4:$B$1000,MATCH($B542,Cards!$A$4:$A$1000,0))),"ไม่พบ Card ID ในชีต Cards"))</f>
        <v/>
      </c>
      <c r="D542" s="68" t="str">
        <f>IF(TRIM($B542)="","",IFERROR(INDEX(Cards!$M$4:$M$1000,MATCH($B542,Cards!$A$4:$A$1000,0))&amp;"","-"))</f>
        <v/>
      </c>
    </row>
    <row r="543" spans="3:4" x14ac:dyDescent="0.3">
      <c r="C543" s="68" t="str">
        <f>IF(TRIM($B543)="","",IFERROR(HYPERLINK("#'Cards'!A"&amp;(MATCH($B543,Cards!$A$4:$A$1000,0)+3),INDEX(Cards!$B$4:$B$1000,MATCH($B543,Cards!$A$4:$A$1000,0))),"ไม่พบ Card ID ในชีต Cards"))</f>
        <v/>
      </c>
      <c r="D543" s="68" t="str">
        <f>IF(TRIM($B543)="","",IFERROR(INDEX(Cards!$M$4:$M$1000,MATCH($B543,Cards!$A$4:$A$1000,0))&amp;"","-"))</f>
        <v/>
      </c>
    </row>
    <row r="544" spans="3:4" x14ac:dyDescent="0.3">
      <c r="C544" s="68" t="str">
        <f>IF(TRIM($B544)="","",IFERROR(HYPERLINK("#'Cards'!A"&amp;(MATCH($B544,Cards!$A$4:$A$1000,0)+3),INDEX(Cards!$B$4:$B$1000,MATCH($B544,Cards!$A$4:$A$1000,0))),"ไม่พบ Card ID ในชีต Cards"))</f>
        <v/>
      </c>
      <c r="D544" s="68" t="str">
        <f>IF(TRIM($B544)="","",IFERROR(INDEX(Cards!$M$4:$M$1000,MATCH($B544,Cards!$A$4:$A$1000,0))&amp;"","-"))</f>
        <v/>
      </c>
    </row>
    <row r="545" spans="3:4" x14ac:dyDescent="0.3">
      <c r="C545" s="68" t="str">
        <f>IF(TRIM($B545)="","",IFERROR(HYPERLINK("#'Cards'!A"&amp;(MATCH($B545,Cards!$A$4:$A$1000,0)+3),INDEX(Cards!$B$4:$B$1000,MATCH($B545,Cards!$A$4:$A$1000,0))),"ไม่พบ Card ID ในชีต Cards"))</f>
        <v/>
      </c>
      <c r="D545" s="68" t="str">
        <f>IF(TRIM($B545)="","",IFERROR(INDEX(Cards!$M$4:$M$1000,MATCH($B545,Cards!$A$4:$A$1000,0))&amp;"","-"))</f>
        <v/>
      </c>
    </row>
    <row r="546" spans="3:4" x14ac:dyDescent="0.3">
      <c r="C546" s="68" t="str">
        <f>IF(TRIM($B546)="","",IFERROR(HYPERLINK("#'Cards'!A"&amp;(MATCH($B546,Cards!$A$4:$A$1000,0)+3),INDEX(Cards!$B$4:$B$1000,MATCH($B546,Cards!$A$4:$A$1000,0))),"ไม่พบ Card ID ในชีต Cards"))</f>
        <v/>
      </c>
      <c r="D546" s="68" t="str">
        <f>IF(TRIM($B546)="","",IFERROR(INDEX(Cards!$M$4:$M$1000,MATCH($B546,Cards!$A$4:$A$1000,0))&amp;"","-"))</f>
        <v/>
      </c>
    </row>
    <row r="547" spans="3:4" x14ac:dyDescent="0.3">
      <c r="C547" s="68" t="str">
        <f>IF(TRIM($B547)="","",IFERROR(HYPERLINK("#'Cards'!A"&amp;(MATCH($B547,Cards!$A$4:$A$1000,0)+3),INDEX(Cards!$B$4:$B$1000,MATCH($B547,Cards!$A$4:$A$1000,0))),"ไม่พบ Card ID ในชีต Cards"))</f>
        <v/>
      </c>
      <c r="D547" s="68" t="str">
        <f>IF(TRIM($B547)="","",IFERROR(INDEX(Cards!$M$4:$M$1000,MATCH($B547,Cards!$A$4:$A$1000,0))&amp;"","-"))</f>
        <v/>
      </c>
    </row>
    <row r="548" spans="3:4" x14ac:dyDescent="0.3">
      <c r="C548" s="68" t="str">
        <f>IF(TRIM($B548)="","",IFERROR(HYPERLINK("#'Cards'!A"&amp;(MATCH($B548,Cards!$A$4:$A$1000,0)+3),INDEX(Cards!$B$4:$B$1000,MATCH($B548,Cards!$A$4:$A$1000,0))),"ไม่พบ Card ID ในชีต Cards"))</f>
        <v/>
      </c>
      <c r="D548" s="68" t="str">
        <f>IF(TRIM($B548)="","",IFERROR(INDEX(Cards!$M$4:$M$1000,MATCH($B548,Cards!$A$4:$A$1000,0))&amp;"","-"))</f>
        <v/>
      </c>
    </row>
    <row r="549" spans="3:4" x14ac:dyDescent="0.3">
      <c r="C549" s="68" t="str">
        <f>IF(TRIM($B549)="","",IFERROR(HYPERLINK("#'Cards'!A"&amp;(MATCH($B549,Cards!$A$4:$A$1000,0)+3),INDEX(Cards!$B$4:$B$1000,MATCH($B549,Cards!$A$4:$A$1000,0))),"ไม่พบ Card ID ในชีต Cards"))</f>
        <v/>
      </c>
      <c r="D549" s="68" t="str">
        <f>IF(TRIM($B549)="","",IFERROR(INDEX(Cards!$M$4:$M$1000,MATCH($B549,Cards!$A$4:$A$1000,0))&amp;"","-"))</f>
        <v/>
      </c>
    </row>
    <row r="550" spans="3:4" x14ac:dyDescent="0.3">
      <c r="C550" s="68" t="str">
        <f>IF(TRIM($B550)="","",IFERROR(HYPERLINK("#'Cards'!A"&amp;(MATCH($B550,Cards!$A$4:$A$1000,0)+3),INDEX(Cards!$B$4:$B$1000,MATCH($B550,Cards!$A$4:$A$1000,0))),"ไม่พบ Card ID ในชีต Cards"))</f>
        <v/>
      </c>
      <c r="D550" s="68" t="str">
        <f>IF(TRIM($B550)="","",IFERROR(INDEX(Cards!$M$4:$M$1000,MATCH($B550,Cards!$A$4:$A$1000,0))&amp;"","-"))</f>
        <v/>
      </c>
    </row>
    <row r="551" spans="3:4" x14ac:dyDescent="0.3">
      <c r="C551" s="68" t="str">
        <f>IF(TRIM($B551)="","",IFERROR(HYPERLINK("#'Cards'!A"&amp;(MATCH($B551,Cards!$A$4:$A$1000,0)+3),INDEX(Cards!$B$4:$B$1000,MATCH($B551,Cards!$A$4:$A$1000,0))),"ไม่พบ Card ID ในชีต Cards"))</f>
        <v/>
      </c>
      <c r="D551" s="68" t="str">
        <f>IF(TRIM($B551)="","",IFERROR(INDEX(Cards!$M$4:$M$1000,MATCH($B551,Cards!$A$4:$A$1000,0))&amp;"","-"))</f>
        <v/>
      </c>
    </row>
    <row r="552" spans="3:4" x14ac:dyDescent="0.3">
      <c r="C552" s="68" t="str">
        <f>IF(TRIM($B552)="","",IFERROR(HYPERLINK("#'Cards'!A"&amp;(MATCH($B552,Cards!$A$4:$A$1000,0)+3),INDEX(Cards!$B$4:$B$1000,MATCH($B552,Cards!$A$4:$A$1000,0))),"ไม่พบ Card ID ในชีต Cards"))</f>
        <v/>
      </c>
      <c r="D552" s="68" t="str">
        <f>IF(TRIM($B552)="","",IFERROR(INDEX(Cards!$M$4:$M$1000,MATCH($B552,Cards!$A$4:$A$1000,0))&amp;"","-"))</f>
        <v/>
      </c>
    </row>
    <row r="553" spans="3:4" x14ac:dyDescent="0.3">
      <c r="C553" s="68" t="str">
        <f>IF(TRIM($B553)="","",IFERROR(HYPERLINK("#'Cards'!A"&amp;(MATCH($B553,Cards!$A$4:$A$1000,0)+3),INDEX(Cards!$B$4:$B$1000,MATCH($B553,Cards!$A$4:$A$1000,0))),"ไม่พบ Card ID ในชีต Cards"))</f>
        <v/>
      </c>
      <c r="D553" s="68" t="str">
        <f>IF(TRIM($B553)="","",IFERROR(INDEX(Cards!$M$4:$M$1000,MATCH($B553,Cards!$A$4:$A$1000,0))&amp;"","-"))</f>
        <v/>
      </c>
    </row>
    <row r="554" spans="3:4" x14ac:dyDescent="0.3">
      <c r="C554" s="68" t="str">
        <f>IF(TRIM($B554)="","",IFERROR(HYPERLINK("#'Cards'!A"&amp;(MATCH($B554,Cards!$A$4:$A$1000,0)+3),INDEX(Cards!$B$4:$B$1000,MATCH($B554,Cards!$A$4:$A$1000,0))),"ไม่พบ Card ID ในชีต Cards"))</f>
        <v/>
      </c>
      <c r="D554" s="68" t="str">
        <f>IF(TRIM($B554)="","",IFERROR(INDEX(Cards!$M$4:$M$1000,MATCH($B554,Cards!$A$4:$A$1000,0))&amp;"","-"))</f>
        <v/>
      </c>
    </row>
    <row r="555" spans="3:4" x14ac:dyDescent="0.3">
      <c r="C555" s="68" t="str">
        <f>IF(TRIM($B555)="","",IFERROR(HYPERLINK("#'Cards'!A"&amp;(MATCH($B555,Cards!$A$4:$A$1000,0)+3),INDEX(Cards!$B$4:$B$1000,MATCH($B555,Cards!$A$4:$A$1000,0))),"ไม่พบ Card ID ในชีต Cards"))</f>
        <v/>
      </c>
      <c r="D555" s="68" t="str">
        <f>IF(TRIM($B555)="","",IFERROR(INDEX(Cards!$M$4:$M$1000,MATCH($B555,Cards!$A$4:$A$1000,0))&amp;"","-"))</f>
        <v/>
      </c>
    </row>
    <row r="556" spans="3:4" x14ac:dyDescent="0.3">
      <c r="C556" s="68" t="str">
        <f>IF(TRIM($B556)="","",IFERROR(HYPERLINK("#'Cards'!A"&amp;(MATCH($B556,Cards!$A$4:$A$1000,0)+3),INDEX(Cards!$B$4:$B$1000,MATCH($B556,Cards!$A$4:$A$1000,0))),"ไม่พบ Card ID ในชีต Cards"))</f>
        <v/>
      </c>
      <c r="D556" s="68" t="str">
        <f>IF(TRIM($B556)="","",IFERROR(INDEX(Cards!$M$4:$M$1000,MATCH($B556,Cards!$A$4:$A$1000,0))&amp;"","-"))</f>
        <v/>
      </c>
    </row>
    <row r="557" spans="3:4" x14ac:dyDescent="0.3">
      <c r="C557" s="68" t="str">
        <f>IF(TRIM($B557)="","",IFERROR(HYPERLINK("#'Cards'!A"&amp;(MATCH($B557,Cards!$A$4:$A$1000,0)+3),INDEX(Cards!$B$4:$B$1000,MATCH($B557,Cards!$A$4:$A$1000,0))),"ไม่พบ Card ID ในชีต Cards"))</f>
        <v/>
      </c>
      <c r="D557" s="68" t="str">
        <f>IF(TRIM($B557)="","",IFERROR(INDEX(Cards!$M$4:$M$1000,MATCH($B557,Cards!$A$4:$A$1000,0))&amp;"","-"))</f>
        <v/>
      </c>
    </row>
    <row r="558" spans="3:4" x14ac:dyDescent="0.3">
      <c r="C558" s="68" t="str">
        <f>IF(TRIM($B558)="","",IFERROR(HYPERLINK("#'Cards'!A"&amp;(MATCH($B558,Cards!$A$4:$A$1000,0)+3),INDEX(Cards!$B$4:$B$1000,MATCH($B558,Cards!$A$4:$A$1000,0))),"ไม่พบ Card ID ในชีต Cards"))</f>
        <v/>
      </c>
      <c r="D558" s="68" t="str">
        <f>IF(TRIM($B558)="","",IFERROR(INDEX(Cards!$M$4:$M$1000,MATCH($B558,Cards!$A$4:$A$1000,0))&amp;"","-"))</f>
        <v/>
      </c>
    </row>
    <row r="559" spans="3:4" x14ac:dyDescent="0.3">
      <c r="C559" s="68" t="str">
        <f>IF(TRIM($B559)="","",IFERROR(HYPERLINK("#'Cards'!A"&amp;(MATCH($B559,Cards!$A$4:$A$1000,0)+3),INDEX(Cards!$B$4:$B$1000,MATCH($B559,Cards!$A$4:$A$1000,0))),"ไม่พบ Card ID ในชีต Cards"))</f>
        <v/>
      </c>
      <c r="D559" s="68" t="str">
        <f>IF(TRIM($B559)="","",IFERROR(INDEX(Cards!$M$4:$M$1000,MATCH($B559,Cards!$A$4:$A$1000,0))&amp;"","-"))</f>
        <v/>
      </c>
    </row>
    <row r="560" spans="3:4" x14ac:dyDescent="0.3">
      <c r="C560" s="68" t="str">
        <f>IF(TRIM($B560)="","",IFERROR(HYPERLINK("#'Cards'!A"&amp;(MATCH($B560,Cards!$A$4:$A$1000,0)+3),INDEX(Cards!$B$4:$B$1000,MATCH($B560,Cards!$A$4:$A$1000,0))),"ไม่พบ Card ID ในชีต Cards"))</f>
        <v/>
      </c>
      <c r="D560" s="68" t="str">
        <f>IF(TRIM($B560)="","",IFERROR(INDEX(Cards!$M$4:$M$1000,MATCH($B560,Cards!$A$4:$A$1000,0))&amp;"","-"))</f>
        <v/>
      </c>
    </row>
    <row r="561" spans="3:4" x14ac:dyDescent="0.3">
      <c r="C561" s="68" t="str">
        <f>IF(TRIM($B561)="","",IFERROR(HYPERLINK("#'Cards'!A"&amp;(MATCH($B561,Cards!$A$4:$A$1000,0)+3),INDEX(Cards!$B$4:$B$1000,MATCH($B561,Cards!$A$4:$A$1000,0))),"ไม่พบ Card ID ในชีต Cards"))</f>
        <v/>
      </c>
      <c r="D561" s="68" t="str">
        <f>IF(TRIM($B561)="","",IFERROR(INDEX(Cards!$M$4:$M$1000,MATCH($B561,Cards!$A$4:$A$1000,0))&amp;"","-"))</f>
        <v/>
      </c>
    </row>
    <row r="562" spans="3:4" x14ac:dyDescent="0.3">
      <c r="C562" s="68" t="str">
        <f>IF(TRIM($B562)="","",IFERROR(HYPERLINK("#'Cards'!A"&amp;(MATCH($B562,Cards!$A$4:$A$1000,0)+3),INDEX(Cards!$B$4:$B$1000,MATCH($B562,Cards!$A$4:$A$1000,0))),"ไม่พบ Card ID ในชีต Cards"))</f>
        <v/>
      </c>
      <c r="D562" s="68" t="str">
        <f>IF(TRIM($B562)="","",IFERROR(INDEX(Cards!$M$4:$M$1000,MATCH($B562,Cards!$A$4:$A$1000,0))&amp;"","-"))</f>
        <v/>
      </c>
    </row>
    <row r="563" spans="3:4" x14ac:dyDescent="0.3">
      <c r="C563" s="68" t="str">
        <f>IF(TRIM($B563)="","",IFERROR(HYPERLINK("#'Cards'!A"&amp;(MATCH($B563,Cards!$A$4:$A$1000,0)+3),INDEX(Cards!$B$4:$B$1000,MATCH($B563,Cards!$A$4:$A$1000,0))),"ไม่พบ Card ID ในชีต Cards"))</f>
        <v/>
      </c>
      <c r="D563" s="68" t="str">
        <f>IF(TRIM($B563)="","",IFERROR(INDEX(Cards!$M$4:$M$1000,MATCH($B563,Cards!$A$4:$A$1000,0))&amp;"","-"))</f>
        <v/>
      </c>
    </row>
    <row r="564" spans="3:4" x14ac:dyDescent="0.3">
      <c r="C564" s="68" t="str">
        <f>IF(TRIM($B564)="","",IFERROR(HYPERLINK("#'Cards'!A"&amp;(MATCH($B564,Cards!$A$4:$A$1000,0)+3),INDEX(Cards!$B$4:$B$1000,MATCH($B564,Cards!$A$4:$A$1000,0))),"ไม่พบ Card ID ในชีต Cards"))</f>
        <v/>
      </c>
      <c r="D564" s="68" t="str">
        <f>IF(TRIM($B564)="","",IFERROR(INDEX(Cards!$M$4:$M$1000,MATCH($B564,Cards!$A$4:$A$1000,0))&amp;"","-"))</f>
        <v/>
      </c>
    </row>
    <row r="565" spans="3:4" x14ac:dyDescent="0.3">
      <c r="C565" s="68" t="str">
        <f>IF(TRIM($B565)="","",IFERROR(HYPERLINK("#'Cards'!A"&amp;(MATCH($B565,Cards!$A$4:$A$1000,0)+3),INDEX(Cards!$B$4:$B$1000,MATCH($B565,Cards!$A$4:$A$1000,0))),"ไม่พบ Card ID ในชีต Cards"))</f>
        <v/>
      </c>
      <c r="D565" s="68" t="str">
        <f>IF(TRIM($B565)="","",IFERROR(INDEX(Cards!$M$4:$M$1000,MATCH($B565,Cards!$A$4:$A$1000,0))&amp;"","-"))</f>
        <v/>
      </c>
    </row>
    <row r="566" spans="3:4" x14ac:dyDescent="0.3">
      <c r="C566" s="68" t="str">
        <f>IF(TRIM($B566)="","",IFERROR(HYPERLINK("#'Cards'!A"&amp;(MATCH($B566,Cards!$A$4:$A$1000,0)+3),INDEX(Cards!$B$4:$B$1000,MATCH($B566,Cards!$A$4:$A$1000,0))),"ไม่พบ Card ID ในชีต Cards"))</f>
        <v/>
      </c>
      <c r="D566" s="68" t="str">
        <f>IF(TRIM($B566)="","",IFERROR(INDEX(Cards!$M$4:$M$1000,MATCH($B566,Cards!$A$4:$A$1000,0))&amp;"","-"))</f>
        <v/>
      </c>
    </row>
    <row r="567" spans="3:4" x14ac:dyDescent="0.3">
      <c r="C567" s="68" t="str">
        <f>IF(TRIM($B567)="","",IFERROR(HYPERLINK("#'Cards'!A"&amp;(MATCH($B567,Cards!$A$4:$A$1000,0)+3),INDEX(Cards!$B$4:$B$1000,MATCH($B567,Cards!$A$4:$A$1000,0))),"ไม่พบ Card ID ในชีต Cards"))</f>
        <v/>
      </c>
      <c r="D567" s="68" t="str">
        <f>IF(TRIM($B567)="","",IFERROR(INDEX(Cards!$M$4:$M$1000,MATCH($B567,Cards!$A$4:$A$1000,0))&amp;"","-"))</f>
        <v/>
      </c>
    </row>
    <row r="568" spans="3:4" x14ac:dyDescent="0.3">
      <c r="C568" s="68" t="str">
        <f>IF(TRIM($B568)="","",IFERROR(HYPERLINK("#'Cards'!A"&amp;(MATCH($B568,Cards!$A$4:$A$1000,0)+3),INDEX(Cards!$B$4:$B$1000,MATCH($B568,Cards!$A$4:$A$1000,0))),"ไม่พบ Card ID ในชีต Cards"))</f>
        <v/>
      </c>
      <c r="D568" s="68" t="str">
        <f>IF(TRIM($B568)="","",IFERROR(INDEX(Cards!$M$4:$M$1000,MATCH($B568,Cards!$A$4:$A$1000,0))&amp;"","-"))</f>
        <v/>
      </c>
    </row>
    <row r="569" spans="3:4" x14ac:dyDescent="0.3">
      <c r="C569" s="68" t="str">
        <f>IF(TRIM($B569)="","",IFERROR(HYPERLINK("#'Cards'!A"&amp;(MATCH($B569,Cards!$A$4:$A$1000,0)+3),INDEX(Cards!$B$4:$B$1000,MATCH($B569,Cards!$A$4:$A$1000,0))),"ไม่พบ Card ID ในชีต Cards"))</f>
        <v/>
      </c>
      <c r="D569" s="68" t="str">
        <f>IF(TRIM($B569)="","",IFERROR(INDEX(Cards!$M$4:$M$1000,MATCH($B569,Cards!$A$4:$A$1000,0))&amp;"","-"))</f>
        <v/>
      </c>
    </row>
    <row r="570" spans="3:4" x14ac:dyDescent="0.3">
      <c r="C570" s="68" t="str">
        <f>IF(TRIM($B570)="","",IFERROR(HYPERLINK("#'Cards'!A"&amp;(MATCH($B570,Cards!$A$4:$A$1000,0)+3),INDEX(Cards!$B$4:$B$1000,MATCH($B570,Cards!$A$4:$A$1000,0))),"ไม่พบ Card ID ในชีต Cards"))</f>
        <v/>
      </c>
      <c r="D570" s="68" t="str">
        <f>IF(TRIM($B570)="","",IFERROR(INDEX(Cards!$M$4:$M$1000,MATCH($B570,Cards!$A$4:$A$1000,0))&amp;"","-"))</f>
        <v/>
      </c>
    </row>
    <row r="571" spans="3:4" x14ac:dyDescent="0.3">
      <c r="C571" s="68" t="str">
        <f>IF(TRIM($B571)="","",IFERROR(HYPERLINK("#'Cards'!A"&amp;(MATCH($B571,Cards!$A$4:$A$1000,0)+3),INDEX(Cards!$B$4:$B$1000,MATCH($B571,Cards!$A$4:$A$1000,0))),"ไม่พบ Card ID ในชีต Cards"))</f>
        <v/>
      </c>
      <c r="D571" s="68" t="str">
        <f>IF(TRIM($B571)="","",IFERROR(INDEX(Cards!$M$4:$M$1000,MATCH($B571,Cards!$A$4:$A$1000,0))&amp;"","-"))</f>
        <v/>
      </c>
    </row>
    <row r="572" spans="3:4" x14ac:dyDescent="0.3">
      <c r="C572" s="68" t="str">
        <f>IF(TRIM($B572)="","",IFERROR(HYPERLINK("#'Cards'!A"&amp;(MATCH($B572,Cards!$A$4:$A$1000,0)+3),INDEX(Cards!$B$4:$B$1000,MATCH($B572,Cards!$A$4:$A$1000,0))),"ไม่พบ Card ID ในชีต Cards"))</f>
        <v/>
      </c>
      <c r="D572" s="68" t="str">
        <f>IF(TRIM($B572)="","",IFERROR(INDEX(Cards!$M$4:$M$1000,MATCH($B572,Cards!$A$4:$A$1000,0))&amp;"","-"))</f>
        <v/>
      </c>
    </row>
    <row r="573" spans="3:4" x14ac:dyDescent="0.3">
      <c r="C573" s="68" t="str">
        <f>IF(TRIM($B573)="","",IFERROR(HYPERLINK("#'Cards'!A"&amp;(MATCH($B573,Cards!$A$4:$A$1000,0)+3),INDEX(Cards!$B$4:$B$1000,MATCH($B573,Cards!$A$4:$A$1000,0))),"ไม่พบ Card ID ในชีต Cards"))</f>
        <v/>
      </c>
      <c r="D573" s="68" t="str">
        <f>IF(TRIM($B573)="","",IFERROR(INDEX(Cards!$M$4:$M$1000,MATCH($B573,Cards!$A$4:$A$1000,0))&amp;"","-"))</f>
        <v/>
      </c>
    </row>
    <row r="574" spans="3:4" x14ac:dyDescent="0.3">
      <c r="C574" s="68" t="str">
        <f>IF(TRIM($B574)="","",IFERROR(HYPERLINK("#'Cards'!A"&amp;(MATCH($B574,Cards!$A$4:$A$1000,0)+3),INDEX(Cards!$B$4:$B$1000,MATCH($B574,Cards!$A$4:$A$1000,0))),"ไม่พบ Card ID ในชีต Cards"))</f>
        <v/>
      </c>
      <c r="D574" s="68" t="str">
        <f>IF(TRIM($B574)="","",IFERROR(INDEX(Cards!$M$4:$M$1000,MATCH($B574,Cards!$A$4:$A$1000,0))&amp;"","-"))</f>
        <v/>
      </c>
    </row>
    <row r="575" spans="3:4" x14ac:dyDescent="0.3">
      <c r="C575" s="68" t="str">
        <f>IF(TRIM($B575)="","",IFERROR(HYPERLINK("#'Cards'!A"&amp;(MATCH($B575,Cards!$A$4:$A$1000,0)+3),INDEX(Cards!$B$4:$B$1000,MATCH($B575,Cards!$A$4:$A$1000,0))),"ไม่พบ Card ID ในชีต Cards"))</f>
        <v/>
      </c>
      <c r="D575" s="68" t="str">
        <f>IF(TRIM($B575)="","",IFERROR(INDEX(Cards!$M$4:$M$1000,MATCH($B575,Cards!$A$4:$A$1000,0))&amp;"","-"))</f>
        <v/>
      </c>
    </row>
    <row r="576" spans="3:4" x14ac:dyDescent="0.3">
      <c r="C576" s="68" t="str">
        <f>IF(TRIM($B576)="","",IFERROR(HYPERLINK("#'Cards'!A"&amp;(MATCH($B576,Cards!$A$4:$A$1000,0)+3),INDEX(Cards!$B$4:$B$1000,MATCH($B576,Cards!$A$4:$A$1000,0))),"ไม่พบ Card ID ในชีต Cards"))</f>
        <v/>
      </c>
      <c r="D576" s="68" t="str">
        <f>IF(TRIM($B576)="","",IFERROR(INDEX(Cards!$M$4:$M$1000,MATCH($B576,Cards!$A$4:$A$1000,0))&amp;"","-"))</f>
        <v/>
      </c>
    </row>
    <row r="577" spans="3:4" x14ac:dyDescent="0.3">
      <c r="C577" s="68" t="str">
        <f>IF(TRIM($B577)="","",IFERROR(HYPERLINK("#'Cards'!A"&amp;(MATCH($B577,Cards!$A$4:$A$1000,0)+3),INDEX(Cards!$B$4:$B$1000,MATCH($B577,Cards!$A$4:$A$1000,0))),"ไม่พบ Card ID ในชีต Cards"))</f>
        <v/>
      </c>
      <c r="D577" s="68" t="str">
        <f>IF(TRIM($B577)="","",IFERROR(INDEX(Cards!$M$4:$M$1000,MATCH($B577,Cards!$A$4:$A$1000,0))&amp;"","-"))</f>
        <v/>
      </c>
    </row>
    <row r="578" spans="3:4" x14ac:dyDescent="0.3">
      <c r="C578" s="68" t="str">
        <f>IF(TRIM($B578)="","",IFERROR(HYPERLINK("#'Cards'!A"&amp;(MATCH($B578,Cards!$A$4:$A$1000,0)+3),INDEX(Cards!$B$4:$B$1000,MATCH($B578,Cards!$A$4:$A$1000,0))),"ไม่พบ Card ID ในชีต Cards"))</f>
        <v/>
      </c>
      <c r="D578" s="68" t="str">
        <f>IF(TRIM($B578)="","",IFERROR(INDEX(Cards!$M$4:$M$1000,MATCH($B578,Cards!$A$4:$A$1000,0))&amp;"","-"))</f>
        <v/>
      </c>
    </row>
    <row r="579" spans="3:4" x14ac:dyDescent="0.3">
      <c r="C579" s="68" t="str">
        <f>IF(TRIM($B579)="","",IFERROR(HYPERLINK("#'Cards'!A"&amp;(MATCH($B579,Cards!$A$4:$A$1000,0)+3),INDEX(Cards!$B$4:$B$1000,MATCH($B579,Cards!$A$4:$A$1000,0))),"ไม่พบ Card ID ในชีต Cards"))</f>
        <v/>
      </c>
      <c r="D579" s="68" t="str">
        <f>IF(TRIM($B579)="","",IFERROR(INDEX(Cards!$M$4:$M$1000,MATCH($B579,Cards!$A$4:$A$1000,0))&amp;"","-"))</f>
        <v/>
      </c>
    </row>
    <row r="580" spans="3:4" x14ac:dyDescent="0.3">
      <c r="C580" s="68" t="str">
        <f>IF(TRIM($B580)="","",IFERROR(HYPERLINK("#'Cards'!A"&amp;(MATCH($B580,Cards!$A$4:$A$1000,0)+3),INDEX(Cards!$B$4:$B$1000,MATCH($B580,Cards!$A$4:$A$1000,0))),"ไม่พบ Card ID ในชีต Cards"))</f>
        <v/>
      </c>
      <c r="D580" s="68" t="str">
        <f>IF(TRIM($B580)="","",IFERROR(INDEX(Cards!$M$4:$M$1000,MATCH($B580,Cards!$A$4:$A$1000,0))&amp;"","-"))</f>
        <v/>
      </c>
    </row>
    <row r="581" spans="3:4" x14ac:dyDescent="0.3">
      <c r="C581" s="68" t="str">
        <f>IF(TRIM($B581)="","",IFERROR(HYPERLINK("#'Cards'!A"&amp;(MATCH($B581,Cards!$A$4:$A$1000,0)+3),INDEX(Cards!$B$4:$B$1000,MATCH($B581,Cards!$A$4:$A$1000,0))),"ไม่พบ Card ID ในชีต Cards"))</f>
        <v/>
      </c>
      <c r="D581" s="68" t="str">
        <f>IF(TRIM($B581)="","",IFERROR(INDEX(Cards!$M$4:$M$1000,MATCH($B581,Cards!$A$4:$A$1000,0))&amp;"","-"))</f>
        <v/>
      </c>
    </row>
    <row r="582" spans="3:4" x14ac:dyDescent="0.3">
      <c r="C582" s="68" t="str">
        <f>IF(TRIM($B582)="","",IFERROR(HYPERLINK("#'Cards'!A"&amp;(MATCH($B582,Cards!$A$4:$A$1000,0)+3),INDEX(Cards!$B$4:$B$1000,MATCH($B582,Cards!$A$4:$A$1000,0))),"ไม่พบ Card ID ในชีต Cards"))</f>
        <v/>
      </c>
      <c r="D582" s="68" t="str">
        <f>IF(TRIM($B582)="","",IFERROR(INDEX(Cards!$M$4:$M$1000,MATCH($B582,Cards!$A$4:$A$1000,0))&amp;"","-"))</f>
        <v/>
      </c>
    </row>
    <row r="583" spans="3:4" x14ac:dyDescent="0.3">
      <c r="C583" s="68" t="str">
        <f>IF(TRIM($B583)="","",IFERROR(HYPERLINK("#'Cards'!A"&amp;(MATCH($B583,Cards!$A$4:$A$1000,0)+3),INDEX(Cards!$B$4:$B$1000,MATCH($B583,Cards!$A$4:$A$1000,0))),"ไม่พบ Card ID ในชีต Cards"))</f>
        <v/>
      </c>
      <c r="D583" s="68" t="str">
        <f>IF(TRIM($B583)="","",IFERROR(INDEX(Cards!$M$4:$M$1000,MATCH($B583,Cards!$A$4:$A$1000,0))&amp;"","-"))</f>
        <v/>
      </c>
    </row>
    <row r="584" spans="3:4" x14ac:dyDescent="0.3">
      <c r="C584" s="68" t="str">
        <f>IF(TRIM($B584)="","",IFERROR(HYPERLINK("#'Cards'!A"&amp;(MATCH($B584,Cards!$A$4:$A$1000,0)+3),INDEX(Cards!$B$4:$B$1000,MATCH($B584,Cards!$A$4:$A$1000,0))),"ไม่พบ Card ID ในชีต Cards"))</f>
        <v/>
      </c>
      <c r="D584" s="68" t="str">
        <f>IF(TRIM($B584)="","",IFERROR(INDEX(Cards!$M$4:$M$1000,MATCH($B584,Cards!$A$4:$A$1000,0))&amp;"","-"))</f>
        <v/>
      </c>
    </row>
    <row r="585" spans="3:4" x14ac:dyDescent="0.3">
      <c r="C585" s="68" t="str">
        <f>IF(TRIM($B585)="","",IFERROR(HYPERLINK("#'Cards'!A"&amp;(MATCH($B585,Cards!$A$4:$A$1000,0)+3),INDEX(Cards!$B$4:$B$1000,MATCH($B585,Cards!$A$4:$A$1000,0))),"ไม่พบ Card ID ในชีต Cards"))</f>
        <v/>
      </c>
      <c r="D585" s="68" t="str">
        <f>IF(TRIM($B585)="","",IFERROR(INDEX(Cards!$M$4:$M$1000,MATCH($B585,Cards!$A$4:$A$1000,0))&amp;"","-"))</f>
        <v/>
      </c>
    </row>
    <row r="586" spans="3:4" x14ac:dyDescent="0.3">
      <c r="C586" s="68" t="str">
        <f>IF(TRIM($B586)="","",IFERROR(HYPERLINK("#'Cards'!A"&amp;(MATCH($B586,Cards!$A$4:$A$1000,0)+3),INDEX(Cards!$B$4:$B$1000,MATCH($B586,Cards!$A$4:$A$1000,0))),"ไม่พบ Card ID ในชีต Cards"))</f>
        <v/>
      </c>
      <c r="D586" s="68" t="str">
        <f>IF(TRIM($B586)="","",IFERROR(INDEX(Cards!$M$4:$M$1000,MATCH($B586,Cards!$A$4:$A$1000,0))&amp;"","-"))</f>
        <v/>
      </c>
    </row>
    <row r="587" spans="3:4" x14ac:dyDescent="0.3">
      <c r="C587" s="68" t="str">
        <f>IF(TRIM($B587)="","",IFERROR(HYPERLINK("#'Cards'!A"&amp;(MATCH($B587,Cards!$A$4:$A$1000,0)+3),INDEX(Cards!$B$4:$B$1000,MATCH($B587,Cards!$A$4:$A$1000,0))),"ไม่พบ Card ID ในชีต Cards"))</f>
        <v/>
      </c>
      <c r="D587" s="68" t="str">
        <f>IF(TRIM($B587)="","",IFERROR(INDEX(Cards!$M$4:$M$1000,MATCH($B587,Cards!$A$4:$A$1000,0))&amp;"","-"))</f>
        <v/>
      </c>
    </row>
    <row r="588" spans="3:4" x14ac:dyDescent="0.3">
      <c r="C588" s="68" t="str">
        <f>IF(TRIM($B588)="","",IFERROR(HYPERLINK("#'Cards'!A"&amp;(MATCH($B588,Cards!$A$4:$A$1000,0)+3),INDEX(Cards!$B$4:$B$1000,MATCH($B588,Cards!$A$4:$A$1000,0))),"ไม่พบ Card ID ในชีต Cards"))</f>
        <v/>
      </c>
      <c r="D588" s="68" t="str">
        <f>IF(TRIM($B588)="","",IFERROR(INDEX(Cards!$M$4:$M$1000,MATCH($B588,Cards!$A$4:$A$1000,0))&amp;"","-"))</f>
        <v/>
      </c>
    </row>
    <row r="589" spans="3:4" x14ac:dyDescent="0.3">
      <c r="C589" s="68" t="str">
        <f>IF(TRIM($B589)="","",IFERROR(HYPERLINK("#'Cards'!A"&amp;(MATCH($B589,Cards!$A$4:$A$1000,0)+3),INDEX(Cards!$B$4:$B$1000,MATCH($B589,Cards!$A$4:$A$1000,0))),"ไม่พบ Card ID ในชีต Cards"))</f>
        <v/>
      </c>
      <c r="D589" s="68" t="str">
        <f>IF(TRIM($B589)="","",IFERROR(INDEX(Cards!$M$4:$M$1000,MATCH($B589,Cards!$A$4:$A$1000,0))&amp;"","-"))</f>
        <v/>
      </c>
    </row>
    <row r="590" spans="3:4" x14ac:dyDescent="0.3">
      <c r="C590" s="68" t="str">
        <f>IF(TRIM($B590)="","",IFERROR(HYPERLINK("#'Cards'!A"&amp;(MATCH($B590,Cards!$A$4:$A$1000,0)+3),INDEX(Cards!$B$4:$B$1000,MATCH($B590,Cards!$A$4:$A$1000,0))),"ไม่พบ Card ID ในชีต Cards"))</f>
        <v/>
      </c>
      <c r="D590" s="68" t="str">
        <f>IF(TRIM($B590)="","",IFERROR(INDEX(Cards!$M$4:$M$1000,MATCH($B590,Cards!$A$4:$A$1000,0))&amp;"","-"))</f>
        <v/>
      </c>
    </row>
    <row r="591" spans="3:4" x14ac:dyDescent="0.3">
      <c r="C591" s="68" t="str">
        <f>IF(TRIM($B591)="","",IFERROR(HYPERLINK("#'Cards'!A"&amp;(MATCH($B591,Cards!$A$4:$A$1000,0)+3),INDEX(Cards!$B$4:$B$1000,MATCH($B591,Cards!$A$4:$A$1000,0))),"ไม่พบ Card ID ในชีต Cards"))</f>
        <v/>
      </c>
      <c r="D591" s="68" t="str">
        <f>IF(TRIM($B591)="","",IFERROR(INDEX(Cards!$M$4:$M$1000,MATCH($B591,Cards!$A$4:$A$1000,0))&amp;"","-"))</f>
        <v/>
      </c>
    </row>
    <row r="592" spans="3:4" x14ac:dyDescent="0.3">
      <c r="C592" s="68" t="str">
        <f>IF(TRIM($B592)="","",IFERROR(HYPERLINK("#'Cards'!A"&amp;(MATCH($B592,Cards!$A$4:$A$1000,0)+3),INDEX(Cards!$B$4:$B$1000,MATCH($B592,Cards!$A$4:$A$1000,0))),"ไม่พบ Card ID ในชีต Cards"))</f>
        <v/>
      </c>
      <c r="D592" s="68" t="str">
        <f>IF(TRIM($B592)="","",IFERROR(INDEX(Cards!$M$4:$M$1000,MATCH($B592,Cards!$A$4:$A$1000,0))&amp;"","-"))</f>
        <v/>
      </c>
    </row>
    <row r="593" spans="3:4" x14ac:dyDescent="0.3">
      <c r="C593" s="68" t="str">
        <f>IF(TRIM($B593)="","",IFERROR(HYPERLINK("#'Cards'!A"&amp;(MATCH($B593,Cards!$A$4:$A$1000,0)+3),INDEX(Cards!$B$4:$B$1000,MATCH($B593,Cards!$A$4:$A$1000,0))),"ไม่พบ Card ID ในชีต Cards"))</f>
        <v/>
      </c>
      <c r="D593" s="68" t="str">
        <f>IF(TRIM($B593)="","",IFERROR(INDEX(Cards!$M$4:$M$1000,MATCH($B593,Cards!$A$4:$A$1000,0))&amp;"","-"))</f>
        <v/>
      </c>
    </row>
    <row r="594" spans="3:4" x14ac:dyDescent="0.3">
      <c r="C594" s="68" t="str">
        <f>IF(TRIM($B594)="","",IFERROR(HYPERLINK("#'Cards'!A"&amp;(MATCH($B594,Cards!$A$4:$A$1000,0)+3),INDEX(Cards!$B$4:$B$1000,MATCH($B594,Cards!$A$4:$A$1000,0))),"ไม่พบ Card ID ในชีต Cards"))</f>
        <v/>
      </c>
      <c r="D594" s="68" t="str">
        <f>IF(TRIM($B594)="","",IFERROR(INDEX(Cards!$M$4:$M$1000,MATCH($B594,Cards!$A$4:$A$1000,0))&amp;"","-"))</f>
        <v/>
      </c>
    </row>
    <row r="595" spans="3:4" x14ac:dyDescent="0.3">
      <c r="C595" s="68" t="str">
        <f>IF(TRIM($B595)="","",IFERROR(HYPERLINK("#'Cards'!A"&amp;(MATCH($B595,Cards!$A$4:$A$1000,0)+3),INDEX(Cards!$B$4:$B$1000,MATCH($B595,Cards!$A$4:$A$1000,0))),"ไม่พบ Card ID ในชีต Cards"))</f>
        <v/>
      </c>
      <c r="D595" s="68" t="str">
        <f>IF(TRIM($B595)="","",IFERROR(INDEX(Cards!$M$4:$M$1000,MATCH($B595,Cards!$A$4:$A$1000,0))&amp;"","-"))</f>
        <v/>
      </c>
    </row>
    <row r="596" spans="3:4" x14ac:dyDescent="0.3">
      <c r="C596" s="68" t="str">
        <f>IF(TRIM($B596)="","",IFERROR(HYPERLINK("#'Cards'!A"&amp;(MATCH($B596,Cards!$A$4:$A$1000,0)+3),INDEX(Cards!$B$4:$B$1000,MATCH($B596,Cards!$A$4:$A$1000,0))),"ไม่พบ Card ID ในชีต Cards"))</f>
        <v/>
      </c>
      <c r="D596" s="68" t="str">
        <f>IF(TRIM($B596)="","",IFERROR(INDEX(Cards!$M$4:$M$1000,MATCH($B596,Cards!$A$4:$A$1000,0))&amp;"","-"))</f>
        <v/>
      </c>
    </row>
    <row r="597" spans="3:4" x14ac:dyDescent="0.3">
      <c r="C597" s="68" t="str">
        <f>IF(TRIM($B597)="","",IFERROR(HYPERLINK("#'Cards'!A"&amp;(MATCH($B597,Cards!$A$4:$A$1000,0)+3),INDEX(Cards!$B$4:$B$1000,MATCH($B597,Cards!$A$4:$A$1000,0))),"ไม่พบ Card ID ในชีต Cards"))</f>
        <v/>
      </c>
      <c r="D597" s="68" t="str">
        <f>IF(TRIM($B597)="","",IFERROR(INDEX(Cards!$M$4:$M$1000,MATCH($B597,Cards!$A$4:$A$1000,0))&amp;"","-"))</f>
        <v/>
      </c>
    </row>
    <row r="598" spans="3:4" x14ac:dyDescent="0.3">
      <c r="C598" s="68" t="str">
        <f>IF(TRIM($B598)="","",IFERROR(HYPERLINK("#'Cards'!A"&amp;(MATCH($B598,Cards!$A$4:$A$1000,0)+3),INDEX(Cards!$B$4:$B$1000,MATCH($B598,Cards!$A$4:$A$1000,0))),"ไม่พบ Card ID ในชีต Cards"))</f>
        <v/>
      </c>
      <c r="D598" s="68" t="str">
        <f>IF(TRIM($B598)="","",IFERROR(INDEX(Cards!$M$4:$M$1000,MATCH($B598,Cards!$A$4:$A$1000,0))&amp;"","-"))</f>
        <v/>
      </c>
    </row>
    <row r="599" spans="3:4" x14ac:dyDescent="0.3">
      <c r="C599" s="68" t="str">
        <f>IF(TRIM($B599)="","",IFERROR(HYPERLINK("#'Cards'!A"&amp;(MATCH($B599,Cards!$A$4:$A$1000,0)+3),INDEX(Cards!$B$4:$B$1000,MATCH($B599,Cards!$A$4:$A$1000,0))),"ไม่พบ Card ID ในชีต Cards"))</f>
        <v/>
      </c>
      <c r="D599" s="68" t="str">
        <f>IF(TRIM($B599)="","",IFERROR(INDEX(Cards!$M$4:$M$1000,MATCH($B599,Cards!$A$4:$A$1000,0))&amp;"","-"))</f>
        <v/>
      </c>
    </row>
    <row r="600" spans="3:4" x14ac:dyDescent="0.3">
      <c r="C600" s="68" t="str">
        <f>IF(TRIM($B600)="","",IFERROR(HYPERLINK("#'Cards'!A"&amp;(MATCH($B600,Cards!$A$4:$A$1000,0)+3),INDEX(Cards!$B$4:$B$1000,MATCH($B600,Cards!$A$4:$A$1000,0))),"ไม่พบ Card ID ในชีต Cards"))</f>
        <v/>
      </c>
      <c r="D600" s="68" t="str">
        <f>IF(TRIM($B600)="","",IFERROR(INDEX(Cards!$M$4:$M$1000,MATCH($B600,Cards!$A$4:$A$1000,0))&amp;"","-"))</f>
        <v/>
      </c>
    </row>
    <row r="601" spans="3:4" x14ac:dyDescent="0.3">
      <c r="C601" s="68" t="str">
        <f>IF(TRIM($B601)="","",IFERROR(HYPERLINK("#'Cards'!A"&amp;(MATCH($B601,Cards!$A$4:$A$1000,0)+3),INDEX(Cards!$B$4:$B$1000,MATCH($B601,Cards!$A$4:$A$1000,0))),"ไม่พบ Card ID ในชีต Cards"))</f>
        <v/>
      </c>
      <c r="D601" s="68" t="str">
        <f>IF(TRIM($B601)="","",IFERROR(INDEX(Cards!$M$4:$M$1000,MATCH($B601,Cards!$A$4:$A$1000,0))&amp;"","-"))</f>
        <v/>
      </c>
    </row>
    <row r="602" spans="3:4" x14ac:dyDescent="0.3">
      <c r="C602" s="68" t="str">
        <f>IF(TRIM($B602)="","",IFERROR(HYPERLINK("#'Cards'!A"&amp;(MATCH($B602,Cards!$A$4:$A$1000,0)+3),INDEX(Cards!$B$4:$B$1000,MATCH($B602,Cards!$A$4:$A$1000,0))),"ไม่พบ Card ID ในชีต Cards"))</f>
        <v/>
      </c>
      <c r="D602" s="68" t="str">
        <f>IF(TRIM($B602)="","",IFERROR(INDEX(Cards!$M$4:$M$1000,MATCH($B602,Cards!$A$4:$A$1000,0))&amp;"","-"))</f>
        <v/>
      </c>
    </row>
    <row r="603" spans="3:4" x14ac:dyDescent="0.3">
      <c r="C603" s="68" t="str">
        <f>IF(TRIM($B603)="","",IFERROR(HYPERLINK("#'Cards'!A"&amp;(MATCH($B603,Cards!$A$4:$A$1000,0)+3),INDEX(Cards!$B$4:$B$1000,MATCH($B603,Cards!$A$4:$A$1000,0))),"ไม่พบ Card ID ในชีต Cards"))</f>
        <v/>
      </c>
      <c r="D603" s="68" t="str">
        <f>IF(TRIM($B603)="","",IFERROR(INDEX(Cards!$M$4:$M$1000,MATCH($B603,Cards!$A$4:$A$1000,0))&amp;"","-"))</f>
        <v/>
      </c>
    </row>
    <row r="604" spans="3:4" x14ac:dyDescent="0.3">
      <c r="C604" s="68" t="str">
        <f>IF(TRIM($B604)="","",IFERROR(HYPERLINK("#'Cards'!A"&amp;(MATCH($B604,Cards!$A$4:$A$1000,0)+3),INDEX(Cards!$B$4:$B$1000,MATCH($B604,Cards!$A$4:$A$1000,0))),"ไม่พบ Card ID ในชีต Cards"))</f>
        <v/>
      </c>
      <c r="D604" s="68" t="str">
        <f>IF(TRIM($B604)="","",IFERROR(INDEX(Cards!$M$4:$M$1000,MATCH($B604,Cards!$A$4:$A$1000,0))&amp;"","-"))</f>
        <v/>
      </c>
    </row>
    <row r="605" spans="3:4" x14ac:dyDescent="0.3">
      <c r="C605" s="68" t="str">
        <f>IF(TRIM($B605)="","",IFERROR(HYPERLINK("#'Cards'!A"&amp;(MATCH($B605,Cards!$A$4:$A$1000,0)+3),INDEX(Cards!$B$4:$B$1000,MATCH($B605,Cards!$A$4:$A$1000,0))),"ไม่พบ Card ID ในชีต Cards"))</f>
        <v/>
      </c>
      <c r="D605" s="68" t="str">
        <f>IF(TRIM($B605)="","",IFERROR(INDEX(Cards!$M$4:$M$1000,MATCH($B605,Cards!$A$4:$A$1000,0))&amp;"","-"))</f>
        <v/>
      </c>
    </row>
    <row r="606" spans="3:4" x14ac:dyDescent="0.3">
      <c r="C606" s="68" t="str">
        <f>IF(TRIM($B606)="","",IFERROR(HYPERLINK("#'Cards'!A"&amp;(MATCH($B606,Cards!$A$4:$A$1000,0)+3),INDEX(Cards!$B$4:$B$1000,MATCH($B606,Cards!$A$4:$A$1000,0))),"ไม่พบ Card ID ในชีต Cards"))</f>
        <v/>
      </c>
      <c r="D606" s="68" t="str">
        <f>IF(TRIM($B606)="","",IFERROR(INDEX(Cards!$M$4:$M$1000,MATCH($B606,Cards!$A$4:$A$1000,0))&amp;"","-"))</f>
        <v/>
      </c>
    </row>
    <row r="607" spans="3:4" x14ac:dyDescent="0.3">
      <c r="C607" s="68" t="str">
        <f>IF(TRIM($B607)="","",IFERROR(HYPERLINK("#'Cards'!A"&amp;(MATCH($B607,Cards!$A$4:$A$1000,0)+3),INDEX(Cards!$B$4:$B$1000,MATCH($B607,Cards!$A$4:$A$1000,0))),"ไม่พบ Card ID ในชีต Cards"))</f>
        <v/>
      </c>
      <c r="D607" s="68" t="str">
        <f>IF(TRIM($B607)="","",IFERROR(INDEX(Cards!$M$4:$M$1000,MATCH($B607,Cards!$A$4:$A$1000,0))&amp;"","-"))</f>
        <v/>
      </c>
    </row>
    <row r="608" spans="3:4" x14ac:dyDescent="0.3">
      <c r="C608" s="68" t="str">
        <f>IF(TRIM($B608)="","",IFERROR(HYPERLINK("#'Cards'!A"&amp;(MATCH($B608,Cards!$A$4:$A$1000,0)+3),INDEX(Cards!$B$4:$B$1000,MATCH($B608,Cards!$A$4:$A$1000,0))),"ไม่พบ Card ID ในชีต Cards"))</f>
        <v/>
      </c>
      <c r="D608" s="68" t="str">
        <f>IF(TRIM($B608)="","",IFERROR(INDEX(Cards!$M$4:$M$1000,MATCH($B608,Cards!$A$4:$A$1000,0))&amp;"","-"))</f>
        <v/>
      </c>
    </row>
    <row r="609" spans="3:4" x14ac:dyDescent="0.3">
      <c r="C609" s="68" t="str">
        <f>IF(TRIM($B609)="","",IFERROR(HYPERLINK("#'Cards'!A"&amp;(MATCH($B609,Cards!$A$4:$A$1000,0)+3),INDEX(Cards!$B$4:$B$1000,MATCH($B609,Cards!$A$4:$A$1000,0))),"ไม่พบ Card ID ในชีต Cards"))</f>
        <v/>
      </c>
      <c r="D609" s="68" t="str">
        <f>IF(TRIM($B609)="","",IFERROR(INDEX(Cards!$M$4:$M$1000,MATCH($B609,Cards!$A$4:$A$1000,0))&amp;"","-"))</f>
        <v/>
      </c>
    </row>
    <row r="610" spans="3:4" x14ac:dyDescent="0.3">
      <c r="C610" s="68" t="str">
        <f>IF(TRIM($B610)="","",IFERROR(HYPERLINK("#'Cards'!A"&amp;(MATCH($B610,Cards!$A$4:$A$1000,0)+3),INDEX(Cards!$B$4:$B$1000,MATCH($B610,Cards!$A$4:$A$1000,0))),"ไม่พบ Card ID ในชีต Cards"))</f>
        <v/>
      </c>
      <c r="D610" s="68" t="str">
        <f>IF(TRIM($B610)="","",IFERROR(INDEX(Cards!$M$4:$M$1000,MATCH($B610,Cards!$A$4:$A$1000,0))&amp;"","-"))</f>
        <v/>
      </c>
    </row>
    <row r="611" spans="3:4" x14ac:dyDescent="0.3">
      <c r="C611" s="68" t="str">
        <f>IF(TRIM($B611)="","",IFERROR(HYPERLINK("#'Cards'!A"&amp;(MATCH($B611,Cards!$A$4:$A$1000,0)+3),INDEX(Cards!$B$4:$B$1000,MATCH($B611,Cards!$A$4:$A$1000,0))),"ไม่พบ Card ID ในชีต Cards"))</f>
        <v/>
      </c>
      <c r="D611" s="68" t="str">
        <f>IF(TRIM($B611)="","",IFERROR(INDEX(Cards!$M$4:$M$1000,MATCH($B611,Cards!$A$4:$A$1000,0))&amp;"","-"))</f>
        <v/>
      </c>
    </row>
    <row r="612" spans="3:4" x14ac:dyDescent="0.3">
      <c r="C612" s="68" t="str">
        <f>IF(TRIM($B612)="","",IFERROR(HYPERLINK("#'Cards'!A"&amp;(MATCH($B612,Cards!$A$4:$A$1000,0)+3),INDEX(Cards!$B$4:$B$1000,MATCH($B612,Cards!$A$4:$A$1000,0))),"ไม่พบ Card ID ในชีต Cards"))</f>
        <v/>
      </c>
      <c r="D612" s="68" t="str">
        <f>IF(TRIM($B612)="","",IFERROR(INDEX(Cards!$M$4:$M$1000,MATCH($B612,Cards!$A$4:$A$1000,0))&amp;"","-"))</f>
        <v/>
      </c>
    </row>
    <row r="613" spans="3:4" x14ac:dyDescent="0.3">
      <c r="C613" s="68" t="str">
        <f>IF(TRIM($B613)="","",IFERROR(HYPERLINK("#'Cards'!A"&amp;(MATCH($B613,Cards!$A$4:$A$1000,0)+3),INDEX(Cards!$B$4:$B$1000,MATCH($B613,Cards!$A$4:$A$1000,0))),"ไม่พบ Card ID ในชีต Cards"))</f>
        <v/>
      </c>
      <c r="D613" s="68" t="str">
        <f>IF(TRIM($B613)="","",IFERROR(INDEX(Cards!$M$4:$M$1000,MATCH($B613,Cards!$A$4:$A$1000,0))&amp;"","-"))</f>
        <v/>
      </c>
    </row>
    <row r="614" spans="3:4" x14ac:dyDescent="0.3">
      <c r="C614" s="68" t="str">
        <f>IF(TRIM($B614)="","",IFERROR(HYPERLINK("#'Cards'!A"&amp;(MATCH($B614,Cards!$A$4:$A$1000,0)+3),INDEX(Cards!$B$4:$B$1000,MATCH($B614,Cards!$A$4:$A$1000,0))),"ไม่พบ Card ID ในชีต Cards"))</f>
        <v/>
      </c>
      <c r="D614" s="68" t="str">
        <f>IF(TRIM($B614)="","",IFERROR(INDEX(Cards!$M$4:$M$1000,MATCH($B614,Cards!$A$4:$A$1000,0))&amp;"","-"))</f>
        <v/>
      </c>
    </row>
    <row r="615" spans="3:4" x14ac:dyDescent="0.3">
      <c r="C615" s="68" t="str">
        <f>IF(TRIM($B615)="","",IFERROR(HYPERLINK("#'Cards'!A"&amp;(MATCH($B615,Cards!$A$4:$A$1000,0)+3),INDEX(Cards!$B$4:$B$1000,MATCH($B615,Cards!$A$4:$A$1000,0))),"ไม่พบ Card ID ในชีต Cards"))</f>
        <v/>
      </c>
      <c r="D615" s="68" t="str">
        <f>IF(TRIM($B615)="","",IFERROR(INDEX(Cards!$M$4:$M$1000,MATCH($B615,Cards!$A$4:$A$1000,0))&amp;"","-"))</f>
        <v/>
      </c>
    </row>
    <row r="616" spans="3:4" x14ac:dyDescent="0.3">
      <c r="C616" s="68" t="str">
        <f>IF(TRIM($B616)="","",IFERROR(HYPERLINK("#'Cards'!A"&amp;(MATCH($B616,Cards!$A$4:$A$1000,0)+3),INDEX(Cards!$B$4:$B$1000,MATCH($B616,Cards!$A$4:$A$1000,0))),"ไม่พบ Card ID ในชีต Cards"))</f>
        <v/>
      </c>
      <c r="D616" s="68" t="str">
        <f>IF(TRIM($B616)="","",IFERROR(INDEX(Cards!$M$4:$M$1000,MATCH($B616,Cards!$A$4:$A$1000,0))&amp;"","-"))</f>
        <v/>
      </c>
    </row>
    <row r="617" spans="3:4" x14ac:dyDescent="0.3">
      <c r="C617" s="68" t="str">
        <f>IF(TRIM($B617)="","",IFERROR(HYPERLINK("#'Cards'!A"&amp;(MATCH($B617,Cards!$A$4:$A$1000,0)+3),INDEX(Cards!$B$4:$B$1000,MATCH($B617,Cards!$A$4:$A$1000,0))),"ไม่พบ Card ID ในชีต Cards"))</f>
        <v/>
      </c>
      <c r="D617" s="68" t="str">
        <f>IF(TRIM($B617)="","",IFERROR(INDEX(Cards!$M$4:$M$1000,MATCH($B617,Cards!$A$4:$A$1000,0))&amp;"","-"))</f>
        <v/>
      </c>
    </row>
    <row r="618" spans="3:4" x14ac:dyDescent="0.3">
      <c r="C618" s="68" t="str">
        <f>IF(TRIM($B618)="","",IFERROR(HYPERLINK("#'Cards'!A"&amp;(MATCH($B618,Cards!$A$4:$A$1000,0)+3),INDEX(Cards!$B$4:$B$1000,MATCH($B618,Cards!$A$4:$A$1000,0))),"ไม่พบ Card ID ในชีต Cards"))</f>
        <v/>
      </c>
      <c r="D618" s="68" t="str">
        <f>IF(TRIM($B618)="","",IFERROR(INDEX(Cards!$M$4:$M$1000,MATCH($B618,Cards!$A$4:$A$1000,0))&amp;"","-"))</f>
        <v/>
      </c>
    </row>
    <row r="619" spans="3:4" x14ac:dyDescent="0.3">
      <c r="C619" s="68" t="str">
        <f>IF(TRIM($B619)="","",IFERROR(HYPERLINK("#'Cards'!A"&amp;(MATCH($B619,Cards!$A$4:$A$1000,0)+3),INDEX(Cards!$B$4:$B$1000,MATCH($B619,Cards!$A$4:$A$1000,0))),"ไม่พบ Card ID ในชีต Cards"))</f>
        <v/>
      </c>
      <c r="D619" s="68" t="str">
        <f>IF(TRIM($B619)="","",IFERROR(INDEX(Cards!$M$4:$M$1000,MATCH($B619,Cards!$A$4:$A$1000,0))&amp;"","-"))</f>
        <v/>
      </c>
    </row>
    <row r="620" spans="3:4" x14ac:dyDescent="0.3">
      <c r="C620" s="68" t="str">
        <f>IF(TRIM($B620)="","",IFERROR(HYPERLINK("#'Cards'!A"&amp;(MATCH($B620,Cards!$A$4:$A$1000,0)+3),INDEX(Cards!$B$4:$B$1000,MATCH($B620,Cards!$A$4:$A$1000,0))),"ไม่พบ Card ID ในชีต Cards"))</f>
        <v/>
      </c>
      <c r="D620" s="68" t="str">
        <f>IF(TRIM($B620)="","",IFERROR(INDEX(Cards!$M$4:$M$1000,MATCH($B620,Cards!$A$4:$A$1000,0))&amp;"","-"))</f>
        <v/>
      </c>
    </row>
    <row r="621" spans="3:4" x14ac:dyDescent="0.3">
      <c r="C621" s="68" t="str">
        <f>IF(TRIM($B621)="","",IFERROR(HYPERLINK("#'Cards'!A"&amp;(MATCH($B621,Cards!$A$4:$A$1000,0)+3),INDEX(Cards!$B$4:$B$1000,MATCH($B621,Cards!$A$4:$A$1000,0))),"ไม่พบ Card ID ในชีต Cards"))</f>
        <v/>
      </c>
      <c r="D621" s="68" t="str">
        <f>IF(TRIM($B621)="","",IFERROR(INDEX(Cards!$M$4:$M$1000,MATCH($B621,Cards!$A$4:$A$1000,0))&amp;"","-"))</f>
        <v/>
      </c>
    </row>
    <row r="622" spans="3:4" x14ac:dyDescent="0.3">
      <c r="C622" s="68" t="str">
        <f>IF(TRIM($B622)="","",IFERROR(HYPERLINK("#'Cards'!A"&amp;(MATCH($B622,Cards!$A$4:$A$1000,0)+3),INDEX(Cards!$B$4:$B$1000,MATCH($B622,Cards!$A$4:$A$1000,0))),"ไม่พบ Card ID ในชีต Cards"))</f>
        <v/>
      </c>
      <c r="D622" s="68" t="str">
        <f>IF(TRIM($B622)="","",IFERROR(INDEX(Cards!$M$4:$M$1000,MATCH($B622,Cards!$A$4:$A$1000,0))&amp;"","-"))</f>
        <v/>
      </c>
    </row>
    <row r="623" spans="3:4" x14ac:dyDescent="0.3">
      <c r="C623" s="68" t="str">
        <f>IF(TRIM($B623)="","",IFERROR(HYPERLINK("#'Cards'!A"&amp;(MATCH($B623,Cards!$A$4:$A$1000,0)+3),INDEX(Cards!$B$4:$B$1000,MATCH($B623,Cards!$A$4:$A$1000,0))),"ไม่พบ Card ID ในชีต Cards"))</f>
        <v/>
      </c>
      <c r="D623" s="68" t="str">
        <f>IF(TRIM($B623)="","",IFERROR(INDEX(Cards!$M$4:$M$1000,MATCH($B623,Cards!$A$4:$A$1000,0))&amp;"","-"))</f>
        <v/>
      </c>
    </row>
    <row r="624" spans="3:4" x14ac:dyDescent="0.3">
      <c r="C624" s="68" t="str">
        <f>IF(TRIM($B624)="","",IFERROR(HYPERLINK("#'Cards'!A"&amp;(MATCH($B624,Cards!$A$4:$A$1000,0)+3),INDEX(Cards!$B$4:$B$1000,MATCH($B624,Cards!$A$4:$A$1000,0))),"ไม่พบ Card ID ในชีต Cards"))</f>
        <v/>
      </c>
      <c r="D624" s="68" t="str">
        <f>IF(TRIM($B624)="","",IFERROR(INDEX(Cards!$M$4:$M$1000,MATCH($B624,Cards!$A$4:$A$1000,0))&amp;"","-"))</f>
        <v/>
      </c>
    </row>
    <row r="625" spans="3:4" x14ac:dyDescent="0.3">
      <c r="C625" s="68" t="str">
        <f>IF(TRIM($B625)="","",IFERROR(HYPERLINK("#'Cards'!A"&amp;(MATCH($B625,Cards!$A$4:$A$1000,0)+3),INDEX(Cards!$B$4:$B$1000,MATCH($B625,Cards!$A$4:$A$1000,0))),"ไม่พบ Card ID ในชีต Cards"))</f>
        <v/>
      </c>
      <c r="D625" s="68" t="str">
        <f>IF(TRIM($B625)="","",IFERROR(INDEX(Cards!$M$4:$M$1000,MATCH($B625,Cards!$A$4:$A$1000,0))&amp;"","-"))</f>
        <v/>
      </c>
    </row>
    <row r="626" spans="3:4" x14ac:dyDescent="0.3">
      <c r="C626" s="68" t="str">
        <f>IF(TRIM($B626)="","",IFERROR(HYPERLINK("#'Cards'!A"&amp;(MATCH($B626,Cards!$A$4:$A$1000,0)+3),INDEX(Cards!$B$4:$B$1000,MATCH($B626,Cards!$A$4:$A$1000,0))),"ไม่พบ Card ID ในชีต Cards"))</f>
        <v/>
      </c>
      <c r="D626" s="68" t="str">
        <f>IF(TRIM($B626)="","",IFERROR(INDEX(Cards!$M$4:$M$1000,MATCH($B626,Cards!$A$4:$A$1000,0))&amp;"","-"))</f>
        <v/>
      </c>
    </row>
    <row r="627" spans="3:4" x14ac:dyDescent="0.3">
      <c r="C627" s="68" t="str">
        <f>IF(TRIM($B627)="","",IFERROR(HYPERLINK("#'Cards'!A"&amp;(MATCH($B627,Cards!$A$4:$A$1000,0)+3),INDEX(Cards!$B$4:$B$1000,MATCH($B627,Cards!$A$4:$A$1000,0))),"ไม่พบ Card ID ในชีต Cards"))</f>
        <v/>
      </c>
      <c r="D627" s="68" t="str">
        <f>IF(TRIM($B627)="","",IFERROR(INDEX(Cards!$M$4:$M$1000,MATCH($B627,Cards!$A$4:$A$1000,0))&amp;"","-"))</f>
        <v/>
      </c>
    </row>
    <row r="628" spans="3:4" x14ac:dyDescent="0.3">
      <c r="C628" s="68" t="str">
        <f>IF(TRIM($B628)="","",IFERROR(HYPERLINK("#'Cards'!A"&amp;(MATCH($B628,Cards!$A$4:$A$1000,0)+3),INDEX(Cards!$B$4:$B$1000,MATCH($B628,Cards!$A$4:$A$1000,0))),"ไม่พบ Card ID ในชีต Cards"))</f>
        <v/>
      </c>
      <c r="D628" s="68" t="str">
        <f>IF(TRIM($B628)="","",IFERROR(INDEX(Cards!$M$4:$M$1000,MATCH($B628,Cards!$A$4:$A$1000,0))&amp;"","-"))</f>
        <v/>
      </c>
    </row>
    <row r="629" spans="3:4" x14ac:dyDescent="0.3">
      <c r="C629" s="68" t="str">
        <f>IF(TRIM($B629)="","",IFERROR(HYPERLINK("#'Cards'!A"&amp;(MATCH($B629,Cards!$A$4:$A$1000,0)+3),INDEX(Cards!$B$4:$B$1000,MATCH($B629,Cards!$A$4:$A$1000,0))),"ไม่พบ Card ID ในชีต Cards"))</f>
        <v/>
      </c>
      <c r="D629" s="68" t="str">
        <f>IF(TRIM($B629)="","",IFERROR(INDEX(Cards!$M$4:$M$1000,MATCH($B629,Cards!$A$4:$A$1000,0))&amp;"","-"))</f>
        <v/>
      </c>
    </row>
    <row r="630" spans="3:4" x14ac:dyDescent="0.3">
      <c r="C630" s="68" t="str">
        <f>IF(TRIM($B630)="","",IFERROR(HYPERLINK("#'Cards'!A"&amp;(MATCH($B630,Cards!$A$4:$A$1000,0)+3),INDEX(Cards!$B$4:$B$1000,MATCH($B630,Cards!$A$4:$A$1000,0))),"ไม่พบ Card ID ในชีต Cards"))</f>
        <v/>
      </c>
      <c r="D630" s="68" t="str">
        <f>IF(TRIM($B630)="","",IFERROR(INDEX(Cards!$M$4:$M$1000,MATCH($B630,Cards!$A$4:$A$1000,0))&amp;"","-"))</f>
        <v/>
      </c>
    </row>
    <row r="631" spans="3:4" x14ac:dyDescent="0.3">
      <c r="C631" s="68" t="str">
        <f>IF(TRIM($B631)="","",IFERROR(HYPERLINK("#'Cards'!A"&amp;(MATCH($B631,Cards!$A$4:$A$1000,0)+3),INDEX(Cards!$B$4:$B$1000,MATCH($B631,Cards!$A$4:$A$1000,0))),"ไม่พบ Card ID ในชีต Cards"))</f>
        <v/>
      </c>
      <c r="D631" s="68" t="str">
        <f>IF(TRIM($B631)="","",IFERROR(INDEX(Cards!$M$4:$M$1000,MATCH($B631,Cards!$A$4:$A$1000,0))&amp;"","-"))</f>
        <v/>
      </c>
    </row>
    <row r="632" spans="3:4" x14ac:dyDescent="0.3">
      <c r="C632" s="68" t="str">
        <f>IF(TRIM($B632)="","",IFERROR(HYPERLINK("#'Cards'!A"&amp;(MATCH($B632,Cards!$A$4:$A$1000,0)+3),INDEX(Cards!$B$4:$B$1000,MATCH($B632,Cards!$A$4:$A$1000,0))),"ไม่พบ Card ID ในชีต Cards"))</f>
        <v/>
      </c>
      <c r="D632" s="68" t="str">
        <f>IF(TRIM($B632)="","",IFERROR(INDEX(Cards!$M$4:$M$1000,MATCH($B632,Cards!$A$4:$A$1000,0))&amp;"","-"))</f>
        <v/>
      </c>
    </row>
    <row r="633" spans="3:4" x14ac:dyDescent="0.3">
      <c r="C633" s="68" t="str">
        <f>IF(TRIM($B633)="","",IFERROR(HYPERLINK("#'Cards'!A"&amp;(MATCH($B633,Cards!$A$4:$A$1000,0)+3),INDEX(Cards!$B$4:$B$1000,MATCH($B633,Cards!$A$4:$A$1000,0))),"ไม่พบ Card ID ในชีต Cards"))</f>
        <v/>
      </c>
      <c r="D633" s="68" t="str">
        <f>IF(TRIM($B633)="","",IFERROR(INDEX(Cards!$M$4:$M$1000,MATCH($B633,Cards!$A$4:$A$1000,0))&amp;"","-"))</f>
        <v/>
      </c>
    </row>
    <row r="634" spans="3:4" x14ac:dyDescent="0.3">
      <c r="C634" s="68" t="str">
        <f>IF(TRIM($B634)="","",IFERROR(HYPERLINK("#'Cards'!A"&amp;(MATCH($B634,Cards!$A$4:$A$1000,0)+3),INDEX(Cards!$B$4:$B$1000,MATCH($B634,Cards!$A$4:$A$1000,0))),"ไม่พบ Card ID ในชีต Cards"))</f>
        <v/>
      </c>
      <c r="D634" s="68" t="str">
        <f>IF(TRIM($B634)="","",IFERROR(INDEX(Cards!$M$4:$M$1000,MATCH($B634,Cards!$A$4:$A$1000,0))&amp;"","-"))</f>
        <v/>
      </c>
    </row>
    <row r="635" spans="3:4" x14ac:dyDescent="0.3">
      <c r="C635" s="68" t="str">
        <f>IF(TRIM($B635)="","",IFERROR(HYPERLINK("#'Cards'!A"&amp;(MATCH($B635,Cards!$A$4:$A$1000,0)+3),INDEX(Cards!$B$4:$B$1000,MATCH($B635,Cards!$A$4:$A$1000,0))),"ไม่พบ Card ID ในชีต Cards"))</f>
        <v/>
      </c>
      <c r="D635" s="68" t="str">
        <f>IF(TRIM($B635)="","",IFERROR(INDEX(Cards!$M$4:$M$1000,MATCH($B635,Cards!$A$4:$A$1000,0))&amp;"","-"))</f>
        <v/>
      </c>
    </row>
    <row r="636" spans="3:4" x14ac:dyDescent="0.3">
      <c r="C636" s="68" t="str">
        <f>IF(TRIM($B636)="","",IFERROR(HYPERLINK("#'Cards'!A"&amp;(MATCH($B636,Cards!$A$4:$A$1000,0)+3),INDEX(Cards!$B$4:$B$1000,MATCH($B636,Cards!$A$4:$A$1000,0))),"ไม่พบ Card ID ในชีต Cards"))</f>
        <v/>
      </c>
      <c r="D636" s="68" t="str">
        <f>IF(TRIM($B636)="","",IFERROR(INDEX(Cards!$M$4:$M$1000,MATCH($B636,Cards!$A$4:$A$1000,0))&amp;"","-"))</f>
        <v/>
      </c>
    </row>
    <row r="637" spans="3:4" x14ac:dyDescent="0.3">
      <c r="C637" s="68" t="str">
        <f>IF(TRIM($B637)="","",IFERROR(HYPERLINK("#'Cards'!A"&amp;(MATCH($B637,Cards!$A$4:$A$1000,0)+3),INDEX(Cards!$B$4:$B$1000,MATCH($B637,Cards!$A$4:$A$1000,0))),"ไม่พบ Card ID ในชีต Cards"))</f>
        <v/>
      </c>
      <c r="D637" s="68" t="str">
        <f>IF(TRIM($B637)="","",IFERROR(INDEX(Cards!$M$4:$M$1000,MATCH($B637,Cards!$A$4:$A$1000,0))&amp;"","-"))</f>
        <v/>
      </c>
    </row>
    <row r="638" spans="3:4" x14ac:dyDescent="0.3">
      <c r="C638" s="68" t="str">
        <f>IF(TRIM($B638)="","",IFERROR(HYPERLINK("#'Cards'!A"&amp;(MATCH($B638,Cards!$A$4:$A$1000,0)+3),INDEX(Cards!$B$4:$B$1000,MATCH($B638,Cards!$A$4:$A$1000,0))),"ไม่พบ Card ID ในชีต Cards"))</f>
        <v/>
      </c>
      <c r="D638" s="68" t="str">
        <f>IF(TRIM($B638)="","",IFERROR(INDEX(Cards!$M$4:$M$1000,MATCH($B638,Cards!$A$4:$A$1000,0))&amp;"","-"))</f>
        <v/>
      </c>
    </row>
    <row r="639" spans="3:4" x14ac:dyDescent="0.3">
      <c r="C639" s="68" t="str">
        <f>IF(TRIM($B639)="","",IFERROR(HYPERLINK("#'Cards'!A"&amp;(MATCH($B639,Cards!$A$4:$A$1000,0)+3),INDEX(Cards!$B$4:$B$1000,MATCH($B639,Cards!$A$4:$A$1000,0))),"ไม่พบ Card ID ในชีต Cards"))</f>
        <v/>
      </c>
      <c r="D639" s="68" t="str">
        <f>IF(TRIM($B639)="","",IFERROR(INDEX(Cards!$M$4:$M$1000,MATCH($B639,Cards!$A$4:$A$1000,0))&amp;"","-"))</f>
        <v/>
      </c>
    </row>
    <row r="640" spans="3:4" x14ac:dyDescent="0.3">
      <c r="C640" s="68" t="str">
        <f>IF(TRIM($B640)="","",IFERROR(HYPERLINK("#'Cards'!A"&amp;(MATCH($B640,Cards!$A$4:$A$1000,0)+3),INDEX(Cards!$B$4:$B$1000,MATCH($B640,Cards!$A$4:$A$1000,0))),"ไม่พบ Card ID ในชีต Cards"))</f>
        <v/>
      </c>
      <c r="D640" s="68" t="str">
        <f>IF(TRIM($B640)="","",IFERROR(INDEX(Cards!$M$4:$M$1000,MATCH($B640,Cards!$A$4:$A$1000,0))&amp;"","-"))</f>
        <v/>
      </c>
    </row>
    <row r="641" spans="3:4" x14ac:dyDescent="0.3">
      <c r="C641" s="68" t="str">
        <f>IF(TRIM($B641)="","",IFERROR(HYPERLINK("#'Cards'!A"&amp;(MATCH($B641,Cards!$A$4:$A$1000,0)+3),INDEX(Cards!$B$4:$B$1000,MATCH($B641,Cards!$A$4:$A$1000,0))),"ไม่พบ Card ID ในชีต Cards"))</f>
        <v/>
      </c>
      <c r="D641" s="68" t="str">
        <f>IF(TRIM($B641)="","",IFERROR(INDEX(Cards!$M$4:$M$1000,MATCH($B641,Cards!$A$4:$A$1000,0))&amp;"","-"))</f>
        <v/>
      </c>
    </row>
    <row r="642" spans="3:4" x14ac:dyDescent="0.3">
      <c r="C642" s="68" t="str">
        <f>IF(TRIM($B642)="","",IFERROR(HYPERLINK("#'Cards'!A"&amp;(MATCH($B642,Cards!$A$4:$A$1000,0)+3),INDEX(Cards!$B$4:$B$1000,MATCH($B642,Cards!$A$4:$A$1000,0))),"ไม่พบ Card ID ในชีต Cards"))</f>
        <v/>
      </c>
      <c r="D642" s="68" t="str">
        <f>IF(TRIM($B642)="","",IFERROR(INDEX(Cards!$M$4:$M$1000,MATCH($B642,Cards!$A$4:$A$1000,0))&amp;"","-"))</f>
        <v/>
      </c>
    </row>
    <row r="643" spans="3:4" x14ac:dyDescent="0.3">
      <c r="C643" s="68" t="str">
        <f>IF(TRIM($B643)="","",IFERROR(HYPERLINK("#'Cards'!A"&amp;(MATCH($B643,Cards!$A$4:$A$1000,0)+3),INDEX(Cards!$B$4:$B$1000,MATCH($B643,Cards!$A$4:$A$1000,0))),"ไม่พบ Card ID ในชีต Cards"))</f>
        <v/>
      </c>
      <c r="D643" s="68" t="str">
        <f>IF(TRIM($B643)="","",IFERROR(INDEX(Cards!$M$4:$M$1000,MATCH($B643,Cards!$A$4:$A$1000,0))&amp;"","-"))</f>
        <v/>
      </c>
    </row>
    <row r="644" spans="3:4" x14ac:dyDescent="0.3">
      <c r="C644" s="68" t="str">
        <f>IF(TRIM($B644)="","",IFERROR(HYPERLINK("#'Cards'!A"&amp;(MATCH($B644,Cards!$A$4:$A$1000,0)+3),INDEX(Cards!$B$4:$B$1000,MATCH($B644,Cards!$A$4:$A$1000,0))),"ไม่พบ Card ID ในชีต Cards"))</f>
        <v/>
      </c>
      <c r="D644" s="68" t="str">
        <f>IF(TRIM($B644)="","",IFERROR(INDEX(Cards!$M$4:$M$1000,MATCH($B644,Cards!$A$4:$A$1000,0))&amp;"","-"))</f>
        <v/>
      </c>
    </row>
    <row r="645" spans="3:4" x14ac:dyDescent="0.3">
      <c r="C645" s="68" t="str">
        <f>IF(TRIM($B645)="","",IFERROR(HYPERLINK("#'Cards'!A"&amp;(MATCH($B645,Cards!$A$4:$A$1000,0)+3),INDEX(Cards!$B$4:$B$1000,MATCH($B645,Cards!$A$4:$A$1000,0))),"ไม่พบ Card ID ในชีต Cards"))</f>
        <v/>
      </c>
      <c r="D645" s="68" t="str">
        <f>IF(TRIM($B645)="","",IFERROR(INDEX(Cards!$M$4:$M$1000,MATCH($B645,Cards!$A$4:$A$1000,0))&amp;"","-"))</f>
        <v/>
      </c>
    </row>
    <row r="646" spans="3:4" x14ac:dyDescent="0.3">
      <c r="C646" s="68" t="str">
        <f>IF(TRIM($B646)="","",IFERROR(HYPERLINK("#'Cards'!A"&amp;(MATCH($B646,Cards!$A$4:$A$1000,0)+3),INDEX(Cards!$B$4:$B$1000,MATCH($B646,Cards!$A$4:$A$1000,0))),"ไม่พบ Card ID ในชีต Cards"))</f>
        <v/>
      </c>
      <c r="D646" s="68" t="str">
        <f>IF(TRIM($B646)="","",IFERROR(INDEX(Cards!$M$4:$M$1000,MATCH($B646,Cards!$A$4:$A$1000,0))&amp;"","-"))</f>
        <v/>
      </c>
    </row>
    <row r="647" spans="3:4" x14ac:dyDescent="0.3">
      <c r="C647" s="68" t="str">
        <f>IF(TRIM($B647)="","",IFERROR(HYPERLINK("#'Cards'!A"&amp;(MATCH($B647,Cards!$A$4:$A$1000,0)+3),INDEX(Cards!$B$4:$B$1000,MATCH($B647,Cards!$A$4:$A$1000,0))),"ไม่พบ Card ID ในชีต Cards"))</f>
        <v/>
      </c>
      <c r="D647" s="68" t="str">
        <f>IF(TRIM($B647)="","",IFERROR(INDEX(Cards!$M$4:$M$1000,MATCH($B647,Cards!$A$4:$A$1000,0))&amp;"","-"))</f>
        <v/>
      </c>
    </row>
    <row r="648" spans="3:4" x14ac:dyDescent="0.3">
      <c r="C648" s="68" t="str">
        <f>IF(TRIM($B648)="","",IFERROR(HYPERLINK("#'Cards'!A"&amp;(MATCH($B648,Cards!$A$4:$A$1000,0)+3),INDEX(Cards!$B$4:$B$1000,MATCH($B648,Cards!$A$4:$A$1000,0))),"ไม่พบ Card ID ในชีต Cards"))</f>
        <v/>
      </c>
      <c r="D648" s="68" t="str">
        <f>IF(TRIM($B648)="","",IFERROR(INDEX(Cards!$M$4:$M$1000,MATCH($B648,Cards!$A$4:$A$1000,0))&amp;"","-"))</f>
        <v/>
      </c>
    </row>
    <row r="649" spans="3:4" x14ac:dyDescent="0.3">
      <c r="C649" s="68" t="str">
        <f>IF(TRIM($B649)="","",IFERROR(HYPERLINK("#'Cards'!A"&amp;(MATCH($B649,Cards!$A$4:$A$1000,0)+3),INDEX(Cards!$B$4:$B$1000,MATCH($B649,Cards!$A$4:$A$1000,0))),"ไม่พบ Card ID ในชีต Cards"))</f>
        <v/>
      </c>
      <c r="D649" s="68" t="str">
        <f>IF(TRIM($B649)="","",IFERROR(INDEX(Cards!$M$4:$M$1000,MATCH($B649,Cards!$A$4:$A$1000,0))&amp;"","-"))</f>
        <v/>
      </c>
    </row>
    <row r="650" spans="3:4" x14ac:dyDescent="0.3">
      <c r="C650" s="68" t="str">
        <f>IF(TRIM($B650)="","",IFERROR(HYPERLINK("#'Cards'!A"&amp;(MATCH($B650,Cards!$A$4:$A$1000,0)+3),INDEX(Cards!$B$4:$B$1000,MATCH($B650,Cards!$A$4:$A$1000,0))),"ไม่พบ Card ID ในชีต Cards"))</f>
        <v/>
      </c>
      <c r="D650" s="68" t="str">
        <f>IF(TRIM($B650)="","",IFERROR(INDEX(Cards!$M$4:$M$1000,MATCH($B650,Cards!$A$4:$A$1000,0))&amp;"","-"))</f>
        <v/>
      </c>
    </row>
    <row r="651" spans="3:4" x14ac:dyDescent="0.3">
      <c r="C651" s="68" t="str">
        <f>IF(TRIM($B651)="","",IFERROR(HYPERLINK("#'Cards'!A"&amp;(MATCH($B651,Cards!$A$4:$A$1000,0)+3),INDEX(Cards!$B$4:$B$1000,MATCH($B651,Cards!$A$4:$A$1000,0))),"ไม่พบ Card ID ในชีต Cards"))</f>
        <v/>
      </c>
      <c r="D651" s="68" t="str">
        <f>IF(TRIM($B651)="","",IFERROR(INDEX(Cards!$M$4:$M$1000,MATCH($B651,Cards!$A$4:$A$1000,0))&amp;"","-"))</f>
        <v/>
      </c>
    </row>
    <row r="652" spans="3:4" x14ac:dyDescent="0.3">
      <c r="C652" s="68" t="str">
        <f>IF(TRIM($B652)="","",IFERROR(HYPERLINK("#'Cards'!A"&amp;(MATCH($B652,Cards!$A$4:$A$1000,0)+3),INDEX(Cards!$B$4:$B$1000,MATCH($B652,Cards!$A$4:$A$1000,0))),"ไม่พบ Card ID ในชีต Cards"))</f>
        <v/>
      </c>
      <c r="D652" s="68" t="str">
        <f>IF(TRIM($B652)="","",IFERROR(INDEX(Cards!$M$4:$M$1000,MATCH($B652,Cards!$A$4:$A$1000,0))&amp;"","-"))</f>
        <v/>
      </c>
    </row>
    <row r="653" spans="3:4" x14ac:dyDescent="0.3">
      <c r="C653" s="68" t="str">
        <f>IF(TRIM($B653)="","",IFERROR(HYPERLINK("#'Cards'!A"&amp;(MATCH($B653,Cards!$A$4:$A$1000,0)+3),INDEX(Cards!$B$4:$B$1000,MATCH($B653,Cards!$A$4:$A$1000,0))),"ไม่พบ Card ID ในชีต Cards"))</f>
        <v/>
      </c>
      <c r="D653" s="68" t="str">
        <f>IF(TRIM($B653)="","",IFERROR(INDEX(Cards!$M$4:$M$1000,MATCH($B653,Cards!$A$4:$A$1000,0))&amp;"","-"))</f>
        <v/>
      </c>
    </row>
    <row r="654" spans="3:4" x14ac:dyDescent="0.3">
      <c r="C654" s="68" t="str">
        <f>IF(TRIM($B654)="","",IFERROR(HYPERLINK("#'Cards'!A"&amp;(MATCH($B654,Cards!$A$4:$A$1000,0)+3),INDEX(Cards!$B$4:$B$1000,MATCH($B654,Cards!$A$4:$A$1000,0))),"ไม่พบ Card ID ในชีต Cards"))</f>
        <v/>
      </c>
      <c r="D654" s="68" t="str">
        <f>IF(TRIM($B654)="","",IFERROR(INDEX(Cards!$M$4:$M$1000,MATCH($B654,Cards!$A$4:$A$1000,0))&amp;"","-"))</f>
        <v/>
      </c>
    </row>
    <row r="655" spans="3:4" x14ac:dyDescent="0.3">
      <c r="C655" s="68" t="str">
        <f>IF(TRIM($B655)="","",IFERROR(HYPERLINK("#'Cards'!A"&amp;(MATCH($B655,Cards!$A$4:$A$1000,0)+3),INDEX(Cards!$B$4:$B$1000,MATCH($B655,Cards!$A$4:$A$1000,0))),"ไม่พบ Card ID ในชีต Cards"))</f>
        <v/>
      </c>
      <c r="D655" s="68" t="str">
        <f>IF(TRIM($B655)="","",IFERROR(INDEX(Cards!$M$4:$M$1000,MATCH($B655,Cards!$A$4:$A$1000,0))&amp;"","-"))</f>
        <v/>
      </c>
    </row>
    <row r="656" spans="3:4" x14ac:dyDescent="0.3">
      <c r="C656" s="68" t="str">
        <f>IF(TRIM($B656)="","",IFERROR(HYPERLINK("#'Cards'!A"&amp;(MATCH($B656,Cards!$A$4:$A$1000,0)+3),INDEX(Cards!$B$4:$B$1000,MATCH($B656,Cards!$A$4:$A$1000,0))),"ไม่พบ Card ID ในชีต Cards"))</f>
        <v/>
      </c>
      <c r="D656" s="68" t="str">
        <f>IF(TRIM($B656)="","",IFERROR(INDEX(Cards!$M$4:$M$1000,MATCH($B656,Cards!$A$4:$A$1000,0))&amp;"","-"))</f>
        <v/>
      </c>
    </row>
    <row r="657" spans="3:4" x14ac:dyDescent="0.3">
      <c r="C657" s="68" t="str">
        <f>IF(TRIM($B657)="","",IFERROR(HYPERLINK("#'Cards'!A"&amp;(MATCH($B657,Cards!$A$4:$A$1000,0)+3),INDEX(Cards!$B$4:$B$1000,MATCH($B657,Cards!$A$4:$A$1000,0))),"ไม่พบ Card ID ในชีต Cards"))</f>
        <v/>
      </c>
      <c r="D657" s="68" t="str">
        <f>IF(TRIM($B657)="","",IFERROR(INDEX(Cards!$M$4:$M$1000,MATCH($B657,Cards!$A$4:$A$1000,0))&amp;"","-"))</f>
        <v/>
      </c>
    </row>
    <row r="658" spans="3:4" x14ac:dyDescent="0.3">
      <c r="C658" s="68" t="str">
        <f>IF(TRIM($B658)="","",IFERROR(HYPERLINK("#'Cards'!A"&amp;(MATCH($B658,Cards!$A$4:$A$1000,0)+3),INDEX(Cards!$B$4:$B$1000,MATCH($B658,Cards!$A$4:$A$1000,0))),"ไม่พบ Card ID ในชีต Cards"))</f>
        <v/>
      </c>
      <c r="D658" s="68" t="str">
        <f>IF(TRIM($B658)="","",IFERROR(INDEX(Cards!$M$4:$M$1000,MATCH($B658,Cards!$A$4:$A$1000,0))&amp;"","-"))</f>
        <v/>
      </c>
    </row>
    <row r="659" spans="3:4" x14ac:dyDescent="0.3">
      <c r="C659" s="68" t="str">
        <f>IF(TRIM($B659)="","",IFERROR(HYPERLINK("#'Cards'!A"&amp;(MATCH($B659,Cards!$A$4:$A$1000,0)+3),INDEX(Cards!$B$4:$B$1000,MATCH($B659,Cards!$A$4:$A$1000,0))),"ไม่พบ Card ID ในชีต Cards"))</f>
        <v/>
      </c>
      <c r="D659" s="68" t="str">
        <f>IF(TRIM($B659)="","",IFERROR(INDEX(Cards!$M$4:$M$1000,MATCH($B659,Cards!$A$4:$A$1000,0))&amp;"","-"))</f>
        <v/>
      </c>
    </row>
    <row r="660" spans="3:4" x14ac:dyDescent="0.3">
      <c r="C660" s="68" t="str">
        <f>IF(TRIM($B660)="","",IFERROR(HYPERLINK("#'Cards'!A"&amp;(MATCH($B660,Cards!$A$4:$A$1000,0)+3),INDEX(Cards!$B$4:$B$1000,MATCH($B660,Cards!$A$4:$A$1000,0))),"ไม่พบ Card ID ในชีต Cards"))</f>
        <v/>
      </c>
      <c r="D660" s="68" t="str">
        <f>IF(TRIM($B660)="","",IFERROR(INDEX(Cards!$M$4:$M$1000,MATCH($B660,Cards!$A$4:$A$1000,0))&amp;"","-"))</f>
        <v/>
      </c>
    </row>
    <row r="661" spans="3:4" x14ac:dyDescent="0.3">
      <c r="C661" s="68" t="str">
        <f>IF(TRIM($B661)="","",IFERROR(HYPERLINK("#'Cards'!A"&amp;(MATCH($B661,Cards!$A$4:$A$1000,0)+3),INDEX(Cards!$B$4:$B$1000,MATCH($B661,Cards!$A$4:$A$1000,0))),"ไม่พบ Card ID ในชีต Cards"))</f>
        <v/>
      </c>
      <c r="D661" s="68" t="str">
        <f>IF(TRIM($B661)="","",IFERROR(INDEX(Cards!$M$4:$M$1000,MATCH($B661,Cards!$A$4:$A$1000,0))&amp;"","-"))</f>
        <v/>
      </c>
    </row>
    <row r="662" spans="3:4" x14ac:dyDescent="0.3">
      <c r="C662" s="68" t="str">
        <f>IF(TRIM($B662)="","",IFERROR(HYPERLINK("#'Cards'!A"&amp;(MATCH($B662,Cards!$A$4:$A$1000,0)+3),INDEX(Cards!$B$4:$B$1000,MATCH($B662,Cards!$A$4:$A$1000,0))),"ไม่พบ Card ID ในชีต Cards"))</f>
        <v/>
      </c>
      <c r="D662" s="68" t="str">
        <f>IF(TRIM($B662)="","",IFERROR(INDEX(Cards!$M$4:$M$1000,MATCH($B662,Cards!$A$4:$A$1000,0))&amp;"","-"))</f>
        <v/>
      </c>
    </row>
    <row r="663" spans="3:4" x14ac:dyDescent="0.3">
      <c r="C663" s="68" t="str">
        <f>IF(TRIM($B663)="","",IFERROR(HYPERLINK("#'Cards'!A"&amp;(MATCH($B663,Cards!$A$4:$A$1000,0)+3),INDEX(Cards!$B$4:$B$1000,MATCH($B663,Cards!$A$4:$A$1000,0))),"ไม่พบ Card ID ในชีต Cards"))</f>
        <v/>
      </c>
      <c r="D663" s="68" t="str">
        <f>IF(TRIM($B663)="","",IFERROR(INDEX(Cards!$M$4:$M$1000,MATCH($B663,Cards!$A$4:$A$1000,0))&amp;"","-"))</f>
        <v/>
      </c>
    </row>
    <row r="664" spans="3:4" x14ac:dyDescent="0.3">
      <c r="C664" s="68" t="str">
        <f>IF(TRIM($B664)="","",IFERROR(HYPERLINK("#'Cards'!A"&amp;(MATCH($B664,Cards!$A$4:$A$1000,0)+3),INDEX(Cards!$B$4:$B$1000,MATCH($B664,Cards!$A$4:$A$1000,0))),"ไม่พบ Card ID ในชีต Cards"))</f>
        <v/>
      </c>
      <c r="D664" s="68" t="str">
        <f>IF(TRIM($B664)="","",IFERROR(INDEX(Cards!$M$4:$M$1000,MATCH($B664,Cards!$A$4:$A$1000,0))&amp;"","-"))</f>
        <v/>
      </c>
    </row>
    <row r="665" spans="3:4" x14ac:dyDescent="0.3">
      <c r="C665" s="68" t="str">
        <f>IF(TRIM($B665)="","",IFERROR(HYPERLINK("#'Cards'!A"&amp;(MATCH($B665,Cards!$A$4:$A$1000,0)+3),INDEX(Cards!$B$4:$B$1000,MATCH($B665,Cards!$A$4:$A$1000,0))),"ไม่พบ Card ID ในชีต Cards"))</f>
        <v/>
      </c>
      <c r="D665" s="68" t="str">
        <f>IF(TRIM($B665)="","",IFERROR(INDEX(Cards!$M$4:$M$1000,MATCH($B665,Cards!$A$4:$A$1000,0))&amp;"","-"))</f>
        <v/>
      </c>
    </row>
    <row r="666" spans="3:4" x14ac:dyDescent="0.3">
      <c r="C666" s="68" t="str">
        <f>IF(TRIM($B666)="","",IFERROR(HYPERLINK("#'Cards'!A"&amp;(MATCH($B666,Cards!$A$4:$A$1000,0)+3),INDEX(Cards!$B$4:$B$1000,MATCH($B666,Cards!$A$4:$A$1000,0))),"ไม่พบ Card ID ในชีต Cards"))</f>
        <v/>
      </c>
      <c r="D666" s="68" t="str">
        <f>IF(TRIM($B666)="","",IFERROR(INDEX(Cards!$M$4:$M$1000,MATCH($B666,Cards!$A$4:$A$1000,0))&amp;"","-"))</f>
        <v/>
      </c>
    </row>
    <row r="667" spans="3:4" x14ac:dyDescent="0.3">
      <c r="C667" s="68" t="str">
        <f>IF(TRIM($B667)="","",IFERROR(HYPERLINK("#'Cards'!A"&amp;(MATCH($B667,Cards!$A$4:$A$1000,0)+3),INDEX(Cards!$B$4:$B$1000,MATCH($B667,Cards!$A$4:$A$1000,0))),"ไม่พบ Card ID ในชีต Cards"))</f>
        <v/>
      </c>
      <c r="D667" s="68" t="str">
        <f>IF(TRIM($B667)="","",IFERROR(INDEX(Cards!$M$4:$M$1000,MATCH($B667,Cards!$A$4:$A$1000,0))&amp;"","-"))</f>
        <v/>
      </c>
    </row>
    <row r="668" spans="3:4" x14ac:dyDescent="0.3">
      <c r="C668" s="68" t="str">
        <f>IF(TRIM($B668)="","",IFERROR(HYPERLINK("#'Cards'!A"&amp;(MATCH($B668,Cards!$A$4:$A$1000,0)+3),INDEX(Cards!$B$4:$B$1000,MATCH($B668,Cards!$A$4:$A$1000,0))),"ไม่พบ Card ID ในชีต Cards"))</f>
        <v/>
      </c>
      <c r="D668" s="68" t="str">
        <f>IF(TRIM($B668)="","",IFERROR(INDEX(Cards!$M$4:$M$1000,MATCH($B668,Cards!$A$4:$A$1000,0))&amp;"","-"))</f>
        <v/>
      </c>
    </row>
    <row r="669" spans="3:4" x14ac:dyDescent="0.3">
      <c r="C669" s="68" t="str">
        <f>IF(TRIM($B669)="","",IFERROR(HYPERLINK("#'Cards'!A"&amp;(MATCH($B669,Cards!$A$4:$A$1000,0)+3),INDEX(Cards!$B$4:$B$1000,MATCH($B669,Cards!$A$4:$A$1000,0))),"ไม่พบ Card ID ในชีต Cards"))</f>
        <v/>
      </c>
      <c r="D669" s="68" t="str">
        <f>IF(TRIM($B669)="","",IFERROR(INDEX(Cards!$M$4:$M$1000,MATCH($B669,Cards!$A$4:$A$1000,0))&amp;"","-"))</f>
        <v/>
      </c>
    </row>
    <row r="670" spans="3:4" x14ac:dyDescent="0.3">
      <c r="C670" s="68" t="str">
        <f>IF(TRIM($B670)="","",IFERROR(HYPERLINK("#'Cards'!A"&amp;(MATCH($B670,Cards!$A$4:$A$1000,0)+3),INDEX(Cards!$B$4:$B$1000,MATCH($B670,Cards!$A$4:$A$1000,0))),"ไม่พบ Card ID ในชีต Cards"))</f>
        <v/>
      </c>
      <c r="D670" s="68" t="str">
        <f>IF(TRIM($B670)="","",IFERROR(INDEX(Cards!$M$4:$M$1000,MATCH($B670,Cards!$A$4:$A$1000,0))&amp;"","-"))</f>
        <v/>
      </c>
    </row>
    <row r="671" spans="3:4" x14ac:dyDescent="0.3">
      <c r="C671" s="68" t="str">
        <f>IF(TRIM($B671)="","",IFERROR(HYPERLINK("#'Cards'!A"&amp;(MATCH($B671,Cards!$A$4:$A$1000,0)+3),INDEX(Cards!$B$4:$B$1000,MATCH($B671,Cards!$A$4:$A$1000,0))),"ไม่พบ Card ID ในชีต Cards"))</f>
        <v/>
      </c>
      <c r="D671" s="68" t="str">
        <f>IF(TRIM($B671)="","",IFERROR(INDEX(Cards!$M$4:$M$1000,MATCH($B671,Cards!$A$4:$A$1000,0))&amp;"","-"))</f>
        <v/>
      </c>
    </row>
    <row r="672" spans="3:4" x14ac:dyDescent="0.3">
      <c r="C672" s="68" t="str">
        <f>IF(TRIM($B672)="","",IFERROR(HYPERLINK("#'Cards'!A"&amp;(MATCH($B672,Cards!$A$4:$A$1000,0)+3),INDEX(Cards!$B$4:$B$1000,MATCH($B672,Cards!$A$4:$A$1000,0))),"ไม่พบ Card ID ในชีต Cards"))</f>
        <v/>
      </c>
      <c r="D672" s="68" t="str">
        <f>IF(TRIM($B672)="","",IFERROR(INDEX(Cards!$M$4:$M$1000,MATCH($B672,Cards!$A$4:$A$1000,0))&amp;"","-"))</f>
        <v/>
      </c>
    </row>
    <row r="673" spans="3:4" x14ac:dyDescent="0.3">
      <c r="C673" s="68" t="str">
        <f>IF(TRIM($B673)="","",IFERROR(HYPERLINK("#'Cards'!A"&amp;(MATCH($B673,Cards!$A$4:$A$1000,0)+3),INDEX(Cards!$B$4:$B$1000,MATCH($B673,Cards!$A$4:$A$1000,0))),"ไม่พบ Card ID ในชีต Cards"))</f>
        <v/>
      </c>
      <c r="D673" s="68" t="str">
        <f>IF(TRIM($B673)="","",IFERROR(INDEX(Cards!$M$4:$M$1000,MATCH($B673,Cards!$A$4:$A$1000,0))&amp;"","-"))</f>
        <v/>
      </c>
    </row>
    <row r="674" spans="3:4" x14ac:dyDescent="0.3">
      <c r="C674" s="68" t="str">
        <f>IF(TRIM($B674)="","",IFERROR(HYPERLINK("#'Cards'!A"&amp;(MATCH($B674,Cards!$A$4:$A$1000,0)+3),INDEX(Cards!$B$4:$B$1000,MATCH($B674,Cards!$A$4:$A$1000,0))),"ไม่พบ Card ID ในชีต Cards"))</f>
        <v/>
      </c>
      <c r="D674" s="68" t="str">
        <f>IF(TRIM($B674)="","",IFERROR(INDEX(Cards!$M$4:$M$1000,MATCH($B674,Cards!$A$4:$A$1000,0))&amp;"","-"))</f>
        <v/>
      </c>
    </row>
    <row r="675" spans="3:4" x14ac:dyDescent="0.3">
      <c r="C675" s="68" t="str">
        <f>IF(TRIM($B675)="","",IFERROR(HYPERLINK("#'Cards'!A"&amp;(MATCH($B675,Cards!$A$4:$A$1000,0)+3),INDEX(Cards!$B$4:$B$1000,MATCH($B675,Cards!$A$4:$A$1000,0))),"ไม่พบ Card ID ในชีต Cards"))</f>
        <v/>
      </c>
      <c r="D675" s="68" t="str">
        <f>IF(TRIM($B675)="","",IFERROR(INDEX(Cards!$M$4:$M$1000,MATCH($B675,Cards!$A$4:$A$1000,0))&amp;"","-"))</f>
        <v/>
      </c>
    </row>
    <row r="676" spans="3:4" x14ac:dyDescent="0.3">
      <c r="C676" s="68" t="str">
        <f>IF(TRIM($B676)="","",IFERROR(HYPERLINK("#'Cards'!A"&amp;(MATCH($B676,Cards!$A$4:$A$1000,0)+3),INDEX(Cards!$B$4:$B$1000,MATCH($B676,Cards!$A$4:$A$1000,0))),"ไม่พบ Card ID ในชีต Cards"))</f>
        <v/>
      </c>
      <c r="D676" s="68" t="str">
        <f>IF(TRIM($B676)="","",IFERROR(INDEX(Cards!$M$4:$M$1000,MATCH($B676,Cards!$A$4:$A$1000,0))&amp;"","-"))</f>
        <v/>
      </c>
    </row>
    <row r="677" spans="3:4" x14ac:dyDescent="0.3">
      <c r="C677" s="68" t="str">
        <f>IF(TRIM($B677)="","",IFERROR(HYPERLINK("#'Cards'!A"&amp;(MATCH($B677,Cards!$A$4:$A$1000,0)+3),INDEX(Cards!$B$4:$B$1000,MATCH($B677,Cards!$A$4:$A$1000,0))),"ไม่พบ Card ID ในชีต Cards"))</f>
        <v/>
      </c>
      <c r="D677" s="68" t="str">
        <f>IF(TRIM($B677)="","",IFERROR(INDEX(Cards!$M$4:$M$1000,MATCH($B677,Cards!$A$4:$A$1000,0))&amp;"","-"))</f>
        <v/>
      </c>
    </row>
    <row r="678" spans="3:4" x14ac:dyDescent="0.3">
      <c r="C678" s="68" t="str">
        <f>IF(TRIM($B678)="","",IFERROR(HYPERLINK("#'Cards'!A"&amp;(MATCH($B678,Cards!$A$4:$A$1000,0)+3),INDEX(Cards!$B$4:$B$1000,MATCH($B678,Cards!$A$4:$A$1000,0))),"ไม่พบ Card ID ในชีต Cards"))</f>
        <v/>
      </c>
      <c r="D678" s="68" t="str">
        <f>IF(TRIM($B678)="","",IFERROR(INDEX(Cards!$M$4:$M$1000,MATCH($B678,Cards!$A$4:$A$1000,0))&amp;"","-"))</f>
        <v/>
      </c>
    </row>
    <row r="679" spans="3:4" x14ac:dyDescent="0.3">
      <c r="C679" s="68" t="str">
        <f>IF(TRIM($B679)="","",IFERROR(HYPERLINK("#'Cards'!A"&amp;(MATCH($B679,Cards!$A$4:$A$1000,0)+3),INDEX(Cards!$B$4:$B$1000,MATCH($B679,Cards!$A$4:$A$1000,0))),"ไม่พบ Card ID ในชีต Cards"))</f>
        <v/>
      </c>
      <c r="D679" s="68" t="str">
        <f>IF(TRIM($B679)="","",IFERROR(INDEX(Cards!$M$4:$M$1000,MATCH($B679,Cards!$A$4:$A$1000,0))&amp;"","-"))</f>
        <v/>
      </c>
    </row>
    <row r="680" spans="3:4" x14ac:dyDescent="0.3">
      <c r="C680" s="68" t="str">
        <f>IF(TRIM($B680)="","",IFERROR(HYPERLINK("#'Cards'!A"&amp;(MATCH($B680,Cards!$A$4:$A$1000,0)+3),INDEX(Cards!$B$4:$B$1000,MATCH($B680,Cards!$A$4:$A$1000,0))),"ไม่พบ Card ID ในชีต Cards"))</f>
        <v/>
      </c>
      <c r="D680" s="68" t="str">
        <f>IF(TRIM($B680)="","",IFERROR(INDEX(Cards!$M$4:$M$1000,MATCH($B680,Cards!$A$4:$A$1000,0))&amp;"","-"))</f>
        <v/>
      </c>
    </row>
    <row r="681" spans="3:4" x14ac:dyDescent="0.3">
      <c r="C681" s="68" t="str">
        <f>IF(TRIM($B681)="","",IFERROR(HYPERLINK("#'Cards'!A"&amp;(MATCH($B681,Cards!$A$4:$A$1000,0)+3),INDEX(Cards!$B$4:$B$1000,MATCH($B681,Cards!$A$4:$A$1000,0))),"ไม่พบ Card ID ในชีต Cards"))</f>
        <v/>
      </c>
      <c r="D681" s="68" t="str">
        <f>IF(TRIM($B681)="","",IFERROR(INDEX(Cards!$M$4:$M$1000,MATCH($B681,Cards!$A$4:$A$1000,0))&amp;"","-"))</f>
        <v/>
      </c>
    </row>
    <row r="682" spans="3:4" x14ac:dyDescent="0.3">
      <c r="C682" s="68" t="str">
        <f>IF(TRIM($B682)="","",IFERROR(HYPERLINK("#'Cards'!A"&amp;(MATCH($B682,Cards!$A$4:$A$1000,0)+3),INDEX(Cards!$B$4:$B$1000,MATCH($B682,Cards!$A$4:$A$1000,0))),"ไม่พบ Card ID ในชีต Cards"))</f>
        <v/>
      </c>
      <c r="D682" s="68" t="str">
        <f>IF(TRIM($B682)="","",IFERROR(INDEX(Cards!$M$4:$M$1000,MATCH($B682,Cards!$A$4:$A$1000,0))&amp;"","-"))</f>
        <v/>
      </c>
    </row>
    <row r="683" spans="3:4" x14ac:dyDescent="0.3">
      <c r="C683" s="68" t="str">
        <f>IF(TRIM($B683)="","",IFERROR(HYPERLINK("#'Cards'!A"&amp;(MATCH($B683,Cards!$A$4:$A$1000,0)+3),INDEX(Cards!$B$4:$B$1000,MATCH($B683,Cards!$A$4:$A$1000,0))),"ไม่พบ Card ID ในชีต Cards"))</f>
        <v/>
      </c>
      <c r="D683" s="68" t="str">
        <f>IF(TRIM($B683)="","",IFERROR(INDEX(Cards!$M$4:$M$1000,MATCH($B683,Cards!$A$4:$A$1000,0))&amp;"","-"))</f>
        <v/>
      </c>
    </row>
    <row r="684" spans="3:4" x14ac:dyDescent="0.3">
      <c r="C684" s="68" t="str">
        <f>IF(TRIM($B684)="","",IFERROR(HYPERLINK("#'Cards'!A"&amp;(MATCH($B684,Cards!$A$4:$A$1000,0)+3),INDEX(Cards!$B$4:$B$1000,MATCH($B684,Cards!$A$4:$A$1000,0))),"ไม่พบ Card ID ในชีต Cards"))</f>
        <v/>
      </c>
      <c r="D684" s="68" t="str">
        <f>IF(TRIM($B684)="","",IFERROR(INDEX(Cards!$M$4:$M$1000,MATCH($B684,Cards!$A$4:$A$1000,0))&amp;"","-"))</f>
        <v/>
      </c>
    </row>
    <row r="685" spans="3:4" x14ac:dyDescent="0.3">
      <c r="C685" s="68" t="str">
        <f>IF(TRIM($B685)="","",IFERROR(HYPERLINK("#'Cards'!A"&amp;(MATCH($B685,Cards!$A$4:$A$1000,0)+3),INDEX(Cards!$B$4:$B$1000,MATCH($B685,Cards!$A$4:$A$1000,0))),"ไม่พบ Card ID ในชีต Cards"))</f>
        <v/>
      </c>
      <c r="D685" s="68" t="str">
        <f>IF(TRIM($B685)="","",IFERROR(INDEX(Cards!$M$4:$M$1000,MATCH($B685,Cards!$A$4:$A$1000,0))&amp;"","-"))</f>
        <v/>
      </c>
    </row>
    <row r="686" spans="3:4" x14ac:dyDescent="0.3">
      <c r="C686" s="68" t="str">
        <f>IF(TRIM($B686)="","",IFERROR(HYPERLINK("#'Cards'!A"&amp;(MATCH($B686,Cards!$A$4:$A$1000,0)+3),INDEX(Cards!$B$4:$B$1000,MATCH($B686,Cards!$A$4:$A$1000,0))),"ไม่พบ Card ID ในชีต Cards"))</f>
        <v/>
      </c>
      <c r="D686" s="68" t="str">
        <f>IF(TRIM($B686)="","",IFERROR(INDEX(Cards!$M$4:$M$1000,MATCH($B686,Cards!$A$4:$A$1000,0))&amp;"","-"))</f>
        <v/>
      </c>
    </row>
    <row r="687" spans="3:4" x14ac:dyDescent="0.3">
      <c r="C687" s="68" t="str">
        <f>IF(TRIM($B687)="","",IFERROR(HYPERLINK("#'Cards'!A"&amp;(MATCH($B687,Cards!$A$4:$A$1000,0)+3),INDEX(Cards!$B$4:$B$1000,MATCH($B687,Cards!$A$4:$A$1000,0))),"ไม่พบ Card ID ในชีต Cards"))</f>
        <v/>
      </c>
      <c r="D687" s="68" t="str">
        <f>IF(TRIM($B687)="","",IFERROR(INDEX(Cards!$M$4:$M$1000,MATCH($B687,Cards!$A$4:$A$1000,0))&amp;"","-"))</f>
        <v/>
      </c>
    </row>
    <row r="688" spans="3:4" x14ac:dyDescent="0.3">
      <c r="C688" s="68" t="str">
        <f>IF(TRIM($B688)="","",IFERROR(HYPERLINK("#'Cards'!A"&amp;(MATCH($B688,Cards!$A$4:$A$1000,0)+3),INDEX(Cards!$B$4:$B$1000,MATCH($B688,Cards!$A$4:$A$1000,0))),"ไม่พบ Card ID ในชีต Cards"))</f>
        <v/>
      </c>
      <c r="D688" s="68" t="str">
        <f>IF(TRIM($B688)="","",IFERROR(INDEX(Cards!$M$4:$M$1000,MATCH($B688,Cards!$A$4:$A$1000,0))&amp;"","-"))</f>
        <v/>
      </c>
    </row>
    <row r="689" spans="3:4" x14ac:dyDescent="0.3">
      <c r="C689" s="68" t="str">
        <f>IF(TRIM($B689)="","",IFERROR(HYPERLINK("#'Cards'!A"&amp;(MATCH($B689,Cards!$A$4:$A$1000,0)+3),INDEX(Cards!$B$4:$B$1000,MATCH($B689,Cards!$A$4:$A$1000,0))),"ไม่พบ Card ID ในชีต Cards"))</f>
        <v/>
      </c>
      <c r="D689" s="68" t="str">
        <f>IF(TRIM($B689)="","",IFERROR(INDEX(Cards!$M$4:$M$1000,MATCH($B689,Cards!$A$4:$A$1000,0))&amp;"","-"))</f>
        <v/>
      </c>
    </row>
    <row r="690" spans="3:4" x14ac:dyDescent="0.3">
      <c r="C690" s="68" t="str">
        <f>IF(TRIM($B690)="","",IFERROR(HYPERLINK("#'Cards'!A"&amp;(MATCH($B690,Cards!$A$4:$A$1000,0)+3),INDEX(Cards!$B$4:$B$1000,MATCH($B690,Cards!$A$4:$A$1000,0))),"ไม่พบ Card ID ในชีต Cards"))</f>
        <v/>
      </c>
      <c r="D690" s="68" t="str">
        <f>IF(TRIM($B690)="","",IFERROR(INDEX(Cards!$M$4:$M$1000,MATCH($B690,Cards!$A$4:$A$1000,0))&amp;"","-"))</f>
        <v/>
      </c>
    </row>
    <row r="691" spans="3:4" x14ac:dyDescent="0.3">
      <c r="C691" s="68" t="str">
        <f>IF(TRIM($B691)="","",IFERROR(HYPERLINK("#'Cards'!A"&amp;(MATCH($B691,Cards!$A$4:$A$1000,0)+3),INDEX(Cards!$B$4:$B$1000,MATCH($B691,Cards!$A$4:$A$1000,0))),"ไม่พบ Card ID ในชีต Cards"))</f>
        <v/>
      </c>
      <c r="D691" s="68" t="str">
        <f>IF(TRIM($B691)="","",IFERROR(INDEX(Cards!$M$4:$M$1000,MATCH($B691,Cards!$A$4:$A$1000,0))&amp;"","-"))</f>
        <v/>
      </c>
    </row>
    <row r="692" spans="3:4" x14ac:dyDescent="0.3">
      <c r="C692" s="68" t="str">
        <f>IF(TRIM($B692)="","",IFERROR(HYPERLINK("#'Cards'!A"&amp;(MATCH($B692,Cards!$A$4:$A$1000,0)+3),INDEX(Cards!$B$4:$B$1000,MATCH($B692,Cards!$A$4:$A$1000,0))),"ไม่พบ Card ID ในชีต Cards"))</f>
        <v/>
      </c>
      <c r="D692" s="68" t="str">
        <f>IF(TRIM($B692)="","",IFERROR(INDEX(Cards!$M$4:$M$1000,MATCH($B692,Cards!$A$4:$A$1000,0))&amp;"","-"))</f>
        <v/>
      </c>
    </row>
    <row r="693" spans="3:4" x14ac:dyDescent="0.3">
      <c r="C693" s="68" t="str">
        <f>IF(TRIM($B693)="","",IFERROR(HYPERLINK("#'Cards'!A"&amp;(MATCH($B693,Cards!$A$4:$A$1000,0)+3),INDEX(Cards!$B$4:$B$1000,MATCH($B693,Cards!$A$4:$A$1000,0))),"ไม่พบ Card ID ในชีต Cards"))</f>
        <v/>
      </c>
      <c r="D693" s="68" t="str">
        <f>IF(TRIM($B693)="","",IFERROR(INDEX(Cards!$M$4:$M$1000,MATCH($B693,Cards!$A$4:$A$1000,0))&amp;"","-"))</f>
        <v/>
      </c>
    </row>
    <row r="694" spans="3:4" x14ac:dyDescent="0.3">
      <c r="C694" s="68" t="str">
        <f>IF(TRIM($B694)="","",IFERROR(HYPERLINK("#'Cards'!A"&amp;(MATCH($B694,Cards!$A$4:$A$1000,0)+3),INDEX(Cards!$B$4:$B$1000,MATCH($B694,Cards!$A$4:$A$1000,0))),"ไม่พบ Card ID ในชีต Cards"))</f>
        <v/>
      </c>
      <c r="D694" s="68" t="str">
        <f>IF(TRIM($B694)="","",IFERROR(INDEX(Cards!$M$4:$M$1000,MATCH($B694,Cards!$A$4:$A$1000,0))&amp;"","-"))</f>
        <v/>
      </c>
    </row>
    <row r="695" spans="3:4" x14ac:dyDescent="0.3">
      <c r="C695" s="68" t="str">
        <f>IF(TRIM($B695)="","",IFERROR(HYPERLINK("#'Cards'!A"&amp;(MATCH($B695,Cards!$A$4:$A$1000,0)+3),INDEX(Cards!$B$4:$B$1000,MATCH($B695,Cards!$A$4:$A$1000,0))),"ไม่พบ Card ID ในชีต Cards"))</f>
        <v/>
      </c>
      <c r="D695" s="68" t="str">
        <f>IF(TRIM($B695)="","",IFERROR(INDEX(Cards!$M$4:$M$1000,MATCH($B695,Cards!$A$4:$A$1000,0))&amp;"","-"))</f>
        <v/>
      </c>
    </row>
    <row r="696" spans="3:4" x14ac:dyDescent="0.3">
      <c r="C696" s="68" t="str">
        <f>IF(TRIM($B696)="","",IFERROR(HYPERLINK("#'Cards'!A"&amp;(MATCH($B696,Cards!$A$4:$A$1000,0)+3),INDEX(Cards!$B$4:$B$1000,MATCH($B696,Cards!$A$4:$A$1000,0))),"ไม่พบ Card ID ในชีต Cards"))</f>
        <v/>
      </c>
      <c r="D696" s="68" t="str">
        <f>IF(TRIM($B696)="","",IFERROR(INDEX(Cards!$M$4:$M$1000,MATCH($B696,Cards!$A$4:$A$1000,0))&amp;"","-"))</f>
        <v/>
      </c>
    </row>
    <row r="697" spans="3:4" x14ac:dyDescent="0.3">
      <c r="C697" s="68" t="str">
        <f>IF(TRIM($B697)="","",IFERROR(HYPERLINK("#'Cards'!A"&amp;(MATCH($B697,Cards!$A$4:$A$1000,0)+3),INDEX(Cards!$B$4:$B$1000,MATCH($B697,Cards!$A$4:$A$1000,0))),"ไม่พบ Card ID ในชีต Cards"))</f>
        <v/>
      </c>
      <c r="D697" s="68" t="str">
        <f>IF(TRIM($B697)="","",IFERROR(INDEX(Cards!$M$4:$M$1000,MATCH($B697,Cards!$A$4:$A$1000,0))&amp;"","-"))</f>
        <v/>
      </c>
    </row>
    <row r="698" spans="3:4" x14ac:dyDescent="0.3">
      <c r="C698" s="68" t="str">
        <f>IF(TRIM($B698)="","",IFERROR(HYPERLINK("#'Cards'!A"&amp;(MATCH($B698,Cards!$A$4:$A$1000,0)+3),INDEX(Cards!$B$4:$B$1000,MATCH($B698,Cards!$A$4:$A$1000,0))),"ไม่พบ Card ID ในชีต Cards"))</f>
        <v/>
      </c>
      <c r="D698" s="68" t="str">
        <f>IF(TRIM($B698)="","",IFERROR(INDEX(Cards!$M$4:$M$1000,MATCH($B698,Cards!$A$4:$A$1000,0))&amp;"","-"))</f>
        <v/>
      </c>
    </row>
    <row r="699" spans="3:4" x14ac:dyDescent="0.3">
      <c r="C699" s="68" t="str">
        <f>IF(TRIM($B699)="","",IFERROR(HYPERLINK("#'Cards'!A"&amp;(MATCH($B699,Cards!$A$4:$A$1000,0)+3),INDEX(Cards!$B$4:$B$1000,MATCH($B699,Cards!$A$4:$A$1000,0))),"ไม่พบ Card ID ในชีต Cards"))</f>
        <v/>
      </c>
      <c r="D699" s="68" t="str">
        <f>IF(TRIM($B699)="","",IFERROR(INDEX(Cards!$M$4:$M$1000,MATCH($B699,Cards!$A$4:$A$1000,0))&amp;"","-"))</f>
        <v/>
      </c>
    </row>
    <row r="700" spans="3:4" x14ac:dyDescent="0.3">
      <c r="C700" s="68" t="str">
        <f>IF(TRIM($B700)="","",IFERROR(HYPERLINK("#'Cards'!A"&amp;(MATCH($B700,Cards!$A$4:$A$1000,0)+3),INDEX(Cards!$B$4:$B$1000,MATCH($B700,Cards!$A$4:$A$1000,0))),"ไม่พบ Card ID ในชีต Cards"))</f>
        <v/>
      </c>
      <c r="D700" s="68" t="str">
        <f>IF(TRIM($B700)="","",IFERROR(INDEX(Cards!$M$4:$M$1000,MATCH($B700,Cards!$A$4:$A$1000,0))&amp;"","-"))</f>
        <v/>
      </c>
    </row>
    <row r="701" spans="3:4" x14ac:dyDescent="0.3">
      <c r="C701" s="68" t="str">
        <f>IF(TRIM($B701)="","",IFERROR(HYPERLINK("#'Cards'!A"&amp;(MATCH($B701,Cards!$A$4:$A$1000,0)+3),INDEX(Cards!$B$4:$B$1000,MATCH($B701,Cards!$A$4:$A$1000,0))),"ไม่พบ Card ID ในชีต Cards"))</f>
        <v/>
      </c>
      <c r="D701" s="68" t="str">
        <f>IF(TRIM($B701)="","",IFERROR(INDEX(Cards!$M$4:$M$1000,MATCH($B701,Cards!$A$4:$A$1000,0))&amp;"","-"))</f>
        <v/>
      </c>
    </row>
    <row r="702" spans="3:4" x14ac:dyDescent="0.3">
      <c r="C702" s="68" t="str">
        <f>IF(TRIM($B702)="","",IFERROR(HYPERLINK("#'Cards'!A"&amp;(MATCH($B702,Cards!$A$4:$A$1000,0)+3),INDEX(Cards!$B$4:$B$1000,MATCH($B702,Cards!$A$4:$A$1000,0))),"ไม่พบ Card ID ในชีต Cards"))</f>
        <v/>
      </c>
      <c r="D702" s="68" t="str">
        <f>IF(TRIM($B702)="","",IFERROR(INDEX(Cards!$M$4:$M$1000,MATCH($B702,Cards!$A$4:$A$1000,0))&amp;"","-"))</f>
        <v/>
      </c>
    </row>
    <row r="703" spans="3:4" x14ac:dyDescent="0.3">
      <c r="C703" s="68" t="str">
        <f>IF(TRIM($B703)="","",IFERROR(HYPERLINK("#'Cards'!A"&amp;(MATCH($B703,Cards!$A$4:$A$1000,0)+3),INDEX(Cards!$B$4:$B$1000,MATCH($B703,Cards!$A$4:$A$1000,0))),"ไม่พบ Card ID ในชีต Cards"))</f>
        <v/>
      </c>
      <c r="D703" s="68" t="str">
        <f>IF(TRIM($B703)="","",IFERROR(INDEX(Cards!$M$4:$M$1000,MATCH($B703,Cards!$A$4:$A$1000,0))&amp;"","-"))</f>
        <v/>
      </c>
    </row>
    <row r="704" spans="3:4" x14ac:dyDescent="0.3">
      <c r="C704" s="68" t="str">
        <f>IF(TRIM($B704)="","",IFERROR(HYPERLINK("#'Cards'!A"&amp;(MATCH($B704,Cards!$A$4:$A$1000,0)+3),INDEX(Cards!$B$4:$B$1000,MATCH($B704,Cards!$A$4:$A$1000,0))),"ไม่พบ Card ID ในชีต Cards"))</f>
        <v/>
      </c>
      <c r="D704" s="68" t="str">
        <f>IF(TRIM($B704)="","",IFERROR(INDEX(Cards!$M$4:$M$1000,MATCH($B704,Cards!$A$4:$A$1000,0))&amp;"","-"))</f>
        <v/>
      </c>
    </row>
    <row r="705" spans="3:4" x14ac:dyDescent="0.3">
      <c r="C705" s="68" t="str">
        <f>IF(TRIM($B705)="","",IFERROR(HYPERLINK("#'Cards'!A"&amp;(MATCH($B705,Cards!$A$4:$A$1000,0)+3),INDEX(Cards!$B$4:$B$1000,MATCH($B705,Cards!$A$4:$A$1000,0))),"ไม่พบ Card ID ในชีต Cards"))</f>
        <v/>
      </c>
      <c r="D705" s="68" t="str">
        <f>IF(TRIM($B705)="","",IFERROR(INDEX(Cards!$M$4:$M$1000,MATCH($B705,Cards!$A$4:$A$1000,0))&amp;"","-"))</f>
        <v/>
      </c>
    </row>
    <row r="706" spans="3:4" x14ac:dyDescent="0.3">
      <c r="C706" s="68" t="str">
        <f>IF(TRIM($B706)="","",IFERROR(HYPERLINK("#'Cards'!A"&amp;(MATCH($B706,Cards!$A$4:$A$1000,0)+3),INDEX(Cards!$B$4:$B$1000,MATCH($B706,Cards!$A$4:$A$1000,0))),"ไม่พบ Card ID ในชีต Cards"))</f>
        <v/>
      </c>
      <c r="D706" s="68" t="str">
        <f>IF(TRIM($B706)="","",IFERROR(INDEX(Cards!$M$4:$M$1000,MATCH($B706,Cards!$A$4:$A$1000,0))&amp;"","-"))</f>
        <v/>
      </c>
    </row>
    <row r="707" spans="3:4" x14ac:dyDescent="0.3">
      <c r="C707" s="68" t="str">
        <f>IF(TRIM($B707)="","",IFERROR(HYPERLINK("#'Cards'!A"&amp;(MATCH($B707,Cards!$A$4:$A$1000,0)+3),INDEX(Cards!$B$4:$B$1000,MATCH($B707,Cards!$A$4:$A$1000,0))),"ไม่พบ Card ID ในชีต Cards"))</f>
        <v/>
      </c>
      <c r="D707" s="68" t="str">
        <f>IF(TRIM($B707)="","",IFERROR(INDEX(Cards!$M$4:$M$1000,MATCH($B707,Cards!$A$4:$A$1000,0))&amp;"","-"))</f>
        <v/>
      </c>
    </row>
    <row r="708" spans="3:4" x14ac:dyDescent="0.3">
      <c r="C708" s="68" t="str">
        <f>IF(TRIM($B708)="","",IFERROR(HYPERLINK("#'Cards'!A"&amp;(MATCH($B708,Cards!$A$4:$A$1000,0)+3),INDEX(Cards!$B$4:$B$1000,MATCH($B708,Cards!$A$4:$A$1000,0))),"ไม่พบ Card ID ในชีต Cards"))</f>
        <v/>
      </c>
      <c r="D708" s="68" t="str">
        <f>IF(TRIM($B708)="","",IFERROR(INDEX(Cards!$M$4:$M$1000,MATCH($B708,Cards!$A$4:$A$1000,0))&amp;"","-"))</f>
        <v/>
      </c>
    </row>
    <row r="709" spans="3:4" x14ac:dyDescent="0.3">
      <c r="C709" s="68" t="str">
        <f>IF(TRIM($B709)="","",IFERROR(HYPERLINK("#'Cards'!A"&amp;(MATCH($B709,Cards!$A$4:$A$1000,0)+3),INDEX(Cards!$B$4:$B$1000,MATCH($B709,Cards!$A$4:$A$1000,0))),"ไม่พบ Card ID ในชีต Cards"))</f>
        <v/>
      </c>
      <c r="D709" s="68" t="str">
        <f>IF(TRIM($B709)="","",IFERROR(INDEX(Cards!$M$4:$M$1000,MATCH($B709,Cards!$A$4:$A$1000,0))&amp;"","-"))</f>
        <v/>
      </c>
    </row>
    <row r="710" spans="3:4" x14ac:dyDescent="0.3">
      <c r="C710" s="68" t="str">
        <f>IF(TRIM($B710)="","",IFERROR(HYPERLINK("#'Cards'!A"&amp;(MATCH($B710,Cards!$A$4:$A$1000,0)+3),INDEX(Cards!$B$4:$B$1000,MATCH($B710,Cards!$A$4:$A$1000,0))),"ไม่พบ Card ID ในชีต Cards"))</f>
        <v/>
      </c>
      <c r="D710" s="68" t="str">
        <f>IF(TRIM($B710)="","",IFERROR(INDEX(Cards!$M$4:$M$1000,MATCH($B710,Cards!$A$4:$A$1000,0))&amp;"","-"))</f>
        <v/>
      </c>
    </row>
    <row r="711" spans="3:4" x14ac:dyDescent="0.3">
      <c r="C711" s="68" t="str">
        <f>IF(TRIM($B711)="","",IFERROR(HYPERLINK("#'Cards'!A"&amp;(MATCH($B711,Cards!$A$4:$A$1000,0)+3),INDEX(Cards!$B$4:$B$1000,MATCH($B711,Cards!$A$4:$A$1000,0))),"ไม่พบ Card ID ในชีต Cards"))</f>
        <v/>
      </c>
      <c r="D711" s="68" t="str">
        <f>IF(TRIM($B711)="","",IFERROR(INDEX(Cards!$M$4:$M$1000,MATCH($B711,Cards!$A$4:$A$1000,0))&amp;"","-"))</f>
        <v/>
      </c>
    </row>
    <row r="712" spans="3:4" x14ac:dyDescent="0.3">
      <c r="C712" s="68" t="str">
        <f>IF(TRIM($B712)="","",IFERROR(HYPERLINK("#'Cards'!A"&amp;(MATCH($B712,Cards!$A$4:$A$1000,0)+3),INDEX(Cards!$B$4:$B$1000,MATCH($B712,Cards!$A$4:$A$1000,0))),"ไม่พบ Card ID ในชีต Cards"))</f>
        <v/>
      </c>
      <c r="D712" s="68" t="str">
        <f>IF(TRIM($B712)="","",IFERROR(INDEX(Cards!$M$4:$M$1000,MATCH($B712,Cards!$A$4:$A$1000,0))&amp;"","-"))</f>
        <v/>
      </c>
    </row>
    <row r="713" spans="3:4" x14ac:dyDescent="0.3">
      <c r="C713" s="68" t="str">
        <f>IF(TRIM($B713)="","",IFERROR(HYPERLINK("#'Cards'!A"&amp;(MATCH($B713,Cards!$A$4:$A$1000,0)+3),INDEX(Cards!$B$4:$B$1000,MATCH($B713,Cards!$A$4:$A$1000,0))),"ไม่พบ Card ID ในชีต Cards"))</f>
        <v/>
      </c>
      <c r="D713" s="68" t="str">
        <f>IF(TRIM($B713)="","",IFERROR(INDEX(Cards!$M$4:$M$1000,MATCH($B713,Cards!$A$4:$A$1000,0))&amp;"","-"))</f>
        <v/>
      </c>
    </row>
    <row r="714" spans="3:4" x14ac:dyDescent="0.3">
      <c r="C714" s="68" t="str">
        <f>IF(TRIM($B714)="","",IFERROR(HYPERLINK("#'Cards'!A"&amp;(MATCH($B714,Cards!$A$4:$A$1000,0)+3),INDEX(Cards!$B$4:$B$1000,MATCH($B714,Cards!$A$4:$A$1000,0))),"ไม่พบ Card ID ในชีต Cards"))</f>
        <v/>
      </c>
      <c r="D714" s="68" t="str">
        <f>IF(TRIM($B714)="","",IFERROR(INDEX(Cards!$M$4:$M$1000,MATCH($B714,Cards!$A$4:$A$1000,0))&amp;"","-"))</f>
        <v/>
      </c>
    </row>
    <row r="715" spans="3:4" x14ac:dyDescent="0.3">
      <c r="C715" s="68" t="str">
        <f>IF(TRIM($B715)="","",IFERROR(HYPERLINK("#'Cards'!A"&amp;(MATCH($B715,Cards!$A$4:$A$1000,0)+3),INDEX(Cards!$B$4:$B$1000,MATCH($B715,Cards!$A$4:$A$1000,0))),"ไม่พบ Card ID ในชีต Cards"))</f>
        <v/>
      </c>
      <c r="D715" s="68" t="str">
        <f>IF(TRIM($B715)="","",IFERROR(INDEX(Cards!$M$4:$M$1000,MATCH($B715,Cards!$A$4:$A$1000,0))&amp;"","-"))</f>
        <v/>
      </c>
    </row>
    <row r="716" spans="3:4" x14ac:dyDescent="0.3">
      <c r="C716" s="68" t="str">
        <f>IF(TRIM($B716)="","",IFERROR(HYPERLINK("#'Cards'!A"&amp;(MATCH($B716,Cards!$A$4:$A$1000,0)+3),INDEX(Cards!$B$4:$B$1000,MATCH($B716,Cards!$A$4:$A$1000,0))),"ไม่พบ Card ID ในชีต Cards"))</f>
        <v/>
      </c>
      <c r="D716" s="68" t="str">
        <f>IF(TRIM($B716)="","",IFERROR(INDEX(Cards!$M$4:$M$1000,MATCH($B716,Cards!$A$4:$A$1000,0))&amp;"","-"))</f>
        <v/>
      </c>
    </row>
    <row r="717" spans="3:4" x14ac:dyDescent="0.3">
      <c r="C717" s="68" t="str">
        <f>IF(TRIM($B717)="","",IFERROR(HYPERLINK("#'Cards'!A"&amp;(MATCH($B717,Cards!$A$4:$A$1000,0)+3),INDEX(Cards!$B$4:$B$1000,MATCH($B717,Cards!$A$4:$A$1000,0))),"ไม่พบ Card ID ในชีต Cards"))</f>
        <v/>
      </c>
      <c r="D717" s="68" t="str">
        <f>IF(TRIM($B717)="","",IFERROR(INDEX(Cards!$M$4:$M$1000,MATCH($B717,Cards!$A$4:$A$1000,0))&amp;"","-"))</f>
        <v/>
      </c>
    </row>
    <row r="718" spans="3:4" x14ac:dyDescent="0.3">
      <c r="C718" s="68" t="str">
        <f>IF(TRIM($B718)="","",IFERROR(HYPERLINK("#'Cards'!A"&amp;(MATCH($B718,Cards!$A$4:$A$1000,0)+3),INDEX(Cards!$B$4:$B$1000,MATCH($B718,Cards!$A$4:$A$1000,0))),"ไม่พบ Card ID ในชีต Cards"))</f>
        <v/>
      </c>
      <c r="D718" s="68" t="str">
        <f>IF(TRIM($B718)="","",IFERROR(INDEX(Cards!$M$4:$M$1000,MATCH($B718,Cards!$A$4:$A$1000,0))&amp;"","-"))</f>
        <v/>
      </c>
    </row>
    <row r="719" spans="3:4" x14ac:dyDescent="0.3">
      <c r="C719" s="68" t="str">
        <f>IF(TRIM($B719)="","",IFERROR(HYPERLINK("#'Cards'!A"&amp;(MATCH($B719,Cards!$A$4:$A$1000,0)+3),INDEX(Cards!$B$4:$B$1000,MATCH($B719,Cards!$A$4:$A$1000,0))),"ไม่พบ Card ID ในชีต Cards"))</f>
        <v/>
      </c>
      <c r="D719" s="68" t="str">
        <f>IF(TRIM($B719)="","",IFERROR(INDEX(Cards!$M$4:$M$1000,MATCH($B719,Cards!$A$4:$A$1000,0))&amp;"","-"))</f>
        <v/>
      </c>
    </row>
    <row r="720" spans="3:4" x14ac:dyDescent="0.3">
      <c r="C720" s="68" t="str">
        <f>IF(TRIM($B720)="","",IFERROR(HYPERLINK("#'Cards'!A"&amp;(MATCH($B720,Cards!$A$4:$A$1000,0)+3),INDEX(Cards!$B$4:$B$1000,MATCH($B720,Cards!$A$4:$A$1000,0))),"ไม่พบ Card ID ในชีต Cards"))</f>
        <v/>
      </c>
      <c r="D720" s="68" t="str">
        <f>IF(TRIM($B720)="","",IFERROR(INDEX(Cards!$M$4:$M$1000,MATCH($B720,Cards!$A$4:$A$1000,0))&amp;"","-"))</f>
        <v/>
      </c>
    </row>
    <row r="721" spans="3:4" x14ac:dyDescent="0.3">
      <c r="C721" s="68" t="str">
        <f>IF(TRIM($B721)="","",IFERROR(HYPERLINK("#'Cards'!A"&amp;(MATCH($B721,Cards!$A$4:$A$1000,0)+3),INDEX(Cards!$B$4:$B$1000,MATCH($B721,Cards!$A$4:$A$1000,0))),"ไม่พบ Card ID ในชีต Cards"))</f>
        <v/>
      </c>
      <c r="D721" s="68" t="str">
        <f>IF(TRIM($B721)="","",IFERROR(INDEX(Cards!$M$4:$M$1000,MATCH($B721,Cards!$A$4:$A$1000,0))&amp;"","-"))</f>
        <v/>
      </c>
    </row>
    <row r="722" spans="3:4" x14ac:dyDescent="0.3">
      <c r="C722" s="68" t="str">
        <f>IF(TRIM($B722)="","",IFERROR(HYPERLINK("#'Cards'!A"&amp;(MATCH($B722,Cards!$A$4:$A$1000,0)+3),INDEX(Cards!$B$4:$B$1000,MATCH($B722,Cards!$A$4:$A$1000,0))),"ไม่พบ Card ID ในชีต Cards"))</f>
        <v/>
      </c>
      <c r="D722" s="68" t="str">
        <f>IF(TRIM($B722)="","",IFERROR(INDEX(Cards!$M$4:$M$1000,MATCH($B722,Cards!$A$4:$A$1000,0))&amp;"","-"))</f>
        <v/>
      </c>
    </row>
    <row r="723" spans="3:4" x14ac:dyDescent="0.3">
      <c r="C723" s="68" t="str">
        <f>IF(TRIM($B723)="","",IFERROR(HYPERLINK("#'Cards'!A"&amp;(MATCH($B723,Cards!$A$4:$A$1000,0)+3),INDEX(Cards!$B$4:$B$1000,MATCH($B723,Cards!$A$4:$A$1000,0))),"ไม่พบ Card ID ในชีต Cards"))</f>
        <v/>
      </c>
      <c r="D723" s="68" t="str">
        <f>IF(TRIM($B723)="","",IFERROR(INDEX(Cards!$M$4:$M$1000,MATCH($B723,Cards!$A$4:$A$1000,0))&amp;"","-"))</f>
        <v/>
      </c>
    </row>
    <row r="724" spans="3:4" x14ac:dyDescent="0.3">
      <c r="C724" s="68" t="str">
        <f>IF(TRIM($B724)="","",IFERROR(HYPERLINK("#'Cards'!A"&amp;(MATCH($B724,Cards!$A$4:$A$1000,0)+3),INDEX(Cards!$B$4:$B$1000,MATCH($B724,Cards!$A$4:$A$1000,0))),"ไม่พบ Card ID ในชีต Cards"))</f>
        <v/>
      </c>
      <c r="D724" s="68" t="str">
        <f>IF(TRIM($B724)="","",IFERROR(INDEX(Cards!$M$4:$M$1000,MATCH($B724,Cards!$A$4:$A$1000,0))&amp;"","-"))</f>
        <v/>
      </c>
    </row>
    <row r="725" spans="3:4" x14ac:dyDescent="0.3">
      <c r="C725" s="68" t="str">
        <f>IF(TRIM($B725)="","",IFERROR(HYPERLINK("#'Cards'!A"&amp;(MATCH($B725,Cards!$A$4:$A$1000,0)+3),INDEX(Cards!$B$4:$B$1000,MATCH($B725,Cards!$A$4:$A$1000,0))),"ไม่พบ Card ID ในชีต Cards"))</f>
        <v/>
      </c>
      <c r="D725" s="68" t="str">
        <f>IF(TRIM($B725)="","",IFERROR(INDEX(Cards!$M$4:$M$1000,MATCH($B725,Cards!$A$4:$A$1000,0))&amp;"","-"))</f>
        <v/>
      </c>
    </row>
    <row r="726" spans="3:4" x14ac:dyDescent="0.3">
      <c r="C726" s="68" t="str">
        <f>IF(TRIM($B726)="","",IFERROR(HYPERLINK("#'Cards'!A"&amp;(MATCH($B726,Cards!$A$4:$A$1000,0)+3),INDEX(Cards!$B$4:$B$1000,MATCH($B726,Cards!$A$4:$A$1000,0))),"ไม่พบ Card ID ในชีต Cards"))</f>
        <v/>
      </c>
      <c r="D726" s="68" t="str">
        <f>IF(TRIM($B726)="","",IFERROR(INDEX(Cards!$M$4:$M$1000,MATCH($B726,Cards!$A$4:$A$1000,0))&amp;"","-"))</f>
        <v/>
      </c>
    </row>
    <row r="727" spans="3:4" x14ac:dyDescent="0.3">
      <c r="C727" s="68" t="str">
        <f>IF(TRIM($B727)="","",IFERROR(HYPERLINK("#'Cards'!A"&amp;(MATCH($B727,Cards!$A$4:$A$1000,0)+3),INDEX(Cards!$B$4:$B$1000,MATCH($B727,Cards!$A$4:$A$1000,0))),"ไม่พบ Card ID ในชีต Cards"))</f>
        <v/>
      </c>
      <c r="D727" s="68" t="str">
        <f>IF(TRIM($B727)="","",IFERROR(INDEX(Cards!$M$4:$M$1000,MATCH($B727,Cards!$A$4:$A$1000,0))&amp;"","-"))</f>
        <v/>
      </c>
    </row>
    <row r="728" spans="3:4" x14ac:dyDescent="0.3">
      <c r="C728" s="68" t="str">
        <f>IF(TRIM($B728)="","",IFERROR(HYPERLINK("#'Cards'!A"&amp;(MATCH($B728,Cards!$A$4:$A$1000,0)+3),INDEX(Cards!$B$4:$B$1000,MATCH($B728,Cards!$A$4:$A$1000,0))),"ไม่พบ Card ID ในชีต Cards"))</f>
        <v/>
      </c>
      <c r="D728" s="68" t="str">
        <f>IF(TRIM($B728)="","",IFERROR(INDEX(Cards!$M$4:$M$1000,MATCH($B728,Cards!$A$4:$A$1000,0))&amp;"","-"))</f>
        <v/>
      </c>
    </row>
    <row r="729" spans="3:4" x14ac:dyDescent="0.3">
      <c r="C729" s="68" t="str">
        <f>IF(TRIM($B729)="","",IFERROR(HYPERLINK("#'Cards'!A"&amp;(MATCH($B729,Cards!$A$4:$A$1000,0)+3),INDEX(Cards!$B$4:$B$1000,MATCH($B729,Cards!$A$4:$A$1000,0))),"ไม่พบ Card ID ในชีต Cards"))</f>
        <v/>
      </c>
      <c r="D729" s="68" t="str">
        <f>IF(TRIM($B729)="","",IFERROR(INDEX(Cards!$M$4:$M$1000,MATCH($B729,Cards!$A$4:$A$1000,0))&amp;"","-"))</f>
        <v/>
      </c>
    </row>
    <row r="730" spans="3:4" x14ac:dyDescent="0.3">
      <c r="C730" s="68" t="str">
        <f>IF(TRIM($B730)="","",IFERROR(HYPERLINK("#'Cards'!A"&amp;(MATCH($B730,Cards!$A$4:$A$1000,0)+3),INDEX(Cards!$B$4:$B$1000,MATCH($B730,Cards!$A$4:$A$1000,0))),"ไม่พบ Card ID ในชีต Cards"))</f>
        <v/>
      </c>
      <c r="D730" s="68" t="str">
        <f>IF(TRIM($B730)="","",IFERROR(INDEX(Cards!$M$4:$M$1000,MATCH($B730,Cards!$A$4:$A$1000,0))&amp;"","-"))</f>
        <v/>
      </c>
    </row>
    <row r="731" spans="3:4" x14ac:dyDescent="0.3">
      <c r="C731" s="68" t="str">
        <f>IF(TRIM($B731)="","",IFERROR(HYPERLINK("#'Cards'!A"&amp;(MATCH($B731,Cards!$A$4:$A$1000,0)+3),INDEX(Cards!$B$4:$B$1000,MATCH($B731,Cards!$A$4:$A$1000,0))),"ไม่พบ Card ID ในชีต Cards"))</f>
        <v/>
      </c>
      <c r="D731" s="68" t="str">
        <f>IF(TRIM($B731)="","",IFERROR(INDEX(Cards!$M$4:$M$1000,MATCH($B731,Cards!$A$4:$A$1000,0))&amp;"","-"))</f>
        <v/>
      </c>
    </row>
    <row r="732" spans="3:4" x14ac:dyDescent="0.3">
      <c r="C732" s="68" t="str">
        <f>IF(TRIM($B732)="","",IFERROR(HYPERLINK("#'Cards'!A"&amp;(MATCH($B732,Cards!$A$4:$A$1000,0)+3),INDEX(Cards!$B$4:$B$1000,MATCH($B732,Cards!$A$4:$A$1000,0))),"ไม่พบ Card ID ในชีต Cards"))</f>
        <v/>
      </c>
      <c r="D732" s="68" t="str">
        <f>IF(TRIM($B732)="","",IFERROR(INDEX(Cards!$M$4:$M$1000,MATCH($B732,Cards!$A$4:$A$1000,0))&amp;"","-"))</f>
        <v/>
      </c>
    </row>
    <row r="733" spans="3:4" x14ac:dyDescent="0.3">
      <c r="C733" s="68" t="str">
        <f>IF(TRIM($B733)="","",IFERROR(HYPERLINK("#'Cards'!A"&amp;(MATCH($B733,Cards!$A$4:$A$1000,0)+3),INDEX(Cards!$B$4:$B$1000,MATCH($B733,Cards!$A$4:$A$1000,0))),"ไม่พบ Card ID ในชีต Cards"))</f>
        <v/>
      </c>
      <c r="D733" s="68" t="str">
        <f>IF(TRIM($B733)="","",IFERROR(INDEX(Cards!$M$4:$M$1000,MATCH($B733,Cards!$A$4:$A$1000,0))&amp;"","-"))</f>
        <v/>
      </c>
    </row>
    <row r="734" spans="3:4" x14ac:dyDescent="0.3">
      <c r="C734" s="68" t="str">
        <f>IF(TRIM($B734)="","",IFERROR(HYPERLINK("#'Cards'!A"&amp;(MATCH($B734,Cards!$A$4:$A$1000,0)+3),INDEX(Cards!$B$4:$B$1000,MATCH($B734,Cards!$A$4:$A$1000,0))),"ไม่พบ Card ID ในชีต Cards"))</f>
        <v/>
      </c>
      <c r="D734" s="68" t="str">
        <f>IF(TRIM($B734)="","",IFERROR(INDEX(Cards!$M$4:$M$1000,MATCH($B734,Cards!$A$4:$A$1000,0))&amp;"","-"))</f>
        <v/>
      </c>
    </row>
    <row r="735" spans="3:4" x14ac:dyDescent="0.3">
      <c r="C735" s="68" t="str">
        <f>IF(TRIM($B735)="","",IFERROR(HYPERLINK("#'Cards'!A"&amp;(MATCH($B735,Cards!$A$4:$A$1000,0)+3),INDEX(Cards!$B$4:$B$1000,MATCH($B735,Cards!$A$4:$A$1000,0))),"ไม่พบ Card ID ในชีต Cards"))</f>
        <v/>
      </c>
      <c r="D735" s="68" t="str">
        <f>IF(TRIM($B735)="","",IFERROR(INDEX(Cards!$M$4:$M$1000,MATCH($B735,Cards!$A$4:$A$1000,0))&amp;"","-"))</f>
        <v/>
      </c>
    </row>
    <row r="736" spans="3:4" x14ac:dyDescent="0.3">
      <c r="C736" s="68" t="str">
        <f>IF(TRIM($B736)="","",IFERROR(HYPERLINK("#'Cards'!A"&amp;(MATCH($B736,Cards!$A$4:$A$1000,0)+3),INDEX(Cards!$B$4:$B$1000,MATCH($B736,Cards!$A$4:$A$1000,0))),"ไม่พบ Card ID ในชีต Cards"))</f>
        <v/>
      </c>
      <c r="D736" s="68" t="str">
        <f>IF(TRIM($B736)="","",IFERROR(INDEX(Cards!$M$4:$M$1000,MATCH($B736,Cards!$A$4:$A$1000,0))&amp;"","-"))</f>
        <v/>
      </c>
    </row>
    <row r="737" spans="3:4" x14ac:dyDescent="0.3">
      <c r="C737" s="68" t="str">
        <f>IF(TRIM($B737)="","",IFERROR(HYPERLINK("#'Cards'!A"&amp;(MATCH($B737,Cards!$A$4:$A$1000,0)+3),INDEX(Cards!$B$4:$B$1000,MATCH($B737,Cards!$A$4:$A$1000,0))),"ไม่พบ Card ID ในชีต Cards"))</f>
        <v/>
      </c>
      <c r="D737" s="68" t="str">
        <f>IF(TRIM($B737)="","",IFERROR(INDEX(Cards!$M$4:$M$1000,MATCH($B737,Cards!$A$4:$A$1000,0))&amp;"","-"))</f>
        <v/>
      </c>
    </row>
    <row r="738" spans="3:4" x14ac:dyDescent="0.3">
      <c r="C738" s="68" t="str">
        <f>IF(TRIM($B738)="","",IFERROR(HYPERLINK("#'Cards'!A"&amp;(MATCH($B738,Cards!$A$4:$A$1000,0)+3),INDEX(Cards!$B$4:$B$1000,MATCH($B738,Cards!$A$4:$A$1000,0))),"ไม่พบ Card ID ในชีต Cards"))</f>
        <v/>
      </c>
      <c r="D738" s="68" t="str">
        <f>IF(TRIM($B738)="","",IFERROR(INDEX(Cards!$M$4:$M$1000,MATCH($B738,Cards!$A$4:$A$1000,0))&amp;"","-"))</f>
        <v/>
      </c>
    </row>
    <row r="739" spans="3:4" x14ac:dyDescent="0.3">
      <c r="C739" s="68" t="str">
        <f>IF(TRIM($B739)="","",IFERROR(HYPERLINK("#'Cards'!A"&amp;(MATCH($B739,Cards!$A$4:$A$1000,0)+3),INDEX(Cards!$B$4:$B$1000,MATCH($B739,Cards!$A$4:$A$1000,0))),"ไม่พบ Card ID ในชีต Cards"))</f>
        <v/>
      </c>
      <c r="D739" s="68" t="str">
        <f>IF(TRIM($B739)="","",IFERROR(INDEX(Cards!$M$4:$M$1000,MATCH($B739,Cards!$A$4:$A$1000,0))&amp;"","-"))</f>
        <v/>
      </c>
    </row>
    <row r="740" spans="3:4" x14ac:dyDescent="0.3">
      <c r="C740" s="68" t="str">
        <f>IF(TRIM($B740)="","",IFERROR(HYPERLINK("#'Cards'!A"&amp;(MATCH($B740,Cards!$A$4:$A$1000,0)+3),INDEX(Cards!$B$4:$B$1000,MATCH($B740,Cards!$A$4:$A$1000,0))),"ไม่พบ Card ID ในชีต Cards"))</f>
        <v/>
      </c>
      <c r="D740" s="68" t="str">
        <f>IF(TRIM($B740)="","",IFERROR(INDEX(Cards!$M$4:$M$1000,MATCH($B740,Cards!$A$4:$A$1000,0))&amp;"","-"))</f>
        <v/>
      </c>
    </row>
    <row r="741" spans="3:4" x14ac:dyDescent="0.3">
      <c r="C741" s="68" t="str">
        <f>IF(TRIM($B741)="","",IFERROR(HYPERLINK("#'Cards'!A"&amp;(MATCH($B741,Cards!$A$4:$A$1000,0)+3),INDEX(Cards!$B$4:$B$1000,MATCH($B741,Cards!$A$4:$A$1000,0))),"ไม่พบ Card ID ในชีต Cards"))</f>
        <v/>
      </c>
      <c r="D741" s="68" t="str">
        <f>IF(TRIM($B741)="","",IFERROR(INDEX(Cards!$M$4:$M$1000,MATCH($B741,Cards!$A$4:$A$1000,0))&amp;"","-"))</f>
        <v/>
      </c>
    </row>
    <row r="742" spans="3:4" x14ac:dyDescent="0.3">
      <c r="C742" s="68" t="str">
        <f>IF(TRIM($B742)="","",IFERROR(HYPERLINK("#'Cards'!A"&amp;(MATCH($B742,Cards!$A$4:$A$1000,0)+3),INDEX(Cards!$B$4:$B$1000,MATCH($B742,Cards!$A$4:$A$1000,0))),"ไม่พบ Card ID ในชีต Cards"))</f>
        <v/>
      </c>
      <c r="D742" s="68" t="str">
        <f>IF(TRIM($B742)="","",IFERROR(INDEX(Cards!$M$4:$M$1000,MATCH($B742,Cards!$A$4:$A$1000,0))&amp;"","-"))</f>
        <v/>
      </c>
    </row>
    <row r="743" spans="3:4" x14ac:dyDescent="0.3">
      <c r="C743" s="68" t="str">
        <f>IF(TRIM($B743)="","",IFERROR(HYPERLINK("#'Cards'!A"&amp;(MATCH($B743,Cards!$A$4:$A$1000,0)+3),INDEX(Cards!$B$4:$B$1000,MATCH($B743,Cards!$A$4:$A$1000,0))),"ไม่พบ Card ID ในชีต Cards"))</f>
        <v/>
      </c>
      <c r="D743" s="68" t="str">
        <f>IF(TRIM($B743)="","",IFERROR(INDEX(Cards!$M$4:$M$1000,MATCH($B743,Cards!$A$4:$A$1000,0))&amp;"","-"))</f>
        <v/>
      </c>
    </row>
    <row r="744" spans="3:4" x14ac:dyDescent="0.3">
      <c r="C744" s="68" t="str">
        <f>IF(TRIM($B744)="","",IFERROR(HYPERLINK("#'Cards'!A"&amp;(MATCH($B744,Cards!$A$4:$A$1000,0)+3),INDEX(Cards!$B$4:$B$1000,MATCH($B744,Cards!$A$4:$A$1000,0))),"ไม่พบ Card ID ในชีต Cards"))</f>
        <v/>
      </c>
      <c r="D744" s="68" t="str">
        <f>IF(TRIM($B744)="","",IFERROR(INDEX(Cards!$M$4:$M$1000,MATCH($B744,Cards!$A$4:$A$1000,0))&amp;"","-"))</f>
        <v/>
      </c>
    </row>
    <row r="745" spans="3:4" x14ac:dyDescent="0.3">
      <c r="C745" s="68" t="str">
        <f>IF(TRIM($B745)="","",IFERROR(HYPERLINK("#'Cards'!A"&amp;(MATCH($B745,Cards!$A$4:$A$1000,0)+3),INDEX(Cards!$B$4:$B$1000,MATCH($B745,Cards!$A$4:$A$1000,0))),"ไม่พบ Card ID ในชีต Cards"))</f>
        <v/>
      </c>
      <c r="D745" s="68" t="str">
        <f>IF(TRIM($B745)="","",IFERROR(INDEX(Cards!$M$4:$M$1000,MATCH($B745,Cards!$A$4:$A$1000,0))&amp;"","-"))</f>
        <v/>
      </c>
    </row>
    <row r="746" spans="3:4" x14ac:dyDescent="0.3">
      <c r="C746" s="68" t="str">
        <f>IF(TRIM($B746)="","",IFERROR(HYPERLINK("#'Cards'!A"&amp;(MATCH($B746,Cards!$A$4:$A$1000,0)+3),INDEX(Cards!$B$4:$B$1000,MATCH($B746,Cards!$A$4:$A$1000,0))),"ไม่พบ Card ID ในชีต Cards"))</f>
        <v/>
      </c>
      <c r="D746" s="68" t="str">
        <f>IF(TRIM($B746)="","",IFERROR(INDEX(Cards!$M$4:$M$1000,MATCH($B746,Cards!$A$4:$A$1000,0))&amp;"","-"))</f>
        <v/>
      </c>
    </row>
    <row r="747" spans="3:4" x14ac:dyDescent="0.3">
      <c r="C747" s="68" t="str">
        <f>IF(TRIM($B747)="","",IFERROR(HYPERLINK("#'Cards'!A"&amp;(MATCH($B747,Cards!$A$4:$A$1000,0)+3),INDEX(Cards!$B$4:$B$1000,MATCH($B747,Cards!$A$4:$A$1000,0))),"ไม่พบ Card ID ในชีต Cards"))</f>
        <v/>
      </c>
      <c r="D747" s="68" t="str">
        <f>IF(TRIM($B747)="","",IFERROR(INDEX(Cards!$M$4:$M$1000,MATCH($B747,Cards!$A$4:$A$1000,0))&amp;"","-"))</f>
        <v/>
      </c>
    </row>
    <row r="748" spans="3:4" x14ac:dyDescent="0.3">
      <c r="C748" s="68" t="str">
        <f>IF(TRIM($B748)="","",IFERROR(HYPERLINK("#'Cards'!A"&amp;(MATCH($B748,Cards!$A$4:$A$1000,0)+3),INDEX(Cards!$B$4:$B$1000,MATCH($B748,Cards!$A$4:$A$1000,0))),"ไม่พบ Card ID ในชีต Cards"))</f>
        <v/>
      </c>
      <c r="D748" s="68" t="str">
        <f>IF(TRIM($B748)="","",IFERROR(INDEX(Cards!$M$4:$M$1000,MATCH($B748,Cards!$A$4:$A$1000,0))&amp;"","-"))</f>
        <v/>
      </c>
    </row>
    <row r="749" spans="3:4" x14ac:dyDescent="0.3">
      <c r="C749" s="68" t="str">
        <f>IF(TRIM($B749)="","",IFERROR(HYPERLINK("#'Cards'!A"&amp;(MATCH($B749,Cards!$A$4:$A$1000,0)+3),INDEX(Cards!$B$4:$B$1000,MATCH($B749,Cards!$A$4:$A$1000,0))),"ไม่พบ Card ID ในชีต Cards"))</f>
        <v/>
      </c>
      <c r="D749" s="68" t="str">
        <f>IF(TRIM($B749)="","",IFERROR(INDEX(Cards!$M$4:$M$1000,MATCH($B749,Cards!$A$4:$A$1000,0))&amp;"","-"))</f>
        <v/>
      </c>
    </row>
    <row r="750" spans="3:4" x14ac:dyDescent="0.3">
      <c r="C750" s="68" t="str">
        <f>IF(TRIM($B750)="","",IFERROR(HYPERLINK("#'Cards'!A"&amp;(MATCH($B750,Cards!$A$4:$A$1000,0)+3),INDEX(Cards!$B$4:$B$1000,MATCH($B750,Cards!$A$4:$A$1000,0))),"ไม่พบ Card ID ในชีต Cards"))</f>
        <v/>
      </c>
      <c r="D750" s="68" t="str">
        <f>IF(TRIM($B750)="","",IFERROR(INDEX(Cards!$M$4:$M$1000,MATCH($B750,Cards!$A$4:$A$1000,0))&amp;"","-"))</f>
        <v/>
      </c>
    </row>
    <row r="751" spans="3:4" x14ac:dyDescent="0.3">
      <c r="C751" s="68" t="str">
        <f>IF(TRIM($B751)="","",IFERROR(HYPERLINK("#'Cards'!A"&amp;(MATCH($B751,Cards!$A$4:$A$1000,0)+3),INDEX(Cards!$B$4:$B$1000,MATCH($B751,Cards!$A$4:$A$1000,0))),"ไม่พบ Card ID ในชีต Cards"))</f>
        <v/>
      </c>
      <c r="D751" s="68" t="str">
        <f>IF(TRIM($B751)="","",IFERROR(INDEX(Cards!$M$4:$M$1000,MATCH($B751,Cards!$A$4:$A$1000,0))&amp;"","-"))</f>
        <v/>
      </c>
    </row>
    <row r="752" spans="3:4" x14ac:dyDescent="0.3">
      <c r="C752" s="68" t="str">
        <f>IF(TRIM($B752)="","",IFERROR(HYPERLINK("#'Cards'!A"&amp;(MATCH($B752,Cards!$A$4:$A$1000,0)+3),INDEX(Cards!$B$4:$B$1000,MATCH($B752,Cards!$A$4:$A$1000,0))),"ไม่พบ Card ID ในชีต Cards"))</f>
        <v/>
      </c>
      <c r="D752" s="68" t="str">
        <f>IF(TRIM($B752)="","",IFERROR(INDEX(Cards!$M$4:$M$1000,MATCH($B752,Cards!$A$4:$A$1000,0))&amp;"","-"))</f>
        <v/>
      </c>
    </row>
    <row r="753" spans="3:4" x14ac:dyDescent="0.3">
      <c r="C753" s="68" t="str">
        <f>IF(TRIM($B753)="","",IFERROR(HYPERLINK("#'Cards'!A"&amp;(MATCH($B753,Cards!$A$4:$A$1000,0)+3),INDEX(Cards!$B$4:$B$1000,MATCH($B753,Cards!$A$4:$A$1000,0))),"ไม่พบ Card ID ในชีต Cards"))</f>
        <v/>
      </c>
      <c r="D753" s="68" t="str">
        <f>IF(TRIM($B753)="","",IFERROR(INDEX(Cards!$M$4:$M$1000,MATCH($B753,Cards!$A$4:$A$1000,0))&amp;"","-"))</f>
        <v/>
      </c>
    </row>
    <row r="754" spans="3:4" x14ac:dyDescent="0.3">
      <c r="C754" s="68" t="str">
        <f>IF(TRIM($B754)="","",IFERROR(HYPERLINK("#'Cards'!A"&amp;(MATCH($B754,Cards!$A$4:$A$1000,0)+3),INDEX(Cards!$B$4:$B$1000,MATCH($B754,Cards!$A$4:$A$1000,0))),"ไม่พบ Card ID ในชีต Cards"))</f>
        <v/>
      </c>
      <c r="D754" s="68" t="str">
        <f>IF(TRIM($B754)="","",IFERROR(INDEX(Cards!$M$4:$M$1000,MATCH($B754,Cards!$A$4:$A$1000,0))&amp;"","-"))</f>
        <v/>
      </c>
    </row>
    <row r="755" spans="3:4" x14ac:dyDescent="0.3">
      <c r="C755" s="68" t="str">
        <f>IF(TRIM($B755)="","",IFERROR(HYPERLINK("#'Cards'!A"&amp;(MATCH($B755,Cards!$A$4:$A$1000,0)+3),INDEX(Cards!$B$4:$B$1000,MATCH($B755,Cards!$A$4:$A$1000,0))),"ไม่พบ Card ID ในชีต Cards"))</f>
        <v/>
      </c>
      <c r="D755" s="68" t="str">
        <f>IF(TRIM($B755)="","",IFERROR(INDEX(Cards!$M$4:$M$1000,MATCH($B755,Cards!$A$4:$A$1000,0))&amp;"","-"))</f>
        <v/>
      </c>
    </row>
    <row r="756" spans="3:4" x14ac:dyDescent="0.3">
      <c r="C756" s="68" t="str">
        <f>IF(TRIM($B756)="","",IFERROR(HYPERLINK("#'Cards'!A"&amp;(MATCH($B756,Cards!$A$4:$A$1000,0)+3),INDEX(Cards!$B$4:$B$1000,MATCH($B756,Cards!$A$4:$A$1000,0))),"ไม่พบ Card ID ในชีต Cards"))</f>
        <v/>
      </c>
      <c r="D756" s="68" t="str">
        <f>IF(TRIM($B756)="","",IFERROR(INDEX(Cards!$M$4:$M$1000,MATCH($B756,Cards!$A$4:$A$1000,0))&amp;"","-"))</f>
        <v/>
      </c>
    </row>
    <row r="757" spans="3:4" x14ac:dyDescent="0.3">
      <c r="C757" s="68" t="str">
        <f>IF(TRIM($B757)="","",IFERROR(HYPERLINK("#'Cards'!A"&amp;(MATCH($B757,Cards!$A$4:$A$1000,0)+3),INDEX(Cards!$B$4:$B$1000,MATCH($B757,Cards!$A$4:$A$1000,0))),"ไม่พบ Card ID ในชีต Cards"))</f>
        <v/>
      </c>
      <c r="D757" s="68" t="str">
        <f>IF(TRIM($B757)="","",IFERROR(INDEX(Cards!$M$4:$M$1000,MATCH($B757,Cards!$A$4:$A$1000,0))&amp;"","-"))</f>
        <v/>
      </c>
    </row>
    <row r="758" spans="3:4" x14ac:dyDescent="0.3">
      <c r="C758" s="68" t="str">
        <f>IF(TRIM($B758)="","",IFERROR(HYPERLINK("#'Cards'!A"&amp;(MATCH($B758,Cards!$A$4:$A$1000,0)+3),INDEX(Cards!$B$4:$B$1000,MATCH($B758,Cards!$A$4:$A$1000,0))),"ไม่พบ Card ID ในชีต Cards"))</f>
        <v/>
      </c>
      <c r="D758" s="68" t="str">
        <f>IF(TRIM($B758)="","",IFERROR(INDEX(Cards!$M$4:$M$1000,MATCH($B758,Cards!$A$4:$A$1000,0))&amp;"","-"))</f>
        <v/>
      </c>
    </row>
    <row r="759" spans="3:4" x14ac:dyDescent="0.3">
      <c r="C759" s="68" t="str">
        <f>IF(TRIM($B759)="","",IFERROR(HYPERLINK("#'Cards'!A"&amp;(MATCH($B759,Cards!$A$4:$A$1000,0)+3),INDEX(Cards!$B$4:$B$1000,MATCH($B759,Cards!$A$4:$A$1000,0))),"ไม่พบ Card ID ในชีต Cards"))</f>
        <v/>
      </c>
      <c r="D759" s="68" t="str">
        <f>IF(TRIM($B759)="","",IFERROR(INDEX(Cards!$M$4:$M$1000,MATCH($B759,Cards!$A$4:$A$1000,0))&amp;"","-"))</f>
        <v/>
      </c>
    </row>
    <row r="760" spans="3:4" x14ac:dyDescent="0.3">
      <c r="C760" s="68" t="str">
        <f>IF(TRIM($B760)="","",IFERROR(HYPERLINK("#'Cards'!A"&amp;(MATCH($B760,Cards!$A$4:$A$1000,0)+3),INDEX(Cards!$B$4:$B$1000,MATCH($B760,Cards!$A$4:$A$1000,0))),"ไม่พบ Card ID ในชีต Cards"))</f>
        <v/>
      </c>
      <c r="D760" s="68" t="str">
        <f>IF(TRIM($B760)="","",IFERROR(INDEX(Cards!$M$4:$M$1000,MATCH($B760,Cards!$A$4:$A$1000,0))&amp;"","-"))</f>
        <v/>
      </c>
    </row>
    <row r="761" spans="3:4" x14ac:dyDescent="0.3">
      <c r="C761" s="68" t="str">
        <f>IF(TRIM($B761)="","",IFERROR(HYPERLINK("#'Cards'!A"&amp;(MATCH($B761,Cards!$A$4:$A$1000,0)+3),INDEX(Cards!$B$4:$B$1000,MATCH($B761,Cards!$A$4:$A$1000,0))),"ไม่พบ Card ID ในชีต Cards"))</f>
        <v/>
      </c>
      <c r="D761" s="68" t="str">
        <f>IF(TRIM($B761)="","",IFERROR(INDEX(Cards!$M$4:$M$1000,MATCH($B761,Cards!$A$4:$A$1000,0))&amp;"","-"))</f>
        <v/>
      </c>
    </row>
    <row r="762" spans="3:4" x14ac:dyDescent="0.3">
      <c r="C762" s="68" t="str">
        <f>IF(TRIM($B762)="","",IFERROR(HYPERLINK("#'Cards'!A"&amp;(MATCH($B762,Cards!$A$4:$A$1000,0)+3),INDEX(Cards!$B$4:$B$1000,MATCH($B762,Cards!$A$4:$A$1000,0))),"ไม่พบ Card ID ในชีต Cards"))</f>
        <v/>
      </c>
      <c r="D762" s="68" t="str">
        <f>IF(TRIM($B762)="","",IFERROR(INDEX(Cards!$M$4:$M$1000,MATCH($B762,Cards!$A$4:$A$1000,0))&amp;"","-"))</f>
        <v/>
      </c>
    </row>
    <row r="763" spans="3:4" x14ac:dyDescent="0.3">
      <c r="C763" s="68" t="str">
        <f>IF(TRIM($B763)="","",IFERROR(HYPERLINK("#'Cards'!A"&amp;(MATCH($B763,Cards!$A$4:$A$1000,0)+3),INDEX(Cards!$B$4:$B$1000,MATCH($B763,Cards!$A$4:$A$1000,0))),"ไม่พบ Card ID ในชีต Cards"))</f>
        <v/>
      </c>
      <c r="D763" s="68" t="str">
        <f>IF(TRIM($B763)="","",IFERROR(INDEX(Cards!$M$4:$M$1000,MATCH($B763,Cards!$A$4:$A$1000,0))&amp;"","-"))</f>
        <v/>
      </c>
    </row>
    <row r="764" spans="3:4" x14ac:dyDescent="0.3">
      <c r="C764" s="68" t="str">
        <f>IF(TRIM($B764)="","",IFERROR(HYPERLINK("#'Cards'!A"&amp;(MATCH($B764,Cards!$A$4:$A$1000,0)+3),INDEX(Cards!$B$4:$B$1000,MATCH($B764,Cards!$A$4:$A$1000,0))),"ไม่พบ Card ID ในชีต Cards"))</f>
        <v/>
      </c>
      <c r="D764" s="68" t="str">
        <f>IF(TRIM($B764)="","",IFERROR(INDEX(Cards!$M$4:$M$1000,MATCH($B764,Cards!$A$4:$A$1000,0))&amp;"","-"))</f>
        <v/>
      </c>
    </row>
    <row r="765" spans="3:4" x14ac:dyDescent="0.3">
      <c r="C765" s="68" t="str">
        <f>IF(TRIM($B765)="","",IFERROR(HYPERLINK("#'Cards'!A"&amp;(MATCH($B765,Cards!$A$4:$A$1000,0)+3),INDEX(Cards!$B$4:$B$1000,MATCH($B765,Cards!$A$4:$A$1000,0))),"ไม่พบ Card ID ในชีต Cards"))</f>
        <v/>
      </c>
      <c r="D765" s="68" t="str">
        <f>IF(TRIM($B765)="","",IFERROR(INDEX(Cards!$M$4:$M$1000,MATCH($B765,Cards!$A$4:$A$1000,0))&amp;"","-"))</f>
        <v/>
      </c>
    </row>
    <row r="766" spans="3:4" x14ac:dyDescent="0.3">
      <c r="C766" s="68" t="str">
        <f>IF(TRIM($B766)="","",IFERROR(HYPERLINK("#'Cards'!A"&amp;(MATCH($B766,Cards!$A$4:$A$1000,0)+3),INDEX(Cards!$B$4:$B$1000,MATCH($B766,Cards!$A$4:$A$1000,0))),"ไม่พบ Card ID ในชีต Cards"))</f>
        <v/>
      </c>
      <c r="D766" s="68" t="str">
        <f>IF(TRIM($B766)="","",IFERROR(INDEX(Cards!$M$4:$M$1000,MATCH($B766,Cards!$A$4:$A$1000,0))&amp;"","-"))</f>
        <v/>
      </c>
    </row>
    <row r="767" spans="3:4" x14ac:dyDescent="0.3">
      <c r="C767" s="68" t="str">
        <f>IF(TRIM($B767)="","",IFERROR(HYPERLINK("#'Cards'!A"&amp;(MATCH($B767,Cards!$A$4:$A$1000,0)+3),INDEX(Cards!$B$4:$B$1000,MATCH($B767,Cards!$A$4:$A$1000,0))),"ไม่พบ Card ID ในชีต Cards"))</f>
        <v/>
      </c>
      <c r="D767" s="68" t="str">
        <f>IF(TRIM($B767)="","",IFERROR(INDEX(Cards!$M$4:$M$1000,MATCH($B767,Cards!$A$4:$A$1000,0))&amp;"","-"))</f>
        <v/>
      </c>
    </row>
    <row r="768" spans="3:4" x14ac:dyDescent="0.3">
      <c r="C768" s="68" t="str">
        <f>IF(TRIM($B768)="","",IFERROR(HYPERLINK("#'Cards'!A"&amp;(MATCH($B768,Cards!$A$4:$A$1000,0)+3),INDEX(Cards!$B$4:$B$1000,MATCH($B768,Cards!$A$4:$A$1000,0))),"ไม่พบ Card ID ในชีต Cards"))</f>
        <v/>
      </c>
      <c r="D768" s="68" t="str">
        <f>IF(TRIM($B768)="","",IFERROR(INDEX(Cards!$M$4:$M$1000,MATCH($B768,Cards!$A$4:$A$1000,0))&amp;"","-"))</f>
        <v/>
      </c>
    </row>
    <row r="769" spans="3:4" x14ac:dyDescent="0.3">
      <c r="C769" s="68" t="str">
        <f>IF(TRIM($B769)="","",IFERROR(HYPERLINK("#'Cards'!A"&amp;(MATCH($B769,Cards!$A$4:$A$1000,0)+3),INDEX(Cards!$B$4:$B$1000,MATCH($B769,Cards!$A$4:$A$1000,0))),"ไม่พบ Card ID ในชีต Cards"))</f>
        <v/>
      </c>
      <c r="D769" s="68" t="str">
        <f>IF(TRIM($B769)="","",IFERROR(INDEX(Cards!$M$4:$M$1000,MATCH($B769,Cards!$A$4:$A$1000,0))&amp;"","-"))</f>
        <v/>
      </c>
    </row>
    <row r="770" spans="3:4" x14ac:dyDescent="0.3">
      <c r="C770" s="68" t="str">
        <f>IF(TRIM($B770)="","",IFERROR(HYPERLINK("#'Cards'!A"&amp;(MATCH($B770,Cards!$A$4:$A$1000,0)+3),INDEX(Cards!$B$4:$B$1000,MATCH($B770,Cards!$A$4:$A$1000,0))),"ไม่พบ Card ID ในชีต Cards"))</f>
        <v/>
      </c>
      <c r="D770" s="68" t="str">
        <f>IF(TRIM($B770)="","",IFERROR(INDEX(Cards!$M$4:$M$1000,MATCH($B770,Cards!$A$4:$A$1000,0))&amp;"","-"))</f>
        <v/>
      </c>
    </row>
    <row r="771" spans="3:4" x14ac:dyDescent="0.3">
      <c r="C771" s="68" t="str">
        <f>IF(TRIM($B771)="","",IFERROR(HYPERLINK("#'Cards'!A"&amp;(MATCH($B771,Cards!$A$4:$A$1000,0)+3),INDEX(Cards!$B$4:$B$1000,MATCH($B771,Cards!$A$4:$A$1000,0))),"ไม่พบ Card ID ในชีต Cards"))</f>
        <v/>
      </c>
      <c r="D771" s="68" t="str">
        <f>IF(TRIM($B771)="","",IFERROR(INDEX(Cards!$M$4:$M$1000,MATCH($B771,Cards!$A$4:$A$1000,0))&amp;"","-"))</f>
        <v/>
      </c>
    </row>
    <row r="772" spans="3:4" x14ac:dyDescent="0.3">
      <c r="C772" s="68" t="str">
        <f>IF(TRIM($B772)="","",IFERROR(HYPERLINK("#'Cards'!A"&amp;(MATCH($B772,Cards!$A$4:$A$1000,0)+3),INDEX(Cards!$B$4:$B$1000,MATCH($B772,Cards!$A$4:$A$1000,0))),"ไม่พบ Card ID ในชีต Cards"))</f>
        <v/>
      </c>
      <c r="D772" s="68" t="str">
        <f>IF(TRIM($B772)="","",IFERROR(INDEX(Cards!$M$4:$M$1000,MATCH($B772,Cards!$A$4:$A$1000,0))&amp;"","-"))</f>
        <v/>
      </c>
    </row>
    <row r="773" spans="3:4" x14ac:dyDescent="0.3">
      <c r="C773" s="68" t="str">
        <f>IF(TRIM($B773)="","",IFERROR(HYPERLINK("#'Cards'!A"&amp;(MATCH($B773,Cards!$A$4:$A$1000,0)+3),INDEX(Cards!$B$4:$B$1000,MATCH($B773,Cards!$A$4:$A$1000,0))),"ไม่พบ Card ID ในชีต Cards"))</f>
        <v/>
      </c>
      <c r="D773" s="68" t="str">
        <f>IF(TRIM($B773)="","",IFERROR(INDEX(Cards!$M$4:$M$1000,MATCH($B773,Cards!$A$4:$A$1000,0))&amp;"","-"))</f>
        <v/>
      </c>
    </row>
    <row r="774" spans="3:4" x14ac:dyDescent="0.3">
      <c r="C774" s="68" t="str">
        <f>IF(TRIM($B774)="","",IFERROR(HYPERLINK("#'Cards'!A"&amp;(MATCH($B774,Cards!$A$4:$A$1000,0)+3),INDEX(Cards!$B$4:$B$1000,MATCH($B774,Cards!$A$4:$A$1000,0))),"ไม่พบ Card ID ในชีต Cards"))</f>
        <v/>
      </c>
      <c r="D774" s="68" t="str">
        <f>IF(TRIM($B774)="","",IFERROR(INDEX(Cards!$M$4:$M$1000,MATCH($B774,Cards!$A$4:$A$1000,0))&amp;"","-"))</f>
        <v/>
      </c>
    </row>
    <row r="775" spans="3:4" x14ac:dyDescent="0.3">
      <c r="C775" s="68" t="str">
        <f>IF(TRIM($B775)="","",IFERROR(HYPERLINK("#'Cards'!A"&amp;(MATCH($B775,Cards!$A$4:$A$1000,0)+3),INDEX(Cards!$B$4:$B$1000,MATCH($B775,Cards!$A$4:$A$1000,0))),"ไม่พบ Card ID ในชีต Cards"))</f>
        <v/>
      </c>
      <c r="D775" s="68" t="str">
        <f>IF(TRIM($B775)="","",IFERROR(INDEX(Cards!$M$4:$M$1000,MATCH($B775,Cards!$A$4:$A$1000,0))&amp;"","-"))</f>
        <v/>
      </c>
    </row>
    <row r="776" spans="3:4" x14ac:dyDescent="0.3">
      <c r="C776" s="68" t="str">
        <f>IF(TRIM($B776)="","",IFERROR(HYPERLINK("#'Cards'!A"&amp;(MATCH($B776,Cards!$A$4:$A$1000,0)+3),INDEX(Cards!$B$4:$B$1000,MATCH($B776,Cards!$A$4:$A$1000,0))),"ไม่พบ Card ID ในชีต Cards"))</f>
        <v/>
      </c>
      <c r="D776" s="68" t="str">
        <f>IF(TRIM($B776)="","",IFERROR(INDEX(Cards!$M$4:$M$1000,MATCH($B776,Cards!$A$4:$A$1000,0))&amp;"","-"))</f>
        <v/>
      </c>
    </row>
    <row r="777" spans="3:4" x14ac:dyDescent="0.3">
      <c r="C777" s="68" t="str">
        <f>IF(TRIM($B777)="","",IFERROR(HYPERLINK("#'Cards'!A"&amp;(MATCH($B777,Cards!$A$4:$A$1000,0)+3),INDEX(Cards!$B$4:$B$1000,MATCH($B777,Cards!$A$4:$A$1000,0))),"ไม่พบ Card ID ในชีต Cards"))</f>
        <v/>
      </c>
      <c r="D777" s="68" t="str">
        <f>IF(TRIM($B777)="","",IFERROR(INDEX(Cards!$M$4:$M$1000,MATCH($B777,Cards!$A$4:$A$1000,0))&amp;"","-"))</f>
        <v/>
      </c>
    </row>
    <row r="778" spans="3:4" x14ac:dyDescent="0.3">
      <c r="C778" s="68" t="str">
        <f>IF(TRIM($B778)="","",IFERROR(HYPERLINK("#'Cards'!A"&amp;(MATCH($B778,Cards!$A$4:$A$1000,0)+3),INDEX(Cards!$B$4:$B$1000,MATCH($B778,Cards!$A$4:$A$1000,0))),"ไม่พบ Card ID ในชีต Cards"))</f>
        <v/>
      </c>
      <c r="D778" s="68" t="str">
        <f>IF(TRIM($B778)="","",IFERROR(INDEX(Cards!$M$4:$M$1000,MATCH($B778,Cards!$A$4:$A$1000,0))&amp;"","-"))</f>
        <v/>
      </c>
    </row>
    <row r="779" spans="3:4" x14ac:dyDescent="0.3">
      <c r="C779" s="68" t="str">
        <f>IF(TRIM($B779)="","",IFERROR(HYPERLINK("#'Cards'!A"&amp;(MATCH($B779,Cards!$A$4:$A$1000,0)+3),INDEX(Cards!$B$4:$B$1000,MATCH($B779,Cards!$A$4:$A$1000,0))),"ไม่พบ Card ID ในชีต Cards"))</f>
        <v/>
      </c>
      <c r="D779" s="68" t="str">
        <f>IF(TRIM($B779)="","",IFERROR(INDEX(Cards!$M$4:$M$1000,MATCH($B779,Cards!$A$4:$A$1000,0))&amp;"","-"))</f>
        <v/>
      </c>
    </row>
    <row r="780" spans="3:4" x14ac:dyDescent="0.3">
      <c r="C780" s="68" t="str">
        <f>IF(TRIM($B780)="","",IFERROR(HYPERLINK("#'Cards'!A"&amp;(MATCH($B780,Cards!$A$4:$A$1000,0)+3),INDEX(Cards!$B$4:$B$1000,MATCH($B780,Cards!$A$4:$A$1000,0))),"ไม่พบ Card ID ในชีต Cards"))</f>
        <v/>
      </c>
      <c r="D780" s="68" t="str">
        <f>IF(TRIM($B780)="","",IFERROR(INDEX(Cards!$M$4:$M$1000,MATCH($B780,Cards!$A$4:$A$1000,0))&amp;"","-"))</f>
        <v/>
      </c>
    </row>
    <row r="781" spans="3:4" x14ac:dyDescent="0.3">
      <c r="C781" s="68" t="str">
        <f>IF(TRIM($B781)="","",IFERROR(HYPERLINK("#'Cards'!A"&amp;(MATCH($B781,Cards!$A$4:$A$1000,0)+3),INDEX(Cards!$B$4:$B$1000,MATCH($B781,Cards!$A$4:$A$1000,0))),"ไม่พบ Card ID ในชีต Cards"))</f>
        <v/>
      </c>
      <c r="D781" s="68" t="str">
        <f>IF(TRIM($B781)="","",IFERROR(INDEX(Cards!$M$4:$M$1000,MATCH($B781,Cards!$A$4:$A$1000,0))&amp;"","-"))</f>
        <v/>
      </c>
    </row>
    <row r="782" spans="3:4" x14ac:dyDescent="0.3">
      <c r="C782" s="68" t="str">
        <f>IF(TRIM($B782)="","",IFERROR(HYPERLINK("#'Cards'!A"&amp;(MATCH($B782,Cards!$A$4:$A$1000,0)+3),INDEX(Cards!$B$4:$B$1000,MATCH($B782,Cards!$A$4:$A$1000,0))),"ไม่พบ Card ID ในชีต Cards"))</f>
        <v/>
      </c>
      <c r="D782" s="68" t="str">
        <f>IF(TRIM($B782)="","",IFERROR(INDEX(Cards!$M$4:$M$1000,MATCH($B782,Cards!$A$4:$A$1000,0))&amp;"","-"))</f>
        <v/>
      </c>
    </row>
    <row r="783" spans="3:4" x14ac:dyDescent="0.3">
      <c r="C783" s="68" t="str">
        <f>IF(TRIM($B783)="","",IFERROR(HYPERLINK("#'Cards'!A"&amp;(MATCH($B783,Cards!$A$4:$A$1000,0)+3),INDEX(Cards!$B$4:$B$1000,MATCH($B783,Cards!$A$4:$A$1000,0))),"ไม่พบ Card ID ในชีต Cards"))</f>
        <v/>
      </c>
      <c r="D783" s="68" t="str">
        <f>IF(TRIM($B783)="","",IFERROR(INDEX(Cards!$M$4:$M$1000,MATCH($B783,Cards!$A$4:$A$1000,0))&amp;"","-"))</f>
        <v/>
      </c>
    </row>
    <row r="784" spans="3:4" x14ac:dyDescent="0.3">
      <c r="C784" s="68" t="str">
        <f>IF(TRIM($B784)="","",IFERROR(HYPERLINK("#'Cards'!A"&amp;(MATCH($B784,Cards!$A$4:$A$1000,0)+3),INDEX(Cards!$B$4:$B$1000,MATCH($B784,Cards!$A$4:$A$1000,0))),"ไม่พบ Card ID ในชีต Cards"))</f>
        <v/>
      </c>
      <c r="D784" s="68" t="str">
        <f>IF(TRIM($B784)="","",IFERROR(INDEX(Cards!$M$4:$M$1000,MATCH($B784,Cards!$A$4:$A$1000,0))&amp;"","-"))</f>
        <v/>
      </c>
    </row>
    <row r="785" spans="3:4" x14ac:dyDescent="0.3">
      <c r="C785" s="68" t="str">
        <f>IF(TRIM($B785)="","",IFERROR(HYPERLINK("#'Cards'!A"&amp;(MATCH($B785,Cards!$A$4:$A$1000,0)+3),INDEX(Cards!$B$4:$B$1000,MATCH($B785,Cards!$A$4:$A$1000,0))),"ไม่พบ Card ID ในชีต Cards"))</f>
        <v/>
      </c>
      <c r="D785" s="68" t="str">
        <f>IF(TRIM($B785)="","",IFERROR(INDEX(Cards!$M$4:$M$1000,MATCH($B785,Cards!$A$4:$A$1000,0))&amp;"","-"))</f>
        <v/>
      </c>
    </row>
    <row r="786" spans="3:4" x14ac:dyDescent="0.3">
      <c r="C786" s="68" t="str">
        <f>IF(TRIM($B786)="","",IFERROR(HYPERLINK("#'Cards'!A"&amp;(MATCH($B786,Cards!$A$4:$A$1000,0)+3),INDEX(Cards!$B$4:$B$1000,MATCH($B786,Cards!$A$4:$A$1000,0))),"ไม่พบ Card ID ในชีต Cards"))</f>
        <v/>
      </c>
      <c r="D786" s="68" t="str">
        <f>IF(TRIM($B786)="","",IFERROR(INDEX(Cards!$M$4:$M$1000,MATCH($B786,Cards!$A$4:$A$1000,0))&amp;"","-"))</f>
        <v/>
      </c>
    </row>
    <row r="787" spans="3:4" x14ac:dyDescent="0.3">
      <c r="C787" s="68" t="str">
        <f>IF(TRIM($B787)="","",IFERROR(HYPERLINK("#'Cards'!A"&amp;(MATCH($B787,Cards!$A$4:$A$1000,0)+3),INDEX(Cards!$B$4:$B$1000,MATCH($B787,Cards!$A$4:$A$1000,0))),"ไม่พบ Card ID ในชีต Cards"))</f>
        <v/>
      </c>
      <c r="D787" s="68" t="str">
        <f>IF(TRIM($B787)="","",IFERROR(INDEX(Cards!$M$4:$M$1000,MATCH($B787,Cards!$A$4:$A$1000,0))&amp;"","-"))</f>
        <v/>
      </c>
    </row>
    <row r="788" spans="3:4" x14ac:dyDescent="0.3">
      <c r="C788" s="68" t="str">
        <f>IF(TRIM($B788)="","",IFERROR(HYPERLINK("#'Cards'!A"&amp;(MATCH($B788,Cards!$A$4:$A$1000,0)+3),INDEX(Cards!$B$4:$B$1000,MATCH($B788,Cards!$A$4:$A$1000,0))),"ไม่พบ Card ID ในชีต Cards"))</f>
        <v/>
      </c>
      <c r="D788" s="68" t="str">
        <f>IF(TRIM($B788)="","",IFERROR(INDEX(Cards!$M$4:$M$1000,MATCH($B788,Cards!$A$4:$A$1000,0))&amp;"","-"))</f>
        <v/>
      </c>
    </row>
    <row r="789" spans="3:4" x14ac:dyDescent="0.3">
      <c r="C789" s="68" t="str">
        <f>IF(TRIM($B789)="","",IFERROR(HYPERLINK("#'Cards'!A"&amp;(MATCH($B789,Cards!$A$4:$A$1000,0)+3),INDEX(Cards!$B$4:$B$1000,MATCH($B789,Cards!$A$4:$A$1000,0))),"ไม่พบ Card ID ในชีต Cards"))</f>
        <v/>
      </c>
      <c r="D789" s="68" t="str">
        <f>IF(TRIM($B789)="","",IFERROR(INDEX(Cards!$M$4:$M$1000,MATCH($B789,Cards!$A$4:$A$1000,0))&amp;"","-"))</f>
        <v/>
      </c>
    </row>
    <row r="790" spans="3:4" x14ac:dyDescent="0.3">
      <c r="C790" s="68" t="str">
        <f>IF(TRIM($B790)="","",IFERROR(HYPERLINK("#'Cards'!A"&amp;(MATCH($B790,Cards!$A$4:$A$1000,0)+3),INDEX(Cards!$B$4:$B$1000,MATCH($B790,Cards!$A$4:$A$1000,0))),"ไม่พบ Card ID ในชีต Cards"))</f>
        <v/>
      </c>
      <c r="D790" s="68" t="str">
        <f>IF(TRIM($B790)="","",IFERROR(INDEX(Cards!$M$4:$M$1000,MATCH($B790,Cards!$A$4:$A$1000,0))&amp;"","-"))</f>
        <v/>
      </c>
    </row>
    <row r="791" spans="3:4" x14ac:dyDescent="0.3">
      <c r="C791" s="68" t="str">
        <f>IF(TRIM($B791)="","",IFERROR(HYPERLINK("#'Cards'!A"&amp;(MATCH($B791,Cards!$A$4:$A$1000,0)+3),INDEX(Cards!$B$4:$B$1000,MATCH($B791,Cards!$A$4:$A$1000,0))),"ไม่พบ Card ID ในชีต Cards"))</f>
        <v/>
      </c>
      <c r="D791" s="68" t="str">
        <f>IF(TRIM($B791)="","",IFERROR(INDEX(Cards!$M$4:$M$1000,MATCH($B791,Cards!$A$4:$A$1000,0))&amp;"","-"))</f>
        <v/>
      </c>
    </row>
    <row r="792" spans="3:4" x14ac:dyDescent="0.3">
      <c r="C792" s="68" t="str">
        <f>IF(TRIM($B792)="","",IFERROR(HYPERLINK("#'Cards'!A"&amp;(MATCH($B792,Cards!$A$4:$A$1000,0)+3),INDEX(Cards!$B$4:$B$1000,MATCH($B792,Cards!$A$4:$A$1000,0))),"ไม่พบ Card ID ในชีต Cards"))</f>
        <v/>
      </c>
      <c r="D792" s="68" t="str">
        <f>IF(TRIM($B792)="","",IFERROR(INDEX(Cards!$M$4:$M$1000,MATCH($B792,Cards!$A$4:$A$1000,0))&amp;"","-"))</f>
        <v/>
      </c>
    </row>
    <row r="793" spans="3:4" x14ac:dyDescent="0.3">
      <c r="C793" s="68" t="str">
        <f>IF(TRIM($B793)="","",IFERROR(HYPERLINK("#'Cards'!A"&amp;(MATCH($B793,Cards!$A$4:$A$1000,0)+3),INDEX(Cards!$B$4:$B$1000,MATCH($B793,Cards!$A$4:$A$1000,0))),"ไม่พบ Card ID ในชีต Cards"))</f>
        <v/>
      </c>
      <c r="D793" s="68" t="str">
        <f>IF(TRIM($B793)="","",IFERROR(INDEX(Cards!$M$4:$M$1000,MATCH($B793,Cards!$A$4:$A$1000,0))&amp;"","-"))</f>
        <v/>
      </c>
    </row>
    <row r="794" spans="3:4" x14ac:dyDescent="0.3">
      <c r="C794" s="68" t="str">
        <f>IF(TRIM($B794)="","",IFERROR(HYPERLINK("#'Cards'!A"&amp;(MATCH($B794,Cards!$A$4:$A$1000,0)+3),INDEX(Cards!$B$4:$B$1000,MATCH($B794,Cards!$A$4:$A$1000,0))),"ไม่พบ Card ID ในชีต Cards"))</f>
        <v/>
      </c>
      <c r="D794" s="68" t="str">
        <f>IF(TRIM($B794)="","",IFERROR(INDEX(Cards!$M$4:$M$1000,MATCH($B794,Cards!$A$4:$A$1000,0))&amp;"","-"))</f>
        <v/>
      </c>
    </row>
    <row r="795" spans="3:4" x14ac:dyDescent="0.3">
      <c r="C795" s="68" t="str">
        <f>IF(TRIM($B795)="","",IFERROR(HYPERLINK("#'Cards'!A"&amp;(MATCH($B795,Cards!$A$4:$A$1000,0)+3),INDEX(Cards!$B$4:$B$1000,MATCH($B795,Cards!$A$4:$A$1000,0))),"ไม่พบ Card ID ในชีต Cards"))</f>
        <v/>
      </c>
      <c r="D795" s="68" t="str">
        <f>IF(TRIM($B795)="","",IFERROR(INDEX(Cards!$M$4:$M$1000,MATCH($B795,Cards!$A$4:$A$1000,0))&amp;"","-"))</f>
        <v/>
      </c>
    </row>
    <row r="796" spans="3:4" x14ac:dyDescent="0.3">
      <c r="C796" s="68" t="str">
        <f>IF(TRIM($B796)="","",IFERROR(HYPERLINK("#'Cards'!A"&amp;(MATCH($B796,Cards!$A$4:$A$1000,0)+3),INDEX(Cards!$B$4:$B$1000,MATCH($B796,Cards!$A$4:$A$1000,0))),"ไม่พบ Card ID ในชีต Cards"))</f>
        <v/>
      </c>
      <c r="D796" s="68" t="str">
        <f>IF(TRIM($B796)="","",IFERROR(INDEX(Cards!$M$4:$M$1000,MATCH($B796,Cards!$A$4:$A$1000,0))&amp;"","-"))</f>
        <v/>
      </c>
    </row>
    <row r="797" spans="3:4" x14ac:dyDescent="0.3">
      <c r="C797" s="68" t="str">
        <f>IF(TRIM($B797)="","",IFERROR(HYPERLINK("#'Cards'!A"&amp;(MATCH($B797,Cards!$A$4:$A$1000,0)+3),INDEX(Cards!$B$4:$B$1000,MATCH($B797,Cards!$A$4:$A$1000,0))),"ไม่พบ Card ID ในชีต Cards"))</f>
        <v/>
      </c>
      <c r="D797" s="68" t="str">
        <f>IF(TRIM($B797)="","",IFERROR(INDEX(Cards!$M$4:$M$1000,MATCH($B797,Cards!$A$4:$A$1000,0))&amp;"","-"))</f>
        <v/>
      </c>
    </row>
    <row r="798" spans="3:4" x14ac:dyDescent="0.3">
      <c r="C798" s="68" t="str">
        <f>IF(TRIM($B798)="","",IFERROR(HYPERLINK("#'Cards'!A"&amp;(MATCH($B798,Cards!$A$4:$A$1000,0)+3),INDEX(Cards!$B$4:$B$1000,MATCH($B798,Cards!$A$4:$A$1000,0))),"ไม่พบ Card ID ในชีต Cards"))</f>
        <v/>
      </c>
      <c r="D798" s="68" t="str">
        <f>IF(TRIM($B798)="","",IFERROR(INDEX(Cards!$M$4:$M$1000,MATCH($B798,Cards!$A$4:$A$1000,0))&amp;"","-"))</f>
        <v/>
      </c>
    </row>
    <row r="799" spans="3:4" x14ac:dyDescent="0.3">
      <c r="C799" s="68" t="str">
        <f>IF(TRIM($B799)="","",IFERROR(HYPERLINK("#'Cards'!A"&amp;(MATCH($B799,Cards!$A$4:$A$1000,0)+3),INDEX(Cards!$B$4:$B$1000,MATCH($B799,Cards!$A$4:$A$1000,0))),"ไม่พบ Card ID ในชีต Cards"))</f>
        <v/>
      </c>
      <c r="D799" s="68" t="str">
        <f>IF(TRIM($B799)="","",IFERROR(INDEX(Cards!$M$4:$M$1000,MATCH($B799,Cards!$A$4:$A$1000,0))&amp;"","-"))</f>
        <v/>
      </c>
    </row>
    <row r="800" spans="3:4" x14ac:dyDescent="0.3">
      <c r="C800" s="68" t="str">
        <f>IF(TRIM($B800)="","",IFERROR(HYPERLINK("#'Cards'!A"&amp;(MATCH($B800,Cards!$A$4:$A$1000,0)+3),INDEX(Cards!$B$4:$B$1000,MATCH($B800,Cards!$A$4:$A$1000,0))),"ไม่พบ Card ID ในชีต Cards"))</f>
        <v/>
      </c>
      <c r="D800" s="68" t="str">
        <f>IF(TRIM($B800)="","",IFERROR(INDEX(Cards!$M$4:$M$1000,MATCH($B800,Cards!$A$4:$A$1000,0))&amp;"","-"))</f>
        <v/>
      </c>
    </row>
    <row r="801" spans="3:4" x14ac:dyDescent="0.3">
      <c r="C801" s="68" t="str">
        <f>IF(TRIM($B801)="","",IFERROR(HYPERLINK("#'Cards'!A"&amp;(MATCH($B801,Cards!$A$4:$A$1000,0)+3),INDEX(Cards!$B$4:$B$1000,MATCH($B801,Cards!$A$4:$A$1000,0))),"ไม่พบ Card ID ในชีต Cards"))</f>
        <v/>
      </c>
      <c r="D801" s="68" t="str">
        <f>IF(TRIM($B801)="","",IFERROR(INDEX(Cards!$M$4:$M$1000,MATCH($B801,Cards!$A$4:$A$1000,0))&amp;"","-"))</f>
        <v/>
      </c>
    </row>
    <row r="802" spans="3:4" x14ac:dyDescent="0.3">
      <c r="C802" s="68" t="str">
        <f>IF(TRIM($B802)="","",IFERROR(HYPERLINK("#'Cards'!A"&amp;(MATCH($B802,Cards!$A$4:$A$1000,0)+3),INDEX(Cards!$B$4:$B$1000,MATCH($B802,Cards!$A$4:$A$1000,0))),"ไม่พบ Card ID ในชีต Cards"))</f>
        <v/>
      </c>
      <c r="D802" s="68" t="str">
        <f>IF(TRIM($B802)="","",IFERROR(INDEX(Cards!$M$4:$M$1000,MATCH($B802,Cards!$A$4:$A$1000,0))&amp;"","-"))</f>
        <v/>
      </c>
    </row>
    <row r="803" spans="3:4" x14ac:dyDescent="0.3">
      <c r="C803" s="68" t="str">
        <f>IF(TRIM($B803)="","",IFERROR(HYPERLINK("#'Cards'!A"&amp;(MATCH($B803,Cards!$A$4:$A$1000,0)+3),INDEX(Cards!$B$4:$B$1000,MATCH($B803,Cards!$A$4:$A$1000,0))),"ไม่พบ Card ID ในชีต Cards"))</f>
        <v/>
      </c>
      <c r="D803" s="68" t="str">
        <f>IF(TRIM($B803)="","",IFERROR(INDEX(Cards!$M$4:$M$1000,MATCH($B803,Cards!$A$4:$A$1000,0))&amp;"","-"))</f>
        <v/>
      </c>
    </row>
    <row r="804" spans="3:4" x14ac:dyDescent="0.3">
      <c r="C804" s="68" t="str">
        <f>IF(TRIM($B804)="","",IFERROR(HYPERLINK("#'Cards'!A"&amp;(MATCH($B804,Cards!$A$4:$A$1000,0)+3),INDEX(Cards!$B$4:$B$1000,MATCH($B804,Cards!$A$4:$A$1000,0))),"ไม่พบ Card ID ในชีต Cards"))</f>
        <v/>
      </c>
      <c r="D804" s="68" t="str">
        <f>IF(TRIM($B804)="","",IFERROR(INDEX(Cards!$M$4:$M$1000,MATCH($B804,Cards!$A$4:$A$1000,0))&amp;"","-"))</f>
        <v/>
      </c>
    </row>
    <row r="805" spans="3:4" x14ac:dyDescent="0.3">
      <c r="C805" s="68" t="str">
        <f>IF(TRIM($B805)="","",IFERROR(HYPERLINK("#'Cards'!A"&amp;(MATCH($B805,Cards!$A$4:$A$1000,0)+3),INDEX(Cards!$B$4:$B$1000,MATCH($B805,Cards!$A$4:$A$1000,0))),"ไม่พบ Card ID ในชีต Cards"))</f>
        <v/>
      </c>
      <c r="D805" s="68" t="str">
        <f>IF(TRIM($B805)="","",IFERROR(INDEX(Cards!$M$4:$M$1000,MATCH($B805,Cards!$A$4:$A$1000,0))&amp;"","-"))</f>
        <v/>
      </c>
    </row>
    <row r="806" spans="3:4" x14ac:dyDescent="0.3">
      <c r="C806" s="68" t="str">
        <f>IF(TRIM($B806)="","",IFERROR(HYPERLINK("#'Cards'!A"&amp;(MATCH($B806,Cards!$A$4:$A$1000,0)+3),INDEX(Cards!$B$4:$B$1000,MATCH($B806,Cards!$A$4:$A$1000,0))),"ไม่พบ Card ID ในชีต Cards"))</f>
        <v/>
      </c>
      <c r="D806" s="68" t="str">
        <f>IF(TRIM($B806)="","",IFERROR(INDEX(Cards!$M$4:$M$1000,MATCH($B806,Cards!$A$4:$A$1000,0))&amp;"","-"))</f>
        <v/>
      </c>
    </row>
    <row r="807" spans="3:4" x14ac:dyDescent="0.3">
      <c r="C807" s="68" t="str">
        <f>IF(TRIM($B807)="","",IFERROR(HYPERLINK("#'Cards'!A"&amp;(MATCH($B807,Cards!$A$4:$A$1000,0)+3),INDEX(Cards!$B$4:$B$1000,MATCH($B807,Cards!$A$4:$A$1000,0))),"ไม่พบ Card ID ในชีต Cards"))</f>
        <v/>
      </c>
      <c r="D807" s="68" t="str">
        <f>IF(TRIM($B807)="","",IFERROR(INDEX(Cards!$M$4:$M$1000,MATCH($B807,Cards!$A$4:$A$1000,0))&amp;"","-"))</f>
        <v/>
      </c>
    </row>
    <row r="808" spans="3:4" x14ac:dyDescent="0.3">
      <c r="C808" s="68" t="str">
        <f>IF(TRIM($B808)="","",IFERROR(HYPERLINK("#'Cards'!A"&amp;(MATCH($B808,Cards!$A$4:$A$1000,0)+3),INDEX(Cards!$B$4:$B$1000,MATCH($B808,Cards!$A$4:$A$1000,0))),"ไม่พบ Card ID ในชีต Cards"))</f>
        <v/>
      </c>
      <c r="D808" s="68" t="str">
        <f>IF(TRIM($B808)="","",IFERROR(INDEX(Cards!$M$4:$M$1000,MATCH($B808,Cards!$A$4:$A$1000,0))&amp;"","-"))</f>
        <v/>
      </c>
    </row>
    <row r="809" spans="3:4" x14ac:dyDescent="0.3">
      <c r="C809" s="68" t="str">
        <f>IF(TRIM($B809)="","",IFERROR(HYPERLINK("#'Cards'!A"&amp;(MATCH($B809,Cards!$A$4:$A$1000,0)+3),INDEX(Cards!$B$4:$B$1000,MATCH($B809,Cards!$A$4:$A$1000,0))),"ไม่พบ Card ID ในชีต Cards"))</f>
        <v/>
      </c>
      <c r="D809" s="68" t="str">
        <f>IF(TRIM($B809)="","",IFERROR(INDEX(Cards!$M$4:$M$1000,MATCH($B809,Cards!$A$4:$A$1000,0))&amp;"","-"))</f>
        <v/>
      </c>
    </row>
    <row r="810" spans="3:4" x14ac:dyDescent="0.3">
      <c r="C810" s="68" t="str">
        <f>IF(TRIM($B810)="","",IFERROR(HYPERLINK("#'Cards'!A"&amp;(MATCH($B810,Cards!$A$4:$A$1000,0)+3),INDEX(Cards!$B$4:$B$1000,MATCH($B810,Cards!$A$4:$A$1000,0))),"ไม่พบ Card ID ในชีต Cards"))</f>
        <v/>
      </c>
      <c r="D810" s="68" t="str">
        <f>IF(TRIM($B810)="","",IFERROR(INDEX(Cards!$M$4:$M$1000,MATCH($B810,Cards!$A$4:$A$1000,0))&amp;"","-"))</f>
        <v/>
      </c>
    </row>
    <row r="811" spans="3:4" x14ac:dyDescent="0.3">
      <c r="C811" s="68" t="str">
        <f>IF(TRIM($B811)="","",IFERROR(HYPERLINK("#'Cards'!A"&amp;(MATCH($B811,Cards!$A$4:$A$1000,0)+3),INDEX(Cards!$B$4:$B$1000,MATCH($B811,Cards!$A$4:$A$1000,0))),"ไม่พบ Card ID ในชีต Cards"))</f>
        <v/>
      </c>
      <c r="D811" s="68" t="str">
        <f>IF(TRIM($B811)="","",IFERROR(INDEX(Cards!$M$4:$M$1000,MATCH($B811,Cards!$A$4:$A$1000,0))&amp;"","-"))</f>
        <v/>
      </c>
    </row>
    <row r="812" spans="3:4" x14ac:dyDescent="0.3">
      <c r="C812" s="68" t="str">
        <f>IF(TRIM($B812)="","",IFERROR(HYPERLINK("#'Cards'!A"&amp;(MATCH($B812,Cards!$A$4:$A$1000,0)+3),INDEX(Cards!$B$4:$B$1000,MATCH($B812,Cards!$A$4:$A$1000,0))),"ไม่พบ Card ID ในชีต Cards"))</f>
        <v/>
      </c>
      <c r="D812" s="68" t="str">
        <f>IF(TRIM($B812)="","",IFERROR(INDEX(Cards!$M$4:$M$1000,MATCH($B812,Cards!$A$4:$A$1000,0))&amp;"","-"))</f>
        <v/>
      </c>
    </row>
    <row r="813" spans="3:4" x14ac:dyDescent="0.3">
      <c r="C813" s="68" t="str">
        <f>IF(TRIM($B813)="","",IFERROR(HYPERLINK("#'Cards'!A"&amp;(MATCH($B813,Cards!$A$4:$A$1000,0)+3),INDEX(Cards!$B$4:$B$1000,MATCH($B813,Cards!$A$4:$A$1000,0))),"ไม่พบ Card ID ในชีต Cards"))</f>
        <v/>
      </c>
      <c r="D813" s="68" t="str">
        <f>IF(TRIM($B813)="","",IFERROR(INDEX(Cards!$M$4:$M$1000,MATCH($B813,Cards!$A$4:$A$1000,0))&amp;"","-"))</f>
        <v/>
      </c>
    </row>
    <row r="814" spans="3:4" x14ac:dyDescent="0.3">
      <c r="C814" s="68" t="str">
        <f>IF(TRIM($B814)="","",IFERROR(HYPERLINK("#'Cards'!A"&amp;(MATCH($B814,Cards!$A$4:$A$1000,0)+3),INDEX(Cards!$B$4:$B$1000,MATCH($B814,Cards!$A$4:$A$1000,0))),"ไม่พบ Card ID ในชีต Cards"))</f>
        <v/>
      </c>
      <c r="D814" s="68" t="str">
        <f>IF(TRIM($B814)="","",IFERROR(INDEX(Cards!$M$4:$M$1000,MATCH($B814,Cards!$A$4:$A$1000,0))&amp;"","-"))</f>
        <v/>
      </c>
    </row>
    <row r="815" spans="3:4" x14ac:dyDescent="0.3">
      <c r="C815" s="68" t="str">
        <f>IF(TRIM($B815)="","",IFERROR(HYPERLINK("#'Cards'!A"&amp;(MATCH($B815,Cards!$A$4:$A$1000,0)+3),INDEX(Cards!$B$4:$B$1000,MATCH($B815,Cards!$A$4:$A$1000,0))),"ไม่พบ Card ID ในชีต Cards"))</f>
        <v/>
      </c>
      <c r="D815" s="68" t="str">
        <f>IF(TRIM($B815)="","",IFERROR(INDEX(Cards!$M$4:$M$1000,MATCH($B815,Cards!$A$4:$A$1000,0))&amp;"","-"))</f>
        <v/>
      </c>
    </row>
    <row r="816" spans="3:4" x14ac:dyDescent="0.3">
      <c r="C816" s="68" t="str">
        <f>IF(TRIM($B816)="","",IFERROR(HYPERLINK("#'Cards'!A"&amp;(MATCH($B816,Cards!$A$4:$A$1000,0)+3),INDEX(Cards!$B$4:$B$1000,MATCH($B816,Cards!$A$4:$A$1000,0))),"ไม่พบ Card ID ในชีต Cards"))</f>
        <v/>
      </c>
      <c r="D816" s="68" t="str">
        <f>IF(TRIM($B816)="","",IFERROR(INDEX(Cards!$M$4:$M$1000,MATCH($B816,Cards!$A$4:$A$1000,0))&amp;"","-"))</f>
        <v/>
      </c>
    </row>
    <row r="817" spans="3:4" x14ac:dyDescent="0.3">
      <c r="C817" s="68" t="str">
        <f>IF(TRIM($B817)="","",IFERROR(HYPERLINK("#'Cards'!A"&amp;(MATCH($B817,Cards!$A$4:$A$1000,0)+3),INDEX(Cards!$B$4:$B$1000,MATCH($B817,Cards!$A$4:$A$1000,0))),"ไม่พบ Card ID ในชีต Cards"))</f>
        <v/>
      </c>
      <c r="D817" s="68" t="str">
        <f>IF(TRIM($B817)="","",IFERROR(INDEX(Cards!$M$4:$M$1000,MATCH($B817,Cards!$A$4:$A$1000,0))&amp;"","-"))</f>
        <v/>
      </c>
    </row>
    <row r="818" spans="3:4" x14ac:dyDescent="0.3">
      <c r="C818" s="68" t="str">
        <f>IF(TRIM($B818)="","",IFERROR(HYPERLINK("#'Cards'!A"&amp;(MATCH($B818,Cards!$A$4:$A$1000,0)+3),INDEX(Cards!$B$4:$B$1000,MATCH($B818,Cards!$A$4:$A$1000,0))),"ไม่พบ Card ID ในชีต Cards"))</f>
        <v/>
      </c>
      <c r="D818" s="68" t="str">
        <f>IF(TRIM($B818)="","",IFERROR(INDEX(Cards!$M$4:$M$1000,MATCH($B818,Cards!$A$4:$A$1000,0))&amp;"","-"))</f>
        <v/>
      </c>
    </row>
    <row r="819" spans="3:4" x14ac:dyDescent="0.3">
      <c r="C819" s="68" t="str">
        <f>IF(TRIM($B819)="","",IFERROR(HYPERLINK("#'Cards'!A"&amp;(MATCH($B819,Cards!$A$4:$A$1000,0)+3),INDEX(Cards!$B$4:$B$1000,MATCH($B819,Cards!$A$4:$A$1000,0))),"ไม่พบ Card ID ในชีต Cards"))</f>
        <v/>
      </c>
      <c r="D819" s="68" t="str">
        <f>IF(TRIM($B819)="","",IFERROR(INDEX(Cards!$M$4:$M$1000,MATCH($B819,Cards!$A$4:$A$1000,0))&amp;"","-"))</f>
        <v/>
      </c>
    </row>
    <row r="820" spans="3:4" x14ac:dyDescent="0.3">
      <c r="C820" s="68" t="str">
        <f>IF(TRIM($B820)="","",IFERROR(HYPERLINK("#'Cards'!A"&amp;(MATCH($B820,Cards!$A$4:$A$1000,0)+3),INDEX(Cards!$B$4:$B$1000,MATCH($B820,Cards!$A$4:$A$1000,0))),"ไม่พบ Card ID ในชีต Cards"))</f>
        <v/>
      </c>
      <c r="D820" s="68" t="str">
        <f>IF(TRIM($B820)="","",IFERROR(INDEX(Cards!$M$4:$M$1000,MATCH($B820,Cards!$A$4:$A$1000,0))&amp;"","-"))</f>
        <v/>
      </c>
    </row>
    <row r="821" spans="3:4" x14ac:dyDescent="0.3">
      <c r="C821" s="68" t="str">
        <f>IF(TRIM($B821)="","",IFERROR(HYPERLINK("#'Cards'!A"&amp;(MATCH($B821,Cards!$A$4:$A$1000,0)+3),INDEX(Cards!$B$4:$B$1000,MATCH($B821,Cards!$A$4:$A$1000,0))),"ไม่พบ Card ID ในชีต Cards"))</f>
        <v/>
      </c>
      <c r="D821" s="68" t="str">
        <f>IF(TRIM($B821)="","",IFERROR(INDEX(Cards!$M$4:$M$1000,MATCH($B821,Cards!$A$4:$A$1000,0))&amp;"","-"))</f>
        <v/>
      </c>
    </row>
    <row r="822" spans="3:4" x14ac:dyDescent="0.3">
      <c r="C822" s="68" t="str">
        <f>IF(TRIM($B822)="","",IFERROR(HYPERLINK("#'Cards'!A"&amp;(MATCH($B822,Cards!$A$4:$A$1000,0)+3),INDEX(Cards!$B$4:$B$1000,MATCH($B822,Cards!$A$4:$A$1000,0))),"ไม่พบ Card ID ในชีต Cards"))</f>
        <v/>
      </c>
      <c r="D822" s="68" t="str">
        <f>IF(TRIM($B822)="","",IFERROR(INDEX(Cards!$M$4:$M$1000,MATCH($B822,Cards!$A$4:$A$1000,0))&amp;"","-"))</f>
        <v/>
      </c>
    </row>
    <row r="823" spans="3:4" x14ac:dyDescent="0.3">
      <c r="C823" s="68" t="str">
        <f>IF(TRIM($B823)="","",IFERROR(HYPERLINK("#'Cards'!A"&amp;(MATCH($B823,Cards!$A$4:$A$1000,0)+3),INDEX(Cards!$B$4:$B$1000,MATCH($B823,Cards!$A$4:$A$1000,0))),"ไม่พบ Card ID ในชีต Cards"))</f>
        <v/>
      </c>
      <c r="D823" s="68" t="str">
        <f>IF(TRIM($B823)="","",IFERROR(INDEX(Cards!$M$4:$M$1000,MATCH($B823,Cards!$A$4:$A$1000,0))&amp;"","-"))</f>
        <v/>
      </c>
    </row>
    <row r="824" spans="3:4" x14ac:dyDescent="0.3">
      <c r="C824" s="68" t="str">
        <f>IF(TRIM($B824)="","",IFERROR(HYPERLINK("#'Cards'!A"&amp;(MATCH($B824,Cards!$A$4:$A$1000,0)+3),INDEX(Cards!$B$4:$B$1000,MATCH($B824,Cards!$A$4:$A$1000,0))),"ไม่พบ Card ID ในชีต Cards"))</f>
        <v/>
      </c>
      <c r="D824" s="68" t="str">
        <f>IF(TRIM($B824)="","",IFERROR(INDEX(Cards!$M$4:$M$1000,MATCH($B824,Cards!$A$4:$A$1000,0))&amp;"","-"))</f>
        <v/>
      </c>
    </row>
    <row r="825" spans="3:4" x14ac:dyDescent="0.3">
      <c r="C825" s="68" t="str">
        <f>IF(TRIM($B825)="","",IFERROR(HYPERLINK("#'Cards'!A"&amp;(MATCH($B825,Cards!$A$4:$A$1000,0)+3),INDEX(Cards!$B$4:$B$1000,MATCH($B825,Cards!$A$4:$A$1000,0))),"ไม่พบ Card ID ในชีต Cards"))</f>
        <v/>
      </c>
      <c r="D825" s="68" t="str">
        <f>IF(TRIM($B825)="","",IFERROR(INDEX(Cards!$M$4:$M$1000,MATCH($B825,Cards!$A$4:$A$1000,0))&amp;"","-"))</f>
        <v/>
      </c>
    </row>
    <row r="826" spans="3:4" x14ac:dyDescent="0.3">
      <c r="C826" s="68" t="str">
        <f>IF(TRIM($B826)="","",IFERROR(HYPERLINK("#'Cards'!A"&amp;(MATCH($B826,Cards!$A$4:$A$1000,0)+3),INDEX(Cards!$B$4:$B$1000,MATCH($B826,Cards!$A$4:$A$1000,0))),"ไม่พบ Card ID ในชีต Cards"))</f>
        <v/>
      </c>
      <c r="D826" s="68" t="str">
        <f>IF(TRIM($B826)="","",IFERROR(INDEX(Cards!$M$4:$M$1000,MATCH($B826,Cards!$A$4:$A$1000,0))&amp;"","-"))</f>
        <v/>
      </c>
    </row>
    <row r="827" spans="3:4" x14ac:dyDescent="0.3">
      <c r="C827" s="68" t="str">
        <f>IF(TRIM($B827)="","",IFERROR(HYPERLINK("#'Cards'!A"&amp;(MATCH($B827,Cards!$A$4:$A$1000,0)+3),INDEX(Cards!$B$4:$B$1000,MATCH($B827,Cards!$A$4:$A$1000,0))),"ไม่พบ Card ID ในชีต Cards"))</f>
        <v/>
      </c>
      <c r="D827" s="68" t="str">
        <f>IF(TRIM($B827)="","",IFERROR(INDEX(Cards!$M$4:$M$1000,MATCH($B827,Cards!$A$4:$A$1000,0))&amp;"","-"))</f>
        <v/>
      </c>
    </row>
    <row r="828" spans="3:4" x14ac:dyDescent="0.3">
      <c r="C828" s="68" t="str">
        <f>IF(TRIM($B828)="","",IFERROR(HYPERLINK("#'Cards'!A"&amp;(MATCH($B828,Cards!$A$4:$A$1000,0)+3),INDEX(Cards!$B$4:$B$1000,MATCH($B828,Cards!$A$4:$A$1000,0))),"ไม่พบ Card ID ในชีต Cards"))</f>
        <v/>
      </c>
      <c r="D828" s="68" t="str">
        <f>IF(TRIM($B828)="","",IFERROR(INDEX(Cards!$M$4:$M$1000,MATCH($B828,Cards!$A$4:$A$1000,0))&amp;"","-"))</f>
        <v/>
      </c>
    </row>
    <row r="829" spans="3:4" x14ac:dyDescent="0.3">
      <c r="C829" s="68" t="str">
        <f>IF(TRIM($B829)="","",IFERROR(HYPERLINK("#'Cards'!A"&amp;(MATCH($B829,Cards!$A$4:$A$1000,0)+3),INDEX(Cards!$B$4:$B$1000,MATCH($B829,Cards!$A$4:$A$1000,0))),"ไม่พบ Card ID ในชีต Cards"))</f>
        <v/>
      </c>
      <c r="D829" s="68" t="str">
        <f>IF(TRIM($B829)="","",IFERROR(INDEX(Cards!$M$4:$M$1000,MATCH($B829,Cards!$A$4:$A$1000,0))&amp;"","-"))</f>
        <v/>
      </c>
    </row>
    <row r="830" spans="3:4" x14ac:dyDescent="0.3">
      <c r="C830" s="68" t="str">
        <f>IF(TRIM($B830)="","",IFERROR(HYPERLINK("#'Cards'!A"&amp;(MATCH($B830,Cards!$A$4:$A$1000,0)+3),INDEX(Cards!$B$4:$B$1000,MATCH($B830,Cards!$A$4:$A$1000,0))),"ไม่พบ Card ID ในชีต Cards"))</f>
        <v/>
      </c>
      <c r="D830" s="68" t="str">
        <f>IF(TRIM($B830)="","",IFERROR(INDEX(Cards!$M$4:$M$1000,MATCH($B830,Cards!$A$4:$A$1000,0))&amp;"","-"))</f>
        <v/>
      </c>
    </row>
    <row r="831" spans="3:4" x14ac:dyDescent="0.3">
      <c r="C831" s="68" t="str">
        <f>IF(TRIM($B831)="","",IFERROR(HYPERLINK("#'Cards'!A"&amp;(MATCH($B831,Cards!$A$4:$A$1000,0)+3),INDEX(Cards!$B$4:$B$1000,MATCH($B831,Cards!$A$4:$A$1000,0))),"ไม่พบ Card ID ในชีต Cards"))</f>
        <v/>
      </c>
      <c r="D831" s="68" t="str">
        <f>IF(TRIM($B831)="","",IFERROR(INDEX(Cards!$M$4:$M$1000,MATCH($B831,Cards!$A$4:$A$1000,0))&amp;"","-"))</f>
        <v/>
      </c>
    </row>
    <row r="832" spans="3:4" x14ac:dyDescent="0.3">
      <c r="C832" s="68" t="str">
        <f>IF(TRIM($B832)="","",IFERROR(HYPERLINK("#'Cards'!A"&amp;(MATCH($B832,Cards!$A$4:$A$1000,0)+3),INDEX(Cards!$B$4:$B$1000,MATCH($B832,Cards!$A$4:$A$1000,0))),"ไม่พบ Card ID ในชีต Cards"))</f>
        <v/>
      </c>
      <c r="D832" s="68" t="str">
        <f>IF(TRIM($B832)="","",IFERROR(INDEX(Cards!$M$4:$M$1000,MATCH($B832,Cards!$A$4:$A$1000,0))&amp;"","-"))</f>
        <v/>
      </c>
    </row>
    <row r="833" spans="3:4" x14ac:dyDescent="0.3">
      <c r="C833" s="68" t="str">
        <f>IF(TRIM($B833)="","",IFERROR(HYPERLINK("#'Cards'!A"&amp;(MATCH($B833,Cards!$A$4:$A$1000,0)+3),INDEX(Cards!$B$4:$B$1000,MATCH($B833,Cards!$A$4:$A$1000,0))),"ไม่พบ Card ID ในชีต Cards"))</f>
        <v/>
      </c>
      <c r="D833" s="68" t="str">
        <f>IF(TRIM($B833)="","",IFERROR(INDEX(Cards!$M$4:$M$1000,MATCH($B833,Cards!$A$4:$A$1000,0))&amp;"","-"))</f>
        <v/>
      </c>
    </row>
    <row r="834" spans="3:4" x14ac:dyDescent="0.3">
      <c r="C834" s="68" t="str">
        <f>IF(TRIM($B834)="","",IFERROR(HYPERLINK("#'Cards'!A"&amp;(MATCH($B834,Cards!$A$4:$A$1000,0)+3),INDEX(Cards!$B$4:$B$1000,MATCH($B834,Cards!$A$4:$A$1000,0))),"ไม่พบ Card ID ในชีต Cards"))</f>
        <v/>
      </c>
      <c r="D834" s="68" t="str">
        <f>IF(TRIM($B834)="","",IFERROR(INDEX(Cards!$M$4:$M$1000,MATCH($B834,Cards!$A$4:$A$1000,0))&amp;"","-"))</f>
        <v/>
      </c>
    </row>
    <row r="835" spans="3:4" x14ac:dyDescent="0.3">
      <c r="C835" s="68" t="str">
        <f>IF(TRIM($B835)="","",IFERROR(HYPERLINK("#'Cards'!A"&amp;(MATCH($B835,Cards!$A$4:$A$1000,0)+3),INDEX(Cards!$B$4:$B$1000,MATCH($B835,Cards!$A$4:$A$1000,0))),"ไม่พบ Card ID ในชีต Cards"))</f>
        <v/>
      </c>
      <c r="D835" s="68" t="str">
        <f>IF(TRIM($B835)="","",IFERROR(INDEX(Cards!$M$4:$M$1000,MATCH($B835,Cards!$A$4:$A$1000,0))&amp;"","-"))</f>
        <v/>
      </c>
    </row>
    <row r="836" spans="3:4" x14ac:dyDescent="0.3">
      <c r="C836" s="68" t="str">
        <f>IF(TRIM($B836)="","",IFERROR(HYPERLINK("#'Cards'!A"&amp;(MATCH($B836,Cards!$A$4:$A$1000,0)+3),INDEX(Cards!$B$4:$B$1000,MATCH($B836,Cards!$A$4:$A$1000,0))),"ไม่พบ Card ID ในชีต Cards"))</f>
        <v/>
      </c>
      <c r="D836" s="68" t="str">
        <f>IF(TRIM($B836)="","",IFERROR(INDEX(Cards!$M$4:$M$1000,MATCH($B836,Cards!$A$4:$A$1000,0))&amp;"","-"))</f>
        <v/>
      </c>
    </row>
    <row r="837" spans="3:4" x14ac:dyDescent="0.3">
      <c r="C837" s="68" t="str">
        <f>IF(TRIM($B837)="","",IFERROR(HYPERLINK("#'Cards'!A"&amp;(MATCH($B837,Cards!$A$4:$A$1000,0)+3),INDEX(Cards!$B$4:$B$1000,MATCH($B837,Cards!$A$4:$A$1000,0))),"ไม่พบ Card ID ในชีต Cards"))</f>
        <v/>
      </c>
      <c r="D837" s="68" t="str">
        <f>IF(TRIM($B837)="","",IFERROR(INDEX(Cards!$M$4:$M$1000,MATCH($B837,Cards!$A$4:$A$1000,0))&amp;"","-"))</f>
        <v/>
      </c>
    </row>
    <row r="838" spans="3:4" x14ac:dyDescent="0.3">
      <c r="C838" s="68" t="str">
        <f>IF(TRIM($B838)="","",IFERROR(HYPERLINK("#'Cards'!A"&amp;(MATCH($B838,Cards!$A$4:$A$1000,0)+3),INDEX(Cards!$B$4:$B$1000,MATCH($B838,Cards!$A$4:$A$1000,0))),"ไม่พบ Card ID ในชีต Cards"))</f>
        <v/>
      </c>
      <c r="D838" s="68" t="str">
        <f>IF(TRIM($B838)="","",IFERROR(INDEX(Cards!$M$4:$M$1000,MATCH($B838,Cards!$A$4:$A$1000,0))&amp;"","-"))</f>
        <v/>
      </c>
    </row>
    <row r="839" spans="3:4" x14ac:dyDescent="0.3">
      <c r="C839" s="68" t="str">
        <f>IF(TRIM($B839)="","",IFERROR(HYPERLINK("#'Cards'!A"&amp;(MATCH($B839,Cards!$A$4:$A$1000,0)+3),INDEX(Cards!$B$4:$B$1000,MATCH($B839,Cards!$A$4:$A$1000,0))),"ไม่พบ Card ID ในชีต Cards"))</f>
        <v/>
      </c>
      <c r="D839" s="68" t="str">
        <f>IF(TRIM($B839)="","",IFERROR(INDEX(Cards!$M$4:$M$1000,MATCH($B839,Cards!$A$4:$A$1000,0))&amp;"","-"))</f>
        <v/>
      </c>
    </row>
    <row r="840" spans="3:4" x14ac:dyDescent="0.3">
      <c r="C840" s="68" t="str">
        <f>IF(TRIM($B840)="","",IFERROR(HYPERLINK("#'Cards'!A"&amp;(MATCH($B840,Cards!$A$4:$A$1000,0)+3),INDEX(Cards!$B$4:$B$1000,MATCH($B840,Cards!$A$4:$A$1000,0))),"ไม่พบ Card ID ในชีต Cards"))</f>
        <v/>
      </c>
      <c r="D840" s="68" t="str">
        <f>IF(TRIM($B840)="","",IFERROR(INDEX(Cards!$M$4:$M$1000,MATCH($B840,Cards!$A$4:$A$1000,0))&amp;"","-"))</f>
        <v/>
      </c>
    </row>
    <row r="841" spans="3:4" x14ac:dyDescent="0.3">
      <c r="C841" s="68" t="str">
        <f>IF(TRIM($B841)="","",IFERROR(HYPERLINK("#'Cards'!A"&amp;(MATCH($B841,Cards!$A$4:$A$1000,0)+3),INDEX(Cards!$B$4:$B$1000,MATCH($B841,Cards!$A$4:$A$1000,0))),"ไม่พบ Card ID ในชีต Cards"))</f>
        <v/>
      </c>
      <c r="D841" s="68" t="str">
        <f>IF(TRIM($B841)="","",IFERROR(INDEX(Cards!$M$4:$M$1000,MATCH($B841,Cards!$A$4:$A$1000,0))&amp;"","-"))</f>
        <v/>
      </c>
    </row>
    <row r="842" spans="3:4" x14ac:dyDescent="0.3">
      <c r="C842" s="68" t="str">
        <f>IF(TRIM($B842)="","",IFERROR(HYPERLINK("#'Cards'!A"&amp;(MATCH($B842,Cards!$A$4:$A$1000,0)+3),INDEX(Cards!$B$4:$B$1000,MATCH($B842,Cards!$A$4:$A$1000,0))),"ไม่พบ Card ID ในชีต Cards"))</f>
        <v/>
      </c>
      <c r="D842" s="68" t="str">
        <f>IF(TRIM($B842)="","",IFERROR(INDEX(Cards!$M$4:$M$1000,MATCH($B842,Cards!$A$4:$A$1000,0))&amp;"","-"))</f>
        <v/>
      </c>
    </row>
    <row r="843" spans="3:4" x14ac:dyDescent="0.3">
      <c r="C843" s="68" t="str">
        <f>IF(TRIM($B843)="","",IFERROR(HYPERLINK("#'Cards'!A"&amp;(MATCH($B843,Cards!$A$4:$A$1000,0)+3),INDEX(Cards!$B$4:$B$1000,MATCH($B843,Cards!$A$4:$A$1000,0))),"ไม่พบ Card ID ในชีต Cards"))</f>
        <v/>
      </c>
      <c r="D843" s="68" t="str">
        <f>IF(TRIM($B843)="","",IFERROR(INDEX(Cards!$M$4:$M$1000,MATCH($B843,Cards!$A$4:$A$1000,0))&amp;"","-"))</f>
        <v/>
      </c>
    </row>
    <row r="844" spans="3:4" x14ac:dyDescent="0.3">
      <c r="C844" s="68" t="str">
        <f>IF(TRIM($B844)="","",IFERROR(HYPERLINK("#'Cards'!A"&amp;(MATCH($B844,Cards!$A$4:$A$1000,0)+3),INDEX(Cards!$B$4:$B$1000,MATCH($B844,Cards!$A$4:$A$1000,0))),"ไม่พบ Card ID ในชีต Cards"))</f>
        <v/>
      </c>
      <c r="D844" s="68" t="str">
        <f>IF(TRIM($B844)="","",IFERROR(INDEX(Cards!$M$4:$M$1000,MATCH($B844,Cards!$A$4:$A$1000,0))&amp;"","-"))</f>
        <v/>
      </c>
    </row>
    <row r="845" spans="3:4" x14ac:dyDescent="0.3">
      <c r="C845" s="68" t="str">
        <f>IF(TRIM($B845)="","",IFERROR(HYPERLINK("#'Cards'!A"&amp;(MATCH($B845,Cards!$A$4:$A$1000,0)+3),INDEX(Cards!$B$4:$B$1000,MATCH($B845,Cards!$A$4:$A$1000,0))),"ไม่พบ Card ID ในชีต Cards"))</f>
        <v/>
      </c>
      <c r="D845" s="68" t="str">
        <f>IF(TRIM($B845)="","",IFERROR(INDEX(Cards!$M$4:$M$1000,MATCH($B845,Cards!$A$4:$A$1000,0))&amp;"","-"))</f>
        <v/>
      </c>
    </row>
    <row r="846" spans="3:4" x14ac:dyDescent="0.3">
      <c r="C846" s="68" t="str">
        <f>IF(TRIM($B846)="","",IFERROR(HYPERLINK("#'Cards'!A"&amp;(MATCH($B846,Cards!$A$4:$A$1000,0)+3),INDEX(Cards!$B$4:$B$1000,MATCH($B846,Cards!$A$4:$A$1000,0))),"ไม่พบ Card ID ในชีต Cards"))</f>
        <v/>
      </c>
      <c r="D846" s="68" t="str">
        <f>IF(TRIM($B846)="","",IFERROR(INDEX(Cards!$M$4:$M$1000,MATCH($B846,Cards!$A$4:$A$1000,0))&amp;"","-"))</f>
        <v/>
      </c>
    </row>
    <row r="847" spans="3:4" x14ac:dyDescent="0.3">
      <c r="C847" s="68" t="str">
        <f>IF(TRIM($B847)="","",IFERROR(HYPERLINK("#'Cards'!A"&amp;(MATCH($B847,Cards!$A$4:$A$1000,0)+3),INDEX(Cards!$B$4:$B$1000,MATCH($B847,Cards!$A$4:$A$1000,0))),"ไม่พบ Card ID ในชีต Cards"))</f>
        <v/>
      </c>
      <c r="D847" s="68" t="str">
        <f>IF(TRIM($B847)="","",IFERROR(INDEX(Cards!$M$4:$M$1000,MATCH($B847,Cards!$A$4:$A$1000,0))&amp;"","-"))</f>
        <v/>
      </c>
    </row>
    <row r="848" spans="3:4" x14ac:dyDescent="0.3">
      <c r="C848" s="68" t="str">
        <f>IF(TRIM($B848)="","",IFERROR(HYPERLINK("#'Cards'!A"&amp;(MATCH($B848,Cards!$A$4:$A$1000,0)+3),INDEX(Cards!$B$4:$B$1000,MATCH($B848,Cards!$A$4:$A$1000,0))),"ไม่พบ Card ID ในชีต Cards"))</f>
        <v/>
      </c>
      <c r="D848" s="68" t="str">
        <f>IF(TRIM($B848)="","",IFERROR(INDEX(Cards!$M$4:$M$1000,MATCH($B848,Cards!$A$4:$A$1000,0))&amp;"","-"))</f>
        <v/>
      </c>
    </row>
    <row r="849" spans="3:4" x14ac:dyDescent="0.3">
      <c r="C849" s="68" t="str">
        <f>IF(TRIM($B849)="","",IFERROR(HYPERLINK("#'Cards'!A"&amp;(MATCH($B849,Cards!$A$4:$A$1000,0)+3),INDEX(Cards!$B$4:$B$1000,MATCH($B849,Cards!$A$4:$A$1000,0))),"ไม่พบ Card ID ในชีต Cards"))</f>
        <v/>
      </c>
      <c r="D849" s="68" t="str">
        <f>IF(TRIM($B849)="","",IFERROR(INDEX(Cards!$M$4:$M$1000,MATCH($B849,Cards!$A$4:$A$1000,0))&amp;"","-"))</f>
        <v/>
      </c>
    </row>
    <row r="850" spans="3:4" x14ac:dyDescent="0.3">
      <c r="C850" s="68" t="str">
        <f>IF(TRIM($B850)="","",IFERROR(HYPERLINK("#'Cards'!A"&amp;(MATCH($B850,Cards!$A$4:$A$1000,0)+3),INDEX(Cards!$B$4:$B$1000,MATCH($B850,Cards!$A$4:$A$1000,0))),"ไม่พบ Card ID ในชีต Cards"))</f>
        <v/>
      </c>
      <c r="D850" s="68" t="str">
        <f>IF(TRIM($B850)="","",IFERROR(INDEX(Cards!$M$4:$M$1000,MATCH($B850,Cards!$A$4:$A$1000,0))&amp;"","-"))</f>
        <v/>
      </c>
    </row>
    <row r="851" spans="3:4" x14ac:dyDescent="0.3">
      <c r="C851" s="68" t="str">
        <f>IF(TRIM($B851)="","",IFERROR(HYPERLINK("#'Cards'!A"&amp;(MATCH($B851,Cards!$A$4:$A$1000,0)+3),INDEX(Cards!$B$4:$B$1000,MATCH($B851,Cards!$A$4:$A$1000,0))),"ไม่พบ Card ID ในชีต Cards"))</f>
        <v/>
      </c>
      <c r="D851" s="68" t="str">
        <f>IF(TRIM($B851)="","",IFERROR(INDEX(Cards!$M$4:$M$1000,MATCH($B851,Cards!$A$4:$A$1000,0))&amp;"","-"))</f>
        <v/>
      </c>
    </row>
    <row r="852" spans="3:4" x14ac:dyDescent="0.3">
      <c r="C852" s="68" t="str">
        <f>IF(TRIM($B852)="","",IFERROR(HYPERLINK("#'Cards'!A"&amp;(MATCH($B852,Cards!$A$4:$A$1000,0)+3),INDEX(Cards!$B$4:$B$1000,MATCH($B852,Cards!$A$4:$A$1000,0))),"ไม่พบ Card ID ในชีต Cards"))</f>
        <v/>
      </c>
      <c r="D852" s="68" t="str">
        <f>IF(TRIM($B852)="","",IFERROR(INDEX(Cards!$M$4:$M$1000,MATCH($B852,Cards!$A$4:$A$1000,0))&amp;"","-"))</f>
        <v/>
      </c>
    </row>
    <row r="853" spans="3:4" x14ac:dyDescent="0.3">
      <c r="C853" s="68" t="str">
        <f>IF(TRIM($B853)="","",IFERROR(HYPERLINK("#'Cards'!A"&amp;(MATCH($B853,Cards!$A$4:$A$1000,0)+3),INDEX(Cards!$B$4:$B$1000,MATCH($B853,Cards!$A$4:$A$1000,0))),"ไม่พบ Card ID ในชีต Cards"))</f>
        <v/>
      </c>
      <c r="D853" s="68" t="str">
        <f>IF(TRIM($B853)="","",IFERROR(INDEX(Cards!$M$4:$M$1000,MATCH($B853,Cards!$A$4:$A$1000,0))&amp;"","-"))</f>
        <v/>
      </c>
    </row>
    <row r="854" spans="3:4" x14ac:dyDescent="0.3">
      <c r="C854" s="68" t="str">
        <f>IF(TRIM($B854)="","",IFERROR(HYPERLINK("#'Cards'!A"&amp;(MATCH($B854,Cards!$A$4:$A$1000,0)+3),INDEX(Cards!$B$4:$B$1000,MATCH($B854,Cards!$A$4:$A$1000,0))),"ไม่พบ Card ID ในชีต Cards"))</f>
        <v/>
      </c>
      <c r="D854" s="68" t="str">
        <f>IF(TRIM($B854)="","",IFERROR(INDEX(Cards!$M$4:$M$1000,MATCH($B854,Cards!$A$4:$A$1000,0))&amp;"","-"))</f>
        <v/>
      </c>
    </row>
    <row r="855" spans="3:4" x14ac:dyDescent="0.3">
      <c r="C855" s="68" t="str">
        <f>IF(TRIM($B855)="","",IFERROR(HYPERLINK("#'Cards'!A"&amp;(MATCH($B855,Cards!$A$4:$A$1000,0)+3),INDEX(Cards!$B$4:$B$1000,MATCH($B855,Cards!$A$4:$A$1000,0))),"ไม่พบ Card ID ในชีต Cards"))</f>
        <v/>
      </c>
      <c r="D855" s="68" t="str">
        <f>IF(TRIM($B855)="","",IFERROR(INDEX(Cards!$M$4:$M$1000,MATCH($B855,Cards!$A$4:$A$1000,0))&amp;"","-"))</f>
        <v/>
      </c>
    </row>
    <row r="856" spans="3:4" x14ac:dyDescent="0.3">
      <c r="C856" s="68" t="str">
        <f>IF(TRIM($B856)="","",IFERROR(HYPERLINK("#'Cards'!A"&amp;(MATCH($B856,Cards!$A$4:$A$1000,0)+3),INDEX(Cards!$B$4:$B$1000,MATCH($B856,Cards!$A$4:$A$1000,0))),"ไม่พบ Card ID ในชีต Cards"))</f>
        <v/>
      </c>
      <c r="D856" s="68" t="str">
        <f>IF(TRIM($B856)="","",IFERROR(INDEX(Cards!$M$4:$M$1000,MATCH($B856,Cards!$A$4:$A$1000,0))&amp;"","-"))</f>
        <v/>
      </c>
    </row>
    <row r="857" spans="3:4" x14ac:dyDescent="0.3">
      <c r="C857" s="68" t="str">
        <f>IF(TRIM($B857)="","",IFERROR(HYPERLINK("#'Cards'!A"&amp;(MATCH($B857,Cards!$A$4:$A$1000,0)+3),INDEX(Cards!$B$4:$B$1000,MATCH($B857,Cards!$A$4:$A$1000,0))),"ไม่พบ Card ID ในชีต Cards"))</f>
        <v/>
      </c>
      <c r="D857" s="68" t="str">
        <f>IF(TRIM($B857)="","",IFERROR(INDEX(Cards!$M$4:$M$1000,MATCH($B857,Cards!$A$4:$A$1000,0))&amp;"","-"))</f>
        <v/>
      </c>
    </row>
    <row r="858" spans="3:4" x14ac:dyDescent="0.3">
      <c r="C858" s="68" t="str">
        <f>IF(TRIM($B858)="","",IFERROR(HYPERLINK("#'Cards'!A"&amp;(MATCH($B858,Cards!$A$4:$A$1000,0)+3),INDEX(Cards!$B$4:$B$1000,MATCH($B858,Cards!$A$4:$A$1000,0))),"ไม่พบ Card ID ในชีต Cards"))</f>
        <v/>
      </c>
      <c r="D858" s="68" t="str">
        <f>IF(TRIM($B858)="","",IFERROR(INDEX(Cards!$M$4:$M$1000,MATCH($B858,Cards!$A$4:$A$1000,0))&amp;"","-"))</f>
        <v/>
      </c>
    </row>
    <row r="859" spans="3:4" x14ac:dyDescent="0.3">
      <c r="C859" s="68" t="str">
        <f>IF(TRIM($B859)="","",IFERROR(HYPERLINK("#'Cards'!A"&amp;(MATCH($B859,Cards!$A$4:$A$1000,0)+3),INDEX(Cards!$B$4:$B$1000,MATCH($B859,Cards!$A$4:$A$1000,0))),"ไม่พบ Card ID ในชีต Cards"))</f>
        <v/>
      </c>
      <c r="D859" s="68" t="str">
        <f>IF(TRIM($B859)="","",IFERROR(INDEX(Cards!$M$4:$M$1000,MATCH($B859,Cards!$A$4:$A$1000,0))&amp;"","-"))</f>
        <v/>
      </c>
    </row>
    <row r="860" spans="3:4" x14ac:dyDescent="0.3">
      <c r="C860" s="68" t="str">
        <f>IF(TRIM($B860)="","",IFERROR(HYPERLINK("#'Cards'!A"&amp;(MATCH($B860,Cards!$A$4:$A$1000,0)+3),INDEX(Cards!$B$4:$B$1000,MATCH($B860,Cards!$A$4:$A$1000,0))),"ไม่พบ Card ID ในชีต Cards"))</f>
        <v/>
      </c>
      <c r="D860" s="68" t="str">
        <f>IF(TRIM($B860)="","",IFERROR(INDEX(Cards!$M$4:$M$1000,MATCH($B860,Cards!$A$4:$A$1000,0))&amp;"","-"))</f>
        <v/>
      </c>
    </row>
    <row r="861" spans="3:4" x14ac:dyDescent="0.3">
      <c r="C861" s="68" t="str">
        <f>IF(TRIM($B861)="","",IFERROR(HYPERLINK("#'Cards'!A"&amp;(MATCH($B861,Cards!$A$4:$A$1000,0)+3),INDEX(Cards!$B$4:$B$1000,MATCH($B861,Cards!$A$4:$A$1000,0))),"ไม่พบ Card ID ในชีต Cards"))</f>
        <v/>
      </c>
      <c r="D861" s="68" t="str">
        <f>IF(TRIM($B861)="","",IFERROR(INDEX(Cards!$M$4:$M$1000,MATCH($B861,Cards!$A$4:$A$1000,0))&amp;"","-"))</f>
        <v/>
      </c>
    </row>
    <row r="862" spans="3:4" x14ac:dyDescent="0.3">
      <c r="C862" s="68" t="str">
        <f>IF(TRIM($B862)="","",IFERROR(HYPERLINK("#'Cards'!A"&amp;(MATCH($B862,Cards!$A$4:$A$1000,0)+3),INDEX(Cards!$B$4:$B$1000,MATCH($B862,Cards!$A$4:$A$1000,0))),"ไม่พบ Card ID ในชีต Cards"))</f>
        <v/>
      </c>
      <c r="D862" s="68" t="str">
        <f>IF(TRIM($B862)="","",IFERROR(INDEX(Cards!$M$4:$M$1000,MATCH($B862,Cards!$A$4:$A$1000,0))&amp;"","-"))</f>
        <v/>
      </c>
    </row>
    <row r="863" spans="3:4" x14ac:dyDescent="0.3">
      <c r="C863" s="68" t="str">
        <f>IF(TRIM($B863)="","",IFERROR(HYPERLINK("#'Cards'!A"&amp;(MATCH($B863,Cards!$A$4:$A$1000,0)+3),INDEX(Cards!$B$4:$B$1000,MATCH($B863,Cards!$A$4:$A$1000,0))),"ไม่พบ Card ID ในชีต Cards"))</f>
        <v/>
      </c>
      <c r="D863" s="68" t="str">
        <f>IF(TRIM($B863)="","",IFERROR(INDEX(Cards!$M$4:$M$1000,MATCH($B863,Cards!$A$4:$A$1000,0))&amp;"","-"))</f>
        <v/>
      </c>
    </row>
    <row r="864" spans="3:4" x14ac:dyDescent="0.3">
      <c r="C864" s="68" t="str">
        <f>IF(TRIM($B864)="","",IFERROR(HYPERLINK("#'Cards'!A"&amp;(MATCH($B864,Cards!$A$4:$A$1000,0)+3),INDEX(Cards!$B$4:$B$1000,MATCH($B864,Cards!$A$4:$A$1000,0))),"ไม่พบ Card ID ในชีต Cards"))</f>
        <v/>
      </c>
      <c r="D864" s="68" t="str">
        <f>IF(TRIM($B864)="","",IFERROR(INDEX(Cards!$M$4:$M$1000,MATCH($B864,Cards!$A$4:$A$1000,0))&amp;"","-"))</f>
        <v/>
      </c>
    </row>
    <row r="865" spans="3:4" x14ac:dyDescent="0.3">
      <c r="C865" s="68" t="str">
        <f>IF(TRIM($B865)="","",IFERROR(HYPERLINK("#'Cards'!A"&amp;(MATCH($B865,Cards!$A$4:$A$1000,0)+3),INDEX(Cards!$B$4:$B$1000,MATCH($B865,Cards!$A$4:$A$1000,0))),"ไม่พบ Card ID ในชีต Cards"))</f>
        <v/>
      </c>
      <c r="D865" s="68" t="str">
        <f>IF(TRIM($B865)="","",IFERROR(INDEX(Cards!$M$4:$M$1000,MATCH($B865,Cards!$A$4:$A$1000,0))&amp;"","-"))</f>
        <v/>
      </c>
    </row>
    <row r="866" spans="3:4" x14ac:dyDescent="0.3">
      <c r="C866" s="68" t="str">
        <f>IF(TRIM($B866)="","",IFERROR(HYPERLINK("#'Cards'!A"&amp;(MATCH($B866,Cards!$A$4:$A$1000,0)+3),INDEX(Cards!$B$4:$B$1000,MATCH($B866,Cards!$A$4:$A$1000,0))),"ไม่พบ Card ID ในชีต Cards"))</f>
        <v/>
      </c>
      <c r="D866" s="68" t="str">
        <f>IF(TRIM($B866)="","",IFERROR(INDEX(Cards!$M$4:$M$1000,MATCH($B866,Cards!$A$4:$A$1000,0))&amp;"","-"))</f>
        <v/>
      </c>
    </row>
    <row r="867" spans="3:4" x14ac:dyDescent="0.3">
      <c r="C867" s="68" t="str">
        <f>IF(TRIM($B867)="","",IFERROR(HYPERLINK("#'Cards'!A"&amp;(MATCH($B867,Cards!$A$4:$A$1000,0)+3),INDEX(Cards!$B$4:$B$1000,MATCH($B867,Cards!$A$4:$A$1000,0))),"ไม่พบ Card ID ในชีต Cards"))</f>
        <v/>
      </c>
      <c r="D867" s="68" t="str">
        <f>IF(TRIM($B867)="","",IFERROR(INDEX(Cards!$M$4:$M$1000,MATCH($B867,Cards!$A$4:$A$1000,0))&amp;"","-"))</f>
        <v/>
      </c>
    </row>
    <row r="868" spans="3:4" x14ac:dyDescent="0.3">
      <c r="C868" s="68" t="str">
        <f>IF(TRIM($B868)="","",IFERROR(HYPERLINK("#'Cards'!A"&amp;(MATCH($B868,Cards!$A$4:$A$1000,0)+3),INDEX(Cards!$B$4:$B$1000,MATCH($B868,Cards!$A$4:$A$1000,0))),"ไม่พบ Card ID ในชีต Cards"))</f>
        <v/>
      </c>
      <c r="D868" s="68" t="str">
        <f>IF(TRIM($B868)="","",IFERROR(INDEX(Cards!$M$4:$M$1000,MATCH($B868,Cards!$A$4:$A$1000,0))&amp;"","-"))</f>
        <v/>
      </c>
    </row>
    <row r="869" spans="3:4" x14ac:dyDescent="0.3">
      <c r="C869" s="68" t="str">
        <f>IF(TRIM($B869)="","",IFERROR(HYPERLINK("#'Cards'!A"&amp;(MATCH($B869,Cards!$A$4:$A$1000,0)+3),INDEX(Cards!$B$4:$B$1000,MATCH($B869,Cards!$A$4:$A$1000,0))),"ไม่พบ Card ID ในชีต Cards"))</f>
        <v/>
      </c>
      <c r="D869" s="68" t="str">
        <f>IF(TRIM($B869)="","",IFERROR(INDEX(Cards!$M$4:$M$1000,MATCH($B869,Cards!$A$4:$A$1000,0))&amp;"","-"))</f>
        <v/>
      </c>
    </row>
    <row r="870" spans="3:4" x14ac:dyDescent="0.3">
      <c r="C870" s="68" t="str">
        <f>IF(TRIM($B870)="","",IFERROR(HYPERLINK("#'Cards'!A"&amp;(MATCH($B870,Cards!$A$4:$A$1000,0)+3),INDEX(Cards!$B$4:$B$1000,MATCH($B870,Cards!$A$4:$A$1000,0))),"ไม่พบ Card ID ในชีต Cards"))</f>
        <v/>
      </c>
      <c r="D870" s="68" t="str">
        <f>IF(TRIM($B870)="","",IFERROR(INDEX(Cards!$M$4:$M$1000,MATCH($B870,Cards!$A$4:$A$1000,0))&amp;"","-"))</f>
        <v/>
      </c>
    </row>
    <row r="871" spans="3:4" x14ac:dyDescent="0.3">
      <c r="C871" s="68" t="str">
        <f>IF(TRIM($B871)="","",IFERROR(HYPERLINK("#'Cards'!A"&amp;(MATCH($B871,Cards!$A$4:$A$1000,0)+3),INDEX(Cards!$B$4:$B$1000,MATCH($B871,Cards!$A$4:$A$1000,0))),"ไม่พบ Card ID ในชีต Cards"))</f>
        <v/>
      </c>
      <c r="D871" s="68" t="str">
        <f>IF(TRIM($B871)="","",IFERROR(INDEX(Cards!$M$4:$M$1000,MATCH($B871,Cards!$A$4:$A$1000,0))&amp;"","-"))</f>
        <v/>
      </c>
    </row>
    <row r="872" spans="3:4" x14ac:dyDescent="0.3">
      <c r="C872" s="68" t="str">
        <f>IF(TRIM($B872)="","",IFERROR(HYPERLINK("#'Cards'!A"&amp;(MATCH($B872,Cards!$A$4:$A$1000,0)+3),INDEX(Cards!$B$4:$B$1000,MATCH($B872,Cards!$A$4:$A$1000,0))),"ไม่พบ Card ID ในชีต Cards"))</f>
        <v/>
      </c>
      <c r="D872" s="68" t="str">
        <f>IF(TRIM($B872)="","",IFERROR(INDEX(Cards!$M$4:$M$1000,MATCH($B872,Cards!$A$4:$A$1000,0))&amp;"","-"))</f>
        <v/>
      </c>
    </row>
    <row r="873" spans="3:4" x14ac:dyDescent="0.3">
      <c r="C873" s="68" t="str">
        <f>IF(TRIM($B873)="","",IFERROR(HYPERLINK("#'Cards'!A"&amp;(MATCH($B873,Cards!$A$4:$A$1000,0)+3),INDEX(Cards!$B$4:$B$1000,MATCH($B873,Cards!$A$4:$A$1000,0))),"ไม่พบ Card ID ในชีต Cards"))</f>
        <v/>
      </c>
      <c r="D873" s="68" t="str">
        <f>IF(TRIM($B873)="","",IFERROR(INDEX(Cards!$M$4:$M$1000,MATCH($B873,Cards!$A$4:$A$1000,0))&amp;"","-"))</f>
        <v/>
      </c>
    </row>
    <row r="874" spans="3:4" x14ac:dyDescent="0.3">
      <c r="C874" s="68" t="str">
        <f>IF(TRIM($B874)="","",IFERROR(HYPERLINK("#'Cards'!A"&amp;(MATCH($B874,Cards!$A$4:$A$1000,0)+3),INDEX(Cards!$B$4:$B$1000,MATCH($B874,Cards!$A$4:$A$1000,0))),"ไม่พบ Card ID ในชีต Cards"))</f>
        <v/>
      </c>
      <c r="D874" s="68" t="str">
        <f>IF(TRIM($B874)="","",IFERROR(INDEX(Cards!$M$4:$M$1000,MATCH($B874,Cards!$A$4:$A$1000,0))&amp;"","-"))</f>
        <v/>
      </c>
    </row>
    <row r="875" spans="3:4" x14ac:dyDescent="0.3">
      <c r="C875" s="68" t="str">
        <f>IF(TRIM($B875)="","",IFERROR(HYPERLINK("#'Cards'!A"&amp;(MATCH($B875,Cards!$A$4:$A$1000,0)+3),INDEX(Cards!$B$4:$B$1000,MATCH($B875,Cards!$A$4:$A$1000,0))),"ไม่พบ Card ID ในชีต Cards"))</f>
        <v/>
      </c>
      <c r="D875" s="68" t="str">
        <f>IF(TRIM($B875)="","",IFERROR(INDEX(Cards!$M$4:$M$1000,MATCH($B875,Cards!$A$4:$A$1000,0))&amp;"","-"))</f>
        <v/>
      </c>
    </row>
    <row r="876" spans="3:4" x14ac:dyDescent="0.3">
      <c r="C876" s="68" t="str">
        <f>IF(TRIM($B876)="","",IFERROR(HYPERLINK("#'Cards'!A"&amp;(MATCH($B876,Cards!$A$4:$A$1000,0)+3),INDEX(Cards!$B$4:$B$1000,MATCH($B876,Cards!$A$4:$A$1000,0))),"ไม่พบ Card ID ในชีต Cards"))</f>
        <v/>
      </c>
      <c r="D876" s="68" t="str">
        <f>IF(TRIM($B876)="","",IFERROR(INDEX(Cards!$M$4:$M$1000,MATCH($B876,Cards!$A$4:$A$1000,0))&amp;"","-"))</f>
        <v/>
      </c>
    </row>
    <row r="877" spans="3:4" x14ac:dyDescent="0.3">
      <c r="C877" s="68" t="str">
        <f>IF(TRIM($B877)="","",IFERROR(HYPERLINK("#'Cards'!A"&amp;(MATCH($B877,Cards!$A$4:$A$1000,0)+3),INDEX(Cards!$B$4:$B$1000,MATCH($B877,Cards!$A$4:$A$1000,0))),"ไม่พบ Card ID ในชีต Cards"))</f>
        <v/>
      </c>
      <c r="D877" s="68" t="str">
        <f>IF(TRIM($B877)="","",IFERROR(INDEX(Cards!$M$4:$M$1000,MATCH($B877,Cards!$A$4:$A$1000,0))&amp;"","-"))</f>
        <v/>
      </c>
    </row>
    <row r="878" spans="3:4" x14ac:dyDescent="0.3">
      <c r="C878" s="68" t="str">
        <f>IF(TRIM($B878)="","",IFERROR(HYPERLINK("#'Cards'!A"&amp;(MATCH($B878,Cards!$A$4:$A$1000,0)+3),INDEX(Cards!$B$4:$B$1000,MATCH($B878,Cards!$A$4:$A$1000,0))),"ไม่พบ Card ID ในชีต Cards"))</f>
        <v/>
      </c>
      <c r="D878" s="68" t="str">
        <f>IF(TRIM($B878)="","",IFERROR(INDEX(Cards!$M$4:$M$1000,MATCH($B878,Cards!$A$4:$A$1000,0))&amp;"","-"))</f>
        <v/>
      </c>
    </row>
    <row r="879" spans="3:4" x14ac:dyDescent="0.3">
      <c r="C879" s="68" t="str">
        <f>IF(TRIM($B879)="","",IFERROR(HYPERLINK("#'Cards'!A"&amp;(MATCH($B879,Cards!$A$4:$A$1000,0)+3),INDEX(Cards!$B$4:$B$1000,MATCH($B879,Cards!$A$4:$A$1000,0))),"ไม่พบ Card ID ในชีต Cards"))</f>
        <v/>
      </c>
      <c r="D879" s="68" t="str">
        <f>IF(TRIM($B879)="","",IFERROR(INDEX(Cards!$M$4:$M$1000,MATCH($B879,Cards!$A$4:$A$1000,0))&amp;"","-"))</f>
        <v/>
      </c>
    </row>
    <row r="880" spans="3:4" x14ac:dyDescent="0.3">
      <c r="C880" s="68" t="str">
        <f>IF(TRIM($B880)="","",IFERROR(HYPERLINK("#'Cards'!A"&amp;(MATCH($B880,Cards!$A$4:$A$1000,0)+3),INDEX(Cards!$B$4:$B$1000,MATCH($B880,Cards!$A$4:$A$1000,0))),"ไม่พบ Card ID ในชีต Cards"))</f>
        <v/>
      </c>
      <c r="D880" s="68" t="str">
        <f>IF(TRIM($B880)="","",IFERROR(INDEX(Cards!$M$4:$M$1000,MATCH($B880,Cards!$A$4:$A$1000,0))&amp;"","-"))</f>
        <v/>
      </c>
    </row>
    <row r="881" spans="3:4" x14ac:dyDescent="0.3">
      <c r="C881" s="68" t="str">
        <f>IF(TRIM($B881)="","",IFERROR(HYPERLINK("#'Cards'!A"&amp;(MATCH($B881,Cards!$A$4:$A$1000,0)+3),INDEX(Cards!$B$4:$B$1000,MATCH($B881,Cards!$A$4:$A$1000,0))),"ไม่พบ Card ID ในชีต Cards"))</f>
        <v/>
      </c>
      <c r="D881" s="68" t="str">
        <f>IF(TRIM($B881)="","",IFERROR(INDEX(Cards!$M$4:$M$1000,MATCH($B881,Cards!$A$4:$A$1000,0))&amp;"","-"))</f>
        <v/>
      </c>
    </row>
    <row r="882" spans="3:4" x14ac:dyDescent="0.3">
      <c r="C882" s="68" t="str">
        <f>IF(TRIM($B882)="","",IFERROR(HYPERLINK("#'Cards'!A"&amp;(MATCH($B882,Cards!$A$4:$A$1000,0)+3),INDEX(Cards!$B$4:$B$1000,MATCH($B882,Cards!$A$4:$A$1000,0))),"ไม่พบ Card ID ในชีต Cards"))</f>
        <v/>
      </c>
      <c r="D882" s="68" t="str">
        <f>IF(TRIM($B882)="","",IFERROR(INDEX(Cards!$M$4:$M$1000,MATCH($B882,Cards!$A$4:$A$1000,0))&amp;"","-"))</f>
        <v/>
      </c>
    </row>
    <row r="883" spans="3:4" x14ac:dyDescent="0.3">
      <c r="C883" s="68" t="str">
        <f>IF(TRIM($B883)="","",IFERROR(HYPERLINK("#'Cards'!A"&amp;(MATCH($B883,Cards!$A$4:$A$1000,0)+3),INDEX(Cards!$B$4:$B$1000,MATCH($B883,Cards!$A$4:$A$1000,0))),"ไม่พบ Card ID ในชีต Cards"))</f>
        <v/>
      </c>
      <c r="D883" s="68" t="str">
        <f>IF(TRIM($B883)="","",IFERROR(INDEX(Cards!$M$4:$M$1000,MATCH($B883,Cards!$A$4:$A$1000,0))&amp;"","-"))</f>
        <v/>
      </c>
    </row>
    <row r="884" spans="3:4" x14ac:dyDescent="0.3">
      <c r="C884" s="68" t="str">
        <f>IF(TRIM($B884)="","",IFERROR(HYPERLINK("#'Cards'!A"&amp;(MATCH($B884,Cards!$A$4:$A$1000,0)+3),INDEX(Cards!$B$4:$B$1000,MATCH($B884,Cards!$A$4:$A$1000,0))),"ไม่พบ Card ID ในชีต Cards"))</f>
        <v/>
      </c>
      <c r="D884" s="68" t="str">
        <f>IF(TRIM($B884)="","",IFERROR(INDEX(Cards!$M$4:$M$1000,MATCH($B884,Cards!$A$4:$A$1000,0))&amp;"","-"))</f>
        <v/>
      </c>
    </row>
    <row r="885" spans="3:4" x14ac:dyDescent="0.3">
      <c r="C885" s="68" t="str">
        <f>IF(TRIM($B885)="","",IFERROR(HYPERLINK("#'Cards'!A"&amp;(MATCH($B885,Cards!$A$4:$A$1000,0)+3),INDEX(Cards!$B$4:$B$1000,MATCH($B885,Cards!$A$4:$A$1000,0))),"ไม่พบ Card ID ในชีต Cards"))</f>
        <v/>
      </c>
      <c r="D885" s="68" t="str">
        <f>IF(TRIM($B885)="","",IFERROR(INDEX(Cards!$M$4:$M$1000,MATCH($B885,Cards!$A$4:$A$1000,0))&amp;"","-"))</f>
        <v/>
      </c>
    </row>
    <row r="886" spans="3:4" x14ac:dyDescent="0.3">
      <c r="C886" s="68" t="str">
        <f>IF(TRIM($B886)="","",IFERROR(HYPERLINK("#'Cards'!A"&amp;(MATCH($B886,Cards!$A$4:$A$1000,0)+3),INDEX(Cards!$B$4:$B$1000,MATCH($B886,Cards!$A$4:$A$1000,0))),"ไม่พบ Card ID ในชีต Cards"))</f>
        <v/>
      </c>
      <c r="D886" s="68" t="str">
        <f>IF(TRIM($B886)="","",IFERROR(INDEX(Cards!$M$4:$M$1000,MATCH($B886,Cards!$A$4:$A$1000,0))&amp;"","-"))</f>
        <v/>
      </c>
    </row>
    <row r="887" spans="3:4" x14ac:dyDescent="0.3">
      <c r="C887" s="68" t="str">
        <f>IF(TRIM($B887)="","",IFERROR(HYPERLINK("#'Cards'!A"&amp;(MATCH($B887,Cards!$A$4:$A$1000,0)+3),INDEX(Cards!$B$4:$B$1000,MATCH($B887,Cards!$A$4:$A$1000,0))),"ไม่พบ Card ID ในชีต Cards"))</f>
        <v/>
      </c>
      <c r="D887" s="68" t="str">
        <f>IF(TRIM($B887)="","",IFERROR(INDEX(Cards!$M$4:$M$1000,MATCH($B887,Cards!$A$4:$A$1000,0))&amp;"","-"))</f>
        <v/>
      </c>
    </row>
    <row r="888" spans="3:4" x14ac:dyDescent="0.3">
      <c r="C888" s="68" t="str">
        <f>IF(TRIM($B888)="","",IFERROR(HYPERLINK("#'Cards'!A"&amp;(MATCH($B888,Cards!$A$4:$A$1000,0)+3),INDEX(Cards!$B$4:$B$1000,MATCH($B888,Cards!$A$4:$A$1000,0))),"ไม่พบ Card ID ในชีต Cards"))</f>
        <v/>
      </c>
      <c r="D888" s="68" t="str">
        <f>IF(TRIM($B888)="","",IFERROR(INDEX(Cards!$M$4:$M$1000,MATCH($B888,Cards!$A$4:$A$1000,0))&amp;"","-"))</f>
        <v/>
      </c>
    </row>
    <row r="889" spans="3:4" x14ac:dyDescent="0.3">
      <c r="C889" s="68" t="str">
        <f>IF(TRIM($B889)="","",IFERROR(HYPERLINK("#'Cards'!A"&amp;(MATCH($B889,Cards!$A$4:$A$1000,0)+3),INDEX(Cards!$B$4:$B$1000,MATCH($B889,Cards!$A$4:$A$1000,0))),"ไม่พบ Card ID ในชีต Cards"))</f>
        <v/>
      </c>
      <c r="D889" s="68" t="str">
        <f>IF(TRIM($B889)="","",IFERROR(INDEX(Cards!$M$4:$M$1000,MATCH($B889,Cards!$A$4:$A$1000,0))&amp;"","-"))</f>
        <v/>
      </c>
    </row>
    <row r="890" spans="3:4" x14ac:dyDescent="0.3">
      <c r="C890" s="68" t="str">
        <f>IF(TRIM($B890)="","",IFERROR(HYPERLINK("#'Cards'!A"&amp;(MATCH($B890,Cards!$A$4:$A$1000,0)+3),INDEX(Cards!$B$4:$B$1000,MATCH($B890,Cards!$A$4:$A$1000,0))),"ไม่พบ Card ID ในชีต Cards"))</f>
        <v/>
      </c>
      <c r="D890" s="68" t="str">
        <f>IF(TRIM($B890)="","",IFERROR(INDEX(Cards!$M$4:$M$1000,MATCH($B890,Cards!$A$4:$A$1000,0))&amp;"","-"))</f>
        <v/>
      </c>
    </row>
    <row r="891" spans="3:4" x14ac:dyDescent="0.3">
      <c r="C891" s="68" t="str">
        <f>IF(TRIM($B891)="","",IFERROR(HYPERLINK("#'Cards'!A"&amp;(MATCH($B891,Cards!$A$4:$A$1000,0)+3),INDEX(Cards!$B$4:$B$1000,MATCH($B891,Cards!$A$4:$A$1000,0))),"ไม่พบ Card ID ในชีต Cards"))</f>
        <v/>
      </c>
      <c r="D891" s="68" t="str">
        <f>IF(TRIM($B891)="","",IFERROR(INDEX(Cards!$M$4:$M$1000,MATCH($B891,Cards!$A$4:$A$1000,0))&amp;"","-"))</f>
        <v/>
      </c>
    </row>
    <row r="892" spans="3:4" x14ac:dyDescent="0.3">
      <c r="C892" s="68" t="str">
        <f>IF(TRIM($B892)="","",IFERROR(HYPERLINK("#'Cards'!A"&amp;(MATCH($B892,Cards!$A$4:$A$1000,0)+3),INDEX(Cards!$B$4:$B$1000,MATCH($B892,Cards!$A$4:$A$1000,0))),"ไม่พบ Card ID ในชีต Cards"))</f>
        <v/>
      </c>
      <c r="D892" s="68" t="str">
        <f>IF(TRIM($B892)="","",IFERROR(INDEX(Cards!$M$4:$M$1000,MATCH($B892,Cards!$A$4:$A$1000,0))&amp;"","-"))</f>
        <v/>
      </c>
    </row>
    <row r="893" spans="3:4" x14ac:dyDescent="0.3">
      <c r="C893" s="68" t="str">
        <f>IF(TRIM($B893)="","",IFERROR(HYPERLINK("#'Cards'!A"&amp;(MATCH($B893,Cards!$A$4:$A$1000,0)+3),INDEX(Cards!$B$4:$B$1000,MATCH($B893,Cards!$A$4:$A$1000,0))),"ไม่พบ Card ID ในชีต Cards"))</f>
        <v/>
      </c>
      <c r="D893" s="68" t="str">
        <f>IF(TRIM($B893)="","",IFERROR(INDEX(Cards!$M$4:$M$1000,MATCH($B893,Cards!$A$4:$A$1000,0))&amp;"","-"))</f>
        <v/>
      </c>
    </row>
    <row r="894" spans="3:4" x14ac:dyDescent="0.3">
      <c r="C894" s="68" t="str">
        <f>IF(TRIM($B894)="","",IFERROR(HYPERLINK("#'Cards'!A"&amp;(MATCH($B894,Cards!$A$4:$A$1000,0)+3),INDEX(Cards!$B$4:$B$1000,MATCH($B894,Cards!$A$4:$A$1000,0))),"ไม่พบ Card ID ในชีต Cards"))</f>
        <v/>
      </c>
      <c r="D894" s="68" t="str">
        <f>IF(TRIM($B894)="","",IFERROR(INDEX(Cards!$M$4:$M$1000,MATCH($B894,Cards!$A$4:$A$1000,0))&amp;"","-"))</f>
        <v/>
      </c>
    </row>
    <row r="895" spans="3:4" x14ac:dyDescent="0.3">
      <c r="C895" s="68" t="str">
        <f>IF(TRIM($B895)="","",IFERROR(HYPERLINK("#'Cards'!A"&amp;(MATCH($B895,Cards!$A$4:$A$1000,0)+3),INDEX(Cards!$B$4:$B$1000,MATCH($B895,Cards!$A$4:$A$1000,0))),"ไม่พบ Card ID ในชีต Cards"))</f>
        <v/>
      </c>
      <c r="D895" s="68" t="str">
        <f>IF(TRIM($B895)="","",IFERROR(INDEX(Cards!$M$4:$M$1000,MATCH($B895,Cards!$A$4:$A$1000,0))&amp;"","-"))</f>
        <v/>
      </c>
    </row>
    <row r="896" spans="3:4" x14ac:dyDescent="0.3">
      <c r="C896" s="68" t="str">
        <f>IF(TRIM($B896)="","",IFERROR(HYPERLINK("#'Cards'!A"&amp;(MATCH($B896,Cards!$A$4:$A$1000,0)+3),INDEX(Cards!$B$4:$B$1000,MATCH($B896,Cards!$A$4:$A$1000,0))),"ไม่พบ Card ID ในชีต Cards"))</f>
        <v/>
      </c>
      <c r="D896" s="68" t="str">
        <f>IF(TRIM($B896)="","",IFERROR(INDEX(Cards!$M$4:$M$1000,MATCH($B896,Cards!$A$4:$A$1000,0))&amp;"","-"))</f>
        <v/>
      </c>
    </row>
    <row r="897" spans="3:4" x14ac:dyDescent="0.3">
      <c r="C897" s="68" t="str">
        <f>IF(TRIM($B897)="","",IFERROR(HYPERLINK("#'Cards'!A"&amp;(MATCH($B897,Cards!$A$4:$A$1000,0)+3),INDEX(Cards!$B$4:$B$1000,MATCH($B897,Cards!$A$4:$A$1000,0))),"ไม่พบ Card ID ในชีต Cards"))</f>
        <v/>
      </c>
      <c r="D897" s="68" t="str">
        <f>IF(TRIM($B897)="","",IFERROR(INDEX(Cards!$M$4:$M$1000,MATCH($B897,Cards!$A$4:$A$1000,0))&amp;"","-"))</f>
        <v/>
      </c>
    </row>
    <row r="898" spans="3:4" x14ac:dyDescent="0.3">
      <c r="C898" s="68" t="str">
        <f>IF(TRIM($B898)="","",IFERROR(HYPERLINK("#'Cards'!A"&amp;(MATCH($B898,Cards!$A$4:$A$1000,0)+3),INDEX(Cards!$B$4:$B$1000,MATCH($B898,Cards!$A$4:$A$1000,0))),"ไม่พบ Card ID ในชีต Cards"))</f>
        <v/>
      </c>
      <c r="D898" s="68" t="str">
        <f>IF(TRIM($B898)="","",IFERROR(INDEX(Cards!$M$4:$M$1000,MATCH($B898,Cards!$A$4:$A$1000,0))&amp;"","-"))</f>
        <v/>
      </c>
    </row>
    <row r="899" spans="3:4" x14ac:dyDescent="0.3">
      <c r="C899" s="68" t="str">
        <f>IF(TRIM($B899)="","",IFERROR(HYPERLINK("#'Cards'!A"&amp;(MATCH($B899,Cards!$A$4:$A$1000,0)+3),INDEX(Cards!$B$4:$B$1000,MATCH($B899,Cards!$A$4:$A$1000,0))),"ไม่พบ Card ID ในชีต Cards"))</f>
        <v/>
      </c>
      <c r="D899" s="68" t="str">
        <f>IF(TRIM($B899)="","",IFERROR(INDEX(Cards!$M$4:$M$1000,MATCH($B899,Cards!$A$4:$A$1000,0))&amp;"","-"))</f>
        <v/>
      </c>
    </row>
    <row r="900" spans="3:4" x14ac:dyDescent="0.3">
      <c r="C900" s="68" t="str">
        <f>IF(TRIM($B900)="","",IFERROR(HYPERLINK("#'Cards'!A"&amp;(MATCH($B900,Cards!$A$4:$A$1000,0)+3),INDEX(Cards!$B$4:$B$1000,MATCH($B900,Cards!$A$4:$A$1000,0))),"ไม่พบ Card ID ในชีต Cards"))</f>
        <v/>
      </c>
      <c r="D900" s="68" t="str">
        <f>IF(TRIM($B900)="","",IFERROR(INDEX(Cards!$M$4:$M$1000,MATCH($B900,Cards!$A$4:$A$1000,0))&amp;"","-"))</f>
        <v/>
      </c>
    </row>
    <row r="901" spans="3:4" x14ac:dyDescent="0.3">
      <c r="C901" s="68" t="str">
        <f>IF(TRIM($B901)="","",IFERROR(HYPERLINK("#'Cards'!A"&amp;(MATCH($B901,Cards!$A$4:$A$1000,0)+3),INDEX(Cards!$B$4:$B$1000,MATCH($B901,Cards!$A$4:$A$1000,0))),"ไม่พบ Card ID ในชีต Cards"))</f>
        <v/>
      </c>
      <c r="D901" s="68" t="str">
        <f>IF(TRIM($B901)="","",IFERROR(INDEX(Cards!$M$4:$M$1000,MATCH($B901,Cards!$A$4:$A$1000,0))&amp;"","-"))</f>
        <v/>
      </c>
    </row>
    <row r="902" spans="3:4" x14ac:dyDescent="0.3">
      <c r="C902" s="68" t="str">
        <f>IF(TRIM($B902)="","",IFERROR(HYPERLINK("#'Cards'!A"&amp;(MATCH($B902,Cards!$A$4:$A$1000,0)+3),INDEX(Cards!$B$4:$B$1000,MATCH($B902,Cards!$A$4:$A$1000,0))),"ไม่พบ Card ID ในชีต Cards"))</f>
        <v/>
      </c>
      <c r="D902" s="68" t="str">
        <f>IF(TRIM($B902)="","",IFERROR(INDEX(Cards!$M$4:$M$1000,MATCH($B902,Cards!$A$4:$A$1000,0))&amp;"","-"))</f>
        <v/>
      </c>
    </row>
    <row r="903" spans="3:4" x14ac:dyDescent="0.3">
      <c r="C903" s="68" t="str">
        <f>IF(TRIM($B903)="","",IFERROR(HYPERLINK("#'Cards'!A"&amp;(MATCH($B903,Cards!$A$4:$A$1000,0)+3),INDEX(Cards!$B$4:$B$1000,MATCH($B903,Cards!$A$4:$A$1000,0))),"ไม่พบ Card ID ในชีต Cards"))</f>
        <v/>
      </c>
      <c r="D903" s="68" t="str">
        <f>IF(TRIM($B903)="","",IFERROR(INDEX(Cards!$M$4:$M$1000,MATCH($B903,Cards!$A$4:$A$1000,0))&amp;"","-"))</f>
        <v/>
      </c>
    </row>
    <row r="904" spans="3:4" x14ac:dyDescent="0.3">
      <c r="C904" s="68" t="str">
        <f>IF(TRIM($B904)="","",IFERROR(HYPERLINK("#'Cards'!A"&amp;(MATCH($B904,Cards!$A$4:$A$1000,0)+3),INDEX(Cards!$B$4:$B$1000,MATCH($B904,Cards!$A$4:$A$1000,0))),"ไม่พบ Card ID ในชีต Cards"))</f>
        <v/>
      </c>
      <c r="D904" s="68" t="str">
        <f>IF(TRIM($B904)="","",IFERROR(INDEX(Cards!$M$4:$M$1000,MATCH($B904,Cards!$A$4:$A$1000,0))&amp;"","-"))</f>
        <v/>
      </c>
    </row>
    <row r="905" spans="3:4" x14ac:dyDescent="0.3">
      <c r="C905" s="68" t="str">
        <f>IF(TRIM($B905)="","",IFERROR(HYPERLINK("#'Cards'!A"&amp;(MATCH($B905,Cards!$A$4:$A$1000,0)+3),INDEX(Cards!$B$4:$B$1000,MATCH($B905,Cards!$A$4:$A$1000,0))),"ไม่พบ Card ID ในชีต Cards"))</f>
        <v/>
      </c>
      <c r="D905" s="68" t="str">
        <f>IF(TRIM($B905)="","",IFERROR(INDEX(Cards!$M$4:$M$1000,MATCH($B905,Cards!$A$4:$A$1000,0))&amp;"","-"))</f>
        <v/>
      </c>
    </row>
    <row r="906" spans="3:4" x14ac:dyDescent="0.3">
      <c r="C906" s="68" t="str">
        <f>IF(TRIM($B906)="","",IFERROR(HYPERLINK("#'Cards'!A"&amp;(MATCH($B906,Cards!$A$4:$A$1000,0)+3),INDEX(Cards!$B$4:$B$1000,MATCH($B906,Cards!$A$4:$A$1000,0))),"ไม่พบ Card ID ในชีต Cards"))</f>
        <v/>
      </c>
      <c r="D906" s="68" t="str">
        <f>IF(TRIM($B906)="","",IFERROR(INDEX(Cards!$M$4:$M$1000,MATCH($B906,Cards!$A$4:$A$1000,0))&amp;"","-"))</f>
        <v/>
      </c>
    </row>
    <row r="907" spans="3:4" x14ac:dyDescent="0.3">
      <c r="C907" s="68" t="str">
        <f>IF(TRIM($B907)="","",IFERROR(HYPERLINK("#'Cards'!A"&amp;(MATCH($B907,Cards!$A$4:$A$1000,0)+3),INDEX(Cards!$B$4:$B$1000,MATCH($B907,Cards!$A$4:$A$1000,0))),"ไม่พบ Card ID ในชีต Cards"))</f>
        <v/>
      </c>
      <c r="D907" s="68" t="str">
        <f>IF(TRIM($B907)="","",IFERROR(INDEX(Cards!$M$4:$M$1000,MATCH($B907,Cards!$A$4:$A$1000,0))&amp;"","-"))</f>
        <v/>
      </c>
    </row>
    <row r="908" spans="3:4" x14ac:dyDescent="0.3">
      <c r="C908" s="68" t="str">
        <f>IF(TRIM($B908)="","",IFERROR(HYPERLINK("#'Cards'!A"&amp;(MATCH($B908,Cards!$A$4:$A$1000,0)+3),INDEX(Cards!$B$4:$B$1000,MATCH($B908,Cards!$A$4:$A$1000,0))),"ไม่พบ Card ID ในชีต Cards"))</f>
        <v/>
      </c>
      <c r="D908" s="68" t="str">
        <f>IF(TRIM($B908)="","",IFERROR(INDEX(Cards!$M$4:$M$1000,MATCH($B908,Cards!$A$4:$A$1000,0))&amp;"","-"))</f>
        <v/>
      </c>
    </row>
    <row r="909" spans="3:4" x14ac:dyDescent="0.3">
      <c r="C909" s="68" t="str">
        <f>IF(TRIM($B909)="","",IFERROR(HYPERLINK("#'Cards'!A"&amp;(MATCH($B909,Cards!$A$4:$A$1000,0)+3),INDEX(Cards!$B$4:$B$1000,MATCH($B909,Cards!$A$4:$A$1000,0))),"ไม่พบ Card ID ในชีต Cards"))</f>
        <v/>
      </c>
      <c r="D909" s="68" t="str">
        <f>IF(TRIM($B909)="","",IFERROR(INDEX(Cards!$M$4:$M$1000,MATCH($B909,Cards!$A$4:$A$1000,0))&amp;"","-"))</f>
        <v/>
      </c>
    </row>
    <row r="910" spans="3:4" x14ac:dyDescent="0.3">
      <c r="C910" s="68" t="str">
        <f>IF(TRIM($B910)="","",IFERROR(HYPERLINK("#'Cards'!A"&amp;(MATCH($B910,Cards!$A$4:$A$1000,0)+3),INDEX(Cards!$B$4:$B$1000,MATCH($B910,Cards!$A$4:$A$1000,0))),"ไม่พบ Card ID ในชีต Cards"))</f>
        <v/>
      </c>
      <c r="D910" s="68" t="str">
        <f>IF(TRIM($B910)="","",IFERROR(INDEX(Cards!$M$4:$M$1000,MATCH($B910,Cards!$A$4:$A$1000,0))&amp;"","-"))</f>
        <v/>
      </c>
    </row>
    <row r="911" spans="3:4" x14ac:dyDescent="0.3">
      <c r="C911" s="68" t="str">
        <f>IF(TRIM($B911)="","",IFERROR(HYPERLINK("#'Cards'!A"&amp;(MATCH($B911,Cards!$A$4:$A$1000,0)+3),INDEX(Cards!$B$4:$B$1000,MATCH($B911,Cards!$A$4:$A$1000,0))),"ไม่พบ Card ID ในชีต Cards"))</f>
        <v/>
      </c>
      <c r="D911" s="68" t="str">
        <f>IF(TRIM($B911)="","",IFERROR(INDEX(Cards!$M$4:$M$1000,MATCH($B911,Cards!$A$4:$A$1000,0))&amp;"","-"))</f>
        <v/>
      </c>
    </row>
    <row r="912" spans="3:4" x14ac:dyDescent="0.3">
      <c r="C912" s="68" t="str">
        <f>IF(TRIM($B912)="","",IFERROR(HYPERLINK("#'Cards'!A"&amp;(MATCH($B912,Cards!$A$4:$A$1000,0)+3),INDEX(Cards!$B$4:$B$1000,MATCH($B912,Cards!$A$4:$A$1000,0))),"ไม่พบ Card ID ในชีต Cards"))</f>
        <v/>
      </c>
      <c r="D912" s="68" t="str">
        <f>IF(TRIM($B912)="","",IFERROR(INDEX(Cards!$M$4:$M$1000,MATCH($B912,Cards!$A$4:$A$1000,0))&amp;"","-"))</f>
        <v/>
      </c>
    </row>
    <row r="913" spans="3:4" x14ac:dyDescent="0.3">
      <c r="C913" s="68" t="str">
        <f>IF(TRIM($B913)="","",IFERROR(HYPERLINK("#'Cards'!A"&amp;(MATCH($B913,Cards!$A$4:$A$1000,0)+3),INDEX(Cards!$B$4:$B$1000,MATCH($B913,Cards!$A$4:$A$1000,0))),"ไม่พบ Card ID ในชีต Cards"))</f>
        <v/>
      </c>
      <c r="D913" s="68" t="str">
        <f>IF(TRIM($B913)="","",IFERROR(INDEX(Cards!$M$4:$M$1000,MATCH($B913,Cards!$A$4:$A$1000,0))&amp;"","-"))</f>
        <v/>
      </c>
    </row>
    <row r="914" spans="3:4" x14ac:dyDescent="0.3">
      <c r="C914" s="68" t="str">
        <f>IF(TRIM($B914)="","",IFERROR(HYPERLINK("#'Cards'!A"&amp;(MATCH($B914,Cards!$A$4:$A$1000,0)+3),INDEX(Cards!$B$4:$B$1000,MATCH($B914,Cards!$A$4:$A$1000,0))),"ไม่พบ Card ID ในชีต Cards"))</f>
        <v/>
      </c>
      <c r="D914" s="68" t="str">
        <f>IF(TRIM($B914)="","",IFERROR(INDEX(Cards!$M$4:$M$1000,MATCH($B914,Cards!$A$4:$A$1000,0))&amp;"","-"))</f>
        <v/>
      </c>
    </row>
    <row r="915" spans="3:4" x14ac:dyDescent="0.3">
      <c r="C915" s="68" t="str">
        <f>IF(TRIM($B915)="","",IFERROR(HYPERLINK("#'Cards'!A"&amp;(MATCH($B915,Cards!$A$4:$A$1000,0)+3),INDEX(Cards!$B$4:$B$1000,MATCH($B915,Cards!$A$4:$A$1000,0))),"ไม่พบ Card ID ในชีต Cards"))</f>
        <v/>
      </c>
      <c r="D915" s="68" t="str">
        <f>IF(TRIM($B915)="","",IFERROR(INDEX(Cards!$M$4:$M$1000,MATCH($B915,Cards!$A$4:$A$1000,0))&amp;"","-"))</f>
        <v/>
      </c>
    </row>
    <row r="916" spans="3:4" x14ac:dyDescent="0.3">
      <c r="C916" s="68" t="str">
        <f>IF(TRIM($B916)="","",IFERROR(HYPERLINK("#'Cards'!A"&amp;(MATCH($B916,Cards!$A$4:$A$1000,0)+3),INDEX(Cards!$B$4:$B$1000,MATCH($B916,Cards!$A$4:$A$1000,0))),"ไม่พบ Card ID ในชีต Cards"))</f>
        <v/>
      </c>
      <c r="D916" s="68" t="str">
        <f>IF(TRIM($B916)="","",IFERROR(INDEX(Cards!$M$4:$M$1000,MATCH($B916,Cards!$A$4:$A$1000,0))&amp;"","-"))</f>
        <v/>
      </c>
    </row>
    <row r="917" spans="3:4" x14ac:dyDescent="0.3">
      <c r="C917" s="68" t="str">
        <f>IF(TRIM($B917)="","",IFERROR(HYPERLINK("#'Cards'!A"&amp;(MATCH($B917,Cards!$A$4:$A$1000,0)+3),INDEX(Cards!$B$4:$B$1000,MATCH($B917,Cards!$A$4:$A$1000,0))),"ไม่พบ Card ID ในชีต Cards"))</f>
        <v/>
      </c>
      <c r="D917" s="68" t="str">
        <f>IF(TRIM($B917)="","",IFERROR(INDEX(Cards!$M$4:$M$1000,MATCH($B917,Cards!$A$4:$A$1000,0))&amp;"","-"))</f>
        <v/>
      </c>
    </row>
    <row r="918" spans="3:4" x14ac:dyDescent="0.3">
      <c r="C918" s="68" t="str">
        <f>IF(TRIM($B918)="","",IFERROR(HYPERLINK("#'Cards'!A"&amp;(MATCH($B918,Cards!$A$4:$A$1000,0)+3),INDEX(Cards!$B$4:$B$1000,MATCH($B918,Cards!$A$4:$A$1000,0))),"ไม่พบ Card ID ในชีต Cards"))</f>
        <v/>
      </c>
      <c r="D918" s="68" t="str">
        <f>IF(TRIM($B918)="","",IFERROR(INDEX(Cards!$M$4:$M$1000,MATCH($B918,Cards!$A$4:$A$1000,0))&amp;"","-"))</f>
        <v/>
      </c>
    </row>
    <row r="919" spans="3:4" x14ac:dyDescent="0.3">
      <c r="C919" s="68" t="str">
        <f>IF(TRIM($B919)="","",IFERROR(HYPERLINK("#'Cards'!A"&amp;(MATCH($B919,Cards!$A$4:$A$1000,0)+3),INDEX(Cards!$B$4:$B$1000,MATCH($B919,Cards!$A$4:$A$1000,0))),"ไม่พบ Card ID ในชีต Cards"))</f>
        <v/>
      </c>
      <c r="D919" s="68" t="str">
        <f>IF(TRIM($B919)="","",IFERROR(INDEX(Cards!$M$4:$M$1000,MATCH($B919,Cards!$A$4:$A$1000,0))&amp;"","-"))</f>
        <v/>
      </c>
    </row>
    <row r="920" spans="3:4" x14ac:dyDescent="0.3">
      <c r="C920" s="68" t="str">
        <f>IF(TRIM($B920)="","",IFERROR(HYPERLINK("#'Cards'!A"&amp;(MATCH($B920,Cards!$A$4:$A$1000,0)+3),INDEX(Cards!$B$4:$B$1000,MATCH($B920,Cards!$A$4:$A$1000,0))),"ไม่พบ Card ID ในชีต Cards"))</f>
        <v/>
      </c>
      <c r="D920" s="68" t="str">
        <f>IF(TRIM($B920)="","",IFERROR(INDEX(Cards!$M$4:$M$1000,MATCH($B920,Cards!$A$4:$A$1000,0))&amp;"","-"))</f>
        <v/>
      </c>
    </row>
    <row r="921" spans="3:4" x14ac:dyDescent="0.3">
      <c r="C921" s="68" t="str">
        <f>IF(TRIM($B921)="","",IFERROR(HYPERLINK("#'Cards'!A"&amp;(MATCH($B921,Cards!$A$4:$A$1000,0)+3),INDEX(Cards!$B$4:$B$1000,MATCH($B921,Cards!$A$4:$A$1000,0))),"ไม่พบ Card ID ในชีต Cards"))</f>
        <v/>
      </c>
      <c r="D921" s="68" t="str">
        <f>IF(TRIM($B921)="","",IFERROR(INDEX(Cards!$M$4:$M$1000,MATCH($B921,Cards!$A$4:$A$1000,0))&amp;"","-"))</f>
        <v/>
      </c>
    </row>
    <row r="922" spans="3:4" x14ac:dyDescent="0.3">
      <c r="C922" s="68" t="str">
        <f>IF(TRIM($B922)="","",IFERROR(HYPERLINK("#'Cards'!A"&amp;(MATCH($B922,Cards!$A$4:$A$1000,0)+3),INDEX(Cards!$B$4:$B$1000,MATCH($B922,Cards!$A$4:$A$1000,0))),"ไม่พบ Card ID ในชีต Cards"))</f>
        <v/>
      </c>
      <c r="D922" s="68" t="str">
        <f>IF(TRIM($B922)="","",IFERROR(INDEX(Cards!$M$4:$M$1000,MATCH($B922,Cards!$A$4:$A$1000,0))&amp;"","-"))</f>
        <v/>
      </c>
    </row>
    <row r="923" spans="3:4" x14ac:dyDescent="0.3">
      <c r="C923" s="68" t="str">
        <f>IF(TRIM($B923)="","",IFERROR(HYPERLINK("#'Cards'!A"&amp;(MATCH($B923,Cards!$A$4:$A$1000,0)+3),INDEX(Cards!$B$4:$B$1000,MATCH($B923,Cards!$A$4:$A$1000,0))),"ไม่พบ Card ID ในชีต Cards"))</f>
        <v/>
      </c>
      <c r="D923" s="68" t="str">
        <f>IF(TRIM($B923)="","",IFERROR(INDEX(Cards!$M$4:$M$1000,MATCH($B923,Cards!$A$4:$A$1000,0))&amp;"","-"))</f>
        <v/>
      </c>
    </row>
    <row r="924" spans="3:4" x14ac:dyDescent="0.3">
      <c r="C924" s="68" t="str">
        <f>IF(TRIM($B924)="","",IFERROR(HYPERLINK("#'Cards'!A"&amp;(MATCH($B924,Cards!$A$4:$A$1000,0)+3),INDEX(Cards!$B$4:$B$1000,MATCH($B924,Cards!$A$4:$A$1000,0))),"ไม่พบ Card ID ในชีต Cards"))</f>
        <v/>
      </c>
      <c r="D924" s="68" t="str">
        <f>IF(TRIM($B924)="","",IFERROR(INDEX(Cards!$M$4:$M$1000,MATCH($B924,Cards!$A$4:$A$1000,0))&amp;"","-"))</f>
        <v/>
      </c>
    </row>
    <row r="925" spans="3:4" x14ac:dyDescent="0.3">
      <c r="C925" s="68" t="str">
        <f>IF(TRIM($B925)="","",IFERROR(HYPERLINK("#'Cards'!A"&amp;(MATCH($B925,Cards!$A$4:$A$1000,0)+3),INDEX(Cards!$B$4:$B$1000,MATCH($B925,Cards!$A$4:$A$1000,0))),"ไม่พบ Card ID ในชีต Cards"))</f>
        <v/>
      </c>
      <c r="D925" s="68" t="str">
        <f>IF(TRIM($B925)="","",IFERROR(INDEX(Cards!$M$4:$M$1000,MATCH($B925,Cards!$A$4:$A$1000,0))&amp;"","-"))</f>
        <v/>
      </c>
    </row>
    <row r="926" spans="3:4" x14ac:dyDescent="0.3">
      <c r="C926" s="68" t="str">
        <f>IF(TRIM($B926)="","",IFERROR(HYPERLINK("#'Cards'!A"&amp;(MATCH($B926,Cards!$A$4:$A$1000,0)+3),INDEX(Cards!$B$4:$B$1000,MATCH($B926,Cards!$A$4:$A$1000,0))),"ไม่พบ Card ID ในชีต Cards"))</f>
        <v/>
      </c>
      <c r="D926" s="68" t="str">
        <f>IF(TRIM($B926)="","",IFERROR(INDEX(Cards!$M$4:$M$1000,MATCH($B926,Cards!$A$4:$A$1000,0))&amp;"","-"))</f>
        <v/>
      </c>
    </row>
    <row r="927" spans="3:4" x14ac:dyDescent="0.3">
      <c r="C927" s="68" t="str">
        <f>IF(TRIM($B927)="","",IFERROR(HYPERLINK("#'Cards'!A"&amp;(MATCH($B927,Cards!$A$4:$A$1000,0)+3),INDEX(Cards!$B$4:$B$1000,MATCH($B927,Cards!$A$4:$A$1000,0))),"ไม่พบ Card ID ในชีต Cards"))</f>
        <v/>
      </c>
      <c r="D927" s="68" t="str">
        <f>IF(TRIM($B927)="","",IFERROR(INDEX(Cards!$M$4:$M$1000,MATCH($B927,Cards!$A$4:$A$1000,0))&amp;"","-"))</f>
        <v/>
      </c>
    </row>
    <row r="928" spans="3:4" x14ac:dyDescent="0.3">
      <c r="C928" s="68" t="str">
        <f>IF(TRIM($B928)="","",IFERROR(HYPERLINK("#'Cards'!A"&amp;(MATCH($B928,Cards!$A$4:$A$1000,0)+3),INDEX(Cards!$B$4:$B$1000,MATCH($B928,Cards!$A$4:$A$1000,0))),"ไม่พบ Card ID ในชีต Cards"))</f>
        <v/>
      </c>
      <c r="D928" s="68" t="str">
        <f>IF(TRIM($B928)="","",IFERROR(INDEX(Cards!$M$4:$M$1000,MATCH($B928,Cards!$A$4:$A$1000,0))&amp;"","-"))</f>
        <v/>
      </c>
    </row>
    <row r="929" spans="3:4" x14ac:dyDescent="0.3">
      <c r="C929" s="68" t="str">
        <f>IF(TRIM($B929)="","",IFERROR(HYPERLINK("#'Cards'!A"&amp;(MATCH($B929,Cards!$A$4:$A$1000,0)+3),INDEX(Cards!$B$4:$B$1000,MATCH($B929,Cards!$A$4:$A$1000,0))),"ไม่พบ Card ID ในชีต Cards"))</f>
        <v/>
      </c>
      <c r="D929" s="68" t="str">
        <f>IF(TRIM($B929)="","",IFERROR(INDEX(Cards!$M$4:$M$1000,MATCH($B929,Cards!$A$4:$A$1000,0))&amp;"","-"))</f>
        <v/>
      </c>
    </row>
    <row r="930" spans="3:4" x14ac:dyDescent="0.3">
      <c r="C930" s="68" t="str">
        <f>IF(TRIM($B930)="","",IFERROR(HYPERLINK("#'Cards'!A"&amp;(MATCH($B930,Cards!$A$4:$A$1000,0)+3),INDEX(Cards!$B$4:$B$1000,MATCH($B930,Cards!$A$4:$A$1000,0))),"ไม่พบ Card ID ในชีต Cards"))</f>
        <v/>
      </c>
      <c r="D930" s="68" t="str">
        <f>IF(TRIM($B930)="","",IFERROR(INDEX(Cards!$M$4:$M$1000,MATCH($B930,Cards!$A$4:$A$1000,0))&amp;"","-"))</f>
        <v/>
      </c>
    </row>
    <row r="931" spans="3:4" x14ac:dyDescent="0.3">
      <c r="C931" s="68" t="str">
        <f>IF(TRIM($B931)="","",IFERROR(HYPERLINK("#'Cards'!A"&amp;(MATCH($B931,Cards!$A$4:$A$1000,0)+3),INDEX(Cards!$B$4:$B$1000,MATCH($B931,Cards!$A$4:$A$1000,0))),"ไม่พบ Card ID ในชีต Cards"))</f>
        <v/>
      </c>
      <c r="D931" s="68" t="str">
        <f>IF(TRIM($B931)="","",IFERROR(INDEX(Cards!$M$4:$M$1000,MATCH($B931,Cards!$A$4:$A$1000,0))&amp;"","-"))</f>
        <v/>
      </c>
    </row>
    <row r="932" spans="3:4" x14ac:dyDescent="0.3">
      <c r="C932" s="68" t="str">
        <f>IF(TRIM($B932)="","",IFERROR(HYPERLINK("#'Cards'!A"&amp;(MATCH($B932,Cards!$A$4:$A$1000,0)+3),INDEX(Cards!$B$4:$B$1000,MATCH($B932,Cards!$A$4:$A$1000,0))),"ไม่พบ Card ID ในชีต Cards"))</f>
        <v/>
      </c>
      <c r="D932" s="68" t="str">
        <f>IF(TRIM($B932)="","",IFERROR(INDEX(Cards!$M$4:$M$1000,MATCH($B932,Cards!$A$4:$A$1000,0))&amp;"","-"))</f>
        <v/>
      </c>
    </row>
    <row r="933" spans="3:4" x14ac:dyDescent="0.3">
      <c r="C933" s="68" t="str">
        <f>IF(TRIM($B933)="","",IFERROR(HYPERLINK("#'Cards'!A"&amp;(MATCH($B933,Cards!$A$4:$A$1000,0)+3),INDEX(Cards!$B$4:$B$1000,MATCH($B933,Cards!$A$4:$A$1000,0))),"ไม่พบ Card ID ในชีต Cards"))</f>
        <v/>
      </c>
      <c r="D933" s="68" t="str">
        <f>IF(TRIM($B933)="","",IFERROR(INDEX(Cards!$M$4:$M$1000,MATCH($B933,Cards!$A$4:$A$1000,0))&amp;"","-"))</f>
        <v/>
      </c>
    </row>
    <row r="934" spans="3:4" x14ac:dyDescent="0.3">
      <c r="C934" s="68" t="str">
        <f>IF(TRIM($B934)="","",IFERROR(HYPERLINK("#'Cards'!A"&amp;(MATCH($B934,Cards!$A$4:$A$1000,0)+3),INDEX(Cards!$B$4:$B$1000,MATCH($B934,Cards!$A$4:$A$1000,0))),"ไม่พบ Card ID ในชีต Cards"))</f>
        <v/>
      </c>
      <c r="D934" s="68" t="str">
        <f>IF(TRIM($B934)="","",IFERROR(INDEX(Cards!$M$4:$M$1000,MATCH($B934,Cards!$A$4:$A$1000,0))&amp;"","-"))</f>
        <v/>
      </c>
    </row>
    <row r="935" spans="3:4" x14ac:dyDescent="0.3">
      <c r="C935" s="68" t="str">
        <f>IF(TRIM($B935)="","",IFERROR(HYPERLINK("#'Cards'!A"&amp;(MATCH($B935,Cards!$A$4:$A$1000,0)+3),INDEX(Cards!$B$4:$B$1000,MATCH($B935,Cards!$A$4:$A$1000,0))),"ไม่พบ Card ID ในชีต Cards"))</f>
        <v/>
      </c>
      <c r="D935" s="68" t="str">
        <f>IF(TRIM($B935)="","",IFERROR(INDEX(Cards!$M$4:$M$1000,MATCH($B935,Cards!$A$4:$A$1000,0))&amp;"","-"))</f>
        <v/>
      </c>
    </row>
    <row r="936" spans="3:4" x14ac:dyDescent="0.3">
      <c r="C936" s="68" t="str">
        <f>IF(TRIM($B936)="","",IFERROR(HYPERLINK("#'Cards'!A"&amp;(MATCH($B936,Cards!$A$4:$A$1000,0)+3),INDEX(Cards!$B$4:$B$1000,MATCH($B936,Cards!$A$4:$A$1000,0))),"ไม่พบ Card ID ในชีต Cards"))</f>
        <v/>
      </c>
      <c r="D936" s="68" t="str">
        <f>IF(TRIM($B936)="","",IFERROR(INDEX(Cards!$M$4:$M$1000,MATCH($B936,Cards!$A$4:$A$1000,0))&amp;"","-"))</f>
        <v/>
      </c>
    </row>
    <row r="937" spans="3:4" x14ac:dyDescent="0.3">
      <c r="C937" s="68" t="str">
        <f>IF(TRIM($B937)="","",IFERROR(HYPERLINK("#'Cards'!A"&amp;(MATCH($B937,Cards!$A$4:$A$1000,0)+3),INDEX(Cards!$B$4:$B$1000,MATCH($B937,Cards!$A$4:$A$1000,0))),"ไม่พบ Card ID ในชีต Cards"))</f>
        <v/>
      </c>
      <c r="D937" s="68" t="str">
        <f>IF(TRIM($B937)="","",IFERROR(INDEX(Cards!$M$4:$M$1000,MATCH($B937,Cards!$A$4:$A$1000,0))&amp;"","-"))</f>
        <v/>
      </c>
    </row>
    <row r="938" spans="3:4" x14ac:dyDescent="0.3">
      <c r="C938" s="68" t="str">
        <f>IF(TRIM($B938)="","",IFERROR(HYPERLINK("#'Cards'!A"&amp;(MATCH($B938,Cards!$A$4:$A$1000,0)+3),INDEX(Cards!$B$4:$B$1000,MATCH($B938,Cards!$A$4:$A$1000,0))),"ไม่พบ Card ID ในชีต Cards"))</f>
        <v/>
      </c>
      <c r="D938" s="68" t="str">
        <f>IF(TRIM($B938)="","",IFERROR(INDEX(Cards!$M$4:$M$1000,MATCH($B938,Cards!$A$4:$A$1000,0))&amp;"","-"))</f>
        <v/>
      </c>
    </row>
    <row r="939" spans="3:4" x14ac:dyDescent="0.3">
      <c r="C939" s="68" t="str">
        <f>IF(TRIM($B939)="","",IFERROR(HYPERLINK("#'Cards'!A"&amp;(MATCH($B939,Cards!$A$4:$A$1000,0)+3),INDEX(Cards!$B$4:$B$1000,MATCH($B939,Cards!$A$4:$A$1000,0))),"ไม่พบ Card ID ในชีต Cards"))</f>
        <v/>
      </c>
      <c r="D939" s="68" t="str">
        <f>IF(TRIM($B939)="","",IFERROR(INDEX(Cards!$M$4:$M$1000,MATCH($B939,Cards!$A$4:$A$1000,0))&amp;"","-"))</f>
        <v/>
      </c>
    </row>
    <row r="940" spans="3:4" x14ac:dyDescent="0.3">
      <c r="C940" s="68" t="str">
        <f>IF(TRIM($B940)="","",IFERROR(HYPERLINK("#'Cards'!A"&amp;(MATCH($B940,Cards!$A$4:$A$1000,0)+3),INDEX(Cards!$B$4:$B$1000,MATCH($B940,Cards!$A$4:$A$1000,0))),"ไม่พบ Card ID ในชีต Cards"))</f>
        <v/>
      </c>
      <c r="D940" s="68" t="str">
        <f>IF(TRIM($B940)="","",IFERROR(INDEX(Cards!$M$4:$M$1000,MATCH($B940,Cards!$A$4:$A$1000,0))&amp;"","-"))</f>
        <v/>
      </c>
    </row>
    <row r="941" spans="3:4" x14ac:dyDescent="0.3">
      <c r="C941" s="68" t="str">
        <f>IF(TRIM($B941)="","",IFERROR(HYPERLINK("#'Cards'!A"&amp;(MATCH($B941,Cards!$A$4:$A$1000,0)+3),INDEX(Cards!$B$4:$B$1000,MATCH($B941,Cards!$A$4:$A$1000,0))),"ไม่พบ Card ID ในชีต Cards"))</f>
        <v/>
      </c>
      <c r="D941" s="68" t="str">
        <f>IF(TRIM($B941)="","",IFERROR(INDEX(Cards!$M$4:$M$1000,MATCH($B941,Cards!$A$4:$A$1000,0))&amp;"","-"))</f>
        <v/>
      </c>
    </row>
    <row r="942" spans="3:4" x14ac:dyDescent="0.3">
      <c r="C942" s="68" t="str">
        <f>IF(TRIM($B942)="","",IFERROR(HYPERLINK("#'Cards'!A"&amp;(MATCH($B942,Cards!$A$4:$A$1000,0)+3),INDEX(Cards!$B$4:$B$1000,MATCH($B942,Cards!$A$4:$A$1000,0))),"ไม่พบ Card ID ในชีต Cards"))</f>
        <v/>
      </c>
      <c r="D942" s="68" t="str">
        <f>IF(TRIM($B942)="","",IFERROR(INDEX(Cards!$M$4:$M$1000,MATCH($B942,Cards!$A$4:$A$1000,0))&amp;"","-"))</f>
        <v/>
      </c>
    </row>
    <row r="943" spans="3:4" x14ac:dyDescent="0.3">
      <c r="C943" s="68" t="str">
        <f>IF(TRIM($B943)="","",IFERROR(HYPERLINK("#'Cards'!A"&amp;(MATCH($B943,Cards!$A$4:$A$1000,0)+3),INDEX(Cards!$B$4:$B$1000,MATCH($B943,Cards!$A$4:$A$1000,0))),"ไม่พบ Card ID ในชีต Cards"))</f>
        <v/>
      </c>
      <c r="D943" s="68" t="str">
        <f>IF(TRIM($B943)="","",IFERROR(INDEX(Cards!$M$4:$M$1000,MATCH($B943,Cards!$A$4:$A$1000,0))&amp;"","-"))</f>
        <v/>
      </c>
    </row>
    <row r="944" spans="3:4" x14ac:dyDescent="0.3">
      <c r="C944" s="68" t="str">
        <f>IF(TRIM($B944)="","",IFERROR(HYPERLINK("#'Cards'!A"&amp;(MATCH($B944,Cards!$A$4:$A$1000,0)+3),INDEX(Cards!$B$4:$B$1000,MATCH($B944,Cards!$A$4:$A$1000,0))),"ไม่พบ Card ID ในชีต Cards"))</f>
        <v/>
      </c>
      <c r="D944" s="68" t="str">
        <f>IF(TRIM($B944)="","",IFERROR(INDEX(Cards!$M$4:$M$1000,MATCH($B944,Cards!$A$4:$A$1000,0))&amp;"","-"))</f>
        <v/>
      </c>
    </row>
    <row r="945" spans="3:4" x14ac:dyDescent="0.3">
      <c r="C945" s="68" t="str">
        <f>IF(TRIM($B945)="","",IFERROR(HYPERLINK("#'Cards'!A"&amp;(MATCH($B945,Cards!$A$4:$A$1000,0)+3),INDEX(Cards!$B$4:$B$1000,MATCH($B945,Cards!$A$4:$A$1000,0))),"ไม่พบ Card ID ในชีต Cards"))</f>
        <v/>
      </c>
      <c r="D945" s="68" t="str">
        <f>IF(TRIM($B945)="","",IFERROR(INDEX(Cards!$M$4:$M$1000,MATCH($B945,Cards!$A$4:$A$1000,0))&amp;"","-"))</f>
        <v/>
      </c>
    </row>
    <row r="946" spans="3:4" x14ac:dyDescent="0.3">
      <c r="C946" s="68" t="str">
        <f>IF(TRIM($B946)="","",IFERROR(HYPERLINK("#'Cards'!A"&amp;(MATCH($B946,Cards!$A$4:$A$1000,0)+3),INDEX(Cards!$B$4:$B$1000,MATCH($B946,Cards!$A$4:$A$1000,0))),"ไม่พบ Card ID ในชีต Cards"))</f>
        <v/>
      </c>
      <c r="D946" s="68" t="str">
        <f>IF(TRIM($B946)="","",IFERROR(INDEX(Cards!$M$4:$M$1000,MATCH($B946,Cards!$A$4:$A$1000,0))&amp;"","-"))</f>
        <v/>
      </c>
    </row>
    <row r="947" spans="3:4" x14ac:dyDescent="0.3">
      <c r="C947" s="68" t="str">
        <f>IF(TRIM($B947)="","",IFERROR(HYPERLINK("#'Cards'!A"&amp;(MATCH($B947,Cards!$A$4:$A$1000,0)+3),INDEX(Cards!$B$4:$B$1000,MATCH($B947,Cards!$A$4:$A$1000,0))),"ไม่พบ Card ID ในชีต Cards"))</f>
        <v/>
      </c>
      <c r="D947" s="68" t="str">
        <f>IF(TRIM($B947)="","",IFERROR(INDEX(Cards!$M$4:$M$1000,MATCH($B947,Cards!$A$4:$A$1000,0))&amp;"","-"))</f>
        <v/>
      </c>
    </row>
    <row r="948" spans="3:4" x14ac:dyDescent="0.3">
      <c r="C948" s="68" t="str">
        <f>IF(TRIM($B948)="","",IFERROR(HYPERLINK("#'Cards'!A"&amp;(MATCH($B948,Cards!$A$4:$A$1000,0)+3),INDEX(Cards!$B$4:$B$1000,MATCH($B948,Cards!$A$4:$A$1000,0))),"ไม่พบ Card ID ในชีต Cards"))</f>
        <v/>
      </c>
      <c r="D948" s="68" t="str">
        <f>IF(TRIM($B948)="","",IFERROR(INDEX(Cards!$M$4:$M$1000,MATCH($B948,Cards!$A$4:$A$1000,0))&amp;"","-"))</f>
        <v/>
      </c>
    </row>
    <row r="949" spans="3:4" x14ac:dyDescent="0.3">
      <c r="C949" s="68" t="str">
        <f>IF(TRIM($B949)="","",IFERROR(HYPERLINK("#'Cards'!A"&amp;(MATCH($B949,Cards!$A$4:$A$1000,0)+3),INDEX(Cards!$B$4:$B$1000,MATCH($B949,Cards!$A$4:$A$1000,0))),"ไม่พบ Card ID ในชีต Cards"))</f>
        <v/>
      </c>
      <c r="D949" s="68" t="str">
        <f>IF(TRIM($B949)="","",IFERROR(INDEX(Cards!$M$4:$M$1000,MATCH($B949,Cards!$A$4:$A$1000,0))&amp;"","-"))</f>
        <v/>
      </c>
    </row>
    <row r="950" spans="3:4" x14ac:dyDescent="0.3">
      <c r="C950" s="68" t="str">
        <f>IF(TRIM($B950)="","",IFERROR(HYPERLINK("#'Cards'!A"&amp;(MATCH($B950,Cards!$A$4:$A$1000,0)+3),INDEX(Cards!$B$4:$B$1000,MATCH($B950,Cards!$A$4:$A$1000,0))),"ไม่พบ Card ID ในชีต Cards"))</f>
        <v/>
      </c>
      <c r="D950" s="68" t="str">
        <f>IF(TRIM($B950)="","",IFERROR(INDEX(Cards!$M$4:$M$1000,MATCH($B950,Cards!$A$4:$A$1000,0))&amp;"","-"))</f>
        <v/>
      </c>
    </row>
    <row r="951" spans="3:4" x14ac:dyDescent="0.3">
      <c r="C951" s="68" t="str">
        <f>IF(TRIM($B951)="","",IFERROR(HYPERLINK("#'Cards'!A"&amp;(MATCH($B951,Cards!$A$4:$A$1000,0)+3),INDEX(Cards!$B$4:$B$1000,MATCH($B951,Cards!$A$4:$A$1000,0))),"ไม่พบ Card ID ในชีต Cards"))</f>
        <v/>
      </c>
      <c r="D951" s="68" t="str">
        <f>IF(TRIM($B951)="","",IFERROR(INDEX(Cards!$M$4:$M$1000,MATCH($B951,Cards!$A$4:$A$1000,0))&amp;"","-"))</f>
        <v/>
      </c>
    </row>
    <row r="952" spans="3:4" x14ac:dyDescent="0.3">
      <c r="C952" s="68" t="str">
        <f>IF(TRIM($B952)="","",IFERROR(HYPERLINK("#'Cards'!A"&amp;(MATCH($B952,Cards!$A$4:$A$1000,0)+3),INDEX(Cards!$B$4:$B$1000,MATCH($B952,Cards!$A$4:$A$1000,0))),"ไม่พบ Card ID ในชีต Cards"))</f>
        <v/>
      </c>
      <c r="D952" s="68" t="str">
        <f>IF(TRIM($B952)="","",IFERROR(INDEX(Cards!$M$4:$M$1000,MATCH($B952,Cards!$A$4:$A$1000,0))&amp;"","-"))</f>
        <v/>
      </c>
    </row>
    <row r="953" spans="3:4" x14ac:dyDescent="0.3">
      <c r="C953" s="68" t="str">
        <f>IF(TRIM($B953)="","",IFERROR(HYPERLINK("#'Cards'!A"&amp;(MATCH($B953,Cards!$A$4:$A$1000,0)+3),INDEX(Cards!$B$4:$B$1000,MATCH($B953,Cards!$A$4:$A$1000,0))),"ไม่พบ Card ID ในชีต Cards"))</f>
        <v/>
      </c>
      <c r="D953" s="68" t="str">
        <f>IF(TRIM($B953)="","",IFERROR(INDEX(Cards!$M$4:$M$1000,MATCH($B953,Cards!$A$4:$A$1000,0))&amp;"","-"))</f>
        <v/>
      </c>
    </row>
    <row r="954" spans="3:4" x14ac:dyDescent="0.3">
      <c r="C954" s="68" t="str">
        <f>IF(TRIM($B954)="","",IFERROR(HYPERLINK("#'Cards'!A"&amp;(MATCH($B954,Cards!$A$4:$A$1000,0)+3),INDEX(Cards!$B$4:$B$1000,MATCH($B954,Cards!$A$4:$A$1000,0))),"ไม่พบ Card ID ในชีต Cards"))</f>
        <v/>
      </c>
      <c r="D954" s="68" t="str">
        <f>IF(TRIM($B954)="","",IFERROR(INDEX(Cards!$M$4:$M$1000,MATCH($B954,Cards!$A$4:$A$1000,0))&amp;"","-"))</f>
        <v/>
      </c>
    </row>
    <row r="955" spans="3:4" x14ac:dyDescent="0.3">
      <c r="C955" s="68" t="str">
        <f>IF(TRIM($B955)="","",IFERROR(HYPERLINK("#'Cards'!A"&amp;(MATCH($B955,Cards!$A$4:$A$1000,0)+3),INDEX(Cards!$B$4:$B$1000,MATCH($B955,Cards!$A$4:$A$1000,0))),"ไม่พบ Card ID ในชีต Cards"))</f>
        <v/>
      </c>
      <c r="D955" s="68" t="str">
        <f>IF(TRIM($B955)="","",IFERROR(INDEX(Cards!$M$4:$M$1000,MATCH($B955,Cards!$A$4:$A$1000,0))&amp;"","-"))</f>
        <v/>
      </c>
    </row>
    <row r="956" spans="3:4" x14ac:dyDescent="0.3">
      <c r="C956" s="68" t="str">
        <f>IF(TRIM($B956)="","",IFERROR(HYPERLINK("#'Cards'!A"&amp;(MATCH($B956,Cards!$A$4:$A$1000,0)+3),INDEX(Cards!$B$4:$B$1000,MATCH($B956,Cards!$A$4:$A$1000,0))),"ไม่พบ Card ID ในชีต Cards"))</f>
        <v/>
      </c>
      <c r="D956" s="68" t="str">
        <f>IF(TRIM($B956)="","",IFERROR(INDEX(Cards!$M$4:$M$1000,MATCH($B956,Cards!$A$4:$A$1000,0))&amp;"","-"))</f>
        <v/>
      </c>
    </row>
    <row r="957" spans="3:4" x14ac:dyDescent="0.3">
      <c r="C957" s="68" t="str">
        <f>IF(TRIM($B957)="","",IFERROR(HYPERLINK("#'Cards'!A"&amp;(MATCH($B957,Cards!$A$4:$A$1000,0)+3),INDEX(Cards!$B$4:$B$1000,MATCH($B957,Cards!$A$4:$A$1000,0))),"ไม่พบ Card ID ในชีต Cards"))</f>
        <v/>
      </c>
      <c r="D957" s="68" t="str">
        <f>IF(TRIM($B957)="","",IFERROR(INDEX(Cards!$M$4:$M$1000,MATCH($B957,Cards!$A$4:$A$1000,0))&amp;"","-"))</f>
        <v/>
      </c>
    </row>
    <row r="958" spans="3:4" x14ac:dyDescent="0.3">
      <c r="C958" s="68" t="str">
        <f>IF(TRIM($B958)="","",IFERROR(HYPERLINK("#'Cards'!A"&amp;(MATCH($B958,Cards!$A$4:$A$1000,0)+3),INDEX(Cards!$B$4:$B$1000,MATCH($B958,Cards!$A$4:$A$1000,0))),"ไม่พบ Card ID ในชีต Cards"))</f>
        <v/>
      </c>
      <c r="D958" s="68" t="str">
        <f>IF(TRIM($B958)="","",IFERROR(INDEX(Cards!$M$4:$M$1000,MATCH($B958,Cards!$A$4:$A$1000,0))&amp;"","-"))</f>
        <v/>
      </c>
    </row>
    <row r="959" spans="3:4" x14ac:dyDescent="0.3">
      <c r="C959" s="68" t="str">
        <f>IF(TRIM($B959)="","",IFERROR(HYPERLINK("#'Cards'!A"&amp;(MATCH($B959,Cards!$A$4:$A$1000,0)+3),INDEX(Cards!$B$4:$B$1000,MATCH($B959,Cards!$A$4:$A$1000,0))),"ไม่พบ Card ID ในชีต Cards"))</f>
        <v/>
      </c>
      <c r="D959" s="68" t="str">
        <f>IF(TRIM($B959)="","",IFERROR(INDEX(Cards!$M$4:$M$1000,MATCH($B959,Cards!$A$4:$A$1000,0))&amp;"","-"))</f>
        <v/>
      </c>
    </row>
    <row r="960" spans="3:4" x14ac:dyDescent="0.3">
      <c r="C960" s="68" t="str">
        <f>IF(TRIM($B960)="","",IFERROR(HYPERLINK("#'Cards'!A"&amp;(MATCH($B960,Cards!$A$4:$A$1000,0)+3),INDEX(Cards!$B$4:$B$1000,MATCH($B960,Cards!$A$4:$A$1000,0))),"ไม่พบ Card ID ในชีต Cards"))</f>
        <v/>
      </c>
      <c r="D960" s="68" t="str">
        <f>IF(TRIM($B960)="","",IFERROR(INDEX(Cards!$M$4:$M$1000,MATCH($B960,Cards!$A$4:$A$1000,0))&amp;"","-"))</f>
        <v/>
      </c>
    </row>
    <row r="961" spans="3:4" x14ac:dyDescent="0.3">
      <c r="C961" s="68" t="str">
        <f>IF(TRIM($B961)="","",IFERROR(HYPERLINK("#'Cards'!A"&amp;(MATCH($B961,Cards!$A$4:$A$1000,0)+3),INDEX(Cards!$B$4:$B$1000,MATCH($B961,Cards!$A$4:$A$1000,0))),"ไม่พบ Card ID ในชีต Cards"))</f>
        <v/>
      </c>
      <c r="D961" s="68" t="str">
        <f>IF(TRIM($B961)="","",IFERROR(INDEX(Cards!$M$4:$M$1000,MATCH($B961,Cards!$A$4:$A$1000,0))&amp;"","-"))</f>
        <v/>
      </c>
    </row>
    <row r="962" spans="3:4" x14ac:dyDescent="0.3">
      <c r="C962" s="68" t="str">
        <f>IF(TRIM($B962)="","",IFERROR(HYPERLINK("#'Cards'!A"&amp;(MATCH($B962,Cards!$A$4:$A$1000,0)+3),INDEX(Cards!$B$4:$B$1000,MATCH($B962,Cards!$A$4:$A$1000,0))),"ไม่พบ Card ID ในชีต Cards"))</f>
        <v/>
      </c>
      <c r="D962" s="68" t="str">
        <f>IF(TRIM($B962)="","",IFERROR(INDEX(Cards!$M$4:$M$1000,MATCH($B962,Cards!$A$4:$A$1000,0))&amp;"","-"))</f>
        <v/>
      </c>
    </row>
    <row r="963" spans="3:4" x14ac:dyDescent="0.3">
      <c r="C963" s="68" t="str">
        <f>IF(TRIM($B963)="","",IFERROR(HYPERLINK("#'Cards'!A"&amp;(MATCH($B963,Cards!$A$4:$A$1000,0)+3),INDEX(Cards!$B$4:$B$1000,MATCH($B963,Cards!$A$4:$A$1000,0))),"ไม่พบ Card ID ในชีต Cards"))</f>
        <v/>
      </c>
      <c r="D963" s="68" t="str">
        <f>IF(TRIM($B963)="","",IFERROR(INDEX(Cards!$M$4:$M$1000,MATCH($B963,Cards!$A$4:$A$1000,0))&amp;"","-"))</f>
        <v/>
      </c>
    </row>
    <row r="964" spans="3:4" x14ac:dyDescent="0.3">
      <c r="C964" s="68" t="str">
        <f>IF(TRIM($B964)="","",IFERROR(HYPERLINK("#'Cards'!A"&amp;(MATCH($B964,Cards!$A$4:$A$1000,0)+3),INDEX(Cards!$B$4:$B$1000,MATCH($B964,Cards!$A$4:$A$1000,0))),"ไม่พบ Card ID ในชีต Cards"))</f>
        <v/>
      </c>
      <c r="D964" s="68" t="str">
        <f>IF(TRIM($B964)="","",IFERROR(INDEX(Cards!$M$4:$M$1000,MATCH($B964,Cards!$A$4:$A$1000,0))&amp;"","-"))</f>
        <v/>
      </c>
    </row>
    <row r="965" spans="3:4" x14ac:dyDescent="0.3">
      <c r="C965" s="68" t="str">
        <f>IF(TRIM($B965)="","",IFERROR(HYPERLINK("#'Cards'!A"&amp;(MATCH($B965,Cards!$A$4:$A$1000,0)+3),INDEX(Cards!$B$4:$B$1000,MATCH($B965,Cards!$A$4:$A$1000,0))),"ไม่พบ Card ID ในชีต Cards"))</f>
        <v/>
      </c>
      <c r="D965" s="68" t="str">
        <f>IF(TRIM($B965)="","",IFERROR(INDEX(Cards!$M$4:$M$1000,MATCH($B965,Cards!$A$4:$A$1000,0))&amp;"","-"))</f>
        <v/>
      </c>
    </row>
    <row r="966" spans="3:4" x14ac:dyDescent="0.3">
      <c r="C966" s="68" t="str">
        <f>IF(TRIM($B966)="","",IFERROR(HYPERLINK("#'Cards'!A"&amp;(MATCH($B966,Cards!$A$4:$A$1000,0)+3),INDEX(Cards!$B$4:$B$1000,MATCH($B966,Cards!$A$4:$A$1000,0))),"ไม่พบ Card ID ในชีต Cards"))</f>
        <v/>
      </c>
      <c r="D966" s="68" t="str">
        <f>IF(TRIM($B966)="","",IFERROR(INDEX(Cards!$M$4:$M$1000,MATCH($B966,Cards!$A$4:$A$1000,0))&amp;"","-"))</f>
        <v/>
      </c>
    </row>
    <row r="967" spans="3:4" x14ac:dyDescent="0.3">
      <c r="C967" s="68" t="str">
        <f>IF(TRIM($B967)="","",IFERROR(HYPERLINK("#'Cards'!A"&amp;(MATCH($B967,Cards!$A$4:$A$1000,0)+3),INDEX(Cards!$B$4:$B$1000,MATCH($B967,Cards!$A$4:$A$1000,0))),"ไม่พบ Card ID ในชีต Cards"))</f>
        <v/>
      </c>
      <c r="D967" s="68" t="str">
        <f>IF(TRIM($B967)="","",IFERROR(INDEX(Cards!$M$4:$M$1000,MATCH($B967,Cards!$A$4:$A$1000,0))&amp;"","-"))</f>
        <v/>
      </c>
    </row>
    <row r="968" spans="3:4" x14ac:dyDescent="0.3">
      <c r="C968" s="68" t="str">
        <f>IF(TRIM($B968)="","",IFERROR(HYPERLINK("#'Cards'!A"&amp;(MATCH($B968,Cards!$A$4:$A$1000,0)+3),INDEX(Cards!$B$4:$B$1000,MATCH($B968,Cards!$A$4:$A$1000,0))),"ไม่พบ Card ID ในชีต Cards"))</f>
        <v/>
      </c>
      <c r="D968" s="68" t="str">
        <f>IF(TRIM($B968)="","",IFERROR(INDEX(Cards!$M$4:$M$1000,MATCH($B968,Cards!$A$4:$A$1000,0))&amp;"","-"))</f>
        <v/>
      </c>
    </row>
    <row r="969" spans="3:4" x14ac:dyDescent="0.3">
      <c r="C969" s="68" t="str">
        <f>IF(TRIM($B969)="","",IFERROR(HYPERLINK("#'Cards'!A"&amp;(MATCH($B969,Cards!$A$4:$A$1000,0)+3),INDEX(Cards!$B$4:$B$1000,MATCH($B969,Cards!$A$4:$A$1000,0))),"ไม่พบ Card ID ในชีต Cards"))</f>
        <v/>
      </c>
      <c r="D969" s="68" t="str">
        <f>IF(TRIM($B969)="","",IFERROR(INDEX(Cards!$M$4:$M$1000,MATCH($B969,Cards!$A$4:$A$1000,0))&amp;"","-"))</f>
        <v/>
      </c>
    </row>
    <row r="970" spans="3:4" x14ac:dyDescent="0.3">
      <c r="C970" s="68" t="str">
        <f>IF(TRIM($B970)="","",IFERROR(HYPERLINK("#'Cards'!A"&amp;(MATCH($B970,Cards!$A$4:$A$1000,0)+3),INDEX(Cards!$B$4:$B$1000,MATCH($B970,Cards!$A$4:$A$1000,0))),"ไม่พบ Card ID ในชีต Cards"))</f>
        <v/>
      </c>
      <c r="D970" s="68" t="str">
        <f>IF(TRIM($B970)="","",IFERROR(INDEX(Cards!$M$4:$M$1000,MATCH($B970,Cards!$A$4:$A$1000,0))&amp;"","-"))</f>
        <v/>
      </c>
    </row>
    <row r="971" spans="3:4" x14ac:dyDescent="0.3">
      <c r="C971" s="68" t="str">
        <f>IF(TRIM($B971)="","",IFERROR(HYPERLINK("#'Cards'!A"&amp;(MATCH($B971,Cards!$A$4:$A$1000,0)+3),INDEX(Cards!$B$4:$B$1000,MATCH($B971,Cards!$A$4:$A$1000,0))),"ไม่พบ Card ID ในชีต Cards"))</f>
        <v/>
      </c>
      <c r="D971" s="68" t="str">
        <f>IF(TRIM($B971)="","",IFERROR(INDEX(Cards!$M$4:$M$1000,MATCH($B971,Cards!$A$4:$A$1000,0))&amp;"","-"))</f>
        <v/>
      </c>
    </row>
    <row r="972" spans="3:4" x14ac:dyDescent="0.3">
      <c r="C972" s="68" t="str">
        <f>IF(TRIM($B972)="","",IFERROR(HYPERLINK("#'Cards'!A"&amp;(MATCH($B972,Cards!$A$4:$A$1000,0)+3),INDEX(Cards!$B$4:$B$1000,MATCH($B972,Cards!$A$4:$A$1000,0))),"ไม่พบ Card ID ในชีต Cards"))</f>
        <v/>
      </c>
      <c r="D972" s="68" t="str">
        <f>IF(TRIM($B972)="","",IFERROR(INDEX(Cards!$M$4:$M$1000,MATCH($B972,Cards!$A$4:$A$1000,0))&amp;"","-"))</f>
        <v/>
      </c>
    </row>
    <row r="973" spans="3:4" x14ac:dyDescent="0.3">
      <c r="C973" s="68" t="str">
        <f>IF(TRIM($B973)="","",IFERROR(HYPERLINK("#'Cards'!A"&amp;(MATCH($B973,Cards!$A$4:$A$1000,0)+3),INDEX(Cards!$B$4:$B$1000,MATCH($B973,Cards!$A$4:$A$1000,0))),"ไม่พบ Card ID ในชีต Cards"))</f>
        <v/>
      </c>
      <c r="D973" s="68" t="str">
        <f>IF(TRIM($B973)="","",IFERROR(INDEX(Cards!$M$4:$M$1000,MATCH($B973,Cards!$A$4:$A$1000,0))&amp;"","-"))</f>
        <v/>
      </c>
    </row>
    <row r="974" spans="3:4" x14ac:dyDescent="0.3">
      <c r="C974" s="68" t="str">
        <f>IF(TRIM($B974)="","",IFERROR(HYPERLINK("#'Cards'!A"&amp;(MATCH($B974,Cards!$A$4:$A$1000,0)+3),INDEX(Cards!$B$4:$B$1000,MATCH($B974,Cards!$A$4:$A$1000,0))),"ไม่พบ Card ID ในชีต Cards"))</f>
        <v/>
      </c>
      <c r="D974" s="68" t="str">
        <f>IF(TRIM($B974)="","",IFERROR(INDEX(Cards!$M$4:$M$1000,MATCH($B974,Cards!$A$4:$A$1000,0))&amp;"","-"))</f>
        <v/>
      </c>
    </row>
    <row r="975" spans="3:4" x14ac:dyDescent="0.3">
      <c r="C975" s="68" t="str">
        <f>IF(TRIM($B975)="","",IFERROR(HYPERLINK("#'Cards'!A"&amp;(MATCH($B975,Cards!$A$4:$A$1000,0)+3),INDEX(Cards!$B$4:$B$1000,MATCH($B975,Cards!$A$4:$A$1000,0))),"ไม่พบ Card ID ในชีต Cards"))</f>
        <v/>
      </c>
      <c r="D975" s="68" t="str">
        <f>IF(TRIM($B975)="","",IFERROR(INDEX(Cards!$M$4:$M$1000,MATCH($B975,Cards!$A$4:$A$1000,0))&amp;"","-"))</f>
        <v/>
      </c>
    </row>
    <row r="976" spans="3:4" x14ac:dyDescent="0.3">
      <c r="C976" s="68" t="str">
        <f>IF(TRIM($B976)="","",IFERROR(HYPERLINK("#'Cards'!A"&amp;(MATCH($B976,Cards!$A$4:$A$1000,0)+3),INDEX(Cards!$B$4:$B$1000,MATCH($B976,Cards!$A$4:$A$1000,0))),"ไม่พบ Card ID ในชีต Cards"))</f>
        <v/>
      </c>
      <c r="D976" s="68" t="str">
        <f>IF(TRIM($B976)="","",IFERROR(INDEX(Cards!$M$4:$M$1000,MATCH($B976,Cards!$A$4:$A$1000,0))&amp;"","-"))</f>
        <v/>
      </c>
    </row>
    <row r="977" spans="3:4" x14ac:dyDescent="0.3">
      <c r="C977" s="68" t="str">
        <f>IF(TRIM($B977)="","",IFERROR(HYPERLINK("#'Cards'!A"&amp;(MATCH($B977,Cards!$A$4:$A$1000,0)+3),INDEX(Cards!$B$4:$B$1000,MATCH($B977,Cards!$A$4:$A$1000,0))),"ไม่พบ Card ID ในชีต Cards"))</f>
        <v/>
      </c>
      <c r="D977" s="68" t="str">
        <f>IF(TRIM($B977)="","",IFERROR(INDEX(Cards!$M$4:$M$1000,MATCH($B977,Cards!$A$4:$A$1000,0))&amp;"","-"))</f>
        <v/>
      </c>
    </row>
    <row r="978" spans="3:4" x14ac:dyDescent="0.3">
      <c r="C978" s="68" t="str">
        <f>IF(TRIM($B978)="","",IFERROR(HYPERLINK("#'Cards'!A"&amp;(MATCH($B978,Cards!$A$4:$A$1000,0)+3),INDEX(Cards!$B$4:$B$1000,MATCH($B978,Cards!$A$4:$A$1000,0))),"ไม่พบ Card ID ในชีต Cards"))</f>
        <v/>
      </c>
      <c r="D978" s="68" t="str">
        <f>IF(TRIM($B978)="","",IFERROR(INDEX(Cards!$M$4:$M$1000,MATCH($B978,Cards!$A$4:$A$1000,0))&amp;"","-"))</f>
        <v/>
      </c>
    </row>
    <row r="979" spans="3:4" x14ac:dyDescent="0.3">
      <c r="C979" s="68" t="str">
        <f>IF(TRIM($B979)="","",IFERROR(HYPERLINK("#'Cards'!A"&amp;(MATCH($B979,Cards!$A$4:$A$1000,0)+3),INDEX(Cards!$B$4:$B$1000,MATCH($B979,Cards!$A$4:$A$1000,0))),"ไม่พบ Card ID ในชีต Cards"))</f>
        <v/>
      </c>
      <c r="D979" s="68" t="str">
        <f>IF(TRIM($B979)="","",IFERROR(INDEX(Cards!$M$4:$M$1000,MATCH($B979,Cards!$A$4:$A$1000,0))&amp;"","-"))</f>
        <v/>
      </c>
    </row>
    <row r="980" spans="3:4" x14ac:dyDescent="0.3">
      <c r="C980" s="68" t="str">
        <f>IF(TRIM($B980)="","",IFERROR(HYPERLINK("#'Cards'!A"&amp;(MATCH($B980,Cards!$A$4:$A$1000,0)+3),INDEX(Cards!$B$4:$B$1000,MATCH($B980,Cards!$A$4:$A$1000,0))),"ไม่พบ Card ID ในชีต Cards"))</f>
        <v/>
      </c>
      <c r="D980" s="68" t="str">
        <f>IF(TRIM($B980)="","",IFERROR(INDEX(Cards!$M$4:$M$1000,MATCH($B980,Cards!$A$4:$A$1000,0))&amp;"","-"))</f>
        <v/>
      </c>
    </row>
    <row r="981" spans="3:4" x14ac:dyDescent="0.3">
      <c r="C981" s="68" t="str">
        <f>IF(TRIM($B981)="","",IFERROR(HYPERLINK("#'Cards'!A"&amp;(MATCH($B981,Cards!$A$4:$A$1000,0)+3),INDEX(Cards!$B$4:$B$1000,MATCH($B981,Cards!$A$4:$A$1000,0))),"ไม่พบ Card ID ในชีต Cards"))</f>
        <v/>
      </c>
      <c r="D981" s="68" t="str">
        <f>IF(TRIM($B981)="","",IFERROR(INDEX(Cards!$M$4:$M$1000,MATCH($B981,Cards!$A$4:$A$1000,0))&amp;"","-"))</f>
        <v/>
      </c>
    </row>
    <row r="982" spans="3:4" x14ac:dyDescent="0.3">
      <c r="C982" s="68" t="str">
        <f>IF(TRIM($B982)="","",IFERROR(HYPERLINK("#'Cards'!A"&amp;(MATCH($B982,Cards!$A$4:$A$1000,0)+3),INDEX(Cards!$B$4:$B$1000,MATCH($B982,Cards!$A$4:$A$1000,0))),"ไม่พบ Card ID ในชีต Cards"))</f>
        <v/>
      </c>
      <c r="D982" s="68" t="str">
        <f>IF(TRIM($B982)="","",IFERROR(INDEX(Cards!$M$4:$M$1000,MATCH($B982,Cards!$A$4:$A$1000,0))&amp;"","-"))</f>
        <v/>
      </c>
    </row>
    <row r="983" spans="3:4" x14ac:dyDescent="0.3">
      <c r="C983" s="68" t="str">
        <f>IF(TRIM($B983)="","",IFERROR(HYPERLINK("#'Cards'!A"&amp;(MATCH($B983,Cards!$A$4:$A$1000,0)+3),INDEX(Cards!$B$4:$B$1000,MATCH($B983,Cards!$A$4:$A$1000,0))),"ไม่พบ Card ID ในชีต Cards"))</f>
        <v/>
      </c>
      <c r="D983" s="68" t="str">
        <f>IF(TRIM($B983)="","",IFERROR(INDEX(Cards!$M$4:$M$1000,MATCH($B983,Cards!$A$4:$A$1000,0))&amp;"","-"))</f>
        <v/>
      </c>
    </row>
    <row r="984" spans="3:4" x14ac:dyDescent="0.3">
      <c r="C984" s="68" t="str">
        <f>IF(TRIM($B984)="","",IFERROR(HYPERLINK("#'Cards'!A"&amp;(MATCH($B984,Cards!$A$4:$A$1000,0)+3),INDEX(Cards!$B$4:$B$1000,MATCH($B984,Cards!$A$4:$A$1000,0))),"ไม่พบ Card ID ในชีต Cards"))</f>
        <v/>
      </c>
      <c r="D984" s="68" t="str">
        <f>IF(TRIM($B984)="","",IFERROR(INDEX(Cards!$M$4:$M$1000,MATCH($B984,Cards!$A$4:$A$1000,0))&amp;"","-"))</f>
        <v/>
      </c>
    </row>
    <row r="985" spans="3:4" x14ac:dyDescent="0.3">
      <c r="C985" s="68" t="str">
        <f>IF(TRIM($B985)="","",IFERROR(HYPERLINK("#'Cards'!A"&amp;(MATCH($B985,Cards!$A$4:$A$1000,0)+3),INDEX(Cards!$B$4:$B$1000,MATCH($B985,Cards!$A$4:$A$1000,0))),"ไม่พบ Card ID ในชีต Cards"))</f>
        <v/>
      </c>
      <c r="D985" s="68" t="str">
        <f>IF(TRIM($B985)="","",IFERROR(INDEX(Cards!$M$4:$M$1000,MATCH($B985,Cards!$A$4:$A$1000,0))&amp;"","-"))</f>
        <v/>
      </c>
    </row>
    <row r="986" spans="3:4" x14ac:dyDescent="0.3">
      <c r="C986" s="68" t="str">
        <f>IF(TRIM($B986)="","",IFERROR(HYPERLINK("#'Cards'!A"&amp;(MATCH($B986,Cards!$A$4:$A$1000,0)+3),INDEX(Cards!$B$4:$B$1000,MATCH($B986,Cards!$A$4:$A$1000,0))),"ไม่พบ Card ID ในชีต Cards"))</f>
        <v/>
      </c>
      <c r="D986" s="68" t="str">
        <f>IF(TRIM($B986)="","",IFERROR(INDEX(Cards!$M$4:$M$1000,MATCH($B986,Cards!$A$4:$A$1000,0))&amp;"","-"))</f>
        <v/>
      </c>
    </row>
    <row r="987" spans="3:4" x14ac:dyDescent="0.3">
      <c r="C987" s="68" t="str">
        <f>IF(TRIM($B987)="","",IFERROR(HYPERLINK("#'Cards'!A"&amp;(MATCH($B987,Cards!$A$4:$A$1000,0)+3),INDEX(Cards!$B$4:$B$1000,MATCH($B987,Cards!$A$4:$A$1000,0))),"ไม่พบ Card ID ในชีต Cards"))</f>
        <v/>
      </c>
      <c r="D987" s="68" t="str">
        <f>IF(TRIM($B987)="","",IFERROR(INDEX(Cards!$M$4:$M$1000,MATCH($B987,Cards!$A$4:$A$1000,0))&amp;"","-"))</f>
        <v/>
      </c>
    </row>
    <row r="988" spans="3:4" x14ac:dyDescent="0.3">
      <c r="C988" s="68" t="str">
        <f>IF(TRIM($B988)="","",IFERROR(HYPERLINK("#'Cards'!A"&amp;(MATCH($B988,Cards!$A$4:$A$1000,0)+3),INDEX(Cards!$B$4:$B$1000,MATCH($B988,Cards!$A$4:$A$1000,0))),"ไม่พบ Card ID ในชีต Cards"))</f>
        <v/>
      </c>
      <c r="D988" s="68" t="str">
        <f>IF(TRIM($B988)="","",IFERROR(INDEX(Cards!$M$4:$M$1000,MATCH($B988,Cards!$A$4:$A$1000,0))&amp;"","-"))</f>
        <v/>
      </c>
    </row>
    <row r="989" spans="3:4" x14ac:dyDescent="0.3">
      <c r="C989" s="68" t="str">
        <f>IF(TRIM($B989)="","",IFERROR(HYPERLINK("#'Cards'!A"&amp;(MATCH($B989,Cards!$A$4:$A$1000,0)+3),INDEX(Cards!$B$4:$B$1000,MATCH($B989,Cards!$A$4:$A$1000,0))),"ไม่พบ Card ID ในชีต Cards"))</f>
        <v/>
      </c>
      <c r="D989" s="68" t="str">
        <f>IF(TRIM($B989)="","",IFERROR(INDEX(Cards!$M$4:$M$1000,MATCH($B989,Cards!$A$4:$A$1000,0))&amp;"","-"))</f>
        <v/>
      </c>
    </row>
    <row r="990" spans="3:4" x14ac:dyDescent="0.3">
      <c r="C990" s="68" t="str">
        <f>IF(TRIM($B990)="","",IFERROR(HYPERLINK("#'Cards'!A"&amp;(MATCH($B990,Cards!$A$4:$A$1000,0)+3),INDEX(Cards!$B$4:$B$1000,MATCH($B990,Cards!$A$4:$A$1000,0))),"ไม่พบ Card ID ในชีต Cards"))</f>
        <v/>
      </c>
      <c r="D990" s="68" t="str">
        <f>IF(TRIM($B990)="","",IFERROR(INDEX(Cards!$M$4:$M$1000,MATCH($B990,Cards!$A$4:$A$1000,0))&amp;"","-"))</f>
        <v/>
      </c>
    </row>
    <row r="991" spans="3:4" x14ac:dyDescent="0.3">
      <c r="C991" s="68" t="str">
        <f>IF(TRIM($B991)="","",IFERROR(HYPERLINK("#'Cards'!A"&amp;(MATCH($B991,Cards!$A$4:$A$1000,0)+3),INDEX(Cards!$B$4:$B$1000,MATCH($B991,Cards!$A$4:$A$1000,0))),"ไม่พบ Card ID ในชีต Cards"))</f>
        <v/>
      </c>
      <c r="D991" s="68" t="str">
        <f>IF(TRIM($B991)="","",IFERROR(INDEX(Cards!$M$4:$M$1000,MATCH($B991,Cards!$A$4:$A$1000,0))&amp;"","-"))</f>
        <v/>
      </c>
    </row>
    <row r="992" spans="3:4" x14ac:dyDescent="0.3">
      <c r="C992" s="68" t="str">
        <f>IF(TRIM($B992)="","",IFERROR(HYPERLINK("#'Cards'!A"&amp;(MATCH($B992,Cards!$A$4:$A$1000,0)+3),INDEX(Cards!$B$4:$B$1000,MATCH($B992,Cards!$A$4:$A$1000,0))),"ไม่พบ Card ID ในชีต Cards"))</f>
        <v/>
      </c>
      <c r="D992" s="68" t="str">
        <f>IF(TRIM($B992)="","",IFERROR(INDEX(Cards!$M$4:$M$1000,MATCH($B992,Cards!$A$4:$A$1000,0))&amp;"","-"))</f>
        <v/>
      </c>
    </row>
    <row r="993" spans="3:4" x14ac:dyDescent="0.3">
      <c r="C993" s="68" t="str">
        <f>IF(TRIM($B993)="","",IFERROR(HYPERLINK("#'Cards'!A"&amp;(MATCH($B993,Cards!$A$4:$A$1000,0)+3),INDEX(Cards!$B$4:$B$1000,MATCH($B993,Cards!$A$4:$A$1000,0))),"ไม่พบ Card ID ในชีต Cards"))</f>
        <v/>
      </c>
      <c r="D993" s="68" t="str">
        <f>IF(TRIM($B993)="","",IFERROR(INDEX(Cards!$M$4:$M$1000,MATCH($B993,Cards!$A$4:$A$1000,0))&amp;"","-"))</f>
        <v/>
      </c>
    </row>
    <row r="994" spans="3:4" x14ac:dyDescent="0.3">
      <c r="C994" s="68" t="str">
        <f>IF(TRIM($B994)="","",IFERROR(HYPERLINK("#'Cards'!A"&amp;(MATCH($B994,Cards!$A$4:$A$1000,0)+3),INDEX(Cards!$B$4:$B$1000,MATCH($B994,Cards!$A$4:$A$1000,0))),"ไม่พบ Card ID ในชีต Cards"))</f>
        <v/>
      </c>
      <c r="D994" s="68" t="str">
        <f>IF(TRIM($B994)="","",IFERROR(INDEX(Cards!$M$4:$M$1000,MATCH($B994,Cards!$A$4:$A$1000,0))&amp;"","-"))</f>
        <v/>
      </c>
    </row>
    <row r="995" spans="3:4" x14ac:dyDescent="0.3">
      <c r="C995" s="68" t="str">
        <f>IF(TRIM($B995)="","",IFERROR(HYPERLINK("#'Cards'!A"&amp;(MATCH($B995,Cards!$A$4:$A$1000,0)+3),INDEX(Cards!$B$4:$B$1000,MATCH($B995,Cards!$A$4:$A$1000,0))),"ไม่พบ Card ID ในชีต Cards"))</f>
        <v/>
      </c>
      <c r="D995" s="68" t="str">
        <f>IF(TRIM($B995)="","",IFERROR(INDEX(Cards!$M$4:$M$1000,MATCH($B995,Cards!$A$4:$A$1000,0))&amp;"","-"))</f>
        <v/>
      </c>
    </row>
    <row r="996" spans="3:4" x14ac:dyDescent="0.3">
      <c r="C996" s="68" t="str">
        <f>IF(TRIM($B996)="","",IFERROR(HYPERLINK("#'Cards'!A"&amp;(MATCH($B996,Cards!$A$4:$A$1000,0)+3),INDEX(Cards!$B$4:$B$1000,MATCH($B996,Cards!$A$4:$A$1000,0))),"ไม่พบ Card ID ในชีต Cards"))</f>
        <v/>
      </c>
      <c r="D996" s="68" t="str">
        <f>IF(TRIM($B996)="","",IFERROR(INDEX(Cards!$M$4:$M$1000,MATCH($B996,Cards!$A$4:$A$1000,0))&amp;"","-"))</f>
        <v/>
      </c>
    </row>
    <row r="997" spans="3:4" x14ac:dyDescent="0.3">
      <c r="C997" s="68" t="str">
        <f>IF(TRIM($B997)="","",IFERROR(HYPERLINK("#'Cards'!A"&amp;(MATCH($B997,Cards!$A$4:$A$1000,0)+3),INDEX(Cards!$B$4:$B$1000,MATCH($B997,Cards!$A$4:$A$1000,0))),"ไม่พบ Card ID ในชีต Cards"))</f>
        <v/>
      </c>
      <c r="D997" s="68" t="str">
        <f>IF(TRIM($B997)="","",IFERROR(INDEX(Cards!$M$4:$M$1000,MATCH($B997,Cards!$A$4:$A$1000,0))&amp;"","-"))</f>
        <v/>
      </c>
    </row>
    <row r="998" spans="3:4" x14ac:dyDescent="0.3">
      <c r="C998" s="68" t="str">
        <f>IF(TRIM($B998)="","",IFERROR(HYPERLINK("#'Cards'!A"&amp;(MATCH($B998,Cards!$A$4:$A$1000,0)+3),INDEX(Cards!$B$4:$B$1000,MATCH($B998,Cards!$A$4:$A$1000,0))),"ไม่พบ Card ID ในชีต Cards"))</f>
        <v/>
      </c>
      <c r="D998" s="68" t="str">
        <f>IF(TRIM($B998)="","",IFERROR(INDEX(Cards!$M$4:$M$1000,MATCH($B998,Cards!$A$4:$A$1000,0))&amp;"","-"))</f>
        <v/>
      </c>
    </row>
    <row r="999" spans="3:4" x14ac:dyDescent="0.3">
      <c r="C999" s="68" t="str">
        <f>IF(TRIM($B999)="","",IFERROR(HYPERLINK("#'Cards'!A"&amp;(MATCH($B999,Cards!$A$4:$A$1000,0)+3),INDEX(Cards!$B$4:$B$1000,MATCH($B999,Cards!$A$4:$A$1000,0))),"ไม่พบ Card ID ในชีต Cards"))</f>
        <v/>
      </c>
      <c r="D999" s="68" t="str">
        <f>IF(TRIM($B999)="","",IFERROR(INDEX(Cards!$M$4:$M$1000,MATCH($B999,Cards!$A$4:$A$1000,0))&amp;"","-"))</f>
        <v/>
      </c>
    </row>
    <row r="1000" spans="3:4" x14ac:dyDescent="0.3">
      <c r="C1000" s="68" t="str">
        <f>IF(TRIM($B1000)="","",IFERROR(HYPERLINK("#'Cards'!A"&amp;(MATCH($B1000,Cards!$A$4:$A$1000,0)+3),INDEX(Cards!$B$4:$B$1000,MATCH($B1000,Cards!$A$4:$A$1000,0))),"ไม่พบ Card ID ในชีต Cards"))</f>
        <v/>
      </c>
      <c r="D1000" s="68" t="str">
        <f>IF(TRIM($B1000)="","",IFERROR(INDEX(Cards!$M$4:$M$1000,MATCH($B1000,Cards!$A$4:$A$1000,0))&amp;"","-"))</f>
        <v/>
      </c>
    </row>
  </sheetData>
  <sheetProtection formatCells="0" formatColumns="0" formatRows="0" insertRows="0" deleteRows="0" sort="0" autoFilter="0"/>
  <mergeCells count="2">
    <mergeCell ref="A1:E1"/>
    <mergeCell ref="F1:J1"/>
  </mergeCells>
  <conditionalFormatting sqref="C4:C1000">
    <cfRule type="expression" dxfId="13" priority="6">
      <formula>LEFT($C4,4)="ไม่พบ"</formula>
    </cfRule>
  </conditionalFormatting>
  <conditionalFormatting sqref="F4:F1000">
    <cfRule type="expression" dxfId="12" priority="1">
      <formula>$F4="Failed"</formula>
    </cfRule>
    <cfRule type="expression" dxfId="11" priority="2">
      <formula>$F4="Blocked"</formula>
    </cfRule>
    <cfRule type="expression" dxfId="10" priority="3">
      <formula>$F4="Passed"</formula>
    </cfRule>
    <cfRule type="expression" dxfId="9" priority="4">
      <formula>$F4="Not Run"</formula>
    </cfRule>
  </conditionalFormatting>
  <conditionalFormatting sqref="I4:I1000">
    <cfRule type="expression" dxfId="8" priority="5">
      <formula>AND($F4="Failed",LEN(TRIM($I4))=0)</formula>
    </cfRule>
  </conditionalFormatting>
  <dataValidations count="3">
    <dataValidation type="list" allowBlank="1" showInputMessage="1" showErrorMessage="1" sqref="F4:F1000" xr:uid="{00000000-0002-0000-0400-000000000000}">
      <formula1>"Passed,Failed,Blocked,Not Run,Out of Scope"</formula1>
    </dataValidation>
    <dataValidation type="list" allowBlank="1" showInputMessage="1" showErrorMessage="1" sqref="G4:G1000" xr:uid="{00000000-0002-0000-0400-000001000000}">
      <formula1>"Matt, Tar, Neran, Benz, James, Aof"</formula1>
    </dataValidation>
    <dataValidation type="date" operator="greaterThan" allowBlank="1" showInputMessage="1" showErrorMessage="1" errorTitle="Executed Date" error="กรอกเป็นวันที่ (yyyy-mm-dd)" promptTitle="Executed Date" prompt="กรอกเป็นวันที่ เช่น 2026-09-24" sqref="H4:H1000" xr:uid="{00000000-0002-0000-0400-000002000000}">
      <formula1>46023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CEDD6-6B5E-47F6-BFED-6222F847CAFC}">
  <sheetPr>
    <tabColor theme="0" tint="-0.34998626667073579"/>
  </sheetPr>
  <dimension ref="A1:L200"/>
  <sheetViews>
    <sheetView showGridLines="0" workbookViewId="0">
      <pane ySplit="4" topLeftCell="A5" activePane="bottomLeft" state="frozen"/>
      <selection pane="bottomLeft" activeCell="C5" sqref="C5"/>
    </sheetView>
  </sheetViews>
  <sheetFormatPr defaultRowHeight="14.4" x14ac:dyDescent="0.3"/>
  <cols>
    <col min="1" max="1" width="20" customWidth="1"/>
    <col min="2" max="2" width="30" customWidth="1"/>
    <col min="3" max="4" width="16" customWidth="1"/>
    <col min="5" max="7" width="18" customWidth="1"/>
    <col min="8" max="8" width="26" customWidth="1"/>
    <col min="9" max="9" width="30" customWidth="1"/>
    <col min="10" max="10" width="3" customWidth="1"/>
    <col min="11" max="11" width="32" customWidth="1"/>
    <col min="12" max="12" width="26" customWidth="1"/>
  </cols>
  <sheetData>
    <row r="1" spans="1:12" ht="30" customHeight="1" x14ac:dyDescent="0.3">
      <c r="A1" s="127" t="s">
        <v>674</v>
      </c>
      <c r="B1" s="127"/>
      <c r="C1" s="127"/>
      <c r="D1" s="127"/>
      <c r="E1" s="127"/>
      <c r="F1" s="127"/>
      <c r="G1" s="127"/>
      <c r="H1" s="127"/>
      <c r="I1" s="127"/>
    </row>
    <row r="2" spans="1:12" ht="36" customHeight="1" x14ac:dyDescent="0.3">
      <c r="A2" s="128" t="s">
        <v>675</v>
      </c>
      <c r="B2" s="128"/>
      <c r="C2" s="128"/>
      <c r="D2" s="128"/>
      <c r="E2" s="128"/>
      <c r="F2" s="128"/>
      <c r="G2" s="128"/>
      <c r="H2" s="128"/>
      <c r="I2" s="128"/>
    </row>
    <row r="4" spans="1:12" ht="21.9" customHeight="1" x14ac:dyDescent="0.3">
      <c r="A4" s="36" t="s">
        <v>485</v>
      </c>
      <c r="B4" s="36" t="s">
        <v>676</v>
      </c>
      <c r="C4" s="36" t="s">
        <v>677</v>
      </c>
      <c r="D4" s="36" t="s">
        <v>678</v>
      </c>
      <c r="E4" s="36" t="s">
        <v>679</v>
      </c>
      <c r="F4" s="36" t="s">
        <v>680</v>
      </c>
      <c r="G4" s="36" t="s">
        <v>681</v>
      </c>
      <c r="H4" s="36" t="s">
        <v>682</v>
      </c>
      <c r="I4" s="36" t="s">
        <v>683</v>
      </c>
      <c r="K4" s="36" t="s">
        <v>684</v>
      </c>
      <c r="L4" s="36" t="s">
        <v>685</v>
      </c>
    </row>
    <row r="5" spans="1:12" x14ac:dyDescent="0.3">
      <c r="A5" s="38" t="s">
        <v>553</v>
      </c>
      <c r="B5" s="38" t="s">
        <v>686</v>
      </c>
      <c r="C5" s="38"/>
      <c r="D5" s="37" t="str">
        <f>IF(C5="","",IFERROR(CHOOSE(MATCH(C5,{"New Cortex","TMH","NUH","SBH"},0),"CTXN","TMH","NUH","SBH"),"-"))</f>
        <v/>
      </c>
      <c r="E5" s="38"/>
      <c r="F5" s="38"/>
      <c r="G5" s="38"/>
      <c r="H5" s="38"/>
      <c r="I5" s="38"/>
      <c r="K5" s="37" t="s">
        <v>687</v>
      </c>
      <c r="L5" s="38" t="s">
        <v>688</v>
      </c>
    </row>
    <row r="6" spans="1:12" x14ac:dyDescent="0.3">
      <c r="A6" s="38" t="s">
        <v>580</v>
      </c>
      <c r="B6" s="38" t="s">
        <v>686</v>
      </c>
      <c r="C6" s="38"/>
      <c r="D6" s="37" t="str">
        <f>IF(C6="","",IFERROR(CHOOSE(MATCH(C6,{"New Cortex","TMH","NUH","SBH"},0),"CTXN","TMH","NUH","SBH"),"-"))</f>
        <v/>
      </c>
      <c r="E6" s="38"/>
      <c r="F6" s="38"/>
      <c r="G6" s="38"/>
      <c r="H6" s="38"/>
      <c r="I6" s="38"/>
      <c r="K6" s="37" t="s">
        <v>689</v>
      </c>
      <c r="L6" s="38" t="s">
        <v>690</v>
      </c>
    </row>
    <row r="7" spans="1:12" x14ac:dyDescent="0.3">
      <c r="A7" s="38" t="s">
        <v>691</v>
      </c>
      <c r="B7" s="38" t="s">
        <v>686</v>
      </c>
      <c r="C7" s="38"/>
      <c r="D7" s="37" t="str">
        <f>IF(C7="","",IFERROR(CHOOSE(MATCH(C7,{"New Cortex","TMH","NUH","SBH"},0),"CTXN","TMH","NUH","SBH"),"-"))</f>
        <v/>
      </c>
      <c r="E7" s="38"/>
      <c r="F7" s="38"/>
      <c r="G7" s="38"/>
      <c r="H7" s="38"/>
      <c r="I7" s="38"/>
      <c r="K7" s="37" t="s">
        <v>692</v>
      </c>
      <c r="L7" s="38" t="s">
        <v>693</v>
      </c>
    </row>
    <row r="8" spans="1:12" x14ac:dyDescent="0.3">
      <c r="A8" s="38" t="s">
        <v>694</v>
      </c>
      <c r="B8" s="38" t="s">
        <v>686</v>
      </c>
      <c r="C8" s="38"/>
      <c r="D8" s="37" t="str">
        <f>IF(C8="","",IFERROR(CHOOSE(MATCH(C8,{"New Cortex","TMH","NUH","SBH"},0),"CTXN","TMH","NUH","SBH"),"-"))</f>
        <v/>
      </c>
      <c r="E8" s="38"/>
      <c r="F8" s="38"/>
      <c r="G8" s="38"/>
      <c r="H8" s="38"/>
      <c r="I8" s="38"/>
      <c r="K8" s="37" t="s">
        <v>501</v>
      </c>
      <c r="L8" s="38" t="s">
        <v>695</v>
      </c>
    </row>
    <row r="9" spans="1:12" x14ac:dyDescent="0.3">
      <c r="A9" s="38" t="s">
        <v>696</v>
      </c>
      <c r="B9" s="38" t="s">
        <v>686</v>
      </c>
      <c r="C9" s="38"/>
      <c r="D9" s="37" t="str">
        <f>IF(C9="","",IFERROR(CHOOSE(MATCH(C9,{"New Cortex","TMH","NUH","SBH"},0),"CTXN","TMH","NUH","SBH"),"-"))</f>
        <v/>
      </c>
      <c r="E9" s="38"/>
      <c r="F9" s="38"/>
      <c r="G9" s="38"/>
      <c r="H9" s="38"/>
      <c r="I9" s="38"/>
      <c r="K9" s="37" t="s">
        <v>697</v>
      </c>
      <c r="L9" s="38" t="s">
        <v>698</v>
      </c>
    </row>
    <row r="10" spans="1:12" x14ac:dyDescent="0.3">
      <c r="A10" s="38" t="s">
        <v>699</v>
      </c>
      <c r="B10" s="38" t="s">
        <v>686</v>
      </c>
      <c r="C10" s="38"/>
      <c r="D10" s="37" t="str">
        <f>IF(C10="","",IFERROR(CHOOSE(MATCH(C10,{"New Cortex","TMH","NUH","SBH"},0),"CTXN","TMH","NUH","SBH"),"-"))</f>
        <v/>
      </c>
      <c r="E10" s="38"/>
      <c r="F10" s="38"/>
      <c r="G10" s="38"/>
      <c r="H10" s="38"/>
      <c r="I10" s="38"/>
    </row>
    <row r="11" spans="1:12" x14ac:dyDescent="0.3">
      <c r="A11" s="38" t="s">
        <v>700</v>
      </c>
      <c r="B11" s="38" t="s">
        <v>686</v>
      </c>
      <c r="C11" s="38"/>
      <c r="D11" s="37" t="str">
        <f>IF(C11="","",IFERROR(CHOOSE(MATCH(C11,{"New Cortex","TMH","NUH","SBH"},0),"CTXN","TMH","NUH","SBH"),"-"))</f>
        <v/>
      </c>
      <c r="E11" s="38"/>
      <c r="F11" s="38"/>
      <c r="G11" s="38"/>
      <c r="H11" s="38"/>
      <c r="I11" s="38"/>
    </row>
    <row r="12" spans="1:12" x14ac:dyDescent="0.3">
      <c r="A12" s="38" t="s">
        <v>763</v>
      </c>
      <c r="B12" s="38" t="s">
        <v>686</v>
      </c>
      <c r="C12" s="38"/>
      <c r="D12" s="37" t="str">
        <f>IF(C12="","",IFERROR(CHOOSE(MATCH(C12,{"New Cortex","TMH","NUH","SBH"},0),"CTXN","TMH","NUH","SBH"),"-"))</f>
        <v/>
      </c>
      <c r="E12" s="38"/>
      <c r="F12" s="38"/>
      <c r="G12" s="38"/>
      <c r="H12" s="38"/>
      <c r="I12" s="38"/>
    </row>
    <row r="13" spans="1:12" x14ac:dyDescent="0.3">
      <c r="A13" s="38"/>
      <c r="B13" s="38"/>
      <c r="C13" s="38"/>
      <c r="D13" s="37" t="str">
        <f>IF(C13="","",IFERROR(CHOOSE(MATCH(C13,{"New Cortex","TMH","NUH","SBH"},0),"CTXN","TMH","NUH","SBH"),"-"))</f>
        <v/>
      </c>
      <c r="E13" s="38"/>
      <c r="F13" s="38"/>
      <c r="G13" s="38"/>
      <c r="H13" s="38"/>
      <c r="I13" s="38"/>
    </row>
    <row r="14" spans="1:12" x14ac:dyDescent="0.3">
      <c r="A14" s="38"/>
      <c r="B14" s="38"/>
      <c r="C14" s="38"/>
      <c r="D14" s="37" t="str">
        <f>IF(C14="","",IFERROR(CHOOSE(MATCH(C14,{"New Cortex","TMH","NUH","SBH"},0),"CTXN","TMH","NUH","SBH"),"-"))</f>
        <v/>
      </c>
      <c r="E14" s="38"/>
      <c r="F14" s="38"/>
      <c r="G14" s="38"/>
      <c r="H14" s="38"/>
      <c r="I14" s="38"/>
    </row>
    <row r="15" spans="1:12" x14ac:dyDescent="0.3">
      <c r="A15" s="38"/>
      <c r="B15" s="38"/>
      <c r="C15" s="38"/>
      <c r="D15" s="37" t="str">
        <f>IF(C15="","",IFERROR(CHOOSE(MATCH(C15,{"New Cortex","TMH","NUH","SBH"},0),"CTXN","TMH","NUH","SBH"),"-"))</f>
        <v/>
      </c>
      <c r="E15" s="38"/>
      <c r="F15" s="38"/>
      <c r="G15" s="38"/>
      <c r="H15" s="38"/>
      <c r="I15" s="38"/>
    </row>
    <row r="16" spans="1:12" x14ac:dyDescent="0.3">
      <c r="A16" s="38"/>
      <c r="B16" s="38"/>
      <c r="C16" s="38"/>
      <c r="D16" s="37" t="str">
        <f>IF(C16="","",IFERROR(CHOOSE(MATCH(C16,{"New Cortex","TMH","NUH","SBH"},0),"CTXN","TMH","NUH","SBH"),"-"))</f>
        <v/>
      </c>
      <c r="E16" s="38"/>
      <c r="F16" s="38"/>
      <c r="G16" s="38"/>
      <c r="H16" s="38"/>
      <c r="I16" s="38"/>
    </row>
    <row r="17" spans="1:9" x14ac:dyDescent="0.3">
      <c r="A17" s="38"/>
      <c r="B17" s="38"/>
      <c r="C17" s="38"/>
      <c r="D17" s="37" t="str">
        <f>IF(C17="","",IFERROR(CHOOSE(MATCH(C17,{"New Cortex","TMH","NUH","SBH"},0),"CTXN","TMH","NUH","SBH"),"-"))</f>
        <v/>
      </c>
      <c r="E17" s="38"/>
      <c r="F17" s="38"/>
      <c r="G17" s="38"/>
      <c r="H17" s="38"/>
      <c r="I17" s="38"/>
    </row>
    <row r="18" spans="1:9" x14ac:dyDescent="0.3">
      <c r="A18" s="38"/>
      <c r="B18" s="38"/>
      <c r="C18" s="38"/>
      <c r="D18" s="37" t="str">
        <f>IF(C18="","",IFERROR(CHOOSE(MATCH(C18,{"New Cortex","TMH","NUH","SBH"},0),"CTXN","TMH","NUH","SBH"),"-"))</f>
        <v/>
      </c>
      <c r="E18" s="38"/>
      <c r="F18" s="38"/>
      <c r="G18" s="38"/>
      <c r="H18" s="38"/>
      <c r="I18" s="38"/>
    </row>
    <row r="19" spans="1:9" x14ac:dyDescent="0.3">
      <c r="A19" s="38"/>
      <c r="B19" s="38"/>
      <c r="C19" s="38"/>
      <c r="D19" s="37" t="str">
        <f>IF(C19="","",IFERROR(CHOOSE(MATCH(C19,{"New Cortex","TMH","NUH","SBH"},0),"CTXN","TMH","NUH","SBH"),"-"))</f>
        <v/>
      </c>
      <c r="E19" s="38"/>
      <c r="F19" s="38"/>
      <c r="G19" s="38"/>
      <c r="H19" s="38"/>
      <c r="I19" s="38"/>
    </row>
    <row r="20" spans="1:9" x14ac:dyDescent="0.3">
      <c r="A20" s="38"/>
      <c r="B20" s="38"/>
      <c r="C20" s="38"/>
      <c r="D20" s="37" t="str">
        <f>IF(C20="","",IFERROR(CHOOSE(MATCH(C20,{"New Cortex","TMH","NUH","SBH"},0),"CTXN","TMH","NUH","SBH"),"-"))</f>
        <v/>
      </c>
      <c r="E20" s="38"/>
      <c r="F20" s="38"/>
      <c r="G20" s="38"/>
      <c r="H20" s="38"/>
      <c r="I20" s="38"/>
    </row>
    <row r="21" spans="1:9" x14ac:dyDescent="0.3">
      <c r="A21" s="38"/>
      <c r="B21" s="38"/>
      <c r="C21" s="38"/>
      <c r="D21" s="37" t="str">
        <f>IF(C21="","",IFERROR(CHOOSE(MATCH(C21,{"New Cortex","TMH","NUH","SBH"},0),"CTXN","TMH","NUH","SBH"),"-"))</f>
        <v/>
      </c>
      <c r="E21" s="38"/>
      <c r="F21" s="38"/>
      <c r="G21" s="38"/>
      <c r="H21" s="38"/>
      <c r="I21" s="38"/>
    </row>
    <row r="22" spans="1:9" x14ac:dyDescent="0.3">
      <c r="A22" s="38"/>
      <c r="B22" s="38"/>
      <c r="C22" s="38"/>
      <c r="D22" s="37" t="str">
        <f>IF(C22="","",IFERROR(CHOOSE(MATCH(C22,{"New Cortex","TMH","NUH","SBH"},0),"CTXN","TMH","NUH","SBH"),"-"))</f>
        <v/>
      </c>
      <c r="E22" s="38"/>
      <c r="F22" s="38"/>
      <c r="G22" s="38"/>
      <c r="H22" s="38"/>
      <c r="I22" s="38"/>
    </row>
    <row r="23" spans="1:9" x14ac:dyDescent="0.3">
      <c r="A23" s="38"/>
      <c r="B23" s="38"/>
      <c r="C23" s="38"/>
      <c r="D23" s="37" t="str">
        <f>IF(C23="","",IFERROR(CHOOSE(MATCH(C23,{"New Cortex","TMH","NUH","SBH"},0),"CTXN","TMH","NUH","SBH"),"-"))</f>
        <v/>
      </c>
      <c r="E23" s="38"/>
      <c r="F23" s="38"/>
      <c r="G23" s="38"/>
      <c r="H23" s="38"/>
      <c r="I23" s="38"/>
    </row>
    <row r="24" spans="1:9" x14ac:dyDescent="0.3">
      <c r="A24" s="38"/>
      <c r="B24" s="38"/>
      <c r="C24" s="38"/>
      <c r="D24" s="37" t="str">
        <f>IF(C24="","",IFERROR(CHOOSE(MATCH(C24,{"New Cortex","TMH","NUH","SBH"},0),"CTXN","TMH","NUH","SBH"),"-"))</f>
        <v/>
      </c>
      <c r="E24" s="38"/>
      <c r="F24" s="38"/>
      <c r="G24" s="38"/>
      <c r="H24" s="38"/>
      <c r="I24" s="38"/>
    </row>
    <row r="25" spans="1:9" x14ac:dyDescent="0.3">
      <c r="A25" s="38"/>
      <c r="B25" s="38"/>
      <c r="C25" s="38"/>
      <c r="D25" s="37" t="str">
        <f>IF(C25="","",IFERROR(CHOOSE(MATCH(C25,{"New Cortex","TMH","NUH","SBH"},0),"CTXN","TMH","NUH","SBH"),"-"))</f>
        <v/>
      </c>
      <c r="E25" s="38"/>
      <c r="F25" s="38"/>
      <c r="G25" s="38"/>
      <c r="H25" s="38"/>
      <c r="I25" s="38"/>
    </row>
    <row r="26" spans="1:9" x14ac:dyDescent="0.3">
      <c r="A26" s="38"/>
      <c r="B26" s="38"/>
      <c r="C26" s="38"/>
      <c r="D26" s="37" t="str">
        <f>IF(C26="","",IFERROR(CHOOSE(MATCH(C26,{"New Cortex","TMH","NUH","SBH"},0),"CTXN","TMH","NUH","SBH"),"-"))</f>
        <v/>
      </c>
      <c r="E26" s="38"/>
      <c r="F26" s="38"/>
      <c r="G26" s="38"/>
      <c r="H26" s="38"/>
      <c r="I26" s="38"/>
    </row>
    <row r="27" spans="1:9" x14ac:dyDescent="0.3">
      <c r="A27" s="38"/>
      <c r="B27" s="38"/>
      <c r="C27" s="38"/>
      <c r="D27" s="37" t="str">
        <f>IF(C27="","",IFERROR(CHOOSE(MATCH(C27,{"New Cortex","TMH","NUH","SBH"},0),"CTXN","TMH","NUH","SBH"),"-"))</f>
        <v/>
      </c>
      <c r="E27" s="38"/>
      <c r="F27" s="38"/>
      <c r="G27" s="38"/>
      <c r="H27" s="38"/>
      <c r="I27" s="38"/>
    </row>
    <row r="28" spans="1:9" x14ac:dyDescent="0.3">
      <c r="A28" s="38"/>
      <c r="B28" s="38"/>
      <c r="C28" s="38"/>
      <c r="D28" s="37" t="str">
        <f>IF(C28="","",IFERROR(CHOOSE(MATCH(C28,{"New Cortex","TMH","NUH","SBH"},0),"CTXN","TMH","NUH","SBH"),"-"))</f>
        <v/>
      </c>
      <c r="E28" s="38"/>
      <c r="F28" s="38"/>
      <c r="G28" s="38"/>
      <c r="H28" s="38"/>
      <c r="I28" s="38"/>
    </row>
    <row r="29" spans="1:9" x14ac:dyDescent="0.3">
      <c r="A29" s="38"/>
      <c r="B29" s="38"/>
      <c r="C29" s="38"/>
      <c r="D29" s="37" t="str">
        <f>IF(C29="","",IFERROR(CHOOSE(MATCH(C29,{"New Cortex","TMH","NUH","SBH"},0),"CTXN","TMH","NUH","SBH"),"-"))</f>
        <v/>
      </c>
      <c r="E29" s="38"/>
      <c r="F29" s="38"/>
      <c r="G29" s="38"/>
      <c r="H29" s="38"/>
      <c r="I29" s="38"/>
    </row>
    <row r="30" spans="1:9" x14ac:dyDescent="0.3">
      <c r="A30" s="38"/>
      <c r="B30" s="38"/>
      <c r="C30" s="38"/>
      <c r="D30" s="37" t="str">
        <f>IF(C30="","",IFERROR(CHOOSE(MATCH(C30,{"New Cortex","TMH","NUH","SBH"},0),"CTXN","TMH","NUH","SBH"),"-"))</f>
        <v/>
      </c>
      <c r="E30" s="38"/>
      <c r="F30" s="38"/>
      <c r="G30" s="38"/>
      <c r="H30" s="38"/>
      <c r="I30" s="38"/>
    </row>
    <row r="31" spans="1:9" x14ac:dyDescent="0.3">
      <c r="A31" s="38"/>
      <c r="B31" s="38"/>
      <c r="C31" s="38"/>
      <c r="D31" s="37" t="str">
        <f>IF(C31="","",IFERROR(CHOOSE(MATCH(C31,{"New Cortex","TMH","NUH","SBH"},0),"CTXN","TMH","NUH","SBH"),"-"))</f>
        <v/>
      </c>
      <c r="E31" s="38"/>
      <c r="F31" s="38"/>
      <c r="G31" s="38"/>
      <c r="H31" s="38"/>
      <c r="I31" s="38"/>
    </row>
    <row r="32" spans="1:9" x14ac:dyDescent="0.3">
      <c r="A32" s="38"/>
      <c r="B32" s="38"/>
      <c r="C32" s="38"/>
      <c r="D32" s="37" t="str">
        <f>IF(C32="","",IFERROR(CHOOSE(MATCH(C32,{"New Cortex","TMH","NUH","SBH"},0),"CTXN","TMH","NUH","SBH"),"-"))</f>
        <v/>
      </c>
      <c r="E32" s="38"/>
      <c r="F32" s="38"/>
      <c r="G32" s="38"/>
      <c r="H32" s="38"/>
      <c r="I32" s="38"/>
    </row>
    <row r="33" spans="1:9" x14ac:dyDescent="0.3">
      <c r="A33" s="38"/>
      <c r="B33" s="38"/>
      <c r="C33" s="38"/>
      <c r="D33" s="37" t="str">
        <f>IF(C33="","",IFERROR(CHOOSE(MATCH(C33,{"New Cortex","TMH","NUH","SBH"},0),"CTXN","TMH","NUH","SBH"),"-"))</f>
        <v/>
      </c>
      <c r="E33" s="38"/>
      <c r="F33" s="38"/>
      <c r="G33" s="38"/>
      <c r="H33" s="38"/>
      <c r="I33" s="38"/>
    </row>
    <row r="34" spans="1:9" x14ac:dyDescent="0.3">
      <c r="A34" s="38"/>
      <c r="B34" s="38"/>
      <c r="C34" s="38"/>
      <c r="D34" s="37" t="str">
        <f>IF(C34="","",IFERROR(CHOOSE(MATCH(C34,{"New Cortex","TMH","NUH","SBH"},0),"CTXN","TMH","NUH","SBH"),"-"))</f>
        <v/>
      </c>
      <c r="E34" s="38"/>
      <c r="F34" s="38"/>
      <c r="G34" s="38"/>
      <c r="H34" s="38"/>
      <c r="I34" s="38"/>
    </row>
    <row r="35" spans="1:9" x14ac:dyDescent="0.3">
      <c r="A35" s="38"/>
      <c r="B35" s="38"/>
      <c r="C35" s="38"/>
      <c r="D35" s="37" t="str">
        <f>IF(C35="","",IFERROR(CHOOSE(MATCH(C35,{"New Cortex","TMH","NUH","SBH"},0),"CTXN","TMH","NUH","SBH"),"-"))</f>
        <v/>
      </c>
      <c r="E35" s="38"/>
      <c r="F35" s="38"/>
      <c r="G35" s="38"/>
      <c r="H35" s="38"/>
      <c r="I35" s="38"/>
    </row>
    <row r="36" spans="1:9" x14ac:dyDescent="0.3">
      <c r="A36" s="38"/>
      <c r="B36" s="38"/>
      <c r="C36" s="38"/>
      <c r="D36" s="37" t="str">
        <f>IF(C36="","",IFERROR(CHOOSE(MATCH(C36,{"New Cortex","TMH","NUH","SBH"},0),"CTXN","TMH","NUH","SBH"),"-"))</f>
        <v/>
      </c>
      <c r="E36" s="38"/>
      <c r="F36" s="38"/>
      <c r="G36" s="38"/>
      <c r="H36" s="38"/>
      <c r="I36" s="38"/>
    </row>
    <row r="37" spans="1:9" x14ac:dyDescent="0.3">
      <c r="A37" s="38"/>
      <c r="B37" s="38"/>
      <c r="C37" s="38"/>
      <c r="D37" s="37" t="str">
        <f>IF(C37="","",IFERROR(CHOOSE(MATCH(C37,{"New Cortex","TMH","NUH","SBH"},0),"CTXN","TMH","NUH","SBH"),"-"))</f>
        <v/>
      </c>
      <c r="E37" s="38"/>
      <c r="F37" s="38"/>
      <c r="G37" s="38"/>
      <c r="H37" s="38"/>
      <c r="I37" s="38"/>
    </row>
    <row r="38" spans="1:9" x14ac:dyDescent="0.3">
      <c r="A38" s="38"/>
      <c r="B38" s="38"/>
      <c r="C38" s="38"/>
      <c r="D38" s="37" t="str">
        <f>IF(C38="","",IFERROR(CHOOSE(MATCH(C38,{"New Cortex","TMH","NUH","SBH"},0),"CTXN","TMH","NUH","SBH"),"-"))</f>
        <v/>
      </c>
      <c r="E38" s="38"/>
      <c r="F38" s="38"/>
      <c r="G38" s="38"/>
      <c r="H38" s="38"/>
      <c r="I38" s="38"/>
    </row>
    <row r="39" spans="1:9" x14ac:dyDescent="0.3">
      <c r="A39" s="38"/>
      <c r="B39" s="38"/>
      <c r="C39" s="38"/>
      <c r="D39" s="37" t="str">
        <f>IF(C39="","",IFERROR(CHOOSE(MATCH(C39,{"New Cortex","TMH","NUH","SBH"},0),"CTXN","TMH","NUH","SBH"),"-"))</f>
        <v/>
      </c>
      <c r="E39" s="38"/>
      <c r="F39" s="38"/>
      <c r="G39" s="38"/>
      <c r="H39" s="38"/>
      <c r="I39" s="38"/>
    </row>
    <row r="40" spans="1:9" x14ac:dyDescent="0.3">
      <c r="A40" s="38"/>
      <c r="B40" s="38"/>
      <c r="C40" s="38"/>
      <c r="D40" s="37" t="str">
        <f>IF(C40="","",IFERROR(CHOOSE(MATCH(C40,{"New Cortex","TMH","NUH","SBH"},0),"CTXN","TMH","NUH","SBH"),"-"))</f>
        <v/>
      </c>
      <c r="E40" s="38"/>
      <c r="F40" s="38"/>
      <c r="G40" s="38"/>
      <c r="H40" s="38"/>
      <c r="I40" s="38"/>
    </row>
    <row r="41" spans="1:9" x14ac:dyDescent="0.3">
      <c r="A41" s="38"/>
      <c r="B41" s="38"/>
      <c r="C41" s="38"/>
      <c r="D41" s="37" t="str">
        <f>IF(C41="","",IFERROR(CHOOSE(MATCH(C41,{"New Cortex","TMH","NUH","SBH"},0),"CTXN","TMH","NUH","SBH"),"-"))</f>
        <v/>
      </c>
      <c r="E41" s="38"/>
      <c r="F41" s="38"/>
      <c r="G41" s="38"/>
      <c r="H41" s="38"/>
      <c r="I41" s="38"/>
    </row>
    <row r="42" spans="1:9" x14ac:dyDescent="0.3">
      <c r="A42" s="38"/>
      <c r="B42" s="38"/>
      <c r="C42" s="38"/>
      <c r="D42" s="37" t="str">
        <f>IF(C42="","",IFERROR(CHOOSE(MATCH(C42,{"New Cortex","TMH","NUH","SBH"},0),"CTXN","TMH","NUH","SBH"),"-"))</f>
        <v/>
      </c>
      <c r="E42" s="38"/>
      <c r="F42" s="38"/>
      <c r="G42" s="38"/>
      <c r="H42" s="38"/>
      <c r="I42" s="38"/>
    </row>
    <row r="43" spans="1:9" x14ac:dyDescent="0.3">
      <c r="A43" s="38"/>
      <c r="B43" s="38"/>
      <c r="C43" s="38"/>
      <c r="D43" s="37" t="str">
        <f>IF(C43="","",IFERROR(CHOOSE(MATCH(C43,{"New Cortex","TMH","NUH","SBH"},0),"CTXN","TMH","NUH","SBH"),"-"))</f>
        <v/>
      </c>
      <c r="E43" s="38"/>
      <c r="F43" s="38"/>
      <c r="G43" s="38"/>
      <c r="H43" s="38"/>
      <c r="I43" s="38"/>
    </row>
    <row r="44" spans="1:9" x14ac:dyDescent="0.3">
      <c r="A44" s="38"/>
      <c r="B44" s="38"/>
      <c r="C44" s="38"/>
      <c r="D44" s="37" t="str">
        <f>IF(C44="","",IFERROR(CHOOSE(MATCH(C44,{"New Cortex","TMH","NUH","SBH"},0),"CTXN","TMH","NUH","SBH"),"-"))</f>
        <v/>
      </c>
      <c r="E44" s="38"/>
      <c r="F44" s="38"/>
      <c r="G44" s="38"/>
      <c r="H44" s="38"/>
      <c r="I44" s="38"/>
    </row>
    <row r="45" spans="1:9" x14ac:dyDescent="0.3">
      <c r="A45" s="38"/>
      <c r="B45" s="38"/>
      <c r="C45" s="38"/>
      <c r="D45" s="37" t="str">
        <f>IF(C45="","",IFERROR(CHOOSE(MATCH(C45,{"New Cortex","TMH","NUH","SBH"},0),"CTXN","TMH","NUH","SBH"),"-"))</f>
        <v/>
      </c>
      <c r="E45" s="38"/>
      <c r="F45" s="38"/>
      <c r="G45" s="38"/>
      <c r="H45" s="38"/>
      <c r="I45" s="38"/>
    </row>
    <row r="46" spans="1:9" x14ac:dyDescent="0.3">
      <c r="A46" s="38"/>
      <c r="B46" s="38"/>
      <c r="C46" s="38"/>
      <c r="D46" s="37" t="str">
        <f>IF(C46="","",IFERROR(CHOOSE(MATCH(C46,{"New Cortex","TMH","NUH","SBH"},0),"CTXN","TMH","NUH","SBH"),"-"))</f>
        <v/>
      </c>
      <c r="E46" s="38"/>
      <c r="F46" s="38"/>
      <c r="G46" s="38"/>
      <c r="H46" s="38"/>
      <c r="I46" s="38"/>
    </row>
    <row r="47" spans="1:9" x14ac:dyDescent="0.3">
      <c r="A47" s="38"/>
      <c r="B47" s="38"/>
      <c r="C47" s="38"/>
      <c r="D47" s="37" t="str">
        <f>IF(C47="","",IFERROR(CHOOSE(MATCH(C47,{"New Cortex","TMH","NUH","SBH"},0),"CTXN","TMH","NUH","SBH"),"-"))</f>
        <v/>
      </c>
      <c r="E47" s="38"/>
      <c r="F47" s="38"/>
      <c r="G47" s="38"/>
      <c r="H47" s="38"/>
      <c r="I47" s="38"/>
    </row>
    <row r="48" spans="1:9" x14ac:dyDescent="0.3">
      <c r="A48" s="38"/>
      <c r="B48" s="38"/>
      <c r="C48" s="38"/>
      <c r="D48" s="37" t="str">
        <f>IF(C48="","",IFERROR(CHOOSE(MATCH(C48,{"New Cortex","TMH","NUH","SBH"},0),"CTXN","TMH","NUH","SBH"),"-"))</f>
        <v/>
      </c>
      <c r="E48" s="38"/>
      <c r="F48" s="38"/>
      <c r="G48" s="38"/>
      <c r="H48" s="38"/>
      <c r="I48" s="38"/>
    </row>
    <row r="49" spans="1:9" x14ac:dyDescent="0.3">
      <c r="A49" s="38"/>
      <c r="B49" s="38"/>
      <c r="C49" s="38"/>
      <c r="D49" s="37" t="str">
        <f>IF(C49="","",IFERROR(CHOOSE(MATCH(C49,{"New Cortex","TMH","NUH","SBH"},0),"CTXN","TMH","NUH","SBH"),"-"))</f>
        <v/>
      </c>
      <c r="E49" s="38"/>
      <c r="F49" s="38"/>
      <c r="G49" s="38"/>
      <c r="H49" s="38"/>
      <c r="I49" s="38"/>
    </row>
    <row r="50" spans="1:9" x14ac:dyDescent="0.3">
      <c r="A50" s="38"/>
      <c r="B50" s="38"/>
      <c r="C50" s="38"/>
      <c r="D50" s="37" t="str">
        <f>IF(C50="","",IFERROR(CHOOSE(MATCH(C50,{"New Cortex","TMH","NUH","SBH"},0),"CTXN","TMH","NUH","SBH"),"-"))</f>
        <v/>
      </c>
      <c r="E50" s="38"/>
      <c r="F50" s="38"/>
      <c r="G50" s="38"/>
      <c r="H50" s="38"/>
      <c r="I50" s="38"/>
    </row>
    <row r="51" spans="1:9" x14ac:dyDescent="0.3">
      <c r="A51" s="38"/>
      <c r="B51" s="38"/>
      <c r="C51" s="38"/>
      <c r="D51" s="37" t="str">
        <f>IF(C51="","",IFERROR(CHOOSE(MATCH(C51,{"New Cortex","TMH","NUH","SBH"},0),"CTXN","TMH","NUH","SBH"),"-"))</f>
        <v/>
      </c>
      <c r="E51" s="38"/>
      <c r="F51" s="38"/>
      <c r="G51" s="38"/>
      <c r="H51" s="38"/>
      <c r="I51" s="38"/>
    </row>
    <row r="52" spans="1:9" x14ac:dyDescent="0.3">
      <c r="A52" s="38"/>
      <c r="B52" s="38"/>
      <c r="C52" s="38"/>
      <c r="D52" s="37" t="str">
        <f>IF(C52="","",IFERROR(CHOOSE(MATCH(C52,{"New Cortex","TMH","NUH","SBH"},0),"CTXN","TMH","NUH","SBH"),"-"))</f>
        <v/>
      </c>
      <c r="E52" s="38"/>
      <c r="F52" s="38"/>
      <c r="G52" s="38"/>
      <c r="H52" s="38"/>
      <c r="I52" s="38"/>
    </row>
    <row r="53" spans="1:9" x14ac:dyDescent="0.3">
      <c r="A53" s="38"/>
      <c r="B53" s="38"/>
      <c r="C53" s="38"/>
      <c r="D53" s="37" t="str">
        <f>IF(C53="","",IFERROR(CHOOSE(MATCH(C53,{"New Cortex","TMH","NUH","SBH"},0),"CTXN","TMH","NUH","SBH"),"-"))</f>
        <v/>
      </c>
      <c r="E53" s="38"/>
      <c r="F53" s="38"/>
      <c r="G53" s="38"/>
      <c r="H53" s="38"/>
      <c r="I53" s="38"/>
    </row>
    <row r="54" spans="1:9" x14ac:dyDescent="0.3">
      <c r="A54" s="38"/>
      <c r="B54" s="38"/>
      <c r="C54" s="38"/>
      <c r="D54" s="37" t="str">
        <f>IF(C54="","",IFERROR(CHOOSE(MATCH(C54,{"New Cortex","TMH","NUH","SBH"},0),"CTXN","TMH","NUH","SBH"),"-"))</f>
        <v/>
      </c>
      <c r="E54" s="38"/>
      <c r="F54" s="38"/>
      <c r="G54" s="38"/>
      <c r="H54" s="38"/>
      <c r="I54" s="38"/>
    </row>
    <row r="55" spans="1:9" x14ac:dyDescent="0.3">
      <c r="A55" s="38"/>
      <c r="B55" s="38"/>
      <c r="C55" s="38"/>
      <c r="D55" s="37" t="str">
        <f>IF(C55="","",IFERROR(CHOOSE(MATCH(C55,{"New Cortex","TMH","NUH","SBH"},0),"CTXN","TMH","NUH","SBH"),"-"))</f>
        <v/>
      </c>
      <c r="E55" s="38"/>
      <c r="F55" s="38"/>
      <c r="G55" s="38"/>
      <c r="H55" s="38"/>
      <c r="I55" s="38"/>
    </row>
    <row r="56" spans="1:9" x14ac:dyDescent="0.3">
      <c r="A56" s="38"/>
      <c r="B56" s="38"/>
      <c r="C56" s="38"/>
      <c r="D56" s="37" t="str">
        <f>IF(C56="","",IFERROR(CHOOSE(MATCH(C56,{"New Cortex","TMH","NUH","SBH"},0),"CTXN","TMH","NUH","SBH"),"-"))</f>
        <v/>
      </c>
      <c r="E56" s="38"/>
      <c r="F56" s="38"/>
      <c r="G56" s="38"/>
      <c r="H56" s="38"/>
      <c r="I56" s="38"/>
    </row>
    <row r="57" spans="1:9" x14ac:dyDescent="0.3">
      <c r="A57" s="38"/>
      <c r="B57" s="38"/>
      <c r="C57" s="38"/>
      <c r="D57" s="37" t="str">
        <f>IF(C57="","",IFERROR(CHOOSE(MATCH(C57,{"New Cortex","TMH","NUH","SBH"},0),"CTXN","TMH","NUH","SBH"),"-"))</f>
        <v/>
      </c>
      <c r="E57" s="38"/>
      <c r="F57" s="38"/>
      <c r="G57" s="38"/>
      <c r="H57" s="38"/>
      <c r="I57" s="38"/>
    </row>
    <row r="58" spans="1:9" x14ac:dyDescent="0.3">
      <c r="A58" s="38"/>
      <c r="B58" s="38"/>
      <c r="C58" s="38"/>
      <c r="D58" s="37" t="str">
        <f>IF(C58="","",IFERROR(CHOOSE(MATCH(C58,{"New Cortex","TMH","NUH","SBH"},0),"CTXN","TMH","NUH","SBH"),"-"))</f>
        <v/>
      </c>
      <c r="E58" s="38"/>
      <c r="F58" s="38"/>
      <c r="G58" s="38"/>
      <c r="H58" s="38"/>
      <c r="I58" s="38"/>
    </row>
    <row r="59" spans="1:9" x14ac:dyDescent="0.3">
      <c r="A59" s="38"/>
      <c r="B59" s="38"/>
      <c r="C59" s="38"/>
      <c r="D59" s="37" t="str">
        <f>IF(C59="","",IFERROR(CHOOSE(MATCH(C59,{"New Cortex","TMH","NUH","SBH"},0),"CTXN","TMH","NUH","SBH"),"-"))</f>
        <v/>
      </c>
      <c r="E59" s="38"/>
      <c r="F59" s="38"/>
      <c r="G59" s="38"/>
      <c r="H59" s="38"/>
      <c r="I59" s="38"/>
    </row>
    <row r="60" spans="1:9" x14ac:dyDescent="0.3">
      <c r="A60" s="38"/>
      <c r="B60" s="38"/>
      <c r="C60" s="38"/>
      <c r="D60" s="37" t="str">
        <f>IF(C60="","",IFERROR(CHOOSE(MATCH(C60,{"New Cortex","TMH","NUH","SBH"},0),"CTXN","TMH","NUH","SBH"),"-"))</f>
        <v/>
      </c>
      <c r="E60" s="38"/>
      <c r="F60" s="38"/>
      <c r="G60" s="38"/>
      <c r="H60" s="38"/>
      <c r="I60" s="38"/>
    </row>
    <row r="61" spans="1:9" x14ac:dyDescent="0.3">
      <c r="A61" s="38"/>
      <c r="B61" s="38"/>
      <c r="C61" s="38"/>
      <c r="D61" s="37" t="str">
        <f>IF(C61="","",IFERROR(CHOOSE(MATCH(C61,{"New Cortex","TMH","NUH","SBH"},0),"CTXN","TMH","NUH","SBH"),"-"))</f>
        <v/>
      </c>
      <c r="E61" s="38"/>
      <c r="F61" s="38"/>
      <c r="G61" s="38"/>
      <c r="H61" s="38"/>
      <c r="I61" s="38"/>
    </row>
    <row r="62" spans="1:9" x14ac:dyDescent="0.3">
      <c r="A62" s="38"/>
      <c r="B62" s="38"/>
      <c r="C62" s="38"/>
      <c r="D62" s="37" t="str">
        <f>IF(C62="","",IFERROR(CHOOSE(MATCH(C62,{"New Cortex","TMH","NUH","SBH"},0),"CTXN","TMH","NUH","SBH"),"-"))</f>
        <v/>
      </c>
      <c r="E62" s="38"/>
      <c r="F62" s="38"/>
      <c r="G62" s="38"/>
      <c r="H62" s="38"/>
      <c r="I62" s="38"/>
    </row>
    <row r="63" spans="1:9" x14ac:dyDescent="0.3">
      <c r="A63" s="38"/>
      <c r="B63" s="38"/>
      <c r="C63" s="38"/>
      <c r="D63" s="37" t="str">
        <f>IF(C63="","",IFERROR(CHOOSE(MATCH(C63,{"New Cortex","TMH","NUH","SBH"},0),"CTXN","TMH","NUH","SBH"),"-"))</f>
        <v/>
      </c>
      <c r="E63" s="38"/>
      <c r="F63" s="38"/>
      <c r="G63" s="38"/>
      <c r="H63" s="38"/>
      <c r="I63" s="38"/>
    </row>
    <row r="64" spans="1:9" x14ac:dyDescent="0.3">
      <c r="A64" s="38"/>
      <c r="B64" s="38"/>
      <c r="C64" s="38"/>
      <c r="D64" s="37" t="str">
        <f>IF(C64="","",IFERROR(CHOOSE(MATCH(C64,{"New Cortex","TMH","NUH","SBH"},0),"CTXN","TMH","NUH","SBH"),"-"))</f>
        <v/>
      </c>
      <c r="E64" s="38"/>
      <c r="F64" s="38"/>
      <c r="G64" s="38"/>
      <c r="H64" s="38"/>
      <c r="I64" s="38"/>
    </row>
    <row r="65" spans="1:9" x14ac:dyDescent="0.3">
      <c r="A65" s="38"/>
      <c r="B65" s="38"/>
      <c r="C65" s="38"/>
      <c r="D65" s="37" t="str">
        <f>IF(C65="","",IFERROR(CHOOSE(MATCH(C65,{"New Cortex","TMH","NUH","SBH"},0),"CTXN","TMH","NUH","SBH"),"-"))</f>
        <v/>
      </c>
      <c r="E65" s="38"/>
      <c r="F65" s="38"/>
      <c r="G65" s="38"/>
      <c r="H65" s="38"/>
      <c r="I65" s="38"/>
    </row>
    <row r="66" spans="1:9" x14ac:dyDescent="0.3">
      <c r="A66" s="38"/>
      <c r="B66" s="38"/>
      <c r="C66" s="38"/>
      <c r="D66" s="37" t="str">
        <f>IF(C66="","",IFERROR(CHOOSE(MATCH(C66,{"New Cortex","TMH","NUH","SBH"},0),"CTXN","TMH","NUH","SBH"),"-"))</f>
        <v/>
      </c>
      <c r="E66" s="38"/>
      <c r="F66" s="38"/>
      <c r="G66" s="38"/>
      <c r="H66" s="38"/>
      <c r="I66" s="38"/>
    </row>
    <row r="67" spans="1:9" x14ac:dyDescent="0.3">
      <c r="A67" s="38"/>
      <c r="B67" s="38"/>
      <c r="C67" s="38"/>
      <c r="D67" s="37" t="str">
        <f>IF(C67="","",IFERROR(CHOOSE(MATCH(C67,{"New Cortex","TMH","NUH","SBH"},0),"CTXN","TMH","NUH","SBH"),"-"))</f>
        <v/>
      </c>
      <c r="E67" s="38"/>
      <c r="F67" s="38"/>
      <c r="G67" s="38"/>
      <c r="H67" s="38"/>
      <c r="I67" s="38"/>
    </row>
    <row r="68" spans="1:9" x14ac:dyDescent="0.3">
      <c r="A68" s="38"/>
      <c r="B68" s="38"/>
      <c r="C68" s="38"/>
      <c r="D68" s="37" t="str">
        <f>IF(C68="","",IFERROR(CHOOSE(MATCH(C68,{"New Cortex","TMH","NUH","SBH"},0),"CTXN","TMH","NUH","SBH"),"-"))</f>
        <v/>
      </c>
      <c r="E68" s="38"/>
      <c r="F68" s="38"/>
      <c r="G68" s="38"/>
      <c r="H68" s="38"/>
      <c r="I68" s="38"/>
    </row>
    <row r="69" spans="1:9" x14ac:dyDescent="0.3">
      <c r="A69" s="38"/>
      <c r="B69" s="38"/>
      <c r="C69" s="38"/>
      <c r="D69" s="37" t="str">
        <f>IF(C69="","",IFERROR(CHOOSE(MATCH(C69,{"New Cortex","TMH","NUH","SBH"},0),"CTXN","TMH","NUH","SBH"),"-"))</f>
        <v/>
      </c>
      <c r="E69" s="38"/>
      <c r="F69" s="38"/>
      <c r="G69" s="38"/>
      <c r="H69" s="38"/>
      <c r="I69" s="38"/>
    </row>
    <row r="70" spans="1:9" x14ac:dyDescent="0.3">
      <c r="A70" s="38"/>
      <c r="B70" s="38"/>
      <c r="C70" s="38"/>
      <c r="D70" s="37" t="str">
        <f>IF(C70="","",IFERROR(CHOOSE(MATCH(C70,{"New Cortex","TMH","NUH","SBH"},0),"CTXN","TMH","NUH","SBH"),"-"))</f>
        <v/>
      </c>
      <c r="E70" s="38"/>
      <c r="F70" s="38"/>
      <c r="G70" s="38"/>
      <c r="H70" s="38"/>
      <c r="I70" s="38"/>
    </row>
    <row r="71" spans="1:9" x14ac:dyDescent="0.3">
      <c r="A71" s="38"/>
      <c r="B71" s="38"/>
      <c r="C71" s="38"/>
      <c r="D71" s="37" t="str">
        <f>IF(C71="","",IFERROR(CHOOSE(MATCH(C71,{"New Cortex","TMH","NUH","SBH"},0),"CTXN","TMH","NUH","SBH"),"-"))</f>
        <v/>
      </c>
      <c r="E71" s="38"/>
      <c r="F71" s="38"/>
      <c r="G71" s="38"/>
      <c r="H71" s="38"/>
      <c r="I71" s="38"/>
    </row>
    <row r="72" spans="1:9" x14ac:dyDescent="0.3">
      <c r="A72" s="38"/>
      <c r="B72" s="38"/>
      <c r="C72" s="38"/>
      <c r="D72" s="37" t="str">
        <f>IF(C72="","",IFERROR(CHOOSE(MATCH(C72,{"New Cortex","TMH","NUH","SBH"},0),"CTXN","TMH","NUH","SBH"),"-"))</f>
        <v/>
      </c>
      <c r="E72" s="38"/>
      <c r="F72" s="38"/>
      <c r="G72" s="38"/>
      <c r="H72" s="38"/>
      <c r="I72" s="38"/>
    </row>
    <row r="73" spans="1:9" x14ac:dyDescent="0.3">
      <c r="A73" s="38"/>
      <c r="B73" s="38"/>
      <c r="C73" s="38"/>
      <c r="D73" s="37" t="str">
        <f>IF(C73="","",IFERROR(CHOOSE(MATCH(C73,{"New Cortex","TMH","NUH","SBH"},0),"CTXN","TMH","NUH","SBH"),"-"))</f>
        <v/>
      </c>
      <c r="E73" s="38"/>
      <c r="F73" s="38"/>
      <c r="G73" s="38"/>
      <c r="H73" s="38"/>
      <c r="I73" s="38"/>
    </row>
    <row r="74" spans="1:9" x14ac:dyDescent="0.3">
      <c r="A74" s="38"/>
      <c r="B74" s="38"/>
      <c r="C74" s="38"/>
      <c r="D74" s="37" t="str">
        <f>IF(C74="","",IFERROR(CHOOSE(MATCH(C74,{"New Cortex","TMH","NUH","SBH"},0),"CTXN","TMH","NUH","SBH"),"-"))</f>
        <v/>
      </c>
      <c r="E74" s="38"/>
      <c r="F74" s="38"/>
      <c r="G74" s="38"/>
      <c r="H74" s="38"/>
      <c r="I74" s="38"/>
    </row>
    <row r="75" spans="1:9" x14ac:dyDescent="0.3">
      <c r="A75" s="38"/>
      <c r="B75" s="38"/>
      <c r="C75" s="38"/>
      <c r="D75" s="37" t="str">
        <f>IF(C75="","",IFERROR(CHOOSE(MATCH(C75,{"New Cortex","TMH","NUH","SBH"},0),"CTXN","TMH","NUH","SBH"),"-"))</f>
        <v/>
      </c>
      <c r="E75" s="38"/>
      <c r="F75" s="38"/>
      <c r="G75" s="38"/>
      <c r="H75" s="38"/>
      <c r="I75" s="38"/>
    </row>
    <row r="76" spans="1:9" x14ac:dyDescent="0.3">
      <c r="A76" s="38"/>
      <c r="B76" s="38"/>
      <c r="C76" s="38"/>
      <c r="D76" s="37" t="str">
        <f>IF(C76="","",IFERROR(CHOOSE(MATCH(C76,{"New Cortex","TMH","NUH","SBH"},0),"CTXN","TMH","NUH","SBH"),"-"))</f>
        <v/>
      </c>
      <c r="E76" s="38"/>
      <c r="F76" s="38"/>
      <c r="G76" s="38"/>
      <c r="H76" s="38"/>
      <c r="I76" s="38"/>
    </row>
    <row r="77" spans="1:9" x14ac:dyDescent="0.3">
      <c r="A77" s="38"/>
      <c r="B77" s="38"/>
      <c r="C77" s="38"/>
      <c r="D77" s="37" t="str">
        <f>IF(C77="","",IFERROR(CHOOSE(MATCH(C77,{"New Cortex","TMH","NUH","SBH"},0),"CTXN","TMH","NUH","SBH"),"-"))</f>
        <v/>
      </c>
      <c r="E77" s="38"/>
      <c r="F77" s="38"/>
      <c r="G77" s="38"/>
      <c r="H77" s="38"/>
      <c r="I77" s="38"/>
    </row>
    <row r="78" spans="1:9" x14ac:dyDescent="0.3">
      <c r="A78" s="38"/>
      <c r="B78" s="38"/>
      <c r="C78" s="38"/>
      <c r="D78" s="37" t="str">
        <f>IF(C78="","",IFERROR(CHOOSE(MATCH(C78,{"New Cortex","TMH","NUH","SBH"},0),"CTXN","TMH","NUH","SBH"),"-"))</f>
        <v/>
      </c>
      <c r="E78" s="38"/>
      <c r="F78" s="38"/>
      <c r="G78" s="38"/>
      <c r="H78" s="38"/>
      <c r="I78" s="38"/>
    </row>
    <row r="79" spans="1:9" x14ac:dyDescent="0.3">
      <c r="A79" s="38"/>
      <c r="B79" s="38"/>
      <c r="C79" s="38"/>
      <c r="D79" s="37" t="str">
        <f>IF(C79="","",IFERROR(CHOOSE(MATCH(C79,{"New Cortex","TMH","NUH","SBH"},0),"CTXN","TMH","NUH","SBH"),"-"))</f>
        <v/>
      </c>
      <c r="E79" s="38"/>
      <c r="F79" s="38"/>
      <c r="G79" s="38"/>
      <c r="H79" s="38"/>
      <c r="I79" s="38"/>
    </row>
    <row r="80" spans="1:9" x14ac:dyDescent="0.3">
      <c r="A80" s="38"/>
      <c r="B80" s="38"/>
      <c r="C80" s="38"/>
      <c r="D80" s="37" t="str">
        <f>IF(C80="","",IFERROR(CHOOSE(MATCH(C80,{"New Cortex","TMH","NUH","SBH"},0),"CTXN","TMH","NUH","SBH"),"-"))</f>
        <v/>
      </c>
      <c r="E80" s="38"/>
      <c r="F80" s="38"/>
      <c r="G80" s="38"/>
      <c r="H80" s="38"/>
      <c r="I80" s="38"/>
    </row>
    <row r="81" spans="1:9" x14ac:dyDescent="0.3">
      <c r="A81" s="38"/>
      <c r="B81" s="38"/>
      <c r="C81" s="38"/>
      <c r="D81" s="37" t="str">
        <f>IF(C81="","",IFERROR(CHOOSE(MATCH(C81,{"New Cortex","TMH","NUH","SBH"},0),"CTXN","TMH","NUH","SBH"),"-"))</f>
        <v/>
      </c>
      <c r="E81" s="38"/>
      <c r="F81" s="38"/>
      <c r="G81" s="38"/>
      <c r="H81" s="38"/>
      <c r="I81" s="38"/>
    </row>
    <row r="82" spans="1:9" x14ac:dyDescent="0.3">
      <c r="A82" s="38"/>
      <c r="B82" s="38"/>
      <c r="C82" s="38"/>
      <c r="D82" s="37" t="str">
        <f>IF(C82="","",IFERROR(CHOOSE(MATCH(C82,{"New Cortex","TMH","NUH","SBH"},0),"CTXN","TMH","NUH","SBH"),"-"))</f>
        <v/>
      </c>
      <c r="E82" s="38"/>
      <c r="F82" s="38"/>
      <c r="G82" s="38"/>
      <c r="H82" s="38"/>
      <c r="I82" s="38"/>
    </row>
    <row r="83" spans="1:9" x14ac:dyDescent="0.3">
      <c r="A83" s="38"/>
      <c r="B83" s="38"/>
      <c r="C83" s="38"/>
      <c r="D83" s="37" t="str">
        <f>IF(C83="","",IFERROR(CHOOSE(MATCH(C83,{"New Cortex","TMH","NUH","SBH"},0),"CTXN","TMH","NUH","SBH"),"-"))</f>
        <v/>
      </c>
      <c r="E83" s="38"/>
      <c r="F83" s="38"/>
      <c r="G83" s="38"/>
      <c r="H83" s="38"/>
      <c r="I83" s="38"/>
    </row>
    <row r="84" spans="1:9" x14ac:dyDescent="0.3">
      <c r="A84" s="38"/>
      <c r="B84" s="38"/>
      <c r="C84" s="38"/>
      <c r="D84" s="37" t="str">
        <f>IF(C84="","",IFERROR(CHOOSE(MATCH(C84,{"New Cortex","TMH","NUH","SBH"},0),"CTXN","TMH","NUH","SBH"),"-"))</f>
        <v/>
      </c>
      <c r="E84" s="38"/>
      <c r="F84" s="38"/>
      <c r="G84" s="38"/>
      <c r="H84" s="38"/>
      <c r="I84" s="38"/>
    </row>
    <row r="85" spans="1:9" x14ac:dyDescent="0.3">
      <c r="A85" s="38"/>
      <c r="B85" s="38"/>
      <c r="C85" s="38"/>
      <c r="D85" s="37" t="str">
        <f>IF(C85="","",IFERROR(CHOOSE(MATCH(C85,{"New Cortex","TMH","NUH","SBH"},0),"CTXN","TMH","NUH","SBH"),"-"))</f>
        <v/>
      </c>
      <c r="E85" s="38"/>
      <c r="F85" s="38"/>
      <c r="G85" s="38"/>
      <c r="H85" s="38"/>
      <c r="I85" s="38"/>
    </row>
    <row r="86" spans="1:9" x14ac:dyDescent="0.3">
      <c r="A86" s="38"/>
      <c r="B86" s="38"/>
      <c r="C86" s="38"/>
      <c r="D86" s="37" t="str">
        <f>IF(C86="","",IFERROR(CHOOSE(MATCH(C86,{"New Cortex","TMH","NUH","SBH"},0),"CTXN","TMH","NUH","SBH"),"-"))</f>
        <v/>
      </c>
      <c r="E86" s="38"/>
      <c r="F86" s="38"/>
      <c r="G86" s="38"/>
      <c r="H86" s="38"/>
      <c r="I86" s="38"/>
    </row>
    <row r="87" spans="1:9" x14ac:dyDescent="0.3">
      <c r="A87" s="38"/>
      <c r="B87" s="38"/>
      <c r="C87" s="38"/>
      <c r="D87" s="37" t="str">
        <f>IF(C87="","",IFERROR(CHOOSE(MATCH(C87,{"New Cortex","TMH","NUH","SBH"},0),"CTXN","TMH","NUH","SBH"),"-"))</f>
        <v/>
      </c>
      <c r="E87" s="38"/>
      <c r="F87" s="38"/>
      <c r="G87" s="38"/>
      <c r="H87" s="38"/>
      <c r="I87" s="38"/>
    </row>
    <row r="88" spans="1:9" x14ac:dyDescent="0.3">
      <c r="A88" s="38"/>
      <c r="B88" s="38"/>
      <c r="C88" s="38"/>
      <c r="D88" s="37" t="str">
        <f>IF(C88="","",IFERROR(CHOOSE(MATCH(C88,{"New Cortex","TMH","NUH","SBH"},0),"CTXN","TMH","NUH","SBH"),"-"))</f>
        <v/>
      </c>
      <c r="E88" s="38"/>
      <c r="F88" s="38"/>
      <c r="G88" s="38"/>
      <c r="H88" s="38"/>
      <c r="I88" s="38"/>
    </row>
    <row r="89" spans="1:9" x14ac:dyDescent="0.3">
      <c r="A89" s="38"/>
      <c r="B89" s="38"/>
      <c r="C89" s="38"/>
      <c r="D89" s="37" t="str">
        <f>IF(C89="","",IFERROR(CHOOSE(MATCH(C89,{"New Cortex","TMH","NUH","SBH"},0),"CTXN","TMH","NUH","SBH"),"-"))</f>
        <v/>
      </c>
      <c r="E89" s="38"/>
      <c r="F89" s="38"/>
      <c r="G89" s="38"/>
      <c r="H89" s="38"/>
      <c r="I89" s="38"/>
    </row>
    <row r="90" spans="1:9" x14ac:dyDescent="0.3">
      <c r="A90" s="38"/>
      <c r="B90" s="38"/>
      <c r="C90" s="38"/>
      <c r="D90" s="37" t="str">
        <f>IF(C90="","",IFERROR(CHOOSE(MATCH(C90,{"New Cortex","TMH","NUH","SBH"},0),"CTXN","TMH","NUH","SBH"),"-"))</f>
        <v/>
      </c>
      <c r="E90" s="38"/>
      <c r="F90" s="38"/>
      <c r="G90" s="38"/>
      <c r="H90" s="38"/>
      <c r="I90" s="38"/>
    </row>
    <row r="91" spans="1:9" x14ac:dyDescent="0.3">
      <c r="A91" s="38"/>
      <c r="B91" s="38"/>
      <c r="C91" s="38"/>
      <c r="D91" s="37" t="str">
        <f>IF(C91="","",IFERROR(CHOOSE(MATCH(C91,{"New Cortex","TMH","NUH","SBH"},0),"CTXN","TMH","NUH","SBH"),"-"))</f>
        <v/>
      </c>
      <c r="E91" s="38"/>
      <c r="F91" s="38"/>
      <c r="G91" s="38"/>
      <c r="H91" s="38"/>
      <c r="I91" s="38"/>
    </row>
    <row r="92" spans="1:9" x14ac:dyDescent="0.3">
      <c r="A92" s="38"/>
      <c r="B92" s="38"/>
      <c r="C92" s="38"/>
      <c r="D92" s="37" t="str">
        <f>IF(C92="","",IFERROR(CHOOSE(MATCH(C92,{"New Cortex","TMH","NUH","SBH"},0),"CTXN","TMH","NUH","SBH"),"-"))</f>
        <v/>
      </c>
      <c r="E92" s="38"/>
      <c r="F92" s="38"/>
      <c r="G92" s="38"/>
      <c r="H92" s="38"/>
      <c r="I92" s="38"/>
    </row>
    <row r="93" spans="1:9" x14ac:dyDescent="0.3">
      <c r="A93" s="38"/>
      <c r="B93" s="38"/>
      <c r="C93" s="38"/>
      <c r="D93" s="37" t="str">
        <f>IF(C93="","",IFERROR(CHOOSE(MATCH(C93,{"New Cortex","TMH","NUH","SBH"},0),"CTXN","TMH","NUH","SBH"),"-"))</f>
        <v/>
      </c>
      <c r="E93" s="38"/>
      <c r="F93" s="38"/>
      <c r="G93" s="38"/>
      <c r="H93" s="38"/>
      <c r="I93" s="38"/>
    </row>
    <row r="94" spans="1:9" x14ac:dyDescent="0.3">
      <c r="A94" s="38"/>
      <c r="B94" s="38"/>
      <c r="C94" s="38"/>
      <c r="D94" s="37" t="str">
        <f>IF(C94="","",IFERROR(CHOOSE(MATCH(C94,{"New Cortex","TMH","NUH","SBH"},0),"CTXN","TMH","NUH","SBH"),"-"))</f>
        <v/>
      </c>
      <c r="E94" s="38"/>
      <c r="F94" s="38"/>
      <c r="G94" s="38"/>
      <c r="H94" s="38"/>
      <c r="I94" s="38"/>
    </row>
    <row r="95" spans="1:9" x14ac:dyDescent="0.3">
      <c r="A95" s="38"/>
      <c r="B95" s="38"/>
      <c r="C95" s="38"/>
      <c r="D95" s="37" t="str">
        <f>IF(C95="","",IFERROR(CHOOSE(MATCH(C95,{"New Cortex","TMH","NUH","SBH"},0),"CTXN","TMH","NUH","SBH"),"-"))</f>
        <v/>
      </c>
      <c r="E95" s="38"/>
      <c r="F95" s="38"/>
      <c r="G95" s="38"/>
      <c r="H95" s="38"/>
      <c r="I95" s="38"/>
    </row>
    <row r="96" spans="1:9" x14ac:dyDescent="0.3">
      <c r="A96" s="38"/>
      <c r="B96" s="38"/>
      <c r="C96" s="38"/>
      <c r="D96" s="37" t="str">
        <f>IF(C96="","",IFERROR(CHOOSE(MATCH(C96,{"New Cortex","TMH","NUH","SBH"},0),"CTXN","TMH","NUH","SBH"),"-"))</f>
        <v/>
      </c>
      <c r="E96" s="38"/>
      <c r="F96" s="38"/>
      <c r="G96" s="38"/>
      <c r="H96" s="38"/>
      <c r="I96" s="38"/>
    </row>
    <row r="97" spans="1:9" x14ac:dyDescent="0.3">
      <c r="A97" s="38"/>
      <c r="B97" s="38"/>
      <c r="C97" s="38"/>
      <c r="D97" s="37" t="str">
        <f>IF(C97="","",IFERROR(CHOOSE(MATCH(C97,{"New Cortex","TMH","NUH","SBH"},0),"CTXN","TMH","NUH","SBH"),"-"))</f>
        <v/>
      </c>
      <c r="E97" s="38"/>
      <c r="F97" s="38"/>
      <c r="G97" s="38"/>
      <c r="H97" s="38"/>
      <c r="I97" s="38"/>
    </row>
    <row r="98" spans="1:9" x14ac:dyDescent="0.3">
      <c r="A98" s="38"/>
      <c r="B98" s="38"/>
      <c r="C98" s="38"/>
      <c r="D98" s="37" t="str">
        <f>IF(C98="","",IFERROR(CHOOSE(MATCH(C98,{"New Cortex","TMH","NUH","SBH"},0),"CTXN","TMH","NUH","SBH"),"-"))</f>
        <v/>
      </c>
      <c r="E98" s="38"/>
      <c r="F98" s="38"/>
      <c r="G98" s="38"/>
      <c r="H98" s="38"/>
      <c r="I98" s="38"/>
    </row>
    <row r="99" spans="1:9" x14ac:dyDescent="0.3">
      <c r="A99" s="38"/>
      <c r="B99" s="38"/>
      <c r="C99" s="38"/>
      <c r="D99" s="37" t="str">
        <f>IF(C99="","",IFERROR(CHOOSE(MATCH(C99,{"New Cortex","TMH","NUH","SBH"},0),"CTXN","TMH","NUH","SBH"),"-"))</f>
        <v/>
      </c>
      <c r="E99" s="38"/>
      <c r="F99" s="38"/>
      <c r="G99" s="38"/>
      <c r="H99" s="38"/>
      <c r="I99" s="38"/>
    </row>
    <row r="100" spans="1:9" x14ac:dyDescent="0.3">
      <c r="A100" s="38"/>
      <c r="B100" s="38"/>
      <c r="C100" s="38"/>
      <c r="D100" s="37" t="str">
        <f>IF(C100="","",IFERROR(CHOOSE(MATCH(C100,{"New Cortex","TMH","NUH","SBH"},0),"CTXN","TMH","NUH","SBH"),"-"))</f>
        <v/>
      </c>
      <c r="E100" s="38"/>
      <c r="F100" s="38"/>
      <c r="G100" s="38"/>
      <c r="H100" s="38"/>
      <c r="I100" s="38"/>
    </row>
    <row r="101" spans="1:9" x14ac:dyDescent="0.3">
      <c r="A101" s="38"/>
      <c r="B101" s="38"/>
      <c r="C101" s="38"/>
      <c r="D101" s="37" t="str">
        <f>IF(C101="","",IFERROR(CHOOSE(MATCH(C101,{"New Cortex","TMH","NUH","SBH"},0),"CTXN","TMH","NUH","SBH"),"-"))</f>
        <v/>
      </c>
      <c r="E101" s="38"/>
      <c r="F101" s="38"/>
      <c r="G101" s="38"/>
      <c r="H101" s="38"/>
      <c r="I101" s="38"/>
    </row>
    <row r="102" spans="1:9" x14ac:dyDescent="0.3">
      <c r="A102" s="38"/>
      <c r="B102" s="38"/>
      <c r="C102" s="38"/>
      <c r="D102" s="37" t="str">
        <f>IF(C102="","",IFERROR(CHOOSE(MATCH(C102,{"New Cortex","TMH","NUH","SBH"},0),"CTXN","TMH","NUH","SBH"),"-"))</f>
        <v/>
      </c>
      <c r="E102" s="38"/>
      <c r="F102" s="38"/>
      <c r="G102" s="38"/>
      <c r="H102" s="38"/>
      <c r="I102" s="38"/>
    </row>
    <row r="103" spans="1:9" x14ac:dyDescent="0.3">
      <c r="A103" s="38"/>
      <c r="B103" s="38"/>
      <c r="C103" s="38"/>
      <c r="D103" s="37" t="str">
        <f>IF(C103="","",IFERROR(CHOOSE(MATCH(C103,{"New Cortex","TMH","NUH","SBH"},0),"CTXN","TMH","NUH","SBH"),"-"))</f>
        <v/>
      </c>
      <c r="E103" s="38"/>
      <c r="F103" s="38"/>
      <c r="G103" s="38"/>
      <c r="H103" s="38"/>
      <c r="I103" s="38"/>
    </row>
    <row r="104" spans="1:9" x14ac:dyDescent="0.3">
      <c r="A104" s="38"/>
      <c r="B104" s="38"/>
      <c r="C104" s="38"/>
      <c r="D104" s="37" t="str">
        <f>IF(C104="","",IFERROR(CHOOSE(MATCH(C104,{"New Cortex","TMH","NUH","SBH"},0),"CTXN","TMH","NUH","SBH"),"-"))</f>
        <v/>
      </c>
      <c r="E104" s="38"/>
      <c r="F104" s="38"/>
      <c r="G104" s="38"/>
      <c r="H104" s="38"/>
      <c r="I104" s="38"/>
    </row>
    <row r="105" spans="1:9" x14ac:dyDescent="0.3">
      <c r="A105" s="38"/>
      <c r="B105" s="38"/>
      <c r="C105" s="38"/>
      <c r="D105" s="37" t="str">
        <f>IF(C105="","",IFERROR(CHOOSE(MATCH(C105,{"New Cortex","TMH","NUH","SBH"},0),"CTXN","TMH","NUH","SBH"),"-"))</f>
        <v/>
      </c>
      <c r="E105" s="38"/>
      <c r="F105" s="38"/>
      <c r="G105" s="38"/>
      <c r="H105" s="38"/>
      <c r="I105" s="38"/>
    </row>
    <row r="106" spans="1:9" x14ac:dyDescent="0.3">
      <c r="A106" s="38"/>
      <c r="B106" s="38"/>
      <c r="C106" s="38"/>
      <c r="D106" s="37" t="str">
        <f>IF(C106="","",IFERROR(CHOOSE(MATCH(C106,{"New Cortex","TMH","NUH","SBH"},0),"CTXN","TMH","NUH","SBH"),"-"))</f>
        <v/>
      </c>
      <c r="E106" s="38"/>
      <c r="F106" s="38"/>
      <c r="G106" s="38"/>
      <c r="H106" s="38"/>
      <c r="I106" s="38"/>
    </row>
    <row r="107" spans="1:9" x14ac:dyDescent="0.3">
      <c r="A107" s="38"/>
      <c r="B107" s="38"/>
      <c r="C107" s="38"/>
      <c r="D107" s="37" t="str">
        <f>IF(C107="","",IFERROR(CHOOSE(MATCH(C107,{"New Cortex","TMH","NUH","SBH"},0),"CTXN","TMH","NUH","SBH"),"-"))</f>
        <v/>
      </c>
      <c r="E107" s="38"/>
      <c r="F107" s="38"/>
      <c r="G107" s="38"/>
      <c r="H107" s="38"/>
      <c r="I107" s="38"/>
    </row>
    <row r="108" spans="1:9" x14ac:dyDescent="0.3">
      <c r="A108" s="38"/>
      <c r="B108" s="38"/>
      <c r="C108" s="38"/>
      <c r="D108" s="37" t="str">
        <f>IF(C108="","",IFERROR(CHOOSE(MATCH(C108,{"New Cortex","TMH","NUH","SBH"},0),"CTXN","TMH","NUH","SBH"),"-"))</f>
        <v/>
      </c>
      <c r="E108" s="38"/>
      <c r="F108" s="38"/>
      <c r="G108" s="38"/>
      <c r="H108" s="38"/>
      <c r="I108" s="38"/>
    </row>
    <row r="109" spans="1:9" x14ac:dyDescent="0.3">
      <c r="A109" s="38"/>
      <c r="B109" s="38"/>
      <c r="C109" s="38"/>
      <c r="D109" s="37" t="str">
        <f>IF(C109="","",IFERROR(CHOOSE(MATCH(C109,{"New Cortex","TMH","NUH","SBH"},0),"CTXN","TMH","NUH","SBH"),"-"))</f>
        <v/>
      </c>
      <c r="E109" s="38"/>
      <c r="F109" s="38"/>
      <c r="G109" s="38"/>
      <c r="H109" s="38"/>
      <c r="I109" s="38"/>
    </row>
    <row r="110" spans="1:9" x14ac:dyDescent="0.3">
      <c r="A110" s="38"/>
      <c r="B110" s="38"/>
      <c r="C110" s="38"/>
      <c r="D110" s="37" t="str">
        <f>IF(C110="","",IFERROR(CHOOSE(MATCH(C110,{"New Cortex","TMH","NUH","SBH"},0),"CTXN","TMH","NUH","SBH"),"-"))</f>
        <v/>
      </c>
      <c r="E110" s="38"/>
      <c r="F110" s="38"/>
      <c r="G110" s="38"/>
      <c r="H110" s="38"/>
      <c r="I110" s="38"/>
    </row>
    <row r="111" spans="1:9" x14ac:dyDescent="0.3">
      <c r="A111" s="38"/>
      <c r="B111" s="38"/>
      <c r="C111" s="38"/>
      <c r="D111" s="37" t="str">
        <f>IF(C111="","",IFERROR(CHOOSE(MATCH(C111,{"New Cortex","TMH","NUH","SBH"},0),"CTXN","TMH","NUH","SBH"),"-"))</f>
        <v/>
      </c>
      <c r="E111" s="38"/>
      <c r="F111" s="38"/>
      <c r="G111" s="38"/>
      <c r="H111" s="38"/>
      <c r="I111" s="38"/>
    </row>
    <row r="112" spans="1:9" x14ac:dyDescent="0.3">
      <c r="A112" s="38"/>
      <c r="B112" s="38"/>
      <c r="C112" s="38"/>
      <c r="D112" s="37" t="str">
        <f>IF(C112="","",IFERROR(CHOOSE(MATCH(C112,{"New Cortex","TMH","NUH","SBH"},0),"CTXN","TMH","NUH","SBH"),"-"))</f>
        <v/>
      </c>
      <c r="E112" s="38"/>
      <c r="F112" s="38"/>
      <c r="G112" s="38"/>
      <c r="H112" s="38"/>
      <c r="I112" s="38"/>
    </row>
    <row r="113" spans="1:9" x14ac:dyDescent="0.3">
      <c r="A113" s="38"/>
      <c r="B113" s="38"/>
      <c r="C113" s="38"/>
      <c r="D113" s="37" t="str">
        <f>IF(C113="","",IFERROR(CHOOSE(MATCH(C113,{"New Cortex","TMH","NUH","SBH"},0),"CTXN","TMH","NUH","SBH"),"-"))</f>
        <v/>
      </c>
      <c r="E113" s="38"/>
      <c r="F113" s="38"/>
      <c r="G113" s="38"/>
      <c r="H113" s="38"/>
      <c r="I113" s="38"/>
    </row>
    <row r="114" spans="1:9" x14ac:dyDescent="0.3">
      <c r="A114" s="38"/>
      <c r="B114" s="38"/>
      <c r="C114" s="38"/>
      <c r="D114" s="37" t="str">
        <f>IF(C114="","",IFERROR(CHOOSE(MATCH(C114,{"New Cortex","TMH","NUH","SBH"},0),"CTXN","TMH","NUH","SBH"),"-"))</f>
        <v/>
      </c>
      <c r="E114" s="38"/>
      <c r="F114" s="38"/>
      <c r="G114" s="38"/>
      <c r="H114" s="38"/>
      <c r="I114" s="38"/>
    </row>
    <row r="115" spans="1:9" x14ac:dyDescent="0.3">
      <c r="A115" s="38"/>
      <c r="B115" s="38"/>
      <c r="C115" s="38"/>
      <c r="D115" s="37" t="str">
        <f>IF(C115="","",IFERROR(CHOOSE(MATCH(C115,{"New Cortex","TMH","NUH","SBH"},0),"CTXN","TMH","NUH","SBH"),"-"))</f>
        <v/>
      </c>
      <c r="E115" s="38"/>
      <c r="F115" s="38"/>
      <c r="G115" s="38"/>
      <c r="H115" s="38"/>
      <c r="I115" s="38"/>
    </row>
    <row r="116" spans="1:9" x14ac:dyDescent="0.3">
      <c r="A116" s="38"/>
      <c r="B116" s="38"/>
      <c r="C116" s="38"/>
      <c r="D116" s="37" t="str">
        <f>IF(C116="","",IFERROR(CHOOSE(MATCH(C116,{"New Cortex","TMH","NUH","SBH"},0),"CTXN","TMH","NUH","SBH"),"-"))</f>
        <v/>
      </c>
      <c r="E116" s="38"/>
      <c r="F116" s="38"/>
      <c r="G116" s="38"/>
      <c r="H116" s="38"/>
      <c r="I116" s="38"/>
    </row>
    <row r="117" spans="1:9" x14ac:dyDescent="0.3">
      <c r="A117" s="38"/>
      <c r="B117" s="38"/>
      <c r="C117" s="38"/>
      <c r="D117" s="37" t="str">
        <f>IF(C117="","",IFERROR(CHOOSE(MATCH(C117,{"New Cortex","TMH","NUH","SBH"},0),"CTXN","TMH","NUH","SBH"),"-"))</f>
        <v/>
      </c>
      <c r="E117" s="38"/>
      <c r="F117" s="38"/>
      <c r="G117" s="38"/>
      <c r="H117" s="38"/>
      <c r="I117" s="38"/>
    </row>
    <row r="118" spans="1:9" x14ac:dyDescent="0.3">
      <c r="A118" s="38"/>
      <c r="B118" s="38"/>
      <c r="C118" s="38"/>
      <c r="D118" s="37" t="str">
        <f>IF(C118="","",IFERROR(CHOOSE(MATCH(C118,{"New Cortex","TMH","NUH","SBH"},0),"CTXN","TMH","NUH","SBH"),"-"))</f>
        <v/>
      </c>
      <c r="E118" s="38"/>
      <c r="F118" s="38"/>
      <c r="G118" s="38"/>
      <c r="H118" s="38"/>
      <c r="I118" s="38"/>
    </row>
    <row r="119" spans="1:9" x14ac:dyDescent="0.3">
      <c r="A119" s="38"/>
      <c r="B119" s="38"/>
      <c r="C119" s="38"/>
      <c r="D119" s="37" t="str">
        <f>IF(C119="","",IFERROR(CHOOSE(MATCH(C119,{"New Cortex","TMH","NUH","SBH"},0),"CTXN","TMH","NUH","SBH"),"-"))</f>
        <v/>
      </c>
      <c r="E119" s="38"/>
      <c r="F119" s="38"/>
      <c r="G119" s="38"/>
      <c r="H119" s="38"/>
      <c r="I119" s="38"/>
    </row>
    <row r="120" spans="1:9" x14ac:dyDescent="0.3">
      <c r="A120" s="38"/>
      <c r="B120" s="38"/>
      <c r="C120" s="38"/>
      <c r="D120" s="37" t="str">
        <f>IF(C120="","",IFERROR(CHOOSE(MATCH(C120,{"New Cortex","TMH","NUH","SBH"},0),"CTXN","TMH","NUH","SBH"),"-"))</f>
        <v/>
      </c>
      <c r="E120" s="38"/>
      <c r="F120" s="38"/>
      <c r="G120" s="38"/>
      <c r="H120" s="38"/>
      <c r="I120" s="38"/>
    </row>
    <row r="121" spans="1:9" x14ac:dyDescent="0.3">
      <c r="A121" s="38"/>
      <c r="B121" s="38"/>
      <c r="C121" s="38"/>
      <c r="D121" s="37" t="str">
        <f>IF(C121="","",IFERROR(CHOOSE(MATCH(C121,{"New Cortex","TMH","NUH","SBH"},0),"CTXN","TMH","NUH","SBH"),"-"))</f>
        <v/>
      </c>
      <c r="E121" s="38"/>
      <c r="F121" s="38"/>
      <c r="G121" s="38"/>
      <c r="H121" s="38"/>
      <c r="I121" s="38"/>
    </row>
    <row r="122" spans="1:9" x14ac:dyDescent="0.3">
      <c r="A122" s="38"/>
      <c r="B122" s="38"/>
      <c r="C122" s="38"/>
      <c r="D122" s="37" t="str">
        <f>IF(C122="","",IFERROR(CHOOSE(MATCH(C122,{"New Cortex","TMH","NUH","SBH"},0),"CTXN","TMH","NUH","SBH"),"-"))</f>
        <v/>
      </c>
      <c r="E122" s="38"/>
      <c r="F122" s="38"/>
      <c r="G122" s="38"/>
      <c r="H122" s="38"/>
      <c r="I122" s="38"/>
    </row>
    <row r="123" spans="1:9" x14ac:dyDescent="0.3">
      <c r="A123" s="38"/>
      <c r="B123" s="38"/>
      <c r="C123" s="38"/>
      <c r="D123" s="37" t="str">
        <f>IF(C123="","",IFERROR(CHOOSE(MATCH(C123,{"New Cortex","TMH","NUH","SBH"},0),"CTXN","TMH","NUH","SBH"),"-"))</f>
        <v/>
      </c>
      <c r="E123" s="38"/>
      <c r="F123" s="38"/>
      <c r="G123" s="38"/>
      <c r="H123" s="38"/>
      <c r="I123" s="38"/>
    </row>
    <row r="124" spans="1:9" x14ac:dyDescent="0.3">
      <c r="A124" s="38"/>
      <c r="B124" s="38"/>
      <c r="C124" s="38"/>
      <c r="D124" s="37" t="str">
        <f>IF(C124="","",IFERROR(CHOOSE(MATCH(C124,{"New Cortex","TMH","NUH","SBH"},0),"CTXN","TMH","NUH","SBH"),"-"))</f>
        <v/>
      </c>
      <c r="E124" s="38"/>
      <c r="F124" s="38"/>
      <c r="G124" s="38"/>
      <c r="H124" s="38"/>
      <c r="I124" s="38"/>
    </row>
    <row r="125" spans="1:9" x14ac:dyDescent="0.3">
      <c r="A125" s="38"/>
      <c r="B125" s="38"/>
      <c r="C125" s="38"/>
      <c r="D125" s="37" t="str">
        <f>IF(C125="","",IFERROR(CHOOSE(MATCH(C125,{"New Cortex","TMH","NUH","SBH"},0),"CTXN","TMH","NUH","SBH"),"-"))</f>
        <v/>
      </c>
      <c r="E125" s="38"/>
      <c r="F125" s="38"/>
      <c r="G125" s="38"/>
      <c r="H125" s="38"/>
      <c r="I125" s="38"/>
    </row>
    <row r="126" spans="1:9" x14ac:dyDescent="0.3">
      <c r="A126" s="38"/>
      <c r="B126" s="38"/>
      <c r="C126" s="38"/>
      <c r="D126" s="37" t="str">
        <f>IF(C126="","",IFERROR(CHOOSE(MATCH(C126,{"New Cortex","TMH","NUH","SBH"},0),"CTXN","TMH","NUH","SBH"),"-"))</f>
        <v/>
      </c>
      <c r="E126" s="38"/>
      <c r="F126" s="38"/>
      <c r="G126" s="38"/>
      <c r="H126" s="38"/>
      <c r="I126" s="38"/>
    </row>
    <row r="127" spans="1:9" x14ac:dyDescent="0.3">
      <c r="A127" s="38"/>
      <c r="B127" s="38"/>
      <c r="C127" s="38"/>
      <c r="D127" s="37" t="str">
        <f>IF(C127="","",IFERROR(CHOOSE(MATCH(C127,{"New Cortex","TMH","NUH","SBH"},0),"CTXN","TMH","NUH","SBH"),"-"))</f>
        <v/>
      </c>
      <c r="E127" s="38"/>
      <c r="F127" s="38"/>
      <c r="G127" s="38"/>
      <c r="H127" s="38"/>
      <c r="I127" s="38"/>
    </row>
    <row r="128" spans="1:9" x14ac:dyDescent="0.3">
      <c r="A128" s="38"/>
      <c r="B128" s="38"/>
      <c r="C128" s="38"/>
      <c r="D128" s="37" t="str">
        <f>IF(C128="","",IFERROR(CHOOSE(MATCH(C128,{"New Cortex","TMH","NUH","SBH"},0),"CTXN","TMH","NUH","SBH"),"-"))</f>
        <v/>
      </c>
      <c r="E128" s="38"/>
      <c r="F128" s="38"/>
      <c r="G128" s="38"/>
      <c r="H128" s="38"/>
      <c r="I128" s="38"/>
    </row>
    <row r="129" spans="1:9" x14ac:dyDescent="0.3">
      <c r="A129" s="38"/>
      <c r="B129" s="38"/>
      <c r="C129" s="38"/>
      <c r="D129" s="37" t="str">
        <f>IF(C129="","",IFERROR(CHOOSE(MATCH(C129,{"New Cortex","TMH","NUH","SBH"},0),"CTXN","TMH","NUH","SBH"),"-"))</f>
        <v/>
      </c>
      <c r="E129" s="38"/>
      <c r="F129" s="38"/>
      <c r="G129" s="38"/>
      <c r="H129" s="38"/>
      <c r="I129" s="38"/>
    </row>
    <row r="130" spans="1:9" x14ac:dyDescent="0.3">
      <c r="A130" s="38"/>
      <c r="B130" s="38"/>
      <c r="C130" s="38"/>
      <c r="D130" s="37" t="str">
        <f>IF(C130="","",IFERROR(CHOOSE(MATCH(C130,{"New Cortex","TMH","NUH","SBH"},0),"CTXN","TMH","NUH","SBH"),"-"))</f>
        <v/>
      </c>
      <c r="E130" s="38"/>
      <c r="F130" s="38"/>
      <c r="G130" s="38"/>
      <c r="H130" s="38"/>
      <c r="I130" s="38"/>
    </row>
    <row r="131" spans="1:9" x14ac:dyDescent="0.3">
      <c r="A131" s="38"/>
      <c r="B131" s="38"/>
      <c r="C131" s="38"/>
      <c r="D131" s="37" t="str">
        <f>IF(C131="","",IFERROR(CHOOSE(MATCH(C131,{"New Cortex","TMH","NUH","SBH"},0),"CTXN","TMH","NUH","SBH"),"-"))</f>
        <v/>
      </c>
      <c r="E131" s="38"/>
      <c r="F131" s="38"/>
      <c r="G131" s="38"/>
      <c r="H131" s="38"/>
      <c r="I131" s="38"/>
    </row>
    <row r="132" spans="1:9" x14ac:dyDescent="0.3">
      <c r="A132" s="38"/>
      <c r="B132" s="38"/>
      <c r="C132" s="38"/>
      <c r="D132" s="37" t="str">
        <f>IF(C132="","",IFERROR(CHOOSE(MATCH(C132,{"New Cortex","TMH","NUH","SBH"},0),"CTXN","TMH","NUH","SBH"),"-"))</f>
        <v/>
      </c>
      <c r="E132" s="38"/>
      <c r="F132" s="38"/>
      <c r="G132" s="38"/>
      <c r="H132" s="38"/>
      <c r="I132" s="38"/>
    </row>
    <row r="133" spans="1:9" x14ac:dyDescent="0.3">
      <c r="A133" s="38"/>
      <c r="B133" s="38"/>
      <c r="C133" s="38"/>
      <c r="D133" s="37" t="str">
        <f>IF(C133="","",IFERROR(CHOOSE(MATCH(C133,{"New Cortex","TMH","NUH","SBH"},0),"CTXN","TMH","NUH","SBH"),"-"))</f>
        <v/>
      </c>
      <c r="E133" s="38"/>
      <c r="F133" s="38"/>
      <c r="G133" s="38"/>
      <c r="H133" s="38"/>
      <c r="I133" s="38"/>
    </row>
    <row r="134" spans="1:9" x14ac:dyDescent="0.3">
      <c r="A134" s="38"/>
      <c r="B134" s="38"/>
      <c r="C134" s="38"/>
      <c r="D134" s="37" t="str">
        <f>IF(C134="","",IFERROR(CHOOSE(MATCH(C134,{"New Cortex","TMH","NUH","SBH"},0),"CTXN","TMH","NUH","SBH"),"-"))</f>
        <v/>
      </c>
      <c r="E134" s="38"/>
      <c r="F134" s="38"/>
      <c r="G134" s="38"/>
      <c r="H134" s="38"/>
      <c r="I134" s="38"/>
    </row>
    <row r="135" spans="1:9" x14ac:dyDescent="0.3">
      <c r="A135" s="38"/>
      <c r="B135" s="38"/>
      <c r="C135" s="38"/>
      <c r="D135" s="37" t="str">
        <f>IF(C135="","",IFERROR(CHOOSE(MATCH(C135,{"New Cortex","TMH","NUH","SBH"},0),"CTXN","TMH","NUH","SBH"),"-"))</f>
        <v/>
      </c>
      <c r="E135" s="38"/>
      <c r="F135" s="38"/>
      <c r="G135" s="38"/>
      <c r="H135" s="38"/>
      <c r="I135" s="38"/>
    </row>
    <row r="136" spans="1:9" x14ac:dyDescent="0.3">
      <c r="A136" s="38"/>
      <c r="B136" s="38"/>
      <c r="C136" s="38"/>
      <c r="D136" s="37" t="str">
        <f>IF(C136="","",IFERROR(CHOOSE(MATCH(C136,{"New Cortex","TMH","NUH","SBH"},0),"CTXN","TMH","NUH","SBH"),"-"))</f>
        <v/>
      </c>
      <c r="E136" s="38"/>
      <c r="F136" s="38"/>
      <c r="G136" s="38"/>
      <c r="H136" s="38"/>
      <c r="I136" s="38"/>
    </row>
    <row r="137" spans="1:9" x14ac:dyDescent="0.3">
      <c r="A137" s="38"/>
      <c r="B137" s="38"/>
      <c r="C137" s="38"/>
      <c r="D137" s="37" t="str">
        <f>IF(C137="","",IFERROR(CHOOSE(MATCH(C137,{"New Cortex","TMH","NUH","SBH"},0),"CTXN","TMH","NUH","SBH"),"-"))</f>
        <v/>
      </c>
      <c r="E137" s="38"/>
      <c r="F137" s="38"/>
      <c r="G137" s="38"/>
      <c r="H137" s="38"/>
      <c r="I137" s="38"/>
    </row>
    <row r="138" spans="1:9" x14ac:dyDescent="0.3">
      <c r="A138" s="38"/>
      <c r="B138" s="38"/>
      <c r="C138" s="38"/>
      <c r="D138" s="37" t="str">
        <f>IF(C138="","",IFERROR(CHOOSE(MATCH(C138,{"New Cortex","TMH","NUH","SBH"},0),"CTXN","TMH","NUH","SBH"),"-"))</f>
        <v/>
      </c>
      <c r="E138" s="38"/>
      <c r="F138" s="38"/>
      <c r="G138" s="38"/>
      <c r="H138" s="38"/>
      <c r="I138" s="38"/>
    </row>
    <row r="139" spans="1:9" x14ac:dyDescent="0.3">
      <c r="A139" s="38"/>
      <c r="B139" s="38"/>
      <c r="C139" s="38"/>
      <c r="D139" s="37" t="str">
        <f>IF(C139="","",IFERROR(CHOOSE(MATCH(C139,{"New Cortex","TMH","NUH","SBH"},0),"CTXN","TMH","NUH","SBH"),"-"))</f>
        <v/>
      </c>
      <c r="E139" s="38"/>
      <c r="F139" s="38"/>
      <c r="G139" s="38"/>
      <c r="H139" s="38"/>
      <c r="I139" s="38"/>
    </row>
    <row r="140" spans="1:9" x14ac:dyDescent="0.3">
      <c r="A140" s="38"/>
      <c r="B140" s="38"/>
      <c r="C140" s="38"/>
      <c r="D140" s="37" t="str">
        <f>IF(C140="","",IFERROR(CHOOSE(MATCH(C140,{"New Cortex","TMH","NUH","SBH"},0),"CTXN","TMH","NUH","SBH"),"-"))</f>
        <v/>
      </c>
      <c r="E140" s="38"/>
      <c r="F140" s="38"/>
      <c r="G140" s="38"/>
      <c r="H140" s="38"/>
      <c r="I140" s="38"/>
    </row>
    <row r="141" spans="1:9" x14ac:dyDescent="0.3">
      <c r="A141" s="38"/>
      <c r="B141" s="38"/>
      <c r="C141" s="38"/>
      <c r="D141" s="37" t="str">
        <f>IF(C141="","",IFERROR(CHOOSE(MATCH(C141,{"New Cortex","TMH","NUH","SBH"},0),"CTXN","TMH","NUH","SBH"),"-"))</f>
        <v/>
      </c>
      <c r="E141" s="38"/>
      <c r="F141" s="38"/>
      <c r="G141" s="38"/>
      <c r="H141" s="38"/>
      <c r="I141" s="38"/>
    </row>
    <row r="142" spans="1:9" x14ac:dyDescent="0.3">
      <c r="A142" s="38"/>
      <c r="B142" s="38"/>
      <c r="C142" s="38"/>
      <c r="D142" s="37" t="str">
        <f>IF(C142="","",IFERROR(CHOOSE(MATCH(C142,{"New Cortex","TMH","NUH","SBH"},0),"CTXN","TMH","NUH","SBH"),"-"))</f>
        <v/>
      </c>
      <c r="E142" s="38"/>
      <c r="F142" s="38"/>
      <c r="G142" s="38"/>
      <c r="H142" s="38"/>
      <c r="I142" s="38"/>
    </row>
    <row r="143" spans="1:9" x14ac:dyDescent="0.3">
      <c r="A143" s="38"/>
      <c r="B143" s="38"/>
      <c r="C143" s="38"/>
      <c r="D143" s="37" t="str">
        <f>IF(C143="","",IFERROR(CHOOSE(MATCH(C143,{"New Cortex","TMH","NUH","SBH"},0),"CTXN","TMH","NUH","SBH"),"-"))</f>
        <v/>
      </c>
      <c r="E143" s="38"/>
      <c r="F143" s="38"/>
      <c r="G143" s="38"/>
      <c r="H143" s="38"/>
      <c r="I143" s="38"/>
    </row>
    <row r="144" spans="1:9" x14ac:dyDescent="0.3">
      <c r="A144" s="38"/>
      <c r="B144" s="38"/>
      <c r="C144" s="38"/>
      <c r="D144" s="37" t="str">
        <f>IF(C144="","",IFERROR(CHOOSE(MATCH(C144,{"New Cortex","TMH","NUH","SBH"},0),"CTXN","TMH","NUH","SBH"),"-"))</f>
        <v/>
      </c>
      <c r="E144" s="38"/>
      <c r="F144" s="38"/>
      <c r="G144" s="38"/>
      <c r="H144" s="38"/>
      <c r="I144" s="38"/>
    </row>
    <row r="145" spans="1:9" x14ac:dyDescent="0.3">
      <c r="A145" s="38"/>
      <c r="B145" s="38"/>
      <c r="C145" s="38"/>
      <c r="D145" s="37" t="str">
        <f>IF(C145="","",IFERROR(CHOOSE(MATCH(C145,{"New Cortex","TMH","NUH","SBH"},0),"CTXN","TMH","NUH","SBH"),"-"))</f>
        <v/>
      </c>
      <c r="E145" s="38"/>
      <c r="F145" s="38"/>
      <c r="G145" s="38"/>
      <c r="H145" s="38"/>
      <c r="I145" s="38"/>
    </row>
    <row r="146" spans="1:9" x14ac:dyDescent="0.3">
      <c r="A146" s="38"/>
      <c r="B146" s="38"/>
      <c r="C146" s="38"/>
      <c r="D146" s="37" t="str">
        <f>IF(C146="","",IFERROR(CHOOSE(MATCH(C146,{"New Cortex","TMH","NUH","SBH"},0),"CTXN","TMH","NUH","SBH"),"-"))</f>
        <v/>
      </c>
      <c r="E146" s="38"/>
      <c r="F146" s="38"/>
      <c r="G146" s="38"/>
      <c r="H146" s="38"/>
      <c r="I146" s="38"/>
    </row>
    <row r="147" spans="1:9" x14ac:dyDescent="0.3">
      <c r="A147" s="38"/>
      <c r="B147" s="38"/>
      <c r="C147" s="38"/>
      <c r="D147" s="37" t="str">
        <f>IF(C147="","",IFERROR(CHOOSE(MATCH(C147,{"New Cortex","TMH","NUH","SBH"},0),"CTXN","TMH","NUH","SBH"),"-"))</f>
        <v/>
      </c>
      <c r="E147" s="38"/>
      <c r="F147" s="38"/>
      <c r="G147" s="38"/>
      <c r="H147" s="38"/>
      <c r="I147" s="38"/>
    </row>
    <row r="148" spans="1:9" x14ac:dyDescent="0.3">
      <c r="A148" s="38"/>
      <c r="B148" s="38"/>
      <c r="C148" s="38"/>
      <c r="D148" s="37" t="str">
        <f>IF(C148="","",IFERROR(CHOOSE(MATCH(C148,{"New Cortex","TMH","NUH","SBH"},0),"CTXN","TMH","NUH","SBH"),"-"))</f>
        <v/>
      </c>
      <c r="E148" s="38"/>
      <c r="F148" s="38"/>
      <c r="G148" s="38"/>
      <c r="H148" s="38"/>
      <c r="I148" s="38"/>
    </row>
    <row r="149" spans="1:9" x14ac:dyDescent="0.3">
      <c r="A149" s="38"/>
      <c r="B149" s="38"/>
      <c r="C149" s="38"/>
      <c r="D149" s="37" t="str">
        <f>IF(C149="","",IFERROR(CHOOSE(MATCH(C149,{"New Cortex","TMH","NUH","SBH"},0),"CTXN","TMH","NUH","SBH"),"-"))</f>
        <v/>
      </c>
      <c r="E149" s="38"/>
      <c r="F149" s="38"/>
      <c r="G149" s="38"/>
      <c r="H149" s="38"/>
      <c r="I149" s="38"/>
    </row>
    <row r="150" spans="1:9" x14ac:dyDescent="0.3">
      <c r="A150" s="38"/>
      <c r="B150" s="38"/>
      <c r="C150" s="38"/>
      <c r="D150" s="37" t="str">
        <f>IF(C150="","",IFERROR(CHOOSE(MATCH(C150,{"New Cortex","TMH","NUH","SBH"},0),"CTXN","TMH","NUH","SBH"),"-"))</f>
        <v/>
      </c>
      <c r="E150" s="38"/>
      <c r="F150" s="38"/>
      <c r="G150" s="38"/>
      <c r="H150" s="38"/>
      <c r="I150" s="38"/>
    </row>
    <row r="151" spans="1:9" x14ac:dyDescent="0.3">
      <c r="A151" s="38"/>
      <c r="B151" s="38"/>
      <c r="C151" s="38"/>
      <c r="D151" s="37" t="str">
        <f>IF(C151="","",IFERROR(CHOOSE(MATCH(C151,{"New Cortex","TMH","NUH","SBH"},0),"CTXN","TMH","NUH","SBH"),"-"))</f>
        <v/>
      </c>
      <c r="E151" s="38"/>
      <c r="F151" s="38"/>
      <c r="G151" s="38"/>
      <c r="H151" s="38"/>
      <c r="I151" s="38"/>
    </row>
    <row r="152" spans="1:9" x14ac:dyDescent="0.3">
      <c r="A152" s="38"/>
      <c r="B152" s="38"/>
      <c r="C152" s="38"/>
      <c r="D152" s="37" t="str">
        <f>IF(C152="","",IFERROR(CHOOSE(MATCH(C152,{"New Cortex","TMH","NUH","SBH"},0),"CTXN","TMH","NUH","SBH"),"-"))</f>
        <v/>
      </c>
      <c r="E152" s="38"/>
      <c r="F152" s="38"/>
      <c r="G152" s="38"/>
      <c r="H152" s="38"/>
      <c r="I152" s="38"/>
    </row>
    <row r="153" spans="1:9" x14ac:dyDescent="0.3">
      <c r="A153" s="38"/>
      <c r="B153" s="38"/>
      <c r="C153" s="38"/>
      <c r="D153" s="37" t="str">
        <f>IF(C153="","",IFERROR(CHOOSE(MATCH(C153,{"New Cortex","TMH","NUH","SBH"},0),"CTXN","TMH","NUH","SBH"),"-"))</f>
        <v/>
      </c>
      <c r="E153" s="38"/>
      <c r="F153" s="38"/>
      <c r="G153" s="38"/>
      <c r="H153" s="38"/>
      <c r="I153" s="38"/>
    </row>
    <row r="154" spans="1:9" x14ac:dyDescent="0.3">
      <c r="A154" s="38"/>
      <c r="B154" s="38"/>
      <c r="C154" s="38"/>
      <c r="D154" s="37" t="str">
        <f>IF(C154="","",IFERROR(CHOOSE(MATCH(C154,{"New Cortex","TMH","NUH","SBH"},0),"CTXN","TMH","NUH","SBH"),"-"))</f>
        <v/>
      </c>
      <c r="E154" s="38"/>
      <c r="F154" s="38"/>
      <c r="G154" s="38"/>
      <c r="H154" s="38"/>
      <c r="I154" s="38"/>
    </row>
    <row r="155" spans="1:9" x14ac:dyDescent="0.3">
      <c r="A155" s="38"/>
      <c r="B155" s="38"/>
      <c r="C155" s="38"/>
      <c r="D155" s="37" t="str">
        <f>IF(C155="","",IFERROR(CHOOSE(MATCH(C155,{"New Cortex","TMH","NUH","SBH"},0),"CTXN","TMH","NUH","SBH"),"-"))</f>
        <v/>
      </c>
      <c r="E155" s="38"/>
      <c r="F155" s="38"/>
      <c r="G155" s="38"/>
      <c r="H155" s="38"/>
      <c r="I155" s="38"/>
    </row>
    <row r="156" spans="1:9" x14ac:dyDescent="0.3">
      <c r="A156" s="38"/>
      <c r="B156" s="38"/>
      <c r="C156" s="38"/>
      <c r="D156" s="37" t="str">
        <f>IF(C156="","",IFERROR(CHOOSE(MATCH(C156,{"New Cortex","TMH","NUH","SBH"},0),"CTXN","TMH","NUH","SBH"),"-"))</f>
        <v/>
      </c>
      <c r="E156" s="38"/>
      <c r="F156" s="38"/>
      <c r="G156" s="38"/>
      <c r="H156" s="38"/>
      <c r="I156" s="38"/>
    </row>
    <row r="157" spans="1:9" x14ac:dyDescent="0.3">
      <c r="A157" s="38"/>
      <c r="B157" s="38"/>
      <c r="C157" s="38"/>
      <c r="D157" s="37" t="str">
        <f>IF(C157="","",IFERROR(CHOOSE(MATCH(C157,{"New Cortex","TMH","NUH","SBH"},0),"CTXN","TMH","NUH","SBH"),"-"))</f>
        <v/>
      </c>
      <c r="E157" s="38"/>
      <c r="F157" s="38"/>
      <c r="G157" s="38"/>
      <c r="H157" s="38"/>
      <c r="I157" s="38"/>
    </row>
    <row r="158" spans="1:9" x14ac:dyDescent="0.3">
      <c r="A158" s="38"/>
      <c r="B158" s="38"/>
      <c r="C158" s="38"/>
      <c r="D158" s="37" t="str">
        <f>IF(C158="","",IFERROR(CHOOSE(MATCH(C158,{"New Cortex","TMH","NUH","SBH"},0),"CTXN","TMH","NUH","SBH"),"-"))</f>
        <v/>
      </c>
      <c r="E158" s="38"/>
      <c r="F158" s="38"/>
      <c r="G158" s="38"/>
      <c r="H158" s="38"/>
      <c r="I158" s="38"/>
    </row>
    <row r="159" spans="1:9" x14ac:dyDescent="0.3">
      <c r="A159" s="38"/>
      <c r="B159" s="38"/>
      <c r="C159" s="38"/>
      <c r="D159" s="37" t="str">
        <f>IF(C159="","",IFERROR(CHOOSE(MATCH(C159,{"New Cortex","TMH","NUH","SBH"},0),"CTXN","TMH","NUH","SBH"),"-"))</f>
        <v/>
      </c>
      <c r="E159" s="38"/>
      <c r="F159" s="38"/>
      <c r="G159" s="38"/>
      <c r="H159" s="38"/>
      <c r="I159" s="38"/>
    </row>
    <row r="160" spans="1:9" x14ac:dyDescent="0.3">
      <c r="A160" s="38"/>
      <c r="B160" s="38"/>
      <c r="C160" s="38"/>
      <c r="D160" s="37" t="str">
        <f>IF(C160="","",IFERROR(CHOOSE(MATCH(C160,{"New Cortex","TMH","NUH","SBH"},0),"CTXN","TMH","NUH","SBH"),"-"))</f>
        <v/>
      </c>
      <c r="E160" s="38"/>
      <c r="F160" s="38"/>
      <c r="G160" s="38"/>
      <c r="H160" s="38"/>
      <c r="I160" s="38"/>
    </row>
    <row r="161" spans="1:9" x14ac:dyDescent="0.3">
      <c r="A161" s="38"/>
      <c r="B161" s="38"/>
      <c r="C161" s="38"/>
      <c r="D161" s="37" t="str">
        <f>IF(C161="","",IFERROR(CHOOSE(MATCH(C161,{"New Cortex","TMH","NUH","SBH"},0),"CTXN","TMH","NUH","SBH"),"-"))</f>
        <v/>
      </c>
      <c r="E161" s="38"/>
      <c r="F161" s="38"/>
      <c r="G161" s="38"/>
      <c r="H161" s="38"/>
      <c r="I161" s="38"/>
    </row>
    <row r="162" spans="1:9" x14ac:dyDescent="0.3">
      <c r="A162" s="38"/>
      <c r="B162" s="38"/>
      <c r="C162" s="38"/>
      <c r="D162" s="37" t="str">
        <f>IF(C162="","",IFERROR(CHOOSE(MATCH(C162,{"New Cortex","TMH","NUH","SBH"},0),"CTXN","TMH","NUH","SBH"),"-"))</f>
        <v/>
      </c>
      <c r="E162" s="38"/>
      <c r="F162" s="38"/>
      <c r="G162" s="38"/>
      <c r="H162" s="38"/>
      <c r="I162" s="38"/>
    </row>
    <row r="163" spans="1:9" x14ac:dyDescent="0.3">
      <c r="A163" s="38"/>
      <c r="B163" s="38"/>
      <c r="C163" s="38"/>
      <c r="D163" s="37" t="str">
        <f>IF(C163="","",IFERROR(CHOOSE(MATCH(C163,{"New Cortex","TMH","NUH","SBH"},0),"CTXN","TMH","NUH","SBH"),"-"))</f>
        <v/>
      </c>
      <c r="E163" s="38"/>
      <c r="F163" s="38"/>
      <c r="G163" s="38"/>
      <c r="H163" s="38"/>
      <c r="I163" s="38"/>
    </row>
    <row r="164" spans="1:9" x14ac:dyDescent="0.3">
      <c r="A164" s="38"/>
      <c r="B164" s="38"/>
      <c r="C164" s="38"/>
      <c r="D164" s="37" t="str">
        <f>IF(C164="","",IFERROR(CHOOSE(MATCH(C164,{"New Cortex","TMH","NUH","SBH"},0),"CTXN","TMH","NUH","SBH"),"-"))</f>
        <v/>
      </c>
      <c r="E164" s="38"/>
      <c r="F164" s="38"/>
      <c r="G164" s="38"/>
      <c r="H164" s="38"/>
      <c r="I164" s="38"/>
    </row>
    <row r="165" spans="1:9" x14ac:dyDescent="0.3">
      <c r="A165" s="38"/>
      <c r="B165" s="38"/>
      <c r="C165" s="38"/>
      <c r="D165" s="37" t="str">
        <f>IF(C165="","",IFERROR(CHOOSE(MATCH(C165,{"New Cortex","TMH","NUH","SBH"},0),"CTXN","TMH","NUH","SBH"),"-"))</f>
        <v/>
      </c>
      <c r="E165" s="38"/>
      <c r="F165" s="38"/>
      <c r="G165" s="38"/>
      <c r="H165" s="38"/>
      <c r="I165" s="38"/>
    </row>
    <row r="166" spans="1:9" x14ac:dyDescent="0.3">
      <c r="A166" s="38"/>
      <c r="B166" s="38"/>
      <c r="C166" s="38"/>
      <c r="D166" s="37" t="str">
        <f>IF(C166="","",IFERROR(CHOOSE(MATCH(C166,{"New Cortex","TMH","NUH","SBH"},0),"CTXN","TMH","NUH","SBH"),"-"))</f>
        <v/>
      </c>
      <c r="E166" s="38"/>
      <c r="F166" s="38"/>
      <c r="G166" s="38"/>
      <c r="H166" s="38"/>
      <c r="I166" s="38"/>
    </row>
    <row r="167" spans="1:9" x14ac:dyDescent="0.3">
      <c r="A167" s="38"/>
      <c r="B167" s="38"/>
      <c r="C167" s="38"/>
      <c r="D167" s="37" t="str">
        <f>IF(C167="","",IFERROR(CHOOSE(MATCH(C167,{"New Cortex","TMH","NUH","SBH"},0),"CTXN","TMH","NUH","SBH"),"-"))</f>
        <v/>
      </c>
      <c r="E167" s="38"/>
      <c r="F167" s="38"/>
      <c r="G167" s="38"/>
      <c r="H167" s="38"/>
      <c r="I167" s="38"/>
    </row>
    <row r="168" spans="1:9" x14ac:dyDescent="0.3">
      <c r="A168" s="38"/>
      <c r="B168" s="38"/>
      <c r="C168" s="38"/>
      <c r="D168" s="37" t="str">
        <f>IF(C168="","",IFERROR(CHOOSE(MATCH(C168,{"New Cortex","TMH","NUH","SBH"},0),"CTXN","TMH","NUH","SBH"),"-"))</f>
        <v/>
      </c>
      <c r="E168" s="38"/>
      <c r="F168" s="38"/>
      <c r="G168" s="38"/>
      <c r="H168" s="38"/>
      <c r="I168" s="38"/>
    </row>
    <row r="169" spans="1:9" x14ac:dyDescent="0.3">
      <c r="A169" s="38"/>
      <c r="B169" s="38"/>
      <c r="C169" s="38"/>
      <c r="D169" s="37" t="str">
        <f>IF(C169="","",IFERROR(CHOOSE(MATCH(C169,{"New Cortex","TMH","NUH","SBH"},0),"CTXN","TMH","NUH","SBH"),"-"))</f>
        <v/>
      </c>
      <c r="E169" s="38"/>
      <c r="F169" s="38"/>
      <c r="G169" s="38"/>
      <c r="H169" s="38"/>
      <c r="I169" s="38"/>
    </row>
    <row r="170" spans="1:9" x14ac:dyDescent="0.3">
      <c r="A170" s="38"/>
      <c r="B170" s="38"/>
      <c r="C170" s="38"/>
      <c r="D170" s="37" t="str">
        <f>IF(C170="","",IFERROR(CHOOSE(MATCH(C170,{"New Cortex","TMH","NUH","SBH"},0),"CTXN","TMH","NUH","SBH"),"-"))</f>
        <v/>
      </c>
      <c r="E170" s="38"/>
      <c r="F170" s="38"/>
      <c r="G170" s="38"/>
      <c r="H170" s="38"/>
      <c r="I170" s="38"/>
    </row>
    <row r="171" spans="1:9" x14ac:dyDescent="0.3">
      <c r="A171" s="38"/>
      <c r="B171" s="38"/>
      <c r="C171" s="38"/>
      <c r="D171" s="37" t="str">
        <f>IF(C171="","",IFERROR(CHOOSE(MATCH(C171,{"New Cortex","TMH","NUH","SBH"},0),"CTXN","TMH","NUH","SBH"),"-"))</f>
        <v/>
      </c>
      <c r="E171" s="38"/>
      <c r="F171" s="38"/>
      <c r="G171" s="38"/>
      <c r="H171" s="38"/>
      <c r="I171" s="38"/>
    </row>
    <row r="172" spans="1:9" x14ac:dyDescent="0.3">
      <c r="A172" s="38"/>
      <c r="B172" s="38"/>
      <c r="C172" s="38"/>
      <c r="D172" s="37" t="str">
        <f>IF(C172="","",IFERROR(CHOOSE(MATCH(C172,{"New Cortex","TMH","NUH","SBH"},0),"CTXN","TMH","NUH","SBH"),"-"))</f>
        <v/>
      </c>
      <c r="E172" s="38"/>
      <c r="F172" s="38"/>
      <c r="G172" s="38"/>
      <c r="H172" s="38"/>
      <c r="I172" s="38"/>
    </row>
    <row r="173" spans="1:9" x14ac:dyDescent="0.3">
      <c r="A173" s="38"/>
      <c r="B173" s="38"/>
      <c r="C173" s="38"/>
      <c r="D173" s="37" t="str">
        <f>IF(C173="","",IFERROR(CHOOSE(MATCH(C173,{"New Cortex","TMH","NUH","SBH"},0),"CTXN","TMH","NUH","SBH"),"-"))</f>
        <v/>
      </c>
      <c r="E173" s="38"/>
      <c r="F173" s="38"/>
      <c r="G173" s="38"/>
      <c r="H173" s="38"/>
      <c r="I173" s="38"/>
    </row>
    <row r="174" spans="1:9" x14ac:dyDescent="0.3">
      <c r="A174" s="38"/>
      <c r="B174" s="38"/>
      <c r="C174" s="38"/>
      <c r="D174" s="37" t="str">
        <f>IF(C174="","",IFERROR(CHOOSE(MATCH(C174,{"New Cortex","TMH","NUH","SBH"},0),"CTXN","TMH","NUH","SBH"),"-"))</f>
        <v/>
      </c>
      <c r="E174" s="38"/>
      <c r="F174" s="38"/>
      <c r="G174" s="38"/>
      <c r="H174" s="38"/>
      <c r="I174" s="38"/>
    </row>
    <row r="175" spans="1:9" x14ac:dyDescent="0.3">
      <c r="A175" s="38"/>
      <c r="B175" s="38"/>
      <c r="C175" s="38"/>
      <c r="D175" s="37" t="str">
        <f>IF(C175="","",IFERROR(CHOOSE(MATCH(C175,{"New Cortex","TMH","NUH","SBH"},0),"CTXN","TMH","NUH","SBH"),"-"))</f>
        <v/>
      </c>
      <c r="E175" s="38"/>
      <c r="F175" s="38"/>
      <c r="G175" s="38"/>
      <c r="H175" s="38"/>
      <c r="I175" s="38"/>
    </row>
    <row r="176" spans="1:9" x14ac:dyDescent="0.3">
      <c r="A176" s="38"/>
      <c r="B176" s="38"/>
      <c r="C176" s="38"/>
      <c r="D176" s="37" t="str">
        <f>IF(C176="","",IFERROR(CHOOSE(MATCH(C176,{"New Cortex","TMH","NUH","SBH"},0),"CTXN","TMH","NUH","SBH"),"-"))</f>
        <v/>
      </c>
      <c r="E176" s="38"/>
      <c r="F176" s="38"/>
      <c r="G176" s="38"/>
      <c r="H176" s="38"/>
      <c r="I176" s="38"/>
    </row>
    <row r="177" spans="1:9" x14ac:dyDescent="0.3">
      <c r="A177" s="38"/>
      <c r="B177" s="38"/>
      <c r="C177" s="38"/>
      <c r="D177" s="37" t="str">
        <f>IF(C177="","",IFERROR(CHOOSE(MATCH(C177,{"New Cortex","TMH","NUH","SBH"},0),"CTXN","TMH","NUH","SBH"),"-"))</f>
        <v/>
      </c>
      <c r="E177" s="38"/>
      <c r="F177" s="38"/>
      <c r="G177" s="38"/>
      <c r="H177" s="38"/>
      <c r="I177" s="38"/>
    </row>
    <row r="178" spans="1:9" x14ac:dyDescent="0.3">
      <c r="A178" s="38"/>
      <c r="B178" s="38"/>
      <c r="C178" s="38"/>
      <c r="D178" s="37" t="str">
        <f>IF(C178="","",IFERROR(CHOOSE(MATCH(C178,{"New Cortex","TMH","NUH","SBH"},0),"CTXN","TMH","NUH","SBH"),"-"))</f>
        <v/>
      </c>
      <c r="E178" s="38"/>
      <c r="F178" s="38"/>
      <c r="G178" s="38"/>
      <c r="H178" s="38"/>
      <c r="I178" s="38"/>
    </row>
    <row r="179" spans="1:9" x14ac:dyDescent="0.3">
      <c r="A179" s="38"/>
      <c r="B179" s="38"/>
      <c r="C179" s="38"/>
      <c r="D179" s="37" t="str">
        <f>IF(C179="","",IFERROR(CHOOSE(MATCH(C179,{"New Cortex","TMH","NUH","SBH"},0),"CTXN","TMH","NUH","SBH"),"-"))</f>
        <v/>
      </c>
      <c r="E179" s="38"/>
      <c r="F179" s="38"/>
      <c r="G179" s="38"/>
      <c r="H179" s="38"/>
      <c r="I179" s="38"/>
    </row>
    <row r="180" spans="1:9" x14ac:dyDescent="0.3">
      <c r="A180" s="38"/>
      <c r="B180" s="38"/>
      <c r="C180" s="38"/>
      <c r="D180" s="37" t="str">
        <f>IF(C180="","",IFERROR(CHOOSE(MATCH(C180,{"New Cortex","TMH","NUH","SBH"},0),"CTXN","TMH","NUH","SBH"),"-"))</f>
        <v/>
      </c>
      <c r="E180" s="38"/>
      <c r="F180" s="38"/>
      <c r="G180" s="38"/>
      <c r="H180" s="38"/>
      <c r="I180" s="38"/>
    </row>
    <row r="181" spans="1:9" x14ac:dyDescent="0.3">
      <c r="A181" s="38"/>
      <c r="B181" s="38"/>
      <c r="C181" s="38"/>
      <c r="D181" s="37" t="str">
        <f>IF(C181="","",IFERROR(CHOOSE(MATCH(C181,{"New Cortex","TMH","NUH","SBH"},0),"CTXN","TMH","NUH","SBH"),"-"))</f>
        <v/>
      </c>
      <c r="E181" s="38"/>
      <c r="F181" s="38"/>
      <c r="G181" s="38"/>
      <c r="H181" s="38"/>
      <c r="I181" s="38"/>
    </row>
    <row r="182" spans="1:9" x14ac:dyDescent="0.3">
      <c r="A182" s="38"/>
      <c r="B182" s="38"/>
      <c r="C182" s="38"/>
      <c r="D182" s="37" t="str">
        <f>IF(C182="","",IFERROR(CHOOSE(MATCH(C182,{"New Cortex","TMH","NUH","SBH"},0),"CTXN","TMH","NUH","SBH"),"-"))</f>
        <v/>
      </c>
      <c r="E182" s="38"/>
      <c r="F182" s="38"/>
      <c r="G182" s="38"/>
      <c r="H182" s="38"/>
      <c r="I182" s="38"/>
    </row>
    <row r="183" spans="1:9" x14ac:dyDescent="0.3">
      <c r="A183" s="38"/>
      <c r="B183" s="38"/>
      <c r="C183" s="38"/>
      <c r="D183" s="37" t="str">
        <f>IF(C183="","",IFERROR(CHOOSE(MATCH(C183,{"New Cortex","TMH","NUH","SBH"},0),"CTXN","TMH","NUH","SBH"),"-"))</f>
        <v/>
      </c>
      <c r="E183" s="38"/>
      <c r="F183" s="38"/>
      <c r="G183" s="38"/>
      <c r="H183" s="38"/>
      <c r="I183" s="38"/>
    </row>
    <row r="184" spans="1:9" x14ac:dyDescent="0.3">
      <c r="A184" s="38"/>
      <c r="B184" s="38"/>
      <c r="C184" s="38"/>
      <c r="D184" s="37" t="str">
        <f>IF(C184="","",IFERROR(CHOOSE(MATCH(C184,{"New Cortex","TMH","NUH","SBH"},0),"CTXN","TMH","NUH","SBH"),"-"))</f>
        <v/>
      </c>
      <c r="E184" s="38"/>
      <c r="F184" s="38"/>
      <c r="G184" s="38"/>
      <c r="H184" s="38"/>
      <c r="I184" s="38"/>
    </row>
    <row r="185" spans="1:9" x14ac:dyDescent="0.3">
      <c r="A185" s="38"/>
      <c r="B185" s="38"/>
      <c r="C185" s="38"/>
      <c r="D185" s="37" t="str">
        <f>IF(C185="","",IFERROR(CHOOSE(MATCH(C185,{"New Cortex","TMH","NUH","SBH"},0),"CTXN","TMH","NUH","SBH"),"-"))</f>
        <v/>
      </c>
      <c r="E185" s="38"/>
      <c r="F185" s="38"/>
      <c r="G185" s="38"/>
      <c r="H185" s="38"/>
      <c r="I185" s="38"/>
    </row>
    <row r="186" spans="1:9" x14ac:dyDescent="0.3">
      <c r="A186" s="38"/>
      <c r="B186" s="38"/>
      <c r="C186" s="38"/>
      <c r="D186" s="37" t="str">
        <f>IF(C186="","",IFERROR(CHOOSE(MATCH(C186,{"New Cortex","TMH","NUH","SBH"},0),"CTXN","TMH","NUH","SBH"),"-"))</f>
        <v/>
      </c>
      <c r="E186" s="38"/>
      <c r="F186" s="38"/>
      <c r="G186" s="38"/>
      <c r="H186" s="38"/>
      <c r="I186" s="38"/>
    </row>
    <row r="187" spans="1:9" x14ac:dyDescent="0.3">
      <c r="A187" s="38"/>
      <c r="B187" s="38"/>
      <c r="C187" s="38"/>
      <c r="D187" s="37" t="str">
        <f>IF(C187="","",IFERROR(CHOOSE(MATCH(C187,{"New Cortex","TMH","NUH","SBH"},0),"CTXN","TMH","NUH","SBH"),"-"))</f>
        <v/>
      </c>
      <c r="E187" s="38"/>
      <c r="F187" s="38"/>
      <c r="G187" s="38"/>
      <c r="H187" s="38"/>
      <c r="I187" s="38"/>
    </row>
    <row r="188" spans="1:9" x14ac:dyDescent="0.3">
      <c r="A188" s="38"/>
      <c r="B188" s="38"/>
      <c r="C188" s="38"/>
      <c r="D188" s="37" t="str">
        <f>IF(C188="","",IFERROR(CHOOSE(MATCH(C188,{"New Cortex","TMH","NUH","SBH"},0),"CTXN","TMH","NUH","SBH"),"-"))</f>
        <v/>
      </c>
      <c r="E188" s="38"/>
      <c r="F188" s="38"/>
      <c r="G188" s="38"/>
      <c r="H188" s="38"/>
      <c r="I188" s="38"/>
    </row>
    <row r="189" spans="1:9" x14ac:dyDescent="0.3">
      <c r="A189" s="38"/>
      <c r="B189" s="38"/>
      <c r="C189" s="38"/>
      <c r="D189" s="37" t="str">
        <f>IF(C189="","",IFERROR(CHOOSE(MATCH(C189,{"New Cortex","TMH","NUH","SBH"},0),"CTXN","TMH","NUH","SBH"),"-"))</f>
        <v/>
      </c>
      <c r="E189" s="38"/>
      <c r="F189" s="38"/>
      <c r="G189" s="38"/>
      <c r="H189" s="38"/>
      <c r="I189" s="38"/>
    </row>
    <row r="190" spans="1:9" x14ac:dyDescent="0.3">
      <c r="A190" s="38"/>
      <c r="B190" s="38"/>
      <c r="C190" s="38"/>
      <c r="D190" s="37" t="str">
        <f>IF(C190="","",IFERROR(CHOOSE(MATCH(C190,{"New Cortex","TMH","NUH","SBH"},0),"CTXN","TMH","NUH","SBH"),"-"))</f>
        <v/>
      </c>
      <c r="E190" s="38"/>
      <c r="F190" s="38"/>
      <c r="G190" s="38"/>
      <c r="H190" s="38"/>
      <c r="I190" s="38"/>
    </row>
    <row r="191" spans="1:9" x14ac:dyDescent="0.3">
      <c r="A191" s="38"/>
      <c r="B191" s="38"/>
      <c r="C191" s="38"/>
      <c r="D191" s="37" t="str">
        <f>IF(C191="","",IFERROR(CHOOSE(MATCH(C191,{"New Cortex","TMH","NUH","SBH"},0),"CTXN","TMH","NUH","SBH"),"-"))</f>
        <v/>
      </c>
      <c r="E191" s="38"/>
      <c r="F191" s="38"/>
      <c r="G191" s="38"/>
      <c r="H191" s="38"/>
      <c r="I191" s="38"/>
    </row>
    <row r="192" spans="1:9" x14ac:dyDescent="0.3">
      <c r="A192" s="38"/>
      <c r="B192" s="38"/>
      <c r="C192" s="38"/>
      <c r="D192" s="37" t="str">
        <f>IF(C192="","",IFERROR(CHOOSE(MATCH(C192,{"New Cortex","TMH","NUH","SBH"},0),"CTXN","TMH","NUH","SBH"),"-"))</f>
        <v/>
      </c>
      <c r="E192" s="38"/>
      <c r="F192" s="38"/>
      <c r="G192" s="38"/>
      <c r="H192" s="38"/>
      <c r="I192" s="38"/>
    </row>
    <row r="193" spans="1:9" x14ac:dyDescent="0.3">
      <c r="A193" s="38"/>
      <c r="B193" s="38"/>
      <c r="C193" s="38"/>
      <c r="D193" s="37" t="str">
        <f>IF(C193="","",IFERROR(CHOOSE(MATCH(C193,{"New Cortex","TMH","NUH","SBH"},0),"CTXN","TMH","NUH","SBH"),"-"))</f>
        <v/>
      </c>
      <c r="E193" s="38"/>
      <c r="F193" s="38"/>
      <c r="G193" s="38"/>
      <c r="H193" s="38"/>
      <c r="I193" s="38"/>
    </row>
    <row r="194" spans="1:9" x14ac:dyDescent="0.3">
      <c r="A194" s="38"/>
      <c r="B194" s="38"/>
      <c r="C194" s="38"/>
      <c r="D194" s="37" t="str">
        <f>IF(C194="","",IFERROR(CHOOSE(MATCH(C194,{"New Cortex","TMH","NUH","SBH"},0),"CTXN","TMH","NUH","SBH"),"-"))</f>
        <v/>
      </c>
      <c r="E194" s="38"/>
      <c r="F194" s="38"/>
      <c r="G194" s="38"/>
      <c r="H194" s="38"/>
      <c r="I194" s="38"/>
    </row>
    <row r="195" spans="1:9" x14ac:dyDescent="0.3">
      <c r="A195" s="38"/>
      <c r="B195" s="38"/>
      <c r="C195" s="38"/>
      <c r="D195" s="37" t="str">
        <f>IF(C195="","",IFERROR(CHOOSE(MATCH(C195,{"New Cortex","TMH","NUH","SBH"},0),"CTXN","TMH","NUH","SBH"),"-"))</f>
        <v/>
      </c>
      <c r="E195" s="38"/>
      <c r="F195" s="38"/>
      <c r="G195" s="38"/>
      <c r="H195" s="38"/>
      <c r="I195" s="38"/>
    </row>
    <row r="196" spans="1:9" x14ac:dyDescent="0.3">
      <c r="A196" s="38"/>
      <c r="B196" s="38"/>
      <c r="C196" s="38"/>
      <c r="D196" s="37" t="str">
        <f>IF(C196="","",IFERROR(CHOOSE(MATCH(C196,{"New Cortex","TMH","NUH","SBH"},0),"CTXN","TMH","NUH","SBH"),"-"))</f>
        <v/>
      </c>
      <c r="E196" s="38"/>
      <c r="F196" s="38"/>
      <c r="G196" s="38"/>
      <c r="H196" s="38"/>
      <c r="I196" s="38"/>
    </row>
    <row r="197" spans="1:9" x14ac:dyDescent="0.3">
      <c r="A197" s="38"/>
      <c r="B197" s="38"/>
      <c r="C197" s="38"/>
      <c r="D197" s="37" t="str">
        <f>IF(C197="","",IFERROR(CHOOSE(MATCH(C197,{"New Cortex","TMH","NUH","SBH"},0),"CTXN","TMH","NUH","SBH"),"-"))</f>
        <v/>
      </c>
      <c r="E197" s="38"/>
      <c r="F197" s="38"/>
      <c r="G197" s="38"/>
      <c r="H197" s="38"/>
      <c r="I197" s="38"/>
    </row>
    <row r="198" spans="1:9" x14ac:dyDescent="0.3">
      <c r="A198" s="38"/>
      <c r="B198" s="38"/>
      <c r="C198" s="38"/>
      <c r="D198" s="37" t="str">
        <f>IF(C198="","",IFERROR(CHOOSE(MATCH(C198,{"New Cortex","TMH","NUH","SBH"},0),"CTXN","TMH","NUH","SBH"),"-"))</f>
        <v/>
      </c>
      <c r="E198" s="38"/>
      <c r="F198" s="38"/>
      <c r="G198" s="38"/>
      <c r="H198" s="38"/>
      <c r="I198" s="38"/>
    </row>
    <row r="199" spans="1:9" x14ac:dyDescent="0.3">
      <c r="A199" s="38"/>
      <c r="B199" s="38"/>
      <c r="C199" s="38"/>
      <c r="D199" s="37" t="str">
        <f>IF(C199="","",IFERROR(CHOOSE(MATCH(C199,{"New Cortex","TMH","NUH","SBH"},0),"CTXN","TMH","NUH","SBH"),"-"))</f>
        <v/>
      </c>
      <c r="E199" s="38"/>
      <c r="F199" s="38"/>
      <c r="G199" s="38"/>
      <c r="H199" s="38"/>
      <c r="I199" s="38"/>
    </row>
    <row r="200" spans="1:9" x14ac:dyDescent="0.3">
      <c r="A200" s="38"/>
      <c r="B200" s="38"/>
      <c r="C200" s="38"/>
      <c r="D200" s="37" t="str">
        <f>IF(C200="","",IFERROR(CHOOSE(MATCH(C200,{"New Cortex","TMH","NUH","SBH"},0),"CTXN","TMH","NUH","SBH"),"-"))</f>
        <v/>
      </c>
      <c r="E200" s="38"/>
      <c r="F200" s="38"/>
      <c r="G200" s="38"/>
      <c r="H200" s="38"/>
      <c r="I200" s="38"/>
    </row>
  </sheetData>
  <mergeCells count="2">
    <mergeCell ref="A1:I1"/>
    <mergeCell ref="A2:I2"/>
  </mergeCells>
  <dataValidations count="1">
    <dataValidation type="list" allowBlank="1" showInputMessage="1" showErrorMessage="1" sqref="C5:C200" xr:uid="{00000000-0002-0000-0500-000000000000}">
      <formula1>"New Cortex,TMH,NUH,SBH"</formula1>
    </dataValidation>
  </dataValidations>
  <pageMargins left="0.5" right="0.5" top="0.5" bottom="0.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D608-FFB3-49DD-9A50-C92F7A89639E}">
  <dimension ref="B1:AI55"/>
  <sheetViews>
    <sheetView workbookViewId="0"/>
  </sheetViews>
  <sheetFormatPr defaultRowHeight="14.4" x14ac:dyDescent="0.3"/>
  <sheetData>
    <row r="1" spans="2:35" x14ac:dyDescent="0.3">
      <c r="B1" t="s">
        <v>701</v>
      </c>
      <c r="AA1" s="89" t="s">
        <v>702</v>
      </c>
      <c r="AB1" s="89" t="s">
        <v>371</v>
      </c>
      <c r="AC1" s="89" t="s">
        <v>9</v>
      </c>
      <c r="AD1" s="89" t="s">
        <v>11</v>
      </c>
      <c r="AE1" s="89" t="s">
        <v>703</v>
      </c>
      <c r="AF1" s="89"/>
      <c r="AG1" s="89" t="s">
        <v>704</v>
      </c>
      <c r="AH1" s="89" t="s">
        <v>406</v>
      </c>
      <c r="AI1" s="89" t="s">
        <v>481</v>
      </c>
    </row>
    <row r="2" spans="2:35" x14ac:dyDescent="0.3">
      <c r="AA2" s="87" t="s">
        <v>320</v>
      </c>
      <c r="AB2" s="88">
        <f>Dashboard!C21</f>
        <v>0</v>
      </c>
      <c r="AC2" s="88">
        <f>Dashboard!C22</f>
        <v>0</v>
      </c>
      <c r="AD2" s="88">
        <f>Dashboard!C23</f>
        <v>0</v>
      </c>
      <c r="AE2" s="88">
        <f>Dashboard!C24</f>
        <v>0</v>
      </c>
      <c r="AF2" s="87"/>
      <c r="AG2" s="87" t="str">
        <f>IF(Dashboard!B185="","",Dashboard!B185)</f>
        <v>ยังไม่มี Tester</v>
      </c>
      <c r="AH2" s="88">
        <f>N(Dashboard!C185)</f>
        <v>0</v>
      </c>
      <c r="AI2" s="88">
        <f>N(Dashboard!E185)</f>
        <v>0</v>
      </c>
    </row>
    <row r="3" spans="2:35" x14ac:dyDescent="0.3">
      <c r="R3" s="11" t="str">
        <f>"Items: "&amp;(SUMPRODUCT((('E2E core flow'!$R$15:$R$1000="Urgent")+('E2E core flow'!$R$15:$R$1000="High"))*('E2E core flow'!$T$15:$T$1000&lt;&gt;"Fixed – Retest Passed")*('E2E core flow'!$W$15:$W$1000&lt;&gt;"Out of Scope"))+SUMPRODUCT(--((Cards!$L$4:$L$1000="Blocking")+(Cards!$L$4:$L$1000="Accepted (CF)"))))</f>
        <v>Items: 0</v>
      </c>
      <c r="AA3" s="87" t="s">
        <v>365</v>
      </c>
      <c r="AB3" s="88">
        <f>Dashboard!D21</f>
        <v>0</v>
      </c>
      <c r="AC3" s="88">
        <f>Dashboard!D22</f>
        <v>0</v>
      </c>
      <c r="AD3" s="88">
        <f>Dashboard!D23</f>
        <v>0</v>
      </c>
      <c r="AE3" s="88">
        <f>Dashboard!D24</f>
        <v>0</v>
      </c>
      <c r="AF3" s="87"/>
      <c r="AG3" s="87" t="str">
        <f>IF(Dashboard!B186="","",Dashboard!B186)</f>
        <v/>
      </c>
      <c r="AH3" s="88">
        <f>N(Dashboard!C186)</f>
        <v>0</v>
      </c>
      <c r="AI3" s="88">
        <f>N(Dashboard!E186)</f>
        <v>0</v>
      </c>
    </row>
    <row r="4" spans="2:35" ht="15.6" x14ac:dyDescent="0.3">
      <c r="O4" s="129" t="s">
        <v>705</v>
      </c>
      <c r="P4" s="129"/>
      <c r="R4" s="129" t="s">
        <v>706</v>
      </c>
      <c r="S4" s="129"/>
      <c r="T4" s="129"/>
      <c r="U4" s="129"/>
      <c r="V4" s="129"/>
      <c r="W4" s="129"/>
      <c r="X4" s="129"/>
      <c r="Y4" s="129"/>
      <c r="AA4" s="87" t="s">
        <v>323</v>
      </c>
      <c r="AB4" s="88">
        <f>Dashboard!E21</f>
        <v>0</v>
      </c>
      <c r="AC4" s="88">
        <f>Dashboard!E22</f>
        <v>0</v>
      </c>
      <c r="AD4" s="88">
        <f>Dashboard!E23</f>
        <v>0</v>
      </c>
      <c r="AE4" s="88">
        <f>Dashboard!E24</f>
        <v>0</v>
      </c>
      <c r="AF4" s="87"/>
      <c r="AG4" s="87" t="str">
        <f>IF(Dashboard!B187="","",Dashboard!B187)</f>
        <v/>
      </c>
      <c r="AH4" s="88">
        <f>N(Dashboard!C187)</f>
        <v>0</v>
      </c>
      <c r="AI4" s="88">
        <f>N(Dashboard!E187)</f>
        <v>0</v>
      </c>
    </row>
    <row r="5" spans="2:35" ht="57.6" x14ac:dyDescent="0.3">
      <c r="O5" s="37" t="s">
        <v>707</v>
      </c>
      <c r="P5" s="38" t="str">
        <f>'E2E core flow'!B1</f>
        <v>Cortex HIS (SBH)</v>
      </c>
      <c r="R5" s="36" t="s">
        <v>432</v>
      </c>
      <c r="S5" s="36" t="s">
        <v>485</v>
      </c>
      <c r="T5" s="36" t="s">
        <v>345</v>
      </c>
      <c r="U5" s="36" t="s">
        <v>708</v>
      </c>
      <c r="V5" s="36" t="s">
        <v>206</v>
      </c>
      <c r="W5" s="36" t="s">
        <v>709</v>
      </c>
      <c r="X5" s="36" t="s">
        <v>710</v>
      </c>
      <c r="Y5" s="36" t="s">
        <v>711</v>
      </c>
      <c r="AA5" s="87" t="s">
        <v>271</v>
      </c>
      <c r="AB5" s="88">
        <f>Dashboard!F21</f>
        <v>0</v>
      </c>
      <c r="AC5" s="88">
        <f>Dashboard!F22</f>
        <v>0</v>
      </c>
      <c r="AD5" s="88">
        <f>Dashboard!F23</f>
        <v>0</v>
      </c>
      <c r="AE5" s="88">
        <f>Dashboard!F24</f>
        <v>0</v>
      </c>
      <c r="AF5" s="87"/>
      <c r="AG5" s="87" t="str">
        <f>IF(Dashboard!B188="","",Dashboard!B188)</f>
        <v/>
      </c>
      <c r="AH5" s="88">
        <f>N(Dashboard!C188)</f>
        <v>0</v>
      </c>
      <c r="AI5" s="88">
        <f>N(Dashboard!E188)</f>
        <v>0</v>
      </c>
    </row>
    <row r="6" spans="2:35" ht="57.6" x14ac:dyDescent="0.3">
      <c r="O6" s="37" t="s">
        <v>202</v>
      </c>
      <c r="P6" s="38" t="str">
        <f>'E2E core flow'!B3</f>
        <v>v2.9.0</v>
      </c>
      <c r="R6" s="38" t="str" cm="1">
        <f t="array" ref="R6">_xlfn.LET(_xlpm.ec,(('E2E core flow'!$R$15:$R$1000="Urgent")+('E2E core flow'!$R$15:$R$1000="High"))*('E2E core flow'!$T$15:$T$1000&lt;&gt;"Fixed – Retest Passed")*('E2E core flow'!$W$15:$W$1000&lt;&gt;"Out of Scope"),_xlpm.cc,((Cards!$L$4:$L$1000="Blocking")+(Cards!$L$4:$L$1000="Accepted (CF)")),_xlpm.ne,SUM(_xlpm.ec),_xlpm.nc,SUM(_xlpm.cc),IF(_xlpm.ne+_xlpm.nc=0,"ไม่มีรายการ Urgent / High",_xlfn.LET(_xlpm.al,IF(_xlpm.nc=0,_xlfn._xlws.FILTER(_xlfn.HSTACK('E2E core flow'!$A$15:$A$1000,'E2E core flow'!$B$15:$B$1000,'E2E core flow'!$D$15:$D$1000,'E2E core flow'!$P$15:$P$1000&amp;" × "&amp;'E2E core flow'!$Q$15:$Q$1000,'E2E core flow'!$R$15:$R$1000,'E2E core flow'!$O$15:$O$1000,'E2E core flow'!$Z$15:$Z$1000,IFERROR(MATCH('E2E core flow'!$R$15:$R$1000,{"Urgent","High"},0),3)*100+IFERROR(MATCH('E2E core flow'!$P$15:$P$1000,{"Critical","High","Medium","Low"},0),5)*10+IFERROR(MATCH('E2E core flow'!$Q$15:$Q$1000,{"Extensive","Significant","Moderate","Minor"},0),5)),_xlpm.ec),IF(_xlpm.ne=0,_xlfn._xlws.FILTER(_xlfn.HSTACK(Cards!$A$4:$A$1000,Cards!$M$4:$M$1000,Cards!$B$4:$B$1000,"Card "&amp;Cards!$J$4:$J$1000&amp;IF(Cards!$H$4:$H$1000="No",""," · TOR"),IF(Cards!$F$4:$F$1000="","Urgent",Cards!$F$4:$F$1000),Cards!$K$4:$K$1000,Cards!$L$4:$L$1000,IFERROR(MATCH(Cards!$F$4:$F$1000,{"Urgent","High","Medium","Low"},0),1)*100+50),_xlpm.cc),_xlfn.VSTACK(_xlfn._xlws.FILTER(_xlfn.HSTACK('E2E core flow'!$A$15:$A$1000,'E2E core flow'!$B$15:$B$1000,'E2E core flow'!$D$15:$D$1000,'E2E core flow'!$P$15:$P$1000&amp;" × "&amp;'E2E core flow'!$Q$15:$Q$1000,'E2E core flow'!$R$15:$R$1000,'E2E core flow'!$O$15:$O$1000,'E2E core flow'!$Z$15:$Z$1000,IFERROR(MATCH('E2E core flow'!$R$15:$R$1000,{"Urgent","High"},0),3)*100+IFERROR(MATCH('E2E core flow'!$P$15:$P$1000,{"Critical","High","Medium","Low"},0),5)*10+IFERROR(MATCH('E2E core flow'!$Q$15:$Q$1000,{"Extensive","Significant","Moderate","Minor"},0),5)),_xlpm.ec),_xlfn._xlws.FILTER(_xlfn.HSTACK(Cards!$A$4:$A$1000,Cards!$M$4:$M$1000,Cards!$B$4:$B$1000,"Card "&amp;Cards!$J$4:$J$1000&amp;IF(Cards!$H$4:$H$1000="No",""," · TOR"),IF(Cards!$F$4:$F$1000="","Urgent",Cards!$F$4:$F$1000),Cards!$K$4:$K$1000,Cards!$L$4:$L$1000,IFERROR(MATCH(Cards!$F$4:$F$1000,{"Urgent","High","Medium","Low"},0),1)*100+50),_xlpm.cc)))),_xlfn.SORTBY(_xlpm.al,INDEX(_xlpm.al,0,8),1))))</f>
        <v>ไม่มีรายการ Urgent / High</v>
      </c>
      <c r="S6" s="38"/>
      <c r="T6" s="38"/>
      <c r="U6" s="38"/>
      <c r="V6" s="38"/>
      <c r="W6" s="38"/>
      <c r="X6" s="38"/>
      <c r="Y6" s="38"/>
      <c r="AA6" s="87" t="s">
        <v>366</v>
      </c>
      <c r="AB6" s="88">
        <f>Dashboard!G21</f>
        <v>18</v>
      </c>
      <c r="AC6" s="88">
        <f>Dashboard!G22</f>
        <v>38</v>
      </c>
      <c r="AD6" s="88">
        <f>Dashboard!G23</f>
        <v>0</v>
      </c>
      <c r="AE6" s="88">
        <f>Dashboard!G24</f>
        <v>56</v>
      </c>
      <c r="AF6" s="87"/>
      <c r="AG6" s="87" t="str">
        <f>IF(Dashboard!B189="","",Dashboard!B189)</f>
        <v/>
      </c>
      <c r="AH6" s="88">
        <f>N(Dashboard!C189)</f>
        <v>0</v>
      </c>
      <c r="AI6" s="88">
        <f>N(Dashboard!E189)</f>
        <v>0</v>
      </c>
    </row>
    <row r="7" spans="2:35" ht="43.2" x14ac:dyDescent="0.3">
      <c r="O7" s="37" t="s">
        <v>41</v>
      </c>
      <c r="P7" s="38" t="str">
        <f>'E2E core flow'!B4</f>
        <v>demo-x</v>
      </c>
      <c r="R7" s="38"/>
      <c r="S7" s="38"/>
      <c r="T7" s="38"/>
      <c r="U7" s="38"/>
      <c r="V7" s="38"/>
      <c r="W7" s="38"/>
      <c r="X7" s="38"/>
      <c r="Y7" s="38"/>
      <c r="AA7" s="87"/>
      <c r="AB7" s="87"/>
      <c r="AC7" s="87"/>
      <c r="AD7" s="87"/>
      <c r="AE7" s="87"/>
      <c r="AF7" s="87"/>
      <c r="AG7" s="87" t="str">
        <f>IF(Dashboard!B190="","",Dashboard!B190)</f>
        <v/>
      </c>
      <c r="AH7" s="88">
        <f>N(Dashboard!C190)</f>
        <v>0</v>
      </c>
      <c r="AI7" s="88">
        <f>N(Dashboard!E190)</f>
        <v>0</v>
      </c>
    </row>
    <row r="8" spans="2:35" ht="43.2" x14ac:dyDescent="0.3">
      <c r="O8" s="37" t="s">
        <v>712</v>
      </c>
      <c r="P8" s="40" t="str">
        <f>IF(MAX(MAX('E2E core flow'!$V$15:$V$1000),MAX('Card Test Cases'!$H$4:$H$1000))=0,"-",MAX(MAX('E2E core flow'!$V$15:$V$1000),MAX('Card Test Cases'!$H$4:$H$1000)))</f>
        <v>-</v>
      </c>
      <c r="R8" s="38"/>
      <c r="S8" s="38"/>
      <c r="T8" s="38"/>
      <c r="U8" s="38"/>
      <c r="V8" s="38"/>
      <c r="W8" s="38"/>
      <c r="X8" s="38"/>
      <c r="Y8" s="38"/>
      <c r="AA8" s="87" t="s">
        <v>364</v>
      </c>
      <c r="AB8" s="87" t="s">
        <v>368</v>
      </c>
      <c r="AC8" s="87" t="s">
        <v>369</v>
      </c>
      <c r="AD8" s="87"/>
      <c r="AE8" s="87"/>
      <c r="AF8" s="87"/>
      <c r="AG8" s="87" t="str">
        <f>IF(Dashboard!B191="","",Dashboard!B191)</f>
        <v/>
      </c>
      <c r="AH8" s="88">
        <f>N(Dashboard!C191)</f>
        <v>0</v>
      </c>
      <c r="AI8" s="88">
        <f>N(Dashboard!E191)</f>
        <v>0</v>
      </c>
    </row>
    <row r="9" spans="2:35" ht="43.2" x14ac:dyDescent="0.3">
      <c r="O9" s="37" t="s">
        <v>713</v>
      </c>
      <c r="P9" s="38" t="str">
        <f>IF(ISNUMBER(SEARCH("NO-GO",Dashboard!B10)),"NOT READY (NO-GO)",IF(ISNUMBER(SEARCH("READY TO RELEASE",Dashboard!B10)),"READY TO RELEASE","NOT READY"))</f>
        <v>NOT READY (NO-GO)</v>
      </c>
      <c r="R9" s="38"/>
      <c r="S9" s="38"/>
      <c r="T9" s="38"/>
      <c r="U9" s="38"/>
      <c r="V9" s="38"/>
      <c r="W9" s="38"/>
      <c r="X9" s="38"/>
      <c r="Y9" s="38"/>
      <c r="AA9" s="87" t="str">
        <f>Dashboard!B21</f>
        <v>E2E Core Flow</v>
      </c>
      <c r="AB9" s="87">
        <f>Dashboard!I21</f>
        <v>0</v>
      </c>
      <c r="AC9" s="87">
        <f>N(Dashboard!J21)</f>
        <v>0</v>
      </c>
      <c r="AD9" s="87"/>
      <c r="AE9" s="87"/>
      <c r="AF9" s="87"/>
      <c r="AG9" s="87" t="str">
        <f>IF(Dashboard!B192="","",Dashboard!B192)</f>
        <v/>
      </c>
      <c r="AH9" s="88">
        <f>N(Dashboard!C192)</f>
        <v>0</v>
      </c>
      <c r="AI9" s="88">
        <f>N(Dashboard!E192)</f>
        <v>0</v>
      </c>
    </row>
    <row r="10" spans="2:35" ht="244.8" x14ac:dyDescent="0.3">
      <c r="O10" s="37" t="s">
        <v>714</v>
      </c>
      <c r="P10" s="38" t="str">
        <f>Dashboard!B10</f>
        <v>Release Decision: NOT READY (NO-GO) - Urgent/High Untested: 18 | Blocked: 0 | Cards Pending Result (TOR / Urgent-High): 38</v>
      </c>
      <c r="R10" s="38"/>
      <c r="S10" s="38"/>
      <c r="T10" s="38"/>
      <c r="U10" s="38"/>
      <c r="V10" s="38"/>
      <c r="W10" s="38"/>
      <c r="X10" s="38"/>
      <c r="Y10" s="38"/>
      <c r="AA10" s="87" t="str">
        <f>Dashboard!B22</f>
        <v>Cards</v>
      </c>
      <c r="AB10" s="87">
        <f>Dashboard!I22</f>
        <v>0</v>
      </c>
      <c r="AC10" s="87">
        <f>N(Dashboard!J22)</f>
        <v>0</v>
      </c>
      <c r="AD10" s="87"/>
      <c r="AE10" s="87"/>
      <c r="AF10" s="87"/>
      <c r="AG10" s="87" t="str">
        <f>IF(Dashboard!B193="","",Dashboard!B193)</f>
        <v/>
      </c>
      <c r="AH10" s="88">
        <f>N(Dashboard!C193)</f>
        <v>0</v>
      </c>
      <c r="AI10" s="88">
        <f>N(Dashboard!E193)</f>
        <v>0</v>
      </c>
    </row>
    <row r="11" spans="2:35" ht="28.8" x14ac:dyDescent="0.3">
      <c r="O11" s="37" t="s">
        <v>132</v>
      </c>
      <c r="P11" s="38" t="str">
        <f>IF(OR(P9="NOT READY (NO-GO)",P30&gt;0),"Urgent",IF(OR(P31&gt;0,P35&gt;0),"High",IF(OR(P32&gt;0,P34&gt;0,P36&gt;0,Dashboard!G157+Dashboard!I157+Dashboard!I160+Dashboard!G160&gt;0),"Medium","Low")))</f>
        <v>Urgent</v>
      </c>
      <c r="R11" s="38"/>
      <c r="S11" s="38"/>
      <c r="T11" s="38"/>
      <c r="U11" s="38"/>
      <c r="V11" s="38"/>
      <c r="W11" s="38"/>
      <c r="X11" s="38"/>
      <c r="Y11" s="38"/>
      <c r="AA11" s="87" t="str">
        <f>Dashboard!B23</f>
        <v>Card Test Cases</v>
      </c>
      <c r="AB11" s="87">
        <f>Dashboard!I23</f>
        <v>0</v>
      </c>
      <c r="AC11" s="87">
        <f>N(Dashboard!J23)</f>
        <v>0</v>
      </c>
      <c r="AD11" s="87"/>
      <c r="AE11" s="87"/>
      <c r="AF11" s="87"/>
      <c r="AG11" s="87" t="str">
        <f>IF(Dashboard!B194="","",Dashboard!B194)</f>
        <v/>
      </c>
      <c r="AH11" s="88">
        <f>N(Dashboard!C194)</f>
        <v>0</v>
      </c>
      <c r="AI11" s="88">
        <f>N(Dashboard!E194)</f>
        <v>0</v>
      </c>
    </row>
    <row r="12" spans="2:35" ht="57.6" x14ac:dyDescent="0.3">
      <c r="O12" s="37" t="s">
        <v>715</v>
      </c>
      <c r="P12" s="38" t="str">
        <f>IF(_xlfn.TEXTJOIN(" | ",TRUE,IF(P9="NOT READY (NO-GO)","NO-GO",""),IF(P30&gt;0,"Open Urgent: "&amp;P30,""),IF(P31&gt;0,"Open High: "&amp;P31,""),IF(P35&gt;0,"Accepted by CF: "&amp;P35,""),IF(P32&gt;0,"Open Medium: "&amp;P32,""),IF(P34&gt;0,"Pending Risk Acceptance: "&amp;P34,""),IF(P36&gt;0,"Known Issue Cards: "&amp;P36,""),IF(Dashboard!G157+Dashboard!I157+Dashboard!I160+Dashboard!G160&gt;0,"Not yet evaluated: "&amp;(Dashboard!G157+Dashboard!I157+Dashboard!I160+Dashboard!G160),""))="","No open risk",_xlfn.TEXTJOIN(" | ",TRUE,IF(P9="NOT READY (NO-GO)","NO-GO",""),IF(P30&gt;0,"Open Urgent: "&amp;P30,""),IF(P31&gt;0,"Open High: "&amp;P31,""),IF(P35&gt;0,"Accepted by CF: "&amp;P35,""),IF(P32&gt;0,"Open Medium: "&amp;P32,""),IF(P34&gt;0,"Pending Risk Acceptance: "&amp;P34,""),IF(P36&gt;0,"Known Issue Cards: "&amp;P36,""),IF(Dashboard!G157+Dashboard!I157+Dashboard!I160+Dashboard!G160&gt;0,"Not yet evaluated: "&amp;(Dashboard!G157+Dashboard!I157+Dashboard!I160+Dashboard!G160),"")))</f>
        <v>NO-GO | Not yet evaluated: 18</v>
      </c>
      <c r="R12" s="38"/>
      <c r="S12" s="38"/>
      <c r="T12" s="38"/>
      <c r="U12" s="38"/>
      <c r="V12" s="38"/>
      <c r="W12" s="38"/>
      <c r="X12" s="38"/>
      <c r="Y12" s="38"/>
      <c r="AA12" s="87" t="str">
        <f>Dashboard!B24</f>
        <v>Overall (รวม 3 ส่วน)</v>
      </c>
      <c r="AB12" s="87">
        <f>Dashboard!I24</f>
        <v>0</v>
      </c>
      <c r="AC12" s="87">
        <f>N(Dashboard!J24)</f>
        <v>0</v>
      </c>
      <c r="AD12" s="87"/>
      <c r="AE12" s="87"/>
      <c r="AF12" s="87"/>
      <c r="AG12" s="87" t="str">
        <f>IF(Dashboard!B195="","",Dashboard!B195)</f>
        <v/>
      </c>
      <c r="AH12" s="88">
        <f>N(Dashboard!C195)</f>
        <v>0</v>
      </c>
      <c r="AI12" s="88">
        <f>N(Dashboard!E195)</f>
        <v>0</v>
      </c>
    </row>
    <row r="13" spans="2:35" ht="43.2" x14ac:dyDescent="0.3">
      <c r="O13" s="37" t="s">
        <v>716</v>
      </c>
      <c r="P13" s="38">
        <f>Dashboard!C157</f>
        <v>18</v>
      </c>
      <c r="R13" s="38"/>
      <c r="S13" s="38"/>
      <c r="T13" s="38"/>
      <c r="U13" s="38"/>
      <c r="V13" s="38"/>
      <c r="W13" s="38"/>
      <c r="X13" s="38"/>
      <c r="Y13" s="38"/>
      <c r="AA13" s="87"/>
      <c r="AB13" s="87"/>
      <c r="AC13" s="87"/>
      <c r="AD13" s="87"/>
      <c r="AE13" s="87"/>
      <c r="AF13" s="87"/>
      <c r="AG13" s="87" t="str">
        <f>IF(Dashboard!B196="","",Dashboard!B196)</f>
        <v/>
      </c>
      <c r="AH13" s="88">
        <f>N(Dashboard!C196)</f>
        <v>0</v>
      </c>
      <c r="AI13" s="88">
        <f>N(Dashboard!E196)</f>
        <v>0</v>
      </c>
    </row>
    <row r="14" spans="2:35" x14ac:dyDescent="0.3">
      <c r="O14" s="37" t="s">
        <v>9</v>
      </c>
      <c r="P14" s="38">
        <f>Dashboard!J61</f>
        <v>38</v>
      </c>
      <c r="R14" s="38"/>
      <c r="S14" s="38"/>
      <c r="T14" s="38"/>
      <c r="U14" s="38"/>
      <c r="V14" s="38"/>
      <c r="W14" s="38"/>
      <c r="X14" s="38"/>
      <c r="Y14" s="38"/>
      <c r="AA14" s="87" t="s">
        <v>423</v>
      </c>
      <c r="AB14" s="87" t="s">
        <v>717</v>
      </c>
      <c r="AC14" s="87"/>
      <c r="AD14" s="87"/>
      <c r="AE14" s="87"/>
      <c r="AF14" s="87"/>
      <c r="AG14" s="87" t="str">
        <f>IF(Dashboard!B197="","",Dashboard!B197)</f>
        <v/>
      </c>
      <c r="AH14" s="88">
        <f>N(Dashboard!C197)</f>
        <v>0</v>
      </c>
      <c r="AI14" s="88">
        <f>N(Dashboard!E197)</f>
        <v>0</v>
      </c>
    </row>
    <row r="15" spans="2:35" ht="43.2" x14ac:dyDescent="0.3">
      <c r="O15" s="37" t="s">
        <v>718</v>
      </c>
      <c r="P15" s="38">
        <f>Dashboard!C160</f>
        <v>0</v>
      </c>
      <c r="R15" s="38"/>
      <c r="S15" s="38"/>
      <c r="T15" s="38"/>
      <c r="U15" s="38"/>
      <c r="V15" s="38"/>
      <c r="W15" s="38"/>
      <c r="X15" s="38"/>
      <c r="Y15" s="38"/>
      <c r="AA15" s="87" t="str">
        <f>Dashboard!I165</f>
        <v>Urgent</v>
      </c>
      <c r="AB15" s="88">
        <f>Dashboard!J165</f>
        <v>0</v>
      </c>
      <c r="AC15" s="87"/>
      <c r="AD15" s="87"/>
      <c r="AE15" s="87"/>
      <c r="AF15" s="87"/>
      <c r="AG15" s="87"/>
      <c r="AH15" s="87"/>
      <c r="AI15" s="87"/>
    </row>
    <row r="16" spans="2:35" ht="57.6" x14ac:dyDescent="0.3">
      <c r="O16" s="37" t="s">
        <v>719</v>
      </c>
      <c r="P16" s="50">
        <f>Dashboard!K157</f>
        <v>0</v>
      </c>
      <c r="R16" s="38"/>
      <c r="S16" s="38"/>
      <c r="T16" s="38"/>
      <c r="U16" s="38"/>
      <c r="V16" s="38"/>
      <c r="W16" s="38"/>
      <c r="X16" s="38"/>
      <c r="Y16" s="38"/>
      <c r="AA16" s="87" t="str">
        <f>Dashboard!I166</f>
        <v>High</v>
      </c>
      <c r="AB16" s="88">
        <f>Dashboard!J166</f>
        <v>0</v>
      </c>
      <c r="AC16" s="87"/>
      <c r="AD16" s="87"/>
      <c r="AE16" s="87"/>
      <c r="AF16" s="87"/>
      <c r="AG16" s="87"/>
      <c r="AH16" s="87"/>
      <c r="AI16" s="87"/>
    </row>
    <row r="17" spans="15:35" ht="43.2" x14ac:dyDescent="0.3">
      <c r="O17" s="37" t="s">
        <v>720</v>
      </c>
      <c r="P17" s="50">
        <f>Dashboard!K159</f>
        <v>0</v>
      </c>
      <c r="R17" s="38"/>
      <c r="S17" s="38"/>
      <c r="T17" s="38"/>
      <c r="U17" s="38"/>
      <c r="V17" s="38"/>
      <c r="W17" s="38"/>
      <c r="X17" s="38"/>
      <c r="Y17" s="38"/>
      <c r="AA17" s="87" t="str">
        <f>Dashboard!I167</f>
        <v>Medium</v>
      </c>
      <c r="AB17" s="88">
        <f>Dashboard!J167</f>
        <v>0</v>
      </c>
      <c r="AC17" s="87"/>
      <c r="AD17" s="87"/>
      <c r="AE17" s="87"/>
      <c r="AF17" s="87"/>
      <c r="AG17" s="87"/>
      <c r="AH17" s="87"/>
      <c r="AI17" s="87"/>
    </row>
    <row r="18" spans="15:35" ht="57.6" x14ac:dyDescent="0.3">
      <c r="O18" s="37" t="s">
        <v>721</v>
      </c>
      <c r="P18" s="50">
        <f>Dashboard!K160</f>
        <v>0</v>
      </c>
      <c r="R18" s="38"/>
      <c r="S18" s="38"/>
      <c r="T18" s="38"/>
      <c r="U18" s="38"/>
      <c r="V18" s="38"/>
      <c r="W18" s="38"/>
      <c r="X18" s="38"/>
      <c r="Y18" s="38"/>
      <c r="AA18" s="87" t="str">
        <f>Dashboard!I168</f>
        <v>Low</v>
      </c>
      <c r="AB18" s="88">
        <f>Dashboard!J168</f>
        <v>0</v>
      </c>
      <c r="AC18" s="87"/>
      <c r="AD18" s="87"/>
      <c r="AE18" s="87"/>
      <c r="AF18" s="87"/>
      <c r="AG18" s="87"/>
      <c r="AH18" s="87"/>
      <c r="AI18" s="87"/>
    </row>
    <row r="19" spans="15:35" ht="28.8" x14ac:dyDescent="0.3">
      <c r="O19" s="37" t="s">
        <v>722</v>
      </c>
      <c r="P19" s="50" t="str">
        <f>Dashboard!L157</f>
        <v>-</v>
      </c>
      <c r="R19" s="38"/>
      <c r="S19" s="38"/>
      <c r="T19" s="38"/>
      <c r="U19" s="38"/>
      <c r="V19" s="38"/>
      <c r="W19" s="38"/>
      <c r="X19" s="38"/>
      <c r="Y19" s="38"/>
    </row>
    <row r="20" spans="15:35" ht="43.2" x14ac:dyDescent="0.3">
      <c r="O20" s="37" t="s">
        <v>723</v>
      </c>
      <c r="P20" s="50" t="str">
        <f>Dashboard!L160</f>
        <v>-</v>
      </c>
      <c r="R20" s="38"/>
      <c r="S20" s="38"/>
      <c r="T20" s="38"/>
      <c r="U20" s="38"/>
      <c r="V20" s="38"/>
      <c r="W20" s="38"/>
      <c r="X20" s="38"/>
      <c r="Y20" s="38"/>
    </row>
    <row r="21" spans="15:35" ht="100.8" x14ac:dyDescent="0.3">
      <c r="O21" s="37" t="s">
        <v>724</v>
      </c>
      <c r="P21" s="38">
        <f>SUMPRODUCT((('E2E core flow'!$L$15:$L$1000="Urgent")+('E2E core flow'!$L$15:$L$1000="High")+(('E2E core flow'!$L$15:$L$1000="")*('E2E core flow'!$A$15:$A$1000&lt;&gt;"")))*(('E2E core flow'!$W$15:$W$1000="Not Run")+('E2E core flow'!$W$15:$W$1000="Blocked")))</f>
        <v>18</v>
      </c>
      <c r="R21" s="38"/>
      <c r="S21" s="38"/>
      <c r="T21" s="38"/>
      <c r="U21" s="38"/>
      <c r="V21" s="38"/>
      <c r="W21" s="38"/>
      <c r="X21" s="38"/>
      <c r="Y21" s="38"/>
    </row>
    <row r="22" spans="15:35" ht="86.4" x14ac:dyDescent="0.3">
      <c r="O22" s="37" t="s">
        <v>725</v>
      </c>
      <c r="P22" s="38">
        <f>COUNTIF(Cards!$L$4:$L$1000,"Pending Result")</f>
        <v>38</v>
      </c>
      <c r="R22" s="38"/>
      <c r="S22" s="38"/>
      <c r="T22" s="38"/>
      <c r="U22" s="38"/>
      <c r="V22" s="38"/>
      <c r="W22" s="38"/>
      <c r="X22" s="38"/>
      <c r="Y22" s="38"/>
    </row>
    <row r="23" spans="15:35" ht="28.8" x14ac:dyDescent="0.3">
      <c r="O23" s="37" t="s">
        <v>726</v>
      </c>
      <c r="P23" s="38">
        <f>Dashboard!C174</f>
        <v>0</v>
      </c>
      <c r="R23" s="38"/>
      <c r="S23" s="38"/>
      <c r="T23" s="38"/>
      <c r="U23" s="38"/>
      <c r="V23" s="38"/>
      <c r="W23" s="38"/>
      <c r="X23" s="38"/>
      <c r="Y23" s="38"/>
    </row>
    <row r="24" spans="15:35" ht="72" x14ac:dyDescent="0.3">
      <c r="O24" s="37" t="s">
        <v>727</v>
      </c>
      <c r="P24" s="38">
        <f>Dashboard!C175</f>
        <v>0</v>
      </c>
      <c r="R24" s="38"/>
      <c r="S24" s="38"/>
      <c r="T24" s="38"/>
      <c r="U24" s="38"/>
      <c r="V24" s="38"/>
      <c r="W24" s="38"/>
      <c r="X24" s="38"/>
      <c r="Y24" s="38"/>
    </row>
    <row r="25" spans="15:35" ht="57.6" x14ac:dyDescent="0.3">
      <c r="O25" s="37" t="s">
        <v>728</v>
      </c>
      <c r="P25" s="38">
        <f>SUMPRODUCT((('E2E core flow'!$L$15:$L$1000="Medium")+('E2E core flow'!$L$15:$L$1000="Low"))*(('E2E core flow'!$W$15:$W$1000="Not Run")+('E2E core flow'!$W$15:$W$1000="Blocked")))</f>
        <v>0</v>
      </c>
      <c r="R25" s="38"/>
      <c r="S25" s="38"/>
      <c r="T25" s="38"/>
      <c r="U25" s="38"/>
      <c r="V25" s="38"/>
      <c r="W25" s="38"/>
      <c r="X25" s="38"/>
      <c r="Y25" s="38"/>
    </row>
    <row r="26" spans="15:35" ht="86.4" x14ac:dyDescent="0.3">
      <c r="O26" s="37" t="s">
        <v>729</v>
      </c>
      <c r="P26" s="38">
        <f>Dashboard!D165</f>
        <v>0</v>
      </c>
      <c r="R26" s="38"/>
      <c r="S26" s="38"/>
      <c r="T26" s="38"/>
      <c r="U26" s="38"/>
      <c r="V26" s="38"/>
      <c r="W26" s="38"/>
      <c r="X26" s="38"/>
      <c r="Y26" s="38"/>
    </row>
    <row r="27" spans="15:35" ht="86.4" x14ac:dyDescent="0.3">
      <c r="O27" s="37" t="s">
        <v>730</v>
      </c>
      <c r="P27" s="38">
        <f>Dashboard!D166</f>
        <v>0</v>
      </c>
      <c r="R27" s="38"/>
      <c r="S27" s="38"/>
      <c r="T27" s="38"/>
      <c r="U27" s="38"/>
      <c r="V27" s="38"/>
      <c r="W27" s="38"/>
      <c r="X27" s="38"/>
      <c r="Y27" s="38"/>
    </row>
    <row r="28" spans="15:35" ht="86.4" x14ac:dyDescent="0.3">
      <c r="O28" s="37" t="s">
        <v>731</v>
      </c>
      <c r="P28" s="38">
        <f>Dashboard!D167</f>
        <v>0</v>
      </c>
      <c r="R28" s="38"/>
      <c r="S28" s="38"/>
      <c r="T28" s="38"/>
      <c r="U28" s="38"/>
      <c r="V28" s="38"/>
      <c r="W28" s="38"/>
      <c r="X28" s="38"/>
      <c r="Y28" s="38"/>
    </row>
    <row r="29" spans="15:35" ht="86.4" x14ac:dyDescent="0.3">
      <c r="O29" s="37" t="s">
        <v>732</v>
      </c>
      <c r="P29" s="38">
        <f>Dashboard!D168</f>
        <v>0</v>
      </c>
      <c r="R29" s="38"/>
      <c r="S29" s="38"/>
      <c r="T29" s="38"/>
      <c r="U29" s="38"/>
      <c r="V29" s="38"/>
      <c r="W29" s="38"/>
      <c r="X29" s="38"/>
      <c r="Y29" s="38"/>
    </row>
    <row r="30" spans="15:35" ht="72" x14ac:dyDescent="0.3">
      <c r="O30" s="37" t="s">
        <v>733</v>
      </c>
      <c r="P30" s="38">
        <f>Dashboard!J165</f>
        <v>0</v>
      </c>
      <c r="R30" s="38"/>
      <c r="S30" s="38"/>
      <c r="T30" s="38"/>
      <c r="U30" s="38"/>
      <c r="V30" s="38"/>
      <c r="W30" s="38"/>
      <c r="X30" s="38"/>
      <c r="Y30" s="38"/>
    </row>
    <row r="31" spans="15:35" ht="72" x14ac:dyDescent="0.3">
      <c r="O31" s="37" t="s">
        <v>734</v>
      </c>
      <c r="P31" s="38">
        <f>Dashboard!J166</f>
        <v>0</v>
      </c>
      <c r="R31" s="38"/>
      <c r="S31" s="38"/>
      <c r="T31" s="38"/>
      <c r="U31" s="38"/>
      <c r="V31" s="38"/>
      <c r="W31" s="38"/>
      <c r="X31" s="38"/>
      <c r="Y31" s="38"/>
    </row>
    <row r="32" spans="15:35" ht="72" x14ac:dyDescent="0.3">
      <c r="O32" s="37" t="s">
        <v>735</v>
      </c>
      <c r="P32" s="38">
        <f>Dashboard!J167</f>
        <v>0</v>
      </c>
      <c r="R32" s="38"/>
      <c r="S32" s="38"/>
      <c r="T32" s="38"/>
      <c r="U32" s="38"/>
      <c r="V32" s="38"/>
      <c r="W32" s="38"/>
      <c r="X32" s="38"/>
      <c r="Y32" s="38"/>
    </row>
    <row r="33" spans="15:25" ht="72" x14ac:dyDescent="0.3">
      <c r="O33" s="37" t="s">
        <v>736</v>
      </c>
      <c r="P33" s="38">
        <f>Dashboard!J168</f>
        <v>0</v>
      </c>
      <c r="R33" s="38"/>
      <c r="S33" s="38"/>
      <c r="T33" s="38"/>
      <c r="U33" s="38"/>
      <c r="V33" s="38"/>
      <c r="W33" s="38"/>
      <c r="X33" s="38"/>
      <c r="Y33" s="38"/>
    </row>
    <row r="34" spans="15:25" ht="57.6" x14ac:dyDescent="0.3">
      <c r="O34" s="37" t="s">
        <v>471</v>
      </c>
      <c r="P34" s="38">
        <f>Dashboard!C178</f>
        <v>0</v>
      </c>
      <c r="R34" s="38"/>
      <c r="S34" s="38"/>
      <c r="T34" s="38"/>
      <c r="U34" s="38"/>
      <c r="V34" s="38"/>
      <c r="W34" s="38"/>
      <c r="X34" s="38"/>
      <c r="Y34" s="38"/>
    </row>
    <row r="35" spans="15:25" ht="43.2" x14ac:dyDescent="0.3">
      <c r="O35" s="37" t="s">
        <v>465</v>
      </c>
      <c r="P35" s="38">
        <f>Dashboard!C176</f>
        <v>0</v>
      </c>
      <c r="R35" s="38"/>
      <c r="S35" s="38"/>
      <c r="T35" s="38"/>
      <c r="U35" s="38"/>
      <c r="V35" s="38"/>
      <c r="W35" s="38"/>
      <c r="X35" s="38"/>
      <c r="Y35" s="38"/>
    </row>
    <row r="36" spans="15:25" ht="43.2" x14ac:dyDescent="0.3">
      <c r="O36" s="37" t="s">
        <v>737</v>
      </c>
      <c r="P36" s="38">
        <f>Dashboard!C179</f>
        <v>0</v>
      </c>
      <c r="R36" s="38"/>
      <c r="S36" s="38"/>
      <c r="T36" s="38"/>
      <c r="U36" s="38"/>
      <c r="V36" s="38"/>
      <c r="W36" s="38"/>
      <c r="X36" s="38"/>
      <c r="Y36" s="38"/>
    </row>
    <row r="37" spans="15:25" ht="57.6" x14ac:dyDescent="0.3">
      <c r="O37" s="37" t="s">
        <v>738</v>
      </c>
      <c r="P37" s="38">
        <f>Dashboard!C180</f>
        <v>0</v>
      </c>
      <c r="R37" s="38"/>
      <c r="S37" s="38"/>
      <c r="T37" s="38"/>
      <c r="U37" s="38"/>
      <c r="V37" s="38"/>
      <c r="W37" s="38"/>
      <c r="X37" s="38"/>
      <c r="Y37" s="38"/>
    </row>
    <row r="38" spans="15:25" ht="43.2" x14ac:dyDescent="0.3">
      <c r="O38" s="37" t="s">
        <v>168</v>
      </c>
      <c r="P38" s="38" t="str">
        <f>IF(AND(COUNTIF(Dashboard!C96:G96,"Ready")+COUNTIF(Dashboard!C96:G96,"N/A")=5,Dashboard!I96&lt;&gt;""),"Signed","Not signed")&amp;" ("&amp;Dashboard!B96&amp;")"</f>
        <v>Not signed (demo-x)</v>
      </c>
      <c r="R38" s="38"/>
      <c r="S38" s="38"/>
      <c r="T38" s="38"/>
      <c r="U38" s="38"/>
      <c r="V38" s="38"/>
      <c r="W38" s="38"/>
      <c r="X38" s="38"/>
      <c r="Y38" s="38"/>
    </row>
    <row r="39" spans="15:25" ht="28.8" x14ac:dyDescent="0.3">
      <c r="O39" s="37" t="s">
        <v>739</v>
      </c>
      <c r="P39" s="38" t="str">
        <f>IF(Dashboard!$B200="","-",Dashboard!$B200&amp;": "&amp;Dashboard!$M200)</f>
        <v>OPD: Medium</v>
      </c>
      <c r="R39" s="38"/>
      <c r="S39" s="38"/>
      <c r="T39" s="38"/>
      <c r="U39" s="38"/>
      <c r="V39" s="38"/>
      <c r="W39" s="38"/>
      <c r="X39" s="38"/>
      <c r="Y39" s="38"/>
    </row>
    <row r="40" spans="15:25" ht="28.8" x14ac:dyDescent="0.3">
      <c r="O40" s="37" t="s">
        <v>740</v>
      </c>
      <c r="P40" s="38" t="str">
        <f>IF(Dashboard!$B201="","-",Dashboard!$B201&amp;": "&amp;Dashboard!$M201)</f>
        <v>IPD: No Test</v>
      </c>
      <c r="R40" s="38"/>
      <c r="S40" s="38"/>
      <c r="T40" s="38"/>
      <c r="U40" s="38"/>
      <c r="V40" s="38"/>
      <c r="W40" s="38"/>
      <c r="X40" s="38"/>
      <c r="Y40" s="38"/>
    </row>
    <row r="41" spans="15:25" ht="28.8" x14ac:dyDescent="0.3">
      <c r="O41" s="37" t="s">
        <v>741</v>
      </c>
      <c r="P41" s="38" t="str">
        <f>IF(Dashboard!$B202="","-",Dashboard!$B202&amp;": "&amp;Dashboard!$M202)</f>
        <v>Billing: No Test</v>
      </c>
      <c r="R41" s="38"/>
      <c r="S41" s="38"/>
      <c r="T41" s="38"/>
      <c r="U41" s="38"/>
      <c r="V41" s="38"/>
      <c r="W41" s="38"/>
      <c r="X41" s="38"/>
      <c r="Y41" s="38"/>
    </row>
    <row r="42" spans="15:25" ht="28.8" x14ac:dyDescent="0.3">
      <c r="O42" s="37" t="s">
        <v>742</v>
      </c>
      <c r="P42" s="38" t="str">
        <f>IF(Dashboard!$B203="","-",Dashboard!$B203&amp;": "&amp;Dashboard!$M203)</f>
        <v>Lab: No Test</v>
      </c>
      <c r="R42" s="38"/>
      <c r="S42" s="38"/>
      <c r="T42" s="38"/>
      <c r="U42" s="38"/>
      <c r="V42" s="38"/>
      <c r="W42" s="38"/>
      <c r="X42" s="38"/>
      <c r="Y42" s="38"/>
    </row>
    <row r="43" spans="15:25" ht="43.2" x14ac:dyDescent="0.3">
      <c r="O43" s="37" t="s">
        <v>743</v>
      </c>
      <c r="P43" s="38" t="str">
        <f>IF(Dashboard!$B204="","-",Dashboard!$B204&amp;": "&amp;Dashboard!$M204)</f>
        <v>Pharmacy: No Test</v>
      </c>
      <c r="R43" s="38"/>
      <c r="S43" s="38"/>
      <c r="T43" s="38"/>
      <c r="U43" s="38"/>
      <c r="V43" s="38"/>
      <c r="W43" s="38"/>
      <c r="X43" s="38"/>
      <c r="Y43" s="38"/>
    </row>
    <row r="44" spans="15:25" ht="43.2" x14ac:dyDescent="0.3">
      <c r="O44" s="37" t="s">
        <v>744</v>
      </c>
      <c r="P44" s="38" t="str">
        <f>IF(Dashboard!$B205="","-",Dashboard!$B205&amp;": "&amp;Dashboard!$M205)</f>
        <v>Radiology: No Test</v>
      </c>
      <c r="R44" s="38"/>
      <c r="S44" s="38"/>
      <c r="T44" s="38"/>
      <c r="U44" s="38"/>
      <c r="V44" s="38"/>
      <c r="W44" s="38"/>
      <c r="X44" s="38"/>
      <c r="Y44" s="38"/>
    </row>
    <row r="45" spans="15:25" ht="57.6" x14ac:dyDescent="0.3">
      <c r="O45" s="37" t="s">
        <v>745</v>
      </c>
      <c r="P45" s="38" t="str">
        <f>IF(Dashboard!$B206="","-",Dashboard!$B206&amp;": "&amp;Dashboard!$M206)</f>
        <v>Admission Center: Medium</v>
      </c>
      <c r="R45" s="38"/>
      <c r="S45" s="38"/>
      <c r="T45" s="38"/>
      <c r="U45" s="38"/>
      <c r="V45" s="38"/>
      <c r="W45" s="38"/>
      <c r="X45" s="38"/>
      <c r="Y45" s="38"/>
    </row>
    <row r="46" spans="15:25" x14ac:dyDescent="0.3">
      <c r="R46" s="38"/>
      <c r="S46" s="38"/>
      <c r="T46" s="38"/>
      <c r="U46" s="38"/>
      <c r="V46" s="38"/>
      <c r="W46" s="38"/>
      <c r="X46" s="38"/>
      <c r="Y46" s="38"/>
    </row>
    <row r="47" spans="15:25" x14ac:dyDescent="0.3">
      <c r="R47" s="38"/>
      <c r="S47" s="38"/>
      <c r="T47" s="38"/>
      <c r="U47" s="38"/>
      <c r="V47" s="38"/>
      <c r="W47" s="38"/>
      <c r="X47" s="38"/>
      <c r="Y47" s="38"/>
    </row>
    <row r="48" spans="15:25" x14ac:dyDescent="0.3">
      <c r="R48" s="38"/>
      <c r="S48" s="38"/>
      <c r="T48" s="38"/>
      <c r="U48" s="38"/>
      <c r="V48" s="38"/>
      <c r="W48" s="38"/>
      <c r="X48" s="38"/>
      <c r="Y48" s="38"/>
    </row>
    <row r="49" spans="18:25" x14ac:dyDescent="0.3">
      <c r="R49" s="38"/>
      <c r="S49" s="38"/>
      <c r="T49" s="38"/>
      <c r="U49" s="38"/>
      <c r="V49" s="38"/>
      <c r="W49" s="38"/>
      <c r="X49" s="38"/>
      <c r="Y49" s="38"/>
    </row>
    <row r="50" spans="18:25" x14ac:dyDescent="0.3">
      <c r="R50" s="38"/>
      <c r="S50" s="38"/>
      <c r="T50" s="38"/>
      <c r="U50" s="38"/>
      <c r="V50" s="38"/>
      <c r="W50" s="38"/>
      <c r="X50" s="38"/>
      <c r="Y50" s="38"/>
    </row>
    <row r="51" spans="18:25" x14ac:dyDescent="0.3">
      <c r="R51" s="38"/>
      <c r="S51" s="38"/>
      <c r="T51" s="38"/>
      <c r="U51" s="38"/>
      <c r="V51" s="38"/>
      <c r="W51" s="38"/>
      <c r="X51" s="38"/>
      <c r="Y51" s="38"/>
    </row>
    <row r="52" spans="18:25" x14ac:dyDescent="0.3">
      <c r="R52" s="38"/>
      <c r="S52" s="38"/>
      <c r="T52" s="38"/>
      <c r="U52" s="38"/>
      <c r="V52" s="38"/>
      <c r="W52" s="38"/>
      <c r="X52" s="38"/>
      <c r="Y52" s="38"/>
    </row>
    <row r="53" spans="18:25" x14ac:dyDescent="0.3">
      <c r="R53" s="38"/>
      <c r="S53" s="38"/>
      <c r="T53" s="38"/>
      <c r="U53" s="38"/>
      <c r="V53" s="38"/>
      <c r="W53" s="38"/>
      <c r="X53" s="38"/>
      <c r="Y53" s="38"/>
    </row>
    <row r="54" spans="18:25" x14ac:dyDescent="0.3">
      <c r="R54" s="38"/>
      <c r="S54" s="38"/>
      <c r="T54" s="38"/>
      <c r="U54" s="38"/>
      <c r="V54" s="38"/>
      <c r="W54" s="38"/>
      <c r="X54" s="38"/>
      <c r="Y54" s="38"/>
    </row>
    <row r="55" spans="18:25" x14ac:dyDescent="0.3">
      <c r="R55" s="38"/>
      <c r="S55" s="38"/>
      <c r="T55" s="38"/>
      <c r="U55" s="38"/>
      <c r="V55" s="38"/>
      <c r="W55" s="38"/>
      <c r="X55" s="38"/>
      <c r="Y55" s="38"/>
    </row>
  </sheetData>
  <mergeCells count="2">
    <mergeCell ref="R4:Y4"/>
    <mergeCell ref="O4:P4"/>
  </mergeCells>
  <conditionalFormatting sqref="P11">
    <cfRule type="expression" dxfId="7" priority="2">
      <formula>$P$11="Urgent"</formula>
    </cfRule>
    <cfRule type="expression" dxfId="6" priority="4">
      <formula>$P$11="High"</formula>
    </cfRule>
    <cfRule type="expression" dxfId="5" priority="6">
      <formula>$P$11="Medium"</formula>
    </cfRule>
    <cfRule type="expression" dxfId="4" priority="8">
      <formula>$P$11="Low"</formula>
    </cfRule>
  </conditionalFormatting>
  <conditionalFormatting sqref="P39:P45">
    <cfRule type="expression" dxfId="3" priority="1">
      <formula>ISNUMBER(SEARCH(": Urgent",P39))</formula>
    </cfRule>
    <cfRule type="expression" dxfId="2" priority="3">
      <formula>ISNUMBER(SEARCH(": High",P39))</formula>
    </cfRule>
    <cfRule type="expression" dxfId="1" priority="5">
      <formula>ISNUMBER(SEARCH(": Medium",P39))</formula>
    </cfRule>
    <cfRule type="expression" dxfId="0" priority="7">
      <formula>ISNUMBER(SEARCH(": Low",P39))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02660f-1808-4718-8569-294515c8db5f" xsi:nil="true"/>
    <lcf76f155ced4ddcb4097134ff3c332f xmlns="48758a87-c539-4e19-a1b1-a645db1f9c1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F092DD908E98984996A8CA561E6F05E8" ma:contentTypeVersion="10" ma:contentTypeDescription="สร้างเอกสารใหม่" ma:contentTypeScope="" ma:versionID="8a25f499cb1819881310bfaae0fc4cf3">
  <xsd:schema xmlns:xsd="http://www.w3.org/2001/XMLSchema" xmlns:xs="http://www.w3.org/2001/XMLSchema" xmlns:p="http://schemas.microsoft.com/office/2006/metadata/properties" xmlns:ns2="48758a87-c539-4e19-a1b1-a645db1f9c15" xmlns:ns3="ec02660f-1808-4718-8569-294515c8db5f" targetNamespace="http://schemas.microsoft.com/office/2006/metadata/properties" ma:root="true" ma:fieldsID="96b1dd083b39b54bbc35820fd13c545f" ns2:_="" ns3:_="">
    <xsd:import namespace="48758a87-c539-4e19-a1b1-a645db1f9c15"/>
    <xsd:import namespace="ec02660f-1808-4718-8569-294515c8db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58a87-c539-4e19-a1b1-a645db1f9c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989f0724-cd79-47a1-a4fa-1af3ef92ed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2660f-1808-4718-8569-294515c8db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469f4bc-5116-482a-b3f2-ea6c09d6945c}" ma:internalName="TaxCatchAll" ma:showField="CatchAllData" ma:web="ec02660f-1808-4718-8569-294515c8db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17B2AA-B58A-4EA7-9238-0998E894EEE7}">
  <ds:schemaRefs>
    <ds:schemaRef ds:uri="http://schemas.microsoft.com/office/2006/metadata/properties"/>
    <ds:schemaRef ds:uri="http://schemas.microsoft.com/office/infopath/2007/PartnerControls"/>
    <ds:schemaRef ds:uri="ec02660f-1808-4718-8569-294515c8db5f"/>
    <ds:schemaRef ds:uri="48758a87-c539-4e19-a1b1-a645db1f9c15"/>
  </ds:schemaRefs>
</ds:datastoreItem>
</file>

<file path=customXml/itemProps2.xml><?xml version="1.0" encoding="utf-8"?>
<ds:datastoreItem xmlns:ds="http://schemas.openxmlformats.org/officeDocument/2006/customXml" ds:itemID="{225D818D-4000-422A-960C-73B138F18F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758a87-c539-4e19-a1b1-a645db1f9c15"/>
    <ds:schemaRef ds:uri="ec02660f-1808-4718-8569-294515c8db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ED497D-BBF9-4618-85ED-F193A2C638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Regression Plan</vt:lpstr>
      <vt:lpstr>Dashboard</vt:lpstr>
      <vt:lpstr>E2E core flow</vt:lpstr>
      <vt:lpstr>Cards</vt:lpstr>
      <vt:lpstr>Card Test Cases</vt:lpstr>
      <vt:lpstr>Ownership Matrix</vt:lpstr>
      <vt:lpstr>Dashboard Feed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Jame Zone</cp:lastModifiedBy>
  <cp:revision/>
  <dcterms:created xsi:type="dcterms:W3CDTF">2026-09-04T03:58:59Z</dcterms:created>
  <dcterms:modified xsi:type="dcterms:W3CDTF">2026-10-23T16:59:07Z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0x010100F092DD908E98984996A8CA561E6F05E8</vt:lpwstr>
  </property>
  <property fmtid="{D5CDD505-2E9C-101B-9397-08002B2CF9AE}" pid="3" name="MediaServiceImageTags">
    <vt:lpwstr/>
  </property>
</Properties>
</file>